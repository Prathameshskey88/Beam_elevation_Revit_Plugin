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walterpmoore.sharepoint.com/sites/Sector43-Noida/Shared Documents/General/2 - Design/Calculations/Beam Schedule/T4/Type-1-2-Refuge/"/>
    </mc:Choice>
  </mc:AlternateContent>
  <xr:revisionPtr revIDLastSave="1351" documentId="13_ncr:1_{C42373BF-1376-4607-BC2B-094B971C9D0B}" xr6:coauthVersionLast="47" xr6:coauthVersionMax="47" xr10:uidLastSave="{720714C6-9E57-4092-8540-501E73A4F113}"/>
  <bookViews>
    <workbookView xWindow="28680" yWindow="75" windowWidth="29040" windowHeight="15840" xr2:uid="{00000000-000D-0000-FFFF-FFFF00000000}"/>
  </bookViews>
  <sheets>
    <sheet name="Concrete Beam Schedule" sheetId="1" r:id="rId1"/>
    <sheet name="Compare Schedule" sheetId="7" r:id="rId2"/>
    <sheet name="Macros" sheetId="8" r:id="rId3"/>
    <sheet name="Read Me" sheetId="9" r:id="rId4"/>
  </sheets>
  <functionGroups builtInGroupCount="19"/>
  <definedNames>
    <definedName name="RevitMarks">'Compare Schedule'!$A$3:$A$3000</definedName>
    <definedName name="ShtSz">Macros!$F$4:$F$7</definedName>
    <definedName name="Spanner_Auto_File" localSheetId="0">"P:\2003\03002-01\Engr\Schedules\SPANNER\RC BEAM Part 3.x2a"</definedName>
    <definedName name="Szs">Macros!$F$4:$I$7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9" i="8" l="1"/>
  <c r="R33" i="8" l="1"/>
  <c r="Q36" i="8"/>
  <c r="Q4" i="7" l="1"/>
  <c r="R4" i="7"/>
  <c r="S4" i="7"/>
  <c r="T4" i="7"/>
  <c r="U4" i="7"/>
  <c r="V4" i="7"/>
  <c r="W4" i="7"/>
  <c r="X4" i="7"/>
  <c r="Y4" i="7"/>
  <c r="Z4" i="7"/>
  <c r="AA4" i="7"/>
  <c r="AB4" i="7"/>
  <c r="AC4" i="7"/>
  <c r="AD4" i="7"/>
  <c r="AE4" i="7"/>
  <c r="Q5" i="7"/>
  <c r="R5" i="7"/>
  <c r="S5" i="7"/>
  <c r="T5" i="7"/>
  <c r="U5" i="7"/>
  <c r="V5" i="7"/>
  <c r="W5" i="7"/>
  <c r="X5" i="7"/>
  <c r="Y5" i="7"/>
  <c r="Z5" i="7"/>
  <c r="AA5" i="7"/>
  <c r="AB5" i="7"/>
  <c r="AC5" i="7"/>
  <c r="AD5" i="7"/>
  <c r="AE5" i="7"/>
  <c r="Q6" i="7"/>
  <c r="R6" i="7"/>
  <c r="S6" i="7"/>
  <c r="T6" i="7"/>
  <c r="U6" i="7"/>
  <c r="V6" i="7"/>
  <c r="W6" i="7"/>
  <c r="X6" i="7"/>
  <c r="Y6" i="7"/>
  <c r="Z6" i="7"/>
  <c r="AA6" i="7"/>
  <c r="AB6" i="7"/>
  <c r="AC6" i="7"/>
  <c r="AD6" i="7"/>
  <c r="AE6" i="7"/>
  <c r="Q7" i="7"/>
  <c r="R7" i="7"/>
  <c r="S7" i="7"/>
  <c r="T7" i="7"/>
  <c r="U7" i="7"/>
  <c r="V7" i="7"/>
  <c r="W7" i="7"/>
  <c r="X7" i="7"/>
  <c r="Y7" i="7"/>
  <c r="Z7" i="7"/>
  <c r="AA7" i="7"/>
  <c r="AB7" i="7"/>
  <c r="AC7" i="7"/>
  <c r="AD7" i="7"/>
  <c r="AE7" i="7"/>
  <c r="Q8" i="7"/>
  <c r="R8" i="7"/>
  <c r="S8" i="7"/>
  <c r="T8" i="7"/>
  <c r="U8" i="7"/>
  <c r="V8" i="7"/>
  <c r="W8" i="7"/>
  <c r="X8" i="7"/>
  <c r="Y8" i="7"/>
  <c r="Z8" i="7"/>
  <c r="AA8" i="7"/>
  <c r="AB8" i="7"/>
  <c r="AC8" i="7"/>
  <c r="AD8" i="7"/>
  <c r="AE8" i="7"/>
  <c r="Q9" i="7"/>
  <c r="R9" i="7"/>
  <c r="S9" i="7"/>
  <c r="T9" i="7"/>
  <c r="U9" i="7"/>
  <c r="V9" i="7"/>
  <c r="W9" i="7"/>
  <c r="X9" i="7"/>
  <c r="Y9" i="7"/>
  <c r="Z9" i="7"/>
  <c r="AA9" i="7"/>
  <c r="AB9" i="7"/>
  <c r="AC9" i="7"/>
  <c r="AD9" i="7"/>
  <c r="AE9" i="7"/>
  <c r="Q10" i="7"/>
  <c r="R10" i="7"/>
  <c r="S10" i="7"/>
  <c r="T10" i="7"/>
  <c r="U10" i="7"/>
  <c r="V10" i="7"/>
  <c r="W10" i="7"/>
  <c r="X10" i="7"/>
  <c r="Y10" i="7"/>
  <c r="Z10" i="7"/>
  <c r="AA10" i="7"/>
  <c r="AB10" i="7"/>
  <c r="AC10" i="7"/>
  <c r="AD10" i="7"/>
  <c r="AE10" i="7"/>
  <c r="Q11" i="7"/>
  <c r="R11" i="7"/>
  <c r="S11" i="7"/>
  <c r="T11" i="7"/>
  <c r="U11" i="7"/>
  <c r="V11" i="7"/>
  <c r="W11" i="7"/>
  <c r="X11" i="7"/>
  <c r="Y11" i="7"/>
  <c r="Z11" i="7"/>
  <c r="AA11" i="7"/>
  <c r="AB11" i="7"/>
  <c r="AC11" i="7"/>
  <c r="AD11" i="7"/>
  <c r="AE11" i="7"/>
  <c r="Q12" i="7"/>
  <c r="R12" i="7"/>
  <c r="S12" i="7"/>
  <c r="T12" i="7"/>
  <c r="U12" i="7"/>
  <c r="V12" i="7"/>
  <c r="W12" i="7"/>
  <c r="X12" i="7"/>
  <c r="Y12" i="7"/>
  <c r="Z12" i="7"/>
  <c r="AA12" i="7"/>
  <c r="AB12" i="7"/>
  <c r="AC12" i="7"/>
  <c r="AD12" i="7"/>
  <c r="AE12" i="7"/>
  <c r="Q13" i="7"/>
  <c r="R13" i="7"/>
  <c r="S13" i="7"/>
  <c r="T13" i="7"/>
  <c r="U13" i="7"/>
  <c r="V13" i="7"/>
  <c r="W13" i="7"/>
  <c r="X13" i="7"/>
  <c r="Y13" i="7"/>
  <c r="Z13" i="7"/>
  <c r="AA13" i="7"/>
  <c r="AB13" i="7"/>
  <c r="AC13" i="7"/>
  <c r="AD13" i="7"/>
  <c r="AE13" i="7"/>
  <c r="Q14" i="7"/>
  <c r="R14" i="7"/>
  <c r="S14" i="7"/>
  <c r="T14" i="7"/>
  <c r="U14" i="7"/>
  <c r="V14" i="7"/>
  <c r="W14" i="7"/>
  <c r="X14" i="7"/>
  <c r="Y14" i="7"/>
  <c r="Z14" i="7"/>
  <c r="AA14" i="7"/>
  <c r="AB14" i="7"/>
  <c r="AC14" i="7"/>
  <c r="AD14" i="7"/>
  <c r="AE14" i="7"/>
  <c r="Q15" i="7"/>
  <c r="R15" i="7"/>
  <c r="S15" i="7"/>
  <c r="T15" i="7"/>
  <c r="U15" i="7"/>
  <c r="V15" i="7"/>
  <c r="W15" i="7"/>
  <c r="X15" i="7"/>
  <c r="Y15" i="7"/>
  <c r="Z15" i="7"/>
  <c r="AA15" i="7"/>
  <c r="AB15" i="7"/>
  <c r="AC15" i="7"/>
  <c r="AD15" i="7"/>
  <c r="AE15" i="7"/>
  <c r="Q16" i="7"/>
  <c r="R16" i="7"/>
  <c r="S16" i="7"/>
  <c r="T16" i="7"/>
  <c r="U16" i="7"/>
  <c r="V16" i="7"/>
  <c r="W16" i="7"/>
  <c r="X16" i="7"/>
  <c r="Y16" i="7"/>
  <c r="Z16" i="7"/>
  <c r="AA16" i="7"/>
  <c r="AB16" i="7"/>
  <c r="AC16" i="7"/>
  <c r="AD16" i="7"/>
  <c r="AE16" i="7"/>
  <c r="Q17" i="7"/>
  <c r="R17" i="7"/>
  <c r="S17" i="7"/>
  <c r="T17" i="7"/>
  <c r="U17" i="7"/>
  <c r="V17" i="7"/>
  <c r="W17" i="7"/>
  <c r="X17" i="7"/>
  <c r="Y17" i="7"/>
  <c r="Z17" i="7"/>
  <c r="AA17" i="7"/>
  <c r="AB17" i="7"/>
  <c r="AC17" i="7"/>
  <c r="AD17" i="7"/>
  <c r="AE17" i="7"/>
  <c r="Q18" i="7"/>
  <c r="R18" i="7"/>
  <c r="S18" i="7"/>
  <c r="T18" i="7"/>
  <c r="U18" i="7"/>
  <c r="V18" i="7"/>
  <c r="W18" i="7"/>
  <c r="X18" i="7"/>
  <c r="Y18" i="7"/>
  <c r="Z18" i="7"/>
  <c r="AA18" i="7"/>
  <c r="AB18" i="7"/>
  <c r="AC18" i="7"/>
  <c r="AD18" i="7"/>
  <c r="AE18" i="7"/>
  <c r="Q19" i="7"/>
  <c r="R19" i="7"/>
  <c r="S19" i="7"/>
  <c r="T19" i="7"/>
  <c r="U19" i="7"/>
  <c r="V19" i="7"/>
  <c r="W19" i="7"/>
  <c r="X19" i="7"/>
  <c r="Y19" i="7"/>
  <c r="Z19" i="7"/>
  <c r="AA19" i="7"/>
  <c r="AB19" i="7"/>
  <c r="AC19" i="7"/>
  <c r="AD19" i="7"/>
  <c r="AE19" i="7"/>
  <c r="Q20" i="7"/>
  <c r="R20" i="7"/>
  <c r="S20" i="7"/>
  <c r="T20" i="7"/>
  <c r="U20" i="7"/>
  <c r="V20" i="7"/>
  <c r="W20" i="7"/>
  <c r="X20" i="7"/>
  <c r="Y20" i="7"/>
  <c r="Z20" i="7"/>
  <c r="AA20" i="7"/>
  <c r="AB20" i="7"/>
  <c r="AC20" i="7"/>
  <c r="AD20" i="7"/>
  <c r="AE20" i="7"/>
  <c r="Q21" i="7"/>
  <c r="R21" i="7"/>
  <c r="S21" i="7"/>
  <c r="T21" i="7"/>
  <c r="U21" i="7"/>
  <c r="V21" i="7"/>
  <c r="W21" i="7"/>
  <c r="X21" i="7"/>
  <c r="Y21" i="7"/>
  <c r="Z21" i="7"/>
  <c r="AA21" i="7"/>
  <c r="AB21" i="7"/>
  <c r="AC21" i="7"/>
  <c r="AD21" i="7"/>
  <c r="AE21" i="7"/>
  <c r="Q22" i="7"/>
  <c r="R22" i="7"/>
  <c r="S22" i="7"/>
  <c r="T22" i="7"/>
  <c r="U22" i="7"/>
  <c r="V22" i="7"/>
  <c r="W22" i="7"/>
  <c r="X22" i="7"/>
  <c r="Y22" i="7"/>
  <c r="Z22" i="7"/>
  <c r="AA22" i="7"/>
  <c r="AB22" i="7"/>
  <c r="AC22" i="7"/>
  <c r="AD22" i="7"/>
  <c r="AE22" i="7"/>
  <c r="Q23" i="7"/>
  <c r="R23" i="7"/>
  <c r="S23" i="7"/>
  <c r="T23" i="7"/>
  <c r="U23" i="7"/>
  <c r="V23" i="7"/>
  <c r="W23" i="7"/>
  <c r="X23" i="7"/>
  <c r="Y23" i="7"/>
  <c r="Z23" i="7"/>
  <c r="AA23" i="7"/>
  <c r="AB23" i="7"/>
  <c r="AC23" i="7"/>
  <c r="AD23" i="7"/>
  <c r="AE23" i="7"/>
  <c r="Q24" i="7"/>
  <c r="R24" i="7"/>
  <c r="S24" i="7"/>
  <c r="T24" i="7"/>
  <c r="U24" i="7"/>
  <c r="V24" i="7"/>
  <c r="W24" i="7"/>
  <c r="X24" i="7"/>
  <c r="Y24" i="7"/>
  <c r="Z24" i="7"/>
  <c r="AA24" i="7"/>
  <c r="AB24" i="7"/>
  <c r="AC24" i="7"/>
  <c r="AD24" i="7"/>
  <c r="AE24" i="7"/>
  <c r="Q25" i="7"/>
  <c r="R25" i="7"/>
  <c r="S25" i="7"/>
  <c r="T25" i="7"/>
  <c r="U25" i="7"/>
  <c r="V25" i="7"/>
  <c r="W25" i="7"/>
  <c r="X25" i="7"/>
  <c r="Y25" i="7"/>
  <c r="Z25" i="7"/>
  <c r="AA25" i="7"/>
  <c r="AB25" i="7"/>
  <c r="AC25" i="7"/>
  <c r="AD25" i="7"/>
  <c r="AE25" i="7"/>
  <c r="Q26" i="7"/>
  <c r="R26" i="7"/>
  <c r="S26" i="7"/>
  <c r="T26" i="7"/>
  <c r="U26" i="7"/>
  <c r="V26" i="7"/>
  <c r="W26" i="7"/>
  <c r="X26" i="7"/>
  <c r="Y26" i="7"/>
  <c r="Z26" i="7"/>
  <c r="AA26" i="7"/>
  <c r="AB26" i="7"/>
  <c r="AC26" i="7"/>
  <c r="AD26" i="7"/>
  <c r="AE26" i="7"/>
  <c r="Q27" i="7"/>
  <c r="R27" i="7"/>
  <c r="S27" i="7"/>
  <c r="T27" i="7"/>
  <c r="U27" i="7"/>
  <c r="V27" i="7"/>
  <c r="W27" i="7"/>
  <c r="X27" i="7"/>
  <c r="Y27" i="7"/>
  <c r="Z27" i="7"/>
  <c r="AA27" i="7"/>
  <c r="AB27" i="7"/>
  <c r="AC27" i="7"/>
  <c r="AD27" i="7"/>
  <c r="AE27" i="7"/>
  <c r="Q28" i="7"/>
  <c r="R28" i="7"/>
  <c r="S28" i="7"/>
  <c r="T28" i="7"/>
  <c r="U28" i="7"/>
  <c r="V28" i="7"/>
  <c r="W28" i="7"/>
  <c r="X28" i="7"/>
  <c r="Y28" i="7"/>
  <c r="Z28" i="7"/>
  <c r="AA28" i="7"/>
  <c r="AB28" i="7"/>
  <c r="AC28" i="7"/>
  <c r="AD28" i="7"/>
  <c r="AE28" i="7"/>
  <c r="Q29" i="7"/>
  <c r="R29" i="7"/>
  <c r="S29" i="7"/>
  <c r="T29" i="7"/>
  <c r="U29" i="7"/>
  <c r="V29" i="7"/>
  <c r="W29" i="7"/>
  <c r="X29" i="7"/>
  <c r="Y29" i="7"/>
  <c r="Z29" i="7"/>
  <c r="AA29" i="7"/>
  <c r="AB29" i="7"/>
  <c r="AC29" i="7"/>
  <c r="AD29" i="7"/>
  <c r="AE29" i="7"/>
  <c r="Q30" i="7"/>
  <c r="R30" i="7"/>
  <c r="S30" i="7"/>
  <c r="T30" i="7"/>
  <c r="U30" i="7"/>
  <c r="V30" i="7"/>
  <c r="W30" i="7"/>
  <c r="X30" i="7"/>
  <c r="Y30" i="7"/>
  <c r="Z30" i="7"/>
  <c r="AA30" i="7"/>
  <c r="AB30" i="7"/>
  <c r="AC30" i="7"/>
  <c r="AD30" i="7"/>
  <c r="AE30" i="7"/>
  <c r="Q31" i="7"/>
  <c r="R31" i="7"/>
  <c r="S31" i="7"/>
  <c r="T31" i="7"/>
  <c r="U31" i="7"/>
  <c r="V31" i="7"/>
  <c r="W31" i="7"/>
  <c r="X31" i="7"/>
  <c r="Y31" i="7"/>
  <c r="Z31" i="7"/>
  <c r="AA31" i="7"/>
  <c r="AB31" i="7"/>
  <c r="AC31" i="7"/>
  <c r="AD31" i="7"/>
  <c r="AE31" i="7"/>
  <c r="Q32" i="7"/>
  <c r="R32" i="7"/>
  <c r="S32" i="7"/>
  <c r="T32" i="7"/>
  <c r="U32" i="7"/>
  <c r="V32" i="7"/>
  <c r="W32" i="7"/>
  <c r="X32" i="7"/>
  <c r="Y32" i="7"/>
  <c r="Z32" i="7"/>
  <c r="AA32" i="7"/>
  <c r="AB32" i="7"/>
  <c r="AC32" i="7"/>
  <c r="AD32" i="7"/>
  <c r="AE32" i="7"/>
  <c r="Q33" i="7"/>
  <c r="R33" i="7"/>
  <c r="S33" i="7"/>
  <c r="T33" i="7"/>
  <c r="U33" i="7"/>
  <c r="V33" i="7"/>
  <c r="W33" i="7"/>
  <c r="X33" i="7"/>
  <c r="Y33" i="7"/>
  <c r="Z33" i="7"/>
  <c r="AA33" i="7"/>
  <c r="AB33" i="7"/>
  <c r="AC33" i="7"/>
  <c r="AD33" i="7"/>
  <c r="AE33" i="7"/>
  <c r="Q34" i="7"/>
  <c r="R34" i="7"/>
  <c r="S34" i="7"/>
  <c r="T34" i="7"/>
  <c r="U34" i="7"/>
  <c r="V34" i="7"/>
  <c r="W34" i="7"/>
  <c r="X34" i="7"/>
  <c r="Y34" i="7"/>
  <c r="Z34" i="7"/>
  <c r="AA34" i="7"/>
  <c r="AB34" i="7"/>
  <c r="AC34" i="7"/>
  <c r="AD34" i="7"/>
  <c r="AE34" i="7"/>
  <c r="Q35" i="7"/>
  <c r="R35" i="7"/>
  <c r="S35" i="7"/>
  <c r="T35" i="7"/>
  <c r="U35" i="7"/>
  <c r="V35" i="7"/>
  <c r="W35" i="7"/>
  <c r="X35" i="7"/>
  <c r="Y35" i="7"/>
  <c r="Z35" i="7"/>
  <c r="AA35" i="7"/>
  <c r="AB35" i="7"/>
  <c r="AC35" i="7"/>
  <c r="AD35" i="7"/>
  <c r="AE35" i="7"/>
  <c r="Q36" i="7"/>
  <c r="R36" i="7"/>
  <c r="S36" i="7"/>
  <c r="T36" i="7"/>
  <c r="U36" i="7"/>
  <c r="V36" i="7"/>
  <c r="W36" i="7"/>
  <c r="X36" i="7"/>
  <c r="Y36" i="7"/>
  <c r="Z36" i="7"/>
  <c r="AA36" i="7"/>
  <c r="AB36" i="7"/>
  <c r="AC36" i="7"/>
  <c r="AD36" i="7"/>
  <c r="AE36" i="7"/>
  <c r="Q37" i="7"/>
  <c r="R37" i="7"/>
  <c r="S37" i="7"/>
  <c r="T37" i="7"/>
  <c r="U37" i="7"/>
  <c r="V37" i="7"/>
  <c r="W37" i="7"/>
  <c r="X37" i="7"/>
  <c r="Y37" i="7"/>
  <c r="Z37" i="7"/>
  <c r="AA37" i="7"/>
  <c r="AB37" i="7"/>
  <c r="AC37" i="7"/>
  <c r="AD37" i="7"/>
  <c r="AE37" i="7"/>
  <c r="Q38" i="7"/>
  <c r="R38" i="7"/>
  <c r="S38" i="7"/>
  <c r="T38" i="7"/>
  <c r="U38" i="7"/>
  <c r="V38" i="7"/>
  <c r="W38" i="7"/>
  <c r="X38" i="7"/>
  <c r="Y38" i="7"/>
  <c r="Z38" i="7"/>
  <c r="AA38" i="7"/>
  <c r="AB38" i="7"/>
  <c r="AC38" i="7"/>
  <c r="AD38" i="7"/>
  <c r="AE38" i="7"/>
  <c r="Q39" i="7"/>
  <c r="R39" i="7"/>
  <c r="S39" i="7"/>
  <c r="T39" i="7"/>
  <c r="U39" i="7"/>
  <c r="V39" i="7"/>
  <c r="W39" i="7"/>
  <c r="X39" i="7"/>
  <c r="Y39" i="7"/>
  <c r="Z39" i="7"/>
  <c r="AA39" i="7"/>
  <c r="AB39" i="7"/>
  <c r="AC39" i="7"/>
  <c r="AD39" i="7"/>
  <c r="AE39" i="7"/>
  <c r="Q40" i="7"/>
  <c r="R40" i="7"/>
  <c r="S40" i="7"/>
  <c r="T40" i="7"/>
  <c r="U40" i="7"/>
  <c r="V40" i="7"/>
  <c r="W40" i="7"/>
  <c r="X40" i="7"/>
  <c r="Y40" i="7"/>
  <c r="Z40" i="7"/>
  <c r="AA40" i="7"/>
  <c r="AB40" i="7"/>
  <c r="AC40" i="7"/>
  <c r="AD40" i="7"/>
  <c r="AE40" i="7"/>
  <c r="Q41" i="7"/>
  <c r="R41" i="7"/>
  <c r="S41" i="7"/>
  <c r="T41" i="7"/>
  <c r="U41" i="7"/>
  <c r="V41" i="7"/>
  <c r="W41" i="7"/>
  <c r="X41" i="7"/>
  <c r="Y41" i="7"/>
  <c r="Z41" i="7"/>
  <c r="AA41" i="7"/>
  <c r="AB41" i="7"/>
  <c r="AC41" i="7"/>
  <c r="AD41" i="7"/>
  <c r="AE41" i="7"/>
  <c r="Q42" i="7"/>
  <c r="R42" i="7"/>
  <c r="S42" i="7"/>
  <c r="T42" i="7"/>
  <c r="U42" i="7"/>
  <c r="V42" i="7"/>
  <c r="W42" i="7"/>
  <c r="X42" i="7"/>
  <c r="Y42" i="7"/>
  <c r="Z42" i="7"/>
  <c r="AA42" i="7"/>
  <c r="AB42" i="7"/>
  <c r="AC42" i="7"/>
  <c r="AD42" i="7"/>
  <c r="AE42" i="7"/>
  <c r="Q43" i="7"/>
  <c r="R43" i="7"/>
  <c r="S43" i="7"/>
  <c r="T43" i="7"/>
  <c r="U43" i="7"/>
  <c r="V43" i="7"/>
  <c r="W43" i="7"/>
  <c r="X43" i="7"/>
  <c r="Y43" i="7"/>
  <c r="Z43" i="7"/>
  <c r="AA43" i="7"/>
  <c r="AB43" i="7"/>
  <c r="AC43" i="7"/>
  <c r="AD43" i="7"/>
  <c r="AE43" i="7"/>
  <c r="Q44" i="7"/>
  <c r="R44" i="7"/>
  <c r="S44" i="7"/>
  <c r="T44" i="7"/>
  <c r="U44" i="7"/>
  <c r="V44" i="7"/>
  <c r="W44" i="7"/>
  <c r="X44" i="7"/>
  <c r="Y44" i="7"/>
  <c r="Z44" i="7"/>
  <c r="AA44" i="7"/>
  <c r="AB44" i="7"/>
  <c r="AC44" i="7"/>
  <c r="AD44" i="7"/>
  <c r="AE44" i="7"/>
  <c r="Q45" i="7"/>
  <c r="R45" i="7"/>
  <c r="S45" i="7"/>
  <c r="T45" i="7"/>
  <c r="U45" i="7"/>
  <c r="V45" i="7"/>
  <c r="W45" i="7"/>
  <c r="X45" i="7"/>
  <c r="Y45" i="7"/>
  <c r="Z45" i="7"/>
  <c r="AA45" i="7"/>
  <c r="AB45" i="7"/>
  <c r="AC45" i="7"/>
  <c r="AD45" i="7"/>
  <c r="AE45" i="7"/>
  <c r="Q46" i="7"/>
  <c r="R46" i="7"/>
  <c r="S46" i="7"/>
  <c r="T46" i="7"/>
  <c r="U46" i="7"/>
  <c r="V46" i="7"/>
  <c r="W46" i="7"/>
  <c r="X46" i="7"/>
  <c r="Y46" i="7"/>
  <c r="Z46" i="7"/>
  <c r="AA46" i="7"/>
  <c r="AB46" i="7"/>
  <c r="AC46" i="7"/>
  <c r="AD46" i="7"/>
  <c r="AE46" i="7"/>
  <c r="Q47" i="7"/>
  <c r="R47" i="7"/>
  <c r="S47" i="7"/>
  <c r="T47" i="7"/>
  <c r="U47" i="7"/>
  <c r="V47" i="7"/>
  <c r="W47" i="7"/>
  <c r="X47" i="7"/>
  <c r="Y47" i="7"/>
  <c r="Z47" i="7"/>
  <c r="AA47" i="7"/>
  <c r="AB47" i="7"/>
  <c r="AC47" i="7"/>
  <c r="AD47" i="7"/>
  <c r="AE47" i="7"/>
  <c r="Q48" i="7"/>
  <c r="R48" i="7"/>
  <c r="S48" i="7"/>
  <c r="T48" i="7"/>
  <c r="U48" i="7"/>
  <c r="V48" i="7"/>
  <c r="W48" i="7"/>
  <c r="X48" i="7"/>
  <c r="Y48" i="7"/>
  <c r="Z48" i="7"/>
  <c r="AA48" i="7"/>
  <c r="AB48" i="7"/>
  <c r="AC48" i="7"/>
  <c r="AD48" i="7"/>
  <c r="AE48" i="7"/>
  <c r="Q49" i="7"/>
  <c r="R49" i="7"/>
  <c r="S49" i="7"/>
  <c r="T49" i="7"/>
  <c r="U49" i="7"/>
  <c r="V49" i="7"/>
  <c r="W49" i="7"/>
  <c r="X49" i="7"/>
  <c r="Y49" i="7"/>
  <c r="Z49" i="7"/>
  <c r="AA49" i="7"/>
  <c r="AB49" i="7"/>
  <c r="AC49" i="7"/>
  <c r="AD49" i="7"/>
  <c r="AE49" i="7"/>
  <c r="Q50" i="7"/>
  <c r="R50" i="7"/>
  <c r="S50" i="7"/>
  <c r="T50" i="7"/>
  <c r="U50" i="7"/>
  <c r="V50" i="7"/>
  <c r="W50" i="7"/>
  <c r="X50" i="7"/>
  <c r="Y50" i="7"/>
  <c r="Z50" i="7"/>
  <c r="AA50" i="7"/>
  <c r="AB50" i="7"/>
  <c r="AC50" i="7"/>
  <c r="AD50" i="7"/>
  <c r="AE50" i="7"/>
  <c r="Q51" i="7"/>
  <c r="R51" i="7"/>
  <c r="S51" i="7"/>
  <c r="T51" i="7"/>
  <c r="U51" i="7"/>
  <c r="V51" i="7"/>
  <c r="W51" i="7"/>
  <c r="X51" i="7"/>
  <c r="Y51" i="7"/>
  <c r="Z51" i="7"/>
  <c r="AA51" i="7"/>
  <c r="AB51" i="7"/>
  <c r="AC51" i="7"/>
  <c r="AD51" i="7"/>
  <c r="AE51" i="7"/>
  <c r="Q52" i="7"/>
  <c r="R52" i="7"/>
  <c r="S52" i="7"/>
  <c r="T52" i="7"/>
  <c r="U52" i="7"/>
  <c r="V52" i="7"/>
  <c r="W52" i="7"/>
  <c r="X52" i="7"/>
  <c r="Y52" i="7"/>
  <c r="Z52" i="7"/>
  <c r="AA52" i="7"/>
  <c r="AB52" i="7"/>
  <c r="AC52" i="7"/>
  <c r="AD52" i="7"/>
  <c r="AE52" i="7"/>
  <c r="Q53" i="7"/>
  <c r="R53" i="7"/>
  <c r="S53" i="7"/>
  <c r="T53" i="7"/>
  <c r="U53" i="7"/>
  <c r="V53" i="7"/>
  <c r="W53" i="7"/>
  <c r="X53" i="7"/>
  <c r="Y53" i="7"/>
  <c r="Z53" i="7"/>
  <c r="AA53" i="7"/>
  <c r="AB53" i="7"/>
  <c r="AC53" i="7"/>
  <c r="AD53" i="7"/>
  <c r="AE53" i="7"/>
  <c r="Q54" i="7"/>
  <c r="R54" i="7"/>
  <c r="S54" i="7"/>
  <c r="T54" i="7"/>
  <c r="U54" i="7"/>
  <c r="V54" i="7"/>
  <c r="W54" i="7"/>
  <c r="X54" i="7"/>
  <c r="Y54" i="7"/>
  <c r="Z54" i="7"/>
  <c r="AA54" i="7"/>
  <c r="AB54" i="7"/>
  <c r="AC54" i="7"/>
  <c r="AD54" i="7"/>
  <c r="AE54" i="7"/>
  <c r="Q55" i="7"/>
  <c r="R55" i="7"/>
  <c r="S55" i="7"/>
  <c r="T55" i="7"/>
  <c r="U55" i="7"/>
  <c r="V55" i="7"/>
  <c r="W55" i="7"/>
  <c r="X55" i="7"/>
  <c r="Y55" i="7"/>
  <c r="Z55" i="7"/>
  <c r="AA55" i="7"/>
  <c r="AB55" i="7"/>
  <c r="AC55" i="7"/>
  <c r="AD55" i="7"/>
  <c r="AE55" i="7"/>
  <c r="Q56" i="7"/>
  <c r="R56" i="7"/>
  <c r="S56" i="7"/>
  <c r="T56" i="7"/>
  <c r="U56" i="7"/>
  <c r="V56" i="7"/>
  <c r="W56" i="7"/>
  <c r="X56" i="7"/>
  <c r="Y56" i="7"/>
  <c r="Z56" i="7"/>
  <c r="AA56" i="7"/>
  <c r="AB56" i="7"/>
  <c r="AC56" i="7"/>
  <c r="AD56" i="7"/>
  <c r="AE56" i="7"/>
  <c r="Q57" i="7"/>
  <c r="R57" i="7"/>
  <c r="S57" i="7"/>
  <c r="T57" i="7"/>
  <c r="U57" i="7"/>
  <c r="V57" i="7"/>
  <c r="W57" i="7"/>
  <c r="X57" i="7"/>
  <c r="Y57" i="7"/>
  <c r="Z57" i="7"/>
  <c r="AA57" i="7"/>
  <c r="AB57" i="7"/>
  <c r="AC57" i="7"/>
  <c r="AD57" i="7"/>
  <c r="AE57" i="7"/>
  <c r="Q58" i="7"/>
  <c r="R58" i="7"/>
  <c r="S58" i="7"/>
  <c r="T58" i="7"/>
  <c r="U58" i="7"/>
  <c r="V58" i="7"/>
  <c r="W58" i="7"/>
  <c r="X58" i="7"/>
  <c r="Y58" i="7"/>
  <c r="Z58" i="7"/>
  <c r="AA58" i="7"/>
  <c r="AB58" i="7"/>
  <c r="AC58" i="7"/>
  <c r="AD58" i="7"/>
  <c r="AE58" i="7"/>
  <c r="Q59" i="7"/>
  <c r="R59" i="7"/>
  <c r="S59" i="7"/>
  <c r="T59" i="7"/>
  <c r="U59" i="7"/>
  <c r="V59" i="7"/>
  <c r="W59" i="7"/>
  <c r="X59" i="7"/>
  <c r="Y59" i="7"/>
  <c r="Z59" i="7"/>
  <c r="AA59" i="7"/>
  <c r="AB59" i="7"/>
  <c r="AC59" i="7"/>
  <c r="AD59" i="7"/>
  <c r="AE59" i="7"/>
  <c r="Q60" i="7"/>
  <c r="R60" i="7"/>
  <c r="S60" i="7"/>
  <c r="T60" i="7"/>
  <c r="U60" i="7"/>
  <c r="V60" i="7"/>
  <c r="W60" i="7"/>
  <c r="X60" i="7"/>
  <c r="Y60" i="7"/>
  <c r="Z60" i="7"/>
  <c r="AA60" i="7"/>
  <c r="AB60" i="7"/>
  <c r="AC60" i="7"/>
  <c r="AD60" i="7"/>
  <c r="AE60" i="7"/>
  <c r="Q61" i="7"/>
  <c r="R61" i="7"/>
  <c r="S61" i="7"/>
  <c r="T61" i="7"/>
  <c r="U61" i="7"/>
  <c r="V61" i="7"/>
  <c r="W61" i="7"/>
  <c r="X61" i="7"/>
  <c r="Y61" i="7"/>
  <c r="Z61" i="7"/>
  <c r="AA61" i="7"/>
  <c r="AB61" i="7"/>
  <c r="AC61" i="7"/>
  <c r="AD61" i="7"/>
  <c r="AE61" i="7"/>
  <c r="Q62" i="7"/>
  <c r="R62" i="7"/>
  <c r="S62" i="7"/>
  <c r="T62" i="7"/>
  <c r="U62" i="7"/>
  <c r="V62" i="7"/>
  <c r="W62" i="7"/>
  <c r="X62" i="7"/>
  <c r="Y62" i="7"/>
  <c r="Z62" i="7"/>
  <c r="AA62" i="7"/>
  <c r="AB62" i="7"/>
  <c r="AC62" i="7"/>
  <c r="AD62" i="7"/>
  <c r="AE62" i="7"/>
  <c r="Q63" i="7"/>
  <c r="R63" i="7"/>
  <c r="S63" i="7"/>
  <c r="T63" i="7"/>
  <c r="U63" i="7"/>
  <c r="V63" i="7"/>
  <c r="W63" i="7"/>
  <c r="X63" i="7"/>
  <c r="Y63" i="7"/>
  <c r="Z63" i="7"/>
  <c r="AA63" i="7"/>
  <c r="AB63" i="7"/>
  <c r="AC63" i="7"/>
  <c r="AD63" i="7"/>
  <c r="AE63" i="7"/>
  <c r="Q64" i="7"/>
  <c r="R64" i="7"/>
  <c r="S64" i="7"/>
  <c r="T64" i="7"/>
  <c r="U64" i="7"/>
  <c r="V64" i="7"/>
  <c r="W64" i="7"/>
  <c r="X64" i="7"/>
  <c r="Y64" i="7"/>
  <c r="Z64" i="7"/>
  <c r="AA64" i="7"/>
  <c r="AB64" i="7"/>
  <c r="AC64" i="7"/>
  <c r="AD64" i="7"/>
  <c r="AE64" i="7"/>
  <c r="Q65" i="7"/>
  <c r="R65" i="7"/>
  <c r="S65" i="7"/>
  <c r="T65" i="7"/>
  <c r="U65" i="7"/>
  <c r="V65" i="7"/>
  <c r="W65" i="7"/>
  <c r="X65" i="7"/>
  <c r="Y65" i="7"/>
  <c r="Z65" i="7"/>
  <c r="AA65" i="7"/>
  <c r="AB65" i="7"/>
  <c r="AC65" i="7"/>
  <c r="AD65" i="7"/>
  <c r="AE65" i="7"/>
  <c r="Q66" i="7"/>
  <c r="R66" i="7"/>
  <c r="S66" i="7"/>
  <c r="T66" i="7"/>
  <c r="U66" i="7"/>
  <c r="V66" i="7"/>
  <c r="W66" i="7"/>
  <c r="X66" i="7"/>
  <c r="Y66" i="7"/>
  <c r="Z66" i="7"/>
  <c r="AA66" i="7"/>
  <c r="AB66" i="7"/>
  <c r="AC66" i="7"/>
  <c r="AD66" i="7"/>
  <c r="AE66" i="7"/>
  <c r="Q67" i="7"/>
  <c r="R67" i="7"/>
  <c r="S67" i="7"/>
  <c r="T67" i="7"/>
  <c r="U67" i="7"/>
  <c r="V67" i="7"/>
  <c r="W67" i="7"/>
  <c r="X67" i="7"/>
  <c r="Y67" i="7"/>
  <c r="Z67" i="7"/>
  <c r="AA67" i="7"/>
  <c r="AB67" i="7"/>
  <c r="AC67" i="7"/>
  <c r="AD67" i="7"/>
  <c r="AE67" i="7"/>
  <c r="Q68" i="7"/>
  <c r="R68" i="7"/>
  <c r="S68" i="7"/>
  <c r="T68" i="7"/>
  <c r="U68" i="7"/>
  <c r="V68" i="7"/>
  <c r="W68" i="7"/>
  <c r="X68" i="7"/>
  <c r="Y68" i="7"/>
  <c r="Z68" i="7"/>
  <c r="AA68" i="7"/>
  <c r="AB68" i="7"/>
  <c r="AC68" i="7"/>
  <c r="AD68" i="7"/>
  <c r="AE68" i="7"/>
  <c r="Q69" i="7"/>
  <c r="R69" i="7"/>
  <c r="S69" i="7"/>
  <c r="T69" i="7"/>
  <c r="U69" i="7"/>
  <c r="V69" i="7"/>
  <c r="W69" i="7"/>
  <c r="X69" i="7"/>
  <c r="Y69" i="7"/>
  <c r="Z69" i="7"/>
  <c r="AA69" i="7"/>
  <c r="AB69" i="7"/>
  <c r="AC69" i="7"/>
  <c r="AD69" i="7"/>
  <c r="AE69" i="7"/>
  <c r="Q70" i="7"/>
  <c r="R70" i="7"/>
  <c r="S70" i="7"/>
  <c r="T70" i="7"/>
  <c r="U70" i="7"/>
  <c r="V70" i="7"/>
  <c r="W70" i="7"/>
  <c r="X70" i="7"/>
  <c r="Y70" i="7"/>
  <c r="Z70" i="7"/>
  <c r="AA70" i="7"/>
  <c r="AB70" i="7"/>
  <c r="AC70" i="7"/>
  <c r="AD70" i="7"/>
  <c r="AE70" i="7"/>
  <c r="Q71" i="7"/>
  <c r="R71" i="7"/>
  <c r="S71" i="7"/>
  <c r="T71" i="7"/>
  <c r="U71" i="7"/>
  <c r="V71" i="7"/>
  <c r="W71" i="7"/>
  <c r="X71" i="7"/>
  <c r="Y71" i="7"/>
  <c r="Z71" i="7"/>
  <c r="AA71" i="7"/>
  <c r="AB71" i="7"/>
  <c r="AC71" i="7"/>
  <c r="AD71" i="7"/>
  <c r="AE71" i="7"/>
  <c r="Q72" i="7"/>
  <c r="R72" i="7"/>
  <c r="S72" i="7"/>
  <c r="T72" i="7"/>
  <c r="U72" i="7"/>
  <c r="V72" i="7"/>
  <c r="W72" i="7"/>
  <c r="X72" i="7"/>
  <c r="Y72" i="7"/>
  <c r="Z72" i="7"/>
  <c r="AA72" i="7"/>
  <c r="AB72" i="7"/>
  <c r="AC72" i="7"/>
  <c r="AD72" i="7"/>
  <c r="AE72" i="7"/>
  <c r="Q73" i="7"/>
  <c r="R73" i="7"/>
  <c r="S73" i="7"/>
  <c r="T73" i="7"/>
  <c r="U73" i="7"/>
  <c r="V73" i="7"/>
  <c r="W73" i="7"/>
  <c r="X73" i="7"/>
  <c r="Y73" i="7"/>
  <c r="Z73" i="7"/>
  <c r="AA73" i="7"/>
  <c r="AB73" i="7"/>
  <c r="AC73" i="7"/>
  <c r="AD73" i="7"/>
  <c r="AE73" i="7"/>
  <c r="Q74" i="7"/>
  <c r="R74" i="7"/>
  <c r="S74" i="7"/>
  <c r="T74" i="7"/>
  <c r="U74" i="7"/>
  <c r="V74" i="7"/>
  <c r="W74" i="7"/>
  <c r="X74" i="7"/>
  <c r="Y74" i="7"/>
  <c r="Z74" i="7"/>
  <c r="AA74" i="7"/>
  <c r="AB74" i="7"/>
  <c r="AC74" i="7"/>
  <c r="AD74" i="7"/>
  <c r="AE74" i="7"/>
  <c r="Q75" i="7"/>
  <c r="R75" i="7"/>
  <c r="S75" i="7"/>
  <c r="T75" i="7"/>
  <c r="U75" i="7"/>
  <c r="V75" i="7"/>
  <c r="W75" i="7"/>
  <c r="X75" i="7"/>
  <c r="Y75" i="7"/>
  <c r="Z75" i="7"/>
  <c r="AA75" i="7"/>
  <c r="AB75" i="7"/>
  <c r="AC75" i="7"/>
  <c r="AD75" i="7"/>
  <c r="AE75" i="7"/>
  <c r="Q76" i="7"/>
  <c r="R76" i="7"/>
  <c r="S76" i="7"/>
  <c r="T76" i="7"/>
  <c r="U76" i="7"/>
  <c r="V76" i="7"/>
  <c r="W76" i="7"/>
  <c r="X76" i="7"/>
  <c r="Y76" i="7"/>
  <c r="Z76" i="7"/>
  <c r="AA76" i="7"/>
  <c r="AB76" i="7"/>
  <c r="AC76" i="7"/>
  <c r="AD76" i="7"/>
  <c r="AE76" i="7"/>
  <c r="Q77" i="7"/>
  <c r="R77" i="7"/>
  <c r="S77" i="7"/>
  <c r="T77" i="7"/>
  <c r="U77" i="7"/>
  <c r="V77" i="7"/>
  <c r="W77" i="7"/>
  <c r="X77" i="7"/>
  <c r="Y77" i="7"/>
  <c r="Z77" i="7"/>
  <c r="AA77" i="7"/>
  <c r="AB77" i="7"/>
  <c r="AC77" i="7"/>
  <c r="AD77" i="7"/>
  <c r="AE77" i="7"/>
  <c r="Q78" i="7"/>
  <c r="R78" i="7"/>
  <c r="S78" i="7"/>
  <c r="T78" i="7"/>
  <c r="U78" i="7"/>
  <c r="V78" i="7"/>
  <c r="W78" i="7"/>
  <c r="X78" i="7"/>
  <c r="Y78" i="7"/>
  <c r="Z78" i="7"/>
  <c r="AA78" i="7"/>
  <c r="AB78" i="7"/>
  <c r="AC78" i="7"/>
  <c r="AD78" i="7"/>
  <c r="AE78" i="7"/>
  <c r="Q79" i="7"/>
  <c r="R79" i="7"/>
  <c r="S79" i="7"/>
  <c r="T79" i="7"/>
  <c r="U79" i="7"/>
  <c r="V79" i="7"/>
  <c r="W79" i="7"/>
  <c r="X79" i="7"/>
  <c r="Y79" i="7"/>
  <c r="Z79" i="7"/>
  <c r="AA79" i="7"/>
  <c r="AB79" i="7"/>
  <c r="AC79" i="7"/>
  <c r="AD79" i="7"/>
  <c r="AE79" i="7"/>
  <c r="Q80" i="7"/>
  <c r="R80" i="7"/>
  <c r="S80" i="7"/>
  <c r="T80" i="7"/>
  <c r="U80" i="7"/>
  <c r="V80" i="7"/>
  <c r="W80" i="7"/>
  <c r="X80" i="7"/>
  <c r="Y80" i="7"/>
  <c r="Z80" i="7"/>
  <c r="AA80" i="7"/>
  <c r="AB80" i="7"/>
  <c r="AC80" i="7"/>
  <c r="AD80" i="7"/>
  <c r="AE80" i="7"/>
  <c r="Q81" i="7"/>
  <c r="R81" i="7"/>
  <c r="S81" i="7"/>
  <c r="T81" i="7"/>
  <c r="U81" i="7"/>
  <c r="V81" i="7"/>
  <c r="W81" i="7"/>
  <c r="X81" i="7"/>
  <c r="Y81" i="7"/>
  <c r="Z81" i="7"/>
  <c r="AA81" i="7"/>
  <c r="AB81" i="7"/>
  <c r="AC81" i="7"/>
  <c r="AD81" i="7"/>
  <c r="AE81" i="7"/>
  <c r="Q82" i="7"/>
  <c r="R82" i="7"/>
  <c r="S82" i="7"/>
  <c r="T82" i="7"/>
  <c r="U82" i="7"/>
  <c r="V82" i="7"/>
  <c r="W82" i="7"/>
  <c r="X82" i="7"/>
  <c r="Y82" i="7"/>
  <c r="Z82" i="7"/>
  <c r="AA82" i="7"/>
  <c r="AB82" i="7"/>
  <c r="AC82" i="7"/>
  <c r="AD82" i="7"/>
  <c r="AE82" i="7"/>
  <c r="Q83" i="7"/>
  <c r="R83" i="7"/>
  <c r="S83" i="7"/>
  <c r="T83" i="7"/>
  <c r="U83" i="7"/>
  <c r="V83" i="7"/>
  <c r="W83" i="7"/>
  <c r="X83" i="7"/>
  <c r="Y83" i="7"/>
  <c r="Z83" i="7"/>
  <c r="AA83" i="7"/>
  <c r="AB83" i="7"/>
  <c r="AC83" i="7"/>
  <c r="AD83" i="7"/>
  <c r="AE83" i="7"/>
  <c r="Q84" i="7"/>
  <c r="R84" i="7"/>
  <c r="S84" i="7"/>
  <c r="T84" i="7"/>
  <c r="U84" i="7"/>
  <c r="V84" i="7"/>
  <c r="W84" i="7"/>
  <c r="X84" i="7"/>
  <c r="Y84" i="7"/>
  <c r="Z84" i="7"/>
  <c r="AA84" i="7"/>
  <c r="AB84" i="7"/>
  <c r="AC84" i="7"/>
  <c r="AD84" i="7"/>
  <c r="AE84" i="7"/>
  <c r="Q85" i="7"/>
  <c r="R85" i="7"/>
  <c r="S85" i="7"/>
  <c r="T85" i="7"/>
  <c r="U85" i="7"/>
  <c r="V85" i="7"/>
  <c r="W85" i="7"/>
  <c r="X85" i="7"/>
  <c r="Y85" i="7"/>
  <c r="Z85" i="7"/>
  <c r="AA85" i="7"/>
  <c r="AB85" i="7"/>
  <c r="AC85" i="7"/>
  <c r="AD85" i="7"/>
  <c r="AE85" i="7"/>
  <c r="Q86" i="7"/>
  <c r="R86" i="7"/>
  <c r="S86" i="7"/>
  <c r="T86" i="7"/>
  <c r="U86" i="7"/>
  <c r="V86" i="7"/>
  <c r="W86" i="7"/>
  <c r="X86" i="7"/>
  <c r="Y86" i="7"/>
  <c r="Z86" i="7"/>
  <c r="AA86" i="7"/>
  <c r="AB86" i="7"/>
  <c r="AC86" i="7"/>
  <c r="AD86" i="7"/>
  <c r="AE86" i="7"/>
  <c r="Q87" i="7"/>
  <c r="R87" i="7"/>
  <c r="S87" i="7"/>
  <c r="T87" i="7"/>
  <c r="U87" i="7"/>
  <c r="V87" i="7"/>
  <c r="W87" i="7"/>
  <c r="X87" i="7"/>
  <c r="Y87" i="7"/>
  <c r="Z87" i="7"/>
  <c r="AA87" i="7"/>
  <c r="AB87" i="7"/>
  <c r="AC87" i="7"/>
  <c r="AD87" i="7"/>
  <c r="AE87" i="7"/>
  <c r="Q88" i="7"/>
  <c r="R88" i="7"/>
  <c r="S88" i="7"/>
  <c r="T88" i="7"/>
  <c r="U88" i="7"/>
  <c r="V88" i="7"/>
  <c r="W88" i="7"/>
  <c r="X88" i="7"/>
  <c r="Y88" i="7"/>
  <c r="Z88" i="7"/>
  <c r="AA88" i="7"/>
  <c r="AB88" i="7"/>
  <c r="AC88" i="7"/>
  <c r="AD88" i="7"/>
  <c r="AE88" i="7"/>
  <c r="Q89" i="7"/>
  <c r="R89" i="7"/>
  <c r="S89" i="7"/>
  <c r="T89" i="7"/>
  <c r="U89" i="7"/>
  <c r="V89" i="7"/>
  <c r="W89" i="7"/>
  <c r="X89" i="7"/>
  <c r="Y89" i="7"/>
  <c r="Z89" i="7"/>
  <c r="AA89" i="7"/>
  <c r="AB89" i="7"/>
  <c r="AC89" i="7"/>
  <c r="AD89" i="7"/>
  <c r="AE89" i="7"/>
  <c r="Q90" i="7"/>
  <c r="R90" i="7"/>
  <c r="S90" i="7"/>
  <c r="T90" i="7"/>
  <c r="U90" i="7"/>
  <c r="V90" i="7"/>
  <c r="W90" i="7"/>
  <c r="X90" i="7"/>
  <c r="Y90" i="7"/>
  <c r="Z90" i="7"/>
  <c r="AA90" i="7"/>
  <c r="AB90" i="7"/>
  <c r="AC90" i="7"/>
  <c r="AD90" i="7"/>
  <c r="AE90" i="7"/>
  <c r="Q91" i="7"/>
  <c r="R91" i="7"/>
  <c r="S91" i="7"/>
  <c r="T91" i="7"/>
  <c r="U91" i="7"/>
  <c r="V91" i="7"/>
  <c r="W91" i="7"/>
  <c r="X91" i="7"/>
  <c r="Y91" i="7"/>
  <c r="Z91" i="7"/>
  <c r="AA91" i="7"/>
  <c r="AB91" i="7"/>
  <c r="AC91" i="7"/>
  <c r="AD91" i="7"/>
  <c r="AE91" i="7"/>
  <c r="Q92" i="7"/>
  <c r="R92" i="7"/>
  <c r="S92" i="7"/>
  <c r="T92" i="7"/>
  <c r="U92" i="7"/>
  <c r="V92" i="7"/>
  <c r="W92" i="7"/>
  <c r="X92" i="7"/>
  <c r="Y92" i="7"/>
  <c r="Z92" i="7"/>
  <c r="AA92" i="7"/>
  <c r="AB92" i="7"/>
  <c r="AC92" i="7"/>
  <c r="AD92" i="7"/>
  <c r="AE92" i="7"/>
  <c r="Q93" i="7"/>
  <c r="R93" i="7"/>
  <c r="S93" i="7"/>
  <c r="T93" i="7"/>
  <c r="U93" i="7"/>
  <c r="V93" i="7"/>
  <c r="W93" i="7"/>
  <c r="X93" i="7"/>
  <c r="Y93" i="7"/>
  <c r="Z93" i="7"/>
  <c r="AA93" i="7"/>
  <c r="AB93" i="7"/>
  <c r="AC93" i="7"/>
  <c r="AD93" i="7"/>
  <c r="AE93" i="7"/>
  <c r="Q94" i="7"/>
  <c r="R94" i="7"/>
  <c r="S94" i="7"/>
  <c r="T94" i="7"/>
  <c r="U94" i="7"/>
  <c r="V94" i="7"/>
  <c r="W94" i="7"/>
  <c r="X94" i="7"/>
  <c r="Y94" i="7"/>
  <c r="Z94" i="7"/>
  <c r="AA94" i="7"/>
  <c r="AB94" i="7"/>
  <c r="AC94" i="7"/>
  <c r="AD94" i="7"/>
  <c r="AE94" i="7"/>
  <c r="Q95" i="7"/>
  <c r="R95" i="7"/>
  <c r="S95" i="7"/>
  <c r="T95" i="7"/>
  <c r="U95" i="7"/>
  <c r="V95" i="7"/>
  <c r="W95" i="7"/>
  <c r="X95" i="7"/>
  <c r="Y95" i="7"/>
  <c r="Z95" i="7"/>
  <c r="AA95" i="7"/>
  <c r="AB95" i="7"/>
  <c r="AC95" i="7"/>
  <c r="AD95" i="7"/>
  <c r="AE95" i="7"/>
  <c r="Q96" i="7"/>
  <c r="R96" i="7"/>
  <c r="S96" i="7"/>
  <c r="T96" i="7"/>
  <c r="U96" i="7"/>
  <c r="V96" i="7"/>
  <c r="W96" i="7"/>
  <c r="X96" i="7"/>
  <c r="Y96" i="7"/>
  <c r="Z96" i="7"/>
  <c r="AA96" i="7"/>
  <c r="AB96" i="7"/>
  <c r="AC96" i="7"/>
  <c r="AD96" i="7"/>
  <c r="AE96" i="7"/>
  <c r="Q97" i="7"/>
  <c r="R97" i="7"/>
  <c r="S97" i="7"/>
  <c r="T97" i="7"/>
  <c r="U97" i="7"/>
  <c r="V97" i="7"/>
  <c r="W97" i="7"/>
  <c r="X97" i="7"/>
  <c r="Y97" i="7"/>
  <c r="Z97" i="7"/>
  <c r="AA97" i="7"/>
  <c r="AB97" i="7"/>
  <c r="AC97" i="7"/>
  <c r="AD97" i="7"/>
  <c r="AE97" i="7"/>
  <c r="Q98" i="7"/>
  <c r="R98" i="7"/>
  <c r="S98" i="7"/>
  <c r="T98" i="7"/>
  <c r="U98" i="7"/>
  <c r="V98" i="7"/>
  <c r="W98" i="7"/>
  <c r="X98" i="7"/>
  <c r="Y98" i="7"/>
  <c r="Z98" i="7"/>
  <c r="AA98" i="7"/>
  <c r="AB98" i="7"/>
  <c r="AC98" i="7"/>
  <c r="AD98" i="7"/>
  <c r="AE98" i="7"/>
  <c r="Q99" i="7"/>
  <c r="R99" i="7"/>
  <c r="S99" i="7"/>
  <c r="T99" i="7"/>
  <c r="U99" i="7"/>
  <c r="V99" i="7"/>
  <c r="W99" i="7"/>
  <c r="X99" i="7"/>
  <c r="Y99" i="7"/>
  <c r="Z99" i="7"/>
  <c r="AA99" i="7"/>
  <c r="AB99" i="7"/>
  <c r="AC99" i="7"/>
  <c r="AD99" i="7"/>
  <c r="AE99" i="7"/>
  <c r="Q100" i="7"/>
  <c r="R100" i="7"/>
  <c r="S100" i="7"/>
  <c r="T100" i="7"/>
  <c r="U100" i="7"/>
  <c r="V100" i="7"/>
  <c r="W100" i="7"/>
  <c r="X100" i="7"/>
  <c r="Y100" i="7"/>
  <c r="Z100" i="7"/>
  <c r="AA100" i="7"/>
  <c r="AB100" i="7"/>
  <c r="AC100" i="7"/>
  <c r="AD100" i="7"/>
  <c r="AE100" i="7"/>
  <c r="Q101" i="7"/>
  <c r="R101" i="7"/>
  <c r="S101" i="7"/>
  <c r="T101" i="7"/>
  <c r="U101" i="7"/>
  <c r="V101" i="7"/>
  <c r="W101" i="7"/>
  <c r="X101" i="7"/>
  <c r="Y101" i="7"/>
  <c r="Z101" i="7"/>
  <c r="AA101" i="7"/>
  <c r="AB101" i="7"/>
  <c r="AC101" i="7"/>
  <c r="AD101" i="7"/>
  <c r="AE101" i="7"/>
  <c r="Q102" i="7"/>
  <c r="R102" i="7"/>
  <c r="S102" i="7"/>
  <c r="T102" i="7"/>
  <c r="U102" i="7"/>
  <c r="V102" i="7"/>
  <c r="W102" i="7"/>
  <c r="X102" i="7"/>
  <c r="Y102" i="7"/>
  <c r="Z102" i="7"/>
  <c r="AA102" i="7"/>
  <c r="AB102" i="7"/>
  <c r="AC102" i="7"/>
  <c r="AD102" i="7"/>
  <c r="AE102" i="7"/>
  <c r="Q103" i="7"/>
  <c r="R103" i="7"/>
  <c r="S103" i="7"/>
  <c r="T103" i="7"/>
  <c r="U103" i="7"/>
  <c r="V103" i="7"/>
  <c r="W103" i="7"/>
  <c r="X103" i="7"/>
  <c r="Y103" i="7"/>
  <c r="Z103" i="7"/>
  <c r="AA103" i="7"/>
  <c r="AB103" i="7"/>
  <c r="AC103" i="7"/>
  <c r="AD103" i="7"/>
  <c r="AE103" i="7"/>
  <c r="Q104" i="7"/>
  <c r="R104" i="7"/>
  <c r="S104" i="7"/>
  <c r="T104" i="7"/>
  <c r="U104" i="7"/>
  <c r="V104" i="7"/>
  <c r="W104" i="7"/>
  <c r="X104" i="7"/>
  <c r="Y104" i="7"/>
  <c r="Z104" i="7"/>
  <c r="AA104" i="7"/>
  <c r="AB104" i="7"/>
  <c r="AC104" i="7"/>
  <c r="AD104" i="7"/>
  <c r="AE104" i="7"/>
  <c r="Q105" i="7"/>
  <c r="R105" i="7"/>
  <c r="S105" i="7"/>
  <c r="T105" i="7"/>
  <c r="U105" i="7"/>
  <c r="V105" i="7"/>
  <c r="W105" i="7"/>
  <c r="X105" i="7"/>
  <c r="Y105" i="7"/>
  <c r="Z105" i="7"/>
  <c r="AA105" i="7"/>
  <c r="AB105" i="7"/>
  <c r="AC105" i="7"/>
  <c r="AD105" i="7"/>
  <c r="AE105" i="7"/>
  <c r="Q106" i="7"/>
  <c r="R106" i="7"/>
  <c r="S106" i="7"/>
  <c r="T106" i="7"/>
  <c r="U106" i="7"/>
  <c r="V106" i="7"/>
  <c r="W106" i="7"/>
  <c r="X106" i="7"/>
  <c r="Y106" i="7"/>
  <c r="Z106" i="7"/>
  <c r="AA106" i="7"/>
  <c r="AB106" i="7"/>
  <c r="AC106" i="7"/>
  <c r="AD106" i="7"/>
  <c r="AE106" i="7"/>
  <c r="Q107" i="7"/>
  <c r="R107" i="7"/>
  <c r="S107" i="7"/>
  <c r="T107" i="7"/>
  <c r="U107" i="7"/>
  <c r="V107" i="7"/>
  <c r="W107" i="7"/>
  <c r="X107" i="7"/>
  <c r="Y107" i="7"/>
  <c r="Z107" i="7"/>
  <c r="AA107" i="7"/>
  <c r="AB107" i="7"/>
  <c r="AC107" i="7"/>
  <c r="AD107" i="7"/>
  <c r="AE107" i="7"/>
  <c r="Q108" i="7"/>
  <c r="R108" i="7"/>
  <c r="S108" i="7"/>
  <c r="T108" i="7"/>
  <c r="U108" i="7"/>
  <c r="V108" i="7"/>
  <c r="W108" i="7"/>
  <c r="X108" i="7"/>
  <c r="Y108" i="7"/>
  <c r="Z108" i="7"/>
  <c r="AA108" i="7"/>
  <c r="AB108" i="7"/>
  <c r="AC108" i="7"/>
  <c r="AD108" i="7"/>
  <c r="AE108" i="7"/>
  <c r="Q109" i="7"/>
  <c r="R109" i="7"/>
  <c r="S109" i="7"/>
  <c r="T109" i="7"/>
  <c r="U109" i="7"/>
  <c r="V109" i="7"/>
  <c r="W109" i="7"/>
  <c r="X109" i="7"/>
  <c r="Y109" i="7"/>
  <c r="Z109" i="7"/>
  <c r="AA109" i="7"/>
  <c r="AB109" i="7"/>
  <c r="AC109" i="7"/>
  <c r="AD109" i="7"/>
  <c r="AE109" i="7"/>
  <c r="Q110" i="7"/>
  <c r="R110" i="7"/>
  <c r="S110" i="7"/>
  <c r="T110" i="7"/>
  <c r="U110" i="7"/>
  <c r="V110" i="7"/>
  <c r="W110" i="7"/>
  <c r="X110" i="7"/>
  <c r="Y110" i="7"/>
  <c r="Z110" i="7"/>
  <c r="AA110" i="7"/>
  <c r="AB110" i="7"/>
  <c r="AC110" i="7"/>
  <c r="AD110" i="7"/>
  <c r="AE110" i="7"/>
  <c r="Q111" i="7"/>
  <c r="R111" i="7"/>
  <c r="S111" i="7"/>
  <c r="T111" i="7"/>
  <c r="U111" i="7"/>
  <c r="V111" i="7"/>
  <c r="W111" i="7"/>
  <c r="X111" i="7"/>
  <c r="Y111" i="7"/>
  <c r="Z111" i="7"/>
  <c r="AA111" i="7"/>
  <c r="AB111" i="7"/>
  <c r="AC111" i="7"/>
  <c r="AD111" i="7"/>
  <c r="AE111" i="7"/>
  <c r="Q112" i="7"/>
  <c r="R112" i="7"/>
  <c r="S112" i="7"/>
  <c r="T112" i="7"/>
  <c r="U112" i="7"/>
  <c r="V112" i="7"/>
  <c r="W112" i="7"/>
  <c r="X112" i="7"/>
  <c r="Y112" i="7"/>
  <c r="Z112" i="7"/>
  <c r="AA112" i="7"/>
  <c r="AB112" i="7"/>
  <c r="AC112" i="7"/>
  <c r="AD112" i="7"/>
  <c r="AE112" i="7"/>
  <c r="Q113" i="7"/>
  <c r="R113" i="7"/>
  <c r="S113" i="7"/>
  <c r="T113" i="7"/>
  <c r="U113" i="7"/>
  <c r="V113" i="7"/>
  <c r="W113" i="7"/>
  <c r="X113" i="7"/>
  <c r="Y113" i="7"/>
  <c r="Z113" i="7"/>
  <c r="AA113" i="7"/>
  <c r="AB113" i="7"/>
  <c r="AC113" i="7"/>
  <c r="AD113" i="7"/>
  <c r="AE113" i="7"/>
  <c r="Q114" i="7"/>
  <c r="R114" i="7"/>
  <c r="S114" i="7"/>
  <c r="T114" i="7"/>
  <c r="U114" i="7"/>
  <c r="V114" i="7"/>
  <c r="W114" i="7"/>
  <c r="X114" i="7"/>
  <c r="Y114" i="7"/>
  <c r="Z114" i="7"/>
  <c r="AA114" i="7"/>
  <c r="AB114" i="7"/>
  <c r="AC114" i="7"/>
  <c r="AD114" i="7"/>
  <c r="AE114" i="7"/>
  <c r="Q115" i="7"/>
  <c r="R115" i="7"/>
  <c r="S115" i="7"/>
  <c r="T115" i="7"/>
  <c r="U115" i="7"/>
  <c r="V115" i="7"/>
  <c r="W115" i="7"/>
  <c r="X115" i="7"/>
  <c r="Y115" i="7"/>
  <c r="Z115" i="7"/>
  <c r="AA115" i="7"/>
  <c r="AB115" i="7"/>
  <c r="AC115" i="7"/>
  <c r="AD115" i="7"/>
  <c r="AE115" i="7"/>
  <c r="Q116" i="7"/>
  <c r="R116" i="7"/>
  <c r="S116" i="7"/>
  <c r="T116" i="7"/>
  <c r="U116" i="7"/>
  <c r="V116" i="7"/>
  <c r="W116" i="7"/>
  <c r="X116" i="7"/>
  <c r="Y116" i="7"/>
  <c r="Z116" i="7"/>
  <c r="AA116" i="7"/>
  <c r="AB116" i="7"/>
  <c r="AC116" i="7"/>
  <c r="AD116" i="7"/>
  <c r="AE116" i="7"/>
  <c r="Q117" i="7"/>
  <c r="R117" i="7"/>
  <c r="S117" i="7"/>
  <c r="T117" i="7"/>
  <c r="U117" i="7"/>
  <c r="V117" i="7"/>
  <c r="W117" i="7"/>
  <c r="X117" i="7"/>
  <c r="Y117" i="7"/>
  <c r="Z117" i="7"/>
  <c r="AA117" i="7"/>
  <c r="AB117" i="7"/>
  <c r="AC117" i="7"/>
  <c r="AD117" i="7"/>
  <c r="AE117" i="7"/>
  <c r="Q118" i="7"/>
  <c r="R118" i="7"/>
  <c r="S118" i="7"/>
  <c r="T118" i="7"/>
  <c r="U118" i="7"/>
  <c r="V118" i="7"/>
  <c r="W118" i="7"/>
  <c r="X118" i="7"/>
  <c r="Y118" i="7"/>
  <c r="Z118" i="7"/>
  <c r="AA118" i="7"/>
  <c r="AB118" i="7"/>
  <c r="AC118" i="7"/>
  <c r="AD118" i="7"/>
  <c r="AE118" i="7"/>
  <c r="Q119" i="7"/>
  <c r="R119" i="7"/>
  <c r="S119" i="7"/>
  <c r="T119" i="7"/>
  <c r="U119" i="7"/>
  <c r="V119" i="7"/>
  <c r="W119" i="7"/>
  <c r="X119" i="7"/>
  <c r="Y119" i="7"/>
  <c r="Z119" i="7"/>
  <c r="AA119" i="7"/>
  <c r="AB119" i="7"/>
  <c r="AC119" i="7"/>
  <c r="AD119" i="7"/>
  <c r="AE119" i="7"/>
  <c r="Q120" i="7"/>
  <c r="R120" i="7"/>
  <c r="S120" i="7"/>
  <c r="T120" i="7"/>
  <c r="U120" i="7"/>
  <c r="V120" i="7"/>
  <c r="W120" i="7"/>
  <c r="X120" i="7"/>
  <c r="Y120" i="7"/>
  <c r="Z120" i="7"/>
  <c r="AA120" i="7"/>
  <c r="AB120" i="7"/>
  <c r="AC120" i="7"/>
  <c r="AD120" i="7"/>
  <c r="AE120" i="7"/>
  <c r="Q121" i="7"/>
  <c r="R121" i="7"/>
  <c r="S121" i="7"/>
  <c r="T121" i="7"/>
  <c r="U121" i="7"/>
  <c r="V121" i="7"/>
  <c r="W121" i="7"/>
  <c r="X121" i="7"/>
  <c r="Y121" i="7"/>
  <c r="Z121" i="7"/>
  <c r="AA121" i="7"/>
  <c r="AB121" i="7"/>
  <c r="AC121" i="7"/>
  <c r="AD121" i="7"/>
  <c r="AE121" i="7"/>
  <c r="Q122" i="7"/>
  <c r="R122" i="7"/>
  <c r="S122" i="7"/>
  <c r="T122" i="7"/>
  <c r="U122" i="7"/>
  <c r="V122" i="7"/>
  <c r="W122" i="7"/>
  <c r="X122" i="7"/>
  <c r="Y122" i="7"/>
  <c r="Z122" i="7"/>
  <c r="AA122" i="7"/>
  <c r="AB122" i="7"/>
  <c r="AC122" i="7"/>
  <c r="AD122" i="7"/>
  <c r="AE122" i="7"/>
  <c r="Q123" i="7"/>
  <c r="R123" i="7"/>
  <c r="S123" i="7"/>
  <c r="T123" i="7"/>
  <c r="U123" i="7"/>
  <c r="V123" i="7"/>
  <c r="W123" i="7"/>
  <c r="X123" i="7"/>
  <c r="Y123" i="7"/>
  <c r="Z123" i="7"/>
  <c r="AA123" i="7"/>
  <c r="AB123" i="7"/>
  <c r="AC123" i="7"/>
  <c r="AD123" i="7"/>
  <c r="AE123" i="7"/>
  <c r="Q124" i="7"/>
  <c r="R124" i="7"/>
  <c r="S124" i="7"/>
  <c r="T124" i="7"/>
  <c r="U124" i="7"/>
  <c r="V124" i="7"/>
  <c r="W124" i="7"/>
  <c r="X124" i="7"/>
  <c r="Y124" i="7"/>
  <c r="Z124" i="7"/>
  <c r="AA124" i="7"/>
  <c r="AB124" i="7"/>
  <c r="AC124" i="7"/>
  <c r="AD124" i="7"/>
  <c r="AE124" i="7"/>
  <c r="Q125" i="7"/>
  <c r="R125" i="7"/>
  <c r="S125" i="7"/>
  <c r="T125" i="7"/>
  <c r="U125" i="7"/>
  <c r="V125" i="7"/>
  <c r="W125" i="7"/>
  <c r="X125" i="7"/>
  <c r="Y125" i="7"/>
  <c r="Z125" i="7"/>
  <c r="AA125" i="7"/>
  <c r="AB125" i="7"/>
  <c r="AC125" i="7"/>
  <c r="AD125" i="7"/>
  <c r="AE125" i="7"/>
  <c r="Q126" i="7"/>
  <c r="R126" i="7"/>
  <c r="S126" i="7"/>
  <c r="T126" i="7"/>
  <c r="U126" i="7"/>
  <c r="V126" i="7"/>
  <c r="W126" i="7"/>
  <c r="X126" i="7"/>
  <c r="Y126" i="7"/>
  <c r="Z126" i="7"/>
  <c r="AA126" i="7"/>
  <c r="AB126" i="7"/>
  <c r="AC126" i="7"/>
  <c r="AD126" i="7"/>
  <c r="AE126" i="7"/>
  <c r="Q127" i="7"/>
  <c r="R127" i="7"/>
  <c r="S127" i="7"/>
  <c r="T127" i="7"/>
  <c r="U127" i="7"/>
  <c r="V127" i="7"/>
  <c r="W127" i="7"/>
  <c r="X127" i="7"/>
  <c r="Y127" i="7"/>
  <c r="Z127" i="7"/>
  <c r="AA127" i="7"/>
  <c r="AB127" i="7"/>
  <c r="AC127" i="7"/>
  <c r="AD127" i="7"/>
  <c r="AE127" i="7"/>
  <c r="Q128" i="7"/>
  <c r="R128" i="7"/>
  <c r="S128" i="7"/>
  <c r="T128" i="7"/>
  <c r="U128" i="7"/>
  <c r="V128" i="7"/>
  <c r="W128" i="7"/>
  <c r="X128" i="7"/>
  <c r="Y128" i="7"/>
  <c r="Z128" i="7"/>
  <c r="AA128" i="7"/>
  <c r="AB128" i="7"/>
  <c r="AC128" i="7"/>
  <c r="AD128" i="7"/>
  <c r="AE128" i="7"/>
  <c r="Q129" i="7"/>
  <c r="R129" i="7"/>
  <c r="S129" i="7"/>
  <c r="T129" i="7"/>
  <c r="U129" i="7"/>
  <c r="V129" i="7"/>
  <c r="W129" i="7"/>
  <c r="X129" i="7"/>
  <c r="Y129" i="7"/>
  <c r="Z129" i="7"/>
  <c r="AA129" i="7"/>
  <c r="AB129" i="7"/>
  <c r="AC129" i="7"/>
  <c r="AD129" i="7"/>
  <c r="AE129" i="7"/>
  <c r="Q130" i="7"/>
  <c r="R130" i="7"/>
  <c r="S130" i="7"/>
  <c r="T130" i="7"/>
  <c r="U130" i="7"/>
  <c r="V130" i="7"/>
  <c r="W130" i="7"/>
  <c r="X130" i="7"/>
  <c r="Y130" i="7"/>
  <c r="Z130" i="7"/>
  <c r="AA130" i="7"/>
  <c r="AB130" i="7"/>
  <c r="AC130" i="7"/>
  <c r="AD130" i="7"/>
  <c r="AE130" i="7"/>
  <c r="Q131" i="7"/>
  <c r="R131" i="7"/>
  <c r="S131" i="7"/>
  <c r="T131" i="7"/>
  <c r="U131" i="7"/>
  <c r="V131" i="7"/>
  <c r="W131" i="7"/>
  <c r="X131" i="7"/>
  <c r="Y131" i="7"/>
  <c r="Z131" i="7"/>
  <c r="AA131" i="7"/>
  <c r="AB131" i="7"/>
  <c r="AC131" i="7"/>
  <c r="AD131" i="7"/>
  <c r="AE131" i="7"/>
  <c r="Q132" i="7"/>
  <c r="R132" i="7"/>
  <c r="S132" i="7"/>
  <c r="T132" i="7"/>
  <c r="U132" i="7"/>
  <c r="V132" i="7"/>
  <c r="W132" i="7"/>
  <c r="X132" i="7"/>
  <c r="Y132" i="7"/>
  <c r="Z132" i="7"/>
  <c r="AA132" i="7"/>
  <c r="AB132" i="7"/>
  <c r="AC132" i="7"/>
  <c r="AD132" i="7"/>
  <c r="AE132" i="7"/>
  <c r="Q133" i="7"/>
  <c r="R133" i="7"/>
  <c r="S133" i="7"/>
  <c r="T133" i="7"/>
  <c r="U133" i="7"/>
  <c r="V133" i="7"/>
  <c r="W133" i="7"/>
  <c r="X133" i="7"/>
  <c r="Y133" i="7"/>
  <c r="Z133" i="7"/>
  <c r="AA133" i="7"/>
  <c r="AB133" i="7"/>
  <c r="AC133" i="7"/>
  <c r="AD133" i="7"/>
  <c r="AE133" i="7"/>
  <c r="Q134" i="7"/>
  <c r="R134" i="7"/>
  <c r="S134" i="7"/>
  <c r="T134" i="7"/>
  <c r="U134" i="7"/>
  <c r="V134" i="7"/>
  <c r="W134" i="7"/>
  <c r="X134" i="7"/>
  <c r="Y134" i="7"/>
  <c r="Z134" i="7"/>
  <c r="AA134" i="7"/>
  <c r="AB134" i="7"/>
  <c r="AC134" i="7"/>
  <c r="AD134" i="7"/>
  <c r="AE134" i="7"/>
  <c r="Q135" i="7"/>
  <c r="R135" i="7"/>
  <c r="S135" i="7"/>
  <c r="T135" i="7"/>
  <c r="U135" i="7"/>
  <c r="V135" i="7"/>
  <c r="W135" i="7"/>
  <c r="X135" i="7"/>
  <c r="Y135" i="7"/>
  <c r="Z135" i="7"/>
  <c r="AA135" i="7"/>
  <c r="AB135" i="7"/>
  <c r="AC135" i="7"/>
  <c r="AD135" i="7"/>
  <c r="AE135" i="7"/>
  <c r="Q136" i="7"/>
  <c r="R136" i="7"/>
  <c r="S136" i="7"/>
  <c r="T136" i="7"/>
  <c r="U136" i="7"/>
  <c r="V136" i="7"/>
  <c r="W136" i="7"/>
  <c r="X136" i="7"/>
  <c r="Y136" i="7"/>
  <c r="Z136" i="7"/>
  <c r="AA136" i="7"/>
  <c r="AB136" i="7"/>
  <c r="AC136" i="7"/>
  <c r="AD136" i="7"/>
  <c r="AE136" i="7"/>
  <c r="Q137" i="7"/>
  <c r="R137" i="7"/>
  <c r="S137" i="7"/>
  <c r="T137" i="7"/>
  <c r="U137" i="7"/>
  <c r="V137" i="7"/>
  <c r="W137" i="7"/>
  <c r="X137" i="7"/>
  <c r="Y137" i="7"/>
  <c r="Z137" i="7"/>
  <c r="AA137" i="7"/>
  <c r="AB137" i="7"/>
  <c r="AC137" i="7"/>
  <c r="AD137" i="7"/>
  <c r="AE137" i="7"/>
  <c r="Q138" i="7"/>
  <c r="R138" i="7"/>
  <c r="S138" i="7"/>
  <c r="T138" i="7"/>
  <c r="U138" i="7"/>
  <c r="V138" i="7"/>
  <c r="W138" i="7"/>
  <c r="X138" i="7"/>
  <c r="Y138" i="7"/>
  <c r="Z138" i="7"/>
  <c r="AA138" i="7"/>
  <c r="AB138" i="7"/>
  <c r="AC138" i="7"/>
  <c r="AD138" i="7"/>
  <c r="AE138" i="7"/>
  <c r="Q139" i="7"/>
  <c r="R139" i="7"/>
  <c r="S139" i="7"/>
  <c r="T139" i="7"/>
  <c r="U139" i="7"/>
  <c r="V139" i="7"/>
  <c r="W139" i="7"/>
  <c r="X139" i="7"/>
  <c r="Y139" i="7"/>
  <c r="Z139" i="7"/>
  <c r="AA139" i="7"/>
  <c r="AB139" i="7"/>
  <c r="AC139" i="7"/>
  <c r="AD139" i="7"/>
  <c r="AE139" i="7"/>
  <c r="Q140" i="7"/>
  <c r="R140" i="7"/>
  <c r="S140" i="7"/>
  <c r="T140" i="7"/>
  <c r="U140" i="7"/>
  <c r="V140" i="7"/>
  <c r="W140" i="7"/>
  <c r="X140" i="7"/>
  <c r="Y140" i="7"/>
  <c r="Z140" i="7"/>
  <c r="AA140" i="7"/>
  <c r="AB140" i="7"/>
  <c r="AC140" i="7"/>
  <c r="AD140" i="7"/>
  <c r="AE140" i="7"/>
  <c r="Q141" i="7"/>
  <c r="R141" i="7"/>
  <c r="S141" i="7"/>
  <c r="T141" i="7"/>
  <c r="U141" i="7"/>
  <c r="V141" i="7"/>
  <c r="W141" i="7"/>
  <c r="X141" i="7"/>
  <c r="Y141" i="7"/>
  <c r="Z141" i="7"/>
  <c r="AA141" i="7"/>
  <c r="AB141" i="7"/>
  <c r="AC141" i="7"/>
  <c r="AD141" i="7"/>
  <c r="AE141" i="7"/>
  <c r="Q142" i="7"/>
  <c r="R142" i="7"/>
  <c r="S142" i="7"/>
  <c r="T142" i="7"/>
  <c r="U142" i="7"/>
  <c r="V142" i="7"/>
  <c r="W142" i="7"/>
  <c r="X142" i="7"/>
  <c r="Y142" i="7"/>
  <c r="Z142" i="7"/>
  <c r="AA142" i="7"/>
  <c r="AB142" i="7"/>
  <c r="AC142" i="7"/>
  <c r="AD142" i="7"/>
  <c r="AE142" i="7"/>
  <c r="Q143" i="7"/>
  <c r="R143" i="7"/>
  <c r="S143" i="7"/>
  <c r="T143" i="7"/>
  <c r="U143" i="7"/>
  <c r="V143" i="7"/>
  <c r="W143" i="7"/>
  <c r="X143" i="7"/>
  <c r="Y143" i="7"/>
  <c r="Z143" i="7"/>
  <c r="AA143" i="7"/>
  <c r="AB143" i="7"/>
  <c r="AC143" i="7"/>
  <c r="AD143" i="7"/>
  <c r="AE143" i="7"/>
  <c r="Q144" i="7"/>
  <c r="R144" i="7"/>
  <c r="S144" i="7"/>
  <c r="T144" i="7"/>
  <c r="U144" i="7"/>
  <c r="V144" i="7"/>
  <c r="W144" i="7"/>
  <c r="X144" i="7"/>
  <c r="Y144" i="7"/>
  <c r="Z144" i="7"/>
  <c r="AA144" i="7"/>
  <c r="AB144" i="7"/>
  <c r="AC144" i="7"/>
  <c r="AD144" i="7"/>
  <c r="AE144" i="7"/>
  <c r="Q145" i="7"/>
  <c r="R145" i="7"/>
  <c r="S145" i="7"/>
  <c r="T145" i="7"/>
  <c r="U145" i="7"/>
  <c r="V145" i="7"/>
  <c r="W145" i="7"/>
  <c r="X145" i="7"/>
  <c r="Y145" i="7"/>
  <c r="Z145" i="7"/>
  <c r="AA145" i="7"/>
  <c r="AB145" i="7"/>
  <c r="AC145" i="7"/>
  <c r="AD145" i="7"/>
  <c r="AE145" i="7"/>
  <c r="Q146" i="7"/>
  <c r="R146" i="7"/>
  <c r="S146" i="7"/>
  <c r="T146" i="7"/>
  <c r="U146" i="7"/>
  <c r="V146" i="7"/>
  <c r="W146" i="7"/>
  <c r="X146" i="7"/>
  <c r="Y146" i="7"/>
  <c r="Z146" i="7"/>
  <c r="AA146" i="7"/>
  <c r="AB146" i="7"/>
  <c r="AC146" i="7"/>
  <c r="AD146" i="7"/>
  <c r="AE146" i="7"/>
  <c r="Q147" i="7"/>
  <c r="R147" i="7"/>
  <c r="S147" i="7"/>
  <c r="T147" i="7"/>
  <c r="U147" i="7"/>
  <c r="V147" i="7"/>
  <c r="W147" i="7"/>
  <c r="X147" i="7"/>
  <c r="Y147" i="7"/>
  <c r="Z147" i="7"/>
  <c r="AA147" i="7"/>
  <c r="AB147" i="7"/>
  <c r="AC147" i="7"/>
  <c r="AD147" i="7"/>
  <c r="AE147" i="7"/>
  <c r="Q148" i="7"/>
  <c r="R148" i="7"/>
  <c r="S148" i="7"/>
  <c r="T148" i="7"/>
  <c r="U148" i="7"/>
  <c r="V148" i="7"/>
  <c r="W148" i="7"/>
  <c r="X148" i="7"/>
  <c r="Y148" i="7"/>
  <c r="Z148" i="7"/>
  <c r="AA148" i="7"/>
  <c r="AB148" i="7"/>
  <c r="AC148" i="7"/>
  <c r="AD148" i="7"/>
  <c r="AE148" i="7"/>
  <c r="Q149" i="7"/>
  <c r="R149" i="7"/>
  <c r="S149" i="7"/>
  <c r="T149" i="7"/>
  <c r="U149" i="7"/>
  <c r="V149" i="7"/>
  <c r="W149" i="7"/>
  <c r="X149" i="7"/>
  <c r="Y149" i="7"/>
  <c r="Z149" i="7"/>
  <c r="AA149" i="7"/>
  <c r="AB149" i="7"/>
  <c r="AC149" i="7"/>
  <c r="AD149" i="7"/>
  <c r="AE149" i="7"/>
  <c r="Q150" i="7"/>
  <c r="R150" i="7"/>
  <c r="S150" i="7"/>
  <c r="T150" i="7"/>
  <c r="U150" i="7"/>
  <c r="V150" i="7"/>
  <c r="W150" i="7"/>
  <c r="X150" i="7"/>
  <c r="Y150" i="7"/>
  <c r="Z150" i="7"/>
  <c r="AA150" i="7"/>
  <c r="AB150" i="7"/>
  <c r="AC150" i="7"/>
  <c r="AD150" i="7"/>
  <c r="AE150" i="7"/>
  <c r="Q151" i="7"/>
  <c r="R151" i="7"/>
  <c r="S151" i="7"/>
  <c r="T151" i="7"/>
  <c r="U151" i="7"/>
  <c r="V151" i="7"/>
  <c r="W151" i="7"/>
  <c r="X151" i="7"/>
  <c r="Y151" i="7"/>
  <c r="Z151" i="7"/>
  <c r="AA151" i="7"/>
  <c r="AB151" i="7"/>
  <c r="AC151" i="7"/>
  <c r="AD151" i="7"/>
  <c r="AE151" i="7"/>
  <c r="Q152" i="7"/>
  <c r="R152" i="7"/>
  <c r="S152" i="7"/>
  <c r="T152" i="7"/>
  <c r="U152" i="7"/>
  <c r="V152" i="7"/>
  <c r="W152" i="7"/>
  <c r="X152" i="7"/>
  <c r="Y152" i="7"/>
  <c r="Z152" i="7"/>
  <c r="AA152" i="7"/>
  <c r="AB152" i="7"/>
  <c r="AC152" i="7"/>
  <c r="AD152" i="7"/>
  <c r="AE152" i="7"/>
  <c r="Q153" i="7"/>
  <c r="R153" i="7"/>
  <c r="S153" i="7"/>
  <c r="T153" i="7"/>
  <c r="U153" i="7"/>
  <c r="V153" i="7"/>
  <c r="W153" i="7"/>
  <c r="X153" i="7"/>
  <c r="Y153" i="7"/>
  <c r="Z153" i="7"/>
  <c r="AA153" i="7"/>
  <c r="AB153" i="7"/>
  <c r="AC153" i="7"/>
  <c r="AD153" i="7"/>
  <c r="AE153" i="7"/>
  <c r="Q154" i="7"/>
  <c r="R154" i="7"/>
  <c r="S154" i="7"/>
  <c r="T154" i="7"/>
  <c r="U154" i="7"/>
  <c r="V154" i="7"/>
  <c r="W154" i="7"/>
  <c r="X154" i="7"/>
  <c r="Y154" i="7"/>
  <c r="Z154" i="7"/>
  <c r="AA154" i="7"/>
  <c r="AB154" i="7"/>
  <c r="AC154" i="7"/>
  <c r="AD154" i="7"/>
  <c r="AE154" i="7"/>
  <c r="Q155" i="7"/>
  <c r="R155" i="7"/>
  <c r="S155" i="7"/>
  <c r="T155" i="7"/>
  <c r="U155" i="7"/>
  <c r="V155" i="7"/>
  <c r="W155" i="7"/>
  <c r="X155" i="7"/>
  <c r="Y155" i="7"/>
  <c r="Z155" i="7"/>
  <c r="AA155" i="7"/>
  <c r="AB155" i="7"/>
  <c r="AC155" i="7"/>
  <c r="AD155" i="7"/>
  <c r="AE155" i="7"/>
  <c r="Q156" i="7"/>
  <c r="R156" i="7"/>
  <c r="S156" i="7"/>
  <c r="T156" i="7"/>
  <c r="U156" i="7"/>
  <c r="V156" i="7"/>
  <c r="W156" i="7"/>
  <c r="X156" i="7"/>
  <c r="Y156" i="7"/>
  <c r="Z156" i="7"/>
  <c r="AA156" i="7"/>
  <c r="AB156" i="7"/>
  <c r="AC156" i="7"/>
  <c r="AD156" i="7"/>
  <c r="AE156" i="7"/>
  <c r="Q157" i="7"/>
  <c r="R157" i="7"/>
  <c r="S157" i="7"/>
  <c r="T157" i="7"/>
  <c r="U157" i="7"/>
  <c r="V157" i="7"/>
  <c r="W157" i="7"/>
  <c r="X157" i="7"/>
  <c r="Y157" i="7"/>
  <c r="Z157" i="7"/>
  <c r="AA157" i="7"/>
  <c r="AB157" i="7"/>
  <c r="AC157" i="7"/>
  <c r="AD157" i="7"/>
  <c r="AE157" i="7"/>
  <c r="Q158" i="7"/>
  <c r="R158" i="7"/>
  <c r="S158" i="7"/>
  <c r="T158" i="7"/>
  <c r="U158" i="7"/>
  <c r="V158" i="7"/>
  <c r="W158" i="7"/>
  <c r="X158" i="7"/>
  <c r="Y158" i="7"/>
  <c r="Z158" i="7"/>
  <c r="AA158" i="7"/>
  <c r="AB158" i="7"/>
  <c r="AC158" i="7"/>
  <c r="AD158" i="7"/>
  <c r="AE158" i="7"/>
  <c r="Q159" i="7"/>
  <c r="R159" i="7"/>
  <c r="S159" i="7"/>
  <c r="T159" i="7"/>
  <c r="U159" i="7"/>
  <c r="V159" i="7"/>
  <c r="W159" i="7"/>
  <c r="X159" i="7"/>
  <c r="Y159" i="7"/>
  <c r="Z159" i="7"/>
  <c r="AA159" i="7"/>
  <c r="AB159" i="7"/>
  <c r="AC159" i="7"/>
  <c r="AD159" i="7"/>
  <c r="AE159" i="7"/>
  <c r="Q160" i="7"/>
  <c r="R160" i="7"/>
  <c r="S160" i="7"/>
  <c r="T160" i="7"/>
  <c r="U160" i="7"/>
  <c r="V160" i="7"/>
  <c r="W160" i="7"/>
  <c r="X160" i="7"/>
  <c r="Y160" i="7"/>
  <c r="Z160" i="7"/>
  <c r="AA160" i="7"/>
  <c r="AB160" i="7"/>
  <c r="AC160" i="7"/>
  <c r="AD160" i="7"/>
  <c r="AE160" i="7"/>
  <c r="Q161" i="7"/>
  <c r="R161" i="7"/>
  <c r="S161" i="7"/>
  <c r="T161" i="7"/>
  <c r="U161" i="7"/>
  <c r="V161" i="7"/>
  <c r="W161" i="7"/>
  <c r="X161" i="7"/>
  <c r="Y161" i="7"/>
  <c r="Z161" i="7"/>
  <c r="AA161" i="7"/>
  <c r="AB161" i="7"/>
  <c r="AC161" i="7"/>
  <c r="AD161" i="7"/>
  <c r="AE161" i="7"/>
  <c r="Q162" i="7"/>
  <c r="R162" i="7"/>
  <c r="S162" i="7"/>
  <c r="T162" i="7"/>
  <c r="U162" i="7"/>
  <c r="V162" i="7"/>
  <c r="W162" i="7"/>
  <c r="X162" i="7"/>
  <c r="Y162" i="7"/>
  <c r="Z162" i="7"/>
  <c r="AA162" i="7"/>
  <c r="AB162" i="7"/>
  <c r="AC162" i="7"/>
  <c r="AD162" i="7"/>
  <c r="AE162" i="7"/>
  <c r="Q163" i="7"/>
  <c r="R163" i="7"/>
  <c r="S163" i="7"/>
  <c r="T163" i="7"/>
  <c r="U163" i="7"/>
  <c r="V163" i="7"/>
  <c r="W163" i="7"/>
  <c r="X163" i="7"/>
  <c r="Y163" i="7"/>
  <c r="Z163" i="7"/>
  <c r="AA163" i="7"/>
  <c r="AB163" i="7"/>
  <c r="AC163" i="7"/>
  <c r="AD163" i="7"/>
  <c r="AE163" i="7"/>
  <c r="Q164" i="7"/>
  <c r="R164" i="7"/>
  <c r="S164" i="7"/>
  <c r="T164" i="7"/>
  <c r="U164" i="7"/>
  <c r="V164" i="7"/>
  <c r="W164" i="7"/>
  <c r="X164" i="7"/>
  <c r="Y164" i="7"/>
  <c r="Z164" i="7"/>
  <c r="AA164" i="7"/>
  <c r="AB164" i="7"/>
  <c r="AC164" i="7"/>
  <c r="AD164" i="7"/>
  <c r="AE164" i="7"/>
  <c r="Q165" i="7"/>
  <c r="R165" i="7"/>
  <c r="S165" i="7"/>
  <c r="T165" i="7"/>
  <c r="U165" i="7"/>
  <c r="V165" i="7"/>
  <c r="W165" i="7"/>
  <c r="X165" i="7"/>
  <c r="Y165" i="7"/>
  <c r="Z165" i="7"/>
  <c r="AA165" i="7"/>
  <c r="AB165" i="7"/>
  <c r="AC165" i="7"/>
  <c r="AD165" i="7"/>
  <c r="AE165" i="7"/>
  <c r="Q166" i="7"/>
  <c r="R166" i="7"/>
  <c r="S166" i="7"/>
  <c r="T166" i="7"/>
  <c r="U166" i="7"/>
  <c r="V166" i="7"/>
  <c r="W166" i="7"/>
  <c r="X166" i="7"/>
  <c r="Y166" i="7"/>
  <c r="Z166" i="7"/>
  <c r="AA166" i="7"/>
  <c r="AB166" i="7"/>
  <c r="AC166" i="7"/>
  <c r="AD166" i="7"/>
  <c r="AE166" i="7"/>
  <c r="Q167" i="7"/>
  <c r="R167" i="7"/>
  <c r="S167" i="7"/>
  <c r="T167" i="7"/>
  <c r="U167" i="7"/>
  <c r="V167" i="7"/>
  <c r="W167" i="7"/>
  <c r="X167" i="7"/>
  <c r="Y167" i="7"/>
  <c r="Z167" i="7"/>
  <c r="AA167" i="7"/>
  <c r="AB167" i="7"/>
  <c r="AC167" i="7"/>
  <c r="AD167" i="7"/>
  <c r="AE167" i="7"/>
  <c r="Q168" i="7"/>
  <c r="R168" i="7"/>
  <c r="S168" i="7"/>
  <c r="T168" i="7"/>
  <c r="U168" i="7"/>
  <c r="V168" i="7"/>
  <c r="W168" i="7"/>
  <c r="X168" i="7"/>
  <c r="Y168" i="7"/>
  <c r="Z168" i="7"/>
  <c r="AA168" i="7"/>
  <c r="AB168" i="7"/>
  <c r="AC168" i="7"/>
  <c r="AD168" i="7"/>
  <c r="AE168" i="7"/>
  <c r="Q169" i="7"/>
  <c r="R169" i="7"/>
  <c r="S169" i="7"/>
  <c r="T169" i="7"/>
  <c r="U169" i="7"/>
  <c r="V169" i="7"/>
  <c r="W169" i="7"/>
  <c r="X169" i="7"/>
  <c r="Y169" i="7"/>
  <c r="Z169" i="7"/>
  <c r="AA169" i="7"/>
  <c r="AB169" i="7"/>
  <c r="AC169" i="7"/>
  <c r="AD169" i="7"/>
  <c r="AE169" i="7"/>
  <c r="Q170" i="7"/>
  <c r="R170" i="7"/>
  <c r="S170" i="7"/>
  <c r="T170" i="7"/>
  <c r="U170" i="7"/>
  <c r="V170" i="7"/>
  <c r="W170" i="7"/>
  <c r="X170" i="7"/>
  <c r="Y170" i="7"/>
  <c r="Z170" i="7"/>
  <c r="AA170" i="7"/>
  <c r="AB170" i="7"/>
  <c r="AC170" i="7"/>
  <c r="AD170" i="7"/>
  <c r="AE170" i="7"/>
  <c r="Q171" i="7"/>
  <c r="R171" i="7"/>
  <c r="S171" i="7"/>
  <c r="T171" i="7"/>
  <c r="U171" i="7"/>
  <c r="V171" i="7"/>
  <c r="W171" i="7"/>
  <c r="X171" i="7"/>
  <c r="Y171" i="7"/>
  <c r="Z171" i="7"/>
  <c r="AA171" i="7"/>
  <c r="AB171" i="7"/>
  <c r="AC171" i="7"/>
  <c r="AD171" i="7"/>
  <c r="AE171" i="7"/>
  <c r="Q172" i="7"/>
  <c r="R172" i="7"/>
  <c r="S172" i="7"/>
  <c r="T172" i="7"/>
  <c r="U172" i="7"/>
  <c r="V172" i="7"/>
  <c r="W172" i="7"/>
  <c r="X172" i="7"/>
  <c r="Y172" i="7"/>
  <c r="Z172" i="7"/>
  <c r="AA172" i="7"/>
  <c r="AB172" i="7"/>
  <c r="AC172" i="7"/>
  <c r="AD172" i="7"/>
  <c r="AE172" i="7"/>
  <c r="Q173" i="7"/>
  <c r="R173" i="7"/>
  <c r="S173" i="7"/>
  <c r="T173" i="7"/>
  <c r="U173" i="7"/>
  <c r="V173" i="7"/>
  <c r="W173" i="7"/>
  <c r="X173" i="7"/>
  <c r="Y173" i="7"/>
  <c r="Z173" i="7"/>
  <c r="AA173" i="7"/>
  <c r="AB173" i="7"/>
  <c r="AC173" i="7"/>
  <c r="AD173" i="7"/>
  <c r="AE173" i="7"/>
  <c r="Q174" i="7"/>
  <c r="R174" i="7"/>
  <c r="S174" i="7"/>
  <c r="T174" i="7"/>
  <c r="U174" i="7"/>
  <c r="V174" i="7"/>
  <c r="W174" i="7"/>
  <c r="X174" i="7"/>
  <c r="Y174" i="7"/>
  <c r="Z174" i="7"/>
  <c r="AA174" i="7"/>
  <c r="AB174" i="7"/>
  <c r="AC174" i="7"/>
  <c r="AD174" i="7"/>
  <c r="AE174" i="7"/>
  <c r="Q175" i="7"/>
  <c r="R175" i="7"/>
  <c r="S175" i="7"/>
  <c r="T175" i="7"/>
  <c r="U175" i="7"/>
  <c r="V175" i="7"/>
  <c r="W175" i="7"/>
  <c r="X175" i="7"/>
  <c r="Y175" i="7"/>
  <c r="Z175" i="7"/>
  <c r="AA175" i="7"/>
  <c r="AB175" i="7"/>
  <c r="AC175" i="7"/>
  <c r="AD175" i="7"/>
  <c r="AE175" i="7"/>
  <c r="Q176" i="7"/>
  <c r="R176" i="7"/>
  <c r="S176" i="7"/>
  <c r="T176" i="7"/>
  <c r="U176" i="7"/>
  <c r="V176" i="7"/>
  <c r="W176" i="7"/>
  <c r="X176" i="7"/>
  <c r="Y176" i="7"/>
  <c r="Z176" i="7"/>
  <c r="AA176" i="7"/>
  <c r="AB176" i="7"/>
  <c r="AC176" i="7"/>
  <c r="AD176" i="7"/>
  <c r="AE176" i="7"/>
  <c r="Q177" i="7"/>
  <c r="R177" i="7"/>
  <c r="S177" i="7"/>
  <c r="T177" i="7"/>
  <c r="U177" i="7"/>
  <c r="V177" i="7"/>
  <c r="W177" i="7"/>
  <c r="X177" i="7"/>
  <c r="Y177" i="7"/>
  <c r="Z177" i="7"/>
  <c r="AA177" i="7"/>
  <c r="AB177" i="7"/>
  <c r="AC177" i="7"/>
  <c r="AD177" i="7"/>
  <c r="AE177" i="7"/>
  <c r="Q178" i="7"/>
  <c r="R178" i="7"/>
  <c r="S178" i="7"/>
  <c r="T178" i="7"/>
  <c r="U178" i="7"/>
  <c r="V178" i="7"/>
  <c r="W178" i="7"/>
  <c r="X178" i="7"/>
  <c r="Y178" i="7"/>
  <c r="Z178" i="7"/>
  <c r="AA178" i="7"/>
  <c r="AB178" i="7"/>
  <c r="AC178" i="7"/>
  <c r="AD178" i="7"/>
  <c r="AE178" i="7"/>
  <c r="Q179" i="7"/>
  <c r="R179" i="7"/>
  <c r="S179" i="7"/>
  <c r="T179" i="7"/>
  <c r="U179" i="7"/>
  <c r="V179" i="7"/>
  <c r="W179" i="7"/>
  <c r="X179" i="7"/>
  <c r="Y179" i="7"/>
  <c r="Z179" i="7"/>
  <c r="AA179" i="7"/>
  <c r="AB179" i="7"/>
  <c r="AC179" i="7"/>
  <c r="AD179" i="7"/>
  <c r="AE179" i="7"/>
  <c r="Q180" i="7"/>
  <c r="R180" i="7"/>
  <c r="S180" i="7"/>
  <c r="T180" i="7"/>
  <c r="U180" i="7"/>
  <c r="V180" i="7"/>
  <c r="W180" i="7"/>
  <c r="X180" i="7"/>
  <c r="Y180" i="7"/>
  <c r="Z180" i="7"/>
  <c r="AA180" i="7"/>
  <c r="AB180" i="7"/>
  <c r="AC180" i="7"/>
  <c r="AD180" i="7"/>
  <c r="AE180" i="7"/>
  <c r="Q181" i="7"/>
  <c r="R181" i="7"/>
  <c r="S181" i="7"/>
  <c r="T181" i="7"/>
  <c r="U181" i="7"/>
  <c r="V181" i="7"/>
  <c r="W181" i="7"/>
  <c r="X181" i="7"/>
  <c r="Y181" i="7"/>
  <c r="Z181" i="7"/>
  <c r="AA181" i="7"/>
  <c r="AB181" i="7"/>
  <c r="AC181" i="7"/>
  <c r="AD181" i="7"/>
  <c r="AE181" i="7"/>
  <c r="Q182" i="7"/>
  <c r="R182" i="7"/>
  <c r="S182" i="7"/>
  <c r="T182" i="7"/>
  <c r="U182" i="7"/>
  <c r="V182" i="7"/>
  <c r="W182" i="7"/>
  <c r="X182" i="7"/>
  <c r="Y182" i="7"/>
  <c r="Z182" i="7"/>
  <c r="AA182" i="7"/>
  <c r="AB182" i="7"/>
  <c r="AC182" i="7"/>
  <c r="AD182" i="7"/>
  <c r="AE182" i="7"/>
  <c r="Q183" i="7"/>
  <c r="R183" i="7"/>
  <c r="S183" i="7"/>
  <c r="T183" i="7"/>
  <c r="U183" i="7"/>
  <c r="V183" i="7"/>
  <c r="W183" i="7"/>
  <c r="X183" i="7"/>
  <c r="Y183" i="7"/>
  <c r="Z183" i="7"/>
  <c r="AA183" i="7"/>
  <c r="AB183" i="7"/>
  <c r="AC183" i="7"/>
  <c r="AD183" i="7"/>
  <c r="AE183" i="7"/>
  <c r="Q184" i="7"/>
  <c r="R184" i="7"/>
  <c r="S184" i="7"/>
  <c r="T184" i="7"/>
  <c r="U184" i="7"/>
  <c r="V184" i="7"/>
  <c r="W184" i="7"/>
  <c r="X184" i="7"/>
  <c r="Y184" i="7"/>
  <c r="Z184" i="7"/>
  <c r="AA184" i="7"/>
  <c r="AB184" i="7"/>
  <c r="AC184" i="7"/>
  <c r="AD184" i="7"/>
  <c r="AE184" i="7"/>
  <c r="Q185" i="7"/>
  <c r="R185" i="7"/>
  <c r="S185" i="7"/>
  <c r="T185" i="7"/>
  <c r="U185" i="7"/>
  <c r="V185" i="7"/>
  <c r="W185" i="7"/>
  <c r="X185" i="7"/>
  <c r="Y185" i="7"/>
  <c r="Z185" i="7"/>
  <c r="AA185" i="7"/>
  <c r="AB185" i="7"/>
  <c r="AC185" i="7"/>
  <c r="AD185" i="7"/>
  <c r="AE185" i="7"/>
  <c r="Q186" i="7"/>
  <c r="R186" i="7"/>
  <c r="S186" i="7"/>
  <c r="T186" i="7"/>
  <c r="U186" i="7"/>
  <c r="V186" i="7"/>
  <c r="W186" i="7"/>
  <c r="X186" i="7"/>
  <c r="Y186" i="7"/>
  <c r="Z186" i="7"/>
  <c r="AA186" i="7"/>
  <c r="AB186" i="7"/>
  <c r="AC186" i="7"/>
  <c r="AD186" i="7"/>
  <c r="AE186" i="7"/>
  <c r="Q187" i="7"/>
  <c r="R187" i="7"/>
  <c r="S187" i="7"/>
  <c r="T187" i="7"/>
  <c r="U187" i="7"/>
  <c r="V187" i="7"/>
  <c r="W187" i="7"/>
  <c r="X187" i="7"/>
  <c r="Y187" i="7"/>
  <c r="Z187" i="7"/>
  <c r="AA187" i="7"/>
  <c r="AB187" i="7"/>
  <c r="AC187" i="7"/>
  <c r="AD187" i="7"/>
  <c r="AE187" i="7"/>
  <c r="Q188" i="7"/>
  <c r="R188" i="7"/>
  <c r="S188" i="7"/>
  <c r="T188" i="7"/>
  <c r="U188" i="7"/>
  <c r="V188" i="7"/>
  <c r="W188" i="7"/>
  <c r="X188" i="7"/>
  <c r="Y188" i="7"/>
  <c r="Z188" i="7"/>
  <c r="AA188" i="7"/>
  <c r="AB188" i="7"/>
  <c r="AC188" i="7"/>
  <c r="AD188" i="7"/>
  <c r="AE188" i="7"/>
  <c r="Q189" i="7"/>
  <c r="R189" i="7"/>
  <c r="S189" i="7"/>
  <c r="T189" i="7"/>
  <c r="U189" i="7"/>
  <c r="V189" i="7"/>
  <c r="W189" i="7"/>
  <c r="X189" i="7"/>
  <c r="Y189" i="7"/>
  <c r="Z189" i="7"/>
  <c r="AA189" i="7"/>
  <c r="AB189" i="7"/>
  <c r="AC189" i="7"/>
  <c r="AD189" i="7"/>
  <c r="AE189" i="7"/>
  <c r="Q190" i="7"/>
  <c r="R190" i="7"/>
  <c r="S190" i="7"/>
  <c r="T190" i="7"/>
  <c r="U190" i="7"/>
  <c r="V190" i="7"/>
  <c r="W190" i="7"/>
  <c r="X190" i="7"/>
  <c r="Y190" i="7"/>
  <c r="Z190" i="7"/>
  <c r="AA190" i="7"/>
  <c r="AB190" i="7"/>
  <c r="AC190" i="7"/>
  <c r="AD190" i="7"/>
  <c r="AE190" i="7"/>
  <c r="Q191" i="7"/>
  <c r="R191" i="7"/>
  <c r="S191" i="7"/>
  <c r="T191" i="7"/>
  <c r="U191" i="7"/>
  <c r="V191" i="7"/>
  <c r="W191" i="7"/>
  <c r="X191" i="7"/>
  <c r="Y191" i="7"/>
  <c r="Z191" i="7"/>
  <c r="AA191" i="7"/>
  <c r="AB191" i="7"/>
  <c r="AC191" i="7"/>
  <c r="AD191" i="7"/>
  <c r="AE191" i="7"/>
  <c r="Q192" i="7"/>
  <c r="R192" i="7"/>
  <c r="S192" i="7"/>
  <c r="T192" i="7"/>
  <c r="U192" i="7"/>
  <c r="V192" i="7"/>
  <c r="W192" i="7"/>
  <c r="X192" i="7"/>
  <c r="Y192" i="7"/>
  <c r="Z192" i="7"/>
  <c r="AA192" i="7"/>
  <c r="AB192" i="7"/>
  <c r="AC192" i="7"/>
  <c r="AD192" i="7"/>
  <c r="AE192" i="7"/>
  <c r="Q193" i="7"/>
  <c r="R193" i="7"/>
  <c r="S193" i="7"/>
  <c r="T193" i="7"/>
  <c r="U193" i="7"/>
  <c r="V193" i="7"/>
  <c r="W193" i="7"/>
  <c r="X193" i="7"/>
  <c r="Y193" i="7"/>
  <c r="Z193" i="7"/>
  <c r="AA193" i="7"/>
  <c r="AB193" i="7"/>
  <c r="AC193" i="7"/>
  <c r="AD193" i="7"/>
  <c r="AE193" i="7"/>
  <c r="Q194" i="7"/>
  <c r="R194" i="7"/>
  <c r="S194" i="7"/>
  <c r="T194" i="7"/>
  <c r="U194" i="7"/>
  <c r="V194" i="7"/>
  <c r="W194" i="7"/>
  <c r="X194" i="7"/>
  <c r="Y194" i="7"/>
  <c r="Z194" i="7"/>
  <c r="AA194" i="7"/>
  <c r="AB194" i="7"/>
  <c r="AC194" i="7"/>
  <c r="AD194" i="7"/>
  <c r="AE194" i="7"/>
  <c r="Q195" i="7"/>
  <c r="R195" i="7"/>
  <c r="S195" i="7"/>
  <c r="T195" i="7"/>
  <c r="U195" i="7"/>
  <c r="V195" i="7"/>
  <c r="W195" i="7"/>
  <c r="X195" i="7"/>
  <c r="Y195" i="7"/>
  <c r="Z195" i="7"/>
  <c r="AA195" i="7"/>
  <c r="AB195" i="7"/>
  <c r="AC195" i="7"/>
  <c r="AD195" i="7"/>
  <c r="AE195" i="7"/>
  <c r="Q196" i="7"/>
  <c r="R196" i="7"/>
  <c r="S196" i="7"/>
  <c r="T196" i="7"/>
  <c r="U196" i="7"/>
  <c r="V196" i="7"/>
  <c r="W196" i="7"/>
  <c r="X196" i="7"/>
  <c r="Y196" i="7"/>
  <c r="Z196" i="7"/>
  <c r="AA196" i="7"/>
  <c r="AB196" i="7"/>
  <c r="AC196" i="7"/>
  <c r="AD196" i="7"/>
  <c r="AE196" i="7"/>
  <c r="Q197" i="7"/>
  <c r="R197" i="7"/>
  <c r="S197" i="7"/>
  <c r="T197" i="7"/>
  <c r="U197" i="7"/>
  <c r="V197" i="7"/>
  <c r="W197" i="7"/>
  <c r="X197" i="7"/>
  <c r="Y197" i="7"/>
  <c r="Z197" i="7"/>
  <c r="AA197" i="7"/>
  <c r="AB197" i="7"/>
  <c r="AC197" i="7"/>
  <c r="AD197" i="7"/>
  <c r="AE197" i="7"/>
  <c r="Q198" i="7"/>
  <c r="R198" i="7"/>
  <c r="S198" i="7"/>
  <c r="T198" i="7"/>
  <c r="U198" i="7"/>
  <c r="V198" i="7"/>
  <c r="W198" i="7"/>
  <c r="X198" i="7"/>
  <c r="Y198" i="7"/>
  <c r="Z198" i="7"/>
  <c r="AA198" i="7"/>
  <c r="AB198" i="7"/>
  <c r="AC198" i="7"/>
  <c r="AD198" i="7"/>
  <c r="AE198" i="7"/>
  <c r="Q199" i="7"/>
  <c r="R199" i="7"/>
  <c r="S199" i="7"/>
  <c r="T199" i="7"/>
  <c r="U199" i="7"/>
  <c r="V199" i="7"/>
  <c r="W199" i="7"/>
  <c r="X199" i="7"/>
  <c r="Y199" i="7"/>
  <c r="Z199" i="7"/>
  <c r="AA199" i="7"/>
  <c r="AB199" i="7"/>
  <c r="AC199" i="7"/>
  <c r="AD199" i="7"/>
  <c r="AE199" i="7"/>
  <c r="Q200" i="7"/>
  <c r="R200" i="7"/>
  <c r="S200" i="7"/>
  <c r="T200" i="7"/>
  <c r="U200" i="7"/>
  <c r="V200" i="7"/>
  <c r="W200" i="7"/>
  <c r="X200" i="7"/>
  <c r="Y200" i="7"/>
  <c r="Z200" i="7"/>
  <c r="AA200" i="7"/>
  <c r="AB200" i="7"/>
  <c r="AC200" i="7"/>
  <c r="AD200" i="7"/>
  <c r="AE200" i="7"/>
  <c r="Q201" i="7"/>
  <c r="R201" i="7"/>
  <c r="S201" i="7"/>
  <c r="T201" i="7"/>
  <c r="U201" i="7"/>
  <c r="V201" i="7"/>
  <c r="W201" i="7"/>
  <c r="X201" i="7"/>
  <c r="Y201" i="7"/>
  <c r="Z201" i="7"/>
  <c r="AA201" i="7"/>
  <c r="AB201" i="7"/>
  <c r="AC201" i="7"/>
  <c r="AD201" i="7"/>
  <c r="AE201" i="7"/>
  <c r="Q202" i="7"/>
  <c r="R202" i="7"/>
  <c r="S202" i="7"/>
  <c r="T202" i="7"/>
  <c r="U202" i="7"/>
  <c r="V202" i="7"/>
  <c r="W202" i="7"/>
  <c r="X202" i="7"/>
  <c r="Y202" i="7"/>
  <c r="Z202" i="7"/>
  <c r="AA202" i="7"/>
  <c r="AB202" i="7"/>
  <c r="AC202" i="7"/>
  <c r="AD202" i="7"/>
  <c r="AE202" i="7"/>
  <c r="Q203" i="7"/>
  <c r="R203" i="7"/>
  <c r="S203" i="7"/>
  <c r="T203" i="7"/>
  <c r="U203" i="7"/>
  <c r="V203" i="7"/>
  <c r="W203" i="7"/>
  <c r="X203" i="7"/>
  <c r="Y203" i="7"/>
  <c r="Z203" i="7"/>
  <c r="AA203" i="7"/>
  <c r="AB203" i="7"/>
  <c r="AC203" i="7"/>
  <c r="AD203" i="7"/>
  <c r="AE203" i="7"/>
  <c r="Q204" i="7"/>
  <c r="R204" i="7"/>
  <c r="S204" i="7"/>
  <c r="T204" i="7"/>
  <c r="U204" i="7"/>
  <c r="V204" i="7"/>
  <c r="W204" i="7"/>
  <c r="X204" i="7"/>
  <c r="Y204" i="7"/>
  <c r="Z204" i="7"/>
  <c r="AA204" i="7"/>
  <c r="AB204" i="7"/>
  <c r="AC204" i="7"/>
  <c r="AD204" i="7"/>
  <c r="AE204" i="7"/>
  <c r="Q205" i="7"/>
  <c r="R205" i="7"/>
  <c r="S205" i="7"/>
  <c r="T205" i="7"/>
  <c r="U205" i="7"/>
  <c r="V205" i="7"/>
  <c r="W205" i="7"/>
  <c r="X205" i="7"/>
  <c r="Y205" i="7"/>
  <c r="Z205" i="7"/>
  <c r="AA205" i="7"/>
  <c r="AB205" i="7"/>
  <c r="AC205" i="7"/>
  <c r="AD205" i="7"/>
  <c r="AE205" i="7"/>
  <c r="Q206" i="7"/>
  <c r="R206" i="7"/>
  <c r="S206" i="7"/>
  <c r="T206" i="7"/>
  <c r="U206" i="7"/>
  <c r="V206" i="7"/>
  <c r="W206" i="7"/>
  <c r="X206" i="7"/>
  <c r="Y206" i="7"/>
  <c r="Z206" i="7"/>
  <c r="AA206" i="7"/>
  <c r="AB206" i="7"/>
  <c r="AC206" i="7"/>
  <c r="AD206" i="7"/>
  <c r="AE206" i="7"/>
  <c r="Q207" i="7"/>
  <c r="R207" i="7"/>
  <c r="S207" i="7"/>
  <c r="T207" i="7"/>
  <c r="U207" i="7"/>
  <c r="V207" i="7"/>
  <c r="W207" i="7"/>
  <c r="X207" i="7"/>
  <c r="Y207" i="7"/>
  <c r="Z207" i="7"/>
  <c r="AA207" i="7"/>
  <c r="AB207" i="7"/>
  <c r="AC207" i="7"/>
  <c r="AD207" i="7"/>
  <c r="AE207" i="7"/>
  <c r="Q208" i="7"/>
  <c r="R208" i="7"/>
  <c r="S208" i="7"/>
  <c r="T208" i="7"/>
  <c r="U208" i="7"/>
  <c r="V208" i="7"/>
  <c r="W208" i="7"/>
  <c r="X208" i="7"/>
  <c r="Y208" i="7"/>
  <c r="Z208" i="7"/>
  <c r="AA208" i="7"/>
  <c r="AB208" i="7"/>
  <c r="AC208" i="7"/>
  <c r="AD208" i="7"/>
  <c r="AE208" i="7"/>
  <c r="Q209" i="7"/>
  <c r="R209" i="7"/>
  <c r="S209" i="7"/>
  <c r="T209" i="7"/>
  <c r="U209" i="7"/>
  <c r="V209" i="7"/>
  <c r="W209" i="7"/>
  <c r="X209" i="7"/>
  <c r="Y209" i="7"/>
  <c r="Z209" i="7"/>
  <c r="AA209" i="7"/>
  <c r="AB209" i="7"/>
  <c r="AC209" i="7"/>
  <c r="AD209" i="7"/>
  <c r="AE209" i="7"/>
  <c r="Q210" i="7"/>
  <c r="R210" i="7"/>
  <c r="S210" i="7"/>
  <c r="T210" i="7"/>
  <c r="U210" i="7"/>
  <c r="V210" i="7"/>
  <c r="W210" i="7"/>
  <c r="X210" i="7"/>
  <c r="Y210" i="7"/>
  <c r="Z210" i="7"/>
  <c r="AA210" i="7"/>
  <c r="AB210" i="7"/>
  <c r="AC210" i="7"/>
  <c r="AD210" i="7"/>
  <c r="AE210" i="7"/>
  <c r="Q211" i="7"/>
  <c r="R211" i="7"/>
  <c r="S211" i="7"/>
  <c r="T211" i="7"/>
  <c r="U211" i="7"/>
  <c r="V211" i="7"/>
  <c r="W211" i="7"/>
  <c r="X211" i="7"/>
  <c r="Y211" i="7"/>
  <c r="Z211" i="7"/>
  <c r="AA211" i="7"/>
  <c r="AB211" i="7"/>
  <c r="AC211" i="7"/>
  <c r="AD211" i="7"/>
  <c r="AE211" i="7"/>
  <c r="Q212" i="7"/>
  <c r="R212" i="7"/>
  <c r="S212" i="7"/>
  <c r="T212" i="7"/>
  <c r="U212" i="7"/>
  <c r="V212" i="7"/>
  <c r="W212" i="7"/>
  <c r="X212" i="7"/>
  <c r="Y212" i="7"/>
  <c r="Z212" i="7"/>
  <c r="AA212" i="7"/>
  <c r="AB212" i="7"/>
  <c r="AC212" i="7"/>
  <c r="AD212" i="7"/>
  <c r="AE212" i="7"/>
  <c r="Q213" i="7"/>
  <c r="R213" i="7"/>
  <c r="S213" i="7"/>
  <c r="T213" i="7"/>
  <c r="U213" i="7"/>
  <c r="V213" i="7"/>
  <c r="W213" i="7"/>
  <c r="X213" i="7"/>
  <c r="Y213" i="7"/>
  <c r="Z213" i="7"/>
  <c r="AA213" i="7"/>
  <c r="AB213" i="7"/>
  <c r="AC213" i="7"/>
  <c r="AD213" i="7"/>
  <c r="AE213" i="7"/>
  <c r="Q214" i="7"/>
  <c r="R214" i="7"/>
  <c r="S214" i="7"/>
  <c r="T214" i="7"/>
  <c r="U214" i="7"/>
  <c r="V214" i="7"/>
  <c r="W214" i="7"/>
  <c r="X214" i="7"/>
  <c r="Y214" i="7"/>
  <c r="Z214" i="7"/>
  <c r="AA214" i="7"/>
  <c r="AB214" i="7"/>
  <c r="AC214" i="7"/>
  <c r="AD214" i="7"/>
  <c r="AE214" i="7"/>
  <c r="Q215" i="7"/>
  <c r="R215" i="7"/>
  <c r="S215" i="7"/>
  <c r="T215" i="7"/>
  <c r="U215" i="7"/>
  <c r="V215" i="7"/>
  <c r="W215" i="7"/>
  <c r="X215" i="7"/>
  <c r="Y215" i="7"/>
  <c r="Z215" i="7"/>
  <c r="AA215" i="7"/>
  <c r="AB215" i="7"/>
  <c r="AC215" i="7"/>
  <c r="AD215" i="7"/>
  <c r="AE215" i="7"/>
  <c r="Q216" i="7"/>
  <c r="R216" i="7"/>
  <c r="S216" i="7"/>
  <c r="T216" i="7"/>
  <c r="U216" i="7"/>
  <c r="V216" i="7"/>
  <c r="W216" i="7"/>
  <c r="X216" i="7"/>
  <c r="Y216" i="7"/>
  <c r="Z216" i="7"/>
  <c r="AA216" i="7"/>
  <c r="AB216" i="7"/>
  <c r="AC216" i="7"/>
  <c r="AD216" i="7"/>
  <c r="AE216" i="7"/>
  <c r="Q217" i="7"/>
  <c r="R217" i="7"/>
  <c r="S217" i="7"/>
  <c r="T217" i="7"/>
  <c r="U217" i="7"/>
  <c r="V217" i="7"/>
  <c r="W217" i="7"/>
  <c r="X217" i="7"/>
  <c r="Y217" i="7"/>
  <c r="Z217" i="7"/>
  <c r="AA217" i="7"/>
  <c r="AB217" i="7"/>
  <c r="AC217" i="7"/>
  <c r="AD217" i="7"/>
  <c r="AE217" i="7"/>
  <c r="Q218" i="7"/>
  <c r="R218" i="7"/>
  <c r="S218" i="7"/>
  <c r="T218" i="7"/>
  <c r="U218" i="7"/>
  <c r="V218" i="7"/>
  <c r="W218" i="7"/>
  <c r="X218" i="7"/>
  <c r="Y218" i="7"/>
  <c r="Z218" i="7"/>
  <c r="AA218" i="7"/>
  <c r="AB218" i="7"/>
  <c r="AC218" i="7"/>
  <c r="AD218" i="7"/>
  <c r="AE218" i="7"/>
  <c r="Q219" i="7"/>
  <c r="R219" i="7"/>
  <c r="S219" i="7"/>
  <c r="T219" i="7"/>
  <c r="U219" i="7"/>
  <c r="V219" i="7"/>
  <c r="W219" i="7"/>
  <c r="X219" i="7"/>
  <c r="Y219" i="7"/>
  <c r="Z219" i="7"/>
  <c r="AA219" i="7"/>
  <c r="AB219" i="7"/>
  <c r="AC219" i="7"/>
  <c r="AD219" i="7"/>
  <c r="AE219" i="7"/>
  <c r="Q220" i="7"/>
  <c r="R220" i="7"/>
  <c r="S220" i="7"/>
  <c r="T220" i="7"/>
  <c r="U220" i="7"/>
  <c r="V220" i="7"/>
  <c r="W220" i="7"/>
  <c r="X220" i="7"/>
  <c r="Y220" i="7"/>
  <c r="Z220" i="7"/>
  <c r="AA220" i="7"/>
  <c r="AB220" i="7"/>
  <c r="AC220" i="7"/>
  <c r="AD220" i="7"/>
  <c r="AE220" i="7"/>
  <c r="Q221" i="7"/>
  <c r="R221" i="7"/>
  <c r="S221" i="7"/>
  <c r="T221" i="7"/>
  <c r="U221" i="7"/>
  <c r="V221" i="7"/>
  <c r="W221" i="7"/>
  <c r="X221" i="7"/>
  <c r="Y221" i="7"/>
  <c r="Z221" i="7"/>
  <c r="AA221" i="7"/>
  <c r="AB221" i="7"/>
  <c r="AC221" i="7"/>
  <c r="AD221" i="7"/>
  <c r="AE221" i="7"/>
  <c r="Q222" i="7"/>
  <c r="R222" i="7"/>
  <c r="S222" i="7"/>
  <c r="T222" i="7"/>
  <c r="U222" i="7"/>
  <c r="V222" i="7"/>
  <c r="W222" i="7"/>
  <c r="X222" i="7"/>
  <c r="Y222" i="7"/>
  <c r="Z222" i="7"/>
  <c r="AA222" i="7"/>
  <c r="AB222" i="7"/>
  <c r="AC222" i="7"/>
  <c r="AD222" i="7"/>
  <c r="AE222" i="7"/>
  <c r="Q223" i="7"/>
  <c r="R223" i="7"/>
  <c r="S223" i="7"/>
  <c r="T223" i="7"/>
  <c r="U223" i="7"/>
  <c r="V223" i="7"/>
  <c r="W223" i="7"/>
  <c r="X223" i="7"/>
  <c r="Y223" i="7"/>
  <c r="Z223" i="7"/>
  <c r="AA223" i="7"/>
  <c r="AB223" i="7"/>
  <c r="AC223" i="7"/>
  <c r="AD223" i="7"/>
  <c r="AE223" i="7"/>
  <c r="Q224" i="7"/>
  <c r="R224" i="7"/>
  <c r="S224" i="7"/>
  <c r="T224" i="7"/>
  <c r="U224" i="7"/>
  <c r="V224" i="7"/>
  <c r="W224" i="7"/>
  <c r="X224" i="7"/>
  <c r="Y224" i="7"/>
  <c r="Z224" i="7"/>
  <c r="AA224" i="7"/>
  <c r="AB224" i="7"/>
  <c r="AC224" i="7"/>
  <c r="AD224" i="7"/>
  <c r="AE224" i="7"/>
  <c r="Q225" i="7"/>
  <c r="R225" i="7"/>
  <c r="S225" i="7"/>
  <c r="T225" i="7"/>
  <c r="U225" i="7"/>
  <c r="V225" i="7"/>
  <c r="W225" i="7"/>
  <c r="X225" i="7"/>
  <c r="Y225" i="7"/>
  <c r="Z225" i="7"/>
  <c r="AA225" i="7"/>
  <c r="AB225" i="7"/>
  <c r="AC225" i="7"/>
  <c r="AD225" i="7"/>
  <c r="AE225" i="7"/>
  <c r="Q226" i="7"/>
  <c r="R226" i="7"/>
  <c r="S226" i="7"/>
  <c r="T226" i="7"/>
  <c r="U226" i="7"/>
  <c r="V226" i="7"/>
  <c r="W226" i="7"/>
  <c r="X226" i="7"/>
  <c r="Y226" i="7"/>
  <c r="Z226" i="7"/>
  <c r="AA226" i="7"/>
  <c r="AB226" i="7"/>
  <c r="AC226" i="7"/>
  <c r="AD226" i="7"/>
  <c r="AE226" i="7"/>
  <c r="Q227" i="7"/>
  <c r="R227" i="7"/>
  <c r="S227" i="7"/>
  <c r="T227" i="7"/>
  <c r="U227" i="7"/>
  <c r="V227" i="7"/>
  <c r="W227" i="7"/>
  <c r="X227" i="7"/>
  <c r="Y227" i="7"/>
  <c r="Z227" i="7"/>
  <c r="AA227" i="7"/>
  <c r="AB227" i="7"/>
  <c r="AC227" i="7"/>
  <c r="AD227" i="7"/>
  <c r="AE227" i="7"/>
  <c r="Q228" i="7"/>
  <c r="R228" i="7"/>
  <c r="S228" i="7"/>
  <c r="T228" i="7"/>
  <c r="U228" i="7"/>
  <c r="V228" i="7"/>
  <c r="W228" i="7"/>
  <c r="X228" i="7"/>
  <c r="Y228" i="7"/>
  <c r="Z228" i="7"/>
  <c r="AA228" i="7"/>
  <c r="AB228" i="7"/>
  <c r="AC228" i="7"/>
  <c r="AD228" i="7"/>
  <c r="AE228" i="7"/>
  <c r="Q229" i="7"/>
  <c r="R229" i="7"/>
  <c r="S229" i="7"/>
  <c r="T229" i="7"/>
  <c r="U229" i="7"/>
  <c r="V229" i="7"/>
  <c r="W229" i="7"/>
  <c r="X229" i="7"/>
  <c r="Y229" i="7"/>
  <c r="Z229" i="7"/>
  <c r="AA229" i="7"/>
  <c r="AB229" i="7"/>
  <c r="AC229" i="7"/>
  <c r="AD229" i="7"/>
  <c r="AE229" i="7"/>
  <c r="Q230" i="7"/>
  <c r="R230" i="7"/>
  <c r="S230" i="7"/>
  <c r="T230" i="7"/>
  <c r="U230" i="7"/>
  <c r="V230" i="7"/>
  <c r="W230" i="7"/>
  <c r="X230" i="7"/>
  <c r="Y230" i="7"/>
  <c r="Z230" i="7"/>
  <c r="AA230" i="7"/>
  <c r="AB230" i="7"/>
  <c r="AC230" i="7"/>
  <c r="AD230" i="7"/>
  <c r="AE230" i="7"/>
  <c r="Q231" i="7"/>
  <c r="R231" i="7"/>
  <c r="S231" i="7"/>
  <c r="T231" i="7"/>
  <c r="U231" i="7"/>
  <c r="V231" i="7"/>
  <c r="W231" i="7"/>
  <c r="X231" i="7"/>
  <c r="Y231" i="7"/>
  <c r="Z231" i="7"/>
  <c r="AA231" i="7"/>
  <c r="AB231" i="7"/>
  <c r="AC231" i="7"/>
  <c r="AD231" i="7"/>
  <c r="AE231" i="7"/>
  <c r="Q232" i="7"/>
  <c r="R232" i="7"/>
  <c r="S232" i="7"/>
  <c r="T232" i="7"/>
  <c r="U232" i="7"/>
  <c r="V232" i="7"/>
  <c r="W232" i="7"/>
  <c r="X232" i="7"/>
  <c r="Y232" i="7"/>
  <c r="Z232" i="7"/>
  <c r="AA232" i="7"/>
  <c r="AB232" i="7"/>
  <c r="AC232" i="7"/>
  <c r="AD232" i="7"/>
  <c r="AE232" i="7"/>
  <c r="Q233" i="7"/>
  <c r="R233" i="7"/>
  <c r="S233" i="7"/>
  <c r="T233" i="7"/>
  <c r="U233" i="7"/>
  <c r="V233" i="7"/>
  <c r="W233" i="7"/>
  <c r="X233" i="7"/>
  <c r="Y233" i="7"/>
  <c r="Z233" i="7"/>
  <c r="AA233" i="7"/>
  <c r="AB233" i="7"/>
  <c r="AC233" i="7"/>
  <c r="AD233" i="7"/>
  <c r="AE233" i="7"/>
  <c r="Q234" i="7"/>
  <c r="R234" i="7"/>
  <c r="S234" i="7"/>
  <c r="T234" i="7"/>
  <c r="U234" i="7"/>
  <c r="V234" i="7"/>
  <c r="W234" i="7"/>
  <c r="X234" i="7"/>
  <c r="Y234" i="7"/>
  <c r="Z234" i="7"/>
  <c r="AA234" i="7"/>
  <c r="AB234" i="7"/>
  <c r="AC234" i="7"/>
  <c r="AD234" i="7"/>
  <c r="AE234" i="7"/>
  <c r="Q235" i="7"/>
  <c r="R235" i="7"/>
  <c r="S235" i="7"/>
  <c r="T235" i="7"/>
  <c r="U235" i="7"/>
  <c r="V235" i="7"/>
  <c r="W235" i="7"/>
  <c r="X235" i="7"/>
  <c r="Y235" i="7"/>
  <c r="Z235" i="7"/>
  <c r="AA235" i="7"/>
  <c r="AB235" i="7"/>
  <c r="AC235" i="7"/>
  <c r="AD235" i="7"/>
  <c r="AE235" i="7"/>
  <c r="Q236" i="7"/>
  <c r="R236" i="7"/>
  <c r="S236" i="7"/>
  <c r="T236" i="7"/>
  <c r="U236" i="7"/>
  <c r="V236" i="7"/>
  <c r="W236" i="7"/>
  <c r="X236" i="7"/>
  <c r="Y236" i="7"/>
  <c r="Z236" i="7"/>
  <c r="AA236" i="7"/>
  <c r="AB236" i="7"/>
  <c r="AC236" i="7"/>
  <c r="AD236" i="7"/>
  <c r="AE236" i="7"/>
  <c r="Q237" i="7"/>
  <c r="R237" i="7"/>
  <c r="S237" i="7"/>
  <c r="T237" i="7"/>
  <c r="U237" i="7"/>
  <c r="V237" i="7"/>
  <c r="W237" i="7"/>
  <c r="X237" i="7"/>
  <c r="Y237" i="7"/>
  <c r="Z237" i="7"/>
  <c r="AA237" i="7"/>
  <c r="AB237" i="7"/>
  <c r="AC237" i="7"/>
  <c r="AD237" i="7"/>
  <c r="AE237" i="7"/>
  <c r="Q238" i="7"/>
  <c r="R238" i="7"/>
  <c r="S238" i="7"/>
  <c r="T238" i="7"/>
  <c r="U238" i="7"/>
  <c r="V238" i="7"/>
  <c r="W238" i="7"/>
  <c r="X238" i="7"/>
  <c r="Y238" i="7"/>
  <c r="Z238" i="7"/>
  <c r="AA238" i="7"/>
  <c r="AB238" i="7"/>
  <c r="AC238" i="7"/>
  <c r="AD238" i="7"/>
  <c r="AE238" i="7"/>
  <c r="Q239" i="7"/>
  <c r="R239" i="7"/>
  <c r="S239" i="7"/>
  <c r="T239" i="7"/>
  <c r="U239" i="7"/>
  <c r="V239" i="7"/>
  <c r="W239" i="7"/>
  <c r="X239" i="7"/>
  <c r="Y239" i="7"/>
  <c r="Z239" i="7"/>
  <c r="AA239" i="7"/>
  <c r="AB239" i="7"/>
  <c r="AC239" i="7"/>
  <c r="AD239" i="7"/>
  <c r="AE239" i="7"/>
  <c r="Q240" i="7"/>
  <c r="R240" i="7"/>
  <c r="S240" i="7"/>
  <c r="T240" i="7"/>
  <c r="U240" i="7"/>
  <c r="V240" i="7"/>
  <c r="W240" i="7"/>
  <c r="X240" i="7"/>
  <c r="Y240" i="7"/>
  <c r="Z240" i="7"/>
  <c r="AA240" i="7"/>
  <c r="AB240" i="7"/>
  <c r="AC240" i="7"/>
  <c r="AD240" i="7"/>
  <c r="AE240" i="7"/>
  <c r="Q241" i="7"/>
  <c r="R241" i="7"/>
  <c r="S241" i="7"/>
  <c r="T241" i="7"/>
  <c r="U241" i="7"/>
  <c r="V241" i="7"/>
  <c r="W241" i="7"/>
  <c r="X241" i="7"/>
  <c r="Y241" i="7"/>
  <c r="Z241" i="7"/>
  <c r="AA241" i="7"/>
  <c r="AB241" i="7"/>
  <c r="AC241" i="7"/>
  <c r="AD241" i="7"/>
  <c r="AE241" i="7"/>
  <c r="Q242" i="7"/>
  <c r="R242" i="7"/>
  <c r="S242" i="7"/>
  <c r="T242" i="7"/>
  <c r="U242" i="7"/>
  <c r="V242" i="7"/>
  <c r="W242" i="7"/>
  <c r="X242" i="7"/>
  <c r="Y242" i="7"/>
  <c r="Z242" i="7"/>
  <c r="AA242" i="7"/>
  <c r="AB242" i="7"/>
  <c r="AC242" i="7"/>
  <c r="AD242" i="7"/>
  <c r="AE242" i="7"/>
  <c r="Q243" i="7"/>
  <c r="R243" i="7"/>
  <c r="S243" i="7"/>
  <c r="T243" i="7"/>
  <c r="U243" i="7"/>
  <c r="V243" i="7"/>
  <c r="W243" i="7"/>
  <c r="X243" i="7"/>
  <c r="Y243" i="7"/>
  <c r="Z243" i="7"/>
  <c r="AA243" i="7"/>
  <c r="AB243" i="7"/>
  <c r="AC243" i="7"/>
  <c r="AD243" i="7"/>
  <c r="AE243" i="7"/>
  <c r="Q244" i="7"/>
  <c r="R244" i="7"/>
  <c r="S244" i="7"/>
  <c r="T244" i="7"/>
  <c r="U244" i="7"/>
  <c r="V244" i="7"/>
  <c r="W244" i="7"/>
  <c r="X244" i="7"/>
  <c r="Y244" i="7"/>
  <c r="Z244" i="7"/>
  <c r="AA244" i="7"/>
  <c r="AB244" i="7"/>
  <c r="AC244" i="7"/>
  <c r="AD244" i="7"/>
  <c r="AE244" i="7"/>
  <c r="Q245" i="7"/>
  <c r="R245" i="7"/>
  <c r="S245" i="7"/>
  <c r="T245" i="7"/>
  <c r="U245" i="7"/>
  <c r="V245" i="7"/>
  <c r="W245" i="7"/>
  <c r="X245" i="7"/>
  <c r="Y245" i="7"/>
  <c r="Z245" i="7"/>
  <c r="AA245" i="7"/>
  <c r="AB245" i="7"/>
  <c r="AC245" i="7"/>
  <c r="AD245" i="7"/>
  <c r="AE245" i="7"/>
  <c r="Q246" i="7"/>
  <c r="R246" i="7"/>
  <c r="S246" i="7"/>
  <c r="T246" i="7"/>
  <c r="U246" i="7"/>
  <c r="V246" i="7"/>
  <c r="W246" i="7"/>
  <c r="X246" i="7"/>
  <c r="Y246" i="7"/>
  <c r="Z246" i="7"/>
  <c r="AA246" i="7"/>
  <c r="AB246" i="7"/>
  <c r="AC246" i="7"/>
  <c r="AD246" i="7"/>
  <c r="AE246" i="7"/>
  <c r="Q247" i="7"/>
  <c r="R247" i="7"/>
  <c r="S247" i="7"/>
  <c r="T247" i="7"/>
  <c r="U247" i="7"/>
  <c r="V247" i="7"/>
  <c r="W247" i="7"/>
  <c r="X247" i="7"/>
  <c r="Y247" i="7"/>
  <c r="Z247" i="7"/>
  <c r="AA247" i="7"/>
  <c r="AB247" i="7"/>
  <c r="AC247" i="7"/>
  <c r="AD247" i="7"/>
  <c r="AE247" i="7"/>
  <c r="Q248" i="7"/>
  <c r="R248" i="7"/>
  <c r="S248" i="7"/>
  <c r="T248" i="7"/>
  <c r="U248" i="7"/>
  <c r="V248" i="7"/>
  <c r="W248" i="7"/>
  <c r="X248" i="7"/>
  <c r="Y248" i="7"/>
  <c r="Z248" i="7"/>
  <c r="AA248" i="7"/>
  <c r="AB248" i="7"/>
  <c r="AC248" i="7"/>
  <c r="AD248" i="7"/>
  <c r="AE248" i="7"/>
  <c r="Q249" i="7"/>
  <c r="R249" i="7"/>
  <c r="S249" i="7"/>
  <c r="T249" i="7"/>
  <c r="U249" i="7"/>
  <c r="V249" i="7"/>
  <c r="W249" i="7"/>
  <c r="X249" i="7"/>
  <c r="Y249" i="7"/>
  <c r="Z249" i="7"/>
  <c r="AA249" i="7"/>
  <c r="AB249" i="7"/>
  <c r="AC249" i="7"/>
  <c r="AD249" i="7"/>
  <c r="AE249" i="7"/>
  <c r="Q250" i="7"/>
  <c r="R250" i="7"/>
  <c r="S250" i="7"/>
  <c r="T250" i="7"/>
  <c r="U250" i="7"/>
  <c r="V250" i="7"/>
  <c r="W250" i="7"/>
  <c r="X250" i="7"/>
  <c r="Y250" i="7"/>
  <c r="Z250" i="7"/>
  <c r="AA250" i="7"/>
  <c r="AB250" i="7"/>
  <c r="AC250" i="7"/>
  <c r="AD250" i="7"/>
  <c r="AE250" i="7"/>
  <c r="Q251" i="7"/>
  <c r="R251" i="7"/>
  <c r="S251" i="7"/>
  <c r="T251" i="7"/>
  <c r="U251" i="7"/>
  <c r="V251" i="7"/>
  <c r="W251" i="7"/>
  <c r="X251" i="7"/>
  <c r="Y251" i="7"/>
  <c r="Z251" i="7"/>
  <c r="AA251" i="7"/>
  <c r="AB251" i="7"/>
  <c r="AC251" i="7"/>
  <c r="AD251" i="7"/>
  <c r="AE251" i="7"/>
  <c r="Q252" i="7"/>
  <c r="R252" i="7"/>
  <c r="S252" i="7"/>
  <c r="T252" i="7"/>
  <c r="U252" i="7"/>
  <c r="V252" i="7"/>
  <c r="W252" i="7"/>
  <c r="X252" i="7"/>
  <c r="Y252" i="7"/>
  <c r="Z252" i="7"/>
  <c r="AA252" i="7"/>
  <c r="AB252" i="7"/>
  <c r="AC252" i="7"/>
  <c r="AD252" i="7"/>
  <c r="AE252" i="7"/>
  <c r="Q253" i="7"/>
  <c r="R253" i="7"/>
  <c r="S253" i="7"/>
  <c r="T253" i="7"/>
  <c r="U253" i="7"/>
  <c r="V253" i="7"/>
  <c r="W253" i="7"/>
  <c r="X253" i="7"/>
  <c r="Y253" i="7"/>
  <c r="Z253" i="7"/>
  <c r="AA253" i="7"/>
  <c r="AB253" i="7"/>
  <c r="AC253" i="7"/>
  <c r="AD253" i="7"/>
  <c r="AE253" i="7"/>
  <c r="Q254" i="7"/>
  <c r="R254" i="7"/>
  <c r="S254" i="7"/>
  <c r="T254" i="7"/>
  <c r="U254" i="7"/>
  <c r="V254" i="7"/>
  <c r="W254" i="7"/>
  <c r="X254" i="7"/>
  <c r="Y254" i="7"/>
  <c r="Z254" i="7"/>
  <c r="AA254" i="7"/>
  <c r="AB254" i="7"/>
  <c r="AC254" i="7"/>
  <c r="AD254" i="7"/>
  <c r="AE254" i="7"/>
  <c r="Q255" i="7"/>
  <c r="R255" i="7"/>
  <c r="S255" i="7"/>
  <c r="T255" i="7"/>
  <c r="U255" i="7"/>
  <c r="V255" i="7"/>
  <c r="W255" i="7"/>
  <c r="X255" i="7"/>
  <c r="Y255" i="7"/>
  <c r="Z255" i="7"/>
  <c r="AA255" i="7"/>
  <c r="AB255" i="7"/>
  <c r="AC255" i="7"/>
  <c r="AD255" i="7"/>
  <c r="AE255" i="7"/>
  <c r="Q256" i="7"/>
  <c r="R256" i="7"/>
  <c r="S256" i="7"/>
  <c r="T256" i="7"/>
  <c r="U256" i="7"/>
  <c r="V256" i="7"/>
  <c r="W256" i="7"/>
  <c r="X256" i="7"/>
  <c r="Y256" i="7"/>
  <c r="Z256" i="7"/>
  <c r="AA256" i="7"/>
  <c r="AB256" i="7"/>
  <c r="AC256" i="7"/>
  <c r="AD256" i="7"/>
  <c r="AE256" i="7"/>
  <c r="Q257" i="7"/>
  <c r="R257" i="7"/>
  <c r="S257" i="7"/>
  <c r="T257" i="7"/>
  <c r="U257" i="7"/>
  <c r="V257" i="7"/>
  <c r="W257" i="7"/>
  <c r="X257" i="7"/>
  <c r="Y257" i="7"/>
  <c r="Z257" i="7"/>
  <c r="AA257" i="7"/>
  <c r="AB257" i="7"/>
  <c r="AC257" i="7"/>
  <c r="AD257" i="7"/>
  <c r="AE257" i="7"/>
  <c r="Q258" i="7"/>
  <c r="R258" i="7"/>
  <c r="S258" i="7"/>
  <c r="T258" i="7"/>
  <c r="U258" i="7"/>
  <c r="V258" i="7"/>
  <c r="W258" i="7"/>
  <c r="X258" i="7"/>
  <c r="Y258" i="7"/>
  <c r="Z258" i="7"/>
  <c r="AA258" i="7"/>
  <c r="AB258" i="7"/>
  <c r="AC258" i="7"/>
  <c r="AD258" i="7"/>
  <c r="AE258" i="7"/>
  <c r="Q259" i="7"/>
  <c r="R259" i="7"/>
  <c r="S259" i="7"/>
  <c r="T259" i="7"/>
  <c r="U259" i="7"/>
  <c r="V259" i="7"/>
  <c r="W259" i="7"/>
  <c r="X259" i="7"/>
  <c r="Y259" i="7"/>
  <c r="Z259" i="7"/>
  <c r="AA259" i="7"/>
  <c r="AB259" i="7"/>
  <c r="AC259" i="7"/>
  <c r="AD259" i="7"/>
  <c r="AE259" i="7"/>
  <c r="Q260" i="7"/>
  <c r="R260" i="7"/>
  <c r="S260" i="7"/>
  <c r="T260" i="7"/>
  <c r="U260" i="7"/>
  <c r="V260" i="7"/>
  <c r="W260" i="7"/>
  <c r="X260" i="7"/>
  <c r="Y260" i="7"/>
  <c r="Z260" i="7"/>
  <c r="AA260" i="7"/>
  <c r="AB260" i="7"/>
  <c r="AC260" i="7"/>
  <c r="AD260" i="7"/>
  <c r="AE260" i="7"/>
  <c r="Q261" i="7"/>
  <c r="R261" i="7"/>
  <c r="S261" i="7"/>
  <c r="T261" i="7"/>
  <c r="U261" i="7"/>
  <c r="V261" i="7"/>
  <c r="W261" i="7"/>
  <c r="X261" i="7"/>
  <c r="Y261" i="7"/>
  <c r="Z261" i="7"/>
  <c r="AA261" i="7"/>
  <c r="AB261" i="7"/>
  <c r="AC261" i="7"/>
  <c r="AD261" i="7"/>
  <c r="AE261" i="7"/>
  <c r="Q262" i="7"/>
  <c r="R262" i="7"/>
  <c r="S262" i="7"/>
  <c r="T262" i="7"/>
  <c r="U262" i="7"/>
  <c r="V262" i="7"/>
  <c r="W262" i="7"/>
  <c r="X262" i="7"/>
  <c r="Y262" i="7"/>
  <c r="Z262" i="7"/>
  <c r="AA262" i="7"/>
  <c r="AB262" i="7"/>
  <c r="AC262" i="7"/>
  <c r="AD262" i="7"/>
  <c r="AE262" i="7"/>
  <c r="Q263" i="7"/>
  <c r="R263" i="7"/>
  <c r="S263" i="7"/>
  <c r="T263" i="7"/>
  <c r="U263" i="7"/>
  <c r="V263" i="7"/>
  <c r="W263" i="7"/>
  <c r="X263" i="7"/>
  <c r="Y263" i="7"/>
  <c r="Z263" i="7"/>
  <c r="AA263" i="7"/>
  <c r="AB263" i="7"/>
  <c r="AC263" i="7"/>
  <c r="AD263" i="7"/>
  <c r="AE263" i="7"/>
  <c r="Q264" i="7"/>
  <c r="R264" i="7"/>
  <c r="S264" i="7"/>
  <c r="T264" i="7"/>
  <c r="U264" i="7"/>
  <c r="V264" i="7"/>
  <c r="W264" i="7"/>
  <c r="X264" i="7"/>
  <c r="Y264" i="7"/>
  <c r="Z264" i="7"/>
  <c r="AA264" i="7"/>
  <c r="AB264" i="7"/>
  <c r="AC264" i="7"/>
  <c r="AD264" i="7"/>
  <c r="AE264" i="7"/>
  <c r="Q265" i="7"/>
  <c r="R265" i="7"/>
  <c r="S265" i="7"/>
  <c r="T265" i="7"/>
  <c r="U265" i="7"/>
  <c r="V265" i="7"/>
  <c r="W265" i="7"/>
  <c r="X265" i="7"/>
  <c r="Y265" i="7"/>
  <c r="Z265" i="7"/>
  <c r="AA265" i="7"/>
  <c r="AB265" i="7"/>
  <c r="AC265" i="7"/>
  <c r="AD265" i="7"/>
  <c r="AE265" i="7"/>
  <c r="Q266" i="7"/>
  <c r="R266" i="7"/>
  <c r="S266" i="7"/>
  <c r="T266" i="7"/>
  <c r="U266" i="7"/>
  <c r="V266" i="7"/>
  <c r="W266" i="7"/>
  <c r="X266" i="7"/>
  <c r="Y266" i="7"/>
  <c r="Z266" i="7"/>
  <c r="AA266" i="7"/>
  <c r="AB266" i="7"/>
  <c r="AC266" i="7"/>
  <c r="AD266" i="7"/>
  <c r="AE266" i="7"/>
  <c r="Q267" i="7"/>
  <c r="R267" i="7"/>
  <c r="S267" i="7"/>
  <c r="T267" i="7"/>
  <c r="U267" i="7"/>
  <c r="V267" i="7"/>
  <c r="W267" i="7"/>
  <c r="X267" i="7"/>
  <c r="Y267" i="7"/>
  <c r="Z267" i="7"/>
  <c r="AA267" i="7"/>
  <c r="AB267" i="7"/>
  <c r="AC267" i="7"/>
  <c r="AD267" i="7"/>
  <c r="AE267" i="7"/>
  <c r="Q268" i="7"/>
  <c r="R268" i="7"/>
  <c r="S268" i="7"/>
  <c r="T268" i="7"/>
  <c r="U268" i="7"/>
  <c r="V268" i="7"/>
  <c r="W268" i="7"/>
  <c r="X268" i="7"/>
  <c r="Y268" i="7"/>
  <c r="Z268" i="7"/>
  <c r="AA268" i="7"/>
  <c r="AB268" i="7"/>
  <c r="AC268" i="7"/>
  <c r="AD268" i="7"/>
  <c r="AE268" i="7"/>
  <c r="Q269" i="7"/>
  <c r="R269" i="7"/>
  <c r="S269" i="7"/>
  <c r="T269" i="7"/>
  <c r="U269" i="7"/>
  <c r="V269" i="7"/>
  <c r="W269" i="7"/>
  <c r="X269" i="7"/>
  <c r="Y269" i="7"/>
  <c r="Z269" i="7"/>
  <c r="AA269" i="7"/>
  <c r="AB269" i="7"/>
  <c r="AC269" i="7"/>
  <c r="AD269" i="7"/>
  <c r="AE269" i="7"/>
  <c r="Q270" i="7"/>
  <c r="R270" i="7"/>
  <c r="S270" i="7"/>
  <c r="T270" i="7"/>
  <c r="U270" i="7"/>
  <c r="V270" i="7"/>
  <c r="W270" i="7"/>
  <c r="X270" i="7"/>
  <c r="Y270" i="7"/>
  <c r="Z270" i="7"/>
  <c r="AA270" i="7"/>
  <c r="AB270" i="7"/>
  <c r="AC270" i="7"/>
  <c r="AD270" i="7"/>
  <c r="AE270" i="7"/>
  <c r="Q271" i="7"/>
  <c r="R271" i="7"/>
  <c r="S271" i="7"/>
  <c r="T271" i="7"/>
  <c r="U271" i="7"/>
  <c r="V271" i="7"/>
  <c r="W271" i="7"/>
  <c r="X271" i="7"/>
  <c r="Y271" i="7"/>
  <c r="Z271" i="7"/>
  <c r="AA271" i="7"/>
  <c r="AB271" i="7"/>
  <c r="AC271" i="7"/>
  <c r="AD271" i="7"/>
  <c r="AE271" i="7"/>
  <c r="Q272" i="7"/>
  <c r="R272" i="7"/>
  <c r="S272" i="7"/>
  <c r="T272" i="7"/>
  <c r="U272" i="7"/>
  <c r="V272" i="7"/>
  <c r="W272" i="7"/>
  <c r="X272" i="7"/>
  <c r="Y272" i="7"/>
  <c r="Z272" i="7"/>
  <c r="AA272" i="7"/>
  <c r="AB272" i="7"/>
  <c r="AC272" i="7"/>
  <c r="AD272" i="7"/>
  <c r="AE272" i="7"/>
  <c r="Q273" i="7"/>
  <c r="R273" i="7"/>
  <c r="S273" i="7"/>
  <c r="T273" i="7"/>
  <c r="U273" i="7"/>
  <c r="V273" i="7"/>
  <c r="W273" i="7"/>
  <c r="X273" i="7"/>
  <c r="Y273" i="7"/>
  <c r="Z273" i="7"/>
  <c r="AA273" i="7"/>
  <c r="AB273" i="7"/>
  <c r="AC273" i="7"/>
  <c r="AD273" i="7"/>
  <c r="AE273" i="7"/>
  <c r="Q274" i="7"/>
  <c r="R274" i="7"/>
  <c r="S274" i="7"/>
  <c r="T274" i="7"/>
  <c r="U274" i="7"/>
  <c r="V274" i="7"/>
  <c r="W274" i="7"/>
  <c r="X274" i="7"/>
  <c r="Y274" i="7"/>
  <c r="Z274" i="7"/>
  <c r="AA274" i="7"/>
  <c r="AB274" i="7"/>
  <c r="AC274" i="7"/>
  <c r="AD274" i="7"/>
  <c r="AE274" i="7"/>
  <c r="Q275" i="7"/>
  <c r="R275" i="7"/>
  <c r="S275" i="7"/>
  <c r="T275" i="7"/>
  <c r="U275" i="7"/>
  <c r="V275" i="7"/>
  <c r="W275" i="7"/>
  <c r="X275" i="7"/>
  <c r="Y275" i="7"/>
  <c r="Z275" i="7"/>
  <c r="AA275" i="7"/>
  <c r="AB275" i="7"/>
  <c r="AC275" i="7"/>
  <c r="AD275" i="7"/>
  <c r="AE275" i="7"/>
  <c r="Q276" i="7"/>
  <c r="R276" i="7"/>
  <c r="S276" i="7"/>
  <c r="T276" i="7"/>
  <c r="U276" i="7"/>
  <c r="V276" i="7"/>
  <c r="W276" i="7"/>
  <c r="X276" i="7"/>
  <c r="Y276" i="7"/>
  <c r="Z276" i="7"/>
  <c r="AA276" i="7"/>
  <c r="AB276" i="7"/>
  <c r="AC276" i="7"/>
  <c r="AD276" i="7"/>
  <c r="AE276" i="7"/>
  <c r="Q277" i="7"/>
  <c r="R277" i="7"/>
  <c r="S277" i="7"/>
  <c r="T277" i="7"/>
  <c r="U277" i="7"/>
  <c r="V277" i="7"/>
  <c r="W277" i="7"/>
  <c r="X277" i="7"/>
  <c r="Y277" i="7"/>
  <c r="Z277" i="7"/>
  <c r="AA277" i="7"/>
  <c r="AB277" i="7"/>
  <c r="AC277" i="7"/>
  <c r="AD277" i="7"/>
  <c r="AE277" i="7"/>
  <c r="Q278" i="7"/>
  <c r="R278" i="7"/>
  <c r="S278" i="7"/>
  <c r="T278" i="7"/>
  <c r="U278" i="7"/>
  <c r="V278" i="7"/>
  <c r="W278" i="7"/>
  <c r="X278" i="7"/>
  <c r="Y278" i="7"/>
  <c r="Z278" i="7"/>
  <c r="AA278" i="7"/>
  <c r="AB278" i="7"/>
  <c r="AC278" i="7"/>
  <c r="AD278" i="7"/>
  <c r="AE278" i="7"/>
  <c r="Q279" i="7"/>
  <c r="R279" i="7"/>
  <c r="S279" i="7"/>
  <c r="T279" i="7"/>
  <c r="U279" i="7"/>
  <c r="V279" i="7"/>
  <c r="W279" i="7"/>
  <c r="X279" i="7"/>
  <c r="Y279" i="7"/>
  <c r="Z279" i="7"/>
  <c r="AA279" i="7"/>
  <c r="AB279" i="7"/>
  <c r="AC279" i="7"/>
  <c r="AD279" i="7"/>
  <c r="AE279" i="7"/>
  <c r="Q280" i="7"/>
  <c r="R280" i="7"/>
  <c r="S280" i="7"/>
  <c r="T280" i="7"/>
  <c r="U280" i="7"/>
  <c r="V280" i="7"/>
  <c r="W280" i="7"/>
  <c r="X280" i="7"/>
  <c r="Y280" i="7"/>
  <c r="Z280" i="7"/>
  <c r="AA280" i="7"/>
  <c r="AB280" i="7"/>
  <c r="AC280" i="7"/>
  <c r="AD280" i="7"/>
  <c r="AE280" i="7"/>
  <c r="Q281" i="7"/>
  <c r="R281" i="7"/>
  <c r="S281" i="7"/>
  <c r="T281" i="7"/>
  <c r="U281" i="7"/>
  <c r="V281" i="7"/>
  <c r="W281" i="7"/>
  <c r="X281" i="7"/>
  <c r="Y281" i="7"/>
  <c r="Z281" i="7"/>
  <c r="AA281" i="7"/>
  <c r="AB281" i="7"/>
  <c r="AC281" i="7"/>
  <c r="AD281" i="7"/>
  <c r="AE281" i="7"/>
  <c r="Q282" i="7"/>
  <c r="R282" i="7"/>
  <c r="S282" i="7"/>
  <c r="T282" i="7"/>
  <c r="U282" i="7"/>
  <c r="V282" i="7"/>
  <c r="W282" i="7"/>
  <c r="X282" i="7"/>
  <c r="Y282" i="7"/>
  <c r="Z282" i="7"/>
  <c r="AA282" i="7"/>
  <c r="AB282" i="7"/>
  <c r="AC282" i="7"/>
  <c r="AD282" i="7"/>
  <c r="AE282" i="7"/>
  <c r="Q283" i="7"/>
  <c r="R283" i="7"/>
  <c r="S283" i="7"/>
  <c r="T283" i="7"/>
  <c r="U283" i="7"/>
  <c r="V283" i="7"/>
  <c r="W283" i="7"/>
  <c r="X283" i="7"/>
  <c r="Y283" i="7"/>
  <c r="Z283" i="7"/>
  <c r="AA283" i="7"/>
  <c r="AB283" i="7"/>
  <c r="AC283" i="7"/>
  <c r="AD283" i="7"/>
  <c r="AE283" i="7"/>
  <c r="Q284" i="7"/>
  <c r="R284" i="7"/>
  <c r="S284" i="7"/>
  <c r="T284" i="7"/>
  <c r="U284" i="7"/>
  <c r="V284" i="7"/>
  <c r="W284" i="7"/>
  <c r="X284" i="7"/>
  <c r="Y284" i="7"/>
  <c r="Z284" i="7"/>
  <c r="AA284" i="7"/>
  <c r="AB284" i="7"/>
  <c r="AC284" i="7"/>
  <c r="AD284" i="7"/>
  <c r="AE284" i="7"/>
  <c r="Q285" i="7"/>
  <c r="R285" i="7"/>
  <c r="S285" i="7"/>
  <c r="T285" i="7"/>
  <c r="U285" i="7"/>
  <c r="V285" i="7"/>
  <c r="W285" i="7"/>
  <c r="X285" i="7"/>
  <c r="Y285" i="7"/>
  <c r="Z285" i="7"/>
  <c r="AA285" i="7"/>
  <c r="AB285" i="7"/>
  <c r="AC285" i="7"/>
  <c r="AD285" i="7"/>
  <c r="AE285" i="7"/>
  <c r="Q286" i="7"/>
  <c r="R286" i="7"/>
  <c r="S286" i="7"/>
  <c r="T286" i="7"/>
  <c r="U286" i="7"/>
  <c r="V286" i="7"/>
  <c r="W286" i="7"/>
  <c r="X286" i="7"/>
  <c r="Y286" i="7"/>
  <c r="Z286" i="7"/>
  <c r="AA286" i="7"/>
  <c r="AB286" i="7"/>
  <c r="AC286" i="7"/>
  <c r="AD286" i="7"/>
  <c r="AE286" i="7"/>
  <c r="Q287" i="7"/>
  <c r="R287" i="7"/>
  <c r="S287" i="7"/>
  <c r="T287" i="7"/>
  <c r="U287" i="7"/>
  <c r="V287" i="7"/>
  <c r="W287" i="7"/>
  <c r="X287" i="7"/>
  <c r="Y287" i="7"/>
  <c r="Z287" i="7"/>
  <c r="AA287" i="7"/>
  <c r="AB287" i="7"/>
  <c r="AC287" i="7"/>
  <c r="AD287" i="7"/>
  <c r="AE287" i="7"/>
  <c r="Q288" i="7"/>
  <c r="R288" i="7"/>
  <c r="S288" i="7"/>
  <c r="T288" i="7"/>
  <c r="U288" i="7"/>
  <c r="V288" i="7"/>
  <c r="W288" i="7"/>
  <c r="X288" i="7"/>
  <c r="Y288" i="7"/>
  <c r="Z288" i="7"/>
  <c r="AA288" i="7"/>
  <c r="AB288" i="7"/>
  <c r="AC288" i="7"/>
  <c r="AD288" i="7"/>
  <c r="AE288" i="7"/>
  <c r="Q289" i="7"/>
  <c r="R289" i="7"/>
  <c r="S289" i="7"/>
  <c r="T289" i="7"/>
  <c r="U289" i="7"/>
  <c r="V289" i="7"/>
  <c r="W289" i="7"/>
  <c r="X289" i="7"/>
  <c r="Y289" i="7"/>
  <c r="Z289" i="7"/>
  <c r="AA289" i="7"/>
  <c r="AB289" i="7"/>
  <c r="AC289" i="7"/>
  <c r="AD289" i="7"/>
  <c r="AE289" i="7"/>
  <c r="Q290" i="7"/>
  <c r="R290" i="7"/>
  <c r="S290" i="7"/>
  <c r="T290" i="7"/>
  <c r="U290" i="7"/>
  <c r="V290" i="7"/>
  <c r="W290" i="7"/>
  <c r="X290" i="7"/>
  <c r="Y290" i="7"/>
  <c r="Z290" i="7"/>
  <c r="AA290" i="7"/>
  <c r="AB290" i="7"/>
  <c r="AC290" i="7"/>
  <c r="AD290" i="7"/>
  <c r="AE290" i="7"/>
  <c r="Q291" i="7"/>
  <c r="R291" i="7"/>
  <c r="S291" i="7"/>
  <c r="T291" i="7"/>
  <c r="U291" i="7"/>
  <c r="V291" i="7"/>
  <c r="W291" i="7"/>
  <c r="X291" i="7"/>
  <c r="Y291" i="7"/>
  <c r="Z291" i="7"/>
  <c r="AA291" i="7"/>
  <c r="AB291" i="7"/>
  <c r="AC291" i="7"/>
  <c r="AD291" i="7"/>
  <c r="AE291" i="7"/>
  <c r="Q292" i="7"/>
  <c r="R292" i="7"/>
  <c r="S292" i="7"/>
  <c r="T292" i="7"/>
  <c r="U292" i="7"/>
  <c r="V292" i="7"/>
  <c r="W292" i="7"/>
  <c r="X292" i="7"/>
  <c r="Y292" i="7"/>
  <c r="Z292" i="7"/>
  <c r="AA292" i="7"/>
  <c r="AB292" i="7"/>
  <c r="AC292" i="7"/>
  <c r="AD292" i="7"/>
  <c r="AE292" i="7"/>
  <c r="Q293" i="7"/>
  <c r="R293" i="7"/>
  <c r="S293" i="7"/>
  <c r="T293" i="7"/>
  <c r="U293" i="7"/>
  <c r="V293" i="7"/>
  <c r="W293" i="7"/>
  <c r="X293" i="7"/>
  <c r="Y293" i="7"/>
  <c r="Z293" i="7"/>
  <c r="AA293" i="7"/>
  <c r="AB293" i="7"/>
  <c r="AC293" i="7"/>
  <c r="AD293" i="7"/>
  <c r="AE293" i="7"/>
  <c r="Q294" i="7"/>
  <c r="R294" i="7"/>
  <c r="S294" i="7"/>
  <c r="T294" i="7"/>
  <c r="U294" i="7"/>
  <c r="V294" i="7"/>
  <c r="W294" i="7"/>
  <c r="X294" i="7"/>
  <c r="Y294" i="7"/>
  <c r="Z294" i="7"/>
  <c r="AA294" i="7"/>
  <c r="AB294" i="7"/>
  <c r="AC294" i="7"/>
  <c r="AD294" i="7"/>
  <c r="AE294" i="7"/>
  <c r="Q295" i="7"/>
  <c r="R295" i="7"/>
  <c r="S295" i="7"/>
  <c r="T295" i="7"/>
  <c r="U295" i="7"/>
  <c r="V295" i="7"/>
  <c r="W295" i="7"/>
  <c r="X295" i="7"/>
  <c r="Y295" i="7"/>
  <c r="Z295" i="7"/>
  <c r="AA295" i="7"/>
  <c r="AB295" i="7"/>
  <c r="AC295" i="7"/>
  <c r="AD295" i="7"/>
  <c r="AE295" i="7"/>
  <c r="Q296" i="7"/>
  <c r="R296" i="7"/>
  <c r="S296" i="7"/>
  <c r="T296" i="7"/>
  <c r="U296" i="7"/>
  <c r="V296" i="7"/>
  <c r="W296" i="7"/>
  <c r="X296" i="7"/>
  <c r="Y296" i="7"/>
  <c r="Z296" i="7"/>
  <c r="AA296" i="7"/>
  <c r="AB296" i="7"/>
  <c r="AC296" i="7"/>
  <c r="AD296" i="7"/>
  <c r="AE296" i="7"/>
  <c r="Q297" i="7"/>
  <c r="R297" i="7"/>
  <c r="S297" i="7"/>
  <c r="T297" i="7"/>
  <c r="U297" i="7"/>
  <c r="V297" i="7"/>
  <c r="W297" i="7"/>
  <c r="X297" i="7"/>
  <c r="Y297" i="7"/>
  <c r="Z297" i="7"/>
  <c r="AA297" i="7"/>
  <c r="AB297" i="7"/>
  <c r="AC297" i="7"/>
  <c r="AD297" i="7"/>
  <c r="AE297" i="7"/>
  <c r="Q298" i="7"/>
  <c r="R298" i="7"/>
  <c r="S298" i="7"/>
  <c r="T298" i="7"/>
  <c r="U298" i="7"/>
  <c r="V298" i="7"/>
  <c r="W298" i="7"/>
  <c r="X298" i="7"/>
  <c r="Y298" i="7"/>
  <c r="Z298" i="7"/>
  <c r="AA298" i="7"/>
  <c r="AB298" i="7"/>
  <c r="AC298" i="7"/>
  <c r="AD298" i="7"/>
  <c r="AE298" i="7"/>
  <c r="Q299" i="7"/>
  <c r="R299" i="7"/>
  <c r="S299" i="7"/>
  <c r="T299" i="7"/>
  <c r="U299" i="7"/>
  <c r="V299" i="7"/>
  <c r="W299" i="7"/>
  <c r="X299" i="7"/>
  <c r="Y299" i="7"/>
  <c r="Z299" i="7"/>
  <c r="AA299" i="7"/>
  <c r="AB299" i="7"/>
  <c r="AC299" i="7"/>
  <c r="AD299" i="7"/>
  <c r="AE299" i="7"/>
  <c r="Q300" i="7"/>
  <c r="R300" i="7"/>
  <c r="S300" i="7"/>
  <c r="T300" i="7"/>
  <c r="U300" i="7"/>
  <c r="V300" i="7"/>
  <c r="W300" i="7"/>
  <c r="X300" i="7"/>
  <c r="Y300" i="7"/>
  <c r="Z300" i="7"/>
  <c r="AA300" i="7"/>
  <c r="AB300" i="7"/>
  <c r="AC300" i="7"/>
  <c r="AD300" i="7"/>
  <c r="AE300" i="7"/>
  <c r="Q301" i="7"/>
  <c r="R301" i="7"/>
  <c r="S301" i="7"/>
  <c r="T301" i="7"/>
  <c r="U301" i="7"/>
  <c r="V301" i="7"/>
  <c r="W301" i="7"/>
  <c r="X301" i="7"/>
  <c r="Y301" i="7"/>
  <c r="Z301" i="7"/>
  <c r="AA301" i="7"/>
  <c r="AB301" i="7"/>
  <c r="AC301" i="7"/>
  <c r="AD301" i="7"/>
  <c r="AE301" i="7"/>
  <c r="Q302" i="7"/>
  <c r="R302" i="7"/>
  <c r="S302" i="7"/>
  <c r="T302" i="7"/>
  <c r="U302" i="7"/>
  <c r="V302" i="7"/>
  <c r="W302" i="7"/>
  <c r="X302" i="7"/>
  <c r="Y302" i="7"/>
  <c r="Z302" i="7"/>
  <c r="AA302" i="7"/>
  <c r="AB302" i="7"/>
  <c r="AC302" i="7"/>
  <c r="AD302" i="7"/>
  <c r="AE302" i="7"/>
  <c r="Q303" i="7"/>
  <c r="R303" i="7"/>
  <c r="S303" i="7"/>
  <c r="T303" i="7"/>
  <c r="U303" i="7"/>
  <c r="V303" i="7"/>
  <c r="W303" i="7"/>
  <c r="X303" i="7"/>
  <c r="Y303" i="7"/>
  <c r="Z303" i="7"/>
  <c r="AA303" i="7"/>
  <c r="AB303" i="7"/>
  <c r="AC303" i="7"/>
  <c r="AD303" i="7"/>
  <c r="AE303" i="7"/>
  <c r="Q304" i="7"/>
  <c r="R304" i="7"/>
  <c r="S304" i="7"/>
  <c r="T304" i="7"/>
  <c r="U304" i="7"/>
  <c r="V304" i="7"/>
  <c r="W304" i="7"/>
  <c r="X304" i="7"/>
  <c r="Y304" i="7"/>
  <c r="Z304" i="7"/>
  <c r="AA304" i="7"/>
  <c r="AB304" i="7"/>
  <c r="AC304" i="7"/>
  <c r="AD304" i="7"/>
  <c r="AE304" i="7"/>
  <c r="Q305" i="7"/>
  <c r="R305" i="7"/>
  <c r="S305" i="7"/>
  <c r="T305" i="7"/>
  <c r="U305" i="7"/>
  <c r="V305" i="7"/>
  <c r="W305" i="7"/>
  <c r="X305" i="7"/>
  <c r="Y305" i="7"/>
  <c r="Z305" i="7"/>
  <c r="AA305" i="7"/>
  <c r="AB305" i="7"/>
  <c r="AC305" i="7"/>
  <c r="AD305" i="7"/>
  <c r="AE305" i="7"/>
  <c r="Q306" i="7"/>
  <c r="R306" i="7"/>
  <c r="S306" i="7"/>
  <c r="T306" i="7"/>
  <c r="U306" i="7"/>
  <c r="V306" i="7"/>
  <c r="W306" i="7"/>
  <c r="X306" i="7"/>
  <c r="Y306" i="7"/>
  <c r="Z306" i="7"/>
  <c r="AA306" i="7"/>
  <c r="AB306" i="7"/>
  <c r="AC306" i="7"/>
  <c r="AD306" i="7"/>
  <c r="AE306" i="7"/>
  <c r="Q307" i="7"/>
  <c r="R307" i="7"/>
  <c r="S307" i="7"/>
  <c r="T307" i="7"/>
  <c r="U307" i="7"/>
  <c r="V307" i="7"/>
  <c r="W307" i="7"/>
  <c r="X307" i="7"/>
  <c r="Y307" i="7"/>
  <c r="Z307" i="7"/>
  <c r="AA307" i="7"/>
  <c r="AB307" i="7"/>
  <c r="AC307" i="7"/>
  <c r="AD307" i="7"/>
  <c r="AE307" i="7"/>
  <c r="Q308" i="7"/>
  <c r="R308" i="7"/>
  <c r="S308" i="7"/>
  <c r="T308" i="7"/>
  <c r="U308" i="7"/>
  <c r="V308" i="7"/>
  <c r="W308" i="7"/>
  <c r="X308" i="7"/>
  <c r="Y308" i="7"/>
  <c r="Z308" i="7"/>
  <c r="AA308" i="7"/>
  <c r="AB308" i="7"/>
  <c r="AC308" i="7"/>
  <c r="AD308" i="7"/>
  <c r="AE308" i="7"/>
  <c r="Q309" i="7"/>
  <c r="R309" i="7"/>
  <c r="S309" i="7"/>
  <c r="T309" i="7"/>
  <c r="U309" i="7"/>
  <c r="V309" i="7"/>
  <c r="W309" i="7"/>
  <c r="X309" i="7"/>
  <c r="Y309" i="7"/>
  <c r="Z309" i="7"/>
  <c r="AA309" i="7"/>
  <c r="AB309" i="7"/>
  <c r="AC309" i="7"/>
  <c r="AD309" i="7"/>
  <c r="AE309" i="7"/>
  <c r="Q310" i="7"/>
  <c r="R310" i="7"/>
  <c r="S310" i="7"/>
  <c r="T310" i="7"/>
  <c r="U310" i="7"/>
  <c r="V310" i="7"/>
  <c r="W310" i="7"/>
  <c r="X310" i="7"/>
  <c r="Y310" i="7"/>
  <c r="Z310" i="7"/>
  <c r="AA310" i="7"/>
  <c r="AB310" i="7"/>
  <c r="AC310" i="7"/>
  <c r="AD310" i="7"/>
  <c r="AE310" i="7"/>
  <c r="Q311" i="7"/>
  <c r="R311" i="7"/>
  <c r="S311" i="7"/>
  <c r="T311" i="7"/>
  <c r="U311" i="7"/>
  <c r="V311" i="7"/>
  <c r="W311" i="7"/>
  <c r="X311" i="7"/>
  <c r="Y311" i="7"/>
  <c r="Z311" i="7"/>
  <c r="AA311" i="7"/>
  <c r="AB311" i="7"/>
  <c r="AC311" i="7"/>
  <c r="AD311" i="7"/>
  <c r="AE311" i="7"/>
  <c r="Q312" i="7"/>
  <c r="R312" i="7"/>
  <c r="S312" i="7"/>
  <c r="T312" i="7"/>
  <c r="U312" i="7"/>
  <c r="V312" i="7"/>
  <c r="W312" i="7"/>
  <c r="X312" i="7"/>
  <c r="Y312" i="7"/>
  <c r="Z312" i="7"/>
  <c r="AA312" i="7"/>
  <c r="AB312" i="7"/>
  <c r="AC312" i="7"/>
  <c r="AD312" i="7"/>
  <c r="AE312" i="7"/>
  <c r="Q313" i="7"/>
  <c r="R313" i="7"/>
  <c r="S313" i="7"/>
  <c r="T313" i="7"/>
  <c r="U313" i="7"/>
  <c r="V313" i="7"/>
  <c r="W313" i="7"/>
  <c r="X313" i="7"/>
  <c r="Y313" i="7"/>
  <c r="Z313" i="7"/>
  <c r="AA313" i="7"/>
  <c r="AB313" i="7"/>
  <c r="AC313" i="7"/>
  <c r="AD313" i="7"/>
  <c r="AE313" i="7"/>
  <c r="Q314" i="7"/>
  <c r="R314" i="7"/>
  <c r="S314" i="7"/>
  <c r="T314" i="7"/>
  <c r="U314" i="7"/>
  <c r="V314" i="7"/>
  <c r="W314" i="7"/>
  <c r="X314" i="7"/>
  <c r="Y314" i="7"/>
  <c r="Z314" i="7"/>
  <c r="AA314" i="7"/>
  <c r="AB314" i="7"/>
  <c r="AC314" i="7"/>
  <c r="AD314" i="7"/>
  <c r="AE314" i="7"/>
  <c r="Q315" i="7"/>
  <c r="R315" i="7"/>
  <c r="S315" i="7"/>
  <c r="T315" i="7"/>
  <c r="U315" i="7"/>
  <c r="V315" i="7"/>
  <c r="W315" i="7"/>
  <c r="X315" i="7"/>
  <c r="Y315" i="7"/>
  <c r="Z315" i="7"/>
  <c r="AA315" i="7"/>
  <c r="AB315" i="7"/>
  <c r="AC315" i="7"/>
  <c r="AD315" i="7"/>
  <c r="AE315" i="7"/>
  <c r="Q316" i="7"/>
  <c r="R316" i="7"/>
  <c r="S316" i="7"/>
  <c r="T316" i="7"/>
  <c r="U316" i="7"/>
  <c r="V316" i="7"/>
  <c r="W316" i="7"/>
  <c r="X316" i="7"/>
  <c r="Y316" i="7"/>
  <c r="Z316" i="7"/>
  <c r="AA316" i="7"/>
  <c r="AB316" i="7"/>
  <c r="AC316" i="7"/>
  <c r="AD316" i="7"/>
  <c r="AE316" i="7"/>
  <c r="Q317" i="7"/>
  <c r="R317" i="7"/>
  <c r="S317" i="7"/>
  <c r="T317" i="7"/>
  <c r="U317" i="7"/>
  <c r="V317" i="7"/>
  <c r="W317" i="7"/>
  <c r="X317" i="7"/>
  <c r="Y317" i="7"/>
  <c r="Z317" i="7"/>
  <c r="AA317" i="7"/>
  <c r="AB317" i="7"/>
  <c r="AC317" i="7"/>
  <c r="AD317" i="7"/>
  <c r="AE317" i="7"/>
  <c r="Q318" i="7"/>
  <c r="R318" i="7"/>
  <c r="S318" i="7"/>
  <c r="T318" i="7"/>
  <c r="U318" i="7"/>
  <c r="V318" i="7"/>
  <c r="W318" i="7"/>
  <c r="X318" i="7"/>
  <c r="Y318" i="7"/>
  <c r="Z318" i="7"/>
  <c r="AA318" i="7"/>
  <c r="AB318" i="7"/>
  <c r="AC318" i="7"/>
  <c r="AD318" i="7"/>
  <c r="AE318" i="7"/>
  <c r="Q319" i="7"/>
  <c r="R319" i="7"/>
  <c r="S319" i="7"/>
  <c r="T319" i="7"/>
  <c r="U319" i="7"/>
  <c r="V319" i="7"/>
  <c r="W319" i="7"/>
  <c r="X319" i="7"/>
  <c r="Y319" i="7"/>
  <c r="Z319" i="7"/>
  <c r="AA319" i="7"/>
  <c r="AB319" i="7"/>
  <c r="AC319" i="7"/>
  <c r="AD319" i="7"/>
  <c r="AE319" i="7"/>
  <c r="Q320" i="7"/>
  <c r="R320" i="7"/>
  <c r="S320" i="7"/>
  <c r="T320" i="7"/>
  <c r="U320" i="7"/>
  <c r="V320" i="7"/>
  <c r="W320" i="7"/>
  <c r="X320" i="7"/>
  <c r="Y320" i="7"/>
  <c r="Z320" i="7"/>
  <c r="AA320" i="7"/>
  <c r="AB320" i="7"/>
  <c r="AC320" i="7"/>
  <c r="AD320" i="7"/>
  <c r="AE320" i="7"/>
  <c r="Q321" i="7"/>
  <c r="R321" i="7"/>
  <c r="S321" i="7"/>
  <c r="T321" i="7"/>
  <c r="U321" i="7"/>
  <c r="V321" i="7"/>
  <c r="W321" i="7"/>
  <c r="X321" i="7"/>
  <c r="Y321" i="7"/>
  <c r="Z321" i="7"/>
  <c r="AA321" i="7"/>
  <c r="AB321" i="7"/>
  <c r="AC321" i="7"/>
  <c r="AD321" i="7"/>
  <c r="AE321" i="7"/>
  <c r="Q322" i="7"/>
  <c r="R322" i="7"/>
  <c r="S322" i="7"/>
  <c r="T322" i="7"/>
  <c r="U322" i="7"/>
  <c r="V322" i="7"/>
  <c r="W322" i="7"/>
  <c r="X322" i="7"/>
  <c r="Y322" i="7"/>
  <c r="Z322" i="7"/>
  <c r="AA322" i="7"/>
  <c r="AB322" i="7"/>
  <c r="AC322" i="7"/>
  <c r="AD322" i="7"/>
  <c r="AE322" i="7"/>
  <c r="Q323" i="7"/>
  <c r="R323" i="7"/>
  <c r="S323" i="7"/>
  <c r="T323" i="7"/>
  <c r="U323" i="7"/>
  <c r="V323" i="7"/>
  <c r="W323" i="7"/>
  <c r="X323" i="7"/>
  <c r="Y323" i="7"/>
  <c r="Z323" i="7"/>
  <c r="AA323" i="7"/>
  <c r="AB323" i="7"/>
  <c r="AC323" i="7"/>
  <c r="AD323" i="7"/>
  <c r="AE323" i="7"/>
  <c r="Q324" i="7"/>
  <c r="R324" i="7"/>
  <c r="S324" i="7"/>
  <c r="T324" i="7"/>
  <c r="U324" i="7"/>
  <c r="V324" i="7"/>
  <c r="W324" i="7"/>
  <c r="X324" i="7"/>
  <c r="Y324" i="7"/>
  <c r="Z324" i="7"/>
  <c r="AA324" i="7"/>
  <c r="AB324" i="7"/>
  <c r="AC324" i="7"/>
  <c r="AD324" i="7"/>
  <c r="AE324" i="7"/>
  <c r="Q325" i="7"/>
  <c r="R325" i="7"/>
  <c r="S325" i="7"/>
  <c r="T325" i="7"/>
  <c r="U325" i="7"/>
  <c r="V325" i="7"/>
  <c r="W325" i="7"/>
  <c r="X325" i="7"/>
  <c r="Y325" i="7"/>
  <c r="Z325" i="7"/>
  <c r="AA325" i="7"/>
  <c r="AB325" i="7"/>
  <c r="AC325" i="7"/>
  <c r="AD325" i="7"/>
  <c r="AE325" i="7"/>
  <c r="Q326" i="7"/>
  <c r="R326" i="7"/>
  <c r="S326" i="7"/>
  <c r="T326" i="7"/>
  <c r="U326" i="7"/>
  <c r="V326" i="7"/>
  <c r="W326" i="7"/>
  <c r="X326" i="7"/>
  <c r="Y326" i="7"/>
  <c r="Z326" i="7"/>
  <c r="AA326" i="7"/>
  <c r="AB326" i="7"/>
  <c r="AC326" i="7"/>
  <c r="AD326" i="7"/>
  <c r="AE326" i="7"/>
  <c r="Q327" i="7"/>
  <c r="R327" i="7"/>
  <c r="S327" i="7"/>
  <c r="T327" i="7"/>
  <c r="U327" i="7"/>
  <c r="V327" i="7"/>
  <c r="W327" i="7"/>
  <c r="X327" i="7"/>
  <c r="Y327" i="7"/>
  <c r="Z327" i="7"/>
  <c r="AA327" i="7"/>
  <c r="AB327" i="7"/>
  <c r="AC327" i="7"/>
  <c r="AD327" i="7"/>
  <c r="AE327" i="7"/>
  <c r="Q328" i="7"/>
  <c r="R328" i="7"/>
  <c r="S328" i="7"/>
  <c r="T328" i="7"/>
  <c r="U328" i="7"/>
  <c r="V328" i="7"/>
  <c r="W328" i="7"/>
  <c r="X328" i="7"/>
  <c r="Y328" i="7"/>
  <c r="Z328" i="7"/>
  <c r="AA328" i="7"/>
  <c r="AB328" i="7"/>
  <c r="AC328" i="7"/>
  <c r="AD328" i="7"/>
  <c r="AE328" i="7"/>
  <c r="Q329" i="7"/>
  <c r="R329" i="7"/>
  <c r="S329" i="7"/>
  <c r="T329" i="7"/>
  <c r="U329" i="7"/>
  <c r="V329" i="7"/>
  <c r="W329" i="7"/>
  <c r="X329" i="7"/>
  <c r="Y329" i="7"/>
  <c r="Z329" i="7"/>
  <c r="AA329" i="7"/>
  <c r="AB329" i="7"/>
  <c r="AC329" i="7"/>
  <c r="AD329" i="7"/>
  <c r="AE329" i="7"/>
  <c r="Q330" i="7"/>
  <c r="R330" i="7"/>
  <c r="S330" i="7"/>
  <c r="T330" i="7"/>
  <c r="U330" i="7"/>
  <c r="V330" i="7"/>
  <c r="W330" i="7"/>
  <c r="X330" i="7"/>
  <c r="Y330" i="7"/>
  <c r="Z330" i="7"/>
  <c r="AA330" i="7"/>
  <c r="AB330" i="7"/>
  <c r="AC330" i="7"/>
  <c r="AD330" i="7"/>
  <c r="AE330" i="7"/>
  <c r="Q331" i="7"/>
  <c r="R331" i="7"/>
  <c r="S331" i="7"/>
  <c r="T331" i="7"/>
  <c r="U331" i="7"/>
  <c r="V331" i="7"/>
  <c r="W331" i="7"/>
  <c r="X331" i="7"/>
  <c r="Y331" i="7"/>
  <c r="Z331" i="7"/>
  <c r="AA331" i="7"/>
  <c r="AB331" i="7"/>
  <c r="AC331" i="7"/>
  <c r="AD331" i="7"/>
  <c r="AE331" i="7"/>
  <c r="Q332" i="7"/>
  <c r="R332" i="7"/>
  <c r="S332" i="7"/>
  <c r="T332" i="7"/>
  <c r="U332" i="7"/>
  <c r="V332" i="7"/>
  <c r="W332" i="7"/>
  <c r="X332" i="7"/>
  <c r="Y332" i="7"/>
  <c r="Z332" i="7"/>
  <c r="AA332" i="7"/>
  <c r="AB332" i="7"/>
  <c r="AC332" i="7"/>
  <c r="AD332" i="7"/>
  <c r="AE332" i="7"/>
  <c r="Q333" i="7"/>
  <c r="R333" i="7"/>
  <c r="S333" i="7"/>
  <c r="T333" i="7"/>
  <c r="U333" i="7"/>
  <c r="V333" i="7"/>
  <c r="W333" i="7"/>
  <c r="X333" i="7"/>
  <c r="Y333" i="7"/>
  <c r="Z333" i="7"/>
  <c r="AA333" i="7"/>
  <c r="AB333" i="7"/>
  <c r="AC333" i="7"/>
  <c r="AD333" i="7"/>
  <c r="AE333" i="7"/>
  <c r="Q334" i="7"/>
  <c r="R334" i="7"/>
  <c r="S334" i="7"/>
  <c r="T334" i="7"/>
  <c r="U334" i="7"/>
  <c r="V334" i="7"/>
  <c r="W334" i="7"/>
  <c r="X334" i="7"/>
  <c r="Y334" i="7"/>
  <c r="Z334" i="7"/>
  <c r="AA334" i="7"/>
  <c r="AB334" i="7"/>
  <c r="AC334" i="7"/>
  <c r="AD334" i="7"/>
  <c r="AE334" i="7"/>
  <c r="Q335" i="7"/>
  <c r="R335" i="7"/>
  <c r="S335" i="7"/>
  <c r="T335" i="7"/>
  <c r="U335" i="7"/>
  <c r="V335" i="7"/>
  <c r="W335" i="7"/>
  <c r="X335" i="7"/>
  <c r="Y335" i="7"/>
  <c r="Z335" i="7"/>
  <c r="AA335" i="7"/>
  <c r="AB335" i="7"/>
  <c r="AC335" i="7"/>
  <c r="AD335" i="7"/>
  <c r="AE335" i="7"/>
  <c r="Q336" i="7"/>
  <c r="R336" i="7"/>
  <c r="S336" i="7"/>
  <c r="T336" i="7"/>
  <c r="U336" i="7"/>
  <c r="V336" i="7"/>
  <c r="W336" i="7"/>
  <c r="X336" i="7"/>
  <c r="Y336" i="7"/>
  <c r="Z336" i="7"/>
  <c r="AA336" i="7"/>
  <c r="AB336" i="7"/>
  <c r="AC336" i="7"/>
  <c r="AD336" i="7"/>
  <c r="AE336" i="7"/>
  <c r="Q337" i="7"/>
  <c r="R337" i="7"/>
  <c r="S337" i="7"/>
  <c r="T337" i="7"/>
  <c r="U337" i="7"/>
  <c r="V337" i="7"/>
  <c r="W337" i="7"/>
  <c r="X337" i="7"/>
  <c r="Y337" i="7"/>
  <c r="Z337" i="7"/>
  <c r="AA337" i="7"/>
  <c r="AB337" i="7"/>
  <c r="AC337" i="7"/>
  <c r="AD337" i="7"/>
  <c r="AE337" i="7"/>
  <c r="Q338" i="7"/>
  <c r="R338" i="7"/>
  <c r="S338" i="7"/>
  <c r="T338" i="7"/>
  <c r="U338" i="7"/>
  <c r="V338" i="7"/>
  <c r="W338" i="7"/>
  <c r="X338" i="7"/>
  <c r="Y338" i="7"/>
  <c r="Z338" i="7"/>
  <c r="AA338" i="7"/>
  <c r="AB338" i="7"/>
  <c r="AC338" i="7"/>
  <c r="AD338" i="7"/>
  <c r="AE338" i="7"/>
  <c r="Q339" i="7"/>
  <c r="R339" i="7"/>
  <c r="S339" i="7"/>
  <c r="T339" i="7"/>
  <c r="U339" i="7"/>
  <c r="V339" i="7"/>
  <c r="W339" i="7"/>
  <c r="X339" i="7"/>
  <c r="Y339" i="7"/>
  <c r="Z339" i="7"/>
  <c r="AA339" i="7"/>
  <c r="AB339" i="7"/>
  <c r="AC339" i="7"/>
  <c r="AD339" i="7"/>
  <c r="AE339" i="7"/>
  <c r="Q340" i="7"/>
  <c r="R340" i="7"/>
  <c r="S340" i="7"/>
  <c r="T340" i="7"/>
  <c r="U340" i="7"/>
  <c r="V340" i="7"/>
  <c r="W340" i="7"/>
  <c r="X340" i="7"/>
  <c r="Y340" i="7"/>
  <c r="Z340" i="7"/>
  <c r="AA340" i="7"/>
  <c r="AB340" i="7"/>
  <c r="AC340" i="7"/>
  <c r="AD340" i="7"/>
  <c r="AE340" i="7"/>
  <c r="Q341" i="7"/>
  <c r="R341" i="7"/>
  <c r="S341" i="7"/>
  <c r="T341" i="7"/>
  <c r="U341" i="7"/>
  <c r="V341" i="7"/>
  <c r="W341" i="7"/>
  <c r="X341" i="7"/>
  <c r="Y341" i="7"/>
  <c r="Z341" i="7"/>
  <c r="AA341" i="7"/>
  <c r="AB341" i="7"/>
  <c r="AC341" i="7"/>
  <c r="AD341" i="7"/>
  <c r="AE341" i="7"/>
  <c r="Q342" i="7"/>
  <c r="R342" i="7"/>
  <c r="S342" i="7"/>
  <c r="T342" i="7"/>
  <c r="U342" i="7"/>
  <c r="V342" i="7"/>
  <c r="W342" i="7"/>
  <c r="X342" i="7"/>
  <c r="Y342" i="7"/>
  <c r="Z342" i="7"/>
  <c r="AA342" i="7"/>
  <c r="AB342" i="7"/>
  <c r="AC342" i="7"/>
  <c r="AD342" i="7"/>
  <c r="AE342" i="7"/>
  <c r="Q343" i="7"/>
  <c r="R343" i="7"/>
  <c r="S343" i="7"/>
  <c r="T343" i="7"/>
  <c r="U343" i="7"/>
  <c r="V343" i="7"/>
  <c r="W343" i="7"/>
  <c r="X343" i="7"/>
  <c r="Y343" i="7"/>
  <c r="Z343" i="7"/>
  <c r="AA343" i="7"/>
  <c r="AB343" i="7"/>
  <c r="AC343" i="7"/>
  <c r="AD343" i="7"/>
  <c r="AE343" i="7"/>
  <c r="Q344" i="7"/>
  <c r="R344" i="7"/>
  <c r="S344" i="7"/>
  <c r="T344" i="7"/>
  <c r="U344" i="7"/>
  <c r="V344" i="7"/>
  <c r="W344" i="7"/>
  <c r="X344" i="7"/>
  <c r="Y344" i="7"/>
  <c r="Z344" i="7"/>
  <c r="AA344" i="7"/>
  <c r="AB344" i="7"/>
  <c r="AC344" i="7"/>
  <c r="AD344" i="7"/>
  <c r="AE344" i="7"/>
  <c r="Q345" i="7"/>
  <c r="R345" i="7"/>
  <c r="S345" i="7"/>
  <c r="T345" i="7"/>
  <c r="U345" i="7"/>
  <c r="V345" i="7"/>
  <c r="W345" i="7"/>
  <c r="X345" i="7"/>
  <c r="Y345" i="7"/>
  <c r="Z345" i="7"/>
  <c r="AA345" i="7"/>
  <c r="AB345" i="7"/>
  <c r="AC345" i="7"/>
  <c r="AD345" i="7"/>
  <c r="AE345" i="7"/>
  <c r="Q346" i="7"/>
  <c r="R346" i="7"/>
  <c r="S346" i="7"/>
  <c r="T346" i="7"/>
  <c r="U346" i="7"/>
  <c r="V346" i="7"/>
  <c r="W346" i="7"/>
  <c r="X346" i="7"/>
  <c r="Y346" i="7"/>
  <c r="Z346" i="7"/>
  <c r="AA346" i="7"/>
  <c r="AB346" i="7"/>
  <c r="AC346" i="7"/>
  <c r="AD346" i="7"/>
  <c r="AE346" i="7"/>
  <c r="Q347" i="7"/>
  <c r="R347" i="7"/>
  <c r="S347" i="7"/>
  <c r="T347" i="7"/>
  <c r="U347" i="7"/>
  <c r="V347" i="7"/>
  <c r="W347" i="7"/>
  <c r="X347" i="7"/>
  <c r="Y347" i="7"/>
  <c r="Z347" i="7"/>
  <c r="AA347" i="7"/>
  <c r="AB347" i="7"/>
  <c r="AC347" i="7"/>
  <c r="AD347" i="7"/>
  <c r="AE347" i="7"/>
  <c r="Q348" i="7"/>
  <c r="R348" i="7"/>
  <c r="S348" i="7"/>
  <c r="T348" i="7"/>
  <c r="U348" i="7"/>
  <c r="V348" i="7"/>
  <c r="W348" i="7"/>
  <c r="X348" i="7"/>
  <c r="Y348" i="7"/>
  <c r="Z348" i="7"/>
  <c r="AA348" i="7"/>
  <c r="AB348" i="7"/>
  <c r="AC348" i="7"/>
  <c r="AD348" i="7"/>
  <c r="AE348" i="7"/>
  <c r="Q349" i="7"/>
  <c r="R349" i="7"/>
  <c r="S349" i="7"/>
  <c r="T349" i="7"/>
  <c r="U349" i="7"/>
  <c r="V349" i="7"/>
  <c r="W349" i="7"/>
  <c r="X349" i="7"/>
  <c r="Y349" i="7"/>
  <c r="Z349" i="7"/>
  <c r="AA349" i="7"/>
  <c r="AB349" i="7"/>
  <c r="AC349" i="7"/>
  <c r="AD349" i="7"/>
  <c r="AE349" i="7"/>
  <c r="Q350" i="7"/>
  <c r="R350" i="7"/>
  <c r="S350" i="7"/>
  <c r="T350" i="7"/>
  <c r="U350" i="7"/>
  <c r="V350" i="7"/>
  <c r="W350" i="7"/>
  <c r="X350" i="7"/>
  <c r="Y350" i="7"/>
  <c r="Z350" i="7"/>
  <c r="AA350" i="7"/>
  <c r="AB350" i="7"/>
  <c r="AC350" i="7"/>
  <c r="AD350" i="7"/>
  <c r="AE350" i="7"/>
  <c r="Q351" i="7"/>
  <c r="R351" i="7"/>
  <c r="S351" i="7"/>
  <c r="T351" i="7"/>
  <c r="U351" i="7"/>
  <c r="V351" i="7"/>
  <c r="W351" i="7"/>
  <c r="X351" i="7"/>
  <c r="Y351" i="7"/>
  <c r="Z351" i="7"/>
  <c r="AA351" i="7"/>
  <c r="AB351" i="7"/>
  <c r="AC351" i="7"/>
  <c r="AD351" i="7"/>
  <c r="AE351" i="7"/>
  <c r="Q352" i="7"/>
  <c r="R352" i="7"/>
  <c r="S352" i="7"/>
  <c r="T352" i="7"/>
  <c r="U352" i="7"/>
  <c r="V352" i="7"/>
  <c r="W352" i="7"/>
  <c r="X352" i="7"/>
  <c r="Y352" i="7"/>
  <c r="Z352" i="7"/>
  <c r="AA352" i="7"/>
  <c r="AB352" i="7"/>
  <c r="AC352" i="7"/>
  <c r="AD352" i="7"/>
  <c r="AE352" i="7"/>
  <c r="Q353" i="7"/>
  <c r="R353" i="7"/>
  <c r="S353" i="7"/>
  <c r="T353" i="7"/>
  <c r="U353" i="7"/>
  <c r="V353" i="7"/>
  <c r="W353" i="7"/>
  <c r="X353" i="7"/>
  <c r="Y353" i="7"/>
  <c r="Z353" i="7"/>
  <c r="AA353" i="7"/>
  <c r="AB353" i="7"/>
  <c r="AC353" i="7"/>
  <c r="AD353" i="7"/>
  <c r="AE353" i="7"/>
  <c r="Q354" i="7"/>
  <c r="R354" i="7"/>
  <c r="S354" i="7"/>
  <c r="T354" i="7"/>
  <c r="U354" i="7"/>
  <c r="V354" i="7"/>
  <c r="W354" i="7"/>
  <c r="X354" i="7"/>
  <c r="Y354" i="7"/>
  <c r="Z354" i="7"/>
  <c r="AA354" i="7"/>
  <c r="AB354" i="7"/>
  <c r="AC354" i="7"/>
  <c r="AD354" i="7"/>
  <c r="AE354" i="7"/>
  <c r="Q355" i="7"/>
  <c r="R355" i="7"/>
  <c r="S355" i="7"/>
  <c r="T355" i="7"/>
  <c r="U355" i="7"/>
  <c r="V355" i="7"/>
  <c r="W355" i="7"/>
  <c r="X355" i="7"/>
  <c r="Y355" i="7"/>
  <c r="Z355" i="7"/>
  <c r="AA355" i="7"/>
  <c r="AB355" i="7"/>
  <c r="AC355" i="7"/>
  <c r="AD355" i="7"/>
  <c r="AE355" i="7"/>
  <c r="Q356" i="7"/>
  <c r="R356" i="7"/>
  <c r="S356" i="7"/>
  <c r="T356" i="7"/>
  <c r="U356" i="7"/>
  <c r="V356" i="7"/>
  <c r="W356" i="7"/>
  <c r="X356" i="7"/>
  <c r="Y356" i="7"/>
  <c r="Z356" i="7"/>
  <c r="AA356" i="7"/>
  <c r="AB356" i="7"/>
  <c r="AC356" i="7"/>
  <c r="AD356" i="7"/>
  <c r="AE356" i="7"/>
  <c r="Q357" i="7"/>
  <c r="R357" i="7"/>
  <c r="S357" i="7"/>
  <c r="T357" i="7"/>
  <c r="U357" i="7"/>
  <c r="V357" i="7"/>
  <c r="W357" i="7"/>
  <c r="X357" i="7"/>
  <c r="Y357" i="7"/>
  <c r="Z357" i="7"/>
  <c r="AA357" i="7"/>
  <c r="AB357" i="7"/>
  <c r="AC357" i="7"/>
  <c r="AD357" i="7"/>
  <c r="AE357" i="7"/>
  <c r="Q358" i="7"/>
  <c r="R358" i="7"/>
  <c r="S358" i="7"/>
  <c r="T358" i="7"/>
  <c r="U358" i="7"/>
  <c r="V358" i="7"/>
  <c r="W358" i="7"/>
  <c r="X358" i="7"/>
  <c r="Y358" i="7"/>
  <c r="Z358" i="7"/>
  <c r="AA358" i="7"/>
  <c r="AB358" i="7"/>
  <c r="AC358" i="7"/>
  <c r="AD358" i="7"/>
  <c r="AE358" i="7"/>
  <c r="Q359" i="7"/>
  <c r="R359" i="7"/>
  <c r="S359" i="7"/>
  <c r="T359" i="7"/>
  <c r="U359" i="7"/>
  <c r="V359" i="7"/>
  <c r="W359" i="7"/>
  <c r="X359" i="7"/>
  <c r="Y359" i="7"/>
  <c r="Z359" i="7"/>
  <c r="AA359" i="7"/>
  <c r="AB359" i="7"/>
  <c r="AC359" i="7"/>
  <c r="AD359" i="7"/>
  <c r="AE359" i="7"/>
  <c r="Q360" i="7"/>
  <c r="R360" i="7"/>
  <c r="S360" i="7"/>
  <c r="T360" i="7"/>
  <c r="U360" i="7"/>
  <c r="V360" i="7"/>
  <c r="W360" i="7"/>
  <c r="X360" i="7"/>
  <c r="Y360" i="7"/>
  <c r="Z360" i="7"/>
  <c r="AA360" i="7"/>
  <c r="AB360" i="7"/>
  <c r="AC360" i="7"/>
  <c r="AD360" i="7"/>
  <c r="AE360" i="7"/>
  <c r="Q361" i="7"/>
  <c r="R361" i="7"/>
  <c r="S361" i="7"/>
  <c r="T361" i="7"/>
  <c r="U361" i="7"/>
  <c r="V361" i="7"/>
  <c r="W361" i="7"/>
  <c r="X361" i="7"/>
  <c r="Y361" i="7"/>
  <c r="Z361" i="7"/>
  <c r="AA361" i="7"/>
  <c r="AB361" i="7"/>
  <c r="AC361" i="7"/>
  <c r="AD361" i="7"/>
  <c r="AE361" i="7"/>
  <c r="Q362" i="7"/>
  <c r="R362" i="7"/>
  <c r="S362" i="7"/>
  <c r="T362" i="7"/>
  <c r="U362" i="7"/>
  <c r="V362" i="7"/>
  <c r="W362" i="7"/>
  <c r="X362" i="7"/>
  <c r="Y362" i="7"/>
  <c r="Z362" i="7"/>
  <c r="AA362" i="7"/>
  <c r="AB362" i="7"/>
  <c r="AC362" i="7"/>
  <c r="AD362" i="7"/>
  <c r="AE362" i="7"/>
  <c r="Q363" i="7"/>
  <c r="R363" i="7"/>
  <c r="S363" i="7"/>
  <c r="T363" i="7"/>
  <c r="U363" i="7"/>
  <c r="V363" i="7"/>
  <c r="W363" i="7"/>
  <c r="X363" i="7"/>
  <c r="Y363" i="7"/>
  <c r="Z363" i="7"/>
  <c r="AA363" i="7"/>
  <c r="AB363" i="7"/>
  <c r="AC363" i="7"/>
  <c r="AD363" i="7"/>
  <c r="AE363" i="7"/>
  <c r="Q364" i="7"/>
  <c r="R364" i="7"/>
  <c r="S364" i="7"/>
  <c r="T364" i="7"/>
  <c r="U364" i="7"/>
  <c r="V364" i="7"/>
  <c r="W364" i="7"/>
  <c r="X364" i="7"/>
  <c r="Y364" i="7"/>
  <c r="Z364" i="7"/>
  <c r="AA364" i="7"/>
  <c r="AB364" i="7"/>
  <c r="AC364" i="7"/>
  <c r="AD364" i="7"/>
  <c r="AE364" i="7"/>
  <c r="Q365" i="7"/>
  <c r="R365" i="7"/>
  <c r="S365" i="7"/>
  <c r="T365" i="7"/>
  <c r="U365" i="7"/>
  <c r="V365" i="7"/>
  <c r="W365" i="7"/>
  <c r="X365" i="7"/>
  <c r="Y365" i="7"/>
  <c r="Z365" i="7"/>
  <c r="AA365" i="7"/>
  <c r="AB365" i="7"/>
  <c r="AC365" i="7"/>
  <c r="AD365" i="7"/>
  <c r="AE365" i="7"/>
  <c r="Q366" i="7"/>
  <c r="R366" i="7"/>
  <c r="S366" i="7"/>
  <c r="T366" i="7"/>
  <c r="U366" i="7"/>
  <c r="V366" i="7"/>
  <c r="W366" i="7"/>
  <c r="X366" i="7"/>
  <c r="Y366" i="7"/>
  <c r="Z366" i="7"/>
  <c r="AA366" i="7"/>
  <c r="AB366" i="7"/>
  <c r="AC366" i="7"/>
  <c r="AD366" i="7"/>
  <c r="AE366" i="7"/>
  <c r="Q367" i="7"/>
  <c r="R367" i="7"/>
  <c r="S367" i="7"/>
  <c r="T367" i="7"/>
  <c r="U367" i="7"/>
  <c r="V367" i="7"/>
  <c r="W367" i="7"/>
  <c r="X367" i="7"/>
  <c r="Y367" i="7"/>
  <c r="Z367" i="7"/>
  <c r="AA367" i="7"/>
  <c r="AB367" i="7"/>
  <c r="AC367" i="7"/>
  <c r="AD367" i="7"/>
  <c r="AE367" i="7"/>
  <c r="Q368" i="7"/>
  <c r="R368" i="7"/>
  <c r="S368" i="7"/>
  <c r="T368" i="7"/>
  <c r="U368" i="7"/>
  <c r="V368" i="7"/>
  <c r="W368" i="7"/>
  <c r="X368" i="7"/>
  <c r="Y368" i="7"/>
  <c r="Z368" i="7"/>
  <c r="AA368" i="7"/>
  <c r="AB368" i="7"/>
  <c r="AC368" i="7"/>
  <c r="AD368" i="7"/>
  <c r="AE368" i="7"/>
  <c r="Q369" i="7"/>
  <c r="R369" i="7"/>
  <c r="S369" i="7"/>
  <c r="T369" i="7"/>
  <c r="U369" i="7"/>
  <c r="V369" i="7"/>
  <c r="W369" i="7"/>
  <c r="X369" i="7"/>
  <c r="Y369" i="7"/>
  <c r="Z369" i="7"/>
  <c r="AA369" i="7"/>
  <c r="AB369" i="7"/>
  <c r="AC369" i="7"/>
  <c r="AD369" i="7"/>
  <c r="AE369" i="7"/>
  <c r="Q370" i="7"/>
  <c r="R370" i="7"/>
  <c r="S370" i="7"/>
  <c r="T370" i="7"/>
  <c r="U370" i="7"/>
  <c r="V370" i="7"/>
  <c r="W370" i="7"/>
  <c r="X370" i="7"/>
  <c r="Y370" i="7"/>
  <c r="Z370" i="7"/>
  <c r="AA370" i="7"/>
  <c r="AB370" i="7"/>
  <c r="AC370" i="7"/>
  <c r="AD370" i="7"/>
  <c r="AE370" i="7"/>
  <c r="Q371" i="7"/>
  <c r="R371" i="7"/>
  <c r="S371" i="7"/>
  <c r="T371" i="7"/>
  <c r="U371" i="7"/>
  <c r="V371" i="7"/>
  <c r="W371" i="7"/>
  <c r="X371" i="7"/>
  <c r="Y371" i="7"/>
  <c r="Z371" i="7"/>
  <c r="AA371" i="7"/>
  <c r="AB371" i="7"/>
  <c r="AC371" i="7"/>
  <c r="AD371" i="7"/>
  <c r="AE371" i="7"/>
  <c r="Q372" i="7"/>
  <c r="R372" i="7"/>
  <c r="S372" i="7"/>
  <c r="T372" i="7"/>
  <c r="U372" i="7"/>
  <c r="V372" i="7"/>
  <c r="W372" i="7"/>
  <c r="X372" i="7"/>
  <c r="Y372" i="7"/>
  <c r="Z372" i="7"/>
  <c r="AA372" i="7"/>
  <c r="AB372" i="7"/>
  <c r="AC372" i="7"/>
  <c r="AD372" i="7"/>
  <c r="AE372" i="7"/>
  <c r="Q373" i="7"/>
  <c r="R373" i="7"/>
  <c r="S373" i="7"/>
  <c r="T373" i="7"/>
  <c r="U373" i="7"/>
  <c r="V373" i="7"/>
  <c r="W373" i="7"/>
  <c r="X373" i="7"/>
  <c r="Y373" i="7"/>
  <c r="Z373" i="7"/>
  <c r="AA373" i="7"/>
  <c r="AB373" i="7"/>
  <c r="AC373" i="7"/>
  <c r="AD373" i="7"/>
  <c r="AE373" i="7"/>
  <c r="Q374" i="7"/>
  <c r="R374" i="7"/>
  <c r="S374" i="7"/>
  <c r="T374" i="7"/>
  <c r="U374" i="7"/>
  <c r="V374" i="7"/>
  <c r="W374" i="7"/>
  <c r="X374" i="7"/>
  <c r="Y374" i="7"/>
  <c r="Z374" i="7"/>
  <c r="AA374" i="7"/>
  <c r="AB374" i="7"/>
  <c r="AC374" i="7"/>
  <c r="AD374" i="7"/>
  <c r="AE374" i="7"/>
  <c r="Q375" i="7"/>
  <c r="R375" i="7"/>
  <c r="S375" i="7"/>
  <c r="T375" i="7"/>
  <c r="U375" i="7"/>
  <c r="V375" i="7"/>
  <c r="W375" i="7"/>
  <c r="X375" i="7"/>
  <c r="Y375" i="7"/>
  <c r="Z375" i="7"/>
  <c r="AA375" i="7"/>
  <c r="AB375" i="7"/>
  <c r="AC375" i="7"/>
  <c r="AD375" i="7"/>
  <c r="AE375" i="7"/>
  <c r="Q376" i="7"/>
  <c r="R376" i="7"/>
  <c r="S376" i="7"/>
  <c r="T376" i="7"/>
  <c r="U376" i="7"/>
  <c r="V376" i="7"/>
  <c r="W376" i="7"/>
  <c r="X376" i="7"/>
  <c r="Y376" i="7"/>
  <c r="Z376" i="7"/>
  <c r="AA376" i="7"/>
  <c r="AB376" i="7"/>
  <c r="AC376" i="7"/>
  <c r="AD376" i="7"/>
  <c r="AE376" i="7"/>
  <c r="Q377" i="7"/>
  <c r="R377" i="7"/>
  <c r="S377" i="7"/>
  <c r="T377" i="7"/>
  <c r="U377" i="7"/>
  <c r="V377" i="7"/>
  <c r="W377" i="7"/>
  <c r="X377" i="7"/>
  <c r="Y377" i="7"/>
  <c r="Z377" i="7"/>
  <c r="AA377" i="7"/>
  <c r="AB377" i="7"/>
  <c r="AC377" i="7"/>
  <c r="AD377" i="7"/>
  <c r="AE377" i="7"/>
  <c r="Q378" i="7"/>
  <c r="R378" i="7"/>
  <c r="S378" i="7"/>
  <c r="T378" i="7"/>
  <c r="U378" i="7"/>
  <c r="V378" i="7"/>
  <c r="W378" i="7"/>
  <c r="X378" i="7"/>
  <c r="Y378" i="7"/>
  <c r="Z378" i="7"/>
  <c r="AA378" i="7"/>
  <c r="AB378" i="7"/>
  <c r="AC378" i="7"/>
  <c r="AD378" i="7"/>
  <c r="AE378" i="7"/>
  <c r="Q379" i="7"/>
  <c r="R379" i="7"/>
  <c r="S379" i="7"/>
  <c r="T379" i="7"/>
  <c r="U379" i="7"/>
  <c r="V379" i="7"/>
  <c r="W379" i="7"/>
  <c r="X379" i="7"/>
  <c r="Y379" i="7"/>
  <c r="Z379" i="7"/>
  <c r="AA379" i="7"/>
  <c r="AB379" i="7"/>
  <c r="AC379" i="7"/>
  <c r="AD379" i="7"/>
  <c r="AE379" i="7"/>
  <c r="Q380" i="7"/>
  <c r="R380" i="7"/>
  <c r="S380" i="7"/>
  <c r="T380" i="7"/>
  <c r="U380" i="7"/>
  <c r="V380" i="7"/>
  <c r="W380" i="7"/>
  <c r="X380" i="7"/>
  <c r="Y380" i="7"/>
  <c r="Z380" i="7"/>
  <c r="AA380" i="7"/>
  <c r="AB380" i="7"/>
  <c r="AC380" i="7"/>
  <c r="AD380" i="7"/>
  <c r="AE380" i="7"/>
  <c r="Q381" i="7"/>
  <c r="R381" i="7"/>
  <c r="S381" i="7"/>
  <c r="T381" i="7"/>
  <c r="U381" i="7"/>
  <c r="V381" i="7"/>
  <c r="W381" i="7"/>
  <c r="X381" i="7"/>
  <c r="Y381" i="7"/>
  <c r="Z381" i="7"/>
  <c r="AA381" i="7"/>
  <c r="AB381" i="7"/>
  <c r="AC381" i="7"/>
  <c r="AD381" i="7"/>
  <c r="AE381" i="7"/>
  <c r="Q382" i="7"/>
  <c r="R382" i="7"/>
  <c r="S382" i="7"/>
  <c r="T382" i="7"/>
  <c r="U382" i="7"/>
  <c r="V382" i="7"/>
  <c r="W382" i="7"/>
  <c r="X382" i="7"/>
  <c r="Y382" i="7"/>
  <c r="Z382" i="7"/>
  <c r="AA382" i="7"/>
  <c r="AB382" i="7"/>
  <c r="AC382" i="7"/>
  <c r="AD382" i="7"/>
  <c r="AE382" i="7"/>
  <c r="Q383" i="7"/>
  <c r="R383" i="7"/>
  <c r="S383" i="7"/>
  <c r="T383" i="7"/>
  <c r="U383" i="7"/>
  <c r="V383" i="7"/>
  <c r="W383" i="7"/>
  <c r="X383" i="7"/>
  <c r="Y383" i="7"/>
  <c r="Z383" i="7"/>
  <c r="AA383" i="7"/>
  <c r="AB383" i="7"/>
  <c r="AC383" i="7"/>
  <c r="AD383" i="7"/>
  <c r="AE383" i="7"/>
  <c r="Q384" i="7"/>
  <c r="R384" i="7"/>
  <c r="S384" i="7"/>
  <c r="T384" i="7"/>
  <c r="U384" i="7"/>
  <c r="V384" i="7"/>
  <c r="W384" i="7"/>
  <c r="X384" i="7"/>
  <c r="Y384" i="7"/>
  <c r="Z384" i="7"/>
  <c r="AA384" i="7"/>
  <c r="AB384" i="7"/>
  <c r="AC384" i="7"/>
  <c r="AD384" i="7"/>
  <c r="AE384" i="7"/>
  <c r="Q385" i="7"/>
  <c r="R385" i="7"/>
  <c r="S385" i="7"/>
  <c r="T385" i="7"/>
  <c r="U385" i="7"/>
  <c r="V385" i="7"/>
  <c r="W385" i="7"/>
  <c r="X385" i="7"/>
  <c r="Y385" i="7"/>
  <c r="Z385" i="7"/>
  <c r="AA385" i="7"/>
  <c r="AB385" i="7"/>
  <c r="AC385" i="7"/>
  <c r="AD385" i="7"/>
  <c r="AE385" i="7"/>
  <c r="Q386" i="7"/>
  <c r="R386" i="7"/>
  <c r="S386" i="7"/>
  <c r="T386" i="7"/>
  <c r="U386" i="7"/>
  <c r="V386" i="7"/>
  <c r="W386" i="7"/>
  <c r="X386" i="7"/>
  <c r="Y386" i="7"/>
  <c r="Z386" i="7"/>
  <c r="AA386" i="7"/>
  <c r="AB386" i="7"/>
  <c r="AC386" i="7"/>
  <c r="AD386" i="7"/>
  <c r="AE386" i="7"/>
  <c r="Q387" i="7"/>
  <c r="R387" i="7"/>
  <c r="S387" i="7"/>
  <c r="T387" i="7"/>
  <c r="U387" i="7"/>
  <c r="V387" i="7"/>
  <c r="W387" i="7"/>
  <c r="X387" i="7"/>
  <c r="Y387" i="7"/>
  <c r="Z387" i="7"/>
  <c r="AA387" i="7"/>
  <c r="AB387" i="7"/>
  <c r="AC387" i="7"/>
  <c r="AD387" i="7"/>
  <c r="AE387" i="7"/>
  <c r="Q388" i="7"/>
  <c r="R388" i="7"/>
  <c r="S388" i="7"/>
  <c r="T388" i="7"/>
  <c r="U388" i="7"/>
  <c r="V388" i="7"/>
  <c r="W388" i="7"/>
  <c r="X388" i="7"/>
  <c r="Y388" i="7"/>
  <c r="Z388" i="7"/>
  <c r="AA388" i="7"/>
  <c r="AB388" i="7"/>
  <c r="AC388" i="7"/>
  <c r="AD388" i="7"/>
  <c r="AE388" i="7"/>
  <c r="Q389" i="7"/>
  <c r="R389" i="7"/>
  <c r="S389" i="7"/>
  <c r="T389" i="7"/>
  <c r="U389" i="7"/>
  <c r="V389" i="7"/>
  <c r="W389" i="7"/>
  <c r="X389" i="7"/>
  <c r="Y389" i="7"/>
  <c r="Z389" i="7"/>
  <c r="AA389" i="7"/>
  <c r="AB389" i="7"/>
  <c r="AC389" i="7"/>
  <c r="AD389" i="7"/>
  <c r="AE389" i="7"/>
  <c r="Q390" i="7"/>
  <c r="R390" i="7"/>
  <c r="S390" i="7"/>
  <c r="T390" i="7"/>
  <c r="U390" i="7"/>
  <c r="V390" i="7"/>
  <c r="W390" i="7"/>
  <c r="X390" i="7"/>
  <c r="Y390" i="7"/>
  <c r="Z390" i="7"/>
  <c r="AA390" i="7"/>
  <c r="AB390" i="7"/>
  <c r="AC390" i="7"/>
  <c r="AD390" i="7"/>
  <c r="AE390" i="7"/>
  <c r="Q391" i="7"/>
  <c r="R391" i="7"/>
  <c r="S391" i="7"/>
  <c r="T391" i="7"/>
  <c r="U391" i="7"/>
  <c r="V391" i="7"/>
  <c r="W391" i="7"/>
  <c r="X391" i="7"/>
  <c r="Y391" i="7"/>
  <c r="Z391" i="7"/>
  <c r="AA391" i="7"/>
  <c r="AB391" i="7"/>
  <c r="AC391" i="7"/>
  <c r="AD391" i="7"/>
  <c r="AE391" i="7"/>
  <c r="Q392" i="7"/>
  <c r="R392" i="7"/>
  <c r="S392" i="7"/>
  <c r="T392" i="7"/>
  <c r="U392" i="7"/>
  <c r="V392" i="7"/>
  <c r="W392" i="7"/>
  <c r="X392" i="7"/>
  <c r="Y392" i="7"/>
  <c r="Z392" i="7"/>
  <c r="AA392" i="7"/>
  <c r="AB392" i="7"/>
  <c r="AC392" i="7"/>
  <c r="AD392" i="7"/>
  <c r="AE392" i="7"/>
  <c r="Q393" i="7"/>
  <c r="R393" i="7"/>
  <c r="S393" i="7"/>
  <c r="T393" i="7"/>
  <c r="U393" i="7"/>
  <c r="V393" i="7"/>
  <c r="W393" i="7"/>
  <c r="X393" i="7"/>
  <c r="Y393" i="7"/>
  <c r="Z393" i="7"/>
  <c r="AA393" i="7"/>
  <c r="AB393" i="7"/>
  <c r="AC393" i="7"/>
  <c r="AD393" i="7"/>
  <c r="AE393" i="7"/>
  <c r="Q394" i="7"/>
  <c r="R394" i="7"/>
  <c r="S394" i="7"/>
  <c r="T394" i="7"/>
  <c r="U394" i="7"/>
  <c r="V394" i="7"/>
  <c r="W394" i="7"/>
  <c r="X394" i="7"/>
  <c r="Y394" i="7"/>
  <c r="Z394" i="7"/>
  <c r="AA394" i="7"/>
  <c r="AB394" i="7"/>
  <c r="AC394" i="7"/>
  <c r="AD394" i="7"/>
  <c r="AE394" i="7"/>
  <c r="Q395" i="7"/>
  <c r="R395" i="7"/>
  <c r="S395" i="7"/>
  <c r="T395" i="7"/>
  <c r="U395" i="7"/>
  <c r="V395" i="7"/>
  <c r="W395" i="7"/>
  <c r="X395" i="7"/>
  <c r="Y395" i="7"/>
  <c r="Z395" i="7"/>
  <c r="AA395" i="7"/>
  <c r="AB395" i="7"/>
  <c r="AC395" i="7"/>
  <c r="AD395" i="7"/>
  <c r="AE395" i="7"/>
  <c r="Q396" i="7"/>
  <c r="R396" i="7"/>
  <c r="S396" i="7"/>
  <c r="T396" i="7"/>
  <c r="U396" i="7"/>
  <c r="V396" i="7"/>
  <c r="W396" i="7"/>
  <c r="X396" i="7"/>
  <c r="Y396" i="7"/>
  <c r="Z396" i="7"/>
  <c r="AA396" i="7"/>
  <c r="AB396" i="7"/>
  <c r="AC396" i="7"/>
  <c r="AD396" i="7"/>
  <c r="AE396" i="7"/>
  <c r="Q397" i="7"/>
  <c r="R397" i="7"/>
  <c r="S397" i="7"/>
  <c r="T397" i="7"/>
  <c r="U397" i="7"/>
  <c r="V397" i="7"/>
  <c r="W397" i="7"/>
  <c r="X397" i="7"/>
  <c r="Y397" i="7"/>
  <c r="Z397" i="7"/>
  <c r="AA397" i="7"/>
  <c r="AB397" i="7"/>
  <c r="AC397" i="7"/>
  <c r="AD397" i="7"/>
  <c r="AE397" i="7"/>
  <c r="Q398" i="7"/>
  <c r="R398" i="7"/>
  <c r="S398" i="7"/>
  <c r="T398" i="7"/>
  <c r="U398" i="7"/>
  <c r="V398" i="7"/>
  <c r="W398" i="7"/>
  <c r="X398" i="7"/>
  <c r="Y398" i="7"/>
  <c r="Z398" i="7"/>
  <c r="AA398" i="7"/>
  <c r="AB398" i="7"/>
  <c r="AC398" i="7"/>
  <c r="AD398" i="7"/>
  <c r="AE398" i="7"/>
  <c r="Q399" i="7"/>
  <c r="R399" i="7"/>
  <c r="S399" i="7"/>
  <c r="T399" i="7"/>
  <c r="U399" i="7"/>
  <c r="V399" i="7"/>
  <c r="W399" i="7"/>
  <c r="X399" i="7"/>
  <c r="Y399" i="7"/>
  <c r="Z399" i="7"/>
  <c r="AA399" i="7"/>
  <c r="AB399" i="7"/>
  <c r="AC399" i="7"/>
  <c r="AD399" i="7"/>
  <c r="AE399" i="7"/>
  <c r="Q400" i="7"/>
  <c r="R400" i="7"/>
  <c r="S400" i="7"/>
  <c r="T400" i="7"/>
  <c r="U400" i="7"/>
  <c r="V400" i="7"/>
  <c r="W400" i="7"/>
  <c r="X400" i="7"/>
  <c r="Y400" i="7"/>
  <c r="Z400" i="7"/>
  <c r="AA400" i="7"/>
  <c r="AB400" i="7"/>
  <c r="AC400" i="7"/>
  <c r="AD400" i="7"/>
  <c r="AE400" i="7"/>
  <c r="Q401" i="7"/>
  <c r="R401" i="7"/>
  <c r="S401" i="7"/>
  <c r="T401" i="7"/>
  <c r="U401" i="7"/>
  <c r="V401" i="7"/>
  <c r="W401" i="7"/>
  <c r="X401" i="7"/>
  <c r="Y401" i="7"/>
  <c r="Z401" i="7"/>
  <c r="AA401" i="7"/>
  <c r="AB401" i="7"/>
  <c r="AC401" i="7"/>
  <c r="AD401" i="7"/>
  <c r="AE401" i="7"/>
  <c r="Q402" i="7"/>
  <c r="R402" i="7"/>
  <c r="S402" i="7"/>
  <c r="T402" i="7"/>
  <c r="U402" i="7"/>
  <c r="V402" i="7"/>
  <c r="W402" i="7"/>
  <c r="X402" i="7"/>
  <c r="Y402" i="7"/>
  <c r="Z402" i="7"/>
  <c r="AA402" i="7"/>
  <c r="AB402" i="7"/>
  <c r="AC402" i="7"/>
  <c r="AD402" i="7"/>
  <c r="AE402" i="7"/>
  <c r="Q403" i="7"/>
  <c r="R403" i="7"/>
  <c r="S403" i="7"/>
  <c r="T403" i="7"/>
  <c r="U403" i="7"/>
  <c r="V403" i="7"/>
  <c r="W403" i="7"/>
  <c r="X403" i="7"/>
  <c r="Y403" i="7"/>
  <c r="Z403" i="7"/>
  <c r="AA403" i="7"/>
  <c r="AB403" i="7"/>
  <c r="AC403" i="7"/>
  <c r="AD403" i="7"/>
  <c r="AE403" i="7"/>
  <c r="Q404" i="7"/>
  <c r="R404" i="7"/>
  <c r="S404" i="7"/>
  <c r="T404" i="7"/>
  <c r="U404" i="7"/>
  <c r="V404" i="7"/>
  <c r="W404" i="7"/>
  <c r="X404" i="7"/>
  <c r="Y404" i="7"/>
  <c r="Z404" i="7"/>
  <c r="AA404" i="7"/>
  <c r="AB404" i="7"/>
  <c r="AC404" i="7"/>
  <c r="AD404" i="7"/>
  <c r="AE404" i="7"/>
  <c r="Q405" i="7"/>
  <c r="R405" i="7"/>
  <c r="S405" i="7"/>
  <c r="T405" i="7"/>
  <c r="U405" i="7"/>
  <c r="V405" i="7"/>
  <c r="W405" i="7"/>
  <c r="X405" i="7"/>
  <c r="Y405" i="7"/>
  <c r="Z405" i="7"/>
  <c r="AA405" i="7"/>
  <c r="AB405" i="7"/>
  <c r="AC405" i="7"/>
  <c r="AD405" i="7"/>
  <c r="AE405" i="7"/>
  <c r="Q406" i="7"/>
  <c r="R406" i="7"/>
  <c r="S406" i="7"/>
  <c r="T406" i="7"/>
  <c r="U406" i="7"/>
  <c r="V406" i="7"/>
  <c r="W406" i="7"/>
  <c r="X406" i="7"/>
  <c r="Y406" i="7"/>
  <c r="Z406" i="7"/>
  <c r="AA406" i="7"/>
  <c r="AB406" i="7"/>
  <c r="AC406" i="7"/>
  <c r="AD406" i="7"/>
  <c r="AE406" i="7"/>
  <c r="Q407" i="7"/>
  <c r="R407" i="7"/>
  <c r="S407" i="7"/>
  <c r="T407" i="7"/>
  <c r="U407" i="7"/>
  <c r="V407" i="7"/>
  <c r="W407" i="7"/>
  <c r="X407" i="7"/>
  <c r="Y407" i="7"/>
  <c r="Z407" i="7"/>
  <c r="AA407" i="7"/>
  <c r="AB407" i="7"/>
  <c r="AC407" i="7"/>
  <c r="AD407" i="7"/>
  <c r="AE407" i="7"/>
  <c r="Q408" i="7"/>
  <c r="R408" i="7"/>
  <c r="S408" i="7"/>
  <c r="T408" i="7"/>
  <c r="U408" i="7"/>
  <c r="V408" i="7"/>
  <c r="W408" i="7"/>
  <c r="X408" i="7"/>
  <c r="Y408" i="7"/>
  <c r="Z408" i="7"/>
  <c r="AA408" i="7"/>
  <c r="AB408" i="7"/>
  <c r="AC408" i="7"/>
  <c r="AD408" i="7"/>
  <c r="AE408" i="7"/>
  <c r="Q409" i="7"/>
  <c r="R409" i="7"/>
  <c r="S409" i="7"/>
  <c r="T409" i="7"/>
  <c r="U409" i="7"/>
  <c r="V409" i="7"/>
  <c r="W409" i="7"/>
  <c r="X409" i="7"/>
  <c r="Y409" i="7"/>
  <c r="Z409" i="7"/>
  <c r="AA409" i="7"/>
  <c r="AB409" i="7"/>
  <c r="AC409" i="7"/>
  <c r="AD409" i="7"/>
  <c r="AE409" i="7"/>
  <c r="Q410" i="7"/>
  <c r="R410" i="7"/>
  <c r="S410" i="7"/>
  <c r="T410" i="7"/>
  <c r="U410" i="7"/>
  <c r="V410" i="7"/>
  <c r="W410" i="7"/>
  <c r="X410" i="7"/>
  <c r="Y410" i="7"/>
  <c r="Z410" i="7"/>
  <c r="AA410" i="7"/>
  <c r="AB410" i="7"/>
  <c r="AC410" i="7"/>
  <c r="AD410" i="7"/>
  <c r="AE410" i="7"/>
  <c r="Q411" i="7"/>
  <c r="R411" i="7"/>
  <c r="S411" i="7"/>
  <c r="T411" i="7"/>
  <c r="U411" i="7"/>
  <c r="V411" i="7"/>
  <c r="W411" i="7"/>
  <c r="X411" i="7"/>
  <c r="Y411" i="7"/>
  <c r="Z411" i="7"/>
  <c r="AA411" i="7"/>
  <c r="AB411" i="7"/>
  <c r="AC411" i="7"/>
  <c r="AD411" i="7"/>
  <c r="AE411" i="7"/>
  <c r="Q412" i="7"/>
  <c r="R412" i="7"/>
  <c r="S412" i="7"/>
  <c r="T412" i="7"/>
  <c r="U412" i="7"/>
  <c r="V412" i="7"/>
  <c r="W412" i="7"/>
  <c r="X412" i="7"/>
  <c r="Y412" i="7"/>
  <c r="Z412" i="7"/>
  <c r="AA412" i="7"/>
  <c r="AB412" i="7"/>
  <c r="AC412" i="7"/>
  <c r="AD412" i="7"/>
  <c r="AE412" i="7"/>
  <c r="Q413" i="7"/>
  <c r="R413" i="7"/>
  <c r="S413" i="7"/>
  <c r="T413" i="7"/>
  <c r="U413" i="7"/>
  <c r="V413" i="7"/>
  <c r="W413" i="7"/>
  <c r="X413" i="7"/>
  <c r="Y413" i="7"/>
  <c r="Z413" i="7"/>
  <c r="AA413" i="7"/>
  <c r="AB413" i="7"/>
  <c r="AC413" i="7"/>
  <c r="AD413" i="7"/>
  <c r="AE413" i="7"/>
  <c r="Q414" i="7"/>
  <c r="R414" i="7"/>
  <c r="S414" i="7"/>
  <c r="T414" i="7"/>
  <c r="U414" i="7"/>
  <c r="V414" i="7"/>
  <c r="W414" i="7"/>
  <c r="X414" i="7"/>
  <c r="Y414" i="7"/>
  <c r="Z414" i="7"/>
  <c r="AA414" i="7"/>
  <c r="AB414" i="7"/>
  <c r="AC414" i="7"/>
  <c r="AD414" i="7"/>
  <c r="AE414" i="7"/>
  <c r="Q415" i="7"/>
  <c r="R415" i="7"/>
  <c r="S415" i="7"/>
  <c r="T415" i="7"/>
  <c r="U415" i="7"/>
  <c r="V415" i="7"/>
  <c r="W415" i="7"/>
  <c r="X415" i="7"/>
  <c r="Y415" i="7"/>
  <c r="Z415" i="7"/>
  <c r="AA415" i="7"/>
  <c r="AB415" i="7"/>
  <c r="AC415" i="7"/>
  <c r="AD415" i="7"/>
  <c r="AE415" i="7"/>
  <c r="Q416" i="7"/>
  <c r="R416" i="7"/>
  <c r="S416" i="7"/>
  <c r="T416" i="7"/>
  <c r="U416" i="7"/>
  <c r="V416" i="7"/>
  <c r="W416" i="7"/>
  <c r="X416" i="7"/>
  <c r="Y416" i="7"/>
  <c r="Z416" i="7"/>
  <c r="AA416" i="7"/>
  <c r="AB416" i="7"/>
  <c r="AC416" i="7"/>
  <c r="AD416" i="7"/>
  <c r="AE416" i="7"/>
  <c r="Q417" i="7"/>
  <c r="R417" i="7"/>
  <c r="S417" i="7"/>
  <c r="T417" i="7"/>
  <c r="U417" i="7"/>
  <c r="V417" i="7"/>
  <c r="W417" i="7"/>
  <c r="X417" i="7"/>
  <c r="Y417" i="7"/>
  <c r="Z417" i="7"/>
  <c r="AA417" i="7"/>
  <c r="AB417" i="7"/>
  <c r="AC417" i="7"/>
  <c r="AD417" i="7"/>
  <c r="AE417" i="7"/>
  <c r="Q418" i="7"/>
  <c r="R418" i="7"/>
  <c r="S418" i="7"/>
  <c r="T418" i="7"/>
  <c r="U418" i="7"/>
  <c r="V418" i="7"/>
  <c r="W418" i="7"/>
  <c r="X418" i="7"/>
  <c r="Y418" i="7"/>
  <c r="Z418" i="7"/>
  <c r="AA418" i="7"/>
  <c r="AB418" i="7"/>
  <c r="AC418" i="7"/>
  <c r="AD418" i="7"/>
  <c r="AE418" i="7"/>
  <c r="Q419" i="7"/>
  <c r="R419" i="7"/>
  <c r="S419" i="7"/>
  <c r="T419" i="7"/>
  <c r="U419" i="7"/>
  <c r="V419" i="7"/>
  <c r="W419" i="7"/>
  <c r="X419" i="7"/>
  <c r="Y419" i="7"/>
  <c r="Z419" i="7"/>
  <c r="AA419" i="7"/>
  <c r="AB419" i="7"/>
  <c r="AC419" i="7"/>
  <c r="AD419" i="7"/>
  <c r="AE419" i="7"/>
  <c r="Q420" i="7"/>
  <c r="R420" i="7"/>
  <c r="S420" i="7"/>
  <c r="T420" i="7"/>
  <c r="U420" i="7"/>
  <c r="V420" i="7"/>
  <c r="W420" i="7"/>
  <c r="X420" i="7"/>
  <c r="Y420" i="7"/>
  <c r="Z420" i="7"/>
  <c r="AA420" i="7"/>
  <c r="AB420" i="7"/>
  <c r="AC420" i="7"/>
  <c r="AD420" i="7"/>
  <c r="AE420" i="7"/>
  <c r="Q421" i="7"/>
  <c r="R421" i="7"/>
  <c r="S421" i="7"/>
  <c r="T421" i="7"/>
  <c r="U421" i="7"/>
  <c r="V421" i="7"/>
  <c r="W421" i="7"/>
  <c r="X421" i="7"/>
  <c r="Y421" i="7"/>
  <c r="Z421" i="7"/>
  <c r="AA421" i="7"/>
  <c r="AB421" i="7"/>
  <c r="AC421" i="7"/>
  <c r="AD421" i="7"/>
  <c r="AE421" i="7"/>
  <c r="Q422" i="7"/>
  <c r="R422" i="7"/>
  <c r="S422" i="7"/>
  <c r="T422" i="7"/>
  <c r="U422" i="7"/>
  <c r="V422" i="7"/>
  <c r="W422" i="7"/>
  <c r="X422" i="7"/>
  <c r="Y422" i="7"/>
  <c r="Z422" i="7"/>
  <c r="AA422" i="7"/>
  <c r="AB422" i="7"/>
  <c r="AC422" i="7"/>
  <c r="AD422" i="7"/>
  <c r="AE422" i="7"/>
  <c r="Q423" i="7"/>
  <c r="R423" i="7"/>
  <c r="S423" i="7"/>
  <c r="T423" i="7"/>
  <c r="U423" i="7"/>
  <c r="V423" i="7"/>
  <c r="W423" i="7"/>
  <c r="X423" i="7"/>
  <c r="Y423" i="7"/>
  <c r="Z423" i="7"/>
  <c r="AA423" i="7"/>
  <c r="AB423" i="7"/>
  <c r="AC423" i="7"/>
  <c r="AD423" i="7"/>
  <c r="AE423" i="7"/>
  <c r="Q424" i="7"/>
  <c r="R424" i="7"/>
  <c r="S424" i="7"/>
  <c r="T424" i="7"/>
  <c r="U424" i="7"/>
  <c r="V424" i="7"/>
  <c r="W424" i="7"/>
  <c r="X424" i="7"/>
  <c r="Y424" i="7"/>
  <c r="Z424" i="7"/>
  <c r="AA424" i="7"/>
  <c r="AB424" i="7"/>
  <c r="AC424" i="7"/>
  <c r="AD424" i="7"/>
  <c r="AE424" i="7"/>
  <c r="Q425" i="7"/>
  <c r="R425" i="7"/>
  <c r="S425" i="7"/>
  <c r="T425" i="7"/>
  <c r="U425" i="7"/>
  <c r="V425" i="7"/>
  <c r="W425" i="7"/>
  <c r="X425" i="7"/>
  <c r="Y425" i="7"/>
  <c r="Z425" i="7"/>
  <c r="AA425" i="7"/>
  <c r="AB425" i="7"/>
  <c r="AC425" i="7"/>
  <c r="AD425" i="7"/>
  <c r="AE425" i="7"/>
  <c r="Q426" i="7"/>
  <c r="R426" i="7"/>
  <c r="S426" i="7"/>
  <c r="T426" i="7"/>
  <c r="U426" i="7"/>
  <c r="V426" i="7"/>
  <c r="W426" i="7"/>
  <c r="X426" i="7"/>
  <c r="Y426" i="7"/>
  <c r="Z426" i="7"/>
  <c r="AA426" i="7"/>
  <c r="AB426" i="7"/>
  <c r="AC426" i="7"/>
  <c r="AD426" i="7"/>
  <c r="AE426" i="7"/>
  <c r="Q427" i="7"/>
  <c r="R427" i="7"/>
  <c r="S427" i="7"/>
  <c r="T427" i="7"/>
  <c r="U427" i="7"/>
  <c r="V427" i="7"/>
  <c r="W427" i="7"/>
  <c r="X427" i="7"/>
  <c r="Y427" i="7"/>
  <c r="Z427" i="7"/>
  <c r="AA427" i="7"/>
  <c r="AB427" i="7"/>
  <c r="AC427" i="7"/>
  <c r="AD427" i="7"/>
  <c r="AE427" i="7"/>
  <c r="Q428" i="7"/>
  <c r="R428" i="7"/>
  <c r="S428" i="7"/>
  <c r="T428" i="7"/>
  <c r="U428" i="7"/>
  <c r="V428" i="7"/>
  <c r="W428" i="7"/>
  <c r="X428" i="7"/>
  <c r="Y428" i="7"/>
  <c r="Z428" i="7"/>
  <c r="AA428" i="7"/>
  <c r="AB428" i="7"/>
  <c r="AC428" i="7"/>
  <c r="AD428" i="7"/>
  <c r="AE428" i="7"/>
  <c r="Q429" i="7"/>
  <c r="R429" i="7"/>
  <c r="S429" i="7"/>
  <c r="T429" i="7"/>
  <c r="U429" i="7"/>
  <c r="V429" i="7"/>
  <c r="W429" i="7"/>
  <c r="X429" i="7"/>
  <c r="Y429" i="7"/>
  <c r="Z429" i="7"/>
  <c r="AA429" i="7"/>
  <c r="AB429" i="7"/>
  <c r="AC429" i="7"/>
  <c r="AD429" i="7"/>
  <c r="AE429" i="7"/>
  <c r="Q430" i="7"/>
  <c r="R430" i="7"/>
  <c r="S430" i="7"/>
  <c r="T430" i="7"/>
  <c r="U430" i="7"/>
  <c r="V430" i="7"/>
  <c r="W430" i="7"/>
  <c r="X430" i="7"/>
  <c r="Y430" i="7"/>
  <c r="Z430" i="7"/>
  <c r="AA430" i="7"/>
  <c r="AB430" i="7"/>
  <c r="AC430" i="7"/>
  <c r="AD430" i="7"/>
  <c r="AE430" i="7"/>
  <c r="Q431" i="7"/>
  <c r="R431" i="7"/>
  <c r="S431" i="7"/>
  <c r="T431" i="7"/>
  <c r="U431" i="7"/>
  <c r="V431" i="7"/>
  <c r="W431" i="7"/>
  <c r="X431" i="7"/>
  <c r="Y431" i="7"/>
  <c r="Z431" i="7"/>
  <c r="AA431" i="7"/>
  <c r="AB431" i="7"/>
  <c r="AC431" i="7"/>
  <c r="AD431" i="7"/>
  <c r="AE431" i="7"/>
  <c r="Q432" i="7"/>
  <c r="R432" i="7"/>
  <c r="S432" i="7"/>
  <c r="T432" i="7"/>
  <c r="U432" i="7"/>
  <c r="V432" i="7"/>
  <c r="W432" i="7"/>
  <c r="X432" i="7"/>
  <c r="Y432" i="7"/>
  <c r="Z432" i="7"/>
  <c r="AA432" i="7"/>
  <c r="AB432" i="7"/>
  <c r="AC432" i="7"/>
  <c r="AD432" i="7"/>
  <c r="AE432" i="7"/>
  <c r="Q433" i="7"/>
  <c r="R433" i="7"/>
  <c r="S433" i="7"/>
  <c r="T433" i="7"/>
  <c r="U433" i="7"/>
  <c r="V433" i="7"/>
  <c r="W433" i="7"/>
  <c r="X433" i="7"/>
  <c r="Y433" i="7"/>
  <c r="Z433" i="7"/>
  <c r="AA433" i="7"/>
  <c r="AB433" i="7"/>
  <c r="AC433" i="7"/>
  <c r="AD433" i="7"/>
  <c r="AE433" i="7"/>
  <c r="Q434" i="7"/>
  <c r="R434" i="7"/>
  <c r="S434" i="7"/>
  <c r="T434" i="7"/>
  <c r="U434" i="7"/>
  <c r="V434" i="7"/>
  <c r="W434" i="7"/>
  <c r="X434" i="7"/>
  <c r="Y434" i="7"/>
  <c r="Z434" i="7"/>
  <c r="AA434" i="7"/>
  <c r="AB434" i="7"/>
  <c r="AC434" i="7"/>
  <c r="AD434" i="7"/>
  <c r="AE434" i="7"/>
  <c r="Q435" i="7"/>
  <c r="R435" i="7"/>
  <c r="S435" i="7"/>
  <c r="T435" i="7"/>
  <c r="U435" i="7"/>
  <c r="V435" i="7"/>
  <c r="W435" i="7"/>
  <c r="X435" i="7"/>
  <c r="Y435" i="7"/>
  <c r="Z435" i="7"/>
  <c r="AA435" i="7"/>
  <c r="AB435" i="7"/>
  <c r="AC435" i="7"/>
  <c r="AD435" i="7"/>
  <c r="AE435" i="7"/>
  <c r="Q436" i="7"/>
  <c r="R436" i="7"/>
  <c r="S436" i="7"/>
  <c r="T436" i="7"/>
  <c r="U436" i="7"/>
  <c r="V436" i="7"/>
  <c r="W436" i="7"/>
  <c r="X436" i="7"/>
  <c r="Y436" i="7"/>
  <c r="Z436" i="7"/>
  <c r="AA436" i="7"/>
  <c r="AB436" i="7"/>
  <c r="AC436" i="7"/>
  <c r="AD436" i="7"/>
  <c r="AE436" i="7"/>
  <c r="Q437" i="7"/>
  <c r="R437" i="7"/>
  <c r="S437" i="7"/>
  <c r="T437" i="7"/>
  <c r="U437" i="7"/>
  <c r="V437" i="7"/>
  <c r="W437" i="7"/>
  <c r="X437" i="7"/>
  <c r="Y437" i="7"/>
  <c r="Z437" i="7"/>
  <c r="AA437" i="7"/>
  <c r="AB437" i="7"/>
  <c r="AC437" i="7"/>
  <c r="AD437" i="7"/>
  <c r="AE437" i="7"/>
  <c r="Q438" i="7"/>
  <c r="R438" i="7"/>
  <c r="S438" i="7"/>
  <c r="T438" i="7"/>
  <c r="U438" i="7"/>
  <c r="V438" i="7"/>
  <c r="W438" i="7"/>
  <c r="X438" i="7"/>
  <c r="Y438" i="7"/>
  <c r="Z438" i="7"/>
  <c r="AA438" i="7"/>
  <c r="AB438" i="7"/>
  <c r="AC438" i="7"/>
  <c r="AD438" i="7"/>
  <c r="AE438" i="7"/>
  <c r="Q439" i="7"/>
  <c r="R439" i="7"/>
  <c r="S439" i="7"/>
  <c r="T439" i="7"/>
  <c r="U439" i="7"/>
  <c r="V439" i="7"/>
  <c r="W439" i="7"/>
  <c r="X439" i="7"/>
  <c r="Y439" i="7"/>
  <c r="Z439" i="7"/>
  <c r="AA439" i="7"/>
  <c r="AB439" i="7"/>
  <c r="AC439" i="7"/>
  <c r="AD439" i="7"/>
  <c r="AE439" i="7"/>
  <c r="Q440" i="7"/>
  <c r="R440" i="7"/>
  <c r="S440" i="7"/>
  <c r="T440" i="7"/>
  <c r="U440" i="7"/>
  <c r="V440" i="7"/>
  <c r="W440" i="7"/>
  <c r="X440" i="7"/>
  <c r="Y440" i="7"/>
  <c r="Z440" i="7"/>
  <c r="AA440" i="7"/>
  <c r="AB440" i="7"/>
  <c r="AC440" i="7"/>
  <c r="AD440" i="7"/>
  <c r="AE440" i="7"/>
  <c r="Q441" i="7"/>
  <c r="R441" i="7"/>
  <c r="S441" i="7"/>
  <c r="T441" i="7"/>
  <c r="U441" i="7"/>
  <c r="V441" i="7"/>
  <c r="W441" i="7"/>
  <c r="X441" i="7"/>
  <c r="Y441" i="7"/>
  <c r="Z441" i="7"/>
  <c r="AA441" i="7"/>
  <c r="AB441" i="7"/>
  <c r="AC441" i="7"/>
  <c r="AD441" i="7"/>
  <c r="AE441" i="7"/>
  <c r="Q442" i="7"/>
  <c r="R442" i="7"/>
  <c r="S442" i="7"/>
  <c r="T442" i="7"/>
  <c r="U442" i="7"/>
  <c r="V442" i="7"/>
  <c r="W442" i="7"/>
  <c r="X442" i="7"/>
  <c r="Y442" i="7"/>
  <c r="Z442" i="7"/>
  <c r="AA442" i="7"/>
  <c r="AB442" i="7"/>
  <c r="AC442" i="7"/>
  <c r="AD442" i="7"/>
  <c r="AE442" i="7"/>
  <c r="Q443" i="7"/>
  <c r="R443" i="7"/>
  <c r="S443" i="7"/>
  <c r="T443" i="7"/>
  <c r="U443" i="7"/>
  <c r="V443" i="7"/>
  <c r="W443" i="7"/>
  <c r="X443" i="7"/>
  <c r="Y443" i="7"/>
  <c r="Z443" i="7"/>
  <c r="AA443" i="7"/>
  <c r="AB443" i="7"/>
  <c r="AC443" i="7"/>
  <c r="AD443" i="7"/>
  <c r="AE443" i="7"/>
  <c r="Q444" i="7"/>
  <c r="R444" i="7"/>
  <c r="S444" i="7"/>
  <c r="T444" i="7"/>
  <c r="U444" i="7"/>
  <c r="V444" i="7"/>
  <c r="W444" i="7"/>
  <c r="X444" i="7"/>
  <c r="Y444" i="7"/>
  <c r="Z444" i="7"/>
  <c r="AA444" i="7"/>
  <c r="AB444" i="7"/>
  <c r="AC444" i="7"/>
  <c r="AD444" i="7"/>
  <c r="AE444" i="7"/>
  <c r="Q445" i="7"/>
  <c r="R445" i="7"/>
  <c r="S445" i="7"/>
  <c r="T445" i="7"/>
  <c r="U445" i="7"/>
  <c r="V445" i="7"/>
  <c r="W445" i="7"/>
  <c r="X445" i="7"/>
  <c r="Y445" i="7"/>
  <c r="Z445" i="7"/>
  <c r="AA445" i="7"/>
  <c r="AB445" i="7"/>
  <c r="AC445" i="7"/>
  <c r="AD445" i="7"/>
  <c r="AE445" i="7"/>
  <c r="Q446" i="7"/>
  <c r="R446" i="7"/>
  <c r="S446" i="7"/>
  <c r="T446" i="7"/>
  <c r="U446" i="7"/>
  <c r="V446" i="7"/>
  <c r="W446" i="7"/>
  <c r="X446" i="7"/>
  <c r="Y446" i="7"/>
  <c r="Z446" i="7"/>
  <c r="AA446" i="7"/>
  <c r="AB446" i="7"/>
  <c r="AC446" i="7"/>
  <c r="AD446" i="7"/>
  <c r="AE446" i="7"/>
  <c r="Q447" i="7"/>
  <c r="R447" i="7"/>
  <c r="S447" i="7"/>
  <c r="T447" i="7"/>
  <c r="U447" i="7"/>
  <c r="V447" i="7"/>
  <c r="W447" i="7"/>
  <c r="X447" i="7"/>
  <c r="Y447" i="7"/>
  <c r="Z447" i="7"/>
  <c r="AA447" i="7"/>
  <c r="AB447" i="7"/>
  <c r="AC447" i="7"/>
  <c r="AD447" i="7"/>
  <c r="AE447" i="7"/>
  <c r="Q448" i="7"/>
  <c r="R448" i="7"/>
  <c r="S448" i="7"/>
  <c r="T448" i="7"/>
  <c r="U448" i="7"/>
  <c r="V448" i="7"/>
  <c r="W448" i="7"/>
  <c r="X448" i="7"/>
  <c r="Y448" i="7"/>
  <c r="Z448" i="7"/>
  <c r="AA448" i="7"/>
  <c r="AB448" i="7"/>
  <c r="AC448" i="7"/>
  <c r="AD448" i="7"/>
  <c r="AE448" i="7"/>
  <c r="Q449" i="7"/>
  <c r="R449" i="7"/>
  <c r="S449" i="7"/>
  <c r="T449" i="7"/>
  <c r="U449" i="7"/>
  <c r="V449" i="7"/>
  <c r="W449" i="7"/>
  <c r="X449" i="7"/>
  <c r="Y449" i="7"/>
  <c r="Z449" i="7"/>
  <c r="AA449" i="7"/>
  <c r="AB449" i="7"/>
  <c r="AC449" i="7"/>
  <c r="AD449" i="7"/>
  <c r="AE449" i="7"/>
  <c r="Q450" i="7"/>
  <c r="R450" i="7"/>
  <c r="S450" i="7"/>
  <c r="T450" i="7"/>
  <c r="U450" i="7"/>
  <c r="V450" i="7"/>
  <c r="W450" i="7"/>
  <c r="X450" i="7"/>
  <c r="Y450" i="7"/>
  <c r="Z450" i="7"/>
  <c r="AA450" i="7"/>
  <c r="AB450" i="7"/>
  <c r="AC450" i="7"/>
  <c r="AD450" i="7"/>
  <c r="AE450" i="7"/>
  <c r="Q451" i="7"/>
  <c r="R451" i="7"/>
  <c r="S451" i="7"/>
  <c r="T451" i="7"/>
  <c r="U451" i="7"/>
  <c r="V451" i="7"/>
  <c r="W451" i="7"/>
  <c r="X451" i="7"/>
  <c r="Y451" i="7"/>
  <c r="Z451" i="7"/>
  <c r="AA451" i="7"/>
  <c r="AB451" i="7"/>
  <c r="AC451" i="7"/>
  <c r="AD451" i="7"/>
  <c r="AE451" i="7"/>
  <c r="Q452" i="7"/>
  <c r="R452" i="7"/>
  <c r="S452" i="7"/>
  <c r="T452" i="7"/>
  <c r="U452" i="7"/>
  <c r="V452" i="7"/>
  <c r="W452" i="7"/>
  <c r="X452" i="7"/>
  <c r="Y452" i="7"/>
  <c r="Z452" i="7"/>
  <c r="AA452" i="7"/>
  <c r="AB452" i="7"/>
  <c r="AC452" i="7"/>
  <c r="AD452" i="7"/>
  <c r="AE452" i="7"/>
  <c r="Q453" i="7"/>
  <c r="R453" i="7"/>
  <c r="S453" i="7"/>
  <c r="T453" i="7"/>
  <c r="U453" i="7"/>
  <c r="V453" i="7"/>
  <c r="W453" i="7"/>
  <c r="X453" i="7"/>
  <c r="Y453" i="7"/>
  <c r="Z453" i="7"/>
  <c r="AA453" i="7"/>
  <c r="AB453" i="7"/>
  <c r="AC453" i="7"/>
  <c r="AD453" i="7"/>
  <c r="AE453" i="7"/>
  <c r="Q454" i="7"/>
  <c r="R454" i="7"/>
  <c r="S454" i="7"/>
  <c r="T454" i="7"/>
  <c r="U454" i="7"/>
  <c r="V454" i="7"/>
  <c r="W454" i="7"/>
  <c r="X454" i="7"/>
  <c r="Y454" i="7"/>
  <c r="Z454" i="7"/>
  <c r="AA454" i="7"/>
  <c r="AB454" i="7"/>
  <c r="AC454" i="7"/>
  <c r="AD454" i="7"/>
  <c r="AE454" i="7"/>
  <c r="Q455" i="7"/>
  <c r="R455" i="7"/>
  <c r="S455" i="7"/>
  <c r="T455" i="7"/>
  <c r="U455" i="7"/>
  <c r="V455" i="7"/>
  <c r="W455" i="7"/>
  <c r="X455" i="7"/>
  <c r="Y455" i="7"/>
  <c r="Z455" i="7"/>
  <c r="AA455" i="7"/>
  <c r="AB455" i="7"/>
  <c r="AC455" i="7"/>
  <c r="AD455" i="7"/>
  <c r="AE455" i="7"/>
  <c r="Q456" i="7"/>
  <c r="R456" i="7"/>
  <c r="S456" i="7"/>
  <c r="T456" i="7"/>
  <c r="U456" i="7"/>
  <c r="V456" i="7"/>
  <c r="W456" i="7"/>
  <c r="X456" i="7"/>
  <c r="Y456" i="7"/>
  <c r="Z456" i="7"/>
  <c r="AA456" i="7"/>
  <c r="AB456" i="7"/>
  <c r="AC456" i="7"/>
  <c r="AD456" i="7"/>
  <c r="AE456" i="7"/>
  <c r="Q457" i="7"/>
  <c r="R457" i="7"/>
  <c r="S457" i="7"/>
  <c r="T457" i="7"/>
  <c r="U457" i="7"/>
  <c r="V457" i="7"/>
  <c r="W457" i="7"/>
  <c r="X457" i="7"/>
  <c r="Y457" i="7"/>
  <c r="Z457" i="7"/>
  <c r="AA457" i="7"/>
  <c r="AB457" i="7"/>
  <c r="AC457" i="7"/>
  <c r="AD457" i="7"/>
  <c r="AE457" i="7"/>
  <c r="Q458" i="7"/>
  <c r="R458" i="7"/>
  <c r="S458" i="7"/>
  <c r="T458" i="7"/>
  <c r="U458" i="7"/>
  <c r="V458" i="7"/>
  <c r="W458" i="7"/>
  <c r="X458" i="7"/>
  <c r="Y458" i="7"/>
  <c r="Z458" i="7"/>
  <c r="AA458" i="7"/>
  <c r="AB458" i="7"/>
  <c r="AC458" i="7"/>
  <c r="AD458" i="7"/>
  <c r="AE458" i="7"/>
  <c r="Q459" i="7"/>
  <c r="R459" i="7"/>
  <c r="S459" i="7"/>
  <c r="T459" i="7"/>
  <c r="U459" i="7"/>
  <c r="V459" i="7"/>
  <c r="W459" i="7"/>
  <c r="X459" i="7"/>
  <c r="Y459" i="7"/>
  <c r="Z459" i="7"/>
  <c r="AA459" i="7"/>
  <c r="AB459" i="7"/>
  <c r="AC459" i="7"/>
  <c r="AD459" i="7"/>
  <c r="AE459" i="7"/>
  <c r="Q460" i="7"/>
  <c r="R460" i="7"/>
  <c r="S460" i="7"/>
  <c r="T460" i="7"/>
  <c r="U460" i="7"/>
  <c r="V460" i="7"/>
  <c r="W460" i="7"/>
  <c r="X460" i="7"/>
  <c r="Y460" i="7"/>
  <c r="Z460" i="7"/>
  <c r="AA460" i="7"/>
  <c r="AB460" i="7"/>
  <c r="AC460" i="7"/>
  <c r="AD460" i="7"/>
  <c r="AE460" i="7"/>
  <c r="Q461" i="7"/>
  <c r="R461" i="7"/>
  <c r="S461" i="7"/>
  <c r="T461" i="7"/>
  <c r="U461" i="7"/>
  <c r="V461" i="7"/>
  <c r="W461" i="7"/>
  <c r="X461" i="7"/>
  <c r="Y461" i="7"/>
  <c r="Z461" i="7"/>
  <c r="AA461" i="7"/>
  <c r="AB461" i="7"/>
  <c r="AC461" i="7"/>
  <c r="AD461" i="7"/>
  <c r="AE461" i="7"/>
  <c r="Q462" i="7"/>
  <c r="R462" i="7"/>
  <c r="S462" i="7"/>
  <c r="T462" i="7"/>
  <c r="U462" i="7"/>
  <c r="V462" i="7"/>
  <c r="W462" i="7"/>
  <c r="X462" i="7"/>
  <c r="Y462" i="7"/>
  <c r="Z462" i="7"/>
  <c r="AA462" i="7"/>
  <c r="AB462" i="7"/>
  <c r="AC462" i="7"/>
  <c r="AD462" i="7"/>
  <c r="AE462" i="7"/>
  <c r="Q463" i="7"/>
  <c r="R463" i="7"/>
  <c r="S463" i="7"/>
  <c r="T463" i="7"/>
  <c r="U463" i="7"/>
  <c r="V463" i="7"/>
  <c r="W463" i="7"/>
  <c r="X463" i="7"/>
  <c r="Y463" i="7"/>
  <c r="Z463" i="7"/>
  <c r="AA463" i="7"/>
  <c r="AB463" i="7"/>
  <c r="AC463" i="7"/>
  <c r="AD463" i="7"/>
  <c r="AE463" i="7"/>
  <c r="Q464" i="7"/>
  <c r="R464" i="7"/>
  <c r="S464" i="7"/>
  <c r="T464" i="7"/>
  <c r="U464" i="7"/>
  <c r="V464" i="7"/>
  <c r="W464" i="7"/>
  <c r="X464" i="7"/>
  <c r="Y464" i="7"/>
  <c r="Z464" i="7"/>
  <c r="AA464" i="7"/>
  <c r="AB464" i="7"/>
  <c r="AC464" i="7"/>
  <c r="AD464" i="7"/>
  <c r="AE464" i="7"/>
  <c r="Q465" i="7"/>
  <c r="R465" i="7"/>
  <c r="S465" i="7"/>
  <c r="T465" i="7"/>
  <c r="U465" i="7"/>
  <c r="V465" i="7"/>
  <c r="W465" i="7"/>
  <c r="X465" i="7"/>
  <c r="Y465" i="7"/>
  <c r="Z465" i="7"/>
  <c r="AA465" i="7"/>
  <c r="AB465" i="7"/>
  <c r="AC465" i="7"/>
  <c r="AD465" i="7"/>
  <c r="AE465" i="7"/>
  <c r="Q466" i="7"/>
  <c r="R466" i="7"/>
  <c r="S466" i="7"/>
  <c r="T466" i="7"/>
  <c r="U466" i="7"/>
  <c r="V466" i="7"/>
  <c r="W466" i="7"/>
  <c r="X466" i="7"/>
  <c r="Y466" i="7"/>
  <c r="Z466" i="7"/>
  <c r="AA466" i="7"/>
  <c r="AB466" i="7"/>
  <c r="AC466" i="7"/>
  <c r="AD466" i="7"/>
  <c r="AE466" i="7"/>
  <c r="Q467" i="7"/>
  <c r="R467" i="7"/>
  <c r="S467" i="7"/>
  <c r="T467" i="7"/>
  <c r="U467" i="7"/>
  <c r="V467" i="7"/>
  <c r="W467" i="7"/>
  <c r="X467" i="7"/>
  <c r="Y467" i="7"/>
  <c r="Z467" i="7"/>
  <c r="AA467" i="7"/>
  <c r="AB467" i="7"/>
  <c r="AC467" i="7"/>
  <c r="AD467" i="7"/>
  <c r="AE467" i="7"/>
  <c r="Q468" i="7"/>
  <c r="R468" i="7"/>
  <c r="S468" i="7"/>
  <c r="T468" i="7"/>
  <c r="U468" i="7"/>
  <c r="V468" i="7"/>
  <c r="W468" i="7"/>
  <c r="X468" i="7"/>
  <c r="Y468" i="7"/>
  <c r="Z468" i="7"/>
  <c r="AA468" i="7"/>
  <c r="AB468" i="7"/>
  <c r="AC468" i="7"/>
  <c r="AD468" i="7"/>
  <c r="AE468" i="7"/>
  <c r="Q469" i="7"/>
  <c r="R469" i="7"/>
  <c r="S469" i="7"/>
  <c r="T469" i="7"/>
  <c r="U469" i="7"/>
  <c r="V469" i="7"/>
  <c r="W469" i="7"/>
  <c r="X469" i="7"/>
  <c r="Y469" i="7"/>
  <c r="Z469" i="7"/>
  <c r="AA469" i="7"/>
  <c r="AB469" i="7"/>
  <c r="AC469" i="7"/>
  <c r="AD469" i="7"/>
  <c r="AE469" i="7"/>
  <c r="Q470" i="7"/>
  <c r="R470" i="7"/>
  <c r="S470" i="7"/>
  <c r="T470" i="7"/>
  <c r="U470" i="7"/>
  <c r="V470" i="7"/>
  <c r="W470" i="7"/>
  <c r="X470" i="7"/>
  <c r="Y470" i="7"/>
  <c r="Z470" i="7"/>
  <c r="AA470" i="7"/>
  <c r="AB470" i="7"/>
  <c r="AC470" i="7"/>
  <c r="AD470" i="7"/>
  <c r="AE470" i="7"/>
  <c r="Q471" i="7"/>
  <c r="R471" i="7"/>
  <c r="S471" i="7"/>
  <c r="T471" i="7"/>
  <c r="U471" i="7"/>
  <c r="V471" i="7"/>
  <c r="W471" i="7"/>
  <c r="X471" i="7"/>
  <c r="Y471" i="7"/>
  <c r="Z471" i="7"/>
  <c r="AA471" i="7"/>
  <c r="AB471" i="7"/>
  <c r="AC471" i="7"/>
  <c r="AD471" i="7"/>
  <c r="AE471" i="7"/>
  <c r="Q472" i="7"/>
  <c r="R472" i="7"/>
  <c r="S472" i="7"/>
  <c r="T472" i="7"/>
  <c r="U472" i="7"/>
  <c r="V472" i="7"/>
  <c r="W472" i="7"/>
  <c r="X472" i="7"/>
  <c r="Y472" i="7"/>
  <c r="Z472" i="7"/>
  <c r="AA472" i="7"/>
  <c r="AB472" i="7"/>
  <c r="AC472" i="7"/>
  <c r="AD472" i="7"/>
  <c r="AE472" i="7"/>
  <c r="Q473" i="7"/>
  <c r="R473" i="7"/>
  <c r="S473" i="7"/>
  <c r="T473" i="7"/>
  <c r="U473" i="7"/>
  <c r="V473" i="7"/>
  <c r="W473" i="7"/>
  <c r="X473" i="7"/>
  <c r="Y473" i="7"/>
  <c r="Z473" i="7"/>
  <c r="AA473" i="7"/>
  <c r="AB473" i="7"/>
  <c r="AC473" i="7"/>
  <c r="AD473" i="7"/>
  <c r="AE473" i="7"/>
  <c r="Q474" i="7"/>
  <c r="R474" i="7"/>
  <c r="S474" i="7"/>
  <c r="T474" i="7"/>
  <c r="U474" i="7"/>
  <c r="V474" i="7"/>
  <c r="W474" i="7"/>
  <c r="X474" i="7"/>
  <c r="Y474" i="7"/>
  <c r="Z474" i="7"/>
  <c r="AA474" i="7"/>
  <c r="AB474" i="7"/>
  <c r="AC474" i="7"/>
  <c r="AD474" i="7"/>
  <c r="AE474" i="7"/>
  <c r="Q475" i="7"/>
  <c r="R475" i="7"/>
  <c r="S475" i="7"/>
  <c r="T475" i="7"/>
  <c r="U475" i="7"/>
  <c r="V475" i="7"/>
  <c r="W475" i="7"/>
  <c r="X475" i="7"/>
  <c r="Y475" i="7"/>
  <c r="Z475" i="7"/>
  <c r="AA475" i="7"/>
  <c r="AB475" i="7"/>
  <c r="AC475" i="7"/>
  <c r="AD475" i="7"/>
  <c r="AE475" i="7"/>
  <c r="Q476" i="7"/>
  <c r="R476" i="7"/>
  <c r="S476" i="7"/>
  <c r="T476" i="7"/>
  <c r="U476" i="7"/>
  <c r="V476" i="7"/>
  <c r="W476" i="7"/>
  <c r="X476" i="7"/>
  <c r="Y476" i="7"/>
  <c r="Z476" i="7"/>
  <c r="AA476" i="7"/>
  <c r="AB476" i="7"/>
  <c r="AC476" i="7"/>
  <c r="AD476" i="7"/>
  <c r="AE476" i="7"/>
  <c r="Q477" i="7"/>
  <c r="R477" i="7"/>
  <c r="S477" i="7"/>
  <c r="T477" i="7"/>
  <c r="U477" i="7"/>
  <c r="V477" i="7"/>
  <c r="W477" i="7"/>
  <c r="X477" i="7"/>
  <c r="Y477" i="7"/>
  <c r="Z477" i="7"/>
  <c r="AA477" i="7"/>
  <c r="AB477" i="7"/>
  <c r="AC477" i="7"/>
  <c r="AD477" i="7"/>
  <c r="AE477" i="7"/>
  <c r="Q478" i="7"/>
  <c r="R478" i="7"/>
  <c r="S478" i="7"/>
  <c r="T478" i="7"/>
  <c r="U478" i="7"/>
  <c r="V478" i="7"/>
  <c r="W478" i="7"/>
  <c r="X478" i="7"/>
  <c r="Y478" i="7"/>
  <c r="Z478" i="7"/>
  <c r="AA478" i="7"/>
  <c r="AB478" i="7"/>
  <c r="AC478" i="7"/>
  <c r="AD478" i="7"/>
  <c r="AE478" i="7"/>
  <c r="Q479" i="7"/>
  <c r="R479" i="7"/>
  <c r="S479" i="7"/>
  <c r="T479" i="7"/>
  <c r="U479" i="7"/>
  <c r="V479" i="7"/>
  <c r="W479" i="7"/>
  <c r="X479" i="7"/>
  <c r="Y479" i="7"/>
  <c r="Z479" i="7"/>
  <c r="AA479" i="7"/>
  <c r="AB479" i="7"/>
  <c r="AC479" i="7"/>
  <c r="AD479" i="7"/>
  <c r="AE479" i="7"/>
  <c r="Q480" i="7"/>
  <c r="R480" i="7"/>
  <c r="S480" i="7"/>
  <c r="T480" i="7"/>
  <c r="U480" i="7"/>
  <c r="V480" i="7"/>
  <c r="W480" i="7"/>
  <c r="X480" i="7"/>
  <c r="Y480" i="7"/>
  <c r="Z480" i="7"/>
  <c r="AA480" i="7"/>
  <c r="AB480" i="7"/>
  <c r="AC480" i="7"/>
  <c r="AD480" i="7"/>
  <c r="AE480" i="7"/>
  <c r="Q481" i="7"/>
  <c r="R481" i="7"/>
  <c r="S481" i="7"/>
  <c r="T481" i="7"/>
  <c r="U481" i="7"/>
  <c r="V481" i="7"/>
  <c r="W481" i="7"/>
  <c r="X481" i="7"/>
  <c r="Y481" i="7"/>
  <c r="Z481" i="7"/>
  <c r="AA481" i="7"/>
  <c r="AB481" i="7"/>
  <c r="AC481" i="7"/>
  <c r="AD481" i="7"/>
  <c r="AE481" i="7"/>
  <c r="Q482" i="7"/>
  <c r="R482" i="7"/>
  <c r="S482" i="7"/>
  <c r="T482" i="7"/>
  <c r="U482" i="7"/>
  <c r="V482" i="7"/>
  <c r="W482" i="7"/>
  <c r="X482" i="7"/>
  <c r="Y482" i="7"/>
  <c r="Z482" i="7"/>
  <c r="AA482" i="7"/>
  <c r="AB482" i="7"/>
  <c r="AC482" i="7"/>
  <c r="AD482" i="7"/>
  <c r="AE482" i="7"/>
  <c r="Q483" i="7"/>
  <c r="R483" i="7"/>
  <c r="S483" i="7"/>
  <c r="T483" i="7"/>
  <c r="U483" i="7"/>
  <c r="V483" i="7"/>
  <c r="W483" i="7"/>
  <c r="X483" i="7"/>
  <c r="Y483" i="7"/>
  <c r="Z483" i="7"/>
  <c r="AA483" i="7"/>
  <c r="AB483" i="7"/>
  <c r="AC483" i="7"/>
  <c r="AD483" i="7"/>
  <c r="AE483" i="7"/>
  <c r="Q484" i="7"/>
  <c r="R484" i="7"/>
  <c r="S484" i="7"/>
  <c r="T484" i="7"/>
  <c r="U484" i="7"/>
  <c r="V484" i="7"/>
  <c r="W484" i="7"/>
  <c r="X484" i="7"/>
  <c r="Y484" i="7"/>
  <c r="Z484" i="7"/>
  <c r="AA484" i="7"/>
  <c r="AB484" i="7"/>
  <c r="AC484" i="7"/>
  <c r="AD484" i="7"/>
  <c r="AE484" i="7"/>
  <c r="Q485" i="7"/>
  <c r="R485" i="7"/>
  <c r="S485" i="7"/>
  <c r="T485" i="7"/>
  <c r="U485" i="7"/>
  <c r="V485" i="7"/>
  <c r="W485" i="7"/>
  <c r="X485" i="7"/>
  <c r="Y485" i="7"/>
  <c r="Z485" i="7"/>
  <c r="AA485" i="7"/>
  <c r="AB485" i="7"/>
  <c r="AC485" i="7"/>
  <c r="AD485" i="7"/>
  <c r="AE485" i="7"/>
  <c r="Q486" i="7"/>
  <c r="R486" i="7"/>
  <c r="S486" i="7"/>
  <c r="T486" i="7"/>
  <c r="U486" i="7"/>
  <c r="V486" i="7"/>
  <c r="W486" i="7"/>
  <c r="X486" i="7"/>
  <c r="Y486" i="7"/>
  <c r="Z486" i="7"/>
  <c r="AA486" i="7"/>
  <c r="AB486" i="7"/>
  <c r="AC486" i="7"/>
  <c r="AD486" i="7"/>
  <c r="AE486" i="7"/>
  <c r="Q487" i="7"/>
  <c r="R487" i="7"/>
  <c r="S487" i="7"/>
  <c r="T487" i="7"/>
  <c r="U487" i="7"/>
  <c r="V487" i="7"/>
  <c r="W487" i="7"/>
  <c r="X487" i="7"/>
  <c r="Y487" i="7"/>
  <c r="Z487" i="7"/>
  <c r="AA487" i="7"/>
  <c r="AB487" i="7"/>
  <c r="AC487" i="7"/>
  <c r="AD487" i="7"/>
  <c r="AE487" i="7"/>
  <c r="Q488" i="7"/>
  <c r="R488" i="7"/>
  <c r="S488" i="7"/>
  <c r="T488" i="7"/>
  <c r="U488" i="7"/>
  <c r="V488" i="7"/>
  <c r="W488" i="7"/>
  <c r="X488" i="7"/>
  <c r="Y488" i="7"/>
  <c r="Z488" i="7"/>
  <c r="AA488" i="7"/>
  <c r="AB488" i="7"/>
  <c r="AC488" i="7"/>
  <c r="AD488" i="7"/>
  <c r="AE488" i="7"/>
  <c r="Q489" i="7"/>
  <c r="R489" i="7"/>
  <c r="S489" i="7"/>
  <c r="T489" i="7"/>
  <c r="U489" i="7"/>
  <c r="V489" i="7"/>
  <c r="W489" i="7"/>
  <c r="X489" i="7"/>
  <c r="Y489" i="7"/>
  <c r="Z489" i="7"/>
  <c r="AA489" i="7"/>
  <c r="AB489" i="7"/>
  <c r="AC489" i="7"/>
  <c r="AD489" i="7"/>
  <c r="AE489" i="7"/>
  <c r="Q490" i="7"/>
  <c r="R490" i="7"/>
  <c r="S490" i="7"/>
  <c r="T490" i="7"/>
  <c r="U490" i="7"/>
  <c r="V490" i="7"/>
  <c r="W490" i="7"/>
  <c r="X490" i="7"/>
  <c r="Y490" i="7"/>
  <c r="Z490" i="7"/>
  <c r="AA490" i="7"/>
  <c r="AB490" i="7"/>
  <c r="AC490" i="7"/>
  <c r="AD490" i="7"/>
  <c r="AE490" i="7"/>
  <c r="Q491" i="7"/>
  <c r="R491" i="7"/>
  <c r="S491" i="7"/>
  <c r="T491" i="7"/>
  <c r="U491" i="7"/>
  <c r="V491" i="7"/>
  <c r="W491" i="7"/>
  <c r="X491" i="7"/>
  <c r="Y491" i="7"/>
  <c r="Z491" i="7"/>
  <c r="AA491" i="7"/>
  <c r="AB491" i="7"/>
  <c r="AC491" i="7"/>
  <c r="AD491" i="7"/>
  <c r="AE491" i="7"/>
  <c r="Q492" i="7"/>
  <c r="R492" i="7"/>
  <c r="S492" i="7"/>
  <c r="T492" i="7"/>
  <c r="U492" i="7"/>
  <c r="V492" i="7"/>
  <c r="W492" i="7"/>
  <c r="X492" i="7"/>
  <c r="Y492" i="7"/>
  <c r="Z492" i="7"/>
  <c r="AA492" i="7"/>
  <c r="AB492" i="7"/>
  <c r="AC492" i="7"/>
  <c r="AD492" i="7"/>
  <c r="AE492" i="7"/>
  <c r="Q493" i="7"/>
  <c r="R493" i="7"/>
  <c r="S493" i="7"/>
  <c r="T493" i="7"/>
  <c r="U493" i="7"/>
  <c r="V493" i="7"/>
  <c r="W493" i="7"/>
  <c r="X493" i="7"/>
  <c r="Y493" i="7"/>
  <c r="Z493" i="7"/>
  <c r="AA493" i="7"/>
  <c r="AB493" i="7"/>
  <c r="AC493" i="7"/>
  <c r="AD493" i="7"/>
  <c r="AE493" i="7"/>
  <c r="Q494" i="7"/>
  <c r="R494" i="7"/>
  <c r="S494" i="7"/>
  <c r="T494" i="7"/>
  <c r="U494" i="7"/>
  <c r="V494" i="7"/>
  <c r="W494" i="7"/>
  <c r="X494" i="7"/>
  <c r="Y494" i="7"/>
  <c r="Z494" i="7"/>
  <c r="AA494" i="7"/>
  <c r="AB494" i="7"/>
  <c r="AC494" i="7"/>
  <c r="AD494" i="7"/>
  <c r="AE494" i="7"/>
  <c r="Q495" i="7"/>
  <c r="R495" i="7"/>
  <c r="S495" i="7"/>
  <c r="T495" i="7"/>
  <c r="U495" i="7"/>
  <c r="V495" i="7"/>
  <c r="W495" i="7"/>
  <c r="X495" i="7"/>
  <c r="Y495" i="7"/>
  <c r="Z495" i="7"/>
  <c r="AA495" i="7"/>
  <c r="AB495" i="7"/>
  <c r="AC495" i="7"/>
  <c r="AD495" i="7"/>
  <c r="AE495" i="7"/>
  <c r="Q496" i="7"/>
  <c r="R496" i="7"/>
  <c r="S496" i="7"/>
  <c r="T496" i="7"/>
  <c r="U496" i="7"/>
  <c r="V496" i="7"/>
  <c r="W496" i="7"/>
  <c r="X496" i="7"/>
  <c r="Y496" i="7"/>
  <c r="Z496" i="7"/>
  <c r="AA496" i="7"/>
  <c r="AB496" i="7"/>
  <c r="AC496" i="7"/>
  <c r="AD496" i="7"/>
  <c r="AE496" i="7"/>
  <c r="Q497" i="7"/>
  <c r="R497" i="7"/>
  <c r="S497" i="7"/>
  <c r="T497" i="7"/>
  <c r="U497" i="7"/>
  <c r="V497" i="7"/>
  <c r="W497" i="7"/>
  <c r="X497" i="7"/>
  <c r="Y497" i="7"/>
  <c r="Z497" i="7"/>
  <c r="AA497" i="7"/>
  <c r="AB497" i="7"/>
  <c r="AC497" i="7"/>
  <c r="AD497" i="7"/>
  <c r="AE497" i="7"/>
  <c r="Q498" i="7"/>
  <c r="R498" i="7"/>
  <c r="S498" i="7"/>
  <c r="T498" i="7"/>
  <c r="U498" i="7"/>
  <c r="V498" i="7"/>
  <c r="W498" i="7"/>
  <c r="X498" i="7"/>
  <c r="Y498" i="7"/>
  <c r="Z498" i="7"/>
  <c r="AA498" i="7"/>
  <c r="AB498" i="7"/>
  <c r="AC498" i="7"/>
  <c r="AD498" i="7"/>
  <c r="AE498" i="7"/>
  <c r="Q499" i="7"/>
  <c r="R499" i="7"/>
  <c r="S499" i="7"/>
  <c r="T499" i="7"/>
  <c r="U499" i="7"/>
  <c r="V499" i="7"/>
  <c r="W499" i="7"/>
  <c r="X499" i="7"/>
  <c r="Y499" i="7"/>
  <c r="Z499" i="7"/>
  <c r="AA499" i="7"/>
  <c r="AB499" i="7"/>
  <c r="AC499" i="7"/>
  <c r="AD499" i="7"/>
  <c r="AE499" i="7"/>
  <c r="Q500" i="7"/>
  <c r="R500" i="7"/>
  <c r="S500" i="7"/>
  <c r="T500" i="7"/>
  <c r="U500" i="7"/>
  <c r="V500" i="7"/>
  <c r="W500" i="7"/>
  <c r="X500" i="7"/>
  <c r="Y500" i="7"/>
  <c r="Z500" i="7"/>
  <c r="AA500" i="7"/>
  <c r="AB500" i="7"/>
  <c r="AC500" i="7"/>
  <c r="AD500" i="7"/>
  <c r="AE500" i="7"/>
  <c r="Q501" i="7"/>
  <c r="R501" i="7"/>
  <c r="S501" i="7"/>
  <c r="T501" i="7"/>
  <c r="U501" i="7"/>
  <c r="V501" i="7"/>
  <c r="W501" i="7"/>
  <c r="X501" i="7"/>
  <c r="Y501" i="7"/>
  <c r="Z501" i="7"/>
  <c r="AA501" i="7"/>
  <c r="AB501" i="7"/>
  <c r="AC501" i="7"/>
  <c r="AD501" i="7"/>
  <c r="AE501" i="7"/>
  <c r="Q502" i="7"/>
  <c r="R502" i="7"/>
  <c r="S502" i="7"/>
  <c r="T502" i="7"/>
  <c r="U502" i="7"/>
  <c r="V502" i="7"/>
  <c r="W502" i="7"/>
  <c r="X502" i="7"/>
  <c r="Y502" i="7"/>
  <c r="Z502" i="7"/>
  <c r="AA502" i="7"/>
  <c r="AB502" i="7"/>
  <c r="AC502" i="7"/>
  <c r="AD502" i="7"/>
  <c r="AE502" i="7"/>
  <c r="Q503" i="7"/>
  <c r="R503" i="7"/>
  <c r="S503" i="7"/>
  <c r="T503" i="7"/>
  <c r="U503" i="7"/>
  <c r="V503" i="7"/>
  <c r="W503" i="7"/>
  <c r="X503" i="7"/>
  <c r="Y503" i="7"/>
  <c r="Z503" i="7"/>
  <c r="AA503" i="7"/>
  <c r="AB503" i="7"/>
  <c r="AC503" i="7"/>
  <c r="AD503" i="7"/>
  <c r="AE503" i="7"/>
  <c r="Q504" i="7"/>
  <c r="R504" i="7"/>
  <c r="S504" i="7"/>
  <c r="T504" i="7"/>
  <c r="U504" i="7"/>
  <c r="V504" i="7"/>
  <c r="W504" i="7"/>
  <c r="X504" i="7"/>
  <c r="Y504" i="7"/>
  <c r="Z504" i="7"/>
  <c r="AA504" i="7"/>
  <c r="AB504" i="7"/>
  <c r="AC504" i="7"/>
  <c r="AD504" i="7"/>
  <c r="AE504" i="7"/>
  <c r="Q505" i="7"/>
  <c r="R505" i="7"/>
  <c r="S505" i="7"/>
  <c r="T505" i="7"/>
  <c r="U505" i="7"/>
  <c r="V505" i="7"/>
  <c r="W505" i="7"/>
  <c r="X505" i="7"/>
  <c r="Y505" i="7"/>
  <c r="Z505" i="7"/>
  <c r="AA505" i="7"/>
  <c r="AB505" i="7"/>
  <c r="AC505" i="7"/>
  <c r="AD505" i="7"/>
  <c r="AE505" i="7"/>
  <c r="Q506" i="7"/>
  <c r="R506" i="7"/>
  <c r="S506" i="7"/>
  <c r="T506" i="7"/>
  <c r="U506" i="7"/>
  <c r="V506" i="7"/>
  <c r="W506" i="7"/>
  <c r="X506" i="7"/>
  <c r="Y506" i="7"/>
  <c r="Z506" i="7"/>
  <c r="AA506" i="7"/>
  <c r="AB506" i="7"/>
  <c r="AC506" i="7"/>
  <c r="AD506" i="7"/>
  <c r="AE506" i="7"/>
  <c r="Q507" i="7"/>
  <c r="R507" i="7"/>
  <c r="S507" i="7"/>
  <c r="T507" i="7"/>
  <c r="U507" i="7"/>
  <c r="V507" i="7"/>
  <c r="W507" i="7"/>
  <c r="X507" i="7"/>
  <c r="Y507" i="7"/>
  <c r="Z507" i="7"/>
  <c r="AA507" i="7"/>
  <c r="AB507" i="7"/>
  <c r="AC507" i="7"/>
  <c r="AD507" i="7"/>
  <c r="AE507" i="7"/>
  <c r="Q508" i="7"/>
  <c r="R508" i="7"/>
  <c r="S508" i="7"/>
  <c r="T508" i="7"/>
  <c r="U508" i="7"/>
  <c r="V508" i="7"/>
  <c r="W508" i="7"/>
  <c r="X508" i="7"/>
  <c r="Y508" i="7"/>
  <c r="Z508" i="7"/>
  <c r="AA508" i="7"/>
  <c r="AB508" i="7"/>
  <c r="AC508" i="7"/>
  <c r="AD508" i="7"/>
  <c r="AE508" i="7"/>
  <c r="Q509" i="7"/>
  <c r="R509" i="7"/>
  <c r="S509" i="7"/>
  <c r="T509" i="7"/>
  <c r="U509" i="7"/>
  <c r="V509" i="7"/>
  <c r="W509" i="7"/>
  <c r="X509" i="7"/>
  <c r="Y509" i="7"/>
  <c r="Z509" i="7"/>
  <c r="AA509" i="7"/>
  <c r="AB509" i="7"/>
  <c r="AC509" i="7"/>
  <c r="AD509" i="7"/>
  <c r="AE509" i="7"/>
  <c r="Q510" i="7"/>
  <c r="R510" i="7"/>
  <c r="S510" i="7"/>
  <c r="T510" i="7"/>
  <c r="U510" i="7"/>
  <c r="V510" i="7"/>
  <c r="W510" i="7"/>
  <c r="X510" i="7"/>
  <c r="Y510" i="7"/>
  <c r="Z510" i="7"/>
  <c r="AA510" i="7"/>
  <c r="AB510" i="7"/>
  <c r="AC510" i="7"/>
  <c r="AD510" i="7"/>
  <c r="AE510" i="7"/>
  <c r="Q511" i="7"/>
  <c r="R511" i="7"/>
  <c r="S511" i="7"/>
  <c r="T511" i="7"/>
  <c r="U511" i="7"/>
  <c r="V511" i="7"/>
  <c r="W511" i="7"/>
  <c r="X511" i="7"/>
  <c r="Y511" i="7"/>
  <c r="Z511" i="7"/>
  <c r="AA511" i="7"/>
  <c r="AB511" i="7"/>
  <c r="AC511" i="7"/>
  <c r="AD511" i="7"/>
  <c r="AE511" i="7"/>
  <c r="Q512" i="7"/>
  <c r="R512" i="7"/>
  <c r="S512" i="7"/>
  <c r="T512" i="7"/>
  <c r="U512" i="7"/>
  <c r="V512" i="7"/>
  <c r="W512" i="7"/>
  <c r="X512" i="7"/>
  <c r="Y512" i="7"/>
  <c r="Z512" i="7"/>
  <c r="AA512" i="7"/>
  <c r="AB512" i="7"/>
  <c r="AC512" i="7"/>
  <c r="AD512" i="7"/>
  <c r="AE512" i="7"/>
  <c r="Q513" i="7"/>
  <c r="R513" i="7"/>
  <c r="S513" i="7"/>
  <c r="T513" i="7"/>
  <c r="U513" i="7"/>
  <c r="V513" i="7"/>
  <c r="W513" i="7"/>
  <c r="X513" i="7"/>
  <c r="Y513" i="7"/>
  <c r="Z513" i="7"/>
  <c r="AA513" i="7"/>
  <c r="AB513" i="7"/>
  <c r="AC513" i="7"/>
  <c r="AD513" i="7"/>
  <c r="AE513" i="7"/>
  <c r="Q514" i="7"/>
  <c r="R514" i="7"/>
  <c r="S514" i="7"/>
  <c r="T514" i="7"/>
  <c r="U514" i="7"/>
  <c r="V514" i="7"/>
  <c r="W514" i="7"/>
  <c r="X514" i="7"/>
  <c r="Y514" i="7"/>
  <c r="Z514" i="7"/>
  <c r="AA514" i="7"/>
  <c r="AB514" i="7"/>
  <c r="AC514" i="7"/>
  <c r="AD514" i="7"/>
  <c r="AE514" i="7"/>
  <c r="Q515" i="7"/>
  <c r="R515" i="7"/>
  <c r="S515" i="7"/>
  <c r="T515" i="7"/>
  <c r="U515" i="7"/>
  <c r="V515" i="7"/>
  <c r="W515" i="7"/>
  <c r="X515" i="7"/>
  <c r="Y515" i="7"/>
  <c r="Z515" i="7"/>
  <c r="AA515" i="7"/>
  <c r="AB515" i="7"/>
  <c r="AC515" i="7"/>
  <c r="AD515" i="7"/>
  <c r="AE515" i="7"/>
  <c r="Q516" i="7"/>
  <c r="R516" i="7"/>
  <c r="S516" i="7"/>
  <c r="T516" i="7"/>
  <c r="U516" i="7"/>
  <c r="V516" i="7"/>
  <c r="W516" i="7"/>
  <c r="X516" i="7"/>
  <c r="Y516" i="7"/>
  <c r="Z516" i="7"/>
  <c r="AA516" i="7"/>
  <c r="AB516" i="7"/>
  <c r="AC516" i="7"/>
  <c r="AD516" i="7"/>
  <c r="AE516" i="7"/>
  <c r="Q517" i="7"/>
  <c r="R517" i="7"/>
  <c r="S517" i="7"/>
  <c r="T517" i="7"/>
  <c r="U517" i="7"/>
  <c r="V517" i="7"/>
  <c r="W517" i="7"/>
  <c r="X517" i="7"/>
  <c r="Y517" i="7"/>
  <c r="Z517" i="7"/>
  <c r="AA517" i="7"/>
  <c r="AB517" i="7"/>
  <c r="AC517" i="7"/>
  <c r="AD517" i="7"/>
  <c r="AE517" i="7"/>
  <c r="Q518" i="7"/>
  <c r="R518" i="7"/>
  <c r="S518" i="7"/>
  <c r="T518" i="7"/>
  <c r="U518" i="7"/>
  <c r="V518" i="7"/>
  <c r="W518" i="7"/>
  <c r="X518" i="7"/>
  <c r="Y518" i="7"/>
  <c r="Z518" i="7"/>
  <c r="AA518" i="7"/>
  <c r="AB518" i="7"/>
  <c r="AC518" i="7"/>
  <c r="AD518" i="7"/>
  <c r="AE518" i="7"/>
  <c r="Q519" i="7"/>
  <c r="R519" i="7"/>
  <c r="S519" i="7"/>
  <c r="T519" i="7"/>
  <c r="U519" i="7"/>
  <c r="V519" i="7"/>
  <c r="W519" i="7"/>
  <c r="X519" i="7"/>
  <c r="Y519" i="7"/>
  <c r="Z519" i="7"/>
  <c r="AA519" i="7"/>
  <c r="AB519" i="7"/>
  <c r="AC519" i="7"/>
  <c r="AD519" i="7"/>
  <c r="AE519" i="7"/>
  <c r="Q520" i="7"/>
  <c r="R520" i="7"/>
  <c r="S520" i="7"/>
  <c r="T520" i="7"/>
  <c r="U520" i="7"/>
  <c r="V520" i="7"/>
  <c r="W520" i="7"/>
  <c r="X520" i="7"/>
  <c r="Y520" i="7"/>
  <c r="Z520" i="7"/>
  <c r="AA520" i="7"/>
  <c r="AB520" i="7"/>
  <c r="AC520" i="7"/>
  <c r="AD520" i="7"/>
  <c r="AE520" i="7"/>
  <c r="Q521" i="7"/>
  <c r="R521" i="7"/>
  <c r="S521" i="7"/>
  <c r="T521" i="7"/>
  <c r="U521" i="7"/>
  <c r="V521" i="7"/>
  <c r="W521" i="7"/>
  <c r="X521" i="7"/>
  <c r="Y521" i="7"/>
  <c r="Z521" i="7"/>
  <c r="AA521" i="7"/>
  <c r="AB521" i="7"/>
  <c r="AC521" i="7"/>
  <c r="AD521" i="7"/>
  <c r="AE521" i="7"/>
  <c r="Q522" i="7"/>
  <c r="R522" i="7"/>
  <c r="S522" i="7"/>
  <c r="T522" i="7"/>
  <c r="U522" i="7"/>
  <c r="V522" i="7"/>
  <c r="W522" i="7"/>
  <c r="X522" i="7"/>
  <c r="Y522" i="7"/>
  <c r="Z522" i="7"/>
  <c r="AA522" i="7"/>
  <c r="AB522" i="7"/>
  <c r="AC522" i="7"/>
  <c r="AD522" i="7"/>
  <c r="AE522" i="7"/>
  <c r="Q523" i="7"/>
  <c r="R523" i="7"/>
  <c r="S523" i="7"/>
  <c r="T523" i="7"/>
  <c r="U523" i="7"/>
  <c r="V523" i="7"/>
  <c r="W523" i="7"/>
  <c r="X523" i="7"/>
  <c r="Y523" i="7"/>
  <c r="Z523" i="7"/>
  <c r="AA523" i="7"/>
  <c r="AB523" i="7"/>
  <c r="AC523" i="7"/>
  <c r="AD523" i="7"/>
  <c r="AE523" i="7"/>
  <c r="Q524" i="7"/>
  <c r="R524" i="7"/>
  <c r="S524" i="7"/>
  <c r="T524" i="7"/>
  <c r="U524" i="7"/>
  <c r="V524" i="7"/>
  <c r="W524" i="7"/>
  <c r="X524" i="7"/>
  <c r="Y524" i="7"/>
  <c r="Z524" i="7"/>
  <c r="AA524" i="7"/>
  <c r="AB524" i="7"/>
  <c r="AC524" i="7"/>
  <c r="AD524" i="7"/>
  <c r="AE524" i="7"/>
  <c r="Q525" i="7"/>
  <c r="R525" i="7"/>
  <c r="S525" i="7"/>
  <c r="T525" i="7"/>
  <c r="U525" i="7"/>
  <c r="V525" i="7"/>
  <c r="W525" i="7"/>
  <c r="X525" i="7"/>
  <c r="Y525" i="7"/>
  <c r="Z525" i="7"/>
  <c r="AA525" i="7"/>
  <c r="AB525" i="7"/>
  <c r="AC525" i="7"/>
  <c r="AD525" i="7"/>
  <c r="AE525" i="7"/>
  <c r="Q526" i="7"/>
  <c r="R526" i="7"/>
  <c r="S526" i="7"/>
  <c r="T526" i="7"/>
  <c r="U526" i="7"/>
  <c r="V526" i="7"/>
  <c r="W526" i="7"/>
  <c r="X526" i="7"/>
  <c r="Y526" i="7"/>
  <c r="Z526" i="7"/>
  <c r="AA526" i="7"/>
  <c r="AB526" i="7"/>
  <c r="AC526" i="7"/>
  <c r="AD526" i="7"/>
  <c r="AE526" i="7"/>
  <c r="Q527" i="7"/>
  <c r="R527" i="7"/>
  <c r="S527" i="7"/>
  <c r="T527" i="7"/>
  <c r="U527" i="7"/>
  <c r="V527" i="7"/>
  <c r="W527" i="7"/>
  <c r="X527" i="7"/>
  <c r="Y527" i="7"/>
  <c r="Z527" i="7"/>
  <c r="AA527" i="7"/>
  <c r="AB527" i="7"/>
  <c r="AC527" i="7"/>
  <c r="AD527" i="7"/>
  <c r="AE527" i="7"/>
  <c r="Q528" i="7"/>
  <c r="R528" i="7"/>
  <c r="S528" i="7"/>
  <c r="T528" i="7"/>
  <c r="U528" i="7"/>
  <c r="V528" i="7"/>
  <c r="W528" i="7"/>
  <c r="X528" i="7"/>
  <c r="Y528" i="7"/>
  <c r="Z528" i="7"/>
  <c r="AA528" i="7"/>
  <c r="AB528" i="7"/>
  <c r="AC528" i="7"/>
  <c r="AD528" i="7"/>
  <c r="AE528" i="7"/>
  <c r="Q529" i="7"/>
  <c r="R529" i="7"/>
  <c r="S529" i="7"/>
  <c r="T529" i="7"/>
  <c r="U529" i="7"/>
  <c r="V529" i="7"/>
  <c r="W529" i="7"/>
  <c r="X529" i="7"/>
  <c r="Y529" i="7"/>
  <c r="Z529" i="7"/>
  <c r="AA529" i="7"/>
  <c r="AB529" i="7"/>
  <c r="AC529" i="7"/>
  <c r="AD529" i="7"/>
  <c r="AE529" i="7"/>
  <c r="Q530" i="7"/>
  <c r="R530" i="7"/>
  <c r="S530" i="7"/>
  <c r="T530" i="7"/>
  <c r="U530" i="7"/>
  <c r="V530" i="7"/>
  <c r="W530" i="7"/>
  <c r="X530" i="7"/>
  <c r="Y530" i="7"/>
  <c r="Z530" i="7"/>
  <c r="AA530" i="7"/>
  <c r="AB530" i="7"/>
  <c r="AC530" i="7"/>
  <c r="AD530" i="7"/>
  <c r="AE530" i="7"/>
  <c r="Q531" i="7"/>
  <c r="R531" i="7"/>
  <c r="S531" i="7"/>
  <c r="T531" i="7"/>
  <c r="U531" i="7"/>
  <c r="V531" i="7"/>
  <c r="W531" i="7"/>
  <c r="X531" i="7"/>
  <c r="Y531" i="7"/>
  <c r="Z531" i="7"/>
  <c r="AA531" i="7"/>
  <c r="AB531" i="7"/>
  <c r="AC531" i="7"/>
  <c r="AD531" i="7"/>
  <c r="AE531" i="7"/>
  <c r="Q532" i="7"/>
  <c r="R532" i="7"/>
  <c r="S532" i="7"/>
  <c r="T532" i="7"/>
  <c r="U532" i="7"/>
  <c r="V532" i="7"/>
  <c r="W532" i="7"/>
  <c r="X532" i="7"/>
  <c r="Y532" i="7"/>
  <c r="Z532" i="7"/>
  <c r="AA532" i="7"/>
  <c r="AB532" i="7"/>
  <c r="AC532" i="7"/>
  <c r="AD532" i="7"/>
  <c r="AE532" i="7"/>
  <c r="Q533" i="7"/>
  <c r="R533" i="7"/>
  <c r="S533" i="7"/>
  <c r="T533" i="7"/>
  <c r="U533" i="7"/>
  <c r="V533" i="7"/>
  <c r="W533" i="7"/>
  <c r="X533" i="7"/>
  <c r="Y533" i="7"/>
  <c r="Z533" i="7"/>
  <c r="AA533" i="7"/>
  <c r="AB533" i="7"/>
  <c r="AC533" i="7"/>
  <c r="AD533" i="7"/>
  <c r="AE533" i="7"/>
  <c r="Q534" i="7"/>
  <c r="R534" i="7"/>
  <c r="S534" i="7"/>
  <c r="T534" i="7"/>
  <c r="U534" i="7"/>
  <c r="V534" i="7"/>
  <c r="W534" i="7"/>
  <c r="X534" i="7"/>
  <c r="Y534" i="7"/>
  <c r="Z534" i="7"/>
  <c r="AA534" i="7"/>
  <c r="AB534" i="7"/>
  <c r="AC534" i="7"/>
  <c r="AD534" i="7"/>
  <c r="AE534" i="7"/>
  <c r="Q535" i="7"/>
  <c r="R535" i="7"/>
  <c r="S535" i="7"/>
  <c r="T535" i="7"/>
  <c r="U535" i="7"/>
  <c r="V535" i="7"/>
  <c r="W535" i="7"/>
  <c r="X535" i="7"/>
  <c r="Y535" i="7"/>
  <c r="Z535" i="7"/>
  <c r="AA535" i="7"/>
  <c r="AB535" i="7"/>
  <c r="AC535" i="7"/>
  <c r="AD535" i="7"/>
  <c r="AE535" i="7"/>
  <c r="Q536" i="7"/>
  <c r="R536" i="7"/>
  <c r="S536" i="7"/>
  <c r="T536" i="7"/>
  <c r="U536" i="7"/>
  <c r="V536" i="7"/>
  <c r="W536" i="7"/>
  <c r="X536" i="7"/>
  <c r="Y536" i="7"/>
  <c r="Z536" i="7"/>
  <c r="AA536" i="7"/>
  <c r="AB536" i="7"/>
  <c r="AC536" i="7"/>
  <c r="AD536" i="7"/>
  <c r="AE536" i="7"/>
  <c r="Q537" i="7"/>
  <c r="R537" i="7"/>
  <c r="S537" i="7"/>
  <c r="T537" i="7"/>
  <c r="U537" i="7"/>
  <c r="V537" i="7"/>
  <c r="W537" i="7"/>
  <c r="X537" i="7"/>
  <c r="Y537" i="7"/>
  <c r="Z537" i="7"/>
  <c r="AA537" i="7"/>
  <c r="AB537" i="7"/>
  <c r="AC537" i="7"/>
  <c r="AD537" i="7"/>
  <c r="AE537" i="7"/>
  <c r="Q538" i="7"/>
  <c r="R538" i="7"/>
  <c r="S538" i="7"/>
  <c r="T538" i="7"/>
  <c r="U538" i="7"/>
  <c r="V538" i="7"/>
  <c r="W538" i="7"/>
  <c r="X538" i="7"/>
  <c r="Y538" i="7"/>
  <c r="Z538" i="7"/>
  <c r="AA538" i="7"/>
  <c r="AB538" i="7"/>
  <c r="AC538" i="7"/>
  <c r="AD538" i="7"/>
  <c r="AE538" i="7"/>
  <c r="Q539" i="7"/>
  <c r="R539" i="7"/>
  <c r="S539" i="7"/>
  <c r="T539" i="7"/>
  <c r="U539" i="7"/>
  <c r="V539" i="7"/>
  <c r="W539" i="7"/>
  <c r="X539" i="7"/>
  <c r="Y539" i="7"/>
  <c r="Z539" i="7"/>
  <c r="AA539" i="7"/>
  <c r="AB539" i="7"/>
  <c r="AC539" i="7"/>
  <c r="AD539" i="7"/>
  <c r="AE539" i="7"/>
  <c r="Q540" i="7"/>
  <c r="R540" i="7"/>
  <c r="S540" i="7"/>
  <c r="T540" i="7"/>
  <c r="U540" i="7"/>
  <c r="V540" i="7"/>
  <c r="W540" i="7"/>
  <c r="X540" i="7"/>
  <c r="Y540" i="7"/>
  <c r="Z540" i="7"/>
  <c r="AA540" i="7"/>
  <c r="AB540" i="7"/>
  <c r="AC540" i="7"/>
  <c r="AD540" i="7"/>
  <c r="AE540" i="7"/>
  <c r="Q541" i="7"/>
  <c r="R541" i="7"/>
  <c r="S541" i="7"/>
  <c r="T541" i="7"/>
  <c r="U541" i="7"/>
  <c r="V541" i="7"/>
  <c r="W541" i="7"/>
  <c r="X541" i="7"/>
  <c r="Y541" i="7"/>
  <c r="Z541" i="7"/>
  <c r="AA541" i="7"/>
  <c r="AB541" i="7"/>
  <c r="AC541" i="7"/>
  <c r="AD541" i="7"/>
  <c r="AE541" i="7"/>
  <c r="Q542" i="7"/>
  <c r="R542" i="7"/>
  <c r="S542" i="7"/>
  <c r="T542" i="7"/>
  <c r="U542" i="7"/>
  <c r="V542" i="7"/>
  <c r="W542" i="7"/>
  <c r="X542" i="7"/>
  <c r="Y542" i="7"/>
  <c r="Z542" i="7"/>
  <c r="AA542" i="7"/>
  <c r="AB542" i="7"/>
  <c r="AC542" i="7"/>
  <c r="AD542" i="7"/>
  <c r="AE542" i="7"/>
  <c r="Q543" i="7"/>
  <c r="R543" i="7"/>
  <c r="S543" i="7"/>
  <c r="T543" i="7"/>
  <c r="U543" i="7"/>
  <c r="V543" i="7"/>
  <c r="W543" i="7"/>
  <c r="X543" i="7"/>
  <c r="Y543" i="7"/>
  <c r="Z543" i="7"/>
  <c r="AA543" i="7"/>
  <c r="AB543" i="7"/>
  <c r="AC543" i="7"/>
  <c r="AD543" i="7"/>
  <c r="AE543" i="7"/>
  <c r="Q544" i="7"/>
  <c r="R544" i="7"/>
  <c r="S544" i="7"/>
  <c r="T544" i="7"/>
  <c r="U544" i="7"/>
  <c r="V544" i="7"/>
  <c r="W544" i="7"/>
  <c r="X544" i="7"/>
  <c r="Y544" i="7"/>
  <c r="Z544" i="7"/>
  <c r="AA544" i="7"/>
  <c r="AB544" i="7"/>
  <c r="AC544" i="7"/>
  <c r="AD544" i="7"/>
  <c r="AE544" i="7"/>
  <c r="Q545" i="7"/>
  <c r="R545" i="7"/>
  <c r="S545" i="7"/>
  <c r="T545" i="7"/>
  <c r="U545" i="7"/>
  <c r="V545" i="7"/>
  <c r="W545" i="7"/>
  <c r="X545" i="7"/>
  <c r="Y545" i="7"/>
  <c r="Z545" i="7"/>
  <c r="AA545" i="7"/>
  <c r="AB545" i="7"/>
  <c r="AC545" i="7"/>
  <c r="AD545" i="7"/>
  <c r="AE545" i="7"/>
  <c r="Q546" i="7"/>
  <c r="R546" i="7"/>
  <c r="S546" i="7"/>
  <c r="T546" i="7"/>
  <c r="U546" i="7"/>
  <c r="V546" i="7"/>
  <c r="W546" i="7"/>
  <c r="X546" i="7"/>
  <c r="Y546" i="7"/>
  <c r="Z546" i="7"/>
  <c r="AA546" i="7"/>
  <c r="AB546" i="7"/>
  <c r="AC546" i="7"/>
  <c r="AD546" i="7"/>
  <c r="AE546" i="7"/>
  <c r="Q547" i="7"/>
  <c r="R547" i="7"/>
  <c r="S547" i="7"/>
  <c r="T547" i="7"/>
  <c r="U547" i="7"/>
  <c r="V547" i="7"/>
  <c r="W547" i="7"/>
  <c r="X547" i="7"/>
  <c r="Y547" i="7"/>
  <c r="Z547" i="7"/>
  <c r="AA547" i="7"/>
  <c r="AB547" i="7"/>
  <c r="AC547" i="7"/>
  <c r="AD547" i="7"/>
  <c r="AE547" i="7"/>
  <c r="Q548" i="7"/>
  <c r="R548" i="7"/>
  <c r="S548" i="7"/>
  <c r="T548" i="7"/>
  <c r="U548" i="7"/>
  <c r="V548" i="7"/>
  <c r="W548" i="7"/>
  <c r="X548" i="7"/>
  <c r="Y548" i="7"/>
  <c r="Z548" i="7"/>
  <c r="AA548" i="7"/>
  <c r="AB548" i="7"/>
  <c r="AC548" i="7"/>
  <c r="AD548" i="7"/>
  <c r="AE548" i="7"/>
  <c r="Q549" i="7"/>
  <c r="R549" i="7"/>
  <c r="S549" i="7"/>
  <c r="T549" i="7"/>
  <c r="U549" i="7"/>
  <c r="V549" i="7"/>
  <c r="W549" i="7"/>
  <c r="X549" i="7"/>
  <c r="Y549" i="7"/>
  <c r="Z549" i="7"/>
  <c r="AA549" i="7"/>
  <c r="AB549" i="7"/>
  <c r="AC549" i="7"/>
  <c r="AD549" i="7"/>
  <c r="AE549" i="7"/>
  <c r="Q550" i="7"/>
  <c r="R550" i="7"/>
  <c r="S550" i="7"/>
  <c r="T550" i="7"/>
  <c r="U550" i="7"/>
  <c r="V550" i="7"/>
  <c r="W550" i="7"/>
  <c r="X550" i="7"/>
  <c r="Y550" i="7"/>
  <c r="Z550" i="7"/>
  <c r="AA550" i="7"/>
  <c r="AB550" i="7"/>
  <c r="AC550" i="7"/>
  <c r="AD550" i="7"/>
  <c r="AE550" i="7"/>
  <c r="Q551" i="7"/>
  <c r="R551" i="7"/>
  <c r="S551" i="7"/>
  <c r="T551" i="7"/>
  <c r="U551" i="7"/>
  <c r="V551" i="7"/>
  <c r="W551" i="7"/>
  <c r="X551" i="7"/>
  <c r="Y551" i="7"/>
  <c r="Z551" i="7"/>
  <c r="AA551" i="7"/>
  <c r="AB551" i="7"/>
  <c r="AC551" i="7"/>
  <c r="AD551" i="7"/>
  <c r="AE551" i="7"/>
  <c r="Q552" i="7"/>
  <c r="R552" i="7"/>
  <c r="S552" i="7"/>
  <c r="T552" i="7"/>
  <c r="U552" i="7"/>
  <c r="V552" i="7"/>
  <c r="W552" i="7"/>
  <c r="X552" i="7"/>
  <c r="Y552" i="7"/>
  <c r="Z552" i="7"/>
  <c r="AA552" i="7"/>
  <c r="AB552" i="7"/>
  <c r="AC552" i="7"/>
  <c r="AD552" i="7"/>
  <c r="AE552" i="7"/>
  <c r="Q553" i="7"/>
  <c r="R553" i="7"/>
  <c r="S553" i="7"/>
  <c r="T553" i="7"/>
  <c r="U553" i="7"/>
  <c r="V553" i="7"/>
  <c r="W553" i="7"/>
  <c r="X553" i="7"/>
  <c r="Y553" i="7"/>
  <c r="Z553" i="7"/>
  <c r="AA553" i="7"/>
  <c r="AB553" i="7"/>
  <c r="AC553" i="7"/>
  <c r="AD553" i="7"/>
  <c r="AE553" i="7"/>
  <c r="Q554" i="7"/>
  <c r="R554" i="7"/>
  <c r="S554" i="7"/>
  <c r="T554" i="7"/>
  <c r="U554" i="7"/>
  <c r="V554" i="7"/>
  <c r="W554" i="7"/>
  <c r="X554" i="7"/>
  <c r="Y554" i="7"/>
  <c r="Z554" i="7"/>
  <c r="AA554" i="7"/>
  <c r="AB554" i="7"/>
  <c r="AC554" i="7"/>
  <c r="AD554" i="7"/>
  <c r="AE554" i="7"/>
  <c r="Q555" i="7"/>
  <c r="R555" i="7"/>
  <c r="S555" i="7"/>
  <c r="T555" i="7"/>
  <c r="U555" i="7"/>
  <c r="V555" i="7"/>
  <c r="W555" i="7"/>
  <c r="X555" i="7"/>
  <c r="Y555" i="7"/>
  <c r="Z555" i="7"/>
  <c r="AA555" i="7"/>
  <c r="AB555" i="7"/>
  <c r="AC555" i="7"/>
  <c r="AD555" i="7"/>
  <c r="AE555" i="7"/>
  <c r="Q556" i="7"/>
  <c r="R556" i="7"/>
  <c r="S556" i="7"/>
  <c r="T556" i="7"/>
  <c r="U556" i="7"/>
  <c r="V556" i="7"/>
  <c r="W556" i="7"/>
  <c r="X556" i="7"/>
  <c r="Y556" i="7"/>
  <c r="Z556" i="7"/>
  <c r="AA556" i="7"/>
  <c r="AB556" i="7"/>
  <c r="AC556" i="7"/>
  <c r="AD556" i="7"/>
  <c r="AE556" i="7"/>
  <c r="Q557" i="7"/>
  <c r="R557" i="7"/>
  <c r="S557" i="7"/>
  <c r="T557" i="7"/>
  <c r="U557" i="7"/>
  <c r="V557" i="7"/>
  <c r="W557" i="7"/>
  <c r="X557" i="7"/>
  <c r="Y557" i="7"/>
  <c r="Z557" i="7"/>
  <c r="AA557" i="7"/>
  <c r="AB557" i="7"/>
  <c r="AC557" i="7"/>
  <c r="AD557" i="7"/>
  <c r="AE557" i="7"/>
  <c r="Q558" i="7"/>
  <c r="R558" i="7"/>
  <c r="S558" i="7"/>
  <c r="T558" i="7"/>
  <c r="U558" i="7"/>
  <c r="V558" i="7"/>
  <c r="W558" i="7"/>
  <c r="X558" i="7"/>
  <c r="Y558" i="7"/>
  <c r="Z558" i="7"/>
  <c r="AA558" i="7"/>
  <c r="AB558" i="7"/>
  <c r="AC558" i="7"/>
  <c r="AD558" i="7"/>
  <c r="AE558" i="7"/>
  <c r="Q559" i="7"/>
  <c r="R559" i="7"/>
  <c r="S559" i="7"/>
  <c r="T559" i="7"/>
  <c r="U559" i="7"/>
  <c r="V559" i="7"/>
  <c r="W559" i="7"/>
  <c r="X559" i="7"/>
  <c r="Y559" i="7"/>
  <c r="Z559" i="7"/>
  <c r="AA559" i="7"/>
  <c r="AB559" i="7"/>
  <c r="AC559" i="7"/>
  <c r="AD559" i="7"/>
  <c r="AE559" i="7"/>
  <c r="Q560" i="7"/>
  <c r="R560" i="7"/>
  <c r="S560" i="7"/>
  <c r="T560" i="7"/>
  <c r="U560" i="7"/>
  <c r="V560" i="7"/>
  <c r="W560" i="7"/>
  <c r="X560" i="7"/>
  <c r="Y560" i="7"/>
  <c r="Z560" i="7"/>
  <c r="AA560" i="7"/>
  <c r="AB560" i="7"/>
  <c r="AC560" i="7"/>
  <c r="AD560" i="7"/>
  <c r="AE560" i="7"/>
  <c r="Q561" i="7"/>
  <c r="R561" i="7"/>
  <c r="S561" i="7"/>
  <c r="T561" i="7"/>
  <c r="U561" i="7"/>
  <c r="V561" i="7"/>
  <c r="W561" i="7"/>
  <c r="X561" i="7"/>
  <c r="Y561" i="7"/>
  <c r="Z561" i="7"/>
  <c r="AA561" i="7"/>
  <c r="AB561" i="7"/>
  <c r="AC561" i="7"/>
  <c r="AD561" i="7"/>
  <c r="AE561" i="7"/>
  <c r="Q562" i="7"/>
  <c r="R562" i="7"/>
  <c r="S562" i="7"/>
  <c r="T562" i="7"/>
  <c r="U562" i="7"/>
  <c r="V562" i="7"/>
  <c r="W562" i="7"/>
  <c r="X562" i="7"/>
  <c r="Y562" i="7"/>
  <c r="Z562" i="7"/>
  <c r="AA562" i="7"/>
  <c r="AB562" i="7"/>
  <c r="AC562" i="7"/>
  <c r="AD562" i="7"/>
  <c r="AE562" i="7"/>
  <c r="Q563" i="7"/>
  <c r="R563" i="7"/>
  <c r="S563" i="7"/>
  <c r="T563" i="7"/>
  <c r="U563" i="7"/>
  <c r="V563" i="7"/>
  <c r="W563" i="7"/>
  <c r="X563" i="7"/>
  <c r="Y563" i="7"/>
  <c r="Z563" i="7"/>
  <c r="AA563" i="7"/>
  <c r="AB563" i="7"/>
  <c r="AC563" i="7"/>
  <c r="AD563" i="7"/>
  <c r="AE563" i="7"/>
  <c r="Q564" i="7"/>
  <c r="R564" i="7"/>
  <c r="S564" i="7"/>
  <c r="T564" i="7"/>
  <c r="U564" i="7"/>
  <c r="V564" i="7"/>
  <c r="W564" i="7"/>
  <c r="X564" i="7"/>
  <c r="Y564" i="7"/>
  <c r="Z564" i="7"/>
  <c r="AA564" i="7"/>
  <c r="AB564" i="7"/>
  <c r="AC564" i="7"/>
  <c r="AD564" i="7"/>
  <c r="AE564" i="7"/>
  <c r="Q565" i="7"/>
  <c r="R565" i="7"/>
  <c r="S565" i="7"/>
  <c r="T565" i="7"/>
  <c r="U565" i="7"/>
  <c r="V565" i="7"/>
  <c r="W565" i="7"/>
  <c r="X565" i="7"/>
  <c r="Y565" i="7"/>
  <c r="Z565" i="7"/>
  <c r="AA565" i="7"/>
  <c r="AB565" i="7"/>
  <c r="AC565" i="7"/>
  <c r="AD565" i="7"/>
  <c r="AE565" i="7"/>
  <c r="Q566" i="7"/>
  <c r="R566" i="7"/>
  <c r="S566" i="7"/>
  <c r="T566" i="7"/>
  <c r="U566" i="7"/>
  <c r="V566" i="7"/>
  <c r="W566" i="7"/>
  <c r="X566" i="7"/>
  <c r="Y566" i="7"/>
  <c r="Z566" i="7"/>
  <c r="AA566" i="7"/>
  <c r="AB566" i="7"/>
  <c r="AC566" i="7"/>
  <c r="AD566" i="7"/>
  <c r="AE566" i="7"/>
  <c r="Q567" i="7"/>
  <c r="R567" i="7"/>
  <c r="S567" i="7"/>
  <c r="T567" i="7"/>
  <c r="U567" i="7"/>
  <c r="V567" i="7"/>
  <c r="W567" i="7"/>
  <c r="X567" i="7"/>
  <c r="Y567" i="7"/>
  <c r="Z567" i="7"/>
  <c r="AA567" i="7"/>
  <c r="AB567" i="7"/>
  <c r="AC567" i="7"/>
  <c r="AD567" i="7"/>
  <c r="AE567" i="7"/>
  <c r="Q568" i="7"/>
  <c r="R568" i="7"/>
  <c r="S568" i="7"/>
  <c r="T568" i="7"/>
  <c r="U568" i="7"/>
  <c r="V568" i="7"/>
  <c r="W568" i="7"/>
  <c r="X568" i="7"/>
  <c r="Y568" i="7"/>
  <c r="Z568" i="7"/>
  <c r="AA568" i="7"/>
  <c r="AB568" i="7"/>
  <c r="AC568" i="7"/>
  <c r="AD568" i="7"/>
  <c r="AE568" i="7"/>
  <c r="Q569" i="7"/>
  <c r="R569" i="7"/>
  <c r="S569" i="7"/>
  <c r="T569" i="7"/>
  <c r="U569" i="7"/>
  <c r="V569" i="7"/>
  <c r="W569" i="7"/>
  <c r="X569" i="7"/>
  <c r="Y569" i="7"/>
  <c r="Z569" i="7"/>
  <c r="AA569" i="7"/>
  <c r="AB569" i="7"/>
  <c r="AC569" i="7"/>
  <c r="AD569" i="7"/>
  <c r="AE569" i="7"/>
  <c r="Q570" i="7"/>
  <c r="R570" i="7"/>
  <c r="S570" i="7"/>
  <c r="T570" i="7"/>
  <c r="U570" i="7"/>
  <c r="V570" i="7"/>
  <c r="W570" i="7"/>
  <c r="X570" i="7"/>
  <c r="Y570" i="7"/>
  <c r="Z570" i="7"/>
  <c r="AA570" i="7"/>
  <c r="AB570" i="7"/>
  <c r="AC570" i="7"/>
  <c r="AD570" i="7"/>
  <c r="AE570" i="7"/>
  <c r="Q571" i="7"/>
  <c r="R571" i="7"/>
  <c r="S571" i="7"/>
  <c r="T571" i="7"/>
  <c r="U571" i="7"/>
  <c r="V571" i="7"/>
  <c r="W571" i="7"/>
  <c r="X571" i="7"/>
  <c r="Y571" i="7"/>
  <c r="Z571" i="7"/>
  <c r="AA571" i="7"/>
  <c r="AB571" i="7"/>
  <c r="AC571" i="7"/>
  <c r="AD571" i="7"/>
  <c r="AE571" i="7"/>
  <c r="Q572" i="7"/>
  <c r="R572" i="7"/>
  <c r="S572" i="7"/>
  <c r="T572" i="7"/>
  <c r="U572" i="7"/>
  <c r="V572" i="7"/>
  <c r="W572" i="7"/>
  <c r="X572" i="7"/>
  <c r="Y572" i="7"/>
  <c r="Z572" i="7"/>
  <c r="AA572" i="7"/>
  <c r="AB572" i="7"/>
  <c r="AC572" i="7"/>
  <c r="AD572" i="7"/>
  <c r="AE572" i="7"/>
  <c r="Q573" i="7"/>
  <c r="R573" i="7"/>
  <c r="S573" i="7"/>
  <c r="T573" i="7"/>
  <c r="U573" i="7"/>
  <c r="V573" i="7"/>
  <c r="W573" i="7"/>
  <c r="X573" i="7"/>
  <c r="Y573" i="7"/>
  <c r="Z573" i="7"/>
  <c r="AA573" i="7"/>
  <c r="AB573" i="7"/>
  <c r="AC573" i="7"/>
  <c r="AD573" i="7"/>
  <c r="AE573" i="7"/>
  <c r="Q574" i="7"/>
  <c r="R574" i="7"/>
  <c r="S574" i="7"/>
  <c r="T574" i="7"/>
  <c r="U574" i="7"/>
  <c r="V574" i="7"/>
  <c r="W574" i="7"/>
  <c r="X574" i="7"/>
  <c r="Y574" i="7"/>
  <c r="Z574" i="7"/>
  <c r="AA574" i="7"/>
  <c r="AB574" i="7"/>
  <c r="AC574" i="7"/>
  <c r="AD574" i="7"/>
  <c r="AE574" i="7"/>
  <c r="Q575" i="7"/>
  <c r="R575" i="7"/>
  <c r="S575" i="7"/>
  <c r="T575" i="7"/>
  <c r="U575" i="7"/>
  <c r="V575" i="7"/>
  <c r="W575" i="7"/>
  <c r="X575" i="7"/>
  <c r="Y575" i="7"/>
  <c r="Z575" i="7"/>
  <c r="AA575" i="7"/>
  <c r="AB575" i="7"/>
  <c r="AC575" i="7"/>
  <c r="AD575" i="7"/>
  <c r="AE575" i="7"/>
  <c r="Q576" i="7"/>
  <c r="R576" i="7"/>
  <c r="S576" i="7"/>
  <c r="T576" i="7"/>
  <c r="U576" i="7"/>
  <c r="V576" i="7"/>
  <c r="W576" i="7"/>
  <c r="X576" i="7"/>
  <c r="Y576" i="7"/>
  <c r="Z576" i="7"/>
  <c r="AA576" i="7"/>
  <c r="AB576" i="7"/>
  <c r="AC576" i="7"/>
  <c r="AD576" i="7"/>
  <c r="AE576" i="7"/>
  <c r="Q577" i="7"/>
  <c r="R577" i="7"/>
  <c r="S577" i="7"/>
  <c r="T577" i="7"/>
  <c r="U577" i="7"/>
  <c r="V577" i="7"/>
  <c r="W577" i="7"/>
  <c r="X577" i="7"/>
  <c r="Y577" i="7"/>
  <c r="Z577" i="7"/>
  <c r="AA577" i="7"/>
  <c r="AB577" i="7"/>
  <c r="AC577" i="7"/>
  <c r="AD577" i="7"/>
  <c r="AE577" i="7"/>
  <c r="Q578" i="7"/>
  <c r="R578" i="7"/>
  <c r="S578" i="7"/>
  <c r="T578" i="7"/>
  <c r="U578" i="7"/>
  <c r="V578" i="7"/>
  <c r="W578" i="7"/>
  <c r="X578" i="7"/>
  <c r="Y578" i="7"/>
  <c r="Z578" i="7"/>
  <c r="AA578" i="7"/>
  <c r="AB578" i="7"/>
  <c r="AC578" i="7"/>
  <c r="AD578" i="7"/>
  <c r="AE578" i="7"/>
  <c r="Q579" i="7"/>
  <c r="R579" i="7"/>
  <c r="S579" i="7"/>
  <c r="T579" i="7"/>
  <c r="U579" i="7"/>
  <c r="V579" i="7"/>
  <c r="W579" i="7"/>
  <c r="X579" i="7"/>
  <c r="Y579" i="7"/>
  <c r="Z579" i="7"/>
  <c r="AA579" i="7"/>
  <c r="AB579" i="7"/>
  <c r="AC579" i="7"/>
  <c r="AD579" i="7"/>
  <c r="AE579" i="7"/>
  <c r="Q580" i="7"/>
  <c r="R580" i="7"/>
  <c r="S580" i="7"/>
  <c r="T580" i="7"/>
  <c r="U580" i="7"/>
  <c r="V580" i="7"/>
  <c r="W580" i="7"/>
  <c r="X580" i="7"/>
  <c r="Y580" i="7"/>
  <c r="Z580" i="7"/>
  <c r="AA580" i="7"/>
  <c r="AB580" i="7"/>
  <c r="AC580" i="7"/>
  <c r="AD580" i="7"/>
  <c r="AE580" i="7"/>
  <c r="Q581" i="7"/>
  <c r="R581" i="7"/>
  <c r="S581" i="7"/>
  <c r="T581" i="7"/>
  <c r="U581" i="7"/>
  <c r="V581" i="7"/>
  <c r="W581" i="7"/>
  <c r="X581" i="7"/>
  <c r="Y581" i="7"/>
  <c r="Z581" i="7"/>
  <c r="AA581" i="7"/>
  <c r="AB581" i="7"/>
  <c r="AC581" i="7"/>
  <c r="AD581" i="7"/>
  <c r="AE581" i="7"/>
  <c r="Q582" i="7"/>
  <c r="R582" i="7"/>
  <c r="S582" i="7"/>
  <c r="T582" i="7"/>
  <c r="U582" i="7"/>
  <c r="V582" i="7"/>
  <c r="W582" i="7"/>
  <c r="X582" i="7"/>
  <c r="Y582" i="7"/>
  <c r="Z582" i="7"/>
  <c r="AA582" i="7"/>
  <c r="AB582" i="7"/>
  <c r="AC582" i="7"/>
  <c r="AD582" i="7"/>
  <c r="AE582" i="7"/>
  <c r="Q583" i="7"/>
  <c r="R583" i="7"/>
  <c r="S583" i="7"/>
  <c r="T583" i="7"/>
  <c r="U583" i="7"/>
  <c r="V583" i="7"/>
  <c r="W583" i="7"/>
  <c r="X583" i="7"/>
  <c r="Y583" i="7"/>
  <c r="Z583" i="7"/>
  <c r="AA583" i="7"/>
  <c r="AB583" i="7"/>
  <c r="AC583" i="7"/>
  <c r="AD583" i="7"/>
  <c r="AE583" i="7"/>
  <c r="Q584" i="7"/>
  <c r="R584" i="7"/>
  <c r="S584" i="7"/>
  <c r="T584" i="7"/>
  <c r="U584" i="7"/>
  <c r="V584" i="7"/>
  <c r="W584" i="7"/>
  <c r="X584" i="7"/>
  <c r="Y584" i="7"/>
  <c r="Z584" i="7"/>
  <c r="AA584" i="7"/>
  <c r="AB584" i="7"/>
  <c r="AC584" i="7"/>
  <c r="AD584" i="7"/>
  <c r="AE584" i="7"/>
  <c r="Q585" i="7"/>
  <c r="R585" i="7"/>
  <c r="S585" i="7"/>
  <c r="T585" i="7"/>
  <c r="U585" i="7"/>
  <c r="V585" i="7"/>
  <c r="W585" i="7"/>
  <c r="X585" i="7"/>
  <c r="Y585" i="7"/>
  <c r="Z585" i="7"/>
  <c r="AA585" i="7"/>
  <c r="AB585" i="7"/>
  <c r="AC585" i="7"/>
  <c r="AD585" i="7"/>
  <c r="AE585" i="7"/>
  <c r="Q586" i="7"/>
  <c r="R586" i="7"/>
  <c r="S586" i="7"/>
  <c r="T586" i="7"/>
  <c r="U586" i="7"/>
  <c r="V586" i="7"/>
  <c r="W586" i="7"/>
  <c r="X586" i="7"/>
  <c r="Y586" i="7"/>
  <c r="Z586" i="7"/>
  <c r="AA586" i="7"/>
  <c r="AB586" i="7"/>
  <c r="AC586" i="7"/>
  <c r="AD586" i="7"/>
  <c r="AE586" i="7"/>
  <c r="Q587" i="7"/>
  <c r="R587" i="7"/>
  <c r="S587" i="7"/>
  <c r="T587" i="7"/>
  <c r="U587" i="7"/>
  <c r="V587" i="7"/>
  <c r="W587" i="7"/>
  <c r="X587" i="7"/>
  <c r="Y587" i="7"/>
  <c r="Z587" i="7"/>
  <c r="AA587" i="7"/>
  <c r="AB587" i="7"/>
  <c r="AC587" i="7"/>
  <c r="AD587" i="7"/>
  <c r="AE587" i="7"/>
  <c r="Q588" i="7"/>
  <c r="R588" i="7"/>
  <c r="S588" i="7"/>
  <c r="T588" i="7"/>
  <c r="U588" i="7"/>
  <c r="V588" i="7"/>
  <c r="W588" i="7"/>
  <c r="X588" i="7"/>
  <c r="Y588" i="7"/>
  <c r="Z588" i="7"/>
  <c r="AA588" i="7"/>
  <c r="AB588" i="7"/>
  <c r="AC588" i="7"/>
  <c r="AD588" i="7"/>
  <c r="AE588" i="7"/>
  <c r="Q589" i="7"/>
  <c r="R589" i="7"/>
  <c r="S589" i="7"/>
  <c r="T589" i="7"/>
  <c r="U589" i="7"/>
  <c r="V589" i="7"/>
  <c r="W589" i="7"/>
  <c r="X589" i="7"/>
  <c r="Y589" i="7"/>
  <c r="Z589" i="7"/>
  <c r="AA589" i="7"/>
  <c r="AB589" i="7"/>
  <c r="AC589" i="7"/>
  <c r="AD589" i="7"/>
  <c r="AE589" i="7"/>
  <c r="Q590" i="7"/>
  <c r="R590" i="7"/>
  <c r="S590" i="7"/>
  <c r="T590" i="7"/>
  <c r="U590" i="7"/>
  <c r="V590" i="7"/>
  <c r="W590" i="7"/>
  <c r="X590" i="7"/>
  <c r="Y590" i="7"/>
  <c r="Z590" i="7"/>
  <c r="AA590" i="7"/>
  <c r="AB590" i="7"/>
  <c r="AC590" i="7"/>
  <c r="AD590" i="7"/>
  <c r="AE590" i="7"/>
  <c r="Q591" i="7"/>
  <c r="R591" i="7"/>
  <c r="S591" i="7"/>
  <c r="T591" i="7"/>
  <c r="U591" i="7"/>
  <c r="V591" i="7"/>
  <c r="W591" i="7"/>
  <c r="X591" i="7"/>
  <c r="Y591" i="7"/>
  <c r="Z591" i="7"/>
  <c r="AA591" i="7"/>
  <c r="AB591" i="7"/>
  <c r="AC591" i="7"/>
  <c r="AD591" i="7"/>
  <c r="AE591" i="7"/>
  <c r="Q592" i="7"/>
  <c r="R592" i="7"/>
  <c r="S592" i="7"/>
  <c r="T592" i="7"/>
  <c r="U592" i="7"/>
  <c r="V592" i="7"/>
  <c r="W592" i="7"/>
  <c r="X592" i="7"/>
  <c r="Y592" i="7"/>
  <c r="Z592" i="7"/>
  <c r="AA592" i="7"/>
  <c r="AB592" i="7"/>
  <c r="AC592" i="7"/>
  <c r="AD592" i="7"/>
  <c r="AE592" i="7"/>
  <c r="Q593" i="7"/>
  <c r="R593" i="7"/>
  <c r="S593" i="7"/>
  <c r="T593" i="7"/>
  <c r="U593" i="7"/>
  <c r="V593" i="7"/>
  <c r="W593" i="7"/>
  <c r="X593" i="7"/>
  <c r="Y593" i="7"/>
  <c r="Z593" i="7"/>
  <c r="AA593" i="7"/>
  <c r="AB593" i="7"/>
  <c r="AC593" i="7"/>
  <c r="AD593" i="7"/>
  <c r="AE593" i="7"/>
  <c r="Q594" i="7"/>
  <c r="R594" i="7"/>
  <c r="S594" i="7"/>
  <c r="T594" i="7"/>
  <c r="U594" i="7"/>
  <c r="V594" i="7"/>
  <c r="W594" i="7"/>
  <c r="X594" i="7"/>
  <c r="Y594" i="7"/>
  <c r="Z594" i="7"/>
  <c r="AA594" i="7"/>
  <c r="AB594" i="7"/>
  <c r="AC594" i="7"/>
  <c r="AD594" i="7"/>
  <c r="AE594" i="7"/>
  <c r="Q595" i="7"/>
  <c r="R595" i="7"/>
  <c r="S595" i="7"/>
  <c r="T595" i="7"/>
  <c r="U595" i="7"/>
  <c r="V595" i="7"/>
  <c r="W595" i="7"/>
  <c r="X595" i="7"/>
  <c r="Y595" i="7"/>
  <c r="Z595" i="7"/>
  <c r="AA595" i="7"/>
  <c r="AB595" i="7"/>
  <c r="AC595" i="7"/>
  <c r="AD595" i="7"/>
  <c r="AE595" i="7"/>
  <c r="Q596" i="7"/>
  <c r="R596" i="7"/>
  <c r="S596" i="7"/>
  <c r="T596" i="7"/>
  <c r="U596" i="7"/>
  <c r="V596" i="7"/>
  <c r="W596" i="7"/>
  <c r="X596" i="7"/>
  <c r="Y596" i="7"/>
  <c r="Z596" i="7"/>
  <c r="AA596" i="7"/>
  <c r="AB596" i="7"/>
  <c r="AC596" i="7"/>
  <c r="AD596" i="7"/>
  <c r="AE596" i="7"/>
  <c r="Q597" i="7"/>
  <c r="R597" i="7"/>
  <c r="S597" i="7"/>
  <c r="T597" i="7"/>
  <c r="U597" i="7"/>
  <c r="V597" i="7"/>
  <c r="W597" i="7"/>
  <c r="X597" i="7"/>
  <c r="Y597" i="7"/>
  <c r="Z597" i="7"/>
  <c r="AA597" i="7"/>
  <c r="AB597" i="7"/>
  <c r="AC597" i="7"/>
  <c r="AD597" i="7"/>
  <c r="AE597" i="7"/>
  <c r="Q598" i="7"/>
  <c r="R598" i="7"/>
  <c r="S598" i="7"/>
  <c r="T598" i="7"/>
  <c r="U598" i="7"/>
  <c r="V598" i="7"/>
  <c r="W598" i="7"/>
  <c r="X598" i="7"/>
  <c r="Y598" i="7"/>
  <c r="Z598" i="7"/>
  <c r="AA598" i="7"/>
  <c r="AB598" i="7"/>
  <c r="AC598" i="7"/>
  <c r="AD598" i="7"/>
  <c r="AE598" i="7"/>
  <c r="Q599" i="7"/>
  <c r="R599" i="7"/>
  <c r="S599" i="7"/>
  <c r="T599" i="7"/>
  <c r="U599" i="7"/>
  <c r="V599" i="7"/>
  <c r="W599" i="7"/>
  <c r="X599" i="7"/>
  <c r="Y599" i="7"/>
  <c r="Z599" i="7"/>
  <c r="AA599" i="7"/>
  <c r="AB599" i="7"/>
  <c r="AC599" i="7"/>
  <c r="AD599" i="7"/>
  <c r="AE599" i="7"/>
  <c r="Q600" i="7"/>
  <c r="R600" i="7"/>
  <c r="S600" i="7"/>
  <c r="T600" i="7"/>
  <c r="U600" i="7"/>
  <c r="V600" i="7"/>
  <c r="W600" i="7"/>
  <c r="X600" i="7"/>
  <c r="Y600" i="7"/>
  <c r="Z600" i="7"/>
  <c r="AA600" i="7"/>
  <c r="AB600" i="7"/>
  <c r="AC600" i="7"/>
  <c r="AD600" i="7"/>
  <c r="AE600" i="7"/>
  <c r="Q601" i="7"/>
  <c r="R601" i="7"/>
  <c r="S601" i="7"/>
  <c r="T601" i="7"/>
  <c r="U601" i="7"/>
  <c r="V601" i="7"/>
  <c r="W601" i="7"/>
  <c r="X601" i="7"/>
  <c r="Y601" i="7"/>
  <c r="Z601" i="7"/>
  <c r="AA601" i="7"/>
  <c r="AB601" i="7"/>
  <c r="AC601" i="7"/>
  <c r="AD601" i="7"/>
  <c r="AE601" i="7"/>
  <c r="Q602" i="7"/>
  <c r="R602" i="7"/>
  <c r="S602" i="7"/>
  <c r="T602" i="7"/>
  <c r="U602" i="7"/>
  <c r="V602" i="7"/>
  <c r="W602" i="7"/>
  <c r="X602" i="7"/>
  <c r="Y602" i="7"/>
  <c r="Z602" i="7"/>
  <c r="AA602" i="7"/>
  <c r="AB602" i="7"/>
  <c r="AC602" i="7"/>
  <c r="AD602" i="7"/>
  <c r="AE602" i="7"/>
  <c r="Q603" i="7"/>
  <c r="R603" i="7"/>
  <c r="S603" i="7"/>
  <c r="T603" i="7"/>
  <c r="U603" i="7"/>
  <c r="V603" i="7"/>
  <c r="W603" i="7"/>
  <c r="X603" i="7"/>
  <c r="Y603" i="7"/>
  <c r="Z603" i="7"/>
  <c r="AA603" i="7"/>
  <c r="AB603" i="7"/>
  <c r="AC603" i="7"/>
  <c r="AD603" i="7"/>
  <c r="AE603" i="7"/>
  <c r="Q604" i="7"/>
  <c r="R604" i="7"/>
  <c r="S604" i="7"/>
  <c r="T604" i="7"/>
  <c r="U604" i="7"/>
  <c r="V604" i="7"/>
  <c r="W604" i="7"/>
  <c r="X604" i="7"/>
  <c r="Y604" i="7"/>
  <c r="Z604" i="7"/>
  <c r="AA604" i="7"/>
  <c r="AB604" i="7"/>
  <c r="AC604" i="7"/>
  <c r="AD604" i="7"/>
  <c r="AE604" i="7"/>
  <c r="Q605" i="7"/>
  <c r="R605" i="7"/>
  <c r="S605" i="7"/>
  <c r="T605" i="7"/>
  <c r="U605" i="7"/>
  <c r="V605" i="7"/>
  <c r="W605" i="7"/>
  <c r="X605" i="7"/>
  <c r="Y605" i="7"/>
  <c r="Z605" i="7"/>
  <c r="AA605" i="7"/>
  <c r="AB605" i="7"/>
  <c r="AC605" i="7"/>
  <c r="AD605" i="7"/>
  <c r="AE605" i="7"/>
  <c r="Q606" i="7"/>
  <c r="R606" i="7"/>
  <c r="S606" i="7"/>
  <c r="T606" i="7"/>
  <c r="U606" i="7"/>
  <c r="V606" i="7"/>
  <c r="W606" i="7"/>
  <c r="X606" i="7"/>
  <c r="Y606" i="7"/>
  <c r="Z606" i="7"/>
  <c r="AA606" i="7"/>
  <c r="AB606" i="7"/>
  <c r="AC606" i="7"/>
  <c r="AD606" i="7"/>
  <c r="AE606" i="7"/>
  <c r="Q607" i="7"/>
  <c r="R607" i="7"/>
  <c r="S607" i="7"/>
  <c r="T607" i="7"/>
  <c r="U607" i="7"/>
  <c r="V607" i="7"/>
  <c r="W607" i="7"/>
  <c r="X607" i="7"/>
  <c r="Y607" i="7"/>
  <c r="Z607" i="7"/>
  <c r="AA607" i="7"/>
  <c r="AB607" i="7"/>
  <c r="AC607" i="7"/>
  <c r="AD607" i="7"/>
  <c r="AE607" i="7"/>
  <c r="Q608" i="7"/>
  <c r="R608" i="7"/>
  <c r="S608" i="7"/>
  <c r="T608" i="7"/>
  <c r="U608" i="7"/>
  <c r="V608" i="7"/>
  <c r="W608" i="7"/>
  <c r="X608" i="7"/>
  <c r="Y608" i="7"/>
  <c r="Z608" i="7"/>
  <c r="AA608" i="7"/>
  <c r="AB608" i="7"/>
  <c r="AC608" i="7"/>
  <c r="AD608" i="7"/>
  <c r="AE608" i="7"/>
  <c r="Q609" i="7"/>
  <c r="R609" i="7"/>
  <c r="S609" i="7"/>
  <c r="T609" i="7"/>
  <c r="U609" i="7"/>
  <c r="V609" i="7"/>
  <c r="W609" i="7"/>
  <c r="X609" i="7"/>
  <c r="Y609" i="7"/>
  <c r="Z609" i="7"/>
  <c r="AA609" i="7"/>
  <c r="AB609" i="7"/>
  <c r="AC609" i="7"/>
  <c r="AD609" i="7"/>
  <c r="AE609" i="7"/>
  <c r="Q610" i="7"/>
  <c r="R610" i="7"/>
  <c r="S610" i="7"/>
  <c r="T610" i="7"/>
  <c r="U610" i="7"/>
  <c r="V610" i="7"/>
  <c r="W610" i="7"/>
  <c r="X610" i="7"/>
  <c r="Y610" i="7"/>
  <c r="Z610" i="7"/>
  <c r="AA610" i="7"/>
  <c r="AB610" i="7"/>
  <c r="AC610" i="7"/>
  <c r="AD610" i="7"/>
  <c r="AE610" i="7"/>
  <c r="Q611" i="7"/>
  <c r="R611" i="7"/>
  <c r="S611" i="7"/>
  <c r="T611" i="7"/>
  <c r="U611" i="7"/>
  <c r="V611" i="7"/>
  <c r="W611" i="7"/>
  <c r="X611" i="7"/>
  <c r="Y611" i="7"/>
  <c r="Z611" i="7"/>
  <c r="AA611" i="7"/>
  <c r="AB611" i="7"/>
  <c r="AC611" i="7"/>
  <c r="AD611" i="7"/>
  <c r="AE611" i="7"/>
  <c r="Q612" i="7"/>
  <c r="R612" i="7"/>
  <c r="S612" i="7"/>
  <c r="T612" i="7"/>
  <c r="U612" i="7"/>
  <c r="V612" i="7"/>
  <c r="W612" i="7"/>
  <c r="X612" i="7"/>
  <c r="Y612" i="7"/>
  <c r="Z612" i="7"/>
  <c r="AA612" i="7"/>
  <c r="AB612" i="7"/>
  <c r="AC612" i="7"/>
  <c r="AD612" i="7"/>
  <c r="AE612" i="7"/>
  <c r="Q613" i="7"/>
  <c r="R613" i="7"/>
  <c r="S613" i="7"/>
  <c r="T613" i="7"/>
  <c r="U613" i="7"/>
  <c r="V613" i="7"/>
  <c r="W613" i="7"/>
  <c r="X613" i="7"/>
  <c r="Y613" i="7"/>
  <c r="Z613" i="7"/>
  <c r="AA613" i="7"/>
  <c r="AB613" i="7"/>
  <c r="AC613" i="7"/>
  <c r="AD613" i="7"/>
  <c r="AE613" i="7"/>
  <c r="Q614" i="7"/>
  <c r="R614" i="7"/>
  <c r="S614" i="7"/>
  <c r="T614" i="7"/>
  <c r="U614" i="7"/>
  <c r="V614" i="7"/>
  <c r="W614" i="7"/>
  <c r="X614" i="7"/>
  <c r="Y614" i="7"/>
  <c r="Z614" i="7"/>
  <c r="AA614" i="7"/>
  <c r="AB614" i="7"/>
  <c r="AC614" i="7"/>
  <c r="AD614" i="7"/>
  <c r="AE614" i="7"/>
  <c r="Q615" i="7"/>
  <c r="R615" i="7"/>
  <c r="S615" i="7"/>
  <c r="T615" i="7"/>
  <c r="U615" i="7"/>
  <c r="V615" i="7"/>
  <c r="W615" i="7"/>
  <c r="X615" i="7"/>
  <c r="Y615" i="7"/>
  <c r="Z615" i="7"/>
  <c r="AA615" i="7"/>
  <c r="AB615" i="7"/>
  <c r="AC615" i="7"/>
  <c r="AD615" i="7"/>
  <c r="AE615" i="7"/>
  <c r="Q616" i="7"/>
  <c r="R616" i="7"/>
  <c r="S616" i="7"/>
  <c r="T616" i="7"/>
  <c r="U616" i="7"/>
  <c r="V616" i="7"/>
  <c r="W616" i="7"/>
  <c r="X616" i="7"/>
  <c r="Y616" i="7"/>
  <c r="Z616" i="7"/>
  <c r="AA616" i="7"/>
  <c r="AB616" i="7"/>
  <c r="AC616" i="7"/>
  <c r="AD616" i="7"/>
  <c r="AE616" i="7"/>
  <c r="Q617" i="7"/>
  <c r="R617" i="7"/>
  <c r="S617" i="7"/>
  <c r="T617" i="7"/>
  <c r="U617" i="7"/>
  <c r="V617" i="7"/>
  <c r="W617" i="7"/>
  <c r="X617" i="7"/>
  <c r="Y617" i="7"/>
  <c r="Z617" i="7"/>
  <c r="AA617" i="7"/>
  <c r="AB617" i="7"/>
  <c r="AC617" i="7"/>
  <c r="AD617" i="7"/>
  <c r="AE617" i="7"/>
  <c r="Q618" i="7"/>
  <c r="R618" i="7"/>
  <c r="S618" i="7"/>
  <c r="T618" i="7"/>
  <c r="U618" i="7"/>
  <c r="V618" i="7"/>
  <c r="W618" i="7"/>
  <c r="X618" i="7"/>
  <c r="Y618" i="7"/>
  <c r="Z618" i="7"/>
  <c r="AA618" i="7"/>
  <c r="AB618" i="7"/>
  <c r="AC618" i="7"/>
  <c r="AD618" i="7"/>
  <c r="AE618" i="7"/>
  <c r="Q619" i="7"/>
  <c r="R619" i="7"/>
  <c r="S619" i="7"/>
  <c r="T619" i="7"/>
  <c r="U619" i="7"/>
  <c r="V619" i="7"/>
  <c r="W619" i="7"/>
  <c r="X619" i="7"/>
  <c r="Y619" i="7"/>
  <c r="Z619" i="7"/>
  <c r="AA619" i="7"/>
  <c r="AB619" i="7"/>
  <c r="AC619" i="7"/>
  <c r="AD619" i="7"/>
  <c r="AE619" i="7"/>
  <c r="Q620" i="7"/>
  <c r="R620" i="7"/>
  <c r="S620" i="7"/>
  <c r="T620" i="7"/>
  <c r="U620" i="7"/>
  <c r="V620" i="7"/>
  <c r="W620" i="7"/>
  <c r="X620" i="7"/>
  <c r="Y620" i="7"/>
  <c r="Z620" i="7"/>
  <c r="AA620" i="7"/>
  <c r="AB620" i="7"/>
  <c r="AC620" i="7"/>
  <c r="AD620" i="7"/>
  <c r="AE620" i="7"/>
  <c r="Q621" i="7"/>
  <c r="R621" i="7"/>
  <c r="S621" i="7"/>
  <c r="T621" i="7"/>
  <c r="U621" i="7"/>
  <c r="V621" i="7"/>
  <c r="W621" i="7"/>
  <c r="X621" i="7"/>
  <c r="Y621" i="7"/>
  <c r="Z621" i="7"/>
  <c r="AA621" i="7"/>
  <c r="AB621" i="7"/>
  <c r="AC621" i="7"/>
  <c r="AD621" i="7"/>
  <c r="AE621" i="7"/>
  <c r="Q622" i="7"/>
  <c r="R622" i="7"/>
  <c r="S622" i="7"/>
  <c r="T622" i="7"/>
  <c r="U622" i="7"/>
  <c r="V622" i="7"/>
  <c r="W622" i="7"/>
  <c r="X622" i="7"/>
  <c r="Y622" i="7"/>
  <c r="Z622" i="7"/>
  <c r="AA622" i="7"/>
  <c r="AB622" i="7"/>
  <c r="AC622" i="7"/>
  <c r="AD622" i="7"/>
  <c r="AE622" i="7"/>
  <c r="Q623" i="7"/>
  <c r="R623" i="7"/>
  <c r="S623" i="7"/>
  <c r="T623" i="7"/>
  <c r="U623" i="7"/>
  <c r="V623" i="7"/>
  <c r="W623" i="7"/>
  <c r="X623" i="7"/>
  <c r="Y623" i="7"/>
  <c r="Z623" i="7"/>
  <c r="AA623" i="7"/>
  <c r="AB623" i="7"/>
  <c r="AC623" i="7"/>
  <c r="AD623" i="7"/>
  <c r="AE623" i="7"/>
  <c r="Q624" i="7"/>
  <c r="R624" i="7"/>
  <c r="S624" i="7"/>
  <c r="T624" i="7"/>
  <c r="U624" i="7"/>
  <c r="V624" i="7"/>
  <c r="W624" i="7"/>
  <c r="X624" i="7"/>
  <c r="Y624" i="7"/>
  <c r="Z624" i="7"/>
  <c r="AA624" i="7"/>
  <c r="AB624" i="7"/>
  <c r="AC624" i="7"/>
  <c r="AD624" i="7"/>
  <c r="AE624" i="7"/>
  <c r="Q625" i="7"/>
  <c r="R625" i="7"/>
  <c r="S625" i="7"/>
  <c r="T625" i="7"/>
  <c r="U625" i="7"/>
  <c r="V625" i="7"/>
  <c r="W625" i="7"/>
  <c r="X625" i="7"/>
  <c r="Y625" i="7"/>
  <c r="Z625" i="7"/>
  <c r="AA625" i="7"/>
  <c r="AB625" i="7"/>
  <c r="AC625" i="7"/>
  <c r="AD625" i="7"/>
  <c r="AE625" i="7"/>
  <c r="Q626" i="7"/>
  <c r="R626" i="7"/>
  <c r="S626" i="7"/>
  <c r="T626" i="7"/>
  <c r="U626" i="7"/>
  <c r="V626" i="7"/>
  <c r="W626" i="7"/>
  <c r="X626" i="7"/>
  <c r="Y626" i="7"/>
  <c r="Z626" i="7"/>
  <c r="AA626" i="7"/>
  <c r="AB626" i="7"/>
  <c r="AC626" i="7"/>
  <c r="AD626" i="7"/>
  <c r="AE626" i="7"/>
  <c r="Q627" i="7"/>
  <c r="R627" i="7"/>
  <c r="S627" i="7"/>
  <c r="T627" i="7"/>
  <c r="U627" i="7"/>
  <c r="V627" i="7"/>
  <c r="W627" i="7"/>
  <c r="X627" i="7"/>
  <c r="Y627" i="7"/>
  <c r="Z627" i="7"/>
  <c r="AA627" i="7"/>
  <c r="AB627" i="7"/>
  <c r="AC627" i="7"/>
  <c r="AD627" i="7"/>
  <c r="AE627" i="7"/>
  <c r="Q628" i="7"/>
  <c r="R628" i="7"/>
  <c r="S628" i="7"/>
  <c r="T628" i="7"/>
  <c r="U628" i="7"/>
  <c r="V628" i="7"/>
  <c r="W628" i="7"/>
  <c r="X628" i="7"/>
  <c r="Y628" i="7"/>
  <c r="Z628" i="7"/>
  <c r="AA628" i="7"/>
  <c r="AB628" i="7"/>
  <c r="AC628" i="7"/>
  <c r="AD628" i="7"/>
  <c r="AE628" i="7"/>
  <c r="Q629" i="7"/>
  <c r="R629" i="7"/>
  <c r="S629" i="7"/>
  <c r="T629" i="7"/>
  <c r="U629" i="7"/>
  <c r="V629" i="7"/>
  <c r="W629" i="7"/>
  <c r="X629" i="7"/>
  <c r="Y629" i="7"/>
  <c r="Z629" i="7"/>
  <c r="AA629" i="7"/>
  <c r="AB629" i="7"/>
  <c r="AC629" i="7"/>
  <c r="AD629" i="7"/>
  <c r="AE629" i="7"/>
  <c r="Q630" i="7"/>
  <c r="R630" i="7"/>
  <c r="S630" i="7"/>
  <c r="T630" i="7"/>
  <c r="U630" i="7"/>
  <c r="V630" i="7"/>
  <c r="W630" i="7"/>
  <c r="X630" i="7"/>
  <c r="Y630" i="7"/>
  <c r="Z630" i="7"/>
  <c r="AA630" i="7"/>
  <c r="AB630" i="7"/>
  <c r="AC630" i="7"/>
  <c r="AD630" i="7"/>
  <c r="AE630" i="7"/>
  <c r="Q631" i="7"/>
  <c r="R631" i="7"/>
  <c r="S631" i="7"/>
  <c r="T631" i="7"/>
  <c r="U631" i="7"/>
  <c r="V631" i="7"/>
  <c r="W631" i="7"/>
  <c r="X631" i="7"/>
  <c r="Y631" i="7"/>
  <c r="Z631" i="7"/>
  <c r="AA631" i="7"/>
  <c r="AB631" i="7"/>
  <c r="AC631" i="7"/>
  <c r="AD631" i="7"/>
  <c r="AE631" i="7"/>
  <c r="Q632" i="7"/>
  <c r="R632" i="7"/>
  <c r="S632" i="7"/>
  <c r="T632" i="7"/>
  <c r="U632" i="7"/>
  <c r="V632" i="7"/>
  <c r="W632" i="7"/>
  <c r="X632" i="7"/>
  <c r="Y632" i="7"/>
  <c r="Z632" i="7"/>
  <c r="AA632" i="7"/>
  <c r="AB632" i="7"/>
  <c r="AC632" i="7"/>
  <c r="AD632" i="7"/>
  <c r="AE632" i="7"/>
  <c r="Q633" i="7"/>
  <c r="R633" i="7"/>
  <c r="S633" i="7"/>
  <c r="T633" i="7"/>
  <c r="U633" i="7"/>
  <c r="V633" i="7"/>
  <c r="W633" i="7"/>
  <c r="X633" i="7"/>
  <c r="Y633" i="7"/>
  <c r="Z633" i="7"/>
  <c r="AA633" i="7"/>
  <c r="AB633" i="7"/>
  <c r="AC633" i="7"/>
  <c r="AD633" i="7"/>
  <c r="AE633" i="7"/>
  <c r="Q634" i="7"/>
  <c r="R634" i="7"/>
  <c r="S634" i="7"/>
  <c r="T634" i="7"/>
  <c r="U634" i="7"/>
  <c r="V634" i="7"/>
  <c r="W634" i="7"/>
  <c r="X634" i="7"/>
  <c r="Y634" i="7"/>
  <c r="Z634" i="7"/>
  <c r="AA634" i="7"/>
  <c r="AB634" i="7"/>
  <c r="AC634" i="7"/>
  <c r="AD634" i="7"/>
  <c r="AE634" i="7"/>
  <c r="Q635" i="7"/>
  <c r="R635" i="7"/>
  <c r="S635" i="7"/>
  <c r="T635" i="7"/>
  <c r="U635" i="7"/>
  <c r="V635" i="7"/>
  <c r="W635" i="7"/>
  <c r="X635" i="7"/>
  <c r="Y635" i="7"/>
  <c r="Z635" i="7"/>
  <c r="AA635" i="7"/>
  <c r="AB635" i="7"/>
  <c r="AC635" i="7"/>
  <c r="AD635" i="7"/>
  <c r="AE635" i="7"/>
  <c r="Q636" i="7"/>
  <c r="R636" i="7"/>
  <c r="S636" i="7"/>
  <c r="T636" i="7"/>
  <c r="U636" i="7"/>
  <c r="V636" i="7"/>
  <c r="W636" i="7"/>
  <c r="X636" i="7"/>
  <c r="Y636" i="7"/>
  <c r="Z636" i="7"/>
  <c r="AA636" i="7"/>
  <c r="AB636" i="7"/>
  <c r="AC636" i="7"/>
  <c r="AD636" i="7"/>
  <c r="AE636" i="7"/>
  <c r="Q637" i="7"/>
  <c r="R637" i="7"/>
  <c r="S637" i="7"/>
  <c r="T637" i="7"/>
  <c r="U637" i="7"/>
  <c r="V637" i="7"/>
  <c r="W637" i="7"/>
  <c r="X637" i="7"/>
  <c r="Y637" i="7"/>
  <c r="Z637" i="7"/>
  <c r="AA637" i="7"/>
  <c r="AB637" i="7"/>
  <c r="AC637" i="7"/>
  <c r="AD637" i="7"/>
  <c r="AE637" i="7"/>
  <c r="Q638" i="7"/>
  <c r="R638" i="7"/>
  <c r="S638" i="7"/>
  <c r="T638" i="7"/>
  <c r="U638" i="7"/>
  <c r="V638" i="7"/>
  <c r="W638" i="7"/>
  <c r="X638" i="7"/>
  <c r="Y638" i="7"/>
  <c r="Z638" i="7"/>
  <c r="AA638" i="7"/>
  <c r="AB638" i="7"/>
  <c r="AC638" i="7"/>
  <c r="AD638" i="7"/>
  <c r="AE638" i="7"/>
  <c r="Q639" i="7"/>
  <c r="R639" i="7"/>
  <c r="S639" i="7"/>
  <c r="T639" i="7"/>
  <c r="U639" i="7"/>
  <c r="V639" i="7"/>
  <c r="W639" i="7"/>
  <c r="X639" i="7"/>
  <c r="Y639" i="7"/>
  <c r="Z639" i="7"/>
  <c r="AA639" i="7"/>
  <c r="AB639" i="7"/>
  <c r="AC639" i="7"/>
  <c r="AD639" i="7"/>
  <c r="AE639" i="7"/>
  <c r="Q640" i="7"/>
  <c r="R640" i="7"/>
  <c r="S640" i="7"/>
  <c r="T640" i="7"/>
  <c r="U640" i="7"/>
  <c r="V640" i="7"/>
  <c r="W640" i="7"/>
  <c r="X640" i="7"/>
  <c r="Y640" i="7"/>
  <c r="Z640" i="7"/>
  <c r="AA640" i="7"/>
  <c r="AB640" i="7"/>
  <c r="AC640" i="7"/>
  <c r="AD640" i="7"/>
  <c r="AE640" i="7"/>
  <c r="Q641" i="7"/>
  <c r="R641" i="7"/>
  <c r="S641" i="7"/>
  <c r="T641" i="7"/>
  <c r="U641" i="7"/>
  <c r="V641" i="7"/>
  <c r="W641" i="7"/>
  <c r="X641" i="7"/>
  <c r="Y641" i="7"/>
  <c r="Z641" i="7"/>
  <c r="AA641" i="7"/>
  <c r="AB641" i="7"/>
  <c r="AC641" i="7"/>
  <c r="AD641" i="7"/>
  <c r="AE641" i="7"/>
  <c r="Q642" i="7"/>
  <c r="R642" i="7"/>
  <c r="S642" i="7"/>
  <c r="T642" i="7"/>
  <c r="U642" i="7"/>
  <c r="V642" i="7"/>
  <c r="W642" i="7"/>
  <c r="X642" i="7"/>
  <c r="Y642" i="7"/>
  <c r="Z642" i="7"/>
  <c r="AA642" i="7"/>
  <c r="AB642" i="7"/>
  <c r="AC642" i="7"/>
  <c r="AD642" i="7"/>
  <c r="AE642" i="7"/>
  <c r="Q643" i="7"/>
  <c r="R643" i="7"/>
  <c r="S643" i="7"/>
  <c r="T643" i="7"/>
  <c r="U643" i="7"/>
  <c r="V643" i="7"/>
  <c r="W643" i="7"/>
  <c r="X643" i="7"/>
  <c r="Y643" i="7"/>
  <c r="Z643" i="7"/>
  <c r="AA643" i="7"/>
  <c r="AB643" i="7"/>
  <c r="AC643" i="7"/>
  <c r="AD643" i="7"/>
  <c r="AE643" i="7"/>
  <c r="Q644" i="7"/>
  <c r="R644" i="7"/>
  <c r="S644" i="7"/>
  <c r="T644" i="7"/>
  <c r="U644" i="7"/>
  <c r="V644" i="7"/>
  <c r="W644" i="7"/>
  <c r="X644" i="7"/>
  <c r="Y644" i="7"/>
  <c r="Z644" i="7"/>
  <c r="AA644" i="7"/>
  <c r="AB644" i="7"/>
  <c r="AC644" i="7"/>
  <c r="AD644" i="7"/>
  <c r="AE644" i="7"/>
  <c r="Q645" i="7"/>
  <c r="R645" i="7"/>
  <c r="S645" i="7"/>
  <c r="T645" i="7"/>
  <c r="U645" i="7"/>
  <c r="V645" i="7"/>
  <c r="W645" i="7"/>
  <c r="X645" i="7"/>
  <c r="Y645" i="7"/>
  <c r="Z645" i="7"/>
  <c r="AA645" i="7"/>
  <c r="AB645" i="7"/>
  <c r="AC645" i="7"/>
  <c r="AD645" i="7"/>
  <c r="AE645" i="7"/>
  <c r="Q646" i="7"/>
  <c r="R646" i="7"/>
  <c r="S646" i="7"/>
  <c r="T646" i="7"/>
  <c r="U646" i="7"/>
  <c r="V646" i="7"/>
  <c r="W646" i="7"/>
  <c r="X646" i="7"/>
  <c r="Y646" i="7"/>
  <c r="Z646" i="7"/>
  <c r="AA646" i="7"/>
  <c r="AB646" i="7"/>
  <c r="AC646" i="7"/>
  <c r="AD646" i="7"/>
  <c r="AE646" i="7"/>
  <c r="Q647" i="7"/>
  <c r="R647" i="7"/>
  <c r="S647" i="7"/>
  <c r="T647" i="7"/>
  <c r="U647" i="7"/>
  <c r="V647" i="7"/>
  <c r="W647" i="7"/>
  <c r="X647" i="7"/>
  <c r="Y647" i="7"/>
  <c r="Z647" i="7"/>
  <c r="AA647" i="7"/>
  <c r="AB647" i="7"/>
  <c r="AC647" i="7"/>
  <c r="AD647" i="7"/>
  <c r="AE647" i="7"/>
  <c r="Q648" i="7"/>
  <c r="R648" i="7"/>
  <c r="S648" i="7"/>
  <c r="T648" i="7"/>
  <c r="U648" i="7"/>
  <c r="V648" i="7"/>
  <c r="W648" i="7"/>
  <c r="X648" i="7"/>
  <c r="Y648" i="7"/>
  <c r="Z648" i="7"/>
  <c r="AA648" i="7"/>
  <c r="AB648" i="7"/>
  <c r="AC648" i="7"/>
  <c r="AD648" i="7"/>
  <c r="AE648" i="7"/>
  <c r="Q649" i="7"/>
  <c r="R649" i="7"/>
  <c r="S649" i="7"/>
  <c r="T649" i="7"/>
  <c r="U649" i="7"/>
  <c r="V649" i="7"/>
  <c r="W649" i="7"/>
  <c r="X649" i="7"/>
  <c r="Y649" i="7"/>
  <c r="Z649" i="7"/>
  <c r="AA649" i="7"/>
  <c r="AB649" i="7"/>
  <c r="AC649" i="7"/>
  <c r="AD649" i="7"/>
  <c r="AE649" i="7"/>
  <c r="Q650" i="7"/>
  <c r="R650" i="7"/>
  <c r="S650" i="7"/>
  <c r="T650" i="7"/>
  <c r="U650" i="7"/>
  <c r="V650" i="7"/>
  <c r="W650" i="7"/>
  <c r="X650" i="7"/>
  <c r="Y650" i="7"/>
  <c r="Z650" i="7"/>
  <c r="AA650" i="7"/>
  <c r="AB650" i="7"/>
  <c r="AC650" i="7"/>
  <c r="AD650" i="7"/>
  <c r="AE650" i="7"/>
  <c r="Q651" i="7"/>
  <c r="R651" i="7"/>
  <c r="S651" i="7"/>
  <c r="T651" i="7"/>
  <c r="U651" i="7"/>
  <c r="V651" i="7"/>
  <c r="W651" i="7"/>
  <c r="X651" i="7"/>
  <c r="Y651" i="7"/>
  <c r="Z651" i="7"/>
  <c r="AA651" i="7"/>
  <c r="AB651" i="7"/>
  <c r="AC651" i="7"/>
  <c r="AD651" i="7"/>
  <c r="AE651" i="7"/>
  <c r="Q652" i="7"/>
  <c r="R652" i="7"/>
  <c r="S652" i="7"/>
  <c r="T652" i="7"/>
  <c r="U652" i="7"/>
  <c r="V652" i="7"/>
  <c r="W652" i="7"/>
  <c r="X652" i="7"/>
  <c r="Y652" i="7"/>
  <c r="Z652" i="7"/>
  <c r="AA652" i="7"/>
  <c r="AB652" i="7"/>
  <c r="AC652" i="7"/>
  <c r="AD652" i="7"/>
  <c r="AE652" i="7"/>
  <c r="Q653" i="7"/>
  <c r="R653" i="7"/>
  <c r="S653" i="7"/>
  <c r="T653" i="7"/>
  <c r="U653" i="7"/>
  <c r="V653" i="7"/>
  <c r="W653" i="7"/>
  <c r="X653" i="7"/>
  <c r="Y653" i="7"/>
  <c r="Z653" i="7"/>
  <c r="AA653" i="7"/>
  <c r="AB653" i="7"/>
  <c r="AC653" i="7"/>
  <c r="AD653" i="7"/>
  <c r="AE653" i="7"/>
  <c r="Q654" i="7"/>
  <c r="R654" i="7"/>
  <c r="S654" i="7"/>
  <c r="T654" i="7"/>
  <c r="U654" i="7"/>
  <c r="V654" i="7"/>
  <c r="W654" i="7"/>
  <c r="X654" i="7"/>
  <c r="Y654" i="7"/>
  <c r="Z654" i="7"/>
  <c r="AA654" i="7"/>
  <c r="AB654" i="7"/>
  <c r="AC654" i="7"/>
  <c r="AD654" i="7"/>
  <c r="AE654" i="7"/>
  <c r="Q655" i="7"/>
  <c r="R655" i="7"/>
  <c r="S655" i="7"/>
  <c r="T655" i="7"/>
  <c r="U655" i="7"/>
  <c r="V655" i="7"/>
  <c r="W655" i="7"/>
  <c r="X655" i="7"/>
  <c r="Y655" i="7"/>
  <c r="Z655" i="7"/>
  <c r="AA655" i="7"/>
  <c r="AB655" i="7"/>
  <c r="AC655" i="7"/>
  <c r="AD655" i="7"/>
  <c r="AE655" i="7"/>
  <c r="Q656" i="7"/>
  <c r="R656" i="7"/>
  <c r="S656" i="7"/>
  <c r="T656" i="7"/>
  <c r="U656" i="7"/>
  <c r="V656" i="7"/>
  <c r="W656" i="7"/>
  <c r="X656" i="7"/>
  <c r="Y656" i="7"/>
  <c r="Z656" i="7"/>
  <c r="AA656" i="7"/>
  <c r="AB656" i="7"/>
  <c r="AC656" i="7"/>
  <c r="AD656" i="7"/>
  <c r="AE656" i="7"/>
  <c r="Q657" i="7"/>
  <c r="R657" i="7"/>
  <c r="S657" i="7"/>
  <c r="T657" i="7"/>
  <c r="U657" i="7"/>
  <c r="V657" i="7"/>
  <c r="W657" i="7"/>
  <c r="X657" i="7"/>
  <c r="Y657" i="7"/>
  <c r="Z657" i="7"/>
  <c r="AA657" i="7"/>
  <c r="AB657" i="7"/>
  <c r="AC657" i="7"/>
  <c r="AD657" i="7"/>
  <c r="AE657" i="7"/>
  <c r="Q658" i="7"/>
  <c r="R658" i="7"/>
  <c r="S658" i="7"/>
  <c r="T658" i="7"/>
  <c r="U658" i="7"/>
  <c r="V658" i="7"/>
  <c r="W658" i="7"/>
  <c r="X658" i="7"/>
  <c r="Y658" i="7"/>
  <c r="Z658" i="7"/>
  <c r="AA658" i="7"/>
  <c r="AB658" i="7"/>
  <c r="AC658" i="7"/>
  <c r="AD658" i="7"/>
  <c r="AE658" i="7"/>
  <c r="Q659" i="7"/>
  <c r="R659" i="7"/>
  <c r="S659" i="7"/>
  <c r="T659" i="7"/>
  <c r="U659" i="7"/>
  <c r="V659" i="7"/>
  <c r="W659" i="7"/>
  <c r="X659" i="7"/>
  <c r="Y659" i="7"/>
  <c r="Z659" i="7"/>
  <c r="AA659" i="7"/>
  <c r="AB659" i="7"/>
  <c r="AC659" i="7"/>
  <c r="AD659" i="7"/>
  <c r="AE659" i="7"/>
  <c r="Q660" i="7"/>
  <c r="R660" i="7"/>
  <c r="S660" i="7"/>
  <c r="T660" i="7"/>
  <c r="U660" i="7"/>
  <c r="V660" i="7"/>
  <c r="W660" i="7"/>
  <c r="X660" i="7"/>
  <c r="Y660" i="7"/>
  <c r="Z660" i="7"/>
  <c r="AA660" i="7"/>
  <c r="AB660" i="7"/>
  <c r="AC660" i="7"/>
  <c r="AD660" i="7"/>
  <c r="AE660" i="7"/>
  <c r="Q661" i="7"/>
  <c r="R661" i="7"/>
  <c r="S661" i="7"/>
  <c r="T661" i="7"/>
  <c r="U661" i="7"/>
  <c r="V661" i="7"/>
  <c r="W661" i="7"/>
  <c r="X661" i="7"/>
  <c r="Y661" i="7"/>
  <c r="Z661" i="7"/>
  <c r="AA661" i="7"/>
  <c r="AB661" i="7"/>
  <c r="AC661" i="7"/>
  <c r="AD661" i="7"/>
  <c r="AE661" i="7"/>
  <c r="Q662" i="7"/>
  <c r="R662" i="7"/>
  <c r="S662" i="7"/>
  <c r="T662" i="7"/>
  <c r="U662" i="7"/>
  <c r="V662" i="7"/>
  <c r="W662" i="7"/>
  <c r="X662" i="7"/>
  <c r="Y662" i="7"/>
  <c r="Z662" i="7"/>
  <c r="AA662" i="7"/>
  <c r="AB662" i="7"/>
  <c r="AC662" i="7"/>
  <c r="AD662" i="7"/>
  <c r="AE662" i="7"/>
  <c r="Q663" i="7"/>
  <c r="R663" i="7"/>
  <c r="S663" i="7"/>
  <c r="T663" i="7"/>
  <c r="U663" i="7"/>
  <c r="V663" i="7"/>
  <c r="W663" i="7"/>
  <c r="X663" i="7"/>
  <c r="Y663" i="7"/>
  <c r="Z663" i="7"/>
  <c r="AA663" i="7"/>
  <c r="AB663" i="7"/>
  <c r="AC663" i="7"/>
  <c r="AD663" i="7"/>
  <c r="AE663" i="7"/>
  <c r="Q664" i="7"/>
  <c r="R664" i="7"/>
  <c r="S664" i="7"/>
  <c r="T664" i="7"/>
  <c r="U664" i="7"/>
  <c r="V664" i="7"/>
  <c r="W664" i="7"/>
  <c r="X664" i="7"/>
  <c r="Y664" i="7"/>
  <c r="Z664" i="7"/>
  <c r="AA664" i="7"/>
  <c r="AB664" i="7"/>
  <c r="AC664" i="7"/>
  <c r="AD664" i="7"/>
  <c r="AE664" i="7"/>
  <c r="Q665" i="7"/>
  <c r="R665" i="7"/>
  <c r="S665" i="7"/>
  <c r="T665" i="7"/>
  <c r="U665" i="7"/>
  <c r="V665" i="7"/>
  <c r="W665" i="7"/>
  <c r="X665" i="7"/>
  <c r="Y665" i="7"/>
  <c r="Z665" i="7"/>
  <c r="AA665" i="7"/>
  <c r="AB665" i="7"/>
  <c r="AC665" i="7"/>
  <c r="AD665" i="7"/>
  <c r="AE665" i="7"/>
  <c r="Q666" i="7"/>
  <c r="R666" i="7"/>
  <c r="S666" i="7"/>
  <c r="T666" i="7"/>
  <c r="U666" i="7"/>
  <c r="V666" i="7"/>
  <c r="W666" i="7"/>
  <c r="X666" i="7"/>
  <c r="Y666" i="7"/>
  <c r="Z666" i="7"/>
  <c r="AA666" i="7"/>
  <c r="AB666" i="7"/>
  <c r="AC666" i="7"/>
  <c r="AD666" i="7"/>
  <c r="AE666" i="7"/>
  <c r="Q667" i="7"/>
  <c r="R667" i="7"/>
  <c r="S667" i="7"/>
  <c r="T667" i="7"/>
  <c r="U667" i="7"/>
  <c r="V667" i="7"/>
  <c r="W667" i="7"/>
  <c r="X667" i="7"/>
  <c r="Y667" i="7"/>
  <c r="Z667" i="7"/>
  <c r="AA667" i="7"/>
  <c r="AB667" i="7"/>
  <c r="AC667" i="7"/>
  <c r="AD667" i="7"/>
  <c r="AE667" i="7"/>
  <c r="Q668" i="7"/>
  <c r="R668" i="7"/>
  <c r="S668" i="7"/>
  <c r="T668" i="7"/>
  <c r="U668" i="7"/>
  <c r="V668" i="7"/>
  <c r="W668" i="7"/>
  <c r="X668" i="7"/>
  <c r="Y668" i="7"/>
  <c r="Z668" i="7"/>
  <c r="AA668" i="7"/>
  <c r="AB668" i="7"/>
  <c r="AC668" i="7"/>
  <c r="AD668" i="7"/>
  <c r="AE668" i="7"/>
  <c r="Q669" i="7"/>
  <c r="R669" i="7"/>
  <c r="S669" i="7"/>
  <c r="T669" i="7"/>
  <c r="U669" i="7"/>
  <c r="V669" i="7"/>
  <c r="W669" i="7"/>
  <c r="X669" i="7"/>
  <c r="Y669" i="7"/>
  <c r="Z669" i="7"/>
  <c r="AA669" i="7"/>
  <c r="AB669" i="7"/>
  <c r="AC669" i="7"/>
  <c r="AD669" i="7"/>
  <c r="AE669" i="7"/>
  <c r="Q670" i="7"/>
  <c r="R670" i="7"/>
  <c r="S670" i="7"/>
  <c r="T670" i="7"/>
  <c r="U670" i="7"/>
  <c r="V670" i="7"/>
  <c r="W670" i="7"/>
  <c r="X670" i="7"/>
  <c r="Y670" i="7"/>
  <c r="Z670" i="7"/>
  <c r="AA670" i="7"/>
  <c r="AB670" i="7"/>
  <c r="AC670" i="7"/>
  <c r="AD670" i="7"/>
  <c r="AE670" i="7"/>
  <c r="Q671" i="7"/>
  <c r="R671" i="7"/>
  <c r="S671" i="7"/>
  <c r="T671" i="7"/>
  <c r="U671" i="7"/>
  <c r="V671" i="7"/>
  <c r="W671" i="7"/>
  <c r="X671" i="7"/>
  <c r="Y671" i="7"/>
  <c r="Z671" i="7"/>
  <c r="AA671" i="7"/>
  <c r="AB671" i="7"/>
  <c r="AC671" i="7"/>
  <c r="AD671" i="7"/>
  <c r="AE671" i="7"/>
  <c r="Q672" i="7"/>
  <c r="R672" i="7"/>
  <c r="S672" i="7"/>
  <c r="T672" i="7"/>
  <c r="U672" i="7"/>
  <c r="V672" i="7"/>
  <c r="W672" i="7"/>
  <c r="X672" i="7"/>
  <c r="Y672" i="7"/>
  <c r="Z672" i="7"/>
  <c r="AA672" i="7"/>
  <c r="AB672" i="7"/>
  <c r="AC672" i="7"/>
  <c r="AD672" i="7"/>
  <c r="AE672" i="7"/>
  <c r="Q673" i="7"/>
  <c r="R673" i="7"/>
  <c r="S673" i="7"/>
  <c r="T673" i="7"/>
  <c r="U673" i="7"/>
  <c r="V673" i="7"/>
  <c r="W673" i="7"/>
  <c r="X673" i="7"/>
  <c r="Y673" i="7"/>
  <c r="Z673" i="7"/>
  <c r="AA673" i="7"/>
  <c r="AB673" i="7"/>
  <c r="AC673" i="7"/>
  <c r="AD673" i="7"/>
  <c r="AE673" i="7"/>
  <c r="Q674" i="7"/>
  <c r="R674" i="7"/>
  <c r="S674" i="7"/>
  <c r="T674" i="7"/>
  <c r="U674" i="7"/>
  <c r="V674" i="7"/>
  <c r="W674" i="7"/>
  <c r="X674" i="7"/>
  <c r="Y674" i="7"/>
  <c r="Z674" i="7"/>
  <c r="AA674" i="7"/>
  <c r="AB674" i="7"/>
  <c r="AC674" i="7"/>
  <c r="AD674" i="7"/>
  <c r="AE674" i="7"/>
  <c r="Q675" i="7"/>
  <c r="R675" i="7"/>
  <c r="S675" i="7"/>
  <c r="T675" i="7"/>
  <c r="U675" i="7"/>
  <c r="V675" i="7"/>
  <c r="W675" i="7"/>
  <c r="X675" i="7"/>
  <c r="Y675" i="7"/>
  <c r="Z675" i="7"/>
  <c r="AA675" i="7"/>
  <c r="AB675" i="7"/>
  <c r="AC675" i="7"/>
  <c r="AD675" i="7"/>
  <c r="AE675" i="7"/>
  <c r="Q676" i="7"/>
  <c r="R676" i="7"/>
  <c r="S676" i="7"/>
  <c r="T676" i="7"/>
  <c r="U676" i="7"/>
  <c r="V676" i="7"/>
  <c r="W676" i="7"/>
  <c r="X676" i="7"/>
  <c r="Y676" i="7"/>
  <c r="Z676" i="7"/>
  <c r="AA676" i="7"/>
  <c r="AB676" i="7"/>
  <c r="AC676" i="7"/>
  <c r="AD676" i="7"/>
  <c r="AE676" i="7"/>
  <c r="Q677" i="7"/>
  <c r="R677" i="7"/>
  <c r="S677" i="7"/>
  <c r="T677" i="7"/>
  <c r="U677" i="7"/>
  <c r="V677" i="7"/>
  <c r="W677" i="7"/>
  <c r="X677" i="7"/>
  <c r="Y677" i="7"/>
  <c r="Z677" i="7"/>
  <c r="AA677" i="7"/>
  <c r="AB677" i="7"/>
  <c r="AC677" i="7"/>
  <c r="AD677" i="7"/>
  <c r="AE677" i="7"/>
  <c r="Q678" i="7"/>
  <c r="R678" i="7"/>
  <c r="S678" i="7"/>
  <c r="T678" i="7"/>
  <c r="U678" i="7"/>
  <c r="V678" i="7"/>
  <c r="W678" i="7"/>
  <c r="X678" i="7"/>
  <c r="Y678" i="7"/>
  <c r="Z678" i="7"/>
  <c r="AA678" i="7"/>
  <c r="AB678" i="7"/>
  <c r="AC678" i="7"/>
  <c r="AD678" i="7"/>
  <c r="AE678" i="7"/>
  <c r="Q679" i="7"/>
  <c r="R679" i="7"/>
  <c r="S679" i="7"/>
  <c r="T679" i="7"/>
  <c r="U679" i="7"/>
  <c r="V679" i="7"/>
  <c r="W679" i="7"/>
  <c r="X679" i="7"/>
  <c r="Y679" i="7"/>
  <c r="Z679" i="7"/>
  <c r="AA679" i="7"/>
  <c r="AB679" i="7"/>
  <c r="AC679" i="7"/>
  <c r="AD679" i="7"/>
  <c r="AE679" i="7"/>
  <c r="Q680" i="7"/>
  <c r="R680" i="7"/>
  <c r="S680" i="7"/>
  <c r="T680" i="7"/>
  <c r="U680" i="7"/>
  <c r="V680" i="7"/>
  <c r="W680" i="7"/>
  <c r="X680" i="7"/>
  <c r="Y680" i="7"/>
  <c r="Z680" i="7"/>
  <c r="AA680" i="7"/>
  <c r="AB680" i="7"/>
  <c r="AC680" i="7"/>
  <c r="AD680" i="7"/>
  <c r="AE680" i="7"/>
  <c r="Q681" i="7"/>
  <c r="R681" i="7"/>
  <c r="S681" i="7"/>
  <c r="T681" i="7"/>
  <c r="U681" i="7"/>
  <c r="V681" i="7"/>
  <c r="W681" i="7"/>
  <c r="X681" i="7"/>
  <c r="Y681" i="7"/>
  <c r="Z681" i="7"/>
  <c r="AA681" i="7"/>
  <c r="AB681" i="7"/>
  <c r="AC681" i="7"/>
  <c r="AD681" i="7"/>
  <c r="AE681" i="7"/>
  <c r="Q682" i="7"/>
  <c r="R682" i="7"/>
  <c r="S682" i="7"/>
  <c r="T682" i="7"/>
  <c r="U682" i="7"/>
  <c r="V682" i="7"/>
  <c r="W682" i="7"/>
  <c r="X682" i="7"/>
  <c r="Y682" i="7"/>
  <c r="Z682" i="7"/>
  <c r="AA682" i="7"/>
  <c r="AB682" i="7"/>
  <c r="AC682" i="7"/>
  <c r="AD682" i="7"/>
  <c r="AE682" i="7"/>
  <c r="Q683" i="7"/>
  <c r="R683" i="7"/>
  <c r="S683" i="7"/>
  <c r="T683" i="7"/>
  <c r="U683" i="7"/>
  <c r="V683" i="7"/>
  <c r="W683" i="7"/>
  <c r="X683" i="7"/>
  <c r="Y683" i="7"/>
  <c r="Z683" i="7"/>
  <c r="AA683" i="7"/>
  <c r="AB683" i="7"/>
  <c r="AC683" i="7"/>
  <c r="AD683" i="7"/>
  <c r="AE683" i="7"/>
  <c r="Q684" i="7"/>
  <c r="R684" i="7"/>
  <c r="S684" i="7"/>
  <c r="T684" i="7"/>
  <c r="U684" i="7"/>
  <c r="V684" i="7"/>
  <c r="W684" i="7"/>
  <c r="X684" i="7"/>
  <c r="Y684" i="7"/>
  <c r="Z684" i="7"/>
  <c r="AA684" i="7"/>
  <c r="AB684" i="7"/>
  <c r="AC684" i="7"/>
  <c r="AD684" i="7"/>
  <c r="AE684" i="7"/>
  <c r="Q685" i="7"/>
  <c r="R685" i="7"/>
  <c r="S685" i="7"/>
  <c r="T685" i="7"/>
  <c r="U685" i="7"/>
  <c r="V685" i="7"/>
  <c r="W685" i="7"/>
  <c r="X685" i="7"/>
  <c r="Y685" i="7"/>
  <c r="Z685" i="7"/>
  <c r="AA685" i="7"/>
  <c r="AB685" i="7"/>
  <c r="AC685" i="7"/>
  <c r="AD685" i="7"/>
  <c r="AE685" i="7"/>
  <c r="Q686" i="7"/>
  <c r="R686" i="7"/>
  <c r="S686" i="7"/>
  <c r="T686" i="7"/>
  <c r="U686" i="7"/>
  <c r="V686" i="7"/>
  <c r="W686" i="7"/>
  <c r="X686" i="7"/>
  <c r="Y686" i="7"/>
  <c r="Z686" i="7"/>
  <c r="AA686" i="7"/>
  <c r="AB686" i="7"/>
  <c r="AC686" i="7"/>
  <c r="AD686" i="7"/>
  <c r="AE686" i="7"/>
  <c r="Q687" i="7"/>
  <c r="R687" i="7"/>
  <c r="S687" i="7"/>
  <c r="T687" i="7"/>
  <c r="U687" i="7"/>
  <c r="V687" i="7"/>
  <c r="W687" i="7"/>
  <c r="X687" i="7"/>
  <c r="Y687" i="7"/>
  <c r="Z687" i="7"/>
  <c r="AA687" i="7"/>
  <c r="AB687" i="7"/>
  <c r="AC687" i="7"/>
  <c r="AD687" i="7"/>
  <c r="AE687" i="7"/>
  <c r="Q688" i="7"/>
  <c r="R688" i="7"/>
  <c r="S688" i="7"/>
  <c r="T688" i="7"/>
  <c r="U688" i="7"/>
  <c r="V688" i="7"/>
  <c r="W688" i="7"/>
  <c r="X688" i="7"/>
  <c r="Y688" i="7"/>
  <c r="Z688" i="7"/>
  <c r="AA688" i="7"/>
  <c r="AB688" i="7"/>
  <c r="AC688" i="7"/>
  <c r="AD688" i="7"/>
  <c r="AE688" i="7"/>
  <c r="Q689" i="7"/>
  <c r="R689" i="7"/>
  <c r="S689" i="7"/>
  <c r="T689" i="7"/>
  <c r="U689" i="7"/>
  <c r="V689" i="7"/>
  <c r="W689" i="7"/>
  <c r="X689" i="7"/>
  <c r="Y689" i="7"/>
  <c r="Z689" i="7"/>
  <c r="AA689" i="7"/>
  <c r="AB689" i="7"/>
  <c r="AC689" i="7"/>
  <c r="AD689" i="7"/>
  <c r="AE689" i="7"/>
  <c r="Q690" i="7"/>
  <c r="R690" i="7"/>
  <c r="S690" i="7"/>
  <c r="T690" i="7"/>
  <c r="U690" i="7"/>
  <c r="V690" i="7"/>
  <c r="W690" i="7"/>
  <c r="X690" i="7"/>
  <c r="Y690" i="7"/>
  <c r="Z690" i="7"/>
  <c r="AA690" i="7"/>
  <c r="AB690" i="7"/>
  <c r="AC690" i="7"/>
  <c r="AD690" i="7"/>
  <c r="AE690" i="7"/>
  <c r="Q691" i="7"/>
  <c r="R691" i="7"/>
  <c r="S691" i="7"/>
  <c r="T691" i="7"/>
  <c r="U691" i="7"/>
  <c r="V691" i="7"/>
  <c r="W691" i="7"/>
  <c r="X691" i="7"/>
  <c r="Y691" i="7"/>
  <c r="Z691" i="7"/>
  <c r="AA691" i="7"/>
  <c r="AB691" i="7"/>
  <c r="AC691" i="7"/>
  <c r="AD691" i="7"/>
  <c r="AE691" i="7"/>
  <c r="Q692" i="7"/>
  <c r="R692" i="7"/>
  <c r="S692" i="7"/>
  <c r="T692" i="7"/>
  <c r="U692" i="7"/>
  <c r="V692" i="7"/>
  <c r="W692" i="7"/>
  <c r="X692" i="7"/>
  <c r="Y692" i="7"/>
  <c r="Z692" i="7"/>
  <c r="AA692" i="7"/>
  <c r="AB692" i="7"/>
  <c r="AC692" i="7"/>
  <c r="AD692" i="7"/>
  <c r="AE692" i="7"/>
  <c r="Q693" i="7"/>
  <c r="R693" i="7"/>
  <c r="S693" i="7"/>
  <c r="T693" i="7"/>
  <c r="U693" i="7"/>
  <c r="V693" i="7"/>
  <c r="W693" i="7"/>
  <c r="X693" i="7"/>
  <c r="Y693" i="7"/>
  <c r="Z693" i="7"/>
  <c r="AA693" i="7"/>
  <c r="AB693" i="7"/>
  <c r="AC693" i="7"/>
  <c r="AD693" i="7"/>
  <c r="AE693" i="7"/>
  <c r="Q694" i="7"/>
  <c r="R694" i="7"/>
  <c r="S694" i="7"/>
  <c r="T694" i="7"/>
  <c r="U694" i="7"/>
  <c r="V694" i="7"/>
  <c r="W694" i="7"/>
  <c r="X694" i="7"/>
  <c r="Y694" i="7"/>
  <c r="Z694" i="7"/>
  <c r="AA694" i="7"/>
  <c r="AB694" i="7"/>
  <c r="AC694" i="7"/>
  <c r="AD694" i="7"/>
  <c r="AE694" i="7"/>
  <c r="Q695" i="7"/>
  <c r="R695" i="7"/>
  <c r="S695" i="7"/>
  <c r="T695" i="7"/>
  <c r="U695" i="7"/>
  <c r="V695" i="7"/>
  <c r="W695" i="7"/>
  <c r="X695" i="7"/>
  <c r="Y695" i="7"/>
  <c r="Z695" i="7"/>
  <c r="AA695" i="7"/>
  <c r="AB695" i="7"/>
  <c r="AC695" i="7"/>
  <c r="AD695" i="7"/>
  <c r="AE695" i="7"/>
  <c r="Q696" i="7"/>
  <c r="R696" i="7"/>
  <c r="S696" i="7"/>
  <c r="T696" i="7"/>
  <c r="U696" i="7"/>
  <c r="V696" i="7"/>
  <c r="W696" i="7"/>
  <c r="X696" i="7"/>
  <c r="Y696" i="7"/>
  <c r="Z696" i="7"/>
  <c r="AA696" i="7"/>
  <c r="AB696" i="7"/>
  <c r="AC696" i="7"/>
  <c r="AD696" i="7"/>
  <c r="AE696" i="7"/>
  <c r="Q697" i="7"/>
  <c r="R697" i="7"/>
  <c r="S697" i="7"/>
  <c r="T697" i="7"/>
  <c r="U697" i="7"/>
  <c r="V697" i="7"/>
  <c r="W697" i="7"/>
  <c r="X697" i="7"/>
  <c r="Y697" i="7"/>
  <c r="Z697" i="7"/>
  <c r="AA697" i="7"/>
  <c r="AB697" i="7"/>
  <c r="AC697" i="7"/>
  <c r="AD697" i="7"/>
  <c r="AE697" i="7"/>
  <c r="Q698" i="7"/>
  <c r="R698" i="7"/>
  <c r="S698" i="7"/>
  <c r="T698" i="7"/>
  <c r="U698" i="7"/>
  <c r="V698" i="7"/>
  <c r="W698" i="7"/>
  <c r="X698" i="7"/>
  <c r="Y698" i="7"/>
  <c r="Z698" i="7"/>
  <c r="AA698" i="7"/>
  <c r="AB698" i="7"/>
  <c r="AC698" i="7"/>
  <c r="AD698" i="7"/>
  <c r="AE698" i="7"/>
  <c r="Q699" i="7"/>
  <c r="R699" i="7"/>
  <c r="S699" i="7"/>
  <c r="T699" i="7"/>
  <c r="U699" i="7"/>
  <c r="V699" i="7"/>
  <c r="W699" i="7"/>
  <c r="X699" i="7"/>
  <c r="Y699" i="7"/>
  <c r="Z699" i="7"/>
  <c r="AA699" i="7"/>
  <c r="AB699" i="7"/>
  <c r="AC699" i="7"/>
  <c r="AD699" i="7"/>
  <c r="AE699" i="7"/>
  <c r="Q700" i="7"/>
  <c r="R700" i="7"/>
  <c r="S700" i="7"/>
  <c r="T700" i="7"/>
  <c r="U700" i="7"/>
  <c r="V700" i="7"/>
  <c r="W700" i="7"/>
  <c r="X700" i="7"/>
  <c r="Y700" i="7"/>
  <c r="Z700" i="7"/>
  <c r="AA700" i="7"/>
  <c r="AB700" i="7"/>
  <c r="AC700" i="7"/>
  <c r="AD700" i="7"/>
  <c r="AE700" i="7"/>
  <c r="Q701" i="7"/>
  <c r="R701" i="7"/>
  <c r="S701" i="7"/>
  <c r="T701" i="7"/>
  <c r="U701" i="7"/>
  <c r="V701" i="7"/>
  <c r="W701" i="7"/>
  <c r="X701" i="7"/>
  <c r="Y701" i="7"/>
  <c r="Z701" i="7"/>
  <c r="AA701" i="7"/>
  <c r="AB701" i="7"/>
  <c r="AC701" i="7"/>
  <c r="AD701" i="7"/>
  <c r="AE701" i="7"/>
  <c r="Q702" i="7"/>
  <c r="R702" i="7"/>
  <c r="S702" i="7"/>
  <c r="T702" i="7"/>
  <c r="U702" i="7"/>
  <c r="V702" i="7"/>
  <c r="W702" i="7"/>
  <c r="X702" i="7"/>
  <c r="Y702" i="7"/>
  <c r="Z702" i="7"/>
  <c r="AA702" i="7"/>
  <c r="AB702" i="7"/>
  <c r="AC702" i="7"/>
  <c r="AD702" i="7"/>
  <c r="AE702" i="7"/>
  <c r="Q703" i="7"/>
  <c r="R703" i="7"/>
  <c r="S703" i="7"/>
  <c r="T703" i="7"/>
  <c r="U703" i="7"/>
  <c r="V703" i="7"/>
  <c r="W703" i="7"/>
  <c r="X703" i="7"/>
  <c r="Y703" i="7"/>
  <c r="Z703" i="7"/>
  <c r="AA703" i="7"/>
  <c r="AB703" i="7"/>
  <c r="AC703" i="7"/>
  <c r="AD703" i="7"/>
  <c r="AE703" i="7"/>
  <c r="Q704" i="7"/>
  <c r="R704" i="7"/>
  <c r="S704" i="7"/>
  <c r="T704" i="7"/>
  <c r="U704" i="7"/>
  <c r="V704" i="7"/>
  <c r="W704" i="7"/>
  <c r="X704" i="7"/>
  <c r="Y704" i="7"/>
  <c r="Z704" i="7"/>
  <c r="AA704" i="7"/>
  <c r="AB704" i="7"/>
  <c r="AC704" i="7"/>
  <c r="AD704" i="7"/>
  <c r="AE704" i="7"/>
  <c r="Q705" i="7"/>
  <c r="R705" i="7"/>
  <c r="S705" i="7"/>
  <c r="T705" i="7"/>
  <c r="U705" i="7"/>
  <c r="V705" i="7"/>
  <c r="W705" i="7"/>
  <c r="X705" i="7"/>
  <c r="Y705" i="7"/>
  <c r="Z705" i="7"/>
  <c r="AA705" i="7"/>
  <c r="AB705" i="7"/>
  <c r="AC705" i="7"/>
  <c r="AD705" i="7"/>
  <c r="AE705" i="7"/>
  <c r="Q706" i="7"/>
  <c r="R706" i="7"/>
  <c r="S706" i="7"/>
  <c r="T706" i="7"/>
  <c r="U706" i="7"/>
  <c r="V706" i="7"/>
  <c r="W706" i="7"/>
  <c r="X706" i="7"/>
  <c r="Y706" i="7"/>
  <c r="Z706" i="7"/>
  <c r="AA706" i="7"/>
  <c r="AB706" i="7"/>
  <c r="AC706" i="7"/>
  <c r="AD706" i="7"/>
  <c r="AE706" i="7"/>
  <c r="Q707" i="7"/>
  <c r="R707" i="7"/>
  <c r="S707" i="7"/>
  <c r="T707" i="7"/>
  <c r="U707" i="7"/>
  <c r="V707" i="7"/>
  <c r="W707" i="7"/>
  <c r="X707" i="7"/>
  <c r="Y707" i="7"/>
  <c r="Z707" i="7"/>
  <c r="AA707" i="7"/>
  <c r="AB707" i="7"/>
  <c r="AC707" i="7"/>
  <c r="AD707" i="7"/>
  <c r="AE707" i="7"/>
  <c r="Q708" i="7"/>
  <c r="R708" i="7"/>
  <c r="S708" i="7"/>
  <c r="T708" i="7"/>
  <c r="U708" i="7"/>
  <c r="V708" i="7"/>
  <c r="W708" i="7"/>
  <c r="X708" i="7"/>
  <c r="Y708" i="7"/>
  <c r="Z708" i="7"/>
  <c r="AA708" i="7"/>
  <c r="AB708" i="7"/>
  <c r="AC708" i="7"/>
  <c r="AD708" i="7"/>
  <c r="AE708" i="7"/>
  <c r="Q709" i="7"/>
  <c r="R709" i="7"/>
  <c r="S709" i="7"/>
  <c r="T709" i="7"/>
  <c r="U709" i="7"/>
  <c r="V709" i="7"/>
  <c r="W709" i="7"/>
  <c r="X709" i="7"/>
  <c r="Y709" i="7"/>
  <c r="Z709" i="7"/>
  <c r="AA709" i="7"/>
  <c r="AB709" i="7"/>
  <c r="AC709" i="7"/>
  <c r="AD709" i="7"/>
  <c r="AE709" i="7"/>
  <c r="Q710" i="7"/>
  <c r="R710" i="7"/>
  <c r="S710" i="7"/>
  <c r="T710" i="7"/>
  <c r="U710" i="7"/>
  <c r="V710" i="7"/>
  <c r="W710" i="7"/>
  <c r="X710" i="7"/>
  <c r="Y710" i="7"/>
  <c r="Z710" i="7"/>
  <c r="AA710" i="7"/>
  <c r="AB710" i="7"/>
  <c r="AC710" i="7"/>
  <c r="AD710" i="7"/>
  <c r="AE710" i="7"/>
  <c r="Q711" i="7"/>
  <c r="R711" i="7"/>
  <c r="S711" i="7"/>
  <c r="T711" i="7"/>
  <c r="U711" i="7"/>
  <c r="V711" i="7"/>
  <c r="W711" i="7"/>
  <c r="X711" i="7"/>
  <c r="Y711" i="7"/>
  <c r="Z711" i="7"/>
  <c r="AA711" i="7"/>
  <c r="AB711" i="7"/>
  <c r="AC711" i="7"/>
  <c r="AD711" i="7"/>
  <c r="AE711" i="7"/>
  <c r="Q712" i="7"/>
  <c r="R712" i="7"/>
  <c r="S712" i="7"/>
  <c r="T712" i="7"/>
  <c r="U712" i="7"/>
  <c r="V712" i="7"/>
  <c r="W712" i="7"/>
  <c r="X712" i="7"/>
  <c r="Y712" i="7"/>
  <c r="Z712" i="7"/>
  <c r="AA712" i="7"/>
  <c r="AB712" i="7"/>
  <c r="AC712" i="7"/>
  <c r="AD712" i="7"/>
  <c r="AE712" i="7"/>
  <c r="Q713" i="7"/>
  <c r="R713" i="7"/>
  <c r="S713" i="7"/>
  <c r="T713" i="7"/>
  <c r="U713" i="7"/>
  <c r="V713" i="7"/>
  <c r="W713" i="7"/>
  <c r="X713" i="7"/>
  <c r="Y713" i="7"/>
  <c r="Z713" i="7"/>
  <c r="AA713" i="7"/>
  <c r="AB713" i="7"/>
  <c r="AC713" i="7"/>
  <c r="AD713" i="7"/>
  <c r="AE713" i="7"/>
  <c r="Q714" i="7"/>
  <c r="R714" i="7"/>
  <c r="S714" i="7"/>
  <c r="T714" i="7"/>
  <c r="U714" i="7"/>
  <c r="V714" i="7"/>
  <c r="W714" i="7"/>
  <c r="X714" i="7"/>
  <c r="Y714" i="7"/>
  <c r="Z714" i="7"/>
  <c r="AA714" i="7"/>
  <c r="AB714" i="7"/>
  <c r="AC714" i="7"/>
  <c r="AD714" i="7"/>
  <c r="AE714" i="7"/>
  <c r="Q715" i="7"/>
  <c r="R715" i="7"/>
  <c r="S715" i="7"/>
  <c r="T715" i="7"/>
  <c r="U715" i="7"/>
  <c r="V715" i="7"/>
  <c r="W715" i="7"/>
  <c r="X715" i="7"/>
  <c r="Y715" i="7"/>
  <c r="Z715" i="7"/>
  <c r="AA715" i="7"/>
  <c r="AB715" i="7"/>
  <c r="AC715" i="7"/>
  <c r="AD715" i="7"/>
  <c r="AE715" i="7"/>
  <c r="Q716" i="7"/>
  <c r="R716" i="7"/>
  <c r="S716" i="7"/>
  <c r="T716" i="7"/>
  <c r="U716" i="7"/>
  <c r="V716" i="7"/>
  <c r="W716" i="7"/>
  <c r="X716" i="7"/>
  <c r="Y716" i="7"/>
  <c r="Z716" i="7"/>
  <c r="AA716" i="7"/>
  <c r="AB716" i="7"/>
  <c r="AC716" i="7"/>
  <c r="AD716" i="7"/>
  <c r="AE716" i="7"/>
  <c r="Q717" i="7"/>
  <c r="R717" i="7"/>
  <c r="S717" i="7"/>
  <c r="T717" i="7"/>
  <c r="U717" i="7"/>
  <c r="V717" i="7"/>
  <c r="W717" i="7"/>
  <c r="X717" i="7"/>
  <c r="Y717" i="7"/>
  <c r="Z717" i="7"/>
  <c r="AA717" i="7"/>
  <c r="AB717" i="7"/>
  <c r="AC717" i="7"/>
  <c r="AD717" i="7"/>
  <c r="AE717" i="7"/>
  <c r="Q718" i="7"/>
  <c r="R718" i="7"/>
  <c r="S718" i="7"/>
  <c r="T718" i="7"/>
  <c r="U718" i="7"/>
  <c r="V718" i="7"/>
  <c r="W718" i="7"/>
  <c r="X718" i="7"/>
  <c r="Y718" i="7"/>
  <c r="Z718" i="7"/>
  <c r="AA718" i="7"/>
  <c r="AB718" i="7"/>
  <c r="AC718" i="7"/>
  <c r="AD718" i="7"/>
  <c r="AE718" i="7"/>
  <c r="Q719" i="7"/>
  <c r="R719" i="7"/>
  <c r="S719" i="7"/>
  <c r="T719" i="7"/>
  <c r="U719" i="7"/>
  <c r="V719" i="7"/>
  <c r="W719" i="7"/>
  <c r="X719" i="7"/>
  <c r="Y719" i="7"/>
  <c r="Z719" i="7"/>
  <c r="AA719" i="7"/>
  <c r="AB719" i="7"/>
  <c r="AC719" i="7"/>
  <c r="AD719" i="7"/>
  <c r="AE719" i="7"/>
  <c r="Q720" i="7"/>
  <c r="R720" i="7"/>
  <c r="S720" i="7"/>
  <c r="T720" i="7"/>
  <c r="U720" i="7"/>
  <c r="V720" i="7"/>
  <c r="W720" i="7"/>
  <c r="X720" i="7"/>
  <c r="Y720" i="7"/>
  <c r="Z720" i="7"/>
  <c r="AA720" i="7"/>
  <c r="AB720" i="7"/>
  <c r="AC720" i="7"/>
  <c r="AD720" i="7"/>
  <c r="AE720" i="7"/>
  <c r="Q721" i="7"/>
  <c r="R721" i="7"/>
  <c r="S721" i="7"/>
  <c r="T721" i="7"/>
  <c r="U721" i="7"/>
  <c r="V721" i="7"/>
  <c r="W721" i="7"/>
  <c r="X721" i="7"/>
  <c r="Y721" i="7"/>
  <c r="Z721" i="7"/>
  <c r="AA721" i="7"/>
  <c r="AB721" i="7"/>
  <c r="AC721" i="7"/>
  <c r="AD721" i="7"/>
  <c r="AE721" i="7"/>
  <c r="Q722" i="7"/>
  <c r="R722" i="7"/>
  <c r="S722" i="7"/>
  <c r="T722" i="7"/>
  <c r="U722" i="7"/>
  <c r="V722" i="7"/>
  <c r="W722" i="7"/>
  <c r="X722" i="7"/>
  <c r="Y722" i="7"/>
  <c r="Z722" i="7"/>
  <c r="AA722" i="7"/>
  <c r="AB722" i="7"/>
  <c r="AC722" i="7"/>
  <c r="AD722" i="7"/>
  <c r="AE722" i="7"/>
  <c r="Q723" i="7"/>
  <c r="R723" i="7"/>
  <c r="S723" i="7"/>
  <c r="T723" i="7"/>
  <c r="U723" i="7"/>
  <c r="V723" i="7"/>
  <c r="W723" i="7"/>
  <c r="X723" i="7"/>
  <c r="Y723" i="7"/>
  <c r="Z723" i="7"/>
  <c r="AA723" i="7"/>
  <c r="AB723" i="7"/>
  <c r="AC723" i="7"/>
  <c r="AD723" i="7"/>
  <c r="AE723" i="7"/>
  <c r="Q724" i="7"/>
  <c r="R724" i="7"/>
  <c r="S724" i="7"/>
  <c r="T724" i="7"/>
  <c r="U724" i="7"/>
  <c r="V724" i="7"/>
  <c r="W724" i="7"/>
  <c r="X724" i="7"/>
  <c r="Y724" i="7"/>
  <c r="Z724" i="7"/>
  <c r="AA724" i="7"/>
  <c r="AB724" i="7"/>
  <c r="AC724" i="7"/>
  <c r="AD724" i="7"/>
  <c r="AE724" i="7"/>
  <c r="Q725" i="7"/>
  <c r="R725" i="7"/>
  <c r="S725" i="7"/>
  <c r="T725" i="7"/>
  <c r="U725" i="7"/>
  <c r="V725" i="7"/>
  <c r="W725" i="7"/>
  <c r="X725" i="7"/>
  <c r="Y725" i="7"/>
  <c r="Z725" i="7"/>
  <c r="AA725" i="7"/>
  <c r="AB725" i="7"/>
  <c r="AC725" i="7"/>
  <c r="AD725" i="7"/>
  <c r="AE725" i="7"/>
  <c r="Q726" i="7"/>
  <c r="R726" i="7"/>
  <c r="S726" i="7"/>
  <c r="T726" i="7"/>
  <c r="U726" i="7"/>
  <c r="V726" i="7"/>
  <c r="W726" i="7"/>
  <c r="X726" i="7"/>
  <c r="Y726" i="7"/>
  <c r="Z726" i="7"/>
  <c r="AA726" i="7"/>
  <c r="AB726" i="7"/>
  <c r="AC726" i="7"/>
  <c r="AD726" i="7"/>
  <c r="AE726" i="7"/>
  <c r="Q727" i="7"/>
  <c r="R727" i="7"/>
  <c r="S727" i="7"/>
  <c r="T727" i="7"/>
  <c r="U727" i="7"/>
  <c r="V727" i="7"/>
  <c r="W727" i="7"/>
  <c r="X727" i="7"/>
  <c r="Y727" i="7"/>
  <c r="Z727" i="7"/>
  <c r="AA727" i="7"/>
  <c r="AB727" i="7"/>
  <c r="AC727" i="7"/>
  <c r="AD727" i="7"/>
  <c r="AE727" i="7"/>
  <c r="Q728" i="7"/>
  <c r="R728" i="7"/>
  <c r="S728" i="7"/>
  <c r="T728" i="7"/>
  <c r="U728" i="7"/>
  <c r="V728" i="7"/>
  <c r="W728" i="7"/>
  <c r="X728" i="7"/>
  <c r="Y728" i="7"/>
  <c r="Z728" i="7"/>
  <c r="AA728" i="7"/>
  <c r="AB728" i="7"/>
  <c r="AC728" i="7"/>
  <c r="AD728" i="7"/>
  <c r="AE728" i="7"/>
  <c r="Q729" i="7"/>
  <c r="R729" i="7"/>
  <c r="S729" i="7"/>
  <c r="T729" i="7"/>
  <c r="U729" i="7"/>
  <c r="V729" i="7"/>
  <c r="W729" i="7"/>
  <c r="X729" i="7"/>
  <c r="Y729" i="7"/>
  <c r="Z729" i="7"/>
  <c r="AA729" i="7"/>
  <c r="AB729" i="7"/>
  <c r="AC729" i="7"/>
  <c r="AD729" i="7"/>
  <c r="AE729" i="7"/>
  <c r="Q730" i="7"/>
  <c r="R730" i="7"/>
  <c r="S730" i="7"/>
  <c r="T730" i="7"/>
  <c r="U730" i="7"/>
  <c r="V730" i="7"/>
  <c r="W730" i="7"/>
  <c r="X730" i="7"/>
  <c r="Y730" i="7"/>
  <c r="Z730" i="7"/>
  <c r="AA730" i="7"/>
  <c r="AB730" i="7"/>
  <c r="AC730" i="7"/>
  <c r="AD730" i="7"/>
  <c r="AE730" i="7"/>
  <c r="Q731" i="7"/>
  <c r="R731" i="7"/>
  <c r="S731" i="7"/>
  <c r="T731" i="7"/>
  <c r="U731" i="7"/>
  <c r="V731" i="7"/>
  <c r="W731" i="7"/>
  <c r="X731" i="7"/>
  <c r="Y731" i="7"/>
  <c r="Z731" i="7"/>
  <c r="AA731" i="7"/>
  <c r="AB731" i="7"/>
  <c r="AC731" i="7"/>
  <c r="AD731" i="7"/>
  <c r="AE731" i="7"/>
  <c r="Q732" i="7"/>
  <c r="R732" i="7"/>
  <c r="S732" i="7"/>
  <c r="T732" i="7"/>
  <c r="U732" i="7"/>
  <c r="V732" i="7"/>
  <c r="W732" i="7"/>
  <c r="X732" i="7"/>
  <c r="Y732" i="7"/>
  <c r="Z732" i="7"/>
  <c r="AA732" i="7"/>
  <c r="AB732" i="7"/>
  <c r="AC732" i="7"/>
  <c r="AD732" i="7"/>
  <c r="AE732" i="7"/>
  <c r="Q733" i="7"/>
  <c r="R733" i="7"/>
  <c r="S733" i="7"/>
  <c r="T733" i="7"/>
  <c r="U733" i="7"/>
  <c r="V733" i="7"/>
  <c r="W733" i="7"/>
  <c r="X733" i="7"/>
  <c r="Y733" i="7"/>
  <c r="Z733" i="7"/>
  <c r="AA733" i="7"/>
  <c r="AB733" i="7"/>
  <c r="AC733" i="7"/>
  <c r="AD733" i="7"/>
  <c r="AE733" i="7"/>
  <c r="Q734" i="7"/>
  <c r="R734" i="7"/>
  <c r="S734" i="7"/>
  <c r="T734" i="7"/>
  <c r="U734" i="7"/>
  <c r="V734" i="7"/>
  <c r="W734" i="7"/>
  <c r="X734" i="7"/>
  <c r="Y734" i="7"/>
  <c r="Z734" i="7"/>
  <c r="AA734" i="7"/>
  <c r="AB734" i="7"/>
  <c r="AC734" i="7"/>
  <c r="AD734" i="7"/>
  <c r="AE734" i="7"/>
  <c r="Q735" i="7"/>
  <c r="R735" i="7"/>
  <c r="S735" i="7"/>
  <c r="T735" i="7"/>
  <c r="U735" i="7"/>
  <c r="V735" i="7"/>
  <c r="W735" i="7"/>
  <c r="X735" i="7"/>
  <c r="Y735" i="7"/>
  <c r="Z735" i="7"/>
  <c r="AA735" i="7"/>
  <c r="AB735" i="7"/>
  <c r="AC735" i="7"/>
  <c r="AD735" i="7"/>
  <c r="AE735" i="7"/>
  <c r="Q736" i="7"/>
  <c r="R736" i="7"/>
  <c r="S736" i="7"/>
  <c r="T736" i="7"/>
  <c r="U736" i="7"/>
  <c r="V736" i="7"/>
  <c r="W736" i="7"/>
  <c r="X736" i="7"/>
  <c r="Y736" i="7"/>
  <c r="Z736" i="7"/>
  <c r="AA736" i="7"/>
  <c r="AB736" i="7"/>
  <c r="AC736" i="7"/>
  <c r="AD736" i="7"/>
  <c r="AE736" i="7"/>
  <c r="Q737" i="7"/>
  <c r="R737" i="7"/>
  <c r="S737" i="7"/>
  <c r="T737" i="7"/>
  <c r="U737" i="7"/>
  <c r="V737" i="7"/>
  <c r="W737" i="7"/>
  <c r="X737" i="7"/>
  <c r="Y737" i="7"/>
  <c r="Z737" i="7"/>
  <c r="AA737" i="7"/>
  <c r="AB737" i="7"/>
  <c r="AC737" i="7"/>
  <c r="AD737" i="7"/>
  <c r="AE737" i="7"/>
  <c r="Q738" i="7"/>
  <c r="R738" i="7"/>
  <c r="S738" i="7"/>
  <c r="T738" i="7"/>
  <c r="U738" i="7"/>
  <c r="V738" i="7"/>
  <c r="W738" i="7"/>
  <c r="X738" i="7"/>
  <c r="Y738" i="7"/>
  <c r="Z738" i="7"/>
  <c r="AA738" i="7"/>
  <c r="AB738" i="7"/>
  <c r="AC738" i="7"/>
  <c r="AD738" i="7"/>
  <c r="AE738" i="7"/>
  <c r="Q739" i="7"/>
  <c r="R739" i="7"/>
  <c r="S739" i="7"/>
  <c r="T739" i="7"/>
  <c r="U739" i="7"/>
  <c r="V739" i="7"/>
  <c r="W739" i="7"/>
  <c r="X739" i="7"/>
  <c r="Y739" i="7"/>
  <c r="Z739" i="7"/>
  <c r="AA739" i="7"/>
  <c r="AB739" i="7"/>
  <c r="AC739" i="7"/>
  <c r="AD739" i="7"/>
  <c r="AE739" i="7"/>
  <c r="Q740" i="7"/>
  <c r="R740" i="7"/>
  <c r="S740" i="7"/>
  <c r="T740" i="7"/>
  <c r="U740" i="7"/>
  <c r="V740" i="7"/>
  <c r="W740" i="7"/>
  <c r="X740" i="7"/>
  <c r="Y740" i="7"/>
  <c r="Z740" i="7"/>
  <c r="AA740" i="7"/>
  <c r="AB740" i="7"/>
  <c r="AC740" i="7"/>
  <c r="AD740" i="7"/>
  <c r="AE740" i="7"/>
  <c r="Q741" i="7"/>
  <c r="R741" i="7"/>
  <c r="S741" i="7"/>
  <c r="T741" i="7"/>
  <c r="U741" i="7"/>
  <c r="V741" i="7"/>
  <c r="W741" i="7"/>
  <c r="X741" i="7"/>
  <c r="Y741" i="7"/>
  <c r="Z741" i="7"/>
  <c r="AA741" i="7"/>
  <c r="AB741" i="7"/>
  <c r="AC741" i="7"/>
  <c r="AD741" i="7"/>
  <c r="AE741" i="7"/>
  <c r="Q742" i="7"/>
  <c r="R742" i="7"/>
  <c r="S742" i="7"/>
  <c r="T742" i="7"/>
  <c r="U742" i="7"/>
  <c r="V742" i="7"/>
  <c r="W742" i="7"/>
  <c r="X742" i="7"/>
  <c r="Y742" i="7"/>
  <c r="Z742" i="7"/>
  <c r="AA742" i="7"/>
  <c r="AB742" i="7"/>
  <c r="AC742" i="7"/>
  <c r="AD742" i="7"/>
  <c r="AE742" i="7"/>
  <c r="Q743" i="7"/>
  <c r="R743" i="7"/>
  <c r="S743" i="7"/>
  <c r="T743" i="7"/>
  <c r="U743" i="7"/>
  <c r="V743" i="7"/>
  <c r="W743" i="7"/>
  <c r="X743" i="7"/>
  <c r="Y743" i="7"/>
  <c r="Z743" i="7"/>
  <c r="AA743" i="7"/>
  <c r="AB743" i="7"/>
  <c r="AC743" i="7"/>
  <c r="AD743" i="7"/>
  <c r="AE743" i="7"/>
  <c r="Q744" i="7"/>
  <c r="R744" i="7"/>
  <c r="S744" i="7"/>
  <c r="T744" i="7"/>
  <c r="U744" i="7"/>
  <c r="V744" i="7"/>
  <c r="W744" i="7"/>
  <c r="X744" i="7"/>
  <c r="Y744" i="7"/>
  <c r="Z744" i="7"/>
  <c r="AA744" i="7"/>
  <c r="AB744" i="7"/>
  <c r="AC744" i="7"/>
  <c r="AD744" i="7"/>
  <c r="AE744" i="7"/>
  <c r="Q745" i="7"/>
  <c r="R745" i="7"/>
  <c r="S745" i="7"/>
  <c r="T745" i="7"/>
  <c r="U745" i="7"/>
  <c r="V745" i="7"/>
  <c r="W745" i="7"/>
  <c r="X745" i="7"/>
  <c r="Y745" i="7"/>
  <c r="Z745" i="7"/>
  <c r="AA745" i="7"/>
  <c r="AB745" i="7"/>
  <c r="AC745" i="7"/>
  <c r="AD745" i="7"/>
  <c r="AE745" i="7"/>
  <c r="Q746" i="7"/>
  <c r="R746" i="7"/>
  <c r="S746" i="7"/>
  <c r="T746" i="7"/>
  <c r="U746" i="7"/>
  <c r="V746" i="7"/>
  <c r="W746" i="7"/>
  <c r="X746" i="7"/>
  <c r="Y746" i="7"/>
  <c r="Z746" i="7"/>
  <c r="AA746" i="7"/>
  <c r="AB746" i="7"/>
  <c r="AC746" i="7"/>
  <c r="AD746" i="7"/>
  <c r="AE746" i="7"/>
  <c r="Q747" i="7"/>
  <c r="R747" i="7"/>
  <c r="S747" i="7"/>
  <c r="T747" i="7"/>
  <c r="U747" i="7"/>
  <c r="V747" i="7"/>
  <c r="W747" i="7"/>
  <c r="X747" i="7"/>
  <c r="Y747" i="7"/>
  <c r="Z747" i="7"/>
  <c r="AA747" i="7"/>
  <c r="AB747" i="7"/>
  <c r="AC747" i="7"/>
  <c r="AD747" i="7"/>
  <c r="AE747" i="7"/>
  <c r="Q748" i="7"/>
  <c r="R748" i="7"/>
  <c r="S748" i="7"/>
  <c r="T748" i="7"/>
  <c r="U748" i="7"/>
  <c r="V748" i="7"/>
  <c r="W748" i="7"/>
  <c r="X748" i="7"/>
  <c r="Y748" i="7"/>
  <c r="Z748" i="7"/>
  <c r="AA748" i="7"/>
  <c r="AB748" i="7"/>
  <c r="AC748" i="7"/>
  <c r="AD748" i="7"/>
  <c r="AE748" i="7"/>
  <c r="Q749" i="7"/>
  <c r="R749" i="7"/>
  <c r="S749" i="7"/>
  <c r="T749" i="7"/>
  <c r="U749" i="7"/>
  <c r="V749" i="7"/>
  <c r="W749" i="7"/>
  <c r="X749" i="7"/>
  <c r="Y749" i="7"/>
  <c r="Z749" i="7"/>
  <c r="AA749" i="7"/>
  <c r="AB749" i="7"/>
  <c r="AC749" i="7"/>
  <c r="AD749" i="7"/>
  <c r="AE749" i="7"/>
  <c r="Q750" i="7"/>
  <c r="R750" i="7"/>
  <c r="S750" i="7"/>
  <c r="T750" i="7"/>
  <c r="U750" i="7"/>
  <c r="V750" i="7"/>
  <c r="W750" i="7"/>
  <c r="X750" i="7"/>
  <c r="Y750" i="7"/>
  <c r="Z750" i="7"/>
  <c r="AA750" i="7"/>
  <c r="AB750" i="7"/>
  <c r="AC750" i="7"/>
  <c r="AD750" i="7"/>
  <c r="AE750" i="7"/>
  <c r="Q751" i="7"/>
  <c r="R751" i="7"/>
  <c r="S751" i="7"/>
  <c r="T751" i="7"/>
  <c r="U751" i="7"/>
  <c r="V751" i="7"/>
  <c r="W751" i="7"/>
  <c r="X751" i="7"/>
  <c r="Y751" i="7"/>
  <c r="Z751" i="7"/>
  <c r="AA751" i="7"/>
  <c r="AB751" i="7"/>
  <c r="AC751" i="7"/>
  <c r="AD751" i="7"/>
  <c r="AE751" i="7"/>
  <c r="Q752" i="7"/>
  <c r="R752" i="7"/>
  <c r="S752" i="7"/>
  <c r="T752" i="7"/>
  <c r="U752" i="7"/>
  <c r="V752" i="7"/>
  <c r="W752" i="7"/>
  <c r="X752" i="7"/>
  <c r="Y752" i="7"/>
  <c r="Z752" i="7"/>
  <c r="AA752" i="7"/>
  <c r="AB752" i="7"/>
  <c r="AC752" i="7"/>
  <c r="AD752" i="7"/>
  <c r="AE752" i="7"/>
  <c r="Q753" i="7"/>
  <c r="R753" i="7"/>
  <c r="S753" i="7"/>
  <c r="T753" i="7"/>
  <c r="U753" i="7"/>
  <c r="V753" i="7"/>
  <c r="W753" i="7"/>
  <c r="X753" i="7"/>
  <c r="Y753" i="7"/>
  <c r="Z753" i="7"/>
  <c r="AA753" i="7"/>
  <c r="AB753" i="7"/>
  <c r="AC753" i="7"/>
  <c r="AD753" i="7"/>
  <c r="AE753" i="7"/>
  <c r="Q754" i="7"/>
  <c r="R754" i="7"/>
  <c r="S754" i="7"/>
  <c r="T754" i="7"/>
  <c r="U754" i="7"/>
  <c r="V754" i="7"/>
  <c r="W754" i="7"/>
  <c r="X754" i="7"/>
  <c r="Y754" i="7"/>
  <c r="Z754" i="7"/>
  <c r="AA754" i="7"/>
  <c r="AB754" i="7"/>
  <c r="AC754" i="7"/>
  <c r="AD754" i="7"/>
  <c r="AE754" i="7"/>
  <c r="Q755" i="7"/>
  <c r="R755" i="7"/>
  <c r="S755" i="7"/>
  <c r="T755" i="7"/>
  <c r="U755" i="7"/>
  <c r="V755" i="7"/>
  <c r="W755" i="7"/>
  <c r="X755" i="7"/>
  <c r="Y755" i="7"/>
  <c r="Z755" i="7"/>
  <c r="AA755" i="7"/>
  <c r="AB755" i="7"/>
  <c r="AC755" i="7"/>
  <c r="AD755" i="7"/>
  <c r="AE755" i="7"/>
  <c r="Q756" i="7"/>
  <c r="R756" i="7"/>
  <c r="S756" i="7"/>
  <c r="T756" i="7"/>
  <c r="U756" i="7"/>
  <c r="V756" i="7"/>
  <c r="W756" i="7"/>
  <c r="X756" i="7"/>
  <c r="Y756" i="7"/>
  <c r="Z756" i="7"/>
  <c r="AA756" i="7"/>
  <c r="AB756" i="7"/>
  <c r="AC756" i="7"/>
  <c r="AD756" i="7"/>
  <c r="AE756" i="7"/>
  <c r="Q757" i="7"/>
  <c r="R757" i="7"/>
  <c r="S757" i="7"/>
  <c r="T757" i="7"/>
  <c r="U757" i="7"/>
  <c r="V757" i="7"/>
  <c r="W757" i="7"/>
  <c r="X757" i="7"/>
  <c r="Y757" i="7"/>
  <c r="Z757" i="7"/>
  <c r="AA757" i="7"/>
  <c r="AB757" i="7"/>
  <c r="AC757" i="7"/>
  <c r="AD757" i="7"/>
  <c r="AE757" i="7"/>
  <c r="Q758" i="7"/>
  <c r="R758" i="7"/>
  <c r="S758" i="7"/>
  <c r="T758" i="7"/>
  <c r="U758" i="7"/>
  <c r="V758" i="7"/>
  <c r="W758" i="7"/>
  <c r="X758" i="7"/>
  <c r="Y758" i="7"/>
  <c r="Z758" i="7"/>
  <c r="AA758" i="7"/>
  <c r="AB758" i="7"/>
  <c r="AC758" i="7"/>
  <c r="AD758" i="7"/>
  <c r="AE758" i="7"/>
  <c r="Q759" i="7"/>
  <c r="R759" i="7"/>
  <c r="S759" i="7"/>
  <c r="T759" i="7"/>
  <c r="U759" i="7"/>
  <c r="V759" i="7"/>
  <c r="W759" i="7"/>
  <c r="X759" i="7"/>
  <c r="Y759" i="7"/>
  <c r="Z759" i="7"/>
  <c r="AA759" i="7"/>
  <c r="AB759" i="7"/>
  <c r="AC759" i="7"/>
  <c r="AD759" i="7"/>
  <c r="AE759" i="7"/>
  <c r="Q760" i="7"/>
  <c r="R760" i="7"/>
  <c r="S760" i="7"/>
  <c r="T760" i="7"/>
  <c r="U760" i="7"/>
  <c r="V760" i="7"/>
  <c r="W760" i="7"/>
  <c r="X760" i="7"/>
  <c r="Y760" i="7"/>
  <c r="Z760" i="7"/>
  <c r="AA760" i="7"/>
  <c r="AB760" i="7"/>
  <c r="AC760" i="7"/>
  <c r="AD760" i="7"/>
  <c r="AE760" i="7"/>
  <c r="Q761" i="7"/>
  <c r="R761" i="7"/>
  <c r="S761" i="7"/>
  <c r="T761" i="7"/>
  <c r="U761" i="7"/>
  <c r="V761" i="7"/>
  <c r="W761" i="7"/>
  <c r="X761" i="7"/>
  <c r="Y761" i="7"/>
  <c r="Z761" i="7"/>
  <c r="AA761" i="7"/>
  <c r="AB761" i="7"/>
  <c r="AC761" i="7"/>
  <c r="AD761" i="7"/>
  <c r="AE761" i="7"/>
  <c r="Q762" i="7"/>
  <c r="R762" i="7"/>
  <c r="S762" i="7"/>
  <c r="T762" i="7"/>
  <c r="U762" i="7"/>
  <c r="V762" i="7"/>
  <c r="W762" i="7"/>
  <c r="X762" i="7"/>
  <c r="Y762" i="7"/>
  <c r="Z762" i="7"/>
  <c r="AA762" i="7"/>
  <c r="AB762" i="7"/>
  <c r="AC762" i="7"/>
  <c r="AD762" i="7"/>
  <c r="AE762" i="7"/>
  <c r="Q763" i="7"/>
  <c r="R763" i="7"/>
  <c r="S763" i="7"/>
  <c r="T763" i="7"/>
  <c r="U763" i="7"/>
  <c r="V763" i="7"/>
  <c r="W763" i="7"/>
  <c r="X763" i="7"/>
  <c r="Y763" i="7"/>
  <c r="Z763" i="7"/>
  <c r="AA763" i="7"/>
  <c r="AB763" i="7"/>
  <c r="AC763" i="7"/>
  <c r="AD763" i="7"/>
  <c r="AE763" i="7"/>
  <c r="Q764" i="7"/>
  <c r="R764" i="7"/>
  <c r="S764" i="7"/>
  <c r="T764" i="7"/>
  <c r="U764" i="7"/>
  <c r="V764" i="7"/>
  <c r="W764" i="7"/>
  <c r="X764" i="7"/>
  <c r="Y764" i="7"/>
  <c r="Z764" i="7"/>
  <c r="AA764" i="7"/>
  <c r="AB764" i="7"/>
  <c r="AC764" i="7"/>
  <c r="AD764" i="7"/>
  <c r="AE764" i="7"/>
  <c r="Q765" i="7"/>
  <c r="R765" i="7"/>
  <c r="S765" i="7"/>
  <c r="T765" i="7"/>
  <c r="U765" i="7"/>
  <c r="V765" i="7"/>
  <c r="W765" i="7"/>
  <c r="X765" i="7"/>
  <c r="Y765" i="7"/>
  <c r="Z765" i="7"/>
  <c r="AA765" i="7"/>
  <c r="AB765" i="7"/>
  <c r="AC765" i="7"/>
  <c r="AD765" i="7"/>
  <c r="AE765" i="7"/>
  <c r="Q766" i="7"/>
  <c r="R766" i="7"/>
  <c r="S766" i="7"/>
  <c r="T766" i="7"/>
  <c r="U766" i="7"/>
  <c r="V766" i="7"/>
  <c r="W766" i="7"/>
  <c r="X766" i="7"/>
  <c r="Y766" i="7"/>
  <c r="Z766" i="7"/>
  <c r="AA766" i="7"/>
  <c r="AB766" i="7"/>
  <c r="AC766" i="7"/>
  <c r="AD766" i="7"/>
  <c r="AE766" i="7"/>
  <c r="Q767" i="7"/>
  <c r="R767" i="7"/>
  <c r="S767" i="7"/>
  <c r="T767" i="7"/>
  <c r="U767" i="7"/>
  <c r="V767" i="7"/>
  <c r="W767" i="7"/>
  <c r="X767" i="7"/>
  <c r="Y767" i="7"/>
  <c r="Z767" i="7"/>
  <c r="AA767" i="7"/>
  <c r="AB767" i="7"/>
  <c r="AC767" i="7"/>
  <c r="AD767" i="7"/>
  <c r="AE767" i="7"/>
  <c r="Q768" i="7"/>
  <c r="R768" i="7"/>
  <c r="S768" i="7"/>
  <c r="T768" i="7"/>
  <c r="U768" i="7"/>
  <c r="V768" i="7"/>
  <c r="W768" i="7"/>
  <c r="X768" i="7"/>
  <c r="Y768" i="7"/>
  <c r="Z768" i="7"/>
  <c r="AA768" i="7"/>
  <c r="AB768" i="7"/>
  <c r="AC768" i="7"/>
  <c r="AD768" i="7"/>
  <c r="AE768" i="7"/>
  <c r="Q769" i="7"/>
  <c r="R769" i="7"/>
  <c r="S769" i="7"/>
  <c r="T769" i="7"/>
  <c r="U769" i="7"/>
  <c r="V769" i="7"/>
  <c r="W769" i="7"/>
  <c r="X769" i="7"/>
  <c r="Y769" i="7"/>
  <c r="Z769" i="7"/>
  <c r="AA769" i="7"/>
  <c r="AB769" i="7"/>
  <c r="AC769" i="7"/>
  <c r="AD769" i="7"/>
  <c r="AE769" i="7"/>
  <c r="Q770" i="7"/>
  <c r="R770" i="7"/>
  <c r="S770" i="7"/>
  <c r="T770" i="7"/>
  <c r="U770" i="7"/>
  <c r="V770" i="7"/>
  <c r="W770" i="7"/>
  <c r="X770" i="7"/>
  <c r="Y770" i="7"/>
  <c r="Z770" i="7"/>
  <c r="AA770" i="7"/>
  <c r="AB770" i="7"/>
  <c r="AC770" i="7"/>
  <c r="AD770" i="7"/>
  <c r="AE770" i="7"/>
  <c r="Q771" i="7"/>
  <c r="R771" i="7"/>
  <c r="S771" i="7"/>
  <c r="T771" i="7"/>
  <c r="U771" i="7"/>
  <c r="V771" i="7"/>
  <c r="W771" i="7"/>
  <c r="X771" i="7"/>
  <c r="Y771" i="7"/>
  <c r="Z771" i="7"/>
  <c r="AA771" i="7"/>
  <c r="AB771" i="7"/>
  <c r="AC771" i="7"/>
  <c r="AD771" i="7"/>
  <c r="AE771" i="7"/>
  <c r="Q772" i="7"/>
  <c r="R772" i="7"/>
  <c r="S772" i="7"/>
  <c r="T772" i="7"/>
  <c r="U772" i="7"/>
  <c r="V772" i="7"/>
  <c r="W772" i="7"/>
  <c r="X772" i="7"/>
  <c r="Y772" i="7"/>
  <c r="Z772" i="7"/>
  <c r="AA772" i="7"/>
  <c r="AB772" i="7"/>
  <c r="AC772" i="7"/>
  <c r="AD772" i="7"/>
  <c r="AE772" i="7"/>
  <c r="Q773" i="7"/>
  <c r="R773" i="7"/>
  <c r="S773" i="7"/>
  <c r="T773" i="7"/>
  <c r="U773" i="7"/>
  <c r="V773" i="7"/>
  <c r="W773" i="7"/>
  <c r="X773" i="7"/>
  <c r="Y773" i="7"/>
  <c r="Z773" i="7"/>
  <c r="AA773" i="7"/>
  <c r="AB773" i="7"/>
  <c r="AC773" i="7"/>
  <c r="AD773" i="7"/>
  <c r="AE773" i="7"/>
  <c r="Q774" i="7"/>
  <c r="R774" i="7"/>
  <c r="S774" i="7"/>
  <c r="T774" i="7"/>
  <c r="U774" i="7"/>
  <c r="V774" i="7"/>
  <c r="W774" i="7"/>
  <c r="X774" i="7"/>
  <c r="Y774" i="7"/>
  <c r="Z774" i="7"/>
  <c r="AA774" i="7"/>
  <c r="AB774" i="7"/>
  <c r="AC774" i="7"/>
  <c r="AD774" i="7"/>
  <c r="AE774" i="7"/>
  <c r="Q775" i="7"/>
  <c r="R775" i="7"/>
  <c r="S775" i="7"/>
  <c r="T775" i="7"/>
  <c r="U775" i="7"/>
  <c r="V775" i="7"/>
  <c r="W775" i="7"/>
  <c r="X775" i="7"/>
  <c r="Y775" i="7"/>
  <c r="Z775" i="7"/>
  <c r="AA775" i="7"/>
  <c r="AB775" i="7"/>
  <c r="AC775" i="7"/>
  <c r="AD775" i="7"/>
  <c r="AE775" i="7"/>
  <c r="Q776" i="7"/>
  <c r="R776" i="7"/>
  <c r="S776" i="7"/>
  <c r="T776" i="7"/>
  <c r="U776" i="7"/>
  <c r="V776" i="7"/>
  <c r="W776" i="7"/>
  <c r="X776" i="7"/>
  <c r="Y776" i="7"/>
  <c r="Z776" i="7"/>
  <c r="AA776" i="7"/>
  <c r="AB776" i="7"/>
  <c r="AC776" i="7"/>
  <c r="AD776" i="7"/>
  <c r="AE776" i="7"/>
  <c r="Q777" i="7"/>
  <c r="R777" i="7"/>
  <c r="S777" i="7"/>
  <c r="T777" i="7"/>
  <c r="U777" i="7"/>
  <c r="V777" i="7"/>
  <c r="W777" i="7"/>
  <c r="X777" i="7"/>
  <c r="Y777" i="7"/>
  <c r="Z777" i="7"/>
  <c r="AA777" i="7"/>
  <c r="AB777" i="7"/>
  <c r="AC777" i="7"/>
  <c r="AD777" i="7"/>
  <c r="AE777" i="7"/>
  <c r="Q778" i="7"/>
  <c r="R778" i="7"/>
  <c r="S778" i="7"/>
  <c r="T778" i="7"/>
  <c r="U778" i="7"/>
  <c r="V778" i="7"/>
  <c r="W778" i="7"/>
  <c r="X778" i="7"/>
  <c r="Y778" i="7"/>
  <c r="Z778" i="7"/>
  <c r="AA778" i="7"/>
  <c r="AB778" i="7"/>
  <c r="AC778" i="7"/>
  <c r="AD778" i="7"/>
  <c r="AE778" i="7"/>
  <c r="Q779" i="7"/>
  <c r="R779" i="7"/>
  <c r="S779" i="7"/>
  <c r="T779" i="7"/>
  <c r="U779" i="7"/>
  <c r="V779" i="7"/>
  <c r="W779" i="7"/>
  <c r="X779" i="7"/>
  <c r="Y779" i="7"/>
  <c r="Z779" i="7"/>
  <c r="AA779" i="7"/>
  <c r="AB779" i="7"/>
  <c r="AC779" i="7"/>
  <c r="AD779" i="7"/>
  <c r="AE779" i="7"/>
  <c r="Q780" i="7"/>
  <c r="R780" i="7"/>
  <c r="S780" i="7"/>
  <c r="T780" i="7"/>
  <c r="U780" i="7"/>
  <c r="V780" i="7"/>
  <c r="W780" i="7"/>
  <c r="X780" i="7"/>
  <c r="Y780" i="7"/>
  <c r="Z780" i="7"/>
  <c r="AA780" i="7"/>
  <c r="AB780" i="7"/>
  <c r="AC780" i="7"/>
  <c r="AD780" i="7"/>
  <c r="AE780" i="7"/>
  <c r="Q781" i="7"/>
  <c r="R781" i="7"/>
  <c r="S781" i="7"/>
  <c r="T781" i="7"/>
  <c r="U781" i="7"/>
  <c r="V781" i="7"/>
  <c r="W781" i="7"/>
  <c r="X781" i="7"/>
  <c r="Y781" i="7"/>
  <c r="Z781" i="7"/>
  <c r="AA781" i="7"/>
  <c r="AB781" i="7"/>
  <c r="AC781" i="7"/>
  <c r="AD781" i="7"/>
  <c r="AE781" i="7"/>
  <c r="Q782" i="7"/>
  <c r="R782" i="7"/>
  <c r="S782" i="7"/>
  <c r="T782" i="7"/>
  <c r="U782" i="7"/>
  <c r="V782" i="7"/>
  <c r="W782" i="7"/>
  <c r="X782" i="7"/>
  <c r="Y782" i="7"/>
  <c r="Z782" i="7"/>
  <c r="AA782" i="7"/>
  <c r="AB782" i="7"/>
  <c r="AC782" i="7"/>
  <c r="AD782" i="7"/>
  <c r="AE782" i="7"/>
  <c r="Q783" i="7"/>
  <c r="R783" i="7"/>
  <c r="S783" i="7"/>
  <c r="T783" i="7"/>
  <c r="U783" i="7"/>
  <c r="V783" i="7"/>
  <c r="W783" i="7"/>
  <c r="X783" i="7"/>
  <c r="Y783" i="7"/>
  <c r="Z783" i="7"/>
  <c r="AA783" i="7"/>
  <c r="AB783" i="7"/>
  <c r="AC783" i="7"/>
  <c r="AD783" i="7"/>
  <c r="AE783" i="7"/>
  <c r="Q784" i="7"/>
  <c r="R784" i="7"/>
  <c r="S784" i="7"/>
  <c r="T784" i="7"/>
  <c r="U784" i="7"/>
  <c r="V784" i="7"/>
  <c r="W784" i="7"/>
  <c r="X784" i="7"/>
  <c r="Y784" i="7"/>
  <c r="Z784" i="7"/>
  <c r="AA784" i="7"/>
  <c r="AB784" i="7"/>
  <c r="AC784" i="7"/>
  <c r="AD784" i="7"/>
  <c r="AE784" i="7"/>
  <c r="Q785" i="7"/>
  <c r="R785" i="7"/>
  <c r="S785" i="7"/>
  <c r="T785" i="7"/>
  <c r="U785" i="7"/>
  <c r="V785" i="7"/>
  <c r="W785" i="7"/>
  <c r="X785" i="7"/>
  <c r="Y785" i="7"/>
  <c r="Z785" i="7"/>
  <c r="AA785" i="7"/>
  <c r="AB785" i="7"/>
  <c r="AC785" i="7"/>
  <c r="AD785" i="7"/>
  <c r="AE785" i="7"/>
  <c r="Q786" i="7"/>
  <c r="R786" i="7"/>
  <c r="S786" i="7"/>
  <c r="T786" i="7"/>
  <c r="U786" i="7"/>
  <c r="V786" i="7"/>
  <c r="W786" i="7"/>
  <c r="X786" i="7"/>
  <c r="Y786" i="7"/>
  <c r="Z786" i="7"/>
  <c r="AA786" i="7"/>
  <c r="AB786" i="7"/>
  <c r="AC786" i="7"/>
  <c r="AD786" i="7"/>
  <c r="AE786" i="7"/>
  <c r="Q787" i="7"/>
  <c r="R787" i="7"/>
  <c r="S787" i="7"/>
  <c r="T787" i="7"/>
  <c r="U787" i="7"/>
  <c r="V787" i="7"/>
  <c r="W787" i="7"/>
  <c r="X787" i="7"/>
  <c r="Y787" i="7"/>
  <c r="Z787" i="7"/>
  <c r="AA787" i="7"/>
  <c r="AB787" i="7"/>
  <c r="AC787" i="7"/>
  <c r="AD787" i="7"/>
  <c r="AE787" i="7"/>
  <c r="Q788" i="7"/>
  <c r="R788" i="7"/>
  <c r="S788" i="7"/>
  <c r="T788" i="7"/>
  <c r="U788" i="7"/>
  <c r="V788" i="7"/>
  <c r="W788" i="7"/>
  <c r="X788" i="7"/>
  <c r="Y788" i="7"/>
  <c r="Z788" i="7"/>
  <c r="AA788" i="7"/>
  <c r="AB788" i="7"/>
  <c r="AC788" i="7"/>
  <c r="AD788" i="7"/>
  <c r="AE788" i="7"/>
  <c r="Q789" i="7"/>
  <c r="R789" i="7"/>
  <c r="S789" i="7"/>
  <c r="T789" i="7"/>
  <c r="U789" i="7"/>
  <c r="V789" i="7"/>
  <c r="W789" i="7"/>
  <c r="X789" i="7"/>
  <c r="Y789" i="7"/>
  <c r="Z789" i="7"/>
  <c r="AA789" i="7"/>
  <c r="AB789" i="7"/>
  <c r="AC789" i="7"/>
  <c r="AD789" i="7"/>
  <c r="AE789" i="7"/>
  <c r="Q790" i="7"/>
  <c r="R790" i="7"/>
  <c r="S790" i="7"/>
  <c r="T790" i="7"/>
  <c r="U790" i="7"/>
  <c r="V790" i="7"/>
  <c r="W790" i="7"/>
  <c r="X790" i="7"/>
  <c r="Y790" i="7"/>
  <c r="Z790" i="7"/>
  <c r="AA790" i="7"/>
  <c r="AB790" i="7"/>
  <c r="AC790" i="7"/>
  <c r="AD790" i="7"/>
  <c r="AE790" i="7"/>
  <c r="Q791" i="7"/>
  <c r="R791" i="7"/>
  <c r="S791" i="7"/>
  <c r="T791" i="7"/>
  <c r="U791" i="7"/>
  <c r="V791" i="7"/>
  <c r="W791" i="7"/>
  <c r="X791" i="7"/>
  <c r="Y791" i="7"/>
  <c r="Z791" i="7"/>
  <c r="AA791" i="7"/>
  <c r="AB791" i="7"/>
  <c r="AC791" i="7"/>
  <c r="AD791" i="7"/>
  <c r="AE791" i="7"/>
  <c r="Q792" i="7"/>
  <c r="R792" i="7"/>
  <c r="S792" i="7"/>
  <c r="T792" i="7"/>
  <c r="U792" i="7"/>
  <c r="V792" i="7"/>
  <c r="W792" i="7"/>
  <c r="X792" i="7"/>
  <c r="Y792" i="7"/>
  <c r="Z792" i="7"/>
  <c r="AA792" i="7"/>
  <c r="AB792" i="7"/>
  <c r="AC792" i="7"/>
  <c r="AD792" i="7"/>
  <c r="AE792" i="7"/>
  <c r="Q793" i="7"/>
  <c r="R793" i="7"/>
  <c r="S793" i="7"/>
  <c r="T793" i="7"/>
  <c r="U793" i="7"/>
  <c r="V793" i="7"/>
  <c r="W793" i="7"/>
  <c r="X793" i="7"/>
  <c r="Y793" i="7"/>
  <c r="Z793" i="7"/>
  <c r="AA793" i="7"/>
  <c r="AB793" i="7"/>
  <c r="AC793" i="7"/>
  <c r="AD793" i="7"/>
  <c r="AE793" i="7"/>
  <c r="Q794" i="7"/>
  <c r="R794" i="7"/>
  <c r="S794" i="7"/>
  <c r="T794" i="7"/>
  <c r="U794" i="7"/>
  <c r="V794" i="7"/>
  <c r="W794" i="7"/>
  <c r="X794" i="7"/>
  <c r="Y794" i="7"/>
  <c r="Z794" i="7"/>
  <c r="AA794" i="7"/>
  <c r="AB794" i="7"/>
  <c r="AC794" i="7"/>
  <c r="AD794" i="7"/>
  <c r="AE794" i="7"/>
  <c r="Q795" i="7"/>
  <c r="R795" i="7"/>
  <c r="S795" i="7"/>
  <c r="T795" i="7"/>
  <c r="U795" i="7"/>
  <c r="V795" i="7"/>
  <c r="W795" i="7"/>
  <c r="X795" i="7"/>
  <c r="Y795" i="7"/>
  <c r="Z795" i="7"/>
  <c r="AA795" i="7"/>
  <c r="AB795" i="7"/>
  <c r="AC795" i="7"/>
  <c r="AD795" i="7"/>
  <c r="AE795" i="7"/>
  <c r="Q796" i="7"/>
  <c r="R796" i="7"/>
  <c r="S796" i="7"/>
  <c r="T796" i="7"/>
  <c r="U796" i="7"/>
  <c r="V796" i="7"/>
  <c r="W796" i="7"/>
  <c r="X796" i="7"/>
  <c r="Y796" i="7"/>
  <c r="Z796" i="7"/>
  <c r="AA796" i="7"/>
  <c r="AB796" i="7"/>
  <c r="AC796" i="7"/>
  <c r="AD796" i="7"/>
  <c r="AE796" i="7"/>
  <c r="Q797" i="7"/>
  <c r="R797" i="7"/>
  <c r="S797" i="7"/>
  <c r="T797" i="7"/>
  <c r="U797" i="7"/>
  <c r="V797" i="7"/>
  <c r="W797" i="7"/>
  <c r="X797" i="7"/>
  <c r="Y797" i="7"/>
  <c r="Z797" i="7"/>
  <c r="AA797" i="7"/>
  <c r="AB797" i="7"/>
  <c r="AC797" i="7"/>
  <c r="AD797" i="7"/>
  <c r="AE797" i="7"/>
  <c r="Q798" i="7"/>
  <c r="R798" i="7"/>
  <c r="S798" i="7"/>
  <c r="T798" i="7"/>
  <c r="U798" i="7"/>
  <c r="V798" i="7"/>
  <c r="W798" i="7"/>
  <c r="X798" i="7"/>
  <c r="Y798" i="7"/>
  <c r="Z798" i="7"/>
  <c r="AA798" i="7"/>
  <c r="AB798" i="7"/>
  <c r="AC798" i="7"/>
  <c r="AD798" i="7"/>
  <c r="AE798" i="7"/>
  <c r="Q799" i="7"/>
  <c r="R799" i="7"/>
  <c r="S799" i="7"/>
  <c r="T799" i="7"/>
  <c r="U799" i="7"/>
  <c r="V799" i="7"/>
  <c r="W799" i="7"/>
  <c r="X799" i="7"/>
  <c r="Y799" i="7"/>
  <c r="Z799" i="7"/>
  <c r="AA799" i="7"/>
  <c r="AB799" i="7"/>
  <c r="AC799" i="7"/>
  <c r="AD799" i="7"/>
  <c r="AE799" i="7"/>
  <c r="Q800" i="7"/>
  <c r="R800" i="7"/>
  <c r="S800" i="7"/>
  <c r="T800" i="7"/>
  <c r="U800" i="7"/>
  <c r="V800" i="7"/>
  <c r="W800" i="7"/>
  <c r="X800" i="7"/>
  <c r="Y800" i="7"/>
  <c r="Z800" i="7"/>
  <c r="AA800" i="7"/>
  <c r="AB800" i="7"/>
  <c r="AC800" i="7"/>
  <c r="AD800" i="7"/>
  <c r="AE800" i="7"/>
  <c r="Q801" i="7"/>
  <c r="R801" i="7"/>
  <c r="S801" i="7"/>
  <c r="T801" i="7"/>
  <c r="U801" i="7"/>
  <c r="V801" i="7"/>
  <c r="W801" i="7"/>
  <c r="X801" i="7"/>
  <c r="Y801" i="7"/>
  <c r="Z801" i="7"/>
  <c r="AA801" i="7"/>
  <c r="AB801" i="7"/>
  <c r="AC801" i="7"/>
  <c r="AD801" i="7"/>
  <c r="AE801" i="7"/>
  <c r="Q802" i="7"/>
  <c r="R802" i="7"/>
  <c r="S802" i="7"/>
  <c r="T802" i="7"/>
  <c r="U802" i="7"/>
  <c r="V802" i="7"/>
  <c r="W802" i="7"/>
  <c r="X802" i="7"/>
  <c r="Y802" i="7"/>
  <c r="Z802" i="7"/>
  <c r="AA802" i="7"/>
  <c r="AB802" i="7"/>
  <c r="AC802" i="7"/>
  <c r="AD802" i="7"/>
  <c r="AE802" i="7"/>
  <c r="Q803" i="7"/>
  <c r="R803" i="7"/>
  <c r="S803" i="7"/>
  <c r="T803" i="7"/>
  <c r="U803" i="7"/>
  <c r="V803" i="7"/>
  <c r="W803" i="7"/>
  <c r="X803" i="7"/>
  <c r="Y803" i="7"/>
  <c r="Z803" i="7"/>
  <c r="AA803" i="7"/>
  <c r="AB803" i="7"/>
  <c r="AC803" i="7"/>
  <c r="AD803" i="7"/>
  <c r="AE803" i="7"/>
  <c r="Q804" i="7"/>
  <c r="R804" i="7"/>
  <c r="S804" i="7"/>
  <c r="T804" i="7"/>
  <c r="U804" i="7"/>
  <c r="V804" i="7"/>
  <c r="W804" i="7"/>
  <c r="X804" i="7"/>
  <c r="Y804" i="7"/>
  <c r="Z804" i="7"/>
  <c r="AA804" i="7"/>
  <c r="AB804" i="7"/>
  <c r="AC804" i="7"/>
  <c r="AD804" i="7"/>
  <c r="AE804" i="7"/>
  <c r="Q805" i="7"/>
  <c r="R805" i="7"/>
  <c r="S805" i="7"/>
  <c r="T805" i="7"/>
  <c r="U805" i="7"/>
  <c r="V805" i="7"/>
  <c r="W805" i="7"/>
  <c r="X805" i="7"/>
  <c r="Y805" i="7"/>
  <c r="Z805" i="7"/>
  <c r="AA805" i="7"/>
  <c r="AB805" i="7"/>
  <c r="AC805" i="7"/>
  <c r="AD805" i="7"/>
  <c r="AE805" i="7"/>
  <c r="Q806" i="7"/>
  <c r="R806" i="7"/>
  <c r="S806" i="7"/>
  <c r="T806" i="7"/>
  <c r="U806" i="7"/>
  <c r="V806" i="7"/>
  <c r="W806" i="7"/>
  <c r="X806" i="7"/>
  <c r="Y806" i="7"/>
  <c r="Z806" i="7"/>
  <c r="AA806" i="7"/>
  <c r="AB806" i="7"/>
  <c r="AC806" i="7"/>
  <c r="AD806" i="7"/>
  <c r="AE806" i="7"/>
  <c r="Q807" i="7"/>
  <c r="R807" i="7"/>
  <c r="S807" i="7"/>
  <c r="T807" i="7"/>
  <c r="U807" i="7"/>
  <c r="V807" i="7"/>
  <c r="W807" i="7"/>
  <c r="X807" i="7"/>
  <c r="Y807" i="7"/>
  <c r="Z807" i="7"/>
  <c r="AA807" i="7"/>
  <c r="AB807" i="7"/>
  <c r="AC807" i="7"/>
  <c r="AD807" i="7"/>
  <c r="AE807" i="7"/>
  <c r="Q808" i="7"/>
  <c r="R808" i="7"/>
  <c r="S808" i="7"/>
  <c r="T808" i="7"/>
  <c r="U808" i="7"/>
  <c r="V808" i="7"/>
  <c r="W808" i="7"/>
  <c r="X808" i="7"/>
  <c r="Y808" i="7"/>
  <c r="Z808" i="7"/>
  <c r="AA808" i="7"/>
  <c r="AB808" i="7"/>
  <c r="AC808" i="7"/>
  <c r="AD808" i="7"/>
  <c r="AE808" i="7"/>
  <c r="Q809" i="7"/>
  <c r="R809" i="7"/>
  <c r="S809" i="7"/>
  <c r="T809" i="7"/>
  <c r="U809" i="7"/>
  <c r="V809" i="7"/>
  <c r="W809" i="7"/>
  <c r="X809" i="7"/>
  <c r="Y809" i="7"/>
  <c r="Z809" i="7"/>
  <c r="AA809" i="7"/>
  <c r="AB809" i="7"/>
  <c r="AC809" i="7"/>
  <c r="AD809" i="7"/>
  <c r="AE809" i="7"/>
  <c r="Q810" i="7"/>
  <c r="R810" i="7"/>
  <c r="S810" i="7"/>
  <c r="T810" i="7"/>
  <c r="U810" i="7"/>
  <c r="V810" i="7"/>
  <c r="W810" i="7"/>
  <c r="X810" i="7"/>
  <c r="Y810" i="7"/>
  <c r="Z810" i="7"/>
  <c r="AA810" i="7"/>
  <c r="AB810" i="7"/>
  <c r="AC810" i="7"/>
  <c r="AD810" i="7"/>
  <c r="AE810" i="7"/>
  <c r="Q811" i="7"/>
  <c r="R811" i="7"/>
  <c r="S811" i="7"/>
  <c r="T811" i="7"/>
  <c r="U811" i="7"/>
  <c r="V811" i="7"/>
  <c r="W811" i="7"/>
  <c r="X811" i="7"/>
  <c r="Y811" i="7"/>
  <c r="Z811" i="7"/>
  <c r="AA811" i="7"/>
  <c r="AB811" i="7"/>
  <c r="AC811" i="7"/>
  <c r="AD811" i="7"/>
  <c r="AE811" i="7"/>
  <c r="Q812" i="7"/>
  <c r="R812" i="7"/>
  <c r="S812" i="7"/>
  <c r="T812" i="7"/>
  <c r="U812" i="7"/>
  <c r="V812" i="7"/>
  <c r="W812" i="7"/>
  <c r="X812" i="7"/>
  <c r="Y812" i="7"/>
  <c r="Z812" i="7"/>
  <c r="AA812" i="7"/>
  <c r="AB812" i="7"/>
  <c r="AC812" i="7"/>
  <c r="AD812" i="7"/>
  <c r="AE812" i="7"/>
  <c r="Q813" i="7"/>
  <c r="R813" i="7"/>
  <c r="S813" i="7"/>
  <c r="T813" i="7"/>
  <c r="U813" i="7"/>
  <c r="V813" i="7"/>
  <c r="W813" i="7"/>
  <c r="X813" i="7"/>
  <c r="Y813" i="7"/>
  <c r="Z813" i="7"/>
  <c r="AA813" i="7"/>
  <c r="AB813" i="7"/>
  <c r="AC813" i="7"/>
  <c r="AD813" i="7"/>
  <c r="AE813" i="7"/>
  <c r="Q814" i="7"/>
  <c r="R814" i="7"/>
  <c r="S814" i="7"/>
  <c r="T814" i="7"/>
  <c r="U814" i="7"/>
  <c r="V814" i="7"/>
  <c r="W814" i="7"/>
  <c r="X814" i="7"/>
  <c r="Y814" i="7"/>
  <c r="Z814" i="7"/>
  <c r="AA814" i="7"/>
  <c r="AB814" i="7"/>
  <c r="AC814" i="7"/>
  <c r="AD814" i="7"/>
  <c r="AE814" i="7"/>
  <c r="Q815" i="7"/>
  <c r="R815" i="7"/>
  <c r="S815" i="7"/>
  <c r="T815" i="7"/>
  <c r="U815" i="7"/>
  <c r="V815" i="7"/>
  <c r="W815" i="7"/>
  <c r="X815" i="7"/>
  <c r="Y815" i="7"/>
  <c r="Z815" i="7"/>
  <c r="AA815" i="7"/>
  <c r="AB815" i="7"/>
  <c r="AC815" i="7"/>
  <c r="AD815" i="7"/>
  <c r="AE815" i="7"/>
  <c r="Q816" i="7"/>
  <c r="R816" i="7"/>
  <c r="S816" i="7"/>
  <c r="T816" i="7"/>
  <c r="U816" i="7"/>
  <c r="V816" i="7"/>
  <c r="W816" i="7"/>
  <c r="X816" i="7"/>
  <c r="Y816" i="7"/>
  <c r="Z816" i="7"/>
  <c r="AA816" i="7"/>
  <c r="AB816" i="7"/>
  <c r="AC816" i="7"/>
  <c r="AD816" i="7"/>
  <c r="AE816" i="7"/>
  <c r="Q817" i="7"/>
  <c r="R817" i="7"/>
  <c r="S817" i="7"/>
  <c r="T817" i="7"/>
  <c r="U817" i="7"/>
  <c r="V817" i="7"/>
  <c r="W817" i="7"/>
  <c r="X817" i="7"/>
  <c r="Y817" i="7"/>
  <c r="Z817" i="7"/>
  <c r="AA817" i="7"/>
  <c r="AB817" i="7"/>
  <c r="AC817" i="7"/>
  <c r="AD817" i="7"/>
  <c r="AE817" i="7"/>
  <c r="Q818" i="7"/>
  <c r="R818" i="7"/>
  <c r="S818" i="7"/>
  <c r="T818" i="7"/>
  <c r="U818" i="7"/>
  <c r="V818" i="7"/>
  <c r="W818" i="7"/>
  <c r="X818" i="7"/>
  <c r="Y818" i="7"/>
  <c r="Z818" i="7"/>
  <c r="AA818" i="7"/>
  <c r="AB818" i="7"/>
  <c r="AC818" i="7"/>
  <c r="AD818" i="7"/>
  <c r="AE818" i="7"/>
  <c r="Q819" i="7"/>
  <c r="R819" i="7"/>
  <c r="S819" i="7"/>
  <c r="T819" i="7"/>
  <c r="U819" i="7"/>
  <c r="V819" i="7"/>
  <c r="W819" i="7"/>
  <c r="X819" i="7"/>
  <c r="Y819" i="7"/>
  <c r="Z819" i="7"/>
  <c r="AA819" i="7"/>
  <c r="AB819" i="7"/>
  <c r="AC819" i="7"/>
  <c r="AD819" i="7"/>
  <c r="AE819" i="7"/>
  <c r="Q820" i="7"/>
  <c r="R820" i="7"/>
  <c r="S820" i="7"/>
  <c r="T820" i="7"/>
  <c r="U820" i="7"/>
  <c r="V820" i="7"/>
  <c r="W820" i="7"/>
  <c r="X820" i="7"/>
  <c r="Y820" i="7"/>
  <c r="Z820" i="7"/>
  <c r="AA820" i="7"/>
  <c r="AB820" i="7"/>
  <c r="AC820" i="7"/>
  <c r="AD820" i="7"/>
  <c r="AE820" i="7"/>
  <c r="Q821" i="7"/>
  <c r="R821" i="7"/>
  <c r="S821" i="7"/>
  <c r="T821" i="7"/>
  <c r="U821" i="7"/>
  <c r="V821" i="7"/>
  <c r="W821" i="7"/>
  <c r="X821" i="7"/>
  <c r="Y821" i="7"/>
  <c r="Z821" i="7"/>
  <c r="AA821" i="7"/>
  <c r="AB821" i="7"/>
  <c r="AC821" i="7"/>
  <c r="AD821" i="7"/>
  <c r="AE821" i="7"/>
  <c r="Q822" i="7"/>
  <c r="R822" i="7"/>
  <c r="S822" i="7"/>
  <c r="T822" i="7"/>
  <c r="U822" i="7"/>
  <c r="V822" i="7"/>
  <c r="W822" i="7"/>
  <c r="X822" i="7"/>
  <c r="Y822" i="7"/>
  <c r="Z822" i="7"/>
  <c r="AA822" i="7"/>
  <c r="AB822" i="7"/>
  <c r="AC822" i="7"/>
  <c r="AD822" i="7"/>
  <c r="AE822" i="7"/>
  <c r="Q823" i="7"/>
  <c r="R823" i="7"/>
  <c r="S823" i="7"/>
  <c r="T823" i="7"/>
  <c r="U823" i="7"/>
  <c r="V823" i="7"/>
  <c r="W823" i="7"/>
  <c r="X823" i="7"/>
  <c r="Y823" i="7"/>
  <c r="Z823" i="7"/>
  <c r="AA823" i="7"/>
  <c r="AB823" i="7"/>
  <c r="AC823" i="7"/>
  <c r="AD823" i="7"/>
  <c r="AE823" i="7"/>
  <c r="Q824" i="7"/>
  <c r="R824" i="7"/>
  <c r="S824" i="7"/>
  <c r="T824" i="7"/>
  <c r="U824" i="7"/>
  <c r="V824" i="7"/>
  <c r="W824" i="7"/>
  <c r="X824" i="7"/>
  <c r="Y824" i="7"/>
  <c r="Z824" i="7"/>
  <c r="AA824" i="7"/>
  <c r="AB824" i="7"/>
  <c r="AC824" i="7"/>
  <c r="AD824" i="7"/>
  <c r="AE824" i="7"/>
  <c r="Q825" i="7"/>
  <c r="R825" i="7"/>
  <c r="S825" i="7"/>
  <c r="T825" i="7"/>
  <c r="U825" i="7"/>
  <c r="V825" i="7"/>
  <c r="W825" i="7"/>
  <c r="X825" i="7"/>
  <c r="Y825" i="7"/>
  <c r="Z825" i="7"/>
  <c r="AA825" i="7"/>
  <c r="AB825" i="7"/>
  <c r="AC825" i="7"/>
  <c r="AD825" i="7"/>
  <c r="AE825" i="7"/>
  <c r="Q826" i="7"/>
  <c r="R826" i="7"/>
  <c r="S826" i="7"/>
  <c r="T826" i="7"/>
  <c r="U826" i="7"/>
  <c r="V826" i="7"/>
  <c r="W826" i="7"/>
  <c r="X826" i="7"/>
  <c r="Y826" i="7"/>
  <c r="Z826" i="7"/>
  <c r="AA826" i="7"/>
  <c r="AB826" i="7"/>
  <c r="AC826" i="7"/>
  <c r="AD826" i="7"/>
  <c r="AE826" i="7"/>
  <c r="Q827" i="7"/>
  <c r="R827" i="7"/>
  <c r="S827" i="7"/>
  <c r="T827" i="7"/>
  <c r="U827" i="7"/>
  <c r="V827" i="7"/>
  <c r="W827" i="7"/>
  <c r="X827" i="7"/>
  <c r="Y827" i="7"/>
  <c r="Z827" i="7"/>
  <c r="AA827" i="7"/>
  <c r="AB827" i="7"/>
  <c r="AC827" i="7"/>
  <c r="AD827" i="7"/>
  <c r="AE827" i="7"/>
  <c r="Q828" i="7"/>
  <c r="R828" i="7"/>
  <c r="S828" i="7"/>
  <c r="T828" i="7"/>
  <c r="U828" i="7"/>
  <c r="V828" i="7"/>
  <c r="W828" i="7"/>
  <c r="X828" i="7"/>
  <c r="Y828" i="7"/>
  <c r="Z828" i="7"/>
  <c r="AA828" i="7"/>
  <c r="AB828" i="7"/>
  <c r="AC828" i="7"/>
  <c r="AD828" i="7"/>
  <c r="AE828" i="7"/>
  <c r="Q829" i="7"/>
  <c r="R829" i="7"/>
  <c r="S829" i="7"/>
  <c r="T829" i="7"/>
  <c r="U829" i="7"/>
  <c r="V829" i="7"/>
  <c r="W829" i="7"/>
  <c r="X829" i="7"/>
  <c r="Y829" i="7"/>
  <c r="Z829" i="7"/>
  <c r="AA829" i="7"/>
  <c r="AB829" i="7"/>
  <c r="AC829" i="7"/>
  <c r="AD829" i="7"/>
  <c r="AE829" i="7"/>
  <c r="Q830" i="7"/>
  <c r="R830" i="7"/>
  <c r="S830" i="7"/>
  <c r="T830" i="7"/>
  <c r="U830" i="7"/>
  <c r="V830" i="7"/>
  <c r="W830" i="7"/>
  <c r="X830" i="7"/>
  <c r="Y830" i="7"/>
  <c r="Z830" i="7"/>
  <c r="AA830" i="7"/>
  <c r="AB830" i="7"/>
  <c r="AC830" i="7"/>
  <c r="AD830" i="7"/>
  <c r="AE830" i="7"/>
  <c r="Q831" i="7"/>
  <c r="R831" i="7"/>
  <c r="S831" i="7"/>
  <c r="T831" i="7"/>
  <c r="U831" i="7"/>
  <c r="V831" i="7"/>
  <c r="W831" i="7"/>
  <c r="X831" i="7"/>
  <c r="Y831" i="7"/>
  <c r="Z831" i="7"/>
  <c r="AA831" i="7"/>
  <c r="AB831" i="7"/>
  <c r="AC831" i="7"/>
  <c r="AD831" i="7"/>
  <c r="AE831" i="7"/>
  <c r="Q832" i="7"/>
  <c r="R832" i="7"/>
  <c r="S832" i="7"/>
  <c r="T832" i="7"/>
  <c r="U832" i="7"/>
  <c r="V832" i="7"/>
  <c r="W832" i="7"/>
  <c r="X832" i="7"/>
  <c r="Y832" i="7"/>
  <c r="Z832" i="7"/>
  <c r="AA832" i="7"/>
  <c r="AB832" i="7"/>
  <c r="AC832" i="7"/>
  <c r="AD832" i="7"/>
  <c r="AE832" i="7"/>
  <c r="Q833" i="7"/>
  <c r="R833" i="7"/>
  <c r="S833" i="7"/>
  <c r="T833" i="7"/>
  <c r="U833" i="7"/>
  <c r="V833" i="7"/>
  <c r="W833" i="7"/>
  <c r="X833" i="7"/>
  <c r="Y833" i="7"/>
  <c r="Z833" i="7"/>
  <c r="AA833" i="7"/>
  <c r="AB833" i="7"/>
  <c r="AC833" i="7"/>
  <c r="AD833" i="7"/>
  <c r="AE833" i="7"/>
  <c r="Q834" i="7"/>
  <c r="R834" i="7"/>
  <c r="S834" i="7"/>
  <c r="T834" i="7"/>
  <c r="U834" i="7"/>
  <c r="V834" i="7"/>
  <c r="W834" i="7"/>
  <c r="X834" i="7"/>
  <c r="Y834" i="7"/>
  <c r="Z834" i="7"/>
  <c r="AA834" i="7"/>
  <c r="AB834" i="7"/>
  <c r="AC834" i="7"/>
  <c r="AD834" i="7"/>
  <c r="AE834" i="7"/>
  <c r="Q835" i="7"/>
  <c r="R835" i="7"/>
  <c r="S835" i="7"/>
  <c r="T835" i="7"/>
  <c r="U835" i="7"/>
  <c r="V835" i="7"/>
  <c r="W835" i="7"/>
  <c r="X835" i="7"/>
  <c r="Y835" i="7"/>
  <c r="Z835" i="7"/>
  <c r="AA835" i="7"/>
  <c r="AB835" i="7"/>
  <c r="AC835" i="7"/>
  <c r="AD835" i="7"/>
  <c r="AE835" i="7"/>
  <c r="Q836" i="7"/>
  <c r="R836" i="7"/>
  <c r="S836" i="7"/>
  <c r="T836" i="7"/>
  <c r="U836" i="7"/>
  <c r="V836" i="7"/>
  <c r="W836" i="7"/>
  <c r="X836" i="7"/>
  <c r="Y836" i="7"/>
  <c r="Z836" i="7"/>
  <c r="AA836" i="7"/>
  <c r="AB836" i="7"/>
  <c r="AC836" i="7"/>
  <c r="AD836" i="7"/>
  <c r="AE836" i="7"/>
  <c r="Q837" i="7"/>
  <c r="R837" i="7"/>
  <c r="S837" i="7"/>
  <c r="T837" i="7"/>
  <c r="U837" i="7"/>
  <c r="V837" i="7"/>
  <c r="W837" i="7"/>
  <c r="X837" i="7"/>
  <c r="Y837" i="7"/>
  <c r="Z837" i="7"/>
  <c r="AA837" i="7"/>
  <c r="AB837" i="7"/>
  <c r="AC837" i="7"/>
  <c r="AD837" i="7"/>
  <c r="AE837" i="7"/>
  <c r="Q838" i="7"/>
  <c r="R838" i="7"/>
  <c r="S838" i="7"/>
  <c r="T838" i="7"/>
  <c r="U838" i="7"/>
  <c r="V838" i="7"/>
  <c r="W838" i="7"/>
  <c r="X838" i="7"/>
  <c r="Y838" i="7"/>
  <c r="Z838" i="7"/>
  <c r="AA838" i="7"/>
  <c r="AB838" i="7"/>
  <c r="AC838" i="7"/>
  <c r="AD838" i="7"/>
  <c r="AE838" i="7"/>
  <c r="Q839" i="7"/>
  <c r="R839" i="7"/>
  <c r="S839" i="7"/>
  <c r="T839" i="7"/>
  <c r="U839" i="7"/>
  <c r="V839" i="7"/>
  <c r="W839" i="7"/>
  <c r="X839" i="7"/>
  <c r="Y839" i="7"/>
  <c r="Z839" i="7"/>
  <c r="AA839" i="7"/>
  <c r="AB839" i="7"/>
  <c r="AC839" i="7"/>
  <c r="AD839" i="7"/>
  <c r="AE839" i="7"/>
  <c r="Q840" i="7"/>
  <c r="R840" i="7"/>
  <c r="S840" i="7"/>
  <c r="T840" i="7"/>
  <c r="U840" i="7"/>
  <c r="V840" i="7"/>
  <c r="W840" i="7"/>
  <c r="X840" i="7"/>
  <c r="Y840" i="7"/>
  <c r="Z840" i="7"/>
  <c r="AA840" i="7"/>
  <c r="AB840" i="7"/>
  <c r="AC840" i="7"/>
  <c r="AD840" i="7"/>
  <c r="AE840" i="7"/>
  <c r="Q841" i="7"/>
  <c r="R841" i="7"/>
  <c r="S841" i="7"/>
  <c r="T841" i="7"/>
  <c r="U841" i="7"/>
  <c r="V841" i="7"/>
  <c r="W841" i="7"/>
  <c r="X841" i="7"/>
  <c r="Y841" i="7"/>
  <c r="Z841" i="7"/>
  <c r="AA841" i="7"/>
  <c r="AB841" i="7"/>
  <c r="AC841" i="7"/>
  <c r="AD841" i="7"/>
  <c r="AE841" i="7"/>
  <c r="Q842" i="7"/>
  <c r="R842" i="7"/>
  <c r="S842" i="7"/>
  <c r="T842" i="7"/>
  <c r="U842" i="7"/>
  <c r="V842" i="7"/>
  <c r="W842" i="7"/>
  <c r="X842" i="7"/>
  <c r="Y842" i="7"/>
  <c r="Z842" i="7"/>
  <c r="AA842" i="7"/>
  <c r="AB842" i="7"/>
  <c r="AC842" i="7"/>
  <c r="AD842" i="7"/>
  <c r="AE842" i="7"/>
  <c r="Q843" i="7"/>
  <c r="R843" i="7"/>
  <c r="S843" i="7"/>
  <c r="T843" i="7"/>
  <c r="U843" i="7"/>
  <c r="V843" i="7"/>
  <c r="W843" i="7"/>
  <c r="X843" i="7"/>
  <c r="Y843" i="7"/>
  <c r="Z843" i="7"/>
  <c r="AA843" i="7"/>
  <c r="AB843" i="7"/>
  <c r="AC843" i="7"/>
  <c r="AD843" i="7"/>
  <c r="AE843" i="7"/>
  <c r="Q844" i="7"/>
  <c r="R844" i="7"/>
  <c r="S844" i="7"/>
  <c r="T844" i="7"/>
  <c r="U844" i="7"/>
  <c r="V844" i="7"/>
  <c r="W844" i="7"/>
  <c r="X844" i="7"/>
  <c r="Y844" i="7"/>
  <c r="Z844" i="7"/>
  <c r="AA844" i="7"/>
  <c r="AB844" i="7"/>
  <c r="AC844" i="7"/>
  <c r="AD844" i="7"/>
  <c r="AE844" i="7"/>
  <c r="Q845" i="7"/>
  <c r="R845" i="7"/>
  <c r="S845" i="7"/>
  <c r="T845" i="7"/>
  <c r="U845" i="7"/>
  <c r="V845" i="7"/>
  <c r="W845" i="7"/>
  <c r="X845" i="7"/>
  <c r="Y845" i="7"/>
  <c r="Z845" i="7"/>
  <c r="AA845" i="7"/>
  <c r="AB845" i="7"/>
  <c r="AC845" i="7"/>
  <c r="AD845" i="7"/>
  <c r="AE845" i="7"/>
  <c r="Q846" i="7"/>
  <c r="R846" i="7"/>
  <c r="S846" i="7"/>
  <c r="T846" i="7"/>
  <c r="U846" i="7"/>
  <c r="V846" i="7"/>
  <c r="W846" i="7"/>
  <c r="X846" i="7"/>
  <c r="Y846" i="7"/>
  <c r="Z846" i="7"/>
  <c r="AA846" i="7"/>
  <c r="AB846" i="7"/>
  <c r="AC846" i="7"/>
  <c r="AD846" i="7"/>
  <c r="AE846" i="7"/>
  <c r="Q847" i="7"/>
  <c r="R847" i="7"/>
  <c r="S847" i="7"/>
  <c r="T847" i="7"/>
  <c r="U847" i="7"/>
  <c r="V847" i="7"/>
  <c r="W847" i="7"/>
  <c r="X847" i="7"/>
  <c r="Y847" i="7"/>
  <c r="Z847" i="7"/>
  <c r="AA847" i="7"/>
  <c r="AB847" i="7"/>
  <c r="AC847" i="7"/>
  <c r="AD847" i="7"/>
  <c r="AE847" i="7"/>
  <c r="Q848" i="7"/>
  <c r="R848" i="7"/>
  <c r="S848" i="7"/>
  <c r="T848" i="7"/>
  <c r="U848" i="7"/>
  <c r="V848" i="7"/>
  <c r="W848" i="7"/>
  <c r="X848" i="7"/>
  <c r="Y848" i="7"/>
  <c r="Z848" i="7"/>
  <c r="AA848" i="7"/>
  <c r="AB848" i="7"/>
  <c r="AC848" i="7"/>
  <c r="AD848" i="7"/>
  <c r="AE848" i="7"/>
  <c r="Q849" i="7"/>
  <c r="R849" i="7"/>
  <c r="S849" i="7"/>
  <c r="T849" i="7"/>
  <c r="U849" i="7"/>
  <c r="V849" i="7"/>
  <c r="W849" i="7"/>
  <c r="X849" i="7"/>
  <c r="Y849" i="7"/>
  <c r="Z849" i="7"/>
  <c r="AA849" i="7"/>
  <c r="AB849" i="7"/>
  <c r="AC849" i="7"/>
  <c r="AD849" i="7"/>
  <c r="AE849" i="7"/>
  <c r="Q850" i="7"/>
  <c r="R850" i="7"/>
  <c r="S850" i="7"/>
  <c r="T850" i="7"/>
  <c r="U850" i="7"/>
  <c r="V850" i="7"/>
  <c r="W850" i="7"/>
  <c r="X850" i="7"/>
  <c r="Y850" i="7"/>
  <c r="Z850" i="7"/>
  <c r="AA850" i="7"/>
  <c r="AB850" i="7"/>
  <c r="AC850" i="7"/>
  <c r="AD850" i="7"/>
  <c r="AE850" i="7"/>
  <c r="Q851" i="7"/>
  <c r="R851" i="7"/>
  <c r="S851" i="7"/>
  <c r="T851" i="7"/>
  <c r="U851" i="7"/>
  <c r="V851" i="7"/>
  <c r="W851" i="7"/>
  <c r="X851" i="7"/>
  <c r="Y851" i="7"/>
  <c r="Z851" i="7"/>
  <c r="AA851" i="7"/>
  <c r="AB851" i="7"/>
  <c r="AC851" i="7"/>
  <c r="AD851" i="7"/>
  <c r="AE851" i="7"/>
  <c r="Q852" i="7"/>
  <c r="R852" i="7"/>
  <c r="S852" i="7"/>
  <c r="T852" i="7"/>
  <c r="U852" i="7"/>
  <c r="V852" i="7"/>
  <c r="W852" i="7"/>
  <c r="X852" i="7"/>
  <c r="Y852" i="7"/>
  <c r="Z852" i="7"/>
  <c r="AA852" i="7"/>
  <c r="AB852" i="7"/>
  <c r="AC852" i="7"/>
  <c r="AD852" i="7"/>
  <c r="AE852" i="7"/>
  <c r="Q853" i="7"/>
  <c r="R853" i="7"/>
  <c r="S853" i="7"/>
  <c r="T853" i="7"/>
  <c r="U853" i="7"/>
  <c r="V853" i="7"/>
  <c r="W853" i="7"/>
  <c r="X853" i="7"/>
  <c r="Y853" i="7"/>
  <c r="Z853" i="7"/>
  <c r="AA853" i="7"/>
  <c r="AB853" i="7"/>
  <c r="AC853" i="7"/>
  <c r="AD853" i="7"/>
  <c r="AE853" i="7"/>
  <c r="Q854" i="7"/>
  <c r="R854" i="7"/>
  <c r="S854" i="7"/>
  <c r="T854" i="7"/>
  <c r="U854" i="7"/>
  <c r="V854" i="7"/>
  <c r="W854" i="7"/>
  <c r="X854" i="7"/>
  <c r="Y854" i="7"/>
  <c r="Z854" i="7"/>
  <c r="AA854" i="7"/>
  <c r="AB854" i="7"/>
  <c r="AC854" i="7"/>
  <c r="AD854" i="7"/>
  <c r="AE854" i="7"/>
  <c r="Q855" i="7"/>
  <c r="R855" i="7"/>
  <c r="S855" i="7"/>
  <c r="T855" i="7"/>
  <c r="U855" i="7"/>
  <c r="V855" i="7"/>
  <c r="W855" i="7"/>
  <c r="X855" i="7"/>
  <c r="Y855" i="7"/>
  <c r="Z855" i="7"/>
  <c r="AA855" i="7"/>
  <c r="AB855" i="7"/>
  <c r="AC855" i="7"/>
  <c r="AD855" i="7"/>
  <c r="AE855" i="7"/>
  <c r="Q856" i="7"/>
  <c r="R856" i="7"/>
  <c r="S856" i="7"/>
  <c r="T856" i="7"/>
  <c r="U856" i="7"/>
  <c r="V856" i="7"/>
  <c r="W856" i="7"/>
  <c r="X856" i="7"/>
  <c r="Y856" i="7"/>
  <c r="Z856" i="7"/>
  <c r="AA856" i="7"/>
  <c r="AB856" i="7"/>
  <c r="AC856" i="7"/>
  <c r="AD856" i="7"/>
  <c r="AE856" i="7"/>
  <c r="Q857" i="7"/>
  <c r="R857" i="7"/>
  <c r="S857" i="7"/>
  <c r="T857" i="7"/>
  <c r="U857" i="7"/>
  <c r="V857" i="7"/>
  <c r="W857" i="7"/>
  <c r="X857" i="7"/>
  <c r="Y857" i="7"/>
  <c r="Z857" i="7"/>
  <c r="AA857" i="7"/>
  <c r="AB857" i="7"/>
  <c r="AC857" i="7"/>
  <c r="AD857" i="7"/>
  <c r="AE857" i="7"/>
  <c r="Q858" i="7"/>
  <c r="R858" i="7"/>
  <c r="S858" i="7"/>
  <c r="T858" i="7"/>
  <c r="U858" i="7"/>
  <c r="V858" i="7"/>
  <c r="W858" i="7"/>
  <c r="X858" i="7"/>
  <c r="Y858" i="7"/>
  <c r="Z858" i="7"/>
  <c r="AA858" i="7"/>
  <c r="AB858" i="7"/>
  <c r="AC858" i="7"/>
  <c r="AD858" i="7"/>
  <c r="AE858" i="7"/>
  <c r="Q859" i="7"/>
  <c r="R859" i="7"/>
  <c r="S859" i="7"/>
  <c r="T859" i="7"/>
  <c r="U859" i="7"/>
  <c r="V859" i="7"/>
  <c r="W859" i="7"/>
  <c r="X859" i="7"/>
  <c r="Y859" i="7"/>
  <c r="Z859" i="7"/>
  <c r="AA859" i="7"/>
  <c r="AB859" i="7"/>
  <c r="AC859" i="7"/>
  <c r="AD859" i="7"/>
  <c r="AE859" i="7"/>
  <c r="Q860" i="7"/>
  <c r="R860" i="7"/>
  <c r="S860" i="7"/>
  <c r="T860" i="7"/>
  <c r="U860" i="7"/>
  <c r="V860" i="7"/>
  <c r="W860" i="7"/>
  <c r="X860" i="7"/>
  <c r="Y860" i="7"/>
  <c r="Z860" i="7"/>
  <c r="AA860" i="7"/>
  <c r="AB860" i="7"/>
  <c r="AC860" i="7"/>
  <c r="AD860" i="7"/>
  <c r="AE860" i="7"/>
  <c r="Q861" i="7"/>
  <c r="R861" i="7"/>
  <c r="S861" i="7"/>
  <c r="T861" i="7"/>
  <c r="U861" i="7"/>
  <c r="V861" i="7"/>
  <c r="W861" i="7"/>
  <c r="X861" i="7"/>
  <c r="Y861" i="7"/>
  <c r="Z861" i="7"/>
  <c r="AA861" i="7"/>
  <c r="AB861" i="7"/>
  <c r="AC861" i="7"/>
  <c r="AD861" i="7"/>
  <c r="AE861" i="7"/>
  <c r="Q862" i="7"/>
  <c r="R862" i="7"/>
  <c r="S862" i="7"/>
  <c r="T862" i="7"/>
  <c r="U862" i="7"/>
  <c r="V862" i="7"/>
  <c r="W862" i="7"/>
  <c r="X862" i="7"/>
  <c r="Y862" i="7"/>
  <c r="Z862" i="7"/>
  <c r="AA862" i="7"/>
  <c r="AB862" i="7"/>
  <c r="AC862" i="7"/>
  <c r="AD862" i="7"/>
  <c r="AE862" i="7"/>
  <c r="Q863" i="7"/>
  <c r="R863" i="7"/>
  <c r="S863" i="7"/>
  <c r="T863" i="7"/>
  <c r="U863" i="7"/>
  <c r="V863" i="7"/>
  <c r="W863" i="7"/>
  <c r="X863" i="7"/>
  <c r="Y863" i="7"/>
  <c r="Z863" i="7"/>
  <c r="AA863" i="7"/>
  <c r="AB863" i="7"/>
  <c r="AC863" i="7"/>
  <c r="AD863" i="7"/>
  <c r="AE863" i="7"/>
  <c r="Q864" i="7"/>
  <c r="R864" i="7"/>
  <c r="S864" i="7"/>
  <c r="T864" i="7"/>
  <c r="U864" i="7"/>
  <c r="V864" i="7"/>
  <c r="W864" i="7"/>
  <c r="X864" i="7"/>
  <c r="Y864" i="7"/>
  <c r="Z864" i="7"/>
  <c r="AA864" i="7"/>
  <c r="AB864" i="7"/>
  <c r="AC864" i="7"/>
  <c r="AD864" i="7"/>
  <c r="AE864" i="7"/>
  <c r="Q865" i="7"/>
  <c r="R865" i="7"/>
  <c r="S865" i="7"/>
  <c r="T865" i="7"/>
  <c r="U865" i="7"/>
  <c r="V865" i="7"/>
  <c r="W865" i="7"/>
  <c r="X865" i="7"/>
  <c r="Y865" i="7"/>
  <c r="Z865" i="7"/>
  <c r="AA865" i="7"/>
  <c r="AB865" i="7"/>
  <c r="AC865" i="7"/>
  <c r="AD865" i="7"/>
  <c r="AE865" i="7"/>
  <c r="Q866" i="7"/>
  <c r="R866" i="7"/>
  <c r="S866" i="7"/>
  <c r="T866" i="7"/>
  <c r="U866" i="7"/>
  <c r="V866" i="7"/>
  <c r="W866" i="7"/>
  <c r="X866" i="7"/>
  <c r="Y866" i="7"/>
  <c r="Z866" i="7"/>
  <c r="AA866" i="7"/>
  <c r="AB866" i="7"/>
  <c r="AC866" i="7"/>
  <c r="AD866" i="7"/>
  <c r="AE866" i="7"/>
  <c r="Q867" i="7"/>
  <c r="R867" i="7"/>
  <c r="S867" i="7"/>
  <c r="T867" i="7"/>
  <c r="U867" i="7"/>
  <c r="V867" i="7"/>
  <c r="W867" i="7"/>
  <c r="X867" i="7"/>
  <c r="Y867" i="7"/>
  <c r="Z867" i="7"/>
  <c r="AA867" i="7"/>
  <c r="AB867" i="7"/>
  <c r="AC867" i="7"/>
  <c r="AD867" i="7"/>
  <c r="AE867" i="7"/>
  <c r="Q868" i="7"/>
  <c r="R868" i="7"/>
  <c r="S868" i="7"/>
  <c r="T868" i="7"/>
  <c r="U868" i="7"/>
  <c r="V868" i="7"/>
  <c r="W868" i="7"/>
  <c r="X868" i="7"/>
  <c r="Y868" i="7"/>
  <c r="Z868" i="7"/>
  <c r="AA868" i="7"/>
  <c r="AB868" i="7"/>
  <c r="AC868" i="7"/>
  <c r="AD868" i="7"/>
  <c r="AE868" i="7"/>
  <c r="Q869" i="7"/>
  <c r="R869" i="7"/>
  <c r="S869" i="7"/>
  <c r="T869" i="7"/>
  <c r="U869" i="7"/>
  <c r="V869" i="7"/>
  <c r="W869" i="7"/>
  <c r="X869" i="7"/>
  <c r="Y869" i="7"/>
  <c r="Z869" i="7"/>
  <c r="AA869" i="7"/>
  <c r="AB869" i="7"/>
  <c r="AC869" i="7"/>
  <c r="AD869" i="7"/>
  <c r="AE869" i="7"/>
  <c r="Q870" i="7"/>
  <c r="R870" i="7"/>
  <c r="S870" i="7"/>
  <c r="T870" i="7"/>
  <c r="U870" i="7"/>
  <c r="V870" i="7"/>
  <c r="W870" i="7"/>
  <c r="X870" i="7"/>
  <c r="Y870" i="7"/>
  <c r="Z870" i="7"/>
  <c r="AA870" i="7"/>
  <c r="AB870" i="7"/>
  <c r="AC870" i="7"/>
  <c r="AD870" i="7"/>
  <c r="AE870" i="7"/>
  <c r="Q871" i="7"/>
  <c r="R871" i="7"/>
  <c r="S871" i="7"/>
  <c r="T871" i="7"/>
  <c r="U871" i="7"/>
  <c r="V871" i="7"/>
  <c r="W871" i="7"/>
  <c r="X871" i="7"/>
  <c r="Y871" i="7"/>
  <c r="Z871" i="7"/>
  <c r="AA871" i="7"/>
  <c r="AB871" i="7"/>
  <c r="AC871" i="7"/>
  <c r="AD871" i="7"/>
  <c r="AE871" i="7"/>
  <c r="Q872" i="7"/>
  <c r="R872" i="7"/>
  <c r="S872" i="7"/>
  <c r="T872" i="7"/>
  <c r="U872" i="7"/>
  <c r="V872" i="7"/>
  <c r="W872" i="7"/>
  <c r="X872" i="7"/>
  <c r="Y872" i="7"/>
  <c r="Z872" i="7"/>
  <c r="AA872" i="7"/>
  <c r="AB872" i="7"/>
  <c r="AC872" i="7"/>
  <c r="AD872" i="7"/>
  <c r="AE872" i="7"/>
  <c r="Q873" i="7"/>
  <c r="R873" i="7"/>
  <c r="S873" i="7"/>
  <c r="T873" i="7"/>
  <c r="U873" i="7"/>
  <c r="V873" i="7"/>
  <c r="W873" i="7"/>
  <c r="X873" i="7"/>
  <c r="Y873" i="7"/>
  <c r="Z873" i="7"/>
  <c r="AA873" i="7"/>
  <c r="AB873" i="7"/>
  <c r="AC873" i="7"/>
  <c r="AD873" i="7"/>
  <c r="AE873" i="7"/>
  <c r="Q874" i="7"/>
  <c r="R874" i="7"/>
  <c r="S874" i="7"/>
  <c r="T874" i="7"/>
  <c r="U874" i="7"/>
  <c r="V874" i="7"/>
  <c r="W874" i="7"/>
  <c r="X874" i="7"/>
  <c r="Y874" i="7"/>
  <c r="Z874" i="7"/>
  <c r="AA874" i="7"/>
  <c r="AB874" i="7"/>
  <c r="AC874" i="7"/>
  <c r="AD874" i="7"/>
  <c r="AE874" i="7"/>
  <c r="Q875" i="7"/>
  <c r="R875" i="7"/>
  <c r="S875" i="7"/>
  <c r="T875" i="7"/>
  <c r="U875" i="7"/>
  <c r="V875" i="7"/>
  <c r="W875" i="7"/>
  <c r="X875" i="7"/>
  <c r="Y875" i="7"/>
  <c r="Z875" i="7"/>
  <c r="AA875" i="7"/>
  <c r="AB875" i="7"/>
  <c r="AC875" i="7"/>
  <c r="AD875" i="7"/>
  <c r="AE875" i="7"/>
  <c r="Q876" i="7"/>
  <c r="R876" i="7"/>
  <c r="S876" i="7"/>
  <c r="T876" i="7"/>
  <c r="U876" i="7"/>
  <c r="V876" i="7"/>
  <c r="W876" i="7"/>
  <c r="X876" i="7"/>
  <c r="Y876" i="7"/>
  <c r="Z876" i="7"/>
  <c r="AA876" i="7"/>
  <c r="AB876" i="7"/>
  <c r="AC876" i="7"/>
  <c r="AD876" i="7"/>
  <c r="AE876" i="7"/>
  <c r="Q877" i="7"/>
  <c r="R877" i="7"/>
  <c r="S877" i="7"/>
  <c r="T877" i="7"/>
  <c r="U877" i="7"/>
  <c r="V877" i="7"/>
  <c r="W877" i="7"/>
  <c r="X877" i="7"/>
  <c r="Y877" i="7"/>
  <c r="Z877" i="7"/>
  <c r="AA877" i="7"/>
  <c r="AB877" i="7"/>
  <c r="AC877" i="7"/>
  <c r="AD877" i="7"/>
  <c r="AE877" i="7"/>
  <c r="Q878" i="7"/>
  <c r="R878" i="7"/>
  <c r="S878" i="7"/>
  <c r="T878" i="7"/>
  <c r="U878" i="7"/>
  <c r="V878" i="7"/>
  <c r="W878" i="7"/>
  <c r="X878" i="7"/>
  <c r="Y878" i="7"/>
  <c r="Z878" i="7"/>
  <c r="AA878" i="7"/>
  <c r="AB878" i="7"/>
  <c r="AC878" i="7"/>
  <c r="AD878" i="7"/>
  <c r="AE878" i="7"/>
  <c r="Q879" i="7"/>
  <c r="R879" i="7"/>
  <c r="S879" i="7"/>
  <c r="T879" i="7"/>
  <c r="U879" i="7"/>
  <c r="V879" i="7"/>
  <c r="W879" i="7"/>
  <c r="X879" i="7"/>
  <c r="Y879" i="7"/>
  <c r="Z879" i="7"/>
  <c r="AA879" i="7"/>
  <c r="AB879" i="7"/>
  <c r="AC879" i="7"/>
  <c r="AD879" i="7"/>
  <c r="AE879" i="7"/>
  <c r="Q880" i="7"/>
  <c r="R880" i="7"/>
  <c r="S880" i="7"/>
  <c r="T880" i="7"/>
  <c r="U880" i="7"/>
  <c r="V880" i="7"/>
  <c r="W880" i="7"/>
  <c r="X880" i="7"/>
  <c r="Y880" i="7"/>
  <c r="Z880" i="7"/>
  <c r="AA880" i="7"/>
  <c r="AB880" i="7"/>
  <c r="AC880" i="7"/>
  <c r="AD880" i="7"/>
  <c r="AE880" i="7"/>
  <c r="Q881" i="7"/>
  <c r="R881" i="7"/>
  <c r="S881" i="7"/>
  <c r="T881" i="7"/>
  <c r="U881" i="7"/>
  <c r="V881" i="7"/>
  <c r="W881" i="7"/>
  <c r="X881" i="7"/>
  <c r="Y881" i="7"/>
  <c r="Z881" i="7"/>
  <c r="AA881" i="7"/>
  <c r="AB881" i="7"/>
  <c r="AC881" i="7"/>
  <c r="AD881" i="7"/>
  <c r="AE881" i="7"/>
  <c r="Q882" i="7"/>
  <c r="R882" i="7"/>
  <c r="S882" i="7"/>
  <c r="T882" i="7"/>
  <c r="U882" i="7"/>
  <c r="V882" i="7"/>
  <c r="W882" i="7"/>
  <c r="X882" i="7"/>
  <c r="Y882" i="7"/>
  <c r="Z882" i="7"/>
  <c r="AA882" i="7"/>
  <c r="AB882" i="7"/>
  <c r="AC882" i="7"/>
  <c r="AD882" i="7"/>
  <c r="AE882" i="7"/>
  <c r="Q883" i="7"/>
  <c r="R883" i="7"/>
  <c r="S883" i="7"/>
  <c r="T883" i="7"/>
  <c r="U883" i="7"/>
  <c r="V883" i="7"/>
  <c r="W883" i="7"/>
  <c r="X883" i="7"/>
  <c r="Y883" i="7"/>
  <c r="Z883" i="7"/>
  <c r="AA883" i="7"/>
  <c r="AB883" i="7"/>
  <c r="AC883" i="7"/>
  <c r="AD883" i="7"/>
  <c r="AE883" i="7"/>
  <c r="Q884" i="7"/>
  <c r="R884" i="7"/>
  <c r="S884" i="7"/>
  <c r="T884" i="7"/>
  <c r="U884" i="7"/>
  <c r="V884" i="7"/>
  <c r="W884" i="7"/>
  <c r="X884" i="7"/>
  <c r="Y884" i="7"/>
  <c r="Z884" i="7"/>
  <c r="AA884" i="7"/>
  <c r="AB884" i="7"/>
  <c r="AC884" i="7"/>
  <c r="AD884" i="7"/>
  <c r="AE884" i="7"/>
  <c r="Q885" i="7"/>
  <c r="R885" i="7"/>
  <c r="S885" i="7"/>
  <c r="T885" i="7"/>
  <c r="U885" i="7"/>
  <c r="V885" i="7"/>
  <c r="W885" i="7"/>
  <c r="X885" i="7"/>
  <c r="Y885" i="7"/>
  <c r="Z885" i="7"/>
  <c r="AA885" i="7"/>
  <c r="AB885" i="7"/>
  <c r="AC885" i="7"/>
  <c r="AD885" i="7"/>
  <c r="AE885" i="7"/>
  <c r="Q886" i="7"/>
  <c r="R886" i="7"/>
  <c r="S886" i="7"/>
  <c r="T886" i="7"/>
  <c r="U886" i="7"/>
  <c r="V886" i="7"/>
  <c r="W886" i="7"/>
  <c r="X886" i="7"/>
  <c r="Y886" i="7"/>
  <c r="Z886" i="7"/>
  <c r="AA886" i="7"/>
  <c r="AB886" i="7"/>
  <c r="AC886" i="7"/>
  <c r="AD886" i="7"/>
  <c r="AE886" i="7"/>
  <c r="Q887" i="7"/>
  <c r="R887" i="7"/>
  <c r="S887" i="7"/>
  <c r="T887" i="7"/>
  <c r="U887" i="7"/>
  <c r="V887" i="7"/>
  <c r="W887" i="7"/>
  <c r="X887" i="7"/>
  <c r="Y887" i="7"/>
  <c r="Z887" i="7"/>
  <c r="AA887" i="7"/>
  <c r="AB887" i="7"/>
  <c r="AC887" i="7"/>
  <c r="AD887" i="7"/>
  <c r="AE887" i="7"/>
  <c r="Q888" i="7"/>
  <c r="R888" i="7"/>
  <c r="S888" i="7"/>
  <c r="T888" i="7"/>
  <c r="U888" i="7"/>
  <c r="V888" i="7"/>
  <c r="W888" i="7"/>
  <c r="X888" i="7"/>
  <c r="Y888" i="7"/>
  <c r="Z888" i="7"/>
  <c r="AA888" i="7"/>
  <c r="AB888" i="7"/>
  <c r="AC888" i="7"/>
  <c r="AD888" i="7"/>
  <c r="AE888" i="7"/>
  <c r="Q889" i="7"/>
  <c r="R889" i="7"/>
  <c r="S889" i="7"/>
  <c r="T889" i="7"/>
  <c r="U889" i="7"/>
  <c r="V889" i="7"/>
  <c r="W889" i="7"/>
  <c r="X889" i="7"/>
  <c r="Y889" i="7"/>
  <c r="Z889" i="7"/>
  <c r="AA889" i="7"/>
  <c r="AB889" i="7"/>
  <c r="AC889" i="7"/>
  <c r="AD889" i="7"/>
  <c r="AE889" i="7"/>
  <c r="Q890" i="7"/>
  <c r="R890" i="7"/>
  <c r="S890" i="7"/>
  <c r="T890" i="7"/>
  <c r="U890" i="7"/>
  <c r="V890" i="7"/>
  <c r="W890" i="7"/>
  <c r="X890" i="7"/>
  <c r="Y890" i="7"/>
  <c r="Z890" i="7"/>
  <c r="AA890" i="7"/>
  <c r="AB890" i="7"/>
  <c r="AC890" i="7"/>
  <c r="AD890" i="7"/>
  <c r="AE890" i="7"/>
  <c r="Q891" i="7"/>
  <c r="R891" i="7"/>
  <c r="S891" i="7"/>
  <c r="T891" i="7"/>
  <c r="U891" i="7"/>
  <c r="V891" i="7"/>
  <c r="W891" i="7"/>
  <c r="X891" i="7"/>
  <c r="Y891" i="7"/>
  <c r="Z891" i="7"/>
  <c r="AA891" i="7"/>
  <c r="AB891" i="7"/>
  <c r="AC891" i="7"/>
  <c r="AD891" i="7"/>
  <c r="AE891" i="7"/>
  <c r="Q892" i="7"/>
  <c r="R892" i="7"/>
  <c r="S892" i="7"/>
  <c r="T892" i="7"/>
  <c r="U892" i="7"/>
  <c r="V892" i="7"/>
  <c r="W892" i="7"/>
  <c r="X892" i="7"/>
  <c r="Y892" i="7"/>
  <c r="Z892" i="7"/>
  <c r="AA892" i="7"/>
  <c r="AB892" i="7"/>
  <c r="AC892" i="7"/>
  <c r="AD892" i="7"/>
  <c r="AE892" i="7"/>
  <c r="Q893" i="7"/>
  <c r="R893" i="7"/>
  <c r="S893" i="7"/>
  <c r="T893" i="7"/>
  <c r="U893" i="7"/>
  <c r="V893" i="7"/>
  <c r="W893" i="7"/>
  <c r="X893" i="7"/>
  <c r="Y893" i="7"/>
  <c r="Z893" i="7"/>
  <c r="AA893" i="7"/>
  <c r="AB893" i="7"/>
  <c r="AC893" i="7"/>
  <c r="AD893" i="7"/>
  <c r="AE893" i="7"/>
  <c r="Q894" i="7"/>
  <c r="R894" i="7"/>
  <c r="S894" i="7"/>
  <c r="T894" i="7"/>
  <c r="U894" i="7"/>
  <c r="V894" i="7"/>
  <c r="W894" i="7"/>
  <c r="X894" i="7"/>
  <c r="Y894" i="7"/>
  <c r="Z894" i="7"/>
  <c r="AA894" i="7"/>
  <c r="AB894" i="7"/>
  <c r="AC894" i="7"/>
  <c r="AD894" i="7"/>
  <c r="AE894" i="7"/>
  <c r="Q895" i="7"/>
  <c r="R895" i="7"/>
  <c r="S895" i="7"/>
  <c r="T895" i="7"/>
  <c r="U895" i="7"/>
  <c r="V895" i="7"/>
  <c r="W895" i="7"/>
  <c r="X895" i="7"/>
  <c r="Y895" i="7"/>
  <c r="Z895" i="7"/>
  <c r="AA895" i="7"/>
  <c r="AB895" i="7"/>
  <c r="AC895" i="7"/>
  <c r="AD895" i="7"/>
  <c r="AE895" i="7"/>
  <c r="Q896" i="7"/>
  <c r="R896" i="7"/>
  <c r="S896" i="7"/>
  <c r="T896" i="7"/>
  <c r="U896" i="7"/>
  <c r="V896" i="7"/>
  <c r="W896" i="7"/>
  <c r="X896" i="7"/>
  <c r="Y896" i="7"/>
  <c r="Z896" i="7"/>
  <c r="AA896" i="7"/>
  <c r="AB896" i="7"/>
  <c r="AC896" i="7"/>
  <c r="AD896" i="7"/>
  <c r="AE896" i="7"/>
  <c r="Q897" i="7"/>
  <c r="R897" i="7"/>
  <c r="S897" i="7"/>
  <c r="T897" i="7"/>
  <c r="U897" i="7"/>
  <c r="V897" i="7"/>
  <c r="W897" i="7"/>
  <c r="X897" i="7"/>
  <c r="Y897" i="7"/>
  <c r="Z897" i="7"/>
  <c r="AA897" i="7"/>
  <c r="AB897" i="7"/>
  <c r="AC897" i="7"/>
  <c r="AD897" i="7"/>
  <c r="AE897" i="7"/>
  <c r="Q898" i="7"/>
  <c r="R898" i="7"/>
  <c r="S898" i="7"/>
  <c r="T898" i="7"/>
  <c r="U898" i="7"/>
  <c r="V898" i="7"/>
  <c r="W898" i="7"/>
  <c r="X898" i="7"/>
  <c r="Y898" i="7"/>
  <c r="Z898" i="7"/>
  <c r="AA898" i="7"/>
  <c r="AB898" i="7"/>
  <c r="AC898" i="7"/>
  <c r="AD898" i="7"/>
  <c r="AE898" i="7"/>
  <c r="Q899" i="7"/>
  <c r="R899" i="7"/>
  <c r="S899" i="7"/>
  <c r="T899" i="7"/>
  <c r="U899" i="7"/>
  <c r="V899" i="7"/>
  <c r="W899" i="7"/>
  <c r="X899" i="7"/>
  <c r="Y899" i="7"/>
  <c r="Z899" i="7"/>
  <c r="AA899" i="7"/>
  <c r="AB899" i="7"/>
  <c r="AC899" i="7"/>
  <c r="AD899" i="7"/>
  <c r="AE899" i="7"/>
  <c r="Q900" i="7"/>
  <c r="R900" i="7"/>
  <c r="S900" i="7"/>
  <c r="T900" i="7"/>
  <c r="U900" i="7"/>
  <c r="V900" i="7"/>
  <c r="W900" i="7"/>
  <c r="X900" i="7"/>
  <c r="Y900" i="7"/>
  <c r="Z900" i="7"/>
  <c r="AA900" i="7"/>
  <c r="AB900" i="7"/>
  <c r="AC900" i="7"/>
  <c r="AD900" i="7"/>
  <c r="AE900" i="7"/>
  <c r="Q901" i="7"/>
  <c r="R901" i="7"/>
  <c r="S901" i="7"/>
  <c r="T901" i="7"/>
  <c r="U901" i="7"/>
  <c r="V901" i="7"/>
  <c r="W901" i="7"/>
  <c r="X901" i="7"/>
  <c r="Y901" i="7"/>
  <c r="Z901" i="7"/>
  <c r="AA901" i="7"/>
  <c r="AB901" i="7"/>
  <c r="AC901" i="7"/>
  <c r="AD901" i="7"/>
  <c r="AE901" i="7"/>
  <c r="Q902" i="7"/>
  <c r="R902" i="7"/>
  <c r="S902" i="7"/>
  <c r="T902" i="7"/>
  <c r="U902" i="7"/>
  <c r="V902" i="7"/>
  <c r="W902" i="7"/>
  <c r="X902" i="7"/>
  <c r="Y902" i="7"/>
  <c r="Z902" i="7"/>
  <c r="AA902" i="7"/>
  <c r="AB902" i="7"/>
  <c r="AC902" i="7"/>
  <c r="AD902" i="7"/>
  <c r="AE902" i="7"/>
  <c r="Q903" i="7"/>
  <c r="R903" i="7"/>
  <c r="S903" i="7"/>
  <c r="T903" i="7"/>
  <c r="U903" i="7"/>
  <c r="V903" i="7"/>
  <c r="W903" i="7"/>
  <c r="X903" i="7"/>
  <c r="Y903" i="7"/>
  <c r="Z903" i="7"/>
  <c r="AA903" i="7"/>
  <c r="AB903" i="7"/>
  <c r="AC903" i="7"/>
  <c r="AD903" i="7"/>
  <c r="AE903" i="7"/>
  <c r="Q904" i="7"/>
  <c r="R904" i="7"/>
  <c r="S904" i="7"/>
  <c r="T904" i="7"/>
  <c r="U904" i="7"/>
  <c r="V904" i="7"/>
  <c r="W904" i="7"/>
  <c r="X904" i="7"/>
  <c r="Y904" i="7"/>
  <c r="Z904" i="7"/>
  <c r="AA904" i="7"/>
  <c r="AB904" i="7"/>
  <c r="AC904" i="7"/>
  <c r="AD904" i="7"/>
  <c r="AE904" i="7"/>
  <c r="Q905" i="7"/>
  <c r="R905" i="7"/>
  <c r="S905" i="7"/>
  <c r="T905" i="7"/>
  <c r="U905" i="7"/>
  <c r="V905" i="7"/>
  <c r="W905" i="7"/>
  <c r="X905" i="7"/>
  <c r="Y905" i="7"/>
  <c r="Z905" i="7"/>
  <c r="AA905" i="7"/>
  <c r="AB905" i="7"/>
  <c r="AC905" i="7"/>
  <c r="AD905" i="7"/>
  <c r="AE905" i="7"/>
  <c r="Q906" i="7"/>
  <c r="R906" i="7"/>
  <c r="S906" i="7"/>
  <c r="T906" i="7"/>
  <c r="U906" i="7"/>
  <c r="V906" i="7"/>
  <c r="W906" i="7"/>
  <c r="X906" i="7"/>
  <c r="Y906" i="7"/>
  <c r="Z906" i="7"/>
  <c r="AA906" i="7"/>
  <c r="AB906" i="7"/>
  <c r="AC906" i="7"/>
  <c r="AD906" i="7"/>
  <c r="AE906" i="7"/>
  <c r="Q907" i="7"/>
  <c r="R907" i="7"/>
  <c r="S907" i="7"/>
  <c r="T907" i="7"/>
  <c r="U907" i="7"/>
  <c r="V907" i="7"/>
  <c r="W907" i="7"/>
  <c r="X907" i="7"/>
  <c r="Y907" i="7"/>
  <c r="Z907" i="7"/>
  <c r="AA907" i="7"/>
  <c r="AB907" i="7"/>
  <c r="AC907" i="7"/>
  <c r="AD907" i="7"/>
  <c r="AE907" i="7"/>
  <c r="Q908" i="7"/>
  <c r="R908" i="7"/>
  <c r="S908" i="7"/>
  <c r="T908" i="7"/>
  <c r="U908" i="7"/>
  <c r="V908" i="7"/>
  <c r="W908" i="7"/>
  <c r="X908" i="7"/>
  <c r="Y908" i="7"/>
  <c r="Z908" i="7"/>
  <c r="AA908" i="7"/>
  <c r="AB908" i="7"/>
  <c r="AC908" i="7"/>
  <c r="AD908" i="7"/>
  <c r="AE908" i="7"/>
  <c r="Q909" i="7"/>
  <c r="R909" i="7"/>
  <c r="S909" i="7"/>
  <c r="T909" i="7"/>
  <c r="U909" i="7"/>
  <c r="V909" i="7"/>
  <c r="W909" i="7"/>
  <c r="X909" i="7"/>
  <c r="Y909" i="7"/>
  <c r="Z909" i="7"/>
  <c r="AA909" i="7"/>
  <c r="AB909" i="7"/>
  <c r="AC909" i="7"/>
  <c r="AD909" i="7"/>
  <c r="AE909" i="7"/>
  <c r="Q910" i="7"/>
  <c r="R910" i="7"/>
  <c r="S910" i="7"/>
  <c r="T910" i="7"/>
  <c r="U910" i="7"/>
  <c r="V910" i="7"/>
  <c r="W910" i="7"/>
  <c r="X910" i="7"/>
  <c r="Y910" i="7"/>
  <c r="Z910" i="7"/>
  <c r="AA910" i="7"/>
  <c r="AB910" i="7"/>
  <c r="AC910" i="7"/>
  <c r="AD910" i="7"/>
  <c r="AE910" i="7"/>
  <c r="Q911" i="7"/>
  <c r="R911" i="7"/>
  <c r="S911" i="7"/>
  <c r="T911" i="7"/>
  <c r="U911" i="7"/>
  <c r="V911" i="7"/>
  <c r="W911" i="7"/>
  <c r="X911" i="7"/>
  <c r="Y911" i="7"/>
  <c r="Z911" i="7"/>
  <c r="AA911" i="7"/>
  <c r="AB911" i="7"/>
  <c r="AC911" i="7"/>
  <c r="AD911" i="7"/>
  <c r="AE911" i="7"/>
  <c r="Q912" i="7"/>
  <c r="R912" i="7"/>
  <c r="S912" i="7"/>
  <c r="T912" i="7"/>
  <c r="U912" i="7"/>
  <c r="V912" i="7"/>
  <c r="W912" i="7"/>
  <c r="X912" i="7"/>
  <c r="Y912" i="7"/>
  <c r="Z912" i="7"/>
  <c r="AA912" i="7"/>
  <c r="AB912" i="7"/>
  <c r="AC912" i="7"/>
  <c r="AD912" i="7"/>
  <c r="AE912" i="7"/>
  <c r="Q913" i="7"/>
  <c r="R913" i="7"/>
  <c r="S913" i="7"/>
  <c r="T913" i="7"/>
  <c r="U913" i="7"/>
  <c r="V913" i="7"/>
  <c r="W913" i="7"/>
  <c r="X913" i="7"/>
  <c r="Y913" i="7"/>
  <c r="Z913" i="7"/>
  <c r="AA913" i="7"/>
  <c r="AB913" i="7"/>
  <c r="AC913" i="7"/>
  <c r="AD913" i="7"/>
  <c r="AE913" i="7"/>
  <c r="Q914" i="7"/>
  <c r="R914" i="7"/>
  <c r="S914" i="7"/>
  <c r="T914" i="7"/>
  <c r="U914" i="7"/>
  <c r="V914" i="7"/>
  <c r="W914" i="7"/>
  <c r="X914" i="7"/>
  <c r="Y914" i="7"/>
  <c r="Z914" i="7"/>
  <c r="AA914" i="7"/>
  <c r="AB914" i="7"/>
  <c r="AC914" i="7"/>
  <c r="AD914" i="7"/>
  <c r="AE914" i="7"/>
  <c r="Q915" i="7"/>
  <c r="R915" i="7"/>
  <c r="S915" i="7"/>
  <c r="T915" i="7"/>
  <c r="U915" i="7"/>
  <c r="V915" i="7"/>
  <c r="W915" i="7"/>
  <c r="X915" i="7"/>
  <c r="Y915" i="7"/>
  <c r="Z915" i="7"/>
  <c r="AA915" i="7"/>
  <c r="AB915" i="7"/>
  <c r="AC915" i="7"/>
  <c r="AD915" i="7"/>
  <c r="AE915" i="7"/>
  <c r="Q916" i="7"/>
  <c r="R916" i="7"/>
  <c r="S916" i="7"/>
  <c r="T916" i="7"/>
  <c r="U916" i="7"/>
  <c r="V916" i="7"/>
  <c r="W916" i="7"/>
  <c r="X916" i="7"/>
  <c r="Y916" i="7"/>
  <c r="Z916" i="7"/>
  <c r="AA916" i="7"/>
  <c r="AB916" i="7"/>
  <c r="AC916" i="7"/>
  <c r="AD916" i="7"/>
  <c r="AE916" i="7"/>
  <c r="Q917" i="7"/>
  <c r="R917" i="7"/>
  <c r="S917" i="7"/>
  <c r="T917" i="7"/>
  <c r="U917" i="7"/>
  <c r="V917" i="7"/>
  <c r="W917" i="7"/>
  <c r="X917" i="7"/>
  <c r="Y917" i="7"/>
  <c r="Z917" i="7"/>
  <c r="AA917" i="7"/>
  <c r="AB917" i="7"/>
  <c r="AC917" i="7"/>
  <c r="AD917" i="7"/>
  <c r="AE917" i="7"/>
  <c r="Q918" i="7"/>
  <c r="R918" i="7"/>
  <c r="S918" i="7"/>
  <c r="T918" i="7"/>
  <c r="U918" i="7"/>
  <c r="V918" i="7"/>
  <c r="W918" i="7"/>
  <c r="X918" i="7"/>
  <c r="Y918" i="7"/>
  <c r="Z918" i="7"/>
  <c r="AA918" i="7"/>
  <c r="AB918" i="7"/>
  <c r="AC918" i="7"/>
  <c r="AD918" i="7"/>
  <c r="AE918" i="7"/>
  <c r="Q919" i="7"/>
  <c r="R919" i="7"/>
  <c r="S919" i="7"/>
  <c r="T919" i="7"/>
  <c r="U919" i="7"/>
  <c r="V919" i="7"/>
  <c r="W919" i="7"/>
  <c r="X919" i="7"/>
  <c r="Y919" i="7"/>
  <c r="Z919" i="7"/>
  <c r="AA919" i="7"/>
  <c r="AB919" i="7"/>
  <c r="AC919" i="7"/>
  <c r="AD919" i="7"/>
  <c r="AE919" i="7"/>
  <c r="Q920" i="7"/>
  <c r="R920" i="7"/>
  <c r="S920" i="7"/>
  <c r="T920" i="7"/>
  <c r="U920" i="7"/>
  <c r="V920" i="7"/>
  <c r="W920" i="7"/>
  <c r="X920" i="7"/>
  <c r="Y920" i="7"/>
  <c r="Z920" i="7"/>
  <c r="AA920" i="7"/>
  <c r="AB920" i="7"/>
  <c r="AC920" i="7"/>
  <c r="AD920" i="7"/>
  <c r="AE920" i="7"/>
  <c r="Q921" i="7"/>
  <c r="R921" i="7"/>
  <c r="S921" i="7"/>
  <c r="T921" i="7"/>
  <c r="U921" i="7"/>
  <c r="V921" i="7"/>
  <c r="W921" i="7"/>
  <c r="X921" i="7"/>
  <c r="Y921" i="7"/>
  <c r="Z921" i="7"/>
  <c r="AA921" i="7"/>
  <c r="AB921" i="7"/>
  <c r="AC921" i="7"/>
  <c r="AD921" i="7"/>
  <c r="AE921" i="7"/>
  <c r="Q922" i="7"/>
  <c r="R922" i="7"/>
  <c r="S922" i="7"/>
  <c r="T922" i="7"/>
  <c r="U922" i="7"/>
  <c r="V922" i="7"/>
  <c r="W922" i="7"/>
  <c r="X922" i="7"/>
  <c r="Y922" i="7"/>
  <c r="Z922" i="7"/>
  <c r="AA922" i="7"/>
  <c r="AB922" i="7"/>
  <c r="AC922" i="7"/>
  <c r="AD922" i="7"/>
  <c r="AE922" i="7"/>
  <c r="Q923" i="7"/>
  <c r="R923" i="7"/>
  <c r="S923" i="7"/>
  <c r="T923" i="7"/>
  <c r="U923" i="7"/>
  <c r="V923" i="7"/>
  <c r="W923" i="7"/>
  <c r="X923" i="7"/>
  <c r="Y923" i="7"/>
  <c r="Z923" i="7"/>
  <c r="AA923" i="7"/>
  <c r="AB923" i="7"/>
  <c r="AC923" i="7"/>
  <c r="AD923" i="7"/>
  <c r="AE923" i="7"/>
  <c r="Q924" i="7"/>
  <c r="R924" i="7"/>
  <c r="S924" i="7"/>
  <c r="T924" i="7"/>
  <c r="U924" i="7"/>
  <c r="V924" i="7"/>
  <c r="W924" i="7"/>
  <c r="X924" i="7"/>
  <c r="Y924" i="7"/>
  <c r="Z924" i="7"/>
  <c r="AA924" i="7"/>
  <c r="AB924" i="7"/>
  <c r="AC924" i="7"/>
  <c r="AD924" i="7"/>
  <c r="AE924" i="7"/>
  <c r="Q925" i="7"/>
  <c r="R925" i="7"/>
  <c r="S925" i="7"/>
  <c r="T925" i="7"/>
  <c r="U925" i="7"/>
  <c r="V925" i="7"/>
  <c r="W925" i="7"/>
  <c r="X925" i="7"/>
  <c r="Y925" i="7"/>
  <c r="Z925" i="7"/>
  <c r="AA925" i="7"/>
  <c r="AB925" i="7"/>
  <c r="AC925" i="7"/>
  <c r="AD925" i="7"/>
  <c r="AE925" i="7"/>
  <c r="Q926" i="7"/>
  <c r="R926" i="7"/>
  <c r="S926" i="7"/>
  <c r="T926" i="7"/>
  <c r="U926" i="7"/>
  <c r="V926" i="7"/>
  <c r="W926" i="7"/>
  <c r="X926" i="7"/>
  <c r="Y926" i="7"/>
  <c r="Z926" i="7"/>
  <c r="AA926" i="7"/>
  <c r="AB926" i="7"/>
  <c r="AC926" i="7"/>
  <c r="AD926" i="7"/>
  <c r="AE926" i="7"/>
  <c r="Q927" i="7"/>
  <c r="R927" i="7"/>
  <c r="S927" i="7"/>
  <c r="T927" i="7"/>
  <c r="U927" i="7"/>
  <c r="V927" i="7"/>
  <c r="W927" i="7"/>
  <c r="X927" i="7"/>
  <c r="Y927" i="7"/>
  <c r="Z927" i="7"/>
  <c r="AA927" i="7"/>
  <c r="AB927" i="7"/>
  <c r="AC927" i="7"/>
  <c r="AD927" i="7"/>
  <c r="AE927" i="7"/>
  <c r="Q928" i="7"/>
  <c r="R928" i="7"/>
  <c r="S928" i="7"/>
  <c r="T928" i="7"/>
  <c r="U928" i="7"/>
  <c r="V928" i="7"/>
  <c r="W928" i="7"/>
  <c r="X928" i="7"/>
  <c r="Y928" i="7"/>
  <c r="Z928" i="7"/>
  <c r="AA928" i="7"/>
  <c r="AB928" i="7"/>
  <c r="AC928" i="7"/>
  <c r="AD928" i="7"/>
  <c r="AE928" i="7"/>
  <c r="Q929" i="7"/>
  <c r="R929" i="7"/>
  <c r="S929" i="7"/>
  <c r="T929" i="7"/>
  <c r="U929" i="7"/>
  <c r="V929" i="7"/>
  <c r="W929" i="7"/>
  <c r="X929" i="7"/>
  <c r="Y929" i="7"/>
  <c r="Z929" i="7"/>
  <c r="AA929" i="7"/>
  <c r="AB929" i="7"/>
  <c r="AC929" i="7"/>
  <c r="AD929" i="7"/>
  <c r="AE929" i="7"/>
  <c r="Q930" i="7"/>
  <c r="R930" i="7"/>
  <c r="S930" i="7"/>
  <c r="T930" i="7"/>
  <c r="U930" i="7"/>
  <c r="V930" i="7"/>
  <c r="W930" i="7"/>
  <c r="X930" i="7"/>
  <c r="Y930" i="7"/>
  <c r="Z930" i="7"/>
  <c r="AA930" i="7"/>
  <c r="AB930" i="7"/>
  <c r="AC930" i="7"/>
  <c r="AD930" i="7"/>
  <c r="AE930" i="7"/>
  <c r="Q931" i="7"/>
  <c r="R931" i="7"/>
  <c r="S931" i="7"/>
  <c r="T931" i="7"/>
  <c r="U931" i="7"/>
  <c r="V931" i="7"/>
  <c r="W931" i="7"/>
  <c r="X931" i="7"/>
  <c r="Y931" i="7"/>
  <c r="Z931" i="7"/>
  <c r="AA931" i="7"/>
  <c r="AB931" i="7"/>
  <c r="AC931" i="7"/>
  <c r="AD931" i="7"/>
  <c r="AE931" i="7"/>
  <c r="Q932" i="7"/>
  <c r="R932" i="7"/>
  <c r="S932" i="7"/>
  <c r="T932" i="7"/>
  <c r="U932" i="7"/>
  <c r="V932" i="7"/>
  <c r="W932" i="7"/>
  <c r="X932" i="7"/>
  <c r="Y932" i="7"/>
  <c r="Z932" i="7"/>
  <c r="AA932" i="7"/>
  <c r="AB932" i="7"/>
  <c r="AC932" i="7"/>
  <c r="AD932" i="7"/>
  <c r="AE932" i="7"/>
  <c r="Q933" i="7"/>
  <c r="R933" i="7"/>
  <c r="S933" i="7"/>
  <c r="T933" i="7"/>
  <c r="U933" i="7"/>
  <c r="V933" i="7"/>
  <c r="W933" i="7"/>
  <c r="X933" i="7"/>
  <c r="Y933" i="7"/>
  <c r="Z933" i="7"/>
  <c r="AA933" i="7"/>
  <c r="AB933" i="7"/>
  <c r="AC933" i="7"/>
  <c r="AD933" i="7"/>
  <c r="AE933" i="7"/>
  <c r="Q934" i="7"/>
  <c r="R934" i="7"/>
  <c r="S934" i="7"/>
  <c r="T934" i="7"/>
  <c r="U934" i="7"/>
  <c r="V934" i="7"/>
  <c r="W934" i="7"/>
  <c r="X934" i="7"/>
  <c r="Y934" i="7"/>
  <c r="Z934" i="7"/>
  <c r="AA934" i="7"/>
  <c r="AB934" i="7"/>
  <c r="AC934" i="7"/>
  <c r="AD934" i="7"/>
  <c r="AE934" i="7"/>
  <c r="Q935" i="7"/>
  <c r="R935" i="7"/>
  <c r="S935" i="7"/>
  <c r="T935" i="7"/>
  <c r="U935" i="7"/>
  <c r="V935" i="7"/>
  <c r="W935" i="7"/>
  <c r="X935" i="7"/>
  <c r="Y935" i="7"/>
  <c r="Z935" i="7"/>
  <c r="AA935" i="7"/>
  <c r="AB935" i="7"/>
  <c r="AC935" i="7"/>
  <c r="AD935" i="7"/>
  <c r="AE935" i="7"/>
  <c r="Q936" i="7"/>
  <c r="R936" i="7"/>
  <c r="S936" i="7"/>
  <c r="T936" i="7"/>
  <c r="U936" i="7"/>
  <c r="V936" i="7"/>
  <c r="W936" i="7"/>
  <c r="X936" i="7"/>
  <c r="Y936" i="7"/>
  <c r="Z936" i="7"/>
  <c r="AA936" i="7"/>
  <c r="AB936" i="7"/>
  <c r="AC936" i="7"/>
  <c r="AD936" i="7"/>
  <c r="AE936" i="7"/>
  <c r="Q937" i="7"/>
  <c r="R937" i="7"/>
  <c r="S937" i="7"/>
  <c r="T937" i="7"/>
  <c r="U937" i="7"/>
  <c r="V937" i="7"/>
  <c r="W937" i="7"/>
  <c r="X937" i="7"/>
  <c r="Y937" i="7"/>
  <c r="Z937" i="7"/>
  <c r="AA937" i="7"/>
  <c r="AB937" i="7"/>
  <c r="AC937" i="7"/>
  <c r="AD937" i="7"/>
  <c r="AE937" i="7"/>
  <c r="Q938" i="7"/>
  <c r="R938" i="7"/>
  <c r="S938" i="7"/>
  <c r="T938" i="7"/>
  <c r="U938" i="7"/>
  <c r="V938" i="7"/>
  <c r="W938" i="7"/>
  <c r="X938" i="7"/>
  <c r="Y938" i="7"/>
  <c r="Z938" i="7"/>
  <c r="AA938" i="7"/>
  <c r="AB938" i="7"/>
  <c r="AC938" i="7"/>
  <c r="AD938" i="7"/>
  <c r="AE938" i="7"/>
  <c r="Q939" i="7"/>
  <c r="R939" i="7"/>
  <c r="S939" i="7"/>
  <c r="T939" i="7"/>
  <c r="U939" i="7"/>
  <c r="V939" i="7"/>
  <c r="W939" i="7"/>
  <c r="X939" i="7"/>
  <c r="Y939" i="7"/>
  <c r="Z939" i="7"/>
  <c r="AA939" i="7"/>
  <c r="AB939" i="7"/>
  <c r="AC939" i="7"/>
  <c r="AD939" i="7"/>
  <c r="AE939" i="7"/>
  <c r="Q940" i="7"/>
  <c r="R940" i="7"/>
  <c r="S940" i="7"/>
  <c r="T940" i="7"/>
  <c r="U940" i="7"/>
  <c r="V940" i="7"/>
  <c r="W940" i="7"/>
  <c r="X940" i="7"/>
  <c r="Y940" i="7"/>
  <c r="Z940" i="7"/>
  <c r="AA940" i="7"/>
  <c r="AB940" i="7"/>
  <c r="AC940" i="7"/>
  <c r="AD940" i="7"/>
  <c r="AE940" i="7"/>
  <c r="Q941" i="7"/>
  <c r="R941" i="7"/>
  <c r="S941" i="7"/>
  <c r="T941" i="7"/>
  <c r="U941" i="7"/>
  <c r="V941" i="7"/>
  <c r="W941" i="7"/>
  <c r="X941" i="7"/>
  <c r="Y941" i="7"/>
  <c r="Z941" i="7"/>
  <c r="AA941" i="7"/>
  <c r="AB941" i="7"/>
  <c r="AC941" i="7"/>
  <c r="AD941" i="7"/>
  <c r="AE941" i="7"/>
  <c r="Q942" i="7"/>
  <c r="R942" i="7"/>
  <c r="S942" i="7"/>
  <c r="T942" i="7"/>
  <c r="U942" i="7"/>
  <c r="V942" i="7"/>
  <c r="W942" i="7"/>
  <c r="X942" i="7"/>
  <c r="Y942" i="7"/>
  <c r="Z942" i="7"/>
  <c r="AA942" i="7"/>
  <c r="AB942" i="7"/>
  <c r="AC942" i="7"/>
  <c r="AD942" i="7"/>
  <c r="AE942" i="7"/>
  <c r="Q943" i="7"/>
  <c r="R943" i="7"/>
  <c r="S943" i="7"/>
  <c r="T943" i="7"/>
  <c r="U943" i="7"/>
  <c r="V943" i="7"/>
  <c r="W943" i="7"/>
  <c r="X943" i="7"/>
  <c r="Y943" i="7"/>
  <c r="Z943" i="7"/>
  <c r="AA943" i="7"/>
  <c r="AB943" i="7"/>
  <c r="AC943" i="7"/>
  <c r="AD943" i="7"/>
  <c r="AE943" i="7"/>
  <c r="Q944" i="7"/>
  <c r="R944" i="7"/>
  <c r="S944" i="7"/>
  <c r="T944" i="7"/>
  <c r="U944" i="7"/>
  <c r="V944" i="7"/>
  <c r="W944" i="7"/>
  <c r="X944" i="7"/>
  <c r="Y944" i="7"/>
  <c r="Z944" i="7"/>
  <c r="AA944" i="7"/>
  <c r="AB944" i="7"/>
  <c r="AC944" i="7"/>
  <c r="AD944" i="7"/>
  <c r="AE944" i="7"/>
  <c r="Q945" i="7"/>
  <c r="R945" i="7"/>
  <c r="S945" i="7"/>
  <c r="T945" i="7"/>
  <c r="U945" i="7"/>
  <c r="V945" i="7"/>
  <c r="W945" i="7"/>
  <c r="X945" i="7"/>
  <c r="Y945" i="7"/>
  <c r="Z945" i="7"/>
  <c r="AA945" i="7"/>
  <c r="AB945" i="7"/>
  <c r="AC945" i="7"/>
  <c r="AD945" i="7"/>
  <c r="AE945" i="7"/>
  <c r="Q946" i="7"/>
  <c r="R946" i="7"/>
  <c r="S946" i="7"/>
  <c r="T946" i="7"/>
  <c r="U946" i="7"/>
  <c r="V946" i="7"/>
  <c r="W946" i="7"/>
  <c r="X946" i="7"/>
  <c r="Y946" i="7"/>
  <c r="Z946" i="7"/>
  <c r="AA946" i="7"/>
  <c r="AB946" i="7"/>
  <c r="AC946" i="7"/>
  <c r="AD946" i="7"/>
  <c r="AE946" i="7"/>
  <c r="Q947" i="7"/>
  <c r="R947" i="7"/>
  <c r="S947" i="7"/>
  <c r="T947" i="7"/>
  <c r="U947" i="7"/>
  <c r="V947" i="7"/>
  <c r="W947" i="7"/>
  <c r="X947" i="7"/>
  <c r="Y947" i="7"/>
  <c r="Z947" i="7"/>
  <c r="AA947" i="7"/>
  <c r="AB947" i="7"/>
  <c r="AC947" i="7"/>
  <c r="AD947" i="7"/>
  <c r="AE947" i="7"/>
  <c r="Q948" i="7"/>
  <c r="R948" i="7"/>
  <c r="S948" i="7"/>
  <c r="T948" i="7"/>
  <c r="U948" i="7"/>
  <c r="V948" i="7"/>
  <c r="W948" i="7"/>
  <c r="X948" i="7"/>
  <c r="Y948" i="7"/>
  <c r="Z948" i="7"/>
  <c r="AA948" i="7"/>
  <c r="AB948" i="7"/>
  <c r="AC948" i="7"/>
  <c r="AD948" i="7"/>
  <c r="AE948" i="7"/>
  <c r="Q949" i="7"/>
  <c r="R949" i="7"/>
  <c r="S949" i="7"/>
  <c r="T949" i="7"/>
  <c r="U949" i="7"/>
  <c r="V949" i="7"/>
  <c r="W949" i="7"/>
  <c r="X949" i="7"/>
  <c r="Y949" i="7"/>
  <c r="Z949" i="7"/>
  <c r="AA949" i="7"/>
  <c r="AB949" i="7"/>
  <c r="AC949" i="7"/>
  <c r="AD949" i="7"/>
  <c r="AE949" i="7"/>
  <c r="Q950" i="7"/>
  <c r="R950" i="7"/>
  <c r="S950" i="7"/>
  <c r="T950" i="7"/>
  <c r="U950" i="7"/>
  <c r="V950" i="7"/>
  <c r="W950" i="7"/>
  <c r="X950" i="7"/>
  <c r="Y950" i="7"/>
  <c r="Z950" i="7"/>
  <c r="AA950" i="7"/>
  <c r="AB950" i="7"/>
  <c r="AC950" i="7"/>
  <c r="AD950" i="7"/>
  <c r="AE950" i="7"/>
  <c r="Q951" i="7"/>
  <c r="R951" i="7"/>
  <c r="S951" i="7"/>
  <c r="T951" i="7"/>
  <c r="U951" i="7"/>
  <c r="V951" i="7"/>
  <c r="W951" i="7"/>
  <c r="X951" i="7"/>
  <c r="Y951" i="7"/>
  <c r="Z951" i="7"/>
  <c r="AA951" i="7"/>
  <c r="AB951" i="7"/>
  <c r="AC951" i="7"/>
  <c r="AD951" i="7"/>
  <c r="AE951" i="7"/>
  <c r="Q952" i="7"/>
  <c r="R952" i="7"/>
  <c r="S952" i="7"/>
  <c r="T952" i="7"/>
  <c r="U952" i="7"/>
  <c r="V952" i="7"/>
  <c r="W952" i="7"/>
  <c r="X952" i="7"/>
  <c r="Y952" i="7"/>
  <c r="Z952" i="7"/>
  <c r="AA952" i="7"/>
  <c r="AB952" i="7"/>
  <c r="AC952" i="7"/>
  <c r="AD952" i="7"/>
  <c r="AE952" i="7"/>
  <c r="Q953" i="7"/>
  <c r="R953" i="7"/>
  <c r="S953" i="7"/>
  <c r="T953" i="7"/>
  <c r="U953" i="7"/>
  <c r="V953" i="7"/>
  <c r="W953" i="7"/>
  <c r="X953" i="7"/>
  <c r="Y953" i="7"/>
  <c r="Z953" i="7"/>
  <c r="AA953" i="7"/>
  <c r="AB953" i="7"/>
  <c r="AC953" i="7"/>
  <c r="AD953" i="7"/>
  <c r="AE953" i="7"/>
  <c r="Q954" i="7"/>
  <c r="R954" i="7"/>
  <c r="S954" i="7"/>
  <c r="T954" i="7"/>
  <c r="U954" i="7"/>
  <c r="V954" i="7"/>
  <c r="W954" i="7"/>
  <c r="X954" i="7"/>
  <c r="Y954" i="7"/>
  <c r="Z954" i="7"/>
  <c r="AA954" i="7"/>
  <c r="AB954" i="7"/>
  <c r="AC954" i="7"/>
  <c r="AD954" i="7"/>
  <c r="AE954" i="7"/>
  <c r="Q955" i="7"/>
  <c r="R955" i="7"/>
  <c r="S955" i="7"/>
  <c r="T955" i="7"/>
  <c r="U955" i="7"/>
  <c r="V955" i="7"/>
  <c r="W955" i="7"/>
  <c r="X955" i="7"/>
  <c r="Y955" i="7"/>
  <c r="Z955" i="7"/>
  <c r="AA955" i="7"/>
  <c r="AB955" i="7"/>
  <c r="AC955" i="7"/>
  <c r="AD955" i="7"/>
  <c r="AE955" i="7"/>
  <c r="Q956" i="7"/>
  <c r="R956" i="7"/>
  <c r="S956" i="7"/>
  <c r="T956" i="7"/>
  <c r="U956" i="7"/>
  <c r="V956" i="7"/>
  <c r="W956" i="7"/>
  <c r="X956" i="7"/>
  <c r="Y956" i="7"/>
  <c r="Z956" i="7"/>
  <c r="AA956" i="7"/>
  <c r="AB956" i="7"/>
  <c r="AC956" i="7"/>
  <c r="AD956" i="7"/>
  <c r="AE956" i="7"/>
  <c r="Q957" i="7"/>
  <c r="R957" i="7"/>
  <c r="S957" i="7"/>
  <c r="T957" i="7"/>
  <c r="U957" i="7"/>
  <c r="V957" i="7"/>
  <c r="W957" i="7"/>
  <c r="X957" i="7"/>
  <c r="Y957" i="7"/>
  <c r="Z957" i="7"/>
  <c r="AA957" i="7"/>
  <c r="AB957" i="7"/>
  <c r="AC957" i="7"/>
  <c r="AD957" i="7"/>
  <c r="AE957" i="7"/>
  <c r="Q958" i="7"/>
  <c r="R958" i="7"/>
  <c r="S958" i="7"/>
  <c r="T958" i="7"/>
  <c r="U958" i="7"/>
  <c r="V958" i="7"/>
  <c r="W958" i="7"/>
  <c r="X958" i="7"/>
  <c r="Y958" i="7"/>
  <c r="Z958" i="7"/>
  <c r="AA958" i="7"/>
  <c r="AB958" i="7"/>
  <c r="AC958" i="7"/>
  <c r="AD958" i="7"/>
  <c r="AE958" i="7"/>
  <c r="Q959" i="7"/>
  <c r="R959" i="7"/>
  <c r="S959" i="7"/>
  <c r="T959" i="7"/>
  <c r="U959" i="7"/>
  <c r="V959" i="7"/>
  <c r="W959" i="7"/>
  <c r="X959" i="7"/>
  <c r="Y959" i="7"/>
  <c r="Z959" i="7"/>
  <c r="AA959" i="7"/>
  <c r="AB959" i="7"/>
  <c r="AC959" i="7"/>
  <c r="AD959" i="7"/>
  <c r="AE959" i="7"/>
  <c r="Q960" i="7"/>
  <c r="R960" i="7"/>
  <c r="S960" i="7"/>
  <c r="T960" i="7"/>
  <c r="U960" i="7"/>
  <c r="V960" i="7"/>
  <c r="W960" i="7"/>
  <c r="X960" i="7"/>
  <c r="Y960" i="7"/>
  <c r="Z960" i="7"/>
  <c r="AA960" i="7"/>
  <c r="AB960" i="7"/>
  <c r="AC960" i="7"/>
  <c r="AD960" i="7"/>
  <c r="AE960" i="7"/>
  <c r="Q961" i="7"/>
  <c r="R961" i="7"/>
  <c r="S961" i="7"/>
  <c r="T961" i="7"/>
  <c r="U961" i="7"/>
  <c r="V961" i="7"/>
  <c r="W961" i="7"/>
  <c r="X961" i="7"/>
  <c r="Y961" i="7"/>
  <c r="Z961" i="7"/>
  <c r="AA961" i="7"/>
  <c r="AB961" i="7"/>
  <c r="AC961" i="7"/>
  <c r="AD961" i="7"/>
  <c r="AE961" i="7"/>
  <c r="Q962" i="7"/>
  <c r="R962" i="7"/>
  <c r="S962" i="7"/>
  <c r="T962" i="7"/>
  <c r="U962" i="7"/>
  <c r="V962" i="7"/>
  <c r="W962" i="7"/>
  <c r="X962" i="7"/>
  <c r="Y962" i="7"/>
  <c r="Z962" i="7"/>
  <c r="AA962" i="7"/>
  <c r="AB962" i="7"/>
  <c r="AC962" i="7"/>
  <c r="AD962" i="7"/>
  <c r="AE962" i="7"/>
  <c r="Q963" i="7"/>
  <c r="R963" i="7"/>
  <c r="S963" i="7"/>
  <c r="T963" i="7"/>
  <c r="U963" i="7"/>
  <c r="V963" i="7"/>
  <c r="W963" i="7"/>
  <c r="X963" i="7"/>
  <c r="Y963" i="7"/>
  <c r="Z963" i="7"/>
  <c r="AA963" i="7"/>
  <c r="AB963" i="7"/>
  <c r="AC963" i="7"/>
  <c r="AD963" i="7"/>
  <c r="AE963" i="7"/>
  <c r="Q964" i="7"/>
  <c r="R964" i="7"/>
  <c r="S964" i="7"/>
  <c r="T964" i="7"/>
  <c r="U964" i="7"/>
  <c r="V964" i="7"/>
  <c r="W964" i="7"/>
  <c r="X964" i="7"/>
  <c r="Y964" i="7"/>
  <c r="Z964" i="7"/>
  <c r="AA964" i="7"/>
  <c r="AB964" i="7"/>
  <c r="AC964" i="7"/>
  <c r="AD964" i="7"/>
  <c r="AE964" i="7"/>
  <c r="Q965" i="7"/>
  <c r="R965" i="7"/>
  <c r="S965" i="7"/>
  <c r="T965" i="7"/>
  <c r="U965" i="7"/>
  <c r="V965" i="7"/>
  <c r="W965" i="7"/>
  <c r="X965" i="7"/>
  <c r="Y965" i="7"/>
  <c r="Z965" i="7"/>
  <c r="AA965" i="7"/>
  <c r="AB965" i="7"/>
  <c r="AC965" i="7"/>
  <c r="AD965" i="7"/>
  <c r="AE965" i="7"/>
  <c r="Q966" i="7"/>
  <c r="R966" i="7"/>
  <c r="S966" i="7"/>
  <c r="T966" i="7"/>
  <c r="U966" i="7"/>
  <c r="V966" i="7"/>
  <c r="W966" i="7"/>
  <c r="X966" i="7"/>
  <c r="Y966" i="7"/>
  <c r="Z966" i="7"/>
  <c r="AA966" i="7"/>
  <c r="AB966" i="7"/>
  <c r="AC966" i="7"/>
  <c r="AD966" i="7"/>
  <c r="AE966" i="7"/>
  <c r="Q967" i="7"/>
  <c r="R967" i="7"/>
  <c r="S967" i="7"/>
  <c r="T967" i="7"/>
  <c r="U967" i="7"/>
  <c r="V967" i="7"/>
  <c r="W967" i="7"/>
  <c r="X967" i="7"/>
  <c r="Y967" i="7"/>
  <c r="Z967" i="7"/>
  <c r="AA967" i="7"/>
  <c r="AB967" i="7"/>
  <c r="AC967" i="7"/>
  <c r="AD967" i="7"/>
  <c r="AE967" i="7"/>
  <c r="Q968" i="7"/>
  <c r="R968" i="7"/>
  <c r="S968" i="7"/>
  <c r="T968" i="7"/>
  <c r="U968" i="7"/>
  <c r="V968" i="7"/>
  <c r="W968" i="7"/>
  <c r="X968" i="7"/>
  <c r="Y968" i="7"/>
  <c r="Z968" i="7"/>
  <c r="AA968" i="7"/>
  <c r="AB968" i="7"/>
  <c r="AC968" i="7"/>
  <c r="AD968" i="7"/>
  <c r="AE968" i="7"/>
  <c r="Q969" i="7"/>
  <c r="R969" i="7"/>
  <c r="S969" i="7"/>
  <c r="T969" i="7"/>
  <c r="U969" i="7"/>
  <c r="V969" i="7"/>
  <c r="W969" i="7"/>
  <c r="X969" i="7"/>
  <c r="Y969" i="7"/>
  <c r="Z969" i="7"/>
  <c r="AA969" i="7"/>
  <c r="AB969" i="7"/>
  <c r="AC969" i="7"/>
  <c r="AD969" i="7"/>
  <c r="AE969" i="7"/>
  <c r="Q970" i="7"/>
  <c r="R970" i="7"/>
  <c r="S970" i="7"/>
  <c r="T970" i="7"/>
  <c r="U970" i="7"/>
  <c r="V970" i="7"/>
  <c r="W970" i="7"/>
  <c r="X970" i="7"/>
  <c r="Y970" i="7"/>
  <c r="Z970" i="7"/>
  <c r="AA970" i="7"/>
  <c r="AB970" i="7"/>
  <c r="AC970" i="7"/>
  <c r="AD970" i="7"/>
  <c r="AE970" i="7"/>
  <c r="Q971" i="7"/>
  <c r="R971" i="7"/>
  <c r="S971" i="7"/>
  <c r="T971" i="7"/>
  <c r="U971" i="7"/>
  <c r="V971" i="7"/>
  <c r="W971" i="7"/>
  <c r="X971" i="7"/>
  <c r="Y971" i="7"/>
  <c r="Z971" i="7"/>
  <c r="AA971" i="7"/>
  <c r="AB971" i="7"/>
  <c r="AC971" i="7"/>
  <c r="AD971" i="7"/>
  <c r="AE971" i="7"/>
  <c r="Q972" i="7"/>
  <c r="R972" i="7"/>
  <c r="S972" i="7"/>
  <c r="T972" i="7"/>
  <c r="U972" i="7"/>
  <c r="V972" i="7"/>
  <c r="W972" i="7"/>
  <c r="X972" i="7"/>
  <c r="Y972" i="7"/>
  <c r="Z972" i="7"/>
  <c r="AA972" i="7"/>
  <c r="AB972" i="7"/>
  <c r="AC972" i="7"/>
  <c r="AD972" i="7"/>
  <c r="AE972" i="7"/>
  <c r="Q973" i="7"/>
  <c r="R973" i="7"/>
  <c r="S973" i="7"/>
  <c r="T973" i="7"/>
  <c r="U973" i="7"/>
  <c r="V973" i="7"/>
  <c r="W973" i="7"/>
  <c r="X973" i="7"/>
  <c r="Y973" i="7"/>
  <c r="Z973" i="7"/>
  <c r="AA973" i="7"/>
  <c r="AB973" i="7"/>
  <c r="AC973" i="7"/>
  <c r="AD973" i="7"/>
  <c r="AE973" i="7"/>
  <c r="Q974" i="7"/>
  <c r="R974" i="7"/>
  <c r="S974" i="7"/>
  <c r="T974" i="7"/>
  <c r="U974" i="7"/>
  <c r="V974" i="7"/>
  <c r="W974" i="7"/>
  <c r="X974" i="7"/>
  <c r="Y974" i="7"/>
  <c r="Z974" i="7"/>
  <c r="AA974" i="7"/>
  <c r="AB974" i="7"/>
  <c r="AC974" i="7"/>
  <c r="AD974" i="7"/>
  <c r="AE974" i="7"/>
  <c r="Q975" i="7"/>
  <c r="R975" i="7"/>
  <c r="S975" i="7"/>
  <c r="T975" i="7"/>
  <c r="U975" i="7"/>
  <c r="V975" i="7"/>
  <c r="W975" i="7"/>
  <c r="X975" i="7"/>
  <c r="Y975" i="7"/>
  <c r="Z975" i="7"/>
  <c r="AA975" i="7"/>
  <c r="AB975" i="7"/>
  <c r="AC975" i="7"/>
  <c r="AD975" i="7"/>
  <c r="AE975" i="7"/>
  <c r="Q976" i="7"/>
  <c r="R976" i="7"/>
  <c r="S976" i="7"/>
  <c r="T976" i="7"/>
  <c r="U976" i="7"/>
  <c r="V976" i="7"/>
  <c r="W976" i="7"/>
  <c r="X976" i="7"/>
  <c r="Y976" i="7"/>
  <c r="Z976" i="7"/>
  <c r="AA976" i="7"/>
  <c r="AB976" i="7"/>
  <c r="AC976" i="7"/>
  <c r="AD976" i="7"/>
  <c r="AE976" i="7"/>
  <c r="Q977" i="7"/>
  <c r="R977" i="7"/>
  <c r="S977" i="7"/>
  <c r="T977" i="7"/>
  <c r="U977" i="7"/>
  <c r="V977" i="7"/>
  <c r="W977" i="7"/>
  <c r="X977" i="7"/>
  <c r="Y977" i="7"/>
  <c r="Z977" i="7"/>
  <c r="AA977" i="7"/>
  <c r="AB977" i="7"/>
  <c r="AC977" i="7"/>
  <c r="AD977" i="7"/>
  <c r="AE977" i="7"/>
  <c r="Q978" i="7"/>
  <c r="R978" i="7"/>
  <c r="S978" i="7"/>
  <c r="T978" i="7"/>
  <c r="U978" i="7"/>
  <c r="V978" i="7"/>
  <c r="W978" i="7"/>
  <c r="X978" i="7"/>
  <c r="Y978" i="7"/>
  <c r="Z978" i="7"/>
  <c r="AA978" i="7"/>
  <c r="AB978" i="7"/>
  <c r="AC978" i="7"/>
  <c r="AD978" i="7"/>
  <c r="AE978" i="7"/>
  <c r="Q979" i="7"/>
  <c r="R979" i="7"/>
  <c r="S979" i="7"/>
  <c r="T979" i="7"/>
  <c r="U979" i="7"/>
  <c r="V979" i="7"/>
  <c r="W979" i="7"/>
  <c r="X979" i="7"/>
  <c r="Y979" i="7"/>
  <c r="Z979" i="7"/>
  <c r="AA979" i="7"/>
  <c r="AB979" i="7"/>
  <c r="AC979" i="7"/>
  <c r="AD979" i="7"/>
  <c r="AE979" i="7"/>
  <c r="Q980" i="7"/>
  <c r="R980" i="7"/>
  <c r="S980" i="7"/>
  <c r="T980" i="7"/>
  <c r="U980" i="7"/>
  <c r="V980" i="7"/>
  <c r="W980" i="7"/>
  <c r="X980" i="7"/>
  <c r="Y980" i="7"/>
  <c r="Z980" i="7"/>
  <c r="AA980" i="7"/>
  <c r="AB980" i="7"/>
  <c r="AC980" i="7"/>
  <c r="AD980" i="7"/>
  <c r="AE980" i="7"/>
  <c r="Q981" i="7"/>
  <c r="R981" i="7"/>
  <c r="S981" i="7"/>
  <c r="T981" i="7"/>
  <c r="U981" i="7"/>
  <c r="V981" i="7"/>
  <c r="W981" i="7"/>
  <c r="X981" i="7"/>
  <c r="Y981" i="7"/>
  <c r="Z981" i="7"/>
  <c r="AA981" i="7"/>
  <c r="AB981" i="7"/>
  <c r="AC981" i="7"/>
  <c r="AD981" i="7"/>
  <c r="AE981" i="7"/>
  <c r="Q982" i="7"/>
  <c r="R982" i="7"/>
  <c r="S982" i="7"/>
  <c r="T982" i="7"/>
  <c r="U982" i="7"/>
  <c r="V982" i="7"/>
  <c r="W982" i="7"/>
  <c r="X982" i="7"/>
  <c r="Y982" i="7"/>
  <c r="Z982" i="7"/>
  <c r="AA982" i="7"/>
  <c r="AB982" i="7"/>
  <c r="AC982" i="7"/>
  <c r="AD982" i="7"/>
  <c r="AE982" i="7"/>
  <c r="Q983" i="7"/>
  <c r="R983" i="7"/>
  <c r="S983" i="7"/>
  <c r="T983" i="7"/>
  <c r="U983" i="7"/>
  <c r="V983" i="7"/>
  <c r="W983" i="7"/>
  <c r="X983" i="7"/>
  <c r="Y983" i="7"/>
  <c r="Z983" i="7"/>
  <c r="AA983" i="7"/>
  <c r="AB983" i="7"/>
  <c r="AC983" i="7"/>
  <c r="AD983" i="7"/>
  <c r="AE983" i="7"/>
  <c r="Q984" i="7"/>
  <c r="R984" i="7"/>
  <c r="S984" i="7"/>
  <c r="T984" i="7"/>
  <c r="U984" i="7"/>
  <c r="V984" i="7"/>
  <c r="W984" i="7"/>
  <c r="X984" i="7"/>
  <c r="Y984" i="7"/>
  <c r="Z984" i="7"/>
  <c r="AA984" i="7"/>
  <c r="AB984" i="7"/>
  <c r="AC984" i="7"/>
  <c r="AD984" i="7"/>
  <c r="AE984" i="7"/>
  <c r="Q985" i="7"/>
  <c r="R985" i="7"/>
  <c r="S985" i="7"/>
  <c r="T985" i="7"/>
  <c r="U985" i="7"/>
  <c r="V985" i="7"/>
  <c r="W985" i="7"/>
  <c r="X985" i="7"/>
  <c r="Y985" i="7"/>
  <c r="Z985" i="7"/>
  <c r="AA985" i="7"/>
  <c r="AB985" i="7"/>
  <c r="AC985" i="7"/>
  <c r="AD985" i="7"/>
  <c r="AE985" i="7"/>
  <c r="Q986" i="7"/>
  <c r="R986" i="7"/>
  <c r="S986" i="7"/>
  <c r="T986" i="7"/>
  <c r="U986" i="7"/>
  <c r="V986" i="7"/>
  <c r="W986" i="7"/>
  <c r="X986" i="7"/>
  <c r="Y986" i="7"/>
  <c r="Z986" i="7"/>
  <c r="AA986" i="7"/>
  <c r="AB986" i="7"/>
  <c r="AC986" i="7"/>
  <c r="AD986" i="7"/>
  <c r="AE986" i="7"/>
  <c r="Q987" i="7"/>
  <c r="R987" i="7"/>
  <c r="S987" i="7"/>
  <c r="T987" i="7"/>
  <c r="U987" i="7"/>
  <c r="V987" i="7"/>
  <c r="W987" i="7"/>
  <c r="X987" i="7"/>
  <c r="Y987" i="7"/>
  <c r="Z987" i="7"/>
  <c r="AA987" i="7"/>
  <c r="AB987" i="7"/>
  <c r="AC987" i="7"/>
  <c r="AD987" i="7"/>
  <c r="AE987" i="7"/>
  <c r="Q988" i="7"/>
  <c r="R988" i="7"/>
  <c r="S988" i="7"/>
  <c r="T988" i="7"/>
  <c r="U988" i="7"/>
  <c r="V988" i="7"/>
  <c r="W988" i="7"/>
  <c r="X988" i="7"/>
  <c r="Y988" i="7"/>
  <c r="Z988" i="7"/>
  <c r="AA988" i="7"/>
  <c r="AB988" i="7"/>
  <c r="AC988" i="7"/>
  <c r="AD988" i="7"/>
  <c r="AE988" i="7"/>
  <c r="Q989" i="7"/>
  <c r="R989" i="7"/>
  <c r="S989" i="7"/>
  <c r="T989" i="7"/>
  <c r="U989" i="7"/>
  <c r="V989" i="7"/>
  <c r="W989" i="7"/>
  <c r="X989" i="7"/>
  <c r="Y989" i="7"/>
  <c r="Z989" i="7"/>
  <c r="AA989" i="7"/>
  <c r="AB989" i="7"/>
  <c r="AC989" i="7"/>
  <c r="AD989" i="7"/>
  <c r="AE989" i="7"/>
  <c r="Q990" i="7"/>
  <c r="R990" i="7"/>
  <c r="S990" i="7"/>
  <c r="T990" i="7"/>
  <c r="U990" i="7"/>
  <c r="V990" i="7"/>
  <c r="W990" i="7"/>
  <c r="X990" i="7"/>
  <c r="Y990" i="7"/>
  <c r="Z990" i="7"/>
  <c r="AA990" i="7"/>
  <c r="AB990" i="7"/>
  <c r="AC990" i="7"/>
  <c r="AD990" i="7"/>
  <c r="AE990" i="7"/>
  <c r="Q991" i="7"/>
  <c r="R991" i="7"/>
  <c r="S991" i="7"/>
  <c r="T991" i="7"/>
  <c r="U991" i="7"/>
  <c r="V991" i="7"/>
  <c r="W991" i="7"/>
  <c r="X991" i="7"/>
  <c r="Y991" i="7"/>
  <c r="Z991" i="7"/>
  <c r="AA991" i="7"/>
  <c r="AB991" i="7"/>
  <c r="AC991" i="7"/>
  <c r="AD991" i="7"/>
  <c r="AE991" i="7"/>
  <c r="Q992" i="7"/>
  <c r="R992" i="7"/>
  <c r="S992" i="7"/>
  <c r="T992" i="7"/>
  <c r="U992" i="7"/>
  <c r="V992" i="7"/>
  <c r="W992" i="7"/>
  <c r="X992" i="7"/>
  <c r="Y992" i="7"/>
  <c r="Z992" i="7"/>
  <c r="AA992" i="7"/>
  <c r="AB992" i="7"/>
  <c r="AC992" i="7"/>
  <c r="AD992" i="7"/>
  <c r="AE992" i="7"/>
  <c r="Q993" i="7"/>
  <c r="R993" i="7"/>
  <c r="S993" i="7"/>
  <c r="T993" i="7"/>
  <c r="U993" i="7"/>
  <c r="V993" i="7"/>
  <c r="W993" i="7"/>
  <c r="X993" i="7"/>
  <c r="Y993" i="7"/>
  <c r="Z993" i="7"/>
  <c r="AA993" i="7"/>
  <c r="AB993" i="7"/>
  <c r="AC993" i="7"/>
  <c r="AD993" i="7"/>
  <c r="AE993" i="7"/>
  <c r="Q994" i="7"/>
  <c r="R994" i="7"/>
  <c r="S994" i="7"/>
  <c r="T994" i="7"/>
  <c r="U994" i="7"/>
  <c r="V994" i="7"/>
  <c r="W994" i="7"/>
  <c r="X994" i="7"/>
  <c r="Y994" i="7"/>
  <c r="Z994" i="7"/>
  <c r="AA994" i="7"/>
  <c r="AB994" i="7"/>
  <c r="AC994" i="7"/>
  <c r="AD994" i="7"/>
  <c r="AE994" i="7"/>
  <c r="Q995" i="7"/>
  <c r="R995" i="7"/>
  <c r="S995" i="7"/>
  <c r="T995" i="7"/>
  <c r="U995" i="7"/>
  <c r="V995" i="7"/>
  <c r="W995" i="7"/>
  <c r="X995" i="7"/>
  <c r="Y995" i="7"/>
  <c r="Z995" i="7"/>
  <c r="AA995" i="7"/>
  <c r="AB995" i="7"/>
  <c r="AC995" i="7"/>
  <c r="AD995" i="7"/>
  <c r="AE995" i="7"/>
  <c r="Q996" i="7"/>
  <c r="R996" i="7"/>
  <c r="S996" i="7"/>
  <c r="T996" i="7"/>
  <c r="U996" i="7"/>
  <c r="V996" i="7"/>
  <c r="W996" i="7"/>
  <c r="X996" i="7"/>
  <c r="Y996" i="7"/>
  <c r="Z996" i="7"/>
  <c r="AA996" i="7"/>
  <c r="AB996" i="7"/>
  <c r="AC996" i="7"/>
  <c r="AD996" i="7"/>
  <c r="AE996" i="7"/>
  <c r="Q997" i="7"/>
  <c r="R997" i="7"/>
  <c r="S997" i="7"/>
  <c r="T997" i="7"/>
  <c r="U997" i="7"/>
  <c r="V997" i="7"/>
  <c r="W997" i="7"/>
  <c r="X997" i="7"/>
  <c r="Y997" i="7"/>
  <c r="Z997" i="7"/>
  <c r="AA997" i="7"/>
  <c r="AB997" i="7"/>
  <c r="AC997" i="7"/>
  <c r="AD997" i="7"/>
  <c r="AE997" i="7"/>
  <c r="Q998" i="7"/>
  <c r="R998" i="7"/>
  <c r="S998" i="7"/>
  <c r="T998" i="7"/>
  <c r="U998" i="7"/>
  <c r="V998" i="7"/>
  <c r="W998" i="7"/>
  <c r="X998" i="7"/>
  <c r="Y998" i="7"/>
  <c r="Z998" i="7"/>
  <c r="AA998" i="7"/>
  <c r="AB998" i="7"/>
  <c r="AC998" i="7"/>
  <c r="AD998" i="7"/>
  <c r="AE998" i="7"/>
  <c r="Q999" i="7"/>
  <c r="R999" i="7"/>
  <c r="S999" i="7"/>
  <c r="T999" i="7"/>
  <c r="U999" i="7"/>
  <c r="V999" i="7"/>
  <c r="W999" i="7"/>
  <c r="X999" i="7"/>
  <c r="Y999" i="7"/>
  <c r="Z999" i="7"/>
  <c r="AA999" i="7"/>
  <c r="AB999" i="7"/>
  <c r="AC999" i="7"/>
  <c r="AD999" i="7"/>
  <c r="AE999" i="7"/>
  <c r="Q1000" i="7"/>
  <c r="R1000" i="7"/>
  <c r="S1000" i="7"/>
  <c r="T1000" i="7"/>
  <c r="U1000" i="7"/>
  <c r="V1000" i="7"/>
  <c r="W1000" i="7"/>
  <c r="X1000" i="7"/>
  <c r="Y1000" i="7"/>
  <c r="Z1000" i="7"/>
  <c r="AA1000" i="7"/>
  <c r="AB1000" i="7"/>
  <c r="AC1000" i="7"/>
  <c r="AD1000" i="7"/>
  <c r="AE1000" i="7"/>
  <c r="Q1001" i="7"/>
  <c r="R1001" i="7"/>
  <c r="S1001" i="7"/>
  <c r="T1001" i="7"/>
  <c r="U1001" i="7"/>
  <c r="V1001" i="7"/>
  <c r="W1001" i="7"/>
  <c r="X1001" i="7"/>
  <c r="Y1001" i="7"/>
  <c r="Z1001" i="7"/>
  <c r="AA1001" i="7"/>
  <c r="AB1001" i="7"/>
  <c r="AC1001" i="7"/>
  <c r="AD1001" i="7"/>
  <c r="AE1001" i="7"/>
  <c r="Q1002" i="7"/>
  <c r="R1002" i="7"/>
  <c r="S1002" i="7"/>
  <c r="T1002" i="7"/>
  <c r="U1002" i="7"/>
  <c r="V1002" i="7"/>
  <c r="W1002" i="7"/>
  <c r="X1002" i="7"/>
  <c r="Y1002" i="7"/>
  <c r="Z1002" i="7"/>
  <c r="AA1002" i="7"/>
  <c r="AB1002" i="7"/>
  <c r="AC1002" i="7"/>
  <c r="AD1002" i="7"/>
  <c r="AE1002" i="7"/>
  <c r="Q1003" i="7"/>
  <c r="R1003" i="7"/>
  <c r="S1003" i="7"/>
  <c r="T1003" i="7"/>
  <c r="U1003" i="7"/>
  <c r="V1003" i="7"/>
  <c r="W1003" i="7"/>
  <c r="X1003" i="7"/>
  <c r="Y1003" i="7"/>
  <c r="Z1003" i="7"/>
  <c r="AA1003" i="7"/>
  <c r="AB1003" i="7"/>
  <c r="AC1003" i="7"/>
  <c r="AD1003" i="7"/>
  <c r="AE1003" i="7"/>
  <c r="Q1004" i="7"/>
  <c r="R1004" i="7"/>
  <c r="S1004" i="7"/>
  <c r="T1004" i="7"/>
  <c r="U1004" i="7"/>
  <c r="V1004" i="7"/>
  <c r="W1004" i="7"/>
  <c r="X1004" i="7"/>
  <c r="Y1004" i="7"/>
  <c r="Z1004" i="7"/>
  <c r="AA1004" i="7"/>
  <c r="AB1004" i="7"/>
  <c r="AC1004" i="7"/>
  <c r="AD1004" i="7"/>
  <c r="AE1004" i="7"/>
  <c r="Q1005" i="7"/>
  <c r="R1005" i="7"/>
  <c r="S1005" i="7"/>
  <c r="T1005" i="7"/>
  <c r="U1005" i="7"/>
  <c r="V1005" i="7"/>
  <c r="W1005" i="7"/>
  <c r="X1005" i="7"/>
  <c r="Y1005" i="7"/>
  <c r="Z1005" i="7"/>
  <c r="AA1005" i="7"/>
  <c r="AB1005" i="7"/>
  <c r="AC1005" i="7"/>
  <c r="AD1005" i="7"/>
  <c r="AE1005" i="7"/>
  <c r="Q1006" i="7"/>
  <c r="R1006" i="7"/>
  <c r="S1006" i="7"/>
  <c r="T1006" i="7"/>
  <c r="U1006" i="7"/>
  <c r="V1006" i="7"/>
  <c r="W1006" i="7"/>
  <c r="X1006" i="7"/>
  <c r="Y1006" i="7"/>
  <c r="Z1006" i="7"/>
  <c r="AA1006" i="7"/>
  <c r="AB1006" i="7"/>
  <c r="AC1006" i="7"/>
  <c r="AD1006" i="7"/>
  <c r="AE1006" i="7"/>
  <c r="Q1007" i="7"/>
  <c r="R1007" i="7"/>
  <c r="S1007" i="7"/>
  <c r="T1007" i="7"/>
  <c r="U1007" i="7"/>
  <c r="V1007" i="7"/>
  <c r="W1007" i="7"/>
  <c r="X1007" i="7"/>
  <c r="Y1007" i="7"/>
  <c r="Z1007" i="7"/>
  <c r="AA1007" i="7"/>
  <c r="AB1007" i="7"/>
  <c r="AC1007" i="7"/>
  <c r="AD1007" i="7"/>
  <c r="AE1007" i="7"/>
  <c r="Q1008" i="7"/>
  <c r="R1008" i="7"/>
  <c r="S1008" i="7"/>
  <c r="T1008" i="7"/>
  <c r="U1008" i="7"/>
  <c r="V1008" i="7"/>
  <c r="W1008" i="7"/>
  <c r="X1008" i="7"/>
  <c r="Y1008" i="7"/>
  <c r="Z1008" i="7"/>
  <c r="AA1008" i="7"/>
  <c r="AB1008" i="7"/>
  <c r="AC1008" i="7"/>
  <c r="AD1008" i="7"/>
  <c r="AE1008" i="7"/>
  <c r="Q1009" i="7"/>
  <c r="R1009" i="7"/>
  <c r="S1009" i="7"/>
  <c r="T1009" i="7"/>
  <c r="U1009" i="7"/>
  <c r="V1009" i="7"/>
  <c r="W1009" i="7"/>
  <c r="X1009" i="7"/>
  <c r="Y1009" i="7"/>
  <c r="Z1009" i="7"/>
  <c r="AA1009" i="7"/>
  <c r="AB1009" i="7"/>
  <c r="AC1009" i="7"/>
  <c r="AD1009" i="7"/>
  <c r="AE1009" i="7"/>
  <c r="Q1010" i="7"/>
  <c r="R1010" i="7"/>
  <c r="S1010" i="7"/>
  <c r="T1010" i="7"/>
  <c r="U1010" i="7"/>
  <c r="V1010" i="7"/>
  <c r="W1010" i="7"/>
  <c r="X1010" i="7"/>
  <c r="Y1010" i="7"/>
  <c r="Z1010" i="7"/>
  <c r="AA1010" i="7"/>
  <c r="AB1010" i="7"/>
  <c r="AC1010" i="7"/>
  <c r="AD1010" i="7"/>
  <c r="AE1010" i="7"/>
  <c r="Q1011" i="7"/>
  <c r="R1011" i="7"/>
  <c r="S1011" i="7"/>
  <c r="T1011" i="7"/>
  <c r="U1011" i="7"/>
  <c r="V1011" i="7"/>
  <c r="W1011" i="7"/>
  <c r="X1011" i="7"/>
  <c r="Y1011" i="7"/>
  <c r="Z1011" i="7"/>
  <c r="AA1011" i="7"/>
  <c r="AB1011" i="7"/>
  <c r="AC1011" i="7"/>
  <c r="AD1011" i="7"/>
  <c r="AE1011" i="7"/>
  <c r="Q1012" i="7"/>
  <c r="R1012" i="7"/>
  <c r="S1012" i="7"/>
  <c r="T1012" i="7"/>
  <c r="U1012" i="7"/>
  <c r="V1012" i="7"/>
  <c r="W1012" i="7"/>
  <c r="X1012" i="7"/>
  <c r="Y1012" i="7"/>
  <c r="Z1012" i="7"/>
  <c r="AA1012" i="7"/>
  <c r="AB1012" i="7"/>
  <c r="AC1012" i="7"/>
  <c r="AD1012" i="7"/>
  <c r="AE1012" i="7"/>
  <c r="Q1013" i="7"/>
  <c r="R1013" i="7"/>
  <c r="S1013" i="7"/>
  <c r="T1013" i="7"/>
  <c r="U1013" i="7"/>
  <c r="V1013" i="7"/>
  <c r="W1013" i="7"/>
  <c r="X1013" i="7"/>
  <c r="Y1013" i="7"/>
  <c r="Z1013" i="7"/>
  <c r="AA1013" i="7"/>
  <c r="AB1013" i="7"/>
  <c r="AC1013" i="7"/>
  <c r="AD1013" i="7"/>
  <c r="AE1013" i="7"/>
  <c r="Q1014" i="7"/>
  <c r="R1014" i="7"/>
  <c r="S1014" i="7"/>
  <c r="T1014" i="7"/>
  <c r="U1014" i="7"/>
  <c r="V1014" i="7"/>
  <c r="W1014" i="7"/>
  <c r="X1014" i="7"/>
  <c r="Y1014" i="7"/>
  <c r="Z1014" i="7"/>
  <c r="AA1014" i="7"/>
  <c r="AB1014" i="7"/>
  <c r="AC1014" i="7"/>
  <c r="AD1014" i="7"/>
  <c r="AE1014" i="7"/>
  <c r="Q1015" i="7"/>
  <c r="R1015" i="7"/>
  <c r="S1015" i="7"/>
  <c r="T1015" i="7"/>
  <c r="U1015" i="7"/>
  <c r="V1015" i="7"/>
  <c r="W1015" i="7"/>
  <c r="X1015" i="7"/>
  <c r="Y1015" i="7"/>
  <c r="Z1015" i="7"/>
  <c r="AA1015" i="7"/>
  <c r="AB1015" i="7"/>
  <c r="AC1015" i="7"/>
  <c r="AD1015" i="7"/>
  <c r="AE1015" i="7"/>
  <c r="Q1016" i="7"/>
  <c r="R1016" i="7"/>
  <c r="S1016" i="7"/>
  <c r="T1016" i="7"/>
  <c r="U1016" i="7"/>
  <c r="V1016" i="7"/>
  <c r="W1016" i="7"/>
  <c r="X1016" i="7"/>
  <c r="Y1016" i="7"/>
  <c r="Z1016" i="7"/>
  <c r="AA1016" i="7"/>
  <c r="AB1016" i="7"/>
  <c r="AC1016" i="7"/>
  <c r="AD1016" i="7"/>
  <c r="AE1016" i="7"/>
  <c r="Q1017" i="7"/>
  <c r="R1017" i="7"/>
  <c r="S1017" i="7"/>
  <c r="T1017" i="7"/>
  <c r="U1017" i="7"/>
  <c r="V1017" i="7"/>
  <c r="W1017" i="7"/>
  <c r="X1017" i="7"/>
  <c r="Y1017" i="7"/>
  <c r="Z1017" i="7"/>
  <c r="AA1017" i="7"/>
  <c r="AB1017" i="7"/>
  <c r="AC1017" i="7"/>
  <c r="AD1017" i="7"/>
  <c r="AE1017" i="7"/>
  <c r="Q1018" i="7"/>
  <c r="R1018" i="7"/>
  <c r="S1018" i="7"/>
  <c r="T1018" i="7"/>
  <c r="U1018" i="7"/>
  <c r="V1018" i="7"/>
  <c r="W1018" i="7"/>
  <c r="X1018" i="7"/>
  <c r="Y1018" i="7"/>
  <c r="Z1018" i="7"/>
  <c r="AA1018" i="7"/>
  <c r="AB1018" i="7"/>
  <c r="AC1018" i="7"/>
  <c r="AD1018" i="7"/>
  <c r="AE1018" i="7"/>
  <c r="Q1019" i="7"/>
  <c r="R1019" i="7"/>
  <c r="S1019" i="7"/>
  <c r="T1019" i="7"/>
  <c r="U1019" i="7"/>
  <c r="V1019" i="7"/>
  <c r="W1019" i="7"/>
  <c r="X1019" i="7"/>
  <c r="Y1019" i="7"/>
  <c r="Z1019" i="7"/>
  <c r="AA1019" i="7"/>
  <c r="AB1019" i="7"/>
  <c r="AC1019" i="7"/>
  <c r="AD1019" i="7"/>
  <c r="AE1019" i="7"/>
  <c r="Q1020" i="7"/>
  <c r="R1020" i="7"/>
  <c r="S1020" i="7"/>
  <c r="T1020" i="7"/>
  <c r="U1020" i="7"/>
  <c r="V1020" i="7"/>
  <c r="W1020" i="7"/>
  <c r="X1020" i="7"/>
  <c r="Y1020" i="7"/>
  <c r="Z1020" i="7"/>
  <c r="AA1020" i="7"/>
  <c r="AB1020" i="7"/>
  <c r="AC1020" i="7"/>
  <c r="AD1020" i="7"/>
  <c r="AE1020" i="7"/>
  <c r="Q1021" i="7"/>
  <c r="R1021" i="7"/>
  <c r="S1021" i="7"/>
  <c r="T1021" i="7"/>
  <c r="U1021" i="7"/>
  <c r="V1021" i="7"/>
  <c r="W1021" i="7"/>
  <c r="X1021" i="7"/>
  <c r="Y1021" i="7"/>
  <c r="Z1021" i="7"/>
  <c r="AA1021" i="7"/>
  <c r="AB1021" i="7"/>
  <c r="AC1021" i="7"/>
  <c r="AD1021" i="7"/>
  <c r="AE1021" i="7"/>
  <c r="Q1022" i="7"/>
  <c r="R1022" i="7"/>
  <c r="S1022" i="7"/>
  <c r="T1022" i="7"/>
  <c r="U1022" i="7"/>
  <c r="V1022" i="7"/>
  <c r="W1022" i="7"/>
  <c r="X1022" i="7"/>
  <c r="Y1022" i="7"/>
  <c r="Z1022" i="7"/>
  <c r="AA1022" i="7"/>
  <c r="AB1022" i="7"/>
  <c r="AC1022" i="7"/>
  <c r="AD1022" i="7"/>
  <c r="AE1022" i="7"/>
  <c r="Q1023" i="7"/>
  <c r="R1023" i="7"/>
  <c r="S1023" i="7"/>
  <c r="T1023" i="7"/>
  <c r="U1023" i="7"/>
  <c r="V1023" i="7"/>
  <c r="W1023" i="7"/>
  <c r="X1023" i="7"/>
  <c r="Y1023" i="7"/>
  <c r="Z1023" i="7"/>
  <c r="AA1023" i="7"/>
  <c r="AB1023" i="7"/>
  <c r="AC1023" i="7"/>
  <c r="AD1023" i="7"/>
  <c r="AE1023" i="7"/>
  <c r="Q1024" i="7"/>
  <c r="R1024" i="7"/>
  <c r="S1024" i="7"/>
  <c r="T1024" i="7"/>
  <c r="U1024" i="7"/>
  <c r="V1024" i="7"/>
  <c r="W1024" i="7"/>
  <c r="X1024" i="7"/>
  <c r="Y1024" i="7"/>
  <c r="Z1024" i="7"/>
  <c r="AA1024" i="7"/>
  <c r="AB1024" i="7"/>
  <c r="AC1024" i="7"/>
  <c r="AD1024" i="7"/>
  <c r="AE1024" i="7"/>
  <c r="Q1025" i="7"/>
  <c r="R1025" i="7"/>
  <c r="S1025" i="7"/>
  <c r="T1025" i="7"/>
  <c r="U1025" i="7"/>
  <c r="V1025" i="7"/>
  <c r="W1025" i="7"/>
  <c r="X1025" i="7"/>
  <c r="Y1025" i="7"/>
  <c r="Z1025" i="7"/>
  <c r="AA1025" i="7"/>
  <c r="AB1025" i="7"/>
  <c r="AC1025" i="7"/>
  <c r="AD1025" i="7"/>
  <c r="AE1025" i="7"/>
  <c r="Q1026" i="7"/>
  <c r="R1026" i="7"/>
  <c r="S1026" i="7"/>
  <c r="T1026" i="7"/>
  <c r="U1026" i="7"/>
  <c r="V1026" i="7"/>
  <c r="W1026" i="7"/>
  <c r="X1026" i="7"/>
  <c r="Y1026" i="7"/>
  <c r="Z1026" i="7"/>
  <c r="AA1026" i="7"/>
  <c r="AB1026" i="7"/>
  <c r="AC1026" i="7"/>
  <c r="AD1026" i="7"/>
  <c r="AE1026" i="7"/>
  <c r="Q1027" i="7"/>
  <c r="R1027" i="7"/>
  <c r="S1027" i="7"/>
  <c r="T1027" i="7"/>
  <c r="U1027" i="7"/>
  <c r="V1027" i="7"/>
  <c r="W1027" i="7"/>
  <c r="X1027" i="7"/>
  <c r="Y1027" i="7"/>
  <c r="Z1027" i="7"/>
  <c r="AA1027" i="7"/>
  <c r="AB1027" i="7"/>
  <c r="AC1027" i="7"/>
  <c r="AD1027" i="7"/>
  <c r="AE1027" i="7"/>
  <c r="Q1028" i="7"/>
  <c r="R1028" i="7"/>
  <c r="S1028" i="7"/>
  <c r="T1028" i="7"/>
  <c r="U1028" i="7"/>
  <c r="V1028" i="7"/>
  <c r="W1028" i="7"/>
  <c r="X1028" i="7"/>
  <c r="Y1028" i="7"/>
  <c r="Z1028" i="7"/>
  <c r="AA1028" i="7"/>
  <c r="AB1028" i="7"/>
  <c r="AC1028" i="7"/>
  <c r="AD1028" i="7"/>
  <c r="AE1028" i="7"/>
  <c r="Q1029" i="7"/>
  <c r="R1029" i="7"/>
  <c r="S1029" i="7"/>
  <c r="T1029" i="7"/>
  <c r="U1029" i="7"/>
  <c r="V1029" i="7"/>
  <c r="W1029" i="7"/>
  <c r="X1029" i="7"/>
  <c r="Y1029" i="7"/>
  <c r="Z1029" i="7"/>
  <c r="AA1029" i="7"/>
  <c r="AB1029" i="7"/>
  <c r="AC1029" i="7"/>
  <c r="AD1029" i="7"/>
  <c r="AE1029" i="7"/>
  <c r="Q1030" i="7"/>
  <c r="R1030" i="7"/>
  <c r="S1030" i="7"/>
  <c r="T1030" i="7"/>
  <c r="U1030" i="7"/>
  <c r="V1030" i="7"/>
  <c r="W1030" i="7"/>
  <c r="X1030" i="7"/>
  <c r="Y1030" i="7"/>
  <c r="Z1030" i="7"/>
  <c r="AA1030" i="7"/>
  <c r="AB1030" i="7"/>
  <c r="AC1030" i="7"/>
  <c r="AD1030" i="7"/>
  <c r="AE1030" i="7"/>
  <c r="Q1031" i="7"/>
  <c r="R1031" i="7"/>
  <c r="S1031" i="7"/>
  <c r="T1031" i="7"/>
  <c r="U1031" i="7"/>
  <c r="V1031" i="7"/>
  <c r="W1031" i="7"/>
  <c r="X1031" i="7"/>
  <c r="Y1031" i="7"/>
  <c r="Z1031" i="7"/>
  <c r="AA1031" i="7"/>
  <c r="AB1031" i="7"/>
  <c r="AC1031" i="7"/>
  <c r="AD1031" i="7"/>
  <c r="AE1031" i="7"/>
  <c r="Q1032" i="7"/>
  <c r="R1032" i="7"/>
  <c r="S1032" i="7"/>
  <c r="T1032" i="7"/>
  <c r="U1032" i="7"/>
  <c r="V1032" i="7"/>
  <c r="W1032" i="7"/>
  <c r="X1032" i="7"/>
  <c r="Y1032" i="7"/>
  <c r="Z1032" i="7"/>
  <c r="AA1032" i="7"/>
  <c r="AB1032" i="7"/>
  <c r="AC1032" i="7"/>
  <c r="AD1032" i="7"/>
  <c r="AE1032" i="7"/>
  <c r="Q1033" i="7"/>
  <c r="R1033" i="7"/>
  <c r="S1033" i="7"/>
  <c r="T1033" i="7"/>
  <c r="U1033" i="7"/>
  <c r="V1033" i="7"/>
  <c r="W1033" i="7"/>
  <c r="X1033" i="7"/>
  <c r="Y1033" i="7"/>
  <c r="Z1033" i="7"/>
  <c r="AA1033" i="7"/>
  <c r="AB1033" i="7"/>
  <c r="AC1033" i="7"/>
  <c r="AD1033" i="7"/>
  <c r="AE1033" i="7"/>
  <c r="Q1034" i="7"/>
  <c r="R1034" i="7"/>
  <c r="S1034" i="7"/>
  <c r="T1034" i="7"/>
  <c r="U1034" i="7"/>
  <c r="V1034" i="7"/>
  <c r="W1034" i="7"/>
  <c r="X1034" i="7"/>
  <c r="Y1034" i="7"/>
  <c r="Z1034" i="7"/>
  <c r="AA1034" i="7"/>
  <c r="AB1034" i="7"/>
  <c r="AC1034" i="7"/>
  <c r="AD1034" i="7"/>
  <c r="AE1034" i="7"/>
  <c r="Q1035" i="7"/>
  <c r="R1035" i="7"/>
  <c r="S1035" i="7"/>
  <c r="T1035" i="7"/>
  <c r="U1035" i="7"/>
  <c r="V1035" i="7"/>
  <c r="W1035" i="7"/>
  <c r="X1035" i="7"/>
  <c r="Y1035" i="7"/>
  <c r="Z1035" i="7"/>
  <c r="AA1035" i="7"/>
  <c r="AB1035" i="7"/>
  <c r="AC1035" i="7"/>
  <c r="AD1035" i="7"/>
  <c r="AE1035" i="7"/>
  <c r="Q1036" i="7"/>
  <c r="R1036" i="7"/>
  <c r="S1036" i="7"/>
  <c r="T1036" i="7"/>
  <c r="U1036" i="7"/>
  <c r="V1036" i="7"/>
  <c r="W1036" i="7"/>
  <c r="X1036" i="7"/>
  <c r="Y1036" i="7"/>
  <c r="Z1036" i="7"/>
  <c r="AA1036" i="7"/>
  <c r="AB1036" i="7"/>
  <c r="AC1036" i="7"/>
  <c r="AD1036" i="7"/>
  <c r="AE1036" i="7"/>
  <c r="Q1037" i="7"/>
  <c r="R1037" i="7"/>
  <c r="S1037" i="7"/>
  <c r="T1037" i="7"/>
  <c r="U1037" i="7"/>
  <c r="V1037" i="7"/>
  <c r="W1037" i="7"/>
  <c r="X1037" i="7"/>
  <c r="Y1037" i="7"/>
  <c r="Z1037" i="7"/>
  <c r="AA1037" i="7"/>
  <c r="AB1037" i="7"/>
  <c r="AC1037" i="7"/>
  <c r="AD1037" i="7"/>
  <c r="AE1037" i="7"/>
  <c r="Q1038" i="7"/>
  <c r="R1038" i="7"/>
  <c r="S1038" i="7"/>
  <c r="T1038" i="7"/>
  <c r="U1038" i="7"/>
  <c r="V1038" i="7"/>
  <c r="W1038" i="7"/>
  <c r="X1038" i="7"/>
  <c r="Y1038" i="7"/>
  <c r="Z1038" i="7"/>
  <c r="AA1038" i="7"/>
  <c r="AB1038" i="7"/>
  <c r="AC1038" i="7"/>
  <c r="AD1038" i="7"/>
  <c r="AE1038" i="7"/>
  <c r="Q1039" i="7"/>
  <c r="R1039" i="7"/>
  <c r="S1039" i="7"/>
  <c r="T1039" i="7"/>
  <c r="U1039" i="7"/>
  <c r="V1039" i="7"/>
  <c r="W1039" i="7"/>
  <c r="X1039" i="7"/>
  <c r="Y1039" i="7"/>
  <c r="Z1039" i="7"/>
  <c r="AA1039" i="7"/>
  <c r="AB1039" i="7"/>
  <c r="AC1039" i="7"/>
  <c r="AD1039" i="7"/>
  <c r="AE1039" i="7"/>
  <c r="Q1040" i="7"/>
  <c r="R1040" i="7"/>
  <c r="S1040" i="7"/>
  <c r="T1040" i="7"/>
  <c r="U1040" i="7"/>
  <c r="V1040" i="7"/>
  <c r="W1040" i="7"/>
  <c r="X1040" i="7"/>
  <c r="Y1040" i="7"/>
  <c r="Z1040" i="7"/>
  <c r="AA1040" i="7"/>
  <c r="AB1040" i="7"/>
  <c r="AC1040" i="7"/>
  <c r="AD1040" i="7"/>
  <c r="AE1040" i="7"/>
  <c r="Q1041" i="7"/>
  <c r="R1041" i="7"/>
  <c r="S1041" i="7"/>
  <c r="T1041" i="7"/>
  <c r="U1041" i="7"/>
  <c r="V1041" i="7"/>
  <c r="W1041" i="7"/>
  <c r="X1041" i="7"/>
  <c r="Y1041" i="7"/>
  <c r="Z1041" i="7"/>
  <c r="AA1041" i="7"/>
  <c r="AB1041" i="7"/>
  <c r="AC1041" i="7"/>
  <c r="AD1041" i="7"/>
  <c r="AE1041" i="7"/>
  <c r="Q1042" i="7"/>
  <c r="R1042" i="7"/>
  <c r="S1042" i="7"/>
  <c r="T1042" i="7"/>
  <c r="U1042" i="7"/>
  <c r="V1042" i="7"/>
  <c r="W1042" i="7"/>
  <c r="X1042" i="7"/>
  <c r="Y1042" i="7"/>
  <c r="Z1042" i="7"/>
  <c r="AA1042" i="7"/>
  <c r="AB1042" i="7"/>
  <c r="AC1042" i="7"/>
  <c r="AD1042" i="7"/>
  <c r="AE1042" i="7"/>
  <c r="Q1043" i="7"/>
  <c r="R1043" i="7"/>
  <c r="S1043" i="7"/>
  <c r="T1043" i="7"/>
  <c r="U1043" i="7"/>
  <c r="V1043" i="7"/>
  <c r="W1043" i="7"/>
  <c r="X1043" i="7"/>
  <c r="Y1043" i="7"/>
  <c r="Z1043" i="7"/>
  <c r="AA1043" i="7"/>
  <c r="AB1043" i="7"/>
  <c r="AC1043" i="7"/>
  <c r="AD1043" i="7"/>
  <c r="AE1043" i="7"/>
  <c r="Q1044" i="7"/>
  <c r="R1044" i="7"/>
  <c r="S1044" i="7"/>
  <c r="T1044" i="7"/>
  <c r="U1044" i="7"/>
  <c r="V1044" i="7"/>
  <c r="W1044" i="7"/>
  <c r="X1044" i="7"/>
  <c r="Y1044" i="7"/>
  <c r="Z1044" i="7"/>
  <c r="AA1044" i="7"/>
  <c r="AB1044" i="7"/>
  <c r="AC1044" i="7"/>
  <c r="AD1044" i="7"/>
  <c r="AE1044" i="7"/>
  <c r="Q1045" i="7"/>
  <c r="R1045" i="7"/>
  <c r="S1045" i="7"/>
  <c r="T1045" i="7"/>
  <c r="U1045" i="7"/>
  <c r="V1045" i="7"/>
  <c r="W1045" i="7"/>
  <c r="X1045" i="7"/>
  <c r="Y1045" i="7"/>
  <c r="Z1045" i="7"/>
  <c r="AA1045" i="7"/>
  <c r="AB1045" i="7"/>
  <c r="AC1045" i="7"/>
  <c r="AD1045" i="7"/>
  <c r="AE1045" i="7"/>
  <c r="Q1046" i="7"/>
  <c r="R1046" i="7"/>
  <c r="S1046" i="7"/>
  <c r="T1046" i="7"/>
  <c r="U1046" i="7"/>
  <c r="V1046" i="7"/>
  <c r="W1046" i="7"/>
  <c r="X1046" i="7"/>
  <c r="Y1046" i="7"/>
  <c r="Z1046" i="7"/>
  <c r="AA1046" i="7"/>
  <c r="AB1046" i="7"/>
  <c r="AC1046" i="7"/>
  <c r="AD1046" i="7"/>
  <c r="AE1046" i="7"/>
  <c r="Q1047" i="7"/>
  <c r="R1047" i="7"/>
  <c r="S1047" i="7"/>
  <c r="T1047" i="7"/>
  <c r="U1047" i="7"/>
  <c r="V1047" i="7"/>
  <c r="W1047" i="7"/>
  <c r="X1047" i="7"/>
  <c r="Y1047" i="7"/>
  <c r="Z1047" i="7"/>
  <c r="AA1047" i="7"/>
  <c r="AB1047" i="7"/>
  <c r="AC1047" i="7"/>
  <c r="AD1047" i="7"/>
  <c r="AE1047" i="7"/>
  <c r="Q1048" i="7"/>
  <c r="R1048" i="7"/>
  <c r="S1048" i="7"/>
  <c r="T1048" i="7"/>
  <c r="U1048" i="7"/>
  <c r="V1048" i="7"/>
  <c r="W1048" i="7"/>
  <c r="X1048" i="7"/>
  <c r="Y1048" i="7"/>
  <c r="Z1048" i="7"/>
  <c r="AA1048" i="7"/>
  <c r="AB1048" i="7"/>
  <c r="AC1048" i="7"/>
  <c r="AD1048" i="7"/>
  <c r="AE1048" i="7"/>
  <c r="Q1049" i="7"/>
  <c r="R1049" i="7"/>
  <c r="S1049" i="7"/>
  <c r="T1049" i="7"/>
  <c r="U1049" i="7"/>
  <c r="V1049" i="7"/>
  <c r="W1049" i="7"/>
  <c r="X1049" i="7"/>
  <c r="Y1049" i="7"/>
  <c r="Z1049" i="7"/>
  <c r="AA1049" i="7"/>
  <c r="AB1049" i="7"/>
  <c r="AC1049" i="7"/>
  <c r="AD1049" i="7"/>
  <c r="AE1049" i="7"/>
  <c r="Q1050" i="7"/>
  <c r="R1050" i="7"/>
  <c r="S1050" i="7"/>
  <c r="T1050" i="7"/>
  <c r="U1050" i="7"/>
  <c r="V1050" i="7"/>
  <c r="W1050" i="7"/>
  <c r="X1050" i="7"/>
  <c r="Y1050" i="7"/>
  <c r="Z1050" i="7"/>
  <c r="AA1050" i="7"/>
  <c r="AB1050" i="7"/>
  <c r="AC1050" i="7"/>
  <c r="AD1050" i="7"/>
  <c r="AE1050" i="7"/>
  <c r="Q1051" i="7"/>
  <c r="R1051" i="7"/>
  <c r="S1051" i="7"/>
  <c r="T1051" i="7"/>
  <c r="U1051" i="7"/>
  <c r="V1051" i="7"/>
  <c r="W1051" i="7"/>
  <c r="X1051" i="7"/>
  <c r="Y1051" i="7"/>
  <c r="Z1051" i="7"/>
  <c r="AA1051" i="7"/>
  <c r="AB1051" i="7"/>
  <c r="AC1051" i="7"/>
  <c r="AD1051" i="7"/>
  <c r="AE1051" i="7"/>
  <c r="Q1052" i="7"/>
  <c r="R1052" i="7"/>
  <c r="S1052" i="7"/>
  <c r="T1052" i="7"/>
  <c r="U1052" i="7"/>
  <c r="V1052" i="7"/>
  <c r="W1052" i="7"/>
  <c r="X1052" i="7"/>
  <c r="Y1052" i="7"/>
  <c r="Z1052" i="7"/>
  <c r="AA1052" i="7"/>
  <c r="AB1052" i="7"/>
  <c r="AC1052" i="7"/>
  <c r="AD1052" i="7"/>
  <c r="AE1052" i="7"/>
  <c r="Q1053" i="7"/>
  <c r="R1053" i="7"/>
  <c r="S1053" i="7"/>
  <c r="T1053" i="7"/>
  <c r="U1053" i="7"/>
  <c r="V1053" i="7"/>
  <c r="W1053" i="7"/>
  <c r="X1053" i="7"/>
  <c r="Y1053" i="7"/>
  <c r="Z1053" i="7"/>
  <c r="AA1053" i="7"/>
  <c r="AB1053" i="7"/>
  <c r="AC1053" i="7"/>
  <c r="AD1053" i="7"/>
  <c r="AE1053" i="7"/>
  <c r="Q1054" i="7"/>
  <c r="R1054" i="7"/>
  <c r="S1054" i="7"/>
  <c r="T1054" i="7"/>
  <c r="U1054" i="7"/>
  <c r="V1054" i="7"/>
  <c r="W1054" i="7"/>
  <c r="X1054" i="7"/>
  <c r="Y1054" i="7"/>
  <c r="Z1054" i="7"/>
  <c r="AA1054" i="7"/>
  <c r="AB1054" i="7"/>
  <c r="AC1054" i="7"/>
  <c r="AD1054" i="7"/>
  <c r="AE1054" i="7"/>
  <c r="Q1055" i="7"/>
  <c r="R1055" i="7"/>
  <c r="S1055" i="7"/>
  <c r="T1055" i="7"/>
  <c r="U1055" i="7"/>
  <c r="V1055" i="7"/>
  <c r="W1055" i="7"/>
  <c r="X1055" i="7"/>
  <c r="Y1055" i="7"/>
  <c r="Z1055" i="7"/>
  <c r="AA1055" i="7"/>
  <c r="AB1055" i="7"/>
  <c r="AC1055" i="7"/>
  <c r="AD1055" i="7"/>
  <c r="AE1055" i="7"/>
  <c r="Q1056" i="7"/>
  <c r="R1056" i="7"/>
  <c r="S1056" i="7"/>
  <c r="T1056" i="7"/>
  <c r="U1056" i="7"/>
  <c r="V1056" i="7"/>
  <c r="W1056" i="7"/>
  <c r="X1056" i="7"/>
  <c r="Y1056" i="7"/>
  <c r="Z1056" i="7"/>
  <c r="AA1056" i="7"/>
  <c r="AB1056" i="7"/>
  <c r="AC1056" i="7"/>
  <c r="AD1056" i="7"/>
  <c r="AE1056" i="7"/>
  <c r="Q1057" i="7"/>
  <c r="R1057" i="7"/>
  <c r="S1057" i="7"/>
  <c r="T1057" i="7"/>
  <c r="U1057" i="7"/>
  <c r="V1057" i="7"/>
  <c r="W1057" i="7"/>
  <c r="X1057" i="7"/>
  <c r="Y1057" i="7"/>
  <c r="Z1057" i="7"/>
  <c r="AA1057" i="7"/>
  <c r="AB1057" i="7"/>
  <c r="AC1057" i="7"/>
  <c r="AD1057" i="7"/>
  <c r="AE1057" i="7"/>
  <c r="Q1058" i="7"/>
  <c r="R1058" i="7"/>
  <c r="S1058" i="7"/>
  <c r="T1058" i="7"/>
  <c r="U1058" i="7"/>
  <c r="V1058" i="7"/>
  <c r="W1058" i="7"/>
  <c r="X1058" i="7"/>
  <c r="Y1058" i="7"/>
  <c r="Z1058" i="7"/>
  <c r="AA1058" i="7"/>
  <c r="AB1058" i="7"/>
  <c r="AC1058" i="7"/>
  <c r="AD1058" i="7"/>
  <c r="AE1058" i="7"/>
  <c r="Q1059" i="7"/>
  <c r="R1059" i="7"/>
  <c r="S1059" i="7"/>
  <c r="T1059" i="7"/>
  <c r="U1059" i="7"/>
  <c r="V1059" i="7"/>
  <c r="W1059" i="7"/>
  <c r="X1059" i="7"/>
  <c r="Y1059" i="7"/>
  <c r="Z1059" i="7"/>
  <c r="AA1059" i="7"/>
  <c r="AB1059" i="7"/>
  <c r="AC1059" i="7"/>
  <c r="AD1059" i="7"/>
  <c r="AE1059" i="7"/>
  <c r="Q1060" i="7"/>
  <c r="R1060" i="7"/>
  <c r="S1060" i="7"/>
  <c r="T1060" i="7"/>
  <c r="U1060" i="7"/>
  <c r="V1060" i="7"/>
  <c r="W1060" i="7"/>
  <c r="X1060" i="7"/>
  <c r="Y1060" i="7"/>
  <c r="Z1060" i="7"/>
  <c r="AA1060" i="7"/>
  <c r="AB1060" i="7"/>
  <c r="AC1060" i="7"/>
  <c r="AD1060" i="7"/>
  <c r="AE1060" i="7"/>
  <c r="Q1061" i="7"/>
  <c r="R1061" i="7"/>
  <c r="S1061" i="7"/>
  <c r="T1061" i="7"/>
  <c r="U1061" i="7"/>
  <c r="V1061" i="7"/>
  <c r="W1061" i="7"/>
  <c r="X1061" i="7"/>
  <c r="Y1061" i="7"/>
  <c r="Z1061" i="7"/>
  <c r="AA1061" i="7"/>
  <c r="AB1061" i="7"/>
  <c r="AC1061" i="7"/>
  <c r="AD1061" i="7"/>
  <c r="AE1061" i="7"/>
  <c r="Q1062" i="7"/>
  <c r="R1062" i="7"/>
  <c r="S1062" i="7"/>
  <c r="T1062" i="7"/>
  <c r="U1062" i="7"/>
  <c r="V1062" i="7"/>
  <c r="W1062" i="7"/>
  <c r="X1062" i="7"/>
  <c r="Y1062" i="7"/>
  <c r="Z1062" i="7"/>
  <c r="AA1062" i="7"/>
  <c r="AB1062" i="7"/>
  <c r="AC1062" i="7"/>
  <c r="AD1062" i="7"/>
  <c r="AE1062" i="7"/>
  <c r="Q1063" i="7"/>
  <c r="R1063" i="7"/>
  <c r="S1063" i="7"/>
  <c r="T1063" i="7"/>
  <c r="U1063" i="7"/>
  <c r="V1063" i="7"/>
  <c r="W1063" i="7"/>
  <c r="X1063" i="7"/>
  <c r="Y1063" i="7"/>
  <c r="Z1063" i="7"/>
  <c r="AA1063" i="7"/>
  <c r="AB1063" i="7"/>
  <c r="AC1063" i="7"/>
  <c r="AD1063" i="7"/>
  <c r="AE1063" i="7"/>
  <c r="Q1064" i="7"/>
  <c r="R1064" i="7"/>
  <c r="S1064" i="7"/>
  <c r="T1064" i="7"/>
  <c r="U1064" i="7"/>
  <c r="V1064" i="7"/>
  <c r="W1064" i="7"/>
  <c r="X1064" i="7"/>
  <c r="Y1064" i="7"/>
  <c r="Z1064" i="7"/>
  <c r="AA1064" i="7"/>
  <c r="AB1064" i="7"/>
  <c r="AC1064" i="7"/>
  <c r="AD1064" i="7"/>
  <c r="AE1064" i="7"/>
  <c r="Q1065" i="7"/>
  <c r="R1065" i="7"/>
  <c r="S1065" i="7"/>
  <c r="T1065" i="7"/>
  <c r="U1065" i="7"/>
  <c r="V1065" i="7"/>
  <c r="W1065" i="7"/>
  <c r="X1065" i="7"/>
  <c r="Y1065" i="7"/>
  <c r="Z1065" i="7"/>
  <c r="AA1065" i="7"/>
  <c r="AB1065" i="7"/>
  <c r="AC1065" i="7"/>
  <c r="AD1065" i="7"/>
  <c r="AE1065" i="7"/>
  <c r="Q1066" i="7"/>
  <c r="R1066" i="7"/>
  <c r="S1066" i="7"/>
  <c r="T1066" i="7"/>
  <c r="U1066" i="7"/>
  <c r="V1066" i="7"/>
  <c r="W1066" i="7"/>
  <c r="X1066" i="7"/>
  <c r="Y1066" i="7"/>
  <c r="Z1066" i="7"/>
  <c r="AA1066" i="7"/>
  <c r="AB1066" i="7"/>
  <c r="AC1066" i="7"/>
  <c r="AD1066" i="7"/>
  <c r="AE1066" i="7"/>
  <c r="Q1067" i="7"/>
  <c r="R1067" i="7"/>
  <c r="S1067" i="7"/>
  <c r="T1067" i="7"/>
  <c r="U1067" i="7"/>
  <c r="V1067" i="7"/>
  <c r="W1067" i="7"/>
  <c r="X1067" i="7"/>
  <c r="Y1067" i="7"/>
  <c r="Z1067" i="7"/>
  <c r="AA1067" i="7"/>
  <c r="AB1067" i="7"/>
  <c r="AC1067" i="7"/>
  <c r="AD1067" i="7"/>
  <c r="AE1067" i="7"/>
  <c r="Q1068" i="7"/>
  <c r="R1068" i="7"/>
  <c r="S1068" i="7"/>
  <c r="T1068" i="7"/>
  <c r="U1068" i="7"/>
  <c r="V1068" i="7"/>
  <c r="W1068" i="7"/>
  <c r="X1068" i="7"/>
  <c r="Y1068" i="7"/>
  <c r="Z1068" i="7"/>
  <c r="AA1068" i="7"/>
  <c r="AB1068" i="7"/>
  <c r="AC1068" i="7"/>
  <c r="AD1068" i="7"/>
  <c r="AE1068" i="7"/>
  <c r="Q1069" i="7"/>
  <c r="R1069" i="7"/>
  <c r="S1069" i="7"/>
  <c r="T1069" i="7"/>
  <c r="U1069" i="7"/>
  <c r="V1069" i="7"/>
  <c r="W1069" i="7"/>
  <c r="X1069" i="7"/>
  <c r="Y1069" i="7"/>
  <c r="Z1069" i="7"/>
  <c r="AA1069" i="7"/>
  <c r="AB1069" i="7"/>
  <c r="AC1069" i="7"/>
  <c r="AD1069" i="7"/>
  <c r="AE1069" i="7"/>
  <c r="Q1070" i="7"/>
  <c r="R1070" i="7"/>
  <c r="S1070" i="7"/>
  <c r="T1070" i="7"/>
  <c r="U1070" i="7"/>
  <c r="V1070" i="7"/>
  <c r="W1070" i="7"/>
  <c r="X1070" i="7"/>
  <c r="Y1070" i="7"/>
  <c r="Z1070" i="7"/>
  <c r="AA1070" i="7"/>
  <c r="AB1070" i="7"/>
  <c r="AC1070" i="7"/>
  <c r="AD1070" i="7"/>
  <c r="AE1070" i="7"/>
  <c r="Q1071" i="7"/>
  <c r="R1071" i="7"/>
  <c r="S1071" i="7"/>
  <c r="T1071" i="7"/>
  <c r="U1071" i="7"/>
  <c r="V1071" i="7"/>
  <c r="W1071" i="7"/>
  <c r="X1071" i="7"/>
  <c r="Y1071" i="7"/>
  <c r="Z1071" i="7"/>
  <c r="AA1071" i="7"/>
  <c r="AB1071" i="7"/>
  <c r="AC1071" i="7"/>
  <c r="AD1071" i="7"/>
  <c r="AE1071" i="7"/>
  <c r="Q1072" i="7"/>
  <c r="R1072" i="7"/>
  <c r="S1072" i="7"/>
  <c r="T1072" i="7"/>
  <c r="U1072" i="7"/>
  <c r="V1072" i="7"/>
  <c r="W1072" i="7"/>
  <c r="X1072" i="7"/>
  <c r="Y1072" i="7"/>
  <c r="Z1072" i="7"/>
  <c r="AA1072" i="7"/>
  <c r="AB1072" i="7"/>
  <c r="AC1072" i="7"/>
  <c r="AD1072" i="7"/>
  <c r="AE1072" i="7"/>
  <c r="Q1073" i="7"/>
  <c r="R1073" i="7"/>
  <c r="S1073" i="7"/>
  <c r="T1073" i="7"/>
  <c r="U1073" i="7"/>
  <c r="V1073" i="7"/>
  <c r="W1073" i="7"/>
  <c r="X1073" i="7"/>
  <c r="Y1073" i="7"/>
  <c r="Z1073" i="7"/>
  <c r="AA1073" i="7"/>
  <c r="AB1073" i="7"/>
  <c r="AC1073" i="7"/>
  <c r="AD1073" i="7"/>
  <c r="AE1073" i="7"/>
  <c r="Q1074" i="7"/>
  <c r="R1074" i="7"/>
  <c r="S1074" i="7"/>
  <c r="T1074" i="7"/>
  <c r="U1074" i="7"/>
  <c r="V1074" i="7"/>
  <c r="W1074" i="7"/>
  <c r="X1074" i="7"/>
  <c r="Y1074" i="7"/>
  <c r="Z1074" i="7"/>
  <c r="AA1074" i="7"/>
  <c r="AB1074" i="7"/>
  <c r="AC1074" i="7"/>
  <c r="AD1074" i="7"/>
  <c r="AE1074" i="7"/>
  <c r="Q1075" i="7"/>
  <c r="R1075" i="7"/>
  <c r="S1075" i="7"/>
  <c r="T1075" i="7"/>
  <c r="U1075" i="7"/>
  <c r="V1075" i="7"/>
  <c r="W1075" i="7"/>
  <c r="X1075" i="7"/>
  <c r="Y1075" i="7"/>
  <c r="Z1075" i="7"/>
  <c r="AA1075" i="7"/>
  <c r="AB1075" i="7"/>
  <c r="AC1075" i="7"/>
  <c r="AD1075" i="7"/>
  <c r="AE1075" i="7"/>
  <c r="Q1076" i="7"/>
  <c r="R1076" i="7"/>
  <c r="S1076" i="7"/>
  <c r="T1076" i="7"/>
  <c r="U1076" i="7"/>
  <c r="V1076" i="7"/>
  <c r="W1076" i="7"/>
  <c r="X1076" i="7"/>
  <c r="Y1076" i="7"/>
  <c r="Z1076" i="7"/>
  <c r="AA1076" i="7"/>
  <c r="AB1076" i="7"/>
  <c r="AC1076" i="7"/>
  <c r="AD1076" i="7"/>
  <c r="AE1076" i="7"/>
  <c r="Q1077" i="7"/>
  <c r="R1077" i="7"/>
  <c r="S1077" i="7"/>
  <c r="T1077" i="7"/>
  <c r="U1077" i="7"/>
  <c r="V1077" i="7"/>
  <c r="W1077" i="7"/>
  <c r="X1077" i="7"/>
  <c r="Y1077" i="7"/>
  <c r="Z1077" i="7"/>
  <c r="AA1077" i="7"/>
  <c r="AB1077" i="7"/>
  <c r="AC1077" i="7"/>
  <c r="AD1077" i="7"/>
  <c r="AE1077" i="7"/>
  <c r="Q1078" i="7"/>
  <c r="R1078" i="7"/>
  <c r="S1078" i="7"/>
  <c r="T1078" i="7"/>
  <c r="U1078" i="7"/>
  <c r="V1078" i="7"/>
  <c r="W1078" i="7"/>
  <c r="X1078" i="7"/>
  <c r="Y1078" i="7"/>
  <c r="Z1078" i="7"/>
  <c r="AA1078" i="7"/>
  <c r="AB1078" i="7"/>
  <c r="AC1078" i="7"/>
  <c r="AD1078" i="7"/>
  <c r="AE1078" i="7"/>
  <c r="Q1079" i="7"/>
  <c r="R1079" i="7"/>
  <c r="S1079" i="7"/>
  <c r="T1079" i="7"/>
  <c r="U1079" i="7"/>
  <c r="V1079" i="7"/>
  <c r="W1079" i="7"/>
  <c r="X1079" i="7"/>
  <c r="Y1079" i="7"/>
  <c r="Z1079" i="7"/>
  <c r="AA1079" i="7"/>
  <c r="AB1079" i="7"/>
  <c r="AC1079" i="7"/>
  <c r="AD1079" i="7"/>
  <c r="AE1079" i="7"/>
  <c r="Q1080" i="7"/>
  <c r="R1080" i="7"/>
  <c r="S1080" i="7"/>
  <c r="T1080" i="7"/>
  <c r="U1080" i="7"/>
  <c r="V1080" i="7"/>
  <c r="W1080" i="7"/>
  <c r="X1080" i="7"/>
  <c r="Y1080" i="7"/>
  <c r="Z1080" i="7"/>
  <c r="AA1080" i="7"/>
  <c r="AB1080" i="7"/>
  <c r="AC1080" i="7"/>
  <c r="AD1080" i="7"/>
  <c r="AE1080" i="7"/>
  <c r="Q1081" i="7"/>
  <c r="R1081" i="7"/>
  <c r="S1081" i="7"/>
  <c r="T1081" i="7"/>
  <c r="U1081" i="7"/>
  <c r="V1081" i="7"/>
  <c r="W1081" i="7"/>
  <c r="X1081" i="7"/>
  <c r="Y1081" i="7"/>
  <c r="Z1081" i="7"/>
  <c r="AA1081" i="7"/>
  <c r="AB1081" i="7"/>
  <c r="AC1081" i="7"/>
  <c r="AD1081" i="7"/>
  <c r="AE1081" i="7"/>
  <c r="Q1082" i="7"/>
  <c r="R1082" i="7"/>
  <c r="S1082" i="7"/>
  <c r="T1082" i="7"/>
  <c r="U1082" i="7"/>
  <c r="V1082" i="7"/>
  <c r="W1082" i="7"/>
  <c r="X1082" i="7"/>
  <c r="Y1082" i="7"/>
  <c r="Z1082" i="7"/>
  <c r="AA1082" i="7"/>
  <c r="AB1082" i="7"/>
  <c r="AC1082" i="7"/>
  <c r="AD1082" i="7"/>
  <c r="AE1082" i="7"/>
  <c r="Q1083" i="7"/>
  <c r="R1083" i="7"/>
  <c r="S1083" i="7"/>
  <c r="T1083" i="7"/>
  <c r="U1083" i="7"/>
  <c r="V1083" i="7"/>
  <c r="W1083" i="7"/>
  <c r="X1083" i="7"/>
  <c r="Y1083" i="7"/>
  <c r="Z1083" i="7"/>
  <c r="AA1083" i="7"/>
  <c r="AB1083" i="7"/>
  <c r="AC1083" i="7"/>
  <c r="AD1083" i="7"/>
  <c r="AE1083" i="7"/>
  <c r="Q1084" i="7"/>
  <c r="R1084" i="7"/>
  <c r="S1084" i="7"/>
  <c r="T1084" i="7"/>
  <c r="U1084" i="7"/>
  <c r="V1084" i="7"/>
  <c r="W1084" i="7"/>
  <c r="X1084" i="7"/>
  <c r="Y1084" i="7"/>
  <c r="Z1084" i="7"/>
  <c r="AA1084" i="7"/>
  <c r="AB1084" i="7"/>
  <c r="AC1084" i="7"/>
  <c r="AD1084" i="7"/>
  <c r="AE1084" i="7"/>
  <c r="Q1085" i="7"/>
  <c r="R1085" i="7"/>
  <c r="S1085" i="7"/>
  <c r="T1085" i="7"/>
  <c r="U1085" i="7"/>
  <c r="V1085" i="7"/>
  <c r="W1085" i="7"/>
  <c r="X1085" i="7"/>
  <c r="Y1085" i="7"/>
  <c r="Z1085" i="7"/>
  <c r="AA1085" i="7"/>
  <c r="AB1085" i="7"/>
  <c r="AC1085" i="7"/>
  <c r="AD1085" i="7"/>
  <c r="AE1085" i="7"/>
  <c r="Q1086" i="7"/>
  <c r="R1086" i="7"/>
  <c r="S1086" i="7"/>
  <c r="T1086" i="7"/>
  <c r="U1086" i="7"/>
  <c r="V1086" i="7"/>
  <c r="W1086" i="7"/>
  <c r="X1086" i="7"/>
  <c r="Y1086" i="7"/>
  <c r="Z1086" i="7"/>
  <c r="AA1086" i="7"/>
  <c r="AB1086" i="7"/>
  <c r="AC1086" i="7"/>
  <c r="AD1086" i="7"/>
  <c r="AE1086" i="7"/>
  <c r="Q1087" i="7"/>
  <c r="R1087" i="7"/>
  <c r="S1087" i="7"/>
  <c r="T1087" i="7"/>
  <c r="U1087" i="7"/>
  <c r="V1087" i="7"/>
  <c r="W1087" i="7"/>
  <c r="X1087" i="7"/>
  <c r="Y1087" i="7"/>
  <c r="Z1087" i="7"/>
  <c r="AA1087" i="7"/>
  <c r="AB1087" i="7"/>
  <c r="AC1087" i="7"/>
  <c r="AD1087" i="7"/>
  <c r="AE1087" i="7"/>
  <c r="Q1088" i="7"/>
  <c r="R1088" i="7"/>
  <c r="S1088" i="7"/>
  <c r="T1088" i="7"/>
  <c r="U1088" i="7"/>
  <c r="V1088" i="7"/>
  <c r="W1088" i="7"/>
  <c r="X1088" i="7"/>
  <c r="Y1088" i="7"/>
  <c r="Z1088" i="7"/>
  <c r="AA1088" i="7"/>
  <c r="AB1088" i="7"/>
  <c r="AC1088" i="7"/>
  <c r="AD1088" i="7"/>
  <c r="AE1088" i="7"/>
  <c r="Q1089" i="7"/>
  <c r="R1089" i="7"/>
  <c r="S1089" i="7"/>
  <c r="T1089" i="7"/>
  <c r="U1089" i="7"/>
  <c r="V1089" i="7"/>
  <c r="W1089" i="7"/>
  <c r="X1089" i="7"/>
  <c r="Y1089" i="7"/>
  <c r="Z1089" i="7"/>
  <c r="AA1089" i="7"/>
  <c r="AB1089" i="7"/>
  <c r="AC1089" i="7"/>
  <c r="AD1089" i="7"/>
  <c r="AE1089" i="7"/>
  <c r="Q1090" i="7"/>
  <c r="R1090" i="7"/>
  <c r="S1090" i="7"/>
  <c r="T1090" i="7"/>
  <c r="U1090" i="7"/>
  <c r="V1090" i="7"/>
  <c r="W1090" i="7"/>
  <c r="X1090" i="7"/>
  <c r="Y1090" i="7"/>
  <c r="Z1090" i="7"/>
  <c r="AA1090" i="7"/>
  <c r="AB1090" i="7"/>
  <c r="AC1090" i="7"/>
  <c r="AD1090" i="7"/>
  <c r="AE1090" i="7"/>
  <c r="Q1091" i="7"/>
  <c r="R1091" i="7"/>
  <c r="S1091" i="7"/>
  <c r="T1091" i="7"/>
  <c r="U1091" i="7"/>
  <c r="V1091" i="7"/>
  <c r="W1091" i="7"/>
  <c r="X1091" i="7"/>
  <c r="Y1091" i="7"/>
  <c r="Z1091" i="7"/>
  <c r="AA1091" i="7"/>
  <c r="AB1091" i="7"/>
  <c r="AC1091" i="7"/>
  <c r="AD1091" i="7"/>
  <c r="AE1091" i="7"/>
  <c r="Q1092" i="7"/>
  <c r="R1092" i="7"/>
  <c r="S1092" i="7"/>
  <c r="T1092" i="7"/>
  <c r="U1092" i="7"/>
  <c r="V1092" i="7"/>
  <c r="W1092" i="7"/>
  <c r="X1092" i="7"/>
  <c r="Y1092" i="7"/>
  <c r="Z1092" i="7"/>
  <c r="AA1092" i="7"/>
  <c r="AB1092" i="7"/>
  <c r="AC1092" i="7"/>
  <c r="AD1092" i="7"/>
  <c r="AE1092" i="7"/>
  <c r="Q1093" i="7"/>
  <c r="R1093" i="7"/>
  <c r="S1093" i="7"/>
  <c r="T1093" i="7"/>
  <c r="U1093" i="7"/>
  <c r="V1093" i="7"/>
  <c r="W1093" i="7"/>
  <c r="X1093" i="7"/>
  <c r="Y1093" i="7"/>
  <c r="Z1093" i="7"/>
  <c r="AA1093" i="7"/>
  <c r="AB1093" i="7"/>
  <c r="AC1093" i="7"/>
  <c r="AD1093" i="7"/>
  <c r="AE1093" i="7"/>
  <c r="Q1094" i="7"/>
  <c r="R1094" i="7"/>
  <c r="S1094" i="7"/>
  <c r="T1094" i="7"/>
  <c r="U1094" i="7"/>
  <c r="V1094" i="7"/>
  <c r="W1094" i="7"/>
  <c r="X1094" i="7"/>
  <c r="Y1094" i="7"/>
  <c r="Z1094" i="7"/>
  <c r="AA1094" i="7"/>
  <c r="AB1094" i="7"/>
  <c r="AC1094" i="7"/>
  <c r="AD1094" i="7"/>
  <c r="AE1094" i="7"/>
  <c r="Q1095" i="7"/>
  <c r="R1095" i="7"/>
  <c r="S1095" i="7"/>
  <c r="T1095" i="7"/>
  <c r="U1095" i="7"/>
  <c r="V1095" i="7"/>
  <c r="W1095" i="7"/>
  <c r="X1095" i="7"/>
  <c r="Y1095" i="7"/>
  <c r="Z1095" i="7"/>
  <c r="AA1095" i="7"/>
  <c r="AB1095" i="7"/>
  <c r="AC1095" i="7"/>
  <c r="AD1095" i="7"/>
  <c r="AE1095" i="7"/>
  <c r="Q1096" i="7"/>
  <c r="R1096" i="7"/>
  <c r="S1096" i="7"/>
  <c r="T1096" i="7"/>
  <c r="U1096" i="7"/>
  <c r="V1096" i="7"/>
  <c r="W1096" i="7"/>
  <c r="X1096" i="7"/>
  <c r="Y1096" i="7"/>
  <c r="Z1096" i="7"/>
  <c r="AA1096" i="7"/>
  <c r="AB1096" i="7"/>
  <c r="AC1096" i="7"/>
  <c r="AD1096" i="7"/>
  <c r="AE1096" i="7"/>
  <c r="Q1097" i="7"/>
  <c r="R1097" i="7"/>
  <c r="S1097" i="7"/>
  <c r="T1097" i="7"/>
  <c r="U1097" i="7"/>
  <c r="V1097" i="7"/>
  <c r="W1097" i="7"/>
  <c r="X1097" i="7"/>
  <c r="Y1097" i="7"/>
  <c r="Z1097" i="7"/>
  <c r="AA1097" i="7"/>
  <c r="AB1097" i="7"/>
  <c r="AC1097" i="7"/>
  <c r="AD1097" i="7"/>
  <c r="AE1097" i="7"/>
  <c r="Q1098" i="7"/>
  <c r="R1098" i="7"/>
  <c r="S1098" i="7"/>
  <c r="T1098" i="7"/>
  <c r="U1098" i="7"/>
  <c r="V1098" i="7"/>
  <c r="W1098" i="7"/>
  <c r="X1098" i="7"/>
  <c r="Y1098" i="7"/>
  <c r="Z1098" i="7"/>
  <c r="AA1098" i="7"/>
  <c r="AB1098" i="7"/>
  <c r="AC1098" i="7"/>
  <c r="AD1098" i="7"/>
  <c r="AE1098" i="7"/>
  <c r="Q1099" i="7"/>
  <c r="R1099" i="7"/>
  <c r="S1099" i="7"/>
  <c r="T1099" i="7"/>
  <c r="U1099" i="7"/>
  <c r="V1099" i="7"/>
  <c r="W1099" i="7"/>
  <c r="X1099" i="7"/>
  <c r="Y1099" i="7"/>
  <c r="Z1099" i="7"/>
  <c r="AA1099" i="7"/>
  <c r="AB1099" i="7"/>
  <c r="AC1099" i="7"/>
  <c r="AD1099" i="7"/>
  <c r="AE1099" i="7"/>
  <c r="Q1100" i="7"/>
  <c r="R1100" i="7"/>
  <c r="S1100" i="7"/>
  <c r="T1100" i="7"/>
  <c r="U1100" i="7"/>
  <c r="V1100" i="7"/>
  <c r="W1100" i="7"/>
  <c r="X1100" i="7"/>
  <c r="Y1100" i="7"/>
  <c r="Z1100" i="7"/>
  <c r="AA1100" i="7"/>
  <c r="AB1100" i="7"/>
  <c r="AC1100" i="7"/>
  <c r="AD1100" i="7"/>
  <c r="AE1100" i="7"/>
  <c r="Q1101" i="7"/>
  <c r="R1101" i="7"/>
  <c r="S1101" i="7"/>
  <c r="T1101" i="7"/>
  <c r="U1101" i="7"/>
  <c r="V1101" i="7"/>
  <c r="W1101" i="7"/>
  <c r="X1101" i="7"/>
  <c r="Y1101" i="7"/>
  <c r="Z1101" i="7"/>
  <c r="AA1101" i="7"/>
  <c r="AB1101" i="7"/>
  <c r="AC1101" i="7"/>
  <c r="AD1101" i="7"/>
  <c r="AE1101" i="7"/>
  <c r="Q1102" i="7"/>
  <c r="R1102" i="7"/>
  <c r="S1102" i="7"/>
  <c r="T1102" i="7"/>
  <c r="U1102" i="7"/>
  <c r="V1102" i="7"/>
  <c r="W1102" i="7"/>
  <c r="X1102" i="7"/>
  <c r="Y1102" i="7"/>
  <c r="Z1102" i="7"/>
  <c r="AA1102" i="7"/>
  <c r="AB1102" i="7"/>
  <c r="AC1102" i="7"/>
  <c r="AD1102" i="7"/>
  <c r="AE1102" i="7"/>
  <c r="Q1103" i="7"/>
  <c r="R1103" i="7"/>
  <c r="S1103" i="7"/>
  <c r="T1103" i="7"/>
  <c r="U1103" i="7"/>
  <c r="V1103" i="7"/>
  <c r="W1103" i="7"/>
  <c r="X1103" i="7"/>
  <c r="Y1103" i="7"/>
  <c r="Z1103" i="7"/>
  <c r="AA1103" i="7"/>
  <c r="AB1103" i="7"/>
  <c r="AC1103" i="7"/>
  <c r="AD1103" i="7"/>
  <c r="AE1103" i="7"/>
  <c r="Q1104" i="7"/>
  <c r="R1104" i="7"/>
  <c r="S1104" i="7"/>
  <c r="T1104" i="7"/>
  <c r="U1104" i="7"/>
  <c r="V1104" i="7"/>
  <c r="W1104" i="7"/>
  <c r="X1104" i="7"/>
  <c r="Y1104" i="7"/>
  <c r="Z1104" i="7"/>
  <c r="AA1104" i="7"/>
  <c r="AB1104" i="7"/>
  <c r="AC1104" i="7"/>
  <c r="AD1104" i="7"/>
  <c r="AE1104" i="7"/>
  <c r="Q1105" i="7"/>
  <c r="R1105" i="7"/>
  <c r="S1105" i="7"/>
  <c r="T1105" i="7"/>
  <c r="U1105" i="7"/>
  <c r="V1105" i="7"/>
  <c r="W1105" i="7"/>
  <c r="X1105" i="7"/>
  <c r="Y1105" i="7"/>
  <c r="Z1105" i="7"/>
  <c r="AA1105" i="7"/>
  <c r="AB1105" i="7"/>
  <c r="AC1105" i="7"/>
  <c r="AD1105" i="7"/>
  <c r="AE1105" i="7"/>
  <c r="Q1106" i="7"/>
  <c r="R1106" i="7"/>
  <c r="S1106" i="7"/>
  <c r="T1106" i="7"/>
  <c r="U1106" i="7"/>
  <c r="V1106" i="7"/>
  <c r="W1106" i="7"/>
  <c r="X1106" i="7"/>
  <c r="Y1106" i="7"/>
  <c r="Z1106" i="7"/>
  <c r="AA1106" i="7"/>
  <c r="AB1106" i="7"/>
  <c r="AC1106" i="7"/>
  <c r="AD1106" i="7"/>
  <c r="AE1106" i="7"/>
  <c r="Q1107" i="7"/>
  <c r="R1107" i="7"/>
  <c r="S1107" i="7"/>
  <c r="T1107" i="7"/>
  <c r="U1107" i="7"/>
  <c r="V1107" i="7"/>
  <c r="W1107" i="7"/>
  <c r="X1107" i="7"/>
  <c r="Y1107" i="7"/>
  <c r="Z1107" i="7"/>
  <c r="AA1107" i="7"/>
  <c r="AB1107" i="7"/>
  <c r="AC1107" i="7"/>
  <c r="AD1107" i="7"/>
  <c r="AE1107" i="7"/>
  <c r="Q1108" i="7"/>
  <c r="R1108" i="7"/>
  <c r="S1108" i="7"/>
  <c r="T1108" i="7"/>
  <c r="U1108" i="7"/>
  <c r="V1108" i="7"/>
  <c r="W1108" i="7"/>
  <c r="X1108" i="7"/>
  <c r="Y1108" i="7"/>
  <c r="Z1108" i="7"/>
  <c r="AA1108" i="7"/>
  <c r="AB1108" i="7"/>
  <c r="AC1108" i="7"/>
  <c r="AD1108" i="7"/>
  <c r="AE1108" i="7"/>
  <c r="Q1109" i="7"/>
  <c r="R1109" i="7"/>
  <c r="S1109" i="7"/>
  <c r="T1109" i="7"/>
  <c r="U1109" i="7"/>
  <c r="V1109" i="7"/>
  <c r="W1109" i="7"/>
  <c r="X1109" i="7"/>
  <c r="Y1109" i="7"/>
  <c r="Z1109" i="7"/>
  <c r="AA1109" i="7"/>
  <c r="AB1109" i="7"/>
  <c r="AC1109" i="7"/>
  <c r="AD1109" i="7"/>
  <c r="AE1109" i="7"/>
  <c r="Q1110" i="7"/>
  <c r="R1110" i="7"/>
  <c r="S1110" i="7"/>
  <c r="T1110" i="7"/>
  <c r="U1110" i="7"/>
  <c r="V1110" i="7"/>
  <c r="W1110" i="7"/>
  <c r="X1110" i="7"/>
  <c r="Y1110" i="7"/>
  <c r="Z1110" i="7"/>
  <c r="AA1110" i="7"/>
  <c r="AB1110" i="7"/>
  <c r="AC1110" i="7"/>
  <c r="AD1110" i="7"/>
  <c r="AE1110" i="7"/>
  <c r="Q1111" i="7"/>
  <c r="R1111" i="7"/>
  <c r="S1111" i="7"/>
  <c r="T1111" i="7"/>
  <c r="U1111" i="7"/>
  <c r="V1111" i="7"/>
  <c r="W1111" i="7"/>
  <c r="X1111" i="7"/>
  <c r="Y1111" i="7"/>
  <c r="Z1111" i="7"/>
  <c r="AA1111" i="7"/>
  <c r="AB1111" i="7"/>
  <c r="AC1111" i="7"/>
  <c r="AD1111" i="7"/>
  <c r="AE1111" i="7"/>
  <c r="Q1112" i="7"/>
  <c r="R1112" i="7"/>
  <c r="S1112" i="7"/>
  <c r="T1112" i="7"/>
  <c r="U1112" i="7"/>
  <c r="V1112" i="7"/>
  <c r="W1112" i="7"/>
  <c r="X1112" i="7"/>
  <c r="Y1112" i="7"/>
  <c r="Z1112" i="7"/>
  <c r="AA1112" i="7"/>
  <c r="AB1112" i="7"/>
  <c r="AC1112" i="7"/>
  <c r="AD1112" i="7"/>
  <c r="AE1112" i="7"/>
  <c r="Q1113" i="7"/>
  <c r="R1113" i="7"/>
  <c r="S1113" i="7"/>
  <c r="T1113" i="7"/>
  <c r="U1113" i="7"/>
  <c r="V1113" i="7"/>
  <c r="W1113" i="7"/>
  <c r="X1113" i="7"/>
  <c r="Y1113" i="7"/>
  <c r="Z1113" i="7"/>
  <c r="AA1113" i="7"/>
  <c r="AB1113" i="7"/>
  <c r="AC1113" i="7"/>
  <c r="AD1113" i="7"/>
  <c r="AE1113" i="7"/>
  <c r="Q1114" i="7"/>
  <c r="R1114" i="7"/>
  <c r="S1114" i="7"/>
  <c r="T1114" i="7"/>
  <c r="U1114" i="7"/>
  <c r="V1114" i="7"/>
  <c r="W1114" i="7"/>
  <c r="X1114" i="7"/>
  <c r="Y1114" i="7"/>
  <c r="Z1114" i="7"/>
  <c r="AA1114" i="7"/>
  <c r="AB1114" i="7"/>
  <c r="AC1114" i="7"/>
  <c r="AD1114" i="7"/>
  <c r="AE1114" i="7"/>
  <c r="Q1115" i="7"/>
  <c r="R1115" i="7"/>
  <c r="S1115" i="7"/>
  <c r="T1115" i="7"/>
  <c r="U1115" i="7"/>
  <c r="V1115" i="7"/>
  <c r="W1115" i="7"/>
  <c r="X1115" i="7"/>
  <c r="Y1115" i="7"/>
  <c r="Z1115" i="7"/>
  <c r="AA1115" i="7"/>
  <c r="AB1115" i="7"/>
  <c r="AC1115" i="7"/>
  <c r="AD1115" i="7"/>
  <c r="AE1115" i="7"/>
  <c r="Q1116" i="7"/>
  <c r="R1116" i="7"/>
  <c r="S1116" i="7"/>
  <c r="T1116" i="7"/>
  <c r="U1116" i="7"/>
  <c r="V1116" i="7"/>
  <c r="W1116" i="7"/>
  <c r="X1116" i="7"/>
  <c r="Y1116" i="7"/>
  <c r="Z1116" i="7"/>
  <c r="AA1116" i="7"/>
  <c r="AB1116" i="7"/>
  <c r="AC1116" i="7"/>
  <c r="AD1116" i="7"/>
  <c r="AE1116" i="7"/>
  <c r="Q1117" i="7"/>
  <c r="R1117" i="7"/>
  <c r="S1117" i="7"/>
  <c r="T1117" i="7"/>
  <c r="U1117" i="7"/>
  <c r="V1117" i="7"/>
  <c r="W1117" i="7"/>
  <c r="X1117" i="7"/>
  <c r="Y1117" i="7"/>
  <c r="Z1117" i="7"/>
  <c r="AA1117" i="7"/>
  <c r="AB1117" i="7"/>
  <c r="AC1117" i="7"/>
  <c r="AD1117" i="7"/>
  <c r="AE1117" i="7"/>
  <c r="Q1118" i="7"/>
  <c r="R1118" i="7"/>
  <c r="S1118" i="7"/>
  <c r="T1118" i="7"/>
  <c r="U1118" i="7"/>
  <c r="V1118" i="7"/>
  <c r="W1118" i="7"/>
  <c r="X1118" i="7"/>
  <c r="Y1118" i="7"/>
  <c r="Z1118" i="7"/>
  <c r="AA1118" i="7"/>
  <c r="AB1118" i="7"/>
  <c r="AC1118" i="7"/>
  <c r="AD1118" i="7"/>
  <c r="AE1118" i="7"/>
  <c r="Q1119" i="7"/>
  <c r="R1119" i="7"/>
  <c r="S1119" i="7"/>
  <c r="T1119" i="7"/>
  <c r="U1119" i="7"/>
  <c r="V1119" i="7"/>
  <c r="W1119" i="7"/>
  <c r="X1119" i="7"/>
  <c r="Y1119" i="7"/>
  <c r="Z1119" i="7"/>
  <c r="AA1119" i="7"/>
  <c r="AB1119" i="7"/>
  <c r="AC1119" i="7"/>
  <c r="AD1119" i="7"/>
  <c r="AE1119" i="7"/>
  <c r="Q1120" i="7"/>
  <c r="R1120" i="7"/>
  <c r="S1120" i="7"/>
  <c r="T1120" i="7"/>
  <c r="U1120" i="7"/>
  <c r="V1120" i="7"/>
  <c r="W1120" i="7"/>
  <c r="X1120" i="7"/>
  <c r="Y1120" i="7"/>
  <c r="Z1120" i="7"/>
  <c r="AA1120" i="7"/>
  <c r="AB1120" i="7"/>
  <c r="AC1120" i="7"/>
  <c r="AD1120" i="7"/>
  <c r="AE1120" i="7"/>
  <c r="Q1121" i="7"/>
  <c r="R1121" i="7"/>
  <c r="S1121" i="7"/>
  <c r="T1121" i="7"/>
  <c r="U1121" i="7"/>
  <c r="V1121" i="7"/>
  <c r="W1121" i="7"/>
  <c r="X1121" i="7"/>
  <c r="Y1121" i="7"/>
  <c r="Z1121" i="7"/>
  <c r="AA1121" i="7"/>
  <c r="AB1121" i="7"/>
  <c r="AC1121" i="7"/>
  <c r="AD1121" i="7"/>
  <c r="AE1121" i="7"/>
  <c r="Q1122" i="7"/>
  <c r="R1122" i="7"/>
  <c r="S1122" i="7"/>
  <c r="T1122" i="7"/>
  <c r="U1122" i="7"/>
  <c r="V1122" i="7"/>
  <c r="W1122" i="7"/>
  <c r="X1122" i="7"/>
  <c r="Y1122" i="7"/>
  <c r="Z1122" i="7"/>
  <c r="AA1122" i="7"/>
  <c r="AB1122" i="7"/>
  <c r="AC1122" i="7"/>
  <c r="AD1122" i="7"/>
  <c r="AE1122" i="7"/>
  <c r="Q1123" i="7"/>
  <c r="R1123" i="7"/>
  <c r="S1123" i="7"/>
  <c r="T1123" i="7"/>
  <c r="U1123" i="7"/>
  <c r="V1123" i="7"/>
  <c r="W1123" i="7"/>
  <c r="X1123" i="7"/>
  <c r="Y1123" i="7"/>
  <c r="Z1123" i="7"/>
  <c r="AA1123" i="7"/>
  <c r="AB1123" i="7"/>
  <c r="AC1123" i="7"/>
  <c r="AD1123" i="7"/>
  <c r="AE1123" i="7"/>
  <c r="Q1124" i="7"/>
  <c r="R1124" i="7"/>
  <c r="S1124" i="7"/>
  <c r="T1124" i="7"/>
  <c r="U1124" i="7"/>
  <c r="V1124" i="7"/>
  <c r="W1124" i="7"/>
  <c r="X1124" i="7"/>
  <c r="Y1124" i="7"/>
  <c r="Z1124" i="7"/>
  <c r="AA1124" i="7"/>
  <c r="AB1124" i="7"/>
  <c r="AC1124" i="7"/>
  <c r="AD1124" i="7"/>
  <c r="AE1124" i="7"/>
  <c r="Q1125" i="7"/>
  <c r="R1125" i="7"/>
  <c r="S1125" i="7"/>
  <c r="T1125" i="7"/>
  <c r="U1125" i="7"/>
  <c r="V1125" i="7"/>
  <c r="W1125" i="7"/>
  <c r="X1125" i="7"/>
  <c r="Y1125" i="7"/>
  <c r="Z1125" i="7"/>
  <c r="AA1125" i="7"/>
  <c r="AB1125" i="7"/>
  <c r="AC1125" i="7"/>
  <c r="AD1125" i="7"/>
  <c r="AE1125" i="7"/>
  <c r="Q1126" i="7"/>
  <c r="R1126" i="7"/>
  <c r="S1126" i="7"/>
  <c r="T1126" i="7"/>
  <c r="U1126" i="7"/>
  <c r="V1126" i="7"/>
  <c r="W1126" i="7"/>
  <c r="X1126" i="7"/>
  <c r="Y1126" i="7"/>
  <c r="Z1126" i="7"/>
  <c r="AA1126" i="7"/>
  <c r="AB1126" i="7"/>
  <c r="AC1126" i="7"/>
  <c r="AD1126" i="7"/>
  <c r="AE1126" i="7"/>
  <c r="Q1127" i="7"/>
  <c r="R1127" i="7"/>
  <c r="S1127" i="7"/>
  <c r="T1127" i="7"/>
  <c r="U1127" i="7"/>
  <c r="V1127" i="7"/>
  <c r="W1127" i="7"/>
  <c r="X1127" i="7"/>
  <c r="Y1127" i="7"/>
  <c r="Z1127" i="7"/>
  <c r="AA1127" i="7"/>
  <c r="AB1127" i="7"/>
  <c r="AC1127" i="7"/>
  <c r="AD1127" i="7"/>
  <c r="AE1127" i="7"/>
  <c r="Q1128" i="7"/>
  <c r="R1128" i="7"/>
  <c r="S1128" i="7"/>
  <c r="T1128" i="7"/>
  <c r="U1128" i="7"/>
  <c r="V1128" i="7"/>
  <c r="W1128" i="7"/>
  <c r="X1128" i="7"/>
  <c r="Y1128" i="7"/>
  <c r="Z1128" i="7"/>
  <c r="AA1128" i="7"/>
  <c r="AB1128" i="7"/>
  <c r="AC1128" i="7"/>
  <c r="AD1128" i="7"/>
  <c r="AE1128" i="7"/>
  <c r="Q1129" i="7"/>
  <c r="R1129" i="7"/>
  <c r="S1129" i="7"/>
  <c r="T1129" i="7"/>
  <c r="U1129" i="7"/>
  <c r="V1129" i="7"/>
  <c r="W1129" i="7"/>
  <c r="X1129" i="7"/>
  <c r="Y1129" i="7"/>
  <c r="Z1129" i="7"/>
  <c r="AA1129" i="7"/>
  <c r="AB1129" i="7"/>
  <c r="AC1129" i="7"/>
  <c r="AD1129" i="7"/>
  <c r="AE1129" i="7"/>
  <c r="Q1130" i="7"/>
  <c r="R1130" i="7"/>
  <c r="S1130" i="7"/>
  <c r="T1130" i="7"/>
  <c r="U1130" i="7"/>
  <c r="V1130" i="7"/>
  <c r="W1130" i="7"/>
  <c r="X1130" i="7"/>
  <c r="Y1130" i="7"/>
  <c r="Z1130" i="7"/>
  <c r="AA1130" i="7"/>
  <c r="AB1130" i="7"/>
  <c r="AC1130" i="7"/>
  <c r="AD1130" i="7"/>
  <c r="AE1130" i="7"/>
  <c r="Q1131" i="7"/>
  <c r="R1131" i="7"/>
  <c r="S1131" i="7"/>
  <c r="T1131" i="7"/>
  <c r="U1131" i="7"/>
  <c r="V1131" i="7"/>
  <c r="W1131" i="7"/>
  <c r="X1131" i="7"/>
  <c r="Y1131" i="7"/>
  <c r="Z1131" i="7"/>
  <c r="AA1131" i="7"/>
  <c r="AB1131" i="7"/>
  <c r="AC1131" i="7"/>
  <c r="AD1131" i="7"/>
  <c r="AE1131" i="7"/>
  <c r="Q1132" i="7"/>
  <c r="R1132" i="7"/>
  <c r="S1132" i="7"/>
  <c r="T1132" i="7"/>
  <c r="U1132" i="7"/>
  <c r="V1132" i="7"/>
  <c r="W1132" i="7"/>
  <c r="X1132" i="7"/>
  <c r="Y1132" i="7"/>
  <c r="Z1132" i="7"/>
  <c r="AA1132" i="7"/>
  <c r="AB1132" i="7"/>
  <c r="AC1132" i="7"/>
  <c r="AD1132" i="7"/>
  <c r="AE1132" i="7"/>
  <c r="Q1133" i="7"/>
  <c r="R1133" i="7"/>
  <c r="S1133" i="7"/>
  <c r="T1133" i="7"/>
  <c r="U1133" i="7"/>
  <c r="V1133" i="7"/>
  <c r="W1133" i="7"/>
  <c r="X1133" i="7"/>
  <c r="Y1133" i="7"/>
  <c r="Z1133" i="7"/>
  <c r="AA1133" i="7"/>
  <c r="AB1133" i="7"/>
  <c r="AC1133" i="7"/>
  <c r="AD1133" i="7"/>
  <c r="AE1133" i="7"/>
  <c r="Q1134" i="7"/>
  <c r="R1134" i="7"/>
  <c r="S1134" i="7"/>
  <c r="T1134" i="7"/>
  <c r="U1134" i="7"/>
  <c r="V1134" i="7"/>
  <c r="W1134" i="7"/>
  <c r="X1134" i="7"/>
  <c r="Y1134" i="7"/>
  <c r="Z1134" i="7"/>
  <c r="AA1134" i="7"/>
  <c r="AB1134" i="7"/>
  <c r="AC1134" i="7"/>
  <c r="AD1134" i="7"/>
  <c r="AE1134" i="7"/>
  <c r="Q1135" i="7"/>
  <c r="R1135" i="7"/>
  <c r="S1135" i="7"/>
  <c r="T1135" i="7"/>
  <c r="U1135" i="7"/>
  <c r="V1135" i="7"/>
  <c r="W1135" i="7"/>
  <c r="X1135" i="7"/>
  <c r="Y1135" i="7"/>
  <c r="Z1135" i="7"/>
  <c r="AA1135" i="7"/>
  <c r="AB1135" i="7"/>
  <c r="AC1135" i="7"/>
  <c r="AD1135" i="7"/>
  <c r="AE1135" i="7"/>
  <c r="Q1136" i="7"/>
  <c r="R1136" i="7"/>
  <c r="S1136" i="7"/>
  <c r="T1136" i="7"/>
  <c r="U1136" i="7"/>
  <c r="V1136" i="7"/>
  <c r="W1136" i="7"/>
  <c r="X1136" i="7"/>
  <c r="Y1136" i="7"/>
  <c r="Z1136" i="7"/>
  <c r="AA1136" i="7"/>
  <c r="AB1136" i="7"/>
  <c r="AC1136" i="7"/>
  <c r="AD1136" i="7"/>
  <c r="AE1136" i="7"/>
  <c r="Q1137" i="7"/>
  <c r="R1137" i="7"/>
  <c r="S1137" i="7"/>
  <c r="T1137" i="7"/>
  <c r="U1137" i="7"/>
  <c r="V1137" i="7"/>
  <c r="W1137" i="7"/>
  <c r="X1137" i="7"/>
  <c r="Y1137" i="7"/>
  <c r="Z1137" i="7"/>
  <c r="AA1137" i="7"/>
  <c r="AB1137" i="7"/>
  <c r="AC1137" i="7"/>
  <c r="AD1137" i="7"/>
  <c r="AE1137" i="7"/>
  <c r="Q1138" i="7"/>
  <c r="R1138" i="7"/>
  <c r="S1138" i="7"/>
  <c r="T1138" i="7"/>
  <c r="U1138" i="7"/>
  <c r="V1138" i="7"/>
  <c r="W1138" i="7"/>
  <c r="X1138" i="7"/>
  <c r="Y1138" i="7"/>
  <c r="Z1138" i="7"/>
  <c r="AA1138" i="7"/>
  <c r="AB1138" i="7"/>
  <c r="AC1138" i="7"/>
  <c r="AD1138" i="7"/>
  <c r="AE1138" i="7"/>
  <c r="Q1139" i="7"/>
  <c r="R1139" i="7"/>
  <c r="S1139" i="7"/>
  <c r="T1139" i="7"/>
  <c r="U1139" i="7"/>
  <c r="V1139" i="7"/>
  <c r="W1139" i="7"/>
  <c r="X1139" i="7"/>
  <c r="Y1139" i="7"/>
  <c r="Z1139" i="7"/>
  <c r="AA1139" i="7"/>
  <c r="AB1139" i="7"/>
  <c r="AC1139" i="7"/>
  <c r="AD1139" i="7"/>
  <c r="AE1139" i="7"/>
  <c r="Q1140" i="7"/>
  <c r="R1140" i="7"/>
  <c r="S1140" i="7"/>
  <c r="T1140" i="7"/>
  <c r="U1140" i="7"/>
  <c r="V1140" i="7"/>
  <c r="W1140" i="7"/>
  <c r="X1140" i="7"/>
  <c r="Y1140" i="7"/>
  <c r="Z1140" i="7"/>
  <c r="AA1140" i="7"/>
  <c r="AB1140" i="7"/>
  <c r="AC1140" i="7"/>
  <c r="AD1140" i="7"/>
  <c r="AE1140" i="7"/>
  <c r="Q1141" i="7"/>
  <c r="R1141" i="7"/>
  <c r="S1141" i="7"/>
  <c r="T1141" i="7"/>
  <c r="U1141" i="7"/>
  <c r="V1141" i="7"/>
  <c r="W1141" i="7"/>
  <c r="X1141" i="7"/>
  <c r="Y1141" i="7"/>
  <c r="Z1141" i="7"/>
  <c r="AA1141" i="7"/>
  <c r="AB1141" i="7"/>
  <c r="AC1141" i="7"/>
  <c r="AD1141" i="7"/>
  <c r="AE1141" i="7"/>
  <c r="Q1142" i="7"/>
  <c r="R1142" i="7"/>
  <c r="S1142" i="7"/>
  <c r="T1142" i="7"/>
  <c r="U1142" i="7"/>
  <c r="V1142" i="7"/>
  <c r="W1142" i="7"/>
  <c r="X1142" i="7"/>
  <c r="Y1142" i="7"/>
  <c r="Z1142" i="7"/>
  <c r="AA1142" i="7"/>
  <c r="AB1142" i="7"/>
  <c r="AC1142" i="7"/>
  <c r="AD1142" i="7"/>
  <c r="AE1142" i="7"/>
  <c r="Q1143" i="7"/>
  <c r="R1143" i="7"/>
  <c r="S1143" i="7"/>
  <c r="T1143" i="7"/>
  <c r="U1143" i="7"/>
  <c r="V1143" i="7"/>
  <c r="W1143" i="7"/>
  <c r="X1143" i="7"/>
  <c r="Y1143" i="7"/>
  <c r="Z1143" i="7"/>
  <c r="AA1143" i="7"/>
  <c r="AB1143" i="7"/>
  <c r="AC1143" i="7"/>
  <c r="AD1143" i="7"/>
  <c r="AE1143" i="7"/>
  <c r="Q1144" i="7"/>
  <c r="R1144" i="7"/>
  <c r="S1144" i="7"/>
  <c r="T1144" i="7"/>
  <c r="U1144" i="7"/>
  <c r="V1144" i="7"/>
  <c r="W1144" i="7"/>
  <c r="X1144" i="7"/>
  <c r="Y1144" i="7"/>
  <c r="Z1144" i="7"/>
  <c r="AA1144" i="7"/>
  <c r="AB1144" i="7"/>
  <c r="AC1144" i="7"/>
  <c r="AD1144" i="7"/>
  <c r="AE1144" i="7"/>
  <c r="Q1145" i="7"/>
  <c r="R1145" i="7"/>
  <c r="S1145" i="7"/>
  <c r="T1145" i="7"/>
  <c r="U1145" i="7"/>
  <c r="V1145" i="7"/>
  <c r="W1145" i="7"/>
  <c r="X1145" i="7"/>
  <c r="Y1145" i="7"/>
  <c r="Z1145" i="7"/>
  <c r="AA1145" i="7"/>
  <c r="AB1145" i="7"/>
  <c r="AC1145" i="7"/>
  <c r="AD1145" i="7"/>
  <c r="AE1145" i="7"/>
  <c r="Q1146" i="7"/>
  <c r="R1146" i="7"/>
  <c r="S1146" i="7"/>
  <c r="T1146" i="7"/>
  <c r="U1146" i="7"/>
  <c r="V1146" i="7"/>
  <c r="W1146" i="7"/>
  <c r="X1146" i="7"/>
  <c r="Y1146" i="7"/>
  <c r="Z1146" i="7"/>
  <c r="AA1146" i="7"/>
  <c r="AB1146" i="7"/>
  <c r="AC1146" i="7"/>
  <c r="AD1146" i="7"/>
  <c r="AE1146" i="7"/>
  <c r="Q1147" i="7"/>
  <c r="R1147" i="7"/>
  <c r="S1147" i="7"/>
  <c r="T1147" i="7"/>
  <c r="U1147" i="7"/>
  <c r="V1147" i="7"/>
  <c r="W1147" i="7"/>
  <c r="X1147" i="7"/>
  <c r="Y1147" i="7"/>
  <c r="Z1147" i="7"/>
  <c r="AA1147" i="7"/>
  <c r="AB1147" i="7"/>
  <c r="AC1147" i="7"/>
  <c r="AD1147" i="7"/>
  <c r="AE1147" i="7"/>
  <c r="Q1148" i="7"/>
  <c r="R1148" i="7"/>
  <c r="S1148" i="7"/>
  <c r="T1148" i="7"/>
  <c r="U1148" i="7"/>
  <c r="V1148" i="7"/>
  <c r="W1148" i="7"/>
  <c r="X1148" i="7"/>
  <c r="Y1148" i="7"/>
  <c r="Z1148" i="7"/>
  <c r="AA1148" i="7"/>
  <c r="AB1148" i="7"/>
  <c r="AC1148" i="7"/>
  <c r="AD1148" i="7"/>
  <c r="AE1148" i="7"/>
  <c r="Q1149" i="7"/>
  <c r="R1149" i="7"/>
  <c r="S1149" i="7"/>
  <c r="T1149" i="7"/>
  <c r="U1149" i="7"/>
  <c r="V1149" i="7"/>
  <c r="W1149" i="7"/>
  <c r="X1149" i="7"/>
  <c r="Y1149" i="7"/>
  <c r="Z1149" i="7"/>
  <c r="AA1149" i="7"/>
  <c r="AB1149" i="7"/>
  <c r="AC1149" i="7"/>
  <c r="AD1149" i="7"/>
  <c r="AE1149" i="7"/>
  <c r="Q1150" i="7"/>
  <c r="R1150" i="7"/>
  <c r="S1150" i="7"/>
  <c r="T1150" i="7"/>
  <c r="U1150" i="7"/>
  <c r="V1150" i="7"/>
  <c r="W1150" i="7"/>
  <c r="X1150" i="7"/>
  <c r="Y1150" i="7"/>
  <c r="Z1150" i="7"/>
  <c r="AA1150" i="7"/>
  <c r="AB1150" i="7"/>
  <c r="AC1150" i="7"/>
  <c r="AD1150" i="7"/>
  <c r="AE1150" i="7"/>
  <c r="Q1151" i="7"/>
  <c r="R1151" i="7"/>
  <c r="S1151" i="7"/>
  <c r="T1151" i="7"/>
  <c r="U1151" i="7"/>
  <c r="V1151" i="7"/>
  <c r="W1151" i="7"/>
  <c r="X1151" i="7"/>
  <c r="Y1151" i="7"/>
  <c r="Z1151" i="7"/>
  <c r="AA1151" i="7"/>
  <c r="AB1151" i="7"/>
  <c r="AC1151" i="7"/>
  <c r="AD1151" i="7"/>
  <c r="AE1151" i="7"/>
  <c r="Q1152" i="7"/>
  <c r="R1152" i="7"/>
  <c r="S1152" i="7"/>
  <c r="T1152" i="7"/>
  <c r="U1152" i="7"/>
  <c r="V1152" i="7"/>
  <c r="W1152" i="7"/>
  <c r="X1152" i="7"/>
  <c r="Y1152" i="7"/>
  <c r="Z1152" i="7"/>
  <c r="AA1152" i="7"/>
  <c r="AB1152" i="7"/>
  <c r="AC1152" i="7"/>
  <c r="AD1152" i="7"/>
  <c r="AE1152" i="7"/>
  <c r="Q1153" i="7"/>
  <c r="R1153" i="7"/>
  <c r="S1153" i="7"/>
  <c r="T1153" i="7"/>
  <c r="U1153" i="7"/>
  <c r="V1153" i="7"/>
  <c r="W1153" i="7"/>
  <c r="X1153" i="7"/>
  <c r="Y1153" i="7"/>
  <c r="Z1153" i="7"/>
  <c r="AA1153" i="7"/>
  <c r="AB1153" i="7"/>
  <c r="AC1153" i="7"/>
  <c r="AD1153" i="7"/>
  <c r="AE1153" i="7"/>
  <c r="Q1154" i="7"/>
  <c r="R1154" i="7"/>
  <c r="S1154" i="7"/>
  <c r="T1154" i="7"/>
  <c r="U1154" i="7"/>
  <c r="V1154" i="7"/>
  <c r="W1154" i="7"/>
  <c r="X1154" i="7"/>
  <c r="Y1154" i="7"/>
  <c r="Z1154" i="7"/>
  <c r="AA1154" i="7"/>
  <c r="AB1154" i="7"/>
  <c r="AC1154" i="7"/>
  <c r="AD1154" i="7"/>
  <c r="AE1154" i="7"/>
  <c r="Q1155" i="7"/>
  <c r="R1155" i="7"/>
  <c r="S1155" i="7"/>
  <c r="T1155" i="7"/>
  <c r="U1155" i="7"/>
  <c r="V1155" i="7"/>
  <c r="W1155" i="7"/>
  <c r="X1155" i="7"/>
  <c r="Y1155" i="7"/>
  <c r="Z1155" i="7"/>
  <c r="AA1155" i="7"/>
  <c r="AB1155" i="7"/>
  <c r="AC1155" i="7"/>
  <c r="AD1155" i="7"/>
  <c r="AE1155" i="7"/>
  <c r="Q1156" i="7"/>
  <c r="R1156" i="7"/>
  <c r="S1156" i="7"/>
  <c r="T1156" i="7"/>
  <c r="U1156" i="7"/>
  <c r="V1156" i="7"/>
  <c r="W1156" i="7"/>
  <c r="X1156" i="7"/>
  <c r="Y1156" i="7"/>
  <c r="Z1156" i="7"/>
  <c r="AA1156" i="7"/>
  <c r="AB1156" i="7"/>
  <c r="AC1156" i="7"/>
  <c r="AD1156" i="7"/>
  <c r="AE1156" i="7"/>
  <c r="Q1157" i="7"/>
  <c r="R1157" i="7"/>
  <c r="S1157" i="7"/>
  <c r="T1157" i="7"/>
  <c r="U1157" i="7"/>
  <c r="V1157" i="7"/>
  <c r="W1157" i="7"/>
  <c r="X1157" i="7"/>
  <c r="Y1157" i="7"/>
  <c r="Z1157" i="7"/>
  <c r="AA1157" i="7"/>
  <c r="AB1157" i="7"/>
  <c r="AC1157" i="7"/>
  <c r="AD1157" i="7"/>
  <c r="AE1157" i="7"/>
  <c r="Q1158" i="7"/>
  <c r="R1158" i="7"/>
  <c r="S1158" i="7"/>
  <c r="T1158" i="7"/>
  <c r="U1158" i="7"/>
  <c r="V1158" i="7"/>
  <c r="W1158" i="7"/>
  <c r="X1158" i="7"/>
  <c r="Y1158" i="7"/>
  <c r="Z1158" i="7"/>
  <c r="AA1158" i="7"/>
  <c r="AB1158" i="7"/>
  <c r="AC1158" i="7"/>
  <c r="AD1158" i="7"/>
  <c r="AE1158" i="7"/>
  <c r="Q1159" i="7"/>
  <c r="R1159" i="7"/>
  <c r="S1159" i="7"/>
  <c r="T1159" i="7"/>
  <c r="U1159" i="7"/>
  <c r="V1159" i="7"/>
  <c r="W1159" i="7"/>
  <c r="X1159" i="7"/>
  <c r="Y1159" i="7"/>
  <c r="Z1159" i="7"/>
  <c r="AA1159" i="7"/>
  <c r="AB1159" i="7"/>
  <c r="AC1159" i="7"/>
  <c r="AD1159" i="7"/>
  <c r="AE1159" i="7"/>
  <c r="Q1160" i="7"/>
  <c r="R1160" i="7"/>
  <c r="S1160" i="7"/>
  <c r="T1160" i="7"/>
  <c r="U1160" i="7"/>
  <c r="V1160" i="7"/>
  <c r="W1160" i="7"/>
  <c r="X1160" i="7"/>
  <c r="Y1160" i="7"/>
  <c r="Z1160" i="7"/>
  <c r="AA1160" i="7"/>
  <c r="AB1160" i="7"/>
  <c r="AC1160" i="7"/>
  <c r="AD1160" i="7"/>
  <c r="AE1160" i="7"/>
  <c r="Q1161" i="7"/>
  <c r="R1161" i="7"/>
  <c r="S1161" i="7"/>
  <c r="T1161" i="7"/>
  <c r="U1161" i="7"/>
  <c r="V1161" i="7"/>
  <c r="W1161" i="7"/>
  <c r="X1161" i="7"/>
  <c r="Y1161" i="7"/>
  <c r="Z1161" i="7"/>
  <c r="AA1161" i="7"/>
  <c r="AB1161" i="7"/>
  <c r="AC1161" i="7"/>
  <c r="AD1161" i="7"/>
  <c r="AE1161" i="7"/>
  <c r="Q1162" i="7"/>
  <c r="R1162" i="7"/>
  <c r="S1162" i="7"/>
  <c r="T1162" i="7"/>
  <c r="U1162" i="7"/>
  <c r="V1162" i="7"/>
  <c r="W1162" i="7"/>
  <c r="X1162" i="7"/>
  <c r="Y1162" i="7"/>
  <c r="Z1162" i="7"/>
  <c r="AA1162" i="7"/>
  <c r="AB1162" i="7"/>
  <c r="AC1162" i="7"/>
  <c r="AD1162" i="7"/>
  <c r="AE1162" i="7"/>
  <c r="Q1163" i="7"/>
  <c r="R1163" i="7"/>
  <c r="S1163" i="7"/>
  <c r="T1163" i="7"/>
  <c r="U1163" i="7"/>
  <c r="V1163" i="7"/>
  <c r="W1163" i="7"/>
  <c r="X1163" i="7"/>
  <c r="Y1163" i="7"/>
  <c r="Z1163" i="7"/>
  <c r="AA1163" i="7"/>
  <c r="AB1163" i="7"/>
  <c r="AC1163" i="7"/>
  <c r="AD1163" i="7"/>
  <c r="AE1163" i="7"/>
  <c r="Q1164" i="7"/>
  <c r="R1164" i="7"/>
  <c r="S1164" i="7"/>
  <c r="T1164" i="7"/>
  <c r="U1164" i="7"/>
  <c r="V1164" i="7"/>
  <c r="W1164" i="7"/>
  <c r="X1164" i="7"/>
  <c r="Y1164" i="7"/>
  <c r="Z1164" i="7"/>
  <c r="AA1164" i="7"/>
  <c r="AB1164" i="7"/>
  <c r="AC1164" i="7"/>
  <c r="AD1164" i="7"/>
  <c r="AE1164" i="7"/>
  <c r="Q1165" i="7"/>
  <c r="R1165" i="7"/>
  <c r="S1165" i="7"/>
  <c r="T1165" i="7"/>
  <c r="U1165" i="7"/>
  <c r="V1165" i="7"/>
  <c r="W1165" i="7"/>
  <c r="X1165" i="7"/>
  <c r="Y1165" i="7"/>
  <c r="Z1165" i="7"/>
  <c r="AA1165" i="7"/>
  <c r="AB1165" i="7"/>
  <c r="AC1165" i="7"/>
  <c r="AD1165" i="7"/>
  <c r="AE1165" i="7"/>
  <c r="Q1166" i="7"/>
  <c r="R1166" i="7"/>
  <c r="S1166" i="7"/>
  <c r="T1166" i="7"/>
  <c r="U1166" i="7"/>
  <c r="V1166" i="7"/>
  <c r="W1166" i="7"/>
  <c r="X1166" i="7"/>
  <c r="Y1166" i="7"/>
  <c r="Z1166" i="7"/>
  <c r="AA1166" i="7"/>
  <c r="AB1166" i="7"/>
  <c r="AC1166" i="7"/>
  <c r="AD1166" i="7"/>
  <c r="AE1166" i="7"/>
  <c r="Q1167" i="7"/>
  <c r="R1167" i="7"/>
  <c r="S1167" i="7"/>
  <c r="T1167" i="7"/>
  <c r="U1167" i="7"/>
  <c r="V1167" i="7"/>
  <c r="W1167" i="7"/>
  <c r="X1167" i="7"/>
  <c r="Y1167" i="7"/>
  <c r="Z1167" i="7"/>
  <c r="AA1167" i="7"/>
  <c r="AB1167" i="7"/>
  <c r="AC1167" i="7"/>
  <c r="AD1167" i="7"/>
  <c r="AE1167" i="7"/>
  <c r="Q1168" i="7"/>
  <c r="R1168" i="7"/>
  <c r="S1168" i="7"/>
  <c r="T1168" i="7"/>
  <c r="U1168" i="7"/>
  <c r="V1168" i="7"/>
  <c r="W1168" i="7"/>
  <c r="X1168" i="7"/>
  <c r="Y1168" i="7"/>
  <c r="Z1168" i="7"/>
  <c r="AA1168" i="7"/>
  <c r="AB1168" i="7"/>
  <c r="AC1168" i="7"/>
  <c r="AD1168" i="7"/>
  <c r="AE1168" i="7"/>
  <c r="Q1169" i="7"/>
  <c r="R1169" i="7"/>
  <c r="S1169" i="7"/>
  <c r="T1169" i="7"/>
  <c r="U1169" i="7"/>
  <c r="V1169" i="7"/>
  <c r="W1169" i="7"/>
  <c r="X1169" i="7"/>
  <c r="Y1169" i="7"/>
  <c r="Z1169" i="7"/>
  <c r="AA1169" i="7"/>
  <c r="AB1169" i="7"/>
  <c r="AC1169" i="7"/>
  <c r="AD1169" i="7"/>
  <c r="AE1169" i="7"/>
  <c r="Q1170" i="7"/>
  <c r="R1170" i="7"/>
  <c r="S1170" i="7"/>
  <c r="T1170" i="7"/>
  <c r="U1170" i="7"/>
  <c r="V1170" i="7"/>
  <c r="W1170" i="7"/>
  <c r="X1170" i="7"/>
  <c r="Y1170" i="7"/>
  <c r="Z1170" i="7"/>
  <c r="AA1170" i="7"/>
  <c r="AB1170" i="7"/>
  <c r="AC1170" i="7"/>
  <c r="AD1170" i="7"/>
  <c r="AE1170" i="7"/>
  <c r="Q1171" i="7"/>
  <c r="R1171" i="7"/>
  <c r="S1171" i="7"/>
  <c r="T1171" i="7"/>
  <c r="U1171" i="7"/>
  <c r="V1171" i="7"/>
  <c r="W1171" i="7"/>
  <c r="X1171" i="7"/>
  <c r="Y1171" i="7"/>
  <c r="Z1171" i="7"/>
  <c r="AA1171" i="7"/>
  <c r="AB1171" i="7"/>
  <c r="AC1171" i="7"/>
  <c r="AD1171" i="7"/>
  <c r="AE1171" i="7"/>
  <c r="Q1172" i="7"/>
  <c r="R1172" i="7"/>
  <c r="S1172" i="7"/>
  <c r="T1172" i="7"/>
  <c r="U1172" i="7"/>
  <c r="V1172" i="7"/>
  <c r="W1172" i="7"/>
  <c r="X1172" i="7"/>
  <c r="Y1172" i="7"/>
  <c r="Z1172" i="7"/>
  <c r="AA1172" i="7"/>
  <c r="AB1172" i="7"/>
  <c r="AC1172" i="7"/>
  <c r="AD1172" i="7"/>
  <c r="AE1172" i="7"/>
  <c r="Q1173" i="7"/>
  <c r="R1173" i="7"/>
  <c r="S1173" i="7"/>
  <c r="T1173" i="7"/>
  <c r="U1173" i="7"/>
  <c r="V1173" i="7"/>
  <c r="W1173" i="7"/>
  <c r="X1173" i="7"/>
  <c r="Y1173" i="7"/>
  <c r="Z1173" i="7"/>
  <c r="AA1173" i="7"/>
  <c r="AB1173" i="7"/>
  <c r="AC1173" i="7"/>
  <c r="AD1173" i="7"/>
  <c r="AE1173" i="7"/>
  <c r="Q1174" i="7"/>
  <c r="R1174" i="7"/>
  <c r="S1174" i="7"/>
  <c r="T1174" i="7"/>
  <c r="U1174" i="7"/>
  <c r="V1174" i="7"/>
  <c r="W1174" i="7"/>
  <c r="X1174" i="7"/>
  <c r="Y1174" i="7"/>
  <c r="Z1174" i="7"/>
  <c r="AA1174" i="7"/>
  <c r="AB1174" i="7"/>
  <c r="AC1174" i="7"/>
  <c r="AD1174" i="7"/>
  <c r="AE1174" i="7"/>
  <c r="Q1175" i="7"/>
  <c r="R1175" i="7"/>
  <c r="S1175" i="7"/>
  <c r="T1175" i="7"/>
  <c r="U1175" i="7"/>
  <c r="V1175" i="7"/>
  <c r="W1175" i="7"/>
  <c r="X1175" i="7"/>
  <c r="Y1175" i="7"/>
  <c r="Z1175" i="7"/>
  <c r="AA1175" i="7"/>
  <c r="AB1175" i="7"/>
  <c r="AC1175" i="7"/>
  <c r="AD1175" i="7"/>
  <c r="AE1175" i="7"/>
  <c r="Q1176" i="7"/>
  <c r="R1176" i="7"/>
  <c r="S1176" i="7"/>
  <c r="T1176" i="7"/>
  <c r="U1176" i="7"/>
  <c r="V1176" i="7"/>
  <c r="W1176" i="7"/>
  <c r="X1176" i="7"/>
  <c r="Y1176" i="7"/>
  <c r="Z1176" i="7"/>
  <c r="AA1176" i="7"/>
  <c r="AB1176" i="7"/>
  <c r="AC1176" i="7"/>
  <c r="AD1176" i="7"/>
  <c r="AE1176" i="7"/>
  <c r="Q1177" i="7"/>
  <c r="R1177" i="7"/>
  <c r="S1177" i="7"/>
  <c r="T1177" i="7"/>
  <c r="U1177" i="7"/>
  <c r="V1177" i="7"/>
  <c r="W1177" i="7"/>
  <c r="X1177" i="7"/>
  <c r="Y1177" i="7"/>
  <c r="Z1177" i="7"/>
  <c r="AA1177" i="7"/>
  <c r="AB1177" i="7"/>
  <c r="AC1177" i="7"/>
  <c r="AD1177" i="7"/>
  <c r="AE1177" i="7"/>
  <c r="Q1178" i="7"/>
  <c r="R1178" i="7"/>
  <c r="S1178" i="7"/>
  <c r="T1178" i="7"/>
  <c r="U1178" i="7"/>
  <c r="V1178" i="7"/>
  <c r="W1178" i="7"/>
  <c r="X1178" i="7"/>
  <c r="Y1178" i="7"/>
  <c r="Z1178" i="7"/>
  <c r="AA1178" i="7"/>
  <c r="AB1178" i="7"/>
  <c r="AC1178" i="7"/>
  <c r="AD1178" i="7"/>
  <c r="AE1178" i="7"/>
  <c r="Q1179" i="7"/>
  <c r="R1179" i="7"/>
  <c r="S1179" i="7"/>
  <c r="T1179" i="7"/>
  <c r="U1179" i="7"/>
  <c r="V1179" i="7"/>
  <c r="W1179" i="7"/>
  <c r="X1179" i="7"/>
  <c r="Y1179" i="7"/>
  <c r="Z1179" i="7"/>
  <c r="AA1179" i="7"/>
  <c r="AB1179" i="7"/>
  <c r="AC1179" i="7"/>
  <c r="AD1179" i="7"/>
  <c r="AE1179" i="7"/>
  <c r="Q1180" i="7"/>
  <c r="R1180" i="7"/>
  <c r="S1180" i="7"/>
  <c r="T1180" i="7"/>
  <c r="U1180" i="7"/>
  <c r="V1180" i="7"/>
  <c r="W1180" i="7"/>
  <c r="X1180" i="7"/>
  <c r="Y1180" i="7"/>
  <c r="Z1180" i="7"/>
  <c r="AA1180" i="7"/>
  <c r="AB1180" i="7"/>
  <c r="AC1180" i="7"/>
  <c r="AD1180" i="7"/>
  <c r="AE1180" i="7"/>
  <c r="Q1181" i="7"/>
  <c r="R1181" i="7"/>
  <c r="S1181" i="7"/>
  <c r="T1181" i="7"/>
  <c r="U1181" i="7"/>
  <c r="V1181" i="7"/>
  <c r="W1181" i="7"/>
  <c r="X1181" i="7"/>
  <c r="Y1181" i="7"/>
  <c r="Z1181" i="7"/>
  <c r="AA1181" i="7"/>
  <c r="AB1181" i="7"/>
  <c r="AC1181" i="7"/>
  <c r="AD1181" i="7"/>
  <c r="AE1181" i="7"/>
  <c r="Q1182" i="7"/>
  <c r="R1182" i="7"/>
  <c r="S1182" i="7"/>
  <c r="T1182" i="7"/>
  <c r="U1182" i="7"/>
  <c r="V1182" i="7"/>
  <c r="W1182" i="7"/>
  <c r="X1182" i="7"/>
  <c r="Y1182" i="7"/>
  <c r="Z1182" i="7"/>
  <c r="AA1182" i="7"/>
  <c r="AB1182" i="7"/>
  <c r="AC1182" i="7"/>
  <c r="AD1182" i="7"/>
  <c r="AE1182" i="7"/>
  <c r="Q1183" i="7"/>
  <c r="R1183" i="7"/>
  <c r="S1183" i="7"/>
  <c r="T1183" i="7"/>
  <c r="U1183" i="7"/>
  <c r="V1183" i="7"/>
  <c r="W1183" i="7"/>
  <c r="X1183" i="7"/>
  <c r="Y1183" i="7"/>
  <c r="Z1183" i="7"/>
  <c r="AA1183" i="7"/>
  <c r="AB1183" i="7"/>
  <c r="AC1183" i="7"/>
  <c r="AD1183" i="7"/>
  <c r="AE1183" i="7"/>
  <c r="Q1184" i="7"/>
  <c r="R1184" i="7"/>
  <c r="S1184" i="7"/>
  <c r="T1184" i="7"/>
  <c r="U1184" i="7"/>
  <c r="V1184" i="7"/>
  <c r="W1184" i="7"/>
  <c r="X1184" i="7"/>
  <c r="Y1184" i="7"/>
  <c r="Z1184" i="7"/>
  <c r="AA1184" i="7"/>
  <c r="AB1184" i="7"/>
  <c r="AC1184" i="7"/>
  <c r="AD1184" i="7"/>
  <c r="AE1184" i="7"/>
  <c r="Q1185" i="7"/>
  <c r="R1185" i="7"/>
  <c r="S1185" i="7"/>
  <c r="T1185" i="7"/>
  <c r="U1185" i="7"/>
  <c r="V1185" i="7"/>
  <c r="W1185" i="7"/>
  <c r="X1185" i="7"/>
  <c r="Y1185" i="7"/>
  <c r="Z1185" i="7"/>
  <c r="AA1185" i="7"/>
  <c r="AB1185" i="7"/>
  <c r="AC1185" i="7"/>
  <c r="AD1185" i="7"/>
  <c r="AE1185" i="7"/>
  <c r="Q1186" i="7"/>
  <c r="R1186" i="7"/>
  <c r="S1186" i="7"/>
  <c r="T1186" i="7"/>
  <c r="U1186" i="7"/>
  <c r="V1186" i="7"/>
  <c r="W1186" i="7"/>
  <c r="X1186" i="7"/>
  <c r="Y1186" i="7"/>
  <c r="Z1186" i="7"/>
  <c r="AA1186" i="7"/>
  <c r="AB1186" i="7"/>
  <c r="AC1186" i="7"/>
  <c r="AD1186" i="7"/>
  <c r="AE1186" i="7"/>
  <c r="Q1187" i="7"/>
  <c r="R1187" i="7"/>
  <c r="S1187" i="7"/>
  <c r="T1187" i="7"/>
  <c r="U1187" i="7"/>
  <c r="V1187" i="7"/>
  <c r="W1187" i="7"/>
  <c r="X1187" i="7"/>
  <c r="Y1187" i="7"/>
  <c r="Z1187" i="7"/>
  <c r="AA1187" i="7"/>
  <c r="AB1187" i="7"/>
  <c r="AC1187" i="7"/>
  <c r="AD1187" i="7"/>
  <c r="AE1187" i="7"/>
  <c r="Q1188" i="7"/>
  <c r="R1188" i="7"/>
  <c r="S1188" i="7"/>
  <c r="T1188" i="7"/>
  <c r="U1188" i="7"/>
  <c r="V1188" i="7"/>
  <c r="W1188" i="7"/>
  <c r="X1188" i="7"/>
  <c r="Y1188" i="7"/>
  <c r="Z1188" i="7"/>
  <c r="AA1188" i="7"/>
  <c r="AB1188" i="7"/>
  <c r="AC1188" i="7"/>
  <c r="AD1188" i="7"/>
  <c r="AE1188" i="7"/>
  <c r="Q1189" i="7"/>
  <c r="R1189" i="7"/>
  <c r="S1189" i="7"/>
  <c r="T1189" i="7"/>
  <c r="U1189" i="7"/>
  <c r="V1189" i="7"/>
  <c r="W1189" i="7"/>
  <c r="X1189" i="7"/>
  <c r="Y1189" i="7"/>
  <c r="Z1189" i="7"/>
  <c r="AA1189" i="7"/>
  <c r="AB1189" i="7"/>
  <c r="AC1189" i="7"/>
  <c r="AD1189" i="7"/>
  <c r="AE1189" i="7"/>
  <c r="Q1190" i="7"/>
  <c r="R1190" i="7"/>
  <c r="S1190" i="7"/>
  <c r="T1190" i="7"/>
  <c r="U1190" i="7"/>
  <c r="V1190" i="7"/>
  <c r="W1190" i="7"/>
  <c r="X1190" i="7"/>
  <c r="Y1190" i="7"/>
  <c r="Z1190" i="7"/>
  <c r="AA1190" i="7"/>
  <c r="AB1190" i="7"/>
  <c r="AC1190" i="7"/>
  <c r="AD1190" i="7"/>
  <c r="AE1190" i="7"/>
  <c r="Q1191" i="7"/>
  <c r="R1191" i="7"/>
  <c r="S1191" i="7"/>
  <c r="T1191" i="7"/>
  <c r="U1191" i="7"/>
  <c r="V1191" i="7"/>
  <c r="W1191" i="7"/>
  <c r="X1191" i="7"/>
  <c r="Y1191" i="7"/>
  <c r="Z1191" i="7"/>
  <c r="AA1191" i="7"/>
  <c r="AB1191" i="7"/>
  <c r="AC1191" i="7"/>
  <c r="AD1191" i="7"/>
  <c r="AE1191" i="7"/>
  <c r="Q1192" i="7"/>
  <c r="R1192" i="7"/>
  <c r="S1192" i="7"/>
  <c r="T1192" i="7"/>
  <c r="U1192" i="7"/>
  <c r="V1192" i="7"/>
  <c r="W1192" i="7"/>
  <c r="X1192" i="7"/>
  <c r="Y1192" i="7"/>
  <c r="Z1192" i="7"/>
  <c r="AA1192" i="7"/>
  <c r="AB1192" i="7"/>
  <c r="AC1192" i="7"/>
  <c r="AD1192" i="7"/>
  <c r="AE1192" i="7"/>
  <c r="Q1193" i="7"/>
  <c r="R1193" i="7"/>
  <c r="S1193" i="7"/>
  <c r="T1193" i="7"/>
  <c r="U1193" i="7"/>
  <c r="V1193" i="7"/>
  <c r="W1193" i="7"/>
  <c r="X1193" i="7"/>
  <c r="Y1193" i="7"/>
  <c r="Z1193" i="7"/>
  <c r="AA1193" i="7"/>
  <c r="AB1193" i="7"/>
  <c r="AC1193" i="7"/>
  <c r="AD1193" i="7"/>
  <c r="AE1193" i="7"/>
  <c r="Q1194" i="7"/>
  <c r="R1194" i="7"/>
  <c r="S1194" i="7"/>
  <c r="T1194" i="7"/>
  <c r="U1194" i="7"/>
  <c r="V1194" i="7"/>
  <c r="W1194" i="7"/>
  <c r="X1194" i="7"/>
  <c r="Y1194" i="7"/>
  <c r="Z1194" i="7"/>
  <c r="AA1194" i="7"/>
  <c r="AB1194" i="7"/>
  <c r="AC1194" i="7"/>
  <c r="AD1194" i="7"/>
  <c r="AE1194" i="7"/>
  <c r="Q1195" i="7"/>
  <c r="R1195" i="7"/>
  <c r="S1195" i="7"/>
  <c r="T1195" i="7"/>
  <c r="U1195" i="7"/>
  <c r="V1195" i="7"/>
  <c r="W1195" i="7"/>
  <c r="X1195" i="7"/>
  <c r="Y1195" i="7"/>
  <c r="Z1195" i="7"/>
  <c r="AA1195" i="7"/>
  <c r="AB1195" i="7"/>
  <c r="AC1195" i="7"/>
  <c r="AD1195" i="7"/>
  <c r="AE1195" i="7"/>
  <c r="Q1196" i="7"/>
  <c r="R1196" i="7"/>
  <c r="S1196" i="7"/>
  <c r="T1196" i="7"/>
  <c r="U1196" i="7"/>
  <c r="V1196" i="7"/>
  <c r="W1196" i="7"/>
  <c r="X1196" i="7"/>
  <c r="Y1196" i="7"/>
  <c r="Z1196" i="7"/>
  <c r="AA1196" i="7"/>
  <c r="AB1196" i="7"/>
  <c r="AC1196" i="7"/>
  <c r="AD1196" i="7"/>
  <c r="AE1196" i="7"/>
  <c r="Q1197" i="7"/>
  <c r="R1197" i="7"/>
  <c r="S1197" i="7"/>
  <c r="T1197" i="7"/>
  <c r="U1197" i="7"/>
  <c r="V1197" i="7"/>
  <c r="W1197" i="7"/>
  <c r="X1197" i="7"/>
  <c r="Y1197" i="7"/>
  <c r="Z1197" i="7"/>
  <c r="AA1197" i="7"/>
  <c r="AB1197" i="7"/>
  <c r="AC1197" i="7"/>
  <c r="AD1197" i="7"/>
  <c r="AE1197" i="7"/>
  <c r="Q1198" i="7"/>
  <c r="R1198" i="7"/>
  <c r="S1198" i="7"/>
  <c r="T1198" i="7"/>
  <c r="U1198" i="7"/>
  <c r="V1198" i="7"/>
  <c r="W1198" i="7"/>
  <c r="X1198" i="7"/>
  <c r="Y1198" i="7"/>
  <c r="Z1198" i="7"/>
  <c r="AA1198" i="7"/>
  <c r="AB1198" i="7"/>
  <c r="AC1198" i="7"/>
  <c r="AD1198" i="7"/>
  <c r="AE1198" i="7"/>
  <c r="Q1199" i="7"/>
  <c r="R1199" i="7"/>
  <c r="S1199" i="7"/>
  <c r="T1199" i="7"/>
  <c r="U1199" i="7"/>
  <c r="V1199" i="7"/>
  <c r="W1199" i="7"/>
  <c r="X1199" i="7"/>
  <c r="Y1199" i="7"/>
  <c r="Z1199" i="7"/>
  <c r="AA1199" i="7"/>
  <c r="AB1199" i="7"/>
  <c r="AC1199" i="7"/>
  <c r="AD1199" i="7"/>
  <c r="AE1199" i="7"/>
  <c r="Q1200" i="7"/>
  <c r="R1200" i="7"/>
  <c r="S1200" i="7"/>
  <c r="T1200" i="7"/>
  <c r="U1200" i="7"/>
  <c r="V1200" i="7"/>
  <c r="W1200" i="7"/>
  <c r="X1200" i="7"/>
  <c r="Y1200" i="7"/>
  <c r="Z1200" i="7"/>
  <c r="AA1200" i="7"/>
  <c r="AB1200" i="7"/>
  <c r="AC1200" i="7"/>
  <c r="AD1200" i="7"/>
  <c r="AE1200" i="7"/>
  <c r="Q1201" i="7"/>
  <c r="R1201" i="7"/>
  <c r="S1201" i="7"/>
  <c r="T1201" i="7"/>
  <c r="U1201" i="7"/>
  <c r="V1201" i="7"/>
  <c r="W1201" i="7"/>
  <c r="X1201" i="7"/>
  <c r="Y1201" i="7"/>
  <c r="Z1201" i="7"/>
  <c r="AA1201" i="7"/>
  <c r="AB1201" i="7"/>
  <c r="AC1201" i="7"/>
  <c r="AD1201" i="7"/>
  <c r="AE1201" i="7"/>
  <c r="Q1202" i="7"/>
  <c r="R1202" i="7"/>
  <c r="S1202" i="7"/>
  <c r="T1202" i="7"/>
  <c r="U1202" i="7"/>
  <c r="V1202" i="7"/>
  <c r="W1202" i="7"/>
  <c r="X1202" i="7"/>
  <c r="Y1202" i="7"/>
  <c r="Z1202" i="7"/>
  <c r="AA1202" i="7"/>
  <c r="AB1202" i="7"/>
  <c r="AC1202" i="7"/>
  <c r="AD1202" i="7"/>
  <c r="AE1202" i="7"/>
  <c r="Q1203" i="7"/>
  <c r="R1203" i="7"/>
  <c r="S1203" i="7"/>
  <c r="T1203" i="7"/>
  <c r="U1203" i="7"/>
  <c r="V1203" i="7"/>
  <c r="W1203" i="7"/>
  <c r="X1203" i="7"/>
  <c r="Y1203" i="7"/>
  <c r="Z1203" i="7"/>
  <c r="AA1203" i="7"/>
  <c r="AB1203" i="7"/>
  <c r="AC1203" i="7"/>
  <c r="AD1203" i="7"/>
  <c r="AE1203" i="7"/>
  <c r="Q1204" i="7"/>
  <c r="R1204" i="7"/>
  <c r="S1204" i="7"/>
  <c r="T1204" i="7"/>
  <c r="U1204" i="7"/>
  <c r="V1204" i="7"/>
  <c r="W1204" i="7"/>
  <c r="X1204" i="7"/>
  <c r="Y1204" i="7"/>
  <c r="Z1204" i="7"/>
  <c r="AA1204" i="7"/>
  <c r="AB1204" i="7"/>
  <c r="AC1204" i="7"/>
  <c r="AD1204" i="7"/>
  <c r="AE1204" i="7"/>
  <c r="Q1205" i="7"/>
  <c r="R1205" i="7"/>
  <c r="S1205" i="7"/>
  <c r="T1205" i="7"/>
  <c r="U1205" i="7"/>
  <c r="V1205" i="7"/>
  <c r="W1205" i="7"/>
  <c r="X1205" i="7"/>
  <c r="Y1205" i="7"/>
  <c r="Z1205" i="7"/>
  <c r="AA1205" i="7"/>
  <c r="AB1205" i="7"/>
  <c r="AC1205" i="7"/>
  <c r="AD1205" i="7"/>
  <c r="AE1205" i="7"/>
  <c r="Q1206" i="7"/>
  <c r="R1206" i="7"/>
  <c r="S1206" i="7"/>
  <c r="T1206" i="7"/>
  <c r="U1206" i="7"/>
  <c r="V1206" i="7"/>
  <c r="W1206" i="7"/>
  <c r="X1206" i="7"/>
  <c r="Y1206" i="7"/>
  <c r="Z1206" i="7"/>
  <c r="AA1206" i="7"/>
  <c r="AB1206" i="7"/>
  <c r="AC1206" i="7"/>
  <c r="AD1206" i="7"/>
  <c r="AE1206" i="7"/>
  <c r="Q1207" i="7"/>
  <c r="R1207" i="7"/>
  <c r="S1207" i="7"/>
  <c r="T1207" i="7"/>
  <c r="U1207" i="7"/>
  <c r="V1207" i="7"/>
  <c r="W1207" i="7"/>
  <c r="X1207" i="7"/>
  <c r="Y1207" i="7"/>
  <c r="Z1207" i="7"/>
  <c r="AA1207" i="7"/>
  <c r="AB1207" i="7"/>
  <c r="AC1207" i="7"/>
  <c r="AD1207" i="7"/>
  <c r="AE1207" i="7"/>
  <c r="Q1208" i="7"/>
  <c r="R1208" i="7"/>
  <c r="S1208" i="7"/>
  <c r="T1208" i="7"/>
  <c r="U1208" i="7"/>
  <c r="V1208" i="7"/>
  <c r="W1208" i="7"/>
  <c r="X1208" i="7"/>
  <c r="Y1208" i="7"/>
  <c r="Z1208" i="7"/>
  <c r="AA1208" i="7"/>
  <c r="AB1208" i="7"/>
  <c r="AC1208" i="7"/>
  <c r="AD1208" i="7"/>
  <c r="AE1208" i="7"/>
  <c r="Q1209" i="7"/>
  <c r="R1209" i="7"/>
  <c r="S1209" i="7"/>
  <c r="T1209" i="7"/>
  <c r="U1209" i="7"/>
  <c r="V1209" i="7"/>
  <c r="W1209" i="7"/>
  <c r="X1209" i="7"/>
  <c r="Y1209" i="7"/>
  <c r="Z1209" i="7"/>
  <c r="AA1209" i="7"/>
  <c r="AB1209" i="7"/>
  <c r="AC1209" i="7"/>
  <c r="AD1209" i="7"/>
  <c r="AE1209" i="7"/>
  <c r="Q1210" i="7"/>
  <c r="R1210" i="7"/>
  <c r="S1210" i="7"/>
  <c r="T1210" i="7"/>
  <c r="U1210" i="7"/>
  <c r="V1210" i="7"/>
  <c r="W1210" i="7"/>
  <c r="X1210" i="7"/>
  <c r="Y1210" i="7"/>
  <c r="Z1210" i="7"/>
  <c r="AA1210" i="7"/>
  <c r="AB1210" i="7"/>
  <c r="AC1210" i="7"/>
  <c r="AD1210" i="7"/>
  <c r="AE1210" i="7"/>
  <c r="Q1211" i="7"/>
  <c r="R1211" i="7"/>
  <c r="S1211" i="7"/>
  <c r="T1211" i="7"/>
  <c r="U1211" i="7"/>
  <c r="V1211" i="7"/>
  <c r="W1211" i="7"/>
  <c r="X1211" i="7"/>
  <c r="Y1211" i="7"/>
  <c r="Z1211" i="7"/>
  <c r="AA1211" i="7"/>
  <c r="AB1211" i="7"/>
  <c r="AC1211" i="7"/>
  <c r="AD1211" i="7"/>
  <c r="AE1211" i="7"/>
  <c r="Q1212" i="7"/>
  <c r="R1212" i="7"/>
  <c r="S1212" i="7"/>
  <c r="T1212" i="7"/>
  <c r="U1212" i="7"/>
  <c r="V1212" i="7"/>
  <c r="W1212" i="7"/>
  <c r="X1212" i="7"/>
  <c r="Y1212" i="7"/>
  <c r="Z1212" i="7"/>
  <c r="AA1212" i="7"/>
  <c r="AB1212" i="7"/>
  <c r="AC1212" i="7"/>
  <c r="AD1212" i="7"/>
  <c r="AE1212" i="7"/>
  <c r="Q1213" i="7"/>
  <c r="R1213" i="7"/>
  <c r="S1213" i="7"/>
  <c r="T1213" i="7"/>
  <c r="U1213" i="7"/>
  <c r="V1213" i="7"/>
  <c r="W1213" i="7"/>
  <c r="X1213" i="7"/>
  <c r="Y1213" i="7"/>
  <c r="Z1213" i="7"/>
  <c r="AA1213" i="7"/>
  <c r="AB1213" i="7"/>
  <c r="AC1213" i="7"/>
  <c r="AD1213" i="7"/>
  <c r="AE1213" i="7"/>
  <c r="Q1214" i="7"/>
  <c r="R1214" i="7"/>
  <c r="S1214" i="7"/>
  <c r="T1214" i="7"/>
  <c r="U1214" i="7"/>
  <c r="V1214" i="7"/>
  <c r="W1214" i="7"/>
  <c r="X1214" i="7"/>
  <c r="Y1214" i="7"/>
  <c r="Z1214" i="7"/>
  <c r="AA1214" i="7"/>
  <c r="AB1214" i="7"/>
  <c r="AC1214" i="7"/>
  <c r="AD1214" i="7"/>
  <c r="AE1214" i="7"/>
  <c r="Q1215" i="7"/>
  <c r="R1215" i="7"/>
  <c r="S1215" i="7"/>
  <c r="T1215" i="7"/>
  <c r="U1215" i="7"/>
  <c r="V1215" i="7"/>
  <c r="W1215" i="7"/>
  <c r="X1215" i="7"/>
  <c r="Y1215" i="7"/>
  <c r="Z1215" i="7"/>
  <c r="AA1215" i="7"/>
  <c r="AB1215" i="7"/>
  <c r="AC1215" i="7"/>
  <c r="AD1215" i="7"/>
  <c r="AE1215" i="7"/>
  <c r="Q1216" i="7"/>
  <c r="R1216" i="7"/>
  <c r="S1216" i="7"/>
  <c r="T1216" i="7"/>
  <c r="U1216" i="7"/>
  <c r="V1216" i="7"/>
  <c r="W1216" i="7"/>
  <c r="X1216" i="7"/>
  <c r="Y1216" i="7"/>
  <c r="Z1216" i="7"/>
  <c r="AA1216" i="7"/>
  <c r="AB1216" i="7"/>
  <c r="AC1216" i="7"/>
  <c r="AD1216" i="7"/>
  <c r="AE1216" i="7"/>
  <c r="Q1217" i="7"/>
  <c r="R1217" i="7"/>
  <c r="S1217" i="7"/>
  <c r="T1217" i="7"/>
  <c r="U1217" i="7"/>
  <c r="V1217" i="7"/>
  <c r="W1217" i="7"/>
  <c r="X1217" i="7"/>
  <c r="Y1217" i="7"/>
  <c r="Z1217" i="7"/>
  <c r="AA1217" i="7"/>
  <c r="AB1217" i="7"/>
  <c r="AC1217" i="7"/>
  <c r="AD1217" i="7"/>
  <c r="AE1217" i="7"/>
  <c r="Q1218" i="7"/>
  <c r="R1218" i="7"/>
  <c r="S1218" i="7"/>
  <c r="T1218" i="7"/>
  <c r="U1218" i="7"/>
  <c r="V1218" i="7"/>
  <c r="W1218" i="7"/>
  <c r="X1218" i="7"/>
  <c r="Y1218" i="7"/>
  <c r="Z1218" i="7"/>
  <c r="AA1218" i="7"/>
  <c r="AB1218" i="7"/>
  <c r="AC1218" i="7"/>
  <c r="AD1218" i="7"/>
  <c r="AE1218" i="7"/>
  <c r="Q1219" i="7"/>
  <c r="R1219" i="7"/>
  <c r="S1219" i="7"/>
  <c r="T1219" i="7"/>
  <c r="U1219" i="7"/>
  <c r="V1219" i="7"/>
  <c r="W1219" i="7"/>
  <c r="X1219" i="7"/>
  <c r="Y1219" i="7"/>
  <c r="Z1219" i="7"/>
  <c r="AA1219" i="7"/>
  <c r="AB1219" i="7"/>
  <c r="AC1219" i="7"/>
  <c r="AD1219" i="7"/>
  <c r="AE1219" i="7"/>
  <c r="Q1220" i="7"/>
  <c r="R1220" i="7"/>
  <c r="S1220" i="7"/>
  <c r="T1220" i="7"/>
  <c r="U1220" i="7"/>
  <c r="V1220" i="7"/>
  <c r="W1220" i="7"/>
  <c r="X1220" i="7"/>
  <c r="Y1220" i="7"/>
  <c r="Z1220" i="7"/>
  <c r="AA1220" i="7"/>
  <c r="AB1220" i="7"/>
  <c r="AC1220" i="7"/>
  <c r="AD1220" i="7"/>
  <c r="AE1220" i="7"/>
  <c r="Q1221" i="7"/>
  <c r="R1221" i="7"/>
  <c r="S1221" i="7"/>
  <c r="T1221" i="7"/>
  <c r="U1221" i="7"/>
  <c r="V1221" i="7"/>
  <c r="W1221" i="7"/>
  <c r="X1221" i="7"/>
  <c r="Y1221" i="7"/>
  <c r="Z1221" i="7"/>
  <c r="AA1221" i="7"/>
  <c r="AB1221" i="7"/>
  <c r="AC1221" i="7"/>
  <c r="AD1221" i="7"/>
  <c r="AE1221" i="7"/>
  <c r="Q1222" i="7"/>
  <c r="R1222" i="7"/>
  <c r="S1222" i="7"/>
  <c r="T1222" i="7"/>
  <c r="U1222" i="7"/>
  <c r="V1222" i="7"/>
  <c r="W1222" i="7"/>
  <c r="X1222" i="7"/>
  <c r="Y1222" i="7"/>
  <c r="Z1222" i="7"/>
  <c r="AA1222" i="7"/>
  <c r="AB1222" i="7"/>
  <c r="AC1222" i="7"/>
  <c r="AD1222" i="7"/>
  <c r="AE1222" i="7"/>
  <c r="Q1223" i="7"/>
  <c r="R1223" i="7"/>
  <c r="S1223" i="7"/>
  <c r="T1223" i="7"/>
  <c r="U1223" i="7"/>
  <c r="V1223" i="7"/>
  <c r="W1223" i="7"/>
  <c r="X1223" i="7"/>
  <c r="Y1223" i="7"/>
  <c r="Z1223" i="7"/>
  <c r="AA1223" i="7"/>
  <c r="AB1223" i="7"/>
  <c r="AC1223" i="7"/>
  <c r="AD1223" i="7"/>
  <c r="AE1223" i="7"/>
  <c r="Q1224" i="7"/>
  <c r="R1224" i="7"/>
  <c r="S1224" i="7"/>
  <c r="T1224" i="7"/>
  <c r="U1224" i="7"/>
  <c r="V1224" i="7"/>
  <c r="W1224" i="7"/>
  <c r="X1224" i="7"/>
  <c r="Y1224" i="7"/>
  <c r="Z1224" i="7"/>
  <c r="AA1224" i="7"/>
  <c r="AB1224" i="7"/>
  <c r="AC1224" i="7"/>
  <c r="AD1224" i="7"/>
  <c r="AE1224" i="7"/>
  <c r="Q1225" i="7"/>
  <c r="R1225" i="7"/>
  <c r="S1225" i="7"/>
  <c r="T1225" i="7"/>
  <c r="U1225" i="7"/>
  <c r="V1225" i="7"/>
  <c r="W1225" i="7"/>
  <c r="X1225" i="7"/>
  <c r="Y1225" i="7"/>
  <c r="Z1225" i="7"/>
  <c r="AA1225" i="7"/>
  <c r="AB1225" i="7"/>
  <c r="AC1225" i="7"/>
  <c r="AD1225" i="7"/>
  <c r="AE1225" i="7"/>
  <c r="Q1226" i="7"/>
  <c r="R1226" i="7"/>
  <c r="S1226" i="7"/>
  <c r="T1226" i="7"/>
  <c r="U1226" i="7"/>
  <c r="V1226" i="7"/>
  <c r="W1226" i="7"/>
  <c r="X1226" i="7"/>
  <c r="Y1226" i="7"/>
  <c r="Z1226" i="7"/>
  <c r="AA1226" i="7"/>
  <c r="AB1226" i="7"/>
  <c r="AC1226" i="7"/>
  <c r="AD1226" i="7"/>
  <c r="AE1226" i="7"/>
  <c r="Q1227" i="7"/>
  <c r="R1227" i="7"/>
  <c r="S1227" i="7"/>
  <c r="T1227" i="7"/>
  <c r="U1227" i="7"/>
  <c r="V1227" i="7"/>
  <c r="W1227" i="7"/>
  <c r="X1227" i="7"/>
  <c r="Y1227" i="7"/>
  <c r="Z1227" i="7"/>
  <c r="AA1227" i="7"/>
  <c r="AB1227" i="7"/>
  <c r="AC1227" i="7"/>
  <c r="AD1227" i="7"/>
  <c r="AE1227" i="7"/>
  <c r="Q1228" i="7"/>
  <c r="R1228" i="7"/>
  <c r="S1228" i="7"/>
  <c r="T1228" i="7"/>
  <c r="U1228" i="7"/>
  <c r="V1228" i="7"/>
  <c r="W1228" i="7"/>
  <c r="X1228" i="7"/>
  <c r="Y1228" i="7"/>
  <c r="Z1228" i="7"/>
  <c r="AA1228" i="7"/>
  <c r="AB1228" i="7"/>
  <c r="AC1228" i="7"/>
  <c r="AD1228" i="7"/>
  <c r="AE1228" i="7"/>
  <c r="Q1229" i="7"/>
  <c r="R1229" i="7"/>
  <c r="S1229" i="7"/>
  <c r="T1229" i="7"/>
  <c r="U1229" i="7"/>
  <c r="V1229" i="7"/>
  <c r="W1229" i="7"/>
  <c r="X1229" i="7"/>
  <c r="Y1229" i="7"/>
  <c r="Z1229" i="7"/>
  <c r="AA1229" i="7"/>
  <c r="AB1229" i="7"/>
  <c r="AC1229" i="7"/>
  <c r="AD1229" i="7"/>
  <c r="AE1229" i="7"/>
  <c r="Q1230" i="7"/>
  <c r="R1230" i="7"/>
  <c r="S1230" i="7"/>
  <c r="T1230" i="7"/>
  <c r="U1230" i="7"/>
  <c r="V1230" i="7"/>
  <c r="W1230" i="7"/>
  <c r="X1230" i="7"/>
  <c r="Y1230" i="7"/>
  <c r="Z1230" i="7"/>
  <c r="AA1230" i="7"/>
  <c r="AB1230" i="7"/>
  <c r="AC1230" i="7"/>
  <c r="AD1230" i="7"/>
  <c r="AE1230" i="7"/>
  <c r="Q1231" i="7"/>
  <c r="R1231" i="7"/>
  <c r="S1231" i="7"/>
  <c r="T1231" i="7"/>
  <c r="U1231" i="7"/>
  <c r="V1231" i="7"/>
  <c r="W1231" i="7"/>
  <c r="X1231" i="7"/>
  <c r="Y1231" i="7"/>
  <c r="Z1231" i="7"/>
  <c r="AA1231" i="7"/>
  <c r="AB1231" i="7"/>
  <c r="AC1231" i="7"/>
  <c r="AD1231" i="7"/>
  <c r="AE1231" i="7"/>
  <c r="Q1232" i="7"/>
  <c r="R1232" i="7"/>
  <c r="S1232" i="7"/>
  <c r="T1232" i="7"/>
  <c r="U1232" i="7"/>
  <c r="V1232" i="7"/>
  <c r="W1232" i="7"/>
  <c r="X1232" i="7"/>
  <c r="Y1232" i="7"/>
  <c r="Z1232" i="7"/>
  <c r="AA1232" i="7"/>
  <c r="AB1232" i="7"/>
  <c r="AC1232" i="7"/>
  <c r="AD1232" i="7"/>
  <c r="AE1232" i="7"/>
  <c r="Q1233" i="7"/>
  <c r="R1233" i="7"/>
  <c r="S1233" i="7"/>
  <c r="T1233" i="7"/>
  <c r="U1233" i="7"/>
  <c r="V1233" i="7"/>
  <c r="W1233" i="7"/>
  <c r="X1233" i="7"/>
  <c r="Y1233" i="7"/>
  <c r="Z1233" i="7"/>
  <c r="AA1233" i="7"/>
  <c r="AB1233" i="7"/>
  <c r="AC1233" i="7"/>
  <c r="AD1233" i="7"/>
  <c r="AE1233" i="7"/>
  <c r="Q1234" i="7"/>
  <c r="R1234" i="7"/>
  <c r="S1234" i="7"/>
  <c r="T1234" i="7"/>
  <c r="U1234" i="7"/>
  <c r="V1234" i="7"/>
  <c r="W1234" i="7"/>
  <c r="X1234" i="7"/>
  <c r="Y1234" i="7"/>
  <c r="Z1234" i="7"/>
  <c r="AA1234" i="7"/>
  <c r="AB1234" i="7"/>
  <c r="AC1234" i="7"/>
  <c r="AD1234" i="7"/>
  <c r="AE1234" i="7"/>
  <c r="Q1235" i="7"/>
  <c r="R1235" i="7"/>
  <c r="S1235" i="7"/>
  <c r="T1235" i="7"/>
  <c r="U1235" i="7"/>
  <c r="V1235" i="7"/>
  <c r="W1235" i="7"/>
  <c r="X1235" i="7"/>
  <c r="Y1235" i="7"/>
  <c r="Z1235" i="7"/>
  <c r="AA1235" i="7"/>
  <c r="AB1235" i="7"/>
  <c r="AC1235" i="7"/>
  <c r="AD1235" i="7"/>
  <c r="AE1235" i="7"/>
  <c r="Q1236" i="7"/>
  <c r="R1236" i="7"/>
  <c r="S1236" i="7"/>
  <c r="T1236" i="7"/>
  <c r="U1236" i="7"/>
  <c r="V1236" i="7"/>
  <c r="W1236" i="7"/>
  <c r="X1236" i="7"/>
  <c r="Y1236" i="7"/>
  <c r="Z1236" i="7"/>
  <c r="AA1236" i="7"/>
  <c r="AB1236" i="7"/>
  <c r="AC1236" i="7"/>
  <c r="AD1236" i="7"/>
  <c r="AE1236" i="7"/>
  <c r="Q1237" i="7"/>
  <c r="R1237" i="7"/>
  <c r="S1237" i="7"/>
  <c r="T1237" i="7"/>
  <c r="U1237" i="7"/>
  <c r="V1237" i="7"/>
  <c r="W1237" i="7"/>
  <c r="X1237" i="7"/>
  <c r="Y1237" i="7"/>
  <c r="Z1237" i="7"/>
  <c r="AA1237" i="7"/>
  <c r="AB1237" i="7"/>
  <c r="AC1237" i="7"/>
  <c r="AD1237" i="7"/>
  <c r="AE1237" i="7"/>
  <c r="Q1238" i="7"/>
  <c r="R1238" i="7"/>
  <c r="S1238" i="7"/>
  <c r="T1238" i="7"/>
  <c r="U1238" i="7"/>
  <c r="V1238" i="7"/>
  <c r="W1238" i="7"/>
  <c r="X1238" i="7"/>
  <c r="Y1238" i="7"/>
  <c r="Z1238" i="7"/>
  <c r="AA1238" i="7"/>
  <c r="AB1238" i="7"/>
  <c r="AC1238" i="7"/>
  <c r="AD1238" i="7"/>
  <c r="AE1238" i="7"/>
  <c r="Q1239" i="7"/>
  <c r="R1239" i="7"/>
  <c r="S1239" i="7"/>
  <c r="T1239" i="7"/>
  <c r="U1239" i="7"/>
  <c r="V1239" i="7"/>
  <c r="W1239" i="7"/>
  <c r="X1239" i="7"/>
  <c r="Y1239" i="7"/>
  <c r="Z1239" i="7"/>
  <c r="AA1239" i="7"/>
  <c r="AB1239" i="7"/>
  <c r="AC1239" i="7"/>
  <c r="AD1239" i="7"/>
  <c r="AE1239" i="7"/>
  <c r="Q1240" i="7"/>
  <c r="R1240" i="7"/>
  <c r="S1240" i="7"/>
  <c r="T1240" i="7"/>
  <c r="U1240" i="7"/>
  <c r="V1240" i="7"/>
  <c r="W1240" i="7"/>
  <c r="X1240" i="7"/>
  <c r="Y1240" i="7"/>
  <c r="Z1240" i="7"/>
  <c r="AA1240" i="7"/>
  <c r="AB1240" i="7"/>
  <c r="AC1240" i="7"/>
  <c r="AD1240" i="7"/>
  <c r="AE1240" i="7"/>
  <c r="Q1241" i="7"/>
  <c r="R1241" i="7"/>
  <c r="S1241" i="7"/>
  <c r="T1241" i="7"/>
  <c r="U1241" i="7"/>
  <c r="V1241" i="7"/>
  <c r="W1241" i="7"/>
  <c r="X1241" i="7"/>
  <c r="Y1241" i="7"/>
  <c r="Z1241" i="7"/>
  <c r="AA1241" i="7"/>
  <c r="AB1241" i="7"/>
  <c r="AC1241" i="7"/>
  <c r="AD1241" i="7"/>
  <c r="AE1241" i="7"/>
  <c r="Q1242" i="7"/>
  <c r="R1242" i="7"/>
  <c r="S1242" i="7"/>
  <c r="T1242" i="7"/>
  <c r="U1242" i="7"/>
  <c r="V1242" i="7"/>
  <c r="W1242" i="7"/>
  <c r="X1242" i="7"/>
  <c r="Y1242" i="7"/>
  <c r="Z1242" i="7"/>
  <c r="AA1242" i="7"/>
  <c r="AB1242" i="7"/>
  <c r="AC1242" i="7"/>
  <c r="AD1242" i="7"/>
  <c r="AE1242" i="7"/>
  <c r="Q1243" i="7"/>
  <c r="R1243" i="7"/>
  <c r="S1243" i="7"/>
  <c r="T1243" i="7"/>
  <c r="U1243" i="7"/>
  <c r="V1243" i="7"/>
  <c r="W1243" i="7"/>
  <c r="X1243" i="7"/>
  <c r="Y1243" i="7"/>
  <c r="Z1243" i="7"/>
  <c r="AA1243" i="7"/>
  <c r="AB1243" i="7"/>
  <c r="AC1243" i="7"/>
  <c r="AD1243" i="7"/>
  <c r="AE1243" i="7"/>
  <c r="Q1244" i="7"/>
  <c r="R1244" i="7"/>
  <c r="S1244" i="7"/>
  <c r="T1244" i="7"/>
  <c r="U1244" i="7"/>
  <c r="V1244" i="7"/>
  <c r="W1244" i="7"/>
  <c r="X1244" i="7"/>
  <c r="Y1244" i="7"/>
  <c r="Z1244" i="7"/>
  <c r="AA1244" i="7"/>
  <c r="AB1244" i="7"/>
  <c r="AC1244" i="7"/>
  <c r="AD1244" i="7"/>
  <c r="AE1244" i="7"/>
  <c r="Q1245" i="7"/>
  <c r="R1245" i="7"/>
  <c r="S1245" i="7"/>
  <c r="T1245" i="7"/>
  <c r="U1245" i="7"/>
  <c r="V1245" i="7"/>
  <c r="W1245" i="7"/>
  <c r="X1245" i="7"/>
  <c r="Y1245" i="7"/>
  <c r="Z1245" i="7"/>
  <c r="AA1245" i="7"/>
  <c r="AB1245" i="7"/>
  <c r="AC1245" i="7"/>
  <c r="AD1245" i="7"/>
  <c r="AE1245" i="7"/>
  <c r="Q1246" i="7"/>
  <c r="R1246" i="7"/>
  <c r="S1246" i="7"/>
  <c r="T1246" i="7"/>
  <c r="U1246" i="7"/>
  <c r="V1246" i="7"/>
  <c r="W1246" i="7"/>
  <c r="X1246" i="7"/>
  <c r="Y1246" i="7"/>
  <c r="Z1246" i="7"/>
  <c r="AA1246" i="7"/>
  <c r="AB1246" i="7"/>
  <c r="AC1246" i="7"/>
  <c r="AD1246" i="7"/>
  <c r="AE1246" i="7"/>
  <c r="Q1247" i="7"/>
  <c r="R1247" i="7"/>
  <c r="S1247" i="7"/>
  <c r="T1247" i="7"/>
  <c r="U1247" i="7"/>
  <c r="V1247" i="7"/>
  <c r="W1247" i="7"/>
  <c r="X1247" i="7"/>
  <c r="Y1247" i="7"/>
  <c r="Z1247" i="7"/>
  <c r="AA1247" i="7"/>
  <c r="AB1247" i="7"/>
  <c r="AC1247" i="7"/>
  <c r="AD1247" i="7"/>
  <c r="AE1247" i="7"/>
  <c r="Q1248" i="7"/>
  <c r="R1248" i="7"/>
  <c r="S1248" i="7"/>
  <c r="T1248" i="7"/>
  <c r="U1248" i="7"/>
  <c r="V1248" i="7"/>
  <c r="W1248" i="7"/>
  <c r="X1248" i="7"/>
  <c r="Y1248" i="7"/>
  <c r="Z1248" i="7"/>
  <c r="AA1248" i="7"/>
  <c r="AB1248" i="7"/>
  <c r="AC1248" i="7"/>
  <c r="AD1248" i="7"/>
  <c r="AE1248" i="7"/>
  <c r="Q1249" i="7"/>
  <c r="R1249" i="7"/>
  <c r="S1249" i="7"/>
  <c r="T1249" i="7"/>
  <c r="U1249" i="7"/>
  <c r="V1249" i="7"/>
  <c r="W1249" i="7"/>
  <c r="X1249" i="7"/>
  <c r="Y1249" i="7"/>
  <c r="Z1249" i="7"/>
  <c r="AA1249" i="7"/>
  <c r="AB1249" i="7"/>
  <c r="AC1249" i="7"/>
  <c r="AD1249" i="7"/>
  <c r="AE1249" i="7"/>
  <c r="Q1250" i="7"/>
  <c r="R1250" i="7"/>
  <c r="S1250" i="7"/>
  <c r="T1250" i="7"/>
  <c r="U1250" i="7"/>
  <c r="V1250" i="7"/>
  <c r="W1250" i="7"/>
  <c r="X1250" i="7"/>
  <c r="Y1250" i="7"/>
  <c r="Z1250" i="7"/>
  <c r="AA1250" i="7"/>
  <c r="AB1250" i="7"/>
  <c r="AC1250" i="7"/>
  <c r="AD1250" i="7"/>
  <c r="AE1250" i="7"/>
  <c r="Q1251" i="7"/>
  <c r="R1251" i="7"/>
  <c r="S1251" i="7"/>
  <c r="T1251" i="7"/>
  <c r="U1251" i="7"/>
  <c r="V1251" i="7"/>
  <c r="W1251" i="7"/>
  <c r="X1251" i="7"/>
  <c r="Y1251" i="7"/>
  <c r="Z1251" i="7"/>
  <c r="AA1251" i="7"/>
  <c r="AB1251" i="7"/>
  <c r="AC1251" i="7"/>
  <c r="AD1251" i="7"/>
  <c r="AE1251" i="7"/>
  <c r="Q1252" i="7"/>
  <c r="R1252" i="7"/>
  <c r="S1252" i="7"/>
  <c r="T1252" i="7"/>
  <c r="U1252" i="7"/>
  <c r="V1252" i="7"/>
  <c r="W1252" i="7"/>
  <c r="X1252" i="7"/>
  <c r="Y1252" i="7"/>
  <c r="Z1252" i="7"/>
  <c r="AA1252" i="7"/>
  <c r="AB1252" i="7"/>
  <c r="AC1252" i="7"/>
  <c r="AD1252" i="7"/>
  <c r="AE1252" i="7"/>
  <c r="Q1253" i="7"/>
  <c r="R1253" i="7"/>
  <c r="S1253" i="7"/>
  <c r="T1253" i="7"/>
  <c r="U1253" i="7"/>
  <c r="V1253" i="7"/>
  <c r="W1253" i="7"/>
  <c r="X1253" i="7"/>
  <c r="Y1253" i="7"/>
  <c r="Z1253" i="7"/>
  <c r="AA1253" i="7"/>
  <c r="AB1253" i="7"/>
  <c r="AC1253" i="7"/>
  <c r="AD1253" i="7"/>
  <c r="AE1253" i="7"/>
  <c r="Q1254" i="7"/>
  <c r="R1254" i="7"/>
  <c r="S1254" i="7"/>
  <c r="T1254" i="7"/>
  <c r="U1254" i="7"/>
  <c r="V1254" i="7"/>
  <c r="W1254" i="7"/>
  <c r="X1254" i="7"/>
  <c r="Y1254" i="7"/>
  <c r="Z1254" i="7"/>
  <c r="AA1254" i="7"/>
  <c r="AB1254" i="7"/>
  <c r="AC1254" i="7"/>
  <c r="AD1254" i="7"/>
  <c r="AE1254" i="7"/>
  <c r="Q1255" i="7"/>
  <c r="R1255" i="7"/>
  <c r="S1255" i="7"/>
  <c r="T1255" i="7"/>
  <c r="U1255" i="7"/>
  <c r="V1255" i="7"/>
  <c r="W1255" i="7"/>
  <c r="X1255" i="7"/>
  <c r="Y1255" i="7"/>
  <c r="Z1255" i="7"/>
  <c r="AA1255" i="7"/>
  <c r="AB1255" i="7"/>
  <c r="AC1255" i="7"/>
  <c r="AD1255" i="7"/>
  <c r="AE1255" i="7"/>
  <c r="Q1256" i="7"/>
  <c r="R1256" i="7"/>
  <c r="S1256" i="7"/>
  <c r="T1256" i="7"/>
  <c r="U1256" i="7"/>
  <c r="V1256" i="7"/>
  <c r="W1256" i="7"/>
  <c r="X1256" i="7"/>
  <c r="Y1256" i="7"/>
  <c r="Z1256" i="7"/>
  <c r="AA1256" i="7"/>
  <c r="AB1256" i="7"/>
  <c r="AC1256" i="7"/>
  <c r="AD1256" i="7"/>
  <c r="AE1256" i="7"/>
  <c r="Q1257" i="7"/>
  <c r="R1257" i="7"/>
  <c r="S1257" i="7"/>
  <c r="T1257" i="7"/>
  <c r="U1257" i="7"/>
  <c r="V1257" i="7"/>
  <c r="W1257" i="7"/>
  <c r="X1257" i="7"/>
  <c r="Y1257" i="7"/>
  <c r="Z1257" i="7"/>
  <c r="AA1257" i="7"/>
  <c r="AB1257" i="7"/>
  <c r="AC1257" i="7"/>
  <c r="AD1257" i="7"/>
  <c r="AE1257" i="7"/>
  <c r="Q1258" i="7"/>
  <c r="R1258" i="7"/>
  <c r="S1258" i="7"/>
  <c r="T1258" i="7"/>
  <c r="U1258" i="7"/>
  <c r="V1258" i="7"/>
  <c r="W1258" i="7"/>
  <c r="X1258" i="7"/>
  <c r="Y1258" i="7"/>
  <c r="Z1258" i="7"/>
  <c r="AA1258" i="7"/>
  <c r="AB1258" i="7"/>
  <c r="AC1258" i="7"/>
  <c r="AD1258" i="7"/>
  <c r="AE1258" i="7"/>
  <c r="Q1259" i="7"/>
  <c r="R1259" i="7"/>
  <c r="S1259" i="7"/>
  <c r="T1259" i="7"/>
  <c r="U1259" i="7"/>
  <c r="V1259" i="7"/>
  <c r="W1259" i="7"/>
  <c r="X1259" i="7"/>
  <c r="Y1259" i="7"/>
  <c r="Z1259" i="7"/>
  <c r="AA1259" i="7"/>
  <c r="AB1259" i="7"/>
  <c r="AC1259" i="7"/>
  <c r="AD1259" i="7"/>
  <c r="AE1259" i="7"/>
  <c r="Q1260" i="7"/>
  <c r="R1260" i="7"/>
  <c r="S1260" i="7"/>
  <c r="T1260" i="7"/>
  <c r="U1260" i="7"/>
  <c r="V1260" i="7"/>
  <c r="W1260" i="7"/>
  <c r="X1260" i="7"/>
  <c r="Y1260" i="7"/>
  <c r="Z1260" i="7"/>
  <c r="AA1260" i="7"/>
  <c r="AB1260" i="7"/>
  <c r="AC1260" i="7"/>
  <c r="AD1260" i="7"/>
  <c r="AE1260" i="7"/>
  <c r="Q1261" i="7"/>
  <c r="R1261" i="7"/>
  <c r="S1261" i="7"/>
  <c r="T1261" i="7"/>
  <c r="U1261" i="7"/>
  <c r="V1261" i="7"/>
  <c r="W1261" i="7"/>
  <c r="X1261" i="7"/>
  <c r="Y1261" i="7"/>
  <c r="Z1261" i="7"/>
  <c r="AA1261" i="7"/>
  <c r="AB1261" i="7"/>
  <c r="AC1261" i="7"/>
  <c r="AD1261" i="7"/>
  <c r="AE1261" i="7"/>
  <c r="Q1262" i="7"/>
  <c r="R1262" i="7"/>
  <c r="S1262" i="7"/>
  <c r="T1262" i="7"/>
  <c r="U1262" i="7"/>
  <c r="V1262" i="7"/>
  <c r="W1262" i="7"/>
  <c r="X1262" i="7"/>
  <c r="Y1262" i="7"/>
  <c r="Z1262" i="7"/>
  <c r="AA1262" i="7"/>
  <c r="AB1262" i="7"/>
  <c r="AC1262" i="7"/>
  <c r="AD1262" i="7"/>
  <c r="AE1262" i="7"/>
  <c r="Q1263" i="7"/>
  <c r="R1263" i="7"/>
  <c r="S1263" i="7"/>
  <c r="T1263" i="7"/>
  <c r="U1263" i="7"/>
  <c r="V1263" i="7"/>
  <c r="W1263" i="7"/>
  <c r="X1263" i="7"/>
  <c r="Y1263" i="7"/>
  <c r="Z1263" i="7"/>
  <c r="AA1263" i="7"/>
  <c r="AB1263" i="7"/>
  <c r="AC1263" i="7"/>
  <c r="AD1263" i="7"/>
  <c r="AE1263" i="7"/>
  <c r="Q1264" i="7"/>
  <c r="R1264" i="7"/>
  <c r="S1264" i="7"/>
  <c r="T1264" i="7"/>
  <c r="U1264" i="7"/>
  <c r="V1264" i="7"/>
  <c r="W1264" i="7"/>
  <c r="X1264" i="7"/>
  <c r="Y1264" i="7"/>
  <c r="Z1264" i="7"/>
  <c r="AA1264" i="7"/>
  <c r="AB1264" i="7"/>
  <c r="AC1264" i="7"/>
  <c r="AD1264" i="7"/>
  <c r="AE1264" i="7"/>
  <c r="Q1265" i="7"/>
  <c r="R1265" i="7"/>
  <c r="S1265" i="7"/>
  <c r="T1265" i="7"/>
  <c r="U1265" i="7"/>
  <c r="V1265" i="7"/>
  <c r="W1265" i="7"/>
  <c r="X1265" i="7"/>
  <c r="Y1265" i="7"/>
  <c r="Z1265" i="7"/>
  <c r="AA1265" i="7"/>
  <c r="AB1265" i="7"/>
  <c r="AC1265" i="7"/>
  <c r="AD1265" i="7"/>
  <c r="AE1265" i="7"/>
  <c r="Q1266" i="7"/>
  <c r="R1266" i="7"/>
  <c r="S1266" i="7"/>
  <c r="T1266" i="7"/>
  <c r="U1266" i="7"/>
  <c r="V1266" i="7"/>
  <c r="W1266" i="7"/>
  <c r="X1266" i="7"/>
  <c r="Y1266" i="7"/>
  <c r="Z1266" i="7"/>
  <c r="AA1266" i="7"/>
  <c r="AB1266" i="7"/>
  <c r="AC1266" i="7"/>
  <c r="AD1266" i="7"/>
  <c r="AE1266" i="7"/>
  <c r="Q1267" i="7"/>
  <c r="R1267" i="7"/>
  <c r="S1267" i="7"/>
  <c r="T1267" i="7"/>
  <c r="U1267" i="7"/>
  <c r="V1267" i="7"/>
  <c r="W1267" i="7"/>
  <c r="X1267" i="7"/>
  <c r="Y1267" i="7"/>
  <c r="Z1267" i="7"/>
  <c r="AA1267" i="7"/>
  <c r="AB1267" i="7"/>
  <c r="AC1267" i="7"/>
  <c r="AD1267" i="7"/>
  <c r="AE1267" i="7"/>
  <c r="Q1268" i="7"/>
  <c r="R1268" i="7"/>
  <c r="S1268" i="7"/>
  <c r="T1268" i="7"/>
  <c r="U1268" i="7"/>
  <c r="V1268" i="7"/>
  <c r="W1268" i="7"/>
  <c r="X1268" i="7"/>
  <c r="Y1268" i="7"/>
  <c r="Z1268" i="7"/>
  <c r="AA1268" i="7"/>
  <c r="AB1268" i="7"/>
  <c r="AC1268" i="7"/>
  <c r="AD1268" i="7"/>
  <c r="AE1268" i="7"/>
  <c r="Q1269" i="7"/>
  <c r="R1269" i="7"/>
  <c r="S1269" i="7"/>
  <c r="T1269" i="7"/>
  <c r="U1269" i="7"/>
  <c r="V1269" i="7"/>
  <c r="W1269" i="7"/>
  <c r="X1269" i="7"/>
  <c r="Y1269" i="7"/>
  <c r="Z1269" i="7"/>
  <c r="AA1269" i="7"/>
  <c r="AB1269" i="7"/>
  <c r="AC1269" i="7"/>
  <c r="AD1269" i="7"/>
  <c r="AE1269" i="7"/>
  <c r="Q1270" i="7"/>
  <c r="R1270" i="7"/>
  <c r="S1270" i="7"/>
  <c r="T1270" i="7"/>
  <c r="U1270" i="7"/>
  <c r="V1270" i="7"/>
  <c r="W1270" i="7"/>
  <c r="X1270" i="7"/>
  <c r="Y1270" i="7"/>
  <c r="Z1270" i="7"/>
  <c r="AA1270" i="7"/>
  <c r="AB1270" i="7"/>
  <c r="AC1270" i="7"/>
  <c r="AD1270" i="7"/>
  <c r="AE1270" i="7"/>
  <c r="Q1271" i="7"/>
  <c r="R1271" i="7"/>
  <c r="S1271" i="7"/>
  <c r="T1271" i="7"/>
  <c r="U1271" i="7"/>
  <c r="V1271" i="7"/>
  <c r="W1271" i="7"/>
  <c r="X1271" i="7"/>
  <c r="Y1271" i="7"/>
  <c r="Z1271" i="7"/>
  <c r="AA1271" i="7"/>
  <c r="AB1271" i="7"/>
  <c r="AC1271" i="7"/>
  <c r="AD1271" i="7"/>
  <c r="AE1271" i="7"/>
  <c r="Q1272" i="7"/>
  <c r="R1272" i="7"/>
  <c r="S1272" i="7"/>
  <c r="T1272" i="7"/>
  <c r="U1272" i="7"/>
  <c r="V1272" i="7"/>
  <c r="W1272" i="7"/>
  <c r="X1272" i="7"/>
  <c r="Y1272" i="7"/>
  <c r="Z1272" i="7"/>
  <c r="AA1272" i="7"/>
  <c r="AB1272" i="7"/>
  <c r="AC1272" i="7"/>
  <c r="AD1272" i="7"/>
  <c r="AE1272" i="7"/>
  <c r="Q1273" i="7"/>
  <c r="R1273" i="7"/>
  <c r="S1273" i="7"/>
  <c r="T1273" i="7"/>
  <c r="U1273" i="7"/>
  <c r="V1273" i="7"/>
  <c r="W1273" i="7"/>
  <c r="X1273" i="7"/>
  <c r="Y1273" i="7"/>
  <c r="Z1273" i="7"/>
  <c r="AA1273" i="7"/>
  <c r="AB1273" i="7"/>
  <c r="AC1273" i="7"/>
  <c r="AD1273" i="7"/>
  <c r="AE1273" i="7"/>
  <c r="Q1274" i="7"/>
  <c r="R1274" i="7"/>
  <c r="S1274" i="7"/>
  <c r="T1274" i="7"/>
  <c r="U1274" i="7"/>
  <c r="V1274" i="7"/>
  <c r="W1274" i="7"/>
  <c r="X1274" i="7"/>
  <c r="Y1274" i="7"/>
  <c r="Z1274" i="7"/>
  <c r="AA1274" i="7"/>
  <c r="AB1274" i="7"/>
  <c r="AC1274" i="7"/>
  <c r="AD1274" i="7"/>
  <c r="AE1274" i="7"/>
  <c r="Q1275" i="7"/>
  <c r="R1275" i="7"/>
  <c r="S1275" i="7"/>
  <c r="T1275" i="7"/>
  <c r="U1275" i="7"/>
  <c r="V1275" i="7"/>
  <c r="W1275" i="7"/>
  <c r="X1275" i="7"/>
  <c r="Y1275" i="7"/>
  <c r="Z1275" i="7"/>
  <c r="AA1275" i="7"/>
  <c r="AB1275" i="7"/>
  <c r="AC1275" i="7"/>
  <c r="AD1275" i="7"/>
  <c r="AE1275" i="7"/>
  <c r="Q1276" i="7"/>
  <c r="R1276" i="7"/>
  <c r="S1276" i="7"/>
  <c r="T1276" i="7"/>
  <c r="U1276" i="7"/>
  <c r="V1276" i="7"/>
  <c r="W1276" i="7"/>
  <c r="X1276" i="7"/>
  <c r="Y1276" i="7"/>
  <c r="Z1276" i="7"/>
  <c r="AA1276" i="7"/>
  <c r="AB1276" i="7"/>
  <c r="AC1276" i="7"/>
  <c r="AD1276" i="7"/>
  <c r="AE1276" i="7"/>
  <c r="Q1277" i="7"/>
  <c r="R1277" i="7"/>
  <c r="S1277" i="7"/>
  <c r="T1277" i="7"/>
  <c r="U1277" i="7"/>
  <c r="V1277" i="7"/>
  <c r="W1277" i="7"/>
  <c r="X1277" i="7"/>
  <c r="Y1277" i="7"/>
  <c r="Z1277" i="7"/>
  <c r="AA1277" i="7"/>
  <c r="AB1277" i="7"/>
  <c r="AC1277" i="7"/>
  <c r="AD1277" i="7"/>
  <c r="AE1277" i="7"/>
  <c r="Q1278" i="7"/>
  <c r="R1278" i="7"/>
  <c r="S1278" i="7"/>
  <c r="T1278" i="7"/>
  <c r="U1278" i="7"/>
  <c r="V1278" i="7"/>
  <c r="W1278" i="7"/>
  <c r="X1278" i="7"/>
  <c r="Y1278" i="7"/>
  <c r="Z1278" i="7"/>
  <c r="AA1278" i="7"/>
  <c r="AB1278" i="7"/>
  <c r="AC1278" i="7"/>
  <c r="AD1278" i="7"/>
  <c r="AE1278" i="7"/>
  <c r="Q1279" i="7"/>
  <c r="R1279" i="7"/>
  <c r="S1279" i="7"/>
  <c r="T1279" i="7"/>
  <c r="U1279" i="7"/>
  <c r="V1279" i="7"/>
  <c r="W1279" i="7"/>
  <c r="X1279" i="7"/>
  <c r="Y1279" i="7"/>
  <c r="Z1279" i="7"/>
  <c r="AA1279" i="7"/>
  <c r="AB1279" i="7"/>
  <c r="AC1279" i="7"/>
  <c r="AD1279" i="7"/>
  <c r="AE1279" i="7"/>
  <c r="Q1280" i="7"/>
  <c r="R1280" i="7"/>
  <c r="S1280" i="7"/>
  <c r="T1280" i="7"/>
  <c r="U1280" i="7"/>
  <c r="V1280" i="7"/>
  <c r="W1280" i="7"/>
  <c r="X1280" i="7"/>
  <c r="Y1280" i="7"/>
  <c r="Z1280" i="7"/>
  <c r="AA1280" i="7"/>
  <c r="AB1280" i="7"/>
  <c r="AC1280" i="7"/>
  <c r="AD1280" i="7"/>
  <c r="AE1280" i="7"/>
  <c r="Q1281" i="7"/>
  <c r="R1281" i="7"/>
  <c r="S1281" i="7"/>
  <c r="T1281" i="7"/>
  <c r="U1281" i="7"/>
  <c r="V1281" i="7"/>
  <c r="W1281" i="7"/>
  <c r="X1281" i="7"/>
  <c r="Y1281" i="7"/>
  <c r="Z1281" i="7"/>
  <c r="AA1281" i="7"/>
  <c r="AB1281" i="7"/>
  <c r="AC1281" i="7"/>
  <c r="AD1281" i="7"/>
  <c r="AE1281" i="7"/>
  <c r="Q1282" i="7"/>
  <c r="R1282" i="7"/>
  <c r="S1282" i="7"/>
  <c r="T1282" i="7"/>
  <c r="U1282" i="7"/>
  <c r="V1282" i="7"/>
  <c r="W1282" i="7"/>
  <c r="X1282" i="7"/>
  <c r="Y1282" i="7"/>
  <c r="Z1282" i="7"/>
  <c r="AA1282" i="7"/>
  <c r="AB1282" i="7"/>
  <c r="AC1282" i="7"/>
  <c r="AD1282" i="7"/>
  <c r="AE1282" i="7"/>
  <c r="Q1283" i="7"/>
  <c r="R1283" i="7"/>
  <c r="S1283" i="7"/>
  <c r="T1283" i="7"/>
  <c r="U1283" i="7"/>
  <c r="V1283" i="7"/>
  <c r="W1283" i="7"/>
  <c r="X1283" i="7"/>
  <c r="Y1283" i="7"/>
  <c r="Z1283" i="7"/>
  <c r="AA1283" i="7"/>
  <c r="AB1283" i="7"/>
  <c r="AC1283" i="7"/>
  <c r="AD1283" i="7"/>
  <c r="AE1283" i="7"/>
  <c r="Q1284" i="7"/>
  <c r="R1284" i="7"/>
  <c r="S1284" i="7"/>
  <c r="T1284" i="7"/>
  <c r="U1284" i="7"/>
  <c r="V1284" i="7"/>
  <c r="W1284" i="7"/>
  <c r="X1284" i="7"/>
  <c r="Y1284" i="7"/>
  <c r="Z1284" i="7"/>
  <c r="AA1284" i="7"/>
  <c r="AB1284" i="7"/>
  <c r="AC1284" i="7"/>
  <c r="AD1284" i="7"/>
  <c r="AE1284" i="7"/>
  <c r="Q1285" i="7"/>
  <c r="R1285" i="7"/>
  <c r="S1285" i="7"/>
  <c r="T1285" i="7"/>
  <c r="U1285" i="7"/>
  <c r="V1285" i="7"/>
  <c r="W1285" i="7"/>
  <c r="X1285" i="7"/>
  <c r="Y1285" i="7"/>
  <c r="Z1285" i="7"/>
  <c r="AA1285" i="7"/>
  <c r="AB1285" i="7"/>
  <c r="AC1285" i="7"/>
  <c r="AD1285" i="7"/>
  <c r="AE1285" i="7"/>
  <c r="Q1286" i="7"/>
  <c r="R1286" i="7"/>
  <c r="S1286" i="7"/>
  <c r="T1286" i="7"/>
  <c r="U1286" i="7"/>
  <c r="V1286" i="7"/>
  <c r="W1286" i="7"/>
  <c r="X1286" i="7"/>
  <c r="Y1286" i="7"/>
  <c r="Z1286" i="7"/>
  <c r="AA1286" i="7"/>
  <c r="AB1286" i="7"/>
  <c r="AC1286" i="7"/>
  <c r="AD1286" i="7"/>
  <c r="AE1286" i="7"/>
  <c r="Q1287" i="7"/>
  <c r="R1287" i="7"/>
  <c r="S1287" i="7"/>
  <c r="T1287" i="7"/>
  <c r="U1287" i="7"/>
  <c r="V1287" i="7"/>
  <c r="W1287" i="7"/>
  <c r="X1287" i="7"/>
  <c r="Y1287" i="7"/>
  <c r="Z1287" i="7"/>
  <c r="AA1287" i="7"/>
  <c r="AB1287" i="7"/>
  <c r="AC1287" i="7"/>
  <c r="AD1287" i="7"/>
  <c r="AE1287" i="7"/>
  <c r="Q1288" i="7"/>
  <c r="R1288" i="7"/>
  <c r="S1288" i="7"/>
  <c r="T1288" i="7"/>
  <c r="U1288" i="7"/>
  <c r="V1288" i="7"/>
  <c r="W1288" i="7"/>
  <c r="X1288" i="7"/>
  <c r="Y1288" i="7"/>
  <c r="Z1288" i="7"/>
  <c r="AA1288" i="7"/>
  <c r="AB1288" i="7"/>
  <c r="AC1288" i="7"/>
  <c r="AD1288" i="7"/>
  <c r="AE1288" i="7"/>
  <c r="Q1289" i="7"/>
  <c r="R1289" i="7"/>
  <c r="S1289" i="7"/>
  <c r="T1289" i="7"/>
  <c r="U1289" i="7"/>
  <c r="V1289" i="7"/>
  <c r="W1289" i="7"/>
  <c r="X1289" i="7"/>
  <c r="Y1289" i="7"/>
  <c r="Z1289" i="7"/>
  <c r="AA1289" i="7"/>
  <c r="AB1289" i="7"/>
  <c r="AC1289" i="7"/>
  <c r="AD1289" i="7"/>
  <c r="AE1289" i="7"/>
  <c r="Q1290" i="7"/>
  <c r="R1290" i="7"/>
  <c r="S1290" i="7"/>
  <c r="T1290" i="7"/>
  <c r="U1290" i="7"/>
  <c r="V1290" i="7"/>
  <c r="W1290" i="7"/>
  <c r="X1290" i="7"/>
  <c r="Y1290" i="7"/>
  <c r="Z1290" i="7"/>
  <c r="AA1290" i="7"/>
  <c r="AB1290" i="7"/>
  <c r="AC1290" i="7"/>
  <c r="AD1290" i="7"/>
  <c r="AE1290" i="7"/>
  <c r="Q1291" i="7"/>
  <c r="R1291" i="7"/>
  <c r="S1291" i="7"/>
  <c r="T1291" i="7"/>
  <c r="U1291" i="7"/>
  <c r="V1291" i="7"/>
  <c r="W1291" i="7"/>
  <c r="X1291" i="7"/>
  <c r="Y1291" i="7"/>
  <c r="Z1291" i="7"/>
  <c r="AA1291" i="7"/>
  <c r="AB1291" i="7"/>
  <c r="AC1291" i="7"/>
  <c r="AD1291" i="7"/>
  <c r="AE1291" i="7"/>
  <c r="Q1292" i="7"/>
  <c r="R1292" i="7"/>
  <c r="S1292" i="7"/>
  <c r="T1292" i="7"/>
  <c r="U1292" i="7"/>
  <c r="V1292" i="7"/>
  <c r="W1292" i="7"/>
  <c r="X1292" i="7"/>
  <c r="Y1292" i="7"/>
  <c r="Z1292" i="7"/>
  <c r="AA1292" i="7"/>
  <c r="AB1292" i="7"/>
  <c r="AC1292" i="7"/>
  <c r="AD1292" i="7"/>
  <c r="AE1292" i="7"/>
  <c r="Q1293" i="7"/>
  <c r="R1293" i="7"/>
  <c r="S1293" i="7"/>
  <c r="T1293" i="7"/>
  <c r="U1293" i="7"/>
  <c r="V1293" i="7"/>
  <c r="W1293" i="7"/>
  <c r="X1293" i="7"/>
  <c r="Y1293" i="7"/>
  <c r="Z1293" i="7"/>
  <c r="AA1293" i="7"/>
  <c r="AB1293" i="7"/>
  <c r="AC1293" i="7"/>
  <c r="AD1293" i="7"/>
  <c r="AE1293" i="7"/>
  <c r="Q1294" i="7"/>
  <c r="R1294" i="7"/>
  <c r="S1294" i="7"/>
  <c r="T1294" i="7"/>
  <c r="U1294" i="7"/>
  <c r="V1294" i="7"/>
  <c r="W1294" i="7"/>
  <c r="X1294" i="7"/>
  <c r="Y1294" i="7"/>
  <c r="Z1294" i="7"/>
  <c r="AA1294" i="7"/>
  <c r="AB1294" i="7"/>
  <c r="AC1294" i="7"/>
  <c r="AD1294" i="7"/>
  <c r="AE1294" i="7"/>
  <c r="Q1295" i="7"/>
  <c r="R1295" i="7"/>
  <c r="S1295" i="7"/>
  <c r="T1295" i="7"/>
  <c r="U1295" i="7"/>
  <c r="V1295" i="7"/>
  <c r="W1295" i="7"/>
  <c r="X1295" i="7"/>
  <c r="Y1295" i="7"/>
  <c r="Z1295" i="7"/>
  <c r="AA1295" i="7"/>
  <c r="AB1295" i="7"/>
  <c r="AC1295" i="7"/>
  <c r="AD1295" i="7"/>
  <c r="AE1295" i="7"/>
  <c r="Q1296" i="7"/>
  <c r="R1296" i="7"/>
  <c r="S1296" i="7"/>
  <c r="T1296" i="7"/>
  <c r="U1296" i="7"/>
  <c r="V1296" i="7"/>
  <c r="W1296" i="7"/>
  <c r="X1296" i="7"/>
  <c r="Y1296" i="7"/>
  <c r="Z1296" i="7"/>
  <c r="AA1296" i="7"/>
  <c r="AB1296" i="7"/>
  <c r="AC1296" i="7"/>
  <c r="AD1296" i="7"/>
  <c r="AE1296" i="7"/>
  <c r="Q1297" i="7"/>
  <c r="R1297" i="7"/>
  <c r="S1297" i="7"/>
  <c r="T1297" i="7"/>
  <c r="U1297" i="7"/>
  <c r="V1297" i="7"/>
  <c r="W1297" i="7"/>
  <c r="X1297" i="7"/>
  <c r="Y1297" i="7"/>
  <c r="Z1297" i="7"/>
  <c r="AA1297" i="7"/>
  <c r="AB1297" i="7"/>
  <c r="AC1297" i="7"/>
  <c r="AD1297" i="7"/>
  <c r="AE1297" i="7"/>
  <c r="Q1298" i="7"/>
  <c r="R1298" i="7"/>
  <c r="S1298" i="7"/>
  <c r="T1298" i="7"/>
  <c r="U1298" i="7"/>
  <c r="V1298" i="7"/>
  <c r="W1298" i="7"/>
  <c r="X1298" i="7"/>
  <c r="Y1298" i="7"/>
  <c r="Z1298" i="7"/>
  <c r="AA1298" i="7"/>
  <c r="AB1298" i="7"/>
  <c r="AC1298" i="7"/>
  <c r="AD1298" i="7"/>
  <c r="AE1298" i="7"/>
  <c r="Q1299" i="7"/>
  <c r="R1299" i="7"/>
  <c r="S1299" i="7"/>
  <c r="T1299" i="7"/>
  <c r="U1299" i="7"/>
  <c r="V1299" i="7"/>
  <c r="W1299" i="7"/>
  <c r="X1299" i="7"/>
  <c r="Y1299" i="7"/>
  <c r="Z1299" i="7"/>
  <c r="AA1299" i="7"/>
  <c r="AB1299" i="7"/>
  <c r="AC1299" i="7"/>
  <c r="AD1299" i="7"/>
  <c r="AE1299" i="7"/>
  <c r="Q1300" i="7"/>
  <c r="R1300" i="7"/>
  <c r="S1300" i="7"/>
  <c r="T1300" i="7"/>
  <c r="U1300" i="7"/>
  <c r="V1300" i="7"/>
  <c r="W1300" i="7"/>
  <c r="X1300" i="7"/>
  <c r="Y1300" i="7"/>
  <c r="Z1300" i="7"/>
  <c r="AA1300" i="7"/>
  <c r="AB1300" i="7"/>
  <c r="AC1300" i="7"/>
  <c r="AD1300" i="7"/>
  <c r="AE1300" i="7"/>
  <c r="Q1301" i="7"/>
  <c r="R1301" i="7"/>
  <c r="S1301" i="7"/>
  <c r="T1301" i="7"/>
  <c r="U1301" i="7"/>
  <c r="V1301" i="7"/>
  <c r="W1301" i="7"/>
  <c r="X1301" i="7"/>
  <c r="Y1301" i="7"/>
  <c r="Z1301" i="7"/>
  <c r="AA1301" i="7"/>
  <c r="AB1301" i="7"/>
  <c r="AC1301" i="7"/>
  <c r="AD1301" i="7"/>
  <c r="AE1301" i="7"/>
  <c r="Q1302" i="7"/>
  <c r="R1302" i="7"/>
  <c r="S1302" i="7"/>
  <c r="T1302" i="7"/>
  <c r="U1302" i="7"/>
  <c r="V1302" i="7"/>
  <c r="W1302" i="7"/>
  <c r="X1302" i="7"/>
  <c r="Y1302" i="7"/>
  <c r="Z1302" i="7"/>
  <c r="AA1302" i="7"/>
  <c r="AB1302" i="7"/>
  <c r="AC1302" i="7"/>
  <c r="AD1302" i="7"/>
  <c r="AE1302" i="7"/>
  <c r="Q1303" i="7"/>
  <c r="R1303" i="7"/>
  <c r="S1303" i="7"/>
  <c r="T1303" i="7"/>
  <c r="U1303" i="7"/>
  <c r="V1303" i="7"/>
  <c r="W1303" i="7"/>
  <c r="X1303" i="7"/>
  <c r="Y1303" i="7"/>
  <c r="Z1303" i="7"/>
  <c r="AA1303" i="7"/>
  <c r="AB1303" i="7"/>
  <c r="AC1303" i="7"/>
  <c r="AD1303" i="7"/>
  <c r="AE1303" i="7"/>
  <c r="Q1304" i="7"/>
  <c r="R1304" i="7"/>
  <c r="S1304" i="7"/>
  <c r="T1304" i="7"/>
  <c r="U1304" i="7"/>
  <c r="V1304" i="7"/>
  <c r="W1304" i="7"/>
  <c r="X1304" i="7"/>
  <c r="Y1304" i="7"/>
  <c r="Z1304" i="7"/>
  <c r="AA1304" i="7"/>
  <c r="AB1304" i="7"/>
  <c r="AC1304" i="7"/>
  <c r="AD1304" i="7"/>
  <c r="AE1304" i="7"/>
  <c r="Q1305" i="7"/>
  <c r="R1305" i="7"/>
  <c r="S1305" i="7"/>
  <c r="T1305" i="7"/>
  <c r="U1305" i="7"/>
  <c r="V1305" i="7"/>
  <c r="W1305" i="7"/>
  <c r="X1305" i="7"/>
  <c r="Y1305" i="7"/>
  <c r="Z1305" i="7"/>
  <c r="AA1305" i="7"/>
  <c r="AB1305" i="7"/>
  <c r="AC1305" i="7"/>
  <c r="AD1305" i="7"/>
  <c r="AE1305" i="7"/>
  <c r="Q1306" i="7"/>
  <c r="R1306" i="7"/>
  <c r="S1306" i="7"/>
  <c r="T1306" i="7"/>
  <c r="U1306" i="7"/>
  <c r="V1306" i="7"/>
  <c r="W1306" i="7"/>
  <c r="X1306" i="7"/>
  <c r="Y1306" i="7"/>
  <c r="Z1306" i="7"/>
  <c r="AA1306" i="7"/>
  <c r="AB1306" i="7"/>
  <c r="AC1306" i="7"/>
  <c r="AD1306" i="7"/>
  <c r="AE1306" i="7"/>
  <c r="Q1307" i="7"/>
  <c r="R1307" i="7"/>
  <c r="S1307" i="7"/>
  <c r="T1307" i="7"/>
  <c r="U1307" i="7"/>
  <c r="V1307" i="7"/>
  <c r="W1307" i="7"/>
  <c r="X1307" i="7"/>
  <c r="Y1307" i="7"/>
  <c r="Z1307" i="7"/>
  <c r="AA1307" i="7"/>
  <c r="AB1307" i="7"/>
  <c r="AC1307" i="7"/>
  <c r="AD1307" i="7"/>
  <c r="AE1307" i="7"/>
  <c r="Q1308" i="7"/>
  <c r="R1308" i="7"/>
  <c r="S1308" i="7"/>
  <c r="T1308" i="7"/>
  <c r="U1308" i="7"/>
  <c r="V1308" i="7"/>
  <c r="W1308" i="7"/>
  <c r="X1308" i="7"/>
  <c r="Y1308" i="7"/>
  <c r="Z1308" i="7"/>
  <c r="AA1308" i="7"/>
  <c r="AB1308" i="7"/>
  <c r="AC1308" i="7"/>
  <c r="AD1308" i="7"/>
  <c r="AE1308" i="7"/>
  <c r="Q1309" i="7"/>
  <c r="R1309" i="7"/>
  <c r="S1309" i="7"/>
  <c r="T1309" i="7"/>
  <c r="U1309" i="7"/>
  <c r="V1309" i="7"/>
  <c r="W1309" i="7"/>
  <c r="X1309" i="7"/>
  <c r="Y1309" i="7"/>
  <c r="Z1309" i="7"/>
  <c r="AA1309" i="7"/>
  <c r="AB1309" i="7"/>
  <c r="AC1309" i="7"/>
  <c r="AD1309" i="7"/>
  <c r="AE1309" i="7"/>
  <c r="Q1310" i="7"/>
  <c r="R1310" i="7"/>
  <c r="S1310" i="7"/>
  <c r="T1310" i="7"/>
  <c r="U1310" i="7"/>
  <c r="V1310" i="7"/>
  <c r="W1310" i="7"/>
  <c r="X1310" i="7"/>
  <c r="Y1310" i="7"/>
  <c r="Z1310" i="7"/>
  <c r="AA1310" i="7"/>
  <c r="AB1310" i="7"/>
  <c r="AC1310" i="7"/>
  <c r="AD1310" i="7"/>
  <c r="AE1310" i="7"/>
  <c r="Q1311" i="7"/>
  <c r="R1311" i="7"/>
  <c r="S1311" i="7"/>
  <c r="T1311" i="7"/>
  <c r="U1311" i="7"/>
  <c r="V1311" i="7"/>
  <c r="W1311" i="7"/>
  <c r="X1311" i="7"/>
  <c r="Y1311" i="7"/>
  <c r="Z1311" i="7"/>
  <c r="AA1311" i="7"/>
  <c r="AB1311" i="7"/>
  <c r="AC1311" i="7"/>
  <c r="AD1311" i="7"/>
  <c r="AE1311" i="7"/>
  <c r="Q1312" i="7"/>
  <c r="R1312" i="7"/>
  <c r="S1312" i="7"/>
  <c r="T1312" i="7"/>
  <c r="U1312" i="7"/>
  <c r="V1312" i="7"/>
  <c r="W1312" i="7"/>
  <c r="X1312" i="7"/>
  <c r="Y1312" i="7"/>
  <c r="Z1312" i="7"/>
  <c r="AA1312" i="7"/>
  <c r="AB1312" i="7"/>
  <c r="AC1312" i="7"/>
  <c r="AD1312" i="7"/>
  <c r="AE1312" i="7"/>
  <c r="Q1313" i="7"/>
  <c r="R1313" i="7"/>
  <c r="S1313" i="7"/>
  <c r="T1313" i="7"/>
  <c r="U1313" i="7"/>
  <c r="V1313" i="7"/>
  <c r="W1313" i="7"/>
  <c r="X1313" i="7"/>
  <c r="Y1313" i="7"/>
  <c r="Z1313" i="7"/>
  <c r="AA1313" i="7"/>
  <c r="AB1313" i="7"/>
  <c r="AC1313" i="7"/>
  <c r="AD1313" i="7"/>
  <c r="AE1313" i="7"/>
  <c r="Q1314" i="7"/>
  <c r="R1314" i="7"/>
  <c r="S1314" i="7"/>
  <c r="T1314" i="7"/>
  <c r="U1314" i="7"/>
  <c r="V1314" i="7"/>
  <c r="W1314" i="7"/>
  <c r="X1314" i="7"/>
  <c r="Y1314" i="7"/>
  <c r="Z1314" i="7"/>
  <c r="AA1314" i="7"/>
  <c r="AB1314" i="7"/>
  <c r="AC1314" i="7"/>
  <c r="AD1314" i="7"/>
  <c r="AE1314" i="7"/>
  <c r="Q1315" i="7"/>
  <c r="R1315" i="7"/>
  <c r="S1315" i="7"/>
  <c r="T1315" i="7"/>
  <c r="U1315" i="7"/>
  <c r="V1315" i="7"/>
  <c r="W1315" i="7"/>
  <c r="X1315" i="7"/>
  <c r="Y1315" i="7"/>
  <c r="Z1315" i="7"/>
  <c r="AA1315" i="7"/>
  <c r="AB1315" i="7"/>
  <c r="AC1315" i="7"/>
  <c r="AD1315" i="7"/>
  <c r="AE1315" i="7"/>
  <c r="Q1316" i="7"/>
  <c r="R1316" i="7"/>
  <c r="S1316" i="7"/>
  <c r="T1316" i="7"/>
  <c r="U1316" i="7"/>
  <c r="V1316" i="7"/>
  <c r="W1316" i="7"/>
  <c r="X1316" i="7"/>
  <c r="Y1316" i="7"/>
  <c r="Z1316" i="7"/>
  <c r="AA1316" i="7"/>
  <c r="AB1316" i="7"/>
  <c r="AC1316" i="7"/>
  <c r="AD1316" i="7"/>
  <c r="AE1316" i="7"/>
  <c r="Q1317" i="7"/>
  <c r="R1317" i="7"/>
  <c r="S1317" i="7"/>
  <c r="T1317" i="7"/>
  <c r="U1317" i="7"/>
  <c r="V1317" i="7"/>
  <c r="W1317" i="7"/>
  <c r="X1317" i="7"/>
  <c r="Y1317" i="7"/>
  <c r="Z1317" i="7"/>
  <c r="AA1317" i="7"/>
  <c r="AB1317" i="7"/>
  <c r="AC1317" i="7"/>
  <c r="AD1317" i="7"/>
  <c r="AE1317" i="7"/>
  <c r="Q1318" i="7"/>
  <c r="R1318" i="7"/>
  <c r="S1318" i="7"/>
  <c r="T1318" i="7"/>
  <c r="U1318" i="7"/>
  <c r="V1318" i="7"/>
  <c r="W1318" i="7"/>
  <c r="X1318" i="7"/>
  <c r="Y1318" i="7"/>
  <c r="Z1318" i="7"/>
  <c r="AA1318" i="7"/>
  <c r="AB1318" i="7"/>
  <c r="AC1318" i="7"/>
  <c r="AD1318" i="7"/>
  <c r="AE1318" i="7"/>
  <c r="Q1319" i="7"/>
  <c r="R1319" i="7"/>
  <c r="S1319" i="7"/>
  <c r="T1319" i="7"/>
  <c r="U1319" i="7"/>
  <c r="V1319" i="7"/>
  <c r="W1319" i="7"/>
  <c r="X1319" i="7"/>
  <c r="Y1319" i="7"/>
  <c r="Z1319" i="7"/>
  <c r="AA1319" i="7"/>
  <c r="AB1319" i="7"/>
  <c r="AC1319" i="7"/>
  <c r="AD1319" i="7"/>
  <c r="AE1319" i="7"/>
  <c r="Q1320" i="7"/>
  <c r="R1320" i="7"/>
  <c r="S1320" i="7"/>
  <c r="T1320" i="7"/>
  <c r="U1320" i="7"/>
  <c r="V1320" i="7"/>
  <c r="W1320" i="7"/>
  <c r="X1320" i="7"/>
  <c r="Y1320" i="7"/>
  <c r="Z1320" i="7"/>
  <c r="AA1320" i="7"/>
  <c r="AB1320" i="7"/>
  <c r="AC1320" i="7"/>
  <c r="AD1320" i="7"/>
  <c r="AE1320" i="7"/>
  <c r="Q1321" i="7"/>
  <c r="R1321" i="7"/>
  <c r="S1321" i="7"/>
  <c r="T1321" i="7"/>
  <c r="U1321" i="7"/>
  <c r="V1321" i="7"/>
  <c r="W1321" i="7"/>
  <c r="X1321" i="7"/>
  <c r="Y1321" i="7"/>
  <c r="Z1321" i="7"/>
  <c r="AA1321" i="7"/>
  <c r="AB1321" i="7"/>
  <c r="AC1321" i="7"/>
  <c r="AD1321" i="7"/>
  <c r="AE1321" i="7"/>
  <c r="Q1322" i="7"/>
  <c r="R1322" i="7"/>
  <c r="S1322" i="7"/>
  <c r="T1322" i="7"/>
  <c r="U1322" i="7"/>
  <c r="V1322" i="7"/>
  <c r="W1322" i="7"/>
  <c r="X1322" i="7"/>
  <c r="Y1322" i="7"/>
  <c r="Z1322" i="7"/>
  <c r="AA1322" i="7"/>
  <c r="AB1322" i="7"/>
  <c r="AC1322" i="7"/>
  <c r="AD1322" i="7"/>
  <c r="AE1322" i="7"/>
  <c r="Q1323" i="7"/>
  <c r="R1323" i="7"/>
  <c r="S1323" i="7"/>
  <c r="T1323" i="7"/>
  <c r="U1323" i="7"/>
  <c r="V1323" i="7"/>
  <c r="W1323" i="7"/>
  <c r="X1323" i="7"/>
  <c r="Y1323" i="7"/>
  <c r="Z1323" i="7"/>
  <c r="AA1323" i="7"/>
  <c r="AB1323" i="7"/>
  <c r="AC1323" i="7"/>
  <c r="AD1323" i="7"/>
  <c r="AE1323" i="7"/>
  <c r="Q1324" i="7"/>
  <c r="R1324" i="7"/>
  <c r="S1324" i="7"/>
  <c r="T1324" i="7"/>
  <c r="U1324" i="7"/>
  <c r="V1324" i="7"/>
  <c r="W1324" i="7"/>
  <c r="X1324" i="7"/>
  <c r="Y1324" i="7"/>
  <c r="Z1324" i="7"/>
  <c r="AA1324" i="7"/>
  <c r="AB1324" i="7"/>
  <c r="AC1324" i="7"/>
  <c r="AD1324" i="7"/>
  <c r="AE1324" i="7"/>
  <c r="Q1325" i="7"/>
  <c r="R1325" i="7"/>
  <c r="S1325" i="7"/>
  <c r="T1325" i="7"/>
  <c r="U1325" i="7"/>
  <c r="V1325" i="7"/>
  <c r="W1325" i="7"/>
  <c r="X1325" i="7"/>
  <c r="Y1325" i="7"/>
  <c r="Z1325" i="7"/>
  <c r="AA1325" i="7"/>
  <c r="AB1325" i="7"/>
  <c r="AC1325" i="7"/>
  <c r="AD1325" i="7"/>
  <c r="AE1325" i="7"/>
  <c r="Q1326" i="7"/>
  <c r="R1326" i="7"/>
  <c r="S1326" i="7"/>
  <c r="T1326" i="7"/>
  <c r="U1326" i="7"/>
  <c r="V1326" i="7"/>
  <c r="W1326" i="7"/>
  <c r="X1326" i="7"/>
  <c r="Y1326" i="7"/>
  <c r="Z1326" i="7"/>
  <c r="AA1326" i="7"/>
  <c r="AB1326" i="7"/>
  <c r="AC1326" i="7"/>
  <c r="AD1326" i="7"/>
  <c r="AE1326" i="7"/>
  <c r="Q1327" i="7"/>
  <c r="R1327" i="7"/>
  <c r="S1327" i="7"/>
  <c r="T1327" i="7"/>
  <c r="U1327" i="7"/>
  <c r="V1327" i="7"/>
  <c r="W1327" i="7"/>
  <c r="X1327" i="7"/>
  <c r="Y1327" i="7"/>
  <c r="Z1327" i="7"/>
  <c r="AA1327" i="7"/>
  <c r="AB1327" i="7"/>
  <c r="AC1327" i="7"/>
  <c r="AD1327" i="7"/>
  <c r="AE1327" i="7"/>
  <c r="Q1328" i="7"/>
  <c r="R1328" i="7"/>
  <c r="S1328" i="7"/>
  <c r="T1328" i="7"/>
  <c r="U1328" i="7"/>
  <c r="V1328" i="7"/>
  <c r="W1328" i="7"/>
  <c r="X1328" i="7"/>
  <c r="Y1328" i="7"/>
  <c r="Z1328" i="7"/>
  <c r="AA1328" i="7"/>
  <c r="AB1328" i="7"/>
  <c r="AC1328" i="7"/>
  <c r="AD1328" i="7"/>
  <c r="AE1328" i="7"/>
  <c r="Q1329" i="7"/>
  <c r="R1329" i="7"/>
  <c r="S1329" i="7"/>
  <c r="T1329" i="7"/>
  <c r="U1329" i="7"/>
  <c r="V1329" i="7"/>
  <c r="W1329" i="7"/>
  <c r="X1329" i="7"/>
  <c r="Y1329" i="7"/>
  <c r="Z1329" i="7"/>
  <c r="AA1329" i="7"/>
  <c r="AB1329" i="7"/>
  <c r="AC1329" i="7"/>
  <c r="AD1329" i="7"/>
  <c r="AE1329" i="7"/>
  <c r="Q1330" i="7"/>
  <c r="R1330" i="7"/>
  <c r="S1330" i="7"/>
  <c r="T1330" i="7"/>
  <c r="U1330" i="7"/>
  <c r="V1330" i="7"/>
  <c r="W1330" i="7"/>
  <c r="X1330" i="7"/>
  <c r="Y1330" i="7"/>
  <c r="Z1330" i="7"/>
  <c r="AA1330" i="7"/>
  <c r="AB1330" i="7"/>
  <c r="AC1330" i="7"/>
  <c r="AD1330" i="7"/>
  <c r="AE1330" i="7"/>
  <c r="Q1331" i="7"/>
  <c r="R1331" i="7"/>
  <c r="S1331" i="7"/>
  <c r="T1331" i="7"/>
  <c r="U1331" i="7"/>
  <c r="V1331" i="7"/>
  <c r="W1331" i="7"/>
  <c r="X1331" i="7"/>
  <c r="Y1331" i="7"/>
  <c r="Z1331" i="7"/>
  <c r="AA1331" i="7"/>
  <c r="AB1331" i="7"/>
  <c r="AC1331" i="7"/>
  <c r="AD1331" i="7"/>
  <c r="AE1331" i="7"/>
  <c r="Q1332" i="7"/>
  <c r="R1332" i="7"/>
  <c r="S1332" i="7"/>
  <c r="T1332" i="7"/>
  <c r="U1332" i="7"/>
  <c r="V1332" i="7"/>
  <c r="W1332" i="7"/>
  <c r="X1332" i="7"/>
  <c r="Y1332" i="7"/>
  <c r="Z1332" i="7"/>
  <c r="AA1332" i="7"/>
  <c r="AB1332" i="7"/>
  <c r="AC1332" i="7"/>
  <c r="AD1332" i="7"/>
  <c r="AE1332" i="7"/>
  <c r="Q1333" i="7"/>
  <c r="R1333" i="7"/>
  <c r="S1333" i="7"/>
  <c r="T1333" i="7"/>
  <c r="U1333" i="7"/>
  <c r="V1333" i="7"/>
  <c r="W1333" i="7"/>
  <c r="X1333" i="7"/>
  <c r="Y1333" i="7"/>
  <c r="Z1333" i="7"/>
  <c r="AA1333" i="7"/>
  <c r="AB1333" i="7"/>
  <c r="AC1333" i="7"/>
  <c r="AD1333" i="7"/>
  <c r="AE1333" i="7"/>
  <c r="Q1334" i="7"/>
  <c r="R1334" i="7"/>
  <c r="S1334" i="7"/>
  <c r="T1334" i="7"/>
  <c r="U1334" i="7"/>
  <c r="V1334" i="7"/>
  <c r="W1334" i="7"/>
  <c r="X1334" i="7"/>
  <c r="Y1334" i="7"/>
  <c r="Z1334" i="7"/>
  <c r="AA1334" i="7"/>
  <c r="AB1334" i="7"/>
  <c r="AC1334" i="7"/>
  <c r="AD1334" i="7"/>
  <c r="AE1334" i="7"/>
  <c r="Q1335" i="7"/>
  <c r="R1335" i="7"/>
  <c r="S1335" i="7"/>
  <c r="T1335" i="7"/>
  <c r="U1335" i="7"/>
  <c r="V1335" i="7"/>
  <c r="W1335" i="7"/>
  <c r="X1335" i="7"/>
  <c r="Y1335" i="7"/>
  <c r="Z1335" i="7"/>
  <c r="AA1335" i="7"/>
  <c r="AB1335" i="7"/>
  <c r="AC1335" i="7"/>
  <c r="AD1335" i="7"/>
  <c r="AE1335" i="7"/>
  <c r="Q1336" i="7"/>
  <c r="R1336" i="7"/>
  <c r="S1336" i="7"/>
  <c r="T1336" i="7"/>
  <c r="U1336" i="7"/>
  <c r="V1336" i="7"/>
  <c r="W1336" i="7"/>
  <c r="X1336" i="7"/>
  <c r="Y1336" i="7"/>
  <c r="Z1336" i="7"/>
  <c r="AA1336" i="7"/>
  <c r="AB1336" i="7"/>
  <c r="AC1336" i="7"/>
  <c r="AD1336" i="7"/>
  <c r="AE1336" i="7"/>
  <c r="Q1337" i="7"/>
  <c r="R1337" i="7"/>
  <c r="S1337" i="7"/>
  <c r="T1337" i="7"/>
  <c r="U1337" i="7"/>
  <c r="V1337" i="7"/>
  <c r="W1337" i="7"/>
  <c r="X1337" i="7"/>
  <c r="Y1337" i="7"/>
  <c r="Z1337" i="7"/>
  <c r="AA1337" i="7"/>
  <c r="AB1337" i="7"/>
  <c r="AC1337" i="7"/>
  <c r="AD1337" i="7"/>
  <c r="AE1337" i="7"/>
  <c r="Q1338" i="7"/>
  <c r="R1338" i="7"/>
  <c r="S1338" i="7"/>
  <c r="T1338" i="7"/>
  <c r="U1338" i="7"/>
  <c r="V1338" i="7"/>
  <c r="W1338" i="7"/>
  <c r="X1338" i="7"/>
  <c r="Y1338" i="7"/>
  <c r="Z1338" i="7"/>
  <c r="AA1338" i="7"/>
  <c r="AB1338" i="7"/>
  <c r="AC1338" i="7"/>
  <c r="AD1338" i="7"/>
  <c r="AE1338" i="7"/>
  <c r="Q1339" i="7"/>
  <c r="R1339" i="7"/>
  <c r="S1339" i="7"/>
  <c r="T1339" i="7"/>
  <c r="U1339" i="7"/>
  <c r="V1339" i="7"/>
  <c r="W1339" i="7"/>
  <c r="X1339" i="7"/>
  <c r="Y1339" i="7"/>
  <c r="Z1339" i="7"/>
  <c r="AA1339" i="7"/>
  <c r="AB1339" i="7"/>
  <c r="AC1339" i="7"/>
  <c r="AD1339" i="7"/>
  <c r="AE1339" i="7"/>
  <c r="Q1340" i="7"/>
  <c r="R1340" i="7"/>
  <c r="S1340" i="7"/>
  <c r="T1340" i="7"/>
  <c r="U1340" i="7"/>
  <c r="V1340" i="7"/>
  <c r="W1340" i="7"/>
  <c r="X1340" i="7"/>
  <c r="Y1340" i="7"/>
  <c r="Z1340" i="7"/>
  <c r="AA1340" i="7"/>
  <c r="AB1340" i="7"/>
  <c r="AC1340" i="7"/>
  <c r="AD1340" i="7"/>
  <c r="AE1340" i="7"/>
  <c r="Q1341" i="7"/>
  <c r="R1341" i="7"/>
  <c r="S1341" i="7"/>
  <c r="T1341" i="7"/>
  <c r="U1341" i="7"/>
  <c r="V1341" i="7"/>
  <c r="W1341" i="7"/>
  <c r="X1341" i="7"/>
  <c r="Y1341" i="7"/>
  <c r="Z1341" i="7"/>
  <c r="AA1341" i="7"/>
  <c r="AB1341" i="7"/>
  <c r="AC1341" i="7"/>
  <c r="AD1341" i="7"/>
  <c r="AE1341" i="7"/>
  <c r="Q1342" i="7"/>
  <c r="R1342" i="7"/>
  <c r="S1342" i="7"/>
  <c r="T1342" i="7"/>
  <c r="U1342" i="7"/>
  <c r="V1342" i="7"/>
  <c r="W1342" i="7"/>
  <c r="X1342" i="7"/>
  <c r="Y1342" i="7"/>
  <c r="Z1342" i="7"/>
  <c r="AA1342" i="7"/>
  <c r="AB1342" i="7"/>
  <c r="AC1342" i="7"/>
  <c r="AD1342" i="7"/>
  <c r="AE1342" i="7"/>
  <c r="Q1343" i="7"/>
  <c r="R1343" i="7"/>
  <c r="S1343" i="7"/>
  <c r="T1343" i="7"/>
  <c r="U1343" i="7"/>
  <c r="V1343" i="7"/>
  <c r="W1343" i="7"/>
  <c r="X1343" i="7"/>
  <c r="Y1343" i="7"/>
  <c r="Z1343" i="7"/>
  <c r="AA1343" i="7"/>
  <c r="AB1343" i="7"/>
  <c r="AC1343" i="7"/>
  <c r="AD1343" i="7"/>
  <c r="AE1343" i="7"/>
  <c r="Q1344" i="7"/>
  <c r="R1344" i="7"/>
  <c r="S1344" i="7"/>
  <c r="T1344" i="7"/>
  <c r="U1344" i="7"/>
  <c r="V1344" i="7"/>
  <c r="W1344" i="7"/>
  <c r="X1344" i="7"/>
  <c r="Y1344" i="7"/>
  <c r="Z1344" i="7"/>
  <c r="AA1344" i="7"/>
  <c r="AB1344" i="7"/>
  <c r="AC1344" i="7"/>
  <c r="AD1344" i="7"/>
  <c r="AE1344" i="7"/>
  <c r="Q1345" i="7"/>
  <c r="R1345" i="7"/>
  <c r="S1345" i="7"/>
  <c r="T1345" i="7"/>
  <c r="U1345" i="7"/>
  <c r="V1345" i="7"/>
  <c r="W1345" i="7"/>
  <c r="X1345" i="7"/>
  <c r="Y1345" i="7"/>
  <c r="Z1345" i="7"/>
  <c r="AA1345" i="7"/>
  <c r="AB1345" i="7"/>
  <c r="AC1345" i="7"/>
  <c r="AD1345" i="7"/>
  <c r="AE1345" i="7"/>
  <c r="Q1346" i="7"/>
  <c r="R1346" i="7"/>
  <c r="S1346" i="7"/>
  <c r="T1346" i="7"/>
  <c r="U1346" i="7"/>
  <c r="V1346" i="7"/>
  <c r="W1346" i="7"/>
  <c r="X1346" i="7"/>
  <c r="Y1346" i="7"/>
  <c r="Z1346" i="7"/>
  <c r="AA1346" i="7"/>
  <c r="AB1346" i="7"/>
  <c r="AC1346" i="7"/>
  <c r="AD1346" i="7"/>
  <c r="AE1346" i="7"/>
  <c r="Q1347" i="7"/>
  <c r="R1347" i="7"/>
  <c r="S1347" i="7"/>
  <c r="T1347" i="7"/>
  <c r="U1347" i="7"/>
  <c r="V1347" i="7"/>
  <c r="W1347" i="7"/>
  <c r="X1347" i="7"/>
  <c r="Y1347" i="7"/>
  <c r="Z1347" i="7"/>
  <c r="AA1347" i="7"/>
  <c r="AB1347" i="7"/>
  <c r="AC1347" i="7"/>
  <c r="AD1347" i="7"/>
  <c r="AE1347" i="7"/>
  <c r="Q1348" i="7"/>
  <c r="R1348" i="7"/>
  <c r="S1348" i="7"/>
  <c r="T1348" i="7"/>
  <c r="U1348" i="7"/>
  <c r="V1348" i="7"/>
  <c r="W1348" i="7"/>
  <c r="X1348" i="7"/>
  <c r="Y1348" i="7"/>
  <c r="Z1348" i="7"/>
  <c r="AA1348" i="7"/>
  <c r="AB1348" i="7"/>
  <c r="AC1348" i="7"/>
  <c r="AD1348" i="7"/>
  <c r="AE1348" i="7"/>
  <c r="Q1349" i="7"/>
  <c r="R1349" i="7"/>
  <c r="S1349" i="7"/>
  <c r="T1349" i="7"/>
  <c r="U1349" i="7"/>
  <c r="V1349" i="7"/>
  <c r="W1349" i="7"/>
  <c r="X1349" i="7"/>
  <c r="Y1349" i="7"/>
  <c r="Z1349" i="7"/>
  <c r="AA1349" i="7"/>
  <c r="AB1349" i="7"/>
  <c r="AC1349" i="7"/>
  <c r="AD1349" i="7"/>
  <c r="AE1349" i="7"/>
  <c r="Q1350" i="7"/>
  <c r="R1350" i="7"/>
  <c r="S1350" i="7"/>
  <c r="T1350" i="7"/>
  <c r="U1350" i="7"/>
  <c r="V1350" i="7"/>
  <c r="W1350" i="7"/>
  <c r="X1350" i="7"/>
  <c r="Y1350" i="7"/>
  <c r="Z1350" i="7"/>
  <c r="AA1350" i="7"/>
  <c r="AB1350" i="7"/>
  <c r="AC1350" i="7"/>
  <c r="AD1350" i="7"/>
  <c r="AE1350" i="7"/>
  <c r="Q1351" i="7"/>
  <c r="R1351" i="7"/>
  <c r="S1351" i="7"/>
  <c r="T1351" i="7"/>
  <c r="U1351" i="7"/>
  <c r="V1351" i="7"/>
  <c r="W1351" i="7"/>
  <c r="X1351" i="7"/>
  <c r="Y1351" i="7"/>
  <c r="Z1351" i="7"/>
  <c r="AA1351" i="7"/>
  <c r="AB1351" i="7"/>
  <c r="AC1351" i="7"/>
  <c r="AD1351" i="7"/>
  <c r="AE1351" i="7"/>
  <c r="Q1352" i="7"/>
  <c r="R1352" i="7"/>
  <c r="S1352" i="7"/>
  <c r="T1352" i="7"/>
  <c r="U1352" i="7"/>
  <c r="V1352" i="7"/>
  <c r="W1352" i="7"/>
  <c r="X1352" i="7"/>
  <c r="Y1352" i="7"/>
  <c r="Z1352" i="7"/>
  <c r="AA1352" i="7"/>
  <c r="AB1352" i="7"/>
  <c r="AC1352" i="7"/>
  <c r="AD1352" i="7"/>
  <c r="AE1352" i="7"/>
  <c r="Q1353" i="7"/>
  <c r="R1353" i="7"/>
  <c r="S1353" i="7"/>
  <c r="T1353" i="7"/>
  <c r="U1353" i="7"/>
  <c r="V1353" i="7"/>
  <c r="W1353" i="7"/>
  <c r="X1353" i="7"/>
  <c r="Y1353" i="7"/>
  <c r="Z1353" i="7"/>
  <c r="AA1353" i="7"/>
  <c r="AB1353" i="7"/>
  <c r="AC1353" i="7"/>
  <c r="AD1353" i="7"/>
  <c r="AE1353" i="7"/>
  <c r="Q1354" i="7"/>
  <c r="R1354" i="7"/>
  <c r="S1354" i="7"/>
  <c r="T1354" i="7"/>
  <c r="U1354" i="7"/>
  <c r="V1354" i="7"/>
  <c r="W1354" i="7"/>
  <c r="X1354" i="7"/>
  <c r="Y1354" i="7"/>
  <c r="Z1354" i="7"/>
  <c r="AA1354" i="7"/>
  <c r="AB1354" i="7"/>
  <c r="AC1354" i="7"/>
  <c r="AD1354" i="7"/>
  <c r="AE1354" i="7"/>
  <c r="Q1355" i="7"/>
  <c r="R1355" i="7"/>
  <c r="S1355" i="7"/>
  <c r="T1355" i="7"/>
  <c r="U1355" i="7"/>
  <c r="V1355" i="7"/>
  <c r="W1355" i="7"/>
  <c r="X1355" i="7"/>
  <c r="Y1355" i="7"/>
  <c r="Z1355" i="7"/>
  <c r="AA1355" i="7"/>
  <c r="AB1355" i="7"/>
  <c r="AC1355" i="7"/>
  <c r="AD1355" i="7"/>
  <c r="AE1355" i="7"/>
  <c r="Q1356" i="7"/>
  <c r="R1356" i="7"/>
  <c r="S1356" i="7"/>
  <c r="T1356" i="7"/>
  <c r="U1356" i="7"/>
  <c r="V1356" i="7"/>
  <c r="W1356" i="7"/>
  <c r="X1356" i="7"/>
  <c r="Y1356" i="7"/>
  <c r="Z1356" i="7"/>
  <c r="AA1356" i="7"/>
  <c r="AB1356" i="7"/>
  <c r="AC1356" i="7"/>
  <c r="AD1356" i="7"/>
  <c r="AE1356" i="7"/>
  <c r="Q1357" i="7"/>
  <c r="R1357" i="7"/>
  <c r="S1357" i="7"/>
  <c r="T1357" i="7"/>
  <c r="U1357" i="7"/>
  <c r="V1357" i="7"/>
  <c r="W1357" i="7"/>
  <c r="X1357" i="7"/>
  <c r="Y1357" i="7"/>
  <c r="Z1357" i="7"/>
  <c r="AA1357" i="7"/>
  <c r="AB1357" i="7"/>
  <c r="AC1357" i="7"/>
  <c r="AD1357" i="7"/>
  <c r="AE1357" i="7"/>
  <c r="Q1358" i="7"/>
  <c r="R1358" i="7"/>
  <c r="S1358" i="7"/>
  <c r="T1358" i="7"/>
  <c r="U1358" i="7"/>
  <c r="V1358" i="7"/>
  <c r="W1358" i="7"/>
  <c r="X1358" i="7"/>
  <c r="Y1358" i="7"/>
  <c r="Z1358" i="7"/>
  <c r="AA1358" i="7"/>
  <c r="AB1358" i="7"/>
  <c r="AC1358" i="7"/>
  <c r="AD1358" i="7"/>
  <c r="AE1358" i="7"/>
  <c r="Q1359" i="7"/>
  <c r="R1359" i="7"/>
  <c r="S1359" i="7"/>
  <c r="T1359" i="7"/>
  <c r="U1359" i="7"/>
  <c r="V1359" i="7"/>
  <c r="W1359" i="7"/>
  <c r="X1359" i="7"/>
  <c r="Y1359" i="7"/>
  <c r="Z1359" i="7"/>
  <c r="AA1359" i="7"/>
  <c r="AB1359" i="7"/>
  <c r="AC1359" i="7"/>
  <c r="AD1359" i="7"/>
  <c r="AE1359" i="7"/>
  <c r="Q1360" i="7"/>
  <c r="R1360" i="7"/>
  <c r="S1360" i="7"/>
  <c r="T1360" i="7"/>
  <c r="U1360" i="7"/>
  <c r="V1360" i="7"/>
  <c r="W1360" i="7"/>
  <c r="X1360" i="7"/>
  <c r="Y1360" i="7"/>
  <c r="Z1360" i="7"/>
  <c r="AA1360" i="7"/>
  <c r="AB1360" i="7"/>
  <c r="AC1360" i="7"/>
  <c r="AD1360" i="7"/>
  <c r="AE1360" i="7"/>
  <c r="Q1361" i="7"/>
  <c r="R1361" i="7"/>
  <c r="S1361" i="7"/>
  <c r="T1361" i="7"/>
  <c r="U1361" i="7"/>
  <c r="V1361" i="7"/>
  <c r="W1361" i="7"/>
  <c r="X1361" i="7"/>
  <c r="Y1361" i="7"/>
  <c r="Z1361" i="7"/>
  <c r="AA1361" i="7"/>
  <c r="AB1361" i="7"/>
  <c r="AC1361" i="7"/>
  <c r="AD1361" i="7"/>
  <c r="AE1361" i="7"/>
  <c r="Q1362" i="7"/>
  <c r="R1362" i="7"/>
  <c r="S1362" i="7"/>
  <c r="T1362" i="7"/>
  <c r="U1362" i="7"/>
  <c r="V1362" i="7"/>
  <c r="W1362" i="7"/>
  <c r="X1362" i="7"/>
  <c r="Y1362" i="7"/>
  <c r="Z1362" i="7"/>
  <c r="AA1362" i="7"/>
  <c r="AB1362" i="7"/>
  <c r="AC1362" i="7"/>
  <c r="AD1362" i="7"/>
  <c r="AE1362" i="7"/>
  <c r="Q1363" i="7"/>
  <c r="R1363" i="7"/>
  <c r="S1363" i="7"/>
  <c r="T1363" i="7"/>
  <c r="U1363" i="7"/>
  <c r="V1363" i="7"/>
  <c r="W1363" i="7"/>
  <c r="X1363" i="7"/>
  <c r="Y1363" i="7"/>
  <c r="Z1363" i="7"/>
  <c r="AA1363" i="7"/>
  <c r="AB1363" i="7"/>
  <c r="AC1363" i="7"/>
  <c r="AD1363" i="7"/>
  <c r="AE1363" i="7"/>
  <c r="Q1364" i="7"/>
  <c r="R1364" i="7"/>
  <c r="S1364" i="7"/>
  <c r="T1364" i="7"/>
  <c r="U1364" i="7"/>
  <c r="V1364" i="7"/>
  <c r="W1364" i="7"/>
  <c r="X1364" i="7"/>
  <c r="Y1364" i="7"/>
  <c r="Z1364" i="7"/>
  <c r="AA1364" i="7"/>
  <c r="AB1364" i="7"/>
  <c r="AC1364" i="7"/>
  <c r="AD1364" i="7"/>
  <c r="AE1364" i="7"/>
  <c r="Q1365" i="7"/>
  <c r="R1365" i="7"/>
  <c r="S1365" i="7"/>
  <c r="T1365" i="7"/>
  <c r="U1365" i="7"/>
  <c r="V1365" i="7"/>
  <c r="W1365" i="7"/>
  <c r="X1365" i="7"/>
  <c r="Y1365" i="7"/>
  <c r="Z1365" i="7"/>
  <c r="AA1365" i="7"/>
  <c r="AB1365" i="7"/>
  <c r="AC1365" i="7"/>
  <c r="AD1365" i="7"/>
  <c r="AE1365" i="7"/>
  <c r="Q1366" i="7"/>
  <c r="R1366" i="7"/>
  <c r="S1366" i="7"/>
  <c r="T1366" i="7"/>
  <c r="U1366" i="7"/>
  <c r="V1366" i="7"/>
  <c r="W1366" i="7"/>
  <c r="X1366" i="7"/>
  <c r="Y1366" i="7"/>
  <c r="Z1366" i="7"/>
  <c r="AA1366" i="7"/>
  <c r="AB1366" i="7"/>
  <c r="AC1366" i="7"/>
  <c r="AD1366" i="7"/>
  <c r="AE1366" i="7"/>
  <c r="Q1367" i="7"/>
  <c r="R1367" i="7"/>
  <c r="S1367" i="7"/>
  <c r="T1367" i="7"/>
  <c r="U1367" i="7"/>
  <c r="V1367" i="7"/>
  <c r="W1367" i="7"/>
  <c r="X1367" i="7"/>
  <c r="Y1367" i="7"/>
  <c r="Z1367" i="7"/>
  <c r="AA1367" i="7"/>
  <c r="AB1367" i="7"/>
  <c r="AC1367" i="7"/>
  <c r="AD1367" i="7"/>
  <c r="AE1367" i="7"/>
  <c r="Q1368" i="7"/>
  <c r="R1368" i="7"/>
  <c r="S1368" i="7"/>
  <c r="T1368" i="7"/>
  <c r="U1368" i="7"/>
  <c r="V1368" i="7"/>
  <c r="W1368" i="7"/>
  <c r="X1368" i="7"/>
  <c r="Y1368" i="7"/>
  <c r="Z1368" i="7"/>
  <c r="AA1368" i="7"/>
  <c r="AB1368" i="7"/>
  <c r="AC1368" i="7"/>
  <c r="AD1368" i="7"/>
  <c r="AE1368" i="7"/>
  <c r="Q1369" i="7"/>
  <c r="R1369" i="7"/>
  <c r="S1369" i="7"/>
  <c r="T1369" i="7"/>
  <c r="U1369" i="7"/>
  <c r="V1369" i="7"/>
  <c r="W1369" i="7"/>
  <c r="X1369" i="7"/>
  <c r="Y1369" i="7"/>
  <c r="Z1369" i="7"/>
  <c r="AA1369" i="7"/>
  <c r="AB1369" i="7"/>
  <c r="AC1369" i="7"/>
  <c r="AD1369" i="7"/>
  <c r="AE1369" i="7"/>
  <c r="Q1370" i="7"/>
  <c r="R1370" i="7"/>
  <c r="S1370" i="7"/>
  <c r="T1370" i="7"/>
  <c r="U1370" i="7"/>
  <c r="V1370" i="7"/>
  <c r="W1370" i="7"/>
  <c r="X1370" i="7"/>
  <c r="Y1370" i="7"/>
  <c r="Z1370" i="7"/>
  <c r="AA1370" i="7"/>
  <c r="AB1370" i="7"/>
  <c r="AC1370" i="7"/>
  <c r="AD1370" i="7"/>
  <c r="AE1370" i="7"/>
  <c r="Q1371" i="7"/>
  <c r="R1371" i="7"/>
  <c r="S1371" i="7"/>
  <c r="T1371" i="7"/>
  <c r="U1371" i="7"/>
  <c r="V1371" i="7"/>
  <c r="W1371" i="7"/>
  <c r="X1371" i="7"/>
  <c r="Y1371" i="7"/>
  <c r="Z1371" i="7"/>
  <c r="AA1371" i="7"/>
  <c r="AB1371" i="7"/>
  <c r="AC1371" i="7"/>
  <c r="AD1371" i="7"/>
  <c r="AE1371" i="7"/>
  <c r="Q1372" i="7"/>
  <c r="R1372" i="7"/>
  <c r="S1372" i="7"/>
  <c r="T1372" i="7"/>
  <c r="U1372" i="7"/>
  <c r="V1372" i="7"/>
  <c r="W1372" i="7"/>
  <c r="X1372" i="7"/>
  <c r="Y1372" i="7"/>
  <c r="Z1372" i="7"/>
  <c r="AA1372" i="7"/>
  <c r="AB1372" i="7"/>
  <c r="AC1372" i="7"/>
  <c r="AD1372" i="7"/>
  <c r="AE1372" i="7"/>
  <c r="Q1373" i="7"/>
  <c r="R1373" i="7"/>
  <c r="S1373" i="7"/>
  <c r="T1373" i="7"/>
  <c r="U1373" i="7"/>
  <c r="V1373" i="7"/>
  <c r="W1373" i="7"/>
  <c r="X1373" i="7"/>
  <c r="Y1373" i="7"/>
  <c r="Z1373" i="7"/>
  <c r="AA1373" i="7"/>
  <c r="AB1373" i="7"/>
  <c r="AC1373" i="7"/>
  <c r="AD1373" i="7"/>
  <c r="AE1373" i="7"/>
  <c r="Q1374" i="7"/>
  <c r="R1374" i="7"/>
  <c r="S1374" i="7"/>
  <c r="T1374" i="7"/>
  <c r="U1374" i="7"/>
  <c r="V1374" i="7"/>
  <c r="W1374" i="7"/>
  <c r="X1374" i="7"/>
  <c r="Y1374" i="7"/>
  <c r="Z1374" i="7"/>
  <c r="AA1374" i="7"/>
  <c r="AB1374" i="7"/>
  <c r="AC1374" i="7"/>
  <c r="AD1374" i="7"/>
  <c r="AE1374" i="7"/>
  <c r="Q1375" i="7"/>
  <c r="R1375" i="7"/>
  <c r="S1375" i="7"/>
  <c r="T1375" i="7"/>
  <c r="U1375" i="7"/>
  <c r="V1375" i="7"/>
  <c r="W1375" i="7"/>
  <c r="X1375" i="7"/>
  <c r="Y1375" i="7"/>
  <c r="Z1375" i="7"/>
  <c r="AA1375" i="7"/>
  <c r="AB1375" i="7"/>
  <c r="AC1375" i="7"/>
  <c r="AD1375" i="7"/>
  <c r="AE1375" i="7"/>
  <c r="Q1376" i="7"/>
  <c r="R1376" i="7"/>
  <c r="S1376" i="7"/>
  <c r="T1376" i="7"/>
  <c r="U1376" i="7"/>
  <c r="V1376" i="7"/>
  <c r="W1376" i="7"/>
  <c r="X1376" i="7"/>
  <c r="Y1376" i="7"/>
  <c r="Z1376" i="7"/>
  <c r="AA1376" i="7"/>
  <c r="AB1376" i="7"/>
  <c r="AC1376" i="7"/>
  <c r="AD1376" i="7"/>
  <c r="AE1376" i="7"/>
  <c r="Q1377" i="7"/>
  <c r="R1377" i="7"/>
  <c r="S1377" i="7"/>
  <c r="T1377" i="7"/>
  <c r="U1377" i="7"/>
  <c r="V1377" i="7"/>
  <c r="W1377" i="7"/>
  <c r="X1377" i="7"/>
  <c r="Y1377" i="7"/>
  <c r="Z1377" i="7"/>
  <c r="AA1377" i="7"/>
  <c r="AB1377" i="7"/>
  <c r="AC1377" i="7"/>
  <c r="AD1377" i="7"/>
  <c r="AE1377" i="7"/>
  <c r="Q1378" i="7"/>
  <c r="R1378" i="7"/>
  <c r="S1378" i="7"/>
  <c r="T1378" i="7"/>
  <c r="U1378" i="7"/>
  <c r="V1378" i="7"/>
  <c r="W1378" i="7"/>
  <c r="X1378" i="7"/>
  <c r="Y1378" i="7"/>
  <c r="Z1378" i="7"/>
  <c r="AA1378" i="7"/>
  <c r="AB1378" i="7"/>
  <c r="AC1378" i="7"/>
  <c r="AD1378" i="7"/>
  <c r="AE1378" i="7"/>
  <c r="Q1379" i="7"/>
  <c r="R1379" i="7"/>
  <c r="S1379" i="7"/>
  <c r="T1379" i="7"/>
  <c r="U1379" i="7"/>
  <c r="V1379" i="7"/>
  <c r="W1379" i="7"/>
  <c r="X1379" i="7"/>
  <c r="Y1379" i="7"/>
  <c r="Z1379" i="7"/>
  <c r="AA1379" i="7"/>
  <c r="AB1379" i="7"/>
  <c r="AC1379" i="7"/>
  <c r="AD1379" i="7"/>
  <c r="AE1379" i="7"/>
  <c r="Q1380" i="7"/>
  <c r="R1380" i="7"/>
  <c r="S1380" i="7"/>
  <c r="T1380" i="7"/>
  <c r="U1380" i="7"/>
  <c r="V1380" i="7"/>
  <c r="W1380" i="7"/>
  <c r="X1380" i="7"/>
  <c r="Y1380" i="7"/>
  <c r="Z1380" i="7"/>
  <c r="AA1380" i="7"/>
  <c r="AB1380" i="7"/>
  <c r="AC1380" i="7"/>
  <c r="AD1380" i="7"/>
  <c r="AE1380" i="7"/>
  <c r="Q1381" i="7"/>
  <c r="R1381" i="7"/>
  <c r="S1381" i="7"/>
  <c r="T1381" i="7"/>
  <c r="U1381" i="7"/>
  <c r="V1381" i="7"/>
  <c r="W1381" i="7"/>
  <c r="X1381" i="7"/>
  <c r="Y1381" i="7"/>
  <c r="Z1381" i="7"/>
  <c r="AA1381" i="7"/>
  <c r="AB1381" i="7"/>
  <c r="AC1381" i="7"/>
  <c r="AD1381" i="7"/>
  <c r="AE1381" i="7"/>
  <c r="Q1382" i="7"/>
  <c r="R1382" i="7"/>
  <c r="S1382" i="7"/>
  <c r="T1382" i="7"/>
  <c r="U1382" i="7"/>
  <c r="V1382" i="7"/>
  <c r="W1382" i="7"/>
  <c r="X1382" i="7"/>
  <c r="Y1382" i="7"/>
  <c r="Z1382" i="7"/>
  <c r="AA1382" i="7"/>
  <c r="AB1382" i="7"/>
  <c r="AC1382" i="7"/>
  <c r="AD1382" i="7"/>
  <c r="AE1382" i="7"/>
  <c r="Q1383" i="7"/>
  <c r="R1383" i="7"/>
  <c r="S1383" i="7"/>
  <c r="T1383" i="7"/>
  <c r="U1383" i="7"/>
  <c r="V1383" i="7"/>
  <c r="W1383" i="7"/>
  <c r="X1383" i="7"/>
  <c r="Y1383" i="7"/>
  <c r="Z1383" i="7"/>
  <c r="AA1383" i="7"/>
  <c r="AB1383" i="7"/>
  <c r="AC1383" i="7"/>
  <c r="AD1383" i="7"/>
  <c r="AE1383" i="7"/>
  <c r="Q1384" i="7"/>
  <c r="R1384" i="7"/>
  <c r="S1384" i="7"/>
  <c r="T1384" i="7"/>
  <c r="U1384" i="7"/>
  <c r="V1384" i="7"/>
  <c r="W1384" i="7"/>
  <c r="X1384" i="7"/>
  <c r="Y1384" i="7"/>
  <c r="Z1384" i="7"/>
  <c r="AA1384" i="7"/>
  <c r="AB1384" i="7"/>
  <c r="AC1384" i="7"/>
  <c r="AD1384" i="7"/>
  <c r="AE1384" i="7"/>
  <c r="Q1385" i="7"/>
  <c r="R1385" i="7"/>
  <c r="S1385" i="7"/>
  <c r="T1385" i="7"/>
  <c r="U1385" i="7"/>
  <c r="V1385" i="7"/>
  <c r="W1385" i="7"/>
  <c r="X1385" i="7"/>
  <c r="Y1385" i="7"/>
  <c r="Z1385" i="7"/>
  <c r="AA1385" i="7"/>
  <c r="AB1385" i="7"/>
  <c r="AC1385" i="7"/>
  <c r="AD1385" i="7"/>
  <c r="AE1385" i="7"/>
  <c r="Q1386" i="7"/>
  <c r="R1386" i="7"/>
  <c r="S1386" i="7"/>
  <c r="T1386" i="7"/>
  <c r="U1386" i="7"/>
  <c r="V1386" i="7"/>
  <c r="W1386" i="7"/>
  <c r="X1386" i="7"/>
  <c r="Y1386" i="7"/>
  <c r="Z1386" i="7"/>
  <c r="AA1386" i="7"/>
  <c r="AB1386" i="7"/>
  <c r="AC1386" i="7"/>
  <c r="AD1386" i="7"/>
  <c r="AE1386" i="7"/>
  <c r="Q1387" i="7"/>
  <c r="R1387" i="7"/>
  <c r="S1387" i="7"/>
  <c r="T1387" i="7"/>
  <c r="U1387" i="7"/>
  <c r="V1387" i="7"/>
  <c r="W1387" i="7"/>
  <c r="X1387" i="7"/>
  <c r="Y1387" i="7"/>
  <c r="Z1387" i="7"/>
  <c r="AA1387" i="7"/>
  <c r="AB1387" i="7"/>
  <c r="AC1387" i="7"/>
  <c r="AD1387" i="7"/>
  <c r="AE1387" i="7"/>
  <c r="Q1388" i="7"/>
  <c r="R1388" i="7"/>
  <c r="S1388" i="7"/>
  <c r="T1388" i="7"/>
  <c r="U1388" i="7"/>
  <c r="V1388" i="7"/>
  <c r="W1388" i="7"/>
  <c r="X1388" i="7"/>
  <c r="Y1388" i="7"/>
  <c r="Z1388" i="7"/>
  <c r="AA1388" i="7"/>
  <c r="AB1388" i="7"/>
  <c r="AC1388" i="7"/>
  <c r="AD1388" i="7"/>
  <c r="AE1388" i="7"/>
  <c r="Q1389" i="7"/>
  <c r="R1389" i="7"/>
  <c r="S1389" i="7"/>
  <c r="T1389" i="7"/>
  <c r="U1389" i="7"/>
  <c r="V1389" i="7"/>
  <c r="W1389" i="7"/>
  <c r="X1389" i="7"/>
  <c r="Y1389" i="7"/>
  <c r="Z1389" i="7"/>
  <c r="AA1389" i="7"/>
  <c r="AB1389" i="7"/>
  <c r="AC1389" i="7"/>
  <c r="AD1389" i="7"/>
  <c r="AE1389" i="7"/>
  <c r="Q1390" i="7"/>
  <c r="R1390" i="7"/>
  <c r="S1390" i="7"/>
  <c r="T1390" i="7"/>
  <c r="U1390" i="7"/>
  <c r="V1390" i="7"/>
  <c r="W1390" i="7"/>
  <c r="X1390" i="7"/>
  <c r="Y1390" i="7"/>
  <c r="Z1390" i="7"/>
  <c r="AA1390" i="7"/>
  <c r="AB1390" i="7"/>
  <c r="AC1390" i="7"/>
  <c r="AD1390" i="7"/>
  <c r="AE1390" i="7"/>
  <c r="Q1391" i="7"/>
  <c r="R1391" i="7"/>
  <c r="S1391" i="7"/>
  <c r="T1391" i="7"/>
  <c r="U1391" i="7"/>
  <c r="V1391" i="7"/>
  <c r="W1391" i="7"/>
  <c r="X1391" i="7"/>
  <c r="Y1391" i="7"/>
  <c r="Z1391" i="7"/>
  <c r="AA1391" i="7"/>
  <c r="AB1391" i="7"/>
  <c r="AC1391" i="7"/>
  <c r="AD1391" i="7"/>
  <c r="AE1391" i="7"/>
  <c r="Q1392" i="7"/>
  <c r="R1392" i="7"/>
  <c r="S1392" i="7"/>
  <c r="T1392" i="7"/>
  <c r="U1392" i="7"/>
  <c r="V1392" i="7"/>
  <c r="W1392" i="7"/>
  <c r="X1392" i="7"/>
  <c r="Y1392" i="7"/>
  <c r="Z1392" i="7"/>
  <c r="AA1392" i="7"/>
  <c r="AB1392" i="7"/>
  <c r="AC1392" i="7"/>
  <c r="AD1392" i="7"/>
  <c r="AE1392" i="7"/>
  <c r="Q1393" i="7"/>
  <c r="R1393" i="7"/>
  <c r="S1393" i="7"/>
  <c r="T1393" i="7"/>
  <c r="U1393" i="7"/>
  <c r="V1393" i="7"/>
  <c r="W1393" i="7"/>
  <c r="X1393" i="7"/>
  <c r="Y1393" i="7"/>
  <c r="Z1393" i="7"/>
  <c r="AA1393" i="7"/>
  <c r="AB1393" i="7"/>
  <c r="AC1393" i="7"/>
  <c r="AD1393" i="7"/>
  <c r="AE1393" i="7"/>
  <c r="Q1394" i="7"/>
  <c r="R1394" i="7"/>
  <c r="S1394" i="7"/>
  <c r="T1394" i="7"/>
  <c r="U1394" i="7"/>
  <c r="V1394" i="7"/>
  <c r="W1394" i="7"/>
  <c r="X1394" i="7"/>
  <c r="Y1394" i="7"/>
  <c r="Z1394" i="7"/>
  <c r="AA1394" i="7"/>
  <c r="AB1394" i="7"/>
  <c r="AC1394" i="7"/>
  <c r="AD1394" i="7"/>
  <c r="AE1394" i="7"/>
  <c r="Q1395" i="7"/>
  <c r="R1395" i="7"/>
  <c r="S1395" i="7"/>
  <c r="T1395" i="7"/>
  <c r="U1395" i="7"/>
  <c r="V1395" i="7"/>
  <c r="W1395" i="7"/>
  <c r="X1395" i="7"/>
  <c r="Y1395" i="7"/>
  <c r="Z1395" i="7"/>
  <c r="AA1395" i="7"/>
  <c r="AB1395" i="7"/>
  <c r="AC1395" i="7"/>
  <c r="AD1395" i="7"/>
  <c r="AE1395" i="7"/>
  <c r="Q1396" i="7"/>
  <c r="R1396" i="7"/>
  <c r="S1396" i="7"/>
  <c r="T1396" i="7"/>
  <c r="U1396" i="7"/>
  <c r="V1396" i="7"/>
  <c r="W1396" i="7"/>
  <c r="X1396" i="7"/>
  <c r="Y1396" i="7"/>
  <c r="Z1396" i="7"/>
  <c r="AA1396" i="7"/>
  <c r="AB1396" i="7"/>
  <c r="AC1396" i="7"/>
  <c r="AD1396" i="7"/>
  <c r="AE1396" i="7"/>
  <c r="Q1397" i="7"/>
  <c r="R1397" i="7"/>
  <c r="S1397" i="7"/>
  <c r="T1397" i="7"/>
  <c r="U1397" i="7"/>
  <c r="V1397" i="7"/>
  <c r="W1397" i="7"/>
  <c r="X1397" i="7"/>
  <c r="Y1397" i="7"/>
  <c r="Z1397" i="7"/>
  <c r="AA1397" i="7"/>
  <c r="AB1397" i="7"/>
  <c r="AC1397" i="7"/>
  <c r="AD1397" i="7"/>
  <c r="AE1397" i="7"/>
  <c r="Q1398" i="7"/>
  <c r="R1398" i="7"/>
  <c r="S1398" i="7"/>
  <c r="T1398" i="7"/>
  <c r="U1398" i="7"/>
  <c r="V1398" i="7"/>
  <c r="W1398" i="7"/>
  <c r="X1398" i="7"/>
  <c r="Y1398" i="7"/>
  <c r="Z1398" i="7"/>
  <c r="AA1398" i="7"/>
  <c r="AB1398" i="7"/>
  <c r="AC1398" i="7"/>
  <c r="AD1398" i="7"/>
  <c r="AE1398" i="7"/>
  <c r="Q1399" i="7"/>
  <c r="R1399" i="7"/>
  <c r="S1399" i="7"/>
  <c r="T1399" i="7"/>
  <c r="U1399" i="7"/>
  <c r="V1399" i="7"/>
  <c r="W1399" i="7"/>
  <c r="X1399" i="7"/>
  <c r="Y1399" i="7"/>
  <c r="Z1399" i="7"/>
  <c r="AA1399" i="7"/>
  <c r="AB1399" i="7"/>
  <c r="AC1399" i="7"/>
  <c r="AD1399" i="7"/>
  <c r="AE1399" i="7"/>
  <c r="Q1400" i="7"/>
  <c r="R1400" i="7"/>
  <c r="S1400" i="7"/>
  <c r="T1400" i="7"/>
  <c r="U1400" i="7"/>
  <c r="V1400" i="7"/>
  <c r="W1400" i="7"/>
  <c r="X1400" i="7"/>
  <c r="Y1400" i="7"/>
  <c r="Z1400" i="7"/>
  <c r="AA1400" i="7"/>
  <c r="AB1400" i="7"/>
  <c r="AC1400" i="7"/>
  <c r="AD1400" i="7"/>
  <c r="AE1400" i="7"/>
  <c r="Q1401" i="7"/>
  <c r="R1401" i="7"/>
  <c r="S1401" i="7"/>
  <c r="T1401" i="7"/>
  <c r="U1401" i="7"/>
  <c r="V1401" i="7"/>
  <c r="W1401" i="7"/>
  <c r="X1401" i="7"/>
  <c r="Y1401" i="7"/>
  <c r="Z1401" i="7"/>
  <c r="AA1401" i="7"/>
  <c r="AB1401" i="7"/>
  <c r="AC1401" i="7"/>
  <c r="AD1401" i="7"/>
  <c r="AE1401" i="7"/>
  <c r="Q1402" i="7"/>
  <c r="R1402" i="7"/>
  <c r="S1402" i="7"/>
  <c r="T1402" i="7"/>
  <c r="U1402" i="7"/>
  <c r="V1402" i="7"/>
  <c r="W1402" i="7"/>
  <c r="X1402" i="7"/>
  <c r="Y1402" i="7"/>
  <c r="Z1402" i="7"/>
  <c r="AA1402" i="7"/>
  <c r="AB1402" i="7"/>
  <c r="AC1402" i="7"/>
  <c r="AD1402" i="7"/>
  <c r="AE1402" i="7"/>
  <c r="Q1403" i="7"/>
  <c r="R1403" i="7"/>
  <c r="S1403" i="7"/>
  <c r="T1403" i="7"/>
  <c r="U1403" i="7"/>
  <c r="V1403" i="7"/>
  <c r="W1403" i="7"/>
  <c r="X1403" i="7"/>
  <c r="Y1403" i="7"/>
  <c r="Z1403" i="7"/>
  <c r="AA1403" i="7"/>
  <c r="AB1403" i="7"/>
  <c r="AC1403" i="7"/>
  <c r="AD1403" i="7"/>
  <c r="AE1403" i="7"/>
  <c r="Q1404" i="7"/>
  <c r="R1404" i="7"/>
  <c r="S1404" i="7"/>
  <c r="T1404" i="7"/>
  <c r="U1404" i="7"/>
  <c r="V1404" i="7"/>
  <c r="W1404" i="7"/>
  <c r="X1404" i="7"/>
  <c r="Y1404" i="7"/>
  <c r="Z1404" i="7"/>
  <c r="AA1404" i="7"/>
  <c r="AB1404" i="7"/>
  <c r="AC1404" i="7"/>
  <c r="AD1404" i="7"/>
  <c r="AE1404" i="7"/>
  <c r="Q1405" i="7"/>
  <c r="R1405" i="7"/>
  <c r="S1405" i="7"/>
  <c r="T1405" i="7"/>
  <c r="U1405" i="7"/>
  <c r="V1405" i="7"/>
  <c r="W1405" i="7"/>
  <c r="X1405" i="7"/>
  <c r="Y1405" i="7"/>
  <c r="Z1405" i="7"/>
  <c r="AA1405" i="7"/>
  <c r="AB1405" i="7"/>
  <c r="AC1405" i="7"/>
  <c r="AD1405" i="7"/>
  <c r="AE1405" i="7"/>
  <c r="Q1406" i="7"/>
  <c r="R1406" i="7"/>
  <c r="S1406" i="7"/>
  <c r="T1406" i="7"/>
  <c r="U1406" i="7"/>
  <c r="V1406" i="7"/>
  <c r="W1406" i="7"/>
  <c r="X1406" i="7"/>
  <c r="Y1406" i="7"/>
  <c r="Z1406" i="7"/>
  <c r="AA1406" i="7"/>
  <c r="AB1406" i="7"/>
  <c r="AC1406" i="7"/>
  <c r="AD1406" i="7"/>
  <c r="AE1406" i="7"/>
  <c r="Q1407" i="7"/>
  <c r="R1407" i="7"/>
  <c r="S1407" i="7"/>
  <c r="T1407" i="7"/>
  <c r="U1407" i="7"/>
  <c r="V1407" i="7"/>
  <c r="W1407" i="7"/>
  <c r="X1407" i="7"/>
  <c r="Y1407" i="7"/>
  <c r="Z1407" i="7"/>
  <c r="AA1407" i="7"/>
  <c r="AB1407" i="7"/>
  <c r="AC1407" i="7"/>
  <c r="AD1407" i="7"/>
  <c r="AE1407" i="7"/>
  <c r="Q1408" i="7"/>
  <c r="R1408" i="7"/>
  <c r="S1408" i="7"/>
  <c r="T1408" i="7"/>
  <c r="U1408" i="7"/>
  <c r="V1408" i="7"/>
  <c r="W1408" i="7"/>
  <c r="X1408" i="7"/>
  <c r="Y1408" i="7"/>
  <c r="Z1408" i="7"/>
  <c r="AA1408" i="7"/>
  <c r="AB1408" i="7"/>
  <c r="AC1408" i="7"/>
  <c r="AD1408" i="7"/>
  <c r="AE1408" i="7"/>
  <c r="Q1409" i="7"/>
  <c r="R1409" i="7"/>
  <c r="S1409" i="7"/>
  <c r="T1409" i="7"/>
  <c r="U1409" i="7"/>
  <c r="V1409" i="7"/>
  <c r="W1409" i="7"/>
  <c r="X1409" i="7"/>
  <c r="Y1409" i="7"/>
  <c r="Z1409" i="7"/>
  <c r="AA1409" i="7"/>
  <c r="AB1409" i="7"/>
  <c r="AC1409" i="7"/>
  <c r="AD1409" i="7"/>
  <c r="AE1409" i="7"/>
  <c r="Q1410" i="7"/>
  <c r="R1410" i="7"/>
  <c r="S1410" i="7"/>
  <c r="T1410" i="7"/>
  <c r="U1410" i="7"/>
  <c r="V1410" i="7"/>
  <c r="W1410" i="7"/>
  <c r="X1410" i="7"/>
  <c r="Y1410" i="7"/>
  <c r="Z1410" i="7"/>
  <c r="AA1410" i="7"/>
  <c r="AB1410" i="7"/>
  <c r="AC1410" i="7"/>
  <c r="AD1410" i="7"/>
  <c r="AE1410" i="7"/>
  <c r="Q1411" i="7"/>
  <c r="R1411" i="7"/>
  <c r="S1411" i="7"/>
  <c r="T1411" i="7"/>
  <c r="U1411" i="7"/>
  <c r="V1411" i="7"/>
  <c r="W1411" i="7"/>
  <c r="X1411" i="7"/>
  <c r="Y1411" i="7"/>
  <c r="Z1411" i="7"/>
  <c r="AA1411" i="7"/>
  <c r="AB1411" i="7"/>
  <c r="AC1411" i="7"/>
  <c r="AD1411" i="7"/>
  <c r="AE1411" i="7"/>
  <c r="Q1412" i="7"/>
  <c r="R1412" i="7"/>
  <c r="S1412" i="7"/>
  <c r="T1412" i="7"/>
  <c r="U1412" i="7"/>
  <c r="V1412" i="7"/>
  <c r="W1412" i="7"/>
  <c r="X1412" i="7"/>
  <c r="Y1412" i="7"/>
  <c r="Z1412" i="7"/>
  <c r="AA1412" i="7"/>
  <c r="AB1412" i="7"/>
  <c r="AC1412" i="7"/>
  <c r="AD1412" i="7"/>
  <c r="AE1412" i="7"/>
  <c r="Q1413" i="7"/>
  <c r="R1413" i="7"/>
  <c r="S1413" i="7"/>
  <c r="T1413" i="7"/>
  <c r="U1413" i="7"/>
  <c r="V1413" i="7"/>
  <c r="W1413" i="7"/>
  <c r="X1413" i="7"/>
  <c r="Y1413" i="7"/>
  <c r="Z1413" i="7"/>
  <c r="AA1413" i="7"/>
  <c r="AB1413" i="7"/>
  <c r="AC1413" i="7"/>
  <c r="AD1413" i="7"/>
  <c r="AE1413" i="7"/>
  <c r="Q1414" i="7"/>
  <c r="R1414" i="7"/>
  <c r="S1414" i="7"/>
  <c r="T1414" i="7"/>
  <c r="U1414" i="7"/>
  <c r="V1414" i="7"/>
  <c r="W1414" i="7"/>
  <c r="X1414" i="7"/>
  <c r="Y1414" i="7"/>
  <c r="Z1414" i="7"/>
  <c r="AA1414" i="7"/>
  <c r="AB1414" i="7"/>
  <c r="AC1414" i="7"/>
  <c r="AD1414" i="7"/>
  <c r="AE1414" i="7"/>
  <c r="Q1415" i="7"/>
  <c r="R1415" i="7"/>
  <c r="S1415" i="7"/>
  <c r="T1415" i="7"/>
  <c r="U1415" i="7"/>
  <c r="V1415" i="7"/>
  <c r="W1415" i="7"/>
  <c r="X1415" i="7"/>
  <c r="Y1415" i="7"/>
  <c r="Z1415" i="7"/>
  <c r="AA1415" i="7"/>
  <c r="AB1415" i="7"/>
  <c r="AC1415" i="7"/>
  <c r="AD1415" i="7"/>
  <c r="AE1415" i="7"/>
  <c r="Q1416" i="7"/>
  <c r="R1416" i="7"/>
  <c r="S1416" i="7"/>
  <c r="T1416" i="7"/>
  <c r="U1416" i="7"/>
  <c r="V1416" i="7"/>
  <c r="W1416" i="7"/>
  <c r="X1416" i="7"/>
  <c r="Y1416" i="7"/>
  <c r="Z1416" i="7"/>
  <c r="AA1416" i="7"/>
  <c r="AB1416" i="7"/>
  <c r="AC1416" i="7"/>
  <c r="AD1416" i="7"/>
  <c r="AE1416" i="7"/>
  <c r="Q1417" i="7"/>
  <c r="R1417" i="7"/>
  <c r="S1417" i="7"/>
  <c r="T1417" i="7"/>
  <c r="U1417" i="7"/>
  <c r="V1417" i="7"/>
  <c r="W1417" i="7"/>
  <c r="X1417" i="7"/>
  <c r="Y1417" i="7"/>
  <c r="Z1417" i="7"/>
  <c r="AA1417" i="7"/>
  <c r="AB1417" i="7"/>
  <c r="AC1417" i="7"/>
  <c r="AD1417" i="7"/>
  <c r="AE1417" i="7"/>
  <c r="Q1418" i="7"/>
  <c r="R1418" i="7"/>
  <c r="S1418" i="7"/>
  <c r="T1418" i="7"/>
  <c r="U1418" i="7"/>
  <c r="V1418" i="7"/>
  <c r="W1418" i="7"/>
  <c r="X1418" i="7"/>
  <c r="Y1418" i="7"/>
  <c r="Z1418" i="7"/>
  <c r="AA1418" i="7"/>
  <c r="AB1418" i="7"/>
  <c r="AC1418" i="7"/>
  <c r="AD1418" i="7"/>
  <c r="AE1418" i="7"/>
  <c r="Q1419" i="7"/>
  <c r="R1419" i="7"/>
  <c r="S1419" i="7"/>
  <c r="T1419" i="7"/>
  <c r="U1419" i="7"/>
  <c r="V1419" i="7"/>
  <c r="W1419" i="7"/>
  <c r="X1419" i="7"/>
  <c r="Y1419" i="7"/>
  <c r="Z1419" i="7"/>
  <c r="AA1419" i="7"/>
  <c r="AB1419" i="7"/>
  <c r="AC1419" i="7"/>
  <c r="AD1419" i="7"/>
  <c r="AE1419" i="7"/>
  <c r="Q1420" i="7"/>
  <c r="R1420" i="7"/>
  <c r="S1420" i="7"/>
  <c r="T1420" i="7"/>
  <c r="U1420" i="7"/>
  <c r="V1420" i="7"/>
  <c r="W1420" i="7"/>
  <c r="X1420" i="7"/>
  <c r="Y1420" i="7"/>
  <c r="Z1420" i="7"/>
  <c r="AA1420" i="7"/>
  <c r="AB1420" i="7"/>
  <c r="AC1420" i="7"/>
  <c r="AD1420" i="7"/>
  <c r="AE1420" i="7"/>
  <c r="Q1421" i="7"/>
  <c r="R1421" i="7"/>
  <c r="S1421" i="7"/>
  <c r="T1421" i="7"/>
  <c r="U1421" i="7"/>
  <c r="V1421" i="7"/>
  <c r="W1421" i="7"/>
  <c r="X1421" i="7"/>
  <c r="Y1421" i="7"/>
  <c r="Z1421" i="7"/>
  <c r="AA1421" i="7"/>
  <c r="AB1421" i="7"/>
  <c r="AC1421" i="7"/>
  <c r="AD1421" i="7"/>
  <c r="AE1421" i="7"/>
  <c r="Q1422" i="7"/>
  <c r="R1422" i="7"/>
  <c r="S1422" i="7"/>
  <c r="T1422" i="7"/>
  <c r="U1422" i="7"/>
  <c r="V1422" i="7"/>
  <c r="W1422" i="7"/>
  <c r="X1422" i="7"/>
  <c r="Y1422" i="7"/>
  <c r="Z1422" i="7"/>
  <c r="AA1422" i="7"/>
  <c r="AB1422" i="7"/>
  <c r="AC1422" i="7"/>
  <c r="AD1422" i="7"/>
  <c r="AE1422" i="7"/>
  <c r="Q1423" i="7"/>
  <c r="R1423" i="7"/>
  <c r="S1423" i="7"/>
  <c r="T1423" i="7"/>
  <c r="U1423" i="7"/>
  <c r="V1423" i="7"/>
  <c r="W1423" i="7"/>
  <c r="X1423" i="7"/>
  <c r="Y1423" i="7"/>
  <c r="Z1423" i="7"/>
  <c r="AA1423" i="7"/>
  <c r="AB1423" i="7"/>
  <c r="AC1423" i="7"/>
  <c r="AD1423" i="7"/>
  <c r="AE1423" i="7"/>
  <c r="Q1424" i="7"/>
  <c r="R1424" i="7"/>
  <c r="S1424" i="7"/>
  <c r="T1424" i="7"/>
  <c r="U1424" i="7"/>
  <c r="V1424" i="7"/>
  <c r="W1424" i="7"/>
  <c r="X1424" i="7"/>
  <c r="Y1424" i="7"/>
  <c r="Z1424" i="7"/>
  <c r="AA1424" i="7"/>
  <c r="AB1424" i="7"/>
  <c r="AC1424" i="7"/>
  <c r="AD1424" i="7"/>
  <c r="AE1424" i="7"/>
  <c r="Q1425" i="7"/>
  <c r="R1425" i="7"/>
  <c r="S1425" i="7"/>
  <c r="T1425" i="7"/>
  <c r="U1425" i="7"/>
  <c r="V1425" i="7"/>
  <c r="W1425" i="7"/>
  <c r="X1425" i="7"/>
  <c r="Y1425" i="7"/>
  <c r="Z1425" i="7"/>
  <c r="AA1425" i="7"/>
  <c r="AB1425" i="7"/>
  <c r="AC1425" i="7"/>
  <c r="AD1425" i="7"/>
  <c r="AE1425" i="7"/>
  <c r="Q1426" i="7"/>
  <c r="R1426" i="7"/>
  <c r="S1426" i="7"/>
  <c r="T1426" i="7"/>
  <c r="U1426" i="7"/>
  <c r="V1426" i="7"/>
  <c r="W1426" i="7"/>
  <c r="X1426" i="7"/>
  <c r="Y1426" i="7"/>
  <c r="Z1426" i="7"/>
  <c r="AA1426" i="7"/>
  <c r="AB1426" i="7"/>
  <c r="AC1426" i="7"/>
  <c r="AD1426" i="7"/>
  <c r="AE1426" i="7"/>
  <c r="Q1427" i="7"/>
  <c r="R1427" i="7"/>
  <c r="S1427" i="7"/>
  <c r="T1427" i="7"/>
  <c r="U1427" i="7"/>
  <c r="V1427" i="7"/>
  <c r="W1427" i="7"/>
  <c r="X1427" i="7"/>
  <c r="Y1427" i="7"/>
  <c r="Z1427" i="7"/>
  <c r="AA1427" i="7"/>
  <c r="AB1427" i="7"/>
  <c r="AC1427" i="7"/>
  <c r="AD1427" i="7"/>
  <c r="AE1427" i="7"/>
  <c r="Q1428" i="7"/>
  <c r="R1428" i="7"/>
  <c r="S1428" i="7"/>
  <c r="T1428" i="7"/>
  <c r="U1428" i="7"/>
  <c r="V1428" i="7"/>
  <c r="W1428" i="7"/>
  <c r="X1428" i="7"/>
  <c r="Y1428" i="7"/>
  <c r="Z1428" i="7"/>
  <c r="AA1428" i="7"/>
  <c r="AB1428" i="7"/>
  <c r="AC1428" i="7"/>
  <c r="AD1428" i="7"/>
  <c r="AE1428" i="7"/>
  <c r="Q1429" i="7"/>
  <c r="R1429" i="7"/>
  <c r="S1429" i="7"/>
  <c r="T1429" i="7"/>
  <c r="U1429" i="7"/>
  <c r="V1429" i="7"/>
  <c r="W1429" i="7"/>
  <c r="X1429" i="7"/>
  <c r="Y1429" i="7"/>
  <c r="Z1429" i="7"/>
  <c r="AA1429" i="7"/>
  <c r="AB1429" i="7"/>
  <c r="AC1429" i="7"/>
  <c r="AD1429" i="7"/>
  <c r="AE1429" i="7"/>
  <c r="Q1430" i="7"/>
  <c r="R1430" i="7"/>
  <c r="S1430" i="7"/>
  <c r="T1430" i="7"/>
  <c r="U1430" i="7"/>
  <c r="V1430" i="7"/>
  <c r="W1430" i="7"/>
  <c r="X1430" i="7"/>
  <c r="Y1430" i="7"/>
  <c r="Z1430" i="7"/>
  <c r="AA1430" i="7"/>
  <c r="AB1430" i="7"/>
  <c r="AC1430" i="7"/>
  <c r="AD1430" i="7"/>
  <c r="AE1430" i="7"/>
  <c r="Q1431" i="7"/>
  <c r="R1431" i="7"/>
  <c r="S1431" i="7"/>
  <c r="T1431" i="7"/>
  <c r="U1431" i="7"/>
  <c r="V1431" i="7"/>
  <c r="W1431" i="7"/>
  <c r="X1431" i="7"/>
  <c r="Y1431" i="7"/>
  <c r="Z1431" i="7"/>
  <c r="AA1431" i="7"/>
  <c r="AB1431" i="7"/>
  <c r="AC1431" i="7"/>
  <c r="AD1431" i="7"/>
  <c r="AE1431" i="7"/>
  <c r="Q1432" i="7"/>
  <c r="R1432" i="7"/>
  <c r="S1432" i="7"/>
  <c r="T1432" i="7"/>
  <c r="U1432" i="7"/>
  <c r="V1432" i="7"/>
  <c r="W1432" i="7"/>
  <c r="X1432" i="7"/>
  <c r="Y1432" i="7"/>
  <c r="Z1432" i="7"/>
  <c r="AA1432" i="7"/>
  <c r="AB1432" i="7"/>
  <c r="AC1432" i="7"/>
  <c r="AD1432" i="7"/>
  <c r="AE1432" i="7"/>
  <c r="Q1433" i="7"/>
  <c r="R1433" i="7"/>
  <c r="S1433" i="7"/>
  <c r="T1433" i="7"/>
  <c r="U1433" i="7"/>
  <c r="V1433" i="7"/>
  <c r="W1433" i="7"/>
  <c r="X1433" i="7"/>
  <c r="Y1433" i="7"/>
  <c r="Z1433" i="7"/>
  <c r="AA1433" i="7"/>
  <c r="AB1433" i="7"/>
  <c r="AC1433" i="7"/>
  <c r="AD1433" i="7"/>
  <c r="AE1433" i="7"/>
  <c r="Q1434" i="7"/>
  <c r="R1434" i="7"/>
  <c r="S1434" i="7"/>
  <c r="T1434" i="7"/>
  <c r="U1434" i="7"/>
  <c r="V1434" i="7"/>
  <c r="W1434" i="7"/>
  <c r="X1434" i="7"/>
  <c r="Y1434" i="7"/>
  <c r="Z1434" i="7"/>
  <c r="AA1434" i="7"/>
  <c r="AB1434" i="7"/>
  <c r="AC1434" i="7"/>
  <c r="AD1434" i="7"/>
  <c r="AE1434" i="7"/>
  <c r="Q1435" i="7"/>
  <c r="R1435" i="7"/>
  <c r="S1435" i="7"/>
  <c r="T1435" i="7"/>
  <c r="U1435" i="7"/>
  <c r="V1435" i="7"/>
  <c r="W1435" i="7"/>
  <c r="X1435" i="7"/>
  <c r="Y1435" i="7"/>
  <c r="Z1435" i="7"/>
  <c r="AA1435" i="7"/>
  <c r="AB1435" i="7"/>
  <c r="AC1435" i="7"/>
  <c r="AD1435" i="7"/>
  <c r="AE1435" i="7"/>
  <c r="Q1436" i="7"/>
  <c r="R1436" i="7"/>
  <c r="S1436" i="7"/>
  <c r="T1436" i="7"/>
  <c r="U1436" i="7"/>
  <c r="V1436" i="7"/>
  <c r="W1436" i="7"/>
  <c r="X1436" i="7"/>
  <c r="Y1436" i="7"/>
  <c r="Z1436" i="7"/>
  <c r="AA1436" i="7"/>
  <c r="AB1436" i="7"/>
  <c r="AC1436" i="7"/>
  <c r="AD1436" i="7"/>
  <c r="AE1436" i="7"/>
  <c r="Q1437" i="7"/>
  <c r="R1437" i="7"/>
  <c r="S1437" i="7"/>
  <c r="T1437" i="7"/>
  <c r="U1437" i="7"/>
  <c r="V1437" i="7"/>
  <c r="W1437" i="7"/>
  <c r="X1437" i="7"/>
  <c r="Y1437" i="7"/>
  <c r="Z1437" i="7"/>
  <c r="AA1437" i="7"/>
  <c r="AB1437" i="7"/>
  <c r="AC1437" i="7"/>
  <c r="AD1437" i="7"/>
  <c r="AE1437" i="7"/>
  <c r="Q1438" i="7"/>
  <c r="R1438" i="7"/>
  <c r="S1438" i="7"/>
  <c r="T1438" i="7"/>
  <c r="U1438" i="7"/>
  <c r="V1438" i="7"/>
  <c r="W1438" i="7"/>
  <c r="X1438" i="7"/>
  <c r="Y1438" i="7"/>
  <c r="Z1438" i="7"/>
  <c r="AA1438" i="7"/>
  <c r="AB1438" i="7"/>
  <c r="AC1438" i="7"/>
  <c r="AD1438" i="7"/>
  <c r="AE1438" i="7"/>
  <c r="Q1439" i="7"/>
  <c r="R1439" i="7"/>
  <c r="S1439" i="7"/>
  <c r="T1439" i="7"/>
  <c r="U1439" i="7"/>
  <c r="V1439" i="7"/>
  <c r="W1439" i="7"/>
  <c r="X1439" i="7"/>
  <c r="Y1439" i="7"/>
  <c r="Z1439" i="7"/>
  <c r="AA1439" i="7"/>
  <c r="AB1439" i="7"/>
  <c r="AC1439" i="7"/>
  <c r="AD1439" i="7"/>
  <c r="AE1439" i="7"/>
  <c r="Q1440" i="7"/>
  <c r="R1440" i="7"/>
  <c r="S1440" i="7"/>
  <c r="T1440" i="7"/>
  <c r="U1440" i="7"/>
  <c r="V1440" i="7"/>
  <c r="W1440" i="7"/>
  <c r="X1440" i="7"/>
  <c r="Y1440" i="7"/>
  <c r="Z1440" i="7"/>
  <c r="AA1440" i="7"/>
  <c r="AB1440" i="7"/>
  <c r="AC1440" i="7"/>
  <c r="AD1440" i="7"/>
  <c r="AE1440" i="7"/>
  <c r="Q1441" i="7"/>
  <c r="R1441" i="7"/>
  <c r="S1441" i="7"/>
  <c r="T1441" i="7"/>
  <c r="U1441" i="7"/>
  <c r="V1441" i="7"/>
  <c r="W1441" i="7"/>
  <c r="X1441" i="7"/>
  <c r="Y1441" i="7"/>
  <c r="Z1441" i="7"/>
  <c r="AA1441" i="7"/>
  <c r="AB1441" i="7"/>
  <c r="AC1441" i="7"/>
  <c r="AD1441" i="7"/>
  <c r="AE1441" i="7"/>
  <c r="Q1442" i="7"/>
  <c r="R1442" i="7"/>
  <c r="S1442" i="7"/>
  <c r="T1442" i="7"/>
  <c r="U1442" i="7"/>
  <c r="V1442" i="7"/>
  <c r="W1442" i="7"/>
  <c r="X1442" i="7"/>
  <c r="Y1442" i="7"/>
  <c r="Z1442" i="7"/>
  <c r="AA1442" i="7"/>
  <c r="AB1442" i="7"/>
  <c r="AC1442" i="7"/>
  <c r="AD1442" i="7"/>
  <c r="AE1442" i="7"/>
  <c r="Q1443" i="7"/>
  <c r="R1443" i="7"/>
  <c r="S1443" i="7"/>
  <c r="T1443" i="7"/>
  <c r="U1443" i="7"/>
  <c r="V1443" i="7"/>
  <c r="W1443" i="7"/>
  <c r="X1443" i="7"/>
  <c r="Y1443" i="7"/>
  <c r="Z1443" i="7"/>
  <c r="AA1443" i="7"/>
  <c r="AB1443" i="7"/>
  <c r="AC1443" i="7"/>
  <c r="AD1443" i="7"/>
  <c r="AE1443" i="7"/>
  <c r="Q1444" i="7"/>
  <c r="R1444" i="7"/>
  <c r="S1444" i="7"/>
  <c r="T1444" i="7"/>
  <c r="U1444" i="7"/>
  <c r="V1444" i="7"/>
  <c r="W1444" i="7"/>
  <c r="X1444" i="7"/>
  <c r="Y1444" i="7"/>
  <c r="Z1444" i="7"/>
  <c r="AA1444" i="7"/>
  <c r="AB1444" i="7"/>
  <c r="AC1444" i="7"/>
  <c r="AD1444" i="7"/>
  <c r="AE1444" i="7"/>
  <c r="Q1445" i="7"/>
  <c r="R1445" i="7"/>
  <c r="S1445" i="7"/>
  <c r="T1445" i="7"/>
  <c r="U1445" i="7"/>
  <c r="V1445" i="7"/>
  <c r="W1445" i="7"/>
  <c r="X1445" i="7"/>
  <c r="Y1445" i="7"/>
  <c r="Z1445" i="7"/>
  <c r="AA1445" i="7"/>
  <c r="AB1445" i="7"/>
  <c r="AC1445" i="7"/>
  <c r="AD1445" i="7"/>
  <c r="AE1445" i="7"/>
  <c r="Q1446" i="7"/>
  <c r="R1446" i="7"/>
  <c r="S1446" i="7"/>
  <c r="T1446" i="7"/>
  <c r="U1446" i="7"/>
  <c r="V1446" i="7"/>
  <c r="W1446" i="7"/>
  <c r="X1446" i="7"/>
  <c r="Y1446" i="7"/>
  <c r="Z1446" i="7"/>
  <c r="AA1446" i="7"/>
  <c r="AB1446" i="7"/>
  <c r="AC1446" i="7"/>
  <c r="AD1446" i="7"/>
  <c r="AE1446" i="7"/>
  <c r="Q1447" i="7"/>
  <c r="R1447" i="7"/>
  <c r="S1447" i="7"/>
  <c r="T1447" i="7"/>
  <c r="U1447" i="7"/>
  <c r="V1447" i="7"/>
  <c r="W1447" i="7"/>
  <c r="X1447" i="7"/>
  <c r="Y1447" i="7"/>
  <c r="Z1447" i="7"/>
  <c r="AA1447" i="7"/>
  <c r="AB1447" i="7"/>
  <c r="AC1447" i="7"/>
  <c r="AD1447" i="7"/>
  <c r="AE1447" i="7"/>
  <c r="Q1448" i="7"/>
  <c r="R1448" i="7"/>
  <c r="S1448" i="7"/>
  <c r="T1448" i="7"/>
  <c r="U1448" i="7"/>
  <c r="V1448" i="7"/>
  <c r="W1448" i="7"/>
  <c r="X1448" i="7"/>
  <c r="Y1448" i="7"/>
  <c r="Z1448" i="7"/>
  <c r="AA1448" i="7"/>
  <c r="AB1448" i="7"/>
  <c r="AC1448" i="7"/>
  <c r="AD1448" i="7"/>
  <c r="AE1448" i="7"/>
  <c r="Q1449" i="7"/>
  <c r="R1449" i="7"/>
  <c r="S1449" i="7"/>
  <c r="T1449" i="7"/>
  <c r="U1449" i="7"/>
  <c r="V1449" i="7"/>
  <c r="W1449" i="7"/>
  <c r="X1449" i="7"/>
  <c r="Y1449" i="7"/>
  <c r="Z1449" i="7"/>
  <c r="AA1449" i="7"/>
  <c r="AB1449" i="7"/>
  <c r="AC1449" i="7"/>
  <c r="AD1449" i="7"/>
  <c r="AE1449" i="7"/>
  <c r="Q1450" i="7"/>
  <c r="R1450" i="7"/>
  <c r="S1450" i="7"/>
  <c r="T1450" i="7"/>
  <c r="U1450" i="7"/>
  <c r="V1450" i="7"/>
  <c r="W1450" i="7"/>
  <c r="X1450" i="7"/>
  <c r="Y1450" i="7"/>
  <c r="Z1450" i="7"/>
  <c r="AA1450" i="7"/>
  <c r="AB1450" i="7"/>
  <c r="AC1450" i="7"/>
  <c r="AD1450" i="7"/>
  <c r="AE1450" i="7"/>
  <c r="Q1451" i="7"/>
  <c r="R1451" i="7"/>
  <c r="S1451" i="7"/>
  <c r="T1451" i="7"/>
  <c r="U1451" i="7"/>
  <c r="V1451" i="7"/>
  <c r="W1451" i="7"/>
  <c r="X1451" i="7"/>
  <c r="Y1451" i="7"/>
  <c r="Z1451" i="7"/>
  <c r="AA1451" i="7"/>
  <c r="AB1451" i="7"/>
  <c r="AC1451" i="7"/>
  <c r="AD1451" i="7"/>
  <c r="AE1451" i="7"/>
  <c r="Q1452" i="7"/>
  <c r="R1452" i="7"/>
  <c r="S1452" i="7"/>
  <c r="T1452" i="7"/>
  <c r="U1452" i="7"/>
  <c r="V1452" i="7"/>
  <c r="W1452" i="7"/>
  <c r="X1452" i="7"/>
  <c r="Y1452" i="7"/>
  <c r="Z1452" i="7"/>
  <c r="AA1452" i="7"/>
  <c r="AB1452" i="7"/>
  <c r="AC1452" i="7"/>
  <c r="AD1452" i="7"/>
  <c r="AE1452" i="7"/>
  <c r="Q1453" i="7"/>
  <c r="R1453" i="7"/>
  <c r="S1453" i="7"/>
  <c r="T1453" i="7"/>
  <c r="U1453" i="7"/>
  <c r="V1453" i="7"/>
  <c r="W1453" i="7"/>
  <c r="X1453" i="7"/>
  <c r="Y1453" i="7"/>
  <c r="Z1453" i="7"/>
  <c r="AA1453" i="7"/>
  <c r="AB1453" i="7"/>
  <c r="AC1453" i="7"/>
  <c r="AD1453" i="7"/>
  <c r="AE1453" i="7"/>
  <c r="Q1454" i="7"/>
  <c r="R1454" i="7"/>
  <c r="S1454" i="7"/>
  <c r="T1454" i="7"/>
  <c r="U1454" i="7"/>
  <c r="V1454" i="7"/>
  <c r="W1454" i="7"/>
  <c r="X1454" i="7"/>
  <c r="Y1454" i="7"/>
  <c r="Z1454" i="7"/>
  <c r="AA1454" i="7"/>
  <c r="AB1454" i="7"/>
  <c r="AC1454" i="7"/>
  <c r="AD1454" i="7"/>
  <c r="AE1454" i="7"/>
  <c r="Q1455" i="7"/>
  <c r="R1455" i="7"/>
  <c r="S1455" i="7"/>
  <c r="T1455" i="7"/>
  <c r="U1455" i="7"/>
  <c r="V1455" i="7"/>
  <c r="W1455" i="7"/>
  <c r="X1455" i="7"/>
  <c r="Y1455" i="7"/>
  <c r="Z1455" i="7"/>
  <c r="AA1455" i="7"/>
  <c r="AB1455" i="7"/>
  <c r="AC1455" i="7"/>
  <c r="AD1455" i="7"/>
  <c r="AE1455" i="7"/>
  <c r="Q1456" i="7"/>
  <c r="R1456" i="7"/>
  <c r="S1456" i="7"/>
  <c r="T1456" i="7"/>
  <c r="U1456" i="7"/>
  <c r="V1456" i="7"/>
  <c r="W1456" i="7"/>
  <c r="X1456" i="7"/>
  <c r="Y1456" i="7"/>
  <c r="Z1456" i="7"/>
  <c r="AA1456" i="7"/>
  <c r="AB1456" i="7"/>
  <c r="AC1456" i="7"/>
  <c r="AD1456" i="7"/>
  <c r="AE1456" i="7"/>
  <c r="Q1457" i="7"/>
  <c r="R1457" i="7"/>
  <c r="S1457" i="7"/>
  <c r="T1457" i="7"/>
  <c r="U1457" i="7"/>
  <c r="V1457" i="7"/>
  <c r="W1457" i="7"/>
  <c r="X1457" i="7"/>
  <c r="Y1457" i="7"/>
  <c r="Z1457" i="7"/>
  <c r="AA1457" i="7"/>
  <c r="AB1457" i="7"/>
  <c r="AC1457" i="7"/>
  <c r="AD1457" i="7"/>
  <c r="AE1457" i="7"/>
  <c r="Q1458" i="7"/>
  <c r="R1458" i="7"/>
  <c r="S1458" i="7"/>
  <c r="T1458" i="7"/>
  <c r="U1458" i="7"/>
  <c r="V1458" i="7"/>
  <c r="W1458" i="7"/>
  <c r="X1458" i="7"/>
  <c r="Y1458" i="7"/>
  <c r="Z1458" i="7"/>
  <c r="AA1458" i="7"/>
  <c r="AB1458" i="7"/>
  <c r="AC1458" i="7"/>
  <c r="AD1458" i="7"/>
  <c r="AE1458" i="7"/>
  <c r="Q1459" i="7"/>
  <c r="R1459" i="7"/>
  <c r="S1459" i="7"/>
  <c r="T1459" i="7"/>
  <c r="U1459" i="7"/>
  <c r="V1459" i="7"/>
  <c r="W1459" i="7"/>
  <c r="X1459" i="7"/>
  <c r="Y1459" i="7"/>
  <c r="Z1459" i="7"/>
  <c r="AA1459" i="7"/>
  <c r="AB1459" i="7"/>
  <c r="AC1459" i="7"/>
  <c r="AD1459" i="7"/>
  <c r="AE1459" i="7"/>
  <c r="Q1460" i="7"/>
  <c r="R1460" i="7"/>
  <c r="S1460" i="7"/>
  <c r="T1460" i="7"/>
  <c r="U1460" i="7"/>
  <c r="V1460" i="7"/>
  <c r="W1460" i="7"/>
  <c r="X1460" i="7"/>
  <c r="Y1460" i="7"/>
  <c r="Z1460" i="7"/>
  <c r="AA1460" i="7"/>
  <c r="AB1460" i="7"/>
  <c r="AC1460" i="7"/>
  <c r="AD1460" i="7"/>
  <c r="AE1460" i="7"/>
  <c r="Q1461" i="7"/>
  <c r="R1461" i="7"/>
  <c r="S1461" i="7"/>
  <c r="T1461" i="7"/>
  <c r="U1461" i="7"/>
  <c r="V1461" i="7"/>
  <c r="W1461" i="7"/>
  <c r="X1461" i="7"/>
  <c r="Y1461" i="7"/>
  <c r="Z1461" i="7"/>
  <c r="AA1461" i="7"/>
  <c r="AB1461" i="7"/>
  <c r="AC1461" i="7"/>
  <c r="AD1461" i="7"/>
  <c r="AE1461" i="7"/>
  <c r="Q1462" i="7"/>
  <c r="R1462" i="7"/>
  <c r="S1462" i="7"/>
  <c r="T1462" i="7"/>
  <c r="U1462" i="7"/>
  <c r="V1462" i="7"/>
  <c r="W1462" i="7"/>
  <c r="X1462" i="7"/>
  <c r="Y1462" i="7"/>
  <c r="Z1462" i="7"/>
  <c r="AA1462" i="7"/>
  <c r="AB1462" i="7"/>
  <c r="AC1462" i="7"/>
  <c r="AD1462" i="7"/>
  <c r="AE1462" i="7"/>
  <c r="Q1463" i="7"/>
  <c r="R1463" i="7"/>
  <c r="S1463" i="7"/>
  <c r="T1463" i="7"/>
  <c r="U1463" i="7"/>
  <c r="V1463" i="7"/>
  <c r="W1463" i="7"/>
  <c r="X1463" i="7"/>
  <c r="Y1463" i="7"/>
  <c r="Z1463" i="7"/>
  <c r="AA1463" i="7"/>
  <c r="AB1463" i="7"/>
  <c r="AC1463" i="7"/>
  <c r="AD1463" i="7"/>
  <c r="AE1463" i="7"/>
  <c r="Q1464" i="7"/>
  <c r="R1464" i="7"/>
  <c r="S1464" i="7"/>
  <c r="T1464" i="7"/>
  <c r="U1464" i="7"/>
  <c r="V1464" i="7"/>
  <c r="W1464" i="7"/>
  <c r="X1464" i="7"/>
  <c r="Y1464" i="7"/>
  <c r="Z1464" i="7"/>
  <c r="AA1464" i="7"/>
  <c r="AB1464" i="7"/>
  <c r="AC1464" i="7"/>
  <c r="AD1464" i="7"/>
  <c r="AE1464" i="7"/>
  <c r="Q1465" i="7"/>
  <c r="R1465" i="7"/>
  <c r="S1465" i="7"/>
  <c r="T1465" i="7"/>
  <c r="U1465" i="7"/>
  <c r="V1465" i="7"/>
  <c r="W1465" i="7"/>
  <c r="X1465" i="7"/>
  <c r="Y1465" i="7"/>
  <c r="Z1465" i="7"/>
  <c r="AA1465" i="7"/>
  <c r="AB1465" i="7"/>
  <c r="AC1465" i="7"/>
  <c r="AD1465" i="7"/>
  <c r="AE1465" i="7"/>
  <c r="Q1466" i="7"/>
  <c r="R1466" i="7"/>
  <c r="S1466" i="7"/>
  <c r="T1466" i="7"/>
  <c r="U1466" i="7"/>
  <c r="V1466" i="7"/>
  <c r="W1466" i="7"/>
  <c r="X1466" i="7"/>
  <c r="Y1466" i="7"/>
  <c r="Z1466" i="7"/>
  <c r="AA1466" i="7"/>
  <c r="AB1466" i="7"/>
  <c r="AC1466" i="7"/>
  <c r="AD1466" i="7"/>
  <c r="AE1466" i="7"/>
  <c r="Q1467" i="7"/>
  <c r="R1467" i="7"/>
  <c r="S1467" i="7"/>
  <c r="T1467" i="7"/>
  <c r="U1467" i="7"/>
  <c r="V1467" i="7"/>
  <c r="W1467" i="7"/>
  <c r="X1467" i="7"/>
  <c r="Y1467" i="7"/>
  <c r="Z1467" i="7"/>
  <c r="AA1467" i="7"/>
  <c r="AB1467" i="7"/>
  <c r="AC1467" i="7"/>
  <c r="AD1467" i="7"/>
  <c r="AE1467" i="7"/>
  <c r="Q1468" i="7"/>
  <c r="R1468" i="7"/>
  <c r="S1468" i="7"/>
  <c r="T1468" i="7"/>
  <c r="U1468" i="7"/>
  <c r="V1468" i="7"/>
  <c r="W1468" i="7"/>
  <c r="X1468" i="7"/>
  <c r="Y1468" i="7"/>
  <c r="Z1468" i="7"/>
  <c r="AA1468" i="7"/>
  <c r="AB1468" i="7"/>
  <c r="AC1468" i="7"/>
  <c r="AD1468" i="7"/>
  <c r="AE1468" i="7"/>
  <c r="Q1469" i="7"/>
  <c r="R1469" i="7"/>
  <c r="S1469" i="7"/>
  <c r="T1469" i="7"/>
  <c r="U1469" i="7"/>
  <c r="V1469" i="7"/>
  <c r="W1469" i="7"/>
  <c r="X1469" i="7"/>
  <c r="Y1469" i="7"/>
  <c r="Z1469" i="7"/>
  <c r="AA1469" i="7"/>
  <c r="AB1469" i="7"/>
  <c r="AC1469" i="7"/>
  <c r="AD1469" i="7"/>
  <c r="AE1469" i="7"/>
  <c r="Q1470" i="7"/>
  <c r="R1470" i="7"/>
  <c r="S1470" i="7"/>
  <c r="T1470" i="7"/>
  <c r="U1470" i="7"/>
  <c r="V1470" i="7"/>
  <c r="W1470" i="7"/>
  <c r="X1470" i="7"/>
  <c r="Y1470" i="7"/>
  <c r="Z1470" i="7"/>
  <c r="AA1470" i="7"/>
  <c r="AB1470" i="7"/>
  <c r="AC1470" i="7"/>
  <c r="AD1470" i="7"/>
  <c r="AE1470" i="7"/>
  <c r="Q1471" i="7"/>
  <c r="R1471" i="7"/>
  <c r="S1471" i="7"/>
  <c r="T1471" i="7"/>
  <c r="U1471" i="7"/>
  <c r="V1471" i="7"/>
  <c r="W1471" i="7"/>
  <c r="X1471" i="7"/>
  <c r="Y1471" i="7"/>
  <c r="Z1471" i="7"/>
  <c r="AA1471" i="7"/>
  <c r="AB1471" i="7"/>
  <c r="AC1471" i="7"/>
  <c r="AD1471" i="7"/>
  <c r="AE1471" i="7"/>
  <c r="Q1472" i="7"/>
  <c r="R1472" i="7"/>
  <c r="S1472" i="7"/>
  <c r="T1472" i="7"/>
  <c r="U1472" i="7"/>
  <c r="V1472" i="7"/>
  <c r="W1472" i="7"/>
  <c r="X1472" i="7"/>
  <c r="Y1472" i="7"/>
  <c r="Z1472" i="7"/>
  <c r="AA1472" i="7"/>
  <c r="AB1472" i="7"/>
  <c r="AC1472" i="7"/>
  <c r="AD1472" i="7"/>
  <c r="AE1472" i="7"/>
  <c r="Q1473" i="7"/>
  <c r="R1473" i="7"/>
  <c r="S1473" i="7"/>
  <c r="T1473" i="7"/>
  <c r="U1473" i="7"/>
  <c r="V1473" i="7"/>
  <c r="W1473" i="7"/>
  <c r="X1473" i="7"/>
  <c r="Y1473" i="7"/>
  <c r="Z1473" i="7"/>
  <c r="AA1473" i="7"/>
  <c r="AB1473" i="7"/>
  <c r="AC1473" i="7"/>
  <c r="AD1473" i="7"/>
  <c r="AE1473" i="7"/>
  <c r="Q1474" i="7"/>
  <c r="R1474" i="7"/>
  <c r="S1474" i="7"/>
  <c r="T1474" i="7"/>
  <c r="U1474" i="7"/>
  <c r="V1474" i="7"/>
  <c r="W1474" i="7"/>
  <c r="X1474" i="7"/>
  <c r="Y1474" i="7"/>
  <c r="Z1474" i="7"/>
  <c r="AA1474" i="7"/>
  <c r="AB1474" i="7"/>
  <c r="AC1474" i="7"/>
  <c r="AD1474" i="7"/>
  <c r="AE1474" i="7"/>
  <c r="Q1475" i="7"/>
  <c r="R1475" i="7"/>
  <c r="S1475" i="7"/>
  <c r="T1475" i="7"/>
  <c r="U1475" i="7"/>
  <c r="V1475" i="7"/>
  <c r="W1475" i="7"/>
  <c r="X1475" i="7"/>
  <c r="Y1475" i="7"/>
  <c r="Z1475" i="7"/>
  <c r="AA1475" i="7"/>
  <c r="AB1475" i="7"/>
  <c r="AC1475" i="7"/>
  <c r="AD1475" i="7"/>
  <c r="AE1475" i="7"/>
  <c r="Q1476" i="7"/>
  <c r="R1476" i="7"/>
  <c r="S1476" i="7"/>
  <c r="T1476" i="7"/>
  <c r="U1476" i="7"/>
  <c r="V1476" i="7"/>
  <c r="W1476" i="7"/>
  <c r="X1476" i="7"/>
  <c r="Y1476" i="7"/>
  <c r="Z1476" i="7"/>
  <c r="AA1476" i="7"/>
  <c r="AB1476" i="7"/>
  <c r="AC1476" i="7"/>
  <c r="AD1476" i="7"/>
  <c r="AE1476" i="7"/>
  <c r="Q1477" i="7"/>
  <c r="R1477" i="7"/>
  <c r="S1477" i="7"/>
  <c r="T1477" i="7"/>
  <c r="U1477" i="7"/>
  <c r="V1477" i="7"/>
  <c r="W1477" i="7"/>
  <c r="X1477" i="7"/>
  <c r="Y1477" i="7"/>
  <c r="Z1477" i="7"/>
  <c r="AA1477" i="7"/>
  <c r="AB1477" i="7"/>
  <c r="AC1477" i="7"/>
  <c r="AD1477" i="7"/>
  <c r="AE1477" i="7"/>
  <c r="Q1478" i="7"/>
  <c r="R1478" i="7"/>
  <c r="S1478" i="7"/>
  <c r="T1478" i="7"/>
  <c r="U1478" i="7"/>
  <c r="V1478" i="7"/>
  <c r="W1478" i="7"/>
  <c r="X1478" i="7"/>
  <c r="Y1478" i="7"/>
  <c r="Z1478" i="7"/>
  <c r="AA1478" i="7"/>
  <c r="AB1478" i="7"/>
  <c r="AC1478" i="7"/>
  <c r="AD1478" i="7"/>
  <c r="AE1478" i="7"/>
  <c r="Q1479" i="7"/>
  <c r="R1479" i="7"/>
  <c r="S1479" i="7"/>
  <c r="T1479" i="7"/>
  <c r="U1479" i="7"/>
  <c r="V1479" i="7"/>
  <c r="W1479" i="7"/>
  <c r="X1479" i="7"/>
  <c r="Y1479" i="7"/>
  <c r="Z1479" i="7"/>
  <c r="AA1479" i="7"/>
  <c r="AB1479" i="7"/>
  <c r="AC1479" i="7"/>
  <c r="AD1479" i="7"/>
  <c r="AE1479" i="7"/>
  <c r="Q1480" i="7"/>
  <c r="R1480" i="7"/>
  <c r="S1480" i="7"/>
  <c r="T1480" i="7"/>
  <c r="U1480" i="7"/>
  <c r="V1480" i="7"/>
  <c r="W1480" i="7"/>
  <c r="X1480" i="7"/>
  <c r="Y1480" i="7"/>
  <c r="Z1480" i="7"/>
  <c r="AA1480" i="7"/>
  <c r="AB1480" i="7"/>
  <c r="AC1480" i="7"/>
  <c r="AD1480" i="7"/>
  <c r="AE1480" i="7"/>
  <c r="Q1481" i="7"/>
  <c r="R1481" i="7"/>
  <c r="S1481" i="7"/>
  <c r="T1481" i="7"/>
  <c r="U1481" i="7"/>
  <c r="V1481" i="7"/>
  <c r="W1481" i="7"/>
  <c r="X1481" i="7"/>
  <c r="Y1481" i="7"/>
  <c r="Z1481" i="7"/>
  <c r="AA1481" i="7"/>
  <c r="AB1481" i="7"/>
  <c r="AC1481" i="7"/>
  <c r="AD1481" i="7"/>
  <c r="AE1481" i="7"/>
  <c r="Q1482" i="7"/>
  <c r="R1482" i="7"/>
  <c r="S1482" i="7"/>
  <c r="T1482" i="7"/>
  <c r="U1482" i="7"/>
  <c r="V1482" i="7"/>
  <c r="W1482" i="7"/>
  <c r="X1482" i="7"/>
  <c r="Y1482" i="7"/>
  <c r="Z1482" i="7"/>
  <c r="AA1482" i="7"/>
  <c r="AB1482" i="7"/>
  <c r="AC1482" i="7"/>
  <c r="AD1482" i="7"/>
  <c r="AE1482" i="7"/>
  <c r="Q1483" i="7"/>
  <c r="R1483" i="7"/>
  <c r="S1483" i="7"/>
  <c r="T1483" i="7"/>
  <c r="U1483" i="7"/>
  <c r="V1483" i="7"/>
  <c r="W1483" i="7"/>
  <c r="X1483" i="7"/>
  <c r="Y1483" i="7"/>
  <c r="Z1483" i="7"/>
  <c r="AA1483" i="7"/>
  <c r="AB1483" i="7"/>
  <c r="AC1483" i="7"/>
  <c r="AD1483" i="7"/>
  <c r="AE1483" i="7"/>
  <c r="Q1484" i="7"/>
  <c r="R1484" i="7"/>
  <c r="S1484" i="7"/>
  <c r="T1484" i="7"/>
  <c r="U1484" i="7"/>
  <c r="V1484" i="7"/>
  <c r="W1484" i="7"/>
  <c r="X1484" i="7"/>
  <c r="Y1484" i="7"/>
  <c r="Z1484" i="7"/>
  <c r="AA1484" i="7"/>
  <c r="AB1484" i="7"/>
  <c r="AC1484" i="7"/>
  <c r="AD1484" i="7"/>
  <c r="AE1484" i="7"/>
  <c r="Q1485" i="7"/>
  <c r="R1485" i="7"/>
  <c r="S1485" i="7"/>
  <c r="T1485" i="7"/>
  <c r="U1485" i="7"/>
  <c r="V1485" i="7"/>
  <c r="W1485" i="7"/>
  <c r="X1485" i="7"/>
  <c r="Y1485" i="7"/>
  <c r="Z1485" i="7"/>
  <c r="AA1485" i="7"/>
  <c r="AB1485" i="7"/>
  <c r="AC1485" i="7"/>
  <c r="AD1485" i="7"/>
  <c r="AE1485" i="7"/>
  <c r="Q1486" i="7"/>
  <c r="R1486" i="7"/>
  <c r="S1486" i="7"/>
  <c r="T1486" i="7"/>
  <c r="U1486" i="7"/>
  <c r="V1486" i="7"/>
  <c r="W1486" i="7"/>
  <c r="X1486" i="7"/>
  <c r="Y1486" i="7"/>
  <c r="Z1486" i="7"/>
  <c r="AA1486" i="7"/>
  <c r="AB1486" i="7"/>
  <c r="AC1486" i="7"/>
  <c r="AD1486" i="7"/>
  <c r="AE1486" i="7"/>
  <c r="Q1487" i="7"/>
  <c r="R1487" i="7"/>
  <c r="S1487" i="7"/>
  <c r="T1487" i="7"/>
  <c r="U1487" i="7"/>
  <c r="V1487" i="7"/>
  <c r="W1487" i="7"/>
  <c r="X1487" i="7"/>
  <c r="Y1487" i="7"/>
  <c r="Z1487" i="7"/>
  <c r="AA1487" i="7"/>
  <c r="AB1487" i="7"/>
  <c r="AC1487" i="7"/>
  <c r="AD1487" i="7"/>
  <c r="AE1487" i="7"/>
  <c r="Q1488" i="7"/>
  <c r="R1488" i="7"/>
  <c r="S1488" i="7"/>
  <c r="T1488" i="7"/>
  <c r="U1488" i="7"/>
  <c r="V1488" i="7"/>
  <c r="W1488" i="7"/>
  <c r="X1488" i="7"/>
  <c r="Y1488" i="7"/>
  <c r="Z1488" i="7"/>
  <c r="AA1488" i="7"/>
  <c r="AB1488" i="7"/>
  <c r="AC1488" i="7"/>
  <c r="AD1488" i="7"/>
  <c r="AE1488" i="7"/>
  <c r="Q1489" i="7"/>
  <c r="R1489" i="7"/>
  <c r="S1489" i="7"/>
  <c r="T1489" i="7"/>
  <c r="U1489" i="7"/>
  <c r="V1489" i="7"/>
  <c r="W1489" i="7"/>
  <c r="X1489" i="7"/>
  <c r="Y1489" i="7"/>
  <c r="Z1489" i="7"/>
  <c r="AA1489" i="7"/>
  <c r="AB1489" i="7"/>
  <c r="AC1489" i="7"/>
  <c r="AD1489" i="7"/>
  <c r="AE1489" i="7"/>
  <c r="Q1490" i="7"/>
  <c r="R1490" i="7"/>
  <c r="S1490" i="7"/>
  <c r="T1490" i="7"/>
  <c r="U1490" i="7"/>
  <c r="V1490" i="7"/>
  <c r="W1490" i="7"/>
  <c r="X1490" i="7"/>
  <c r="Y1490" i="7"/>
  <c r="Z1490" i="7"/>
  <c r="AA1490" i="7"/>
  <c r="AB1490" i="7"/>
  <c r="AC1490" i="7"/>
  <c r="AD1490" i="7"/>
  <c r="AE1490" i="7"/>
  <c r="Q1491" i="7"/>
  <c r="R1491" i="7"/>
  <c r="S1491" i="7"/>
  <c r="T1491" i="7"/>
  <c r="U1491" i="7"/>
  <c r="V1491" i="7"/>
  <c r="W1491" i="7"/>
  <c r="X1491" i="7"/>
  <c r="Y1491" i="7"/>
  <c r="Z1491" i="7"/>
  <c r="AA1491" i="7"/>
  <c r="AB1491" i="7"/>
  <c r="AC1491" i="7"/>
  <c r="AD1491" i="7"/>
  <c r="AE1491" i="7"/>
  <c r="Q1492" i="7"/>
  <c r="R1492" i="7"/>
  <c r="S1492" i="7"/>
  <c r="T1492" i="7"/>
  <c r="U1492" i="7"/>
  <c r="V1492" i="7"/>
  <c r="W1492" i="7"/>
  <c r="X1492" i="7"/>
  <c r="Y1492" i="7"/>
  <c r="Z1492" i="7"/>
  <c r="AA1492" i="7"/>
  <c r="AB1492" i="7"/>
  <c r="AC1492" i="7"/>
  <c r="AD1492" i="7"/>
  <c r="AE1492" i="7"/>
  <c r="Q1493" i="7"/>
  <c r="R1493" i="7"/>
  <c r="S1493" i="7"/>
  <c r="T1493" i="7"/>
  <c r="U1493" i="7"/>
  <c r="V1493" i="7"/>
  <c r="W1493" i="7"/>
  <c r="X1493" i="7"/>
  <c r="Y1493" i="7"/>
  <c r="Z1493" i="7"/>
  <c r="AA1493" i="7"/>
  <c r="AB1493" i="7"/>
  <c r="AC1493" i="7"/>
  <c r="AD1493" i="7"/>
  <c r="AE1493" i="7"/>
  <c r="Q1494" i="7"/>
  <c r="R1494" i="7"/>
  <c r="S1494" i="7"/>
  <c r="T1494" i="7"/>
  <c r="U1494" i="7"/>
  <c r="V1494" i="7"/>
  <c r="W1494" i="7"/>
  <c r="X1494" i="7"/>
  <c r="Y1494" i="7"/>
  <c r="Z1494" i="7"/>
  <c r="AA1494" i="7"/>
  <c r="AB1494" i="7"/>
  <c r="AC1494" i="7"/>
  <c r="AD1494" i="7"/>
  <c r="AE1494" i="7"/>
  <c r="Q1495" i="7"/>
  <c r="R1495" i="7"/>
  <c r="S1495" i="7"/>
  <c r="T1495" i="7"/>
  <c r="U1495" i="7"/>
  <c r="V1495" i="7"/>
  <c r="W1495" i="7"/>
  <c r="X1495" i="7"/>
  <c r="Y1495" i="7"/>
  <c r="Z1495" i="7"/>
  <c r="AA1495" i="7"/>
  <c r="AB1495" i="7"/>
  <c r="AC1495" i="7"/>
  <c r="AD1495" i="7"/>
  <c r="AE1495" i="7"/>
  <c r="Q1496" i="7"/>
  <c r="R1496" i="7"/>
  <c r="S1496" i="7"/>
  <c r="T1496" i="7"/>
  <c r="U1496" i="7"/>
  <c r="V1496" i="7"/>
  <c r="W1496" i="7"/>
  <c r="X1496" i="7"/>
  <c r="Y1496" i="7"/>
  <c r="Z1496" i="7"/>
  <c r="AA1496" i="7"/>
  <c r="AB1496" i="7"/>
  <c r="AC1496" i="7"/>
  <c r="AD1496" i="7"/>
  <c r="AE1496" i="7"/>
  <c r="Q1497" i="7"/>
  <c r="R1497" i="7"/>
  <c r="S1497" i="7"/>
  <c r="T1497" i="7"/>
  <c r="U1497" i="7"/>
  <c r="V1497" i="7"/>
  <c r="W1497" i="7"/>
  <c r="X1497" i="7"/>
  <c r="Y1497" i="7"/>
  <c r="Z1497" i="7"/>
  <c r="AA1497" i="7"/>
  <c r="AB1497" i="7"/>
  <c r="AC1497" i="7"/>
  <c r="AD1497" i="7"/>
  <c r="AE1497" i="7"/>
  <c r="Q1498" i="7"/>
  <c r="R1498" i="7"/>
  <c r="S1498" i="7"/>
  <c r="T1498" i="7"/>
  <c r="U1498" i="7"/>
  <c r="V1498" i="7"/>
  <c r="W1498" i="7"/>
  <c r="X1498" i="7"/>
  <c r="Y1498" i="7"/>
  <c r="Z1498" i="7"/>
  <c r="AA1498" i="7"/>
  <c r="AB1498" i="7"/>
  <c r="AC1498" i="7"/>
  <c r="AD1498" i="7"/>
  <c r="AE1498" i="7"/>
  <c r="Q1499" i="7"/>
  <c r="R1499" i="7"/>
  <c r="S1499" i="7"/>
  <c r="T1499" i="7"/>
  <c r="U1499" i="7"/>
  <c r="V1499" i="7"/>
  <c r="W1499" i="7"/>
  <c r="X1499" i="7"/>
  <c r="Y1499" i="7"/>
  <c r="Z1499" i="7"/>
  <c r="AA1499" i="7"/>
  <c r="AB1499" i="7"/>
  <c r="AC1499" i="7"/>
  <c r="AD1499" i="7"/>
  <c r="AE1499" i="7"/>
  <c r="Q1500" i="7"/>
  <c r="R1500" i="7"/>
  <c r="S1500" i="7"/>
  <c r="T1500" i="7"/>
  <c r="U1500" i="7"/>
  <c r="V1500" i="7"/>
  <c r="W1500" i="7"/>
  <c r="X1500" i="7"/>
  <c r="Y1500" i="7"/>
  <c r="Z1500" i="7"/>
  <c r="AA1500" i="7"/>
  <c r="AB1500" i="7"/>
  <c r="AC1500" i="7"/>
  <c r="AD1500" i="7"/>
  <c r="AE1500" i="7"/>
  <c r="Q1501" i="7"/>
  <c r="R1501" i="7"/>
  <c r="S1501" i="7"/>
  <c r="T1501" i="7"/>
  <c r="U1501" i="7"/>
  <c r="V1501" i="7"/>
  <c r="W1501" i="7"/>
  <c r="X1501" i="7"/>
  <c r="Y1501" i="7"/>
  <c r="Z1501" i="7"/>
  <c r="AA1501" i="7"/>
  <c r="AB1501" i="7"/>
  <c r="AC1501" i="7"/>
  <c r="AD1501" i="7"/>
  <c r="AE1501" i="7"/>
  <c r="Q1502" i="7"/>
  <c r="R1502" i="7"/>
  <c r="S1502" i="7"/>
  <c r="T1502" i="7"/>
  <c r="U1502" i="7"/>
  <c r="V1502" i="7"/>
  <c r="W1502" i="7"/>
  <c r="X1502" i="7"/>
  <c r="Y1502" i="7"/>
  <c r="Z1502" i="7"/>
  <c r="AA1502" i="7"/>
  <c r="AB1502" i="7"/>
  <c r="AC1502" i="7"/>
  <c r="AD1502" i="7"/>
  <c r="AE1502" i="7"/>
  <c r="Q1503" i="7"/>
  <c r="R1503" i="7"/>
  <c r="S1503" i="7"/>
  <c r="T1503" i="7"/>
  <c r="U1503" i="7"/>
  <c r="V1503" i="7"/>
  <c r="W1503" i="7"/>
  <c r="X1503" i="7"/>
  <c r="Y1503" i="7"/>
  <c r="Z1503" i="7"/>
  <c r="AA1503" i="7"/>
  <c r="AB1503" i="7"/>
  <c r="AC1503" i="7"/>
  <c r="AD1503" i="7"/>
  <c r="AE1503" i="7"/>
  <c r="Q1504" i="7"/>
  <c r="R1504" i="7"/>
  <c r="S1504" i="7"/>
  <c r="T1504" i="7"/>
  <c r="U1504" i="7"/>
  <c r="V1504" i="7"/>
  <c r="W1504" i="7"/>
  <c r="X1504" i="7"/>
  <c r="Y1504" i="7"/>
  <c r="Z1504" i="7"/>
  <c r="AA1504" i="7"/>
  <c r="AB1504" i="7"/>
  <c r="AC1504" i="7"/>
  <c r="AD1504" i="7"/>
  <c r="AE1504" i="7"/>
  <c r="Q1505" i="7"/>
  <c r="R1505" i="7"/>
  <c r="S1505" i="7"/>
  <c r="T1505" i="7"/>
  <c r="U1505" i="7"/>
  <c r="V1505" i="7"/>
  <c r="W1505" i="7"/>
  <c r="X1505" i="7"/>
  <c r="Y1505" i="7"/>
  <c r="Z1505" i="7"/>
  <c r="AA1505" i="7"/>
  <c r="AB1505" i="7"/>
  <c r="AC1505" i="7"/>
  <c r="AD1505" i="7"/>
  <c r="AE1505" i="7"/>
  <c r="Q1506" i="7"/>
  <c r="R1506" i="7"/>
  <c r="S1506" i="7"/>
  <c r="T1506" i="7"/>
  <c r="U1506" i="7"/>
  <c r="V1506" i="7"/>
  <c r="W1506" i="7"/>
  <c r="X1506" i="7"/>
  <c r="Y1506" i="7"/>
  <c r="Z1506" i="7"/>
  <c r="AA1506" i="7"/>
  <c r="AB1506" i="7"/>
  <c r="AC1506" i="7"/>
  <c r="AD1506" i="7"/>
  <c r="AE1506" i="7"/>
  <c r="Q1507" i="7"/>
  <c r="R1507" i="7"/>
  <c r="S1507" i="7"/>
  <c r="T1507" i="7"/>
  <c r="U1507" i="7"/>
  <c r="V1507" i="7"/>
  <c r="W1507" i="7"/>
  <c r="X1507" i="7"/>
  <c r="Y1507" i="7"/>
  <c r="Z1507" i="7"/>
  <c r="AA1507" i="7"/>
  <c r="AB1507" i="7"/>
  <c r="AC1507" i="7"/>
  <c r="AD1507" i="7"/>
  <c r="AE1507" i="7"/>
  <c r="Q1508" i="7"/>
  <c r="R1508" i="7"/>
  <c r="S1508" i="7"/>
  <c r="T1508" i="7"/>
  <c r="U1508" i="7"/>
  <c r="V1508" i="7"/>
  <c r="W1508" i="7"/>
  <c r="X1508" i="7"/>
  <c r="Y1508" i="7"/>
  <c r="Z1508" i="7"/>
  <c r="AA1508" i="7"/>
  <c r="AB1508" i="7"/>
  <c r="AC1508" i="7"/>
  <c r="AD1508" i="7"/>
  <c r="AE1508" i="7"/>
  <c r="Q1509" i="7"/>
  <c r="R1509" i="7"/>
  <c r="S1509" i="7"/>
  <c r="T1509" i="7"/>
  <c r="U1509" i="7"/>
  <c r="V1509" i="7"/>
  <c r="W1509" i="7"/>
  <c r="X1509" i="7"/>
  <c r="Y1509" i="7"/>
  <c r="Z1509" i="7"/>
  <c r="AA1509" i="7"/>
  <c r="AB1509" i="7"/>
  <c r="AC1509" i="7"/>
  <c r="AD1509" i="7"/>
  <c r="AE1509" i="7"/>
  <c r="Q1510" i="7"/>
  <c r="R1510" i="7"/>
  <c r="S1510" i="7"/>
  <c r="T1510" i="7"/>
  <c r="U1510" i="7"/>
  <c r="V1510" i="7"/>
  <c r="W1510" i="7"/>
  <c r="X1510" i="7"/>
  <c r="Y1510" i="7"/>
  <c r="Z1510" i="7"/>
  <c r="AA1510" i="7"/>
  <c r="AB1510" i="7"/>
  <c r="AC1510" i="7"/>
  <c r="AD1510" i="7"/>
  <c r="AE1510" i="7"/>
  <c r="Q1511" i="7"/>
  <c r="R1511" i="7"/>
  <c r="S1511" i="7"/>
  <c r="T1511" i="7"/>
  <c r="U1511" i="7"/>
  <c r="V1511" i="7"/>
  <c r="W1511" i="7"/>
  <c r="X1511" i="7"/>
  <c r="Y1511" i="7"/>
  <c r="Z1511" i="7"/>
  <c r="AA1511" i="7"/>
  <c r="AB1511" i="7"/>
  <c r="AC1511" i="7"/>
  <c r="AD1511" i="7"/>
  <c r="AE1511" i="7"/>
  <c r="Q1512" i="7"/>
  <c r="R1512" i="7"/>
  <c r="S1512" i="7"/>
  <c r="T1512" i="7"/>
  <c r="U1512" i="7"/>
  <c r="V1512" i="7"/>
  <c r="W1512" i="7"/>
  <c r="X1512" i="7"/>
  <c r="Y1512" i="7"/>
  <c r="Z1512" i="7"/>
  <c r="AA1512" i="7"/>
  <c r="AB1512" i="7"/>
  <c r="AC1512" i="7"/>
  <c r="AD1512" i="7"/>
  <c r="AE1512" i="7"/>
  <c r="Q1513" i="7"/>
  <c r="R1513" i="7"/>
  <c r="S1513" i="7"/>
  <c r="T1513" i="7"/>
  <c r="U1513" i="7"/>
  <c r="V1513" i="7"/>
  <c r="W1513" i="7"/>
  <c r="X1513" i="7"/>
  <c r="Y1513" i="7"/>
  <c r="Z1513" i="7"/>
  <c r="AA1513" i="7"/>
  <c r="AB1513" i="7"/>
  <c r="AC1513" i="7"/>
  <c r="AD1513" i="7"/>
  <c r="AE1513" i="7"/>
  <c r="Q1514" i="7"/>
  <c r="R1514" i="7"/>
  <c r="S1514" i="7"/>
  <c r="T1514" i="7"/>
  <c r="U1514" i="7"/>
  <c r="V1514" i="7"/>
  <c r="W1514" i="7"/>
  <c r="X1514" i="7"/>
  <c r="Y1514" i="7"/>
  <c r="Z1514" i="7"/>
  <c r="AA1514" i="7"/>
  <c r="AB1514" i="7"/>
  <c r="AC1514" i="7"/>
  <c r="AD1514" i="7"/>
  <c r="AE1514" i="7"/>
  <c r="Q1515" i="7"/>
  <c r="R1515" i="7"/>
  <c r="S1515" i="7"/>
  <c r="T1515" i="7"/>
  <c r="U1515" i="7"/>
  <c r="V1515" i="7"/>
  <c r="W1515" i="7"/>
  <c r="X1515" i="7"/>
  <c r="Y1515" i="7"/>
  <c r="Z1515" i="7"/>
  <c r="AA1515" i="7"/>
  <c r="AB1515" i="7"/>
  <c r="AC1515" i="7"/>
  <c r="AD1515" i="7"/>
  <c r="AE1515" i="7"/>
  <c r="Q1516" i="7"/>
  <c r="R1516" i="7"/>
  <c r="S1516" i="7"/>
  <c r="T1516" i="7"/>
  <c r="U1516" i="7"/>
  <c r="V1516" i="7"/>
  <c r="W1516" i="7"/>
  <c r="X1516" i="7"/>
  <c r="Y1516" i="7"/>
  <c r="Z1516" i="7"/>
  <c r="AA1516" i="7"/>
  <c r="AB1516" i="7"/>
  <c r="AC1516" i="7"/>
  <c r="AD1516" i="7"/>
  <c r="AE1516" i="7"/>
  <c r="Q1517" i="7"/>
  <c r="R1517" i="7"/>
  <c r="S1517" i="7"/>
  <c r="T1517" i="7"/>
  <c r="U1517" i="7"/>
  <c r="V1517" i="7"/>
  <c r="W1517" i="7"/>
  <c r="X1517" i="7"/>
  <c r="Y1517" i="7"/>
  <c r="Z1517" i="7"/>
  <c r="AA1517" i="7"/>
  <c r="AB1517" i="7"/>
  <c r="AC1517" i="7"/>
  <c r="AD1517" i="7"/>
  <c r="AE1517" i="7"/>
  <c r="Q1518" i="7"/>
  <c r="R1518" i="7"/>
  <c r="S1518" i="7"/>
  <c r="T1518" i="7"/>
  <c r="U1518" i="7"/>
  <c r="V1518" i="7"/>
  <c r="W1518" i="7"/>
  <c r="X1518" i="7"/>
  <c r="Y1518" i="7"/>
  <c r="Z1518" i="7"/>
  <c r="AA1518" i="7"/>
  <c r="AB1518" i="7"/>
  <c r="AC1518" i="7"/>
  <c r="AD1518" i="7"/>
  <c r="AE1518" i="7"/>
  <c r="Q1519" i="7"/>
  <c r="R1519" i="7"/>
  <c r="S1519" i="7"/>
  <c r="T1519" i="7"/>
  <c r="U1519" i="7"/>
  <c r="V1519" i="7"/>
  <c r="W1519" i="7"/>
  <c r="X1519" i="7"/>
  <c r="Y1519" i="7"/>
  <c r="Z1519" i="7"/>
  <c r="AA1519" i="7"/>
  <c r="AB1519" i="7"/>
  <c r="AC1519" i="7"/>
  <c r="AD1519" i="7"/>
  <c r="AE1519" i="7"/>
  <c r="Q1520" i="7"/>
  <c r="R1520" i="7"/>
  <c r="S1520" i="7"/>
  <c r="T1520" i="7"/>
  <c r="U1520" i="7"/>
  <c r="V1520" i="7"/>
  <c r="W1520" i="7"/>
  <c r="X1520" i="7"/>
  <c r="Y1520" i="7"/>
  <c r="Z1520" i="7"/>
  <c r="AA1520" i="7"/>
  <c r="AB1520" i="7"/>
  <c r="AC1520" i="7"/>
  <c r="AD1520" i="7"/>
  <c r="AE1520" i="7"/>
  <c r="Q1521" i="7"/>
  <c r="R1521" i="7"/>
  <c r="S1521" i="7"/>
  <c r="T1521" i="7"/>
  <c r="U1521" i="7"/>
  <c r="V1521" i="7"/>
  <c r="W1521" i="7"/>
  <c r="X1521" i="7"/>
  <c r="Y1521" i="7"/>
  <c r="Z1521" i="7"/>
  <c r="AA1521" i="7"/>
  <c r="AB1521" i="7"/>
  <c r="AC1521" i="7"/>
  <c r="AD1521" i="7"/>
  <c r="AE1521" i="7"/>
  <c r="Q1522" i="7"/>
  <c r="R1522" i="7"/>
  <c r="S1522" i="7"/>
  <c r="T1522" i="7"/>
  <c r="U1522" i="7"/>
  <c r="V1522" i="7"/>
  <c r="W1522" i="7"/>
  <c r="X1522" i="7"/>
  <c r="Y1522" i="7"/>
  <c r="Z1522" i="7"/>
  <c r="AA1522" i="7"/>
  <c r="AB1522" i="7"/>
  <c r="AC1522" i="7"/>
  <c r="AD1522" i="7"/>
  <c r="AE1522" i="7"/>
  <c r="Q1523" i="7"/>
  <c r="R1523" i="7"/>
  <c r="S1523" i="7"/>
  <c r="T1523" i="7"/>
  <c r="U1523" i="7"/>
  <c r="V1523" i="7"/>
  <c r="W1523" i="7"/>
  <c r="X1523" i="7"/>
  <c r="Y1523" i="7"/>
  <c r="Z1523" i="7"/>
  <c r="AA1523" i="7"/>
  <c r="AB1523" i="7"/>
  <c r="AC1523" i="7"/>
  <c r="AD1523" i="7"/>
  <c r="AE1523" i="7"/>
  <c r="Q1524" i="7"/>
  <c r="R1524" i="7"/>
  <c r="S1524" i="7"/>
  <c r="T1524" i="7"/>
  <c r="U1524" i="7"/>
  <c r="V1524" i="7"/>
  <c r="W1524" i="7"/>
  <c r="X1524" i="7"/>
  <c r="Y1524" i="7"/>
  <c r="Z1524" i="7"/>
  <c r="AA1524" i="7"/>
  <c r="AB1524" i="7"/>
  <c r="AC1524" i="7"/>
  <c r="AD1524" i="7"/>
  <c r="AE1524" i="7"/>
  <c r="Q1525" i="7"/>
  <c r="R1525" i="7"/>
  <c r="S1525" i="7"/>
  <c r="T1525" i="7"/>
  <c r="U1525" i="7"/>
  <c r="V1525" i="7"/>
  <c r="W1525" i="7"/>
  <c r="X1525" i="7"/>
  <c r="Y1525" i="7"/>
  <c r="Z1525" i="7"/>
  <c r="AA1525" i="7"/>
  <c r="AB1525" i="7"/>
  <c r="AC1525" i="7"/>
  <c r="AD1525" i="7"/>
  <c r="AE1525" i="7"/>
  <c r="Q1526" i="7"/>
  <c r="R1526" i="7"/>
  <c r="S1526" i="7"/>
  <c r="T1526" i="7"/>
  <c r="U1526" i="7"/>
  <c r="V1526" i="7"/>
  <c r="W1526" i="7"/>
  <c r="X1526" i="7"/>
  <c r="Y1526" i="7"/>
  <c r="Z1526" i="7"/>
  <c r="AA1526" i="7"/>
  <c r="AB1526" i="7"/>
  <c r="AC1526" i="7"/>
  <c r="AD1526" i="7"/>
  <c r="AE1526" i="7"/>
  <c r="Q1527" i="7"/>
  <c r="R1527" i="7"/>
  <c r="S1527" i="7"/>
  <c r="T1527" i="7"/>
  <c r="U1527" i="7"/>
  <c r="V1527" i="7"/>
  <c r="W1527" i="7"/>
  <c r="X1527" i="7"/>
  <c r="Y1527" i="7"/>
  <c r="Z1527" i="7"/>
  <c r="AA1527" i="7"/>
  <c r="AB1527" i="7"/>
  <c r="AC1527" i="7"/>
  <c r="AD1527" i="7"/>
  <c r="AE1527" i="7"/>
  <c r="Q1528" i="7"/>
  <c r="R1528" i="7"/>
  <c r="S1528" i="7"/>
  <c r="T1528" i="7"/>
  <c r="U1528" i="7"/>
  <c r="V1528" i="7"/>
  <c r="W1528" i="7"/>
  <c r="X1528" i="7"/>
  <c r="Y1528" i="7"/>
  <c r="Z1528" i="7"/>
  <c r="AA1528" i="7"/>
  <c r="AB1528" i="7"/>
  <c r="AC1528" i="7"/>
  <c r="AD1528" i="7"/>
  <c r="AE1528" i="7"/>
  <c r="Q1529" i="7"/>
  <c r="R1529" i="7"/>
  <c r="S1529" i="7"/>
  <c r="T1529" i="7"/>
  <c r="U1529" i="7"/>
  <c r="V1529" i="7"/>
  <c r="W1529" i="7"/>
  <c r="X1529" i="7"/>
  <c r="Y1529" i="7"/>
  <c r="Z1529" i="7"/>
  <c r="AA1529" i="7"/>
  <c r="AB1529" i="7"/>
  <c r="AC1529" i="7"/>
  <c r="AD1529" i="7"/>
  <c r="AE1529" i="7"/>
  <c r="Q1530" i="7"/>
  <c r="R1530" i="7"/>
  <c r="S1530" i="7"/>
  <c r="T1530" i="7"/>
  <c r="U1530" i="7"/>
  <c r="V1530" i="7"/>
  <c r="W1530" i="7"/>
  <c r="X1530" i="7"/>
  <c r="Y1530" i="7"/>
  <c r="Z1530" i="7"/>
  <c r="AA1530" i="7"/>
  <c r="AB1530" i="7"/>
  <c r="AC1530" i="7"/>
  <c r="AD1530" i="7"/>
  <c r="AE1530" i="7"/>
  <c r="Q1531" i="7"/>
  <c r="R1531" i="7"/>
  <c r="S1531" i="7"/>
  <c r="T1531" i="7"/>
  <c r="U1531" i="7"/>
  <c r="V1531" i="7"/>
  <c r="W1531" i="7"/>
  <c r="X1531" i="7"/>
  <c r="Y1531" i="7"/>
  <c r="Z1531" i="7"/>
  <c r="AA1531" i="7"/>
  <c r="AB1531" i="7"/>
  <c r="AC1531" i="7"/>
  <c r="AD1531" i="7"/>
  <c r="AE1531" i="7"/>
  <c r="Q1532" i="7"/>
  <c r="R1532" i="7"/>
  <c r="S1532" i="7"/>
  <c r="T1532" i="7"/>
  <c r="U1532" i="7"/>
  <c r="V1532" i="7"/>
  <c r="W1532" i="7"/>
  <c r="X1532" i="7"/>
  <c r="Y1532" i="7"/>
  <c r="Z1532" i="7"/>
  <c r="AA1532" i="7"/>
  <c r="AB1532" i="7"/>
  <c r="AC1532" i="7"/>
  <c r="AD1532" i="7"/>
  <c r="AE1532" i="7"/>
  <c r="Q1533" i="7"/>
  <c r="R1533" i="7"/>
  <c r="S1533" i="7"/>
  <c r="T1533" i="7"/>
  <c r="U1533" i="7"/>
  <c r="V1533" i="7"/>
  <c r="W1533" i="7"/>
  <c r="X1533" i="7"/>
  <c r="Y1533" i="7"/>
  <c r="Z1533" i="7"/>
  <c r="AA1533" i="7"/>
  <c r="AB1533" i="7"/>
  <c r="AC1533" i="7"/>
  <c r="AD1533" i="7"/>
  <c r="AE1533" i="7"/>
  <c r="Q1534" i="7"/>
  <c r="R1534" i="7"/>
  <c r="S1534" i="7"/>
  <c r="T1534" i="7"/>
  <c r="U1534" i="7"/>
  <c r="V1534" i="7"/>
  <c r="W1534" i="7"/>
  <c r="X1534" i="7"/>
  <c r="Y1534" i="7"/>
  <c r="Z1534" i="7"/>
  <c r="AA1534" i="7"/>
  <c r="AB1534" i="7"/>
  <c r="AC1534" i="7"/>
  <c r="AD1534" i="7"/>
  <c r="AE1534" i="7"/>
  <c r="Q1535" i="7"/>
  <c r="R1535" i="7"/>
  <c r="S1535" i="7"/>
  <c r="T1535" i="7"/>
  <c r="U1535" i="7"/>
  <c r="V1535" i="7"/>
  <c r="W1535" i="7"/>
  <c r="X1535" i="7"/>
  <c r="Y1535" i="7"/>
  <c r="Z1535" i="7"/>
  <c r="AA1535" i="7"/>
  <c r="AB1535" i="7"/>
  <c r="AC1535" i="7"/>
  <c r="AD1535" i="7"/>
  <c r="AE1535" i="7"/>
  <c r="Q1536" i="7"/>
  <c r="R1536" i="7"/>
  <c r="S1536" i="7"/>
  <c r="T1536" i="7"/>
  <c r="U1536" i="7"/>
  <c r="V1536" i="7"/>
  <c r="W1536" i="7"/>
  <c r="X1536" i="7"/>
  <c r="Y1536" i="7"/>
  <c r="Z1536" i="7"/>
  <c r="AA1536" i="7"/>
  <c r="AB1536" i="7"/>
  <c r="AC1536" i="7"/>
  <c r="AD1536" i="7"/>
  <c r="AE1536" i="7"/>
  <c r="Q1537" i="7"/>
  <c r="R1537" i="7"/>
  <c r="S1537" i="7"/>
  <c r="T1537" i="7"/>
  <c r="U1537" i="7"/>
  <c r="V1537" i="7"/>
  <c r="W1537" i="7"/>
  <c r="X1537" i="7"/>
  <c r="Y1537" i="7"/>
  <c r="Z1537" i="7"/>
  <c r="AA1537" i="7"/>
  <c r="AB1537" i="7"/>
  <c r="AC1537" i="7"/>
  <c r="AD1537" i="7"/>
  <c r="AE1537" i="7"/>
  <c r="Q1538" i="7"/>
  <c r="R1538" i="7"/>
  <c r="S1538" i="7"/>
  <c r="T1538" i="7"/>
  <c r="U1538" i="7"/>
  <c r="V1538" i="7"/>
  <c r="W1538" i="7"/>
  <c r="X1538" i="7"/>
  <c r="Y1538" i="7"/>
  <c r="Z1538" i="7"/>
  <c r="AA1538" i="7"/>
  <c r="AB1538" i="7"/>
  <c r="AC1538" i="7"/>
  <c r="AD1538" i="7"/>
  <c r="AE1538" i="7"/>
  <c r="Q1539" i="7"/>
  <c r="R1539" i="7"/>
  <c r="S1539" i="7"/>
  <c r="T1539" i="7"/>
  <c r="U1539" i="7"/>
  <c r="V1539" i="7"/>
  <c r="W1539" i="7"/>
  <c r="X1539" i="7"/>
  <c r="Y1539" i="7"/>
  <c r="Z1539" i="7"/>
  <c r="AA1539" i="7"/>
  <c r="AB1539" i="7"/>
  <c r="AC1539" i="7"/>
  <c r="AD1539" i="7"/>
  <c r="AE1539" i="7"/>
  <c r="Q1540" i="7"/>
  <c r="R1540" i="7"/>
  <c r="S1540" i="7"/>
  <c r="T1540" i="7"/>
  <c r="U1540" i="7"/>
  <c r="V1540" i="7"/>
  <c r="W1540" i="7"/>
  <c r="X1540" i="7"/>
  <c r="Y1540" i="7"/>
  <c r="Z1540" i="7"/>
  <c r="AA1540" i="7"/>
  <c r="AB1540" i="7"/>
  <c r="AC1540" i="7"/>
  <c r="AD1540" i="7"/>
  <c r="AE1540" i="7"/>
  <c r="Q1541" i="7"/>
  <c r="R1541" i="7"/>
  <c r="S1541" i="7"/>
  <c r="T1541" i="7"/>
  <c r="U1541" i="7"/>
  <c r="V1541" i="7"/>
  <c r="W1541" i="7"/>
  <c r="X1541" i="7"/>
  <c r="Y1541" i="7"/>
  <c r="Z1541" i="7"/>
  <c r="AA1541" i="7"/>
  <c r="AB1541" i="7"/>
  <c r="AC1541" i="7"/>
  <c r="AD1541" i="7"/>
  <c r="AE1541" i="7"/>
  <c r="Q1542" i="7"/>
  <c r="R1542" i="7"/>
  <c r="S1542" i="7"/>
  <c r="T1542" i="7"/>
  <c r="U1542" i="7"/>
  <c r="V1542" i="7"/>
  <c r="W1542" i="7"/>
  <c r="X1542" i="7"/>
  <c r="Y1542" i="7"/>
  <c r="Z1542" i="7"/>
  <c r="AA1542" i="7"/>
  <c r="AB1542" i="7"/>
  <c r="AC1542" i="7"/>
  <c r="AD1542" i="7"/>
  <c r="AE1542" i="7"/>
  <c r="Q1543" i="7"/>
  <c r="R1543" i="7"/>
  <c r="S1543" i="7"/>
  <c r="T1543" i="7"/>
  <c r="U1543" i="7"/>
  <c r="V1543" i="7"/>
  <c r="W1543" i="7"/>
  <c r="X1543" i="7"/>
  <c r="Y1543" i="7"/>
  <c r="Z1543" i="7"/>
  <c r="AA1543" i="7"/>
  <c r="AB1543" i="7"/>
  <c r="AC1543" i="7"/>
  <c r="AD1543" i="7"/>
  <c r="AE1543" i="7"/>
  <c r="Q1544" i="7"/>
  <c r="R1544" i="7"/>
  <c r="S1544" i="7"/>
  <c r="T1544" i="7"/>
  <c r="U1544" i="7"/>
  <c r="V1544" i="7"/>
  <c r="W1544" i="7"/>
  <c r="X1544" i="7"/>
  <c r="Y1544" i="7"/>
  <c r="Z1544" i="7"/>
  <c r="AA1544" i="7"/>
  <c r="AB1544" i="7"/>
  <c r="AC1544" i="7"/>
  <c r="AD1544" i="7"/>
  <c r="AE1544" i="7"/>
  <c r="Q1545" i="7"/>
  <c r="R1545" i="7"/>
  <c r="S1545" i="7"/>
  <c r="T1545" i="7"/>
  <c r="U1545" i="7"/>
  <c r="V1545" i="7"/>
  <c r="W1545" i="7"/>
  <c r="X1545" i="7"/>
  <c r="Y1545" i="7"/>
  <c r="Z1545" i="7"/>
  <c r="AA1545" i="7"/>
  <c r="AB1545" i="7"/>
  <c r="AC1545" i="7"/>
  <c r="AD1545" i="7"/>
  <c r="AE1545" i="7"/>
  <c r="Q1546" i="7"/>
  <c r="R1546" i="7"/>
  <c r="S1546" i="7"/>
  <c r="T1546" i="7"/>
  <c r="U1546" i="7"/>
  <c r="V1546" i="7"/>
  <c r="W1546" i="7"/>
  <c r="X1546" i="7"/>
  <c r="Y1546" i="7"/>
  <c r="Z1546" i="7"/>
  <c r="AA1546" i="7"/>
  <c r="AB1546" i="7"/>
  <c r="AC1546" i="7"/>
  <c r="AD1546" i="7"/>
  <c r="AE1546" i="7"/>
  <c r="Q1547" i="7"/>
  <c r="R1547" i="7"/>
  <c r="S1547" i="7"/>
  <c r="T1547" i="7"/>
  <c r="U1547" i="7"/>
  <c r="V1547" i="7"/>
  <c r="W1547" i="7"/>
  <c r="X1547" i="7"/>
  <c r="Y1547" i="7"/>
  <c r="Z1547" i="7"/>
  <c r="AA1547" i="7"/>
  <c r="AB1547" i="7"/>
  <c r="AC1547" i="7"/>
  <c r="AD1547" i="7"/>
  <c r="AE1547" i="7"/>
  <c r="Q1548" i="7"/>
  <c r="R1548" i="7"/>
  <c r="S1548" i="7"/>
  <c r="T1548" i="7"/>
  <c r="U1548" i="7"/>
  <c r="V1548" i="7"/>
  <c r="W1548" i="7"/>
  <c r="X1548" i="7"/>
  <c r="Y1548" i="7"/>
  <c r="Z1548" i="7"/>
  <c r="AA1548" i="7"/>
  <c r="AB1548" i="7"/>
  <c r="AC1548" i="7"/>
  <c r="AD1548" i="7"/>
  <c r="AE1548" i="7"/>
  <c r="Q1549" i="7"/>
  <c r="R1549" i="7"/>
  <c r="S1549" i="7"/>
  <c r="T1549" i="7"/>
  <c r="U1549" i="7"/>
  <c r="V1549" i="7"/>
  <c r="W1549" i="7"/>
  <c r="X1549" i="7"/>
  <c r="Y1549" i="7"/>
  <c r="Z1549" i="7"/>
  <c r="AA1549" i="7"/>
  <c r="AB1549" i="7"/>
  <c r="AC1549" i="7"/>
  <c r="AD1549" i="7"/>
  <c r="AE1549" i="7"/>
  <c r="Q1550" i="7"/>
  <c r="R1550" i="7"/>
  <c r="S1550" i="7"/>
  <c r="T1550" i="7"/>
  <c r="U1550" i="7"/>
  <c r="V1550" i="7"/>
  <c r="W1550" i="7"/>
  <c r="X1550" i="7"/>
  <c r="Y1550" i="7"/>
  <c r="Z1550" i="7"/>
  <c r="AA1550" i="7"/>
  <c r="AB1550" i="7"/>
  <c r="AC1550" i="7"/>
  <c r="AD1550" i="7"/>
  <c r="AE1550" i="7"/>
  <c r="Q1551" i="7"/>
  <c r="R1551" i="7"/>
  <c r="S1551" i="7"/>
  <c r="T1551" i="7"/>
  <c r="U1551" i="7"/>
  <c r="V1551" i="7"/>
  <c r="W1551" i="7"/>
  <c r="X1551" i="7"/>
  <c r="Y1551" i="7"/>
  <c r="Z1551" i="7"/>
  <c r="AA1551" i="7"/>
  <c r="AB1551" i="7"/>
  <c r="AC1551" i="7"/>
  <c r="AD1551" i="7"/>
  <c r="AE1551" i="7"/>
  <c r="Q1552" i="7"/>
  <c r="R1552" i="7"/>
  <c r="S1552" i="7"/>
  <c r="T1552" i="7"/>
  <c r="U1552" i="7"/>
  <c r="V1552" i="7"/>
  <c r="W1552" i="7"/>
  <c r="X1552" i="7"/>
  <c r="Y1552" i="7"/>
  <c r="Z1552" i="7"/>
  <c r="AA1552" i="7"/>
  <c r="AB1552" i="7"/>
  <c r="AC1552" i="7"/>
  <c r="AD1552" i="7"/>
  <c r="AE1552" i="7"/>
  <c r="Q1553" i="7"/>
  <c r="R1553" i="7"/>
  <c r="S1553" i="7"/>
  <c r="T1553" i="7"/>
  <c r="U1553" i="7"/>
  <c r="V1553" i="7"/>
  <c r="W1553" i="7"/>
  <c r="X1553" i="7"/>
  <c r="Y1553" i="7"/>
  <c r="Z1553" i="7"/>
  <c r="AA1553" i="7"/>
  <c r="AB1553" i="7"/>
  <c r="AC1553" i="7"/>
  <c r="AD1553" i="7"/>
  <c r="AE1553" i="7"/>
  <c r="Q1554" i="7"/>
  <c r="R1554" i="7"/>
  <c r="S1554" i="7"/>
  <c r="T1554" i="7"/>
  <c r="U1554" i="7"/>
  <c r="V1554" i="7"/>
  <c r="W1554" i="7"/>
  <c r="X1554" i="7"/>
  <c r="Y1554" i="7"/>
  <c r="Z1554" i="7"/>
  <c r="AA1554" i="7"/>
  <c r="AB1554" i="7"/>
  <c r="AC1554" i="7"/>
  <c r="AD1554" i="7"/>
  <c r="AE1554" i="7"/>
  <c r="Q1555" i="7"/>
  <c r="R1555" i="7"/>
  <c r="S1555" i="7"/>
  <c r="T1555" i="7"/>
  <c r="U1555" i="7"/>
  <c r="V1555" i="7"/>
  <c r="W1555" i="7"/>
  <c r="X1555" i="7"/>
  <c r="Y1555" i="7"/>
  <c r="Z1555" i="7"/>
  <c r="AA1555" i="7"/>
  <c r="AB1555" i="7"/>
  <c r="AC1555" i="7"/>
  <c r="AD1555" i="7"/>
  <c r="AE1555" i="7"/>
  <c r="Q1556" i="7"/>
  <c r="R1556" i="7"/>
  <c r="S1556" i="7"/>
  <c r="T1556" i="7"/>
  <c r="U1556" i="7"/>
  <c r="V1556" i="7"/>
  <c r="W1556" i="7"/>
  <c r="X1556" i="7"/>
  <c r="Y1556" i="7"/>
  <c r="Z1556" i="7"/>
  <c r="AA1556" i="7"/>
  <c r="AB1556" i="7"/>
  <c r="AC1556" i="7"/>
  <c r="AD1556" i="7"/>
  <c r="AE1556" i="7"/>
  <c r="Q1557" i="7"/>
  <c r="R1557" i="7"/>
  <c r="S1557" i="7"/>
  <c r="T1557" i="7"/>
  <c r="U1557" i="7"/>
  <c r="V1557" i="7"/>
  <c r="W1557" i="7"/>
  <c r="X1557" i="7"/>
  <c r="Y1557" i="7"/>
  <c r="Z1557" i="7"/>
  <c r="AA1557" i="7"/>
  <c r="AB1557" i="7"/>
  <c r="AC1557" i="7"/>
  <c r="AD1557" i="7"/>
  <c r="AE1557" i="7"/>
  <c r="Q1558" i="7"/>
  <c r="R1558" i="7"/>
  <c r="S1558" i="7"/>
  <c r="T1558" i="7"/>
  <c r="U1558" i="7"/>
  <c r="V1558" i="7"/>
  <c r="W1558" i="7"/>
  <c r="X1558" i="7"/>
  <c r="Y1558" i="7"/>
  <c r="Z1558" i="7"/>
  <c r="AA1558" i="7"/>
  <c r="AB1558" i="7"/>
  <c r="AC1558" i="7"/>
  <c r="AD1558" i="7"/>
  <c r="AE1558" i="7"/>
  <c r="Q1559" i="7"/>
  <c r="R1559" i="7"/>
  <c r="S1559" i="7"/>
  <c r="T1559" i="7"/>
  <c r="U1559" i="7"/>
  <c r="V1559" i="7"/>
  <c r="W1559" i="7"/>
  <c r="X1559" i="7"/>
  <c r="Y1559" i="7"/>
  <c r="Z1559" i="7"/>
  <c r="AA1559" i="7"/>
  <c r="AB1559" i="7"/>
  <c r="AC1559" i="7"/>
  <c r="AD1559" i="7"/>
  <c r="AE1559" i="7"/>
  <c r="Q1560" i="7"/>
  <c r="R1560" i="7"/>
  <c r="S1560" i="7"/>
  <c r="T1560" i="7"/>
  <c r="U1560" i="7"/>
  <c r="V1560" i="7"/>
  <c r="W1560" i="7"/>
  <c r="X1560" i="7"/>
  <c r="Y1560" i="7"/>
  <c r="Z1560" i="7"/>
  <c r="AA1560" i="7"/>
  <c r="AB1560" i="7"/>
  <c r="AC1560" i="7"/>
  <c r="AD1560" i="7"/>
  <c r="AE1560" i="7"/>
  <c r="Q1561" i="7"/>
  <c r="R1561" i="7"/>
  <c r="S1561" i="7"/>
  <c r="T1561" i="7"/>
  <c r="U1561" i="7"/>
  <c r="V1561" i="7"/>
  <c r="W1561" i="7"/>
  <c r="X1561" i="7"/>
  <c r="Y1561" i="7"/>
  <c r="Z1561" i="7"/>
  <c r="AA1561" i="7"/>
  <c r="AB1561" i="7"/>
  <c r="AC1561" i="7"/>
  <c r="AD1561" i="7"/>
  <c r="AE1561" i="7"/>
  <c r="Q1562" i="7"/>
  <c r="R1562" i="7"/>
  <c r="S1562" i="7"/>
  <c r="T1562" i="7"/>
  <c r="U1562" i="7"/>
  <c r="V1562" i="7"/>
  <c r="W1562" i="7"/>
  <c r="X1562" i="7"/>
  <c r="Y1562" i="7"/>
  <c r="Z1562" i="7"/>
  <c r="AA1562" i="7"/>
  <c r="AB1562" i="7"/>
  <c r="AC1562" i="7"/>
  <c r="AD1562" i="7"/>
  <c r="AE1562" i="7"/>
  <c r="Q1563" i="7"/>
  <c r="R1563" i="7"/>
  <c r="S1563" i="7"/>
  <c r="T1563" i="7"/>
  <c r="U1563" i="7"/>
  <c r="V1563" i="7"/>
  <c r="W1563" i="7"/>
  <c r="X1563" i="7"/>
  <c r="Y1563" i="7"/>
  <c r="Z1563" i="7"/>
  <c r="AA1563" i="7"/>
  <c r="AB1563" i="7"/>
  <c r="AC1563" i="7"/>
  <c r="AD1563" i="7"/>
  <c r="AE1563" i="7"/>
  <c r="Q1564" i="7"/>
  <c r="R1564" i="7"/>
  <c r="S1564" i="7"/>
  <c r="T1564" i="7"/>
  <c r="U1564" i="7"/>
  <c r="V1564" i="7"/>
  <c r="W1564" i="7"/>
  <c r="X1564" i="7"/>
  <c r="Y1564" i="7"/>
  <c r="Z1564" i="7"/>
  <c r="AA1564" i="7"/>
  <c r="AB1564" i="7"/>
  <c r="AC1564" i="7"/>
  <c r="AD1564" i="7"/>
  <c r="AE1564" i="7"/>
  <c r="Q1565" i="7"/>
  <c r="R1565" i="7"/>
  <c r="S1565" i="7"/>
  <c r="T1565" i="7"/>
  <c r="U1565" i="7"/>
  <c r="V1565" i="7"/>
  <c r="W1565" i="7"/>
  <c r="X1565" i="7"/>
  <c r="Y1565" i="7"/>
  <c r="Z1565" i="7"/>
  <c r="AA1565" i="7"/>
  <c r="AB1565" i="7"/>
  <c r="AC1565" i="7"/>
  <c r="AD1565" i="7"/>
  <c r="AE1565" i="7"/>
  <c r="Q1566" i="7"/>
  <c r="R1566" i="7"/>
  <c r="S1566" i="7"/>
  <c r="T1566" i="7"/>
  <c r="U1566" i="7"/>
  <c r="V1566" i="7"/>
  <c r="W1566" i="7"/>
  <c r="X1566" i="7"/>
  <c r="Y1566" i="7"/>
  <c r="Z1566" i="7"/>
  <c r="AA1566" i="7"/>
  <c r="AB1566" i="7"/>
  <c r="AC1566" i="7"/>
  <c r="AD1566" i="7"/>
  <c r="AE1566" i="7"/>
  <c r="Q1567" i="7"/>
  <c r="R1567" i="7"/>
  <c r="S1567" i="7"/>
  <c r="T1567" i="7"/>
  <c r="U1567" i="7"/>
  <c r="V1567" i="7"/>
  <c r="W1567" i="7"/>
  <c r="X1567" i="7"/>
  <c r="Y1567" i="7"/>
  <c r="Z1567" i="7"/>
  <c r="AA1567" i="7"/>
  <c r="AB1567" i="7"/>
  <c r="AC1567" i="7"/>
  <c r="AD1567" i="7"/>
  <c r="AE1567" i="7"/>
  <c r="Q1568" i="7"/>
  <c r="R1568" i="7"/>
  <c r="S1568" i="7"/>
  <c r="T1568" i="7"/>
  <c r="U1568" i="7"/>
  <c r="V1568" i="7"/>
  <c r="W1568" i="7"/>
  <c r="X1568" i="7"/>
  <c r="Y1568" i="7"/>
  <c r="Z1568" i="7"/>
  <c r="AA1568" i="7"/>
  <c r="AB1568" i="7"/>
  <c r="AC1568" i="7"/>
  <c r="AD1568" i="7"/>
  <c r="AE1568" i="7"/>
  <c r="Q1569" i="7"/>
  <c r="R1569" i="7"/>
  <c r="S1569" i="7"/>
  <c r="T1569" i="7"/>
  <c r="U1569" i="7"/>
  <c r="V1569" i="7"/>
  <c r="W1569" i="7"/>
  <c r="X1569" i="7"/>
  <c r="Y1569" i="7"/>
  <c r="Z1569" i="7"/>
  <c r="AA1569" i="7"/>
  <c r="AB1569" i="7"/>
  <c r="AC1569" i="7"/>
  <c r="AD1569" i="7"/>
  <c r="AE1569" i="7"/>
  <c r="Q1570" i="7"/>
  <c r="R1570" i="7"/>
  <c r="S1570" i="7"/>
  <c r="T1570" i="7"/>
  <c r="U1570" i="7"/>
  <c r="V1570" i="7"/>
  <c r="W1570" i="7"/>
  <c r="X1570" i="7"/>
  <c r="Y1570" i="7"/>
  <c r="Z1570" i="7"/>
  <c r="AA1570" i="7"/>
  <c r="AB1570" i="7"/>
  <c r="AC1570" i="7"/>
  <c r="AD1570" i="7"/>
  <c r="AE1570" i="7"/>
  <c r="Q1571" i="7"/>
  <c r="R1571" i="7"/>
  <c r="S1571" i="7"/>
  <c r="T1571" i="7"/>
  <c r="U1571" i="7"/>
  <c r="V1571" i="7"/>
  <c r="W1571" i="7"/>
  <c r="X1571" i="7"/>
  <c r="Y1571" i="7"/>
  <c r="Z1571" i="7"/>
  <c r="AA1571" i="7"/>
  <c r="AB1571" i="7"/>
  <c r="AC1571" i="7"/>
  <c r="AD1571" i="7"/>
  <c r="AE1571" i="7"/>
  <c r="Q1572" i="7"/>
  <c r="R1572" i="7"/>
  <c r="S1572" i="7"/>
  <c r="T1572" i="7"/>
  <c r="U1572" i="7"/>
  <c r="V1572" i="7"/>
  <c r="W1572" i="7"/>
  <c r="X1572" i="7"/>
  <c r="Y1572" i="7"/>
  <c r="Z1572" i="7"/>
  <c r="AA1572" i="7"/>
  <c r="AB1572" i="7"/>
  <c r="AC1572" i="7"/>
  <c r="AD1572" i="7"/>
  <c r="AE1572" i="7"/>
  <c r="Q1573" i="7"/>
  <c r="R1573" i="7"/>
  <c r="S1573" i="7"/>
  <c r="T1573" i="7"/>
  <c r="U1573" i="7"/>
  <c r="V1573" i="7"/>
  <c r="W1573" i="7"/>
  <c r="X1573" i="7"/>
  <c r="Y1573" i="7"/>
  <c r="Z1573" i="7"/>
  <c r="AA1573" i="7"/>
  <c r="AB1573" i="7"/>
  <c r="AC1573" i="7"/>
  <c r="AD1573" i="7"/>
  <c r="AE1573" i="7"/>
  <c r="Q1574" i="7"/>
  <c r="R1574" i="7"/>
  <c r="S1574" i="7"/>
  <c r="T1574" i="7"/>
  <c r="U1574" i="7"/>
  <c r="V1574" i="7"/>
  <c r="W1574" i="7"/>
  <c r="X1574" i="7"/>
  <c r="Y1574" i="7"/>
  <c r="Z1574" i="7"/>
  <c r="AA1574" i="7"/>
  <c r="AB1574" i="7"/>
  <c r="AC1574" i="7"/>
  <c r="AD1574" i="7"/>
  <c r="AE1574" i="7"/>
  <c r="Q1575" i="7"/>
  <c r="R1575" i="7"/>
  <c r="S1575" i="7"/>
  <c r="T1575" i="7"/>
  <c r="U1575" i="7"/>
  <c r="V1575" i="7"/>
  <c r="W1575" i="7"/>
  <c r="X1575" i="7"/>
  <c r="Y1575" i="7"/>
  <c r="Z1575" i="7"/>
  <c r="AA1575" i="7"/>
  <c r="AB1575" i="7"/>
  <c r="AC1575" i="7"/>
  <c r="AD1575" i="7"/>
  <c r="AE1575" i="7"/>
  <c r="Q1576" i="7"/>
  <c r="R1576" i="7"/>
  <c r="S1576" i="7"/>
  <c r="T1576" i="7"/>
  <c r="U1576" i="7"/>
  <c r="V1576" i="7"/>
  <c r="W1576" i="7"/>
  <c r="X1576" i="7"/>
  <c r="Y1576" i="7"/>
  <c r="Z1576" i="7"/>
  <c r="AA1576" i="7"/>
  <c r="AB1576" i="7"/>
  <c r="AC1576" i="7"/>
  <c r="AD1576" i="7"/>
  <c r="AE1576" i="7"/>
  <c r="Q1577" i="7"/>
  <c r="R1577" i="7"/>
  <c r="S1577" i="7"/>
  <c r="T1577" i="7"/>
  <c r="U1577" i="7"/>
  <c r="V1577" i="7"/>
  <c r="W1577" i="7"/>
  <c r="X1577" i="7"/>
  <c r="Y1577" i="7"/>
  <c r="Z1577" i="7"/>
  <c r="AA1577" i="7"/>
  <c r="AB1577" i="7"/>
  <c r="AC1577" i="7"/>
  <c r="AD1577" i="7"/>
  <c r="AE1577" i="7"/>
  <c r="Q1578" i="7"/>
  <c r="R1578" i="7"/>
  <c r="S1578" i="7"/>
  <c r="T1578" i="7"/>
  <c r="U1578" i="7"/>
  <c r="V1578" i="7"/>
  <c r="W1578" i="7"/>
  <c r="X1578" i="7"/>
  <c r="Y1578" i="7"/>
  <c r="Z1578" i="7"/>
  <c r="AA1578" i="7"/>
  <c r="AB1578" i="7"/>
  <c r="AC1578" i="7"/>
  <c r="AD1578" i="7"/>
  <c r="AE1578" i="7"/>
  <c r="Q1579" i="7"/>
  <c r="R1579" i="7"/>
  <c r="S1579" i="7"/>
  <c r="T1579" i="7"/>
  <c r="U1579" i="7"/>
  <c r="V1579" i="7"/>
  <c r="W1579" i="7"/>
  <c r="X1579" i="7"/>
  <c r="Y1579" i="7"/>
  <c r="Z1579" i="7"/>
  <c r="AA1579" i="7"/>
  <c r="AB1579" i="7"/>
  <c r="AC1579" i="7"/>
  <c r="AD1579" i="7"/>
  <c r="AE1579" i="7"/>
  <c r="Q1580" i="7"/>
  <c r="R1580" i="7"/>
  <c r="S1580" i="7"/>
  <c r="T1580" i="7"/>
  <c r="U1580" i="7"/>
  <c r="V1580" i="7"/>
  <c r="W1580" i="7"/>
  <c r="X1580" i="7"/>
  <c r="Y1580" i="7"/>
  <c r="Z1580" i="7"/>
  <c r="AA1580" i="7"/>
  <c r="AB1580" i="7"/>
  <c r="AC1580" i="7"/>
  <c r="AD1580" i="7"/>
  <c r="AE1580" i="7"/>
  <c r="Q1581" i="7"/>
  <c r="R1581" i="7"/>
  <c r="S1581" i="7"/>
  <c r="T1581" i="7"/>
  <c r="U1581" i="7"/>
  <c r="V1581" i="7"/>
  <c r="W1581" i="7"/>
  <c r="X1581" i="7"/>
  <c r="Y1581" i="7"/>
  <c r="Z1581" i="7"/>
  <c r="AA1581" i="7"/>
  <c r="AB1581" i="7"/>
  <c r="AC1581" i="7"/>
  <c r="AD1581" i="7"/>
  <c r="AE1581" i="7"/>
  <c r="Q1582" i="7"/>
  <c r="R1582" i="7"/>
  <c r="S1582" i="7"/>
  <c r="T1582" i="7"/>
  <c r="U1582" i="7"/>
  <c r="V1582" i="7"/>
  <c r="W1582" i="7"/>
  <c r="X1582" i="7"/>
  <c r="Y1582" i="7"/>
  <c r="Z1582" i="7"/>
  <c r="AA1582" i="7"/>
  <c r="AB1582" i="7"/>
  <c r="AC1582" i="7"/>
  <c r="AD1582" i="7"/>
  <c r="AE1582" i="7"/>
  <c r="Q1583" i="7"/>
  <c r="R1583" i="7"/>
  <c r="S1583" i="7"/>
  <c r="T1583" i="7"/>
  <c r="U1583" i="7"/>
  <c r="V1583" i="7"/>
  <c r="W1583" i="7"/>
  <c r="X1583" i="7"/>
  <c r="Y1583" i="7"/>
  <c r="Z1583" i="7"/>
  <c r="AA1583" i="7"/>
  <c r="AB1583" i="7"/>
  <c r="AC1583" i="7"/>
  <c r="AD1583" i="7"/>
  <c r="AE1583" i="7"/>
  <c r="Q1584" i="7"/>
  <c r="R1584" i="7"/>
  <c r="S1584" i="7"/>
  <c r="T1584" i="7"/>
  <c r="U1584" i="7"/>
  <c r="V1584" i="7"/>
  <c r="W1584" i="7"/>
  <c r="X1584" i="7"/>
  <c r="Y1584" i="7"/>
  <c r="Z1584" i="7"/>
  <c r="AA1584" i="7"/>
  <c r="AB1584" i="7"/>
  <c r="AC1584" i="7"/>
  <c r="AD1584" i="7"/>
  <c r="AE1584" i="7"/>
  <c r="Q1585" i="7"/>
  <c r="R1585" i="7"/>
  <c r="S1585" i="7"/>
  <c r="T1585" i="7"/>
  <c r="U1585" i="7"/>
  <c r="V1585" i="7"/>
  <c r="W1585" i="7"/>
  <c r="X1585" i="7"/>
  <c r="Y1585" i="7"/>
  <c r="Z1585" i="7"/>
  <c r="AA1585" i="7"/>
  <c r="AB1585" i="7"/>
  <c r="AC1585" i="7"/>
  <c r="AD1585" i="7"/>
  <c r="AE1585" i="7"/>
  <c r="Q1586" i="7"/>
  <c r="R1586" i="7"/>
  <c r="S1586" i="7"/>
  <c r="T1586" i="7"/>
  <c r="U1586" i="7"/>
  <c r="V1586" i="7"/>
  <c r="W1586" i="7"/>
  <c r="X1586" i="7"/>
  <c r="Y1586" i="7"/>
  <c r="Z1586" i="7"/>
  <c r="AA1586" i="7"/>
  <c r="AB1586" i="7"/>
  <c r="AC1586" i="7"/>
  <c r="AD1586" i="7"/>
  <c r="AE1586" i="7"/>
  <c r="Q1587" i="7"/>
  <c r="R1587" i="7"/>
  <c r="S1587" i="7"/>
  <c r="T1587" i="7"/>
  <c r="U1587" i="7"/>
  <c r="V1587" i="7"/>
  <c r="W1587" i="7"/>
  <c r="X1587" i="7"/>
  <c r="Y1587" i="7"/>
  <c r="Z1587" i="7"/>
  <c r="AA1587" i="7"/>
  <c r="AB1587" i="7"/>
  <c r="AC1587" i="7"/>
  <c r="AD1587" i="7"/>
  <c r="AE1587" i="7"/>
  <c r="Q1588" i="7"/>
  <c r="R1588" i="7"/>
  <c r="S1588" i="7"/>
  <c r="T1588" i="7"/>
  <c r="U1588" i="7"/>
  <c r="V1588" i="7"/>
  <c r="W1588" i="7"/>
  <c r="X1588" i="7"/>
  <c r="Y1588" i="7"/>
  <c r="Z1588" i="7"/>
  <c r="AA1588" i="7"/>
  <c r="AB1588" i="7"/>
  <c r="AC1588" i="7"/>
  <c r="AD1588" i="7"/>
  <c r="AE1588" i="7"/>
  <c r="Q1589" i="7"/>
  <c r="R1589" i="7"/>
  <c r="S1589" i="7"/>
  <c r="T1589" i="7"/>
  <c r="U1589" i="7"/>
  <c r="V1589" i="7"/>
  <c r="W1589" i="7"/>
  <c r="X1589" i="7"/>
  <c r="Y1589" i="7"/>
  <c r="Z1589" i="7"/>
  <c r="AA1589" i="7"/>
  <c r="AB1589" i="7"/>
  <c r="AC1589" i="7"/>
  <c r="AD1589" i="7"/>
  <c r="AE1589" i="7"/>
  <c r="Q1590" i="7"/>
  <c r="R1590" i="7"/>
  <c r="S1590" i="7"/>
  <c r="T1590" i="7"/>
  <c r="U1590" i="7"/>
  <c r="V1590" i="7"/>
  <c r="W1590" i="7"/>
  <c r="X1590" i="7"/>
  <c r="Y1590" i="7"/>
  <c r="Z1590" i="7"/>
  <c r="AA1590" i="7"/>
  <c r="AB1590" i="7"/>
  <c r="AC1590" i="7"/>
  <c r="AD1590" i="7"/>
  <c r="AE1590" i="7"/>
  <c r="Q1591" i="7"/>
  <c r="R1591" i="7"/>
  <c r="S1591" i="7"/>
  <c r="T1591" i="7"/>
  <c r="U1591" i="7"/>
  <c r="V1591" i="7"/>
  <c r="W1591" i="7"/>
  <c r="X1591" i="7"/>
  <c r="Y1591" i="7"/>
  <c r="Z1591" i="7"/>
  <c r="AA1591" i="7"/>
  <c r="AB1591" i="7"/>
  <c r="AC1591" i="7"/>
  <c r="AD1591" i="7"/>
  <c r="AE1591" i="7"/>
  <c r="Q1592" i="7"/>
  <c r="R1592" i="7"/>
  <c r="S1592" i="7"/>
  <c r="T1592" i="7"/>
  <c r="U1592" i="7"/>
  <c r="V1592" i="7"/>
  <c r="W1592" i="7"/>
  <c r="X1592" i="7"/>
  <c r="Y1592" i="7"/>
  <c r="Z1592" i="7"/>
  <c r="AA1592" i="7"/>
  <c r="AB1592" i="7"/>
  <c r="AC1592" i="7"/>
  <c r="AD1592" i="7"/>
  <c r="AE1592" i="7"/>
  <c r="Q1593" i="7"/>
  <c r="R1593" i="7"/>
  <c r="S1593" i="7"/>
  <c r="T1593" i="7"/>
  <c r="U1593" i="7"/>
  <c r="V1593" i="7"/>
  <c r="W1593" i="7"/>
  <c r="X1593" i="7"/>
  <c r="Y1593" i="7"/>
  <c r="Z1593" i="7"/>
  <c r="AA1593" i="7"/>
  <c r="AB1593" i="7"/>
  <c r="AC1593" i="7"/>
  <c r="AD1593" i="7"/>
  <c r="AE1593" i="7"/>
  <c r="Q1594" i="7"/>
  <c r="R1594" i="7"/>
  <c r="S1594" i="7"/>
  <c r="T1594" i="7"/>
  <c r="U1594" i="7"/>
  <c r="V1594" i="7"/>
  <c r="W1594" i="7"/>
  <c r="X1594" i="7"/>
  <c r="Y1594" i="7"/>
  <c r="Z1594" i="7"/>
  <c r="AA1594" i="7"/>
  <c r="AB1594" i="7"/>
  <c r="AC1594" i="7"/>
  <c r="AD1594" i="7"/>
  <c r="AE1594" i="7"/>
  <c r="Q1595" i="7"/>
  <c r="R1595" i="7"/>
  <c r="S1595" i="7"/>
  <c r="T1595" i="7"/>
  <c r="U1595" i="7"/>
  <c r="V1595" i="7"/>
  <c r="W1595" i="7"/>
  <c r="X1595" i="7"/>
  <c r="Y1595" i="7"/>
  <c r="Z1595" i="7"/>
  <c r="AA1595" i="7"/>
  <c r="AB1595" i="7"/>
  <c r="AC1595" i="7"/>
  <c r="AD1595" i="7"/>
  <c r="AE1595" i="7"/>
  <c r="Q1596" i="7"/>
  <c r="R1596" i="7"/>
  <c r="S1596" i="7"/>
  <c r="T1596" i="7"/>
  <c r="U1596" i="7"/>
  <c r="V1596" i="7"/>
  <c r="W1596" i="7"/>
  <c r="X1596" i="7"/>
  <c r="Y1596" i="7"/>
  <c r="Z1596" i="7"/>
  <c r="AA1596" i="7"/>
  <c r="AB1596" i="7"/>
  <c r="AC1596" i="7"/>
  <c r="AD1596" i="7"/>
  <c r="AE1596" i="7"/>
  <c r="Q1597" i="7"/>
  <c r="R1597" i="7"/>
  <c r="S1597" i="7"/>
  <c r="T1597" i="7"/>
  <c r="U1597" i="7"/>
  <c r="V1597" i="7"/>
  <c r="W1597" i="7"/>
  <c r="X1597" i="7"/>
  <c r="Y1597" i="7"/>
  <c r="Z1597" i="7"/>
  <c r="AA1597" i="7"/>
  <c r="AB1597" i="7"/>
  <c r="AC1597" i="7"/>
  <c r="AD1597" i="7"/>
  <c r="AE1597" i="7"/>
  <c r="Q1598" i="7"/>
  <c r="R1598" i="7"/>
  <c r="S1598" i="7"/>
  <c r="T1598" i="7"/>
  <c r="U1598" i="7"/>
  <c r="V1598" i="7"/>
  <c r="W1598" i="7"/>
  <c r="X1598" i="7"/>
  <c r="Y1598" i="7"/>
  <c r="Z1598" i="7"/>
  <c r="AA1598" i="7"/>
  <c r="AB1598" i="7"/>
  <c r="AC1598" i="7"/>
  <c r="AD1598" i="7"/>
  <c r="AE1598" i="7"/>
  <c r="Q1599" i="7"/>
  <c r="R1599" i="7"/>
  <c r="S1599" i="7"/>
  <c r="T1599" i="7"/>
  <c r="U1599" i="7"/>
  <c r="V1599" i="7"/>
  <c r="W1599" i="7"/>
  <c r="X1599" i="7"/>
  <c r="Y1599" i="7"/>
  <c r="Z1599" i="7"/>
  <c r="AA1599" i="7"/>
  <c r="AB1599" i="7"/>
  <c r="AC1599" i="7"/>
  <c r="AD1599" i="7"/>
  <c r="AE1599" i="7"/>
  <c r="Q1600" i="7"/>
  <c r="R1600" i="7"/>
  <c r="S1600" i="7"/>
  <c r="T1600" i="7"/>
  <c r="U1600" i="7"/>
  <c r="V1600" i="7"/>
  <c r="W1600" i="7"/>
  <c r="X1600" i="7"/>
  <c r="Y1600" i="7"/>
  <c r="Z1600" i="7"/>
  <c r="AA1600" i="7"/>
  <c r="AB1600" i="7"/>
  <c r="AC1600" i="7"/>
  <c r="AD1600" i="7"/>
  <c r="AE1600" i="7"/>
  <c r="Q1601" i="7"/>
  <c r="R1601" i="7"/>
  <c r="S1601" i="7"/>
  <c r="T1601" i="7"/>
  <c r="U1601" i="7"/>
  <c r="V1601" i="7"/>
  <c r="W1601" i="7"/>
  <c r="X1601" i="7"/>
  <c r="Y1601" i="7"/>
  <c r="Z1601" i="7"/>
  <c r="AA1601" i="7"/>
  <c r="AB1601" i="7"/>
  <c r="AC1601" i="7"/>
  <c r="AD1601" i="7"/>
  <c r="AE1601" i="7"/>
  <c r="Q1602" i="7"/>
  <c r="R1602" i="7"/>
  <c r="S1602" i="7"/>
  <c r="T1602" i="7"/>
  <c r="U1602" i="7"/>
  <c r="V1602" i="7"/>
  <c r="W1602" i="7"/>
  <c r="X1602" i="7"/>
  <c r="Y1602" i="7"/>
  <c r="Z1602" i="7"/>
  <c r="AA1602" i="7"/>
  <c r="AB1602" i="7"/>
  <c r="AC1602" i="7"/>
  <c r="AD1602" i="7"/>
  <c r="AE1602" i="7"/>
  <c r="Q1603" i="7"/>
  <c r="R1603" i="7"/>
  <c r="S1603" i="7"/>
  <c r="T1603" i="7"/>
  <c r="U1603" i="7"/>
  <c r="V1603" i="7"/>
  <c r="W1603" i="7"/>
  <c r="X1603" i="7"/>
  <c r="Y1603" i="7"/>
  <c r="Z1603" i="7"/>
  <c r="AA1603" i="7"/>
  <c r="AB1603" i="7"/>
  <c r="AC1603" i="7"/>
  <c r="AD1603" i="7"/>
  <c r="AE1603" i="7"/>
  <c r="Q1604" i="7"/>
  <c r="R1604" i="7"/>
  <c r="S1604" i="7"/>
  <c r="T1604" i="7"/>
  <c r="U1604" i="7"/>
  <c r="V1604" i="7"/>
  <c r="W1604" i="7"/>
  <c r="X1604" i="7"/>
  <c r="Y1604" i="7"/>
  <c r="Z1604" i="7"/>
  <c r="AA1604" i="7"/>
  <c r="AB1604" i="7"/>
  <c r="AC1604" i="7"/>
  <c r="AD1604" i="7"/>
  <c r="AE1604" i="7"/>
  <c r="Q1605" i="7"/>
  <c r="R1605" i="7"/>
  <c r="S1605" i="7"/>
  <c r="T1605" i="7"/>
  <c r="U1605" i="7"/>
  <c r="V1605" i="7"/>
  <c r="W1605" i="7"/>
  <c r="X1605" i="7"/>
  <c r="Y1605" i="7"/>
  <c r="Z1605" i="7"/>
  <c r="AA1605" i="7"/>
  <c r="AB1605" i="7"/>
  <c r="AC1605" i="7"/>
  <c r="AD1605" i="7"/>
  <c r="AE1605" i="7"/>
  <c r="Q1606" i="7"/>
  <c r="R1606" i="7"/>
  <c r="S1606" i="7"/>
  <c r="T1606" i="7"/>
  <c r="U1606" i="7"/>
  <c r="V1606" i="7"/>
  <c r="W1606" i="7"/>
  <c r="X1606" i="7"/>
  <c r="Y1606" i="7"/>
  <c r="Z1606" i="7"/>
  <c r="AA1606" i="7"/>
  <c r="AB1606" i="7"/>
  <c r="AC1606" i="7"/>
  <c r="AD1606" i="7"/>
  <c r="AE1606" i="7"/>
  <c r="Q1607" i="7"/>
  <c r="R1607" i="7"/>
  <c r="S1607" i="7"/>
  <c r="T1607" i="7"/>
  <c r="U1607" i="7"/>
  <c r="V1607" i="7"/>
  <c r="W1607" i="7"/>
  <c r="X1607" i="7"/>
  <c r="Y1607" i="7"/>
  <c r="Z1607" i="7"/>
  <c r="AA1607" i="7"/>
  <c r="AB1607" i="7"/>
  <c r="AC1607" i="7"/>
  <c r="AD1607" i="7"/>
  <c r="AE1607" i="7"/>
  <c r="Q1608" i="7"/>
  <c r="R1608" i="7"/>
  <c r="S1608" i="7"/>
  <c r="T1608" i="7"/>
  <c r="U1608" i="7"/>
  <c r="V1608" i="7"/>
  <c r="W1608" i="7"/>
  <c r="X1608" i="7"/>
  <c r="Y1608" i="7"/>
  <c r="Z1608" i="7"/>
  <c r="AA1608" i="7"/>
  <c r="AB1608" i="7"/>
  <c r="AC1608" i="7"/>
  <c r="AD1608" i="7"/>
  <c r="AE1608" i="7"/>
  <c r="Q1609" i="7"/>
  <c r="R1609" i="7"/>
  <c r="S1609" i="7"/>
  <c r="T1609" i="7"/>
  <c r="U1609" i="7"/>
  <c r="V1609" i="7"/>
  <c r="W1609" i="7"/>
  <c r="X1609" i="7"/>
  <c r="Y1609" i="7"/>
  <c r="Z1609" i="7"/>
  <c r="AA1609" i="7"/>
  <c r="AB1609" i="7"/>
  <c r="AC1609" i="7"/>
  <c r="AD1609" i="7"/>
  <c r="AE1609" i="7"/>
  <c r="Q1610" i="7"/>
  <c r="R1610" i="7"/>
  <c r="S1610" i="7"/>
  <c r="T1610" i="7"/>
  <c r="U1610" i="7"/>
  <c r="V1610" i="7"/>
  <c r="W1610" i="7"/>
  <c r="X1610" i="7"/>
  <c r="Y1610" i="7"/>
  <c r="Z1610" i="7"/>
  <c r="AA1610" i="7"/>
  <c r="AB1610" i="7"/>
  <c r="AC1610" i="7"/>
  <c r="AD1610" i="7"/>
  <c r="AE1610" i="7"/>
  <c r="Q1611" i="7"/>
  <c r="R1611" i="7"/>
  <c r="S1611" i="7"/>
  <c r="T1611" i="7"/>
  <c r="U1611" i="7"/>
  <c r="V1611" i="7"/>
  <c r="W1611" i="7"/>
  <c r="X1611" i="7"/>
  <c r="Y1611" i="7"/>
  <c r="Z1611" i="7"/>
  <c r="AA1611" i="7"/>
  <c r="AB1611" i="7"/>
  <c r="AC1611" i="7"/>
  <c r="AD1611" i="7"/>
  <c r="AE1611" i="7"/>
  <c r="Q1612" i="7"/>
  <c r="R1612" i="7"/>
  <c r="S1612" i="7"/>
  <c r="T1612" i="7"/>
  <c r="U1612" i="7"/>
  <c r="V1612" i="7"/>
  <c r="W1612" i="7"/>
  <c r="X1612" i="7"/>
  <c r="Y1612" i="7"/>
  <c r="Z1612" i="7"/>
  <c r="AA1612" i="7"/>
  <c r="AB1612" i="7"/>
  <c r="AC1612" i="7"/>
  <c r="AD1612" i="7"/>
  <c r="AE1612" i="7"/>
  <c r="Q1613" i="7"/>
  <c r="R1613" i="7"/>
  <c r="S1613" i="7"/>
  <c r="T1613" i="7"/>
  <c r="U1613" i="7"/>
  <c r="V1613" i="7"/>
  <c r="W1613" i="7"/>
  <c r="X1613" i="7"/>
  <c r="Y1613" i="7"/>
  <c r="Z1613" i="7"/>
  <c r="AA1613" i="7"/>
  <c r="AB1613" i="7"/>
  <c r="AC1613" i="7"/>
  <c r="AD1613" i="7"/>
  <c r="AE1613" i="7"/>
  <c r="Q1614" i="7"/>
  <c r="R1614" i="7"/>
  <c r="S1614" i="7"/>
  <c r="T1614" i="7"/>
  <c r="U1614" i="7"/>
  <c r="V1614" i="7"/>
  <c r="W1614" i="7"/>
  <c r="X1614" i="7"/>
  <c r="Y1614" i="7"/>
  <c r="Z1614" i="7"/>
  <c r="AA1614" i="7"/>
  <c r="AB1614" i="7"/>
  <c r="AC1614" i="7"/>
  <c r="AD1614" i="7"/>
  <c r="AE1614" i="7"/>
  <c r="Q1615" i="7"/>
  <c r="R1615" i="7"/>
  <c r="S1615" i="7"/>
  <c r="T1615" i="7"/>
  <c r="U1615" i="7"/>
  <c r="V1615" i="7"/>
  <c r="W1615" i="7"/>
  <c r="X1615" i="7"/>
  <c r="Y1615" i="7"/>
  <c r="Z1615" i="7"/>
  <c r="AA1615" i="7"/>
  <c r="AB1615" i="7"/>
  <c r="AC1615" i="7"/>
  <c r="AD1615" i="7"/>
  <c r="AE1615" i="7"/>
  <c r="Q1616" i="7"/>
  <c r="R1616" i="7"/>
  <c r="S1616" i="7"/>
  <c r="T1616" i="7"/>
  <c r="U1616" i="7"/>
  <c r="V1616" i="7"/>
  <c r="W1616" i="7"/>
  <c r="X1616" i="7"/>
  <c r="Y1616" i="7"/>
  <c r="Z1616" i="7"/>
  <c r="AA1616" i="7"/>
  <c r="AB1616" i="7"/>
  <c r="AC1616" i="7"/>
  <c r="AD1616" i="7"/>
  <c r="AE1616" i="7"/>
  <c r="Q1617" i="7"/>
  <c r="R1617" i="7"/>
  <c r="S1617" i="7"/>
  <c r="T1617" i="7"/>
  <c r="U1617" i="7"/>
  <c r="V1617" i="7"/>
  <c r="W1617" i="7"/>
  <c r="X1617" i="7"/>
  <c r="Y1617" i="7"/>
  <c r="Z1617" i="7"/>
  <c r="AA1617" i="7"/>
  <c r="AB1617" i="7"/>
  <c r="AC1617" i="7"/>
  <c r="AD1617" i="7"/>
  <c r="AE1617" i="7"/>
  <c r="Q1618" i="7"/>
  <c r="R1618" i="7"/>
  <c r="S1618" i="7"/>
  <c r="T1618" i="7"/>
  <c r="U1618" i="7"/>
  <c r="V1618" i="7"/>
  <c r="W1618" i="7"/>
  <c r="X1618" i="7"/>
  <c r="Y1618" i="7"/>
  <c r="Z1618" i="7"/>
  <c r="AA1618" i="7"/>
  <c r="AB1618" i="7"/>
  <c r="AC1618" i="7"/>
  <c r="AD1618" i="7"/>
  <c r="AE1618" i="7"/>
  <c r="Q1619" i="7"/>
  <c r="R1619" i="7"/>
  <c r="S1619" i="7"/>
  <c r="T1619" i="7"/>
  <c r="U1619" i="7"/>
  <c r="V1619" i="7"/>
  <c r="W1619" i="7"/>
  <c r="X1619" i="7"/>
  <c r="Y1619" i="7"/>
  <c r="Z1619" i="7"/>
  <c r="AA1619" i="7"/>
  <c r="AB1619" i="7"/>
  <c r="AC1619" i="7"/>
  <c r="AD1619" i="7"/>
  <c r="AE1619" i="7"/>
  <c r="Q1620" i="7"/>
  <c r="R1620" i="7"/>
  <c r="S1620" i="7"/>
  <c r="T1620" i="7"/>
  <c r="U1620" i="7"/>
  <c r="V1620" i="7"/>
  <c r="W1620" i="7"/>
  <c r="X1620" i="7"/>
  <c r="Y1620" i="7"/>
  <c r="Z1620" i="7"/>
  <c r="AA1620" i="7"/>
  <c r="AB1620" i="7"/>
  <c r="AC1620" i="7"/>
  <c r="AD1620" i="7"/>
  <c r="AE1620" i="7"/>
  <c r="Q1621" i="7"/>
  <c r="R1621" i="7"/>
  <c r="S1621" i="7"/>
  <c r="T1621" i="7"/>
  <c r="U1621" i="7"/>
  <c r="V1621" i="7"/>
  <c r="W1621" i="7"/>
  <c r="X1621" i="7"/>
  <c r="Y1621" i="7"/>
  <c r="Z1621" i="7"/>
  <c r="AA1621" i="7"/>
  <c r="AB1621" i="7"/>
  <c r="AC1621" i="7"/>
  <c r="AD1621" i="7"/>
  <c r="AE1621" i="7"/>
  <c r="Q1622" i="7"/>
  <c r="R1622" i="7"/>
  <c r="S1622" i="7"/>
  <c r="T1622" i="7"/>
  <c r="U1622" i="7"/>
  <c r="V1622" i="7"/>
  <c r="W1622" i="7"/>
  <c r="X1622" i="7"/>
  <c r="Y1622" i="7"/>
  <c r="Z1622" i="7"/>
  <c r="AA1622" i="7"/>
  <c r="AB1622" i="7"/>
  <c r="AC1622" i="7"/>
  <c r="AD1622" i="7"/>
  <c r="AE1622" i="7"/>
  <c r="Q1623" i="7"/>
  <c r="R1623" i="7"/>
  <c r="S1623" i="7"/>
  <c r="T1623" i="7"/>
  <c r="U1623" i="7"/>
  <c r="V1623" i="7"/>
  <c r="W1623" i="7"/>
  <c r="X1623" i="7"/>
  <c r="Y1623" i="7"/>
  <c r="Z1623" i="7"/>
  <c r="AA1623" i="7"/>
  <c r="AB1623" i="7"/>
  <c r="AC1623" i="7"/>
  <c r="AD1623" i="7"/>
  <c r="AE1623" i="7"/>
  <c r="Q1624" i="7"/>
  <c r="R1624" i="7"/>
  <c r="S1624" i="7"/>
  <c r="T1624" i="7"/>
  <c r="U1624" i="7"/>
  <c r="V1624" i="7"/>
  <c r="W1624" i="7"/>
  <c r="X1624" i="7"/>
  <c r="Y1624" i="7"/>
  <c r="Z1624" i="7"/>
  <c r="AA1624" i="7"/>
  <c r="AB1624" i="7"/>
  <c r="AC1624" i="7"/>
  <c r="AD1624" i="7"/>
  <c r="AE1624" i="7"/>
  <c r="Q1625" i="7"/>
  <c r="R1625" i="7"/>
  <c r="S1625" i="7"/>
  <c r="T1625" i="7"/>
  <c r="U1625" i="7"/>
  <c r="V1625" i="7"/>
  <c r="W1625" i="7"/>
  <c r="X1625" i="7"/>
  <c r="Y1625" i="7"/>
  <c r="Z1625" i="7"/>
  <c r="AA1625" i="7"/>
  <c r="AB1625" i="7"/>
  <c r="AC1625" i="7"/>
  <c r="AD1625" i="7"/>
  <c r="AE1625" i="7"/>
  <c r="Q1626" i="7"/>
  <c r="R1626" i="7"/>
  <c r="S1626" i="7"/>
  <c r="T1626" i="7"/>
  <c r="U1626" i="7"/>
  <c r="V1626" i="7"/>
  <c r="W1626" i="7"/>
  <c r="X1626" i="7"/>
  <c r="Y1626" i="7"/>
  <c r="Z1626" i="7"/>
  <c r="AA1626" i="7"/>
  <c r="AB1626" i="7"/>
  <c r="AC1626" i="7"/>
  <c r="AD1626" i="7"/>
  <c r="AE1626" i="7"/>
  <c r="Q1627" i="7"/>
  <c r="R1627" i="7"/>
  <c r="S1627" i="7"/>
  <c r="T1627" i="7"/>
  <c r="U1627" i="7"/>
  <c r="V1627" i="7"/>
  <c r="W1627" i="7"/>
  <c r="X1627" i="7"/>
  <c r="Y1627" i="7"/>
  <c r="Z1627" i="7"/>
  <c r="AA1627" i="7"/>
  <c r="AB1627" i="7"/>
  <c r="AC1627" i="7"/>
  <c r="AD1627" i="7"/>
  <c r="AE1627" i="7"/>
  <c r="Q1628" i="7"/>
  <c r="R1628" i="7"/>
  <c r="S1628" i="7"/>
  <c r="T1628" i="7"/>
  <c r="U1628" i="7"/>
  <c r="V1628" i="7"/>
  <c r="W1628" i="7"/>
  <c r="X1628" i="7"/>
  <c r="Y1628" i="7"/>
  <c r="Z1628" i="7"/>
  <c r="AA1628" i="7"/>
  <c r="AB1628" i="7"/>
  <c r="AC1628" i="7"/>
  <c r="AD1628" i="7"/>
  <c r="AE1628" i="7"/>
  <c r="Q1629" i="7"/>
  <c r="R1629" i="7"/>
  <c r="S1629" i="7"/>
  <c r="T1629" i="7"/>
  <c r="U1629" i="7"/>
  <c r="V1629" i="7"/>
  <c r="W1629" i="7"/>
  <c r="X1629" i="7"/>
  <c r="Y1629" i="7"/>
  <c r="Z1629" i="7"/>
  <c r="AA1629" i="7"/>
  <c r="AB1629" i="7"/>
  <c r="AC1629" i="7"/>
  <c r="AD1629" i="7"/>
  <c r="AE1629" i="7"/>
  <c r="Q1630" i="7"/>
  <c r="R1630" i="7"/>
  <c r="S1630" i="7"/>
  <c r="T1630" i="7"/>
  <c r="U1630" i="7"/>
  <c r="V1630" i="7"/>
  <c r="W1630" i="7"/>
  <c r="X1630" i="7"/>
  <c r="Y1630" i="7"/>
  <c r="Z1630" i="7"/>
  <c r="AA1630" i="7"/>
  <c r="AB1630" i="7"/>
  <c r="AC1630" i="7"/>
  <c r="AD1630" i="7"/>
  <c r="AE1630" i="7"/>
  <c r="Q1631" i="7"/>
  <c r="R1631" i="7"/>
  <c r="S1631" i="7"/>
  <c r="T1631" i="7"/>
  <c r="U1631" i="7"/>
  <c r="V1631" i="7"/>
  <c r="W1631" i="7"/>
  <c r="X1631" i="7"/>
  <c r="Y1631" i="7"/>
  <c r="Z1631" i="7"/>
  <c r="AA1631" i="7"/>
  <c r="AB1631" i="7"/>
  <c r="AC1631" i="7"/>
  <c r="AD1631" i="7"/>
  <c r="AE1631" i="7"/>
  <c r="Q1632" i="7"/>
  <c r="R1632" i="7"/>
  <c r="S1632" i="7"/>
  <c r="T1632" i="7"/>
  <c r="U1632" i="7"/>
  <c r="V1632" i="7"/>
  <c r="W1632" i="7"/>
  <c r="X1632" i="7"/>
  <c r="Y1632" i="7"/>
  <c r="Z1632" i="7"/>
  <c r="AA1632" i="7"/>
  <c r="AB1632" i="7"/>
  <c r="AC1632" i="7"/>
  <c r="AD1632" i="7"/>
  <c r="AE1632" i="7"/>
  <c r="Q1633" i="7"/>
  <c r="R1633" i="7"/>
  <c r="S1633" i="7"/>
  <c r="T1633" i="7"/>
  <c r="U1633" i="7"/>
  <c r="V1633" i="7"/>
  <c r="W1633" i="7"/>
  <c r="X1633" i="7"/>
  <c r="Y1633" i="7"/>
  <c r="Z1633" i="7"/>
  <c r="AA1633" i="7"/>
  <c r="AB1633" i="7"/>
  <c r="AC1633" i="7"/>
  <c r="AD1633" i="7"/>
  <c r="AE1633" i="7"/>
  <c r="Q1634" i="7"/>
  <c r="R1634" i="7"/>
  <c r="S1634" i="7"/>
  <c r="T1634" i="7"/>
  <c r="U1634" i="7"/>
  <c r="V1634" i="7"/>
  <c r="W1634" i="7"/>
  <c r="X1634" i="7"/>
  <c r="Y1634" i="7"/>
  <c r="Z1634" i="7"/>
  <c r="AA1634" i="7"/>
  <c r="AB1634" i="7"/>
  <c r="AC1634" i="7"/>
  <c r="AD1634" i="7"/>
  <c r="AE1634" i="7"/>
  <c r="Q1635" i="7"/>
  <c r="R1635" i="7"/>
  <c r="S1635" i="7"/>
  <c r="T1635" i="7"/>
  <c r="U1635" i="7"/>
  <c r="V1635" i="7"/>
  <c r="W1635" i="7"/>
  <c r="X1635" i="7"/>
  <c r="Y1635" i="7"/>
  <c r="Z1635" i="7"/>
  <c r="AA1635" i="7"/>
  <c r="AB1635" i="7"/>
  <c r="AC1635" i="7"/>
  <c r="AD1635" i="7"/>
  <c r="AE1635" i="7"/>
  <c r="Q1636" i="7"/>
  <c r="R1636" i="7"/>
  <c r="S1636" i="7"/>
  <c r="T1636" i="7"/>
  <c r="U1636" i="7"/>
  <c r="V1636" i="7"/>
  <c r="W1636" i="7"/>
  <c r="X1636" i="7"/>
  <c r="Y1636" i="7"/>
  <c r="Z1636" i="7"/>
  <c r="AA1636" i="7"/>
  <c r="AB1636" i="7"/>
  <c r="AC1636" i="7"/>
  <c r="AD1636" i="7"/>
  <c r="AE1636" i="7"/>
  <c r="Q1637" i="7"/>
  <c r="R1637" i="7"/>
  <c r="S1637" i="7"/>
  <c r="T1637" i="7"/>
  <c r="U1637" i="7"/>
  <c r="V1637" i="7"/>
  <c r="W1637" i="7"/>
  <c r="X1637" i="7"/>
  <c r="Y1637" i="7"/>
  <c r="Z1637" i="7"/>
  <c r="AA1637" i="7"/>
  <c r="AB1637" i="7"/>
  <c r="AC1637" i="7"/>
  <c r="AD1637" i="7"/>
  <c r="AE1637" i="7"/>
  <c r="Q1638" i="7"/>
  <c r="R1638" i="7"/>
  <c r="S1638" i="7"/>
  <c r="T1638" i="7"/>
  <c r="U1638" i="7"/>
  <c r="V1638" i="7"/>
  <c r="W1638" i="7"/>
  <c r="X1638" i="7"/>
  <c r="Y1638" i="7"/>
  <c r="Z1638" i="7"/>
  <c r="AA1638" i="7"/>
  <c r="AB1638" i="7"/>
  <c r="AC1638" i="7"/>
  <c r="AD1638" i="7"/>
  <c r="AE1638" i="7"/>
  <c r="Q1639" i="7"/>
  <c r="R1639" i="7"/>
  <c r="S1639" i="7"/>
  <c r="T1639" i="7"/>
  <c r="U1639" i="7"/>
  <c r="V1639" i="7"/>
  <c r="W1639" i="7"/>
  <c r="X1639" i="7"/>
  <c r="Y1639" i="7"/>
  <c r="Z1639" i="7"/>
  <c r="AA1639" i="7"/>
  <c r="AB1639" i="7"/>
  <c r="AC1639" i="7"/>
  <c r="AD1639" i="7"/>
  <c r="AE1639" i="7"/>
  <c r="Q1640" i="7"/>
  <c r="R1640" i="7"/>
  <c r="S1640" i="7"/>
  <c r="T1640" i="7"/>
  <c r="U1640" i="7"/>
  <c r="V1640" i="7"/>
  <c r="W1640" i="7"/>
  <c r="X1640" i="7"/>
  <c r="Y1640" i="7"/>
  <c r="Z1640" i="7"/>
  <c r="AA1640" i="7"/>
  <c r="AB1640" i="7"/>
  <c r="AC1640" i="7"/>
  <c r="AD1640" i="7"/>
  <c r="AE1640" i="7"/>
  <c r="Q1641" i="7"/>
  <c r="R1641" i="7"/>
  <c r="S1641" i="7"/>
  <c r="T1641" i="7"/>
  <c r="U1641" i="7"/>
  <c r="V1641" i="7"/>
  <c r="W1641" i="7"/>
  <c r="X1641" i="7"/>
  <c r="Y1641" i="7"/>
  <c r="Z1641" i="7"/>
  <c r="AA1641" i="7"/>
  <c r="AB1641" i="7"/>
  <c r="AC1641" i="7"/>
  <c r="AD1641" i="7"/>
  <c r="AE1641" i="7"/>
  <c r="Q1642" i="7"/>
  <c r="R1642" i="7"/>
  <c r="S1642" i="7"/>
  <c r="T1642" i="7"/>
  <c r="U1642" i="7"/>
  <c r="V1642" i="7"/>
  <c r="W1642" i="7"/>
  <c r="X1642" i="7"/>
  <c r="Y1642" i="7"/>
  <c r="Z1642" i="7"/>
  <c r="AA1642" i="7"/>
  <c r="AB1642" i="7"/>
  <c r="AC1642" i="7"/>
  <c r="AD1642" i="7"/>
  <c r="AE1642" i="7"/>
  <c r="Q1643" i="7"/>
  <c r="R1643" i="7"/>
  <c r="S1643" i="7"/>
  <c r="T1643" i="7"/>
  <c r="U1643" i="7"/>
  <c r="V1643" i="7"/>
  <c r="W1643" i="7"/>
  <c r="X1643" i="7"/>
  <c r="Y1643" i="7"/>
  <c r="Z1643" i="7"/>
  <c r="AA1643" i="7"/>
  <c r="AB1643" i="7"/>
  <c r="AC1643" i="7"/>
  <c r="AD1643" i="7"/>
  <c r="AE1643" i="7"/>
  <c r="Q1644" i="7"/>
  <c r="R1644" i="7"/>
  <c r="S1644" i="7"/>
  <c r="T1644" i="7"/>
  <c r="U1644" i="7"/>
  <c r="V1644" i="7"/>
  <c r="W1644" i="7"/>
  <c r="X1644" i="7"/>
  <c r="Y1644" i="7"/>
  <c r="Z1644" i="7"/>
  <c r="AA1644" i="7"/>
  <c r="AB1644" i="7"/>
  <c r="AC1644" i="7"/>
  <c r="AD1644" i="7"/>
  <c r="AE1644" i="7"/>
  <c r="Q1645" i="7"/>
  <c r="R1645" i="7"/>
  <c r="S1645" i="7"/>
  <c r="T1645" i="7"/>
  <c r="U1645" i="7"/>
  <c r="V1645" i="7"/>
  <c r="W1645" i="7"/>
  <c r="X1645" i="7"/>
  <c r="Y1645" i="7"/>
  <c r="Z1645" i="7"/>
  <c r="AA1645" i="7"/>
  <c r="AB1645" i="7"/>
  <c r="AC1645" i="7"/>
  <c r="AD1645" i="7"/>
  <c r="AE1645" i="7"/>
  <c r="Q1646" i="7"/>
  <c r="R1646" i="7"/>
  <c r="S1646" i="7"/>
  <c r="T1646" i="7"/>
  <c r="U1646" i="7"/>
  <c r="V1646" i="7"/>
  <c r="W1646" i="7"/>
  <c r="X1646" i="7"/>
  <c r="Y1646" i="7"/>
  <c r="Z1646" i="7"/>
  <c r="AA1646" i="7"/>
  <c r="AB1646" i="7"/>
  <c r="AC1646" i="7"/>
  <c r="AD1646" i="7"/>
  <c r="AE1646" i="7"/>
  <c r="Q1647" i="7"/>
  <c r="R1647" i="7"/>
  <c r="S1647" i="7"/>
  <c r="T1647" i="7"/>
  <c r="U1647" i="7"/>
  <c r="V1647" i="7"/>
  <c r="W1647" i="7"/>
  <c r="X1647" i="7"/>
  <c r="Y1647" i="7"/>
  <c r="Z1647" i="7"/>
  <c r="AA1647" i="7"/>
  <c r="AB1647" i="7"/>
  <c r="AC1647" i="7"/>
  <c r="AD1647" i="7"/>
  <c r="AE1647" i="7"/>
  <c r="Q1648" i="7"/>
  <c r="R1648" i="7"/>
  <c r="S1648" i="7"/>
  <c r="T1648" i="7"/>
  <c r="U1648" i="7"/>
  <c r="V1648" i="7"/>
  <c r="W1648" i="7"/>
  <c r="X1648" i="7"/>
  <c r="Y1648" i="7"/>
  <c r="Z1648" i="7"/>
  <c r="AA1648" i="7"/>
  <c r="AB1648" i="7"/>
  <c r="AC1648" i="7"/>
  <c r="AD1648" i="7"/>
  <c r="AE1648" i="7"/>
  <c r="Q1649" i="7"/>
  <c r="R1649" i="7"/>
  <c r="S1649" i="7"/>
  <c r="T1649" i="7"/>
  <c r="U1649" i="7"/>
  <c r="V1649" i="7"/>
  <c r="W1649" i="7"/>
  <c r="X1649" i="7"/>
  <c r="Y1649" i="7"/>
  <c r="Z1649" i="7"/>
  <c r="AA1649" i="7"/>
  <c r="AB1649" i="7"/>
  <c r="AC1649" i="7"/>
  <c r="AD1649" i="7"/>
  <c r="AE1649" i="7"/>
  <c r="Q1650" i="7"/>
  <c r="R1650" i="7"/>
  <c r="S1650" i="7"/>
  <c r="T1650" i="7"/>
  <c r="U1650" i="7"/>
  <c r="V1650" i="7"/>
  <c r="W1650" i="7"/>
  <c r="X1650" i="7"/>
  <c r="Y1650" i="7"/>
  <c r="Z1650" i="7"/>
  <c r="AA1650" i="7"/>
  <c r="AB1650" i="7"/>
  <c r="AC1650" i="7"/>
  <c r="AD1650" i="7"/>
  <c r="AE1650" i="7"/>
  <c r="Q1651" i="7"/>
  <c r="R1651" i="7"/>
  <c r="S1651" i="7"/>
  <c r="T1651" i="7"/>
  <c r="U1651" i="7"/>
  <c r="V1651" i="7"/>
  <c r="W1651" i="7"/>
  <c r="X1651" i="7"/>
  <c r="Y1651" i="7"/>
  <c r="Z1651" i="7"/>
  <c r="AA1651" i="7"/>
  <c r="AB1651" i="7"/>
  <c r="AC1651" i="7"/>
  <c r="AD1651" i="7"/>
  <c r="AE1651" i="7"/>
  <c r="Q1652" i="7"/>
  <c r="R1652" i="7"/>
  <c r="S1652" i="7"/>
  <c r="T1652" i="7"/>
  <c r="U1652" i="7"/>
  <c r="V1652" i="7"/>
  <c r="W1652" i="7"/>
  <c r="X1652" i="7"/>
  <c r="Y1652" i="7"/>
  <c r="Z1652" i="7"/>
  <c r="AA1652" i="7"/>
  <c r="AB1652" i="7"/>
  <c r="AC1652" i="7"/>
  <c r="AD1652" i="7"/>
  <c r="AE1652" i="7"/>
  <c r="Q1653" i="7"/>
  <c r="R1653" i="7"/>
  <c r="S1653" i="7"/>
  <c r="T1653" i="7"/>
  <c r="U1653" i="7"/>
  <c r="V1653" i="7"/>
  <c r="W1653" i="7"/>
  <c r="X1653" i="7"/>
  <c r="Y1653" i="7"/>
  <c r="Z1653" i="7"/>
  <c r="AA1653" i="7"/>
  <c r="AB1653" i="7"/>
  <c r="AC1653" i="7"/>
  <c r="AD1653" i="7"/>
  <c r="AE1653" i="7"/>
  <c r="Q1654" i="7"/>
  <c r="R1654" i="7"/>
  <c r="S1654" i="7"/>
  <c r="T1654" i="7"/>
  <c r="U1654" i="7"/>
  <c r="V1654" i="7"/>
  <c r="W1654" i="7"/>
  <c r="X1654" i="7"/>
  <c r="Y1654" i="7"/>
  <c r="Z1654" i="7"/>
  <c r="AA1654" i="7"/>
  <c r="AB1654" i="7"/>
  <c r="AC1654" i="7"/>
  <c r="AD1654" i="7"/>
  <c r="AE1654" i="7"/>
  <c r="Q1655" i="7"/>
  <c r="R1655" i="7"/>
  <c r="S1655" i="7"/>
  <c r="T1655" i="7"/>
  <c r="U1655" i="7"/>
  <c r="V1655" i="7"/>
  <c r="W1655" i="7"/>
  <c r="X1655" i="7"/>
  <c r="Y1655" i="7"/>
  <c r="Z1655" i="7"/>
  <c r="AA1655" i="7"/>
  <c r="AB1655" i="7"/>
  <c r="AC1655" i="7"/>
  <c r="AD1655" i="7"/>
  <c r="AE1655" i="7"/>
  <c r="Q1656" i="7"/>
  <c r="R1656" i="7"/>
  <c r="S1656" i="7"/>
  <c r="T1656" i="7"/>
  <c r="U1656" i="7"/>
  <c r="V1656" i="7"/>
  <c r="W1656" i="7"/>
  <c r="X1656" i="7"/>
  <c r="Y1656" i="7"/>
  <c r="Z1656" i="7"/>
  <c r="AA1656" i="7"/>
  <c r="AB1656" i="7"/>
  <c r="AC1656" i="7"/>
  <c r="AD1656" i="7"/>
  <c r="AE1656" i="7"/>
  <c r="Q1657" i="7"/>
  <c r="R1657" i="7"/>
  <c r="S1657" i="7"/>
  <c r="T1657" i="7"/>
  <c r="U1657" i="7"/>
  <c r="V1657" i="7"/>
  <c r="W1657" i="7"/>
  <c r="X1657" i="7"/>
  <c r="Y1657" i="7"/>
  <c r="Z1657" i="7"/>
  <c r="AA1657" i="7"/>
  <c r="AB1657" i="7"/>
  <c r="AC1657" i="7"/>
  <c r="AD1657" i="7"/>
  <c r="AE1657" i="7"/>
  <c r="Q1658" i="7"/>
  <c r="R1658" i="7"/>
  <c r="S1658" i="7"/>
  <c r="T1658" i="7"/>
  <c r="U1658" i="7"/>
  <c r="V1658" i="7"/>
  <c r="W1658" i="7"/>
  <c r="X1658" i="7"/>
  <c r="Y1658" i="7"/>
  <c r="Z1658" i="7"/>
  <c r="AA1658" i="7"/>
  <c r="AB1658" i="7"/>
  <c r="AC1658" i="7"/>
  <c r="AD1658" i="7"/>
  <c r="AE1658" i="7"/>
  <c r="Q1659" i="7"/>
  <c r="R1659" i="7"/>
  <c r="S1659" i="7"/>
  <c r="T1659" i="7"/>
  <c r="U1659" i="7"/>
  <c r="V1659" i="7"/>
  <c r="W1659" i="7"/>
  <c r="X1659" i="7"/>
  <c r="Y1659" i="7"/>
  <c r="Z1659" i="7"/>
  <c r="AA1659" i="7"/>
  <c r="AB1659" i="7"/>
  <c r="AC1659" i="7"/>
  <c r="AD1659" i="7"/>
  <c r="AE1659" i="7"/>
  <c r="Q1660" i="7"/>
  <c r="R1660" i="7"/>
  <c r="S1660" i="7"/>
  <c r="T1660" i="7"/>
  <c r="U1660" i="7"/>
  <c r="V1660" i="7"/>
  <c r="W1660" i="7"/>
  <c r="X1660" i="7"/>
  <c r="Y1660" i="7"/>
  <c r="Z1660" i="7"/>
  <c r="AA1660" i="7"/>
  <c r="AB1660" i="7"/>
  <c r="AC1660" i="7"/>
  <c r="AD1660" i="7"/>
  <c r="AE1660" i="7"/>
  <c r="Q1661" i="7"/>
  <c r="R1661" i="7"/>
  <c r="S1661" i="7"/>
  <c r="T1661" i="7"/>
  <c r="U1661" i="7"/>
  <c r="V1661" i="7"/>
  <c r="W1661" i="7"/>
  <c r="X1661" i="7"/>
  <c r="Y1661" i="7"/>
  <c r="Z1661" i="7"/>
  <c r="AA1661" i="7"/>
  <c r="AB1661" i="7"/>
  <c r="AC1661" i="7"/>
  <c r="AD1661" i="7"/>
  <c r="AE1661" i="7"/>
  <c r="Q1662" i="7"/>
  <c r="R1662" i="7"/>
  <c r="S1662" i="7"/>
  <c r="T1662" i="7"/>
  <c r="U1662" i="7"/>
  <c r="V1662" i="7"/>
  <c r="W1662" i="7"/>
  <c r="X1662" i="7"/>
  <c r="Y1662" i="7"/>
  <c r="Z1662" i="7"/>
  <c r="AA1662" i="7"/>
  <c r="AB1662" i="7"/>
  <c r="AC1662" i="7"/>
  <c r="AD1662" i="7"/>
  <c r="AE1662" i="7"/>
  <c r="Q1663" i="7"/>
  <c r="R1663" i="7"/>
  <c r="S1663" i="7"/>
  <c r="T1663" i="7"/>
  <c r="U1663" i="7"/>
  <c r="V1663" i="7"/>
  <c r="W1663" i="7"/>
  <c r="X1663" i="7"/>
  <c r="Y1663" i="7"/>
  <c r="Z1663" i="7"/>
  <c r="AA1663" i="7"/>
  <c r="AB1663" i="7"/>
  <c r="AC1663" i="7"/>
  <c r="AD1663" i="7"/>
  <c r="AE1663" i="7"/>
  <c r="Q1664" i="7"/>
  <c r="R1664" i="7"/>
  <c r="S1664" i="7"/>
  <c r="T1664" i="7"/>
  <c r="U1664" i="7"/>
  <c r="V1664" i="7"/>
  <c r="W1664" i="7"/>
  <c r="X1664" i="7"/>
  <c r="Y1664" i="7"/>
  <c r="Z1664" i="7"/>
  <c r="AA1664" i="7"/>
  <c r="AB1664" i="7"/>
  <c r="AC1664" i="7"/>
  <c r="AD1664" i="7"/>
  <c r="AE1664" i="7"/>
  <c r="Q1665" i="7"/>
  <c r="R1665" i="7"/>
  <c r="S1665" i="7"/>
  <c r="T1665" i="7"/>
  <c r="U1665" i="7"/>
  <c r="V1665" i="7"/>
  <c r="W1665" i="7"/>
  <c r="X1665" i="7"/>
  <c r="Y1665" i="7"/>
  <c r="Z1665" i="7"/>
  <c r="AA1665" i="7"/>
  <c r="AB1665" i="7"/>
  <c r="AC1665" i="7"/>
  <c r="AD1665" i="7"/>
  <c r="AE1665" i="7"/>
  <c r="Q1666" i="7"/>
  <c r="R1666" i="7"/>
  <c r="S1666" i="7"/>
  <c r="T1666" i="7"/>
  <c r="U1666" i="7"/>
  <c r="V1666" i="7"/>
  <c r="W1666" i="7"/>
  <c r="X1666" i="7"/>
  <c r="Y1666" i="7"/>
  <c r="Z1666" i="7"/>
  <c r="AA1666" i="7"/>
  <c r="AB1666" i="7"/>
  <c r="AC1666" i="7"/>
  <c r="AD1666" i="7"/>
  <c r="AE1666" i="7"/>
  <c r="Q1667" i="7"/>
  <c r="R1667" i="7"/>
  <c r="S1667" i="7"/>
  <c r="T1667" i="7"/>
  <c r="U1667" i="7"/>
  <c r="V1667" i="7"/>
  <c r="W1667" i="7"/>
  <c r="X1667" i="7"/>
  <c r="Y1667" i="7"/>
  <c r="Z1667" i="7"/>
  <c r="AA1667" i="7"/>
  <c r="AB1667" i="7"/>
  <c r="AC1667" i="7"/>
  <c r="AD1667" i="7"/>
  <c r="AE1667" i="7"/>
  <c r="Q1668" i="7"/>
  <c r="R1668" i="7"/>
  <c r="S1668" i="7"/>
  <c r="T1668" i="7"/>
  <c r="U1668" i="7"/>
  <c r="V1668" i="7"/>
  <c r="W1668" i="7"/>
  <c r="X1668" i="7"/>
  <c r="Y1668" i="7"/>
  <c r="Z1668" i="7"/>
  <c r="AA1668" i="7"/>
  <c r="AB1668" i="7"/>
  <c r="AC1668" i="7"/>
  <c r="AD1668" i="7"/>
  <c r="AE1668" i="7"/>
  <c r="Q1669" i="7"/>
  <c r="R1669" i="7"/>
  <c r="S1669" i="7"/>
  <c r="T1669" i="7"/>
  <c r="U1669" i="7"/>
  <c r="V1669" i="7"/>
  <c r="W1669" i="7"/>
  <c r="X1669" i="7"/>
  <c r="Y1669" i="7"/>
  <c r="Z1669" i="7"/>
  <c r="AA1669" i="7"/>
  <c r="AB1669" i="7"/>
  <c r="AC1669" i="7"/>
  <c r="AD1669" i="7"/>
  <c r="AE1669" i="7"/>
  <c r="Q1670" i="7"/>
  <c r="R1670" i="7"/>
  <c r="S1670" i="7"/>
  <c r="T1670" i="7"/>
  <c r="U1670" i="7"/>
  <c r="V1670" i="7"/>
  <c r="W1670" i="7"/>
  <c r="X1670" i="7"/>
  <c r="Y1670" i="7"/>
  <c r="Z1670" i="7"/>
  <c r="AA1670" i="7"/>
  <c r="AB1670" i="7"/>
  <c r="AC1670" i="7"/>
  <c r="AD1670" i="7"/>
  <c r="AE1670" i="7"/>
  <c r="Q1671" i="7"/>
  <c r="R1671" i="7"/>
  <c r="S1671" i="7"/>
  <c r="T1671" i="7"/>
  <c r="U1671" i="7"/>
  <c r="V1671" i="7"/>
  <c r="W1671" i="7"/>
  <c r="X1671" i="7"/>
  <c r="Y1671" i="7"/>
  <c r="Z1671" i="7"/>
  <c r="AA1671" i="7"/>
  <c r="AB1671" i="7"/>
  <c r="AC1671" i="7"/>
  <c r="AD1671" i="7"/>
  <c r="AE1671" i="7"/>
  <c r="Q1672" i="7"/>
  <c r="R1672" i="7"/>
  <c r="S1672" i="7"/>
  <c r="T1672" i="7"/>
  <c r="U1672" i="7"/>
  <c r="V1672" i="7"/>
  <c r="W1672" i="7"/>
  <c r="X1672" i="7"/>
  <c r="Y1672" i="7"/>
  <c r="Z1672" i="7"/>
  <c r="AA1672" i="7"/>
  <c r="AB1672" i="7"/>
  <c r="AC1672" i="7"/>
  <c r="AD1672" i="7"/>
  <c r="AE1672" i="7"/>
  <c r="Q1673" i="7"/>
  <c r="R1673" i="7"/>
  <c r="S1673" i="7"/>
  <c r="T1673" i="7"/>
  <c r="U1673" i="7"/>
  <c r="V1673" i="7"/>
  <c r="W1673" i="7"/>
  <c r="X1673" i="7"/>
  <c r="Y1673" i="7"/>
  <c r="Z1673" i="7"/>
  <c r="AA1673" i="7"/>
  <c r="AB1673" i="7"/>
  <c r="AC1673" i="7"/>
  <c r="AD1673" i="7"/>
  <c r="AE1673" i="7"/>
  <c r="Q1674" i="7"/>
  <c r="R1674" i="7"/>
  <c r="S1674" i="7"/>
  <c r="T1674" i="7"/>
  <c r="U1674" i="7"/>
  <c r="V1674" i="7"/>
  <c r="W1674" i="7"/>
  <c r="X1674" i="7"/>
  <c r="Y1674" i="7"/>
  <c r="Z1674" i="7"/>
  <c r="AA1674" i="7"/>
  <c r="AB1674" i="7"/>
  <c r="AC1674" i="7"/>
  <c r="AD1674" i="7"/>
  <c r="AE1674" i="7"/>
  <c r="Q1675" i="7"/>
  <c r="R1675" i="7"/>
  <c r="S1675" i="7"/>
  <c r="T1675" i="7"/>
  <c r="U1675" i="7"/>
  <c r="V1675" i="7"/>
  <c r="W1675" i="7"/>
  <c r="X1675" i="7"/>
  <c r="Y1675" i="7"/>
  <c r="Z1675" i="7"/>
  <c r="AA1675" i="7"/>
  <c r="AB1675" i="7"/>
  <c r="AC1675" i="7"/>
  <c r="AD1675" i="7"/>
  <c r="AE1675" i="7"/>
  <c r="Q1676" i="7"/>
  <c r="R1676" i="7"/>
  <c r="S1676" i="7"/>
  <c r="T1676" i="7"/>
  <c r="U1676" i="7"/>
  <c r="V1676" i="7"/>
  <c r="W1676" i="7"/>
  <c r="X1676" i="7"/>
  <c r="Y1676" i="7"/>
  <c r="Z1676" i="7"/>
  <c r="AA1676" i="7"/>
  <c r="AB1676" i="7"/>
  <c r="AC1676" i="7"/>
  <c r="AD1676" i="7"/>
  <c r="AE1676" i="7"/>
  <c r="Q1677" i="7"/>
  <c r="R1677" i="7"/>
  <c r="S1677" i="7"/>
  <c r="T1677" i="7"/>
  <c r="U1677" i="7"/>
  <c r="V1677" i="7"/>
  <c r="W1677" i="7"/>
  <c r="X1677" i="7"/>
  <c r="Y1677" i="7"/>
  <c r="Z1677" i="7"/>
  <c r="AA1677" i="7"/>
  <c r="AB1677" i="7"/>
  <c r="AC1677" i="7"/>
  <c r="AD1677" i="7"/>
  <c r="AE1677" i="7"/>
  <c r="Q1678" i="7"/>
  <c r="R1678" i="7"/>
  <c r="S1678" i="7"/>
  <c r="T1678" i="7"/>
  <c r="U1678" i="7"/>
  <c r="V1678" i="7"/>
  <c r="W1678" i="7"/>
  <c r="X1678" i="7"/>
  <c r="Y1678" i="7"/>
  <c r="Z1678" i="7"/>
  <c r="AA1678" i="7"/>
  <c r="AB1678" i="7"/>
  <c r="AC1678" i="7"/>
  <c r="AD1678" i="7"/>
  <c r="AE1678" i="7"/>
  <c r="Q1679" i="7"/>
  <c r="R1679" i="7"/>
  <c r="S1679" i="7"/>
  <c r="T1679" i="7"/>
  <c r="U1679" i="7"/>
  <c r="V1679" i="7"/>
  <c r="W1679" i="7"/>
  <c r="X1679" i="7"/>
  <c r="Y1679" i="7"/>
  <c r="Z1679" i="7"/>
  <c r="AA1679" i="7"/>
  <c r="AB1679" i="7"/>
  <c r="AC1679" i="7"/>
  <c r="AD1679" i="7"/>
  <c r="AE1679" i="7"/>
  <c r="Q1680" i="7"/>
  <c r="R1680" i="7"/>
  <c r="S1680" i="7"/>
  <c r="T1680" i="7"/>
  <c r="U1680" i="7"/>
  <c r="V1680" i="7"/>
  <c r="W1680" i="7"/>
  <c r="X1680" i="7"/>
  <c r="Y1680" i="7"/>
  <c r="Z1680" i="7"/>
  <c r="AA1680" i="7"/>
  <c r="AB1680" i="7"/>
  <c r="AC1680" i="7"/>
  <c r="AD1680" i="7"/>
  <c r="AE1680" i="7"/>
  <c r="Q1681" i="7"/>
  <c r="R1681" i="7"/>
  <c r="S1681" i="7"/>
  <c r="T1681" i="7"/>
  <c r="U1681" i="7"/>
  <c r="V1681" i="7"/>
  <c r="W1681" i="7"/>
  <c r="X1681" i="7"/>
  <c r="Y1681" i="7"/>
  <c r="Z1681" i="7"/>
  <c r="AA1681" i="7"/>
  <c r="AB1681" i="7"/>
  <c r="AC1681" i="7"/>
  <c r="AD1681" i="7"/>
  <c r="AE1681" i="7"/>
  <c r="Q1682" i="7"/>
  <c r="R1682" i="7"/>
  <c r="S1682" i="7"/>
  <c r="T1682" i="7"/>
  <c r="U1682" i="7"/>
  <c r="V1682" i="7"/>
  <c r="W1682" i="7"/>
  <c r="X1682" i="7"/>
  <c r="Y1682" i="7"/>
  <c r="Z1682" i="7"/>
  <c r="AA1682" i="7"/>
  <c r="AB1682" i="7"/>
  <c r="AC1682" i="7"/>
  <c r="AD1682" i="7"/>
  <c r="AE1682" i="7"/>
  <c r="Q1683" i="7"/>
  <c r="R1683" i="7"/>
  <c r="S1683" i="7"/>
  <c r="T1683" i="7"/>
  <c r="U1683" i="7"/>
  <c r="V1683" i="7"/>
  <c r="W1683" i="7"/>
  <c r="X1683" i="7"/>
  <c r="Y1683" i="7"/>
  <c r="Z1683" i="7"/>
  <c r="AA1683" i="7"/>
  <c r="AB1683" i="7"/>
  <c r="AC1683" i="7"/>
  <c r="AD1683" i="7"/>
  <c r="AE1683" i="7"/>
  <c r="Q1684" i="7"/>
  <c r="R1684" i="7"/>
  <c r="S1684" i="7"/>
  <c r="T1684" i="7"/>
  <c r="U1684" i="7"/>
  <c r="V1684" i="7"/>
  <c r="W1684" i="7"/>
  <c r="X1684" i="7"/>
  <c r="Y1684" i="7"/>
  <c r="Z1684" i="7"/>
  <c r="AA1684" i="7"/>
  <c r="AB1684" i="7"/>
  <c r="AC1684" i="7"/>
  <c r="AD1684" i="7"/>
  <c r="AE1684" i="7"/>
  <c r="Q1685" i="7"/>
  <c r="R1685" i="7"/>
  <c r="S1685" i="7"/>
  <c r="T1685" i="7"/>
  <c r="U1685" i="7"/>
  <c r="V1685" i="7"/>
  <c r="W1685" i="7"/>
  <c r="X1685" i="7"/>
  <c r="Y1685" i="7"/>
  <c r="Z1685" i="7"/>
  <c r="AA1685" i="7"/>
  <c r="AB1685" i="7"/>
  <c r="AC1685" i="7"/>
  <c r="AD1685" i="7"/>
  <c r="AE1685" i="7"/>
  <c r="Q1686" i="7"/>
  <c r="R1686" i="7"/>
  <c r="S1686" i="7"/>
  <c r="T1686" i="7"/>
  <c r="U1686" i="7"/>
  <c r="V1686" i="7"/>
  <c r="W1686" i="7"/>
  <c r="X1686" i="7"/>
  <c r="Y1686" i="7"/>
  <c r="Z1686" i="7"/>
  <c r="AA1686" i="7"/>
  <c r="AB1686" i="7"/>
  <c r="AC1686" i="7"/>
  <c r="AD1686" i="7"/>
  <c r="AE1686" i="7"/>
  <c r="Q1687" i="7"/>
  <c r="R1687" i="7"/>
  <c r="S1687" i="7"/>
  <c r="T1687" i="7"/>
  <c r="U1687" i="7"/>
  <c r="V1687" i="7"/>
  <c r="W1687" i="7"/>
  <c r="X1687" i="7"/>
  <c r="Y1687" i="7"/>
  <c r="Z1687" i="7"/>
  <c r="AA1687" i="7"/>
  <c r="AB1687" i="7"/>
  <c r="AC1687" i="7"/>
  <c r="AD1687" i="7"/>
  <c r="AE1687" i="7"/>
  <c r="Q1688" i="7"/>
  <c r="R1688" i="7"/>
  <c r="S1688" i="7"/>
  <c r="T1688" i="7"/>
  <c r="U1688" i="7"/>
  <c r="V1688" i="7"/>
  <c r="W1688" i="7"/>
  <c r="X1688" i="7"/>
  <c r="Y1688" i="7"/>
  <c r="Z1688" i="7"/>
  <c r="AA1688" i="7"/>
  <c r="AB1688" i="7"/>
  <c r="AC1688" i="7"/>
  <c r="AD1688" i="7"/>
  <c r="AE1688" i="7"/>
  <c r="Q1689" i="7"/>
  <c r="R1689" i="7"/>
  <c r="S1689" i="7"/>
  <c r="T1689" i="7"/>
  <c r="U1689" i="7"/>
  <c r="V1689" i="7"/>
  <c r="W1689" i="7"/>
  <c r="X1689" i="7"/>
  <c r="Y1689" i="7"/>
  <c r="Z1689" i="7"/>
  <c r="AA1689" i="7"/>
  <c r="AB1689" i="7"/>
  <c r="AC1689" i="7"/>
  <c r="AD1689" i="7"/>
  <c r="AE1689" i="7"/>
  <c r="Q1690" i="7"/>
  <c r="R1690" i="7"/>
  <c r="S1690" i="7"/>
  <c r="T1690" i="7"/>
  <c r="U1690" i="7"/>
  <c r="V1690" i="7"/>
  <c r="W1690" i="7"/>
  <c r="X1690" i="7"/>
  <c r="Y1690" i="7"/>
  <c r="Z1690" i="7"/>
  <c r="AA1690" i="7"/>
  <c r="AB1690" i="7"/>
  <c r="AC1690" i="7"/>
  <c r="AD1690" i="7"/>
  <c r="AE1690" i="7"/>
  <c r="Q1691" i="7"/>
  <c r="R1691" i="7"/>
  <c r="S1691" i="7"/>
  <c r="T1691" i="7"/>
  <c r="U1691" i="7"/>
  <c r="V1691" i="7"/>
  <c r="W1691" i="7"/>
  <c r="X1691" i="7"/>
  <c r="Y1691" i="7"/>
  <c r="Z1691" i="7"/>
  <c r="AA1691" i="7"/>
  <c r="AB1691" i="7"/>
  <c r="AC1691" i="7"/>
  <c r="AD1691" i="7"/>
  <c r="AE1691" i="7"/>
  <c r="Q1692" i="7"/>
  <c r="R1692" i="7"/>
  <c r="S1692" i="7"/>
  <c r="T1692" i="7"/>
  <c r="U1692" i="7"/>
  <c r="V1692" i="7"/>
  <c r="W1692" i="7"/>
  <c r="X1692" i="7"/>
  <c r="Y1692" i="7"/>
  <c r="Z1692" i="7"/>
  <c r="AA1692" i="7"/>
  <c r="AB1692" i="7"/>
  <c r="AC1692" i="7"/>
  <c r="AD1692" i="7"/>
  <c r="AE1692" i="7"/>
  <c r="Q1693" i="7"/>
  <c r="R1693" i="7"/>
  <c r="S1693" i="7"/>
  <c r="T1693" i="7"/>
  <c r="U1693" i="7"/>
  <c r="V1693" i="7"/>
  <c r="W1693" i="7"/>
  <c r="X1693" i="7"/>
  <c r="Y1693" i="7"/>
  <c r="Z1693" i="7"/>
  <c r="AA1693" i="7"/>
  <c r="AB1693" i="7"/>
  <c r="AC1693" i="7"/>
  <c r="AD1693" i="7"/>
  <c r="AE1693" i="7"/>
  <c r="Q1694" i="7"/>
  <c r="R1694" i="7"/>
  <c r="S1694" i="7"/>
  <c r="T1694" i="7"/>
  <c r="U1694" i="7"/>
  <c r="V1694" i="7"/>
  <c r="W1694" i="7"/>
  <c r="X1694" i="7"/>
  <c r="Y1694" i="7"/>
  <c r="Z1694" i="7"/>
  <c r="AA1694" i="7"/>
  <c r="AB1694" i="7"/>
  <c r="AC1694" i="7"/>
  <c r="AD1694" i="7"/>
  <c r="AE1694" i="7"/>
  <c r="Q1695" i="7"/>
  <c r="R1695" i="7"/>
  <c r="S1695" i="7"/>
  <c r="T1695" i="7"/>
  <c r="U1695" i="7"/>
  <c r="V1695" i="7"/>
  <c r="W1695" i="7"/>
  <c r="X1695" i="7"/>
  <c r="Y1695" i="7"/>
  <c r="Z1695" i="7"/>
  <c r="AA1695" i="7"/>
  <c r="AB1695" i="7"/>
  <c r="AC1695" i="7"/>
  <c r="AD1695" i="7"/>
  <c r="AE1695" i="7"/>
  <c r="Q1696" i="7"/>
  <c r="R1696" i="7"/>
  <c r="S1696" i="7"/>
  <c r="T1696" i="7"/>
  <c r="U1696" i="7"/>
  <c r="V1696" i="7"/>
  <c r="W1696" i="7"/>
  <c r="X1696" i="7"/>
  <c r="Y1696" i="7"/>
  <c r="Z1696" i="7"/>
  <c r="AA1696" i="7"/>
  <c r="AB1696" i="7"/>
  <c r="AC1696" i="7"/>
  <c r="AD1696" i="7"/>
  <c r="AE1696" i="7"/>
  <c r="Q1697" i="7"/>
  <c r="R1697" i="7"/>
  <c r="S1697" i="7"/>
  <c r="T1697" i="7"/>
  <c r="U1697" i="7"/>
  <c r="V1697" i="7"/>
  <c r="W1697" i="7"/>
  <c r="X1697" i="7"/>
  <c r="Y1697" i="7"/>
  <c r="Z1697" i="7"/>
  <c r="AA1697" i="7"/>
  <c r="AB1697" i="7"/>
  <c r="AC1697" i="7"/>
  <c r="AD1697" i="7"/>
  <c r="AE1697" i="7"/>
  <c r="Q1698" i="7"/>
  <c r="R1698" i="7"/>
  <c r="S1698" i="7"/>
  <c r="T1698" i="7"/>
  <c r="U1698" i="7"/>
  <c r="V1698" i="7"/>
  <c r="W1698" i="7"/>
  <c r="X1698" i="7"/>
  <c r="Y1698" i="7"/>
  <c r="Z1698" i="7"/>
  <c r="AA1698" i="7"/>
  <c r="AB1698" i="7"/>
  <c r="AC1698" i="7"/>
  <c r="AD1698" i="7"/>
  <c r="AE1698" i="7"/>
  <c r="Q1699" i="7"/>
  <c r="R1699" i="7"/>
  <c r="S1699" i="7"/>
  <c r="T1699" i="7"/>
  <c r="U1699" i="7"/>
  <c r="V1699" i="7"/>
  <c r="W1699" i="7"/>
  <c r="X1699" i="7"/>
  <c r="Y1699" i="7"/>
  <c r="Z1699" i="7"/>
  <c r="AA1699" i="7"/>
  <c r="AB1699" i="7"/>
  <c r="AC1699" i="7"/>
  <c r="AD1699" i="7"/>
  <c r="AE1699" i="7"/>
  <c r="Q1700" i="7"/>
  <c r="R1700" i="7"/>
  <c r="S1700" i="7"/>
  <c r="T1700" i="7"/>
  <c r="U1700" i="7"/>
  <c r="V1700" i="7"/>
  <c r="W1700" i="7"/>
  <c r="X1700" i="7"/>
  <c r="Y1700" i="7"/>
  <c r="Z1700" i="7"/>
  <c r="AA1700" i="7"/>
  <c r="AB1700" i="7"/>
  <c r="AC1700" i="7"/>
  <c r="AD1700" i="7"/>
  <c r="AE1700" i="7"/>
  <c r="Q1701" i="7"/>
  <c r="R1701" i="7"/>
  <c r="S1701" i="7"/>
  <c r="T1701" i="7"/>
  <c r="U1701" i="7"/>
  <c r="V1701" i="7"/>
  <c r="W1701" i="7"/>
  <c r="X1701" i="7"/>
  <c r="Y1701" i="7"/>
  <c r="Z1701" i="7"/>
  <c r="AA1701" i="7"/>
  <c r="AB1701" i="7"/>
  <c r="AC1701" i="7"/>
  <c r="AD1701" i="7"/>
  <c r="AE1701" i="7"/>
  <c r="Q1702" i="7"/>
  <c r="R1702" i="7"/>
  <c r="S1702" i="7"/>
  <c r="T1702" i="7"/>
  <c r="U1702" i="7"/>
  <c r="V1702" i="7"/>
  <c r="W1702" i="7"/>
  <c r="X1702" i="7"/>
  <c r="Y1702" i="7"/>
  <c r="Z1702" i="7"/>
  <c r="AA1702" i="7"/>
  <c r="AB1702" i="7"/>
  <c r="AC1702" i="7"/>
  <c r="AD1702" i="7"/>
  <c r="AE1702" i="7"/>
  <c r="Q1703" i="7"/>
  <c r="R1703" i="7"/>
  <c r="S1703" i="7"/>
  <c r="T1703" i="7"/>
  <c r="U1703" i="7"/>
  <c r="V1703" i="7"/>
  <c r="W1703" i="7"/>
  <c r="X1703" i="7"/>
  <c r="Y1703" i="7"/>
  <c r="Z1703" i="7"/>
  <c r="AA1703" i="7"/>
  <c r="AB1703" i="7"/>
  <c r="AC1703" i="7"/>
  <c r="AD1703" i="7"/>
  <c r="AE1703" i="7"/>
  <c r="Q1704" i="7"/>
  <c r="R1704" i="7"/>
  <c r="S1704" i="7"/>
  <c r="T1704" i="7"/>
  <c r="U1704" i="7"/>
  <c r="V1704" i="7"/>
  <c r="W1704" i="7"/>
  <c r="X1704" i="7"/>
  <c r="Y1704" i="7"/>
  <c r="Z1704" i="7"/>
  <c r="AA1704" i="7"/>
  <c r="AB1704" i="7"/>
  <c r="AC1704" i="7"/>
  <c r="AD1704" i="7"/>
  <c r="AE1704" i="7"/>
  <c r="Q1705" i="7"/>
  <c r="R1705" i="7"/>
  <c r="S1705" i="7"/>
  <c r="T1705" i="7"/>
  <c r="U1705" i="7"/>
  <c r="V1705" i="7"/>
  <c r="W1705" i="7"/>
  <c r="X1705" i="7"/>
  <c r="Y1705" i="7"/>
  <c r="Z1705" i="7"/>
  <c r="AA1705" i="7"/>
  <c r="AB1705" i="7"/>
  <c r="AC1705" i="7"/>
  <c r="AD1705" i="7"/>
  <c r="AE1705" i="7"/>
  <c r="Q1706" i="7"/>
  <c r="R1706" i="7"/>
  <c r="S1706" i="7"/>
  <c r="T1706" i="7"/>
  <c r="U1706" i="7"/>
  <c r="V1706" i="7"/>
  <c r="W1706" i="7"/>
  <c r="X1706" i="7"/>
  <c r="Y1706" i="7"/>
  <c r="Z1706" i="7"/>
  <c r="AA1706" i="7"/>
  <c r="AB1706" i="7"/>
  <c r="AC1706" i="7"/>
  <c r="AD1706" i="7"/>
  <c r="AE1706" i="7"/>
  <c r="Q1707" i="7"/>
  <c r="R1707" i="7"/>
  <c r="S1707" i="7"/>
  <c r="T1707" i="7"/>
  <c r="U1707" i="7"/>
  <c r="V1707" i="7"/>
  <c r="W1707" i="7"/>
  <c r="X1707" i="7"/>
  <c r="Y1707" i="7"/>
  <c r="Z1707" i="7"/>
  <c r="AA1707" i="7"/>
  <c r="AB1707" i="7"/>
  <c r="AC1707" i="7"/>
  <c r="AD1707" i="7"/>
  <c r="AE1707" i="7"/>
  <c r="Q1708" i="7"/>
  <c r="R1708" i="7"/>
  <c r="S1708" i="7"/>
  <c r="T1708" i="7"/>
  <c r="U1708" i="7"/>
  <c r="V1708" i="7"/>
  <c r="W1708" i="7"/>
  <c r="X1708" i="7"/>
  <c r="Y1708" i="7"/>
  <c r="Z1708" i="7"/>
  <c r="AA1708" i="7"/>
  <c r="AB1708" i="7"/>
  <c r="AC1708" i="7"/>
  <c r="AD1708" i="7"/>
  <c r="AE1708" i="7"/>
  <c r="Q1709" i="7"/>
  <c r="R1709" i="7"/>
  <c r="S1709" i="7"/>
  <c r="T1709" i="7"/>
  <c r="U1709" i="7"/>
  <c r="V1709" i="7"/>
  <c r="W1709" i="7"/>
  <c r="X1709" i="7"/>
  <c r="Y1709" i="7"/>
  <c r="Z1709" i="7"/>
  <c r="AA1709" i="7"/>
  <c r="AB1709" i="7"/>
  <c r="AC1709" i="7"/>
  <c r="AD1709" i="7"/>
  <c r="AE1709" i="7"/>
  <c r="Q1710" i="7"/>
  <c r="R1710" i="7"/>
  <c r="S1710" i="7"/>
  <c r="T1710" i="7"/>
  <c r="U1710" i="7"/>
  <c r="V1710" i="7"/>
  <c r="W1710" i="7"/>
  <c r="X1710" i="7"/>
  <c r="Y1710" i="7"/>
  <c r="Z1710" i="7"/>
  <c r="AA1710" i="7"/>
  <c r="AB1710" i="7"/>
  <c r="AC1710" i="7"/>
  <c r="AD1710" i="7"/>
  <c r="AE1710" i="7"/>
  <c r="Q1711" i="7"/>
  <c r="R1711" i="7"/>
  <c r="S1711" i="7"/>
  <c r="T1711" i="7"/>
  <c r="U1711" i="7"/>
  <c r="V1711" i="7"/>
  <c r="W1711" i="7"/>
  <c r="X1711" i="7"/>
  <c r="Y1711" i="7"/>
  <c r="Z1711" i="7"/>
  <c r="AA1711" i="7"/>
  <c r="AB1711" i="7"/>
  <c r="AC1711" i="7"/>
  <c r="AD1711" i="7"/>
  <c r="AE1711" i="7"/>
  <c r="Q1712" i="7"/>
  <c r="R1712" i="7"/>
  <c r="S1712" i="7"/>
  <c r="T1712" i="7"/>
  <c r="U1712" i="7"/>
  <c r="V1712" i="7"/>
  <c r="W1712" i="7"/>
  <c r="X1712" i="7"/>
  <c r="Y1712" i="7"/>
  <c r="Z1712" i="7"/>
  <c r="AA1712" i="7"/>
  <c r="AB1712" i="7"/>
  <c r="AC1712" i="7"/>
  <c r="AD1712" i="7"/>
  <c r="AE1712" i="7"/>
  <c r="Q1713" i="7"/>
  <c r="R1713" i="7"/>
  <c r="S1713" i="7"/>
  <c r="T1713" i="7"/>
  <c r="U1713" i="7"/>
  <c r="V1713" i="7"/>
  <c r="W1713" i="7"/>
  <c r="X1713" i="7"/>
  <c r="Y1713" i="7"/>
  <c r="Z1713" i="7"/>
  <c r="AA1713" i="7"/>
  <c r="AB1713" i="7"/>
  <c r="AC1713" i="7"/>
  <c r="AD1713" i="7"/>
  <c r="AE1713" i="7"/>
  <c r="Q1714" i="7"/>
  <c r="R1714" i="7"/>
  <c r="S1714" i="7"/>
  <c r="T1714" i="7"/>
  <c r="U1714" i="7"/>
  <c r="V1714" i="7"/>
  <c r="W1714" i="7"/>
  <c r="X1714" i="7"/>
  <c r="Y1714" i="7"/>
  <c r="Z1714" i="7"/>
  <c r="AA1714" i="7"/>
  <c r="AB1714" i="7"/>
  <c r="AC1714" i="7"/>
  <c r="AD1714" i="7"/>
  <c r="AE1714" i="7"/>
  <c r="Q1715" i="7"/>
  <c r="R1715" i="7"/>
  <c r="S1715" i="7"/>
  <c r="T1715" i="7"/>
  <c r="U1715" i="7"/>
  <c r="V1715" i="7"/>
  <c r="W1715" i="7"/>
  <c r="X1715" i="7"/>
  <c r="Y1715" i="7"/>
  <c r="Z1715" i="7"/>
  <c r="AA1715" i="7"/>
  <c r="AB1715" i="7"/>
  <c r="AC1715" i="7"/>
  <c r="AD1715" i="7"/>
  <c r="AE1715" i="7"/>
  <c r="Q1716" i="7"/>
  <c r="R1716" i="7"/>
  <c r="S1716" i="7"/>
  <c r="T1716" i="7"/>
  <c r="U1716" i="7"/>
  <c r="V1716" i="7"/>
  <c r="W1716" i="7"/>
  <c r="X1716" i="7"/>
  <c r="Y1716" i="7"/>
  <c r="Z1716" i="7"/>
  <c r="AA1716" i="7"/>
  <c r="AB1716" i="7"/>
  <c r="AC1716" i="7"/>
  <c r="AD1716" i="7"/>
  <c r="AE1716" i="7"/>
  <c r="Q1717" i="7"/>
  <c r="R1717" i="7"/>
  <c r="S1717" i="7"/>
  <c r="T1717" i="7"/>
  <c r="U1717" i="7"/>
  <c r="V1717" i="7"/>
  <c r="W1717" i="7"/>
  <c r="X1717" i="7"/>
  <c r="Y1717" i="7"/>
  <c r="Z1717" i="7"/>
  <c r="AA1717" i="7"/>
  <c r="AB1717" i="7"/>
  <c r="AC1717" i="7"/>
  <c r="AD1717" i="7"/>
  <c r="AE1717" i="7"/>
  <c r="Q1718" i="7"/>
  <c r="R1718" i="7"/>
  <c r="S1718" i="7"/>
  <c r="T1718" i="7"/>
  <c r="U1718" i="7"/>
  <c r="V1718" i="7"/>
  <c r="W1718" i="7"/>
  <c r="X1718" i="7"/>
  <c r="Y1718" i="7"/>
  <c r="Z1718" i="7"/>
  <c r="AA1718" i="7"/>
  <c r="AB1718" i="7"/>
  <c r="AC1718" i="7"/>
  <c r="AD1718" i="7"/>
  <c r="AE1718" i="7"/>
  <c r="Q1719" i="7"/>
  <c r="R1719" i="7"/>
  <c r="S1719" i="7"/>
  <c r="T1719" i="7"/>
  <c r="U1719" i="7"/>
  <c r="V1719" i="7"/>
  <c r="W1719" i="7"/>
  <c r="X1719" i="7"/>
  <c r="Y1719" i="7"/>
  <c r="Z1719" i="7"/>
  <c r="AA1719" i="7"/>
  <c r="AB1719" i="7"/>
  <c r="AC1719" i="7"/>
  <c r="AD1719" i="7"/>
  <c r="AE1719" i="7"/>
  <c r="Q1720" i="7"/>
  <c r="R1720" i="7"/>
  <c r="S1720" i="7"/>
  <c r="T1720" i="7"/>
  <c r="U1720" i="7"/>
  <c r="V1720" i="7"/>
  <c r="W1720" i="7"/>
  <c r="X1720" i="7"/>
  <c r="Y1720" i="7"/>
  <c r="Z1720" i="7"/>
  <c r="AA1720" i="7"/>
  <c r="AB1720" i="7"/>
  <c r="AC1720" i="7"/>
  <c r="AD1720" i="7"/>
  <c r="AE1720" i="7"/>
  <c r="Q1721" i="7"/>
  <c r="R1721" i="7"/>
  <c r="S1721" i="7"/>
  <c r="T1721" i="7"/>
  <c r="U1721" i="7"/>
  <c r="V1721" i="7"/>
  <c r="W1721" i="7"/>
  <c r="X1721" i="7"/>
  <c r="Y1721" i="7"/>
  <c r="Z1721" i="7"/>
  <c r="AA1721" i="7"/>
  <c r="AB1721" i="7"/>
  <c r="AC1721" i="7"/>
  <c r="AD1721" i="7"/>
  <c r="AE1721" i="7"/>
  <c r="Q1722" i="7"/>
  <c r="R1722" i="7"/>
  <c r="S1722" i="7"/>
  <c r="T1722" i="7"/>
  <c r="U1722" i="7"/>
  <c r="V1722" i="7"/>
  <c r="W1722" i="7"/>
  <c r="X1722" i="7"/>
  <c r="Y1722" i="7"/>
  <c r="Z1722" i="7"/>
  <c r="AA1722" i="7"/>
  <c r="AB1722" i="7"/>
  <c r="AC1722" i="7"/>
  <c r="AD1722" i="7"/>
  <c r="AE1722" i="7"/>
  <c r="Q1723" i="7"/>
  <c r="R1723" i="7"/>
  <c r="S1723" i="7"/>
  <c r="T1723" i="7"/>
  <c r="U1723" i="7"/>
  <c r="V1723" i="7"/>
  <c r="W1723" i="7"/>
  <c r="X1723" i="7"/>
  <c r="Y1723" i="7"/>
  <c r="Z1723" i="7"/>
  <c r="AA1723" i="7"/>
  <c r="AB1723" i="7"/>
  <c r="AC1723" i="7"/>
  <c r="AD1723" i="7"/>
  <c r="AE1723" i="7"/>
  <c r="Q1724" i="7"/>
  <c r="R1724" i="7"/>
  <c r="S1724" i="7"/>
  <c r="T1724" i="7"/>
  <c r="U1724" i="7"/>
  <c r="V1724" i="7"/>
  <c r="W1724" i="7"/>
  <c r="X1724" i="7"/>
  <c r="Y1724" i="7"/>
  <c r="Z1724" i="7"/>
  <c r="AA1724" i="7"/>
  <c r="AB1724" i="7"/>
  <c r="AC1724" i="7"/>
  <c r="AD1724" i="7"/>
  <c r="AE1724" i="7"/>
  <c r="Q1725" i="7"/>
  <c r="R1725" i="7"/>
  <c r="S1725" i="7"/>
  <c r="T1725" i="7"/>
  <c r="U1725" i="7"/>
  <c r="V1725" i="7"/>
  <c r="W1725" i="7"/>
  <c r="X1725" i="7"/>
  <c r="Y1725" i="7"/>
  <c r="Z1725" i="7"/>
  <c r="AA1725" i="7"/>
  <c r="AB1725" i="7"/>
  <c r="AC1725" i="7"/>
  <c r="AD1725" i="7"/>
  <c r="AE1725" i="7"/>
  <c r="Q1726" i="7"/>
  <c r="R1726" i="7"/>
  <c r="S1726" i="7"/>
  <c r="T1726" i="7"/>
  <c r="U1726" i="7"/>
  <c r="V1726" i="7"/>
  <c r="W1726" i="7"/>
  <c r="X1726" i="7"/>
  <c r="Y1726" i="7"/>
  <c r="Z1726" i="7"/>
  <c r="AA1726" i="7"/>
  <c r="AB1726" i="7"/>
  <c r="AC1726" i="7"/>
  <c r="AD1726" i="7"/>
  <c r="AE1726" i="7"/>
  <c r="Q1727" i="7"/>
  <c r="R1727" i="7"/>
  <c r="S1727" i="7"/>
  <c r="T1727" i="7"/>
  <c r="U1727" i="7"/>
  <c r="V1727" i="7"/>
  <c r="W1727" i="7"/>
  <c r="X1727" i="7"/>
  <c r="Y1727" i="7"/>
  <c r="Z1727" i="7"/>
  <c r="AA1727" i="7"/>
  <c r="AB1727" i="7"/>
  <c r="AC1727" i="7"/>
  <c r="AD1727" i="7"/>
  <c r="AE1727" i="7"/>
  <c r="Q1728" i="7"/>
  <c r="R1728" i="7"/>
  <c r="S1728" i="7"/>
  <c r="T1728" i="7"/>
  <c r="U1728" i="7"/>
  <c r="V1728" i="7"/>
  <c r="W1728" i="7"/>
  <c r="X1728" i="7"/>
  <c r="Y1728" i="7"/>
  <c r="Z1728" i="7"/>
  <c r="AA1728" i="7"/>
  <c r="AB1728" i="7"/>
  <c r="AC1728" i="7"/>
  <c r="AD1728" i="7"/>
  <c r="AE1728" i="7"/>
  <c r="Q1729" i="7"/>
  <c r="R1729" i="7"/>
  <c r="S1729" i="7"/>
  <c r="T1729" i="7"/>
  <c r="U1729" i="7"/>
  <c r="V1729" i="7"/>
  <c r="W1729" i="7"/>
  <c r="X1729" i="7"/>
  <c r="Y1729" i="7"/>
  <c r="Z1729" i="7"/>
  <c r="AA1729" i="7"/>
  <c r="AB1729" i="7"/>
  <c r="AC1729" i="7"/>
  <c r="AD1729" i="7"/>
  <c r="AE1729" i="7"/>
  <c r="Q1730" i="7"/>
  <c r="R1730" i="7"/>
  <c r="S1730" i="7"/>
  <c r="T1730" i="7"/>
  <c r="U1730" i="7"/>
  <c r="V1730" i="7"/>
  <c r="W1730" i="7"/>
  <c r="X1730" i="7"/>
  <c r="Y1730" i="7"/>
  <c r="Z1730" i="7"/>
  <c r="AA1730" i="7"/>
  <c r="AB1730" i="7"/>
  <c r="AC1730" i="7"/>
  <c r="AD1730" i="7"/>
  <c r="AE1730" i="7"/>
  <c r="Q1731" i="7"/>
  <c r="R1731" i="7"/>
  <c r="S1731" i="7"/>
  <c r="T1731" i="7"/>
  <c r="U1731" i="7"/>
  <c r="V1731" i="7"/>
  <c r="W1731" i="7"/>
  <c r="X1731" i="7"/>
  <c r="Y1731" i="7"/>
  <c r="Z1731" i="7"/>
  <c r="AA1731" i="7"/>
  <c r="AB1731" i="7"/>
  <c r="AC1731" i="7"/>
  <c r="AD1731" i="7"/>
  <c r="AE1731" i="7"/>
  <c r="Q1732" i="7"/>
  <c r="R1732" i="7"/>
  <c r="S1732" i="7"/>
  <c r="T1732" i="7"/>
  <c r="U1732" i="7"/>
  <c r="V1732" i="7"/>
  <c r="W1732" i="7"/>
  <c r="X1732" i="7"/>
  <c r="Y1732" i="7"/>
  <c r="Z1732" i="7"/>
  <c r="AA1732" i="7"/>
  <c r="AB1732" i="7"/>
  <c r="AC1732" i="7"/>
  <c r="AD1732" i="7"/>
  <c r="AE1732" i="7"/>
  <c r="Q1733" i="7"/>
  <c r="R1733" i="7"/>
  <c r="S1733" i="7"/>
  <c r="T1733" i="7"/>
  <c r="U1733" i="7"/>
  <c r="V1733" i="7"/>
  <c r="W1733" i="7"/>
  <c r="X1733" i="7"/>
  <c r="Y1733" i="7"/>
  <c r="Z1733" i="7"/>
  <c r="AA1733" i="7"/>
  <c r="AB1733" i="7"/>
  <c r="AC1733" i="7"/>
  <c r="AD1733" i="7"/>
  <c r="AE1733" i="7"/>
  <c r="Q1734" i="7"/>
  <c r="R1734" i="7"/>
  <c r="S1734" i="7"/>
  <c r="T1734" i="7"/>
  <c r="U1734" i="7"/>
  <c r="V1734" i="7"/>
  <c r="W1734" i="7"/>
  <c r="X1734" i="7"/>
  <c r="Y1734" i="7"/>
  <c r="Z1734" i="7"/>
  <c r="AA1734" i="7"/>
  <c r="AB1734" i="7"/>
  <c r="AC1734" i="7"/>
  <c r="AD1734" i="7"/>
  <c r="AE1734" i="7"/>
  <c r="Q1735" i="7"/>
  <c r="R1735" i="7"/>
  <c r="S1735" i="7"/>
  <c r="T1735" i="7"/>
  <c r="U1735" i="7"/>
  <c r="V1735" i="7"/>
  <c r="W1735" i="7"/>
  <c r="X1735" i="7"/>
  <c r="Y1735" i="7"/>
  <c r="Z1735" i="7"/>
  <c r="AA1735" i="7"/>
  <c r="AB1735" i="7"/>
  <c r="AC1735" i="7"/>
  <c r="AD1735" i="7"/>
  <c r="AE1735" i="7"/>
  <c r="Q1736" i="7"/>
  <c r="R1736" i="7"/>
  <c r="S1736" i="7"/>
  <c r="T1736" i="7"/>
  <c r="U1736" i="7"/>
  <c r="V1736" i="7"/>
  <c r="W1736" i="7"/>
  <c r="X1736" i="7"/>
  <c r="Y1736" i="7"/>
  <c r="Z1736" i="7"/>
  <c r="AA1736" i="7"/>
  <c r="AB1736" i="7"/>
  <c r="AC1736" i="7"/>
  <c r="AD1736" i="7"/>
  <c r="AE1736" i="7"/>
  <c r="Q1737" i="7"/>
  <c r="R1737" i="7"/>
  <c r="S1737" i="7"/>
  <c r="T1737" i="7"/>
  <c r="U1737" i="7"/>
  <c r="V1737" i="7"/>
  <c r="W1737" i="7"/>
  <c r="X1737" i="7"/>
  <c r="Y1737" i="7"/>
  <c r="Z1737" i="7"/>
  <c r="AA1737" i="7"/>
  <c r="AB1737" i="7"/>
  <c r="AC1737" i="7"/>
  <c r="AD1737" i="7"/>
  <c r="AE1737" i="7"/>
  <c r="Q1738" i="7"/>
  <c r="R1738" i="7"/>
  <c r="S1738" i="7"/>
  <c r="T1738" i="7"/>
  <c r="U1738" i="7"/>
  <c r="V1738" i="7"/>
  <c r="W1738" i="7"/>
  <c r="X1738" i="7"/>
  <c r="Y1738" i="7"/>
  <c r="Z1738" i="7"/>
  <c r="AA1738" i="7"/>
  <c r="AB1738" i="7"/>
  <c r="AC1738" i="7"/>
  <c r="AD1738" i="7"/>
  <c r="AE1738" i="7"/>
  <c r="Q1739" i="7"/>
  <c r="R1739" i="7"/>
  <c r="S1739" i="7"/>
  <c r="T1739" i="7"/>
  <c r="U1739" i="7"/>
  <c r="V1739" i="7"/>
  <c r="W1739" i="7"/>
  <c r="X1739" i="7"/>
  <c r="Y1739" i="7"/>
  <c r="Z1739" i="7"/>
  <c r="AA1739" i="7"/>
  <c r="AB1739" i="7"/>
  <c r="AC1739" i="7"/>
  <c r="AD1739" i="7"/>
  <c r="AE1739" i="7"/>
  <c r="Q1740" i="7"/>
  <c r="R1740" i="7"/>
  <c r="S1740" i="7"/>
  <c r="T1740" i="7"/>
  <c r="U1740" i="7"/>
  <c r="V1740" i="7"/>
  <c r="W1740" i="7"/>
  <c r="X1740" i="7"/>
  <c r="Y1740" i="7"/>
  <c r="Z1740" i="7"/>
  <c r="AA1740" i="7"/>
  <c r="AB1740" i="7"/>
  <c r="AC1740" i="7"/>
  <c r="AD1740" i="7"/>
  <c r="AE1740" i="7"/>
  <c r="Q1741" i="7"/>
  <c r="R1741" i="7"/>
  <c r="S1741" i="7"/>
  <c r="T1741" i="7"/>
  <c r="U1741" i="7"/>
  <c r="V1741" i="7"/>
  <c r="W1741" i="7"/>
  <c r="X1741" i="7"/>
  <c r="Y1741" i="7"/>
  <c r="Z1741" i="7"/>
  <c r="AA1741" i="7"/>
  <c r="AB1741" i="7"/>
  <c r="AC1741" i="7"/>
  <c r="AD1741" i="7"/>
  <c r="AE1741" i="7"/>
  <c r="Q1742" i="7"/>
  <c r="R1742" i="7"/>
  <c r="S1742" i="7"/>
  <c r="T1742" i="7"/>
  <c r="U1742" i="7"/>
  <c r="V1742" i="7"/>
  <c r="W1742" i="7"/>
  <c r="X1742" i="7"/>
  <c r="Y1742" i="7"/>
  <c r="Z1742" i="7"/>
  <c r="AA1742" i="7"/>
  <c r="AB1742" i="7"/>
  <c r="AC1742" i="7"/>
  <c r="AD1742" i="7"/>
  <c r="AE1742" i="7"/>
  <c r="Q1743" i="7"/>
  <c r="R1743" i="7"/>
  <c r="S1743" i="7"/>
  <c r="T1743" i="7"/>
  <c r="U1743" i="7"/>
  <c r="V1743" i="7"/>
  <c r="W1743" i="7"/>
  <c r="X1743" i="7"/>
  <c r="Y1743" i="7"/>
  <c r="Z1743" i="7"/>
  <c r="AA1743" i="7"/>
  <c r="AB1743" i="7"/>
  <c r="AC1743" i="7"/>
  <c r="AD1743" i="7"/>
  <c r="AE1743" i="7"/>
  <c r="Q1744" i="7"/>
  <c r="R1744" i="7"/>
  <c r="S1744" i="7"/>
  <c r="T1744" i="7"/>
  <c r="U1744" i="7"/>
  <c r="V1744" i="7"/>
  <c r="W1744" i="7"/>
  <c r="X1744" i="7"/>
  <c r="Y1744" i="7"/>
  <c r="Z1744" i="7"/>
  <c r="AA1744" i="7"/>
  <c r="AB1744" i="7"/>
  <c r="AC1744" i="7"/>
  <c r="AD1744" i="7"/>
  <c r="AE1744" i="7"/>
  <c r="Q1745" i="7"/>
  <c r="R1745" i="7"/>
  <c r="S1745" i="7"/>
  <c r="T1745" i="7"/>
  <c r="U1745" i="7"/>
  <c r="V1745" i="7"/>
  <c r="W1745" i="7"/>
  <c r="X1745" i="7"/>
  <c r="Y1745" i="7"/>
  <c r="Z1745" i="7"/>
  <c r="AA1745" i="7"/>
  <c r="AB1745" i="7"/>
  <c r="AC1745" i="7"/>
  <c r="AD1745" i="7"/>
  <c r="AE1745" i="7"/>
  <c r="Q1746" i="7"/>
  <c r="R1746" i="7"/>
  <c r="S1746" i="7"/>
  <c r="T1746" i="7"/>
  <c r="U1746" i="7"/>
  <c r="V1746" i="7"/>
  <c r="W1746" i="7"/>
  <c r="X1746" i="7"/>
  <c r="Y1746" i="7"/>
  <c r="Z1746" i="7"/>
  <c r="AA1746" i="7"/>
  <c r="AB1746" i="7"/>
  <c r="AC1746" i="7"/>
  <c r="AD1746" i="7"/>
  <c r="AE1746" i="7"/>
  <c r="Q1747" i="7"/>
  <c r="R1747" i="7"/>
  <c r="S1747" i="7"/>
  <c r="T1747" i="7"/>
  <c r="U1747" i="7"/>
  <c r="V1747" i="7"/>
  <c r="W1747" i="7"/>
  <c r="X1747" i="7"/>
  <c r="Y1747" i="7"/>
  <c r="Z1747" i="7"/>
  <c r="AA1747" i="7"/>
  <c r="AB1747" i="7"/>
  <c r="AC1747" i="7"/>
  <c r="AD1747" i="7"/>
  <c r="AE1747" i="7"/>
  <c r="Q1748" i="7"/>
  <c r="R1748" i="7"/>
  <c r="S1748" i="7"/>
  <c r="T1748" i="7"/>
  <c r="U1748" i="7"/>
  <c r="V1748" i="7"/>
  <c r="W1748" i="7"/>
  <c r="X1748" i="7"/>
  <c r="Y1748" i="7"/>
  <c r="Z1748" i="7"/>
  <c r="AA1748" i="7"/>
  <c r="AB1748" i="7"/>
  <c r="AC1748" i="7"/>
  <c r="AD1748" i="7"/>
  <c r="AE1748" i="7"/>
  <c r="Q1749" i="7"/>
  <c r="R1749" i="7"/>
  <c r="S1749" i="7"/>
  <c r="T1749" i="7"/>
  <c r="U1749" i="7"/>
  <c r="V1749" i="7"/>
  <c r="W1749" i="7"/>
  <c r="X1749" i="7"/>
  <c r="Y1749" i="7"/>
  <c r="Z1749" i="7"/>
  <c r="AA1749" i="7"/>
  <c r="AB1749" i="7"/>
  <c r="AC1749" i="7"/>
  <c r="AD1749" i="7"/>
  <c r="AE1749" i="7"/>
  <c r="Q1750" i="7"/>
  <c r="R1750" i="7"/>
  <c r="S1750" i="7"/>
  <c r="T1750" i="7"/>
  <c r="U1750" i="7"/>
  <c r="V1750" i="7"/>
  <c r="W1750" i="7"/>
  <c r="X1750" i="7"/>
  <c r="Y1750" i="7"/>
  <c r="Z1750" i="7"/>
  <c r="AA1750" i="7"/>
  <c r="AB1750" i="7"/>
  <c r="AC1750" i="7"/>
  <c r="AD1750" i="7"/>
  <c r="AE1750" i="7"/>
  <c r="Q1751" i="7"/>
  <c r="R1751" i="7"/>
  <c r="S1751" i="7"/>
  <c r="T1751" i="7"/>
  <c r="U1751" i="7"/>
  <c r="V1751" i="7"/>
  <c r="W1751" i="7"/>
  <c r="X1751" i="7"/>
  <c r="Y1751" i="7"/>
  <c r="Z1751" i="7"/>
  <c r="AA1751" i="7"/>
  <c r="AB1751" i="7"/>
  <c r="AC1751" i="7"/>
  <c r="AD1751" i="7"/>
  <c r="AE1751" i="7"/>
  <c r="Q1752" i="7"/>
  <c r="R1752" i="7"/>
  <c r="S1752" i="7"/>
  <c r="T1752" i="7"/>
  <c r="U1752" i="7"/>
  <c r="V1752" i="7"/>
  <c r="W1752" i="7"/>
  <c r="X1752" i="7"/>
  <c r="Y1752" i="7"/>
  <c r="Z1752" i="7"/>
  <c r="AA1752" i="7"/>
  <c r="AB1752" i="7"/>
  <c r="AC1752" i="7"/>
  <c r="AD1752" i="7"/>
  <c r="AE1752" i="7"/>
  <c r="Q1753" i="7"/>
  <c r="R1753" i="7"/>
  <c r="S1753" i="7"/>
  <c r="T1753" i="7"/>
  <c r="U1753" i="7"/>
  <c r="V1753" i="7"/>
  <c r="W1753" i="7"/>
  <c r="X1753" i="7"/>
  <c r="Y1753" i="7"/>
  <c r="Z1753" i="7"/>
  <c r="AA1753" i="7"/>
  <c r="AB1753" i="7"/>
  <c r="AC1753" i="7"/>
  <c r="AD1753" i="7"/>
  <c r="AE1753" i="7"/>
  <c r="Q1754" i="7"/>
  <c r="R1754" i="7"/>
  <c r="S1754" i="7"/>
  <c r="T1754" i="7"/>
  <c r="U1754" i="7"/>
  <c r="V1754" i="7"/>
  <c r="W1754" i="7"/>
  <c r="X1754" i="7"/>
  <c r="Y1754" i="7"/>
  <c r="Z1754" i="7"/>
  <c r="AA1754" i="7"/>
  <c r="AB1754" i="7"/>
  <c r="AC1754" i="7"/>
  <c r="AD1754" i="7"/>
  <c r="AE1754" i="7"/>
  <c r="Q1755" i="7"/>
  <c r="R1755" i="7"/>
  <c r="S1755" i="7"/>
  <c r="T1755" i="7"/>
  <c r="U1755" i="7"/>
  <c r="V1755" i="7"/>
  <c r="W1755" i="7"/>
  <c r="X1755" i="7"/>
  <c r="Y1755" i="7"/>
  <c r="Z1755" i="7"/>
  <c r="AA1755" i="7"/>
  <c r="AB1755" i="7"/>
  <c r="AC1755" i="7"/>
  <c r="AD1755" i="7"/>
  <c r="AE1755" i="7"/>
  <c r="Q1756" i="7"/>
  <c r="R1756" i="7"/>
  <c r="S1756" i="7"/>
  <c r="T1756" i="7"/>
  <c r="U1756" i="7"/>
  <c r="V1756" i="7"/>
  <c r="W1756" i="7"/>
  <c r="X1756" i="7"/>
  <c r="Y1756" i="7"/>
  <c r="Z1756" i="7"/>
  <c r="AA1756" i="7"/>
  <c r="AB1756" i="7"/>
  <c r="AC1756" i="7"/>
  <c r="AD1756" i="7"/>
  <c r="AE1756" i="7"/>
  <c r="Q1757" i="7"/>
  <c r="R1757" i="7"/>
  <c r="S1757" i="7"/>
  <c r="T1757" i="7"/>
  <c r="U1757" i="7"/>
  <c r="V1757" i="7"/>
  <c r="W1757" i="7"/>
  <c r="X1757" i="7"/>
  <c r="Y1757" i="7"/>
  <c r="Z1757" i="7"/>
  <c r="AA1757" i="7"/>
  <c r="AB1757" i="7"/>
  <c r="AC1757" i="7"/>
  <c r="AD1757" i="7"/>
  <c r="AE1757" i="7"/>
  <c r="Q1758" i="7"/>
  <c r="R1758" i="7"/>
  <c r="S1758" i="7"/>
  <c r="T1758" i="7"/>
  <c r="U1758" i="7"/>
  <c r="V1758" i="7"/>
  <c r="W1758" i="7"/>
  <c r="X1758" i="7"/>
  <c r="Y1758" i="7"/>
  <c r="Z1758" i="7"/>
  <c r="AA1758" i="7"/>
  <c r="AB1758" i="7"/>
  <c r="AC1758" i="7"/>
  <c r="AD1758" i="7"/>
  <c r="AE1758" i="7"/>
  <c r="Q1759" i="7"/>
  <c r="R1759" i="7"/>
  <c r="S1759" i="7"/>
  <c r="T1759" i="7"/>
  <c r="U1759" i="7"/>
  <c r="V1759" i="7"/>
  <c r="W1759" i="7"/>
  <c r="X1759" i="7"/>
  <c r="Y1759" i="7"/>
  <c r="Z1759" i="7"/>
  <c r="AA1759" i="7"/>
  <c r="AB1759" i="7"/>
  <c r="AC1759" i="7"/>
  <c r="AD1759" i="7"/>
  <c r="AE1759" i="7"/>
  <c r="Q1760" i="7"/>
  <c r="R1760" i="7"/>
  <c r="S1760" i="7"/>
  <c r="T1760" i="7"/>
  <c r="U1760" i="7"/>
  <c r="V1760" i="7"/>
  <c r="W1760" i="7"/>
  <c r="X1760" i="7"/>
  <c r="Y1760" i="7"/>
  <c r="Z1760" i="7"/>
  <c r="AA1760" i="7"/>
  <c r="AB1760" i="7"/>
  <c r="AC1760" i="7"/>
  <c r="AD1760" i="7"/>
  <c r="AE1760" i="7"/>
  <c r="Q1761" i="7"/>
  <c r="R1761" i="7"/>
  <c r="S1761" i="7"/>
  <c r="T1761" i="7"/>
  <c r="U1761" i="7"/>
  <c r="V1761" i="7"/>
  <c r="W1761" i="7"/>
  <c r="X1761" i="7"/>
  <c r="Y1761" i="7"/>
  <c r="Z1761" i="7"/>
  <c r="AA1761" i="7"/>
  <c r="AB1761" i="7"/>
  <c r="AC1761" i="7"/>
  <c r="AD1761" i="7"/>
  <c r="AE1761" i="7"/>
  <c r="Q1762" i="7"/>
  <c r="R1762" i="7"/>
  <c r="S1762" i="7"/>
  <c r="T1762" i="7"/>
  <c r="U1762" i="7"/>
  <c r="V1762" i="7"/>
  <c r="W1762" i="7"/>
  <c r="X1762" i="7"/>
  <c r="Y1762" i="7"/>
  <c r="Z1762" i="7"/>
  <c r="AA1762" i="7"/>
  <c r="AB1762" i="7"/>
  <c r="AC1762" i="7"/>
  <c r="AD1762" i="7"/>
  <c r="AE1762" i="7"/>
  <c r="Q1763" i="7"/>
  <c r="R1763" i="7"/>
  <c r="S1763" i="7"/>
  <c r="T1763" i="7"/>
  <c r="U1763" i="7"/>
  <c r="V1763" i="7"/>
  <c r="W1763" i="7"/>
  <c r="X1763" i="7"/>
  <c r="Y1763" i="7"/>
  <c r="Z1763" i="7"/>
  <c r="AA1763" i="7"/>
  <c r="AB1763" i="7"/>
  <c r="AC1763" i="7"/>
  <c r="AD1763" i="7"/>
  <c r="AE1763" i="7"/>
  <c r="Q1764" i="7"/>
  <c r="R1764" i="7"/>
  <c r="S1764" i="7"/>
  <c r="T1764" i="7"/>
  <c r="U1764" i="7"/>
  <c r="V1764" i="7"/>
  <c r="W1764" i="7"/>
  <c r="X1764" i="7"/>
  <c r="Y1764" i="7"/>
  <c r="Z1764" i="7"/>
  <c r="AA1764" i="7"/>
  <c r="AB1764" i="7"/>
  <c r="AC1764" i="7"/>
  <c r="AD1764" i="7"/>
  <c r="AE1764" i="7"/>
  <c r="Q1765" i="7"/>
  <c r="R1765" i="7"/>
  <c r="S1765" i="7"/>
  <c r="T1765" i="7"/>
  <c r="U1765" i="7"/>
  <c r="V1765" i="7"/>
  <c r="W1765" i="7"/>
  <c r="X1765" i="7"/>
  <c r="Y1765" i="7"/>
  <c r="Z1765" i="7"/>
  <c r="AA1765" i="7"/>
  <c r="AB1765" i="7"/>
  <c r="AC1765" i="7"/>
  <c r="AD1765" i="7"/>
  <c r="AE1765" i="7"/>
  <c r="Q1766" i="7"/>
  <c r="R1766" i="7"/>
  <c r="S1766" i="7"/>
  <c r="T1766" i="7"/>
  <c r="U1766" i="7"/>
  <c r="V1766" i="7"/>
  <c r="W1766" i="7"/>
  <c r="X1766" i="7"/>
  <c r="Y1766" i="7"/>
  <c r="Z1766" i="7"/>
  <c r="AA1766" i="7"/>
  <c r="AB1766" i="7"/>
  <c r="AC1766" i="7"/>
  <c r="AD1766" i="7"/>
  <c r="AE1766" i="7"/>
  <c r="Q1767" i="7"/>
  <c r="R1767" i="7"/>
  <c r="S1767" i="7"/>
  <c r="T1767" i="7"/>
  <c r="U1767" i="7"/>
  <c r="V1767" i="7"/>
  <c r="W1767" i="7"/>
  <c r="X1767" i="7"/>
  <c r="Y1767" i="7"/>
  <c r="Z1767" i="7"/>
  <c r="AA1767" i="7"/>
  <c r="AB1767" i="7"/>
  <c r="AC1767" i="7"/>
  <c r="AD1767" i="7"/>
  <c r="AE1767" i="7"/>
  <c r="Q1768" i="7"/>
  <c r="R1768" i="7"/>
  <c r="S1768" i="7"/>
  <c r="T1768" i="7"/>
  <c r="U1768" i="7"/>
  <c r="V1768" i="7"/>
  <c r="W1768" i="7"/>
  <c r="X1768" i="7"/>
  <c r="Y1768" i="7"/>
  <c r="Z1768" i="7"/>
  <c r="AA1768" i="7"/>
  <c r="AB1768" i="7"/>
  <c r="AC1768" i="7"/>
  <c r="AD1768" i="7"/>
  <c r="AE1768" i="7"/>
  <c r="Q1769" i="7"/>
  <c r="R1769" i="7"/>
  <c r="S1769" i="7"/>
  <c r="T1769" i="7"/>
  <c r="U1769" i="7"/>
  <c r="V1769" i="7"/>
  <c r="W1769" i="7"/>
  <c r="X1769" i="7"/>
  <c r="Y1769" i="7"/>
  <c r="Z1769" i="7"/>
  <c r="AA1769" i="7"/>
  <c r="AB1769" i="7"/>
  <c r="AC1769" i="7"/>
  <c r="AD1769" i="7"/>
  <c r="AE1769" i="7"/>
  <c r="Q1770" i="7"/>
  <c r="R1770" i="7"/>
  <c r="S1770" i="7"/>
  <c r="T1770" i="7"/>
  <c r="U1770" i="7"/>
  <c r="V1770" i="7"/>
  <c r="W1770" i="7"/>
  <c r="X1770" i="7"/>
  <c r="Y1770" i="7"/>
  <c r="Z1770" i="7"/>
  <c r="AA1770" i="7"/>
  <c r="AB1770" i="7"/>
  <c r="AC1770" i="7"/>
  <c r="AD1770" i="7"/>
  <c r="AE1770" i="7"/>
  <c r="Q1771" i="7"/>
  <c r="R1771" i="7"/>
  <c r="S1771" i="7"/>
  <c r="T1771" i="7"/>
  <c r="U1771" i="7"/>
  <c r="V1771" i="7"/>
  <c r="W1771" i="7"/>
  <c r="X1771" i="7"/>
  <c r="Y1771" i="7"/>
  <c r="Z1771" i="7"/>
  <c r="AA1771" i="7"/>
  <c r="AB1771" i="7"/>
  <c r="AC1771" i="7"/>
  <c r="AD1771" i="7"/>
  <c r="AE1771" i="7"/>
  <c r="Q1772" i="7"/>
  <c r="R1772" i="7"/>
  <c r="S1772" i="7"/>
  <c r="T1772" i="7"/>
  <c r="U1772" i="7"/>
  <c r="V1772" i="7"/>
  <c r="W1772" i="7"/>
  <c r="X1772" i="7"/>
  <c r="Y1772" i="7"/>
  <c r="Z1772" i="7"/>
  <c r="AA1772" i="7"/>
  <c r="AB1772" i="7"/>
  <c r="AC1772" i="7"/>
  <c r="AD1772" i="7"/>
  <c r="AE1772" i="7"/>
  <c r="Q1773" i="7"/>
  <c r="R1773" i="7"/>
  <c r="S1773" i="7"/>
  <c r="T1773" i="7"/>
  <c r="U1773" i="7"/>
  <c r="V1773" i="7"/>
  <c r="W1773" i="7"/>
  <c r="X1773" i="7"/>
  <c r="Y1773" i="7"/>
  <c r="Z1773" i="7"/>
  <c r="AA1773" i="7"/>
  <c r="AB1773" i="7"/>
  <c r="AC1773" i="7"/>
  <c r="AD1773" i="7"/>
  <c r="AE1773" i="7"/>
  <c r="Q1774" i="7"/>
  <c r="R1774" i="7"/>
  <c r="S1774" i="7"/>
  <c r="T1774" i="7"/>
  <c r="U1774" i="7"/>
  <c r="V1774" i="7"/>
  <c r="W1774" i="7"/>
  <c r="X1774" i="7"/>
  <c r="Y1774" i="7"/>
  <c r="Z1774" i="7"/>
  <c r="AA1774" i="7"/>
  <c r="AB1774" i="7"/>
  <c r="AC1774" i="7"/>
  <c r="AD1774" i="7"/>
  <c r="AE1774" i="7"/>
  <c r="Q1775" i="7"/>
  <c r="R1775" i="7"/>
  <c r="S1775" i="7"/>
  <c r="T1775" i="7"/>
  <c r="U1775" i="7"/>
  <c r="V1775" i="7"/>
  <c r="W1775" i="7"/>
  <c r="X1775" i="7"/>
  <c r="Y1775" i="7"/>
  <c r="Z1775" i="7"/>
  <c r="AA1775" i="7"/>
  <c r="AB1775" i="7"/>
  <c r="AC1775" i="7"/>
  <c r="AD1775" i="7"/>
  <c r="AE1775" i="7"/>
  <c r="Q1776" i="7"/>
  <c r="R1776" i="7"/>
  <c r="S1776" i="7"/>
  <c r="T1776" i="7"/>
  <c r="U1776" i="7"/>
  <c r="V1776" i="7"/>
  <c r="W1776" i="7"/>
  <c r="X1776" i="7"/>
  <c r="Y1776" i="7"/>
  <c r="Z1776" i="7"/>
  <c r="AA1776" i="7"/>
  <c r="AB1776" i="7"/>
  <c r="AC1776" i="7"/>
  <c r="AD1776" i="7"/>
  <c r="AE1776" i="7"/>
  <c r="Q1777" i="7"/>
  <c r="R1777" i="7"/>
  <c r="S1777" i="7"/>
  <c r="T1777" i="7"/>
  <c r="U1777" i="7"/>
  <c r="V1777" i="7"/>
  <c r="W1777" i="7"/>
  <c r="X1777" i="7"/>
  <c r="Y1777" i="7"/>
  <c r="Z1777" i="7"/>
  <c r="AA1777" i="7"/>
  <c r="AB1777" i="7"/>
  <c r="AC1777" i="7"/>
  <c r="AD1777" i="7"/>
  <c r="AE1777" i="7"/>
  <c r="Q1778" i="7"/>
  <c r="R1778" i="7"/>
  <c r="S1778" i="7"/>
  <c r="T1778" i="7"/>
  <c r="U1778" i="7"/>
  <c r="V1778" i="7"/>
  <c r="W1778" i="7"/>
  <c r="X1778" i="7"/>
  <c r="Y1778" i="7"/>
  <c r="Z1778" i="7"/>
  <c r="AA1778" i="7"/>
  <c r="AB1778" i="7"/>
  <c r="AC1778" i="7"/>
  <c r="AD1778" i="7"/>
  <c r="AE1778" i="7"/>
  <c r="Q1779" i="7"/>
  <c r="R1779" i="7"/>
  <c r="S1779" i="7"/>
  <c r="T1779" i="7"/>
  <c r="U1779" i="7"/>
  <c r="V1779" i="7"/>
  <c r="W1779" i="7"/>
  <c r="X1779" i="7"/>
  <c r="Y1779" i="7"/>
  <c r="Z1779" i="7"/>
  <c r="AA1779" i="7"/>
  <c r="AB1779" i="7"/>
  <c r="AC1779" i="7"/>
  <c r="AD1779" i="7"/>
  <c r="AE1779" i="7"/>
  <c r="Q1780" i="7"/>
  <c r="R1780" i="7"/>
  <c r="S1780" i="7"/>
  <c r="T1780" i="7"/>
  <c r="U1780" i="7"/>
  <c r="V1780" i="7"/>
  <c r="W1780" i="7"/>
  <c r="X1780" i="7"/>
  <c r="Y1780" i="7"/>
  <c r="Z1780" i="7"/>
  <c r="AA1780" i="7"/>
  <c r="AB1780" i="7"/>
  <c r="AC1780" i="7"/>
  <c r="AD1780" i="7"/>
  <c r="AE1780" i="7"/>
  <c r="Q1781" i="7"/>
  <c r="R1781" i="7"/>
  <c r="S1781" i="7"/>
  <c r="T1781" i="7"/>
  <c r="U1781" i="7"/>
  <c r="V1781" i="7"/>
  <c r="W1781" i="7"/>
  <c r="X1781" i="7"/>
  <c r="Y1781" i="7"/>
  <c r="Z1781" i="7"/>
  <c r="AA1781" i="7"/>
  <c r="AB1781" i="7"/>
  <c r="AC1781" i="7"/>
  <c r="AD1781" i="7"/>
  <c r="AE1781" i="7"/>
  <c r="Q1782" i="7"/>
  <c r="R1782" i="7"/>
  <c r="S1782" i="7"/>
  <c r="T1782" i="7"/>
  <c r="U1782" i="7"/>
  <c r="V1782" i="7"/>
  <c r="W1782" i="7"/>
  <c r="X1782" i="7"/>
  <c r="Y1782" i="7"/>
  <c r="Z1782" i="7"/>
  <c r="AA1782" i="7"/>
  <c r="AB1782" i="7"/>
  <c r="AC1782" i="7"/>
  <c r="AD1782" i="7"/>
  <c r="AE1782" i="7"/>
  <c r="Q1783" i="7"/>
  <c r="R1783" i="7"/>
  <c r="S1783" i="7"/>
  <c r="T1783" i="7"/>
  <c r="U1783" i="7"/>
  <c r="V1783" i="7"/>
  <c r="W1783" i="7"/>
  <c r="X1783" i="7"/>
  <c r="Y1783" i="7"/>
  <c r="Z1783" i="7"/>
  <c r="AA1783" i="7"/>
  <c r="AB1783" i="7"/>
  <c r="AC1783" i="7"/>
  <c r="AD1783" i="7"/>
  <c r="AE1783" i="7"/>
  <c r="Q1784" i="7"/>
  <c r="R1784" i="7"/>
  <c r="S1784" i="7"/>
  <c r="T1784" i="7"/>
  <c r="U1784" i="7"/>
  <c r="V1784" i="7"/>
  <c r="W1784" i="7"/>
  <c r="X1784" i="7"/>
  <c r="Y1784" i="7"/>
  <c r="Z1784" i="7"/>
  <c r="AA1784" i="7"/>
  <c r="AB1784" i="7"/>
  <c r="AC1784" i="7"/>
  <c r="AD1784" i="7"/>
  <c r="AE1784" i="7"/>
  <c r="Q1785" i="7"/>
  <c r="R1785" i="7"/>
  <c r="S1785" i="7"/>
  <c r="T1785" i="7"/>
  <c r="U1785" i="7"/>
  <c r="V1785" i="7"/>
  <c r="W1785" i="7"/>
  <c r="X1785" i="7"/>
  <c r="Y1785" i="7"/>
  <c r="Z1785" i="7"/>
  <c r="AA1785" i="7"/>
  <c r="AB1785" i="7"/>
  <c r="AC1785" i="7"/>
  <c r="AD1785" i="7"/>
  <c r="AE1785" i="7"/>
  <c r="Q1786" i="7"/>
  <c r="R1786" i="7"/>
  <c r="S1786" i="7"/>
  <c r="T1786" i="7"/>
  <c r="U1786" i="7"/>
  <c r="V1786" i="7"/>
  <c r="W1786" i="7"/>
  <c r="X1786" i="7"/>
  <c r="Y1786" i="7"/>
  <c r="Z1786" i="7"/>
  <c r="AA1786" i="7"/>
  <c r="AB1786" i="7"/>
  <c r="AC1786" i="7"/>
  <c r="AD1786" i="7"/>
  <c r="AE1786" i="7"/>
  <c r="Q1787" i="7"/>
  <c r="R1787" i="7"/>
  <c r="S1787" i="7"/>
  <c r="T1787" i="7"/>
  <c r="U1787" i="7"/>
  <c r="V1787" i="7"/>
  <c r="W1787" i="7"/>
  <c r="X1787" i="7"/>
  <c r="Y1787" i="7"/>
  <c r="Z1787" i="7"/>
  <c r="AA1787" i="7"/>
  <c r="AB1787" i="7"/>
  <c r="AC1787" i="7"/>
  <c r="AD1787" i="7"/>
  <c r="AE1787" i="7"/>
  <c r="Q1788" i="7"/>
  <c r="R1788" i="7"/>
  <c r="S1788" i="7"/>
  <c r="T1788" i="7"/>
  <c r="U1788" i="7"/>
  <c r="V1788" i="7"/>
  <c r="W1788" i="7"/>
  <c r="X1788" i="7"/>
  <c r="Y1788" i="7"/>
  <c r="Z1788" i="7"/>
  <c r="AA1788" i="7"/>
  <c r="AB1788" i="7"/>
  <c r="AC1788" i="7"/>
  <c r="AD1788" i="7"/>
  <c r="AE1788" i="7"/>
  <c r="Q1789" i="7"/>
  <c r="R1789" i="7"/>
  <c r="S1789" i="7"/>
  <c r="T1789" i="7"/>
  <c r="U1789" i="7"/>
  <c r="V1789" i="7"/>
  <c r="W1789" i="7"/>
  <c r="X1789" i="7"/>
  <c r="Y1789" i="7"/>
  <c r="Z1789" i="7"/>
  <c r="AA1789" i="7"/>
  <c r="AB1789" i="7"/>
  <c r="AC1789" i="7"/>
  <c r="AD1789" i="7"/>
  <c r="AE1789" i="7"/>
  <c r="Q1790" i="7"/>
  <c r="R1790" i="7"/>
  <c r="S1790" i="7"/>
  <c r="T1790" i="7"/>
  <c r="U1790" i="7"/>
  <c r="V1790" i="7"/>
  <c r="W1790" i="7"/>
  <c r="X1790" i="7"/>
  <c r="Y1790" i="7"/>
  <c r="Z1790" i="7"/>
  <c r="AA1790" i="7"/>
  <c r="AB1790" i="7"/>
  <c r="AC1790" i="7"/>
  <c r="AD1790" i="7"/>
  <c r="AE1790" i="7"/>
  <c r="Q1791" i="7"/>
  <c r="R1791" i="7"/>
  <c r="S1791" i="7"/>
  <c r="T1791" i="7"/>
  <c r="U1791" i="7"/>
  <c r="V1791" i="7"/>
  <c r="W1791" i="7"/>
  <c r="X1791" i="7"/>
  <c r="Y1791" i="7"/>
  <c r="Z1791" i="7"/>
  <c r="AA1791" i="7"/>
  <c r="AB1791" i="7"/>
  <c r="AC1791" i="7"/>
  <c r="AD1791" i="7"/>
  <c r="AE1791" i="7"/>
  <c r="Q1792" i="7"/>
  <c r="R1792" i="7"/>
  <c r="S1792" i="7"/>
  <c r="T1792" i="7"/>
  <c r="U1792" i="7"/>
  <c r="V1792" i="7"/>
  <c r="W1792" i="7"/>
  <c r="X1792" i="7"/>
  <c r="Y1792" i="7"/>
  <c r="Z1792" i="7"/>
  <c r="AA1792" i="7"/>
  <c r="AB1792" i="7"/>
  <c r="AC1792" i="7"/>
  <c r="AD1792" i="7"/>
  <c r="AE1792" i="7"/>
  <c r="Q1793" i="7"/>
  <c r="R1793" i="7"/>
  <c r="S1793" i="7"/>
  <c r="T1793" i="7"/>
  <c r="U1793" i="7"/>
  <c r="V1793" i="7"/>
  <c r="W1793" i="7"/>
  <c r="X1793" i="7"/>
  <c r="Y1793" i="7"/>
  <c r="Z1793" i="7"/>
  <c r="AA1793" i="7"/>
  <c r="AB1793" i="7"/>
  <c r="AC1793" i="7"/>
  <c r="AD1793" i="7"/>
  <c r="AE1793" i="7"/>
  <c r="Q1794" i="7"/>
  <c r="R1794" i="7"/>
  <c r="S1794" i="7"/>
  <c r="T1794" i="7"/>
  <c r="U1794" i="7"/>
  <c r="V1794" i="7"/>
  <c r="W1794" i="7"/>
  <c r="X1794" i="7"/>
  <c r="Y1794" i="7"/>
  <c r="Z1794" i="7"/>
  <c r="AA1794" i="7"/>
  <c r="AB1794" i="7"/>
  <c r="AC1794" i="7"/>
  <c r="AD1794" i="7"/>
  <c r="AE1794" i="7"/>
  <c r="Q1795" i="7"/>
  <c r="R1795" i="7"/>
  <c r="S1795" i="7"/>
  <c r="T1795" i="7"/>
  <c r="U1795" i="7"/>
  <c r="V1795" i="7"/>
  <c r="W1795" i="7"/>
  <c r="X1795" i="7"/>
  <c r="Y1795" i="7"/>
  <c r="Z1795" i="7"/>
  <c r="AA1795" i="7"/>
  <c r="AB1795" i="7"/>
  <c r="AC1795" i="7"/>
  <c r="AD1795" i="7"/>
  <c r="AE1795" i="7"/>
  <c r="Q1796" i="7"/>
  <c r="R1796" i="7"/>
  <c r="S1796" i="7"/>
  <c r="T1796" i="7"/>
  <c r="U1796" i="7"/>
  <c r="V1796" i="7"/>
  <c r="W1796" i="7"/>
  <c r="X1796" i="7"/>
  <c r="Y1796" i="7"/>
  <c r="Z1796" i="7"/>
  <c r="AA1796" i="7"/>
  <c r="AB1796" i="7"/>
  <c r="AC1796" i="7"/>
  <c r="AD1796" i="7"/>
  <c r="AE1796" i="7"/>
  <c r="Q1797" i="7"/>
  <c r="R1797" i="7"/>
  <c r="S1797" i="7"/>
  <c r="T1797" i="7"/>
  <c r="U1797" i="7"/>
  <c r="V1797" i="7"/>
  <c r="W1797" i="7"/>
  <c r="X1797" i="7"/>
  <c r="Y1797" i="7"/>
  <c r="Z1797" i="7"/>
  <c r="AA1797" i="7"/>
  <c r="AB1797" i="7"/>
  <c r="AC1797" i="7"/>
  <c r="AD1797" i="7"/>
  <c r="AE1797" i="7"/>
  <c r="Q1798" i="7"/>
  <c r="R1798" i="7"/>
  <c r="S1798" i="7"/>
  <c r="T1798" i="7"/>
  <c r="U1798" i="7"/>
  <c r="V1798" i="7"/>
  <c r="W1798" i="7"/>
  <c r="X1798" i="7"/>
  <c r="Y1798" i="7"/>
  <c r="Z1798" i="7"/>
  <c r="AA1798" i="7"/>
  <c r="AB1798" i="7"/>
  <c r="AC1798" i="7"/>
  <c r="AD1798" i="7"/>
  <c r="AE1798" i="7"/>
  <c r="Q1799" i="7"/>
  <c r="R1799" i="7"/>
  <c r="S1799" i="7"/>
  <c r="T1799" i="7"/>
  <c r="U1799" i="7"/>
  <c r="V1799" i="7"/>
  <c r="W1799" i="7"/>
  <c r="X1799" i="7"/>
  <c r="Y1799" i="7"/>
  <c r="Z1799" i="7"/>
  <c r="AA1799" i="7"/>
  <c r="AB1799" i="7"/>
  <c r="AC1799" i="7"/>
  <c r="AD1799" i="7"/>
  <c r="AE1799" i="7"/>
  <c r="Q1800" i="7"/>
  <c r="R1800" i="7"/>
  <c r="S1800" i="7"/>
  <c r="T1800" i="7"/>
  <c r="U1800" i="7"/>
  <c r="V1800" i="7"/>
  <c r="W1800" i="7"/>
  <c r="X1800" i="7"/>
  <c r="Y1800" i="7"/>
  <c r="Z1800" i="7"/>
  <c r="AA1800" i="7"/>
  <c r="AB1800" i="7"/>
  <c r="AC1800" i="7"/>
  <c r="AD1800" i="7"/>
  <c r="AE1800" i="7"/>
  <c r="Q1801" i="7"/>
  <c r="R1801" i="7"/>
  <c r="S1801" i="7"/>
  <c r="T1801" i="7"/>
  <c r="U1801" i="7"/>
  <c r="V1801" i="7"/>
  <c r="W1801" i="7"/>
  <c r="X1801" i="7"/>
  <c r="Y1801" i="7"/>
  <c r="Z1801" i="7"/>
  <c r="AA1801" i="7"/>
  <c r="AB1801" i="7"/>
  <c r="AC1801" i="7"/>
  <c r="AD1801" i="7"/>
  <c r="AE1801" i="7"/>
  <c r="Q1802" i="7"/>
  <c r="R1802" i="7"/>
  <c r="S1802" i="7"/>
  <c r="T1802" i="7"/>
  <c r="U1802" i="7"/>
  <c r="V1802" i="7"/>
  <c r="W1802" i="7"/>
  <c r="X1802" i="7"/>
  <c r="Y1802" i="7"/>
  <c r="Z1802" i="7"/>
  <c r="AA1802" i="7"/>
  <c r="AB1802" i="7"/>
  <c r="AC1802" i="7"/>
  <c r="AD1802" i="7"/>
  <c r="AE1802" i="7"/>
  <c r="Q1803" i="7"/>
  <c r="R1803" i="7"/>
  <c r="S1803" i="7"/>
  <c r="T1803" i="7"/>
  <c r="U1803" i="7"/>
  <c r="V1803" i="7"/>
  <c r="W1803" i="7"/>
  <c r="X1803" i="7"/>
  <c r="Y1803" i="7"/>
  <c r="Z1803" i="7"/>
  <c r="AA1803" i="7"/>
  <c r="AB1803" i="7"/>
  <c r="AC1803" i="7"/>
  <c r="AD1803" i="7"/>
  <c r="AE1803" i="7"/>
  <c r="Q1804" i="7"/>
  <c r="R1804" i="7"/>
  <c r="S1804" i="7"/>
  <c r="T1804" i="7"/>
  <c r="U1804" i="7"/>
  <c r="V1804" i="7"/>
  <c r="W1804" i="7"/>
  <c r="X1804" i="7"/>
  <c r="Y1804" i="7"/>
  <c r="Z1804" i="7"/>
  <c r="AA1804" i="7"/>
  <c r="AB1804" i="7"/>
  <c r="AC1804" i="7"/>
  <c r="AD1804" i="7"/>
  <c r="AE1804" i="7"/>
  <c r="Q1805" i="7"/>
  <c r="R1805" i="7"/>
  <c r="S1805" i="7"/>
  <c r="T1805" i="7"/>
  <c r="U1805" i="7"/>
  <c r="V1805" i="7"/>
  <c r="W1805" i="7"/>
  <c r="X1805" i="7"/>
  <c r="Y1805" i="7"/>
  <c r="Z1805" i="7"/>
  <c r="AA1805" i="7"/>
  <c r="AB1805" i="7"/>
  <c r="AC1805" i="7"/>
  <c r="AD1805" i="7"/>
  <c r="AE1805" i="7"/>
  <c r="Q1806" i="7"/>
  <c r="R1806" i="7"/>
  <c r="S1806" i="7"/>
  <c r="T1806" i="7"/>
  <c r="U1806" i="7"/>
  <c r="V1806" i="7"/>
  <c r="W1806" i="7"/>
  <c r="X1806" i="7"/>
  <c r="Y1806" i="7"/>
  <c r="Z1806" i="7"/>
  <c r="AA1806" i="7"/>
  <c r="AB1806" i="7"/>
  <c r="AC1806" i="7"/>
  <c r="AD1806" i="7"/>
  <c r="AE1806" i="7"/>
  <c r="Q1807" i="7"/>
  <c r="R1807" i="7"/>
  <c r="S1807" i="7"/>
  <c r="T1807" i="7"/>
  <c r="U1807" i="7"/>
  <c r="V1807" i="7"/>
  <c r="W1807" i="7"/>
  <c r="X1807" i="7"/>
  <c r="Y1807" i="7"/>
  <c r="Z1807" i="7"/>
  <c r="AA1807" i="7"/>
  <c r="AB1807" i="7"/>
  <c r="AC1807" i="7"/>
  <c r="AD1807" i="7"/>
  <c r="AE1807" i="7"/>
  <c r="Q1808" i="7"/>
  <c r="R1808" i="7"/>
  <c r="S1808" i="7"/>
  <c r="T1808" i="7"/>
  <c r="U1808" i="7"/>
  <c r="V1808" i="7"/>
  <c r="W1808" i="7"/>
  <c r="X1808" i="7"/>
  <c r="Y1808" i="7"/>
  <c r="Z1808" i="7"/>
  <c r="AA1808" i="7"/>
  <c r="AB1808" i="7"/>
  <c r="AC1808" i="7"/>
  <c r="AD1808" i="7"/>
  <c r="AE1808" i="7"/>
  <c r="Q1809" i="7"/>
  <c r="R1809" i="7"/>
  <c r="S1809" i="7"/>
  <c r="T1809" i="7"/>
  <c r="U1809" i="7"/>
  <c r="V1809" i="7"/>
  <c r="W1809" i="7"/>
  <c r="X1809" i="7"/>
  <c r="Y1809" i="7"/>
  <c r="Z1809" i="7"/>
  <c r="AA1809" i="7"/>
  <c r="AB1809" i="7"/>
  <c r="AC1809" i="7"/>
  <c r="AD1809" i="7"/>
  <c r="AE1809" i="7"/>
  <c r="Q1810" i="7"/>
  <c r="R1810" i="7"/>
  <c r="S1810" i="7"/>
  <c r="T1810" i="7"/>
  <c r="U1810" i="7"/>
  <c r="V1810" i="7"/>
  <c r="W1810" i="7"/>
  <c r="X1810" i="7"/>
  <c r="Y1810" i="7"/>
  <c r="Z1810" i="7"/>
  <c r="AA1810" i="7"/>
  <c r="AB1810" i="7"/>
  <c r="AC1810" i="7"/>
  <c r="AD1810" i="7"/>
  <c r="AE1810" i="7"/>
  <c r="Q1811" i="7"/>
  <c r="R1811" i="7"/>
  <c r="S1811" i="7"/>
  <c r="T1811" i="7"/>
  <c r="U1811" i="7"/>
  <c r="V1811" i="7"/>
  <c r="W1811" i="7"/>
  <c r="X1811" i="7"/>
  <c r="Y1811" i="7"/>
  <c r="Z1811" i="7"/>
  <c r="AA1811" i="7"/>
  <c r="AB1811" i="7"/>
  <c r="AC1811" i="7"/>
  <c r="AD1811" i="7"/>
  <c r="AE1811" i="7"/>
  <c r="Q1812" i="7"/>
  <c r="R1812" i="7"/>
  <c r="S1812" i="7"/>
  <c r="T1812" i="7"/>
  <c r="U1812" i="7"/>
  <c r="V1812" i="7"/>
  <c r="W1812" i="7"/>
  <c r="X1812" i="7"/>
  <c r="Y1812" i="7"/>
  <c r="Z1812" i="7"/>
  <c r="AA1812" i="7"/>
  <c r="AB1812" i="7"/>
  <c r="AC1812" i="7"/>
  <c r="AD1812" i="7"/>
  <c r="AE1812" i="7"/>
  <c r="Q1813" i="7"/>
  <c r="R1813" i="7"/>
  <c r="S1813" i="7"/>
  <c r="T1813" i="7"/>
  <c r="U1813" i="7"/>
  <c r="V1813" i="7"/>
  <c r="W1813" i="7"/>
  <c r="X1813" i="7"/>
  <c r="Y1813" i="7"/>
  <c r="Z1813" i="7"/>
  <c r="AA1813" i="7"/>
  <c r="AB1813" i="7"/>
  <c r="AC1813" i="7"/>
  <c r="AD1813" i="7"/>
  <c r="AE1813" i="7"/>
  <c r="Q1814" i="7"/>
  <c r="R1814" i="7"/>
  <c r="S1814" i="7"/>
  <c r="T1814" i="7"/>
  <c r="U1814" i="7"/>
  <c r="V1814" i="7"/>
  <c r="W1814" i="7"/>
  <c r="X1814" i="7"/>
  <c r="Y1814" i="7"/>
  <c r="Z1814" i="7"/>
  <c r="AA1814" i="7"/>
  <c r="AB1814" i="7"/>
  <c r="AC1814" i="7"/>
  <c r="AD1814" i="7"/>
  <c r="AE1814" i="7"/>
  <c r="Q1815" i="7"/>
  <c r="R1815" i="7"/>
  <c r="S1815" i="7"/>
  <c r="T1815" i="7"/>
  <c r="U1815" i="7"/>
  <c r="V1815" i="7"/>
  <c r="W1815" i="7"/>
  <c r="X1815" i="7"/>
  <c r="Y1815" i="7"/>
  <c r="Z1815" i="7"/>
  <c r="AA1815" i="7"/>
  <c r="AB1815" i="7"/>
  <c r="AC1815" i="7"/>
  <c r="AD1815" i="7"/>
  <c r="AE1815" i="7"/>
  <c r="Q1816" i="7"/>
  <c r="R1816" i="7"/>
  <c r="S1816" i="7"/>
  <c r="T1816" i="7"/>
  <c r="U1816" i="7"/>
  <c r="V1816" i="7"/>
  <c r="W1816" i="7"/>
  <c r="X1816" i="7"/>
  <c r="Y1816" i="7"/>
  <c r="Z1816" i="7"/>
  <c r="AA1816" i="7"/>
  <c r="AB1816" i="7"/>
  <c r="AC1816" i="7"/>
  <c r="AD1816" i="7"/>
  <c r="AE1816" i="7"/>
  <c r="Q1817" i="7"/>
  <c r="R1817" i="7"/>
  <c r="S1817" i="7"/>
  <c r="T1817" i="7"/>
  <c r="U1817" i="7"/>
  <c r="V1817" i="7"/>
  <c r="W1817" i="7"/>
  <c r="X1817" i="7"/>
  <c r="Y1817" i="7"/>
  <c r="Z1817" i="7"/>
  <c r="AA1817" i="7"/>
  <c r="AB1817" i="7"/>
  <c r="AC1817" i="7"/>
  <c r="AD1817" i="7"/>
  <c r="AE1817" i="7"/>
  <c r="Q1818" i="7"/>
  <c r="R1818" i="7"/>
  <c r="S1818" i="7"/>
  <c r="T1818" i="7"/>
  <c r="U1818" i="7"/>
  <c r="V1818" i="7"/>
  <c r="W1818" i="7"/>
  <c r="X1818" i="7"/>
  <c r="Y1818" i="7"/>
  <c r="Z1818" i="7"/>
  <c r="AA1818" i="7"/>
  <c r="AB1818" i="7"/>
  <c r="AC1818" i="7"/>
  <c r="AD1818" i="7"/>
  <c r="AE1818" i="7"/>
  <c r="Q1819" i="7"/>
  <c r="R1819" i="7"/>
  <c r="S1819" i="7"/>
  <c r="T1819" i="7"/>
  <c r="U1819" i="7"/>
  <c r="V1819" i="7"/>
  <c r="W1819" i="7"/>
  <c r="X1819" i="7"/>
  <c r="Y1819" i="7"/>
  <c r="Z1819" i="7"/>
  <c r="AA1819" i="7"/>
  <c r="AB1819" i="7"/>
  <c r="AC1819" i="7"/>
  <c r="AD1819" i="7"/>
  <c r="AE1819" i="7"/>
  <c r="Q1820" i="7"/>
  <c r="R1820" i="7"/>
  <c r="S1820" i="7"/>
  <c r="T1820" i="7"/>
  <c r="U1820" i="7"/>
  <c r="V1820" i="7"/>
  <c r="W1820" i="7"/>
  <c r="X1820" i="7"/>
  <c r="Y1820" i="7"/>
  <c r="Z1820" i="7"/>
  <c r="AA1820" i="7"/>
  <c r="AB1820" i="7"/>
  <c r="AC1820" i="7"/>
  <c r="AD1820" i="7"/>
  <c r="AE1820" i="7"/>
  <c r="Q1821" i="7"/>
  <c r="R1821" i="7"/>
  <c r="S1821" i="7"/>
  <c r="T1821" i="7"/>
  <c r="U1821" i="7"/>
  <c r="V1821" i="7"/>
  <c r="W1821" i="7"/>
  <c r="X1821" i="7"/>
  <c r="Y1821" i="7"/>
  <c r="Z1821" i="7"/>
  <c r="AA1821" i="7"/>
  <c r="AB1821" i="7"/>
  <c r="AC1821" i="7"/>
  <c r="AD1821" i="7"/>
  <c r="AE1821" i="7"/>
  <c r="Q1822" i="7"/>
  <c r="R1822" i="7"/>
  <c r="S1822" i="7"/>
  <c r="T1822" i="7"/>
  <c r="U1822" i="7"/>
  <c r="V1822" i="7"/>
  <c r="W1822" i="7"/>
  <c r="X1822" i="7"/>
  <c r="Y1822" i="7"/>
  <c r="Z1822" i="7"/>
  <c r="AA1822" i="7"/>
  <c r="AB1822" i="7"/>
  <c r="AC1822" i="7"/>
  <c r="AD1822" i="7"/>
  <c r="AE1822" i="7"/>
  <c r="Q1823" i="7"/>
  <c r="R1823" i="7"/>
  <c r="S1823" i="7"/>
  <c r="T1823" i="7"/>
  <c r="U1823" i="7"/>
  <c r="V1823" i="7"/>
  <c r="W1823" i="7"/>
  <c r="X1823" i="7"/>
  <c r="Y1823" i="7"/>
  <c r="Z1823" i="7"/>
  <c r="AA1823" i="7"/>
  <c r="AB1823" i="7"/>
  <c r="AC1823" i="7"/>
  <c r="AD1823" i="7"/>
  <c r="AE1823" i="7"/>
  <c r="Q1824" i="7"/>
  <c r="R1824" i="7"/>
  <c r="S1824" i="7"/>
  <c r="T1824" i="7"/>
  <c r="U1824" i="7"/>
  <c r="V1824" i="7"/>
  <c r="W1824" i="7"/>
  <c r="X1824" i="7"/>
  <c r="Y1824" i="7"/>
  <c r="Z1824" i="7"/>
  <c r="AA1824" i="7"/>
  <c r="AB1824" i="7"/>
  <c r="AC1824" i="7"/>
  <c r="AD1824" i="7"/>
  <c r="AE1824" i="7"/>
  <c r="Q1825" i="7"/>
  <c r="R1825" i="7"/>
  <c r="S1825" i="7"/>
  <c r="T1825" i="7"/>
  <c r="U1825" i="7"/>
  <c r="V1825" i="7"/>
  <c r="W1825" i="7"/>
  <c r="X1825" i="7"/>
  <c r="Y1825" i="7"/>
  <c r="Z1825" i="7"/>
  <c r="AA1825" i="7"/>
  <c r="AB1825" i="7"/>
  <c r="AC1825" i="7"/>
  <c r="AD1825" i="7"/>
  <c r="AE1825" i="7"/>
  <c r="Q1826" i="7"/>
  <c r="R1826" i="7"/>
  <c r="S1826" i="7"/>
  <c r="T1826" i="7"/>
  <c r="U1826" i="7"/>
  <c r="V1826" i="7"/>
  <c r="W1826" i="7"/>
  <c r="X1826" i="7"/>
  <c r="Y1826" i="7"/>
  <c r="Z1826" i="7"/>
  <c r="AA1826" i="7"/>
  <c r="AB1826" i="7"/>
  <c r="AC1826" i="7"/>
  <c r="AD1826" i="7"/>
  <c r="AE1826" i="7"/>
  <c r="Q1827" i="7"/>
  <c r="R1827" i="7"/>
  <c r="S1827" i="7"/>
  <c r="T1827" i="7"/>
  <c r="U1827" i="7"/>
  <c r="V1827" i="7"/>
  <c r="W1827" i="7"/>
  <c r="X1827" i="7"/>
  <c r="Y1827" i="7"/>
  <c r="Z1827" i="7"/>
  <c r="AA1827" i="7"/>
  <c r="AB1827" i="7"/>
  <c r="AC1827" i="7"/>
  <c r="AD1827" i="7"/>
  <c r="AE1827" i="7"/>
  <c r="Q1828" i="7"/>
  <c r="R1828" i="7"/>
  <c r="S1828" i="7"/>
  <c r="T1828" i="7"/>
  <c r="U1828" i="7"/>
  <c r="V1828" i="7"/>
  <c r="W1828" i="7"/>
  <c r="X1828" i="7"/>
  <c r="Y1828" i="7"/>
  <c r="Z1828" i="7"/>
  <c r="AA1828" i="7"/>
  <c r="AB1828" i="7"/>
  <c r="AC1828" i="7"/>
  <c r="AD1828" i="7"/>
  <c r="AE1828" i="7"/>
  <c r="Q1829" i="7"/>
  <c r="R1829" i="7"/>
  <c r="S1829" i="7"/>
  <c r="T1829" i="7"/>
  <c r="U1829" i="7"/>
  <c r="V1829" i="7"/>
  <c r="W1829" i="7"/>
  <c r="X1829" i="7"/>
  <c r="Y1829" i="7"/>
  <c r="Z1829" i="7"/>
  <c r="AA1829" i="7"/>
  <c r="AB1829" i="7"/>
  <c r="AC1829" i="7"/>
  <c r="AD1829" i="7"/>
  <c r="AE1829" i="7"/>
  <c r="Q1830" i="7"/>
  <c r="R1830" i="7"/>
  <c r="S1830" i="7"/>
  <c r="T1830" i="7"/>
  <c r="U1830" i="7"/>
  <c r="V1830" i="7"/>
  <c r="W1830" i="7"/>
  <c r="X1830" i="7"/>
  <c r="Y1830" i="7"/>
  <c r="Z1830" i="7"/>
  <c r="AA1830" i="7"/>
  <c r="AB1830" i="7"/>
  <c r="AC1830" i="7"/>
  <c r="AD1830" i="7"/>
  <c r="AE1830" i="7"/>
  <c r="Q1831" i="7"/>
  <c r="R1831" i="7"/>
  <c r="S1831" i="7"/>
  <c r="T1831" i="7"/>
  <c r="U1831" i="7"/>
  <c r="V1831" i="7"/>
  <c r="W1831" i="7"/>
  <c r="X1831" i="7"/>
  <c r="Y1831" i="7"/>
  <c r="Z1831" i="7"/>
  <c r="AA1831" i="7"/>
  <c r="AB1831" i="7"/>
  <c r="AC1831" i="7"/>
  <c r="AD1831" i="7"/>
  <c r="AE1831" i="7"/>
  <c r="Q1832" i="7"/>
  <c r="R1832" i="7"/>
  <c r="S1832" i="7"/>
  <c r="T1832" i="7"/>
  <c r="U1832" i="7"/>
  <c r="V1832" i="7"/>
  <c r="W1832" i="7"/>
  <c r="X1832" i="7"/>
  <c r="Y1832" i="7"/>
  <c r="Z1832" i="7"/>
  <c r="AA1832" i="7"/>
  <c r="AB1832" i="7"/>
  <c r="AC1832" i="7"/>
  <c r="AD1832" i="7"/>
  <c r="AE1832" i="7"/>
  <c r="Q1833" i="7"/>
  <c r="R1833" i="7"/>
  <c r="S1833" i="7"/>
  <c r="T1833" i="7"/>
  <c r="U1833" i="7"/>
  <c r="V1833" i="7"/>
  <c r="W1833" i="7"/>
  <c r="X1833" i="7"/>
  <c r="Y1833" i="7"/>
  <c r="Z1833" i="7"/>
  <c r="AA1833" i="7"/>
  <c r="AB1833" i="7"/>
  <c r="AC1833" i="7"/>
  <c r="AD1833" i="7"/>
  <c r="AE1833" i="7"/>
  <c r="Q1834" i="7"/>
  <c r="R1834" i="7"/>
  <c r="S1834" i="7"/>
  <c r="T1834" i="7"/>
  <c r="U1834" i="7"/>
  <c r="V1834" i="7"/>
  <c r="W1834" i="7"/>
  <c r="X1834" i="7"/>
  <c r="Y1834" i="7"/>
  <c r="Z1834" i="7"/>
  <c r="AA1834" i="7"/>
  <c r="AB1834" i="7"/>
  <c r="AC1834" i="7"/>
  <c r="AD1834" i="7"/>
  <c r="AE1834" i="7"/>
  <c r="Q1835" i="7"/>
  <c r="R1835" i="7"/>
  <c r="S1835" i="7"/>
  <c r="T1835" i="7"/>
  <c r="U1835" i="7"/>
  <c r="V1835" i="7"/>
  <c r="W1835" i="7"/>
  <c r="X1835" i="7"/>
  <c r="Y1835" i="7"/>
  <c r="Z1835" i="7"/>
  <c r="AA1835" i="7"/>
  <c r="AB1835" i="7"/>
  <c r="AC1835" i="7"/>
  <c r="AD1835" i="7"/>
  <c r="AE1835" i="7"/>
  <c r="Q1836" i="7"/>
  <c r="R1836" i="7"/>
  <c r="S1836" i="7"/>
  <c r="T1836" i="7"/>
  <c r="U1836" i="7"/>
  <c r="V1836" i="7"/>
  <c r="W1836" i="7"/>
  <c r="X1836" i="7"/>
  <c r="Y1836" i="7"/>
  <c r="Z1836" i="7"/>
  <c r="AA1836" i="7"/>
  <c r="AB1836" i="7"/>
  <c r="AC1836" i="7"/>
  <c r="AD1836" i="7"/>
  <c r="AE1836" i="7"/>
  <c r="Q1837" i="7"/>
  <c r="R1837" i="7"/>
  <c r="S1837" i="7"/>
  <c r="T1837" i="7"/>
  <c r="U1837" i="7"/>
  <c r="V1837" i="7"/>
  <c r="W1837" i="7"/>
  <c r="X1837" i="7"/>
  <c r="Y1837" i="7"/>
  <c r="Z1837" i="7"/>
  <c r="AA1837" i="7"/>
  <c r="AB1837" i="7"/>
  <c r="AC1837" i="7"/>
  <c r="AD1837" i="7"/>
  <c r="AE1837" i="7"/>
  <c r="Q1838" i="7"/>
  <c r="R1838" i="7"/>
  <c r="S1838" i="7"/>
  <c r="T1838" i="7"/>
  <c r="U1838" i="7"/>
  <c r="V1838" i="7"/>
  <c r="W1838" i="7"/>
  <c r="X1838" i="7"/>
  <c r="Y1838" i="7"/>
  <c r="Z1838" i="7"/>
  <c r="AA1838" i="7"/>
  <c r="AB1838" i="7"/>
  <c r="AC1838" i="7"/>
  <c r="AD1838" i="7"/>
  <c r="AE1838" i="7"/>
  <c r="Q1839" i="7"/>
  <c r="R1839" i="7"/>
  <c r="S1839" i="7"/>
  <c r="T1839" i="7"/>
  <c r="U1839" i="7"/>
  <c r="V1839" i="7"/>
  <c r="W1839" i="7"/>
  <c r="X1839" i="7"/>
  <c r="Y1839" i="7"/>
  <c r="Z1839" i="7"/>
  <c r="AA1839" i="7"/>
  <c r="AB1839" i="7"/>
  <c r="AC1839" i="7"/>
  <c r="AD1839" i="7"/>
  <c r="AE1839" i="7"/>
  <c r="Q1840" i="7"/>
  <c r="R1840" i="7"/>
  <c r="S1840" i="7"/>
  <c r="T1840" i="7"/>
  <c r="U1840" i="7"/>
  <c r="V1840" i="7"/>
  <c r="W1840" i="7"/>
  <c r="X1840" i="7"/>
  <c r="Y1840" i="7"/>
  <c r="Z1840" i="7"/>
  <c r="AA1840" i="7"/>
  <c r="AB1840" i="7"/>
  <c r="AC1840" i="7"/>
  <c r="AD1840" i="7"/>
  <c r="AE1840" i="7"/>
  <c r="Q1841" i="7"/>
  <c r="R1841" i="7"/>
  <c r="S1841" i="7"/>
  <c r="T1841" i="7"/>
  <c r="U1841" i="7"/>
  <c r="V1841" i="7"/>
  <c r="W1841" i="7"/>
  <c r="X1841" i="7"/>
  <c r="Y1841" i="7"/>
  <c r="Z1841" i="7"/>
  <c r="AA1841" i="7"/>
  <c r="AB1841" i="7"/>
  <c r="AC1841" i="7"/>
  <c r="AD1841" i="7"/>
  <c r="AE1841" i="7"/>
  <c r="Q1842" i="7"/>
  <c r="R1842" i="7"/>
  <c r="S1842" i="7"/>
  <c r="T1842" i="7"/>
  <c r="U1842" i="7"/>
  <c r="V1842" i="7"/>
  <c r="W1842" i="7"/>
  <c r="X1842" i="7"/>
  <c r="Y1842" i="7"/>
  <c r="Z1842" i="7"/>
  <c r="AA1842" i="7"/>
  <c r="AB1842" i="7"/>
  <c r="AC1842" i="7"/>
  <c r="AD1842" i="7"/>
  <c r="AE1842" i="7"/>
  <c r="Q1843" i="7"/>
  <c r="R1843" i="7"/>
  <c r="S1843" i="7"/>
  <c r="T1843" i="7"/>
  <c r="U1843" i="7"/>
  <c r="V1843" i="7"/>
  <c r="W1843" i="7"/>
  <c r="X1843" i="7"/>
  <c r="Y1843" i="7"/>
  <c r="Z1843" i="7"/>
  <c r="AA1843" i="7"/>
  <c r="AB1843" i="7"/>
  <c r="AC1843" i="7"/>
  <c r="AD1843" i="7"/>
  <c r="AE1843" i="7"/>
  <c r="Q1844" i="7"/>
  <c r="R1844" i="7"/>
  <c r="S1844" i="7"/>
  <c r="T1844" i="7"/>
  <c r="U1844" i="7"/>
  <c r="V1844" i="7"/>
  <c r="W1844" i="7"/>
  <c r="X1844" i="7"/>
  <c r="Y1844" i="7"/>
  <c r="Z1844" i="7"/>
  <c r="AA1844" i="7"/>
  <c r="AB1844" i="7"/>
  <c r="AC1844" i="7"/>
  <c r="AD1844" i="7"/>
  <c r="AE1844" i="7"/>
  <c r="Q1845" i="7"/>
  <c r="R1845" i="7"/>
  <c r="S1845" i="7"/>
  <c r="T1845" i="7"/>
  <c r="U1845" i="7"/>
  <c r="V1845" i="7"/>
  <c r="W1845" i="7"/>
  <c r="X1845" i="7"/>
  <c r="Y1845" i="7"/>
  <c r="Z1845" i="7"/>
  <c r="AA1845" i="7"/>
  <c r="AB1845" i="7"/>
  <c r="AC1845" i="7"/>
  <c r="AD1845" i="7"/>
  <c r="AE1845" i="7"/>
  <c r="Q1846" i="7"/>
  <c r="R1846" i="7"/>
  <c r="S1846" i="7"/>
  <c r="T1846" i="7"/>
  <c r="U1846" i="7"/>
  <c r="V1846" i="7"/>
  <c r="W1846" i="7"/>
  <c r="X1846" i="7"/>
  <c r="Y1846" i="7"/>
  <c r="Z1846" i="7"/>
  <c r="AA1846" i="7"/>
  <c r="AB1846" i="7"/>
  <c r="AC1846" i="7"/>
  <c r="AD1846" i="7"/>
  <c r="AE1846" i="7"/>
  <c r="Q1847" i="7"/>
  <c r="R1847" i="7"/>
  <c r="S1847" i="7"/>
  <c r="T1847" i="7"/>
  <c r="U1847" i="7"/>
  <c r="V1847" i="7"/>
  <c r="W1847" i="7"/>
  <c r="X1847" i="7"/>
  <c r="Y1847" i="7"/>
  <c r="Z1847" i="7"/>
  <c r="AA1847" i="7"/>
  <c r="AB1847" i="7"/>
  <c r="AC1847" i="7"/>
  <c r="AD1847" i="7"/>
  <c r="AE1847" i="7"/>
  <c r="Q1848" i="7"/>
  <c r="R1848" i="7"/>
  <c r="S1848" i="7"/>
  <c r="T1848" i="7"/>
  <c r="U1848" i="7"/>
  <c r="V1848" i="7"/>
  <c r="W1848" i="7"/>
  <c r="X1848" i="7"/>
  <c r="Y1848" i="7"/>
  <c r="Z1848" i="7"/>
  <c r="AA1848" i="7"/>
  <c r="AB1848" i="7"/>
  <c r="AC1848" i="7"/>
  <c r="AD1848" i="7"/>
  <c r="AE1848" i="7"/>
  <c r="Q1849" i="7"/>
  <c r="R1849" i="7"/>
  <c r="S1849" i="7"/>
  <c r="T1849" i="7"/>
  <c r="U1849" i="7"/>
  <c r="V1849" i="7"/>
  <c r="W1849" i="7"/>
  <c r="X1849" i="7"/>
  <c r="Y1849" i="7"/>
  <c r="Z1849" i="7"/>
  <c r="AA1849" i="7"/>
  <c r="AB1849" i="7"/>
  <c r="AC1849" i="7"/>
  <c r="AD1849" i="7"/>
  <c r="AE1849" i="7"/>
  <c r="Q1850" i="7"/>
  <c r="R1850" i="7"/>
  <c r="S1850" i="7"/>
  <c r="T1850" i="7"/>
  <c r="U1850" i="7"/>
  <c r="V1850" i="7"/>
  <c r="W1850" i="7"/>
  <c r="X1850" i="7"/>
  <c r="Y1850" i="7"/>
  <c r="Z1850" i="7"/>
  <c r="AA1850" i="7"/>
  <c r="AB1850" i="7"/>
  <c r="AC1850" i="7"/>
  <c r="AD1850" i="7"/>
  <c r="AE1850" i="7"/>
  <c r="Q1851" i="7"/>
  <c r="R1851" i="7"/>
  <c r="S1851" i="7"/>
  <c r="T1851" i="7"/>
  <c r="U1851" i="7"/>
  <c r="V1851" i="7"/>
  <c r="W1851" i="7"/>
  <c r="X1851" i="7"/>
  <c r="Y1851" i="7"/>
  <c r="Z1851" i="7"/>
  <c r="AA1851" i="7"/>
  <c r="AB1851" i="7"/>
  <c r="AC1851" i="7"/>
  <c r="AD1851" i="7"/>
  <c r="AE1851" i="7"/>
  <c r="Q1852" i="7"/>
  <c r="R1852" i="7"/>
  <c r="S1852" i="7"/>
  <c r="T1852" i="7"/>
  <c r="U1852" i="7"/>
  <c r="V1852" i="7"/>
  <c r="W1852" i="7"/>
  <c r="X1852" i="7"/>
  <c r="Y1852" i="7"/>
  <c r="Z1852" i="7"/>
  <c r="AA1852" i="7"/>
  <c r="AB1852" i="7"/>
  <c r="AC1852" i="7"/>
  <c r="AD1852" i="7"/>
  <c r="AE1852" i="7"/>
  <c r="Q1853" i="7"/>
  <c r="R1853" i="7"/>
  <c r="S1853" i="7"/>
  <c r="T1853" i="7"/>
  <c r="U1853" i="7"/>
  <c r="V1853" i="7"/>
  <c r="W1853" i="7"/>
  <c r="X1853" i="7"/>
  <c r="Y1853" i="7"/>
  <c r="Z1853" i="7"/>
  <c r="AA1853" i="7"/>
  <c r="AB1853" i="7"/>
  <c r="AC1853" i="7"/>
  <c r="AD1853" i="7"/>
  <c r="AE1853" i="7"/>
  <c r="Q1854" i="7"/>
  <c r="R1854" i="7"/>
  <c r="S1854" i="7"/>
  <c r="T1854" i="7"/>
  <c r="U1854" i="7"/>
  <c r="V1854" i="7"/>
  <c r="W1854" i="7"/>
  <c r="X1854" i="7"/>
  <c r="Y1854" i="7"/>
  <c r="Z1854" i="7"/>
  <c r="AA1854" i="7"/>
  <c r="AB1854" i="7"/>
  <c r="AC1854" i="7"/>
  <c r="AD1854" i="7"/>
  <c r="AE1854" i="7"/>
  <c r="Q1855" i="7"/>
  <c r="R1855" i="7"/>
  <c r="S1855" i="7"/>
  <c r="T1855" i="7"/>
  <c r="U1855" i="7"/>
  <c r="V1855" i="7"/>
  <c r="W1855" i="7"/>
  <c r="X1855" i="7"/>
  <c r="Y1855" i="7"/>
  <c r="Z1855" i="7"/>
  <c r="AA1855" i="7"/>
  <c r="AB1855" i="7"/>
  <c r="AC1855" i="7"/>
  <c r="AD1855" i="7"/>
  <c r="AE1855" i="7"/>
  <c r="Q1856" i="7"/>
  <c r="R1856" i="7"/>
  <c r="S1856" i="7"/>
  <c r="T1856" i="7"/>
  <c r="U1856" i="7"/>
  <c r="V1856" i="7"/>
  <c r="W1856" i="7"/>
  <c r="X1856" i="7"/>
  <c r="Y1856" i="7"/>
  <c r="Z1856" i="7"/>
  <c r="AA1856" i="7"/>
  <c r="AB1856" i="7"/>
  <c r="AC1856" i="7"/>
  <c r="AD1856" i="7"/>
  <c r="AE1856" i="7"/>
  <c r="Q1857" i="7"/>
  <c r="R1857" i="7"/>
  <c r="S1857" i="7"/>
  <c r="T1857" i="7"/>
  <c r="U1857" i="7"/>
  <c r="V1857" i="7"/>
  <c r="W1857" i="7"/>
  <c r="X1857" i="7"/>
  <c r="Y1857" i="7"/>
  <c r="Z1857" i="7"/>
  <c r="AA1857" i="7"/>
  <c r="AB1857" i="7"/>
  <c r="AC1857" i="7"/>
  <c r="AD1857" i="7"/>
  <c r="AE1857" i="7"/>
  <c r="Q1858" i="7"/>
  <c r="R1858" i="7"/>
  <c r="S1858" i="7"/>
  <c r="T1858" i="7"/>
  <c r="U1858" i="7"/>
  <c r="V1858" i="7"/>
  <c r="W1858" i="7"/>
  <c r="X1858" i="7"/>
  <c r="Y1858" i="7"/>
  <c r="Z1858" i="7"/>
  <c r="AA1858" i="7"/>
  <c r="AB1858" i="7"/>
  <c r="AC1858" i="7"/>
  <c r="AD1858" i="7"/>
  <c r="AE1858" i="7"/>
  <c r="Q1859" i="7"/>
  <c r="R1859" i="7"/>
  <c r="S1859" i="7"/>
  <c r="T1859" i="7"/>
  <c r="U1859" i="7"/>
  <c r="V1859" i="7"/>
  <c r="W1859" i="7"/>
  <c r="X1859" i="7"/>
  <c r="Y1859" i="7"/>
  <c r="Z1859" i="7"/>
  <c r="AA1859" i="7"/>
  <c r="AB1859" i="7"/>
  <c r="AC1859" i="7"/>
  <c r="AD1859" i="7"/>
  <c r="AE1859" i="7"/>
  <c r="Q1860" i="7"/>
  <c r="R1860" i="7"/>
  <c r="S1860" i="7"/>
  <c r="T1860" i="7"/>
  <c r="U1860" i="7"/>
  <c r="V1860" i="7"/>
  <c r="W1860" i="7"/>
  <c r="X1860" i="7"/>
  <c r="Y1860" i="7"/>
  <c r="Z1860" i="7"/>
  <c r="AA1860" i="7"/>
  <c r="AB1860" i="7"/>
  <c r="AC1860" i="7"/>
  <c r="AD1860" i="7"/>
  <c r="AE1860" i="7"/>
  <c r="Q1861" i="7"/>
  <c r="R1861" i="7"/>
  <c r="S1861" i="7"/>
  <c r="T1861" i="7"/>
  <c r="U1861" i="7"/>
  <c r="V1861" i="7"/>
  <c r="W1861" i="7"/>
  <c r="X1861" i="7"/>
  <c r="Y1861" i="7"/>
  <c r="Z1861" i="7"/>
  <c r="AA1861" i="7"/>
  <c r="AB1861" i="7"/>
  <c r="AC1861" i="7"/>
  <c r="AD1861" i="7"/>
  <c r="AE1861" i="7"/>
  <c r="Q1862" i="7"/>
  <c r="R1862" i="7"/>
  <c r="S1862" i="7"/>
  <c r="T1862" i="7"/>
  <c r="U1862" i="7"/>
  <c r="V1862" i="7"/>
  <c r="W1862" i="7"/>
  <c r="X1862" i="7"/>
  <c r="Y1862" i="7"/>
  <c r="Z1862" i="7"/>
  <c r="AA1862" i="7"/>
  <c r="AB1862" i="7"/>
  <c r="AC1862" i="7"/>
  <c r="AD1862" i="7"/>
  <c r="AE1862" i="7"/>
  <c r="Q1863" i="7"/>
  <c r="R1863" i="7"/>
  <c r="S1863" i="7"/>
  <c r="T1863" i="7"/>
  <c r="U1863" i="7"/>
  <c r="V1863" i="7"/>
  <c r="W1863" i="7"/>
  <c r="X1863" i="7"/>
  <c r="Y1863" i="7"/>
  <c r="Z1863" i="7"/>
  <c r="AA1863" i="7"/>
  <c r="AB1863" i="7"/>
  <c r="AC1863" i="7"/>
  <c r="AD1863" i="7"/>
  <c r="AE1863" i="7"/>
  <c r="Q1864" i="7"/>
  <c r="R1864" i="7"/>
  <c r="S1864" i="7"/>
  <c r="T1864" i="7"/>
  <c r="U1864" i="7"/>
  <c r="V1864" i="7"/>
  <c r="W1864" i="7"/>
  <c r="X1864" i="7"/>
  <c r="Y1864" i="7"/>
  <c r="Z1864" i="7"/>
  <c r="AA1864" i="7"/>
  <c r="AB1864" i="7"/>
  <c r="AC1864" i="7"/>
  <c r="AD1864" i="7"/>
  <c r="AE1864" i="7"/>
  <c r="Q1865" i="7"/>
  <c r="R1865" i="7"/>
  <c r="S1865" i="7"/>
  <c r="T1865" i="7"/>
  <c r="U1865" i="7"/>
  <c r="V1865" i="7"/>
  <c r="W1865" i="7"/>
  <c r="X1865" i="7"/>
  <c r="Y1865" i="7"/>
  <c r="Z1865" i="7"/>
  <c r="AA1865" i="7"/>
  <c r="AB1865" i="7"/>
  <c r="AC1865" i="7"/>
  <c r="AD1865" i="7"/>
  <c r="AE1865" i="7"/>
  <c r="Q1866" i="7"/>
  <c r="R1866" i="7"/>
  <c r="S1866" i="7"/>
  <c r="T1866" i="7"/>
  <c r="U1866" i="7"/>
  <c r="V1866" i="7"/>
  <c r="W1866" i="7"/>
  <c r="X1866" i="7"/>
  <c r="Y1866" i="7"/>
  <c r="Z1866" i="7"/>
  <c r="AA1866" i="7"/>
  <c r="AB1866" i="7"/>
  <c r="AC1866" i="7"/>
  <c r="AD1866" i="7"/>
  <c r="AE1866" i="7"/>
  <c r="Q1867" i="7"/>
  <c r="R1867" i="7"/>
  <c r="S1867" i="7"/>
  <c r="T1867" i="7"/>
  <c r="U1867" i="7"/>
  <c r="V1867" i="7"/>
  <c r="W1867" i="7"/>
  <c r="X1867" i="7"/>
  <c r="Y1867" i="7"/>
  <c r="Z1867" i="7"/>
  <c r="AA1867" i="7"/>
  <c r="AB1867" i="7"/>
  <c r="AC1867" i="7"/>
  <c r="AD1867" i="7"/>
  <c r="AE1867" i="7"/>
  <c r="Q1868" i="7"/>
  <c r="R1868" i="7"/>
  <c r="S1868" i="7"/>
  <c r="T1868" i="7"/>
  <c r="U1868" i="7"/>
  <c r="V1868" i="7"/>
  <c r="W1868" i="7"/>
  <c r="X1868" i="7"/>
  <c r="Y1868" i="7"/>
  <c r="Z1868" i="7"/>
  <c r="AA1868" i="7"/>
  <c r="AB1868" i="7"/>
  <c r="AC1868" i="7"/>
  <c r="AD1868" i="7"/>
  <c r="AE1868" i="7"/>
  <c r="Q1869" i="7"/>
  <c r="R1869" i="7"/>
  <c r="S1869" i="7"/>
  <c r="T1869" i="7"/>
  <c r="U1869" i="7"/>
  <c r="V1869" i="7"/>
  <c r="W1869" i="7"/>
  <c r="X1869" i="7"/>
  <c r="Y1869" i="7"/>
  <c r="Z1869" i="7"/>
  <c r="AA1869" i="7"/>
  <c r="AB1869" i="7"/>
  <c r="AC1869" i="7"/>
  <c r="AD1869" i="7"/>
  <c r="AE1869" i="7"/>
  <c r="Q1870" i="7"/>
  <c r="R1870" i="7"/>
  <c r="S1870" i="7"/>
  <c r="T1870" i="7"/>
  <c r="U1870" i="7"/>
  <c r="V1870" i="7"/>
  <c r="W1870" i="7"/>
  <c r="X1870" i="7"/>
  <c r="Y1870" i="7"/>
  <c r="Z1870" i="7"/>
  <c r="AA1870" i="7"/>
  <c r="AB1870" i="7"/>
  <c r="AC1870" i="7"/>
  <c r="AD1870" i="7"/>
  <c r="AE1870" i="7"/>
  <c r="Q1871" i="7"/>
  <c r="R1871" i="7"/>
  <c r="S1871" i="7"/>
  <c r="T1871" i="7"/>
  <c r="U1871" i="7"/>
  <c r="V1871" i="7"/>
  <c r="W1871" i="7"/>
  <c r="X1871" i="7"/>
  <c r="Y1871" i="7"/>
  <c r="Z1871" i="7"/>
  <c r="AA1871" i="7"/>
  <c r="AB1871" i="7"/>
  <c r="AC1871" i="7"/>
  <c r="AD1871" i="7"/>
  <c r="AE1871" i="7"/>
  <c r="Q1872" i="7"/>
  <c r="R1872" i="7"/>
  <c r="S1872" i="7"/>
  <c r="T1872" i="7"/>
  <c r="U1872" i="7"/>
  <c r="V1872" i="7"/>
  <c r="W1872" i="7"/>
  <c r="X1872" i="7"/>
  <c r="Y1872" i="7"/>
  <c r="Z1872" i="7"/>
  <c r="AA1872" i="7"/>
  <c r="AB1872" i="7"/>
  <c r="AC1872" i="7"/>
  <c r="AD1872" i="7"/>
  <c r="AE1872" i="7"/>
  <c r="Q1873" i="7"/>
  <c r="R1873" i="7"/>
  <c r="S1873" i="7"/>
  <c r="T1873" i="7"/>
  <c r="U1873" i="7"/>
  <c r="V1873" i="7"/>
  <c r="W1873" i="7"/>
  <c r="X1873" i="7"/>
  <c r="Y1873" i="7"/>
  <c r="Z1873" i="7"/>
  <c r="AA1873" i="7"/>
  <c r="AB1873" i="7"/>
  <c r="AC1873" i="7"/>
  <c r="AD1873" i="7"/>
  <c r="AE1873" i="7"/>
  <c r="Q1874" i="7"/>
  <c r="R1874" i="7"/>
  <c r="S1874" i="7"/>
  <c r="T1874" i="7"/>
  <c r="U1874" i="7"/>
  <c r="V1874" i="7"/>
  <c r="W1874" i="7"/>
  <c r="X1874" i="7"/>
  <c r="Y1874" i="7"/>
  <c r="Z1874" i="7"/>
  <c r="AA1874" i="7"/>
  <c r="AB1874" i="7"/>
  <c r="AC1874" i="7"/>
  <c r="AD1874" i="7"/>
  <c r="AE1874" i="7"/>
  <c r="Q1875" i="7"/>
  <c r="R1875" i="7"/>
  <c r="S1875" i="7"/>
  <c r="T1875" i="7"/>
  <c r="U1875" i="7"/>
  <c r="V1875" i="7"/>
  <c r="W1875" i="7"/>
  <c r="X1875" i="7"/>
  <c r="Y1875" i="7"/>
  <c r="Z1875" i="7"/>
  <c r="AA1875" i="7"/>
  <c r="AB1875" i="7"/>
  <c r="AC1875" i="7"/>
  <c r="AD1875" i="7"/>
  <c r="AE1875" i="7"/>
  <c r="Q1876" i="7"/>
  <c r="R1876" i="7"/>
  <c r="S1876" i="7"/>
  <c r="T1876" i="7"/>
  <c r="U1876" i="7"/>
  <c r="V1876" i="7"/>
  <c r="W1876" i="7"/>
  <c r="X1876" i="7"/>
  <c r="Y1876" i="7"/>
  <c r="Z1876" i="7"/>
  <c r="AA1876" i="7"/>
  <c r="AB1876" i="7"/>
  <c r="AC1876" i="7"/>
  <c r="AD1876" i="7"/>
  <c r="AE1876" i="7"/>
  <c r="Q1877" i="7"/>
  <c r="R1877" i="7"/>
  <c r="S1877" i="7"/>
  <c r="T1877" i="7"/>
  <c r="U1877" i="7"/>
  <c r="V1877" i="7"/>
  <c r="W1877" i="7"/>
  <c r="X1877" i="7"/>
  <c r="Y1877" i="7"/>
  <c r="Z1877" i="7"/>
  <c r="AA1877" i="7"/>
  <c r="AB1877" i="7"/>
  <c r="AC1877" i="7"/>
  <c r="AD1877" i="7"/>
  <c r="AE1877" i="7"/>
  <c r="Q1878" i="7"/>
  <c r="R1878" i="7"/>
  <c r="S1878" i="7"/>
  <c r="T1878" i="7"/>
  <c r="U1878" i="7"/>
  <c r="V1878" i="7"/>
  <c r="W1878" i="7"/>
  <c r="X1878" i="7"/>
  <c r="Y1878" i="7"/>
  <c r="Z1878" i="7"/>
  <c r="AA1878" i="7"/>
  <c r="AB1878" i="7"/>
  <c r="AC1878" i="7"/>
  <c r="AD1878" i="7"/>
  <c r="AE1878" i="7"/>
  <c r="Q1879" i="7"/>
  <c r="R1879" i="7"/>
  <c r="S1879" i="7"/>
  <c r="T1879" i="7"/>
  <c r="U1879" i="7"/>
  <c r="V1879" i="7"/>
  <c r="W1879" i="7"/>
  <c r="X1879" i="7"/>
  <c r="Y1879" i="7"/>
  <c r="Z1879" i="7"/>
  <c r="AA1879" i="7"/>
  <c r="AB1879" i="7"/>
  <c r="AC1879" i="7"/>
  <c r="AD1879" i="7"/>
  <c r="AE1879" i="7"/>
  <c r="Q1880" i="7"/>
  <c r="R1880" i="7"/>
  <c r="S1880" i="7"/>
  <c r="T1880" i="7"/>
  <c r="U1880" i="7"/>
  <c r="V1880" i="7"/>
  <c r="W1880" i="7"/>
  <c r="X1880" i="7"/>
  <c r="Y1880" i="7"/>
  <c r="Z1880" i="7"/>
  <c r="AA1880" i="7"/>
  <c r="AB1880" i="7"/>
  <c r="AC1880" i="7"/>
  <c r="AD1880" i="7"/>
  <c r="AE1880" i="7"/>
  <c r="Q1881" i="7"/>
  <c r="R1881" i="7"/>
  <c r="S1881" i="7"/>
  <c r="T1881" i="7"/>
  <c r="U1881" i="7"/>
  <c r="V1881" i="7"/>
  <c r="W1881" i="7"/>
  <c r="X1881" i="7"/>
  <c r="Y1881" i="7"/>
  <c r="Z1881" i="7"/>
  <c r="AA1881" i="7"/>
  <c r="AB1881" i="7"/>
  <c r="AC1881" i="7"/>
  <c r="AD1881" i="7"/>
  <c r="AE1881" i="7"/>
  <c r="Q1882" i="7"/>
  <c r="R1882" i="7"/>
  <c r="S1882" i="7"/>
  <c r="T1882" i="7"/>
  <c r="U1882" i="7"/>
  <c r="V1882" i="7"/>
  <c r="W1882" i="7"/>
  <c r="X1882" i="7"/>
  <c r="Y1882" i="7"/>
  <c r="Z1882" i="7"/>
  <c r="AA1882" i="7"/>
  <c r="AB1882" i="7"/>
  <c r="AC1882" i="7"/>
  <c r="AD1882" i="7"/>
  <c r="AE1882" i="7"/>
  <c r="Q1883" i="7"/>
  <c r="R1883" i="7"/>
  <c r="S1883" i="7"/>
  <c r="T1883" i="7"/>
  <c r="U1883" i="7"/>
  <c r="V1883" i="7"/>
  <c r="W1883" i="7"/>
  <c r="X1883" i="7"/>
  <c r="Y1883" i="7"/>
  <c r="Z1883" i="7"/>
  <c r="AA1883" i="7"/>
  <c r="AB1883" i="7"/>
  <c r="AC1883" i="7"/>
  <c r="AD1883" i="7"/>
  <c r="AE1883" i="7"/>
  <c r="Q1884" i="7"/>
  <c r="R1884" i="7"/>
  <c r="S1884" i="7"/>
  <c r="T1884" i="7"/>
  <c r="U1884" i="7"/>
  <c r="V1884" i="7"/>
  <c r="W1884" i="7"/>
  <c r="X1884" i="7"/>
  <c r="Y1884" i="7"/>
  <c r="Z1884" i="7"/>
  <c r="AA1884" i="7"/>
  <c r="AB1884" i="7"/>
  <c r="AC1884" i="7"/>
  <c r="AD1884" i="7"/>
  <c r="AE1884" i="7"/>
  <c r="Q1885" i="7"/>
  <c r="R1885" i="7"/>
  <c r="S1885" i="7"/>
  <c r="T1885" i="7"/>
  <c r="U1885" i="7"/>
  <c r="V1885" i="7"/>
  <c r="W1885" i="7"/>
  <c r="X1885" i="7"/>
  <c r="Y1885" i="7"/>
  <c r="Z1885" i="7"/>
  <c r="AA1885" i="7"/>
  <c r="AB1885" i="7"/>
  <c r="AC1885" i="7"/>
  <c r="AD1885" i="7"/>
  <c r="AE1885" i="7"/>
  <c r="Q1886" i="7"/>
  <c r="R1886" i="7"/>
  <c r="S1886" i="7"/>
  <c r="T1886" i="7"/>
  <c r="U1886" i="7"/>
  <c r="V1886" i="7"/>
  <c r="W1886" i="7"/>
  <c r="X1886" i="7"/>
  <c r="Y1886" i="7"/>
  <c r="Z1886" i="7"/>
  <c r="AA1886" i="7"/>
  <c r="AB1886" i="7"/>
  <c r="AC1886" i="7"/>
  <c r="AD1886" i="7"/>
  <c r="AE1886" i="7"/>
  <c r="Q1887" i="7"/>
  <c r="R1887" i="7"/>
  <c r="S1887" i="7"/>
  <c r="T1887" i="7"/>
  <c r="U1887" i="7"/>
  <c r="V1887" i="7"/>
  <c r="W1887" i="7"/>
  <c r="X1887" i="7"/>
  <c r="Y1887" i="7"/>
  <c r="Z1887" i="7"/>
  <c r="AA1887" i="7"/>
  <c r="AB1887" i="7"/>
  <c r="AC1887" i="7"/>
  <c r="AD1887" i="7"/>
  <c r="AE1887" i="7"/>
  <c r="Q1888" i="7"/>
  <c r="R1888" i="7"/>
  <c r="S1888" i="7"/>
  <c r="T1888" i="7"/>
  <c r="U1888" i="7"/>
  <c r="V1888" i="7"/>
  <c r="W1888" i="7"/>
  <c r="X1888" i="7"/>
  <c r="Y1888" i="7"/>
  <c r="Z1888" i="7"/>
  <c r="AA1888" i="7"/>
  <c r="AB1888" i="7"/>
  <c r="AC1888" i="7"/>
  <c r="AD1888" i="7"/>
  <c r="AE1888" i="7"/>
  <c r="Q1889" i="7"/>
  <c r="R1889" i="7"/>
  <c r="S1889" i="7"/>
  <c r="T1889" i="7"/>
  <c r="U1889" i="7"/>
  <c r="V1889" i="7"/>
  <c r="W1889" i="7"/>
  <c r="X1889" i="7"/>
  <c r="Y1889" i="7"/>
  <c r="Z1889" i="7"/>
  <c r="AA1889" i="7"/>
  <c r="AB1889" i="7"/>
  <c r="AC1889" i="7"/>
  <c r="AD1889" i="7"/>
  <c r="AE1889" i="7"/>
  <c r="Q1890" i="7"/>
  <c r="R1890" i="7"/>
  <c r="S1890" i="7"/>
  <c r="T1890" i="7"/>
  <c r="U1890" i="7"/>
  <c r="V1890" i="7"/>
  <c r="W1890" i="7"/>
  <c r="X1890" i="7"/>
  <c r="Y1890" i="7"/>
  <c r="Z1890" i="7"/>
  <c r="AA1890" i="7"/>
  <c r="AB1890" i="7"/>
  <c r="AC1890" i="7"/>
  <c r="AD1890" i="7"/>
  <c r="AE1890" i="7"/>
  <c r="Q1891" i="7"/>
  <c r="R1891" i="7"/>
  <c r="S1891" i="7"/>
  <c r="T1891" i="7"/>
  <c r="U1891" i="7"/>
  <c r="V1891" i="7"/>
  <c r="W1891" i="7"/>
  <c r="X1891" i="7"/>
  <c r="Y1891" i="7"/>
  <c r="Z1891" i="7"/>
  <c r="AA1891" i="7"/>
  <c r="AB1891" i="7"/>
  <c r="AC1891" i="7"/>
  <c r="AD1891" i="7"/>
  <c r="AE1891" i="7"/>
  <c r="Q1892" i="7"/>
  <c r="R1892" i="7"/>
  <c r="S1892" i="7"/>
  <c r="T1892" i="7"/>
  <c r="U1892" i="7"/>
  <c r="V1892" i="7"/>
  <c r="W1892" i="7"/>
  <c r="X1892" i="7"/>
  <c r="Y1892" i="7"/>
  <c r="Z1892" i="7"/>
  <c r="AA1892" i="7"/>
  <c r="AB1892" i="7"/>
  <c r="AC1892" i="7"/>
  <c r="AD1892" i="7"/>
  <c r="AE1892" i="7"/>
  <c r="Q1893" i="7"/>
  <c r="R1893" i="7"/>
  <c r="S1893" i="7"/>
  <c r="T1893" i="7"/>
  <c r="U1893" i="7"/>
  <c r="V1893" i="7"/>
  <c r="W1893" i="7"/>
  <c r="X1893" i="7"/>
  <c r="Y1893" i="7"/>
  <c r="Z1893" i="7"/>
  <c r="AA1893" i="7"/>
  <c r="AB1893" i="7"/>
  <c r="AC1893" i="7"/>
  <c r="AD1893" i="7"/>
  <c r="AE1893" i="7"/>
  <c r="Q1894" i="7"/>
  <c r="R1894" i="7"/>
  <c r="S1894" i="7"/>
  <c r="T1894" i="7"/>
  <c r="U1894" i="7"/>
  <c r="V1894" i="7"/>
  <c r="W1894" i="7"/>
  <c r="X1894" i="7"/>
  <c r="Y1894" i="7"/>
  <c r="Z1894" i="7"/>
  <c r="AA1894" i="7"/>
  <c r="AB1894" i="7"/>
  <c r="AC1894" i="7"/>
  <c r="AD1894" i="7"/>
  <c r="AE1894" i="7"/>
  <c r="Q1895" i="7"/>
  <c r="R1895" i="7"/>
  <c r="S1895" i="7"/>
  <c r="T1895" i="7"/>
  <c r="U1895" i="7"/>
  <c r="V1895" i="7"/>
  <c r="W1895" i="7"/>
  <c r="X1895" i="7"/>
  <c r="Y1895" i="7"/>
  <c r="Z1895" i="7"/>
  <c r="AA1895" i="7"/>
  <c r="AB1895" i="7"/>
  <c r="AC1895" i="7"/>
  <c r="AD1895" i="7"/>
  <c r="AE1895" i="7"/>
  <c r="Q1896" i="7"/>
  <c r="R1896" i="7"/>
  <c r="S1896" i="7"/>
  <c r="T1896" i="7"/>
  <c r="U1896" i="7"/>
  <c r="V1896" i="7"/>
  <c r="W1896" i="7"/>
  <c r="X1896" i="7"/>
  <c r="Y1896" i="7"/>
  <c r="Z1896" i="7"/>
  <c r="AA1896" i="7"/>
  <c r="AB1896" i="7"/>
  <c r="AC1896" i="7"/>
  <c r="AD1896" i="7"/>
  <c r="AE1896" i="7"/>
  <c r="Q1897" i="7"/>
  <c r="R1897" i="7"/>
  <c r="S1897" i="7"/>
  <c r="T1897" i="7"/>
  <c r="U1897" i="7"/>
  <c r="V1897" i="7"/>
  <c r="W1897" i="7"/>
  <c r="X1897" i="7"/>
  <c r="Y1897" i="7"/>
  <c r="Z1897" i="7"/>
  <c r="AA1897" i="7"/>
  <c r="AB1897" i="7"/>
  <c r="AC1897" i="7"/>
  <c r="AD1897" i="7"/>
  <c r="AE1897" i="7"/>
  <c r="Q1898" i="7"/>
  <c r="R1898" i="7"/>
  <c r="S1898" i="7"/>
  <c r="T1898" i="7"/>
  <c r="U1898" i="7"/>
  <c r="V1898" i="7"/>
  <c r="W1898" i="7"/>
  <c r="X1898" i="7"/>
  <c r="Y1898" i="7"/>
  <c r="Z1898" i="7"/>
  <c r="AA1898" i="7"/>
  <c r="AB1898" i="7"/>
  <c r="AC1898" i="7"/>
  <c r="AD1898" i="7"/>
  <c r="AE1898" i="7"/>
  <c r="Q1899" i="7"/>
  <c r="R1899" i="7"/>
  <c r="S1899" i="7"/>
  <c r="T1899" i="7"/>
  <c r="U1899" i="7"/>
  <c r="V1899" i="7"/>
  <c r="W1899" i="7"/>
  <c r="X1899" i="7"/>
  <c r="Y1899" i="7"/>
  <c r="Z1899" i="7"/>
  <c r="AA1899" i="7"/>
  <c r="AB1899" i="7"/>
  <c r="AC1899" i="7"/>
  <c r="AD1899" i="7"/>
  <c r="AE1899" i="7"/>
  <c r="Q1900" i="7"/>
  <c r="R1900" i="7"/>
  <c r="S1900" i="7"/>
  <c r="T1900" i="7"/>
  <c r="U1900" i="7"/>
  <c r="V1900" i="7"/>
  <c r="W1900" i="7"/>
  <c r="X1900" i="7"/>
  <c r="Y1900" i="7"/>
  <c r="Z1900" i="7"/>
  <c r="AA1900" i="7"/>
  <c r="AB1900" i="7"/>
  <c r="AC1900" i="7"/>
  <c r="AD1900" i="7"/>
  <c r="AE1900" i="7"/>
  <c r="Q1901" i="7"/>
  <c r="R1901" i="7"/>
  <c r="S1901" i="7"/>
  <c r="T1901" i="7"/>
  <c r="U1901" i="7"/>
  <c r="V1901" i="7"/>
  <c r="W1901" i="7"/>
  <c r="X1901" i="7"/>
  <c r="Y1901" i="7"/>
  <c r="Z1901" i="7"/>
  <c r="AA1901" i="7"/>
  <c r="AB1901" i="7"/>
  <c r="AC1901" i="7"/>
  <c r="AD1901" i="7"/>
  <c r="AE1901" i="7"/>
  <c r="Q1902" i="7"/>
  <c r="R1902" i="7"/>
  <c r="S1902" i="7"/>
  <c r="T1902" i="7"/>
  <c r="U1902" i="7"/>
  <c r="V1902" i="7"/>
  <c r="W1902" i="7"/>
  <c r="X1902" i="7"/>
  <c r="Y1902" i="7"/>
  <c r="Z1902" i="7"/>
  <c r="AA1902" i="7"/>
  <c r="AB1902" i="7"/>
  <c r="AC1902" i="7"/>
  <c r="AD1902" i="7"/>
  <c r="AE1902" i="7"/>
  <c r="Q1903" i="7"/>
  <c r="R1903" i="7"/>
  <c r="S1903" i="7"/>
  <c r="T1903" i="7"/>
  <c r="U1903" i="7"/>
  <c r="V1903" i="7"/>
  <c r="W1903" i="7"/>
  <c r="X1903" i="7"/>
  <c r="Y1903" i="7"/>
  <c r="Z1903" i="7"/>
  <c r="AA1903" i="7"/>
  <c r="AB1903" i="7"/>
  <c r="AC1903" i="7"/>
  <c r="AD1903" i="7"/>
  <c r="AE1903" i="7"/>
  <c r="Q1904" i="7"/>
  <c r="R1904" i="7"/>
  <c r="S1904" i="7"/>
  <c r="T1904" i="7"/>
  <c r="U1904" i="7"/>
  <c r="V1904" i="7"/>
  <c r="W1904" i="7"/>
  <c r="X1904" i="7"/>
  <c r="Y1904" i="7"/>
  <c r="Z1904" i="7"/>
  <c r="AA1904" i="7"/>
  <c r="AB1904" i="7"/>
  <c r="AC1904" i="7"/>
  <c r="AD1904" i="7"/>
  <c r="AE1904" i="7"/>
  <c r="Q1905" i="7"/>
  <c r="R1905" i="7"/>
  <c r="S1905" i="7"/>
  <c r="T1905" i="7"/>
  <c r="U1905" i="7"/>
  <c r="V1905" i="7"/>
  <c r="W1905" i="7"/>
  <c r="X1905" i="7"/>
  <c r="Y1905" i="7"/>
  <c r="Z1905" i="7"/>
  <c r="AA1905" i="7"/>
  <c r="AB1905" i="7"/>
  <c r="AC1905" i="7"/>
  <c r="AD1905" i="7"/>
  <c r="AE1905" i="7"/>
  <c r="Q1906" i="7"/>
  <c r="R1906" i="7"/>
  <c r="S1906" i="7"/>
  <c r="T1906" i="7"/>
  <c r="U1906" i="7"/>
  <c r="V1906" i="7"/>
  <c r="W1906" i="7"/>
  <c r="X1906" i="7"/>
  <c r="Y1906" i="7"/>
  <c r="Z1906" i="7"/>
  <c r="AA1906" i="7"/>
  <c r="AB1906" i="7"/>
  <c r="AC1906" i="7"/>
  <c r="AD1906" i="7"/>
  <c r="AE1906" i="7"/>
  <c r="Q1907" i="7"/>
  <c r="R1907" i="7"/>
  <c r="S1907" i="7"/>
  <c r="T1907" i="7"/>
  <c r="U1907" i="7"/>
  <c r="V1907" i="7"/>
  <c r="W1907" i="7"/>
  <c r="X1907" i="7"/>
  <c r="Y1907" i="7"/>
  <c r="Z1907" i="7"/>
  <c r="AA1907" i="7"/>
  <c r="AB1907" i="7"/>
  <c r="AC1907" i="7"/>
  <c r="AD1907" i="7"/>
  <c r="AE1907" i="7"/>
  <c r="Q1908" i="7"/>
  <c r="R1908" i="7"/>
  <c r="S1908" i="7"/>
  <c r="T1908" i="7"/>
  <c r="U1908" i="7"/>
  <c r="V1908" i="7"/>
  <c r="W1908" i="7"/>
  <c r="X1908" i="7"/>
  <c r="Y1908" i="7"/>
  <c r="Z1908" i="7"/>
  <c r="AA1908" i="7"/>
  <c r="AB1908" i="7"/>
  <c r="AC1908" i="7"/>
  <c r="AD1908" i="7"/>
  <c r="AE1908" i="7"/>
  <c r="Q1909" i="7"/>
  <c r="R1909" i="7"/>
  <c r="S1909" i="7"/>
  <c r="T1909" i="7"/>
  <c r="U1909" i="7"/>
  <c r="V1909" i="7"/>
  <c r="W1909" i="7"/>
  <c r="X1909" i="7"/>
  <c r="Y1909" i="7"/>
  <c r="Z1909" i="7"/>
  <c r="AA1909" i="7"/>
  <c r="AB1909" i="7"/>
  <c r="AC1909" i="7"/>
  <c r="AD1909" i="7"/>
  <c r="AE1909" i="7"/>
  <c r="Q1910" i="7"/>
  <c r="R1910" i="7"/>
  <c r="S1910" i="7"/>
  <c r="T1910" i="7"/>
  <c r="U1910" i="7"/>
  <c r="V1910" i="7"/>
  <c r="W1910" i="7"/>
  <c r="X1910" i="7"/>
  <c r="Y1910" i="7"/>
  <c r="Z1910" i="7"/>
  <c r="AA1910" i="7"/>
  <c r="AB1910" i="7"/>
  <c r="AC1910" i="7"/>
  <c r="AD1910" i="7"/>
  <c r="AE1910" i="7"/>
  <c r="Q1911" i="7"/>
  <c r="R1911" i="7"/>
  <c r="S1911" i="7"/>
  <c r="T1911" i="7"/>
  <c r="U1911" i="7"/>
  <c r="V1911" i="7"/>
  <c r="W1911" i="7"/>
  <c r="X1911" i="7"/>
  <c r="Y1911" i="7"/>
  <c r="Z1911" i="7"/>
  <c r="AA1911" i="7"/>
  <c r="AB1911" i="7"/>
  <c r="AC1911" i="7"/>
  <c r="AD1911" i="7"/>
  <c r="AE1911" i="7"/>
  <c r="Q1912" i="7"/>
  <c r="R1912" i="7"/>
  <c r="S1912" i="7"/>
  <c r="T1912" i="7"/>
  <c r="U1912" i="7"/>
  <c r="V1912" i="7"/>
  <c r="W1912" i="7"/>
  <c r="X1912" i="7"/>
  <c r="Y1912" i="7"/>
  <c r="Z1912" i="7"/>
  <c r="AA1912" i="7"/>
  <c r="AB1912" i="7"/>
  <c r="AC1912" i="7"/>
  <c r="AD1912" i="7"/>
  <c r="AE1912" i="7"/>
  <c r="Q1913" i="7"/>
  <c r="R1913" i="7"/>
  <c r="S1913" i="7"/>
  <c r="T1913" i="7"/>
  <c r="U1913" i="7"/>
  <c r="V1913" i="7"/>
  <c r="W1913" i="7"/>
  <c r="X1913" i="7"/>
  <c r="Y1913" i="7"/>
  <c r="Z1913" i="7"/>
  <c r="AA1913" i="7"/>
  <c r="AB1913" i="7"/>
  <c r="AC1913" i="7"/>
  <c r="AD1913" i="7"/>
  <c r="AE1913" i="7"/>
  <c r="Q1914" i="7"/>
  <c r="R1914" i="7"/>
  <c r="S1914" i="7"/>
  <c r="T1914" i="7"/>
  <c r="U1914" i="7"/>
  <c r="V1914" i="7"/>
  <c r="W1914" i="7"/>
  <c r="X1914" i="7"/>
  <c r="Y1914" i="7"/>
  <c r="Z1914" i="7"/>
  <c r="AA1914" i="7"/>
  <c r="AB1914" i="7"/>
  <c r="AC1914" i="7"/>
  <c r="AD1914" i="7"/>
  <c r="AE1914" i="7"/>
  <c r="Q1915" i="7"/>
  <c r="R1915" i="7"/>
  <c r="S1915" i="7"/>
  <c r="T1915" i="7"/>
  <c r="U1915" i="7"/>
  <c r="V1915" i="7"/>
  <c r="W1915" i="7"/>
  <c r="X1915" i="7"/>
  <c r="Y1915" i="7"/>
  <c r="Z1915" i="7"/>
  <c r="AA1915" i="7"/>
  <c r="AB1915" i="7"/>
  <c r="AC1915" i="7"/>
  <c r="AD1915" i="7"/>
  <c r="AE1915" i="7"/>
  <c r="Q1916" i="7"/>
  <c r="R1916" i="7"/>
  <c r="S1916" i="7"/>
  <c r="T1916" i="7"/>
  <c r="U1916" i="7"/>
  <c r="V1916" i="7"/>
  <c r="W1916" i="7"/>
  <c r="X1916" i="7"/>
  <c r="Y1916" i="7"/>
  <c r="Z1916" i="7"/>
  <c r="AA1916" i="7"/>
  <c r="AB1916" i="7"/>
  <c r="AC1916" i="7"/>
  <c r="AD1916" i="7"/>
  <c r="AE1916" i="7"/>
  <c r="Q1917" i="7"/>
  <c r="R1917" i="7"/>
  <c r="S1917" i="7"/>
  <c r="T1917" i="7"/>
  <c r="U1917" i="7"/>
  <c r="V1917" i="7"/>
  <c r="W1917" i="7"/>
  <c r="X1917" i="7"/>
  <c r="Y1917" i="7"/>
  <c r="Z1917" i="7"/>
  <c r="AA1917" i="7"/>
  <c r="AB1917" i="7"/>
  <c r="AC1917" i="7"/>
  <c r="AD1917" i="7"/>
  <c r="AE1917" i="7"/>
  <c r="Q1918" i="7"/>
  <c r="R1918" i="7"/>
  <c r="S1918" i="7"/>
  <c r="T1918" i="7"/>
  <c r="U1918" i="7"/>
  <c r="V1918" i="7"/>
  <c r="W1918" i="7"/>
  <c r="X1918" i="7"/>
  <c r="Y1918" i="7"/>
  <c r="Z1918" i="7"/>
  <c r="AA1918" i="7"/>
  <c r="AB1918" i="7"/>
  <c r="AC1918" i="7"/>
  <c r="AD1918" i="7"/>
  <c r="AE1918" i="7"/>
  <c r="Q1919" i="7"/>
  <c r="R1919" i="7"/>
  <c r="S1919" i="7"/>
  <c r="T1919" i="7"/>
  <c r="U1919" i="7"/>
  <c r="V1919" i="7"/>
  <c r="W1919" i="7"/>
  <c r="X1919" i="7"/>
  <c r="Y1919" i="7"/>
  <c r="Z1919" i="7"/>
  <c r="AA1919" i="7"/>
  <c r="AB1919" i="7"/>
  <c r="AC1919" i="7"/>
  <c r="AD1919" i="7"/>
  <c r="AE1919" i="7"/>
  <c r="Q1920" i="7"/>
  <c r="R1920" i="7"/>
  <c r="S1920" i="7"/>
  <c r="T1920" i="7"/>
  <c r="U1920" i="7"/>
  <c r="V1920" i="7"/>
  <c r="W1920" i="7"/>
  <c r="X1920" i="7"/>
  <c r="Y1920" i="7"/>
  <c r="Z1920" i="7"/>
  <c r="AA1920" i="7"/>
  <c r="AB1920" i="7"/>
  <c r="AC1920" i="7"/>
  <c r="AD1920" i="7"/>
  <c r="AE1920" i="7"/>
  <c r="Q1921" i="7"/>
  <c r="R1921" i="7"/>
  <c r="S1921" i="7"/>
  <c r="T1921" i="7"/>
  <c r="U1921" i="7"/>
  <c r="V1921" i="7"/>
  <c r="W1921" i="7"/>
  <c r="X1921" i="7"/>
  <c r="Y1921" i="7"/>
  <c r="Z1921" i="7"/>
  <c r="AA1921" i="7"/>
  <c r="AB1921" i="7"/>
  <c r="AC1921" i="7"/>
  <c r="AD1921" i="7"/>
  <c r="AE1921" i="7"/>
  <c r="Q1922" i="7"/>
  <c r="R1922" i="7"/>
  <c r="S1922" i="7"/>
  <c r="T1922" i="7"/>
  <c r="U1922" i="7"/>
  <c r="V1922" i="7"/>
  <c r="W1922" i="7"/>
  <c r="X1922" i="7"/>
  <c r="Y1922" i="7"/>
  <c r="Z1922" i="7"/>
  <c r="AA1922" i="7"/>
  <c r="AB1922" i="7"/>
  <c r="AC1922" i="7"/>
  <c r="AD1922" i="7"/>
  <c r="AE1922" i="7"/>
  <c r="Q1923" i="7"/>
  <c r="R1923" i="7"/>
  <c r="S1923" i="7"/>
  <c r="T1923" i="7"/>
  <c r="U1923" i="7"/>
  <c r="V1923" i="7"/>
  <c r="W1923" i="7"/>
  <c r="X1923" i="7"/>
  <c r="Y1923" i="7"/>
  <c r="Z1923" i="7"/>
  <c r="AA1923" i="7"/>
  <c r="AB1923" i="7"/>
  <c r="AC1923" i="7"/>
  <c r="AD1923" i="7"/>
  <c r="AE1923" i="7"/>
  <c r="Q1924" i="7"/>
  <c r="R1924" i="7"/>
  <c r="S1924" i="7"/>
  <c r="T1924" i="7"/>
  <c r="U1924" i="7"/>
  <c r="V1924" i="7"/>
  <c r="W1924" i="7"/>
  <c r="X1924" i="7"/>
  <c r="Y1924" i="7"/>
  <c r="Z1924" i="7"/>
  <c r="AA1924" i="7"/>
  <c r="AB1924" i="7"/>
  <c r="AC1924" i="7"/>
  <c r="AD1924" i="7"/>
  <c r="AE1924" i="7"/>
  <c r="Q1925" i="7"/>
  <c r="R1925" i="7"/>
  <c r="S1925" i="7"/>
  <c r="T1925" i="7"/>
  <c r="U1925" i="7"/>
  <c r="V1925" i="7"/>
  <c r="W1925" i="7"/>
  <c r="X1925" i="7"/>
  <c r="Y1925" i="7"/>
  <c r="Z1925" i="7"/>
  <c r="AA1925" i="7"/>
  <c r="AB1925" i="7"/>
  <c r="AC1925" i="7"/>
  <c r="AD1925" i="7"/>
  <c r="AE1925" i="7"/>
  <c r="Q1926" i="7"/>
  <c r="R1926" i="7"/>
  <c r="S1926" i="7"/>
  <c r="T1926" i="7"/>
  <c r="U1926" i="7"/>
  <c r="V1926" i="7"/>
  <c r="W1926" i="7"/>
  <c r="X1926" i="7"/>
  <c r="Y1926" i="7"/>
  <c r="Z1926" i="7"/>
  <c r="AA1926" i="7"/>
  <c r="AB1926" i="7"/>
  <c r="AC1926" i="7"/>
  <c r="AD1926" i="7"/>
  <c r="AE1926" i="7"/>
  <c r="Q1927" i="7"/>
  <c r="R1927" i="7"/>
  <c r="S1927" i="7"/>
  <c r="T1927" i="7"/>
  <c r="U1927" i="7"/>
  <c r="V1927" i="7"/>
  <c r="W1927" i="7"/>
  <c r="X1927" i="7"/>
  <c r="Y1927" i="7"/>
  <c r="Z1927" i="7"/>
  <c r="AA1927" i="7"/>
  <c r="AB1927" i="7"/>
  <c r="AC1927" i="7"/>
  <c r="AD1927" i="7"/>
  <c r="AE1927" i="7"/>
  <c r="Q1928" i="7"/>
  <c r="R1928" i="7"/>
  <c r="S1928" i="7"/>
  <c r="T1928" i="7"/>
  <c r="U1928" i="7"/>
  <c r="V1928" i="7"/>
  <c r="W1928" i="7"/>
  <c r="X1928" i="7"/>
  <c r="Y1928" i="7"/>
  <c r="Z1928" i="7"/>
  <c r="AA1928" i="7"/>
  <c r="AB1928" i="7"/>
  <c r="AC1928" i="7"/>
  <c r="AD1928" i="7"/>
  <c r="AE1928" i="7"/>
  <c r="Q1929" i="7"/>
  <c r="R1929" i="7"/>
  <c r="S1929" i="7"/>
  <c r="T1929" i="7"/>
  <c r="U1929" i="7"/>
  <c r="V1929" i="7"/>
  <c r="W1929" i="7"/>
  <c r="X1929" i="7"/>
  <c r="Y1929" i="7"/>
  <c r="Z1929" i="7"/>
  <c r="AA1929" i="7"/>
  <c r="AB1929" i="7"/>
  <c r="AC1929" i="7"/>
  <c r="AD1929" i="7"/>
  <c r="AE1929" i="7"/>
  <c r="Q1930" i="7"/>
  <c r="R1930" i="7"/>
  <c r="S1930" i="7"/>
  <c r="T1930" i="7"/>
  <c r="U1930" i="7"/>
  <c r="V1930" i="7"/>
  <c r="W1930" i="7"/>
  <c r="X1930" i="7"/>
  <c r="Y1930" i="7"/>
  <c r="Z1930" i="7"/>
  <c r="AA1930" i="7"/>
  <c r="AB1930" i="7"/>
  <c r="AC1930" i="7"/>
  <c r="AD1930" i="7"/>
  <c r="AE1930" i="7"/>
  <c r="Q1931" i="7"/>
  <c r="R1931" i="7"/>
  <c r="S1931" i="7"/>
  <c r="T1931" i="7"/>
  <c r="U1931" i="7"/>
  <c r="V1931" i="7"/>
  <c r="W1931" i="7"/>
  <c r="X1931" i="7"/>
  <c r="Y1931" i="7"/>
  <c r="Z1931" i="7"/>
  <c r="AA1931" i="7"/>
  <c r="AB1931" i="7"/>
  <c r="AC1931" i="7"/>
  <c r="AD1931" i="7"/>
  <c r="AE1931" i="7"/>
  <c r="Q1932" i="7"/>
  <c r="R1932" i="7"/>
  <c r="S1932" i="7"/>
  <c r="T1932" i="7"/>
  <c r="U1932" i="7"/>
  <c r="V1932" i="7"/>
  <c r="W1932" i="7"/>
  <c r="X1932" i="7"/>
  <c r="Y1932" i="7"/>
  <c r="Z1932" i="7"/>
  <c r="AA1932" i="7"/>
  <c r="AB1932" i="7"/>
  <c r="AC1932" i="7"/>
  <c r="AD1932" i="7"/>
  <c r="AE1932" i="7"/>
  <c r="Q1933" i="7"/>
  <c r="R1933" i="7"/>
  <c r="S1933" i="7"/>
  <c r="T1933" i="7"/>
  <c r="U1933" i="7"/>
  <c r="V1933" i="7"/>
  <c r="W1933" i="7"/>
  <c r="X1933" i="7"/>
  <c r="Y1933" i="7"/>
  <c r="Z1933" i="7"/>
  <c r="AA1933" i="7"/>
  <c r="AB1933" i="7"/>
  <c r="AC1933" i="7"/>
  <c r="AD1933" i="7"/>
  <c r="AE1933" i="7"/>
  <c r="Q1934" i="7"/>
  <c r="R1934" i="7"/>
  <c r="S1934" i="7"/>
  <c r="T1934" i="7"/>
  <c r="U1934" i="7"/>
  <c r="V1934" i="7"/>
  <c r="W1934" i="7"/>
  <c r="X1934" i="7"/>
  <c r="Y1934" i="7"/>
  <c r="Z1934" i="7"/>
  <c r="AA1934" i="7"/>
  <c r="AB1934" i="7"/>
  <c r="AC1934" i="7"/>
  <c r="AD1934" i="7"/>
  <c r="AE1934" i="7"/>
  <c r="Q1935" i="7"/>
  <c r="R1935" i="7"/>
  <c r="S1935" i="7"/>
  <c r="T1935" i="7"/>
  <c r="U1935" i="7"/>
  <c r="V1935" i="7"/>
  <c r="W1935" i="7"/>
  <c r="X1935" i="7"/>
  <c r="Y1935" i="7"/>
  <c r="Z1935" i="7"/>
  <c r="AA1935" i="7"/>
  <c r="AB1935" i="7"/>
  <c r="AC1935" i="7"/>
  <c r="AD1935" i="7"/>
  <c r="AE1935" i="7"/>
  <c r="Q1936" i="7"/>
  <c r="R1936" i="7"/>
  <c r="S1936" i="7"/>
  <c r="T1936" i="7"/>
  <c r="U1936" i="7"/>
  <c r="V1936" i="7"/>
  <c r="W1936" i="7"/>
  <c r="X1936" i="7"/>
  <c r="Y1936" i="7"/>
  <c r="Z1936" i="7"/>
  <c r="AA1936" i="7"/>
  <c r="AB1936" i="7"/>
  <c r="AC1936" i="7"/>
  <c r="AD1936" i="7"/>
  <c r="AE1936" i="7"/>
  <c r="Q1937" i="7"/>
  <c r="R1937" i="7"/>
  <c r="S1937" i="7"/>
  <c r="T1937" i="7"/>
  <c r="U1937" i="7"/>
  <c r="V1937" i="7"/>
  <c r="W1937" i="7"/>
  <c r="X1937" i="7"/>
  <c r="Y1937" i="7"/>
  <c r="Z1937" i="7"/>
  <c r="AA1937" i="7"/>
  <c r="AB1937" i="7"/>
  <c r="AC1937" i="7"/>
  <c r="AD1937" i="7"/>
  <c r="AE1937" i="7"/>
  <c r="Q1938" i="7"/>
  <c r="R1938" i="7"/>
  <c r="S1938" i="7"/>
  <c r="T1938" i="7"/>
  <c r="U1938" i="7"/>
  <c r="V1938" i="7"/>
  <c r="W1938" i="7"/>
  <c r="X1938" i="7"/>
  <c r="Y1938" i="7"/>
  <c r="Z1938" i="7"/>
  <c r="AA1938" i="7"/>
  <c r="AB1938" i="7"/>
  <c r="AC1938" i="7"/>
  <c r="AD1938" i="7"/>
  <c r="AE1938" i="7"/>
  <c r="Q1939" i="7"/>
  <c r="R1939" i="7"/>
  <c r="S1939" i="7"/>
  <c r="T1939" i="7"/>
  <c r="U1939" i="7"/>
  <c r="V1939" i="7"/>
  <c r="W1939" i="7"/>
  <c r="X1939" i="7"/>
  <c r="Y1939" i="7"/>
  <c r="Z1939" i="7"/>
  <c r="AA1939" i="7"/>
  <c r="AB1939" i="7"/>
  <c r="AC1939" i="7"/>
  <c r="AD1939" i="7"/>
  <c r="AE1939" i="7"/>
  <c r="Q1940" i="7"/>
  <c r="R1940" i="7"/>
  <c r="S1940" i="7"/>
  <c r="T1940" i="7"/>
  <c r="U1940" i="7"/>
  <c r="V1940" i="7"/>
  <c r="W1940" i="7"/>
  <c r="X1940" i="7"/>
  <c r="Y1940" i="7"/>
  <c r="Z1940" i="7"/>
  <c r="AA1940" i="7"/>
  <c r="AB1940" i="7"/>
  <c r="AC1940" i="7"/>
  <c r="AD1940" i="7"/>
  <c r="AE1940" i="7"/>
  <c r="Q1941" i="7"/>
  <c r="R1941" i="7"/>
  <c r="S1941" i="7"/>
  <c r="T1941" i="7"/>
  <c r="U1941" i="7"/>
  <c r="V1941" i="7"/>
  <c r="W1941" i="7"/>
  <c r="X1941" i="7"/>
  <c r="Y1941" i="7"/>
  <c r="Z1941" i="7"/>
  <c r="AA1941" i="7"/>
  <c r="AB1941" i="7"/>
  <c r="AC1941" i="7"/>
  <c r="AD1941" i="7"/>
  <c r="AE1941" i="7"/>
  <c r="Q1942" i="7"/>
  <c r="R1942" i="7"/>
  <c r="S1942" i="7"/>
  <c r="T1942" i="7"/>
  <c r="U1942" i="7"/>
  <c r="V1942" i="7"/>
  <c r="W1942" i="7"/>
  <c r="X1942" i="7"/>
  <c r="Y1942" i="7"/>
  <c r="Z1942" i="7"/>
  <c r="AA1942" i="7"/>
  <c r="AB1942" i="7"/>
  <c r="AC1942" i="7"/>
  <c r="AD1942" i="7"/>
  <c r="AE1942" i="7"/>
  <c r="Q1943" i="7"/>
  <c r="R1943" i="7"/>
  <c r="S1943" i="7"/>
  <c r="T1943" i="7"/>
  <c r="U1943" i="7"/>
  <c r="V1943" i="7"/>
  <c r="W1943" i="7"/>
  <c r="X1943" i="7"/>
  <c r="Y1943" i="7"/>
  <c r="Z1943" i="7"/>
  <c r="AA1943" i="7"/>
  <c r="AB1943" i="7"/>
  <c r="AC1943" i="7"/>
  <c r="AD1943" i="7"/>
  <c r="AE1943" i="7"/>
  <c r="Q1944" i="7"/>
  <c r="R1944" i="7"/>
  <c r="S1944" i="7"/>
  <c r="T1944" i="7"/>
  <c r="U1944" i="7"/>
  <c r="V1944" i="7"/>
  <c r="W1944" i="7"/>
  <c r="X1944" i="7"/>
  <c r="Y1944" i="7"/>
  <c r="Z1944" i="7"/>
  <c r="AA1944" i="7"/>
  <c r="AB1944" i="7"/>
  <c r="AC1944" i="7"/>
  <c r="AD1944" i="7"/>
  <c r="AE1944" i="7"/>
  <c r="Q1945" i="7"/>
  <c r="R1945" i="7"/>
  <c r="S1945" i="7"/>
  <c r="T1945" i="7"/>
  <c r="U1945" i="7"/>
  <c r="V1945" i="7"/>
  <c r="W1945" i="7"/>
  <c r="X1945" i="7"/>
  <c r="Y1945" i="7"/>
  <c r="Z1945" i="7"/>
  <c r="AA1945" i="7"/>
  <c r="AB1945" i="7"/>
  <c r="AC1945" i="7"/>
  <c r="AD1945" i="7"/>
  <c r="AE1945" i="7"/>
  <c r="Q1946" i="7"/>
  <c r="R1946" i="7"/>
  <c r="S1946" i="7"/>
  <c r="T1946" i="7"/>
  <c r="U1946" i="7"/>
  <c r="V1946" i="7"/>
  <c r="W1946" i="7"/>
  <c r="X1946" i="7"/>
  <c r="Y1946" i="7"/>
  <c r="Z1946" i="7"/>
  <c r="AA1946" i="7"/>
  <c r="AB1946" i="7"/>
  <c r="AC1946" i="7"/>
  <c r="AD1946" i="7"/>
  <c r="AE1946" i="7"/>
  <c r="Q1947" i="7"/>
  <c r="R1947" i="7"/>
  <c r="S1947" i="7"/>
  <c r="T1947" i="7"/>
  <c r="U1947" i="7"/>
  <c r="V1947" i="7"/>
  <c r="W1947" i="7"/>
  <c r="X1947" i="7"/>
  <c r="Y1947" i="7"/>
  <c r="Z1947" i="7"/>
  <c r="AA1947" i="7"/>
  <c r="AB1947" i="7"/>
  <c r="AC1947" i="7"/>
  <c r="AD1947" i="7"/>
  <c r="AE1947" i="7"/>
  <c r="Q1948" i="7"/>
  <c r="R1948" i="7"/>
  <c r="S1948" i="7"/>
  <c r="T1948" i="7"/>
  <c r="U1948" i="7"/>
  <c r="V1948" i="7"/>
  <c r="W1948" i="7"/>
  <c r="X1948" i="7"/>
  <c r="Y1948" i="7"/>
  <c r="Z1948" i="7"/>
  <c r="AA1948" i="7"/>
  <c r="AB1948" i="7"/>
  <c r="AC1948" i="7"/>
  <c r="AD1948" i="7"/>
  <c r="AE1948" i="7"/>
  <c r="Q1949" i="7"/>
  <c r="R1949" i="7"/>
  <c r="S1949" i="7"/>
  <c r="T1949" i="7"/>
  <c r="U1949" i="7"/>
  <c r="V1949" i="7"/>
  <c r="W1949" i="7"/>
  <c r="X1949" i="7"/>
  <c r="Y1949" i="7"/>
  <c r="Z1949" i="7"/>
  <c r="AA1949" i="7"/>
  <c r="AB1949" i="7"/>
  <c r="AC1949" i="7"/>
  <c r="AD1949" i="7"/>
  <c r="AE1949" i="7"/>
  <c r="Q1950" i="7"/>
  <c r="R1950" i="7"/>
  <c r="S1950" i="7"/>
  <c r="T1950" i="7"/>
  <c r="U1950" i="7"/>
  <c r="V1950" i="7"/>
  <c r="W1950" i="7"/>
  <c r="X1950" i="7"/>
  <c r="Y1950" i="7"/>
  <c r="Z1950" i="7"/>
  <c r="AA1950" i="7"/>
  <c r="AB1950" i="7"/>
  <c r="AC1950" i="7"/>
  <c r="AD1950" i="7"/>
  <c r="AE1950" i="7"/>
  <c r="Q1951" i="7"/>
  <c r="R1951" i="7"/>
  <c r="S1951" i="7"/>
  <c r="T1951" i="7"/>
  <c r="U1951" i="7"/>
  <c r="V1951" i="7"/>
  <c r="W1951" i="7"/>
  <c r="X1951" i="7"/>
  <c r="Y1951" i="7"/>
  <c r="Z1951" i="7"/>
  <c r="AA1951" i="7"/>
  <c r="AB1951" i="7"/>
  <c r="AC1951" i="7"/>
  <c r="AD1951" i="7"/>
  <c r="AE1951" i="7"/>
  <c r="Q1952" i="7"/>
  <c r="R1952" i="7"/>
  <c r="S1952" i="7"/>
  <c r="T1952" i="7"/>
  <c r="U1952" i="7"/>
  <c r="V1952" i="7"/>
  <c r="W1952" i="7"/>
  <c r="X1952" i="7"/>
  <c r="Y1952" i="7"/>
  <c r="Z1952" i="7"/>
  <c r="AA1952" i="7"/>
  <c r="AB1952" i="7"/>
  <c r="AC1952" i="7"/>
  <c r="AD1952" i="7"/>
  <c r="AE1952" i="7"/>
  <c r="Q1953" i="7"/>
  <c r="R1953" i="7"/>
  <c r="S1953" i="7"/>
  <c r="T1953" i="7"/>
  <c r="U1953" i="7"/>
  <c r="V1953" i="7"/>
  <c r="W1953" i="7"/>
  <c r="X1953" i="7"/>
  <c r="Y1953" i="7"/>
  <c r="Z1953" i="7"/>
  <c r="AA1953" i="7"/>
  <c r="AB1953" i="7"/>
  <c r="AC1953" i="7"/>
  <c r="AD1953" i="7"/>
  <c r="AE1953" i="7"/>
  <c r="Q1954" i="7"/>
  <c r="R1954" i="7"/>
  <c r="S1954" i="7"/>
  <c r="T1954" i="7"/>
  <c r="U1954" i="7"/>
  <c r="V1954" i="7"/>
  <c r="W1954" i="7"/>
  <c r="X1954" i="7"/>
  <c r="Y1954" i="7"/>
  <c r="Z1954" i="7"/>
  <c r="AA1954" i="7"/>
  <c r="AB1954" i="7"/>
  <c r="AC1954" i="7"/>
  <c r="AD1954" i="7"/>
  <c r="AE1954" i="7"/>
  <c r="Q1955" i="7"/>
  <c r="R1955" i="7"/>
  <c r="S1955" i="7"/>
  <c r="T1955" i="7"/>
  <c r="U1955" i="7"/>
  <c r="V1955" i="7"/>
  <c r="W1955" i="7"/>
  <c r="X1955" i="7"/>
  <c r="Y1955" i="7"/>
  <c r="Z1955" i="7"/>
  <c r="AA1955" i="7"/>
  <c r="AB1955" i="7"/>
  <c r="AC1955" i="7"/>
  <c r="AD1955" i="7"/>
  <c r="AE1955" i="7"/>
  <c r="Q1956" i="7"/>
  <c r="R1956" i="7"/>
  <c r="S1956" i="7"/>
  <c r="T1956" i="7"/>
  <c r="U1956" i="7"/>
  <c r="V1956" i="7"/>
  <c r="W1956" i="7"/>
  <c r="X1956" i="7"/>
  <c r="Y1956" i="7"/>
  <c r="Z1956" i="7"/>
  <c r="AA1956" i="7"/>
  <c r="AB1956" i="7"/>
  <c r="AC1956" i="7"/>
  <c r="AD1956" i="7"/>
  <c r="AE1956" i="7"/>
  <c r="Q1957" i="7"/>
  <c r="R1957" i="7"/>
  <c r="S1957" i="7"/>
  <c r="T1957" i="7"/>
  <c r="U1957" i="7"/>
  <c r="V1957" i="7"/>
  <c r="W1957" i="7"/>
  <c r="X1957" i="7"/>
  <c r="Y1957" i="7"/>
  <c r="Z1957" i="7"/>
  <c r="AA1957" i="7"/>
  <c r="AB1957" i="7"/>
  <c r="AC1957" i="7"/>
  <c r="AD1957" i="7"/>
  <c r="AE1957" i="7"/>
  <c r="Q1958" i="7"/>
  <c r="R1958" i="7"/>
  <c r="S1958" i="7"/>
  <c r="T1958" i="7"/>
  <c r="U1958" i="7"/>
  <c r="V1958" i="7"/>
  <c r="W1958" i="7"/>
  <c r="X1958" i="7"/>
  <c r="Y1958" i="7"/>
  <c r="Z1958" i="7"/>
  <c r="AA1958" i="7"/>
  <c r="AB1958" i="7"/>
  <c r="AC1958" i="7"/>
  <c r="AD1958" i="7"/>
  <c r="AE1958" i="7"/>
  <c r="Q1959" i="7"/>
  <c r="R1959" i="7"/>
  <c r="S1959" i="7"/>
  <c r="T1959" i="7"/>
  <c r="U1959" i="7"/>
  <c r="V1959" i="7"/>
  <c r="W1959" i="7"/>
  <c r="X1959" i="7"/>
  <c r="Y1959" i="7"/>
  <c r="Z1959" i="7"/>
  <c r="AA1959" i="7"/>
  <c r="AB1959" i="7"/>
  <c r="AC1959" i="7"/>
  <c r="AD1959" i="7"/>
  <c r="AE1959" i="7"/>
  <c r="Q1960" i="7"/>
  <c r="R1960" i="7"/>
  <c r="S1960" i="7"/>
  <c r="T1960" i="7"/>
  <c r="U1960" i="7"/>
  <c r="V1960" i="7"/>
  <c r="W1960" i="7"/>
  <c r="X1960" i="7"/>
  <c r="Y1960" i="7"/>
  <c r="Z1960" i="7"/>
  <c r="AA1960" i="7"/>
  <c r="AB1960" i="7"/>
  <c r="AC1960" i="7"/>
  <c r="AD1960" i="7"/>
  <c r="AE1960" i="7"/>
  <c r="Q1961" i="7"/>
  <c r="R1961" i="7"/>
  <c r="S1961" i="7"/>
  <c r="T1961" i="7"/>
  <c r="U1961" i="7"/>
  <c r="V1961" i="7"/>
  <c r="W1961" i="7"/>
  <c r="X1961" i="7"/>
  <c r="Y1961" i="7"/>
  <c r="Z1961" i="7"/>
  <c r="AA1961" i="7"/>
  <c r="AB1961" i="7"/>
  <c r="AC1961" i="7"/>
  <c r="AD1961" i="7"/>
  <c r="AE1961" i="7"/>
  <c r="Q1962" i="7"/>
  <c r="R1962" i="7"/>
  <c r="S1962" i="7"/>
  <c r="T1962" i="7"/>
  <c r="U1962" i="7"/>
  <c r="V1962" i="7"/>
  <c r="W1962" i="7"/>
  <c r="X1962" i="7"/>
  <c r="Y1962" i="7"/>
  <c r="Z1962" i="7"/>
  <c r="AA1962" i="7"/>
  <c r="AB1962" i="7"/>
  <c r="AC1962" i="7"/>
  <c r="AD1962" i="7"/>
  <c r="AE1962" i="7"/>
  <c r="Q1963" i="7"/>
  <c r="R1963" i="7"/>
  <c r="S1963" i="7"/>
  <c r="T1963" i="7"/>
  <c r="U1963" i="7"/>
  <c r="V1963" i="7"/>
  <c r="W1963" i="7"/>
  <c r="X1963" i="7"/>
  <c r="Y1963" i="7"/>
  <c r="Z1963" i="7"/>
  <c r="AA1963" i="7"/>
  <c r="AB1963" i="7"/>
  <c r="AC1963" i="7"/>
  <c r="AD1963" i="7"/>
  <c r="AE1963" i="7"/>
  <c r="Q1964" i="7"/>
  <c r="R1964" i="7"/>
  <c r="S1964" i="7"/>
  <c r="T1964" i="7"/>
  <c r="U1964" i="7"/>
  <c r="V1964" i="7"/>
  <c r="W1964" i="7"/>
  <c r="X1964" i="7"/>
  <c r="Y1964" i="7"/>
  <c r="Z1964" i="7"/>
  <c r="AA1964" i="7"/>
  <c r="AB1964" i="7"/>
  <c r="AC1964" i="7"/>
  <c r="AD1964" i="7"/>
  <c r="AE1964" i="7"/>
  <c r="Q1965" i="7"/>
  <c r="R1965" i="7"/>
  <c r="S1965" i="7"/>
  <c r="T1965" i="7"/>
  <c r="U1965" i="7"/>
  <c r="V1965" i="7"/>
  <c r="W1965" i="7"/>
  <c r="X1965" i="7"/>
  <c r="Y1965" i="7"/>
  <c r="Z1965" i="7"/>
  <c r="AA1965" i="7"/>
  <c r="AB1965" i="7"/>
  <c r="AC1965" i="7"/>
  <c r="AD1965" i="7"/>
  <c r="AE1965" i="7"/>
  <c r="Q1966" i="7"/>
  <c r="R1966" i="7"/>
  <c r="S1966" i="7"/>
  <c r="T1966" i="7"/>
  <c r="U1966" i="7"/>
  <c r="V1966" i="7"/>
  <c r="W1966" i="7"/>
  <c r="X1966" i="7"/>
  <c r="Y1966" i="7"/>
  <c r="Z1966" i="7"/>
  <c r="AA1966" i="7"/>
  <c r="AB1966" i="7"/>
  <c r="AC1966" i="7"/>
  <c r="AD1966" i="7"/>
  <c r="AE1966" i="7"/>
  <c r="Q1967" i="7"/>
  <c r="R1967" i="7"/>
  <c r="S1967" i="7"/>
  <c r="T1967" i="7"/>
  <c r="U1967" i="7"/>
  <c r="V1967" i="7"/>
  <c r="W1967" i="7"/>
  <c r="X1967" i="7"/>
  <c r="Y1967" i="7"/>
  <c r="Z1967" i="7"/>
  <c r="AA1967" i="7"/>
  <c r="AB1967" i="7"/>
  <c r="AC1967" i="7"/>
  <c r="AD1967" i="7"/>
  <c r="AE1967" i="7"/>
  <c r="Q1968" i="7"/>
  <c r="R1968" i="7"/>
  <c r="S1968" i="7"/>
  <c r="T1968" i="7"/>
  <c r="U1968" i="7"/>
  <c r="V1968" i="7"/>
  <c r="W1968" i="7"/>
  <c r="X1968" i="7"/>
  <c r="Y1968" i="7"/>
  <c r="Z1968" i="7"/>
  <c r="AA1968" i="7"/>
  <c r="AB1968" i="7"/>
  <c r="AC1968" i="7"/>
  <c r="AD1968" i="7"/>
  <c r="AE1968" i="7"/>
  <c r="Q1969" i="7"/>
  <c r="R1969" i="7"/>
  <c r="S1969" i="7"/>
  <c r="T1969" i="7"/>
  <c r="U1969" i="7"/>
  <c r="V1969" i="7"/>
  <c r="W1969" i="7"/>
  <c r="X1969" i="7"/>
  <c r="Y1969" i="7"/>
  <c r="Z1969" i="7"/>
  <c r="AA1969" i="7"/>
  <c r="AB1969" i="7"/>
  <c r="AC1969" i="7"/>
  <c r="AD1969" i="7"/>
  <c r="AE1969" i="7"/>
  <c r="Q1970" i="7"/>
  <c r="R1970" i="7"/>
  <c r="S1970" i="7"/>
  <c r="T1970" i="7"/>
  <c r="U1970" i="7"/>
  <c r="V1970" i="7"/>
  <c r="W1970" i="7"/>
  <c r="X1970" i="7"/>
  <c r="Y1970" i="7"/>
  <c r="Z1970" i="7"/>
  <c r="AA1970" i="7"/>
  <c r="AB1970" i="7"/>
  <c r="AC1970" i="7"/>
  <c r="AD1970" i="7"/>
  <c r="AE1970" i="7"/>
  <c r="Q1971" i="7"/>
  <c r="R1971" i="7"/>
  <c r="S1971" i="7"/>
  <c r="T1971" i="7"/>
  <c r="U1971" i="7"/>
  <c r="V1971" i="7"/>
  <c r="W1971" i="7"/>
  <c r="X1971" i="7"/>
  <c r="Y1971" i="7"/>
  <c r="Z1971" i="7"/>
  <c r="AA1971" i="7"/>
  <c r="AB1971" i="7"/>
  <c r="AC1971" i="7"/>
  <c r="AD1971" i="7"/>
  <c r="AE1971" i="7"/>
  <c r="Q1972" i="7"/>
  <c r="R1972" i="7"/>
  <c r="S1972" i="7"/>
  <c r="T1972" i="7"/>
  <c r="U1972" i="7"/>
  <c r="V1972" i="7"/>
  <c r="W1972" i="7"/>
  <c r="X1972" i="7"/>
  <c r="Y1972" i="7"/>
  <c r="Z1972" i="7"/>
  <c r="AA1972" i="7"/>
  <c r="AB1972" i="7"/>
  <c r="AC1972" i="7"/>
  <c r="AD1972" i="7"/>
  <c r="AE1972" i="7"/>
  <c r="Q1973" i="7"/>
  <c r="R1973" i="7"/>
  <c r="S1973" i="7"/>
  <c r="T1973" i="7"/>
  <c r="U1973" i="7"/>
  <c r="V1973" i="7"/>
  <c r="W1973" i="7"/>
  <c r="X1973" i="7"/>
  <c r="Y1973" i="7"/>
  <c r="Z1973" i="7"/>
  <c r="AA1973" i="7"/>
  <c r="AB1973" i="7"/>
  <c r="AC1973" i="7"/>
  <c r="AD1973" i="7"/>
  <c r="AE1973" i="7"/>
  <c r="Q1974" i="7"/>
  <c r="R1974" i="7"/>
  <c r="S1974" i="7"/>
  <c r="T1974" i="7"/>
  <c r="U1974" i="7"/>
  <c r="V1974" i="7"/>
  <c r="W1974" i="7"/>
  <c r="X1974" i="7"/>
  <c r="Y1974" i="7"/>
  <c r="Z1974" i="7"/>
  <c r="AA1974" i="7"/>
  <c r="AB1974" i="7"/>
  <c r="AC1974" i="7"/>
  <c r="AD1974" i="7"/>
  <c r="AE1974" i="7"/>
  <c r="Q1975" i="7"/>
  <c r="R1975" i="7"/>
  <c r="S1975" i="7"/>
  <c r="T1975" i="7"/>
  <c r="U1975" i="7"/>
  <c r="V1975" i="7"/>
  <c r="W1975" i="7"/>
  <c r="X1975" i="7"/>
  <c r="Y1975" i="7"/>
  <c r="Z1975" i="7"/>
  <c r="AA1975" i="7"/>
  <c r="AB1975" i="7"/>
  <c r="AC1975" i="7"/>
  <c r="AD1975" i="7"/>
  <c r="AE1975" i="7"/>
  <c r="Q1976" i="7"/>
  <c r="R1976" i="7"/>
  <c r="S1976" i="7"/>
  <c r="T1976" i="7"/>
  <c r="U1976" i="7"/>
  <c r="V1976" i="7"/>
  <c r="W1976" i="7"/>
  <c r="X1976" i="7"/>
  <c r="Y1976" i="7"/>
  <c r="Z1976" i="7"/>
  <c r="AA1976" i="7"/>
  <c r="AB1976" i="7"/>
  <c r="AC1976" i="7"/>
  <c r="AD1976" i="7"/>
  <c r="AE1976" i="7"/>
  <c r="Q1977" i="7"/>
  <c r="R1977" i="7"/>
  <c r="S1977" i="7"/>
  <c r="T1977" i="7"/>
  <c r="U1977" i="7"/>
  <c r="V1977" i="7"/>
  <c r="W1977" i="7"/>
  <c r="X1977" i="7"/>
  <c r="Y1977" i="7"/>
  <c r="Z1977" i="7"/>
  <c r="AA1977" i="7"/>
  <c r="AB1977" i="7"/>
  <c r="AC1977" i="7"/>
  <c r="AD1977" i="7"/>
  <c r="AE1977" i="7"/>
  <c r="Q1978" i="7"/>
  <c r="R1978" i="7"/>
  <c r="S1978" i="7"/>
  <c r="T1978" i="7"/>
  <c r="U1978" i="7"/>
  <c r="V1978" i="7"/>
  <c r="W1978" i="7"/>
  <c r="X1978" i="7"/>
  <c r="Y1978" i="7"/>
  <c r="Z1978" i="7"/>
  <c r="AA1978" i="7"/>
  <c r="AB1978" i="7"/>
  <c r="AC1978" i="7"/>
  <c r="AD1978" i="7"/>
  <c r="AE1978" i="7"/>
  <c r="Q1979" i="7"/>
  <c r="R1979" i="7"/>
  <c r="S1979" i="7"/>
  <c r="T1979" i="7"/>
  <c r="U1979" i="7"/>
  <c r="V1979" i="7"/>
  <c r="W1979" i="7"/>
  <c r="X1979" i="7"/>
  <c r="Y1979" i="7"/>
  <c r="Z1979" i="7"/>
  <c r="AA1979" i="7"/>
  <c r="AB1979" i="7"/>
  <c r="AC1979" i="7"/>
  <c r="AD1979" i="7"/>
  <c r="AE1979" i="7"/>
  <c r="Q1980" i="7"/>
  <c r="R1980" i="7"/>
  <c r="S1980" i="7"/>
  <c r="T1980" i="7"/>
  <c r="U1980" i="7"/>
  <c r="V1980" i="7"/>
  <c r="W1980" i="7"/>
  <c r="X1980" i="7"/>
  <c r="Y1980" i="7"/>
  <c r="Z1980" i="7"/>
  <c r="AA1980" i="7"/>
  <c r="AB1980" i="7"/>
  <c r="AC1980" i="7"/>
  <c r="AD1980" i="7"/>
  <c r="AE1980" i="7"/>
  <c r="Q1981" i="7"/>
  <c r="R1981" i="7"/>
  <c r="S1981" i="7"/>
  <c r="T1981" i="7"/>
  <c r="U1981" i="7"/>
  <c r="V1981" i="7"/>
  <c r="W1981" i="7"/>
  <c r="X1981" i="7"/>
  <c r="Y1981" i="7"/>
  <c r="Z1981" i="7"/>
  <c r="AA1981" i="7"/>
  <c r="AB1981" i="7"/>
  <c r="AC1981" i="7"/>
  <c r="AD1981" i="7"/>
  <c r="AE1981" i="7"/>
  <c r="Q1982" i="7"/>
  <c r="R1982" i="7"/>
  <c r="S1982" i="7"/>
  <c r="T1982" i="7"/>
  <c r="U1982" i="7"/>
  <c r="V1982" i="7"/>
  <c r="W1982" i="7"/>
  <c r="X1982" i="7"/>
  <c r="Y1982" i="7"/>
  <c r="Z1982" i="7"/>
  <c r="AA1982" i="7"/>
  <c r="AB1982" i="7"/>
  <c r="AC1982" i="7"/>
  <c r="AD1982" i="7"/>
  <c r="AE1982" i="7"/>
  <c r="Q1983" i="7"/>
  <c r="R1983" i="7"/>
  <c r="S1983" i="7"/>
  <c r="T1983" i="7"/>
  <c r="U1983" i="7"/>
  <c r="V1983" i="7"/>
  <c r="W1983" i="7"/>
  <c r="X1983" i="7"/>
  <c r="Y1983" i="7"/>
  <c r="Z1983" i="7"/>
  <c r="AA1983" i="7"/>
  <c r="AB1983" i="7"/>
  <c r="AC1983" i="7"/>
  <c r="AD1983" i="7"/>
  <c r="AE1983" i="7"/>
  <c r="Q1984" i="7"/>
  <c r="R1984" i="7"/>
  <c r="S1984" i="7"/>
  <c r="T1984" i="7"/>
  <c r="U1984" i="7"/>
  <c r="V1984" i="7"/>
  <c r="W1984" i="7"/>
  <c r="X1984" i="7"/>
  <c r="Y1984" i="7"/>
  <c r="Z1984" i="7"/>
  <c r="AA1984" i="7"/>
  <c r="AB1984" i="7"/>
  <c r="AC1984" i="7"/>
  <c r="AD1984" i="7"/>
  <c r="AE1984" i="7"/>
  <c r="Q1985" i="7"/>
  <c r="R1985" i="7"/>
  <c r="S1985" i="7"/>
  <c r="T1985" i="7"/>
  <c r="U1985" i="7"/>
  <c r="V1985" i="7"/>
  <c r="W1985" i="7"/>
  <c r="X1985" i="7"/>
  <c r="Y1985" i="7"/>
  <c r="Z1985" i="7"/>
  <c r="AA1985" i="7"/>
  <c r="AB1985" i="7"/>
  <c r="AC1985" i="7"/>
  <c r="AD1985" i="7"/>
  <c r="AE1985" i="7"/>
  <c r="Q1986" i="7"/>
  <c r="R1986" i="7"/>
  <c r="S1986" i="7"/>
  <c r="T1986" i="7"/>
  <c r="U1986" i="7"/>
  <c r="V1986" i="7"/>
  <c r="W1986" i="7"/>
  <c r="X1986" i="7"/>
  <c r="Y1986" i="7"/>
  <c r="Z1986" i="7"/>
  <c r="AA1986" i="7"/>
  <c r="AB1986" i="7"/>
  <c r="AC1986" i="7"/>
  <c r="AD1986" i="7"/>
  <c r="AE1986" i="7"/>
  <c r="Q1987" i="7"/>
  <c r="R1987" i="7"/>
  <c r="S1987" i="7"/>
  <c r="T1987" i="7"/>
  <c r="U1987" i="7"/>
  <c r="V1987" i="7"/>
  <c r="W1987" i="7"/>
  <c r="X1987" i="7"/>
  <c r="Y1987" i="7"/>
  <c r="Z1987" i="7"/>
  <c r="AA1987" i="7"/>
  <c r="AB1987" i="7"/>
  <c r="AC1987" i="7"/>
  <c r="AD1987" i="7"/>
  <c r="AE1987" i="7"/>
  <c r="Q1988" i="7"/>
  <c r="R1988" i="7"/>
  <c r="S1988" i="7"/>
  <c r="T1988" i="7"/>
  <c r="U1988" i="7"/>
  <c r="V1988" i="7"/>
  <c r="W1988" i="7"/>
  <c r="X1988" i="7"/>
  <c r="Y1988" i="7"/>
  <c r="Z1988" i="7"/>
  <c r="AA1988" i="7"/>
  <c r="AB1988" i="7"/>
  <c r="AC1988" i="7"/>
  <c r="AD1988" i="7"/>
  <c r="AE1988" i="7"/>
  <c r="Q1989" i="7"/>
  <c r="R1989" i="7"/>
  <c r="S1989" i="7"/>
  <c r="T1989" i="7"/>
  <c r="U1989" i="7"/>
  <c r="V1989" i="7"/>
  <c r="W1989" i="7"/>
  <c r="X1989" i="7"/>
  <c r="Y1989" i="7"/>
  <c r="Z1989" i="7"/>
  <c r="AA1989" i="7"/>
  <c r="AB1989" i="7"/>
  <c r="AC1989" i="7"/>
  <c r="AD1989" i="7"/>
  <c r="AE1989" i="7"/>
  <c r="Q1990" i="7"/>
  <c r="R1990" i="7"/>
  <c r="S1990" i="7"/>
  <c r="T1990" i="7"/>
  <c r="U1990" i="7"/>
  <c r="V1990" i="7"/>
  <c r="W1990" i="7"/>
  <c r="X1990" i="7"/>
  <c r="Y1990" i="7"/>
  <c r="Z1990" i="7"/>
  <c r="AA1990" i="7"/>
  <c r="AB1990" i="7"/>
  <c r="AC1990" i="7"/>
  <c r="AD1990" i="7"/>
  <c r="AE1990" i="7"/>
  <c r="Q1991" i="7"/>
  <c r="R1991" i="7"/>
  <c r="S1991" i="7"/>
  <c r="T1991" i="7"/>
  <c r="U1991" i="7"/>
  <c r="V1991" i="7"/>
  <c r="W1991" i="7"/>
  <c r="X1991" i="7"/>
  <c r="Y1991" i="7"/>
  <c r="Z1991" i="7"/>
  <c r="AA1991" i="7"/>
  <c r="AB1991" i="7"/>
  <c r="AC1991" i="7"/>
  <c r="AD1991" i="7"/>
  <c r="AE1991" i="7"/>
  <c r="Q1992" i="7"/>
  <c r="R1992" i="7"/>
  <c r="S1992" i="7"/>
  <c r="T1992" i="7"/>
  <c r="U1992" i="7"/>
  <c r="V1992" i="7"/>
  <c r="W1992" i="7"/>
  <c r="X1992" i="7"/>
  <c r="Y1992" i="7"/>
  <c r="Z1992" i="7"/>
  <c r="AA1992" i="7"/>
  <c r="AB1992" i="7"/>
  <c r="AC1992" i="7"/>
  <c r="AD1992" i="7"/>
  <c r="AE1992" i="7"/>
  <c r="Q1993" i="7"/>
  <c r="R1993" i="7"/>
  <c r="S1993" i="7"/>
  <c r="T1993" i="7"/>
  <c r="U1993" i="7"/>
  <c r="V1993" i="7"/>
  <c r="W1993" i="7"/>
  <c r="X1993" i="7"/>
  <c r="Y1993" i="7"/>
  <c r="Z1993" i="7"/>
  <c r="AA1993" i="7"/>
  <c r="AB1993" i="7"/>
  <c r="AC1993" i="7"/>
  <c r="AD1993" i="7"/>
  <c r="AE1993" i="7"/>
  <c r="Q1994" i="7"/>
  <c r="R1994" i="7"/>
  <c r="S1994" i="7"/>
  <c r="T1994" i="7"/>
  <c r="U1994" i="7"/>
  <c r="V1994" i="7"/>
  <c r="W1994" i="7"/>
  <c r="X1994" i="7"/>
  <c r="Y1994" i="7"/>
  <c r="Z1994" i="7"/>
  <c r="AA1994" i="7"/>
  <c r="AB1994" i="7"/>
  <c r="AC1994" i="7"/>
  <c r="AD1994" i="7"/>
  <c r="AE1994" i="7"/>
  <c r="Q1995" i="7"/>
  <c r="R1995" i="7"/>
  <c r="S1995" i="7"/>
  <c r="T1995" i="7"/>
  <c r="U1995" i="7"/>
  <c r="V1995" i="7"/>
  <c r="W1995" i="7"/>
  <c r="X1995" i="7"/>
  <c r="Y1995" i="7"/>
  <c r="Z1995" i="7"/>
  <c r="AA1995" i="7"/>
  <c r="AB1995" i="7"/>
  <c r="AC1995" i="7"/>
  <c r="AD1995" i="7"/>
  <c r="AE1995" i="7"/>
  <c r="Q1996" i="7"/>
  <c r="R1996" i="7"/>
  <c r="S1996" i="7"/>
  <c r="T1996" i="7"/>
  <c r="U1996" i="7"/>
  <c r="V1996" i="7"/>
  <c r="W1996" i="7"/>
  <c r="X1996" i="7"/>
  <c r="Y1996" i="7"/>
  <c r="Z1996" i="7"/>
  <c r="AA1996" i="7"/>
  <c r="AB1996" i="7"/>
  <c r="AC1996" i="7"/>
  <c r="AD1996" i="7"/>
  <c r="AE1996" i="7"/>
  <c r="Q1997" i="7"/>
  <c r="R1997" i="7"/>
  <c r="S1997" i="7"/>
  <c r="T1997" i="7"/>
  <c r="U1997" i="7"/>
  <c r="V1997" i="7"/>
  <c r="W1997" i="7"/>
  <c r="X1997" i="7"/>
  <c r="Y1997" i="7"/>
  <c r="Z1997" i="7"/>
  <c r="AA1997" i="7"/>
  <c r="AB1997" i="7"/>
  <c r="AC1997" i="7"/>
  <c r="AD1997" i="7"/>
  <c r="AE1997" i="7"/>
  <c r="Q1998" i="7"/>
  <c r="R1998" i="7"/>
  <c r="S1998" i="7"/>
  <c r="T1998" i="7"/>
  <c r="U1998" i="7"/>
  <c r="V1998" i="7"/>
  <c r="W1998" i="7"/>
  <c r="X1998" i="7"/>
  <c r="Y1998" i="7"/>
  <c r="Z1998" i="7"/>
  <c r="AA1998" i="7"/>
  <c r="AB1998" i="7"/>
  <c r="AC1998" i="7"/>
  <c r="AD1998" i="7"/>
  <c r="AE1998" i="7"/>
  <c r="Q1999" i="7"/>
  <c r="R1999" i="7"/>
  <c r="S1999" i="7"/>
  <c r="T1999" i="7"/>
  <c r="U1999" i="7"/>
  <c r="V1999" i="7"/>
  <c r="W1999" i="7"/>
  <c r="X1999" i="7"/>
  <c r="Y1999" i="7"/>
  <c r="Z1999" i="7"/>
  <c r="AA1999" i="7"/>
  <c r="AB1999" i="7"/>
  <c r="AC1999" i="7"/>
  <c r="AD1999" i="7"/>
  <c r="AE1999" i="7"/>
  <c r="Q2000" i="7"/>
  <c r="R2000" i="7"/>
  <c r="S2000" i="7"/>
  <c r="T2000" i="7"/>
  <c r="U2000" i="7"/>
  <c r="V2000" i="7"/>
  <c r="W2000" i="7"/>
  <c r="X2000" i="7"/>
  <c r="Y2000" i="7"/>
  <c r="Z2000" i="7"/>
  <c r="AA2000" i="7"/>
  <c r="AB2000" i="7"/>
  <c r="AC2000" i="7"/>
  <c r="AD2000" i="7"/>
  <c r="AE2000" i="7"/>
  <c r="Q2001" i="7"/>
  <c r="R2001" i="7"/>
  <c r="S2001" i="7"/>
  <c r="T2001" i="7"/>
  <c r="U2001" i="7"/>
  <c r="V2001" i="7"/>
  <c r="W2001" i="7"/>
  <c r="X2001" i="7"/>
  <c r="Y2001" i="7"/>
  <c r="Z2001" i="7"/>
  <c r="AA2001" i="7"/>
  <c r="AB2001" i="7"/>
  <c r="AC2001" i="7"/>
  <c r="AD2001" i="7"/>
  <c r="AE2001" i="7"/>
  <c r="Q2002" i="7"/>
  <c r="R2002" i="7"/>
  <c r="S2002" i="7"/>
  <c r="T2002" i="7"/>
  <c r="U2002" i="7"/>
  <c r="V2002" i="7"/>
  <c r="W2002" i="7"/>
  <c r="X2002" i="7"/>
  <c r="Y2002" i="7"/>
  <c r="Z2002" i="7"/>
  <c r="AA2002" i="7"/>
  <c r="AB2002" i="7"/>
  <c r="AC2002" i="7"/>
  <c r="AD2002" i="7"/>
  <c r="AE2002" i="7"/>
  <c r="Q2003" i="7"/>
  <c r="R2003" i="7"/>
  <c r="S2003" i="7"/>
  <c r="T2003" i="7"/>
  <c r="U2003" i="7"/>
  <c r="V2003" i="7"/>
  <c r="W2003" i="7"/>
  <c r="X2003" i="7"/>
  <c r="Y2003" i="7"/>
  <c r="Z2003" i="7"/>
  <c r="AA2003" i="7"/>
  <c r="AB2003" i="7"/>
  <c r="AC2003" i="7"/>
  <c r="AD2003" i="7"/>
  <c r="AE2003" i="7"/>
  <c r="Q2004" i="7"/>
  <c r="R2004" i="7"/>
  <c r="S2004" i="7"/>
  <c r="T2004" i="7"/>
  <c r="U2004" i="7"/>
  <c r="V2004" i="7"/>
  <c r="W2004" i="7"/>
  <c r="X2004" i="7"/>
  <c r="Y2004" i="7"/>
  <c r="Z2004" i="7"/>
  <c r="AA2004" i="7"/>
  <c r="AB2004" i="7"/>
  <c r="AC2004" i="7"/>
  <c r="AD2004" i="7"/>
  <c r="AE2004" i="7"/>
  <c r="Q2005" i="7"/>
  <c r="R2005" i="7"/>
  <c r="S2005" i="7"/>
  <c r="T2005" i="7"/>
  <c r="U2005" i="7"/>
  <c r="V2005" i="7"/>
  <c r="W2005" i="7"/>
  <c r="X2005" i="7"/>
  <c r="Y2005" i="7"/>
  <c r="Z2005" i="7"/>
  <c r="AA2005" i="7"/>
  <c r="AB2005" i="7"/>
  <c r="AC2005" i="7"/>
  <c r="AD2005" i="7"/>
  <c r="AE2005" i="7"/>
  <c r="Q2006" i="7"/>
  <c r="R2006" i="7"/>
  <c r="S2006" i="7"/>
  <c r="T2006" i="7"/>
  <c r="U2006" i="7"/>
  <c r="V2006" i="7"/>
  <c r="W2006" i="7"/>
  <c r="X2006" i="7"/>
  <c r="Y2006" i="7"/>
  <c r="Z2006" i="7"/>
  <c r="AA2006" i="7"/>
  <c r="AB2006" i="7"/>
  <c r="AC2006" i="7"/>
  <c r="AD2006" i="7"/>
  <c r="AE2006" i="7"/>
  <c r="Q2007" i="7"/>
  <c r="R2007" i="7"/>
  <c r="S2007" i="7"/>
  <c r="T2007" i="7"/>
  <c r="U2007" i="7"/>
  <c r="V2007" i="7"/>
  <c r="W2007" i="7"/>
  <c r="X2007" i="7"/>
  <c r="Y2007" i="7"/>
  <c r="Z2007" i="7"/>
  <c r="AA2007" i="7"/>
  <c r="AB2007" i="7"/>
  <c r="AC2007" i="7"/>
  <c r="AD2007" i="7"/>
  <c r="AE2007" i="7"/>
  <c r="Q2008" i="7"/>
  <c r="R2008" i="7"/>
  <c r="S2008" i="7"/>
  <c r="T2008" i="7"/>
  <c r="U2008" i="7"/>
  <c r="V2008" i="7"/>
  <c r="W2008" i="7"/>
  <c r="X2008" i="7"/>
  <c r="Y2008" i="7"/>
  <c r="Z2008" i="7"/>
  <c r="AA2008" i="7"/>
  <c r="AB2008" i="7"/>
  <c r="AC2008" i="7"/>
  <c r="AD2008" i="7"/>
  <c r="AE2008" i="7"/>
  <c r="Q2009" i="7"/>
  <c r="R2009" i="7"/>
  <c r="S2009" i="7"/>
  <c r="T2009" i="7"/>
  <c r="U2009" i="7"/>
  <c r="V2009" i="7"/>
  <c r="W2009" i="7"/>
  <c r="X2009" i="7"/>
  <c r="Y2009" i="7"/>
  <c r="Z2009" i="7"/>
  <c r="AA2009" i="7"/>
  <c r="AB2009" i="7"/>
  <c r="AC2009" i="7"/>
  <c r="AD2009" i="7"/>
  <c r="AE2009" i="7"/>
  <c r="Q2010" i="7"/>
  <c r="R2010" i="7"/>
  <c r="S2010" i="7"/>
  <c r="T2010" i="7"/>
  <c r="U2010" i="7"/>
  <c r="V2010" i="7"/>
  <c r="W2010" i="7"/>
  <c r="X2010" i="7"/>
  <c r="Y2010" i="7"/>
  <c r="Z2010" i="7"/>
  <c r="AA2010" i="7"/>
  <c r="AB2010" i="7"/>
  <c r="AC2010" i="7"/>
  <c r="AD2010" i="7"/>
  <c r="AE2010" i="7"/>
  <c r="Q2011" i="7"/>
  <c r="R2011" i="7"/>
  <c r="S2011" i="7"/>
  <c r="T2011" i="7"/>
  <c r="U2011" i="7"/>
  <c r="V2011" i="7"/>
  <c r="W2011" i="7"/>
  <c r="X2011" i="7"/>
  <c r="Y2011" i="7"/>
  <c r="Z2011" i="7"/>
  <c r="AA2011" i="7"/>
  <c r="AB2011" i="7"/>
  <c r="AC2011" i="7"/>
  <c r="AD2011" i="7"/>
  <c r="AE2011" i="7"/>
  <c r="Q2012" i="7"/>
  <c r="R2012" i="7"/>
  <c r="S2012" i="7"/>
  <c r="T2012" i="7"/>
  <c r="U2012" i="7"/>
  <c r="V2012" i="7"/>
  <c r="W2012" i="7"/>
  <c r="X2012" i="7"/>
  <c r="Y2012" i="7"/>
  <c r="Z2012" i="7"/>
  <c r="AA2012" i="7"/>
  <c r="AB2012" i="7"/>
  <c r="AC2012" i="7"/>
  <c r="AD2012" i="7"/>
  <c r="AE2012" i="7"/>
  <c r="Q2013" i="7"/>
  <c r="R2013" i="7"/>
  <c r="S2013" i="7"/>
  <c r="T2013" i="7"/>
  <c r="U2013" i="7"/>
  <c r="V2013" i="7"/>
  <c r="W2013" i="7"/>
  <c r="X2013" i="7"/>
  <c r="Y2013" i="7"/>
  <c r="Z2013" i="7"/>
  <c r="AA2013" i="7"/>
  <c r="AB2013" i="7"/>
  <c r="AC2013" i="7"/>
  <c r="AD2013" i="7"/>
  <c r="AE2013" i="7"/>
  <c r="Q2014" i="7"/>
  <c r="R2014" i="7"/>
  <c r="S2014" i="7"/>
  <c r="T2014" i="7"/>
  <c r="U2014" i="7"/>
  <c r="V2014" i="7"/>
  <c r="W2014" i="7"/>
  <c r="X2014" i="7"/>
  <c r="Y2014" i="7"/>
  <c r="Z2014" i="7"/>
  <c r="AA2014" i="7"/>
  <c r="AB2014" i="7"/>
  <c r="AC2014" i="7"/>
  <c r="AD2014" i="7"/>
  <c r="AE2014" i="7"/>
  <c r="Q2015" i="7"/>
  <c r="R2015" i="7"/>
  <c r="S2015" i="7"/>
  <c r="T2015" i="7"/>
  <c r="U2015" i="7"/>
  <c r="V2015" i="7"/>
  <c r="W2015" i="7"/>
  <c r="X2015" i="7"/>
  <c r="Y2015" i="7"/>
  <c r="Z2015" i="7"/>
  <c r="AA2015" i="7"/>
  <c r="AB2015" i="7"/>
  <c r="AC2015" i="7"/>
  <c r="AD2015" i="7"/>
  <c r="AE2015" i="7"/>
  <c r="Q2016" i="7"/>
  <c r="R2016" i="7"/>
  <c r="S2016" i="7"/>
  <c r="T2016" i="7"/>
  <c r="U2016" i="7"/>
  <c r="V2016" i="7"/>
  <c r="W2016" i="7"/>
  <c r="X2016" i="7"/>
  <c r="Y2016" i="7"/>
  <c r="Z2016" i="7"/>
  <c r="AA2016" i="7"/>
  <c r="AB2016" i="7"/>
  <c r="AC2016" i="7"/>
  <c r="AD2016" i="7"/>
  <c r="AE2016" i="7"/>
  <c r="Q2017" i="7"/>
  <c r="R2017" i="7"/>
  <c r="S2017" i="7"/>
  <c r="T2017" i="7"/>
  <c r="U2017" i="7"/>
  <c r="V2017" i="7"/>
  <c r="W2017" i="7"/>
  <c r="X2017" i="7"/>
  <c r="Y2017" i="7"/>
  <c r="Z2017" i="7"/>
  <c r="AA2017" i="7"/>
  <c r="AB2017" i="7"/>
  <c r="AC2017" i="7"/>
  <c r="AD2017" i="7"/>
  <c r="AE2017" i="7"/>
  <c r="Q2018" i="7"/>
  <c r="R2018" i="7"/>
  <c r="S2018" i="7"/>
  <c r="T2018" i="7"/>
  <c r="U2018" i="7"/>
  <c r="V2018" i="7"/>
  <c r="W2018" i="7"/>
  <c r="X2018" i="7"/>
  <c r="Y2018" i="7"/>
  <c r="Z2018" i="7"/>
  <c r="AA2018" i="7"/>
  <c r="AB2018" i="7"/>
  <c r="AC2018" i="7"/>
  <c r="AD2018" i="7"/>
  <c r="AE2018" i="7"/>
  <c r="Q2019" i="7"/>
  <c r="R2019" i="7"/>
  <c r="S2019" i="7"/>
  <c r="T2019" i="7"/>
  <c r="U2019" i="7"/>
  <c r="V2019" i="7"/>
  <c r="W2019" i="7"/>
  <c r="X2019" i="7"/>
  <c r="Y2019" i="7"/>
  <c r="Z2019" i="7"/>
  <c r="AA2019" i="7"/>
  <c r="AB2019" i="7"/>
  <c r="AC2019" i="7"/>
  <c r="AD2019" i="7"/>
  <c r="AE2019" i="7"/>
  <c r="Q2020" i="7"/>
  <c r="R2020" i="7"/>
  <c r="S2020" i="7"/>
  <c r="T2020" i="7"/>
  <c r="U2020" i="7"/>
  <c r="V2020" i="7"/>
  <c r="W2020" i="7"/>
  <c r="X2020" i="7"/>
  <c r="Y2020" i="7"/>
  <c r="Z2020" i="7"/>
  <c r="AA2020" i="7"/>
  <c r="AB2020" i="7"/>
  <c r="AC2020" i="7"/>
  <c r="AD2020" i="7"/>
  <c r="AE2020" i="7"/>
  <c r="Q2021" i="7"/>
  <c r="R2021" i="7"/>
  <c r="S2021" i="7"/>
  <c r="T2021" i="7"/>
  <c r="U2021" i="7"/>
  <c r="V2021" i="7"/>
  <c r="W2021" i="7"/>
  <c r="X2021" i="7"/>
  <c r="Y2021" i="7"/>
  <c r="Z2021" i="7"/>
  <c r="AA2021" i="7"/>
  <c r="AB2021" i="7"/>
  <c r="AC2021" i="7"/>
  <c r="AD2021" i="7"/>
  <c r="AE2021" i="7"/>
  <c r="Q2022" i="7"/>
  <c r="R2022" i="7"/>
  <c r="S2022" i="7"/>
  <c r="T2022" i="7"/>
  <c r="U2022" i="7"/>
  <c r="V2022" i="7"/>
  <c r="W2022" i="7"/>
  <c r="X2022" i="7"/>
  <c r="Y2022" i="7"/>
  <c r="Z2022" i="7"/>
  <c r="AA2022" i="7"/>
  <c r="AB2022" i="7"/>
  <c r="AC2022" i="7"/>
  <c r="AD2022" i="7"/>
  <c r="AE2022" i="7"/>
  <c r="Q2023" i="7"/>
  <c r="R2023" i="7"/>
  <c r="S2023" i="7"/>
  <c r="T2023" i="7"/>
  <c r="U2023" i="7"/>
  <c r="V2023" i="7"/>
  <c r="W2023" i="7"/>
  <c r="X2023" i="7"/>
  <c r="Y2023" i="7"/>
  <c r="Z2023" i="7"/>
  <c r="AA2023" i="7"/>
  <c r="AB2023" i="7"/>
  <c r="AC2023" i="7"/>
  <c r="AD2023" i="7"/>
  <c r="AE2023" i="7"/>
  <c r="Q2024" i="7"/>
  <c r="R2024" i="7"/>
  <c r="S2024" i="7"/>
  <c r="T2024" i="7"/>
  <c r="U2024" i="7"/>
  <c r="V2024" i="7"/>
  <c r="W2024" i="7"/>
  <c r="X2024" i="7"/>
  <c r="Y2024" i="7"/>
  <c r="Z2024" i="7"/>
  <c r="AA2024" i="7"/>
  <c r="AB2024" i="7"/>
  <c r="AC2024" i="7"/>
  <c r="AD2024" i="7"/>
  <c r="AE2024" i="7"/>
  <c r="Q2025" i="7"/>
  <c r="R2025" i="7"/>
  <c r="S2025" i="7"/>
  <c r="T2025" i="7"/>
  <c r="U2025" i="7"/>
  <c r="V2025" i="7"/>
  <c r="W2025" i="7"/>
  <c r="X2025" i="7"/>
  <c r="Y2025" i="7"/>
  <c r="Z2025" i="7"/>
  <c r="AA2025" i="7"/>
  <c r="AB2025" i="7"/>
  <c r="AC2025" i="7"/>
  <c r="AD2025" i="7"/>
  <c r="AE2025" i="7"/>
  <c r="Q2026" i="7"/>
  <c r="R2026" i="7"/>
  <c r="S2026" i="7"/>
  <c r="T2026" i="7"/>
  <c r="U2026" i="7"/>
  <c r="V2026" i="7"/>
  <c r="W2026" i="7"/>
  <c r="X2026" i="7"/>
  <c r="Y2026" i="7"/>
  <c r="Z2026" i="7"/>
  <c r="AA2026" i="7"/>
  <c r="AB2026" i="7"/>
  <c r="AC2026" i="7"/>
  <c r="AD2026" i="7"/>
  <c r="AE2026" i="7"/>
  <c r="Q2027" i="7"/>
  <c r="R2027" i="7"/>
  <c r="S2027" i="7"/>
  <c r="T2027" i="7"/>
  <c r="U2027" i="7"/>
  <c r="V2027" i="7"/>
  <c r="W2027" i="7"/>
  <c r="X2027" i="7"/>
  <c r="Y2027" i="7"/>
  <c r="Z2027" i="7"/>
  <c r="AA2027" i="7"/>
  <c r="AB2027" i="7"/>
  <c r="AC2027" i="7"/>
  <c r="AD2027" i="7"/>
  <c r="AE2027" i="7"/>
  <c r="Q2028" i="7"/>
  <c r="R2028" i="7"/>
  <c r="S2028" i="7"/>
  <c r="T2028" i="7"/>
  <c r="U2028" i="7"/>
  <c r="V2028" i="7"/>
  <c r="W2028" i="7"/>
  <c r="X2028" i="7"/>
  <c r="Y2028" i="7"/>
  <c r="Z2028" i="7"/>
  <c r="AA2028" i="7"/>
  <c r="AB2028" i="7"/>
  <c r="AC2028" i="7"/>
  <c r="AD2028" i="7"/>
  <c r="AE2028" i="7"/>
  <c r="Q2029" i="7"/>
  <c r="R2029" i="7"/>
  <c r="S2029" i="7"/>
  <c r="T2029" i="7"/>
  <c r="U2029" i="7"/>
  <c r="V2029" i="7"/>
  <c r="W2029" i="7"/>
  <c r="X2029" i="7"/>
  <c r="Y2029" i="7"/>
  <c r="Z2029" i="7"/>
  <c r="AA2029" i="7"/>
  <c r="AB2029" i="7"/>
  <c r="AC2029" i="7"/>
  <c r="AD2029" i="7"/>
  <c r="AE2029" i="7"/>
  <c r="Q2030" i="7"/>
  <c r="R2030" i="7"/>
  <c r="S2030" i="7"/>
  <c r="T2030" i="7"/>
  <c r="U2030" i="7"/>
  <c r="V2030" i="7"/>
  <c r="W2030" i="7"/>
  <c r="X2030" i="7"/>
  <c r="Y2030" i="7"/>
  <c r="Z2030" i="7"/>
  <c r="AA2030" i="7"/>
  <c r="AB2030" i="7"/>
  <c r="AC2030" i="7"/>
  <c r="AD2030" i="7"/>
  <c r="AE2030" i="7"/>
  <c r="Q2031" i="7"/>
  <c r="R2031" i="7"/>
  <c r="S2031" i="7"/>
  <c r="T2031" i="7"/>
  <c r="U2031" i="7"/>
  <c r="V2031" i="7"/>
  <c r="W2031" i="7"/>
  <c r="X2031" i="7"/>
  <c r="Y2031" i="7"/>
  <c r="Z2031" i="7"/>
  <c r="AA2031" i="7"/>
  <c r="AB2031" i="7"/>
  <c r="AC2031" i="7"/>
  <c r="AD2031" i="7"/>
  <c r="AE2031" i="7"/>
  <c r="Q2032" i="7"/>
  <c r="R2032" i="7"/>
  <c r="S2032" i="7"/>
  <c r="T2032" i="7"/>
  <c r="U2032" i="7"/>
  <c r="V2032" i="7"/>
  <c r="W2032" i="7"/>
  <c r="X2032" i="7"/>
  <c r="Y2032" i="7"/>
  <c r="Z2032" i="7"/>
  <c r="AA2032" i="7"/>
  <c r="AB2032" i="7"/>
  <c r="AC2032" i="7"/>
  <c r="AD2032" i="7"/>
  <c r="AE2032" i="7"/>
  <c r="Q2033" i="7"/>
  <c r="R2033" i="7"/>
  <c r="S2033" i="7"/>
  <c r="T2033" i="7"/>
  <c r="U2033" i="7"/>
  <c r="V2033" i="7"/>
  <c r="W2033" i="7"/>
  <c r="X2033" i="7"/>
  <c r="Y2033" i="7"/>
  <c r="Z2033" i="7"/>
  <c r="AA2033" i="7"/>
  <c r="AB2033" i="7"/>
  <c r="AC2033" i="7"/>
  <c r="AD2033" i="7"/>
  <c r="AE2033" i="7"/>
  <c r="Q2034" i="7"/>
  <c r="R2034" i="7"/>
  <c r="S2034" i="7"/>
  <c r="T2034" i="7"/>
  <c r="U2034" i="7"/>
  <c r="V2034" i="7"/>
  <c r="W2034" i="7"/>
  <c r="X2034" i="7"/>
  <c r="Y2034" i="7"/>
  <c r="Z2034" i="7"/>
  <c r="AA2034" i="7"/>
  <c r="AB2034" i="7"/>
  <c r="AC2034" i="7"/>
  <c r="AD2034" i="7"/>
  <c r="AE2034" i="7"/>
  <c r="Q2035" i="7"/>
  <c r="R2035" i="7"/>
  <c r="S2035" i="7"/>
  <c r="T2035" i="7"/>
  <c r="U2035" i="7"/>
  <c r="V2035" i="7"/>
  <c r="W2035" i="7"/>
  <c r="X2035" i="7"/>
  <c r="Y2035" i="7"/>
  <c r="Z2035" i="7"/>
  <c r="AA2035" i="7"/>
  <c r="AB2035" i="7"/>
  <c r="AC2035" i="7"/>
  <c r="AD2035" i="7"/>
  <c r="AE2035" i="7"/>
  <c r="Q2036" i="7"/>
  <c r="R2036" i="7"/>
  <c r="S2036" i="7"/>
  <c r="T2036" i="7"/>
  <c r="U2036" i="7"/>
  <c r="V2036" i="7"/>
  <c r="W2036" i="7"/>
  <c r="X2036" i="7"/>
  <c r="Y2036" i="7"/>
  <c r="Z2036" i="7"/>
  <c r="AA2036" i="7"/>
  <c r="AB2036" i="7"/>
  <c r="AC2036" i="7"/>
  <c r="AD2036" i="7"/>
  <c r="AE2036" i="7"/>
  <c r="Q2037" i="7"/>
  <c r="R2037" i="7"/>
  <c r="S2037" i="7"/>
  <c r="T2037" i="7"/>
  <c r="U2037" i="7"/>
  <c r="V2037" i="7"/>
  <c r="W2037" i="7"/>
  <c r="X2037" i="7"/>
  <c r="Y2037" i="7"/>
  <c r="Z2037" i="7"/>
  <c r="AA2037" i="7"/>
  <c r="AB2037" i="7"/>
  <c r="AC2037" i="7"/>
  <c r="AD2037" i="7"/>
  <c r="AE2037" i="7"/>
  <c r="Q2038" i="7"/>
  <c r="R2038" i="7"/>
  <c r="S2038" i="7"/>
  <c r="T2038" i="7"/>
  <c r="U2038" i="7"/>
  <c r="V2038" i="7"/>
  <c r="W2038" i="7"/>
  <c r="X2038" i="7"/>
  <c r="Y2038" i="7"/>
  <c r="Z2038" i="7"/>
  <c r="AA2038" i="7"/>
  <c r="AB2038" i="7"/>
  <c r="AC2038" i="7"/>
  <c r="AD2038" i="7"/>
  <c r="AE2038" i="7"/>
  <c r="Q2039" i="7"/>
  <c r="R2039" i="7"/>
  <c r="S2039" i="7"/>
  <c r="T2039" i="7"/>
  <c r="U2039" i="7"/>
  <c r="V2039" i="7"/>
  <c r="W2039" i="7"/>
  <c r="X2039" i="7"/>
  <c r="Y2039" i="7"/>
  <c r="Z2039" i="7"/>
  <c r="AA2039" i="7"/>
  <c r="AB2039" i="7"/>
  <c r="AC2039" i="7"/>
  <c r="AD2039" i="7"/>
  <c r="AE2039" i="7"/>
  <c r="Q2040" i="7"/>
  <c r="R2040" i="7"/>
  <c r="S2040" i="7"/>
  <c r="T2040" i="7"/>
  <c r="U2040" i="7"/>
  <c r="V2040" i="7"/>
  <c r="W2040" i="7"/>
  <c r="X2040" i="7"/>
  <c r="Y2040" i="7"/>
  <c r="Z2040" i="7"/>
  <c r="AA2040" i="7"/>
  <c r="AB2040" i="7"/>
  <c r="AC2040" i="7"/>
  <c r="AD2040" i="7"/>
  <c r="AE2040" i="7"/>
  <c r="Q2041" i="7"/>
  <c r="R2041" i="7"/>
  <c r="S2041" i="7"/>
  <c r="T2041" i="7"/>
  <c r="U2041" i="7"/>
  <c r="V2041" i="7"/>
  <c r="W2041" i="7"/>
  <c r="X2041" i="7"/>
  <c r="Y2041" i="7"/>
  <c r="Z2041" i="7"/>
  <c r="AA2041" i="7"/>
  <c r="AB2041" i="7"/>
  <c r="AC2041" i="7"/>
  <c r="AD2041" i="7"/>
  <c r="AE2041" i="7"/>
  <c r="Q2042" i="7"/>
  <c r="R2042" i="7"/>
  <c r="S2042" i="7"/>
  <c r="T2042" i="7"/>
  <c r="U2042" i="7"/>
  <c r="V2042" i="7"/>
  <c r="W2042" i="7"/>
  <c r="X2042" i="7"/>
  <c r="Y2042" i="7"/>
  <c r="Z2042" i="7"/>
  <c r="AA2042" i="7"/>
  <c r="AB2042" i="7"/>
  <c r="AC2042" i="7"/>
  <c r="AD2042" i="7"/>
  <c r="AE2042" i="7"/>
  <c r="Q2043" i="7"/>
  <c r="R2043" i="7"/>
  <c r="S2043" i="7"/>
  <c r="T2043" i="7"/>
  <c r="U2043" i="7"/>
  <c r="V2043" i="7"/>
  <c r="W2043" i="7"/>
  <c r="X2043" i="7"/>
  <c r="Y2043" i="7"/>
  <c r="Z2043" i="7"/>
  <c r="AA2043" i="7"/>
  <c r="AB2043" i="7"/>
  <c r="AC2043" i="7"/>
  <c r="AD2043" i="7"/>
  <c r="AE2043" i="7"/>
  <c r="Q2044" i="7"/>
  <c r="R2044" i="7"/>
  <c r="S2044" i="7"/>
  <c r="T2044" i="7"/>
  <c r="U2044" i="7"/>
  <c r="V2044" i="7"/>
  <c r="W2044" i="7"/>
  <c r="X2044" i="7"/>
  <c r="Y2044" i="7"/>
  <c r="Z2044" i="7"/>
  <c r="AA2044" i="7"/>
  <c r="AB2044" i="7"/>
  <c r="AC2044" i="7"/>
  <c r="AD2044" i="7"/>
  <c r="AE2044" i="7"/>
  <c r="Q2045" i="7"/>
  <c r="R2045" i="7"/>
  <c r="S2045" i="7"/>
  <c r="T2045" i="7"/>
  <c r="U2045" i="7"/>
  <c r="V2045" i="7"/>
  <c r="W2045" i="7"/>
  <c r="X2045" i="7"/>
  <c r="Y2045" i="7"/>
  <c r="Z2045" i="7"/>
  <c r="AA2045" i="7"/>
  <c r="AB2045" i="7"/>
  <c r="AC2045" i="7"/>
  <c r="AD2045" i="7"/>
  <c r="AE2045" i="7"/>
  <c r="Q2046" i="7"/>
  <c r="R2046" i="7"/>
  <c r="S2046" i="7"/>
  <c r="T2046" i="7"/>
  <c r="U2046" i="7"/>
  <c r="V2046" i="7"/>
  <c r="W2046" i="7"/>
  <c r="X2046" i="7"/>
  <c r="Y2046" i="7"/>
  <c r="Z2046" i="7"/>
  <c r="AA2046" i="7"/>
  <c r="AB2046" i="7"/>
  <c r="AC2046" i="7"/>
  <c r="AD2046" i="7"/>
  <c r="AE2046" i="7"/>
  <c r="Q2047" i="7"/>
  <c r="R2047" i="7"/>
  <c r="S2047" i="7"/>
  <c r="T2047" i="7"/>
  <c r="U2047" i="7"/>
  <c r="V2047" i="7"/>
  <c r="W2047" i="7"/>
  <c r="X2047" i="7"/>
  <c r="Y2047" i="7"/>
  <c r="Z2047" i="7"/>
  <c r="AA2047" i="7"/>
  <c r="AB2047" i="7"/>
  <c r="AC2047" i="7"/>
  <c r="AD2047" i="7"/>
  <c r="AE2047" i="7"/>
  <c r="Q2048" i="7"/>
  <c r="R2048" i="7"/>
  <c r="S2048" i="7"/>
  <c r="T2048" i="7"/>
  <c r="U2048" i="7"/>
  <c r="V2048" i="7"/>
  <c r="W2048" i="7"/>
  <c r="X2048" i="7"/>
  <c r="Y2048" i="7"/>
  <c r="Z2048" i="7"/>
  <c r="AA2048" i="7"/>
  <c r="AB2048" i="7"/>
  <c r="AC2048" i="7"/>
  <c r="AD2048" i="7"/>
  <c r="AE2048" i="7"/>
  <c r="Q2049" i="7"/>
  <c r="R2049" i="7"/>
  <c r="S2049" i="7"/>
  <c r="T2049" i="7"/>
  <c r="U2049" i="7"/>
  <c r="V2049" i="7"/>
  <c r="W2049" i="7"/>
  <c r="X2049" i="7"/>
  <c r="Y2049" i="7"/>
  <c r="Z2049" i="7"/>
  <c r="AA2049" i="7"/>
  <c r="AB2049" i="7"/>
  <c r="AC2049" i="7"/>
  <c r="AD2049" i="7"/>
  <c r="AE2049" i="7"/>
  <c r="Q2050" i="7"/>
  <c r="R2050" i="7"/>
  <c r="S2050" i="7"/>
  <c r="T2050" i="7"/>
  <c r="U2050" i="7"/>
  <c r="V2050" i="7"/>
  <c r="W2050" i="7"/>
  <c r="X2050" i="7"/>
  <c r="Y2050" i="7"/>
  <c r="Z2050" i="7"/>
  <c r="AA2050" i="7"/>
  <c r="AB2050" i="7"/>
  <c r="AC2050" i="7"/>
  <c r="AD2050" i="7"/>
  <c r="AE2050" i="7"/>
  <c r="Q2051" i="7"/>
  <c r="R2051" i="7"/>
  <c r="S2051" i="7"/>
  <c r="T2051" i="7"/>
  <c r="U2051" i="7"/>
  <c r="V2051" i="7"/>
  <c r="W2051" i="7"/>
  <c r="X2051" i="7"/>
  <c r="Y2051" i="7"/>
  <c r="Z2051" i="7"/>
  <c r="AA2051" i="7"/>
  <c r="AB2051" i="7"/>
  <c r="AC2051" i="7"/>
  <c r="AD2051" i="7"/>
  <c r="AE2051" i="7"/>
  <c r="Q2052" i="7"/>
  <c r="R2052" i="7"/>
  <c r="S2052" i="7"/>
  <c r="T2052" i="7"/>
  <c r="U2052" i="7"/>
  <c r="V2052" i="7"/>
  <c r="W2052" i="7"/>
  <c r="X2052" i="7"/>
  <c r="Y2052" i="7"/>
  <c r="Z2052" i="7"/>
  <c r="AA2052" i="7"/>
  <c r="AB2052" i="7"/>
  <c r="AC2052" i="7"/>
  <c r="AD2052" i="7"/>
  <c r="AE2052" i="7"/>
  <c r="Q2053" i="7"/>
  <c r="R2053" i="7"/>
  <c r="S2053" i="7"/>
  <c r="T2053" i="7"/>
  <c r="U2053" i="7"/>
  <c r="V2053" i="7"/>
  <c r="W2053" i="7"/>
  <c r="X2053" i="7"/>
  <c r="Y2053" i="7"/>
  <c r="Z2053" i="7"/>
  <c r="AA2053" i="7"/>
  <c r="AB2053" i="7"/>
  <c r="AC2053" i="7"/>
  <c r="AD2053" i="7"/>
  <c r="AE2053" i="7"/>
  <c r="Q2054" i="7"/>
  <c r="R2054" i="7"/>
  <c r="S2054" i="7"/>
  <c r="T2054" i="7"/>
  <c r="U2054" i="7"/>
  <c r="V2054" i="7"/>
  <c r="W2054" i="7"/>
  <c r="X2054" i="7"/>
  <c r="Y2054" i="7"/>
  <c r="Z2054" i="7"/>
  <c r="AA2054" i="7"/>
  <c r="AB2054" i="7"/>
  <c r="AC2054" i="7"/>
  <c r="AD2054" i="7"/>
  <c r="AE2054" i="7"/>
  <c r="Q2055" i="7"/>
  <c r="R2055" i="7"/>
  <c r="S2055" i="7"/>
  <c r="T2055" i="7"/>
  <c r="U2055" i="7"/>
  <c r="V2055" i="7"/>
  <c r="W2055" i="7"/>
  <c r="X2055" i="7"/>
  <c r="Y2055" i="7"/>
  <c r="Z2055" i="7"/>
  <c r="AA2055" i="7"/>
  <c r="AB2055" i="7"/>
  <c r="AC2055" i="7"/>
  <c r="AD2055" i="7"/>
  <c r="AE2055" i="7"/>
  <c r="Q2056" i="7"/>
  <c r="R2056" i="7"/>
  <c r="S2056" i="7"/>
  <c r="T2056" i="7"/>
  <c r="U2056" i="7"/>
  <c r="V2056" i="7"/>
  <c r="W2056" i="7"/>
  <c r="X2056" i="7"/>
  <c r="Y2056" i="7"/>
  <c r="Z2056" i="7"/>
  <c r="AA2056" i="7"/>
  <c r="AB2056" i="7"/>
  <c r="AC2056" i="7"/>
  <c r="AD2056" i="7"/>
  <c r="AE2056" i="7"/>
  <c r="Q2057" i="7"/>
  <c r="R2057" i="7"/>
  <c r="S2057" i="7"/>
  <c r="T2057" i="7"/>
  <c r="U2057" i="7"/>
  <c r="V2057" i="7"/>
  <c r="W2057" i="7"/>
  <c r="X2057" i="7"/>
  <c r="Y2057" i="7"/>
  <c r="Z2057" i="7"/>
  <c r="AA2057" i="7"/>
  <c r="AB2057" i="7"/>
  <c r="AC2057" i="7"/>
  <c r="AD2057" i="7"/>
  <c r="AE2057" i="7"/>
  <c r="Q2058" i="7"/>
  <c r="R2058" i="7"/>
  <c r="S2058" i="7"/>
  <c r="T2058" i="7"/>
  <c r="U2058" i="7"/>
  <c r="V2058" i="7"/>
  <c r="W2058" i="7"/>
  <c r="X2058" i="7"/>
  <c r="Y2058" i="7"/>
  <c r="Z2058" i="7"/>
  <c r="AA2058" i="7"/>
  <c r="AB2058" i="7"/>
  <c r="AC2058" i="7"/>
  <c r="AD2058" i="7"/>
  <c r="AE2058" i="7"/>
  <c r="Q2059" i="7"/>
  <c r="R2059" i="7"/>
  <c r="S2059" i="7"/>
  <c r="T2059" i="7"/>
  <c r="U2059" i="7"/>
  <c r="V2059" i="7"/>
  <c r="W2059" i="7"/>
  <c r="X2059" i="7"/>
  <c r="Y2059" i="7"/>
  <c r="Z2059" i="7"/>
  <c r="AA2059" i="7"/>
  <c r="AB2059" i="7"/>
  <c r="AC2059" i="7"/>
  <c r="AD2059" i="7"/>
  <c r="AE2059" i="7"/>
  <c r="Q2060" i="7"/>
  <c r="R2060" i="7"/>
  <c r="S2060" i="7"/>
  <c r="T2060" i="7"/>
  <c r="U2060" i="7"/>
  <c r="V2060" i="7"/>
  <c r="W2060" i="7"/>
  <c r="X2060" i="7"/>
  <c r="Y2060" i="7"/>
  <c r="Z2060" i="7"/>
  <c r="AA2060" i="7"/>
  <c r="AB2060" i="7"/>
  <c r="AC2060" i="7"/>
  <c r="AD2060" i="7"/>
  <c r="AE2060" i="7"/>
  <c r="Q2061" i="7"/>
  <c r="R2061" i="7"/>
  <c r="S2061" i="7"/>
  <c r="T2061" i="7"/>
  <c r="U2061" i="7"/>
  <c r="V2061" i="7"/>
  <c r="W2061" i="7"/>
  <c r="X2061" i="7"/>
  <c r="Y2061" i="7"/>
  <c r="Z2061" i="7"/>
  <c r="AA2061" i="7"/>
  <c r="AB2061" i="7"/>
  <c r="AC2061" i="7"/>
  <c r="AD2061" i="7"/>
  <c r="AE2061" i="7"/>
  <c r="Q2062" i="7"/>
  <c r="R2062" i="7"/>
  <c r="S2062" i="7"/>
  <c r="T2062" i="7"/>
  <c r="U2062" i="7"/>
  <c r="V2062" i="7"/>
  <c r="W2062" i="7"/>
  <c r="X2062" i="7"/>
  <c r="Y2062" i="7"/>
  <c r="Z2062" i="7"/>
  <c r="AA2062" i="7"/>
  <c r="AB2062" i="7"/>
  <c r="AC2062" i="7"/>
  <c r="AD2062" i="7"/>
  <c r="AE2062" i="7"/>
  <c r="Q2063" i="7"/>
  <c r="R2063" i="7"/>
  <c r="S2063" i="7"/>
  <c r="T2063" i="7"/>
  <c r="U2063" i="7"/>
  <c r="V2063" i="7"/>
  <c r="W2063" i="7"/>
  <c r="X2063" i="7"/>
  <c r="Y2063" i="7"/>
  <c r="Z2063" i="7"/>
  <c r="AA2063" i="7"/>
  <c r="AB2063" i="7"/>
  <c r="AC2063" i="7"/>
  <c r="AD2063" i="7"/>
  <c r="AE2063" i="7"/>
  <c r="Q2064" i="7"/>
  <c r="R2064" i="7"/>
  <c r="S2064" i="7"/>
  <c r="T2064" i="7"/>
  <c r="U2064" i="7"/>
  <c r="V2064" i="7"/>
  <c r="W2064" i="7"/>
  <c r="X2064" i="7"/>
  <c r="Y2064" i="7"/>
  <c r="Z2064" i="7"/>
  <c r="AA2064" i="7"/>
  <c r="AB2064" i="7"/>
  <c r="AC2064" i="7"/>
  <c r="AD2064" i="7"/>
  <c r="AE2064" i="7"/>
  <c r="Q2065" i="7"/>
  <c r="R2065" i="7"/>
  <c r="S2065" i="7"/>
  <c r="T2065" i="7"/>
  <c r="U2065" i="7"/>
  <c r="V2065" i="7"/>
  <c r="W2065" i="7"/>
  <c r="X2065" i="7"/>
  <c r="Y2065" i="7"/>
  <c r="Z2065" i="7"/>
  <c r="AA2065" i="7"/>
  <c r="AB2065" i="7"/>
  <c r="AC2065" i="7"/>
  <c r="AD2065" i="7"/>
  <c r="AE2065" i="7"/>
  <c r="Q2066" i="7"/>
  <c r="R2066" i="7"/>
  <c r="S2066" i="7"/>
  <c r="T2066" i="7"/>
  <c r="U2066" i="7"/>
  <c r="V2066" i="7"/>
  <c r="W2066" i="7"/>
  <c r="X2066" i="7"/>
  <c r="Y2066" i="7"/>
  <c r="Z2066" i="7"/>
  <c r="AA2066" i="7"/>
  <c r="AB2066" i="7"/>
  <c r="AC2066" i="7"/>
  <c r="AD2066" i="7"/>
  <c r="AE2066" i="7"/>
  <c r="Q2067" i="7"/>
  <c r="R2067" i="7"/>
  <c r="S2067" i="7"/>
  <c r="T2067" i="7"/>
  <c r="U2067" i="7"/>
  <c r="V2067" i="7"/>
  <c r="W2067" i="7"/>
  <c r="X2067" i="7"/>
  <c r="Y2067" i="7"/>
  <c r="Z2067" i="7"/>
  <c r="AA2067" i="7"/>
  <c r="AB2067" i="7"/>
  <c r="AC2067" i="7"/>
  <c r="AD2067" i="7"/>
  <c r="AE2067" i="7"/>
  <c r="Q2068" i="7"/>
  <c r="R2068" i="7"/>
  <c r="S2068" i="7"/>
  <c r="T2068" i="7"/>
  <c r="U2068" i="7"/>
  <c r="V2068" i="7"/>
  <c r="W2068" i="7"/>
  <c r="X2068" i="7"/>
  <c r="Y2068" i="7"/>
  <c r="Z2068" i="7"/>
  <c r="AA2068" i="7"/>
  <c r="AB2068" i="7"/>
  <c r="AC2068" i="7"/>
  <c r="AD2068" i="7"/>
  <c r="AE2068" i="7"/>
  <c r="Q2069" i="7"/>
  <c r="R2069" i="7"/>
  <c r="S2069" i="7"/>
  <c r="T2069" i="7"/>
  <c r="U2069" i="7"/>
  <c r="V2069" i="7"/>
  <c r="W2069" i="7"/>
  <c r="X2069" i="7"/>
  <c r="Y2069" i="7"/>
  <c r="Z2069" i="7"/>
  <c r="AA2069" i="7"/>
  <c r="AB2069" i="7"/>
  <c r="AC2069" i="7"/>
  <c r="AD2069" i="7"/>
  <c r="AE2069" i="7"/>
  <c r="Q2070" i="7"/>
  <c r="R2070" i="7"/>
  <c r="S2070" i="7"/>
  <c r="T2070" i="7"/>
  <c r="U2070" i="7"/>
  <c r="V2070" i="7"/>
  <c r="W2070" i="7"/>
  <c r="X2070" i="7"/>
  <c r="Y2070" i="7"/>
  <c r="Z2070" i="7"/>
  <c r="AA2070" i="7"/>
  <c r="AB2070" i="7"/>
  <c r="AC2070" i="7"/>
  <c r="AD2070" i="7"/>
  <c r="AE2070" i="7"/>
  <c r="Q2071" i="7"/>
  <c r="R2071" i="7"/>
  <c r="S2071" i="7"/>
  <c r="T2071" i="7"/>
  <c r="U2071" i="7"/>
  <c r="V2071" i="7"/>
  <c r="W2071" i="7"/>
  <c r="X2071" i="7"/>
  <c r="Y2071" i="7"/>
  <c r="Z2071" i="7"/>
  <c r="AA2071" i="7"/>
  <c r="AB2071" i="7"/>
  <c r="AC2071" i="7"/>
  <c r="AD2071" i="7"/>
  <c r="AE2071" i="7"/>
  <c r="Q2072" i="7"/>
  <c r="R2072" i="7"/>
  <c r="S2072" i="7"/>
  <c r="T2072" i="7"/>
  <c r="U2072" i="7"/>
  <c r="V2072" i="7"/>
  <c r="W2072" i="7"/>
  <c r="X2072" i="7"/>
  <c r="Y2072" i="7"/>
  <c r="Z2072" i="7"/>
  <c r="AA2072" i="7"/>
  <c r="AB2072" i="7"/>
  <c r="AC2072" i="7"/>
  <c r="AD2072" i="7"/>
  <c r="AE2072" i="7"/>
  <c r="Q2073" i="7"/>
  <c r="R2073" i="7"/>
  <c r="S2073" i="7"/>
  <c r="T2073" i="7"/>
  <c r="U2073" i="7"/>
  <c r="V2073" i="7"/>
  <c r="W2073" i="7"/>
  <c r="X2073" i="7"/>
  <c r="Y2073" i="7"/>
  <c r="Z2073" i="7"/>
  <c r="AA2073" i="7"/>
  <c r="AB2073" i="7"/>
  <c r="AC2073" i="7"/>
  <c r="AD2073" i="7"/>
  <c r="AE2073" i="7"/>
  <c r="Q2074" i="7"/>
  <c r="R2074" i="7"/>
  <c r="S2074" i="7"/>
  <c r="T2074" i="7"/>
  <c r="U2074" i="7"/>
  <c r="V2074" i="7"/>
  <c r="W2074" i="7"/>
  <c r="X2074" i="7"/>
  <c r="Y2074" i="7"/>
  <c r="Z2074" i="7"/>
  <c r="AA2074" i="7"/>
  <c r="AB2074" i="7"/>
  <c r="AC2074" i="7"/>
  <c r="AD2074" i="7"/>
  <c r="AE2074" i="7"/>
  <c r="Q2075" i="7"/>
  <c r="R2075" i="7"/>
  <c r="S2075" i="7"/>
  <c r="T2075" i="7"/>
  <c r="U2075" i="7"/>
  <c r="V2075" i="7"/>
  <c r="W2075" i="7"/>
  <c r="X2075" i="7"/>
  <c r="Y2075" i="7"/>
  <c r="Z2075" i="7"/>
  <c r="AA2075" i="7"/>
  <c r="AB2075" i="7"/>
  <c r="AC2075" i="7"/>
  <c r="AD2075" i="7"/>
  <c r="AE2075" i="7"/>
  <c r="Q2076" i="7"/>
  <c r="R2076" i="7"/>
  <c r="S2076" i="7"/>
  <c r="T2076" i="7"/>
  <c r="U2076" i="7"/>
  <c r="V2076" i="7"/>
  <c r="W2076" i="7"/>
  <c r="X2076" i="7"/>
  <c r="Y2076" i="7"/>
  <c r="Z2076" i="7"/>
  <c r="AA2076" i="7"/>
  <c r="AB2076" i="7"/>
  <c r="AC2076" i="7"/>
  <c r="AD2076" i="7"/>
  <c r="AE2076" i="7"/>
  <c r="Q2077" i="7"/>
  <c r="R2077" i="7"/>
  <c r="S2077" i="7"/>
  <c r="T2077" i="7"/>
  <c r="U2077" i="7"/>
  <c r="V2077" i="7"/>
  <c r="W2077" i="7"/>
  <c r="X2077" i="7"/>
  <c r="Y2077" i="7"/>
  <c r="Z2077" i="7"/>
  <c r="AA2077" i="7"/>
  <c r="AB2077" i="7"/>
  <c r="AC2077" i="7"/>
  <c r="AD2077" i="7"/>
  <c r="AE2077" i="7"/>
  <c r="Q2078" i="7"/>
  <c r="R2078" i="7"/>
  <c r="S2078" i="7"/>
  <c r="T2078" i="7"/>
  <c r="U2078" i="7"/>
  <c r="V2078" i="7"/>
  <c r="W2078" i="7"/>
  <c r="X2078" i="7"/>
  <c r="Y2078" i="7"/>
  <c r="Z2078" i="7"/>
  <c r="AA2078" i="7"/>
  <c r="AB2078" i="7"/>
  <c r="AC2078" i="7"/>
  <c r="AD2078" i="7"/>
  <c r="AE2078" i="7"/>
  <c r="Q2079" i="7"/>
  <c r="R2079" i="7"/>
  <c r="S2079" i="7"/>
  <c r="T2079" i="7"/>
  <c r="U2079" i="7"/>
  <c r="V2079" i="7"/>
  <c r="W2079" i="7"/>
  <c r="X2079" i="7"/>
  <c r="Y2079" i="7"/>
  <c r="Z2079" i="7"/>
  <c r="AA2079" i="7"/>
  <c r="AB2079" i="7"/>
  <c r="AC2079" i="7"/>
  <c r="AD2079" i="7"/>
  <c r="AE2079" i="7"/>
  <c r="Q2080" i="7"/>
  <c r="R2080" i="7"/>
  <c r="S2080" i="7"/>
  <c r="T2080" i="7"/>
  <c r="U2080" i="7"/>
  <c r="V2080" i="7"/>
  <c r="W2080" i="7"/>
  <c r="X2080" i="7"/>
  <c r="Y2080" i="7"/>
  <c r="Z2080" i="7"/>
  <c r="AA2080" i="7"/>
  <c r="AB2080" i="7"/>
  <c r="AC2080" i="7"/>
  <c r="AD2080" i="7"/>
  <c r="AE2080" i="7"/>
  <c r="Q2081" i="7"/>
  <c r="R2081" i="7"/>
  <c r="S2081" i="7"/>
  <c r="T2081" i="7"/>
  <c r="U2081" i="7"/>
  <c r="V2081" i="7"/>
  <c r="W2081" i="7"/>
  <c r="X2081" i="7"/>
  <c r="Y2081" i="7"/>
  <c r="Z2081" i="7"/>
  <c r="AA2081" i="7"/>
  <c r="AB2081" i="7"/>
  <c r="AC2081" i="7"/>
  <c r="AD2081" i="7"/>
  <c r="AE2081" i="7"/>
  <c r="Q2082" i="7"/>
  <c r="R2082" i="7"/>
  <c r="S2082" i="7"/>
  <c r="T2082" i="7"/>
  <c r="U2082" i="7"/>
  <c r="V2082" i="7"/>
  <c r="W2082" i="7"/>
  <c r="X2082" i="7"/>
  <c r="Y2082" i="7"/>
  <c r="Z2082" i="7"/>
  <c r="AA2082" i="7"/>
  <c r="AB2082" i="7"/>
  <c r="AC2082" i="7"/>
  <c r="AD2082" i="7"/>
  <c r="AE2082" i="7"/>
  <c r="Q2083" i="7"/>
  <c r="R2083" i="7"/>
  <c r="S2083" i="7"/>
  <c r="T2083" i="7"/>
  <c r="U2083" i="7"/>
  <c r="V2083" i="7"/>
  <c r="W2083" i="7"/>
  <c r="X2083" i="7"/>
  <c r="Y2083" i="7"/>
  <c r="Z2083" i="7"/>
  <c r="AA2083" i="7"/>
  <c r="AB2083" i="7"/>
  <c r="AC2083" i="7"/>
  <c r="AD2083" i="7"/>
  <c r="AE2083" i="7"/>
  <c r="Q2084" i="7"/>
  <c r="R2084" i="7"/>
  <c r="S2084" i="7"/>
  <c r="T2084" i="7"/>
  <c r="U2084" i="7"/>
  <c r="V2084" i="7"/>
  <c r="W2084" i="7"/>
  <c r="X2084" i="7"/>
  <c r="Y2084" i="7"/>
  <c r="Z2084" i="7"/>
  <c r="AA2084" i="7"/>
  <c r="AB2084" i="7"/>
  <c r="AC2084" i="7"/>
  <c r="AD2084" i="7"/>
  <c r="AE2084" i="7"/>
  <c r="Q2085" i="7"/>
  <c r="R2085" i="7"/>
  <c r="S2085" i="7"/>
  <c r="T2085" i="7"/>
  <c r="U2085" i="7"/>
  <c r="V2085" i="7"/>
  <c r="W2085" i="7"/>
  <c r="X2085" i="7"/>
  <c r="Y2085" i="7"/>
  <c r="Z2085" i="7"/>
  <c r="AA2085" i="7"/>
  <c r="AB2085" i="7"/>
  <c r="AC2085" i="7"/>
  <c r="AD2085" i="7"/>
  <c r="AE2085" i="7"/>
  <c r="Q2086" i="7"/>
  <c r="R2086" i="7"/>
  <c r="S2086" i="7"/>
  <c r="T2086" i="7"/>
  <c r="U2086" i="7"/>
  <c r="V2086" i="7"/>
  <c r="W2086" i="7"/>
  <c r="X2086" i="7"/>
  <c r="Y2086" i="7"/>
  <c r="Z2086" i="7"/>
  <c r="AA2086" i="7"/>
  <c r="AB2086" i="7"/>
  <c r="AC2086" i="7"/>
  <c r="AD2086" i="7"/>
  <c r="AE2086" i="7"/>
  <c r="Q2087" i="7"/>
  <c r="R2087" i="7"/>
  <c r="S2087" i="7"/>
  <c r="T2087" i="7"/>
  <c r="U2087" i="7"/>
  <c r="V2087" i="7"/>
  <c r="W2087" i="7"/>
  <c r="X2087" i="7"/>
  <c r="Y2087" i="7"/>
  <c r="Z2087" i="7"/>
  <c r="AA2087" i="7"/>
  <c r="AB2087" i="7"/>
  <c r="AC2087" i="7"/>
  <c r="AD2087" i="7"/>
  <c r="AE2087" i="7"/>
  <c r="Q2088" i="7"/>
  <c r="R2088" i="7"/>
  <c r="S2088" i="7"/>
  <c r="T2088" i="7"/>
  <c r="U2088" i="7"/>
  <c r="V2088" i="7"/>
  <c r="W2088" i="7"/>
  <c r="X2088" i="7"/>
  <c r="Y2088" i="7"/>
  <c r="Z2088" i="7"/>
  <c r="AA2088" i="7"/>
  <c r="AB2088" i="7"/>
  <c r="AC2088" i="7"/>
  <c r="AD2088" i="7"/>
  <c r="AE2088" i="7"/>
  <c r="Q2089" i="7"/>
  <c r="R2089" i="7"/>
  <c r="S2089" i="7"/>
  <c r="T2089" i="7"/>
  <c r="U2089" i="7"/>
  <c r="V2089" i="7"/>
  <c r="W2089" i="7"/>
  <c r="X2089" i="7"/>
  <c r="Y2089" i="7"/>
  <c r="Z2089" i="7"/>
  <c r="AA2089" i="7"/>
  <c r="AB2089" i="7"/>
  <c r="AC2089" i="7"/>
  <c r="AD2089" i="7"/>
  <c r="AE2089" i="7"/>
  <c r="Q2090" i="7"/>
  <c r="R2090" i="7"/>
  <c r="S2090" i="7"/>
  <c r="T2090" i="7"/>
  <c r="U2090" i="7"/>
  <c r="V2090" i="7"/>
  <c r="W2090" i="7"/>
  <c r="X2090" i="7"/>
  <c r="Y2090" i="7"/>
  <c r="Z2090" i="7"/>
  <c r="AA2090" i="7"/>
  <c r="AB2090" i="7"/>
  <c r="AC2090" i="7"/>
  <c r="AD2090" i="7"/>
  <c r="AE2090" i="7"/>
  <c r="Q2091" i="7"/>
  <c r="R2091" i="7"/>
  <c r="S2091" i="7"/>
  <c r="T2091" i="7"/>
  <c r="U2091" i="7"/>
  <c r="V2091" i="7"/>
  <c r="W2091" i="7"/>
  <c r="X2091" i="7"/>
  <c r="Y2091" i="7"/>
  <c r="Z2091" i="7"/>
  <c r="AA2091" i="7"/>
  <c r="AB2091" i="7"/>
  <c r="AC2091" i="7"/>
  <c r="AD2091" i="7"/>
  <c r="AE2091" i="7"/>
  <c r="Q2092" i="7"/>
  <c r="R2092" i="7"/>
  <c r="S2092" i="7"/>
  <c r="T2092" i="7"/>
  <c r="U2092" i="7"/>
  <c r="V2092" i="7"/>
  <c r="W2092" i="7"/>
  <c r="X2092" i="7"/>
  <c r="Y2092" i="7"/>
  <c r="Z2092" i="7"/>
  <c r="AA2092" i="7"/>
  <c r="AB2092" i="7"/>
  <c r="AC2092" i="7"/>
  <c r="AD2092" i="7"/>
  <c r="AE2092" i="7"/>
  <c r="Q2093" i="7"/>
  <c r="R2093" i="7"/>
  <c r="S2093" i="7"/>
  <c r="T2093" i="7"/>
  <c r="U2093" i="7"/>
  <c r="V2093" i="7"/>
  <c r="W2093" i="7"/>
  <c r="X2093" i="7"/>
  <c r="Y2093" i="7"/>
  <c r="Z2093" i="7"/>
  <c r="AA2093" i="7"/>
  <c r="AB2093" i="7"/>
  <c r="AC2093" i="7"/>
  <c r="AD2093" i="7"/>
  <c r="AE2093" i="7"/>
  <c r="Q2094" i="7"/>
  <c r="R2094" i="7"/>
  <c r="S2094" i="7"/>
  <c r="T2094" i="7"/>
  <c r="U2094" i="7"/>
  <c r="V2094" i="7"/>
  <c r="W2094" i="7"/>
  <c r="X2094" i="7"/>
  <c r="Y2094" i="7"/>
  <c r="Z2094" i="7"/>
  <c r="AA2094" i="7"/>
  <c r="AB2094" i="7"/>
  <c r="AC2094" i="7"/>
  <c r="AD2094" i="7"/>
  <c r="AE2094" i="7"/>
  <c r="Q2095" i="7"/>
  <c r="R2095" i="7"/>
  <c r="S2095" i="7"/>
  <c r="T2095" i="7"/>
  <c r="U2095" i="7"/>
  <c r="V2095" i="7"/>
  <c r="W2095" i="7"/>
  <c r="X2095" i="7"/>
  <c r="Y2095" i="7"/>
  <c r="Z2095" i="7"/>
  <c r="AA2095" i="7"/>
  <c r="AB2095" i="7"/>
  <c r="AC2095" i="7"/>
  <c r="AD2095" i="7"/>
  <c r="AE2095" i="7"/>
  <c r="Q2096" i="7"/>
  <c r="R2096" i="7"/>
  <c r="S2096" i="7"/>
  <c r="T2096" i="7"/>
  <c r="U2096" i="7"/>
  <c r="V2096" i="7"/>
  <c r="W2096" i="7"/>
  <c r="X2096" i="7"/>
  <c r="Y2096" i="7"/>
  <c r="Z2096" i="7"/>
  <c r="AA2096" i="7"/>
  <c r="AB2096" i="7"/>
  <c r="AC2096" i="7"/>
  <c r="AD2096" i="7"/>
  <c r="AE2096" i="7"/>
  <c r="Q2097" i="7"/>
  <c r="R2097" i="7"/>
  <c r="S2097" i="7"/>
  <c r="T2097" i="7"/>
  <c r="U2097" i="7"/>
  <c r="V2097" i="7"/>
  <c r="W2097" i="7"/>
  <c r="X2097" i="7"/>
  <c r="Y2097" i="7"/>
  <c r="Z2097" i="7"/>
  <c r="AA2097" i="7"/>
  <c r="AB2097" i="7"/>
  <c r="AC2097" i="7"/>
  <c r="AD2097" i="7"/>
  <c r="AE2097" i="7"/>
  <c r="Q2098" i="7"/>
  <c r="R2098" i="7"/>
  <c r="S2098" i="7"/>
  <c r="T2098" i="7"/>
  <c r="U2098" i="7"/>
  <c r="V2098" i="7"/>
  <c r="W2098" i="7"/>
  <c r="X2098" i="7"/>
  <c r="Y2098" i="7"/>
  <c r="Z2098" i="7"/>
  <c r="AA2098" i="7"/>
  <c r="AB2098" i="7"/>
  <c r="AC2098" i="7"/>
  <c r="AD2098" i="7"/>
  <c r="AE2098" i="7"/>
  <c r="Q2099" i="7"/>
  <c r="R2099" i="7"/>
  <c r="S2099" i="7"/>
  <c r="T2099" i="7"/>
  <c r="U2099" i="7"/>
  <c r="V2099" i="7"/>
  <c r="W2099" i="7"/>
  <c r="X2099" i="7"/>
  <c r="Y2099" i="7"/>
  <c r="Z2099" i="7"/>
  <c r="AA2099" i="7"/>
  <c r="AB2099" i="7"/>
  <c r="AC2099" i="7"/>
  <c r="AD2099" i="7"/>
  <c r="AE2099" i="7"/>
  <c r="Q2100" i="7"/>
  <c r="R2100" i="7"/>
  <c r="S2100" i="7"/>
  <c r="T2100" i="7"/>
  <c r="U2100" i="7"/>
  <c r="V2100" i="7"/>
  <c r="W2100" i="7"/>
  <c r="X2100" i="7"/>
  <c r="Y2100" i="7"/>
  <c r="Z2100" i="7"/>
  <c r="AA2100" i="7"/>
  <c r="AB2100" i="7"/>
  <c r="AC2100" i="7"/>
  <c r="AD2100" i="7"/>
  <c r="AE2100" i="7"/>
  <c r="Q2101" i="7"/>
  <c r="R2101" i="7"/>
  <c r="S2101" i="7"/>
  <c r="T2101" i="7"/>
  <c r="U2101" i="7"/>
  <c r="V2101" i="7"/>
  <c r="W2101" i="7"/>
  <c r="X2101" i="7"/>
  <c r="Y2101" i="7"/>
  <c r="Z2101" i="7"/>
  <c r="AA2101" i="7"/>
  <c r="AB2101" i="7"/>
  <c r="AC2101" i="7"/>
  <c r="AD2101" i="7"/>
  <c r="AE2101" i="7"/>
  <c r="Q2102" i="7"/>
  <c r="R2102" i="7"/>
  <c r="S2102" i="7"/>
  <c r="T2102" i="7"/>
  <c r="U2102" i="7"/>
  <c r="V2102" i="7"/>
  <c r="W2102" i="7"/>
  <c r="X2102" i="7"/>
  <c r="Y2102" i="7"/>
  <c r="Z2102" i="7"/>
  <c r="AA2102" i="7"/>
  <c r="AB2102" i="7"/>
  <c r="AC2102" i="7"/>
  <c r="AD2102" i="7"/>
  <c r="AE2102" i="7"/>
  <c r="Q2103" i="7"/>
  <c r="R2103" i="7"/>
  <c r="S2103" i="7"/>
  <c r="T2103" i="7"/>
  <c r="U2103" i="7"/>
  <c r="V2103" i="7"/>
  <c r="W2103" i="7"/>
  <c r="X2103" i="7"/>
  <c r="Y2103" i="7"/>
  <c r="Z2103" i="7"/>
  <c r="AA2103" i="7"/>
  <c r="AB2103" i="7"/>
  <c r="AC2103" i="7"/>
  <c r="AD2103" i="7"/>
  <c r="AE2103" i="7"/>
  <c r="Q2104" i="7"/>
  <c r="R2104" i="7"/>
  <c r="S2104" i="7"/>
  <c r="T2104" i="7"/>
  <c r="U2104" i="7"/>
  <c r="V2104" i="7"/>
  <c r="W2104" i="7"/>
  <c r="X2104" i="7"/>
  <c r="Y2104" i="7"/>
  <c r="Z2104" i="7"/>
  <c r="AA2104" i="7"/>
  <c r="AB2104" i="7"/>
  <c r="AC2104" i="7"/>
  <c r="AD2104" i="7"/>
  <c r="AE2104" i="7"/>
  <c r="Q2105" i="7"/>
  <c r="R2105" i="7"/>
  <c r="S2105" i="7"/>
  <c r="T2105" i="7"/>
  <c r="U2105" i="7"/>
  <c r="V2105" i="7"/>
  <c r="W2105" i="7"/>
  <c r="X2105" i="7"/>
  <c r="Y2105" i="7"/>
  <c r="Z2105" i="7"/>
  <c r="AA2105" i="7"/>
  <c r="AB2105" i="7"/>
  <c r="AC2105" i="7"/>
  <c r="AD2105" i="7"/>
  <c r="AE2105" i="7"/>
  <c r="Q2106" i="7"/>
  <c r="R2106" i="7"/>
  <c r="S2106" i="7"/>
  <c r="T2106" i="7"/>
  <c r="U2106" i="7"/>
  <c r="V2106" i="7"/>
  <c r="W2106" i="7"/>
  <c r="X2106" i="7"/>
  <c r="Y2106" i="7"/>
  <c r="Z2106" i="7"/>
  <c r="AA2106" i="7"/>
  <c r="AB2106" i="7"/>
  <c r="AC2106" i="7"/>
  <c r="AD2106" i="7"/>
  <c r="AE2106" i="7"/>
  <c r="Q2107" i="7"/>
  <c r="R2107" i="7"/>
  <c r="S2107" i="7"/>
  <c r="T2107" i="7"/>
  <c r="U2107" i="7"/>
  <c r="V2107" i="7"/>
  <c r="W2107" i="7"/>
  <c r="X2107" i="7"/>
  <c r="Y2107" i="7"/>
  <c r="Z2107" i="7"/>
  <c r="AA2107" i="7"/>
  <c r="AB2107" i="7"/>
  <c r="AC2107" i="7"/>
  <c r="AD2107" i="7"/>
  <c r="AE2107" i="7"/>
  <c r="Q2108" i="7"/>
  <c r="R2108" i="7"/>
  <c r="S2108" i="7"/>
  <c r="T2108" i="7"/>
  <c r="U2108" i="7"/>
  <c r="V2108" i="7"/>
  <c r="W2108" i="7"/>
  <c r="X2108" i="7"/>
  <c r="Y2108" i="7"/>
  <c r="Z2108" i="7"/>
  <c r="AA2108" i="7"/>
  <c r="AB2108" i="7"/>
  <c r="AC2108" i="7"/>
  <c r="AD2108" i="7"/>
  <c r="AE2108" i="7"/>
  <c r="Q2109" i="7"/>
  <c r="R2109" i="7"/>
  <c r="S2109" i="7"/>
  <c r="T2109" i="7"/>
  <c r="U2109" i="7"/>
  <c r="V2109" i="7"/>
  <c r="W2109" i="7"/>
  <c r="X2109" i="7"/>
  <c r="Y2109" i="7"/>
  <c r="Z2109" i="7"/>
  <c r="AA2109" i="7"/>
  <c r="AB2109" i="7"/>
  <c r="AC2109" i="7"/>
  <c r="AD2109" i="7"/>
  <c r="AE2109" i="7"/>
  <c r="Q2110" i="7"/>
  <c r="R2110" i="7"/>
  <c r="S2110" i="7"/>
  <c r="T2110" i="7"/>
  <c r="U2110" i="7"/>
  <c r="V2110" i="7"/>
  <c r="W2110" i="7"/>
  <c r="X2110" i="7"/>
  <c r="Y2110" i="7"/>
  <c r="Z2110" i="7"/>
  <c r="AA2110" i="7"/>
  <c r="AB2110" i="7"/>
  <c r="AC2110" i="7"/>
  <c r="AD2110" i="7"/>
  <c r="AE2110" i="7"/>
  <c r="Q2111" i="7"/>
  <c r="R2111" i="7"/>
  <c r="S2111" i="7"/>
  <c r="T2111" i="7"/>
  <c r="U2111" i="7"/>
  <c r="V2111" i="7"/>
  <c r="W2111" i="7"/>
  <c r="X2111" i="7"/>
  <c r="Y2111" i="7"/>
  <c r="Z2111" i="7"/>
  <c r="AA2111" i="7"/>
  <c r="AB2111" i="7"/>
  <c r="AC2111" i="7"/>
  <c r="AD2111" i="7"/>
  <c r="AE2111" i="7"/>
  <c r="Q2112" i="7"/>
  <c r="R2112" i="7"/>
  <c r="S2112" i="7"/>
  <c r="T2112" i="7"/>
  <c r="U2112" i="7"/>
  <c r="V2112" i="7"/>
  <c r="W2112" i="7"/>
  <c r="X2112" i="7"/>
  <c r="Y2112" i="7"/>
  <c r="Z2112" i="7"/>
  <c r="AA2112" i="7"/>
  <c r="AB2112" i="7"/>
  <c r="AC2112" i="7"/>
  <c r="AD2112" i="7"/>
  <c r="AE2112" i="7"/>
  <c r="Q2113" i="7"/>
  <c r="R2113" i="7"/>
  <c r="S2113" i="7"/>
  <c r="T2113" i="7"/>
  <c r="U2113" i="7"/>
  <c r="V2113" i="7"/>
  <c r="W2113" i="7"/>
  <c r="X2113" i="7"/>
  <c r="Y2113" i="7"/>
  <c r="Z2113" i="7"/>
  <c r="AA2113" i="7"/>
  <c r="AB2113" i="7"/>
  <c r="AC2113" i="7"/>
  <c r="AD2113" i="7"/>
  <c r="AE2113" i="7"/>
  <c r="Q2114" i="7"/>
  <c r="R2114" i="7"/>
  <c r="S2114" i="7"/>
  <c r="T2114" i="7"/>
  <c r="U2114" i="7"/>
  <c r="V2114" i="7"/>
  <c r="W2114" i="7"/>
  <c r="X2114" i="7"/>
  <c r="Y2114" i="7"/>
  <c r="Z2114" i="7"/>
  <c r="AA2114" i="7"/>
  <c r="AB2114" i="7"/>
  <c r="AC2114" i="7"/>
  <c r="AD2114" i="7"/>
  <c r="AE2114" i="7"/>
  <c r="Q2115" i="7"/>
  <c r="R2115" i="7"/>
  <c r="S2115" i="7"/>
  <c r="T2115" i="7"/>
  <c r="U2115" i="7"/>
  <c r="V2115" i="7"/>
  <c r="W2115" i="7"/>
  <c r="X2115" i="7"/>
  <c r="Y2115" i="7"/>
  <c r="Z2115" i="7"/>
  <c r="AA2115" i="7"/>
  <c r="AB2115" i="7"/>
  <c r="AC2115" i="7"/>
  <c r="AD2115" i="7"/>
  <c r="AE2115" i="7"/>
  <c r="Q2116" i="7"/>
  <c r="R2116" i="7"/>
  <c r="S2116" i="7"/>
  <c r="T2116" i="7"/>
  <c r="U2116" i="7"/>
  <c r="V2116" i="7"/>
  <c r="W2116" i="7"/>
  <c r="X2116" i="7"/>
  <c r="Y2116" i="7"/>
  <c r="Z2116" i="7"/>
  <c r="AA2116" i="7"/>
  <c r="AB2116" i="7"/>
  <c r="AC2116" i="7"/>
  <c r="AD2116" i="7"/>
  <c r="AE2116" i="7"/>
  <c r="Q2117" i="7"/>
  <c r="R2117" i="7"/>
  <c r="S2117" i="7"/>
  <c r="T2117" i="7"/>
  <c r="U2117" i="7"/>
  <c r="V2117" i="7"/>
  <c r="W2117" i="7"/>
  <c r="X2117" i="7"/>
  <c r="Y2117" i="7"/>
  <c r="Z2117" i="7"/>
  <c r="AA2117" i="7"/>
  <c r="AB2117" i="7"/>
  <c r="AC2117" i="7"/>
  <c r="AD2117" i="7"/>
  <c r="AE2117" i="7"/>
  <c r="Q2118" i="7"/>
  <c r="R2118" i="7"/>
  <c r="S2118" i="7"/>
  <c r="T2118" i="7"/>
  <c r="U2118" i="7"/>
  <c r="V2118" i="7"/>
  <c r="W2118" i="7"/>
  <c r="X2118" i="7"/>
  <c r="Y2118" i="7"/>
  <c r="Z2118" i="7"/>
  <c r="AA2118" i="7"/>
  <c r="AB2118" i="7"/>
  <c r="AC2118" i="7"/>
  <c r="AD2118" i="7"/>
  <c r="AE2118" i="7"/>
  <c r="Q2119" i="7"/>
  <c r="R2119" i="7"/>
  <c r="S2119" i="7"/>
  <c r="T2119" i="7"/>
  <c r="U2119" i="7"/>
  <c r="V2119" i="7"/>
  <c r="W2119" i="7"/>
  <c r="X2119" i="7"/>
  <c r="Y2119" i="7"/>
  <c r="Z2119" i="7"/>
  <c r="AA2119" i="7"/>
  <c r="AB2119" i="7"/>
  <c r="AC2119" i="7"/>
  <c r="AD2119" i="7"/>
  <c r="AE2119" i="7"/>
  <c r="Q2120" i="7"/>
  <c r="R2120" i="7"/>
  <c r="S2120" i="7"/>
  <c r="T2120" i="7"/>
  <c r="U2120" i="7"/>
  <c r="V2120" i="7"/>
  <c r="W2120" i="7"/>
  <c r="X2120" i="7"/>
  <c r="Y2120" i="7"/>
  <c r="Z2120" i="7"/>
  <c r="AA2120" i="7"/>
  <c r="AB2120" i="7"/>
  <c r="AC2120" i="7"/>
  <c r="AD2120" i="7"/>
  <c r="AE2120" i="7"/>
  <c r="Q2121" i="7"/>
  <c r="R2121" i="7"/>
  <c r="S2121" i="7"/>
  <c r="T2121" i="7"/>
  <c r="U2121" i="7"/>
  <c r="V2121" i="7"/>
  <c r="W2121" i="7"/>
  <c r="X2121" i="7"/>
  <c r="Y2121" i="7"/>
  <c r="Z2121" i="7"/>
  <c r="AA2121" i="7"/>
  <c r="AB2121" i="7"/>
  <c r="AC2121" i="7"/>
  <c r="AD2121" i="7"/>
  <c r="AE2121" i="7"/>
  <c r="Q2122" i="7"/>
  <c r="R2122" i="7"/>
  <c r="S2122" i="7"/>
  <c r="T2122" i="7"/>
  <c r="U2122" i="7"/>
  <c r="V2122" i="7"/>
  <c r="W2122" i="7"/>
  <c r="X2122" i="7"/>
  <c r="Y2122" i="7"/>
  <c r="Z2122" i="7"/>
  <c r="AA2122" i="7"/>
  <c r="AB2122" i="7"/>
  <c r="AC2122" i="7"/>
  <c r="AD2122" i="7"/>
  <c r="AE2122" i="7"/>
  <c r="Q2123" i="7"/>
  <c r="R2123" i="7"/>
  <c r="S2123" i="7"/>
  <c r="T2123" i="7"/>
  <c r="U2123" i="7"/>
  <c r="V2123" i="7"/>
  <c r="W2123" i="7"/>
  <c r="X2123" i="7"/>
  <c r="Y2123" i="7"/>
  <c r="Z2123" i="7"/>
  <c r="AA2123" i="7"/>
  <c r="AB2123" i="7"/>
  <c r="AC2123" i="7"/>
  <c r="AD2123" i="7"/>
  <c r="AE2123" i="7"/>
  <c r="Q2124" i="7"/>
  <c r="R2124" i="7"/>
  <c r="S2124" i="7"/>
  <c r="T2124" i="7"/>
  <c r="U2124" i="7"/>
  <c r="V2124" i="7"/>
  <c r="W2124" i="7"/>
  <c r="X2124" i="7"/>
  <c r="Y2124" i="7"/>
  <c r="Z2124" i="7"/>
  <c r="AA2124" i="7"/>
  <c r="AB2124" i="7"/>
  <c r="AC2124" i="7"/>
  <c r="AD2124" i="7"/>
  <c r="AE2124" i="7"/>
  <c r="Q2125" i="7"/>
  <c r="R2125" i="7"/>
  <c r="S2125" i="7"/>
  <c r="T2125" i="7"/>
  <c r="U2125" i="7"/>
  <c r="V2125" i="7"/>
  <c r="W2125" i="7"/>
  <c r="X2125" i="7"/>
  <c r="Y2125" i="7"/>
  <c r="Z2125" i="7"/>
  <c r="AA2125" i="7"/>
  <c r="AB2125" i="7"/>
  <c r="AC2125" i="7"/>
  <c r="AD2125" i="7"/>
  <c r="AE2125" i="7"/>
  <c r="Q2126" i="7"/>
  <c r="R2126" i="7"/>
  <c r="S2126" i="7"/>
  <c r="T2126" i="7"/>
  <c r="U2126" i="7"/>
  <c r="V2126" i="7"/>
  <c r="W2126" i="7"/>
  <c r="X2126" i="7"/>
  <c r="Y2126" i="7"/>
  <c r="Z2126" i="7"/>
  <c r="AA2126" i="7"/>
  <c r="AB2126" i="7"/>
  <c r="AC2126" i="7"/>
  <c r="AD2126" i="7"/>
  <c r="AE2126" i="7"/>
  <c r="Q2127" i="7"/>
  <c r="R2127" i="7"/>
  <c r="S2127" i="7"/>
  <c r="T2127" i="7"/>
  <c r="U2127" i="7"/>
  <c r="V2127" i="7"/>
  <c r="W2127" i="7"/>
  <c r="X2127" i="7"/>
  <c r="Y2127" i="7"/>
  <c r="Z2127" i="7"/>
  <c r="AA2127" i="7"/>
  <c r="AB2127" i="7"/>
  <c r="AC2127" i="7"/>
  <c r="AD2127" i="7"/>
  <c r="AE2127" i="7"/>
  <c r="Q2128" i="7"/>
  <c r="R2128" i="7"/>
  <c r="S2128" i="7"/>
  <c r="T2128" i="7"/>
  <c r="U2128" i="7"/>
  <c r="V2128" i="7"/>
  <c r="W2128" i="7"/>
  <c r="X2128" i="7"/>
  <c r="Y2128" i="7"/>
  <c r="Z2128" i="7"/>
  <c r="AA2128" i="7"/>
  <c r="AB2128" i="7"/>
  <c r="AC2128" i="7"/>
  <c r="AD2128" i="7"/>
  <c r="AE2128" i="7"/>
  <c r="Q2129" i="7"/>
  <c r="R2129" i="7"/>
  <c r="S2129" i="7"/>
  <c r="T2129" i="7"/>
  <c r="U2129" i="7"/>
  <c r="V2129" i="7"/>
  <c r="W2129" i="7"/>
  <c r="X2129" i="7"/>
  <c r="Y2129" i="7"/>
  <c r="Z2129" i="7"/>
  <c r="AA2129" i="7"/>
  <c r="AB2129" i="7"/>
  <c r="AC2129" i="7"/>
  <c r="AD2129" i="7"/>
  <c r="AE2129" i="7"/>
  <c r="Q2130" i="7"/>
  <c r="R2130" i="7"/>
  <c r="S2130" i="7"/>
  <c r="T2130" i="7"/>
  <c r="U2130" i="7"/>
  <c r="V2130" i="7"/>
  <c r="W2130" i="7"/>
  <c r="X2130" i="7"/>
  <c r="Y2130" i="7"/>
  <c r="Z2130" i="7"/>
  <c r="AA2130" i="7"/>
  <c r="AB2130" i="7"/>
  <c r="AC2130" i="7"/>
  <c r="AD2130" i="7"/>
  <c r="AE2130" i="7"/>
  <c r="Q2131" i="7"/>
  <c r="R2131" i="7"/>
  <c r="S2131" i="7"/>
  <c r="T2131" i="7"/>
  <c r="U2131" i="7"/>
  <c r="V2131" i="7"/>
  <c r="W2131" i="7"/>
  <c r="X2131" i="7"/>
  <c r="Y2131" i="7"/>
  <c r="Z2131" i="7"/>
  <c r="AA2131" i="7"/>
  <c r="AB2131" i="7"/>
  <c r="AC2131" i="7"/>
  <c r="AD2131" i="7"/>
  <c r="AE2131" i="7"/>
  <c r="Q2132" i="7"/>
  <c r="R2132" i="7"/>
  <c r="S2132" i="7"/>
  <c r="T2132" i="7"/>
  <c r="U2132" i="7"/>
  <c r="V2132" i="7"/>
  <c r="W2132" i="7"/>
  <c r="X2132" i="7"/>
  <c r="Y2132" i="7"/>
  <c r="Z2132" i="7"/>
  <c r="AA2132" i="7"/>
  <c r="AB2132" i="7"/>
  <c r="AC2132" i="7"/>
  <c r="AD2132" i="7"/>
  <c r="AE2132" i="7"/>
  <c r="Q2133" i="7"/>
  <c r="R2133" i="7"/>
  <c r="S2133" i="7"/>
  <c r="T2133" i="7"/>
  <c r="U2133" i="7"/>
  <c r="V2133" i="7"/>
  <c r="W2133" i="7"/>
  <c r="X2133" i="7"/>
  <c r="Y2133" i="7"/>
  <c r="Z2133" i="7"/>
  <c r="AA2133" i="7"/>
  <c r="AB2133" i="7"/>
  <c r="AC2133" i="7"/>
  <c r="AD2133" i="7"/>
  <c r="AE2133" i="7"/>
  <c r="Q2134" i="7"/>
  <c r="R2134" i="7"/>
  <c r="S2134" i="7"/>
  <c r="T2134" i="7"/>
  <c r="U2134" i="7"/>
  <c r="V2134" i="7"/>
  <c r="W2134" i="7"/>
  <c r="X2134" i="7"/>
  <c r="Y2134" i="7"/>
  <c r="Z2134" i="7"/>
  <c r="AA2134" i="7"/>
  <c r="AB2134" i="7"/>
  <c r="AC2134" i="7"/>
  <c r="AD2134" i="7"/>
  <c r="AE2134" i="7"/>
  <c r="Q2135" i="7"/>
  <c r="R2135" i="7"/>
  <c r="S2135" i="7"/>
  <c r="T2135" i="7"/>
  <c r="U2135" i="7"/>
  <c r="V2135" i="7"/>
  <c r="W2135" i="7"/>
  <c r="X2135" i="7"/>
  <c r="Y2135" i="7"/>
  <c r="Z2135" i="7"/>
  <c r="AA2135" i="7"/>
  <c r="AB2135" i="7"/>
  <c r="AC2135" i="7"/>
  <c r="AD2135" i="7"/>
  <c r="AE2135" i="7"/>
  <c r="Q2136" i="7"/>
  <c r="R2136" i="7"/>
  <c r="S2136" i="7"/>
  <c r="T2136" i="7"/>
  <c r="U2136" i="7"/>
  <c r="V2136" i="7"/>
  <c r="W2136" i="7"/>
  <c r="X2136" i="7"/>
  <c r="Y2136" i="7"/>
  <c r="Z2136" i="7"/>
  <c r="AA2136" i="7"/>
  <c r="AB2136" i="7"/>
  <c r="AC2136" i="7"/>
  <c r="AD2136" i="7"/>
  <c r="AE2136" i="7"/>
  <c r="Q2137" i="7"/>
  <c r="R2137" i="7"/>
  <c r="S2137" i="7"/>
  <c r="T2137" i="7"/>
  <c r="U2137" i="7"/>
  <c r="V2137" i="7"/>
  <c r="W2137" i="7"/>
  <c r="X2137" i="7"/>
  <c r="Y2137" i="7"/>
  <c r="Z2137" i="7"/>
  <c r="AA2137" i="7"/>
  <c r="AB2137" i="7"/>
  <c r="AC2137" i="7"/>
  <c r="AD2137" i="7"/>
  <c r="AE2137" i="7"/>
  <c r="Q2138" i="7"/>
  <c r="R2138" i="7"/>
  <c r="S2138" i="7"/>
  <c r="T2138" i="7"/>
  <c r="U2138" i="7"/>
  <c r="V2138" i="7"/>
  <c r="W2138" i="7"/>
  <c r="X2138" i="7"/>
  <c r="Y2138" i="7"/>
  <c r="Z2138" i="7"/>
  <c r="AA2138" i="7"/>
  <c r="AB2138" i="7"/>
  <c r="AC2138" i="7"/>
  <c r="AD2138" i="7"/>
  <c r="AE2138" i="7"/>
  <c r="Q2139" i="7"/>
  <c r="R2139" i="7"/>
  <c r="S2139" i="7"/>
  <c r="T2139" i="7"/>
  <c r="U2139" i="7"/>
  <c r="V2139" i="7"/>
  <c r="W2139" i="7"/>
  <c r="X2139" i="7"/>
  <c r="Y2139" i="7"/>
  <c r="Z2139" i="7"/>
  <c r="AA2139" i="7"/>
  <c r="AB2139" i="7"/>
  <c r="AC2139" i="7"/>
  <c r="AD2139" i="7"/>
  <c r="AE2139" i="7"/>
  <c r="Q2140" i="7"/>
  <c r="R2140" i="7"/>
  <c r="S2140" i="7"/>
  <c r="T2140" i="7"/>
  <c r="U2140" i="7"/>
  <c r="V2140" i="7"/>
  <c r="W2140" i="7"/>
  <c r="X2140" i="7"/>
  <c r="Y2140" i="7"/>
  <c r="Z2140" i="7"/>
  <c r="AA2140" i="7"/>
  <c r="AB2140" i="7"/>
  <c r="AC2140" i="7"/>
  <c r="AD2140" i="7"/>
  <c r="AE2140" i="7"/>
  <c r="Q2141" i="7"/>
  <c r="R2141" i="7"/>
  <c r="S2141" i="7"/>
  <c r="T2141" i="7"/>
  <c r="U2141" i="7"/>
  <c r="V2141" i="7"/>
  <c r="W2141" i="7"/>
  <c r="X2141" i="7"/>
  <c r="Y2141" i="7"/>
  <c r="Z2141" i="7"/>
  <c r="AA2141" i="7"/>
  <c r="AB2141" i="7"/>
  <c r="AC2141" i="7"/>
  <c r="AD2141" i="7"/>
  <c r="AE2141" i="7"/>
  <c r="Q2142" i="7"/>
  <c r="R2142" i="7"/>
  <c r="S2142" i="7"/>
  <c r="T2142" i="7"/>
  <c r="U2142" i="7"/>
  <c r="V2142" i="7"/>
  <c r="W2142" i="7"/>
  <c r="X2142" i="7"/>
  <c r="Y2142" i="7"/>
  <c r="Z2142" i="7"/>
  <c r="AA2142" i="7"/>
  <c r="AB2142" i="7"/>
  <c r="AC2142" i="7"/>
  <c r="AD2142" i="7"/>
  <c r="AE2142" i="7"/>
  <c r="Q2143" i="7"/>
  <c r="R2143" i="7"/>
  <c r="S2143" i="7"/>
  <c r="T2143" i="7"/>
  <c r="U2143" i="7"/>
  <c r="V2143" i="7"/>
  <c r="W2143" i="7"/>
  <c r="X2143" i="7"/>
  <c r="Y2143" i="7"/>
  <c r="Z2143" i="7"/>
  <c r="AA2143" i="7"/>
  <c r="AB2143" i="7"/>
  <c r="AC2143" i="7"/>
  <c r="AD2143" i="7"/>
  <c r="AE2143" i="7"/>
  <c r="Q2144" i="7"/>
  <c r="R2144" i="7"/>
  <c r="S2144" i="7"/>
  <c r="T2144" i="7"/>
  <c r="U2144" i="7"/>
  <c r="V2144" i="7"/>
  <c r="W2144" i="7"/>
  <c r="X2144" i="7"/>
  <c r="Y2144" i="7"/>
  <c r="Z2144" i="7"/>
  <c r="AA2144" i="7"/>
  <c r="AB2144" i="7"/>
  <c r="AC2144" i="7"/>
  <c r="AD2144" i="7"/>
  <c r="AE2144" i="7"/>
  <c r="Q2145" i="7"/>
  <c r="R2145" i="7"/>
  <c r="S2145" i="7"/>
  <c r="T2145" i="7"/>
  <c r="U2145" i="7"/>
  <c r="V2145" i="7"/>
  <c r="W2145" i="7"/>
  <c r="X2145" i="7"/>
  <c r="Y2145" i="7"/>
  <c r="Z2145" i="7"/>
  <c r="AA2145" i="7"/>
  <c r="AB2145" i="7"/>
  <c r="AC2145" i="7"/>
  <c r="AD2145" i="7"/>
  <c r="AE2145" i="7"/>
  <c r="Q2146" i="7"/>
  <c r="R2146" i="7"/>
  <c r="S2146" i="7"/>
  <c r="T2146" i="7"/>
  <c r="U2146" i="7"/>
  <c r="V2146" i="7"/>
  <c r="W2146" i="7"/>
  <c r="X2146" i="7"/>
  <c r="Y2146" i="7"/>
  <c r="Z2146" i="7"/>
  <c r="AA2146" i="7"/>
  <c r="AB2146" i="7"/>
  <c r="AC2146" i="7"/>
  <c r="AD2146" i="7"/>
  <c r="AE2146" i="7"/>
  <c r="Q2147" i="7"/>
  <c r="R2147" i="7"/>
  <c r="S2147" i="7"/>
  <c r="T2147" i="7"/>
  <c r="U2147" i="7"/>
  <c r="V2147" i="7"/>
  <c r="W2147" i="7"/>
  <c r="X2147" i="7"/>
  <c r="Y2147" i="7"/>
  <c r="Z2147" i="7"/>
  <c r="AA2147" i="7"/>
  <c r="AB2147" i="7"/>
  <c r="AC2147" i="7"/>
  <c r="AD2147" i="7"/>
  <c r="AE2147" i="7"/>
  <c r="Q2148" i="7"/>
  <c r="R2148" i="7"/>
  <c r="S2148" i="7"/>
  <c r="T2148" i="7"/>
  <c r="U2148" i="7"/>
  <c r="V2148" i="7"/>
  <c r="W2148" i="7"/>
  <c r="X2148" i="7"/>
  <c r="Y2148" i="7"/>
  <c r="Z2148" i="7"/>
  <c r="AA2148" i="7"/>
  <c r="AB2148" i="7"/>
  <c r="AC2148" i="7"/>
  <c r="AD2148" i="7"/>
  <c r="AE2148" i="7"/>
  <c r="Q2149" i="7"/>
  <c r="R2149" i="7"/>
  <c r="S2149" i="7"/>
  <c r="T2149" i="7"/>
  <c r="U2149" i="7"/>
  <c r="V2149" i="7"/>
  <c r="W2149" i="7"/>
  <c r="X2149" i="7"/>
  <c r="Y2149" i="7"/>
  <c r="Z2149" i="7"/>
  <c r="AA2149" i="7"/>
  <c r="AB2149" i="7"/>
  <c r="AC2149" i="7"/>
  <c r="AD2149" i="7"/>
  <c r="AE2149" i="7"/>
  <c r="Q2150" i="7"/>
  <c r="R2150" i="7"/>
  <c r="S2150" i="7"/>
  <c r="T2150" i="7"/>
  <c r="U2150" i="7"/>
  <c r="V2150" i="7"/>
  <c r="W2150" i="7"/>
  <c r="X2150" i="7"/>
  <c r="Y2150" i="7"/>
  <c r="Z2150" i="7"/>
  <c r="AA2150" i="7"/>
  <c r="AB2150" i="7"/>
  <c r="AC2150" i="7"/>
  <c r="AD2150" i="7"/>
  <c r="AE2150" i="7"/>
  <c r="Q2151" i="7"/>
  <c r="R2151" i="7"/>
  <c r="S2151" i="7"/>
  <c r="T2151" i="7"/>
  <c r="U2151" i="7"/>
  <c r="V2151" i="7"/>
  <c r="W2151" i="7"/>
  <c r="X2151" i="7"/>
  <c r="Y2151" i="7"/>
  <c r="Z2151" i="7"/>
  <c r="AA2151" i="7"/>
  <c r="AB2151" i="7"/>
  <c r="AC2151" i="7"/>
  <c r="AD2151" i="7"/>
  <c r="AE2151" i="7"/>
  <c r="Q2152" i="7"/>
  <c r="R2152" i="7"/>
  <c r="S2152" i="7"/>
  <c r="T2152" i="7"/>
  <c r="U2152" i="7"/>
  <c r="V2152" i="7"/>
  <c r="W2152" i="7"/>
  <c r="X2152" i="7"/>
  <c r="Y2152" i="7"/>
  <c r="Z2152" i="7"/>
  <c r="AA2152" i="7"/>
  <c r="AB2152" i="7"/>
  <c r="AC2152" i="7"/>
  <c r="AD2152" i="7"/>
  <c r="AE2152" i="7"/>
  <c r="Q2153" i="7"/>
  <c r="R2153" i="7"/>
  <c r="S2153" i="7"/>
  <c r="T2153" i="7"/>
  <c r="U2153" i="7"/>
  <c r="V2153" i="7"/>
  <c r="W2153" i="7"/>
  <c r="X2153" i="7"/>
  <c r="Y2153" i="7"/>
  <c r="Z2153" i="7"/>
  <c r="AA2153" i="7"/>
  <c r="AB2153" i="7"/>
  <c r="AC2153" i="7"/>
  <c r="AD2153" i="7"/>
  <c r="AE2153" i="7"/>
  <c r="Q2154" i="7"/>
  <c r="R2154" i="7"/>
  <c r="S2154" i="7"/>
  <c r="T2154" i="7"/>
  <c r="U2154" i="7"/>
  <c r="V2154" i="7"/>
  <c r="W2154" i="7"/>
  <c r="X2154" i="7"/>
  <c r="Y2154" i="7"/>
  <c r="Z2154" i="7"/>
  <c r="AA2154" i="7"/>
  <c r="AB2154" i="7"/>
  <c r="AC2154" i="7"/>
  <c r="AD2154" i="7"/>
  <c r="AE2154" i="7"/>
  <c r="Q2155" i="7"/>
  <c r="R2155" i="7"/>
  <c r="S2155" i="7"/>
  <c r="T2155" i="7"/>
  <c r="U2155" i="7"/>
  <c r="V2155" i="7"/>
  <c r="W2155" i="7"/>
  <c r="X2155" i="7"/>
  <c r="Y2155" i="7"/>
  <c r="Z2155" i="7"/>
  <c r="AA2155" i="7"/>
  <c r="AB2155" i="7"/>
  <c r="AC2155" i="7"/>
  <c r="AD2155" i="7"/>
  <c r="AE2155" i="7"/>
  <c r="Q2156" i="7"/>
  <c r="R2156" i="7"/>
  <c r="S2156" i="7"/>
  <c r="T2156" i="7"/>
  <c r="U2156" i="7"/>
  <c r="V2156" i="7"/>
  <c r="W2156" i="7"/>
  <c r="X2156" i="7"/>
  <c r="Y2156" i="7"/>
  <c r="Z2156" i="7"/>
  <c r="AA2156" i="7"/>
  <c r="AB2156" i="7"/>
  <c r="AC2156" i="7"/>
  <c r="AD2156" i="7"/>
  <c r="AE2156" i="7"/>
  <c r="Q2157" i="7"/>
  <c r="R2157" i="7"/>
  <c r="S2157" i="7"/>
  <c r="T2157" i="7"/>
  <c r="U2157" i="7"/>
  <c r="V2157" i="7"/>
  <c r="W2157" i="7"/>
  <c r="X2157" i="7"/>
  <c r="Y2157" i="7"/>
  <c r="Z2157" i="7"/>
  <c r="AA2157" i="7"/>
  <c r="AB2157" i="7"/>
  <c r="AC2157" i="7"/>
  <c r="AD2157" i="7"/>
  <c r="AE2157" i="7"/>
  <c r="Q2158" i="7"/>
  <c r="R2158" i="7"/>
  <c r="S2158" i="7"/>
  <c r="T2158" i="7"/>
  <c r="U2158" i="7"/>
  <c r="V2158" i="7"/>
  <c r="W2158" i="7"/>
  <c r="X2158" i="7"/>
  <c r="Y2158" i="7"/>
  <c r="Z2158" i="7"/>
  <c r="AA2158" i="7"/>
  <c r="AB2158" i="7"/>
  <c r="AC2158" i="7"/>
  <c r="AD2158" i="7"/>
  <c r="AE2158" i="7"/>
  <c r="Q2159" i="7"/>
  <c r="R2159" i="7"/>
  <c r="S2159" i="7"/>
  <c r="T2159" i="7"/>
  <c r="U2159" i="7"/>
  <c r="V2159" i="7"/>
  <c r="W2159" i="7"/>
  <c r="X2159" i="7"/>
  <c r="Y2159" i="7"/>
  <c r="Z2159" i="7"/>
  <c r="AA2159" i="7"/>
  <c r="AB2159" i="7"/>
  <c r="AC2159" i="7"/>
  <c r="AD2159" i="7"/>
  <c r="AE2159" i="7"/>
  <c r="Q2160" i="7"/>
  <c r="R2160" i="7"/>
  <c r="S2160" i="7"/>
  <c r="T2160" i="7"/>
  <c r="U2160" i="7"/>
  <c r="V2160" i="7"/>
  <c r="W2160" i="7"/>
  <c r="X2160" i="7"/>
  <c r="Y2160" i="7"/>
  <c r="Z2160" i="7"/>
  <c r="AA2160" i="7"/>
  <c r="AB2160" i="7"/>
  <c r="AC2160" i="7"/>
  <c r="AD2160" i="7"/>
  <c r="AE2160" i="7"/>
  <c r="Q2161" i="7"/>
  <c r="R2161" i="7"/>
  <c r="S2161" i="7"/>
  <c r="T2161" i="7"/>
  <c r="U2161" i="7"/>
  <c r="V2161" i="7"/>
  <c r="W2161" i="7"/>
  <c r="X2161" i="7"/>
  <c r="Y2161" i="7"/>
  <c r="Z2161" i="7"/>
  <c r="AA2161" i="7"/>
  <c r="AB2161" i="7"/>
  <c r="AC2161" i="7"/>
  <c r="AD2161" i="7"/>
  <c r="AE2161" i="7"/>
  <c r="Q2162" i="7"/>
  <c r="R2162" i="7"/>
  <c r="S2162" i="7"/>
  <c r="T2162" i="7"/>
  <c r="U2162" i="7"/>
  <c r="V2162" i="7"/>
  <c r="W2162" i="7"/>
  <c r="X2162" i="7"/>
  <c r="Y2162" i="7"/>
  <c r="Z2162" i="7"/>
  <c r="AA2162" i="7"/>
  <c r="AB2162" i="7"/>
  <c r="AC2162" i="7"/>
  <c r="AD2162" i="7"/>
  <c r="AE2162" i="7"/>
  <c r="Q2163" i="7"/>
  <c r="R2163" i="7"/>
  <c r="S2163" i="7"/>
  <c r="T2163" i="7"/>
  <c r="U2163" i="7"/>
  <c r="V2163" i="7"/>
  <c r="W2163" i="7"/>
  <c r="X2163" i="7"/>
  <c r="Y2163" i="7"/>
  <c r="Z2163" i="7"/>
  <c r="AA2163" i="7"/>
  <c r="AB2163" i="7"/>
  <c r="AC2163" i="7"/>
  <c r="AD2163" i="7"/>
  <c r="AE2163" i="7"/>
  <c r="Q2164" i="7"/>
  <c r="R2164" i="7"/>
  <c r="S2164" i="7"/>
  <c r="T2164" i="7"/>
  <c r="U2164" i="7"/>
  <c r="V2164" i="7"/>
  <c r="W2164" i="7"/>
  <c r="X2164" i="7"/>
  <c r="Y2164" i="7"/>
  <c r="Z2164" i="7"/>
  <c r="AA2164" i="7"/>
  <c r="AB2164" i="7"/>
  <c r="AC2164" i="7"/>
  <c r="AD2164" i="7"/>
  <c r="AE2164" i="7"/>
  <c r="Q2165" i="7"/>
  <c r="R2165" i="7"/>
  <c r="S2165" i="7"/>
  <c r="T2165" i="7"/>
  <c r="U2165" i="7"/>
  <c r="V2165" i="7"/>
  <c r="W2165" i="7"/>
  <c r="X2165" i="7"/>
  <c r="Y2165" i="7"/>
  <c r="Z2165" i="7"/>
  <c r="AA2165" i="7"/>
  <c r="AB2165" i="7"/>
  <c r="AC2165" i="7"/>
  <c r="AD2165" i="7"/>
  <c r="AE2165" i="7"/>
  <c r="Q2166" i="7"/>
  <c r="R2166" i="7"/>
  <c r="S2166" i="7"/>
  <c r="T2166" i="7"/>
  <c r="U2166" i="7"/>
  <c r="V2166" i="7"/>
  <c r="W2166" i="7"/>
  <c r="X2166" i="7"/>
  <c r="Y2166" i="7"/>
  <c r="Z2166" i="7"/>
  <c r="AA2166" i="7"/>
  <c r="AB2166" i="7"/>
  <c r="AC2166" i="7"/>
  <c r="AD2166" i="7"/>
  <c r="AE2166" i="7"/>
  <c r="Q2167" i="7"/>
  <c r="R2167" i="7"/>
  <c r="S2167" i="7"/>
  <c r="T2167" i="7"/>
  <c r="U2167" i="7"/>
  <c r="V2167" i="7"/>
  <c r="W2167" i="7"/>
  <c r="X2167" i="7"/>
  <c r="Y2167" i="7"/>
  <c r="Z2167" i="7"/>
  <c r="AA2167" i="7"/>
  <c r="AB2167" i="7"/>
  <c r="AC2167" i="7"/>
  <c r="AD2167" i="7"/>
  <c r="AE2167" i="7"/>
  <c r="Q2168" i="7"/>
  <c r="R2168" i="7"/>
  <c r="S2168" i="7"/>
  <c r="T2168" i="7"/>
  <c r="U2168" i="7"/>
  <c r="V2168" i="7"/>
  <c r="W2168" i="7"/>
  <c r="X2168" i="7"/>
  <c r="Y2168" i="7"/>
  <c r="Z2168" i="7"/>
  <c r="AA2168" i="7"/>
  <c r="AB2168" i="7"/>
  <c r="AC2168" i="7"/>
  <c r="AD2168" i="7"/>
  <c r="AE2168" i="7"/>
  <c r="Q2169" i="7"/>
  <c r="R2169" i="7"/>
  <c r="S2169" i="7"/>
  <c r="T2169" i="7"/>
  <c r="U2169" i="7"/>
  <c r="V2169" i="7"/>
  <c r="W2169" i="7"/>
  <c r="X2169" i="7"/>
  <c r="Y2169" i="7"/>
  <c r="Z2169" i="7"/>
  <c r="AA2169" i="7"/>
  <c r="AB2169" i="7"/>
  <c r="AC2169" i="7"/>
  <c r="AD2169" i="7"/>
  <c r="AE2169" i="7"/>
  <c r="Q2170" i="7"/>
  <c r="R2170" i="7"/>
  <c r="S2170" i="7"/>
  <c r="T2170" i="7"/>
  <c r="U2170" i="7"/>
  <c r="V2170" i="7"/>
  <c r="W2170" i="7"/>
  <c r="X2170" i="7"/>
  <c r="Y2170" i="7"/>
  <c r="Z2170" i="7"/>
  <c r="AA2170" i="7"/>
  <c r="AB2170" i="7"/>
  <c r="AC2170" i="7"/>
  <c r="AD2170" i="7"/>
  <c r="AE2170" i="7"/>
  <c r="Q2171" i="7"/>
  <c r="R2171" i="7"/>
  <c r="S2171" i="7"/>
  <c r="T2171" i="7"/>
  <c r="U2171" i="7"/>
  <c r="V2171" i="7"/>
  <c r="W2171" i="7"/>
  <c r="X2171" i="7"/>
  <c r="Y2171" i="7"/>
  <c r="Z2171" i="7"/>
  <c r="AA2171" i="7"/>
  <c r="AB2171" i="7"/>
  <c r="AC2171" i="7"/>
  <c r="AD2171" i="7"/>
  <c r="AE2171" i="7"/>
  <c r="Q2172" i="7"/>
  <c r="R2172" i="7"/>
  <c r="S2172" i="7"/>
  <c r="T2172" i="7"/>
  <c r="U2172" i="7"/>
  <c r="V2172" i="7"/>
  <c r="W2172" i="7"/>
  <c r="X2172" i="7"/>
  <c r="Y2172" i="7"/>
  <c r="Z2172" i="7"/>
  <c r="AA2172" i="7"/>
  <c r="AB2172" i="7"/>
  <c r="AC2172" i="7"/>
  <c r="AD2172" i="7"/>
  <c r="AE2172" i="7"/>
  <c r="Q2173" i="7"/>
  <c r="R2173" i="7"/>
  <c r="S2173" i="7"/>
  <c r="T2173" i="7"/>
  <c r="U2173" i="7"/>
  <c r="V2173" i="7"/>
  <c r="W2173" i="7"/>
  <c r="X2173" i="7"/>
  <c r="Y2173" i="7"/>
  <c r="Z2173" i="7"/>
  <c r="AA2173" i="7"/>
  <c r="AB2173" i="7"/>
  <c r="AC2173" i="7"/>
  <c r="AD2173" i="7"/>
  <c r="AE2173" i="7"/>
  <c r="Q2174" i="7"/>
  <c r="R2174" i="7"/>
  <c r="S2174" i="7"/>
  <c r="T2174" i="7"/>
  <c r="U2174" i="7"/>
  <c r="V2174" i="7"/>
  <c r="W2174" i="7"/>
  <c r="X2174" i="7"/>
  <c r="Y2174" i="7"/>
  <c r="Z2174" i="7"/>
  <c r="AA2174" i="7"/>
  <c r="AB2174" i="7"/>
  <c r="AC2174" i="7"/>
  <c r="AD2174" i="7"/>
  <c r="AE2174" i="7"/>
  <c r="Q2175" i="7"/>
  <c r="R2175" i="7"/>
  <c r="S2175" i="7"/>
  <c r="T2175" i="7"/>
  <c r="U2175" i="7"/>
  <c r="V2175" i="7"/>
  <c r="W2175" i="7"/>
  <c r="X2175" i="7"/>
  <c r="Y2175" i="7"/>
  <c r="Z2175" i="7"/>
  <c r="AA2175" i="7"/>
  <c r="AB2175" i="7"/>
  <c r="AC2175" i="7"/>
  <c r="AD2175" i="7"/>
  <c r="AE2175" i="7"/>
  <c r="Q2176" i="7"/>
  <c r="R2176" i="7"/>
  <c r="S2176" i="7"/>
  <c r="T2176" i="7"/>
  <c r="U2176" i="7"/>
  <c r="V2176" i="7"/>
  <c r="W2176" i="7"/>
  <c r="X2176" i="7"/>
  <c r="Y2176" i="7"/>
  <c r="Z2176" i="7"/>
  <c r="AA2176" i="7"/>
  <c r="AB2176" i="7"/>
  <c r="AC2176" i="7"/>
  <c r="AD2176" i="7"/>
  <c r="AE2176" i="7"/>
  <c r="Q2177" i="7"/>
  <c r="R2177" i="7"/>
  <c r="S2177" i="7"/>
  <c r="T2177" i="7"/>
  <c r="U2177" i="7"/>
  <c r="V2177" i="7"/>
  <c r="W2177" i="7"/>
  <c r="X2177" i="7"/>
  <c r="Y2177" i="7"/>
  <c r="Z2177" i="7"/>
  <c r="AA2177" i="7"/>
  <c r="AB2177" i="7"/>
  <c r="AC2177" i="7"/>
  <c r="AD2177" i="7"/>
  <c r="AE2177" i="7"/>
  <c r="Q2178" i="7"/>
  <c r="R2178" i="7"/>
  <c r="S2178" i="7"/>
  <c r="T2178" i="7"/>
  <c r="U2178" i="7"/>
  <c r="V2178" i="7"/>
  <c r="W2178" i="7"/>
  <c r="X2178" i="7"/>
  <c r="Y2178" i="7"/>
  <c r="Z2178" i="7"/>
  <c r="AA2178" i="7"/>
  <c r="AB2178" i="7"/>
  <c r="AC2178" i="7"/>
  <c r="AD2178" i="7"/>
  <c r="AE2178" i="7"/>
  <c r="Q2179" i="7"/>
  <c r="R2179" i="7"/>
  <c r="S2179" i="7"/>
  <c r="T2179" i="7"/>
  <c r="U2179" i="7"/>
  <c r="V2179" i="7"/>
  <c r="W2179" i="7"/>
  <c r="X2179" i="7"/>
  <c r="Y2179" i="7"/>
  <c r="Z2179" i="7"/>
  <c r="AA2179" i="7"/>
  <c r="AB2179" i="7"/>
  <c r="AC2179" i="7"/>
  <c r="AD2179" i="7"/>
  <c r="AE2179" i="7"/>
  <c r="Q2180" i="7"/>
  <c r="R2180" i="7"/>
  <c r="S2180" i="7"/>
  <c r="T2180" i="7"/>
  <c r="U2180" i="7"/>
  <c r="V2180" i="7"/>
  <c r="W2180" i="7"/>
  <c r="X2180" i="7"/>
  <c r="Y2180" i="7"/>
  <c r="Z2180" i="7"/>
  <c r="AA2180" i="7"/>
  <c r="AB2180" i="7"/>
  <c r="AC2180" i="7"/>
  <c r="AD2180" i="7"/>
  <c r="AE2180" i="7"/>
  <c r="Q2181" i="7"/>
  <c r="R2181" i="7"/>
  <c r="S2181" i="7"/>
  <c r="T2181" i="7"/>
  <c r="U2181" i="7"/>
  <c r="V2181" i="7"/>
  <c r="W2181" i="7"/>
  <c r="X2181" i="7"/>
  <c r="Y2181" i="7"/>
  <c r="Z2181" i="7"/>
  <c r="AA2181" i="7"/>
  <c r="AB2181" i="7"/>
  <c r="AC2181" i="7"/>
  <c r="AD2181" i="7"/>
  <c r="AE2181" i="7"/>
  <c r="Q2182" i="7"/>
  <c r="R2182" i="7"/>
  <c r="S2182" i="7"/>
  <c r="T2182" i="7"/>
  <c r="U2182" i="7"/>
  <c r="V2182" i="7"/>
  <c r="W2182" i="7"/>
  <c r="X2182" i="7"/>
  <c r="Y2182" i="7"/>
  <c r="Z2182" i="7"/>
  <c r="AA2182" i="7"/>
  <c r="AB2182" i="7"/>
  <c r="AC2182" i="7"/>
  <c r="AD2182" i="7"/>
  <c r="AE2182" i="7"/>
  <c r="Q2183" i="7"/>
  <c r="R2183" i="7"/>
  <c r="S2183" i="7"/>
  <c r="T2183" i="7"/>
  <c r="U2183" i="7"/>
  <c r="V2183" i="7"/>
  <c r="W2183" i="7"/>
  <c r="X2183" i="7"/>
  <c r="Y2183" i="7"/>
  <c r="Z2183" i="7"/>
  <c r="AA2183" i="7"/>
  <c r="AB2183" i="7"/>
  <c r="AC2183" i="7"/>
  <c r="AD2183" i="7"/>
  <c r="AE2183" i="7"/>
  <c r="Q2184" i="7"/>
  <c r="R2184" i="7"/>
  <c r="S2184" i="7"/>
  <c r="T2184" i="7"/>
  <c r="U2184" i="7"/>
  <c r="V2184" i="7"/>
  <c r="W2184" i="7"/>
  <c r="X2184" i="7"/>
  <c r="Y2184" i="7"/>
  <c r="Z2184" i="7"/>
  <c r="AA2184" i="7"/>
  <c r="AB2184" i="7"/>
  <c r="AC2184" i="7"/>
  <c r="AD2184" i="7"/>
  <c r="AE2184" i="7"/>
  <c r="Q2185" i="7"/>
  <c r="R2185" i="7"/>
  <c r="S2185" i="7"/>
  <c r="T2185" i="7"/>
  <c r="U2185" i="7"/>
  <c r="V2185" i="7"/>
  <c r="W2185" i="7"/>
  <c r="X2185" i="7"/>
  <c r="Y2185" i="7"/>
  <c r="Z2185" i="7"/>
  <c r="AA2185" i="7"/>
  <c r="AB2185" i="7"/>
  <c r="AC2185" i="7"/>
  <c r="AD2185" i="7"/>
  <c r="AE2185" i="7"/>
  <c r="Q2186" i="7"/>
  <c r="R2186" i="7"/>
  <c r="S2186" i="7"/>
  <c r="T2186" i="7"/>
  <c r="U2186" i="7"/>
  <c r="V2186" i="7"/>
  <c r="W2186" i="7"/>
  <c r="X2186" i="7"/>
  <c r="Y2186" i="7"/>
  <c r="Z2186" i="7"/>
  <c r="AA2186" i="7"/>
  <c r="AB2186" i="7"/>
  <c r="AC2186" i="7"/>
  <c r="AD2186" i="7"/>
  <c r="AE2186" i="7"/>
  <c r="Q2187" i="7"/>
  <c r="R2187" i="7"/>
  <c r="S2187" i="7"/>
  <c r="T2187" i="7"/>
  <c r="U2187" i="7"/>
  <c r="V2187" i="7"/>
  <c r="W2187" i="7"/>
  <c r="X2187" i="7"/>
  <c r="Y2187" i="7"/>
  <c r="Z2187" i="7"/>
  <c r="AA2187" i="7"/>
  <c r="AB2187" i="7"/>
  <c r="AC2187" i="7"/>
  <c r="AD2187" i="7"/>
  <c r="AE2187" i="7"/>
  <c r="Q2188" i="7"/>
  <c r="R2188" i="7"/>
  <c r="S2188" i="7"/>
  <c r="T2188" i="7"/>
  <c r="U2188" i="7"/>
  <c r="V2188" i="7"/>
  <c r="W2188" i="7"/>
  <c r="X2188" i="7"/>
  <c r="Y2188" i="7"/>
  <c r="Z2188" i="7"/>
  <c r="AA2188" i="7"/>
  <c r="AB2188" i="7"/>
  <c r="AC2188" i="7"/>
  <c r="AD2188" i="7"/>
  <c r="AE2188" i="7"/>
  <c r="Q2189" i="7"/>
  <c r="R2189" i="7"/>
  <c r="S2189" i="7"/>
  <c r="T2189" i="7"/>
  <c r="U2189" i="7"/>
  <c r="V2189" i="7"/>
  <c r="W2189" i="7"/>
  <c r="X2189" i="7"/>
  <c r="Y2189" i="7"/>
  <c r="Z2189" i="7"/>
  <c r="AA2189" i="7"/>
  <c r="AB2189" i="7"/>
  <c r="AC2189" i="7"/>
  <c r="AD2189" i="7"/>
  <c r="AE2189" i="7"/>
  <c r="Q2190" i="7"/>
  <c r="R2190" i="7"/>
  <c r="S2190" i="7"/>
  <c r="T2190" i="7"/>
  <c r="U2190" i="7"/>
  <c r="V2190" i="7"/>
  <c r="W2190" i="7"/>
  <c r="X2190" i="7"/>
  <c r="Y2190" i="7"/>
  <c r="Z2190" i="7"/>
  <c r="AA2190" i="7"/>
  <c r="AB2190" i="7"/>
  <c r="AC2190" i="7"/>
  <c r="AD2190" i="7"/>
  <c r="AE2190" i="7"/>
  <c r="Q2191" i="7"/>
  <c r="R2191" i="7"/>
  <c r="S2191" i="7"/>
  <c r="T2191" i="7"/>
  <c r="U2191" i="7"/>
  <c r="V2191" i="7"/>
  <c r="W2191" i="7"/>
  <c r="X2191" i="7"/>
  <c r="Y2191" i="7"/>
  <c r="Z2191" i="7"/>
  <c r="AA2191" i="7"/>
  <c r="AB2191" i="7"/>
  <c r="AC2191" i="7"/>
  <c r="AD2191" i="7"/>
  <c r="AE2191" i="7"/>
  <c r="Q2192" i="7"/>
  <c r="R2192" i="7"/>
  <c r="S2192" i="7"/>
  <c r="T2192" i="7"/>
  <c r="U2192" i="7"/>
  <c r="V2192" i="7"/>
  <c r="W2192" i="7"/>
  <c r="X2192" i="7"/>
  <c r="Y2192" i="7"/>
  <c r="Z2192" i="7"/>
  <c r="AA2192" i="7"/>
  <c r="AB2192" i="7"/>
  <c r="AC2192" i="7"/>
  <c r="AD2192" i="7"/>
  <c r="AE2192" i="7"/>
  <c r="Q2193" i="7"/>
  <c r="R2193" i="7"/>
  <c r="S2193" i="7"/>
  <c r="T2193" i="7"/>
  <c r="U2193" i="7"/>
  <c r="V2193" i="7"/>
  <c r="W2193" i="7"/>
  <c r="X2193" i="7"/>
  <c r="Y2193" i="7"/>
  <c r="Z2193" i="7"/>
  <c r="AA2193" i="7"/>
  <c r="AB2193" i="7"/>
  <c r="AC2193" i="7"/>
  <c r="AD2193" i="7"/>
  <c r="AE2193" i="7"/>
  <c r="Q2194" i="7"/>
  <c r="R2194" i="7"/>
  <c r="S2194" i="7"/>
  <c r="T2194" i="7"/>
  <c r="U2194" i="7"/>
  <c r="V2194" i="7"/>
  <c r="W2194" i="7"/>
  <c r="X2194" i="7"/>
  <c r="Y2194" i="7"/>
  <c r="Z2194" i="7"/>
  <c r="AA2194" i="7"/>
  <c r="AB2194" i="7"/>
  <c r="AC2194" i="7"/>
  <c r="AD2194" i="7"/>
  <c r="AE2194" i="7"/>
  <c r="Q2195" i="7"/>
  <c r="R2195" i="7"/>
  <c r="S2195" i="7"/>
  <c r="T2195" i="7"/>
  <c r="U2195" i="7"/>
  <c r="V2195" i="7"/>
  <c r="W2195" i="7"/>
  <c r="X2195" i="7"/>
  <c r="Y2195" i="7"/>
  <c r="Z2195" i="7"/>
  <c r="AA2195" i="7"/>
  <c r="AB2195" i="7"/>
  <c r="AC2195" i="7"/>
  <c r="AD2195" i="7"/>
  <c r="AE2195" i="7"/>
  <c r="Q2196" i="7"/>
  <c r="R2196" i="7"/>
  <c r="S2196" i="7"/>
  <c r="T2196" i="7"/>
  <c r="U2196" i="7"/>
  <c r="V2196" i="7"/>
  <c r="W2196" i="7"/>
  <c r="X2196" i="7"/>
  <c r="Y2196" i="7"/>
  <c r="Z2196" i="7"/>
  <c r="AA2196" i="7"/>
  <c r="AB2196" i="7"/>
  <c r="AC2196" i="7"/>
  <c r="AD2196" i="7"/>
  <c r="AE2196" i="7"/>
  <c r="Q2197" i="7"/>
  <c r="R2197" i="7"/>
  <c r="S2197" i="7"/>
  <c r="T2197" i="7"/>
  <c r="U2197" i="7"/>
  <c r="V2197" i="7"/>
  <c r="W2197" i="7"/>
  <c r="X2197" i="7"/>
  <c r="Y2197" i="7"/>
  <c r="Z2197" i="7"/>
  <c r="AA2197" i="7"/>
  <c r="AB2197" i="7"/>
  <c r="AC2197" i="7"/>
  <c r="AD2197" i="7"/>
  <c r="AE2197" i="7"/>
  <c r="Q2198" i="7"/>
  <c r="R2198" i="7"/>
  <c r="S2198" i="7"/>
  <c r="T2198" i="7"/>
  <c r="U2198" i="7"/>
  <c r="V2198" i="7"/>
  <c r="W2198" i="7"/>
  <c r="X2198" i="7"/>
  <c r="Y2198" i="7"/>
  <c r="Z2198" i="7"/>
  <c r="AA2198" i="7"/>
  <c r="AB2198" i="7"/>
  <c r="AC2198" i="7"/>
  <c r="AD2198" i="7"/>
  <c r="AE2198" i="7"/>
  <c r="Q2199" i="7"/>
  <c r="R2199" i="7"/>
  <c r="S2199" i="7"/>
  <c r="T2199" i="7"/>
  <c r="U2199" i="7"/>
  <c r="V2199" i="7"/>
  <c r="W2199" i="7"/>
  <c r="X2199" i="7"/>
  <c r="Y2199" i="7"/>
  <c r="Z2199" i="7"/>
  <c r="AA2199" i="7"/>
  <c r="AB2199" i="7"/>
  <c r="AC2199" i="7"/>
  <c r="AD2199" i="7"/>
  <c r="AE2199" i="7"/>
  <c r="Q2200" i="7"/>
  <c r="R2200" i="7"/>
  <c r="S2200" i="7"/>
  <c r="T2200" i="7"/>
  <c r="U2200" i="7"/>
  <c r="V2200" i="7"/>
  <c r="W2200" i="7"/>
  <c r="X2200" i="7"/>
  <c r="Y2200" i="7"/>
  <c r="Z2200" i="7"/>
  <c r="AA2200" i="7"/>
  <c r="AB2200" i="7"/>
  <c r="AC2200" i="7"/>
  <c r="AD2200" i="7"/>
  <c r="AE2200" i="7"/>
  <c r="Q2201" i="7"/>
  <c r="R2201" i="7"/>
  <c r="S2201" i="7"/>
  <c r="T2201" i="7"/>
  <c r="U2201" i="7"/>
  <c r="V2201" i="7"/>
  <c r="W2201" i="7"/>
  <c r="X2201" i="7"/>
  <c r="Y2201" i="7"/>
  <c r="Z2201" i="7"/>
  <c r="AA2201" i="7"/>
  <c r="AB2201" i="7"/>
  <c r="AC2201" i="7"/>
  <c r="AD2201" i="7"/>
  <c r="AE2201" i="7"/>
  <c r="Q2202" i="7"/>
  <c r="R2202" i="7"/>
  <c r="S2202" i="7"/>
  <c r="T2202" i="7"/>
  <c r="U2202" i="7"/>
  <c r="V2202" i="7"/>
  <c r="W2202" i="7"/>
  <c r="X2202" i="7"/>
  <c r="Y2202" i="7"/>
  <c r="Z2202" i="7"/>
  <c r="AA2202" i="7"/>
  <c r="AB2202" i="7"/>
  <c r="AC2202" i="7"/>
  <c r="AD2202" i="7"/>
  <c r="AE2202" i="7"/>
  <c r="Q2203" i="7"/>
  <c r="R2203" i="7"/>
  <c r="S2203" i="7"/>
  <c r="T2203" i="7"/>
  <c r="U2203" i="7"/>
  <c r="V2203" i="7"/>
  <c r="W2203" i="7"/>
  <c r="X2203" i="7"/>
  <c r="Y2203" i="7"/>
  <c r="Z2203" i="7"/>
  <c r="AA2203" i="7"/>
  <c r="AB2203" i="7"/>
  <c r="AC2203" i="7"/>
  <c r="AD2203" i="7"/>
  <c r="AE2203" i="7"/>
  <c r="Q2204" i="7"/>
  <c r="R2204" i="7"/>
  <c r="S2204" i="7"/>
  <c r="T2204" i="7"/>
  <c r="U2204" i="7"/>
  <c r="V2204" i="7"/>
  <c r="W2204" i="7"/>
  <c r="X2204" i="7"/>
  <c r="Y2204" i="7"/>
  <c r="Z2204" i="7"/>
  <c r="AA2204" i="7"/>
  <c r="AB2204" i="7"/>
  <c r="AC2204" i="7"/>
  <c r="AD2204" i="7"/>
  <c r="AE2204" i="7"/>
  <c r="Q2205" i="7"/>
  <c r="R2205" i="7"/>
  <c r="S2205" i="7"/>
  <c r="T2205" i="7"/>
  <c r="U2205" i="7"/>
  <c r="V2205" i="7"/>
  <c r="W2205" i="7"/>
  <c r="X2205" i="7"/>
  <c r="Y2205" i="7"/>
  <c r="Z2205" i="7"/>
  <c r="AA2205" i="7"/>
  <c r="AB2205" i="7"/>
  <c r="AC2205" i="7"/>
  <c r="AD2205" i="7"/>
  <c r="AE2205" i="7"/>
  <c r="Q2206" i="7"/>
  <c r="R2206" i="7"/>
  <c r="S2206" i="7"/>
  <c r="T2206" i="7"/>
  <c r="U2206" i="7"/>
  <c r="V2206" i="7"/>
  <c r="W2206" i="7"/>
  <c r="X2206" i="7"/>
  <c r="Y2206" i="7"/>
  <c r="Z2206" i="7"/>
  <c r="AA2206" i="7"/>
  <c r="AB2206" i="7"/>
  <c r="AC2206" i="7"/>
  <c r="AD2206" i="7"/>
  <c r="AE2206" i="7"/>
  <c r="Q2207" i="7"/>
  <c r="R2207" i="7"/>
  <c r="S2207" i="7"/>
  <c r="T2207" i="7"/>
  <c r="U2207" i="7"/>
  <c r="V2207" i="7"/>
  <c r="W2207" i="7"/>
  <c r="X2207" i="7"/>
  <c r="Y2207" i="7"/>
  <c r="Z2207" i="7"/>
  <c r="AA2207" i="7"/>
  <c r="AB2207" i="7"/>
  <c r="AC2207" i="7"/>
  <c r="AD2207" i="7"/>
  <c r="AE2207" i="7"/>
  <c r="Q2208" i="7"/>
  <c r="R2208" i="7"/>
  <c r="S2208" i="7"/>
  <c r="T2208" i="7"/>
  <c r="U2208" i="7"/>
  <c r="V2208" i="7"/>
  <c r="W2208" i="7"/>
  <c r="X2208" i="7"/>
  <c r="Y2208" i="7"/>
  <c r="Z2208" i="7"/>
  <c r="AA2208" i="7"/>
  <c r="AB2208" i="7"/>
  <c r="AC2208" i="7"/>
  <c r="AD2208" i="7"/>
  <c r="AE2208" i="7"/>
  <c r="Q2209" i="7"/>
  <c r="R2209" i="7"/>
  <c r="S2209" i="7"/>
  <c r="T2209" i="7"/>
  <c r="U2209" i="7"/>
  <c r="V2209" i="7"/>
  <c r="W2209" i="7"/>
  <c r="X2209" i="7"/>
  <c r="Y2209" i="7"/>
  <c r="Z2209" i="7"/>
  <c r="AA2209" i="7"/>
  <c r="AB2209" i="7"/>
  <c r="AC2209" i="7"/>
  <c r="AD2209" i="7"/>
  <c r="AE2209" i="7"/>
  <c r="Q2210" i="7"/>
  <c r="R2210" i="7"/>
  <c r="S2210" i="7"/>
  <c r="T2210" i="7"/>
  <c r="U2210" i="7"/>
  <c r="V2210" i="7"/>
  <c r="W2210" i="7"/>
  <c r="X2210" i="7"/>
  <c r="Y2210" i="7"/>
  <c r="Z2210" i="7"/>
  <c r="AA2210" i="7"/>
  <c r="AB2210" i="7"/>
  <c r="AC2210" i="7"/>
  <c r="AD2210" i="7"/>
  <c r="AE2210" i="7"/>
  <c r="Q2211" i="7"/>
  <c r="R2211" i="7"/>
  <c r="S2211" i="7"/>
  <c r="T2211" i="7"/>
  <c r="U2211" i="7"/>
  <c r="V2211" i="7"/>
  <c r="W2211" i="7"/>
  <c r="X2211" i="7"/>
  <c r="Y2211" i="7"/>
  <c r="Z2211" i="7"/>
  <c r="AA2211" i="7"/>
  <c r="AB2211" i="7"/>
  <c r="AC2211" i="7"/>
  <c r="AD2211" i="7"/>
  <c r="AE2211" i="7"/>
  <c r="Q2212" i="7"/>
  <c r="R2212" i="7"/>
  <c r="S2212" i="7"/>
  <c r="T2212" i="7"/>
  <c r="U2212" i="7"/>
  <c r="V2212" i="7"/>
  <c r="W2212" i="7"/>
  <c r="X2212" i="7"/>
  <c r="Y2212" i="7"/>
  <c r="Z2212" i="7"/>
  <c r="AA2212" i="7"/>
  <c r="AB2212" i="7"/>
  <c r="AC2212" i="7"/>
  <c r="AD2212" i="7"/>
  <c r="AE2212" i="7"/>
  <c r="Q2213" i="7"/>
  <c r="R2213" i="7"/>
  <c r="S2213" i="7"/>
  <c r="T2213" i="7"/>
  <c r="U2213" i="7"/>
  <c r="V2213" i="7"/>
  <c r="W2213" i="7"/>
  <c r="X2213" i="7"/>
  <c r="Y2213" i="7"/>
  <c r="Z2213" i="7"/>
  <c r="AA2213" i="7"/>
  <c r="AB2213" i="7"/>
  <c r="AC2213" i="7"/>
  <c r="AD2213" i="7"/>
  <c r="AE2213" i="7"/>
  <c r="Q2214" i="7"/>
  <c r="R2214" i="7"/>
  <c r="S2214" i="7"/>
  <c r="T2214" i="7"/>
  <c r="U2214" i="7"/>
  <c r="V2214" i="7"/>
  <c r="W2214" i="7"/>
  <c r="X2214" i="7"/>
  <c r="Y2214" i="7"/>
  <c r="Z2214" i="7"/>
  <c r="AA2214" i="7"/>
  <c r="AB2214" i="7"/>
  <c r="AC2214" i="7"/>
  <c r="AD2214" i="7"/>
  <c r="AE2214" i="7"/>
  <c r="Q2215" i="7"/>
  <c r="R2215" i="7"/>
  <c r="S2215" i="7"/>
  <c r="T2215" i="7"/>
  <c r="U2215" i="7"/>
  <c r="V2215" i="7"/>
  <c r="W2215" i="7"/>
  <c r="X2215" i="7"/>
  <c r="Y2215" i="7"/>
  <c r="Z2215" i="7"/>
  <c r="AA2215" i="7"/>
  <c r="AB2215" i="7"/>
  <c r="AC2215" i="7"/>
  <c r="AD2215" i="7"/>
  <c r="AE2215" i="7"/>
  <c r="Q2216" i="7"/>
  <c r="R2216" i="7"/>
  <c r="S2216" i="7"/>
  <c r="T2216" i="7"/>
  <c r="U2216" i="7"/>
  <c r="V2216" i="7"/>
  <c r="W2216" i="7"/>
  <c r="X2216" i="7"/>
  <c r="Y2216" i="7"/>
  <c r="Z2216" i="7"/>
  <c r="AA2216" i="7"/>
  <c r="AB2216" i="7"/>
  <c r="AC2216" i="7"/>
  <c r="AD2216" i="7"/>
  <c r="AE2216" i="7"/>
  <c r="Q2217" i="7"/>
  <c r="R2217" i="7"/>
  <c r="S2217" i="7"/>
  <c r="T2217" i="7"/>
  <c r="U2217" i="7"/>
  <c r="V2217" i="7"/>
  <c r="W2217" i="7"/>
  <c r="X2217" i="7"/>
  <c r="Y2217" i="7"/>
  <c r="Z2217" i="7"/>
  <c r="AA2217" i="7"/>
  <c r="AB2217" i="7"/>
  <c r="AC2217" i="7"/>
  <c r="AD2217" i="7"/>
  <c r="AE2217" i="7"/>
  <c r="Q2218" i="7"/>
  <c r="R2218" i="7"/>
  <c r="S2218" i="7"/>
  <c r="T2218" i="7"/>
  <c r="U2218" i="7"/>
  <c r="V2218" i="7"/>
  <c r="W2218" i="7"/>
  <c r="X2218" i="7"/>
  <c r="Y2218" i="7"/>
  <c r="Z2218" i="7"/>
  <c r="AA2218" i="7"/>
  <c r="AB2218" i="7"/>
  <c r="AC2218" i="7"/>
  <c r="AD2218" i="7"/>
  <c r="AE2218" i="7"/>
  <c r="Q2219" i="7"/>
  <c r="R2219" i="7"/>
  <c r="S2219" i="7"/>
  <c r="T2219" i="7"/>
  <c r="U2219" i="7"/>
  <c r="V2219" i="7"/>
  <c r="W2219" i="7"/>
  <c r="X2219" i="7"/>
  <c r="Y2219" i="7"/>
  <c r="Z2219" i="7"/>
  <c r="AA2219" i="7"/>
  <c r="AB2219" i="7"/>
  <c r="AC2219" i="7"/>
  <c r="AD2219" i="7"/>
  <c r="AE2219" i="7"/>
  <c r="Q2220" i="7"/>
  <c r="R2220" i="7"/>
  <c r="S2220" i="7"/>
  <c r="T2220" i="7"/>
  <c r="U2220" i="7"/>
  <c r="V2220" i="7"/>
  <c r="W2220" i="7"/>
  <c r="X2220" i="7"/>
  <c r="Y2220" i="7"/>
  <c r="Z2220" i="7"/>
  <c r="AA2220" i="7"/>
  <c r="AB2220" i="7"/>
  <c r="AC2220" i="7"/>
  <c r="AD2220" i="7"/>
  <c r="AE2220" i="7"/>
  <c r="Q2221" i="7"/>
  <c r="R2221" i="7"/>
  <c r="S2221" i="7"/>
  <c r="T2221" i="7"/>
  <c r="U2221" i="7"/>
  <c r="V2221" i="7"/>
  <c r="W2221" i="7"/>
  <c r="X2221" i="7"/>
  <c r="Y2221" i="7"/>
  <c r="Z2221" i="7"/>
  <c r="AA2221" i="7"/>
  <c r="AB2221" i="7"/>
  <c r="AC2221" i="7"/>
  <c r="AD2221" i="7"/>
  <c r="AE2221" i="7"/>
  <c r="Q2222" i="7"/>
  <c r="R2222" i="7"/>
  <c r="S2222" i="7"/>
  <c r="T2222" i="7"/>
  <c r="U2222" i="7"/>
  <c r="V2222" i="7"/>
  <c r="W2222" i="7"/>
  <c r="X2222" i="7"/>
  <c r="Y2222" i="7"/>
  <c r="Z2222" i="7"/>
  <c r="AA2222" i="7"/>
  <c r="AB2222" i="7"/>
  <c r="AC2222" i="7"/>
  <c r="AD2222" i="7"/>
  <c r="AE2222" i="7"/>
  <c r="Q2223" i="7"/>
  <c r="R2223" i="7"/>
  <c r="S2223" i="7"/>
  <c r="T2223" i="7"/>
  <c r="U2223" i="7"/>
  <c r="V2223" i="7"/>
  <c r="W2223" i="7"/>
  <c r="X2223" i="7"/>
  <c r="Y2223" i="7"/>
  <c r="Z2223" i="7"/>
  <c r="AA2223" i="7"/>
  <c r="AB2223" i="7"/>
  <c r="AC2223" i="7"/>
  <c r="AD2223" i="7"/>
  <c r="AE2223" i="7"/>
  <c r="Q2224" i="7"/>
  <c r="R2224" i="7"/>
  <c r="S2224" i="7"/>
  <c r="T2224" i="7"/>
  <c r="U2224" i="7"/>
  <c r="V2224" i="7"/>
  <c r="W2224" i="7"/>
  <c r="X2224" i="7"/>
  <c r="Y2224" i="7"/>
  <c r="Z2224" i="7"/>
  <c r="AA2224" i="7"/>
  <c r="AB2224" i="7"/>
  <c r="AC2224" i="7"/>
  <c r="AD2224" i="7"/>
  <c r="AE2224" i="7"/>
  <c r="Q2225" i="7"/>
  <c r="R2225" i="7"/>
  <c r="S2225" i="7"/>
  <c r="T2225" i="7"/>
  <c r="U2225" i="7"/>
  <c r="V2225" i="7"/>
  <c r="W2225" i="7"/>
  <c r="X2225" i="7"/>
  <c r="Y2225" i="7"/>
  <c r="Z2225" i="7"/>
  <c r="AA2225" i="7"/>
  <c r="AB2225" i="7"/>
  <c r="AC2225" i="7"/>
  <c r="AD2225" i="7"/>
  <c r="AE2225" i="7"/>
  <c r="Q2226" i="7"/>
  <c r="R2226" i="7"/>
  <c r="S2226" i="7"/>
  <c r="T2226" i="7"/>
  <c r="U2226" i="7"/>
  <c r="V2226" i="7"/>
  <c r="W2226" i="7"/>
  <c r="X2226" i="7"/>
  <c r="Y2226" i="7"/>
  <c r="Z2226" i="7"/>
  <c r="AA2226" i="7"/>
  <c r="AB2226" i="7"/>
  <c r="AC2226" i="7"/>
  <c r="AD2226" i="7"/>
  <c r="AE2226" i="7"/>
  <c r="Q2227" i="7"/>
  <c r="R2227" i="7"/>
  <c r="S2227" i="7"/>
  <c r="T2227" i="7"/>
  <c r="U2227" i="7"/>
  <c r="V2227" i="7"/>
  <c r="W2227" i="7"/>
  <c r="X2227" i="7"/>
  <c r="Y2227" i="7"/>
  <c r="Z2227" i="7"/>
  <c r="AA2227" i="7"/>
  <c r="AB2227" i="7"/>
  <c r="AC2227" i="7"/>
  <c r="AD2227" i="7"/>
  <c r="AE2227" i="7"/>
  <c r="Q2228" i="7"/>
  <c r="R2228" i="7"/>
  <c r="S2228" i="7"/>
  <c r="T2228" i="7"/>
  <c r="U2228" i="7"/>
  <c r="V2228" i="7"/>
  <c r="W2228" i="7"/>
  <c r="X2228" i="7"/>
  <c r="Y2228" i="7"/>
  <c r="Z2228" i="7"/>
  <c r="AA2228" i="7"/>
  <c r="AB2228" i="7"/>
  <c r="AC2228" i="7"/>
  <c r="AD2228" i="7"/>
  <c r="AE2228" i="7"/>
  <c r="Q2229" i="7"/>
  <c r="R2229" i="7"/>
  <c r="S2229" i="7"/>
  <c r="T2229" i="7"/>
  <c r="U2229" i="7"/>
  <c r="V2229" i="7"/>
  <c r="W2229" i="7"/>
  <c r="X2229" i="7"/>
  <c r="Y2229" i="7"/>
  <c r="Z2229" i="7"/>
  <c r="AA2229" i="7"/>
  <c r="AB2229" i="7"/>
  <c r="AC2229" i="7"/>
  <c r="AD2229" i="7"/>
  <c r="AE2229" i="7"/>
  <c r="Q2230" i="7"/>
  <c r="R2230" i="7"/>
  <c r="S2230" i="7"/>
  <c r="T2230" i="7"/>
  <c r="U2230" i="7"/>
  <c r="V2230" i="7"/>
  <c r="W2230" i="7"/>
  <c r="X2230" i="7"/>
  <c r="Y2230" i="7"/>
  <c r="Z2230" i="7"/>
  <c r="AA2230" i="7"/>
  <c r="AB2230" i="7"/>
  <c r="AC2230" i="7"/>
  <c r="AD2230" i="7"/>
  <c r="AE2230" i="7"/>
  <c r="Q2231" i="7"/>
  <c r="R2231" i="7"/>
  <c r="S2231" i="7"/>
  <c r="T2231" i="7"/>
  <c r="U2231" i="7"/>
  <c r="V2231" i="7"/>
  <c r="W2231" i="7"/>
  <c r="X2231" i="7"/>
  <c r="Y2231" i="7"/>
  <c r="Z2231" i="7"/>
  <c r="AA2231" i="7"/>
  <c r="AB2231" i="7"/>
  <c r="AC2231" i="7"/>
  <c r="AD2231" i="7"/>
  <c r="AE2231" i="7"/>
  <c r="Q2232" i="7"/>
  <c r="R2232" i="7"/>
  <c r="S2232" i="7"/>
  <c r="T2232" i="7"/>
  <c r="U2232" i="7"/>
  <c r="V2232" i="7"/>
  <c r="W2232" i="7"/>
  <c r="X2232" i="7"/>
  <c r="Y2232" i="7"/>
  <c r="Z2232" i="7"/>
  <c r="AA2232" i="7"/>
  <c r="AB2232" i="7"/>
  <c r="AC2232" i="7"/>
  <c r="AD2232" i="7"/>
  <c r="AE2232" i="7"/>
  <c r="Q2233" i="7"/>
  <c r="R2233" i="7"/>
  <c r="S2233" i="7"/>
  <c r="T2233" i="7"/>
  <c r="U2233" i="7"/>
  <c r="V2233" i="7"/>
  <c r="W2233" i="7"/>
  <c r="X2233" i="7"/>
  <c r="Y2233" i="7"/>
  <c r="Z2233" i="7"/>
  <c r="AA2233" i="7"/>
  <c r="AB2233" i="7"/>
  <c r="AC2233" i="7"/>
  <c r="AD2233" i="7"/>
  <c r="AE2233" i="7"/>
  <c r="Q2234" i="7"/>
  <c r="R2234" i="7"/>
  <c r="S2234" i="7"/>
  <c r="T2234" i="7"/>
  <c r="U2234" i="7"/>
  <c r="V2234" i="7"/>
  <c r="W2234" i="7"/>
  <c r="X2234" i="7"/>
  <c r="Y2234" i="7"/>
  <c r="Z2234" i="7"/>
  <c r="AA2234" i="7"/>
  <c r="AB2234" i="7"/>
  <c r="AC2234" i="7"/>
  <c r="AD2234" i="7"/>
  <c r="AE2234" i="7"/>
  <c r="Q2235" i="7"/>
  <c r="R2235" i="7"/>
  <c r="S2235" i="7"/>
  <c r="T2235" i="7"/>
  <c r="U2235" i="7"/>
  <c r="V2235" i="7"/>
  <c r="W2235" i="7"/>
  <c r="X2235" i="7"/>
  <c r="Y2235" i="7"/>
  <c r="Z2235" i="7"/>
  <c r="AA2235" i="7"/>
  <c r="AB2235" i="7"/>
  <c r="AC2235" i="7"/>
  <c r="AD2235" i="7"/>
  <c r="AE2235" i="7"/>
  <c r="Q2236" i="7"/>
  <c r="R2236" i="7"/>
  <c r="S2236" i="7"/>
  <c r="T2236" i="7"/>
  <c r="U2236" i="7"/>
  <c r="V2236" i="7"/>
  <c r="W2236" i="7"/>
  <c r="X2236" i="7"/>
  <c r="Y2236" i="7"/>
  <c r="Z2236" i="7"/>
  <c r="AA2236" i="7"/>
  <c r="AB2236" i="7"/>
  <c r="AC2236" i="7"/>
  <c r="AD2236" i="7"/>
  <c r="AE2236" i="7"/>
  <c r="Q2237" i="7"/>
  <c r="R2237" i="7"/>
  <c r="S2237" i="7"/>
  <c r="T2237" i="7"/>
  <c r="U2237" i="7"/>
  <c r="V2237" i="7"/>
  <c r="W2237" i="7"/>
  <c r="X2237" i="7"/>
  <c r="Y2237" i="7"/>
  <c r="Z2237" i="7"/>
  <c r="AA2237" i="7"/>
  <c r="AB2237" i="7"/>
  <c r="AC2237" i="7"/>
  <c r="AD2237" i="7"/>
  <c r="AE2237" i="7"/>
  <c r="Q2238" i="7"/>
  <c r="R2238" i="7"/>
  <c r="S2238" i="7"/>
  <c r="T2238" i="7"/>
  <c r="U2238" i="7"/>
  <c r="V2238" i="7"/>
  <c r="W2238" i="7"/>
  <c r="X2238" i="7"/>
  <c r="Y2238" i="7"/>
  <c r="Z2238" i="7"/>
  <c r="AA2238" i="7"/>
  <c r="AB2238" i="7"/>
  <c r="AC2238" i="7"/>
  <c r="AD2238" i="7"/>
  <c r="AE2238" i="7"/>
  <c r="Q2239" i="7"/>
  <c r="R2239" i="7"/>
  <c r="S2239" i="7"/>
  <c r="T2239" i="7"/>
  <c r="U2239" i="7"/>
  <c r="V2239" i="7"/>
  <c r="W2239" i="7"/>
  <c r="X2239" i="7"/>
  <c r="Y2239" i="7"/>
  <c r="Z2239" i="7"/>
  <c r="AA2239" i="7"/>
  <c r="AB2239" i="7"/>
  <c r="AC2239" i="7"/>
  <c r="AD2239" i="7"/>
  <c r="AE2239" i="7"/>
  <c r="Q2240" i="7"/>
  <c r="R2240" i="7"/>
  <c r="S2240" i="7"/>
  <c r="T2240" i="7"/>
  <c r="U2240" i="7"/>
  <c r="V2240" i="7"/>
  <c r="W2240" i="7"/>
  <c r="X2240" i="7"/>
  <c r="Y2240" i="7"/>
  <c r="Z2240" i="7"/>
  <c r="AA2240" i="7"/>
  <c r="AB2240" i="7"/>
  <c r="AC2240" i="7"/>
  <c r="AD2240" i="7"/>
  <c r="AE2240" i="7"/>
  <c r="Q2241" i="7"/>
  <c r="R2241" i="7"/>
  <c r="S2241" i="7"/>
  <c r="T2241" i="7"/>
  <c r="U2241" i="7"/>
  <c r="V2241" i="7"/>
  <c r="W2241" i="7"/>
  <c r="X2241" i="7"/>
  <c r="Y2241" i="7"/>
  <c r="Z2241" i="7"/>
  <c r="AA2241" i="7"/>
  <c r="AB2241" i="7"/>
  <c r="AC2241" i="7"/>
  <c r="AD2241" i="7"/>
  <c r="AE2241" i="7"/>
  <c r="Q2242" i="7"/>
  <c r="R2242" i="7"/>
  <c r="S2242" i="7"/>
  <c r="T2242" i="7"/>
  <c r="U2242" i="7"/>
  <c r="V2242" i="7"/>
  <c r="W2242" i="7"/>
  <c r="X2242" i="7"/>
  <c r="Y2242" i="7"/>
  <c r="Z2242" i="7"/>
  <c r="AA2242" i="7"/>
  <c r="AB2242" i="7"/>
  <c r="AC2242" i="7"/>
  <c r="AD2242" i="7"/>
  <c r="AE2242" i="7"/>
  <c r="Q2243" i="7"/>
  <c r="R2243" i="7"/>
  <c r="S2243" i="7"/>
  <c r="T2243" i="7"/>
  <c r="U2243" i="7"/>
  <c r="V2243" i="7"/>
  <c r="W2243" i="7"/>
  <c r="X2243" i="7"/>
  <c r="Y2243" i="7"/>
  <c r="Z2243" i="7"/>
  <c r="AA2243" i="7"/>
  <c r="AB2243" i="7"/>
  <c r="AC2243" i="7"/>
  <c r="AD2243" i="7"/>
  <c r="AE2243" i="7"/>
  <c r="Q2244" i="7"/>
  <c r="R2244" i="7"/>
  <c r="S2244" i="7"/>
  <c r="T2244" i="7"/>
  <c r="U2244" i="7"/>
  <c r="V2244" i="7"/>
  <c r="W2244" i="7"/>
  <c r="X2244" i="7"/>
  <c r="Y2244" i="7"/>
  <c r="Z2244" i="7"/>
  <c r="AA2244" i="7"/>
  <c r="AB2244" i="7"/>
  <c r="AC2244" i="7"/>
  <c r="AD2244" i="7"/>
  <c r="AE2244" i="7"/>
  <c r="Q2245" i="7"/>
  <c r="R2245" i="7"/>
  <c r="S2245" i="7"/>
  <c r="T2245" i="7"/>
  <c r="U2245" i="7"/>
  <c r="V2245" i="7"/>
  <c r="W2245" i="7"/>
  <c r="X2245" i="7"/>
  <c r="Y2245" i="7"/>
  <c r="Z2245" i="7"/>
  <c r="AA2245" i="7"/>
  <c r="AB2245" i="7"/>
  <c r="AC2245" i="7"/>
  <c r="AD2245" i="7"/>
  <c r="AE2245" i="7"/>
  <c r="Q2246" i="7"/>
  <c r="R2246" i="7"/>
  <c r="S2246" i="7"/>
  <c r="T2246" i="7"/>
  <c r="U2246" i="7"/>
  <c r="V2246" i="7"/>
  <c r="W2246" i="7"/>
  <c r="X2246" i="7"/>
  <c r="Y2246" i="7"/>
  <c r="Z2246" i="7"/>
  <c r="AA2246" i="7"/>
  <c r="AB2246" i="7"/>
  <c r="AC2246" i="7"/>
  <c r="AD2246" i="7"/>
  <c r="AE2246" i="7"/>
  <c r="Q2247" i="7"/>
  <c r="R2247" i="7"/>
  <c r="S2247" i="7"/>
  <c r="T2247" i="7"/>
  <c r="U2247" i="7"/>
  <c r="V2247" i="7"/>
  <c r="W2247" i="7"/>
  <c r="X2247" i="7"/>
  <c r="Y2247" i="7"/>
  <c r="Z2247" i="7"/>
  <c r="AA2247" i="7"/>
  <c r="AB2247" i="7"/>
  <c r="AC2247" i="7"/>
  <c r="AD2247" i="7"/>
  <c r="AE2247" i="7"/>
  <c r="Q2248" i="7"/>
  <c r="R2248" i="7"/>
  <c r="S2248" i="7"/>
  <c r="T2248" i="7"/>
  <c r="U2248" i="7"/>
  <c r="V2248" i="7"/>
  <c r="W2248" i="7"/>
  <c r="X2248" i="7"/>
  <c r="Y2248" i="7"/>
  <c r="Z2248" i="7"/>
  <c r="AA2248" i="7"/>
  <c r="AB2248" i="7"/>
  <c r="AC2248" i="7"/>
  <c r="AD2248" i="7"/>
  <c r="AE2248" i="7"/>
  <c r="Q2249" i="7"/>
  <c r="R2249" i="7"/>
  <c r="S2249" i="7"/>
  <c r="T2249" i="7"/>
  <c r="U2249" i="7"/>
  <c r="V2249" i="7"/>
  <c r="W2249" i="7"/>
  <c r="X2249" i="7"/>
  <c r="Y2249" i="7"/>
  <c r="Z2249" i="7"/>
  <c r="AA2249" i="7"/>
  <c r="AB2249" i="7"/>
  <c r="AC2249" i="7"/>
  <c r="AD2249" i="7"/>
  <c r="AE2249" i="7"/>
  <c r="Q2250" i="7"/>
  <c r="R2250" i="7"/>
  <c r="S2250" i="7"/>
  <c r="T2250" i="7"/>
  <c r="U2250" i="7"/>
  <c r="V2250" i="7"/>
  <c r="W2250" i="7"/>
  <c r="X2250" i="7"/>
  <c r="Y2250" i="7"/>
  <c r="Z2250" i="7"/>
  <c r="AA2250" i="7"/>
  <c r="AB2250" i="7"/>
  <c r="AC2250" i="7"/>
  <c r="AD2250" i="7"/>
  <c r="AE2250" i="7"/>
  <c r="Q2251" i="7"/>
  <c r="R2251" i="7"/>
  <c r="S2251" i="7"/>
  <c r="T2251" i="7"/>
  <c r="U2251" i="7"/>
  <c r="V2251" i="7"/>
  <c r="W2251" i="7"/>
  <c r="X2251" i="7"/>
  <c r="Y2251" i="7"/>
  <c r="Z2251" i="7"/>
  <c r="AA2251" i="7"/>
  <c r="AB2251" i="7"/>
  <c r="AC2251" i="7"/>
  <c r="AD2251" i="7"/>
  <c r="AE2251" i="7"/>
  <c r="Q2252" i="7"/>
  <c r="R2252" i="7"/>
  <c r="S2252" i="7"/>
  <c r="T2252" i="7"/>
  <c r="U2252" i="7"/>
  <c r="V2252" i="7"/>
  <c r="W2252" i="7"/>
  <c r="X2252" i="7"/>
  <c r="Y2252" i="7"/>
  <c r="Z2252" i="7"/>
  <c r="AA2252" i="7"/>
  <c r="AB2252" i="7"/>
  <c r="AC2252" i="7"/>
  <c r="AD2252" i="7"/>
  <c r="AE2252" i="7"/>
  <c r="Q2253" i="7"/>
  <c r="R2253" i="7"/>
  <c r="S2253" i="7"/>
  <c r="T2253" i="7"/>
  <c r="U2253" i="7"/>
  <c r="V2253" i="7"/>
  <c r="W2253" i="7"/>
  <c r="X2253" i="7"/>
  <c r="Y2253" i="7"/>
  <c r="Z2253" i="7"/>
  <c r="AA2253" i="7"/>
  <c r="AB2253" i="7"/>
  <c r="AC2253" i="7"/>
  <c r="AD2253" i="7"/>
  <c r="AE2253" i="7"/>
  <c r="Q2254" i="7"/>
  <c r="R2254" i="7"/>
  <c r="S2254" i="7"/>
  <c r="T2254" i="7"/>
  <c r="U2254" i="7"/>
  <c r="V2254" i="7"/>
  <c r="W2254" i="7"/>
  <c r="X2254" i="7"/>
  <c r="Y2254" i="7"/>
  <c r="Z2254" i="7"/>
  <c r="AA2254" i="7"/>
  <c r="AB2254" i="7"/>
  <c r="AC2254" i="7"/>
  <c r="AD2254" i="7"/>
  <c r="AE2254" i="7"/>
  <c r="Q2255" i="7"/>
  <c r="R2255" i="7"/>
  <c r="S2255" i="7"/>
  <c r="T2255" i="7"/>
  <c r="U2255" i="7"/>
  <c r="V2255" i="7"/>
  <c r="W2255" i="7"/>
  <c r="X2255" i="7"/>
  <c r="Y2255" i="7"/>
  <c r="Z2255" i="7"/>
  <c r="AA2255" i="7"/>
  <c r="AB2255" i="7"/>
  <c r="AC2255" i="7"/>
  <c r="AD2255" i="7"/>
  <c r="AE2255" i="7"/>
  <c r="Q2256" i="7"/>
  <c r="R2256" i="7"/>
  <c r="S2256" i="7"/>
  <c r="T2256" i="7"/>
  <c r="U2256" i="7"/>
  <c r="V2256" i="7"/>
  <c r="W2256" i="7"/>
  <c r="X2256" i="7"/>
  <c r="Y2256" i="7"/>
  <c r="Z2256" i="7"/>
  <c r="AA2256" i="7"/>
  <c r="AB2256" i="7"/>
  <c r="AC2256" i="7"/>
  <c r="AD2256" i="7"/>
  <c r="AE2256" i="7"/>
  <c r="Q2257" i="7"/>
  <c r="R2257" i="7"/>
  <c r="S2257" i="7"/>
  <c r="T2257" i="7"/>
  <c r="U2257" i="7"/>
  <c r="V2257" i="7"/>
  <c r="W2257" i="7"/>
  <c r="X2257" i="7"/>
  <c r="Y2257" i="7"/>
  <c r="Z2257" i="7"/>
  <c r="AA2257" i="7"/>
  <c r="AB2257" i="7"/>
  <c r="AC2257" i="7"/>
  <c r="AD2257" i="7"/>
  <c r="AE2257" i="7"/>
  <c r="Q2258" i="7"/>
  <c r="R2258" i="7"/>
  <c r="S2258" i="7"/>
  <c r="T2258" i="7"/>
  <c r="U2258" i="7"/>
  <c r="V2258" i="7"/>
  <c r="W2258" i="7"/>
  <c r="X2258" i="7"/>
  <c r="Y2258" i="7"/>
  <c r="Z2258" i="7"/>
  <c r="AA2258" i="7"/>
  <c r="AB2258" i="7"/>
  <c r="AC2258" i="7"/>
  <c r="AD2258" i="7"/>
  <c r="AE2258" i="7"/>
  <c r="Q2259" i="7"/>
  <c r="R2259" i="7"/>
  <c r="S2259" i="7"/>
  <c r="T2259" i="7"/>
  <c r="U2259" i="7"/>
  <c r="V2259" i="7"/>
  <c r="W2259" i="7"/>
  <c r="X2259" i="7"/>
  <c r="Y2259" i="7"/>
  <c r="Z2259" i="7"/>
  <c r="AA2259" i="7"/>
  <c r="AB2259" i="7"/>
  <c r="AC2259" i="7"/>
  <c r="AD2259" i="7"/>
  <c r="AE2259" i="7"/>
  <c r="Q2260" i="7"/>
  <c r="R2260" i="7"/>
  <c r="S2260" i="7"/>
  <c r="T2260" i="7"/>
  <c r="U2260" i="7"/>
  <c r="V2260" i="7"/>
  <c r="W2260" i="7"/>
  <c r="X2260" i="7"/>
  <c r="Y2260" i="7"/>
  <c r="Z2260" i="7"/>
  <c r="AA2260" i="7"/>
  <c r="AB2260" i="7"/>
  <c r="AC2260" i="7"/>
  <c r="AD2260" i="7"/>
  <c r="AE2260" i="7"/>
  <c r="Q2261" i="7"/>
  <c r="R2261" i="7"/>
  <c r="S2261" i="7"/>
  <c r="T2261" i="7"/>
  <c r="U2261" i="7"/>
  <c r="V2261" i="7"/>
  <c r="W2261" i="7"/>
  <c r="X2261" i="7"/>
  <c r="Y2261" i="7"/>
  <c r="Z2261" i="7"/>
  <c r="AA2261" i="7"/>
  <c r="AB2261" i="7"/>
  <c r="AC2261" i="7"/>
  <c r="AD2261" i="7"/>
  <c r="AE2261" i="7"/>
  <c r="Q2262" i="7"/>
  <c r="R2262" i="7"/>
  <c r="S2262" i="7"/>
  <c r="T2262" i="7"/>
  <c r="U2262" i="7"/>
  <c r="V2262" i="7"/>
  <c r="W2262" i="7"/>
  <c r="X2262" i="7"/>
  <c r="Y2262" i="7"/>
  <c r="Z2262" i="7"/>
  <c r="AA2262" i="7"/>
  <c r="AB2262" i="7"/>
  <c r="AC2262" i="7"/>
  <c r="AD2262" i="7"/>
  <c r="AE2262" i="7"/>
  <c r="Q2263" i="7"/>
  <c r="R2263" i="7"/>
  <c r="S2263" i="7"/>
  <c r="T2263" i="7"/>
  <c r="U2263" i="7"/>
  <c r="V2263" i="7"/>
  <c r="W2263" i="7"/>
  <c r="X2263" i="7"/>
  <c r="Y2263" i="7"/>
  <c r="Z2263" i="7"/>
  <c r="AA2263" i="7"/>
  <c r="AB2263" i="7"/>
  <c r="AC2263" i="7"/>
  <c r="AD2263" i="7"/>
  <c r="AE2263" i="7"/>
  <c r="Q2264" i="7"/>
  <c r="R2264" i="7"/>
  <c r="S2264" i="7"/>
  <c r="T2264" i="7"/>
  <c r="U2264" i="7"/>
  <c r="V2264" i="7"/>
  <c r="W2264" i="7"/>
  <c r="X2264" i="7"/>
  <c r="Y2264" i="7"/>
  <c r="Z2264" i="7"/>
  <c r="AA2264" i="7"/>
  <c r="AB2264" i="7"/>
  <c r="AC2264" i="7"/>
  <c r="AD2264" i="7"/>
  <c r="AE2264" i="7"/>
  <c r="Q2265" i="7"/>
  <c r="R2265" i="7"/>
  <c r="S2265" i="7"/>
  <c r="T2265" i="7"/>
  <c r="U2265" i="7"/>
  <c r="V2265" i="7"/>
  <c r="W2265" i="7"/>
  <c r="X2265" i="7"/>
  <c r="Y2265" i="7"/>
  <c r="Z2265" i="7"/>
  <c r="AA2265" i="7"/>
  <c r="AB2265" i="7"/>
  <c r="AC2265" i="7"/>
  <c r="AD2265" i="7"/>
  <c r="AE2265" i="7"/>
  <c r="Q2266" i="7"/>
  <c r="R2266" i="7"/>
  <c r="S2266" i="7"/>
  <c r="T2266" i="7"/>
  <c r="U2266" i="7"/>
  <c r="V2266" i="7"/>
  <c r="W2266" i="7"/>
  <c r="X2266" i="7"/>
  <c r="Y2266" i="7"/>
  <c r="Z2266" i="7"/>
  <c r="AA2266" i="7"/>
  <c r="AB2266" i="7"/>
  <c r="AC2266" i="7"/>
  <c r="AD2266" i="7"/>
  <c r="AE2266" i="7"/>
  <c r="Q2267" i="7"/>
  <c r="R2267" i="7"/>
  <c r="S2267" i="7"/>
  <c r="T2267" i="7"/>
  <c r="U2267" i="7"/>
  <c r="V2267" i="7"/>
  <c r="W2267" i="7"/>
  <c r="X2267" i="7"/>
  <c r="Y2267" i="7"/>
  <c r="Z2267" i="7"/>
  <c r="AA2267" i="7"/>
  <c r="AB2267" i="7"/>
  <c r="AC2267" i="7"/>
  <c r="AD2267" i="7"/>
  <c r="AE2267" i="7"/>
  <c r="Q2268" i="7"/>
  <c r="R2268" i="7"/>
  <c r="S2268" i="7"/>
  <c r="T2268" i="7"/>
  <c r="U2268" i="7"/>
  <c r="V2268" i="7"/>
  <c r="W2268" i="7"/>
  <c r="X2268" i="7"/>
  <c r="Y2268" i="7"/>
  <c r="Z2268" i="7"/>
  <c r="AA2268" i="7"/>
  <c r="AB2268" i="7"/>
  <c r="AC2268" i="7"/>
  <c r="AD2268" i="7"/>
  <c r="AE2268" i="7"/>
  <c r="Q2269" i="7"/>
  <c r="R2269" i="7"/>
  <c r="S2269" i="7"/>
  <c r="T2269" i="7"/>
  <c r="U2269" i="7"/>
  <c r="V2269" i="7"/>
  <c r="W2269" i="7"/>
  <c r="X2269" i="7"/>
  <c r="Y2269" i="7"/>
  <c r="Z2269" i="7"/>
  <c r="AA2269" i="7"/>
  <c r="AB2269" i="7"/>
  <c r="AC2269" i="7"/>
  <c r="AD2269" i="7"/>
  <c r="AE2269" i="7"/>
  <c r="Q2270" i="7"/>
  <c r="R2270" i="7"/>
  <c r="S2270" i="7"/>
  <c r="T2270" i="7"/>
  <c r="U2270" i="7"/>
  <c r="V2270" i="7"/>
  <c r="W2270" i="7"/>
  <c r="X2270" i="7"/>
  <c r="Y2270" i="7"/>
  <c r="Z2270" i="7"/>
  <c r="AA2270" i="7"/>
  <c r="AB2270" i="7"/>
  <c r="AC2270" i="7"/>
  <c r="AD2270" i="7"/>
  <c r="AE2270" i="7"/>
  <c r="Q2271" i="7"/>
  <c r="R2271" i="7"/>
  <c r="S2271" i="7"/>
  <c r="T2271" i="7"/>
  <c r="U2271" i="7"/>
  <c r="V2271" i="7"/>
  <c r="W2271" i="7"/>
  <c r="X2271" i="7"/>
  <c r="Y2271" i="7"/>
  <c r="Z2271" i="7"/>
  <c r="AA2271" i="7"/>
  <c r="AB2271" i="7"/>
  <c r="AC2271" i="7"/>
  <c r="AD2271" i="7"/>
  <c r="AE2271" i="7"/>
  <c r="Q2272" i="7"/>
  <c r="R2272" i="7"/>
  <c r="S2272" i="7"/>
  <c r="T2272" i="7"/>
  <c r="U2272" i="7"/>
  <c r="V2272" i="7"/>
  <c r="W2272" i="7"/>
  <c r="X2272" i="7"/>
  <c r="Y2272" i="7"/>
  <c r="Z2272" i="7"/>
  <c r="AA2272" i="7"/>
  <c r="AB2272" i="7"/>
  <c r="AC2272" i="7"/>
  <c r="AD2272" i="7"/>
  <c r="AE2272" i="7"/>
  <c r="Q2273" i="7"/>
  <c r="R2273" i="7"/>
  <c r="S2273" i="7"/>
  <c r="T2273" i="7"/>
  <c r="U2273" i="7"/>
  <c r="V2273" i="7"/>
  <c r="W2273" i="7"/>
  <c r="X2273" i="7"/>
  <c r="Y2273" i="7"/>
  <c r="Z2273" i="7"/>
  <c r="AA2273" i="7"/>
  <c r="AB2273" i="7"/>
  <c r="AC2273" i="7"/>
  <c r="AD2273" i="7"/>
  <c r="AE2273" i="7"/>
  <c r="Q2274" i="7"/>
  <c r="R2274" i="7"/>
  <c r="S2274" i="7"/>
  <c r="T2274" i="7"/>
  <c r="U2274" i="7"/>
  <c r="V2274" i="7"/>
  <c r="W2274" i="7"/>
  <c r="X2274" i="7"/>
  <c r="Y2274" i="7"/>
  <c r="Z2274" i="7"/>
  <c r="AA2274" i="7"/>
  <c r="AB2274" i="7"/>
  <c r="AC2274" i="7"/>
  <c r="AD2274" i="7"/>
  <c r="AE2274" i="7"/>
  <c r="Q2275" i="7"/>
  <c r="R2275" i="7"/>
  <c r="S2275" i="7"/>
  <c r="T2275" i="7"/>
  <c r="U2275" i="7"/>
  <c r="V2275" i="7"/>
  <c r="W2275" i="7"/>
  <c r="X2275" i="7"/>
  <c r="Y2275" i="7"/>
  <c r="Z2275" i="7"/>
  <c r="AA2275" i="7"/>
  <c r="AB2275" i="7"/>
  <c r="AC2275" i="7"/>
  <c r="AD2275" i="7"/>
  <c r="AE2275" i="7"/>
  <c r="Q2276" i="7"/>
  <c r="R2276" i="7"/>
  <c r="S2276" i="7"/>
  <c r="T2276" i="7"/>
  <c r="U2276" i="7"/>
  <c r="V2276" i="7"/>
  <c r="W2276" i="7"/>
  <c r="X2276" i="7"/>
  <c r="Y2276" i="7"/>
  <c r="Z2276" i="7"/>
  <c r="AA2276" i="7"/>
  <c r="AB2276" i="7"/>
  <c r="AC2276" i="7"/>
  <c r="AD2276" i="7"/>
  <c r="AE2276" i="7"/>
  <c r="Q2277" i="7"/>
  <c r="R2277" i="7"/>
  <c r="S2277" i="7"/>
  <c r="T2277" i="7"/>
  <c r="U2277" i="7"/>
  <c r="V2277" i="7"/>
  <c r="W2277" i="7"/>
  <c r="X2277" i="7"/>
  <c r="Y2277" i="7"/>
  <c r="Z2277" i="7"/>
  <c r="AA2277" i="7"/>
  <c r="AB2277" i="7"/>
  <c r="AC2277" i="7"/>
  <c r="AD2277" i="7"/>
  <c r="AE2277" i="7"/>
  <c r="Q2278" i="7"/>
  <c r="R2278" i="7"/>
  <c r="S2278" i="7"/>
  <c r="T2278" i="7"/>
  <c r="U2278" i="7"/>
  <c r="V2278" i="7"/>
  <c r="W2278" i="7"/>
  <c r="X2278" i="7"/>
  <c r="Y2278" i="7"/>
  <c r="Z2278" i="7"/>
  <c r="AA2278" i="7"/>
  <c r="AB2278" i="7"/>
  <c r="AC2278" i="7"/>
  <c r="AD2278" i="7"/>
  <c r="AE2278" i="7"/>
  <c r="Q2279" i="7"/>
  <c r="R2279" i="7"/>
  <c r="S2279" i="7"/>
  <c r="T2279" i="7"/>
  <c r="U2279" i="7"/>
  <c r="V2279" i="7"/>
  <c r="W2279" i="7"/>
  <c r="X2279" i="7"/>
  <c r="Y2279" i="7"/>
  <c r="Z2279" i="7"/>
  <c r="AA2279" i="7"/>
  <c r="AB2279" i="7"/>
  <c r="AC2279" i="7"/>
  <c r="AD2279" i="7"/>
  <c r="AE2279" i="7"/>
  <c r="Q2280" i="7"/>
  <c r="R2280" i="7"/>
  <c r="S2280" i="7"/>
  <c r="T2280" i="7"/>
  <c r="U2280" i="7"/>
  <c r="V2280" i="7"/>
  <c r="W2280" i="7"/>
  <c r="X2280" i="7"/>
  <c r="Y2280" i="7"/>
  <c r="Z2280" i="7"/>
  <c r="AA2280" i="7"/>
  <c r="AB2280" i="7"/>
  <c r="AC2280" i="7"/>
  <c r="AD2280" i="7"/>
  <c r="AE2280" i="7"/>
  <c r="Q2281" i="7"/>
  <c r="R2281" i="7"/>
  <c r="S2281" i="7"/>
  <c r="T2281" i="7"/>
  <c r="U2281" i="7"/>
  <c r="V2281" i="7"/>
  <c r="W2281" i="7"/>
  <c r="X2281" i="7"/>
  <c r="Y2281" i="7"/>
  <c r="Z2281" i="7"/>
  <c r="AA2281" i="7"/>
  <c r="AB2281" i="7"/>
  <c r="AC2281" i="7"/>
  <c r="AD2281" i="7"/>
  <c r="AE2281" i="7"/>
  <c r="Q2282" i="7"/>
  <c r="R2282" i="7"/>
  <c r="S2282" i="7"/>
  <c r="T2282" i="7"/>
  <c r="U2282" i="7"/>
  <c r="V2282" i="7"/>
  <c r="W2282" i="7"/>
  <c r="X2282" i="7"/>
  <c r="Y2282" i="7"/>
  <c r="Z2282" i="7"/>
  <c r="AA2282" i="7"/>
  <c r="AB2282" i="7"/>
  <c r="AC2282" i="7"/>
  <c r="AD2282" i="7"/>
  <c r="AE2282" i="7"/>
  <c r="Q2283" i="7"/>
  <c r="R2283" i="7"/>
  <c r="S2283" i="7"/>
  <c r="T2283" i="7"/>
  <c r="U2283" i="7"/>
  <c r="V2283" i="7"/>
  <c r="W2283" i="7"/>
  <c r="X2283" i="7"/>
  <c r="Y2283" i="7"/>
  <c r="Z2283" i="7"/>
  <c r="AA2283" i="7"/>
  <c r="AB2283" i="7"/>
  <c r="AC2283" i="7"/>
  <c r="AD2283" i="7"/>
  <c r="AE2283" i="7"/>
  <c r="Q2284" i="7"/>
  <c r="R2284" i="7"/>
  <c r="S2284" i="7"/>
  <c r="T2284" i="7"/>
  <c r="U2284" i="7"/>
  <c r="V2284" i="7"/>
  <c r="W2284" i="7"/>
  <c r="X2284" i="7"/>
  <c r="Y2284" i="7"/>
  <c r="Z2284" i="7"/>
  <c r="AA2284" i="7"/>
  <c r="AB2284" i="7"/>
  <c r="AC2284" i="7"/>
  <c r="AD2284" i="7"/>
  <c r="AE2284" i="7"/>
  <c r="Q2285" i="7"/>
  <c r="R2285" i="7"/>
  <c r="S2285" i="7"/>
  <c r="T2285" i="7"/>
  <c r="U2285" i="7"/>
  <c r="V2285" i="7"/>
  <c r="W2285" i="7"/>
  <c r="X2285" i="7"/>
  <c r="Y2285" i="7"/>
  <c r="Z2285" i="7"/>
  <c r="AA2285" i="7"/>
  <c r="AB2285" i="7"/>
  <c r="AC2285" i="7"/>
  <c r="AD2285" i="7"/>
  <c r="AE2285" i="7"/>
  <c r="Q2286" i="7"/>
  <c r="R2286" i="7"/>
  <c r="S2286" i="7"/>
  <c r="T2286" i="7"/>
  <c r="U2286" i="7"/>
  <c r="V2286" i="7"/>
  <c r="W2286" i="7"/>
  <c r="X2286" i="7"/>
  <c r="Y2286" i="7"/>
  <c r="Z2286" i="7"/>
  <c r="AA2286" i="7"/>
  <c r="AB2286" i="7"/>
  <c r="AC2286" i="7"/>
  <c r="AD2286" i="7"/>
  <c r="AE2286" i="7"/>
  <c r="Q2287" i="7"/>
  <c r="R2287" i="7"/>
  <c r="S2287" i="7"/>
  <c r="T2287" i="7"/>
  <c r="U2287" i="7"/>
  <c r="V2287" i="7"/>
  <c r="W2287" i="7"/>
  <c r="X2287" i="7"/>
  <c r="Y2287" i="7"/>
  <c r="Z2287" i="7"/>
  <c r="AA2287" i="7"/>
  <c r="AB2287" i="7"/>
  <c r="AC2287" i="7"/>
  <c r="AD2287" i="7"/>
  <c r="AE2287" i="7"/>
  <c r="Q2288" i="7"/>
  <c r="R2288" i="7"/>
  <c r="S2288" i="7"/>
  <c r="T2288" i="7"/>
  <c r="U2288" i="7"/>
  <c r="V2288" i="7"/>
  <c r="W2288" i="7"/>
  <c r="X2288" i="7"/>
  <c r="Y2288" i="7"/>
  <c r="Z2288" i="7"/>
  <c r="AA2288" i="7"/>
  <c r="AB2288" i="7"/>
  <c r="AC2288" i="7"/>
  <c r="AD2288" i="7"/>
  <c r="AE2288" i="7"/>
  <c r="Q2289" i="7"/>
  <c r="R2289" i="7"/>
  <c r="S2289" i="7"/>
  <c r="T2289" i="7"/>
  <c r="U2289" i="7"/>
  <c r="V2289" i="7"/>
  <c r="W2289" i="7"/>
  <c r="X2289" i="7"/>
  <c r="Y2289" i="7"/>
  <c r="Z2289" i="7"/>
  <c r="AA2289" i="7"/>
  <c r="AB2289" i="7"/>
  <c r="AC2289" i="7"/>
  <c r="AD2289" i="7"/>
  <c r="AE2289" i="7"/>
  <c r="Q2290" i="7"/>
  <c r="R2290" i="7"/>
  <c r="S2290" i="7"/>
  <c r="T2290" i="7"/>
  <c r="U2290" i="7"/>
  <c r="V2290" i="7"/>
  <c r="W2290" i="7"/>
  <c r="X2290" i="7"/>
  <c r="Y2290" i="7"/>
  <c r="Z2290" i="7"/>
  <c r="AA2290" i="7"/>
  <c r="AB2290" i="7"/>
  <c r="AC2290" i="7"/>
  <c r="AD2290" i="7"/>
  <c r="AE2290" i="7"/>
  <c r="Q2291" i="7"/>
  <c r="R2291" i="7"/>
  <c r="S2291" i="7"/>
  <c r="T2291" i="7"/>
  <c r="U2291" i="7"/>
  <c r="V2291" i="7"/>
  <c r="W2291" i="7"/>
  <c r="X2291" i="7"/>
  <c r="Y2291" i="7"/>
  <c r="Z2291" i="7"/>
  <c r="AA2291" i="7"/>
  <c r="AB2291" i="7"/>
  <c r="AC2291" i="7"/>
  <c r="AD2291" i="7"/>
  <c r="AE2291" i="7"/>
  <c r="Q2292" i="7"/>
  <c r="R2292" i="7"/>
  <c r="S2292" i="7"/>
  <c r="T2292" i="7"/>
  <c r="U2292" i="7"/>
  <c r="V2292" i="7"/>
  <c r="W2292" i="7"/>
  <c r="X2292" i="7"/>
  <c r="Y2292" i="7"/>
  <c r="Z2292" i="7"/>
  <c r="AA2292" i="7"/>
  <c r="AB2292" i="7"/>
  <c r="AC2292" i="7"/>
  <c r="AD2292" i="7"/>
  <c r="AE2292" i="7"/>
  <c r="Q2293" i="7"/>
  <c r="R2293" i="7"/>
  <c r="S2293" i="7"/>
  <c r="T2293" i="7"/>
  <c r="U2293" i="7"/>
  <c r="V2293" i="7"/>
  <c r="W2293" i="7"/>
  <c r="X2293" i="7"/>
  <c r="Y2293" i="7"/>
  <c r="Z2293" i="7"/>
  <c r="AA2293" i="7"/>
  <c r="AB2293" i="7"/>
  <c r="AC2293" i="7"/>
  <c r="AD2293" i="7"/>
  <c r="AE2293" i="7"/>
  <c r="Q2294" i="7"/>
  <c r="R2294" i="7"/>
  <c r="S2294" i="7"/>
  <c r="T2294" i="7"/>
  <c r="U2294" i="7"/>
  <c r="V2294" i="7"/>
  <c r="W2294" i="7"/>
  <c r="X2294" i="7"/>
  <c r="Y2294" i="7"/>
  <c r="Z2294" i="7"/>
  <c r="AA2294" i="7"/>
  <c r="AB2294" i="7"/>
  <c r="AC2294" i="7"/>
  <c r="AD2294" i="7"/>
  <c r="AE2294" i="7"/>
  <c r="Q2295" i="7"/>
  <c r="R2295" i="7"/>
  <c r="S2295" i="7"/>
  <c r="T2295" i="7"/>
  <c r="U2295" i="7"/>
  <c r="V2295" i="7"/>
  <c r="W2295" i="7"/>
  <c r="X2295" i="7"/>
  <c r="Y2295" i="7"/>
  <c r="Z2295" i="7"/>
  <c r="AA2295" i="7"/>
  <c r="AB2295" i="7"/>
  <c r="AC2295" i="7"/>
  <c r="AD2295" i="7"/>
  <c r="AE2295" i="7"/>
  <c r="Q2296" i="7"/>
  <c r="R2296" i="7"/>
  <c r="S2296" i="7"/>
  <c r="T2296" i="7"/>
  <c r="U2296" i="7"/>
  <c r="V2296" i="7"/>
  <c r="W2296" i="7"/>
  <c r="X2296" i="7"/>
  <c r="Y2296" i="7"/>
  <c r="Z2296" i="7"/>
  <c r="AA2296" i="7"/>
  <c r="AB2296" i="7"/>
  <c r="AC2296" i="7"/>
  <c r="AD2296" i="7"/>
  <c r="AE2296" i="7"/>
  <c r="Q2297" i="7"/>
  <c r="R2297" i="7"/>
  <c r="S2297" i="7"/>
  <c r="T2297" i="7"/>
  <c r="U2297" i="7"/>
  <c r="V2297" i="7"/>
  <c r="W2297" i="7"/>
  <c r="X2297" i="7"/>
  <c r="Y2297" i="7"/>
  <c r="Z2297" i="7"/>
  <c r="AA2297" i="7"/>
  <c r="AB2297" i="7"/>
  <c r="AC2297" i="7"/>
  <c r="AD2297" i="7"/>
  <c r="AE2297" i="7"/>
  <c r="Q2298" i="7"/>
  <c r="R2298" i="7"/>
  <c r="S2298" i="7"/>
  <c r="T2298" i="7"/>
  <c r="U2298" i="7"/>
  <c r="V2298" i="7"/>
  <c r="W2298" i="7"/>
  <c r="X2298" i="7"/>
  <c r="Y2298" i="7"/>
  <c r="Z2298" i="7"/>
  <c r="AA2298" i="7"/>
  <c r="AB2298" i="7"/>
  <c r="AC2298" i="7"/>
  <c r="AD2298" i="7"/>
  <c r="AE2298" i="7"/>
  <c r="Q2299" i="7"/>
  <c r="R2299" i="7"/>
  <c r="S2299" i="7"/>
  <c r="T2299" i="7"/>
  <c r="U2299" i="7"/>
  <c r="V2299" i="7"/>
  <c r="W2299" i="7"/>
  <c r="X2299" i="7"/>
  <c r="Y2299" i="7"/>
  <c r="Z2299" i="7"/>
  <c r="AA2299" i="7"/>
  <c r="AB2299" i="7"/>
  <c r="AC2299" i="7"/>
  <c r="AD2299" i="7"/>
  <c r="AE2299" i="7"/>
  <c r="Q2300" i="7"/>
  <c r="R2300" i="7"/>
  <c r="S2300" i="7"/>
  <c r="T2300" i="7"/>
  <c r="U2300" i="7"/>
  <c r="V2300" i="7"/>
  <c r="W2300" i="7"/>
  <c r="X2300" i="7"/>
  <c r="Y2300" i="7"/>
  <c r="Z2300" i="7"/>
  <c r="AA2300" i="7"/>
  <c r="AB2300" i="7"/>
  <c r="AC2300" i="7"/>
  <c r="AD2300" i="7"/>
  <c r="AE2300" i="7"/>
  <c r="Q2301" i="7"/>
  <c r="R2301" i="7"/>
  <c r="S2301" i="7"/>
  <c r="T2301" i="7"/>
  <c r="U2301" i="7"/>
  <c r="V2301" i="7"/>
  <c r="W2301" i="7"/>
  <c r="X2301" i="7"/>
  <c r="Y2301" i="7"/>
  <c r="Z2301" i="7"/>
  <c r="AA2301" i="7"/>
  <c r="AB2301" i="7"/>
  <c r="AC2301" i="7"/>
  <c r="AD2301" i="7"/>
  <c r="AE2301" i="7"/>
  <c r="Q2302" i="7"/>
  <c r="R2302" i="7"/>
  <c r="S2302" i="7"/>
  <c r="T2302" i="7"/>
  <c r="U2302" i="7"/>
  <c r="V2302" i="7"/>
  <c r="W2302" i="7"/>
  <c r="X2302" i="7"/>
  <c r="Y2302" i="7"/>
  <c r="Z2302" i="7"/>
  <c r="AA2302" i="7"/>
  <c r="AB2302" i="7"/>
  <c r="AC2302" i="7"/>
  <c r="AD2302" i="7"/>
  <c r="AE2302" i="7"/>
  <c r="Q2303" i="7"/>
  <c r="R2303" i="7"/>
  <c r="S2303" i="7"/>
  <c r="T2303" i="7"/>
  <c r="U2303" i="7"/>
  <c r="V2303" i="7"/>
  <c r="W2303" i="7"/>
  <c r="X2303" i="7"/>
  <c r="Y2303" i="7"/>
  <c r="Z2303" i="7"/>
  <c r="AA2303" i="7"/>
  <c r="AB2303" i="7"/>
  <c r="AC2303" i="7"/>
  <c r="AD2303" i="7"/>
  <c r="AE2303" i="7"/>
  <c r="Q2304" i="7"/>
  <c r="R2304" i="7"/>
  <c r="S2304" i="7"/>
  <c r="T2304" i="7"/>
  <c r="U2304" i="7"/>
  <c r="V2304" i="7"/>
  <c r="W2304" i="7"/>
  <c r="X2304" i="7"/>
  <c r="Y2304" i="7"/>
  <c r="Z2304" i="7"/>
  <c r="AA2304" i="7"/>
  <c r="AB2304" i="7"/>
  <c r="AC2304" i="7"/>
  <c r="AD2304" i="7"/>
  <c r="AE2304" i="7"/>
  <c r="Q2305" i="7"/>
  <c r="R2305" i="7"/>
  <c r="S2305" i="7"/>
  <c r="T2305" i="7"/>
  <c r="U2305" i="7"/>
  <c r="V2305" i="7"/>
  <c r="W2305" i="7"/>
  <c r="X2305" i="7"/>
  <c r="Y2305" i="7"/>
  <c r="Z2305" i="7"/>
  <c r="AA2305" i="7"/>
  <c r="AB2305" i="7"/>
  <c r="AC2305" i="7"/>
  <c r="AD2305" i="7"/>
  <c r="AE2305" i="7"/>
  <c r="Q2306" i="7"/>
  <c r="R2306" i="7"/>
  <c r="S2306" i="7"/>
  <c r="T2306" i="7"/>
  <c r="U2306" i="7"/>
  <c r="V2306" i="7"/>
  <c r="W2306" i="7"/>
  <c r="X2306" i="7"/>
  <c r="Y2306" i="7"/>
  <c r="Z2306" i="7"/>
  <c r="AA2306" i="7"/>
  <c r="AB2306" i="7"/>
  <c r="AC2306" i="7"/>
  <c r="AD2306" i="7"/>
  <c r="AE2306" i="7"/>
  <c r="Q2307" i="7"/>
  <c r="R2307" i="7"/>
  <c r="S2307" i="7"/>
  <c r="T2307" i="7"/>
  <c r="U2307" i="7"/>
  <c r="V2307" i="7"/>
  <c r="W2307" i="7"/>
  <c r="X2307" i="7"/>
  <c r="Y2307" i="7"/>
  <c r="Z2307" i="7"/>
  <c r="AA2307" i="7"/>
  <c r="AB2307" i="7"/>
  <c r="AC2307" i="7"/>
  <c r="AD2307" i="7"/>
  <c r="AE2307" i="7"/>
  <c r="Q2308" i="7"/>
  <c r="R2308" i="7"/>
  <c r="S2308" i="7"/>
  <c r="T2308" i="7"/>
  <c r="U2308" i="7"/>
  <c r="V2308" i="7"/>
  <c r="W2308" i="7"/>
  <c r="X2308" i="7"/>
  <c r="Y2308" i="7"/>
  <c r="Z2308" i="7"/>
  <c r="AA2308" i="7"/>
  <c r="AB2308" i="7"/>
  <c r="AC2308" i="7"/>
  <c r="AD2308" i="7"/>
  <c r="AE2308" i="7"/>
  <c r="Q2309" i="7"/>
  <c r="R2309" i="7"/>
  <c r="S2309" i="7"/>
  <c r="T2309" i="7"/>
  <c r="U2309" i="7"/>
  <c r="V2309" i="7"/>
  <c r="W2309" i="7"/>
  <c r="X2309" i="7"/>
  <c r="Y2309" i="7"/>
  <c r="Z2309" i="7"/>
  <c r="AA2309" i="7"/>
  <c r="AB2309" i="7"/>
  <c r="AC2309" i="7"/>
  <c r="AD2309" i="7"/>
  <c r="AE2309" i="7"/>
  <c r="Q2310" i="7"/>
  <c r="R2310" i="7"/>
  <c r="S2310" i="7"/>
  <c r="T2310" i="7"/>
  <c r="U2310" i="7"/>
  <c r="V2310" i="7"/>
  <c r="W2310" i="7"/>
  <c r="X2310" i="7"/>
  <c r="Y2310" i="7"/>
  <c r="Z2310" i="7"/>
  <c r="AA2310" i="7"/>
  <c r="AB2310" i="7"/>
  <c r="AC2310" i="7"/>
  <c r="AD2310" i="7"/>
  <c r="AE2310" i="7"/>
  <c r="Q2311" i="7"/>
  <c r="R2311" i="7"/>
  <c r="S2311" i="7"/>
  <c r="T2311" i="7"/>
  <c r="U2311" i="7"/>
  <c r="V2311" i="7"/>
  <c r="W2311" i="7"/>
  <c r="X2311" i="7"/>
  <c r="Y2311" i="7"/>
  <c r="Z2311" i="7"/>
  <c r="AA2311" i="7"/>
  <c r="AB2311" i="7"/>
  <c r="AC2311" i="7"/>
  <c r="AD2311" i="7"/>
  <c r="AE2311" i="7"/>
  <c r="Q2312" i="7"/>
  <c r="R2312" i="7"/>
  <c r="S2312" i="7"/>
  <c r="T2312" i="7"/>
  <c r="U2312" i="7"/>
  <c r="V2312" i="7"/>
  <c r="W2312" i="7"/>
  <c r="X2312" i="7"/>
  <c r="Y2312" i="7"/>
  <c r="Z2312" i="7"/>
  <c r="AA2312" i="7"/>
  <c r="AB2312" i="7"/>
  <c r="AC2312" i="7"/>
  <c r="AD2312" i="7"/>
  <c r="AE2312" i="7"/>
  <c r="Q2313" i="7"/>
  <c r="R2313" i="7"/>
  <c r="S2313" i="7"/>
  <c r="T2313" i="7"/>
  <c r="U2313" i="7"/>
  <c r="V2313" i="7"/>
  <c r="W2313" i="7"/>
  <c r="X2313" i="7"/>
  <c r="Y2313" i="7"/>
  <c r="Z2313" i="7"/>
  <c r="AA2313" i="7"/>
  <c r="AB2313" i="7"/>
  <c r="AC2313" i="7"/>
  <c r="AD2313" i="7"/>
  <c r="AE2313" i="7"/>
  <c r="Q2314" i="7"/>
  <c r="R2314" i="7"/>
  <c r="S2314" i="7"/>
  <c r="T2314" i="7"/>
  <c r="U2314" i="7"/>
  <c r="V2314" i="7"/>
  <c r="W2314" i="7"/>
  <c r="X2314" i="7"/>
  <c r="Y2314" i="7"/>
  <c r="Z2314" i="7"/>
  <c r="AA2314" i="7"/>
  <c r="AB2314" i="7"/>
  <c r="AC2314" i="7"/>
  <c r="AD2314" i="7"/>
  <c r="AE2314" i="7"/>
  <c r="Q2315" i="7"/>
  <c r="R2315" i="7"/>
  <c r="S2315" i="7"/>
  <c r="T2315" i="7"/>
  <c r="U2315" i="7"/>
  <c r="V2315" i="7"/>
  <c r="W2315" i="7"/>
  <c r="X2315" i="7"/>
  <c r="Y2315" i="7"/>
  <c r="Z2315" i="7"/>
  <c r="AA2315" i="7"/>
  <c r="AB2315" i="7"/>
  <c r="AC2315" i="7"/>
  <c r="AD2315" i="7"/>
  <c r="AE2315" i="7"/>
  <c r="Q2316" i="7"/>
  <c r="R2316" i="7"/>
  <c r="S2316" i="7"/>
  <c r="T2316" i="7"/>
  <c r="U2316" i="7"/>
  <c r="V2316" i="7"/>
  <c r="W2316" i="7"/>
  <c r="X2316" i="7"/>
  <c r="Y2316" i="7"/>
  <c r="Z2316" i="7"/>
  <c r="AA2316" i="7"/>
  <c r="AB2316" i="7"/>
  <c r="AC2316" i="7"/>
  <c r="AD2316" i="7"/>
  <c r="AE2316" i="7"/>
  <c r="Q2317" i="7"/>
  <c r="R2317" i="7"/>
  <c r="S2317" i="7"/>
  <c r="T2317" i="7"/>
  <c r="U2317" i="7"/>
  <c r="V2317" i="7"/>
  <c r="W2317" i="7"/>
  <c r="X2317" i="7"/>
  <c r="Y2317" i="7"/>
  <c r="Z2317" i="7"/>
  <c r="AA2317" i="7"/>
  <c r="AB2317" i="7"/>
  <c r="AC2317" i="7"/>
  <c r="AD2317" i="7"/>
  <c r="AE2317" i="7"/>
  <c r="Q2318" i="7"/>
  <c r="R2318" i="7"/>
  <c r="S2318" i="7"/>
  <c r="T2318" i="7"/>
  <c r="U2318" i="7"/>
  <c r="V2318" i="7"/>
  <c r="W2318" i="7"/>
  <c r="X2318" i="7"/>
  <c r="Y2318" i="7"/>
  <c r="Z2318" i="7"/>
  <c r="AA2318" i="7"/>
  <c r="AB2318" i="7"/>
  <c r="AC2318" i="7"/>
  <c r="AD2318" i="7"/>
  <c r="AE2318" i="7"/>
  <c r="Q2319" i="7"/>
  <c r="R2319" i="7"/>
  <c r="S2319" i="7"/>
  <c r="T2319" i="7"/>
  <c r="U2319" i="7"/>
  <c r="V2319" i="7"/>
  <c r="W2319" i="7"/>
  <c r="X2319" i="7"/>
  <c r="Y2319" i="7"/>
  <c r="Z2319" i="7"/>
  <c r="AA2319" i="7"/>
  <c r="AB2319" i="7"/>
  <c r="AC2319" i="7"/>
  <c r="AD2319" i="7"/>
  <c r="AE2319" i="7"/>
  <c r="Q2320" i="7"/>
  <c r="R2320" i="7"/>
  <c r="S2320" i="7"/>
  <c r="T2320" i="7"/>
  <c r="U2320" i="7"/>
  <c r="V2320" i="7"/>
  <c r="W2320" i="7"/>
  <c r="X2320" i="7"/>
  <c r="Y2320" i="7"/>
  <c r="Z2320" i="7"/>
  <c r="AA2320" i="7"/>
  <c r="AB2320" i="7"/>
  <c r="AC2320" i="7"/>
  <c r="AD2320" i="7"/>
  <c r="AE2320" i="7"/>
  <c r="Q2321" i="7"/>
  <c r="R2321" i="7"/>
  <c r="S2321" i="7"/>
  <c r="T2321" i="7"/>
  <c r="U2321" i="7"/>
  <c r="V2321" i="7"/>
  <c r="W2321" i="7"/>
  <c r="X2321" i="7"/>
  <c r="Y2321" i="7"/>
  <c r="Z2321" i="7"/>
  <c r="AA2321" i="7"/>
  <c r="AB2321" i="7"/>
  <c r="AC2321" i="7"/>
  <c r="AD2321" i="7"/>
  <c r="AE2321" i="7"/>
  <c r="Q2322" i="7"/>
  <c r="R2322" i="7"/>
  <c r="S2322" i="7"/>
  <c r="T2322" i="7"/>
  <c r="U2322" i="7"/>
  <c r="V2322" i="7"/>
  <c r="W2322" i="7"/>
  <c r="X2322" i="7"/>
  <c r="Y2322" i="7"/>
  <c r="Z2322" i="7"/>
  <c r="AA2322" i="7"/>
  <c r="AB2322" i="7"/>
  <c r="AC2322" i="7"/>
  <c r="AD2322" i="7"/>
  <c r="AE2322" i="7"/>
  <c r="Q2323" i="7"/>
  <c r="R2323" i="7"/>
  <c r="S2323" i="7"/>
  <c r="T2323" i="7"/>
  <c r="U2323" i="7"/>
  <c r="V2323" i="7"/>
  <c r="W2323" i="7"/>
  <c r="X2323" i="7"/>
  <c r="Y2323" i="7"/>
  <c r="Z2323" i="7"/>
  <c r="AA2323" i="7"/>
  <c r="AB2323" i="7"/>
  <c r="AC2323" i="7"/>
  <c r="AD2323" i="7"/>
  <c r="AE2323" i="7"/>
  <c r="Q2324" i="7"/>
  <c r="R2324" i="7"/>
  <c r="S2324" i="7"/>
  <c r="T2324" i="7"/>
  <c r="U2324" i="7"/>
  <c r="V2324" i="7"/>
  <c r="W2324" i="7"/>
  <c r="X2324" i="7"/>
  <c r="Y2324" i="7"/>
  <c r="Z2324" i="7"/>
  <c r="AA2324" i="7"/>
  <c r="AB2324" i="7"/>
  <c r="AC2324" i="7"/>
  <c r="AD2324" i="7"/>
  <c r="AE2324" i="7"/>
  <c r="Q2325" i="7"/>
  <c r="R2325" i="7"/>
  <c r="S2325" i="7"/>
  <c r="T2325" i="7"/>
  <c r="U2325" i="7"/>
  <c r="V2325" i="7"/>
  <c r="W2325" i="7"/>
  <c r="X2325" i="7"/>
  <c r="Y2325" i="7"/>
  <c r="Z2325" i="7"/>
  <c r="AA2325" i="7"/>
  <c r="AB2325" i="7"/>
  <c r="AC2325" i="7"/>
  <c r="AD2325" i="7"/>
  <c r="AE2325" i="7"/>
  <c r="Q2326" i="7"/>
  <c r="R2326" i="7"/>
  <c r="S2326" i="7"/>
  <c r="T2326" i="7"/>
  <c r="U2326" i="7"/>
  <c r="V2326" i="7"/>
  <c r="W2326" i="7"/>
  <c r="X2326" i="7"/>
  <c r="Y2326" i="7"/>
  <c r="Z2326" i="7"/>
  <c r="AA2326" i="7"/>
  <c r="AB2326" i="7"/>
  <c r="AC2326" i="7"/>
  <c r="AD2326" i="7"/>
  <c r="AE2326" i="7"/>
  <c r="Q2327" i="7"/>
  <c r="R2327" i="7"/>
  <c r="S2327" i="7"/>
  <c r="T2327" i="7"/>
  <c r="U2327" i="7"/>
  <c r="V2327" i="7"/>
  <c r="W2327" i="7"/>
  <c r="X2327" i="7"/>
  <c r="Y2327" i="7"/>
  <c r="Z2327" i="7"/>
  <c r="AA2327" i="7"/>
  <c r="AB2327" i="7"/>
  <c r="AC2327" i="7"/>
  <c r="AD2327" i="7"/>
  <c r="AE2327" i="7"/>
  <c r="Q2328" i="7"/>
  <c r="R2328" i="7"/>
  <c r="S2328" i="7"/>
  <c r="T2328" i="7"/>
  <c r="U2328" i="7"/>
  <c r="V2328" i="7"/>
  <c r="W2328" i="7"/>
  <c r="X2328" i="7"/>
  <c r="Y2328" i="7"/>
  <c r="Z2328" i="7"/>
  <c r="AA2328" i="7"/>
  <c r="AB2328" i="7"/>
  <c r="AC2328" i="7"/>
  <c r="AD2328" i="7"/>
  <c r="AE2328" i="7"/>
  <c r="Q2329" i="7"/>
  <c r="R2329" i="7"/>
  <c r="S2329" i="7"/>
  <c r="T2329" i="7"/>
  <c r="U2329" i="7"/>
  <c r="V2329" i="7"/>
  <c r="W2329" i="7"/>
  <c r="X2329" i="7"/>
  <c r="Y2329" i="7"/>
  <c r="Z2329" i="7"/>
  <c r="AA2329" i="7"/>
  <c r="AB2329" i="7"/>
  <c r="AC2329" i="7"/>
  <c r="AD2329" i="7"/>
  <c r="AE2329" i="7"/>
  <c r="Q2330" i="7"/>
  <c r="R2330" i="7"/>
  <c r="S2330" i="7"/>
  <c r="T2330" i="7"/>
  <c r="U2330" i="7"/>
  <c r="V2330" i="7"/>
  <c r="W2330" i="7"/>
  <c r="X2330" i="7"/>
  <c r="Y2330" i="7"/>
  <c r="Z2330" i="7"/>
  <c r="AA2330" i="7"/>
  <c r="AB2330" i="7"/>
  <c r="AC2330" i="7"/>
  <c r="AD2330" i="7"/>
  <c r="AE2330" i="7"/>
  <c r="Q2331" i="7"/>
  <c r="R2331" i="7"/>
  <c r="S2331" i="7"/>
  <c r="T2331" i="7"/>
  <c r="U2331" i="7"/>
  <c r="V2331" i="7"/>
  <c r="W2331" i="7"/>
  <c r="X2331" i="7"/>
  <c r="Y2331" i="7"/>
  <c r="Z2331" i="7"/>
  <c r="AA2331" i="7"/>
  <c r="AB2331" i="7"/>
  <c r="AC2331" i="7"/>
  <c r="AD2331" i="7"/>
  <c r="AE2331" i="7"/>
  <c r="Q2332" i="7"/>
  <c r="R2332" i="7"/>
  <c r="S2332" i="7"/>
  <c r="T2332" i="7"/>
  <c r="U2332" i="7"/>
  <c r="V2332" i="7"/>
  <c r="W2332" i="7"/>
  <c r="X2332" i="7"/>
  <c r="Y2332" i="7"/>
  <c r="Z2332" i="7"/>
  <c r="AA2332" i="7"/>
  <c r="AB2332" i="7"/>
  <c r="AC2332" i="7"/>
  <c r="AD2332" i="7"/>
  <c r="AE2332" i="7"/>
  <c r="Q2333" i="7"/>
  <c r="R2333" i="7"/>
  <c r="S2333" i="7"/>
  <c r="T2333" i="7"/>
  <c r="U2333" i="7"/>
  <c r="V2333" i="7"/>
  <c r="W2333" i="7"/>
  <c r="X2333" i="7"/>
  <c r="Y2333" i="7"/>
  <c r="Z2333" i="7"/>
  <c r="AA2333" i="7"/>
  <c r="AB2333" i="7"/>
  <c r="AC2333" i="7"/>
  <c r="AD2333" i="7"/>
  <c r="AE2333" i="7"/>
  <c r="Q2334" i="7"/>
  <c r="R2334" i="7"/>
  <c r="S2334" i="7"/>
  <c r="T2334" i="7"/>
  <c r="U2334" i="7"/>
  <c r="V2334" i="7"/>
  <c r="W2334" i="7"/>
  <c r="X2334" i="7"/>
  <c r="Y2334" i="7"/>
  <c r="Z2334" i="7"/>
  <c r="AA2334" i="7"/>
  <c r="AB2334" i="7"/>
  <c r="AC2334" i="7"/>
  <c r="AD2334" i="7"/>
  <c r="AE2334" i="7"/>
  <c r="Q2335" i="7"/>
  <c r="R2335" i="7"/>
  <c r="S2335" i="7"/>
  <c r="T2335" i="7"/>
  <c r="U2335" i="7"/>
  <c r="V2335" i="7"/>
  <c r="W2335" i="7"/>
  <c r="X2335" i="7"/>
  <c r="Y2335" i="7"/>
  <c r="Z2335" i="7"/>
  <c r="AA2335" i="7"/>
  <c r="AB2335" i="7"/>
  <c r="AC2335" i="7"/>
  <c r="AD2335" i="7"/>
  <c r="AE2335" i="7"/>
  <c r="Q2336" i="7"/>
  <c r="R2336" i="7"/>
  <c r="S2336" i="7"/>
  <c r="T2336" i="7"/>
  <c r="U2336" i="7"/>
  <c r="V2336" i="7"/>
  <c r="W2336" i="7"/>
  <c r="X2336" i="7"/>
  <c r="Y2336" i="7"/>
  <c r="Z2336" i="7"/>
  <c r="AA2336" i="7"/>
  <c r="AB2336" i="7"/>
  <c r="AC2336" i="7"/>
  <c r="AD2336" i="7"/>
  <c r="AE2336" i="7"/>
  <c r="Q2337" i="7"/>
  <c r="R2337" i="7"/>
  <c r="S2337" i="7"/>
  <c r="T2337" i="7"/>
  <c r="U2337" i="7"/>
  <c r="V2337" i="7"/>
  <c r="W2337" i="7"/>
  <c r="X2337" i="7"/>
  <c r="Y2337" i="7"/>
  <c r="Z2337" i="7"/>
  <c r="AA2337" i="7"/>
  <c r="AB2337" i="7"/>
  <c r="AC2337" i="7"/>
  <c r="AD2337" i="7"/>
  <c r="AE2337" i="7"/>
  <c r="Q2338" i="7"/>
  <c r="R2338" i="7"/>
  <c r="S2338" i="7"/>
  <c r="T2338" i="7"/>
  <c r="U2338" i="7"/>
  <c r="V2338" i="7"/>
  <c r="W2338" i="7"/>
  <c r="X2338" i="7"/>
  <c r="Y2338" i="7"/>
  <c r="Z2338" i="7"/>
  <c r="AA2338" i="7"/>
  <c r="AB2338" i="7"/>
  <c r="AC2338" i="7"/>
  <c r="AD2338" i="7"/>
  <c r="AE2338" i="7"/>
  <c r="Q2339" i="7"/>
  <c r="R2339" i="7"/>
  <c r="S2339" i="7"/>
  <c r="T2339" i="7"/>
  <c r="U2339" i="7"/>
  <c r="V2339" i="7"/>
  <c r="W2339" i="7"/>
  <c r="X2339" i="7"/>
  <c r="Y2339" i="7"/>
  <c r="Z2339" i="7"/>
  <c r="AA2339" i="7"/>
  <c r="AB2339" i="7"/>
  <c r="AC2339" i="7"/>
  <c r="AD2339" i="7"/>
  <c r="AE2339" i="7"/>
  <c r="Q2340" i="7"/>
  <c r="R2340" i="7"/>
  <c r="S2340" i="7"/>
  <c r="T2340" i="7"/>
  <c r="U2340" i="7"/>
  <c r="V2340" i="7"/>
  <c r="W2340" i="7"/>
  <c r="X2340" i="7"/>
  <c r="Y2340" i="7"/>
  <c r="Z2340" i="7"/>
  <c r="AA2340" i="7"/>
  <c r="AB2340" i="7"/>
  <c r="AC2340" i="7"/>
  <c r="AD2340" i="7"/>
  <c r="AE2340" i="7"/>
  <c r="Q2341" i="7"/>
  <c r="R2341" i="7"/>
  <c r="S2341" i="7"/>
  <c r="T2341" i="7"/>
  <c r="U2341" i="7"/>
  <c r="V2341" i="7"/>
  <c r="W2341" i="7"/>
  <c r="X2341" i="7"/>
  <c r="Y2341" i="7"/>
  <c r="Z2341" i="7"/>
  <c r="AA2341" i="7"/>
  <c r="AB2341" i="7"/>
  <c r="AC2341" i="7"/>
  <c r="AD2341" i="7"/>
  <c r="AE2341" i="7"/>
  <c r="Q2342" i="7"/>
  <c r="R2342" i="7"/>
  <c r="S2342" i="7"/>
  <c r="T2342" i="7"/>
  <c r="U2342" i="7"/>
  <c r="V2342" i="7"/>
  <c r="W2342" i="7"/>
  <c r="X2342" i="7"/>
  <c r="Y2342" i="7"/>
  <c r="Z2342" i="7"/>
  <c r="AA2342" i="7"/>
  <c r="AB2342" i="7"/>
  <c r="AC2342" i="7"/>
  <c r="AD2342" i="7"/>
  <c r="AE2342" i="7"/>
  <c r="Q2343" i="7"/>
  <c r="R2343" i="7"/>
  <c r="S2343" i="7"/>
  <c r="T2343" i="7"/>
  <c r="U2343" i="7"/>
  <c r="V2343" i="7"/>
  <c r="W2343" i="7"/>
  <c r="X2343" i="7"/>
  <c r="Y2343" i="7"/>
  <c r="Z2343" i="7"/>
  <c r="AA2343" i="7"/>
  <c r="AB2343" i="7"/>
  <c r="AC2343" i="7"/>
  <c r="AD2343" i="7"/>
  <c r="AE2343" i="7"/>
  <c r="Q2344" i="7"/>
  <c r="R2344" i="7"/>
  <c r="S2344" i="7"/>
  <c r="T2344" i="7"/>
  <c r="U2344" i="7"/>
  <c r="V2344" i="7"/>
  <c r="W2344" i="7"/>
  <c r="X2344" i="7"/>
  <c r="Y2344" i="7"/>
  <c r="Z2344" i="7"/>
  <c r="AA2344" i="7"/>
  <c r="AB2344" i="7"/>
  <c r="AC2344" i="7"/>
  <c r="AD2344" i="7"/>
  <c r="AE2344" i="7"/>
  <c r="Q2345" i="7"/>
  <c r="R2345" i="7"/>
  <c r="S2345" i="7"/>
  <c r="T2345" i="7"/>
  <c r="U2345" i="7"/>
  <c r="V2345" i="7"/>
  <c r="W2345" i="7"/>
  <c r="X2345" i="7"/>
  <c r="Y2345" i="7"/>
  <c r="Z2345" i="7"/>
  <c r="AA2345" i="7"/>
  <c r="AB2345" i="7"/>
  <c r="AC2345" i="7"/>
  <c r="AD2345" i="7"/>
  <c r="AE2345" i="7"/>
  <c r="Q2346" i="7"/>
  <c r="R2346" i="7"/>
  <c r="S2346" i="7"/>
  <c r="T2346" i="7"/>
  <c r="U2346" i="7"/>
  <c r="V2346" i="7"/>
  <c r="W2346" i="7"/>
  <c r="X2346" i="7"/>
  <c r="Y2346" i="7"/>
  <c r="Z2346" i="7"/>
  <c r="AA2346" i="7"/>
  <c r="AB2346" i="7"/>
  <c r="AC2346" i="7"/>
  <c r="AD2346" i="7"/>
  <c r="AE2346" i="7"/>
  <c r="Q2347" i="7"/>
  <c r="R2347" i="7"/>
  <c r="S2347" i="7"/>
  <c r="T2347" i="7"/>
  <c r="U2347" i="7"/>
  <c r="V2347" i="7"/>
  <c r="W2347" i="7"/>
  <c r="X2347" i="7"/>
  <c r="Y2347" i="7"/>
  <c r="Z2347" i="7"/>
  <c r="AA2347" i="7"/>
  <c r="AB2347" i="7"/>
  <c r="AC2347" i="7"/>
  <c r="AD2347" i="7"/>
  <c r="AE2347" i="7"/>
  <c r="Q2348" i="7"/>
  <c r="R2348" i="7"/>
  <c r="S2348" i="7"/>
  <c r="T2348" i="7"/>
  <c r="U2348" i="7"/>
  <c r="V2348" i="7"/>
  <c r="W2348" i="7"/>
  <c r="X2348" i="7"/>
  <c r="Y2348" i="7"/>
  <c r="Z2348" i="7"/>
  <c r="AA2348" i="7"/>
  <c r="AB2348" i="7"/>
  <c r="AC2348" i="7"/>
  <c r="AD2348" i="7"/>
  <c r="AE2348" i="7"/>
  <c r="Q2349" i="7"/>
  <c r="R2349" i="7"/>
  <c r="S2349" i="7"/>
  <c r="T2349" i="7"/>
  <c r="U2349" i="7"/>
  <c r="V2349" i="7"/>
  <c r="W2349" i="7"/>
  <c r="X2349" i="7"/>
  <c r="Y2349" i="7"/>
  <c r="Z2349" i="7"/>
  <c r="AA2349" i="7"/>
  <c r="AB2349" i="7"/>
  <c r="AC2349" i="7"/>
  <c r="AD2349" i="7"/>
  <c r="AE2349" i="7"/>
  <c r="Q2350" i="7"/>
  <c r="R2350" i="7"/>
  <c r="S2350" i="7"/>
  <c r="T2350" i="7"/>
  <c r="U2350" i="7"/>
  <c r="V2350" i="7"/>
  <c r="W2350" i="7"/>
  <c r="X2350" i="7"/>
  <c r="Y2350" i="7"/>
  <c r="Z2350" i="7"/>
  <c r="AA2350" i="7"/>
  <c r="AB2350" i="7"/>
  <c r="AC2350" i="7"/>
  <c r="AD2350" i="7"/>
  <c r="AE2350" i="7"/>
  <c r="Q2351" i="7"/>
  <c r="R2351" i="7"/>
  <c r="S2351" i="7"/>
  <c r="T2351" i="7"/>
  <c r="U2351" i="7"/>
  <c r="V2351" i="7"/>
  <c r="W2351" i="7"/>
  <c r="X2351" i="7"/>
  <c r="Y2351" i="7"/>
  <c r="Z2351" i="7"/>
  <c r="AA2351" i="7"/>
  <c r="AB2351" i="7"/>
  <c r="AC2351" i="7"/>
  <c r="AD2351" i="7"/>
  <c r="AE2351" i="7"/>
  <c r="Q2352" i="7"/>
  <c r="R2352" i="7"/>
  <c r="S2352" i="7"/>
  <c r="T2352" i="7"/>
  <c r="U2352" i="7"/>
  <c r="V2352" i="7"/>
  <c r="W2352" i="7"/>
  <c r="X2352" i="7"/>
  <c r="Y2352" i="7"/>
  <c r="Z2352" i="7"/>
  <c r="AA2352" i="7"/>
  <c r="AB2352" i="7"/>
  <c r="AC2352" i="7"/>
  <c r="AD2352" i="7"/>
  <c r="AE2352" i="7"/>
  <c r="Q2353" i="7"/>
  <c r="R2353" i="7"/>
  <c r="S2353" i="7"/>
  <c r="T2353" i="7"/>
  <c r="U2353" i="7"/>
  <c r="V2353" i="7"/>
  <c r="W2353" i="7"/>
  <c r="X2353" i="7"/>
  <c r="Y2353" i="7"/>
  <c r="Z2353" i="7"/>
  <c r="AA2353" i="7"/>
  <c r="AB2353" i="7"/>
  <c r="AC2353" i="7"/>
  <c r="AD2353" i="7"/>
  <c r="AE2353" i="7"/>
  <c r="Q2354" i="7"/>
  <c r="R2354" i="7"/>
  <c r="S2354" i="7"/>
  <c r="T2354" i="7"/>
  <c r="U2354" i="7"/>
  <c r="V2354" i="7"/>
  <c r="W2354" i="7"/>
  <c r="X2354" i="7"/>
  <c r="Y2354" i="7"/>
  <c r="Z2354" i="7"/>
  <c r="AA2354" i="7"/>
  <c r="AB2354" i="7"/>
  <c r="AC2354" i="7"/>
  <c r="AD2354" i="7"/>
  <c r="AE2354" i="7"/>
  <c r="Q2355" i="7"/>
  <c r="R2355" i="7"/>
  <c r="S2355" i="7"/>
  <c r="T2355" i="7"/>
  <c r="U2355" i="7"/>
  <c r="V2355" i="7"/>
  <c r="W2355" i="7"/>
  <c r="X2355" i="7"/>
  <c r="Y2355" i="7"/>
  <c r="Z2355" i="7"/>
  <c r="AA2355" i="7"/>
  <c r="AB2355" i="7"/>
  <c r="AC2355" i="7"/>
  <c r="AD2355" i="7"/>
  <c r="AE2355" i="7"/>
  <c r="Q2356" i="7"/>
  <c r="R2356" i="7"/>
  <c r="S2356" i="7"/>
  <c r="T2356" i="7"/>
  <c r="U2356" i="7"/>
  <c r="V2356" i="7"/>
  <c r="W2356" i="7"/>
  <c r="X2356" i="7"/>
  <c r="Y2356" i="7"/>
  <c r="Z2356" i="7"/>
  <c r="AA2356" i="7"/>
  <c r="AB2356" i="7"/>
  <c r="AC2356" i="7"/>
  <c r="AD2356" i="7"/>
  <c r="AE2356" i="7"/>
  <c r="Q2357" i="7"/>
  <c r="R2357" i="7"/>
  <c r="S2357" i="7"/>
  <c r="T2357" i="7"/>
  <c r="U2357" i="7"/>
  <c r="V2357" i="7"/>
  <c r="W2357" i="7"/>
  <c r="X2357" i="7"/>
  <c r="Y2357" i="7"/>
  <c r="Z2357" i="7"/>
  <c r="AA2357" i="7"/>
  <c r="AB2357" i="7"/>
  <c r="AC2357" i="7"/>
  <c r="AD2357" i="7"/>
  <c r="AE2357" i="7"/>
  <c r="Q2358" i="7"/>
  <c r="R2358" i="7"/>
  <c r="S2358" i="7"/>
  <c r="T2358" i="7"/>
  <c r="U2358" i="7"/>
  <c r="V2358" i="7"/>
  <c r="W2358" i="7"/>
  <c r="X2358" i="7"/>
  <c r="Y2358" i="7"/>
  <c r="Z2358" i="7"/>
  <c r="AA2358" i="7"/>
  <c r="AB2358" i="7"/>
  <c r="AC2358" i="7"/>
  <c r="AD2358" i="7"/>
  <c r="AE2358" i="7"/>
  <c r="Q2359" i="7"/>
  <c r="R2359" i="7"/>
  <c r="S2359" i="7"/>
  <c r="T2359" i="7"/>
  <c r="U2359" i="7"/>
  <c r="V2359" i="7"/>
  <c r="W2359" i="7"/>
  <c r="X2359" i="7"/>
  <c r="Y2359" i="7"/>
  <c r="Z2359" i="7"/>
  <c r="AA2359" i="7"/>
  <c r="AB2359" i="7"/>
  <c r="AC2359" i="7"/>
  <c r="AD2359" i="7"/>
  <c r="AE2359" i="7"/>
  <c r="Q2360" i="7"/>
  <c r="R2360" i="7"/>
  <c r="S2360" i="7"/>
  <c r="T2360" i="7"/>
  <c r="U2360" i="7"/>
  <c r="V2360" i="7"/>
  <c r="W2360" i="7"/>
  <c r="X2360" i="7"/>
  <c r="Y2360" i="7"/>
  <c r="Z2360" i="7"/>
  <c r="AA2360" i="7"/>
  <c r="AB2360" i="7"/>
  <c r="AC2360" i="7"/>
  <c r="AD2360" i="7"/>
  <c r="AE2360" i="7"/>
  <c r="Q2361" i="7"/>
  <c r="R2361" i="7"/>
  <c r="S2361" i="7"/>
  <c r="T2361" i="7"/>
  <c r="U2361" i="7"/>
  <c r="V2361" i="7"/>
  <c r="W2361" i="7"/>
  <c r="X2361" i="7"/>
  <c r="Y2361" i="7"/>
  <c r="Z2361" i="7"/>
  <c r="AA2361" i="7"/>
  <c r="AB2361" i="7"/>
  <c r="AC2361" i="7"/>
  <c r="AD2361" i="7"/>
  <c r="AE2361" i="7"/>
  <c r="Q2362" i="7"/>
  <c r="R2362" i="7"/>
  <c r="S2362" i="7"/>
  <c r="T2362" i="7"/>
  <c r="U2362" i="7"/>
  <c r="V2362" i="7"/>
  <c r="W2362" i="7"/>
  <c r="X2362" i="7"/>
  <c r="Y2362" i="7"/>
  <c r="Z2362" i="7"/>
  <c r="AA2362" i="7"/>
  <c r="AB2362" i="7"/>
  <c r="AC2362" i="7"/>
  <c r="AD2362" i="7"/>
  <c r="AE2362" i="7"/>
  <c r="Q2363" i="7"/>
  <c r="R2363" i="7"/>
  <c r="S2363" i="7"/>
  <c r="T2363" i="7"/>
  <c r="U2363" i="7"/>
  <c r="V2363" i="7"/>
  <c r="W2363" i="7"/>
  <c r="X2363" i="7"/>
  <c r="Y2363" i="7"/>
  <c r="Z2363" i="7"/>
  <c r="AA2363" i="7"/>
  <c r="AB2363" i="7"/>
  <c r="AC2363" i="7"/>
  <c r="AD2363" i="7"/>
  <c r="AE2363" i="7"/>
  <c r="Q2364" i="7"/>
  <c r="R2364" i="7"/>
  <c r="S2364" i="7"/>
  <c r="T2364" i="7"/>
  <c r="U2364" i="7"/>
  <c r="V2364" i="7"/>
  <c r="W2364" i="7"/>
  <c r="X2364" i="7"/>
  <c r="Y2364" i="7"/>
  <c r="Z2364" i="7"/>
  <c r="AA2364" i="7"/>
  <c r="AB2364" i="7"/>
  <c r="AC2364" i="7"/>
  <c r="AD2364" i="7"/>
  <c r="AE2364" i="7"/>
  <c r="Q2365" i="7"/>
  <c r="R2365" i="7"/>
  <c r="S2365" i="7"/>
  <c r="T2365" i="7"/>
  <c r="U2365" i="7"/>
  <c r="V2365" i="7"/>
  <c r="W2365" i="7"/>
  <c r="X2365" i="7"/>
  <c r="Y2365" i="7"/>
  <c r="Z2365" i="7"/>
  <c r="AA2365" i="7"/>
  <c r="AB2365" i="7"/>
  <c r="AC2365" i="7"/>
  <c r="AD2365" i="7"/>
  <c r="AE2365" i="7"/>
  <c r="Q2366" i="7"/>
  <c r="R2366" i="7"/>
  <c r="S2366" i="7"/>
  <c r="T2366" i="7"/>
  <c r="U2366" i="7"/>
  <c r="V2366" i="7"/>
  <c r="W2366" i="7"/>
  <c r="X2366" i="7"/>
  <c r="Y2366" i="7"/>
  <c r="Z2366" i="7"/>
  <c r="AA2366" i="7"/>
  <c r="AB2366" i="7"/>
  <c r="AC2366" i="7"/>
  <c r="AD2366" i="7"/>
  <c r="AE2366" i="7"/>
  <c r="Q2367" i="7"/>
  <c r="R2367" i="7"/>
  <c r="S2367" i="7"/>
  <c r="T2367" i="7"/>
  <c r="U2367" i="7"/>
  <c r="V2367" i="7"/>
  <c r="W2367" i="7"/>
  <c r="X2367" i="7"/>
  <c r="Y2367" i="7"/>
  <c r="Z2367" i="7"/>
  <c r="AA2367" i="7"/>
  <c r="AB2367" i="7"/>
  <c r="AC2367" i="7"/>
  <c r="AD2367" i="7"/>
  <c r="AE2367" i="7"/>
  <c r="Q2368" i="7"/>
  <c r="R2368" i="7"/>
  <c r="S2368" i="7"/>
  <c r="T2368" i="7"/>
  <c r="U2368" i="7"/>
  <c r="V2368" i="7"/>
  <c r="W2368" i="7"/>
  <c r="X2368" i="7"/>
  <c r="Y2368" i="7"/>
  <c r="Z2368" i="7"/>
  <c r="AA2368" i="7"/>
  <c r="AB2368" i="7"/>
  <c r="AC2368" i="7"/>
  <c r="AD2368" i="7"/>
  <c r="AE2368" i="7"/>
  <c r="Q2369" i="7"/>
  <c r="R2369" i="7"/>
  <c r="S2369" i="7"/>
  <c r="T2369" i="7"/>
  <c r="U2369" i="7"/>
  <c r="V2369" i="7"/>
  <c r="W2369" i="7"/>
  <c r="X2369" i="7"/>
  <c r="Y2369" i="7"/>
  <c r="Z2369" i="7"/>
  <c r="AA2369" i="7"/>
  <c r="AB2369" i="7"/>
  <c r="AC2369" i="7"/>
  <c r="AD2369" i="7"/>
  <c r="AE2369" i="7"/>
  <c r="Q2370" i="7"/>
  <c r="R2370" i="7"/>
  <c r="S2370" i="7"/>
  <c r="T2370" i="7"/>
  <c r="U2370" i="7"/>
  <c r="V2370" i="7"/>
  <c r="W2370" i="7"/>
  <c r="X2370" i="7"/>
  <c r="Y2370" i="7"/>
  <c r="Z2370" i="7"/>
  <c r="AA2370" i="7"/>
  <c r="AB2370" i="7"/>
  <c r="AC2370" i="7"/>
  <c r="AD2370" i="7"/>
  <c r="AE2370" i="7"/>
  <c r="Q2371" i="7"/>
  <c r="R2371" i="7"/>
  <c r="S2371" i="7"/>
  <c r="T2371" i="7"/>
  <c r="U2371" i="7"/>
  <c r="V2371" i="7"/>
  <c r="W2371" i="7"/>
  <c r="X2371" i="7"/>
  <c r="Y2371" i="7"/>
  <c r="Z2371" i="7"/>
  <c r="AA2371" i="7"/>
  <c r="AB2371" i="7"/>
  <c r="AC2371" i="7"/>
  <c r="AD2371" i="7"/>
  <c r="AE2371" i="7"/>
  <c r="Q2372" i="7"/>
  <c r="R2372" i="7"/>
  <c r="S2372" i="7"/>
  <c r="T2372" i="7"/>
  <c r="U2372" i="7"/>
  <c r="V2372" i="7"/>
  <c r="W2372" i="7"/>
  <c r="X2372" i="7"/>
  <c r="Y2372" i="7"/>
  <c r="Z2372" i="7"/>
  <c r="AA2372" i="7"/>
  <c r="AB2372" i="7"/>
  <c r="AC2372" i="7"/>
  <c r="AD2372" i="7"/>
  <c r="AE2372" i="7"/>
  <c r="Q2373" i="7"/>
  <c r="R2373" i="7"/>
  <c r="S2373" i="7"/>
  <c r="T2373" i="7"/>
  <c r="U2373" i="7"/>
  <c r="V2373" i="7"/>
  <c r="W2373" i="7"/>
  <c r="X2373" i="7"/>
  <c r="Y2373" i="7"/>
  <c r="Z2373" i="7"/>
  <c r="AA2373" i="7"/>
  <c r="AB2373" i="7"/>
  <c r="AC2373" i="7"/>
  <c r="AD2373" i="7"/>
  <c r="AE2373" i="7"/>
  <c r="Q2374" i="7"/>
  <c r="R2374" i="7"/>
  <c r="S2374" i="7"/>
  <c r="T2374" i="7"/>
  <c r="U2374" i="7"/>
  <c r="V2374" i="7"/>
  <c r="W2374" i="7"/>
  <c r="X2374" i="7"/>
  <c r="Y2374" i="7"/>
  <c r="Z2374" i="7"/>
  <c r="AA2374" i="7"/>
  <c r="AB2374" i="7"/>
  <c r="AC2374" i="7"/>
  <c r="AD2374" i="7"/>
  <c r="AE2374" i="7"/>
  <c r="Q2375" i="7"/>
  <c r="R2375" i="7"/>
  <c r="S2375" i="7"/>
  <c r="T2375" i="7"/>
  <c r="U2375" i="7"/>
  <c r="V2375" i="7"/>
  <c r="W2375" i="7"/>
  <c r="X2375" i="7"/>
  <c r="Y2375" i="7"/>
  <c r="Z2375" i="7"/>
  <c r="AA2375" i="7"/>
  <c r="AB2375" i="7"/>
  <c r="AC2375" i="7"/>
  <c r="AD2375" i="7"/>
  <c r="AE2375" i="7"/>
  <c r="Q2376" i="7"/>
  <c r="R2376" i="7"/>
  <c r="S2376" i="7"/>
  <c r="T2376" i="7"/>
  <c r="U2376" i="7"/>
  <c r="V2376" i="7"/>
  <c r="W2376" i="7"/>
  <c r="X2376" i="7"/>
  <c r="Y2376" i="7"/>
  <c r="Z2376" i="7"/>
  <c r="AA2376" i="7"/>
  <c r="AB2376" i="7"/>
  <c r="AC2376" i="7"/>
  <c r="AD2376" i="7"/>
  <c r="AE2376" i="7"/>
  <c r="Q2377" i="7"/>
  <c r="R2377" i="7"/>
  <c r="S2377" i="7"/>
  <c r="T2377" i="7"/>
  <c r="U2377" i="7"/>
  <c r="V2377" i="7"/>
  <c r="W2377" i="7"/>
  <c r="X2377" i="7"/>
  <c r="Y2377" i="7"/>
  <c r="Z2377" i="7"/>
  <c r="AA2377" i="7"/>
  <c r="AB2377" i="7"/>
  <c r="AC2377" i="7"/>
  <c r="AD2377" i="7"/>
  <c r="AE2377" i="7"/>
  <c r="Q2378" i="7"/>
  <c r="R2378" i="7"/>
  <c r="S2378" i="7"/>
  <c r="T2378" i="7"/>
  <c r="U2378" i="7"/>
  <c r="V2378" i="7"/>
  <c r="W2378" i="7"/>
  <c r="X2378" i="7"/>
  <c r="Y2378" i="7"/>
  <c r="Z2378" i="7"/>
  <c r="AA2378" i="7"/>
  <c r="AB2378" i="7"/>
  <c r="AC2378" i="7"/>
  <c r="AD2378" i="7"/>
  <c r="AE2378" i="7"/>
  <c r="Q2379" i="7"/>
  <c r="R2379" i="7"/>
  <c r="S2379" i="7"/>
  <c r="T2379" i="7"/>
  <c r="U2379" i="7"/>
  <c r="V2379" i="7"/>
  <c r="W2379" i="7"/>
  <c r="X2379" i="7"/>
  <c r="Y2379" i="7"/>
  <c r="Z2379" i="7"/>
  <c r="AA2379" i="7"/>
  <c r="AB2379" i="7"/>
  <c r="AC2379" i="7"/>
  <c r="AD2379" i="7"/>
  <c r="AE2379" i="7"/>
  <c r="Q2380" i="7"/>
  <c r="R2380" i="7"/>
  <c r="S2380" i="7"/>
  <c r="T2380" i="7"/>
  <c r="U2380" i="7"/>
  <c r="V2380" i="7"/>
  <c r="W2380" i="7"/>
  <c r="X2380" i="7"/>
  <c r="Y2380" i="7"/>
  <c r="Z2380" i="7"/>
  <c r="AA2380" i="7"/>
  <c r="AB2380" i="7"/>
  <c r="AC2380" i="7"/>
  <c r="AD2380" i="7"/>
  <c r="AE2380" i="7"/>
  <c r="Q2381" i="7"/>
  <c r="R2381" i="7"/>
  <c r="S2381" i="7"/>
  <c r="T2381" i="7"/>
  <c r="U2381" i="7"/>
  <c r="V2381" i="7"/>
  <c r="W2381" i="7"/>
  <c r="X2381" i="7"/>
  <c r="Y2381" i="7"/>
  <c r="Z2381" i="7"/>
  <c r="AA2381" i="7"/>
  <c r="AB2381" i="7"/>
  <c r="AC2381" i="7"/>
  <c r="AD2381" i="7"/>
  <c r="AE2381" i="7"/>
  <c r="Q2382" i="7"/>
  <c r="R2382" i="7"/>
  <c r="S2382" i="7"/>
  <c r="T2382" i="7"/>
  <c r="U2382" i="7"/>
  <c r="V2382" i="7"/>
  <c r="W2382" i="7"/>
  <c r="X2382" i="7"/>
  <c r="Y2382" i="7"/>
  <c r="Z2382" i="7"/>
  <c r="AA2382" i="7"/>
  <c r="AB2382" i="7"/>
  <c r="AC2382" i="7"/>
  <c r="AD2382" i="7"/>
  <c r="AE2382" i="7"/>
  <c r="Q2383" i="7"/>
  <c r="R2383" i="7"/>
  <c r="S2383" i="7"/>
  <c r="T2383" i="7"/>
  <c r="U2383" i="7"/>
  <c r="V2383" i="7"/>
  <c r="W2383" i="7"/>
  <c r="X2383" i="7"/>
  <c r="Y2383" i="7"/>
  <c r="Z2383" i="7"/>
  <c r="AA2383" i="7"/>
  <c r="AB2383" i="7"/>
  <c r="AC2383" i="7"/>
  <c r="AD2383" i="7"/>
  <c r="AE2383" i="7"/>
  <c r="Q2384" i="7"/>
  <c r="R2384" i="7"/>
  <c r="S2384" i="7"/>
  <c r="T2384" i="7"/>
  <c r="U2384" i="7"/>
  <c r="V2384" i="7"/>
  <c r="W2384" i="7"/>
  <c r="X2384" i="7"/>
  <c r="Y2384" i="7"/>
  <c r="Z2384" i="7"/>
  <c r="AA2384" i="7"/>
  <c r="AB2384" i="7"/>
  <c r="AC2384" i="7"/>
  <c r="AD2384" i="7"/>
  <c r="AE2384" i="7"/>
  <c r="Q2385" i="7"/>
  <c r="R2385" i="7"/>
  <c r="S2385" i="7"/>
  <c r="T2385" i="7"/>
  <c r="U2385" i="7"/>
  <c r="V2385" i="7"/>
  <c r="W2385" i="7"/>
  <c r="X2385" i="7"/>
  <c r="Y2385" i="7"/>
  <c r="Z2385" i="7"/>
  <c r="AA2385" i="7"/>
  <c r="AB2385" i="7"/>
  <c r="AC2385" i="7"/>
  <c r="AD2385" i="7"/>
  <c r="AE2385" i="7"/>
  <c r="Q2386" i="7"/>
  <c r="R2386" i="7"/>
  <c r="S2386" i="7"/>
  <c r="T2386" i="7"/>
  <c r="U2386" i="7"/>
  <c r="V2386" i="7"/>
  <c r="W2386" i="7"/>
  <c r="X2386" i="7"/>
  <c r="Y2386" i="7"/>
  <c r="Z2386" i="7"/>
  <c r="AA2386" i="7"/>
  <c r="AB2386" i="7"/>
  <c r="AC2386" i="7"/>
  <c r="AD2386" i="7"/>
  <c r="AE2386" i="7"/>
  <c r="Q2387" i="7"/>
  <c r="R2387" i="7"/>
  <c r="S2387" i="7"/>
  <c r="T2387" i="7"/>
  <c r="U2387" i="7"/>
  <c r="V2387" i="7"/>
  <c r="W2387" i="7"/>
  <c r="X2387" i="7"/>
  <c r="Y2387" i="7"/>
  <c r="Z2387" i="7"/>
  <c r="AA2387" i="7"/>
  <c r="AB2387" i="7"/>
  <c r="AC2387" i="7"/>
  <c r="AD2387" i="7"/>
  <c r="AE2387" i="7"/>
  <c r="Q2388" i="7"/>
  <c r="R2388" i="7"/>
  <c r="S2388" i="7"/>
  <c r="T2388" i="7"/>
  <c r="U2388" i="7"/>
  <c r="V2388" i="7"/>
  <c r="W2388" i="7"/>
  <c r="X2388" i="7"/>
  <c r="Y2388" i="7"/>
  <c r="Z2388" i="7"/>
  <c r="AA2388" i="7"/>
  <c r="AB2388" i="7"/>
  <c r="AC2388" i="7"/>
  <c r="AD2388" i="7"/>
  <c r="AE2388" i="7"/>
  <c r="Q2389" i="7"/>
  <c r="R2389" i="7"/>
  <c r="S2389" i="7"/>
  <c r="T2389" i="7"/>
  <c r="U2389" i="7"/>
  <c r="V2389" i="7"/>
  <c r="W2389" i="7"/>
  <c r="X2389" i="7"/>
  <c r="Y2389" i="7"/>
  <c r="Z2389" i="7"/>
  <c r="AA2389" i="7"/>
  <c r="AB2389" i="7"/>
  <c r="AC2389" i="7"/>
  <c r="AD2389" i="7"/>
  <c r="AE2389" i="7"/>
  <c r="Q2390" i="7"/>
  <c r="R2390" i="7"/>
  <c r="S2390" i="7"/>
  <c r="T2390" i="7"/>
  <c r="U2390" i="7"/>
  <c r="V2390" i="7"/>
  <c r="W2390" i="7"/>
  <c r="X2390" i="7"/>
  <c r="Y2390" i="7"/>
  <c r="Z2390" i="7"/>
  <c r="AA2390" i="7"/>
  <c r="AB2390" i="7"/>
  <c r="AC2390" i="7"/>
  <c r="AD2390" i="7"/>
  <c r="AE2390" i="7"/>
  <c r="Q2391" i="7"/>
  <c r="R2391" i="7"/>
  <c r="S2391" i="7"/>
  <c r="T2391" i="7"/>
  <c r="U2391" i="7"/>
  <c r="V2391" i="7"/>
  <c r="W2391" i="7"/>
  <c r="X2391" i="7"/>
  <c r="Y2391" i="7"/>
  <c r="Z2391" i="7"/>
  <c r="AA2391" i="7"/>
  <c r="AB2391" i="7"/>
  <c r="AC2391" i="7"/>
  <c r="AD2391" i="7"/>
  <c r="AE2391" i="7"/>
  <c r="Q2392" i="7"/>
  <c r="R2392" i="7"/>
  <c r="S2392" i="7"/>
  <c r="T2392" i="7"/>
  <c r="U2392" i="7"/>
  <c r="V2392" i="7"/>
  <c r="W2392" i="7"/>
  <c r="X2392" i="7"/>
  <c r="Y2392" i="7"/>
  <c r="Z2392" i="7"/>
  <c r="AA2392" i="7"/>
  <c r="AB2392" i="7"/>
  <c r="AC2392" i="7"/>
  <c r="AD2392" i="7"/>
  <c r="AE2392" i="7"/>
  <c r="Q2393" i="7"/>
  <c r="R2393" i="7"/>
  <c r="S2393" i="7"/>
  <c r="T2393" i="7"/>
  <c r="U2393" i="7"/>
  <c r="V2393" i="7"/>
  <c r="W2393" i="7"/>
  <c r="X2393" i="7"/>
  <c r="Y2393" i="7"/>
  <c r="Z2393" i="7"/>
  <c r="AA2393" i="7"/>
  <c r="AB2393" i="7"/>
  <c r="AC2393" i="7"/>
  <c r="AD2393" i="7"/>
  <c r="AE2393" i="7"/>
  <c r="Q2394" i="7"/>
  <c r="R2394" i="7"/>
  <c r="S2394" i="7"/>
  <c r="T2394" i="7"/>
  <c r="U2394" i="7"/>
  <c r="V2394" i="7"/>
  <c r="W2394" i="7"/>
  <c r="X2394" i="7"/>
  <c r="Y2394" i="7"/>
  <c r="Z2394" i="7"/>
  <c r="AA2394" i="7"/>
  <c r="AB2394" i="7"/>
  <c r="AC2394" i="7"/>
  <c r="AD2394" i="7"/>
  <c r="AE2394" i="7"/>
  <c r="Q2395" i="7"/>
  <c r="R2395" i="7"/>
  <c r="S2395" i="7"/>
  <c r="T2395" i="7"/>
  <c r="U2395" i="7"/>
  <c r="V2395" i="7"/>
  <c r="W2395" i="7"/>
  <c r="X2395" i="7"/>
  <c r="Y2395" i="7"/>
  <c r="Z2395" i="7"/>
  <c r="AA2395" i="7"/>
  <c r="AB2395" i="7"/>
  <c r="AC2395" i="7"/>
  <c r="AD2395" i="7"/>
  <c r="AE2395" i="7"/>
  <c r="Q2396" i="7"/>
  <c r="R2396" i="7"/>
  <c r="S2396" i="7"/>
  <c r="T2396" i="7"/>
  <c r="U2396" i="7"/>
  <c r="V2396" i="7"/>
  <c r="W2396" i="7"/>
  <c r="X2396" i="7"/>
  <c r="Y2396" i="7"/>
  <c r="Z2396" i="7"/>
  <c r="AA2396" i="7"/>
  <c r="AB2396" i="7"/>
  <c r="AC2396" i="7"/>
  <c r="AD2396" i="7"/>
  <c r="AE2396" i="7"/>
  <c r="Q2397" i="7"/>
  <c r="R2397" i="7"/>
  <c r="S2397" i="7"/>
  <c r="T2397" i="7"/>
  <c r="U2397" i="7"/>
  <c r="V2397" i="7"/>
  <c r="W2397" i="7"/>
  <c r="X2397" i="7"/>
  <c r="Y2397" i="7"/>
  <c r="Z2397" i="7"/>
  <c r="AA2397" i="7"/>
  <c r="AB2397" i="7"/>
  <c r="AC2397" i="7"/>
  <c r="AD2397" i="7"/>
  <c r="AE2397" i="7"/>
  <c r="Q2398" i="7"/>
  <c r="R2398" i="7"/>
  <c r="S2398" i="7"/>
  <c r="T2398" i="7"/>
  <c r="U2398" i="7"/>
  <c r="V2398" i="7"/>
  <c r="W2398" i="7"/>
  <c r="X2398" i="7"/>
  <c r="Y2398" i="7"/>
  <c r="Z2398" i="7"/>
  <c r="AA2398" i="7"/>
  <c r="AB2398" i="7"/>
  <c r="AC2398" i="7"/>
  <c r="AD2398" i="7"/>
  <c r="AE2398" i="7"/>
  <c r="Q2399" i="7"/>
  <c r="R2399" i="7"/>
  <c r="S2399" i="7"/>
  <c r="T2399" i="7"/>
  <c r="U2399" i="7"/>
  <c r="V2399" i="7"/>
  <c r="W2399" i="7"/>
  <c r="X2399" i="7"/>
  <c r="Y2399" i="7"/>
  <c r="Z2399" i="7"/>
  <c r="AA2399" i="7"/>
  <c r="AB2399" i="7"/>
  <c r="AC2399" i="7"/>
  <c r="AD2399" i="7"/>
  <c r="AE2399" i="7"/>
  <c r="Q2400" i="7"/>
  <c r="R2400" i="7"/>
  <c r="S2400" i="7"/>
  <c r="T2400" i="7"/>
  <c r="U2400" i="7"/>
  <c r="V2400" i="7"/>
  <c r="W2400" i="7"/>
  <c r="X2400" i="7"/>
  <c r="Y2400" i="7"/>
  <c r="Z2400" i="7"/>
  <c r="AA2400" i="7"/>
  <c r="AB2400" i="7"/>
  <c r="AC2400" i="7"/>
  <c r="AD2400" i="7"/>
  <c r="AE2400" i="7"/>
  <c r="Q2401" i="7"/>
  <c r="R2401" i="7"/>
  <c r="S2401" i="7"/>
  <c r="T2401" i="7"/>
  <c r="U2401" i="7"/>
  <c r="V2401" i="7"/>
  <c r="W2401" i="7"/>
  <c r="X2401" i="7"/>
  <c r="Y2401" i="7"/>
  <c r="Z2401" i="7"/>
  <c r="AA2401" i="7"/>
  <c r="AB2401" i="7"/>
  <c r="AC2401" i="7"/>
  <c r="AD2401" i="7"/>
  <c r="AE2401" i="7"/>
  <c r="Q2402" i="7"/>
  <c r="R2402" i="7"/>
  <c r="S2402" i="7"/>
  <c r="T2402" i="7"/>
  <c r="U2402" i="7"/>
  <c r="V2402" i="7"/>
  <c r="W2402" i="7"/>
  <c r="X2402" i="7"/>
  <c r="Y2402" i="7"/>
  <c r="Z2402" i="7"/>
  <c r="AA2402" i="7"/>
  <c r="AB2402" i="7"/>
  <c r="AC2402" i="7"/>
  <c r="AD2402" i="7"/>
  <c r="AE2402" i="7"/>
  <c r="Q2403" i="7"/>
  <c r="R2403" i="7"/>
  <c r="S2403" i="7"/>
  <c r="T2403" i="7"/>
  <c r="U2403" i="7"/>
  <c r="V2403" i="7"/>
  <c r="W2403" i="7"/>
  <c r="X2403" i="7"/>
  <c r="Y2403" i="7"/>
  <c r="Z2403" i="7"/>
  <c r="AA2403" i="7"/>
  <c r="AB2403" i="7"/>
  <c r="AC2403" i="7"/>
  <c r="AD2403" i="7"/>
  <c r="AE2403" i="7"/>
  <c r="Q2404" i="7"/>
  <c r="R2404" i="7"/>
  <c r="S2404" i="7"/>
  <c r="T2404" i="7"/>
  <c r="U2404" i="7"/>
  <c r="V2404" i="7"/>
  <c r="W2404" i="7"/>
  <c r="X2404" i="7"/>
  <c r="Y2404" i="7"/>
  <c r="Z2404" i="7"/>
  <c r="AA2404" i="7"/>
  <c r="AB2404" i="7"/>
  <c r="AC2404" i="7"/>
  <c r="AD2404" i="7"/>
  <c r="AE2404" i="7"/>
  <c r="Q2405" i="7"/>
  <c r="R2405" i="7"/>
  <c r="S2405" i="7"/>
  <c r="T2405" i="7"/>
  <c r="U2405" i="7"/>
  <c r="V2405" i="7"/>
  <c r="W2405" i="7"/>
  <c r="X2405" i="7"/>
  <c r="Y2405" i="7"/>
  <c r="Z2405" i="7"/>
  <c r="AA2405" i="7"/>
  <c r="AB2405" i="7"/>
  <c r="AC2405" i="7"/>
  <c r="AD2405" i="7"/>
  <c r="AE2405" i="7"/>
  <c r="Q2406" i="7"/>
  <c r="R2406" i="7"/>
  <c r="S2406" i="7"/>
  <c r="T2406" i="7"/>
  <c r="U2406" i="7"/>
  <c r="V2406" i="7"/>
  <c r="W2406" i="7"/>
  <c r="X2406" i="7"/>
  <c r="Y2406" i="7"/>
  <c r="Z2406" i="7"/>
  <c r="AA2406" i="7"/>
  <c r="AB2406" i="7"/>
  <c r="AC2406" i="7"/>
  <c r="AD2406" i="7"/>
  <c r="AE2406" i="7"/>
  <c r="Q2407" i="7"/>
  <c r="R2407" i="7"/>
  <c r="S2407" i="7"/>
  <c r="T2407" i="7"/>
  <c r="U2407" i="7"/>
  <c r="V2407" i="7"/>
  <c r="W2407" i="7"/>
  <c r="X2407" i="7"/>
  <c r="Y2407" i="7"/>
  <c r="Z2407" i="7"/>
  <c r="AA2407" i="7"/>
  <c r="AB2407" i="7"/>
  <c r="AC2407" i="7"/>
  <c r="AD2407" i="7"/>
  <c r="AE2407" i="7"/>
  <c r="Q2408" i="7"/>
  <c r="R2408" i="7"/>
  <c r="S2408" i="7"/>
  <c r="T2408" i="7"/>
  <c r="U2408" i="7"/>
  <c r="V2408" i="7"/>
  <c r="W2408" i="7"/>
  <c r="X2408" i="7"/>
  <c r="Y2408" i="7"/>
  <c r="Z2408" i="7"/>
  <c r="AA2408" i="7"/>
  <c r="AB2408" i="7"/>
  <c r="AC2408" i="7"/>
  <c r="AD2408" i="7"/>
  <c r="AE2408" i="7"/>
  <c r="Q2409" i="7"/>
  <c r="R2409" i="7"/>
  <c r="S2409" i="7"/>
  <c r="T2409" i="7"/>
  <c r="U2409" i="7"/>
  <c r="V2409" i="7"/>
  <c r="W2409" i="7"/>
  <c r="X2409" i="7"/>
  <c r="Y2409" i="7"/>
  <c r="Z2409" i="7"/>
  <c r="AA2409" i="7"/>
  <c r="AB2409" i="7"/>
  <c r="AC2409" i="7"/>
  <c r="AD2409" i="7"/>
  <c r="AE2409" i="7"/>
  <c r="Q2410" i="7"/>
  <c r="R2410" i="7"/>
  <c r="S2410" i="7"/>
  <c r="T2410" i="7"/>
  <c r="U2410" i="7"/>
  <c r="V2410" i="7"/>
  <c r="W2410" i="7"/>
  <c r="X2410" i="7"/>
  <c r="Y2410" i="7"/>
  <c r="Z2410" i="7"/>
  <c r="AA2410" i="7"/>
  <c r="AB2410" i="7"/>
  <c r="AC2410" i="7"/>
  <c r="AD2410" i="7"/>
  <c r="AE2410" i="7"/>
  <c r="Q2411" i="7"/>
  <c r="R2411" i="7"/>
  <c r="S2411" i="7"/>
  <c r="T2411" i="7"/>
  <c r="U2411" i="7"/>
  <c r="V2411" i="7"/>
  <c r="W2411" i="7"/>
  <c r="X2411" i="7"/>
  <c r="Y2411" i="7"/>
  <c r="Z2411" i="7"/>
  <c r="AA2411" i="7"/>
  <c r="AB2411" i="7"/>
  <c r="AC2411" i="7"/>
  <c r="AD2411" i="7"/>
  <c r="AE2411" i="7"/>
  <c r="Q2412" i="7"/>
  <c r="R2412" i="7"/>
  <c r="S2412" i="7"/>
  <c r="T2412" i="7"/>
  <c r="U2412" i="7"/>
  <c r="V2412" i="7"/>
  <c r="W2412" i="7"/>
  <c r="X2412" i="7"/>
  <c r="Y2412" i="7"/>
  <c r="Z2412" i="7"/>
  <c r="AA2412" i="7"/>
  <c r="AB2412" i="7"/>
  <c r="AC2412" i="7"/>
  <c r="AD2412" i="7"/>
  <c r="AE2412" i="7"/>
  <c r="Q2413" i="7"/>
  <c r="R2413" i="7"/>
  <c r="S2413" i="7"/>
  <c r="T2413" i="7"/>
  <c r="U2413" i="7"/>
  <c r="V2413" i="7"/>
  <c r="W2413" i="7"/>
  <c r="X2413" i="7"/>
  <c r="Y2413" i="7"/>
  <c r="Z2413" i="7"/>
  <c r="AA2413" i="7"/>
  <c r="AB2413" i="7"/>
  <c r="AC2413" i="7"/>
  <c r="AD2413" i="7"/>
  <c r="AE2413" i="7"/>
  <c r="Q2414" i="7"/>
  <c r="R2414" i="7"/>
  <c r="S2414" i="7"/>
  <c r="T2414" i="7"/>
  <c r="U2414" i="7"/>
  <c r="V2414" i="7"/>
  <c r="W2414" i="7"/>
  <c r="X2414" i="7"/>
  <c r="Y2414" i="7"/>
  <c r="Z2414" i="7"/>
  <c r="AA2414" i="7"/>
  <c r="AB2414" i="7"/>
  <c r="AC2414" i="7"/>
  <c r="AD2414" i="7"/>
  <c r="AE2414" i="7"/>
  <c r="Q2415" i="7"/>
  <c r="R2415" i="7"/>
  <c r="S2415" i="7"/>
  <c r="T2415" i="7"/>
  <c r="U2415" i="7"/>
  <c r="V2415" i="7"/>
  <c r="W2415" i="7"/>
  <c r="X2415" i="7"/>
  <c r="Y2415" i="7"/>
  <c r="Z2415" i="7"/>
  <c r="AA2415" i="7"/>
  <c r="AB2415" i="7"/>
  <c r="AC2415" i="7"/>
  <c r="AD2415" i="7"/>
  <c r="AE2415" i="7"/>
  <c r="Q2416" i="7"/>
  <c r="R2416" i="7"/>
  <c r="S2416" i="7"/>
  <c r="T2416" i="7"/>
  <c r="U2416" i="7"/>
  <c r="V2416" i="7"/>
  <c r="W2416" i="7"/>
  <c r="X2416" i="7"/>
  <c r="Y2416" i="7"/>
  <c r="Z2416" i="7"/>
  <c r="AA2416" i="7"/>
  <c r="AB2416" i="7"/>
  <c r="AC2416" i="7"/>
  <c r="AD2416" i="7"/>
  <c r="AE2416" i="7"/>
  <c r="Q2417" i="7"/>
  <c r="R2417" i="7"/>
  <c r="S2417" i="7"/>
  <c r="T2417" i="7"/>
  <c r="U2417" i="7"/>
  <c r="V2417" i="7"/>
  <c r="W2417" i="7"/>
  <c r="X2417" i="7"/>
  <c r="Y2417" i="7"/>
  <c r="Z2417" i="7"/>
  <c r="AA2417" i="7"/>
  <c r="AB2417" i="7"/>
  <c r="AC2417" i="7"/>
  <c r="AD2417" i="7"/>
  <c r="AE2417" i="7"/>
  <c r="Q2418" i="7"/>
  <c r="R2418" i="7"/>
  <c r="S2418" i="7"/>
  <c r="T2418" i="7"/>
  <c r="U2418" i="7"/>
  <c r="V2418" i="7"/>
  <c r="W2418" i="7"/>
  <c r="X2418" i="7"/>
  <c r="Y2418" i="7"/>
  <c r="Z2418" i="7"/>
  <c r="AA2418" i="7"/>
  <c r="AB2418" i="7"/>
  <c r="AC2418" i="7"/>
  <c r="AD2418" i="7"/>
  <c r="AE2418" i="7"/>
  <c r="Q2419" i="7"/>
  <c r="R2419" i="7"/>
  <c r="S2419" i="7"/>
  <c r="T2419" i="7"/>
  <c r="U2419" i="7"/>
  <c r="V2419" i="7"/>
  <c r="W2419" i="7"/>
  <c r="X2419" i="7"/>
  <c r="Y2419" i="7"/>
  <c r="Z2419" i="7"/>
  <c r="AA2419" i="7"/>
  <c r="AB2419" i="7"/>
  <c r="AC2419" i="7"/>
  <c r="AD2419" i="7"/>
  <c r="AE2419" i="7"/>
  <c r="Q2420" i="7"/>
  <c r="R2420" i="7"/>
  <c r="S2420" i="7"/>
  <c r="T2420" i="7"/>
  <c r="U2420" i="7"/>
  <c r="V2420" i="7"/>
  <c r="W2420" i="7"/>
  <c r="X2420" i="7"/>
  <c r="Y2420" i="7"/>
  <c r="Z2420" i="7"/>
  <c r="AA2420" i="7"/>
  <c r="AB2420" i="7"/>
  <c r="AC2420" i="7"/>
  <c r="AD2420" i="7"/>
  <c r="AE2420" i="7"/>
  <c r="Q2421" i="7"/>
  <c r="R2421" i="7"/>
  <c r="S2421" i="7"/>
  <c r="T2421" i="7"/>
  <c r="U2421" i="7"/>
  <c r="V2421" i="7"/>
  <c r="W2421" i="7"/>
  <c r="X2421" i="7"/>
  <c r="Y2421" i="7"/>
  <c r="Z2421" i="7"/>
  <c r="AA2421" i="7"/>
  <c r="AB2421" i="7"/>
  <c r="AC2421" i="7"/>
  <c r="AD2421" i="7"/>
  <c r="AE2421" i="7"/>
  <c r="Q2422" i="7"/>
  <c r="R2422" i="7"/>
  <c r="S2422" i="7"/>
  <c r="T2422" i="7"/>
  <c r="U2422" i="7"/>
  <c r="V2422" i="7"/>
  <c r="W2422" i="7"/>
  <c r="X2422" i="7"/>
  <c r="Y2422" i="7"/>
  <c r="Z2422" i="7"/>
  <c r="AA2422" i="7"/>
  <c r="AB2422" i="7"/>
  <c r="AC2422" i="7"/>
  <c r="AD2422" i="7"/>
  <c r="AE2422" i="7"/>
  <c r="Q2423" i="7"/>
  <c r="R2423" i="7"/>
  <c r="S2423" i="7"/>
  <c r="T2423" i="7"/>
  <c r="U2423" i="7"/>
  <c r="V2423" i="7"/>
  <c r="W2423" i="7"/>
  <c r="X2423" i="7"/>
  <c r="Y2423" i="7"/>
  <c r="Z2423" i="7"/>
  <c r="AA2423" i="7"/>
  <c r="AB2423" i="7"/>
  <c r="AC2423" i="7"/>
  <c r="AD2423" i="7"/>
  <c r="AE2423" i="7"/>
  <c r="Q2424" i="7"/>
  <c r="R2424" i="7"/>
  <c r="S2424" i="7"/>
  <c r="T2424" i="7"/>
  <c r="U2424" i="7"/>
  <c r="V2424" i="7"/>
  <c r="W2424" i="7"/>
  <c r="X2424" i="7"/>
  <c r="Y2424" i="7"/>
  <c r="Z2424" i="7"/>
  <c r="AA2424" i="7"/>
  <c r="AB2424" i="7"/>
  <c r="AC2424" i="7"/>
  <c r="AD2424" i="7"/>
  <c r="AE2424" i="7"/>
  <c r="Q2425" i="7"/>
  <c r="R2425" i="7"/>
  <c r="S2425" i="7"/>
  <c r="T2425" i="7"/>
  <c r="U2425" i="7"/>
  <c r="V2425" i="7"/>
  <c r="W2425" i="7"/>
  <c r="X2425" i="7"/>
  <c r="Y2425" i="7"/>
  <c r="Z2425" i="7"/>
  <c r="AA2425" i="7"/>
  <c r="AB2425" i="7"/>
  <c r="AC2425" i="7"/>
  <c r="AD2425" i="7"/>
  <c r="AE2425" i="7"/>
  <c r="Q2426" i="7"/>
  <c r="R2426" i="7"/>
  <c r="S2426" i="7"/>
  <c r="T2426" i="7"/>
  <c r="U2426" i="7"/>
  <c r="V2426" i="7"/>
  <c r="W2426" i="7"/>
  <c r="X2426" i="7"/>
  <c r="Y2426" i="7"/>
  <c r="Z2426" i="7"/>
  <c r="AA2426" i="7"/>
  <c r="AB2426" i="7"/>
  <c r="AC2426" i="7"/>
  <c r="AD2426" i="7"/>
  <c r="AE2426" i="7"/>
  <c r="Q2427" i="7"/>
  <c r="R2427" i="7"/>
  <c r="S2427" i="7"/>
  <c r="T2427" i="7"/>
  <c r="U2427" i="7"/>
  <c r="V2427" i="7"/>
  <c r="W2427" i="7"/>
  <c r="X2427" i="7"/>
  <c r="Y2427" i="7"/>
  <c r="Z2427" i="7"/>
  <c r="AA2427" i="7"/>
  <c r="AB2427" i="7"/>
  <c r="AC2427" i="7"/>
  <c r="AD2427" i="7"/>
  <c r="AE2427" i="7"/>
  <c r="Q2428" i="7"/>
  <c r="R2428" i="7"/>
  <c r="S2428" i="7"/>
  <c r="T2428" i="7"/>
  <c r="U2428" i="7"/>
  <c r="V2428" i="7"/>
  <c r="W2428" i="7"/>
  <c r="X2428" i="7"/>
  <c r="Y2428" i="7"/>
  <c r="Z2428" i="7"/>
  <c r="AA2428" i="7"/>
  <c r="AB2428" i="7"/>
  <c r="AC2428" i="7"/>
  <c r="AD2428" i="7"/>
  <c r="AE2428" i="7"/>
  <c r="Q2429" i="7"/>
  <c r="R2429" i="7"/>
  <c r="S2429" i="7"/>
  <c r="T2429" i="7"/>
  <c r="U2429" i="7"/>
  <c r="V2429" i="7"/>
  <c r="W2429" i="7"/>
  <c r="X2429" i="7"/>
  <c r="Y2429" i="7"/>
  <c r="Z2429" i="7"/>
  <c r="AA2429" i="7"/>
  <c r="AB2429" i="7"/>
  <c r="AC2429" i="7"/>
  <c r="AD2429" i="7"/>
  <c r="AE2429" i="7"/>
  <c r="Q2430" i="7"/>
  <c r="R2430" i="7"/>
  <c r="S2430" i="7"/>
  <c r="T2430" i="7"/>
  <c r="U2430" i="7"/>
  <c r="V2430" i="7"/>
  <c r="W2430" i="7"/>
  <c r="X2430" i="7"/>
  <c r="Y2430" i="7"/>
  <c r="Z2430" i="7"/>
  <c r="AA2430" i="7"/>
  <c r="AB2430" i="7"/>
  <c r="AC2430" i="7"/>
  <c r="AD2430" i="7"/>
  <c r="AE2430" i="7"/>
  <c r="Q2431" i="7"/>
  <c r="R2431" i="7"/>
  <c r="S2431" i="7"/>
  <c r="T2431" i="7"/>
  <c r="U2431" i="7"/>
  <c r="V2431" i="7"/>
  <c r="W2431" i="7"/>
  <c r="X2431" i="7"/>
  <c r="Y2431" i="7"/>
  <c r="Z2431" i="7"/>
  <c r="AA2431" i="7"/>
  <c r="AB2431" i="7"/>
  <c r="AC2431" i="7"/>
  <c r="AD2431" i="7"/>
  <c r="AE2431" i="7"/>
  <c r="Q2432" i="7"/>
  <c r="R2432" i="7"/>
  <c r="S2432" i="7"/>
  <c r="T2432" i="7"/>
  <c r="U2432" i="7"/>
  <c r="V2432" i="7"/>
  <c r="W2432" i="7"/>
  <c r="X2432" i="7"/>
  <c r="Y2432" i="7"/>
  <c r="Z2432" i="7"/>
  <c r="AA2432" i="7"/>
  <c r="AB2432" i="7"/>
  <c r="AC2432" i="7"/>
  <c r="AD2432" i="7"/>
  <c r="AE2432" i="7"/>
  <c r="Q2433" i="7"/>
  <c r="R2433" i="7"/>
  <c r="S2433" i="7"/>
  <c r="T2433" i="7"/>
  <c r="U2433" i="7"/>
  <c r="V2433" i="7"/>
  <c r="W2433" i="7"/>
  <c r="X2433" i="7"/>
  <c r="Y2433" i="7"/>
  <c r="Z2433" i="7"/>
  <c r="AA2433" i="7"/>
  <c r="AB2433" i="7"/>
  <c r="AC2433" i="7"/>
  <c r="AD2433" i="7"/>
  <c r="AE2433" i="7"/>
  <c r="Q2434" i="7"/>
  <c r="R2434" i="7"/>
  <c r="S2434" i="7"/>
  <c r="T2434" i="7"/>
  <c r="U2434" i="7"/>
  <c r="V2434" i="7"/>
  <c r="W2434" i="7"/>
  <c r="X2434" i="7"/>
  <c r="Y2434" i="7"/>
  <c r="Z2434" i="7"/>
  <c r="AA2434" i="7"/>
  <c r="AB2434" i="7"/>
  <c r="AC2434" i="7"/>
  <c r="AD2434" i="7"/>
  <c r="AE2434" i="7"/>
  <c r="Q2435" i="7"/>
  <c r="R2435" i="7"/>
  <c r="S2435" i="7"/>
  <c r="T2435" i="7"/>
  <c r="U2435" i="7"/>
  <c r="V2435" i="7"/>
  <c r="W2435" i="7"/>
  <c r="X2435" i="7"/>
  <c r="Y2435" i="7"/>
  <c r="Z2435" i="7"/>
  <c r="AA2435" i="7"/>
  <c r="AB2435" i="7"/>
  <c r="AC2435" i="7"/>
  <c r="AD2435" i="7"/>
  <c r="AE2435" i="7"/>
  <c r="Q2436" i="7"/>
  <c r="R2436" i="7"/>
  <c r="S2436" i="7"/>
  <c r="T2436" i="7"/>
  <c r="U2436" i="7"/>
  <c r="V2436" i="7"/>
  <c r="W2436" i="7"/>
  <c r="X2436" i="7"/>
  <c r="Y2436" i="7"/>
  <c r="Z2436" i="7"/>
  <c r="AA2436" i="7"/>
  <c r="AB2436" i="7"/>
  <c r="AC2436" i="7"/>
  <c r="AD2436" i="7"/>
  <c r="AE2436" i="7"/>
  <c r="Q2437" i="7"/>
  <c r="R2437" i="7"/>
  <c r="S2437" i="7"/>
  <c r="T2437" i="7"/>
  <c r="U2437" i="7"/>
  <c r="V2437" i="7"/>
  <c r="W2437" i="7"/>
  <c r="X2437" i="7"/>
  <c r="Y2437" i="7"/>
  <c r="Z2437" i="7"/>
  <c r="AA2437" i="7"/>
  <c r="AB2437" i="7"/>
  <c r="AC2437" i="7"/>
  <c r="AD2437" i="7"/>
  <c r="AE2437" i="7"/>
  <c r="Q2438" i="7"/>
  <c r="R2438" i="7"/>
  <c r="S2438" i="7"/>
  <c r="T2438" i="7"/>
  <c r="U2438" i="7"/>
  <c r="V2438" i="7"/>
  <c r="W2438" i="7"/>
  <c r="X2438" i="7"/>
  <c r="Y2438" i="7"/>
  <c r="Z2438" i="7"/>
  <c r="AA2438" i="7"/>
  <c r="AB2438" i="7"/>
  <c r="AC2438" i="7"/>
  <c r="AD2438" i="7"/>
  <c r="AE2438" i="7"/>
  <c r="Q2439" i="7"/>
  <c r="R2439" i="7"/>
  <c r="S2439" i="7"/>
  <c r="T2439" i="7"/>
  <c r="U2439" i="7"/>
  <c r="V2439" i="7"/>
  <c r="W2439" i="7"/>
  <c r="X2439" i="7"/>
  <c r="Y2439" i="7"/>
  <c r="Z2439" i="7"/>
  <c r="AA2439" i="7"/>
  <c r="AB2439" i="7"/>
  <c r="AC2439" i="7"/>
  <c r="AD2439" i="7"/>
  <c r="AE2439" i="7"/>
  <c r="Q2440" i="7"/>
  <c r="R2440" i="7"/>
  <c r="S2440" i="7"/>
  <c r="T2440" i="7"/>
  <c r="U2440" i="7"/>
  <c r="V2440" i="7"/>
  <c r="W2440" i="7"/>
  <c r="X2440" i="7"/>
  <c r="Y2440" i="7"/>
  <c r="Z2440" i="7"/>
  <c r="AA2440" i="7"/>
  <c r="AB2440" i="7"/>
  <c r="AC2440" i="7"/>
  <c r="AD2440" i="7"/>
  <c r="AE2440" i="7"/>
  <c r="Q2441" i="7"/>
  <c r="R2441" i="7"/>
  <c r="S2441" i="7"/>
  <c r="T2441" i="7"/>
  <c r="U2441" i="7"/>
  <c r="V2441" i="7"/>
  <c r="W2441" i="7"/>
  <c r="X2441" i="7"/>
  <c r="Y2441" i="7"/>
  <c r="Z2441" i="7"/>
  <c r="AA2441" i="7"/>
  <c r="AB2441" i="7"/>
  <c r="AC2441" i="7"/>
  <c r="AD2441" i="7"/>
  <c r="AE2441" i="7"/>
  <c r="Q2442" i="7"/>
  <c r="R2442" i="7"/>
  <c r="S2442" i="7"/>
  <c r="T2442" i="7"/>
  <c r="U2442" i="7"/>
  <c r="V2442" i="7"/>
  <c r="W2442" i="7"/>
  <c r="X2442" i="7"/>
  <c r="Y2442" i="7"/>
  <c r="Z2442" i="7"/>
  <c r="AA2442" i="7"/>
  <c r="AB2442" i="7"/>
  <c r="AC2442" i="7"/>
  <c r="AD2442" i="7"/>
  <c r="AE2442" i="7"/>
  <c r="Q2443" i="7"/>
  <c r="R2443" i="7"/>
  <c r="S2443" i="7"/>
  <c r="T2443" i="7"/>
  <c r="U2443" i="7"/>
  <c r="V2443" i="7"/>
  <c r="W2443" i="7"/>
  <c r="X2443" i="7"/>
  <c r="Y2443" i="7"/>
  <c r="Z2443" i="7"/>
  <c r="AA2443" i="7"/>
  <c r="AB2443" i="7"/>
  <c r="AC2443" i="7"/>
  <c r="AD2443" i="7"/>
  <c r="AE2443" i="7"/>
  <c r="Q2444" i="7"/>
  <c r="R2444" i="7"/>
  <c r="S2444" i="7"/>
  <c r="T2444" i="7"/>
  <c r="U2444" i="7"/>
  <c r="V2444" i="7"/>
  <c r="W2444" i="7"/>
  <c r="X2444" i="7"/>
  <c r="Y2444" i="7"/>
  <c r="Z2444" i="7"/>
  <c r="AA2444" i="7"/>
  <c r="AB2444" i="7"/>
  <c r="AC2444" i="7"/>
  <c r="AD2444" i="7"/>
  <c r="AE2444" i="7"/>
  <c r="Q2445" i="7"/>
  <c r="R2445" i="7"/>
  <c r="S2445" i="7"/>
  <c r="T2445" i="7"/>
  <c r="U2445" i="7"/>
  <c r="V2445" i="7"/>
  <c r="W2445" i="7"/>
  <c r="X2445" i="7"/>
  <c r="Y2445" i="7"/>
  <c r="Z2445" i="7"/>
  <c r="AA2445" i="7"/>
  <c r="AB2445" i="7"/>
  <c r="AC2445" i="7"/>
  <c r="AD2445" i="7"/>
  <c r="AE2445" i="7"/>
  <c r="Q2446" i="7"/>
  <c r="R2446" i="7"/>
  <c r="S2446" i="7"/>
  <c r="T2446" i="7"/>
  <c r="U2446" i="7"/>
  <c r="V2446" i="7"/>
  <c r="W2446" i="7"/>
  <c r="X2446" i="7"/>
  <c r="Y2446" i="7"/>
  <c r="Z2446" i="7"/>
  <c r="AA2446" i="7"/>
  <c r="AB2446" i="7"/>
  <c r="AC2446" i="7"/>
  <c r="AD2446" i="7"/>
  <c r="AE2446" i="7"/>
  <c r="Q2447" i="7"/>
  <c r="R2447" i="7"/>
  <c r="S2447" i="7"/>
  <c r="T2447" i="7"/>
  <c r="U2447" i="7"/>
  <c r="V2447" i="7"/>
  <c r="W2447" i="7"/>
  <c r="X2447" i="7"/>
  <c r="Y2447" i="7"/>
  <c r="Z2447" i="7"/>
  <c r="AA2447" i="7"/>
  <c r="AB2447" i="7"/>
  <c r="AC2447" i="7"/>
  <c r="AD2447" i="7"/>
  <c r="AE2447" i="7"/>
  <c r="Q2448" i="7"/>
  <c r="R2448" i="7"/>
  <c r="S2448" i="7"/>
  <c r="T2448" i="7"/>
  <c r="U2448" i="7"/>
  <c r="V2448" i="7"/>
  <c r="W2448" i="7"/>
  <c r="X2448" i="7"/>
  <c r="Y2448" i="7"/>
  <c r="Z2448" i="7"/>
  <c r="AA2448" i="7"/>
  <c r="AB2448" i="7"/>
  <c r="AC2448" i="7"/>
  <c r="AD2448" i="7"/>
  <c r="AE2448" i="7"/>
  <c r="Q2449" i="7"/>
  <c r="R2449" i="7"/>
  <c r="S2449" i="7"/>
  <c r="T2449" i="7"/>
  <c r="U2449" i="7"/>
  <c r="V2449" i="7"/>
  <c r="W2449" i="7"/>
  <c r="X2449" i="7"/>
  <c r="Y2449" i="7"/>
  <c r="Z2449" i="7"/>
  <c r="AA2449" i="7"/>
  <c r="AB2449" i="7"/>
  <c r="AC2449" i="7"/>
  <c r="AD2449" i="7"/>
  <c r="AE2449" i="7"/>
  <c r="Q2450" i="7"/>
  <c r="R2450" i="7"/>
  <c r="S2450" i="7"/>
  <c r="T2450" i="7"/>
  <c r="U2450" i="7"/>
  <c r="V2450" i="7"/>
  <c r="W2450" i="7"/>
  <c r="X2450" i="7"/>
  <c r="Y2450" i="7"/>
  <c r="Z2450" i="7"/>
  <c r="AA2450" i="7"/>
  <c r="AB2450" i="7"/>
  <c r="AC2450" i="7"/>
  <c r="AD2450" i="7"/>
  <c r="AE2450" i="7"/>
  <c r="Q2451" i="7"/>
  <c r="R2451" i="7"/>
  <c r="S2451" i="7"/>
  <c r="T2451" i="7"/>
  <c r="U2451" i="7"/>
  <c r="V2451" i="7"/>
  <c r="W2451" i="7"/>
  <c r="X2451" i="7"/>
  <c r="Y2451" i="7"/>
  <c r="Z2451" i="7"/>
  <c r="AA2451" i="7"/>
  <c r="AB2451" i="7"/>
  <c r="AC2451" i="7"/>
  <c r="AD2451" i="7"/>
  <c r="AE2451" i="7"/>
  <c r="Q2452" i="7"/>
  <c r="R2452" i="7"/>
  <c r="S2452" i="7"/>
  <c r="T2452" i="7"/>
  <c r="U2452" i="7"/>
  <c r="V2452" i="7"/>
  <c r="W2452" i="7"/>
  <c r="X2452" i="7"/>
  <c r="Y2452" i="7"/>
  <c r="Z2452" i="7"/>
  <c r="AA2452" i="7"/>
  <c r="AB2452" i="7"/>
  <c r="AC2452" i="7"/>
  <c r="AD2452" i="7"/>
  <c r="AE2452" i="7"/>
  <c r="Q2453" i="7"/>
  <c r="R2453" i="7"/>
  <c r="S2453" i="7"/>
  <c r="T2453" i="7"/>
  <c r="U2453" i="7"/>
  <c r="V2453" i="7"/>
  <c r="W2453" i="7"/>
  <c r="X2453" i="7"/>
  <c r="Y2453" i="7"/>
  <c r="Z2453" i="7"/>
  <c r="AA2453" i="7"/>
  <c r="AB2453" i="7"/>
  <c r="AC2453" i="7"/>
  <c r="AD2453" i="7"/>
  <c r="AE2453" i="7"/>
  <c r="Q2454" i="7"/>
  <c r="R2454" i="7"/>
  <c r="S2454" i="7"/>
  <c r="T2454" i="7"/>
  <c r="U2454" i="7"/>
  <c r="V2454" i="7"/>
  <c r="W2454" i="7"/>
  <c r="X2454" i="7"/>
  <c r="Y2454" i="7"/>
  <c r="Z2454" i="7"/>
  <c r="AA2454" i="7"/>
  <c r="AB2454" i="7"/>
  <c r="AC2454" i="7"/>
  <c r="AD2454" i="7"/>
  <c r="AE2454" i="7"/>
  <c r="Q2455" i="7"/>
  <c r="R2455" i="7"/>
  <c r="S2455" i="7"/>
  <c r="T2455" i="7"/>
  <c r="U2455" i="7"/>
  <c r="V2455" i="7"/>
  <c r="W2455" i="7"/>
  <c r="X2455" i="7"/>
  <c r="Y2455" i="7"/>
  <c r="Z2455" i="7"/>
  <c r="AA2455" i="7"/>
  <c r="AB2455" i="7"/>
  <c r="AC2455" i="7"/>
  <c r="AD2455" i="7"/>
  <c r="AE2455" i="7"/>
  <c r="Q2456" i="7"/>
  <c r="R2456" i="7"/>
  <c r="S2456" i="7"/>
  <c r="T2456" i="7"/>
  <c r="U2456" i="7"/>
  <c r="V2456" i="7"/>
  <c r="W2456" i="7"/>
  <c r="X2456" i="7"/>
  <c r="Y2456" i="7"/>
  <c r="Z2456" i="7"/>
  <c r="AA2456" i="7"/>
  <c r="AB2456" i="7"/>
  <c r="AC2456" i="7"/>
  <c r="AD2456" i="7"/>
  <c r="AE2456" i="7"/>
  <c r="Q2457" i="7"/>
  <c r="R2457" i="7"/>
  <c r="S2457" i="7"/>
  <c r="T2457" i="7"/>
  <c r="U2457" i="7"/>
  <c r="V2457" i="7"/>
  <c r="W2457" i="7"/>
  <c r="X2457" i="7"/>
  <c r="Y2457" i="7"/>
  <c r="Z2457" i="7"/>
  <c r="AA2457" i="7"/>
  <c r="AB2457" i="7"/>
  <c r="AC2457" i="7"/>
  <c r="AD2457" i="7"/>
  <c r="AE2457" i="7"/>
  <c r="Q2458" i="7"/>
  <c r="R2458" i="7"/>
  <c r="S2458" i="7"/>
  <c r="T2458" i="7"/>
  <c r="U2458" i="7"/>
  <c r="V2458" i="7"/>
  <c r="W2458" i="7"/>
  <c r="X2458" i="7"/>
  <c r="Y2458" i="7"/>
  <c r="Z2458" i="7"/>
  <c r="AA2458" i="7"/>
  <c r="AB2458" i="7"/>
  <c r="AC2458" i="7"/>
  <c r="AD2458" i="7"/>
  <c r="AE2458" i="7"/>
  <c r="Q2459" i="7"/>
  <c r="R2459" i="7"/>
  <c r="S2459" i="7"/>
  <c r="T2459" i="7"/>
  <c r="U2459" i="7"/>
  <c r="V2459" i="7"/>
  <c r="W2459" i="7"/>
  <c r="X2459" i="7"/>
  <c r="Y2459" i="7"/>
  <c r="Z2459" i="7"/>
  <c r="AA2459" i="7"/>
  <c r="AB2459" i="7"/>
  <c r="AC2459" i="7"/>
  <c r="AD2459" i="7"/>
  <c r="AE2459" i="7"/>
  <c r="Q2460" i="7"/>
  <c r="R2460" i="7"/>
  <c r="S2460" i="7"/>
  <c r="T2460" i="7"/>
  <c r="U2460" i="7"/>
  <c r="V2460" i="7"/>
  <c r="W2460" i="7"/>
  <c r="X2460" i="7"/>
  <c r="Y2460" i="7"/>
  <c r="Z2460" i="7"/>
  <c r="AA2460" i="7"/>
  <c r="AB2460" i="7"/>
  <c r="AC2460" i="7"/>
  <c r="AD2460" i="7"/>
  <c r="AE2460" i="7"/>
  <c r="Q2461" i="7"/>
  <c r="R2461" i="7"/>
  <c r="S2461" i="7"/>
  <c r="T2461" i="7"/>
  <c r="U2461" i="7"/>
  <c r="V2461" i="7"/>
  <c r="W2461" i="7"/>
  <c r="X2461" i="7"/>
  <c r="Y2461" i="7"/>
  <c r="Z2461" i="7"/>
  <c r="AA2461" i="7"/>
  <c r="AB2461" i="7"/>
  <c r="AC2461" i="7"/>
  <c r="AD2461" i="7"/>
  <c r="AE2461" i="7"/>
  <c r="Q2462" i="7"/>
  <c r="R2462" i="7"/>
  <c r="S2462" i="7"/>
  <c r="T2462" i="7"/>
  <c r="U2462" i="7"/>
  <c r="V2462" i="7"/>
  <c r="W2462" i="7"/>
  <c r="X2462" i="7"/>
  <c r="Y2462" i="7"/>
  <c r="Z2462" i="7"/>
  <c r="AA2462" i="7"/>
  <c r="AB2462" i="7"/>
  <c r="AC2462" i="7"/>
  <c r="AD2462" i="7"/>
  <c r="AE2462" i="7"/>
  <c r="Q2463" i="7"/>
  <c r="R2463" i="7"/>
  <c r="S2463" i="7"/>
  <c r="T2463" i="7"/>
  <c r="U2463" i="7"/>
  <c r="V2463" i="7"/>
  <c r="W2463" i="7"/>
  <c r="X2463" i="7"/>
  <c r="Y2463" i="7"/>
  <c r="Z2463" i="7"/>
  <c r="AA2463" i="7"/>
  <c r="AB2463" i="7"/>
  <c r="AC2463" i="7"/>
  <c r="AD2463" i="7"/>
  <c r="AE2463" i="7"/>
  <c r="Q2464" i="7"/>
  <c r="R2464" i="7"/>
  <c r="S2464" i="7"/>
  <c r="T2464" i="7"/>
  <c r="U2464" i="7"/>
  <c r="V2464" i="7"/>
  <c r="W2464" i="7"/>
  <c r="X2464" i="7"/>
  <c r="Y2464" i="7"/>
  <c r="Z2464" i="7"/>
  <c r="AA2464" i="7"/>
  <c r="AB2464" i="7"/>
  <c r="AC2464" i="7"/>
  <c r="AD2464" i="7"/>
  <c r="AE2464" i="7"/>
  <c r="Q2465" i="7"/>
  <c r="R2465" i="7"/>
  <c r="S2465" i="7"/>
  <c r="T2465" i="7"/>
  <c r="U2465" i="7"/>
  <c r="V2465" i="7"/>
  <c r="W2465" i="7"/>
  <c r="X2465" i="7"/>
  <c r="Y2465" i="7"/>
  <c r="Z2465" i="7"/>
  <c r="AA2465" i="7"/>
  <c r="AB2465" i="7"/>
  <c r="AC2465" i="7"/>
  <c r="AD2465" i="7"/>
  <c r="AE2465" i="7"/>
  <c r="Q2466" i="7"/>
  <c r="R2466" i="7"/>
  <c r="S2466" i="7"/>
  <c r="T2466" i="7"/>
  <c r="U2466" i="7"/>
  <c r="V2466" i="7"/>
  <c r="W2466" i="7"/>
  <c r="X2466" i="7"/>
  <c r="Y2466" i="7"/>
  <c r="Z2466" i="7"/>
  <c r="AA2466" i="7"/>
  <c r="AB2466" i="7"/>
  <c r="AC2466" i="7"/>
  <c r="AD2466" i="7"/>
  <c r="AE2466" i="7"/>
  <c r="Q2467" i="7"/>
  <c r="R2467" i="7"/>
  <c r="S2467" i="7"/>
  <c r="T2467" i="7"/>
  <c r="U2467" i="7"/>
  <c r="V2467" i="7"/>
  <c r="W2467" i="7"/>
  <c r="X2467" i="7"/>
  <c r="Y2467" i="7"/>
  <c r="Z2467" i="7"/>
  <c r="AA2467" i="7"/>
  <c r="AB2467" i="7"/>
  <c r="AC2467" i="7"/>
  <c r="AD2467" i="7"/>
  <c r="AE2467" i="7"/>
  <c r="Q2468" i="7"/>
  <c r="R2468" i="7"/>
  <c r="S2468" i="7"/>
  <c r="T2468" i="7"/>
  <c r="U2468" i="7"/>
  <c r="V2468" i="7"/>
  <c r="W2468" i="7"/>
  <c r="X2468" i="7"/>
  <c r="Y2468" i="7"/>
  <c r="Z2468" i="7"/>
  <c r="AA2468" i="7"/>
  <c r="AB2468" i="7"/>
  <c r="AC2468" i="7"/>
  <c r="AD2468" i="7"/>
  <c r="AE2468" i="7"/>
  <c r="Q2469" i="7"/>
  <c r="R2469" i="7"/>
  <c r="S2469" i="7"/>
  <c r="T2469" i="7"/>
  <c r="U2469" i="7"/>
  <c r="V2469" i="7"/>
  <c r="W2469" i="7"/>
  <c r="X2469" i="7"/>
  <c r="Y2469" i="7"/>
  <c r="Z2469" i="7"/>
  <c r="AA2469" i="7"/>
  <c r="AB2469" i="7"/>
  <c r="AC2469" i="7"/>
  <c r="AD2469" i="7"/>
  <c r="AE2469" i="7"/>
  <c r="Q2470" i="7"/>
  <c r="R2470" i="7"/>
  <c r="S2470" i="7"/>
  <c r="T2470" i="7"/>
  <c r="U2470" i="7"/>
  <c r="V2470" i="7"/>
  <c r="W2470" i="7"/>
  <c r="X2470" i="7"/>
  <c r="Y2470" i="7"/>
  <c r="Z2470" i="7"/>
  <c r="AA2470" i="7"/>
  <c r="AB2470" i="7"/>
  <c r="AC2470" i="7"/>
  <c r="AD2470" i="7"/>
  <c r="AE2470" i="7"/>
  <c r="Q2471" i="7"/>
  <c r="R2471" i="7"/>
  <c r="S2471" i="7"/>
  <c r="T2471" i="7"/>
  <c r="U2471" i="7"/>
  <c r="V2471" i="7"/>
  <c r="W2471" i="7"/>
  <c r="X2471" i="7"/>
  <c r="Y2471" i="7"/>
  <c r="Z2471" i="7"/>
  <c r="AA2471" i="7"/>
  <c r="AB2471" i="7"/>
  <c r="AC2471" i="7"/>
  <c r="AD2471" i="7"/>
  <c r="AE2471" i="7"/>
  <c r="Q2472" i="7"/>
  <c r="R2472" i="7"/>
  <c r="S2472" i="7"/>
  <c r="T2472" i="7"/>
  <c r="U2472" i="7"/>
  <c r="V2472" i="7"/>
  <c r="W2472" i="7"/>
  <c r="X2472" i="7"/>
  <c r="Y2472" i="7"/>
  <c r="Z2472" i="7"/>
  <c r="AA2472" i="7"/>
  <c r="AB2472" i="7"/>
  <c r="AC2472" i="7"/>
  <c r="AD2472" i="7"/>
  <c r="AE2472" i="7"/>
  <c r="Q2473" i="7"/>
  <c r="R2473" i="7"/>
  <c r="S2473" i="7"/>
  <c r="T2473" i="7"/>
  <c r="U2473" i="7"/>
  <c r="V2473" i="7"/>
  <c r="W2473" i="7"/>
  <c r="X2473" i="7"/>
  <c r="Y2473" i="7"/>
  <c r="Z2473" i="7"/>
  <c r="AA2473" i="7"/>
  <c r="AB2473" i="7"/>
  <c r="AC2473" i="7"/>
  <c r="AD2473" i="7"/>
  <c r="AE2473" i="7"/>
  <c r="Q2474" i="7"/>
  <c r="R2474" i="7"/>
  <c r="S2474" i="7"/>
  <c r="T2474" i="7"/>
  <c r="U2474" i="7"/>
  <c r="V2474" i="7"/>
  <c r="W2474" i="7"/>
  <c r="X2474" i="7"/>
  <c r="Y2474" i="7"/>
  <c r="Z2474" i="7"/>
  <c r="AA2474" i="7"/>
  <c r="AB2474" i="7"/>
  <c r="AC2474" i="7"/>
  <c r="AD2474" i="7"/>
  <c r="AE2474" i="7"/>
  <c r="Q2475" i="7"/>
  <c r="R2475" i="7"/>
  <c r="S2475" i="7"/>
  <c r="T2475" i="7"/>
  <c r="U2475" i="7"/>
  <c r="V2475" i="7"/>
  <c r="W2475" i="7"/>
  <c r="X2475" i="7"/>
  <c r="Y2475" i="7"/>
  <c r="Z2475" i="7"/>
  <c r="AA2475" i="7"/>
  <c r="AB2475" i="7"/>
  <c r="AC2475" i="7"/>
  <c r="AD2475" i="7"/>
  <c r="AE2475" i="7"/>
  <c r="Q2476" i="7"/>
  <c r="R2476" i="7"/>
  <c r="S2476" i="7"/>
  <c r="T2476" i="7"/>
  <c r="U2476" i="7"/>
  <c r="V2476" i="7"/>
  <c r="W2476" i="7"/>
  <c r="X2476" i="7"/>
  <c r="Y2476" i="7"/>
  <c r="Z2476" i="7"/>
  <c r="AA2476" i="7"/>
  <c r="AB2476" i="7"/>
  <c r="AC2476" i="7"/>
  <c r="AD2476" i="7"/>
  <c r="AE2476" i="7"/>
  <c r="Q2477" i="7"/>
  <c r="R2477" i="7"/>
  <c r="S2477" i="7"/>
  <c r="T2477" i="7"/>
  <c r="U2477" i="7"/>
  <c r="V2477" i="7"/>
  <c r="W2477" i="7"/>
  <c r="X2477" i="7"/>
  <c r="Y2477" i="7"/>
  <c r="Z2477" i="7"/>
  <c r="AA2477" i="7"/>
  <c r="AB2477" i="7"/>
  <c r="AC2477" i="7"/>
  <c r="AD2477" i="7"/>
  <c r="AE2477" i="7"/>
  <c r="Q2478" i="7"/>
  <c r="R2478" i="7"/>
  <c r="S2478" i="7"/>
  <c r="T2478" i="7"/>
  <c r="U2478" i="7"/>
  <c r="V2478" i="7"/>
  <c r="W2478" i="7"/>
  <c r="X2478" i="7"/>
  <c r="Y2478" i="7"/>
  <c r="Z2478" i="7"/>
  <c r="AA2478" i="7"/>
  <c r="AB2478" i="7"/>
  <c r="AC2478" i="7"/>
  <c r="AD2478" i="7"/>
  <c r="AE2478" i="7"/>
  <c r="Q2479" i="7"/>
  <c r="R2479" i="7"/>
  <c r="S2479" i="7"/>
  <c r="T2479" i="7"/>
  <c r="U2479" i="7"/>
  <c r="V2479" i="7"/>
  <c r="W2479" i="7"/>
  <c r="X2479" i="7"/>
  <c r="Y2479" i="7"/>
  <c r="Z2479" i="7"/>
  <c r="AA2479" i="7"/>
  <c r="AB2479" i="7"/>
  <c r="AC2479" i="7"/>
  <c r="AD2479" i="7"/>
  <c r="AE2479" i="7"/>
  <c r="Q2480" i="7"/>
  <c r="R2480" i="7"/>
  <c r="S2480" i="7"/>
  <c r="T2480" i="7"/>
  <c r="U2480" i="7"/>
  <c r="V2480" i="7"/>
  <c r="W2480" i="7"/>
  <c r="X2480" i="7"/>
  <c r="Y2480" i="7"/>
  <c r="Z2480" i="7"/>
  <c r="AA2480" i="7"/>
  <c r="AB2480" i="7"/>
  <c r="AC2480" i="7"/>
  <c r="AD2480" i="7"/>
  <c r="AE2480" i="7"/>
  <c r="Q2481" i="7"/>
  <c r="R2481" i="7"/>
  <c r="S2481" i="7"/>
  <c r="T2481" i="7"/>
  <c r="U2481" i="7"/>
  <c r="V2481" i="7"/>
  <c r="W2481" i="7"/>
  <c r="X2481" i="7"/>
  <c r="Y2481" i="7"/>
  <c r="Z2481" i="7"/>
  <c r="AA2481" i="7"/>
  <c r="AB2481" i="7"/>
  <c r="AC2481" i="7"/>
  <c r="AD2481" i="7"/>
  <c r="AE2481" i="7"/>
  <c r="Q2482" i="7"/>
  <c r="R2482" i="7"/>
  <c r="S2482" i="7"/>
  <c r="T2482" i="7"/>
  <c r="U2482" i="7"/>
  <c r="V2482" i="7"/>
  <c r="W2482" i="7"/>
  <c r="X2482" i="7"/>
  <c r="Y2482" i="7"/>
  <c r="Z2482" i="7"/>
  <c r="AA2482" i="7"/>
  <c r="AB2482" i="7"/>
  <c r="AC2482" i="7"/>
  <c r="AD2482" i="7"/>
  <c r="AE2482" i="7"/>
  <c r="Q2483" i="7"/>
  <c r="R2483" i="7"/>
  <c r="S2483" i="7"/>
  <c r="T2483" i="7"/>
  <c r="U2483" i="7"/>
  <c r="V2483" i="7"/>
  <c r="W2483" i="7"/>
  <c r="X2483" i="7"/>
  <c r="Y2483" i="7"/>
  <c r="Z2483" i="7"/>
  <c r="AA2483" i="7"/>
  <c r="AB2483" i="7"/>
  <c r="AC2483" i="7"/>
  <c r="AD2483" i="7"/>
  <c r="AE2483" i="7"/>
  <c r="Q2484" i="7"/>
  <c r="R2484" i="7"/>
  <c r="S2484" i="7"/>
  <c r="T2484" i="7"/>
  <c r="U2484" i="7"/>
  <c r="V2484" i="7"/>
  <c r="W2484" i="7"/>
  <c r="X2484" i="7"/>
  <c r="Y2484" i="7"/>
  <c r="Z2484" i="7"/>
  <c r="AA2484" i="7"/>
  <c r="AB2484" i="7"/>
  <c r="AC2484" i="7"/>
  <c r="AD2484" i="7"/>
  <c r="AE2484" i="7"/>
  <c r="Q2485" i="7"/>
  <c r="R2485" i="7"/>
  <c r="S2485" i="7"/>
  <c r="T2485" i="7"/>
  <c r="U2485" i="7"/>
  <c r="V2485" i="7"/>
  <c r="W2485" i="7"/>
  <c r="X2485" i="7"/>
  <c r="Y2485" i="7"/>
  <c r="Z2485" i="7"/>
  <c r="AA2485" i="7"/>
  <c r="AB2485" i="7"/>
  <c r="AC2485" i="7"/>
  <c r="AD2485" i="7"/>
  <c r="AE2485" i="7"/>
  <c r="Q2486" i="7"/>
  <c r="R2486" i="7"/>
  <c r="S2486" i="7"/>
  <c r="T2486" i="7"/>
  <c r="U2486" i="7"/>
  <c r="V2486" i="7"/>
  <c r="W2486" i="7"/>
  <c r="X2486" i="7"/>
  <c r="Y2486" i="7"/>
  <c r="Z2486" i="7"/>
  <c r="AA2486" i="7"/>
  <c r="AB2486" i="7"/>
  <c r="AC2486" i="7"/>
  <c r="AD2486" i="7"/>
  <c r="AE2486" i="7"/>
  <c r="Q2487" i="7"/>
  <c r="R2487" i="7"/>
  <c r="S2487" i="7"/>
  <c r="T2487" i="7"/>
  <c r="U2487" i="7"/>
  <c r="V2487" i="7"/>
  <c r="W2487" i="7"/>
  <c r="X2487" i="7"/>
  <c r="Y2487" i="7"/>
  <c r="Z2487" i="7"/>
  <c r="AA2487" i="7"/>
  <c r="AB2487" i="7"/>
  <c r="AC2487" i="7"/>
  <c r="AD2487" i="7"/>
  <c r="AE2487" i="7"/>
  <c r="Q2488" i="7"/>
  <c r="R2488" i="7"/>
  <c r="S2488" i="7"/>
  <c r="T2488" i="7"/>
  <c r="U2488" i="7"/>
  <c r="V2488" i="7"/>
  <c r="W2488" i="7"/>
  <c r="X2488" i="7"/>
  <c r="Y2488" i="7"/>
  <c r="Z2488" i="7"/>
  <c r="AA2488" i="7"/>
  <c r="AB2488" i="7"/>
  <c r="AC2488" i="7"/>
  <c r="AD2488" i="7"/>
  <c r="AE2488" i="7"/>
  <c r="Q2489" i="7"/>
  <c r="R2489" i="7"/>
  <c r="S2489" i="7"/>
  <c r="T2489" i="7"/>
  <c r="U2489" i="7"/>
  <c r="V2489" i="7"/>
  <c r="W2489" i="7"/>
  <c r="X2489" i="7"/>
  <c r="Y2489" i="7"/>
  <c r="Z2489" i="7"/>
  <c r="AA2489" i="7"/>
  <c r="AB2489" i="7"/>
  <c r="AC2489" i="7"/>
  <c r="AD2489" i="7"/>
  <c r="AE2489" i="7"/>
  <c r="Q2490" i="7"/>
  <c r="R2490" i="7"/>
  <c r="S2490" i="7"/>
  <c r="T2490" i="7"/>
  <c r="U2490" i="7"/>
  <c r="V2490" i="7"/>
  <c r="W2490" i="7"/>
  <c r="X2490" i="7"/>
  <c r="Y2490" i="7"/>
  <c r="Z2490" i="7"/>
  <c r="AA2490" i="7"/>
  <c r="AB2490" i="7"/>
  <c r="AC2490" i="7"/>
  <c r="AD2490" i="7"/>
  <c r="AE2490" i="7"/>
  <c r="Q2491" i="7"/>
  <c r="R2491" i="7"/>
  <c r="S2491" i="7"/>
  <c r="T2491" i="7"/>
  <c r="U2491" i="7"/>
  <c r="V2491" i="7"/>
  <c r="W2491" i="7"/>
  <c r="X2491" i="7"/>
  <c r="Y2491" i="7"/>
  <c r="Z2491" i="7"/>
  <c r="AA2491" i="7"/>
  <c r="AB2491" i="7"/>
  <c r="AC2491" i="7"/>
  <c r="AD2491" i="7"/>
  <c r="AE2491" i="7"/>
  <c r="Q2492" i="7"/>
  <c r="R2492" i="7"/>
  <c r="S2492" i="7"/>
  <c r="T2492" i="7"/>
  <c r="U2492" i="7"/>
  <c r="V2492" i="7"/>
  <c r="W2492" i="7"/>
  <c r="X2492" i="7"/>
  <c r="Y2492" i="7"/>
  <c r="Z2492" i="7"/>
  <c r="AA2492" i="7"/>
  <c r="AB2492" i="7"/>
  <c r="AC2492" i="7"/>
  <c r="AD2492" i="7"/>
  <c r="AE2492" i="7"/>
  <c r="Q2493" i="7"/>
  <c r="R2493" i="7"/>
  <c r="S2493" i="7"/>
  <c r="T2493" i="7"/>
  <c r="U2493" i="7"/>
  <c r="V2493" i="7"/>
  <c r="W2493" i="7"/>
  <c r="X2493" i="7"/>
  <c r="Y2493" i="7"/>
  <c r="Z2493" i="7"/>
  <c r="AA2493" i="7"/>
  <c r="AB2493" i="7"/>
  <c r="AC2493" i="7"/>
  <c r="AD2493" i="7"/>
  <c r="AE2493" i="7"/>
  <c r="Q2494" i="7"/>
  <c r="R2494" i="7"/>
  <c r="S2494" i="7"/>
  <c r="T2494" i="7"/>
  <c r="U2494" i="7"/>
  <c r="V2494" i="7"/>
  <c r="W2494" i="7"/>
  <c r="X2494" i="7"/>
  <c r="Y2494" i="7"/>
  <c r="Z2494" i="7"/>
  <c r="AA2494" i="7"/>
  <c r="AB2494" i="7"/>
  <c r="AC2494" i="7"/>
  <c r="AD2494" i="7"/>
  <c r="AE2494" i="7"/>
  <c r="Q2495" i="7"/>
  <c r="R2495" i="7"/>
  <c r="S2495" i="7"/>
  <c r="T2495" i="7"/>
  <c r="U2495" i="7"/>
  <c r="V2495" i="7"/>
  <c r="W2495" i="7"/>
  <c r="X2495" i="7"/>
  <c r="Y2495" i="7"/>
  <c r="Z2495" i="7"/>
  <c r="AA2495" i="7"/>
  <c r="AB2495" i="7"/>
  <c r="AC2495" i="7"/>
  <c r="AD2495" i="7"/>
  <c r="AE2495" i="7"/>
  <c r="Q2496" i="7"/>
  <c r="R2496" i="7"/>
  <c r="S2496" i="7"/>
  <c r="T2496" i="7"/>
  <c r="U2496" i="7"/>
  <c r="V2496" i="7"/>
  <c r="W2496" i="7"/>
  <c r="X2496" i="7"/>
  <c r="Y2496" i="7"/>
  <c r="Z2496" i="7"/>
  <c r="AA2496" i="7"/>
  <c r="AB2496" i="7"/>
  <c r="AC2496" i="7"/>
  <c r="AD2496" i="7"/>
  <c r="AE2496" i="7"/>
  <c r="Q2497" i="7"/>
  <c r="R2497" i="7"/>
  <c r="S2497" i="7"/>
  <c r="T2497" i="7"/>
  <c r="U2497" i="7"/>
  <c r="V2497" i="7"/>
  <c r="W2497" i="7"/>
  <c r="X2497" i="7"/>
  <c r="Y2497" i="7"/>
  <c r="Z2497" i="7"/>
  <c r="AA2497" i="7"/>
  <c r="AB2497" i="7"/>
  <c r="AC2497" i="7"/>
  <c r="AD2497" i="7"/>
  <c r="AE2497" i="7"/>
  <c r="Q2498" i="7"/>
  <c r="R2498" i="7"/>
  <c r="S2498" i="7"/>
  <c r="T2498" i="7"/>
  <c r="U2498" i="7"/>
  <c r="V2498" i="7"/>
  <c r="W2498" i="7"/>
  <c r="X2498" i="7"/>
  <c r="Y2498" i="7"/>
  <c r="Z2498" i="7"/>
  <c r="AA2498" i="7"/>
  <c r="AB2498" i="7"/>
  <c r="AC2498" i="7"/>
  <c r="AD2498" i="7"/>
  <c r="AE2498" i="7"/>
  <c r="Q2499" i="7"/>
  <c r="R2499" i="7"/>
  <c r="S2499" i="7"/>
  <c r="T2499" i="7"/>
  <c r="U2499" i="7"/>
  <c r="V2499" i="7"/>
  <c r="W2499" i="7"/>
  <c r="X2499" i="7"/>
  <c r="Y2499" i="7"/>
  <c r="Z2499" i="7"/>
  <c r="AA2499" i="7"/>
  <c r="AB2499" i="7"/>
  <c r="AC2499" i="7"/>
  <c r="AD2499" i="7"/>
  <c r="AE2499" i="7"/>
  <c r="Q2500" i="7"/>
  <c r="R2500" i="7"/>
  <c r="S2500" i="7"/>
  <c r="T2500" i="7"/>
  <c r="U2500" i="7"/>
  <c r="V2500" i="7"/>
  <c r="W2500" i="7"/>
  <c r="X2500" i="7"/>
  <c r="Y2500" i="7"/>
  <c r="Z2500" i="7"/>
  <c r="AA2500" i="7"/>
  <c r="AB2500" i="7"/>
  <c r="AC2500" i="7"/>
  <c r="AD2500" i="7"/>
  <c r="AE2500" i="7"/>
  <c r="Q2501" i="7"/>
  <c r="R2501" i="7"/>
  <c r="S2501" i="7"/>
  <c r="T2501" i="7"/>
  <c r="U2501" i="7"/>
  <c r="V2501" i="7"/>
  <c r="W2501" i="7"/>
  <c r="X2501" i="7"/>
  <c r="Y2501" i="7"/>
  <c r="Z2501" i="7"/>
  <c r="AA2501" i="7"/>
  <c r="AB2501" i="7"/>
  <c r="AC2501" i="7"/>
  <c r="AD2501" i="7"/>
  <c r="AE2501" i="7"/>
  <c r="Q2502" i="7"/>
  <c r="R2502" i="7"/>
  <c r="S2502" i="7"/>
  <c r="T2502" i="7"/>
  <c r="U2502" i="7"/>
  <c r="V2502" i="7"/>
  <c r="W2502" i="7"/>
  <c r="X2502" i="7"/>
  <c r="Y2502" i="7"/>
  <c r="Z2502" i="7"/>
  <c r="AA2502" i="7"/>
  <c r="AB2502" i="7"/>
  <c r="AC2502" i="7"/>
  <c r="AD2502" i="7"/>
  <c r="AE2502" i="7"/>
  <c r="Q2503" i="7"/>
  <c r="R2503" i="7"/>
  <c r="S2503" i="7"/>
  <c r="T2503" i="7"/>
  <c r="U2503" i="7"/>
  <c r="V2503" i="7"/>
  <c r="W2503" i="7"/>
  <c r="X2503" i="7"/>
  <c r="Y2503" i="7"/>
  <c r="Z2503" i="7"/>
  <c r="AA2503" i="7"/>
  <c r="AB2503" i="7"/>
  <c r="AC2503" i="7"/>
  <c r="AD2503" i="7"/>
  <c r="AE2503" i="7"/>
  <c r="Q2504" i="7"/>
  <c r="R2504" i="7"/>
  <c r="S2504" i="7"/>
  <c r="T2504" i="7"/>
  <c r="U2504" i="7"/>
  <c r="V2504" i="7"/>
  <c r="W2504" i="7"/>
  <c r="X2504" i="7"/>
  <c r="Y2504" i="7"/>
  <c r="Z2504" i="7"/>
  <c r="AA2504" i="7"/>
  <c r="AB2504" i="7"/>
  <c r="AC2504" i="7"/>
  <c r="AD2504" i="7"/>
  <c r="AE2504" i="7"/>
  <c r="Q2505" i="7"/>
  <c r="R2505" i="7"/>
  <c r="S2505" i="7"/>
  <c r="T2505" i="7"/>
  <c r="U2505" i="7"/>
  <c r="V2505" i="7"/>
  <c r="W2505" i="7"/>
  <c r="X2505" i="7"/>
  <c r="Y2505" i="7"/>
  <c r="Z2505" i="7"/>
  <c r="AA2505" i="7"/>
  <c r="AB2505" i="7"/>
  <c r="AC2505" i="7"/>
  <c r="AD2505" i="7"/>
  <c r="AE2505" i="7"/>
  <c r="Q2506" i="7"/>
  <c r="R2506" i="7"/>
  <c r="S2506" i="7"/>
  <c r="T2506" i="7"/>
  <c r="U2506" i="7"/>
  <c r="V2506" i="7"/>
  <c r="W2506" i="7"/>
  <c r="X2506" i="7"/>
  <c r="Y2506" i="7"/>
  <c r="Z2506" i="7"/>
  <c r="AA2506" i="7"/>
  <c r="AB2506" i="7"/>
  <c r="AC2506" i="7"/>
  <c r="AD2506" i="7"/>
  <c r="AE2506" i="7"/>
  <c r="Q2507" i="7"/>
  <c r="R2507" i="7"/>
  <c r="S2507" i="7"/>
  <c r="T2507" i="7"/>
  <c r="U2507" i="7"/>
  <c r="V2507" i="7"/>
  <c r="W2507" i="7"/>
  <c r="X2507" i="7"/>
  <c r="Y2507" i="7"/>
  <c r="Z2507" i="7"/>
  <c r="AA2507" i="7"/>
  <c r="AB2507" i="7"/>
  <c r="AC2507" i="7"/>
  <c r="AD2507" i="7"/>
  <c r="AE2507" i="7"/>
  <c r="Q2508" i="7"/>
  <c r="R2508" i="7"/>
  <c r="S2508" i="7"/>
  <c r="T2508" i="7"/>
  <c r="U2508" i="7"/>
  <c r="V2508" i="7"/>
  <c r="W2508" i="7"/>
  <c r="X2508" i="7"/>
  <c r="Y2508" i="7"/>
  <c r="Z2508" i="7"/>
  <c r="AA2508" i="7"/>
  <c r="AB2508" i="7"/>
  <c r="AC2508" i="7"/>
  <c r="AD2508" i="7"/>
  <c r="AE2508" i="7"/>
  <c r="Q2509" i="7"/>
  <c r="R2509" i="7"/>
  <c r="S2509" i="7"/>
  <c r="T2509" i="7"/>
  <c r="U2509" i="7"/>
  <c r="V2509" i="7"/>
  <c r="W2509" i="7"/>
  <c r="X2509" i="7"/>
  <c r="Y2509" i="7"/>
  <c r="Z2509" i="7"/>
  <c r="AA2509" i="7"/>
  <c r="AB2509" i="7"/>
  <c r="AC2509" i="7"/>
  <c r="AD2509" i="7"/>
  <c r="AE2509" i="7"/>
  <c r="Q2510" i="7"/>
  <c r="R2510" i="7"/>
  <c r="S2510" i="7"/>
  <c r="T2510" i="7"/>
  <c r="U2510" i="7"/>
  <c r="V2510" i="7"/>
  <c r="W2510" i="7"/>
  <c r="X2510" i="7"/>
  <c r="Y2510" i="7"/>
  <c r="Z2510" i="7"/>
  <c r="AA2510" i="7"/>
  <c r="AB2510" i="7"/>
  <c r="AC2510" i="7"/>
  <c r="AD2510" i="7"/>
  <c r="AE2510" i="7"/>
  <c r="Q2511" i="7"/>
  <c r="R2511" i="7"/>
  <c r="S2511" i="7"/>
  <c r="T2511" i="7"/>
  <c r="U2511" i="7"/>
  <c r="V2511" i="7"/>
  <c r="W2511" i="7"/>
  <c r="X2511" i="7"/>
  <c r="Y2511" i="7"/>
  <c r="Z2511" i="7"/>
  <c r="AA2511" i="7"/>
  <c r="AB2511" i="7"/>
  <c r="AC2511" i="7"/>
  <c r="AD2511" i="7"/>
  <c r="AE2511" i="7"/>
  <c r="Q2512" i="7"/>
  <c r="R2512" i="7"/>
  <c r="S2512" i="7"/>
  <c r="T2512" i="7"/>
  <c r="U2512" i="7"/>
  <c r="V2512" i="7"/>
  <c r="W2512" i="7"/>
  <c r="X2512" i="7"/>
  <c r="Y2512" i="7"/>
  <c r="Z2512" i="7"/>
  <c r="AA2512" i="7"/>
  <c r="AB2512" i="7"/>
  <c r="AC2512" i="7"/>
  <c r="AD2512" i="7"/>
  <c r="AE2512" i="7"/>
  <c r="Q2513" i="7"/>
  <c r="R2513" i="7"/>
  <c r="S2513" i="7"/>
  <c r="T2513" i="7"/>
  <c r="U2513" i="7"/>
  <c r="V2513" i="7"/>
  <c r="W2513" i="7"/>
  <c r="X2513" i="7"/>
  <c r="Y2513" i="7"/>
  <c r="Z2513" i="7"/>
  <c r="AA2513" i="7"/>
  <c r="AB2513" i="7"/>
  <c r="AC2513" i="7"/>
  <c r="AD2513" i="7"/>
  <c r="AE2513" i="7"/>
  <c r="Q2514" i="7"/>
  <c r="R2514" i="7"/>
  <c r="S2514" i="7"/>
  <c r="T2514" i="7"/>
  <c r="U2514" i="7"/>
  <c r="V2514" i="7"/>
  <c r="W2514" i="7"/>
  <c r="X2514" i="7"/>
  <c r="Y2514" i="7"/>
  <c r="Z2514" i="7"/>
  <c r="AA2514" i="7"/>
  <c r="AB2514" i="7"/>
  <c r="AC2514" i="7"/>
  <c r="AD2514" i="7"/>
  <c r="AE2514" i="7"/>
  <c r="Q2515" i="7"/>
  <c r="R2515" i="7"/>
  <c r="S2515" i="7"/>
  <c r="T2515" i="7"/>
  <c r="U2515" i="7"/>
  <c r="V2515" i="7"/>
  <c r="W2515" i="7"/>
  <c r="X2515" i="7"/>
  <c r="Y2515" i="7"/>
  <c r="Z2515" i="7"/>
  <c r="AA2515" i="7"/>
  <c r="AB2515" i="7"/>
  <c r="AC2515" i="7"/>
  <c r="AD2515" i="7"/>
  <c r="AE2515" i="7"/>
  <c r="Q2516" i="7"/>
  <c r="R2516" i="7"/>
  <c r="S2516" i="7"/>
  <c r="T2516" i="7"/>
  <c r="U2516" i="7"/>
  <c r="V2516" i="7"/>
  <c r="W2516" i="7"/>
  <c r="X2516" i="7"/>
  <c r="Y2516" i="7"/>
  <c r="Z2516" i="7"/>
  <c r="AA2516" i="7"/>
  <c r="AB2516" i="7"/>
  <c r="AC2516" i="7"/>
  <c r="AD2516" i="7"/>
  <c r="AE2516" i="7"/>
  <c r="Q2517" i="7"/>
  <c r="R2517" i="7"/>
  <c r="S2517" i="7"/>
  <c r="T2517" i="7"/>
  <c r="U2517" i="7"/>
  <c r="V2517" i="7"/>
  <c r="W2517" i="7"/>
  <c r="X2517" i="7"/>
  <c r="Y2517" i="7"/>
  <c r="Z2517" i="7"/>
  <c r="AA2517" i="7"/>
  <c r="AB2517" i="7"/>
  <c r="AC2517" i="7"/>
  <c r="AD2517" i="7"/>
  <c r="AE2517" i="7"/>
  <c r="Q2518" i="7"/>
  <c r="R2518" i="7"/>
  <c r="S2518" i="7"/>
  <c r="T2518" i="7"/>
  <c r="U2518" i="7"/>
  <c r="V2518" i="7"/>
  <c r="W2518" i="7"/>
  <c r="X2518" i="7"/>
  <c r="Y2518" i="7"/>
  <c r="Z2518" i="7"/>
  <c r="AA2518" i="7"/>
  <c r="AB2518" i="7"/>
  <c r="AC2518" i="7"/>
  <c r="AD2518" i="7"/>
  <c r="AE2518" i="7"/>
  <c r="Q2519" i="7"/>
  <c r="R2519" i="7"/>
  <c r="S2519" i="7"/>
  <c r="T2519" i="7"/>
  <c r="U2519" i="7"/>
  <c r="V2519" i="7"/>
  <c r="W2519" i="7"/>
  <c r="X2519" i="7"/>
  <c r="Y2519" i="7"/>
  <c r="Z2519" i="7"/>
  <c r="AA2519" i="7"/>
  <c r="AB2519" i="7"/>
  <c r="AC2519" i="7"/>
  <c r="AD2519" i="7"/>
  <c r="AE2519" i="7"/>
  <c r="Q2520" i="7"/>
  <c r="R2520" i="7"/>
  <c r="S2520" i="7"/>
  <c r="T2520" i="7"/>
  <c r="U2520" i="7"/>
  <c r="V2520" i="7"/>
  <c r="W2520" i="7"/>
  <c r="X2520" i="7"/>
  <c r="Y2520" i="7"/>
  <c r="Z2520" i="7"/>
  <c r="AA2520" i="7"/>
  <c r="AB2520" i="7"/>
  <c r="AC2520" i="7"/>
  <c r="AD2520" i="7"/>
  <c r="AE2520" i="7"/>
  <c r="Q2521" i="7"/>
  <c r="R2521" i="7"/>
  <c r="S2521" i="7"/>
  <c r="T2521" i="7"/>
  <c r="U2521" i="7"/>
  <c r="V2521" i="7"/>
  <c r="W2521" i="7"/>
  <c r="X2521" i="7"/>
  <c r="Y2521" i="7"/>
  <c r="Z2521" i="7"/>
  <c r="AA2521" i="7"/>
  <c r="AB2521" i="7"/>
  <c r="AC2521" i="7"/>
  <c r="AD2521" i="7"/>
  <c r="AE2521" i="7"/>
  <c r="Q2522" i="7"/>
  <c r="R2522" i="7"/>
  <c r="S2522" i="7"/>
  <c r="T2522" i="7"/>
  <c r="U2522" i="7"/>
  <c r="V2522" i="7"/>
  <c r="W2522" i="7"/>
  <c r="X2522" i="7"/>
  <c r="Y2522" i="7"/>
  <c r="Z2522" i="7"/>
  <c r="AA2522" i="7"/>
  <c r="AB2522" i="7"/>
  <c r="AC2522" i="7"/>
  <c r="AD2522" i="7"/>
  <c r="AE2522" i="7"/>
  <c r="Q2523" i="7"/>
  <c r="R2523" i="7"/>
  <c r="S2523" i="7"/>
  <c r="T2523" i="7"/>
  <c r="U2523" i="7"/>
  <c r="V2523" i="7"/>
  <c r="W2523" i="7"/>
  <c r="X2523" i="7"/>
  <c r="Y2523" i="7"/>
  <c r="Z2523" i="7"/>
  <c r="AA2523" i="7"/>
  <c r="AB2523" i="7"/>
  <c r="AC2523" i="7"/>
  <c r="AD2523" i="7"/>
  <c r="AE2523" i="7"/>
  <c r="Q2524" i="7"/>
  <c r="R2524" i="7"/>
  <c r="S2524" i="7"/>
  <c r="T2524" i="7"/>
  <c r="U2524" i="7"/>
  <c r="V2524" i="7"/>
  <c r="W2524" i="7"/>
  <c r="X2524" i="7"/>
  <c r="Y2524" i="7"/>
  <c r="Z2524" i="7"/>
  <c r="AA2524" i="7"/>
  <c r="AB2524" i="7"/>
  <c r="AC2524" i="7"/>
  <c r="AD2524" i="7"/>
  <c r="AE2524" i="7"/>
  <c r="Q2525" i="7"/>
  <c r="R2525" i="7"/>
  <c r="S2525" i="7"/>
  <c r="T2525" i="7"/>
  <c r="U2525" i="7"/>
  <c r="V2525" i="7"/>
  <c r="W2525" i="7"/>
  <c r="X2525" i="7"/>
  <c r="Y2525" i="7"/>
  <c r="Z2525" i="7"/>
  <c r="AA2525" i="7"/>
  <c r="AB2525" i="7"/>
  <c r="AC2525" i="7"/>
  <c r="AD2525" i="7"/>
  <c r="AE2525" i="7"/>
  <c r="Q2526" i="7"/>
  <c r="R2526" i="7"/>
  <c r="S2526" i="7"/>
  <c r="T2526" i="7"/>
  <c r="U2526" i="7"/>
  <c r="V2526" i="7"/>
  <c r="W2526" i="7"/>
  <c r="X2526" i="7"/>
  <c r="Y2526" i="7"/>
  <c r="Z2526" i="7"/>
  <c r="AA2526" i="7"/>
  <c r="AB2526" i="7"/>
  <c r="AC2526" i="7"/>
  <c r="AD2526" i="7"/>
  <c r="AE2526" i="7"/>
  <c r="Q2527" i="7"/>
  <c r="R2527" i="7"/>
  <c r="S2527" i="7"/>
  <c r="T2527" i="7"/>
  <c r="U2527" i="7"/>
  <c r="V2527" i="7"/>
  <c r="W2527" i="7"/>
  <c r="X2527" i="7"/>
  <c r="Y2527" i="7"/>
  <c r="Z2527" i="7"/>
  <c r="AA2527" i="7"/>
  <c r="AB2527" i="7"/>
  <c r="AC2527" i="7"/>
  <c r="AD2527" i="7"/>
  <c r="AE2527" i="7"/>
  <c r="Q2528" i="7"/>
  <c r="R2528" i="7"/>
  <c r="S2528" i="7"/>
  <c r="T2528" i="7"/>
  <c r="U2528" i="7"/>
  <c r="V2528" i="7"/>
  <c r="W2528" i="7"/>
  <c r="X2528" i="7"/>
  <c r="Y2528" i="7"/>
  <c r="Z2528" i="7"/>
  <c r="AA2528" i="7"/>
  <c r="AB2528" i="7"/>
  <c r="AC2528" i="7"/>
  <c r="AD2528" i="7"/>
  <c r="AE2528" i="7"/>
  <c r="Q2529" i="7"/>
  <c r="R2529" i="7"/>
  <c r="S2529" i="7"/>
  <c r="T2529" i="7"/>
  <c r="U2529" i="7"/>
  <c r="V2529" i="7"/>
  <c r="W2529" i="7"/>
  <c r="X2529" i="7"/>
  <c r="Y2529" i="7"/>
  <c r="Z2529" i="7"/>
  <c r="AA2529" i="7"/>
  <c r="AB2529" i="7"/>
  <c r="AC2529" i="7"/>
  <c r="AD2529" i="7"/>
  <c r="AE2529" i="7"/>
  <c r="Q2530" i="7"/>
  <c r="R2530" i="7"/>
  <c r="S2530" i="7"/>
  <c r="T2530" i="7"/>
  <c r="U2530" i="7"/>
  <c r="V2530" i="7"/>
  <c r="W2530" i="7"/>
  <c r="X2530" i="7"/>
  <c r="Y2530" i="7"/>
  <c r="Z2530" i="7"/>
  <c r="AA2530" i="7"/>
  <c r="AB2530" i="7"/>
  <c r="AC2530" i="7"/>
  <c r="AD2530" i="7"/>
  <c r="AE2530" i="7"/>
  <c r="Q2531" i="7"/>
  <c r="R2531" i="7"/>
  <c r="S2531" i="7"/>
  <c r="T2531" i="7"/>
  <c r="U2531" i="7"/>
  <c r="V2531" i="7"/>
  <c r="W2531" i="7"/>
  <c r="X2531" i="7"/>
  <c r="Y2531" i="7"/>
  <c r="Z2531" i="7"/>
  <c r="AA2531" i="7"/>
  <c r="AB2531" i="7"/>
  <c r="AC2531" i="7"/>
  <c r="AD2531" i="7"/>
  <c r="AE2531" i="7"/>
  <c r="Q2532" i="7"/>
  <c r="R2532" i="7"/>
  <c r="S2532" i="7"/>
  <c r="T2532" i="7"/>
  <c r="U2532" i="7"/>
  <c r="V2532" i="7"/>
  <c r="W2532" i="7"/>
  <c r="X2532" i="7"/>
  <c r="Y2532" i="7"/>
  <c r="Z2532" i="7"/>
  <c r="AA2532" i="7"/>
  <c r="AB2532" i="7"/>
  <c r="AC2532" i="7"/>
  <c r="AD2532" i="7"/>
  <c r="AE2532" i="7"/>
  <c r="Q2533" i="7"/>
  <c r="R2533" i="7"/>
  <c r="S2533" i="7"/>
  <c r="T2533" i="7"/>
  <c r="U2533" i="7"/>
  <c r="V2533" i="7"/>
  <c r="W2533" i="7"/>
  <c r="X2533" i="7"/>
  <c r="Y2533" i="7"/>
  <c r="Z2533" i="7"/>
  <c r="AA2533" i="7"/>
  <c r="AB2533" i="7"/>
  <c r="AC2533" i="7"/>
  <c r="AD2533" i="7"/>
  <c r="AE2533" i="7"/>
  <c r="Q2534" i="7"/>
  <c r="R2534" i="7"/>
  <c r="S2534" i="7"/>
  <c r="T2534" i="7"/>
  <c r="U2534" i="7"/>
  <c r="V2534" i="7"/>
  <c r="W2534" i="7"/>
  <c r="X2534" i="7"/>
  <c r="Y2534" i="7"/>
  <c r="Z2534" i="7"/>
  <c r="AA2534" i="7"/>
  <c r="AB2534" i="7"/>
  <c r="AC2534" i="7"/>
  <c r="AD2534" i="7"/>
  <c r="AE2534" i="7"/>
  <c r="Q2535" i="7"/>
  <c r="R2535" i="7"/>
  <c r="S2535" i="7"/>
  <c r="T2535" i="7"/>
  <c r="U2535" i="7"/>
  <c r="V2535" i="7"/>
  <c r="W2535" i="7"/>
  <c r="X2535" i="7"/>
  <c r="Y2535" i="7"/>
  <c r="Z2535" i="7"/>
  <c r="AA2535" i="7"/>
  <c r="AB2535" i="7"/>
  <c r="AC2535" i="7"/>
  <c r="AD2535" i="7"/>
  <c r="AE2535" i="7"/>
  <c r="Q2536" i="7"/>
  <c r="R2536" i="7"/>
  <c r="S2536" i="7"/>
  <c r="T2536" i="7"/>
  <c r="U2536" i="7"/>
  <c r="V2536" i="7"/>
  <c r="W2536" i="7"/>
  <c r="X2536" i="7"/>
  <c r="Y2536" i="7"/>
  <c r="Z2536" i="7"/>
  <c r="AA2536" i="7"/>
  <c r="AB2536" i="7"/>
  <c r="AC2536" i="7"/>
  <c r="AD2536" i="7"/>
  <c r="AE2536" i="7"/>
  <c r="Q2537" i="7"/>
  <c r="R2537" i="7"/>
  <c r="S2537" i="7"/>
  <c r="T2537" i="7"/>
  <c r="U2537" i="7"/>
  <c r="V2537" i="7"/>
  <c r="W2537" i="7"/>
  <c r="X2537" i="7"/>
  <c r="Y2537" i="7"/>
  <c r="Z2537" i="7"/>
  <c r="AA2537" i="7"/>
  <c r="AB2537" i="7"/>
  <c r="AC2537" i="7"/>
  <c r="AD2537" i="7"/>
  <c r="AE2537" i="7"/>
  <c r="Q2538" i="7"/>
  <c r="R2538" i="7"/>
  <c r="S2538" i="7"/>
  <c r="T2538" i="7"/>
  <c r="U2538" i="7"/>
  <c r="V2538" i="7"/>
  <c r="W2538" i="7"/>
  <c r="X2538" i="7"/>
  <c r="Y2538" i="7"/>
  <c r="Z2538" i="7"/>
  <c r="AA2538" i="7"/>
  <c r="AB2538" i="7"/>
  <c r="AC2538" i="7"/>
  <c r="AD2538" i="7"/>
  <c r="AE2538" i="7"/>
  <c r="Q2539" i="7"/>
  <c r="R2539" i="7"/>
  <c r="S2539" i="7"/>
  <c r="T2539" i="7"/>
  <c r="U2539" i="7"/>
  <c r="V2539" i="7"/>
  <c r="W2539" i="7"/>
  <c r="X2539" i="7"/>
  <c r="Y2539" i="7"/>
  <c r="Z2539" i="7"/>
  <c r="AA2539" i="7"/>
  <c r="AB2539" i="7"/>
  <c r="AC2539" i="7"/>
  <c r="AD2539" i="7"/>
  <c r="AE2539" i="7"/>
  <c r="Q2540" i="7"/>
  <c r="R2540" i="7"/>
  <c r="S2540" i="7"/>
  <c r="T2540" i="7"/>
  <c r="U2540" i="7"/>
  <c r="V2540" i="7"/>
  <c r="W2540" i="7"/>
  <c r="X2540" i="7"/>
  <c r="Y2540" i="7"/>
  <c r="Z2540" i="7"/>
  <c r="AA2540" i="7"/>
  <c r="AB2540" i="7"/>
  <c r="AC2540" i="7"/>
  <c r="AD2540" i="7"/>
  <c r="AE2540" i="7"/>
  <c r="Q2541" i="7"/>
  <c r="R2541" i="7"/>
  <c r="S2541" i="7"/>
  <c r="T2541" i="7"/>
  <c r="U2541" i="7"/>
  <c r="V2541" i="7"/>
  <c r="W2541" i="7"/>
  <c r="X2541" i="7"/>
  <c r="Y2541" i="7"/>
  <c r="Z2541" i="7"/>
  <c r="AA2541" i="7"/>
  <c r="AB2541" i="7"/>
  <c r="AC2541" i="7"/>
  <c r="AD2541" i="7"/>
  <c r="AE2541" i="7"/>
  <c r="Q2542" i="7"/>
  <c r="R2542" i="7"/>
  <c r="S2542" i="7"/>
  <c r="T2542" i="7"/>
  <c r="U2542" i="7"/>
  <c r="V2542" i="7"/>
  <c r="W2542" i="7"/>
  <c r="X2542" i="7"/>
  <c r="Y2542" i="7"/>
  <c r="Z2542" i="7"/>
  <c r="AA2542" i="7"/>
  <c r="AB2542" i="7"/>
  <c r="AC2542" i="7"/>
  <c r="AD2542" i="7"/>
  <c r="AE2542" i="7"/>
  <c r="Q2543" i="7"/>
  <c r="R2543" i="7"/>
  <c r="S2543" i="7"/>
  <c r="T2543" i="7"/>
  <c r="U2543" i="7"/>
  <c r="V2543" i="7"/>
  <c r="W2543" i="7"/>
  <c r="X2543" i="7"/>
  <c r="Y2543" i="7"/>
  <c r="Z2543" i="7"/>
  <c r="AA2543" i="7"/>
  <c r="AB2543" i="7"/>
  <c r="AC2543" i="7"/>
  <c r="AD2543" i="7"/>
  <c r="AE2543" i="7"/>
  <c r="Q2544" i="7"/>
  <c r="R2544" i="7"/>
  <c r="S2544" i="7"/>
  <c r="T2544" i="7"/>
  <c r="U2544" i="7"/>
  <c r="V2544" i="7"/>
  <c r="W2544" i="7"/>
  <c r="X2544" i="7"/>
  <c r="Y2544" i="7"/>
  <c r="Z2544" i="7"/>
  <c r="AA2544" i="7"/>
  <c r="AB2544" i="7"/>
  <c r="AC2544" i="7"/>
  <c r="AD2544" i="7"/>
  <c r="AE2544" i="7"/>
  <c r="Q2545" i="7"/>
  <c r="R2545" i="7"/>
  <c r="S2545" i="7"/>
  <c r="T2545" i="7"/>
  <c r="U2545" i="7"/>
  <c r="V2545" i="7"/>
  <c r="W2545" i="7"/>
  <c r="X2545" i="7"/>
  <c r="Y2545" i="7"/>
  <c r="Z2545" i="7"/>
  <c r="AA2545" i="7"/>
  <c r="AB2545" i="7"/>
  <c r="AC2545" i="7"/>
  <c r="AD2545" i="7"/>
  <c r="AE2545" i="7"/>
  <c r="Q2546" i="7"/>
  <c r="R2546" i="7"/>
  <c r="S2546" i="7"/>
  <c r="T2546" i="7"/>
  <c r="U2546" i="7"/>
  <c r="V2546" i="7"/>
  <c r="W2546" i="7"/>
  <c r="X2546" i="7"/>
  <c r="Y2546" i="7"/>
  <c r="Z2546" i="7"/>
  <c r="AA2546" i="7"/>
  <c r="AB2546" i="7"/>
  <c r="AC2546" i="7"/>
  <c r="AD2546" i="7"/>
  <c r="AE2546" i="7"/>
  <c r="Q2547" i="7"/>
  <c r="R2547" i="7"/>
  <c r="S2547" i="7"/>
  <c r="T2547" i="7"/>
  <c r="U2547" i="7"/>
  <c r="V2547" i="7"/>
  <c r="W2547" i="7"/>
  <c r="X2547" i="7"/>
  <c r="Y2547" i="7"/>
  <c r="Z2547" i="7"/>
  <c r="AA2547" i="7"/>
  <c r="AB2547" i="7"/>
  <c r="AC2547" i="7"/>
  <c r="AD2547" i="7"/>
  <c r="AE2547" i="7"/>
  <c r="Q2548" i="7"/>
  <c r="R2548" i="7"/>
  <c r="S2548" i="7"/>
  <c r="T2548" i="7"/>
  <c r="U2548" i="7"/>
  <c r="V2548" i="7"/>
  <c r="W2548" i="7"/>
  <c r="X2548" i="7"/>
  <c r="Y2548" i="7"/>
  <c r="Z2548" i="7"/>
  <c r="AA2548" i="7"/>
  <c r="AB2548" i="7"/>
  <c r="AC2548" i="7"/>
  <c r="AD2548" i="7"/>
  <c r="AE2548" i="7"/>
  <c r="Q2549" i="7"/>
  <c r="R2549" i="7"/>
  <c r="S2549" i="7"/>
  <c r="T2549" i="7"/>
  <c r="U2549" i="7"/>
  <c r="V2549" i="7"/>
  <c r="W2549" i="7"/>
  <c r="X2549" i="7"/>
  <c r="Y2549" i="7"/>
  <c r="Z2549" i="7"/>
  <c r="AA2549" i="7"/>
  <c r="AB2549" i="7"/>
  <c r="AC2549" i="7"/>
  <c r="AD2549" i="7"/>
  <c r="AE2549" i="7"/>
  <c r="Q2550" i="7"/>
  <c r="R2550" i="7"/>
  <c r="S2550" i="7"/>
  <c r="T2550" i="7"/>
  <c r="U2550" i="7"/>
  <c r="V2550" i="7"/>
  <c r="W2550" i="7"/>
  <c r="X2550" i="7"/>
  <c r="Y2550" i="7"/>
  <c r="Z2550" i="7"/>
  <c r="AA2550" i="7"/>
  <c r="AB2550" i="7"/>
  <c r="AC2550" i="7"/>
  <c r="AD2550" i="7"/>
  <c r="AE2550" i="7"/>
  <c r="Q2551" i="7"/>
  <c r="R2551" i="7"/>
  <c r="S2551" i="7"/>
  <c r="T2551" i="7"/>
  <c r="U2551" i="7"/>
  <c r="V2551" i="7"/>
  <c r="W2551" i="7"/>
  <c r="X2551" i="7"/>
  <c r="Y2551" i="7"/>
  <c r="Z2551" i="7"/>
  <c r="AA2551" i="7"/>
  <c r="AB2551" i="7"/>
  <c r="AC2551" i="7"/>
  <c r="AD2551" i="7"/>
  <c r="AE2551" i="7"/>
  <c r="Q2552" i="7"/>
  <c r="R2552" i="7"/>
  <c r="S2552" i="7"/>
  <c r="T2552" i="7"/>
  <c r="U2552" i="7"/>
  <c r="V2552" i="7"/>
  <c r="W2552" i="7"/>
  <c r="X2552" i="7"/>
  <c r="Y2552" i="7"/>
  <c r="Z2552" i="7"/>
  <c r="AA2552" i="7"/>
  <c r="AB2552" i="7"/>
  <c r="AC2552" i="7"/>
  <c r="AD2552" i="7"/>
  <c r="AE2552" i="7"/>
  <c r="Q2553" i="7"/>
  <c r="R2553" i="7"/>
  <c r="S2553" i="7"/>
  <c r="T2553" i="7"/>
  <c r="U2553" i="7"/>
  <c r="V2553" i="7"/>
  <c r="W2553" i="7"/>
  <c r="X2553" i="7"/>
  <c r="Y2553" i="7"/>
  <c r="Z2553" i="7"/>
  <c r="AA2553" i="7"/>
  <c r="AB2553" i="7"/>
  <c r="AC2553" i="7"/>
  <c r="AD2553" i="7"/>
  <c r="AE2553" i="7"/>
  <c r="Q2554" i="7"/>
  <c r="R2554" i="7"/>
  <c r="S2554" i="7"/>
  <c r="T2554" i="7"/>
  <c r="U2554" i="7"/>
  <c r="V2554" i="7"/>
  <c r="W2554" i="7"/>
  <c r="X2554" i="7"/>
  <c r="Y2554" i="7"/>
  <c r="Z2554" i="7"/>
  <c r="AA2554" i="7"/>
  <c r="AB2554" i="7"/>
  <c r="AC2554" i="7"/>
  <c r="AD2554" i="7"/>
  <c r="AE2554" i="7"/>
  <c r="Q2555" i="7"/>
  <c r="R2555" i="7"/>
  <c r="S2555" i="7"/>
  <c r="T2555" i="7"/>
  <c r="U2555" i="7"/>
  <c r="V2555" i="7"/>
  <c r="W2555" i="7"/>
  <c r="X2555" i="7"/>
  <c r="Y2555" i="7"/>
  <c r="Z2555" i="7"/>
  <c r="AA2555" i="7"/>
  <c r="AB2555" i="7"/>
  <c r="AC2555" i="7"/>
  <c r="AD2555" i="7"/>
  <c r="AE2555" i="7"/>
  <c r="Q2556" i="7"/>
  <c r="R2556" i="7"/>
  <c r="S2556" i="7"/>
  <c r="T2556" i="7"/>
  <c r="U2556" i="7"/>
  <c r="V2556" i="7"/>
  <c r="W2556" i="7"/>
  <c r="X2556" i="7"/>
  <c r="Y2556" i="7"/>
  <c r="Z2556" i="7"/>
  <c r="AA2556" i="7"/>
  <c r="AB2556" i="7"/>
  <c r="AC2556" i="7"/>
  <c r="AD2556" i="7"/>
  <c r="AE2556" i="7"/>
  <c r="Q2557" i="7"/>
  <c r="R2557" i="7"/>
  <c r="S2557" i="7"/>
  <c r="T2557" i="7"/>
  <c r="U2557" i="7"/>
  <c r="V2557" i="7"/>
  <c r="W2557" i="7"/>
  <c r="X2557" i="7"/>
  <c r="Y2557" i="7"/>
  <c r="Z2557" i="7"/>
  <c r="AA2557" i="7"/>
  <c r="AB2557" i="7"/>
  <c r="AC2557" i="7"/>
  <c r="AD2557" i="7"/>
  <c r="AE2557" i="7"/>
  <c r="Q2558" i="7"/>
  <c r="R2558" i="7"/>
  <c r="S2558" i="7"/>
  <c r="T2558" i="7"/>
  <c r="U2558" i="7"/>
  <c r="V2558" i="7"/>
  <c r="W2558" i="7"/>
  <c r="X2558" i="7"/>
  <c r="Y2558" i="7"/>
  <c r="Z2558" i="7"/>
  <c r="AA2558" i="7"/>
  <c r="AB2558" i="7"/>
  <c r="AC2558" i="7"/>
  <c r="AD2558" i="7"/>
  <c r="AE2558" i="7"/>
  <c r="Q2559" i="7"/>
  <c r="R2559" i="7"/>
  <c r="S2559" i="7"/>
  <c r="T2559" i="7"/>
  <c r="U2559" i="7"/>
  <c r="V2559" i="7"/>
  <c r="W2559" i="7"/>
  <c r="X2559" i="7"/>
  <c r="Y2559" i="7"/>
  <c r="Z2559" i="7"/>
  <c r="AA2559" i="7"/>
  <c r="AB2559" i="7"/>
  <c r="AC2559" i="7"/>
  <c r="AD2559" i="7"/>
  <c r="AE2559" i="7"/>
  <c r="Q2560" i="7"/>
  <c r="R2560" i="7"/>
  <c r="S2560" i="7"/>
  <c r="T2560" i="7"/>
  <c r="U2560" i="7"/>
  <c r="V2560" i="7"/>
  <c r="W2560" i="7"/>
  <c r="X2560" i="7"/>
  <c r="Y2560" i="7"/>
  <c r="Z2560" i="7"/>
  <c r="AA2560" i="7"/>
  <c r="AB2560" i="7"/>
  <c r="AC2560" i="7"/>
  <c r="AD2560" i="7"/>
  <c r="AE2560" i="7"/>
  <c r="Q2561" i="7"/>
  <c r="R2561" i="7"/>
  <c r="S2561" i="7"/>
  <c r="T2561" i="7"/>
  <c r="U2561" i="7"/>
  <c r="V2561" i="7"/>
  <c r="W2561" i="7"/>
  <c r="X2561" i="7"/>
  <c r="Y2561" i="7"/>
  <c r="Z2561" i="7"/>
  <c r="AA2561" i="7"/>
  <c r="AB2561" i="7"/>
  <c r="AC2561" i="7"/>
  <c r="AD2561" i="7"/>
  <c r="AE2561" i="7"/>
  <c r="Q2562" i="7"/>
  <c r="R2562" i="7"/>
  <c r="S2562" i="7"/>
  <c r="T2562" i="7"/>
  <c r="U2562" i="7"/>
  <c r="V2562" i="7"/>
  <c r="W2562" i="7"/>
  <c r="X2562" i="7"/>
  <c r="Y2562" i="7"/>
  <c r="Z2562" i="7"/>
  <c r="AA2562" i="7"/>
  <c r="AB2562" i="7"/>
  <c r="AC2562" i="7"/>
  <c r="AD2562" i="7"/>
  <c r="AE2562" i="7"/>
  <c r="Q2563" i="7"/>
  <c r="R2563" i="7"/>
  <c r="S2563" i="7"/>
  <c r="T2563" i="7"/>
  <c r="U2563" i="7"/>
  <c r="V2563" i="7"/>
  <c r="W2563" i="7"/>
  <c r="X2563" i="7"/>
  <c r="Y2563" i="7"/>
  <c r="Z2563" i="7"/>
  <c r="AA2563" i="7"/>
  <c r="AB2563" i="7"/>
  <c r="AC2563" i="7"/>
  <c r="AD2563" i="7"/>
  <c r="AE2563" i="7"/>
  <c r="Q2564" i="7"/>
  <c r="R2564" i="7"/>
  <c r="S2564" i="7"/>
  <c r="T2564" i="7"/>
  <c r="U2564" i="7"/>
  <c r="V2564" i="7"/>
  <c r="W2564" i="7"/>
  <c r="X2564" i="7"/>
  <c r="Y2564" i="7"/>
  <c r="Z2564" i="7"/>
  <c r="AA2564" i="7"/>
  <c r="AB2564" i="7"/>
  <c r="AC2564" i="7"/>
  <c r="AD2564" i="7"/>
  <c r="AE2564" i="7"/>
  <c r="Q2565" i="7"/>
  <c r="R2565" i="7"/>
  <c r="S2565" i="7"/>
  <c r="T2565" i="7"/>
  <c r="U2565" i="7"/>
  <c r="V2565" i="7"/>
  <c r="W2565" i="7"/>
  <c r="X2565" i="7"/>
  <c r="Y2565" i="7"/>
  <c r="Z2565" i="7"/>
  <c r="AA2565" i="7"/>
  <c r="AB2565" i="7"/>
  <c r="AC2565" i="7"/>
  <c r="AD2565" i="7"/>
  <c r="AE2565" i="7"/>
  <c r="Q2566" i="7"/>
  <c r="R2566" i="7"/>
  <c r="S2566" i="7"/>
  <c r="T2566" i="7"/>
  <c r="U2566" i="7"/>
  <c r="V2566" i="7"/>
  <c r="W2566" i="7"/>
  <c r="X2566" i="7"/>
  <c r="Y2566" i="7"/>
  <c r="Z2566" i="7"/>
  <c r="AA2566" i="7"/>
  <c r="AB2566" i="7"/>
  <c r="AC2566" i="7"/>
  <c r="AD2566" i="7"/>
  <c r="AE2566" i="7"/>
  <c r="Q2567" i="7"/>
  <c r="R2567" i="7"/>
  <c r="S2567" i="7"/>
  <c r="T2567" i="7"/>
  <c r="U2567" i="7"/>
  <c r="V2567" i="7"/>
  <c r="W2567" i="7"/>
  <c r="X2567" i="7"/>
  <c r="Y2567" i="7"/>
  <c r="Z2567" i="7"/>
  <c r="AA2567" i="7"/>
  <c r="AB2567" i="7"/>
  <c r="AC2567" i="7"/>
  <c r="AD2567" i="7"/>
  <c r="AE2567" i="7"/>
  <c r="Q2568" i="7"/>
  <c r="R2568" i="7"/>
  <c r="S2568" i="7"/>
  <c r="T2568" i="7"/>
  <c r="U2568" i="7"/>
  <c r="V2568" i="7"/>
  <c r="W2568" i="7"/>
  <c r="X2568" i="7"/>
  <c r="Y2568" i="7"/>
  <c r="Z2568" i="7"/>
  <c r="AA2568" i="7"/>
  <c r="AB2568" i="7"/>
  <c r="AC2568" i="7"/>
  <c r="AD2568" i="7"/>
  <c r="AE2568" i="7"/>
  <c r="Q2569" i="7"/>
  <c r="R2569" i="7"/>
  <c r="S2569" i="7"/>
  <c r="T2569" i="7"/>
  <c r="U2569" i="7"/>
  <c r="V2569" i="7"/>
  <c r="W2569" i="7"/>
  <c r="X2569" i="7"/>
  <c r="Y2569" i="7"/>
  <c r="Z2569" i="7"/>
  <c r="AA2569" i="7"/>
  <c r="AB2569" i="7"/>
  <c r="AC2569" i="7"/>
  <c r="AD2569" i="7"/>
  <c r="AE2569" i="7"/>
  <c r="Q2570" i="7"/>
  <c r="R2570" i="7"/>
  <c r="S2570" i="7"/>
  <c r="T2570" i="7"/>
  <c r="U2570" i="7"/>
  <c r="V2570" i="7"/>
  <c r="W2570" i="7"/>
  <c r="X2570" i="7"/>
  <c r="Y2570" i="7"/>
  <c r="Z2570" i="7"/>
  <c r="AA2570" i="7"/>
  <c r="AB2570" i="7"/>
  <c r="AC2570" i="7"/>
  <c r="AD2570" i="7"/>
  <c r="AE2570" i="7"/>
  <c r="Q2571" i="7"/>
  <c r="R2571" i="7"/>
  <c r="S2571" i="7"/>
  <c r="T2571" i="7"/>
  <c r="U2571" i="7"/>
  <c r="V2571" i="7"/>
  <c r="W2571" i="7"/>
  <c r="X2571" i="7"/>
  <c r="Y2571" i="7"/>
  <c r="Z2571" i="7"/>
  <c r="AA2571" i="7"/>
  <c r="AB2571" i="7"/>
  <c r="AC2571" i="7"/>
  <c r="AD2571" i="7"/>
  <c r="AE2571" i="7"/>
  <c r="Q2572" i="7"/>
  <c r="R2572" i="7"/>
  <c r="S2572" i="7"/>
  <c r="T2572" i="7"/>
  <c r="U2572" i="7"/>
  <c r="V2572" i="7"/>
  <c r="W2572" i="7"/>
  <c r="X2572" i="7"/>
  <c r="Y2572" i="7"/>
  <c r="Z2572" i="7"/>
  <c r="AA2572" i="7"/>
  <c r="AB2572" i="7"/>
  <c r="AC2572" i="7"/>
  <c r="AD2572" i="7"/>
  <c r="AE2572" i="7"/>
  <c r="Q2573" i="7"/>
  <c r="R2573" i="7"/>
  <c r="S2573" i="7"/>
  <c r="T2573" i="7"/>
  <c r="U2573" i="7"/>
  <c r="V2573" i="7"/>
  <c r="W2573" i="7"/>
  <c r="X2573" i="7"/>
  <c r="Y2573" i="7"/>
  <c r="Z2573" i="7"/>
  <c r="AA2573" i="7"/>
  <c r="AB2573" i="7"/>
  <c r="AC2573" i="7"/>
  <c r="AD2573" i="7"/>
  <c r="AE2573" i="7"/>
  <c r="Q2574" i="7"/>
  <c r="R2574" i="7"/>
  <c r="S2574" i="7"/>
  <c r="T2574" i="7"/>
  <c r="U2574" i="7"/>
  <c r="V2574" i="7"/>
  <c r="W2574" i="7"/>
  <c r="X2574" i="7"/>
  <c r="Y2574" i="7"/>
  <c r="Z2574" i="7"/>
  <c r="AA2574" i="7"/>
  <c r="AB2574" i="7"/>
  <c r="AC2574" i="7"/>
  <c r="AD2574" i="7"/>
  <c r="AE2574" i="7"/>
  <c r="Q2575" i="7"/>
  <c r="R2575" i="7"/>
  <c r="S2575" i="7"/>
  <c r="T2575" i="7"/>
  <c r="U2575" i="7"/>
  <c r="V2575" i="7"/>
  <c r="W2575" i="7"/>
  <c r="X2575" i="7"/>
  <c r="Y2575" i="7"/>
  <c r="Z2575" i="7"/>
  <c r="AA2575" i="7"/>
  <c r="AB2575" i="7"/>
  <c r="AC2575" i="7"/>
  <c r="AD2575" i="7"/>
  <c r="AE2575" i="7"/>
  <c r="Q2576" i="7"/>
  <c r="R2576" i="7"/>
  <c r="S2576" i="7"/>
  <c r="T2576" i="7"/>
  <c r="U2576" i="7"/>
  <c r="V2576" i="7"/>
  <c r="W2576" i="7"/>
  <c r="X2576" i="7"/>
  <c r="Y2576" i="7"/>
  <c r="Z2576" i="7"/>
  <c r="AA2576" i="7"/>
  <c r="AB2576" i="7"/>
  <c r="AC2576" i="7"/>
  <c r="AD2576" i="7"/>
  <c r="AE2576" i="7"/>
  <c r="Q2577" i="7"/>
  <c r="R2577" i="7"/>
  <c r="S2577" i="7"/>
  <c r="T2577" i="7"/>
  <c r="U2577" i="7"/>
  <c r="V2577" i="7"/>
  <c r="W2577" i="7"/>
  <c r="X2577" i="7"/>
  <c r="Y2577" i="7"/>
  <c r="Z2577" i="7"/>
  <c r="AA2577" i="7"/>
  <c r="AB2577" i="7"/>
  <c r="AC2577" i="7"/>
  <c r="AD2577" i="7"/>
  <c r="AE2577" i="7"/>
  <c r="Q2578" i="7"/>
  <c r="R2578" i="7"/>
  <c r="S2578" i="7"/>
  <c r="T2578" i="7"/>
  <c r="U2578" i="7"/>
  <c r="V2578" i="7"/>
  <c r="W2578" i="7"/>
  <c r="X2578" i="7"/>
  <c r="Y2578" i="7"/>
  <c r="Z2578" i="7"/>
  <c r="AA2578" i="7"/>
  <c r="AB2578" i="7"/>
  <c r="AC2578" i="7"/>
  <c r="AD2578" i="7"/>
  <c r="AE2578" i="7"/>
  <c r="Q2579" i="7"/>
  <c r="R2579" i="7"/>
  <c r="S2579" i="7"/>
  <c r="T2579" i="7"/>
  <c r="U2579" i="7"/>
  <c r="V2579" i="7"/>
  <c r="W2579" i="7"/>
  <c r="X2579" i="7"/>
  <c r="Y2579" i="7"/>
  <c r="Z2579" i="7"/>
  <c r="AA2579" i="7"/>
  <c r="AB2579" i="7"/>
  <c r="AC2579" i="7"/>
  <c r="AD2579" i="7"/>
  <c r="AE2579" i="7"/>
  <c r="Q2580" i="7"/>
  <c r="R2580" i="7"/>
  <c r="S2580" i="7"/>
  <c r="T2580" i="7"/>
  <c r="U2580" i="7"/>
  <c r="V2580" i="7"/>
  <c r="W2580" i="7"/>
  <c r="X2580" i="7"/>
  <c r="Y2580" i="7"/>
  <c r="Z2580" i="7"/>
  <c r="AA2580" i="7"/>
  <c r="AB2580" i="7"/>
  <c r="AC2580" i="7"/>
  <c r="AD2580" i="7"/>
  <c r="AE2580" i="7"/>
  <c r="Q2581" i="7"/>
  <c r="R2581" i="7"/>
  <c r="S2581" i="7"/>
  <c r="T2581" i="7"/>
  <c r="U2581" i="7"/>
  <c r="V2581" i="7"/>
  <c r="W2581" i="7"/>
  <c r="X2581" i="7"/>
  <c r="Y2581" i="7"/>
  <c r="Z2581" i="7"/>
  <c r="AA2581" i="7"/>
  <c r="AB2581" i="7"/>
  <c r="AC2581" i="7"/>
  <c r="AD2581" i="7"/>
  <c r="AE2581" i="7"/>
  <c r="Q2582" i="7"/>
  <c r="R2582" i="7"/>
  <c r="S2582" i="7"/>
  <c r="T2582" i="7"/>
  <c r="U2582" i="7"/>
  <c r="V2582" i="7"/>
  <c r="W2582" i="7"/>
  <c r="X2582" i="7"/>
  <c r="Y2582" i="7"/>
  <c r="Z2582" i="7"/>
  <c r="AA2582" i="7"/>
  <c r="AB2582" i="7"/>
  <c r="AC2582" i="7"/>
  <c r="AD2582" i="7"/>
  <c r="AE2582" i="7"/>
  <c r="Q2583" i="7"/>
  <c r="R2583" i="7"/>
  <c r="S2583" i="7"/>
  <c r="T2583" i="7"/>
  <c r="U2583" i="7"/>
  <c r="V2583" i="7"/>
  <c r="W2583" i="7"/>
  <c r="X2583" i="7"/>
  <c r="Y2583" i="7"/>
  <c r="Z2583" i="7"/>
  <c r="AA2583" i="7"/>
  <c r="AB2583" i="7"/>
  <c r="AC2583" i="7"/>
  <c r="AD2583" i="7"/>
  <c r="AE2583" i="7"/>
  <c r="Q2584" i="7"/>
  <c r="R2584" i="7"/>
  <c r="S2584" i="7"/>
  <c r="T2584" i="7"/>
  <c r="U2584" i="7"/>
  <c r="V2584" i="7"/>
  <c r="W2584" i="7"/>
  <c r="X2584" i="7"/>
  <c r="Y2584" i="7"/>
  <c r="Z2584" i="7"/>
  <c r="AA2584" i="7"/>
  <c r="AB2584" i="7"/>
  <c r="AC2584" i="7"/>
  <c r="AD2584" i="7"/>
  <c r="AE2584" i="7"/>
  <c r="Q2585" i="7"/>
  <c r="R2585" i="7"/>
  <c r="S2585" i="7"/>
  <c r="T2585" i="7"/>
  <c r="U2585" i="7"/>
  <c r="V2585" i="7"/>
  <c r="W2585" i="7"/>
  <c r="X2585" i="7"/>
  <c r="Y2585" i="7"/>
  <c r="Z2585" i="7"/>
  <c r="AA2585" i="7"/>
  <c r="AB2585" i="7"/>
  <c r="AC2585" i="7"/>
  <c r="AD2585" i="7"/>
  <c r="AE2585" i="7"/>
  <c r="Q2586" i="7"/>
  <c r="R2586" i="7"/>
  <c r="S2586" i="7"/>
  <c r="T2586" i="7"/>
  <c r="U2586" i="7"/>
  <c r="V2586" i="7"/>
  <c r="W2586" i="7"/>
  <c r="X2586" i="7"/>
  <c r="Y2586" i="7"/>
  <c r="Z2586" i="7"/>
  <c r="AA2586" i="7"/>
  <c r="AB2586" i="7"/>
  <c r="AC2586" i="7"/>
  <c r="AD2586" i="7"/>
  <c r="AE2586" i="7"/>
  <c r="Q2587" i="7"/>
  <c r="R2587" i="7"/>
  <c r="S2587" i="7"/>
  <c r="T2587" i="7"/>
  <c r="U2587" i="7"/>
  <c r="V2587" i="7"/>
  <c r="W2587" i="7"/>
  <c r="X2587" i="7"/>
  <c r="Y2587" i="7"/>
  <c r="Z2587" i="7"/>
  <c r="AA2587" i="7"/>
  <c r="AB2587" i="7"/>
  <c r="AC2587" i="7"/>
  <c r="AD2587" i="7"/>
  <c r="AE2587" i="7"/>
  <c r="Q2588" i="7"/>
  <c r="R2588" i="7"/>
  <c r="S2588" i="7"/>
  <c r="T2588" i="7"/>
  <c r="U2588" i="7"/>
  <c r="V2588" i="7"/>
  <c r="W2588" i="7"/>
  <c r="X2588" i="7"/>
  <c r="Y2588" i="7"/>
  <c r="Z2588" i="7"/>
  <c r="AA2588" i="7"/>
  <c r="AB2588" i="7"/>
  <c r="AC2588" i="7"/>
  <c r="AD2588" i="7"/>
  <c r="AE2588" i="7"/>
  <c r="Q2589" i="7"/>
  <c r="R2589" i="7"/>
  <c r="S2589" i="7"/>
  <c r="T2589" i="7"/>
  <c r="U2589" i="7"/>
  <c r="V2589" i="7"/>
  <c r="W2589" i="7"/>
  <c r="X2589" i="7"/>
  <c r="Y2589" i="7"/>
  <c r="Z2589" i="7"/>
  <c r="AA2589" i="7"/>
  <c r="AB2589" i="7"/>
  <c r="AC2589" i="7"/>
  <c r="AD2589" i="7"/>
  <c r="AE2589" i="7"/>
  <c r="Q2590" i="7"/>
  <c r="R2590" i="7"/>
  <c r="S2590" i="7"/>
  <c r="T2590" i="7"/>
  <c r="U2590" i="7"/>
  <c r="V2590" i="7"/>
  <c r="W2590" i="7"/>
  <c r="X2590" i="7"/>
  <c r="Y2590" i="7"/>
  <c r="Z2590" i="7"/>
  <c r="AA2590" i="7"/>
  <c r="AB2590" i="7"/>
  <c r="AC2590" i="7"/>
  <c r="AD2590" i="7"/>
  <c r="AE2590" i="7"/>
  <c r="Q2591" i="7"/>
  <c r="R2591" i="7"/>
  <c r="S2591" i="7"/>
  <c r="T2591" i="7"/>
  <c r="U2591" i="7"/>
  <c r="V2591" i="7"/>
  <c r="W2591" i="7"/>
  <c r="X2591" i="7"/>
  <c r="Y2591" i="7"/>
  <c r="Z2591" i="7"/>
  <c r="AA2591" i="7"/>
  <c r="AB2591" i="7"/>
  <c r="AC2591" i="7"/>
  <c r="AD2591" i="7"/>
  <c r="AE2591" i="7"/>
  <c r="Q2592" i="7"/>
  <c r="R2592" i="7"/>
  <c r="S2592" i="7"/>
  <c r="T2592" i="7"/>
  <c r="U2592" i="7"/>
  <c r="V2592" i="7"/>
  <c r="W2592" i="7"/>
  <c r="X2592" i="7"/>
  <c r="Y2592" i="7"/>
  <c r="Z2592" i="7"/>
  <c r="AA2592" i="7"/>
  <c r="AB2592" i="7"/>
  <c r="AC2592" i="7"/>
  <c r="AD2592" i="7"/>
  <c r="AE2592" i="7"/>
  <c r="Q2593" i="7"/>
  <c r="R2593" i="7"/>
  <c r="S2593" i="7"/>
  <c r="T2593" i="7"/>
  <c r="U2593" i="7"/>
  <c r="V2593" i="7"/>
  <c r="W2593" i="7"/>
  <c r="X2593" i="7"/>
  <c r="Y2593" i="7"/>
  <c r="Z2593" i="7"/>
  <c r="AA2593" i="7"/>
  <c r="AB2593" i="7"/>
  <c r="AC2593" i="7"/>
  <c r="AD2593" i="7"/>
  <c r="AE2593" i="7"/>
  <c r="Q2594" i="7"/>
  <c r="R2594" i="7"/>
  <c r="S2594" i="7"/>
  <c r="T2594" i="7"/>
  <c r="U2594" i="7"/>
  <c r="V2594" i="7"/>
  <c r="W2594" i="7"/>
  <c r="X2594" i="7"/>
  <c r="Y2594" i="7"/>
  <c r="Z2594" i="7"/>
  <c r="AA2594" i="7"/>
  <c r="AB2594" i="7"/>
  <c r="AC2594" i="7"/>
  <c r="AD2594" i="7"/>
  <c r="AE2594" i="7"/>
  <c r="Q2595" i="7"/>
  <c r="R2595" i="7"/>
  <c r="S2595" i="7"/>
  <c r="T2595" i="7"/>
  <c r="U2595" i="7"/>
  <c r="V2595" i="7"/>
  <c r="W2595" i="7"/>
  <c r="X2595" i="7"/>
  <c r="Y2595" i="7"/>
  <c r="Z2595" i="7"/>
  <c r="AA2595" i="7"/>
  <c r="AB2595" i="7"/>
  <c r="AC2595" i="7"/>
  <c r="AD2595" i="7"/>
  <c r="AE2595" i="7"/>
  <c r="Q2596" i="7"/>
  <c r="R2596" i="7"/>
  <c r="S2596" i="7"/>
  <c r="T2596" i="7"/>
  <c r="U2596" i="7"/>
  <c r="V2596" i="7"/>
  <c r="W2596" i="7"/>
  <c r="X2596" i="7"/>
  <c r="Y2596" i="7"/>
  <c r="Z2596" i="7"/>
  <c r="AA2596" i="7"/>
  <c r="AB2596" i="7"/>
  <c r="AC2596" i="7"/>
  <c r="AD2596" i="7"/>
  <c r="AE2596" i="7"/>
  <c r="Q2597" i="7"/>
  <c r="R2597" i="7"/>
  <c r="S2597" i="7"/>
  <c r="T2597" i="7"/>
  <c r="U2597" i="7"/>
  <c r="V2597" i="7"/>
  <c r="W2597" i="7"/>
  <c r="X2597" i="7"/>
  <c r="Y2597" i="7"/>
  <c r="Z2597" i="7"/>
  <c r="AA2597" i="7"/>
  <c r="AB2597" i="7"/>
  <c r="AC2597" i="7"/>
  <c r="AD2597" i="7"/>
  <c r="AE2597" i="7"/>
  <c r="Q2598" i="7"/>
  <c r="R2598" i="7"/>
  <c r="S2598" i="7"/>
  <c r="T2598" i="7"/>
  <c r="U2598" i="7"/>
  <c r="V2598" i="7"/>
  <c r="W2598" i="7"/>
  <c r="X2598" i="7"/>
  <c r="Y2598" i="7"/>
  <c r="Z2598" i="7"/>
  <c r="AA2598" i="7"/>
  <c r="AB2598" i="7"/>
  <c r="AC2598" i="7"/>
  <c r="AD2598" i="7"/>
  <c r="AE2598" i="7"/>
  <c r="Q2599" i="7"/>
  <c r="R2599" i="7"/>
  <c r="S2599" i="7"/>
  <c r="T2599" i="7"/>
  <c r="U2599" i="7"/>
  <c r="V2599" i="7"/>
  <c r="W2599" i="7"/>
  <c r="X2599" i="7"/>
  <c r="Y2599" i="7"/>
  <c r="Z2599" i="7"/>
  <c r="AA2599" i="7"/>
  <c r="AB2599" i="7"/>
  <c r="AC2599" i="7"/>
  <c r="AD2599" i="7"/>
  <c r="AE2599" i="7"/>
  <c r="Q2600" i="7"/>
  <c r="R2600" i="7"/>
  <c r="S2600" i="7"/>
  <c r="T2600" i="7"/>
  <c r="U2600" i="7"/>
  <c r="V2600" i="7"/>
  <c r="W2600" i="7"/>
  <c r="X2600" i="7"/>
  <c r="Y2600" i="7"/>
  <c r="Z2600" i="7"/>
  <c r="AA2600" i="7"/>
  <c r="AB2600" i="7"/>
  <c r="AC2600" i="7"/>
  <c r="AD2600" i="7"/>
  <c r="AE2600" i="7"/>
  <c r="Q2601" i="7"/>
  <c r="R2601" i="7"/>
  <c r="S2601" i="7"/>
  <c r="T2601" i="7"/>
  <c r="U2601" i="7"/>
  <c r="V2601" i="7"/>
  <c r="W2601" i="7"/>
  <c r="X2601" i="7"/>
  <c r="Y2601" i="7"/>
  <c r="Z2601" i="7"/>
  <c r="AA2601" i="7"/>
  <c r="AB2601" i="7"/>
  <c r="AC2601" i="7"/>
  <c r="AD2601" i="7"/>
  <c r="AE2601" i="7"/>
  <c r="Q2602" i="7"/>
  <c r="R2602" i="7"/>
  <c r="S2602" i="7"/>
  <c r="T2602" i="7"/>
  <c r="U2602" i="7"/>
  <c r="V2602" i="7"/>
  <c r="W2602" i="7"/>
  <c r="X2602" i="7"/>
  <c r="Y2602" i="7"/>
  <c r="Z2602" i="7"/>
  <c r="AA2602" i="7"/>
  <c r="AB2602" i="7"/>
  <c r="AC2602" i="7"/>
  <c r="AD2602" i="7"/>
  <c r="AE2602" i="7"/>
  <c r="Q2603" i="7"/>
  <c r="R2603" i="7"/>
  <c r="S2603" i="7"/>
  <c r="T2603" i="7"/>
  <c r="U2603" i="7"/>
  <c r="V2603" i="7"/>
  <c r="W2603" i="7"/>
  <c r="X2603" i="7"/>
  <c r="Y2603" i="7"/>
  <c r="Z2603" i="7"/>
  <c r="AA2603" i="7"/>
  <c r="AB2603" i="7"/>
  <c r="AC2603" i="7"/>
  <c r="AD2603" i="7"/>
  <c r="AE2603" i="7"/>
  <c r="Q2604" i="7"/>
  <c r="R2604" i="7"/>
  <c r="S2604" i="7"/>
  <c r="T2604" i="7"/>
  <c r="U2604" i="7"/>
  <c r="V2604" i="7"/>
  <c r="W2604" i="7"/>
  <c r="X2604" i="7"/>
  <c r="Y2604" i="7"/>
  <c r="Z2604" i="7"/>
  <c r="AA2604" i="7"/>
  <c r="AB2604" i="7"/>
  <c r="AC2604" i="7"/>
  <c r="AD2604" i="7"/>
  <c r="AE2604" i="7"/>
  <c r="Q2605" i="7"/>
  <c r="R2605" i="7"/>
  <c r="S2605" i="7"/>
  <c r="T2605" i="7"/>
  <c r="U2605" i="7"/>
  <c r="V2605" i="7"/>
  <c r="W2605" i="7"/>
  <c r="X2605" i="7"/>
  <c r="Y2605" i="7"/>
  <c r="Z2605" i="7"/>
  <c r="AA2605" i="7"/>
  <c r="AB2605" i="7"/>
  <c r="AC2605" i="7"/>
  <c r="AD2605" i="7"/>
  <c r="AE2605" i="7"/>
  <c r="Q2606" i="7"/>
  <c r="R2606" i="7"/>
  <c r="S2606" i="7"/>
  <c r="T2606" i="7"/>
  <c r="U2606" i="7"/>
  <c r="V2606" i="7"/>
  <c r="W2606" i="7"/>
  <c r="X2606" i="7"/>
  <c r="Y2606" i="7"/>
  <c r="Z2606" i="7"/>
  <c r="AA2606" i="7"/>
  <c r="AB2606" i="7"/>
  <c r="AC2606" i="7"/>
  <c r="AD2606" i="7"/>
  <c r="AE2606" i="7"/>
  <c r="Q2607" i="7"/>
  <c r="R2607" i="7"/>
  <c r="S2607" i="7"/>
  <c r="T2607" i="7"/>
  <c r="U2607" i="7"/>
  <c r="V2607" i="7"/>
  <c r="W2607" i="7"/>
  <c r="X2607" i="7"/>
  <c r="Y2607" i="7"/>
  <c r="Z2607" i="7"/>
  <c r="AA2607" i="7"/>
  <c r="AB2607" i="7"/>
  <c r="AC2607" i="7"/>
  <c r="AD2607" i="7"/>
  <c r="AE2607" i="7"/>
  <c r="Q2608" i="7"/>
  <c r="R2608" i="7"/>
  <c r="S2608" i="7"/>
  <c r="T2608" i="7"/>
  <c r="U2608" i="7"/>
  <c r="V2608" i="7"/>
  <c r="W2608" i="7"/>
  <c r="X2608" i="7"/>
  <c r="Y2608" i="7"/>
  <c r="Z2608" i="7"/>
  <c r="AA2608" i="7"/>
  <c r="AB2608" i="7"/>
  <c r="AC2608" i="7"/>
  <c r="AD2608" i="7"/>
  <c r="AE2608" i="7"/>
  <c r="Q2609" i="7"/>
  <c r="R2609" i="7"/>
  <c r="S2609" i="7"/>
  <c r="T2609" i="7"/>
  <c r="U2609" i="7"/>
  <c r="V2609" i="7"/>
  <c r="W2609" i="7"/>
  <c r="X2609" i="7"/>
  <c r="Y2609" i="7"/>
  <c r="Z2609" i="7"/>
  <c r="AA2609" i="7"/>
  <c r="AB2609" i="7"/>
  <c r="AC2609" i="7"/>
  <c r="AD2609" i="7"/>
  <c r="AE2609" i="7"/>
  <c r="Q2610" i="7"/>
  <c r="R2610" i="7"/>
  <c r="S2610" i="7"/>
  <c r="T2610" i="7"/>
  <c r="U2610" i="7"/>
  <c r="V2610" i="7"/>
  <c r="W2610" i="7"/>
  <c r="X2610" i="7"/>
  <c r="Y2610" i="7"/>
  <c r="Z2610" i="7"/>
  <c r="AA2610" i="7"/>
  <c r="AB2610" i="7"/>
  <c r="AC2610" i="7"/>
  <c r="AD2610" i="7"/>
  <c r="AE2610" i="7"/>
  <c r="Q2611" i="7"/>
  <c r="R2611" i="7"/>
  <c r="S2611" i="7"/>
  <c r="T2611" i="7"/>
  <c r="U2611" i="7"/>
  <c r="V2611" i="7"/>
  <c r="W2611" i="7"/>
  <c r="X2611" i="7"/>
  <c r="Y2611" i="7"/>
  <c r="Z2611" i="7"/>
  <c r="AA2611" i="7"/>
  <c r="AB2611" i="7"/>
  <c r="AC2611" i="7"/>
  <c r="AD2611" i="7"/>
  <c r="AE2611" i="7"/>
  <c r="Q2612" i="7"/>
  <c r="R2612" i="7"/>
  <c r="S2612" i="7"/>
  <c r="T2612" i="7"/>
  <c r="U2612" i="7"/>
  <c r="V2612" i="7"/>
  <c r="W2612" i="7"/>
  <c r="X2612" i="7"/>
  <c r="Y2612" i="7"/>
  <c r="Z2612" i="7"/>
  <c r="AA2612" i="7"/>
  <c r="AB2612" i="7"/>
  <c r="AC2612" i="7"/>
  <c r="AD2612" i="7"/>
  <c r="AE2612" i="7"/>
  <c r="Q2613" i="7"/>
  <c r="R2613" i="7"/>
  <c r="S2613" i="7"/>
  <c r="T2613" i="7"/>
  <c r="U2613" i="7"/>
  <c r="V2613" i="7"/>
  <c r="W2613" i="7"/>
  <c r="X2613" i="7"/>
  <c r="Y2613" i="7"/>
  <c r="Z2613" i="7"/>
  <c r="AA2613" i="7"/>
  <c r="AB2613" i="7"/>
  <c r="AC2613" i="7"/>
  <c r="AD2613" i="7"/>
  <c r="AE2613" i="7"/>
  <c r="Q2614" i="7"/>
  <c r="R2614" i="7"/>
  <c r="S2614" i="7"/>
  <c r="T2614" i="7"/>
  <c r="U2614" i="7"/>
  <c r="V2614" i="7"/>
  <c r="W2614" i="7"/>
  <c r="X2614" i="7"/>
  <c r="Y2614" i="7"/>
  <c r="Z2614" i="7"/>
  <c r="AA2614" i="7"/>
  <c r="AB2614" i="7"/>
  <c r="AC2614" i="7"/>
  <c r="AD2614" i="7"/>
  <c r="AE2614" i="7"/>
  <c r="Q2615" i="7"/>
  <c r="R2615" i="7"/>
  <c r="S2615" i="7"/>
  <c r="T2615" i="7"/>
  <c r="U2615" i="7"/>
  <c r="V2615" i="7"/>
  <c r="W2615" i="7"/>
  <c r="X2615" i="7"/>
  <c r="Y2615" i="7"/>
  <c r="Z2615" i="7"/>
  <c r="AA2615" i="7"/>
  <c r="AB2615" i="7"/>
  <c r="AC2615" i="7"/>
  <c r="AD2615" i="7"/>
  <c r="AE2615" i="7"/>
  <c r="Q2616" i="7"/>
  <c r="R2616" i="7"/>
  <c r="S2616" i="7"/>
  <c r="T2616" i="7"/>
  <c r="U2616" i="7"/>
  <c r="V2616" i="7"/>
  <c r="W2616" i="7"/>
  <c r="X2616" i="7"/>
  <c r="Y2616" i="7"/>
  <c r="Z2616" i="7"/>
  <c r="AA2616" i="7"/>
  <c r="AB2616" i="7"/>
  <c r="AC2616" i="7"/>
  <c r="AD2616" i="7"/>
  <c r="AE2616" i="7"/>
  <c r="Q2617" i="7"/>
  <c r="R2617" i="7"/>
  <c r="S2617" i="7"/>
  <c r="T2617" i="7"/>
  <c r="U2617" i="7"/>
  <c r="V2617" i="7"/>
  <c r="W2617" i="7"/>
  <c r="X2617" i="7"/>
  <c r="Y2617" i="7"/>
  <c r="Z2617" i="7"/>
  <c r="AA2617" i="7"/>
  <c r="AB2617" i="7"/>
  <c r="AC2617" i="7"/>
  <c r="AD2617" i="7"/>
  <c r="AE2617" i="7"/>
  <c r="Q2618" i="7"/>
  <c r="R2618" i="7"/>
  <c r="S2618" i="7"/>
  <c r="T2618" i="7"/>
  <c r="U2618" i="7"/>
  <c r="V2618" i="7"/>
  <c r="W2618" i="7"/>
  <c r="X2618" i="7"/>
  <c r="Y2618" i="7"/>
  <c r="Z2618" i="7"/>
  <c r="AA2618" i="7"/>
  <c r="AB2618" i="7"/>
  <c r="AC2618" i="7"/>
  <c r="AD2618" i="7"/>
  <c r="AE2618" i="7"/>
  <c r="Q2619" i="7"/>
  <c r="R2619" i="7"/>
  <c r="S2619" i="7"/>
  <c r="T2619" i="7"/>
  <c r="U2619" i="7"/>
  <c r="V2619" i="7"/>
  <c r="W2619" i="7"/>
  <c r="X2619" i="7"/>
  <c r="Y2619" i="7"/>
  <c r="Z2619" i="7"/>
  <c r="AA2619" i="7"/>
  <c r="AB2619" i="7"/>
  <c r="AC2619" i="7"/>
  <c r="AD2619" i="7"/>
  <c r="AE2619" i="7"/>
  <c r="Q2620" i="7"/>
  <c r="R2620" i="7"/>
  <c r="S2620" i="7"/>
  <c r="T2620" i="7"/>
  <c r="U2620" i="7"/>
  <c r="V2620" i="7"/>
  <c r="W2620" i="7"/>
  <c r="X2620" i="7"/>
  <c r="Y2620" i="7"/>
  <c r="Z2620" i="7"/>
  <c r="AA2620" i="7"/>
  <c r="AB2620" i="7"/>
  <c r="AC2620" i="7"/>
  <c r="AD2620" i="7"/>
  <c r="AE2620" i="7"/>
  <c r="Q2621" i="7"/>
  <c r="R2621" i="7"/>
  <c r="S2621" i="7"/>
  <c r="T2621" i="7"/>
  <c r="U2621" i="7"/>
  <c r="V2621" i="7"/>
  <c r="W2621" i="7"/>
  <c r="X2621" i="7"/>
  <c r="Y2621" i="7"/>
  <c r="Z2621" i="7"/>
  <c r="AA2621" i="7"/>
  <c r="AB2621" i="7"/>
  <c r="AC2621" i="7"/>
  <c r="AD2621" i="7"/>
  <c r="AE2621" i="7"/>
  <c r="Q2622" i="7"/>
  <c r="R2622" i="7"/>
  <c r="S2622" i="7"/>
  <c r="T2622" i="7"/>
  <c r="U2622" i="7"/>
  <c r="V2622" i="7"/>
  <c r="W2622" i="7"/>
  <c r="X2622" i="7"/>
  <c r="Y2622" i="7"/>
  <c r="Z2622" i="7"/>
  <c r="AA2622" i="7"/>
  <c r="AB2622" i="7"/>
  <c r="AC2622" i="7"/>
  <c r="AD2622" i="7"/>
  <c r="AE2622" i="7"/>
  <c r="Q2623" i="7"/>
  <c r="R2623" i="7"/>
  <c r="S2623" i="7"/>
  <c r="T2623" i="7"/>
  <c r="U2623" i="7"/>
  <c r="V2623" i="7"/>
  <c r="W2623" i="7"/>
  <c r="X2623" i="7"/>
  <c r="Y2623" i="7"/>
  <c r="Z2623" i="7"/>
  <c r="AA2623" i="7"/>
  <c r="AB2623" i="7"/>
  <c r="AC2623" i="7"/>
  <c r="AD2623" i="7"/>
  <c r="AE2623" i="7"/>
  <c r="Q2624" i="7"/>
  <c r="R2624" i="7"/>
  <c r="S2624" i="7"/>
  <c r="T2624" i="7"/>
  <c r="U2624" i="7"/>
  <c r="V2624" i="7"/>
  <c r="W2624" i="7"/>
  <c r="X2624" i="7"/>
  <c r="Y2624" i="7"/>
  <c r="Z2624" i="7"/>
  <c r="AA2624" i="7"/>
  <c r="AB2624" i="7"/>
  <c r="AC2624" i="7"/>
  <c r="AD2624" i="7"/>
  <c r="AE2624" i="7"/>
  <c r="Q2625" i="7"/>
  <c r="R2625" i="7"/>
  <c r="S2625" i="7"/>
  <c r="T2625" i="7"/>
  <c r="U2625" i="7"/>
  <c r="V2625" i="7"/>
  <c r="W2625" i="7"/>
  <c r="X2625" i="7"/>
  <c r="Y2625" i="7"/>
  <c r="Z2625" i="7"/>
  <c r="AA2625" i="7"/>
  <c r="AB2625" i="7"/>
  <c r="AC2625" i="7"/>
  <c r="AD2625" i="7"/>
  <c r="AE2625" i="7"/>
  <c r="Q2626" i="7"/>
  <c r="R2626" i="7"/>
  <c r="S2626" i="7"/>
  <c r="T2626" i="7"/>
  <c r="U2626" i="7"/>
  <c r="V2626" i="7"/>
  <c r="W2626" i="7"/>
  <c r="X2626" i="7"/>
  <c r="Y2626" i="7"/>
  <c r="Z2626" i="7"/>
  <c r="AA2626" i="7"/>
  <c r="AB2626" i="7"/>
  <c r="AC2626" i="7"/>
  <c r="AD2626" i="7"/>
  <c r="AE2626" i="7"/>
  <c r="Q2627" i="7"/>
  <c r="R2627" i="7"/>
  <c r="S2627" i="7"/>
  <c r="T2627" i="7"/>
  <c r="U2627" i="7"/>
  <c r="V2627" i="7"/>
  <c r="W2627" i="7"/>
  <c r="X2627" i="7"/>
  <c r="Y2627" i="7"/>
  <c r="Z2627" i="7"/>
  <c r="AA2627" i="7"/>
  <c r="AB2627" i="7"/>
  <c r="AC2627" i="7"/>
  <c r="AD2627" i="7"/>
  <c r="AE2627" i="7"/>
  <c r="Q2628" i="7"/>
  <c r="R2628" i="7"/>
  <c r="S2628" i="7"/>
  <c r="T2628" i="7"/>
  <c r="U2628" i="7"/>
  <c r="V2628" i="7"/>
  <c r="W2628" i="7"/>
  <c r="X2628" i="7"/>
  <c r="Y2628" i="7"/>
  <c r="Z2628" i="7"/>
  <c r="AA2628" i="7"/>
  <c r="AB2628" i="7"/>
  <c r="AC2628" i="7"/>
  <c r="AD2628" i="7"/>
  <c r="AE2628" i="7"/>
  <c r="Q2629" i="7"/>
  <c r="R2629" i="7"/>
  <c r="S2629" i="7"/>
  <c r="T2629" i="7"/>
  <c r="U2629" i="7"/>
  <c r="V2629" i="7"/>
  <c r="W2629" i="7"/>
  <c r="X2629" i="7"/>
  <c r="Y2629" i="7"/>
  <c r="Z2629" i="7"/>
  <c r="AA2629" i="7"/>
  <c r="AB2629" i="7"/>
  <c r="AC2629" i="7"/>
  <c r="AD2629" i="7"/>
  <c r="AE2629" i="7"/>
  <c r="Q2630" i="7"/>
  <c r="R2630" i="7"/>
  <c r="S2630" i="7"/>
  <c r="T2630" i="7"/>
  <c r="U2630" i="7"/>
  <c r="V2630" i="7"/>
  <c r="W2630" i="7"/>
  <c r="X2630" i="7"/>
  <c r="Y2630" i="7"/>
  <c r="Z2630" i="7"/>
  <c r="AA2630" i="7"/>
  <c r="AB2630" i="7"/>
  <c r="AC2630" i="7"/>
  <c r="AD2630" i="7"/>
  <c r="AE2630" i="7"/>
  <c r="Q2631" i="7"/>
  <c r="R2631" i="7"/>
  <c r="S2631" i="7"/>
  <c r="T2631" i="7"/>
  <c r="U2631" i="7"/>
  <c r="V2631" i="7"/>
  <c r="W2631" i="7"/>
  <c r="X2631" i="7"/>
  <c r="Y2631" i="7"/>
  <c r="Z2631" i="7"/>
  <c r="AA2631" i="7"/>
  <c r="AB2631" i="7"/>
  <c r="AC2631" i="7"/>
  <c r="AD2631" i="7"/>
  <c r="AE2631" i="7"/>
  <c r="Q2632" i="7"/>
  <c r="R2632" i="7"/>
  <c r="S2632" i="7"/>
  <c r="T2632" i="7"/>
  <c r="U2632" i="7"/>
  <c r="V2632" i="7"/>
  <c r="W2632" i="7"/>
  <c r="X2632" i="7"/>
  <c r="Y2632" i="7"/>
  <c r="Z2632" i="7"/>
  <c r="AA2632" i="7"/>
  <c r="AB2632" i="7"/>
  <c r="AC2632" i="7"/>
  <c r="AD2632" i="7"/>
  <c r="AE2632" i="7"/>
  <c r="Q2633" i="7"/>
  <c r="R2633" i="7"/>
  <c r="S2633" i="7"/>
  <c r="T2633" i="7"/>
  <c r="U2633" i="7"/>
  <c r="V2633" i="7"/>
  <c r="W2633" i="7"/>
  <c r="X2633" i="7"/>
  <c r="Y2633" i="7"/>
  <c r="Z2633" i="7"/>
  <c r="AA2633" i="7"/>
  <c r="AB2633" i="7"/>
  <c r="AC2633" i="7"/>
  <c r="AD2633" i="7"/>
  <c r="AE2633" i="7"/>
  <c r="Q2634" i="7"/>
  <c r="R2634" i="7"/>
  <c r="S2634" i="7"/>
  <c r="T2634" i="7"/>
  <c r="U2634" i="7"/>
  <c r="V2634" i="7"/>
  <c r="W2634" i="7"/>
  <c r="X2634" i="7"/>
  <c r="Y2634" i="7"/>
  <c r="Z2634" i="7"/>
  <c r="AA2634" i="7"/>
  <c r="AB2634" i="7"/>
  <c r="AC2634" i="7"/>
  <c r="AD2634" i="7"/>
  <c r="AE2634" i="7"/>
  <c r="Q2635" i="7"/>
  <c r="R2635" i="7"/>
  <c r="S2635" i="7"/>
  <c r="T2635" i="7"/>
  <c r="U2635" i="7"/>
  <c r="V2635" i="7"/>
  <c r="W2635" i="7"/>
  <c r="X2635" i="7"/>
  <c r="Y2635" i="7"/>
  <c r="Z2635" i="7"/>
  <c r="AA2635" i="7"/>
  <c r="AB2635" i="7"/>
  <c r="AC2635" i="7"/>
  <c r="AD2635" i="7"/>
  <c r="AE2635" i="7"/>
  <c r="Q2636" i="7"/>
  <c r="R2636" i="7"/>
  <c r="S2636" i="7"/>
  <c r="T2636" i="7"/>
  <c r="U2636" i="7"/>
  <c r="V2636" i="7"/>
  <c r="W2636" i="7"/>
  <c r="X2636" i="7"/>
  <c r="Y2636" i="7"/>
  <c r="Z2636" i="7"/>
  <c r="AA2636" i="7"/>
  <c r="AB2636" i="7"/>
  <c r="AC2636" i="7"/>
  <c r="AD2636" i="7"/>
  <c r="AE2636" i="7"/>
  <c r="Q2637" i="7"/>
  <c r="R2637" i="7"/>
  <c r="S2637" i="7"/>
  <c r="T2637" i="7"/>
  <c r="U2637" i="7"/>
  <c r="V2637" i="7"/>
  <c r="W2637" i="7"/>
  <c r="X2637" i="7"/>
  <c r="Y2637" i="7"/>
  <c r="Z2637" i="7"/>
  <c r="AA2637" i="7"/>
  <c r="AB2637" i="7"/>
  <c r="AC2637" i="7"/>
  <c r="AD2637" i="7"/>
  <c r="AE2637" i="7"/>
  <c r="Q2638" i="7"/>
  <c r="R2638" i="7"/>
  <c r="S2638" i="7"/>
  <c r="T2638" i="7"/>
  <c r="U2638" i="7"/>
  <c r="V2638" i="7"/>
  <c r="W2638" i="7"/>
  <c r="X2638" i="7"/>
  <c r="Y2638" i="7"/>
  <c r="Z2638" i="7"/>
  <c r="AA2638" i="7"/>
  <c r="AB2638" i="7"/>
  <c r="AC2638" i="7"/>
  <c r="AD2638" i="7"/>
  <c r="AE2638" i="7"/>
  <c r="Q2639" i="7"/>
  <c r="R2639" i="7"/>
  <c r="S2639" i="7"/>
  <c r="T2639" i="7"/>
  <c r="U2639" i="7"/>
  <c r="V2639" i="7"/>
  <c r="W2639" i="7"/>
  <c r="X2639" i="7"/>
  <c r="Y2639" i="7"/>
  <c r="Z2639" i="7"/>
  <c r="AA2639" i="7"/>
  <c r="AB2639" i="7"/>
  <c r="AC2639" i="7"/>
  <c r="AD2639" i="7"/>
  <c r="AE2639" i="7"/>
  <c r="Q2640" i="7"/>
  <c r="R2640" i="7"/>
  <c r="S2640" i="7"/>
  <c r="T2640" i="7"/>
  <c r="U2640" i="7"/>
  <c r="V2640" i="7"/>
  <c r="W2640" i="7"/>
  <c r="X2640" i="7"/>
  <c r="Y2640" i="7"/>
  <c r="Z2640" i="7"/>
  <c r="AA2640" i="7"/>
  <c r="AB2640" i="7"/>
  <c r="AC2640" i="7"/>
  <c r="AD2640" i="7"/>
  <c r="AE2640" i="7"/>
  <c r="Q2641" i="7"/>
  <c r="R2641" i="7"/>
  <c r="S2641" i="7"/>
  <c r="T2641" i="7"/>
  <c r="U2641" i="7"/>
  <c r="V2641" i="7"/>
  <c r="W2641" i="7"/>
  <c r="X2641" i="7"/>
  <c r="Y2641" i="7"/>
  <c r="Z2641" i="7"/>
  <c r="AA2641" i="7"/>
  <c r="AB2641" i="7"/>
  <c r="AC2641" i="7"/>
  <c r="AD2641" i="7"/>
  <c r="AE2641" i="7"/>
  <c r="Q2642" i="7"/>
  <c r="R2642" i="7"/>
  <c r="S2642" i="7"/>
  <c r="T2642" i="7"/>
  <c r="U2642" i="7"/>
  <c r="V2642" i="7"/>
  <c r="W2642" i="7"/>
  <c r="X2642" i="7"/>
  <c r="Y2642" i="7"/>
  <c r="Z2642" i="7"/>
  <c r="AA2642" i="7"/>
  <c r="AB2642" i="7"/>
  <c r="AC2642" i="7"/>
  <c r="AD2642" i="7"/>
  <c r="AE2642" i="7"/>
  <c r="Q2643" i="7"/>
  <c r="R2643" i="7"/>
  <c r="S2643" i="7"/>
  <c r="T2643" i="7"/>
  <c r="U2643" i="7"/>
  <c r="V2643" i="7"/>
  <c r="W2643" i="7"/>
  <c r="X2643" i="7"/>
  <c r="Y2643" i="7"/>
  <c r="Z2643" i="7"/>
  <c r="AA2643" i="7"/>
  <c r="AB2643" i="7"/>
  <c r="AC2643" i="7"/>
  <c r="AD2643" i="7"/>
  <c r="AE2643" i="7"/>
  <c r="Q2644" i="7"/>
  <c r="R2644" i="7"/>
  <c r="S2644" i="7"/>
  <c r="T2644" i="7"/>
  <c r="U2644" i="7"/>
  <c r="V2644" i="7"/>
  <c r="W2644" i="7"/>
  <c r="X2644" i="7"/>
  <c r="Y2644" i="7"/>
  <c r="Z2644" i="7"/>
  <c r="AA2644" i="7"/>
  <c r="AB2644" i="7"/>
  <c r="AC2644" i="7"/>
  <c r="AD2644" i="7"/>
  <c r="AE2644" i="7"/>
  <c r="Q2645" i="7"/>
  <c r="R2645" i="7"/>
  <c r="S2645" i="7"/>
  <c r="T2645" i="7"/>
  <c r="U2645" i="7"/>
  <c r="V2645" i="7"/>
  <c r="W2645" i="7"/>
  <c r="X2645" i="7"/>
  <c r="Y2645" i="7"/>
  <c r="Z2645" i="7"/>
  <c r="AA2645" i="7"/>
  <c r="AB2645" i="7"/>
  <c r="AC2645" i="7"/>
  <c r="AD2645" i="7"/>
  <c r="AE2645" i="7"/>
  <c r="Q2646" i="7"/>
  <c r="R2646" i="7"/>
  <c r="S2646" i="7"/>
  <c r="T2646" i="7"/>
  <c r="U2646" i="7"/>
  <c r="V2646" i="7"/>
  <c r="W2646" i="7"/>
  <c r="X2646" i="7"/>
  <c r="Y2646" i="7"/>
  <c r="Z2646" i="7"/>
  <c r="AA2646" i="7"/>
  <c r="AB2646" i="7"/>
  <c r="AC2646" i="7"/>
  <c r="AD2646" i="7"/>
  <c r="AE2646" i="7"/>
  <c r="Q2647" i="7"/>
  <c r="R2647" i="7"/>
  <c r="S2647" i="7"/>
  <c r="T2647" i="7"/>
  <c r="U2647" i="7"/>
  <c r="V2647" i="7"/>
  <c r="W2647" i="7"/>
  <c r="X2647" i="7"/>
  <c r="Y2647" i="7"/>
  <c r="Z2647" i="7"/>
  <c r="AA2647" i="7"/>
  <c r="AB2647" i="7"/>
  <c r="AC2647" i="7"/>
  <c r="AD2647" i="7"/>
  <c r="AE2647" i="7"/>
  <c r="Q2648" i="7"/>
  <c r="R2648" i="7"/>
  <c r="S2648" i="7"/>
  <c r="T2648" i="7"/>
  <c r="U2648" i="7"/>
  <c r="V2648" i="7"/>
  <c r="W2648" i="7"/>
  <c r="X2648" i="7"/>
  <c r="Y2648" i="7"/>
  <c r="Z2648" i="7"/>
  <c r="AA2648" i="7"/>
  <c r="AB2648" i="7"/>
  <c r="AC2648" i="7"/>
  <c r="AD2648" i="7"/>
  <c r="AE2648" i="7"/>
  <c r="Q2649" i="7"/>
  <c r="R2649" i="7"/>
  <c r="S2649" i="7"/>
  <c r="T2649" i="7"/>
  <c r="U2649" i="7"/>
  <c r="V2649" i="7"/>
  <c r="W2649" i="7"/>
  <c r="X2649" i="7"/>
  <c r="Y2649" i="7"/>
  <c r="Z2649" i="7"/>
  <c r="AA2649" i="7"/>
  <c r="AB2649" i="7"/>
  <c r="AC2649" i="7"/>
  <c r="AD2649" i="7"/>
  <c r="AE2649" i="7"/>
  <c r="Q2650" i="7"/>
  <c r="R2650" i="7"/>
  <c r="S2650" i="7"/>
  <c r="T2650" i="7"/>
  <c r="U2650" i="7"/>
  <c r="V2650" i="7"/>
  <c r="W2650" i="7"/>
  <c r="X2650" i="7"/>
  <c r="Y2650" i="7"/>
  <c r="Z2650" i="7"/>
  <c r="AA2650" i="7"/>
  <c r="AB2650" i="7"/>
  <c r="AC2650" i="7"/>
  <c r="AD2650" i="7"/>
  <c r="AE2650" i="7"/>
  <c r="Q2651" i="7"/>
  <c r="R2651" i="7"/>
  <c r="S2651" i="7"/>
  <c r="T2651" i="7"/>
  <c r="U2651" i="7"/>
  <c r="V2651" i="7"/>
  <c r="W2651" i="7"/>
  <c r="X2651" i="7"/>
  <c r="Y2651" i="7"/>
  <c r="Z2651" i="7"/>
  <c r="AA2651" i="7"/>
  <c r="AB2651" i="7"/>
  <c r="AC2651" i="7"/>
  <c r="AD2651" i="7"/>
  <c r="AE2651" i="7"/>
  <c r="Q2652" i="7"/>
  <c r="R2652" i="7"/>
  <c r="S2652" i="7"/>
  <c r="T2652" i="7"/>
  <c r="U2652" i="7"/>
  <c r="V2652" i="7"/>
  <c r="W2652" i="7"/>
  <c r="X2652" i="7"/>
  <c r="Y2652" i="7"/>
  <c r="Z2652" i="7"/>
  <c r="AA2652" i="7"/>
  <c r="AB2652" i="7"/>
  <c r="AC2652" i="7"/>
  <c r="AD2652" i="7"/>
  <c r="AE2652" i="7"/>
  <c r="Q2653" i="7"/>
  <c r="R2653" i="7"/>
  <c r="S2653" i="7"/>
  <c r="T2653" i="7"/>
  <c r="U2653" i="7"/>
  <c r="V2653" i="7"/>
  <c r="W2653" i="7"/>
  <c r="X2653" i="7"/>
  <c r="Y2653" i="7"/>
  <c r="Z2653" i="7"/>
  <c r="AA2653" i="7"/>
  <c r="AB2653" i="7"/>
  <c r="AC2653" i="7"/>
  <c r="AD2653" i="7"/>
  <c r="AE2653" i="7"/>
  <c r="Q2654" i="7"/>
  <c r="R2654" i="7"/>
  <c r="S2654" i="7"/>
  <c r="T2654" i="7"/>
  <c r="U2654" i="7"/>
  <c r="V2654" i="7"/>
  <c r="W2654" i="7"/>
  <c r="X2654" i="7"/>
  <c r="Y2654" i="7"/>
  <c r="Z2654" i="7"/>
  <c r="AA2654" i="7"/>
  <c r="AB2654" i="7"/>
  <c r="AC2654" i="7"/>
  <c r="AD2654" i="7"/>
  <c r="AE2654" i="7"/>
  <c r="Q2655" i="7"/>
  <c r="R2655" i="7"/>
  <c r="S2655" i="7"/>
  <c r="T2655" i="7"/>
  <c r="U2655" i="7"/>
  <c r="V2655" i="7"/>
  <c r="W2655" i="7"/>
  <c r="X2655" i="7"/>
  <c r="Y2655" i="7"/>
  <c r="Z2655" i="7"/>
  <c r="AA2655" i="7"/>
  <c r="AB2655" i="7"/>
  <c r="AC2655" i="7"/>
  <c r="AD2655" i="7"/>
  <c r="AE2655" i="7"/>
  <c r="Q2656" i="7"/>
  <c r="R2656" i="7"/>
  <c r="S2656" i="7"/>
  <c r="T2656" i="7"/>
  <c r="U2656" i="7"/>
  <c r="V2656" i="7"/>
  <c r="W2656" i="7"/>
  <c r="X2656" i="7"/>
  <c r="Y2656" i="7"/>
  <c r="Z2656" i="7"/>
  <c r="AA2656" i="7"/>
  <c r="AB2656" i="7"/>
  <c r="AC2656" i="7"/>
  <c r="AD2656" i="7"/>
  <c r="AE2656" i="7"/>
  <c r="Q2657" i="7"/>
  <c r="R2657" i="7"/>
  <c r="S2657" i="7"/>
  <c r="T2657" i="7"/>
  <c r="U2657" i="7"/>
  <c r="V2657" i="7"/>
  <c r="W2657" i="7"/>
  <c r="X2657" i="7"/>
  <c r="Y2657" i="7"/>
  <c r="Z2657" i="7"/>
  <c r="AA2657" i="7"/>
  <c r="AB2657" i="7"/>
  <c r="AC2657" i="7"/>
  <c r="AD2657" i="7"/>
  <c r="AE2657" i="7"/>
  <c r="Q2658" i="7"/>
  <c r="R2658" i="7"/>
  <c r="S2658" i="7"/>
  <c r="T2658" i="7"/>
  <c r="U2658" i="7"/>
  <c r="V2658" i="7"/>
  <c r="W2658" i="7"/>
  <c r="X2658" i="7"/>
  <c r="Y2658" i="7"/>
  <c r="Z2658" i="7"/>
  <c r="AA2658" i="7"/>
  <c r="AB2658" i="7"/>
  <c r="AC2658" i="7"/>
  <c r="AD2658" i="7"/>
  <c r="AE2658" i="7"/>
  <c r="Q2659" i="7"/>
  <c r="R2659" i="7"/>
  <c r="S2659" i="7"/>
  <c r="T2659" i="7"/>
  <c r="U2659" i="7"/>
  <c r="V2659" i="7"/>
  <c r="W2659" i="7"/>
  <c r="X2659" i="7"/>
  <c r="Y2659" i="7"/>
  <c r="Z2659" i="7"/>
  <c r="AA2659" i="7"/>
  <c r="AB2659" i="7"/>
  <c r="AC2659" i="7"/>
  <c r="AD2659" i="7"/>
  <c r="AE2659" i="7"/>
  <c r="Q2660" i="7"/>
  <c r="R2660" i="7"/>
  <c r="S2660" i="7"/>
  <c r="T2660" i="7"/>
  <c r="U2660" i="7"/>
  <c r="V2660" i="7"/>
  <c r="W2660" i="7"/>
  <c r="X2660" i="7"/>
  <c r="Y2660" i="7"/>
  <c r="Z2660" i="7"/>
  <c r="AA2660" i="7"/>
  <c r="AB2660" i="7"/>
  <c r="AC2660" i="7"/>
  <c r="AD2660" i="7"/>
  <c r="AE2660" i="7"/>
  <c r="Q2661" i="7"/>
  <c r="R2661" i="7"/>
  <c r="S2661" i="7"/>
  <c r="T2661" i="7"/>
  <c r="U2661" i="7"/>
  <c r="V2661" i="7"/>
  <c r="W2661" i="7"/>
  <c r="X2661" i="7"/>
  <c r="Y2661" i="7"/>
  <c r="Z2661" i="7"/>
  <c r="AA2661" i="7"/>
  <c r="AB2661" i="7"/>
  <c r="AC2661" i="7"/>
  <c r="AD2661" i="7"/>
  <c r="AE2661" i="7"/>
  <c r="Q2662" i="7"/>
  <c r="R2662" i="7"/>
  <c r="S2662" i="7"/>
  <c r="T2662" i="7"/>
  <c r="U2662" i="7"/>
  <c r="V2662" i="7"/>
  <c r="W2662" i="7"/>
  <c r="X2662" i="7"/>
  <c r="Y2662" i="7"/>
  <c r="Z2662" i="7"/>
  <c r="AA2662" i="7"/>
  <c r="AB2662" i="7"/>
  <c r="AC2662" i="7"/>
  <c r="AD2662" i="7"/>
  <c r="AE2662" i="7"/>
  <c r="Q2663" i="7"/>
  <c r="R2663" i="7"/>
  <c r="S2663" i="7"/>
  <c r="T2663" i="7"/>
  <c r="U2663" i="7"/>
  <c r="V2663" i="7"/>
  <c r="W2663" i="7"/>
  <c r="X2663" i="7"/>
  <c r="Y2663" i="7"/>
  <c r="Z2663" i="7"/>
  <c r="AA2663" i="7"/>
  <c r="AB2663" i="7"/>
  <c r="AC2663" i="7"/>
  <c r="AD2663" i="7"/>
  <c r="AE2663" i="7"/>
  <c r="Q2664" i="7"/>
  <c r="R2664" i="7"/>
  <c r="S2664" i="7"/>
  <c r="T2664" i="7"/>
  <c r="U2664" i="7"/>
  <c r="V2664" i="7"/>
  <c r="W2664" i="7"/>
  <c r="X2664" i="7"/>
  <c r="Y2664" i="7"/>
  <c r="Z2664" i="7"/>
  <c r="AA2664" i="7"/>
  <c r="AB2664" i="7"/>
  <c r="AC2664" i="7"/>
  <c r="AD2664" i="7"/>
  <c r="AE2664" i="7"/>
  <c r="Q2665" i="7"/>
  <c r="R2665" i="7"/>
  <c r="S2665" i="7"/>
  <c r="T2665" i="7"/>
  <c r="U2665" i="7"/>
  <c r="V2665" i="7"/>
  <c r="W2665" i="7"/>
  <c r="X2665" i="7"/>
  <c r="Y2665" i="7"/>
  <c r="Z2665" i="7"/>
  <c r="AA2665" i="7"/>
  <c r="AB2665" i="7"/>
  <c r="AC2665" i="7"/>
  <c r="AD2665" i="7"/>
  <c r="AE2665" i="7"/>
  <c r="Q2666" i="7"/>
  <c r="R2666" i="7"/>
  <c r="S2666" i="7"/>
  <c r="T2666" i="7"/>
  <c r="U2666" i="7"/>
  <c r="V2666" i="7"/>
  <c r="W2666" i="7"/>
  <c r="X2666" i="7"/>
  <c r="Y2666" i="7"/>
  <c r="Z2666" i="7"/>
  <c r="AA2666" i="7"/>
  <c r="AB2666" i="7"/>
  <c r="AC2666" i="7"/>
  <c r="AD2666" i="7"/>
  <c r="AE2666" i="7"/>
  <c r="Q2667" i="7"/>
  <c r="R2667" i="7"/>
  <c r="S2667" i="7"/>
  <c r="T2667" i="7"/>
  <c r="U2667" i="7"/>
  <c r="V2667" i="7"/>
  <c r="W2667" i="7"/>
  <c r="X2667" i="7"/>
  <c r="Y2667" i="7"/>
  <c r="Z2667" i="7"/>
  <c r="AA2667" i="7"/>
  <c r="AB2667" i="7"/>
  <c r="AC2667" i="7"/>
  <c r="AD2667" i="7"/>
  <c r="AE2667" i="7"/>
  <c r="Q2668" i="7"/>
  <c r="R2668" i="7"/>
  <c r="S2668" i="7"/>
  <c r="T2668" i="7"/>
  <c r="U2668" i="7"/>
  <c r="V2668" i="7"/>
  <c r="W2668" i="7"/>
  <c r="X2668" i="7"/>
  <c r="Y2668" i="7"/>
  <c r="Z2668" i="7"/>
  <c r="AA2668" i="7"/>
  <c r="AB2668" i="7"/>
  <c r="AC2668" i="7"/>
  <c r="AD2668" i="7"/>
  <c r="AE2668" i="7"/>
  <c r="Q2669" i="7"/>
  <c r="R2669" i="7"/>
  <c r="S2669" i="7"/>
  <c r="T2669" i="7"/>
  <c r="U2669" i="7"/>
  <c r="V2669" i="7"/>
  <c r="W2669" i="7"/>
  <c r="X2669" i="7"/>
  <c r="Y2669" i="7"/>
  <c r="Z2669" i="7"/>
  <c r="AA2669" i="7"/>
  <c r="AB2669" i="7"/>
  <c r="AC2669" i="7"/>
  <c r="AD2669" i="7"/>
  <c r="AE2669" i="7"/>
  <c r="Q2670" i="7"/>
  <c r="R2670" i="7"/>
  <c r="S2670" i="7"/>
  <c r="T2670" i="7"/>
  <c r="U2670" i="7"/>
  <c r="V2670" i="7"/>
  <c r="W2670" i="7"/>
  <c r="X2670" i="7"/>
  <c r="Y2670" i="7"/>
  <c r="Z2670" i="7"/>
  <c r="AA2670" i="7"/>
  <c r="AB2670" i="7"/>
  <c r="AC2670" i="7"/>
  <c r="AD2670" i="7"/>
  <c r="AE2670" i="7"/>
  <c r="Q2671" i="7"/>
  <c r="R2671" i="7"/>
  <c r="S2671" i="7"/>
  <c r="T2671" i="7"/>
  <c r="U2671" i="7"/>
  <c r="V2671" i="7"/>
  <c r="W2671" i="7"/>
  <c r="X2671" i="7"/>
  <c r="Y2671" i="7"/>
  <c r="Z2671" i="7"/>
  <c r="AA2671" i="7"/>
  <c r="AB2671" i="7"/>
  <c r="AC2671" i="7"/>
  <c r="AD2671" i="7"/>
  <c r="AE2671" i="7"/>
  <c r="Q2672" i="7"/>
  <c r="R2672" i="7"/>
  <c r="S2672" i="7"/>
  <c r="T2672" i="7"/>
  <c r="U2672" i="7"/>
  <c r="V2672" i="7"/>
  <c r="W2672" i="7"/>
  <c r="X2672" i="7"/>
  <c r="Y2672" i="7"/>
  <c r="Z2672" i="7"/>
  <c r="AA2672" i="7"/>
  <c r="AB2672" i="7"/>
  <c r="AC2672" i="7"/>
  <c r="AD2672" i="7"/>
  <c r="AE2672" i="7"/>
  <c r="Q2673" i="7"/>
  <c r="R2673" i="7"/>
  <c r="S2673" i="7"/>
  <c r="T2673" i="7"/>
  <c r="U2673" i="7"/>
  <c r="V2673" i="7"/>
  <c r="W2673" i="7"/>
  <c r="X2673" i="7"/>
  <c r="Y2673" i="7"/>
  <c r="Z2673" i="7"/>
  <c r="AA2673" i="7"/>
  <c r="AB2673" i="7"/>
  <c r="AC2673" i="7"/>
  <c r="AD2673" i="7"/>
  <c r="AE2673" i="7"/>
  <c r="Q2674" i="7"/>
  <c r="R2674" i="7"/>
  <c r="S2674" i="7"/>
  <c r="T2674" i="7"/>
  <c r="U2674" i="7"/>
  <c r="V2674" i="7"/>
  <c r="W2674" i="7"/>
  <c r="X2674" i="7"/>
  <c r="Y2674" i="7"/>
  <c r="Z2674" i="7"/>
  <c r="AA2674" i="7"/>
  <c r="AB2674" i="7"/>
  <c r="AC2674" i="7"/>
  <c r="AD2674" i="7"/>
  <c r="AE2674" i="7"/>
  <c r="Q2675" i="7"/>
  <c r="R2675" i="7"/>
  <c r="S2675" i="7"/>
  <c r="T2675" i="7"/>
  <c r="U2675" i="7"/>
  <c r="V2675" i="7"/>
  <c r="W2675" i="7"/>
  <c r="X2675" i="7"/>
  <c r="Y2675" i="7"/>
  <c r="Z2675" i="7"/>
  <c r="AA2675" i="7"/>
  <c r="AB2675" i="7"/>
  <c r="AC2675" i="7"/>
  <c r="AD2675" i="7"/>
  <c r="AE2675" i="7"/>
  <c r="Q2676" i="7"/>
  <c r="R2676" i="7"/>
  <c r="S2676" i="7"/>
  <c r="T2676" i="7"/>
  <c r="U2676" i="7"/>
  <c r="V2676" i="7"/>
  <c r="W2676" i="7"/>
  <c r="X2676" i="7"/>
  <c r="Y2676" i="7"/>
  <c r="Z2676" i="7"/>
  <c r="AA2676" i="7"/>
  <c r="AB2676" i="7"/>
  <c r="AC2676" i="7"/>
  <c r="AD2676" i="7"/>
  <c r="AE2676" i="7"/>
  <c r="Q2677" i="7"/>
  <c r="R2677" i="7"/>
  <c r="S2677" i="7"/>
  <c r="T2677" i="7"/>
  <c r="U2677" i="7"/>
  <c r="V2677" i="7"/>
  <c r="W2677" i="7"/>
  <c r="X2677" i="7"/>
  <c r="Y2677" i="7"/>
  <c r="Z2677" i="7"/>
  <c r="AA2677" i="7"/>
  <c r="AB2677" i="7"/>
  <c r="AC2677" i="7"/>
  <c r="AD2677" i="7"/>
  <c r="AE2677" i="7"/>
  <c r="Q2678" i="7"/>
  <c r="R2678" i="7"/>
  <c r="S2678" i="7"/>
  <c r="T2678" i="7"/>
  <c r="U2678" i="7"/>
  <c r="V2678" i="7"/>
  <c r="W2678" i="7"/>
  <c r="X2678" i="7"/>
  <c r="Y2678" i="7"/>
  <c r="Z2678" i="7"/>
  <c r="AA2678" i="7"/>
  <c r="AB2678" i="7"/>
  <c r="AC2678" i="7"/>
  <c r="AD2678" i="7"/>
  <c r="AE2678" i="7"/>
  <c r="Q2679" i="7"/>
  <c r="R2679" i="7"/>
  <c r="S2679" i="7"/>
  <c r="T2679" i="7"/>
  <c r="U2679" i="7"/>
  <c r="V2679" i="7"/>
  <c r="W2679" i="7"/>
  <c r="X2679" i="7"/>
  <c r="Y2679" i="7"/>
  <c r="Z2679" i="7"/>
  <c r="AA2679" i="7"/>
  <c r="AB2679" i="7"/>
  <c r="AC2679" i="7"/>
  <c r="AD2679" i="7"/>
  <c r="AE2679" i="7"/>
  <c r="Q2680" i="7"/>
  <c r="R2680" i="7"/>
  <c r="S2680" i="7"/>
  <c r="T2680" i="7"/>
  <c r="U2680" i="7"/>
  <c r="V2680" i="7"/>
  <c r="W2680" i="7"/>
  <c r="X2680" i="7"/>
  <c r="Y2680" i="7"/>
  <c r="Z2680" i="7"/>
  <c r="AA2680" i="7"/>
  <c r="AB2680" i="7"/>
  <c r="AC2680" i="7"/>
  <c r="AD2680" i="7"/>
  <c r="AE2680" i="7"/>
  <c r="Q2681" i="7"/>
  <c r="R2681" i="7"/>
  <c r="S2681" i="7"/>
  <c r="T2681" i="7"/>
  <c r="U2681" i="7"/>
  <c r="V2681" i="7"/>
  <c r="W2681" i="7"/>
  <c r="X2681" i="7"/>
  <c r="Y2681" i="7"/>
  <c r="Z2681" i="7"/>
  <c r="AA2681" i="7"/>
  <c r="AB2681" i="7"/>
  <c r="AC2681" i="7"/>
  <c r="AD2681" i="7"/>
  <c r="AE2681" i="7"/>
  <c r="Q2682" i="7"/>
  <c r="R2682" i="7"/>
  <c r="S2682" i="7"/>
  <c r="T2682" i="7"/>
  <c r="U2682" i="7"/>
  <c r="V2682" i="7"/>
  <c r="W2682" i="7"/>
  <c r="X2682" i="7"/>
  <c r="Y2682" i="7"/>
  <c r="Z2682" i="7"/>
  <c r="AA2682" i="7"/>
  <c r="AB2682" i="7"/>
  <c r="AC2682" i="7"/>
  <c r="AD2682" i="7"/>
  <c r="AE2682" i="7"/>
  <c r="Q2683" i="7"/>
  <c r="R2683" i="7"/>
  <c r="S2683" i="7"/>
  <c r="T2683" i="7"/>
  <c r="U2683" i="7"/>
  <c r="V2683" i="7"/>
  <c r="W2683" i="7"/>
  <c r="X2683" i="7"/>
  <c r="Y2683" i="7"/>
  <c r="Z2683" i="7"/>
  <c r="AA2683" i="7"/>
  <c r="AB2683" i="7"/>
  <c r="AC2683" i="7"/>
  <c r="AD2683" i="7"/>
  <c r="AE2683" i="7"/>
  <c r="Q2684" i="7"/>
  <c r="R2684" i="7"/>
  <c r="S2684" i="7"/>
  <c r="T2684" i="7"/>
  <c r="U2684" i="7"/>
  <c r="V2684" i="7"/>
  <c r="W2684" i="7"/>
  <c r="X2684" i="7"/>
  <c r="Y2684" i="7"/>
  <c r="Z2684" i="7"/>
  <c r="AA2684" i="7"/>
  <c r="AB2684" i="7"/>
  <c r="AC2684" i="7"/>
  <c r="AD2684" i="7"/>
  <c r="AE2684" i="7"/>
  <c r="Q2685" i="7"/>
  <c r="R2685" i="7"/>
  <c r="S2685" i="7"/>
  <c r="T2685" i="7"/>
  <c r="U2685" i="7"/>
  <c r="V2685" i="7"/>
  <c r="W2685" i="7"/>
  <c r="X2685" i="7"/>
  <c r="Y2685" i="7"/>
  <c r="Z2685" i="7"/>
  <c r="AA2685" i="7"/>
  <c r="AB2685" i="7"/>
  <c r="AC2685" i="7"/>
  <c r="AD2685" i="7"/>
  <c r="AE2685" i="7"/>
  <c r="Q2686" i="7"/>
  <c r="R2686" i="7"/>
  <c r="S2686" i="7"/>
  <c r="T2686" i="7"/>
  <c r="U2686" i="7"/>
  <c r="V2686" i="7"/>
  <c r="W2686" i="7"/>
  <c r="X2686" i="7"/>
  <c r="Y2686" i="7"/>
  <c r="Z2686" i="7"/>
  <c r="AA2686" i="7"/>
  <c r="AB2686" i="7"/>
  <c r="AC2686" i="7"/>
  <c r="AD2686" i="7"/>
  <c r="AE2686" i="7"/>
  <c r="Q2687" i="7"/>
  <c r="R2687" i="7"/>
  <c r="S2687" i="7"/>
  <c r="T2687" i="7"/>
  <c r="U2687" i="7"/>
  <c r="V2687" i="7"/>
  <c r="W2687" i="7"/>
  <c r="X2687" i="7"/>
  <c r="Y2687" i="7"/>
  <c r="Z2687" i="7"/>
  <c r="AA2687" i="7"/>
  <c r="AB2687" i="7"/>
  <c r="AC2687" i="7"/>
  <c r="AD2687" i="7"/>
  <c r="AE2687" i="7"/>
  <c r="Q2688" i="7"/>
  <c r="R2688" i="7"/>
  <c r="S2688" i="7"/>
  <c r="T2688" i="7"/>
  <c r="U2688" i="7"/>
  <c r="V2688" i="7"/>
  <c r="W2688" i="7"/>
  <c r="X2688" i="7"/>
  <c r="Y2688" i="7"/>
  <c r="Z2688" i="7"/>
  <c r="AA2688" i="7"/>
  <c r="AB2688" i="7"/>
  <c r="AC2688" i="7"/>
  <c r="AD2688" i="7"/>
  <c r="AE2688" i="7"/>
  <c r="Q2689" i="7"/>
  <c r="R2689" i="7"/>
  <c r="S2689" i="7"/>
  <c r="T2689" i="7"/>
  <c r="U2689" i="7"/>
  <c r="V2689" i="7"/>
  <c r="W2689" i="7"/>
  <c r="X2689" i="7"/>
  <c r="Y2689" i="7"/>
  <c r="Z2689" i="7"/>
  <c r="AA2689" i="7"/>
  <c r="AB2689" i="7"/>
  <c r="AC2689" i="7"/>
  <c r="AD2689" i="7"/>
  <c r="AE2689" i="7"/>
  <c r="Q2690" i="7"/>
  <c r="R2690" i="7"/>
  <c r="S2690" i="7"/>
  <c r="T2690" i="7"/>
  <c r="U2690" i="7"/>
  <c r="V2690" i="7"/>
  <c r="W2690" i="7"/>
  <c r="X2690" i="7"/>
  <c r="Y2690" i="7"/>
  <c r="Z2690" i="7"/>
  <c r="AA2690" i="7"/>
  <c r="AB2690" i="7"/>
  <c r="AC2690" i="7"/>
  <c r="AD2690" i="7"/>
  <c r="AE2690" i="7"/>
  <c r="Q2691" i="7"/>
  <c r="R2691" i="7"/>
  <c r="S2691" i="7"/>
  <c r="T2691" i="7"/>
  <c r="U2691" i="7"/>
  <c r="V2691" i="7"/>
  <c r="W2691" i="7"/>
  <c r="X2691" i="7"/>
  <c r="Y2691" i="7"/>
  <c r="Z2691" i="7"/>
  <c r="AA2691" i="7"/>
  <c r="AB2691" i="7"/>
  <c r="AC2691" i="7"/>
  <c r="AD2691" i="7"/>
  <c r="AE2691" i="7"/>
  <c r="Q2692" i="7"/>
  <c r="R2692" i="7"/>
  <c r="S2692" i="7"/>
  <c r="T2692" i="7"/>
  <c r="U2692" i="7"/>
  <c r="V2692" i="7"/>
  <c r="W2692" i="7"/>
  <c r="X2692" i="7"/>
  <c r="Y2692" i="7"/>
  <c r="Z2692" i="7"/>
  <c r="AA2692" i="7"/>
  <c r="AB2692" i="7"/>
  <c r="AC2692" i="7"/>
  <c r="AD2692" i="7"/>
  <c r="AE2692" i="7"/>
  <c r="Q2693" i="7"/>
  <c r="R2693" i="7"/>
  <c r="S2693" i="7"/>
  <c r="T2693" i="7"/>
  <c r="U2693" i="7"/>
  <c r="V2693" i="7"/>
  <c r="W2693" i="7"/>
  <c r="X2693" i="7"/>
  <c r="Y2693" i="7"/>
  <c r="Z2693" i="7"/>
  <c r="AA2693" i="7"/>
  <c r="AB2693" i="7"/>
  <c r="AC2693" i="7"/>
  <c r="AD2693" i="7"/>
  <c r="AE2693" i="7"/>
  <c r="Q2694" i="7"/>
  <c r="R2694" i="7"/>
  <c r="S2694" i="7"/>
  <c r="T2694" i="7"/>
  <c r="U2694" i="7"/>
  <c r="V2694" i="7"/>
  <c r="W2694" i="7"/>
  <c r="X2694" i="7"/>
  <c r="Y2694" i="7"/>
  <c r="Z2694" i="7"/>
  <c r="AA2694" i="7"/>
  <c r="AB2694" i="7"/>
  <c r="AC2694" i="7"/>
  <c r="AD2694" i="7"/>
  <c r="AE2694" i="7"/>
  <c r="Q2695" i="7"/>
  <c r="R2695" i="7"/>
  <c r="S2695" i="7"/>
  <c r="T2695" i="7"/>
  <c r="U2695" i="7"/>
  <c r="V2695" i="7"/>
  <c r="W2695" i="7"/>
  <c r="X2695" i="7"/>
  <c r="Y2695" i="7"/>
  <c r="Z2695" i="7"/>
  <c r="AA2695" i="7"/>
  <c r="AB2695" i="7"/>
  <c r="AC2695" i="7"/>
  <c r="AD2695" i="7"/>
  <c r="AE2695" i="7"/>
  <c r="Q2696" i="7"/>
  <c r="R2696" i="7"/>
  <c r="S2696" i="7"/>
  <c r="T2696" i="7"/>
  <c r="U2696" i="7"/>
  <c r="V2696" i="7"/>
  <c r="W2696" i="7"/>
  <c r="X2696" i="7"/>
  <c r="Y2696" i="7"/>
  <c r="Z2696" i="7"/>
  <c r="AA2696" i="7"/>
  <c r="AB2696" i="7"/>
  <c r="AC2696" i="7"/>
  <c r="AD2696" i="7"/>
  <c r="AE2696" i="7"/>
  <c r="Q2697" i="7"/>
  <c r="R2697" i="7"/>
  <c r="S2697" i="7"/>
  <c r="T2697" i="7"/>
  <c r="U2697" i="7"/>
  <c r="V2697" i="7"/>
  <c r="W2697" i="7"/>
  <c r="X2697" i="7"/>
  <c r="Y2697" i="7"/>
  <c r="Z2697" i="7"/>
  <c r="AA2697" i="7"/>
  <c r="AB2697" i="7"/>
  <c r="AC2697" i="7"/>
  <c r="AD2697" i="7"/>
  <c r="AE2697" i="7"/>
  <c r="Q2698" i="7"/>
  <c r="R2698" i="7"/>
  <c r="S2698" i="7"/>
  <c r="T2698" i="7"/>
  <c r="U2698" i="7"/>
  <c r="V2698" i="7"/>
  <c r="W2698" i="7"/>
  <c r="X2698" i="7"/>
  <c r="Y2698" i="7"/>
  <c r="Z2698" i="7"/>
  <c r="AA2698" i="7"/>
  <c r="AB2698" i="7"/>
  <c r="AC2698" i="7"/>
  <c r="AD2698" i="7"/>
  <c r="AE2698" i="7"/>
  <c r="Q2699" i="7"/>
  <c r="R2699" i="7"/>
  <c r="S2699" i="7"/>
  <c r="T2699" i="7"/>
  <c r="U2699" i="7"/>
  <c r="V2699" i="7"/>
  <c r="W2699" i="7"/>
  <c r="X2699" i="7"/>
  <c r="Y2699" i="7"/>
  <c r="Z2699" i="7"/>
  <c r="AA2699" i="7"/>
  <c r="AB2699" i="7"/>
  <c r="AC2699" i="7"/>
  <c r="AD2699" i="7"/>
  <c r="AE2699" i="7"/>
  <c r="Q2700" i="7"/>
  <c r="R2700" i="7"/>
  <c r="S2700" i="7"/>
  <c r="T2700" i="7"/>
  <c r="U2700" i="7"/>
  <c r="V2700" i="7"/>
  <c r="W2700" i="7"/>
  <c r="X2700" i="7"/>
  <c r="Y2700" i="7"/>
  <c r="Z2700" i="7"/>
  <c r="AA2700" i="7"/>
  <c r="AB2700" i="7"/>
  <c r="AC2700" i="7"/>
  <c r="AD2700" i="7"/>
  <c r="AE2700" i="7"/>
  <c r="Q2701" i="7"/>
  <c r="R2701" i="7"/>
  <c r="S2701" i="7"/>
  <c r="T2701" i="7"/>
  <c r="U2701" i="7"/>
  <c r="V2701" i="7"/>
  <c r="W2701" i="7"/>
  <c r="X2701" i="7"/>
  <c r="Y2701" i="7"/>
  <c r="Z2701" i="7"/>
  <c r="AA2701" i="7"/>
  <c r="AB2701" i="7"/>
  <c r="AC2701" i="7"/>
  <c r="AD2701" i="7"/>
  <c r="AE2701" i="7"/>
  <c r="Q2702" i="7"/>
  <c r="R2702" i="7"/>
  <c r="S2702" i="7"/>
  <c r="T2702" i="7"/>
  <c r="U2702" i="7"/>
  <c r="V2702" i="7"/>
  <c r="W2702" i="7"/>
  <c r="X2702" i="7"/>
  <c r="Y2702" i="7"/>
  <c r="Z2702" i="7"/>
  <c r="AA2702" i="7"/>
  <c r="AB2702" i="7"/>
  <c r="AC2702" i="7"/>
  <c r="AD2702" i="7"/>
  <c r="AE2702" i="7"/>
  <c r="Q2703" i="7"/>
  <c r="R2703" i="7"/>
  <c r="S2703" i="7"/>
  <c r="T2703" i="7"/>
  <c r="U2703" i="7"/>
  <c r="V2703" i="7"/>
  <c r="W2703" i="7"/>
  <c r="X2703" i="7"/>
  <c r="Y2703" i="7"/>
  <c r="Z2703" i="7"/>
  <c r="AA2703" i="7"/>
  <c r="AB2703" i="7"/>
  <c r="AC2703" i="7"/>
  <c r="AD2703" i="7"/>
  <c r="AE2703" i="7"/>
  <c r="Q2704" i="7"/>
  <c r="R2704" i="7"/>
  <c r="S2704" i="7"/>
  <c r="T2704" i="7"/>
  <c r="U2704" i="7"/>
  <c r="V2704" i="7"/>
  <c r="W2704" i="7"/>
  <c r="X2704" i="7"/>
  <c r="Y2704" i="7"/>
  <c r="Z2704" i="7"/>
  <c r="AA2704" i="7"/>
  <c r="AB2704" i="7"/>
  <c r="AC2704" i="7"/>
  <c r="AD2704" i="7"/>
  <c r="AE2704" i="7"/>
  <c r="Q2705" i="7"/>
  <c r="R2705" i="7"/>
  <c r="S2705" i="7"/>
  <c r="T2705" i="7"/>
  <c r="U2705" i="7"/>
  <c r="V2705" i="7"/>
  <c r="W2705" i="7"/>
  <c r="X2705" i="7"/>
  <c r="Y2705" i="7"/>
  <c r="Z2705" i="7"/>
  <c r="AA2705" i="7"/>
  <c r="AB2705" i="7"/>
  <c r="AC2705" i="7"/>
  <c r="AD2705" i="7"/>
  <c r="AE2705" i="7"/>
  <c r="Q2706" i="7"/>
  <c r="R2706" i="7"/>
  <c r="S2706" i="7"/>
  <c r="T2706" i="7"/>
  <c r="U2706" i="7"/>
  <c r="V2706" i="7"/>
  <c r="W2706" i="7"/>
  <c r="X2706" i="7"/>
  <c r="Y2706" i="7"/>
  <c r="Z2706" i="7"/>
  <c r="AA2706" i="7"/>
  <c r="AB2706" i="7"/>
  <c r="AC2706" i="7"/>
  <c r="AD2706" i="7"/>
  <c r="AE2706" i="7"/>
  <c r="Q2707" i="7"/>
  <c r="R2707" i="7"/>
  <c r="S2707" i="7"/>
  <c r="T2707" i="7"/>
  <c r="U2707" i="7"/>
  <c r="V2707" i="7"/>
  <c r="W2707" i="7"/>
  <c r="X2707" i="7"/>
  <c r="Y2707" i="7"/>
  <c r="Z2707" i="7"/>
  <c r="AA2707" i="7"/>
  <c r="AB2707" i="7"/>
  <c r="AC2707" i="7"/>
  <c r="AD2707" i="7"/>
  <c r="AE2707" i="7"/>
  <c r="Q2708" i="7"/>
  <c r="R2708" i="7"/>
  <c r="S2708" i="7"/>
  <c r="T2708" i="7"/>
  <c r="U2708" i="7"/>
  <c r="V2708" i="7"/>
  <c r="W2708" i="7"/>
  <c r="X2708" i="7"/>
  <c r="Y2708" i="7"/>
  <c r="Z2708" i="7"/>
  <c r="AA2708" i="7"/>
  <c r="AB2708" i="7"/>
  <c r="AC2708" i="7"/>
  <c r="AD2708" i="7"/>
  <c r="AE2708" i="7"/>
  <c r="Q2709" i="7"/>
  <c r="R2709" i="7"/>
  <c r="S2709" i="7"/>
  <c r="T2709" i="7"/>
  <c r="U2709" i="7"/>
  <c r="V2709" i="7"/>
  <c r="W2709" i="7"/>
  <c r="X2709" i="7"/>
  <c r="Y2709" i="7"/>
  <c r="Z2709" i="7"/>
  <c r="AA2709" i="7"/>
  <c r="AB2709" i="7"/>
  <c r="AC2709" i="7"/>
  <c r="AD2709" i="7"/>
  <c r="AE2709" i="7"/>
  <c r="Q2710" i="7"/>
  <c r="R2710" i="7"/>
  <c r="S2710" i="7"/>
  <c r="T2710" i="7"/>
  <c r="U2710" i="7"/>
  <c r="V2710" i="7"/>
  <c r="W2710" i="7"/>
  <c r="X2710" i="7"/>
  <c r="Y2710" i="7"/>
  <c r="Z2710" i="7"/>
  <c r="AA2710" i="7"/>
  <c r="AB2710" i="7"/>
  <c r="AC2710" i="7"/>
  <c r="AD2710" i="7"/>
  <c r="AE2710" i="7"/>
  <c r="Q2711" i="7"/>
  <c r="R2711" i="7"/>
  <c r="S2711" i="7"/>
  <c r="T2711" i="7"/>
  <c r="U2711" i="7"/>
  <c r="V2711" i="7"/>
  <c r="W2711" i="7"/>
  <c r="X2711" i="7"/>
  <c r="Y2711" i="7"/>
  <c r="Z2711" i="7"/>
  <c r="AA2711" i="7"/>
  <c r="AB2711" i="7"/>
  <c r="AC2711" i="7"/>
  <c r="AD2711" i="7"/>
  <c r="AE2711" i="7"/>
  <c r="Q2712" i="7"/>
  <c r="R2712" i="7"/>
  <c r="S2712" i="7"/>
  <c r="T2712" i="7"/>
  <c r="U2712" i="7"/>
  <c r="V2712" i="7"/>
  <c r="W2712" i="7"/>
  <c r="X2712" i="7"/>
  <c r="Y2712" i="7"/>
  <c r="Z2712" i="7"/>
  <c r="AA2712" i="7"/>
  <c r="AB2712" i="7"/>
  <c r="AC2712" i="7"/>
  <c r="AD2712" i="7"/>
  <c r="AE2712" i="7"/>
  <c r="Q2713" i="7"/>
  <c r="R2713" i="7"/>
  <c r="S2713" i="7"/>
  <c r="T2713" i="7"/>
  <c r="U2713" i="7"/>
  <c r="V2713" i="7"/>
  <c r="W2713" i="7"/>
  <c r="X2713" i="7"/>
  <c r="Y2713" i="7"/>
  <c r="Z2713" i="7"/>
  <c r="AA2713" i="7"/>
  <c r="AB2713" i="7"/>
  <c r="AC2713" i="7"/>
  <c r="AD2713" i="7"/>
  <c r="AE2713" i="7"/>
  <c r="Q2714" i="7"/>
  <c r="R2714" i="7"/>
  <c r="S2714" i="7"/>
  <c r="T2714" i="7"/>
  <c r="U2714" i="7"/>
  <c r="V2714" i="7"/>
  <c r="W2714" i="7"/>
  <c r="X2714" i="7"/>
  <c r="Y2714" i="7"/>
  <c r="Z2714" i="7"/>
  <c r="AA2714" i="7"/>
  <c r="AB2714" i="7"/>
  <c r="AC2714" i="7"/>
  <c r="AD2714" i="7"/>
  <c r="AE2714" i="7"/>
  <c r="Q2715" i="7"/>
  <c r="R2715" i="7"/>
  <c r="S2715" i="7"/>
  <c r="T2715" i="7"/>
  <c r="U2715" i="7"/>
  <c r="V2715" i="7"/>
  <c r="W2715" i="7"/>
  <c r="X2715" i="7"/>
  <c r="Y2715" i="7"/>
  <c r="Z2715" i="7"/>
  <c r="AA2715" i="7"/>
  <c r="AB2715" i="7"/>
  <c r="AC2715" i="7"/>
  <c r="AD2715" i="7"/>
  <c r="AE2715" i="7"/>
  <c r="Q2716" i="7"/>
  <c r="R2716" i="7"/>
  <c r="S2716" i="7"/>
  <c r="T2716" i="7"/>
  <c r="U2716" i="7"/>
  <c r="V2716" i="7"/>
  <c r="W2716" i="7"/>
  <c r="X2716" i="7"/>
  <c r="Y2716" i="7"/>
  <c r="Z2716" i="7"/>
  <c r="AA2716" i="7"/>
  <c r="AB2716" i="7"/>
  <c r="AC2716" i="7"/>
  <c r="AD2716" i="7"/>
  <c r="AE2716" i="7"/>
  <c r="Q2717" i="7"/>
  <c r="R2717" i="7"/>
  <c r="S2717" i="7"/>
  <c r="T2717" i="7"/>
  <c r="U2717" i="7"/>
  <c r="V2717" i="7"/>
  <c r="W2717" i="7"/>
  <c r="X2717" i="7"/>
  <c r="Y2717" i="7"/>
  <c r="Z2717" i="7"/>
  <c r="AA2717" i="7"/>
  <c r="AB2717" i="7"/>
  <c r="AC2717" i="7"/>
  <c r="AD2717" i="7"/>
  <c r="AE2717" i="7"/>
  <c r="Q2718" i="7"/>
  <c r="R2718" i="7"/>
  <c r="S2718" i="7"/>
  <c r="T2718" i="7"/>
  <c r="U2718" i="7"/>
  <c r="V2718" i="7"/>
  <c r="W2718" i="7"/>
  <c r="X2718" i="7"/>
  <c r="Y2718" i="7"/>
  <c r="Z2718" i="7"/>
  <c r="AA2718" i="7"/>
  <c r="AB2718" i="7"/>
  <c r="AC2718" i="7"/>
  <c r="AD2718" i="7"/>
  <c r="AE2718" i="7"/>
  <c r="Q2719" i="7"/>
  <c r="R2719" i="7"/>
  <c r="S2719" i="7"/>
  <c r="T2719" i="7"/>
  <c r="U2719" i="7"/>
  <c r="V2719" i="7"/>
  <c r="W2719" i="7"/>
  <c r="X2719" i="7"/>
  <c r="Y2719" i="7"/>
  <c r="Z2719" i="7"/>
  <c r="AA2719" i="7"/>
  <c r="AB2719" i="7"/>
  <c r="AC2719" i="7"/>
  <c r="AD2719" i="7"/>
  <c r="AE2719" i="7"/>
  <c r="Q2720" i="7"/>
  <c r="R2720" i="7"/>
  <c r="S2720" i="7"/>
  <c r="T2720" i="7"/>
  <c r="U2720" i="7"/>
  <c r="V2720" i="7"/>
  <c r="W2720" i="7"/>
  <c r="X2720" i="7"/>
  <c r="Y2720" i="7"/>
  <c r="Z2720" i="7"/>
  <c r="AA2720" i="7"/>
  <c r="AB2720" i="7"/>
  <c r="AC2720" i="7"/>
  <c r="AD2720" i="7"/>
  <c r="AE2720" i="7"/>
  <c r="Q2721" i="7"/>
  <c r="R2721" i="7"/>
  <c r="S2721" i="7"/>
  <c r="T2721" i="7"/>
  <c r="U2721" i="7"/>
  <c r="V2721" i="7"/>
  <c r="W2721" i="7"/>
  <c r="X2721" i="7"/>
  <c r="Y2721" i="7"/>
  <c r="Z2721" i="7"/>
  <c r="AA2721" i="7"/>
  <c r="AB2721" i="7"/>
  <c r="AC2721" i="7"/>
  <c r="AD2721" i="7"/>
  <c r="AE2721" i="7"/>
  <c r="Q2722" i="7"/>
  <c r="R2722" i="7"/>
  <c r="S2722" i="7"/>
  <c r="T2722" i="7"/>
  <c r="U2722" i="7"/>
  <c r="V2722" i="7"/>
  <c r="W2722" i="7"/>
  <c r="X2722" i="7"/>
  <c r="Y2722" i="7"/>
  <c r="Z2722" i="7"/>
  <c r="AA2722" i="7"/>
  <c r="AB2722" i="7"/>
  <c r="AC2722" i="7"/>
  <c r="AD2722" i="7"/>
  <c r="AE2722" i="7"/>
  <c r="Q2723" i="7"/>
  <c r="R2723" i="7"/>
  <c r="S2723" i="7"/>
  <c r="T2723" i="7"/>
  <c r="U2723" i="7"/>
  <c r="V2723" i="7"/>
  <c r="W2723" i="7"/>
  <c r="X2723" i="7"/>
  <c r="Y2723" i="7"/>
  <c r="Z2723" i="7"/>
  <c r="AA2723" i="7"/>
  <c r="AB2723" i="7"/>
  <c r="AC2723" i="7"/>
  <c r="AD2723" i="7"/>
  <c r="AE2723" i="7"/>
  <c r="Q2724" i="7"/>
  <c r="R2724" i="7"/>
  <c r="S2724" i="7"/>
  <c r="T2724" i="7"/>
  <c r="U2724" i="7"/>
  <c r="V2724" i="7"/>
  <c r="W2724" i="7"/>
  <c r="X2724" i="7"/>
  <c r="Y2724" i="7"/>
  <c r="Z2724" i="7"/>
  <c r="AA2724" i="7"/>
  <c r="AB2724" i="7"/>
  <c r="AC2724" i="7"/>
  <c r="AD2724" i="7"/>
  <c r="AE2724" i="7"/>
  <c r="Q2725" i="7"/>
  <c r="R2725" i="7"/>
  <c r="S2725" i="7"/>
  <c r="T2725" i="7"/>
  <c r="U2725" i="7"/>
  <c r="V2725" i="7"/>
  <c r="W2725" i="7"/>
  <c r="X2725" i="7"/>
  <c r="Y2725" i="7"/>
  <c r="Z2725" i="7"/>
  <c r="AA2725" i="7"/>
  <c r="AB2725" i="7"/>
  <c r="AC2725" i="7"/>
  <c r="AD2725" i="7"/>
  <c r="AE2725" i="7"/>
  <c r="Q2726" i="7"/>
  <c r="R2726" i="7"/>
  <c r="S2726" i="7"/>
  <c r="T2726" i="7"/>
  <c r="U2726" i="7"/>
  <c r="V2726" i="7"/>
  <c r="W2726" i="7"/>
  <c r="X2726" i="7"/>
  <c r="Y2726" i="7"/>
  <c r="Z2726" i="7"/>
  <c r="AA2726" i="7"/>
  <c r="AB2726" i="7"/>
  <c r="AC2726" i="7"/>
  <c r="AD2726" i="7"/>
  <c r="AE2726" i="7"/>
  <c r="Q2727" i="7"/>
  <c r="R2727" i="7"/>
  <c r="S2727" i="7"/>
  <c r="T2727" i="7"/>
  <c r="U2727" i="7"/>
  <c r="V2727" i="7"/>
  <c r="W2727" i="7"/>
  <c r="X2727" i="7"/>
  <c r="Y2727" i="7"/>
  <c r="Z2727" i="7"/>
  <c r="AA2727" i="7"/>
  <c r="AB2727" i="7"/>
  <c r="AC2727" i="7"/>
  <c r="AD2727" i="7"/>
  <c r="AE2727" i="7"/>
  <c r="Q2728" i="7"/>
  <c r="R2728" i="7"/>
  <c r="S2728" i="7"/>
  <c r="T2728" i="7"/>
  <c r="U2728" i="7"/>
  <c r="V2728" i="7"/>
  <c r="W2728" i="7"/>
  <c r="X2728" i="7"/>
  <c r="Y2728" i="7"/>
  <c r="Z2728" i="7"/>
  <c r="AA2728" i="7"/>
  <c r="AB2728" i="7"/>
  <c r="AC2728" i="7"/>
  <c r="AD2728" i="7"/>
  <c r="AE2728" i="7"/>
  <c r="Q2729" i="7"/>
  <c r="R2729" i="7"/>
  <c r="S2729" i="7"/>
  <c r="T2729" i="7"/>
  <c r="U2729" i="7"/>
  <c r="V2729" i="7"/>
  <c r="W2729" i="7"/>
  <c r="X2729" i="7"/>
  <c r="Y2729" i="7"/>
  <c r="Z2729" i="7"/>
  <c r="AA2729" i="7"/>
  <c r="AB2729" i="7"/>
  <c r="AC2729" i="7"/>
  <c r="AD2729" i="7"/>
  <c r="AE2729" i="7"/>
  <c r="Q2730" i="7"/>
  <c r="R2730" i="7"/>
  <c r="S2730" i="7"/>
  <c r="T2730" i="7"/>
  <c r="U2730" i="7"/>
  <c r="V2730" i="7"/>
  <c r="W2730" i="7"/>
  <c r="X2730" i="7"/>
  <c r="Y2730" i="7"/>
  <c r="Z2730" i="7"/>
  <c r="AA2730" i="7"/>
  <c r="AB2730" i="7"/>
  <c r="AC2730" i="7"/>
  <c r="AD2730" i="7"/>
  <c r="AE2730" i="7"/>
  <c r="Q2731" i="7"/>
  <c r="R2731" i="7"/>
  <c r="S2731" i="7"/>
  <c r="T2731" i="7"/>
  <c r="U2731" i="7"/>
  <c r="V2731" i="7"/>
  <c r="W2731" i="7"/>
  <c r="X2731" i="7"/>
  <c r="Y2731" i="7"/>
  <c r="Z2731" i="7"/>
  <c r="AA2731" i="7"/>
  <c r="AB2731" i="7"/>
  <c r="AC2731" i="7"/>
  <c r="AD2731" i="7"/>
  <c r="AE2731" i="7"/>
  <c r="Q2732" i="7"/>
  <c r="R2732" i="7"/>
  <c r="S2732" i="7"/>
  <c r="T2732" i="7"/>
  <c r="U2732" i="7"/>
  <c r="V2732" i="7"/>
  <c r="W2732" i="7"/>
  <c r="X2732" i="7"/>
  <c r="Y2732" i="7"/>
  <c r="Z2732" i="7"/>
  <c r="AA2732" i="7"/>
  <c r="AB2732" i="7"/>
  <c r="AC2732" i="7"/>
  <c r="AD2732" i="7"/>
  <c r="AE2732" i="7"/>
  <c r="Q2733" i="7"/>
  <c r="R2733" i="7"/>
  <c r="S2733" i="7"/>
  <c r="T2733" i="7"/>
  <c r="U2733" i="7"/>
  <c r="V2733" i="7"/>
  <c r="W2733" i="7"/>
  <c r="X2733" i="7"/>
  <c r="Y2733" i="7"/>
  <c r="Z2733" i="7"/>
  <c r="AA2733" i="7"/>
  <c r="AB2733" i="7"/>
  <c r="AC2733" i="7"/>
  <c r="AD2733" i="7"/>
  <c r="AE2733" i="7"/>
  <c r="Q2734" i="7"/>
  <c r="R2734" i="7"/>
  <c r="S2734" i="7"/>
  <c r="T2734" i="7"/>
  <c r="U2734" i="7"/>
  <c r="V2734" i="7"/>
  <c r="W2734" i="7"/>
  <c r="X2734" i="7"/>
  <c r="Y2734" i="7"/>
  <c r="Z2734" i="7"/>
  <c r="AA2734" i="7"/>
  <c r="AB2734" i="7"/>
  <c r="AC2734" i="7"/>
  <c r="AD2734" i="7"/>
  <c r="AE2734" i="7"/>
  <c r="Q2735" i="7"/>
  <c r="R2735" i="7"/>
  <c r="S2735" i="7"/>
  <c r="T2735" i="7"/>
  <c r="U2735" i="7"/>
  <c r="V2735" i="7"/>
  <c r="W2735" i="7"/>
  <c r="X2735" i="7"/>
  <c r="Y2735" i="7"/>
  <c r="Z2735" i="7"/>
  <c r="AA2735" i="7"/>
  <c r="AB2735" i="7"/>
  <c r="AC2735" i="7"/>
  <c r="AD2735" i="7"/>
  <c r="AE2735" i="7"/>
  <c r="Q2736" i="7"/>
  <c r="R2736" i="7"/>
  <c r="S2736" i="7"/>
  <c r="T2736" i="7"/>
  <c r="U2736" i="7"/>
  <c r="V2736" i="7"/>
  <c r="W2736" i="7"/>
  <c r="X2736" i="7"/>
  <c r="Y2736" i="7"/>
  <c r="Z2736" i="7"/>
  <c r="AA2736" i="7"/>
  <c r="AB2736" i="7"/>
  <c r="AC2736" i="7"/>
  <c r="AD2736" i="7"/>
  <c r="AE2736" i="7"/>
  <c r="Q2737" i="7"/>
  <c r="R2737" i="7"/>
  <c r="S2737" i="7"/>
  <c r="T2737" i="7"/>
  <c r="U2737" i="7"/>
  <c r="V2737" i="7"/>
  <c r="W2737" i="7"/>
  <c r="X2737" i="7"/>
  <c r="Y2737" i="7"/>
  <c r="Z2737" i="7"/>
  <c r="AA2737" i="7"/>
  <c r="AB2737" i="7"/>
  <c r="AC2737" i="7"/>
  <c r="AD2737" i="7"/>
  <c r="AE2737" i="7"/>
  <c r="Q2738" i="7"/>
  <c r="R2738" i="7"/>
  <c r="S2738" i="7"/>
  <c r="T2738" i="7"/>
  <c r="U2738" i="7"/>
  <c r="V2738" i="7"/>
  <c r="W2738" i="7"/>
  <c r="X2738" i="7"/>
  <c r="Y2738" i="7"/>
  <c r="Z2738" i="7"/>
  <c r="AA2738" i="7"/>
  <c r="AB2738" i="7"/>
  <c r="AC2738" i="7"/>
  <c r="AD2738" i="7"/>
  <c r="AE2738" i="7"/>
  <c r="Q2739" i="7"/>
  <c r="R2739" i="7"/>
  <c r="S2739" i="7"/>
  <c r="T2739" i="7"/>
  <c r="U2739" i="7"/>
  <c r="V2739" i="7"/>
  <c r="W2739" i="7"/>
  <c r="X2739" i="7"/>
  <c r="Y2739" i="7"/>
  <c r="Z2739" i="7"/>
  <c r="AA2739" i="7"/>
  <c r="AB2739" i="7"/>
  <c r="AC2739" i="7"/>
  <c r="AD2739" i="7"/>
  <c r="AE2739" i="7"/>
  <c r="Q2740" i="7"/>
  <c r="R2740" i="7"/>
  <c r="S2740" i="7"/>
  <c r="T2740" i="7"/>
  <c r="U2740" i="7"/>
  <c r="V2740" i="7"/>
  <c r="W2740" i="7"/>
  <c r="X2740" i="7"/>
  <c r="Y2740" i="7"/>
  <c r="Z2740" i="7"/>
  <c r="AA2740" i="7"/>
  <c r="AB2740" i="7"/>
  <c r="AC2740" i="7"/>
  <c r="AD2740" i="7"/>
  <c r="AE2740" i="7"/>
  <c r="Q2741" i="7"/>
  <c r="R2741" i="7"/>
  <c r="S2741" i="7"/>
  <c r="T2741" i="7"/>
  <c r="U2741" i="7"/>
  <c r="V2741" i="7"/>
  <c r="W2741" i="7"/>
  <c r="X2741" i="7"/>
  <c r="Y2741" i="7"/>
  <c r="Z2741" i="7"/>
  <c r="AA2741" i="7"/>
  <c r="AB2741" i="7"/>
  <c r="AC2741" i="7"/>
  <c r="AD2741" i="7"/>
  <c r="AE2741" i="7"/>
  <c r="Q2742" i="7"/>
  <c r="R2742" i="7"/>
  <c r="S2742" i="7"/>
  <c r="T2742" i="7"/>
  <c r="U2742" i="7"/>
  <c r="V2742" i="7"/>
  <c r="W2742" i="7"/>
  <c r="X2742" i="7"/>
  <c r="Y2742" i="7"/>
  <c r="Z2742" i="7"/>
  <c r="AA2742" i="7"/>
  <c r="AB2742" i="7"/>
  <c r="AC2742" i="7"/>
  <c r="AD2742" i="7"/>
  <c r="AE2742" i="7"/>
  <c r="Q2743" i="7"/>
  <c r="R2743" i="7"/>
  <c r="S2743" i="7"/>
  <c r="T2743" i="7"/>
  <c r="U2743" i="7"/>
  <c r="V2743" i="7"/>
  <c r="W2743" i="7"/>
  <c r="X2743" i="7"/>
  <c r="Y2743" i="7"/>
  <c r="Z2743" i="7"/>
  <c r="AA2743" i="7"/>
  <c r="AB2743" i="7"/>
  <c r="AC2743" i="7"/>
  <c r="AD2743" i="7"/>
  <c r="AE2743" i="7"/>
  <c r="Q2744" i="7"/>
  <c r="R2744" i="7"/>
  <c r="S2744" i="7"/>
  <c r="T2744" i="7"/>
  <c r="U2744" i="7"/>
  <c r="V2744" i="7"/>
  <c r="W2744" i="7"/>
  <c r="X2744" i="7"/>
  <c r="Y2744" i="7"/>
  <c r="Z2744" i="7"/>
  <c r="AA2744" i="7"/>
  <c r="AB2744" i="7"/>
  <c r="AC2744" i="7"/>
  <c r="AD2744" i="7"/>
  <c r="AE2744" i="7"/>
  <c r="Q2745" i="7"/>
  <c r="R2745" i="7"/>
  <c r="S2745" i="7"/>
  <c r="T2745" i="7"/>
  <c r="U2745" i="7"/>
  <c r="V2745" i="7"/>
  <c r="W2745" i="7"/>
  <c r="X2745" i="7"/>
  <c r="Y2745" i="7"/>
  <c r="Z2745" i="7"/>
  <c r="AA2745" i="7"/>
  <c r="AB2745" i="7"/>
  <c r="AC2745" i="7"/>
  <c r="AD2745" i="7"/>
  <c r="AE2745" i="7"/>
  <c r="Q2746" i="7"/>
  <c r="R2746" i="7"/>
  <c r="S2746" i="7"/>
  <c r="T2746" i="7"/>
  <c r="U2746" i="7"/>
  <c r="V2746" i="7"/>
  <c r="W2746" i="7"/>
  <c r="X2746" i="7"/>
  <c r="Y2746" i="7"/>
  <c r="Z2746" i="7"/>
  <c r="AA2746" i="7"/>
  <c r="AB2746" i="7"/>
  <c r="AC2746" i="7"/>
  <c r="AD2746" i="7"/>
  <c r="AE2746" i="7"/>
  <c r="Q2747" i="7"/>
  <c r="R2747" i="7"/>
  <c r="S2747" i="7"/>
  <c r="T2747" i="7"/>
  <c r="U2747" i="7"/>
  <c r="V2747" i="7"/>
  <c r="W2747" i="7"/>
  <c r="X2747" i="7"/>
  <c r="Y2747" i="7"/>
  <c r="Z2747" i="7"/>
  <c r="AA2747" i="7"/>
  <c r="AB2747" i="7"/>
  <c r="AC2747" i="7"/>
  <c r="AD2747" i="7"/>
  <c r="AE2747" i="7"/>
  <c r="Q2748" i="7"/>
  <c r="R2748" i="7"/>
  <c r="S2748" i="7"/>
  <c r="T2748" i="7"/>
  <c r="U2748" i="7"/>
  <c r="V2748" i="7"/>
  <c r="W2748" i="7"/>
  <c r="X2748" i="7"/>
  <c r="Y2748" i="7"/>
  <c r="Z2748" i="7"/>
  <c r="AA2748" i="7"/>
  <c r="AB2748" i="7"/>
  <c r="AC2748" i="7"/>
  <c r="AD2748" i="7"/>
  <c r="AE2748" i="7"/>
  <c r="Q2749" i="7"/>
  <c r="R2749" i="7"/>
  <c r="S2749" i="7"/>
  <c r="T2749" i="7"/>
  <c r="U2749" i="7"/>
  <c r="V2749" i="7"/>
  <c r="W2749" i="7"/>
  <c r="X2749" i="7"/>
  <c r="Y2749" i="7"/>
  <c r="Z2749" i="7"/>
  <c r="AA2749" i="7"/>
  <c r="AB2749" i="7"/>
  <c r="AC2749" i="7"/>
  <c r="AD2749" i="7"/>
  <c r="AE2749" i="7"/>
  <c r="Q2750" i="7"/>
  <c r="R2750" i="7"/>
  <c r="S2750" i="7"/>
  <c r="T2750" i="7"/>
  <c r="U2750" i="7"/>
  <c r="V2750" i="7"/>
  <c r="W2750" i="7"/>
  <c r="X2750" i="7"/>
  <c r="Y2750" i="7"/>
  <c r="Z2750" i="7"/>
  <c r="AA2750" i="7"/>
  <c r="AB2750" i="7"/>
  <c r="AC2750" i="7"/>
  <c r="AD2750" i="7"/>
  <c r="AE2750" i="7"/>
  <c r="Q2751" i="7"/>
  <c r="R2751" i="7"/>
  <c r="S2751" i="7"/>
  <c r="T2751" i="7"/>
  <c r="U2751" i="7"/>
  <c r="V2751" i="7"/>
  <c r="W2751" i="7"/>
  <c r="X2751" i="7"/>
  <c r="Y2751" i="7"/>
  <c r="Z2751" i="7"/>
  <c r="AA2751" i="7"/>
  <c r="AB2751" i="7"/>
  <c r="AC2751" i="7"/>
  <c r="AD2751" i="7"/>
  <c r="AE2751" i="7"/>
  <c r="Q2752" i="7"/>
  <c r="R2752" i="7"/>
  <c r="S2752" i="7"/>
  <c r="T2752" i="7"/>
  <c r="U2752" i="7"/>
  <c r="V2752" i="7"/>
  <c r="W2752" i="7"/>
  <c r="X2752" i="7"/>
  <c r="Y2752" i="7"/>
  <c r="Z2752" i="7"/>
  <c r="AA2752" i="7"/>
  <c r="AB2752" i="7"/>
  <c r="AC2752" i="7"/>
  <c r="AD2752" i="7"/>
  <c r="AE2752" i="7"/>
  <c r="Q2753" i="7"/>
  <c r="R2753" i="7"/>
  <c r="S2753" i="7"/>
  <c r="T2753" i="7"/>
  <c r="U2753" i="7"/>
  <c r="V2753" i="7"/>
  <c r="W2753" i="7"/>
  <c r="X2753" i="7"/>
  <c r="Y2753" i="7"/>
  <c r="Z2753" i="7"/>
  <c r="AA2753" i="7"/>
  <c r="AB2753" i="7"/>
  <c r="AC2753" i="7"/>
  <c r="AD2753" i="7"/>
  <c r="AE2753" i="7"/>
  <c r="Q2754" i="7"/>
  <c r="R2754" i="7"/>
  <c r="S2754" i="7"/>
  <c r="T2754" i="7"/>
  <c r="U2754" i="7"/>
  <c r="V2754" i="7"/>
  <c r="W2754" i="7"/>
  <c r="X2754" i="7"/>
  <c r="Y2754" i="7"/>
  <c r="Z2754" i="7"/>
  <c r="AA2754" i="7"/>
  <c r="AB2754" i="7"/>
  <c r="AC2754" i="7"/>
  <c r="AD2754" i="7"/>
  <c r="AE2754" i="7"/>
  <c r="Q2755" i="7"/>
  <c r="R2755" i="7"/>
  <c r="S2755" i="7"/>
  <c r="T2755" i="7"/>
  <c r="U2755" i="7"/>
  <c r="V2755" i="7"/>
  <c r="W2755" i="7"/>
  <c r="X2755" i="7"/>
  <c r="Y2755" i="7"/>
  <c r="Z2755" i="7"/>
  <c r="AA2755" i="7"/>
  <c r="AB2755" i="7"/>
  <c r="AC2755" i="7"/>
  <c r="AD2755" i="7"/>
  <c r="AE2755" i="7"/>
  <c r="Q2756" i="7"/>
  <c r="R2756" i="7"/>
  <c r="S2756" i="7"/>
  <c r="T2756" i="7"/>
  <c r="U2756" i="7"/>
  <c r="V2756" i="7"/>
  <c r="W2756" i="7"/>
  <c r="X2756" i="7"/>
  <c r="Y2756" i="7"/>
  <c r="Z2756" i="7"/>
  <c r="AA2756" i="7"/>
  <c r="AB2756" i="7"/>
  <c r="AC2756" i="7"/>
  <c r="AD2756" i="7"/>
  <c r="AE2756" i="7"/>
  <c r="Q2757" i="7"/>
  <c r="R2757" i="7"/>
  <c r="S2757" i="7"/>
  <c r="T2757" i="7"/>
  <c r="U2757" i="7"/>
  <c r="V2757" i="7"/>
  <c r="W2757" i="7"/>
  <c r="X2757" i="7"/>
  <c r="Y2757" i="7"/>
  <c r="Z2757" i="7"/>
  <c r="AA2757" i="7"/>
  <c r="AB2757" i="7"/>
  <c r="AC2757" i="7"/>
  <c r="AD2757" i="7"/>
  <c r="AE2757" i="7"/>
  <c r="Q2758" i="7"/>
  <c r="R2758" i="7"/>
  <c r="S2758" i="7"/>
  <c r="T2758" i="7"/>
  <c r="U2758" i="7"/>
  <c r="V2758" i="7"/>
  <c r="W2758" i="7"/>
  <c r="X2758" i="7"/>
  <c r="Y2758" i="7"/>
  <c r="Z2758" i="7"/>
  <c r="AA2758" i="7"/>
  <c r="AB2758" i="7"/>
  <c r="AC2758" i="7"/>
  <c r="AD2758" i="7"/>
  <c r="AE2758" i="7"/>
  <c r="Q2759" i="7"/>
  <c r="R2759" i="7"/>
  <c r="S2759" i="7"/>
  <c r="T2759" i="7"/>
  <c r="U2759" i="7"/>
  <c r="V2759" i="7"/>
  <c r="W2759" i="7"/>
  <c r="X2759" i="7"/>
  <c r="Y2759" i="7"/>
  <c r="Z2759" i="7"/>
  <c r="AA2759" i="7"/>
  <c r="AB2759" i="7"/>
  <c r="AC2759" i="7"/>
  <c r="AD2759" i="7"/>
  <c r="AE2759" i="7"/>
  <c r="Q2760" i="7"/>
  <c r="R2760" i="7"/>
  <c r="S2760" i="7"/>
  <c r="T2760" i="7"/>
  <c r="U2760" i="7"/>
  <c r="V2760" i="7"/>
  <c r="W2760" i="7"/>
  <c r="X2760" i="7"/>
  <c r="Y2760" i="7"/>
  <c r="Z2760" i="7"/>
  <c r="AA2760" i="7"/>
  <c r="AB2760" i="7"/>
  <c r="AC2760" i="7"/>
  <c r="AD2760" i="7"/>
  <c r="AE2760" i="7"/>
  <c r="Q2761" i="7"/>
  <c r="R2761" i="7"/>
  <c r="S2761" i="7"/>
  <c r="T2761" i="7"/>
  <c r="U2761" i="7"/>
  <c r="V2761" i="7"/>
  <c r="W2761" i="7"/>
  <c r="X2761" i="7"/>
  <c r="Y2761" i="7"/>
  <c r="Z2761" i="7"/>
  <c r="AA2761" i="7"/>
  <c r="AB2761" i="7"/>
  <c r="AC2761" i="7"/>
  <c r="AD2761" i="7"/>
  <c r="AE2761" i="7"/>
  <c r="Q2762" i="7"/>
  <c r="R2762" i="7"/>
  <c r="S2762" i="7"/>
  <c r="T2762" i="7"/>
  <c r="U2762" i="7"/>
  <c r="V2762" i="7"/>
  <c r="W2762" i="7"/>
  <c r="X2762" i="7"/>
  <c r="Y2762" i="7"/>
  <c r="Z2762" i="7"/>
  <c r="AA2762" i="7"/>
  <c r="AB2762" i="7"/>
  <c r="AC2762" i="7"/>
  <c r="AD2762" i="7"/>
  <c r="AE2762" i="7"/>
  <c r="Q2763" i="7"/>
  <c r="R2763" i="7"/>
  <c r="S2763" i="7"/>
  <c r="T2763" i="7"/>
  <c r="U2763" i="7"/>
  <c r="V2763" i="7"/>
  <c r="W2763" i="7"/>
  <c r="X2763" i="7"/>
  <c r="Y2763" i="7"/>
  <c r="Z2763" i="7"/>
  <c r="AA2763" i="7"/>
  <c r="AB2763" i="7"/>
  <c r="AC2763" i="7"/>
  <c r="AD2763" i="7"/>
  <c r="AE2763" i="7"/>
  <c r="Q2764" i="7"/>
  <c r="R2764" i="7"/>
  <c r="S2764" i="7"/>
  <c r="T2764" i="7"/>
  <c r="U2764" i="7"/>
  <c r="V2764" i="7"/>
  <c r="W2764" i="7"/>
  <c r="X2764" i="7"/>
  <c r="Y2764" i="7"/>
  <c r="Z2764" i="7"/>
  <c r="AA2764" i="7"/>
  <c r="AB2764" i="7"/>
  <c r="AC2764" i="7"/>
  <c r="AD2764" i="7"/>
  <c r="AE2764" i="7"/>
  <c r="Q2765" i="7"/>
  <c r="R2765" i="7"/>
  <c r="S2765" i="7"/>
  <c r="T2765" i="7"/>
  <c r="U2765" i="7"/>
  <c r="V2765" i="7"/>
  <c r="W2765" i="7"/>
  <c r="X2765" i="7"/>
  <c r="Y2765" i="7"/>
  <c r="Z2765" i="7"/>
  <c r="AA2765" i="7"/>
  <c r="AB2765" i="7"/>
  <c r="AC2765" i="7"/>
  <c r="AD2765" i="7"/>
  <c r="AE2765" i="7"/>
  <c r="Q2766" i="7"/>
  <c r="R2766" i="7"/>
  <c r="S2766" i="7"/>
  <c r="T2766" i="7"/>
  <c r="U2766" i="7"/>
  <c r="V2766" i="7"/>
  <c r="W2766" i="7"/>
  <c r="X2766" i="7"/>
  <c r="Y2766" i="7"/>
  <c r="Z2766" i="7"/>
  <c r="AA2766" i="7"/>
  <c r="AB2766" i="7"/>
  <c r="AC2766" i="7"/>
  <c r="AD2766" i="7"/>
  <c r="AE2766" i="7"/>
  <c r="Q2767" i="7"/>
  <c r="R2767" i="7"/>
  <c r="S2767" i="7"/>
  <c r="T2767" i="7"/>
  <c r="U2767" i="7"/>
  <c r="V2767" i="7"/>
  <c r="W2767" i="7"/>
  <c r="X2767" i="7"/>
  <c r="Y2767" i="7"/>
  <c r="Z2767" i="7"/>
  <c r="AA2767" i="7"/>
  <c r="AB2767" i="7"/>
  <c r="AC2767" i="7"/>
  <c r="AD2767" i="7"/>
  <c r="AE2767" i="7"/>
  <c r="Q2768" i="7"/>
  <c r="R2768" i="7"/>
  <c r="S2768" i="7"/>
  <c r="T2768" i="7"/>
  <c r="U2768" i="7"/>
  <c r="V2768" i="7"/>
  <c r="W2768" i="7"/>
  <c r="X2768" i="7"/>
  <c r="Y2768" i="7"/>
  <c r="Z2768" i="7"/>
  <c r="AA2768" i="7"/>
  <c r="AB2768" i="7"/>
  <c r="AC2768" i="7"/>
  <c r="AD2768" i="7"/>
  <c r="AE2768" i="7"/>
  <c r="Q2769" i="7"/>
  <c r="R2769" i="7"/>
  <c r="S2769" i="7"/>
  <c r="T2769" i="7"/>
  <c r="U2769" i="7"/>
  <c r="V2769" i="7"/>
  <c r="W2769" i="7"/>
  <c r="X2769" i="7"/>
  <c r="Y2769" i="7"/>
  <c r="Z2769" i="7"/>
  <c r="AA2769" i="7"/>
  <c r="AB2769" i="7"/>
  <c r="AC2769" i="7"/>
  <c r="AD2769" i="7"/>
  <c r="AE2769" i="7"/>
  <c r="Q2770" i="7"/>
  <c r="R2770" i="7"/>
  <c r="S2770" i="7"/>
  <c r="T2770" i="7"/>
  <c r="U2770" i="7"/>
  <c r="V2770" i="7"/>
  <c r="W2770" i="7"/>
  <c r="X2770" i="7"/>
  <c r="Y2770" i="7"/>
  <c r="Z2770" i="7"/>
  <c r="AA2770" i="7"/>
  <c r="AB2770" i="7"/>
  <c r="AC2770" i="7"/>
  <c r="AD2770" i="7"/>
  <c r="AE2770" i="7"/>
  <c r="Q2771" i="7"/>
  <c r="R2771" i="7"/>
  <c r="S2771" i="7"/>
  <c r="T2771" i="7"/>
  <c r="U2771" i="7"/>
  <c r="V2771" i="7"/>
  <c r="W2771" i="7"/>
  <c r="X2771" i="7"/>
  <c r="Y2771" i="7"/>
  <c r="Z2771" i="7"/>
  <c r="AA2771" i="7"/>
  <c r="AB2771" i="7"/>
  <c r="AC2771" i="7"/>
  <c r="AD2771" i="7"/>
  <c r="AE2771" i="7"/>
  <c r="Q2772" i="7"/>
  <c r="R2772" i="7"/>
  <c r="S2772" i="7"/>
  <c r="T2772" i="7"/>
  <c r="U2772" i="7"/>
  <c r="V2772" i="7"/>
  <c r="W2772" i="7"/>
  <c r="X2772" i="7"/>
  <c r="Y2772" i="7"/>
  <c r="Z2772" i="7"/>
  <c r="AA2772" i="7"/>
  <c r="AB2772" i="7"/>
  <c r="AC2772" i="7"/>
  <c r="AD2772" i="7"/>
  <c r="AE2772" i="7"/>
  <c r="Q2773" i="7"/>
  <c r="R2773" i="7"/>
  <c r="S2773" i="7"/>
  <c r="T2773" i="7"/>
  <c r="U2773" i="7"/>
  <c r="V2773" i="7"/>
  <c r="W2773" i="7"/>
  <c r="X2773" i="7"/>
  <c r="Y2773" i="7"/>
  <c r="Z2773" i="7"/>
  <c r="AA2773" i="7"/>
  <c r="AB2773" i="7"/>
  <c r="AC2773" i="7"/>
  <c r="AD2773" i="7"/>
  <c r="AE2773" i="7"/>
  <c r="Q2774" i="7"/>
  <c r="R2774" i="7"/>
  <c r="S2774" i="7"/>
  <c r="T2774" i="7"/>
  <c r="U2774" i="7"/>
  <c r="V2774" i="7"/>
  <c r="W2774" i="7"/>
  <c r="X2774" i="7"/>
  <c r="Y2774" i="7"/>
  <c r="Z2774" i="7"/>
  <c r="AA2774" i="7"/>
  <c r="AB2774" i="7"/>
  <c r="AC2774" i="7"/>
  <c r="AD2774" i="7"/>
  <c r="AE2774" i="7"/>
  <c r="Q2775" i="7"/>
  <c r="R2775" i="7"/>
  <c r="S2775" i="7"/>
  <c r="T2775" i="7"/>
  <c r="U2775" i="7"/>
  <c r="V2775" i="7"/>
  <c r="W2775" i="7"/>
  <c r="X2775" i="7"/>
  <c r="Y2775" i="7"/>
  <c r="Z2775" i="7"/>
  <c r="AA2775" i="7"/>
  <c r="AB2775" i="7"/>
  <c r="AC2775" i="7"/>
  <c r="AD2775" i="7"/>
  <c r="AE2775" i="7"/>
  <c r="Q2776" i="7"/>
  <c r="R2776" i="7"/>
  <c r="S2776" i="7"/>
  <c r="T2776" i="7"/>
  <c r="U2776" i="7"/>
  <c r="V2776" i="7"/>
  <c r="W2776" i="7"/>
  <c r="X2776" i="7"/>
  <c r="Y2776" i="7"/>
  <c r="Z2776" i="7"/>
  <c r="AA2776" i="7"/>
  <c r="AB2776" i="7"/>
  <c r="AC2776" i="7"/>
  <c r="AD2776" i="7"/>
  <c r="AE2776" i="7"/>
  <c r="Q2777" i="7"/>
  <c r="R2777" i="7"/>
  <c r="S2777" i="7"/>
  <c r="T2777" i="7"/>
  <c r="U2777" i="7"/>
  <c r="V2777" i="7"/>
  <c r="W2777" i="7"/>
  <c r="X2777" i="7"/>
  <c r="Y2777" i="7"/>
  <c r="Z2777" i="7"/>
  <c r="AA2777" i="7"/>
  <c r="AB2777" i="7"/>
  <c r="AC2777" i="7"/>
  <c r="AD2777" i="7"/>
  <c r="AE2777" i="7"/>
  <c r="Q2778" i="7"/>
  <c r="R2778" i="7"/>
  <c r="S2778" i="7"/>
  <c r="T2778" i="7"/>
  <c r="U2778" i="7"/>
  <c r="V2778" i="7"/>
  <c r="W2778" i="7"/>
  <c r="X2778" i="7"/>
  <c r="Y2778" i="7"/>
  <c r="Z2778" i="7"/>
  <c r="AA2778" i="7"/>
  <c r="AB2778" i="7"/>
  <c r="AC2778" i="7"/>
  <c r="AD2778" i="7"/>
  <c r="AE2778" i="7"/>
  <c r="Q2779" i="7"/>
  <c r="R2779" i="7"/>
  <c r="S2779" i="7"/>
  <c r="T2779" i="7"/>
  <c r="U2779" i="7"/>
  <c r="V2779" i="7"/>
  <c r="W2779" i="7"/>
  <c r="X2779" i="7"/>
  <c r="Y2779" i="7"/>
  <c r="Z2779" i="7"/>
  <c r="AA2779" i="7"/>
  <c r="AB2779" i="7"/>
  <c r="AC2779" i="7"/>
  <c r="AD2779" i="7"/>
  <c r="AE2779" i="7"/>
  <c r="Q2780" i="7"/>
  <c r="R2780" i="7"/>
  <c r="S2780" i="7"/>
  <c r="T2780" i="7"/>
  <c r="U2780" i="7"/>
  <c r="V2780" i="7"/>
  <c r="W2780" i="7"/>
  <c r="X2780" i="7"/>
  <c r="Y2780" i="7"/>
  <c r="Z2780" i="7"/>
  <c r="AA2780" i="7"/>
  <c r="AB2780" i="7"/>
  <c r="AC2780" i="7"/>
  <c r="AD2780" i="7"/>
  <c r="AE2780" i="7"/>
  <c r="Q2781" i="7"/>
  <c r="R2781" i="7"/>
  <c r="S2781" i="7"/>
  <c r="T2781" i="7"/>
  <c r="U2781" i="7"/>
  <c r="V2781" i="7"/>
  <c r="W2781" i="7"/>
  <c r="X2781" i="7"/>
  <c r="Y2781" i="7"/>
  <c r="Z2781" i="7"/>
  <c r="AA2781" i="7"/>
  <c r="AB2781" i="7"/>
  <c r="AC2781" i="7"/>
  <c r="AD2781" i="7"/>
  <c r="AE2781" i="7"/>
  <c r="Q2782" i="7"/>
  <c r="R2782" i="7"/>
  <c r="S2782" i="7"/>
  <c r="T2782" i="7"/>
  <c r="U2782" i="7"/>
  <c r="V2782" i="7"/>
  <c r="W2782" i="7"/>
  <c r="X2782" i="7"/>
  <c r="Y2782" i="7"/>
  <c r="Z2782" i="7"/>
  <c r="AA2782" i="7"/>
  <c r="AB2782" i="7"/>
  <c r="AC2782" i="7"/>
  <c r="AD2782" i="7"/>
  <c r="AE2782" i="7"/>
  <c r="Q2783" i="7"/>
  <c r="R2783" i="7"/>
  <c r="S2783" i="7"/>
  <c r="T2783" i="7"/>
  <c r="U2783" i="7"/>
  <c r="V2783" i="7"/>
  <c r="W2783" i="7"/>
  <c r="X2783" i="7"/>
  <c r="Y2783" i="7"/>
  <c r="Z2783" i="7"/>
  <c r="AA2783" i="7"/>
  <c r="AB2783" i="7"/>
  <c r="AC2783" i="7"/>
  <c r="AD2783" i="7"/>
  <c r="AE2783" i="7"/>
  <c r="Q2784" i="7"/>
  <c r="R2784" i="7"/>
  <c r="S2784" i="7"/>
  <c r="T2784" i="7"/>
  <c r="U2784" i="7"/>
  <c r="V2784" i="7"/>
  <c r="W2784" i="7"/>
  <c r="X2784" i="7"/>
  <c r="Y2784" i="7"/>
  <c r="Z2784" i="7"/>
  <c r="AA2784" i="7"/>
  <c r="AB2784" i="7"/>
  <c r="AC2784" i="7"/>
  <c r="AD2784" i="7"/>
  <c r="AE2784" i="7"/>
  <c r="Q2785" i="7"/>
  <c r="R2785" i="7"/>
  <c r="S2785" i="7"/>
  <c r="T2785" i="7"/>
  <c r="U2785" i="7"/>
  <c r="V2785" i="7"/>
  <c r="W2785" i="7"/>
  <c r="X2785" i="7"/>
  <c r="Y2785" i="7"/>
  <c r="Z2785" i="7"/>
  <c r="AA2785" i="7"/>
  <c r="AB2785" i="7"/>
  <c r="AC2785" i="7"/>
  <c r="AD2785" i="7"/>
  <c r="AE2785" i="7"/>
  <c r="Q2786" i="7"/>
  <c r="R2786" i="7"/>
  <c r="S2786" i="7"/>
  <c r="T2786" i="7"/>
  <c r="U2786" i="7"/>
  <c r="V2786" i="7"/>
  <c r="W2786" i="7"/>
  <c r="X2786" i="7"/>
  <c r="Y2786" i="7"/>
  <c r="Z2786" i="7"/>
  <c r="AA2786" i="7"/>
  <c r="AB2786" i="7"/>
  <c r="AC2786" i="7"/>
  <c r="AD2786" i="7"/>
  <c r="AE2786" i="7"/>
  <c r="Q2787" i="7"/>
  <c r="R2787" i="7"/>
  <c r="S2787" i="7"/>
  <c r="T2787" i="7"/>
  <c r="U2787" i="7"/>
  <c r="V2787" i="7"/>
  <c r="W2787" i="7"/>
  <c r="X2787" i="7"/>
  <c r="Y2787" i="7"/>
  <c r="Z2787" i="7"/>
  <c r="AA2787" i="7"/>
  <c r="AB2787" i="7"/>
  <c r="AC2787" i="7"/>
  <c r="AD2787" i="7"/>
  <c r="AE2787" i="7"/>
  <c r="Q2788" i="7"/>
  <c r="R2788" i="7"/>
  <c r="S2788" i="7"/>
  <c r="T2788" i="7"/>
  <c r="U2788" i="7"/>
  <c r="V2788" i="7"/>
  <c r="W2788" i="7"/>
  <c r="X2788" i="7"/>
  <c r="Y2788" i="7"/>
  <c r="Z2788" i="7"/>
  <c r="AA2788" i="7"/>
  <c r="AB2788" i="7"/>
  <c r="AC2788" i="7"/>
  <c r="AD2788" i="7"/>
  <c r="AE2788" i="7"/>
  <c r="Q2789" i="7"/>
  <c r="R2789" i="7"/>
  <c r="S2789" i="7"/>
  <c r="T2789" i="7"/>
  <c r="U2789" i="7"/>
  <c r="V2789" i="7"/>
  <c r="W2789" i="7"/>
  <c r="X2789" i="7"/>
  <c r="Y2789" i="7"/>
  <c r="Z2789" i="7"/>
  <c r="AA2789" i="7"/>
  <c r="AB2789" i="7"/>
  <c r="AC2789" i="7"/>
  <c r="AD2789" i="7"/>
  <c r="AE2789" i="7"/>
  <c r="Q2790" i="7"/>
  <c r="R2790" i="7"/>
  <c r="S2790" i="7"/>
  <c r="T2790" i="7"/>
  <c r="U2790" i="7"/>
  <c r="V2790" i="7"/>
  <c r="W2790" i="7"/>
  <c r="X2790" i="7"/>
  <c r="Y2790" i="7"/>
  <c r="Z2790" i="7"/>
  <c r="AA2790" i="7"/>
  <c r="AB2790" i="7"/>
  <c r="AC2790" i="7"/>
  <c r="AD2790" i="7"/>
  <c r="AE2790" i="7"/>
  <c r="Q2791" i="7"/>
  <c r="R2791" i="7"/>
  <c r="S2791" i="7"/>
  <c r="T2791" i="7"/>
  <c r="U2791" i="7"/>
  <c r="V2791" i="7"/>
  <c r="W2791" i="7"/>
  <c r="X2791" i="7"/>
  <c r="Y2791" i="7"/>
  <c r="Z2791" i="7"/>
  <c r="AA2791" i="7"/>
  <c r="AB2791" i="7"/>
  <c r="AC2791" i="7"/>
  <c r="AD2791" i="7"/>
  <c r="AE2791" i="7"/>
  <c r="Q2792" i="7"/>
  <c r="R2792" i="7"/>
  <c r="S2792" i="7"/>
  <c r="T2792" i="7"/>
  <c r="U2792" i="7"/>
  <c r="V2792" i="7"/>
  <c r="W2792" i="7"/>
  <c r="X2792" i="7"/>
  <c r="Y2792" i="7"/>
  <c r="Z2792" i="7"/>
  <c r="AA2792" i="7"/>
  <c r="AB2792" i="7"/>
  <c r="AC2792" i="7"/>
  <c r="AD2792" i="7"/>
  <c r="AE2792" i="7"/>
  <c r="Q2793" i="7"/>
  <c r="R2793" i="7"/>
  <c r="S2793" i="7"/>
  <c r="T2793" i="7"/>
  <c r="U2793" i="7"/>
  <c r="V2793" i="7"/>
  <c r="W2793" i="7"/>
  <c r="X2793" i="7"/>
  <c r="Y2793" i="7"/>
  <c r="Z2793" i="7"/>
  <c r="AA2793" i="7"/>
  <c r="AB2793" i="7"/>
  <c r="AC2793" i="7"/>
  <c r="AD2793" i="7"/>
  <c r="AE2793" i="7"/>
  <c r="Q2794" i="7"/>
  <c r="R2794" i="7"/>
  <c r="S2794" i="7"/>
  <c r="T2794" i="7"/>
  <c r="U2794" i="7"/>
  <c r="V2794" i="7"/>
  <c r="W2794" i="7"/>
  <c r="X2794" i="7"/>
  <c r="Y2794" i="7"/>
  <c r="Z2794" i="7"/>
  <c r="AA2794" i="7"/>
  <c r="AB2794" i="7"/>
  <c r="AC2794" i="7"/>
  <c r="AD2794" i="7"/>
  <c r="AE2794" i="7"/>
  <c r="Q2795" i="7"/>
  <c r="R2795" i="7"/>
  <c r="S2795" i="7"/>
  <c r="T2795" i="7"/>
  <c r="U2795" i="7"/>
  <c r="V2795" i="7"/>
  <c r="W2795" i="7"/>
  <c r="X2795" i="7"/>
  <c r="Y2795" i="7"/>
  <c r="Z2795" i="7"/>
  <c r="AA2795" i="7"/>
  <c r="AB2795" i="7"/>
  <c r="AC2795" i="7"/>
  <c r="AD2795" i="7"/>
  <c r="AE2795" i="7"/>
  <c r="Q2796" i="7"/>
  <c r="R2796" i="7"/>
  <c r="S2796" i="7"/>
  <c r="T2796" i="7"/>
  <c r="U2796" i="7"/>
  <c r="V2796" i="7"/>
  <c r="W2796" i="7"/>
  <c r="X2796" i="7"/>
  <c r="Y2796" i="7"/>
  <c r="Z2796" i="7"/>
  <c r="AA2796" i="7"/>
  <c r="AB2796" i="7"/>
  <c r="AC2796" i="7"/>
  <c r="AD2796" i="7"/>
  <c r="AE2796" i="7"/>
  <c r="Q2797" i="7"/>
  <c r="R2797" i="7"/>
  <c r="S2797" i="7"/>
  <c r="T2797" i="7"/>
  <c r="U2797" i="7"/>
  <c r="V2797" i="7"/>
  <c r="W2797" i="7"/>
  <c r="X2797" i="7"/>
  <c r="Y2797" i="7"/>
  <c r="Z2797" i="7"/>
  <c r="AA2797" i="7"/>
  <c r="AB2797" i="7"/>
  <c r="AC2797" i="7"/>
  <c r="AD2797" i="7"/>
  <c r="AE2797" i="7"/>
  <c r="Q2798" i="7"/>
  <c r="R2798" i="7"/>
  <c r="S2798" i="7"/>
  <c r="T2798" i="7"/>
  <c r="U2798" i="7"/>
  <c r="V2798" i="7"/>
  <c r="W2798" i="7"/>
  <c r="X2798" i="7"/>
  <c r="Y2798" i="7"/>
  <c r="Z2798" i="7"/>
  <c r="AA2798" i="7"/>
  <c r="AB2798" i="7"/>
  <c r="AC2798" i="7"/>
  <c r="AD2798" i="7"/>
  <c r="AE2798" i="7"/>
  <c r="Q2799" i="7"/>
  <c r="R2799" i="7"/>
  <c r="S2799" i="7"/>
  <c r="T2799" i="7"/>
  <c r="U2799" i="7"/>
  <c r="V2799" i="7"/>
  <c r="W2799" i="7"/>
  <c r="X2799" i="7"/>
  <c r="Y2799" i="7"/>
  <c r="Z2799" i="7"/>
  <c r="AA2799" i="7"/>
  <c r="AB2799" i="7"/>
  <c r="AC2799" i="7"/>
  <c r="AD2799" i="7"/>
  <c r="AE2799" i="7"/>
  <c r="Q2800" i="7"/>
  <c r="R2800" i="7"/>
  <c r="S2800" i="7"/>
  <c r="T2800" i="7"/>
  <c r="U2800" i="7"/>
  <c r="V2800" i="7"/>
  <c r="W2800" i="7"/>
  <c r="X2800" i="7"/>
  <c r="Y2800" i="7"/>
  <c r="Z2800" i="7"/>
  <c r="AA2800" i="7"/>
  <c r="AB2800" i="7"/>
  <c r="AC2800" i="7"/>
  <c r="AD2800" i="7"/>
  <c r="AE2800" i="7"/>
  <c r="Q2801" i="7"/>
  <c r="R2801" i="7"/>
  <c r="S2801" i="7"/>
  <c r="T2801" i="7"/>
  <c r="U2801" i="7"/>
  <c r="V2801" i="7"/>
  <c r="W2801" i="7"/>
  <c r="X2801" i="7"/>
  <c r="Y2801" i="7"/>
  <c r="Z2801" i="7"/>
  <c r="AA2801" i="7"/>
  <c r="AB2801" i="7"/>
  <c r="AC2801" i="7"/>
  <c r="AD2801" i="7"/>
  <c r="AE2801" i="7"/>
  <c r="Q2802" i="7"/>
  <c r="R2802" i="7"/>
  <c r="S2802" i="7"/>
  <c r="T2802" i="7"/>
  <c r="U2802" i="7"/>
  <c r="V2802" i="7"/>
  <c r="W2802" i="7"/>
  <c r="X2802" i="7"/>
  <c r="Y2802" i="7"/>
  <c r="Z2802" i="7"/>
  <c r="AA2802" i="7"/>
  <c r="AB2802" i="7"/>
  <c r="AC2802" i="7"/>
  <c r="AD2802" i="7"/>
  <c r="AE2802" i="7"/>
  <c r="Q2803" i="7"/>
  <c r="R2803" i="7"/>
  <c r="S2803" i="7"/>
  <c r="T2803" i="7"/>
  <c r="U2803" i="7"/>
  <c r="V2803" i="7"/>
  <c r="W2803" i="7"/>
  <c r="X2803" i="7"/>
  <c r="Y2803" i="7"/>
  <c r="Z2803" i="7"/>
  <c r="AA2803" i="7"/>
  <c r="AB2803" i="7"/>
  <c r="AC2803" i="7"/>
  <c r="AD2803" i="7"/>
  <c r="AE2803" i="7"/>
  <c r="Q2804" i="7"/>
  <c r="R2804" i="7"/>
  <c r="S2804" i="7"/>
  <c r="T2804" i="7"/>
  <c r="U2804" i="7"/>
  <c r="V2804" i="7"/>
  <c r="W2804" i="7"/>
  <c r="X2804" i="7"/>
  <c r="Y2804" i="7"/>
  <c r="Z2804" i="7"/>
  <c r="AA2804" i="7"/>
  <c r="AB2804" i="7"/>
  <c r="AC2804" i="7"/>
  <c r="AD2804" i="7"/>
  <c r="AE2804" i="7"/>
  <c r="Q2805" i="7"/>
  <c r="R2805" i="7"/>
  <c r="S2805" i="7"/>
  <c r="T2805" i="7"/>
  <c r="U2805" i="7"/>
  <c r="V2805" i="7"/>
  <c r="W2805" i="7"/>
  <c r="X2805" i="7"/>
  <c r="Y2805" i="7"/>
  <c r="Z2805" i="7"/>
  <c r="AA2805" i="7"/>
  <c r="AB2805" i="7"/>
  <c r="AC2805" i="7"/>
  <c r="AD2805" i="7"/>
  <c r="AE2805" i="7"/>
  <c r="Q2806" i="7"/>
  <c r="R2806" i="7"/>
  <c r="S2806" i="7"/>
  <c r="T2806" i="7"/>
  <c r="U2806" i="7"/>
  <c r="V2806" i="7"/>
  <c r="W2806" i="7"/>
  <c r="X2806" i="7"/>
  <c r="Y2806" i="7"/>
  <c r="Z2806" i="7"/>
  <c r="AA2806" i="7"/>
  <c r="AB2806" i="7"/>
  <c r="AC2806" i="7"/>
  <c r="AD2806" i="7"/>
  <c r="AE2806" i="7"/>
  <c r="Q2807" i="7"/>
  <c r="R2807" i="7"/>
  <c r="S2807" i="7"/>
  <c r="T2807" i="7"/>
  <c r="U2807" i="7"/>
  <c r="V2807" i="7"/>
  <c r="W2807" i="7"/>
  <c r="X2807" i="7"/>
  <c r="Y2807" i="7"/>
  <c r="Z2807" i="7"/>
  <c r="AA2807" i="7"/>
  <c r="AB2807" i="7"/>
  <c r="AC2807" i="7"/>
  <c r="AD2807" i="7"/>
  <c r="AE2807" i="7"/>
  <c r="Q2808" i="7"/>
  <c r="R2808" i="7"/>
  <c r="S2808" i="7"/>
  <c r="T2808" i="7"/>
  <c r="U2808" i="7"/>
  <c r="V2808" i="7"/>
  <c r="W2808" i="7"/>
  <c r="X2808" i="7"/>
  <c r="Y2808" i="7"/>
  <c r="Z2808" i="7"/>
  <c r="AA2808" i="7"/>
  <c r="AB2808" i="7"/>
  <c r="AC2808" i="7"/>
  <c r="AD2808" i="7"/>
  <c r="AE2808" i="7"/>
  <c r="Q2809" i="7"/>
  <c r="R2809" i="7"/>
  <c r="S2809" i="7"/>
  <c r="T2809" i="7"/>
  <c r="U2809" i="7"/>
  <c r="V2809" i="7"/>
  <c r="W2809" i="7"/>
  <c r="X2809" i="7"/>
  <c r="Y2809" i="7"/>
  <c r="Z2809" i="7"/>
  <c r="AA2809" i="7"/>
  <c r="AB2809" i="7"/>
  <c r="AC2809" i="7"/>
  <c r="AD2809" i="7"/>
  <c r="AE2809" i="7"/>
  <c r="Q2810" i="7"/>
  <c r="R2810" i="7"/>
  <c r="S2810" i="7"/>
  <c r="T2810" i="7"/>
  <c r="U2810" i="7"/>
  <c r="V2810" i="7"/>
  <c r="W2810" i="7"/>
  <c r="X2810" i="7"/>
  <c r="Y2810" i="7"/>
  <c r="Z2810" i="7"/>
  <c r="AA2810" i="7"/>
  <c r="AB2810" i="7"/>
  <c r="AC2810" i="7"/>
  <c r="AD2810" i="7"/>
  <c r="AE2810" i="7"/>
  <c r="Q2811" i="7"/>
  <c r="R2811" i="7"/>
  <c r="S2811" i="7"/>
  <c r="T2811" i="7"/>
  <c r="U2811" i="7"/>
  <c r="V2811" i="7"/>
  <c r="W2811" i="7"/>
  <c r="X2811" i="7"/>
  <c r="Y2811" i="7"/>
  <c r="Z2811" i="7"/>
  <c r="AA2811" i="7"/>
  <c r="AB2811" i="7"/>
  <c r="AC2811" i="7"/>
  <c r="AD2811" i="7"/>
  <c r="AE2811" i="7"/>
  <c r="Q2812" i="7"/>
  <c r="R2812" i="7"/>
  <c r="S2812" i="7"/>
  <c r="T2812" i="7"/>
  <c r="U2812" i="7"/>
  <c r="V2812" i="7"/>
  <c r="W2812" i="7"/>
  <c r="X2812" i="7"/>
  <c r="Y2812" i="7"/>
  <c r="Z2812" i="7"/>
  <c r="AA2812" i="7"/>
  <c r="AB2812" i="7"/>
  <c r="AC2812" i="7"/>
  <c r="AD2812" i="7"/>
  <c r="AE2812" i="7"/>
  <c r="Q2813" i="7"/>
  <c r="R2813" i="7"/>
  <c r="S2813" i="7"/>
  <c r="T2813" i="7"/>
  <c r="U2813" i="7"/>
  <c r="V2813" i="7"/>
  <c r="W2813" i="7"/>
  <c r="X2813" i="7"/>
  <c r="Y2813" i="7"/>
  <c r="Z2813" i="7"/>
  <c r="AA2813" i="7"/>
  <c r="AB2813" i="7"/>
  <c r="AC2813" i="7"/>
  <c r="AD2813" i="7"/>
  <c r="AE2813" i="7"/>
  <c r="Q2814" i="7"/>
  <c r="R2814" i="7"/>
  <c r="S2814" i="7"/>
  <c r="T2814" i="7"/>
  <c r="U2814" i="7"/>
  <c r="V2814" i="7"/>
  <c r="W2814" i="7"/>
  <c r="X2814" i="7"/>
  <c r="Y2814" i="7"/>
  <c r="Z2814" i="7"/>
  <c r="AA2814" i="7"/>
  <c r="AB2814" i="7"/>
  <c r="AC2814" i="7"/>
  <c r="AD2814" i="7"/>
  <c r="AE2814" i="7"/>
  <c r="Q2815" i="7"/>
  <c r="R2815" i="7"/>
  <c r="S2815" i="7"/>
  <c r="T2815" i="7"/>
  <c r="U2815" i="7"/>
  <c r="V2815" i="7"/>
  <c r="W2815" i="7"/>
  <c r="X2815" i="7"/>
  <c r="Y2815" i="7"/>
  <c r="Z2815" i="7"/>
  <c r="AA2815" i="7"/>
  <c r="AB2815" i="7"/>
  <c r="AC2815" i="7"/>
  <c r="AD2815" i="7"/>
  <c r="AE2815" i="7"/>
  <c r="Q2816" i="7"/>
  <c r="R2816" i="7"/>
  <c r="S2816" i="7"/>
  <c r="T2816" i="7"/>
  <c r="U2816" i="7"/>
  <c r="V2816" i="7"/>
  <c r="W2816" i="7"/>
  <c r="X2816" i="7"/>
  <c r="Y2816" i="7"/>
  <c r="Z2816" i="7"/>
  <c r="AA2816" i="7"/>
  <c r="AB2816" i="7"/>
  <c r="AC2816" i="7"/>
  <c r="AD2816" i="7"/>
  <c r="AE2816" i="7"/>
  <c r="Q2817" i="7"/>
  <c r="R2817" i="7"/>
  <c r="S2817" i="7"/>
  <c r="T2817" i="7"/>
  <c r="U2817" i="7"/>
  <c r="V2817" i="7"/>
  <c r="W2817" i="7"/>
  <c r="X2817" i="7"/>
  <c r="Y2817" i="7"/>
  <c r="Z2817" i="7"/>
  <c r="AA2817" i="7"/>
  <c r="AB2817" i="7"/>
  <c r="AC2817" i="7"/>
  <c r="AD2817" i="7"/>
  <c r="AE2817" i="7"/>
  <c r="Q2818" i="7"/>
  <c r="R2818" i="7"/>
  <c r="S2818" i="7"/>
  <c r="T2818" i="7"/>
  <c r="U2818" i="7"/>
  <c r="V2818" i="7"/>
  <c r="W2818" i="7"/>
  <c r="X2818" i="7"/>
  <c r="Y2818" i="7"/>
  <c r="Z2818" i="7"/>
  <c r="AA2818" i="7"/>
  <c r="AB2818" i="7"/>
  <c r="AC2818" i="7"/>
  <c r="AD2818" i="7"/>
  <c r="AE2818" i="7"/>
  <c r="Q2819" i="7"/>
  <c r="R2819" i="7"/>
  <c r="S2819" i="7"/>
  <c r="T2819" i="7"/>
  <c r="U2819" i="7"/>
  <c r="V2819" i="7"/>
  <c r="W2819" i="7"/>
  <c r="X2819" i="7"/>
  <c r="Y2819" i="7"/>
  <c r="Z2819" i="7"/>
  <c r="AA2819" i="7"/>
  <c r="AB2819" i="7"/>
  <c r="AC2819" i="7"/>
  <c r="AD2819" i="7"/>
  <c r="AE2819" i="7"/>
  <c r="Q2820" i="7"/>
  <c r="R2820" i="7"/>
  <c r="S2820" i="7"/>
  <c r="T2820" i="7"/>
  <c r="U2820" i="7"/>
  <c r="V2820" i="7"/>
  <c r="W2820" i="7"/>
  <c r="X2820" i="7"/>
  <c r="Y2820" i="7"/>
  <c r="Z2820" i="7"/>
  <c r="AA2820" i="7"/>
  <c r="AB2820" i="7"/>
  <c r="AC2820" i="7"/>
  <c r="AD2820" i="7"/>
  <c r="AE2820" i="7"/>
  <c r="Q2821" i="7"/>
  <c r="R2821" i="7"/>
  <c r="S2821" i="7"/>
  <c r="T2821" i="7"/>
  <c r="U2821" i="7"/>
  <c r="V2821" i="7"/>
  <c r="W2821" i="7"/>
  <c r="X2821" i="7"/>
  <c r="Y2821" i="7"/>
  <c r="Z2821" i="7"/>
  <c r="AA2821" i="7"/>
  <c r="AB2821" i="7"/>
  <c r="AC2821" i="7"/>
  <c r="AD2821" i="7"/>
  <c r="AE2821" i="7"/>
  <c r="Q2822" i="7"/>
  <c r="R2822" i="7"/>
  <c r="S2822" i="7"/>
  <c r="T2822" i="7"/>
  <c r="U2822" i="7"/>
  <c r="V2822" i="7"/>
  <c r="W2822" i="7"/>
  <c r="X2822" i="7"/>
  <c r="Y2822" i="7"/>
  <c r="Z2822" i="7"/>
  <c r="AA2822" i="7"/>
  <c r="AB2822" i="7"/>
  <c r="AC2822" i="7"/>
  <c r="AD2822" i="7"/>
  <c r="AE2822" i="7"/>
  <c r="Q2823" i="7"/>
  <c r="R2823" i="7"/>
  <c r="S2823" i="7"/>
  <c r="T2823" i="7"/>
  <c r="U2823" i="7"/>
  <c r="V2823" i="7"/>
  <c r="W2823" i="7"/>
  <c r="X2823" i="7"/>
  <c r="Y2823" i="7"/>
  <c r="Z2823" i="7"/>
  <c r="AA2823" i="7"/>
  <c r="AB2823" i="7"/>
  <c r="AC2823" i="7"/>
  <c r="AD2823" i="7"/>
  <c r="AE2823" i="7"/>
  <c r="Q2824" i="7"/>
  <c r="R2824" i="7"/>
  <c r="S2824" i="7"/>
  <c r="T2824" i="7"/>
  <c r="U2824" i="7"/>
  <c r="V2824" i="7"/>
  <c r="W2824" i="7"/>
  <c r="X2824" i="7"/>
  <c r="Y2824" i="7"/>
  <c r="Z2824" i="7"/>
  <c r="AA2824" i="7"/>
  <c r="AB2824" i="7"/>
  <c r="AC2824" i="7"/>
  <c r="AD2824" i="7"/>
  <c r="AE2824" i="7"/>
  <c r="Q2825" i="7"/>
  <c r="R2825" i="7"/>
  <c r="S2825" i="7"/>
  <c r="T2825" i="7"/>
  <c r="U2825" i="7"/>
  <c r="V2825" i="7"/>
  <c r="W2825" i="7"/>
  <c r="X2825" i="7"/>
  <c r="Y2825" i="7"/>
  <c r="Z2825" i="7"/>
  <c r="AA2825" i="7"/>
  <c r="AB2825" i="7"/>
  <c r="AC2825" i="7"/>
  <c r="AD2825" i="7"/>
  <c r="AE2825" i="7"/>
  <c r="Q2826" i="7"/>
  <c r="R2826" i="7"/>
  <c r="S2826" i="7"/>
  <c r="T2826" i="7"/>
  <c r="U2826" i="7"/>
  <c r="V2826" i="7"/>
  <c r="W2826" i="7"/>
  <c r="X2826" i="7"/>
  <c r="Y2826" i="7"/>
  <c r="Z2826" i="7"/>
  <c r="AA2826" i="7"/>
  <c r="AB2826" i="7"/>
  <c r="AC2826" i="7"/>
  <c r="AD2826" i="7"/>
  <c r="AE2826" i="7"/>
  <c r="Q2827" i="7"/>
  <c r="R2827" i="7"/>
  <c r="S2827" i="7"/>
  <c r="T2827" i="7"/>
  <c r="U2827" i="7"/>
  <c r="V2827" i="7"/>
  <c r="W2827" i="7"/>
  <c r="X2827" i="7"/>
  <c r="Y2827" i="7"/>
  <c r="Z2827" i="7"/>
  <c r="AA2827" i="7"/>
  <c r="AB2827" i="7"/>
  <c r="AC2827" i="7"/>
  <c r="AD2827" i="7"/>
  <c r="AE2827" i="7"/>
  <c r="Q2828" i="7"/>
  <c r="R2828" i="7"/>
  <c r="S2828" i="7"/>
  <c r="T2828" i="7"/>
  <c r="U2828" i="7"/>
  <c r="V2828" i="7"/>
  <c r="W2828" i="7"/>
  <c r="X2828" i="7"/>
  <c r="Y2828" i="7"/>
  <c r="Z2828" i="7"/>
  <c r="AA2828" i="7"/>
  <c r="AB2828" i="7"/>
  <c r="AC2828" i="7"/>
  <c r="AD2828" i="7"/>
  <c r="AE2828" i="7"/>
  <c r="Q2829" i="7"/>
  <c r="R2829" i="7"/>
  <c r="S2829" i="7"/>
  <c r="T2829" i="7"/>
  <c r="U2829" i="7"/>
  <c r="V2829" i="7"/>
  <c r="W2829" i="7"/>
  <c r="X2829" i="7"/>
  <c r="Y2829" i="7"/>
  <c r="Z2829" i="7"/>
  <c r="AA2829" i="7"/>
  <c r="AB2829" i="7"/>
  <c r="AC2829" i="7"/>
  <c r="AD2829" i="7"/>
  <c r="AE2829" i="7"/>
  <c r="Q2830" i="7"/>
  <c r="R2830" i="7"/>
  <c r="S2830" i="7"/>
  <c r="T2830" i="7"/>
  <c r="U2830" i="7"/>
  <c r="V2830" i="7"/>
  <c r="W2830" i="7"/>
  <c r="X2830" i="7"/>
  <c r="Y2830" i="7"/>
  <c r="Z2830" i="7"/>
  <c r="AA2830" i="7"/>
  <c r="AB2830" i="7"/>
  <c r="AC2830" i="7"/>
  <c r="AD2830" i="7"/>
  <c r="AE2830" i="7"/>
  <c r="Q2831" i="7"/>
  <c r="R2831" i="7"/>
  <c r="S2831" i="7"/>
  <c r="T2831" i="7"/>
  <c r="U2831" i="7"/>
  <c r="V2831" i="7"/>
  <c r="W2831" i="7"/>
  <c r="X2831" i="7"/>
  <c r="Y2831" i="7"/>
  <c r="Z2831" i="7"/>
  <c r="AA2831" i="7"/>
  <c r="AB2831" i="7"/>
  <c r="AC2831" i="7"/>
  <c r="AD2831" i="7"/>
  <c r="AE2831" i="7"/>
  <c r="Q2832" i="7"/>
  <c r="R2832" i="7"/>
  <c r="S2832" i="7"/>
  <c r="T2832" i="7"/>
  <c r="U2832" i="7"/>
  <c r="V2832" i="7"/>
  <c r="W2832" i="7"/>
  <c r="X2832" i="7"/>
  <c r="Y2832" i="7"/>
  <c r="Z2832" i="7"/>
  <c r="AA2832" i="7"/>
  <c r="AB2832" i="7"/>
  <c r="AC2832" i="7"/>
  <c r="AD2832" i="7"/>
  <c r="AE2832" i="7"/>
  <c r="Q2833" i="7"/>
  <c r="R2833" i="7"/>
  <c r="S2833" i="7"/>
  <c r="T2833" i="7"/>
  <c r="U2833" i="7"/>
  <c r="V2833" i="7"/>
  <c r="W2833" i="7"/>
  <c r="X2833" i="7"/>
  <c r="Y2833" i="7"/>
  <c r="Z2833" i="7"/>
  <c r="AA2833" i="7"/>
  <c r="AB2833" i="7"/>
  <c r="AC2833" i="7"/>
  <c r="AD2833" i="7"/>
  <c r="AE2833" i="7"/>
  <c r="Q2834" i="7"/>
  <c r="R2834" i="7"/>
  <c r="S2834" i="7"/>
  <c r="T2834" i="7"/>
  <c r="U2834" i="7"/>
  <c r="V2834" i="7"/>
  <c r="W2834" i="7"/>
  <c r="X2834" i="7"/>
  <c r="Y2834" i="7"/>
  <c r="Z2834" i="7"/>
  <c r="AA2834" i="7"/>
  <c r="AB2834" i="7"/>
  <c r="AC2834" i="7"/>
  <c r="AD2834" i="7"/>
  <c r="AE2834" i="7"/>
  <c r="Q2835" i="7"/>
  <c r="R2835" i="7"/>
  <c r="S2835" i="7"/>
  <c r="T2835" i="7"/>
  <c r="U2835" i="7"/>
  <c r="V2835" i="7"/>
  <c r="W2835" i="7"/>
  <c r="X2835" i="7"/>
  <c r="Y2835" i="7"/>
  <c r="Z2835" i="7"/>
  <c r="AA2835" i="7"/>
  <c r="AB2835" i="7"/>
  <c r="AC2835" i="7"/>
  <c r="AD2835" i="7"/>
  <c r="AE2835" i="7"/>
  <c r="Q2836" i="7"/>
  <c r="R2836" i="7"/>
  <c r="S2836" i="7"/>
  <c r="T2836" i="7"/>
  <c r="U2836" i="7"/>
  <c r="V2836" i="7"/>
  <c r="W2836" i="7"/>
  <c r="X2836" i="7"/>
  <c r="Y2836" i="7"/>
  <c r="Z2836" i="7"/>
  <c r="AA2836" i="7"/>
  <c r="AB2836" i="7"/>
  <c r="AC2836" i="7"/>
  <c r="AD2836" i="7"/>
  <c r="AE2836" i="7"/>
  <c r="Q2837" i="7"/>
  <c r="R2837" i="7"/>
  <c r="S2837" i="7"/>
  <c r="T2837" i="7"/>
  <c r="U2837" i="7"/>
  <c r="V2837" i="7"/>
  <c r="W2837" i="7"/>
  <c r="X2837" i="7"/>
  <c r="Y2837" i="7"/>
  <c r="Z2837" i="7"/>
  <c r="AA2837" i="7"/>
  <c r="AB2837" i="7"/>
  <c r="AC2837" i="7"/>
  <c r="AD2837" i="7"/>
  <c r="AE2837" i="7"/>
  <c r="Q2838" i="7"/>
  <c r="R2838" i="7"/>
  <c r="S2838" i="7"/>
  <c r="T2838" i="7"/>
  <c r="U2838" i="7"/>
  <c r="V2838" i="7"/>
  <c r="W2838" i="7"/>
  <c r="X2838" i="7"/>
  <c r="Y2838" i="7"/>
  <c r="Z2838" i="7"/>
  <c r="AA2838" i="7"/>
  <c r="AB2838" i="7"/>
  <c r="AC2838" i="7"/>
  <c r="AD2838" i="7"/>
  <c r="AE2838" i="7"/>
  <c r="Q2839" i="7"/>
  <c r="R2839" i="7"/>
  <c r="S2839" i="7"/>
  <c r="T2839" i="7"/>
  <c r="U2839" i="7"/>
  <c r="V2839" i="7"/>
  <c r="W2839" i="7"/>
  <c r="X2839" i="7"/>
  <c r="Y2839" i="7"/>
  <c r="Z2839" i="7"/>
  <c r="AA2839" i="7"/>
  <c r="AB2839" i="7"/>
  <c r="AC2839" i="7"/>
  <c r="AD2839" i="7"/>
  <c r="AE2839" i="7"/>
  <c r="Q2840" i="7"/>
  <c r="R2840" i="7"/>
  <c r="S2840" i="7"/>
  <c r="T2840" i="7"/>
  <c r="U2840" i="7"/>
  <c r="V2840" i="7"/>
  <c r="W2840" i="7"/>
  <c r="X2840" i="7"/>
  <c r="Y2840" i="7"/>
  <c r="Z2840" i="7"/>
  <c r="AA2840" i="7"/>
  <c r="AB2840" i="7"/>
  <c r="AC2840" i="7"/>
  <c r="AD2840" i="7"/>
  <c r="AE2840" i="7"/>
  <c r="Q2841" i="7"/>
  <c r="R2841" i="7"/>
  <c r="S2841" i="7"/>
  <c r="T2841" i="7"/>
  <c r="U2841" i="7"/>
  <c r="V2841" i="7"/>
  <c r="W2841" i="7"/>
  <c r="X2841" i="7"/>
  <c r="Y2841" i="7"/>
  <c r="Z2841" i="7"/>
  <c r="AA2841" i="7"/>
  <c r="AB2841" i="7"/>
  <c r="AC2841" i="7"/>
  <c r="AD2841" i="7"/>
  <c r="AE2841" i="7"/>
  <c r="Q2842" i="7"/>
  <c r="R2842" i="7"/>
  <c r="S2842" i="7"/>
  <c r="T2842" i="7"/>
  <c r="U2842" i="7"/>
  <c r="V2842" i="7"/>
  <c r="W2842" i="7"/>
  <c r="X2842" i="7"/>
  <c r="Y2842" i="7"/>
  <c r="Z2842" i="7"/>
  <c r="AA2842" i="7"/>
  <c r="AB2842" i="7"/>
  <c r="AC2842" i="7"/>
  <c r="AD2842" i="7"/>
  <c r="AE2842" i="7"/>
  <c r="Q2843" i="7"/>
  <c r="R2843" i="7"/>
  <c r="S2843" i="7"/>
  <c r="T2843" i="7"/>
  <c r="U2843" i="7"/>
  <c r="V2843" i="7"/>
  <c r="W2843" i="7"/>
  <c r="X2843" i="7"/>
  <c r="Y2843" i="7"/>
  <c r="Z2843" i="7"/>
  <c r="AA2843" i="7"/>
  <c r="AB2843" i="7"/>
  <c r="AC2843" i="7"/>
  <c r="AD2843" i="7"/>
  <c r="AE2843" i="7"/>
  <c r="Q2844" i="7"/>
  <c r="R2844" i="7"/>
  <c r="S2844" i="7"/>
  <c r="T2844" i="7"/>
  <c r="U2844" i="7"/>
  <c r="V2844" i="7"/>
  <c r="W2844" i="7"/>
  <c r="X2844" i="7"/>
  <c r="Y2844" i="7"/>
  <c r="Z2844" i="7"/>
  <c r="AA2844" i="7"/>
  <c r="AB2844" i="7"/>
  <c r="AC2844" i="7"/>
  <c r="AD2844" i="7"/>
  <c r="AE2844" i="7"/>
  <c r="Q2845" i="7"/>
  <c r="R2845" i="7"/>
  <c r="S2845" i="7"/>
  <c r="T2845" i="7"/>
  <c r="U2845" i="7"/>
  <c r="V2845" i="7"/>
  <c r="W2845" i="7"/>
  <c r="X2845" i="7"/>
  <c r="Y2845" i="7"/>
  <c r="Z2845" i="7"/>
  <c r="AA2845" i="7"/>
  <c r="AB2845" i="7"/>
  <c r="AC2845" i="7"/>
  <c r="AD2845" i="7"/>
  <c r="AE2845" i="7"/>
  <c r="Q2846" i="7"/>
  <c r="R2846" i="7"/>
  <c r="S2846" i="7"/>
  <c r="T2846" i="7"/>
  <c r="U2846" i="7"/>
  <c r="V2846" i="7"/>
  <c r="W2846" i="7"/>
  <c r="X2846" i="7"/>
  <c r="Y2846" i="7"/>
  <c r="Z2846" i="7"/>
  <c r="AA2846" i="7"/>
  <c r="AB2846" i="7"/>
  <c r="AC2846" i="7"/>
  <c r="AD2846" i="7"/>
  <c r="AE2846" i="7"/>
  <c r="Q2847" i="7"/>
  <c r="R2847" i="7"/>
  <c r="S2847" i="7"/>
  <c r="T2847" i="7"/>
  <c r="U2847" i="7"/>
  <c r="V2847" i="7"/>
  <c r="W2847" i="7"/>
  <c r="X2847" i="7"/>
  <c r="Y2847" i="7"/>
  <c r="Z2847" i="7"/>
  <c r="AA2847" i="7"/>
  <c r="AB2847" i="7"/>
  <c r="AC2847" i="7"/>
  <c r="AD2847" i="7"/>
  <c r="AE2847" i="7"/>
  <c r="Q2848" i="7"/>
  <c r="R2848" i="7"/>
  <c r="S2848" i="7"/>
  <c r="T2848" i="7"/>
  <c r="U2848" i="7"/>
  <c r="V2848" i="7"/>
  <c r="W2848" i="7"/>
  <c r="X2848" i="7"/>
  <c r="Y2848" i="7"/>
  <c r="Z2848" i="7"/>
  <c r="AA2848" i="7"/>
  <c r="AB2848" i="7"/>
  <c r="AC2848" i="7"/>
  <c r="AD2848" i="7"/>
  <c r="AE2848" i="7"/>
  <c r="Q2849" i="7"/>
  <c r="R2849" i="7"/>
  <c r="S2849" i="7"/>
  <c r="T2849" i="7"/>
  <c r="U2849" i="7"/>
  <c r="V2849" i="7"/>
  <c r="W2849" i="7"/>
  <c r="X2849" i="7"/>
  <c r="Y2849" i="7"/>
  <c r="Z2849" i="7"/>
  <c r="AA2849" i="7"/>
  <c r="AB2849" i="7"/>
  <c r="AC2849" i="7"/>
  <c r="AD2849" i="7"/>
  <c r="AE2849" i="7"/>
  <c r="Q2850" i="7"/>
  <c r="R2850" i="7"/>
  <c r="S2850" i="7"/>
  <c r="T2850" i="7"/>
  <c r="U2850" i="7"/>
  <c r="V2850" i="7"/>
  <c r="W2850" i="7"/>
  <c r="X2850" i="7"/>
  <c r="Y2850" i="7"/>
  <c r="Z2850" i="7"/>
  <c r="AA2850" i="7"/>
  <c r="AB2850" i="7"/>
  <c r="AC2850" i="7"/>
  <c r="AD2850" i="7"/>
  <c r="AE2850" i="7"/>
  <c r="Q2851" i="7"/>
  <c r="R2851" i="7"/>
  <c r="S2851" i="7"/>
  <c r="T2851" i="7"/>
  <c r="U2851" i="7"/>
  <c r="V2851" i="7"/>
  <c r="W2851" i="7"/>
  <c r="X2851" i="7"/>
  <c r="Y2851" i="7"/>
  <c r="Z2851" i="7"/>
  <c r="AA2851" i="7"/>
  <c r="AB2851" i="7"/>
  <c r="AC2851" i="7"/>
  <c r="AD2851" i="7"/>
  <c r="AE2851" i="7"/>
  <c r="Q2852" i="7"/>
  <c r="R2852" i="7"/>
  <c r="S2852" i="7"/>
  <c r="T2852" i="7"/>
  <c r="U2852" i="7"/>
  <c r="V2852" i="7"/>
  <c r="W2852" i="7"/>
  <c r="X2852" i="7"/>
  <c r="Y2852" i="7"/>
  <c r="Z2852" i="7"/>
  <c r="AA2852" i="7"/>
  <c r="AB2852" i="7"/>
  <c r="AC2852" i="7"/>
  <c r="AD2852" i="7"/>
  <c r="AE2852" i="7"/>
  <c r="Q2853" i="7"/>
  <c r="R2853" i="7"/>
  <c r="S2853" i="7"/>
  <c r="T2853" i="7"/>
  <c r="U2853" i="7"/>
  <c r="V2853" i="7"/>
  <c r="W2853" i="7"/>
  <c r="X2853" i="7"/>
  <c r="Y2853" i="7"/>
  <c r="Z2853" i="7"/>
  <c r="AA2853" i="7"/>
  <c r="AB2853" i="7"/>
  <c r="AC2853" i="7"/>
  <c r="AD2853" i="7"/>
  <c r="AE2853" i="7"/>
  <c r="Q2854" i="7"/>
  <c r="R2854" i="7"/>
  <c r="S2854" i="7"/>
  <c r="T2854" i="7"/>
  <c r="U2854" i="7"/>
  <c r="V2854" i="7"/>
  <c r="W2854" i="7"/>
  <c r="X2854" i="7"/>
  <c r="Y2854" i="7"/>
  <c r="Z2854" i="7"/>
  <c r="AA2854" i="7"/>
  <c r="AB2854" i="7"/>
  <c r="AC2854" i="7"/>
  <c r="AD2854" i="7"/>
  <c r="AE2854" i="7"/>
  <c r="Q2855" i="7"/>
  <c r="R2855" i="7"/>
  <c r="S2855" i="7"/>
  <c r="T2855" i="7"/>
  <c r="U2855" i="7"/>
  <c r="V2855" i="7"/>
  <c r="W2855" i="7"/>
  <c r="X2855" i="7"/>
  <c r="Y2855" i="7"/>
  <c r="Z2855" i="7"/>
  <c r="AA2855" i="7"/>
  <c r="AB2855" i="7"/>
  <c r="AC2855" i="7"/>
  <c r="AD2855" i="7"/>
  <c r="AE2855" i="7"/>
  <c r="Q2856" i="7"/>
  <c r="R2856" i="7"/>
  <c r="S2856" i="7"/>
  <c r="T2856" i="7"/>
  <c r="U2856" i="7"/>
  <c r="V2856" i="7"/>
  <c r="W2856" i="7"/>
  <c r="X2856" i="7"/>
  <c r="Y2856" i="7"/>
  <c r="Z2856" i="7"/>
  <c r="AA2856" i="7"/>
  <c r="AB2856" i="7"/>
  <c r="AC2856" i="7"/>
  <c r="AD2856" i="7"/>
  <c r="AE2856" i="7"/>
  <c r="Q2857" i="7"/>
  <c r="R2857" i="7"/>
  <c r="S2857" i="7"/>
  <c r="T2857" i="7"/>
  <c r="U2857" i="7"/>
  <c r="V2857" i="7"/>
  <c r="W2857" i="7"/>
  <c r="X2857" i="7"/>
  <c r="Y2857" i="7"/>
  <c r="Z2857" i="7"/>
  <c r="AA2857" i="7"/>
  <c r="AB2857" i="7"/>
  <c r="AC2857" i="7"/>
  <c r="AD2857" i="7"/>
  <c r="AE2857" i="7"/>
  <c r="Q2858" i="7"/>
  <c r="R2858" i="7"/>
  <c r="S2858" i="7"/>
  <c r="T2858" i="7"/>
  <c r="U2858" i="7"/>
  <c r="V2858" i="7"/>
  <c r="W2858" i="7"/>
  <c r="X2858" i="7"/>
  <c r="Y2858" i="7"/>
  <c r="Z2858" i="7"/>
  <c r="AA2858" i="7"/>
  <c r="AB2858" i="7"/>
  <c r="AC2858" i="7"/>
  <c r="AD2858" i="7"/>
  <c r="AE2858" i="7"/>
  <c r="Q2859" i="7"/>
  <c r="R2859" i="7"/>
  <c r="S2859" i="7"/>
  <c r="T2859" i="7"/>
  <c r="U2859" i="7"/>
  <c r="V2859" i="7"/>
  <c r="W2859" i="7"/>
  <c r="X2859" i="7"/>
  <c r="Y2859" i="7"/>
  <c r="Z2859" i="7"/>
  <c r="AA2859" i="7"/>
  <c r="AB2859" i="7"/>
  <c r="AC2859" i="7"/>
  <c r="AD2859" i="7"/>
  <c r="AE2859" i="7"/>
  <c r="Q2860" i="7"/>
  <c r="R2860" i="7"/>
  <c r="S2860" i="7"/>
  <c r="T2860" i="7"/>
  <c r="U2860" i="7"/>
  <c r="V2860" i="7"/>
  <c r="W2860" i="7"/>
  <c r="X2860" i="7"/>
  <c r="Y2860" i="7"/>
  <c r="Z2860" i="7"/>
  <c r="AA2860" i="7"/>
  <c r="AB2860" i="7"/>
  <c r="AC2860" i="7"/>
  <c r="AD2860" i="7"/>
  <c r="AE2860" i="7"/>
  <c r="Q2861" i="7"/>
  <c r="R2861" i="7"/>
  <c r="S2861" i="7"/>
  <c r="T2861" i="7"/>
  <c r="U2861" i="7"/>
  <c r="V2861" i="7"/>
  <c r="W2861" i="7"/>
  <c r="X2861" i="7"/>
  <c r="Y2861" i="7"/>
  <c r="Z2861" i="7"/>
  <c r="AA2861" i="7"/>
  <c r="AB2861" i="7"/>
  <c r="AC2861" i="7"/>
  <c r="AD2861" i="7"/>
  <c r="AE2861" i="7"/>
  <c r="Q2862" i="7"/>
  <c r="R2862" i="7"/>
  <c r="S2862" i="7"/>
  <c r="T2862" i="7"/>
  <c r="U2862" i="7"/>
  <c r="V2862" i="7"/>
  <c r="W2862" i="7"/>
  <c r="X2862" i="7"/>
  <c r="Y2862" i="7"/>
  <c r="Z2862" i="7"/>
  <c r="AA2862" i="7"/>
  <c r="AB2862" i="7"/>
  <c r="AC2862" i="7"/>
  <c r="AD2862" i="7"/>
  <c r="AE2862" i="7"/>
  <c r="Q2863" i="7"/>
  <c r="R2863" i="7"/>
  <c r="S2863" i="7"/>
  <c r="T2863" i="7"/>
  <c r="U2863" i="7"/>
  <c r="V2863" i="7"/>
  <c r="W2863" i="7"/>
  <c r="X2863" i="7"/>
  <c r="Y2863" i="7"/>
  <c r="Z2863" i="7"/>
  <c r="AA2863" i="7"/>
  <c r="AB2863" i="7"/>
  <c r="AC2863" i="7"/>
  <c r="AD2863" i="7"/>
  <c r="AE2863" i="7"/>
  <c r="Q2864" i="7"/>
  <c r="R2864" i="7"/>
  <c r="S2864" i="7"/>
  <c r="T2864" i="7"/>
  <c r="U2864" i="7"/>
  <c r="V2864" i="7"/>
  <c r="W2864" i="7"/>
  <c r="X2864" i="7"/>
  <c r="Y2864" i="7"/>
  <c r="Z2864" i="7"/>
  <c r="AA2864" i="7"/>
  <c r="AB2864" i="7"/>
  <c r="AC2864" i="7"/>
  <c r="AD2864" i="7"/>
  <c r="AE2864" i="7"/>
  <c r="Q2865" i="7"/>
  <c r="R2865" i="7"/>
  <c r="S2865" i="7"/>
  <c r="T2865" i="7"/>
  <c r="U2865" i="7"/>
  <c r="V2865" i="7"/>
  <c r="W2865" i="7"/>
  <c r="X2865" i="7"/>
  <c r="Y2865" i="7"/>
  <c r="Z2865" i="7"/>
  <c r="AA2865" i="7"/>
  <c r="AB2865" i="7"/>
  <c r="AC2865" i="7"/>
  <c r="AD2865" i="7"/>
  <c r="AE2865" i="7"/>
  <c r="Q2866" i="7"/>
  <c r="R2866" i="7"/>
  <c r="S2866" i="7"/>
  <c r="T2866" i="7"/>
  <c r="U2866" i="7"/>
  <c r="V2866" i="7"/>
  <c r="W2866" i="7"/>
  <c r="X2866" i="7"/>
  <c r="Y2866" i="7"/>
  <c r="Z2866" i="7"/>
  <c r="AA2866" i="7"/>
  <c r="AB2866" i="7"/>
  <c r="AC2866" i="7"/>
  <c r="AD2866" i="7"/>
  <c r="AE2866" i="7"/>
  <c r="Q2867" i="7"/>
  <c r="R2867" i="7"/>
  <c r="S2867" i="7"/>
  <c r="T2867" i="7"/>
  <c r="U2867" i="7"/>
  <c r="V2867" i="7"/>
  <c r="W2867" i="7"/>
  <c r="X2867" i="7"/>
  <c r="Y2867" i="7"/>
  <c r="Z2867" i="7"/>
  <c r="AA2867" i="7"/>
  <c r="AB2867" i="7"/>
  <c r="AC2867" i="7"/>
  <c r="AD2867" i="7"/>
  <c r="AE2867" i="7"/>
  <c r="Q2868" i="7"/>
  <c r="R2868" i="7"/>
  <c r="S2868" i="7"/>
  <c r="T2868" i="7"/>
  <c r="U2868" i="7"/>
  <c r="V2868" i="7"/>
  <c r="W2868" i="7"/>
  <c r="X2868" i="7"/>
  <c r="Y2868" i="7"/>
  <c r="Z2868" i="7"/>
  <c r="AA2868" i="7"/>
  <c r="AB2868" i="7"/>
  <c r="AC2868" i="7"/>
  <c r="AD2868" i="7"/>
  <c r="AE2868" i="7"/>
  <c r="Q2869" i="7"/>
  <c r="R2869" i="7"/>
  <c r="S2869" i="7"/>
  <c r="T2869" i="7"/>
  <c r="U2869" i="7"/>
  <c r="V2869" i="7"/>
  <c r="W2869" i="7"/>
  <c r="X2869" i="7"/>
  <c r="Y2869" i="7"/>
  <c r="Z2869" i="7"/>
  <c r="AA2869" i="7"/>
  <c r="AB2869" i="7"/>
  <c r="AC2869" i="7"/>
  <c r="AD2869" i="7"/>
  <c r="AE2869" i="7"/>
  <c r="Q2870" i="7"/>
  <c r="R2870" i="7"/>
  <c r="S2870" i="7"/>
  <c r="T2870" i="7"/>
  <c r="U2870" i="7"/>
  <c r="V2870" i="7"/>
  <c r="W2870" i="7"/>
  <c r="X2870" i="7"/>
  <c r="Y2870" i="7"/>
  <c r="Z2870" i="7"/>
  <c r="AA2870" i="7"/>
  <c r="AB2870" i="7"/>
  <c r="AC2870" i="7"/>
  <c r="AD2870" i="7"/>
  <c r="AE2870" i="7"/>
  <c r="Q2871" i="7"/>
  <c r="R2871" i="7"/>
  <c r="S2871" i="7"/>
  <c r="T2871" i="7"/>
  <c r="U2871" i="7"/>
  <c r="V2871" i="7"/>
  <c r="W2871" i="7"/>
  <c r="X2871" i="7"/>
  <c r="Y2871" i="7"/>
  <c r="Z2871" i="7"/>
  <c r="AA2871" i="7"/>
  <c r="AB2871" i="7"/>
  <c r="AC2871" i="7"/>
  <c r="AD2871" i="7"/>
  <c r="AE2871" i="7"/>
  <c r="Q2872" i="7"/>
  <c r="R2872" i="7"/>
  <c r="S2872" i="7"/>
  <c r="T2872" i="7"/>
  <c r="U2872" i="7"/>
  <c r="V2872" i="7"/>
  <c r="W2872" i="7"/>
  <c r="X2872" i="7"/>
  <c r="Y2872" i="7"/>
  <c r="Z2872" i="7"/>
  <c r="AA2872" i="7"/>
  <c r="AB2872" i="7"/>
  <c r="AC2872" i="7"/>
  <c r="AD2872" i="7"/>
  <c r="AE2872" i="7"/>
  <c r="Q2873" i="7"/>
  <c r="R2873" i="7"/>
  <c r="S2873" i="7"/>
  <c r="T2873" i="7"/>
  <c r="U2873" i="7"/>
  <c r="V2873" i="7"/>
  <c r="W2873" i="7"/>
  <c r="X2873" i="7"/>
  <c r="Y2873" i="7"/>
  <c r="Z2873" i="7"/>
  <c r="AA2873" i="7"/>
  <c r="AB2873" i="7"/>
  <c r="AC2873" i="7"/>
  <c r="AD2873" i="7"/>
  <c r="AE2873" i="7"/>
  <c r="Q2874" i="7"/>
  <c r="R2874" i="7"/>
  <c r="S2874" i="7"/>
  <c r="T2874" i="7"/>
  <c r="U2874" i="7"/>
  <c r="V2874" i="7"/>
  <c r="W2874" i="7"/>
  <c r="X2874" i="7"/>
  <c r="Y2874" i="7"/>
  <c r="Z2874" i="7"/>
  <c r="AA2874" i="7"/>
  <c r="AB2874" i="7"/>
  <c r="AC2874" i="7"/>
  <c r="AD2874" i="7"/>
  <c r="AE2874" i="7"/>
  <c r="Q2875" i="7"/>
  <c r="R2875" i="7"/>
  <c r="S2875" i="7"/>
  <c r="T2875" i="7"/>
  <c r="U2875" i="7"/>
  <c r="V2875" i="7"/>
  <c r="W2875" i="7"/>
  <c r="X2875" i="7"/>
  <c r="Y2875" i="7"/>
  <c r="Z2875" i="7"/>
  <c r="AA2875" i="7"/>
  <c r="AB2875" i="7"/>
  <c r="AC2875" i="7"/>
  <c r="AD2875" i="7"/>
  <c r="AE2875" i="7"/>
  <c r="Q2876" i="7"/>
  <c r="R2876" i="7"/>
  <c r="S2876" i="7"/>
  <c r="T2876" i="7"/>
  <c r="U2876" i="7"/>
  <c r="V2876" i="7"/>
  <c r="W2876" i="7"/>
  <c r="X2876" i="7"/>
  <c r="Y2876" i="7"/>
  <c r="Z2876" i="7"/>
  <c r="AA2876" i="7"/>
  <c r="AB2876" i="7"/>
  <c r="AC2876" i="7"/>
  <c r="AD2876" i="7"/>
  <c r="AE2876" i="7"/>
  <c r="Q2877" i="7"/>
  <c r="R2877" i="7"/>
  <c r="S2877" i="7"/>
  <c r="T2877" i="7"/>
  <c r="U2877" i="7"/>
  <c r="V2877" i="7"/>
  <c r="W2877" i="7"/>
  <c r="X2877" i="7"/>
  <c r="Y2877" i="7"/>
  <c r="Z2877" i="7"/>
  <c r="AA2877" i="7"/>
  <c r="AB2877" i="7"/>
  <c r="AC2877" i="7"/>
  <c r="AD2877" i="7"/>
  <c r="AE2877" i="7"/>
  <c r="Q2878" i="7"/>
  <c r="R2878" i="7"/>
  <c r="S2878" i="7"/>
  <c r="T2878" i="7"/>
  <c r="U2878" i="7"/>
  <c r="V2878" i="7"/>
  <c r="W2878" i="7"/>
  <c r="X2878" i="7"/>
  <c r="Y2878" i="7"/>
  <c r="Z2878" i="7"/>
  <c r="AA2878" i="7"/>
  <c r="AB2878" i="7"/>
  <c r="AC2878" i="7"/>
  <c r="AD2878" i="7"/>
  <c r="AE2878" i="7"/>
  <c r="Q2879" i="7"/>
  <c r="R2879" i="7"/>
  <c r="S2879" i="7"/>
  <c r="T2879" i="7"/>
  <c r="U2879" i="7"/>
  <c r="V2879" i="7"/>
  <c r="W2879" i="7"/>
  <c r="X2879" i="7"/>
  <c r="Y2879" i="7"/>
  <c r="Z2879" i="7"/>
  <c r="AA2879" i="7"/>
  <c r="AB2879" i="7"/>
  <c r="AC2879" i="7"/>
  <c r="AD2879" i="7"/>
  <c r="AE2879" i="7"/>
  <c r="Q2880" i="7"/>
  <c r="R2880" i="7"/>
  <c r="S2880" i="7"/>
  <c r="T2880" i="7"/>
  <c r="U2880" i="7"/>
  <c r="V2880" i="7"/>
  <c r="W2880" i="7"/>
  <c r="X2880" i="7"/>
  <c r="Y2880" i="7"/>
  <c r="Z2880" i="7"/>
  <c r="AA2880" i="7"/>
  <c r="AB2880" i="7"/>
  <c r="AC2880" i="7"/>
  <c r="AD2880" i="7"/>
  <c r="AE2880" i="7"/>
  <c r="Q2881" i="7"/>
  <c r="R2881" i="7"/>
  <c r="S2881" i="7"/>
  <c r="T2881" i="7"/>
  <c r="U2881" i="7"/>
  <c r="V2881" i="7"/>
  <c r="W2881" i="7"/>
  <c r="X2881" i="7"/>
  <c r="Y2881" i="7"/>
  <c r="Z2881" i="7"/>
  <c r="AA2881" i="7"/>
  <c r="AB2881" i="7"/>
  <c r="AC2881" i="7"/>
  <c r="AD2881" i="7"/>
  <c r="AE2881" i="7"/>
  <c r="Q2882" i="7"/>
  <c r="R2882" i="7"/>
  <c r="S2882" i="7"/>
  <c r="T2882" i="7"/>
  <c r="U2882" i="7"/>
  <c r="V2882" i="7"/>
  <c r="W2882" i="7"/>
  <c r="X2882" i="7"/>
  <c r="Y2882" i="7"/>
  <c r="Z2882" i="7"/>
  <c r="AA2882" i="7"/>
  <c r="AB2882" i="7"/>
  <c r="AC2882" i="7"/>
  <c r="AD2882" i="7"/>
  <c r="AE2882" i="7"/>
  <c r="Q2883" i="7"/>
  <c r="R2883" i="7"/>
  <c r="S2883" i="7"/>
  <c r="T2883" i="7"/>
  <c r="U2883" i="7"/>
  <c r="V2883" i="7"/>
  <c r="W2883" i="7"/>
  <c r="X2883" i="7"/>
  <c r="Y2883" i="7"/>
  <c r="Z2883" i="7"/>
  <c r="AA2883" i="7"/>
  <c r="AB2883" i="7"/>
  <c r="AC2883" i="7"/>
  <c r="AD2883" i="7"/>
  <c r="AE2883" i="7"/>
  <c r="Q2884" i="7"/>
  <c r="R2884" i="7"/>
  <c r="S2884" i="7"/>
  <c r="T2884" i="7"/>
  <c r="U2884" i="7"/>
  <c r="V2884" i="7"/>
  <c r="W2884" i="7"/>
  <c r="X2884" i="7"/>
  <c r="Y2884" i="7"/>
  <c r="Z2884" i="7"/>
  <c r="AA2884" i="7"/>
  <c r="AB2884" i="7"/>
  <c r="AC2884" i="7"/>
  <c r="AD2884" i="7"/>
  <c r="AE2884" i="7"/>
  <c r="Q2885" i="7"/>
  <c r="R2885" i="7"/>
  <c r="S2885" i="7"/>
  <c r="T2885" i="7"/>
  <c r="U2885" i="7"/>
  <c r="V2885" i="7"/>
  <c r="W2885" i="7"/>
  <c r="X2885" i="7"/>
  <c r="Y2885" i="7"/>
  <c r="Z2885" i="7"/>
  <c r="AA2885" i="7"/>
  <c r="AB2885" i="7"/>
  <c r="AC2885" i="7"/>
  <c r="AD2885" i="7"/>
  <c r="AE2885" i="7"/>
  <c r="Q2886" i="7"/>
  <c r="R2886" i="7"/>
  <c r="S2886" i="7"/>
  <c r="T2886" i="7"/>
  <c r="U2886" i="7"/>
  <c r="V2886" i="7"/>
  <c r="W2886" i="7"/>
  <c r="X2886" i="7"/>
  <c r="Y2886" i="7"/>
  <c r="Z2886" i="7"/>
  <c r="AA2886" i="7"/>
  <c r="AB2886" i="7"/>
  <c r="AC2886" i="7"/>
  <c r="AD2886" i="7"/>
  <c r="AE2886" i="7"/>
  <c r="Q2887" i="7"/>
  <c r="R2887" i="7"/>
  <c r="S2887" i="7"/>
  <c r="T2887" i="7"/>
  <c r="U2887" i="7"/>
  <c r="V2887" i="7"/>
  <c r="W2887" i="7"/>
  <c r="X2887" i="7"/>
  <c r="Y2887" i="7"/>
  <c r="Z2887" i="7"/>
  <c r="AA2887" i="7"/>
  <c r="AB2887" i="7"/>
  <c r="AC2887" i="7"/>
  <c r="AD2887" i="7"/>
  <c r="AE2887" i="7"/>
  <c r="Q2888" i="7"/>
  <c r="R2888" i="7"/>
  <c r="S2888" i="7"/>
  <c r="T2888" i="7"/>
  <c r="U2888" i="7"/>
  <c r="V2888" i="7"/>
  <c r="W2888" i="7"/>
  <c r="X2888" i="7"/>
  <c r="Y2888" i="7"/>
  <c r="Z2888" i="7"/>
  <c r="AA2888" i="7"/>
  <c r="AB2888" i="7"/>
  <c r="AC2888" i="7"/>
  <c r="AD2888" i="7"/>
  <c r="AE2888" i="7"/>
  <c r="Q2889" i="7"/>
  <c r="R2889" i="7"/>
  <c r="S2889" i="7"/>
  <c r="T2889" i="7"/>
  <c r="U2889" i="7"/>
  <c r="V2889" i="7"/>
  <c r="W2889" i="7"/>
  <c r="X2889" i="7"/>
  <c r="Y2889" i="7"/>
  <c r="Z2889" i="7"/>
  <c r="AA2889" i="7"/>
  <c r="AB2889" i="7"/>
  <c r="AC2889" i="7"/>
  <c r="AD2889" i="7"/>
  <c r="AE2889" i="7"/>
  <c r="Q2890" i="7"/>
  <c r="R2890" i="7"/>
  <c r="S2890" i="7"/>
  <c r="T2890" i="7"/>
  <c r="U2890" i="7"/>
  <c r="V2890" i="7"/>
  <c r="W2890" i="7"/>
  <c r="X2890" i="7"/>
  <c r="Y2890" i="7"/>
  <c r="Z2890" i="7"/>
  <c r="AA2890" i="7"/>
  <c r="AB2890" i="7"/>
  <c r="AC2890" i="7"/>
  <c r="AD2890" i="7"/>
  <c r="AE2890" i="7"/>
  <c r="Q2891" i="7"/>
  <c r="R2891" i="7"/>
  <c r="S2891" i="7"/>
  <c r="T2891" i="7"/>
  <c r="U2891" i="7"/>
  <c r="V2891" i="7"/>
  <c r="W2891" i="7"/>
  <c r="X2891" i="7"/>
  <c r="Y2891" i="7"/>
  <c r="Z2891" i="7"/>
  <c r="AA2891" i="7"/>
  <c r="AB2891" i="7"/>
  <c r="AC2891" i="7"/>
  <c r="AD2891" i="7"/>
  <c r="AE2891" i="7"/>
  <c r="Q2892" i="7"/>
  <c r="R2892" i="7"/>
  <c r="S2892" i="7"/>
  <c r="T2892" i="7"/>
  <c r="U2892" i="7"/>
  <c r="V2892" i="7"/>
  <c r="W2892" i="7"/>
  <c r="X2892" i="7"/>
  <c r="Y2892" i="7"/>
  <c r="Z2892" i="7"/>
  <c r="AA2892" i="7"/>
  <c r="AB2892" i="7"/>
  <c r="AC2892" i="7"/>
  <c r="AD2892" i="7"/>
  <c r="AE2892" i="7"/>
  <c r="Q2893" i="7"/>
  <c r="R2893" i="7"/>
  <c r="S2893" i="7"/>
  <c r="T2893" i="7"/>
  <c r="U2893" i="7"/>
  <c r="V2893" i="7"/>
  <c r="W2893" i="7"/>
  <c r="X2893" i="7"/>
  <c r="Y2893" i="7"/>
  <c r="Z2893" i="7"/>
  <c r="AA2893" i="7"/>
  <c r="AB2893" i="7"/>
  <c r="AC2893" i="7"/>
  <c r="AD2893" i="7"/>
  <c r="AE2893" i="7"/>
  <c r="Q2894" i="7"/>
  <c r="R2894" i="7"/>
  <c r="S2894" i="7"/>
  <c r="T2894" i="7"/>
  <c r="U2894" i="7"/>
  <c r="V2894" i="7"/>
  <c r="W2894" i="7"/>
  <c r="X2894" i="7"/>
  <c r="Y2894" i="7"/>
  <c r="Z2894" i="7"/>
  <c r="AA2894" i="7"/>
  <c r="AB2894" i="7"/>
  <c r="AC2894" i="7"/>
  <c r="AD2894" i="7"/>
  <c r="AE2894" i="7"/>
  <c r="Q2895" i="7"/>
  <c r="R2895" i="7"/>
  <c r="S2895" i="7"/>
  <c r="T2895" i="7"/>
  <c r="U2895" i="7"/>
  <c r="V2895" i="7"/>
  <c r="W2895" i="7"/>
  <c r="X2895" i="7"/>
  <c r="Y2895" i="7"/>
  <c r="Z2895" i="7"/>
  <c r="AA2895" i="7"/>
  <c r="AB2895" i="7"/>
  <c r="AC2895" i="7"/>
  <c r="AD2895" i="7"/>
  <c r="AE2895" i="7"/>
  <c r="Q2896" i="7"/>
  <c r="R2896" i="7"/>
  <c r="S2896" i="7"/>
  <c r="T2896" i="7"/>
  <c r="U2896" i="7"/>
  <c r="V2896" i="7"/>
  <c r="W2896" i="7"/>
  <c r="X2896" i="7"/>
  <c r="Y2896" i="7"/>
  <c r="Z2896" i="7"/>
  <c r="AA2896" i="7"/>
  <c r="AB2896" i="7"/>
  <c r="AC2896" i="7"/>
  <c r="AD2896" i="7"/>
  <c r="AE2896" i="7"/>
  <c r="Q2897" i="7"/>
  <c r="R2897" i="7"/>
  <c r="S2897" i="7"/>
  <c r="T2897" i="7"/>
  <c r="U2897" i="7"/>
  <c r="V2897" i="7"/>
  <c r="W2897" i="7"/>
  <c r="X2897" i="7"/>
  <c r="Y2897" i="7"/>
  <c r="Z2897" i="7"/>
  <c r="AA2897" i="7"/>
  <c r="AB2897" i="7"/>
  <c r="AC2897" i="7"/>
  <c r="AD2897" i="7"/>
  <c r="AE2897" i="7"/>
  <c r="Q2898" i="7"/>
  <c r="R2898" i="7"/>
  <c r="S2898" i="7"/>
  <c r="T2898" i="7"/>
  <c r="U2898" i="7"/>
  <c r="V2898" i="7"/>
  <c r="W2898" i="7"/>
  <c r="X2898" i="7"/>
  <c r="Y2898" i="7"/>
  <c r="Z2898" i="7"/>
  <c r="AA2898" i="7"/>
  <c r="AB2898" i="7"/>
  <c r="AC2898" i="7"/>
  <c r="AD2898" i="7"/>
  <c r="AE2898" i="7"/>
  <c r="Q2899" i="7"/>
  <c r="R2899" i="7"/>
  <c r="S2899" i="7"/>
  <c r="T2899" i="7"/>
  <c r="U2899" i="7"/>
  <c r="V2899" i="7"/>
  <c r="W2899" i="7"/>
  <c r="X2899" i="7"/>
  <c r="Y2899" i="7"/>
  <c r="Z2899" i="7"/>
  <c r="AA2899" i="7"/>
  <c r="AB2899" i="7"/>
  <c r="AC2899" i="7"/>
  <c r="AD2899" i="7"/>
  <c r="AE2899" i="7"/>
  <c r="Q2900" i="7"/>
  <c r="R2900" i="7"/>
  <c r="S2900" i="7"/>
  <c r="T2900" i="7"/>
  <c r="U2900" i="7"/>
  <c r="V2900" i="7"/>
  <c r="W2900" i="7"/>
  <c r="X2900" i="7"/>
  <c r="Y2900" i="7"/>
  <c r="Z2900" i="7"/>
  <c r="AA2900" i="7"/>
  <c r="AB2900" i="7"/>
  <c r="AC2900" i="7"/>
  <c r="AD2900" i="7"/>
  <c r="AE2900" i="7"/>
  <c r="Q2901" i="7"/>
  <c r="R2901" i="7"/>
  <c r="S2901" i="7"/>
  <c r="T2901" i="7"/>
  <c r="U2901" i="7"/>
  <c r="V2901" i="7"/>
  <c r="W2901" i="7"/>
  <c r="X2901" i="7"/>
  <c r="Y2901" i="7"/>
  <c r="Z2901" i="7"/>
  <c r="AA2901" i="7"/>
  <c r="AB2901" i="7"/>
  <c r="AC2901" i="7"/>
  <c r="AD2901" i="7"/>
  <c r="AE2901" i="7"/>
  <c r="Q2902" i="7"/>
  <c r="R2902" i="7"/>
  <c r="S2902" i="7"/>
  <c r="T2902" i="7"/>
  <c r="U2902" i="7"/>
  <c r="V2902" i="7"/>
  <c r="W2902" i="7"/>
  <c r="X2902" i="7"/>
  <c r="Y2902" i="7"/>
  <c r="Z2902" i="7"/>
  <c r="AA2902" i="7"/>
  <c r="AB2902" i="7"/>
  <c r="AC2902" i="7"/>
  <c r="AD2902" i="7"/>
  <c r="AE2902" i="7"/>
  <c r="Q2903" i="7"/>
  <c r="R2903" i="7"/>
  <c r="S2903" i="7"/>
  <c r="T2903" i="7"/>
  <c r="U2903" i="7"/>
  <c r="V2903" i="7"/>
  <c r="W2903" i="7"/>
  <c r="X2903" i="7"/>
  <c r="Y2903" i="7"/>
  <c r="Z2903" i="7"/>
  <c r="AA2903" i="7"/>
  <c r="AB2903" i="7"/>
  <c r="AC2903" i="7"/>
  <c r="AD2903" i="7"/>
  <c r="AE2903" i="7"/>
  <c r="Q2904" i="7"/>
  <c r="R2904" i="7"/>
  <c r="S2904" i="7"/>
  <c r="T2904" i="7"/>
  <c r="U2904" i="7"/>
  <c r="V2904" i="7"/>
  <c r="W2904" i="7"/>
  <c r="X2904" i="7"/>
  <c r="Y2904" i="7"/>
  <c r="Z2904" i="7"/>
  <c r="AA2904" i="7"/>
  <c r="AB2904" i="7"/>
  <c r="AC2904" i="7"/>
  <c r="AD2904" i="7"/>
  <c r="AE2904" i="7"/>
  <c r="Q2905" i="7"/>
  <c r="R2905" i="7"/>
  <c r="S2905" i="7"/>
  <c r="T2905" i="7"/>
  <c r="U2905" i="7"/>
  <c r="V2905" i="7"/>
  <c r="W2905" i="7"/>
  <c r="X2905" i="7"/>
  <c r="Y2905" i="7"/>
  <c r="Z2905" i="7"/>
  <c r="AA2905" i="7"/>
  <c r="AB2905" i="7"/>
  <c r="AC2905" i="7"/>
  <c r="AD2905" i="7"/>
  <c r="AE2905" i="7"/>
  <c r="Q2906" i="7"/>
  <c r="R2906" i="7"/>
  <c r="S2906" i="7"/>
  <c r="T2906" i="7"/>
  <c r="U2906" i="7"/>
  <c r="V2906" i="7"/>
  <c r="W2906" i="7"/>
  <c r="X2906" i="7"/>
  <c r="Y2906" i="7"/>
  <c r="Z2906" i="7"/>
  <c r="AA2906" i="7"/>
  <c r="AB2906" i="7"/>
  <c r="AC2906" i="7"/>
  <c r="AD2906" i="7"/>
  <c r="AE2906" i="7"/>
  <c r="Q2907" i="7"/>
  <c r="R2907" i="7"/>
  <c r="S2907" i="7"/>
  <c r="T2907" i="7"/>
  <c r="U2907" i="7"/>
  <c r="V2907" i="7"/>
  <c r="W2907" i="7"/>
  <c r="X2907" i="7"/>
  <c r="Y2907" i="7"/>
  <c r="Z2907" i="7"/>
  <c r="AA2907" i="7"/>
  <c r="AB2907" i="7"/>
  <c r="AC2907" i="7"/>
  <c r="AD2907" i="7"/>
  <c r="AE2907" i="7"/>
  <c r="Q2908" i="7"/>
  <c r="R2908" i="7"/>
  <c r="S2908" i="7"/>
  <c r="T2908" i="7"/>
  <c r="U2908" i="7"/>
  <c r="V2908" i="7"/>
  <c r="W2908" i="7"/>
  <c r="X2908" i="7"/>
  <c r="Y2908" i="7"/>
  <c r="Z2908" i="7"/>
  <c r="AA2908" i="7"/>
  <c r="AB2908" i="7"/>
  <c r="AC2908" i="7"/>
  <c r="AD2908" i="7"/>
  <c r="AE2908" i="7"/>
  <c r="Q2909" i="7"/>
  <c r="R2909" i="7"/>
  <c r="S2909" i="7"/>
  <c r="T2909" i="7"/>
  <c r="U2909" i="7"/>
  <c r="V2909" i="7"/>
  <c r="W2909" i="7"/>
  <c r="X2909" i="7"/>
  <c r="Y2909" i="7"/>
  <c r="Z2909" i="7"/>
  <c r="AA2909" i="7"/>
  <c r="AB2909" i="7"/>
  <c r="AC2909" i="7"/>
  <c r="AD2909" i="7"/>
  <c r="AE2909" i="7"/>
  <c r="Q2910" i="7"/>
  <c r="R2910" i="7"/>
  <c r="S2910" i="7"/>
  <c r="T2910" i="7"/>
  <c r="U2910" i="7"/>
  <c r="V2910" i="7"/>
  <c r="W2910" i="7"/>
  <c r="X2910" i="7"/>
  <c r="Y2910" i="7"/>
  <c r="Z2910" i="7"/>
  <c r="AA2910" i="7"/>
  <c r="AB2910" i="7"/>
  <c r="AC2910" i="7"/>
  <c r="AD2910" i="7"/>
  <c r="AE2910" i="7"/>
  <c r="Q2911" i="7"/>
  <c r="R2911" i="7"/>
  <c r="S2911" i="7"/>
  <c r="T2911" i="7"/>
  <c r="U2911" i="7"/>
  <c r="V2911" i="7"/>
  <c r="W2911" i="7"/>
  <c r="X2911" i="7"/>
  <c r="Y2911" i="7"/>
  <c r="Z2911" i="7"/>
  <c r="AA2911" i="7"/>
  <c r="AB2911" i="7"/>
  <c r="AC2911" i="7"/>
  <c r="AD2911" i="7"/>
  <c r="AE2911" i="7"/>
  <c r="Q2912" i="7"/>
  <c r="R2912" i="7"/>
  <c r="S2912" i="7"/>
  <c r="T2912" i="7"/>
  <c r="U2912" i="7"/>
  <c r="V2912" i="7"/>
  <c r="W2912" i="7"/>
  <c r="X2912" i="7"/>
  <c r="Y2912" i="7"/>
  <c r="Z2912" i="7"/>
  <c r="AA2912" i="7"/>
  <c r="AB2912" i="7"/>
  <c r="AC2912" i="7"/>
  <c r="AD2912" i="7"/>
  <c r="AE2912" i="7"/>
  <c r="Q2913" i="7"/>
  <c r="R2913" i="7"/>
  <c r="S2913" i="7"/>
  <c r="T2913" i="7"/>
  <c r="U2913" i="7"/>
  <c r="V2913" i="7"/>
  <c r="W2913" i="7"/>
  <c r="X2913" i="7"/>
  <c r="Y2913" i="7"/>
  <c r="Z2913" i="7"/>
  <c r="AA2913" i="7"/>
  <c r="AB2913" i="7"/>
  <c r="AC2913" i="7"/>
  <c r="AD2913" i="7"/>
  <c r="AE2913" i="7"/>
  <c r="Q2914" i="7"/>
  <c r="R2914" i="7"/>
  <c r="S2914" i="7"/>
  <c r="T2914" i="7"/>
  <c r="U2914" i="7"/>
  <c r="V2914" i="7"/>
  <c r="W2914" i="7"/>
  <c r="X2914" i="7"/>
  <c r="Y2914" i="7"/>
  <c r="Z2914" i="7"/>
  <c r="AA2914" i="7"/>
  <c r="AB2914" i="7"/>
  <c r="AC2914" i="7"/>
  <c r="AD2914" i="7"/>
  <c r="AE2914" i="7"/>
  <c r="Q2915" i="7"/>
  <c r="R2915" i="7"/>
  <c r="S2915" i="7"/>
  <c r="T2915" i="7"/>
  <c r="U2915" i="7"/>
  <c r="V2915" i="7"/>
  <c r="W2915" i="7"/>
  <c r="X2915" i="7"/>
  <c r="Y2915" i="7"/>
  <c r="Z2915" i="7"/>
  <c r="AA2915" i="7"/>
  <c r="AB2915" i="7"/>
  <c r="AC2915" i="7"/>
  <c r="AD2915" i="7"/>
  <c r="AE2915" i="7"/>
  <c r="Q2916" i="7"/>
  <c r="R2916" i="7"/>
  <c r="S2916" i="7"/>
  <c r="T2916" i="7"/>
  <c r="U2916" i="7"/>
  <c r="V2916" i="7"/>
  <c r="W2916" i="7"/>
  <c r="X2916" i="7"/>
  <c r="Y2916" i="7"/>
  <c r="Z2916" i="7"/>
  <c r="AA2916" i="7"/>
  <c r="AB2916" i="7"/>
  <c r="AC2916" i="7"/>
  <c r="AD2916" i="7"/>
  <c r="AE2916" i="7"/>
  <c r="Q2917" i="7"/>
  <c r="R2917" i="7"/>
  <c r="S2917" i="7"/>
  <c r="T2917" i="7"/>
  <c r="U2917" i="7"/>
  <c r="V2917" i="7"/>
  <c r="W2917" i="7"/>
  <c r="X2917" i="7"/>
  <c r="Y2917" i="7"/>
  <c r="Z2917" i="7"/>
  <c r="AA2917" i="7"/>
  <c r="AB2917" i="7"/>
  <c r="AC2917" i="7"/>
  <c r="AD2917" i="7"/>
  <c r="AE2917" i="7"/>
  <c r="Q2918" i="7"/>
  <c r="R2918" i="7"/>
  <c r="S2918" i="7"/>
  <c r="T2918" i="7"/>
  <c r="U2918" i="7"/>
  <c r="V2918" i="7"/>
  <c r="W2918" i="7"/>
  <c r="X2918" i="7"/>
  <c r="Y2918" i="7"/>
  <c r="Z2918" i="7"/>
  <c r="AA2918" i="7"/>
  <c r="AB2918" i="7"/>
  <c r="AC2918" i="7"/>
  <c r="AD2918" i="7"/>
  <c r="AE2918" i="7"/>
  <c r="Q2919" i="7"/>
  <c r="R2919" i="7"/>
  <c r="S2919" i="7"/>
  <c r="T2919" i="7"/>
  <c r="U2919" i="7"/>
  <c r="V2919" i="7"/>
  <c r="W2919" i="7"/>
  <c r="X2919" i="7"/>
  <c r="Y2919" i="7"/>
  <c r="Z2919" i="7"/>
  <c r="AA2919" i="7"/>
  <c r="AB2919" i="7"/>
  <c r="AC2919" i="7"/>
  <c r="AD2919" i="7"/>
  <c r="AE2919" i="7"/>
  <c r="Q2920" i="7"/>
  <c r="R2920" i="7"/>
  <c r="S2920" i="7"/>
  <c r="T2920" i="7"/>
  <c r="U2920" i="7"/>
  <c r="V2920" i="7"/>
  <c r="W2920" i="7"/>
  <c r="X2920" i="7"/>
  <c r="Y2920" i="7"/>
  <c r="Z2920" i="7"/>
  <c r="AA2920" i="7"/>
  <c r="AB2920" i="7"/>
  <c r="AC2920" i="7"/>
  <c r="AD2920" i="7"/>
  <c r="AE2920" i="7"/>
  <c r="Q2921" i="7"/>
  <c r="R2921" i="7"/>
  <c r="S2921" i="7"/>
  <c r="T2921" i="7"/>
  <c r="U2921" i="7"/>
  <c r="V2921" i="7"/>
  <c r="W2921" i="7"/>
  <c r="X2921" i="7"/>
  <c r="Y2921" i="7"/>
  <c r="Z2921" i="7"/>
  <c r="AA2921" i="7"/>
  <c r="AB2921" i="7"/>
  <c r="AC2921" i="7"/>
  <c r="AD2921" i="7"/>
  <c r="AE2921" i="7"/>
  <c r="Q2922" i="7"/>
  <c r="R2922" i="7"/>
  <c r="S2922" i="7"/>
  <c r="T2922" i="7"/>
  <c r="U2922" i="7"/>
  <c r="V2922" i="7"/>
  <c r="W2922" i="7"/>
  <c r="X2922" i="7"/>
  <c r="Y2922" i="7"/>
  <c r="Z2922" i="7"/>
  <c r="AA2922" i="7"/>
  <c r="AB2922" i="7"/>
  <c r="AC2922" i="7"/>
  <c r="AD2922" i="7"/>
  <c r="AE2922" i="7"/>
  <c r="Q2923" i="7"/>
  <c r="R2923" i="7"/>
  <c r="S2923" i="7"/>
  <c r="T2923" i="7"/>
  <c r="U2923" i="7"/>
  <c r="V2923" i="7"/>
  <c r="W2923" i="7"/>
  <c r="X2923" i="7"/>
  <c r="Y2923" i="7"/>
  <c r="Z2923" i="7"/>
  <c r="AA2923" i="7"/>
  <c r="AB2923" i="7"/>
  <c r="AC2923" i="7"/>
  <c r="AD2923" i="7"/>
  <c r="AE2923" i="7"/>
  <c r="Q2924" i="7"/>
  <c r="R2924" i="7"/>
  <c r="S2924" i="7"/>
  <c r="T2924" i="7"/>
  <c r="U2924" i="7"/>
  <c r="V2924" i="7"/>
  <c r="W2924" i="7"/>
  <c r="X2924" i="7"/>
  <c r="Y2924" i="7"/>
  <c r="Z2924" i="7"/>
  <c r="AA2924" i="7"/>
  <c r="AB2924" i="7"/>
  <c r="AC2924" i="7"/>
  <c r="AD2924" i="7"/>
  <c r="AE2924" i="7"/>
  <c r="Q2925" i="7"/>
  <c r="R2925" i="7"/>
  <c r="S2925" i="7"/>
  <c r="T2925" i="7"/>
  <c r="U2925" i="7"/>
  <c r="V2925" i="7"/>
  <c r="W2925" i="7"/>
  <c r="X2925" i="7"/>
  <c r="Y2925" i="7"/>
  <c r="Z2925" i="7"/>
  <c r="AA2925" i="7"/>
  <c r="AB2925" i="7"/>
  <c r="AC2925" i="7"/>
  <c r="AD2925" i="7"/>
  <c r="AE2925" i="7"/>
  <c r="Q2926" i="7"/>
  <c r="R2926" i="7"/>
  <c r="S2926" i="7"/>
  <c r="T2926" i="7"/>
  <c r="U2926" i="7"/>
  <c r="V2926" i="7"/>
  <c r="W2926" i="7"/>
  <c r="X2926" i="7"/>
  <c r="Y2926" i="7"/>
  <c r="Z2926" i="7"/>
  <c r="AA2926" i="7"/>
  <c r="AB2926" i="7"/>
  <c r="AC2926" i="7"/>
  <c r="AD2926" i="7"/>
  <c r="AE2926" i="7"/>
  <c r="Q2927" i="7"/>
  <c r="R2927" i="7"/>
  <c r="S2927" i="7"/>
  <c r="T2927" i="7"/>
  <c r="U2927" i="7"/>
  <c r="V2927" i="7"/>
  <c r="W2927" i="7"/>
  <c r="X2927" i="7"/>
  <c r="Y2927" i="7"/>
  <c r="Z2927" i="7"/>
  <c r="AA2927" i="7"/>
  <c r="AB2927" i="7"/>
  <c r="AC2927" i="7"/>
  <c r="AD2927" i="7"/>
  <c r="AE2927" i="7"/>
  <c r="Q2928" i="7"/>
  <c r="R2928" i="7"/>
  <c r="S2928" i="7"/>
  <c r="T2928" i="7"/>
  <c r="U2928" i="7"/>
  <c r="V2928" i="7"/>
  <c r="W2928" i="7"/>
  <c r="X2928" i="7"/>
  <c r="Y2928" i="7"/>
  <c r="Z2928" i="7"/>
  <c r="AA2928" i="7"/>
  <c r="AB2928" i="7"/>
  <c r="AC2928" i="7"/>
  <c r="AD2928" i="7"/>
  <c r="AE2928" i="7"/>
  <c r="Q2929" i="7"/>
  <c r="R2929" i="7"/>
  <c r="S2929" i="7"/>
  <c r="T2929" i="7"/>
  <c r="U2929" i="7"/>
  <c r="V2929" i="7"/>
  <c r="W2929" i="7"/>
  <c r="X2929" i="7"/>
  <c r="Y2929" i="7"/>
  <c r="Z2929" i="7"/>
  <c r="AA2929" i="7"/>
  <c r="AB2929" i="7"/>
  <c r="AC2929" i="7"/>
  <c r="AD2929" i="7"/>
  <c r="AE2929" i="7"/>
  <c r="Q2930" i="7"/>
  <c r="R2930" i="7"/>
  <c r="S2930" i="7"/>
  <c r="T2930" i="7"/>
  <c r="U2930" i="7"/>
  <c r="V2930" i="7"/>
  <c r="W2930" i="7"/>
  <c r="X2930" i="7"/>
  <c r="Y2930" i="7"/>
  <c r="Z2930" i="7"/>
  <c r="AA2930" i="7"/>
  <c r="AB2930" i="7"/>
  <c r="AC2930" i="7"/>
  <c r="AD2930" i="7"/>
  <c r="AE2930" i="7"/>
  <c r="Q2931" i="7"/>
  <c r="R2931" i="7"/>
  <c r="S2931" i="7"/>
  <c r="T2931" i="7"/>
  <c r="U2931" i="7"/>
  <c r="V2931" i="7"/>
  <c r="W2931" i="7"/>
  <c r="X2931" i="7"/>
  <c r="Y2931" i="7"/>
  <c r="Z2931" i="7"/>
  <c r="AA2931" i="7"/>
  <c r="AB2931" i="7"/>
  <c r="AC2931" i="7"/>
  <c r="AD2931" i="7"/>
  <c r="AE2931" i="7"/>
  <c r="Q2932" i="7"/>
  <c r="R2932" i="7"/>
  <c r="S2932" i="7"/>
  <c r="T2932" i="7"/>
  <c r="U2932" i="7"/>
  <c r="V2932" i="7"/>
  <c r="W2932" i="7"/>
  <c r="X2932" i="7"/>
  <c r="Y2932" i="7"/>
  <c r="Z2932" i="7"/>
  <c r="AA2932" i="7"/>
  <c r="AB2932" i="7"/>
  <c r="AC2932" i="7"/>
  <c r="AD2932" i="7"/>
  <c r="AE2932" i="7"/>
  <c r="Q2933" i="7"/>
  <c r="R2933" i="7"/>
  <c r="S2933" i="7"/>
  <c r="T2933" i="7"/>
  <c r="U2933" i="7"/>
  <c r="V2933" i="7"/>
  <c r="W2933" i="7"/>
  <c r="X2933" i="7"/>
  <c r="Y2933" i="7"/>
  <c r="Z2933" i="7"/>
  <c r="AA2933" i="7"/>
  <c r="AB2933" i="7"/>
  <c r="AC2933" i="7"/>
  <c r="AD2933" i="7"/>
  <c r="AE2933" i="7"/>
  <c r="Q2934" i="7"/>
  <c r="R2934" i="7"/>
  <c r="S2934" i="7"/>
  <c r="T2934" i="7"/>
  <c r="U2934" i="7"/>
  <c r="V2934" i="7"/>
  <c r="W2934" i="7"/>
  <c r="X2934" i="7"/>
  <c r="Y2934" i="7"/>
  <c r="Z2934" i="7"/>
  <c r="AA2934" i="7"/>
  <c r="AB2934" i="7"/>
  <c r="AC2934" i="7"/>
  <c r="AD2934" i="7"/>
  <c r="AE2934" i="7"/>
  <c r="Q2935" i="7"/>
  <c r="R2935" i="7"/>
  <c r="S2935" i="7"/>
  <c r="T2935" i="7"/>
  <c r="U2935" i="7"/>
  <c r="V2935" i="7"/>
  <c r="W2935" i="7"/>
  <c r="X2935" i="7"/>
  <c r="Y2935" i="7"/>
  <c r="Z2935" i="7"/>
  <c r="AA2935" i="7"/>
  <c r="AB2935" i="7"/>
  <c r="AC2935" i="7"/>
  <c r="AD2935" i="7"/>
  <c r="AE2935" i="7"/>
  <c r="Q2936" i="7"/>
  <c r="R2936" i="7"/>
  <c r="S2936" i="7"/>
  <c r="T2936" i="7"/>
  <c r="U2936" i="7"/>
  <c r="V2936" i="7"/>
  <c r="W2936" i="7"/>
  <c r="X2936" i="7"/>
  <c r="Y2936" i="7"/>
  <c r="Z2936" i="7"/>
  <c r="AA2936" i="7"/>
  <c r="AB2936" i="7"/>
  <c r="AC2936" i="7"/>
  <c r="AD2936" i="7"/>
  <c r="AE2936" i="7"/>
  <c r="Q2937" i="7"/>
  <c r="R2937" i="7"/>
  <c r="S2937" i="7"/>
  <c r="T2937" i="7"/>
  <c r="U2937" i="7"/>
  <c r="V2937" i="7"/>
  <c r="W2937" i="7"/>
  <c r="X2937" i="7"/>
  <c r="Y2937" i="7"/>
  <c r="Z2937" i="7"/>
  <c r="AA2937" i="7"/>
  <c r="AB2937" i="7"/>
  <c r="AC2937" i="7"/>
  <c r="AD2937" i="7"/>
  <c r="AE2937" i="7"/>
  <c r="Q2938" i="7"/>
  <c r="R2938" i="7"/>
  <c r="S2938" i="7"/>
  <c r="T2938" i="7"/>
  <c r="U2938" i="7"/>
  <c r="V2938" i="7"/>
  <c r="W2938" i="7"/>
  <c r="X2938" i="7"/>
  <c r="Y2938" i="7"/>
  <c r="Z2938" i="7"/>
  <c r="AA2938" i="7"/>
  <c r="AB2938" i="7"/>
  <c r="AC2938" i="7"/>
  <c r="AD2938" i="7"/>
  <c r="AE2938" i="7"/>
  <c r="Q2939" i="7"/>
  <c r="R2939" i="7"/>
  <c r="S2939" i="7"/>
  <c r="T2939" i="7"/>
  <c r="U2939" i="7"/>
  <c r="V2939" i="7"/>
  <c r="W2939" i="7"/>
  <c r="X2939" i="7"/>
  <c r="Y2939" i="7"/>
  <c r="Z2939" i="7"/>
  <c r="AA2939" i="7"/>
  <c r="AB2939" i="7"/>
  <c r="AC2939" i="7"/>
  <c r="AD2939" i="7"/>
  <c r="AE2939" i="7"/>
  <c r="Q2940" i="7"/>
  <c r="R2940" i="7"/>
  <c r="S2940" i="7"/>
  <c r="T2940" i="7"/>
  <c r="U2940" i="7"/>
  <c r="V2940" i="7"/>
  <c r="W2940" i="7"/>
  <c r="X2940" i="7"/>
  <c r="Y2940" i="7"/>
  <c r="Z2940" i="7"/>
  <c r="AA2940" i="7"/>
  <c r="AB2940" i="7"/>
  <c r="AC2940" i="7"/>
  <c r="AD2940" i="7"/>
  <c r="AE2940" i="7"/>
  <c r="Q2941" i="7"/>
  <c r="R2941" i="7"/>
  <c r="S2941" i="7"/>
  <c r="T2941" i="7"/>
  <c r="U2941" i="7"/>
  <c r="V2941" i="7"/>
  <c r="W2941" i="7"/>
  <c r="X2941" i="7"/>
  <c r="Y2941" i="7"/>
  <c r="Z2941" i="7"/>
  <c r="AA2941" i="7"/>
  <c r="AB2941" i="7"/>
  <c r="AC2941" i="7"/>
  <c r="AD2941" i="7"/>
  <c r="AE2941" i="7"/>
  <c r="Q2942" i="7"/>
  <c r="R2942" i="7"/>
  <c r="S2942" i="7"/>
  <c r="T2942" i="7"/>
  <c r="U2942" i="7"/>
  <c r="V2942" i="7"/>
  <c r="W2942" i="7"/>
  <c r="X2942" i="7"/>
  <c r="Y2942" i="7"/>
  <c r="Z2942" i="7"/>
  <c r="AA2942" i="7"/>
  <c r="AB2942" i="7"/>
  <c r="AC2942" i="7"/>
  <c r="AD2942" i="7"/>
  <c r="AE2942" i="7"/>
  <c r="Q2943" i="7"/>
  <c r="R2943" i="7"/>
  <c r="S2943" i="7"/>
  <c r="T2943" i="7"/>
  <c r="U2943" i="7"/>
  <c r="V2943" i="7"/>
  <c r="W2943" i="7"/>
  <c r="X2943" i="7"/>
  <c r="Y2943" i="7"/>
  <c r="Z2943" i="7"/>
  <c r="AA2943" i="7"/>
  <c r="AB2943" i="7"/>
  <c r="AC2943" i="7"/>
  <c r="AD2943" i="7"/>
  <c r="AE2943" i="7"/>
  <c r="Q2944" i="7"/>
  <c r="R2944" i="7"/>
  <c r="S2944" i="7"/>
  <c r="T2944" i="7"/>
  <c r="U2944" i="7"/>
  <c r="V2944" i="7"/>
  <c r="W2944" i="7"/>
  <c r="X2944" i="7"/>
  <c r="Y2944" i="7"/>
  <c r="Z2944" i="7"/>
  <c r="AA2944" i="7"/>
  <c r="AB2944" i="7"/>
  <c r="AC2944" i="7"/>
  <c r="AD2944" i="7"/>
  <c r="AE2944" i="7"/>
  <c r="Q2945" i="7"/>
  <c r="R2945" i="7"/>
  <c r="S2945" i="7"/>
  <c r="T2945" i="7"/>
  <c r="U2945" i="7"/>
  <c r="V2945" i="7"/>
  <c r="W2945" i="7"/>
  <c r="X2945" i="7"/>
  <c r="Y2945" i="7"/>
  <c r="Z2945" i="7"/>
  <c r="AA2945" i="7"/>
  <c r="AB2945" i="7"/>
  <c r="AC2945" i="7"/>
  <c r="AD2945" i="7"/>
  <c r="AE2945" i="7"/>
  <c r="Q2946" i="7"/>
  <c r="R2946" i="7"/>
  <c r="S2946" i="7"/>
  <c r="T2946" i="7"/>
  <c r="U2946" i="7"/>
  <c r="V2946" i="7"/>
  <c r="W2946" i="7"/>
  <c r="X2946" i="7"/>
  <c r="Y2946" i="7"/>
  <c r="Z2946" i="7"/>
  <c r="AA2946" i="7"/>
  <c r="AB2946" i="7"/>
  <c r="AC2946" i="7"/>
  <c r="AD2946" i="7"/>
  <c r="AE2946" i="7"/>
  <c r="Q2947" i="7"/>
  <c r="R2947" i="7"/>
  <c r="S2947" i="7"/>
  <c r="T2947" i="7"/>
  <c r="U2947" i="7"/>
  <c r="V2947" i="7"/>
  <c r="W2947" i="7"/>
  <c r="X2947" i="7"/>
  <c r="Y2947" i="7"/>
  <c r="Z2947" i="7"/>
  <c r="AA2947" i="7"/>
  <c r="AB2947" i="7"/>
  <c r="AC2947" i="7"/>
  <c r="AD2947" i="7"/>
  <c r="AE2947" i="7"/>
  <c r="Q2948" i="7"/>
  <c r="R2948" i="7"/>
  <c r="S2948" i="7"/>
  <c r="T2948" i="7"/>
  <c r="U2948" i="7"/>
  <c r="V2948" i="7"/>
  <c r="W2948" i="7"/>
  <c r="X2948" i="7"/>
  <c r="Y2948" i="7"/>
  <c r="Z2948" i="7"/>
  <c r="AA2948" i="7"/>
  <c r="AB2948" i="7"/>
  <c r="AC2948" i="7"/>
  <c r="AD2948" i="7"/>
  <c r="AE2948" i="7"/>
  <c r="Q2949" i="7"/>
  <c r="R2949" i="7"/>
  <c r="S2949" i="7"/>
  <c r="T2949" i="7"/>
  <c r="U2949" i="7"/>
  <c r="V2949" i="7"/>
  <c r="W2949" i="7"/>
  <c r="X2949" i="7"/>
  <c r="Y2949" i="7"/>
  <c r="Z2949" i="7"/>
  <c r="AA2949" i="7"/>
  <c r="AB2949" i="7"/>
  <c r="AC2949" i="7"/>
  <c r="AD2949" i="7"/>
  <c r="AE2949" i="7"/>
  <c r="Q2950" i="7"/>
  <c r="R2950" i="7"/>
  <c r="S2950" i="7"/>
  <c r="T2950" i="7"/>
  <c r="U2950" i="7"/>
  <c r="V2950" i="7"/>
  <c r="W2950" i="7"/>
  <c r="X2950" i="7"/>
  <c r="Y2950" i="7"/>
  <c r="Z2950" i="7"/>
  <c r="AA2950" i="7"/>
  <c r="AB2950" i="7"/>
  <c r="AC2950" i="7"/>
  <c r="AD2950" i="7"/>
  <c r="AE2950" i="7"/>
  <c r="Q2951" i="7"/>
  <c r="R2951" i="7"/>
  <c r="S2951" i="7"/>
  <c r="T2951" i="7"/>
  <c r="U2951" i="7"/>
  <c r="V2951" i="7"/>
  <c r="W2951" i="7"/>
  <c r="X2951" i="7"/>
  <c r="Y2951" i="7"/>
  <c r="Z2951" i="7"/>
  <c r="AA2951" i="7"/>
  <c r="AB2951" i="7"/>
  <c r="AC2951" i="7"/>
  <c r="AD2951" i="7"/>
  <c r="AE2951" i="7"/>
  <c r="Q2952" i="7"/>
  <c r="R2952" i="7"/>
  <c r="S2952" i="7"/>
  <c r="T2952" i="7"/>
  <c r="U2952" i="7"/>
  <c r="V2952" i="7"/>
  <c r="W2952" i="7"/>
  <c r="X2952" i="7"/>
  <c r="Y2952" i="7"/>
  <c r="Z2952" i="7"/>
  <c r="AA2952" i="7"/>
  <c r="AB2952" i="7"/>
  <c r="AC2952" i="7"/>
  <c r="AD2952" i="7"/>
  <c r="AE2952" i="7"/>
  <c r="Q2953" i="7"/>
  <c r="R2953" i="7"/>
  <c r="S2953" i="7"/>
  <c r="T2953" i="7"/>
  <c r="U2953" i="7"/>
  <c r="V2953" i="7"/>
  <c r="W2953" i="7"/>
  <c r="X2953" i="7"/>
  <c r="Y2953" i="7"/>
  <c r="Z2953" i="7"/>
  <c r="AA2953" i="7"/>
  <c r="AB2953" i="7"/>
  <c r="AC2953" i="7"/>
  <c r="AD2953" i="7"/>
  <c r="AE2953" i="7"/>
  <c r="Q2954" i="7"/>
  <c r="R2954" i="7"/>
  <c r="S2954" i="7"/>
  <c r="T2954" i="7"/>
  <c r="U2954" i="7"/>
  <c r="V2954" i="7"/>
  <c r="W2954" i="7"/>
  <c r="X2954" i="7"/>
  <c r="Y2954" i="7"/>
  <c r="Z2954" i="7"/>
  <c r="AA2954" i="7"/>
  <c r="AB2954" i="7"/>
  <c r="AC2954" i="7"/>
  <c r="AD2954" i="7"/>
  <c r="AE2954" i="7"/>
  <c r="Q2955" i="7"/>
  <c r="R2955" i="7"/>
  <c r="S2955" i="7"/>
  <c r="T2955" i="7"/>
  <c r="U2955" i="7"/>
  <c r="V2955" i="7"/>
  <c r="W2955" i="7"/>
  <c r="X2955" i="7"/>
  <c r="Y2955" i="7"/>
  <c r="Z2955" i="7"/>
  <c r="AA2955" i="7"/>
  <c r="AB2955" i="7"/>
  <c r="AC2955" i="7"/>
  <c r="AD2955" i="7"/>
  <c r="AE2955" i="7"/>
  <c r="Q2956" i="7"/>
  <c r="R2956" i="7"/>
  <c r="S2956" i="7"/>
  <c r="T2956" i="7"/>
  <c r="U2956" i="7"/>
  <c r="V2956" i="7"/>
  <c r="W2956" i="7"/>
  <c r="X2956" i="7"/>
  <c r="Y2956" i="7"/>
  <c r="Z2956" i="7"/>
  <c r="AA2956" i="7"/>
  <c r="AB2956" i="7"/>
  <c r="AC2956" i="7"/>
  <c r="AD2956" i="7"/>
  <c r="AE2956" i="7"/>
  <c r="Q2957" i="7"/>
  <c r="R2957" i="7"/>
  <c r="S2957" i="7"/>
  <c r="T2957" i="7"/>
  <c r="U2957" i="7"/>
  <c r="V2957" i="7"/>
  <c r="W2957" i="7"/>
  <c r="X2957" i="7"/>
  <c r="Y2957" i="7"/>
  <c r="Z2957" i="7"/>
  <c r="AA2957" i="7"/>
  <c r="AB2957" i="7"/>
  <c r="AC2957" i="7"/>
  <c r="AD2957" i="7"/>
  <c r="AE2957" i="7"/>
  <c r="Q2958" i="7"/>
  <c r="R2958" i="7"/>
  <c r="S2958" i="7"/>
  <c r="T2958" i="7"/>
  <c r="U2958" i="7"/>
  <c r="V2958" i="7"/>
  <c r="W2958" i="7"/>
  <c r="X2958" i="7"/>
  <c r="Y2958" i="7"/>
  <c r="Z2958" i="7"/>
  <c r="AA2958" i="7"/>
  <c r="AB2958" i="7"/>
  <c r="AC2958" i="7"/>
  <c r="AD2958" i="7"/>
  <c r="AE2958" i="7"/>
  <c r="Q2959" i="7"/>
  <c r="R2959" i="7"/>
  <c r="S2959" i="7"/>
  <c r="T2959" i="7"/>
  <c r="U2959" i="7"/>
  <c r="V2959" i="7"/>
  <c r="W2959" i="7"/>
  <c r="X2959" i="7"/>
  <c r="Y2959" i="7"/>
  <c r="Z2959" i="7"/>
  <c r="AA2959" i="7"/>
  <c r="AB2959" i="7"/>
  <c r="AC2959" i="7"/>
  <c r="AD2959" i="7"/>
  <c r="AE2959" i="7"/>
  <c r="Q2960" i="7"/>
  <c r="R2960" i="7"/>
  <c r="S2960" i="7"/>
  <c r="T2960" i="7"/>
  <c r="U2960" i="7"/>
  <c r="V2960" i="7"/>
  <c r="W2960" i="7"/>
  <c r="X2960" i="7"/>
  <c r="Y2960" i="7"/>
  <c r="Z2960" i="7"/>
  <c r="AA2960" i="7"/>
  <c r="AB2960" i="7"/>
  <c r="AC2960" i="7"/>
  <c r="AD2960" i="7"/>
  <c r="AE2960" i="7"/>
  <c r="Q2961" i="7"/>
  <c r="R2961" i="7"/>
  <c r="S2961" i="7"/>
  <c r="T2961" i="7"/>
  <c r="U2961" i="7"/>
  <c r="V2961" i="7"/>
  <c r="W2961" i="7"/>
  <c r="X2961" i="7"/>
  <c r="Y2961" i="7"/>
  <c r="Z2961" i="7"/>
  <c r="AA2961" i="7"/>
  <c r="AB2961" i="7"/>
  <c r="AC2961" i="7"/>
  <c r="AD2961" i="7"/>
  <c r="AE2961" i="7"/>
  <c r="Q2962" i="7"/>
  <c r="R2962" i="7"/>
  <c r="S2962" i="7"/>
  <c r="T2962" i="7"/>
  <c r="U2962" i="7"/>
  <c r="V2962" i="7"/>
  <c r="W2962" i="7"/>
  <c r="X2962" i="7"/>
  <c r="Y2962" i="7"/>
  <c r="Z2962" i="7"/>
  <c r="AA2962" i="7"/>
  <c r="AB2962" i="7"/>
  <c r="AC2962" i="7"/>
  <c r="AD2962" i="7"/>
  <c r="AE2962" i="7"/>
  <c r="Q2963" i="7"/>
  <c r="R2963" i="7"/>
  <c r="S2963" i="7"/>
  <c r="T2963" i="7"/>
  <c r="U2963" i="7"/>
  <c r="V2963" i="7"/>
  <c r="W2963" i="7"/>
  <c r="X2963" i="7"/>
  <c r="Y2963" i="7"/>
  <c r="Z2963" i="7"/>
  <c r="AA2963" i="7"/>
  <c r="AB2963" i="7"/>
  <c r="AC2963" i="7"/>
  <c r="AD2963" i="7"/>
  <c r="AE2963" i="7"/>
  <c r="Q2964" i="7"/>
  <c r="R2964" i="7"/>
  <c r="S2964" i="7"/>
  <c r="T2964" i="7"/>
  <c r="U2964" i="7"/>
  <c r="V2964" i="7"/>
  <c r="W2964" i="7"/>
  <c r="X2964" i="7"/>
  <c r="Y2964" i="7"/>
  <c r="Z2964" i="7"/>
  <c r="AA2964" i="7"/>
  <c r="AB2964" i="7"/>
  <c r="AC2964" i="7"/>
  <c r="AD2964" i="7"/>
  <c r="AE2964" i="7"/>
  <c r="Q2965" i="7"/>
  <c r="R2965" i="7"/>
  <c r="S2965" i="7"/>
  <c r="T2965" i="7"/>
  <c r="U2965" i="7"/>
  <c r="V2965" i="7"/>
  <c r="W2965" i="7"/>
  <c r="X2965" i="7"/>
  <c r="Y2965" i="7"/>
  <c r="Z2965" i="7"/>
  <c r="AA2965" i="7"/>
  <c r="AB2965" i="7"/>
  <c r="AC2965" i="7"/>
  <c r="AD2965" i="7"/>
  <c r="AE2965" i="7"/>
  <c r="Q2966" i="7"/>
  <c r="R2966" i="7"/>
  <c r="S2966" i="7"/>
  <c r="T2966" i="7"/>
  <c r="U2966" i="7"/>
  <c r="V2966" i="7"/>
  <c r="W2966" i="7"/>
  <c r="X2966" i="7"/>
  <c r="Y2966" i="7"/>
  <c r="Z2966" i="7"/>
  <c r="AA2966" i="7"/>
  <c r="AB2966" i="7"/>
  <c r="AC2966" i="7"/>
  <c r="AD2966" i="7"/>
  <c r="AE2966" i="7"/>
  <c r="Q2967" i="7"/>
  <c r="R2967" i="7"/>
  <c r="S2967" i="7"/>
  <c r="T2967" i="7"/>
  <c r="U2967" i="7"/>
  <c r="V2967" i="7"/>
  <c r="W2967" i="7"/>
  <c r="X2967" i="7"/>
  <c r="Y2967" i="7"/>
  <c r="Z2967" i="7"/>
  <c r="AA2967" i="7"/>
  <c r="AB2967" i="7"/>
  <c r="AC2967" i="7"/>
  <c r="AD2967" i="7"/>
  <c r="AE2967" i="7"/>
  <c r="Q2968" i="7"/>
  <c r="R2968" i="7"/>
  <c r="S2968" i="7"/>
  <c r="T2968" i="7"/>
  <c r="U2968" i="7"/>
  <c r="V2968" i="7"/>
  <c r="W2968" i="7"/>
  <c r="X2968" i="7"/>
  <c r="Y2968" i="7"/>
  <c r="Z2968" i="7"/>
  <c r="AA2968" i="7"/>
  <c r="AB2968" i="7"/>
  <c r="AC2968" i="7"/>
  <c r="AD2968" i="7"/>
  <c r="AE2968" i="7"/>
  <c r="Q2969" i="7"/>
  <c r="R2969" i="7"/>
  <c r="S2969" i="7"/>
  <c r="T2969" i="7"/>
  <c r="U2969" i="7"/>
  <c r="V2969" i="7"/>
  <c r="W2969" i="7"/>
  <c r="X2969" i="7"/>
  <c r="Y2969" i="7"/>
  <c r="Z2969" i="7"/>
  <c r="AA2969" i="7"/>
  <c r="AB2969" i="7"/>
  <c r="AC2969" i="7"/>
  <c r="AD2969" i="7"/>
  <c r="AE2969" i="7"/>
  <c r="Q2970" i="7"/>
  <c r="R2970" i="7"/>
  <c r="S2970" i="7"/>
  <c r="T2970" i="7"/>
  <c r="U2970" i="7"/>
  <c r="V2970" i="7"/>
  <c r="W2970" i="7"/>
  <c r="X2970" i="7"/>
  <c r="Y2970" i="7"/>
  <c r="Z2970" i="7"/>
  <c r="AA2970" i="7"/>
  <c r="AB2970" i="7"/>
  <c r="AC2970" i="7"/>
  <c r="AD2970" i="7"/>
  <c r="AE2970" i="7"/>
  <c r="Q2971" i="7"/>
  <c r="R2971" i="7"/>
  <c r="S2971" i="7"/>
  <c r="T2971" i="7"/>
  <c r="U2971" i="7"/>
  <c r="V2971" i="7"/>
  <c r="W2971" i="7"/>
  <c r="X2971" i="7"/>
  <c r="Y2971" i="7"/>
  <c r="Z2971" i="7"/>
  <c r="AA2971" i="7"/>
  <c r="AB2971" i="7"/>
  <c r="AC2971" i="7"/>
  <c r="AD2971" i="7"/>
  <c r="AE2971" i="7"/>
  <c r="Q2972" i="7"/>
  <c r="R2972" i="7"/>
  <c r="S2972" i="7"/>
  <c r="T2972" i="7"/>
  <c r="U2972" i="7"/>
  <c r="V2972" i="7"/>
  <c r="W2972" i="7"/>
  <c r="X2972" i="7"/>
  <c r="Y2972" i="7"/>
  <c r="Z2972" i="7"/>
  <c r="AA2972" i="7"/>
  <c r="AB2972" i="7"/>
  <c r="AC2972" i="7"/>
  <c r="AD2972" i="7"/>
  <c r="AE2972" i="7"/>
  <c r="Q2973" i="7"/>
  <c r="R2973" i="7"/>
  <c r="S2973" i="7"/>
  <c r="T2973" i="7"/>
  <c r="U2973" i="7"/>
  <c r="V2973" i="7"/>
  <c r="W2973" i="7"/>
  <c r="X2973" i="7"/>
  <c r="Y2973" i="7"/>
  <c r="Z2973" i="7"/>
  <c r="AA2973" i="7"/>
  <c r="AB2973" i="7"/>
  <c r="AC2973" i="7"/>
  <c r="AD2973" i="7"/>
  <c r="AE2973" i="7"/>
  <c r="Q2974" i="7"/>
  <c r="R2974" i="7"/>
  <c r="S2974" i="7"/>
  <c r="T2974" i="7"/>
  <c r="U2974" i="7"/>
  <c r="V2974" i="7"/>
  <c r="W2974" i="7"/>
  <c r="X2974" i="7"/>
  <c r="Y2974" i="7"/>
  <c r="Z2974" i="7"/>
  <c r="AA2974" i="7"/>
  <c r="AB2974" i="7"/>
  <c r="AC2974" i="7"/>
  <c r="AD2974" i="7"/>
  <c r="AE2974" i="7"/>
  <c r="Q2975" i="7"/>
  <c r="R2975" i="7"/>
  <c r="S2975" i="7"/>
  <c r="T2975" i="7"/>
  <c r="U2975" i="7"/>
  <c r="V2975" i="7"/>
  <c r="W2975" i="7"/>
  <c r="X2975" i="7"/>
  <c r="Y2975" i="7"/>
  <c r="Z2975" i="7"/>
  <c r="AA2975" i="7"/>
  <c r="AB2975" i="7"/>
  <c r="AC2975" i="7"/>
  <c r="AD2975" i="7"/>
  <c r="AE2975" i="7"/>
  <c r="Q2976" i="7"/>
  <c r="R2976" i="7"/>
  <c r="S2976" i="7"/>
  <c r="T2976" i="7"/>
  <c r="U2976" i="7"/>
  <c r="V2976" i="7"/>
  <c r="W2976" i="7"/>
  <c r="X2976" i="7"/>
  <c r="Y2976" i="7"/>
  <c r="Z2976" i="7"/>
  <c r="AA2976" i="7"/>
  <c r="AB2976" i="7"/>
  <c r="AC2976" i="7"/>
  <c r="AD2976" i="7"/>
  <c r="AE2976" i="7"/>
  <c r="Q2977" i="7"/>
  <c r="R2977" i="7"/>
  <c r="S2977" i="7"/>
  <c r="T2977" i="7"/>
  <c r="U2977" i="7"/>
  <c r="V2977" i="7"/>
  <c r="W2977" i="7"/>
  <c r="X2977" i="7"/>
  <c r="Y2977" i="7"/>
  <c r="Z2977" i="7"/>
  <c r="AA2977" i="7"/>
  <c r="AB2977" i="7"/>
  <c r="AC2977" i="7"/>
  <c r="AD2977" i="7"/>
  <c r="AE2977" i="7"/>
  <c r="Q2978" i="7"/>
  <c r="R2978" i="7"/>
  <c r="S2978" i="7"/>
  <c r="T2978" i="7"/>
  <c r="U2978" i="7"/>
  <c r="V2978" i="7"/>
  <c r="W2978" i="7"/>
  <c r="X2978" i="7"/>
  <c r="Y2978" i="7"/>
  <c r="Z2978" i="7"/>
  <c r="AA2978" i="7"/>
  <c r="AB2978" i="7"/>
  <c r="AC2978" i="7"/>
  <c r="AD2978" i="7"/>
  <c r="AE2978" i="7"/>
  <c r="Q2979" i="7"/>
  <c r="R2979" i="7"/>
  <c r="S2979" i="7"/>
  <c r="T2979" i="7"/>
  <c r="U2979" i="7"/>
  <c r="V2979" i="7"/>
  <c r="W2979" i="7"/>
  <c r="X2979" i="7"/>
  <c r="Y2979" i="7"/>
  <c r="Z2979" i="7"/>
  <c r="AA2979" i="7"/>
  <c r="AB2979" i="7"/>
  <c r="AC2979" i="7"/>
  <c r="AD2979" i="7"/>
  <c r="AE2979" i="7"/>
  <c r="Q2980" i="7"/>
  <c r="R2980" i="7"/>
  <c r="S2980" i="7"/>
  <c r="T2980" i="7"/>
  <c r="U2980" i="7"/>
  <c r="V2980" i="7"/>
  <c r="W2980" i="7"/>
  <c r="X2980" i="7"/>
  <c r="Y2980" i="7"/>
  <c r="Z2980" i="7"/>
  <c r="AA2980" i="7"/>
  <c r="AB2980" i="7"/>
  <c r="AC2980" i="7"/>
  <c r="AD2980" i="7"/>
  <c r="AE2980" i="7"/>
  <c r="Q2981" i="7"/>
  <c r="R2981" i="7"/>
  <c r="S2981" i="7"/>
  <c r="T2981" i="7"/>
  <c r="U2981" i="7"/>
  <c r="V2981" i="7"/>
  <c r="W2981" i="7"/>
  <c r="X2981" i="7"/>
  <c r="Y2981" i="7"/>
  <c r="Z2981" i="7"/>
  <c r="AA2981" i="7"/>
  <c r="AB2981" i="7"/>
  <c r="AC2981" i="7"/>
  <c r="AD2981" i="7"/>
  <c r="AE2981" i="7"/>
  <c r="Q2982" i="7"/>
  <c r="R2982" i="7"/>
  <c r="S2982" i="7"/>
  <c r="T2982" i="7"/>
  <c r="U2982" i="7"/>
  <c r="V2982" i="7"/>
  <c r="W2982" i="7"/>
  <c r="X2982" i="7"/>
  <c r="Y2982" i="7"/>
  <c r="Z2982" i="7"/>
  <c r="AA2982" i="7"/>
  <c r="AB2982" i="7"/>
  <c r="AC2982" i="7"/>
  <c r="AD2982" i="7"/>
  <c r="AE2982" i="7"/>
  <c r="Q2983" i="7"/>
  <c r="R2983" i="7"/>
  <c r="S2983" i="7"/>
  <c r="T2983" i="7"/>
  <c r="U2983" i="7"/>
  <c r="V2983" i="7"/>
  <c r="W2983" i="7"/>
  <c r="X2983" i="7"/>
  <c r="Y2983" i="7"/>
  <c r="Z2983" i="7"/>
  <c r="AA2983" i="7"/>
  <c r="AB2983" i="7"/>
  <c r="AC2983" i="7"/>
  <c r="AD2983" i="7"/>
  <c r="AE2983" i="7"/>
  <c r="Q2984" i="7"/>
  <c r="R2984" i="7"/>
  <c r="S2984" i="7"/>
  <c r="T2984" i="7"/>
  <c r="U2984" i="7"/>
  <c r="V2984" i="7"/>
  <c r="W2984" i="7"/>
  <c r="X2984" i="7"/>
  <c r="Y2984" i="7"/>
  <c r="Z2984" i="7"/>
  <c r="AA2984" i="7"/>
  <c r="AB2984" i="7"/>
  <c r="AC2984" i="7"/>
  <c r="AD2984" i="7"/>
  <c r="AE2984" i="7"/>
  <c r="Q2985" i="7"/>
  <c r="R2985" i="7"/>
  <c r="S2985" i="7"/>
  <c r="T2985" i="7"/>
  <c r="U2985" i="7"/>
  <c r="V2985" i="7"/>
  <c r="W2985" i="7"/>
  <c r="X2985" i="7"/>
  <c r="Y2985" i="7"/>
  <c r="Z2985" i="7"/>
  <c r="AA2985" i="7"/>
  <c r="AB2985" i="7"/>
  <c r="AC2985" i="7"/>
  <c r="AD2985" i="7"/>
  <c r="AE2985" i="7"/>
  <c r="Q2986" i="7"/>
  <c r="R2986" i="7"/>
  <c r="S2986" i="7"/>
  <c r="T2986" i="7"/>
  <c r="U2986" i="7"/>
  <c r="V2986" i="7"/>
  <c r="W2986" i="7"/>
  <c r="X2986" i="7"/>
  <c r="Y2986" i="7"/>
  <c r="Z2986" i="7"/>
  <c r="AA2986" i="7"/>
  <c r="AB2986" i="7"/>
  <c r="AC2986" i="7"/>
  <c r="AD2986" i="7"/>
  <c r="AE2986" i="7"/>
  <c r="Q2987" i="7"/>
  <c r="R2987" i="7"/>
  <c r="S2987" i="7"/>
  <c r="T2987" i="7"/>
  <c r="U2987" i="7"/>
  <c r="V2987" i="7"/>
  <c r="W2987" i="7"/>
  <c r="X2987" i="7"/>
  <c r="Y2987" i="7"/>
  <c r="Z2987" i="7"/>
  <c r="AA2987" i="7"/>
  <c r="AB2987" i="7"/>
  <c r="AC2987" i="7"/>
  <c r="AD2987" i="7"/>
  <c r="AE2987" i="7"/>
  <c r="Q2988" i="7"/>
  <c r="R2988" i="7"/>
  <c r="S2988" i="7"/>
  <c r="T2988" i="7"/>
  <c r="U2988" i="7"/>
  <c r="V2988" i="7"/>
  <c r="W2988" i="7"/>
  <c r="X2988" i="7"/>
  <c r="Y2988" i="7"/>
  <c r="Z2988" i="7"/>
  <c r="AA2988" i="7"/>
  <c r="AB2988" i="7"/>
  <c r="AC2988" i="7"/>
  <c r="AD2988" i="7"/>
  <c r="AE2988" i="7"/>
  <c r="Q2989" i="7"/>
  <c r="R2989" i="7"/>
  <c r="S2989" i="7"/>
  <c r="T2989" i="7"/>
  <c r="U2989" i="7"/>
  <c r="V2989" i="7"/>
  <c r="W2989" i="7"/>
  <c r="X2989" i="7"/>
  <c r="Y2989" i="7"/>
  <c r="Z2989" i="7"/>
  <c r="AA2989" i="7"/>
  <c r="AB2989" i="7"/>
  <c r="AC2989" i="7"/>
  <c r="AD2989" i="7"/>
  <c r="AE2989" i="7"/>
  <c r="Q2990" i="7"/>
  <c r="R2990" i="7"/>
  <c r="S2990" i="7"/>
  <c r="T2990" i="7"/>
  <c r="U2990" i="7"/>
  <c r="V2990" i="7"/>
  <c r="W2990" i="7"/>
  <c r="X2990" i="7"/>
  <c r="Y2990" i="7"/>
  <c r="Z2990" i="7"/>
  <c r="AA2990" i="7"/>
  <c r="AB2990" i="7"/>
  <c r="AC2990" i="7"/>
  <c r="AD2990" i="7"/>
  <c r="AE2990" i="7"/>
  <c r="Q2991" i="7"/>
  <c r="R2991" i="7"/>
  <c r="S2991" i="7"/>
  <c r="T2991" i="7"/>
  <c r="U2991" i="7"/>
  <c r="V2991" i="7"/>
  <c r="W2991" i="7"/>
  <c r="X2991" i="7"/>
  <c r="Y2991" i="7"/>
  <c r="Z2991" i="7"/>
  <c r="AA2991" i="7"/>
  <c r="AB2991" i="7"/>
  <c r="AC2991" i="7"/>
  <c r="AD2991" i="7"/>
  <c r="AE2991" i="7"/>
  <c r="Q2992" i="7"/>
  <c r="R2992" i="7"/>
  <c r="S2992" i="7"/>
  <c r="T2992" i="7"/>
  <c r="U2992" i="7"/>
  <c r="V2992" i="7"/>
  <c r="W2992" i="7"/>
  <c r="X2992" i="7"/>
  <c r="Y2992" i="7"/>
  <c r="Z2992" i="7"/>
  <c r="AA2992" i="7"/>
  <c r="AB2992" i="7"/>
  <c r="AC2992" i="7"/>
  <c r="AD2992" i="7"/>
  <c r="AE2992" i="7"/>
  <c r="Q2993" i="7"/>
  <c r="R2993" i="7"/>
  <c r="S2993" i="7"/>
  <c r="T2993" i="7"/>
  <c r="U2993" i="7"/>
  <c r="V2993" i="7"/>
  <c r="W2993" i="7"/>
  <c r="X2993" i="7"/>
  <c r="Y2993" i="7"/>
  <c r="Z2993" i="7"/>
  <c r="AA2993" i="7"/>
  <c r="AB2993" i="7"/>
  <c r="AC2993" i="7"/>
  <c r="AD2993" i="7"/>
  <c r="AE2993" i="7"/>
  <c r="Q2994" i="7"/>
  <c r="R2994" i="7"/>
  <c r="S2994" i="7"/>
  <c r="T2994" i="7"/>
  <c r="U2994" i="7"/>
  <c r="V2994" i="7"/>
  <c r="W2994" i="7"/>
  <c r="X2994" i="7"/>
  <c r="Y2994" i="7"/>
  <c r="Z2994" i="7"/>
  <c r="AA2994" i="7"/>
  <c r="AB2994" i="7"/>
  <c r="AC2994" i="7"/>
  <c r="AD2994" i="7"/>
  <c r="AE2994" i="7"/>
  <c r="Q2995" i="7"/>
  <c r="R2995" i="7"/>
  <c r="S2995" i="7"/>
  <c r="T2995" i="7"/>
  <c r="U2995" i="7"/>
  <c r="V2995" i="7"/>
  <c r="W2995" i="7"/>
  <c r="X2995" i="7"/>
  <c r="Y2995" i="7"/>
  <c r="Z2995" i="7"/>
  <c r="AA2995" i="7"/>
  <c r="AB2995" i="7"/>
  <c r="AC2995" i="7"/>
  <c r="AD2995" i="7"/>
  <c r="AE2995" i="7"/>
  <c r="Q2996" i="7"/>
  <c r="R2996" i="7"/>
  <c r="S2996" i="7"/>
  <c r="T2996" i="7"/>
  <c r="U2996" i="7"/>
  <c r="V2996" i="7"/>
  <c r="W2996" i="7"/>
  <c r="X2996" i="7"/>
  <c r="Y2996" i="7"/>
  <c r="Z2996" i="7"/>
  <c r="AA2996" i="7"/>
  <c r="AB2996" i="7"/>
  <c r="AC2996" i="7"/>
  <c r="AD2996" i="7"/>
  <c r="AE2996" i="7"/>
  <c r="Q2997" i="7"/>
  <c r="R2997" i="7"/>
  <c r="S2997" i="7"/>
  <c r="T2997" i="7"/>
  <c r="U2997" i="7"/>
  <c r="V2997" i="7"/>
  <c r="W2997" i="7"/>
  <c r="X2997" i="7"/>
  <c r="Y2997" i="7"/>
  <c r="Z2997" i="7"/>
  <c r="AA2997" i="7"/>
  <c r="AB2997" i="7"/>
  <c r="AC2997" i="7"/>
  <c r="AD2997" i="7"/>
  <c r="AE2997" i="7"/>
  <c r="Q2998" i="7"/>
  <c r="R2998" i="7"/>
  <c r="S2998" i="7"/>
  <c r="T2998" i="7"/>
  <c r="U2998" i="7"/>
  <c r="V2998" i="7"/>
  <c r="W2998" i="7"/>
  <c r="X2998" i="7"/>
  <c r="Y2998" i="7"/>
  <c r="Z2998" i="7"/>
  <c r="AA2998" i="7"/>
  <c r="AB2998" i="7"/>
  <c r="AC2998" i="7"/>
  <c r="AD2998" i="7"/>
  <c r="AE2998" i="7"/>
  <c r="Q2999" i="7"/>
  <c r="R2999" i="7"/>
  <c r="S2999" i="7"/>
  <c r="T2999" i="7"/>
  <c r="U2999" i="7"/>
  <c r="V2999" i="7"/>
  <c r="W2999" i="7"/>
  <c r="X2999" i="7"/>
  <c r="Y2999" i="7"/>
  <c r="Z2999" i="7"/>
  <c r="AA2999" i="7"/>
  <c r="AB2999" i="7"/>
  <c r="AC2999" i="7"/>
  <c r="AD2999" i="7"/>
  <c r="AE2999" i="7"/>
  <c r="Q3000" i="7"/>
  <c r="R3000" i="7"/>
  <c r="S3000" i="7"/>
  <c r="T3000" i="7"/>
  <c r="U3000" i="7"/>
  <c r="V3000" i="7"/>
  <c r="W3000" i="7"/>
  <c r="X3000" i="7"/>
  <c r="Y3000" i="7"/>
  <c r="Z3000" i="7"/>
  <c r="AA3000" i="7"/>
  <c r="AB3000" i="7"/>
  <c r="AC3000" i="7"/>
  <c r="AD3000" i="7"/>
  <c r="AE3000" i="7"/>
  <c r="Q3001" i="7"/>
  <c r="R3001" i="7"/>
  <c r="S3001" i="7"/>
  <c r="T3001" i="7"/>
  <c r="U3001" i="7"/>
  <c r="V3001" i="7"/>
  <c r="W3001" i="7"/>
  <c r="X3001" i="7"/>
  <c r="Y3001" i="7"/>
  <c r="Z3001" i="7"/>
  <c r="AA3001" i="7"/>
  <c r="AB3001" i="7"/>
  <c r="AC3001" i="7"/>
  <c r="AD3001" i="7"/>
  <c r="AE3001" i="7"/>
  <c r="Q3002" i="7"/>
  <c r="R3002" i="7"/>
  <c r="S3002" i="7"/>
  <c r="T3002" i="7"/>
  <c r="U3002" i="7"/>
  <c r="V3002" i="7"/>
  <c r="W3002" i="7"/>
  <c r="X3002" i="7"/>
  <c r="Y3002" i="7"/>
  <c r="Z3002" i="7"/>
  <c r="AA3002" i="7"/>
  <c r="AB3002" i="7"/>
  <c r="AC3002" i="7"/>
  <c r="AD3002" i="7"/>
  <c r="AE3002" i="7"/>
  <c r="Q3003" i="7"/>
  <c r="R3003" i="7"/>
  <c r="S3003" i="7"/>
  <c r="T3003" i="7"/>
  <c r="U3003" i="7"/>
  <c r="V3003" i="7"/>
  <c r="W3003" i="7"/>
  <c r="X3003" i="7"/>
  <c r="Y3003" i="7"/>
  <c r="Z3003" i="7"/>
  <c r="AA3003" i="7"/>
  <c r="AB3003" i="7"/>
  <c r="AC3003" i="7"/>
  <c r="AD3003" i="7"/>
  <c r="AE3003" i="7"/>
  <c r="AE3" i="7"/>
  <c r="AD3" i="7"/>
  <c r="AC3" i="7"/>
  <c r="AB3" i="7"/>
  <c r="AA3" i="7"/>
  <c r="Z3" i="7"/>
  <c r="Y3" i="7"/>
  <c r="X3" i="7"/>
  <c r="W3" i="7"/>
  <c r="V3" i="7"/>
  <c r="U3" i="7"/>
  <c r="T3" i="7"/>
  <c r="S3" i="7"/>
  <c r="R3" i="7"/>
  <c r="R17" i="8" l="1"/>
  <c r="R18" i="8"/>
  <c r="R19" i="8"/>
  <c r="R20" i="8"/>
  <c r="R21" i="8"/>
  <c r="R22" i="8"/>
  <c r="R16" i="8"/>
  <c r="S16" i="8" s="1"/>
  <c r="S17" i="8"/>
  <c r="S18" i="8"/>
  <c r="S19" i="8"/>
  <c r="S20" i="8"/>
  <c r="S21" i="8"/>
  <c r="S22" i="8"/>
  <c r="S23" i="8"/>
  <c r="D4" i="8" l="1"/>
  <c r="C4" i="8"/>
  <c r="B4" i="8"/>
  <c r="Q3"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Simmons</author>
    <author>Sarah Evans</author>
    <author>Naveen Kakati</author>
    <author>Nitesh Jogdand</author>
  </authors>
  <commentList>
    <comment ref="A1" authorId="0" shapeId="0" xr:uid="{00000000-0006-0000-0000-000001000000}">
      <text>
        <r>
          <rPr>
            <b/>
            <sz val="9"/>
            <color indexed="81"/>
            <rFont val="Tahoma"/>
            <family val="2"/>
          </rPr>
          <t>All marks begin with B, G, PG, PB or other special designation
Row 2 is used for Revit import and can remain hidden</t>
        </r>
        <r>
          <rPr>
            <sz val="9"/>
            <color indexed="81"/>
            <rFont val="Tahoma"/>
            <family val="2"/>
          </rPr>
          <t xml:space="preserve">
</t>
        </r>
      </text>
    </comment>
    <comment ref="B1" authorId="0" shapeId="0" xr:uid="{00000000-0006-0000-0000-000002000000}">
      <text>
        <r>
          <rPr>
            <b/>
            <sz val="9"/>
            <color indexed="81"/>
            <rFont val="Tahoma"/>
            <family val="2"/>
          </rPr>
          <t>Width and Depth changes should be coordinated with the Revit model.
Beam sizes will update in the model!
Numbers only (24, 24.5, 24.25); No symbols (such as *) allowed</t>
        </r>
        <r>
          <rPr>
            <sz val="9"/>
            <color indexed="81"/>
            <rFont val="Tahoma"/>
            <family val="2"/>
          </rPr>
          <t xml:space="preserve">
</t>
        </r>
      </text>
    </comment>
    <comment ref="D1" authorId="0" shapeId="0" xr:uid="{00000000-0006-0000-0000-000003000000}">
      <text>
        <r>
          <rPr>
            <b/>
            <sz val="9"/>
            <color indexed="81"/>
            <rFont val="Tahoma"/>
            <family val="2"/>
          </rPr>
          <t>Place spaces between entries if more than one row is needed (5 works well)</t>
        </r>
        <r>
          <rPr>
            <sz val="9"/>
            <color indexed="81"/>
            <rFont val="Tahoma"/>
            <family val="2"/>
          </rPr>
          <t xml:space="preserve">
</t>
        </r>
      </text>
    </comment>
    <comment ref="G1" authorId="0" shapeId="0" xr:uid="{00000000-0006-0000-0000-000004000000}">
      <text>
        <r>
          <rPr>
            <b/>
            <sz val="9"/>
            <color indexed="81"/>
            <rFont val="Tahoma"/>
            <family val="2"/>
          </rPr>
          <t>Columns can be narrowed if the over / under look is preferred while populating schedule, but hard returns (alt+enter) should not be used. Only spaces in between.</t>
        </r>
        <r>
          <rPr>
            <sz val="9"/>
            <color indexed="81"/>
            <rFont val="Tahoma"/>
            <family val="2"/>
          </rPr>
          <t xml:space="preserve">
</t>
        </r>
      </text>
    </comment>
    <comment ref="I1" authorId="1" shapeId="0" xr:uid="{00000000-0006-0000-0000-000005000000}">
      <text>
        <r>
          <rPr>
            <b/>
            <sz val="9"/>
            <color indexed="81"/>
            <rFont val="Tahoma"/>
            <family val="2"/>
          </rPr>
          <t>Note if beam is designed for torsion "Yes" or "No"</t>
        </r>
      </text>
    </comment>
    <comment ref="M1" authorId="0" shapeId="0" xr:uid="{00000000-0006-0000-0000-000006000000}">
      <text>
        <r>
          <rPr>
            <b/>
            <sz val="9"/>
            <color indexed="81"/>
            <rFont val="Tahoma"/>
            <family val="2"/>
          </rPr>
          <t>If no remarks, place (2) periods, one in each row (alt+enter to wrap)</t>
        </r>
        <r>
          <rPr>
            <sz val="9"/>
            <color indexed="81"/>
            <rFont val="Tahoma"/>
            <family val="2"/>
          </rPr>
          <t xml:space="preserve">
</t>
        </r>
      </text>
    </comment>
    <comment ref="O1" authorId="0" shapeId="0" xr:uid="{00000000-0006-0000-0000-000007000000}">
      <text>
        <r>
          <rPr>
            <b/>
            <sz val="9"/>
            <color indexed="81"/>
            <rFont val="Tahoma"/>
            <family val="2"/>
          </rPr>
          <t>Place a revision indicator in this column when changing after CD submittal. Can be revision number, a letter or any other text description. This will be replaced with a delta symbol in the model.</t>
        </r>
      </text>
    </comment>
    <comment ref="P1" authorId="0" shapeId="0" xr:uid="{00000000-0006-0000-0000-000008000000}">
      <text>
        <r>
          <rPr>
            <b/>
            <sz val="9"/>
            <color indexed="81"/>
            <rFont val="Tahoma"/>
            <family val="2"/>
          </rPr>
          <t>Every entry should be assigned a category to determine which schedule they will appear in: Beam
Girder
PT Girder
Pan Beam</t>
        </r>
        <r>
          <rPr>
            <sz val="9"/>
            <color indexed="81"/>
            <rFont val="Tahoma"/>
            <family val="2"/>
          </rPr>
          <t xml:space="preserve">
</t>
        </r>
      </text>
    </comment>
    <comment ref="Q1" authorId="0" shapeId="0" xr:uid="{00000000-0006-0000-0000-000009000000}">
      <text>
        <r>
          <rPr>
            <b/>
            <sz val="9"/>
            <color indexed="81"/>
            <rFont val="Tahoma"/>
            <family val="2"/>
          </rPr>
          <t>Every entry should have the first schedule sheet number in this column.
Use "1" if not known.</t>
        </r>
        <r>
          <rPr>
            <sz val="9"/>
            <color indexed="81"/>
            <rFont val="Tahoma"/>
            <family val="2"/>
          </rPr>
          <t xml:space="preserve">
</t>
        </r>
      </text>
    </comment>
    <comment ref="A3" authorId="2" shapeId="0" xr:uid="{8077E37C-DA26-4BB3-BE3E-258E6B0D08A5}">
      <text>
        <r>
          <rPr>
            <sz val="9"/>
            <color indexed="81"/>
            <rFont val="Tahoma"/>
            <family val="2"/>
          </rPr>
          <t>Beam mark is not unique; duplicate mark at row 4.</t>
        </r>
      </text>
    </comment>
    <comment ref="B3" authorId="2" shapeId="0" xr:uid="{3CBF24B8-F648-4468-BB02-3F9D9429F8F2}">
      <text>
        <r>
          <rPr>
            <sz val="9"/>
            <color indexed="81"/>
            <rFont val="Tahoma"/>
            <family val="2"/>
          </rPr>
          <t>Size not scheduled.</t>
        </r>
      </text>
    </comment>
    <comment ref="C3" authorId="2" shapeId="0" xr:uid="{0DE17B21-4C32-4DAC-A843-14299A0C2F6A}">
      <text>
        <r>
          <rPr>
            <sz val="9"/>
            <color indexed="81"/>
            <rFont val="Tahoma"/>
            <family val="2"/>
          </rPr>
          <t>Size not scheduled.</t>
        </r>
      </text>
    </comment>
    <comment ref="H16" authorId="3" shapeId="0" xr:uid="{B4F35EDB-DF07-49F1-A7A5-9E00DC2B4F94}">
      <text>
        <r>
          <rPr>
            <sz val="9"/>
            <color indexed="81"/>
            <rFont val="Tahoma"/>
            <family val="2"/>
          </rPr>
          <t>No face bars provided; face bars are required for beam depth &gt; 36" (ACI 318-11 10.6.7). Use button on "Macros" tab to auto-schedule.</t>
        </r>
      </text>
    </comment>
    <comment ref="I16" authorId="3" shapeId="0" xr:uid="{EE4EBABC-92DF-4D71-B6D2-FD866A0BCB72}">
      <text>
        <r>
          <rPr>
            <sz val="9"/>
            <color indexed="81"/>
            <rFont val="Tahoma"/>
            <family val="2"/>
          </rPr>
          <t>Input required. Indicate "Yes" or "No" for torsion design.</t>
        </r>
      </text>
    </comment>
    <comment ref="J16" authorId="3" shapeId="0" xr:uid="{CC1B8EC9-C6DB-4502-B89B-23A9578581B8}">
      <text>
        <r>
          <rPr>
            <sz val="9"/>
            <color indexed="81"/>
            <rFont val="Tahoma"/>
            <family val="2"/>
          </rPr>
          <t>Stirrup bar size #0 outside of expected range #3-#6.</t>
        </r>
      </text>
    </comment>
    <comment ref="K16" authorId="3" shapeId="0" xr:uid="{132F9475-8B1B-4E70-9DD5-733668EF8F8D}">
      <text>
        <r>
          <rPr>
            <sz val="9"/>
            <color indexed="81"/>
            <rFont val="Tahoma"/>
            <family val="2"/>
          </rPr>
          <t>Unexpected stirrup type .</t>
        </r>
      </text>
    </comment>
    <comment ref="L16" authorId="3" shapeId="0" xr:uid="{62BBD612-3760-468E-999E-5458443FAB85}">
      <text>
        <r>
          <rPr>
            <sz val="9"/>
            <color indexed="81"/>
            <rFont val="Tahoma"/>
            <family val="2"/>
          </rPr>
          <t>Very small stirrup spacing (0"); consider increasing stirrup size, number of stirrup legs, or beam size.</t>
        </r>
      </text>
    </comment>
    <comment ref="H19" authorId="3" shapeId="0" xr:uid="{D3CA3FDE-214F-4B4D-BA61-5833E7466C01}">
      <text>
        <r>
          <rPr>
            <sz val="9"/>
            <color indexed="81"/>
            <rFont val="Tahoma"/>
            <family val="2"/>
          </rPr>
          <t>No face bars provided; face bars are required for beam depth &gt; 36" (ACI 318-11 10.6.7). Use button on "Macros" tab to auto-schedule.</t>
        </r>
      </text>
    </comment>
    <comment ref="I19" authorId="3" shapeId="0" xr:uid="{BB7BEAC4-BE3A-4BE2-8772-068EFF53E4D0}">
      <text>
        <r>
          <rPr>
            <sz val="9"/>
            <color indexed="81"/>
            <rFont val="Tahoma"/>
            <family val="2"/>
          </rPr>
          <t>Input required. Indicate "Yes" or "No" for torsion design.</t>
        </r>
      </text>
    </comment>
    <comment ref="J19" authorId="3" shapeId="0" xr:uid="{7154F325-C741-4386-B10B-559AF9882B0E}">
      <text>
        <r>
          <rPr>
            <sz val="9"/>
            <color indexed="81"/>
            <rFont val="Tahoma"/>
            <family val="2"/>
          </rPr>
          <t>Stirrup bar size #0 outside of expected range #3-#6.</t>
        </r>
      </text>
    </comment>
    <comment ref="K19" authorId="3" shapeId="0" xr:uid="{EC0ABCE4-9F55-4E72-B42C-45B136EC442E}">
      <text>
        <r>
          <rPr>
            <sz val="9"/>
            <color indexed="81"/>
            <rFont val="Tahoma"/>
            <family val="2"/>
          </rPr>
          <t>Unexpected stirrup type .</t>
        </r>
      </text>
    </comment>
    <comment ref="L19" authorId="3" shapeId="0" xr:uid="{860AEC0D-13B0-4232-A574-7CEA53DDFBA7}">
      <text>
        <r>
          <rPr>
            <sz val="9"/>
            <color indexed="81"/>
            <rFont val="Tahoma"/>
            <family val="2"/>
          </rPr>
          <t>Very small stirrup spacing (0"); consider increasing stirrup size, number of stirrup legs, or beam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Brightman</author>
  </authors>
  <commentList>
    <comment ref="A1" authorId="0" shapeId="0" xr:uid="{00000000-0006-0000-0100-000001000000}">
      <text>
        <r>
          <rPr>
            <sz val="18"/>
            <color indexed="81"/>
            <rFont val="Tahoma"/>
            <family val="2"/>
          </rPr>
          <t xml:space="preserve">Paste Schedule export data from Revit here in the same place as on sheet "Concrete Beam Schedule".  Columns Q through AE will indicate which beams have been revised.  
It is recommend this is done before importing into Revit so that any beams that are going to change size can be addressed.  This can also be used to verify that a revision mark has been added to all beams that have been revised.
</t>
        </r>
        <r>
          <rPr>
            <sz val="9"/>
            <color indexed="81"/>
            <rFont val="Tahoma"/>
            <family val="2"/>
          </rPr>
          <t xml:space="preserve">
</t>
        </r>
      </text>
    </comment>
    <comment ref="Q1" authorId="0" shapeId="0" xr:uid="{00000000-0006-0000-0100-000002000000}">
      <text>
        <r>
          <rPr>
            <sz val="18"/>
            <color indexed="81"/>
            <rFont val="Tahoma"/>
            <family val="2"/>
          </rPr>
          <t>This section used for flagging changes between current excel file and exported schedule data from Revit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Sarah Evans</author>
  </authors>
  <commentList>
    <comment ref="P15" authorId="0" shapeId="0" xr:uid="{00000000-0006-0000-0200-000001000000}">
      <text>
        <r>
          <rPr>
            <b/>
            <sz val="9"/>
            <color indexed="81"/>
            <rFont val="Tahoma"/>
            <family val="2"/>
          </rPr>
          <t>1.5" cover all around, Fy of face bar = 60 ksi</t>
        </r>
      </text>
    </comment>
    <comment ref="Q15" authorId="0" shapeId="0" xr:uid="{00000000-0006-0000-0200-000002000000}">
      <text>
        <r>
          <rPr>
            <b/>
            <sz val="9"/>
            <color indexed="81"/>
            <rFont val="Tahoma"/>
            <family val="2"/>
          </rPr>
          <t>2" cover all around, Fy of face bar = 60 ksi</t>
        </r>
      </text>
    </comment>
    <comment ref="R15" authorId="0" shapeId="0" xr:uid="{00000000-0006-0000-0200-000003000000}">
      <text>
        <r>
          <rPr>
            <b/>
            <sz val="9"/>
            <color indexed="81"/>
            <rFont val="Tahoma"/>
            <family val="2"/>
          </rPr>
          <t>Calculate from user input cover</t>
        </r>
      </text>
    </comment>
    <comment ref="D24" authorId="0" shapeId="0" xr:uid="{00000000-0006-0000-0200-000004000000}">
      <text>
        <r>
          <rPr>
            <b/>
            <sz val="9"/>
            <color indexed="81"/>
            <rFont val="Tahoma"/>
            <family val="2"/>
          </rPr>
          <t>Sheet builder will automatically add 0 in front of single digit numbers (eg 01, 02, etc)</t>
        </r>
      </text>
    </comment>
    <comment ref="P27" authorId="0" shapeId="0" xr:uid="{00000000-0006-0000-0200-000005000000}">
      <text>
        <r>
          <rPr>
            <b/>
            <sz val="9"/>
            <color indexed="81"/>
            <rFont val="Tahoma"/>
            <family val="2"/>
          </rPr>
          <t>Category to determine which schedule beam will appear in (filter in Revit). Examples:
Beam
Girder
Pan-Formed Beam</t>
        </r>
      </text>
    </comment>
    <comment ref="O33" authorId="0" shapeId="0" xr:uid="{00000000-0006-0000-0200-000006000000}">
      <text>
        <r>
          <rPr>
            <b/>
            <sz val="9"/>
            <color indexed="81"/>
            <rFont val="Tahoma"/>
            <family val="2"/>
          </rPr>
          <t>if there are decimals included after the prefix, include the "." in the digit/character count</t>
        </r>
      </text>
    </comment>
  </commentList>
</comments>
</file>

<file path=xl/sharedStrings.xml><?xml version="1.0" encoding="utf-8"?>
<sst xmlns="http://schemas.openxmlformats.org/spreadsheetml/2006/main" count="1932" uniqueCount="404">
  <si>
    <t>SIZE</t>
  </si>
  <si>
    <t>TYPE</t>
  </si>
  <si>
    <t>REMARKS</t>
  </si>
  <si>
    <t>MARK</t>
  </si>
  <si>
    <t>WIDTH (INCHES)</t>
  </si>
  <si>
    <t>BOTTOM BAR</t>
  </si>
  <si>
    <t>TOP  BAR</t>
  </si>
  <si>
    <t>#Top Center##OTHER##</t>
  </si>
  <si>
    <t>#Top Right##OTHER##</t>
  </si>
  <si>
    <t>#Bottom Bars##OTHER##</t>
  </si>
  <si>
    <t>#Top Left##OTHER##</t>
  </si>
  <si>
    <t>#Face Bars##OTHER##</t>
  </si>
  <si>
    <t>#Stirrup Size##OTHER##</t>
  </si>
  <si>
    <t>#Stirrup Type##OTHER##</t>
  </si>
  <si>
    <t>#Stirrup Spacing##OTHER##</t>
  </si>
  <si>
    <t>#Remarks##OTHER##</t>
  </si>
  <si>
    <t>#Beam Width##LENGTH##INCHES</t>
  </si>
  <si>
    <t>#Beam Depth##LENGTH##INCHES</t>
  </si>
  <si>
    <t>#Category##OTHER##</t>
  </si>
  <si>
    <t>Beam</t>
  </si>
  <si>
    <t>DEPTH
(INCHES)</t>
  </si>
  <si>
    <t>TOP BAR
LEFT END</t>
  </si>
  <si>
    <t>TOP BAR
RIGHT END</t>
  </si>
  <si>
    <t>FACE REINF
(EACH FACE)</t>
  </si>
  <si>
    <t>SPACING
EACH END</t>
  </si>
  <si>
    <t>.
.</t>
  </si>
  <si>
    <t>#Sheet##OTHER##</t>
  </si>
  <si>
    <t>Category</t>
  </si>
  <si>
    <t>Sheet</t>
  </si>
  <si>
    <t>Current Revision</t>
  </si>
  <si>
    <t>#Schedules-Current Revision##OTHER##</t>
  </si>
  <si>
    <t>#3</t>
  </si>
  <si>
    <t>S26</t>
  </si>
  <si>
    <t>S8.35</t>
  </si>
  <si>
    <t>1@2/18@4/R@7</t>
  </si>
  <si>
    <t>Revision number</t>
  </si>
  <si>
    <t>*This cannot be undone and will wipe out all formatting including revision flags. It will also move contents from the "Current Revision" column of the schedule to the "Revision History" column. Use only after the schdule has been imported into Revit and issued. If the vaule in that column matches the revision number on this sheet, it will not be deleted.</t>
  </si>
  <si>
    <t>#Schedules-Revision Tracking##OTHER##</t>
  </si>
  <si>
    <t>Revisions</t>
  </si>
  <si>
    <t>Sheet Setup</t>
  </si>
  <si>
    <t>Sheet Sizes</t>
  </si>
  <si>
    <t>Width</t>
  </si>
  <si>
    <t>Height</t>
  </si>
  <si>
    <t>Code</t>
  </si>
  <si>
    <t>ARCH C</t>
  </si>
  <si>
    <t>ARCH D</t>
  </si>
  <si>
    <t>ARCH E</t>
  </si>
  <si>
    <t>ARCH E1</t>
  </si>
  <si>
    <t>Name</t>
  </si>
  <si>
    <t>Sheet Size</t>
  </si>
  <si>
    <t>Titleblock Margins</t>
  </si>
  <si>
    <t>Left</t>
  </si>
  <si>
    <t>Right</t>
  </si>
  <si>
    <t>Top</t>
  </si>
  <si>
    <t>Bottom</t>
  </si>
  <si>
    <t>in</t>
  </si>
  <si>
    <t>Sheet Numbering</t>
  </si>
  <si>
    <t>Prefix</t>
  </si>
  <si>
    <t>Series</t>
  </si>
  <si>
    <t>Separator</t>
  </si>
  <si>
    <t>Index of first sheet</t>
  </si>
  <si>
    <t>S</t>
  </si>
  <si>
    <t>.</t>
  </si>
  <si>
    <t>REVISION TRACKING</t>
  </si>
  <si>
    <t>CURRENT REVISION</t>
  </si>
  <si>
    <t>CONCRETE BEAM SCHEDULE</t>
  </si>
  <si>
    <t>Schedule Title</t>
  </si>
  <si>
    <t>Error log:</t>
  </si>
  <si>
    <t>No errors</t>
  </si>
  <si>
    <t>TORSION DESIGN</t>
  </si>
  <si>
    <t>Macros</t>
  </si>
  <si>
    <t>Click to run</t>
  </si>
  <si>
    <t>See schedule tab for results</t>
  </si>
  <si>
    <t>User</t>
  </si>
  <si>
    <t>36&lt;h≤42</t>
  </si>
  <si>
    <t>42&lt;h≤48</t>
  </si>
  <si>
    <t>48&lt;h≤54</t>
  </si>
  <si>
    <t>54&lt;h≤60</t>
  </si>
  <si>
    <t>60&lt;h≤72</t>
  </si>
  <si>
    <t>72&lt;h≤84</t>
  </si>
  <si>
    <t>84&lt;h≤96</t>
  </si>
  <si>
    <t>calculate</t>
  </si>
  <si>
    <t>96&lt;h</t>
  </si>
  <si>
    <t>Scheduling Criteria: # bars based on depth</t>
  </si>
  <si>
    <t>Interior</t>
  </si>
  <si>
    <t>Exterior</t>
  </si>
  <si>
    <t>Calc</t>
  </si>
  <si>
    <t>Scheme to use:</t>
  </si>
  <si>
    <t>Cover</t>
  </si>
  <si>
    <t>For use</t>
  </si>
  <si>
    <t>Sides</t>
  </si>
  <si>
    <t>No</t>
  </si>
  <si>
    <t>Schedules face bars for beams with 
Depth &gt; 36" and Torsion Design = "No".</t>
  </si>
  <si>
    <t>Category:</t>
  </si>
  <si>
    <t>Assigns input category to ALL beams.</t>
  </si>
  <si>
    <t>Notes &amp; Inputs</t>
  </si>
  <si>
    <t>Mark is unique</t>
  </si>
  <si>
    <t>Width is numeric</t>
  </si>
  <si>
    <t>Depth is numeric</t>
  </si>
  <si>
    <t>For Revit import</t>
  </si>
  <si>
    <t>TOP BAR LEFT END</t>
  </si>
  <si>
    <t>TOP BAR RIGHT END</t>
  </si>
  <si>
    <t>WIDTH</t>
  </si>
  <si>
    <t>DEPTH</t>
  </si>
  <si>
    <t>FACE REINF</t>
  </si>
  <si>
    <t>WPM standard; ref typical detail 00860-FL-BPLB-01</t>
  </si>
  <si>
    <t>Expected integrity bar types Q, A, D, R, K, N</t>
  </si>
  <si>
    <t>Expected bar types Q, A, B, D, E, R, S, K, L, N, P</t>
  </si>
  <si>
    <t>Hook length fits within beam depth - cover</t>
  </si>
  <si>
    <t>#5 ≤ Bar size ≤ #11</t>
  </si>
  <si>
    <t>WPM standard; ref Guidelines for Scheduling Mild Reinforced Beams (Low Seismic)</t>
  </si>
  <si>
    <t>Quantity of full length bars is ≥ number of stirrup legs</t>
  </si>
  <si>
    <t>ACI 318-11 7.13.2.2a. *This check is not always accurate since top bars can be scheduled from adjacent beams.</t>
  </si>
  <si>
    <t>*Quantity of integrity bars ≥ 2 &amp; As(i) ≥ 1/6 As</t>
  </si>
  <si>
    <t>*Quantity of full length bars is ≥ number of stirrup legs</t>
  </si>
  <si>
    <t>WPM standard; ref Guidelines for Scheduling Mild Reinforced Beams (Low Seismic) *This check is not always accurate since top bars can be scheduled from adjacent beams.</t>
  </si>
  <si>
    <t>Congestion check. *This check is not always accurate since top bars can be scheduled from adjacent beams.</t>
  </si>
  <si>
    <t>Expected bar types X, V, M, T, W, Y, Z, Q</t>
  </si>
  <si>
    <t>Expected integrity bar types X, M, T, Y, Z, Q</t>
  </si>
  <si>
    <t>Quantity of integrity bars ≥ 2 &amp; As(i) ≥ 1/4 As</t>
  </si>
  <si>
    <t>ACI 318-11 7.13.2.2b</t>
  </si>
  <si>
    <t>Clear spacing ≥ 2"</t>
  </si>
  <si>
    <t>*Clear spacing ≥ 2"</t>
  </si>
  <si>
    <t>Congestion check.</t>
  </si>
  <si>
    <t>Expected bar types M, H, J</t>
  </si>
  <si>
    <t>Expected integrity bar types M, H</t>
  </si>
  <si>
    <t>Beams &gt; 36" deep have face bars</t>
  </si>
  <si>
    <t>ACI 318-11 10.6.7</t>
  </si>
  <si>
    <t>CRSI standard 90° hook length. Assumes up to 30° rotation of hook is acceptable to fit.</t>
  </si>
  <si>
    <t>Beams designed for torsion have face bars</t>
  </si>
  <si>
    <t>Torsion yes/no input by user</t>
  </si>
  <si>
    <t>Minimum face bar size for torsion</t>
  </si>
  <si>
    <t>ACI 318-11 11.5.6.2</t>
  </si>
  <si>
    <t>Maximum spacing</t>
  </si>
  <si>
    <t>ACI 318-11 10.6.4/10.6.7 and 11.5.6.2 as applicable</t>
  </si>
  <si>
    <t>Torsion design is not blank.</t>
  </si>
  <si>
    <t>User input which affects face reinforcing QC checks.</t>
  </si>
  <si>
    <t>STIRRUP SIZE</t>
  </si>
  <si>
    <t>STIRRUP TYPE</t>
  </si>
  <si>
    <t>STIRRUP SPACING</t>
  </si>
  <si>
    <t>Stirrup bar size is #3-#6</t>
  </si>
  <si>
    <t>WPM standard</t>
  </si>
  <si>
    <t>Column:</t>
  </si>
  <si>
    <t>QC Check:</t>
  </si>
  <si>
    <t>Notes:</t>
  </si>
  <si>
    <t>WPM standard; ref typical detail 03210-FL-STIR-01</t>
  </si>
  <si>
    <t>Minimum stirrup spacing ≥ 4"</t>
  </si>
  <si>
    <t>None.</t>
  </si>
  <si>
    <t>Category is not blank.</t>
  </si>
  <si>
    <t>Sheet is not blank.</t>
  </si>
  <si>
    <t>Needed in Revit to filter schedule</t>
  </si>
  <si>
    <t>List of Macro Buttons</t>
  </si>
  <si>
    <t>QC All Beams</t>
  </si>
  <si>
    <t>Runs QC checks on all beams in schedule.</t>
  </si>
  <si>
    <t>Schedule Skin Reinf (depth &gt; 36")</t>
  </si>
  <si>
    <t>Automatically schedules face bars for beams with Depth &gt; 36" and Torsion Design = "No"</t>
  </si>
  <si>
    <t>Schedule Category</t>
  </si>
  <si>
    <t>Automatically assigns input category to ALL beams. This will wipe out any manual inputs in the cateogry cell.</t>
  </si>
  <si>
    <t>QC Check Assumptions</t>
  </si>
  <si>
    <t>These can be changed in Module 2 of the VBA code.</t>
  </si>
  <si>
    <t>Concrete strength, f'c</t>
  </si>
  <si>
    <t>5000 psi</t>
  </si>
  <si>
    <t>Normalweight concrete</t>
  </si>
  <si>
    <r>
      <rPr>
        <sz val="10"/>
        <rFont val="Calibri"/>
        <family val="2"/>
      </rPr>
      <t>λ</t>
    </r>
    <r>
      <rPr>
        <sz val="10"/>
        <rFont val="Arial"/>
        <family val="2"/>
      </rPr>
      <t xml:space="preserve"> = 1</t>
    </r>
  </si>
  <si>
    <t>Side cover</t>
  </si>
  <si>
    <t>1.5 inches</t>
  </si>
  <si>
    <t>Top cover</t>
  </si>
  <si>
    <t>2.5 inches</t>
  </si>
  <si>
    <t>Top cover (for checking face bar spacing)</t>
  </si>
  <si>
    <t>Bottom cover</t>
  </si>
  <si>
    <t>Rotation of hooked bar at hooked end</t>
  </si>
  <si>
    <t>30°</t>
  </si>
  <si>
    <t>List of QC Checks</t>
  </si>
  <si>
    <t>B1</t>
  </si>
  <si>
    <t>4-#9D     2-#9E</t>
  </si>
  <si>
    <t>Ignores first stirrup.</t>
  </si>
  <si>
    <t>Not currently used</t>
  </si>
  <si>
    <t>Face bar spacing</t>
  </si>
  <si>
    <t>QC Checks affected by assumption:</t>
  </si>
  <si>
    <t>Longitudinal bar clear spacing, face bar spacing</t>
  </si>
  <si>
    <t>Bar hook length fit</t>
  </si>
  <si>
    <t>Bar hook length fit, face bar spacing</t>
  </si>
  <si>
    <t>Longitudinal reinforcing layers</t>
  </si>
  <si>
    <t>Longitudinal bar clear spacing, quantity of full length bars</t>
  </si>
  <si>
    <t>Expected stirrup type S13, S14, S15, S16, S18, S19, S20, S23, S24, S25, S26, S27, S28, S34</t>
  </si>
  <si>
    <t>Expected number of stirrup legs; w &lt; 8", 1 leg (or S34); w ≤ 24", 2 legs; 24” ≤ w ≤ 48”, 4 legs; w ≥48”, 6 legs</t>
  </si>
  <si>
    <t>Single layer of reinforcing</t>
  </si>
  <si>
    <t>Prefix:</t>
  </si>
  <si>
    <t>S7.</t>
  </si>
  <si>
    <t>First sheet:</t>
  </si>
  <si>
    <t>Include preceeding zeros:</t>
  </si>
  <si>
    <t>Yes</t>
  </si>
  <si>
    <t>Increment sheet #:</t>
  </si>
  <si>
    <t>Total digits after pref:</t>
  </si>
  <si>
    <t>Sample first sheet:</t>
  </si>
  <si>
    <t>Marks per sheet:</t>
  </si>
  <si>
    <t>Overwrite current sheet value:</t>
  </si>
  <si>
    <t>Add beams to:</t>
  </si>
  <si>
    <t>Last sheet only</t>
  </si>
  <si>
    <t>Adds a second line to all one-line remarks and two periods to beams without remarks. Existing remarks will not be deleted, just added to.</t>
  </si>
  <si>
    <t>ACI 318-11 11.4.5.1</t>
  </si>
  <si>
    <t>Maximum stirrup spacing ≤ d / 2 (or 24")</t>
  </si>
  <si>
    <t>#Beam Width##LENGTH##MILLIMETERS</t>
  </si>
  <si>
    <t>#Beam Depth##LENGTH##MILLIMETERS</t>
  </si>
  <si>
    <t>WIDTH (MILLIMETERS)</t>
  </si>
  <si>
    <t>DEPTH
(MILLIMETERS)</t>
  </si>
  <si>
    <t>BOTTOM BAR LEFT END</t>
  </si>
  <si>
    <t>BOTTOM BAR RIGHT END</t>
  </si>
  <si>
    <t>TOP BAR</t>
  </si>
  <si>
    <t>#Bottom Left##OTHER##</t>
  </si>
  <si>
    <t>#Bottom Right##OTHER##</t>
  </si>
  <si>
    <t>FACE BARS (EACH FACE)</t>
  </si>
  <si>
    <t>STIRRUPS SPACING AT EACH END</t>
  </si>
  <si>
    <t>STIRRUPS SPACING AT MID SPAN</t>
  </si>
  <si>
    <t>T4-T6- LINK BEAM</t>
  </si>
  <si>
    <t>T4-T6- TYPE-1</t>
  </si>
  <si>
    <t>T4-T6- TYPE-2 UNIQUE</t>
  </si>
  <si>
    <t>T4-T6- REFUGE UNIQUE</t>
  </si>
  <si>
    <t>4LB01</t>
  </si>
  <si>
    <t>4LB02</t>
  </si>
  <si>
    <t>4LB03</t>
  </si>
  <si>
    <t>4LB04</t>
  </si>
  <si>
    <t>4LB05</t>
  </si>
  <si>
    <t>4LB06</t>
  </si>
  <si>
    <t>4LB07</t>
  </si>
  <si>
    <t>4LB08</t>
  </si>
  <si>
    <t>4LB09</t>
  </si>
  <si>
    <t>4LB10</t>
  </si>
  <si>
    <t>4LB11</t>
  </si>
  <si>
    <t>4LB12</t>
  </si>
  <si>
    <t>4LB13</t>
  </si>
  <si>
    <t>4LB14</t>
  </si>
  <si>
    <t>4LB15</t>
  </si>
  <si>
    <t>4LB16</t>
  </si>
  <si>
    <t>4LB17</t>
  </si>
  <si>
    <t>4LB18</t>
  </si>
  <si>
    <t>4LB19</t>
  </si>
  <si>
    <t>4LB20</t>
  </si>
  <si>
    <t>4LB21</t>
  </si>
  <si>
    <t>4LB22</t>
  </si>
  <si>
    <t>4LB23</t>
  </si>
  <si>
    <t>4LB24</t>
  </si>
  <si>
    <t>4LB25</t>
  </si>
  <si>
    <t>4LB26</t>
  </si>
  <si>
    <t>4LB27</t>
  </si>
  <si>
    <t>4LB28</t>
  </si>
  <si>
    <t>4LB29</t>
  </si>
  <si>
    <t>4LB30</t>
  </si>
  <si>
    <t>4LB31</t>
  </si>
  <si>
    <t>4LB32</t>
  </si>
  <si>
    <t>4B01</t>
  </si>
  <si>
    <t>4B02</t>
  </si>
  <si>
    <t>4B03</t>
  </si>
  <si>
    <t>4B04</t>
  </si>
  <si>
    <t>4B05</t>
  </si>
  <si>
    <t>4B06</t>
  </si>
  <si>
    <t>4B07</t>
  </si>
  <si>
    <t>4B08</t>
  </si>
  <si>
    <t>4B09</t>
  </si>
  <si>
    <t>4B10</t>
  </si>
  <si>
    <t>4B11</t>
  </si>
  <si>
    <t>4B12</t>
  </si>
  <si>
    <t>4B13</t>
  </si>
  <si>
    <t>4B14</t>
  </si>
  <si>
    <t>4B15</t>
  </si>
  <si>
    <t>4B16</t>
  </si>
  <si>
    <t>4B17</t>
  </si>
  <si>
    <t>4B18</t>
  </si>
  <si>
    <t>4B19</t>
  </si>
  <si>
    <t>4B20</t>
  </si>
  <si>
    <t>4B21</t>
  </si>
  <si>
    <t>4B22</t>
  </si>
  <si>
    <t>4B23</t>
  </si>
  <si>
    <t>4B24</t>
  </si>
  <si>
    <t>4B25</t>
  </si>
  <si>
    <t>4B26</t>
  </si>
  <si>
    <t>4B27</t>
  </si>
  <si>
    <t>4B28</t>
  </si>
  <si>
    <t>4B29</t>
  </si>
  <si>
    <t>4B30</t>
  </si>
  <si>
    <t>4B31</t>
  </si>
  <si>
    <t>4B32</t>
  </si>
  <si>
    <t>4B33</t>
  </si>
  <si>
    <t>4B34</t>
  </si>
  <si>
    <t>4B35</t>
  </si>
  <si>
    <t>4B36</t>
  </si>
  <si>
    <t>4B37</t>
  </si>
  <si>
    <t>4B38</t>
  </si>
  <si>
    <t>4B39</t>
  </si>
  <si>
    <t>4B40</t>
  </si>
  <si>
    <t>4B41</t>
  </si>
  <si>
    <t>4B42</t>
  </si>
  <si>
    <t>4B43</t>
  </si>
  <si>
    <t>4B44</t>
  </si>
  <si>
    <t>4B45</t>
  </si>
  <si>
    <t>4B46</t>
  </si>
  <si>
    <t>4B47</t>
  </si>
  <si>
    <t>4B48</t>
  </si>
  <si>
    <t>4B49</t>
  </si>
  <si>
    <t>4B50</t>
  </si>
  <si>
    <t>4B51</t>
  </si>
  <si>
    <t>4B52</t>
  </si>
  <si>
    <t>4B53</t>
  </si>
  <si>
    <t>4B54</t>
  </si>
  <si>
    <t>4B55</t>
  </si>
  <si>
    <t>4B56</t>
  </si>
  <si>
    <t>4B57</t>
  </si>
  <si>
    <t>4B58</t>
  </si>
  <si>
    <t>4B59</t>
  </si>
  <si>
    <t>4B60</t>
  </si>
  <si>
    <t>4B61</t>
  </si>
  <si>
    <t>4B62</t>
  </si>
  <si>
    <t>4B63</t>
  </si>
  <si>
    <t>4B64</t>
  </si>
  <si>
    <t>4B65</t>
  </si>
  <si>
    <t>4B66</t>
  </si>
  <si>
    <t>4B67</t>
  </si>
  <si>
    <t>4B68</t>
  </si>
  <si>
    <t>4B69</t>
  </si>
  <si>
    <t>4B70</t>
  </si>
  <si>
    <t>4B71</t>
  </si>
  <si>
    <t>4B72</t>
  </si>
  <si>
    <t>4B73</t>
  </si>
  <si>
    <t>4B74</t>
  </si>
  <si>
    <t>4B75</t>
  </si>
  <si>
    <t>4B76</t>
  </si>
  <si>
    <t>4B77</t>
  </si>
  <si>
    <t>4B78</t>
  </si>
  <si>
    <t>4B79</t>
  </si>
  <si>
    <t>4B01_2</t>
  </si>
  <si>
    <t>4B02_2</t>
  </si>
  <si>
    <t>4B03_2</t>
  </si>
  <si>
    <t>4B04_2</t>
  </si>
  <si>
    <t>4B32_2</t>
  </si>
  <si>
    <t>4B33_2</t>
  </si>
  <si>
    <t>4B38_2</t>
  </si>
  <si>
    <t>4B39_2</t>
  </si>
  <si>
    <t>4B80_2</t>
  </si>
  <si>
    <t>4B81_2</t>
  </si>
  <si>
    <t>4B82_2</t>
  </si>
  <si>
    <t>4B83_2</t>
  </si>
  <si>
    <t>4B26_2</t>
  </si>
  <si>
    <t>4B27_2</t>
  </si>
  <si>
    <t>4B28_2</t>
  </si>
  <si>
    <t>4B29_2</t>
  </si>
  <si>
    <t>4B30_2</t>
  </si>
  <si>
    <t>4B31_2</t>
  </si>
  <si>
    <t>4B72_2</t>
  </si>
  <si>
    <t>4B73_2</t>
  </si>
  <si>
    <t>4B74_2</t>
  </si>
  <si>
    <t>4B75_2</t>
  </si>
  <si>
    <t>4B76_2</t>
  </si>
  <si>
    <t>4B77_2</t>
  </si>
  <si>
    <t>4B78_2</t>
  </si>
  <si>
    <t>4B79_2</t>
  </si>
  <si>
    <t>4B28_R</t>
  </si>
  <si>
    <t>4B29_R</t>
  </si>
  <si>
    <t>4B67_R</t>
  </si>
  <si>
    <t>4B68_R</t>
  </si>
  <si>
    <t>4B74_R</t>
  </si>
  <si>
    <t>4B77_R</t>
  </si>
  <si>
    <t>3-T25</t>
  </si>
  <si>
    <t>3-T20</t>
  </si>
  <si>
    <t>2L-T12@100 C/C</t>
  </si>
  <si>
    <t>2L-T10@100 C/C</t>
  </si>
  <si>
    <t>2-T16+1-T20</t>
  </si>
  <si>
    <t>2L-T8@100 C/C</t>
  </si>
  <si>
    <t>2-T20+1-T25</t>
  </si>
  <si>
    <t>3-T20                    2-T20</t>
  </si>
  <si>
    <t>3-T20                    2-T25</t>
  </si>
  <si>
    <t>3-T16</t>
  </si>
  <si>
    <t>2-T10</t>
  </si>
  <si>
    <t>3-T12</t>
  </si>
  <si>
    <t>2-T12</t>
  </si>
  <si>
    <t>3-T16                  1-T12</t>
  </si>
  <si>
    <t>3-T16                  2-T16</t>
  </si>
  <si>
    <t>2L-T8@300 C/C</t>
  </si>
  <si>
    <t>2L-T8@150 C/C</t>
  </si>
  <si>
    <t>2L-T8@200 C/C</t>
  </si>
  <si>
    <t>2L-T8@250 C/C</t>
  </si>
  <si>
    <t>3-T25                    2-T12</t>
  </si>
  <si>
    <t>S5-T04-06-101</t>
  </si>
  <si>
    <t>S5-T04-06-102</t>
  </si>
  <si>
    <t>S5-T04-06-104</t>
  </si>
  <si>
    <t>S5-T04-06-105</t>
  </si>
  <si>
    <t>3-T16                  1-T16</t>
  </si>
  <si>
    <t>2-T16</t>
  </si>
  <si>
    <t>Cantilever</t>
  </si>
  <si>
    <t>4B35A</t>
  </si>
  <si>
    <t>4B36A</t>
  </si>
  <si>
    <t>2L-T8@50 C/C</t>
  </si>
  <si>
    <t>2-T25</t>
  </si>
  <si>
    <t>2-T20</t>
  </si>
  <si>
    <t>2-T16+1-T20                                               2-T20</t>
  </si>
  <si>
    <t>Refer Detail 1</t>
  </si>
  <si>
    <t>2L-T12@85C/C</t>
  </si>
  <si>
    <t>S5-T04-06-201</t>
  </si>
  <si>
    <t>2-T12+1-T12</t>
  </si>
  <si>
    <t xml:space="preserve">3-T25 </t>
  </si>
  <si>
    <t>3-T16                      2-T12</t>
  </si>
  <si>
    <t>2-T8</t>
  </si>
  <si>
    <t>Refer Section 7/S3-T04-06-202</t>
  </si>
  <si>
    <t>3-T12                      1-T12</t>
  </si>
  <si>
    <t>3-T20            2-T20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</si>
</sst>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Arial"/>
      <family val="2"/>
    </font>
    <font>
      <sz val="10"/>
      <name val="Arial"/>
      <family val="2"/>
    </font>
    <font>
      <b/>
      <sz val="1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8"/>
      <color indexed="81"/>
      <name val="Tahoma"/>
      <family val="2"/>
    </font>
    <font>
      <sz val="10"/>
      <color rgb="FF000000"/>
      <name val="Arial"/>
      <family val="2"/>
    </font>
    <font>
      <sz val="10"/>
      <color rgb="FF010000"/>
      <name val="Arial"/>
      <family val="2"/>
    </font>
    <font>
      <u/>
      <sz val="10"/>
      <name val="Arial"/>
      <family val="2"/>
    </font>
    <font>
      <b/>
      <sz val="10"/>
      <color rgb="FF0000FF"/>
      <name val="Arial"/>
      <family val="2"/>
    </font>
    <font>
      <sz val="10"/>
      <name val="Calibri"/>
      <family val="2"/>
    </font>
    <font>
      <b/>
      <u/>
      <sz val="10"/>
      <name val="Arial"/>
      <family val="2"/>
    </font>
    <font>
      <sz val="10"/>
      <color theme="0"/>
      <name val="Arial"/>
      <family val="2"/>
    </font>
    <font>
      <b/>
      <sz val="10"/>
      <color rgb="FF010000"/>
      <name val="Arial"/>
      <family val="2"/>
    </font>
    <font>
      <sz val="14"/>
      <color rgb="FFCC0099"/>
      <name val="Arial Black"/>
      <family val="2"/>
    </font>
    <font>
      <sz val="10"/>
      <color rgb="FFFF0000"/>
      <name val="Arial"/>
      <family val="2"/>
    </font>
    <font>
      <u/>
      <sz val="10"/>
      <color theme="10"/>
      <name val="Arial"/>
      <family val="2"/>
    </font>
    <font>
      <u/>
      <sz val="10"/>
      <color rgb="FF010000"/>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4" tint="0.79998168889431442"/>
        <bgColor indexed="64"/>
      </patternFill>
    </fill>
    <fill>
      <patternFill patternType="solid">
        <fgColor rgb="FFCC0099"/>
        <bgColor indexed="64"/>
      </patternFill>
    </fill>
    <fill>
      <patternFill patternType="solid">
        <fgColor rgb="FF33CCCC"/>
        <bgColor indexed="64"/>
      </patternFill>
    </fill>
    <fill>
      <patternFill patternType="solid">
        <fgColor theme="5" tint="0.39997558519241921"/>
        <bgColor indexed="64"/>
      </patternFill>
    </fill>
  </fills>
  <borders count="3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thin">
        <color indexed="64"/>
      </top>
      <bottom style="thick">
        <color theme="4"/>
      </bottom>
      <diagonal/>
    </border>
    <border>
      <left/>
      <right/>
      <top style="thin">
        <color indexed="64"/>
      </top>
      <bottom style="thick">
        <color theme="4"/>
      </bottom>
      <diagonal/>
    </border>
    <border>
      <left/>
      <right style="thin">
        <color indexed="64"/>
      </right>
      <top style="thin">
        <color indexed="64"/>
      </top>
      <bottom style="thick">
        <color theme="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s>
  <cellStyleXfs count="384">
    <xf numFmtId="0" fontId="0" fillId="0" borderId="0"/>
    <xf numFmtId="0" fontId="12" fillId="0" borderId="0" applyNumberFormat="0" applyFill="0" applyBorder="0" applyAlignment="0" applyProtection="0"/>
    <xf numFmtId="0" fontId="13" fillId="0" borderId="1" applyNumberFormat="0" applyFill="0" applyAlignment="0" applyProtection="0"/>
    <xf numFmtId="0" fontId="14" fillId="0" borderId="2" applyNumberFormat="0" applyFill="0" applyAlignment="0" applyProtection="0"/>
    <xf numFmtId="0" fontId="15" fillId="0" borderId="3" applyNumberFormat="0" applyFill="0" applyAlignment="0" applyProtection="0"/>
    <xf numFmtId="0" fontId="15" fillId="0" borderId="0" applyNumberFormat="0" applyFill="0" applyBorder="0" applyAlignment="0" applyProtection="0"/>
    <xf numFmtId="0" fontId="16" fillId="2" borderId="0" applyNumberFormat="0" applyBorder="0" applyAlignment="0" applyProtection="0"/>
    <xf numFmtId="0" fontId="17" fillId="3" borderId="0" applyNumberFormat="0" applyBorder="0" applyAlignment="0" applyProtection="0"/>
    <xf numFmtId="0" fontId="18" fillId="4" borderId="0" applyNumberFormat="0" applyBorder="0" applyAlignment="0" applyProtection="0"/>
    <xf numFmtId="0" fontId="19" fillId="5" borderId="4" applyNumberFormat="0" applyAlignment="0" applyProtection="0"/>
    <xf numFmtId="0" fontId="20" fillId="6" borderId="5" applyNumberFormat="0" applyAlignment="0" applyProtection="0"/>
    <xf numFmtId="0" fontId="21" fillId="6" borderId="4" applyNumberFormat="0" applyAlignment="0" applyProtection="0"/>
    <xf numFmtId="0" fontId="22" fillId="0" borderId="6" applyNumberFormat="0" applyFill="0" applyAlignment="0" applyProtection="0"/>
    <xf numFmtId="0" fontId="23" fillId="7" borderId="7" applyNumberFormat="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27" fillId="32" borderId="0" applyNumberFormat="0" applyBorder="0" applyAlignment="0" applyProtection="0"/>
    <xf numFmtId="0" fontId="6" fillId="8" borderId="8" applyNumberFormat="0" applyFont="0" applyAlignment="0" applyProtection="0"/>
    <xf numFmtId="0" fontId="6" fillId="0" borderId="0"/>
    <xf numFmtId="0" fontId="6" fillId="8" borderId="8" applyNumberFormat="0" applyFont="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8" borderId="8" applyNumberFormat="0" applyFont="0" applyAlignment="0" applyProtection="0"/>
    <xf numFmtId="0" fontId="5" fillId="0" borderId="0"/>
    <xf numFmtId="0" fontId="5" fillId="8" borderId="8" applyNumberFormat="0" applyFont="0" applyAlignment="0" applyProtection="0"/>
    <xf numFmtId="0" fontId="4" fillId="0" borderId="0"/>
    <xf numFmtId="0" fontId="4" fillId="8" borderId="8" applyNumberFormat="0" applyFont="0" applyAlignment="0" applyProtection="0"/>
    <xf numFmtId="0" fontId="4" fillId="10" borderId="0" applyNumberFormat="0" applyBorder="0" applyAlignment="0" applyProtection="0"/>
    <xf numFmtId="0" fontId="4" fillId="11"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3" fillId="0" borderId="0"/>
    <xf numFmtId="0" fontId="3" fillId="8" borderId="8" applyNumberFormat="0" applyFont="0" applyAlignment="0" applyProtection="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8" fillId="0" borderId="11">
      <alignment horizontal="center" vertical="center" wrapText="1"/>
    </xf>
    <xf numFmtId="0" fontId="2" fillId="0" borderId="0"/>
    <xf numFmtId="0" fontId="8" fillId="0" borderId="0"/>
    <xf numFmtId="0" fontId="2" fillId="10"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8" borderId="8" applyNumberFormat="0" applyFont="0" applyAlignment="0" applyProtection="0"/>
    <xf numFmtId="0" fontId="2" fillId="0" borderId="0"/>
    <xf numFmtId="0" fontId="2" fillId="8" borderId="8" applyNumberFormat="0" applyFont="0" applyAlignment="0" applyProtection="0"/>
    <xf numFmtId="0" fontId="2" fillId="10"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8" borderId="8" applyNumberFormat="0" applyFont="0" applyAlignment="0" applyProtection="0"/>
    <xf numFmtId="0" fontId="2" fillId="0" borderId="0"/>
    <xf numFmtId="0" fontId="2" fillId="8" borderId="8" applyNumberFormat="0" applyFont="0" applyAlignment="0" applyProtection="0"/>
    <xf numFmtId="0" fontId="2" fillId="0" borderId="0"/>
    <xf numFmtId="0" fontId="2" fillId="8" borderId="8" applyNumberFormat="0" applyFont="0" applyAlignment="0" applyProtection="0"/>
    <xf numFmtId="0" fontId="2" fillId="10"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0" borderId="0"/>
    <xf numFmtId="0" fontId="2" fillId="8" borderId="8" applyNumberFormat="0" applyFont="0" applyAlignment="0" applyProtection="0"/>
    <xf numFmtId="0" fontId="2" fillId="10"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 fillId="0" borderId="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1" fillId="0" borderId="0" applyNumberFormat="0" applyFill="0" applyBorder="0" applyAlignment="0" applyProtection="0"/>
  </cellStyleXfs>
  <cellXfs count="138">
    <xf numFmtId="0" fontId="0" fillId="0" borderId="0" xfId="0"/>
    <xf numFmtId="0" fontId="11" fillId="0" borderId="0" xfId="0" applyNumberFormat="1" applyFont="1" applyFill="1" applyBorder="1" applyAlignment="1" applyProtection="1">
      <alignment horizontal="center" vertical="center" wrapText="1"/>
    </xf>
    <xf numFmtId="0" fontId="9" fillId="0" borderId="0" xfId="0" applyFont="1" applyFill="1" applyBorder="1" applyAlignment="1">
      <alignment horizontal="center" vertical="center" wrapText="1"/>
    </xf>
    <xf numFmtId="0" fontId="10" fillId="0" borderId="11" xfId="0" applyNumberFormat="1" applyFont="1" applyFill="1" applyBorder="1" applyAlignment="1" applyProtection="1">
      <alignment horizontal="center" vertical="center" wrapText="1"/>
    </xf>
    <xf numFmtId="0" fontId="11" fillId="0" borderId="11" xfId="0" applyNumberFormat="1" applyFont="1" applyFill="1" applyBorder="1" applyAlignment="1" applyProtection="1">
      <alignment horizontal="center" vertical="center" wrapText="1"/>
    </xf>
    <xf numFmtId="0" fontId="0" fillId="0" borderId="11" xfId="0" applyNumberFormat="1" applyFill="1" applyBorder="1" applyAlignment="1" applyProtection="1">
      <alignment horizontal="center" vertical="center" wrapText="1"/>
    </xf>
    <xf numFmtId="0" fontId="8" fillId="0" borderId="11" xfId="0" applyNumberFormat="1" applyFont="1" applyFill="1" applyBorder="1" applyAlignment="1" applyProtection="1">
      <alignment horizontal="center" vertical="center" wrapText="1"/>
    </xf>
    <xf numFmtId="0" fontId="11" fillId="33" borderId="11" xfId="0" applyNumberFormat="1" applyFont="1" applyFill="1" applyBorder="1" applyAlignment="1" applyProtection="1">
      <alignment horizontal="center" vertical="center" wrapText="1"/>
    </xf>
    <xf numFmtId="0" fontId="9" fillId="33" borderId="10" xfId="0" applyFont="1" applyFill="1" applyBorder="1" applyAlignment="1">
      <alignment horizontal="center" vertical="center" wrapText="1"/>
    </xf>
    <xf numFmtId="1" fontId="8" fillId="33" borderId="10" xfId="0" applyNumberFormat="1" applyFont="1" applyFill="1" applyBorder="1" applyAlignment="1">
      <alignment horizontal="center" vertical="center" wrapText="1"/>
    </xf>
    <xf numFmtId="12" fontId="8" fillId="33" borderId="10" xfId="0" applyNumberFormat="1" applyFont="1" applyFill="1" applyBorder="1" applyAlignment="1">
      <alignment horizontal="center" vertical="center" wrapText="1"/>
    </xf>
    <xf numFmtId="0" fontId="8" fillId="33" borderId="10" xfId="0" applyFont="1" applyFill="1" applyBorder="1" applyAlignment="1">
      <alignment horizontal="center" vertical="center" wrapText="1"/>
    </xf>
    <xf numFmtId="0" fontId="8" fillId="33" borderId="11" xfId="0" applyFont="1" applyFill="1" applyBorder="1" applyAlignment="1">
      <alignment horizontal="center" vertical="center" wrapText="1"/>
    </xf>
    <xf numFmtId="0" fontId="9" fillId="33" borderId="0" xfId="0" applyFont="1" applyFill="1" applyBorder="1" applyAlignment="1">
      <alignment horizontal="center" vertical="center" wrapText="1"/>
    </xf>
    <xf numFmtId="0" fontId="9" fillId="0" borderId="10"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9" fillId="0" borderId="11" xfId="0" applyNumberFormat="1" applyFont="1" applyFill="1" applyBorder="1" applyAlignment="1">
      <alignment horizontal="center" vertical="center" wrapText="1"/>
    </xf>
    <xf numFmtId="0" fontId="9" fillId="0" borderId="0" xfId="0" applyNumberFormat="1" applyFont="1" applyFill="1" applyBorder="1" applyAlignment="1">
      <alignment horizontal="center" vertical="center" wrapText="1"/>
    </xf>
    <xf numFmtId="0" fontId="19" fillId="5" borderId="4" xfId="9" applyAlignment="1">
      <alignment horizontal="center"/>
    </xf>
    <xf numFmtId="0" fontId="10" fillId="0" borderId="0" xfId="0" applyFont="1"/>
    <xf numFmtId="0" fontId="8" fillId="0" borderId="0" xfId="0" applyFont="1"/>
    <xf numFmtId="0" fontId="32" fillId="0" borderId="11" xfId="0" applyNumberFormat="1" applyFont="1" applyFill="1" applyBorder="1" applyAlignment="1" applyProtection="1">
      <alignment horizontal="center" vertical="center" wrapText="1"/>
    </xf>
    <xf numFmtId="0" fontId="32" fillId="0" borderId="11" xfId="0" applyNumberFormat="1" applyFont="1" applyFill="1" applyBorder="1" applyAlignment="1">
      <alignment horizontal="center" vertical="center" wrapText="1"/>
    </xf>
    <xf numFmtId="0" fontId="0" fillId="0" borderId="0" xfId="0" applyAlignment="1">
      <alignment horizontal="center"/>
    </xf>
    <xf numFmtId="0" fontId="0" fillId="0" borderId="11" xfId="0" applyBorder="1" applyAlignment="1">
      <alignment horizontal="center"/>
    </xf>
    <xf numFmtId="0" fontId="0" fillId="0" borderId="11" xfId="0" applyBorder="1"/>
    <xf numFmtId="0" fontId="19" fillId="5" borderId="4" xfId="9"/>
    <xf numFmtId="2" fontId="0" fillId="0" borderId="0" xfId="0" applyNumberFormat="1"/>
    <xf numFmtId="0" fontId="19" fillId="5" borderId="4" xfId="9" applyNumberFormat="1" applyAlignment="1">
      <alignment horizontal="center"/>
    </xf>
    <xf numFmtId="0" fontId="31" fillId="0" borderId="0" xfId="0" applyFont="1"/>
    <xf numFmtId="0" fontId="32" fillId="0" borderId="11" xfId="87" applyFont="1" applyFill="1">
      <alignment horizontal="center" vertical="center" wrapText="1"/>
    </xf>
    <xf numFmtId="0" fontId="0" fillId="0" borderId="13" xfId="0" applyBorder="1"/>
    <xf numFmtId="0" fontId="0" fillId="0" borderId="14" xfId="0" applyBorder="1"/>
    <xf numFmtId="0" fontId="0" fillId="0" borderId="15" xfId="0" applyBorder="1"/>
    <xf numFmtId="0" fontId="0" fillId="0" borderId="16" xfId="0" applyBorder="1"/>
    <xf numFmtId="0" fontId="0" fillId="0" borderId="0" xfId="0" applyBorder="1"/>
    <xf numFmtId="0" fontId="0" fillId="0" borderId="18" xfId="0" applyBorder="1"/>
    <xf numFmtId="0" fontId="0" fillId="0" borderId="19" xfId="0" applyBorder="1"/>
    <xf numFmtId="0" fontId="0" fillId="0" borderId="20" xfId="0" applyBorder="1"/>
    <xf numFmtId="0" fontId="0" fillId="0" borderId="17" xfId="0" applyBorder="1"/>
    <xf numFmtId="0" fontId="0" fillId="0" borderId="0" xfId="0" applyBorder="1" applyAlignment="1">
      <alignment vertical="top" wrapText="1"/>
    </xf>
    <xf numFmtId="0" fontId="0" fillId="0" borderId="17" xfId="0" applyBorder="1" applyAlignment="1">
      <alignment vertical="top" wrapText="1"/>
    </xf>
    <xf numFmtId="0" fontId="8" fillId="0" borderId="0" xfId="0" applyFont="1" applyBorder="1"/>
    <xf numFmtId="0" fontId="34" fillId="0" borderId="0" xfId="0" applyFont="1" applyBorder="1"/>
    <xf numFmtId="0" fontId="8" fillId="0" borderId="0" xfId="0" applyFont="1" applyFill="1" applyBorder="1" applyAlignment="1">
      <alignment horizontal="center"/>
    </xf>
    <xf numFmtId="0" fontId="8" fillId="0" borderId="21" xfId="0" applyFont="1" applyBorder="1" applyAlignment="1">
      <alignment horizontal="center"/>
    </xf>
    <xf numFmtId="0" fontId="0" fillId="0" borderId="21" xfId="0" applyBorder="1" applyAlignment="1">
      <alignment horizontal="center"/>
    </xf>
    <xf numFmtId="0" fontId="8" fillId="0" borderId="16" xfId="0" applyFont="1" applyBorder="1"/>
    <xf numFmtId="0" fontId="8" fillId="0" borderId="17" xfId="0" applyFont="1" applyBorder="1"/>
    <xf numFmtId="0" fontId="34" fillId="0" borderId="17" xfId="0" applyFont="1" applyBorder="1"/>
    <xf numFmtId="0" fontId="8" fillId="0" borderId="22" xfId="0" applyFont="1" applyBorder="1" applyAlignment="1">
      <alignment horizontal="center"/>
    </xf>
    <xf numFmtId="0" fontId="8" fillId="0" borderId="23" xfId="0" applyFont="1" applyBorder="1" applyAlignment="1">
      <alignment horizontal="center"/>
    </xf>
    <xf numFmtId="0" fontId="8" fillId="0" borderId="24" xfId="0" applyFont="1" applyBorder="1" applyAlignment="1">
      <alignment horizontal="center"/>
    </xf>
    <xf numFmtId="0" fontId="0" fillId="0" borderId="28" xfId="0" applyBorder="1"/>
    <xf numFmtId="0" fontId="8" fillId="0" borderId="28" xfId="0" applyFont="1" applyBorder="1"/>
    <xf numFmtId="0" fontId="8" fillId="0" borderId="29" xfId="0" applyFont="1" applyBorder="1"/>
    <xf numFmtId="0" fontId="8" fillId="0" borderId="0" xfId="0" applyFont="1" applyFill="1" applyBorder="1"/>
    <xf numFmtId="0" fontId="13" fillId="0" borderId="1" xfId="2" applyAlignment="1"/>
    <xf numFmtId="0" fontId="36" fillId="0" borderId="13" xfId="0" applyFont="1" applyBorder="1"/>
    <xf numFmtId="0" fontId="10" fillId="0" borderId="12" xfId="0" applyFont="1" applyBorder="1"/>
    <xf numFmtId="0" fontId="36" fillId="0" borderId="34" xfId="0" applyFont="1" applyBorder="1"/>
    <xf numFmtId="0" fontId="8" fillId="0" borderId="11" xfId="0" applyFont="1" applyBorder="1"/>
    <xf numFmtId="0" fontId="8" fillId="0" borderId="35" xfId="0" applyFont="1" applyBorder="1"/>
    <xf numFmtId="0" fontId="8" fillId="0" borderId="36" xfId="0" applyFont="1" applyBorder="1"/>
    <xf numFmtId="0" fontId="8" fillId="0" borderId="37" xfId="0" applyFont="1" applyBorder="1"/>
    <xf numFmtId="0" fontId="8" fillId="0" borderId="38" xfId="0" applyFont="1" applyBorder="1"/>
    <xf numFmtId="0" fontId="13" fillId="0" borderId="1" xfId="2"/>
    <xf numFmtId="0" fontId="36" fillId="0" borderId="0" xfId="0" applyFont="1"/>
    <xf numFmtId="0" fontId="8" fillId="0" borderId="0" xfId="0" applyFont="1" applyAlignment="1">
      <alignment horizontal="left"/>
    </xf>
    <xf numFmtId="0" fontId="34" fillId="0" borderId="0" xfId="0" applyFont="1" applyBorder="1" applyAlignment="1">
      <alignment horizontal="left"/>
    </xf>
    <xf numFmtId="0" fontId="37" fillId="0" borderId="17" xfId="0" applyFont="1" applyBorder="1" applyAlignment="1">
      <alignment horizontal="center"/>
    </xf>
    <xf numFmtId="0" fontId="8" fillId="0" borderId="16" xfId="0" applyFont="1" applyFill="1" applyBorder="1"/>
    <xf numFmtId="0" fontId="34" fillId="0" borderId="0" xfId="0" applyFont="1" applyBorder="1" applyAlignment="1"/>
    <xf numFmtId="0" fontId="34" fillId="0" borderId="17" xfId="0" applyFont="1" applyBorder="1" applyAlignment="1"/>
    <xf numFmtId="0" fontId="37" fillId="0" borderId="19" xfId="0" applyFont="1" applyBorder="1"/>
    <xf numFmtId="0" fontId="8" fillId="0" borderId="10" xfId="0" applyFont="1" applyBorder="1"/>
    <xf numFmtId="0" fontId="32" fillId="0" borderId="10" xfId="0" applyFont="1" applyBorder="1" applyAlignment="1">
      <alignment horizontal="center" vertical="center"/>
    </xf>
    <xf numFmtId="0" fontId="32" fillId="0" borderId="11" xfId="88" applyFont="1" applyBorder="1" applyAlignment="1">
      <alignment horizontal="center"/>
    </xf>
    <xf numFmtId="0" fontId="38" fillId="0" borderId="11" xfId="0" applyNumberFormat="1" applyFont="1" applyFill="1" applyBorder="1" applyAlignment="1">
      <alignment horizontal="center" vertical="center" wrapText="1"/>
    </xf>
    <xf numFmtId="0" fontId="32" fillId="35" borderId="11" xfId="0" applyNumberFormat="1" applyFont="1" applyFill="1" applyBorder="1" applyAlignment="1">
      <alignment horizontal="center" vertical="center" wrapText="1"/>
    </xf>
    <xf numFmtId="0" fontId="32" fillId="36" borderId="11" xfId="0" applyNumberFormat="1" applyFont="1" applyFill="1" applyBorder="1" applyAlignment="1">
      <alignment horizontal="center" vertical="center" wrapText="1"/>
    </xf>
    <xf numFmtId="0" fontId="32" fillId="37" borderId="11" xfId="0" applyNumberFormat="1" applyFont="1" applyFill="1" applyBorder="1" applyAlignment="1">
      <alignment horizontal="center" vertical="center" wrapText="1"/>
    </xf>
    <xf numFmtId="0" fontId="39" fillId="0" borderId="10" xfId="0" applyFont="1" applyBorder="1" applyAlignment="1">
      <alignment horizontal="center" vertical="center"/>
    </xf>
    <xf numFmtId="0" fontId="32" fillId="0" borderId="11" xfId="88" applyFont="1" applyBorder="1" applyAlignment="1">
      <alignment horizontal="center" vertical="center"/>
    </xf>
    <xf numFmtId="0" fontId="32" fillId="0" borderId="11" xfId="88" applyFont="1" applyFill="1" applyBorder="1" applyAlignment="1">
      <alignment horizontal="center" vertical="center" wrapText="1"/>
    </xf>
    <xf numFmtId="0" fontId="32" fillId="0" borderId="11" xfId="88" applyFont="1" applyFill="1" applyBorder="1" applyAlignment="1">
      <alignment horizontal="center" vertical="center"/>
    </xf>
    <xf numFmtId="0" fontId="32" fillId="0" borderId="11" xfId="87" applyFont="1" applyFill="1">
      <alignment horizontal="center" vertical="center" wrapText="1"/>
    </xf>
    <xf numFmtId="0" fontId="8" fillId="0" borderId="11" xfId="89" applyNumberFormat="1" applyFont="1" applyFill="1" applyBorder="1" applyAlignment="1">
      <alignment horizontal="center" vertical="center" wrapText="1"/>
    </xf>
    <xf numFmtId="0" fontId="32" fillId="0" borderId="11" xfId="87" applyFont="1" applyBorder="1">
      <alignment horizontal="center" vertical="center" wrapText="1"/>
    </xf>
    <xf numFmtId="0" fontId="32" fillId="0" borderId="11" xfId="324" applyFont="1" applyBorder="1" applyAlignment="1">
      <alignment horizontal="center" vertical="center" wrapText="1"/>
    </xf>
    <xf numFmtId="0" fontId="32" fillId="0" borderId="11" xfId="88" applyFont="1" applyBorder="1" applyAlignment="1">
      <alignment horizontal="center" vertical="center" wrapText="1"/>
    </xf>
    <xf numFmtId="0" fontId="32" fillId="0" borderId="34" xfId="88" applyFont="1" applyFill="1" applyBorder="1" applyAlignment="1">
      <alignment horizontal="center" vertical="center"/>
    </xf>
    <xf numFmtId="0" fontId="32" fillId="0" borderId="0" xfId="0" applyFont="1" applyAlignment="1">
      <alignment horizontal="center" vertical="center" wrapText="1"/>
    </xf>
    <xf numFmtId="0" fontId="32" fillId="0" borderId="11" xfId="0" applyFont="1" applyBorder="1" applyAlignment="1">
      <alignment horizontal="center" vertical="center" wrapText="1"/>
    </xf>
    <xf numFmtId="0" fontId="32" fillId="35" borderId="11" xfId="88" applyFont="1" applyFill="1" applyBorder="1" applyAlignment="1">
      <alignment horizontal="center" vertical="center"/>
    </xf>
    <xf numFmtId="0" fontId="32" fillId="34" borderId="34" xfId="88" applyFont="1" applyFill="1" applyBorder="1" applyAlignment="1">
      <alignment horizontal="center" vertical="center"/>
    </xf>
    <xf numFmtId="0" fontId="8" fillId="0" borderId="11" xfId="87" applyAlignment="1">
      <alignment horizontal="center" vertical="center" wrapText="1"/>
    </xf>
    <xf numFmtId="0" fontId="32" fillId="0" borderId="11" xfId="0" applyFont="1" applyFill="1" applyBorder="1" applyAlignment="1">
      <alignment horizontal="center" vertical="center"/>
    </xf>
    <xf numFmtId="0" fontId="40" fillId="0" borderId="0" xfId="0" applyFont="1" applyFill="1" applyBorder="1" applyAlignment="1">
      <alignment horizontal="center" vertical="center" wrapText="1"/>
    </xf>
    <xf numFmtId="0" fontId="40" fillId="0" borderId="11" xfId="324" applyFont="1" applyBorder="1" applyAlignment="1">
      <alignment horizontal="center" vertical="center" wrapText="1"/>
    </xf>
    <xf numFmtId="0" fontId="42" fillId="0" borderId="11" xfId="383" applyNumberFormat="1" applyFont="1" applyFill="1" applyBorder="1" applyAlignment="1">
      <alignment horizontal="center" vertical="center" wrapText="1"/>
    </xf>
    <xf numFmtId="0" fontId="32" fillId="35" borderId="11" xfId="88" applyFont="1" applyFill="1" applyBorder="1" applyAlignment="1">
      <alignment horizontal="center" vertical="center" wrapText="1"/>
    </xf>
    <xf numFmtId="0" fontId="32" fillId="35" borderId="11" xfId="0" applyFont="1" applyFill="1" applyBorder="1" applyAlignment="1">
      <alignment horizontal="center" vertical="center"/>
    </xf>
    <xf numFmtId="0" fontId="32" fillId="36" borderId="11" xfId="0" applyFont="1" applyFill="1" applyBorder="1" applyAlignment="1">
      <alignment horizontal="center" vertical="center"/>
    </xf>
    <xf numFmtId="0" fontId="32" fillId="35" borderId="11" xfId="324" applyFont="1" applyFill="1" applyBorder="1" applyAlignment="1">
      <alignment horizontal="center" vertical="center" wrapText="1"/>
    </xf>
    <xf numFmtId="0" fontId="32" fillId="36" borderId="11" xfId="324" applyFont="1" applyFill="1" applyBorder="1" applyAlignment="1">
      <alignment horizontal="center" vertical="center" wrapText="1"/>
    </xf>
    <xf numFmtId="0" fontId="13" fillId="0" borderId="25" xfId="2" applyBorder="1" applyAlignment="1">
      <alignment horizontal="center"/>
    </xf>
    <xf numFmtId="0" fontId="13" fillId="0" borderId="26" xfId="2" applyBorder="1" applyAlignment="1">
      <alignment horizontal="center"/>
    </xf>
    <xf numFmtId="0" fontId="13" fillId="0" borderId="27" xfId="2" applyBorder="1" applyAlignment="1">
      <alignment horizontal="center"/>
    </xf>
    <xf numFmtId="0" fontId="8" fillId="0" borderId="13" xfId="0" applyFont="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3" fillId="0" borderId="1" xfId="2" applyAlignment="1">
      <alignment horizontal="left"/>
    </xf>
    <xf numFmtId="0" fontId="0" fillId="0" borderId="11" xfId="0" applyBorder="1" applyAlignment="1">
      <alignment horizontal="center"/>
    </xf>
    <xf numFmtId="0" fontId="15" fillId="0" borderId="3" xfId="4" applyAlignment="1">
      <alignment horizontal="left"/>
    </xf>
    <xf numFmtId="0" fontId="8" fillId="0" borderId="0" xfId="0" applyFont="1" applyBorder="1" applyAlignment="1">
      <alignment horizontal="left" vertical="top" wrapText="1"/>
    </xf>
    <xf numFmtId="0" fontId="0" fillId="0" borderId="0" xfId="0" applyBorder="1" applyAlignment="1">
      <alignment horizontal="left" vertical="top" wrapText="1"/>
    </xf>
    <xf numFmtId="0" fontId="0" fillId="0" borderId="17" xfId="0" applyBorder="1" applyAlignment="1">
      <alignment horizontal="left" vertical="top" wrapText="1"/>
    </xf>
    <xf numFmtId="0" fontId="8" fillId="0" borderId="16" xfId="0" applyFont="1" applyBorder="1" applyAlignment="1">
      <alignment horizontal="left" vertical="top" wrapText="1"/>
    </xf>
    <xf numFmtId="0" fontId="8" fillId="0" borderId="17" xfId="0" applyFont="1" applyBorder="1" applyAlignment="1">
      <alignment horizontal="left" vertical="top" wrapText="1"/>
    </xf>
    <xf numFmtId="0" fontId="8" fillId="0" borderId="0" xfId="0" applyFont="1" applyAlignment="1">
      <alignment horizontal="left" wrapText="1"/>
    </xf>
    <xf numFmtId="0" fontId="19" fillId="5" borderId="4" xfId="9" applyAlignment="1">
      <alignment horizontal="left"/>
    </xf>
    <xf numFmtId="0" fontId="33" fillId="0" borderId="0" xfId="0" applyFont="1" applyBorder="1" applyAlignment="1">
      <alignment horizontal="left" vertical="top" wrapText="1"/>
    </xf>
    <xf numFmtId="0" fontId="33" fillId="0" borderId="17" xfId="0" applyFont="1" applyBorder="1" applyAlignment="1">
      <alignment horizontal="left" vertical="top" wrapText="1"/>
    </xf>
    <xf numFmtId="0" fontId="8" fillId="0" borderId="14" xfId="0" applyFont="1" applyBorder="1" applyAlignment="1">
      <alignment horizontal="left" vertical="top" wrapText="1"/>
    </xf>
    <xf numFmtId="0" fontId="8" fillId="0" borderId="15" xfId="0" applyFont="1" applyBorder="1" applyAlignment="1">
      <alignment horizontal="left" vertical="top" wrapText="1"/>
    </xf>
    <xf numFmtId="0" fontId="8" fillId="0" borderId="16" xfId="0" applyFont="1" applyBorder="1" applyAlignment="1">
      <alignment horizontal="left" vertical="top"/>
    </xf>
    <xf numFmtId="0" fontId="0" fillId="0" borderId="0" xfId="0" applyAlignment="1">
      <alignment horizontal="left" vertical="top"/>
    </xf>
    <xf numFmtId="0" fontId="0" fillId="0" borderId="17" xfId="0" applyBorder="1" applyAlignment="1">
      <alignment horizontal="left" vertical="top"/>
    </xf>
    <xf numFmtId="0" fontId="34" fillId="0" borderId="0" xfId="0" applyFont="1" applyBorder="1" applyAlignment="1">
      <alignment horizontal="left"/>
    </xf>
    <xf numFmtId="0" fontId="34" fillId="0" borderId="17" xfId="0" applyFont="1" applyBorder="1" applyAlignment="1">
      <alignment horizontal="left"/>
    </xf>
    <xf numFmtId="0" fontId="10" fillId="0" borderId="34" xfId="0" applyFont="1" applyBorder="1" applyAlignment="1">
      <alignment horizontal="left" vertical="top"/>
    </xf>
    <xf numFmtId="0" fontId="10" fillId="0" borderId="10" xfId="0" applyFont="1" applyBorder="1" applyAlignment="1">
      <alignment horizontal="left" vertical="top"/>
    </xf>
    <xf numFmtId="0" fontId="10" fillId="0" borderId="30" xfId="0" applyFont="1" applyBorder="1" applyAlignment="1">
      <alignment horizontal="left" vertical="top"/>
    </xf>
    <xf numFmtId="0" fontId="10" fillId="0" borderId="31" xfId="0" applyFont="1" applyBorder="1" applyAlignment="1">
      <alignment horizontal="left" vertical="top"/>
    </xf>
    <xf numFmtId="0" fontId="10" fillId="0" borderId="32" xfId="0" applyFont="1" applyBorder="1" applyAlignment="1">
      <alignment horizontal="left" vertical="top"/>
    </xf>
    <xf numFmtId="0" fontId="10" fillId="0" borderId="33" xfId="0" applyFont="1" applyBorder="1" applyAlignment="1">
      <alignment horizontal="left" vertical="top"/>
    </xf>
  </cellXfs>
  <cellStyles count="384">
    <cellStyle name="20% - Accent1" xfId="18" builtinId="30" customBuiltin="1"/>
    <cellStyle name="20% - Accent1 2" xfId="44" xr:uid="{00000000-0005-0000-0000-000001000000}"/>
    <cellStyle name="20% - Accent1 2 2" xfId="105" xr:uid="{CECEA3F7-504D-4B42-B7C1-7910E96771B0}"/>
    <cellStyle name="20% - Accent1 2 2 2" xfId="340" xr:uid="{9C03971B-99CB-4A73-986B-FE44442B9E8E}"/>
    <cellStyle name="20% - Accent1 2 2 3" xfId="223" xr:uid="{6E291F5F-DCBE-4DD5-8976-A1E589E5DC7C}"/>
    <cellStyle name="20% - Accent1 2 3" xfId="281" xr:uid="{42AB30EE-F3A8-4FD4-9007-B94770EA7B52}"/>
    <cellStyle name="20% - Accent1 2 4" xfId="164" xr:uid="{EB3EEAB0-56C3-4B18-BD21-A60CC983FAC2}"/>
    <cellStyle name="20% - Accent1 3" xfId="61" xr:uid="{00000000-0005-0000-0000-000002000000}"/>
    <cellStyle name="20% - Accent1 3 2" xfId="122" xr:uid="{D5FBDC0E-B0BD-4A0D-B42C-E8D622B3C889}"/>
    <cellStyle name="20% - Accent1 3 2 2" xfId="357" xr:uid="{7D66C354-469C-4C56-8623-31956A1ABC8E}"/>
    <cellStyle name="20% - Accent1 3 2 3" xfId="240" xr:uid="{6A79E623-72F0-49D8-A05F-A615BF77A5FE}"/>
    <cellStyle name="20% - Accent1 3 3" xfId="298" xr:uid="{4BF99D2C-D5E8-4767-A8F7-C1E7D6E115CB}"/>
    <cellStyle name="20% - Accent1 3 4" xfId="181" xr:uid="{A59DB4BE-14C5-4856-97C0-4E04E511B26B}"/>
    <cellStyle name="20% - Accent1 4" xfId="75" xr:uid="{00000000-0005-0000-0000-000003000000}"/>
    <cellStyle name="20% - Accent1 4 2" xfId="136" xr:uid="{04BFB98B-A453-4D37-AC68-A1C41FDC1707}"/>
    <cellStyle name="20% - Accent1 4 2 2" xfId="371" xr:uid="{61C8715A-923E-4AD3-9872-79858D683802}"/>
    <cellStyle name="20% - Accent1 4 2 3" xfId="254" xr:uid="{1EC5BBE2-A4CC-4D13-B754-AEA4846BDC8A}"/>
    <cellStyle name="20% - Accent1 4 3" xfId="312" xr:uid="{DC63ED6C-875E-4146-8C22-D292DB9F78C6}"/>
    <cellStyle name="20% - Accent1 4 4" xfId="195" xr:uid="{6BEDE741-525C-4970-B401-BAE26A978725}"/>
    <cellStyle name="20% - Accent1 5" xfId="90" xr:uid="{B65A4A09-AD26-4D01-824C-087930219B2E}"/>
    <cellStyle name="20% - Accent1 5 2" xfId="325" xr:uid="{5FBC367B-5A92-4026-A61D-6B1C8F3BCC30}"/>
    <cellStyle name="20% - Accent1 5 3" xfId="208" xr:uid="{C2ED2CF7-47D8-4075-AC60-625A102DDD53}"/>
    <cellStyle name="20% - Accent1 6" xfId="266" xr:uid="{F3B499F3-FD65-4150-A20C-8F35F7EFE5A6}"/>
    <cellStyle name="20% - Accent1 7" xfId="149" xr:uid="{1541B620-6C8B-4F16-AA7E-ECA8104AC6B5}"/>
    <cellStyle name="20% - Accent2" xfId="22" builtinId="34" customBuiltin="1"/>
    <cellStyle name="20% - Accent2 2" xfId="46" xr:uid="{00000000-0005-0000-0000-000005000000}"/>
    <cellStyle name="20% - Accent2 2 2" xfId="107" xr:uid="{936761B5-5AC2-4247-89E3-533325B4FE51}"/>
    <cellStyle name="20% - Accent2 2 2 2" xfId="342" xr:uid="{5179C35F-A509-41AB-83F6-6ABA5C099947}"/>
    <cellStyle name="20% - Accent2 2 2 3" xfId="225" xr:uid="{EEE6D79F-172D-43BC-B147-0647AE5240A5}"/>
    <cellStyle name="20% - Accent2 2 3" xfId="283" xr:uid="{58C66D6E-F494-4D86-AC27-8B950189220A}"/>
    <cellStyle name="20% - Accent2 2 4" xfId="166" xr:uid="{350B2746-73A3-4731-9637-2DD15F3F375F}"/>
    <cellStyle name="20% - Accent2 3" xfId="63" xr:uid="{00000000-0005-0000-0000-000006000000}"/>
    <cellStyle name="20% - Accent2 3 2" xfId="124" xr:uid="{C6991CA9-105C-424C-AD9A-D41CB260B394}"/>
    <cellStyle name="20% - Accent2 3 2 2" xfId="359" xr:uid="{EF946249-1AFC-4BB6-B247-C6A309B28B3D}"/>
    <cellStyle name="20% - Accent2 3 2 3" xfId="242" xr:uid="{072D2E45-E874-4C40-A937-D40F36F2C270}"/>
    <cellStyle name="20% - Accent2 3 3" xfId="300" xr:uid="{30687136-2201-4A84-91BE-F00CAB9890BE}"/>
    <cellStyle name="20% - Accent2 3 4" xfId="183" xr:uid="{A8662A54-DE3D-432E-8C29-442B19FE4F17}"/>
    <cellStyle name="20% - Accent2 4" xfId="77" xr:uid="{00000000-0005-0000-0000-000007000000}"/>
    <cellStyle name="20% - Accent2 4 2" xfId="138" xr:uid="{AB497C14-CB08-4543-8A28-79C408526611}"/>
    <cellStyle name="20% - Accent2 4 2 2" xfId="373" xr:uid="{FB85AB4C-E1CC-490E-82C4-1AE5C25E2CF9}"/>
    <cellStyle name="20% - Accent2 4 2 3" xfId="256" xr:uid="{10B58833-05F2-4D2C-B2F9-9F560A08D1E2}"/>
    <cellStyle name="20% - Accent2 4 3" xfId="314" xr:uid="{4A7C534A-D55D-496F-9352-44EB68DECAE8}"/>
    <cellStyle name="20% - Accent2 4 4" xfId="197" xr:uid="{D1FCD1FA-9275-4A65-B794-C9F7AF378336}"/>
    <cellStyle name="20% - Accent2 5" xfId="92" xr:uid="{AF175344-9537-4246-8EA1-A3A06C346F32}"/>
    <cellStyle name="20% - Accent2 5 2" xfId="327" xr:uid="{A3996741-0A71-4BD9-8121-CC4E7FC27C1C}"/>
    <cellStyle name="20% - Accent2 5 3" xfId="210" xr:uid="{A95C2ABC-7C02-4D0F-A0F9-C51BE7269D56}"/>
    <cellStyle name="20% - Accent2 6" xfId="268" xr:uid="{8D13F096-DE42-4E05-BE54-ACCF099FB54D}"/>
    <cellStyle name="20% - Accent2 7" xfId="151" xr:uid="{E2664C9E-A02D-4CEA-A00E-6C7E0D89D22E}"/>
    <cellStyle name="20% - Accent3" xfId="26" builtinId="38" customBuiltin="1"/>
    <cellStyle name="20% - Accent3 2" xfId="48" xr:uid="{00000000-0005-0000-0000-000009000000}"/>
    <cellStyle name="20% - Accent3 2 2" xfId="109" xr:uid="{BE3ECC83-429C-4CF9-8823-F6358427B1AA}"/>
    <cellStyle name="20% - Accent3 2 2 2" xfId="344" xr:uid="{D4595651-8AFC-40F4-B2C6-93C5ED77B7CA}"/>
    <cellStyle name="20% - Accent3 2 2 3" xfId="227" xr:uid="{B435A0C6-9266-4C80-B022-7B5BBD565B5B}"/>
    <cellStyle name="20% - Accent3 2 3" xfId="285" xr:uid="{DB0D2175-4A2B-4DE3-9FD5-0D0B6C597737}"/>
    <cellStyle name="20% - Accent3 2 4" xfId="168" xr:uid="{619E2D21-4BF9-4082-B2C1-435B65E36753}"/>
    <cellStyle name="20% - Accent3 3" xfId="65" xr:uid="{00000000-0005-0000-0000-00000A000000}"/>
    <cellStyle name="20% - Accent3 3 2" xfId="126" xr:uid="{E50FDF41-1D81-4116-A45C-40700BB2C1EE}"/>
    <cellStyle name="20% - Accent3 3 2 2" xfId="361" xr:uid="{56FC793F-21CE-466D-8505-3DF61E415950}"/>
    <cellStyle name="20% - Accent3 3 2 3" xfId="244" xr:uid="{72D8D253-E1C3-4C9F-959B-3E514962DD19}"/>
    <cellStyle name="20% - Accent3 3 3" xfId="302" xr:uid="{E672B7DF-3F6E-4B93-9038-AB066FF3AA5C}"/>
    <cellStyle name="20% - Accent3 3 4" xfId="185" xr:uid="{373BADDF-3CBB-4E2E-9141-43F44CC6D398}"/>
    <cellStyle name="20% - Accent3 4" xfId="79" xr:uid="{00000000-0005-0000-0000-00000B000000}"/>
    <cellStyle name="20% - Accent3 4 2" xfId="140" xr:uid="{F6A6A4B7-E80E-44E4-BBBB-C769E924E920}"/>
    <cellStyle name="20% - Accent3 4 2 2" xfId="375" xr:uid="{BCF7439C-7F7B-403F-B439-A9CE6F57C0C6}"/>
    <cellStyle name="20% - Accent3 4 2 3" xfId="258" xr:uid="{F9CCDF92-07D0-49DF-B3D2-28C2603CB5E7}"/>
    <cellStyle name="20% - Accent3 4 3" xfId="316" xr:uid="{29328650-51E7-4CC4-A18C-AF2DD4AF6331}"/>
    <cellStyle name="20% - Accent3 4 4" xfId="199" xr:uid="{8BFA1D3C-FF73-474C-8FFE-BE51A88D1D02}"/>
    <cellStyle name="20% - Accent3 5" xfId="94" xr:uid="{C551CC2B-38AF-46D9-932E-232D00C62F98}"/>
    <cellStyle name="20% - Accent3 5 2" xfId="329" xr:uid="{F6F29748-2E47-471E-9F36-73FC5E3579CC}"/>
    <cellStyle name="20% - Accent3 5 3" xfId="212" xr:uid="{4E9980B8-2F04-4F66-9E07-5CF8ACA70AA1}"/>
    <cellStyle name="20% - Accent3 6" xfId="270" xr:uid="{679D899F-2C57-4830-BE56-ED1E91D422D8}"/>
    <cellStyle name="20% - Accent3 7" xfId="153" xr:uid="{1517039F-7367-4352-8E59-F0A3690E07FA}"/>
    <cellStyle name="20% - Accent4" xfId="30" builtinId="42" customBuiltin="1"/>
    <cellStyle name="20% - Accent4 2" xfId="50" xr:uid="{00000000-0005-0000-0000-00000D000000}"/>
    <cellStyle name="20% - Accent4 2 2" xfId="111" xr:uid="{2056C5C5-D5B8-4310-89BD-9B54205287FD}"/>
    <cellStyle name="20% - Accent4 2 2 2" xfId="346" xr:uid="{F55EFBBE-9502-41E8-AE68-690496CD8980}"/>
    <cellStyle name="20% - Accent4 2 2 3" xfId="229" xr:uid="{EE5425EA-1EE7-4023-B85B-8E8E383054DF}"/>
    <cellStyle name="20% - Accent4 2 3" xfId="287" xr:uid="{386765B1-4A20-495B-B04C-0E0E8BB5EC58}"/>
    <cellStyle name="20% - Accent4 2 4" xfId="170" xr:uid="{69E8DBA3-56EC-4D83-AAB5-92314047D59A}"/>
    <cellStyle name="20% - Accent4 3" xfId="67" xr:uid="{00000000-0005-0000-0000-00000E000000}"/>
    <cellStyle name="20% - Accent4 3 2" xfId="128" xr:uid="{A96D73AD-20E8-4F3D-9C14-FEF9D7D2C6FE}"/>
    <cellStyle name="20% - Accent4 3 2 2" xfId="363" xr:uid="{14B033A5-95C6-4BD7-A2D9-CE47E3B683DB}"/>
    <cellStyle name="20% - Accent4 3 2 3" xfId="246" xr:uid="{5D138270-44BC-481D-AD71-75DBB62846B0}"/>
    <cellStyle name="20% - Accent4 3 3" xfId="304" xr:uid="{3A48F520-28C9-487D-965F-FD0634E548A7}"/>
    <cellStyle name="20% - Accent4 3 4" xfId="187" xr:uid="{F5E28871-4A06-401D-81A1-891096CAD8BD}"/>
    <cellStyle name="20% - Accent4 4" xfId="81" xr:uid="{00000000-0005-0000-0000-00000F000000}"/>
    <cellStyle name="20% - Accent4 4 2" xfId="142" xr:uid="{A08D98FF-0F8C-4F3D-99BF-2B2E2E0699EA}"/>
    <cellStyle name="20% - Accent4 4 2 2" xfId="377" xr:uid="{2DEB4AA2-D2CD-4ADC-AFE4-799D5F28DA43}"/>
    <cellStyle name="20% - Accent4 4 2 3" xfId="260" xr:uid="{14FA4B0A-07FC-42FE-A213-6D5EAE3290C5}"/>
    <cellStyle name="20% - Accent4 4 3" xfId="318" xr:uid="{A34BC9E5-265E-4BE0-9EDE-77BFBFE3A84A}"/>
    <cellStyle name="20% - Accent4 4 4" xfId="201" xr:uid="{17D78855-8DF7-4BEB-8927-AFF4639C3587}"/>
    <cellStyle name="20% - Accent4 5" xfId="96" xr:uid="{CB0B0B36-2E3F-4C0C-AFA6-48D2BECB062B}"/>
    <cellStyle name="20% - Accent4 5 2" xfId="331" xr:uid="{DB347439-6273-4E60-B502-F46ABF33C42E}"/>
    <cellStyle name="20% - Accent4 5 3" xfId="214" xr:uid="{8C75F608-07DC-4318-940F-BFA1A63ECB28}"/>
    <cellStyle name="20% - Accent4 6" xfId="272" xr:uid="{07529FB2-3511-42A5-B5FC-2988BFDFA57F}"/>
    <cellStyle name="20% - Accent4 7" xfId="155" xr:uid="{3C136A34-9B30-4967-A6AF-6AEF009A140D}"/>
    <cellStyle name="20% - Accent5" xfId="34" builtinId="46" customBuiltin="1"/>
    <cellStyle name="20% - Accent5 2" xfId="52" xr:uid="{00000000-0005-0000-0000-000011000000}"/>
    <cellStyle name="20% - Accent5 2 2" xfId="113" xr:uid="{061FF678-C38C-40B6-A86C-FCBBC2094379}"/>
    <cellStyle name="20% - Accent5 2 2 2" xfId="348" xr:uid="{659260BB-5F39-4842-88AD-003CBC594FC5}"/>
    <cellStyle name="20% - Accent5 2 2 3" xfId="231" xr:uid="{847BEF1D-3254-4635-A1BF-56F84C4DACB6}"/>
    <cellStyle name="20% - Accent5 2 3" xfId="289" xr:uid="{9E09EAEA-56EC-4BF2-A5D2-33DEC63854C3}"/>
    <cellStyle name="20% - Accent5 2 4" xfId="172" xr:uid="{13AA125F-38B0-4ED0-8871-4A5EF63DAA90}"/>
    <cellStyle name="20% - Accent5 3" xfId="69" xr:uid="{00000000-0005-0000-0000-000012000000}"/>
    <cellStyle name="20% - Accent5 3 2" xfId="130" xr:uid="{F278FD66-AD55-4A7C-9E72-12115B4B781B}"/>
    <cellStyle name="20% - Accent5 3 2 2" xfId="365" xr:uid="{BEA8384F-CBCE-4E93-A79D-159338511481}"/>
    <cellStyle name="20% - Accent5 3 2 3" xfId="248" xr:uid="{CA8E031F-CF4B-4252-BA1B-8441A4F7F90A}"/>
    <cellStyle name="20% - Accent5 3 3" xfId="306" xr:uid="{F3EA7344-51F0-4DA7-9606-C4AD03B489E6}"/>
    <cellStyle name="20% - Accent5 3 4" xfId="189" xr:uid="{136EE538-4E45-4662-82D8-BA174337668F}"/>
    <cellStyle name="20% - Accent5 4" xfId="83" xr:uid="{00000000-0005-0000-0000-000013000000}"/>
    <cellStyle name="20% - Accent5 4 2" xfId="144" xr:uid="{6A8EEE0E-3C2B-4C02-8382-E3F12280FDB8}"/>
    <cellStyle name="20% - Accent5 4 2 2" xfId="379" xr:uid="{82138702-1B93-44F7-946A-9CD37E47E6C1}"/>
    <cellStyle name="20% - Accent5 4 2 3" xfId="262" xr:uid="{B9AA31C1-F1C0-4D47-8BE6-58AB70C60ABD}"/>
    <cellStyle name="20% - Accent5 4 3" xfId="320" xr:uid="{F065364F-754C-4A0D-8AEC-D59F7336B88C}"/>
    <cellStyle name="20% - Accent5 4 4" xfId="203" xr:uid="{48DCEAFE-D565-4301-90C1-383575707126}"/>
    <cellStyle name="20% - Accent5 5" xfId="98" xr:uid="{333D20C6-9D19-434B-A69A-D21AAF0514D2}"/>
    <cellStyle name="20% - Accent5 5 2" xfId="333" xr:uid="{08EE9BF8-3A56-406E-B612-693263EA348A}"/>
    <cellStyle name="20% - Accent5 5 3" xfId="216" xr:uid="{E6152912-21D8-4AC9-B5EC-146D35C35732}"/>
    <cellStyle name="20% - Accent5 6" xfId="274" xr:uid="{DF279112-2A47-43AE-AF0F-18A49F6F209D}"/>
    <cellStyle name="20% - Accent5 7" xfId="157" xr:uid="{7C1757BB-5DF7-435B-8563-E4BEF2567DD5}"/>
    <cellStyle name="20% - Accent6" xfId="38" builtinId="50" customBuiltin="1"/>
    <cellStyle name="20% - Accent6 2" xfId="54" xr:uid="{00000000-0005-0000-0000-000015000000}"/>
    <cellStyle name="20% - Accent6 2 2" xfId="115" xr:uid="{7C36A8A3-814A-4D08-AA4C-78F56DEBB55F}"/>
    <cellStyle name="20% - Accent6 2 2 2" xfId="350" xr:uid="{EFB4528B-8E7B-4839-AC70-55DBE7E57C0C}"/>
    <cellStyle name="20% - Accent6 2 2 3" xfId="233" xr:uid="{73C4098A-DB8F-4A1F-988B-4D7DD415D826}"/>
    <cellStyle name="20% - Accent6 2 3" xfId="291" xr:uid="{7EE6D68E-183A-4905-A900-DDBFD268CFD8}"/>
    <cellStyle name="20% - Accent6 2 4" xfId="174" xr:uid="{B133E9F3-5847-4C2F-8319-F0BA5BB951BD}"/>
    <cellStyle name="20% - Accent6 3" xfId="71" xr:uid="{00000000-0005-0000-0000-000016000000}"/>
    <cellStyle name="20% - Accent6 3 2" xfId="132" xr:uid="{DB563C05-35E7-4BDF-AAFC-8A3A26348891}"/>
    <cellStyle name="20% - Accent6 3 2 2" xfId="367" xr:uid="{28BF7027-F57B-4822-AF28-FB5D6F736BE8}"/>
    <cellStyle name="20% - Accent6 3 2 3" xfId="250" xr:uid="{6A9FED37-008C-4A77-BBB0-2306C0F48C08}"/>
    <cellStyle name="20% - Accent6 3 3" xfId="308" xr:uid="{52963BC7-3ED2-4564-B07E-D80DE05EAA93}"/>
    <cellStyle name="20% - Accent6 3 4" xfId="191" xr:uid="{D65BF67E-F0A5-47B4-A16B-3BF507FB3CDF}"/>
    <cellStyle name="20% - Accent6 4" xfId="85" xr:uid="{00000000-0005-0000-0000-000017000000}"/>
    <cellStyle name="20% - Accent6 4 2" xfId="146" xr:uid="{3C3EFBAE-6256-4C88-8E60-A8CFA799D0F4}"/>
    <cellStyle name="20% - Accent6 4 2 2" xfId="381" xr:uid="{55246D2C-F050-4DC7-ABFA-5CF7A85FD46A}"/>
    <cellStyle name="20% - Accent6 4 2 3" xfId="264" xr:uid="{42E61FB7-BC7E-4319-864C-7EF22A709457}"/>
    <cellStyle name="20% - Accent6 4 3" xfId="322" xr:uid="{15E71E30-F70C-482E-885A-F86EC967F552}"/>
    <cellStyle name="20% - Accent6 4 4" xfId="205" xr:uid="{9C5DCA49-1EC0-4113-9478-17F7FCF467C2}"/>
    <cellStyle name="20% - Accent6 5" xfId="100" xr:uid="{E482A7A1-6AAC-4C3D-8897-AE499B08288F}"/>
    <cellStyle name="20% - Accent6 5 2" xfId="335" xr:uid="{A5B73B4C-1020-479E-846D-7AB4B15EF6D2}"/>
    <cellStyle name="20% - Accent6 5 3" xfId="218" xr:uid="{001130FE-60E2-419C-82E4-2094FAC98FEA}"/>
    <cellStyle name="20% - Accent6 6" xfId="276" xr:uid="{6E1D2BE9-8EE1-4186-A338-62A18FD0B958}"/>
    <cellStyle name="20% - Accent6 7" xfId="159" xr:uid="{420DE32B-DA15-4BAE-AB78-6EF28CFA88BC}"/>
    <cellStyle name="40% - Accent1" xfId="19" builtinId="31" customBuiltin="1"/>
    <cellStyle name="40% - Accent1 2" xfId="45" xr:uid="{00000000-0005-0000-0000-000019000000}"/>
    <cellStyle name="40% - Accent1 2 2" xfId="106" xr:uid="{CFC8F2CC-D80C-4E1F-BBCE-5BF89E293A1A}"/>
    <cellStyle name="40% - Accent1 2 2 2" xfId="341" xr:uid="{B2348883-8D1A-433A-8E1E-C3ACA52248A0}"/>
    <cellStyle name="40% - Accent1 2 2 3" xfId="224" xr:uid="{4FEDFF46-74D3-4471-8D06-4BB547D59BFB}"/>
    <cellStyle name="40% - Accent1 2 3" xfId="282" xr:uid="{F4C27992-2983-4AA8-AFBE-CA8B3C92C2EB}"/>
    <cellStyle name="40% - Accent1 2 4" xfId="165" xr:uid="{C748F9B1-E4FA-447F-9C89-0551ECC5D599}"/>
    <cellStyle name="40% - Accent1 3" xfId="62" xr:uid="{00000000-0005-0000-0000-00001A000000}"/>
    <cellStyle name="40% - Accent1 3 2" xfId="123" xr:uid="{2D322D1D-6968-4B5C-9488-CAD8A7D8A7ED}"/>
    <cellStyle name="40% - Accent1 3 2 2" xfId="358" xr:uid="{A9791189-73E6-43EE-BF3B-120683CB2513}"/>
    <cellStyle name="40% - Accent1 3 2 3" xfId="241" xr:uid="{D0CCD8AA-5CE5-4200-857B-93CADD004DDA}"/>
    <cellStyle name="40% - Accent1 3 3" xfId="299" xr:uid="{4A51BEF8-8C52-434C-BA3A-47E6EAA1D1E6}"/>
    <cellStyle name="40% - Accent1 3 4" xfId="182" xr:uid="{16BB0DEE-5C9A-4C26-B491-539F1571F0BC}"/>
    <cellStyle name="40% - Accent1 4" xfId="76" xr:uid="{00000000-0005-0000-0000-00001B000000}"/>
    <cellStyle name="40% - Accent1 4 2" xfId="137" xr:uid="{CE438830-0564-4DED-B362-B9D912A0BE98}"/>
    <cellStyle name="40% - Accent1 4 2 2" xfId="372" xr:uid="{000668E0-6046-4A7B-93C3-3C53381EA68C}"/>
    <cellStyle name="40% - Accent1 4 2 3" xfId="255" xr:uid="{9FC2C958-C520-4437-88CA-33F1E7EC5E8F}"/>
    <cellStyle name="40% - Accent1 4 3" xfId="313" xr:uid="{1C99D2C8-8C49-4DA9-B459-ACBF219ABE1C}"/>
    <cellStyle name="40% - Accent1 4 4" xfId="196" xr:uid="{2D5DB0DC-FDC2-4E66-8287-488558F02647}"/>
    <cellStyle name="40% - Accent1 5" xfId="91" xr:uid="{C71CA1DF-014D-4997-AE72-EFA148B818E5}"/>
    <cellStyle name="40% - Accent1 5 2" xfId="326" xr:uid="{7389A93A-343C-4755-B722-387B7007BEC0}"/>
    <cellStyle name="40% - Accent1 5 3" xfId="209" xr:uid="{BF673670-1282-4379-83AD-E036642FA4D2}"/>
    <cellStyle name="40% - Accent1 6" xfId="267" xr:uid="{B63767F9-B5A7-4000-A983-D351358A8C95}"/>
    <cellStyle name="40% - Accent1 7" xfId="150" xr:uid="{E5071599-59C3-4D00-AA8E-1C79121DF55B}"/>
    <cellStyle name="40% - Accent2" xfId="23" builtinId="35" customBuiltin="1"/>
    <cellStyle name="40% - Accent2 2" xfId="47" xr:uid="{00000000-0005-0000-0000-00001D000000}"/>
    <cellStyle name="40% - Accent2 2 2" xfId="108" xr:uid="{D7864F69-43CF-40C6-8832-CFE1D49BB283}"/>
    <cellStyle name="40% - Accent2 2 2 2" xfId="343" xr:uid="{344EF2E6-AC24-498F-AED4-281576EC649B}"/>
    <cellStyle name="40% - Accent2 2 2 3" xfId="226" xr:uid="{A1678E78-0AD9-48E8-9AF7-D4E26D2D1C74}"/>
    <cellStyle name="40% - Accent2 2 3" xfId="284" xr:uid="{33164B9F-FCD2-42B1-86A0-288A05A55F34}"/>
    <cellStyle name="40% - Accent2 2 4" xfId="167" xr:uid="{F0110FBC-B3A2-4AF4-BC60-B31630BE9701}"/>
    <cellStyle name="40% - Accent2 3" xfId="64" xr:uid="{00000000-0005-0000-0000-00001E000000}"/>
    <cellStyle name="40% - Accent2 3 2" xfId="125" xr:uid="{7325E51C-48D5-491D-8AAB-5E9A73FCFBDA}"/>
    <cellStyle name="40% - Accent2 3 2 2" xfId="360" xr:uid="{F4A1B635-8A89-4FF2-A5C1-D50BB7EE58DA}"/>
    <cellStyle name="40% - Accent2 3 2 3" xfId="243" xr:uid="{76BCB1B3-484A-4EF6-BF36-87AAE86A4D69}"/>
    <cellStyle name="40% - Accent2 3 3" xfId="301" xr:uid="{6E335D99-86D0-45AF-9D87-520E8FFAE1EC}"/>
    <cellStyle name="40% - Accent2 3 4" xfId="184" xr:uid="{E98CDFCC-DE43-4D76-B8F3-72AC87C7EC87}"/>
    <cellStyle name="40% - Accent2 4" xfId="78" xr:uid="{00000000-0005-0000-0000-00001F000000}"/>
    <cellStyle name="40% - Accent2 4 2" xfId="139" xr:uid="{B5DD7D47-F7E6-4E2E-869C-4BDF7E1A32BD}"/>
    <cellStyle name="40% - Accent2 4 2 2" xfId="374" xr:uid="{62C82ABD-55EF-4B5B-896F-CCEECE48A628}"/>
    <cellStyle name="40% - Accent2 4 2 3" xfId="257" xr:uid="{6BECAE66-179F-4345-B037-82F7E63AE482}"/>
    <cellStyle name="40% - Accent2 4 3" xfId="315" xr:uid="{346CFEA2-DBC0-4C22-8EC4-8477974CE779}"/>
    <cellStyle name="40% - Accent2 4 4" xfId="198" xr:uid="{283F0919-4374-449D-A5EC-8FC3D6B4C28D}"/>
    <cellStyle name="40% - Accent2 5" xfId="93" xr:uid="{3A7ADF05-9D24-4109-A520-A04497C6DB97}"/>
    <cellStyle name="40% - Accent2 5 2" xfId="328" xr:uid="{22DC3028-CEE9-417B-A8ED-0314101A1A10}"/>
    <cellStyle name="40% - Accent2 5 3" xfId="211" xr:uid="{F9029E92-7635-4D0D-8718-F7214D1DE097}"/>
    <cellStyle name="40% - Accent2 6" xfId="269" xr:uid="{50A46F05-1C86-4994-93FE-79EDE3812731}"/>
    <cellStyle name="40% - Accent2 7" xfId="152" xr:uid="{CB41B964-5042-4D99-B56C-F0D5A1BE6284}"/>
    <cellStyle name="40% - Accent3" xfId="27" builtinId="39" customBuiltin="1"/>
    <cellStyle name="40% - Accent3 2" xfId="49" xr:uid="{00000000-0005-0000-0000-000021000000}"/>
    <cellStyle name="40% - Accent3 2 2" xfId="110" xr:uid="{A44CCC5F-BE80-49E0-86AB-6BD6DA7932A6}"/>
    <cellStyle name="40% - Accent3 2 2 2" xfId="345" xr:uid="{B7D8F483-DB84-478D-AC4C-735E2C842A24}"/>
    <cellStyle name="40% - Accent3 2 2 3" xfId="228" xr:uid="{7FC25F9B-DD5B-4659-8288-15DC16550BB6}"/>
    <cellStyle name="40% - Accent3 2 3" xfId="286" xr:uid="{B65704E0-9E7C-4651-AE5D-9917383FA193}"/>
    <cellStyle name="40% - Accent3 2 4" xfId="169" xr:uid="{856F443F-832F-4821-B87C-DDC0DC990A5B}"/>
    <cellStyle name="40% - Accent3 3" xfId="66" xr:uid="{00000000-0005-0000-0000-000022000000}"/>
    <cellStyle name="40% - Accent3 3 2" xfId="127" xr:uid="{B8F96637-C446-4AC6-9B14-F73D82B3E5BA}"/>
    <cellStyle name="40% - Accent3 3 2 2" xfId="362" xr:uid="{465E75DD-DFA8-4DE0-BA28-77D6300AA908}"/>
    <cellStyle name="40% - Accent3 3 2 3" xfId="245" xr:uid="{6F6CA142-FCEA-4AB8-9470-ACA8FBB34FE3}"/>
    <cellStyle name="40% - Accent3 3 3" xfId="303" xr:uid="{1499CA66-BDA1-4BC0-BCF4-66EDC6E7772D}"/>
    <cellStyle name="40% - Accent3 3 4" xfId="186" xr:uid="{DDA7F96B-636E-41BE-8E38-9435422D6420}"/>
    <cellStyle name="40% - Accent3 4" xfId="80" xr:uid="{00000000-0005-0000-0000-000023000000}"/>
    <cellStyle name="40% - Accent3 4 2" xfId="141" xr:uid="{86CC4C0F-8E74-4DE7-817C-DA81745FB604}"/>
    <cellStyle name="40% - Accent3 4 2 2" xfId="376" xr:uid="{8DB5B663-0A4F-4C6D-9158-7CE4A241E83D}"/>
    <cellStyle name="40% - Accent3 4 2 3" xfId="259" xr:uid="{66EA8305-40F3-4883-B163-C23A522789F3}"/>
    <cellStyle name="40% - Accent3 4 3" xfId="317" xr:uid="{C2A1EAE3-D8D0-490E-AEB4-581498278061}"/>
    <cellStyle name="40% - Accent3 4 4" xfId="200" xr:uid="{B3FDC2BF-544E-4E0C-AAEC-4DDC6687C558}"/>
    <cellStyle name="40% - Accent3 5" xfId="95" xr:uid="{F2BDF91B-82D7-4718-A691-9FC58DE071D4}"/>
    <cellStyle name="40% - Accent3 5 2" xfId="330" xr:uid="{343F32B8-873F-4C58-8313-3A05B48016E2}"/>
    <cellStyle name="40% - Accent3 5 3" xfId="213" xr:uid="{4599DDE1-50A7-4F0E-8561-6405E8F6896B}"/>
    <cellStyle name="40% - Accent3 6" xfId="271" xr:uid="{6AB3C84D-FA31-4B20-816B-D0A4371FC809}"/>
    <cellStyle name="40% - Accent3 7" xfId="154" xr:uid="{836911A6-6772-4127-BB8B-157B33D961B6}"/>
    <cellStyle name="40% - Accent4" xfId="31" builtinId="43" customBuiltin="1"/>
    <cellStyle name="40% - Accent4 2" xfId="51" xr:uid="{00000000-0005-0000-0000-000025000000}"/>
    <cellStyle name="40% - Accent4 2 2" xfId="112" xr:uid="{BD7E1C90-A826-40B3-9CB0-FDA20B3D0057}"/>
    <cellStyle name="40% - Accent4 2 2 2" xfId="347" xr:uid="{3595DDF8-D8C7-4127-A310-5DAF794D0761}"/>
    <cellStyle name="40% - Accent4 2 2 3" xfId="230" xr:uid="{262299DF-BE76-4CC7-93AC-7DC2178F06C3}"/>
    <cellStyle name="40% - Accent4 2 3" xfId="288" xr:uid="{FCD6996B-959E-421A-BB9E-303AECAAB0B3}"/>
    <cellStyle name="40% - Accent4 2 4" xfId="171" xr:uid="{00E94768-A6FE-4B1E-9A59-4C6B15B8D481}"/>
    <cellStyle name="40% - Accent4 3" xfId="68" xr:uid="{00000000-0005-0000-0000-000026000000}"/>
    <cellStyle name="40% - Accent4 3 2" xfId="129" xr:uid="{61A93707-8217-430A-9C31-BBB91917EE37}"/>
    <cellStyle name="40% - Accent4 3 2 2" xfId="364" xr:uid="{A573F6F8-9CE1-41E4-9B8E-6A500D8283EB}"/>
    <cellStyle name="40% - Accent4 3 2 3" xfId="247" xr:uid="{58A9FF2E-3D6A-4D2F-B59B-0C09B1D0A930}"/>
    <cellStyle name="40% - Accent4 3 3" xfId="305" xr:uid="{54295E84-FDD6-43B5-829B-AB4F2CF411E5}"/>
    <cellStyle name="40% - Accent4 3 4" xfId="188" xr:uid="{09F00531-5145-4CAF-BC65-7441FC87F30C}"/>
    <cellStyle name="40% - Accent4 4" xfId="82" xr:uid="{00000000-0005-0000-0000-000027000000}"/>
    <cellStyle name="40% - Accent4 4 2" xfId="143" xr:uid="{70D88205-FFE1-4AAE-A130-353F86FC753E}"/>
    <cellStyle name="40% - Accent4 4 2 2" xfId="378" xr:uid="{B04A6FE2-7727-41F0-BAB6-0F181D4A9E22}"/>
    <cellStyle name="40% - Accent4 4 2 3" xfId="261" xr:uid="{B7A57977-BFEB-4869-B6C5-CD3315DC367C}"/>
    <cellStyle name="40% - Accent4 4 3" xfId="319" xr:uid="{101F3C53-97F1-4CBD-AB39-AB35C59B76A0}"/>
    <cellStyle name="40% - Accent4 4 4" xfId="202" xr:uid="{CAFE75B4-1C70-49AA-B66D-1CB6B5D4AEB2}"/>
    <cellStyle name="40% - Accent4 5" xfId="97" xr:uid="{DED2F634-9043-45ED-94F4-288F2384EC07}"/>
    <cellStyle name="40% - Accent4 5 2" xfId="332" xr:uid="{371E3A11-B834-4143-98F5-24BC516A6D2D}"/>
    <cellStyle name="40% - Accent4 5 3" xfId="215" xr:uid="{C116EED1-A889-41AA-A8E7-A85602E18023}"/>
    <cellStyle name="40% - Accent4 6" xfId="273" xr:uid="{B3749EB5-419F-4F7E-89B7-253AF992820A}"/>
    <cellStyle name="40% - Accent4 7" xfId="156" xr:uid="{08A71B15-B2C9-458A-AD5F-1DBB29213265}"/>
    <cellStyle name="40% - Accent5" xfId="35" builtinId="47" customBuiltin="1"/>
    <cellStyle name="40% - Accent5 2" xfId="53" xr:uid="{00000000-0005-0000-0000-000029000000}"/>
    <cellStyle name="40% - Accent5 2 2" xfId="114" xr:uid="{DAC63BE2-C763-4F67-AE05-6965E3FC51CD}"/>
    <cellStyle name="40% - Accent5 2 2 2" xfId="349" xr:uid="{35D1408C-B6FF-462C-9D81-2FD93F3DBED0}"/>
    <cellStyle name="40% - Accent5 2 2 3" xfId="232" xr:uid="{42C7FFCC-F772-46DC-BA1F-AE45D47E178E}"/>
    <cellStyle name="40% - Accent5 2 3" xfId="290" xr:uid="{B38AA5D5-B7A4-4F38-8F7C-009777DBDFCF}"/>
    <cellStyle name="40% - Accent5 2 4" xfId="173" xr:uid="{F405D807-8DA1-48A0-9E8B-73310D6A5565}"/>
    <cellStyle name="40% - Accent5 3" xfId="70" xr:uid="{00000000-0005-0000-0000-00002A000000}"/>
    <cellStyle name="40% - Accent5 3 2" xfId="131" xr:uid="{3CD66F05-E069-4E63-AF54-2266A535C4E0}"/>
    <cellStyle name="40% - Accent5 3 2 2" xfId="366" xr:uid="{59229786-414B-4974-B3F1-1C5F522873D6}"/>
    <cellStyle name="40% - Accent5 3 2 3" xfId="249" xr:uid="{49663175-0363-4FE7-9BCF-469FC370D6C8}"/>
    <cellStyle name="40% - Accent5 3 3" xfId="307" xr:uid="{14FC7D1B-BAF5-4041-9F14-BF641F99C29F}"/>
    <cellStyle name="40% - Accent5 3 4" xfId="190" xr:uid="{81C1DD6D-C8F0-4306-87F4-4BC6A6160125}"/>
    <cellStyle name="40% - Accent5 4" xfId="84" xr:uid="{00000000-0005-0000-0000-00002B000000}"/>
    <cellStyle name="40% - Accent5 4 2" xfId="145" xr:uid="{8DD7DB76-25AD-4A79-AE61-5539629E3751}"/>
    <cellStyle name="40% - Accent5 4 2 2" xfId="380" xr:uid="{DF6D74F5-ACD5-4358-AB94-21A81795BE7C}"/>
    <cellStyle name="40% - Accent5 4 2 3" xfId="263" xr:uid="{8BAFADEB-EB14-467E-B14D-3CDF18AD21E6}"/>
    <cellStyle name="40% - Accent5 4 3" xfId="321" xr:uid="{7D4C6925-AF77-4F37-9264-54AE2E6BD7C7}"/>
    <cellStyle name="40% - Accent5 4 4" xfId="204" xr:uid="{AC05FFC4-68A2-400E-B3CC-02F187BD7D8E}"/>
    <cellStyle name="40% - Accent5 5" xfId="99" xr:uid="{411ACDF5-2F09-4E28-A2F3-94708629F491}"/>
    <cellStyle name="40% - Accent5 5 2" xfId="334" xr:uid="{F5169F21-9CD7-4BC4-B997-105C908AE07F}"/>
    <cellStyle name="40% - Accent5 5 3" xfId="217" xr:uid="{FBFB3F47-8411-4CB7-A2C4-528795C65EDA}"/>
    <cellStyle name="40% - Accent5 6" xfId="275" xr:uid="{32498EC8-C023-4788-A18B-6DEF3BB4FB58}"/>
    <cellStyle name="40% - Accent5 7" xfId="158" xr:uid="{076DFB14-EAD4-42C5-9DFF-16DB5546E3EF}"/>
    <cellStyle name="40% - Accent6" xfId="39" builtinId="51" customBuiltin="1"/>
    <cellStyle name="40% - Accent6 2" xfId="55" xr:uid="{00000000-0005-0000-0000-00002D000000}"/>
    <cellStyle name="40% - Accent6 2 2" xfId="116" xr:uid="{1269EC58-A42F-4ACC-8D25-A95B33B3ABDE}"/>
    <cellStyle name="40% - Accent6 2 2 2" xfId="351" xr:uid="{8D784935-13C5-4813-BD82-1FFE5CCCEE0F}"/>
    <cellStyle name="40% - Accent6 2 2 3" xfId="234" xr:uid="{5B7E9235-79CB-4844-9011-66F522D95FC5}"/>
    <cellStyle name="40% - Accent6 2 3" xfId="292" xr:uid="{A8EB6EF0-AD54-4048-A2C2-1B91128095FA}"/>
    <cellStyle name="40% - Accent6 2 4" xfId="175" xr:uid="{9B8443AA-D105-4F75-B8F1-4E9B76E95F80}"/>
    <cellStyle name="40% - Accent6 3" xfId="72" xr:uid="{00000000-0005-0000-0000-00002E000000}"/>
    <cellStyle name="40% - Accent6 3 2" xfId="133" xr:uid="{3AD072C9-8482-4D5B-A400-80E2E29755F0}"/>
    <cellStyle name="40% - Accent6 3 2 2" xfId="368" xr:uid="{F9193FC3-03A2-4267-92B0-BBD5FF4A07E9}"/>
    <cellStyle name="40% - Accent6 3 2 3" xfId="251" xr:uid="{3ECC6C92-18D9-478B-8EA1-72C15773B607}"/>
    <cellStyle name="40% - Accent6 3 3" xfId="309" xr:uid="{6EF19D68-1AAC-4632-B3AB-129C58FD7BC9}"/>
    <cellStyle name="40% - Accent6 3 4" xfId="192" xr:uid="{CCB9D36E-E7F4-4910-92E3-F6AB9EB8005C}"/>
    <cellStyle name="40% - Accent6 4" xfId="86" xr:uid="{00000000-0005-0000-0000-00002F000000}"/>
    <cellStyle name="40% - Accent6 4 2" xfId="147" xr:uid="{D24A8E7D-9EC7-41EA-8095-9DBB61EE4952}"/>
    <cellStyle name="40% - Accent6 4 2 2" xfId="382" xr:uid="{0123EE7F-66F9-4BD7-B350-A3FCEC624132}"/>
    <cellStyle name="40% - Accent6 4 2 3" xfId="265" xr:uid="{E2FE5CD7-F155-42D4-8777-0288739FD148}"/>
    <cellStyle name="40% - Accent6 4 3" xfId="323" xr:uid="{2AC14060-9DAA-4F94-8E72-84B29A04F661}"/>
    <cellStyle name="40% - Accent6 4 4" xfId="206" xr:uid="{3EF19794-2418-4C8E-9969-B83425005E16}"/>
    <cellStyle name="40% - Accent6 5" xfId="101" xr:uid="{1060D6B6-AA4C-468E-8F10-8594577F837D}"/>
    <cellStyle name="40% - Accent6 5 2" xfId="336" xr:uid="{98701661-03F0-4FD2-8A18-1766D642D8D7}"/>
    <cellStyle name="40% - Accent6 5 3" xfId="219" xr:uid="{C7880686-B0B7-4174-9F9C-110BDDA45C05}"/>
    <cellStyle name="40% - Accent6 6" xfId="277" xr:uid="{67B19B69-D5E9-44A9-AE14-6CAC3B6DFA6D}"/>
    <cellStyle name="40% - Accent6 7" xfId="160" xr:uid="{19C9B249-866F-48BB-920F-55D9BEEE43ED}"/>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383" builtinId="8"/>
    <cellStyle name="Input" xfId="9" builtinId="20" customBuiltin="1"/>
    <cellStyle name="Linked Cell" xfId="12" builtinId="24" customBuiltin="1"/>
    <cellStyle name="Neutral" xfId="8" builtinId="28" customBuiltin="1"/>
    <cellStyle name="No Revision" xfId="87" xr:uid="{00000000-0005-0000-0000-000048000000}"/>
    <cellStyle name="Normal" xfId="0" builtinId="0"/>
    <cellStyle name="Normal 2" xfId="59" xr:uid="{00000000-0005-0000-0000-00004A000000}"/>
    <cellStyle name="Normal 2 2" xfId="120" xr:uid="{0143462B-F46F-411C-87D8-2DB223F5D124}"/>
    <cellStyle name="Normal 2 2 2" xfId="355" xr:uid="{D0FBAEE9-01A5-4EEC-A1B4-4236C861A409}"/>
    <cellStyle name="Normal 2 2 3" xfId="238" xr:uid="{BB77A2A6-03D8-4FD0-9FED-64AF8C6852D5}"/>
    <cellStyle name="Normal 2 3" xfId="296" xr:uid="{9532C5F9-5059-44DC-BE41-C7E4F9792D63}"/>
    <cellStyle name="Normal 2 4" xfId="179" xr:uid="{ED5901D8-A3BB-4E85-B0C2-C19F7A6F5A4D}"/>
    <cellStyle name="Normal 3" xfId="42" xr:uid="{00000000-0005-0000-0000-00004B000000}"/>
    <cellStyle name="Normal 3 2" xfId="57" xr:uid="{00000000-0005-0000-0000-00004C000000}"/>
    <cellStyle name="Normal 3 2 2" xfId="118" xr:uid="{AB4FB837-D1A0-4E8B-ABE9-258813AD3325}"/>
    <cellStyle name="Normal 3 2 2 2" xfId="353" xr:uid="{7926CE11-D5BD-417C-B693-C9DE6EB2E353}"/>
    <cellStyle name="Normal 3 2 2 3" xfId="236" xr:uid="{A5CF1170-0DD7-4D0A-8A31-449A64BB34DB}"/>
    <cellStyle name="Normal 3 2 3" xfId="294" xr:uid="{3EBD9C31-8477-4959-93B3-B56C5AF808CC}"/>
    <cellStyle name="Normal 3 2 4" xfId="177" xr:uid="{F27DCC5E-7A7F-4098-9C57-5F6383288A3B}"/>
    <cellStyle name="Normal 3 3" xfId="103" xr:uid="{1D78E52B-515D-4F87-81A9-EA154FD1839D}"/>
    <cellStyle name="Normal 3 3 2" xfId="338" xr:uid="{FDB2CE5A-35EB-4A1C-B610-3397E874A2E2}"/>
    <cellStyle name="Normal 3 3 3" xfId="221" xr:uid="{49B50F6A-692D-454D-AF46-8DC45ED33465}"/>
    <cellStyle name="Normal 3 4" xfId="279" xr:uid="{B1888EFD-267B-461E-B4E4-90446186CF91}"/>
    <cellStyle name="Normal 3 5" xfId="162" xr:uid="{F0651F99-5DCA-4533-AA72-A0DB74ACED6F}"/>
    <cellStyle name="Normal 4" xfId="73" xr:uid="{00000000-0005-0000-0000-00004D000000}"/>
    <cellStyle name="Normal 4 2" xfId="134" xr:uid="{7B988E85-C358-441F-8EE4-57F0AEA39F86}"/>
    <cellStyle name="Normal 4 2 2" xfId="369" xr:uid="{324D49B9-BC7A-4C4D-AB5A-DA9F791A8647}"/>
    <cellStyle name="Normal 4 2 3" xfId="252" xr:uid="{DBF19D8D-BFDC-4BE5-95ED-F01FA1DD87ED}"/>
    <cellStyle name="Normal 4 3" xfId="310" xr:uid="{E9F575A2-41AF-41E3-84EA-D682B48C0598}"/>
    <cellStyle name="Normal 4 4" xfId="193" xr:uid="{9EB71392-4AA9-4325-B9DE-C04DBF6A8618}"/>
    <cellStyle name="Normal 5" xfId="88" xr:uid="{F396D0C1-3042-4927-82AD-3FFA6BE6C136}"/>
    <cellStyle name="Normal 5 2" xfId="324" xr:uid="{405EFD4B-B438-4F34-A88B-2BD97A95469B}"/>
    <cellStyle name="Normal 5 3" xfId="207" xr:uid="{48C63399-D9B4-4563-B085-8A1C6A2835B2}"/>
    <cellStyle name="Normal 6" xfId="89" xr:uid="{545DB83D-1434-4FE7-9A41-7F9F6A55DFDD}"/>
    <cellStyle name="Normal 7" xfId="148" xr:uid="{AEBA100B-4D45-447B-876A-55E84F6E70B1}"/>
    <cellStyle name="Note 2" xfId="43" xr:uid="{00000000-0005-0000-0000-00004E000000}"/>
    <cellStyle name="Note 2 2" xfId="58" xr:uid="{00000000-0005-0000-0000-00004F000000}"/>
    <cellStyle name="Note 2 2 2" xfId="119" xr:uid="{557F23E9-AB26-4704-9201-37DEE5FD37EC}"/>
    <cellStyle name="Note 2 2 2 2" xfId="354" xr:uid="{858E13CE-BBCD-415E-95D5-62F8DD9D205C}"/>
    <cellStyle name="Note 2 2 2 3" xfId="237" xr:uid="{404A6F4F-9D3B-4C87-89C7-9F08116F2198}"/>
    <cellStyle name="Note 2 2 3" xfId="295" xr:uid="{B1571D3A-8D8A-4FB6-A845-0FC8A1C6D3FD}"/>
    <cellStyle name="Note 2 2 4" xfId="178" xr:uid="{FD857A2E-F4A2-48B3-AAB9-CD1018944239}"/>
    <cellStyle name="Note 2 3" xfId="104" xr:uid="{CA121CD5-6114-4F75-86AC-18B0BF160065}"/>
    <cellStyle name="Note 2 3 2" xfId="339" xr:uid="{024E50A9-BCFE-4088-B26B-7D207E7E60C8}"/>
    <cellStyle name="Note 2 3 3" xfId="222" xr:uid="{AEE4A949-3376-4FCE-8F3C-20B770B39870}"/>
    <cellStyle name="Note 2 4" xfId="280" xr:uid="{FC59ED1E-268F-4333-B570-28A0D3D0BC24}"/>
    <cellStyle name="Note 2 5" xfId="163" xr:uid="{909DF514-D4E6-4725-B401-E9929DF99CD7}"/>
    <cellStyle name="Note 3" xfId="41" xr:uid="{00000000-0005-0000-0000-000050000000}"/>
    <cellStyle name="Note 3 2" xfId="56" xr:uid="{00000000-0005-0000-0000-000051000000}"/>
    <cellStyle name="Note 3 2 2" xfId="117" xr:uid="{0E9A7441-3A13-4AD7-A39A-FBDCAEC396EB}"/>
    <cellStyle name="Note 3 2 2 2" xfId="352" xr:uid="{568CC5A7-4F97-42B0-848C-6D7220F097CF}"/>
    <cellStyle name="Note 3 2 2 3" xfId="235" xr:uid="{5F6DA250-7F38-4B34-A944-C0A9BEB2DB48}"/>
    <cellStyle name="Note 3 2 3" xfId="293" xr:uid="{9CDAC909-BE81-4F1A-8E18-D051BBFBBBCD}"/>
    <cellStyle name="Note 3 2 4" xfId="176" xr:uid="{65B3067E-5F6E-4285-8912-49EDCBE8AF45}"/>
    <cellStyle name="Note 3 3" xfId="102" xr:uid="{93A558C2-35BA-45D6-84FF-2D34CF17E031}"/>
    <cellStyle name="Note 3 3 2" xfId="337" xr:uid="{0ADFA599-5FEB-4606-B479-827F2D27AB0B}"/>
    <cellStyle name="Note 3 3 3" xfId="220" xr:uid="{A5413915-9691-4DB8-A1B1-73F4A0035048}"/>
    <cellStyle name="Note 3 4" xfId="278" xr:uid="{1703A5BE-E3AE-4384-97F9-06546576A62D}"/>
    <cellStyle name="Note 3 5" xfId="161" xr:uid="{BB1E3FB0-2CE1-4DDE-8A1F-2BA167F4959E}"/>
    <cellStyle name="Note 4" xfId="60" xr:uid="{00000000-0005-0000-0000-000052000000}"/>
    <cellStyle name="Note 4 2" xfId="121" xr:uid="{E0381500-E147-4707-8AE1-B877A5A7BDD4}"/>
    <cellStyle name="Note 4 2 2" xfId="356" xr:uid="{9EEA6200-F01E-470F-9223-D2A605B48195}"/>
    <cellStyle name="Note 4 2 3" xfId="239" xr:uid="{965D09D3-1384-461E-8F46-9EA69B26E056}"/>
    <cellStyle name="Note 4 3" xfId="297" xr:uid="{68321788-15A4-4292-8521-5BF24E5A5A5A}"/>
    <cellStyle name="Note 4 4" xfId="180" xr:uid="{BA209DD7-80C1-4AA0-AFB9-33B8ABC3055A}"/>
    <cellStyle name="Note 5" xfId="74" xr:uid="{00000000-0005-0000-0000-000053000000}"/>
    <cellStyle name="Note 5 2" xfId="135" xr:uid="{0938A7F9-C5B5-4096-8038-5769FEA6177B}"/>
    <cellStyle name="Note 5 2 2" xfId="370" xr:uid="{6DEB4055-BCA6-4281-B83D-58532B1F3E9E}"/>
    <cellStyle name="Note 5 2 3" xfId="253" xr:uid="{3DD07245-B67A-433B-BC12-310D7C5ABBE3}"/>
    <cellStyle name="Note 5 3" xfId="311" xr:uid="{4F233D5B-65ED-4A40-BA91-05DEECA25EA4}"/>
    <cellStyle name="Note 5 4" xfId="194" xr:uid="{F3A4A011-513F-4DCF-B926-FAE3DAF424A0}"/>
    <cellStyle name="Output" xfId="10" builtinId="21" customBuiltin="1"/>
    <cellStyle name="Title" xfId="1" builtinId="15" customBuiltin="1"/>
    <cellStyle name="Total" xfId="16" builtinId="25" customBuiltin="1"/>
    <cellStyle name="Warning Text" xfId="14" builtinId="11" customBuiltin="1"/>
  </cellStyles>
  <dxfs count="21">
    <dxf>
      <font>
        <color theme="0"/>
      </font>
    </dxf>
    <dxf>
      <font>
        <color theme="0"/>
      </font>
    </dxf>
    <dxf>
      <font>
        <color theme="0"/>
      </font>
    </dxf>
    <dxf>
      <font>
        <color theme="0"/>
      </font>
    </dxf>
    <dxf>
      <font>
        <color theme="0"/>
      </font>
    </dxf>
    <dxf>
      <font>
        <b/>
        <i val="0"/>
        <color rgb="FFFFC000"/>
      </font>
      <fill>
        <patternFill>
          <bgColor rgb="FF00B050"/>
        </patternFill>
      </fill>
    </dxf>
    <dxf>
      <font>
        <b/>
        <i val="0"/>
        <color rgb="FFFF0000"/>
      </font>
      <fill>
        <patternFill>
          <bgColor rgb="FFFFC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colors>
    <mruColors>
      <color rgb="FF0000FF"/>
      <color rgb="FFCC0099"/>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121920</xdr:colOff>
          <xdr:row>35</xdr:row>
          <xdr:rowOff>106680</xdr:rowOff>
        </xdr:from>
        <xdr:to>
          <xdr:col>4</xdr:col>
          <xdr:colOff>297180</xdr:colOff>
          <xdr:row>39</xdr:row>
          <xdr:rowOff>99060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Next revision*</a:t>
              </a:r>
            </a:p>
          </xdr:txBody>
        </xdr:sp>
        <xdr:clientData fPrintsWithSheet="0"/>
      </xdr:twoCellAnchor>
    </mc:Choice>
    <mc:Fallback/>
  </mc:AlternateContent>
  <xdr:twoCellAnchor>
    <xdr:from>
      <xdr:col>4</xdr:col>
      <xdr:colOff>485774</xdr:colOff>
      <xdr:row>8</xdr:row>
      <xdr:rowOff>131926</xdr:rowOff>
    </xdr:from>
    <xdr:to>
      <xdr:col>9</xdr:col>
      <xdr:colOff>209549</xdr:colOff>
      <xdr:row>20</xdr:row>
      <xdr:rowOff>56103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924174" y="1598776"/>
          <a:ext cx="2771775" cy="2019677"/>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304800</xdr:colOff>
          <xdr:row>24</xdr:row>
          <xdr:rowOff>22860</xdr:rowOff>
        </xdr:from>
        <xdr:to>
          <xdr:col>9</xdr:col>
          <xdr:colOff>7620</xdr:colOff>
          <xdr:row>27</xdr:row>
          <xdr:rowOff>175260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Build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xdr:row>
          <xdr:rowOff>83820</xdr:rowOff>
        </xdr:from>
        <xdr:to>
          <xdr:col>13</xdr:col>
          <xdr:colOff>342900</xdr:colOff>
          <xdr:row>6</xdr:row>
          <xdr:rowOff>83820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QC All Beams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7</xdr:row>
          <xdr:rowOff>106680</xdr:rowOff>
        </xdr:from>
        <xdr:to>
          <xdr:col>13</xdr:col>
          <xdr:colOff>342900</xdr:colOff>
          <xdr:row>11</xdr:row>
          <xdr:rowOff>99060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Schedule Skin Reinf (depth &gt; 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23</xdr:row>
          <xdr:rowOff>114300</xdr:rowOff>
        </xdr:from>
        <xdr:to>
          <xdr:col>13</xdr:col>
          <xdr:colOff>342900</xdr:colOff>
          <xdr:row>27</xdr:row>
          <xdr:rowOff>76200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Schedule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31</xdr:row>
          <xdr:rowOff>144780</xdr:rowOff>
        </xdr:from>
        <xdr:to>
          <xdr:col>13</xdr:col>
          <xdr:colOff>342900</xdr:colOff>
          <xdr:row>35</xdr:row>
          <xdr:rowOff>38100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Schedule Sheet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39</xdr:row>
          <xdr:rowOff>76200</xdr:rowOff>
        </xdr:from>
        <xdr:to>
          <xdr:col>13</xdr:col>
          <xdr:colOff>342900</xdr:colOff>
          <xdr:row>43</xdr:row>
          <xdr:rowOff>106680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200-00001E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Two-Line Remarks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mailto:2L-T8@150%20C/C" TargetMode="External"/><Relationship Id="rId18" Type="http://schemas.openxmlformats.org/officeDocument/2006/relationships/hyperlink" Target="mailto:2L-T8@200%20C/C" TargetMode="External"/><Relationship Id="rId26" Type="http://schemas.openxmlformats.org/officeDocument/2006/relationships/hyperlink" Target="mailto:2L-T8@150%20C/C" TargetMode="External"/><Relationship Id="rId39" Type="http://schemas.openxmlformats.org/officeDocument/2006/relationships/hyperlink" Target="mailto:2L-T12@85C/C" TargetMode="External"/><Relationship Id="rId21" Type="http://schemas.openxmlformats.org/officeDocument/2006/relationships/hyperlink" Target="mailto:2L-T8@150%20C/C" TargetMode="External"/><Relationship Id="rId34" Type="http://schemas.openxmlformats.org/officeDocument/2006/relationships/hyperlink" Target="mailto:2L-T8@200%20C/C" TargetMode="External"/><Relationship Id="rId42" Type="http://schemas.openxmlformats.org/officeDocument/2006/relationships/hyperlink" Target="mailto:2L-T12@85C/C" TargetMode="External"/><Relationship Id="rId47" Type="http://schemas.openxmlformats.org/officeDocument/2006/relationships/hyperlink" Target="mailto:2L-T12@85C/C" TargetMode="External"/><Relationship Id="rId50" Type="http://schemas.openxmlformats.org/officeDocument/2006/relationships/hyperlink" Target="mailto:2L-T8@200%20C/C" TargetMode="External"/><Relationship Id="rId55" Type="http://schemas.openxmlformats.org/officeDocument/2006/relationships/comments" Target="../comments1.xml"/><Relationship Id="rId7" Type="http://schemas.openxmlformats.org/officeDocument/2006/relationships/hyperlink" Target="mailto:2L-T10@100%20C/C" TargetMode="External"/><Relationship Id="rId12" Type="http://schemas.openxmlformats.org/officeDocument/2006/relationships/hyperlink" Target="mailto:2L-T8@200%20C/C" TargetMode="External"/><Relationship Id="rId17" Type="http://schemas.openxmlformats.org/officeDocument/2006/relationships/hyperlink" Target="mailto:2L-T8@150%20C/C" TargetMode="External"/><Relationship Id="rId25" Type="http://schemas.openxmlformats.org/officeDocument/2006/relationships/hyperlink" Target="mailto:2L-T8@150%20C/C" TargetMode="External"/><Relationship Id="rId33" Type="http://schemas.openxmlformats.org/officeDocument/2006/relationships/hyperlink" Target="mailto:2L-T8@100%20C/C" TargetMode="External"/><Relationship Id="rId38" Type="http://schemas.openxmlformats.org/officeDocument/2006/relationships/hyperlink" Target="mailto:2L-T8@200%20C/C" TargetMode="External"/><Relationship Id="rId46" Type="http://schemas.openxmlformats.org/officeDocument/2006/relationships/hyperlink" Target="mailto:2L-T12@85C/C" TargetMode="External"/><Relationship Id="rId2" Type="http://schemas.openxmlformats.org/officeDocument/2006/relationships/hyperlink" Target="mailto:2L-T8@50%20C/C" TargetMode="External"/><Relationship Id="rId16" Type="http://schemas.openxmlformats.org/officeDocument/2006/relationships/hyperlink" Target="mailto:2L-T8@200%20C/C" TargetMode="External"/><Relationship Id="rId20" Type="http://schemas.openxmlformats.org/officeDocument/2006/relationships/hyperlink" Target="mailto:2L-T8@200%20C/C" TargetMode="External"/><Relationship Id="rId29" Type="http://schemas.openxmlformats.org/officeDocument/2006/relationships/hyperlink" Target="mailto:2L-T8@150%20C/C" TargetMode="External"/><Relationship Id="rId41" Type="http://schemas.openxmlformats.org/officeDocument/2006/relationships/hyperlink" Target="mailto:2L-T12@85C/C" TargetMode="External"/><Relationship Id="rId54" Type="http://schemas.openxmlformats.org/officeDocument/2006/relationships/vmlDrawing" Target="../drawings/vmlDrawing1.vml"/><Relationship Id="rId1" Type="http://schemas.openxmlformats.org/officeDocument/2006/relationships/hyperlink" Target="mailto:2L-T8@50%20C/C" TargetMode="External"/><Relationship Id="rId6" Type="http://schemas.openxmlformats.org/officeDocument/2006/relationships/hyperlink" Target="mailto:2L-T10@100%20C/C" TargetMode="External"/><Relationship Id="rId11" Type="http://schemas.openxmlformats.org/officeDocument/2006/relationships/hyperlink" Target="mailto:2L-T8@150%20C/C" TargetMode="External"/><Relationship Id="rId24" Type="http://schemas.openxmlformats.org/officeDocument/2006/relationships/hyperlink" Target="mailto:2L-T8@250%20C/C" TargetMode="External"/><Relationship Id="rId32" Type="http://schemas.openxmlformats.org/officeDocument/2006/relationships/hyperlink" Target="mailto:2L-T8@200%20C/C" TargetMode="External"/><Relationship Id="rId37" Type="http://schemas.openxmlformats.org/officeDocument/2006/relationships/hyperlink" Target="mailto:2L-T8@150%20C/C" TargetMode="External"/><Relationship Id="rId40" Type="http://schemas.openxmlformats.org/officeDocument/2006/relationships/hyperlink" Target="mailto:2L-T12@85C/C" TargetMode="External"/><Relationship Id="rId45" Type="http://schemas.openxmlformats.org/officeDocument/2006/relationships/hyperlink" Target="mailto:2L-T12@85C/C" TargetMode="External"/><Relationship Id="rId53" Type="http://schemas.openxmlformats.org/officeDocument/2006/relationships/printerSettings" Target="../printerSettings/printerSettings1.bin"/><Relationship Id="rId5" Type="http://schemas.openxmlformats.org/officeDocument/2006/relationships/hyperlink" Target="mailto:2L-T10@100%20C/C" TargetMode="External"/><Relationship Id="rId15" Type="http://schemas.openxmlformats.org/officeDocument/2006/relationships/hyperlink" Target="mailto:2L-T8@150%20C/C" TargetMode="External"/><Relationship Id="rId23" Type="http://schemas.openxmlformats.org/officeDocument/2006/relationships/hyperlink" Target="mailto:2L-T8@150%20C/C" TargetMode="External"/><Relationship Id="rId28" Type="http://schemas.openxmlformats.org/officeDocument/2006/relationships/hyperlink" Target="mailto:2L-T8@200%20C/C" TargetMode="External"/><Relationship Id="rId36" Type="http://schemas.openxmlformats.org/officeDocument/2006/relationships/hyperlink" Target="mailto:2L-T8@200%20C/C" TargetMode="External"/><Relationship Id="rId49" Type="http://schemas.openxmlformats.org/officeDocument/2006/relationships/hyperlink" Target="mailto:2L-T8@100%20C/C" TargetMode="External"/><Relationship Id="rId10" Type="http://schemas.openxmlformats.org/officeDocument/2006/relationships/hyperlink" Target="mailto:2L-T8@200%20C/C" TargetMode="External"/><Relationship Id="rId19" Type="http://schemas.openxmlformats.org/officeDocument/2006/relationships/hyperlink" Target="mailto:2L-T8@150%20C/C" TargetMode="External"/><Relationship Id="rId31" Type="http://schemas.openxmlformats.org/officeDocument/2006/relationships/hyperlink" Target="mailto:2L-T8@100%20C/C" TargetMode="External"/><Relationship Id="rId44" Type="http://schemas.openxmlformats.org/officeDocument/2006/relationships/hyperlink" Target="mailto:2L-T12@85C/C" TargetMode="External"/><Relationship Id="rId52" Type="http://schemas.openxmlformats.org/officeDocument/2006/relationships/hyperlink" Target="mailto:2L-T8@200%20C/C" TargetMode="External"/><Relationship Id="rId4" Type="http://schemas.openxmlformats.org/officeDocument/2006/relationships/hyperlink" Target="mailto:2L-T8@50%20C/C" TargetMode="External"/><Relationship Id="rId9" Type="http://schemas.openxmlformats.org/officeDocument/2006/relationships/hyperlink" Target="mailto:2L-T8@150%20C/C" TargetMode="External"/><Relationship Id="rId14" Type="http://schemas.openxmlformats.org/officeDocument/2006/relationships/hyperlink" Target="mailto:2L-T8@200%20C/C" TargetMode="External"/><Relationship Id="rId22" Type="http://schemas.openxmlformats.org/officeDocument/2006/relationships/hyperlink" Target="mailto:2L-T8@250%20C/C" TargetMode="External"/><Relationship Id="rId27" Type="http://schemas.openxmlformats.org/officeDocument/2006/relationships/hyperlink" Target="mailto:2L-T8@150%20C/C" TargetMode="External"/><Relationship Id="rId30" Type="http://schemas.openxmlformats.org/officeDocument/2006/relationships/hyperlink" Target="mailto:2L-T8@200%20C/C" TargetMode="External"/><Relationship Id="rId35" Type="http://schemas.openxmlformats.org/officeDocument/2006/relationships/hyperlink" Target="mailto:2L-T8@150%20C/C" TargetMode="External"/><Relationship Id="rId43" Type="http://schemas.openxmlformats.org/officeDocument/2006/relationships/hyperlink" Target="mailto:2L-T12@85C/C" TargetMode="External"/><Relationship Id="rId48" Type="http://schemas.openxmlformats.org/officeDocument/2006/relationships/hyperlink" Target="mailto:2L-T12@85C/C" TargetMode="External"/><Relationship Id="rId8" Type="http://schemas.openxmlformats.org/officeDocument/2006/relationships/hyperlink" Target="mailto:2L-T10@100%20C/C" TargetMode="External"/><Relationship Id="rId51" Type="http://schemas.openxmlformats.org/officeDocument/2006/relationships/hyperlink" Target="mailto:2L-T8@100%20C/C" TargetMode="External"/><Relationship Id="rId3" Type="http://schemas.openxmlformats.org/officeDocument/2006/relationships/hyperlink" Target="mailto:2L-T8@50%20C/C"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1147"/>
  <sheetViews>
    <sheetView tabSelected="1" zoomScale="70" zoomScaleNormal="70" workbookViewId="0">
      <pane xSplit="1" ySplit="2" topLeftCell="B45" activePane="bottomRight" state="frozen"/>
      <selection pane="topRight" activeCell="B1" sqref="B1"/>
      <selection pane="bottomLeft" activeCell="A3" sqref="A3"/>
      <selection pane="bottomRight" activeCell="A54" sqref="A54:XFD54"/>
    </sheetView>
  </sheetViews>
  <sheetFormatPr defaultColWidth="9.109375" defaultRowHeight="20.100000000000001" customHeight="1" x14ac:dyDescent="0.25"/>
  <cols>
    <col min="1" max="2" width="11.44140625" style="18" customWidth="1"/>
    <col min="3" max="3" width="9.6640625" style="18" customWidth="1"/>
    <col min="4" max="9" width="12" style="18" customWidth="1"/>
    <col min="10" max="10" width="9.6640625" style="18" customWidth="1"/>
    <col min="11" max="12" width="18.109375" style="18" customWidth="1"/>
    <col min="13" max="14" width="29" style="18" customWidth="1"/>
    <col min="15" max="15" width="28.88671875" style="18" customWidth="1"/>
    <col min="16" max="16" width="20.6640625" style="18" customWidth="1"/>
    <col min="17" max="17" width="18" style="18" customWidth="1"/>
    <col min="18" max="19" width="9.109375" style="2" customWidth="1"/>
    <col min="20" max="22" width="19" style="2" customWidth="1"/>
    <col min="23" max="16384" width="9.109375" style="2"/>
  </cols>
  <sheetData>
    <row r="1" spans="1:21" ht="55.5" customHeight="1" x14ac:dyDescent="0.25">
      <c r="A1" s="14" t="s">
        <v>3</v>
      </c>
      <c r="B1" s="15" t="s">
        <v>204</v>
      </c>
      <c r="C1" s="15" t="s">
        <v>205</v>
      </c>
      <c r="D1" s="15" t="s">
        <v>206</v>
      </c>
      <c r="E1" s="15" t="s">
        <v>5</v>
      </c>
      <c r="F1" s="15" t="s">
        <v>207</v>
      </c>
      <c r="G1" s="15" t="s">
        <v>100</v>
      </c>
      <c r="H1" s="15" t="s">
        <v>208</v>
      </c>
      <c r="I1" s="15" t="s">
        <v>101</v>
      </c>
      <c r="J1" s="15" t="s">
        <v>211</v>
      </c>
      <c r="K1" s="15" t="s">
        <v>212</v>
      </c>
      <c r="L1" s="15" t="s">
        <v>213</v>
      </c>
      <c r="M1" s="15" t="s">
        <v>2</v>
      </c>
      <c r="N1" s="15" t="s">
        <v>63</v>
      </c>
      <c r="O1" s="16" t="s">
        <v>64</v>
      </c>
      <c r="P1" s="15" t="s">
        <v>27</v>
      </c>
      <c r="Q1" s="15" t="s">
        <v>28</v>
      </c>
    </row>
    <row r="2" spans="1:21" ht="66.599999999999994" hidden="1" thickBot="1" x14ac:dyDescent="0.3">
      <c r="A2" s="17"/>
      <c r="B2" s="16" t="s">
        <v>202</v>
      </c>
      <c r="C2" s="16" t="s">
        <v>203</v>
      </c>
      <c r="D2" s="16" t="s">
        <v>209</v>
      </c>
      <c r="E2" s="16" t="s">
        <v>9</v>
      </c>
      <c r="F2" s="16" t="s">
        <v>210</v>
      </c>
      <c r="G2" s="16" t="s">
        <v>10</v>
      </c>
      <c r="H2" s="16" t="s">
        <v>7</v>
      </c>
      <c r="I2" s="16" t="s">
        <v>8</v>
      </c>
      <c r="J2" s="88" t="s">
        <v>11</v>
      </c>
      <c r="K2" s="16" t="s">
        <v>13</v>
      </c>
      <c r="L2" s="16" t="s">
        <v>14</v>
      </c>
      <c r="M2" s="16" t="s">
        <v>15</v>
      </c>
      <c r="N2" s="16" t="s">
        <v>37</v>
      </c>
      <c r="O2" s="16" t="s">
        <v>30</v>
      </c>
      <c r="P2" s="16" t="s">
        <v>18</v>
      </c>
      <c r="Q2" s="16" t="s">
        <v>26</v>
      </c>
    </row>
    <row r="3" spans="1:21" ht="25.5" customHeight="1" x14ac:dyDescent="0.25">
      <c r="A3" s="83"/>
      <c r="B3" s="95"/>
      <c r="C3" s="95"/>
      <c r="D3" s="84"/>
      <c r="E3" s="84"/>
      <c r="F3" s="84"/>
      <c r="G3" s="84"/>
      <c r="H3" s="84"/>
      <c r="I3" s="84"/>
      <c r="J3" s="84"/>
      <c r="K3" s="78"/>
      <c r="L3" s="78"/>
      <c r="M3" s="22"/>
      <c r="N3" s="22"/>
      <c r="O3" s="23"/>
      <c r="P3" s="23"/>
      <c r="Q3" s="31"/>
    </row>
    <row r="4" spans="1:21" ht="25.5" customHeight="1" x14ac:dyDescent="0.25">
      <c r="A4" s="77" t="s">
        <v>218</v>
      </c>
      <c r="B4" s="86">
        <v>350</v>
      </c>
      <c r="C4" s="86">
        <v>650</v>
      </c>
      <c r="D4" s="85" t="s">
        <v>361</v>
      </c>
      <c r="E4" s="85" t="s">
        <v>361</v>
      </c>
      <c r="F4" s="85" t="s">
        <v>361</v>
      </c>
      <c r="G4" s="85" t="s">
        <v>403</v>
      </c>
      <c r="H4" s="85" t="s">
        <v>368</v>
      </c>
      <c r="I4" s="85" t="s">
        <v>368</v>
      </c>
      <c r="J4" s="85"/>
      <c r="K4" s="98" t="s">
        <v>363</v>
      </c>
      <c r="L4" s="98" t="s">
        <v>363</v>
      </c>
      <c r="M4" s="23"/>
      <c r="N4" s="22"/>
      <c r="O4" s="23"/>
      <c r="P4" s="23" t="s">
        <v>214</v>
      </c>
      <c r="Q4" s="87" t="s">
        <v>396</v>
      </c>
      <c r="T4" s="90"/>
      <c r="U4" s="90"/>
    </row>
    <row r="5" spans="1:21" ht="25.5" customHeight="1" x14ac:dyDescent="0.25">
      <c r="A5" s="77" t="s">
        <v>219</v>
      </c>
      <c r="B5" s="86">
        <v>350</v>
      </c>
      <c r="C5" s="86">
        <v>650</v>
      </c>
      <c r="D5" s="85" t="s">
        <v>361</v>
      </c>
      <c r="E5" s="85" t="s">
        <v>361</v>
      </c>
      <c r="F5" s="85" t="s">
        <v>361</v>
      </c>
      <c r="G5" s="85" t="s">
        <v>361</v>
      </c>
      <c r="H5" s="85" t="s">
        <v>361</v>
      </c>
      <c r="I5" s="85" t="s">
        <v>361</v>
      </c>
      <c r="J5" s="86"/>
      <c r="K5" s="98" t="s">
        <v>363</v>
      </c>
      <c r="L5" s="98" t="s">
        <v>363</v>
      </c>
      <c r="M5" s="23"/>
      <c r="N5" s="22"/>
      <c r="O5" s="22"/>
      <c r="P5" s="23" t="s">
        <v>214</v>
      </c>
      <c r="Q5" s="87" t="s">
        <v>396</v>
      </c>
      <c r="T5" s="90"/>
      <c r="U5" s="90"/>
    </row>
    <row r="6" spans="1:21" ht="25.5" customHeight="1" x14ac:dyDescent="0.25">
      <c r="A6" s="77" t="s">
        <v>220</v>
      </c>
      <c r="B6" s="86">
        <v>350</v>
      </c>
      <c r="C6" s="86">
        <v>650</v>
      </c>
      <c r="D6" s="85" t="s">
        <v>361</v>
      </c>
      <c r="E6" s="85" t="s">
        <v>361</v>
      </c>
      <c r="F6" s="85" t="s">
        <v>361</v>
      </c>
      <c r="G6" s="85" t="s">
        <v>361</v>
      </c>
      <c r="H6" s="85" t="s">
        <v>361</v>
      </c>
      <c r="I6" s="85" t="s">
        <v>361</v>
      </c>
      <c r="J6" s="86"/>
      <c r="K6" s="98" t="s">
        <v>363</v>
      </c>
      <c r="L6" s="98" t="s">
        <v>363</v>
      </c>
      <c r="M6" s="22"/>
      <c r="N6" s="22"/>
      <c r="O6" s="23"/>
      <c r="P6" s="23" t="s">
        <v>214</v>
      </c>
      <c r="Q6" s="87" t="s">
        <v>396</v>
      </c>
      <c r="T6" s="90"/>
      <c r="U6" s="90"/>
    </row>
    <row r="7" spans="1:21" ht="25.5" customHeight="1" x14ac:dyDescent="0.25">
      <c r="A7" s="77" t="s">
        <v>221</v>
      </c>
      <c r="B7" s="86">
        <v>350</v>
      </c>
      <c r="C7" s="86">
        <v>650</v>
      </c>
      <c r="D7" s="85" t="s">
        <v>362</v>
      </c>
      <c r="E7" s="85" t="s">
        <v>362</v>
      </c>
      <c r="F7" s="85" t="s">
        <v>362</v>
      </c>
      <c r="G7" s="85" t="s">
        <v>361</v>
      </c>
      <c r="H7" s="85" t="s">
        <v>361</v>
      </c>
      <c r="I7" s="85" t="s">
        <v>361</v>
      </c>
      <c r="J7" s="86"/>
      <c r="K7" s="98" t="s">
        <v>363</v>
      </c>
      <c r="L7" s="98" t="s">
        <v>363</v>
      </c>
      <c r="M7" s="22"/>
      <c r="N7" s="22"/>
      <c r="O7" s="23"/>
      <c r="P7" s="23" t="s">
        <v>214</v>
      </c>
      <c r="Q7" s="87" t="s">
        <v>396</v>
      </c>
      <c r="T7" s="90"/>
      <c r="U7" s="90"/>
    </row>
    <row r="8" spans="1:21" ht="25.5" customHeight="1" x14ac:dyDescent="0.25">
      <c r="A8" s="77" t="s">
        <v>222</v>
      </c>
      <c r="B8" s="86">
        <v>350</v>
      </c>
      <c r="C8" s="86">
        <v>650</v>
      </c>
      <c r="D8" s="85" t="s">
        <v>362</v>
      </c>
      <c r="E8" s="85" t="s">
        <v>362</v>
      </c>
      <c r="F8" s="85" t="s">
        <v>362</v>
      </c>
      <c r="G8" s="85" t="s">
        <v>398</v>
      </c>
      <c r="H8" s="85" t="s">
        <v>361</v>
      </c>
      <c r="I8" s="85" t="s">
        <v>361</v>
      </c>
      <c r="J8" s="86"/>
      <c r="K8" s="98" t="s">
        <v>363</v>
      </c>
      <c r="L8" s="98" t="s">
        <v>363</v>
      </c>
      <c r="M8" s="23"/>
      <c r="N8" s="22"/>
      <c r="O8" s="23"/>
      <c r="P8" s="23" t="s">
        <v>214</v>
      </c>
      <c r="Q8" s="87" t="s">
        <v>396</v>
      </c>
      <c r="T8" s="90"/>
      <c r="U8" s="90"/>
    </row>
    <row r="9" spans="1:21" ht="25.5" customHeight="1" x14ac:dyDescent="0.25">
      <c r="A9" s="77" t="s">
        <v>223</v>
      </c>
      <c r="B9" s="86">
        <v>350</v>
      </c>
      <c r="C9" s="86">
        <v>650</v>
      </c>
      <c r="D9" s="85" t="s">
        <v>361</v>
      </c>
      <c r="E9" s="85" t="s">
        <v>361</v>
      </c>
      <c r="F9" s="85" t="s">
        <v>361</v>
      </c>
      <c r="G9" s="85" t="s">
        <v>361</v>
      </c>
      <c r="H9" s="85" t="s">
        <v>361</v>
      </c>
      <c r="I9" s="85" t="s">
        <v>361</v>
      </c>
      <c r="J9" s="86"/>
      <c r="K9" s="98" t="s">
        <v>363</v>
      </c>
      <c r="L9" s="98" t="s">
        <v>363</v>
      </c>
      <c r="M9" s="22"/>
      <c r="N9" s="22"/>
      <c r="O9" s="23"/>
      <c r="P9" s="23" t="s">
        <v>214</v>
      </c>
      <c r="Q9" s="87" t="s">
        <v>396</v>
      </c>
      <c r="T9" s="90"/>
      <c r="U9" s="90"/>
    </row>
    <row r="10" spans="1:21" ht="25.5" customHeight="1" x14ac:dyDescent="0.25">
      <c r="A10" s="77" t="s">
        <v>224</v>
      </c>
      <c r="B10" s="86">
        <v>350</v>
      </c>
      <c r="C10" s="86">
        <v>650</v>
      </c>
      <c r="D10" s="85" t="s">
        <v>362</v>
      </c>
      <c r="E10" s="85" t="s">
        <v>362</v>
      </c>
      <c r="F10" s="85" t="s">
        <v>362</v>
      </c>
      <c r="G10" s="85" t="s">
        <v>361</v>
      </c>
      <c r="H10" s="85" t="s">
        <v>361</v>
      </c>
      <c r="I10" s="85" t="s">
        <v>361</v>
      </c>
      <c r="J10" s="86"/>
      <c r="K10" s="98" t="s">
        <v>363</v>
      </c>
      <c r="L10" s="98" t="s">
        <v>363</v>
      </c>
      <c r="M10" s="22"/>
      <c r="N10" s="22"/>
      <c r="O10" s="23"/>
      <c r="P10" s="23" t="s">
        <v>214</v>
      </c>
      <c r="Q10" s="87" t="s">
        <v>396</v>
      </c>
      <c r="T10" s="90"/>
      <c r="U10" s="90"/>
    </row>
    <row r="11" spans="1:21" ht="25.5" customHeight="1" x14ac:dyDescent="0.25">
      <c r="A11" s="77" t="s">
        <v>225</v>
      </c>
      <c r="B11" s="86">
        <v>350</v>
      </c>
      <c r="C11" s="86">
        <v>650</v>
      </c>
      <c r="D11" s="85" t="s">
        <v>362</v>
      </c>
      <c r="E11" s="85" t="s">
        <v>362</v>
      </c>
      <c r="F11" s="85" t="s">
        <v>362</v>
      </c>
      <c r="G11" s="85" t="s">
        <v>398</v>
      </c>
      <c r="H11" s="85" t="s">
        <v>361</v>
      </c>
      <c r="I11" s="85" t="s">
        <v>361</v>
      </c>
      <c r="J11" s="86"/>
      <c r="K11" s="98" t="s">
        <v>363</v>
      </c>
      <c r="L11" s="98" t="s">
        <v>363</v>
      </c>
      <c r="M11" s="23"/>
      <c r="N11" s="22"/>
      <c r="O11" s="23"/>
      <c r="P11" s="23" t="s">
        <v>214</v>
      </c>
      <c r="Q11" s="87" t="s">
        <v>396</v>
      </c>
      <c r="T11" s="90"/>
      <c r="U11" s="90"/>
    </row>
    <row r="12" spans="1:21" ht="25.2" customHeight="1" x14ac:dyDescent="0.25">
      <c r="A12" s="77" t="s">
        <v>226</v>
      </c>
      <c r="B12" s="86">
        <v>350</v>
      </c>
      <c r="C12" s="86">
        <v>650</v>
      </c>
      <c r="D12" s="85" t="s">
        <v>361</v>
      </c>
      <c r="E12" s="85" t="s">
        <v>361</v>
      </c>
      <c r="F12" s="85" t="s">
        <v>361</v>
      </c>
      <c r="G12" s="85" t="s">
        <v>361</v>
      </c>
      <c r="H12" s="85" t="s">
        <v>361</v>
      </c>
      <c r="I12" s="85" t="s">
        <v>361</v>
      </c>
      <c r="J12" s="86"/>
      <c r="K12" s="98" t="s">
        <v>363</v>
      </c>
      <c r="L12" s="98" t="s">
        <v>363</v>
      </c>
      <c r="M12" s="23"/>
      <c r="N12" s="22"/>
      <c r="O12" s="23"/>
      <c r="P12" s="23" t="s">
        <v>214</v>
      </c>
      <c r="Q12" s="87" t="s">
        <v>396</v>
      </c>
      <c r="T12" s="90"/>
      <c r="U12" s="90"/>
    </row>
    <row r="13" spans="1:21" ht="25.5" customHeight="1" x14ac:dyDescent="0.25">
      <c r="A13" s="77" t="s">
        <v>227</v>
      </c>
      <c r="B13" s="86">
        <v>350</v>
      </c>
      <c r="C13" s="86">
        <v>650</v>
      </c>
      <c r="D13" s="85" t="s">
        <v>361</v>
      </c>
      <c r="E13" s="85" t="s">
        <v>361</v>
      </c>
      <c r="F13" s="85" t="s">
        <v>361</v>
      </c>
      <c r="G13" s="85" t="s">
        <v>361</v>
      </c>
      <c r="H13" s="85" t="s">
        <v>361</v>
      </c>
      <c r="I13" s="85" t="s">
        <v>361</v>
      </c>
      <c r="J13" s="86"/>
      <c r="K13" s="98" t="s">
        <v>363</v>
      </c>
      <c r="L13" s="98" t="s">
        <v>363</v>
      </c>
      <c r="M13" s="22"/>
      <c r="N13" s="22"/>
      <c r="O13" s="23"/>
      <c r="P13" s="23" t="s">
        <v>214</v>
      </c>
      <c r="Q13" s="87" t="s">
        <v>396</v>
      </c>
    </row>
    <row r="14" spans="1:21" ht="25.5" customHeight="1" x14ac:dyDescent="0.25">
      <c r="A14" s="77" t="s">
        <v>228</v>
      </c>
      <c r="B14" s="86">
        <v>350</v>
      </c>
      <c r="C14" s="86">
        <v>650</v>
      </c>
      <c r="D14" s="85" t="s">
        <v>361</v>
      </c>
      <c r="E14" s="85" t="s">
        <v>361</v>
      </c>
      <c r="F14" s="85" t="s">
        <v>361</v>
      </c>
      <c r="G14" s="85" t="s">
        <v>368</v>
      </c>
      <c r="H14" s="85" t="s">
        <v>368</v>
      </c>
      <c r="I14" s="85" t="s">
        <v>368</v>
      </c>
      <c r="J14" s="86"/>
      <c r="K14" s="98" t="s">
        <v>363</v>
      </c>
      <c r="L14" s="98" t="s">
        <v>363</v>
      </c>
      <c r="M14" s="22"/>
      <c r="N14" s="22"/>
      <c r="O14" s="23"/>
      <c r="P14" s="23" t="s">
        <v>214</v>
      </c>
      <c r="Q14" s="87" t="s">
        <v>396</v>
      </c>
    </row>
    <row r="15" spans="1:21" ht="25.5" customHeight="1" x14ac:dyDescent="0.25">
      <c r="A15" s="77" t="s">
        <v>229</v>
      </c>
      <c r="B15" s="86">
        <v>240</v>
      </c>
      <c r="C15" s="86">
        <v>650</v>
      </c>
      <c r="D15" s="85" t="s">
        <v>361</v>
      </c>
      <c r="E15" s="85" t="s">
        <v>361</v>
      </c>
      <c r="F15" s="85" t="s">
        <v>361</v>
      </c>
      <c r="G15" s="85" t="s">
        <v>361</v>
      </c>
      <c r="H15" s="85" t="s">
        <v>361</v>
      </c>
      <c r="I15" s="85" t="s">
        <v>361</v>
      </c>
      <c r="J15" s="86"/>
      <c r="K15" s="98" t="s">
        <v>366</v>
      </c>
      <c r="L15" s="98" t="s">
        <v>366</v>
      </c>
      <c r="M15" s="22"/>
      <c r="N15" s="22"/>
      <c r="O15" s="23"/>
      <c r="P15" s="23" t="s">
        <v>214</v>
      </c>
      <c r="Q15" s="87" t="s">
        <v>396</v>
      </c>
    </row>
    <row r="16" spans="1:21" s="99" customFormat="1" ht="25.5" customHeight="1" x14ac:dyDescent="0.25">
      <c r="A16" s="77" t="s">
        <v>230</v>
      </c>
      <c r="B16" s="96">
        <v>300</v>
      </c>
      <c r="C16" s="86">
        <v>550</v>
      </c>
      <c r="D16" s="85"/>
      <c r="E16" s="85"/>
      <c r="F16" s="85"/>
      <c r="G16" s="85"/>
      <c r="H16" s="102"/>
      <c r="I16" s="102"/>
      <c r="J16" s="95"/>
      <c r="K16" s="103"/>
      <c r="L16" s="104"/>
      <c r="M16" s="22" t="s">
        <v>394</v>
      </c>
      <c r="N16" s="22"/>
      <c r="O16" s="23"/>
      <c r="P16" s="23" t="s">
        <v>214</v>
      </c>
      <c r="Q16" s="87" t="s">
        <v>396</v>
      </c>
    </row>
    <row r="17" spans="1:21" ht="25.5" customHeight="1" x14ac:dyDescent="0.25">
      <c r="A17" s="77" t="s">
        <v>231</v>
      </c>
      <c r="B17" s="96">
        <v>240</v>
      </c>
      <c r="C17" s="92">
        <v>650</v>
      </c>
      <c r="D17" s="85" t="s">
        <v>361</v>
      </c>
      <c r="E17" s="85" t="s">
        <v>361</v>
      </c>
      <c r="F17" s="85" t="s">
        <v>361</v>
      </c>
      <c r="G17" s="85" t="s">
        <v>361</v>
      </c>
      <c r="H17" s="85" t="s">
        <v>361</v>
      </c>
      <c r="I17" s="85" t="s">
        <v>361</v>
      </c>
      <c r="J17" s="86"/>
      <c r="K17" s="98" t="s">
        <v>366</v>
      </c>
      <c r="L17" s="98" t="s">
        <v>366</v>
      </c>
      <c r="M17" s="22"/>
      <c r="N17" s="22"/>
      <c r="O17" s="23"/>
      <c r="P17" s="23" t="s">
        <v>214</v>
      </c>
      <c r="Q17" s="87" t="s">
        <v>396</v>
      </c>
      <c r="T17" s="90"/>
      <c r="U17" s="90"/>
    </row>
    <row r="18" spans="1:21" ht="25.5" customHeight="1" x14ac:dyDescent="0.25">
      <c r="A18" s="77" t="s">
        <v>232</v>
      </c>
      <c r="B18" s="96">
        <v>240</v>
      </c>
      <c r="C18" s="92">
        <v>650</v>
      </c>
      <c r="D18" s="91" t="s">
        <v>365</v>
      </c>
      <c r="E18" s="91" t="s">
        <v>365</v>
      </c>
      <c r="F18" s="91" t="s">
        <v>365</v>
      </c>
      <c r="G18" s="85" t="s">
        <v>367</v>
      </c>
      <c r="H18" s="85" t="s">
        <v>367</v>
      </c>
      <c r="I18" s="85" t="s">
        <v>367</v>
      </c>
      <c r="J18" s="86"/>
      <c r="K18" s="98" t="s">
        <v>364</v>
      </c>
      <c r="L18" s="98" t="s">
        <v>364</v>
      </c>
      <c r="M18" s="22"/>
      <c r="N18" s="22"/>
      <c r="O18" s="23"/>
      <c r="P18" s="23" t="s">
        <v>214</v>
      </c>
      <c r="Q18" s="87" t="s">
        <v>396</v>
      </c>
      <c r="T18" s="90"/>
      <c r="U18" s="90"/>
    </row>
    <row r="19" spans="1:21" s="99" customFormat="1" ht="25.5" customHeight="1" x14ac:dyDescent="0.25">
      <c r="A19" s="77" t="s">
        <v>233</v>
      </c>
      <c r="B19" s="96">
        <v>300</v>
      </c>
      <c r="C19" s="86">
        <v>550</v>
      </c>
      <c r="D19" s="85"/>
      <c r="E19" s="85"/>
      <c r="F19" s="85"/>
      <c r="G19" s="85"/>
      <c r="H19" s="102"/>
      <c r="I19" s="102"/>
      <c r="J19" s="95"/>
      <c r="K19" s="105"/>
      <c r="L19" s="106"/>
      <c r="M19" s="22" t="s">
        <v>394</v>
      </c>
      <c r="N19" s="22"/>
      <c r="O19" s="23"/>
      <c r="P19" s="23" t="s">
        <v>214</v>
      </c>
      <c r="Q19" s="87" t="s">
        <v>396</v>
      </c>
      <c r="T19" s="100"/>
      <c r="U19" s="100"/>
    </row>
    <row r="20" spans="1:21" ht="25.5" customHeight="1" x14ac:dyDescent="0.25">
      <c r="A20" s="77" t="s">
        <v>234</v>
      </c>
      <c r="B20" s="86">
        <v>240</v>
      </c>
      <c r="C20" s="86">
        <v>650</v>
      </c>
      <c r="D20" s="91" t="s">
        <v>365</v>
      </c>
      <c r="E20" s="91" t="s">
        <v>365</v>
      </c>
      <c r="F20" s="91" t="s">
        <v>365</v>
      </c>
      <c r="G20" s="85" t="s">
        <v>367</v>
      </c>
      <c r="H20" s="85" t="s">
        <v>367</v>
      </c>
      <c r="I20" s="85" t="s">
        <v>367</v>
      </c>
      <c r="J20" s="86"/>
      <c r="K20" s="98" t="s">
        <v>364</v>
      </c>
      <c r="L20" s="98" t="s">
        <v>364</v>
      </c>
      <c r="M20" s="22"/>
      <c r="N20" s="22"/>
      <c r="O20" s="23"/>
      <c r="P20" s="23" t="s">
        <v>214</v>
      </c>
      <c r="Q20" s="87" t="s">
        <v>396</v>
      </c>
    </row>
    <row r="21" spans="1:21" ht="25.5" customHeight="1" x14ac:dyDescent="0.25">
      <c r="A21" s="77" t="s">
        <v>235</v>
      </c>
      <c r="B21" s="96">
        <v>350</v>
      </c>
      <c r="C21" s="86">
        <v>650</v>
      </c>
      <c r="D21" s="85" t="s">
        <v>380</v>
      </c>
      <c r="E21" s="85" t="s">
        <v>380</v>
      </c>
      <c r="F21" s="85" t="s">
        <v>380</v>
      </c>
      <c r="G21" s="85" t="s">
        <v>369</v>
      </c>
      <c r="H21" s="85" t="s">
        <v>369</v>
      </c>
      <c r="I21" s="85" t="s">
        <v>369</v>
      </c>
      <c r="J21" s="86"/>
      <c r="K21" s="98" t="s">
        <v>395</v>
      </c>
      <c r="L21" s="98" t="s">
        <v>395</v>
      </c>
      <c r="M21" s="22"/>
      <c r="N21" s="22"/>
      <c r="O21" s="23"/>
      <c r="P21" s="23" t="s">
        <v>214</v>
      </c>
      <c r="Q21" s="87" t="s">
        <v>396</v>
      </c>
      <c r="T21" s="90"/>
      <c r="U21" s="90"/>
    </row>
    <row r="22" spans="1:21" ht="25.5" customHeight="1" x14ac:dyDescent="0.25">
      <c r="A22" s="77" t="s">
        <v>236</v>
      </c>
      <c r="B22" s="96">
        <v>350</v>
      </c>
      <c r="C22" s="92">
        <v>650</v>
      </c>
      <c r="D22" s="85" t="s">
        <v>367</v>
      </c>
      <c r="E22" s="85" t="s">
        <v>367</v>
      </c>
      <c r="F22" s="85" t="s">
        <v>367</v>
      </c>
      <c r="G22" s="85" t="s">
        <v>367</v>
      </c>
      <c r="H22" s="85" t="s">
        <v>367</v>
      </c>
      <c r="I22" s="85" t="s">
        <v>367</v>
      </c>
      <c r="J22" s="86"/>
      <c r="K22" s="98" t="s">
        <v>366</v>
      </c>
      <c r="L22" s="98" t="s">
        <v>366</v>
      </c>
      <c r="M22" s="22"/>
      <c r="N22" s="22"/>
      <c r="O22" s="23"/>
      <c r="P22" s="23" t="s">
        <v>214</v>
      </c>
      <c r="Q22" s="87" t="s">
        <v>396</v>
      </c>
    </row>
    <row r="23" spans="1:21" ht="25.5" customHeight="1" x14ac:dyDescent="0.25">
      <c r="A23" s="77" t="s">
        <v>237</v>
      </c>
      <c r="B23" s="86">
        <v>350</v>
      </c>
      <c r="C23" s="86">
        <v>650</v>
      </c>
      <c r="D23" s="85" t="s">
        <v>367</v>
      </c>
      <c r="E23" s="85" t="s">
        <v>367</v>
      </c>
      <c r="F23" s="85" t="s">
        <v>367</v>
      </c>
      <c r="G23" s="85" t="s">
        <v>367</v>
      </c>
      <c r="H23" s="85" t="s">
        <v>367</v>
      </c>
      <c r="I23" s="85" t="s">
        <v>367</v>
      </c>
      <c r="J23" s="86"/>
      <c r="K23" s="98" t="s">
        <v>366</v>
      </c>
      <c r="L23" s="98" t="s">
        <v>366</v>
      </c>
      <c r="M23" s="23"/>
      <c r="N23" s="22"/>
      <c r="O23" s="23"/>
      <c r="P23" s="23" t="s">
        <v>214</v>
      </c>
      <c r="Q23" s="87" t="s">
        <v>396</v>
      </c>
      <c r="T23" s="90"/>
      <c r="U23" s="90"/>
    </row>
    <row r="24" spans="1:21" ht="25.5" customHeight="1" x14ac:dyDescent="0.25">
      <c r="A24" s="77" t="s">
        <v>238</v>
      </c>
      <c r="B24" s="86">
        <v>350</v>
      </c>
      <c r="C24" s="86">
        <v>650</v>
      </c>
      <c r="D24" s="85" t="s">
        <v>361</v>
      </c>
      <c r="E24" s="85" t="s">
        <v>361</v>
      </c>
      <c r="F24" s="85" t="s">
        <v>361</v>
      </c>
      <c r="G24" s="85" t="s">
        <v>368</v>
      </c>
      <c r="H24" s="85" t="s">
        <v>368</v>
      </c>
      <c r="I24" s="85" t="s">
        <v>368</v>
      </c>
      <c r="J24" s="86"/>
      <c r="K24" s="98" t="s">
        <v>395</v>
      </c>
      <c r="L24" s="98" t="s">
        <v>395</v>
      </c>
      <c r="M24" s="23"/>
      <c r="N24" s="22"/>
      <c r="O24" s="23"/>
      <c r="P24" s="23" t="s">
        <v>214</v>
      </c>
      <c r="Q24" s="87" t="s">
        <v>396</v>
      </c>
      <c r="T24" s="90"/>
      <c r="U24" s="90"/>
    </row>
    <row r="25" spans="1:21" ht="25.5" customHeight="1" x14ac:dyDescent="0.25">
      <c r="A25" s="77" t="s">
        <v>239</v>
      </c>
      <c r="B25" s="86">
        <v>350</v>
      </c>
      <c r="C25" s="86">
        <v>650</v>
      </c>
      <c r="D25" s="85" t="s">
        <v>380</v>
      </c>
      <c r="E25" s="85" t="s">
        <v>380</v>
      </c>
      <c r="F25" s="85" t="s">
        <v>380</v>
      </c>
      <c r="G25" s="85" t="s">
        <v>369</v>
      </c>
      <c r="H25" s="85" t="s">
        <v>369</v>
      </c>
      <c r="I25" s="85" t="s">
        <v>369</v>
      </c>
      <c r="J25" s="86"/>
      <c r="K25" s="98" t="s">
        <v>395</v>
      </c>
      <c r="L25" s="98" t="s">
        <v>395</v>
      </c>
      <c r="M25" s="22"/>
      <c r="N25" s="22"/>
      <c r="O25" s="23"/>
      <c r="P25" s="23" t="s">
        <v>214</v>
      </c>
      <c r="Q25" s="87" t="s">
        <v>396</v>
      </c>
      <c r="T25" s="90"/>
      <c r="U25" s="90"/>
    </row>
    <row r="26" spans="1:21" ht="25.5" customHeight="1" x14ac:dyDescent="0.25">
      <c r="A26" s="77" t="s">
        <v>240</v>
      </c>
      <c r="B26" s="86">
        <v>350</v>
      </c>
      <c r="C26" s="86">
        <v>650</v>
      </c>
      <c r="D26" s="85" t="s">
        <v>361</v>
      </c>
      <c r="E26" s="85" t="s">
        <v>361</v>
      </c>
      <c r="F26" s="85" t="s">
        <v>361</v>
      </c>
      <c r="G26" s="85" t="s">
        <v>368</v>
      </c>
      <c r="H26" s="85" t="s">
        <v>368</v>
      </c>
      <c r="I26" s="85" t="s">
        <v>368</v>
      </c>
      <c r="J26" s="86"/>
      <c r="K26" s="98" t="s">
        <v>395</v>
      </c>
      <c r="L26" s="98" t="s">
        <v>395</v>
      </c>
      <c r="M26" s="23"/>
      <c r="N26" s="23"/>
      <c r="O26" s="23"/>
      <c r="P26" s="23" t="s">
        <v>214</v>
      </c>
      <c r="Q26" s="87" t="s">
        <v>396</v>
      </c>
      <c r="T26" s="90"/>
      <c r="U26" s="90"/>
    </row>
    <row r="27" spans="1:21" ht="25.5" customHeight="1" x14ac:dyDescent="0.25">
      <c r="A27" s="77" t="s">
        <v>241</v>
      </c>
      <c r="B27" s="84">
        <v>350</v>
      </c>
      <c r="C27" s="86">
        <v>650</v>
      </c>
      <c r="D27" s="85" t="s">
        <v>367</v>
      </c>
      <c r="E27" s="85" t="s">
        <v>367</v>
      </c>
      <c r="F27" s="85" t="s">
        <v>367</v>
      </c>
      <c r="G27" s="85" t="s">
        <v>367</v>
      </c>
      <c r="H27" s="85" t="s">
        <v>367</v>
      </c>
      <c r="I27" s="85" t="s">
        <v>367</v>
      </c>
      <c r="J27" s="86"/>
      <c r="K27" s="98" t="s">
        <v>366</v>
      </c>
      <c r="L27" s="98" t="s">
        <v>366</v>
      </c>
      <c r="M27" s="23"/>
      <c r="N27" s="23"/>
      <c r="O27" s="89"/>
      <c r="P27" s="23" t="s">
        <v>214</v>
      </c>
      <c r="Q27" s="87" t="s">
        <v>396</v>
      </c>
      <c r="T27" s="90"/>
      <c r="U27" s="90"/>
    </row>
    <row r="28" spans="1:21" ht="25.5" customHeight="1" x14ac:dyDescent="0.25">
      <c r="A28" s="77" t="s">
        <v>242</v>
      </c>
      <c r="B28" s="86">
        <v>350</v>
      </c>
      <c r="C28" s="86">
        <v>650</v>
      </c>
      <c r="D28" s="85" t="s">
        <v>367</v>
      </c>
      <c r="E28" s="85" t="s">
        <v>367</v>
      </c>
      <c r="F28" s="85" t="s">
        <v>367</v>
      </c>
      <c r="G28" s="85" t="s">
        <v>367</v>
      </c>
      <c r="H28" s="85" t="s">
        <v>367</v>
      </c>
      <c r="I28" s="85" t="s">
        <v>367</v>
      </c>
      <c r="J28" s="86"/>
      <c r="K28" s="98" t="s">
        <v>366</v>
      </c>
      <c r="L28" s="98" t="s">
        <v>366</v>
      </c>
      <c r="M28" s="79"/>
      <c r="N28" s="79"/>
      <c r="O28" s="79"/>
      <c r="P28" s="23" t="s">
        <v>214</v>
      </c>
      <c r="Q28" s="87" t="s">
        <v>396</v>
      </c>
      <c r="T28" s="90"/>
      <c r="U28" s="90"/>
    </row>
    <row r="29" spans="1:21" ht="25.5" customHeight="1" x14ac:dyDescent="0.25">
      <c r="A29" s="77" t="s">
        <v>243</v>
      </c>
      <c r="B29" s="86">
        <v>350</v>
      </c>
      <c r="C29" s="86">
        <v>650</v>
      </c>
      <c r="D29" s="85" t="s">
        <v>380</v>
      </c>
      <c r="E29" s="85" t="s">
        <v>380</v>
      </c>
      <c r="F29" s="85" t="s">
        <v>380</v>
      </c>
      <c r="G29" s="85" t="s">
        <v>369</v>
      </c>
      <c r="H29" s="85" t="s">
        <v>369</v>
      </c>
      <c r="I29" s="85" t="s">
        <v>369</v>
      </c>
      <c r="J29" s="86"/>
      <c r="K29" s="98" t="s">
        <v>395</v>
      </c>
      <c r="L29" s="98" t="s">
        <v>395</v>
      </c>
      <c r="M29" s="23"/>
      <c r="N29" s="23"/>
      <c r="O29" s="23"/>
      <c r="P29" s="23" t="s">
        <v>214</v>
      </c>
      <c r="Q29" s="87" t="s">
        <v>396</v>
      </c>
      <c r="T29" s="90"/>
      <c r="U29" s="90"/>
    </row>
    <row r="30" spans="1:21" ht="25.5" customHeight="1" x14ac:dyDescent="0.25">
      <c r="A30" s="77" t="s">
        <v>244</v>
      </c>
      <c r="B30" s="86">
        <v>240</v>
      </c>
      <c r="C30" s="86">
        <v>650</v>
      </c>
      <c r="D30" s="85" t="s">
        <v>365</v>
      </c>
      <c r="E30" s="85" t="s">
        <v>365</v>
      </c>
      <c r="F30" s="85" t="s">
        <v>365</v>
      </c>
      <c r="G30" s="85" t="s">
        <v>367</v>
      </c>
      <c r="H30" s="85" t="s">
        <v>367</v>
      </c>
      <c r="I30" s="85" t="s">
        <v>367</v>
      </c>
      <c r="J30" s="86"/>
      <c r="K30" s="98" t="s">
        <v>366</v>
      </c>
      <c r="L30" s="98" t="s">
        <v>366</v>
      </c>
      <c r="M30" s="23"/>
      <c r="N30" s="23"/>
      <c r="O30" s="23"/>
      <c r="P30" s="23" t="s">
        <v>214</v>
      </c>
      <c r="Q30" s="87" t="s">
        <v>396</v>
      </c>
      <c r="T30" s="90"/>
      <c r="U30" s="90"/>
    </row>
    <row r="31" spans="1:21" ht="25.5" customHeight="1" x14ac:dyDescent="0.25">
      <c r="A31" s="77" t="s">
        <v>245</v>
      </c>
      <c r="B31" s="86">
        <v>240</v>
      </c>
      <c r="C31" s="86">
        <v>650</v>
      </c>
      <c r="D31" s="85" t="s">
        <v>365</v>
      </c>
      <c r="E31" s="85" t="s">
        <v>365</v>
      </c>
      <c r="F31" s="85" t="s">
        <v>365</v>
      </c>
      <c r="G31" s="85" t="s">
        <v>367</v>
      </c>
      <c r="H31" s="85" t="s">
        <v>367</v>
      </c>
      <c r="I31" s="85" t="s">
        <v>367</v>
      </c>
      <c r="J31" s="86"/>
      <c r="K31" s="98" t="s">
        <v>364</v>
      </c>
      <c r="L31" s="98" t="s">
        <v>364</v>
      </c>
      <c r="M31" s="23"/>
      <c r="N31" s="23"/>
      <c r="O31" s="23"/>
      <c r="P31" s="23" t="s">
        <v>214</v>
      </c>
      <c r="Q31" s="87" t="s">
        <v>396</v>
      </c>
      <c r="T31" s="90"/>
      <c r="U31" s="90"/>
    </row>
    <row r="32" spans="1:21" ht="25.5" customHeight="1" x14ac:dyDescent="0.25">
      <c r="A32" s="77" t="s">
        <v>246</v>
      </c>
      <c r="B32" s="86">
        <v>240</v>
      </c>
      <c r="C32" s="86">
        <v>650</v>
      </c>
      <c r="D32" s="85" t="s">
        <v>370</v>
      </c>
      <c r="E32" s="85" t="s">
        <v>370</v>
      </c>
      <c r="F32" s="85" t="s">
        <v>370</v>
      </c>
      <c r="G32" s="91" t="s">
        <v>362</v>
      </c>
      <c r="H32" s="91" t="s">
        <v>362</v>
      </c>
      <c r="I32" s="91" t="s">
        <v>362</v>
      </c>
      <c r="J32" s="86"/>
      <c r="K32" s="98" t="s">
        <v>364</v>
      </c>
      <c r="L32" s="98" t="s">
        <v>364</v>
      </c>
      <c r="M32" s="23"/>
      <c r="N32" s="23"/>
      <c r="O32" s="23"/>
      <c r="P32" s="23" t="s">
        <v>214</v>
      </c>
      <c r="Q32" s="87" t="s">
        <v>396</v>
      </c>
      <c r="T32" s="90"/>
      <c r="U32" s="90"/>
    </row>
    <row r="33" spans="1:17" ht="25.5" customHeight="1" x14ac:dyDescent="0.25">
      <c r="A33" s="77" t="s">
        <v>247</v>
      </c>
      <c r="B33" s="84">
        <v>240</v>
      </c>
      <c r="C33" s="86">
        <v>650</v>
      </c>
      <c r="D33" s="85" t="s">
        <v>370</v>
      </c>
      <c r="E33" s="85" t="s">
        <v>370</v>
      </c>
      <c r="F33" s="85" t="s">
        <v>370</v>
      </c>
      <c r="G33" s="85" t="s">
        <v>365</v>
      </c>
      <c r="H33" s="85" t="s">
        <v>365</v>
      </c>
      <c r="I33" s="85" t="s">
        <v>365</v>
      </c>
      <c r="J33" s="86"/>
      <c r="K33" s="98" t="s">
        <v>366</v>
      </c>
      <c r="L33" s="98" t="s">
        <v>366</v>
      </c>
      <c r="M33" s="23"/>
      <c r="N33" s="23"/>
      <c r="O33" s="23"/>
      <c r="P33" s="23" t="s">
        <v>214</v>
      </c>
      <c r="Q33" s="87" t="s">
        <v>396</v>
      </c>
    </row>
    <row r="34" spans="1:17" ht="25.5" customHeight="1" x14ac:dyDescent="0.25">
      <c r="A34" s="77" t="s">
        <v>248</v>
      </c>
      <c r="B34" s="84">
        <v>240</v>
      </c>
      <c r="C34" s="86">
        <v>650</v>
      </c>
      <c r="D34" s="85" t="s">
        <v>370</v>
      </c>
      <c r="E34" s="85" t="s">
        <v>370</v>
      </c>
      <c r="F34" s="85" t="s">
        <v>370</v>
      </c>
      <c r="G34" s="85" t="s">
        <v>367</v>
      </c>
      <c r="H34" s="85" t="s">
        <v>367</v>
      </c>
      <c r="I34" s="85" t="s">
        <v>367</v>
      </c>
      <c r="J34" s="86"/>
      <c r="K34" s="98" t="s">
        <v>364</v>
      </c>
      <c r="L34" s="98" t="s">
        <v>364</v>
      </c>
      <c r="M34" s="23"/>
      <c r="N34" s="23"/>
      <c r="O34" s="23"/>
      <c r="P34" s="23" t="s">
        <v>214</v>
      </c>
      <c r="Q34" s="87" t="s">
        <v>396</v>
      </c>
    </row>
    <row r="35" spans="1:17" ht="25.5" customHeight="1" x14ac:dyDescent="0.25">
      <c r="A35" s="77" t="s">
        <v>249</v>
      </c>
      <c r="B35" s="84">
        <v>240</v>
      </c>
      <c r="C35" s="86">
        <v>650</v>
      </c>
      <c r="D35" s="85" t="s">
        <v>370</v>
      </c>
      <c r="E35" s="85" t="s">
        <v>370</v>
      </c>
      <c r="F35" s="85" t="s">
        <v>370</v>
      </c>
      <c r="G35" s="85" t="s">
        <v>367</v>
      </c>
      <c r="H35" s="85" t="s">
        <v>367</v>
      </c>
      <c r="I35" s="85" t="s">
        <v>367</v>
      </c>
      <c r="J35" s="86"/>
      <c r="K35" s="98" t="s">
        <v>364</v>
      </c>
      <c r="L35" s="98" t="s">
        <v>364</v>
      </c>
      <c r="M35" s="23"/>
      <c r="N35" s="23"/>
      <c r="O35" s="23"/>
      <c r="P35" s="23" t="s">
        <v>214</v>
      </c>
      <c r="Q35" s="87" t="s">
        <v>396</v>
      </c>
    </row>
    <row r="36" spans="1:17" ht="25.5" customHeight="1" x14ac:dyDescent="0.25">
      <c r="A36" s="17"/>
      <c r="B36" s="97"/>
      <c r="C36" s="97"/>
      <c r="D36" s="16"/>
      <c r="E36" s="16"/>
      <c r="F36" s="16"/>
      <c r="G36" s="16"/>
      <c r="H36" s="16"/>
      <c r="I36" s="16"/>
      <c r="J36" s="16"/>
      <c r="K36" s="16"/>
      <c r="L36" s="16"/>
      <c r="M36" s="17"/>
      <c r="N36" s="17"/>
      <c r="O36" s="17"/>
      <c r="P36" s="17"/>
      <c r="Q36" s="87"/>
    </row>
    <row r="37" spans="1:17" ht="25.5" customHeight="1" x14ac:dyDescent="0.25">
      <c r="A37" s="23" t="s">
        <v>250</v>
      </c>
      <c r="B37" s="23">
        <v>240</v>
      </c>
      <c r="C37" s="23">
        <v>750</v>
      </c>
      <c r="D37" s="23" t="s">
        <v>370</v>
      </c>
      <c r="E37" s="23" t="s">
        <v>385</v>
      </c>
      <c r="F37" s="23" t="s">
        <v>370</v>
      </c>
      <c r="G37" s="23" t="s">
        <v>397</v>
      </c>
      <c r="H37" s="23" t="s">
        <v>397</v>
      </c>
      <c r="I37" s="23" t="s">
        <v>397</v>
      </c>
      <c r="J37" s="23"/>
      <c r="K37" s="101" t="s">
        <v>366</v>
      </c>
      <c r="L37" s="101" t="s">
        <v>378</v>
      </c>
      <c r="M37" s="23"/>
      <c r="N37" s="23"/>
      <c r="O37" s="23"/>
      <c r="P37" s="23" t="s">
        <v>215</v>
      </c>
      <c r="Q37" s="87" t="s">
        <v>381</v>
      </c>
    </row>
    <row r="38" spans="1:17" ht="25.5" customHeight="1" x14ac:dyDescent="0.25">
      <c r="A38" s="23" t="s">
        <v>251</v>
      </c>
      <c r="B38" s="23">
        <v>240</v>
      </c>
      <c r="C38" s="23">
        <v>750</v>
      </c>
      <c r="D38" s="23" t="s">
        <v>370</v>
      </c>
      <c r="E38" s="23" t="s">
        <v>385</v>
      </c>
      <c r="F38" s="23" t="s">
        <v>370</v>
      </c>
      <c r="G38" s="23" t="s">
        <v>397</v>
      </c>
      <c r="H38" s="23" t="s">
        <v>397</v>
      </c>
      <c r="I38" s="23" t="s">
        <v>397</v>
      </c>
      <c r="J38" s="23"/>
      <c r="K38" s="101" t="s">
        <v>366</v>
      </c>
      <c r="L38" s="101" t="s">
        <v>378</v>
      </c>
      <c r="M38" s="23"/>
      <c r="N38" s="23"/>
      <c r="O38" s="23"/>
      <c r="P38" s="23" t="s">
        <v>215</v>
      </c>
      <c r="Q38" s="87" t="s">
        <v>381</v>
      </c>
    </row>
    <row r="39" spans="1:17" ht="25.5" customHeight="1" x14ac:dyDescent="0.25">
      <c r="A39" s="23" t="s">
        <v>252</v>
      </c>
      <c r="B39" s="23">
        <v>240</v>
      </c>
      <c r="C39" s="23">
        <v>600</v>
      </c>
      <c r="D39" s="23" t="s">
        <v>392</v>
      </c>
      <c r="E39" s="23" t="s">
        <v>392</v>
      </c>
      <c r="F39" s="23" t="s">
        <v>392</v>
      </c>
      <c r="G39" s="23" t="s">
        <v>373</v>
      </c>
      <c r="H39" s="23" t="s">
        <v>373</v>
      </c>
      <c r="I39" s="23" t="s">
        <v>373</v>
      </c>
      <c r="J39" s="23"/>
      <c r="K39" s="23" t="s">
        <v>377</v>
      </c>
      <c r="L39" s="23" t="s">
        <v>377</v>
      </c>
      <c r="M39" s="23"/>
      <c r="N39" s="23"/>
      <c r="O39" s="23"/>
      <c r="P39" s="23" t="s">
        <v>215</v>
      </c>
      <c r="Q39" s="87" t="s">
        <v>381</v>
      </c>
    </row>
    <row r="40" spans="1:17" ht="25.5" customHeight="1" x14ac:dyDescent="0.25">
      <c r="A40" s="23" t="s">
        <v>253</v>
      </c>
      <c r="B40" s="23">
        <v>240</v>
      </c>
      <c r="C40" s="23">
        <v>600</v>
      </c>
      <c r="D40" s="23" t="s">
        <v>392</v>
      </c>
      <c r="E40" s="23" t="s">
        <v>392</v>
      </c>
      <c r="F40" s="23" t="s">
        <v>392</v>
      </c>
      <c r="G40" s="23" t="s">
        <v>373</v>
      </c>
      <c r="H40" s="23" t="s">
        <v>373</v>
      </c>
      <c r="I40" s="23" t="s">
        <v>373</v>
      </c>
      <c r="J40" s="23"/>
      <c r="K40" s="23" t="s">
        <v>377</v>
      </c>
      <c r="L40" s="23" t="s">
        <v>377</v>
      </c>
      <c r="M40" s="23"/>
      <c r="N40" s="23"/>
      <c r="O40" s="23"/>
      <c r="P40" s="23" t="s">
        <v>215</v>
      </c>
      <c r="Q40" s="87" t="s">
        <v>381</v>
      </c>
    </row>
    <row r="41" spans="1:17" ht="25.5" customHeight="1" x14ac:dyDescent="0.25">
      <c r="A41" s="23" t="s">
        <v>254</v>
      </c>
      <c r="B41" s="23">
        <v>240</v>
      </c>
      <c r="C41" s="23">
        <v>650</v>
      </c>
      <c r="D41" s="23" t="s">
        <v>370</v>
      </c>
      <c r="E41" s="23" t="s">
        <v>374</v>
      </c>
      <c r="F41" s="23" t="s">
        <v>370</v>
      </c>
      <c r="G41" s="23" t="s">
        <v>373</v>
      </c>
      <c r="H41" s="23" t="s">
        <v>373</v>
      </c>
      <c r="I41" s="23" t="s">
        <v>373</v>
      </c>
      <c r="J41" s="23"/>
      <c r="K41" s="23" t="s">
        <v>377</v>
      </c>
      <c r="L41" s="23" t="s">
        <v>378</v>
      </c>
      <c r="M41" s="23"/>
      <c r="N41" s="23"/>
      <c r="O41" s="23"/>
      <c r="P41" s="23" t="s">
        <v>215</v>
      </c>
      <c r="Q41" s="87" t="s">
        <v>381</v>
      </c>
    </row>
    <row r="42" spans="1:17" ht="25.5" customHeight="1" x14ac:dyDescent="0.25">
      <c r="A42" s="23" t="s">
        <v>255</v>
      </c>
      <c r="B42" s="23">
        <v>240</v>
      </c>
      <c r="C42" s="23">
        <v>650</v>
      </c>
      <c r="D42" s="23" t="s">
        <v>370</v>
      </c>
      <c r="E42" s="23" t="s">
        <v>374</v>
      </c>
      <c r="F42" s="23" t="s">
        <v>370</v>
      </c>
      <c r="G42" s="23" t="s">
        <v>373</v>
      </c>
      <c r="H42" s="23" t="s">
        <v>373</v>
      </c>
      <c r="I42" s="23" t="s">
        <v>373</v>
      </c>
      <c r="J42" s="23"/>
      <c r="K42" s="23" t="s">
        <v>377</v>
      </c>
      <c r="L42" s="23" t="s">
        <v>378</v>
      </c>
      <c r="M42" s="23"/>
      <c r="N42" s="23"/>
      <c r="O42" s="23"/>
      <c r="P42" s="23" t="s">
        <v>215</v>
      </c>
      <c r="Q42" s="87" t="s">
        <v>381</v>
      </c>
    </row>
    <row r="43" spans="1:17" ht="25.5" customHeight="1" x14ac:dyDescent="0.25">
      <c r="A43" s="23" t="s">
        <v>256</v>
      </c>
      <c r="B43" s="82">
        <v>240</v>
      </c>
      <c r="C43" s="23">
        <v>650</v>
      </c>
      <c r="D43" s="23" t="s">
        <v>370</v>
      </c>
      <c r="E43" s="23" t="s">
        <v>374</v>
      </c>
      <c r="F43" s="23" t="s">
        <v>370</v>
      </c>
      <c r="G43" s="23" t="s">
        <v>373</v>
      </c>
      <c r="H43" s="23" t="s">
        <v>373</v>
      </c>
      <c r="I43" s="23" t="s">
        <v>373</v>
      </c>
      <c r="J43" s="23"/>
      <c r="K43" s="23" t="s">
        <v>377</v>
      </c>
      <c r="L43" s="23" t="s">
        <v>378</v>
      </c>
      <c r="M43" s="23"/>
      <c r="N43" s="23"/>
      <c r="O43" s="23"/>
      <c r="P43" s="23" t="s">
        <v>215</v>
      </c>
      <c r="Q43" s="87" t="s">
        <v>381</v>
      </c>
    </row>
    <row r="44" spans="1:17" ht="25.5" customHeight="1" x14ac:dyDescent="0.25">
      <c r="A44" s="23" t="s">
        <v>257</v>
      </c>
      <c r="B44" s="82">
        <v>240</v>
      </c>
      <c r="C44" s="23">
        <v>650</v>
      </c>
      <c r="D44" s="23" t="s">
        <v>370</v>
      </c>
      <c r="E44" s="23" t="s">
        <v>374</v>
      </c>
      <c r="F44" s="23" t="s">
        <v>370</v>
      </c>
      <c r="G44" s="23" t="s">
        <v>373</v>
      </c>
      <c r="H44" s="23" t="s">
        <v>373</v>
      </c>
      <c r="I44" s="23" t="s">
        <v>373</v>
      </c>
      <c r="J44" s="23"/>
      <c r="K44" s="23" t="s">
        <v>377</v>
      </c>
      <c r="L44" s="23" t="s">
        <v>378</v>
      </c>
      <c r="M44" s="23"/>
      <c r="N44" s="23"/>
      <c r="O44" s="23"/>
      <c r="P44" s="23" t="s">
        <v>215</v>
      </c>
      <c r="Q44" s="87" t="s">
        <v>381</v>
      </c>
    </row>
    <row r="45" spans="1:17" ht="25.5" customHeight="1" x14ac:dyDescent="0.25">
      <c r="A45" s="23" t="s">
        <v>258</v>
      </c>
      <c r="B45" s="82">
        <v>240</v>
      </c>
      <c r="C45" s="23">
        <v>650</v>
      </c>
      <c r="D45" s="23" t="s">
        <v>386</v>
      </c>
      <c r="E45" s="23" t="s">
        <v>386</v>
      </c>
      <c r="F45" s="23" t="s">
        <v>386</v>
      </c>
      <c r="G45" s="23" t="s">
        <v>373</v>
      </c>
      <c r="H45" s="23" t="s">
        <v>373</v>
      </c>
      <c r="I45" s="23" t="s">
        <v>373</v>
      </c>
      <c r="J45" s="23"/>
      <c r="K45" s="23" t="s">
        <v>377</v>
      </c>
      <c r="L45" s="23" t="s">
        <v>377</v>
      </c>
      <c r="M45" s="23"/>
      <c r="N45" s="23"/>
      <c r="O45" s="23"/>
      <c r="P45" s="23" t="s">
        <v>215</v>
      </c>
      <c r="Q45" s="87" t="s">
        <v>381</v>
      </c>
    </row>
    <row r="46" spans="1:17" ht="25.5" customHeight="1" x14ac:dyDescent="0.25">
      <c r="A46" s="23" t="s">
        <v>259</v>
      </c>
      <c r="B46" s="82">
        <v>240</v>
      </c>
      <c r="C46" s="23">
        <v>650</v>
      </c>
      <c r="D46" s="23" t="s">
        <v>386</v>
      </c>
      <c r="E46" s="23" t="s">
        <v>386</v>
      </c>
      <c r="F46" s="23" t="s">
        <v>386</v>
      </c>
      <c r="G46" s="23" t="s">
        <v>373</v>
      </c>
      <c r="H46" s="23" t="s">
        <v>373</v>
      </c>
      <c r="I46" s="23" t="s">
        <v>373</v>
      </c>
      <c r="J46" s="23"/>
      <c r="K46" s="23" t="s">
        <v>377</v>
      </c>
      <c r="L46" s="23" t="s">
        <v>377</v>
      </c>
      <c r="M46" s="23"/>
      <c r="N46" s="23"/>
      <c r="O46" s="23"/>
      <c r="P46" s="23" t="s">
        <v>215</v>
      </c>
      <c r="Q46" s="87" t="s">
        <v>381</v>
      </c>
    </row>
    <row r="47" spans="1:17" ht="25.5" customHeight="1" x14ac:dyDescent="0.25">
      <c r="A47" s="23" t="s">
        <v>260</v>
      </c>
      <c r="B47" s="23">
        <v>240</v>
      </c>
      <c r="C47" s="23">
        <v>650</v>
      </c>
      <c r="D47" s="23" t="s">
        <v>386</v>
      </c>
      <c r="E47" s="23" t="s">
        <v>386</v>
      </c>
      <c r="F47" s="23" t="s">
        <v>386</v>
      </c>
      <c r="G47" s="23" t="s">
        <v>373</v>
      </c>
      <c r="H47" s="23" t="s">
        <v>373</v>
      </c>
      <c r="I47" s="23" t="s">
        <v>373</v>
      </c>
      <c r="J47" s="23"/>
      <c r="K47" s="23" t="s">
        <v>377</v>
      </c>
      <c r="L47" s="23" t="s">
        <v>377</v>
      </c>
      <c r="M47" s="23"/>
      <c r="N47" s="23"/>
      <c r="O47" s="23"/>
      <c r="P47" s="23" t="s">
        <v>215</v>
      </c>
      <c r="Q47" s="87" t="s">
        <v>381</v>
      </c>
    </row>
    <row r="48" spans="1:17" ht="25.5" customHeight="1" x14ac:dyDescent="0.25">
      <c r="A48" s="23" t="s">
        <v>261</v>
      </c>
      <c r="B48" s="23">
        <v>240</v>
      </c>
      <c r="C48" s="23">
        <v>650</v>
      </c>
      <c r="D48" s="23" t="s">
        <v>386</v>
      </c>
      <c r="E48" s="23" t="s">
        <v>386</v>
      </c>
      <c r="F48" s="23" t="s">
        <v>386</v>
      </c>
      <c r="G48" s="23" t="s">
        <v>373</v>
      </c>
      <c r="H48" s="23" t="s">
        <v>373</v>
      </c>
      <c r="I48" s="23" t="s">
        <v>373</v>
      </c>
      <c r="J48" s="23"/>
      <c r="K48" s="23" t="s">
        <v>377</v>
      </c>
      <c r="L48" s="23" t="s">
        <v>377</v>
      </c>
      <c r="M48" s="23"/>
      <c r="N48" s="23"/>
      <c r="O48" s="23"/>
      <c r="P48" s="23" t="s">
        <v>215</v>
      </c>
      <c r="Q48" s="87" t="s">
        <v>381</v>
      </c>
    </row>
    <row r="49" spans="1:17" ht="25.5" customHeight="1" x14ac:dyDescent="0.25">
      <c r="A49" s="23" t="s">
        <v>262</v>
      </c>
      <c r="B49" s="23">
        <v>240</v>
      </c>
      <c r="C49" s="23">
        <v>650</v>
      </c>
      <c r="D49" s="23" t="s">
        <v>373</v>
      </c>
      <c r="E49" s="23" t="s">
        <v>373</v>
      </c>
      <c r="F49" s="23" t="s">
        <v>373</v>
      </c>
      <c r="G49" s="23" t="s">
        <v>373</v>
      </c>
      <c r="H49" s="23" t="s">
        <v>373</v>
      </c>
      <c r="I49" s="23" t="s">
        <v>373</v>
      </c>
      <c r="J49" s="23"/>
      <c r="K49" s="23" t="s">
        <v>366</v>
      </c>
      <c r="L49" s="23" t="s">
        <v>366</v>
      </c>
      <c r="M49" s="23"/>
      <c r="N49" s="23"/>
      <c r="O49" s="23"/>
      <c r="P49" s="23" t="s">
        <v>215</v>
      </c>
      <c r="Q49" s="87" t="s">
        <v>381</v>
      </c>
    </row>
    <row r="50" spans="1:17" ht="25.5" customHeight="1" x14ac:dyDescent="0.25">
      <c r="A50" s="23" t="s">
        <v>263</v>
      </c>
      <c r="B50" s="23">
        <v>240</v>
      </c>
      <c r="C50" s="23">
        <v>650</v>
      </c>
      <c r="D50" s="23" t="s">
        <v>373</v>
      </c>
      <c r="E50" s="23" t="s">
        <v>373</v>
      </c>
      <c r="F50" s="23" t="s">
        <v>373</v>
      </c>
      <c r="G50" s="23" t="s">
        <v>373</v>
      </c>
      <c r="H50" s="23" t="s">
        <v>373</v>
      </c>
      <c r="I50" s="23" t="s">
        <v>373</v>
      </c>
      <c r="J50" s="23"/>
      <c r="K50" s="23" t="s">
        <v>366</v>
      </c>
      <c r="L50" s="23" t="s">
        <v>366</v>
      </c>
      <c r="M50" s="23"/>
      <c r="N50" s="23"/>
      <c r="O50" s="23"/>
      <c r="P50" s="23" t="s">
        <v>215</v>
      </c>
      <c r="Q50" s="87" t="s">
        <v>381</v>
      </c>
    </row>
    <row r="51" spans="1:17" ht="25.5" customHeight="1" x14ac:dyDescent="0.25">
      <c r="A51" s="23" t="s">
        <v>264</v>
      </c>
      <c r="B51" s="23">
        <v>240</v>
      </c>
      <c r="C51" s="23">
        <v>650</v>
      </c>
      <c r="D51" s="23" t="s">
        <v>386</v>
      </c>
      <c r="E51" s="23" t="s">
        <v>386</v>
      </c>
      <c r="F51" s="23" t="s">
        <v>386</v>
      </c>
      <c r="G51" s="23" t="s">
        <v>373</v>
      </c>
      <c r="H51" s="23" t="s">
        <v>373</v>
      </c>
      <c r="I51" s="23" t="s">
        <v>373</v>
      </c>
      <c r="J51" s="23" t="s">
        <v>371</v>
      </c>
      <c r="K51" s="23" t="s">
        <v>376</v>
      </c>
      <c r="L51" s="23" t="s">
        <v>376</v>
      </c>
      <c r="M51" s="23"/>
      <c r="N51" s="23"/>
      <c r="O51" s="23"/>
      <c r="P51" s="23" t="s">
        <v>215</v>
      </c>
      <c r="Q51" s="87" t="s">
        <v>396</v>
      </c>
    </row>
    <row r="52" spans="1:17" ht="25.5" customHeight="1" x14ac:dyDescent="0.25">
      <c r="A52" s="23" t="s">
        <v>265</v>
      </c>
      <c r="B52" s="23">
        <v>240</v>
      </c>
      <c r="C52" s="23">
        <v>650</v>
      </c>
      <c r="D52" s="23" t="s">
        <v>386</v>
      </c>
      <c r="E52" s="23" t="s">
        <v>386</v>
      </c>
      <c r="F52" s="23" t="s">
        <v>386</v>
      </c>
      <c r="G52" s="23" t="s">
        <v>373</v>
      </c>
      <c r="H52" s="23" t="s">
        <v>373</v>
      </c>
      <c r="I52" s="23" t="s">
        <v>373</v>
      </c>
      <c r="J52" s="23" t="s">
        <v>371</v>
      </c>
      <c r="K52" s="23" t="s">
        <v>376</v>
      </c>
      <c r="L52" s="23" t="s">
        <v>376</v>
      </c>
      <c r="M52" s="23"/>
      <c r="N52" s="23"/>
      <c r="O52" s="23"/>
      <c r="P52" s="23" t="s">
        <v>215</v>
      </c>
      <c r="Q52" s="87" t="s">
        <v>396</v>
      </c>
    </row>
    <row r="53" spans="1:17" ht="25.2" customHeight="1" x14ac:dyDescent="0.25">
      <c r="A53" s="23" t="s">
        <v>266</v>
      </c>
      <c r="B53" s="23">
        <v>240</v>
      </c>
      <c r="C53" s="23">
        <v>600</v>
      </c>
      <c r="D53" s="23" t="s">
        <v>373</v>
      </c>
      <c r="E53" s="23" t="s">
        <v>373</v>
      </c>
      <c r="F53" s="23" t="s">
        <v>373</v>
      </c>
      <c r="G53" s="23" t="s">
        <v>392</v>
      </c>
      <c r="H53" s="23" t="s">
        <v>392</v>
      </c>
      <c r="I53" s="23" t="s">
        <v>392</v>
      </c>
      <c r="J53" s="23"/>
      <c r="K53" s="23" t="s">
        <v>366</v>
      </c>
      <c r="L53" s="23" t="s">
        <v>366</v>
      </c>
      <c r="M53" s="23" t="s">
        <v>387</v>
      </c>
      <c r="N53" s="23"/>
      <c r="O53" s="23"/>
      <c r="P53" s="23" t="s">
        <v>215</v>
      </c>
      <c r="Q53" s="87" t="s">
        <v>381</v>
      </c>
    </row>
    <row r="54" spans="1:17" ht="25.5" customHeight="1" x14ac:dyDescent="0.25">
      <c r="A54" s="23" t="s">
        <v>267</v>
      </c>
      <c r="B54" s="23">
        <v>240</v>
      </c>
      <c r="C54" s="23">
        <v>600</v>
      </c>
      <c r="D54" s="23" t="s">
        <v>373</v>
      </c>
      <c r="E54" s="23" t="s">
        <v>373</v>
      </c>
      <c r="F54" s="23" t="s">
        <v>373</v>
      </c>
      <c r="G54" s="23" t="s">
        <v>392</v>
      </c>
      <c r="H54" s="23" t="s">
        <v>392</v>
      </c>
      <c r="I54" s="23" t="s">
        <v>392</v>
      </c>
      <c r="J54" s="23"/>
      <c r="K54" s="23" t="s">
        <v>366</v>
      </c>
      <c r="L54" s="23" t="s">
        <v>366</v>
      </c>
      <c r="M54" s="23" t="s">
        <v>387</v>
      </c>
      <c r="N54" s="23"/>
      <c r="O54" s="23"/>
      <c r="P54" s="23" t="s">
        <v>215</v>
      </c>
      <c r="Q54" s="87" t="s">
        <v>381</v>
      </c>
    </row>
    <row r="55" spans="1:17" ht="25.5" customHeight="1" x14ac:dyDescent="0.25">
      <c r="A55" s="23" t="s">
        <v>268</v>
      </c>
      <c r="B55" s="23">
        <v>240</v>
      </c>
      <c r="C55" s="23">
        <v>650</v>
      </c>
      <c r="D55" s="23" t="s">
        <v>365</v>
      </c>
      <c r="E55" s="23" t="s">
        <v>393</v>
      </c>
      <c r="F55" s="23" t="s">
        <v>365</v>
      </c>
      <c r="G55" s="23" t="s">
        <v>373</v>
      </c>
      <c r="H55" s="23" t="s">
        <v>373</v>
      </c>
      <c r="I55" s="23" t="s">
        <v>373</v>
      </c>
      <c r="J55" s="23"/>
      <c r="K55" s="23" t="s">
        <v>377</v>
      </c>
      <c r="L55" s="23" t="s">
        <v>378</v>
      </c>
      <c r="M55" s="23"/>
      <c r="N55" s="23"/>
      <c r="O55" s="23"/>
      <c r="P55" s="23" t="s">
        <v>215</v>
      </c>
      <c r="Q55" s="87" t="s">
        <v>381</v>
      </c>
    </row>
    <row r="56" spans="1:17" ht="25.5" customHeight="1" x14ac:dyDescent="0.25">
      <c r="A56" s="23" t="s">
        <v>269</v>
      </c>
      <c r="B56" s="23">
        <v>240</v>
      </c>
      <c r="C56" s="23">
        <v>650</v>
      </c>
      <c r="D56" s="23" t="s">
        <v>365</v>
      </c>
      <c r="E56" s="23" t="s">
        <v>393</v>
      </c>
      <c r="F56" s="23" t="s">
        <v>365</v>
      </c>
      <c r="G56" s="23" t="s">
        <v>373</v>
      </c>
      <c r="H56" s="23" t="s">
        <v>373</v>
      </c>
      <c r="I56" s="23" t="s">
        <v>373</v>
      </c>
      <c r="J56" s="23"/>
      <c r="K56" s="23" t="s">
        <v>377</v>
      </c>
      <c r="L56" s="23" t="s">
        <v>378</v>
      </c>
      <c r="M56" s="23"/>
      <c r="N56" s="23"/>
      <c r="O56" s="23"/>
      <c r="P56" s="23" t="s">
        <v>215</v>
      </c>
      <c r="Q56" s="87" t="s">
        <v>381</v>
      </c>
    </row>
    <row r="57" spans="1:17" ht="25.5" customHeight="1" x14ac:dyDescent="0.25">
      <c r="A57" s="23" t="s">
        <v>270</v>
      </c>
      <c r="B57" s="23">
        <v>240</v>
      </c>
      <c r="C57" s="23">
        <v>325</v>
      </c>
      <c r="D57" s="23" t="s">
        <v>373</v>
      </c>
      <c r="E57" s="23" t="s">
        <v>373</v>
      </c>
      <c r="F57" s="23" t="s">
        <v>373</v>
      </c>
      <c r="G57" s="23" t="s">
        <v>373</v>
      </c>
      <c r="H57" s="23" t="s">
        <v>373</v>
      </c>
      <c r="I57" s="23" t="s">
        <v>373</v>
      </c>
      <c r="J57" s="23"/>
      <c r="K57" s="23" t="s">
        <v>376</v>
      </c>
      <c r="L57" s="23" t="s">
        <v>376</v>
      </c>
      <c r="M57" s="23"/>
      <c r="N57" s="23"/>
      <c r="O57" s="23"/>
      <c r="P57" s="23" t="s">
        <v>215</v>
      </c>
      <c r="Q57" s="87" t="s">
        <v>381</v>
      </c>
    </row>
    <row r="58" spans="1:17" ht="25.5" customHeight="1" x14ac:dyDescent="0.25">
      <c r="A58" s="23" t="s">
        <v>271</v>
      </c>
      <c r="B58" s="23">
        <v>240</v>
      </c>
      <c r="C58" s="23">
        <v>325</v>
      </c>
      <c r="D58" s="23" t="s">
        <v>373</v>
      </c>
      <c r="E58" s="23" t="s">
        <v>373</v>
      </c>
      <c r="F58" s="23" t="s">
        <v>373</v>
      </c>
      <c r="G58" s="23" t="s">
        <v>373</v>
      </c>
      <c r="H58" s="23" t="s">
        <v>373</v>
      </c>
      <c r="I58" s="23" t="s">
        <v>373</v>
      </c>
      <c r="J58" s="23"/>
      <c r="K58" s="23" t="s">
        <v>376</v>
      </c>
      <c r="L58" s="23" t="s">
        <v>376</v>
      </c>
      <c r="M58" s="23"/>
      <c r="N58" s="23"/>
      <c r="O58" s="23"/>
      <c r="P58" s="23" t="s">
        <v>215</v>
      </c>
      <c r="Q58" s="87" t="s">
        <v>381</v>
      </c>
    </row>
    <row r="59" spans="1:17" ht="25.5" customHeight="1" x14ac:dyDescent="0.25">
      <c r="A59" s="23" t="s">
        <v>272</v>
      </c>
      <c r="B59" s="23">
        <v>240</v>
      </c>
      <c r="C59" s="23">
        <v>650</v>
      </c>
      <c r="D59" s="23" t="s">
        <v>365</v>
      </c>
      <c r="E59" s="23" t="s">
        <v>393</v>
      </c>
      <c r="F59" s="23" t="s">
        <v>365</v>
      </c>
      <c r="G59" s="23" t="s">
        <v>373</v>
      </c>
      <c r="H59" s="23" t="s">
        <v>373</v>
      </c>
      <c r="I59" s="23" t="s">
        <v>373</v>
      </c>
      <c r="J59" s="23"/>
      <c r="K59" s="23" t="s">
        <v>377</v>
      </c>
      <c r="L59" s="23" t="s">
        <v>378</v>
      </c>
      <c r="M59" s="23"/>
      <c r="N59" s="23"/>
      <c r="O59" s="23"/>
      <c r="P59" s="23" t="s">
        <v>215</v>
      </c>
      <c r="Q59" s="87" t="s">
        <v>381</v>
      </c>
    </row>
    <row r="60" spans="1:17" ht="25.5" customHeight="1" x14ac:dyDescent="0.25">
      <c r="A60" s="23" t="s">
        <v>273</v>
      </c>
      <c r="B60" s="23">
        <v>240</v>
      </c>
      <c r="C60" s="23">
        <v>650</v>
      </c>
      <c r="D60" s="23" t="s">
        <v>365</v>
      </c>
      <c r="E60" s="23" t="s">
        <v>393</v>
      </c>
      <c r="F60" s="23" t="s">
        <v>365</v>
      </c>
      <c r="G60" s="23" t="s">
        <v>373</v>
      </c>
      <c r="H60" s="23" t="s">
        <v>373</v>
      </c>
      <c r="I60" s="23" t="s">
        <v>373</v>
      </c>
      <c r="J60" s="23"/>
      <c r="K60" s="23" t="s">
        <v>377</v>
      </c>
      <c r="L60" s="23" t="s">
        <v>378</v>
      </c>
      <c r="M60" s="23"/>
      <c r="N60" s="23"/>
      <c r="O60" s="23"/>
      <c r="P60" s="23" t="s">
        <v>215</v>
      </c>
      <c r="Q60" s="87" t="s">
        <v>381</v>
      </c>
    </row>
    <row r="61" spans="1:17" ht="25.5" customHeight="1" x14ac:dyDescent="0.25">
      <c r="A61" s="23" t="s">
        <v>274</v>
      </c>
      <c r="B61" s="23">
        <v>240</v>
      </c>
      <c r="C61" s="23">
        <v>650</v>
      </c>
      <c r="D61" s="23" t="s">
        <v>392</v>
      </c>
      <c r="E61" s="23" t="s">
        <v>392</v>
      </c>
      <c r="F61" s="23" t="s">
        <v>392</v>
      </c>
      <c r="G61" s="23" t="s">
        <v>386</v>
      </c>
      <c r="H61" s="23" t="s">
        <v>386</v>
      </c>
      <c r="I61" s="23" t="s">
        <v>386</v>
      </c>
      <c r="J61" s="23"/>
      <c r="K61" s="23" t="s">
        <v>376</v>
      </c>
      <c r="L61" s="23" t="s">
        <v>376</v>
      </c>
      <c r="M61" s="23"/>
      <c r="N61" s="23"/>
      <c r="O61" s="23"/>
      <c r="P61" s="23" t="s">
        <v>215</v>
      </c>
      <c r="Q61" s="87" t="s">
        <v>381</v>
      </c>
    </row>
    <row r="62" spans="1:17" ht="25.5" customHeight="1" x14ac:dyDescent="0.25">
      <c r="A62" s="23" t="s">
        <v>275</v>
      </c>
      <c r="B62" s="23">
        <v>240</v>
      </c>
      <c r="C62" s="23">
        <v>600</v>
      </c>
      <c r="D62" s="23" t="s">
        <v>373</v>
      </c>
      <c r="E62" s="23" t="s">
        <v>373</v>
      </c>
      <c r="F62" s="23" t="s">
        <v>373</v>
      </c>
      <c r="G62" s="23" t="s">
        <v>373</v>
      </c>
      <c r="H62" s="23" t="s">
        <v>373</v>
      </c>
      <c r="I62" s="23" t="s">
        <v>373</v>
      </c>
      <c r="J62" s="23"/>
      <c r="K62" s="23" t="s">
        <v>376</v>
      </c>
      <c r="L62" s="23" t="s">
        <v>376</v>
      </c>
      <c r="M62" s="23"/>
      <c r="N62" s="23"/>
      <c r="O62" s="23"/>
      <c r="P62" s="23" t="s">
        <v>215</v>
      </c>
      <c r="Q62" s="87" t="s">
        <v>381</v>
      </c>
    </row>
    <row r="63" spans="1:17" ht="25.5" customHeight="1" x14ac:dyDescent="0.25">
      <c r="A63" s="23" t="s">
        <v>276</v>
      </c>
      <c r="B63" s="23">
        <v>240</v>
      </c>
      <c r="C63" s="23">
        <v>600</v>
      </c>
      <c r="D63" s="23" t="s">
        <v>392</v>
      </c>
      <c r="E63" s="23" t="s">
        <v>392</v>
      </c>
      <c r="F63" s="23" t="s">
        <v>392</v>
      </c>
      <c r="G63" s="23" t="s">
        <v>373</v>
      </c>
      <c r="H63" s="23" t="s">
        <v>373</v>
      </c>
      <c r="I63" s="23" t="s">
        <v>373</v>
      </c>
      <c r="J63" s="23"/>
      <c r="K63" s="23" t="s">
        <v>377</v>
      </c>
      <c r="L63" s="23" t="s">
        <v>379</v>
      </c>
      <c r="M63" s="23"/>
      <c r="N63" s="23"/>
      <c r="O63" s="23"/>
      <c r="P63" s="23" t="s">
        <v>215</v>
      </c>
      <c r="Q63" s="87" t="s">
        <v>381</v>
      </c>
    </row>
    <row r="64" spans="1:17" ht="25.5" customHeight="1" x14ac:dyDescent="0.25">
      <c r="A64" s="23" t="s">
        <v>277</v>
      </c>
      <c r="B64" s="23">
        <v>240</v>
      </c>
      <c r="C64" s="23">
        <v>600</v>
      </c>
      <c r="D64" s="23" t="s">
        <v>373</v>
      </c>
      <c r="E64" s="23" t="s">
        <v>373</v>
      </c>
      <c r="F64" s="23" t="s">
        <v>373</v>
      </c>
      <c r="G64" s="23" t="s">
        <v>373</v>
      </c>
      <c r="H64" s="23" t="s">
        <v>373</v>
      </c>
      <c r="I64" s="23" t="s">
        <v>373</v>
      </c>
      <c r="J64" s="23"/>
      <c r="K64" s="23" t="s">
        <v>376</v>
      </c>
      <c r="L64" s="23" t="s">
        <v>376</v>
      </c>
      <c r="M64" s="23"/>
      <c r="N64" s="23"/>
      <c r="O64" s="23"/>
      <c r="P64" s="23" t="s">
        <v>215</v>
      </c>
      <c r="Q64" s="87" t="s">
        <v>381</v>
      </c>
    </row>
    <row r="65" spans="1:17" ht="25.5" customHeight="1" x14ac:dyDescent="0.25">
      <c r="A65" s="23" t="s">
        <v>278</v>
      </c>
      <c r="B65" s="23">
        <v>240</v>
      </c>
      <c r="C65" s="23">
        <v>600</v>
      </c>
      <c r="D65" s="23" t="s">
        <v>373</v>
      </c>
      <c r="E65" s="23" t="s">
        <v>373</v>
      </c>
      <c r="F65" s="23" t="s">
        <v>373</v>
      </c>
      <c r="G65" s="23" t="s">
        <v>373</v>
      </c>
      <c r="H65" s="23" t="s">
        <v>373</v>
      </c>
      <c r="I65" s="23" t="s">
        <v>373</v>
      </c>
      <c r="J65" s="23"/>
      <c r="K65" s="23" t="s">
        <v>376</v>
      </c>
      <c r="L65" s="23" t="s">
        <v>376</v>
      </c>
      <c r="M65" s="23"/>
      <c r="N65" s="23"/>
      <c r="O65" s="23"/>
      <c r="P65" s="23" t="s">
        <v>215</v>
      </c>
      <c r="Q65" s="87" t="s">
        <v>381</v>
      </c>
    </row>
    <row r="66" spans="1:17" ht="25.5" customHeight="1" x14ac:dyDescent="0.25">
      <c r="A66" s="23" t="s">
        <v>279</v>
      </c>
      <c r="B66" s="23">
        <v>240</v>
      </c>
      <c r="C66" s="23">
        <v>600</v>
      </c>
      <c r="D66" s="23" t="s">
        <v>392</v>
      </c>
      <c r="E66" s="23" t="s">
        <v>392</v>
      </c>
      <c r="F66" s="23" t="s">
        <v>392</v>
      </c>
      <c r="G66" s="23" t="s">
        <v>373</v>
      </c>
      <c r="H66" s="23" t="s">
        <v>373</v>
      </c>
      <c r="I66" s="23" t="s">
        <v>373</v>
      </c>
      <c r="J66" s="23"/>
      <c r="K66" s="23" t="s">
        <v>377</v>
      </c>
      <c r="L66" s="23" t="s">
        <v>379</v>
      </c>
      <c r="M66" s="93"/>
      <c r="N66" s="23"/>
      <c r="O66" s="23"/>
      <c r="P66" s="23" t="s">
        <v>215</v>
      </c>
      <c r="Q66" s="87" t="s">
        <v>381</v>
      </c>
    </row>
    <row r="67" spans="1:17" ht="25.5" customHeight="1" x14ac:dyDescent="0.25">
      <c r="A67" s="23" t="s">
        <v>280</v>
      </c>
      <c r="B67" s="23">
        <v>240</v>
      </c>
      <c r="C67" s="23">
        <v>600</v>
      </c>
      <c r="D67" s="23" t="s">
        <v>373</v>
      </c>
      <c r="E67" s="23" t="s">
        <v>373</v>
      </c>
      <c r="F67" s="23" t="s">
        <v>373</v>
      </c>
      <c r="G67" s="23" t="s">
        <v>373</v>
      </c>
      <c r="H67" s="23" t="s">
        <v>373</v>
      </c>
      <c r="I67" s="23" t="s">
        <v>373</v>
      </c>
      <c r="J67" s="23"/>
      <c r="K67" s="23" t="s">
        <v>376</v>
      </c>
      <c r="L67" s="23" t="s">
        <v>376</v>
      </c>
      <c r="M67" s="23"/>
      <c r="N67" s="23"/>
      <c r="O67" s="23"/>
      <c r="P67" s="23" t="s">
        <v>215</v>
      </c>
      <c r="Q67" s="87" t="s">
        <v>381</v>
      </c>
    </row>
    <row r="68" spans="1:17" ht="25.5" customHeight="1" x14ac:dyDescent="0.25">
      <c r="A68" s="23" t="s">
        <v>281</v>
      </c>
      <c r="B68" s="23">
        <v>240</v>
      </c>
      <c r="C68" s="23">
        <v>750</v>
      </c>
      <c r="D68" s="23" t="s">
        <v>373</v>
      </c>
      <c r="E68" s="23" t="s">
        <v>373</v>
      </c>
      <c r="F68" s="23" t="s">
        <v>373</v>
      </c>
      <c r="G68" s="23" t="s">
        <v>386</v>
      </c>
      <c r="H68" s="23" t="s">
        <v>386</v>
      </c>
      <c r="I68" s="23" t="s">
        <v>386</v>
      </c>
      <c r="J68" s="23"/>
      <c r="K68" s="23" t="s">
        <v>366</v>
      </c>
      <c r="L68" s="23" t="s">
        <v>366</v>
      </c>
      <c r="M68" s="23" t="s">
        <v>387</v>
      </c>
      <c r="N68" s="23"/>
      <c r="O68" s="23"/>
      <c r="P68" s="23" t="s">
        <v>215</v>
      </c>
      <c r="Q68" s="87" t="s">
        <v>381</v>
      </c>
    </row>
    <row r="69" spans="1:17" ht="25.5" customHeight="1" x14ac:dyDescent="0.25">
      <c r="A69" s="23" t="s">
        <v>282</v>
      </c>
      <c r="B69" s="23">
        <v>240</v>
      </c>
      <c r="C69" s="23">
        <v>600</v>
      </c>
      <c r="D69" s="23" t="s">
        <v>386</v>
      </c>
      <c r="E69" s="23" t="s">
        <v>386</v>
      </c>
      <c r="F69" s="23" t="s">
        <v>386</v>
      </c>
      <c r="G69" s="23" t="s">
        <v>373</v>
      </c>
      <c r="H69" s="23" t="s">
        <v>373</v>
      </c>
      <c r="I69" s="23" t="s">
        <v>373</v>
      </c>
      <c r="J69" s="23"/>
      <c r="K69" s="23" t="s">
        <v>376</v>
      </c>
      <c r="L69" s="23" t="s">
        <v>376</v>
      </c>
      <c r="M69" s="23"/>
      <c r="N69" s="23"/>
      <c r="O69" s="23"/>
      <c r="P69" s="23" t="s">
        <v>215</v>
      </c>
      <c r="Q69" s="87" t="s">
        <v>381</v>
      </c>
    </row>
    <row r="70" spans="1:17" ht="25.5" customHeight="1" x14ac:dyDescent="0.25">
      <c r="A70" s="23" t="s">
        <v>283</v>
      </c>
      <c r="B70" s="23">
        <v>240</v>
      </c>
      <c r="C70" s="23">
        <v>650</v>
      </c>
      <c r="D70" s="23" t="s">
        <v>386</v>
      </c>
      <c r="E70" s="23" t="s">
        <v>386</v>
      </c>
      <c r="F70" s="23" t="s">
        <v>386</v>
      </c>
      <c r="G70" s="23" t="s">
        <v>373</v>
      </c>
      <c r="H70" s="23" t="s">
        <v>373</v>
      </c>
      <c r="I70" s="23" t="s">
        <v>373</v>
      </c>
      <c r="J70" s="23"/>
      <c r="K70" s="23" t="s">
        <v>376</v>
      </c>
      <c r="L70" s="23" t="s">
        <v>376</v>
      </c>
      <c r="M70" s="23"/>
      <c r="N70" s="23"/>
      <c r="O70" s="23"/>
      <c r="P70" s="23" t="s">
        <v>215</v>
      </c>
      <c r="Q70" s="87" t="s">
        <v>381</v>
      </c>
    </row>
    <row r="71" spans="1:17" ht="25.5" customHeight="1" x14ac:dyDescent="0.25">
      <c r="A71" s="23" t="s">
        <v>284</v>
      </c>
      <c r="B71" s="23">
        <v>240</v>
      </c>
      <c r="C71" s="23">
        <v>400</v>
      </c>
      <c r="D71" s="23" t="s">
        <v>373</v>
      </c>
      <c r="E71" s="23" t="s">
        <v>373</v>
      </c>
      <c r="F71" s="23" t="s">
        <v>373</v>
      </c>
      <c r="G71" s="23" t="s">
        <v>373</v>
      </c>
      <c r="H71" s="23" t="s">
        <v>373</v>
      </c>
      <c r="I71" s="23" t="s">
        <v>373</v>
      </c>
      <c r="J71" s="23"/>
      <c r="K71" s="23" t="s">
        <v>376</v>
      </c>
      <c r="L71" s="23" t="s">
        <v>376</v>
      </c>
      <c r="M71" s="23"/>
      <c r="N71" s="23"/>
      <c r="O71" s="23"/>
      <c r="P71" s="23" t="s">
        <v>215</v>
      </c>
      <c r="Q71" s="87" t="s">
        <v>381</v>
      </c>
    </row>
    <row r="72" spans="1:17" ht="25.5" customHeight="1" x14ac:dyDescent="0.25">
      <c r="A72" s="23" t="s">
        <v>388</v>
      </c>
      <c r="B72" s="23">
        <v>240</v>
      </c>
      <c r="C72" s="23">
        <v>650</v>
      </c>
      <c r="D72" s="23" t="s">
        <v>373</v>
      </c>
      <c r="E72" s="23" t="s">
        <v>373</v>
      </c>
      <c r="F72" s="23" t="s">
        <v>373</v>
      </c>
      <c r="G72" s="23" t="s">
        <v>386</v>
      </c>
      <c r="H72" s="23" t="s">
        <v>386</v>
      </c>
      <c r="I72" s="23" t="s">
        <v>386</v>
      </c>
      <c r="J72" s="23"/>
      <c r="K72" s="23" t="s">
        <v>390</v>
      </c>
      <c r="L72" s="23" t="s">
        <v>390</v>
      </c>
      <c r="M72" s="23" t="s">
        <v>387</v>
      </c>
      <c r="N72" s="23"/>
      <c r="O72" s="23"/>
      <c r="P72" s="23" t="s">
        <v>215</v>
      </c>
      <c r="Q72" s="87" t="s">
        <v>381</v>
      </c>
    </row>
    <row r="73" spans="1:17" ht="25.5" customHeight="1" x14ac:dyDescent="0.25">
      <c r="A73" s="23" t="s">
        <v>389</v>
      </c>
      <c r="B73" s="23">
        <v>240</v>
      </c>
      <c r="C73" s="23">
        <v>650</v>
      </c>
      <c r="D73" s="23" t="s">
        <v>373</v>
      </c>
      <c r="E73" s="23" t="s">
        <v>373</v>
      </c>
      <c r="F73" s="23" t="s">
        <v>373</v>
      </c>
      <c r="G73" s="23" t="s">
        <v>386</v>
      </c>
      <c r="H73" s="23" t="s">
        <v>386</v>
      </c>
      <c r="I73" s="23" t="s">
        <v>386</v>
      </c>
      <c r="J73" s="23"/>
      <c r="K73" s="23" t="s">
        <v>390</v>
      </c>
      <c r="L73" s="23" t="s">
        <v>390</v>
      </c>
      <c r="M73" s="23" t="s">
        <v>387</v>
      </c>
      <c r="N73" s="23"/>
      <c r="O73" s="23"/>
      <c r="P73" s="23" t="s">
        <v>215</v>
      </c>
      <c r="Q73" s="87" t="s">
        <v>381</v>
      </c>
    </row>
    <row r="74" spans="1:17" ht="25.5" customHeight="1" x14ac:dyDescent="0.25">
      <c r="A74" s="23" t="s">
        <v>285</v>
      </c>
      <c r="B74" s="23">
        <v>240</v>
      </c>
      <c r="C74" s="23">
        <v>400</v>
      </c>
      <c r="D74" s="23" t="s">
        <v>373</v>
      </c>
      <c r="E74" s="23" t="s">
        <v>373</v>
      </c>
      <c r="F74" s="23" t="s">
        <v>373</v>
      </c>
      <c r="G74" s="23" t="s">
        <v>373</v>
      </c>
      <c r="H74" s="23" t="s">
        <v>373</v>
      </c>
      <c r="I74" s="23" t="s">
        <v>373</v>
      </c>
      <c r="J74" s="23"/>
      <c r="K74" s="23" t="s">
        <v>376</v>
      </c>
      <c r="L74" s="23" t="s">
        <v>376</v>
      </c>
      <c r="M74" s="23"/>
      <c r="N74" s="23"/>
      <c r="O74" s="23"/>
      <c r="P74" s="23" t="s">
        <v>215</v>
      </c>
      <c r="Q74" s="87" t="s">
        <v>381</v>
      </c>
    </row>
    <row r="75" spans="1:17" ht="25.5" customHeight="1" x14ac:dyDescent="0.25">
      <c r="A75" s="23" t="s">
        <v>286</v>
      </c>
      <c r="B75" s="23">
        <v>240</v>
      </c>
      <c r="C75" s="23">
        <v>650</v>
      </c>
      <c r="D75" s="23" t="s">
        <v>386</v>
      </c>
      <c r="E75" s="23" t="s">
        <v>386</v>
      </c>
      <c r="F75" s="23" t="s">
        <v>386</v>
      </c>
      <c r="G75" s="23" t="s">
        <v>373</v>
      </c>
      <c r="H75" s="23" t="s">
        <v>373</v>
      </c>
      <c r="I75" s="23" t="s">
        <v>373</v>
      </c>
      <c r="J75" s="23"/>
      <c r="K75" s="23" t="s">
        <v>376</v>
      </c>
      <c r="L75" s="23" t="s">
        <v>376</v>
      </c>
      <c r="M75" s="23"/>
      <c r="N75" s="23"/>
      <c r="O75" s="23"/>
      <c r="P75" s="23" t="s">
        <v>215</v>
      </c>
      <c r="Q75" s="87" t="s">
        <v>381</v>
      </c>
    </row>
    <row r="76" spans="1:17" ht="25.5" customHeight="1" x14ac:dyDescent="0.25">
      <c r="A76" s="23" t="s">
        <v>287</v>
      </c>
      <c r="B76" s="23">
        <v>240</v>
      </c>
      <c r="C76" s="23">
        <v>600</v>
      </c>
      <c r="D76" s="23" t="s">
        <v>386</v>
      </c>
      <c r="E76" s="23" t="s">
        <v>386</v>
      </c>
      <c r="F76" s="23" t="s">
        <v>386</v>
      </c>
      <c r="G76" s="23" t="s">
        <v>373</v>
      </c>
      <c r="H76" s="23" t="s">
        <v>373</v>
      </c>
      <c r="I76" s="23" t="s">
        <v>373</v>
      </c>
      <c r="J76" s="23"/>
      <c r="K76" s="23" t="s">
        <v>376</v>
      </c>
      <c r="L76" s="23" t="s">
        <v>376</v>
      </c>
      <c r="M76" s="23"/>
      <c r="N76" s="23"/>
      <c r="O76" s="23"/>
      <c r="P76" s="23" t="s">
        <v>215</v>
      </c>
      <c r="Q76" s="87" t="s">
        <v>381</v>
      </c>
    </row>
    <row r="77" spans="1:17" ht="25.5" customHeight="1" x14ac:dyDescent="0.25">
      <c r="A77" s="23" t="s">
        <v>288</v>
      </c>
      <c r="B77" s="23">
        <v>240</v>
      </c>
      <c r="C77" s="23">
        <v>750</v>
      </c>
      <c r="D77" s="23" t="s">
        <v>373</v>
      </c>
      <c r="E77" s="23" t="s">
        <v>373</v>
      </c>
      <c r="F77" s="23" t="s">
        <v>373</v>
      </c>
      <c r="G77" s="23" t="s">
        <v>386</v>
      </c>
      <c r="H77" s="23" t="s">
        <v>386</v>
      </c>
      <c r="I77" s="23" t="s">
        <v>386</v>
      </c>
      <c r="J77" s="23"/>
      <c r="K77" s="23" t="s">
        <v>366</v>
      </c>
      <c r="L77" s="23" t="s">
        <v>366</v>
      </c>
      <c r="M77" s="23" t="s">
        <v>387</v>
      </c>
      <c r="N77" s="23"/>
      <c r="O77" s="23"/>
      <c r="P77" s="23" t="s">
        <v>215</v>
      </c>
      <c r="Q77" s="87" t="s">
        <v>381</v>
      </c>
    </row>
    <row r="78" spans="1:17" ht="25.5" customHeight="1" x14ac:dyDescent="0.25">
      <c r="A78" s="23" t="s">
        <v>289</v>
      </c>
      <c r="B78" s="23">
        <v>240</v>
      </c>
      <c r="C78" s="23">
        <v>650</v>
      </c>
      <c r="D78" s="23" t="s">
        <v>372</v>
      </c>
      <c r="E78" s="23" t="s">
        <v>372</v>
      </c>
      <c r="F78" s="23" t="s">
        <v>372</v>
      </c>
      <c r="G78" s="23" t="s">
        <v>373</v>
      </c>
      <c r="H78" s="23" t="s">
        <v>373</v>
      </c>
      <c r="I78" s="23" t="s">
        <v>373</v>
      </c>
      <c r="J78" s="23"/>
      <c r="K78" s="23" t="s">
        <v>376</v>
      </c>
      <c r="L78" s="23" t="s">
        <v>376</v>
      </c>
      <c r="M78" s="23"/>
      <c r="N78" s="23"/>
      <c r="O78" s="23"/>
      <c r="P78" s="23" t="s">
        <v>215</v>
      </c>
      <c r="Q78" s="87" t="s">
        <v>381</v>
      </c>
    </row>
    <row r="79" spans="1:17" ht="25.5" customHeight="1" x14ac:dyDescent="0.25">
      <c r="A79" s="23" t="s">
        <v>290</v>
      </c>
      <c r="B79" s="23">
        <v>240</v>
      </c>
      <c r="C79" s="23">
        <v>325</v>
      </c>
      <c r="D79" s="23" t="s">
        <v>373</v>
      </c>
      <c r="E79" s="23" t="s">
        <v>373</v>
      </c>
      <c r="F79" s="23" t="s">
        <v>373</v>
      </c>
      <c r="G79" s="23" t="s">
        <v>373</v>
      </c>
      <c r="H79" s="23" t="s">
        <v>373</v>
      </c>
      <c r="I79" s="23" t="s">
        <v>373</v>
      </c>
      <c r="J79" s="23"/>
      <c r="K79" s="23" t="s">
        <v>376</v>
      </c>
      <c r="L79" s="23" t="s">
        <v>376</v>
      </c>
      <c r="M79" s="23"/>
      <c r="N79" s="23"/>
      <c r="O79" s="23"/>
      <c r="P79" s="23" t="s">
        <v>215</v>
      </c>
      <c r="Q79" s="87" t="s">
        <v>381</v>
      </c>
    </row>
    <row r="80" spans="1:17" ht="25.5" customHeight="1" x14ac:dyDescent="0.25">
      <c r="A80" s="23" t="s">
        <v>291</v>
      </c>
      <c r="B80" s="23">
        <v>240</v>
      </c>
      <c r="C80" s="23">
        <v>325</v>
      </c>
      <c r="D80" s="23" t="s">
        <v>373</v>
      </c>
      <c r="E80" s="23" t="s">
        <v>373</v>
      </c>
      <c r="F80" s="23" t="s">
        <v>373</v>
      </c>
      <c r="G80" s="23" t="s">
        <v>373</v>
      </c>
      <c r="H80" s="23" t="s">
        <v>373</v>
      </c>
      <c r="I80" s="23" t="s">
        <v>373</v>
      </c>
      <c r="J80" s="23"/>
      <c r="K80" s="23" t="s">
        <v>376</v>
      </c>
      <c r="L80" s="23" t="s">
        <v>376</v>
      </c>
      <c r="M80" s="23"/>
      <c r="N80" s="23"/>
      <c r="O80" s="23"/>
      <c r="P80" s="23" t="s">
        <v>215</v>
      </c>
      <c r="Q80" s="87" t="s">
        <v>381</v>
      </c>
    </row>
    <row r="81" spans="1:17" ht="25.5" customHeight="1" x14ac:dyDescent="0.25">
      <c r="A81" s="23" t="s">
        <v>292</v>
      </c>
      <c r="B81" s="23">
        <v>240</v>
      </c>
      <c r="C81" s="23">
        <v>650</v>
      </c>
      <c r="D81" s="23" t="s">
        <v>373</v>
      </c>
      <c r="E81" s="23" t="s">
        <v>373</v>
      </c>
      <c r="F81" s="23" t="s">
        <v>373</v>
      </c>
      <c r="G81" s="23" t="s">
        <v>373</v>
      </c>
      <c r="H81" s="23" t="s">
        <v>373</v>
      </c>
      <c r="I81" s="23" t="s">
        <v>373</v>
      </c>
      <c r="J81" s="23"/>
      <c r="K81" s="23" t="s">
        <v>376</v>
      </c>
      <c r="L81" s="23" t="s">
        <v>376</v>
      </c>
      <c r="M81" s="23"/>
      <c r="N81" s="23"/>
      <c r="O81" s="23"/>
      <c r="P81" s="23" t="s">
        <v>215</v>
      </c>
      <c r="Q81" s="87" t="s">
        <v>381</v>
      </c>
    </row>
    <row r="82" spans="1:17" ht="25.5" customHeight="1" x14ac:dyDescent="0.25">
      <c r="A82" s="23" t="s">
        <v>293</v>
      </c>
      <c r="B82" s="23">
        <v>240</v>
      </c>
      <c r="C82" s="23">
        <v>650</v>
      </c>
      <c r="D82" s="23" t="s">
        <v>373</v>
      </c>
      <c r="E82" s="23" t="s">
        <v>373</v>
      </c>
      <c r="F82" s="23" t="s">
        <v>373</v>
      </c>
      <c r="G82" s="23" t="s">
        <v>373</v>
      </c>
      <c r="H82" s="23" t="s">
        <v>373</v>
      </c>
      <c r="I82" s="23" t="s">
        <v>373</v>
      </c>
      <c r="J82" s="23"/>
      <c r="K82" s="23" t="s">
        <v>377</v>
      </c>
      <c r="L82" s="23" t="s">
        <v>377</v>
      </c>
      <c r="M82" s="23"/>
      <c r="N82" s="23"/>
      <c r="O82" s="23"/>
      <c r="P82" s="23" t="s">
        <v>215</v>
      </c>
      <c r="Q82" s="87" t="s">
        <v>381</v>
      </c>
    </row>
    <row r="83" spans="1:17" ht="25.5" customHeight="1" x14ac:dyDescent="0.25">
      <c r="A83" s="23" t="s">
        <v>294</v>
      </c>
      <c r="B83" s="23">
        <v>240</v>
      </c>
      <c r="C83" s="23">
        <v>650</v>
      </c>
      <c r="D83" s="23" t="s">
        <v>373</v>
      </c>
      <c r="E83" s="23" t="s">
        <v>373</v>
      </c>
      <c r="F83" s="23" t="s">
        <v>373</v>
      </c>
      <c r="G83" s="23" t="s">
        <v>391</v>
      </c>
      <c r="H83" s="23" t="s">
        <v>391</v>
      </c>
      <c r="I83" s="23" t="s">
        <v>391</v>
      </c>
      <c r="J83" s="23"/>
      <c r="K83" s="23" t="s">
        <v>364</v>
      </c>
      <c r="L83" s="23" t="s">
        <v>364</v>
      </c>
      <c r="M83" s="23" t="s">
        <v>387</v>
      </c>
      <c r="N83" s="23"/>
      <c r="O83" s="23"/>
      <c r="P83" s="23" t="s">
        <v>215</v>
      </c>
      <c r="Q83" s="87" t="s">
        <v>381</v>
      </c>
    </row>
    <row r="84" spans="1:17" ht="25.5" customHeight="1" x14ac:dyDescent="0.25">
      <c r="A84" s="23" t="s">
        <v>295</v>
      </c>
      <c r="B84" s="23">
        <v>240</v>
      </c>
      <c r="C84" s="23">
        <v>650</v>
      </c>
      <c r="D84" s="23" t="s">
        <v>373</v>
      </c>
      <c r="E84" s="23" t="s">
        <v>373</v>
      </c>
      <c r="F84" s="23" t="s">
        <v>373</v>
      </c>
      <c r="G84" s="23" t="s">
        <v>391</v>
      </c>
      <c r="H84" s="23" t="s">
        <v>391</v>
      </c>
      <c r="I84" s="23" t="s">
        <v>391</v>
      </c>
      <c r="J84" s="23"/>
      <c r="K84" s="23" t="s">
        <v>364</v>
      </c>
      <c r="L84" s="23" t="s">
        <v>364</v>
      </c>
      <c r="M84" s="23" t="s">
        <v>387</v>
      </c>
      <c r="N84" s="23"/>
      <c r="O84" s="23"/>
      <c r="P84" s="23" t="s">
        <v>215</v>
      </c>
      <c r="Q84" s="87" t="s">
        <v>381</v>
      </c>
    </row>
    <row r="85" spans="1:17" ht="25.5" customHeight="1" x14ac:dyDescent="0.25">
      <c r="A85" s="23" t="s">
        <v>296</v>
      </c>
      <c r="B85" s="23">
        <v>240</v>
      </c>
      <c r="C85" s="23">
        <v>650</v>
      </c>
      <c r="D85" s="23" t="s">
        <v>373</v>
      </c>
      <c r="E85" s="23" t="s">
        <v>373</v>
      </c>
      <c r="F85" s="23" t="s">
        <v>373</v>
      </c>
      <c r="G85" s="23" t="s">
        <v>373</v>
      </c>
      <c r="H85" s="23" t="s">
        <v>373</v>
      </c>
      <c r="I85" s="23" t="s">
        <v>373</v>
      </c>
      <c r="J85" s="23"/>
      <c r="K85" s="23" t="s">
        <v>377</v>
      </c>
      <c r="L85" s="23" t="s">
        <v>377</v>
      </c>
      <c r="M85" s="23"/>
      <c r="N85" s="23"/>
      <c r="O85" s="23"/>
      <c r="P85" s="23" t="s">
        <v>215</v>
      </c>
      <c r="Q85" s="87" t="s">
        <v>381</v>
      </c>
    </row>
    <row r="86" spans="1:17" ht="25.5" customHeight="1" x14ac:dyDescent="0.25">
      <c r="A86" s="23" t="s">
        <v>297</v>
      </c>
      <c r="B86" s="23">
        <v>240</v>
      </c>
      <c r="C86" s="23">
        <v>650</v>
      </c>
      <c r="D86" s="23" t="s">
        <v>373</v>
      </c>
      <c r="E86" s="23" t="s">
        <v>373</v>
      </c>
      <c r="F86" s="23" t="s">
        <v>373</v>
      </c>
      <c r="G86" s="23" t="s">
        <v>373</v>
      </c>
      <c r="H86" s="23" t="s">
        <v>373</v>
      </c>
      <c r="I86" s="23" t="s">
        <v>373</v>
      </c>
      <c r="J86" s="23"/>
      <c r="K86" s="23" t="s">
        <v>376</v>
      </c>
      <c r="L86" s="23" t="s">
        <v>376</v>
      </c>
      <c r="M86" s="23"/>
      <c r="N86" s="23"/>
      <c r="O86" s="23"/>
      <c r="P86" s="23" t="s">
        <v>215</v>
      </c>
      <c r="Q86" s="87" t="s">
        <v>381</v>
      </c>
    </row>
    <row r="87" spans="1:17" ht="25.5" customHeight="1" x14ac:dyDescent="0.25">
      <c r="A87" s="23" t="s">
        <v>298</v>
      </c>
      <c r="B87" s="23">
        <v>240</v>
      </c>
      <c r="C87" s="23">
        <v>325</v>
      </c>
      <c r="D87" s="23" t="s">
        <v>373</v>
      </c>
      <c r="E87" s="23" t="s">
        <v>373</v>
      </c>
      <c r="F87" s="23" t="s">
        <v>373</v>
      </c>
      <c r="G87" s="23" t="s">
        <v>373</v>
      </c>
      <c r="H87" s="23" t="s">
        <v>373</v>
      </c>
      <c r="I87" s="23" t="s">
        <v>373</v>
      </c>
      <c r="J87" s="23"/>
      <c r="K87" s="23" t="s">
        <v>376</v>
      </c>
      <c r="L87" s="23" t="s">
        <v>376</v>
      </c>
      <c r="M87" s="23"/>
      <c r="N87" s="23"/>
      <c r="O87" s="23"/>
      <c r="P87" s="23" t="s">
        <v>215</v>
      </c>
      <c r="Q87" s="87" t="s">
        <v>381</v>
      </c>
    </row>
    <row r="88" spans="1:17" ht="25.5" customHeight="1" x14ac:dyDescent="0.25">
      <c r="A88" s="23" t="s">
        <v>299</v>
      </c>
      <c r="B88" s="23">
        <v>240</v>
      </c>
      <c r="C88" s="23">
        <v>325</v>
      </c>
      <c r="D88" s="23" t="s">
        <v>373</v>
      </c>
      <c r="E88" s="23" t="s">
        <v>373</v>
      </c>
      <c r="F88" s="23" t="s">
        <v>373</v>
      </c>
      <c r="G88" s="23" t="s">
        <v>373</v>
      </c>
      <c r="H88" s="23" t="s">
        <v>373</v>
      </c>
      <c r="I88" s="23" t="s">
        <v>373</v>
      </c>
      <c r="J88" s="23"/>
      <c r="K88" s="23" t="s">
        <v>376</v>
      </c>
      <c r="L88" s="23" t="s">
        <v>376</v>
      </c>
      <c r="M88" s="23"/>
      <c r="N88" s="23"/>
      <c r="O88" s="23"/>
      <c r="P88" s="23" t="s">
        <v>215</v>
      </c>
      <c r="Q88" s="87" t="s">
        <v>381</v>
      </c>
    </row>
    <row r="89" spans="1:17" ht="25.5" customHeight="1" x14ac:dyDescent="0.25">
      <c r="A89" s="23" t="s">
        <v>300</v>
      </c>
      <c r="B89" s="23">
        <v>240</v>
      </c>
      <c r="C89" s="23">
        <v>650</v>
      </c>
      <c r="D89" s="23" t="s">
        <v>372</v>
      </c>
      <c r="E89" s="23" t="s">
        <v>372</v>
      </c>
      <c r="F89" s="23" t="s">
        <v>372</v>
      </c>
      <c r="G89" s="23" t="s">
        <v>373</v>
      </c>
      <c r="H89" s="23" t="s">
        <v>373</v>
      </c>
      <c r="I89" s="23" t="s">
        <v>373</v>
      </c>
      <c r="J89" s="23"/>
      <c r="K89" s="23" t="s">
        <v>376</v>
      </c>
      <c r="L89" s="23" t="s">
        <v>376</v>
      </c>
      <c r="M89" s="23"/>
      <c r="N89" s="23"/>
      <c r="O89" s="23"/>
      <c r="P89" s="23" t="s">
        <v>215</v>
      </c>
      <c r="Q89" s="87" t="s">
        <v>381</v>
      </c>
    </row>
    <row r="90" spans="1:17" ht="25.5" customHeight="1" x14ac:dyDescent="0.25">
      <c r="A90" s="23" t="s">
        <v>301</v>
      </c>
      <c r="B90" s="23">
        <v>240</v>
      </c>
      <c r="C90" s="23">
        <v>600</v>
      </c>
      <c r="D90" s="23" t="s">
        <v>386</v>
      </c>
      <c r="E90" s="23" t="s">
        <v>386</v>
      </c>
      <c r="F90" s="23" t="s">
        <v>386</v>
      </c>
      <c r="G90" s="23" t="s">
        <v>373</v>
      </c>
      <c r="H90" s="23" t="s">
        <v>373</v>
      </c>
      <c r="I90" s="23" t="s">
        <v>373</v>
      </c>
      <c r="J90" s="23"/>
      <c r="K90" s="23" t="s">
        <v>376</v>
      </c>
      <c r="L90" s="23" t="s">
        <v>376</v>
      </c>
      <c r="M90" s="23"/>
      <c r="N90" s="23"/>
      <c r="O90" s="23"/>
      <c r="P90" s="23" t="s">
        <v>215</v>
      </c>
      <c r="Q90" s="87" t="s">
        <v>381</v>
      </c>
    </row>
    <row r="91" spans="1:17" ht="25.5" customHeight="1" x14ac:dyDescent="0.25">
      <c r="A91" s="23" t="s">
        <v>302</v>
      </c>
      <c r="B91" s="23">
        <v>240</v>
      </c>
      <c r="C91" s="23">
        <v>650</v>
      </c>
      <c r="D91" s="23" t="s">
        <v>386</v>
      </c>
      <c r="E91" s="23" t="s">
        <v>386</v>
      </c>
      <c r="F91" s="23" t="s">
        <v>386</v>
      </c>
      <c r="G91" s="23" t="s">
        <v>373</v>
      </c>
      <c r="H91" s="23" t="s">
        <v>373</v>
      </c>
      <c r="I91" s="23" t="s">
        <v>373</v>
      </c>
      <c r="J91" s="23"/>
      <c r="K91" s="23" t="s">
        <v>376</v>
      </c>
      <c r="L91" s="23" t="s">
        <v>376</v>
      </c>
      <c r="M91" s="23"/>
      <c r="N91" s="23"/>
      <c r="O91" s="23"/>
      <c r="P91" s="23" t="s">
        <v>215</v>
      </c>
      <c r="Q91" s="87" t="s">
        <v>381</v>
      </c>
    </row>
    <row r="92" spans="1:17" ht="25.5" customHeight="1" x14ac:dyDescent="0.25">
      <c r="A92" s="23" t="s">
        <v>303</v>
      </c>
      <c r="B92" s="23">
        <v>240</v>
      </c>
      <c r="C92" s="23">
        <v>650</v>
      </c>
      <c r="D92" s="23" t="s">
        <v>386</v>
      </c>
      <c r="E92" s="23" t="s">
        <v>386</v>
      </c>
      <c r="F92" s="23" t="s">
        <v>386</v>
      </c>
      <c r="G92" s="23" t="s">
        <v>373</v>
      </c>
      <c r="H92" s="23" t="s">
        <v>373</v>
      </c>
      <c r="I92" s="23" t="s">
        <v>373</v>
      </c>
      <c r="J92" s="23"/>
      <c r="K92" s="23" t="s">
        <v>376</v>
      </c>
      <c r="L92" s="23" t="s">
        <v>376</v>
      </c>
      <c r="M92" s="23"/>
      <c r="N92" s="23"/>
      <c r="O92" s="23"/>
      <c r="P92" s="23" t="s">
        <v>215</v>
      </c>
      <c r="Q92" s="87" t="s">
        <v>381</v>
      </c>
    </row>
    <row r="93" spans="1:17" ht="25.5" customHeight="1" x14ac:dyDescent="0.25">
      <c r="A93" s="23" t="s">
        <v>304</v>
      </c>
      <c r="B93" s="23">
        <v>240</v>
      </c>
      <c r="C93" s="23">
        <v>600</v>
      </c>
      <c r="D93" s="23" t="s">
        <v>386</v>
      </c>
      <c r="E93" s="23" t="s">
        <v>386</v>
      </c>
      <c r="F93" s="23" t="s">
        <v>386</v>
      </c>
      <c r="G93" s="23" t="s">
        <v>373</v>
      </c>
      <c r="H93" s="23" t="s">
        <v>373</v>
      </c>
      <c r="I93" s="23" t="s">
        <v>373</v>
      </c>
      <c r="J93" s="23"/>
      <c r="K93" s="23" t="s">
        <v>376</v>
      </c>
      <c r="L93" s="23" t="s">
        <v>376</v>
      </c>
      <c r="M93" s="23"/>
      <c r="N93" s="23"/>
      <c r="O93" s="23"/>
      <c r="P93" s="23" t="s">
        <v>215</v>
      </c>
      <c r="Q93" s="87" t="s">
        <v>381</v>
      </c>
    </row>
    <row r="94" spans="1:17" ht="25.5" customHeight="1" x14ac:dyDescent="0.25">
      <c r="A94" s="23" t="s">
        <v>305</v>
      </c>
      <c r="B94" s="23">
        <v>240</v>
      </c>
      <c r="C94" s="23">
        <v>650</v>
      </c>
      <c r="D94" s="23" t="s">
        <v>370</v>
      </c>
      <c r="E94" s="23" t="s">
        <v>375</v>
      </c>
      <c r="F94" s="23" t="s">
        <v>370</v>
      </c>
      <c r="G94" s="23" t="s">
        <v>373</v>
      </c>
      <c r="H94" s="23" t="s">
        <v>373</v>
      </c>
      <c r="I94" s="23" t="s">
        <v>373</v>
      </c>
      <c r="J94" s="23" t="s">
        <v>386</v>
      </c>
      <c r="K94" s="23" t="s">
        <v>377</v>
      </c>
      <c r="L94" s="23" t="s">
        <v>378</v>
      </c>
      <c r="M94" s="23"/>
      <c r="N94" s="23"/>
      <c r="O94" s="23"/>
      <c r="P94" s="23" t="s">
        <v>215</v>
      </c>
      <c r="Q94" s="87" t="s">
        <v>396</v>
      </c>
    </row>
    <row r="95" spans="1:17" ht="25.5" customHeight="1" x14ac:dyDescent="0.25">
      <c r="A95" s="23" t="s">
        <v>306</v>
      </c>
      <c r="B95" s="23">
        <v>240</v>
      </c>
      <c r="C95" s="23">
        <v>650</v>
      </c>
      <c r="D95" s="23" t="s">
        <v>370</v>
      </c>
      <c r="E95" s="23" t="s">
        <v>375</v>
      </c>
      <c r="F95" s="23" t="s">
        <v>370</v>
      </c>
      <c r="G95" s="23" t="s">
        <v>373</v>
      </c>
      <c r="H95" s="23" t="s">
        <v>373</v>
      </c>
      <c r="I95" s="23" t="s">
        <v>373</v>
      </c>
      <c r="J95" s="23" t="s">
        <v>386</v>
      </c>
      <c r="K95" s="23" t="s">
        <v>377</v>
      </c>
      <c r="L95" s="23" t="s">
        <v>378</v>
      </c>
      <c r="M95" s="23"/>
      <c r="N95" s="23"/>
      <c r="O95" s="23"/>
      <c r="P95" s="23" t="s">
        <v>215</v>
      </c>
      <c r="Q95" s="87" t="s">
        <v>396</v>
      </c>
    </row>
    <row r="96" spans="1:17" ht="25.5" customHeight="1" x14ac:dyDescent="0.25">
      <c r="A96" s="23" t="s">
        <v>307</v>
      </c>
      <c r="B96" s="23">
        <v>240</v>
      </c>
      <c r="C96" s="23">
        <v>650</v>
      </c>
      <c r="D96" s="23" t="s">
        <v>373</v>
      </c>
      <c r="E96" s="23" t="s">
        <v>373</v>
      </c>
      <c r="F96" s="23" t="s">
        <v>373</v>
      </c>
      <c r="G96" s="23" t="s">
        <v>373</v>
      </c>
      <c r="H96" s="23" t="s">
        <v>373</v>
      </c>
      <c r="I96" s="23" t="s">
        <v>373</v>
      </c>
      <c r="J96" s="23"/>
      <c r="K96" s="23" t="s">
        <v>366</v>
      </c>
      <c r="L96" s="23" t="s">
        <v>366</v>
      </c>
      <c r="M96" s="23"/>
      <c r="N96" s="23"/>
      <c r="O96" s="23"/>
      <c r="P96" s="23" t="s">
        <v>215</v>
      </c>
      <c r="Q96" s="87" t="s">
        <v>381</v>
      </c>
    </row>
    <row r="97" spans="1:17" ht="25.5" customHeight="1" x14ac:dyDescent="0.25">
      <c r="A97" s="23" t="s">
        <v>308</v>
      </c>
      <c r="B97" s="23">
        <v>240</v>
      </c>
      <c r="C97" s="23">
        <v>650</v>
      </c>
      <c r="D97" s="23" t="s">
        <v>373</v>
      </c>
      <c r="E97" s="23" t="s">
        <v>373</v>
      </c>
      <c r="F97" s="23" t="s">
        <v>373</v>
      </c>
      <c r="G97" s="23" t="s">
        <v>373</v>
      </c>
      <c r="H97" s="23" t="s">
        <v>373</v>
      </c>
      <c r="I97" s="23" t="s">
        <v>373</v>
      </c>
      <c r="J97" s="23"/>
      <c r="K97" s="23" t="s">
        <v>366</v>
      </c>
      <c r="L97" s="23" t="s">
        <v>366</v>
      </c>
      <c r="M97" s="23"/>
      <c r="N97" s="23"/>
      <c r="O97" s="23"/>
      <c r="P97" s="23" t="s">
        <v>215</v>
      </c>
      <c r="Q97" s="87" t="s">
        <v>381</v>
      </c>
    </row>
    <row r="98" spans="1:17" ht="25.5" customHeight="1" x14ac:dyDescent="0.25">
      <c r="A98" s="23" t="s">
        <v>309</v>
      </c>
      <c r="B98" s="23">
        <v>240</v>
      </c>
      <c r="C98" s="23">
        <v>600</v>
      </c>
      <c r="D98" s="23" t="s">
        <v>386</v>
      </c>
      <c r="E98" s="23" t="s">
        <v>386</v>
      </c>
      <c r="F98" s="23" t="s">
        <v>386</v>
      </c>
      <c r="G98" s="23" t="s">
        <v>373</v>
      </c>
      <c r="H98" s="23" t="s">
        <v>373</v>
      </c>
      <c r="I98" s="23" t="s">
        <v>373</v>
      </c>
      <c r="J98" s="23"/>
      <c r="K98" s="23" t="s">
        <v>376</v>
      </c>
      <c r="L98" s="23" t="s">
        <v>376</v>
      </c>
      <c r="M98" s="23"/>
      <c r="N98" s="23"/>
      <c r="O98" s="23"/>
      <c r="P98" s="23" t="s">
        <v>215</v>
      </c>
      <c r="Q98" s="87" t="s">
        <v>381</v>
      </c>
    </row>
    <row r="99" spans="1:17" ht="25.5" customHeight="1" x14ac:dyDescent="0.25">
      <c r="A99" s="23" t="s">
        <v>310</v>
      </c>
      <c r="B99" s="23">
        <v>240</v>
      </c>
      <c r="C99" s="23">
        <v>650</v>
      </c>
      <c r="D99" s="23" t="s">
        <v>386</v>
      </c>
      <c r="E99" s="23" t="s">
        <v>386</v>
      </c>
      <c r="F99" s="23" t="s">
        <v>386</v>
      </c>
      <c r="G99" s="23" t="s">
        <v>373</v>
      </c>
      <c r="H99" s="23" t="s">
        <v>373</v>
      </c>
      <c r="I99" s="23" t="s">
        <v>373</v>
      </c>
      <c r="J99" s="23"/>
      <c r="K99" s="23" t="s">
        <v>376</v>
      </c>
      <c r="L99" s="23" t="s">
        <v>376</v>
      </c>
      <c r="M99" s="23"/>
      <c r="N99" s="23"/>
      <c r="O99" s="23"/>
      <c r="P99" s="23" t="s">
        <v>215</v>
      </c>
      <c r="Q99" s="87" t="s">
        <v>382</v>
      </c>
    </row>
    <row r="100" spans="1:17" ht="25.5" customHeight="1" x14ac:dyDescent="0.25">
      <c r="A100" s="23" t="s">
        <v>311</v>
      </c>
      <c r="B100" s="23">
        <v>240</v>
      </c>
      <c r="C100" s="23">
        <v>650</v>
      </c>
      <c r="D100" s="23" t="s">
        <v>386</v>
      </c>
      <c r="E100" s="23" t="s">
        <v>386</v>
      </c>
      <c r="F100" s="23" t="s">
        <v>386</v>
      </c>
      <c r="G100" s="23" t="s">
        <v>373</v>
      </c>
      <c r="H100" s="23" t="s">
        <v>373</v>
      </c>
      <c r="I100" s="23" t="s">
        <v>373</v>
      </c>
      <c r="J100" s="23"/>
      <c r="K100" s="23" t="s">
        <v>376</v>
      </c>
      <c r="L100" s="23" t="s">
        <v>376</v>
      </c>
      <c r="M100" s="23"/>
      <c r="N100" s="23"/>
      <c r="O100" s="23"/>
      <c r="P100" s="23" t="s">
        <v>215</v>
      </c>
      <c r="Q100" s="87" t="s">
        <v>382</v>
      </c>
    </row>
    <row r="101" spans="1:17" ht="25.5" customHeight="1" x14ac:dyDescent="0.25">
      <c r="A101" s="23" t="s">
        <v>312</v>
      </c>
      <c r="B101" s="23">
        <v>240</v>
      </c>
      <c r="C101" s="23">
        <v>600</v>
      </c>
      <c r="D101" s="23" t="s">
        <v>386</v>
      </c>
      <c r="E101" s="23" t="s">
        <v>386</v>
      </c>
      <c r="F101" s="23" t="s">
        <v>386</v>
      </c>
      <c r="G101" s="23" t="s">
        <v>373</v>
      </c>
      <c r="H101" s="23" t="s">
        <v>373</v>
      </c>
      <c r="I101" s="23" t="s">
        <v>373</v>
      </c>
      <c r="J101" s="23"/>
      <c r="K101" s="23" t="s">
        <v>376</v>
      </c>
      <c r="L101" s="23" t="s">
        <v>376</v>
      </c>
      <c r="M101" s="23"/>
      <c r="N101" s="23"/>
      <c r="O101" s="23"/>
      <c r="P101" s="23" t="s">
        <v>215</v>
      </c>
      <c r="Q101" s="87" t="s">
        <v>382</v>
      </c>
    </row>
    <row r="102" spans="1:17" ht="25.5" customHeight="1" x14ac:dyDescent="0.25">
      <c r="A102" s="23" t="s">
        <v>313</v>
      </c>
      <c r="B102" s="23">
        <v>240</v>
      </c>
      <c r="C102" s="23">
        <v>325</v>
      </c>
      <c r="D102" s="23" t="s">
        <v>373</v>
      </c>
      <c r="E102" s="23" t="s">
        <v>373</v>
      </c>
      <c r="F102" s="23" t="s">
        <v>373</v>
      </c>
      <c r="G102" s="23" t="s">
        <v>373</v>
      </c>
      <c r="H102" s="23" t="s">
        <v>373</v>
      </c>
      <c r="I102" s="23" t="s">
        <v>373</v>
      </c>
      <c r="J102" s="23"/>
      <c r="K102" s="23" t="s">
        <v>377</v>
      </c>
      <c r="L102" s="23" t="s">
        <v>377</v>
      </c>
      <c r="M102" s="23"/>
      <c r="N102" s="23"/>
      <c r="O102" s="23"/>
      <c r="P102" s="23" t="s">
        <v>215</v>
      </c>
      <c r="Q102" s="87" t="s">
        <v>382</v>
      </c>
    </row>
    <row r="103" spans="1:17" ht="25.5" customHeight="1" x14ac:dyDescent="0.25">
      <c r="A103" s="23" t="s">
        <v>314</v>
      </c>
      <c r="B103" s="23">
        <v>240</v>
      </c>
      <c r="C103" s="23">
        <v>650</v>
      </c>
      <c r="D103" s="23" t="s">
        <v>373</v>
      </c>
      <c r="E103" s="23" t="s">
        <v>373</v>
      </c>
      <c r="F103" s="23" t="s">
        <v>373</v>
      </c>
      <c r="G103" s="23" t="s">
        <v>373</v>
      </c>
      <c r="H103" s="23" t="s">
        <v>373</v>
      </c>
      <c r="I103" s="23" t="s">
        <v>373</v>
      </c>
      <c r="J103" s="23"/>
      <c r="K103" s="23" t="s">
        <v>376</v>
      </c>
      <c r="L103" s="23" t="s">
        <v>376</v>
      </c>
      <c r="M103" s="23"/>
      <c r="N103" s="23"/>
      <c r="O103" s="23"/>
      <c r="P103" s="23" t="s">
        <v>215</v>
      </c>
      <c r="Q103" s="87" t="s">
        <v>382</v>
      </c>
    </row>
    <row r="104" spans="1:17" ht="25.5" customHeight="1" x14ac:dyDescent="0.25">
      <c r="A104" s="23" t="s">
        <v>315</v>
      </c>
      <c r="B104" s="23">
        <v>240</v>
      </c>
      <c r="C104" s="23">
        <v>325</v>
      </c>
      <c r="D104" s="23" t="s">
        <v>373</v>
      </c>
      <c r="E104" s="23" t="s">
        <v>373</v>
      </c>
      <c r="F104" s="23" t="s">
        <v>373</v>
      </c>
      <c r="G104" s="23" t="s">
        <v>373</v>
      </c>
      <c r="H104" s="23" t="s">
        <v>373</v>
      </c>
      <c r="I104" s="23" t="s">
        <v>373</v>
      </c>
      <c r="J104" s="23"/>
      <c r="K104" s="23" t="s">
        <v>377</v>
      </c>
      <c r="L104" s="23" t="s">
        <v>377</v>
      </c>
      <c r="M104" s="23"/>
      <c r="N104" s="23"/>
      <c r="O104" s="23"/>
      <c r="P104" s="23" t="s">
        <v>215</v>
      </c>
      <c r="Q104" s="87" t="s">
        <v>382</v>
      </c>
    </row>
    <row r="105" spans="1:17" ht="25.5" customHeight="1" x14ac:dyDescent="0.25">
      <c r="A105" s="23" t="s">
        <v>316</v>
      </c>
      <c r="B105" s="23">
        <v>300</v>
      </c>
      <c r="C105" s="23">
        <v>650</v>
      </c>
      <c r="D105" s="23" t="s">
        <v>386</v>
      </c>
      <c r="E105" s="23" t="s">
        <v>386</v>
      </c>
      <c r="F105" s="23" t="s">
        <v>386</v>
      </c>
      <c r="G105" s="23" t="s">
        <v>373</v>
      </c>
      <c r="H105" s="23" t="s">
        <v>373</v>
      </c>
      <c r="I105" s="23" t="s">
        <v>373</v>
      </c>
      <c r="J105" s="23"/>
      <c r="K105" s="23" t="s">
        <v>378</v>
      </c>
      <c r="L105" s="23" t="s">
        <v>378</v>
      </c>
      <c r="M105" s="23"/>
      <c r="N105" s="23"/>
      <c r="O105" s="23"/>
      <c r="P105" s="23" t="s">
        <v>215</v>
      </c>
      <c r="Q105" s="87" t="s">
        <v>382</v>
      </c>
    </row>
    <row r="106" spans="1:17" ht="25.5" customHeight="1" x14ac:dyDescent="0.25">
      <c r="A106" s="23" t="s">
        <v>317</v>
      </c>
      <c r="B106" s="23">
        <v>300</v>
      </c>
      <c r="C106" s="23">
        <v>650</v>
      </c>
      <c r="D106" s="23" t="s">
        <v>386</v>
      </c>
      <c r="E106" s="23" t="s">
        <v>386</v>
      </c>
      <c r="F106" s="23" t="s">
        <v>386</v>
      </c>
      <c r="G106" s="23" t="s">
        <v>373</v>
      </c>
      <c r="H106" s="23" t="s">
        <v>373</v>
      </c>
      <c r="I106" s="23" t="s">
        <v>373</v>
      </c>
      <c r="J106" s="23"/>
      <c r="K106" s="23" t="s">
        <v>378</v>
      </c>
      <c r="L106" s="23" t="s">
        <v>378</v>
      </c>
      <c r="M106" s="23"/>
      <c r="N106" s="23"/>
      <c r="O106" s="23"/>
      <c r="P106" s="23" t="s">
        <v>215</v>
      </c>
      <c r="Q106" s="87" t="s">
        <v>382</v>
      </c>
    </row>
    <row r="107" spans="1:17" ht="25.5" customHeight="1" x14ac:dyDescent="0.25">
      <c r="A107" s="23" t="s">
        <v>318</v>
      </c>
      <c r="B107" s="23">
        <v>240</v>
      </c>
      <c r="C107" s="23">
        <v>325</v>
      </c>
      <c r="D107" s="23" t="s">
        <v>373</v>
      </c>
      <c r="E107" s="23" t="s">
        <v>373</v>
      </c>
      <c r="F107" s="23" t="s">
        <v>373</v>
      </c>
      <c r="G107" s="23" t="s">
        <v>373</v>
      </c>
      <c r="H107" s="23" t="s">
        <v>373</v>
      </c>
      <c r="I107" s="23" t="s">
        <v>373</v>
      </c>
      <c r="J107" s="23"/>
      <c r="K107" s="23" t="s">
        <v>376</v>
      </c>
      <c r="L107" s="23" t="s">
        <v>376</v>
      </c>
      <c r="M107" s="23"/>
      <c r="N107" s="23"/>
      <c r="O107" s="23"/>
      <c r="P107" s="23" t="s">
        <v>215</v>
      </c>
      <c r="Q107" s="87" t="s">
        <v>382</v>
      </c>
    </row>
    <row r="108" spans="1:17" ht="25.5" customHeight="1" x14ac:dyDescent="0.25">
      <c r="A108" s="23" t="s">
        <v>319</v>
      </c>
      <c r="B108" s="23">
        <v>240</v>
      </c>
      <c r="C108" s="23">
        <v>650</v>
      </c>
      <c r="D108" s="23" t="s">
        <v>373</v>
      </c>
      <c r="E108" s="23" t="s">
        <v>373</v>
      </c>
      <c r="F108" s="23" t="s">
        <v>373</v>
      </c>
      <c r="G108" s="23" t="s">
        <v>373</v>
      </c>
      <c r="H108" s="23" t="s">
        <v>373</v>
      </c>
      <c r="I108" s="23" t="s">
        <v>373</v>
      </c>
      <c r="J108" s="23"/>
      <c r="K108" s="23" t="s">
        <v>376</v>
      </c>
      <c r="L108" s="23" t="s">
        <v>376</v>
      </c>
      <c r="M108" s="23"/>
      <c r="N108" s="23"/>
      <c r="O108" s="23"/>
      <c r="P108" s="23" t="s">
        <v>215</v>
      </c>
      <c r="Q108" s="87" t="s">
        <v>382</v>
      </c>
    </row>
    <row r="109" spans="1:17" ht="25.5" customHeight="1" x14ac:dyDescent="0.25">
      <c r="A109" s="23" t="s">
        <v>320</v>
      </c>
      <c r="B109" s="23">
        <v>240</v>
      </c>
      <c r="C109" s="23">
        <v>325</v>
      </c>
      <c r="D109" s="23" t="s">
        <v>373</v>
      </c>
      <c r="E109" s="23" t="s">
        <v>373</v>
      </c>
      <c r="F109" s="23" t="s">
        <v>373</v>
      </c>
      <c r="G109" s="23" t="s">
        <v>373</v>
      </c>
      <c r="H109" s="23" t="s">
        <v>373</v>
      </c>
      <c r="I109" s="23" t="s">
        <v>373</v>
      </c>
      <c r="J109" s="23"/>
      <c r="K109" s="23" t="s">
        <v>376</v>
      </c>
      <c r="L109" s="23" t="s">
        <v>376</v>
      </c>
      <c r="M109" s="23"/>
      <c r="N109" s="23"/>
      <c r="O109" s="23"/>
      <c r="P109" s="23" t="s">
        <v>215</v>
      </c>
      <c r="Q109" s="87" t="s">
        <v>382</v>
      </c>
    </row>
    <row r="110" spans="1:17" ht="25.5" customHeight="1" x14ac:dyDescent="0.25">
      <c r="A110" s="23" t="s">
        <v>321</v>
      </c>
      <c r="B110" s="23">
        <v>240</v>
      </c>
      <c r="C110" s="23">
        <v>650</v>
      </c>
      <c r="D110" s="23" t="s">
        <v>373</v>
      </c>
      <c r="E110" s="23" t="s">
        <v>373</v>
      </c>
      <c r="F110" s="23" t="s">
        <v>373</v>
      </c>
      <c r="G110" s="23" t="s">
        <v>386</v>
      </c>
      <c r="H110" s="23" t="s">
        <v>386</v>
      </c>
      <c r="I110" s="23" t="s">
        <v>386</v>
      </c>
      <c r="J110" s="23"/>
      <c r="K110" s="23" t="s">
        <v>366</v>
      </c>
      <c r="L110" s="23" t="s">
        <v>366</v>
      </c>
      <c r="M110" s="23" t="s">
        <v>387</v>
      </c>
      <c r="N110" s="23"/>
      <c r="O110" s="23"/>
      <c r="P110" s="23" t="s">
        <v>215</v>
      </c>
      <c r="Q110" s="87" t="s">
        <v>382</v>
      </c>
    </row>
    <row r="111" spans="1:17" ht="25.5" customHeight="1" x14ac:dyDescent="0.25">
      <c r="A111" s="23" t="s">
        <v>322</v>
      </c>
      <c r="B111" s="23">
        <v>240</v>
      </c>
      <c r="C111" s="23">
        <v>600</v>
      </c>
      <c r="D111" s="23" t="s">
        <v>373</v>
      </c>
      <c r="E111" s="23" t="s">
        <v>373</v>
      </c>
      <c r="F111" s="23" t="s">
        <v>373</v>
      </c>
      <c r="G111" s="23" t="s">
        <v>386</v>
      </c>
      <c r="H111" s="23" t="s">
        <v>386</v>
      </c>
      <c r="I111" s="23" t="s">
        <v>386</v>
      </c>
      <c r="J111" s="23"/>
      <c r="K111" s="23" t="s">
        <v>366</v>
      </c>
      <c r="L111" s="23" t="s">
        <v>366</v>
      </c>
      <c r="M111" s="23" t="s">
        <v>387</v>
      </c>
      <c r="N111" s="23"/>
      <c r="O111" s="23"/>
      <c r="P111" s="23" t="s">
        <v>215</v>
      </c>
      <c r="Q111" s="87" t="s">
        <v>382</v>
      </c>
    </row>
    <row r="112" spans="1:17" ht="25.5" customHeight="1" x14ac:dyDescent="0.25">
      <c r="A112" s="23" t="s">
        <v>323</v>
      </c>
      <c r="B112" s="23">
        <v>240</v>
      </c>
      <c r="C112" s="23">
        <v>600</v>
      </c>
      <c r="D112" s="23" t="s">
        <v>373</v>
      </c>
      <c r="E112" s="23" t="s">
        <v>373</v>
      </c>
      <c r="F112" s="23" t="s">
        <v>373</v>
      </c>
      <c r="G112" s="23" t="s">
        <v>386</v>
      </c>
      <c r="H112" s="23" t="s">
        <v>386</v>
      </c>
      <c r="I112" s="23" t="s">
        <v>386</v>
      </c>
      <c r="J112" s="23"/>
      <c r="K112" s="23" t="s">
        <v>366</v>
      </c>
      <c r="L112" s="23" t="s">
        <v>366</v>
      </c>
      <c r="M112" s="23" t="s">
        <v>387</v>
      </c>
      <c r="N112" s="23"/>
      <c r="O112" s="23"/>
      <c r="P112" s="23" t="s">
        <v>215</v>
      </c>
      <c r="Q112" s="87" t="s">
        <v>382</v>
      </c>
    </row>
    <row r="113" spans="1:17" ht="25.5" customHeight="1" x14ac:dyDescent="0.25">
      <c r="A113" s="23" t="s">
        <v>324</v>
      </c>
      <c r="B113" s="23">
        <v>240</v>
      </c>
      <c r="C113" s="23">
        <v>650</v>
      </c>
      <c r="D113" s="23" t="s">
        <v>373</v>
      </c>
      <c r="E113" s="23" t="s">
        <v>373</v>
      </c>
      <c r="F113" s="23" t="s">
        <v>373</v>
      </c>
      <c r="G113" s="23" t="s">
        <v>386</v>
      </c>
      <c r="H113" s="23" t="s">
        <v>386</v>
      </c>
      <c r="I113" s="23" t="s">
        <v>386</v>
      </c>
      <c r="J113" s="23"/>
      <c r="K113" s="23" t="s">
        <v>366</v>
      </c>
      <c r="L113" s="23" t="s">
        <v>366</v>
      </c>
      <c r="M113" s="23" t="s">
        <v>387</v>
      </c>
      <c r="N113" s="23"/>
      <c r="O113" s="23"/>
      <c r="P113" s="23" t="s">
        <v>215</v>
      </c>
      <c r="Q113" s="87" t="s">
        <v>382</v>
      </c>
    </row>
    <row r="114" spans="1:17" ht="25.5" customHeight="1" x14ac:dyDescent="0.25">
      <c r="A114" s="23" t="s">
        <v>325</v>
      </c>
      <c r="B114" s="23">
        <v>240</v>
      </c>
      <c r="C114" s="23">
        <v>650</v>
      </c>
      <c r="D114" s="23" t="s">
        <v>373</v>
      </c>
      <c r="E114" s="23" t="s">
        <v>373</v>
      </c>
      <c r="F114" s="23" t="s">
        <v>373</v>
      </c>
      <c r="G114" s="23" t="s">
        <v>386</v>
      </c>
      <c r="H114" s="23" t="s">
        <v>386</v>
      </c>
      <c r="I114" s="23" t="s">
        <v>386</v>
      </c>
      <c r="J114" s="23"/>
      <c r="K114" s="23" t="s">
        <v>366</v>
      </c>
      <c r="L114" s="23" t="s">
        <v>366</v>
      </c>
      <c r="M114" s="23" t="s">
        <v>387</v>
      </c>
      <c r="N114" s="23"/>
      <c r="O114" s="23"/>
      <c r="P114" s="23" t="s">
        <v>215</v>
      </c>
      <c r="Q114" s="87" t="s">
        <v>382</v>
      </c>
    </row>
    <row r="115" spans="1:17" ht="25.5" customHeight="1" x14ac:dyDescent="0.25">
      <c r="A115" s="23" t="s">
        <v>326</v>
      </c>
      <c r="B115" s="23">
        <v>240</v>
      </c>
      <c r="C115" s="23">
        <v>600</v>
      </c>
      <c r="D115" s="23" t="s">
        <v>373</v>
      </c>
      <c r="E115" s="23" t="s">
        <v>373</v>
      </c>
      <c r="F115" s="23" t="s">
        <v>373</v>
      </c>
      <c r="G115" s="23" t="s">
        <v>386</v>
      </c>
      <c r="H115" s="23" t="s">
        <v>386</v>
      </c>
      <c r="I115" s="23" t="s">
        <v>386</v>
      </c>
      <c r="J115" s="23"/>
      <c r="K115" s="23" t="s">
        <v>366</v>
      </c>
      <c r="L115" s="23" t="s">
        <v>366</v>
      </c>
      <c r="M115" s="23" t="s">
        <v>387</v>
      </c>
      <c r="N115" s="23"/>
      <c r="O115" s="23"/>
      <c r="P115" s="23" t="s">
        <v>215</v>
      </c>
      <c r="Q115" s="87" t="s">
        <v>382</v>
      </c>
    </row>
    <row r="116" spans="1:17" ht="25.5" customHeight="1" x14ac:dyDescent="0.25">
      <c r="A116" s="23" t="s">
        <v>327</v>
      </c>
      <c r="B116" s="23">
        <v>240</v>
      </c>
      <c r="C116" s="23">
        <v>600</v>
      </c>
      <c r="D116" s="23" t="s">
        <v>373</v>
      </c>
      <c r="E116" s="23" t="s">
        <v>373</v>
      </c>
      <c r="F116" s="23" t="s">
        <v>373</v>
      </c>
      <c r="G116" s="23" t="s">
        <v>386</v>
      </c>
      <c r="H116" s="23" t="s">
        <v>386</v>
      </c>
      <c r="I116" s="23" t="s">
        <v>386</v>
      </c>
      <c r="J116" s="23"/>
      <c r="K116" s="23" t="s">
        <v>366</v>
      </c>
      <c r="L116" s="23" t="s">
        <v>366</v>
      </c>
      <c r="M116" s="23" t="s">
        <v>387</v>
      </c>
      <c r="N116" s="23"/>
      <c r="O116" s="23"/>
      <c r="P116" s="23" t="s">
        <v>215</v>
      </c>
      <c r="Q116" s="87" t="s">
        <v>382</v>
      </c>
    </row>
    <row r="117" spans="1:17" ht="25.5" customHeight="1" x14ac:dyDescent="0.25">
      <c r="A117" s="23" t="s">
        <v>328</v>
      </c>
      <c r="B117" s="23">
        <v>240</v>
      </c>
      <c r="C117" s="23">
        <v>650</v>
      </c>
      <c r="D117" s="23" t="s">
        <v>373</v>
      </c>
      <c r="E117" s="23" t="s">
        <v>373</v>
      </c>
      <c r="F117" s="23" t="s">
        <v>373</v>
      </c>
      <c r="G117" s="23" t="s">
        <v>386</v>
      </c>
      <c r="H117" s="23" t="s">
        <v>386</v>
      </c>
      <c r="I117" s="23" t="s">
        <v>386</v>
      </c>
      <c r="J117" s="23"/>
      <c r="K117" s="23" t="s">
        <v>366</v>
      </c>
      <c r="L117" s="23" t="s">
        <v>366</v>
      </c>
      <c r="M117" s="23" t="s">
        <v>387</v>
      </c>
      <c r="N117" s="23"/>
      <c r="O117" s="23"/>
      <c r="P117" s="23" t="s">
        <v>215</v>
      </c>
      <c r="Q117" s="87" t="s">
        <v>382</v>
      </c>
    </row>
    <row r="118" spans="1:17" ht="25.5" customHeight="1" x14ac:dyDescent="0.25">
      <c r="A118" s="23"/>
      <c r="B118" s="23"/>
      <c r="C118" s="23"/>
      <c r="D118" s="23"/>
      <c r="E118" s="23"/>
      <c r="F118" s="23"/>
      <c r="G118" s="23"/>
      <c r="H118" s="80"/>
      <c r="I118" s="80"/>
      <c r="J118" s="23"/>
      <c r="K118" s="80"/>
      <c r="L118" s="81"/>
      <c r="M118" s="23"/>
      <c r="N118" s="23"/>
      <c r="O118" s="23"/>
      <c r="P118" s="23"/>
      <c r="Q118" s="87"/>
    </row>
    <row r="119" spans="1:17" ht="25.5" customHeight="1" x14ac:dyDescent="0.25">
      <c r="A119" s="23" t="s">
        <v>329</v>
      </c>
      <c r="B119" s="23">
        <v>240</v>
      </c>
      <c r="C119" s="23">
        <v>750</v>
      </c>
      <c r="D119" s="23" t="s">
        <v>370</v>
      </c>
      <c r="E119" s="23" t="s">
        <v>399</v>
      </c>
      <c r="F119" s="23" t="s">
        <v>370</v>
      </c>
      <c r="G119" s="23" t="s">
        <v>372</v>
      </c>
      <c r="H119" s="23" t="s">
        <v>372</v>
      </c>
      <c r="I119" s="23" t="s">
        <v>372</v>
      </c>
      <c r="J119" s="23" t="s">
        <v>400</v>
      </c>
      <c r="K119" s="23" t="s">
        <v>366</v>
      </c>
      <c r="L119" s="23" t="s">
        <v>378</v>
      </c>
      <c r="M119" s="94"/>
      <c r="N119" s="23"/>
      <c r="O119" s="23"/>
      <c r="P119" s="23" t="s">
        <v>216</v>
      </c>
      <c r="Q119" s="87" t="s">
        <v>383</v>
      </c>
    </row>
    <row r="120" spans="1:17" ht="25.5" customHeight="1" x14ac:dyDescent="0.25">
      <c r="A120" s="23" t="s">
        <v>330</v>
      </c>
      <c r="B120" s="23">
        <v>240</v>
      </c>
      <c r="C120" s="23">
        <v>750</v>
      </c>
      <c r="D120" s="23" t="s">
        <v>370</v>
      </c>
      <c r="E120" s="23" t="s">
        <v>399</v>
      </c>
      <c r="F120" s="23" t="s">
        <v>370</v>
      </c>
      <c r="G120" s="23" t="s">
        <v>372</v>
      </c>
      <c r="H120" s="23" t="s">
        <v>372</v>
      </c>
      <c r="I120" s="23" t="s">
        <v>372</v>
      </c>
      <c r="J120" s="23" t="s">
        <v>400</v>
      </c>
      <c r="K120" s="23" t="s">
        <v>366</v>
      </c>
      <c r="L120" s="23" t="s">
        <v>378</v>
      </c>
      <c r="M120" s="94"/>
      <c r="N120" s="23"/>
      <c r="O120" s="23"/>
      <c r="P120" s="23" t="s">
        <v>216</v>
      </c>
      <c r="Q120" s="87" t="s">
        <v>383</v>
      </c>
    </row>
    <row r="121" spans="1:17" ht="25.5" customHeight="1" x14ac:dyDescent="0.25">
      <c r="A121" s="23" t="s">
        <v>331</v>
      </c>
      <c r="B121" s="23">
        <v>240</v>
      </c>
      <c r="C121" s="23">
        <v>600</v>
      </c>
      <c r="D121" s="23" t="s">
        <v>392</v>
      </c>
      <c r="E121" s="23" t="s">
        <v>392</v>
      </c>
      <c r="F121" s="23" t="s">
        <v>392</v>
      </c>
      <c r="G121" s="23" t="s">
        <v>373</v>
      </c>
      <c r="H121" s="23" t="s">
        <v>373</v>
      </c>
      <c r="I121" s="23" t="s">
        <v>373</v>
      </c>
      <c r="J121" s="23"/>
      <c r="K121" s="23" t="s">
        <v>377</v>
      </c>
      <c r="L121" s="23" t="s">
        <v>377</v>
      </c>
      <c r="M121" s="94"/>
      <c r="N121" s="23"/>
      <c r="O121" s="23"/>
      <c r="P121" s="23" t="s">
        <v>216</v>
      </c>
      <c r="Q121" s="87" t="s">
        <v>383</v>
      </c>
    </row>
    <row r="122" spans="1:17" ht="25.5" customHeight="1" x14ac:dyDescent="0.25">
      <c r="A122" s="23" t="s">
        <v>332</v>
      </c>
      <c r="B122" s="23">
        <v>240</v>
      </c>
      <c r="C122" s="23">
        <v>600</v>
      </c>
      <c r="D122" s="23" t="s">
        <v>392</v>
      </c>
      <c r="E122" s="23" t="s">
        <v>392</v>
      </c>
      <c r="F122" s="23" t="s">
        <v>392</v>
      </c>
      <c r="G122" s="23" t="s">
        <v>373</v>
      </c>
      <c r="H122" s="23" t="s">
        <v>373</v>
      </c>
      <c r="I122" s="23" t="s">
        <v>373</v>
      </c>
      <c r="J122" s="23"/>
      <c r="K122" s="23" t="s">
        <v>377</v>
      </c>
      <c r="L122" s="23" t="s">
        <v>377</v>
      </c>
      <c r="M122" s="94"/>
      <c r="N122" s="23"/>
      <c r="O122" s="23"/>
      <c r="P122" s="23" t="s">
        <v>216</v>
      </c>
      <c r="Q122" s="87" t="s">
        <v>383</v>
      </c>
    </row>
    <row r="123" spans="1:17" ht="25.5" customHeight="1" x14ac:dyDescent="0.25">
      <c r="A123" s="23" t="s">
        <v>341</v>
      </c>
      <c r="B123" s="23">
        <v>340</v>
      </c>
      <c r="C123" s="23">
        <v>600</v>
      </c>
      <c r="D123" s="23" t="s">
        <v>370</v>
      </c>
      <c r="E123" s="23" t="s">
        <v>370</v>
      </c>
      <c r="F123" s="23" t="s">
        <v>370</v>
      </c>
      <c r="G123" s="23" t="s">
        <v>372</v>
      </c>
      <c r="H123" s="23" t="s">
        <v>372</v>
      </c>
      <c r="I123" s="23" t="s">
        <v>372</v>
      </c>
      <c r="J123" s="23"/>
      <c r="K123" s="23" t="s">
        <v>379</v>
      </c>
      <c r="L123" s="23" t="s">
        <v>379</v>
      </c>
      <c r="M123" s="94"/>
      <c r="N123" s="23"/>
      <c r="O123" s="23"/>
      <c r="P123" s="23" t="s">
        <v>216</v>
      </c>
      <c r="Q123" s="87" t="s">
        <v>383</v>
      </c>
    </row>
    <row r="124" spans="1:17" ht="25.5" customHeight="1" x14ac:dyDescent="0.25">
      <c r="A124" s="23" t="s">
        <v>342</v>
      </c>
      <c r="B124" s="23">
        <v>340</v>
      </c>
      <c r="C124" s="23">
        <v>600</v>
      </c>
      <c r="D124" s="23" t="s">
        <v>370</v>
      </c>
      <c r="E124" s="23" t="s">
        <v>399</v>
      </c>
      <c r="F124" s="23" t="s">
        <v>370</v>
      </c>
      <c r="G124" s="23" t="s">
        <v>372</v>
      </c>
      <c r="H124" s="23" t="s">
        <v>372</v>
      </c>
      <c r="I124" s="23" t="s">
        <v>402</v>
      </c>
      <c r="J124" s="23"/>
      <c r="K124" s="23" t="s">
        <v>379</v>
      </c>
      <c r="L124" s="23" t="s">
        <v>379</v>
      </c>
      <c r="M124" s="94"/>
      <c r="N124" s="23"/>
      <c r="O124" s="23"/>
      <c r="P124" s="23" t="s">
        <v>216</v>
      </c>
      <c r="Q124" s="87" t="s">
        <v>383</v>
      </c>
    </row>
    <row r="125" spans="1:17" ht="25.5" customHeight="1" x14ac:dyDescent="0.25">
      <c r="A125" s="23" t="s">
        <v>343</v>
      </c>
      <c r="B125" s="23">
        <v>340</v>
      </c>
      <c r="C125" s="23">
        <v>600</v>
      </c>
      <c r="D125" s="23" t="s">
        <v>370</v>
      </c>
      <c r="E125" s="23" t="s">
        <v>370</v>
      </c>
      <c r="F125" s="23" t="s">
        <v>370</v>
      </c>
      <c r="G125" s="23" t="s">
        <v>402</v>
      </c>
      <c r="H125" s="23" t="s">
        <v>402</v>
      </c>
      <c r="I125" s="23" t="s">
        <v>402</v>
      </c>
      <c r="J125" s="23"/>
      <c r="K125" s="23" t="s">
        <v>379</v>
      </c>
      <c r="L125" s="23" t="s">
        <v>379</v>
      </c>
      <c r="M125" s="94"/>
      <c r="N125" s="23"/>
      <c r="O125" s="23"/>
      <c r="P125" s="23" t="s">
        <v>216</v>
      </c>
      <c r="Q125" s="87" t="s">
        <v>383</v>
      </c>
    </row>
    <row r="126" spans="1:17" ht="25.5" customHeight="1" x14ac:dyDescent="0.25">
      <c r="A126" s="23" t="s">
        <v>344</v>
      </c>
      <c r="B126" s="23">
        <v>340</v>
      </c>
      <c r="C126" s="23">
        <v>600</v>
      </c>
      <c r="D126" s="23" t="s">
        <v>370</v>
      </c>
      <c r="E126" s="23" t="s">
        <v>370</v>
      </c>
      <c r="F126" s="23" t="s">
        <v>370</v>
      </c>
      <c r="G126" s="23" t="s">
        <v>402</v>
      </c>
      <c r="H126" s="23" t="s">
        <v>402</v>
      </c>
      <c r="I126" s="23" t="s">
        <v>402</v>
      </c>
      <c r="J126" s="23"/>
      <c r="K126" s="23" t="s">
        <v>379</v>
      </c>
      <c r="L126" s="23" t="s">
        <v>379</v>
      </c>
      <c r="M126" s="94"/>
      <c r="N126" s="23"/>
      <c r="O126" s="23"/>
      <c r="P126" s="23" t="s">
        <v>216</v>
      </c>
      <c r="Q126" s="87" t="s">
        <v>383</v>
      </c>
    </row>
    <row r="127" spans="1:17" ht="25.5" customHeight="1" x14ac:dyDescent="0.25">
      <c r="A127" s="23" t="s">
        <v>345</v>
      </c>
      <c r="B127" s="23">
        <v>340</v>
      </c>
      <c r="C127" s="23">
        <v>600</v>
      </c>
      <c r="D127" s="23" t="s">
        <v>370</v>
      </c>
      <c r="E127" s="23" t="s">
        <v>399</v>
      </c>
      <c r="F127" s="23" t="s">
        <v>370</v>
      </c>
      <c r="G127" s="23" t="s">
        <v>402</v>
      </c>
      <c r="H127" s="23" t="s">
        <v>372</v>
      </c>
      <c r="I127" s="23" t="s">
        <v>372</v>
      </c>
      <c r="J127" s="23"/>
      <c r="K127" s="23" t="s">
        <v>379</v>
      </c>
      <c r="L127" s="23" t="s">
        <v>379</v>
      </c>
      <c r="M127" s="94"/>
      <c r="N127" s="23"/>
      <c r="O127" s="23"/>
      <c r="P127" s="23" t="s">
        <v>216</v>
      </c>
      <c r="Q127" s="87" t="s">
        <v>383</v>
      </c>
    </row>
    <row r="128" spans="1:17" ht="25.5" customHeight="1" x14ac:dyDescent="0.25">
      <c r="A128" s="23" t="s">
        <v>346</v>
      </c>
      <c r="B128" s="23">
        <v>340</v>
      </c>
      <c r="C128" s="23">
        <v>600</v>
      </c>
      <c r="D128" s="23" t="s">
        <v>370</v>
      </c>
      <c r="E128" s="23" t="s">
        <v>370</v>
      </c>
      <c r="F128" s="23" t="s">
        <v>370</v>
      </c>
      <c r="G128" s="23" t="s">
        <v>372</v>
      </c>
      <c r="H128" s="23" t="s">
        <v>372</v>
      </c>
      <c r="I128" s="23" t="s">
        <v>372</v>
      </c>
      <c r="J128" s="23"/>
      <c r="K128" s="23" t="s">
        <v>379</v>
      </c>
      <c r="L128" s="23" t="s">
        <v>379</v>
      </c>
      <c r="M128" s="94"/>
      <c r="N128" s="23"/>
      <c r="O128" s="23"/>
      <c r="P128" s="23" t="s">
        <v>216</v>
      </c>
      <c r="Q128" s="87" t="s">
        <v>383</v>
      </c>
    </row>
    <row r="129" spans="1:17" ht="25.5" customHeight="1" x14ac:dyDescent="0.25">
      <c r="A129" s="23" t="s">
        <v>333</v>
      </c>
      <c r="B129" s="23">
        <v>240</v>
      </c>
      <c r="C129" s="23">
        <v>750</v>
      </c>
      <c r="D129" s="23" t="s">
        <v>373</v>
      </c>
      <c r="E129" s="23" t="s">
        <v>373</v>
      </c>
      <c r="F129" s="23" t="s">
        <v>373</v>
      </c>
      <c r="G129" s="23" t="s">
        <v>386</v>
      </c>
      <c r="H129" s="23" t="s">
        <v>386</v>
      </c>
      <c r="I129" s="23" t="s">
        <v>386</v>
      </c>
      <c r="J129" s="23" t="s">
        <v>400</v>
      </c>
      <c r="K129" s="23" t="s">
        <v>366</v>
      </c>
      <c r="L129" s="23" t="s">
        <v>366</v>
      </c>
      <c r="M129" s="94" t="s">
        <v>387</v>
      </c>
      <c r="N129" s="23"/>
      <c r="O129" s="23"/>
      <c r="P129" s="23" t="s">
        <v>216</v>
      </c>
      <c r="Q129" s="87" t="s">
        <v>383</v>
      </c>
    </row>
    <row r="130" spans="1:17" ht="25.5" customHeight="1" x14ac:dyDescent="0.25">
      <c r="A130" s="23" t="s">
        <v>334</v>
      </c>
      <c r="B130" s="23">
        <v>240</v>
      </c>
      <c r="C130" s="23">
        <v>600</v>
      </c>
      <c r="D130" s="23" t="s">
        <v>386</v>
      </c>
      <c r="E130" s="23" t="s">
        <v>386</v>
      </c>
      <c r="F130" s="23" t="s">
        <v>386</v>
      </c>
      <c r="G130" s="23" t="s">
        <v>373</v>
      </c>
      <c r="H130" s="23" t="s">
        <v>373</v>
      </c>
      <c r="I130" s="23" t="s">
        <v>373</v>
      </c>
      <c r="J130" s="23"/>
      <c r="K130" s="23" t="s">
        <v>378</v>
      </c>
      <c r="L130" s="23" t="s">
        <v>378</v>
      </c>
      <c r="M130" s="94"/>
      <c r="N130" s="23"/>
      <c r="O130" s="23"/>
      <c r="P130" s="23" t="s">
        <v>216</v>
      </c>
      <c r="Q130" s="87" t="s">
        <v>383</v>
      </c>
    </row>
    <row r="131" spans="1:17" ht="25.5" customHeight="1" x14ac:dyDescent="0.25">
      <c r="A131" s="23" t="s">
        <v>335</v>
      </c>
      <c r="B131" s="23">
        <v>240</v>
      </c>
      <c r="C131" s="23">
        <v>600</v>
      </c>
      <c r="D131" s="23" t="s">
        <v>386</v>
      </c>
      <c r="E131" s="23" t="s">
        <v>386</v>
      </c>
      <c r="F131" s="23" t="s">
        <v>386</v>
      </c>
      <c r="G131" s="23" t="s">
        <v>373</v>
      </c>
      <c r="H131" s="23" t="s">
        <v>373</v>
      </c>
      <c r="I131" s="23" t="s">
        <v>373</v>
      </c>
      <c r="J131" s="23"/>
      <c r="K131" s="23" t="s">
        <v>378</v>
      </c>
      <c r="L131" s="23" t="s">
        <v>378</v>
      </c>
      <c r="M131" s="94"/>
      <c r="N131" s="23"/>
      <c r="O131" s="23"/>
      <c r="P131" s="23" t="s">
        <v>216</v>
      </c>
      <c r="Q131" s="87" t="s">
        <v>383</v>
      </c>
    </row>
    <row r="132" spans="1:17" ht="25.5" customHeight="1" x14ac:dyDescent="0.25">
      <c r="A132" s="23" t="s">
        <v>336</v>
      </c>
      <c r="B132" s="23">
        <v>240</v>
      </c>
      <c r="C132" s="23">
        <v>750</v>
      </c>
      <c r="D132" s="23" t="s">
        <v>373</v>
      </c>
      <c r="E132" s="23" t="s">
        <v>373</v>
      </c>
      <c r="F132" s="23" t="s">
        <v>373</v>
      </c>
      <c r="G132" s="23" t="s">
        <v>386</v>
      </c>
      <c r="H132" s="23" t="s">
        <v>386</v>
      </c>
      <c r="I132" s="23" t="s">
        <v>386</v>
      </c>
      <c r="J132" s="23" t="s">
        <v>400</v>
      </c>
      <c r="K132" s="23" t="s">
        <v>366</v>
      </c>
      <c r="L132" s="23" t="s">
        <v>366</v>
      </c>
      <c r="M132" s="94" t="s">
        <v>387</v>
      </c>
      <c r="N132" s="23"/>
      <c r="O132" s="23"/>
      <c r="P132" s="23" t="s">
        <v>216</v>
      </c>
      <c r="Q132" s="87" t="s">
        <v>383</v>
      </c>
    </row>
    <row r="133" spans="1:17" ht="25.5" customHeight="1" x14ac:dyDescent="0.25">
      <c r="A133" s="23" t="s">
        <v>347</v>
      </c>
      <c r="B133" s="23">
        <v>240</v>
      </c>
      <c r="C133" s="23">
        <v>650</v>
      </c>
      <c r="D133" s="23" t="s">
        <v>373</v>
      </c>
      <c r="E133" s="23" t="s">
        <v>373</v>
      </c>
      <c r="F133" s="23" t="s">
        <v>373</v>
      </c>
      <c r="G133" s="23" t="s">
        <v>386</v>
      </c>
      <c r="H133" s="23" t="s">
        <v>386</v>
      </c>
      <c r="I133" s="23" t="s">
        <v>386</v>
      </c>
      <c r="J133" s="23"/>
      <c r="K133" s="23" t="s">
        <v>366</v>
      </c>
      <c r="L133" s="23" t="s">
        <v>366</v>
      </c>
      <c r="M133" s="94" t="s">
        <v>387</v>
      </c>
      <c r="N133" s="23"/>
      <c r="O133" s="23"/>
      <c r="P133" s="23" t="s">
        <v>216</v>
      </c>
      <c r="Q133" s="87" t="s">
        <v>383</v>
      </c>
    </row>
    <row r="134" spans="1:17" ht="25.5" customHeight="1" x14ac:dyDescent="0.25">
      <c r="A134" s="23" t="s">
        <v>348</v>
      </c>
      <c r="B134" s="23">
        <v>240</v>
      </c>
      <c r="C134" s="23">
        <v>600</v>
      </c>
      <c r="D134" s="23" t="s">
        <v>373</v>
      </c>
      <c r="E134" s="23" t="s">
        <v>373</v>
      </c>
      <c r="F134" s="23" t="s">
        <v>373</v>
      </c>
      <c r="G134" s="23" t="s">
        <v>392</v>
      </c>
      <c r="H134" s="23" t="s">
        <v>392</v>
      </c>
      <c r="I134" s="23" t="s">
        <v>392</v>
      </c>
      <c r="J134" s="23"/>
      <c r="K134" s="23" t="s">
        <v>366</v>
      </c>
      <c r="L134" s="23" t="s">
        <v>366</v>
      </c>
      <c r="M134" s="94" t="s">
        <v>387</v>
      </c>
      <c r="N134" s="23"/>
      <c r="O134" s="23"/>
      <c r="P134" s="23" t="s">
        <v>216</v>
      </c>
      <c r="Q134" s="87" t="s">
        <v>383</v>
      </c>
    </row>
    <row r="135" spans="1:17" ht="25.5" customHeight="1" x14ac:dyDescent="0.25">
      <c r="A135" s="23" t="s">
        <v>349</v>
      </c>
      <c r="B135" s="23">
        <v>240</v>
      </c>
      <c r="C135" s="23">
        <v>600</v>
      </c>
      <c r="D135" s="23" t="s">
        <v>373</v>
      </c>
      <c r="E135" s="23" t="s">
        <v>373</v>
      </c>
      <c r="F135" s="23" t="s">
        <v>373</v>
      </c>
      <c r="G135" s="23" t="s">
        <v>392</v>
      </c>
      <c r="H135" s="23" t="s">
        <v>392</v>
      </c>
      <c r="I135" s="23" t="s">
        <v>392</v>
      </c>
      <c r="J135" s="23"/>
      <c r="K135" s="23" t="s">
        <v>366</v>
      </c>
      <c r="L135" s="23" t="s">
        <v>366</v>
      </c>
      <c r="M135" s="94" t="s">
        <v>387</v>
      </c>
      <c r="N135" s="23"/>
      <c r="O135" s="23"/>
      <c r="P135" s="23" t="s">
        <v>216</v>
      </c>
      <c r="Q135" s="87" t="s">
        <v>383</v>
      </c>
    </row>
    <row r="136" spans="1:17" ht="25.5" customHeight="1" x14ac:dyDescent="0.25">
      <c r="A136" s="23" t="s">
        <v>350</v>
      </c>
      <c r="B136" s="23">
        <v>240</v>
      </c>
      <c r="C136" s="23">
        <v>650</v>
      </c>
      <c r="D136" s="23" t="s">
        <v>373</v>
      </c>
      <c r="E136" s="23" t="s">
        <v>373</v>
      </c>
      <c r="F136" s="23" t="s">
        <v>373</v>
      </c>
      <c r="G136" s="23" t="s">
        <v>386</v>
      </c>
      <c r="H136" s="23" t="s">
        <v>386</v>
      </c>
      <c r="I136" s="23" t="s">
        <v>386</v>
      </c>
      <c r="J136" s="23"/>
      <c r="K136" s="23" t="s">
        <v>366</v>
      </c>
      <c r="L136" s="23" t="s">
        <v>366</v>
      </c>
      <c r="M136" s="94" t="s">
        <v>387</v>
      </c>
      <c r="N136" s="23"/>
      <c r="O136" s="23"/>
      <c r="P136" s="23" t="s">
        <v>216</v>
      </c>
      <c r="Q136" s="87" t="s">
        <v>383</v>
      </c>
    </row>
    <row r="137" spans="1:17" ht="25.5" customHeight="1" x14ac:dyDescent="0.25">
      <c r="A137" s="23" t="s">
        <v>351</v>
      </c>
      <c r="B137" s="23">
        <v>240</v>
      </c>
      <c r="C137" s="23">
        <v>650</v>
      </c>
      <c r="D137" s="23" t="s">
        <v>373</v>
      </c>
      <c r="E137" s="23" t="s">
        <v>373</v>
      </c>
      <c r="F137" s="23" t="s">
        <v>373</v>
      </c>
      <c r="G137" s="23" t="s">
        <v>386</v>
      </c>
      <c r="H137" s="23" t="s">
        <v>386</v>
      </c>
      <c r="I137" s="23" t="s">
        <v>386</v>
      </c>
      <c r="J137" s="23"/>
      <c r="K137" s="23" t="s">
        <v>366</v>
      </c>
      <c r="L137" s="23" t="s">
        <v>366</v>
      </c>
      <c r="M137" s="94" t="s">
        <v>387</v>
      </c>
      <c r="N137" s="23"/>
      <c r="O137" s="23"/>
      <c r="P137" s="23" t="s">
        <v>216</v>
      </c>
      <c r="Q137" s="87" t="s">
        <v>383</v>
      </c>
    </row>
    <row r="138" spans="1:17" ht="25.5" customHeight="1" x14ac:dyDescent="0.25">
      <c r="A138" s="23" t="s">
        <v>352</v>
      </c>
      <c r="B138" s="23">
        <v>240</v>
      </c>
      <c r="C138" s="23">
        <v>600</v>
      </c>
      <c r="D138" s="23" t="s">
        <v>373</v>
      </c>
      <c r="E138" s="23" t="s">
        <v>373</v>
      </c>
      <c r="F138" s="23" t="s">
        <v>373</v>
      </c>
      <c r="G138" s="23" t="s">
        <v>392</v>
      </c>
      <c r="H138" s="23" t="s">
        <v>392</v>
      </c>
      <c r="I138" s="23" t="s">
        <v>392</v>
      </c>
      <c r="J138" s="23"/>
      <c r="K138" s="23" t="s">
        <v>366</v>
      </c>
      <c r="L138" s="23" t="s">
        <v>366</v>
      </c>
      <c r="M138" s="94" t="s">
        <v>387</v>
      </c>
      <c r="N138" s="23"/>
      <c r="O138" s="23"/>
      <c r="P138" s="23" t="s">
        <v>216</v>
      </c>
      <c r="Q138" s="87" t="s">
        <v>383</v>
      </c>
    </row>
    <row r="139" spans="1:17" ht="25.5" customHeight="1" x14ac:dyDescent="0.25">
      <c r="A139" s="23" t="s">
        <v>353</v>
      </c>
      <c r="B139" s="23">
        <v>240</v>
      </c>
      <c r="C139" s="23">
        <v>600</v>
      </c>
      <c r="D139" s="23" t="s">
        <v>373</v>
      </c>
      <c r="E139" s="23" t="s">
        <v>373</v>
      </c>
      <c r="F139" s="23" t="s">
        <v>373</v>
      </c>
      <c r="G139" s="23" t="s">
        <v>392</v>
      </c>
      <c r="H139" s="23" t="s">
        <v>392</v>
      </c>
      <c r="I139" s="23" t="s">
        <v>392</v>
      </c>
      <c r="J139" s="23"/>
      <c r="K139" s="23" t="s">
        <v>366</v>
      </c>
      <c r="L139" s="23" t="s">
        <v>366</v>
      </c>
      <c r="M139" s="94" t="s">
        <v>387</v>
      </c>
      <c r="N139" s="23"/>
      <c r="O139" s="23"/>
      <c r="P139" s="23" t="s">
        <v>216</v>
      </c>
      <c r="Q139" s="87" t="s">
        <v>383</v>
      </c>
    </row>
    <row r="140" spans="1:17" ht="25.5" customHeight="1" x14ac:dyDescent="0.25">
      <c r="A140" s="23" t="s">
        <v>354</v>
      </c>
      <c r="B140" s="23">
        <v>240</v>
      </c>
      <c r="C140" s="23">
        <v>650</v>
      </c>
      <c r="D140" s="23" t="s">
        <v>373</v>
      </c>
      <c r="E140" s="23" t="s">
        <v>373</v>
      </c>
      <c r="F140" s="23" t="s">
        <v>373</v>
      </c>
      <c r="G140" s="23" t="s">
        <v>386</v>
      </c>
      <c r="H140" s="23" t="s">
        <v>386</v>
      </c>
      <c r="I140" s="23" t="s">
        <v>386</v>
      </c>
      <c r="J140" s="23"/>
      <c r="K140" s="23" t="s">
        <v>366</v>
      </c>
      <c r="L140" s="23" t="s">
        <v>366</v>
      </c>
      <c r="M140" s="94" t="s">
        <v>387</v>
      </c>
      <c r="N140" s="23"/>
      <c r="O140" s="23"/>
      <c r="P140" s="23" t="s">
        <v>216</v>
      </c>
      <c r="Q140" s="87" t="s">
        <v>383</v>
      </c>
    </row>
    <row r="141" spans="1:17" ht="25.5" customHeight="1" x14ac:dyDescent="0.25">
      <c r="A141" s="23" t="s">
        <v>337</v>
      </c>
      <c r="B141" s="23">
        <v>240</v>
      </c>
      <c r="C141" s="23">
        <v>600</v>
      </c>
      <c r="D141" s="23" t="s">
        <v>386</v>
      </c>
      <c r="E141" s="23" t="s">
        <v>386</v>
      </c>
      <c r="F141" s="23" t="s">
        <v>386</v>
      </c>
      <c r="G141" s="23" t="s">
        <v>373</v>
      </c>
      <c r="H141" s="23" t="s">
        <v>373</v>
      </c>
      <c r="I141" s="23" t="s">
        <v>373</v>
      </c>
      <c r="J141" s="23"/>
      <c r="K141" s="23" t="s">
        <v>378</v>
      </c>
      <c r="L141" s="23" t="s">
        <v>378</v>
      </c>
      <c r="M141" s="94"/>
      <c r="N141" s="23"/>
      <c r="O141" s="23"/>
      <c r="P141" s="23" t="s">
        <v>216</v>
      </c>
      <c r="Q141" s="87" t="s">
        <v>383</v>
      </c>
    </row>
    <row r="142" spans="1:17" ht="25.5" customHeight="1" x14ac:dyDescent="0.25">
      <c r="A142" s="23" t="s">
        <v>338</v>
      </c>
      <c r="B142" s="23">
        <v>240</v>
      </c>
      <c r="C142" s="23">
        <v>600</v>
      </c>
      <c r="D142" s="23" t="s">
        <v>386</v>
      </c>
      <c r="E142" s="23" t="s">
        <v>386</v>
      </c>
      <c r="F142" s="23" t="s">
        <v>386</v>
      </c>
      <c r="G142" s="23" t="s">
        <v>373</v>
      </c>
      <c r="H142" s="23" t="s">
        <v>373</v>
      </c>
      <c r="I142" s="23" t="s">
        <v>373</v>
      </c>
      <c r="J142" s="23"/>
      <c r="K142" s="23" t="s">
        <v>378</v>
      </c>
      <c r="L142" s="23" t="s">
        <v>378</v>
      </c>
      <c r="M142" s="94"/>
      <c r="N142" s="23"/>
      <c r="O142" s="23"/>
      <c r="P142" s="23" t="s">
        <v>216</v>
      </c>
      <c r="Q142" s="87" t="s">
        <v>383</v>
      </c>
    </row>
    <row r="143" spans="1:17" ht="25.5" customHeight="1" x14ac:dyDescent="0.25">
      <c r="A143" s="23" t="s">
        <v>339</v>
      </c>
      <c r="B143" s="23">
        <v>200</v>
      </c>
      <c r="C143" s="23">
        <v>375</v>
      </c>
      <c r="D143" s="23" t="s">
        <v>373</v>
      </c>
      <c r="E143" s="23" t="s">
        <v>373</v>
      </c>
      <c r="F143" s="23" t="s">
        <v>373</v>
      </c>
      <c r="G143" s="23" t="s">
        <v>373</v>
      </c>
      <c r="H143" s="23" t="s">
        <v>373</v>
      </c>
      <c r="I143" s="23" t="s">
        <v>373</v>
      </c>
      <c r="J143" s="23"/>
      <c r="K143" s="98" t="s">
        <v>366</v>
      </c>
      <c r="L143" s="98" t="s">
        <v>366</v>
      </c>
      <c r="M143" s="94" t="s">
        <v>401</v>
      </c>
      <c r="N143" s="23"/>
      <c r="O143" s="23"/>
      <c r="P143" s="23" t="s">
        <v>216</v>
      </c>
      <c r="Q143" s="87" t="s">
        <v>383</v>
      </c>
    </row>
    <row r="144" spans="1:17" ht="25.5" customHeight="1" x14ac:dyDescent="0.25">
      <c r="A144" s="23" t="s">
        <v>340</v>
      </c>
      <c r="B144" s="23">
        <v>200</v>
      </c>
      <c r="C144" s="23">
        <v>375</v>
      </c>
      <c r="D144" s="23" t="s">
        <v>373</v>
      </c>
      <c r="E144" s="23" t="s">
        <v>373</v>
      </c>
      <c r="F144" s="23" t="s">
        <v>373</v>
      </c>
      <c r="G144" s="23" t="s">
        <v>373</v>
      </c>
      <c r="H144" s="23" t="s">
        <v>373</v>
      </c>
      <c r="I144" s="23" t="s">
        <v>373</v>
      </c>
      <c r="J144" s="23"/>
      <c r="K144" s="98" t="s">
        <v>366</v>
      </c>
      <c r="L144" s="98" t="s">
        <v>366</v>
      </c>
      <c r="M144" s="94" t="s">
        <v>401</v>
      </c>
      <c r="N144" s="23"/>
      <c r="O144" s="23"/>
      <c r="P144" s="23" t="s">
        <v>216</v>
      </c>
      <c r="Q144" s="87" t="s">
        <v>383</v>
      </c>
    </row>
    <row r="145" spans="1:17" ht="25.5" customHeight="1" x14ac:dyDescent="0.25">
      <c r="A145" s="23"/>
      <c r="B145" s="23"/>
      <c r="C145" s="23"/>
      <c r="D145" s="23"/>
      <c r="E145" s="23"/>
      <c r="F145" s="23"/>
      <c r="G145" s="23"/>
      <c r="H145" s="80"/>
      <c r="I145" s="80"/>
      <c r="J145" s="23"/>
      <c r="K145" s="80"/>
      <c r="L145" s="81"/>
      <c r="M145" s="23"/>
      <c r="N145" s="23"/>
      <c r="O145" s="23"/>
      <c r="P145" s="23"/>
      <c r="Q145" s="87"/>
    </row>
    <row r="146" spans="1:17" ht="25.5" customHeight="1" x14ac:dyDescent="0.25">
      <c r="A146" s="23" t="s">
        <v>355</v>
      </c>
      <c r="B146" s="23">
        <v>340</v>
      </c>
      <c r="C146" s="23">
        <v>600</v>
      </c>
      <c r="D146" s="23" t="s">
        <v>370</v>
      </c>
      <c r="E146" s="23" t="s">
        <v>370</v>
      </c>
      <c r="F146" s="23" t="s">
        <v>370</v>
      </c>
      <c r="G146" s="23" t="s">
        <v>402</v>
      </c>
      <c r="H146" s="23" t="s">
        <v>402</v>
      </c>
      <c r="I146" s="23" t="s">
        <v>402</v>
      </c>
      <c r="J146" s="23"/>
      <c r="K146" s="23" t="s">
        <v>379</v>
      </c>
      <c r="L146" s="23" t="s">
        <v>379</v>
      </c>
      <c r="M146" s="23"/>
      <c r="N146" s="23"/>
      <c r="O146" s="23"/>
      <c r="P146" s="23" t="s">
        <v>217</v>
      </c>
      <c r="Q146" s="87" t="s">
        <v>384</v>
      </c>
    </row>
    <row r="147" spans="1:17" ht="25.5" customHeight="1" x14ac:dyDescent="0.25">
      <c r="A147" s="23" t="s">
        <v>356</v>
      </c>
      <c r="B147" s="23">
        <v>340</v>
      </c>
      <c r="C147" s="23">
        <v>600</v>
      </c>
      <c r="D147" s="23" t="s">
        <v>370</v>
      </c>
      <c r="E147" s="23" t="s">
        <v>370</v>
      </c>
      <c r="F147" s="23" t="s">
        <v>370</v>
      </c>
      <c r="G147" s="23" t="s">
        <v>402</v>
      </c>
      <c r="H147" s="23" t="s">
        <v>402</v>
      </c>
      <c r="I147" s="23" t="s">
        <v>402</v>
      </c>
      <c r="J147" s="23"/>
      <c r="K147" s="23" t="s">
        <v>379</v>
      </c>
      <c r="L147" s="23" t="s">
        <v>379</v>
      </c>
      <c r="M147" s="23"/>
      <c r="N147" s="23"/>
      <c r="O147" s="23"/>
      <c r="P147" s="23" t="s">
        <v>217</v>
      </c>
      <c r="Q147" s="87" t="s">
        <v>384</v>
      </c>
    </row>
    <row r="148" spans="1:17" ht="25.5" customHeight="1" x14ac:dyDescent="0.25">
      <c r="A148" s="23" t="s">
        <v>357</v>
      </c>
      <c r="B148" s="23">
        <v>300</v>
      </c>
      <c r="C148" s="23">
        <v>650</v>
      </c>
      <c r="D148" s="23" t="s">
        <v>386</v>
      </c>
      <c r="E148" s="23" t="s">
        <v>386</v>
      </c>
      <c r="F148" s="23" t="s">
        <v>386</v>
      </c>
      <c r="G148" s="23" t="s">
        <v>373</v>
      </c>
      <c r="H148" s="23" t="s">
        <v>373</v>
      </c>
      <c r="I148" s="23" t="s">
        <v>373</v>
      </c>
      <c r="J148" s="23"/>
      <c r="K148" s="23" t="s">
        <v>378</v>
      </c>
      <c r="L148" s="23" t="s">
        <v>378</v>
      </c>
      <c r="M148" s="23"/>
      <c r="N148" s="23"/>
      <c r="O148" s="23"/>
      <c r="P148" s="23" t="s">
        <v>217</v>
      </c>
      <c r="Q148" s="87" t="s">
        <v>384</v>
      </c>
    </row>
    <row r="149" spans="1:17" ht="25.5" customHeight="1" x14ac:dyDescent="0.25">
      <c r="A149" s="23" t="s">
        <v>358</v>
      </c>
      <c r="B149" s="23">
        <v>300</v>
      </c>
      <c r="C149" s="23">
        <v>650</v>
      </c>
      <c r="D149" s="23" t="s">
        <v>386</v>
      </c>
      <c r="E149" s="23" t="s">
        <v>386</v>
      </c>
      <c r="F149" s="23" t="s">
        <v>386</v>
      </c>
      <c r="G149" s="23" t="s">
        <v>373</v>
      </c>
      <c r="H149" s="23" t="s">
        <v>373</v>
      </c>
      <c r="I149" s="23" t="s">
        <v>373</v>
      </c>
      <c r="J149" s="23"/>
      <c r="K149" s="23" t="s">
        <v>378</v>
      </c>
      <c r="L149" s="23" t="s">
        <v>378</v>
      </c>
      <c r="M149" s="23"/>
      <c r="N149" s="23"/>
      <c r="O149" s="23"/>
      <c r="P149" s="23" t="s">
        <v>217</v>
      </c>
      <c r="Q149" s="87" t="s">
        <v>384</v>
      </c>
    </row>
    <row r="150" spans="1:17" ht="25.5" customHeight="1" x14ac:dyDescent="0.25">
      <c r="A150" s="23" t="s">
        <v>359</v>
      </c>
      <c r="B150" s="23">
        <v>240</v>
      </c>
      <c r="C150" s="23">
        <v>600</v>
      </c>
      <c r="D150" s="23" t="s">
        <v>373</v>
      </c>
      <c r="E150" s="23" t="s">
        <v>373</v>
      </c>
      <c r="F150" s="23" t="s">
        <v>373</v>
      </c>
      <c r="G150" s="23" t="s">
        <v>392</v>
      </c>
      <c r="H150" s="23" t="s">
        <v>392</v>
      </c>
      <c r="I150" s="23" t="s">
        <v>392</v>
      </c>
      <c r="J150" s="23"/>
      <c r="K150" s="23" t="s">
        <v>366</v>
      </c>
      <c r="L150" s="23" t="s">
        <v>366</v>
      </c>
      <c r="M150" s="94" t="s">
        <v>387</v>
      </c>
      <c r="N150" s="23"/>
      <c r="O150" s="23"/>
      <c r="P150" s="23" t="s">
        <v>217</v>
      </c>
      <c r="Q150" s="87" t="s">
        <v>384</v>
      </c>
    </row>
    <row r="151" spans="1:17" ht="25.5" customHeight="1" x14ac:dyDescent="0.25">
      <c r="A151" s="23" t="s">
        <v>360</v>
      </c>
      <c r="B151" s="23">
        <v>240</v>
      </c>
      <c r="C151" s="23">
        <v>600</v>
      </c>
      <c r="D151" s="23" t="s">
        <v>373</v>
      </c>
      <c r="E151" s="23" t="s">
        <v>373</v>
      </c>
      <c r="F151" s="23" t="s">
        <v>373</v>
      </c>
      <c r="G151" s="23" t="s">
        <v>392</v>
      </c>
      <c r="H151" s="23" t="s">
        <v>392</v>
      </c>
      <c r="I151" s="23" t="s">
        <v>392</v>
      </c>
      <c r="J151" s="23"/>
      <c r="K151" s="23" t="s">
        <v>366</v>
      </c>
      <c r="L151" s="23" t="s">
        <v>366</v>
      </c>
      <c r="M151" s="94" t="s">
        <v>387</v>
      </c>
      <c r="N151" s="23"/>
      <c r="O151" s="23"/>
      <c r="P151" s="23" t="s">
        <v>217</v>
      </c>
      <c r="Q151" s="87" t="s">
        <v>384</v>
      </c>
    </row>
    <row r="152" spans="1:17" ht="25.5" customHeight="1" x14ac:dyDescent="0.25">
      <c r="A152" s="17"/>
      <c r="B152" s="17"/>
      <c r="C152" s="17"/>
      <c r="D152" s="17"/>
      <c r="E152" s="17"/>
      <c r="F152" s="17"/>
      <c r="G152" s="17"/>
      <c r="H152" s="17"/>
      <c r="I152" s="17"/>
      <c r="J152" s="17"/>
      <c r="K152" s="17"/>
      <c r="L152" s="17"/>
      <c r="M152" s="17"/>
      <c r="N152" s="17"/>
      <c r="O152" s="17"/>
      <c r="P152" s="17"/>
      <c r="Q152" s="87"/>
    </row>
    <row r="153" spans="1:17" ht="25.5" customHeight="1" x14ac:dyDescent="0.25">
      <c r="A153" s="17"/>
      <c r="B153" s="17"/>
      <c r="C153" s="17"/>
      <c r="D153" s="17"/>
      <c r="E153" s="17"/>
      <c r="F153" s="17"/>
      <c r="G153" s="17"/>
      <c r="H153" s="17"/>
      <c r="I153" s="17"/>
      <c r="J153" s="17"/>
      <c r="K153" s="17"/>
      <c r="L153" s="17"/>
      <c r="M153" s="17"/>
      <c r="N153" s="17"/>
      <c r="O153" s="17"/>
      <c r="P153" s="17"/>
      <c r="Q153" s="17"/>
    </row>
    <row r="154" spans="1:17" ht="25.5" customHeight="1" x14ac:dyDescent="0.25">
      <c r="A154" s="17"/>
      <c r="B154" s="17"/>
      <c r="C154" s="17"/>
      <c r="D154" s="17"/>
      <c r="E154" s="17"/>
      <c r="F154" s="17"/>
      <c r="G154" s="17"/>
      <c r="H154" s="17"/>
      <c r="I154" s="17"/>
      <c r="J154" s="17"/>
      <c r="K154" s="17"/>
      <c r="L154" s="17"/>
      <c r="M154" s="17"/>
      <c r="N154" s="17"/>
      <c r="O154" s="17"/>
      <c r="P154" s="17"/>
      <c r="Q154" s="17"/>
    </row>
    <row r="155" spans="1:17" ht="25.5" customHeight="1" x14ac:dyDescent="0.25">
      <c r="A155" s="17"/>
      <c r="B155" s="17"/>
      <c r="C155" s="17"/>
      <c r="D155" s="17"/>
      <c r="E155" s="17"/>
      <c r="F155" s="17"/>
      <c r="G155" s="17"/>
      <c r="H155" s="17"/>
      <c r="I155" s="17"/>
      <c r="J155" s="17"/>
      <c r="K155" s="17"/>
      <c r="L155" s="17"/>
      <c r="M155" s="17"/>
      <c r="N155" s="17"/>
      <c r="O155" s="17"/>
      <c r="P155" s="17"/>
      <c r="Q155" s="17"/>
    </row>
    <row r="156" spans="1:17" ht="25.5" customHeight="1" x14ac:dyDescent="0.25">
      <c r="A156" s="17"/>
      <c r="B156" s="17"/>
      <c r="C156" s="17"/>
      <c r="D156" s="17"/>
      <c r="E156" s="17"/>
      <c r="F156" s="17"/>
      <c r="G156" s="17"/>
      <c r="H156" s="17"/>
      <c r="I156" s="17"/>
      <c r="J156" s="17"/>
      <c r="K156" s="17"/>
      <c r="L156" s="17"/>
      <c r="M156" s="17"/>
      <c r="N156" s="17"/>
      <c r="O156" s="17"/>
      <c r="P156" s="17"/>
      <c r="Q156" s="17"/>
    </row>
    <row r="157" spans="1:17" ht="25.5" customHeight="1" x14ac:dyDescent="0.25">
      <c r="A157" s="17"/>
      <c r="B157" s="17"/>
      <c r="C157" s="17"/>
      <c r="D157" s="17"/>
      <c r="E157" s="17"/>
      <c r="F157" s="17"/>
      <c r="G157" s="17"/>
      <c r="H157" s="17"/>
      <c r="I157" s="17"/>
      <c r="J157" s="17"/>
      <c r="K157" s="17"/>
      <c r="L157" s="17"/>
      <c r="M157" s="17"/>
      <c r="N157" s="17"/>
      <c r="O157" s="17"/>
      <c r="P157" s="17"/>
      <c r="Q157" s="17"/>
    </row>
    <row r="158" spans="1:17" ht="25.5" customHeight="1" x14ac:dyDescent="0.25">
      <c r="A158" s="17"/>
      <c r="B158" s="17"/>
      <c r="C158" s="17"/>
      <c r="D158" s="17"/>
      <c r="E158" s="17"/>
      <c r="F158" s="17"/>
      <c r="G158" s="17"/>
      <c r="H158" s="17"/>
      <c r="I158" s="17"/>
      <c r="J158" s="17"/>
      <c r="K158" s="17"/>
      <c r="L158" s="17"/>
      <c r="M158" s="17"/>
      <c r="N158" s="17"/>
      <c r="O158" s="17"/>
      <c r="P158" s="17"/>
      <c r="Q158" s="17"/>
    </row>
    <row r="159" spans="1:17" ht="25.5" customHeight="1" x14ac:dyDescent="0.25">
      <c r="A159" s="17"/>
      <c r="B159" s="17"/>
      <c r="C159" s="17"/>
      <c r="D159" s="17"/>
      <c r="E159" s="17"/>
      <c r="F159" s="17"/>
      <c r="G159" s="17"/>
      <c r="H159" s="17"/>
      <c r="I159" s="17"/>
      <c r="J159" s="17"/>
      <c r="K159" s="17"/>
      <c r="L159" s="17"/>
      <c r="M159" s="17"/>
      <c r="N159" s="17"/>
      <c r="O159" s="17"/>
      <c r="P159" s="17"/>
      <c r="Q159" s="17"/>
    </row>
    <row r="160" spans="1:17" ht="25.5" customHeight="1" x14ac:dyDescent="0.25">
      <c r="A160" s="17"/>
      <c r="B160" s="17"/>
      <c r="C160" s="17"/>
      <c r="D160" s="17"/>
      <c r="E160" s="17"/>
      <c r="F160" s="17"/>
      <c r="G160" s="17"/>
      <c r="H160" s="17"/>
      <c r="I160" s="17"/>
      <c r="J160" s="17"/>
      <c r="K160" s="17"/>
      <c r="L160" s="17"/>
      <c r="M160" s="17"/>
      <c r="N160" s="17"/>
      <c r="O160" s="17"/>
      <c r="P160" s="17"/>
      <c r="Q160" s="17"/>
    </row>
    <row r="161" spans="1:17" ht="25.5" customHeight="1" x14ac:dyDescent="0.25">
      <c r="A161" s="17"/>
      <c r="B161" s="17"/>
      <c r="C161" s="17"/>
      <c r="D161" s="17"/>
      <c r="E161" s="17"/>
      <c r="F161" s="17"/>
      <c r="G161" s="17"/>
      <c r="H161" s="17"/>
      <c r="I161" s="17"/>
      <c r="J161" s="17"/>
      <c r="K161" s="17"/>
      <c r="L161" s="17"/>
      <c r="M161" s="17"/>
      <c r="N161" s="17"/>
      <c r="O161" s="17"/>
      <c r="P161" s="17"/>
      <c r="Q161" s="17"/>
    </row>
    <row r="162" spans="1:17" ht="25.5" customHeight="1" x14ac:dyDescent="0.25">
      <c r="A162" s="17"/>
      <c r="B162" s="17"/>
      <c r="C162" s="17"/>
      <c r="D162" s="17"/>
      <c r="E162" s="17"/>
      <c r="F162" s="17"/>
      <c r="G162" s="17"/>
      <c r="H162" s="17"/>
      <c r="I162" s="17"/>
      <c r="J162" s="17"/>
      <c r="K162" s="17"/>
      <c r="L162" s="17"/>
      <c r="M162" s="17"/>
      <c r="N162" s="17"/>
      <c r="O162" s="17"/>
      <c r="P162" s="17"/>
      <c r="Q162" s="17"/>
    </row>
    <row r="163" spans="1:17" ht="25.5" customHeight="1" x14ac:dyDescent="0.25">
      <c r="A163" s="17"/>
      <c r="B163" s="17"/>
      <c r="C163" s="17"/>
      <c r="D163" s="17"/>
      <c r="E163" s="17"/>
      <c r="F163" s="17"/>
      <c r="G163" s="17"/>
      <c r="H163" s="17"/>
      <c r="I163" s="17"/>
      <c r="J163" s="17"/>
      <c r="K163" s="17"/>
      <c r="L163" s="17"/>
      <c r="M163" s="17"/>
      <c r="N163" s="17"/>
      <c r="O163" s="17"/>
      <c r="P163" s="17"/>
      <c r="Q163" s="17"/>
    </row>
    <row r="164" spans="1:17" ht="25.5" customHeight="1" x14ac:dyDescent="0.25">
      <c r="A164" s="17"/>
      <c r="B164" s="17"/>
      <c r="C164" s="17"/>
      <c r="D164" s="17"/>
      <c r="E164" s="17"/>
      <c r="F164" s="17"/>
      <c r="G164" s="17"/>
      <c r="H164" s="17"/>
      <c r="I164" s="17"/>
      <c r="J164" s="17"/>
      <c r="K164" s="17"/>
      <c r="L164" s="17"/>
      <c r="M164" s="17"/>
      <c r="N164" s="17"/>
      <c r="O164" s="17"/>
      <c r="P164" s="17"/>
      <c r="Q164" s="17"/>
    </row>
    <row r="165" spans="1:17" ht="25.5" customHeight="1" x14ac:dyDescent="0.25">
      <c r="A165" s="17"/>
      <c r="B165" s="17"/>
      <c r="C165" s="17"/>
      <c r="D165" s="17"/>
      <c r="E165" s="17"/>
      <c r="F165" s="17"/>
      <c r="G165" s="17"/>
      <c r="H165" s="17"/>
      <c r="I165" s="17"/>
      <c r="J165" s="17"/>
      <c r="K165" s="17"/>
      <c r="L165" s="17"/>
      <c r="M165" s="17"/>
      <c r="N165" s="17"/>
      <c r="O165" s="17"/>
      <c r="P165" s="17"/>
      <c r="Q165" s="17"/>
    </row>
    <row r="166" spans="1:17" ht="25.5" customHeight="1" x14ac:dyDescent="0.25">
      <c r="A166" s="17"/>
      <c r="B166" s="17"/>
      <c r="C166" s="17"/>
      <c r="D166" s="17"/>
      <c r="E166" s="17"/>
      <c r="F166" s="17"/>
      <c r="G166" s="17"/>
      <c r="H166" s="17"/>
      <c r="I166" s="17"/>
      <c r="J166" s="17"/>
      <c r="K166" s="17"/>
      <c r="L166" s="17"/>
      <c r="M166" s="17"/>
      <c r="N166" s="17"/>
      <c r="O166" s="17"/>
      <c r="P166" s="17"/>
      <c r="Q166" s="17"/>
    </row>
    <row r="167" spans="1:17" ht="25.5" customHeight="1" x14ac:dyDescent="0.25">
      <c r="A167" s="17"/>
      <c r="B167" s="17"/>
      <c r="C167" s="17"/>
      <c r="D167" s="17"/>
      <c r="E167" s="17"/>
      <c r="F167" s="17"/>
      <c r="G167" s="17"/>
      <c r="H167" s="17"/>
      <c r="I167" s="17"/>
      <c r="J167" s="17"/>
      <c r="K167" s="17"/>
      <c r="L167" s="17"/>
      <c r="M167" s="17"/>
      <c r="N167" s="17"/>
      <c r="O167" s="17"/>
      <c r="P167" s="17"/>
      <c r="Q167" s="17"/>
    </row>
    <row r="168" spans="1:17" ht="25.5" customHeight="1" x14ac:dyDescent="0.25">
      <c r="A168" s="17"/>
      <c r="B168" s="17"/>
      <c r="C168" s="17"/>
      <c r="D168" s="17"/>
      <c r="E168" s="17"/>
      <c r="F168" s="17"/>
      <c r="G168" s="17"/>
      <c r="H168" s="17"/>
      <c r="I168" s="17"/>
      <c r="J168" s="17"/>
      <c r="K168" s="17"/>
      <c r="L168" s="17"/>
      <c r="M168" s="17"/>
      <c r="N168" s="17"/>
      <c r="O168" s="17"/>
      <c r="P168" s="17"/>
      <c r="Q168" s="17"/>
    </row>
    <row r="169" spans="1:17" ht="25.5" customHeight="1" x14ac:dyDescent="0.25">
      <c r="A169" s="17"/>
      <c r="B169" s="17"/>
      <c r="C169" s="17"/>
      <c r="D169" s="17"/>
      <c r="E169" s="17"/>
      <c r="F169" s="17"/>
      <c r="G169" s="17"/>
      <c r="H169" s="17"/>
      <c r="I169" s="17"/>
      <c r="J169" s="17"/>
      <c r="K169" s="17"/>
      <c r="L169" s="17"/>
      <c r="M169" s="17"/>
      <c r="N169" s="17"/>
      <c r="O169" s="17"/>
      <c r="P169" s="17"/>
      <c r="Q169" s="17"/>
    </row>
    <row r="170" spans="1:17" ht="25.5" customHeight="1" x14ac:dyDescent="0.25">
      <c r="A170" s="17"/>
      <c r="B170" s="17"/>
      <c r="C170" s="17"/>
      <c r="D170" s="17"/>
      <c r="E170" s="17"/>
      <c r="F170" s="17"/>
      <c r="G170" s="17"/>
      <c r="H170" s="17"/>
      <c r="I170" s="17"/>
      <c r="J170" s="17"/>
      <c r="K170" s="17"/>
      <c r="L170" s="17"/>
      <c r="M170" s="17"/>
      <c r="N170" s="17"/>
      <c r="O170" s="17"/>
      <c r="P170" s="17"/>
      <c r="Q170" s="17"/>
    </row>
    <row r="171" spans="1:17" ht="25.5" customHeight="1" x14ac:dyDescent="0.25">
      <c r="A171" s="17"/>
      <c r="B171" s="17"/>
      <c r="C171" s="17"/>
      <c r="D171" s="17"/>
      <c r="E171" s="17"/>
      <c r="F171" s="17"/>
      <c r="G171" s="17"/>
      <c r="H171" s="17"/>
      <c r="I171" s="17"/>
      <c r="J171" s="17"/>
      <c r="K171" s="17"/>
      <c r="L171" s="17"/>
      <c r="M171" s="17"/>
      <c r="N171" s="17"/>
      <c r="O171" s="17"/>
      <c r="P171" s="17"/>
      <c r="Q171" s="17"/>
    </row>
    <row r="172" spans="1:17" ht="25.5" customHeight="1" x14ac:dyDescent="0.25">
      <c r="A172" s="17"/>
      <c r="B172" s="17"/>
      <c r="C172" s="17"/>
      <c r="D172" s="17"/>
      <c r="E172" s="17"/>
      <c r="F172" s="17"/>
      <c r="G172" s="17"/>
      <c r="H172" s="17"/>
      <c r="I172" s="17"/>
      <c r="J172" s="17"/>
      <c r="K172" s="17"/>
      <c r="L172" s="17"/>
      <c r="M172" s="17"/>
      <c r="N172" s="17"/>
      <c r="O172" s="17"/>
      <c r="P172" s="17"/>
      <c r="Q172" s="17"/>
    </row>
    <row r="173" spans="1:17" ht="25.5" customHeight="1" x14ac:dyDescent="0.25">
      <c r="A173" s="17"/>
      <c r="B173" s="17"/>
      <c r="C173" s="17"/>
      <c r="D173" s="17"/>
      <c r="E173" s="17"/>
      <c r="F173" s="17"/>
      <c r="G173" s="17"/>
      <c r="H173" s="17"/>
      <c r="I173" s="17"/>
      <c r="J173" s="17"/>
      <c r="K173" s="17"/>
      <c r="L173" s="17"/>
      <c r="M173" s="17"/>
      <c r="N173" s="17"/>
      <c r="O173" s="17"/>
      <c r="P173" s="17"/>
      <c r="Q173" s="17"/>
    </row>
    <row r="174" spans="1:17" ht="25.5" customHeight="1" x14ac:dyDescent="0.25">
      <c r="A174" s="17"/>
      <c r="B174" s="17"/>
      <c r="C174" s="17"/>
      <c r="D174" s="17"/>
      <c r="E174" s="17"/>
      <c r="F174" s="17"/>
      <c r="G174" s="17"/>
      <c r="H174" s="17"/>
      <c r="I174" s="17"/>
      <c r="J174" s="17"/>
      <c r="K174" s="17"/>
      <c r="L174" s="17"/>
      <c r="M174" s="17"/>
      <c r="N174" s="17"/>
      <c r="O174" s="17"/>
      <c r="P174" s="17"/>
      <c r="Q174" s="17"/>
    </row>
    <row r="175" spans="1:17" ht="25.5" customHeight="1" x14ac:dyDescent="0.25">
      <c r="A175" s="17"/>
      <c r="B175" s="17"/>
      <c r="C175" s="17"/>
      <c r="D175" s="17"/>
      <c r="E175" s="17"/>
      <c r="F175" s="17"/>
      <c r="G175" s="17"/>
      <c r="H175" s="17"/>
      <c r="I175" s="17"/>
      <c r="J175" s="17"/>
      <c r="K175" s="17"/>
      <c r="L175" s="17"/>
      <c r="M175" s="17"/>
      <c r="N175" s="17"/>
      <c r="O175" s="17"/>
      <c r="P175" s="17"/>
      <c r="Q175" s="17"/>
    </row>
    <row r="176" spans="1:17" ht="25.5" customHeight="1" x14ac:dyDescent="0.25">
      <c r="A176" s="17"/>
      <c r="B176" s="17"/>
      <c r="C176" s="17"/>
      <c r="D176" s="17"/>
      <c r="E176" s="17"/>
      <c r="F176" s="17"/>
      <c r="G176" s="17"/>
      <c r="H176" s="17"/>
      <c r="I176" s="17"/>
      <c r="J176" s="17"/>
      <c r="K176" s="17"/>
      <c r="L176" s="17"/>
      <c r="M176" s="17"/>
      <c r="N176" s="17"/>
      <c r="O176" s="17"/>
      <c r="P176" s="17"/>
      <c r="Q176" s="17"/>
    </row>
    <row r="177" spans="1:17" ht="25.5" customHeight="1" x14ac:dyDescent="0.25">
      <c r="A177" s="17"/>
      <c r="B177" s="17"/>
      <c r="C177" s="17"/>
      <c r="D177" s="17"/>
      <c r="E177" s="17"/>
      <c r="F177" s="17"/>
      <c r="G177" s="17"/>
      <c r="H177" s="17"/>
      <c r="I177" s="17"/>
      <c r="J177" s="17"/>
      <c r="K177" s="17"/>
      <c r="L177" s="17"/>
      <c r="M177" s="17"/>
      <c r="N177" s="17"/>
      <c r="O177" s="17"/>
      <c r="P177" s="17"/>
      <c r="Q177" s="17"/>
    </row>
    <row r="178" spans="1:17" ht="25.5" customHeight="1" x14ac:dyDescent="0.25">
      <c r="A178" s="17"/>
      <c r="B178" s="17"/>
      <c r="C178" s="17"/>
      <c r="D178" s="17"/>
      <c r="E178" s="17"/>
      <c r="F178" s="17"/>
      <c r="G178" s="17"/>
      <c r="H178" s="17"/>
      <c r="I178" s="17"/>
      <c r="J178" s="17"/>
      <c r="K178" s="17"/>
      <c r="L178" s="17"/>
      <c r="M178" s="17"/>
      <c r="N178" s="17"/>
      <c r="O178" s="17"/>
      <c r="P178" s="17"/>
      <c r="Q178" s="17"/>
    </row>
    <row r="179" spans="1:17" ht="25.5" customHeight="1" x14ac:dyDescent="0.25">
      <c r="A179" s="17"/>
      <c r="B179" s="17"/>
      <c r="C179" s="17"/>
      <c r="D179" s="17"/>
      <c r="E179" s="17"/>
      <c r="F179" s="17"/>
      <c r="G179" s="17"/>
      <c r="H179" s="17"/>
      <c r="I179" s="17"/>
      <c r="J179" s="17"/>
      <c r="K179" s="17"/>
      <c r="L179" s="17"/>
      <c r="M179" s="17"/>
      <c r="N179" s="17"/>
      <c r="O179" s="17"/>
      <c r="P179" s="17"/>
      <c r="Q179" s="17"/>
    </row>
    <row r="180" spans="1:17" ht="25.5" customHeight="1" x14ac:dyDescent="0.25">
      <c r="A180" s="17"/>
      <c r="B180" s="17"/>
      <c r="C180" s="17"/>
      <c r="D180" s="17"/>
      <c r="E180" s="17"/>
      <c r="F180" s="17"/>
      <c r="G180" s="17"/>
      <c r="H180" s="17"/>
      <c r="I180" s="17"/>
      <c r="J180" s="17"/>
      <c r="K180" s="17"/>
      <c r="L180" s="17"/>
      <c r="M180" s="17"/>
      <c r="N180" s="17"/>
      <c r="O180" s="17"/>
      <c r="P180" s="17"/>
      <c r="Q180" s="17"/>
    </row>
    <row r="181" spans="1:17" ht="25.5" customHeight="1" x14ac:dyDescent="0.25">
      <c r="A181" s="17"/>
      <c r="B181" s="17"/>
      <c r="C181" s="17"/>
      <c r="D181" s="17"/>
      <c r="E181" s="17"/>
      <c r="F181" s="17"/>
      <c r="G181" s="17"/>
      <c r="H181" s="17"/>
      <c r="I181" s="17"/>
      <c r="J181" s="17"/>
      <c r="K181" s="17"/>
      <c r="L181" s="17"/>
      <c r="M181" s="17"/>
      <c r="N181" s="17"/>
      <c r="O181" s="17"/>
      <c r="P181" s="17"/>
      <c r="Q181" s="17"/>
    </row>
    <row r="182" spans="1:17" ht="25.5" customHeight="1" x14ac:dyDescent="0.25">
      <c r="A182" s="17"/>
      <c r="B182" s="17"/>
      <c r="C182" s="17"/>
      <c r="D182" s="17"/>
      <c r="E182" s="17"/>
      <c r="F182" s="17"/>
      <c r="G182" s="17"/>
      <c r="H182" s="17"/>
      <c r="I182" s="17"/>
      <c r="J182" s="17"/>
      <c r="K182" s="17"/>
      <c r="L182" s="17"/>
      <c r="M182" s="17"/>
      <c r="N182" s="17"/>
      <c r="O182" s="17"/>
      <c r="P182" s="17"/>
      <c r="Q182" s="17"/>
    </row>
    <row r="183" spans="1:17" ht="25.5" customHeight="1" x14ac:dyDescent="0.25">
      <c r="A183" s="17"/>
      <c r="B183" s="17"/>
      <c r="C183" s="17"/>
      <c r="D183" s="17"/>
      <c r="E183" s="17"/>
      <c r="F183" s="17"/>
      <c r="G183" s="17"/>
      <c r="H183" s="17"/>
      <c r="I183" s="17"/>
      <c r="J183" s="17"/>
      <c r="K183" s="17"/>
      <c r="L183" s="17"/>
      <c r="M183" s="17"/>
      <c r="N183" s="17"/>
      <c r="O183" s="17"/>
      <c r="P183" s="17"/>
      <c r="Q183" s="17"/>
    </row>
    <row r="184" spans="1:17" ht="25.5" customHeight="1" x14ac:dyDescent="0.25">
      <c r="A184" s="17"/>
      <c r="B184" s="17"/>
      <c r="C184" s="17"/>
      <c r="D184" s="17"/>
      <c r="E184" s="17"/>
      <c r="F184" s="17"/>
      <c r="G184" s="17"/>
      <c r="H184" s="17"/>
      <c r="I184" s="17"/>
      <c r="J184" s="17"/>
      <c r="K184" s="17"/>
      <c r="L184" s="17"/>
      <c r="M184" s="17"/>
      <c r="N184" s="17"/>
      <c r="O184" s="17"/>
      <c r="P184" s="17"/>
      <c r="Q184" s="17"/>
    </row>
    <row r="185" spans="1:17" ht="25.5" customHeight="1" x14ac:dyDescent="0.25">
      <c r="A185" s="17"/>
      <c r="B185" s="17"/>
      <c r="C185" s="17"/>
      <c r="D185" s="17"/>
      <c r="E185" s="17"/>
      <c r="F185" s="17"/>
      <c r="G185" s="17"/>
      <c r="H185" s="17"/>
      <c r="I185" s="17"/>
      <c r="J185" s="17"/>
      <c r="K185" s="17"/>
      <c r="L185" s="17"/>
      <c r="M185" s="17"/>
      <c r="N185" s="17"/>
      <c r="O185" s="17"/>
      <c r="P185" s="17"/>
      <c r="Q185" s="17"/>
    </row>
    <row r="186" spans="1:17" ht="25.5" customHeight="1" x14ac:dyDescent="0.25">
      <c r="A186" s="17"/>
      <c r="B186" s="17"/>
      <c r="C186" s="17"/>
      <c r="D186" s="17"/>
      <c r="E186" s="17"/>
      <c r="F186" s="17"/>
      <c r="G186" s="17"/>
      <c r="H186" s="17"/>
      <c r="I186" s="17"/>
      <c r="J186" s="17"/>
      <c r="K186" s="17"/>
      <c r="L186" s="17"/>
      <c r="M186" s="17"/>
      <c r="N186" s="17"/>
      <c r="O186" s="17"/>
      <c r="P186" s="17"/>
      <c r="Q186" s="17"/>
    </row>
    <row r="187" spans="1:17" ht="25.5" customHeight="1" x14ac:dyDescent="0.25">
      <c r="A187" s="17"/>
      <c r="B187" s="17"/>
      <c r="C187" s="17"/>
      <c r="D187" s="17"/>
      <c r="E187" s="17"/>
      <c r="F187" s="17"/>
      <c r="G187" s="17"/>
      <c r="H187" s="17"/>
      <c r="I187" s="17"/>
      <c r="J187" s="17"/>
      <c r="K187" s="17"/>
      <c r="L187" s="17"/>
      <c r="M187" s="17"/>
      <c r="N187" s="17"/>
      <c r="O187" s="17"/>
      <c r="P187" s="17"/>
      <c r="Q187" s="17"/>
    </row>
    <row r="188" spans="1:17" ht="25.5" customHeight="1" x14ac:dyDescent="0.25">
      <c r="A188" s="17"/>
      <c r="B188" s="17"/>
      <c r="C188" s="17"/>
      <c r="D188" s="17"/>
      <c r="E188" s="17"/>
      <c r="F188" s="17"/>
      <c r="G188" s="17"/>
      <c r="H188" s="17"/>
      <c r="I188" s="17"/>
      <c r="J188" s="17"/>
      <c r="K188" s="17"/>
      <c r="L188" s="17"/>
      <c r="M188" s="17"/>
      <c r="N188" s="17"/>
      <c r="O188" s="17"/>
      <c r="P188" s="17"/>
      <c r="Q188" s="17"/>
    </row>
    <row r="189" spans="1:17" ht="25.5" customHeight="1" x14ac:dyDescent="0.25">
      <c r="A189" s="17"/>
      <c r="B189" s="17"/>
      <c r="C189" s="17"/>
      <c r="D189" s="17"/>
      <c r="E189" s="17"/>
      <c r="F189" s="17"/>
      <c r="G189" s="17"/>
      <c r="H189" s="17"/>
      <c r="I189" s="17"/>
      <c r="J189" s="17"/>
      <c r="K189" s="17"/>
      <c r="L189" s="17"/>
      <c r="M189" s="17"/>
      <c r="N189" s="17"/>
      <c r="O189" s="17"/>
      <c r="P189" s="17"/>
      <c r="Q189" s="17"/>
    </row>
    <row r="190" spans="1:17" ht="25.5" customHeight="1" x14ac:dyDescent="0.25">
      <c r="A190" s="17"/>
      <c r="B190" s="17"/>
      <c r="C190" s="17"/>
      <c r="D190" s="17"/>
      <c r="E190" s="17"/>
      <c r="F190" s="17"/>
      <c r="G190" s="17"/>
      <c r="H190" s="17"/>
      <c r="I190" s="17"/>
      <c r="J190" s="17"/>
      <c r="K190" s="17"/>
      <c r="L190" s="17"/>
      <c r="M190" s="17"/>
      <c r="N190" s="17"/>
      <c r="O190" s="17"/>
      <c r="P190" s="17"/>
      <c r="Q190" s="17"/>
    </row>
    <row r="191" spans="1:17" ht="25.5" customHeight="1" x14ac:dyDescent="0.25">
      <c r="A191" s="17"/>
      <c r="B191" s="17"/>
      <c r="C191" s="17"/>
      <c r="D191" s="17"/>
      <c r="E191" s="17"/>
      <c r="F191" s="17"/>
      <c r="G191" s="17"/>
      <c r="H191" s="17"/>
      <c r="I191" s="17"/>
      <c r="J191" s="17"/>
      <c r="K191" s="17"/>
      <c r="L191" s="17"/>
      <c r="M191" s="17"/>
      <c r="N191" s="17"/>
      <c r="O191" s="17"/>
      <c r="P191" s="17"/>
      <c r="Q191" s="17"/>
    </row>
    <row r="192" spans="1:17" ht="25.5" customHeight="1" x14ac:dyDescent="0.25">
      <c r="A192" s="17"/>
      <c r="B192" s="17"/>
      <c r="C192" s="17"/>
      <c r="D192" s="17"/>
      <c r="E192" s="17"/>
      <c r="F192" s="17"/>
      <c r="G192" s="17"/>
      <c r="H192" s="17"/>
      <c r="I192" s="17"/>
      <c r="J192" s="17"/>
      <c r="K192" s="17"/>
      <c r="L192" s="17"/>
      <c r="M192" s="17"/>
      <c r="N192" s="17"/>
      <c r="O192" s="17"/>
      <c r="P192" s="17"/>
      <c r="Q192" s="17"/>
    </row>
    <row r="193" spans="1:17" ht="25.5" customHeight="1" x14ac:dyDescent="0.25">
      <c r="A193" s="17"/>
      <c r="B193" s="17"/>
      <c r="C193" s="17"/>
      <c r="D193" s="17"/>
      <c r="E193" s="17"/>
      <c r="F193" s="17"/>
      <c r="G193" s="17"/>
      <c r="H193" s="17"/>
      <c r="I193" s="17"/>
      <c r="J193" s="17"/>
      <c r="K193" s="17"/>
      <c r="L193" s="17"/>
      <c r="M193" s="17"/>
      <c r="N193" s="17"/>
      <c r="O193" s="17"/>
      <c r="P193" s="17"/>
      <c r="Q193" s="17"/>
    </row>
    <row r="194" spans="1:17" ht="25.5" customHeight="1" x14ac:dyDescent="0.25">
      <c r="A194" s="17"/>
      <c r="B194" s="17"/>
      <c r="C194" s="17"/>
      <c r="D194" s="17"/>
      <c r="E194" s="17"/>
      <c r="F194" s="17"/>
      <c r="G194" s="17"/>
      <c r="H194" s="17"/>
      <c r="I194" s="17"/>
      <c r="J194" s="17"/>
      <c r="K194" s="17"/>
      <c r="L194" s="17"/>
      <c r="M194" s="17"/>
      <c r="N194" s="17"/>
      <c r="O194" s="17"/>
      <c r="P194" s="17"/>
      <c r="Q194" s="17"/>
    </row>
    <row r="195" spans="1:17" ht="25.5" customHeight="1" x14ac:dyDescent="0.25">
      <c r="A195" s="17"/>
      <c r="B195" s="17"/>
      <c r="C195" s="17"/>
      <c r="D195" s="17"/>
      <c r="E195" s="17"/>
      <c r="F195" s="17"/>
      <c r="G195" s="17"/>
      <c r="H195" s="17"/>
      <c r="I195" s="17"/>
      <c r="J195" s="17"/>
      <c r="K195" s="17"/>
      <c r="L195" s="17"/>
      <c r="M195" s="17"/>
      <c r="N195" s="17"/>
      <c r="O195" s="17"/>
      <c r="P195" s="17"/>
      <c r="Q195" s="17"/>
    </row>
    <row r="196" spans="1:17" ht="25.5" customHeight="1" x14ac:dyDescent="0.25">
      <c r="A196" s="17"/>
      <c r="B196" s="17"/>
      <c r="C196" s="17"/>
      <c r="D196" s="17"/>
      <c r="E196" s="17"/>
      <c r="F196" s="17"/>
      <c r="G196" s="17"/>
      <c r="H196" s="17"/>
      <c r="I196" s="17"/>
      <c r="J196" s="17"/>
      <c r="K196" s="17"/>
      <c r="L196" s="17"/>
      <c r="M196" s="17"/>
      <c r="N196" s="17"/>
      <c r="O196" s="17"/>
      <c r="P196" s="17"/>
      <c r="Q196" s="17"/>
    </row>
    <row r="197" spans="1:17" ht="25.5" customHeight="1" x14ac:dyDescent="0.25">
      <c r="A197" s="17"/>
      <c r="B197" s="17"/>
      <c r="C197" s="17"/>
      <c r="D197" s="17"/>
      <c r="E197" s="17"/>
      <c r="F197" s="17"/>
      <c r="G197" s="17"/>
      <c r="H197" s="17"/>
      <c r="I197" s="17"/>
      <c r="J197" s="17"/>
      <c r="K197" s="17"/>
      <c r="L197" s="17"/>
      <c r="M197" s="17"/>
      <c r="N197" s="17"/>
      <c r="O197" s="17"/>
      <c r="P197" s="17"/>
      <c r="Q197" s="17"/>
    </row>
    <row r="198" spans="1:17" ht="25.5" customHeight="1" x14ac:dyDescent="0.25">
      <c r="A198" s="17"/>
      <c r="B198" s="17"/>
      <c r="C198" s="17"/>
      <c r="D198" s="17"/>
      <c r="E198" s="17"/>
      <c r="F198" s="17"/>
      <c r="G198" s="17"/>
      <c r="H198" s="17"/>
      <c r="I198" s="17"/>
      <c r="J198" s="17"/>
      <c r="K198" s="17"/>
      <c r="L198" s="17"/>
      <c r="M198" s="17"/>
      <c r="N198" s="17"/>
      <c r="O198" s="17"/>
      <c r="P198" s="17"/>
      <c r="Q198" s="17"/>
    </row>
    <row r="199" spans="1:17" ht="25.5" customHeight="1" x14ac:dyDescent="0.25">
      <c r="A199" s="17"/>
      <c r="B199" s="17"/>
      <c r="C199" s="17"/>
      <c r="D199" s="17"/>
      <c r="E199" s="17"/>
      <c r="F199" s="17"/>
      <c r="G199" s="17"/>
      <c r="H199" s="17"/>
      <c r="I199" s="17"/>
      <c r="J199" s="17"/>
      <c r="K199" s="17"/>
      <c r="L199" s="17"/>
      <c r="M199" s="17"/>
      <c r="N199" s="17"/>
      <c r="O199" s="17"/>
      <c r="P199" s="17"/>
      <c r="Q199" s="17"/>
    </row>
    <row r="200" spans="1:17" ht="25.5" customHeight="1" x14ac:dyDescent="0.25">
      <c r="A200" s="17"/>
      <c r="B200" s="17"/>
      <c r="C200" s="17"/>
      <c r="D200" s="17"/>
      <c r="E200" s="17"/>
      <c r="F200" s="17"/>
      <c r="G200" s="17"/>
      <c r="H200" s="17"/>
      <c r="I200" s="17"/>
      <c r="J200" s="17"/>
      <c r="K200" s="17"/>
      <c r="L200" s="17"/>
      <c r="M200" s="17"/>
      <c r="N200" s="17"/>
      <c r="O200" s="17"/>
      <c r="P200" s="17"/>
      <c r="Q200" s="17"/>
    </row>
    <row r="201" spans="1:17" ht="25.5" customHeight="1" x14ac:dyDescent="0.25">
      <c r="A201" s="17"/>
      <c r="B201" s="17"/>
      <c r="C201" s="17"/>
      <c r="D201" s="17"/>
      <c r="E201" s="17"/>
      <c r="F201" s="17"/>
      <c r="G201" s="17"/>
      <c r="H201" s="17"/>
      <c r="I201" s="17"/>
      <c r="J201" s="17"/>
      <c r="K201" s="17"/>
      <c r="L201" s="17"/>
      <c r="M201" s="17"/>
      <c r="N201" s="17"/>
      <c r="O201" s="17"/>
      <c r="P201" s="17"/>
      <c r="Q201" s="17"/>
    </row>
    <row r="202" spans="1:17" ht="25.5" customHeight="1" x14ac:dyDescent="0.25">
      <c r="A202" s="17"/>
      <c r="B202" s="17"/>
      <c r="C202" s="17"/>
      <c r="D202" s="17"/>
      <c r="E202" s="17"/>
      <c r="F202" s="17"/>
      <c r="G202" s="17"/>
      <c r="H202" s="17"/>
      <c r="I202" s="17"/>
      <c r="J202" s="17"/>
      <c r="K202" s="17"/>
      <c r="L202" s="17"/>
      <c r="M202" s="17"/>
      <c r="N202" s="17"/>
      <c r="O202" s="17"/>
      <c r="P202" s="17"/>
      <c r="Q202" s="17"/>
    </row>
    <row r="203" spans="1:17" ht="25.5" customHeight="1" x14ac:dyDescent="0.25">
      <c r="A203" s="17"/>
      <c r="B203" s="17"/>
      <c r="C203" s="17"/>
      <c r="D203" s="17"/>
      <c r="E203" s="17"/>
      <c r="F203" s="17"/>
      <c r="G203" s="17"/>
      <c r="H203" s="17"/>
      <c r="I203" s="17"/>
      <c r="J203" s="17"/>
      <c r="K203" s="17"/>
      <c r="L203" s="17"/>
      <c r="M203" s="17"/>
      <c r="N203" s="17"/>
      <c r="O203" s="17"/>
      <c r="P203" s="17"/>
      <c r="Q203" s="17"/>
    </row>
    <row r="204" spans="1:17" ht="25.5" customHeight="1" x14ac:dyDescent="0.25">
      <c r="A204" s="17"/>
      <c r="B204" s="17"/>
      <c r="C204" s="17"/>
      <c r="D204" s="17"/>
      <c r="E204" s="17"/>
      <c r="F204" s="17"/>
      <c r="G204" s="17"/>
      <c r="H204" s="17"/>
      <c r="I204" s="17"/>
      <c r="J204" s="17"/>
      <c r="K204" s="17"/>
      <c r="L204" s="17"/>
      <c r="M204" s="17"/>
      <c r="N204" s="17"/>
      <c r="O204" s="17"/>
      <c r="P204" s="17"/>
      <c r="Q204" s="17"/>
    </row>
    <row r="205" spans="1:17" ht="25.5" customHeight="1" x14ac:dyDescent="0.25">
      <c r="A205" s="17"/>
      <c r="B205" s="17"/>
      <c r="C205" s="17"/>
      <c r="D205" s="17"/>
      <c r="E205" s="17"/>
      <c r="F205" s="17"/>
      <c r="G205" s="17"/>
      <c r="H205" s="17"/>
      <c r="I205" s="17"/>
      <c r="J205" s="17"/>
      <c r="K205" s="17"/>
      <c r="L205" s="17"/>
      <c r="M205" s="17"/>
      <c r="N205" s="17"/>
      <c r="O205" s="17"/>
      <c r="P205" s="17"/>
      <c r="Q205" s="17"/>
    </row>
    <row r="206" spans="1:17" ht="25.5" customHeight="1" x14ac:dyDescent="0.25">
      <c r="A206" s="17"/>
      <c r="B206" s="17"/>
      <c r="C206" s="17"/>
      <c r="D206" s="17"/>
      <c r="E206" s="17"/>
      <c r="F206" s="17"/>
      <c r="G206" s="17"/>
      <c r="H206" s="17"/>
      <c r="I206" s="17"/>
      <c r="J206" s="17"/>
      <c r="K206" s="17"/>
      <c r="L206" s="17"/>
      <c r="M206" s="17"/>
      <c r="N206" s="17"/>
      <c r="O206" s="17"/>
      <c r="P206" s="17"/>
      <c r="Q206" s="17"/>
    </row>
    <row r="207" spans="1:17" ht="25.5" customHeight="1" x14ac:dyDescent="0.25">
      <c r="A207" s="17"/>
      <c r="B207" s="17"/>
      <c r="C207" s="17"/>
      <c r="D207" s="17"/>
      <c r="E207" s="17"/>
      <c r="F207" s="17"/>
      <c r="G207" s="17"/>
      <c r="H207" s="17"/>
      <c r="I207" s="17"/>
      <c r="J207" s="17"/>
      <c r="K207" s="17"/>
      <c r="L207" s="17"/>
      <c r="M207" s="17"/>
      <c r="N207" s="17"/>
      <c r="O207" s="17"/>
      <c r="P207" s="17"/>
      <c r="Q207" s="17"/>
    </row>
    <row r="208" spans="1:17" ht="25.5" customHeight="1" x14ac:dyDescent="0.25">
      <c r="A208" s="17"/>
      <c r="B208" s="17"/>
      <c r="C208" s="17"/>
      <c r="D208" s="17"/>
      <c r="E208" s="17"/>
      <c r="F208" s="17"/>
      <c r="G208" s="17"/>
      <c r="H208" s="17"/>
      <c r="I208" s="17"/>
      <c r="J208" s="17"/>
      <c r="K208" s="17"/>
      <c r="L208" s="17"/>
      <c r="M208" s="17"/>
      <c r="N208" s="17"/>
      <c r="O208" s="17"/>
      <c r="P208" s="17"/>
      <c r="Q208" s="17"/>
    </row>
    <row r="209" spans="1:17" ht="25.5" customHeight="1" x14ac:dyDescent="0.25">
      <c r="A209" s="17"/>
      <c r="B209" s="17"/>
      <c r="C209" s="17"/>
      <c r="D209" s="17"/>
      <c r="E209" s="17"/>
      <c r="F209" s="17"/>
      <c r="G209" s="17"/>
      <c r="H209" s="17"/>
      <c r="I209" s="17"/>
      <c r="J209" s="17"/>
      <c r="K209" s="17"/>
      <c r="L209" s="17"/>
      <c r="M209" s="17"/>
      <c r="N209" s="17"/>
      <c r="O209" s="17"/>
      <c r="P209" s="17"/>
      <c r="Q209" s="17"/>
    </row>
    <row r="210" spans="1:17" ht="25.5" customHeight="1" x14ac:dyDescent="0.25">
      <c r="A210" s="17"/>
      <c r="B210" s="17"/>
      <c r="C210" s="17"/>
      <c r="D210" s="17"/>
      <c r="E210" s="17"/>
      <c r="F210" s="17"/>
      <c r="G210" s="17"/>
      <c r="H210" s="17"/>
      <c r="I210" s="17"/>
      <c r="J210" s="17"/>
      <c r="K210" s="17"/>
      <c r="L210" s="17"/>
      <c r="M210" s="17"/>
      <c r="N210" s="17"/>
      <c r="O210" s="17"/>
      <c r="P210" s="17"/>
      <c r="Q210" s="17"/>
    </row>
    <row r="211" spans="1:17" ht="25.5" customHeight="1" x14ac:dyDescent="0.25">
      <c r="A211" s="17"/>
      <c r="B211" s="17"/>
      <c r="C211" s="17"/>
      <c r="D211" s="17"/>
      <c r="E211" s="17"/>
      <c r="F211" s="17"/>
      <c r="G211" s="17"/>
      <c r="H211" s="17"/>
      <c r="I211" s="17"/>
      <c r="J211" s="17"/>
      <c r="K211" s="17"/>
      <c r="L211" s="17"/>
      <c r="M211" s="17"/>
      <c r="N211" s="17"/>
      <c r="O211" s="17"/>
      <c r="P211" s="17"/>
      <c r="Q211" s="17"/>
    </row>
    <row r="212" spans="1:17" ht="25.5" customHeight="1" x14ac:dyDescent="0.25">
      <c r="A212" s="17"/>
      <c r="B212" s="17"/>
      <c r="C212" s="17"/>
      <c r="D212" s="17"/>
      <c r="E212" s="17"/>
      <c r="F212" s="17"/>
      <c r="G212" s="17"/>
      <c r="H212" s="17"/>
      <c r="I212" s="17"/>
      <c r="J212" s="17"/>
      <c r="K212" s="17"/>
      <c r="L212" s="17"/>
      <c r="M212" s="17"/>
      <c r="N212" s="17"/>
      <c r="O212" s="17"/>
      <c r="P212" s="17"/>
      <c r="Q212" s="17"/>
    </row>
    <row r="213" spans="1:17" ht="25.5" customHeight="1" x14ac:dyDescent="0.25">
      <c r="A213" s="17"/>
      <c r="B213" s="17"/>
      <c r="C213" s="17"/>
      <c r="D213" s="17"/>
      <c r="E213" s="17"/>
      <c r="F213" s="17"/>
      <c r="G213" s="17"/>
      <c r="H213" s="17"/>
      <c r="I213" s="17"/>
      <c r="J213" s="17"/>
      <c r="K213" s="17"/>
      <c r="L213" s="17"/>
      <c r="M213" s="17"/>
      <c r="N213" s="17"/>
      <c r="O213" s="17"/>
      <c r="P213" s="17"/>
      <c r="Q213" s="17"/>
    </row>
    <row r="214" spans="1:17" ht="25.5" customHeight="1" x14ac:dyDescent="0.25">
      <c r="A214" s="17"/>
      <c r="B214" s="17"/>
      <c r="C214" s="17"/>
      <c r="D214" s="17"/>
      <c r="E214" s="17"/>
      <c r="F214" s="17"/>
      <c r="G214" s="17"/>
      <c r="H214" s="17"/>
      <c r="I214" s="17"/>
      <c r="J214" s="17"/>
      <c r="K214" s="17"/>
      <c r="L214" s="17"/>
      <c r="M214" s="17"/>
      <c r="N214" s="17"/>
      <c r="O214" s="17"/>
      <c r="P214" s="17"/>
      <c r="Q214" s="17"/>
    </row>
    <row r="215" spans="1:17" ht="25.5" customHeight="1" x14ac:dyDescent="0.25">
      <c r="A215" s="17"/>
      <c r="B215" s="17"/>
      <c r="C215" s="17"/>
      <c r="D215" s="17"/>
      <c r="E215" s="17"/>
      <c r="F215" s="17"/>
      <c r="G215" s="17"/>
      <c r="H215" s="17"/>
      <c r="I215" s="17"/>
      <c r="J215" s="17"/>
      <c r="K215" s="17"/>
      <c r="L215" s="17"/>
      <c r="M215" s="17"/>
      <c r="N215" s="17"/>
      <c r="O215" s="17"/>
      <c r="P215" s="17"/>
      <c r="Q215" s="17"/>
    </row>
    <row r="216" spans="1:17" ht="25.5" customHeight="1" x14ac:dyDescent="0.25">
      <c r="A216" s="17"/>
      <c r="B216" s="17"/>
      <c r="C216" s="17"/>
      <c r="D216" s="17"/>
      <c r="E216" s="17"/>
      <c r="F216" s="17"/>
      <c r="G216" s="17"/>
      <c r="H216" s="17"/>
      <c r="I216" s="17"/>
      <c r="J216" s="17"/>
      <c r="K216" s="17"/>
      <c r="L216" s="17"/>
      <c r="M216" s="17"/>
      <c r="N216" s="17"/>
      <c r="O216" s="17"/>
      <c r="P216" s="17"/>
      <c r="Q216" s="17"/>
    </row>
    <row r="217" spans="1:17" ht="25.5" customHeight="1" x14ac:dyDescent="0.25">
      <c r="A217" s="17"/>
      <c r="B217" s="17"/>
      <c r="C217" s="17"/>
      <c r="D217" s="17"/>
      <c r="E217" s="17"/>
      <c r="F217" s="17"/>
      <c r="G217" s="17"/>
      <c r="H217" s="17"/>
      <c r="I217" s="17"/>
      <c r="J217" s="17"/>
      <c r="K217" s="17"/>
      <c r="L217" s="17"/>
      <c r="M217" s="17"/>
      <c r="N217" s="17"/>
      <c r="O217" s="17"/>
      <c r="P217" s="17"/>
      <c r="Q217" s="17"/>
    </row>
    <row r="218" spans="1:17" ht="25.5" customHeight="1" x14ac:dyDescent="0.25">
      <c r="A218" s="17"/>
      <c r="B218" s="17"/>
      <c r="C218" s="17"/>
      <c r="D218" s="17"/>
      <c r="E218" s="17"/>
      <c r="F218" s="17"/>
      <c r="G218" s="17"/>
      <c r="H218" s="17"/>
      <c r="I218" s="17"/>
      <c r="J218" s="17"/>
      <c r="K218" s="17"/>
      <c r="L218" s="17"/>
      <c r="M218" s="17"/>
      <c r="N218" s="17"/>
      <c r="O218" s="17"/>
      <c r="P218" s="17"/>
      <c r="Q218" s="17"/>
    </row>
    <row r="219" spans="1:17" ht="25.5" customHeight="1" x14ac:dyDescent="0.25">
      <c r="A219" s="17"/>
      <c r="B219" s="17"/>
      <c r="C219" s="17"/>
      <c r="D219" s="17"/>
      <c r="E219" s="17"/>
      <c r="F219" s="17"/>
      <c r="G219" s="17"/>
      <c r="H219" s="17"/>
      <c r="I219" s="17"/>
      <c r="J219" s="17"/>
      <c r="K219" s="17"/>
      <c r="L219" s="17"/>
      <c r="M219" s="17"/>
      <c r="N219" s="17"/>
      <c r="O219" s="17"/>
      <c r="P219" s="17"/>
      <c r="Q219" s="17"/>
    </row>
    <row r="220" spans="1:17" ht="25.5" customHeight="1" x14ac:dyDescent="0.25">
      <c r="A220" s="17"/>
      <c r="B220" s="17"/>
      <c r="C220" s="17"/>
      <c r="D220" s="17"/>
      <c r="E220" s="17"/>
      <c r="F220" s="17"/>
      <c r="G220" s="17"/>
      <c r="H220" s="17"/>
      <c r="I220" s="17"/>
      <c r="J220" s="17"/>
      <c r="K220" s="17"/>
      <c r="L220" s="17"/>
      <c r="M220" s="17"/>
      <c r="N220" s="17"/>
      <c r="O220" s="17"/>
      <c r="P220" s="17"/>
      <c r="Q220" s="17"/>
    </row>
    <row r="221" spans="1:17" ht="25.5" customHeight="1" x14ac:dyDescent="0.25">
      <c r="A221" s="17"/>
      <c r="B221" s="17"/>
      <c r="C221" s="17"/>
      <c r="D221" s="17"/>
      <c r="E221" s="17"/>
      <c r="F221" s="17"/>
      <c r="G221" s="17"/>
      <c r="H221" s="17"/>
      <c r="I221" s="17"/>
      <c r="J221" s="17"/>
      <c r="K221" s="17"/>
      <c r="L221" s="17"/>
      <c r="M221" s="17"/>
      <c r="N221" s="17"/>
      <c r="O221" s="17"/>
      <c r="P221" s="17"/>
      <c r="Q221" s="17"/>
    </row>
    <row r="222" spans="1:17" ht="25.5" customHeight="1" x14ac:dyDescent="0.25">
      <c r="A222" s="17"/>
      <c r="B222" s="17"/>
      <c r="C222" s="17"/>
      <c r="D222" s="17"/>
      <c r="E222" s="17"/>
      <c r="F222" s="17"/>
      <c r="G222" s="17"/>
      <c r="H222" s="17"/>
      <c r="I222" s="17"/>
      <c r="J222" s="17"/>
      <c r="K222" s="17"/>
      <c r="L222" s="17"/>
      <c r="M222" s="17"/>
      <c r="N222" s="17"/>
      <c r="O222" s="17"/>
      <c r="P222" s="17"/>
      <c r="Q222" s="17"/>
    </row>
    <row r="223" spans="1:17" ht="25.5" customHeight="1" x14ac:dyDescent="0.25">
      <c r="A223" s="17"/>
      <c r="B223" s="17"/>
      <c r="C223" s="17"/>
      <c r="D223" s="17"/>
      <c r="E223" s="17"/>
      <c r="F223" s="17"/>
      <c r="G223" s="17"/>
      <c r="H223" s="17"/>
      <c r="I223" s="17"/>
      <c r="J223" s="17"/>
      <c r="K223" s="17"/>
      <c r="L223" s="17"/>
      <c r="M223" s="17"/>
      <c r="N223" s="17"/>
      <c r="O223" s="17"/>
      <c r="P223" s="17"/>
      <c r="Q223" s="17"/>
    </row>
    <row r="224" spans="1:17" ht="25.5" customHeight="1" x14ac:dyDescent="0.25">
      <c r="A224" s="17"/>
      <c r="B224" s="17"/>
      <c r="C224" s="17"/>
      <c r="D224" s="17"/>
      <c r="E224" s="17"/>
      <c r="F224" s="17"/>
      <c r="G224" s="17"/>
      <c r="H224" s="17"/>
      <c r="I224" s="17"/>
      <c r="J224" s="17"/>
      <c r="K224" s="17"/>
      <c r="L224" s="17"/>
      <c r="M224" s="17"/>
      <c r="N224" s="17"/>
      <c r="O224" s="17"/>
      <c r="P224" s="17"/>
      <c r="Q224" s="17"/>
    </row>
    <row r="225" spans="1:17" ht="25.5" customHeight="1" x14ac:dyDescent="0.25">
      <c r="A225" s="17"/>
      <c r="B225" s="17"/>
      <c r="C225" s="17"/>
      <c r="D225" s="17"/>
      <c r="E225" s="17"/>
      <c r="F225" s="17"/>
      <c r="G225" s="17"/>
      <c r="H225" s="17"/>
      <c r="I225" s="17"/>
      <c r="J225" s="17"/>
      <c r="K225" s="17"/>
      <c r="L225" s="17"/>
      <c r="M225" s="17"/>
      <c r="N225" s="17"/>
      <c r="O225" s="17"/>
      <c r="P225" s="17"/>
      <c r="Q225" s="17"/>
    </row>
    <row r="226" spans="1:17" ht="25.5" customHeight="1" x14ac:dyDescent="0.25">
      <c r="A226" s="17"/>
      <c r="B226" s="17"/>
      <c r="C226" s="17"/>
      <c r="D226" s="17"/>
      <c r="E226" s="17"/>
      <c r="F226" s="17"/>
      <c r="G226" s="17"/>
      <c r="H226" s="17"/>
      <c r="I226" s="17"/>
      <c r="J226" s="17"/>
      <c r="K226" s="17"/>
      <c r="L226" s="17"/>
      <c r="M226" s="17"/>
      <c r="N226" s="17"/>
      <c r="O226" s="17"/>
      <c r="P226" s="17"/>
      <c r="Q226" s="17"/>
    </row>
    <row r="227" spans="1:17" ht="25.5" customHeight="1" x14ac:dyDescent="0.25">
      <c r="A227" s="17"/>
      <c r="B227" s="17"/>
      <c r="C227" s="17"/>
      <c r="D227" s="17"/>
      <c r="E227" s="17"/>
      <c r="F227" s="17"/>
      <c r="G227" s="17"/>
      <c r="H227" s="17"/>
      <c r="I227" s="17"/>
      <c r="J227" s="17"/>
      <c r="K227" s="17"/>
      <c r="L227" s="17"/>
      <c r="M227" s="17"/>
      <c r="N227" s="17"/>
      <c r="O227" s="17"/>
      <c r="P227" s="17"/>
      <c r="Q227" s="17"/>
    </row>
    <row r="228" spans="1:17" ht="25.5" customHeight="1" x14ac:dyDescent="0.25">
      <c r="A228" s="17"/>
      <c r="B228" s="17"/>
      <c r="C228" s="17"/>
      <c r="D228" s="17"/>
      <c r="E228" s="17"/>
      <c r="F228" s="17"/>
      <c r="G228" s="17"/>
      <c r="H228" s="17"/>
      <c r="I228" s="17"/>
      <c r="J228" s="17"/>
      <c r="K228" s="17"/>
      <c r="L228" s="17"/>
      <c r="M228" s="17"/>
      <c r="N228" s="17"/>
      <c r="O228" s="17"/>
      <c r="P228" s="17"/>
      <c r="Q228" s="17"/>
    </row>
    <row r="229" spans="1:17" ht="25.5" customHeight="1" x14ac:dyDescent="0.25">
      <c r="A229" s="17"/>
      <c r="B229" s="17"/>
      <c r="C229" s="17"/>
      <c r="D229" s="17"/>
      <c r="E229" s="17"/>
      <c r="F229" s="17"/>
      <c r="G229" s="17"/>
      <c r="H229" s="17"/>
      <c r="I229" s="17"/>
      <c r="J229" s="17"/>
      <c r="K229" s="17"/>
      <c r="L229" s="17"/>
      <c r="M229" s="17"/>
      <c r="N229" s="17"/>
      <c r="O229" s="17"/>
      <c r="P229" s="17"/>
      <c r="Q229" s="17"/>
    </row>
    <row r="230" spans="1:17" ht="25.5" customHeight="1" x14ac:dyDescent="0.25">
      <c r="A230" s="17"/>
      <c r="B230" s="17"/>
      <c r="C230" s="17"/>
      <c r="D230" s="17"/>
      <c r="E230" s="17"/>
      <c r="F230" s="17"/>
      <c r="G230" s="17"/>
      <c r="H230" s="17"/>
      <c r="I230" s="17"/>
      <c r="J230" s="17"/>
      <c r="K230" s="17"/>
      <c r="L230" s="17"/>
      <c r="M230" s="17"/>
      <c r="N230" s="17"/>
      <c r="O230" s="17"/>
      <c r="P230" s="17"/>
      <c r="Q230" s="17"/>
    </row>
    <row r="231" spans="1:17" ht="25.5" customHeight="1" x14ac:dyDescent="0.25">
      <c r="A231" s="17"/>
      <c r="B231" s="17"/>
      <c r="C231" s="17"/>
      <c r="D231" s="17"/>
      <c r="E231" s="17"/>
      <c r="F231" s="17"/>
      <c r="G231" s="17"/>
      <c r="H231" s="17"/>
      <c r="I231" s="17"/>
      <c r="J231" s="17"/>
      <c r="K231" s="17"/>
      <c r="L231" s="17"/>
      <c r="M231" s="17"/>
      <c r="N231" s="17"/>
      <c r="O231" s="17"/>
      <c r="P231" s="17"/>
      <c r="Q231" s="17"/>
    </row>
    <row r="232" spans="1:17" ht="25.5" customHeight="1" x14ac:dyDescent="0.25">
      <c r="A232" s="17"/>
      <c r="B232" s="17"/>
      <c r="C232" s="17"/>
      <c r="D232" s="17"/>
      <c r="E232" s="17"/>
      <c r="F232" s="17"/>
      <c r="G232" s="17"/>
      <c r="H232" s="17"/>
      <c r="I232" s="17"/>
      <c r="J232" s="17"/>
      <c r="K232" s="17"/>
      <c r="L232" s="17"/>
      <c r="M232" s="17"/>
      <c r="N232" s="17"/>
      <c r="O232" s="17"/>
      <c r="P232" s="17"/>
      <c r="Q232" s="17"/>
    </row>
    <row r="233" spans="1:17" ht="25.5" customHeight="1" x14ac:dyDescent="0.25">
      <c r="A233" s="17"/>
      <c r="B233" s="17"/>
      <c r="C233" s="17"/>
      <c r="D233" s="17"/>
      <c r="E233" s="17"/>
      <c r="F233" s="17"/>
      <c r="G233" s="17"/>
      <c r="H233" s="17"/>
      <c r="I233" s="17"/>
      <c r="J233" s="17"/>
      <c r="K233" s="17"/>
      <c r="L233" s="17"/>
      <c r="M233" s="17"/>
      <c r="N233" s="17"/>
      <c r="O233" s="17"/>
      <c r="P233" s="17"/>
      <c r="Q233" s="17"/>
    </row>
    <row r="234" spans="1:17" ht="25.5" customHeight="1" x14ac:dyDescent="0.25">
      <c r="A234" s="17"/>
      <c r="B234" s="17"/>
      <c r="C234" s="17"/>
      <c r="D234" s="17"/>
      <c r="E234" s="17"/>
      <c r="F234" s="17"/>
      <c r="G234" s="17"/>
      <c r="H234" s="17"/>
      <c r="I234" s="17"/>
      <c r="J234" s="17"/>
      <c r="K234" s="17"/>
      <c r="L234" s="17"/>
      <c r="M234" s="17"/>
      <c r="N234" s="17"/>
      <c r="O234" s="17"/>
      <c r="P234" s="17"/>
      <c r="Q234" s="17"/>
    </row>
    <row r="235" spans="1:17" ht="25.5" customHeight="1" x14ac:dyDescent="0.25">
      <c r="A235" s="17"/>
      <c r="B235" s="17"/>
      <c r="C235" s="17"/>
      <c r="D235" s="17"/>
      <c r="E235" s="17"/>
      <c r="F235" s="17"/>
      <c r="G235" s="17"/>
      <c r="H235" s="17"/>
      <c r="I235" s="17"/>
      <c r="J235" s="17"/>
      <c r="K235" s="17"/>
      <c r="L235" s="17"/>
      <c r="M235" s="17"/>
      <c r="N235" s="17"/>
      <c r="O235" s="17"/>
      <c r="P235" s="17"/>
      <c r="Q235" s="17"/>
    </row>
    <row r="236" spans="1:17" ht="25.5" customHeight="1" x14ac:dyDescent="0.25">
      <c r="A236" s="17"/>
      <c r="B236" s="17"/>
      <c r="C236" s="17"/>
      <c r="D236" s="17"/>
      <c r="E236" s="17"/>
      <c r="F236" s="17"/>
      <c r="G236" s="17"/>
      <c r="H236" s="17"/>
      <c r="I236" s="17"/>
      <c r="J236" s="17"/>
      <c r="K236" s="17"/>
      <c r="L236" s="17"/>
      <c r="M236" s="17"/>
      <c r="N236" s="17"/>
      <c r="O236" s="17"/>
      <c r="P236" s="17"/>
      <c r="Q236" s="17"/>
    </row>
    <row r="237" spans="1:17" ht="25.5" customHeight="1" x14ac:dyDescent="0.25">
      <c r="A237" s="17"/>
      <c r="B237" s="17"/>
      <c r="C237" s="17"/>
      <c r="D237" s="17"/>
      <c r="E237" s="17"/>
      <c r="F237" s="17"/>
      <c r="G237" s="17"/>
      <c r="H237" s="17"/>
      <c r="I237" s="17"/>
      <c r="J237" s="17"/>
      <c r="K237" s="17"/>
      <c r="L237" s="17"/>
      <c r="M237" s="17"/>
      <c r="N237" s="17"/>
      <c r="O237" s="17"/>
      <c r="P237" s="17"/>
      <c r="Q237" s="17"/>
    </row>
    <row r="238" spans="1:17" ht="25.5" customHeight="1" x14ac:dyDescent="0.25">
      <c r="A238" s="17"/>
      <c r="B238" s="17"/>
      <c r="C238" s="17"/>
      <c r="D238" s="17"/>
      <c r="E238" s="17"/>
      <c r="F238" s="17"/>
      <c r="G238" s="17"/>
      <c r="H238" s="17"/>
      <c r="I238" s="17"/>
      <c r="J238" s="17"/>
      <c r="K238" s="17"/>
      <c r="L238" s="17"/>
      <c r="M238" s="17"/>
      <c r="N238" s="17"/>
      <c r="O238" s="17"/>
      <c r="P238" s="17"/>
      <c r="Q238" s="17"/>
    </row>
    <row r="239" spans="1:17" ht="25.5" customHeight="1" x14ac:dyDescent="0.25">
      <c r="A239" s="17"/>
      <c r="B239" s="17"/>
      <c r="C239" s="17"/>
      <c r="D239" s="17"/>
      <c r="E239" s="17"/>
      <c r="F239" s="17"/>
      <c r="G239" s="17"/>
      <c r="H239" s="17"/>
      <c r="I239" s="17"/>
      <c r="J239" s="17"/>
      <c r="K239" s="17"/>
      <c r="L239" s="17"/>
      <c r="M239" s="17"/>
      <c r="N239" s="17"/>
      <c r="O239" s="17"/>
      <c r="P239" s="17"/>
      <c r="Q239" s="17"/>
    </row>
    <row r="240" spans="1:17" ht="25.5" customHeight="1" x14ac:dyDescent="0.25">
      <c r="A240" s="17"/>
      <c r="B240" s="17"/>
      <c r="C240" s="17"/>
      <c r="D240" s="17"/>
      <c r="E240" s="17"/>
      <c r="F240" s="17"/>
      <c r="G240" s="17"/>
      <c r="H240" s="17"/>
      <c r="I240" s="17"/>
      <c r="J240" s="17"/>
      <c r="K240" s="17"/>
      <c r="L240" s="17"/>
      <c r="M240" s="17"/>
      <c r="N240" s="17"/>
      <c r="O240" s="17"/>
      <c r="P240" s="17"/>
      <c r="Q240" s="17"/>
    </row>
    <row r="241" spans="1:17" ht="25.5" customHeight="1" x14ac:dyDescent="0.25">
      <c r="A241" s="17"/>
      <c r="B241" s="17"/>
      <c r="C241" s="17"/>
      <c r="D241" s="17"/>
      <c r="E241" s="17"/>
      <c r="F241" s="17"/>
      <c r="G241" s="17"/>
      <c r="H241" s="17"/>
      <c r="I241" s="17"/>
      <c r="J241" s="17"/>
      <c r="K241" s="17"/>
      <c r="L241" s="17"/>
      <c r="M241" s="17"/>
      <c r="N241" s="17"/>
      <c r="O241" s="17"/>
      <c r="P241" s="17"/>
      <c r="Q241" s="17"/>
    </row>
    <row r="242" spans="1:17" ht="25.5" customHeight="1" x14ac:dyDescent="0.25">
      <c r="A242" s="17"/>
      <c r="B242" s="17"/>
      <c r="C242" s="17"/>
      <c r="D242" s="17"/>
      <c r="E242" s="17"/>
      <c r="F242" s="17"/>
      <c r="G242" s="17"/>
      <c r="H242" s="17"/>
      <c r="I242" s="17"/>
      <c r="J242" s="17"/>
      <c r="K242" s="17"/>
      <c r="L242" s="17"/>
      <c r="M242" s="17"/>
      <c r="N242" s="17"/>
      <c r="O242" s="17"/>
      <c r="P242" s="17"/>
      <c r="Q242" s="17"/>
    </row>
    <row r="243" spans="1:17" ht="25.5" customHeight="1" x14ac:dyDescent="0.25">
      <c r="A243" s="17"/>
      <c r="B243" s="17"/>
      <c r="C243" s="17"/>
      <c r="D243" s="17"/>
      <c r="E243" s="17"/>
      <c r="F243" s="17"/>
      <c r="G243" s="17"/>
      <c r="H243" s="17"/>
      <c r="I243" s="17"/>
      <c r="J243" s="17"/>
      <c r="K243" s="17"/>
      <c r="L243" s="17"/>
      <c r="M243" s="17"/>
      <c r="N243" s="17"/>
      <c r="O243" s="17"/>
      <c r="P243" s="17"/>
      <c r="Q243" s="17"/>
    </row>
    <row r="244" spans="1:17" ht="25.5" customHeight="1" x14ac:dyDescent="0.25">
      <c r="A244" s="17"/>
      <c r="B244" s="17"/>
      <c r="C244" s="17"/>
      <c r="D244" s="17"/>
      <c r="E244" s="17"/>
      <c r="F244" s="17"/>
      <c r="G244" s="17"/>
      <c r="H244" s="17"/>
      <c r="I244" s="17"/>
      <c r="J244" s="17"/>
      <c r="K244" s="17"/>
      <c r="L244" s="17"/>
      <c r="M244" s="17"/>
      <c r="N244" s="17"/>
      <c r="O244" s="17"/>
      <c r="P244" s="17"/>
      <c r="Q244" s="17"/>
    </row>
    <row r="245" spans="1:17" ht="25.5" customHeight="1" x14ac:dyDescent="0.25">
      <c r="A245" s="17"/>
      <c r="B245" s="17"/>
      <c r="C245" s="17"/>
      <c r="D245" s="17"/>
      <c r="E245" s="17"/>
      <c r="F245" s="17"/>
      <c r="G245" s="17"/>
      <c r="H245" s="17"/>
      <c r="I245" s="17"/>
      <c r="J245" s="17"/>
      <c r="K245" s="17"/>
      <c r="L245" s="17"/>
      <c r="M245" s="17"/>
      <c r="N245" s="17"/>
      <c r="O245" s="17"/>
      <c r="P245" s="17"/>
      <c r="Q245" s="17"/>
    </row>
    <row r="246" spans="1:17" ht="25.5" customHeight="1" x14ac:dyDescent="0.25">
      <c r="A246" s="17"/>
      <c r="B246" s="17"/>
      <c r="C246" s="17"/>
      <c r="D246" s="17"/>
      <c r="E246" s="17"/>
      <c r="F246" s="17"/>
      <c r="G246" s="17"/>
      <c r="H246" s="17"/>
      <c r="I246" s="17"/>
      <c r="J246" s="17"/>
      <c r="K246" s="17"/>
      <c r="L246" s="17"/>
      <c r="M246" s="17"/>
      <c r="N246" s="17"/>
      <c r="O246" s="17"/>
      <c r="P246" s="17"/>
      <c r="Q246" s="17"/>
    </row>
    <row r="247" spans="1:17" ht="25.5" customHeight="1" x14ac:dyDescent="0.25">
      <c r="A247" s="17"/>
      <c r="B247" s="17"/>
      <c r="C247" s="17"/>
      <c r="D247" s="17"/>
      <c r="E247" s="17"/>
      <c r="F247" s="17"/>
      <c r="G247" s="17"/>
      <c r="H247" s="17"/>
      <c r="I247" s="17"/>
      <c r="J247" s="17"/>
      <c r="K247" s="17"/>
      <c r="L247" s="17"/>
      <c r="M247" s="17"/>
      <c r="N247" s="17"/>
      <c r="O247" s="17"/>
      <c r="P247" s="17"/>
      <c r="Q247" s="17"/>
    </row>
    <row r="248" spans="1:17" ht="25.5" customHeight="1" x14ac:dyDescent="0.25">
      <c r="A248" s="17"/>
      <c r="B248" s="17"/>
      <c r="C248" s="17"/>
      <c r="D248" s="17"/>
      <c r="E248" s="17"/>
      <c r="F248" s="17"/>
      <c r="G248" s="17"/>
      <c r="H248" s="17"/>
      <c r="I248" s="17"/>
      <c r="J248" s="17"/>
      <c r="K248" s="17"/>
      <c r="L248" s="17"/>
      <c r="M248" s="17"/>
      <c r="N248" s="17"/>
      <c r="O248" s="17"/>
      <c r="P248" s="17"/>
      <c r="Q248" s="17"/>
    </row>
    <row r="249" spans="1:17" ht="25.5" customHeight="1" x14ac:dyDescent="0.25">
      <c r="A249" s="17"/>
      <c r="B249" s="17"/>
      <c r="C249" s="17"/>
      <c r="D249" s="17"/>
      <c r="E249" s="17"/>
      <c r="F249" s="17"/>
      <c r="G249" s="17"/>
      <c r="H249" s="17"/>
      <c r="I249" s="17"/>
      <c r="J249" s="17"/>
      <c r="K249" s="17"/>
      <c r="L249" s="17"/>
      <c r="M249" s="17"/>
      <c r="N249" s="17"/>
      <c r="O249" s="17"/>
      <c r="P249" s="17"/>
      <c r="Q249" s="17"/>
    </row>
    <row r="250" spans="1:17" ht="25.5" customHeight="1" x14ac:dyDescent="0.25">
      <c r="A250" s="17"/>
      <c r="B250" s="17"/>
      <c r="C250" s="17"/>
      <c r="D250" s="17"/>
      <c r="E250" s="17"/>
      <c r="F250" s="17"/>
      <c r="G250" s="17"/>
      <c r="H250" s="17"/>
      <c r="I250" s="17"/>
      <c r="J250" s="17"/>
      <c r="K250" s="17"/>
      <c r="L250" s="17"/>
      <c r="M250" s="17"/>
      <c r="N250" s="17"/>
      <c r="O250" s="17"/>
      <c r="P250" s="17"/>
      <c r="Q250" s="17"/>
    </row>
    <row r="251" spans="1:17" ht="25.5" customHeight="1" x14ac:dyDescent="0.25">
      <c r="A251" s="17"/>
      <c r="B251" s="17"/>
      <c r="C251" s="17"/>
      <c r="D251" s="17"/>
      <c r="E251" s="17"/>
      <c r="F251" s="17"/>
      <c r="G251" s="17"/>
      <c r="H251" s="17"/>
      <c r="I251" s="17"/>
      <c r="J251" s="17"/>
      <c r="K251" s="17"/>
      <c r="L251" s="17"/>
      <c r="M251" s="17"/>
      <c r="N251" s="17"/>
      <c r="O251" s="17"/>
      <c r="P251" s="17"/>
      <c r="Q251" s="17"/>
    </row>
    <row r="252" spans="1:17" ht="25.5" customHeight="1" x14ac:dyDescent="0.25">
      <c r="A252" s="17"/>
      <c r="B252" s="17"/>
      <c r="C252" s="17"/>
      <c r="D252" s="17"/>
      <c r="E252" s="17"/>
      <c r="F252" s="17"/>
      <c r="G252" s="17"/>
      <c r="H252" s="17"/>
      <c r="I252" s="17"/>
      <c r="J252" s="17"/>
      <c r="K252" s="17"/>
      <c r="L252" s="17"/>
      <c r="M252" s="17"/>
      <c r="N252" s="17"/>
      <c r="O252" s="17"/>
      <c r="P252" s="17"/>
      <c r="Q252" s="17"/>
    </row>
    <row r="253" spans="1:17" ht="25.5" customHeight="1" x14ac:dyDescent="0.25">
      <c r="A253" s="17"/>
      <c r="B253" s="17"/>
      <c r="C253" s="17"/>
      <c r="D253" s="17"/>
      <c r="E253" s="17"/>
      <c r="F253" s="17"/>
      <c r="G253" s="17"/>
      <c r="H253" s="17"/>
      <c r="I253" s="17"/>
      <c r="J253" s="17"/>
      <c r="K253" s="17"/>
      <c r="L253" s="17"/>
      <c r="M253" s="17"/>
      <c r="N253" s="17"/>
      <c r="O253" s="17"/>
      <c r="P253" s="17"/>
      <c r="Q253" s="17"/>
    </row>
    <row r="254" spans="1:17" ht="25.5" customHeight="1" x14ac:dyDescent="0.25">
      <c r="A254" s="17"/>
      <c r="B254" s="17"/>
      <c r="C254" s="17"/>
      <c r="D254" s="17"/>
      <c r="E254" s="17"/>
      <c r="F254" s="17"/>
      <c r="G254" s="17"/>
      <c r="H254" s="17"/>
      <c r="I254" s="17"/>
      <c r="J254" s="17"/>
      <c r="K254" s="17"/>
      <c r="L254" s="17"/>
      <c r="M254" s="17"/>
      <c r="N254" s="17"/>
      <c r="O254" s="17"/>
      <c r="P254" s="17"/>
      <c r="Q254" s="17"/>
    </row>
    <row r="255" spans="1:17" ht="25.5" customHeight="1" x14ac:dyDescent="0.25">
      <c r="A255" s="17"/>
      <c r="B255" s="17"/>
      <c r="C255" s="17"/>
      <c r="D255" s="17"/>
      <c r="E255" s="17"/>
      <c r="F255" s="17"/>
      <c r="G255" s="17"/>
      <c r="H255" s="17"/>
      <c r="I255" s="17"/>
      <c r="J255" s="17"/>
      <c r="K255" s="17"/>
      <c r="L255" s="17"/>
      <c r="M255" s="17"/>
      <c r="N255" s="17"/>
      <c r="O255" s="17"/>
      <c r="P255" s="17"/>
      <c r="Q255" s="17"/>
    </row>
    <row r="256" spans="1:17" ht="25.5" customHeight="1" x14ac:dyDescent="0.25">
      <c r="A256" s="17"/>
      <c r="B256" s="17"/>
      <c r="C256" s="17"/>
      <c r="D256" s="17"/>
      <c r="E256" s="17"/>
      <c r="F256" s="17"/>
      <c r="G256" s="17"/>
      <c r="H256" s="17"/>
      <c r="I256" s="17"/>
      <c r="J256" s="17"/>
      <c r="K256" s="17"/>
      <c r="L256" s="17"/>
      <c r="M256" s="17"/>
      <c r="N256" s="17"/>
      <c r="O256" s="17"/>
      <c r="P256" s="17"/>
      <c r="Q256" s="17"/>
    </row>
    <row r="257" spans="1:17" ht="25.5" customHeight="1" x14ac:dyDescent="0.25">
      <c r="A257" s="17"/>
      <c r="B257" s="17"/>
      <c r="C257" s="17"/>
      <c r="D257" s="17"/>
      <c r="E257" s="17"/>
      <c r="F257" s="17"/>
      <c r="G257" s="17"/>
      <c r="H257" s="17"/>
      <c r="I257" s="17"/>
      <c r="J257" s="17"/>
      <c r="K257" s="17"/>
      <c r="L257" s="17"/>
      <c r="M257" s="17"/>
      <c r="N257" s="17"/>
      <c r="O257" s="17"/>
      <c r="P257" s="17"/>
      <c r="Q257" s="17"/>
    </row>
    <row r="258" spans="1:17" ht="25.5" customHeight="1" x14ac:dyDescent="0.25">
      <c r="A258" s="17"/>
      <c r="B258" s="17"/>
      <c r="C258" s="17"/>
      <c r="D258" s="17"/>
      <c r="E258" s="17"/>
      <c r="F258" s="17"/>
      <c r="G258" s="17"/>
      <c r="H258" s="17"/>
      <c r="I258" s="17"/>
      <c r="J258" s="17"/>
      <c r="K258" s="17"/>
      <c r="L258" s="17"/>
      <c r="M258" s="17"/>
      <c r="N258" s="17"/>
      <c r="O258" s="17"/>
      <c r="P258" s="17"/>
      <c r="Q258" s="17"/>
    </row>
    <row r="259" spans="1:17" ht="25.5" customHeight="1" x14ac:dyDescent="0.25">
      <c r="A259" s="17"/>
      <c r="B259" s="17"/>
      <c r="C259" s="17"/>
      <c r="D259" s="17"/>
      <c r="E259" s="17"/>
      <c r="F259" s="17"/>
      <c r="G259" s="17"/>
      <c r="H259" s="17"/>
      <c r="I259" s="17"/>
      <c r="J259" s="17"/>
      <c r="K259" s="17"/>
      <c r="L259" s="17"/>
      <c r="M259" s="17"/>
      <c r="N259" s="17"/>
      <c r="O259" s="17"/>
      <c r="P259" s="17"/>
      <c r="Q259" s="17"/>
    </row>
    <row r="260" spans="1:17" ht="25.5" customHeight="1" x14ac:dyDescent="0.25">
      <c r="A260" s="17"/>
      <c r="B260" s="17"/>
      <c r="C260" s="17"/>
      <c r="D260" s="17"/>
      <c r="E260" s="17"/>
      <c r="F260" s="17"/>
      <c r="G260" s="17"/>
      <c r="H260" s="17"/>
      <c r="I260" s="17"/>
      <c r="J260" s="17"/>
      <c r="K260" s="17"/>
      <c r="L260" s="17"/>
      <c r="M260" s="17"/>
      <c r="N260" s="17"/>
      <c r="O260" s="17"/>
      <c r="P260" s="17"/>
      <c r="Q260" s="17"/>
    </row>
    <row r="261" spans="1:17" ht="25.5" customHeight="1" x14ac:dyDescent="0.25">
      <c r="A261" s="17"/>
      <c r="B261" s="17"/>
      <c r="C261" s="17"/>
      <c r="D261" s="17"/>
      <c r="E261" s="17"/>
      <c r="F261" s="17"/>
      <c r="G261" s="17"/>
      <c r="H261" s="17"/>
      <c r="I261" s="17"/>
      <c r="J261" s="17"/>
      <c r="K261" s="17"/>
      <c r="L261" s="17"/>
      <c r="M261" s="17"/>
      <c r="N261" s="17"/>
      <c r="O261" s="17"/>
      <c r="P261" s="17"/>
      <c r="Q261" s="17"/>
    </row>
    <row r="262" spans="1:17" ht="25.5" customHeight="1" x14ac:dyDescent="0.25">
      <c r="A262" s="17"/>
      <c r="B262" s="17"/>
      <c r="C262" s="17"/>
      <c r="D262" s="17"/>
      <c r="E262" s="17"/>
      <c r="F262" s="17"/>
      <c r="G262" s="17"/>
      <c r="H262" s="17"/>
      <c r="I262" s="17"/>
      <c r="J262" s="17"/>
      <c r="K262" s="17"/>
      <c r="L262" s="17"/>
      <c r="M262" s="17"/>
      <c r="N262" s="17"/>
      <c r="O262" s="17"/>
      <c r="P262" s="17"/>
      <c r="Q262" s="17"/>
    </row>
    <row r="263" spans="1:17" ht="25.5" customHeight="1" x14ac:dyDescent="0.25">
      <c r="A263" s="17"/>
      <c r="B263" s="17"/>
      <c r="C263" s="17"/>
      <c r="D263" s="17"/>
      <c r="E263" s="17"/>
      <c r="F263" s="17"/>
      <c r="G263" s="17"/>
      <c r="H263" s="17"/>
      <c r="I263" s="17"/>
      <c r="J263" s="17"/>
      <c r="K263" s="17"/>
      <c r="L263" s="17"/>
      <c r="M263" s="17"/>
      <c r="N263" s="17"/>
      <c r="O263" s="17"/>
      <c r="P263" s="17"/>
      <c r="Q263" s="17"/>
    </row>
    <row r="264" spans="1:17" ht="25.5" customHeight="1" x14ac:dyDescent="0.25">
      <c r="A264" s="17"/>
      <c r="B264" s="17"/>
      <c r="C264" s="17"/>
      <c r="D264" s="17"/>
      <c r="E264" s="17"/>
      <c r="F264" s="17"/>
      <c r="G264" s="17"/>
      <c r="H264" s="17"/>
      <c r="I264" s="17"/>
      <c r="J264" s="17"/>
      <c r="K264" s="17"/>
      <c r="L264" s="17"/>
      <c r="M264" s="17"/>
      <c r="N264" s="17"/>
      <c r="O264" s="17"/>
      <c r="P264" s="17"/>
      <c r="Q264" s="17"/>
    </row>
    <row r="265" spans="1:17" ht="25.5" customHeight="1" x14ac:dyDescent="0.25">
      <c r="A265" s="17"/>
      <c r="B265" s="17"/>
      <c r="C265" s="17"/>
      <c r="D265" s="17"/>
      <c r="E265" s="17"/>
      <c r="F265" s="17"/>
      <c r="G265" s="17"/>
      <c r="H265" s="17"/>
      <c r="I265" s="17"/>
      <c r="J265" s="17"/>
      <c r="K265" s="17"/>
      <c r="L265" s="17"/>
      <c r="M265" s="17"/>
      <c r="N265" s="17"/>
      <c r="O265" s="17"/>
      <c r="P265" s="17"/>
      <c r="Q265" s="17"/>
    </row>
    <row r="266" spans="1:17" ht="25.5" customHeight="1" x14ac:dyDescent="0.25">
      <c r="A266" s="17"/>
      <c r="B266" s="17"/>
      <c r="C266" s="17"/>
      <c r="D266" s="17"/>
      <c r="E266" s="17"/>
      <c r="F266" s="17"/>
      <c r="G266" s="17"/>
      <c r="H266" s="17"/>
      <c r="I266" s="17"/>
      <c r="J266" s="17"/>
      <c r="K266" s="17"/>
      <c r="L266" s="17"/>
      <c r="M266" s="17"/>
      <c r="N266" s="17"/>
      <c r="O266" s="17"/>
      <c r="P266" s="17"/>
      <c r="Q266" s="17"/>
    </row>
    <row r="267" spans="1:17" ht="25.5" customHeight="1" x14ac:dyDescent="0.25">
      <c r="A267" s="17"/>
      <c r="B267" s="17"/>
      <c r="C267" s="17"/>
      <c r="D267" s="17"/>
      <c r="E267" s="17"/>
      <c r="F267" s="17"/>
      <c r="G267" s="17"/>
      <c r="H267" s="17"/>
      <c r="I267" s="17"/>
      <c r="J267" s="17"/>
      <c r="K267" s="17"/>
      <c r="L267" s="17"/>
      <c r="M267" s="17"/>
      <c r="N267" s="17"/>
      <c r="O267" s="17"/>
      <c r="P267" s="17"/>
      <c r="Q267" s="17"/>
    </row>
    <row r="268" spans="1:17" ht="25.5" customHeight="1" x14ac:dyDescent="0.25">
      <c r="A268" s="17"/>
      <c r="B268" s="17"/>
      <c r="C268" s="17"/>
      <c r="D268" s="17"/>
      <c r="E268" s="17"/>
      <c r="F268" s="17"/>
      <c r="G268" s="17"/>
      <c r="H268" s="17"/>
      <c r="I268" s="17"/>
      <c r="J268" s="17"/>
      <c r="K268" s="17"/>
      <c r="L268" s="17"/>
      <c r="M268" s="17"/>
      <c r="N268" s="17"/>
      <c r="O268" s="17"/>
      <c r="P268" s="17"/>
      <c r="Q268" s="17"/>
    </row>
    <row r="269" spans="1:17" ht="25.5" customHeight="1" x14ac:dyDescent="0.25">
      <c r="A269" s="17"/>
      <c r="B269" s="17"/>
      <c r="C269" s="17"/>
      <c r="D269" s="17"/>
      <c r="E269" s="17"/>
      <c r="F269" s="17"/>
      <c r="G269" s="17"/>
      <c r="H269" s="17"/>
      <c r="I269" s="17"/>
      <c r="J269" s="17"/>
      <c r="K269" s="17"/>
      <c r="L269" s="17"/>
      <c r="M269" s="17"/>
      <c r="N269" s="17"/>
      <c r="O269" s="17"/>
      <c r="P269" s="17"/>
      <c r="Q269" s="17"/>
    </row>
    <row r="270" spans="1:17" ht="25.5" customHeight="1" x14ac:dyDescent="0.25">
      <c r="A270" s="17"/>
      <c r="B270" s="17"/>
      <c r="C270" s="17"/>
      <c r="D270" s="17"/>
      <c r="E270" s="17"/>
      <c r="F270" s="17"/>
      <c r="G270" s="17"/>
      <c r="H270" s="17"/>
      <c r="I270" s="17"/>
      <c r="J270" s="17"/>
      <c r="K270" s="17"/>
      <c r="L270" s="17"/>
      <c r="M270" s="17"/>
      <c r="N270" s="17"/>
      <c r="O270" s="17"/>
      <c r="P270" s="17"/>
      <c r="Q270" s="17"/>
    </row>
    <row r="271" spans="1:17" ht="25.5" customHeight="1" x14ac:dyDescent="0.25">
      <c r="A271" s="17"/>
      <c r="B271" s="17"/>
      <c r="C271" s="17"/>
      <c r="D271" s="17"/>
      <c r="E271" s="17"/>
      <c r="F271" s="17"/>
      <c r="G271" s="17"/>
      <c r="H271" s="17"/>
      <c r="I271" s="17"/>
      <c r="J271" s="17"/>
      <c r="K271" s="17"/>
      <c r="L271" s="17"/>
      <c r="M271" s="17"/>
      <c r="N271" s="17"/>
      <c r="O271" s="17"/>
      <c r="P271" s="17"/>
      <c r="Q271" s="17"/>
    </row>
    <row r="272" spans="1:17" ht="25.5" customHeight="1" x14ac:dyDescent="0.25">
      <c r="A272" s="17"/>
      <c r="B272" s="17"/>
      <c r="C272" s="17"/>
      <c r="D272" s="17"/>
      <c r="E272" s="17"/>
      <c r="F272" s="17"/>
      <c r="G272" s="17"/>
      <c r="H272" s="17"/>
      <c r="I272" s="17"/>
      <c r="J272" s="17"/>
      <c r="K272" s="17"/>
      <c r="L272" s="17"/>
      <c r="M272" s="17"/>
      <c r="N272" s="17"/>
      <c r="O272" s="17"/>
      <c r="P272" s="17"/>
      <c r="Q272" s="17"/>
    </row>
    <row r="273" spans="1:17" ht="25.5" customHeight="1" x14ac:dyDescent="0.25">
      <c r="A273" s="17"/>
      <c r="B273" s="17"/>
      <c r="C273" s="17"/>
      <c r="D273" s="17"/>
      <c r="E273" s="17"/>
      <c r="F273" s="17"/>
      <c r="G273" s="17"/>
      <c r="H273" s="17"/>
      <c r="I273" s="17"/>
      <c r="J273" s="17"/>
      <c r="K273" s="17"/>
      <c r="L273" s="17"/>
      <c r="M273" s="17"/>
      <c r="N273" s="17"/>
      <c r="O273" s="17"/>
      <c r="P273" s="17"/>
      <c r="Q273" s="17"/>
    </row>
    <row r="274" spans="1:17" ht="25.5" customHeight="1" x14ac:dyDescent="0.25">
      <c r="A274" s="17"/>
      <c r="B274" s="17"/>
      <c r="C274" s="17"/>
      <c r="D274" s="17"/>
      <c r="E274" s="17"/>
      <c r="F274" s="17"/>
      <c r="G274" s="17"/>
      <c r="H274" s="17"/>
      <c r="I274" s="17"/>
      <c r="J274" s="17"/>
      <c r="K274" s="17"/>
      <c r="L274" s="17"/>
      <c r="M274" s="17"/>
      <c r="N274" s="17"/>
      <c r="O274" s="17"/>
      <c r="P274" s="17"/>
      <c r="Q274" s="17"/>
    </row>
    <row r="275" spans="1:17" ht="25.5" customHeight="1" x14ac:dyDescent="0.25">
      <c r="A275" s="17"/>
      <c r="B275" s="17"/>
      <c r="C275" s="17"/>
      <c r="D275" s="17"/>
      <c r="E275" s="17"/>
      <c r="F275" s="17"/>
      <c r="G275" s="17"/>
      <c r="H275" s="17"/>
      <c r="I275" s="17"/>
      <c r="J275" s="17"/>
      <c r="K275" s="17"/>
      <c r="L275" s="17"/>
      <c r="M275" s="17"/>
      <c r="N275" s="17"/>
      <c r="O275" s="17"/>
      <c r="P275" s="17"/>
      <c r="Q275" s="17"/>
    </row>
    <row r="276" spans="1:17" ht="25.5" customHeight="1" x14ac:dyDescent="0.25">
      <c r="A276" s="17"/>
      <c r="B276" s="17"/>
      <c r="C276" s="17"/>
      <c r="D276" s="17"/>
      <c r="E276" s="17"/>
      <c r="F276" s="17"/>
      <c r="G276" s="17"/>
      <c r="H276" s="17"/>
      <c r="I276" s="17"/>
      <c r="J276" s="17"/>
      <c r="K276" s="17"/>
      <c r="L276" s="17"/>
      <c r="M276" s="17"/>
      <c r="N276" s="17"/>
      <c r="O276" s="17"/>
      <c r="P276" s="17"/>
      <c r="Q276" s="17"/>
    </row>
    <row r="277" spans="1:17" ht="25.5" customHeight="1" x14ac:dyDescent="0.25">
      <c r="A277" s="17"/>
      <c r="B277" s="17"/>
      <c r="C277" s="17"/>
      <c r="D277" s="17"/>
      <c r="E277" s="17"/>
      <c r="F277" s="17"/>
      <c r="G277" s="17"/>
      <c r="H277" s="17"/>
      <c r="I277" s="17"/>
      <c r="J277" s="17"/>
      <c r="K277" s="17"/>
      <c r="L277" s="17"/>
      <c r="M277" s="17"/>
      <c r="N277" s="17"/>
      <c r="O277" s="17"/>
      <c r="P277" s="17"/>
      <c r="Q277" s="17"/>
    </row>
    <row r="278" spans="1:17" ht="25.5" customHeight="1" x14ac:dyDescent="0.25">
      <c r="A278" s="17"/>
      <c r="B278" s="17"/>
      <c r="C278" s="17"/>
      <c r="D278" s="17"/>
      <c r="E278" s="17"/>
      <c r="F278" s="17"/>
      <c r="G278" s="17"/>
      <c r="H278" s="17"/>
      <c r="I278" s="17"/>
      <c r="J278" s="17"/>
      <c r="K278" s="17"/>
      <c r="L278" s="17"/>
      <c r="M278" s="17"/>
      <c r="N278" s="17"/>
      <c r="O278" s="17"/>
      <c r="P278" s="17"/>
      <c r="Q278" s="17"/>
    </row>
    <row r="279" spans="1:17" ht="25.5" customHeight="1" x14ac:dyDescent="0.25">
      <c r="A279" s="17"/>
      <c r="B279" s="17"/>
      <c r="C279" s="17"/>
      <c r="D279" s="17"/>
      <c r="E279" s="17"/>
      <c r="F279" s="17"/>
      <c r="G279" s="17"/>
      <c r="H279" s="17"/>
      <c r="I279" s="17"/>
      <c r="J279" s="17"/>
      <c r="K279" s="17"/>
      <c r="L279" s="17"/>
      <c r="M279" s="17"/>
      <c r="N279" s="17"/>
      <c r="O279" s="17"/>
      <c r="P279" s="17"/>
      <c r="Q279" s="17"/>
    </row>
    <row r="280" spans="1:17" ht="25.5" customHeight="1" x14ac:dyDescent="0.25">
      <c r="A280" s="17"/>
      <c r="B280" s="17"/>
      <c r="C280" s="17"/>
      <c r="D280" s="17"/>
      <c r="E280" s="17"/>
      <c r="F280" s="17"/>
      <c r="G280" s="17"/>
      <c r="H280" s="17"/>
      <c r="I280" s="17"/>
      <c r="J280" s="17"/>
      <c r="K280" s="17"/>
      <c r="L280" s="17"/>
      <c r="M280" s="17"/>
      <c r="N280" s="17"/>
      <c r="O280" s="17"/>
      <c r="P280" s="17"/>
      <c r="Q280" s="17"/>
    </row>
    <row r="281" spans="1:17" ht="25.5" customHeight="1" x14ac:dyDescent="0.25">
      <c r="A281" s="17"/>
      <c r="B281" s="17"/>
      <c r="C281" s="17"/>
      <c r="D281" s="17"/>
      <c r="E281" s="17"/>
      <c r="F281" s="17"/>
      <c r="G281" s="17"/>
      <c r="H281" s="17"/>
      <c r="I281" s="17"/>
      <c r="J281" s="17"/>
      <c r="K281" s="17"/>
      <c r="L281" s="17"/>
      <c r="M281" s="17"/>
      <c r="N281" s="17"/>
      <c r="O281" s="17"/>
      <c r="P281" s="17"/>
      <c r="Q281" s="17"/>
    </row>
    <row r="282" spans="1:17" ht="25.5" customHeight="1" x14ac:dyDescent="0.25">
      <c r="A282" s="17"/>
      <c r="B282" s="17"/>
      <c r="C282" s="17"/>
      <c r="D282" s="17"/>
      <c r="E282" s="17"/>
      <c r="F282" s="17"/>
      <c r="G282" s="17"/>
      <c r="H282" s="17"/>
      <c r="I282" s="17"/>
      <c r="J282" s="17"/>
      <c r="K282" s="17"/>
      <c r="L282" s="17"/>
      <c r="M282" s="17"/>
      <c r="N282" s="17"/>
      <c r="O282" s="17"/>
      <c r="P282" s="17"/>
      <c r="Q282" s="17"/>
    </row>
    <row r="283" spans="1:17" ht="25.5" customHeight="1" x14ac:dyDescent="0.25">
      <c r="A283" s="17"/>
      <c r="B283" s="17"/>
      <c r="C283" s="17"/>
      <c r="D283" s="17"/>
      <c r="E283" s="17"/>
      <c r="F283" s="17"/>
      <c r="G283" s="17"/>
      <c r="H283" s="17"/>
      <c r="I283" s="17"/>
      <c r="J283" s="17"/>
      <c r="K283" s="17"/>
      <c r="L283" s="17"/>
      <c r="M283" s="17"/>
      <c r="N283" s="17"/>
      <c r="O283" s="17"/>
      <c r="P283" s="17"/>
      <c r="Q283" s="17"/>
    </row>
    <row r="284" spans="1:17" ht="25.5" customHeight="1" x14ac:dyDescent="0.25">
      <c r="A284" s="17"/>
      <c r="B284" s="17"/>
      <c r="C284" s="17"/>
      <c r="D284" s="17"/>
      <c r="E284" s="17"/>
      <c r="F284" s="17"/>
      <c r="G284" s="17"/>
      <c r="H284" s="17"/>
      <c r="I284" s="17"/>
      <c r="J284" s="17"/>
      <c r="K284" s="17"/>
      <c r="L284" s="17"/>
      <c r="M284" s="17"/>
      <c r="N284" s="17"/>
      <c r="O284" s="17"/>
      <c r="P284" s="17"/>
      <c r="Q284" s="17"/>
    </row>
    <row r="285" spans="1:17" ht="25.5" customHeight="1" x14ac:dyDescent="0.25">
      <c r="A285" s="17"/>
      <c r="B285" s="17"/>
      <c r="C285" s="17"/>
      <c r="D285" s="17"/>
      <c r="E285" s="17"/>
      <c r="F285" s="17"/>
      <c r="G285" s="17"/>
      <c r="H285" s="17"/>
      <c r="I285" s="17"/>
      <c r="J285" s="17"/>
      <c r="K285" s="17"/>
      <c r="L285" s="17"/>
      <c r="M285" s="17"/>
      <c r="N285" s="17"/>
      <c r="O285" s="17"/>
      <c r="P285" s="17"/>
      <c r="Q285" s="17"/>
    </row>
    <row r="286" spans="1:17" ht="25.5" customHeight="1" x14ac:dyDescent="0.25">
      <c r="A286" s="17"/>
      <c r="B286" s="17"/>
      <c r="C286" s="17"/>
      <c r="D286" s="17"/>
      <c r="E286" s="17"/>
      <c r="F286" s="17"/>
      <c r="G286" s="17"/>
      <c r="H286" s="17"/>
      <c r="I286" s="17"/>
      <c r="J286" s="17"/>
      <c r="K286" s="17"/>
      <c r="L286" s="17"/>
      <c r="M286" s="17"/>
      <c r="N286" s="17"/>
      <c r="O286" s="17"/>
      <c r="P286" s="17"/>
      <c r="Q286" s="17"/>
    </row>
    <row r="287" spans="1:17" ht="25.5" customHeight="1" x14ac:dyDescent="0.25">
      <c r="A287" s="17"/>
      <c r="B287" s="17"/>
      <c r="C287" s="17"/>
      <c r="D287" s="17"/>
      <c r="E287" s="17"/>
      <c r="F287" s="17"/>
      <c r="G287" s="17"/>
      <c r="H287" s="17"/>
      <c r="I287" s="17"/>
      <c r="J287" s="17"/>
      <c r="K287" s="17"/>
      <c r="L287" s="17"/>
      <c r="M287" s="17"/>
      <c r="N287" s="17"/>
      <c r="O287" s="17"/>
      <c r="P287" s="17"/>
      <c r="Q287" s="17"/>
    </row>
    <row r="288" spans="1:17" ht="25.5" customHeight="1" x14ac:dyDescent="0.25">
      <c r="A288" s="17"/>
      <c r="B288" s="17"/>
      <c r="C288" s="17"/>
      <c r="D288" s="17"/>
      <c r="E288" s="17"/>
      <c r="F288" s="17"/>
      <c r="G288" s="17"/>
      <c r="H288" s="17"/>
      <c r="I288" s="17"/>
      <c r="J288" s="17"/>
      <c r="K288" s="17"/>
      <c r="L288" s="17"/>
      <c r="M288" s="17"/>
      <c r="N288" s="17"/>
      <c r="O288" s="17"/>
      <c r="P288" s="17"/>
      <c r="Q288" s="17"/>
    </row>
    <row r="289" spans="1:17" ht="25.5" customHeight="1" x14ac:dyDescent="0.25">
      <c r="A289" s="17"/>
      <c r="B289" s="17"/>
      <c r="C289" s="17"/>
      <c r="D289" s="17"/>
      <c r="E289" s="17"/>
      <c r="F289" s="17"/>
      <c r="G289" s="17"/>
      <c r="H289" s="17"/>
      <c r="I289" s="17"/>
      <c r="J289" s="17"/>
      <c r="K289" s="17"/>
      <c r="L289" s="17"/>
      <c r="M289" s="17"/>
      <c r="N289" s="17"/>
      <c r="O289" s="17"/>
      <c r="P289" s="17"/>
      <c r="Q289" s="17"/>
    </row>
    <row r="290" spans="1:17" ht="25.5" customHeight="1" x14ac:dyDescent="0.25">
      <c r="A290" s="17"/>
      <c r="B290" s="17"/>
      <c r="C290" s="17"/>
      <c r="D290" s="17"/>
      <c r="E290" s="17"/>
      <c r="F290" s="17"/>
      <c r="G290" s="17"/>
      <c r="H290" s="17"/>
      <c r="I290" s="17"/>
      <c r="J290" s="17"/>
      <c r="K290" s="17"/>
      <c r="L290" s="17"/>
      <c r="M290" s="17"/>
      <c r="N290" s="17"/>
      <c r="O290" s="17"/>
      <c r="P290" s="17"/>
      <c r="Q290" s="17"/>
    </row>
    <row r="291" spans="1:17" ht="25.5" customHeight="1" x14ac:dyDescent="0.25">
      <c r="A291" s="17"/>
      <c r="B291" s="17"/>
      <c r="C291" s="17"/>
      <c r="D291" s="17"/>
      <c r="E291" s="17"/>
      <c r="F291" s="17"/>
      <c r="G291" s="17"/>
      <c r="H291" s="17"/>
      <c r="I291" s="17"/>
      <c r="J291" s="17"/>
      <c r="K291" s="17"/>
      <c r="L291" s="17"/>
      <c r="M291" s="17"/>
      <c r="N291" s="17"/>
      <c r="O291" s="17"/>
      <c r="P291" s="17"/>
      <c r="Q291" s="17"/>
    </row>
    <row r="292" spans="1:17" ht="25.5" customHeight="1" x14ac:dyDescent="0.25">
      <c r="A292" s="17"/>
      <c r="B292" s="17"/>
      <c r="C292" s="17"/>
      <c r="D292" s="17"/>
      <c r="E292" s="17"/>
      <c r="F292" s="17"/>
      <c r="G292" s="17"/>
      <c r="H292" s="17"/>
      <c r="I292" s="17"/>
      <c r="J292" s="17"/>
      <c r="K292" s="17"/>
      <c r="L292" s="17"/>
      <c r="M292" s="17"/>
      <c r="N292" s="17"/>
      <c r="O292" s="17"/>
      <c r="P292" s="17"/>
      <c r="Q292" s="17"/>
    </row>
    <row r="293" spans="1:17" ht="25.5" customHeight="1" x14ac:dyDescent="0.25">
      <c r="A293" s="17"/>
      <c r="B293" s="17"/>
      <c r="C293" s="17"/>
      <c r="D293" s="17"/>
      <c r="E293" s="17"/>
      <c r="F293" s="17"/>
      <c r="G293" s="17"/>
      <c r="H293" s="17"/>
      <c r="I293" s="17"/>
      <c r="J293" s="17"/>
      <c r="K293" s="17"/>
      <c r="L293" s="17"/>
      <c r="M293" s="17"/>
      <c r="N293" s="17"/>
      <c r="O293" s="17"/>
      <c r="P293" s="17"/>
      <c r="Q293" s="17"/>
    </row>
    <row r="294" spans="1:17" ht="25.5" customHeight="1" x14ac:dyDescent="0.25">
      <c r="A294" s="17"/>
      <c r="B294" s="17"/>
      <c r="C294" s="17"/>
      <c r="D294" s="17"/>
      <c r="E294" s="17"/>
      <c r="F294" s="17"/>
      <c r="G294" s="17"/>
      <c r="H294" s="17"/>
      <c r="I294" s="17"/>
      <c r="J294" s="17"/>
      <c r="K294" s="17"/>
      <c r="L294" s="17"/>
      <c r="M294" s="17"/>
      <c r="N294" s="17"/>
      <c r="O294" s="17"/>
      <c r="P294" s="17"/>
      <c r="Q294" s="17"/>
    </row>
    <row r="295" spans="1:17" ht="25.5" customHeight="1" x14ac:dyDescent="0.25">
      <c r="A295" s="17"/>
      <c r="B295" s="17"/>
      <c r="C295" s="17"/>
      <c r="D295" s="17"/>
      <c r="E295" s="17"/>
      <c r="F295" s="17"/>
      <c r="G295" s="17"/>
      <c r="H295" s="17"/>
      <c r="I295" s="17"/>
      <c r="J295" s="17"/>
      <c r="K295" s="17"/>
      <c r="L295" s="17"/>
      <c r="M295" s="17"/>
      <c r="N295" s="17"/>
      <c r="O295" s="17"/>
      <c r="P295" s="17"/>
      <c r="Q295" s="17"/>
    </row>
    <row r="296" spans="1:17" ht="25.5" customHeight="1" x14ac:dyDescent="0.25">
      <c r="A296" s="17"/>
      <c r="B296" s="17"/>
      <c r="C296" s="17"/>
      <c r="D296" s="17"/>
      <c r="E296" s="17"/>
      <c r="F296" s="17"/>
      <c r="G296" s="17"/>
      <c r="H296" s="17"/>
      <c r="I296" s="17"/>
      <c r="J296" s="17"/>
      <c r="K296" s="17"/>
      <c r="L296" s="17"/>
      <c r="M296" s="17"/>
      <c r="N296" s="17"/>
      <c r="O296" s="17"/>
      <c r="P296" s="17"/>
      <c r="Q296" s="17"/>
    </row>
    <row r="297" spans="1:17" ht="25.5" customHeight="1" x14ac:dyDescent="0.25">
      <c r="A297" s="17"/>
      <c r="B297" s="17"/>
      <c r="C297" s="17"/>
      <c r="D297" s="17"/>
      <c r="E297" s="17"/>
      <c r="F297" s="17"/>
      <c r="G297" s="17"/>
      <c r="H297" s="17"/>
      <c r="I297" s="17"/>
      <c r="J297" s="17"/>
      <c r="K297" s="17"/>
      <c r="L297" s="17"/>
      <c r="M297" s="17"/>
      <c r="N297" s="17"/>
      <c r="O297" s="17"/>
      <c r="P297" s="17"/>
      <c r="Q297" s="17"/>
    </row>
    <row r="298" spans="1:17" ht="25.5" customHeight="1" x14ac:dyDescent="0.25">
      <c r="A298" s="17"/>
      <c r="B298" s="17"/>
      <c r="C298" s="17"/>
      <c r="D298" s="17"/>
      <c r="E298" s="17"/>
      <c r="F298" s="17"/>
      <c r="G298" s="17"/>
      <c r="H298" s="17"/>
      <c r="I298" s="17"/>
      <c r="J298" s="17"/>
      <c r="K298" s="17"/>
      <c r="L298" s="17"/>
      <c r="M298" s="17"/>
      <c r="N298" s="17"/>
      <c r="O298" s="17"/>
      <c r="P298" s="17"/>
      <c r="Q298" s="17"/>
    </row>
    <row r="299" spans="1:17" ht="25.5" customHeight="1" x14ac:dyDescent="0.25">
      <c r="A299" s="17"/>
      <c r="B299" s="17"/>
      <c r="C299" s="17"/>
      <c r="D299" s="17"/>
      <c r="E299" s="17"/>
      <c r="F299" s="17"/>
      <c r="G299" s="17"/>
      <c r="H299" s="17"/>
      <c r="I299" s="17"/>
      <c r="J299" s="17"/>
      <c r="K299" s="17"/>
      <c r="L299" s="17"/>
      <c r="M299" s="17"/>
      <c r="N299" s="17"/>
      <c r="O299" s="17"/>
      <c r="P299" s="17"/>
      <c r="Q299" s="17"/>
    </row>
    <row r="300" spans="1:17" ht="25.5" customHeight="1" x14ac:dyDescent="0.25">
      <c r="A300" s="17"/>
      <c r="B300" s="17"/>
      <c r="C300" s="17"/>
      <c r="D300" s="17"/>
      <c r="E300" s="17"/>
      <c r="F300" s="17"/>
      <c r="G300" s="17"/>
      <c r="H300" s="17"/>
      <c r="I300" s="17"/>
      <c r="J300" s="17"/>
      <c r="K300" s="17"/>
      <c r="L300" s="17"/>
      <c r="M300" s="17"/>
      <c r="N300" s="17"/>
      <c r="O300" s="17"/>
      <c r="P300" s="17"/>
      <c r="Q300" s="17"/>
    </row>
    <row r="301" spans="1:17" ht="15" customHeight="1" x14ac:dyDescent="0.25"/>
    <row r="302" spans="1:17" ht="15" customHeight="1" x14ac:dyDescent="0.25"/>
    <row r="303" spans="1:17" ht="15" customHeight="1" x14ac:dyDescent="0.25"/>
    <row r="304" spans="1:17"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sheetData>
  <phoneticPr fontId="7" type="noConversion"/>
  <conditionalFormatting sqref="A3:A34 A36:A71 A150:A2801 A74:A118">
    <cfRule type="expression" dxfId="20" priority="31">
      <formula>AND(COUNTIF(RevitMarks,A3)=0,A3&lt;&gt;"")</formula>
    </cfRule>
  </conditionalFormatting>
  <conditionalFormatting sqref="A119">
    <cfRule type="expression" dxfId="19" priority="20">
      <formula>AND(COUNTIF(RevitMarks,A119)=0,A119&lt;&gt;"")</formula>
    </cfRule>
  </conditionalFormatting>
  <conditionalFormatting sqref="A145">
    <cfRule type="expression" dxfId="18" priority="16">
      <formula>AND(COUNTIF(RevitMarks,A145)=0,A145&lt;&gt;"")</formula>
    </cfRule>
  </conditionalFormatting>
  <conditionalFormatting sqref="A146:A149">
    <cfRule type="expression" dxfId="17" priority="13">
      <formula>AND(COUNTIF(RevitMarks,A146)=0,A146&lt;&gt;"")</formula>
    </cfRule>
  </conditionalFormatting>
  <conditionalFormatting sqref="A120">
    <cfRule type="expression" dxfId="16" priority="10">
      <formula>AND(COUNTIF(RevitMarks,A120)=0,A120&lt;&gt;"")</formula>
    </cfRule>
  </conditionalFormatting>
  <conditionalFormatting sqref="A35">
    <cfRule type="expression" dxfId="15" priority="12">
      <formula>AND(COUNTIF(RevitMarks,A35)=0,A35&lt;&gt;"")</formula>
    </cfRule>
  </conditionalFormatting>
  <conditionalFormatting sqref="A141:A142">
    <cfRule type="expression" dxfId="14" priority="7">
      <formula>AND(COUNTIF(RevitMarks,A141)=0,A141&lt;&gt;"")</formula>
    </cfRule>
  </conditionalFormatting>
  <conditionalFormatting sqref="A121:A122">
    <cfRule type="expression" dxfId="13" priority="9">
      <formula>AND(COUNTIF(RevitMarks,A121)=0,A121&lt;&gt;"")</formula>
    </cfRule>
  </conditionalFormatting>
  <conditionalFormatting sqref="A143:A144">
    <cfRule type="expression" dxfId="12" priority="6">
      <formula>AND(COUNTIF(RevitMarks,A143)=0,A143&lt;&gt;"")</formula>
    </cfRule>
  </conditionalFormatting>
  <conditionalFormatting sqref="A129:A140">
    <cfRule type="expression" dxfId="11" priority="5">
      <formula>AND(COUNTIF(RevitMarks,A129)=0,A129&lt;&gt;"")</formula>
    </cfRule>
  </conditionalFormatting>
  <conditionalFormatting sqref="A123:A125">
    <cfRule type="expression" dxfId="10" priority="4">
      <formula>AND(COUNTIF(RevitMarks,A123)=0,A123&lt;&gt;"")</formula>
    </cfRule>
  </conditionalFormatting>
  <conditionalFormatting sqref="A126:A128">
    <cfRule type="expression" dxfId="9" priority="3">
      <formula>AND(COUNTIF(RevitMarks,A126)=0,A126&lt;&gt;"")</formula>
    </cfRule>
  </conditionalFormatting>
  <conditionalFormatting sqref="A72">
    <cfRule type="expression" dxfId="8" priority="2">
      <formula>AND(COUNTIF(RevitMarks,A72)=0,A72&lt;&gt;"")</formula>
    </cfRule>
  </conditionalFormatting>
  <conditionalFormatting sqref="A73">
    <cfRule type="expression" dxfId="7" priority="1">
      <formula>AND(COUNTIF(RevitMarks,A73)=0,A73&lt;&gt;"")</formula>
    </cfRule>
  </conditionalFormatting>
  <dataValidations disablePrompts="1" count="1">
    <dataValidation type="list" allowBlank="1" showInputMessage="1" showErrorMessage="1" sqref="I3 I36 I118 I145 I152:I1048576" xr:uid="{00000000-0002-0000-0000-000000000000}">
      <formula1>"Yes,No"</formula1>
    </dataValidation>
  </dataValidations>
  <hyperlinks>
    <hyperlink ref="K72" r:id="rId1" xr:uid="{0A0CA31C-6318-4C00-B1D6-B8465F7CF912}"/>
    <hyperlink ref="L72" r:id="rId2" xr:uid="{EAD2C6FA-BB75-402B-B84D-EC16D5A6BBE2}"/>
    <hyperlink ref="K73" r:id="rId3" xr:uid="{7DBE3E18-5B77-45C2-8E96-D7A27A22EC46}"/>
    <hyperlink ref="L73" r:id="rId4" xr:uid="{00B91DD0-9F49-4CA1-BA61-E3BC9F56E962}"/>
    <hyperlink ref="K83" r:id="rId5" xr:uid="{B3C31683-C4B2-4233-8D1D-EFFE99C668B3}"/>
    <hyperlink ref="L83" r:id="rId6" xr:uid="{1C71EAE7-DE1C-49C0-B0D5-961CA3872A57}"/>
    <hyperlink ref="K84" r:id="rId7" xr:uid="{245BCABD-8271-441E-A950-951DDE0E9155}"/>
    <hyperlink ref="L84" r:id="rId8" xr:uid="{B00C2B19-D413-4983-80AC-ED9B487F0886}"/>
    <hyperlink ref="K41" r:id="rId9" xr:uid="{DDD006CD-69FA-4E9E-9389-051912D0B3FB}"/>
    <hyperlink ref="L41" r:id="rId10" xr:uid="{E11C0E2D-DEB0-4ACC-ACD0-8E7944EBA5B6}"/>
    <hyperlink ref="K43" r:id="rId11" xr:uid="{3100E47C-3A13-4312-B511-00D33129ACF3}"/>
    <hyperlink ref="L43" r:id="rId12" xr:uid="{712C397E-A38D-4062-8569-55EA674BD4E1}"/>
    <hyperlink ref="K42" r:id="rId13" xr:uid="{D4EB4E1F-960C-4B40-83EA-9B6E08DA7A24}"/>
    <hyperlink ref="L42" r:id="rId14" xr:uid="{DD16EF1D-44F6-4D16-82BD-5B19B4A1F5D7}"/>
    <hyperlink ref="K44" r:id="rId15" xr:uid="{AB8353D0-FD2F-4706-9025-41F71A25063F}"/>
    <hyperlink ref="L44" r:id="rId16" xr:uid="{735AA390-1AF2-450C-83B7-B721A04C0A03}"/>
    <hyperlink ref="K94" r:id="rId17" xr:uid="{538EF5E5-D4A9-4AFD-A303-23C2E0653BA4}"/>
    <hyperlink ref="L94" r:id="rId18" xr:uid="{AADA8AAE-B612-4E51-93AB-1D3118A4CADF}"/>
    <hyperlink ref="K95" r:id="rId19" xr:uid="{0C8BD0DE-9B3B-40B4-812A-E2614FC44AFD}"/>
    <hyperlink ref="L95" r:id="rId20" xr:uid="{5110C57D-42F4-4F27-8D38-BB1CF6CDA00B}"/>
    <hyperlink ref="K63" r:id="rId21" xr:uid="{0702F623-276E-4F5E-822A-B420B46013E4}"/>
    <hyperlink ref="L63" r:id="rId22" xr:uid="{C5F1F3FC-B6E0-469F-B5F5-AA62A3C3FAB9}"/>
    <hyperlink ref="K66" r:id="rId23" xr:uid="{F30B571D-9068-41E3-852F-1CC249F91982}"/>
    <hyperlink ref="L66" r:id="rId24" xr:uid="{1785897E-FD23-4238-8256-38C30C4BED43}"/>
    <hyperlink ref="K82" r:id="rId25" xr:uid="{F96C693E-8BDE-404F-98E4-E6563629F179}"/>
    <hyperlink ref="K85" r:id="rId26" xr:uid="{64219819-F5B1-4D19-9E92-74C654607BD9}"/>
    <hyperlink ref="K59" r:id="rId27" xr:uid="{81D70339-3C5C-4D27-94F7-90C21AC33218}"/>
    <hyperlink ref="L59" r:id="rId28" xr:uid="{63521019-8C8F-4C8B-AA7A-62023FC84195}"/>
    <hyperlink ref="K60" r:id="rId29" xr:uid="{0ECC454E-CBEF-409E-B303-3A8A75E5DADC}"/>
    <hyperlink ref="L60" r:id="rId30" xr:uid="{1751FB1D-C708-4361-B76A-6781ED2A1454}"/>
    <hyperlink ref="K37" r:id="rId31" xr:uid="{E8AA3116-857F-4E45-88FF-F6E546F72E74}"/>
    <hyperlink ref="L37" r:id="rId32" xr:uid="{09F32FED-71BA-488B-85CF-2DFF2D0FD21B}"/>
    <hyperlink ref="K38" r:id="rId33" xr:uid="{F506E5B5-3FF1-484D-BA1D-429EF62DAEF5}"/>
    <hyperlink ref="L38" r:id="rId34" xr:uid="{8575F86B-D8EA-47E4-AAE7-C9B643518D1A}"/>
    <hyperlink ref="K55" r:id="rId35" xr:uid="{377E0F3C-29A0-495D-AF1F-05B8EF98C9C7}"/>
    <hyperlink ref="L55" r:id="rId36" xr:uid="{47AF6B50-EEBF-4B60-9263-C2F7F5F73A00}"/>
    <hyperlink ref="K56" r:id="rId37" xr:uid="{3301C880-B8A2-42B7-BD26-23DE22BD5BC6}"/>
    <hyperlink ref="L56" r:id="rId38" xr:uid="{7FC434E4-119B-4E79-AAB5-666F67436725}"/>
    <hyperlink ref="K24" r:id="rId39" xr:uid="{AE05565A-2857-4D54-8191-9B26A3FF4AF0}"/>
    <hyperlink ref="L24" r:id="rId40" xr:uid="{93325A8C-15A4-46CC-A8CC-1603DCC9175C}"/>
    <hyperlink ref="K25" r:id="rId41" xr:uid="{9BDDB7F6-6EB9-422D-92E7-B26859B27EBF}"/>
    <hyperlink ref="L25" r:id="rId42" xr:uid="{6D726026-DAF5-4EC1-9C9D-6224930E7A92}"/>
    <hyperlink ref="K26" r:id="rId43" xr:uid="{070BFAAC-1DF5-40A3-8E3B-15F61E1EF7EE}"/>
    <hyperlink ref="L26" r:id="rId44" xr:uid="{BF71F304-D539-4615-B6C2-DE2FEBA0AAD0}"/>
    <hyperlink ref="K29" r:id="rId45" xr:uid="{7DF64BA9-D1CA-4AC8-AABB-5669447B48AC}"/>
    <hyperlink ref="L29" r:id="rId46" xr:uid="{55E01966-512B-4731-BD59-97EB964C4CF4}"/>
    <hyperlink ref="K21" r:id="rId47" xr:uid="{CF36BDFC-75EA-439C-877E-F4262AE2C815}"/>
    <hyperlink ref="L21" r:id="rId48" xr:uid="{3C3596FD-2A55-4C14-B66D-26E0578444D9}"/>
    <hyperlink ref="K119" r:id="rId49" xr:uid="{F40F4F05-3635-43C0-BB58-ED36A702F871}"/>
    <hyperlink ref="L119" r:id="rId50" xr:uid="{31FC9E3E-FF50-444E-861C-5BFE9275AB4B}"/>
    <hyperlink ref="K120" r:id="rId51" xr:uid="{369391A3-3E3A-4328-9940-CA6BF078A5B5}"/>
    <hyperlink ref="L120" r:id="rId52" xr:uid="{994906F6-B61C-495B-8414-C05EEAECFE00}"/>
  </hyperlinks>
  <pageMargins left="0.25" right="0.15" top="1" bottom="1" header="0.5" footer="0.5"/>
  <pageSetup paperSize="3" scale="64" fitToHeight="0" orientation="landscape" r:id="rId53"/>
  <headerFooter alignWithMargins="0"/>
  <legacyDrawing r:id="rId5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E3003"/>
  <sheetViews>
    <sheetView zoomScale="55" zoomScaleNormal="55" workbookViewId="0"/>
  </sheetViews>
  <sheetFormatPr defaultColWidth="9.109375" defaultRowHeight="20.100000000000001" customHeight="1" x14ac:dyDescent="0.25"/>
  <cols>
    <col min="1" max="1" width="14.5546875" style="18" customWidth="1"/>
    <col min="2" max="2" width="20.33203125" style="18" customWidth="1"/>
    <col min="3" max="3" width="20.109375" style="18" customWidth="1"/>
    <col min="4" max="4" width="26.6640625" style="18" customWidth="1"/>
    <col min="5" max="5" width="26.109375" style="18" customWidth="1"/>
    <col min="6" max="6" width="25.5546875" style="18" customWidth="1"/>
    <col min="7" max="7" width="8.33203125" style="18" customWidth="1"/>
    <col min="8" max="8" width="23" style="18" bestFit="1" customWidth="1"/>
    <col min="9" max="9" width="10.33203125" style="18" customWidth="1"/>
    <col min="10" max="10" width="14.109375" style="18" customWidth="1"/>
    <col min="11" max="11" width="24.33203125" style="18" customWidth="1"/>
    <col min="12" max="12" width="29" style="18" customWidth="1"/>
    <col min="13" max="13" width="28.88671875" style="18" customWidth="1"/>
    <col min="14" max="14" width="20.6640625" style="18" customWidth="1"/>
    <col min="15" max="15" width="18" style="18" customWidth="1"/>
    <col min="16" max="16384" width="9.109375" style="2"/>
  </cols>
  <sheetData>
    <row r="1" spans="1:31" ht="55.5" customHeight="1" x14ac:dyDescent="0.25">
      <c r="A1" s="14" t="s">
        <v>3</v>
      </c>
      <c r="B1" s="15" t="s">
        <v>4</v>
      </c>
      <c r="C1" s="15" t="s">
        <v>20</v>
      </c>
      <c r="D1" s="15" t="s">
        <v>21</v>
      </c>
      <c r="E1" s="15" t="s">
        <v>5</v>
      </c>
      <c r="F1" s="15" t="s">
        <v>6</v>
      </c>
      <c r="G1" s="15" t="s">
        <v>22</v>
      </c>
      <c r="H1" s="15" t="s">
        <v>23</v>
      </c>
      <c r="I1" s="15" t="s">
        <v>0</v>
      </c>
      <c r="J1" s="15" t="s">
        <v>1</v>
      </c>
      <c r="K1" s="15" t="s">
        <v>24</v>
      </c>
      <c r="L1" s="15" t="s">
        <v>2</v>
      </c>
      <c r="M1" s="16" t="s">
        <v>29</v>
      </c>
      <c r="N1" s="15" t="s">
        <v>27</v>
      </c>
      <c r="O1" s="15" t="s">
        <v>28</v>
      </c>
      <c r="Q1" s="8" t="s">
        <v>3</v>
      </c>
      <c r="R1" s="9" t="s">
        <v>4</v>
      </c>
      <c r="S1" s="10" t="s">
        <v>20</v>
      </c>
      <c r="T1" s="11" t="s">
        <v>21</v>
      </c>
      <c r="U1" s="11" t="s">
        <v>5</v>
      </c>
      <c r="V1" s="11" t="s">
        <v>6</v>
      </c>
      <c r="W1" s="11" t="s">
        <v>22</v>
      </c>
      <c r="X1" s="11" t="s">
        <v>23</v>
      </c>
      <c r="Y1" s="11" t="s">
        <v>0</v>
      </c>
      <c r="Z1" s="11" t="s">
        <v>1</v>
      </c>
      <c r="AA1" s="11" t="s">
        <v>24</v>
      </c>
      <c r="AB1" s="11" t="s">
        <v>2</v>
      </c>
      <c r="AC1" s="12" t="s">
        <v>29</v>
      </c>
      <c r="AD1" s="11" t="s">
        <v>27</v>
      </c>
      <c r="AE1" s="11" t="s">
        <v>28</v>
      </c>
    </row>
    <row r="2" spans="1:31" ht="52.8" hidden="1" x14ac:dyDescent="0.25">
      <c r="A2" s="17"/>
      <c r="B2" s="16" t="s">
        <v>16</v>
      </c>
      <c r="C2" s="16" t="s">
        <v>17</v>
      </c>
      <c r="D2" s="16" t="s">
        <v>10</v>
      </c>
      <c r="E2" s="16" t="s">
        <v>9</v>
      </c>
      <c r="F2" s="16" t="s">
        <v>7</v>
      </c>
      <c r="G2" s="16" t="s">
        <v>8</v>
      </c>
      <c r="H2" s="16" t="s">
        <v>11</v>
      </c>
      <c r="I2" s="16" t="s">
        <v>12</v>
      </c>
      <c r="J2" s="16" t="s">
        <v>13</v>
      </c>
      <c r="K2" s="16" t="s">
        <v>14</v>
      </c>
      <c r="L2" s="16" t="s">
        <v>15</v>
      </c>
      <c r="M2" s="16" t="s">
        <v>30</v>
      </c>
      <c r="N2" s="16" t="s">
        <v>18</v>
      </c>
      <c r="O2" s="16" t="s">
        <v>26</v>
      </c>
      <c r="Q2" s="13">
        <v>1</v>
      </c>
      <c r="R2" s="13">
        <v>2</v>
      </c>
      <c r="S2" s="13">
        <v>3</v>
      </c>
      <c r="T2" s="13">
        <v>4</v>
      </c>
      <c r="U2" s="13">
        <v>5</v>
      </c>
      <c r="V2" s="13">
        <v>6</v>
      </c>
      <c r="W2" s="13">
        <v>7</v>
      </c>
      <c r="X2" s="13">
        <v>8</v>
      </c>
      <c r="Y2" s="13">
        <v>10</v>
      </c>
      <c r="Z2" s="13">
        <v>11</v>
      </c>
      <c r="AA2" s="13">
        <v>12</v>
      </c>
      <c r="AB2" s="13">
        <v>13</v>
      </c>
      <c r="AC2" s="13">
        <v>15</v>
      </c>
      <c r="AD2" s="13">
        <v>16</v>
      </c>
      <c r="AE2" s="13">
        <v>17</v>
      </c>
    </row>
    <row r="3" spans="1:31" s="1" customFormat="1" ht="25.5" customHeight="1" x14ac:dyDescent="0.25">
      <c r="A3" s="3" t="s">
        <v>173</v>
      </c>
      <c r="B3" s="4">
        <v>24</v>
      </c>
      <c r="C3" s="4">
        <v>30</v>
      </c>
      <c r="D3" s="5" t="s">
        <v>174</v>
      </c>
      <c r="E3" s="5"/>
      <c r="F3" s="4"/>
      <c r="G3" s="5" t="s">
        <v>174</v>
      </c>
      <c r="H3" s="4"/>
      <c r="I3" s="4" t="s">
        <v>31</v>
      </c>
      <c r="J3" s="4" t="s">
        <v>32</v>
      </c>
      <c r="K3" s="5" t="s">
        <v>34</v>
      </c>
      <c r="L3" s="5" t="s">
        <v>25</v>
      </c>
      <c r="M3" s="4"/>
      <c r="N3" s="16" t="s">
        <v>19</v>
      </c>
      <c r="O3" s="4" t="s">
        <v>33</v>
      </c>
      <c r="Q3" s="7" t="str">
        <f>A3</f>
        <v>B1</v>
      </c>
      <c r="R3" s="7" t="e">
        <f>IF(VLOOKUP($A3,'Concrete Beam Schedule'!$A$2:$Q$2902,R$2,0)&lt;&gt;B3,VLOOKUP($A3,'Concrete Beam Schedule'!$A$2:$Q$2902,R$2,0),"")</f>
        <v>#N/A</v>
      </c>
      <c r="S3" s="7" t="e">
        <f>IF(VLOOKUP($A3,'Concrete Beam Schedule'!$A$2:$Q$2902,S$2,0)&lt;&gt;C3,VLOOKUP($A3,'Concrete Beam Schedule'!$A$2:$Q$2902,S$2,0),"")</f>
        <v>#N/A</v>
      </c>
      <c r="T3" s="7" t="e">
        <f>IF(VLOOKUP($A3,'Concrete Beam Schedule'!$A$2:$Q$2902,T$2,0)&lt;&gt;D3,"Beam Revised","")</f>
        <v>#N/A</v>
      </c>
      <c r="U3" s="7" t="e">
        <f>IF(VLOOKUP($A3,'Concrete Beam Schedule'!$A$2:$Q$2902,U$2,0)&lt;&gt;E3,"Beam Revised","")</f>
        <v>#N/A</v>
      </c>
      <c r="V3" s="7" t="e">
        <f>IF(VLOOKUP($A3,'Concrete Beam Schedule'!$A$2:$Q$2902,V$2,0)&lt;&gt;F3,"Beam Revised","")</f>
        <v>#N/A</v>
      </c>
      <c r="W3" s="7" t="e">
        <f>IF(VLOOKUP($A3,'Concrete Beam Schedule'!$A$2:$Q$2902,W$2,0)&lt;&gt;G3,"Beam Revised","")</f>
        <v>#N/A</v>
      </c>
      <c r="X3" s="7" t="e">
        <f>IF(VLOOKUP($A3,'Concrete Beam Schedule'!$A$2:$Q$2902,X$2,0)&lt;&gt;H3,"Beam Revised","")</f>
        <v>#N/A</v>
      </c>
      <c r="Y3" s="7" t="e">
        <f>IF(VLOOKUP($A3,'Concrete Beam Schedule'!$A$2:$Q$2902,Y$2,0)&lt;&gt;I3,"Beam Revised","")</f>
        <v>#N/A</v>
      </c>
      <c r="Z3" s="7" t="e">
        <f>IF(VLOOKUP($A3,'Concrete Beam Schedule'!$A$2:$Q$2902,Z$2,0)&lt;&gt;J3,"Beam Revised","")</f>
        <v>#N/A</v>
      </c>
      <c r="AA3" s="7" t="e">
        <f>IF(VLOOKUP($A3,'Concrete Beam Schedule'!$A$2:$Q$2902,AA$2,0)&lt;&gt;K3,"Beam Revised","")</f>
        <v>#N/A</v>
      </c>
      <c r="AB3" s="7" t="e">
        <f>IF(VLOOKUP($A3,'Concrete Beam Schedule'!$A$2:$Q$2902,AB$2,0)&lt;&gt;L3,"Beam Revised","")</f>
        <v>#N/A</v>
      </c>
      <c r="AC3" s="7" t="e">
        <f>IF(VLOOKUP($A3,'Concrete Beam Schedule'!$A$2:$Q$2902,AC$2,0)&lt;&gt;M3,"Beam Revised","")</f>
        <v>#N/A</v>
      </c>
      <c r="AD3" s="7" t="e">
        <f>IF(VLOOKUP($A3,'Concrete Beam Schedule'!$A$2:$Q$2902,AD$2,0)&lt;&gt;N3,"Beam Revised","")</f>
        <v>#N/A</v>
      </c>
      <c r="AE3" s="7" t="e">
        <f>IF(VLOOKUP($A3,'Concrete Beam Schedule'!$A$2:$Q$2902,AE$2,0)&lt;&gt;O3,"Beam Revised","")</f>
        <v>#N/A</v>
      </c>
    </row>
    <row r="4" spans="1:31" ht="25.5" customHeight="1" x14ac:dyDescent="0.25">
      <c r="A4" s="3"/>
      <c r="B4" s="4"/>
      <c r="C4" s="4"/>
      <c r="D4" s="5"/>
      <c r="E4" s="5"/>
      <c r="F4" s="4"/>
      <c r="G4" s="5"/>
      <c r="H4" s="6"/>
      <c r="I4" s="4"/>
      <c r="J4" s="4"/>
      <c r="K4" s="5"/>
      <c r="L4" s="5"/>
      <c r="M4" s="16"/>
      <c r="N4" s="16"/>
      <c r="O4" s="4"/>
      <c r="Q4" s="7">
        <f t="shared" ref="Q4:Q67" si="0">A4</f>
        <v>0</v>
      </c>
      <c r="R4" s="7" t="e">
        <f>IF(VLOOKUP($A4,'Concrete Beam Schedule'!$A$2:$Q$2902,R$2,0)&lt;&gt;B4,VLOOKUP($A4,'Concrete Beam Schedule'!$A$2:$Q$2902,R$2,0),"")</f>
        <v>#N/A</v>
      </c>
      <c r="S4" s="7" t="e">
        <f>IF(VLOOKUP($A4,'Concrete Beam Schedule'!$A$2:$Q$2902,S$2,0)&lt;&gt;C4,VLOOKUP($A4,'Concrete Beam Schedule'!$A$2:$Q$2902,S$2,0),"")</f>
        <v>#N/A</v>
      </c>
      <c r="T4" s="7" t="e">
        <f>IF(VLOOKUP($A4,'Concrete Beam Schedule'!$A$2:$Q$2902,T$2,0)&lt;&gt;D4,"Beam Revised","")</f>
        <v>#N/A</v>
      </c>
      <c r="U4" s="7" t="e">
        <f>IF(VLOOKUP($A4,'Concrete Beam Schedule'!$A$2:$Q$2902,U$2,0)&lt;&gt;E4,"Beam Revised","")</f>
        <v>#N/A</v>
      </c>
      <c r="V4" s="7" t="e">
        <f>IF(VLOOKUP($A4,'Concrete Beam Schedule'!$A$2:$Q$2902,V$2,0)&lt;&gt;F4,"Beam Revised","")</f>
        <v>#N/A</v>
      </c>
      <c r="W4" s="7" t="e">
        <f>IF(VLOOKUP($A4,'Concrete Beam Schedule'!$A$2:$Q$2902,W$2,0)&lt;&gt;G4,"Beam Revised","")</f>
        <v>#N/A</v>
      </c>
      <c r="X4" s="7" t="e">
        <f>IF(VLOOKUP($A4,'Concrete Beam Schedule'!$A$2:$Q$2902,X$2,0)&lt;&gt;H4,"Beam Revised","")</f>
        <v>#N/A</v>
      </c>
      <c r="Y4" s="7" t="e">
        <f>IF(VLOOKUP($A4,'Concrete Beam Schedule'!$A$2:$Q$2902,Y$2,0)&lt;&gt;I4,"Beam Revised","")</f>
        <v>#N/A</v>
      </c>
      <c r="Z4" s="7" t="e">
        <f>IF(VLOOKUP($A4,'Concrete Beam Schedule'!$A$2:$Q$2902,Z$2,0)&lt;&gt;J4,"Beam Revised","")</f>
        <v>#N/A</v>
      </c>
      <c r="AA4" s="7" t="e">
        <f>IF(VLOOKUP($A4,'Concrete Beam Schedule'!$A$2:$Q$2902,AA$2,0)&lt;&gt;K4,"Beam Revised","")</f>
        <v>#N/A</v>
      </c>
      <c r="AB4" s="7" t="e">
        <f>IF(VLOOKUP($A4,'Concrete Beam Schedule'!$A$2:$Q$2902,AB$2,0)&lt;&gt;L4,"Beam Revised","")</f>
        <v>#N/A</v>
      </c>
      <c r="AC4" s="7" t="e">
        <f>IF(VLOOKUP($A4,'Concrete Beam Schedule'!$A$2:$Q$2902,AC$2,0)&lt;&gt;M4,"Beam Revised","")</f>
        <v>#N/A</v>
      </c>
      <c r="AD4" s="7" t="e">
        <f>IF(VLOOKUP($A4,'Concrete Beam Schedule'!$A$2:$Q$2902,AD$2,0)&lt;&gt;N4,"Beam Revised","")</f>
        <v>#N/A</v>
      </c>
      <c r="AE4" s="7" t="e">
        <f>IF(VLOOKUP($A4,'Concrete Beam Schedule'!$A$2:$Q$2902,AE$2,0)&lt;&gt;O4,"Beam Revised","")</f>
        <v>#N/A</v>
      </c>
    </row>
    <row r="5" spans="1:31" ht="25.5" customHeight="1" x14ac:dyDescent="0.25">
      <c r="A5" s="3"/>
      <c r="B5" s="4"/>
      <c r="C5" s="4"/>
      <c r="D5" s="5"/>
      <c r="E5" s="5"/>
      <c r="F5" s="4"/>
      <c r="G5" s="5"/>
      <c r="H5" s="4"/>
      <c r="I5" s="4"/>
      <c r="J5" s="4"/>
      <c r="K5" s="5"/>
      <c r="L5" s="6"/>
      <c r="M5" s="17"/>
      <c r="N5" s="16"/>
      <c r="O5" s="4"/>
      <c r="Q5" s="7">
        <f t="shared" si="0"/>
        <v>0</v>
      </c>
      <c r="R5" s="7" t="e">
        <f>IF(VLOOKUP($A5,'Concrete Beam Schedule'!$A$2:$Q$2902,R$2,0)&lt;&gt;B5,VLOOKUP($A5,'Concrete Beam Schedule'!$A$2:$Q$2902,R$2,0),"")</f>
        <v>#N/A</v>
      </c>
      <c r="S5" s="7" t="e">
        <f>IF(VLOOKUP($A5,'Concrete Beam Schedule'!$A$2:$Q$2902,S$2,0)&lt;&gt;C5,VLOOKUP($A5,'Concrete Beam Schedule'!$A$2:$Q$2902,S$2,0),"")</f>
        <v>#N/A</v>
      </c>
      <c r="T5" s="7" t="e">
        <f>IF(VLOOKUP($A5,'Concrete Beam Schedule'!$A$2:$Q$2902,T$2,0)&lt;&gt;D5,"Beam Revised","")</f>
        <v>#N/A</v>
      </c>
      <c r="U5" s="7" t="e">
        <f>IF(VLOOKUP($A5,'Concrete Beam Schedule'!$A$2:$Q$2902,U$2,0)&lt;&gt;E5,"Beam Revised","")</f>
        <v>#N/A</v>
      </c>
      <c r="V5" s="7" t="e">
        <f>IF(VLOOKUP($A5,'Concrete Beam Schedule'!$A$2:$Q$2902,V$2,0)&lt;&gt;F5,"Beam Revised","")</f>
        <v>#N/A</v>
      </c>
      <c r="W5" s="7" t="e">
        <f>IF(VLOOKUP($A5,'Concrete Beam Schedule'!$A$2:$Q$2902,W$2,0)&lt;&gt;G5,"Beam Revised","")</f>
        <v>#N/A</v>
      </c>
      <c r="X5" s="7" t="e">
        <f>IF(VLOOKUP($A5,'Concrete Beam Schedule'!$A$2:$Q$2902,X$2,0)&lt;&gt;H5,"Beam Revised","")</f>
        <v>#N/A</v>
      </c>
      <c r="Y5" s="7" t="e">
        <f>IF(VLOOKUP($A5,'Concrete Beam Schedule'!$A$2:$Q$2902,Y$2,0)&lt;&gt;I5,"Beam Revised","")</f>
        <v>#N/A</v>
      </c>
      <c r="Z5" s="7" t="e">
        <f>IF(VLOOKUP($A5,'Concrete Beam Schedule'!$A$2:$Q$2902,Z$2,0)&lt;&gt;J5,"Beam Revised","")</f>
        <v>#N/A</v>
      </c>
      <c r="AA5" s="7" t="e">
        <f>IF(VLOOKUP($A5,'Concrete Beam Schedule'!$A$2:$Q$2902,AA$2,0)&lt;&gt;K5,"Beam Revised","")</f>
        <v>#N/A</v>
      </c>
      <c r="AB5" s="7" t="e">
        <f>IF(VLOOKUP($A5,'Concrete Beam Schedule'!$A$2:$Q$2902,AB$2,0)&lt;&gt;L5,"Beam Revised","")</f>
        <v>#N/A</v>
      </c>
      <c r="AC5" s="7" t="e">
        <f>IF(VLOOKUP($A5,'Concrete Beam Schedule'!$A$2:$Q$2902,AC$2,0)&lt;&gt;M5,"Beam Revised","")</f>
        <v>#N/A</v>
      </c>
      <c r="AD5" s="7" t="e">
        <f>IF(VLOOKUP($A5,'Concrete Beam Schedule'!$A$2:$Q$2902,AD$2,0)&lt;&gt;N5,"Beam Revised","")</f>
        <v>#N/A</v>
      </c>
      <c r="AE5" s="7" t="e">
        <f>IF(VLOOKUP($A5,'Concrete Beam Schedule'!$A$2:$Q$2902,AE$2,0)&lt;&gt;O5,"Beam Revised","")</f>
        <v>#N/A</v>
      </c>
    </row>
    <row r="6" spans="1:31" ht="25.5" customHeight="1" x14ac:dyDescent="0.25">
      <c r="A6" s="3"/>
      <c r="B6" s="4"/>
      <c r="C6" s="4"/>
      <c r="D6" s="6"/>
      <c r="E6" s="5"/>
      <c r="F6" s="4"/>
      <c r="G6" s="5"/>
      <c r="H6" s="6"/>
      <c r="I6" s="4"/>
      <c r="J6" s="4"/>
      <c r="K6" s="6"/>
      <c r="L6" s="5"/>
      <c r="M6" s="16"/>
      <c r="N6" s="16"/>
      <c r="O6" s="4"/>
      <c r="Q6" s="7">
        <f t="shared" si="0"/>
        <v>0</v>
      </c>
      <c r="R6" s="7" t="e">
        <f>IF(VLOOKUP($A6,'Concrete Beam Schedule'!$A$2:$Q$2902,R$2,0)&lt;&gt;B6,VLOOKUP($A6,'Concrete Beam Schedule'!$A$2:$Q$2902,R$2,0),"")</f>
        <v>#N/A</v>
      </c>
      <c r="S6" s="7" t="e">
        <f>IF(VLOOKUP($A6,'Concrete Beam Schedule'!$A$2:$Q$2902,S$2,0)&lt;&gt;C6,VLOOKUP($A6,'Concrete Beam Schedule'!$A$2:$Q$2902,S$2,0),"")</f>
        <v>#N/A</v>
      </c>
      <c r="T6" s="7" t="e">
        <f>IF(VLOOKUP($A6,'Concrete Beam Schedule'!$A$2:$Q$2902,T$2,0)&lt;&gt;D6,"Beam Revised","")</f>
        <v>#N/A</v>
      </c>
      <c r="U6" s="7" t="e">
        <f>IF(VLOOKUP($A6,'Concrete Beam Schedule'!$A$2:$Q$2902,U$2,0)&lt;&gt;E6,"Beam Revised","")</f>
        <v>#N/A</v>
      </c>
      <c r="V6" s="7" t="e">
        <f>IF(VLOOKUP($A6,'Concrete Beam Schedule'!$A$2:$Q$2902,V$2,0)&lt;&gt;F6,"Beam Revised","")</f>
        <v>#N/A</v>
      </c>
      <c r="W6" s="7" t="e">
        <f>IF(VLOOKUP($A6,'Concrete Beam Schedule'!$A$2:$Q$2902,W$2,0)&lt;&gt;G6,"Beam Revised","")</f>
        <v>#N/A</v>
      </c>
      <c r="X6" s="7" t="e">
        <f>IF(VLOOKUP($A6,'Concrete Beam Schedule'!$A$2:$Q$2902,X$2,0)&lt;&gt;H6,"Beam Revised","")</f>
        <v>#N/A</v>
      </c>
      <c r="Y6" s="7" t="e">
        <f>IF(VLOOKUP($A6,'Concrete Beam Schedule'!$A$2:$Q$2902,Y$2,0)&lt;&gt;I6,"Beam Revised","")</f>
        <v>#N/A</v>
      </c>
      <c r="Z6" s="7" t="e">
        <f>IF(VLOOKUP($A6,'Concrete Beam Schedule'!$A$2:$Q$2902,Z$2,0)&lt;&gt;J6,"Beam Revised","")</f>
        <v>#N/A</v>
      </c>
      <c r="AA6" s="7" t="e">
        <f>IF(VLOOKUP($A6,'Concrete Beam Schedule'!$A$2:$Q$2902,AA$2,0)&lt;&gt;K6,"Beam Revised","")</f>
        <v>#N/A</v>
      </c>
      <c r="AB6" s="7" t="e">
        <f>IF(VLOOKUP($A6,'Concrete Beam Schedule'!$A$2:$Q$2902,AB$2,0)&lt;&gt;L6,"Beam Revised","")</f>
        <v>#N/A</v>
      </c>
      <c r="AC6" s="7" t="e">
        <f>IF(VLOOKUP($A6,'Concrete Beam Schedule'!$A$2:$Q$2902,AC$2,0)&lt;&gt;M6,"Beam Revised","")</f>
        <v>#N/A</v>
      </c>
      <c r="AD6" s="7" t="e">
        <f>IF(VLOOKUP($A6,'Concrete Beam Schedule'!$A$2:$Q$2902,AD$2,0)&lt;&gt;N6,"Beam Revised","")</f>
        <v>#N/A</v>
      </c>
      <c r="AE6" s="7" t="e">
        <f>IF(VLOOKUP($A6,'Concrete Beam Schedule'!$A$2:$Q$2902,AE$2,0)&lt;&gt;O6,"Beam Revised","")</f>
        <v>#N/A</v>
      </c>
    </row>
    <row r="7" spans="1:31" ht="25.5" customHeight="1" x14ac:dyDescent="0.25">
      <c r="A7" s="3"/>
      <c r="B7" s="4"/>
      <c r="C7" s="4"/>
      <c r="D7" s="5"/>
      <c r="E7" s="5"/>
      <c r="F7" s="4"/>
      <c r="G7" s="5"/>
      <c r="H7" s="4"/>
      <c r="I7" s="4"/>
      <c r="J7" s="4"/>
      <c r="K7" s="5"/>
      <c r="L7" s="5"/>
      <c r="M7" s="17"/>
      <c r="N7" s="16"/>
      <c r="O7" s="4"/>
      <c r="Q7" s="7">
        <f t="shared" si="0"/>
        <v>0</v>
      </c>
      <c r="R7" s="7" t="e">
        <f>IF(VLOOKUP($A7,'Concrete Beam Schedule'!$A$2:$Q$2902,R$2,0)&lt;&gt;B7,VLOOKUP($A7,'Concrete Beam Schedule'!$A$2:$Q$2902,R$2,0),"")</f>
        <v>#N/A</v>
      </c>
      <c r="S7" s="7" t="e">
        <f>IF(VLOOKUP($A7,'Concrete Beam Schedule'!$A$2:$Q$2902,S$2,0)&lt;&gt;C7,VLOOKUP($A7,'Concrete Beam Schedule'!$A$2:$Q$2902,S$2,0),"")</f>
        <v>#N/A</v>
      </c>
      <c r="T7" s="7" t="e">
        <f>IF(VLOOKUP($A7,'Concrete Beam Schedule'!$A$2:$Q$2902,T$2,0)&lt;&gt;D7,"Beam Revised","")</f>
        <v>#N/A</v>
      </c>
      <c r="U7" s="7" t="e">
        <f>IF(VLOOKUP($A7,'Concrete Beam Schedule'!$A$2:$Q$2902,U$2,0)&lt;&gt;E7,"Beam Revised","")</f>
        <v>#N/A</v>
      </c>
      <c r="V7" s="7" t="e">
        <f>IF(VLOOKUP($A7,'Concrete Beam Schedule'!$A$2:$Q$2902,V$2,0)&lt;&gt;F7,"Beam Revised","")</f>
        <v>#N/A</v>
      </c>
      <c r="W7" s="7" t="e">
        <f>IF(VLOOKUP($A7,'Concrete Beam Schedule'!$A$2:$Q$2902,W$2,0)&lt;&gt;G7,"Beam Revised","")</f>
        <v>#N/A</v>
      </c>
      <c r="X7" s="7" t="e">
        <f>IF(VLOOKUP($A7,'Concrete Beam Schedule'!$A$2:$Q$2902,X$2,0)&lt;&gt;H7,"Beam Revised","")</f>
        <v>#N/A</v>
      </c>
      <c r="Y7" s="7" t="e">
        <f>IF(VLOOKUP($A7,'Concrete Beam Schedule'!$A$2:$Q$2902,Y$2,0)&lt;&gt;I7,"Beam Revised","")</f>
        <v>#N/A</v>
      </c>
      <c r="Z7" s="7" t="e">
        <f>IF(VLOOKUP($A7,'Concrete Beam Schedule'!$A$2:$Q$2902,Z$2,0)&lt;&gt;J7,"Beam Revised","")</f>
        <v>#N/A</v>
      </c>
      <c r="AA7" s="7" t="e">
        <f>IF(VLOOKUP($A7,'Concrete Beam Schedule'!$A$2:$Q$2902,AA$2,0)&lt;&gt;K7,"Beam Revised","")</f>
        <v>#N/A</v>
      </c>
      <c r="AB7" s="7" t="e">
        <f>IF(VLOOKUP($A7,'Concrete Beam Schedule'!$A$2:$Q$2902,AB$2,0)&lt;&gt;L7,"Beam Revised","")</f>
        <v>#N/A</v>
      </c>
      <c r="AC7" s="7" t="e">
        <f>IF(VLOOKUP($A7,'Concrete Beam Schedule'!$A$2:$Q$2902,AC$2,0)&lt;&gt;M7,"Beam Revised","")</f>
        <v>#N/A</v>
      </c>
      <c r="AD7" s="7" t="e">
        <f>IF(VLOOKUP($A7,'Concrete Beam Schedule'!$A$2:$Q$2902,AD$2,0)&lt;&gt;N7,"Beam Revised","")</f>
        <v>#N/A</v>
      </c>
      <c r="AE7" s="7" t="e">
        <f>IF(VLOOKUP($A7,'Concrete Beam Schedule'!$A$2:$Q$2902,AE$2,0)&lt;&gt;O7,"Beam Revised","")</f>
        <v>#N/A</v>
      </c>
    </row>
    <row r="8" spans="1:31" ht="25.5" customHeight="1" x14ac:dyDescent="0.25">
      <c r="A8" s="17"/>
      <c r="B8" s="17"/>
      <c r="C8" s="17"/>
      <c r="D8" s="17"/>
      <c r="E8" s="17"/>
      <c r="F8" s="17"/>
      <c r="G8" s="17"/>
      <c r="H8" s="17"/>
      <c r="I8" s="17"/>
      <c r="J8" s="17"/>
      <c r="K8" s="17"/>
      <c r="L8" s="17"/>
      <c r="M8" s="17"/>
      <c r="N8" s="17"/>
      <c r="O8" s="17"/>
      <c r="Q8" s="7">
        <f t="shared" si="0"/>
        <v>0</v>
      </c>
      <c r="R8" s="7" t="e">
        <f>IF(VLOOKUP($A8,'Concrete Beam Schedule'!$A$2:$Q$2902,R$2,0)&lt;&gt;B8,VLOOKUP($A8,'Concrete Beam Schedule'!$A$2:$Q$2902,R$2,0),"")</f>
        <v>#N/A</v>
      </c>
      <c r="S8" s="7" t="e">
        <f>IF(VLOOKUP($A8,'Concrete Beam Schedule'!$A$2:$Q$2902,S$2,0)&lt;&gt;C8,VLOOKUP($A8,'Concrete Beam Schedule'!$A$2:$Q$2902,S$2,0),"")</f>
        <v>#N/A</v>
      </c>
      <c r="T8" s="7" t="e">
        <f>IF(VLOOKUP($A8,'Concrete Beam Schedule'!$A$2:$Q$2902,T$2,0)&lt;&gt;D8,"Beam Revised","")</f>
        <v>#N/A</v>
      </c>
      <c r="U8" s="7" t="e">
        <f>IF(VLOOKUP($A8,'Concrete Beam Schedule'!$A$2:$Q$2902,U$2,0)&lt;&gt;E8,"Beam Revised","")</f>
        <v>#N/A</v>
      </c>
      <c r="V8" s="7" t="e">
        <f>IF(VLOOKUP($A8,'Concrete Beam Schedule'!$A$2:$Q$2902,V$2,0)&lt;&gt;F8,"Beam Revised","")</f>
        <v>#N/A</v>
      </c>
      <c r="W8" s="7" t="e">
        <f>IF(VLOOKUP($A8,'Concrete Beam Schedule'!$A$2:$Q$2902,W$2,0)&lt;&gt;G8,"Beam Revised","")</f>
        <v>#N/A</v>
      </c>
      <c r="X8" s="7" t="e">
        <f>IF(VLOOKUP($A8,'Concrete Beam Schedule'!$A$2:$Q$2902,X$2,0)&lt;&gt;H8,"Beam Revised","")</f>
        <v>#N/A</v>
      </c>
      <c r="Y8" s="7" t="e">
        <f>IF(VLOOKUP($A8,'Concrete Beam Schedule'!$A$2:$Q$2902,Y$2,0)&lt;&gt;I8,"Beam Revised","")</f>
        <v>#N/A</v>
      </c>
      <c r="Z8" s="7" t="e">
        <f>IF(VLOOKUP($A8,'Concrete Beam Schedule'!$A$2:$Q$2902,Z$2,0)&lt;&gt;J8,"Beam Revised","")</f>
        <v>#N/A</v>
      </c>
      <c r="AA8" s="7" t="e">
        <f>IF(VLOOKUP($A8,'Concrete Beam Schedule'!$A$2:$Q$2902,AA$2,0)&lt;&gt;K8,"Beam Revised","")</f>
        <v>#N/A</v>
      </c>
      <c r="AB8" s="7" t="e">
        <f>IF(VLOOKUP($A8,'Concrete Beam Schedule'!$A$2:$Q$2902,AB$2,0)&lt;&gt;L8,"Beam Revised","")</f>
        <v>#N/A</v>
      </c>
      <c r="AC8" s="7" t="e">
        <f>IF(VLOOKUP($A8,'Concrete Beam Schedule'!$A$2:$Q$2902,AC$2,0)&lt;&gt;M8,"Beam Revised","")</f>
        <v>#N/A</v>
      </c>
      <c r="AD8" s="7" t="e">
        <f>IF(VLOOKUP($A8,'Concrete Beam Schedule'!$A$2:$Q$2902,AD$2,0)&lt;&gt;N8,"Beam Revised","")</f>
        <v>#N/A</v>
      </c>
      <c r="AE8" s="7" t="e">
        <f>IF(VLOOKUP($A8,'Concrete Beam Schedule'!$A$2:$Q$2902,AE$2,0)&lt;&gt;O8,"Beam Revised","")</f>
        <v>#N/A</v>
      </c>
    </row>
    <row r="9" spans="1:31" ht="25.5" customHeight="1" x14ac:dyDescent="0.25">
      <c r="A9" s="17"/>
      <c r="B9" s="17"/>
      <c r="C9" s="17"/>
      <c r="D9" s="17"/>
      <c r="E9" s="17"/>
      <c r="F9" s="17"/>
      <c r="G9" s="17"/>
      <c r="H9" s="17"/>
      <c r="I9" s="17"/>
      <c r="J9" s="17"/>
      <c r="K9" s="17"/>
      <c r="L9" s="17"/>
      <c r="M9" s="17"/>
      <c r="N9" s="17"/>
      <c r="O9" s="17"/>
      <c r="Q9" s="7">
        <f t="shared" si="0"/>
        <v>0</v>
      </c>
      <c r="R9" s="7" t="e">
        <f>IF(VLOOKUP($A9,'Concrete Beam Schedule'!$A$2:$Q$2902,R$2,0)&lt;&gt;B9,VLOOKUP($A9,'Concrete Beam Schedule'!$A$2:$Q$2902,R$2,0),"")</f>
        <v>#N/A</v>
      </c>
      <c r="S9" s="7" t="e">
        <f>IF(VLOOKUP($A9,'Concrete Beam Schedule'!$A$2:$Q$2902,S$2,0)&lt;&gt;C9,VLOOKUP($A9,'Concrete Beam Schedule'!$A$2:$Q$2902,S$2,0),"")</f>
        <v>#N/A</v>
      </c>
      <c r="T9" s="7" t="e">
        <f>IF(VLOOKUP($A9,'Concrete Beam Schedule'!$A$2:$Q$2902,T$2,0)&lt;&gt;D9,"Beam Revised","")</f>
        <v>#N/A</v>
      </c>
      <c r="U9" s="7" t="e">
        <f>IF(VLOOKUP($A9,'Concrete Beam Schedule'!$A$2:$Q$2902,U$2,0)&lt;&gt;E9,"Beam Revised","")</f>
        <v>#N/A</v>
      </c>
      <c r="V9" s="7" t="e">
        <f>IF(VLOOKUP($A9,'Concrete Beam Schedule'!$A$2:$Q$2902,V$2,0)&lt;&gt;F9,"Beam Revised","")</f>
        <v>#N/A</v>
      </c>
      <c r="W9" s="7" t="e">
        <f>IF(VLOOKUP($A9,'Concrete Beam Schedule'!$A$2:$Q$2902,W$2,0)&lt;&gt;G9,"Beam Revised","")</f>
        <v>#N/A</v>
      </c>
      <c r="X9" s="7" t="e">
        <f>IF(VLOOKUP($A9,'Concrete Beam Schedule'!$A$2:$Q$2902,X$2,0)&lt;&gt;H9,"Beam Revised","")</f>
        <v>#N/A</v>
      </c>
      <c r="Y9" s="7" t="e">
        <f>IF(VLOOKUP($A9,'Concrete Beam Schedule'!$A$2:$Q$2902,Y$2,0)&lt;&gt;I9,"Beam Revised","")</f>
        <v>#N/A</v>
      </c>
      <c r="Z9" s="7" t="e">
        <f>IF(VLOOKUP($A9,'Concrete Beam Schedule'!$A$2:$Q$2902,Z$2,0)&lt;&gt;J9,"Beam Revised","")</f>
        <v>#N/A</v>
      </c>
      <c r="AA9" s="7" t="e">
        <f>IF(VLOOKUP($A9,'Concrete Beam Schedule'!$A$2:$Q$2902,AA$2,0)&lt;&gt;K9,"Beam Revised","")</f>
        <v>#N/A</v>
      </c>
      <c r="AB9" s="7" t="e">
        <f>IF(VLOOKUP($A9,'Concrete Beam Schedule'!$A$2:$Q$2902,AB$2,0)&lt;&gt;L9,"Beam Revised","")</f>
        <v>#N/A</v>
      </c>
      <c r="AC9" s="7" t="e">
        <f>IF(VLOOKUP($A9,'Concrete Beam Schedule'!$A$2:$Q$2902,AC$2,0)&lt;&gt;M9,"Beam Revised","")</f>
        <v>#N/A</v>
      </c>
      <c r="AD9" s="7" t="e">
        <f>IF(VLOOKUP($A9,'Concrete Beam Schedule'!$A$2:$Q$2902,AD$2,0)&lt;&gt;N9,"Beam Revised","")</f>
        <v>#N/A</v>
      </c>
      <c r="AE9" s="7" t="e">
        <f>IF(VLOOKUP($A9,'Concrete Beam Schedule'!$A$2:$Q$2902,AE$2,0)&lt;&gt;O9,"Beam Revised","")</f>
        <v>#N/A</v>
      </c>
    </row>
    <row r="10" spans="1:31" ht="25.5" customHeight="1" x14ac:dyDescent="0.25">
      <c r="A10" s="17"/>
      <c r="B10" s="17"/>
      <c r="C10" s="17"/>
      <c r="D10" s="17"/>
      <c r="E10" s="17"/>
      <c r="F10" s="17"/>
      <c r="G10" s="17"/>
      <c r="H10" s="17"/>
      <c r="I10" s="17"/>
      <c r="J10" s="17"/>
      <c r="K10" s="17"/>
      <c r="L10" s="17"/>
      <c r="M10" s="17"/>
      <c r="N10" s="17"/>
      <c r="O10" s="17"/>
      <c r="Q10" s="7">
        <f t="shared" si="0"/>
        <v>0</v>
      </c>
      <c r="R10" s="7" t="e">
        <f>IF(VLOOKUP($A10,'Concrete Beam Schedule'!$A$2:$Q$2902,R$2,0)&lt;&gt;B10,VLOOKUP($A10,'Concrete Beam Schedule'!$A$2:$Q$2902,R$2,0),"")</f>
        <v>#N/A</v>
      </c>
      <c r="S10" s="7" t="e">
        <f>IF(VLOOKUP($A10,'Concrete Beam Schedule'!$A$2:$Q$2902,S$2,0)&lt;&gt;C10,VLOOKUP($A10,'Concrete Beam Schedule'!$A$2:$Q$2902,S$2,0),"")</f>
        <v>#N/A</v>
      </c>
      <c r="T10" s="7" t="e">
        <f>IF(VLOOKUP($A10,'Concrete Beam Schedule'!$A$2:$Q$2902,T$2,0)&lt;&gt;D10,"Beam Revised","")</f>
        <v>#N/A</v>
      </c>
      <c r="U10" s="7" t="e">
        <f>IF(VLOOKUP($A10,'Concrete Beam Schedule'!$A$2:$Q$2902,U$2,0)&lt;&gt;E10,"Beam Revised","")</f>
        <v>#N/A</v>
      </c>
      <c r="V10" s="7" t="e">
        <f>IF(VLOOKUP($A10,'Concrete Beam Schedule'!$A$2:$Q$2902,V$2,0)&lt;&gt;F10,"Beam Revised","")</f>
        <v>#N/A</v>
      </c>
      <c r="W10" s="7" t="e">
        <f>IF(VLOOKUP($A10,'Concrete Beam Schedule'!$A$2:$Q$2902,W$2,0)&lt;&gt;G10,"Beam Revised","")</f>
        <v>#N/A</v>
      </c>
      <c r="X10" s="7" t="e">
        <f>IF(VLOOKUP($A10,'Concrete Beam Schedule'!$A$2:$Q$2902,X$2,0)&lt;&gt;H10,"Beam Revised","")</f>
        <v>#N/A</v>
      </c>
      <c r="Y10" s="7" t="e">
        <f>IF(VLOOKUP($A10,'Concrete Beam Schedule'!$A$2:$Q$2902,Y$2,0)&lt;&gt;I10,"Beam Revised","")</f>
        <v>#N/A</v>
      </c>
      <c r="Z10" s="7" t="e">
        <f>IF(VLOOKUP($A10,'Concrete Beam Schedule'!$A$2:$Q$2902,Z$2,0)&lt;&gt;J10,"Beam Revised","")</f>
        <v>#N/A</v>
      </c>
      <c r="AA10" s="7" t="e">
        <f>IF(VLOOKUP($A10,'Concrete Beam Schedule'!$A$2:$Q$2902,AA$2,0)&lt;&gt;K10,"Beam Revised","")</f>
        <v>#N/A</v>
      </c>
      <c r="AB10" s="7" t="e">
        <f>IF(VLOOKUP($A10,'Concrete Beam Schedule'!$A$2:$Q$2902,AB$2,0)&lt;&gt;L10,"Beam Revised","")</f>
        <v>#N/A</v>
      </c>
      <c r="AC10" s="7" t="e">
        <f>IF(VLOOKUP($A10,'Concrete Beam Schedule'!$A$2:$Q$2902,AC$2,0)&lt;&gt;M10,"Beam Revised","")</f>
        <v>#N/A</v>
      </c>
      <c r="AD10" s="7" t="e">
        <f>IF(VLOOKUP($A10,'Concrete Beam Schedule'!$A$2:$Q$2902,AD$2,0)&lt;&gt;N10,"Beam Revised","")</f>
        <v>#N/A</v>
      </c>
      <c r="AE10" s="7" t="e">
        <f>IF(VLOOKUP($A10,'Concrete Beam Schedule'!$A$2:$Q$2902,AE$2,0)&lt;&gt;O10,"Beam Revised","")</f>
        <v>#N/A</v>
      </c>
    </row>
    <row r="11" spans="1:31" ht="25.5" customHeight="1" x14ac:dyDescent="0.25">
      <c r="A11" s="17"/>
      <c r="B11" s="17"/>
      <c r="C11" s="17"/>
      <c r="D11" s="17"/>
      <c r="E11" s="17"/>
      <c r="F11" s="17"/>
      <c r="G11" s="17"/>
      <c r="H11" s="17"/>
      <c r="I11" s="17"/>
      <c r="J11" s="17"/>
      <c r="K11" s="17"/>
      <c r="L11" s="17"/>
      <c r="M11" s="17"/>
      <c r="N11" s="17"/>
      <c r="O11" s="17"/>
      <c r="Q11" s="7">
        <f t="shared" si="0"/>
        <v>0</v>
      </c>
      <c r="R11" s="7" t="e">
        <f>IF(VLOOKUP($A11,'Concrete Beam Schedule'!$A$2:$Q$2902,R$2,0)&lt;&gt;B11,VLOOKUP($A11,'Concrete Beam Schedule'!$A$2:$Q$2902,R$2,0),"")</f>
        <v>#N/A</v>
      </c>
      <c r="S11" s="7" t="e">
        <f>IF(VLOOKUP($A11,'Concrete Beam Schedule'!$A$2:$Q$2902,S$2,0)&lt;&gt;C11,VLOOKUP($A11,'Concrete Beam Schedule'!$A$2:$Q$2902,S$2,0),"")</f>
        <v>#N/A</v>
      </c>
      <c r="T11" s="7" t="e">
        <f>IF(VLOOKUP($A11,'Concrete Beam Schedule'!$A$2:$Q$2902,T$2,0)&lt;&gt;D11,"Beam Revised","")</f>
        <v>#N/A</v>
      </c>
      <c r="U11" s="7" t="e">
        <f>IF(VLOOKUP($A11,'Concrete Beam Schedule'!$A$2:$Q$2902,U$2,0)&lt;&gt;E11,"Beam Revised","")</f>
        <v>#N/A</v>
      </c>
      <c r="V11" s="7" t="e">
        <f>IF(VLOOKUP($A11,'Concrete Beam Schedule'!$A$2:$Q$2902,V$2,0)&lt;&gt;F11,"Beam Revised","")</f>
        <v>#N/A</v>
      </c>
      <c r="W11" s="7" t="e">
        <f>IF(VLOOKUP($A11,'Concrete Beam Schedule'!$A$2:$Q$2902,W$2,0)&lt;&gt;G11,"Beam Revised","")</f>
        <v>#N/A</v>
      </c>
      <c r="X11" s="7" t="e">
        <f>IF(VLOOKUP($A11,'Concrete Beam Schedule'!$A$2:$Q$2902,X$2,0)&lt;&gt;H11,"Beam Revised","")</f>
        <v>#N/A</v>
      </c>
      <c r="Y11" s="7" t="e">
        <f>IF(VLOOKUP($A11,'Concrete Beam Schedule'!$A$2:$Q$2902,Y$2,0)&lt;&gt;I11,"Beam Revised","")</f>
        <v>#N/A</v>
      </c>
      <c r="Z11" s="7" t="e">
        <f>IF(VLOOKUP($A11,'Concrete Beam Schedule'!$A$2:$Q$2902,Z$2,0)&lt;&gt;J11,"Beam Revised","")</f>
        <v>#N/A</v>
      </c>
      <c r="AA11" s="7" t="e">
        <f>IF(VLOOKUP($A11,'Concrete Beam Schedule'!$A$2:$Q$2902,AA$2,0)&lt;&gt;K11,"Beam Revised","")</f>
        <v>#N/A</v>
      </c>
      <c r="AB11" s="7" t="e">
        <f>IF(VLOOKUP($A11,'Concrete Beam Schedule'!$A$2:$Q$2902,AB$2,0)&lt;&gt;L11,"Beam Revised","")</f>
        <v>#N/A</v>
      </c>
      <c r="AC11" s="7" t="e">
        <f>IF(VLOOKUP($A11,'Concrete Beam Schedule'!$A$2:$Q$2902,AC$2,0)&lt;&gt;M11,"Beam Revised","")</f>
        <v>#N/A</v>
      </c>
      <c r="AD11" s="7" t="e">
        <f>IF(VLOOKUP($A11,'Concrete Beam Schedule'!$A$2:$Q$2902,AD$2,0)&lt;&gt;N11,"Beam Revised","")</f>
        <v>#N/A</v>
      </c>
      <c r="AE11" s="7" t="e">
        <f>IF(VLOOKUP($A11,'Concrete Beam Schedule'!$A$2:$Q$2902,AE$2,0)&lt;&gt;O11,"Beam Revised","")</f>
        <v>#N/A</v>
      </c>
    </row>
    <row r="12" spans="1:31" ht="25.5" customHeight="1" x14ac:dyDescent="0.25">
      <c r="A12" s="17"/>
      <c r="B12" s="17"/>
      <c r="C12" s="17"/>
      <c r="D12" s="17"/>
      <c r="E12" s="17"/>
      <c r="F12" s="17"/>
      <c r="G12" s="17"/>
      <c r="H12" s="17"/>
      <c r="I12" s="17"/>
      <c r="J12" s="17"/>
      <c r="K12" s="17"/>
      <c r="L12" s="17"/>
      <c r="M12" s="17"/>
      <c r="N12" s="17"/>
      <c r="O12" s="17"/>
      <c r="Q12" s="7">
        <f t="shared" si="0"/>
        <v>0</v>
      </c>
      <c r="R12" s="7" t="e">
        <f>IF(VLOOKUP($A12,'Concrete Beam Schedule'!$A$2:$Q$2902,R$2,0)&lt;&gt;B12,VLOOKUP($A12,'Concrete Beam Schedule'!$A$2:$Q$2902,R$2,0),"")</f>
        <v>#N/A</v>
      </c>
      <c r="S12" s="7" t="e">
        <f>IF(VLOOKUP($A12,'Concrete Beam Schedule'!$A$2:$Q$2902,S$2,0)&lt;&gt;C12,VLOOKUP($A12,'Concrete Beam Schedule'!$A$2:$Q$2902,S$2,0),"")</f>
        <v>#N/A</v>
      </c>
      <c r="T12" s="7" t="e">
        <f>IF(VLOOKUP($A12,'Concrete Beam Schedule'!$A$2:$Q$2902,T$2,0)&lt;&gt;D12,"Beam Revised","")</f>
        <v>#N/A</v>
      </c>
      <c r="U12" s="7" t="e">
        <f>IF(VLOOKUP($A12,'Concrete Beam Schedule'!$A$2:$Q$2902,U$2,0)&lt;&gt;E12,"Beam Revised","")</f>
        <v>#N/A</v>
      </c>
      <c r="V12" s="7" t="e">
        <f>IF(VLOOKUP($A12,'Concrete Beam Schedule'!$A$2:$Q$2902,V$2,0)&lt;&gt;F12,"Beam Revised","")</f>
        <v>#N/A</v>
      </c>
      <c r="W12" s="7" t="e">
        <f>IF(VLOOKUP($A12,'Concrete Beam Schedule'!$A$2:$Q$2902,W$2,0)&lt;&gt;G12,"Beam Revised","")</f>
        <v>#N/A</v>
      </c>
      <c r="X12" s="7" t="e">
        <f>IF(VLOOKUP($A12,'Concrete Beam Schedule'!$A$2:$Q$2902,X$2,0)&lt;&gt;H12,"Beam Revised","")</f>
        <v>#N/A</v>
      </c>
      <c r="Y12" s="7" t="e">
        <f>IF(VLOOKUP($A12,'Concrete Beam Schedule'!$A$2:$Q$2902,Y$2,0)&lt;&gt;I12,"Beam Revised","")</f>
        <v>#N/A</v>
      </c>
      <c r="Z12" s="7" t="e">
        <f>IF(VLOOKUP($A12,'Concrete Beam Schedule'!$A$2:$Q$2902,Z$2,0)&lt;&gt;J12,"Beam Revised","")</f>
        <v>#N/A</v>
      </c>
      <c r="AA12" s="7" t="e">
        <f>IF(VLOOKUP($A12,'Concrete Beam Schedule'!$A$2:$Q$2902,AA$2,0)&lt;&gt;K12,"Beam Revised","")</f>
        <v>#N/A</v>
      </c>
      <c r="AB12" s="7" t="e">
        <f>IF(VLOOKUP($A12,'Concrete Beam Schedule'!$A$2:$Q$2902,AB$2,0)&lt;&gt;L12,"Beam Revised","")</f>
        <v>#N/A</v>
      </c>
      <c r="AC12" s="7" t="e">
        <f>IF(VLOOKUP($A12,'Concrete Beam Schedule'!$A$2:$Q$2902,AC$2,0)&lt;&gt;M12,"Beam Revised","")</f>
        <v>#N/A</v>
      </c>
      <c r="AD12" s="7" t="e">
        <f>IF(VLOOKUP($A12,'Concrete Beam Schedule'!$A$2:$Q$2902,AD$2,0)&lt;&gt;N12,"Beam Revised","")</f>
        <v>#N/A</v>
      </c>
      <c r="AE12" s="7" t="e">
        <f>IF(VLOOKUP($A12,'Concrete Beam Schedule'!$A$2:$Q$2902,AE$2,0)&lt;&gt;O12,"Beam Revised","")</f>
        <v>#N/A</v>
      </c>
    </row>
    <row r="13" spans="1:31" ht="25.5" customHeight="1" x14ac:dyDescent="0.25">
      <c r="A13" s="17"/>
      <c r="B13" s="17"/>
      <c r="C13" s="17"/>
      <c r="D13" s="17"/>
      <c r="E13" s="17"/>
      <c r="F13" s="17"/>
      <c r="G13" s="17"/>
      <c r="H13" s="17"/>
      <c r="I13" s="17"/>
      <c r="J13" s="17"/>
      <c r="K13" s="17"/>
      <c r="L13" s="17"/>
      <c r="M13" s="17"/>
      <c r="N13" s="17"/>
      <c r="O13" s="17"/>
      <c r="Q13" s="7">
        <f t="shared" si="0"/>
        <v>0</v>
      </c>
      <c r="R13" s="7" t="e">
        <f>IF(VLOOKUP($A13,'Concrete Beam Schedule'!$A$2:$Q$2902,R$2,0)&lt;&gt;B13,VLOOKUP($A13,'Concrete Beam Schedule'!$A$2:$Q$2902,R$2,0),"")</f>
        <v>#N/A</v>
      </c>
      <c r="S13" s="7" t="e">
        <f>IF(VLOOKUP($A13,'Concrete Beam Schedule'!$A$2:$Q$2902,S$2,0)&lt;&gt;C13,VLOOKUP($A13,'Concrete Beam Schedule'!$A$2:$Q$2902,S$2,0),"")</f>
        <v>#N/A</v>
      </c>
      <c r="T13" s="7" t="e">
        <f>IF(VLOOKUP($A13,'Concrete Beam Schedule'!$A$2:$Q$2902,T$2,0)&lt;&gt;D13,"Beam Revised","")</f>
        <v>#N/A</v>
      </c>
      <c r="U13" s="7" t="e">
        <f>IF(VLOOKUP($A13,'Concrete Beam Schedule'!$A$2:$Q$2902,U$2,0)&lt;&gt;E13,"Beam Revised","")</f>
        <v>#N/A</v>
      </c>
      <c r="V13" s="7" t="e">
        <f>IF(VLOOKUP($A13,'Concrete Beam Schedule'!$A$2:$Q$2902,V$2,0)&lt;&gt;F13,"Beam Revised","")</f>
        <v>#N/A</v>
      </c>
      <c r="W13" s="7" t="e">
        <f>IF(VLOOKUP($A13,'Concrete Beam Schedule'!$A$2:$Q$2902,W$2,0)&lt;&gt;G13,"Beam Revised","")</f>
        <v>#N/A</v>
      </c>
      <c r="X13" s="7" t="e">
        <f>IF(VLOOKUP($A13,'Concrete Beam Schedule'!$A$2:$Q$2902,X$2,0)&lt;&gt;H13,"Beam Revised","")</f>
        <v>#N/A</v>
      </c>
      <c r="Y13" s="7" t="e">
        <f>IF(VLOOKUP($A13,'Concrete Beam Schedule'!$A$2:$Q$2902,Y$2,0)&lt;&gt;I13,"Beam Revised","")</f>
        <v>#N/A</v>
      </c>
      <c r="Z13" s="7" t="e">
        <f>IF(VLOOKUP($A13,'Concrete Beam Schedule'!$A$2:$Q$2902,Z$2,0)&lt;&gt;J13,"Beam Revised","")</f>
        <v>#N/A</v>
      </c>
      <c r="AA13" s="7" t="e">
        <f>IF(VLOOKUP($A13,'Concrete Beam Schedule'!$A$2:$Q$2902,AA$2,0)&lt;&gt;K13,"Beam Revised","")</f>
        <v>#N/A</v>
      </c>
      <c r="AB13" s="7" t="e">
        <f>IF(VLOOKUP($A13,'Concrete Beam Schedule'!$A$2:$Q$2902,AB$2,0)&lt;&gt;L13,"Beam Revised","")</f>
        <v>#N/A</v>
      </c>
      <c r="AC13" s="7" t="e">
        <f>IF(VLOOKUP($A13,'Concrete Beam Schedule'!$A$2:$Q$2902,AC$2,0)&lt;&gt;M13,"Beam Revised","")</f>
        <v>#N/A</v>
      </c>
      <c r="AD13" s="7" t="e">
        <f>IF(VLOOKUP($A13,'Concrete Beam Schedule'!$A$2:$Q$2902,AD$2,0)&lt;&gt;N13,"Beam Revised","")</f>
        <v>#N/A</v>
      </c>
      <c r="AE13" s="7" t="e">
        <f>IF(VLOOKUP($A13,'Concrete Beam Schedule'!$A$2:$Q$2902,AE$2,0)&lt;&gt;O13,"Beam Revised","")</f>
        <v>#N/A</v>
      </c>
    </row>
    <row r="14" spans="1:31" ht="25.5" customHeight="1" x14ac:dyDescent="0.25">
      <c r="A14" s="17"/>
      <c r="B14" s="17"/>
      <c r="C14" s="17"/>
      <c r="D14" s="17"/>
      <c r="E14" s="17"/>
      <c r="F14" s="17"/>
      <c r="G14" s="17"/>
      <c r="H14" s="17"/>
      <c r="I14" s="17"/>
      <c r="J14" s="17"/>
      <c r="K14" s="17"/>
      <c r="L14" s="17"/>
      <c r="M14" s="17"/>
      <c r="N14" s="17"/>
      <c r="O14" s="17"/>
      <c r="Q14" s="7">
        <f t="shared" si="0"/>
        <v>0</v>
      </c>
      <c r="R14" s="7" t="e">
        <f>IF(VLOOKUP($A14,'Concrete Beam Schedule'!$A$2:$Q$2902,R$2,0)&lt;&gt;B14,VLOOKUP($A14,'Concrete Beam Schedule'!$A$2:$Q$2902,R$2,0),"")</f>
        <v>#N/A</v>
      </c>
      <c r="S14" s="7" t="e">
        <f>IF(VLOOKUP($A14,'Concrete Beam Schedule'!$A$2:$Q$2902,S$2,0)&lt;&gt;C14,VLOOKUP($A14,'Concrete Beam Schedule'!$A$2:$Q$2902,S$2,0),"")</f>
        <v>#N/A</v>
      </c>
      <c r="T14" s="7" t="e">
        <f>IF(VLOOKUP($A14,'Concrete Beam Schedule'!$A$2:$Q$2902,T$2,0)&lt;&gt;D14,"Beam Revised","")</f>
        <v>#N/A</v>
      </c>
      <c r="U14" s="7" t="e">
        <f>IF(VLOOKUP($A14,'Concrete Beam Schedule'!$A$2:$Q$2902,U$2,0)&lt;&gt;E14,"Beam Revised","")</f>
        <v>#N/A</v>
      </c>
      <c r="V14" s="7" t="e">
        <f>IF(VLOOKUP($A14,'Concrete Beam Schedule'!$A$2:$Q$2902,V$2,0)&lt;&gt;F14,"Beam Revised","")</f>
        <v>#N/A</v>
      </c>
      <c r="W14" s="7" t="e">
        <f>IF(VLOOKUP($A14,'Concrete Beam Schedule'!$A$2:$Q$2902,W$2,0)&lt;&gt;G14,"Beam Revised","")</f>
        <v>#N/A</v>
      </c>
      <c r="X14" s="7" t="e">
        <f>IF(VLOOKUP($A14,'Concrete Beam Schedule'!$A$2:$Q$2902,X$2,0)&lt;&gt;H14,"Beam Revised","")</f>
        <v>#N/A</v>
      </c>
      <c r="Y14" s="7" t="e">
        <f>IF(VLOOKUP($A14,'Concrete Beam Schedule'!$A$2:$Q$2902,Y$2,0)&lt;&gt;I14,"Beam Revised","")</f>
        <v>#N/A</v>
      </c>
      <c r="Z14" s="7" t="e">
        <f>IF(VLOOKUP($A14,'Concrete Beam Schedule'!$A$2:$Q$2902,Z$2,0)&lt;&gt;J14,"Beam Revised","")</f>
        <v>#N/A</v>
      </c>
      <c r="AA14" s="7" t="e">
        <f>IF(VLOOKUP($A14,'Concrete Beam Schedule'!$A$2:$Q$2902,AA$2,0)&lt;&gt;K14,"Beam Revised","")</f>
        <v>#N/A</v>
      </c>
      <c r="AB14" s="7" t="e">
        <f>IF(VLOOKUP($A14,'Concrete Beam Schedule'!$A$2:$Q$2902,AB$2,0)&lt;&gt;L14,"Beam Revised","")</f>
        <v>#N/A</v>
      </c>
      <c r="AC14" s="7" t="e">
        <f>IF(VLOOKUP($A14,'Concrete Beam Schedule'!$A$2:$Q$2902,AC$2,0)&lt;&gt;M14,"Beam Revised","")</f>
        <v>#N/A</v>
      </c>
      <c r="AD14" s="7" t="e">
        <f>IF(VLOOKUP($A14,'Concrete Beam Schedule'!$A$2:$Q$2902,AD$2,0)&lt;&gt;N14,"Beam Revised","")</f>
        <v>#N/A</v>
      </c>
      <c r="AE14" s="7" t="e">
        <f>IF(VLOOKUP($A14,'Concrete Beam Schedule'!$A$2:$Q$2902,AE$2,0)&lt;&gt;O14,"Beam Revised","")</f>
        <v>#N/A</v>
      </c>
    </row>
    <row r="15" spans="1:31" ht="25.5" customHeight="1" x14ac:dyDescent="0.25">
      <c r="A15" s="17"/>
      <c r="B15" s="17"/>
      <c r="C15" s="17"/>
      <c r="D15" s="17"/>
      <c r="E15" s="17"/>
      <c r="F15" s="17"/>
      <c r="G15" s="17"/>
      <c r="H15" s="17"/>
      <c r="I15" s="17"/>
      <c r="J15" s="17"/>
      <c r="K15" s="17"/>
      <c r="L15" s="17"/>
      <c r="M15" s="17"/>
      <c r="N15" s="17"/>
      <c r="O15" s="17"/>
      <c r="Q15" s="7">
        <f t="shared" si="0"/>
        <v>0</v>
      </c>
      <c r="R15" s="7" t="e">
        <f>IF(VLOOKUP($A15,'Concrete Beam Schedule'!$A$2:$Q$2902,R$2,0)&lt;&gt;B15,VLOOKUP($A15,'Concrete Beam Schedule'!$A$2:$Q$2902,R$2,0),"")</f>
        <v>#N/A</v>
      </c>
      <c r="S15" s="7" t="e">
        <f>IF(VLOOKUP($A15,'Concrete Beam Schedule'!$A$2:$Q$2902,S$2,0)&lt;&gt;C15,VLOOKUP($A15,'Concrete Beam Schedule'!$A$2:$Q$2902,S$2,0),"")</f>
        <v>#N/A</v>
      </c>
      <c r="T15" s="7" t="e">
        <f>IF(VLOOKUP($A15,'Concrete Beam Schedule'!$A$2:$Q$2902,T$2,0)&lt;&gt;D15,"Beam Revised","")</f>
        <v>#N/A</v>
      </c>
      <c r="U15" s="7" t="e">
        <f>IF(VLOOKUP($A15,'Concrete Beam Schedule'!$A$2:$Q$2902,U$2,0)&lt;&gt;E15,"Beam Revised","")</f>
        <v>#N/A</v>
      </c>
      <c r="V15" s="7" t="e">
        <f>IF(VLOOKUP($A15,'Concrete Beam Schedule'!$A$2:$Q$2902,V$2,0)&lt;&gt;F15,"Beam Revised","")</f>
        <v>#N/A</v>
      </c>
      <c r="W15" s="7" t="e">
        <f>IF(VLOOKUP($A15,'Concrete Beam Schedule'!$A$2:$Q$2902,W$2,0)&lt;&gt;G15,"Beam Revised","")</f>
        <v>#N/A</v>
      </c>
      <c r="X15" s="7" t="e">
        <f>IF(VLOOKUP($A15,'Concrete Beam Schedule'!$A$2:$Q$2902,X$2,0)&lt;&gt;H15,"Beam Revised","")</f>
        <v>#N/A</v>
      </c>
      <c r="Y15" s="7" t="e">
        <f>IF(VLOOKUP($A15,'Concrete Beam Schedule'!$A$2:$Q$2902,Y$2,0)&lt;&gt;I15,"Beam Revised","")</f>
        <v>#N/A</v>
      </c>
      <c r="Z15" s="7" t="e">
        <f>IF(VLOOKUP($A15,'Concrete Beam Schedule'!$A$2:$Q$2902,Z$2,0)&lt;&gt;J15,"Beam Revised","")</f>
        <v>#N/A</v>
      </c>
      <c r="AA15" s="7" t="e">
        <f>IF(VLOOKUP($A15,'Concrete Beam Schedule'!$A$2:$Q$2902,AA$2,0)&lt;&gt;K15,"Beam Revised","")</f>
        <v>#N/A</v>
      </c>
      <c r="AB15" s="7" t="e">
        <f>IF(VLOOKUP($A15,'Concrete Beam Schedule'!$A$2:$Q$2902,AB$2,0)&lt;&gt;L15,"Beam Revised","")</f>
        <v>#N/A</v>
      </c>
      <c r="AC15" s="7" t="e">
        <f>IF(VLOOKUP($A15,'Concrete Beam Schedule'!$A$2:$Q$2902,AC$2,0)&lt;&gt;M15,"Beam Revised","")</f>
        <v>#N/A</v>
      </c>
      <c r="AD15" s="7" t="e">
        <f>IF(VLOOKUP($A15,'Concrete Beam Schedule'!$A$2:$Q$2902,AD$2,0)&lt;&gt;N15,"Beam Revised","")</f>
        <v>#N/A</v>
      </c>
      <c r="AE15" s="7" t="e">
        <f>IF(VLOOKUP($A15,'Concrete Beam Schedule'!$A$2:$Q$2902,AE$2,0)&lt;&gt;O15,"Beam Revised","")</f>
        <v>#N/A</v>
      </c>
    </row>
    <row r="16" spans="1:31" ht="25.5" customHeight="1" x14ac:dyDescent="0.25">
      <c r="A16" s="17"/>
      <c r="B16" s="17"/>
      <c r="C16" s="17"/>
      <c r="D16" s="17"/>
      <c r="E16" s="17"/>
      <c r="F16" s="17"/>
      <c r="G16" s="17"/>
      <c r="H16" s="17"/>
      <c r="I16" s="17"/>
      <c r="J16" s="17"/>
      <c r="K16" s="17"/>
      <c r="L16" s="17"/>
      <c r="M16" s="17"/>
      <c r="N16" s="17"/>
      <c r="O16" s="17"/>
      <c r="Q16" s="7">
        <f t="shared" si="0"/>
        <v>0</v>
      </c>
      <c r="R16" s="7" t="e">
        <f>IF(VLOOKUP($A16,'Concrete Beam Schedule'!$A$2:$Q$2902,R$2,0)&lt;&gt;B16,VLOOKUP($A16,'Concrete Beam Schedule'!$A$2:$Q$2902,R$2,0),"")</f>
        <v>#N/A</v>
      </c>
      <c r="S16" s="7" t="e">
        <f>IF(VLOOKUP($A16,'Concrete Beam Schedule'!$A$2:$Q$2902,S$2,0)&lt;&gt;C16,VLOOKUP($A16,'Concrete Beam Schedule'!$A$2:$Q$2902,S$2,0),"")</f>
        <v>#N/A</v>
      </c>
      <c r="T16" s="7" t="e">
        <f>IF(VLOOKUP($A16,'Concrete Beam Schedule'!$A$2:$Q$2902,T$2,0)&lt;&gt;D16,"Beam Revised","")</f>
        <v>#N/A</v>
      </c>
      <c r="U16" s="7" t="e">
        <f>IF(VLOOKUP($A16,'Concrete Beam Schedule'!$A$2:$Q$2902,U$2,0)&lt;&gt;E16,"Beam Revised","")</f>
        <v>#N/A</v>
      </c>
      <c r="V16" s="7" t="e">
        <f>IF(VLOOKUP($A16,'Concrete Beam Schedule'!$A$2:$Q$2902,V$2,0)&lt;&gt;F16,"Beam Revised","")</f>
        <v>#N/A</v>
      </c>
      <c r="W16" s="7" t="e">
        <f>IF(VLOOKUP($A16,'Concrete Beam Schedule'!$A$2:$Q$2902,W$2,0)&lt;&gt;G16,"Beam Revised","")</f>
        <v>#N/A</v>
      </c>
      <c r="X16" s="7" t="e">
        <f>IF(VLOOKUP($A16,'Concrete Beam Schedule'!$A$2:$Q$2902,X$2,0)&lt;&gt;H16,"Beam Revised","")</f>
        <v>#N/A</v>
      </c>
      <c r="Y16" s="7" t="e">
        <f>IF(VLOOKUP($A16,'Concrete Beam Schedule'!$A$2:$Q$2902,Y$2,0)&lt;&gt;I16,"Beam Revised","")</f>
        <v>#N/A</v>
      </c>
      <c r="Z16" s="7" t="e">
        <f>IF(VLOOKUP($A16,'Concrete Beam Schedule'!$A$2:$Q$2902,Z$2,0)&lt;&gt;J16,"Beam Revised","")</f>
        <v>#N/A</v>
      </c>
      <c r="AA16" s="7" t="e">
        <f>IF(VLOOKUP($A16,'Concrete Beam Schedule'!$A$2:$Q$2902,AA$2,0)&lt;&gt;K16,"Beam Revised","")</f>
        <v>#N/A</v>
      </c>
      <c r="AB16" s="7" t="e">
        <f>IF(VLOOKUP($A16,'Concrete Beam Schedule'!$A$2:$Q$2902,AB$2,0)&lt;&gt;L16,"Beam Revised","")</f>
        <v>#N/A</v>
      </c>
      <c r="AC16" s="7" t="e">
        <f>IF(VLOOKUP($A16,'Concrete Beam Schedule'!$A$2:$Q$2902,AC$2,0)&lt;&gt;M16,"Beam Revised","")</f>
        <v>#N/A</v>
      </c>
      <c r="AD16" s="7" t="e">
        <f>IF(VLOOKUP($A16,'Concrete Beam Schedule'!$A$2:$Q$2902,AD$2,0)&lt;&gt;N16,"Beam Revised","")</f>
        <v>#N/A</v>
      </c>
      <c r="AE16" s="7" t="e">
        <f>IF(VLOOKUP($A16,'Concrete Beam Schedule'!$A$2:$Q$2902,AE$2,0)&lt;&gt;O16,"Beam Revised","")</f>
        <v>#N/A</v>
      </c>
    </row>
    <row r="17" spans="1:31" ht="25.5" customHeight="1" x14ac:dyDescent="0.25">
      <c r="A17" s="17"/>
      <c r="B17" s="17"/>
      <c r="C17" s="17"/>
      <c r="D17" s="17"/>
      <c r="E17" s="17"/>
      <c r="F17" s="17"/>
      <c r="G17" s="17"/>
      <c r="H17" s="17"/>
      <c r="I17" s="17"/>
      <c r="J17" s="17"/>
      <c r="K17" s="17"/>
      <c r="L17" s="17"/>
      <c r="M17" s="17"/>
      <c r="N17" s="17"/>
      <c r="O17" s="17"/>
      <c r="Q17" s="7">
        <f t="shared" si="0"/>
        <v>0</v>
      </c>
      <c r="R17" s="7" t="e">
        <f>IF(VLOOKUP($A17,'Concrete Beam Schedule'!$A$2:$Q$2902,R$2,0)&lt;&gt;B17,VLOOKUP($A17,'Concrete Beam Schedule'!$A$2:$Q$2902,R$2,0),"")</f>
        <v>#N/A</v>
      </c>
      <c r="S17" s="7" t="e">
        <f>IF(VLOOKUP($A17,'Concrete Beam Schedule'!$A$2:$Q$2902,S$2,0)&lt;&gt;C17,VLOOKUP($A17,'Concrete Beam Schedule'!$A$2:$Q$2902,S$2,0),"")</f>
        <v>#N/A</v>
      </c>
      <c r="T17" s="7" t="e">
        <f>IF(VLOOKUP($A17,'Concrete Beam Schedule'!$A$2:$Q$2902,T$2,0)&lt;&gt;D17,"Beam Revised","")</f>
        <v>#N/A</v>
      </c>
      <c r="U17" s="7" t="e">
        <f>IF(VLOOKUP($A17,'Concrete Beam Schedule'!$A$2:$Q$2902,U$2,0)&lt;&gt;E17,"Beam Revised","")</f>
        <v>#N/A</v>
      </c>
      <c r="V17" s="7" t="e">
        <f>IF(VLOOKUP($A17,'Concrete Beam Schedule'!$A$2:$Q$2902,V$2,0)&lt;&gt;F17,"Beam Revised","")</f>
        <v>#N/A</v>
      </c>
      <c r="W17" s="7" t="e">
        <f>IF(VLOOKUP($A17,'Concrete Beam Schedule'!$A$2:$Q$2902,W$2,0)&lt;&gt;G17,"Beam Revised","")</f>
        <v>#N/A</v>
      </c>
      <c r="X17" s="7" t="e">
        <f>IF(VLOOKUP($A17,'Concrete Beam Schedule'!$A$2:$Q$2902,X$2,0)&lt;&gt;H17,"Beam Revised","")</f>
        <v>#N/A</v>
      </c>
      <c r="Y17" s="7" t="e">
        <f>IF(VLOOKUP($A17,'Concrete Beam Schedule'!$A$2:$Q$2902,Y$2,0)&lt;&gt;I17,"Beam Revised","")</f>
        <v>#N/A</v>
      </c>
      <c r="Z17" s="7" t="e">
        <f>IF(VLOOKUP($A17,'Concrete Beam Schedule'!$A$2:$Q$2902,Z$2,0)&lt;&gt;J17,"Beam Revised","")</f>
        <v>#N/A</v>
      </c>
      <c r="AA17" s="7" t="e">
        <f>IF(VLOOKUP($A17,'Concrete Beam Schedule'!$A$2:$Q$2902,AA$2,0)&lt;&gt;K17,"Beam Revised","")</f>
        <v>#N/A</v>
      </c>
      <c r="AB17" s="7" t="e">
        <f>IF(VLOOKUP($A17,'Concrete Beam Schedule'!$A$2:$Q$2902,AB$2,0)&lt;&gt;L17,"Beam Revised","")</f>
        <v>#N/A</v>
      </c>
      <c r="AC17" s="7" t="e">
        <f>IF(VLOOKUP($A17,'Concrete Beam Schedule'!$A$2:$Q$2902,AC$2,0)&lt;&gt;M17,"Beam Revised","")</f>
        <v>#N/A</v>
      </c>
      <c r="AD17" s="7" t="e">
        <f>IF(VLOOKUP($A17,'Concrete Beam Schedule'!$A$2:$Q$2902,AD$2,0)&lt;&gt;N17,"Beam Revised","")</f>
        <v>#N/A</v>
      </c>
      <c r="AE17" s="7" t="e">
        <f>IF(VLOOKUP($A17,'Concrete Beam Schedule'!$A$2:$Q$2902,AE$2,0)&lt;&gt;O17,"Beam Revised","")</f>
        <v>#N/A</v>
      </c>
    </row>
    <row r="18" spans="1:31" ht="25.5" customHeight="1" x14ac:dyDescent="0.25">
      <c r="A18" s="17"/>
      <c r="B18" s="17"/>
      <c r="C18" s="17"/>
      <c r="D18" s="17"/>
      <c r="E18" s="17"/>
      <c r="F18" s="17"/>
      <c r="G18" s="17"/>
      <c r="H18" s="17"/>
      <c r="I18" s="17"/>
      <c r="J18" s="17"/>
      <c r="K18" s="17"/>
      <c r="L18" s="17"/>
      <c r="M18" s="17"/>
      <c r="N18" s="17"/>
      <c r="O18" s="17"/>
      <c r="Q18" s="7">
        <f t="shared" si="0"/>
        <v>0</v>
      </c>
      <c r="R18" s="7" t="e">
        <f>IF(VLOOKUP($A18,'Concrete Beam Schedule'!$A$2:$Q$2902,R$2,0)&lt;&gt;B18,VLOOKUP($A18,'Concrete Beam Schedule'!$A$2:$Q$2902,R$2,0),"")</f>
        <v>#N/A</v>
      </c>
      <c r="S18" s="7" t="e">
        <f>IF(VLOOKUP($A18,'Concrete Beam Schedule'!$A$2:$Q$2902,S$2,0)&lt;&gt;C18,VLOOKUP($A18,'Concrete Beam Schedule'!$A$2:$Q$2902,S$2,0),"")</f>
        <v>#N/A</v>
      </c>
      <c r="T18" s="7" t="e">
        <f>IF(VLOOKUP($A18,'Concrete Beam Schedule'!$A$2:$Q$2902,T$2,0)&lt;&gt;D18,"Beam Revised","")</f>
        <v>#N/A</v>
      </c>
      <c r="U18" s="7" t="e">
        <f>IF(VLOOKUP($A18,'Concrete Beam Schedule'!$A$2:$Q$2902,U$2,0)&lt;&gt;E18,"Beam Revised","")</f>
        <v>#N/A</v>
      </c>
      <c r="V18" s="7" t="e">
        <f>IF(VLOOKUP($A18,'Concrete Beam Schedule'!$A$2:$Q$2902,V$2,0)&lt;&gt;F18,"Beam Revised","")</f>
        <v>#N/A</v>
      </c>
      <c r="W18" s="7" t="e">
        <f>IF(VLOOKUP($A18,'Concrete Beam Schedule'!$A$2:$Q$2902,W$2,0)&lt;&gt;G18,"Beam Revised","")</f>
        <v>#N/A</v>
      </c>
      <c r="X18" s="7" t="e">
        <f>IF(VLOOKUP($A18,'Concrete Beam Schedule'!$A$2:$Q$2902,X$2,0)&lt;&gt;H18,"Beam Revised","")</f>
        <v>#N/A</v>
      </c>
      <c r="Y18" s="7" t="e">
        <f>IF(VLOOKUP($A18,'Concrete Beam Schedule'!$A$2:$Q$2902,Y$2,0)&lt;&gt;I18,"Beam Revised","")</f>
        <v>#N/A</v>
      </c>
      <c r="Z18" s="7" t="e">
        <f>IF(VLOOKUP($A18,'Concrete Beam Schedule'!$A$2:$Q$2902,Z$2,0)&lt;&gt;J18,"Beam Revised","")</f>
        <v>#N/A</v>
      </c>
      <c r="AA18" s="7" t="e">
        <f>IF(VLOOKUP($A18,'Concrete Beam Schedule'!$A$2:$Q$2902,AA$2,0)&lt;&gt;K18,"Beam Revised","")</f>
        <v>#N/A</v>
      </c>
      <c r="AB18" s="7" t="e">
        <f>IF(VLOOKUP($A18,'Concrete Beam Schedule'!$A$2:$Q$2902,AB$2,0)&lt;&gt;L18,"Beam Revised","")</f>
        <v>#N/A</v>
      </c>
      <c r="AC18" s="7" t="e">
        <f>IF(VLOOKUP($A18,'Concrete Beam Schedule'!$A$2:$Q$2902,AC$2,0)&lt;&gt;M18,"Beam Revised","")</f>
        <v>#N/A</v>
      </c>
      <c r="AD18" s="7" t="e">
        <f>IF(VLOOKUP($A18,'Concrete Beam Schedule'!$A$2:$Q$2902,AD$2,0)&lt;&gt;N18,"Beam Revised","")</f>
        <v>#N/A</v>
      </c>
      <c r="AE18" s="7" t="e">
        <f>IF(VLOOKUP($A18,'Concrete Beam Schedule'!$A$2:$Q$2902,AE$2,0)&lt;&gt;O18,"Beam Revised","")</f>
        <v>#N/A</v>
      </c>
    </row>
    <row r="19" spans="1:31" ht="25.5" customHeight="1" x14ac:dyDescent="0.25">
      <c r="A19" s="17"/>
      <c r="B19" s="17"/>
      <c r="C19" s="17"/>
      <c r="D19" s="17"/>
      <c r="E19" s="17"/>
      <c r="F19" s="17"/>
      <c r="G19" s="17"/>
      <c r="H19" s="17"/>
      <c r="I19" s="17"/>
      <c r="J19" s="17"/>
      <c r="K19" s="17"/>
      <c r="L19" s="17"/>
      <c r="M19" s="17"/>
      <c r="N19" s="17"/>
      <c r="O19" s="17"/>
      <c r="Q19" s="7">
        <f t="shared" si="0"/>
        <v>0</v>
      </c>
      <c r="R19" s="7" t="e">
        <f>IF(VLOOKUP($A19,'Concrete Beam Schedule'!$A$2:$Q$2902,R$2,0)&lt;&gt;B19,VLOOKUP($A19,'Concrete Beam Schedule'!$A$2:$Q$2902,R$2,0),"")</f>
        <v>#N/A</v>
      </c>
      <c r="S19" s="7" t="e">
        <f>IF(VLOOKUP($A19,'Concrete Beam Schedule'!$A$2:$Q$2902,S$2,0)&lt;&gt;C19,VLOOKUP($A19,'Concrete Beam Schedule'!$A$2:$Q$2902,S$2,0),"")</f>
        <v>#N/A</v>
      </c>
      <c r="T19" s="7" t="e">
        <f>IF(VLOOKUP($A19,'Concrete Beam Schedule'!$A$2:$Q$2902,T$2,0)&lt;&gt;D19,"Beam Revised","")</f>
        <v>#N/A</v>
      </c>
      <c r="U19" s="7" t="e">
        <f>IF(VLOOKUP($A19,'Concrete Beam Schedule'!$A$2:$Q$2902,U$2,0)&lt;&gt;E19,"Beam Revised","")</f>
        <v>#N/A</v>
      </c>
      <c r="V19" s="7" t="e">
        <f>IF(VLOOKUP($A19,'Concrete Beam Schedule'!$A$2:$Q$2902,V$2,0)&lt;&gt;F19,"Beam Revised","")</f>
        <v>#N/A</v>
      </c>
      <c r="W19" s="7" t="e">
        <f>IF(VLOOKUP($A19,'Concrete Beam Schedule'!$A$2:$Q$2902,W$2,0)&lt;&gt;G19,"Beam Revised","")</f>
        <v>#N/A</v>
      </c>
      <c r="X19" s="7" t="e">
        <f>IF(VLOOKUP($A19,'Concrete Beam Schedule'!$A$2:$Q$2902,X$2,0)&lt;&gt;H19,"Beam Revised","")</f>
        <v>#N/A</v>
      </c>
      <c r="Y19" s="7" t="e">
        <f>IF(VLOOKUP($A19,'Concrete Beam Schedule'!$A$2:$Q$2902,Y$2,0)&lt;&gt;I19,"Beam Revised","")</f>
        <v>#N/A</v>
      </c>
      <c r="Z19" s="7" t="e">
        <f>IF(VLOOKUP($A19,'Concrete Beam Schedule'!$A$2:$Q$2902,Z$2,0)&lt;&gt;J19,"Beam Revised","")</f>
        <v>#N/A</v>
      </c>
      <c r="AA19" s="7" t="e">
        <f>IF(VLOOKUP($A19,'Concrete Beam Schedule'!$A$2:$Q$2902,AA$2,0)&lt;&gt;K19,"Beam Revised","")</f>
        <v>#N/A</v>
      </c>
      <c r="AB19" s="7" t="e">
        <f>IF(VLOOKUP($A19,'Concrete Beam Schedule'!$A$2:$Q$2902,AB$2,0)&lt;&gt;L19,"Beam Revised","")</f>
        <v>#N/A</v>
      </c>
      <c r="AC19" s="7" t="e">
        <f>IF(VLOOKUP($A19,'Concrete Beam Schedule'!$A$2:$Q$2902,AC$2,0)&lt;&gt;M19,"Beam Revised","")</f>
        <v>#N/A</v>
      </c>
      <c r="AD19" s="7" t="e">
        <f>IF(VLOOKUP($A19,'Concrete Beam Schedule'!$A$2:$Q$2902,AD$2,0)&lt;&gt;N19,"Beam Revised","")</f>
        <v>#N/A</v>
      </c>
      <c r="AE19" s="7" t="e">
        <f>IF(VLOOKUP($A19,'Concrete Beam Schedule'!$A$2:$Q$2902,AE$2,0)&lt;&gt;O19,"Beam Revised","")</f>
        <v>#N/A</v>
      </c>
    </row>
    <row r="20" spans="1:31" ht="25.5" customHeight="1" x14ac:dyDescent="0.25">
      <c r="A20" s="17"/>
      <c r="B20" s="17"/>
      <c r="C20" s="17"/>
      <c r="D20" s="17"/>
      <c r="E20" s="17"/>
      <c r="F20" s="17"/>
      <c r="G20" s="17"/>
      <c r="H20" s="17"/>
      <c r="I20" s="17"/>
      <c r="J20" s="17"/>
      <c r="K20" s="17"/>
      <c r="L20" s="17"/>
      <c r="M20" s="17"/>
      <c r="N20" s="17"/>
      <c r="O20" s="17"/>
      <c r="Q20" s="7">
        <f t="shared" si="0"/>
        <v>0</v>
      </c>
      <c r="R20" s="7" t="e">
        <f>IF(VLOOKUP($A20,'Concrete Beam Schedule'!$A$2:$Q$2902,R$2,0)&lt;&gt;B20,VLOOKUP($A20,'Concrete Beam Schedule'!$A$2:$Q$2902,R$2,0),"")</f>
        <v>#N/A</v>
      </c>
      <c r="S20" s="7" t="e">
        <f>IF(VLOOKUP($A20,'Concrete Beam Schedule'!$A$2:$Q$2902,S$2,0)&lt;&gt;C20,VLOOKUP($A20,'Concrete Beam Schedule'!$A$2:$Q$2902,S$2,0),"")</f>
        <v>#N/A</v>
      </c>
      <c r="T20" s="7" t="e">
        <f>IF(VLOOKUP($A20,'Concrete Beam Schedule'!$A$2:$Q$2902,T$2,0)&lt;&gt;D20,"Beam Revised","")</f>
        <v>#N/A</v>
      </c>
      <c r="U20" s="7" t="e">
        <f>IF(VLOOKUP($A20,'Concrete Beam Schedule'!$A$2:$Q$2902,U$2,0)&lt;&gt;E20,"Beam Revised","")</f>
        <v>#N/A</v>
      </c>
      <c r="V20" s="7" t="e">
        <f>IF(VLOOKUP($A20,'Concrete Beam Schedule'!$A$2:$Q$2902,V$2,0)&lt;&gt;F20,"Beam Revised","")</f>
        <v>#N/A</v>
      </c>
      <c r="W20" s="7" t="e">
        <f>IF(VLOOKUP($A20,'Concrete Beam Schedule'!$A$2:$Q$2902,W$2,0)&lt;&gt;G20,"Beam Revised","")</f>
        <v>#N/A</v>
      </c>
      <c r="X20" s="7" t="e">
        <f>IF(VLOOKUP($A20,'Concrete Beam Schedule'!$A$2:$Q$2902,X$2,0)&lt;&gt;H20,"Beam Revised","")</f>
        <v>#N/A</v>
      </c>
      <c r="Y20" s="7" t="e">
        <f>IF(VLOOKUP($A20,'Concrete Beam Schedule'!$A$2:$Q$2902,Y$2,0)&lt;&gt;I20,"Beam Revised","")</f>
        <v>#N/A</v>
      </c>
      <c r="Z20" s="7" t="e">
        <f>IF(VLOOKUP($A20,'Concrete Beam Schedule'!$A$2:$Q$2902,Z$2,0)&lt;&gt;J20,"Beam Revised","")</f>
        <v>#N/A</v>
      </c>
      <c r="AA20" s="7" t="e">
        <f>IF(VLOOKUP($A20,'Concrete Beam Schedule'!$A$2:$Q$2902,AA$2,0)&lt;&gt;K20,"Beam Revised","")</f>
        <v>#N/A</v>
      </c>
      <c r="AB20" s="7" t="e">
        <f>IF(VLOOKUP($A20,'Concrete Beam Schedule'!$A$2:$Q$2902,AB$2,0)&lt;&gt;L20,"Beam Revised","")</f>
        <v>#N/A</v>
      </c>
      <c r="AC20" s="7" t="e">
        <f>IF(VLOOKUP($A20,'Concrete Beam Schedule'!$A$2:$Q$2902,AC$2,0)&lt;&gt;M20,"Beam Revised","")</f>
        <v>#N/A</v>
      </c>
      <c r="AD20" s="7" t="e">
        <f>IF(VLOOKUP($A20,'Concrete Beam Schedule'!$A$2:$Q$2902,AD$2,0)&lt;&gt;N20,"Beam Revised","")</f>
        <v>#N/A</v>
      </c>
      <c r="AE20" s="7" t="e">
        <f>IF(VLOOKUP($A20,'Concrete Beam Schedule'!$A$2:$Q$2902,AE$2,0)&lt;&gt;O20,"Beam Revised","")</f>
        <v>#N/A</v>
      </c>
    </row>
    <row r="21" spans="1:31" ht="25.5" customHeight="1" x14ac:dyDescent="0.25">
      <c r="A21" s="17"/>
      <c r="B21" s="17"/>
      <c r="C21" s="17"/>
      <c r="D21" s="17"/>
      <c r="E21" s="17"/>
      <c r="F21" s="17"/>
      <c r="G21" s="17"/>
      <c r="H21" s="17"/>
      <c r="I21" s="17"/>
      <c r="J21" s="17"/>
      <c r="K21" s="17"/>
      <c r="L21" s="17"/>
      <c r="M21" s="17"/>
      <c r="N21" s="17"/>
      <c r="O21" s="17"/>
      <c r="Q21" s="7">
        <f t="shared" si="0"/>
        <v>0</v>
      </c>
      <c r="R21" s="7" t="e">
        <f>IF(VLOOKUP($A21,'Concrete Beam Schedule'!$A$2:$Q$2902,R$2,0)&lt;&gt;B21,VLOOKUP($A21,'Concrete Beam Schedule'!$A$2:$Q$2902,R$2,0),"")</f>
        <v>#N/A</v>
      </c>
      <c r="S21" s="7" t="e">
        <f>IF(VLOOKUP($A21,'Concrete Beam Schedule'!$A$2:$Q$2902,S$2,0)&lt;&gt;C21,VLOOKUP($A21,'Concrete Beam Schedule'!$A$2:$Q$2902,S$2,0),"")</f>
        <v>#N/A</v>
      </c>
      <c r="T21" s="7" t="e">
        <f>IF(VLOOKUP($A21,'Concrete Beam Schedule'!$A$2:$Q$2902,T$2,0)&lt;&gt;D21,"Beam Revised","")</f>
        <v>#N/A</v>
      </c>
      <c r="U21" s="7" t="e">
        <f>IF(VLOOKUP($A21,'Concrete Beam Schedule'!$A$2:$Q$2902,U$2,0)&lt;&gt;E21,"Beam Revised","")</f>
        <v>#N/A</v>
      </c>
      <c r="V21" s="7" t="e">
        <f>IF(VLOOKUP($A21,'Concrete Beam Schedule'!$A$2:$Q$2902,V$2,0)&lt;&gt;F21,"Beam Revised","")</f>
        <v>#N/A</v>
      </c>
      <c r="W21" s="7" t="e">
        <f>IF(VLOOKUP($A21,'Concrete Beam Schedule'!$A$2:$Q$2902,W$2,0)&lt;&gt;G21,"Beam Revised","")</f>
        <v>#N/A</v>
      </c>
      <c r="X21" s="7" t="e">
        <f>IF(VLOOKUP($A21,'Concrete Beam Schedule'!$A$2:$Q$2902,X$2,0)&lt;&gt;H21,"Beam Revised","")</f>
        <v>#N/A</v>
      </c>
      <c r="Y21" s="7" t="e">
        <f>IF(VLOOKUP($A21,'Concrete Beam Schedule'!$A$2:$Q$2902,Y$2,0)&lt;&gt;I21,"Beam Revised","")</f>
        <v>#N/A</v>
      </c>
      <c r="Z21" s="7" t="e">
        <f>IF(VLOOKUP($A21,'Concrete Beam Schedule'!$A$2:$Q$2902,Z$2,0)&lt;&gt;J21,"Beam Revised","")</f>
        <v>#N/A</v>
      </c>
      <c r="AA21" s="7" t="e">
        <f>IF(VLOOKUP($A21,'Concrete Beam Schedule'!$A$2:$Q$2902,AA$2,0)&lt;&gt;K21,"Beam Revised","")</f>
        <v>#N/A</v>
      </c>
      <c r="AB21" s="7" t="e">
        <f>IF(VLOOKUP($A21,'Concrete Beam Schedule'!$A$2:$Q$2902,AB$2,0)&lt;&gt;L21,"Beam Revised","")</f>
        <v>#N/A</v>
      </c>
      <c r="AC21" s="7" t="e">
        <f>IF(VLOOKUP($A21,'Concrete Beam Schedule'!$A$2:$Q$2902,AC$2,0)&lt;&gt;M21,"Beam Revised","")</f>
        <v>#N/A</v>
      </c>
      <c r="AD21" s="7" t="e">
        <f>IF(VLOOKUP($A21,'Concrete Beam Schedule'!$A$2:$Q$2902,AD$2,0)&lt;&gt;N21,"Beam Revised","")</f>
        <v>#N/A</v>
      </c>
      <c r="AE21" s="7" t="e">
        <f>IF(VLOOKUP($A21,'Concrete Beam Schedule'!$A$2:$Q$2902,AE$2,0)&lt;&gt;O21,"Beam Revised","")</f>
        <v>#N/A</v>
      </c>
    </row>
    <row r="22" spans="1:31" ht="25.5" customHeight="1" x14ac:dyDescent="0.25">
      <c r="A22" s="17"/>
      <c r="B22" s="17"/>
      <c r="C22" s="17"/>
      <c r="D22" s="17"/>
      <c r="E22" s="17"/>
      <c r="F22" s="17"/>
      <c r="G22" s="17"/>
      <c r="H22" s="17"/>
      <c r="I22" s="17"/>
      <c r="J22" s="17"/>
      <c r="K22" s="17"/>
      <c r="L22" s="17"/>
      <c r="M22" s="17"/>
      <c r="N22" s="17"/>
      <c r="O22" s="17"/>
      <c r="Q22" s="7">
        <f t="shared" si="0"/>
        <v>0</v>
      </c>
      <c r="R22" s="7" t="e">
        <f>IF(VLOOKUP($A22,'Concrete Beam Schedule'!$A$2:$Q$2902,R$2,0)&lt;&gt;B22,VLOOKUP($A22,'Concrete Beam Schedule'!$A$2:$Q$2902,R$2,0),"")</f>
        <v>#N/A</v>
      </c>
      <c r="S22" s="7" t="e">
        <f>IF(VLOOKUP($A22,'Concrete Beam Schedule'!$A$2:$Q$2902,S$2,0)&lt;&gt;C22,VLOOKUP($A22,'Concrete Beam Schedule'!$A$2:$Q$2902,S$2,0),"")</f>
        <v>#N/A</v>
      </c>
      <c r="T22" s="7" t="e">
        <f>IF(VLOOKUP($A22,'Concrete Beam Schedule'!$A$2:$Q$2902,T$2,0)&lt;&gt;D22,"Beam Revised","")</f>
        <v>#N/A</v>
      </c>
      <c r="U22" s="7" t="e">
        <f>IF(VLOOKUP($A22,'Concrete Beam Schedule'!$A$2:$Q$2902,U$2,0)&lt;&gt;E22,"Beam Revised","")</f>
        <v>#N/A</v>
      </c>
      <c r="V22" s="7" t="e">
        <f>IF(VLOOKUP($A22,'Concrete Beam Schedule'!$A$2:$Q$2902,V$2,0)&lt;&gt;F22,"Beam Revised","")</f>
        <v>#N/A</v>
      </c>
      <c r="W22" s="7" t="e">
        <f>IF(VLOOKUP($A22,'Concrete Beam Schedule'!$A$2:$Q$2902,W$2,0)&lt;&gt;G22,"Beam Revised","")</f>
        <v>#N/A</v>
      </c>
      <c r="X22" s="7" t="e">
        <f>IF(VLOOKUP($A22,'Concrete Beam Schedule'!$A$2:$Q$2902,X$2,0)&lt;&gt;H22,"Beam Revised","")</f>
        <v>#N/A</v>
      </c>
      <c r="Y22" s="7" t="e">
        <f>IF(VLOOKUP($A22,'Concrete Beam Schedule'!$A$2:$Q$2902,Y$2,0)&lt;&gt;I22,"Beam Revised","")</f>
        <v>#N/A</v>
      </c>
      <c r="Z22" s="7" t="e">
        <f>IF(VLOOKUP($A22,'Concrete Beam Schedule'!$A$2:$Q$2902,Z$2,0)&lt;&gt;J22,"Beam Revised","")</f>
        <v>#N/A</v>
      </c>
      <c r="AA22" s="7" t="e">
        <f>IF(VLOOKUP($A22,'Concrete Beam Schedule'!$A$2:$Q$2902,AA$2,0)&lt;&gt;K22,"Beam Revised","")</f>
        <v>#N/A</v>
      </c>
      <c r="AB22" s="7" t="e">
        <f>IF(VLOOKUP($A22,'Concrete Beam Schedule'!$A$2:$Q$2902,AB$2,0)&lt;&gt;L22,"Beam Revised","")</f>
        <v>#N/A</v>
      </c>
      <c r="AC22" s="7" t="e">
        <f>IF(VLOOKUP($A22,'Concrete Beam Schedule'!$A$2:$Q$2902,AC$2,0)&lt;&gt;M22,"Beam Revised","")</f>
        <v>#N/A</v>
      </c>
      <c r="AD22" s="7" t="e">
        <f>IF(VLOOKUP($A22,'Concrete Beam Schedule'!$A$2:$Q$2902,AD$2,0)&lt;&gt;N22,"Beam Revised","")</f>
        <v>#N/A</v>
      </c>
      <c r="AE22" s="7" t="e">
        <f>IF(VLOOKUP($A22,'Concrete Beam Schedule'!$A$2:$Q$2902,AE$2,0)&lt;&gt;O22,"Beam Revised","")</f>
        <v>#N/A</v>
      </c>
    </row>
    <row r="23" spans="1:31" ht="25.5" customHeight="1" x14ac:dyDescent="0.25">
      <c r="A23" s="17"/>
      <c r="B23" s="17"/>
      <c r="C23" s="17"/>
      <c r="D23" s="17"/>
      <c r="E23" s="17"/>
      <c r="F23" s="17"/>
      <c r="G23" s="17"/>
      <c r="H23" s="17"/>
      <c r="I23" s="17"/>
      <c r="J23" s="17"/>
      <c r="K23" s="17"/>
      <c r="L23" s="17"/>
      <c r="M23" s="17"/>
      <c r="N23" s="17"/>
      <c r="O23" s="17"/>
      <c r="Q23" s="7">
        <f t="shared" si="0"/>
        <v>0</v>
      </c>
      <c r="R23" s="7" t="e">
        <f>IF(VLOOKUP($A23,'Concrete Beam Schedule'!$A$2:$Q$2902,R$2,0)&lt;&gt;B23,VLOOKUP($A23,'Concrete Beam Schedule'!$A$2:$Q$2902,R$2,0),"")</f>
        <v>#N/A</v>
      </c>
      <c r="S23" s="7" t="e">
        <f>IF(VLOOKUP($A23,'Concrete Beam Schedule'!$A$2:$Q$2902,S$2,0)&lt;&gt;C23,VLOOKUP($A23,'Concrete Beam Schedule'!$A$2:$Q$2902,S$2,0),"")</f>
        <v>#N/A</v>
      </c>
      <c r="T23" s="7" t="e">
        <f>IF(VLOOKUP($A23,'Concrete Beam Schedule'!$A$2:$Q$2902,T$2,0)&lt;&gt;D23,"Beam Revised","")</f>
        <v>#N/A</v>
      </c>
      <c r="U23" s="7" t="e">
        <f>IF(VLOOKUP($A23,'Concrete Beam Schedule'!$A$2:$Q$2902,U$2,0)&lt;&gt;E23,"Beam Revised","")</f>
        <v>#N/A</v>
      </c>
      <c r="V23" s="7" t="e">
        <f>IF(VLOOKUP($A23,'Concrete Beam Schedule'!$A$2:$Q$2902,V$2,0)&lt;&gt;F23,"Beam Revised","")</f>
        <v>#N/A</v>
      </c>
      <c r="W23" s="7" t="e">
        <f>IF(VLOOKUP($A23,'Concrete Beam Schedule'!$A$2:$Q$2902,W$2,0)&lt;&gt;G23,"Beam Revised","")</f>
        <v>#N/A</v>
      </c>
      <c r="X23" s="7" t="e">
        <f>IF(VLOOKUP($A23,'Concrete Beam Schedule'!$A$2:$Q$2902,X$2,0)&lt;&gt;H23,"Beam Revised","")</f>
        <v>#N/A</v>
      </c>
      <c r="Y23" s="7" t="e">
        <f>IF(VLOOKUP($A23,'Concrete Beam Schedule'!$A$2:$Q$2902,Y$2,0)&lt;&gt;I23,"Beam Revised","")</f>
        <v>#N/A</v>
      </c>
      <c r="Z23" s="7" t="e">
        <f>IF(VLOOKUP($A23,'Concrete Beam Schedule'!$A$2:$Q$2902,Z$2,0)&lt;&gt;J23,"Beam Revised","")</f>
        <v>#N/A</v>
      </c>
      <c r="AA23" s="7" t="e">
        <f>IF(VLOOKUP($A23,'Concrete Beam Schedule'!$A$2:$Q$2902,AA$2,0)&lt;&gt;K23,"Beam Revised","")</f>
        <v>#N/A</v>
      </c>
      <c r="AB23" s="7" t="e">
        <f>IF(VLOOKUP($A23,'Concrete Beam Schedule'!$A$2:$Q$2902,AB$2,0)&lt;&gt;L23,"Beam Revised","")</f>
        <v>#N/A</v>
      </c>
      <c r="AC23" s="7" t="e">
        <f>IF(VLOOKUP($A23,'Concrete Beam Schedule'!$A$2:$Q$2902,AC$2,0)&lt;&gt;M23,"Beam Revised","")</f>
        <v>#N/A</v>
      </c>
      <c r="AD23" s="7" t="e">
        <f>IF(VLOOKUP($A23,'Concrete Beam Schedule'!$A$2:$Q$2902,AD$2,0)&lt;&gt;N23,"Beam Revised","")</f>
        <v>#N/A</v>
      </c>
      <c r="AE23" s="7" t="e">
        <f>IF(VLOOKUP($A23,'Concrete Beam Schedule'!$A$2:$Q$2902,AE$2,0)&lt;&gt;O23,"Beam Revised","")</f>
        <v>#N/A</v>
      </c>
    </row>
    <row r="24" spans="1:31" ht="25.5" customHeight="1" x14ac:dyDescent="0.25">
      <c r="A24" s="17"/>
      <c r="B24" s="17"/>
      <c r="C24" s="17"/>
      <c r="D24" s="17"/>
      <c r="E24" s="17"/>
      <c r="F24" s="17"/>
      <c r="G24" s="17"/>
      <c r="H24" s="17"/>
      <c r="I24" s="17"/>
      <c r="J24" s="17"/>
      <c r="K24" s="17"/>
      <c r="L24" s="17"/>
      <c r="M24" s="17"/>
      <c r="N24" s="17"/>
      <c r="O24" s="17"/>
      <c r="Q24" s="7">
        <f t="shared" si="0"/>
        <v>0</v>
      </c>
      <c r="R24" s="7" t="e">
        <f>IF(VLOOKUP($A24,'Concrete Beam Schedule'!$A$2:$Q$2902,R$2,0)&lt;&gt;B24,VLOOKUP($A24,'Concrete Beam Schedule'!$A$2:$Q$2902,R$2,0),"")</f>
        <v>#N/A</v>
      </c>
      <c r="S24" s="7" t="e">
        <f>IF(VLOOKUP($A24,'Concrete Beam Schedule'!$A$2:$Q$2902,S$2,0)&lt;&gt;C24,VLOOKUP($A24,'Concrete Beam Schedule'!$A$2:$Q$2902,S$2,0),"")</f>
        <v>#N/A</v>
      </c>
      <c r="T24" s="7" t="e">
        <f>IF(VLOOKUP($A24,'Concrete Beam Schedule'!$A$2:$Q$2902,T$2,0)&lt;&gt;D24,"Beam Revised","")</f>
        <v>#N/A</v>
      </c>
      <c r="U24" s="7" t="e">
        <f>IF(VLOOKUP($A24,'Concrete Beam Schedule'!$A$2:$Q$2902,U$2,0)&lt;&gt;E24,"Beam Revised","")</f>
        <v>#N/A</v>
      </c>
      <c r="V24" s="7" t="e">
        <f>IF(VLOOKUP($A24,'Concrete Beam Schedule'!$A$2:$Q$2902,V$2,0)&lt;&gt;F24,"Beam Revised","")</f>
        <v>#N/A</v>
      </c>
      <c r="W24" s="7" t="e">
        <f>IF(VLOOKUP($A24,'Concrete Beam Schedule'!$A$2:$Q$2902,W$2,0)&lt;&gt;G24,"Beam Revised","")</f>
        <v>#N/A</v>
      </c>
      <c r="X24" s="7" t="e">
        <f>IF(VLOOKUP($A24,'Concrete Beam Schedule'!$A$2:$Q$2902,X$2,0)&lt;&gt;H24,"Beam Revised","")</f>
        <v>#N/A</v>
      </c>
      <c r="Y24" s="7" t="e">
        <f>IF(VLOOKUP($A24,'Concrete Beam Schedule'!$A$2:$Q$2902,Y$2,0)&lt;&gt;I24,"Beam Revised","")</f>
        <v>#N/A</v>
      </c>
      <c r="Z24" s="7" t="e">
        <f>IF(VLOOKUP($A24,'Concrete Beam Schedule'!$A$2:$Q$2902,Z$2,0)&lt;&gt;J24,"Beam Revised","")</f>
        <v>#N/A</v>
      </c>
      <c r="AA24" s="7" t="e">
        <f>IF(VLOOKUP($A24,'Concrete Beam Schedule'!$A$2:$Q$2902,AA$2,0)&lt;&gt;K24,"Beam Revised","")</f>
        <v>#N/A</v>
      </c>
      <c r="AB24" s="7" t="e">
        <f>IF(VLOOKUP($A24,'Concrete Beam Schedule'!$A$2:$Q$2902,AB$2,0)&lt;&gt;L24,"Beam Revised","")</f>
        <v>#N/A</v>
      </c>
      <c r="AC24" s="7" t="e">
        <f>IF(VLOOKUP($A24,'Concrete Beam Schedule'!$A$2:$Q$2902,AC$2,0)&lt;&gt;M24,"Beam Revised","")</f>
        <v>#N/A</v>
      </c>
      <c r="AD24" s="7" t="e">
        <f>IF(VLOOKUP($A24,'Concrete Beam Schedule'!$A$2:$Q$2902,AD$2,0)&lt;&gt;N24,"Beam Revised","")</f>
        <v>#N/A</v>
      </c>
      <c r="AE24" s="7" t="e">
        <f>IF(VLOOKUP($A24,'Concrete Beam Schedule'!$A$2:$Q$2902,AE$2,0)&lt;&gt;O24,"Beam Revised","")</f>
        <v>#N/A</v>
      </c>
    </row>
    <row r="25" spans="1:31" ht="25.5" customHeight="1" x14ac:dyDescent="0.25">
      <c r="A25" s="17"/>
      <c r="B25" s="17"/>
      <c r="C25" s="17"/>
      <c r="D25" s="17"/>
      <c r="E25" s="17"/>
      <c r="F25" s="17"/>
      <c r="G25" s="17"/>
      <c r="H25" s="17"/>
      <c r="I25" s="17"/>
      <c r="J25" s="17"/>
      <c r="K25" s="17"/>
      <c r="L25" s="17"/>
      <c r="M25" s="17"/>
      <c r="N25" s="17"/>
      <c r="O25" s="17"/>
      <c r="Q25" s="7">
        <f t="shared" si="0"/>
        <v>0</v>
      </c>
      <c r="R25" s="7" t="e">
        <f>IF(VLOOKUP($A25,'Concrete Beam Schedule'!$A$2:$Q$2902,R$2,0)&lt;&gt;B25,VLOOKUP($A25,'Concrete Beam Schedule'!$A$2:$Q$2902,R$2,0),"")</f>
        <v>#N/A</v>
      </c>
      <c r="S25" s="7" t="e">
        <f>IF(VLOOKUP($A25,'Concrete Beam Schedule'!$A$2:$Q$2902,S$2,0)&lt;&gt;C25,VLOOKUP($A25,'Concrete Beam Schedule'!$A$2:$Q$2902,S$2,0),"")</f>
        <v>#N/A</v>
      </c>
      <c r="T25" s="7" t="e">
        <f>IF(VLOOKUP($A25,'Concrete Beam Schedule'!$A$2:$Q$2902,T$2,0)&lt;&gt;D25,"Beam Revised","")</f>
        <v>#N/A</v>
      </c>
      <c r="U25" s="7" t="e">
        <f>IF(VLOOKUP($A25,'Concrete Beam Schedule'!$A$2:$Q$2902,U$2,0)&lt;&gt;E25,"Beam Revised","")</f>
        <v>#N/A</v>
      </c>
      <c r="V25" s="7" t="e">
        <f>IF(VLOOKUP($A25,'Concrete Beam Schedule'!$A$2:$Q$2902,V$2,0)&lt;&gt;F25,"Beam Revised","")</f>
        <v>#N/A</v>
      </c>
      <c r="W25" s="7" t="e">
        <f>IF(VLOOKUP($A25,'Concrete Beam Schedule'!$A$2:$Q$2902,W$2,0)&lt;&gt;G25,"Beam Revised","")</f>
        <v>#N/A</v>
      </c>
      <c r="X25" s="7" t="e">
        <f>IF(VLOOKUP($A25,'Concrete Beam Schedule'!$A$2:$Q$2902,X$2,0)&lt;&gt;H25,"Beam Revised","")</f>
        <v>#N/A</v>
      </c>
      <c r="Y25" s="7" t="e">
        <f>IF(VLOOKUP($A25,'Concrete Beam Schedule'!$A$2:$Q$2902,Y$2,0)&lt;&gt;I25,"Beam Revised","")</f>
        <v>#N/A</v>
      </c>
      <c r="Z25" s="7" t="e">
        <f>IF(VLOOKUP($A25,'Concrete Beam Schedule'!$A$2:$Q$2902,Z$2,0)&lt;&gt;J25,"Beam Revised","")</f>
        <v>#N/A</v>
      </c>
      <c r="AA25" s="7" t="e">
        <f>IF(VLOOKUP($A25,'Concrete Beam Schedule'!$A$2:$Q$2902,AA$2,0)&lt;&gt;K25,"Beam Revised","")</f>
        <v>#N/A</v>
      </c>
      <c r="AB25" s="7" t="e">
        <f>IF(VLOOKUP($A25,'Concrete Beam Schedule'!$A$2:$Q$2902,AB$2,0)&lt;&gt;L25,"Beam Revised","")</f>
        <v>#N/A</v>
      </c>
      <c r="AC25" s="7" t="e">
        <f>IF(VLOOKUP($A25,'Concrete Beam Schedule'!$A$2:$Q$2902,AC$2,0)&lt;&gt;M25,"Beam Revised","")</f>
        <v>#N/A</v>
      </c>
      <c r="AD25" s="7" t="e">
        <f>IF(VLOOKUP($A25,'Concrete Beam Schedule'!$A$2:$Q$2902,AD$2,0)&lt;&gt;N25,"Beam Revised","")</f>
        <v>#N/A</v>
      </c>
      <c r="AE25" s="7" t="e">
        <f>IF(VLOOKUP($A25,'Concrete Beam Schedule'!$A$2:$Q$2902,AE$2,0)&lt;&gt;O25,"Beam Revised","")</f>
        <v>#N/A</v>
      </c>
    </row>
    <row r="26" spans="1:31" ht="25.5" customHeight="1" x14ac:dyDescent="0.25">
      <c r="A26" s="17"/>
      <c r="B26" s="17"/>
      <c r="C26" s="17"/>
      <c r="D26" s="17"/>
      <c r="E26" s="17"/>
      <c r="F26" s="17"/>
      <c r="G26" s="17"/>
      <c r="H26" s="17"/>
      <c r="I26" s="17"/>
      <c r="J26" s="17"/>
      <c r="K26" s="17"/>
      <c r="L26" s="17"/>
      <c r="M26" s="17"/>
      <c r="N26" s="17"/>
      <c r="O26" s="17"/>
      <c r="Q26" s="7">
        <f t="shared" si="0"/>
        <v>0</v>
      </c>
      <c r="R26" s="7" t="e">
        <f>IF(VLOOKUP($A26,'Concrete Beam Schedule'!$A$2:$Q$2902,R$2,0)&lt;&gt;B26,VLOOKUP($A26,'Concrete Beam Schedule'!$A$2:$Q$2902,R$2,0),"")</f>
        <v>#N/A</v>
      </c>
      <c r="S26" s="7" t="e">
        <f>IF(VLOOKUP($A26,'Concrete Beam Schedule'!$A$2:$Q$2902,S$2,0)&lt;&gt;C26,VLOOKUP($A26,'Concrete Beam Schedule'!$A$2:$Q$2902,S$2,0),"")</f>
        <v>#N/A</v>
      </c>
      <c r="T26" s="7" t="e">
        <f>IF(VLOOKUP($A26,'Concrete Beam Schedule'!$A$2:$Q$2902,T$2,0)&lt;&gt;D26,"Beam Revised","")</f>
        <v>#N/A</v>
      </c>
      <c r="U26" s="7" t="e">
        <f>IF(VLOOKUP($A26,'Concrete Beam Schedule'!$A$2:$Q$2902,U$2,0)&lt;&gt;E26,"Beam Revised","")</f>
        <v>#N/A</v>
      </c>
      <c r="V26" s="7" t="e">
        <f>IF(VLOOKUP($A26,'Concrete Beam Schedule'!$A$2:$Q$2902,V$2,0)&lt;&gt;F26,"Beam Revised","")</f>
        <v>#N/A</v>
      </c>
      <c r="W26" s="7" t="e">
        <f>IF(VLOOKUP($A26,'Concrete Beam Schedule'!$A$2:$Q$2902,W$2,0)&lt;&gt;G26,"Beam Revised","")</f>
        <v>#N/A</v>
      </c>
      <c r="X26" s="7" t="e">
        <f>IF(VLOOKUP($A26,'Concrete Beam Schedule'!$A$2:$Q$2902,X$2,0)&lt;&gt;H26,"Beam Revised","")</f>
        <v>#N/A</v>
      </c>
      <c r="Y26" s="7" t="e">
        <f>IF(VLOOKUP($A26,'Concrete Beam Schedule'!$A$2:$Q$2902,Y$2,0)&lt;&gt;I26,"Beam Revised","")</f>
        <v>#N/A</v>
      </c>
      <c r="Z26" s="7" t="e">
        <f>IF(VLOOKUP($A26,'Concrete Beam Schedule'!$A$2:$Q$2902,Z$2,0)&lt;&gt;J26,"Beam Revised","")</f>
        <v>#N/A</v>
      </c>
      <c r="AA26" s="7" t="e">
        <f>IF(VLOOKUP($A26,'Concrete Beam Schedule'!$A$2:$Q$2902,AA$2,0)&lt;&gt;K26,"Beam Revised","")</f>
        <v>#N/A</v>
      </c>
      <c r="AB26" s="7" t="e">
        <f>IF(VLOOKUP($A26,'Concrete Beam Schedule'!$A$2:$Q$2902,AB$2,0)&lt;&gt;L26,"Beam Revised","")</f>
        <v>#N/A</v>
      </c>
      <c r="AC26" s="7" t="e">
        <f>IF(VLOOKUP($A26,'Concrete Beam Schedule'!$A$2:$Q$2902,AC$2,0)&lt;&gt;M26,"Beam Revised","")</f>
        <v>#N/A</v>
      </c>
      <c r="AD26" s="7" t="e">
        <f>IF(VLOOKUP($A26,'Concrete Beam Schedule'!$A$2:$Q$2902,AD$2,0)&lt;&gt;N26,"Beam Revised","")</f>
        <v>#N/A</v>
      </c>
      <c r="AE26" s="7" t="e">
        <f>IF(VLOOKUP($A26,'Concrete Beam Schedule'!$A$2:$Q$2902,AE$2,0)&lt;&gt;O26,"Beam Revised","")</f>
        <v>#N/A</v>
      </c>
    </row>
    <row r="27" spans="1:31" ht="25.5" customHeight="1" x14ac:dyDescent="0.25">
      <c r="A27" s="17"/>
      <c r="B27" s="17"/>
      <c r="C27" s="17"/>
      <c r="D27" s="17"/>
      <c r="E27" s="17"/>
      <c r="F27" s="17"/>
      <c r="G27" s="17"/>
      <c r="H27" s="17"/>
      <c r="I27" s="17"/>
      <c r="J27" s="17"/>
      <c r="K27" s="17"/>
      <c r="L27" s="17"/>
      <c r="M27" s="17"/>
      <c r="N27" s="17"/>
      <c r="O27" s="17"/>
      <c r="Q27" s="7">
        <f t="shared" si="0"/>
        <v>0</v>
      </c>
      <c r="R27" s="7" t="e">
        <f>IF(VLOOKUP($A27,'Concrete Beam Schedule'!$A$2:$Q$2902,R$2,0)&lt;&gt;B27,VLOOKUP($A27,'Concrete Beam Schedule'!$A$2:$Q$2902,R$2,0),"")</f>
        <v>#N/A</v>
      </c>
      <c r="S27" s="7" t="e">
        <f>IF(VLOOKUP($A27,'Concrete Beam Schedule'!$A$2:$Q$2902,S$2,0)&lt;&gt;C27,VLOOKUP($A27,'Concrete Beam Schedule'!$A$2:$Q$2902,S$2,0),"")</f>
        <v>#N/A</v>
      </c>
      <c r="T27" s="7" t="e">
        <f>IF(VLOOKUP($A27,'Concrete Beam Schedule'!$A$2:$Q$2902,T$2,0)&lt;&gt;D27,"Beam Revised","")</f>
        <v>#N/A</v>
      </c>
      <c r="U27" s="7" t="e">
        <f>IF(VLOOKUP($A27,'Concrete Beam Schedule'!$A$2:$Q$2902,U$2,0)&lt;&gt;E27,"Beam Revised","")</f>
        <v>#N/A</v>
      </c>
      <c r="V27" s="7" t="e">
        <f>IF(VLOOKUP($A27,'Concrete Beam Schedule'!$A$2:$Q$2902,V$2,0)&lt;&gt;F27,"Beam Revised","")</f>
        <v>#N/A</v>
      </c>
      <c r="W27" s="7" t="e">
        <f>IF(VLOOKUP($A27,'Concrete Beam Schedule'!$A$2:$Q$2902,W$2,0)&lt;&gt;G27,"Beam Revised","")</f>
        <v>#N/A</v>
      </c>
      <c r="X27" s="7" t="e">
        <f>IF(VLOOKUP($A27,'Concrete Beam Schedule'!$A$2:$Q$2902,X$2,0)&lt;&gt;H27,"Beam Revised","")</f>
        <v>#N/A</v>
      </c>
      <c r="Y27" s="7" t="e">
        <f>IF(VLOOKUP($A27,'Concrete Beam Schedule'!$A$2:$Q$2902,Y$2,0)&lt;&gt;I27,"Beam Revised","")</f>
        <v>#N/A</v>
      </c>
      <c r="Z27" s="7" t="e">
        <f>IF(VLOOKUP($A27,'Concrete Beam Schedule'!$A$2:$Q$2902,Z$2,0)&lt;&gt;J27,"Beam Revised","")</f>
        <v>#N/A</v>
      </c>
      <c r="AA27" s="7" t="e">
        <f>IF(VLOOKUP($A27,'Concrete Beam Schedule'!$A$2:$Q$2902,AA$2,0)&lt;&gt;K27,"Beam Revised","")</f>
        <v>#N/A</v>
      </c>
      <c r="AB27" s="7" t="e">
        <f>IF(VLOOKUP($A27,'Concrete Beam Schedule'!$A$2:$Q$2902,AB$2,0)&lt;&gt;L27,"Beam Revised","")</f>
        <v>#N/A</v>
      </c>
      <c r="AC27" s="7" t="e">
        <f>IF(VLOOKUP($A27,'Concrete Beam Schedule'!$A$2:$Q$2902,AC$2,0)&lt;&gt;M27,"Beam Revised","")</f>
        <v>#N/A</v>
      </c>
      <c r="AD27" s="7" t="e">
        <f>IF(VLOOKUP($A27,'Concrete Beam Schedule'!$A$2:$Q$2902,AD$2,0)&lt;&gt;N27,"Beam Revised","")</f>
        <v>#N/A</v>
      </c>
      <c r="AE27" s="7" t="e">
        <f>IF(VLOOKUP($A27,'Concrete Beam Schedule'!$A$2:$Q$2902,AE$2,0)&lt;&gt;O27,"Beam Revised","")</f>
        <v>#N/A</v>
      </c>
    </row>
    <row r="28" spans="1:31" ht="25.5" customHeight="1" x14ac:dyDescent="0.25">
      <c r="A28" s="17"/>
      <c r="B28" s="17"/>
      <c r="C28" s="17"/>
      <c r="D28" s="17"/>
      <c r="E28" s="17"/>
      <c r="F28" s="17"/>
      <c r="G28" s="17"/>
      <c r="H28" s="17"/>
      <c r="I28" s="17"/>
      <c r="J28" s="17"/>
      <c r="K28" s="17"/>
      <c r="L28" s="17"/>
      <c r="M28" s="17"/>
      <c r="N28" s="17"/>
      <c r="O28" s="17"/>
      <c r="Q28" s="7">
        <f t="shared" si="0"/>
        <v>0</v>
      </c>
      <c r="R28" s="7" t="e">
        <f>IF(VLOOKUP($A28,'Concrete Beam Schedule'!$A$2:$Q$2902,R$2,0)&lt;&gt;B28,VLOOKUP($A28,'Concrete Beam Schedule'!$A$2:$Q$2902,R$2,0),"")</f>
        <v>#N/A</v>
      </c>
      <c r="S28" s="7" t="e">
        <f>IF(VLOOKUP($A28,'Concrete Beam Schedule'!$A$2:$Q$2902,S$2,0)&lt;&gt;C28,VLOOKUP($A28,'Concrete Beam Schedule'!$A$2:$Q$2902,S$2,0),"")</f>
        <v>#N/A</v>
      </c>
      <c r="T28" s="7" t="e">
        <f>IF(VLOOKUP($A28,'Concrete Beam Schedule'!$A$2:$Q$2902,T$2,0)&lt;&gt;D28,"Beam Revised","")</f>
        <v>#N/A</v>
      </c>
      <c r="U28" s="7" t="e">
        <f>IF(VLOOKUP($A28,'Concrete Beam Schedule'!$A$2:$Q$2902,U$2,0)&lt;&gt;E28,"Beam Revised","")</f>
        <v>#N/A</v>
      </c>
      <c r="V28" s="7" t="e">
        <f>IF(VLOOKUP($A28,'Concrete Beam Schedule'!$A$2:$Q$2902,V$2,0)&lt;&gt;F28,"Beam Revised","")</f>
        <v>#N/A</v>
      </c>
      <c r="W28" s="7" t="e">
        <f>IF(VLOOKUP($A28,'Concrete Beam Schedule'!$A$2:$Q$2902,W$2,0)&lt;&gt;G28,"Beam Revised","")</f>
        <v>#N/A</v>
      </c>
      <c r="X28" s="7" t="e">
        <f>IF(VLOOKUP($A28,'Concrete Beam Schedule'!$A$2:$Q$2902,X$2,0)&lt;&gt;H28,"Beam Revised","")</f>
        <v>#N/A</v>
      </c>
      <c r="Y28" s="7" t="e">
        <f>IF(VLOOKUP($A28,'Concrete Beam Schedule'!$A$2:$Q$2902,Y$2,0)&lt;&gt;I28,"Beam Revised","")</f>
        <v>#N/A</v>
      </c>
      <c r="Z28" s="7" t="e">
        <f>IF(VLOOKUP($A28,'Concrete Beam Schedule'!$A$2:$Q$2902,Z$2,0)&lt;&gt;J28,"Beam Revised","")</f>
        <v>#N/A</v>
      </c>
      <c r="AA28" s="7" t="e">
        <f>IF(VLOOKUP($A28,'Concrete Beam Schedule'!$A$2:$Q$2902,AA$2,0)&lt;&gt;K28,"Beam Revised","")</f>
        <v>#N/A</v>
      </c>
      <c r="AB28" s="7" t="e">
        <f>IF(VLOOKUP($A28,'Concrete Beam Schedule'!$A$2:$Q$2902,AB$2,0)&lt;&gt;L28,"Beam Revised","")</f>
        <v>#N/A</v>
      </c>
      <c r="AC28" s="7" t="e">
        <f>IF(VLOOKUP($A28,'Concrete Beam Schedule'!$A$2:$Q$2902,AC$2,0)&lt;&gt;M28,"Beam Revised","")</f>
        <v>#N/A</v>
      </c>
      <c r="AD28" s="7" t="e">
        <f>IF(VLOOKUP($A28,'Concrete Beam Schedule'!$A$2:$Q$2902,AD$2,0)&lt;&gt;N28,"Beam Revised","")</f>
        <v>#N/A</v>
      </c>
      <c r="AE28" s="7" t="e">
        <f>IF(VLOOKUP($A28,'Concrete Beam Schedule'!$A$2:$Q$2902,AE$2,0)&lt;&gt;O28,"Beam Revised","")</f>
        <v>#N/A</v>
      </c>
    </row>
    <row r="29" spans="1:31" ht="25.5" customHeight="1" x14ac:dyDescent="0.25">
      <c r="A29" s="17"/>
      <c r="B29" s="17"/>
      <c r="C29" s="17"/>
      <c r="D29" s="17"/>
      <c r="E29" s="17"/>
      <c r="F29" s="17"/>
      <c r="G29" s="17"/>
      <c r="H29" s="17"/>
      <c r="I29" s="17"/>
      <c r="J29" s="17"/>
      <c r="K29" s="17"/>
      <c r="L29" s="17"/>
      <c r="M29" s="17"/>
      <c r="N29" s="17"/>
      <c r="O29" s="17"/>
      <c r="Q29" s="7">
        <f t="shared" si="0"/>
        <v>0</v>
      </c>
      <c r="R29" s="7" t="e">
        <f>IF(VLOOKUP($A29,'Concrete Beam Schedule'!$A$2:$Q$2902,R$2,0)&lt;&gt;B29,VLOOKUP($A29,'Concrete Beam Schedule'!$A$2:$Q$2902,R$2,0),"")</f>
        <v>#N/A</v>
      </c>
      <c r="S29" s="7" t="e">
        <f>IF(VLOOKUP($A29,'Concrete Beam Schedule'!$A$2:$Q$2902,S$2,0)&lt;&gt;C29,VLOOKUP($A29,'Concrete Beam Schedule'!$A$2:$Q$2902,S$2,0),"")</f>
        <v>#N/A</v>
      </c>
      <c r="T29" s="7" t="e">
        <f>IF(VLOOKUP($A29,'Concrete Beam Schedule'!$A$2:$Q$2902,T$2,0)&lt;&gt;D29,"Beam Revised","")</f>
        <v>#N/A</v>
      </c>
      <c r="U29" s="7" t="e">
        <f>IF(VLOOKUP($A29,'Concrete Beam Schedule'!$A$2:$Q$2902,U$2,0)&lt;&gt;E29,"Beam Revised","")</f>
        <v>#N/A</v>
      </c>
      <c r="V29" s="7" t="e">
        <f>IF(VLOOKUP($A29,'Concrete Beam Schedule'!$A$2:$Q$2902,V$2,0)&lt;&gt;F29,"Beam Revised","")</f>
        <v>#N/A</v>
      </c>
      <c r="W29" s="7" t="e">
        <f>IF(VLOOKUP($A29,'Concrete Beam Schedule'!$A$2:$Q$2902,W$2,0)&lt;&gt;G29,"Beam Revised","")</f>
        <v>#N/A</v>
      </c>
      <c r="X29" s="7" t="e">
        <f>IF(VLOOKUP($A29,'Concrete Beam Schedule'!$A$2:$Q$2902,X$2,0)&lt;&gt;H29,"Beam Revised","")</f>
        <v>#N/A</v>
      </c>
      <c r="Y29" s="7" t="e">
        <f>IF(VLOOKUP($A29,'Concrete Beam Schedule'!$A$2:$Q$2902,Y$2,0)&lt;&gt;I29,"Beam Revised","")</f>
        <v>#N/A</v>
      </c>
      <c r="Z29" s="7" t="e">
        <f>IF(VLOOKUP($A29,'Concrete Beam Schedule'!$A$2:$Q$2902,Z$2,0)&lt;&gt;J29,"Beam Revised","")</f>
        <v>#N/A</v>
      </c>
      <c r="AA29" s="7" t="e">
        <f>IF(VLOOKUP($A29,'Concrete Beam Schedule'!$A$2:$Q$2902,AA$2,0)&lt;&gt;K29,"Beam Revised","")</f>
        <v>#N/A</v>
      </c>
      <c r="AB29" s="7" t="e">
        <f>IF(VLOOKUP($A29,'Concrete Beam Schedule'!$A$2:$Q$2902,AB$2,0)&lt;&gt;L29,"Beam Revised","")</f>
        <v>#N/A</v>
      </c>
      <c r="AC29" s="7" t="e">
        <f>IF(VLOOKUP($A29,'Concrete Beam Schedule'!$A$2:$Q$2902,AC$2,0)&lt;&gt;M29,"Beam Revised","")</f>
        <v>#N/A</v>
      </c>
      <c r="AD29" s="7" t="e">
        <f>IF(VLOOKUP($A29,'Concrete Beam Schedule'!$A$2:$Q$2902,AD$2,0)&lt;&gt;N29,"Beam Revised","")</f>
        <v>#N/A</v>
      </c>
      <c r="AE29" s="7" t="e">
        <f>IF(VLOOKUP($A29,'Concrete Beam Schedule'!$A$2:$Q$2902,AE$2,0)&lt;&gt;O29,"Beam Revised","")</f>
        <v>#N/A</v>
      </c>
    </row>
    <row r="30" spans="1:31" ht="25.5" customHeight="1" x14ac:dyDescent="0.25">
      <c r="A30" s="17"/>
      <c r="B30" s="17"/>
      <c r="C30" s="17"/>
      <c r="D30" s="17"/>
      <c r="E30" s="17"/>
      <c r="F30" s="17"/>
      <c r="G30" s="17"/>
      <c r="H30" s="17"/>
      <c r="I30" s="17"/>
      <c r="J30" s="17"/>
      <c r="K30" s="17"/>
      <c r="L30" s="17"/>
      <c r="M30" s="17"/>
      <c r="N30" s="17"/>
      <c r="O30" s="17"/>
      <c r="Q30" s="7">
        <f t="shared" si="0"/>
        <v>0</v>
      </c>
      <c r="R30" s="7" t="e">
        <f>IF(VLOOKUP($A30,'Concrete Beam Schedule'!$A$2:$Q$2902,R$2,0)&lt;&gt;B30,VLOOKUP($A30,'Concrete Beam Schedule'!$A$2:$Q$2902,R$2,0),"")</f>
        <v>#N/A</v>
      </c>
      <c r="S30" s="7" t="e">
        <f>IF(VLOOKUP($A30,'Concrete Beam Schedule'!$A$2:$Q$2902,S$2,0)&lt;&gt;C30,VLOOKUP($A30,'Concrete Beam Schedule'!$A$2:$Q$2902,S$2,0),"")</f>
        <v>#N/A</v>
      </c>
      <c r="T30" s="7" t="e">
        <f>IF(VLOOKUP($A30,'Concrete Beam Schedule'!$A$2:$Q$2902,T$2,0)&lt;&gt;D30,"Beam Revised","")</f>
        <v>#N/A</v>
      </c>
      <c r="U30" s="7" t="e">
        <f>IF(VLOOKUP($A30,'Concrete Beam Schedule'!$A$2:$Q$2902,U$2,0)&lt;&gt;E30,"Beam Revised","")</f>
        <v>#N/A</v>
      </c>
      <c r="V30" s="7" t="e">
        <f>IF(VLOOKUP($A30,'Concrete Beam Schedule'!$A$2:$Q$2902,V$2,0)&lt;&gt;F30,"Beam Revised","")</f>
        <v>#N/A</v>
      </c>
      <c r="W30" s="7" t="e">
        <f>IF(VLOOKUP($A30,'Concrete Beam Schedule'!$A$2:$Q$2902,W$2,0)&lt;&gt;G30,"Beam Revised","")</f>
        <v>#N/A</v>
      </c>
      <c r="X30" s="7" t="e">
        <f>IF(VLOOKUP($A30,'Concrete Beam Schedule'!$A$2:$Q$2902,X$2,0)&lt;&gt;H30,"Beam Revised","")</f>
        <v>#N/A</v>
      </c>
      <c r="Y30" s="7" t="e">
        <f>IF(VLOOKUP($A30,'Concrete Beam Schedule'!$A$2:$Q$2902,Y$2,0)&lt;&gt;I30,"Beam Revised","")</f>
        <v>#N/A</v>
      </c>
      <c r="Z30" s="7" t="e">
        <f>IF(VLOOKUP($A30,'Concrete Beam Schedule'!$A$2:$Q$2902,Z$2,0)&lt;&gt;J30,"Beam Revised","")</f>
        <v>#N/A</v>
      </c>
      <c r="AA30" s="7" t="e">
        <f>IF(VLOOKUP($A30,'Concrete Beam Schedule'!$A$2:$Q$2902,AA$2,0)&lt;&gt;K30,"Beam Revised","")</f>
        <v>#N/A</v>
      </c>
      <c r="AB30" s="7" t="e">
        <f>IF(VLOOKUP($A30,'Concrete Beam Schedule'!$A$2:$Q$2902,AB$2,0)&lt;&gt;L30,"Beam Revised","")</f>
        <v>#N/A</v>
      </c>
      <c r="AC30" s="7" t="e">
        <f>IF(VLOOKUP($A30,'Concrete Beam Schedule'!$A$2:$Q$2902,AC$2,0)&lt;&gt;M30,"Beam Revised","")</f>
        <v>#N/A</v>
      </c>
      <c r="AD30" s="7" t="e">
        <f>IF(VLOOKUP($A30,'Concrete Beam Schedule'!$A$2:$Q$2902,AD$2,0)&lt;&gt;N30,"Beam Revised","")</f>
        <v>#N/A</v>
      </c>
      <c r="AE30" s="7" t="e">
        <f>IF(VLOOKUP($A30,'Concrete Beam Schedule'!$A$2:$Q$2902,AE$2,0)&lt;&gt;O30,"Beam Revised","")</f>
        <v>#N/A</v>
      </c>
    </row>
    <row r="31" spans="1:31" ht="25.5" customHeight="1" x14ac:dyDescent="0.25">
      <c r="A31" s="17"/>
      <c r="B31" s="17"/>
      <c r="C31" s="17"/>
      <c r="D31" s="17"/>
      <c r="E31" s="17"/>
      <c r="F31" s="17"/>
      <c r="G31" s="17"/>
      <c r="H31" s="17"/>
      <c r="I31" s="17"/>
      <c r="J31" s="17"/>
      <c r="K31" s="17"/>
      <c r="L31" s="17"/>
      <c r="M31" s="17"/>
      <c r="N31" s="17"/>
      <c r="O31" s="17"/>
      <c r="Q31" s="7">
        <f t="shared" si="0"/>
        <v>0</v>
      </c>
      <c r="R31" s="7" t="e">
        <f>IF(VLOOKUP($A31,'Concrete Beam Schedule'!$A$2:$Q$2902,R$2,0)&lt;&gt;B31,VLOOKUP($A31,'Concrete Beam Schedule'!$A$2:$Q$2902,R$2,0),"")</f>
        <v>#N/A</v>
      </c>
      <c r="S31" s="7" t="e">
        <f>IF(VLOOKUP($A31,'Concrete Beam Schedule'!$A$2:$Q$2902,S$2,0)&lt;&gt;C31,VLOOKUP($A31,'Concrete Beam Schedule'!$A$2:$Q$2902,S$2,0),"")</f>
        <v>#N/A</v>
      </c>
      <c r="T31" s="7" t="e">
        <f>IF(VLOOKUP($A31,'Concrete Beam Schedule'!$A$2:$Q$2902,T$2,0)&lt;&gt;D31,"Beam Revised","")</f>
        <v>#N/A</v>
      </c>
      <c r="U31" s="7" t="e">
        <f>IF(VLOOKUP($A31,'Concrete Beam Schedule'!$A$2:$Q$2902,U$2,0)&lt;&gt;E31,"Beam Revised","")</f>
        <v>#N/A</v>
      </c>
      <c r="V31" s="7" t="e">
        <f>IF(VLOOKUP($A31,'Concrete Beam Schedule'!$A$2:$Q$2902,V$2,0)&lt;&gt;F31,"Beam Revised","")</f>
        <v>#N/A</v>
      </c>
      <c r="W31" s="7" t="e">
        <f>IF(VLOOKUP($A31,'Concrete Beam Schedule'!$A$2:$Q$2902,W$2,0)&lt;&gt;G31,"Beam Revised","")</f>
        <v>#N/A</v>
      </c>
      <c r="X31" s="7" t="e">
        <f>IF(VLOOKUP($A31,'Concrete Beam Schedule'!$A$2:$Q$2902,X$2,0)&lt;&gt;H31,"Beam Revised","")</f>
        <v>#N/A</v>
      </c>
      <c r="Y31" s="7" t="e">
        <f>IF(VLOOKUP($A31,'Concrete Beam Schedule'!$A$2:$Q$2902,Y$2,0)&lt;&gt;I31,"Beam Revised","")</f>
        <v>#N/A</v>
      </c>
      <c r="Z31" s="7" t="e">
        <f>IF(VLOOKUP($A31,'Concrete Beam Schedule'!$A$2:$Q$2902,Z$2,0)&lt;&gt;J31,"Beam Revised","")</f>
        <v>#N/A</v>
      </c>
      <c r="AA31" s="7" t="e">
        <f>IF(VLOOKUP($A31,'Concrete Beam Schedule'!$A$2:$Q$2902,AA$2,0)&lt;&gt;K31,"Beam Revised","")</f>
        <v>#N/A</v>
      </c>
      <c r="AB31" s="7" t="e">
        <f>IF(VLOOKUP($A31,'Concrete Beam Schedule'!$A$2:$Q$2902,AB$2,0)&lt;&gt;L31,"Beam Revised","")</f>
        <v>#N/A</v>
      </c>
      <c r="AC31" s="7" t="e">
        <f>IF(VLOOKUP($A31,'Concrete Beam Schedule'!$A$2:$Q$2902,AC$2,0)&lt;&gt;M31,"Beam Revised","")</f>
        <v>#N/A</v>
      </c>
      <c r="AD31" s="7" t="e">
        <f>IF(VLOOKUP($A31,'Concrete Beam Schedule'!$A$2:$Q$2902,AD$2,0)&lt;&gt;N31,"Beam Revised","")</f>
        <v>#N/A</v>
      </c>
      <c r="AE31" s="7" t="e">
        <f>IF(VLOOKUP($A31,'Concrete Beam Schedule'!$A$2:$Q$2902,AE$2,0)&lt;&gt;O31,"Beam Revised","")</f>
        <v>#N/A</v>
      </c>
    </row>
    <row r="32" spans="1:31" ht="25.5" customHeight="1" x14ac:dyDescent="0.25">
      <c r="A32" s="17"/>
      <c r="B32" s="17"/>
      <c r="C32" s="17"/>
      <c r="D32" s="17"/>
      <c r="E32" s="17"/>
      <c r="F32" s="17"/>
      <c r="G32" s="17"/>
      <c r="H32" s="17"/>
      <c r="I32" s="17"/>
      <c r="J32" s="17"/>
      <c r="K32" s="17"/>
      <c r="L32" s="17"/>
      <c r="M32" s="17"/>
      <c r="N32" s="17"/>
      <c r="O32" s="17"/>
      <c r="Q32" s="7">
        <f t="shared" si="0"/>
        <v>0</v>
      </c>
      <c r="R32" s="7" t="e">
        <f>IF(VLOOKUP($A32,'Concrete Beam Schedule'!$A$2:$Q$2902,R$2,0)&lt;&gt;B32,VLOOKUP($A32,'Concrete Beam Schedule'!$A$2:$Q$2902,R$2,0),"")</f>
        <v>#N/A</v>
      </c>
      <c r="S32" s="7" t="e">
        <f>IF(VLOOKUP($A32,'Concrete Beam Schedule'!$A$2:$Q$2902,S$2,0)&lt;&gt;C32,VLOOKUP($A32,'Concrete Beam Schedule'!$A$2:$Q$2902,S$2,0),"")</f>
        <v>#N/A</v>
      </c>
      <c r="T32" s="7" t="e">
        <f>IF(VLOOKUP($A32,'Concrete Beam Schedule'!$A$2:$Q$2902,T$2,0)&lt;&gt;D32,"Beam Revised","")</f>
        <v>#N/A</v>
      </c>
      <c r="U32" s="7" t="e">
        <f>IF(VLOOKUP($A32,'Concrete Beam Schedule'!$A$2:$Q$2902,U$2,0)&lt;&gt;E32,"Beam Revised","")</f>
        <v>#N/A</v>
      </c>
      <c r="V32" s="7" t="e">
        <f>IF(VLOOKUP($A32,'Concrete Beam Schedule'!$A$2:$Q$2902,V$2,0)&lt;&gt;F32,"Beam Revised","")</f>
        <v>#N/A</v>
      </c>
      <c r="W32" s="7" t="e">
        <f>IF(VLOOKUP($A32,'Concrete Beam Schedule'!$A$2:$Q$2902,W$2,0)&lt;&gt;G32,"Beam Revised","")</f>
        <v>#N/A</v>
      </c>
      <c r="X32" s="7" t="e">
        <f>IF(VLOOKUP($A32,'Concrete Beam Schedule'!$A$2:$Q$2902,X$2,0)&lt;&gt;H32,"Beam Revised","")</f>
        <v>#N/A</v>
      </c>
      <c r="Y32" s="7" t="e">
        <f>IF(VLOOKUP($A32,'Concrete Beam Schedule'!$A$2:$Q$2902,Y$2,0)&lt;&gt;I32,"Beam Revised","")</f>
        <v>#N/A</v>
      </c>
      <c r="Z32" s="7" t="e">
        <f>IF(VLOOKUP($A32,'Concrete Beam Schedule'!$A$2:$Q$2902,Z$2,0)&lt;&gt;J32,"Beam Revised","")</f>
        <v>#N/A</v>
      </c>
      <c r="AA32" s="7" t="e">
        <f>IF(VLOOKUP($A32,'Concrete Beam Schedule'!$A$2:$Q$2902,AA$2,0)&lt;&gt;K32,"Beam Revised","")</f>
        <v>#N/A</v>
      </c>
      <c r="AB32" s="7" t="e">
        <f>IF(VLOOKUP($A32,'Concrete Beam Schedule'!$A$2:$Q$2902,AB$2,0)&lt;&gt;L32,"Beam Revised","")</f>
        <v>#N/A</v>
      </c>
      <c r="AC32" s="7" t="e">
        <f>IF(VLOOKUP($A32,'Concrete Beam Schedule'!$A$2:$Q$2902,AC$2,0)&lt;&gt;M32,"Beam Revised","")</f>
        <v>#N/A</v>
      </c>
      <c r="AD32" s="7" t="e">
        <f>IF(VLOOKUP($A32,'Concrete Beam Schedule'!$A$2:$Q$2902,AD$2,0)&lt;&gt;N32,"Beam Revised","")</f>
        <v>#N/A</v>
      </c>
      <c r="AE32" s="7" t="e">
        <f>IF(VLOOKUP($A32,'Concrete Beam Schedule'!$A$2:$Q$2902,AE$2,0)&lt;&gt;O32,"Beam Revised","")</f>
        <v>#N/A</v>
      </c>
    </row>
    <row r="33" spans="1:31" ht="25.5" customHeight="1" x14ac:dyDescent="0.25">
      <c r="A33" s="17"/>
      <c r="B33" s="17"/>
      <c r="C33" s="17"/>
      <c r="D33" s="17"/>
      <c r="E33" s="17"/>
      <c r="F33" s="17"/>
      <c r="G33" s="17"/>
      <c r="H33" s="17"/>
      <c r="I33" s="17"/>
      <c r="J33" s="17"/>
      <c r="K33" s="17"/>
      <c r="L33" s="17"/>
      <c r="M33" s="17"/>
      <c r="N33" s="17"/>
      <c r="O33" s="17"/>
      <c r="Q33" s="7">
        <f t="shared" si="0"/>
        <v>0</v>
      </c>
      <c r="R33" s="7" t="e">
        <f>IF(VLOOKUP($A33,'Concrete Beam Schedule'!$A$2:$Q$2902,R$2,0)&lt;&gt;B33,VLOOKUP($A33,'Concrete Beam Schedule'!$A$2:$Q$2902,R$2,0),"")</f>
        <v>#N/A</v>
      </c>
      <c r="S33" s="7" t="e">
        <f>IF(VLOOKUP($A33,'Concrete Beam Schedule'!$A$2:$Q$2902,S$2,0)&lt;&gt;C33,VLOOKUP($A33,'Concrete Beam Schedule'!$A$2:$Q$2902,S$2,0),"")</f>
        <v>#N/A</v>
      </c>
      <c r="T33" s="7" t="e">
        <f>IF(VLOOKUP($A33,'Concrete Beam Schedule'!$A$2:$Q$2902,T$2,0)&lt;&gt;D33,"Beam Revised","")</f>
        <v>#N/A</v>
      </c>
      <c r="U33" s="7" t="e">
        <f>IF(VLOOKUP($A33,'Concrete Beam Schedule'!$A$2:$Q$2902,U$2,0)&lt;&gt;E33,"Beam Revised","")</f>
        <v>#N/A</v>
      </c>
      <c r="V33" s="7" t="e">
        <f>IF(VLOOKUP($A33,'Concrete Beam Schedule'!$A$2:$Q$2902,V$2,0)&lt;&gt;F33,"Beam Revised","")</f>
        <v>#N/A</v>
      </c>
      <c r="W33" s="7" t="e">
        <f>IF(VLOOKUP($A33,'Concrete Beam Schedule'!$A$2:$Q$2902,W$2,0)&lt;&gt;G33,"Beam Revised","")</f>
        <v>#N/A</v>
      </c>
      <c r="X33" s="7" t="e">
        <f>IF(VLOOKUP($A33,'Concrete Beam Schedule'!$A$2:$Q$2902,X$2,0)&lt;&gt;H33,"Beam Revised","")</f>
        <v>#N/A</v>
      </c>
      <c r="Y33" s="7" t="e">
        <f>IF(VLOOKUP($A33,'Concrete Beam Schedule'!$A$2:$Q$2902,Y$2,0)&lt;&gt;I33,"Beam Revised","")</f>
        <v>#N/A</v>
      </c>
      <c r="Z33" s="7" t="e">
        <f>IF(VLOOKUP($A33,'Concrete Beam Schedule'!$A$2:$Q$2902,Z$2,0)&lt;&gt;J33,"Beam Revised","")</f>
        <v>#N/A</v>
      </c>
      <c r="AA33" s="7" t="e">
        <f>IF(VLOOKUP($A33,'Concrete Beam Schedule'!$A$2:$Q$2902,AA$2,0)&lt;&gt;K33,"Beam Revised","")</f>
        <v>#N/A</v>
      </c>
      <c r="AB33" s="7" t="e">
        <f>IF(VLOOKUP($A33,'Concrete Beam Schedule'!$A$2:$Q$2902,AB$2,0)&lt;&gt;L33,"Beam Revised","")</f>
        <v>#N/A</v>
      </c>
      <c r="AC33" s="7" t="e">
        <f>IF(VLOOKUP($A33,'Concrete Beam Schedule'!$A$2:$Q$2902,AC$2,0)&lt;&gt;M33,"Beam Revised","")</f>
        <v>#N/A</v>
      </c>
      <c r="AD33" s="7" t="e">
        <f>IF(VLOOKUP($A33,'Concrete Beam Schedule'!$A$2:$Q$2902,AD$2,0)&lt;&gt;N33,"Beam Revised","")</f>
        <v>#N/A</v>
      </c>
      <c r="AE33" s="7" t="e">
        <f>IF(VLOOKUP($A33,'Concrete Beam Schedule'!$A$2:$Q$2902,AE$2,0)&lt;&gt;O33,"Beam Revised","")</f>
        <v>#N/A</v>
      </c>
    </row>
    <row r="34" spans="1:31" ht="25.5" customHeight="1" x14ac:dyDescent="0.25">
      <c r="A34" s="17"/>
      <c r="B34" s="17"/>
      <c r="C34" s="17"/>
      <c r="D34" s="17"/>
      <c r="E34" s="17"/>
      <c r="F34" s="17"/>
      <c r="G34" s="17"/>
      <c r="H34" s="17"/>
      <c r="I34" s="17"/>
      <c r="J34" s="17"/>
      <c r="K34" s="17"/>
      <c r="L34" s="17"/>
      <c r="M34" s="17"/>
      <c r="N34" s="17"/>
      <c r="O34" s="17"/>
      <c r="Q34" s="7">
        <f t="shared" si="0"/>
        <v>0</v>
      </c>
      <c r="R34" s="7" t="e">
        <f>IF(VLOOKUP($A34,'Concrete Beam Schedule'!$A$2:$Q$2902,R$2,0)&lt;&gt;B34,VLOOKUP($A34,'Concrete Beam Schedule'!$A$2:$Q$2902,R$2,0),"")</f>
        <v>#N/A</v>
      </c>
      <c r="S34" s="7" t="e">
        <f>IF(VLOOKUP($A34,'Concrete Beam Schedule'!$A$2:$Q$2902,S$2,0)&lt;&gt;C34,VLOOKUP($A34,'Concrete Beam Schedule'!$A$2:$Q$2902,S$2,0),"")</f>
        <v>#N/A</v>
      </c>
      <c r="T34" s="7" t="e">
        <f>IF(VLOOKUP($A34,'Concrete Beam Schedule'!$A$2:$Q$2902,T$2,0)&lt;&gt;D34,"Beam Revised","")</f>
        <v>#N/A</v>
      </c>
      <c r="U34" s="7" t="e">
        <f>IF(VLOOKUP($A34,'Concrete Beam Schedule'!$A$2:$Q$2902,U$2,0)&lt;&gt;E34,"Beam Revised","")</f>
        <v>#N/A</v>
      </c>
      <c r="V34" s="7" t="e">
        <f>IF(VLOOKUP($A34,'Concrete Beam Schedule'!$A$2:$Q$2902,V$2,0)&lt;&gt;F34,"Beam Revised","")</f>
        <v>#N/A</v>
      </c>
      <c r="W34" s="7" t="e">
        <f>IF(VLOOKUP($A34,'Concrete Beam Schedule'!$A$2:$Q$2902,W$2,0)&lt;&gt;G34,"Beam Revised","")</f>
        <v>#N/A</v>
      </c>
      <c r="X34" s="7" t="e">
        <f>IF(VLOOKUP($A34,'Concrete Beam Schedule'!$A$2:$Q$2902,X$2,0)&lt;&gt;H34,"Beam Revised","")</f>
        <v>#N/A</v>
      </c>
      <c r="Y34" s="7" t="e">
        <f>IF(VLOOKUP($A34,'Concrete Beam Schedule'!$A$2:$Q$2902,Y$2,0)&lt;&gt;I34,"Beam Revised","")</f>
        <v>#N/A</v>
      </c>
      <c r="Z34" s="7" t="e">
        <f>IF(VLOOKUP($A34,'Concrete Beam Schedule'!$A$2:$Q$2902,Z$2,0)&lt;&gt;J34,"Beam Revised","")</f>
        <v>#N/A</v>
      </c>
      <c r="AA34" s="7" t="e">
        <f>IF(VLOOKUP($A34,'Concrete Beam Schedule'!$A$2:$Q$2902,AA$2,0)&lt;&gt;K34,"Beam Revised","")</f>
        <v>#N/A</v>
      </c>
      <c r="AB34" s="7" t="e">
        <f>IF(VLOOKUP($A34,'Concrete Beam Schedule'!$A$2:$Q$2902,AB$2,0)&lt;&gt;L34,"Beam Revised","")</f>
        <v>#N/A</v>
      </c>
      <c r="AC34" s="7" t="e">
        <f>IF(VLOOKUP($A34,'Concrete Beam Schedule'!$A$2:$Q$2902,AC$2,0)&lt;&gt;M34,"Beam Revised","")</f>
        <v>#N/A</v>
      </c>
      <c r="AD34" s="7" t="e">
        <f>IF(VLOOKUP($A34,'Concrete Beam Schedule'!$A$2:$Q$2902,AD$2,0)&lt;&gt;N34,"Beam Revised","")</f>
        <v>#N/A</v>
      </c>
      <c r="AE34" s="7" t="e">
        <f>IF(VLOOKUP($A34,'Concrete Beam Schedule'!$A$2:$Q$2902,AE$2,0)&lt;&gt;O34,"Beam Revised","")</f>
        <v>#N/A</v>
      </c>
    </row>
    <row r="35" spans="1:31" ht="25.5" customHeight="1" x14ac:dyDescent="0.25">
      <c r="A35" s="17"/>
      <c r="B35" s="17"/>
      <c r="C35" s="17"/>
      <c r="D35" s="17"/>
      <c r="E35" s="17"/>
      <c r="F35" s="17"/>
      <c r="G35" s="17"/>
      <c r="H35" s="17"/>
      <c r="I35" s="17"/>
      <c r="J35" s="17"/>
      <c r="K35" s="17"/>
      <c r="L35" s="17"/>
      <c r="M35" s="17"/>
      <c r="N35" s="17"/>
      <c r="O35" s="17"/>
      <c r="Q35" s="7">
        <f t="shared" si="0"/>
        <v>0</v>
      </c>
      <c r="R35" s="7" t="e">
        <f>IF(VLOOKUP($A35,'Concrete Beam Schedule'!$A$2:$Q$2902,R$2,0)&lt;&gt;B35,VLOOKUP($A35,'Concrete Beam Schedule'!$A$2:$Q$2902,R$2,0),"")</f>
        <v>#N/A</v>
      </c>
      <c r="S35" s="7" t="e">
        <f>IF(VLOOKUP($A35,'Concrete Beam Schedule'!$A$2:$Q$2902,S$2,0)&lt;&gt;C35,VLOOKUP($A35,'Concrete Beam Schedule'!$A$2:$Q$2902,S$2,0),"")</f>
        <v>#N/A</v>
      </c>
      <c r="T35" s="7" t="e">
        <f>IF(VLOOKUP($A35,'Concrete Beam Schedule'!$A$2:$Q$2902,T$2,0)&lt;&gt;D35,"Beam Revised","")</f>
        <v>#N/A</v>
      </c>
      <c r="U35" s="7" t="e">
        <f>IF(VLOOKUP($A35,'Concrete Beam Schedule'!$A$2:$Q$2902,U$2,0)&lt;&gt;E35,"Beam Revised","")</f>
        <v>#N/A</v>
      </c>
      <c r="V35" s="7" t="e">
        <f>IF(VLOOKUP($A35,'Concrete Beam Schedule'!$A$2:$Q$2902,V$2,0)&lt;&gt;F35,"Beam Revised","")</f>
        <v>#N/A</v>
      </c>
      <c r="W35" s="7" t="e">
        <f>IF(VLOOKUP($A35,'Concrete Beam Schedule'!$A$2:$Q$2902,W$2,0)&lt;&gt;G35,"Beam Revised","")</f>
        <v>#N/A</v>
      </c>
      <c r="X35" s="7" t="e">
        <f>IF(VLOOKUP($A35,'Concrete Beam Schedule'!$A$2:$Q$2902,X$2,0)&lt;&gt;H35,"Beam Revised","")</f>
        <v>#N/A</v>
      </c>
      <c r="Y35" s="7" t="e">
        <f>IF(VLOOKUP($A35,'Concrete Beam Schedule'!$A$2:$Q$2902,Y$2,0)&lt;&gt;I35,"Beam Revised","")</f>
        <v>#N/A</v>
      </c>
      <c r="Z35" s="7" t="e">
        <f>IF(VLOOKUP($A35,'Concrete Beam Schedule'!$A$2:$Q$2902,Z$2,0)&lt;&gt;J35,"Beam Revised","")</f>
        <v>#N/A</v>
      </c>
      <c r="AA35" s="7" t="e">
        <f>IF(VLOOKUP($A35,'Concrete Beam Schedule'!$A$2:$Q$2902,AA$2,0)&lt;&gt;K35,"Beam Revised","")</f>
        <v>#N/A</v>
      </c>
      <c r="AB35" s="7" t="e">
        <f>IF(VLOOKUP($A35,'Concrete Beam Schedule'!$A$2:$Q$2902,AB$2,0)&lt;&gt;L35,"Beam Revised","")</f>
        <v>#N/A</v>
      </c>
      <c r="AC35" s="7" t="e">
        <f>IF(VLOOKUP($A35,'Concrete Beam Schedule'!$A$2:$Q$2902,AC$2,0)&lt;&gt;M35,"Beam Revised","")</f>
        <v>#N/A</v>
      </c>
      <c r="AD35" s="7" t="e">
        <f>IF(VLOOKUP($A35,'Concrete Beam Schedule'!$A$2:$Q$2902,AD$2,0)&lt;&gt;N35,"Beam Revised","")</f>
        <v>#N/A</v>
      </c>
      <c r="AE35" s="7" t="e">
        <f>IF(VLOOKUP($A35,'Concrete Beam Schedule'!$A$2:$Q$2902,AE$2,0)&lt;&gt;O35,"Beam Revised","")</f>
        <v>#N/A</v>
      </c>
    </row>
    <row r="36" spans="1:31" ht="25.5" customHeight="1" x14ac:dyDescent="0.25">
      <c r="A36" s="17"/>
      <c r="B36" s="17"/>
      <c r="C36" s="17"/>
      <c r="D36" s="17"/>
      <c r="E36" s="17"/>
      <c r="F36" s="17"/>
      <c r="G36" s="17"/>
      <c r="H36" s="17"/>
      <c r="I36" s="17"/>
      <c r="J36" s="17"/>
      <c r="K36" s="17"/>
      <c r="L36" s="17"/>
      <c r="M36" s="17"/>
      <c r="N36" s="17"/>
      <c r="O36" s="17"/>
      <c r="Q36" s="7">
        <f t="shared" si="0"/>
        <v>0</v>
      </c>
      <c r="R36" s="7" t="e">
        <f>IF(VLOOKUP($A36,'Concrete Beam Schedule'!$A$2:$Q$2902,R$2,0)&lt;&gt;B36,VLOOKUP($A36,'Concrete Beam Schedule'!$A$2:$Q$2902,R$2,0),"")</f>
        <v>#N/A</v>
      </c>
      <c r="S36" s="7" t="e">
        <f>IF(VLOOKUP($A36,'Concrete Beam Schedule'!$A$2:$Q$2902,S$2,0)&lt;&gt;C36,VLOOKUP($A36,'Concrete Beam Schedule'!$A$2:$Q$2902,S$2,0),"")</f>
        <v>#N/A</v>
      </c>
      <c r="T36" s="7" t="e">
        <f>IF(VLOOKUP($A36,'Concrete Beam Schedule'!$A$2:$Q$2902,T$2,0)&lt;&gt;D36,"Beam Revised","")</f>
        <v>#N/A</v>
      </c>
      <c r="U36" s="7" t="e">
        <f>IF(VLOOKUP($A36,'Concrete Beam Schedule'!$A$2:$Q$2902,U$2,0)&lt;&gt;E36,"Beam Revised","")</f>
        <v>#N/A</v>
      </c>
      <c r="V36" s="7" t="e">
        <f>IF(VLOOKUP($A36,'Concrete Beam Schedule'!$A$2:$Q$2902,V$2,0)&lt;&gt;F36,"Beam Revised","")</f>
        <v>#N/A</v>
      </c>
      <c r="W36" s="7" t="e">
        <f>IF(VLOOKUP($A36,'Concrete Beam Schedule'!$A$2:$Q$2902,W$2,0)&lt;&gt;G36,"Beam Revised","")</f>
        <v>#N/A</v>
      </c>
      <c r="X36" s="7" t="e">
        <f>IF(VLOOKUP($A36,'Concrete Beam Schedule'!$A$2:$Q$2902,X$2,0)&lt;&gt;H36,"Beam Revised","")</f>
        <v>#N/A</v>
      </c>
      <c r="Y36" s="7" t="e">
        <f>IF(VLOOKUP($A36,'Concrete Beam Schedule'!$A$2:$Q$2902,Y$2,0)&lt;&gt;I36,"Beam Revised","")</f>
        <v>#N/A</v>
      </c>
      <c r="Z36" s="7" t="e">
        <f>IF(VLOOKUP($A36,'Concrete Beam Schedule'!$A$2:$Q$2902,Z$2,0)&lt;&gt;J36,"Beam Revised","")</f>
        <v>#N/A</v>
      </c>
      <c r="AA36" s="7" t="e">
        <f>IF(VLOOKUP($A36,'Concrete Beam Schedule'!$A$2:$Q$2902,AA$2,0)&lt;&gt;K36,"Beam Revised","")</f>
        <v>#N/A</v>
      </c>
      <c r="AB36" s="7" t="e">
        <f>IF(VLOOKUP($A36,'Concrete Beam Schedule'!$A$2:$Q$2902,AB$2,0)&lt;&gt;L36,"Beam Revised","")</f>
        <v>#N/A</v>
      </c>
      <c r="AC36" s="7" t="e">
        <f>IF(VLOOKUP($A36,'Concrete Beam Schedule'!$A$2:$Q$2902,AC$2,0)&lt;&gt;M36,"Beam Revised","")</f>
        <v>#N/A</v>
      </c>
      <c r="AD36" s="7" t="e">
        <f>IF(VLOOKUP($A36,'Concrete Beam Schedule'!$A$2:$Q$2902,AD$2,0)&lt;&gt;N36,"Beam Revised","")</f>
        <v>#N/A</v>
      </c>
      <c r="AE36" s="7" t="e">
        <f>IF(VLOOKUP($A36,'Concrete Beam Schedule'!$A$2:$Q$2902,AE$2,0)&lt;&gt;O36,"Beam Revised","")</f>
        <v>#N/A</v>
      </c>
    </row>
    <row r="37" spans="1:31" ht="25.5" customHeight="1" x14ac:dyDescent="0.25">
      <c r="A37" s="17"/>
      <c r="B37" s="17"/>
      <c r="C37" s="17"/>
      <c r="D37" s="17"/>
      <c r="E37" s="17"/>
      <c r="F37" s="17"/>
      <c r="G37" s="17"/>
      <c r="H37" s="17"/>
      <c r="I37" s="17"/>
      <c r="J37" s="17"/>
      <c r="K37" s="17"/>
      <c r="L37" s="17"/>
      <c r="M37" s="17"/>
      <c r="N37" s="17"/>
      <c r="O37" s="17"/>
      <c r="Q37" s="7">
        <f t="shared" si="0"/>
        <v>0</v>
      </c>
      <c r="R37" s="7" t="e">
        <f>IF(VLOOKUP($A37,'Concrete Beam Schedule'!$A$2:$Q$2902,R$2,0)&lt;&gt;B37,VLOOKUP($A37,'Concrete Beam Schedule'!$A$2:$Q$2902,R$2,0),"")</f>
        <v>#N/A</v>
      </c>
      <c r="S37" s="7" t="e">
        <f>IF(VLOOKUP($A37,'Concrete Beam Schedule'!$A$2:$Q$2902,S$2,0)&lt;&gt;C37,VLOOKUP($A37,'Concrete Beam Schedule'!$A$2:$Q$2902,S$2,0),"")</f>
        <v>#N/A</v>
      </c>
      <c r="T37" s="7" t="e">
        <f>IF(VLOOKUP($A37,'Concrete Beam Schedule'!$A$2:$Q$2902,T$2,0)&lt;&gt;D37,"Beam Revised","")</f>
        <v>#N/A</v>
      </c>
      <c r="U37" s="7" t="e">
        <f>IF(VLOOKUP($A37,'Concrete Beam Schedule'!$A$2:$Q$2902,U$2,0)&lt;&gt;E37,"Beam Revised","")</f>
        <v>#N/A</v>
      </c>
      <c r="V37" s="7" t="e">
        <f>IF(VLOOKUP($A37,'Concrete Beam Schedule'!$A$2:$Q$2902,V$2,0)&lt;&gt;F37,"Beam Revised","")</f>
        <v>#N/A</v>
      </c>
      <c r="W37" s="7" t="e">
        <f>IF(VLOOKUP($A37,'Concrete Beam Schedule'!$A$2:$Q$2902,W$2,0)&lt;&gt;G37,"Beam Revised","")</f>
        <v>#N/A</v>
      </c>
      <c r="X37" s="7" t="e">
        <f>IF(VLOOKUP($A37,'Concrete Beam Schedule'!$A$2:$Q$2902,X$2,0)&lt;&gt;H37,"Beam Revised","")</f>
        <v>#N/A</v>
      </c>
      <c r="Y37" s="7" t="e">
        <f>IF(VLOOKUP($A37,'Concrete Beam Schedule'!$A$2:$Q$2902,Y$2,0)&lt;&gt;I37,"Beam Revised","")</f>
        <v>#N/A</v>
      </c>
      <c r="Z37" s="7" t="e">
        <f>IF(VLOOKUP($A37,'Concrete Beam Schedule'!$A$2:$Q$2902,Z$2,0)&lt;&gt;J37,"Beam Revised","")</f>
        <v>#N/A</v>
      </c>
      <c r="AA37" s="7" t="e">
        <f>IF(VLOOKUP($A37,'Concrete Beam Schedule'!$A$2:$Q$2902,AA$2,0)&lt;&gt;K37,"Beam Revised","")</f>
        <v>#N/A</v>
      </c>
      <c r="AB37" s="7" t="e">
        <f>IF(VLOOKUP($A37,'Concrete Beam Schedule'!$A$2:$Q$2902,AB$2,0)&lt;&gt;L37,"Beam Revised","")</f>
        <v>#N/A</v>
      </c>
      <c r="AC37" s="7" t="e">
        <f>IF(VLOOKUP($A37,'Concrete Beam Schedule'!$A$2:$Q$2902,AC$2,0)&lt;&gt;M37,"Beam Revised","")</f>
        <v>#N/A</v>
      </c>
      <c r="AD37" s="7" t="e">
        <f>IF(VLOOKUP($A37,'Concrete Beam Schedule'!$A$2:$Q$2902,AD$2,0)&lt;&gt;N37,"Beam Revised","")</f>
        <v>#N/A</v>
      </c>
      <c r="AE37" s="7" t="e">
        <f>IF(VLOOKUP($A37,'Concrete Beam Schedule'!$A$2:$Q$2902,AE$2,0)&lt;&gt;O37,"Beam Revised","")</f>
        <v>#N/A</v>
      </c>
    </row>
    <row r="38" spans="1:31" ht="25.5" customHeight="1" x14ac:dyDescent="0.25">
      <c r="A38" s="17"/>
      <c r="B38" s="17"/>
      <c r="C38" s="17"/>
      <c r="D38" s="17"/>
      <c r="E38" s="17"/>
      <c r="F38" s="17"/>
      <c r="G38" s="17"/>
      <c r="H38" s="17"/>
      <c r="I38" s="17"/>
      <c r="J38" s="17"/>
      <c r="K38" s="17"/>
      <c r="L38" s="17"/>
      <c r="M38" s="17"/>
      <c r="N38" s="17"/>
      <c r="O38" s="17"/>
      <c r="Q38" s="7">
        <f t="shared" si="0"/>
        <v>0</v>
      </c>
      <c r="R38" s="7" t="e">
        <f>IF(VLOOKUP($A38,'Concrete Beam Schedule'!$A$2:$Q$2902,R$2,0)&lt;&gt;B38,VLOOKUP($A38,'Concrete Beam Schedule'!$A$2:$Q$2902,R$2,0),"")</f>
        <v>#N/A</v>
      </c>
      <c r="S38" s="7" t="e">
        <f>IF(VLOOKUP($A38,'Concrete Beam Schedule'!$A$2:$Q$2902,S$2,0)&lt;&gt;C38,VLOOKUP($A38,'Concrete Beam Schedule'!$A$2:$Q$2902,S$2,0),"")</f>
        <v>#N/A</v>
      </c>
      <c r="T38" s="7" t="e">
        <f>IF(VLOOKUP($A38,'Concrete Beam Schedule'!$A$2:$Q$2902,T$2,0)&lt;&gt;D38,"Beam Revised","")</f>
        <v>#N/A</v>
      </c>
      <c r="U38" s="7" t="e">
        <f>IF(VLOOKUP($A38,'Concrete Beam Schedule'!$A$2:$Q$2902,U$2,0)&lt;&gt;E38,"Beam Revised","")</f>
        <v>#N/A</v>
      </c>
      <c r="V38" s="7" t="e">
        <f>IF(VLOOKUP($A38,'Concrete Beam Schedule'!$A$2:$Q$2902,V$2,0)&lt;&gt;F38,"Beam Revised","")</f>
        <v>#N/A</v>
      </c>
      <c r="W38" s="7" t="e">
        <f>IF(VLOOKUP($A38,'Concrete Beam Schedule'!$A$2:$Q$2902,W$2,0)&lt;&gt;G38,"Beam Revised","")</f>
        <v>#N/A</v>
      </c>
      <c r="X38" s="7" t="e">
        <f>IF(VLOOKUP($A38,'Concrete Beam Schedule'!$A$2:$Q$2902,X$2,0)&lt;&gt;H38,"Beam Revised","")</f>
        <v>#N/A</v>
      </c>
      <c r="Y38" s="7" t="e">
        <f>IF(VLOOKUP($A38,'Concrete Beam Schedule'!$A$2:$Q$2902,Y$2,0)&lt;&gt;I38,"Beam Revised","")</f>
        <v>#N/A</v>
      </c>
      <c r="Z38" s="7" t="e">
        <f>IF(VLOOKUP($A38,'Concrete Beam Schedule'!$A$2:$Q$2902,Z$2,0)&lt;&gt;J38,"Beam Revised","")</f>
        <v>#N/A</v>
      </c>
      <c r="AA38" s="7" t="e">
        <f>IF(VLOOKUP($A38,'Concrete Beam Schedule'!$A$2:$Q$2902,AA$2,0)&lt;&gt;K38,"Beam Revised","")</f>
        <v>#N/A</v>
      </c>
      <c r="AB38" s="7" t="e">
        <f>IF(VLOOKUP($A38,'Concrete Beam Schedule'!$A$2:$Q$2902,AB$2,0)&lt;&gt;L38,"Beam Revised","")</f>
        <v>#N/A</v>
      </c>
      <c r="AC38" s="7" t="e">
        <f>IF(VLOOKUP($A38,'Concrete Beam Schedule'!$A$2:$Q$2902,AC$2,0)&lt;&gt;M38,"Beam Revised","")</f>
        <v>#N/A</v>
      </c>
      <c r="AD38" s="7" t="e">
        <f>IF(VLOOKUP($A38,'Concrete Beam Schedule'!$A$2:$Q$2902,AD$2,0)&lt;&gt;N38,"Beam Revised","")</f>
        <v>#N/A</v>
      </c>
      <c r="AE38" s="7" t="e">
        <f>IF(VLOOKUP($A38,'Concrete Beam Schedule'!$A$2:$Q$2902,AE$2,0)&lt;&gt;O38,"Beam Revised","")</f>
        <v>#N/A</v>
      </c>
    </row>
    <row r="39" spans="1:31" ht="25.5" customHeight="1" x14ac:dyDescent="0.25">
      <c r="A39" s="17"/>
      <c r="B39" s="17"/>
      <c r="C39" s="17"/>
      <c r="D39" s="17"/>
      <c r="E39" s="17"/>
      <c r="F39" s="17"/>
      <c r="G39" s="17"/>
      <c r="H39" s="17"/>
      <c r="I39" s="17"/>
      <c r="J39" s="17"/>
      <c r="K39" s="17"/>
      <c r="L39" s="17"/>
      <c r="M39" s="17"/>
      <c r="N39" s="17"/>
      <c r="O39" s="17"/>
      <c r="Q39" s="7">
        <f t="shared" si="0"/>
        <v>0</v>
      </c>
      <c r="R39" s="7" t="e">
        <f>IF(VLOOKUP($A39,'Concrete Beam Schedule'!$A$2:$Q$2902,R$2,0)&lt;&gt;B39,VLOOKUP($A39,'Concrete Beam Schedule'!$A$2:$Q$2902,R$2,0),"")</f>
        <v>#N/A</v>
      </c>
      <c r="S39" s="7" t="e">
        <f>IF(VLOOKUP($A39,'Concrete Beam Schedule'!$A$2:$Q$2902,S$2,0)&lt;&gt;C39,VLOOKUP($A39,'Concrete Beam Schedule'!$A$2:$Q$2902,S$2,0),"")</f>
        <v>#N/A</v>
      </c>
      <c r="T39" s="7" t="e">
        <f>IF(VLOOKUP($A39,'Concrete Beam Schedule'!$A$2:$Q$2902,T$2,0)&lt;&gt;D39,"Beam Revised","")</f>
        <v>#N/A</v>
      </c>
      <c r="U39" s="7" t="e">
        <f>IF(VLOOKUP($A39,'Concrete Beam Schedule'!$A$2:$Q$2902,U$2,0)&lt;&gt;E39,"Beam Revised","")</f>
        <v>#N/A</v>
      </c>
      <c r="V39" s="7" t="e">
        <f>IF(VLOOKUP($A39,'Concrete Beam Schedule'!$A$2:$Q$2902,V$2,0)&lt;&gt;F39,"Beam Revised","")</f>
        <v>#N/A</v>
      </c>
      <c r="W39" s="7" t="e">
        <f>IF(VLOOKUP($A39,'Concrete Beam Schedule'!$A$2:$Q$2902,W$2,0)&lt;&gt;G39,"Beam Revised","")</f>
        <v>#N/A</v>
      </c>
      <c r="X39" s="7" t="e">
        <f>IF(VLOOKUP($A39,'Concrete Beam Schedule'!$A$2:$Q$2902,X$2,0)&lt;&gt;H39,"Beam Revised","")</f>
        <v>#N/A</v>
      </c>
      <c r="Y39" s="7" t="e">
        <f>IF(VLOOKUP($A39,'Concrete Beam Schedule'!$A$2:$Q$2902,Y$2,0)&lt;&gt;I39,"Beam Revised","")</f>
        <v>#N/A</v>
      </c>
      <c r="Z39" s="7" t="e">
        <f>IF(VLOOKUP($A39,'Concrete Beam Schedule'!$A$2:$Q$2902,Z$2,0)&lt;&gt;J39,"Beam Revised","")</f>
        <v>#N/A</v>
      </c>
      <c r="AA39" s="7" t="e">
        <f>IF(VLOOKUP($A39,'Concrete Beam Schedule'!$A$2:$Q$2902,AA$2,0)&lt;&gt;K39,"Beam Revised","")</f>
        <v>#N/A</v>
      </c>
      <c r="AB39" s="7" t="e">
        <f>IF(VLOOKUP($A39,'Concrete Beam Schedule'!$A$2:$Q$2902,AB$2,0)&lt;&gt;L39,"Beam Revised","")</f>
        <v>#N/A</v>
      </c>
      <c r="AC39" s="7" t="e">
        <f>IF(VLOOKUP($A39,'Concrete Beam Schedule'!$A$2:$Q$2902,AC$2,0)&lt;&gt;M39,"Beam Revised","")</f>
        <v>#N/A</v>
      </c>
      <c r="AD39" s="7" t="e">
        <f>IF(VLOOKUP($A39,'Concrete Beam Schedule'!$A$2:$Q$2902,AD$2,0)&lt;&gt;N39,"Beam Revised","")</f>
        <v>#N/A</v>
      </c>
      <c r="AE39" s="7" t="e">
        <f>IF(VLOOKUP($A39,'Concrete Beam Schedule'!$A$2:$Q$2902,AE$2,0)&lt;&gt;O39,"Beam Revised","")</f>
        <v>#N/A</v>
      </c>
    </row>
    <row r="40" spans="1:31" ht="25.5" customHeight="1" x14ac:dyDescent="0.25">
      <c r="A40" s="17"/>
      <c r="B40" s="17"/>
      <c r="C40" s="17"/>
      <c r="D40" s="17"/>
      <c r="E40" s="17"/>
      <c r="F40" s="17"/>
      <c r="G40" s="17"/>
      <c r="H40" s="17"/>
      <c r="I40" s="17"/>
      <c r="J40" s="17"/>
      <c r="K40" s="17"/>
      <c r="L40" s="17"/>
      <c r="M40" s="17"/>
      <c r="N40" s="17"/>
      <c r="O40" s="17"/>
      <c r="Q40" s="7">
        <f t="shared" si="0"/>
        <v>0</v>
      </c>
      <c r="R40" s="7" t="e">
        <f>IF(VLOOKUP($A40,'Concrete Beam Schedule'!$A$2:$Q$2902,R$2,0)&lt;&gt;B40,VLOOKUP($A40,'Concrete Beam Schedule'!$A$2:$Q$2902,R$2,0),"")</f>
        <v>#N/A</v>
      </c>
      <c r="S40" s="7" t="e">
        <f>IF(VLOOKUP($A40,'Concrete Beam Schedule'!$A$2:$Q$2902,S$2,0)&lt;&gt;C40,VLOOKUP($A40,'Concrete Beam Schedule'!$A$2:$Q$2902,S$2,0),"")</f>
        <v>#N/A</v>
      </c>
      <c r="T40" s="7" t="e">
        <f>IF(VLOOKUP($A40,'Concrete Beam Schedule'!$A$2:$Q$2902,T$2,0)&lt;&gt;D40,"Beam Revised","")</f>
        <v>#N/A</v>
      </c>
      <c r="U40" s="7" t="e">
        <f>IF(VLOOKUP($A40,'Concrete Beam Schedule'!$A$2:$Q$2902,U$2,0)&lt;&gt;E40,"Beam Revised","")</f>
        <v>#N/A</v>
      </c>
      <c r="V40" s="7" t="e">
        <f>IF(VLOOKUP($A40,'Concrete Beam Schedule'!$A$2:$Q$2902,V$2,0)&lt;&gt;F40,"Beam Revised","")</f>
        <v>#N/A</v>
      </c>
      <c r="W40" s="7" t="e">
        <f>IF(VLOOKUP($A40,'Concrete Beam Schedule'!$A$2:$Q$2902,W$2,0)&lt;&gt;G40,"Beam Revised","")</f>
        <v>#N/A</v>
      </c>
      <c r="X40" s="7" t="e">
        <f>IF(VLOOKUP($A40,'Concrete Beam Schedule'!$A$2:$Q$2902,X$2,0)&lt;&gt;H40,"Beam Revised","")</f>
        <v>#N/A</v>
      </c>
      <c r="Y40" s="7" t="e">
        <f>IF(VLOOKUP($A40,'Concrete Beam Schedule'!$A$2:$Q$2902,Y$2,0)&lt;&gt;I40,"Beam Revised","")</f>
        <v>#N/A</v>
      </c>
      <c r="Z40" s="7" t="e">
        <f>IF(VLOOKUP($A40,'Concrete Beam Schedule'!$A$2:$Q$2902,Z$2,0)&lt;&gt;J40,"Beam Revised","")</f>
        <v>#N/A</v>
      </c>
      <c r="AA40" s="7" t="e">
        <f>IF(VLOOKUP($A40,'Concrete Beam Schedule'!$A$2:$Q$2902,AA$2,0)&lt;&gt;K40,"Beam Revised","")</f>
        <v>#N/A</v>
      </c>
      <c r="AB40" s="7" t="e">
        <f>IF(VLOOKUP($A40,'Concrete Beam Schedule'!$A$2:$Q$2902,AB$2,0)&lt;&gt;L40,"Beam Revised","")</f>
        <v>#N/A</v>
      </c>
      <c r="AC40" s="7" t="e">
        <f>IF(VLOOKUP($A40,'Concrete Beam Schedule'!$A$2:$Q$2902,AC$2,0)&lt;&gt;M40,"Beam Revised","")</f>
        <v>#N/A</v>
      </c>
      <c r="AD40" s="7" t="e">
        <f>IF(VLOOKUP($A40,'Concrete Beam Schedule'!$A$2:$Q$2902,AD$2,0)&lt;&gt;N40,"Beam Revised","")</f>
        <v>#N/A</v>
      </c>
      <c r="AE40" s="7" t="e">
        <f>IF(VLOOKUP($A40,'Concrete Beam Schedule'!$A$2:$Q$2902,AE$2,0)&lt;&gt;O40,"Beam Revised","")</f>
        <v>#N/A</v>
      </c>
    </row>
    <row r="41" spans="1:31" ht="25.5" customHeight="1" x14ac:dyDescent="0.25">
      <c r="A41" s="17"/>
      <c r="B41" s="17"/>
      <c r="C41" s="17"/>
      <c r="D41" s="17"/>
      <c r="E41" s="17"/>
      <c r="F41" s="17"/>
      <c r="G41" s="17"/>
      <c r="H41" s="17"/>
      <c r="I41" s="17"/>
      <c r="J41" s="17"/>
      <c r="K41" s="17"/>
      <c r="L41" s="17"/>
      <c r="M41" s="17"/>
      <c r="N41" s="17"/>
      <c r="O41" s="17"/>
      <c r="Q41" s="7">
        <f t="shared" si="0"/>
        <v>0</v>
      </c>
      <c r="R41" s="7" t="e">
        <f>IF(VLOOKUP($A41,'Concrete Beam Schedule'!$A$2:$Q$2902,R$2,0)&lt;&gt;B41,VLOOKUP($A41,'Concrete Beam Schedule'!$A$2:$Q$2902,R$2,0),"")</f>
        <v>#N/A</v>
      </c>
      <c r="S41" s="7" t="e">
        <f>IF(VLOOKUP($A41,'Concrete Beam Schedule'!$A$2:$Q$2902,S$2,0)&lt;&gt;C41,VLOOKUP($A41,'Concrete Beam Schedule'!$A$2:$Q$2902,S$2,0),"")</f>
        <v>#N/A</v>
      </c>
      <c r="T41" s="7" t="e">
        <f>IF(VLOOKUP($A41,'Concrete Beam Schedule'!$A$2:$Q$2902,T$2,0)&lt;&gt;D41,"Beam Revised","")</f>
        <v>#N/A</v>
      </c>
      <c r="U41" s="7" t="e">
        <f>IF(VLOOKUP($A41,'Concrete Beam Schedule'!$A$2:$Q$2902,U$2,0)&lt;&gt;E41,"Beam Revised","")</f>
        <v>#N/A</v>
      </c>
      <c r="V41" s="7" t="e">
        <f>IF(VLOOKUP($A41,'Concrete Beam Schedule'!$A$2:$Q$2902,V$2,0)&lt;&gt;F41,"Beam Revised","")</f>
        <v>#N/A</v>
      </c>
      <c r="W41" s="7" t="e">
        <f>IF(VLOOKUP($A41,'Concrete Beam Schedule'!$A$2:$Q$2902,W$2,0)&lt;&gt;G41,"Beam Revised","")</f>
        <v>#N/A</v>
      </c>
      <c r="X41" s="7" t="e">
        <f>IF(VLOOKUP($A41,'Concrete Beam Schedule'!$A$2:$Q$2902,X$2,0)&lt;&gt;H41,"Beam Revised","")</f>
        <v>#N/A</v>
      </c>
      <c r="Y41" s="7" t="e">
        <f>IF(VLOOKUP($A41,'Concrete Beam Schedule'!$A$2:$Q$2902,Y$2,0)&lt;&gt;I41,"Beam Revised","")</f>
        <v>#N/A</v>
      </c>
      <c r="Z41" s="7" t="e">
        <f>IF(VLOOKUP($A41,'Concrete Beam Schedule'!$A$2:$Q$2902,Z$2,0)&lt;&gt;J41,"Beam Revised","")</f>
        <v>#N/A</v>
      </c>
      <c r="AA41" s="7" t="e">
        <f>IF(VLOOKUP($A41,'Concrete Beam Schedule'!$A$2:$Q$2902,AA$2,0)&lt;&gt;K41,"Beam Revised","")</f>
        <v>#N/A</v>
      </c>
      <c r="AB41" s="7" t="e">
        <f>IF(VLOOKUP($A41,'Concrete Beam Schedule'!$A$2:$Q$2902,AB$2,0)&lt;&gt;L41,"Beam Revised","")</f>
        <v>#N/A</v>
      </c>
      <c r="AC41" s="7" t="e">
        <f>IF(VLOOKUP($A41,'Concrete Beam Schedule'!$A$2:$Q$2902,AC$2,0)&lt;&gt;M41,"Beam Revised","")</f>
        <v>#N/A</v>
      </c>
      <c r="AD41" s="7" t="e">
        <f>IF(VLOOKUP($A41,'Concrete Beam Schedule'!$A$2:$Q$2902,AD$2,0)&lt;&gt;N41,"Beam Revised","")</f>
        <v>#N/A</v>
      </c>
      <c r="AE41" s="7" t="e">
        <f>IF(VLOOKUP($A41,'Concrete Beam Schedule'!$A$2:$Q$2902,AE$2,0)&lt;&gt;O41,"Beam Revised","")</f>
        <v>#N/A</v>
      </c>
    </row>
    <row r="42" spans="1:31" ht="25.5" customHeight="1" x14ac:dyDescent="0.25">
      <c r="A42" s="17"/>
      <c r="B42" s="17"/>
      <c r="C42" s="17"/>
      <c r="D42" s="17"/>
      <c r="E42" s="17"/>
      <c r="F42" s="17"/>
      <c r="G42" s="17"/>
      <c r="H42" s="17"/>
      <c r="I42" s="17"/>
      <c r="J42" s="17"/>
      <c r="K42" s="17"/>
      <c r="L42" s="17"/>
      <c r="M42" s="17"/>
      <c r="N42" s="17"/>
      <c r="O42" s="17"/>
      <c r="Q42" s="7">
        <f t="shared" si="0"/>
        <v>0</v>
      </c>
      <c r="R42" s="7" t="e">
        <f>IF(VLOOKUP($A42,'Concrete Beam Schedule'!$A$2:$Q$2902,R$2,0)&lt;&gt;B42,VLOOKUP($A42,'Concrete Beam Schedule'!$A$2:$Q$2902,R$2,0),"")</f>
        <v>#N/A</v>
      </c>
      <c r="S42" s="7" t="e">
        <f>IF(VLOOKUP($A42,'Concrete Beam Schedule'!$A$2:$Q$2902,S$2,0)&lt;&gt;C42,VLOOKUP($A42,'Concrete Beam Schedule'!$A$2:$Q$2902,S$2,0),"")</f>
        <v>#N/A</v>
      </c>
      <c r="T42" s="7" t="e">
        <f>IF(VLOOKUP($A42,'Concrete Beam Schedule'!$A$2:$Q$2902,T$2,0)&lt;&gt;D42,"Beam Revised","")</f>
        <v>#N/A</v>
      </c>
      <c r="U42" s="7" t="e">
        <f>IF(VLOOKUP($A42,'Concrete Beam Schedule'!$A$2:$Q$2902,U$2,0)&lt;&gt;E42,"Beam Revised","")</f>
        <v>#N/A</v>
      </c>
      <c r="V42" s="7" t="e">
        <f>IF(VLOOKUP($A42,'Concrete Beam Schedule'!$A$2:$Q$2902,V$2,0)&lt;&gt;F42,"Beam Revised","")</f>
        <v>#N/A</v>
      </c>
      <c r="W42" s="7" t="e">
        <f>IF(VLOOKUP($A42,'Concrete Beam Schedule'!$A$2:$Q$2902,W$2,0)&lt;&gt;G42,"Beam Revised","")</f>
        <v>#N/A</v>
      </c>
      <c r="X42" s="7" t="e">
        <f>IF(VLOOKUP($A42,'Concrete Beam Schedule'!$A$2:$Q$2902,X$2,0)&lt;&gt;H42,"Beam Revised","")</f>
        <v>#N/A</v>
      </c>
      <c r="Y42" s="7" t="e">
        <f>IF(VLOOKUP($A42,'Concrete Beam Schedule'!$A$2:$Q$2902,Y$2,0)&lt;&gt;I42,"Beam Revised","")</f>
        <v>#N/A</v>
      </c>
      <c r="Z42" s="7" t="e">
        <f>IF(VLOOKUP($A42,'Concrete Beam Schedule'!$A$2:$Q$2902,Z$2,0)&lt;&gt;J42,"Beam Revised","")</f>
        <v>#N/A</v>
      </c>
      <c r="AA42" s="7" t="e">
        <f>IF(VLOOKUP($A42,'Concrete Beam Schedule'!$A$2:$Q$2902,AA$2,0)&lt;&gt;K42,"Beam Revised","")</f>
        <v>#N/A</v>
      </c>
      <c r="AB42" s="7" t="e">
        <f>IF(VLOOKUP($A42,'Concrete Beam Schedule'!$A$2:$Q$2902,AB$2,0)&lt;&gt;L42,"Beam Revised","")</f>
        <v>#N/A</v>
      </c>
      <c r="AC42" s="7" t="e">
        <f>IF(VLOOKUP($A42,'Concrete Beam Schedule'!$A$2:$Q$2902,AC$2,0)&lt;&gt;M42,"Beam Revised","")</f>
        <v>#N/A</v>
      </c>
      <c r="AD42" s="7" t="e">
        <f>IF(VLOOKUP($A42,'Concrete Beam Schedule'!$A$2:$Q$2902,AD$2,0)&lt;&gt;N42,"Beam Revised","")</f>
        <v>#N/A</v>
      </c>
      <c r="AE42" s="7" t="e">
        <f>IF(VLOOKUP($A42,'Concrete Beam Schedule'!$A$2:$Q$2902,AE$2,0)&lt;&gt;O42,"Beam Revised","")</f>
        <v>#N/A</v>
      </c>
    </row>
    <row r="43" spans="1:31" ht="25.5" customHeight="1" x14ac:dyDescent="0.25">
      <c r="A43" s="17"/>
      <c r="B43" s="17"/>
      <c r="C43" s="17"/>
      <c r="D43" s="17"/>
      <c r="E43" s="17"/>
      <c r="F43" s="17"/>
      <c r="G43" s="17"/>
      <c r="H43" s="17"/>
      <c r="I43" s="17"/>
      <c r="J43" s="17"/>
      <c r="K43" s="17"/>
      <c r="L43" s="17"/>
      <c r="M43" s="17"/>
      <c r="N43" s="17"/>
      <c r="O43" s="17"/>
      <c r="Q43" s="7">
        <f t="shared" si="0"/>
        <v>0</v>
      </c>
      <c r="R43" s="7" t="e">
        <f>IF(VLOOKUP($A43,'Concrete Beam Schedule'!$A$2:$Q$2902,R$2,0)&lt;&gt;B43,VLOOKUP($A43,'Concrete Beam Schedule'!$A$2:$Q$2902,R$2,0),"")</f>
        <v>#N/A</v>
      </c>
      <c r="S43" s="7" t="e">
        <f>IF(VLOOKUP($A43,'Concrete Beam Schedule'!$A$2:$Q$2902,S$2,0)&lt;&gt;C43,VLOOKUP($A43,'Concrete Beam Schedule'!$A$2:$Q$2902,S$2,0),"")</f>
        <v>#N/A</v>
      </c>
      <c r="T43" s="7" t="e">
        <f>IF(VLOOKUP($A43,'Concrete Beam Schedule'!$A$2:$Q$2902,T$2,0)&lt;&gt;D43,"Beam Revised","")</f>
        <v>#N/A</v>
      </c>
      <c r="U43" s="7" t="e">
        <f>IF(VLOOKUP($A43,'Concrete Beam Schedule'!$A$2:$Q$2902,U$2,0)&lt;&gt;E43,"Beam Revised","")</f>
        <v>#N/A</v>
      </c>
      <c r="V43" s="7" t="e">
        <f>IF(VLOOKUP($A43,'Concrete Beam Schedule'!$A$2:$Q$2902,V$2,0)&lt;&gt;F43,"Beam Revised","")</f>
        <v>#N/A</v>
      </c>
      <c r="W43" s="7" t="e">
        <f>IF(VLOOKUP($A43,'Concrete Beam Schedule'!$A$2:$Q$2902,W$2,0)&lt;&gt;G43,"Beam Revised","")</f>
        <v>#N/A</v>
      </c>
      <c r="X43" s="7" t="e">
        <f>IF(VLOOKUP($A43,'Concrete Beam Schedule'!$A$2:$Q$2902,X$2,0)&lt;&gt;H43,"Beam Revised","")</f>
        <v>#N/A</v>
      </c>
      <c r="Y43" s="7" t="e">
        <f>IF(VLOOKUP($A43,'Concrete Beam Schedule'!$A$2:$Q$2902,Y$2,0)&lt;&gt;I43,"Beam Revised","")</f>
        <v>#N/A</v>
      </c>
      <c r="Z43" s="7" t="e">
        <f>IF(VLOOKUP($A43,'Concrete Beam Schedule'!$A$2:$Q$2902,Z$2,0)&lt;&gt;J43,"Beam Revised","")</f>
        <v>#N/A</v>
      </c>
      <c r="AA43" s="7" t="e">
        <f>IF(VLOOKUP($A43,'Concrete Beam Schedule'!$A$2:$Q$2902,AA$2,0)&lt;&gt;K43,"Beam Revised","")</f>
        <v>#N/A</v>
      </c>
      <c r="AB43" s="7" t="e">
        <f>IF(VLOOKUP($A43,'Concrete Beam Schedule'!$A$2:$Q$2902,AB$2,0)&lt;&gt;L43,"Beam Revised","")</f>
        <v>#N/A</v>
      </c>
      <c r="AC43" s="7" t="e">
        <f>IF(VLOOKUP($A43,'Concrete Beam Schedule'!$A$2:$Q$2902,AC$2,0)&lt;&gt;M43,"Beam Revised","")</f>
        <v>#N/A</v>
      </c>
      <c r="AD43" s="7" t="e">
        <f>IF(VLOOKUP($A43,'Concrete Beam Schedule'!$A$2:$Q$2902,AD$2,0)&lt;&gt;N43,"Beam Revised","")</f>
        <v>#N/A</v>
      </c>
      <c r="AE43" s="7" t="e">
        <f>IF(VLOOKUP($A43,'Concrete Beam Schedule'!$A$2:$Q$2902,AE$2,0)&lt;&gt;O43,"Beam Revised","")</f>
        <v>#N/A</v>
      </c>
    </row>
    <row r="44" spans="1:31" ht="25.5" customHeight="1" x14ac:dyDescent="0.25">
      <c r="A44" s="17"/>
      <c r="B44" s="17"/>
      <c r="C44" s="17"/>
      <c r="D44" s="17"/>
      <c r="E44" s="17"/>
      <c r="F44" s="17"/>
      <c r="G44" s="17"/>
      <c r="H44" s="17"/>
      <c r="I44" s="17"/>
      <c r="J44" s="17"/>
      <c r="K44" s="17"/>
      <c r="L44" s="17"/>
      <c r="M44" s="17"/>
      <c r="N44" s="17"/>
      <c r="O44" s="17"/>
      <c r="Q44" s="7">
        <f t="shared" si="0"/>
        <v>0</v>
      </c>
      <c r="R44" s="7" t="e">
        <f>IF(VLOOKUP($A44,'Concrete Beam Schedule'!$A$2:$Q$2902,R$2,0)&lt;&gt;B44,VLOOKUP($A44,'Concrete Beam Schedule'!$A$2:$Q$2902,R$2,0),"")</f>
        <v>#N/A</v>
      </c>
      <c r="S44" s="7" t="e">
        <f>IF(VLOOKUP($A44,'Concrete Beam Schedule'!$A$2:$Q$2902,S$2,0)&lt;&gt;C44,VLOOKUP($A44,'Concrete Beam Schedule'!$A$2:$Q$2902,S$2,0),"")</f>
        <v>#N/A</v>
      </c>
      <c r="T44" s="7" t="e">
        <f>IF(VLOOKUP($A44,'Concrete Beam Schedule'!$A$2:$Q$2902,T$2,0)&lt;&gt;D44,"Beam Revised","")</f>
        <v>#N/A</v>
      </c>
      <c r="U44" s="7" t="e">
        <f>IF(VLOOKUP($A44,'Concrete Beam Schedule'!$A$2:$Q$2902,U$2,0)&lt;&gt;E44,"Beam Revised","")</f>
        <v>#N/A</v>
      </c>
      <c r="V44" s="7" t="e">
        <f>IF(VLOOKUP($A44,'Concrete Beam Schedule'!$A$2:$Q$2902,V$2,0)&lt;&gt;F44,"Beam Revised","")</f>
        <v>#N/A</v>
      </c>
      <c r="W44" s="7" t="e">
        <f>IF(VLOOKUP($A44,'Concrete Beam Schedule'!$A$2:$Q$2902,W$2,0)&lt;&gt;G44,"Beam Revised","")</f>
        <v>#N/A</v>
      </c>
      <c r="X44" s="7" t="e">
        <f>IF(VLOOKUP($A44,'Concrete Beam Schedule'!$A$2:$Q$2902,X$2,0)&lt;&gt;H44,"Beam Revised","")</f>
        <v>#N/A</v>
      </c>
      <c r="Y44" s="7" t="e">
        <f>IF(VLOOKUP($A44,'Concrete Beam Schedule'!$A$2:$Q$2902,Y$2,0)&lt;&gt;I44,"Beam Revised","")</f>
        <v>#N/A</v>
      </c>
      <c r="Z44" s="7" t="e">
        <f>IF(VLOOKUP($A44,'Concrete Beam Schedule'!$A$2:$Q$2902,Z$2,0)&lt;&gt;J44,"Beam Revised","")</f>
        <v>#N/A</v>
      </c>
      <c r="AA44" s="7" t="e">
        <f>IF(VLOOKUP($A44,'Concrete Beam Schedule'!$A$2:$Q$2902,AA$2,0)&lt;&gt;K44,"Beam Revised","")</f>
        <v>#N/A</v>
      </c>
      <c r="AB44" s="7" t="e">
        <f>IF(VLOOKUP($A44,'Concrete Beam Schedule'!$A$2:$Q$2902,AB$2,0)&lt;&gt;L44,"Beam Revised","")</f>
        <v>#N/A</v>
      </c>
      <c r="AC44" s="7" t="e">
        <f>IF(VLOOKUP($A44,'Concrete Beam Schedule'!$A$2:$Q$2902,AC$2,0)&lt;&gt;M44,"Beam Revised","")</f>
        <v>#N/A</v>
      </c>
      <c r="AD44" s="7" t="e">
        <f>IF(VLOOKUP($A44,'Concrete Beam Schedule'!$A$2:$Q$2902,AD$2,0)&lt;&gt;N44,"Beam Revised","")</f>
        <v>#N/A</v>
      </c>
      <c r="AE44" s="7" t="e">
        <f>IF(VLOOKUP($A44,'Concrete Beam Schedule'!$A$2:$Q$2902,AE$2,0)&lt;&gt;O44,"Beam Revised","")</f>
        <v>#N/A</v>
      </c>
    </row>
    <row r="45" spans="1:31" ht="25.5" customHeight="1" x14ac:dyDescent="0.25">
      <c r="A45" s="17"/>
      <c r="B45" s="17"/>
      <c r="C45" s="17"/>
      <c r="D45" s="17"/>
      <c r="E45" s="17"/>
      <c r="F45" s="17"/>
      <c r="G45" s="17"/>
      <c r="H45" s="17"/>
      <c r="I45" s="17"/>
      <c r="J45" s="17"/>
      <c r="K45" s="17"/>
      <c r="L45" s="17"/>
      <c r="M45" s="17"/>
      <c r="N45" s="17"/>
      <c r="O45" s="17"/>
      <c r="Q45" s="7">
        <f t="shared" si="0"/>
        <v>0</v>
      </c>
      <c r="R45" s="7" t="e">
        <f>IF(VLOOKUP($A45,'Concrete Beam Schedule'!$A$2:$Q$2902,R$2,0)&lt;&gt;B45,VLOOKUP($A45,'Concrete Beam Schedule'!$A$2:$Q$2902,R$2,0),"")</f>
        <v>#N/A</v>
      </c>
      <c r="S45" s="7" t="e">
        <f>IF(VLOOKUP($A45,'Concrete Beam Schedule'!$A$2:$Q$2902,S$2,0)&lt;&gt;C45,VLOOKUP($A45,'Concrete Beam Schedule'!$A$2:$Q$2902,S$2,0),"")</f>
        <v>#N/A</v>
      </c>
      <c r="T45" s="7" t="e">
        <f>IF(VLOOKUP($A45,'Concrete Beam Schedule'!$A$2:$Q$2902,T$2,0)&lt;&gt;D45,"Beam Revised","")</f>
        <v>#N/A</v>
      </c>
      <c r="U45" s="7" t="e">
        <f>IF(VLOOKUP($A45,'Concrete Beam Schedule'!$A$2:$Q$2902,U$2,0)&lt;&gt;E45,"Beam Revised","")</f>
        <v>#N/A</v>
      </c>
      <c r="V45" s="7" t="e">
        <f>IF(VLOOKUP($A45,'Concrete Beam Schedule'!$A$2:$Q$2902,V$2,0)&lt;&gt;F45,"Beam Revised","")</f>
        <v>#N/A</v>
      </c>
      <c r="W45" s="7" t="e">
        <f>IF(VLOOKUP($A45,'Concrete Beam Schedule'!$A$2:$Q$2902,W$2,0)&lt;&gt;G45,"Beam Revised","")</f>
        <v>#N/A</v>
      </c>
      <c r="X45" s="7" t="e">
        <f>IF(VLOOKUP($A45,'Concrete Beam Schedule'!$A$2:$Q$2902,X$2,0)&lt;&gt;H45,"Beam Revised","")</f>
        <v>#N/A</v>
      </c>
      <c r="Y45" s="7" t="e">
        <f>IF(VLOOKUP($A45,'Concrete Beam Schedule'!$A$2:$Q$2902,Y$2,0)&lt;&gt;I45,"Beam Revised","")</f>
        <v>#N/A</v>
      </c>
      <c r="Z45" s="7" t="e">
        <f>IF(VLOOKUP($A45,'Concrete Beam Schedule'!$A$2:$Q$2902,Z$2,0)&lt;&gt;J45,"Beam Revised","")</f>
        <v>#N/A</v>
      </c>
      <c r="AA45" s="7" t="e">
        <f>IF(VLOOKUP($A45,'Concrete Beam Schedule'!$A$2:$Q$2902,AA$2,0)&lt;&gt;K45,"Beam Revised","")</f>
        <v>#N/A</v>
      </c>
      <c r="AB45" s="7" t="e">
        <f>IF(VLOOKUP($A45,'Concrete Beam Schedule'!$A$2:$Q$2902,AB$2,0)&lt;&gt;L45,"Beam Revised","")</f>
        <v>#N/A</v>
      </c>
      <c r="AC45" s="7" t="e">
        <f>IF(VLOOKUP($A45,'Concrete Beam Schedule'!$A$2:$Q$2902,AC$2,0)&lt;&gt;M45,"Beam Revised","")</f>
        <v>#N/A</v>
      </c>
      <c r="AD45" s="7" t="e">
        <f>IF(VLOOKUP($A45,'Concrete Beam Schedule'!$A$2:$Q$2902,AD$2,0)&lt;&gt;N45,"Beam Revised","")</f>
        <v>#N/A</v>
      </c>
      <c r="AE45" s="7" t="e">
        <f>IF(VLOOKUP($A45,'Concrete Beam Schedule'!$A$2:$Q$2902,AE$2,0)&lt;&gt;O45,"Beam Revised","")</f>
        <v>#N/A</v>
      </c>
    </row>
    <row r="46" spans="1:31" ht="25.5" customHeight="1" x14ac:dyDescent="0.25">
      <c r="A46" s="17"/>
      <c r="B46" s="17"/>
      <c r="C46" s="17"/>
      <c r="D46" s="17"/>
      <c r="E46" s="17"/>
      <c r="F46" s="17"/>
      <c r="G46" s="17"/>
      <c r="H46" s="17"/>
      <c r="I46" s="17"/>
      <c r="J46" s="17"/>
      <c r="K46" s="17"/>
      <c r="L46" s="17"/>
      <c r="M46" s="17"/>
      <c r="N46" s="17"/>
      <c r="O46" s="17"/>
      <c r="Q46" s="7">
        <f t="shared" si="0"/>
        <v>0</v>
      </c>
      <c r="R46" s="7" t="e">
        <f>IF(VLOOKUP($A46,'Concrete Beam Schedule'!$A$2:$Q$2902,R$2,0)&lt;&gt;B46,VLOOKUP($A46,'Concrete Beam Schedule'!$A$2:$Q$2902,R$2,0),"")</f>
        <v>#N/A</v>
      </c>
      <c r="S46" s="7" t="e">
        <f>IF(VLOOKUP($A46,'Concrete Beam Schedule'!$A$2:$Q$2902,S$2,0)&lt;&gt;C46,VLOOKUP($A46,'Concrete Beam Schedule'!$A$2:$Q$2902,S$2,0),"")</f>
        <v>#N/A</v>
      </c>
      <c r="T46" s="7" t="e">
        <f>IF(VLOOKUP($A46,'Concrete Beam Schedule'!$A$2:$Q$2902,T$2,0)&lt;&gt;D46,"Beam Revised","")</f>
        <v>#N/A</v>
      </c>
      <c r="U46" s="7" t="e">
        <f>IF(VLOOKUP($A46,'Concrete Beam Schedule'!$A$2:$Q$2902,U$2,0)&lt;&gt;E46,"Beam Revised","")</f>
        <v>#N/A</v>
      </c>
      <c r="V46" s="7" t="e">
        <f>IF(VLOOKUP($A46,'Concrete Beam Schedule'!$A$2:$Q$2902,V$2,0)&lt;&gt;F46,"Beam Revised","")</f>
        <v>#N/A</v>
      </c>
      <c r="W46" s="7" t="e">
        <f>IF(VLOOKUP($A46,'Concrete Beam Schedule'!$A$2:$Q$2902,W$2,0)&lt;&gt;G46,"Beam Revised","")</f>
        <v>#N/A</v>
      </c>
      <c r="X46" s="7" t="e">
        <f>IF(VLOOKUP($A46,'Concrete Beam Schedule'!$A$2:$Q$2902,X$2,0)&lt;&gt;H46,"Beam Revised","")</f>
        <v>#N/A</v>
      </c>
      <c r="Y46" s="7" t="e">
        <f>IF(VLOOKUP($A46,'Concrete Beam Schedule'!$A$2:$Q$2902,Y$2,0)&lt;&gt;I46,"Beam Revised","")</f>
        <v>#N/A</v>
      </c>
      <c r="Z46" s="7" t="e">
        <f>IF(VLOOKUP($A46,'Concrete Beam Schedule'!$A$2:$Q$2902,Z$2,0)&lt;&gt;J46,"Beam Revised","")</f>
        <v>#N/A</v>
      </c>
      <c r="AA46" s="7" t="e">
        <f>IF(VLOOKUP($A46,'Concrete Beam Schedule'!$A$2:$Q$2902,AA$2,0)&lt;&gt;K46,"Beam Revised","")</f>
        <v>#N/A</v>
      </c>
      <c r="AB46" s="7" t="e">
        <f>IF(VLOOKUP($A46,'Concrete Beam Schedule'!$A$2:$Q$2902,AB$2,0)&lt;&gt;L46,"Beam Revised","")</f>
        <v>#N/A</v>
      </c>
      <c r="AC46" s="7" t="e">
        <f>IF(VLOOKUP($A46,'Concrete Beam Schedule'!$A$2:$Q$2902,AC$2,0)&lt;&gt;M46,"Beam Revised","")</f>
        <v>#N/A</v>
      </c>
      <c r="AD46" s="7" t="e">
        <f>IF(VLOOKUP($A46,'Concrete Beam Schedule'!$A$2:$Q$2902,AD$2,0)&lt;&gt;N46,"Beam Revised","")</f>
        <v>#N/A</v>
      </c>
      <c r="AE46" s="7" t="e">
        <f>IF(VLOOKUP($A46,'Concrete Beam Schedule'!$A$2:$Q$2902,AE$2,0)&lt;&gt;O46,"Beam Revised","")</f>
        <v>#N/A</v>
      </c>
    </row>
    <row r="47" spans="1:31" ht="25.5" customHeight="1" x14ac:dyDescent="0.25">
      <c r="A47" s="17"/>
      <c r="B47" s="17"/>
      <c r="C47" s="17"/>
      <c r="D47" s="17"/>
      <c r="E47" s="17"/>
      <c r="F47" s="17"/>
      <c r="G47" s="17"/>
      <c r="H47" s="17"/>
      <c r="I47" s="17"/>
      <c r="J47" s="17"/>
      <c r="K47" s="17"/>
      <c r="L47" s="17"/>
      <c r="M47" s="17"/>
      <c r="N47" s="17"/>
      <c r="O47" s="17"/>
      <c r="Q47" s="7">
        <f t="shared" si="0"/>
        <v>0</v>
      </c>
      <c r="R47" s="7" t="e">
        <f>IF(VLOOKUP($A47,'Concrete Beam Schedule'!$A$2:$Q$2902,R$2,0)&lt;&gt;B47,VLOOKUP($A47,'Concrete Beam Schedule'!$A$2:$Q$2902,R$2,0),"")</f>
        <v>#N/A</v>
      </c>
      <c r="S47" s="7" t="e">
        <f>IF(VLOOKUP($A47,'Concrete Beam Schedule'!$A$2:$Q$2902,S$2,0)&lt;&gt;C47,VLOOKUP($A47,'Concrete Beam Schedule'!$A$2:$Q$2902,S$2,0),"")</f>
        <v>#N/A</v>
      </c>
      <c r="T47" s="7" t="e">
        <f>IF(VLOOKUP($A47,'Concrete Beam Schedule'!$A$2:$Q$2902,T$2,0)&lt;&gt;D47,"Beam Revised","")</f>
        <v>#N/A</v>
      </c>
      <c r="U47" s="7" t="e">
        <f>IF(VLOOKUP($A47,'Concrete Beam Schedule'!$A$2:$Q$2902,U$2,0)&lt;&gt;E47,"Beam Revised","")</f>
        <v>#N/A</v>
      </c>
      <c r="V47" s="7" t="e">
        <f>IF(VLOOKUP($A47,'Concrete Beam Schedule'!$A$2:$Q$2902,V$2,0)&lt;&gt;F47,"Beam Revised","")</f>
        <v>#N/A</v>
      </c>
      <c r="W47" s="7" t="e">
        <f>IF(VLOOKUP($A47,'Concrete Beam Schedule'!$A$2:$Q$2902,W$2,0)&lt;&gt;G47,"Beam Revised","")</f>
        <v>#N/A</v>
      </c>
      <c r="X47" s="7" t="e">
        <f>IF(VLOOKUP($A47,'Concrete Beam Schedule'!$A$2:$Q$2902,X$2,0)&lt;&gt;H47,"Beam Revised","")</f>
        <v>#N/A</v>
      </c>
      <c r="Y47" s="7" t="e">
        <f>IF(VLOOKUP($A47,'Concrete Beam Schedule'!$A$2:$Q$2902,Y$2,0)&lt;&gt;I47,"Beam Revised","")</f>
        <v>#N/A</v>
      </c>
      <c r="Z47" s="7" t="e">
        <f>IF(VLOOKUP($A47,'Concrete Beam Schedule'!$A$2:$Q$2902,Z$2,0)&lt;&gt;J47,"Beam Revised","")</f>
        <v>#N/A</v>
      </c>
      <c r="AA47" s="7" t="e">
        <f>IF(VLOOKUP($A47,'Concrete Beam Schedule'!$A$2:$Q$2902,AA$2,0)&lt;&gt;K47,"Beam Revised","")</f>
        <v>#N/A</v>
      </c>
      <c r="AB47" s="7" t="e">
        <f>IF(VLOOKUP($A47,'Concrete Beam Schedule'!$A$2:$Q$2902,AB$2,0)&lt;&gt;L47,"Beam Revised","")</f>
        <v>#N/A</v>
      </c>
      <c r="AC47" s="7" t="e">
        <f>IF(VLOOKUP($A47,'Concrete Beam Schedule'!$A$2:$Q$2902,AC$2,0)&lt;&gt;M47,"Beam Revised","")</f>
        <v>#N/A</v>
      </c>
      <c r="AD47" s="7" t="e">
        <f>IF(VLOOKUP($A47,'Concrete Beam Schedule'!$A$2:$Q$2902,AD$2,0)&lt;&gt;N47,"Beam Revised","")</f>
        <v>#N/A</v>
      </c>
      <c r="AE47" s="7" t="e">
        <f>IF(VLOOKUP($A47,'Concrete Beam Schedule'!$A$2:$Q$2902,AE$2,0)&lt;&gt;O47,"Beam Revised","")</f>
        <v>#N/A</v>
      </c>
    </row>
    <row r="48" spans="1:31" ht="25.5" customHeight="1" x14ac:dyDescent="0.25">
      <c r="A48" s="17"/>
      <c r="B48" s="17"/>
      <c r="C48" s="17"/>
      <c r="D48" s="17"/>
      <c r="E48" s="17"/>
      <c r="F48" s="17"/>
      <c r="G48" s="17"/>
      <c r="H48" s="17"/>
      <c r="I48" s="17"/>
      <c r="J48" s="17"/>
      <c r="K48" s="17"/>
      <c r="L48" s="17"/>
      <c r="M48" s="17"/>
      <c r="N48" s="17"/>
      <c r="O48" s="17"/>
      <c r="Q48" s="7">
        <f t="shared" si="0"/>
        <v>0</v>
      </c>
      <c r="R48" s="7" t="e">
        <f>IF(VLOOKUP($A48,'Concrete Beam Schedule'!$A$2:$Q$2902,R$2,0)&lt;&gt;B48,VLOOKUP($A48,'Concrete Beam Schedule'!$A$2:$Q$2902,R$2,0),"")</f>
        <v>#N/A</v>
      </c>
      <c r="S48" s="7" t="e">
        <f>IF(VLOOKUP($A48,'Concrete Beam Schedule'!$A$2:$Q$2902,S$2,0)&lt;&gt;C48,VLOOKUP($A48,'Concrete Beam Schedule'!$A$2:$Q$2902,S$2,0),"")</f>
        <v>#N/A</v>
      </c>
      <c r="T48" s="7" t="e">
        <f>IF(VLOOKUP($A48,'Concrete Beam Schedule'!$A$2:$Q$2902,T$2,0)&lt;&gt;D48,"Beam Revised","")</f>
        <v>#N/A</v>
      </c>
      <c r="U48" s="7" t="e">
        <f>IF(VLOOKUP($A48,'Concrete Beam Schedule'!$A$2:$Q$2902,U$2,0)&lt;&gt;E48,"Beam Revised","")</f>
        <v>#N/A</v>
      </c>
      <c r="V48" s="7" t="e">
        <f>IF(VLOOKUP($A48,'Concrete Beam Schedule'!$A$2:$Q$2902,V$2,0)&lt;&gt;F48,"Beam Revised","")</f>
        <v>#N/A</v>
      </c>
      <c r="W48" s="7" t="e">
        <f>IF(VLOOKUP($A48,'Concrete Beam Schedule'!$A$2:$Q$2902,W$2,0)&lt;&gt;G48,"Beam Revised","")</f>
        <v>#N/A</v>
      </c>
      <c r="X48" s="7" t="e">
        <f>IF(VLOOKUP($A48,'Concrete Beam Schedule'!$A$2:$Q$2902,X$2,0)&lt;&gt;H48,"Beam Revised","")</f>
        <v>#N/A</v>
      </c>
      <c r="Y48" s="7" t="e">
        <f>IF(VLOOKUP($A48,'Concrete Beam Schedule'!$A$2:$Q$2902,Y$2,0)&lt;&gt;I48,"Beam Revised","")</f>
        <v>#N/A</v>
      </c>
      <c r="Z48" s="7" t="e">
        <f>IF(VLOOKUP($A48,'Concrete Beam Schedule'!$A$2:$Q$2902,Z$2,0)&lt;&gt;J48,"Beam Revised","")</f>
        <v>#N/A</v>
      </c>
      <c r="AA48" s="7" t="e">
        <f>IF(VLOOKUP($A48,'Concrete Beam Schedule'!$A$2:$Q$2902,AA$2,0)&lt;&gt;K48,"Beam Revised","")</f>
        <v>#N/A</v>
      </c>
      <c r="AB48" s="7" t="e">
        <f>IF(VLOOKUP($A48,'Concrete Beam Schedule'!$A$2:$Q$2902,AB$2,0)&lt;&gt;L48,"Beam Revised","")</f>
        <v>#N/A</v>
      </c>
      <c r="AC48" s="7" t="e">
        <f>IF(VLOOKUP($A48,'Concrete Beam Schedule'!$A$2:$Q$2902,AC$2,0)&lt;&gt;M48,"Beam Revised","")</f>
        <v>#N/A</v>
      </c>
      <c r="AD48" s="7" t="e">
        <f>IF(VLOOKUP($A48,'Concrete Beam Schedule'!$A$2:$Q$2902,AD$2,0)&lt;&gt;N48,"Beam Revised","")</f>
        <v>#N/A</v>
      </c>
      <c r="AE48" s="7" t="e">
        <f>IF(VLOOKUP($A48,'Concrete Beam Schedule'!$A$2:$Q$2902,AE$2,0)&lt;&gt;O48,"Beam Revised","")</f>
        <v>#N/A</v>
      </c>
    </row>
    <row r="49" spans="1:31" ht="25.5" customHeight="1" x14ac:dyDescent="0.25">
      <c r="A49" s="17"/>
      <c r="B49" s="17"/>
      <c r="C49" s="17"/>
      <c r="D49" s="17"/>
      <c r="E49" s="17"/>
      <c r="F49" s="17"/>
      <c r="G49" s="17"/>
      <c r="H49" s="17"/>
      <c r="I49" s="17"/>
      <c r="J49" s="17"/>
      <c r="K49" s="17"/>
      <c r="L49" s="17"/>
      <c r="M49" s="17"/>
      <c r="N49" s="17"/>
      <c r="O49" s="17"/>
      <c r="Q49" s="7">
        <f t="shared" si="0"/>
        <v>0</v>
      </c>
      <c r="R49" s="7" t="e">
        <f>IF(VLOOKUP($A49,'Concrete Beam Schedule'!$A$2:$Q$2902,R$2,0)&lt;&gt;B49,VLOOKUP($A49,'Concrete Beam Schedule'!$A$2:$Q$2902,R$2,0),"")</f>
        <v>#N/A</v>
      </c>
      <c r="S49" s="7" t="e">
        <f>IF(VLOOKUP($A49,'Concrete Beam Schedule'!$A$2:$Q$2902,S$2,0)&lt;&gt;C49,VLOOKUP($A49,'Concrete Beam Schedule'!$A$2:$Q$2902,S$2,0),"")</f>
        <v>#N/A</v>
      </c>
      <c r="T49" s="7" t="e">
        <f>IF(VLOOKUP($A49,'Concrete Beam Schedule'!$A$2:$Q$2902,T$2,0)&lt;&gt;D49,"Beam Revised","")</f>
        <v>#N/A</v>
      </c>
      <c r="U49" s="7" t="e">
        <f>IF(VLOOKUP($A49,'Concrete Beam Schedule'!$A$2:$Q$2902,U$2,0)&lt;&gt;E49,"Beam Revised","")</f>
        <v>#N/A</v>
      </c>
      <c r="V49" s="7" t="e">
        <f>IF(VLOOKUP($A49,'Concrete Beam Schedule'!$A$2:$Q$2902,V$2,0)&lt;&gt;F49,"Beam Revised","")</f>
        <v>#N/A</v>
      </c>
      <c r="W49" s="7" t="e">
        <f>IF(VLOOKUP($A49,'Concrete Beam Schedule'!$A$2:$Q$2902,W$2,0)&lt;&gt;G49,"Beam Revised","")</f>
        <v>#N/A</v>
      </c>
      <c r="X49" s="7" t="e">
        <f>IF(VLOOKUP($A49,'Concrete Beam Schedule'!$A$2:$Q$2902,X$2,0)&lt;&gt;H49,"Beam Revised","")</f>
        <v>#N/A</v>
      </c>
      <c r="Y49" s="7" t="e">
        <f>IF(VLOOKUP($A49,'Concrete Beam Schedule'!$A$2:$Q$2902,Y$2,0)&lt;&gt;I49,"Beam Revised","")</f>
        <v>#N/A</v>
      </c>
      <c r="Z49" s="7" t="e">
        <f>IF(VLOOKUP($A49,'Concrete Beam Schedule'!$A$2:$Q$2902,Z$2,0)&lt;&gt;J49,"Beam Revised","")</f>
        <v>#N/A</v>
      </c>
      <c r="AA49" s="7" t="e">
        <f>IF(VLOOKUP($A49,'Concrete Beam Schedule'!$A$2:$Q$2902,AA$2,0)&lt;&gt;K49,"Beam Revised","")</f>
        <v>#N/A</v>
      </c>
      <c r="AB49" s="7" t="e">
        <f>IF(VLOOKUP($A49,'Concrete Beam Schedule'!$A$2:$Q$2902,AB$2,0)&lt;&gt;L49,"Beam Revised","")</f>
        <v>#N/A</v>
      </c>
      <c r="AC49" s="7" t="e">
        <f>IF(VLOOKUP($A49,'Concrete Beam Schedule'!$A$2:$Q$2902,AC$2,0)&lt;&gt;M49,"Beam Revised","")</f>
        <v>#N/A</v>
      </c>
      <c r="AD49" s="7" t="e">
        <f>IF(VLOOKUP($A49,'Concrete Beam Schedule'!$A$2:$Q$2902,AD$2,0)&lt;&gt;N49,"Beam Revised","")</f>
        <v>#N/A</v>
      </c>
      <c r="AE49" s="7" t="e">
        <f>IF(VLOOKUP($A49,'Concrete Beam Schedule'!$A$2:$Q$2902,AE$2,0)&lt;&gt;O49,"Beam Revised","")</f>
        <v>#N/A</v>
      </c>
    </row>
    <row r="50" spans="1:31" ht="25.5" customHeight="1" x14ac:dyDescent="0.25">
      <c r="A50" s="17"/>
      <c r="B50" s="17"/>
      <c r="C50" s="17"/>
      <c r="D50" s="17"/>
      <c r="E50" s="17"/>
      <c r="F50" s="17"/>
      <c r="G50" s="17"/>
      <c r="H50" s="17"/>
      <c r="I50" s="17"/>
      <c r="J50" s="17"/>
      <c r="K50" s="17"/>
      <c r="L50" s="17"/>
      <c r="M50" s="17"/>
      <c r="N50" s="17"/>
      <c r="O50" s="17"/>
      <c r="Q50" s="7">
        <f t="shared" si="0"/>
        <v>0</v>
      </c>
      <c r="R50" s="7" t="e">
        <f>IF(VLOOKUP($A50,'Concrete Beam Schedule'!$A$2:$Q$2902,R$2,0)&lt;&gt;B50,VLOOKUP($A50,'Concrete Beam Schedule'!$A$2:$Q$2902,R$2,0),"")</f>
        <v>#N/A</v>
      </c>
      <c r="S50" s="7" t="e">
        <f>IF(VLOOKUP($A50,'Concrete Beam Schedule'!$A$2:$Q$2902,S$2,0)&lt;&gt;C50,VLOOKUP($A50,'Concrete Beam Schedule'!$A$2:$Q$2902,S$2,0),"")</f>
        <v>#N/A</v>
      </c>
      <c r="T50" s="7" t="e">
        <f>IF(VLOOKUP($A50,'Concrete Beam Schedule'!$A$2:$Q$2902,T$2,0)&lt;&gt;D50,"Beam Revised","")</f>
        <v>#N/A</v>
      </c>
      <c r="U50" s="7" t="e">
        <f>IF(VLOOKUP($A50,'Concrete Beam Schedule'!$A$2:$Q$2902,U$2,0)&lt;&gt;E50,"Beam Revised","")</f>
        <v>#N/A</v>
      </c>
      <c r="V50" s="7" t="e">
        <f>IF(VLOOKUP($A50,'Concrete Beam Schedule'!$A$2:$Q$2902,V$2,0)&lt;&gt;F50,"Beam Revised","")</f>
        <v>#N/A</v>
      </c>
      <c r="W50" s="7" t="e">
        <f>IF(VLOOKUP($A50,'Concrete Beam Schedule'!$A$2:$Q$2902,W$2,0)&lt;&gt;G50,"Beam Revised","")</f>
        <v>#N/A</v>
      </c>
      <c r="X50" s="7" t="e">
        <f>IF(VLOOKUP($A50,'Concrete Beam Schedule'!$A$2:$Q$2902,X$2,0)&lt;&gt;H50,"Beam Revised","")</f>
        <v>#N/A</v>
      </c>
      <c r="Y50" s="7" t="e">
        <f>IF(VLOOKUP($A50,'Concrete Beam Schedule'!$A$2:$Q$2902,Y$2,0)&lt;&gt;I50,"Beam Revised","")</f>
        <v>#N/A</v>
      </c>
      <c r="Z50" s="7" t="e">
        <f>IF(VLOOKUP($A50,'Concrete Beam Schedule'!$A$2:$Q$2902,Z$2,0)&lt;&gt;J50,"Beam Revised","")</f>
        <v>#N/A</v>
      </c>
      <c r="AA50" s="7" t="e">
        <f>IF(VLOOKUP($A50,'Concrete Beam Schedule'!$A$2:$Q$2902,AA$2,0)&lt;&gt;K50,"Beam Revised","")</f>
        <v>#N/A</v>
      </c>
      <c r="AB50" s="7" t="e">
        <f>IF(VLOOKUP($A50,'Concrete Beam Schedule'!$A$2:$Q$2902,AB$2,0)&lt;&gt;L50,"Beam Revised","")</f>
        <v>#N/A</v>
      </c>
      <c r="AC50" s="7" t="e">
        <f>IF(VLOOKUP($A50,'Concrete Beam Schedule'!$A$2:$Q$2902,AC$2,0)&lt;&gt;M50,"Beam Revised","")</f>
        <v>#N/A</v>
      </c>
      <c r="AD50" s="7" t="e">
        <f>IF(VLOOKUP($A50,'Concrete Beam Schedule'!$A$2:$Q$2902,AD$2,0)&lt;&gt;N50,"Beam Revised","")</f>
        <v>#N/A</v>
      </c>
      <c r="AE50" s="7" t="e">
        <f>IF(VLOOKUP($A50,'Concrete Beam Schedule'!$A$2:$Q$2902,AE$2,0)&lt;&gt;O50,"Beam Revised","")</f>
        <v>#N/A</v>
      </c>
    </row>
    <row r="51" spans="1:31" ht="25.5" customHeight="1" x14ac:dyDescent="0.25">
      <c r="A51" s="17"/>
      <c r="B51" s="17"/>
      <c r="C51" s="17"/>
      <c r="D51" s="17"/>
      <c r="E51" s="17"/>
      <c r="F51" s="17"/>
      <c r="G51" s="17"/>
      <c r="H51" s="17"/>
      <c r="I51" s="17"/>
      <c r="J51" s="17"/>
      <c r="K51" s="17"/>
      <c r="L51" s="17"/>
      <c r="M51" s="17"/>
      <c r="N51" s="17"/>
      <c r="O51" s="17"/>
      <c r="Q51" s="7">
        <f t="shared" si="0"/>
        <v>0</v>
      </c>
      <c r="R51" s="7" t="e">
        <f>IF(VLOOKUP($A51,'Concrete Beam Schedule'!$A$2:$Q$2902,R$2,0)&lt;&gt;B51,VLOOKUP($A51,'Concrete Beam Schedule'!$A$2:$Q$2902,R$2,0),"")</f>
        <v>#N/A</v>
      </c>
      <c r="S51" s="7" t="e">
        <f>IF(VLOOKUP($A51,'Concrete Beam Schedule'!$A$2:$Q$2902,S$2,0)&lt;&gt;C51,VLOOKUP($A51,'Concrete Beam Schedule'!$A$2:$Q$2902,S$2,0),"")</f>
        <v>#N/A</v>
      </c>
      <c r="T51" s="7" t="e">
        <f>IF(VLOOKUP($A51,'Concrete Beam Schedule'!$A$2:$Q$2902,T$2,0)&lt;&gt;D51,"Beam Revised","")</f>
        <v>#N/A</v>
      </c>
      <c r="U51" s="7" t="e">
        <f>IF(VLOOKUP($A51,'Concrete Beam Schedule'!$A$2:$Q$2902,U$2,0)&lt;&gt;E51,"Beam Revised","")</f>
        <v>#N/A</v>
      </c>
      <c r="V51" s="7" t="e">
        <f>IF(VLOOKUP($A51,'Concrete Beam Schedule'!$A$2:$Q$2902,V$2,0)&lt;&gt;F51,"Beam Revised","")</f>
        <v>#N/A</v>
      </c>
      <c r="W51" s="7" t="e">
        <f>IF(VLOOKUP($A51,'Concrete Beam Schedule'!$A$2:$Q$2902,W$2,0)&lt;&gt;G51,"Beam Revised","")</f>
        <v>#N/A</v>
      </c>
      <c r="X51" s="7" t="e">
        <f>IF(VLOOKUP($A51,'Concrete Beam Schedule'!$A$2:$Q$2902,X$2,0)&lt;&gt;H51,"Beam Revised","")</f>
        <v>#N/A</v>
      </c>
      <c r="Y51" s="7" t="e">
        <f>IF(VLOOKUP($A51,'Concrete Beam Schedule'!$A$2:$Q$2902,Y$2,0)&lt;&gt;I51,"Beam Revised","")</f>
        <v>#N/A</v>
      </c>
      <c r="Z51" s="7" t="e">
        <f>IF(VLOOKUP($A51,'Concrete Beam Schedule'!$A$2:$Q$2902,Z$2,0)&lt;&gt;J51,"Beam Revised","")</f>
        <v>#N/A</v>
      </c>
      <c r="AA51" s="7" t="e">
        <f>IF(VLOOKUP($A51,'Concrete Beam Schedule'!$A$2:$Q$2902,AA$2,0)&lt;&gt;K51,"Beam Revised","")</f>
        <v>#N/A</v>
      </c>
      <c r="AB51" s="7" t="e">
        <f>IF(VLOOKUP($A51,'Concrete Beam Schedule'!$A$2:$Q$2902,AB$2,0)&lt;&gt;L51,"Beam Revised","")</f>
        <v>#N/A</v>
      </c>
      <c r="AC51" s="7" t="e">
        <f>IF(VLOOKUP($A51,'Concrete Beam Schedule'!$A$2:$Q$2902,AC$2,0)&lt;&gt;M51,"Beam Revised","")</f>
        <v>#N/A</v>
      </c>
      <c r="AD51" s="7" t="e">
        <f>IF(VLOOKUP($A51,'Concrete Beam Schedule'!$A$2:$Q$2902,AD$2,0)&lt;&gt;N51,"Beam Revised","")</f>
        <v>#N/A</v>
      </c>
      <c r="AE51" s="7" t="e">
        <f>IF(VLOOKUP($A51,'Concrete Beam Schedule'!$A$2:$Q$2902,AE$2,0)&lt;&gt;O51,"Beam Revised","")</f>
        <v>#N/A</v>
      </c>
    </row>
    <row r="52" spans="1:31" ht="25.5" customHeight="1" x14ac:dyDescent="0.25">
      <c r="A52" s="17"/>
      <c r="B52" s="17"/>
      <c r="C52" s="17"/>
      <c r="D52" s="17"/>
      <c r="E52" s="17"/>
      <c r="F52" s="17"/>
      <c r="G52" s="17"/>
      <c r="H52" s="17"/>
      <c r="I52" s="17"/>
      <c r="J52" s="17"/>
      <c r="K52" s="17"/>
      <c r="L52" s="17"/>
      <c r="M52" s="17"/>
      <c r="N52" s="17"/>
      <c r="O52" s="17"/>
      <c r="Q52" s="7">
        <f t="shared" si="0"/>
        <v>0</v>
      </c>
      <c r="R52" s="7" t="e">
        <f>IF(VLOOKUP($A52,'Concrete Beam Schedule'!$A$2:$Q$2902,R$2,0)&lt;&gt;B52,VLOOKUP($A52,'Concrete Beam Schedule'!$A$2:$Q$2902,R$2,0),"")</f>
        <v>#N/A</v>
      </c>
      <c r="S52" s="7" t="e">
        <f>IF(VLOOKUP($A52,'Concrete Beam Schedule'!$A$2:$Q$2902,S$2,0)&lt;&gt;C52,VLOOKUP($A52,'Concrete Beam Schedule'!$A$2:$Q$2902,S$2,0),"")</f>
        <v>#N/A</v>
      </c>
      <c r="T52" s="7" t="e">
        <f>IF(VLOOKUP($A52,'Concrete Beam Schedule'!$A$2:$Q$2902,T$2,0)&lt;&gt;D52,"Beam Revised","")</f>
        <v>#N/A</v>
      </c>
      <c r="U52" s="7" t="e">
        <f>IF(VLOOKUP($A52,'Concrete Beam Schedule'!$A$2:$Q$2902,U$2,0)&lt;&gt;E52,"Beam Revised","")</f>
        <v>#N/A</v>
      </c>
      <c r="V52" s="7" t="e">
        <f>IF(VLOOKUP($A52,'Concrete Beam Schedule'!$A$2:$Q$2902,V$2,0)&lt;&gt;F52,"Beam Revised","")</f>
        <v>#N/A</v>
      </c>
      <c r="W52" s="7" t="e">
        <f>IF(VLOOKUP($A52,'Concrete Beam Schedule'!$A$2:$Q$2902,W$2,0)&lt;&gt;G52,"Beam Revised","")</f>
        <v>#N/A</v>
      </c>
      <c r="X52" s="7" t="e">
        <f>IF(VLOOKUP($A52,'Concrete Beam Schedule'!$A$2:$Q$2902,X$2,0)&lt;&gt;H52,"Beam Revised","")</f>
        <v>#N/A</v>
      </c>
      <c r="Y52" s="7" t="e">
        <f>IF(VLOOKUP($A52,'Concrete Beam Schedule'!$A$2:$Q$2902,Y$2,0)&lt;&gt;I52,"Beam Revised","")</f>
        <v>#N/A</v>
      </c>
      <c r="Z52" s="7" t="e">
        <f>IF(VLOOKUP($A52,'Concrete Beam Schedule'!$A$2:$Q$2902,Z$2,0)&lt;&gt;J52,"Beam Revised","")</f>
        <v>#N/A</v>
      </c>
      <c r="AA52" s="7" t="e">
        <f>IF(VLOOKUP($A52,'Concrete Beam Schedule'!$A$2:$Q$2902,AA$2,0)&lt;&gt;K52,"Beam Revised","")</f>
        <v>#N/A</v>
      </c>
      <c r="AB52" s="7" t="e">
        <f>IF(VLOOKUP($A52,'Concrete Beam Schedule'!$A$2:$Q$2902,AB$2,0)&lt;&gt;L52,"Beam Revised","")</f>
        <v>#N/A</v>
      </c>
      <c r="AC52" s="7" t="e">
        <f>IF(VLOOKUP($A52,'Concrete Beam Schedule'!$A$2:$Q$2902,AC$2,0)&lt;&gt;M52,"Beam Revised","")</f>
        <v>#N/A</v>
      </c>
      <c r="AD52" s="7" t="e">
        <f>IF(VLOOKUP($A52,'Concrete Beam Schedule'!$A$2:$Q$2902,AD$2,0)&lt;&gt;N52,"Beam Revised","")</f>
        <v>#N/A</v>
      </c>
      <c r="AE52" s="7" t="e">
        <f>IF(VLOOKUP($A52,'Concrete Beam Schedule'!$A$2:$Q$2902,AE$2,0)&lt;&gt;O52,"Beam Revised","")</f>
        <v>#N/A</v>
      </c>
    </row>
    <row r="53" spans="1:31" ht="25.5" customHeight="1" x14ac:dyDescent="0.25">
      <c r="A53" s="17"/>
      <c r="B53" s="17"/>
      <c r="C53" s="17"/>
      <c r="D53" s="17"/>
      <c r="E53" s="17"/>
      <c r="F53" s="17"/>
      <c r="G53" s="17"/>
      <c r="H53" s="17"/>
      <c r="I53" s="17"/>
      <c r="J53" s="17"/>
      <c r="K53" s="17"/>
      <c r="L53" s="17"/>
      <c r="M53" s="17"/>
      <c r="N53" s="17"/>
      <c r="O53" s="17"/>
      <c r="Q53" s="7">
        <f t="shared" si="0"/>
        <v>0</v>
      </c>
      <c r="R53" s="7" t="e">
        <f>IF(VLOOKUP($A53,'Concrete Beam Schedule'!$A$2:$Q$2902,R$2,0)&lt;&gt;B53,VLOOKUP($A53,'Concrete Beam Schedule'!$A$2:$Q$2902,R$2,0),"")</f>
        <v>#N/A</v>
      </c>
      <c r="S53" s="7" t="e">
        <f>IF(VLOOKUP($A53,'Concrete Beam Schedule'!$A$2:$Q$2902,S$2,0)&lt;&gt;C53,VLOOKUP($A53,'Concrete Beam Schedule'!$A$2:$Q$2902,S$2,0),"")</f>
        <v>#N/A</v>
      </c>
      <c r="T53" s="7" t="e">
        <f>IF(VLOOKUP($A53,'Concrete Beam Schedule'!$A$2:$Q$2902,T$2,0)&lt;&gt;D53,"Beam Revised","")</f>
        <v>#N/A</v>
      </c>
      <c r="U53" s="7" t="e">
        <f>IF(VLOOKUP($A53,'Concrete Beam Schedule'!$A$2:$Q$2902,U$2,0)&lt;&gt;E53,"Beam Revised","")</f>
        <v>#N/A</v>
      </c>
      <c r="V53" s="7" t="e">
        <f>IF(VLOOKUP($A53,'Concrete Beam Schedule'!$A$2:$Q$2902,V$2,0)&lt;&gt;F53,"Beam Revised","")</f>
        <v>#N/A</v>
      </c>
      <c r="W53" s="7" t="e">
        <f>IF(VLOOKUP($A53,'Concrete Beam Schedule'!$A$2:$Q$2902,W$2,0)&lt;&gt;G53,"Beam Revised","")</f>
        <v>#N/A</v>
      </c>
      <c r="X53" s="7" t="e">
        <f>IF(VLOOKUP($A53,'Concrete Beam Schedule'!$A$2:$Q$2902,X$2,0)&lt;&gt;H53,"Beam Revised","")</f>
        <v>#N/A</v>
      </c>
      <c r="Y53" s="7" t="e">
        <f>IF(VLOOKUP($A53,'Concrete Beam Schedule'!$A$2:$Q$2902,Y$2,0)&lt;&gt;I53,"Beam Revised","")</f>
        <v>#N/A</v>
      </c>
      <c r="Z53" s="7" t="e">
        <f>IF(VLOOKUP($A53,'Concrete Beam Schedule'!$A$2:$Q$2902,Z$2,0)&lt;&gt;J53,"Beam Revised","")</f>
        <v>#N/A</v>
      </c>
      <c r="AA53" s="7" t="e">
        <f>IF(VLOOKUP($A53,'Concrete Beam Schedule'!$A$2:$Q$2902,AA$2,0)&lt;&gt;K53,"Beam Revised","")</f>
        <v>#N/A</v>
      </c>
      <c r="AB53" s="7" t="e">
        <f>IF(VLOOKUP($A53,'Concrete Beam Schedule'!$A$2:$Q$2902,AB$2,0)&lt;&gt;L53,"Beam Revised","")</f>
        <v>#N/A</v>
      </c>
      <c r="AC53" s="7" t="e">
        <f>IF(VLOOKUP($A53,'Concrete Beam Schedule'!$A$2:$Q$2902,AC$2,0)&lt;&gt;M53,"Beam Revised","")</f>
        <v>#N/A</v>
      </c>
      <c r="AD53" s="7" t="e">
        <f>IF(VLOOKUP($A53,'Concrete Beam Schedule'!$A$2:$Q$2902,AD$2,0)&lt;&gt;N53,"Beam Revised","")</f>
        <v>#N/A</v>
      </c>
      <c r="AE53" s="7" t="e">
        <f>IF(VLOOKUP($A53,'Concrete Beam Schedule'!$A$2:$Q$2902,AE$2,0)&lt;&gt;O53,"Beam Revised","")</f>
        <v>#N/A</v>
      </c>
    </row>
    <row r="54" spans="1:31" ht="25.5" customHeight="1" x14ac:dyDescent="0.25">
      <c r="A54" s="17"/>
      <c r="B54" s="17"/>
      <c r="C54" s="17"/>
      <c r="D54" s="17"/>
      <c r="E54" s="17"/>
      <c r="F54" s="17"/>
      <c r="G54" s="17"/>
      <c r="H54" s="17"/>
      <c r="I54" s="17"/>
      <c r="J54" s="17"/>
      <c r="K54" s="17"/>
      <c r="L54" s="17"/>
      <c r="M54" s="17"/>
      <c r="N54" s="17"/>
      <c r="O54" s="17"/>
      <c r="Q54" s="7">
        <f t="shared" si="0"/>
        <v>0</v>
      </c>
      <c r="R54" s="7" t="e">
        <f>IF(VLOOKUP($A54,'Concrete Beam Schedule'!$A$2:$Q$2902,R$2,0)&lt;&gt;B54,VLOOKUP($A54,'Concrete Beam Schedule'!$A$2:$Q$2902,R$2,0),"")</f>
        <v>#N/A</v>
      </c>
      <c r="S54" s="7" t="e">
        <f>IF(VLOOKUP($A54,'Concrete Beam Schedule'!$A$2:$Q$2902,S$2,0)&lt;&gt;C54,VLOOKUP($A54,'Concrete Beam Schedule'!$A$2:$Q$2902,S$2,0),"")</f>
        <v>#N/A</v>
      </c>
      <c r="T54" s="7" t="e">
        <f>IF(VLOOKUP($A54,'Concrete Beam Schedule'!$A$2:$Q$2902,T$2,0)&lt;&gt;D54,"Beam Revised","")</f>
        <v>#N/A</v>
      </c>
      <c r="U54" s="7" t="e">
        <f>IF(VLOOKUP($A54,'Concrete Beam Schedule'!$A$2:$Q$2902,U$2,0)&lt;&gt;E54,"Beam Revised","")</f>
        <v>#N/A</v>
      </c>
      <c r="V54" s="7" t="e">
        <f>IF(VLOOKUP($A54,'Concrete Beam Schedule'!$A$2:$Q$2902,V$2,0)&lt;&gt;F54,"Beam Revised","")</f>
        <v>#N/A</v>
      </c>
      <c r="W54" s="7" t="e">
        <f>IF(VLOOKUP($A54,'Concrete Beam Schedule'!$A$2:$Q$2902,W$2,0)&lt;&gt;G54,"Beam Revised","")</f>
        <v>#N/A</v>
      </c>
      <c r="X54" s="7" t="e">
        <f>IF(VLOOKUP($A54,'Concrete Beam Schedule'!$A$2:$Q$2902,X$2,0)&lt;&gt;H54,"Beam Revised","")</f>
        <v>#N/A</v>
      </c>
      <c r="Y54" s="7" t="e">
        <f>IF(VLOOKUP($A54,'Concrete Beam Schedule'!$A$2:$Q$2902,Y$2,0)&lt;&gt;I54,"Beam Revised","")</f>
        <v>#N/A</v>
      </c>
      <c r="Z54" s="7" t="e">
        <f>IF(VLOOKUP($A54,'Concrete Beam Schedule'!$A$2:$Q$2902,Z$2,0)&lt;&gt;J54,"Beam Revised","")</f>
        <v>#N/A</v>
      </c>
      <c r="AA54" s="7" t="e">
        <f>IF(VLOOKUP($A54,'Concrete Beam Schedule'!$A$2:$Q$2902,AA$2,0)&lt;&gt;K54,"Beam Revised","")</f>
        <v>#N/A</v>
      </c>
      <c r="AB54" s="7" t="e">
        <f>IF(VLOOKUP($A54,'Concrete Beam Schedule'!$A$2:$Q$2902,AB$2,0)&lt;&gt;L54,"Beam Revised","")</f>
        <v>#N/A</v>
      </c>
      <c r="AC54" s="7" t="e">
        <f>IF(VLOOKUP($A54,'Concrete Beam Schedule'!$A$2:$Q$2902,AC$2,0)&lt;&gt;M54,"Beam Revised","")</f>
        <v>#N/A</v>
      </c>
      <c r="AD54" s="7" t="e">
        <f>IF(VLOOKUP($A54,'Concrete Beam Schedule'!$A$2:$Q$2902,AD$2,0)&lt;&gt;N54,"Beam Revised","")</f>
        <v>#N/A</v>
      </c>
      <c r="AE54" s="7" t="e">
        <f>IF(VLOOKUP($A54,'Concrete Beam Schedule'!$A$2:$Q$2902,AE$2,0)&lt;&gt;O54,"Beam Revised","")</f>
        <v>#N/A</v>
      </c>
    </row>
    <row r="55" spans="1:31" ht="25.5" customHeight="1" x14ac:dyDescent="0.25">
      <c r="A55" s="17"/>
      <c r="B55" s="17"/>
      <c r="C55" s="17"/>
      <c r="D55" s="17"/>
      <c r="E55" s="17"/>
      <c r="F55" s="17"/>
      <c r="G55" s="17"/>
      <c r="H55" s="17"/>
      <c r="I55" s="17"/>
      <c r="J55" s="17"/>
      <c r="K55" s="17"/>
      <c r="L55" s="17"/>
      <c r="M55" s="17"/>
      <c r="N55" s="17"/>
      <c r="O55" s="17"/>
      <c r="Q55" s="7">
        <f t="shared" si="0"/>
        <v>0</v>
      </c>
      <c r="R55" s="7" t="e">
        <f>IF(VLOOKUP($A55,'Concrete Beam Schedule'!$A$2:$Q$2902,R$2,0)&lt;&gt;B55,VLOOKUP($A55,'Concrete Beam Schedule'!$A$2:$Q$2902,R$2,0),"")</f>
        <v>#N/A</v>
      </c>
      <c r="S55" s="7" t="e">
        <f>IF(VLOOKUP($A55,'Concrete Beam Schedule'!$A$2:$Q$2902,S$2,0)&lt;&gt;C55,VLOOKUP($A55,'Concrete Beam Schedule'!$A$2:$Q$2902,S$2,0),"")</f>
        <v>#N/A</v>
      </c>
      <c r="T55" s="7" t="e">
        <f>IF(VLOOKUP($A55,'Concrete Beam Schedule'!$A$2:$Q$2902,T$2,0)&lt;&gt;D55,"Beam Revised","")</f>
        <v>#N/A</v>
      </c>
      <c r="U55" s="7" t="e">
        <f>IF(VLOOKUP($A55,'Concrete Beam Schedule'!$A$2:$Q$2902,U$2,0)&lt;&gt;E55,"Beam Revised","")</f>
        <v>#N/A</v>
      </c>
      <c r="V55" s="7" t="e">
        <f>IF(VLOOKUP($A55,'Concrete Beam Schedule'!$A$2:$Q$2902,V$2,0)&lt;&gt;F55,"Beam Revised","")</f>
        <v>#N/A</v>
      </c>
      <c r="W55" s="7" t="e">
        <f>IF(VLOOKUP($A55,'Concrete Beam Schedule'!$A$2:$Q$2902,W$2,0)&lt;&gt;G55,"Beam Revised","")</f>
        <v>#N/A</v>
      </c>
      <c r="X55" s="7" t="e">
        <f>IF(VLOOKUP($A55,'Concrete Beam Schedule'!$A$2:$Q$2902,X$2,0)&lt;&gt;H55,"Beam Revised","")</f>
        <v>#N/A</v>
      </c>
      <c r="Y55" s="7" t="e">
        <f>IF(VLOOKUP($A55,'Concrete Beam Schedule'!$A$2:$Q$2902,Y$2,0)&lt;&gt;I55,"Beam Revised","")</f>
        <v>#N/A</v>
      </c>
      <c r="Z55" s="7" t="e">
        <f>IF(VLOOKUP($A55,'Concrete Beam Schedule'!$A$2:$Q$2902,Z$2,0)&lt;&gt;J55,"Beam Revised","")</f>
        <v>#N/A</v>
      </c>
      <c r="AA55" s="7" t="e">
        <f>IF(VLOOKUP($A55,'Concrete Beam Schedule'!$A$2:$Q$2902,AA$2,0)&lt;&gt;K55,"Beam Revised","")</f>
        <v>#N/A</v>
      </c>
      <c r="AB55" s="7" t="e">
        <f>IF(VLOOKUP($A55,'Concrete Beam Schedule'!$A$2:$Q$2902,AB$2,0)&lt;&gt;L55,"Beam Revised","")</f>
        <v>#N/A</v>
      </c>
      <c r="AC55" s="7" t="e">
        <f>IF(VLOOKUP($A55,'Concrete Beam Schedule'!$A$2:$Q$2902,AC$2,0)&lt;&gt;M55,"Beam Revised","")</f>
        <v>#N/A</v>
      </c>
      <c r="AD55" s="7" t="e">
        <f>IF(VLOOKUP($A55,'Concrete Beam Schedule'!$A$2:$Q$2902,AD$2,0)&lt;&gt;N55,"Beam Revised","")</f>
        <v>#N/A</v>
      </c>
      <c r="AE55" s="7" t="e">
        <f>IF(VLOOKUP($A55,'Concrete Beam Schedule'!$A$2:$Q$2902,AE$2,0)&lt;&gt;O55,"Beam Revised","")</f>
        <v>#N/A</v>
      </c>
    </row>
    <row r="56" spans="1:31" ht="25.5" customHeight="1" x14ac:dyDescent="0.25">
      <c r="A56" s="17"/>
      <c r="B56" s="17"/>
      <c r="C56" s="17"/>
      <c r="D56" s="17"/>
      <c r="E56" s="17"/>
      <c r="F56" s="17"/>
      <c r="G56" s="17"/>
      <c r="H56" s="17"/>
      <c r="I56" s="17"/>
      <c r="J56" s="17"/>
      <c r="K56" s="17"/>
      <c r="L56" s="17"/>
      <c r="M56" s="17"/>
      <c r="N56" s="17"/>
      <c r="O56" s="17"/>
      <c r="Q56" s="7">
        <f t="shared" si="0"/>
        <v>0</v>
      </c>
      <c r="R56" s="7" t="e">
        <f>IF(VLOOKUP($A56,'Concrete Beam Schedule'!$A$2:$Q$2902,R$2,0)&lt;&gt;B56,VLOOKUP($A56,'Concrete Beam Schedule'!$A$2:$Q$2902,R$2,0),"")</f>
        <v>#N/A</v>
      </c>
      <c r="S56" s="7" t="e">
        <f>IF(VLOOKUP($A56,'Concrete Beam Schedule'!$A$2:$Q$2902,S$2,0)&lt;&gt;C56,VLOOKUP($A56,'Concrete Beam Schedule'!$A$2:$Q$2902,S$2,0),"")</f>
        <v>#N/A</v>
      </c>
      <c r="T56" s="7" t="e">
        <f>IF(VLOOKUP($A56,'Concrete Beam Schedule'!$A$2:$Q$2902,T$2,0)&lt;&gt;D56,"Beam Revised","")</f>
        <v>#N/A</v>
      </c>
      <c r="U56" s="7" t="e">
        <f>IF(VLOOKUP($A56,'Concrete Beam Schedule'!$A$2:$Q$2902,U$2,0)&lt;&gt;E56,"Beam Revised","")</f>
        <v>#N/A</v>
      </c>
      <c r="V56" s="7" t="e">
        <f>IF(VLOOKUP($A56,'Concrete Beam Schedule'!$A$2:$Q$2902,V$2,0)&lt;&gt;F56,"Beam Revised","")</f>
        <v>#N/A</v>
      </c>
      <c r="W56" s="7" t="e">
        <f>IF(VLOOKUP($A56,'Concrete Beam Schedule'!$A$2:$Q$2902,W$2,0)&lt;&gt;G56,"Beam Revised","")</f>
        <v>#N/A</v>
      </c>
      <c r="X56" s="7" t="e">
        <f>IF(VLOOKUP($A56,'Concrete Beam Schedule'!$A$2:$Q$2902,X$2,0)&lt;&gt;H56,"Beam Revised","")</f>
        <v>#N/A</v>
      </c>
      <c r="Y56" s="7" t="e">
        <f>IF(VLOOKUP($A56,'Concrete Beam Schedule'!$A$2:$Q$2902,Y$2,0)&lt;&gt;I56,"Beam Revised","")</f>
        <v>#N/A</v>
      </c>
      <c r="Z56" s="7" t="e">
        <f>IF(VLOOKUP($A56,'Concrete Beam Schedule'!$A$2:$Q$2902,Z$2,0)&lt;&gt;J56,"Beam Revised","")</f>
        <v>#N/A</v>
      </c>
      <c r="AA56" s="7" t="e">
        <f>IF(VLOOKUP($A56,'Concrete Beam Schedule'!$A$2:$Q$2902,AA$2,0)&lt;&gt;K56,"Beam Revised","")</f>
        <v>#N/A</v>
      </c>
      <c r="AB56" s="7" t="e">
        <f>IF(VLOOKUP($A56,'Concrete Beam Schedule'!$A$2:$Q$2902,AB$2,0)&lt;&gt;L56,"Beam Revised","")</f>
        <v>#N/A</v>
      </c>
      <c r="AC56" s="7" t="e">
        <f>IF(VLOOKUP($A56,'Concrete Beam Schedule'!$A$2:$Q$2902,AC$2,0)&lt;&gt;M56,"Beam Revised","")</f>
        <v>#N/A</v>
      </c>
      <c r="AD56" s="7" t="e">
        <f>IF(VLOOKUP($A56,'Concrete Beam Schedule'!$A$2:$Q$2902,AD$2,0)&lt;&gt;N56,"Beam Revised","")</f>
        <v>#N/A</v>
      </c>
      <c r="AE56" s="7" t="e">
        <f>IF(VLOOKUP($A56,'Concrete Beam Schedule'!$A$2:$Q$2902,AE$2,0)&lt;&gt;O56,"Beam Revised","")</f>
        <v>#N/A</v>
      </c>
    </row>
    <row r="57" spans="1:31" ht="25.5" customHeight="1" x14ac:dyDescent="0.25">
      <c r="A57" s="17"/>
      <c r="B57" s="17"/>
      <c r="C57" s="17"/>
      <c r="D57" s="17"/>
      <c r="E57" s="17"/>
      <c r="F57" s="17"/>
      <c r="G57" s="17"/>
      <c r="H57" s="17"/>
      <c r="I57" s="17"/>
      <c r="J57" s="17"/>
      <c r="K57" s="17"/>
      <c r="L57" s="17"/>
      <c r="M57" s="17"/>
      <c r="N57" s="17"/>
      <c r="O57" s="17"/>
      <c r="Q57" s="7">
        <f t="shared" si="0"/>
        <v>0</v>
      </c>
      <c r="R57" s="7" t="e">
        <f>IF(VLOOKUP($A57,'Concrete Beam Schedule'!$A$2:$Q$2902,R$2,0)&lt;&gt;B57,VLOOKUP($A57,'Concrete Beam Schedule'!$A$2:$Q$2902,R$2,0),"")</f>
        <v>#N/A</v>
      </c>
      <c r="S57" s="7" t="e">
        <f>IF(VLOOKUP($A57,'Concrete Beam Schedule'!$A$2:$Q$2902,S$2,0)&lt;&gt;C57,VLOOKUP($A57,'Concrete Beam Schedule'!$A$2:$Q$2902,S$2,0),"")</f>
        <v>#N/A</v>
      </c>
      <c r="T57" s="7" t="e">
        <f>IF(VLOOKUP($A57,'Concrete Beam Schedule'!$A$2:$Q$2902,T$2,0)&lt;&gt;D57,"Beam Revised","")</f>
        <v>#N/A</v>
      </c>
      <c r="U57" s="7" t="e">
        <f>IF(VLOOKUP($A57,'Concrete Beam Schedule'!$A$2:$Q$2902,U$2,0)&lt;&gt;E57,"Beam Revised","")</f>
        <v>#N/A</v>
      </c>
      <c r="V57" s="7" t="e">
        <f>IF(VLOOKUP($A57,'Concrete Beam Schedule'!$A$2:$Q$2902,V$2,0)&lt;&gt;F57,"Beam Revised","")</f>
        <v>#N/A</v>
      </c>
      <c r="W57" s="7" t="e">
        <f>IF(VLOOKUP($A57,'Concrete Beam Schedule'!$A$2:$Q$2902,W$2,0)&lt;&gt;G57,"Beam Revised","")</f>
        <v>#N/A</v>
      </c>
      <c r="X57" s="7" t="e">
        <f>IF(VLOOKUP($A57,'Concrete Beam Schedule'!$A$2:$Q$2902,X$2,0)&lt;&gt;H57,"Beam Revised","")</f>
        <v>#N/A</v>
      </c>
      <c r="Y57" s="7" t="e">
        <f>IF(VLOOKUP($A57,'Concrete Beam Schedule'!$A$2:$Q$2902,Y$2,0)&lt;&gt;I57,"Beam Revised","")</f>
        <v>#N/A</v>
      </c>
      <c r="Z57" s="7" t="e">
        <f>IF(VLOOKUP($A57,'Concrete Beam Schedule'!$A$2:$Q$2902,Z$2,0)&lt;&gt;J57,"Beam Revised","")</f>
        <v>#N/A</v>
      </c>
      <c r="AA57" s="7" t="e">
        <f>IF(VLOOKUP($A57,'Concrete Beam Schedule'!$A$2:$Q$2902,AA$2,0)&lt;&gt;K57,"Beam Revised","")</f>
        <v>#N/A</v>
      </c>
      <c r="AB57" s="7" t="e">
        <f>IF(VLOOKUP($A57,'Concrete Beam Schedule'!$A$2:$Q$2902,AB$2,0)&lt;&gt;L57,"Beam Revised","")</f>
        <v>#N/A</v>
      </c>
      <c r="AC57" s="7" t="e">
        <f>IF(VLOOKUP($A57,'Concrete Beam Schedule'!$A$2:$Q$2902,AC$2,0)&lt;&gt;M57,"Beam Revised","")</f>
        <v>#N/A</v>
      </c>
      <c r="AD57" s="7" t="e">
        <f>IF(VLOOKUP($A57,'Concrete Beam Schedule'!$A$2:$Q$2902,AD$2,0)&lt;&gt;N57,"Beam Revised","")</f>
        <v>#N/A</v>
      </c>
      <c r="AE57" s="7" t="e">
        <f>IF(VLOOKUP($A57,'Concrete Beam Schedule'!$A$2:$Q$2902,AE$2,0)&lt;&gt;O57,"Beam Revised","")</f>
        <v>#N/A</v>
      </c>
    </row>
    <row r="58" spans="1:31" ht="25.5" customHeight="1" x14ac:dyDescent="0.25">
      <c r="A58" s="17"/>
      <c r="B58" s="17"/>
      <c r="C58" s="17"/>
      <c r="D58" s="17"/>
      <c r="E58" s="17"/>
      <c r="F58" s="17"/>
      <c r="G58" s="17"/>
      <c r="H58" s="17"/>
      <c r="I58" s="17"/>
      <c r="J58" s="17"/>
      <c r="K58" s="17"/>
      <c r="L58" s="17"/>
      <c r="M58" s="17"/>
      <c r="N58" s="17"/>
      <c r="O58" s="17"/>
      <c r="Q58" s="7">
        <f t="shared" si="0"/>
        <v>0</v>
      </c>
      <c r="R58" s="7" t="e">
        <f>IF(VLOOKUP($A58,'Concrete Beam Schedule'!$A$2:$Q$2902,R$2,0)&lt;&gt;B58,VLOOKUP($A58,'Concrete Beam Schedule'!$A$2:$Q$2902,R$2,0),"")</f>
        <v>#N/A</v>
      </c>
      <c r="S58" s="7" t="e">
        <f>IF(VLOOKUP($A58,'Concrete Beam Schedule'!$A$2:$Q$2902,S$2,0)&lt;&gt;C58,VLOOKUP($A58,'Concrete Beam Schedule'!$A$2:$Q$2902,S$2,0),"")</f>
        <v>#N/A</v>
      </c>
      <c r="T58" s="7" t="e">
        <f>IF(VLOOKUP($A58,'Concrete Beam Schedule'!$A$2:$Q$2902,T$2,0)&lt;&gt;D58,"Beam Revised","")</f>
        <v>#N/A</v>
      </c>
      <c r="U58" s="7" t="e">
        <f>IF(VLOOKUP($A58,'Concrete Beam Schedule'!$A$2:$Q$2902,U$2,0)&lt;&gt;E58,"Beam Revised","")</f>
        <v>#N/A</v>
      </c>
      <c r="V58" s="7" t="e">
        <f>IF(VLOOKUP($A58,'Concrete Beam Schedule'!$A$2:$Q$2902,V$2,0)&lt;&gt;F58,"Beam Revised","")</f>
        <v>#N/A</v>
      </c>
      <c r="W58" s="7" t="e">
        <f>IF(VLOOKUP($A58,'Concrete Beam Schedule'!$A$2:$Q$2902,W$2,0)&lt;&gt;G58,"Beam Revised","")</f>
        <v>#N/A</v>
      </c>
      <c r="X58" s="7" t="e">
        <f>IF(VLOOKUP($A58,'Concrete Beam Schedule'!$A$2:$Q$2902,X$2,0)&lt;&gt;H58,"Beam Revised","")</f>
        <v>#N/A</v>
      </c>
      <c r="Y58" s="7" t="e">
        <f>IF(VLOOKUP($A58,'Concrete Beam Schedule'!$A$2:$Q$2902,Y$2,0)&lt;&gt;I58,"Beam Revised","")</f>
        <v>#N/A</v>
      </c>
      <c r="Z58" s="7" t="e">
        <f>IF(VLOOKUP($A58,'Concrete Beam Schedule'!$A$2:$Q$2902,Z$2,0)&lt;&gt;J58,"Beam Revised","")</f>
        <v>#N/A</v>
      </c>
      <c r="AA58" s="7" t="e">
        <f>IF(VLOOKUP($A58,'Concrete Beam Schedule'!$A$2:$Q$2902,AA$2,0)&lt;&gt;K58,"Beam Revised","")</f>
        <v>#N/A</v>
      </c>
      <c r="AB58" s="7" t="e">
        <f>IF(VLOOKUP($A58,'Concrete Beam Schedule'!$A$2:$Q$2902,AB$2,0)&lt;&gt;L58,"Beam Revised","")</f>
        <v>#N/A</v>
      </c>
      <c r="AC58" s="7" t="e">
        <f>IF(VLOOKUP($A58,'Concrete Beam Schedule'!$A$2:$Q$2902,AC$2,0)&lt;&gt;M58,"Beam Revised","")</f>
        <v>#N/A</v>
      </c>
      <c r="AD58" s="7" t="e">
        <f>IF(VLOOKUP($A58,'Concrete Beam Schedule'!$A$2:$Q$2902,AD$2,0)&lt;&gt;N58,"Beam Revised","")</f>
        <v>#N/A</v>
      </c>
      <c r="AE58" s="7" t="e">
        <f>IF(VLOOKUP($A58,'Concrete Beam Schedule'!$A$2:$Q$2902,AE$2,0)&lt;&gt;O58,"Beam Revised","")</f>
        <v>#N/A</v>
      </c>
    </row>
    <row r="59" spans="1:31" ht="25.5" customHeight="1" x14ac:dyDescent="0.25">
      <c r="A59" s="17"/>
      <c r="B59" s="17"/>
      <c r="C59" s="17"/>
      <c r="D59" s="17"/>
      <c r="E59" s="17"/>
      <c r="F59" s="17"/>
      <c r="G59" s="17"/>
      <c r="H59" s="17"/>
      <c r="I59" s="17"/>
      <c r="J59" s="17"/>
      <c r="K59" s="17"/>
      <c r="L59" s="17"/>
      <c r="M59" s="17"/>
      <c r="N59" s="17"/>
      <c r="O59" s="17"/>
      <c r="Q59" s="7">
        <f t="shared" si="0"/>
        <v>0</v>
      </c>
      <c r="R59" s="7" t="e">
        <f>IF(VLOOKUP($A59,'Concrete Beam Schedule'!$A$2:$Q$2902,R$2,0)&lt;&gt;B59,VLOOKUP($A59,'Concrete Beam Schedule'!$A$2:$Q$2902,R$2,0),"")</f>
        <v>#N/A</v>
      </c>
      <c r="S59" s="7" t="e">
        <f>IF(VLOOKUP($A59,'Concrete Beam Schedule'!$A$2:$Q$2902,S$2,0)&lt;&gt;C59,VLOOKUP($A59,'Concrete Beam Schedule'!$A$2:$Q$2902,S$2,0),"")</f>
        <v>#N/A</v>
      </c>
      <c r="T59" s="7" t="e">
        <f>IF(VLOOKUP($A59,'Concrete Beam Schedule'!$A$2:$Q$2902,T$2,0)&lt;&gt;D59,"Beam Revised","")</f>
        <v>#N/A</v>
      </c>
      <c r="U59" s="7" t="e">
        <f>IF(VLOOKUP($A59,'Concrete Beam Schedule'!$A$2:$Q$2902,U$2,0)&lt;&gt;E59,"Beam Revised","")</f>
        <v>#N/A</v>
      </c>
      <c r="V59" s="7" t="e">
        <f>IF(VLOOKUP($A59,'Concrete Beam Schedule'!$A$2:$Q$2902,V$2,0)&lt;&gt;F59,"Beam Revised","")</f>
        <v>#N/A</v>
      </c>
      <c r="W59" s="7" t="e">
        <f>IF(VLOOKUP($A59,'Concrete Beam Schedule'!$A$2:$Q$2902,W$2,0)&lt;&gt;G59,"Beam Revised","")</f>
        <v>#N/A</v>
      </c>
      <c r="X59" s="7" t="e">
        <f>IF(VLOOKUP($A59,'Concrete Beam Schedule'!$A$2:$Q$2902,X$2,0)&lt;&gt;H59,"Beam Revised","")</f>
        <v>#N/A</v>
      </c>
      <c r="Y59" s="7" t="e">
        <f>IF(VLOOKUP($A59,'Concrete Beam Schedule'!$A$2:$Q$2902,Y$2,0)&lt;&gt;I59,"Beam Revised","")</f>
        <v>#N/A</v>
      </c>
      <c r="Z59" s="7" t="e">
        <f>IF(VLOOKUP($A59,'Concrete Beam Schedule'!$A$2:$Q$2902,Z$2,0)&lt;&gt;J59,"Beam Revised","")</f>
        <v>#N/A</v>
      </c>
      <c r="AA59" s="7" t="e">
        <f>IF(VLOOKUP($A59,'Concrete Beam Schedule'!$A$2:$Q$2902,AA$2,0)&lt;&gt;K59,"Beam Revised","")</f>
        <v>#N/A</v>
      </c>
      <c r="AB59" s="7" t="e">
        <f>IF(VLOOKUP($A59,'Concrete Beam Schedule'!$A$2:$Q$2902,AB$2,0)&lt;&gt;L59,"Beam Revised","")</f>
        <v>#N/A</v>
      </c>
      <c r="AC59" s="7" t="e">
        <f>IF(VLOOKUP($A59,'Concrete Beam Schedule'!$A$2:$Q$2902,AC$2,0)&lt;&gt;M59,"Beam Revised","")</f>
        <v>#N/A</v>
      </c>
      <c r="AD59" s="7" t="e">
        <f>IF(VLOOKUP($A59,'Concrete Beam Schedule'!$A$2:$Q$2902,AD$2,0)&lt;&gt;N59,"Beam Revised","")</f>
        <v>#N/A</v>
      </c>
      <c r="AE59" s="7" t="e">
        <f>IF(VLOOKUP($A59,'Concrete Beam Schedule'!$A$2:$Q$2902,AE$2,0)&lt;&gt;O59,"Beam Revised","")</f>
        <v>#N/A</v>
      </c>
    </row>
    <row r="60" spans="1:31" ht="25.5" customHeight="1" x14ac:dyDescent="0.25">
      <c r="A60" s="17"/>
      <c r="B60" s="17"/>
      <c r="C60" s="17"/>
      <c r="D60" s="17"/>
      <c r="E60" s="17"/>
      <c r="F60" s="17"/>
      <c r="G60" s="17"/>
      <c r="H60" s="17"/>
      <c r="I60" s="17"/>
      <c r="J60" s="17"/>
      <c r="K60" s="17"/>
      <c r="L60" s="17"/>
      <c r="M60" s="17"/>
      <c r="N60" s="17"/>
      <c r="O60" s="17"/>
      <c r="Q60" s="7">
        <f t="shared" si="0"/>
        <v>0</v>
      </c>
      <c r="R60" s="7" t="e">
        <f>IF(VLOOKUP($A60,'Concrete Beam Schedule'!$A$2:$Q$2902,R$2,0)&lt;&gt;B60,VLOOKUP($A60,'Concrete Beam Schedule'!$A$2:$Q$2902,R$2,0),"")</f>
        <v>#N/A</v>
      </c>
      <c r="S60" s="7" t="e">
        <f>IF(VLOOKUP($A60,'Concrete Beam Schedule'!$A$2:$Q$2902,S$2,0)&lt;&gt;C60,VLOOKUP($A60,'Concrete Beam Schedule'!$A$2:$Q$2902,S$2,0),"")</f>
        <v>#N/A</v>
      </c>
      <c r="T60" s="7" t="e">
        <f>IF(VLOOKUP($A60,'Concrete Beam Schedule'!$A$2:$Q$2902,T$2,0)&lt;&gt;D60,"Beam Revised","")</f>
        <v>#N/A</v>
      </c>
      <c r="U60" s="7" t="e">
        <f>IF(VLOOKUP($A60,'Concrete Beam Schedule'!$A$2:$Q$2902,U$2,0)&lt;&gt;E60,"Beam Revised","")</f>
        <v>#N/A</v>
      </c>
      <c r="V60" s="7" t="e">
        <f>IF(VLOOKUP($A60,'Concrete Beam Schedule'!$A$2:$Q$2902,V$2,0)&lt;&gt;F60,"Beam Revised","")</f>
        <v>#N/A</v>
      </c>
      <c r="W60" s="7" t="e">
        <f>IF(VLOOKUP($A60,'Concrete Beam Schedule'!$A$2:$Q$2902,W$2,0)&lt;&gt;G60,"Beam Revised","")</f>
        <v>#N/A</v>
      </c>
      <c r="X60" s="7" t="e">
        <f>IF(VLOOKUP($A60,'Concrete Beam Schedule'!$A$2:$Q$2902,X$2,0)&lt;&gt;H60,"Beam Revised","")</f>
        <v>#N/A</v>
      </c>
      <c r="Y60" s="7" t="e">
        <f>IF(VLOOKUP($A60,'Concrete Beam Schedule'!$A$2:$Q$2902,Y$2,0)&lt;&gt;I60,"Beam Revised","")</f>
        <v>#N/A</v>
      </c>
      <c r="Z60" s="7" t="e">
        <f>IF(VLOOKUP($A60,'Concrete Beam Schedule'!$A$2:$Q$2902,Z$2,0)&lt;&gt;J60,"Beam Revised","")</f>
        <v>#N/A</v>
      </c>
      <c r="AA60" s="7" t="e">
        <f>IF(VLOOKUP($A60,'Concrete Beam Schedule'!$A$2:$Q$2902,AA$2,0)&lt;&gt;K60,"Beam Revised","")</f>
        <v>#N/A</v>
      </c>
      <c r="AB60" s="7" t="e">
        <f>IF(VLOOKUP($A60,'Concrete Beam Schedule'!$A$2:$Q$2902,AB$2,0)&lt;&gt;L60,"Beam Revised","")</f>
        <v>#N/A</v>
      </c>
      <c r="AC60" s="7" t="e">
        <f>IF(VLOOKUP($A60,'Concrete Beam Schedule'!$A$2:$Q$2902,AC$2,0)&lt;&gt;M60,"Beam Revised","")</f>
        <v>#N/A</v>
      </c>
      <c r="AD60" s="7" t="e">
        <f>IF(VLOOKUP($A60,'Concrete Beam Schedule'!$A$2:$Q$2902,AD$2,0)&lt;&gt;N60,"Beam Revised","")</f>
        <v>#N/A</v>
      </c>
      <c r="AE60" s="7" t="e">
        <f>IF(VLOOKUP($A60,'Concrete Beam Schedule'!$A$2:$Q$2902,AE$2,0)&lt;&gt;O60,"Beam Revised","")</f>
        <v>#N/A</v>
      </c>
    </row>
    <row r="61" spans="1:31" ht="25.5" customHeight="1" x14ac:dyDescent="0.25">
      <c r="A61" s="17"/>
      <c r="B61" s="17"/>
      <c r="C61" s="17"/>
      <c r="D61" s="17"/>
      <c r="E61" s="17"/>
      <c r="F61" s="17"/>
      <c r="G61" s="17"/>
      <c r="H61" s="17"/>
      <c r="I61" s="17"/>
      <c r="J61" s="17"/>
      <c r="K61" s="17"/>
      <c r="L61" s="17"/>
      <c r="M61" s="17"/>
      <c r="N61" s="17"/>
      <c r="O61" s="17"/>
      <c r="Q61" s="7">
        <f t="shared" si="0"/>
        <v>0</v>
      </c>
      <c r="R61" s="7" t="e">
        <f>IF(VLOOKUP($A61,'Concrete Beam Schedule'!$A$2:$Q$2902,R$2,0)&lt;&gt;B61,VLOOKUP($A61,'Concrete Beam Schedule'!$A$2:$Q$2902,R$2,0),"")</f>
        <v>#N/A</v>
      </c>
      <c r="S61" s="7" t="e">
        <f>IF(VLOOKUP($A61,'Concrete Beam Schedule'!$A$2:$Q$2902,S$2,0)&lt;&gt;C61,VLOOKUP($A61,'Concrete Beam Schedule'!$A$2:$Q$2902,S$2,0),"")</f>
        <v>#N/A</v>
      </c>
      <c r="T61" s="7" t="e">
        <f>IF(VLOOKUP($A61,'Concrete Beam Schedule'!$A$2:$Q$2902,T$2,0)&lt;&gt;D61,"Beam Revised","")</f>
        <v>#N/A</v>
      </c>
      <c r="U61" s="7" t="e">
        <f>IF(VLOOKUP($A61,'Concrete Beam Schedule'!$A$2:$Q$2902,U$2,0)&lt;&gt;E61,"Beam Revised","")</f>
        <v>#N/A</v>
      </c>
      <c r="V61" s="7" t="e">
        <f>IF(VLOOKUP($A61,'Concrete Beam Schedule'!$A$2:$Q$2902,V$2,0)&lt;&gt;F61,"Beam Revised","")</f>
        <v>#N/A</v>
      </c>
      <c r="W61" s="7" t="e">
        <f>IF(VLOOKUP($A61,'Concrete Beam Schedule'!$A$2:$Q$2902,W$2,0)&lt;&gt;G61,"Beam Revised","")</f>
        <v>#N/A</v>
      </c>
      <c r="X61" s="7" t="e">
        <f>IF(VLOOKUP($A61,'Concrete Beam Schedule'!$A$2:$Q$2902,X$2,0)&lt;&gt;H61,"Beam Revised","")</f>
        <v>#N/A</v>
      </c>
      <c r="Y61" s="7" t="e">
        <f>IF(VLOOKUP($A61,'Concrete Beam Schedule'!$A$2:$Q$2902,Y$2,0)&lt;&gt;I61,"Beam Revised","")</f>
        <v>#N/A</v>
      </c>
      <c r="Z61" s="7" t="e">
        <f>IF(VLOOKUP($A61,'Concrete Beam Schedule'!$A$2:$Q$2902,Z$2,0)&lt;&gt;J61,"Beam Revised","")</f>
        <v>#N/A</v>
      </c>
      <c r="AA61" s="7" t="e">
        <f>IF(VLOOKUP($A61,'Concrete Beam Schedule'!$A$2:$Q$2902,AA$2,0)&lt;&gt;K61,"Beam Revised","")</f>
        <v>#N/A</v>
      </c>
      <c r="AB61" s="7" t="e">
        <f>IF(VLOOKUP($A61,'Concrete Beam Schedule'!$A$2:$Q$2902,AB$2,0)&lt;&gt;L61,"Beam Revised","")</f>
        <v>#N/A</v>
      </c>
      <c r="AC61" s="7" t="e">
        <f>IF(VLOOKUP($A61,'Concrete Beam Schedule'!$A$2:$Q$2902,AC$2,0)&lt;&gt;M61,"Beam Revised","")</f>
        <v>#N/A</v>
      </c>
      <c r="AD61" s="7" t="e">
        <f>IF(VLOOKUP($A61,'Concrete Beam Schedule'!$A$2:$Q$2902,AD$2,0)&lt;&gt;N61,"Beam Revised","")</f>
        <v>#N/A</v>
      </c>
      <c r="AE61" s="7" t="e">
        <f>IF(VLOOKUP($A61,'Concrete Beam Schedule'!$A$2:$Q$2902,AE$2,0)&lt;&gt;O61,"Beam Revised","")</f>
        <v>#N/A</v>
      </c>
    </row>
    <row r="62" spans="1:31" ht="25.5" customHeight="1" x14ac:dyDescent="0.25">
      <c r="A62" s="17"/>
      <c r="B62" s="17"/>
      <c r="C62" s="17"/>
      <c r="D62" s="17"/>
      <c r="E62" s="17"/>
      <c r="F62" s="17"/>
      <c r="G62" s="17"/>
      <c r="H62" s="17"/>
      <c r="I62" s="17"/>
      <c r="J62" s="17"/>
      <c r="K62" s="17"/>
      <c r="L62" s="17"/>
      <c r="M62" s="17"/>
      <c r="N62" s="17"/>
      <c r="O62" s="17"/>
      <c r="Q62" s="7">
        <f t="shared" si="0"/>
        <v>0</v>
      </c>
      <c r="R62" s="7" t="e">
        <f>IF(VLOOKUP($A62,'Concrete Beam Schedule'!$A$2:$Q$2902,R$2,0)&lt;&gt;B62,VLOOKUP($A62,'Concrete Beam Schedule'!$A$2:$Q$2902,R$2,0),"")</f>
        <v>#N/A</v>
      </c>
      <c r="S62" s="7" t="e">
        <f>IF(VLOOKUP($A62,'Concrete Beam Schedule'!$A$2:$Q$2902,S$2,0)&lt;&gt;C62,VLOOKUP($A62,'Concrete Beam Schedule'!$A$2:$Q$2902,S$2,0),"")</f>
        <v>#N/A</v>
      </c>
      <c r="T62" s="7" t="e">
        <f>IF(VLOOKUP($A62,'Concrete Beam Schedule'!$A$2:$Q$2902,T$2,0)&lt;&gt;D62,"Beam Revised","")</f>
        <v>#N/A</v>
      </c>
      <c r="U62" s="7" t="e">
        <f>IF(VLOOKUP($A62,'Concrete Beam Schedule'!$A$2:$Q$2902,U$2,0)&lt;&gt;E62,"Beam Revised","")</f>
        <v>#N/A</v>
      </c>
      <c r="V62" s="7" t="e">
        <f>IF(VLOOKUP($A62,'Concrete Beam Schedule'!$A$2:$Q$2902,V$2,0)&lt;&gt;F62,"Beam Revised","")</f>
        <v>#N/A</v>
      </c>
      <c r="W62" s="7" t="e">
        <f>IF(VLOOKUP($A62,'Concrete Beam Schedule'!$A$2:$Q$2902,W$2,0)&lt;&gt;G62,"Beam Revised","")</f>
        <v>#N/A</v>
      </c>
      <c r="X62" s="7" t="e">
        <f>IF(VLOOKUP($A62,'Concrete Beam Schedule'!$A$2:$Q$2902,X$2,0)&lt;&gt;H62,"Beam Revised","")</f>
        <v>#N/A</v>
      </c>
      <c r="Y62" s="7" t="e">
        <f>IF(VLOOKUP($A62,'Concrete Beam Schedule'!$A$2:$Q$2902,Y$2,0)&lt;&gt;I62,"Beam Revised","")</f>
        <v>#N/A</v>
      </c>
      <c r="Z62" s="7" t="e">
        <f>IF(VLOOKUP($A62,'Concrete Beam Schedule'!$A$2:$Q$2902,Z$2,0)&lt;&gt;J62,"Beam Revised","")</f>
        <v>#N/A</v>
      </c>
      <c r="AA62" s="7" t="e">
        <f>IF(VLOOKUP($A62,'Concrete Beam Schedule'!$A$2:$Q$2902,AA$2,0)&lt;&gt;K62,"Beam Revised","")</f>
        <v>#N/A</v>
      </c>
      <c r="AB62" s="7" t="e">
        <f>IF(VLOOKUP($A62,'Concrete Beam Schedule'!$A$2:$Q$2902,AB$2,0)&lt;&gt;L62,"Beam Revised","")</f>
        <v>#N/A</v>
      </c>
      <c r="AC62" s="7" t="e">
        <f>IF(VLOOKUP($A62,'Concrete Beam Schedule'!$A$2:$Q$2902,AC$2,0)&lt;&gt;M62,"Beam Revised","")</f>
        <v>#N/A</v>
      </c>
      <c r="AD62" s="7" t="e">
        <f>IF(VLOOKUP($A62,'Concrete Beam Schedule'!$A$2:$Q$2902,AD$2,0)&lt;&gt;N62,"Beam Revised","")</f>
        <v>#N/A</v>
      </c>
      <c r="AE62" s="7" t="e">
        <f>IF(VLOOKUP($A62,'Concrete Beam Schedule'!$A$2:$Q$2902,AE$2,0)&lt;&gt;O62,"Beam Revised","")</f>
        <v>#N/A</v>
      </c>
    </row>
    <row r="63" spans="1:31" ht="25.5" customHeight="1" x14ac:dyDescent="0.25">
      <c r="A63" s="17"/>
      <c r="B63" s="17"/>
      <c r="C63" s="17"/>
      <c r="D63" s="17"/>
      <c r="E63" s="17"/>
      <c r="F63" s="17"/>
      <c r="G63" s="17"/>
      <c r="H63" s="17"/>
      <c r="I63" s="17"/>
      <c r="J63" s="17"/>
      <c r="K63" s="17"/>
      <c r="L63" s="17"/>
      <c r="M63" s="17"/>
      <c r="N63" s="17"/>
      <c r="O63" s="17"/>
      <c r="Q63" s="7">
        <f t="shared" si="0"/>
        <v>0</v>
      </c>
      <c r="R63" s="7" t="e">
        <f>IF(VLOOKUP($A63,'Concrete Beam Schedule'!$A$2:$Q$2902,R$2,0)&lt;&gt;B63,VLOOKUP($A63,'Concrete Beam Schedule'!$A$2:$Q$2902,R$2,0),"")</f>
        <v>#N/A</v>
      </c>
      <c r="S63" s="7" t="e">
        <f>IF(VLOOKUP($A63,'Concrete Beam Schedule'!$A$2:$Q$2902,S$2,0)&lt;&gt;C63,VLOOKUP($A63,'Concrete Beam Schedule'!$A$2:$Q$2902,S$2,0),"")</f>
        <v>#N/A</v>
      </c>
      <c r="T63" s="7" t="e">
        <f>IF(VLOOKUP($A63,'Concrete Beam Schedule'!$A$2:$Q$2902,T$2,0)&lt;&gt;D63,"Beam Revised","")</f>
        <v>#N/A</v>
      </c>
      <c r="U63" s="7" t="e">
        <f>IF(VLOOKUP($A63,'Concrete Beam Schedule'!$A$2:$Q$2902,U$2,0)&lt;&gt;E63,"Beam Revised","")</f>
        <v>#N/A</v>
      </c>
      <c r="V63" s="7" t="e">
        <f>IF(VLOOKUP($A63,'Concrete Beam Schedule'!$A$2:$Q$2902,V$2,0)&lt;&gt;F63,"Beam Revised","")</f>
        <v>#N/A</v>
      </c>
      <c r="W63" s="7" t="e">
        <f>IF(VLOOKUP($A63,'Concrete Beam Schedule'!$A$2:$Q$2902,W$2,0)&lt;&gt;G63,"Beam Revised","")</f>
        <v>#N/A</v>
      </c>
      <c r="X63" s="7" t="e">
        <f>IF(VLOOKUP($A63,'Concrete Beam Schedule'!$A$2:$Q$2902,X$2,0)&lt;&gt;H63,"Beam Revised","")</f>
        <v>#N/A</v>
      </c>
      <c r="Y63" s="7" t="e">
        <f>IF(VLOOKUP($A63,'Concrete Beam Schedule'!$A$2:$Q$2902,Y$2,0)&lt;&gt;I63,"Beam Revised","")</f>
        <v>#N/A</v>
      </c>
      <c r="Z63" s="7" t="e">
        <f>IF(VLOOKUP($A63,'Concrete Beam Schedule'!$A$2:$Q$2902,Z$2,0)&lt;&gt;J63,"Beam Revised","")</f>
        <v>#N/A</v>
      </c>
      <c r="AA63" s="7" t="e">
        <f>IF(VLOOKUP($A63,'Concrete Beam Schedule'!$A$2:$Q$2902,AA$2,0)&lt;&gt;K63,"Beam Revised","")</f>
        <v>#N/A</v>
      </c>
      <c r="AB63" s="7" t="e">
        <f>IF(VLOOKUP($A63,'Concrete Beam Schedule'!$A$2:$Q$2902,AB$2,0)&lt;&gt;L63,"Beam Revised","")</f>
        <v>#N/A</v>
      </c>
      <c r="AC63" s="7" t="e">
        <f>IF(VLOOKUP($A63,'Concrete Beam Schedule'!$A$2:$Q$2902,AC$2,0)&lt;&gt;M63,"Beam Revised","")</f>
        <v>#N/A</v>
      </c>
      <c r="AD63" s="7" t="e">
        <f>IF(VLOOKUP($A63,'Concrete Beam Schedule'!$A$2:$Q$2902,AD$2,0)&lt;&gt;N63,"Beam Revised","")</f>
        <v>#N/A</v>
      </c>
      <c r="AE63" s="7" t="e">
        <f>IF(VLOOKUP($A63,'Concrete Beam Schedule'!$A$2:$Q$2902,AE$2,0)&lt;&gt;O63,"Beam Revised","")</f>
        <v>#N/A</v>
      </c>
    </row>
    <row r="64" spans="1:31" ht="25.5" customHeight="1" x14ac:dyDescent="0.25">
      <c r="A64" s="17"/>
      <c r="B64" s="17"/>
      <c r="C64" s="17"/>
      <c r="D64" s="17"/>
      <c r="E64" s="17"/>
      <c r="F64" s="17"/>
      <c r="G64" s="17"/>
      <c r="H64" s="17"/>
      <c r="I64" s="17"/>
      <c r="J64" s="17"/>
      <c r="K64" s="17"/>
      <c r="L64" s="17"/>
      <c r="M64" s="17"/>
      <c r="N64" s="17"/>
      <c r="O64" s="17"/>
      <c r="Q64" s="7">
        <f t="shared" si="0"/>
        <v>0</v>
      </c>
      <c r="R64" s="7" t="e">
        <f>IF(VLOOKUP($A64,'Concrete Beam Schedule'!$A$2:$Q$2902,R$2,0)&lt;&gt;B64,VLOOKUP($A64,'Concrete Beam Schedule'!$A$2:$Q$2902,R$2,0),"")</f>
        <v>#N/A</v>
      </c>
      <c r="S64" s="7" t="e">
        <f>IF(VLOOKUP($A64,'Concrete Beam Schedule'!$A$2:$Q$2902,S$2,0)&lt;&gt;C64,VLOOKUP($A64,'Concrete Beam Schedule'!$A$2:$Q$2902,S$2,0),"")</f>
        <v>#N/A</v>
      </c>
      <c r="T64" s="7" t="e">
        <f>IF(VLOOKUP($A64,'Concrete Beam Schedule'!$A$2:$Q$2902,T$2,0)&lt;&gt;D64,"Beam Revised","")</f>
        <v>#N/A</v>
      </c>
      <c r="U64" s="7" t="e">
        <f>IF(VLOOKUP($A64,'Concrete Beam Schedule'!$A$2:$Q$2902,U$2,0)&lt;&gt;E64,"Beam Revised","")</f>
        <v>#N/A</v>
      </c>
      <c r="V64" s="7" t="e">
        <f>IF(VLOOKUP($A64,'Concrete Beam Schedule'!$A$2:$Q$2902,V$2,0)&lt;&gt;F64,"Beam Revised","")</f>
        <v>#N/A</v>
      </c>
      <c r="W64" s="7" t="e">
        <f>IF(VLOOKUP($A64,'Concrete Beam Schedule'!$A$2:$Q$2902,W$2,0)&lt;&gt;G64,"Beam Revised","")</f>
        <v>#N/A</v>
      </c>
      <c r="X64" s="7" t="e">
        <f>IF(VLOOKUP($A64,'Concrete Beam Schedule'!$A$2:$Q$2902,X$2,0)&lt;&gt;H64,"Beam Revised","")</f>
        <v>#N/A</v>
      </c>
      <c r="Y64" s="7" t="e">
        <f>IF(VLOOKUP($A64,'Concrete Beam Schedule'!$A$2:$Q$2902,Y$2,0)&lt;&gt;I64,"Beam Revised","")</f>
        <v>#N/A</v>
      </c>
      <c r="Z64" s="7" t="e">
        <f>IF(VLOOKUP($A64,'Concrete Beam Schedule'!$A$2:$Q$2902,Z$2,0)&lt;&gt;J64,"Beam Revised","")</f>
        <v>#N/A</v>
      </c>
      <c r="AA64" s="7" t="e">
        <f>IF(VLOOKUP($A64,'Concrete Beam Schedule'!$A$2:$Q$2902,AA$2,0)&lt;&gt;K64,"Beam Revised","")</f>
        <v>#N/A</v>
      </c>
      <c r="AB64" s="7" t="e">
        <f>IF(VLOOKUP($A64,'Concrete Beam Schedule'!$A$2:$Q$2902,AB$2,0)&lt;&gt;L64,"Beam Revised","")</f>
        <v>#N/A</v>
      </c>
      <c r="AC64" s="7" t="e">
        <f>IF(VLOOKUP($A64,'Concrete Beam Schedule'!$A$2:$Q$2902,AC$2,0)&lt;&gt;M64,"Beam Revised","")</f>
        <v>#N/A</v>
      </c>
      <c r="AD64" s="7" t="e">
        <f>IF(VLOOKUP($A64,'Concrete Beam Schedule'!$A$2:$Q$2902,AD$2,0)&lt;&gt;N64,"Beam Revised","")</f>
        <v>#N/A</v>
      </c>
      <c r="AE64" s="7" t="e">
        <f>IF(VLOOKUP($A64,'Concrete Beam Schedule'!$A$2:$Q$2902,AE$2,0)&lt;&gt;O64,"Beam Revised","")</f>
        <v>#N/A</v>
      </c>
    </row>
    <row r="65" spans="1:31" ht="25.5" customHeight="1" x14ac:dyDescent="0.25">
      <c r="A65" s="17"/>
      <c r="B65" s="17"/>
      <c r="C65" s="17"/>
      <c r="D65" s="17"/>
      <c r="E65" s="17"/>
      <c r="F65" s="17"/>
      <c r="G65" s="17"/>
      <c r="H65" s="17"/>
      <c r="I65" s="17"/>
      <c r="J65" s="17"/>
      <c r="K65" s="17"/>
      <c r="L65" s="17"/>
      <c r="M65" s="17"/>
      <c r="N65" s="17"/>
      <c r="O65" s="17"/>
      <c r="Q65" s="7">
        <f t="shared" si="0"/>
        <v>0</v>
      </c>
      <c r="R65" s="7" t="e">
        <f>IF(VLOOKUP($A65,'Concrete Beam Schedule'!$A$2:$Q$2902,R$2,0)&lt;&gt;B65,VLOOKUP($A65,'Concrete Beam Schedule'!$A$2:$Q$2902,R$2,0),"")</f>
        <v>#N/A</v>
      </c>
      <c r="S65" s="7" t="e">
        <f>IF(VLOOKUP($A65,'Concrete Beam Schedule'!$A$2:$Q$2902,S$2,0)&lt;&gt;C65,VLOOKUP($A65,'Concrete Beam Schedule'!$A$2:$Q$2902,S$2,0),"")</f>
        <v>#N/A</v>
      </c>
      <c r="T65" s="7" t="e">
        <f>IF(VLOOKUP($A65,'Concrete Beam Schedule'!$A$2:$Q$2902,T$2,0)&lt;&gt;D65,"Beam Revised","")</f>
        <v>#N/A</v>
      </c>
      <c r="U65" s="7" t="e">
        <f>IF(VLOOKUP($A65,'Concrete Beam Schedule'!$A$2:$Q$2902,U$2,0)&lt;&gt;E65,"Beam Revised","")</f>
        <v>#N/A</v>
      </c>
      <c r="V65" s="7" t="e">
        <f>IF(VLOOKUP($A65,'Concrete Beam Schedule'!$A$2:$Q$2902,V$2,0)&lt;&gt;F65,"Beam Revised","")</f>
        <v>#N/A</v>
      </c>
      <c r="W65" s="7" t="e">
        <f>IF(VLOOKUP($A65,'Concrete Beam Schedule'!$A$2:$Q$2902,W$2,0)&lt;&gt;G65,"Beam Revised","")</f>
        <v>#N/A</v>
      </c>
      <c r="X65" s="7" t="e">
        <f>IF(VLOOKUP($A65,'Concrete Beam Schedule'!$A$2:$Q$2902,X$2,0)&lt;&gt;H65,"Beam Revised","")</f>
        <v>#N/A</v>
      </c>
      <c r="Y65" s="7" t="e">
        <f>IF(VLOOKUP($A65,'Concrete Beam Schedule'!$A$2:$Q$2902,Y$2,0)&lt;&gt;I65,"Beam Revised","")</f>
        <v>#N/A</v>
      </c>
      <c r="Z65" s="7" t="e">
        <f>IF(VLOOKUP($A65,'Concrete Beam Schedule'!$A$2:$Q$2902,Z$2,0)&lt;&gt;J65,"Beam Revised","")</f>
        <v>#N/A</v>
      </c>
      <c r="AA65" s="7" t="e">
        <f>IF(VLOOKUP($A65,'Concrete Beam Schedule'!$A$2:$Q$2902,AA$2,0)&lt;&gt;K65,"Beam Revised","")</f>
        <v>#N/A</v>
      </c>
      <c r="AB65" s="7" t="e">
        <f>IF(VLOOKUP($A65,'Concrete Beam Schedule'!$A$2:$Q$2902,AB$2,0)&lt;&gt;L65,"Beam Revised","")</f>
        <v>#N/A</v>
      </c>
      <c r="AC65" s="7" t="e">
        <f>IF(VLOOKUP($A65,'Concrete Beam Schedule'!$A$2:$Q$2902,AC$2,0)&lt;&gt;M65,"Beam Revised","")</f>
        <v>#N/A</v>
      </c>
      <c r="AD65" s="7" t="e">
        <f>IF(VLOOKUP($A65,'Concrete Beam Schedule'!$A$2:$Q$2902,AD$2,0)&lt;&gt;N65,"Beam Revised","")</f>
        <v>#N/A</v>
      </c>
      <c r="AE65" s="7" t="e">
        <f>IF(VLOOKUP($A65,'Concrete Beam Schedule'!$A$2:$Q$2902,AE$2,0)&lt;&gt;O65,"Beam Revised","")</f>
        <v>#N/A</v>
      </c>
    </row>
    <row r="66" spans="1:31" ht="25.5" customHeight="1" x14ac:dyDescent="0.25">
      <c r="A66" s="17"/>
      <c r="B66" s="17"/>
      <c r="C66" s="17"/>
      <c r="D66" s="17"/>
      <c r="E66" s="17"/>
      <c r="F66" s="17"/>
      <c r="G66" s="17"/>
      <c r="H66" s="17"/>
      <c r="I66" s="17"/>
      <c r="J66" s="17"/>
      <c r="K66" s="17"/>
      <c r="L66" s="17"/>
      <c r="M66" s="17"/>
      <c r="N66" s="17"/>
      <c r="O66" s="17"/>
      <c r="Q66" s="7">
        <f t="shared" si="0"/>
        <v>0</v>
      </c>
      <c r="R66" s="7" t="e">
        <f>IF(VLOOKUP($A66,'Concrete Beam Schedule'!$A$2:$Q$2902,R$2,0)&lt;&gt;B66,VLOOKUP($A66,'Concrete Beam Schedule'!$A$2:$Q$2902,R$2,0),"")</f>
        <v>#N/A</v>
      </c>
      <c r="S66" s="7" t="e">
        <f>IF(VLOOKUP($A66,'Concrete Beam Schedule'!$A$2:$Q$2902,S$2,0)&lt;&gt;C66,VLOOKUP($A66,'Concrete Beam Schedule'!$A$2:$Q$2902,S$2,0),"")</f>
        <v>#N/A</v>
      </c>
      <c r="T66" s="7" t="e">
        <f>IF(VLOOKUP($A66,'Concrete Beam Schedule'!$A$2:$Q$2902,T$2,0)&lt;&gt;D66,"Beam Revised","")</f>
        <v>#N/A</v>
      </c>
      <c r="U66" s="7" t="e">
        <f>IF(VLOOKUP($A66,'Concrete Beam Schedule'!$A$2:$Q$2902,U$2,0)&lt;&gt;E66,"Beam Revised","")</f>
        <v>#N/A</v>
      </c>
      <c r="V66" s="7" t="e">
        <f>IF(VLOOKUP($A66,'Concrete Beam Schedule'!$A$2:$Q$2902,V$2,0)&lt;&gt;F66,"Beam Revised","")</f>
        <v>#N/A</v>
      </c>
      <c r="W66" s="7" t="e">
        <f>IF(VLOOKUP($A66,'Concrete Beam Schedule'!$A$2:$Q$2902,W$2,0)&lt;&gt;G66,"Beam Revised","")</f>
        <v>#N/A</v>
      </c>
      <c r="X66" s="7" t="e">
        <f>IF(VLOOKUP($A66,'Concrete Beam Schedule'!$A$2:$Q$2902,X$2,0)&lt;&gt;H66,"Beam Revised","")</f>
        <v>#N/A</v>
      </c>
      <c r="Y66" s="7" t="e">
        <f>IF(VLOOKUP($A66,'Concrete Beam Schedule'!$A$2:$Q$2902,Y$2,0)&lt;&gt;I66,"Beam Revised","")</f>
        <v>#N/A</v>
      </c>
      <c r="Z66" s="7" t="e">
        <f>IF(VLOOKUP($A66,'Concrete Beam Schedule'!$A$2:$Q$2902,Z$2,0)&lt;&gt;J66,"Beam Revised","")</f>
        <v>#N/A</v>
      </c>
      <c r="AA66" s="7" t="e">
        <f>IF(VLOOKUP($A66,'Concrete Beam Schedule'!$A$2:$Q$2902,AA$2,0)&lt;&gt;K66,"Beam Revised","")</f>
        <v>#N/A</v>
      </c>
      <c r="AB66" s="7" t="e">
        <f>IF(VLOOKUP($A66,'Concrete Beam Schedule'!$A$2:$Q$2902,AB$2,0)&lt;&gt;L66,"Beam Revised","")</f>
        <v>#N/A</v>
      </c>
      <c r="AC66" s="7" t="e">
        <f>IF(VLOOKUP($A66,'Concrete Beam Schedule'!$A$2:$Q$2902,AC$2,0)&lt;&gt;M66,"Beam Revised","")</f>
        <v>#N/A</v>
      </c>
      <c r="AD66" s="7" t="e">
        <f>IF(VLOOKUP($A66,'Concrete Beam Schedule'!$A$2:$Q$2902,AD$2,0)&lt;&gt;N66,"Beam Revised","")</f>
        <v>#N/A</v>
      </c>
      <c r="AE66" s="7" t="e">
        <f>IF(VLOOKUP($A66,'Concrete Beam Schedule'!$A$2:$Q$2902,AE$2,0)&lt;&gt;O66,"Beam Revised","")</f>
        <v>#N/A</v>
      </c>
    </row>
    <row r="67" spans="1:31" ht="25.5" customHeight="1" x14ac:dyDescent="0.25">
      <c r="A67" s="17"/>
      <c r="B67" s="17"/>
      <c r="C67" s="17"/>
      <c r="D67" s="17"/>
      <c r="E67" s="17"/>
      <c r="F67" s="17"/>
      <c r="G67" s="17"/>
      <c r="H67" s="17"/>
      <c r="I67" s="17"/>
      <c r="J67" s="17"/>
      <c r="K67" s="17"/>
      <c r="L67" s="17"/>
      <c r="M67" s="17"/>
      <c r="N67" s="17"/>
      <c r="O67" s="17"/>
      <c r="Q67" s="7">
        <f t="shared" si="0"/>
        <v>0</v>
      </c>
      <c r="R67" s="7" t="e">
        <f>IF(VLOOKUP($A67,'Concrete Beam Schedule'!$A$2:$Q$2902,R$2,0)&lt;&gt;B67,VLOOKUP($A67,'Concrete Beam Schedule'!$A$2:$Q$2902,R$2,0),"")</f>
        <v>#N/A</v>
      </c>
      <c r="S67" s="7" t="e">
        <f>IF(VLOOKUP($A67,'Concrete Beam Schedule'!$A$2:$Q$2902,S$2,0)&lt;&gt;C67,VLOOKUP($A67,'Concrete Beam Schedule'!$A$2:$Q$2902,S$2,0),"")</f>
        <v>#N/A</v>
      </c>
      <c r="T67" s="7" t="e">
        <f>IF(VLOOKUP($A67,'Concrete Beam Schedule'!$A$2:$Q$2902,T$2,0)&lt;&gt;D67,"Beam Revised","")</f>
        <v>#N/A</v>
      </c>
      <c r="U67" s="7" t="e">
        <f>IF(VLOOKUP($A67,'Concrete Beam Schedule'!$A$2:$Q$2902,U$2,0)&lt;&gt;E67,"Beam Revised","")</f>
        <v>#N/A</v>
      </c>
      <c r="V67" s="7" t="e">
        <f>IF(VLOOKUP($A67,'Concrete Beam Schedule'!$A$2:$Q$2902,V$2,0)&lt;&gt;F67,"Beam Revised","")</f>
        <v>#N/A</v>
      </c>
      <c r="W67" s="7" t="e">
        <f>IF(VLOOKUP($A67,'Concrete Beam Schedule'!$A$2:$Q$2902,W$2,0)&lt;&gt;G67,"Beam Revised","")</f>
        <v>#N/A</v>
      </c>
      <c r="X67" s="7" t="e">
        <f>IF(VLOOKUP($A67,'Concrete Beam Schedule'!$A$2:$Q$2902,X$2,0)&lt;&gt;H67,"Beam Revised","")</f>
        <v>#N/A</v>
      </c>
      <c r="Y67" s="7" t="e">
        <f>IF(VLOOKUP($A67,'Concrete Beam Schedule'!$A$2:$Q$2902,Y$2,0)&lt;&gt;I67,"Beam Revised","")</f>
        <v>#N/A</v>
      </c>
      <c r="Z67" s="7" t="e">
        <f>IF(VLOOKUP($A67,'Concrete Beam Schedule'!$A$2:$Q$2902,Z$2,0)&lt;&gt;J67,"Beam Revised","")</f>
        <v>#N/A</v>
      </c>
      <c r="AA67" s="7" t="e">
        <f>IF(VLOOKUP($A67,'Concrete Beam Schedule'!$A$2:$Q$2902,AA$2,0)&lt;&gt;K67,"Beam Revised","")</f>
        <v>#N/A</v>
      </c>
      <c r="AB67" s="7" t="e">
        <f>IF(VLOOKUP($A67,'Concrete Beam Schedule'!$A$2:$Q$2902,AB$2,0)&lt;&gt;L67,"Beam Revised","")</f>
        <v>#N/A</v>
      </c>
      <c r="AC67" s="7" t="e">
        <f>IF(VLOOKUP($A67,'Concrete Beam Schedule'!$A$2:$Q$2902,AC$2,0)&lt;&gt;M67,"Beam Revised","")</f>
        <v>#N/A</v>
      </c>
      <c r="AD67" s="7" t="e">
        <f>IF(VLOOKUP($A67,'Concrete Beam Schedule'!$A$2:$Q$2902,AD$2,0)&lt;&gt;N67,"Beam Revised","")</f>
        <v>#N/A</v>
      </c>
      <c r="AE67" s="7" t="e">
        <f>IF(VLOOKUP($A67,'Concrete Beam Schedule'!$A$2:$Q$2902,AE$2,0)&lt;&gt;O67,"Beam Revised","")</f>
        <v>#N/A</v>
      </c>
    </row>
    <row r="68" spans="1:31" ht="25.5" customHeight="1" x14ac:dyDescent="0.25">
      <c r="A68" s="17"/>
      <c r="B68" s="17"/>
      <c r="C68" s="17"/>
      <c r="D68" s="17"/>
      <c r="E68" s="17"/>
      <c r="F68" s="17"/>
      <c r="G68" s="17"/>
      <c r="H68" s="17"/>
      <c r="I68" s="17"/>
      <c r="J68" s="17"/>
      <c r="K68" s="17"/>
      <c r="L68" s="17"/>
      <c r="M68" s="17"/>
      <c r="N68" s="17"/>
      <c r="O68" s="17"/>
      <c r="Q68" s="7">
        <f t="shared" ref="Q68:Q131" si="1">A68</f>
        <v>0</v>
      </c>
      <c r="R68" s="7" t="e">
        <f>IF(VLOOKUP($A68,'Concrete Beam Schedule'!$A$2:$Q$2902,R$2,0)&lt;&gt;B68,VLOOKUP($A68,'Concrete Beam Schedule'!$A$2:$Q$2902,R$2,0),"")</f>
        <v>#N/A</v>
      </c>
      <c r="S68" s="7" t="e">
        <f>IF(VLOOKUP($A68,'Concrete Beam Schedule'!$A$2:$Q$2902,S$2,0)&lt;&gt;C68,VLOOKUP($A68,'Concrete Beam Schedule'!$A$2:$Q$2902,S$2,0),"")</f>
        <v>#N/A</v>
      </c>
      <c r="T68" s="7" t="e">
        <f>IF(VLOOKUP($A68,'Concrete Beam Schedule'!$A$2:$Q$2902,T$2,0)&lt;&gt;D68,"Beam Revised","")</f>
        <v>#N/A</v>
      </c>
      <c r="U68" s="7" t="e">
        <f>IF(VLOOKUP($A68,'Concrete Beam Schedule'!$A$2:$Q$2902,U$2,0)&lt;&gt;E68,"Beam Revised","")</f>
        <v>#N/A</v>
      </c>
      <c r="V68" s="7" t="e">
        <f>IF(VLOOKUP($A68,'Concrete Beam Schedule'!$A$2:$Q$2902,V$2,0)&lt;&gt;F68,"Beam Revised","")</f>
        <v>#N/A</v>
      </c>
      <c r="W68" s="7" t="e">
        <f>IF(VLOOKUP($A68,'Concrete Beam Schedule'!$A$2:$Q$2902,W$2,0)&lt;&gt;G68,"Beam Revised","")</f>
        <v>#N/A</v>
      </c>
      <c r="X68" s="7" t="e">
        <f>IF(VLOOKUP($A68,'Concrete Beam Schedule'!$A$2:$Q$2902,X$2,0)&lt;&gt;H68,"Beam Revised","")</f>
        <v>#N/A</v>
      </c>
      <c r="Y68" s="7" t="e">
        <f>IF(VLOOKUP($A68,'Concrete Beam Schedule'!$A$2:$Q$2902,Y$2,0)&lt;&gt;I68,"Beam Revised","")</f>
        <v>#N/A</v>
      </c>
      <c r="Z68" s="7" t="e">
        <f>IF(VLOOKUP($A68,'Concrete Beam Schedule'!$A$2:$Q$2902,Z$2,0)&lt;&gt;J68,"Beam Revised","")</f>
        <v>#N/A</v>
      </c>
      <c r="AA68" s="7" t="e">
        <f>IF(VLOOKUP($A68,'Concrete Beam Schedule'!$A$2:$Q$2902,AA$2,0)&lt;&gt;K68,"Beam Revised","")</f>
        <v>#N/A</v>
      </c>
      <c r="AB68" s="7" t="e">
        <f>IF(VLOOKUP($A68,'Concrete Beam Schedule'!$A$2:$Q$2902,AB$2,0)&lt;&gt;L68,"Beam Revised","")</f>
        <v>#N/A</v>
      </c>
      <c r="AC68" s="7" t="e">
        <f>IF(VLOOKUP($A68,'Concrete Beam Schedule'!$A$2:$Q$2902,AC$2,0)&lt;&gt;M68,"Beam Revised","")</f>
        <v>#N/A</v>
      </c>
      <c r="AD68" s="7" t="e">
        <f>IF(VLOOKUP($A68,'Concrete Beam Schedule'!$A$2:$Q$2902,AD$2,0)&lt;&gt;N68,"Beam Revised","")</f>
        <v>#N/A</v>
      </c>
      <c r="AE68" s="7" t="e">
        <f>IF(VLOOKUP($A68,'Concrete Beam Schedule'!$A$2:$Q$2902,AE$2,0)&lt;&gt;O68,"Beam Revised","")</f>
        <v>#N/A</v>
      </c>
    </row>
    <row r="69" spans="1:31" ht="25.5" customHeight="1" x14ac:dyDescent="0.25">
      <c r="A69" s="17"/>
      <c r="B69" s="17"/>
      <c r="C69" s="17"/>
      <c r="D69" s="17"/>
      <c r="E69" s="17"/>
      <c r="F69" s="17"/>
      <c r="G69" s="17"/>
      <c r="H69" s="17"/>
      <c r="I69" s="17"/>
      <c r="J69" s="17"/>
      <c r="K69" s="17"/>
      <c r="L69" s="17"/>
      <c r="M69" s="17"/>
      <c r="N69" s="17"/>
      <c r="O69" s="17"/>
      <c r="Q69" s="7">
        <f t="shared" si="1"/>
        <v>0</v>
      </c>
      <c r="R69" s="7" t="e">
        <f>IF(VLOOKUP($A69,'Concrete Beam Schedule'!$A$2:$Q$2902,R$2,0)&lt;&gt;B69,VLOOKUP($A69,'Concrete Beam Schedule'!$A$2:$Q$2902,R$2,0),"")</f>
        <v>#N/A</v>
      </c>
      <c r="S69" s="7" t="e">
        <f>IF(VLOOKUP($A69,'Concrete Beam Schedule'!$A$2:$Q$2902,S$2,0)&lt;&gt;C69,VLOOKUP($A69,'Concrete Beam Schedule'!$A$2:$Q$2902,S$2,0),"")</f>
        <v>#N/A</v>
      </c>
      <c r="T69" s="7" t="e">
        <f>IF(VLOOKUP($A69,'Concrete Beam Schedule'!$A$2:$Q$2902,T$2,0)&lt;&gt;D69,"Beam Revised","")</f>
        <v>#N/A</v>
      </c>
      <c r="U69" s="7" t="e">
        <f>IF(VLOOKUP($A69,'Concrete Beam Schedule'!$A$2:$Q$2902,U$2,0)&lt;&gt;E69,"Beam Revised","")</f>
        <v>#N/A</v>
      </c>
      <c r="V69" s="7" t="e">
        <f>IF(VLOOKUP($A69,'Concrete Beam Schedule'!$A$2:$Q$2902,V$2,0)&lt;&gt;F69,"Beam Revised","")</f>
        <v>#N/A</v>
      </c>
      <c r="W69" s="7" t="e">
        <f>IF(VLOOKUP($A69,'Concrete Beam Schedule'!$A$2:$Q$2902,W$2,0)&lt;&gt;G69,"Beam Revised","")</f>
        <v>#N/A</v>
      </c>
      <c r="X69" s="7" t="e">
        <f>IF(VLOOKUP($A69,'Concrete Beam Schedule'!$A$2:$Q$2902,X$2,0)&lt;&gt;H69,"Beam Revised","")</f>
        <v>#N/A</v>
      </c>
      <c r="Y69" s="7" t="e">
        <f>IF(VLOOKUP($A69,'Concrete Beam Schedule'!$A$2:$Q$2902,Y$2,0)&lt;&gt;I69,"Beam Revised","")</f>
        <v>#N/A</v>
      </c>
      <c r="Z69" s="7" t="e">
        <f>IF(VLOOKUP($A69,'Concrete Beam Schedule'!$A$2:$Q$2902,Z$2,0)&lt;&gt;J69,"Beam Revised","")</f>
        <v>#N/A</v>
      </c>
      <c r="AA69" s="7" t="e">
        <f>IF(VLOOKUP($A69,'Concrete Beam Schedule'!$A$2:$Q$2902,AA$2,0)&lt;&gt;K69,"Beam Revised","")</f>
        <v>#N/A</v>
      </c>
      <c r="AB69" s="7" t="e">
        <f>IF(VLOOKUP($A69,'Concrete Beam Schedule'!$A$2:$Q$2902,AB$2,0)&lt;&gt;L69,"Beam Revised","")</f>
        <v>#N/A</v>
      </c>
      <c r="AC69" s="7" t="e">
        <f>IF(VLOOKUP($A69,'Concrete Beam Schedule'!$A$2:$Q$2902,AC$2,0)&lt;&gt;M69,"Beam Revised","")</f>
        <v>#N/A</v>
      </c>
      <c r="AD69" s="7" t="e">
        <f>IF(VLOOKUP($A69,'Concrete Beam Schedule'!$A$2:$Q$2902,AD$2,0)&lt;&gt;N69,"Beam Revised","")</f>
        <v>#N/A</v>
      </c>
      <c r="AE69" s="7" t="e">
        <f>IF(VLOOKUP($A69,'Concrete Beam Schedule'!$A$2:$Q$2902,AE$2,0)&lt;&gt;O69,"Beam Revised","")</f>
        <v>#N/A</v>
      </c>
    </row>
    <row r="70" spans="1:31" ht="25.5" customHeight="1" x14ac:dyDescent="0.25">
      <c r="A70" s="17"/>
      <c r="B70" s="17"/>
      <c r="C70" s="17"/>
      <c r="D70" s="17"/>
      <c r="E70" s="17"/>
      <c r="F70" s="17"/>
      <c r="G70" s="17"/>
      <c r="H70" s="17"/>
      <c r="I70" s="17"/>
      <c r="J70" s="17"/>
      <c r="K70" s="17"/>
      <c r="L70" s="17"/>
      <c r="M70" s="17"/>
      <c r="N70" s="17"/>
      <c r="O70" s="17"/>
      <c r="Q70" s="7">
        <f t="shared" si="1"/>
        <v>0</v>
      </c>
      <c r="R70" s="7" t="e">
        <f>IF(VLOOKUP($A70,'Concrete Beam Schedule'!$A$2:$Q$2902,R$2,0)&lt;&gt;B70,VLOOKUP($A70,'Concrete Beam Schedule'!$A$2:$Q$2902,R$2,0),"")</f>
        <v>#N/A</v>
      </c>
      <c r="S70" s="7" t="e">
        <f>IF(VLOOKUP($A70,'Concrete Beam Schedule'!$A$2:$Q$2902,S$2,0)&lt;&gt;C70,VLOOKUP($A70,'Concrete Beam Schedule'!$A$2:$Q$2902,S$2,0),"")</f>
        <v>#N/A</v>
      </c>
      <c r="T70" s="7" t="e">
        <f>IF(VLOOKUP($A70,'Concrete Beam Schedule'!$A$2:$Q$2902,T$2,0)&lt;&gt;D70,"Beam Revised","")</f>
        <v>#N/A</v>
      </c>
      <c r="U70" s="7" t="e">
        <f>IF(VLOOKUP($A70,'Concrete Beam Schedule'!$A$2:$Q$2902,U$2,0)&lt;&gt;E70,"Beam Revised","")</f>
        <v>#N/A</v>
      </c>
      <c r="V70" s="7" t="e">
        <f>IF(VLOOKUP($A70,'Concrete Beam Schedule'!$A$2:$Q$2902,V$2,0)&lt;&gt;F70,"Beam Revised","")</f>
        <v>#N/A</v>
      </c>
      <c r="W70" s="7" t="e">
        <f>IF(VLOOKUP($A70,'Concrete Beam Schedule'!$A$2:$Q$2902,W$2,0)&lt;&gt;G70,"Beam Revised","")</f>
        <v>#N/A</v>
      </c>
      <c r="X70" s="7" t="e">
        <f>IF(VLOOKUP($A70,'Concrete Beam Schedule'!$A$2:$Q$2902,X$2,0)&lt;&gt;H70,"Beam Revised","")</f>
        <v>#N/A</v>
      </c>
      <c r="Y70" s="7" t="e">
        <f>IF(VLOOKUP($A70,'Concrete Beam Schedule'!$A$2:$Q$2902,Y$2,0)&lt;&gt;I70,"Beam Revised","")</f>
        <v>#N/A</v>
      </c>
      <c r="Z70" s="7" t="e">
        <f>IF(VLOOKUP($A70,'Concrete Beam Schedule'!$A$2:$Q$2902,Z$2,0)&lt;&gt;J70,"Beam Revised","")</f>
        <v>#N/A</v>
      </c>
      <c r="AA70" s="7" t="e">
        <f>IF(VLOOKUP($A70,'Concrete Beam Schedule'!$A$2:$Q$2902,AA$2,0)&lt;&gt;K70,"Beam Revised","")</f>
        <v>#N/A</v>
      </c>
      <c r="AB70" s="7" t="e">
        <f>IF(VLOOKUP($A70,'Concrete Beam Schedule'!$A$2:$Q$2902,AB$2,0)&lt;&gt;L70,"Beam Revised","")</f>
        <v>#N/A</v>
      </c>
      <c r="AC70" s="7" t="e">
        <f>IF(VLOOKUP($A70,'Concrete Beam Schedule'!$A$2:$Q$2902,AC$2,0)&lt;&gt;M70,"Beam Revised","")</f>
        <v>#N/A</v>
      </c>
      <c r="AD70" s="7" t="e">
        <f>IF(VLOOKUP($A70,'Concrete Beam Schedule'!$A$2:$Q$2902,AD$2,0)&lt;&gt;N70,"Beam Revised","")</f>
        <v>#N/A</v>
      </c>
      <c r="AE70" s="7" t="e">
        <f>IF(VLOOKUP($A70,'Concrete Beam Schedule'!$A$2:$Q$2902,AE$2,0)&lt;&gt;O70,"Beam Revised","")</f>
        <v>#N/A</v>
      </c>
    </row>
    <row r="71" spans="1:31" ht="25.5" customHeight="1" x14ac:dyDescent="0.25">
      <c r="A71" s="17"/>
      <c r="B71" s="17"/>
      <c r="C71" s="17"/>
      <c r="D71" s="17"/>
      <c r="E71" s="17"/>
      <c r="F71" s="17"/>
      <c r="G71" s="17"/>
      <c r="H71" s="17"/>
      <c r="I71" s="17"/>
      <c r="J71" s="17"/>
      <c r="K71" s="17"/>
      <c r="L71" s="17"/>
      <c r="M71" s="17"/>
      <c r="N71" s="17"/>
      <c r="O71" s="17"/>
      <c r="Q71" s="7">
        <f t="shared" si="1"/>
        <v>0</v>
      </c>
      <c r="R71" s="7" t="e">
        <f>IF(VLOOKUP($A71,'Concrete Beam Schedule'!$A$2:$Q$2902,R$2,0)&lt;&gt;B71,VLOOKUP($A71,'Concrete Beam Schedule'!$A$2:$Q$2902,R$2,0),"")</f>
        <v>#N/A</v>
      </c>
      <c r="S71" s="7" t="e">
        <f>IF(VLOOKUP($A71,'Concrete Beam Schedule'!$A$2:$Q$2902,S$2,0)&lt;&gt;C71,VLOOKUP($A71,'Concrete Beam Schedule'!$A$2:$Q$2902,S$2,0),"")</f>
        <v>#N/A</v>
      </c>
      <c r="T71" s="7" t="e">
        <f>IF(VLOOKUP($A71,'Concrete Beam Schedule'!$A$2:$Q$2902,T$2,0)&lt;&gt;D71,"Beam Revised","")</f>
        <v>#N/A</v>
      </c>
      <c r="U71" s="7" t="e">
        <f>IF(VLOOKUP($A71,'Concrete Beam Schedule'!$A$2:$Q$2902,U$2,0)&lt;&gt;E71,"Beam Revised","")</f>
        <v>#N/A</v>
      </c>
      <c r="V71" s="7" t="e">
        <f>IF(VLOOKUP($A71,'Concrete Beam Schedule'!$A$2:$Q$2902,V$2,0)&lt;&gt;F71,"Beam Revised","")</f>
        <v>#N/A</v>
      </c>
      <c r="W71" s="7" t="e">
        <f>IF(VLOOKUP($A71,'Concrete Beam Schedule'!$A$2:$Q$2902,W$2,0)&lt;&gt;G71,"Beam Revised","")</f>
        <v>#N/A</v>
      </c>
      <c r="X71" s="7" t="e">
        <f>IF(VLOOKUP($A71,'Concrete Beam Schedule'!$A$2:$Q$2902,X$2,0)&lt;&gt;H71,"Beam Revised","")</f>
        <v>#N/A</v>
      </c>
      <c r="Y71" s="7" t="e">
        <f>IF(VLOOKUP($A71,'Concrete Beam Schedule'!$A$2:$Q$2902,Y$2,0)&lt;&gt;I71,"Beam Revised","")</f>
        <v>#N/A</v>
      </c>
      <c r="Z71" s="7" t="e">
        <f>IF(VLOOKUP($A71,'Concrete Beam Schedule'!$A$2:$Q$2902,Z$2,0)&lt;&gt;J71,"Beam Revised","")</f>
        <v>#N/A</v>
      </c>
      <c r="AA71" s="7" t="e">
        <f>IF(VLOOKUP($A71,'Concrete Beam Schedule'!$A$2:$Q$2902,AA$2,0)&lt;&gt;K71,"Beam Revised","")</f>
        <v>#N/A</v>
      </c>
      <c r="AB71" s="7" t="e">
        <f>IF(VLOOKUP($A71,'Concrete Beam Schedule'!$A$2:$Q$2902,AB$2,0)&lt;&gt;L71,"Beam Revised","")</f>
        <v>#N/A</v>
      </c>
      <c r="AC71" s="7" t="e">
        <f>IF(VLOOKUP($A71,'Concrete Beam Schedule'!$A$2:$Q$2902,AC$2,0)&lt;&gt;M71,"Beam Revised","")</f>
        <v>#N/A</v>
      </c>
      <c r="AD71" s="7" t="e">
        <f>IF(VLOOKUP($A71,'Concrete Beam Schedule'!$A$2:$Q$2902,AD$2,0)&lt;&gt;N71,"Beam Revised","")</f>
        <v>#N/A</v>
      </c>
      <c r="AE71" s="7" t="e">
        <f>IF(VLOOKUP($A71,'Concrete Beam Schedule'!$A$2:$Q$2902,AE$2,0)&lt;&gt;O71,"Beam Revised","")</f>
        <v>#N/A</v>
      </c>
    </row>
    <row r="72" spans="1:31" ht="25.5" customHeight="1" x14ac:dyDescent="0.25">
      <c r="A72" s="17"/>
      <c r="B72" s="17"/>
      <c r="C72" s="17"/>
      <c r="D72" s="17"/>
      <c r="E72" s="17"/>
      <c r="F72" s="17"/>
      <c r="G72" s="17"/>
      <c r="H72" s="17"/>
      <c r="I72" s="17"/>
      <c r="J72" s="17"/>
      <c r="K72" s="17"/>
      <c r="L72" s="17"/>
      <c r="M72" s="17"/>
      <c r="N72" s="17"/>
      <c r="O72" s="17"/>
      <c r="Q72" s="7">
        <f t="shared" si="1"/>
        <v>0</v>
      </c>
      <c r="R72" s="7" t="e">
        <f>IF(VLOOKUP($A72,'Concrete Beam Schedule'!$A$2:$Q$2902,R$2,0)&lt;&gt;B72,VLOOKUP($A72,'Concrete Beam Schedule'!$A$2:$Q$2902,R$2,0),"")</f>
        <v>#N/A</v>
      </c>
      <c r="S72" s="7" t="e">
        <f>IF(VLOOKUP($A72,'Concrete Beam Schedule'!$A$2:$Q$2902,S$2,0)&lt;&gt;C72,VLOOKUP($A72,'Concrete Beam Schedule'!$A$2:$Q$2902,S$2,0),"")</f>
        <v>#N/A</v>
      </c>
      <c r="T72" s="7" t="e">
        <f>IF(VLOOKUP($A72,'Concrete Beam Schedule'!$A$2:$Q$2902,T$2,0)&lt;&gt;D72,"Beam Revised","")</f>
        <v>#N/A</v>
      </c>
      <c r="U72" s="7" t="e">
        <f>IF(VLOOKUP($A72,'Concrete Beam Schedule'!$A$2:$Q$2902,U$2,0)&lt;&gt;E72,"Beam Revised","")</f>
        <v>#N/A</v>
      </c>
      <c r="V72" s="7" t="e">
        <f>IF(VLOOKUP($A72,'Concrete Beam Schedule'!$A$2:$Q$2902,V$2,0)&lt;&gt;F72,"Beam Revised","")</f>
        <v>#N/A</v>
      </c>
      <c r="W72" s="7" t="e">
        <f>IF(VLOOKUP($A72,'Concrete Beam Schedule'!$A$2:$Q$2902,W$2,0)&lt;&gt;G72,"Beam Revised","")</f>
        <v>#N/A</v>
      </c>
      <c r="X72" s="7" t="e">
        <f>IF(VLOOKUP($A72,'Concrete Beam Schedule'!$A$2:$Q$2902,X$2,0)&lt;&gt;H72,"Beam Revised","")</f>
        <v>#N/A</v>
      </c>
      <c r="Y72" s="7" t="e">
        <f>IF(VLOOKUP($A72,'Concrete Beam Schedule'!$A$2:$Q$2902,Y$2,0)&lt;&gt;I72,"Beam Revised","")</f>
        <v>#N/A</v>
      </c>
      <c r="Z72" s="7" t="e">
        <f>IF(VLOOKUP($A72,'Concrete Beam Schedule'!$A$2:$Q$2902,Z$2,0)&lt;&gt;J72,"Beam Revised","")</f>
        <v>#N/A</v>
      </c>
      <c r="AA72" s="7" t="e">
        <f>IF(VLOOKUP($A72,'Concrete Beam Schedule'!$A$2:$Q$2902,AA$2,0)&lt;&gt;K72,"Beam Revised","")</f>
        <v>#N/A</v>
      </c>
      <c r="AB72" s="7" t="e">
        <f>IF(VLOOKUP($A72,'Concrete Beam Schedule'!$A$2:$Q$2902,AB$2,0)&lt;&gt;L72,"Beam Revised","")</f>
        <v>#N/A</v>
      </c>
      <c r="AC72" s="7" t="e">
        <f>IF(VLOOKUP($A72,'Concrete Beam Schedule'!$A$2:$Q$2902,AC$2,0)&lt;&gt;M72,"Beam Revised","")</f>
        <v>#N/A</v>
      </c>
      <c r="AD72" s="7" t="e">
        <f>IF(VLOOKUP($A72,'Concrete Beam Schedule'!$A$2:$Q$2902,AD$2,0)&lt;&gt;N72,"Beam Revised","")</f>
        <v>#N/A</v>
      </c>
      <c r="AE72" s="7" t="e">
        <f>IF(VLOOKUP($A72,'Concrete Beam Schedule'!$A$2:$Q$2902,AE$2,0)&lt;&gt;O72,"Beam Revised","")</f>
        <v>#N/A</v>
      </c>
    </row>
    <row r="73" spans="1:31" ht="25.5" customHeight="1" x14ac:dyDescent="0.25">
      <c r="A73" s="17"/>
      <c r="B73" s="17"/>
      <c r="C73" s="17"/>
      <c r="D73" s="17"/>
      <c r="E73" s="17"/>
      <c r="F73" s="17"/>
      <c r="G73" s="17"/>
      <c r="H73" s="17"/>
      <c r="I73" s="17"/>
      <c r="J73" s="17"/>
      <c r="K73" s="17"/>
      <c r="L73" s="17"/>
      <c r="M73" s="17"/>
      <c r="N73" s="17"/>
      <c r="O73" s="17"/>
      <c r="Q73" s="7">
        <f t="shared" si="1"/>
        <v>0</v>
      </c>
      <c r="R73" s="7" t="e">
        <f>IF(VLOOKUP($A73,'Concrete Beam Schedule'!$A$2:$Q$2902,R$2,0)&lt;&gt;B73,VLOOKUP($A73,'Concrete Beam Schedule'!$A$2:$Q$2902,R$2,0),"")</f>
        <v>#N/A</v>
      </c>
      <c r="S73" s="7" t="e">
        <f>IF(VLOOKUP($A73,'Concrete Beam Schedule'!$A$2:$Q$2902,S$2,0)&lt;&gt;C73,VLOOKUP($A73,'Concrete Beam Schedule'!$A$2:$Q$2902,S$2,0),"")</f>
        <v>#N/A</v>
      </c>
      <c r="T73" s="7" t="e">
        <f>IF(VLOOKUP($A73,'Concrete Beam Schedule'!$A$2:$Q$2902,T$2,0)&lt;&gt;D73,"Beam Revised","")</f>
        <v>#N/A</v>
      </c>
      <c r="U73" s="7" t="e">
        <f>IF(VLOOKUP($A73,'Concrete Beam Schedule'!$A$2:$Q$2902,U$2,0)&lt;&gt;E73,"Beam Revised","")</f>
        <v>#N/A</v>
      </c>
      <c r="V73" s="7" t="e">
        <f>IF(VLOOKUP($A73,'Concrete Beam Schedule'!$A$2:$Q$2902,V$2,0)&lt;&gt;F73,"Beam Revised","")</f>
        <v>#N/A</v>
      </c>
      <c r="W73" s="7" t="e">
        <f>IF(VLOOKUP($A73,'Concrete Beam Schedule'!$A$2:$Q$2902,W$2,0)&lt;&gt;G73,"Beam Revised","")</f>
        <v>#N/A</v>
      </c>
      <c r="X73" s="7" t="e">
        <f>IF(VLOOKUP($A73,'Concrete Beam Schedule'!$A$2:$Q$2902,X$2,0)&lt;&gt;H73,"Beam Revised","")</f>
        <v>#N/A</v>
      </c>
      <c r="Y73" s="7" t="e">
        <f>IF(VLOOKUP($A73,'Concrete Beam Schedule'!$A$2:$Q$2902,Y$2,0)&lt;&gt;I73,"Beam Revised","")</f>
        <v>#N/A</v>
      </c>
      <c r="Z73" s="7" t="e">
        <f>IF(VLOOKUP($A73,'Concrete Beam Schedule'!$A$2:$Q$2902,Z$2,0)&lt;&gt;J73,"Beam Revised","")</f>
        <v>#N/A</v>
      </c>
      <c r="AA73" s="7" t="e">
        <f>IF(VLOOKUP($A73,'Concrete Beam Schedule'!$A$2:$Q$2902,AA$2,0)&lt;&gt;K73,"Beam Revised","")</f>
        <v>#N/A</v>
      </c>
      <c r="AB73" s="7" t="e">
        <f>IF(VLOOKUP($A73,'Concrete Beam Schedule'!$A$2:$Q$2902,AB$2,0)&lt;&gt;L73,"Beam Revised","")</f>
        <v>#N/A</v>
      </c>
      <c r="AC73" s="7" t="e">
        <f>IF(VLOOKUP($A73,'Concrete Beam Schedule'!$A$2:$Q$2902,AC$2,0)&lt;&gt;M73,"Beam Revised","")</f>
        <v>#N/A</v>
      </c>
      <c r="AD73" s="7" t="e">
        <f>IF(VLOOKUP($A73,'Concrete Beam Schedule'!$A$2:$Q$2902,AD$2,0)&lt;&gt;N73,"Beam Revised","")</f>
        <v>#N/A</v>
      </c>
      <c r="AE73" s="7" t="e">
        <f>IF(VLOOKUP($A73,'Concrete Beam Schedule'!$A$2:$Q$2902,AE$2,0)&lt;&gt;O73,"Beam Revised","")</f>
        <v>#N/A</v>
      </c>
    </row>
    <row r="74" spans="1:31" ht="25.5" customHeight="1" x14ac:dyDescent="0.25">
      <c r="A74" s="17"/>
      <c r="B74" s="17"/>
      <c r="C74" s="17"/>
      <c r="D74" s="17"/>
      <c r="E74" s="17"/>
      <c r="F74" s="17"/>
      <c r="G74" s="17"/>
      <c r="H74" s="17"/>
      <c r="I74" s="17"/>
      <c r="J74" s="17"/>
      <c r="K74" s="17"/>
      <c r="L74" s="17"/>
      <c r="M74" s="17"/>
      <c r="N74" s="17"/>
      <c r="O74" s="17"/>
      <c r="Q74" s="7">
        <f t="shared" si="1"/>
        <v>0</v>
      </c>
      <c r="R74" s="7" t="e">
        <f>IF(VLOOKUP($A74,'Concrete Beam Schedule'!$A$2:$Q$2902,R$2,0)&lt;&gt;B74,VLOOKUP($A74,'Concrete Beam Schedule'!$A$2:$Q$2902,R$2,0),"")</f>
        <v>#N/A</v>
      </c>
      <c r="S74" s="7" t="e">
        <f>IF(VLOOKUP($A74,'Concrete Beam Schedule'!$A$2:$Q$2902,S$2,0)&lt;&gt;C74,VLOOKUP($A74,'Concrete Beam Schedule'!$A$2:$Q$2902,S$2,0),"")</f>
        <v>#N/A</v>
      </c>
      <c r="T74" s="7" t="e">
        <f>IF(VLOOKUP($A74,'Concrete Beam Schedule'!$A$2:$Q$2902,T$2,0)&lt;&gt;D74,"Beam Revised","")</f>
        <v>#N/A</v>
      </c>
      <c r="U74" s="7" t="e">
        <f>IF(VLOOKUP($A74,'Concrete Beam Schedule'!$A$2:$Q$2902,U$2,0)&lt;&gt;E74,"Beam Revised","")</f>
        <v>#N/A</v>
      </c>
      <c r="V74" s="7" t="e">
        <f>IF(VLOOKUP($A74,'Concrete Beam Schedule'!$A$2:$Q$2902,V$2,0)&lt;&gt;F74,"Beam Revised","")</f>
        <v>#N/A</v>
      </c>
      <c r="W74" s="7" t="e">
        <f>IF(VLOOKUP($A74,'Concrete Beam Schedule'!$A$2:$Q$2902,W$2,0)&lt;&gt;G74,"Beam Revised","")</f>
        <v>#N/A</v>
      </c>
      <c r="X74" s="7" t="e">
        <f>IF(VLOOKUP($A74,'Concrete Beam Schedule'!$A$2:$Q$2902,X$2,0)&lt;&gt;H74,"Beam Revised","")</f>
        <v>#N/A</v>
      </c>
      <c r="Y74" s="7" t="e">
        <f>IF(VLOOKUP($A74,'Concrete Beam Schedule'!$A$2:$Q$2902,Y$2,0)&lt;&gt;I74,"Beam Revised","")</f>
        <v>#N/A</v>
      </c>
      <c r="Z74" s="7" t="e">
        <f>IF(VLOOKUP($A74,'Concrete Beam Schedule'!$A$2:$Q$2902,Z$2,0)&lt;&gt;J74,"Beam Revised","")</f>
        <v>#N/A</v>
      </c>
      <c r="AA74" s="7" t="e">
        <f>IF(VLOOKUP($A74,'Concrete Beam Schedule'!$A$2:$Q$2902,AA$2,0)&lt;&gt;K74,"Beam Revised","")</f>
        <v>#N/A</v>
      </c>
      <c r="AB74" s="7" t="e">
        <f>IF(VLOOKUP($A74,'Concrete Beam Schedule'!$A$2:$Q$2902,AB$2,0)&lt;&gt;L74,"Beam Revised","")</f>
        <v>#N/A</v>
      </c>
      <c r="AC74" s="7" t="e">
        <f>IF(VLOOKUP($A74,'Concrete Beam Schedule'!$A$2:$Q$2902,AC$2,0)&lt;&gt;M74,"Beam Revised","")</f>
        <v>#N/A</v>
      </c>
      <c r="AD74" s="7" t="e">
        <f>IF(VLOOKUP($A74,'Concrete Beam Schedule'!$A$2:$Q$2902,AD$2,0)&lt;&gt;N74,"Beam Revised","")</f>
        <v>#N/A</v>
      </c>
      <c r="AE74" s="7" t="e">
        <f>IF(VLOOKUP($A74,'Concrete Beam Schedule'!$A$2:$Q$2902,AE$2,0)&lt;&gt;O74,"Beam Revised","")</f>
        <v>#N/A</v>
      </c>
    </row>
    <row r="75" spans="1:31" ht="25.5" customHeight="1" x14ac:dyDescent="0.25">
      <c r="A75" s="17"/>
      <c r="B75" s="17"/>
      <c r="C75" s="17"/>
      <c r="D75" s="17"/>
      <c r="E75" s="17"/>
      <c r="F75" s="17"/>
      <c r="G75" s="17"/>
      <c r="H75" s="17"/>
      <c r="I75" s="17"/>
      <c r="J75" s="17"/>
      <c r="K75" s="17"/>
      <c r="L75" s="17"/>
      <c r="M75" s="17"/>
      <c r="N75" s="17"/>
      <c r="O75" s="17"/>
      <c r="Q75" s="7">
        <f t="shared" si="1"/>
        <v>0</v>
      </c>
      <c r="R75" s="7" t="e">
        <f>IF(VLOOKUP($A75,'Concrete Beam Schedule'!$A$2:$Q$2902,R$2,0)&lt;&gt;B75,VLOOKUP($A75,'Concrete Beam Schedule'!$A$2:$Q$2902,R$2,0),"")</f>
        <v>#N/A</v>
      </c>
      <c r="S75" s="7" t="e">
        <f>IF(VLOOKUP($A75,'Concrete Beam Schedule'!$A$2:$Q$2902,S$2,0)&lt;&gt;C75,VLOOKUP($A75,'Concrete Beam Schedule'!$A$2:$Q$2902,S$2,0),"")</f>
        <v>#N/A</v>
      </c>
      <c r="T75" s="7" t="e">
        <f>IF(VLOOKUP($A75,'Concrete Beam Schedule'!$A$2:$Q$2902,T$2,0)&lt;&gt;D75,"Beam Revised","")</f>
        <v>#N/A</v>
      </c>
      <c r="U75" s="7" t="e">
        <f>IF(VLOOKUP($A75,'Concrete Beam Schedule'!$A$2:$Q$2902,U$2,0)&lt;&gt;E75,"Beam Revised","")</f>
        <v>#N/A</v>
      </c>
      <c r="V75" s="7" t="e">
        <f>IF(VLOOKUP($A75,'Concrete Beam Schedule'!$A$2:$Q$2902,V$2,0)&lt;&gt;F75,"Beam Revised","")</f>
        <v>#N/A</v>
      </c>
      <c r="W75" s="7" t="e">
        <f>IF(VLOOKUP($A75,'Concrete Beam Schedule'!$A$2:$Q$2902,W$2,0)&lt;&gt;G75,"Beam Revised","")</f>
        <v>#N/A</v>
      </c>
      <c r="X75" s="7" t="e">
        <f>IF(VLOOKUP($A75,'Concrete Beam Schedule'!$A$2:$Q$2902,X$2,0)&lt;&gt;H75,"Beam Revised","")</f>
        <v>#N/A</v>
      </c>
      <c r="Y75" s="7" t="e">
        <f>IF(VLOOKUP($A75,'Concrete Beam Schedule'!$A$2:$Q$2902,Y$2,0)&lt;&gt;I75,"Beam Revised","")</f>
        <v>#N/A</v>
      </c>
      <c r="Z75" s="7" t="e">
        <f>IF(VLOOKUP($A75,'Concrete Beam Schedule'!$A$2:$Q$2902,Z$2,0)&lt;&gt;J75,"Beam Revised","")</f>
        <v>#N/A</v>
      </c>
      <c r="AA75" s="7" t="e">
        <f>IF(VLOOKUP($A75,'Concrete Beam Schedule'!$A$2:$Q$2902,AA$2,0)&lt;&gt;K75,"Beam Revised","")</f>
        <v>#N/A</v>
      </c>
      <c r="AB75" s="7" t="e">
        <f>IF(VLOOKUP($A75,'Concrete Beam Schedule'!$A$2:$Q$2902,AB$2,0)&lt;&gt;L75,"Beam Revised","")</f>
        <v>#N/A</v>
      </c>
      <c r="AC75" s="7" t="e">
        <f>IF(VLOOKUP($A75,'Concrete Beam Schedule'!$A$2:$Q$2902,AC$2,0)&lt;&gt;M75,"Beam Revised","")</f>
        <v>#N/A</v>
      </c>
      <c r="AD75" s="7" t="e">
        <f>IF(VLOOKUP($A75,'Concrete Beam Schedule'!$A$2:$Q$2902,AD$2,0)&lt;&gt;N75,"Beam Revised","")</f>
        <v>#N/A</v>
      </c>
      <c r="AE75" s="7" t="e">
        <f>IF(VLOOKUP($A75,'Concrete Beam Schedule'!$A$2:$Q$2902,AE$2,0)&lt;&gt;O75,"Beam Revised","")</f>
        <v>#N/A</v>
      </c>
    </row>
    <row r="76" spans="1:31" ht="25.5" customHeight="1" x14ac:dyDescent="0.25">
      <c r="A76" s="17"/>
      <c r="B76" s="17"/>
      <c r="C76" s="17"/>
      <c r="D76" s="17"/>
      <c r="E76" s="17"/>
      <c r="F76" s="17"/>
      <c r="G76" s="17"/>
      <c r="H76" s="17"/>
      <c r="I76" s="17"/>
      <c r="J76" s="17"/>
      <c r="K76" s="17"/>
      <c r="L76" s="17"/>
      <c r="M76" s="17"/>
      <c r="N76" s="17"/>
      <c r="O76" s="17"/>
      <c r="Q76" s="7">
        <f t="shared" si="1"/>
        <v>0</v>
      </c>
      <c r="R76" s="7" t="e">
        <f>IF(VLOOKUP($A76,'Concrete Beam Schedule'!$A$2:$Q$2902,R$2,0)&lt;&gt;B76,VLOOKUP($A76,'Concrete Beam Schedule'!$A$2:$Q$2902,R$2,0),"")</f>
        <v>#N/A</v>
      </c>
      <c r="S76" s="7" t="e">
        <f>IF(VLOOKUP($A76,'Concrete Beam Schedule'!$A$2:$Q$2902,S$2,0)&lt;&gt;C76,VLOOKUP($A76,'Concrete Beam Schedule'!$A$2:$Q$2902,S$2,0),"")</f>
        <v>#N/A</v>
      </c>
      <c r="T76" s="7" t="e">
        <f>IF(VLOOKUP($A76,'Concrete Beam Schedule'!$A$2:$Q$2902,T$2,0)&lt;&gt;D76,"Beam Revised","")</f>
        <v>#N/A</v>
      </c>
      <c r="U76" s="7" t="e">
        <f>IF(VLOOKUP($A76,'Concrete Beam Schedule'!$A$2:$Q$2902,U$2,0)&lt;&gt;E76,"Beam Revised","")</f>
        <v>#N/A</v>
      </c>
      <c r="V76" s="7" t="e">
        <f>IF(VLOOKUP($A76,'Concrete Beam Schedule'!$A$2:$Q$2902,V$2,0)&lt;&gt;F76,"Beam Revised","")</f>
        <v>#N/A</v>
      </c>
      <c r="W76" s="7" t="e">
        <f>IF(VLOOKUP($A76,'Concrete Beam Schedule'!$A$2:$Q$2902,W$2,0)&lt;&gt;G76,"Beam Revised","")</f>
        <v>#N/A</v>
      </c>
      <c r="X76" s="7" t="e">
        <f>IF(VLOOKUP($A76,'Concrete Beam Schedule'!$A$2:$Q$2902,X$2,0)&lt;&gt;H76,"Beam Revised","")</f>
        <v>#N/A</v>
      </c>
      <c r="Y76" s="7" t="e">
        <f>IF(VLOOKUP($A76,'Concrete Beam Schedule'!$A$2:$Q$2902,Y$2,0)&lt;&gt;I76,"Beam Revised","")</f>
        <v>#N/A</v>
      </c>
      <c r="Z76" s="7" t="e">
        <f>IF(VLOOKUP($A76,'Concrete Beam Schedule'!$A$2:$Q$2902,Z$2,0)&lt;&gt;J76,"Beam Revised","")</f>
        <v>#N/A</v>
      </c>
      <c r="AA76" s="7" t="e">
        <f>IF(VLOOKUP($A76,'Concrete Beam Schedule'!$A$2:$Q$2902,AA$2,0)&lt;&gt;K76,"Beam Revised","")</f>
        <v>#N/A</v>
      </c>
      <c r="AB76" s="7" t="e">
        <f>IF(VLOOKUP($A76,'Concrete Beam Schedule'!$A$2:$Q$2902,AB$2,0)&lt;&gt;L76,"Beam Revised","")</f>
        <v>#N/A</v>
      </c>
      <c r="AC76" s="7" t="e">
        <f>IF(VLOOKUP($A76,'Concrete Beam Schedule'!$A$2:$Q$2902,AC$2,0)&lt;&gt;M76,"Beam Revised","")</f>
        <v>#N/A</v>
      </c>
      <c r="AD76" s="7" t="e">
        <f>IF(VLOOKUP($A76,'Concrete Beam Schedule'!$A$2:$Q$2902,AD$2,0)&lt;&gt;N76,"Beam Revised","")</f>
        <v>#N/A</v>
      </c>
      <c r="AE76" s="7" t="e">
        <f>IF(VLOOKUP($A76,'Concrete Beam Schedule'!$A$2:$Q$2902,AE$2,0)&lt;&gt;O76,"Beam Revised","")</f>
        <v>#N/A</v>
      </c>
    </row>
    <row r="77" spans="1:31" ht="25.5" customHeight="1" x14ac:dyDescent="0.25">
      <c r="A77" s="17"/>
      <c r="B77" s="17"/>
      <c r="C77" s="17"/>
      <c r="D77" s="17"/>
      <c r="E77" s="17"/>
      <c r="F77" s="17"/>
      <c r="G77" s="17"/>
      <c r="H77" s="17"/>
      <c r="I77" s="17"/>
      <c r="J77" s="17"/>
      <c r="K77" s="17"/>
      <c r="L77" s="17"/>
      <c r="M77" s="17"/>
      <c r="N77" s="17"/>
      <c r="O77" s="17"/>
      <c r="Q77" s="7">
        <f t="shared" si="1"/>
        <v>0</v>
      </c>
      <c r="R77" s="7" t="e">
        <f>IF(VLOOKUP($A77,'Concrete Beam Schedule'!$A$2:$Q$2902,R$2,0)&lt;&gt;B77,VLOOKUP($A77,'Concrete Beam Schedule'!$A$2:$Q$2902,R$2,0),"")</f>
        <v>#N/A</v>
      </c>
      <c r="S77" s="7" t="e">
        <f>IF(VLOOKUP($A77,'Concrete Beam Schedule'!$A$2:$Q$2902,S$2,0)&lt;&gt;C77,VLOOKUP($A77,'Concrete Beam Schedule'!$A$2:$Q$2902,S$2,0),"")</f>
        <v>#N/A</v>
      </c>
      <c r="T77" s="7" t="e">
        <f>IF(VLOOKUP($A77,'Concrete Beam Schedule'!$A$2:$Q$2902,T$2,0)&lt;&gt;D77,"Beam Revised","")</f>
        <v>#N/A</v>
      </c>
      <c r="U77" s="7" t="e">
        <f>IF(VLOOKUP($A77,'Concrete Beam Schedule'!$A$2:$Q$2902,U$2,0)&lt;&gt;E77,"Beam Revised","")</f>
        <v>#N/A</v>
      </c>
      <c r="V77" s="7" t="e">
        <f>IF(VLOOKUP($A77,'Concrete Beam Schedule'!$A$2:$Q$2902,V$2,0)&lt;&gt;F77,"Beam Revised","")</f>
        <v>#N/A</v>
      </c>
      <c r="W77" s="7" t="e">
        <f>IF(VLOOKUP($A77,'Concrete Beam Schedule'!$A$2:$Q$2902,W$2,0)&lt;&gt;G77,"Beam Revised","")</f>
        <v>#N/A</v>
      </c>
      <c r="X77" s="7" t="e">
        <f>IF(VLOOKUP($A77,'Concrete Beam Schedule'!$A$2:$Q$2902,X$2,0)&lt;&gt;H77,"Beam Revised","")</f>
        <v>#N/A</v>
      </c>
      <c r="Y77" s="7" t="e">
        <f>IF(VLOOKUP($A77,'Concrete Beam Schedule'!$A$2:$Q$2902,Y$2,0)&lt;&gt;I77,"Beam Revised","")</f>
        <v>#N/A</v>
      </c>
      <c r="Z77" s="7" t="e">
        <f>IF(VLOOKUP($A77,'Concrete Beam Schedule'!$A$2:$Q$2902,Z$2,0)&lt;&gt;J77,"Beam Revised","")</f>
        <v>#N/A</v>
      </c>
      <c r="AA77" s="7" t="e">
        <f>IF(VLOOKUP($A77,'Concrete Beam Schedule'!$A$2:$Q$2902,AA$2,0)&lt;&gt;K77,"Beam Revised","")</f>
        <v>#N/A</v>
      </c>
      <c r="AB77" s="7" t="e">
        <f>IF(VLOOKUP($A77,'Concrete Beam Schedule'!$A$2:$Q$2902,AB$2,0)&lt;&gt;L77,"Beam Revised","")</f>
        <v>#N/A</v>
      </c>
      <c r="AC77" s="7" t="e">
        <f>IF(VLOOKUP($A77,'Concrete Beam Schedule'!$A$2:$Q$2902,AC$2,0)&lt;&gt;M77,"Beam Revised","")</f>
        <v>#N/A</v>
      </c>
      <c r="AD77" s="7" t="e">
        <f>IF(VLOOKUP($A77,'Concrete Beam Schedule'!$A$2:$Q$2902,AD$2,0)&lt;&gt;N77,"Beam Revised","")</f>
        <v>#N/A</v>
      </c>
      <c r="AE77" s="7" t="e">
        <f>IF(VLOOKUP($A77,'Concrete Beam Schedule'!$A$2:$Q$2902,AE$2,0)&lt;&gt;O77,"Beam Revised","")</f>
        <v>#N/A</v>
      </c>
    </row>
    <row r="78" spans="1:31" ht="25.5" customHeight="1" x14ac:dyDescent="0.25">
      <c r="A78" s="17"/>
      <c r="B78" s="17"/>
      <c r="C78" s="17"/>
      <c r="D78" s="17"/>
      <c r="E78" s="17"/>
      <c r="F78" s="17"/>
      <c r="G78" s="17"/>
      <c r="H78" s="17"/>
      <c r="I78" s="17"/>
      <c r="J78" s="17"/>
      <c r="K78" s="17"/>
      <c r="L78" s="17"/>
      <c r="M78" s="17"/>
      <c r="N78" s="17"/>
      <c r="O78" s="17"/>
      <c r="Q78" s="7">
        <f t="shared" si="1"/>
        <v>0</v>
      </c>
      <c r="R78" s="7" t="e">
        <f>IF(VLOOKUP($A78,'Concrete Beam Schedule'!$A$2:$Q$2902,R$2,0)&lt;&gt;B78,VLOOKUP($A78,'Concrete Beam Schedule'!$A$2:$Q$2902,R$2,0),"")</f>
        <v>#N/A</v>
      </c>
      <c r="S78" s="7" t="e">
        <f>IF(VLOOKUP($A78,'Concrete Beam Schedule'!$A$2:$Q$2902,S$2,0)&lt;&gt;C78,VLOOKUP($A78,'Concrete Beam Schedule'!$A$2:$Q$2902,S$2,0),"")</f>
        <v>#N/A</v>
      </c>
      <c r="T78" s="7" t="e">
        <f>IF(VLOOKUP($A78,'Concrete Beam Schedule'!$A$2:$Q$2902,T$2,0)&lt;&gt;D78,"Beam Revised","")</f>
        <v>#N/A</v>
      </c>
      <c r="U78" s="7" t="e">
        <f>IF(VLOOKUP($A78,'Concrete Beam Schedule'!$A$2:$Q$2902,U$2,0)&lt;&gt;E78,"Beam Revised","")</f>
        <v>#N/A</v>
      </c>
      <c r="V78" s="7" t="e">
        <f>IF(VLOOKUP($A78,'Concrete Beam Schedule'!$A$2:$Q$2902,V$2,0)&lt;&gt;F78,"Beam Revised","")</f>
        <v>#N/A</v>
      </c>
      <c r="W78" s="7" t="e">
        <f>IF(VLOOKUP($A78,'Concrete Beam Schedule'!$A$2:$Q$2902,W$2,0)&lt;&gt;G78,"Beam Revised","")</f>
        <v>#N/A</v>
      </c>
      <c r="X78" s="7" t="e">
        <f>IF(VLOOKUP($A78,'Concrete Beam Schedule'!$A$2:$Q$2902,X$2,0)&lt;&gt;H78,"Beam Revised","")</f>
        <v>#N/A</v>
      </c>
      <c r="Y78" s="7" t="e">
        <f>IF(VLOOKUP($A78,'Concrete Beam Schedule'!$A$2:$Q$2902,Y$2,0)&lt;&gt;I78,"Beam Revised","")</f>
        <v>#N/A</v>
      </c>
      <c r="Z78" s="7" t="e">
        <f>IF(VLOOKUP($A78,'Concrete Beam Schedule'!$A$2:$Q$2902,Z$2,0)&lt;&gt;J78,"Beam Revised","")</f>
        <v>#N/A</v>
      </c>
      <c r="AA78" s="7" t="e">
        <f>IF(VLOOKUP($A78,'Concrete Beam Schedule'!$A$2:$Q$2902,AA$2,0)&lt;&gt;K78,"Beam Revised","")</f>
        <v>#N/A</v>
      </c>
      <c r="AB78" s="7" t="e">
        <f>IF(VLOOKUP($A78,'Concrete Beam Schedule'!$A$2:$Q$2902,AB$2,0)&lt;&gt;L78,"Beam Revised","")</f>
        <v>#N/A</v>
      </c>
      <c r="AC78" s="7" t="e">
        <f>IF(VLOOKUP($A78,'Concrete Beam Schedule'!$A$2:$Q$2902,AC$2,0)&lt;&gt;M78,"Beam Revised","")</f>
        <v>#N/A</v>
      </c>
      <c r="AD78" s="7" t="e">
        <f>IF(VLOOKUP($A78,'Concrete Beam Schedule'!$A$2:$Q$2902,AD$2,0)&lt;&gt;N78,"Beam Revised","")</f>
        <v>#N/A</v>
      </c>
      <c r="AE78" s="7" t="e">
        <f>IF(VLOOKUP($A78,'Concrete Beam Schedule'!$A$2:$Q$2902,AE$2,0)&lt;&gt;O78,"Beam Revised","")</f>
        <v>#N/A</v>
      </c>
    </row>
    <row r="79" spans="1:31" ht="25.5" customHeight="1" x14ac:dyDescent="0.25">
      <c r="A79" s="17"/>
      <c r="B79" s="17"/>
      <c r="C79" s="17"/>
      <c r="D79" s="17"/>
      <c r="E79" s="17"/>
      <c r="F79" s="17"/>
      <c r="G79" s="17"/>
      <c r="H79" s="17"/>
      <c r="I79" s="17"/>
      <c r="J79" s="17"/>
      <c r="K79" s="17"/>
      <c r="L79" s="17"/>
      <c r="M79" s="17"/>
      <c r="N79" s="17"/>
      <c r="O79" s="17"/>
      <c r="Q79" s="7">
        <f t="shared" si="1"/>
        <v>0</v>
      </c>
      <c r="R79" s="7" t="e">
        <f>IF(VLOOKUP($A79,'Concrete Beam Schedule'!$A$2:$Q$2902,R$2,0)&lt;&gt;B79,VLOOKUP($A79,'Concrete Beam Schedule'!$A$2:$Q$2902,R$2,0),"")</f>
        <v>#N/A</v>
      </c>
      <c r="S79" s="7" t="e">
        <f>IF(VLOOKUP($A79,'Concrete Beam Schedule'!$A$2:$Q$2902,S$2,0)&lt;&gt;C79,VLOOKUP($A79,'Concrete Beam Schedule'!$A$2:$Q$2902,S$2,0),"")</f>
        <v>#N/A</v>
      </c>
      <c r="T79" s="7" t="e">
        <f>IF(VLOOKUP($A79,'Concrete Beam Schedule'!$A$2:$Q$2902,T$2,0)&lt;&gt;D79,"Beam Revised","")</f>
        <v>#N/A</v>
      </c>
      <c r="U79" s="7" t="e">
        <f>IF(VLOOKUP($A79,'Concrete Beam Schedule'!$A$2:$Q$2902,U$2,0)&lt;&gt;E79,"Beam Revised","")</f>
        <v>#N/A</v>
      </c>
      <c r="V79" s="7" t="e">
        <f>IF(VLOOKUP($A79,'Concrete Beam Schedule'!$A$2:$Q$2902,V$2,0)&lt;&gt;F79,"Beam Revised","")</f>
        <v>#N/A</v>
      </c>
      <c r="W79" s="7" t="e">
        <f>IF(VLOOKUP($A79,'Concrete Beam Schedule'!$A$2:$Q$2902,W$2,0)&lt;&gt;G79,"Beam Revised","")</f>
        <v>#N/A</v>
      </c>
      <c r="X79" s="7" t="e">
        <f>IF(VLOOKUP($A79,'Concrete Beam Schedule'!$A$2:$Q$2902,X$2,0)&lt;&gt;H79,"Beam Revised","")</f>
        <v>#N/A</v>
      </c>
      <c r="Y79" s="7" t="e">
        <f>IF(VLOOKUP($A79,'Concrete Beam Schedule'!$A$2:$Q$2902,Y$2,0)&lt;&gt;I79,"Beam Revised","")</f>
        <v>#N/A</v>
      </c>
      <c r="Z79" s="7" t="e">
        <f>IF(VLOOKUP($A79,'Concrete Beam Schedule'!$A$2:$Q$2902,Z$2,0)&lt;&gt;J79,"Beam Revised","")</f>
        <v>#N/A</v>
      </c>
      <c r="AA79" s="7" t="e">
        <f>IF(VLOOKUP($A79,'Concrete Beam Schedule'!$A$2:$Q$2902,AA$2,0)&lt;&gt;K79,"Beam Revised","")</f>
        <v>#N/A</v>
      </c>
      <c r="AB79" s="7" t="e">
        <f>IF(VLOOKUP($A79,'Concrete Beam Schedule'!$A$2:$Q$2902,AB$2,0)&lt;&gt;L79,"Beam Revised","")</f>
        <v>#N/A</v>
      </c>
      <c r="AC79" s="7" t="e">
        <f>IF(VLOOKUP($A79,'Concrete Beam Schedule'!$A$2:$Q$2902,AC$2,0)&lt;&gt;M79,"Beam Revised","")</f>
        <v>#N/A</v>
      </c>
      <c r="AD79" s="7" t="e">
        <f>IF(VLOOKUP($A79,'Concrete Beam Schedule'!$A$2:$Q$2902,AD$2,0)&lt;&gt;N79,"Beam Revised","")</f>
        <v>#N/A</v>
      </c>
      <c r="AE79" s="7" t="e">
        <f>IF(VLOOKUP($A79,'Concrete Beam Schedule'!$A$2:$Q$2902,AE$2,0)&lt;&gt;O79,"Beam Revised","")</f>
        <v>#N/A</v>
      </c>
    </row>
    <row r="80" spans="1:31" ht="25.5" customHeight="1" x14ac:dyDescent="0.25">
      <c r="A80" s="17"/>
      <c r="B80" s="17"/>
      <c r="C80" s="17"/>
      <c r="D80" s="17"/>
      <c r="E80" s="17"/>
      <c r="F80" s="17"/>
      <c r="G80" s="17"/>
      <c r="H80" s="17"/>
      <c r="I80" s="17"/>
      <c r="J80" s="17"/>
      <c r="K80" s="17"/>
      <c r="L80" s="17"/>
      <c r="M80" s="17"/>
      <c r="N80" s="17"/>
      <c r="O80" s="17"/>
      <c r="Q80" s="7">
        <f t="shared" si="1"/>
        <v>0</v>
      </c>
      <c r="R80" s="7" t="e">
        <f>IF(VLOOKUP($A80,'Concrete Beam Schedule'!$A$2:$Q$2902,R$2,0)&lt;&gt;B80,VLOOKUP($A80,'Concrete Beam Schedule'!$A$2:$Q$2902,R$2,0),"")</f>
        <v>#N/A</v>
      </c>
      <c r="S80" s="7" t="e">
        <f>IF(VLOOKUP($A80,'Concrete Beam Schedule'!$A$2:$Q$2902,S$2,0)&lt;&gt;C80,VLOOKUP($A80,'Concrete Beam Schedule'!$A$2:$Q$2902,S$2,0),"")</f>
        <v>#N/A</v>
      </c>
      <c r="T80" s="7" t="e">
        <f>IF(VLOOKUP($A80,'Concrete Beam Schedule'!$A$2:$Q$2902,T$2,0)&lt;&gt;D80,"Beam Revised","")</f>
        <v>#N/A</v>
      </c>
      <c r="U80" s="7" t="e">
        <f>IF(VLOOKUP($A80,'Concrete Beam Schedule'!$A$2:$Q$2902,U$2,0)&lt;&gt;E80,"Beam Revised","")</f>
        <v>#N/A</v>
      </c>
      <c r="V80" s="7" t="e">
        <f>IF(VLOOKUP($A80,'Concrete Beam Schedule'!$A$2:$Q$2902,V$2,0)&lt;&gt;F80,"Beam Revised","")</f>
        <v>#N/A</v>
      </c>
      <c r="W80" s="7" t="e">
        <f>IF(VLOOKUP($A80,'Concrete Beam Schedule'!$A$2:$Q$2902,W$2,0)&lt;&gt;G80,"Beam Revised","")</f>
        <v>#N/A</v>
      </c>
      <c r="X80" s="7" t="e">
        <f>IF(VLOOKUP($A80,'Concrete Beam Schedule'!$A$2:$Q$2902,X$2,0)&lt;&gt;H80,"Beam Revised","")</f>
        <v>#N/A</v>
      </c>
      <c r="Y80" s="7" t="e">
        <f>IF(VLOOKUP($A80,'Concrete Beam Schedule'!$A$2:$Q$2902,Y$2,0)&lt;&gt;I80,"Beam Revised","")</f>
        <v>#N/A</v>
      </c>
      <c r="Z80" s="7" t="e">
        <f>IF(VLOOKUP($A80,'Concrete Beam Schedule'!$A$2:$Q$2902,Z$2,0)&lt;&gt;J80,"Beam Revised","")</f>
        <v>#N/A</v>
      </c>
      <c r="AA80" s="7" t="e">
        <f>IF(VLOOKUP($A80,'Concrete Beam Schedule'!$A$2:$Q$2902,AA$2,0)&lt;&gt;K80,"Beam Revised","")</f>
        <v>#N/A</v>
      </c>
      <c r="AB80" s="7" t="e">
        <f>IF(VLOOKUP($A80,'Concrete Beam Schedule'!$A$2:$Q$2902,AB$2,0)&lt;&gt;L80,"Beam Revised","")</f>
        <v>#N/A</v>
      </c>
      <c r="AC80" s="7" t="e">
        <f>IF(VLOOKUP($A80,'Concrete Beam Schedule'!$A$2:$Q$2902,AC$2,0)&lt;&gt;M80,"Beam Revised","")</f>
        <v>#N/A</v>
      </c>
      <c r="AD80" s="7" t="e">
        <f>IF(VLOOKUP($A80,'Concrete Beam Schedule'!$A$2:$Q$2902,AD$2,0)&lt;&gt;N80,"Beam Revised","")</f>
        <v>#N/A</v>
      </c>
      <c r="AE80" s="7" t="e">
        <f>IF(VLOOKUP($A80,'Concrete Beam Schedule'!$A$2:$Q$2902,AE$2,0)&lt;&gt;O80,"Beam Revised","")</f>
        <v>#N/A</v>
      </c>
    </row>
    <row r="81" spans="1:31" ht="25.5" customHeight="1" x14ac:dyDescent="0.25">
      <c r="A81" s="17"/>
      <c r="B81" s="17"/>
      <c r="C81" s="17"/>
      <c r="D81" s="17"/>
      <c r="E81" s="17"/>
      <c r="F81" s="17"/>
      <c r="G81" s="17"/>
      <c r="H81" s="17"/>
      <c r="I81" s="17"/>
      <c r="J81" s="17"/>
      <c r="K81" s="17"/>
      <c r="L81" s="17"/>
      <c r="M81" s="17"/>
      <c r="N81" s="17"/>
      <c r="O81" s="17"/>
      <c r="Q81" s="7">
        <f t="shared" si="1"/>
        <v>0</v>
      </c>
      <c r="R81" s="7" t="e">
        <f>IF(VLOOKUP($A81,'Concrete Beam Schedule'!$A$2:$Q$2902,R$2,0)&lt;&gt;B81,VLOOKUP($A81,'Concrete Beam Schedule'!$A$2:$Q$2902,R$2,0),"")</f>
        <v>#N/A</v>
      </c>
      <c r="S81" s="7" t="e">
        <f>IF(VLOOKUP($A81,'Concrete Beam Schedule'!$A$2:$Q$2902,S$2,0)&lt;&gt;C81,VLOOKUP($A81,'Concrete Beam Schedule'!$A$2:$Q$2902,S$2,0),"")</f>
        <v>#N/A</v>
      </c>
      <c r="T81" s="7" t="e">
        <f>IF(VLOOKUP($A81,'Concrete Beam Schedule'!$A$2:$Q$2902,T$2,0)&lt;&gt;D81,"Beam Revised","")</f>
        <v>#N/A</v>
      </c>
      <c r="U81" s="7" t="e">
        <f>IF(VLOOKUP($A81,'Concrete Beam Schedule'!$A$2:$Q$2902,U$2,0)&lt;&gt;E81,"Beam Revised","")</f>
        <v>#N/A</v>
      </c>
      <c r="V81" s="7" t="e">
        <f>IF(VLOOKUP($A81,'Concrete Beam Schedule'!$A$2:$Q$2902,V$2,0)&lt;&gt;F81,"Beam Revised","")</f>
        <v>#N/A</v>
      </c>
      <c r="W81" s="7" t="e">
        <f>IF(VLOOKUP($A81,'Concrete Beam Schedule'!$A$2:$Q$2902,W$2,0)&lt;&gt;G81,"Beam Revised","")</f>
        <v>#N/A</v>
      </c>
      <c r="X81" s="7" t="e">
        <f>IF(VLOOKUP($A81,'Concrete Beam Schedule'!$A$2:$Q$2902,X$2,0)&lt;&gt;H81,"Beam Revised","")</f>
        <v>#N/A</v>
      </c>
      <c r="Y81" s="7" t="e">
        <f>IF(VLOOKUP($A81,'Concrete Beam Schedule'!$A$2:$Q$2902,Y$2,0)&lt;&gt;I81,"Beam Revised","")</f>
        <v>#N/A</v>
      </c>
      <c r="Z81" s="7" t="e">
        <f>IF(VLOOKUP($A81,'Concrete Beam Schedule'!$A$2:$Q$2902,Z$2,0)&lt;&gt;J81,"Beam Revised","")</f>
        <v>#N/A</v>
      </c>
      <c r="AA81" s="7" t="e">
        <f>IF(VLOOKUP($A81,'Concrete Beam Schedule'!$A$2:$Q$2902,AA$2,0)&lt;&gt;K81,"Beam Revised","")</f>
        <v>#N/A</v>
      </c>
      <c r="AB81" s="7" t="e">
        <f>IF(VLOOKUP($A81,'Concrete Beam Schedule'!$A$2:$Q$2902,AB$2,0)&lt;&gt;L81,"Beam Revised","")</f>
        <v>#N/A</v>
      </c>
      <c r="AC81" s="7" t="e">
        <f>IF(VLOOKUP($A81,'Concrete Beam Schedule'!$A$2:$Q$2902,AC$2,0)&lt;&gt;M81,"Beam Revised","")</f>
        <v>#N/A</v>
      </c>
      <c r="AD81" s="7" t="e">
        <f>IF(VLOOKUP($A81,'Concrete Beam Schedule'!$A$2:$Q$2902,AD$2,0)&lt;&gt;N81,"Beam Revised","")</f>
        <v>#N/A</v>
      </c>
      <c r="AE81" s="7" t="e">
        <f>IF(VLOOKUP($A81,'Concrete Beam Schedule'!$A$2:$Q$2902,AE$2,0)&lt;&gt;O81,"Beam Revised","")</f>
        <v>#N/A</v>
      </c>
    </row>
    <row r="82" spans="1:31" ht="25.5" customHeight="1" x14ac:dyDescent="0.25">
      <c r="A82" s="17"/>
      <c r="B82" s="17"/>
      <c r="C82" s="17"/>
      <c r="D82" s="17"/>
      <c r="E82" s="17"/>
      <c r="F82" s="17"/>
      <c r="G82" s="17"/>
      <c r="H82" s="17"/>
      <c r="I82" s="17"/>
      <c r="J82" s="17"/>
      <c r="K82" s="17"/>
      <c r="L82" s="17"/>
      <c r="M82" s="17"/>
      <c r="N82" s="17"/>
      <c r="O82" s="17"/>
      <c r="Q82" s="7">
        <f t="shared" si="1"/>
        <v>0</v>
      </c>
      <c r="R82" s="7" t="e">
        <f>IF(VLOOKUP($A82,'Concrete Beam Schedule'!$A$2:$Q$2902,R$2,0)&lt;&gt;B82,VLOOKUP($A82,'Concrete Beam Schedule'!$A$2:$Q$2902,R$2,0),"")</f>
        <v>#N/A</v>
      </c>
      <c r="S82" s="7" t="e">
        <f>IF(VLOOKUP($A82,'Concrete Beam Schedule'!$A$2:$Q$2902,S$2,0)&lt;&gt;C82,VLOOKUP($A82,'Concrete Beam Schedule'!$A$2:$Q$2902,S$2,0),"")</f>
        <v>#N/A</v>
      </c>
      <c r="T82" s="7" t="e">
        <f>IF(VLOOKUP($A82,'Concrete Beam Schedule'!$A$2:$Q$2902,T$2,0)&lt;&gt;D82,"Beam Revised","")</f>
        <v>#N/A</v>
      </c>
      <c r="U82" s="7" t="e">
        <f>IF(VLOOKUP($A82,'Concrete Beam Schedule'!$A$2:$Q$2902,U$2,0)&lt;&gt;E82,"Beam Revised","")</f>
        <v>#N/A</v>
      </c>
      <c r="V82" s="7" t="e">
        <f>IF(VLOOKUP($A82,'Concrete Beam Schedule'!$A$2:$Q$2902,V$2,0)&lt;&gt;F82,"Beam Revised","")</f>
        <v>#N/A</v>
      </c>
      <c r="W82" s="7" t="e">
        <f>IF(VLOOKUP($A82,'Concrete Beam Schedule'!$A$2:$Q$2902,W$2,0)&lt;&gt;G82,"Beam Revised","")</f>
        <v>#N/A</v>
      </c>
      <c r="X82" s="7" t="e">
        <f>IF(VLOOKUP($A82,'Concrete Beam Schedule'!$A$2:$Q$2902,X$2,0)&lt;&gt;H82,"Beam Revised","")</f>
        <v>#N/A</v>
      </c>
      <c r="Y82" s="7" t="e">
        <f>IF(VLOOKUP($A82,'Concrete Beam Schedule'!$A$2:$Q$2902,Y$2,0)&lt;&gt;I82,"Beam Revised","")</f>
        <v>#N/A</v>
      </c>
      <c r="Z82" s="7" t="e">
        <f>IF(VLOOKUP($A82,'Concrete Beam Schedule'!$A$2:$Q$2902,Z$2,0)&lt;&gt;J82,"Beam Revised","")</f>
        <v>#N/A</v>
      </c>
      <c r="AA82" s="7" t="e">
        <f>IF(VLOOKUP($A82,'Concrete Beam Schedule'!$A$2:$Q$2902,AA$2,0)&lt;&gt;K82,"Beam Revised","")</f>
        <v>#N/A</v>
      </c>
      <c r="AB82" s="7" t="e">
        <f>IF(VLOOKUP($A82,'Concrete Beam Schedule'!$A$2:$Q$2902,AB$2,0)&lt;&gt;L82,"Beam Revised","")</f>
        <v>#N/A</v>
      </c>
      <c r="AC82" s="7" t="e">
        <f>IF(VLOOKUP($A82,'Concrete Beam Schedule'!$A$2:$Q$2902,AC$2,0)&lt;&gt;M82,"Beam Revised","")</f>
        <v>#N/A</v>
      </c>
      <c r="AD82" s="7" t="e">
        <f>IF(VLOOKUP($A82,'Concrete Beam Schedule'!$A$2:$Q$2902,AD$2,0)&lt;&gt;N82,"Beam Revised","")</f>
        <v>#N/A</v>
      </c>
      <c r="AE82" s="7" t="e">
        <f>IF(VLOOKUP($A82,'Concrete Beam Schedule'!$A$2:$Q$2902,AE$2,0)&lt;&gt;O82,"Beam Revised","")</f>
        <v>#N/A</v>
      </c>
    </row>
    <row r="83" spans="1:31" ht="25.5" customHeight="1" x14ac:dyDescent="0.25">
      <c r="A83" s="17"/>
      <c r="B83" s="17"/>
      <c r="C83" s="17"/>
      <c r="D83" s="17"/>
      <c r="E83" s="17"/>
      <c r="F83" s="17"/>
      <c r="G83" s="17"/>
      <c r="H83" s="17"/>
      <c r="I83" s="17"/>
      <c r="J83" s="17"/>
      <c r="K83" s="17"/>
      <c r="L83" s="17"/>
      <c r="M83" s="17"/>
      <c r="N83" s="17"/>
      <c r="O83" s="17"/>
      <c r="Q83" s="7">
        <f t="shared" si="1"/>
        <v>0</v>
      </c>
      <c r="R83" s="7" t="e">
        <f>IF(VLOOKUP($A83,'Concrete Beam Schedule'!$A$2:$Q$2902,R$2,0)&lt;&gt;B83,VLOOKUP($A83,'Concrete Beam Schedule'!$A$2:$Q$2902,R$2,0),"")</f>
        <v>#N/A</v>
      </c>
      <c r="S83" s="7" t="e">
        <f>IF(VLOOKUP($A83,'Concrete Beam Schedule'!$A$2:$Q$2902,S$2,0)&lt;&gt;C83,VLOOKUP($A83,'Concrete Beam Schedule'!$A$2:$Q$2902,S$2,0),"")</f>
        <v>#N/A</v>
      </c>
      <c r="T83" s="7" t="e">
        <f>IF(VLOOKUP($A83,'Concrete Beam Schedule'!$A$2:$Q$2902,T$2,0)&lt;&gt;D83,"Beam Revised","")</f>
        <v>#N/A</v>
      </c>
      <c r="U83" s="7" t="e">
        <f>IF(VLOOKUP($A83,'Concrete Beam Schedule'!$A$2:$Q$2902,U$2,0)&lt;&gt;E83,"Beam Revised","")</f>
        <v>#N/A</v>
      </c>
      <c r="V83" s="7" t="e">
        <f>IF(VLOOKUP($A83,'Concrete Beam Schedule'!$A$2:$Q$2902,V$2,0)&lt;&gt;F83,"Beam Revised","")</f>
        <v>#N/A</v>
      </c>
      <c r="W83" s="7" t="e">
        <f>IF(VLOOKUP($A83,'Concrete Beam Schedule'!$A$2:$Q$2902,W$2,0)&lt;&gt;G83,"Beam Revised","")</f>
        <v>#N/A</v>
      </c>
      <c r="X83" s="7" t="e">
        <f>IF(VLOOKUP($A83,'Concrete Beam Schedule'!$A$2:$Q$2902,X$2,0)&lt;&gt;H83,"Beam Revised","")</f>
        <v>#N/A</v>
      </c>
      <c r="Y83" s="7" t="e">
        <f>IF(VLOOKUP($A83,'Concrete Beam Schedule'!$A$2:$Q$2902,Y$2,0)&lt;&gt;I83,"Beam Revised","")</f>
        <v>#N/A</v>
      </c>
      <c r="Z83" s="7" t="e">
        <f>IF(VLOOKUP($A83,'Concrete Beam Schedule'!$A$2:$Q$2902,Z$2,0)&lt;&gt;J83,"Beam Revised","")</f>
        <v>#N/A</v>
      </c>
      <c r="AA83" s="7" t="e">
        <f>IF(VLOOKUP($A83,'Concrete Beam Schedule'!$A$2:$Q$2902,AA$2,0)&lt;&gt;K83,"Beam Revised","")</f>
        <v>#N/A</v>
      </c>
      <c r="AB83" s="7" t="e">
        <f>IF(VLOOKUP($A83,'Concrete Beam Schedule'!$A$2:$Q$2902,AB$2,0)&lt;&gt;L83,"Beam Revised","")</f>
        <v>#N/A</v>
      </c>
      <c r="AC83" s="7" t="e">
        <f>IF(VLOOKUP($A83,'Concrete Beam Schedule'!$A$2:$Q$2902,AC$2,0)&lt;&gt;M83,"Beam Revised","")</f>
        <v>#N/A</v>
      </c>
      <c r="AD83" s="7" t="e">
        <f>IF(VLOOKUP($A83,'Concrete Beam Schedule'!$A$2:$Q$2902,AD$2,0)&lt;&gt;N83,"Beam Revised","")</f>
        <v>#N/A</v>
      </c>
      <c r="AE83" s="7" t="e">
        <f>IF(VLOOKUP($A83,'Concrete Beam Schedule'!$A$2:$Q$2902,AE$2,0)&lt;&gt;O83,"Beam Revised","")</f>
        <v>#N/A</v>
      </c>
    </row>
    <row r="84" spans="1:31" ht="25.5" customHeight="1" x14ac:dyDescent="0.25">
      <c r="A84" s="17"/>
      <c r="B84" s="17"/>
      <c r="C84" s="17"/>
      <c r="D84" s="17"/>
      <c r="E84" s="17"/>
      <c r="F84" s="17"/>
      <c r="G84" s="17"/>
      <c r="H84" s="17"/>
      <c r="I84" s="17"/>
      <c r="J84" s="17"/>
      <c r="K84" s="17"/>
      <c r="L84" s="17"/>
      <c r="M84" s="17"/>
      <c r="N84" s="17"/>
      <c r="O84" s="17"/>
      <c r="Q84" s="7">
        <f t="shared" si="1"/>
        <v>0</v>
      </c>
      <c r="R84" s="7" t="e">
        <f>IF(VLOOKUP($A84,'Concrete Beam Schedule'!$A$2:$Q$2902,R$2,0)&lt;&gt;B84,VLOOKUP($A84,'Concrete Beam Schedule'!$A$2:$Q$2902,R$2,0),"")</f>
        <v>#N/A</v>
      </c>
      <c r="S84" s="7" t="e">
        <f>IF(VLOOKUP($A84,'Concrete Beam Schedule'!$A$2:$Q$2902,S$2,0)&lt;&gt;C84,VLOOKUP($A84,'Concrete Beam Schedule'!$A$2:$Q$2902,S$2,0),"")</f>
        <v>#N/A</v>
      </c>
      <c r="T84" s="7" t="e">
        <f>IF(VLOOKUP($A84,'Concrete Beam Schedule'!$A$2:$Q$2902,T$2,0)&lt;&gt;D84,"Beam Revised","")</f>
        <v>#N/A</v>
      </c>
      <c r="U84" s="7" t="e">
        <f>IF(VLOOKUP($A84,'Concrete Beam Schedule'!$A$2:$Q$2902,U$2,0)&lt;&gt;E84,"Beam Revised","")</f>
        <v>#N/A</v>
      </c>
      <c r="V84" s="7" t="e">
        <f>IF(VLOOKUP($A84,'Concrete Beam Schedule'!$A$2:$Q$2902,V$2,0)&lt;&gt;F84,"Beam Revised","")</f>
        <v>#N/A</v>
      </c>
      <c r="W84" s="7" t="e">
        <f>IF(VLOOKUP($A84,'Concrete Beam Schedule'!$A$2:$Q$2902,W$2,0)&lt;&gt;G84,"Beam Revised","")</f>
        <v>#N/A</v>
      </c>
      <c r="X84" s="7" t="e">
        <f>IF(VLOOKUP($A84,'Concrete Beam Schedule'!$A$2:$Q$2902,X$2,0)&lt;&gt;H84,"Beam Revised","")</f>
        <v>#N/A</v>
      </c>
      <c r="Y84" s="7" t="e">
        <f>IF(VLOOKUP($A84,'Concrete Beam Schedule'!$A$2:$Q$2902,Y$2,0)&lt;&gt;I84,"Beam Revised","")</f>
        <v>#N/A</v>
      </c>
      <c r="Z84" s="7" t="e">
        <f>IF(VLOOKUP($A84,'Concrete Beam Schedule'!$A$2:$Q$2902,Z$2,0)&lt;&gt;J84,"Beam Revised","")</f>
        <v>#N/A</v>
      </c>
      <c r="AA84" s="7" t="e">
        <f>IF(VLOOKUP($A84,'Concrete Beam Schedule'!$A$2:$Q$2902,AA$2,0)&lt;&gt;K84,"Beam Revised","")</f>
        <v>#N/A</v>
      </c>
      <c r="AB84" s="7" t="e">
        <f>IF(VLOOKUP($A84,'Concrete Beam Schedule'!$A$2:$Q$2902,AB$2,0)&lt;&gt;L84,"Beam Revised","")</f>
        <v>#N/A</v>
      </c>
      <c r="AC84" s="7" t="e">
        <f>IF(VLOOKUP($A84,'Concrete Beam Schedule'!$A$2:$Q$2902,AC$2,0)&lt;&gt;M84,"Beam Revised","")</f>
        <v>#N/A</v>
      </c>
      <c r="AD84" s="7" t="e">
        <f>IF(VLOOKUP($A84,'Concrete Beam Schedule'!$A$2:$Q$2902,AD$2,0)&lt;&gt;N84,"Beam Revised","")</f>
        <v>#N/A</v>
      </c>
      <c r="AE84" s="7" t="e">
        <f>IF(VLOOKUP($A84,'Concrete Beam Schedule'!$A$2:$Q$2902,AE$2,0)&lt;&gt;O84,"Beam Revised","")</f>
        <v>#N/A</v>
      </c>
    </row>
    <row r="85" spans="1:31" ht="25.5" customHeight="1" x14ac:dyDescent="0.25">
      <c r="A85" s="17"/>
      <c r="B85" s="17"/>
      <c r="C85" s="17"/>
      <c r="D85" s="17"/>
      <c r="E85" s="17"/>
      <c r="F85" s="17"/>
      <c r="G85" s="17"/>
      <c r="H85" s="17"/>
      <c r="I85" s="17"/>
      <c r="J85" s="17"/>
      <c r="K85" s="17"/>
      <c r="L85" s="17"/>
      <c r="M85" s="17"/>
      <c r="N85" s="17"/>
      <c r="O85" s="17"/>
      <c r="Q85" s="7">
        <f t="shared" si="1"/>
        <v>0</v>
      </c>
      <c r="R85" s="7" t="e">
        <f>IF(VLOOKUP($A85,'Concrete Beam Schedule'!$A$2:$Q$2902,R$2,0)&lt;&gt;B85,VLOOKUP($A85,'Concrete Beam Schedule'!$A$2:$Q$2902,R$2,0),"")</f>
        <v>#N/A</v>
      </c>
      <c r="S85" s="7" t="e">
        <f>IF(VLOOKUP($A85,'Concrete Beam Schedule'!$A$2:$Q$2902,S$2,0)&lt;&gt;C85,VLOOKUP($A85,'Concrete Beam Schedule'!$A$2:$Q$2902,S$2,0),"")</f>
        <v>#N/A</v>
      </c>
      <c r="T85" s="7" t="e">
        <f>IF(VLOOKUP($A85,'Concrete Beam Schedule'!$A$2:$Q$2902,T$2,0)&lt;&gt;D85,"Beam Revised","")</f>
        <v>#N/A</v>
      </c>
      <c r="U85" s="7" t="e">
        <f>IF(VLOOKUP($A85,'Concrete Beam Schedule'!$A$2:$Q$2902,U$2,0)&lt;&gt;E85,"Beam Revised","")</f>
        <v>#N/A</v>
      </c>
      <c r="V85" s="7" t="e">
        <f>IF(VLOOKUP($A85,'Concrete Beam Schedule'!$A$2:$Q$2902,V$2,0)&lt;&gt;F85,"Beam Revised","")</f>
        <v>#N/A</v>
      </c>
      <c r="W85" s="7" t="e">
        <f>IF(VLOOKUP($A85,'Concrete Beam Schedule'!$A$2:$Q$2902,W$2,0)&lt;&gt;G85,"Beam Revised","")</f>
        <v>#N/A</v>
      </c>
      <c r="X85" s="7" t="e">
        <f>IF(VLOOKUP($A85,'Concrete Beam Schedule'!$A$2:$Q$2902,X$2,0)&lt;&gt;H85,"Beam Revised","")</f>
        <v>#N/A</v>
      </c>
      <c r="Y85" s="7" t="e">
        <f>IF(VLOOKUP($A85,'Concrete Beam Schedule'!$A$2:$Q$2902,Y$2,0)&lt;&gt;I85,"Beam Revised","")</f>
        <v>#N/A</v>
      </c>
      <c r="Z85" s="7" t="e">
        <f>IF(VLOOKUP($A85,'Concrete Beam Schedule'!$A$2:$Q$2902,Z$2,0)&lt;&gt;J85,"Beam Revised","")</f>
        <v>#N/A</v>
      </c>
      <c r="AA85" s="7" t="e">
        <f>IF(VLOOKUP($A85,'Concrete Beam Schedule'!$A$2:$Q$2902,AA$2,0)&lt;&gt;K85,"Beam Revised","")</f>
        <v>#N/A</v>
      </c>
      <c r="AB85" s="7" t="e">
        <f>IF(VLOOKUP($A85,'Concrete Beam Schedule'!$A$2:$Q$2902,AB$2,0)&lt;&gt;L85,"Beam Revised","")</f>
        <v>#N/A</v>
      </c>
      <c r="AC85" s="7" t="e">
        <f>IF(VLOOKUP($A85,'Concrete Beam Schedule'!$A$2:$Q$2902,AC$2,0)&lt;&gt;M85,"Beam Revised","")</f>
        <v>#N/A</v>
      </c>
      <c r="AD85" s="7" t="e">
        <f>IF(VLOOKUP($A85,'Concrete Beam Schedule'!$A$2:$Q$2902,AD$2,0)&lt;&gt;N85,"Beam Revised","")</f>
        <v>#N/A</v>
      </c>
      <c r="AE85" s="7" t="e">
        <f>IF(VLOOKUP($A85,'Concrete Beam Schedule'!$A$2:$Q$2902,AE$2,0)&lt;&gt;O85,"Beam Revised","")</f>
        <v>#N/A</v>
      </c>
    </row>
    <row r="86" spans="1:31" ht="25.5" customHeight="1" x14ac:dyDescent="0.25">
      <c r="A86" s="17"/>
      <c r="B86" s="17"/>
      <c r="C86" s="17"/>
      <c r="D86" s="17"/>
      <c r="E86" s="17"/>
      <c r="F86" s="17"/>
      <c r="G86" s="17"/>
      <c r="H86" s="17"/>
      <c r="I86" s="17"/>
      <c r="J86" s="17"/>
      <c r="K86" s="17"/>
      <c r="L86" s="17"/>
      <c r="M86" s="17"/>
      <c r="N86" s="17"/>
      <c r="O86" s="17"/>
      <c r="Q86" s="7">
        <f t="shared" si="1"/>
        <v>0</v>
      </c>
      <c r="R86" s="7" t="e">
        <f>IF(VLOOKUP($A86,'Concrete Beam Schedule'!$A$2:$Q$2902,R$2,0)&lt;&gt;B86,VLOOKUP($A86,'Concrete Beam Schedule'!$A$2:$Q$2902,R$2,0),"")</f>
        <v>#N/A</v>
      </c>
      <c r="S86" s="7" t="e">
        <f>IF(VLOOKUP($A86,'Concrete Beam Schedule'!$A$2:$Q$2902,S$2,0)&lt;&gt;C86,VLOOKUP($A86,'Concrete Beam Schedule'!$A$2:$Q$2902,S$2,0),"")</f>
        <v>#N/A</v>
      </c>
      <c r="T86" s="7" t="e">
        <f>IF(VLOOKUP($A86,'Concrete Beam Schedule'!$A$2:$Q$2902,T$2,0)&lt;&gt;D86,"Beam Revised","")</f>
        <v>#N/A</v>
      </c>
      <c r="U86" s="7" t="e">
        <f>IF(VLOOKUP($A86,'Concrete Beam Schedule'!$A$2:$Q$2902,U$2,0)&lt;&gt;E86,"Beam Revised","")</f>
        <v>#N/A</v>
      </c>
      <c r="V86" s="7" t="e">
        <f>IF(VLOOKUP($A86,'Concrete Beam Schedule'!$A$2:$Q$2902,V$2,0)&lt;&gt;F86,"Beam Revised","")</f>
        <v>#N/A</v>
      </c>
      <c r="W86" s="7" t="e">
        <f>IF(VLOOKUP($A86,'Concrete Beam Schedule'!$A$2:$Q$2902,W$2,0)&lt;&gt;G86,"Beam Revised","")</f>
        <v>#N/A</v>
      </c>
      <c r="X86" s="7" t="e">
        <f>IF(VLOOKUP($A86,'Concrete Beam Schedule'!$A$2:$Q$2902,X$2,0)&lt;&gt;H86,"Beam Revised","")</f>
        <v>#N/A</v>
      </c>
      <c r="Y86" s="7" t="e">
        <f>IF(VLOOKUP($A86,'Concrete Beam Schedule'!$A$2:$Q$2902,Y$2,0)&lt;&gt;I86,"Beam Revised","")</f>
        <v>#N/A</v>
      </c>
      <c r="Z86" s="7" t="e">
        <f>IF(VLOOKUP($A86,'Concrete Beam Schedule'!$A$2:$Q$2902,Z$2,0)&lt;&gt;J86,"Beam Revised","")</f>
        <v>#N/A</v>
      </c>
      <c r="AA86" s="7" t="e">
        <f>IF(VLOOKUP($A86,'Concrete Beam Schedule'!$A$2:$Q$2902,AA$2,0)&lt;&gt;K86,"Beam Revised","")</f>
        <v>#N/A</v>
      </c>
      <c r="AB86" s="7" t="e">
        <f>IF(VLOOKUP($A86,'Concrete Beam Schedule'!$A$2:$Q$2902,AB$2,0)&lt;&gt;L86,"Beam Revised","")</f>
        <v>#N/A</v>
      </c>
      <c r="AC86" s="7" t="e">
        <f>IF(VLOOKUP($A86,'Concrete Beam Schedule'!$A$2:$Q$2902,AC$2,0)&lt;&gt;M86,"Beam Revised","")</f>
        <v>#N/A</v>
      </c>
      <c r="AD86" s="7" t="e">
        <f>IF(VLOOKUP($A86,'Concrete Beam Schedule'!$A$2:$Q$2902,AD$2,0)&lt;&gt;N86,"Beam Revised","")</f>
        <v>#N/A</v>
      </c>
      <c r="AE86" s="7" t="e">
        <f>IF(VLOOKUP($A86,'Concrete Beam Schedule'!$A$2:$Q$2902,AE$2,0)&lt;&gt;O86,"Beam Revised","")</f>
        <v>#N/A</v>
      </c>
    </row>
    <row r="87" spans="1:31" ht="25.5" customHeight="1" x14ac:dyDescent="0.25">
      <c r="A87" s="17"/>
      <c r="B87" s="17"/>
      <c r="C87" s="17"/>
      <c r="D87" s="17"/>
      <c r="E87" s="17"/>
      <c r="F87" s="17"/>
      <c r="G87" s="17"/>
      <c r="H87" s="17"/>
      <c r="I87" s="17"/>
      <c r="J87" s="17"/>
      <c r="K87" s="17"/>
      <c r="L87" s="17"/>
      <c r="M87" s="17"/>
      <c r="N87" s="17"/>
      <c r="O87" s="17"/>
      <c r="Q87" s="7">
        <f t="shared" si="1"/>
        <v>0</v>
      </c>
      <c r="R87" s="7" t="e">
        <f>IF(VLOOKUP($A87,'Concrete Beam Schedule'!$A$2:$Q$2902,R$2,0)&lt;&gt;B87,VLOOKUP($A87,'Concrete Beam Schedule'!$A$2:$Q$2902,R$2,0),"")</f>
        <v>#N/A</v>
      </c>
      <c r="S87" s="7" t="e">
        <f>IF(VLOOKUP($A87,'Concrete Beam Schedule'!$A$2:$Q$2902,S$2,0)&lt;&gt;C87,VLOOKUP($A87,'Concrete Beam Schedule'!$A$2:$Q$2902,S$2,0),"")</f>
        <v>#N/A</v>
      </c>
      <c r="T87" s="7" t="e">
        <f>IF(VLOOKUP($A87,'Concrete Beam Schedule'!$A$2:$Q$2902,T$2,0)&lt;&gt;D87,"Beam Revised","")</f>
        <v>#N/A</v>
      </c>
      <c r="U87" s="7" t="e">
        <f>IF(VLOOKUP($A87,'Concrete Beam Schedule'!$A$2:$Q$2902,U$2,0)&lt;&gt;E87,"Beam Revised","")</f>
        <v>#N/A</v>
      </c>
      <c r="V87" s="7" t="e">
        <f>IF(VLOOKUP($A87,'Concrete Beam Schedule'!$A$2:$Q$2902,V$2,0)&lt;&gt;F87,"Beam Revised","")</f>
        <v>#N/A</v>
      </c>
      <c r="W87" s="7" t="e">
        <f>IF(VLOOKUP($A87,'Concrete Beam Schedule'!$A$2:$Q$2902,W$2,0)&lt;&gt;G87,"Beam Revised","")</f>
        <v>#N/A</v>
      </c>
      <c r="X87" s="7" t="e">
        <f>IF(VLOOKUP($A87,'Concrete Beam Schedule'!$A$2:$Q$2902,X$2,0)&lt;&gt;H87,"Beam Revised","")</f>
        <v>#N/A</v>
      </c>
      <c r="Y87" s="7" t="e">
        <f>IF(VLOOKUP($A87,'Concrete Beam Schedule'!$A$2:$Q$2902,Y$2,0)&lt;&gt;I87,"Beam Revised","")</f>
        <v>#N/A</v>
      </c>
      <c r="Z87" s="7" t="e">
        <f>IF(VLOOKUP($A87,'Concrete Beam Schedule'!$A$2:$Q$2902,Z$2,0)&lt;&gt;J87,"Beam Revised","")</f>
        <v>#N/A</v>
      </c>
      <c r="AA87" s="7" t="e">
        <f>IF(VLOOKUP($A87,'Concrete Beam Schedule'!$A$2:$Q$2902,AA$2,0)&lt;&gt;K87,"Beam Revised","")</f>
        <v>#N/A</v>
      </c>
      <c r="AB87" s="7" t="e">
        <f>IF(VLOOKUP($A87,'Concrete Beam Schedule'!$A$2:$Q$2902,AB$2,0)&lt;&gt;L87,"Beam Revised","")</f>
        <v>#N/A</v>
      </c>
      <c r="AC87" s="7" t="e">
        <f>IF(VLOOKUP($A87,'Concrete Beam Schedule'!$A$2:$Q$2902,AC$2,0)&lt;&gt;M87,"Beam Revised","")</f>
        <v>#N/A</v>
      </c>
      <c r="AD87" s="7" t="e">
        <f>IF(VLOOKUP($A87,'Concrete Beam Schedule'!$A$2:$Q$2902,AD$2,0)&lt;&gt;N87,"Beam Revised","")</f>
        <v>#N/A</v>
      </c>
      <c r="AE87" s="7" t="e">
        <f>IF(VLOOKUP($A87,'Concrete Beam Schedule'!$A$2:$Q$2902,AE$2,0)&lt;&gt;O87,"Beam Revised","")</f>
        <v>#N/A</v>
      </c>
    </row>
    <row r="88" spans="1:31" ht="25.5" customHeight="1" x14ac:dyDescent="0.25">
      <c r="A88" s="17"/>
      <c r="B88" s="17"/>
      <c r="C88" s="17"/>
      <c r="D88" s="17"/>
      <c r="E88" s="17"/>
      <c r="F88" s="17"/>
      <c r="G88" s="17"/>
      <c r="H88" s="17"/>
      <c r="I88" s="17"/>
      <c r="J88" s="17"/>
      <c r="K88" s="17"/>
      <c r="L88" s="17"/>
      <c r="M88" s="17"/>
      <c r="N88" s="17"/>
      <c r="O88" s="17"/>
      <c r="Q88" s="7">
        <f t="shared" si="1"/>
        <v>0</v>
      </c>
      <c r="R88" s="7" t="e">
        <f>IF(VLOOKUP($A88,'Concrete Beam Schedule'!$A$2:$Q$2902,R$2,0)&lt;&gt;B88,VLOOKUP($A88,'Concrete Beam Schedule'!$A$2:$Q$2902,R$2,0),"")</f>
        <v>#N/A</v>
      </c>
      <c r="S88" s="7" t="e">
        <f>IF(VLOOKUP($A88,'Concrete Beam Schedule'!$A$2:$Q$2902,S$2,0)&lt;&gt;C88,VLOOKUP($A88,'Concrete Beam Schedule'!$A$2:$Q$2902,S$2,0),"")</f>
        <v>#N/A</v>
      </c>
      <c r="T88" s="7" t="e">
        <f>IF(VLOOKUP($A88,'Concrete Beam Schedule'!$A$2:$Q$2902,T$2,0)&lt;&gt;D88,"Beam Revised","")</f>
        <v>#N/A</v>
      </c>
      <c r="U88" s="7" t="e">
        <f>IF(VLOOKUP($A88,'Concrete Beam Schedule'!$A$2:$Q$2902,U$2,0)&lt;&gt;E88,"Beam Revised","")</f>
        <v>#N/A</v>
      </c>
      <c r="V88" s="7" t="e">
        <f>IF(VLOOKUP($A88,'Concrete Beam Schedule'!$A$2:$Q$2902,V$2,0)&lt;&gt;F88,"Beam Revised","")</f>
        <v>#N/A</v>
      </c>
      <c r="W88" s="7" t="e">
        <f>IF(VLOOKUP($A88,'Concrete Beam Schedule'!$A$2:$Q$2902,W$2,0)&lt;&gt;G88,"Beam Revised","")</f>
        <v>#N/A</v>
      </c>
      <c r="X88" s="7" t="e">
        <f>IF(VLOOKUP($A88,'Concrete Beam Schedule'!$A$2:$Q$2902,X$2,0)&lt;&gt;H88,"Beam Revised","")</f>
        <v>#N/A</v>
      </c>
      <c r="Y88" s="7" t="e">
        <f>IF(VLOOKUP($A88,'Concrete Beam Schedule'!$A$2:$Q$2902,Y$2,0)&lt;&gt;I88,"Beam Revised","")</f>
        <v>#N/A</v>
      </c>
      <c r="Z88" s="7" t="e">
        <f>IF(VLOOKUP($A88,'Concrete Beam Schedule'!$A$2:$Q$2902,Z$2,0)&lt;&gt;J88,"Beam Revised","")</f>
        <v>#N/A</v>
      </c>
      <c r="AA88" s="7" t="e">
        <f>IF(VLOOKUP($A88,'Concrete Beam Schedule'!$A$2:$Q$2902,AA$2,0)&lt;&gt;K88,"Beam Revised","")</f>
        <v>#N/A</v>
      </c>
      <c r="AB88" s="7" t="e">
        <f>IF(VLOOKUP($A88,'Concrete Beam Schedule'!$A$2:$Q$2902,AB$2,0)&lt;&gt;L88,"Beam Revised","")</f>
        <v>#N/A</v>
      </c>
      <c r="AC88" s="7" t="e">
        <f>IF(VLOOKUP($A88,'Concrete Beam Schedule'!$A$2:$Q$2902,AC$2,0)&lt;&gt;M88,"Beam Revised","")</f>
        <v>#N/A</v>
      </c>
      <c r="AD88" s="7" t="e">
        <f>IF(VLOOKUP($A88,'Concrete Beam Schedule'!$A$2:$Q$2902,AD$2,0)&lt;&gt;N88,"Beam Revised","")</f>
        <v>#N/A</v>
      </c>
      <c r="AE88" s="7" t="e">
        <f>IF(VLOOKUP($A88,'Concrete Beam Schedule'!$A$2:$Q$2902,AE$2,0)&lt;&gt;O88,"Beam Revised","")</f>
        <v>#N/A</v>
      </c>
    </row>
    <row r="89" spans="1:31" ht="25.5" customHeight="1" x14ac:dyDescent="0.25">
      <c r="A89" s="17"/>
      <c r="B89" s="17"/>
      <c r="C89" s="17"/>
      <c r="D89" s="17"/>
      <c r="E89" s="17"/>
      <c r="F89" s="17"/>
      <c r="G89" s="17"/>
      <c r="H89" s="17"/>
      <c r="I89" s="17"/>
      <c r="J89" s="17"/>
      <c r="K89" s="17"/>
      <c r="L89" s="17"/>
      <c r="M89" s="17"/>
      <c r="N89" s="17"/>
      <c r="O89" s="17"/>
      <c r="Q89" s="7">
        <f t="shared" si="1"/>
        <v>0</v>
      </c>
      <c r="R89" s="7" t="e">
        <f>IF(VLOOKUP($A89,'Concrete Beam Schedule'!$A$2:$Q$2902,R$2,0)&lt;&gt;B89,VLOOKUP($A89,'Concrete Beam Schedule'!$A$2:$Q$2902,R$2,0),"")</f>
        <v>#N/A</v>
      </c>
      <c r="S89" s="7" t="e">
        <f>IF(VLOOKUP($A89,'Concrete Beam Schedule'!$A$2:$Q$2902,S$2,0)&lt;&gt;C89,VLOOKUP($A89,'Concrete Beam Schedule'!$A$2:$Q$2902,S$2,0),"")</f>
        <v>#N/A</v>
      </c>
      <c r="T89" s="7" t="e">
        <f>IF(VLOOKUP($A89,'Concrete Beam Schedule'!$A$2:$Q$2902,T$2,0)&lt;&gt;D89,"Beam Revised","")</f>
        <v>#N/A</v>
      </c>
      <c r="U89" s="7" t="e">
        <f>IF(VLOOKUP($A89,'Concrete Beam Schedule'!$A$2:$Q$2902,U$2,0)&lt;&gt;E89,"Beam Revised","")</f>
        <v>#N/A</v>
      </c>
      <c r="V89" s="7" t="e">
        <f>IF(VLOOKUP($A89,'Concrete Beam Schedule'!$A$2:$Q$2902,V$2,0)&lt;&gt;F89,"Beam Revised","")</f>
        <v>#N/A</v>
      </c>
      <c r="W89" s="7" t="e">
        <f>IF(VLOOKUP($A89,'Concrete Beam Schedule'!$A$2:$Q$2902,W$2,0)&lt;&gt;G89,"Beam Revised","")</f>
        <v>#N/A</v>
      </c>
      <c r="X89" s="7" t="e">
        <f>IF(VLOOKUP($A89,'Concrete Beam Schedule'!$A$2:$Q$2902,X$2,0)&lt;&gt;H89,"Beam Revised","")</f>
        <v>#N/A</v>
      </c>
      <c r="Y89" s="7" t="e">
        <f>IF(VLOOKUP($A89,'Concrete Beam Schedule'!$A$2:$Q$2902,Y$2,0)&lt;&gt;I89,"Beam Revised","")</f>
        <v>#N/A</v>
      </c>
      <c r="Z89" s="7" t="e">
        <f>IF(VLOOKUP($A89,'Concrete Beam Schedule'!$A$2:$Q$2902,Z$2,0)&lt;&gt;J89,"Beam Revised","")</f>
        <v>#N/A</v>
      </c>
      <c r="AA89" s="7" t="e">
        <f>IF(VLOOKUP($A89,'Concrete Beam Schedule'!$A$2:$Q$2902,AA$2,0)&lt;&gt;K89,"Beam Revised","")</f>
        <v>#N/A</v>
      </c>
      <c r="AB89" s="7" t="e">
        <f>IF(VLOOKUP($A89,'Concrete Beam Schedule'!$A$2:$Q$2902,AB$2,0)&lt;&gt;L89,"Beam Revised","")</f>
        <v>#N/A</v>
      </c>
      <c r="AC89" s="7" t="e">
        <f>IF(VLOOKUP($A89,'Concrete Beam Schedule'!$A$2:$Q$2902,AC$2,0)&lt;&gt;M89,"Beam Revised","")</f>
        <v>#N/A</v>
      </c>
      <c r="AD89" s="7" t="e">
        <f>IF(VLOOKUP($A89,'Concrete Beam Schedule'!$A$2:$Q$2902,AD$2,0)&lt;&gt;N89,"Beam Revised","")</f>
        <v>#N/A</v>
      </c>
      <c r="AE89" s="7" t="e">
        <f>IF(VLOOKUP($A89,'Concrete Beam Schedule'!$A$2:$Q$2902,AE$2,0)&lt;&gt;O89,"Beam Revised","")</f>
        <v>#N/A</v>
      </c>
    </row>
    <row r="90" spans="1:31" ht="25.5" customHeight="1" x14ac:dyDescent="0.25">
      <c r="A90" s="17"/>
      <c r="B90" s="17"/>
      <c r="C90" s="17"/>
      <c r="D90" s="17"/>
      <c r="E90" s="17"/>
      <c r="F90" s="17"/>
      <c r="G90" s="17"/>
      <c r="H90" s="17"/>
      <c r="I90" s="17"/>
      <c r="J90" s="17"/>
      <c r="K90" s="17"/>
      <c r="L90" s="17"/>
      <c r="M90" s="17"/>
      <c r="N90" s="17"/>
      <c r="O90" s="17"/>
      <c r="Q90" s="7">
        <f t="shared" si="1"/>
        <v>0</v>
      </c>
      <c r="R90" s="7" t="e">
        <f>IF(VLOOKUP($A90,'Concrete Beam Schedule'!$A$2:$Q$2902,R$2,0)&lt;&gt;B90,VLOOKUP($A90,'Concrete Beam Schedule'!$A$2:$Q$2902,R$2,0),"")</f>
        <v>#N/A</v>
      </c>
      <c r="S90" s="7" t="e">
        <f>IF(VLOOKUP($A90,'Concrete Beam Schedule'!$A$2:$Q$2902,S$2,0)&lt;&gt;C90,VLOOKUP($A90,'Concrete Beam Schedule'!$A$2:$Q$2902,S$2,0),"")</f>
        <v>#N/A</v>
      </c>
      <c r="T90" s="7" t="e">
        <f>IF(VLOOKUP($A90,'Concrete Beam Schedule'!$A$2:$Q$2902,T$2,0)&lt;&gt;D90,"Beam Revised","")</f>
        <v>#N/A</v>
      </c>
      <c r="U90" s="7" t="e">
        <f>IF(VLOOKUP($A90,'Concrete Beam Schedule'!$A$2:$Q$2902,U$2,0)&lt;&gt;E90,"Beam Revised","")</f>
        <v>#N/A</v>
      </c>
      <c r="V90" s="7" t="e">
        <f>IF(VLOOKUP($A90,'Concrete Beam Schedule'!$A$2:$Q$2902,V$2,0)&lt;&gt;F90,"Beam Revised","")</f>
        <v>#N/A</v>
      </c>
      <c r="W90" s="7" t="e">
        <f>IF(VLOOKUP($A90,'Concrete Beam Schedule'!$A$2:$Q$2902,W$2,0)&lt;&gt;G90,"Beam Revised","")</f>
        <v>#N/A</v>
      </c>
      <c r="X90" s="7" t="e">
        <f>IF(VLOOKUP($A90,'Concrete Beam Schedule'!$A$2:$Q$2902,X$2,0)&lt;&gt;H90,"Beam Revised","")</f>
        <v>#N/A</v>
      </c>
      <c r="Y90" s="7" t="e">
        <f>IF(VLOOKUP($A90,'Concrete Beam Schedule'!$A$2:$Q$2902,Y$2,0)&lt;&gt;I90,"Beam Revised","")</f>
        <v>#N/A</v>
      </c>
      <c r="Z90" s="7" t="e">
        <f>IF(VLOOKUP($A90,'Concrete Beam Schedule'!$A$2:$Q$2902,Z$2,0)&lt;&gt;J90,"Beam Revised","")</f>
        <v>#N/A</v>
      </c>
      <c r="AA90" s="7" t="e">
        <f>IF(VLOOKUP($A90,'Concrete Beam Schedule'!$A$2:$Q$2902,AA$2,0)&lt;&gt;K90,"Beam Revised","")</f>
        <v>#N/A</v>
      </c>
      <c r="AB90" s="7" t="e">
        <f>IF(VLOOKUP($A90,'Concrete Beam Schedule'!$A$2:$Q$2902,AB$2,0)&lt;&gt;L90,"Beam Revised","")</f>
        <v>#N/A</v>
      </c>
      <c r="AC90" s="7" t="e">
        <f>IF(VLOOKUP($A90,'Concrete Beam Schedule'!$A$2:$Q$2902,AC$2,0)&lt;&gt;M90,"Beam Revised","")</f>
        <v>#N/A</v>
      </c>
      <c r="AD90" s="7" t="e">
        <f>IF(VLOOKUP($A90,'Concrete Beam Schedule'!$A$2:$Q$2902,AD$2,0)&lt;&gt;N90,"Beam Revised","")</f>
        <v>#N/A</v>
      </c>
      <c r="AE90" s="7" t="e">
        <f>IF(VLOOKUP($A90,'Concrete Beam Schedule'!$A$2:$Q$2902,AE$2,0)&lt;&gt;O90,"Beam Revised","")</f>
        <v>#N/A</v>
      </c>
    </row>
    <row r="91" spans="1:31" ht="25.5" customHeight="1" x14ac:dyDescent="0.25">
      <c r="A91" s="17"/>
      <c r="B91" s="17"/>
      <c r="C91" s="17"/>
      <c r="D91" s="17"/>
      <c r="E91" s="17"/>
      <c r="F91" s="17"/>
      <c r="G91" s="17"/>
      <c r="H91" s="17"/>
      <c r="I91" s="17"/>
      <c r="J91" s="17"/>
      <c r="K91" s="17"/>
      <c r="L91" s="17"/>
      <c r="M91" s="17"/>
      <c r="N91" s="17"/>
      <c r="O91" s="17"/>
      <c r="Q91" s="7">
        <f t="shared" si="1"/>
        <v>0</v>
      </c>
      <c r="R91" s="7" t="e">
        <f>IF(VLOOKUP($A91,'Concrete Beam Schedule'!$A$2:$Q$2902,R$2,0)&lt;&gt;B91,VLOOKUP($A91,'Concrete Beam Schedule'!$A$2:$Q$2902,R$2,0),"")</f>
        <v>#N/A</v>
      </c>
      <c r="S91" s="7" t="e">
        <f>IF(VLOOKUP($A91,'Concrete Beam Schedule'!$A$2:$Q$2902,S$2,0)&lt;&gt;C91,VLOOKUP($A91,'Concrete Beam Schedule'!$A$2:$Q$2902,S$2,0),"")</f>
        <v>#N/A</v>
      </c>
      <c r="T91" s="7" t="e">
        <f>IF(VLOOKUP($A91,'Concrete Beam Schedule'!$A$2:$Q$2902,T$2,0)&lt;&gt;D91,"Beam Revised","")</f>
        <v>#N/A</v>
      </c>
      <c r="U91" s="7" t="e">
        <f>IF(VLOOKUP($A91,'Concrete Beam Schedule'!$A$2:$Q$2902,U$2,0)&lt;&gt;E91,"Beam Revised","")</f>
        <v>#N/A</v>
      </c>
      <c r="V91" s="7" t="e">
        <f>IF(VLOOKUP($A91,'Concrete Beam Schedule'!$A$2:$Q$2902,V$2,0)&lt;&gt;F91,"Beam Revised","")</f>
        <v>#N/A</v>
      </c>
      <c r="W91" s="7" t="e">
        <f>IF(VLOOKUP($A91,'Concrete Beam Schedule'!$A$2:$Q$2902,W$2,0)&lt;&gt;G91,"Beam Revised","")</f>
        <v>#N/A</v>
      </c>
      <c r="X91" s="7" t="e">
        <f>IF(VLOOKUP($A91,'Concrete Beam Schedule'!$A$2:$Q$2902,X$2,0)&lt;&gt;H91,"Beam Revised","")</f>
        <v>#N/A</v>
      </c>
      <c r="Y91" s="7" t="e">
        <f>IF(VLOOKUP($A91,'Concrete Beam Schedule'!$A$2:$Q$2902,Y$2,0)&lt;&gt;I91,"Beam Revised","")</f>
        <v>#N/A</v>
      </c>
      <c r="Z91" s="7" t="e">
        <f>IF(VLOOKUP($A91,'Concrete Beam Schedule'!$A$2:$Q$2902,Z$2,0)&lt;&gt;J91,"Beam Revised","")</f>
        <v>#N/A</v>
      </c>
      <c r="AA91" s="7" t="e">
        <f>IF(VLOOKUP($A91,'Concrete Beam Schedule'!$A$2:$Q$2902,AA$2,0)&lt;&gt;K91,"Beam Revised","")</f>
        <v>#N/A</v>
      </c>
      <c r="AB91" s="7" t="e">
        <f>IF(VLOOKUP($A91,'Concrete Beam Schedule'!$A$2:$Q$2902,AB$2,0)&lt;&gt;L91,"Beam Revised","")</f>
        <v>#N/A</v>
      </c>
      <c r="AC91" s="7" t="e">
        <f>IF(VLOOKUP($A91,'Concrete Beam Schedule'!$A$2:$Q$2902,AC$2,0)&lt;&gt;M91,"Beam Revised","")</f>
        <v>#N/A</v>
      </c>
      <c r="AD91" s="7" t="e">
        <f>IF(VLOOKUP($A91,'Concrete Beam Schedule'!$A$2:$Q$2902,AD$2,0)&lt;&gt;N91,"Beam Revised","")</f>
        <v>#N/A</v>
      </c>
      <c r="AE91" s="7" t="e">
        <f>IF(VLOOKUP($A91,'Concrete Beam Schedule'!$A$2:$Q$2902,AE$2,0)&lt;&gt;O91,"Beam Revised","")</f>
        <v>#N/A</v>
      </c>
    </row>
    <row r="92" spans="1:31" ht="25.5" customHeight="1" x14ac:dyDescent="0.25">
      <c r="A92" s="17"/>
      <c r="B92" s="17"/>
      <c r="C92" s="17"/>
      <c r="D92" s="17"/>
      <c r="E92" s="17"/>
      <c r="F92" s="17"/>
      <c r="G92" s="17"/>
      <c r="H92" s="17"/>
      <c r="I92" s="17"/>
      <c r="J92" s="17"/>
      <c r="K92" s="17"/>
      <c r="L92" s="17"/>
      <c r="M92" s="17"/>
      <c r="N92" s="17"/>
      <c r="O92" s="17"/>
      <c r="Q92" s="7">
        <f t="shared" si="1"/>
        <v>0</v>
      </c>
      <c r="R92" s="7" t="e">
        <f>IF(VLOOKUP($A92,'Concrete Beam Schedule'!$A$2:$Q$2902,R$2,0)&lt;&gt;B92,VLOOKUP($A92,'Concrete Beam Schedule'!$A$2:$Q$2902,R$2,0),"")</f>
        <v>#N/A</v>
      </c>
      <c r="S92" s="7" t="e">
        <f>IF(VLOOKUP($A92,'Concrete Beam Schedule'!$A$2:$Q$2902,S$2,0)&lt;&gt;C92,VLOOKUP($A92,'Concrete Beam Schedule'!$A$2:$Q$2902,S$2,0),"")</f>
        <v>#N/A</v>
      </c>
      <c r="T92" s="7" t="e">
        <f>IF(VLOOKUP($A92,'Concrete Beam Schedule'!$A$2:$Q$2902,T$2,0)&lt;&gt;D92,"Beam Revised","")</f>
        <v>#N/A</v>
      </c>
      <c r="U92" s="7" t="e">
        <f>IF(VLOOKUP($A92,'Concrete Beam Schedule'!$A$2:$Q$2902,U$2,0)&lt;&gt;E92,"Beam Revised","")</f>
        <v>#N/A</v>
      </c>
      <c r="V92" s="7" t="e">
        <f>IF(VLOOKUP($A92,'Concrete Beam Schedule'!$A$2:$Q$2902,V$2,0)&lt;&gt;F92,"Beam Revised","")</f>
        <v>#N/A</v>
      </c>
      <c r="W92" s="7" t="e">
        <f>IF(VLOOKUP($A92,'Concrete Beam Schedule'!$A$2:$Q$2902,W$2,0)&lt;&gt;G92,"Beam Revised","")</f>
        <v>#N/A</v>
      </c>
      <c r="X92" s="7" t="e">
        <f>IF(VLOOKUP($A92,'Concrete Beam Schedule'!$A$2:$Q$2902,X$2,0)&lt;&gt;H92,"Beam Revised","")</f>
        <v>#N/A</v>
      </c>
      <c r="Y92" s="7" t="e">
        <f>IF(VLOOKUP($A92,'Concrete Beam Schedule'!$A$2:$Q$2902,Y$2,0)&lt;&gt;I92,"Beam Revised","")</f>
        <v>#N/A</v>
      </c>
      <c r="Z92" s="7" t="e">
        <f>IF(VLOOKUP($A92,'Concrete Beam Schedule'!$A$2:$Q$2902,Z$2,0)&lt;&gt;J92,"Beam Revised","")</f>
        <v>#N/A</v>
      </c>
      <c r="AA92" s="7" t="e">
        <f>IF(VLOOKUP($A92,'Concrete Beam Schedule'!$A$2:$Q$2902,AA$2,0)&lt;&gt;K92,"Beam Revised","")</f>
        <v>#N/A</v>
      </c>
      <c r="AB92" s="7" t="e">
        <f>IF(VLOOKUP($A92,'Concrete Beam Schedule'!$A$2:$Q$2902,AB$2,0)&lt;&gt;L92,"Beam Revised","")</f>
        <v>#N/A</v>
      </c>
      <c r="AC92" s="7" t="e">
        <f>IF(VLOOKUP($A92,'Concrete Beam Schedule'!$A$2:$Q$2902,AC$2,0)&lt;&gt;M92,"Beam Revised","")</f>
        <v>#N/A</v>
      </c>
      <c r="AD92" s="7" t="e">
        <f>IF(VLOOKUP($A92,'Concrete Beam Schedule'!$A$2:$Q$2902,AD$2,0)&lt;&gt;N92,"Beam Revised","")</f>
        <v>#N/A</v>
      </c>
      <c r="AE92" s="7" t="e">
        <f>IF(VLOOKUP($A92,'Concrete Beam Schedule'!$A$2:$Q$2902,AE$2,0)&lt;&gt;O92,"Beam Revised","")</f>
        <v>#N/A</v>
      </c>
    </row>
    <row r="93" spans="1:31" ht="25.5" customHeight="1" x14ac:dyDescent="0.25">
      <c r="A93" s="17"/>
      <c r="B93" s="17"/>
      <c r="C93" s="17"/>
      <c r="D93" s="17"/>
      <c r="E93" s="17"/>
      <c r="F93" s="17"/>
      <c r="G93" s="17"/>
      <c r="H93" s="17"/>
      <c r="I93" s="17"/>
      <c r="J93" s="17"/>
      <c r="K93" s="17"/>
      <c r="L93" s="17"/>
      <c r="M93" s="17"/>
      <c r="N93" s="17"/>
      <c r="O93" s="17"/>
      <c r="Q93" s="7">
        <f t="shared" si="1"/>
        <v>0</v>
      </c>
      <c r="R93" s="7" t="e">
        <f>IF(VLOOKUP($A93,'Concrete Beam Schedule'!$A$2:$Q$2902,R$2,0)&lt;&gt;B93,VLOOKUP($A93,'Concrete Beam Schedule'!$A$2:$Q$2902,R$2,0),"")</f>
        <v>#N/A</v>
      </c>
      <c r="S93" s="7" t="e">
        <f>IF(VLOOKUP($A93,'Concrete Beam Schedule'!$A$2:$Q$2902,S$2,0)&lt;&gt;C93,VLOOKUP($A93,'Concrete Beam Schedule'!$A$2:$Q$2902,S$2,0),"")</f>
        <v>#N/A</v>
      </c>
      <c r="T93" s="7" t="e">
        <f>IF(VLOOKUP($A93,'Concrete Beam Schedule'!$A$2:$Q$2902,T$2,0)&lt;&gt;D93,"Beam Revised","")</f>
        <v>#N/A</v>
      </c>
      <c r="U93" s="7" t="e">
        <f>IF(VLOOKUP($A93,'Concrete Beam Schedule'!$A$2:$Q$2902,U$2,0)&lt;&gt;E93,"Beam Revised","")</f>
        <v>#N/A</v>
      </c>
      <c r="V93" s="7" t="e">
        <f>IF(VLOOKUP($A93,'Concrete Beam Schedule'!$A$2:$Q$2902,V$2,0)&lt;&gt;F93,"Beam Revised","")</f>
        <v>#N/A</v>
      </c>
      <c r="W93" s="7" t="e">
        <f>IF(VLOOKUP($A93,'Concrete Beam Schedule'!$A$2:$Q$2902,W$2,0)&lt;&gt;G93,"Beam Revised","")</f>
        <v>#N/A</v>
      </c>
      <c r="X93" s="7" t="e">
        <f>IF(VLOOKUP($A93,'Concrete Beam Schedule'!$A$2:$Q$2902,X$2,0)&lt;&gt;H93,"Beam Revised","")</f>
        <v>#N/A</v>
      </c>
      <c r="Y93" s="7" t="e">
        <f>IF(VLOOKUP($A93,'Concrete Beam Schedule'!$A$2:$Q$2902,Y$2,0)&lt;&gt;I93,"Beam Revised","")</f>
        <v>#N/A</v>
      </c>
      <c r="Z93" s="7" t="e">
        <f>IF(VLOOKUP($A93,'Concrete Beam Schedule'!$A$2:$Q$2902,Z$2,0)&lt;&gt;J93,"Beam Revised","")</f>
        <v>#N/A</v>
      </c>
      <c r="AA93" s="7" t="e">
        <f>IF(VLOOKUP($A93,'Concrete Beam Schedule'!$A$2:$Q$2902,AA$2,0)&lt;&gt;K93,"Beam Revised","")</f>
        <v>#N/A</v>
      </c>
      <c r="AB93" s="7" t="e">
        <f>IF(VLOOKUP($A93,'Concrete Beam Schedule'!$A$2:$Q$2902,AB$2,0)&lt;&gt;L93,"Beam Revised","")</f>
        <v>#N/A</v>
      </c>
      <c r="AC93" s="7" t="e">
        <f>IF(VLOOKUP($A93,'Concrete Beam Schedule'!$A$2:$Q$2902,AC$2,0)&lt;&gt;M93,"Beam Revised","")</f>
        <v>#N/A</v>
      </c>
      <c r="AD93" s="7" t="e">
        <f>IF(VLOOKUP($A93,'Concrete Beam Schedule'!$A$2:$Q$2902,AD$2,0)&lt;&gt;N93,"Beam Revised","")</f>
        <v>#N/A</v>
      </c>
      <c r="AE93" s="7" t="e">
        <f>IF(VLOOKUP($A93,'Concrete Beam Schedule'!$A$2:$Q$2902,AE$2,0)&lt;&gt;O93,"Beam Revised","")</f>
        <v>#N/A</v>
      </c>
    </row>
    <row r="94" spans="1:31" ht="25.5" customHeight="1" x14ac:dyDescent="0.25">
      <c r="A94" s="17"/>
      <c r="B94" s="17"/>
      <c r="C94" s="17"/>
      <c r="D94" s="17"/>
      <c r="E94" s="17"/>
      <c r="F94" s="17"/>
      <c r="G94" s="17"/>
      <c r="H94" s="17"/>
      <c r="I94" s="17"/>
      <c r="J94" s="17"/>
      <c r="K94" s="17"/>
      <c r="L94" s="17"/>
      <c r="M94" s="17"/>
      <c r="N94" s="17"/>
      <c r="O94" s="17"/>
      <c r="Q94" s="7">
        <f t="shared" si="1"/>
        <v>0</v>
      </c>
      <c r="R94" s="7" t="e">
        <f>IF(VLOOKUP($A94,'Concrete Beam Schedule'!$A$2:$Q$2902,R$2,0)&lt;&gt;B94,VLOOKUP($A94,'Concrete Beam Schedule'!$A$2:$Q$2902,R$2,0),"")</f>
        <v>#N/A</v>
      </c>
      <c r="S94" s="7" t="e">
        <f>IF(VLOOKUP($A94,'Concrete Beam Schedule'!$A$2:$Q$2902,S$2,0)&lt;&gt;C94,VLOOKUP($A94,'Concrete Beam Schedule'!$A$2:$Q$2902,S$2,0),"")</f>
        <v>#N/A</v>
      </c>
      <c r="T94" s="7" t="e">
        <f>IF(VLOOKUP($A94,'Concrete Beam Schedule'!$A$2:$Q$2902,T$2,0)&lt;&gt;D94,"Beam Revised","")</f>
        <v>#N/A</v>
      </c>
      <c r="U94" s="7" t="e">
        <f>IF(VLOOKUP($A94,'Concrete Beam Schedule'!$A$2:$Q$2902,U$2,0)&lt;&gt;E94,"Beam Revised","")</f>
        <v>#N/A</v>
      </c>
      <c r="V94" s="7" t="e">
        <f>IF(VLOOKUP($A94,'Concrete Beam Schedule'!$A$2:$Q$2902,V$2,0)&lt;&gt;F94,"Beam Revised","")</f>
        <v>#N/A</v>
      </c>
      <c r="W94" s="7" t="e">
        <f>IF(VLOOKUP($A94,'Concrete Beam Schedule'!$A$2:$Q$2902,W$2,0)&lt;&gt;G94,"Beam Revised","")</f>
        <v>#N/A</v>
      </c>
      <c r="X94" s="7" t="e">
        <f>IF(VLOOKUP($A94,'Concrete Beam Schedule'!$A$2:$Q$2902,X$2,0)&lt;&gt;H94,"Beam Revised","")</f>
        <v>#N/A</v>
      </c>
      <c r="Y94" s="7" t="e">
        <f>IF(VLOOKUP($A94,'Concrete Beam Schedule'!$A$2:$Q$2902,Y$2,0)&lt;&gt;I94,"Beam Revised","")</f>
        <v>#N/A</v>
      </c>
      <c r="Z94" s="7" t="e">
        <f>IF(VLOOKUP($A94,'Concrete Beam Schedule'!$A$2:$Q$2902,Z$2,0)&lt;&gt;J94,"Beam Revised","")</f>
        <v>#N/A</v>
      </c>
      <c r="AA94" s="7" t="e">
        <f>IF(VLOOKUP($A94,'Concrete Beam Schedule'!$A$2:$Q$2902,AA$2,0)&lt;&gt;K94,"Beam Revised","")</f>
        <v>#N/A</v>
      </c>
      <c r="AB94" s="7" t="e">
        <f>IF(VLOOKUP($A94,'Concrete Beam Schedule'!$A$2:$Q$2902,AB$2,0)&lt;&gt;L94,"Beam Revised","")</f>
        <v>#N/A</v>
      </c>
      <c r="AC94" s="7" t="e">
        <f>IF(VLOOKUP($A94,'Concrete Beam Schedule'!$A$2:$Q$2902,AC$2,0)&lt;&gt;M94,"Beam Revised","")</f>
        <v>#N/A</v>
      </c>
      <c r="AD94" s="7" t="e">
        <f>IF(VLOOKUP($A94,'Concrete Beam Schedule'!$A$2:$Q$2902,AD$2,0)&lt;&gt;N94,"Beam Revised","")</f>
        <v>#N/A</v>
      </c>
      <c r="AE94" s="7" t="e">
        <f>IF(VLOOKUP($A94,'Concrete Beam Schedule'!$A$2:$Q$2902,AE$2,0)&lt;&gt;O94,"Beam Revised","")</f>
        <v>#N/A</v>
      </c>
    </row>
    <row r="95" spans="1:31" ht="25.5" customHeight="1" x14ac:dyDescent="0.25">
      <c r="A95" s="17"/>
      <c r="B95" s="17"/>
      <c r="C95" s="17"/>
      <c r="D95" s="17"/>
      <c r="E95" s="17"/>
      <c r="F95" s="17"/>
      <c r="G95" s="17"/>
      <c r="H95" s="17"/>
      <c r="I95" s="17"/>
      <c r="J95" s="17"/>
      <c r="K95" s="17"/>
      <c r="L95" s="17"/>
      <c r="M95" s="17"/>
      <c r="N95" s="17"/>
      <c r="O95" s="17"/>
      <c r="Q95" s="7">
        <f t="shared" si="1"/>
        <v>0</v>
      </c>
      <c r="R95" s="7" t="e">
        <f>IF(VLOOKUP($A95,'Concrete Beam Schedule'!$A$2:$Q$2902,R$2,0)&lt;&gt;B95,VLOOKUP($A95,'Concrete Beam Schedule'!$A$2:$Q$2902,R$2,0),"")</f>
        <v>#N/A</v>
      </c>
      <c r="S95" s="7" t="e">
        <f>IF(VLOOKUP($A95,'Concrete Beam Schedule'!$A$2:$Q$2902,S$2,0)&lt;&gt;C95,VLOOKUP($A95,'Concrete Beam Schedule'!$A$2:$Q$2902,S$2,0),"")</f>
        <v>#N/A</v>
      </c>
      <c r="T95" s="7" t="e">
        <f>IF(VLOOKUP($A95,'Concrete Beam Schedule'!$A$2:$Q$2902,T$2,0)&lt;&gt;D95,"Beam Revised","")</f>
        <v>#N/A</v>
      </c>
      <c r="U95" s="7" t="e">
        <f>IF(VLOOKUP($A95,'Concrete Beam Schedule'!$A$2:$Q$2902,U$2,0)&lt;&gt;E95,"Beam Revised","")</f>
        <v>#N/A</v>
      </c>
      <c r="V95" s="7" t="e">
        <f>IF(VLOOKUP($A95,'Concrete Beam Schedule'!$A$2:$Q$2902,V$2,0)&lt;&gt;F95,"Beam Revised","")</f>
        <v>#N/A</v>
      </c>
      <c r="W95" s="7" t="e">
        <f>IF(VLOOKUP($A95,'Concrete Beam Schedule'!$A$2:$Q$2902,W$2,0)&lt;&gt;G95,"Beam Revised","")</f>
        <v>#N/A</v>
      </c>
      <c r="X95" s="7" t="e">
        <f>IF(VLOOKUP($A95,'Concrete Beam Schedule'!$A$2:$Q$2902,X$2,0)&lt;&gt;H95,"Beam Revised","")</f>
        <v>#N/A</v>
      </c>
      <c r="Y95" s="7" t="e">
        <f>IF(VLOOKUP($A95,'Concrete Beam Schedule'!$A$2:$Q$2902,Y$2,0)&lt;&gt;I95,"Beam Revised","")</f>
        <v>#N/A</v>
      </c>
      <c r="Z95" s="7" t="e">
        <f>IF(VLOOKUP($A95,'Concrete Beam Schedule'!$A$2:$Q$2902,Z$2,0)&lt;&gt;J95,"Beam Revised","")</f>
        <v>#N/A</v>
      </c>
      <c r="AA95" s="7" t="e">
        <f>IF(VLOOKUP($A95,'Concrete Beam Schedule'!$A$2:$Q$2902,AA$2,0)&lt;&gt;K95,"Beam Revised","")</f>
        <v>#N/A</v>
      </c>
      <c r="AB95" s="7" t="e">
        <f>IF(VLOOKUP($A95,'Concrete Beam Schedule'!$A$2:$Q$2902,AB$2,0)&lt;&gt;L95,"Beam Revised","")</f>
        <v>#N/A</v>
      </c>
      <c r="AC95" s="7" t="e">
        <f>IF(VLOOKUP($A95,'Concrete Beam Schedule'!$A$2:$Q$2902,AC$2,0)&lt;&gt;M95,"Beam Revised","")</f>
        <v>#N/A</v>
      </c>
      <c r="AD95" s="7" t="e">
        <f>IF(VLOOKUP($A95,'Concrete Beam Schedule'!$A$2:$Q$2902,AD$2,0)&lt;&gt;N95,"Beam Revised","")</f>
        <v>#N/A</v>
      </c>
      <c r="AE95" s="7" t="e">
        <f>IF(VLOOKUP($A95,'Concrete Beam Schedule'!$A$2:$Q$2902,AE$2,0)&lt;&gt;O95,"Beam Revised","")</f>
        <v>#N/A</v>
      </c>
    </row>
    <row r="96" spans="1:31" ht="25.5" customHeight="1" x14ac:dyDescent="0.25">
      <c r="A96" s="17"/>
      <c r="B96" s="17"/>
      <c r="C96" s="17"/>
      <c r="D96" s="17"/>
      <c r="E96" s="17"/>
      <c r="F96" s="17"/>
      <c r="G96" s="17"/>
      <c r="H96" s="17"/>
      <c r="I96" s="17"/>
      <c r="J96" s="17"/>
      <c r="K96" s="17"/>
      <c r="L96" s="17"/>
      <c r="M96" s="17"/>
      <c r="N96" s="17"/>
      <c r="O96" s="17"/>
      <c r="Q96" s="7">
        <f t="shared" si="1"/>
        <v>0</v>
      </c>
      <c r="R96" s="7" t="e">
        <f>IF(VLOOKUP($A96,'Concrete Beam Schedule'!$A$2:$Q$2902,R$2,0)&lt;&gt;B96,VLOOKUP($A96,'Concrete Beam Schedule'!$A$2:$Q$2902,R$2,0),"")</f>
        <v>#N/A</v>
      </c>
      <c r="S96" s="7" t="e">
        <f>IF(VLOOKUP($A96,'Concrete Beam Schedule'!$A$2:$Q$2902,S$2,0)&lt;&gt;C96,VLOOKUP($A96,'Concrete Beam Schedule'!$A$2:$Q$2902,S$2,0),"")</f>
        <v>#N/A</v>
      </c>
      <c r="T96" s="7" t="e">
        <f>IF(VLOOKUP($A96,'Concrete Beam Schedule'!$A$2:$Q$2902,T$2,0)&lt;&gt;D96,"Beam Revised","")</f>
        <v>#N/A</v>
      </c>
      <c r="U96" s="7" t="e">
        <f>IF(VLOOKUP($A96,'Concrete Beam Schedule'!$A$2:$Q$2902,U$2,0)&lt;&gt;E96,"Beam Revised","")</f>
        <v>#N/A</v>
      </c>
      <c r="V96" s="7" t="e">
        <f>IF(VLOOKUP($A96,'Concrete Beam Schedule'!$A$2:$Q$2902,V$2,0)&lt;&gt;F96,"Beam Revised","")</f>
        <v>#N/A</v>
      </c>
      <c r="W96" s="7" t="e">
        <f>IF(VLOOKUP($A96,'Concrete Beam Schedule'!$A$2:$Q$2902,W$2,0)&lt;&gt;G96,"Beam Revised","")</f>
        <v>#N/A</v>
      </c>
      <c r="X96" s="7" t="e">
        <f>IF(VLOOKUP($A96,'Concrete Beam Schedule'!$A$2:$Q$2902,X$2,0)&lt;&gt;H96,"Beam Revised","")</f>
        <v>#N/A</v>
      </c>
      <c r="Y96" s="7" t="e">
        <f>IF(VLOOKUP($A96,'Concrete Beam Schedule'!$A$2:$Q$2902,Y$2,0)&lt;&gt;I96,"Beam Revised","")</f>
        <v>#N/A</v>
      </c>
      <c r="Z96" s="7" t="e">
        <f>IF(VLOOKUP($A96,'Concrete Beam Schedule'!$A$2:$Q$2902,Z$2,0)&lt;&gt;J96,"Beam Revised","")</f>
        <v>#N/A</v>
      </c>
      <c r="AA96" s="7" t="e">
        <f>IF(VLOOKUP($A96,'Concrete Beam Schedule'!$A$2:$Q$2902,AA$2,0)&lt;&gt;K96,"Beam Revised","")</f>
        <v>#N/A</v>
      </c>
      <c r="AB96" s="7" t="e">
        <f>IF(VLOOKUP($A96,'Concrete Beam Schedule'!$A$2:$Q$2902,AB$2,0)&lt;&gt;L96,"Beam Revised","")</f>
        <v>#N/A</v>
      </c>
      <c r="AC96" s="7" t="e">
        <f>IF(VLOOKUP($A96,'Concrete Beam Schedule'!$A$2:$Q$2902,AC$2,0)&lt;&gt;M96,"Beam Revised","")</f>
        <v>#N/A</v>
      </c>
      <c r="AD96" s="7" t="e">
        <f>IF(VLOOKUP($A96,'Concrete Beam Schedule'!$A$2:$Q$2902,AD$2,0)&lt;&gt;N96,"Beam Revised","")</f>
        <v>#N/A</v>
      </c>
      <c r="AE96" s="7" t="e">
        <f>IF(VLOOKUP($A96,'Concrete Beam Schedule'!$A$2:$Q$2902,AE$2,0)&lt;&gt;O96,"Beam Revised","")</f>
        <v>#N/A</v>
      </c>
    </row>
    <row r="97" spans="1:31" ht="25.5" customHeight="1" x14ac:dyDescent="0.25">
      <c r="A97" s="17"/>
      <c r="B97" s="17"/>
      <c r="C97" s="17"/>
      <c r="D97" s="17"/>
      <c r="E97" s="17"/>
      <c r="F97" s="17"/>
      <c r="G97" s="17"/>
      <c r="H97" s="17"/>
      <c r="I97" s="17"/>
      <c r="J97" s="17"/>
      <c r="K97" s="17"/>
      <c r="L97" s="17"/>
      <c r="M97" s="17"/>
      <c r="N97" s="17"/>
      <c r="O97" s="17"/>
      <c r="Q97" s="7">
        <f t="shared" si="1"/>
        <v>0</v>
      </c>
      <c r="R97" s="7" t="e">
        <f>IF(VLOOKUP($A97,'Concrete Beam Schedule'!$A$2:$Q$2902,R$2,0)&lt;&gt;B97,VLOOKUP($A97,'Concrete Beam Schedule'!$A$2:$Q$2902,R$2,0),"")</f>
        <v>#N/A</v>
      </c>
      <c r="S97" s="7" t="e">
        <f>IF(VLOOKUP($A97,'Concrete Beam Schedule'!$A$2:$Q$2902,S$2,0)&lt;&gt;C97,VLOOKUP($A97,'Concrete Beam Schedule'!$A$2:$Q$2902,S$2,0),"")</f>
        <v>#N/A</v>
      </c>
      <c r="T97" s="7" t="e">
        <f>IF(VLOOKUP($A97,'Concrete Beam Schedule'!$A$2:$Q$2902,T$2,0)&lt;&gt;D97,"Beam Revised","")</f>
        <v>#N/A</v>
      </c>
      <c r="U97" s="7" t="e">
        <f>IF(VLOOKUP($A97,'Concrete Beam Schedule'!$A$2:$Q$2902,U$2,0)&lt;&gt;E97,"Beam Revised","")</f>
        <v>#N/A</v>
      </c>
      <c r="V97" s="7" t="e">
        <f>IF(VLOOKUP($A97,'Concrete Beam Schedule'!$A$2:$Q$2902,V$2,0)&lt;&gt;F97,"Beam Revised","")</f>
        <v>#N/A</v>
      </c>
      <c r="W97" s="7" t="e">
        <f>IF(VLOOKUP($A97,'Concrete Beam Schedule'!$A$2:$Q$2902,W$2,0)&lt;&gt;G97,"Beam Revised","")</f>
        <v>#N/A</v>
      </c>
      <c r="X97" s="7" t="e">
        <f>IF(VLOOKUP($A97,'Concrete Beam Schedule'!$A$2:$Q$2902,X$2,0)&lt;&gt;H97,"Beam Revised","")</f>
        <v>#N/A</v>
      </c>
      <c r="Y97" s="7" t="e">
        <f>IF(VLOOKUP($A97,'Concrete Beam Schedule'!$A$2:$Q$2902,Y$2,0)&lt;&gt;I97,"Beam Revised","")</f>
        <v>#N/A</v>
      </c>
      <c r="Z97" s="7" t="e">
        <f>IF(VLOOKUP($A97,'Concrete Beam Schedule'!$A$2:$Q$2902,Z$2,0)&lt;&gt;J97,"Beam Revised","")</f>
        <v>#N/A</v>
      </c>
      <c r="AA97" s="7" t="e">
        <f>IF(VLOOKUP($A97,'Concrete Beam Schedule'!$A$2:$Q$2902,AA$2,0)&lt;&gt;K97,"Beam Revised","")</f>
        <v>#N/A</v>
      </c>
      <c r="AB97" s="7" t="e">
        <f>IF(VLOOKUP($A97,'Concrete Beam Schedule'!$A$2:$Q$2902,AB$2,0)&lt;&gt;L97,"Beam Revised","")</f>
        <v>#N/A</v>
      </c>
      <c r="AC97" s="7" t="e">
        <f>IF(VLOOKUP($A97,'Concrete Beam Schedule'!$A$2:$Q$2902,AC$2,0)&lt;&gt;M97,"Beam Revised","")</f>
        <v>#N/A</v>
      </c>
      <c r="AD97" s="7" t="e">
        <f>IF(VLOOKUP($A97,'Concrete Beam Schedule'!$A$2:$Q$2902,AD$2,0)&lt;&gt;N97,"Beam Revised","")</f>
        <v>#N/A</v>
      </c>
      <c r="AE97" s="7" t="e">
        <f>IF(VLOOKUP($A97,'Concrete Beam Schedule'!$A$2:$Q$2902,AE$2,0)&lt;&gt;O97,"Beam Revised","")</f>
        <v>#N/A</v>
      </c>
    </row>
    <row r="98" spans="1:31" ht="25.5" customHeight="1" x14ac:dyDescent="0.25">
      <c r="A98" s="17"/>
      <c r="B98" s="17"/>
      <c r="C98" s="17"/>
      <c r="D98" s="17"/>
      <c r="E98" s="17"/>
      <c r="F98" s="17"/>
      <c r="G98" s="17"/>
      <c r="H98" s="17"/>
      <c r="I98" s="17"/>
      <c r="J98" s="17"/>
      <c r="K98" s="17"/>
      <c r="L98" s="17"/>
      <c r="M98" s="17"/>
      <c r="N98" s="17"/>
      <c r="O98" s="17"/>
      <c r="Q98" s="7">
        <f t="shared" si="1"/>
        <v>0</v>
      </c>
      <c r="R98" s="7" t="e">
        <f>IF(VLOOKUP($A98,'Concrete Beam Schedule'!$A$2:$Q$2902,R$2,0)&lt;&gt;B98,VLOOKUP($A98,'Concrete Beam Schedule'!$A$2:$Q$2902,R$2,0),"")</f>
        <v>#N/A</v>
      </c>
      <c r="S98" s="7" t="e">
        <f>IF(VLOOKUP($A98,'Concrete Beam Schedule'!$A$2:$Q$2902,S$2,0)&lt;&gt;C98,VLOOKUP($A98,'Concrete Beam Schedule'!$A$2:$Q$2902,S$2,0),"")</f>
        <v>#N/A</v>
      </c>
      <c r="T98" s="7" t="e">
        <f>IF(VLOOKUP($A98,'Concrete Beam Schedule'!$A$2:$Q$2902,T$2,0)&lt;&gt;D98,"Beam Revised","")</f>
        <v>#N/A</v>
      </c>
      <c r="U98" s="7" t="e">
        <f>IF(VLOOKUP($A98,'Concrete Beam Schedule'!$A$2:$Q$2902,U$2,0)&lt;&gt;E98,"Beam Revised","")</f>
        <v>#N/A</v>
      </c>
      <c r="V98" s="7" t="e">
        <f>IF(VLOOKUP($A98,'Concrete Beam Schedule'!$A$2:$Q$2902,V$2,0)&lt;&gt;F98,"Beam Revised","")</f>
        <v>#N/A</v>
      </c>
      <c r="W98" s="7" t="e">
        <f>IF(VLOOKUP($A98,'Concrete Beam Schedule'!$A$2:$Q$2902,W$2,0)&lt;&gt;G98,"Beam Revised","")</f>
        <v>#N/A</v>
      </c>
      <c r="X98" s="7" t="e">
        <f>IF(VLOOKUP($A98,'Concrete Beam Schedule'!$A$2:$Q$2902,X$2,0)&lt;&gt;H98,"Beam Revised","")</f>
        <v>#N/A</v>
      </c>
      <c r="Y98" s="7" t="e">
        <f>IF(VLOOKUP($A98,'Concrete Beam Schedule'!$A$2:$Q$2902,Y$2,0)&lt;&gt;I98,"Beam Revised","")</f>
        <v>#N/A</v>
      </c>
      <c r="Z98" s="7" t="e">
        <f>IF(VLOOKUP($A98,'Concrete Beam Schedule'!$A$2:$Q$2902,Z$2,0)&lt;&gt;J98,"Beam Revised","")</f>
        <v>#N/A</v>
      </c>
      <c r="AA98" s="7" t="e">
        <f>IF(VLOOKUP($A98,'Concrete Beam Schedule'!$A$2:$Q$2902,AA$2,0)&lt;&gt;K98,"Beam Revised","")</f>
        <v>#N/A</v>
      </c>
      <c r="AB98" s="7" t="e">
        <f>IF(VLOOKUP($A98,'Concrete Beam Schedule'!$A$2:$Q$2902,AB$2,0)&lt;&gt;L98,"Beam Revised","")</f>
        <v>#N/A</v>
      </c>
      <c r="AC98" s="7" t="e">
        <f>IF(VLOOKUP($A98,'Concrete Beam Schedule'!$A$2:$Q$2902,AC$2,0)&lt;&gt;M98,"Beam Revised","")</f>
        <v>#N/A</v>
      </c>
      <c r="AD98" s="7" t="e">
        <f>IF(VLOOKUP($A98,'Concrete Beam Schedule'!$A$2:$Q$2902,AD$2,0)&lt;&gt;N98,"Beam Revised","")</f>
        <v>#N/A</v>
      </c>
      <c r="AE98" s="7" t="e">
        <f>IF(VLOOKUP($A98,'Concrete Beam Schedule'!$A$2:$Q$2902,AE$2,0)&lt;&gt;O98,"Beam Revised","")</f>
        <v>#N/A</v>
      </c>
    </row>
    <row r="99" spans="1:31" ht="25.5" customHeight="1" x14ac:dyDescent="0.25">
      <c r="A99" s="17"/>
      <c r="B99" s="17"/>
      <c r="C99" s="17"/>
      <c r="D99" s="17"/>
      <c r="E99" s="17"/>
      <c r="F99" s="17"/>
      <c r="G99" s="17"/>
      <c r="H99" s="17"/>
      <c r="I99" s="17"/>
      <c r="J99" s="17"/>
      <c r="K99" s="17"/>
      <c r="L99" s="17"/>
      <c r="M99" s="17"/>
      <c r="N99" s="17"/>
      <c r="O99" s="17"/>
      <c r="Q99" s="7">
        <f t="shared" si="1"/>
        <v>0</v>
      </c>
      <c r="R99" s="7" t="e">
        <f>IF(VLOOKUP($A99,'Concrete Beam Schedule'!$A$2:$Q$2902,R$2,0)&lt;&gt;B99,VLOOKUP($A99,'Concrete Beam Schedule'!$A$2:$Q$2902,R$2,0),"")</f>
        <v>#N/A</v>
      </c>
      <c r="S99" s="7" t="e">
        <f>IF(VLOOKUP($A99,'Concrete Beam Schedule'!$A$2:$Q$2902,S$2,0)&lt;&gt;C99,VLOOKUP($A99,'Concrete Beam Schedule'!$A$2:$Q$2902,S$2,0),"")</f>
        <v>#N/A</v>
      </c>
      <c r="T99" s="7" t="e">
        <f>IF(VLOOKUP($A99,'Concrete Beam Schedule'!$A$2:$Q$2902,T$2,0)&lt;&gt;D99,"Beam Revised","")</f>
        <v>#N/A</v>
      </c>
      <c r="U99" s="7" t="e">
        <f>IF(VLOOKUP($A99,'Concrete Beam Schedule'!$A$2:$Q$2902,U$2,0)&lt;&gt;E99,"Beam Revised","")</f>
        <v>#N/A</v>
      </c>
      <c r="V99" s="7" t="e">
        <f>IF(VLOOKUP($A99,'Concrete Beam Schedule'!$A$2:$Q$2902,V$2,0)&lt;&gt;F99,"Beam Revised","")</f>
        <v>#N/A</v>
      </c>
      <c r="W99" s="7" t="e">
        <f>IF(VLOOKUP($A99,'Concrete Beam Schedule'!$A$2:$Q$2902,W$2,0)&lt;&gt;G99,"Beam Revised","")</f>
        <v>#N/A</v>
      </c>
      <c r="X99" s="7" t="e">
        <f>IF(VLOOKUP($A99,'Concrete Beam Schedule'!$A$2:$Q$2902,X$2,0)&lt;&gt;H99,"Beam Revised","")</f>
        <v>#N/A</v>
      </c>
      <c r="Y99" s="7" t="e">
        <f>IF(VLOOKUP($A99,'Concrete Beam Schedule'!$A$2:$Q$2902,Y$2,0)&lt;&gt;I99,"Beam Revised","")</f>
        <v>#N/A</v>
      </c>
      <c r="Z99" s="7" t="e">
        <f>IF(VLOOKUP($A99,'Concrete Beam Schedule'!$A$2:$Q$2902,Z$2,0)&lt;&gt;J99,"Beam Revised","")</f>
        <v>#N/A</v>
      </c>
      <c r="AA99" s="7" t="e">
        <f>IF(VLOOKUP($A99,'Concrete Beam Schedule'!$A$2:$Q$2902,AA$2,0)&lt;&gt;K99,"Beam Revised","")</f>
        <v>#N/A</v>
      </c>
      <c r="AB99" s="7" t="e">
        <f>IF(VLOOKUP($A99,'Concrete Beam Schedule'!$A$2:$Q$2902,AB$2,0)&lt;&gt;L99,"Beam Revised","")</f>
        <v>#N/A</v>
      </c>
      <c r="AC99" s="7" t="e">
        <f>IF(VLOOKUP($A99,'Concrete Beam Schedule'!$A$2:$Q$2902,AC$2,0)&lt;&gt;M99,"Beam Revised","")</f>
        <v>#N/A</v>
      </c>
      <c r="AD99" s="7" t="e">
        <f>IF(VLOOKUP($A99,'Concrete Beam Schedule'!$A$2:$Q$2902,AD$2,0)&lt;&gt;N99,"Beam Revised","")</f>
        <v>#N/A</v>
      </c>
      <c r="AE99" s="7" t="e">
        <f>IF(VLOOKUP($A99,'Concrete Beam Schedule'!$A$2:$Q$2902,AE$2,0)&lt;&gt;O99,"Beam Revised","")</f>
        <v>#N/A</v>
      </c>
    </row>
    <row r="100" spans="1:31" ht="25.5" customHeight="1" x14ac:dyDescent="0.25">
      <c r="A100" s="17"/>
      <c r="B100" s="17"/>
      <c r="C100" s="17"/>
      <c r="D100" s="17"/>
      <c r="E100" s="17"/>
      <c r="F100" s="17"/>
      <c r="G100" s="17"/>
      <c r="H100" s="17"/>
      <c r="I100" s="17"/>
      <c r="J100" s="17"/>
      <c r="K100" s="17"/>
      <c r="L100" s="17"/>
      <c r="M100" s="17"/>
      <c r="N100" s="17"/>
      <c r="O100" s="17"/>
      <c r="Q100" s="7">
        <f t="shared" si="1"/>
        <v>0</v>
      </c>
      <c r="R100" s="7" t="e">
        <f>IF(VLOOKUP($A100,'Concrete Beam Schedule'!$A$2:$Q$2902,R$2,0)&lt;&gt;B100,VLOOKUP($A100,'Concrete Beam Schedule'!$A$2:$Q$2902,R$2,0),"")</f>
        <v>#N/A</v>
      </c>
      <c r="S100" s="7" t="e">
        <f>IF(VLOOKUP($A100,'Concrete Beam Schedule'!$A$2:$Q$2902,S$2,0)&lt;&gt;C100,VLOOKUP($A100,'Concrete Beam Schedule'!$A$2:$Q$2902,S$2,0),"")</f>
        <v>#N/A</v>
      </c>
      <c r="T100" s="7" t="e">
        <f>IF(VLOOKUP($A100,'Concrete Beam Schedule'!$A$2:$Q$2902,T$2,0)&lt;&gt;D100,"Beam Revised","")</f>
        <v>#N/A</v>
      </c>
      <c r="U100" s="7" t="e">
        <f>IF(VLOOKUP($A100,'Concrete Beam Schedule'!$A$2:$Q$2902,U$2,0)&lt;&gt;E100,"Beam Revised","")</f>
        <v>#N/A</v>
      </c>
      <c r="V100" s="7" t="e">
        <f>IF(VLOOKUP($A100,'Concrete Beam Schedule'!$A$2:$Q$2902,V$2,0)&lt;&gt;F100,"Beam Revised","")</f>
        <v>#N/A</v>
      </c>
      <c r="W100" s="7" t="e">
        <f>IF(VLOOKUP($A100,'Concrete Beam Schedule'!$A$2:$Q$2902,W$2,0)&lt;&gt;G100,"Beam Revised","")</f>
        <v>#N/A</v>
      </c>
      <c r="X100" s="7" t="e">
        <f>IF(VLOOKUP($A100,'Concrete Beam Schedule'!$A$2:$Q$2902,X$2,0)&lt;&gt;H100,"Beam Revised","")</f>
        <v>#N/A</v>
      </c>
      <c r="Y100" s="7" t="e">
        <f>IF(VLOOKUP($A100,'Concrete Beam Schedule'!$A$2:$Q$2902,Y$2,0)&lt;&gt;I100,"Beam Revised","")</f>
        <v>#N/A</v>
      </c>
      <c r="Z100" s="7" t="e">
        <f>IF(VLOOKUP($A100,'Concrete Beam Schedule'!$A$2:$Q$2902,Z$2,0)&lt;&gt;J100,"Beam Revised","")</f>
        <v>#N/A</v>
      </c>
      <c r="AA100" s="7" t="e">
        <f>IF(VLOOKUP($A100,'Concrete Beam Schedule'!$A$2:$Q$2902,AA$2,0)&lt;&gt;K100,"Beam Revised","")</f>
        <v>#N/A</v>
      </c>
      <c r="AB100" s="7" t="e">
        <f>IF(VLOOKUP($A100,'Concrete Beam Schedule'!$A$2:$Q$2902,AB$2,0)&lt;&gt;L100,"Beam Revised","")</f>
        <v>#N/A</v>
      </c>
      <c r="AC100" s="7" t="e">
        <f>IF(VLOOKUP($A100,'Concrete Beam Schedule'!$A$2:$Q$2902,AC$2,0)&lt;&gt;M100,"Beam Revised","")</f>
        <v>#N/A</v>
      </c>
      <c r="AD100" s="7" t="e">
        <f>IF(VLOOKUP($A100,'Concrete Beam Schedule'!$A$2:$Q$2902,AD$2,0)&lt;&gt;N100,"Beam Revised","")</f>
        <v>#N/A</v>
      </c>
      <c r="AE100" s="7" t="e">
        <f>IF(VLOOKUP($A100,'Concrete Beam Schedule'!$A$2:$Q$2902,AE$2,0)&lt;&gt;O100,"Beam Revised","")</f>
        <v>#N/A</v>
      </c>
    </row>
    <row r="101" spans="1:31" ht="25.5" customHeight="1" x14ac:dyDescent="0.25">
      <c r="A101" s="17"/>
      <c r="B101" s="17"/>
      <c r="C101" s="17"/>
      <c r="D101" s="17"/>
      <c r="E101" s="17"/>
      <c r="F101" s="17"/>
      <c r="G101" s="17"/>
      <c r="H101" s="17"/>
      <c r="I101" s="17"/>
      <c r="J101" s="17"/>
      <c r="K101" s="17"/>
      <c r="L101" s="17"/>
      <c r="M101" s="17"/>
      <c r="N101" s="17"/>
      <c r="O101" s="17"/>
      <c r="Q101" s="7">
        <f t="shared" si="1"/>
        <v>0</v>
      </c>
      <c r="R101" s="7" t="e">
        <f>IF(VLOOKUP($A101,'Concrete Beam Schedule'!$A$2:$Q$2902,R$2,0)&lt;&gt;B101,VLOOKUP($A101,'Concrete Beam Schedule'!$A$2:$Q$2902,R$2,0),"")</f>
        <v>#N/A</v>
      </c>
      <c r="S101" s="7" t="e">
        <f>IF(VLOOKUP($A101,'Concrete Beam Schedule'!$A$2:$Q$2902,S$2,0)&lt;&gt;C101,VLOOKUP($A101,'Concrete Beam Schedule'!$A$2:$Q$2902,S$2,0),"")</f>
        <v>#N/A</v>
      </c>
      <c r="T101" s="7" t="e">
        <f>IF(VLOOKUP($A101,'Concrete Beam Schedule'!$A$2:$Q$2902,T$2,0)&lt;&gt;D101,"Beam Revised","")</f>
        <v>#N/A</v>
      </c>
      <c r="U101" s="7" t="e">
        <f>IF(VLOOKUP($A101,'Concrete Beam Schedule'!$A$2:$Q$2902,U$2,0)&lt;&gt;E101,"Beam Revised","")</f>
        <v>#N/A</v>
      </c>
      <c r="V101" s="7" t="e">
        <f>IF(VLOOKUP($A101,'Concrete Beam Schedule'!$A$2:$Q$2902,V$2,0)&lt;&gt;F101,"Beam Revised","")</f>
        <v>#N/A</v>
      </c>
      <c r="W101" s="7" t="e">
        <f>IF(VLOOKUP($A101,'Concrete Beam Schedule'!$A$2:$Q$2902,W$2,0)&lt;&gt;G101,"Beam Revised","")</f>
        <v>#N/A</v>
      </c>
      <c r="X101" s="7" t="e">
        <f>IF(VLOOKUP($A101,'Concrete Beam Schedule'!$A$2:$Q$2902,X$2,0)&lt;&gt;H101,"Beam Revised","")</f>
        <v>#N/A</v>
      </c>
      <c r="Y101" s="7" t="e">
        <f>IF(VLOOKUP($A101,'Concrete Beam Schedule'!$A$2:$Q$2902,Y$2,0)&lt;&gt;I101,"Beam Revised","")</f>
        <v>#N/A</v>
      </c>
      <c r="Z101" s="7" t="e">
        <f>IF(VLOOKUP($A101,'Concrete Beam Schedule'!$A$2:$Q$2902,Z$2,0)&lt;&gt;J101,"Beam Revised","")</f>
        <v>#N/A</v>
      </c>
      <c r="AA101" s="7" t="e">
        <f>IF(VLOOKUP($A101,'Concrete Beam Schedule'!$A$2:$Q$2902,AA$2,0)&lt;&gt;K101,"Beam Revised","")</f>
        <v>#N/A</v>
      </c>
      <c r="AB101" s="7" t="e">
        <f>IF(VLOOKUP($A101,'Concrete Beam Schedule'!$A$2:$Q$2902,AB$2,0)&lt;&gt;L101,"Beam Revised","")</f>
        <v>#N/A</v>
      </c>
      <c r="AC101" s="7" t="e">
        <f>IF(VLOOKUP($A101,'Concrete Beam Schedule'!$A$2:$Q$2902,AC$2,0)&lt;&gt;M101,"Beam Revised","")</f>
        <v>#N/A</v>
      </c>
      <c r="AD101" s="7" t="e">
        <f>IF(VLOOKUP($A101,'Concrete Beam Schedule'!$A$2:$Q$2902,AD$2,0)&lt;&gt;N101,"Beam Revised","")</f>
        <v>#N/A</v>
      </c>
      <c r="AE101" s="7" t="e">
        <f>IF(VLOOKUP($A101,'Concrete Beam Schedule'!$A$2:$Q$2902,AE$2,0)&lt;&gt;O101,"Beam Revised","")</f>
        <v>#N/A</v>
      </c>
    </row>
    <row r="102" spans="1:31" ht="25.5" customHeight="1" x14ac:dyDescent="0.25">
      <c r="A102" s="17"/>
      <c r="B102" s="17"/>
      <c r="C102" s="17"/>
      <c r="D102" s="17"/>
      <c r="E102" s="17"/>
      <c r="F102" s="17"/>
      <c r="G102" s="17"/>
      <c r="H102" s="17"/>
      <c r="I102" s="17"/>
      <c r="J102" s="17"/>
      <c r="K102" s="17"/>
      <c r="L102" s="17"/>
      <c r="M102" s="17"/>
      <c r="N102" s="17"/>
      <c r="O102" s="17"/>
      <c r="Q102" s="7">
        <f t="shared" si="1"/>
        <v>0</v>
      </c>
      <c r="R102" s="7" t="e">
        <f>IF(VLOOKUP($A102,'Concrete Beam Schedule'!$A$2:$Q$2902,R$2,0)&lt;&gt;B102,VLOOKUP($A102,'Concrete Beam Schedule'!$A$2:$Q$2902,R$2,0),"")</f>
        <v>#N/A</v>
      </c>
      <c r="S102" s="7" t="e">
        <f>IF(VLOOKUP($A102,'Concrete Beam Schedule'!$A$2:$Q$2902,S$2,0)&lt;&gt;C102,VLOOKUP($A102,'Concrete Beam Schedule'!$A$2:$Q$2902,S$2,0),"")</f>
        <v>#N/A</v>
      </c>
      <c r="T102" s="7" t="e">
        <f>IF(VLOOKUP($A102,'Concrete Beam Schedule'!$A$2:$Q$2902,T$2,0)&lt;&gt;D102,"Beam Revised","")</f>
        <v>#N/A</v>
      </c>
      <c r="U102" s="7" t="e">
        <f>IF(VLOOKUP($A102,'Concrete Beam Schedule'!$A$2:$Q$2902,U$2,0)&lt;&gt;E102,"Beam Revised","")</f>
        <v>#N/A</v>
      </c>
      <c r="V102" s="7" t="e">
        <f>IF(VLOOKUP($A102,'Concrete Beam Schedule'!$A$2:$Q$2902,V$2,0)&lt;&gt;F102,"Beam Revised","")</f>
        <v>#N/A</v>
      </c>
      <c r="W102" s="7" t="e">
        <f>IF(VLOOKUP($A102,'Concrete Beam Schedule'!$A$2:$Q$2902,W$2,0)&lt;&gt;G102,"Beam Revised","")</f>
        <v>#N/A</v>
      </c>
      <c r="X102" s="7" t="e">
        <f>IF(VLOOKUP($A102,'Concrete Beam Schedule'!$A$2:$Q$2902,X$2,0)&lt;&gt;H102,"Beam Revised","")</f>
        <v>#N/A</v>
      </c>
      <c r="Y102" s="7" t="e">
        <f>IF(VLOOKUP($A102,'Concrete Beam Schedule'!$A$2:$Q$2902,Y$2,0)&lt;&gt;I102,"Beam Revised","")</f>
        <v>#N/A</v>
      </c>
      <c r="Z102" s="7" t="e">
        <f>IF(VLOOKUP($A102,'Concrete Beam Schedule'!$A$2:$Q$2902,Z$2,0)&lt;&gt;J102,"Beam Revised","")</f>
        <v>#N/A</v>
      </c>
      <c r="AA102" s="7" t="e">
        <f>IF(VLOOKUP($A102,'Concrete Beam Schedule'!$A$2:$Q$2902,AA$2,0)&lt;&gt;K102,"Beam Revised","")</f>
        <v>#N/A</v>
      </c>
      <c r="AB102" s="7" t="e">
        <f>IF(VLOOKUP($A102,'Concrete Beam Schedule'!$A$2:$Q$2902,AB$2,0)&lt;&gt;L102,"Beam Revised","")</f>
        <v>#N/A</v>
      </c>
      <c r="AC102" s="7" t="e">
        <f>IF(VLOOKUP($A102,'Concrete Beam Schedule'!$A$2:$Q$2902,AC$2,0)&lt;&gt;M102,"Beam Revised","")</f>
        <v>#N/A</v>
      </c>
      <c r="AD102" s="7" t="e">
        <f>IF(VLOOKUP($A102,'Concrete Beam Schedule'!$A$2:$Q$2902,AD$2,0)&lt;&gt;N102,"Beam Revised","")</f>
        <v>#N/A</v>
      </c>
      <c r="AE102" s="7" t="e">
        <f>IF(VLOOKUP($A102,'Concrete Beam Schedule'!$A$2:$Q$2902,AE$2,0)&lt;&gt;O102,"Beam Revised","")</f>
        <v>#N/A</v>
      </c>
    </row>
    <row r="103" spans="1:31" ht="25.5" customHeight="1" x14ac:dyDescent="0.25">
      <c r="A103" s="17"/>
      <c r="B103" s="17"/>
      <c r="C103" s="17"/>
      <c r="D103" s="17"/>
      <c r="E103" s="17"/>
      <c r="F103" s="17"/>
      <c r="G103" s="17"/>
      <c r="H103" s="17"/>
      <c r="I103" s="17"/>
      <c r="J103" s="17"/>
      <c r="K103" s="17"/>
      <c r="L103" s="17"/>
      <c r="M103" s="17"/>
      <c r="N103" s="17"/>
      <c r="O103" s="17"/>
      <c r="Q103" s="7">
        <f t="shared" si="1"/>
        <v>0</v>
      </c>
      <c r="R103" s="7" t="e">
        <f>IF(VLOOKUP($A103,'Concrete Beam Schedule'!$A$2:$Q$2902,R$2,0)&lt;&gt;B103,VLOOKUP($A103,'Concrete Beam Schedule'!$A$2:$Q$2902,R$2,0),"")</f>
        <v>#N/A</v>
      </c>
      <c r="S103" s="7" t="e">
        <f>IF(VLOOKUP($A103,'Concrete Beam Schedule'!$A$2:$Q$2902,S$2,0)&lt;&gt;C103,VLOOKUP($A103,'Concrete Beam Schedule'!$A$2:$Q$2902,S$2,0),"")</f>
        <v>#N/A</v>
      </c>
      <c r="T103" s="7" t="e">
        <f>IF(VLOOKUP($A103,'Concrete Beam Schedule'!$A$2:$Q$2902,T$2,0)&lt;&gt;D103,"Beam Revised","")</f>
        <v>#N/A</v>
      </c>
      <c r="U103" s="7" t="e">
        <f>IF(VLOOKUP($A103,'Concrete Beam Schedule'!$A$2:$Q$2902,U$2,0)&lt;&gt;E103,"Beam Revised","")</f>
        <v>#N/A</v>
      </c>
      <c r="V103" s="7" t="e">
        <f>IF(VLOOKUP($A103,'Concrete Beam Schedule'!$A$2:$Q$2902,V$2,0)&lt;&gt;F103,"Beam Revised","")</f>
        <v>#N/A</v>
      </c>
      <c r="W103" s="7" t="e">
        <f>IF(VLOOKUP($A103,'Concrete Beam Schedule'!$A$2:$Q$2902,W$2,0)&lt;&gt;G103,"Beam Revised","")</f>
        <v>#N/A</v>
      </c>
      <c r="X103" s="7" t="e">
        <f>IF(VLOOKUP($A103,'Concrete Beam Schedule'!$A$2:$Q$2902,X$2,0)&lt;&gt;H103,"Beam Revised","")</f>
        <v>#N/A</v>
      </c>
      <c r="Y103" s="7" t="e">
        <f>IF(VLOOKUP($A103,'Concrete Beam Schedule'!$A$2:$Q$2902,Y$2,0)&lt;&gt;I103,"Beam Revised","")</f>
        <v>#N/A</v>
      </c>
      <c r="Z103" s="7" t="e">
        <f>IF(VLOOKUP($A103,'Concrete Beam Schedule'!$A$2:$Q$2902,Z$2,0)&lt;&gt;J103,"Beam Revised","")</f>
        <v>#N/A</v>
      </c>
      <c r="AA103" s="7" t="e">
        <f>IF(VLOOKUP($A103,'Concrete Beam Schedule'!$A$2:$Q$2902,AA$2,0)&lt;&gt;K103,"Beam Revised","")</f>
        <v>#N/A</v>
      </c>
      <c r="AB103" s="7" t="e">
        <f>IF(VLOOKUP($A103,'Concrete Beam Schedule'!$A$2:$Q$2902,AB$2,0)&lt;&gt;L103,"Beam Revised","")</f>
        <v>#N/A</v>
      </c>
      <c r="AC103" s="7" t="e">
        <f>IF(VLOOKUP($A103,'Concrete Beam Schedule'!$A$2:$Q$2902,AC$2,0)&lt;&gt;M103,"Beam Revised","")</f>
        <v>#N/A</v>
      </c>
      <c r="AD103" s="7" t="e">
        <f>IF(VLOOKUP($A103,'Concrete Beam Schedule'!$A$2:$Q$2902,AD$2,0)&lt;&gt;N103,"Beam Revised","")</f>
        <v>#N/A</v>
      </c>
      <c r="AE103" s="7" t="e">
        <f>IF(VLOOKUP($A103,'Concrete Beam Schedule'!$A$2:$Q$2902,AE$2,0)&lt;&gt;O103,"Beam Revised","")</f>
        <v>#N/A</v>
      </c>
    </row>
    <row r="104" spans="1:31" ht="25.5" customHeight="1" x14ac:dyDescent="0.25">
      <c r="A104" s="17"/>
      <c r="B104" s="17"/>
      <c r="C104" s="17"/>
      <c r="D104" s="17"/>
      <c r="E104" s="17"/>
      <c r="F104" s="17"/>
      <c r="G104" s="17"/>
      <c r="H104" s="17"/>
      <c r="I104" s="17"/>
      <c r="J104" s="17"/>
      <c r="K104" s="17"/>
      <c r="L104" s="17"/>
      <c r="M104" s="17"/>
      <c r="N104" s="17"/>
      <c r="O104" s="17"/>
      <c r="Q104" s="7">
        <f t="shared" si="1"/>
        <v>0</v>
      </c>
      <c r="R104" s="7" t="e">
        <f>IF(VLOOKUP($A104,'Concrete Beam Schedule'!$A$2:$Q$2902,R$2,0)&lt;&gt;B104,VLOOKUP($A104,'Concrete Beam Schedule'!$A$2:$Q$2902,R$2,0),"")</f>
        <v>#N/A</v>
      </c>
      <c r="S104" s="7" t="e">
        <f>IF(VLOOKUP($A104,'Concrete Beam Schedule'!$A$2:$Q$2902,S$2,0)&lt;&gt;C104,VLOOKUP($A104,'Concrete Beam Schedule'!$A$2:$Q$2902,S$2,0),"")</f>
        <v>#N/A</v>
      </c>
      <c r="T104" s="7" t="e">
        <f>IF(VLOOKUP($A104,'Concrete Beam Schedule'!$A$2:$Q$2902,T$2,0)&lt;&gt;D104,"Beam Revised","")</f>
        <v>#N/A</v>
      </c>
      <c r="U104" s="7" t="e">
        <f>IF(VLOOKUP($A104,'Concrete Beam Schedule'!$A$2:$Q$2902,U$2,0)&lt;&gt;E104,"Beam Revised","")</f>
        <v>#N/A</v>
      </c>
      <c r="V104" s="7" t="e">
        <f>IF(VLOOKUP($A104,'Concrete Beam Schedule'!$A$2:$Q$2902,V$2,0)&lt;&gt;F104,"Beam Revised","")</f>
        <v>#N/A</v>
      </c>
      <c r="W104" s="7" t="e">
        <f>IF(VLOOKUP($A104,'Concrete Beam Schedule'!$A$2:$Q$2902,W$2,0)&lt;&gt;G104,"Beam Revised","")</f>
        <v>#N/A</v>
      </c>
      <c r="X104" s="7" t="e">
        <f>IF(VLOOKUP($A104,'Concrete Beam Schedule'!$A$2:$Q$2902,X$2,0)&lt;&gt;H104,"Beam Revised","")</f>
        <v>#N/A</v>
      </c>
      <c r="Y104" s="7" t="e">
        <f>IF(VLOOKUP($A104,'Concrete Beam Schedule'!$A$2:$Q$2902,Y$2,0)&lt;&gt;I104,"Beam Revised","")</f>
        <v>#N/A</v>
      </c>
      <c r="Z104" s="7" t="e">
        <f>IF(VLOOKUP($A104,'Concrete Beam Schedule'!$A$2:$Q$2902,Z$2,0)&lt;&gt;J104,"Beam Revised","")</f>
        <v>#N/A</v>
      </c>
      <c r="AA104" s="7" t="e">
        <f>IF(VLOOKUP($A104,'Concrete Beam Schedule'!$A$2:$Q$2902,AA$2,0)&lt;&gt;K104,"Beam Revised","")</f>
        <v>#N/A</v>
      </c>
      <c r="AB104" s="7" t="e">
        <f>IF(VLOOKUP($A104,'Concrete Beam Schedule'!$A$2:$Q$2902,AB$2,0)&lt;&gt;L104,"Beam Revised","")</f>
        <v>#N/A</v>
      </c>
      <c r="AC104" s="7" t="e">
        <f>IF(VLOOKUP($A104,'Concrete Beam Schedule'!$A$2:$Q$2902,AC$2,0)&lt;&gt;M104,"Beam Revised","")</f>
        <v>#N/A</v>
      </c>
      <c r="AD104" s="7" t="e">
        <f>IF(VLOOKUP($A104,'Concrete Beam Schedule'!$A$2:$Q$2902,AD$2,0)&lt;&gt;N104,"Beam Revised","")</f>
        <v>#N/A</v>
      </c>
      <c r="AE104" s="7" t="e">
        <f>IF(VLOOKUP($A104,'Concrete Beam Schedule'!$A$2:$Q$2902,AE$2,0)&lt;&gt;O104,"Beam Revised","")</f>
        <v>#N/A</v>
      </c>
    </row>
    <row r="105" spans="1:31" ht="25.5" customHeight="1" x14ac:dyDescent="0.25">
      <c r="A105" s="17"/>
      <c r="B105" s="17"/>
      <c r="C105" s="17"/>
      <c r="D105" s="17"/>
      <c r="E105" s="17"/>
      <c r="F105" s="17"/>
      <c r="G105" s="17"/>
      <c r="H105" s="17"/>
      <c r="I105" s="17"/>
      <c r="J105" s="17"/>
      <c r="K105" s="17"/>
      <c r="L105" s="17"/>
      <c r="M105" s="17"/>
      <c r="N105" s="17"/>
      <c r="O105" s="17"/>
      <c r="Q105" s="7">
        <f t="shared" si="1"/>
        <v>0</v>
      </c>
      <c r="R105" s="7" t="e">
        <f>IF(VLOOKUP($A105,'Concrete Beam Schedule'!$A$2:$Q$2902,R$2,0)&lt;&gt;B105,VLOOKUP($A105,'Concrete Beam Schedule'!$A$2:$Q$2902,R$2,0),"")</f>
        <v>#N/A</v>
      </c>
      <c r="S105" s="7" t="e">
        <f>IF(VLOOKUP($A105,'Concrete Beam Schedule'!$A$2:$Q$2902,S$2,0)&lt;&gt;C105,VLOOKUP($A105,'Concrete Beam Schedule'!$A$2:$Q$2902,S$2,0),"")</f>
        <v>#N/A</v>
      </c>
      <c r="T105" s="7" t="e">
        <f>IF(VLOOKUP($A105,'Concrete Beam Schedule'!$A$2:$Q$2902,T$2,0)&lt;&gt;D105,"Beam Revised","")</f>
        <v>#N/A</v>
      </c>
      <c r="U105" s="7" t="e">
        <f>IF(VLOOKUP($A105,'Concrete Beam Schedule'!$A$2:$Q$2902,U$2,0)&lt;&gt;E105,"Beam Revised","")</f>
        <v>#N/A</v>
      </c>
      <c r="V105" s="7" t="e">
        <f>IF(VLOOKUP($A105,'Concrete Beam Schedule'!$A$2:$Q$2902,V$2,0)&lt;&gt;F105,"Beam Revised","")</f>
        <v>#N/A</v>
      </c>
      <c r="W105" s="7" t="e">
        <f>IF(VLOOKUP($A105,'Concrete Beam Schedule'!$A$2:$Q$2902,W$2,0)&lt;&gt;G105,"Beam Revised","")</f>
        <v>#N/A</v>
      </c>
      <c r="X105" s="7" t="e">
        <f>IF(VLOOKUP($A105,'Concrete Beam Schedule'!$A$2:$Q$2902,X$2,0)&lt;&gt;H105,"Beam Revised","")</f>
        <v>#N/A</v>
      </c>
      <c r="Y105" s="7" t="e">
        <f>IF(VLOOKUP($A105,'Concrete Beam Schedule'!$A$2:$Q$2902,Y$2,0)&lt;&gt;I105,"Beam Revised","")</f>
        <v>#N/A</v>
      </c>
      <c r="Z105" s="7" t="e">
        <f>IF(VLOOKUP($A105,'Concrete Beam Schedule'!$A$2:$Q$2902,Z$2,0)&lt;&gt;J105,"Beam Revised","")</f>
        <v>#N/A</v>
      </c>
      <c r="AA105" s="7" t="e">
        <f>IF(VLOOKUP($A105,'Concrete Beam Schedule'!$A$2:$Q$2902,AA$2,0)&lt;&gt;K105,"Beam Revised","")</f>
        <v>#N/A</v>
      </c>
      <c r="AB105" s="7" t="e">
        <f>IF(VLOOKUP($A105,'Concrete Beam Schedule'!$A$2:$Q$2902,AB$2,0)&lt;&gt;L105,"Beam Revised","")</f>
        <v>#N/A</v>
      </c>
      <c r="AC105" s="7" t="e">
        <f>IF(VLOOKUP($A105,'Concrete Beam Schedule'!$A$2:$Q$2902,AC$2,0)&lt;&gt;M105,"Beam Revised","")</f>
        <v>#N/A</v>
      </c>
      <c r="AD105" s="7" t="e">
        <f>IF(VLOOKUP($A105,'Concrete Beam Schedule'!$A$2:$Q$2902,AD$2,0)&lt;&gt;N105,"Beam Revised","")</f>
        <v>#N/A</v>
      </c>
      <c r="AE105" s="7" t="e">
        <f>IF(VLOOKUP($A105,'Concrete Beam Schedule'!$A$2:$Q$2902,AE$2,0)&lt;&gt;O105,"Beam Revised","")</f>
        <v>#N/A</v>
      </c>
    </row>
    <row r="106" spans="1:31" ht="25.5" customHeight="1" x14ac:dyDescent="0.25">
      <c r="A106" s="17"/>
      <c r="B106" s="17"/>
      <c r="C106" s="17"/>
      <c r="D106" s="17"/>
      <c r="E106" s="17"/>
      <c r="F106" s="17"/>
      <c r="G106" s="17"/>
      <c r="H106" s="17"/>
      <c r="I106" s="17"/>
      <c r="J106" s="17"/>
      <c r="K106" s="17"/>
      <c r="L106" s="17"/>
      <c r="M106" s="17"/>
      <c r="N106" s="17"/>
      <c r="O106" s="17"/>
      <c r="Q106" s="7">
        <f t="shared" si="1"/>
        <v>0</v>
      </c>
      <c r="R106" s="7" t="e">
        <f>IF(VLOOKUP($A106,'Concrete Beam Schedule'!$A$2:$Q$2902,R$2,0)&lt;&gt;B106,VLOOKUP($A106,'Concrete Beam Schedule'!$A$2:$Q$2902,R$2,0),"")</f>
        <v>#N/A</v>
      </c>
      <c r="S106" s="7" t="e">
        <f>IF(VLOOKUP($A106,'Concrete Beam Schedule'!$A$2:$Q$2902,S$2,0)&lt;&gt;C106,VLOOKUP($A106,'Concrete Beam Schedule'!$A$2:$Q$2902,S$2,0),"")</f>
        <v>#N/A</v>
      </c>
      <c r="T106" s="7" t="e">
        <f>IF(VLOOKUP($A106,'Concrete Beam Schedule'!$A$2:$Q$2902,T$2,0)&lt;&gt;D106,"Beam Revised","")</f>
        <v>#N/A</v>
      </c>
      <c r="U106" s="7" t="e">
        <f>IF(VLOOKUP($A106,'Concrete Beam Schedule'!$A$2:$Q$2902,U$2,0)&lt;&gt;E106,"Beam Revised","")</f>
        <v>#N/A</v>
      </c>
      <c r="V106" s="7" t="e">
        <f>IF(VLOOKUP($A106,'Concrete Beam Schedule'!$A$2:$Q$2902,V$2,0)&lt;&gt;F106,"Beam Revised","")</f>
        <v>#N/A</v>
      </c>
      <c r="W106" s="7" t="e">
        <f>IF(VLOOKUP($A106,'Concrete Beam Schedule'!$A$2:$Q$2902,W$2,0)&lt;&gt;G106,"Beam Revised","")</f>
        <v>#N/A</v>
      </c>
      <c r="X106" s="7" t="e">
        <f>IF(VLOOKUP($A106,'Concrete Beam Schedule'!$A$2:$Q$2902,X$2,0)&lt;&gt;H106,"Beam Revised","")</f>
        <v>#N/A</v>
      </c>
      <c r="Y106" s="7" t="e">
        <f>IF(VLOOKUP($A106,'Concrete Beam Schedule'!$A$2:$Q$2902,Y$2,0)&lt;&gt;I106,"Beam Revised","")</f>
        <v>#N/A</v>
      </c>
      <c r="Z106" s="7" t="e">
        <f>IF(VLOOKUP($A106,'Concrete Beam Schedule'!$A$2:$Q$2902,Z$2,0)&lt;&gt;J106,"Beam Revised","")</f>
        <v>#N/A</v>
      </c>
      <c r="AA106" s="7" t="e">
        <f>IF(VLOOKUP($A106,'Concrete Beam Schedule'!$A$2:$Q$2902,AA$2,0)&lt;&gt;K106,"Beam Revised","")</f>
        <v>#N/A</v>
      </c>
      <c r="AB106" s="7" t="e">
        <f>IF(VLOOKUP($A106,'Concrete Beam Schedule'!$A$2:$Q$2902,AB$2,0)&lt;&gt;L106,"Beam Revised","")</f>
        <v>#N/A</v>
      </c>
      <c r="AC106" s="7" t="e">
        <f>IF(VLOOKUP($A106,'Concrete Beam Schedule'!$A$2:$Q$2902,AC$2,0)&lt;&gt;M106,"Beam Revised","")</f>
        <v>#N/A</v>
      </c>
      <c r="AD106" s="7" t="e">
        <f>IF(VLOOKUP($A106,'Concrete Beam Schedule'!$A$2:$Q$2902,AD$2,0)&lt;&gt;N106,"Beam Revised","")</f>
        <v>#N/A</v>
      </c>
      <c r="AE106" s="7" t="e">
        <f>IF(VLOOKUP($A106,'Concrete Beam Schedule'!$A$2:$Q$2902,AE$2,0)&lt;&gt;O106,"Beam Revised","")</f>
        <v>#N/A</v>
      </c>
    </row>
    <row r="107" spans="1:31" ht="25.5" customHeight="1" x14ac:dyDescent="0.25">
      <c r="A107" s="17"/>
      <c r="B107" s="17"/>
      <c r="C107" s="17"/>
      <c r="D107" s="17"/>
      <c r="E107" s="17"/>
      <c r="F107" s="17"/>
      <c r="G107" s="17"/>
      <c r="H107" s="17"/>
      <c r="I107" s="17"/>
      <c r="J107" s="17"/>
      <c r="K107" s="17"/>
      <c r="L107" s="17"/>
      <c r="M107" s="17"/>
      <c r="N107" s="17"/>
      <c r="O107" s="17"/>
      <c r="Q107" s="7">
        <f t="shared" si="1"/>
        <v>0</v>
      </c>
      <c r="R107" s="7" t="e">
        <f>IF(VLOOKUP($A107,'Concrete Beam Schedule'!$A$2:$Q$2902,R$2,0)&lt;&gt;B107,VLOOKUP($A107,'Concrete Beam Schedule'!$A$2:$Q$2902,R$2,0),"")</f>
        <v>#N/A</v>
      </c>
      <c r="S107" s="7" t="e">
        <f>IF(VLOOKUP($A107,'Concrete Beam Schedule'!$A$2:$Q$2902,S$2,0)&lt;&gt;C107,VLOOKUP($A107,'Concrete Beam Schedule'!$A$2:$Q$2902,S$2,0),"")</f>
        <v>#N/A</v>
      </c>
      <c r="T107" s="7" t="e">
        <f>IF(VLOOKUP($A107,'Concrete Beam Schedule'!$A$2:$Q$2902,T$2,0)&lt;&gt;D107,"Beam Revised","")</f>
        <v>#N/A</v>
      </c>
      <c r="U107" s="7" t="e">
        <f>IF(VLOOKUP($A107,'Concrete Beam Schedule'!$A$2:$Q$2902,U$2,0)&lt;&gt;E107,"Beam Revised","")</f>
        <v>#N/A</v>
      </c>
      <c r="V107" s="7" t="e">
        <f>IF(VLOOKUP($A107,'Concrete Beam Schedule'!$A$2:$Q$2902,V$2,0)&lt;&gt;F107,"Beam Revised","")</f>
        <v>#N/A</v>
      </c>
      <c r="W107" s="7" t="e">
        <f>IF(VLOOKUP($A107,'Concrete Beam Schedule'!$A$2:$Q$2902,W$2,0)&lt;&gt;G107,"Beam Revised","")</f>
        <v>#N/A</v>
      </c>
      <c r="X107" s="7" t="e">
        <f>IF(VLOOKUP($A107,'Concrete Beam Schedule'!$A$2:$Q$2902,X$2,0)&lt;&gt;H107,"Beam Revised","")</f>
        <v>#N/A</v>
      </c>
      <c r="Y107" s="7" t="e">
        <f>IF(VLOOKUP($A107,'Concrete Beam Schedule'!$A$2:$Q$2902,Y$2,0)&lt;&gt;I107,"Beam Revised","")</f>
        <v>#N/A</v>
      </c>
      <c r="Z107" s="7" t="e">
        <f>IF(VLOOKUP($A107,'Concrete Beam Schedule'!$A$2:$Q$2902,Z$2,0)&lt;&gt;J107,"Beam Revised","")</f>
        <v>#N/A</v>
      </c>
      <c r="AA107" s="7" t="e">
        <f>IF(VLOOKUP($A107,'Concrete Beam Schedule'!$A$2:$Q$2902,AA$2,0)&lt;&gt;K107,"Beam Revised","")</f>
        <v>#N/A</v>
      </c>
      <c r="AB107" s="7" t="e">
        <f>IF(VLOOKUP($A107,'Concrete Beam Schedule'!$A$2:$Q$2902,AB$2,0)&lt;&gt;L107,"Beam Revised","")</f>
        <v>#N/A</v>
      </c>
      <c r="AC107" s="7" t="e">
        <f>IF(VLOOKUP($A107,'Concrete Beam Schedule'!$A$2:$Q$2902,AC$2,0)&lt;&gt;M107,"Beam Revised","")</f>
        <v>#N/A</v>
      </c>
      <c r="AD107" s="7" t="e">
        <f>IF(VLOOKUP($A107,'Concrete Beam Schedule'!$A$2:$Q$2902,AD$2,0)&lt;&gt;N107,"Beam Revised","")</f>
        <v>#N/A</v>
      </c>
      <c r="AE107" s="7" t="e">
        <f>IF(VLOOKUP($A107,'Concrete Beam Schedule'!$A$2:$Q$2902,AE$2,0)&lt;&gt;O107,"Beam Revised","")</f>
        <v>#N/A</v>
      </c>
    </row>
    <row r="108" spans="1:31" ht="25.5" customHeight="1" x14ac:dyDescent="0.25">
      <c r="A108" s="17"/>
      <c r="B108" s="17"/>
      <c r="C108" s="17"/>
      <c r="D108" s="17"/>
      <c r="E108" s="17"/>
      <c r="F108" s="17"/>
      <c r="G108" s="17"/>
      <c r="H108" s="17"/>
      <c r="I108" s="17"/>
      <c r="J108" s="17"/>
      <c r="K108" s="17"/>
      <c r="L108" s="17"/>
      <c r="M108" s="17"/>
      <c r="N108" s="17"/>
      <c r="O108" s="17"/>
      <c r="Q108" s="7">
        <f t="shared" si="1"/>
        <v>0</v>
      </c>
      <c r="R108" s="7" t="e">
        <f>IF(VLOOKUP($A108,'Concrete Beam Schedule'!$A$2:$Q$2902,R$2,0)&lt;&gt;B108,VLOOKUP($A108,'Concrete Beam Schedule'!$A$2:$Q$2902,R$2,0),"")</f>
        <v>#N/A</v>
      </c>
      <c r="S108" s="7" t="e">
        <f>IF(VLOOKUP($A108,'Concrete Beam Schedule'!$A$2:$Q$2902,S$2,0)&lt;&gt;C108,VLOOKUP($A108,'Concrete Beam Schedule'!$A$2:$Q$2902,S$2,0),"")</f>
        <v>#N/A</v>
      </c>
      <c r="T108" s="7" t="e">
        <f>IF(VLOOKUP($A108,'Concrete Beam Schedule'!$A$2:$Q$2902,T$2,0)&lt;&gt;D108,"Beam Revised","")</f>
        <v>#N/A</v>
      </c>
      <c r="U108" s="7" t="e">
        <f>IF(VLOOKUP($A108,'Concrete Beam Schedule'!$A$2:$Q$2902,U$2,0)&lt;&gt;E108,"Beam Revised","")</f>
        <v>#N/A</v>
      </c>
      <c r="V108" s="7" t="e">
        <f>IF(VLOOKUP($A108,'Concrete Beam Schedule'!$A$2:$Q$2902,V$2,0)&lt;&gt;F108,"Beam Revised","")</f>
        <v>#N/A</v>
      </c>
      <c r="W108" s="7" t="e">
        <f>IF(VLOOKUP($A108,'Concrete Beam Schedule'!$A$2:$Q$2902,W$2,0)&lt;&gt;G108,"Beam Revised","")</f>
        <v>#N/A</v>
      </c>
      <c r="X108" s="7" t="e">
        <f>IF(VLOOKUP($A108,'Concrete Beam Schedule'!$A$2:$Q$2902,X$2,0)&lt;&gt;H108,"Beam Revised","")</f>
        <v>#N/A</v>
      </c>
      <c r="Y108" s="7" t="e">
        <f>IF(VLOOKUP($A108,'Concrete Beam Schedule'!$A$2:$Q$2902,Y$2,0)&lt;&gt;I108,"Beam Revised","")</f>
        <v>#N/A</v>
      </c>
      <c r="Z108" s="7" t="e">
        <f>IF(VLOOKUP($A108,'Concrete Beam Schedule'!$A$2:$Q$2902,Z$2,0)&lt;&gt;J108,"Beam Revised","")</f>
        <v>#N/A</v>
      </c>
      <c r="AA108" s="7" t="e">
        <f>IF(VLOOKUP($A108,'Concrete Beam Schedule'!$A$2:$Q$2902,AA$2,0)&lt;&gt;K108,"Beam Revised","")</f>
        <v>#N/A</v>
      </c>
      <c r="AB108" s="7" t="e">
        <f>IF(VLOOKUP($A108,'Concrete Beam Schedule'!$A$2:$Q$2902,AB$2,0)&lt;&gt;L108,"Beam Revised","")</f>
        <v>#N/A</v>
      </c>
      <c r="AC108" s="7" t="e">
        <f>IF(VLOOKUP($A108,'Concrete Beam Schedule'!$A$2:$Q$2902,AC$2,0)&lt;&gt;M108,"Beam Revised","")</f>
        <v>#N/A</v>
      </c>
      <c r="AD108" s="7" t="e">
        <f>IF(VLOOKUP($A108,'Concrete Beam Schedule'!$A$2:$Q$2902,AD$2,0)&lt;&gt;N108,"Beam Revised","")</f>
        <v>#N/A</v>
      </c>
      <c r="AE108" s="7" t="e">
        <f>IF(VLOOKUP($A108,'Concrete Beam Schedule'!$A$2:$Q$2902,AE$2,0)&lt;&gt;O108,"Beam Revised","")</f>
        <v>#N/A</v>
      </c>
    </row>
    <row r="109" spans="1:31" ht="25.5" customHeight="1" x14ac:dyDescent="0.25">
      <c r="A109" s="17"/>
      <c r="B109" s="17"/>
      <c r="C109" s="17"/>
      <c r="D109" s="17"/>
      <c r="E109" s="17"/>
      <c r="F109" s="17"/>
      <c r="G109" s="17"/>
      <c r="H109" s="17"/>
      <c r="I109" s="17"/>
      <c r="J109" s="17"/>
      <c r="K109" s="17"/>
      <c r="L109" s="17"/>
      <c r="M109" s="17"/>
      <c r="N109" s="17"/>
      <c r="O109" s="17"/>
      <c r="Q109" s="7">
        <f t="shared" si="1"/>
        <v>0</v>
      </c>
      <c r="R109" s="7" t="e">
        <f>IF(VLOOKUP($A109,'Concrete Beam Schedule'!$A$2:$Q$2902,R$2,0)&lt;&gt;B109,VLOOKUP($A109,'Concrete Beam Schedule'!$A$2:$Q$2902,R$2,0),"")</f>
        <v>#N/A</v>
      </c>
      <c r="S109" s="7" t="e">
        <f>IF(VLOOKUP($A109,'Concrete Beam Schedule'!$A$2:$Q$2902,S$2,0)&lt;&gt;C109,VLOOKUP($A109,'Concrete Beam Schedule'!$A$2:$Q$2902,S$2,0),"")</f>
        <v>#N/A</v>
      </c>
      <c r="T109" s="7" t="e">
        <f>IF(VLOOKUP($A109,'Concrete Beam Schedule'!$A$2:$Q$2902,T$2,0)&lt;&gt;D109,"Beam Revised","")</f>
        <v>#N/A</v>
      </c>
      <c r="U109" s="7" t="e">
        <f>IF(VLOOKUP($A109,'Concrete Beam Schedule'!$A$2:$Q$2902,U$2,0)&lt;&gt;E109,"Beam Revised","")</f>
        <v>#N/A</v>
      </c>
      <c r="V109" s="7" t="e">
        <f>IF(VLOOKUP($A109,'Concrete Beam Schedule'!$A$2:$Q$2902,V$2,0)&lt;&gt;F109,"Beam Revised","")</f>
        <v>#N/A</v>
      </c>
      <c r="W109" s="7" t="e">
        <f>IF(VLOOKUP($A109,'Concrete Beam Schedule'!$A$2:$Q$2902,W$2,0)&lt;&gt;G109,"Beam Revised","")</f>
        <v>#N/A</v>
      </c>
      <c r="X109" s="7" t="e">
        <f>IF(VLOOKUP($A109,'Concrete Beam Schedule'!$A$2:$Q$2902,X$2,0)&lt;&gt;H109,"Beam Revised","")</f>
        <v>#N/A</v>
      </c>
      <c r="Y109" s="7" t="e">
        <f>IF(VLOOKUP($A109,'Concrete Beam Schedule'!$A$2:$Q$2902,Y$2,0)&lt;&gt;I109,"Beam Revised","")</f>
        <v>#N/A</v>
      </c>
      <c r="Z109" s="7" t="e">
        <f>IF(VLOOKUP($A109,'Concrete Beam Schedule'!$A$2:$Q$2902,Z$2,0)&lt;&gt;J109,"Beam Revised","")</f>
        <v>#N/A</v>
      </c>
      <c r="AA109" s="7" t="e">
        <f>IF(VLOOKUP($A109,'Concrete Beam Schedule'!$A$2:$Q$2902,AA$2,0)&lt;&gt;K109,"Beam Revised","")</f>
        <v>#N/A</v>
      </c>
      <c r="AB109" s="7" t="e">
        <f>IF(VLOOKUP($A109,'Concrete Beam Schedule'!$A$2:$Q$2902,AB$2,0)&lt;&gt;L109,"Beam Revised","")</f>
        <v>#N/A</v>
      </c>
      <c r="AC109" s="7" t="e">
        <f>IF(VLOOKUP($A109,'Concrete Beam Schedule'!$A$2:$Q$2902,AC$2,0)&lt;&gt;M109,"Beam Revised","")</f>
        <v>#N/A</v>
      </c>
      <c r="AD109" s="7" t="e">
        <f>IF(VLOOKUP($A109,'Concrete Beam Schedule'!$A$2:$Q$2902,AD$2,0)&lt;&gt;N109,"Beam Revised","")</f>
        <v>#N/A</v>
      </c>
      <c r="AE109" s="7" t="e">
        <f>IF(VLOOKUP($A109,'Concrete Beam Schedule'!$A$2:$Q$2902,AE$2,0)&lt;&gt;O109,"Beam Revised","")</f>
        <v>#N/A</v>
      </c>
    </row>
    <row r="110" spans="1:31" ht="25.5" customHeight="1" x14ac:dyDescent="0.25">
      <c r="A110" s="17"/>
      <c r="B110" s="17"/>
      <c r="C110" s="17"/>
      <c r="D110" s="17"/>
      <c r="E110" s="17"/>
      <c r="F110" s="17"/>
      <c r="G110" s="17"/>
      <c r="H110" s="17"/>
      <c r="I110" s="17"/>
      <c r="J110" s="17"/>
      <c r="K110" s="17"/>
      <c r="L110" s="17"/>
      <c r="M110" s="17"/>
      <c r="N110" s="17"/>
      <c r="O110" s="17"/>
      <c r="Q110" s="7">
        <f t="shared" si="1"/>
        <v>0</v>
      </c>
      <c r="R110" s="7" t="e">
        <f>IF(VLOOKUP($A110,'Concrete Beam Schedule'!$A$2:$Q$2902,R$2,0)&lt;&gt;B110,VLOOKUP($A110,'Concrete Beam Schedule'!$A$2:$Q$2902,R$2,0),"")</f>
        <v>#N/A</v>
      </c>
      <c r="S110" s="7" t="e">
        <f>IF(VLOOKUP($A110,'Concrete Beam Schedule'!$A$2:$Q$2902,S$2,0)&lt;&gt;C110,VLOOKUP($A110,'Concrete Beam Schedule'!$A$2:$Q$2902,S$2,0),"")</f>
        <v>#N/A</v>
      </c>
      <c r="T110" s="7" t="e">
        <f>IF(VLOOKUP($A110,'Concrete Beam Schedule'!$A$2:$Q$2902,T$2,0)&lt;&gt;D110,"Beam Revised","")</f>
        <v>#N/A</v>
      </c>
      <c r="U110" s="7" t="e">
        <f>IF(VLOOKUP($A110,'Concrete Beam Schedule'!$A$2:$Q$2902,U$2,0)&lt;&gt;E110,"Beam Revised","")</f>
        <v>#N/A</v>
      </c>
      <c r="V110" s="7" t="e">
        <f>IF(VLOOKUP($A110,'Concrete Beam Schedule'!$A$2:$Q$2902,V$2,0)&lt;&gt;F110,"Beam Revised","")</f>
        <v>#N/A</v>
      </c>
      <c r="W110" s="7" t="e">
        <f>IF(VLOOKUP($A110,'Concrete Beam Schedule'!$A$2:$Q$2902,W$2,0)&lt;&gt;G110,"Beam Revised","")</f>
        <v>#N/A</v>
      </c>
      <c r="X110" s="7" t="e">
        <f>IF(VLOOKUP($A110,'Concrete Beam Schedule'!$A$2:$Q$2902,X$2,0)&lt;&gt;H110,"Beam Revised","")</f>
        <v>#N/A</v>
      </c>
      <c r="Y110" s="7" t="e">
        <f>IF(VLOOKUP($A110,'Concrete Beam Schedule'!$A$2:$Q$2902,Y$2,0)&lt;&gt;I110,"Beam Revised","")</f>
        <v>#N/A</v>
      </c>
      <c r="Z110" s="7" t="e">
        <f>IF(VLOOKUP($A110,'Concrete Beam Schedule'!$A$2:$Q$2902,Z$2,0)&lt;&gt;J110,"Beam Revised","")</f>
        <v>#N/A</v>
      </c>
      <c r="AA110" s="7" t="e">
        <f>IF(VLOOKUP($A110,'Concrete Beam Schedule'!$A$2:$Q$2902,AA$2,0)&lt;&gt;K110,"Beam Revised","")</f>
        <v>#N/A</v>
      </c>
      <c r="AB110" s="7" t="e">
        <f>IF(VLOOKUP($A110,'Concrete Beam Schedule'!$A$2:$Q$2902,AB$2,0)&lt;&gt;L110,"Beam Revised","")</f>
        <v>#N/A</v>
      </c>
      <c r="AC110" s="7" t="e">
        <f>IF(VLOOKUP($A110,'Concrete Beam Schedule'!$A$2:$Q$2902,AC$2,0)&lt;&gt;M110,"Beam Revised","")</f>
        <v>#N/A</v>
      </c>
      <c r="AD110" s="7" t="e">
        <f>IF(VLOOKUP($A110,'Concrete Beam Schedule'!$A$2:$Q$2902,AD$2,0)&lt;&gt;N110,"Beam Revised","")</f>
        <v>#N/A</v>
      </c>
      <c r="AE110" s="7" t="e">
        <f>IF(VLOOKUP($A110,'Concrete Beam Schedule'!$A$2:$Q$2902,AE$2,0)&lt;&gt;O110,"Beam Revised","")</f>
        <v>#N/A</v>
      </c>
    </row>
    <row r="111" spans="1:31" ht="25.5" customHeight="1" x14ac:dyDescent="0.25">
      <c r="A111" s="17"/>
      <c r="B111" s="17"/>
      <c r="C111" s="17"/>
      <c r="D111" s="17"/>
      <c r="E111" s="17"/>
      <c r="F111" s="17"/>
      <c r="G111" s="17"/>
      <c r="H111" s="17"/>
      <c r="I111" s="17"/>
      <c r="J111" s="17"/>
      <c r="K111" s="17"/>
      <c r="L111" s="17"/>
      <c r="M111" s="17"/>
      <c r="N111" s="17"/>
      <c r="O111" s="17"/>
      <c r="Q111" s="7">
        <f t="shared" si="1"/>
        <v>0</v>
      </c>
      <c r="R111" s="7" t="e">
        <f>IF(VLOOKUP($A111,'Concrete Beam Schedule'!$A$2:$Q$2902,R$2,0)&lt;&gt;B111,VLOOKUP($A111,'Concrete Beam Schedule'!$A$2:$Q$2902,R$2,0),"")</f>
        <v>#N/A</v>
      </c>
      <c r="S111" s="7" t="e">
        <f>IF(VLOOKUP($A111,'Concrete Beam Schedule'!$A$2:$Q$2902,S$2,0)&lt;&gt;C111,VLOOKUP($A111,'Concrete Beam Schedule'!$A$2:$Q$2902,S$2,0),"")</f>
        <v>#N/A</v>
      </c>
      <c r="T111" s="7" t="e">
        <f>IF(VLOOKUP($A111,'Concrete Beam Schedule'!$A$2:$Q$2902,T$2,0)&lt;&gt;D111,"Beam Revised","")</f>
        <v>#N/A</v>
      </c>
      <c r="U111" s="7" t="e">
        <f>IF(VLOOKUP($A111,'Concrete Beam Schedule'!$A$2:$Q$2902,U$2,0)&lt;&gt;E111,"Beam Revised","")</f>
        <v>#N/A</v>
      </c>
      <c r="V111" s="7" t="e">
        <f>IF(VLOOKUP($A111,'Concrete Beam Schedule'!$A$2:$Q$2902,V$2,0)&lt;&gt;F111,"Beam Revised","")</f>
        <v>#N/A</v>
      </c>
      <c r="W111" s="7" t="e">
        <f>IF(VLOOKUP($A111,'Concrete Beam Schedule'!$A$2:$Q$2902,W$2,0)&lt;&gt;G111,"Beam Revised","")</f>
        <v>#N/A</v>
      </c>
      <c r="X111" s="7" t="e">
        <f>IF(VLOOKUP($A111,'Concrete Beam Schedule'!$A$2:$Q$2902,X$2,0)&lt;&gt;H111,"Beam Revised","")</f>
        <v>#N/A</v>
      </c>
      <c r="Y111" s="7" t="e">
        <f>IF(VLOOKUP($A111,'Concrete Beam Schedule'!$A$2:$Q$2902,Y$2,0)&lt;&gt;I111,"Beam Revised","")</f>
        <v>#N/A</v>
      </c>
      <c r="Z111" s="7" t="e">
        <f>IF(VLOOKUP($A111,'Concrete Beam Schedule'!$A$2:$Q$2902,Z$2,0)&lt;&gt;J111,"Beam Revised","")</f>
        <v>#N/A</v>
      </c>
      <c r="AA111" s="7" t="e">
        <f>IF(VLOOKUP($A111,'Concrete Beam Schedule'!$A$2:$Q$2902,AA$2,0)&lt;&gt;K111,"Beam Revised","")</f>
        <v>#N/A</v>
      </c>
      <c r="AB111" s="7" t="e">
        <f>IF(VLOOKUP($A111,'Concrete Beam Schedule'!$A$2:$Q$2902,AB$2,0)&lt;&gt;L111,"Beam Revised","")</f>
        <v>#N/A</v>
      </c>
      <c r="AC111" s="7" t="e">
        <f>IF(VLOOKUP($A111,'Concrete Beam Schedule'!$A$2:$Q$2902,AC$2,0)&lt;&gt;M111,"Beam Revised","")</f>
        <v>#N/A</v>
      </c>
      <c r="AD111" s="7" t="e">
        <f>IF(VLOOKUP($A111,'Concrete Beam Schedule'!$A$2:$Q$2902,AD$2,0)&lt;&gt;N111,"Beam Revised","")</f>
        <v>#N/A</v>
      </c>
      <c r="AE111" s="7" t="e">
        <f>IF(VLOOKUP($A111,'Concrete Beam Schedule'!$A$2:$Q$2902,AE$2,0)&lt;&gt;O111,"Beam Revised","")</f>
        <v>#N/A</v>
      </c>
    </row>
    <row r="112" spans="1:31" ht="25.5" customHeight="1" x14ac:dyDescent="0.25">
      <c r="A112" s="17"/>
      <c r="B112" s="17"/>
      <c r="C112" s="17"/>
      <c r="D112" s="17"/>
      <c r="E112" s="17"/>
      <c r="F112" s="17"/>
      <c r="G112" s="17"/>
      <c r="H112" s="17"/>
      <c r="I112" s="17"/>
      <c r="J112" s="17"/>
      <c r="K112" s="17"/>
      <c r="L112" s="17"/>
      <c r="M112" s="17"/>
      <c r="N112" s="17"/>
      <c r="O112" s="17"/>
      <c r="Q112" s="7">
        <f t="shared" si="1"/>
        <v>0</v>
      </c>
      <c r="R112" s="7" t="e">
        <f>IF(VLOOKUP($A112,'Concrete Beam Schedule'!$A$2:$Q$2902,R$2,0)&lt;&gt;B112,VLOOKUP($A112,'Concrete Beam Schedule'!$A$2:$Q$2902,R$2,0),"")</f>
        <v>#N/A</v>
      </c>
      <c r="S112" s="7" t="e">
        <f>IF(VLOOKUP($A112,'Concrete Beam Schedule'!$A$2:$Q$2902,S$2,0)&lt;&gt;C112,VLOOKUP($A112,'Concrete Beam Schedule'!$A$2:$Q$2902,S$2,0),"")</f>
        <v>#N/A</v>
      </c>
      <c r="T112" s="7" t="e">
        <f>IF(VLOOKUP($A112,'Concrete Beam Schedule'!$A$2:$Q$2902,T$2,0)&lt;&gt;D112,"Beam Revised","")</f>
        <v>#N/A</v>
      </c>
      <c r="U112" s="7" t="e">
        <f>IF(VLOOKUP($A112,'Concrete Beam Schedule'!$A$2:$Q$2902,U$2,0)&lt;&gt;E112,"Beam Revised","")</f>
        <v>#N/A</v>
      </c>
      <c r="V112" s="7" t="e">
        <f>IF(VLOOKUP($A112,'Concrete Beam Schedule'!$A$2:$Q$2902,V$2,0)&lt;&gt;F112,"Beam Revised","")</f>
        <v>#N/A</v>
      </c>
      <c r="W112" s="7" t="e">
        <f>IF(VLOOKUP($A112,'Concrete Beam Schedule'!$A$2:$Q$2902,W$2,0)&lt;&gt;G112,"Beam Revised","")</f>
        <v>#N/A</v>
      </c>
      <c r="X112" s="7" t="e">
        <f>IF(VLOOKUP($A112,'Concrete Beam Schedule'!$A$2:$Q$2902,X$2,0)&lt;&gt;H112,"Beam Revised","")</f>
        <v>#N/A</v>
      </c>
      <c r="Y112" s="7" t="e">
        <f>IF(VLOOKUP($A112,'Concrete Beam Schedule'!$A$2:$Q$2902,Y$2,0)&lt;&gt;I112,"Beam Revised","")</f>
        <v>#N/A</v>
      </c>
      <c r="Z112" s="7" t="e">
        <f>IF(VLOOKUP($A112,'Concrete Beam Schedule'!$A$2:$Q$2902,Z$2,0)&lt;&gt;J112,"Beam Revised","")</f>
        <v>#N/A</v>
      </c>
      <c r="AA112" s="7" t="e">
        <f>IF(VLOOKUP($A112,'Concrete Beam Schedule'!$A$2:$Q$2902,AA$2,0)&lt;&gt;K112,"Beam Revised","")</f>
        <v>#N/A</v>
      </c>
      <c r="AB112" s="7" t="e">
        <f>IF(VLOOKUP($A112,'Concrete Beam Schedule'!$A$2:$Q$2902,AB$2,0)&lt;&gt;L112,"Beam Revised","")</f>
        <v>#N/A</v>
      </c>
      <c r="AC112" s="7" t="e">
        <f>IF(VLOOKUP($A112,'Concrete Beam Schedule'!$A$2:$Q$2902,AC$2,0)&lt;&gt;M112,"Beam Revised","")</f>
        <v>#N/A</v>
      </c>
      <c r="AD112" s="7" t="e">
        <f>IF(VLOOKUP($A112,'Concrete Beam Schedule'!$A$2:$Q$2902,AD$2,0)&lt;&gt;N112,"Beam Revised","")</f>
        <v>#N/A</v>
      </c>
      <c r="AE112" s="7" t="e">
        <f>IF(VLOOKUP($A112,'Concrete Beam Schedule'!$A$2:$Q$2902,AE$2,0)&lt;&gt;O112,"Beam Revised","")</f>
        <v>#N/A</v>
      </c>
    </row>
    <row r="113" spans="1:31" ht="25.5" customHeight="1" x14ac:dyDescent="0.25">
      <c r="A113" s="17"/>
      <c r="B113" s="17"/>
      <c r="C113" s="17"/>
      <c r="D113" s="17"/>
      <c r="E113" s="17"/>
      <c r="F113" s="17"/>
      <c r="G113" s="17"/>
      <c r="H113" s="17"/>
      <c r="I113" s="17"/>
      <c r="J113" s="17"/>
      <c r="K113" s="17"/>
      <c r="L113" s="17"/>
      <c r="M113" s="17"/>
      <c r="N113" s="17"/>
      <c r="O113" s="17"/>
      <c r="Q113" s="7">
        <f t="shared" si="1"/>
        <v>0</v>
      </c>
      <c r="R113" s="7" t="e">
        <f>IF(VLOOKUP($A113,'Concrete Beam Schedule'!$A$2:$Q$2902,R$2,0)&lt;&gt;B113,VLOOKUP($A113,'Concrete Beam Schedule'!$A$2:$Q$2902,R$2,0),"")</f>
        <v>#N/A</v>
      </c>
      <c r="S113" s="7" t="e">
        <f>IF(VLOOKUP($A113,'Concrete Beam Schedule'!$A$2:$Q$2902,S$2,0)&lt;&gt;C113,VLOOKUP($A113,'Concrete Beam Schedule'!$A$2:$Q$2902,S$2,0),"")</f>
        <v>#N/A</v>
      </c>
      <c r="T113" s="7" t="e">
        <f>IF(VLOOKUP($A113,'Concrete Beam Schedule'!$A$2:$Q$2902,T$2,0)&lt;&gt;D113,"Beam Revised","")</f>
        <v>#N/A</v>
      </c>
      <c r="U113" s="7" t="e">
        <f>IF(VLOOKUP($A113,'Concrete Beam Schedule'!$A$2:$Q$2902,U$2,0)&lt;&gt;E113,"Beam Revised","")</f>
        <v>#N/A</v>
      </c>
      <c r="V113" s="7" t="e">
        <f>IF(VLOOKUP($A113,'Concrete Beam Schedule'!$A$2:$Q$2902,V$2,0)&lt;&gt;F113,"Beam Revised","")</f>
        <v>#N/A</v>
      </c>
      <c r="W113" s="7" t="e">
        <f>IF(VLOOKUP($A113,'Concrete Beam Schedule'!$A$2:$Q$2902,W$2,0)&lt;&gt;G113,"Beam Revised","")</f>
        <v>#N/A</v>
      </c>
      <c r="X113" s="7" t="e">
        <f>IF(VLOOKUP($A113,'Concrete Beam Schedule'!$A$2:$Q$2902,X$2,0)&lt;&gt;H113,"Beam Revised","")</f>
        <v>#N/A</v>
      </c>
      <c r="Y113" s="7" t="e">
        <f>IF(VLOOKUP($A113,'Concrete Beam Schedule'!$A$2:$Q$2902,Y$2,0)&lt;&gt;I113,"Beam Revised","")</f>
        <v>#N/A</v>
      </c>
      <c r="Z113" s="7" t="e">
        <f>IF(VLOOKUP($A113,'Concrete Beam Schedule'!$A$2:$Q$2902,Z$2,0)&lt;&gt;J113,"Beam Revised","")</f>
        <v>#N/A</v>
      </c>
      <c r="AA113" s="7" t="e">
        <f>IF(VLOOKUP($A113,'Concrete Beam Schedule'!$A$2:$Q$2902,AA$2,0)&lt;&gt;K113,"Beam Revised","")</f>
        <v>#N/A</v>
      </c>
      <c r="AB113" s="7" t="e">
        <f>IF(VLOOKUP($A113,'Concrete Beam Schedule'!$A$2:$Q$2902,AB$2,0)&lt;&gt;L113,"Beam Revised","")</f>
        <v>#N/A</v>
      </c>
      <c r="AC113" s="7" t="e">
        <f>IF(VLOOKUP($A113,'Concrete Beam Schedule'!$A$2:$Q$2902,AC$2,0)&lt;&gt;M113,"Beam Revised","")</f>
        <v>#N/A</v>
      </c>
      <c r="AD113" s="7" t="e">
        <f>IF(VLOOKUP($A113,'Concrete Beam Schedule'!$A$2:$Q$2902,AD$2,0)&lt;&gt;N113,"Beam Revised","")</f>
        <v>#N/A</v>
      </c>
      <c r="AE113" s="7" t="e">
        <f>IF(VLOOKUP($A113,'Concrete Beam Schedule'!$A$2:$Q$2902,AE$2,0)&lt;&gt;O113,"Beam Revised","")</f>
        <v>#N/A</v>
      </c>
    </row>
    <row r="114" spans="1:31" ht="25.5" customHeight="1" x14ac:dyDescent="0.25">
      <c r="A114" s="17"/>
      <c r="B114" s="17"/>
      <c r="C114" s="17"/>
      <c r="D114" s="17"/>
      <c r="E114" s="17"/>
      <c r="F114" s="17"/>
      <c r="G114" s="17"/>
      <c r="H114" s="17"/>
      <c r="I114" s="17"/>
      <c r="J114" s="17"/>
      <c r="K114" s="17"/>
      <c r="L114" s="17"/>
      <c r="M114" s="17"/>
      <c r="N114" s="17"/>
      <c r="O114" s="17"/>
      <c r="Q114" s="7">
        <f t="shared" si="1"/>
        <v>0</v>
      </c>
      <c r="R114" s="7" t="e">
        <f>IF(VLOOKUP($A114,'Concrete Beam Schedule'!$A$2:$Q$2902,R$2,0)&lt;&gt;B114,VLOOKUP($A114,'Concrete Beam Schedule'!$A$2:$Q$2902,R$2,0),"")</f>
        <v>#N/A</v>
      </c>
      <c r="S114" s="7" t="e">
        <f>IF(VLOOKUP($A114,'Concrete Beam Schedule'!$A$2:$Q$2902,S$2,0)&lt;&gt;C114,VLOOKUP($A114,'Concrete Beam Schedule'!$A$2:$Q$2902,S$2,0),"")</f>
        <v>#N/A</v>
      </c>
      <c r="T114" s="7" t="e">
        <f>IF(VLOOKUP($A114,'Concrete Beam Schedule'!$A$2:$Q$2902,T$2,0)&lt;&gt;D114,"Beam Revised","")</f>
        <v>#N/A</v>
      </c>
      <c r="U114" s="7" t="e">
        <f>IF(VLOOKUP($A114,'Concrete Beam Schedule'!$A$2:$Q$2902,U$2,0)&lt;&gt;E114,"Beam Revised","")</f>
        <v>#N/A</v>
      </c>
      <c r="V114" s="7" t="e">
        <f>IF(VLOOKUP($A114,'Concrete Beam Schedule'!$A$2:$Q$2902,V$2,0)&lt;&gt;F114,"Beam Revised","")</f>
        <v>#N/A</v>
      </c>
      <c r="W114" s="7" t="e">
        <f>IF(VLOOKUP($A114,'Concrete Beam Schedule'!$A$2:$Q$2902,W$2,0)&lt;&gt;G114,"Beam Revised","")</f>
        <v>#N/A</v>
      </c>
      <c r="X114" s="7" t="e">
        <f>IF(VLOOKUP($A114,'Concrete Beam Schedule'!$A$2:$Q$2902,X$2,0)&lt;&gt;H114,"Beam Revised","")</f>
        <v>#N/A</v>
      </c>
      <c r="Y114" s="7" t="e">
        <f>IF(VLOOKUP($A114,'Concrete Beam Schedule'!$A$2:$Q$2902,Y$2,0)&lt;&gt;I114,"Beam Revised","")</f>
        <v>#N/A</v>
      </c>
      <c r="Z114" s="7" t="e">
        <f>IF(VLOOKUP($A114,'Concrete Beam Schedule'!$A$2:$Q$2902,Z$2,0)&lt;&gt;J114,"Beam Revised","")</f>
        <v>#N/A</v>
      </c>
      <c r="AA114" s="7" t="e">
        <f>IF(VLOOKUP($A114,'Concrete Beam Schedule'!$A$2:$Q$2902,AA$2,0)&lt;&gt;K114,"Beam Revised","")</f>
        <v>#N/A</v>
      </c>
      <c r="AB114" s="7" t="e">
        <f>IF(VLOOKUP($A114,'Concrete Beam Schedule'!$A$2:$Q$2902,AB$2,0)&lt;&gt;L114,"Beam Revised","")</f>
        <v>#N/A</v>
      </c>
      <c r="AC114" s="7" t="e">
        <f>IF(VLOOKUP($A114,'Concrete Beam Schedule'!$A$2:$Q$2902,AC$2,0)&lt;&gt;M114,"Beam Revised","")</f>
        <v>#N/A</v>
      </c>
      <c r="AD114" s="7" t="e">
        <f>IF(VLOOKUP($A114,'Concrete Beam Schedule'!$A$2:$Q$2902,AD$2,0)&lt;&gt;N114,"Beam Revised","")</f>
        <v>#N/A</v>
      </c>
      <c r="AE114" s="7" t="e">
        <f>IF(VLOOKUP($A114,'Concrete Beam Schedule'!$A$2:$Q$2902,AE$2,0)&lt;&gt;O114,"Beam Revised","")</f>
        <v>#N/A</v>
      </c>
    </row>
    <row r="115" spans="1:31" ht="25.5" customHeight="1" x14ac:dyDescent="0.25">
      <c r="A115" s="17"/>
      <c r="B115" s="17"/>
      <c r="C115" s="17"/>
      <c r="D115" s="17"/>
      <c r="E115" s="17"/>
      <c r="F115" s="17"/>
      <c r="G115" s="17"/>
      <c r="H115" s="17"/>
      <c r="I115" s="17"/>
      <c r="J115" s="17"/>
      <c r="K115" s="17"/>
      <c r="L115" s="17"/>
      <c r="M115" s="17"/>
      <c r="N115" s="17"/>
      <c r="O115" s="17"/>
      <c r="Q115" s="7">
        <f t="shared" si="1"/>
        <v>0</v>
      </c>
      <c r="R115" s="7" t="e">
        <f>IF(VLOOKUP($A115,'Concrete Beam Schedule'!$A$2:$Q$2902,R$2,0)&lt;&gt;B115,VLOOKUP($A115,'Concrete Beam Schedule'!$A$2:$Q$2902,R$2,0),"")</f>
        <v>#N/A</v>
      </c>
      <c r="S115" s="7" t="e">
        <f>IF(VLOOKUP($A115,'Concrete Beam Schedule'!$A$2:$Q$2902,S$2,0)&lt;&gt;C115,VLOOKUP($A115,'Concrete Beam Schedule'!$A$2:$Q$2902,S$2,0),"")</f>
        <v>#N/A</v>
      </c>
      <c r="T115" s="7" t="e">
        <f>IF(VLOOKUP($A115,'Concrete Beam Schedule'!$A$2:$Q$2902,T$2,0)&lt;&gt;D115,"Beam Revised","")</f>
        <v>#N/A</v>
      </c>
      <c r="U115" s="7" t="e">
        <f>IF(VLOOKUP($A115,'Concrete Beam Schedule'!$A$2:$Q$2902,U$2,0)&lt;&gt;E115,"Beam Revised","")</f>
        <v>#N/A</v>
      </c>
      <c r="V115" s="7" t="e">
        <f>IF(VLOOKUP($A115,'Concrete Beam Schedule'!$A$2:$Q$2902,V$2,0)&lt;&gt;F115,"Beam Revised","")</f>
        <v>#N/A</v>
      </c>
      <c r="W115" s="7" t="e">
        <f>IF(VLOOKUP($A115,'Concrete Beam Schedule'!$A$2:$Q$2902,W$2,0)&lt;&gt;G115,"Beam Revised","")</f>
        <v>#N/A</v>
      </c>
      <c r="X115" s="7" t="e">
        <f>IF(VLOOKUP($A115,'Concrete Beam Schedule'!$A$2:$Q$2902,X$2,0)&lt;&gt;H115,"Beam Revised","")</f>
        <v>#N/A</v>
      </c>
      <c r="Y115" s="7" t="e">
        <f>IF(VLOOKUP($A115,'Concrete Beam Schedule'!$A$2:$Q$2902,Y$2,0)&lt;&gt;I115,"Beam Revised","")</f>
        <v>#N/A</v>
      </c>
      <c r="Z115" s="7" t="e">
        <f>IF(VLOOKUP($A115,'Concrete Beam Schedule'!$A$2:$Q$2902,Z$2,0)&lt;&gt;J115,"Beam Revised","")</f>
        <v>#N/A</v>
      </c>
      <c r="AA115" s="7" t="e">
        <f>IF(VLOOKUP($A115,'Concrete Beam Schedule'!$A$2:$Q$2902,AA$2,0)&lt;&gt;K115,"Beam Revised","")</f>
        <v>#N/A</v>
      </c>
      <c r="AB115" s="7" t="e">
        <f>IF(VLOOKUP($A115,'Concrete Beam Schedule'!$A$2:$Q$2902,AB$2,0)&lt;&gt;L115,"Beam Revised","")</f>
        <v>#N/A</v>
      </c>
      <c r="AC115" s="7" t="e">
        <f>IF(VLOOKUP($A115,'Concrete Beam Schedule'!$A$2:$Q$2902,AC$2,0)&lt;&gt;M115,"Beam Revised","")</f>
        <v>#N/A</v>
      </c>
      <c r="AD115" s="7" t="e">
        <f>IF(VLOOKUP($A115,'Concrete Beam Schedule'!$A$2:$Q$2902,AD$2,0)&lt;&gt;N115,"Beam Revised","")</f>
        <v>#N/A</v>
      </c>
      <c r="AE115" s="7" t="e">
        <f>IF(VLOOKUP($A115,'Concrete Beam Schedule'!$A$2:$Q$2902,AE$2,0)&lt;&gt;O115,"Beam Revised","")</f>
        <v>#N/A</v>
      </c>
    </row>
    <row r="116" spans="1:31" ht="25.5" customHeight="1" x14ac:dyDescent="0.25">
      <c r="A116" s="17"/>
      <c r="B116" s="17"/>
      <c r="C116" s="17"/>
      <c r="D116" s="17"/>
      <c r="E116" s="17"/>
      <c r="F116" s="17"/>
      <c r="G116" s="17"/>
      <c r="H116" s="17"/>
      <c r="I116" s="17"/>
      <c r="J116" s="17"/>
      <c r="K116" s="17"/>
      <c r="L116" s="17"/>
      <c r="M116" s="17"/>
      <c r="N116" s="17"/>
      <c r="O116" s="17"/>
      <c r="Q116" s="7">
        <f t="shared" si="1"/>
        <v>0</v>
      </c>
      <c r="R116" s="7" t="e">
        <f>IF(VLOOKUP($A116,'Concrete Beam Schedule'!$A$2:$Q$2902,R$2,0)&lt;&gt;B116,VLOOKUP($A116,'Concrete Beam Schedule'!$A$2:$Q$2902,R$2,0),"")</f>
        <v>#N/A</v>
      </c>
      <c r="S116" s="7" t="e">
        <f>IF(VLOOKUP($A116,'Concrete Beam Schedule'!$A$2:$Q$2902,S$2,0)&lt;&gt;C116,VLOOKUP($A116,'Concrete Beam Schedule'!$A$2:$Q$2902,S$2,0),"")</f>
        <v>#N/A</v>
      </c>
      <c r="T116" s="7" t="e">
        <f>IF(VLOOKUP($A116,'Concrete Beam Schedule'!$A$2:$Q$2902,T$2,0)&lt;&gt;D116,"Beam Revised","")</f>
        <v>#N/A</v>
      </c>
      <c r="U116" s="7" t="e">
        <f>IF(VLOOKUP($A116,'Concrete Beam Schedule'!$A$2:$Q$2902,U$2,0)&lt;&gt;E116,"Beam Revised","")</f>
        <v>#N/A</v>
      </c>
      <c r="V116" s="7" t="e">
        <f>IF(VLOOKUP($A116,'Concrete Beam Schedule'!$A$2:$Q$2902,V$2,0)&lt;&gt;F116,"Beam Revised","")</f>
        <v>#N/A</v>
      </c>
      <c r="W116" s="7" t="e">
        <f>IF(VLOOKUP($A116,'Concrete Beam Schedule'!$A$2:$Q$2902,W$2,0)&lt;&gt;G116,"Beam Revised","")</f>
        <v>#N/A</v>
      </c>
      <c r="X116" s="7" t="e">
        <f>IF(VLOOKUP($A116,'Concrete Beam Schedule'!$A$2:$Q$2902,X$2,0)&lt;&gt;H116,"Beam Revised","")</f>
        <v>#N/A</v>
      </c>
      <c r="Y116" s="7" t="e">
        <f>IF(VLOOKUP($A116,'Concrete Beam Schedule'!$A$2:$Q$2902,Y$2,0)&lt;&gt;I116,"Beam Revised","")</f>
        <v>#N/A</v>
      </c>
      <c r="Z116" s="7" t="e">
        <f>IF(VLOOKUP($A116,'Concrete Beam Schedule'!$A$2:$Q$2902,Z$2,0)&lt;&gt;J116,"Beam Revised","")</f>
        <v>#N/A</v>
      </c>
      <c r="AA116" s="7" t="e">
        <f>IF(VLOOKUP($A116,'Concrete Beam Schedule'!$A$2:$Q$2902,AA$2,0)&lt;&gt;K116,"Beam Revised","")</f>
        <v>#N/A</v>
      </c>
      <c r="AB116" s="7" t="e">
        <f>IF(VLOOKUP($A116,'Concrete Beam Schedule'!$A$2:$Q$2902,AB$2,0)&lt;&gt;L116,"Beam Revised","")</f>
        <v>#N/A</v>
      </c>
      <c r="AC116" s="7" t="e">
        <f>IF(VLOOKUP($A116,'Concrete Beam Schedule'!$A$2:$Q$2902,AC$2,0)&lt;&gt;M116,"Beam Revised","")</f>
        <v>#N/A</v>
      </c>
      <c r="AD116" s="7" t="e">
        <f>IF(VLOOKUP($A116,'Concrete Beam Schedule'!$A$2:$Q$2902,AD$2,0)&lt;&gt;N116,"Beam Revised","")</f>
        <v>#N/A</v>
      </c>
      <c r="AE116" s="7" t="e">
        <f>IF(VLOOKUP($A116,'Concrete Beam Schedule'!$A$2:$Q$2902,AE$2,0)&lt;&gt;O116,"Beam Revised","")</f>
        <v>#N/A</v>
      </c>
    </row>
    <row r="117" spans="1:31" ht="25.5" customHeight="1" x14ac:dyDescent="0.25">
      <c r="A117" s="17"/>
      <c r="B117" s="17"/>
      <c r="C117" s="17"/>
      <c r="D117" s="17"/>
      <c r="E117" s="17"/>
      <c r="F117" s="17"/>
      <c r="G117" s="17"/>
      <c r="H117" s="17"/>
      <c r="I117" s="17"/>
      <c r="J117" s="17"/>
      <c r="K117" s="17"/>
      <c r="L117" s="17"/>
      <c r="M117" s="17"/>
      <c r="N117" s="17"/>
      <c r="O117" s="17"/>
      <c r="Q117" s="7">
        <f t="shared" si="1"/>
        <v>0</v>
      </c>
      <c r="R117" s="7" t="e">
        <f>IF(VLOOKUP($A117,'Concrete Beam Schedule'!$A$2:$Q$2902,R$2,0)&lt;&gt;B117,VLOOKUP($A117,'Concrete Beam Schedule'!$A$2:$Q$2902,R$2,0),"")</f>
        <v>#N/A</v>
      </c>
      <c r="S117" s="7" t="e">
        <f>IF(VLOOKUP($A117,'Concrete Beam Schedule'!$A$2:$Q$2902,S$2,0)&lt;&gt;C117,VLOOKUP($A117,'Concrete Beam Schedule'!$A$2:$Q$2902,S$2,0),"")</f>
        <v>#N/A</v>
      </c>
      <c r="T117" s="7" t="e">
        <f>IF(VLOOKUP($A117,'Concrete Beam Schedule'!$A$2:$Q$2902,T$2,0)&lt;&gt;D117,"Beam Revised","")</f>
        <v>#N/A</v>
      </c>
      <c r="U117" s="7" t="e">
        <f>IF(VLOOKUP($A117,'Concrete Beam Schedule'!$A$2:$Q$2902,U$2,0)&lt;&gt;E117,"Beam Revised","")</f>
        <v>#N/A</v>
      </c>
      <c r="V117" s="7" t="e">
        <f>IF(VLOOKUP($A117,'Concrete Beam Schedule'!$A$2:$Q$2902,V$2,0)&lt;&gt;F117,"Beam Revised","")</f>
        <v>#N/A</v>
      </c>
      <c r="W117" s="7" t="e">
        <f>IF(VLOOKUP($A117,'Concrete Beam Schedule'!$A$2:$Q$2902,W$2,0)&lt;&gt;G117,"Beam Revised","")</f>
        <v>#N/A</v>
      </c>
      <c r="X117" s="7" t="e">
        <f>IF(VLOOKUP($A117,'Concrete Beam Schedule'!$A$2:$Q$2902,X$2,0)&lt;&gt;H117,"Beam Revised","")</f>
        <v>#N/A</v>
      </c>
      <c r="Y117" s="7" t="e">
        <f>IF(VLOOKUP($A117,'Concrete Beam Schedule'!$A$2:$Q$2902,Y$2,0)&lt;&gt;I117,"Beam Revised","")</f>
        <v>#N/A</v>
      </c>
      <c r="Z117" s="7" t="e">
        <f>IF(VLOOKUP($A117,'Concrete Beam Schedule'!$A$2:$Q$2902,Z$2,0)&lt;&gt;J117,"Beam Revised","")</f>
        <v>#N/A</v>
      </c>
      <c r="AA117" s="7" t="e">
        <f>IF(VLOOKUP($A117,'Concrete Beam Schedule'!$A$2:$Q$2902,AA$2,0)&lt;&gt;K117,"Beam Revised","")</f>
        <v>#N/A</v>
      </c>
      <c r="AB117" s="7" t="e">
        <f>IF(VLOOKUP($A117,'Concrete Beam Schedule'!$A$2:$Q$2902,AB$2,0)&lt;&gt;L117,"Beam Revised","")</f>
        <v>#N/A</v>
      </c>
      <c r="AC117" s="7" t="e">
        <f>IF(VLOOKUP($A117,'Concrete Beam Schedule'!$A$2:$Q$2902,AC$2,0)&lt;&gt;M117,"Beam Revised","")</f>
        <v>#N/A</v>
      </c>
      <c r="AD117" s="7" t="e">
        <f>IF(VLOOKUP($A117,'Concrete Beam Schedule'!$A$2:$Q$2902,AD$2,0)&lt;&gt;N117,"Beam Revised","")</f>
        <v>#N/A</v>
      </c>
      <c r="AE117" s="7" t="e">
        <f>IF(VLOOKUP($A117,'Concrete Beam Schedule'!$A$2:$Q$2902,AE$2,0)&lt;&gt;O117,"Beam Revised","")</f>
        <v>#N/A</v>
      </c>
    </row>
    <row r="118" spans="1:31" ht="25.5" customHeight="1" x14ac:dyDescent="0.25">
      <c r="A118" s="17"/>
      <c r="B118" s="17"/>
      <c r="C118" s="17"/>
      <c r="D118" s="17"/>
      <c r="E118" s="17"/>
      <c r="F118" s="17"/>
      <c r="G118" s="17"/>
      <c r="H118" s="17"/>
      <c r="I118" s="17"/>
      <c r="J118" s="17"/>
      <c r="K118" s="17"/>
      <c r="L118" s="17"/>
      <c r="M118" s="17"/>
      <c r="N118" s="17"/>
      <c r="O118" s="17"/>
      <c r="Q118" s="7">
        <f t="shared" si="1"/>
        <v>0</v>
      </c>
      <c r="R118" s="7" t="e">
        <f>IF(VLOOKUP($A118,'Concrete Beam Schedule'!$A$2:$Q$2902,R$2,0)&lt;&gt;B118,VLOOKUP($A118,'Concrete Beam Schedule'!$A$2:$Q$2902,R$2,0),"")</f>
        <v>#N/A</v>
      </c>
      <c r="S118" s="7" t="e">
        <f>IF(VLOOKUP($A118,'Concrete Beam Schedule'!$A$2:$Q$2902,S$2,0)&lt;&gt;C118,VLOOKUP($A118,'Concrete Beam Schedule'!$A$2:$Q$2902,S$2,0),"")</f>
        <v>#N/A</v>
      </c>
      <c r="T118" s="7" t="e">
        <f>IF(VLOOKUP($A118,'Concrete Beam Schedule'!$A$2:$Q$2902,T$2,0)&lt;&gt;D118,"Beam Revised","")</f>
        <v>#N/A</v>
      </c>
      <c r="U118" s="7" t="e">
        <f>IF(VLOOKUP($A118,'Concrete Beam Schedule'!$A$2:$Q$2902,U$2,0)&lt;&gt;E118,"Beam Revised","")</f>
        <v>#N/A</v>
      </c>
      <c r="V118" s="7" t="e">
        <f>IF(VLOOKUP($A118,'Concrete Beam Schedule'!$A$2:$Q$2902,V$2,0)&lt;&gt;F118,"Beam Revised","")</f>
        <v>#N/A</v>
      </c>
      <c r="W118" s="7" t="e">
        <f>IF(VLOOKUP($A118,'Concrete Beam Schedule'!$A$2:$Q$2902,W$2,0)&lt;&gt;G118,"Beam Revised","")</f>
        <v>#N/A</v>
      </c>
      <c r="X118" s="7" t="e">
        <f>IF(VLOOKUP($A118,'Concrete Beam Schedule'!$A$2:$Q$2902,X$2,0)&lt;&gt;H118,"Beam Revised","")</f>
        <v>#N/A</v>
      </c>
      <c r="Y118" s="7" t="e">
        <f>IF(VLOOKUP($A118,'Concrete Beam Schedule'!$A$2:$Q$2902,Y$2,0)&lt;&gt;I118,"Beam Revised","")</f>
        <v>#N/A</v>
      </c>
      <c r="Z118" s="7" t="e">
        <f>IF(VLOOKUP($A118,'Concrete Beam Schedule'!$A$2:$Q$2902,Z$2,0)&lt;&gt;J118,"Beam Revised","")</f>
        <v>#N/A</v>
      </c>
      <c r="AA118" s="7" t="e">
        <f>IF(VLOOKUP($A118,'Concrete Beam Schedule'!$A$2:$Q$2902,AA$2,0)&lt;&gt;K118,"Beam Revised","")</f>
        <v>#N/A</v>
      </c>
      <c r="AB118" s="7" t="e">
        <f>IF(VLOOKUP($A118,'Concrete Beam Schedule'!$A$2:$Q$2902,AB$2,0)&lt;&gt;L118,"Beam Revised","")</f>
        <v>#N/A</v>
      </c>
      <c r="AC118" s="7" t="e">
        <f>IF(VLOOKUP($A118,'Concrete Beam Schedule'!$A$2:$Q$2902,AC$2,0)&lt;&gt;M118,"Beam Revised","")</f>
        <v>#N/A</v>
      </c>
      <c r="AD118" s="7" t="e">
        <f>IF(VLOOKUP($A118,'Concrete Beam Schedule'!$A$2:$Q$2902,AD$2,0)&lt;&gt;N118,"Beam Revised","")</f>
        <v>#N/A</v>
      </c>
      <c r="AE118" s="7" t="e">
        <f>IF(VLOOKUP($A118,'Concrete Beam Schedule'!$A$2:$Q$2902,AE$2,0)&lt;&gt;O118,"Beam Revised","")</f>
        <v>#N/A</v>
      </c>
    </row>
    <row r="119" spans="1:31" ht="25.5" customHeight="1" x14ac:dyDescent="0.25">
      <c r="A119" s="17"/>
      <c r="B119" s="17"/>
      <c r="C119" s="17"/>
      <c r="D119" s="17"/>
      <c r="E119" s="17"/>
      <c r="F119" s="17"/>
      <c r="G119" s="17"/>
      <c r="H119" s="17"/>
      <c r="I119" s="17"/>
      <c r="J119" s="17"/>
      <c r="K119" s="17"/>
      <c r="L119" s="17"/>
      <c r="M119" s="17"/>
      <c r="N119" s="17"/>
      <c r="O119" s="17"/>
      <c r="Q119" s="7">
        <f t="shared" si="1"/>
        <v>0</v>
      </c>
      <c r="R119" s="7" t="e">
        <f>IF(VLOOKUP($A119,'Concrete Beam Schedule'!$A$2:$Q$2902,R$2,0)&lt;&gt;B119,VLOOKUP($A119,'Concrete Beam Schedule'!$A$2:$Q$2902,R$2,0),"")</f>
        <v>#N/A</v>
      </c>
      <c r="S119" s="7" t="e">
        <f>IF(VLOOKUP($A119,'Concrete Beam Schedule'!$A$2:$Q$2902,S$2,0)&lt;&gt;C119,VLOOKUP($A119,'Concrete Beam Schedule'!$A$2:$Q$2902,S$2,0),"")</f>
        <v>#N/A</v>
      </c>
      <c r="T119" s="7" t="e">
        <f>IF(VLOOKUP($A119,'Concrete Beam Schedule'!$A$2:$Q$2902,T$2,0)&lt;&gt;D119,"Beam Revised","")</f>
        <v>#N/A</v>
      </c>
      <c r="U119" s="7" t="e">
        <f>IF(VLOOKUP($A119,'Concrete Beam Schedule'!$A$2:$Q$2902,U$2,0)&lt;&gt;E119,"Beam Revised","")</f>
        <v>#N/A</v>
      </c>
      <c r="V119" s="7" t="e">
        <f>IF(VLOOKUP($A119,'Concrete Beam Schedule'!$A$2:$Q$2902,V$2,0)&lt;&gt;F119,"Beam Revised","")</f>
        <v>#N/A</v>
      </c>
      <c r="W119" s="7" t="e">
        <f>IF(VLOOKUP($A119,'Concrete Beam Schedule'!$A$2:$Q$2902,W$2,0)&lt;&gt;G119,"Beam Revised","")</f>
        <v>#N/A</v>
      </c>
      <c r="X119" s="7" t="e">
        <f>IF(VLOOKUP($A119,'Concrete Beam Schedule'!$A$2:$Q$2902,X$2,0)&lt;&gt;H119,"Beam Revised","")</f>
        <v>#N/A</v>
      </c>
      <c r="Y119" s="7" t="e">
        <f>IF(VLOOKUP($A119,'Concrete Beam Schedule'!$A$2:$Q$2902,Y$2,0)&lt;&gt;I119,"Beam Revised","")</f>
        <v>#N/A</v>
      </c>
      <c r="Z119" s="7" t="e">
        <f>IF(VLOOKUP($A119,'Concrete Beam Schedule'!$A$2:$Q$2902,Z$2,0)&lt;&gt;J119,"Beam Revised","")</f>
        <v>#N/A</v>
      </c>
      <c r="AA119" s="7" t="e">
        <f>IF(VLOOKUP($A119,'Concrete Beam Schedule'!$A$2:$Q$2902,AA$2,0)&lt;&gt;K119,"Beam Revised","")</f>
        <v>#N/A</v>
      </c>
      <c r="AB119" s="7" t="e">
        <f>IF(VLOOKUP($A119,'Concrete Beam Schedule'!$A$2:$Q$2902,AB$2,0)&lt;&gt;L119,"Beam Revised","")</f>
        <v>#N/A</v>
      </c>
      <c r="AC119" s="7" t="e">
        <f>IF(VLOOKUP($A119,'Concrete Beam Schedule'!$A$2:$Q$2902,AC$2,0)&lt;&gt;M119,"Beam Revised","")</f>
        <v>#N/A</v>
      </c>
      <c r="AD119" s="7" t="e">
        <f>IF(VLOOKUP($A119,'Concrete Beam Schedule'!$A$2:$Q$2902,AD$2,0)&lt;&gt;N119,"Beam Revised","")</f>
        <v>#N/A</v>
      </c>
      <c r="AE119" s="7" t="e">
        <f>IF(VLOOKUP($A119,'Concrete Beam Schedule'!$A$2:$Q$2902,AE$2,0)&lt;&gt;O119,"Beam Revised","")</f>
        <v>#N/A</v>
      </c>
    </row>
    <row r="120" spans="1:31" ht="25.5" customHeight="1" x14ac:dyDescent="0.25">
      <c r="A120" s="17"/>
      <c r="B120" s="17"/>
      <c r="C120" s="17"/>
      <c r="D120" s="17"/>
      <c r="E120" s="17"/>
      <c r="F120" s="17"/>
      <c r="G120" s="17"/>
      <c r="H120" s="17"/>
      <c r="I120" s="17"/>
      <c r="J120" s="17"/>
      <c r="K120" s="17"/>
      <c r="L120" s="17"/>
      <c r="M120" s="17"/>
      <c r="N120" s="17"/>
      <c r="O120" s="17"/>
      <c r="Q120" s="7">
        <f t="shared" si="1"/>
        <v>0</v>
      </c>
      <c r="R120" s="7" t="e">
        <f>IF(VLOOKUP($A120,'Concrete Beam Schedule'!$A$2:$Q$2902,R$2,0)&lt;&gt;B120,VLOOKUP($A120,'Concrete Beam Schedule'!$A$2:$Q$2902,R$2,0),"")</f>
        <v>#N/A</v>
      </c>
      <c r="S120" s="7" t="e">
        <f>IF(VLOOKUP($A120,'Concrete Beam Schedule'!$A$2:$Q$2902,S$2,0)&lt;&gt;C120,VLOOKUP($A120,'Concrete Beam Schedule'!$A$2:$Q$2902,S$2,0),"")</f>
        <v>#N/A</v>
      </c>
      <c r="T120" s="7" t="e">
        <f>IF(VLOOKUP($A120,'Concrete Beam Schedule'!$A$2:$Q$2902,T$2,0)&lt;&gt;D120,"Beam Revised","")</f>
        <v>#N/A</v>
      </c>
      <c r="U120" s="7" t="e">
        <f>IF(VLOOKUP($A120,'Concrete Beam Schedule'!$A$2:$Q$2902,U$2,0)&lt;&gt;E120,"Beam Revised","")</f>
        <v>#N/A</v>
      </c>
      <c r="V120" s="7" t="e">
        <f>IF(VLOOKUP($A120,'Concrete Beam Schedule'!$A$2:$Q$2902,V$2,0)&lt;&gt;F120,"Beam Revised","")</f>
        <v>#N/A</v>
      </c>
      <c r="W120" s="7" t="e">
        <f>IF(VLOOKUP($A120,'Concrete Beam Schedule'!$A$2:$Q$2902,W$2,0)&lt;&gt;G120,"Beam Revised","")</f>
        <v>#N/A</v>
      </c>
      <c r="X120" s="7" t="e">
        <f>IF(VLOOKUP($A120,'Concrete Beam Schedule'!$A$2:$Q$2902,X$2,0)&lt;&gt;H120,"Beam Revised","")</f>
        <v>#N/A</v>
      </c>
      <c r="Y120" s="7" t="e">
        <f>IF(VLOOKUP($A120,'Concrete Beam Schedule'!$A$2:$Q$2902,Y$2,0)&lt;&gt;I120,"Beam Revised","")</f>
        <v>#N/A</v>
      </c>
      <c r="Z120" s="7" t="e">
        <f>IF(VLOOKUP($A120,'Concrete Beam Schedule'!$A$2:$Q$2902,Z$2,0)&lt;&gt;J120,"Beam Revised","")</f>
        <v>#N/A</v>
      </c>
      <c r="AA120" s="7" t="e">
        <f>IF(VLOOKUP($A120,'Concrete Beam Schedule'!$A$2:$Q$2902,AA$2,0)&lt;&gt;K120,"Beam Revised","")</f>
        <v>#N/A</v>
      </c>
      <c r="AB120" s="7" t="e">
        <f>IF(VLOOKUP($A120,'Concrete Beam Schedule'!$A$2:$Q$2902,AB$2,0)&lt;&gt;L120,"Beam Revised","")</f>
        <v>#N/A</v>
      </c>
      <c r="AC120" s="7" t="e">
        <f>IF(VLOOKUP($A120,'Concrete Beam Schedule'!$A$2:$Q$2902,AC$2,0)&lt;&gt;M120,"Beam Revised","")</f>
        <v>#N/A</v>
      </c>
      <c r="AD120" s="7" t="e">
        <f>IF(VLOOKUP($A120,'Concrete Beam Schedule'!$A$2:$Q$2902,AD$2,0)&lt;&gt;N120,"Beam Revised","")</f>
        <v>#N/A</v>
      </c>
      <c r="AE120" s="7" t="e">
        <f>IF(VLOOKUP($A120,'Concrete Beam Schedule'!$A$2:$Q$2902,AE$2,0)&lt;&gt;O120,"Beam Revised","")</f>
        <v>#N/A</v>
      </c>
    </row>
    <row r="121" spans="1:31" ht="25.5" customHeight="1" x14ac:dyDescent="0.25">
      <c r="A121" s="17"/>
      <c r="B121" s="17"/>
      <c r="C121" s="17"/>
      <c r="D121" s="17"/>
      <c r="E121" s="17"/>
      <c r="F121" s="17"/>
      <c r="G121" s="17"/>
      <c r="H121" s="17"/>
      <c r="I121" s="17"/>
      <c r="J121" s="17"/>
      <c r="K121" s="17"/>
      <c r="L121" s="17"/>
      <c r="M121" s="17"/>
      <c r="N121" s="17"/>
      <c r="O121" s="17"/>
      <c r="Q121" s="7">
        <f t="shared" si="1"/>
        <v>0</v>
      </c>
      <c r="R121" s="7" t="e">
        <f>IF(VLOOKUP($A121,'Concrete Beam Schedule'!$A$2:$Q$2902,R$2,0)&lt;&gt;B121,VLOOKUP($A121,'Concrete Beam Schedule'!$A$2:$Q$2902,R$2,0),"")</f>
        <v>#N/A</v>
      </c>
      <c r="S121" s="7" t="e">
        <f>IF(VLOOKUP($A121,'Concrete Beam Schedule'!$A$2:$Q$2902,S$2,0)&lt;&gt;C121,VLOOKUP($A121,'Concrete Beam Schedule'!$A$2:$Q$2902,S$2,0),"")</f>
        <v>#N/A</v>
      </c>
      <c r="T121" s="7" t="e">
        <f>IF(VLOOKUP($A121,'Concrete Beam Schedule'!$A$2:$Q$2902,T$2,0)&lt;&gt;D121,"Beam Revised","")</f>
        <v>#N/A</v>
      </c>
      <c r="U121" s="7" t="e">
        <f>IF(VLOOKUP($A121,'Concrete Beam Schedule'!$A$2:$Q$2902,U$2,0)&lt;&gt;E121,"Beam Revised","")</f>
        <v>#N/A</v>
      </c>
      <c r="V121" s="7" t="e">
        <f>IF(VLOOKUP($A121,'Concrete Beam Schedule'!$A$2:$Q$2902,V$2,0)&lt;&gt;F121,"Beam Revised","")</f>
        <v>#N/A</v>
      </c>
      <c r="W121" s="7" t="e">
        <f>IF(VLOOKUP($A121,'Concrete Beam Schedule'!$A$2:$Q$2902,W$2,0)&lt;&gt;G121,"Beam Revised","")</f>
        <v>#N/A</v>
      </c>
      <c r="X121" s="7" t="e">
        <f>IF(VLOOKUP($A121,'Concrete Beam Schedule'!$A$2:$Q$2902,X$2,0)&lt;&gt;H121,"Beam Revised","")</f>
        <v>#N/A</v>
      </c>
      <c r="Y121" s="7" t="e">
        <f>IF(VLOOKUP($A121,'Concrete Beam Schedule'!$A$2:$Q$2902,Y$2,0)&lt;&gt;I121,"Beam Revised","")</f>
        <v>#N/A</v>
      </c>
      <c r="Z121" s="7" t="e">
        <f>IF(VLOOKUP($A121,'Concrete Beam Schedule'!$A$2:$Q$2902,Z$2,0)&lt;&gt;J121,"Beam Revised","")</f>
        <v>#N/A</v>
      </c>
      <c r="AA121" s="7" t="e">
        <f>IF(VLOOKUP($A121,'Concrete Beam Schedule'!$A$2:$Q$2902,AA$2,0)&lt;&gt;K121,"Beam Revised","")</f>
        <v>#N/A</v>
      </c>
      <c r="AB121" s="7" t="e">
        <f>IF(VLOOKUP($A121,'Concrete Beam Schedule'!$A$2:$Q$2902,AB$2,0)&lt;&gt;L121,"Beam Revised","")</f>
        <v>#N/A</v>
      </c>
      <c r="AC121" s="7" t="e">
        <f>IF(VLOOKUP($A121,'Concrete Beam Schedule'!$A$2:$Q$2902,AC$2,0)&lt;&gt;M121,"Beam Revised","")</f>
        <v>#N/A</v>
      </c>
      <c r="AD121" s="7" t="e">
        <f>IF(VLOOKUP($A121,'Concrete Beam Schedule'!$A$2:$Q$2902,AD$2,0)&lt;&gt;N121,"Beam Revised","")</f>
        <v>#N/A</v>
      </c>
      <c r="AE121" s="7" t="e">
        <f>IF(VLOOKUP($A121,'Concrete Beam Schedule'!$A$2:$Q$2902,AE$2,0)&lt;&gt;O121,"Beam Revised","")</f>
        <v>#N/A</v>
      </c>
    </row>
    <row r="122" spans="1:31" ht="25.5" customHeight="1" x14ac:dyDescent="0.25">
      <c r="A122" s="17"/>
      <c r="B122" s="17"/>
      <c r="C122" s="17"/>
      <c r="D122" s="17"/>
      <c r="E122" s="17"/>
      <c r="F122" s="17"/>
      <c r="G122" s="17"/>
      <c r="H122" s="17"/>
      <c r="I122" s="17"/>
      <c r="J122" s="17"/>
      <c r="K122" s="17"/>
      <c r="L122" s="17"/>
      <c r="M122" s="17"/>
      <c r="N122" s="17"/>
      <c r="O122" s="17"/>
      <c r="Q122" s="7">
        <f t="shared" si="1"/>
        <v>0</v>
      </c>
      <c r="R122" s="7" t="e">
        <f>IF(VLOOKUP($A122,'Concrete Beam Schedule'!$A$2:$Q$2902,R$2,0)&lt;&gt;B122,VLOOKUP($A122,'Concrete Beam Schedule'!$A$2:$Q$2902,R$2,0),"")</f>
        <v>#N/A</v>
      </c>
      <c r="S122" s="7" t="e">
        <f>IF(VLOOKUP($A122,'Concrete Beam Schedule'!$A$2:$Q$2902,S$2,0)&lt;&gt;C122,VLOOKUP($A122,'Concrete Beam Schedule'!$A$2:$Q$2902,S$2,0),"")</f>
        <v>#N/A</v>
      </c>
      <c r="T122" s="7" t="e">
        <f>IF(VLOOKUP($A122,'Concrete Beam Schedule'!$A$2:$Q$2902,T$2,0)&lt;&gt;D122,"Beam Revised","")</f>
        <v>#N/A</v>
      </c>
      <c r="U122" s="7" t="e">
        <f>IF(VLOOKUP($A122,'Concrete Beam Schedule'!$A$2:$Q$2902,U$2,0)&lt;&gt;E122,"Beam Revised","")</f>
        <v>#N/A</v>
      </c>
      <c r="V122" s="7" t="e">
        <f>IF(VLOOKUP($A122,'Concrete Beam Schedule'!$A$2:$Q$2902,V$2,0)&lt;&gt;F122,"Beam Revised","")</f>
        <v>#N/A</v>
      </c>
      <c r="W122" s="7" t="e">
        <f>IF(VLOOKUP($A122,'Concrete Beam Schedule'!$A$2:$Q$2902,W$2,0)&lt;&gt;G122,"Beam Revised","")</f>
        <v>#N/A</v>
      </c>
      <c r="X122" s="7" t="e">
        <f>IF(VLOOKUP($A122,'Concrete Beam Schedule'!$A$2:$Q$2902,X$2,0)&lt;&gt;H122,"Beam Revised","")</f>
        <v>#N/A</v>
      </c>
      <c r="Y122" s="7" t="e">
        <f>IF(VLOOKUP($A122,'Concrete Beam Schedule'!$A$2:$Q$2902,Y$2,0)&lt;&gt;I122,"Beam Revised","")</f>
        <v>#N/A</v>
      </c>
      <c r="Z122" s="7" t="e">
        <f>IF(VLOOKUP($A122,'Concrete Beam Schedule'!$A$2:$Q$2902,Z$2,0)&lt;&gt;J122,"Beam Revised","")</f>
        <v>#N/A</v>
      </c>
      <c r="AA122" s="7" t="e">
        <f>IF(VLOOKUP($A122,'Concrete Beam Schedule'!$A$2:$Q$2902,AA$2,0)&lt;&gt;K122,"Beam Revised","")</f>
        <v>#N/A</v>
      </c>
      <c r="AB122" s="7" t="e">
        <f>IF(VLOOKUP($A122,'Concrete Beam Schedule'!$A$2:$Q$2902,AB$2,0)&lt;&gt;L122,"Beam Revised","")</f>
        <v>#N/A</v>
      </c>
      <c r="AC122" s="7" t="e">
        <f>IF(VLOOKUP($A122,'Concrete Beam Schedule'!$A$2:$Q$2902,AC$2,0)&lt;&gt;M122,"Beam Revised","")</f>
        <v>#N/A</v>
      </c>
      <c r="AD122" s="7" t="e">
        <f>IF(VLOOKUP($A122,'Concrete Beam Schedule'!$A$2:$Q$2902,AD$2,0)&lt;&gt;N122,"Beam Revised","")</f>
        <v>#N/A</v>
      </c>
      <c r="AE122" s="7" t="e">
        <f>IF(VLOOKUP($A122,'Concrete Beam Schedule'!$A$2:$Q$2902,AE$2,0)&lt;&gt;O122,"Beam Revised","")</f>
        <v>#N/A</v>
      </c>
    </row>
    <row r="123" spans="1:31" ht="25.5" customHeight="1" x14ac:dyDescent="0.25">
      <c r="A123" s="17"/>
      <c r="B123" s="17"/>
      <c r="C123" s="17"/>
      <c r="D123" s="17"/>
      <c r="E123" s="17"/>
      <c r="F123" s="17"/>
      <c r="G123" s="17"/>
      <c r="H123" s="17"/>
      <c r="I123" s="17"/>
      <c r="J123" s="17"/>
      <c r="K123" s="17"/>
      <c r="L123" s="17"/>
      <c r="M123" s="17"/>
      <c r="N123" s="17"/>
      <c r="O123" s="17"/>
      <c r="Q123" s="7">
        <f t="shared" si="1"/>
        <v>0</v>
      </c>
      <c r="R123" s="7" t="e">
        <f>IF(VLOOKUP($A123,'Concrete Beam Schedule'!$A$2:$Q$2902,R$2,0)&lt;&gt;B123,VLOOKUP($A123,'Concrete Beam Schedule'!$A$2:$Q$2902,R$2,0),"")</f>
        <v>#N/A</v>
      </c>
      <c r="S123" s="7" t="e">
        <f>IF(VLOOKUP($A123,'Concrete Beam Schedule'!$A$2:$Q$2902,S$2,0)&lt;&gt;C123,VLOOKUP($A123,'Concrete Beam Schedule'!$A$2:$Q$2902,S$2,0),"")</f>
        <v>#N/A</v>
      </c>
      <c r="T123" s="7" t="e">
        <f>IF(VLOOKUP($A123,'Concrete Beam Schedule'!$A$2:$Q$2902,T$2,0)&lt;&gt;D123,"Beam Revised","")</f>
        <v>#N/A</v>
      </c>
      <c r="U123" s="7" t="e">
        <f>IF(VLOOKUP($A123,'Concrete Beam Schedule'!$A$2:$Q$2902,U$2,0)&lt;&gt;E123,"Beam Revised","")</f>
        <v>#N/A</v>
      </c>
      <c r="V123" s="7" t="e">
        <f>IF(VLOOKUP($A123,'Concrete Beam Schedule'!$A$2:$Q$2902,V$2,0)&lt;&gt;F123,"Beam Revised","")</f>
        <v>#N/A</v>
      </c>
      <c r="W123" s="7" t="e">
        <f>IF(VLOOKUP($A123,'Concrete Beam Schedule'!$A$2:$Q$2902,W$2,0)&lt;&gt;G123,"Beam Revised","")</f>
        <v>#N/A</v>
      </c>
      <c r="X123" s="7" t="e">
        <f>IF(VLOOKUP($A123,'Concrete Beam Schedule'!$A$2:$Q$2902,X$2,0)&lt;&gt;H123,"Beam Revised","")</f>
        <v>#N/A</v>
      </c>
      <c r="Y123" s="7" t="e">
        <f>IF(VLOOKUP($A123,'Concrete Beam Schedule'!$A$2:$Q$2902,Y$2,0)&lt;&gt;I123,"Beam Revised","")</f>
        <v>#N/A</v>
      </c>
      <c r="Z123" s="7" t="e">
        <f>IF(VLOOKUP($A123,'Concrete Beam Schedule'!$A$2:$Q$2902,Z$2,0)&lt;&gt;J123,"Beam Revised","")</f>
        <v>#N/A</v>
      </c>
      <c r="AA123" s="7" t="e">
        <f>IF(VLOOKUP($A123,'Concrete Beam Schedule'!$A$2:$Q$2902,AA$2,0)&lt;&gt;K123,"Beam Revised","")</f>
        <v>#N/A</v>
      </c>
      <c r="AB123" s="7" t="e">
        <f>IF(VLOOKUP($A123,'Concrete Beam Schedule'!$A$2:$Q$2902,AB$2,0)&lt;&gt;L123,"Beam Revised","")</f>
        <v>#N/A</v>
      </c>
      <c r="AC123" s="7" t="e">
        <f>IF(VLOOKUP($A123,'Concrete Beam Schedule'!$A$2:$Q$2902,AC$2,0)&lt;&gt;M123,"Beam Revised","")</f>
        <v>#N/A</v>
      </c>
      <c r="AD123" s="7" t="e">
        <f>IF(VLOOKUP($A123,'Concrete Beam Schedule'!$A$2:$Q$2902,AD$2,0)&lt;&gt;N123,"Beam Revised","")</f>
        <v>#N/A</v>
      </c>
      <c r="AE123" s="7" t="e">
        <f>IF(VLOOKUP($A123,'Concrete Beam Schedule'!$A$2:$Q$2902,AE$2,0)&lt;&gt;O123,"Beam Revised","")</f>
        <v>#N/A</v>
      </c>
    </row>
    <row r="124" spans="1:31" ht="25.5" customHeight="1" x14ac:dyDescent="0.25">
      <c r="A124" s="17"/>
      <c r="B124" s="17"/>
      <c r="C124" s="17"/>
      <c r="D124" s="17"/>
      <c r="E124" s="17"/>
      <c r="F124" s="17"/>
      <c r="G124" s="17"/>
      <c r="H124" s="17"/>
      <c r="I124" s="17"/>
      <c r="J124" s="17"/>
      <c r="K124" s="17"/>
      <c r="L124" s="17"/>
      <c r="M124" s="17"/>
      <c r="N124" s="17"/>
      <c r="O124" s="17"/>
      <c r="Q124" s="7">
        <f t="shared" si="1"/>
        <v>0</v>
      </c>
      <c r="R124" s="7" t="e">
        <f>IF(VLOOKUP($A124,'Concrete Beam Schedule'!$A$2:$Q$2902,R$2,0)&lt;&gt;B124,VLOOKUP($A124,'Concrete Beam Schedule'!$A$2:$Q$2902,R$2,0),"")</f>
        <v>#N/A</v>
      </c>
      <c r="S124" s="7" t="e">
        <f>IF(VLOOKUP($A124,'Concrete Beam Schedule'!$A$2:$Q$2902,S$2,0)&lt;&gt;C124,VLOOKUP($A124,'Concrete Beam Schedule'!$A$2:$Q$2902,S$2,0),"")</f>
        <v>#N/A</v>
      </c>
      <c r="T124" s="7" t="e">
        <f>IF(VLOOKUP($A124,'Concrete Beam Schedule'!$A$2:$Q$2902,T$2,0)&lt;&gt;D124,"Beam Revised","")</f>
        <v>#N/A</v>
      </c>
      <c r="U124" s="7" t="e">
        <f>IF(VLOOKUP($A124,'Concrete Beam Schedule'!$A$2:$Q$2902,U$2,0)&lt;&gt;E124,"Beam Revised","")</f>
        <v>#N/A</v>
      </c>
      <c r="V124" s="7" t="e">
        <f>IF(VLOOKUP($A124,'Concrete Beam Schedule'!$A$2:$Q$2902,V$2,0)&lt;&gt;F124,"Beam Revised","")</f>
        <v>#N/A</v>
      </c>
      <c r="W124" s="7" t="e">
        <f>IF(VLOOKUP($A124,'Concrete Beam Schedule'!$A$2:$Q$2902,W$2,0)&lt;&gt;G124,"Beam Revised","")</f>
        <v>#N/A</v>
      </c>
      <c r="X124" s="7" t="e">
        <f>IF(VLOOKUP($A124,'Concrete Beam Schedule'!$A$2:$Q$2902,X$2,0)&lt;&gt;H124,"Beam Revised","")</f>
        <v>#N/A</v>
      </c>
      <c r="Y124" s="7" t="e">
        <f>IF(VLOOKUP($A124,'Concrete Beam Schedule'!$A$2:$Q$2902,Y$2,0)&lt;&gt;I124,"Beam Revised","")</f>
        <v>#N/A</v>
      </c>
      <c r="Z124" s="7" t="e">
        <f>IF(VLOOKUP($A124,'Concrete Beam Schedule'!$A$2:$Q$2902,Z$2,0)&lt;&gt;J124,"Beam Revised","")</f>
        <v>#N/A</v>
      </c>
      <c r="AA124" s="7" t="e">
        <f>IF(VLOOKUP($A124,'Concrete Beam Schedule'!$A$2:$Q$2902,AA$2,0)&lt;&gt;K124,"Beam Revised","")</f>
        <v>#N/A</v>
      </c>
      <c r="AB124" s="7" t="e">
        <f>IF(VLOOKUP($A124,'Concrete Beam Schedule'!$A$2:$Q$2902,AB$2,0)&lt;&gt;L124,"Beam Revised","")</f>
        <v>#N/A</v>
      </c>
      <c r="AC124" s="7" t="e">
        <f>IF(VLOOKUP($A124,'Concrete Beam Schedule'!$A$2:$Q$2902,AC$2,0)&lt;&gt;M124,"Beam Revised","")</f>
        <v>#N/A</v>
      </c>
      <c r="AD124" s="7" t="e">
        <f>IF(VLOOKUP($A124,'Concrete Beam Schedule'!$A$2:$Q$2902,AD$2,0)&lt;&gt;N124,"Beam Revised","")</f>
        <v>#N/A</v>
      </c>
      <c r="AE124" s="7" t="e">
        <f>IF(VLOOKUP($A124,'Concrete Beam Schedule'!$A$2:$Q$2902,AE$2,0)&lt;&gt;O124,"Beam Revised","")</f>
        <v>#N/A</v>
      </c>
    </row>
    <row r="125" spans="1:31" ht="25.5" customHeight="1" x14ac:dyDescent="0.25">
      <c r="A125" s="17"/>
      <c r="B125" s="17"/>
      <c r="C125" s="17"/>
      <c r="D125" s="17"/>
      <c r="E125" s="17"/>
      <c r="F125" s="17"/>
      <c r="G125" s="17"/>
      <c r="H125" s="17"/>
      <c r="I125" s="17"/>
      <c r="J125" s="17"/>
      <c r="K125" s="17"/>
      <c r="L125" s="17"/>
      <c r="M125" s="17"/>
      <c r="N125" s="17"/>
      <c r="O125" s="17"/>
      <c r="Q125" s="7">
        <f t="shared" si="1"/>
        <v>0</v>
      </c>
      <c r="R125" s="7" t="e">
        <f>IF(VLOOKUP($A125,'Concrete Beam Schedule'!$A$2:$Q$2902,R$2,0)&lt;&gt;B125,VLOOKUP($A125,'Concrete Beam Schedule'!$A$2:$Q$2902,R$2,0),"")</f>
        <v>#N/A</v>
      </c>
      <c r="S125" s="7" t="e">
        <f>IF(VLOOKUP($A125,'Concrete Beam Schedule'!$A$2:$Q$2902,S$2,0)&lt;&gt;C125,VLOOKUP($A125,'Concrete Beam Schedule'!$A$2:$Q$2902,S$2,0),"")</f>
        <v>#N/A</v>
      </c>
      <c r="T125" s="7" t="e">
        <f>IF(VLOOKUP($A125,'Concrete Beam Schedule'!$A$2:$Q$2902,T$2,0)&lt;&gt;D125,"Beam Revised","")</f>
        <v>#N/A</v>
      </c>
      <c r="U125" s="7" t="e">
        <f>IF(VLOOKUP($A125,'Concrete Beam Schedule'!$A$2:$Q$2902,U$2,0)&lt;&gt;E125,"Beam Revised","")</f>
        <v>#N/A</v>
      </c>
      <c r="V125" s="7" t="e">
        <f>IF(VLOOKUP($A125,'Concrete Beam Schedule'!$A$2:$Q$2902,V$2,0)&lt;&gt;F125,"Beam Revised","")</f>
        <v>#N/A</v>
      </c>
      <c r="W125" s="7" t="e">
        <f>IF(VLOOKUP($A125,'Concrete Beam Schedule'!$A$2:$Q$2902,W$2,0)&lt;&gt;G125,"Beam Revised","")</f>
        <v>#N/A</v>
      </c>
      <c r="X125" s="7" t="e">
        <f>IF(VLOOKUP($A125,'Concrete Beam Schedule'!$A$2:$Q$2902,X$2,0)&lt;&gt;H125,"Beam Revised","")</f>
        <v>#N/A</v>
      </c>
      <c r="Y125" s="7" t="e">
        <f>IF(VLOOKUP($A125,'Concrete Beam Schedule'!$A$2:$Q$2902,Y$2,0)&lt;&gt;I125,"Beam Revised","")</f>
        <v>#N/A</v>
      </c>
      <c r="Z125" s="7" t="e">
        <f>IF(VLOOKUP($A125,'Concrete Beam Schedule'!$A$2:$Q$2902,Z$2,0)&lt;&gt;J125,"Beam Revised","")</f>
        <v>#N/A</v>
      </c>
      <c r="AA125" s="7" t="e">
        <f>IF(VLOOKUP($A125,'Concrete Beam Schedule'!$A$2:$Q$2902,AA$2,0)&lt;&gt;K125,"Beam Revised","")</f>
        <v>#N/A</v>
      </c>
      <c r="AB125" s="7" t="e">
        <f>IF(VLOOKUP($A125,'Concrete Beam Schedule'!$A$2:$Q$2902,AB$2,0)&lt;&gt;L125,"Beam Revised","")</f>
        <v>#N/A</v>
      </c>
      <c r="AC125" s="7" t="e">
        <f>IF(VLOOKUP($A125,'Concrete Beam Schedule'!$A$2:$Q$2902,AC$2,0)&lt;&gt;M125,"Beam Revised","")</f>
        <v>#N/A</v>
      </c>
      <c r="AD125" s="7" t="e">
        <f>IF(VLOOKUP($A125,'Concrete Beam Schedule'!$A$2:$Q$2902,AD$2,0)&lt;&gt;N125,"Beam Revised","")</f>
        <v>#N/A</v>
      </c>
      <c r="AE125" s="7" t="e">
        <f>IF(VLOOKUP($A125,'Concrete Beam Schedule'!$A$2:$Q$2902,AE$2,0)&lt;&gt;O125,"Beam Revised","")</f>
        <v>#N/A</v>
      </c>
    </row>
    <row r="126" spans="1:31" ht="25.5" customHeight="1" x14ac:dyDescent="0.25">
      <c r="A126" s="17"/>
      <c r="B126" s="17"/>
      <c r="C126" s="17"/>
      <c r="D126" s="17"/>
      <c r="E126" s="17"/>
      <c r="F126" s="17"/>
      <c r="G126" s="17"/>
      <c r="H126" s="17"/>
      <c r="I126" s="17"/>
      <c r="J126" s="17"/>
      <c r="K126" s="17"/>
      <c r="L126" s="17"/>
      <c r="M126" s="17"/>
      <c r="N126" s="17"/>
      <c r="O126" s="17"/>
      <c r="Q126" s="7">
        <f t="shared" si="1"/>
        <v>0</v>
      </c>
      <c r="R126" s="7" t="e">
        <f>IF(VLOOKUP($A126,'Concrete Beam Schedule'!$A$2:$Q$2902,R$2,0)&lt;&gt;B126,VLOOKUP($A126,'Concrete Beam Schedule'!$A$2:$Q$2902,R$2,0),"")</f>
        <v>#N/A</v>
      </c>
      <c r="S126" s="7" t="e">
        <f>IF(VLOOKUP($A126,'Concrete Beam Schedule'!$A$2:$Q$2902,S$2,0)&lt;&gt;C126,VLOOKUP($A126,'Concrete Beam Schedule'!$A$2:$Q$2902,S$2,0),"")</f>
        <v>#N/A</v>
      </c>
      <c r="T126" s="7" t="e">
        <f>IF(VLOOKUP($A126,'Concrete Beam Schedule'!$A$2:$Q$2902,T$2,0)&lt;&gt;D126,"Beam Revised","")</f>
        <v>#N/A</v>
      </c>
      <c r="U126" s="7" t="e">
        <f>IF(VLOOKUP($A126,'Concrete Beam Schedule'!$A$2:$Q$2902,U$2,0)&lt;&gt;E126,"Beam Revised","")</f>
        <v>#N/A</v>
      </c>
      <c r="V126" s="7" t="e">
        <f>IF(VLOOKUP($A126,'Concrete Beam Schedule'!$A$2:$Q$2902,V$2,0)&lt;&gt;F126,"Beam Revised","")</f>
        <v>#N/A</v>
      </c>
      <c r="W126" s="7" t="e">
        <f>IF(VLOOKUP($A126,'Concrete Beam Schedule'!$A$2:$Q$2902,W$2,0)&lt;&gt;G126,"Beam Revised","")</f>
        <v>#N/A</v>
      </c>
      <c r="X126" s="7" t="e">
        <f>IF(VLOOKUP($A126,'Concrete Beam Schedule'!$A$2:$Q$2902,X$2,0)&lt;&gt;H126,"Beam Revised","")</f>
        <v>#N/A</v>
      </c>
      <c r="Y126" s="7" t="e">
        <f>IF(VLOOKUP($A126,'Concrete Beam Schedule'!$A$2:$Q$2902,Y$2,0)&lt;&gt;I126,"Beam Revised","")</f>
        <v>#N/A</v>
      </c>
      <c r="Z126" s="7" t="e">
        <f>IF(VLOOKUP($A126,'Concrete Beam Schedule'!$A$2:$Q$2902,Z$2,0)&lt;&gt;J126,"Beam Revised","")</f>
        <v>#N/A</v>
      </c>
      <c r="AA126" s="7" t="e">
        <f>IF(VLOOKUP($A126,'Concrete Beam Schedule'!$A$2:$Q$2902,AA$2,0)&lt;&gt;K126,"Beam Revised","")</f>
        <v>#N/A</v>
      </c>
      <c r="AB126" s="7" t="e">
        <f>IF(VLOOKUP($A126,'Concrete Beam Schedule'!$A$2:$Q$2902,AB$2,0)&lt;&gt;L126,"Beam Revised","")</f>
        <v>#N/A</v>
      </c>
      <c r="AC126" s="7" t="e">
        <f>IF(VLOOKUP($A126,'Concrete Beam Schedule'!$A$2:$Q$2902,AC$2,0)&lt;&gt;M126,"Beam Revised","")</f>
        <v>#N/A</v>
      </c>
      <c r="AD126" s="7" t="e">
        <f>IF(VLOOKUP($A126,'Concrete Beam Schedule'!$A$2:$Q$2902,AD$2,0)&lt;&gt;N126,"Beam Revised","")</f>
        <v>#N/A</v>
      </c>
      <c r="AE126" s="7" t="e">
        <f>IF(VLOOKUP($A126,'Concrete Beam Schedule'!$A$2:$Q$2902,AE$2,0)&lt;&gt;O126,"Beam Revised","")</f>
        <v>#N/A</v>
      </c>
    </row>
    <row r="127" spans="1:31" ht="25.5" customHeight="1" x14ac:dyDescent="0.25">
      <c r="A127" s="17"/>
      <c r="B127" s="17"/>
      <c r="C127" s="17"/>
      <c r="D127" s="17"/>
      <c r="E127" s="17"/>
      <c r="F127" s="17"/>
      <c r="G127" s="17"/>
      <c r="H127" s="17"/>
      <c r="I127" s="17"/>
      <c r="J127" s="17"/>
      <c r="K127" s="17"/>
      <c r="L127" s="17"/>
      <c r="M127" s="17"/>
      <c r="N127" s="17"/>
      <c r="O127" s="17"/>
      <c r="Q127" s="7">
        <f t="shared" si="1"/>
        <v>0</v>
      </c>
      <c r="R127" s="7" t="e">
        <f>IF(VLOOKUP($A127,'Concrete Beam Schedule'!$A$2:$Q$2902,R$2,0)&lt;&gt;B127,VLOOKUP($A127,'Concrete Beam Schedule'!$A$2:$Q$2902,R$2,0),"")</f>
        <v>#N/A</v>
      </c>
      <c r="S127" s="7" t="e">
        <f>IF(VLOOKUP($A127,'Concrete Beam Schedule'!$A$2:$Q$2902,S$2,0)&lt;&gt;C127,VLOOKUP($A127,'Concrete Beam Schedule'!$A$2:$Q$2902,S$2,0),"")</f>
        <v>#N/A</v>
      </c>
      <c r="T127" s="7" t="e">
        <f>IF(VLOOKUP($A127,'Concrete Beam Schedule'!$A$2:$Q$2902,T$2,0)&lt;&gt;D127,"Beam Revised","")</f>
        <v>#N/A</v>
      </c>
      <c r="U127" s="7" t="e">
        <f>IF(VLOOKUP($A127,'Concrete Beam Schedule'!$A$2:$Q$2902,U$2,0)&lt;&gt;E127,"Beam Revised","")</f>
        <v>#N/A</v>
      </c>
      <c r="V127" s="7" t="e">
        <f>IF(VLOOKUP($A127,'Concrete Beam Schedule'!$A$2:$Q$2902,V$2,0)&lt;&gt;F127,"Beam Revised","")</f>
        <v>#N/A</v>
      </c>
      <c r="W127" s="7" t="e">
        <f>IF(VLOOKUP($A127,'Concrete Beam Schedule'!$A$2:$Q$2902,W$2,0)&lt;&gt;G127,"Beam Revised","")</f>
        <v>#N/A</v>
      </c>
      <c r="X127" s="7" t="e">
        <f>IF(VLOOKUP($A127,'Concrete Beam Schedule'!$A$2:$Q$2902,X$2,0)&lt;&gt;H127,"Beam Revised","")</f>
        <v>#N/A</v>
      </c>
      <c r="Y127" s="7" t="e">
        <f>IF(VLOOKUP($A127,'Concrete Beam Schedule'!$A$2:$Q$2902,Y$2,0)&lt;&gt;I127,"Beam Revised","")</f>
        <v>#N/A</v>
      </c>
      <c r="Z127" s="7" t="e">
        <f>IF(VLOOKUP($A127,'Concrete Beam Schedule'!$A$2:$Q$2902,Z$2,0)&lt;&gt;J127,"Beam Revised","")</f>
        <v>#N/A</v>
      </c>
      <c r="AA127" s="7" t="e">
        <f>IF(VLOOKUP($A127,'Concrete Beam Schedule'!$A$2:$Q$2902,AA$2,0)&lt;&gt;K127,"Beam Revised","")</f>
        <v>#N/A</v>
      </c>
      <c r="AB127" s="7" t="e">
        <f>IF(VLOOKUP($A127,'Concrete Beam Schedule'!$A$2:$Q$2902,AB$2,0)&lt;&gt;L127,"Beam Revised","")</f>
        <v>#N/A</v>
      </c>
      <c r="AC127" s="7" t="e">
        <f>IF(VLOOKUP($A127,'Concrete Beam Schedule'!$A$2:$Q$2902,AC$2,0)&lt;&gt;M127,"Beam Revised","")</f>
        <v>#N/A</v>
      </c>
      <c r="AD127" s="7" t="e">
        <f>IF(VLOOKUP($A127,'Concrete Beam Schedule'!$A$2:$Q$2902,AD$2,0)&lt;&gt;N127,"Beam Revised","")</f>
        <v>#N/A</v>
      </c>
      <c r="AE127" s="7" t="e">
        <f>IF(VLOOKUP($A127,'Concrete Beam Schedule'!$A$2:$Q$2902,AE$2,0)&lt;&gt;O127,"Beam Revised","")</f>
        <v>#N/A</v>
      </c>
    </row>
    <row r="128" spans="1:31" ht="25.5" customHeight="1" x14ac:dyDescent="0.25">
      <c r="A128" s="17"/>
      <c r="B128" s="17"/>
      <c r="C128" s="17"/>
      <c r="D128" s="17"/>
      <c r="E128" s="17"/>
      <c r="F128" s="17"/>
      <c r="G128" s="17"/>
      <c r="H128" s="17"/>
      <c r="I128" s="17"/>
      <c r="J128" s="17"/>
      <c r="K128" s="17"/>
      <c r="L128" s="17"/>
      <c r="M128" s="17"/>
      <c r="N128" s="17"/>
      <c r="O128" s="17"/>
      <c r="Q128" s="7">
        <f t="shared" si="1"/>
        <v>0</v>
      </c>
      <c r="R128" s="7" t="e">
        <f>IF(VLOOKUP($A128,'Concrete Beam Schedule'!$A$2:$Q$2902,R$2,0)&lt;&gt;B128,VLOOKUP($A128,'Concrete Beam Schedule'!$A$2:$Q$2902,R$2,0),"")</f>
        <v>#N/A</v>
      </c>
      <c r="S128" s="7" t="e">
        <f>IF(VLOOKUP($A128,'Concrete Beam Schedule'!$A$2:$Q$2902,S$2,0)&lt;&gt;C128,VLOOKUP($A128,'Concrete Beam Schedule'!$A$2:$Q$2902,S$2,0),"")</f>
        <v>#N/A</v>
      </c>
      <c r="T128" s="7" t="e">
        <f>IF(VLOOKUP($A128,'Concrete Beam Schedule'!$A$2:$Q$2902,T$2,0)&lt;&gt;D128,"Beam Revised","")</f>
        <v>#N/A</v>
      </c>
      <c r="U128" s="7" t="e">
        <f>IF(VLOOKUP($A128,'Concrete Beam Schedule'!$A$2:$Q$2902,U$2,0)&lt;&gt;E128,"Beam Revised","")</f>
        <v>#N/A</v>
      </c>
      <c r="V128" s="7" t="e">
        <f>IF(VLOOKUP($A128,'Concrete Beam Schedule'!$A$2:$Q$2902,V$2,0)&lt;&gt;F128,"Beam Revised","")</f>
        <v>#N/A</v>
      </c>
      <c r="W128" s="7" t="e">
        <f>IF(VLOOKUP($A128,'Concrete Beam Schedule'!$A$2:$Q$2902,W$2,0)&lt;&gt;G128,"Beam Revised","")</f>
        <v>#N/A</v>
      </c>
      <c r="X128" s="7" t="e">
        <f>IF(VLOOKUP($A128,'Concrete Beam Schedule'!$A$2:$Q$2902,X$2,0)&lt;&gt;H128,"Beam Revised","")</f>
        <v>#N/A</v>
      </c>
      <c r="Y128" s="7" t="e">
        <f>IF(VLOOKUP($A128,'Concrete Beam Schedule'!$A$2:$Q$2902,Y$2,0)&lt;&gt;I128,"Beam Revised","")</f>
        <v>#N/A</v>
      </c>
      <c r="Z128" s="7" t="e">
        <f>IF(VLOOKUP($A128,'Concrete Beam Schedule'!$A$2:$Q$2902,Z$2,0)&lt;&gt;J128,"Beam Revised","")</f>
        <v>#N/A</v>
      </c>
      <c r="AA128" s="7" t="e">
        <f>IF(VLOOKUP($A128,'Concrete Beam Schedule'!$A$2:$Q$2902,AA$2,0)&lt;&gt;K128,"Beam Revised","")</f>
        <v>#N/A</v>
      </c>
      <c r="AB128" s="7" t="e">
        <f>IF(VLOOKUP($A128,'Concrete Beam Schedule'!$A$2:$Q$2902,AB$2,0)&lt;&gt;L128,"Beam Revised","")</f>
        <v>#N/A</v>
      </c>
      <c r="AC128" s="7" t="e">
        <f>IF(VLOOKUP($A128,'Concrete Beam Schedule'!$A$2:$Q$2902,AC$2,0)&lt;&gt;M128,"Beam Revised","")</f>
        <v>#N/A</v>
      </c>
      <c r="AD128" s="7" t="e">
        <f>IF(VLOOKUP($A128,'Concrete Beam Schedule'!$A$2:$Q$2902,AD$2,0)&lt;&gt;N128,"Beam Revised","")</f>
        <v>#N/A</v>
      </c>
      <c r="AE128" s="7" t="e">
        <f>IF(VLOOKUP($A128,'Concrete Beam Schedule'!$A$2:$Q$2902,AE$2,0)&lt;&gt;O128,"Beam Revised","")</f>
        <v>#N/A</v>
      </c>
    </row>
    <row r="129" spans="1:31" ht="25.5" customHeight="1" x14ac:dyDescent="0.25">
      <c r="A129" s="17"/>
      <c r="B129" s="17"/>
      <c r="C129" s="17"/>
      <c r="D129" s="17"/>
      <c r="E129" s="17"/>
      <c r="F129" s="17"/>
      <c r="G129" s="17"/>
      <c r="H129" s="17"/>
      <c r="I129" s="17"/>
      <c r="J129" s="17"/>
      <c r="K129" s="17"/>
      <c r="L129" s="17"/>
      <c r="M129" s="17"/>
      <c r="N129" s="17"/>
      <c r="O129" s="17"/>
      <c r="Q129" s="7">
        <f t="shared" si="1"/>
        <v>0</v>
      </c>
      <c r="R129" s="7" t="e">
        <f>IF(VLOOKUP($A129,'Concrete Beam Schedule'!$A$2:$Q$2902,R$2,0)&lt;&gt;B129,VLOOKUP($A129,'Concrete Beam Schedule'!$A$2:$Q$2902,R$2,0),"")</f>
        <v>#N/A</v>
      </c>
      <c r="S129" s="7" t="e">
        <f>IF(VLOOKUP($A129,'Concrete Beam Schedule'!$A$2:$Q$2902,S$2,0)&lt;&gt;C129,VLOOKUP($A129,'Concrete Beam Schedule'!$A$2:$Q$2902,S$2,0),"")</f>
        <v>#N/A</v>
      </c>
      <c r="T129" s="7" t="e">
        <f>IF(VLOOKUP($A129,'Concrete Beam Schedule'!$A$2:$Q$2902,T$2,0)&lt;&gt;D129,"Beam Revised","")</f>
        <v>#N/A</v>
      </c>
      <c r="U129" s="7" t="e">
        <f>IF(VLOOKUP($A129,'Concrete Beam Schedule'!$A$2:$Q$2902,U$2,0)&lt;&gt;E129,"Beam Revised","")</f>
        <v>#N/A</v>
      </c>
      <c r="V129" s="7" t="e">
        <f>IF(VLOOKUP($A129,'Concrete Beam Schedule'!$A$2:$Q$2902,V$2,0)&lt;&gt;F129,"Beam Revised","")</f>
        <v>#N/A</v>
      </c>
      <c r="W129" s="7" t="e">
        <f>IF(VLOOKUP($A129,'Concrete Beam Schedule'!$A$2:$Q$2902,W$2,0)&lt;&gt;G129,"Beam Revised","")</f>
        <v>#N/A</v>
      </c>
      <c r="X129" s="7" t="e">
        <f>IF(VLOOKUP($A129,'Concrete Beam Schedule'!$A$2:$Q$2902,X$2,0)&lt;&gt;H129,"Beam Revised","")</f>
        <v>#N/A</v>
      </c>
      <c r="Y129" s="7" t="e">
        <f>IF(VLOOKUP($A129,'Concrete Beam Schedule'!$A$2:$Q$2902,Y$2,0)&lt;&gt;I129,"Beam Revised","")</f>
        <v>#N/A</v>
      </c>
      <c r="Z129" s="7" t="e">
        <f>IF(VLOOKUP($A129,'Concrete Beam Schedule'!$A$2:$Q$2902,Z$2,0)&lt;&gt;J129,"Beam Revised","")</f>
        <v>#N/A</v>
      </c>
      <c r="AA129" s="7" t="e">
        <f>IF(VLOOKUP($A129,'Concrete Beam Schedule'!$A$2:$Q$2902,AA$2,0)&lt;&gt;K129,"Beam Revised","")</f>
        <v>#N/A</v>
      </c>
      <c r="AB129" s="7" t="e">
        <f>IF(VLOOKUP($A129,'Concrete Beam Schedule'!$A$2:$Q$2902,AB$2,0)&lt;&gt;L129,"Beam Revised","")</f>
        <v>#N/A</v>
      </c>
      <c r="AC129" s="7" t="e">
        <f>IF(VLOOKUP($A129,'Concrete Beam Schedule'!$A$2:$Q$2902,AC$2,0)&lt;&gt;M129,"Beam Revised","")</f>
        <v>#N/A</v>
      </c>
      <c r="AD129" s="7" t="e">
        <f>IF(VLOOKUP($A129,'Concrete Beam Schedule'!$A$2:$Q$2902,AD$2,0)&lt;&gt;N129,"Beam Revised","")</f>
        <v>#N/A</v>
      </c>
      <c r="AE129" s="7" t="e">
        <f>IF(VLOOKUP($A129,'Concrete Beam Schedule'!$A$2:$Q$2902,AE$2,0)&lt;&gt;O129,"Beam Revised","")</f>
        <v>#N/A</v>
      </c>
    </row>
    <row r="130" spans="1:31" ht="25.5" customHeight="1" x14ac:dyDescent="0.25">
      <c r="A130" s="17"/>
      <c r="B130" s="17"/>
      <c r="C130" s="17"/>
      <c r="D130" s="17"/>
      <c r="E130" s="17"/>
      <c r="F130" s="17"/>
      <c r="G130" s="17"/>
      <c r="H130" s="17"/>
      <c r="I130" s="17"/>
      <c r="J130" s="17"/>
      <c r="K130" s="17"/>
      <c r="L130" s="17"/>
      <c r="M130" s="17"/>
      <c r="N130" s="17"/>
      <c r="O130" s="17"/>
      <c r="Q130" s="7">
        <f t="shared" si="1"/>
        <v>0</v>
      </c>
      <c r="R130" s="7" t="e">
        <f>IF(VLOOKUP($A130,'Concrete Beam Schedule'!$A$2:$Q$2902,R$2,0)&lt;&gt;B130,VLOOKUP($A130,'Concrete Beam Schedule'!$A$2:$Q$2902,R$2,0),"")</f>
        <v>#N/A</v>
      </c>
      <c r="S130" s="7" t="e">
        <f>IF(VLOOKUP($A130,'Concrete Beam Schedule'!$A$2:$Q$2902,S$2,0)&lt;&gt;C130,VLOOKUP($A130,'Concrete Beam Schedule'!$A$2:$Q$2902,S$2,0),"")</f>
        <v>#N/A</v>
      </c>
      <c r="T130" s="7" t="e">
        <f>IF(VLOOKUP($A130,'Concrete Beam Schedule'!$A$2:$Q$2902,T$2,0)&lt;&gt;D130,"Beam Revised","")</f>
        <v>#N/A</v>
      </c>
      <c r="U130" s="7" t="e">
        <f>IF(VLOOKUP($A130,'Concrete Beam Schedule'!$A$2:$Q$2902,U$2,0)&lt;&gt;E130,"Beam Revised","")</f>
        <v>#N/A</v>
      </c>
      <c r="V130" s="7" t="e">
        <f>IF(VLOOKUP($A130,'Concrete Beam Schedule'!$A$2:$Q$2902,V$2,0)&lt;&gt;F130,"Beam Revised","")</f>
        <v>#N/A</v>
      </c>
      <c r="W130" s="7" t="e">
        <f>IF(VLOOKUP($A130,'Concrete Beam Schedule'!$A$2:$Q$2902,W$2,0)&lt;&gt;G130,"Beam Revised","")</f>
        <v>#N/A</v>
      </c>
      <c r="X130" s="7" t="e">
        <f>IF(VLOOKUP($A130,'Concrete Beam Schedule'!$A$2:$Q$2902,X$2,0)&lt;&gt;H130,"Beam Revised","")</f>
        <v>#N/A</v>
      </c>
      <c r="Y130" s="7" t="e">
        <f>IF(VLOOKUP($A130,'Concrete Beam Schedule'!$A$2:$Q$2902,Y$2,0)&lt;&gt;I130,"Beam Revised","")</f>
        <v>#N/A</v>
      </c>
      <c r="Z130" s="7" t="e">
        <f>IF(VLOOKUP($A130,'Concrete Beam Schedule'!$A$2:$Q$2902,Z$2,0)&lt;&gt;J130,"Beam Revised","")</f>
        <v>#N/A</v>
      </c>
      <c r="AA130" s="7" t="e">
        <f>IF(VLOOKUP($A130,'Concrete Beam Schedule'!$A$2:$Q$2902,AA$2,0)&lt;&gt;K130,"Beam Revised","")</f>
        <v>#N/A</v>
      </c>
      <c r="AB130" s="7" t="e">
        <f>IF(VLOOKUP($A130,'Concrete Beam Schedule'!$A$2:$Q$2902,AB$2,0)&lt;&gt;L130,"Beam Revised","")</f>
        <v>#N/A</v>
      </c>
      <c r="AC130" s="7" t="e">
        <f>IF(VLOOKUP($A130,'Concrete Beam Schedule'!$A$2:$Q$2902,AC$2,0)&lt;&gt;M130,"Beam Revised","")</f>
        <v>#N/A</v>
      </c>
      <c r="AD130" s="7" t="e">
        <f>IF(VLOOKUP($A130,'Concrete Beam Schedule'!$A$2:$Q$2902,AD$2,0)&lt;&gt;N130,"Beam Revised","")</f>
        <v>#N/A</v>
      </c>
      <c r="AE130" s="7" t="e">
        <f>IF(VLOOKUP($A130,'Concrete Beam Schedule'!$A$2:$Q$2902,AE$2,0)&lt;&gt;O130,"Beam Revised","")</f>
        <v>#N/A</v>
      </c>
    </row>
    <row r="131" spans="1:31" ht="25.5" customHeight="1" x14ac:dyDescent="0.25">
      <c r="A131" s="17"/>
      <c r="B131" s="17"/>
      <c r="C131" s="17"/>
      <c r="D131" s="17"/>
      <c r="E131" s="17"/>
      <c r="F131" s="17"/>
      <c r="G131" s="17"/>
      <c r="H131" s="17"/>
      <c r="I131" s="17"/>
      <c r="J131" s="17"/>
      <c r="K131" s="17"/>
      <c r="L131" s="17"/>
      <c r="M131" s="17"/>
      <c r="N131" s="17"/>
      <c r="O131" s="17"/>
      <c r="Q131" s="7">
        <f t="shared" si="1"/>
        <v>0</v>
      </c>
      <c r="R131" s="7" t="e">
        <f>IF(VLOOKUP($A131,'Concrete Beam Schedule'!$A$2:$Q$2902,R$2,0)&lt;&gt;B131,VLOOKUP($A131,'Concrete Beam Schedule'!$A$2:$Q$2902,R$2,0),"")</f>
        <v>#N/A</v>
      </c>
      <c r="S131" s="7" t="e">
        <f>IF(VLOOKUP($A131,'Concrete Beam Schedule'!$A$2:$Q$2902,S$2,0)&lt;&gt;C131,VLOOKUP($A131,'Concrete Beam Schedule'!$A$2:$Q$2902,S$2,0),"")</f>
        <v>#N/A</v>
      </c>
      <c r="T131" s="7" t="e">
        <f>IF(VLOOKUP($A131,'Concrete Beam Schedule'!$A$2:$Q$2902,T$2,0)&lt;&gt;D131,"Beam Revised","")</f>
        <v>#N/A</v>
      </c>
      <c r="U131" s="7" t="e">
        <f>IF(VLOOKUP($A131,'Concrete Beam Schedule'!$A$2:$Q$2902,U$2,0)&lt;&gt;E131,"Beam Revised","")</f>
        <v>#N/A</v>
      </c>
      <c r="V131" s="7" t="e">
        <f>IF(VLOOKUP($A131,'Concrete Beam Schedule'!$A$2:$Q$2902,V$2,0)&lt;&gt;F131,"Beam Revised","")</f>
        <v>#N/A</v>
      </c>
      <c r="W131" s="7" t="e">
        <f>IF(VLOOKUP($A131,'Concrete Beam Schedule'!$A$2:$Q$2902,W$2,0)&lt;&gt;G131,"Beam Revised","")</f>
        <v>#N/A</v>
      </c>
      <c r="X131" s="7" t="e">
        <f>IF(VLOOKUP($A131,'Concrete Beam Schedule'!$A$2:$Q$2902,X$2,0)&lt;&gt;H131,"Beam Revised","")</f>
        <v>#N/A</v>
      </c>
      <c r="Y131" s="7" t="e">
        <f>IF(VLOOKUP($A131,'Concrete Beam Schedule'!$A$2:$Q$2902,Y$2,0)&lt;&gt;I131,"Beam Revised","")</f>
        <v>#N/A</v>
      </c>
      <c r="Z131" s="7" t="e">
        <f>IF(VLOOKUP($A131,'Concrete Beam Schedule'!$A$2:$Q$2902,Z$2,0)&lt;&gt;J131,"Beam Revised","")</f>
        <v>#N/A</v>
      </c>
      <c r="AA131" s="7" t="e">
        <f>IF(VLOOKUP($A131,'Concrete Beam Schedule'!$A$2:$Q$2902,AA$2,0)&lt;&gt;K131,"Beam Revised","")</f>
        <v>#N/A</v>
      </c>
      <c r="AB131" s="7" t="e">
        <f>IF(VLOOKUP($A131,'Concrete Beam Schedule'!$A$2:$Q$2902,AB$2,0)&lt;&gt;L131,"Beam Revised","")</f>
        <v>#N/A</v>
      </c>
      <c r="AC131" s="7" t="e">
        <f>IF(VLOOKUP($A131,'Concrete Beam Schedule'!$A$2:$Q$2902,AC$2,0)&lt;&gt;M131,"Beam Revised","")</f>
        <v>#N/A</v>
      </c>
      <c r="AD131" s="7" t="e">
        <f>IF(VLOOKUP($A131,'Concrete Beam Schedule'!$A$2:$Q$2902,AD$2,0)&lt;&gt;N131,"Beam Revised","")</f>
        <v>#N/A</v>
      </c>
      <c r="AE131" s="7" t="e">
        <f>IF(VLOOKUP($A131,'Concrete Beam Schedule'!$A$2:$Q$2902,AE$2,0)&lt;&gt;O131,"Beam Revised","")</f>
        <v>#N/A</v>
      </c>
    </row>
    <row r="132" spans="1:31" ht="25.5" customHeight="1" x14ac:dyDescent="0.25">
      <c r="A132" s="17"/>
      <c r="B132" s="17"/>
      <c r="C132" s="17"/>
      <c r="D132" s="17"/>
      <c r="E132" s="17"/>
      <c r="F132" s="17"/>
      <c r="G132" s="17"/>
      <c r="H132" s="17"/>
      <c r="I132" s="17"/>
      <c r="J132" s="17"/>
      <c r="K132" s="17"/>
      <c r="L132" s="17"/>
      <c r="M132" s="17"/>
      <c r="N132" s="17"/>
      <c r="O132" s="17"/>
      <c r="Q132" s="7">
        <f t="shared" ref="Q132:Q195" si="2">A132</f>
        <v>0</v>
      </c>
      <c r="R132" s="7" t="e">
        <f>IF(VLOOKUP($A132,'Concrete Beam Schedule'!$A$2:$Q$2902,R$2,0)&lt;&gt;B132,VLOOKUP($A132,'Concrete Beam Schedule'!$A$2:$Q$2902,R$2,0),"")</f>
        <v>#N/A</v>
      </c>
      <c r="S132" s="7" t="e">
        <f>IF(VLOOKUP($A132,'Concrete Beam Schedule'!$A$2:$Q$2902,S$2,0)&lt;&gt;C132,VLOOKUP($A132,'Concrete Beam Schedule'!$A$2:$Q$2902,S$2,0),"")</f>
        <v>#N/A</v>
      </c>
      <c r="T132" s="7" t="e">
        <f>IF(VLOOKUP($A132,'Concrete Beam Schedule'!$A$2:$Q$2902,T$2,0)&lt;&gt;D132,"Beam Revised","")</f>
        <v>#N/A</v>
      </c>
      <c r="U132" s="7" t="e">
        <f>IF(VLOOKUP($A132,'Concrete Beam Schedule'!$A$2:$Q$2902,U$2,0)&lt;&gt;E132,"Beam Revised","")</f>
        <v>#N/A</v>
      </c>
      <c r="V132" s="7" t="e">
        <f>IF(VLOOKUP($A132,'Concrete Beam Schedule'!$A$2:$Q$2902,V$2,0)&lt;&gt;F132,"Beam Revised","")</f>
        <v>#N/A</v>
      </c>
      <c r="W132" s="7" t="e">
        <f>IF(VLOOKUP($A132,'Concrete Beam Schedule'!$A$2:$Q$2902,W$2,0)&lt;&gt;G132,"Beam Revised","")</f>
        <v>#N/A</v>
      </c>
      <c r="X132" s="7" t="e">
        <f>IF(VLOOKUP($A132,'Concrete Beam Schedule'!$A$2:$Q$2902,X$2,0)&lt;&gt;H132,"Beam Revised","")</f>
        <v>#N/A</v>
      </c>
      <c r="Y132" s="7" t="e">
        <f>IF(VLOOKUP($A132,'Concrete Beam Schedule'!$A$2:$Q$2902,Y$2,0)&lt;&gt;I132,"Beam Revised","")</f>
        <v>#N/A</v>
      </c>
      <c r="Z132" s="7" t="e">
        <f>IF(VLOOKUP($A132,'Concrete Beam Schedule'!$A$2:$Q$2902,Z$2,0)&lt;&gt;J132,"Beam Revised","")</f>
        <v>#N/A</v>
      </c>
      <c r="AA132" s="7" t="e">
        <f>IF(VLOOKUP($A132,'Concrete Beam Schedule'!$A$2:$Q$2902,AA$2,0)&lt;&gt;K132,"Beam Revised","")</f>
        <v>#N/A</v>
      </c>
      <c r="AB132" s="7" t="e">
        <f>IF(VLOOKUP($A132,'Concrete Beam Schedule'!$A$2:$Q$2902,AB$2,0)&lt;&gt;L132,"Beam Revised","")</f>
        <v>#N/A</v>
      </c>
      <c r="AC132" s="7" t="e">
        <f>IF(VLOOKUP($A132,'Concrete Beam Schedule'!$A$2:$Q$2902,AC$2,0)&lt;&gt;M132,"Beam Revised","")</f>
        <v>#N/A</v>
      </c>
      <c r="AD132" s="7" t="e">
        <f>IF(VLOOKUP($A132,'Concrete Beam Schedule'!$A$2:$Q$2902,AD$2,0)&lt;&gt;N132,"Beam Revised","")</f>
        <v>#N/A</v>
      </c>
      <c r="AE132" s="7" t="e">
        <f>IF(VLOOKUP($A132,'Concrete Beam Schedule'!$A$2:$Q$2902,AE$2,0)&lt;&gt;O132,"Beam Revised","")</f>
        <v>#N/A</v>
      </c>
    </row>
    <row r="133" spans="1:31" ht="25.5" customHeight="1" x14ac:dyDescent="0.25">
      <c r="A133" s="17"/>
      <c r="B133" s="17"/>
      <c r="C133" s="17"/>
      <c r="D133" s="17"/>
      <c r="E133" s="17"/>
      <c r="F133" s="17"/>
      <c r="G133" s="17"/>
      <c r="H133" s="17"/>
      <c r="I133" s="17"/>
      <c r="J133" s="17"/>
      <c r="K133" s="17"/>
      <c r="L133" s="17"/>
      <c r="M133" s="17"/>
      <c r="N133" s="17"/>
      <c r="O133" s="17"/>
      <c r="Q133" s="7">
        <f t="shared" si="2"/>
        <v>0</v>
      </c>
      <c r="R133" s="7" t="e">
        <f>IF(VLOOKUP($A133,'Concrete Beam Schedule'!$A$2:$Q$2902,R$2,0)&lt;&gt;B133,VLOOKUP($A133,'Concrete Beam Schedule'!$A$2:$Q$2902,R$2,0),"")</f>
        <v>#N/A</v>
      </c>
      <c r="S133" s="7" t="e">
        <f>IF(VLOOKUP($A133,'Concrete Beam Schedule'!$A$2:$Q$2902,S$2,0)&lt;&gt;C133,VLOOKUP($A133,'Concrete Beam Schedule'!$A$2:$Q$2902,S$2,0),"")</f>
        <v>#N/A</v>
      </c>
      <c r="T133" s="7" t="e">
        <f>IF(VLOOKUP($A133,'Concrete Beam Schedule'!$A$2:$Q$2902,T$2,0)&lt;&gt;D133,"Beam Revised","")</f>
        <v>#N/A</v>
      </c>
      <c r="U133" s="7" t="e">
        <f>IF(VLOOKUP($A133,'Concrete Beam Schedule'!$A$2:$Q$2902,U$2,0)&lt;&gt;E133,"Beam Revised","")</f>
        <v>#N/A</v>
      </c>
      <c r="V133" s="7" t="e">
        <f>IF(VLOOKUP($A133,'Concrete Beam Schedule'!$A$2:$Q$2902,V$2,0)&lt;&gt;F133,"Beam Revised","")</f>
        <v>#N/A</v>
      </c>
      <c r="W133" s="7" t="e">
        <f>IF(VLOOKUP($A133,'Concrete Beam Schedule'!$A$2:$Q$2902,W$2,0)&lt;&gt;G133,"Beam Revised","")</f>
        <v>#N/A</v>
      </c>
      <c r="X133" s="7" t="e">
        <f>IF(VLOOKUP($A133,'Concrete Beam Schedule'!$A$2:$Q$2902,X$2,0)&lt;&gt;H133,"Beam Revised","")</f>
        <v>#N/A</v>
      </c>
      <c r="Y133" s="7" t="e">
        <f>IF(VLOOKUP($A133,'Concrete Beam Schedule'!$A$2:$Q$2902,Y$2,0)&lt;&gt;I133,"Beam Revised","")</f>
        <v>#N/A</v>
      </c>
      <c r="Z133" s="7" t="e">
        <f>IF(VLOOKUP($A133,'Concrete Beam Schedule'!$A$2:$Q$2902,Z$2,0)&lt;&gt;J133,"Beam Revised","")</f>
        <v>#N/A</v>
      </c>
      <c r="AA133" s="7" t="e">
        <f>IF(VLOOKUP($A133,'Concrete Beam Schedule'!$A$2:$Q$2902,AA$2,0)&lt;&gt;K133,"Beam Revised","")</f>
        <v>#N/A</v>
      </c>
      <c r="AB133" s="7" t="e">
        <f>IF(VLOOKUP($A133,'Concrete Beam Schedule'!$A$2:$Q$2902,AB$2,0)&lt;&gt;L133,"Beam Revised","")</f>
        <v>#N/A</v>
      </c>
      <c r="AC133" s="7" t="e">
        <f>IF(VLOOKUP($A133,'Concrete Beam Schedule'!$A$2:$Q$2902,AC$2,0)&lt;&gt;M133,"Beam Revised","")</f>
        <v>#N/A</v>
      </c>
      <c r="AD133" s="7" t="e">
        <f>IF(VLOOKUP($A133,'Concrete Beam Schedule'!$A$2:$Q$2902,AD$2,0)&lt;&gt;N133,"Beam Revised","")</f>
        <v>#N/A</v>
      </c>
      <c r="AE133" s="7" t="e">
        <f>IF(VLOOKUP($A133,'Concrete Beam Schedule'!$A$2:$Q$2902,AE$2,0)&lt;&gt;O133,"Beam Revised","")</f>
        <v>#N/A</v>
      </c>
    </row>
    <row r="134" spans="1:31" ht="25.5" customHeight="1" x14ac:dyDescent="0.25">
      <c r="A134" s="17"/>
      <c r="B134" s="17"/>
      <c r="C134" s="17"/>
      <c r="D134" s="17"/>
      <c r="E134" s="17"/>
      <c r="F134" s="17"/>
      <c r="G134" s="17"/>
      <c r="H134" s="17"/>
      <c r="I134" s="17"/>
      <c r="J134" s="17"/>
      <c r="K134" s="17"/>
      <c r="L134" s="17"/>
      <c r="M134" s="17"/>
      <c r="N134" s="17"/>
      <c r="O134" s="17"/>
      <c r="Q134" s="7">
        <f t="shared" si="2"/>
        <v>0</v>
      </c>
      <c r="R134" s="7" t="e">
        <f>IF(VLOOKUP($A134,'Concrete Beam Schedule'!$A$2:$Q$2902,R$2,0)&lt;&gt;B134,VLOOKUP($A134,'Concrete Beam Schedule'!$A$2:$Q$2902,R$2,0),"")</f>
        <v>#N/A</v>
      </c>
      <c r="S134" s="7" t="e">
        <f>IF(VLOOKUP($A134,'Concrete Beam Schedule'!$A$2:$Q$2902,S$2,0)&lt;&gt;C134,VLOOKUP($A134,'Concrete Beam Schedule'!$A$2:$Q$2902,S$2,0),"")</f>
        <v>#N/A</v>
      </c>
      <c r="T134" s="7" t="e">
        <f>IF(VLOOKUP($A134,'Concrete Beam Schedule'!$A$2:$Q$2902,T$2,0)&lt;&gt;D134,"Beam Revised","")</f>
        <v>#N/A</v>
      </c>
      <c r="U134" s="7" t="e">
        <f>IF(VLOOKUP($A134,'Concrete Beam Schedule'!$A$2:$Q$2902,U$2,0)&lt;&gt;E134,"Beam Revised","")</f>
        <v>#N/A</v>
      </c>
      <c r="V134" s="7" t="e">
        <f>IF(VLOOKUP($A134,'Concrete Beam Schedule'!$A$2:$Q$2902,V$2,0)&lt;&gt;F134,"Beam Revised","")</f>
        <v>#N/A</v>
      </c>
      <c r="W134" s="7" t="e">
        <f>IF(VLOOKUP($A134,'Concrete Beam Schedule'!$A$2:$Q$2902,W$2,0)&lt;&gt;G134,"Beam Revised","")</f>
        <v>#N/A</v>
      </c>
      <c r="X134" s="7" t="e">
        <f>IF(VLOOKUP($A134,'Concrete Beam Schedule'!$A$2:$Q$2902,X$2,0)&lt;&gt;H134,"Beam Revised","")</f>
        <v>#N/A</v>
      </c>
      <c r="Y134" s="7" t="e">
        <f>IF(VLOOKUP($A134,'Concrete Beam Schedule'!$A$2:$Q$2902,Y$2,0)&lt;&gt;I134,"Beam Revised","")</f>
        <v>#N/A</v>
      </c>
      <c r="Z134" s="7" t="e">
        <f>IF(VLOOKUP($A134,'Concrete Beam Schedule'!$A$2:$Q$2902,Z$2,0)&lt;&gt;J134,"Beam Revised","")</f>
        <v>#N/A</v>
      </c>
      <c r="AA134" s="7" t="e">
        <f>IF(VLOOKUP($A134,'Concrete Beam Schedule'!$A$2:$Q$2902,AA$2,0)&lt;&gt;K134,"Beam Revised","")</f>
        <v>#N/A</v>
      </c>
      <c r="AB134" s="7" t="e">
        <f>IF(VLOOKUP($A134,'Concrete Beam Schedule'!$A$2:$Q$2902,AB$2,0)&lt;&gt;L134,"Beam Revised","")</f>
        <v>#N/A</v>
      </c>
      <c r="AC134" s="7" t="e">
        <f>IF(VLOOKUP($A134,'Concrete Beam Schedule'!$A$2:$Q$2902,AC$2,0)&lt;&gt;M134,"Beam Revised","")</f>
        <v>#N/A</v>
      </c>
      <c r="AD134" s="7" t="e">
        <f>IF(VLOOKUP($A134,'Concrete Beam Schedule'!$A$2:$Q$2902,AD$2,0)&lt;&gt;N134,"Beam Revised","")</f>
        <v>#N/A</v>
      </c>
      <c r="AE134" s="7" t="e">
        <f>IF(VLOOKUP($A134,'Concrete Beam Schedule'!$A$2:$Q$2902,AE$2,0)&lt;&gt;O134,"Beam Revised","")</f>
        <v>#N/A</v>
      </c>
    </row>
    <row r="135" spans="1:31" ht="25.5" customHeight="1" x14ac:dyDescent="0.25">
      <c r="A135" s="17"/>
      <c r="B135" s="17"/>
      <c r="C135" s="17"/>
      <c r="D135" s="17"/>
      <c r="E135" s="17"/>
      <c r="F135" s="17"/>
      <c r="G135" s="17"/>
      <c r="H135" s="17"/>
      <c r="I135" s="17"/>
      <c r="J135" s="17"/>
      <c r="K135" s="17"/>
      <c r="L135" s="17"/>
      <c r="M135" s="17"/>
      <c r="N135" s="17"/>
      <c r="O135" s="17"/>
      <c r="Q135" s="7">
        <f t="shared" si="2"/>
        <v>0</v>
      </c>
      <c r="R135" s="7" t="e">
        <f>IF(VLOOKUP($A135,'Concrete Beam Schedule'!$A$2:$Q$2902,R$2,0)&lt;&gt;B135,VLOOKUP($A135,'Concrete Beam Schedule'!$A$2:$Q$2902,R$2,0),"")</f>
        <v>#N/A</v>
      </c>
      <c r="S135" s="7" t="e">
        <f>IF(VLOOKUP($A135,'Concrete Beam Schedule'!$A$2:$Q$2902,S$2,0)&lt;&gt;C135,VLOOKUP($A135,'Concrete Beam Schedule'!$A$2:$Q$2902,S$2,0),"")</f>
        <v>#N/A</v>
      </c>
      <c r="T135" s="7" t="e">
        <f>IF(VLOOKUP($A135,'Concrete Beam Schedule'!$A$2:$Q$2902,T$2,0)&lt;&gt;D135,"Beam Revised","")</f>
        <v>#N/A</v>
      </c>
      <c r="U135" s="7" t="e">
        <f>IF(VLOOKUP($A135,'Concrete Beam Schedule'!$A$2:$Q$2902,U$2,0)&lt;&gt;E135,"Beam Revised","")</f>
        <v>#N/A</v>
      </c>
      <c r="V135" s="7" t="e">
        <f>IF(VLOOKUP($A135,'Concrete Beam Schedule'!$A$2:$Q$2902,V$2,0)&lt;&gt;F135,"Beam Revised","")</f>
        <v>#N/A</v>
      </c>
      <c r="W135" s="7" t="e">
        <f>IF(VLOOKUP($A135,'Concrete Beam Schedule'!$A$2:$Q$2902,W$2,0)&lt;&gt;G135,"Beam Revised","")</f>
        <v>#N/A</v>
      </c>
      <c r="X135" s="7" t="e">
        <f>IF(VLOOKUP($A135,'Concrete Beam Schedule'!$A$2:$Q$2902,X$2,0)&lt;&gt;H135,"Beam Revised","")</f>
        <v>#N/A</v>
      </c>
      <c r="Y135" s="7" t="e">
        <f>IF(VLOOKUP($A135,'Concrete Beam Schedule'!$A$2:$Q$2902,Y$2,0)&lt;&gt;I135,"Beam Revised","")</f>
        <v>#N/A</v>
      </c>
      <c r="Z135" s="7" t="e">
        <f>IF(VLOOKUP($A135,'Concrete Beam Schedule'!$A$2:$Q$2902,Z$2,0)&lt;&gt;J135,"Beam Revised","")</f>
        <v>#N/A</v>
      </c>
      <c r="AA135" s="7" t="e">
        <f>IF(VLOOKUP($A135,'Concrete Beam Schedule'!$A$2:$Q$2902,AA$2,0)&lt;&gt;K135,"Beam Revised","")</f>
        <v>#N/A</v>
      </c>
      <c r="AB135" s="7" t="e">
        <f>IF(VLOOKUP($A135,'Concrete Beam Schedule'!$A$2:$Q$2902,AB$2,0)&lt;&gt;L135,"Beam Revised","")</f>
        <v>#N/A</v>
      </c>
      <c r="AC135" s="7" t="e">
        <f>IF(VLOOKUP($A135,'Concrete Beam Schedule'!$A$2:$Q$2902,AC$2,0)&lt;&gt;M135,"Beam Revised","")</f>
        <v>#N/A</v>
      </c>
      <c r="AD135" s="7" t="e">
        <f>IF(VLOOKUP($A135,'Concrete Beam Schedule'!$A$2:$Q$2902,AD$2,0)&lt;&gt;N135,"Beam Revised","")</f>
        <v>#N/A</v>
      </c>
      <c r="AE135" s="7" t="e">
        <f>IF(VLOOKUP($A135,'Concrete Beam Schedule'!$A$2:$Q$2902,AE$2,0)&lt;&gt;O135,"Beam Revised","")</f>
        <v>#N/A</v>
      </c>
    </row>
    <row r="136" spans="1:31" ht="25.5" customHeight="1" x14ac:dyDescent="0.25">
      <c r="A136" s="17"/>
      <c r="B136" s="17"/>
      <c r="C136" s="17"/>
      <c r="D136" s="17"/>
      <c r="E136" s="17"/>
      <c r="F136" s="17"/>
      <c r="G136" s="17"/>
      <c r="H136" s="17"/>
      <c r="I136" s="17"/>
      <c r="J136" s="17"/>
      <c r="K136" s="17"/>
      <c r="L136" s="17"/>
      <c r="M136" s="17"/>
      <c r="N136" s="17"/>
      <c r="O136" s="17"/>
      <c r="Q136" s="7">
        <f t="shared" si="2"/>
        <v>0</v>
      </c>
      <c r="R136" s="7" t="e">
        <f>IF(VLOOKUP($A136,'Concrete Beam Schedule'!$A$2:$Q$2902,R$2,0)&lt;&gt;B136,VLOOKUP($A136,'Concrete Beam Schedule'!$A$2:$Q$2902,R$2,0),"")</f>
        <v>#N/A</v>
      </c>
      <c r="S136" s="7" t="e">
        <f>IF(VLOOKUP($A136,'Concrete Beam Schedule'!$A$2:$Q$2902,S$2,0)&lt;&gt;C136,VLOOKUP($A136,'Concrete Beam Schedule'!$A$2:$Q$2902,S$2,0),"")</f>
        <v>#N/A</v>
      </c>
      <c r="T136" s="7" t="e">
        <f>IF(VLOOKUP($A136,'Concrete Beam Schedule'!$A$2:$Q$2902,T$2,0)&lt;&gt;D136,"Beam Revised","")</f>
        <v>#N/A</v>
      </c>
      <c r="U136" s="7" t="e">
        <f>IF(VLOOKUP($A136,'Concrete Beam Schedule'!$A$2:$Q$2902,U$2,0)&lt;&gt;E136,"Beam Revised","")</f>
        <v>#N/A</v>
      </c>
      <c r="V136" s="7" t="e">
        <f>IF(VLOOKUP($A136,'Concrete Beam Schedule'!$A$2:$Q$2902,V$2,0)&lt;&gt;F136,"Beam Revised","")</f>
        <v>#N/A</v>
      </c>
      <c r="W136" s="7" t="e">
        <f>IF(VLOOKUP($A136,'Concrete Beam Schedule'!$A$2:$Q$2902,W$2,0)&lt;&gt;G136,"Beam Revised","")</f>
        <v>#N/A</v>
      </c>
      <c r="X136" s="7" t="e">
        <f>IF(VLOOKUP($A136,'Concrete Beam Schedule'!$A$2:$Q$2902,X$2,0)&lt;&gt;H136,"Beam Revised","")</f>
        <v>#N/A</v>
      </c>
      <c r="Y136" s="7" t="e">
        <f>IF(VLOOKUP($A136,'Concrete Beam Schedule'!$A$2:$Q$2902,Y$2,0)&lt;&gt;I136,"Beam Revised","")</f>
        <v>#N/A</v>
      </c>
      <c r="Z136" s="7" t="e">
        <f>IF(VLOOKUP($A136,'Concrete Beam Schedule'!$A$2:$Q$2902,Z$2,0)&lt;&gt;J136,"Beam Revised","")</f>
        <v>#N/A</v>
      </c>
      <c r="AA136" s="7" t="e">
        <f>IF(VLOOKUP($A136,'Concrete Beam Schedule'!$A$2:$Q$2902,AA$2,0)&lt;&gt;K136,"Beam Revised","")</f>
        <v>#N/A</v>
      </c>
      <c r="AB136" s="7" t="e">
        <f>IF(VLOOKUP($A136,'Concrete Beam Schedule'!$A$2:$Q$2902,AB$2,0)&lt;&gt;L136,"Beam Revised","")</f>
        <v>#N/A</v>
      </c>
      <c r="AC136" s="7" t="e">
        <f>IF(VLOOKUP($A136,'Concrete Beam Schedule'!$A$2:$Q$2902,AC$2,0)&lt;&gt;M136,"Beam Revised","")</f>
        <v>#N/A</v>
      </c>
      <c r="AD136" s="7" t="e">
        <f>IF(VLOOKUP($A136,'Concrete Beam Schedule'!$A$2:$Q$2902,AD$2,0)&lt;&gt;N136,"Beam Revised","")</f>
        <v>#N/A</v>
      </c>
      <c r="AE136" s="7" t="e">
        <f>IF(VLOOKUP($A136,'Concrete Beam Schedule'!$A$2:$Q$2902,AE$2,0)&lt;&gt;O136,"Beam Revised","")</f>
        <v>#N/A</v>
      </c>
    </row>
    <row r="137" spans="1:31" ht="25.5" customHeight="1" x14ac:dyDescent="0.25">
      <c r="A137" s="17"/>
      <c r="B137" s="17"/>
      <c r="C137" s="17"/>
      <c r="D137" s="17"/>
      <c r="E137" s="17"/>
      <c r="F137" s="17"/>
      <c r="G137" s="17"/>
      <c r="H137" s="17"/>
      <c r="I137" s="17"/>
      <c r="J137" s="17"/>
      <c r="K137" s="17"/>
      <c r="L137" s="17"/>
      <c r="M137" s="17"/>
      <c r="N137" s="17"/>
      <c r="O137" s="17"/>
      <c r="Q137" s="7">
        <f t="shared" si="2"/>
        <v>0</v>
      </c>
      <c r="R137" s="7" t="e">
        <f>IF(VLOOKUP($A137,'Concrete Beam Schedule'!$A$2:$Q$2902,R$2,0)&lt;&gt;B137,VLOOKUP($A137,'Concrete Beam Schedule'!$A$2:$Q$2902,R$2,0),"")</f>
        <v>#N/A</v>
      </c>
      <c r="S137" s="7" t="e">
        <f>IF(VLOOKUP($A137,'Concrete Beam Schedule'!$A$2:$Q$2902,S$2,0)&lt;&gt;C137,VLOOKUP($A137,'Concrete Beam Schedule'!$A$2:$Q$2902,S$2,0),"")</f>
        <v>#N/A</v>
      </c>
      <c r="T137" s="7" t="e">
        <f>IF(VLOOKUP($A137,'Concrete Beam Schedule'!$A$2:$Q$2902,T$2,0)&lt;&gt;D137,"Beam Revised","")</f>
        <v>#N/A</v>
      </c>
      <c r="U137" s="7" t="e">
        <f>IF(VLOOKUP($A137,'Concrete Beam Schedule'!$A$2:$Q$2902,U$2,0)&lt;&gt;E137,"Beam Revised","")</f>
        <v>#N/A</v>
      </c>
      <c r="V137" s="7" t="e">
        <f>IF(VLOOKUP($A137,'Concrete Beam Schedule'!$A$2:$Q$2902,V$2,0)&lt;&gt;F137,"Beam Revised","")</f>
        <v>#N/A</v>
      </c>
      <c r="W137" s="7" t="e">
        <f>IF(VLOOKUP($A137,'Concrete Beam Schedule'!$A$2:$Q$2902,W$2,0)&lt;&gt;G137,"Beam Revised","")</f>
        <v>#N/A</v>
      </c>
      <c r="X137" s="7" t="e">
        <f>IF(VLOOKUP($A137,'Concrete Beam Schedule'!$A$2:$Q$2902,X$2,0)&lt;&gt;H137,"Beam Revised","")</f>
        <v>#N/A</v>
      </c>
      <c r="Y137" s="7" t="e">
        <f>IF(VLOOKUP($A137,'Concrete Beam Schedule'!$A$2:$Q$2902,Y$2,0)&lt;&gt;I137,"Beam Revised","")</f>
        <v>#N/A</v>
      </c>
      <c r="Z137" s="7" t="e">
        <f>IF(VLOOKUP($A137,'Concrete Beam Schedule'!$A$2:$Q$2902,Z$2,0)&lt;&gt;J137,"Beam Revised","")</f>
        <v>#N/A</v>
      </c>
      <c r="AA137" s="7" t="e">
        <f>IF(VLOOKUP($A137,'Concrete Beam Schedule'!$A$2:$Q$2902,AA$2,0)&lt;&gt;K137,"Beam Revised","")</f>
        <v>#N/A</v>
      </c>
      <c r="AB137" s="7" t="e">
        <f>IF(VLOOKUP($A137,'Concrete Beam Schedule'!$A$2:$Q$2902,AB$2,0)&lt;&gt;L137,"Beam Revised","")</f>
        <v>#N/A</v>
      </c>
      <c r="AC137" s="7" t="e">
        <f>IF(VLOOKUP($A137,'Concrete Beam Schedule'!$A$2:$Q$2902,AC$2,0)&lt;&gt;M137,"Beam Revised","")</f>
        <v>#N/A</v>
      </c>
      <c r="AD137" s="7" t="e">
        <f>IF(VLOOKUP($A137,'Concrete Beam Schedule'!$A$2:$Q$2902,AD$2,0)&lt;&gt;N137,"Beam Revised","")</f>
        <v>#N/A</v>
      </c>
      <c r="AE137" s="7" t="e">
        <f>IF(VLOOKUP($A137,'Concrete Beam Schedule'!$A$2:$Q$2902,AE$2,0)&lt;&gt;O137,"Beam Revised","")</f>
        <v>#N/A</v>
      </c>
    </row>
    <row r="138" spans="1:31" ht="25.5" customHeight="1" x14ac:dyDescent="0.25">
      <c r="A138" s="17"/>
      <c r="B138" s="17"/>
      <c r="C138" s="17"/>
      <c r="D138" s="17"/>
      <c r="E138" s="17"/>
      <c r="F138" s="17"/>
      <c r="G138" s="17"/>
      <c r="H138" s="17"/>
      <c r="I138" s="17"/>
      <c r="J138" s="17"/>
      <c r="K138" s="17"/>
      <c r="L138" s="17"/>
      <c r="M138" s="17"/>
      <c r="N138" s="17"/>
      <c r="O138" s="17"/>
      <c r="Q138" s="7">
        <f t="shared" si="2"/>
        <v>0</v>
      </c>
      <c r="R138" s="7" t="e">
        <f>IF(VLOOKUP($A138,'Concrete Beam Schedule'!$A$2:$Q$2902,R$2,0)&lt;&gt;B138,VLOOKUP($A138,'Concrete Beam Schedule'!$A$2:$Q$2902,R$2,0),"")</f>
        <v>#N/A</v>
      </c>
      <c r="S138" s="7" t="e">
        <f>IF(VLOOKUP($A138,'Concrete Beam Schedule'!$A$2:$Q$2902,S$2,0)&lt;&gt;C138,VLOOKUP($A138,'Concrete Beam Schedule'!$A$2:$Q$2902,S$2,0),"")</f>
        <v>#N/A</v>
      </c>
      <c r="T138" s="7" t="e">
        <f>IF(VLOOKUP($A138,'Concrete Beam Schedule'!$A$2:$Q$2902,T$2,0)&lt;&gt;D138,"Beam Revised","")</f>
        <v>#N/A</v>
      </c>
      <c r="U138" s="7" t="e">
        <f>IF(VLOOKUP($A138,'Concrete Beam Schedule'!$A$2:$Q$2902,U$2,0)&lt;&gt;E138,"Beam Revised","")</f>
        <v>#N/A</v>
      </c>
      <c r="V138" s="7" t="e">
        <f>IF(VLOOKUP($A138,'Concrete Beam Schedule'!$A$2:$Q$2902,V$2,0)&lt;&gt;F138,"Beam Revised","")</f>
        <v>#N/A</v>
      </c>
      <c r="W138" s="7" t="e">
        <f>IF(VLOOKUP($A138,'Concrete Beam Schedule'!$A$2:$Q$2902,W$2,0)&lt;&gt;G138,"Beam Revised","")</f>
        <v>#N/A</v>
      </c>
      <c r="X138" s="7" t="e">
        <f>IF(VLOOKUP($A138,'Concrete Beam Schedule'!$A$2:$Q$2902,X$2,0)&lt;&gt;H138,"Beam Revised","")</f>
        <v>#N/A</v>
      </c>
      <c r="Y138" s="7" t="e">
        <f>IF(VLOOKUP($A138,'Concrete Beam Schedule'!$A$2:$Q$2902,Y$2,0)&lt;&gt;I138,"Beam Revised","")</f>
        <v>#N/A</v>
      </c>
      <c r="Z138" s="7" t="e">
        <f>IF(VLOOKUP($A138,'Concrete Beam Schedule'!$A$2:$Q$2902,Z$2,0)&lt;&gt;J138,"Beam Revised","")</f>
        <v>#N/A</v>
      </c>
      <c r="AA138" s="7" t="e">
        <f>IF(VLOOKUP($A138,'Concrete Beam Schedule'!$A$2:$Q$2902,AA$2,0)&lt;&gt;K138,"Beam Revised","")</f>
        <v>#N/A</v>
      </c>
      <c r="AB138" s="7" t="e">
        <f>IF(VLOOKUP($A138,'Concrete Beam Schedule'!$A$2:$Q$2902,AB$2,0)&lt;&gt;L138,"Beam Revised","")</f>
        <v>#N/A</v>
      </c>
      <c r="AC138" s="7" t="e">
        <f>IF(VLOOKUP($A138,'Concrete Beam Schedule'!$A$2:$Q$2902,AC$2,0)&lt;&gt;M138,"Beam Revised","")</f>
        <v>#N/A</v>
      </c>
      <c r="AD138" s="7" t="e">
        <f>IF(VLOOKUP($A138,'Concrete Beam Schedule'!$A$2:$Q$2902,AD$2,0)&lt;&gt;N138,"Beam Revised","")</f>
        <v>#N/A</v>
      </c>
      <c r="AE138" s="7" t="e">
        <f>IF(VLOOKUP($A138,'Concrete Beam Schedule'!$A$2:$Q$2902,AE$2,0)&lt;&gt;O138,"Beam Revised","")</f>
        <v>#N/A</v>
      </c>
    </row>
    <row r="139" spans="1:31" ht="25.5" customHeight="1" x14ac:dyDescent="0.25">
      <c r="A139" s="17"/>
      <c r="B139" s="17"/>
      <c r="C139" s="17"/>
      <c r="D139" s="17"/>
      <c r="E139" s="17"/>
      <c r="F139" s="17"/>
      <c r="G139" s="17"/>
      <c r="H139" s="17"/>
      <c r="I139" s="17"/>
      <c r="J139" s="17"/>
      <c r="K139" s="17"/>
      <c r="L139" s="17"/>
      <c r="M139" s="17"/>
      <c r="N139" s="17"/>
      <c r="O139" s="17"/>
      <c r="Q139" s="7">
        <f t="shared" si="2"/>
        <v>0</v>
      </c>
      <c r="R139" s="7" t="e">
        <f>IF(VLOOKUP($A139,'Concrete Beam Schedule'!$A$2:$Q$2902,R$2,0)&lt;&gt;B139,VLOOKUP($A139,'Concrete Beam Schedule'!$A$2:$Q$2902,R$2,0),"")</f>
        <v>#N/A</v>
      </c>
      <c r="S139" s="7" t="e">
        <f>IF(VLOOKUP($A139,'Concrete Beam Schedule'!$A$2:$Q$2902,S$2,0)&lt;&gt;C139,VLOOKUP($A139,'Concrete Beam Schedule'!$A$2:$Q$2902,S$2,0),"")</f>
        <v>#N/A</v>
      </c>
      <c r="T139" s="7" t="e">
        <f>IF(VLOOKUP($A139,'Concrete Beam Schedule'!$A$2:$Q$2902,T$2,0)&lt;&gt;D139,"Beam Revised","")</f>
        <v>#N/A</v>
      </c>
      <c r="U139" s="7" t="e">
        <f>IF(VLOOKUP($A139,'Concrete Beam Schedule'!$A$2:$Q$2902,U$2,0)&lt;&gt;E139,"Beam Revised","")</f>
        <v>#N/A</v>
      </c>
      <c r="V139" s="7" t="e">
        <f>IF(VLOOKUP($A139,'Concrete Beam Schedule'!$A$2:$Q$2902,V$2,0)&lt;&gt;F139,"Beam Revised","")</f>
        <v>#N/A</v>
      </c>
      <c r="W139" s="7" t="e">
        <f>IF(VLOOKUP($A139,'Concrete Beam Schedule'!$A$2:$Q$2902,W$2,0)&lt;&gt;G139,"Beam Revised","")</f>
        <v>#N/A</v>
      </c>
      <c r="X139" s="7" t="e">
        <f>IF(VLOOKUP($A139,'Concrete Beam Schedule'!$A$2:$Q$2902,X$2,0)&lt;&gt;H139,"Beam Revised","")</f>
        <v>#N/A</v>
      </c>
      <c r="Y139" s="7" t="e">
        <f>IF(VLOOKUP($A139,'Concrete Beam Schedule'!$A$2:$Q$2902,Y$2,0)&lt;&gt;I139,"Beam Revised","")</f>
        <v>#N/A</v>
      </c>
      <c r="Z139" s="7" t="e">
        <f>IF(VLOOKUP($A139,'Concrete Beam Schedule'!$A$2:$Q$2902,Z$2,0)&lt;&gt;J139,"Beam Revised","")</f>
        <v>#N/A</v>
      </c>
      <c r="AA139" s="7" t="e">
        <f>IF(VLOOKUP($A139,'Concrete Beam Schedule'!$A$2:$Q$2902,AA$2,0)&lt;&gt;K139,"Beam Revised","")</f>
        <v>#N/A</v>
      </c>
      <c r="AB139" s="7" t="e">
        <f>IF(VLOOKUP($A139,'Concrete Beam Schedule'!$A$2:$Q$2902,AB$2,0)&lt;&gt;L139,"Beam Revised","")</f>
        <v>#N/A</v>
      </c>
      <c r="AC139" s="7" t="e">
        <f>IF(VLOOKUP($A139,'Concrete Beam Schedule'!$A$2:$Q$2902,AC$2,0)&lt;&gt;M139,"Beam Revised","")</f>
        <v>#N/A</v>
      </c>
      <c r="AD139" s="7" t="e">
        <f>IF(VLOOKUP($A139,'Concrete Beam Schedule'!$A$2:$Q$2902,AD$2,0)&lt;&gt;N139,"Beam Revised","")</f>
        <v>#N/A</v>
      </c>
      <c r="AE139" s="7" t="e">
        <f>IF(VLOOKUP($A139,'Concrete Beam Schedule'!$A$2:$Q$2902,AE$2,0)&lt;&gt;O139,"Beam Revised","")</f>
        <v>#N/A</v>
      </c>
    </row>
    <row r="140" spans="1:31" ht="25.5" customHeight="1" x14ac:dyDescent="0.25">
      <c r="A140" s="17"/>
      <c r="B140" s="17"/>
      <c r="C140" s="17"/>
      <c r="D140" s="17"/>
      <c r="E140" s="17"/>
      <c r="F140" s="17"/>
      <c r="G140" s="17"/>
      <c r="H140" s="17"/>
      <c r="I140" s="17"/>
      <c r="J140" s="17"/>
      <c r="K140" s="17"/>
      <c r="L140" s="17"/>
      <c r="M140" s="17"/>
      <c r="N140" s="17"/>
      <c r="O140" s="17"/>
      <c r="Q140" s="7">
        <f t="shared" si="2"/>
        <v>0</v>
      </c>
      <c r="R140" s="7" t="e">
        <f>IF(VLOOKUP($A140,'Concrete Beam Schedule'!$A$2:$Q$2902,R$2,0)&lt;&gt;B140,VLOOKUP($A140,'Concrete Beam Schedule'!$A$2:$Q$2902,R$2,0),"")</f>
        <v>#N/A</v>
      </c>
      <c r="S140" s="7" t="e">
        <f>IF(VLOOKUP($A140,'Concrete Beam Schedule'!$A$2:$Q$2902,S$2,0)&lt;&gt;C140,VLOOKUP($A140,'Concrete Beam Schedule'!$A$2:$Q$2902,S$2,0),"")</f>
        <v>#N/A</v>
      </c>
      <c r="T140" s="7" t="e">
        <f>IF(VLOOKUP($A140,'Concrete Beam Schedule'!$A$2:$Q$2902,T$2,0)&lt;&gt;D140,"Beam Revised","")</f>
        <v>#N/A</v>
      </c>
      <c r="U140" s="7" t="e">
        <f>IF(VLOOKUP($A140,'Concrete Beam Schedule'!$A$2:$Q$2902,U$2,0)&lt;&gt;E140,"Beam Revised","")</f>
        <v>#N/A</v>
      </c>
      <c r="V140" s="7" t="e">
        <f>IF(VLOOKUP($A140,'Concrete Beam Schedule'!$A$2:$Q$2902,V$2,0)&lt;&gt;F140,"Beam Revised","")</f>
        <v>#N/A</v>
      </c>
      <c r="W140" s="7" t="e">
        <f>IF(VLOOKUP($A140,'Concrete Beam Schedule'!$A$2:$Q$2902,W$2,0)&lt;&gt;G140,"Beam Revised","")</f>
        <v>#N/A</v>
      </c>
      <c r="X140" s="7" t="e">
        <f>IF(VLOOKUP($A140,'Concrete Beam Schedule'!$A$2:$Q$2902,X$2,0)&lt;&gt;H140,"Beam Revised","")</f>
        <v>#N/A</v>
      </c>
      <c r="Y140" s="7" t="e">
        <f>IF(VLOOKUP($A140,'Concrete Beam Schedule'!$A$2:$Q$2902,Y$2,0)&lt;&gt;I140,"Beam Revised","")</f>
        <v>#N/A</v>
      </c>
      <c r="Z140" s="7" t="e">
        <f>IF(VLOOKUP($A140,'Concrete Beam Schedule'!$A$2:$Q$2902,Z$2,0)&lt;&gt;J140,"Beam Revised","")</f>
        <v>#N/A</v>
      </c>
      <c r="AA140" s="7" t="e">
        <f>IF(VLOOKUP($A140,'Concrete Beam Schedule'!$A$2:$Q$2902,AA$2,0)&lt;&gt;K140,"Beam Revised","")</f>
        <v>#N/A</v>
      </c>
      <c r="AB140" s="7" t="e">
        <f>IF(VLOOKUP($A140,'Concrete Beam Schedule'!$A$2:$Q$2902,AB$2,0)&lt;&gt;L140,"Beam Revised","")</f>
        <v>#N/A</v>
      </c>
      <c r="AC140" s="7" t="e">
        <f>IF(VLOOKUP($A140,'Concrete Beam Schedule'!$A$2:$Q$2902,AC$2,0)&lt;&gt;M140,"Beam Revised","")</f>
        <v>#N/A</v>
      </c>
      <c r="AD140" s="7" t="e">
        <f>IF(VLOOKUP($A140,'Concrete Beam Schedule'!$A$2:$Q$2902,AD$2,0)&lt;&gt;N140,"Beam Revised","")</f>
        <v>#N/A</v>
      </c>
      <c r="AE140" s="7" t="e">
        <f>IF(VLOOKUP($A140,'Concrete Beam Schedule'!$A$2:$Q$2902,AE$2,0)&lt;&gt;O140,"Beam Revised","")</f>
        <v>#N/A</v>
      </c>
    </row>
    <row r="141" spans="1:31" ht="25.5" customHeight="1" x14ac:dyDescent="0.25">
      <c r="A141" s="17"/>
      <c r="B141" s="17"/>
      <c r="C141" s="17"/>
      <c r="D141" s="17"/>
      <c r="E141" s="17"/>
      <c r="F141" s="17"/>
      <c r="G141" s="17"/>
      <c r="H141" s="17"/>
      <c r="I141" s="17"/>
      <c r="J141" s="17"/>
      <c r="K141" s="17"/>
      <c r="L141" s="17"/>
      <c r="M141" s="17"/>
      <c r="N141" s="17"/>
      <c r="O141" s="17"/>
      <c r="Q141" s="7">
        <f t="shared" si="2"/>
        <v>0</v>
      </c>
      <c r="R141" s="7" t="e">
        <f>IF(VLOOKUP($A141,'Concrete Beam Schedule'!$A$2:$Q$2902,R$2,0)&lt;&gt;B141,VLOOKUP($A141,'Concrete Beam Schedule'!$A$2:$Q$2902,R$2,0),"")</f>
        <v>#N/A</v>
      </c>
      <c r="S141" s="7" t="e">
        <f>IF(VLOOKUP($A141,'Concrete Beam Schedule'!$A$2:$Q$2902,S$2,0)&lt;&gt;C141,VLOOKUP($A141,'Concrete Beam Schedule'!$A$2:$Q$2902,S$2,0),"")</f>
        <v>#N/A</v>
      </c>
      <c r="T141" s="7" t="e">
        <f>IF(VLOOKUP($A141,'Concrete Beam Schedule'!$A$2:$Q$2902,T$2,0)&lt;&gt;D141,"Beam Revised","")</f>
        <v>#N/A</v>
      </c>
      <c r="U141" s="7" t="e">
        <f>IF(VLOOKUP($A141,'Concrete Beam Schedule'!$A$2:$Q$2902,U$2,0)&lt;&gt;E141,"Beam Revised","")</f>
        <v>#N/A</v>
      </c>
      <c r="V141" s="7" t="e">
        <f>IF(VLOOKUP($A141,'Concrete Beam Schedule'!$A$2:$Q$2902,V$2,0)&lt;&gt;F141,"Beam Revised","")</f>
        <v>#N/A</v>
      </c>
      <c r="W141" s="7" t="e">
        <f>IF(VLOOKUP($A141,'Concrete Beam Schedule'!$A$2:$Q$2902,W$2,0)&lt;&gt;G141,"Beam Revised","")</f>
        <v>#N/A</v>
      </c>
      <c r="X141" s="7" t="e">
        <f>IF(VLOOKUP($A141,'Concrete Beam Schedule'!$A$2:$Q$2902,X$2,0)&lt;&gt;H141,"Beam Revised","")</f>
        <v>#N/A</v>
      </c>
      <c r="Y141" s="7" t="e">
        <f>IF(VLOOKUP($A141,'Concrete Beam Schedule'!$A$2:$Q$2902,Y$2,0)&lt;&gt;I141,"Beam Revised","")</f>
        <v>#N/A</v>
      </c>
      <c r="Z141" s="7" t="e">
        <f>IF(VLOOKUP($A141,'Concrete Beam Schedule'!$A$2:$Q$2902,Z$2,0)&lt;&gt;J141,"Beam Revised","")</f>
        <v>#N/A</v>
      </c>
      <c r="AA141" s="7" t="e">
        <f>IF(VLOOKUP($A141,'Concrete Beam Schedule'!$A$2:$Q$2902,AA$2,0)&lt;&gt;K141,"Beam Revised","")</f>
        <v>#N/A</v>
      </c>
      <c r="AB141" s="7" t="e">
        <f>IF(VLOOKUP($A141,'Concrete Beam Schedule'!$A$2:$Q$2902,AB$2,0)&lt;&gt;L141,"Beam Revised","")</f>
        <v>#N/A</v>
      </c>
      <c r="AC141" s="7" t="e">
        <f>IF(VLOOKUP($A141,'Concrete Beam Schedule'!$A$2:$Q$2902,AC$2,0)&lt;&gt;M141,"Beam Revised","")</f>
        <v>#N/A</v>
      </c>
      <c r="AD141" s="7" t="e">
        <f>IF(VLOOKUP($A141,'Concrete Beam Schedule'!$A$2:$Q$2902,AD$2,0)&lt;&gt;N141,"Beam Revised","")</f>
        <v>#N/A</v>
      </c>
      <c r="AE141" s="7" t="e">
        <f>IF(VLOOKUP($A141,'Concrete Beam Schedule'!$A$2:$Q$2902,AE$2,0)&lt;&gt;O141,"Beam Revised","")</f>
        <v>#N/A</v>
      </c>
    </row>
    <row r="142" spans="1:31" ht="25.5" customHeight="1" x14ac:dyDescent="0.25">
      <c r="A142" s="17"/>
      <c r="B142" s="17"/>
      <c r="C142" s="17"/>
      <c r="D142" s="17"/>
      <c r="E142" s="17"/>
      <c r="F142" s="17"/>
      <c r="G142" s="17"/>
      <c r="H142" s="17"/>
      <c r="I142" s="17"/>
      <c r="J142" s="17"/>
      <c r="K142" s="17"/>
      <c r="L142" s="17"/>
      <c r="M142" s="17"/>
      <c r="N142" s="17"/>
      <c r="O142" s="17"/>
      <c r="Q142" s="7">
        <f t="shared" si="2"/>
        <v>0</v>
      </c>
      <c r="R142" s="7" t="e">
        <f>IF(VLOOKUP($A142,'Concrete Beam Schedule'!$A$2:$Q$2902,R$2,0)&lt;&gt;B142,VLOOKUP($A142,'Concrete Beam Schedule'!$A$2:$Q$2902,R$2,0),"")</f>
        <v>#N/A</v>
      </c>
      <c r="S142" s="7" t="e">
        <f>IF(VLOOKUP($A142,'Concrete Beam Schedule'!$A$2:$Q$2902,S$2,0)&lt;&gt;C142,VLOOKUP($A142,'Concrete Beam Schedule'!$A$2:$Q$2902,S$2,0),"")</f>
        <v>#N/A</v>
      </c>
      <c r="T142" s="7" t="e">
        <f>IF(VLOOKUP($A142,'Concrete Beam Schedule'!$A$2:$Q$2902,T$2,0)&lt;&gt;D142,"Beam Revised","")</f>
        <v>#N/A</v>
      </c>
      <c r="U142" s="7" t="e">
        <f>IF(VLOOKUP($A142,'Concrete Beam Schedule'!$A$2:$Q$2902,U$2,0)&lt;&gt;E142,"Beam Revised","")</f>
        <v>#N/A</v>
      </c>
      <c r="V142" s="7" t="e">
        <f>IF(VLOOKUP($A142,'Concrete Beam Schedule'!$A$2:$Q$2902,V$2,0)&lt;&gt;F142,"Beam Revised","")</f>
        <v>#N/A</v>
      </c>
      <c r="W142" s="7" t="e">
        <f>IF(VLOOKUP($A142,'Concrete Beam Schedule'!$A$2:$Q$2902,W$2,0)&lt;&gt;G142,"Beam Revised","")</f>
        <v>#N/A</v>
      </c>
      <c r="X142" s="7" t="e">
        <f>IF(VLOOKUP($A142,'Concrete Beam Schedule'!$A$2:$Q$2902,X$2,0)&lt;&gt;H142,"Beam Revised","")</f>
        <v>#N/A</v>
      </c>
      <c r="Y142" s="7" t="e">
        <f>IF(VLOOKUP($A142,'Concrete Beam Schedule'!$A$2:$Q$2902,Y$2,0)&lt;&gt;I142,"Beam Revised","")</f>
        <v>#N/A</v>
      </c>
      <c r="Z142" s="7" t="e">
        <f>IF(VLOOKUP($A142,'Concrete Beam Schedule'!$A$2:$Q$2902,Z$2,0)&lt;&gt;J142,"Beam Revised","")</f>
        <v>#N/A</v>
      </c>
      <c r="AA142" s="7" t="e">
        <f>IF(VLOOKUP($A142,'Concrete Beam Schedule'!$A$2:$Q$2902,AA$2,0)&lt;&gt;K142,"Beam Revised","")</f>
        <v>#N/A</v>
      </c>
      <c r="AB142" s="7" t="e">
        <f>IF(VLOOKUP($A142,'Concrete Beam Schedule'!$A$2:$Q$2902,AB$2,0)&lt;&gt;L142,"Beam Revised","")</f>
        <v>#N/A</v>
      </c>
      <c r="AC142" s="7" t="e">
        <f>IF(VLOOKUP($A142,'Concrete Beam Schedule'!$A$2:$Q$2902,AC$2,0)&lt;&gt;M142,"Beam Revised","")</f>
        <v>#N/A</v>
      </c>
      <c r="AD142" s="7" t="e">
        <f>IF(VLOOKUP($A142,'Concrete Beam Schedule'!$A$2:$Q$2902,AD$2,0)&lt;&gt;N142,"Beam Revised","")</f>
        <v>#N/A</v>
      </c>
      <c r="AE142" s="7" t="e">
        <f>IF(VLOOKUP($A142,'Concrete Beam Schedule'!$A$2:$Q$2902,AE$2,0)&lt;&gt;O142,"Beam Revised","")</f>
        <v>#N/A</v>
      </c>
    </row>
    <row r="143" spans="1:31" ht="25.5" customHeight="1" x14ac:dyDescent="0.25">
      <c r="A143" s="17"/>
      <c r="B143" s="17"/>
      <c r="C143" s="17"/>
      <c r="D143" s="17"/>
      <c r="E143" s="17"/>
      <c r="F143" s="17"/>
      <c r="G143" s="17"/>
      <c r="H143" s="17"/>
      <c r="I143" s="17"/>
      <c r="J143" s="17"/>
      <c r="K143" s="17"/>
      <c r="L143" s="17"/>
      <c r="M143" s="17"/>
      <c r="N143" s="17"/>
      <c r="O143" s="17"/>
      <c r="Q143" s="7">
        <f t="shared" si="2"/>
        <v>0</v>
      </c>
      <c r="R143" s="7" t="e">
        <f>IF(VLOOKUP($A143,'Concrete Beam Schedule'!$A$2:$Q$2902,R$2,0)&lt;&gt;B143,VLOOKUP($A143,'Concrete Beam Schedule'!$A$2:$Q$2902,R$2,0),"")</f>
        <v>#N/A</v>
      </c>
      <c r="S143" s="7" t="e">
        <f>IF(VLOOKUP($A143,'Concrete Beam Schedule'!$A$2:$Q$2902,S$2,0)&lt;&gt;C143,VLOOKUP($A143,'Concrete Beam Schedule'!$A$2:$Q$2902,S$2,0),"")</f>
        <v>#N/A</v>
      </c>
      <c r="T143" s="7" t="e">
        <f>IF(VLOOKUP($A143,'Concrete Beam Schedule'!$A$2:$Q$2902,T$2,0)&lt;&gt;D143,"Beam Revised","")</f>
        <v>#N/A</v>
      </c>
      <c r="U143" s="7" t="e">
        <f>IF(VLOOKUP($A143,'Concrete Beam Schedule'!$A$2:$Q$2902,U$2,0)&lt;&gt;E143,"Beam Revised","")</f>
        <v>#N/A</v>
      </c>
      <c r="V143" s="7" t="e">
        <f>IF(VLOOKUP($A143,'Concrete Beam Schedule'!$A$2:$Q$2902,V$2,0)&lt;&gt;F143,"Beam Revised","")</f>
        <v>#N/A</v>
      </c>
      <c r="W143" s="7" t="e">
        <f>IF(VLOOKUP($A143,'Concrete Beam Schedule'!$A$2:$Q$2902,W$2,0)&lt;&gt;G143,"Beam Revised","")</f>
        <v>#N/A</v>
      </c>
      <c r="X143" s="7" t="e">
        <f>IF(VLOOKUP($A143,'Concrete Beam Schedule'!$A$2:$Q$2902,X$2,0)&lt;&gt;H143,"Beam Revised","")</f>
        <v>#N/A</v>
      </c>
      <c r="Y143" s="7" t="e">
        <f>IF(VLOOKUP($A143,'Concrete Beam Schedule'!$A$2:$Q$2902,Y$2,0)&lt;&gt;I143,"Beam Revised","")</f>
        <v>#N/A</v>
      </c>
      <c r="Z143" s="7" t="e">
        <f>IF(VLOOKUP($A143,'Concrete Beam Schedule'!$A$2:$Q$2902,Z$2,0)&lt;&gt;J143,"Beam Revised","")</f>
        <v>#N/A</v>
      </c>
      <c r="AA143" s="7" t="e">
        <f>IF(VLOOKUP($A143,'Concrete Beam Schedule'!$A$2:$Q$2902,AA$2,0)&lt;&gt;K143,"Beam Revised","")</f>
        <v>#N/A</v>
      </c>
      <c r="AB143" s="7" t="e">
        <f>IF(VLOOKUP($A143,'Concrete Beam Schedule'!$A$2:$Q$2902,AB$2,0)&lt;&gt;L143,"Beam Revised","")</f>
        <v>#N/A</v>
      </c>
      <c r="AC143" s="7" t="e">
        <f>IF(VLOOKUP($A143,'Concrete Beam Schedule'!$A$2:$Q$2902,AC$2,0)&lt;&gt;M143,"Beam Revised","")</f>
        <v>#N/A</v>
      </c>
      <c r="AD143" s="7" t="e">
        <f>IF(VLOOKUP($A143,'Concrete Beam Schedule'!$A$2:$Q$2902,AD$2,0)&lt;&gt;N143,"Beam Revised","")</f>
        <v>#N/A</v>
      </c>
      <c r="AE143" s="7" t="e">
        <f>IF(VLOOKUP($A143,'Concrete Beam Schedule'!$A$2:$Q$2902,AE$2,0)&lt;&gt;O143,"Beam Revised","")</f>
        <v>#N/A</v>
      </c>
    </row>
    <row r="144" spans="1:31" ht="25.5" customHeight="1" x14ac:dyDescent="0.25">
      <c r="A144" s="17"/>
      <c r="B144" s="17"/>
      <c r="C144" s="17"/>
      <c r="D144" s="17"/>
      <c r="E144" s="17"/>
      <c r="F144" s="17"/>
      <c r="G144" s="17"/>
      <c r="H144" s="17"/>
      <c r="I144" s="17"/>
      <c r="J144" s="17"/>
      <c r="K144" s="17"/>
      <c r="L144" s="17"/>
      <c r="M144" s="17"/>
      <c r="N144" s="17"/>
      <c r="O144" s="17"/>
      <c r="Q144" s="7">
        <f t="shared" si="2"/>
        <v>0</v>
      </c>
      <c r="R144" s="7" t="e">
        <f>IF(VLOOKUP($A144,'Concrete Beam Schedule'!$A$2:$Q$2902,R$2,0)&lt;&gt;B144,VLOOKUP($A144,'Concrete Beam Schedule'!$A$2:$Q$2902,R$2,0),"")</f>
        <v>#N/A</v>
      </c>
      <c r="S144" s="7" t="e">
        <f>IF(VLOOKUP($A144,'Concrete Beam Schedule'!$A$2:$Q$2902,S$2,0)&lt;&gt;C144,VLOOKUP($A144,'Concrete Beam Schedule'!$A$2:$Q$2902,S$2,0),"")</f>
        <v>#N/A</v>
      </c>
      <c r="T144" s="7" t="e">
        <f>IF(VLOOKUP($A144,'Concrete Beam Schedule'!$A$2:$Q$2902,T$2,0)&lt;&gt;D144,"Beam Revised","")</f>
        <v>#N/A</v>
      </c>
      <c r="U144" s="7" t="e">
        <f>IF(VLOOKUP($A144,'Concrete Beam Schedule'!$A$2:$Q$2902,U$2,0)&lt;&gt;E144,"Beam Revised","")</f>
        <v>#N/A</v>
      </c>
      <c r="V144" s="7" t="e">
        <f>IF(VLOOKUP($A144,'Concrete Beam Schedule'!$A$2:$Q$2902,V$2,0)&lt;&gt;F144,"Beam Revised","")</f>
        <v>#N/A</v>
      </c>
      <c r="W144" s="7" t="e">
        <f>IF(VLOOKUP($A144,'Concrete Beam Schedule'!$A$2:$Q$2902,W$2,0)&lt;&gt;G144,"Beam Revised","")</f>
        <v>#N/A</v>
      </c>
      <c r="X144" s="7" t="e">
        <f>IF(VLOOKUP($A144,'Concrete Beam Schedule'!$A$2:$Q$2902,X$2,0)&lt;&gt;H144,"Beam Revised","")</f>
        <v>#N/A</v>
      </c>
      <c r="Y144" s="7" t="e">
        <f>IF(VLOOKUP($A144,'Concrete Beam Schedule'!$A$2:$Q$2902,Y$2,0)&lt;&gt;I144,"Beam Revised","")</f>
        <v>#N/A</v>
      </c>
      <c r="Z144" s="7" t="e">
        <f>IF(VLOOKUP($A144,'Concrete Beam Schedule'!$A$2:$Q$2902,Z$2,0)&lt;&gt;J144,"Beam Revised","")</f>
        <v>#N/A</v>
      </c>
      <c r="AA144" s="7" t="e">
        <f>IF(VLOOKUP($A144,'Concrete Beam Schedule'!$A$2:$Q$2902,AA$2,0)&lt;&gt;K144,"Beam Revised","")</f>
        <v>#N/A</v>
      </c>
      <c r="AB144" s="7" t="e">
        <f>IF(VLOOKUP($A144,'Concrete Beam Schedule'!$A$2:$Q$2902,AB$2,0)&lt;&gt;L144,"Beam Revised","")</f>
        <v>#N/A</v>
      </c>
      <c r="AC144" s="7" t="e">
        <f>IF(VLOOKUP($A144,'Concrete Beam Schedule'!$A$2:$Q$2902,AC$2,0)&lt;&gt;M144,"Beam Revised","")</f>
        <v>#N/A</v>
      </c>
      <c r="AD144" s="7" t="e">
        <f>IF(VLOOKUP($A144,'Concrete Beam Schedule'!$A$2:$Q$2902,AD$2,0)&lt;&gt;N144,"Beam Revised","")</f>
        <v>#N/A</v>
      </c>
      <c r="AE144" s="7" t="e">
        <f>IF(VLOOKUP($A144,'Concrete Beam Schedule'!$A$2:$Q$2902,AE$2,0)&lt;&gt;O144,"Beam Revised","")</f>
        <v>#N/A</v>
      </c>
    </row>
    <row r="145" spans="1:31" ht="25.5" customHeight="1" x14ac:dyDescent="0.25">
      <c r="A145" s="17"/>
      <c r="B145" s="17"/>
      <c r="C145" s="17"/>
      <c r="D145" s="17"/>
      <c r="E145" s="17"/>
      <c r="F145" s="17"/>
      <c r="G145" s="17"/>
      <c r="H145" s="17"/>
      <c r="I145" s="17"/>
      <c r="J145" s="17"/>
      <c r="K145" s="17"/>
      <c r="L145" s="17"/>
      <c r="M145" s="17"/>
      <c r="N145" s="17"/>
      <c r="O145" s="17"/>
      <c r="Q145" s="7">
        <f t="shared" si="2"/>
        <v>0</v>
      </c>
      <c r="R145" s="7" t="e">
        <f>IF(VLOOKUP($A145,'Concrete Beam Schedule'!$A$2:$Q$2902,R$2,0)&lt;&gt;B145,VLOOKUP($A145,'Concrete Beam Schedule'!$A$2:$Q$2902,R$2,0),"")</f>
        <v>#N/A</v>
      </c>
      <c r="S145" s="7" t="e">
        <f>IF(VLOOKUP($A145,'Concrete Beam Schedule'!$A$2:$Q$2902,S$2,0)&lt;&gt;C145,VLOOKUP($A145,'Concrete Beam Schedule'!$A$2:$Q$2902,S$2,0),"")</f>
        <v>#N/A</v>
      </c>
      <c r="T145" s="7" t="e">
        <f>IF(VLOOKUP($A145,'Concrete Beam Schedule'!$A$2:$Q$2902,T$2,0)&lt;&gt;D145,"Beam Revised","")</f>
        <v>#N/A</v>
      </c>
      <c r="U145" s="7" t="e">
        <f>IF(VLOOKUP($A145,'Concrete Beam Schedule'!$A$2:$Q$2902,U$2,0)&lt;&gt;E145,"Beam Revised","")</f>
        <v>#N/A</v>
      </c>
      <c r="V145" s="7" t="e">
        <f>IF(VLOOKUP($A145,'Concrete Beam Schedule'!$A$2:$Q$2902,V$2,0)&lt;&gt;F145,"Beam Revised","")</f>
        <v>#N/A</v>
      </c>
      <c r="W145" s="7" t="e">
        <f>IF(VLOOKUP($A145,'Concrete Beam Schedule'!$A$2:$Q$2902,W$2,0)&lt;&gt;G145,"Beam Revised","")</f>
        <v>#N/A</v>
      </c>
      <c r="X145" s="7" t="e">
        <f>IF(VLOOKUP($A145,'Concrete Beam Schedule'!$A$2:$Q$2902,X$2,0)&lt;&gt;H145,"Beam Revised","")</f>
        <v>#N/A</v>
      </c>
      <c r="Y145" s="7" t="e">
        <f>IF(VLOOKUP($A145,'Concrete Beam Schedule'!$A$2:$Q$2902,Y$2,0)&lt;&gt;I145,"Beam Revised","")</f>
        <v>#N/A</v>
      </c>
      <c r="Z145" s="7" t="e">
        <f>IF(VLOOKUP($A145,'Concrete Beam Schedule'!$A$2:$Q$2902,Z$2,0)&lt;&gt;J145,"Beam Revised","")</f>
        <v>#N/A</v>
      </c>
      <c r="AA145" s="7" t="e">
        <f>IF(VLOOKUP($A145,'Concrete Beam Schedule'!$A$2:$Q$2902,AA$2,0)&lt;&gt;K145,"Beam Revised","")</f>
        <v>#N/A</v>
      </c>
      <c r="AB145" s="7" t="e">
        <f>IF(VLOOKUP($A145,'Concrete Beam Schedule'!$A$2:$Q$2902,AB$2,0)&lt;&gt;L145,"Beam Revised","")</f>
        <v>#N/A</v>
      </c>
      <c r="AC145" s="7" t="e">
        <f>IF(VLOOKUP($A145,'Concrete Beam Schedule'!$A$2:$Q$2902,AC$2,0)&lt;&gt;M145,"Beam Revised","")</f>
        <v>#N/A</v>
      </c>
      <c r="AD145" s="7" t="e">
        <f>IF(VLOOKUP($A145,'Concrete Beam Schedule'!$A$2:$Q$2902,AD$2,0)&lt;&gt;N145,"Beam Revised","")</f>
        <v>#N/A</v>
      </c>
      <c r="AE145" s="7" t="e">
        <f>IF(VLOOKUP($A145,'Concrete Beam Schedule'!$A$2:$Q$2902,AE$2,0)&lt;&gt;O145,"Beam Revised","")</f>
        <v>#N/A</v>
      </c>
    </row>
    <row r="146" spans="1:31" ht="25.5" customHeight="1" x14ac:dyDescent="0.25">
      <c r="A146" s="17"/>
      <c r="B146" s="17"/>
      <c r="C146" s="17"/>
      <c r="D146" s="17"/>
      <c r="E146" s="17"/>
      <c r="F146" s="17"/>
      <c r="G146" s="17"/>
      <c r="H146" s="17"/>
      <c r="I146" s="17"/>
      <c r="J146" s="17"/>
      <c r="K146" s="17"/>
      <c r="L146" s="17"/>
      <c r="M146" s="17"/>
      <c r="N146" s="17"/>
      <c r="O146" s="17"/>
      <c r="Q146" s="7">
        <f t="shared" si="2"/>
        <v>0</v>
      </c>
      <c r="R146" s="7" t="e">
        <f>IF(VLOOKUP($A146,'Concrete Beam Schedule'!$A$2:$Q$2902,R$2,0)&lt;&gt;B146,VLOOKUP($A146,'Concrete Beam Schedule'!$A$2:$Q$2902,R$2,0),"")</f>
        <v>#N/A</v>
      </c>
      <c r="S146" s="7" t="e">
        <f>IF(VLOOKUP($A146,'Concrete Beam Schedule'!$A$2:$Q$2902,S$2,0)&lt;&gt;C146,VLOOKUP($A146,'Concrete Beam Schedule'!$A$2:$Q$2902,S$2,0),"")</f>
        <v>#N/A</v>
      </c>
      <c r="T146" s="7" t="e">
        <f>IF(VLOOKUP($A146,'Concrete Beam Schedule'!$A$2:$Q$2902,T$2,0)&lt;&gt;D146,"Beam Revised","")</f>
        <v>#N/A</v>
      </c>
      <c r="U146" s="7" t="e">
        <f>IF(VLOOKUP($A146,'Concrete Beam Schedule'!$A$2:$Q$2902,U$2,0)&lt;&gt;E146,"Beam Revised","")</f>
        <v>#N/A</v>
      </c>
      <c r="V146" s="7" t="e">
        <f>IF(VLOOKUP($A146,'Concrete Beam Schedule'!$A$2:$Q$2902,V$2,0)&lt;&gt;F146,"Beam Revised","")</f>
        <v>#N/A</v>
      </c>
      <c r="W146" s="7" t="e">
        <f>IF(VLOOKUP($A146,'Concrete Beam Schedule'!$A$2:$Q$2902,W$2,0)&lt;&gt;G146,"Beam Revised","")</f>
        <v>#N/A</v>
      </c>
      <c r="X146" s="7" t="e">
        <f>IF(VLOOKUP($A146,'Concrete Beam Schedule'!$A$2:$Q$2902,X$2,0)&lt;&gt;H146,"Beam Revised","")</f>
        <v>#N/A</v>
      </c>
      <c r="Y146" s="7" t="e">
        <f>IF(VLOOKUP($A146,'Concrete Beam Schedule'!$A$2:$Q$2902,Y$2,0)&lt;&gt;I146,"Beam Revised","")</f>
        <v>#N/A</v>
      </c>
      <c r="Z146" s="7" t="e">
        <f>IF(VLOOKUP($A146,'Concrete Beam Schedule'!$A$2:$Q$2902,Z$2,0)&lt;&gt;J146,"Beam Revised","")</f>
        <v>#N/A</v>
      </c>
      <c r="AA146" s="7" t="e">
        <f>IF(VLOOKUP($A146,'Concrete Beam Schedule'!$A$2:$Q$2902,AA$2,0)&lt;&gt;K146,"Beam Revised","")</f>
        <v>#N/A</v>
      </c>
      <c r="AB146" s="7" t="e">
        <f>IF(VLOOKUP($A146,'Concrete Beam Schedule'!$A$2:$Q$2902,AB$2,0)&lt;&gt;L146,"Beam Revised","")</f>
        <v>#N/A</v>
      </c>
      <c r="AC146" s="7" t="e">
        <f>IF(VLOOKUP($A146,'Concrete Beam Schedule'!$A$2:$Q$2902,AC$2,0)&lt;&gt;M146,"Beam Revised","")</f>
        <v>#N/A</v>
      </c>
      <c r="AD146" s="7" t="e">
        <f>IF(VLOOKUP($A146,'Concrete Beam Schedule'!$A$2:$Q$2902,AD$2,0)&lt;&gt;N146,"Beam Revised","")</f>
        <v>#N/A</v>
      </c>
      <c r="AE146" s="7" t="e">
        <f>IF(VLOOKUP($A146,'Concrete Beam Schedule'!$A$2:$Q$2902,AE$2,0)&lt;&gt;O146,"Beam Revised","")</f>
        <v>#N/A</v>
      </c>
    </row>
    <row r="147" spans="1:31" ht="25.5" customHeight="1" x14ac:dyDescent="0.25">
      <c r="A147" s="17"/>
      <c r="B147" s="17"/>
      <c r="C147" s="17"/>
      <c r="D147" s="17"/>
      <c r="E147" s="17"/>
      <c r="F147" s="17"/>
      <c r="G147" s="17"/>
      <c r="H147" s="17"/>
      <c r="I147" s="17"/>
      <c r="J147" s="17"/>
      <c r="K147" s="17"/>
      <c r="L147" s="17"/>
      <c r="M147" s="17"/>
      <c r="N147" s="17"/>
      <c r="O147" s="17"/>
      <c r="Q147" s="7">
        <f t="shared" si="2"/>
        <v>0</v>
      </c>
      <c r="R147" s="7" t="e">
        <f>IF(VLOOKUP($A147,'Concrete Beam Schedule'!$A$2:$Q$2902,R$2,0)&lt;&gt;B147,VLOOKUP($A147,'Concrete Beam Schedule'!$A$2:$Q$2902,R$2,0),"")</f>
        <v>#N/A</v>
      </c>
      <c r="S147" s="7" t="e">
        <f>IF(VLOOKUP($A147,'Concrete Beam Schedule'!$A$2:$Q$2902,S$2,0)&lt;&gt;C147,VLOOKUP($A147,'Concrete Beam Schedule'!$A$2:$Q$2902,S$2,0),"")</f>
        <v>#N/A</v>
      </c>
      <c r="T147" s="7" t="e">
        <f>IF(VLOOKUP($A147,'Concrete Beam Schedule'!$A$2:$Q$2902,T$2,0)&lt;&gt;D147,"Beam Revised","")</f>
        <v>#N/A</v>
      </c>
      <c r="U147" s="7" t="e">
        <f>IF(VLOOKUP($A147,'Concrete Beam Schedule'!$A$2:$Q$2902,U$2,0)&lt;&gt;E147,"Beam Revised","")</f>
        <v>#N/A</v>
      </c>
      <c r="V147" s="7" t="e">
        <f>IF(VLOOKUP($A147,'Concrete Beam Schedule'!$A$2:$Q$2902,V$2,0)&lt;&gt;F147,"Beam Revised","")</f>
        <v>#N/A</v>
      </c>
      <c r="W147" s="7" t="e">
        <f>IF(VLOOKUP($A147,'Concrete Beam Schedule'!$A$2:$Q$2902,W$2,0)&lt;&gt;G147,"Beam Revised","")</f>
        <v>#N/A</v>
      </c>
      <c r="X147" s="7" t="e">
        <f>IF(VLOOKUP($A147,'Concrete Beam Schedule'!$A$2:$Q$2902,X$2,0)&lt;&gt;H147,"Beam Revised","")</f>
        <v>#N/A</v>
      </c>
      <c r="Y147" s="7" t="e">
        <f>IF(VLOOKUP($A147,'Concrete Beam Schedule'!$A$2:$Q$2902,Y$2,0)&lt;&gt;I147,"Beam Revised","")</f>
        <v>#N/A</v>
      </c>
      <c r="Z147" s="7" t="e">
        <f>IF(VLOOKUP($A147,'Concrete Beam Schedule'!$A$2:$Q$2902,Z$2,0)&lt;&gt;J147,"Beam Revised","")</f>
        <v>#N/A</v>
      </c>
      <c r="AA147" s="7" t="e">
        <f>IF(VLOOKUP($A147,'Concrete Beam Schedule'!$A$2:$Q$2902,AA$2,0)&lt;&gt;K147,"Beam Revised","")</f>
        <v>#N/A</v>
      </c>
      <c r="AB147" s="7" t="e">
        <f>IF(VLOOKUP($A147,'Concrete Beam Schedule'!$A$2:$Q$2902,AB$2,0)&lt;&gt;L147,"Beam Revised","")</f>
        <v>#N/A</v>
      </c>
      <c r="AC147" s="7" t="e">
        <f>IF(VLOOKUP($A147,'Concrete Beam Schedule'!$A$2:$Q$2902,AC$2,0)&lt;&gt;M147,"Beam Revised","")</f>
        <v>#N/A</v>
      </c>
      <c r="AD147" s="7" t="e">
        <f>IF(VLOOKUP($A147,'Concrete Beam Schedule'!$A$2:$Q$2902,AD$2,0)&lt;&gt;N147,"Beam Revised","")</f>
        <v>#N/A</v>
      </c>
      <c r="AE147" s="7" t="e">
        <f>IF(VLOOKUP($A147,'Concrete Beam Schedule'!$A$2:$Q$2902,AE$2,0)&lt;&gt;O147,"Beam Revised","")</f>
        <v>#N/A</v>
      </c>
    </row>
    <row r="148" spans="1:31" ht="25.5" customHeight="1" x14ac:dyDescent="0.25">
      <c r="A148" s="17"/>
      <c r="B148" s="17"/>
      <c r="C148" s="17"/>
      <c r="D148" s="17"/>
      <c r="E148" s="17"/>
      <c r="F148" s="17"/>
      <c r="G148" s="17"/>
      <c r="H148" s="17"/>
      <c r="I148" s="17"/>
      <c r="J148" s="17"/>
      <c r="K148" s="17"/>
      <c r="L148" s="17"/>
      <c r="M148" s="17"/>
      <c r="N148" s="17"/>
      <c r="O148" s="17"/>
      <c r="Q148" s="7">
        <f t="shared" si="2"/>
        <v>0</v>
      </c>
      <c r="R148" s="7" t="e">
        <f>IF(VLOOKUP($A148,'Concrete Beam Schedule'!$A$2:$Q$2902,R$2,0)&lt;&gt;B148,VLOOKUP($A148,'Concrete Beam Schedule'!$A$2:$Q$2902,R$2,0),"")</f>
        <v>#N/A</v>
      </c>
      <c r="S148" s="7" t="e">
        <f>IF(VLOOKUP($A148,'Concrete Beam Schedule'!$A$2:$Q$2902,S$2,0)&lt;&gt;C148,VLOOKUP($A148,'Concrete Beam Schedule'!$A$2:$Q$2902,S$2,0),"")</f>
        <v>#N/A</v>
      </c>
      <c r="T148" s="7" t="e">
        <f>IF(VLOOKUP($A148,'Concrete Beam Schedule'!$A$2:$Q$2902,T$2,0)&lt;&gt;D148,"Beam Revised","")</f>
        <v>#N/A</v>
      </c>
      <c r="U148" s="7" t="e">
        <f>IF(VLOOKUP($A148,'Concrete Beam Schedule'!$A$2:$Q$2902,U$2,0)&lt;&gt;E148,"Beam Revised","")</f>
        <v>#N/A</v>
      </c>
      <c r="V148" s="7" t="e">
        <f>IF(VLOOKUP($A148,'Concrete Beam Schedule'!$A$2:$Q$2902,V$2,0)&lt;&gt;F148,"Beam Revised","")</f>
        <v>#N/A</v>
      </c>
      <c r="W148" s="7" t="e">
        <f>IF(VLOOKUP($A148,'Concrete Beam Schedule'!$A$2:$Q$2902,W$2,0)&lt;&gt;G148,"Beam Revised","")</f>
        <v>#N/A</v>
      </c>
      <c r="X148" s="7" t="e">
        <f>IF(VLOOKUP($A148,'Concrete Beam Schedule'!$A$2:$Q$2902,X$2,0)&lt;&gt;H148,"Beam Revised","")</f>
        <v>#N/A</v>
      </c>
      <c r="Y148" s="7" t="e">
        <f>IF(VLOOKUP($A148,'Concrete Beam Schedule'!$A$2:$Q$2902,Y$2,0)&lt;&gt;I148,"Beam Revised","")</f>
        <v>#N/A</v>
      </c>
      <c r="Z148" s="7" t="e">
        <f>IF(VLOOKUP($A148,'Concrete Beam Schedule'!$A$2:$Q$2902,Z$2,0)&lt;&gt;J148,"Beam Revised","")</f>
        <v>#N/A</v>
      </c>
      <c r="AA148" s="7" t="e">
        <f>IF(VLOOKUP($A148,'Concrete Beam Schedule'!$A$2:$Q$2902,AA$2,0)&lt;&gt;K148,"Beam Revised","")</f>
        <v>#N/A</v>
      </c>
      <c r="AB148" s="7" t="e">
        <f>IF(VLOOKUP($A148,'Concrete Beam Schedule'!$A$2:$Q$2902,AB$2,0)&lt;&gt;L148,"Beam Revised","")</f>
        <v>#N/A</v>
      </c>
      <c r="AC148" s="7" t="e">
        <f>IF(VLOOKUP($A148,'Concrete Beam Schedule'!$A$2:$Q$2902,AC$2,0)&lt;&gt;M148,"Beam Revised","")</f>
        <v>#N/A</v>
      </c>
      <c r="AD148" s="7" t="e">
        <f>IF(VLOOKUP($A148,'Concrete Beam Schedule'!$A$2:$Q$2902,AD$2,0)&lt;&gt;N148,"Beam Revised","")</f>
        <v>#N/A</v>
      </c>
      <c r="AE148" s="7" t="e">
        <f>IF(VLOOKUP($A148,'Concrete Beam Schedule'!$A$2:$Q$2902,AE$2,0)&lt;&gt;O148,"Beam Revised","")</f>
        <v>#N/A</v>
      </c>
    </row>
    <row r="149" spans="1:31" ht="25.5" customHeight="1" x14ac:dyDescent="0.25">
      <c r="A149" s="17"/>
      <c r="B149" s="17"/>
      <c r="C149" s="17"/>
      <c r="D149" s="17"/>
      <c r="E149" s="17"/>
      <c r="F149" s="17"/>
      <c r="G149" s="17"/>
      <c r="H149" s="17"/>
      <c r="I149" s="17"/>
      <c r="J149" s="17"/>
      <c r="K149" s="17"/>
      <c r="L149" s="17"/>
      <c r="M149" s="17"/>
      <c r="N149" s="17"/>
      <c r="O149" s="17"/>
      <c r="Q149" s="7">
        <f t="shared" si="2"/>
        <v>0</v>
      </c>
      <c r="R149" s="7" t="e">
        <f>IF(VLOOKUP($A149,'Concrete Beam Schedule'!$A$2:$Q$2902,R$2,0)&lt;&gt;B149,VLOOKUP($A149,'Concrete Beam Schedule'!$A$2:$Q$2902,R$2,0),"")</f>
        <v>#N/A</v>
      </c>
      <c r="S149" s="7" t="e">
        <f>IF(VLOOKUP($A149,'Concrete Beam Schedule'!$A$2:$Q$2902,S$2,0)&lt;&gt;C149,VLOOKUP($A149,'Concrete Beam Schedule'!$A$2:$Q$2902,S$2,0),"")</f>
        <v>#N/A</v>
      </c>
      <c r="T149" s="7" t="e">
        <f>IF(VLOOKUP($A149,'Concrete Beam Schedule'!$A$2:$Q$2902,T$2,0)&lt;&gt;D149,"Beam Revised","")</f>
        <v>#N/A</v>
      </c>
      <c r="U149" s="7" t="e">
        <f>IF(VLOOKUP($A149,'Concrete Beam Schedule'!$A$2:$Q$2902,U$2,0)&lt;&gt;E149,"Beam Revised","")</f>
        <v>#N/A</v>
      </c>
      <c r="V149" s="7" t="e">
        <f>IF(VLOOKUP($A149,'Concrete Beam Schedule'!$A$2:$Q$2902,V$2,0)&lt;&gt;F149,"Beam Revised","")</f>
        <v>#N/A</v>
      </c>
      <c r="W149" s="7" t="e">
        <f>IF(VLOOKUP($A149,'Concrete Beam Schedule'!$A$2:$Q$2902,W$2,0)&lt;&gt;G149,"Beam Revised","")</f>
        <v>#N/A</v>
      </c>
      <c r="X149" s="7" t="e">
        <f>IF(VLOOKUP($A149,'Concrete Beam Schedule'!$A$2:$Q$2902,X$2,0)&lt;&gt;H149,"Beam Revised","")</f>
        <v>#N/A</v>
      </c>
      <c r="Y149" s="7" t="e">
        <f>IF(VLOOKUP($A149,'Concrete Beam Schedule'!$A$2:$Q$2902,Y$2,0)&lt;&gt;I149,"Beam Revised","")</f>
        <v>#N/A</v>
      </c>
      <c r="Z149" s="7" t="e">
        <f>IF(VLOOKUP($A149,'Concrete Beam Schedule'!$A$2:$Q$2902,Z$2,0)&lt;&gt;J149,"Beam Revised","")</f>
        <v>#N/A</v>
      </c>
      <c r="AA149" s="7" t="e">
        <f>IF(VLOOKUP($A149,'Concrete Beam Schedule'!$A$2:$Q$2902,AA$2,0)&lt;&gt;K149,"Beam Revised","")</f>
        <v>#N/A</v>
      </c>
      <c r="AB149" s="7" t="e">
        <f>IF(VLOOKUP($A149,'Concrete Beam Schedule'!$A$2:$Q$2902,AB$2,0)&lt;&gt;L149,"Beam Revised","")</f>
        <v>#N/A</v>
      </c>
      <c r="AC149" s="7" t="e">
        <f>IF(VLOOKUP($A149,'Concrete Beam Schedule'!$A$2:$Q$2902,AC$2,0)&lt;&gt;M149,"Beam Revised","")</f>
        <v>#N/A</v>
      </c>
      <c r="AD149" s="7" t="e">
        <f>IF(VLOOKUP($A149,'Concrete Beam Schedule'!$A$2:$Q$2902,AD$2,0)&lt;&gt;N149,"Beam Revised","")</f>
        <v>#N/A</v>
      </c>
      <c r="AE149" s="7" t="e">
        <f>IF(VLOOKUP($A149,'Concrete Beam Schedule'!$A$2:$Q$2902,AE$2,0)&lt;&gt;O149,"Beam Revised","")</f>
        <v>#N/A</v>
      </c>
    </row>
    <row r="150" spans="1:31" ht="25.5" customHeight="1" x14ac:dyDescent="0.25">
      <c r="A150" s="17"/>
      <c r="B150" s="17"/>
      <c r="C150" s="17"/>
      <c r="D150" s="17"/>
      <c r="E150" s="17"/>
      <c r="F150" s="17"/>
      <c r="G150" s="17"/>
      <c r="H150" s="17"/>
      <c r="I150" s="17"/>
      <c r="J150" s="17"/>
      <c r="K150" s="17"/>
      <c r="L150" s="17"/>
      <c r="M150" s="17"/>
      <c r="N150" s="17"/>
      <c r="O150" s="17"/>
      <c r="Q150" s="7">
        <f t="shared" si="2"/>
        <v>0</v>
      </c>
      <c r="R150" s="7" t="e">
        <f>IF(VLOOKUP($A150,'Concrete Beam Schedule'!$A$2:$Q$2902,R$2,0)&lt;&gt;B150,VLOOKUP($A150,'Concrete Beam Schedule'!$A$2:$Q$2902,R$2,0),"")</f>
        <v>#N/A</v>
      </c>
      <c r="S150" s="7" t="e">
        <f>IF(VLOOKUP($A150,'Concrete Beam Schedule'!$A$2:$Q$2902,S$2,0)&lt;&gt;C150,VLOOKUP($A150,'Concrete Beam Schedule'!$A$2:$Q$2902,S$2,0),"")</f>
        <v>#N/A</v>
      </c>
      <c r="T150" s="7" t="e">
        <f>IF(VLOOKUP($A150,'Concrete Beam Schedule'!$A$2:$Q$2902,T$2,0)&lt;&gt;D150,"Beam Revised","")</f>
        <v>#N/A</v>
      </c>
      <c r="U150" s="7" t="e">
        <f>IF(VLOOKUP($A150,'Concrete Beam Schedule'!$A$2:$Q$2902,U$2,0)&lt;&gt;E150,"Beam Revised","")</f>
        <v>#N/A</v>
      </c>
      <c r="V150" s="7" t="e">
        <f>IF(VLOOKUP($A150,'Concrete Beam Schedule'!$A$2:$Q$2902,V$2,0)&lt;&gt;F150,"Beam Revised","")</f>
        <v>#N/A</v>
      </c>
      <c r="W150" s="7" t="e">
        <f>IF(VLOOKUP($A150,'Concrete Beam Schedule'!$A$2:$Q$2902,W$2,0)&lt;&gt;G150,"Beam Revised","")</f>
        <v>#N/A</v>
      </c>
      <c r="X150" s="7" t="e">
        <f>IF(VLOOKUP($A150,'Concrete Beam Schedule'!$A$2:$Q$2902,X$2,0)&lt;&gt;H150,"Beam Revised","")</f>
        <v>#N/A</v>
      </c>
      <c r="Y150" s="7" t="e">
        <f>IF(VLOOKUP($A150,'Concrete Beam Schedule'!$A$2:$Q$2902,Y$2,0)&lt;&gt;I150,"Beam Revised","")</f>
        <v>#N/A</v>
      </c>
      <c r="Z150" s="7" t="e">
        <f>IF(VLOOKUP($A150,'Concrete Beam Schedule'!$A$2:$Q$2902,Z$2,0)&lt;&gt;J150,"Beam Revised","")</f>
        <v>#N/A</v>
      </c>
      <c r="AA150" s="7" t="e">
        <f>IF(VLOOKUP($A150,'Concrete Beam Schedule'!$A$2:$Q$2902,AA$2,0)&lt;&gt;K150,"Beam Revised","")</f>
        <v>#N/A</v>
      </c>
      <c r="AB150" s="7" t="e">
        <f>IF(VLOOKUP($A150,'Concrete Beam Schedule'!$A$2:$Q$2902,AB$2,0)&lt;&gt;L150,"Beam Revised","")</f>
        <v>#N/A</v>
      </c>
      <c r="AC150" s="7" t="e">
        <f>IF(VLOOKUP($A150,'Concrete Beam Schedule'!$A$2:$Q$2902,AC$2,0)&lt;&gt;M150,"Beam Revised","")</f>
        <v>#N/A</v>
      </c>
      <c r="AD150" s="7" t="e">
        <f>IF(VLOOKUP($A150,'Concrete Beam Schedule'!$A$2:$Q$2902,AD$2,0)&lt;&gt;N150,"Beam Revised","")</f>
        <v>#N/A</v>
      </c>
      <c r="AE150" s="7" t="e">
        <f>IF(VLOOKUP($A150,'Concrete Beam Schedule'!$A$2:$Q$2902,AE$2,0)&lt;&gt;O150,"Beam Revised","")</f>
        <v>#N/A</v>
      </c>
    </row>
    <row r="151" spans="1:31" ht="25.5" customHeight="1" x14ac:dyDescent="0.25">
      <c r="A151" s="17"/>
      <c r="B151" s="17"/>
      <c r="C151" s="17"/>
      <c r="D151" s="17"/>
      <c r="E151" s="17"/>
      <c r="F151" s="17"/>
      <c r="G151" s="17"/>
      <c r="H151" s="17"/>
      <c r="I151" s="17"/>
      <c r="J151" s="17"/>
      <c r="K151" s="17"/>
      <c r="L151" s="17"/>
      <c r="M151" s="17"/>
      <c r="N151" s="17"/>
      <c r="O151" s="17"/>
      <c r="Q151" s="7">
        <f t="shared" si="2"/>
        <v>0</v>
      </c>
      <c r="R151" s="7" t="e">
        <f>IF(VLOOKUP($A151,'Concrete Beam Schedule'!$A$2:$Q$2902,R$2,0)&lt;&gt;B151,VLOOKUP($A151,'Concrete Beam Schedule'!$A$2:$Q$2902,R$2,0),"")</f>
        <v>#N/A</v>
      </c>
      <c r="S151" s="7" t="e">
        <f>IF(VLOOKUP($A151,'Concrete Beam Schedule'!$A$2:$Q$2902,S$2,0)&lt;&gt;C151,VLOOKUP($A151,'Concrete Beam Schedule'!$A$2:$Q$2902,S$2,0),"")</f>
        <v>#N/A</v>
      </c>
      <c r="T151" s="7" t="e">
        <f>IF(VLOOKUP($A151,'Concrete Beam Schedule'!$A$2:$Q$2902,T$2,0)&lt;&gt;D151,"Beam Revised","")</f>
        <v>#N/A</v>
      </c>
      <c r="U151" s="7" t="e">
        <f>IF(VLOOKUP($A151,'Concrete Beam Schedule'!$A$2:$Q$2902,U$2,0)&lt;&gt;E151,"Beam Revised","")</f>
        <v>#N/A</v>
      </c>
      <c r="V151" s="7" t="e">
        <f>IF(VLOOKUP($A151,'Concrete Beam Schedule'!$A$2:$Q$2902,V$2,0)&lt;&gt;F151,"Beam Revised","")</f>
        <v>#N/A</v>
      </c>
      <c r="W151" s="7" t="e">
        <f>IF(VLOOKUP($A151,'Concrete Beam Schedule'!$A$2:$Q$2902,W$2,0)&lt;&gt;G151,"Beam Revised","")</f>
        <v>#N/A</v>
      </c>
      <c r="X151" s="7" t="e">
        <f>IF(VLOOKUP($A151,'Concrete Beam Schedule'!$A$2:$Q$2902,X$2,0)&lt;&gt;H151,"Beam Revised","")</f>
        <v>#N/A</v>
      </c>
      <c r="Y151" s="7" t="e">
        <f>IF(VLOOKUP($A151,'Concrete Beam Schedule'!$A$2:$Q$2902,Y$2,0)&lt;&gt;I151,"Beam Revised","")</f>
        <v>#N/A</v>
      </c>
      <c r="Z151" s="7" t="e">
        <f>IF(VLOOKUP($A151,'Concrete Beam Schedule'!$A$2:$Q$2902,Z$2,0)&lt;&gt;J151,"Beam Revised","")</f>
        <v>#N/A</v>
      </c>
      <c r="AA151" s="7" t="e">
        <f>IF(VLOOKUP($A151,'Concrete Beam Schedule'!$A$2:$Q$2902,AA$2,0)&lt;&gt;K151,"Beam Revised","")</f>
        <v>#N/A</v>
      </c>
      <c r="AB151" s="7" t="e">
        <f>IF(VLOOKUP($A151,'Concrete Beam Schedule'!$A$2:$Q$2902,AB$2,0)&lt;&gt;L151,"Beam Revised","")</f>
        <v>#N/A</v>
      </c>
      <c r="AC151" s="7" t="e">
        <f>IF(VLOOKUP($A151,'Concrete Beam Schedule'!$A$2:$Q$2902,AC$2,0)&lt;&gt;M151,"Beam Revised","")</f>
        <v>#N/A</v>
      </c>
      <c r="AD151" s="7" t="e">
        <f>IF(VLOOKUP($A151,'Concrete Beam Schedule'!$A$2:$Q$2902,AD$2,0)&lt;&gt;N151,"Beam Revised","")</f>
        <v>#N/A</v>
      </c>
      <c r="AE151" s="7" t="e">
        <f>IF(VLOOKUP($A151,'Concrete Beam Schedule'!$A$2:$Q$2902,AE$2,0)&lt;&gt;O151,"Beam Revised","")</f>
        <v>#N/A</v>
      </c>
    </row>
    <row r="152" spans="1:31" ht="25.5" customHeight="1" x14ac:dyDescent="0.25">
      <c r="A152" s="17"/>
      <c r="B152" s="17"/>
      <c r="C152" s="17"/>
      <c r="D152" s="17"/>
      <c r="E152" s="17"/>
      <c r="F152" s="17"/>
      <c r="G152" s="17"/>
      <c r="H152" s="17"/>
      <c r="I152" s="17"/>
      <c r="J152" s="17"/>
      <c r="K152" s="17"/>
      <c r="L152" s="17"/>
      <c r="M152" s="17"/>
      <c r="N152" s="17"/>
      <c r="O152" s="17"/>
      <c r="Q152" s="7">
        <f t="shared" si="2"/>
        <v>0</v>
      </c>
      <c r="R152" s="7" t="e">
        <f>IF(VLOOKUP($A152,'Concrete Beam Schedule'!$A$2:$Q$2902,R$2,0)&lt;&gt;B152,VLOOKUP($A152,'Concrete Beam Schedule'!$A$2:$Q$2902,R$2,0),"")</f>
        <v>#N/A</v>
      </c>
      <c r="S152" s="7" t="e">
        <f>IF(VLOOKUP($A152,'Concrete Beam Schedule'!$A$2:$Q$2902,S$2,0)&lt;&gt;C152,VLOOKUP($A152,'Concrete Beam Schedule'!$A$2:$Q$2902,S$2,0),"")</f>
        <v>#N/A</v>
      </c>
      <c r="T152" s="7" t="e">
        <f>IF(VLOOKUP($A152,'Concrete Beam Schedule'!$A$2:$Q$2902,T$2,0)&lt;&gt;D152,"Beam Revised","")</f>
        <v>#N/A</v>
      </c>
      <c r="U152" s="7" t="e">
        <f>IF(VLOOKUP($A152,'Concrete Beam Schedule'!$A$2:$Q$2902,U$2,0)&lt;&gt;E152,"Beam Revised","")</f>
        <v>#N/A</v>
      </c>
      <c r="V152" s="7" t="e">
        <f>IF(VLOOKUP($A152,'Concrete Beam Schedule'!$A$2:$Q$2902,V$2,0)&lt;&gt;F152,"Beam Revised","")</f>
        <v>#N/A</v>
      </c>
      <c r="W152" s="7" t="e">
        <f>IF(VLOOKUP($A152,'Concrete Beam Schedule'!$A$2:$Q$2902,W$2,0)&lt;&gt;G152,"Beam Revised","")</f>
        <v>#N/A</v>
      </c>
      <c r="X152" s="7" t="e">
        <f>IF(VLOOKUP($A152,'Concrete Beam Schedule'!$A$2:$Q$2902,X$2,0)&lt;&gt;H152,"Beam Revised","")</f>
        <v>#N/A</v>
      </c>
      <c r="Y152" s="7" t="e">
        <f>IF(VLOOKUP($A152,'Concrete Beam Schedule'!$A$2:$Q$2902,Y$2,0)&lt;&gt;I152,"Beam Revised","")</f>
        <v>#N/A</v>
      </c>
      <c r="Z152" s="7" t="e">
        <f>IF(VLOOKUP($A152,'Concrete Beam Schedule'!$A$2:$Q$2902,Z$2,0)&lt;&gt;J152,"Beam Revised","")</f>
        <v>#N/A</v>
      </c>
      <c r="AA152" s="7" t="e">
        <f>IF(VLOOKUP($A152,'Concrete Beam Schedule'!$A$2:$Q$2902,AA$2,0)&lt;&gt;K152,"Beam Revised","")</f>
        <v>#N/A</v>
      </c>
      <c r="AB152" s="7" t="e">
        <f>IF(VLOOKUP($A152,'Concrete Beam Schedule'!$A$2:$Q$2902,AB$2,0)&lt;&gt;L152,"Beam Revised","")</f>
        <v>#N/A</v>
      </c>
      <c r="AC152" s="7" t="e">
        <f>IF(VLOOKUP($A152,'Concrete Beam Schedule'!$A$2:$Q$2902,AC$2,0)&lt;&gt;M152,"Beam Revised","")</f>
        <v>#N/A</v>
      </c>
      <c r="AD152" s="7" t="e">
        <f>IF(VLOOKUP($A152,'Concrete Beam Schedule'!$A$2:$Q$2902,AD$2,0)&lt;&gt;N152,"Beam Revised","")</f>
        <v>#N/A</v>
      </c>
      <c r="AE152" s="7" t="e">
        <f>IF(VLOOKUP($A152,'Concrete Beam Schedule'!$A$2:$Q$2902,AE$2,0)&lt;&gt;O152,"Beam Revised","")</f>
        <v>#N/A</v>
      </c>
    </row>
    <row r="153" spans="1:31" ht="25.5" customHeight="1" x14ac:dyDescent="0.25">
      <c r="A153" s="17"/>
      <c r="B153" s="17"/>
      <c r="C153" s="17"/>
      <c r="D153" s="17"/>
      <c r="E153" s="17"/>
      <c r="F153" s="17"/>
      <c r="G153" s="17"/>
      <c r="H153" s="17"/>
      <c r="I153" s="17"/>
      <c r="J153" s="17"/>
      <c r="K153" s="17"/>
      <c r="L153" s="17"/>
      <c r="M153" s="17"/>
      <c r="N153" s="17"/>
      <c r="O153" s="17"/>
      <c r="Q153" s="7">
        <f t="shared" si="2"/>
        <v>0</v>
      </c>
      <c r="R153" s="7" t="e">
        <f>IF(VLOOKUP($A153,'Concrete Beam Schedule'!$A$2:$Q$2902,R$2,0)&lt;&gt;B153,VLOOKUP($A153,'Concrete Beam Schedule'!$A$2:$Q$2902,R$2,0),"")</f>
        <v>#N/A</v>
      </c>
      <c r="S153" s="7" t="e">
        <f>IF(VLOOKUP($A153,'Concrete Beam Schedule'!$A$2:$Q$2902,S$2,0)&lt;&gt;C153,VLOOKUP($A153,'Concrete Beam Schedule'!$A$2:$Q$2902,S$2,0),"")</f>
        <v>#N/A</v>
      </c>
      <c r="T153" s="7" t="e">
        <f>IF(VLOOKUP($A153,'Concrete Beam Schedule'!$A$2:$Q$2902,T$2,0)&lt;&gt;D153,"Beam Revised","")</f>
        <v>#N/A</v>
      </c>
      <c r="U153" s="7" t="e">
        <f>IF(VLOOKUP($A153,'Concrete Beam Schedule'!$A$2:$Q$2902,U$2,0)&lt;&gt;E153,"Beam Revised","")</f>
        <v>#N/A</v>
      </c>
      <c r="V153" s="7" t="e">
        <f>IF(VLOOKUP($A153,'Concrete Beam Schedule'!$A$2:$Q$2902,V$2,0)&lt;&gt;F153,"Beam Revised","")</f>
        <v>#N/A</v>
      </c>
      <c r="W153" s="7" t="e">
        <f>IF(VLOOKUP($A153,'Concrete Beam Schedule'!$A$2:$Q$2902,W$2,0)&lt;&gt;G153,"Beam Revised","")</f>
        <v>#N/A</v>
      </c>
      <c r="X153" s="7" t="e">
        <f>IF(VLOOKUP($A153,'Concrete Beam Schedule'!$A$2:$Q$2902,X$2,0)&lt;&gt;H153,"Beam Revised","")</f>
        <v>#N/A</v>
      </c>
      <c r="Y153" s="7" t="e">
        <f>IF(VLOOKUP($A153,'Concrete Beam Schedule'!$A$2:$Q$2902,Y$2,0)&lt;&gt;I153,"Beam Revised","")</f>
        <v>#N/A</v>
      </c>
      <c r="Z153" s="7" t="e">
        <f>IF(VLOOKUP($A153,'Concrete Beam Schedule'!$A$2:$Q$2902,Z$2,0)&lt;&gt;J153,"Beam Revised","")</f>
        <v>#N/A</v>
      </c>
      <c r="AA153" s="7" t="e">
        <f>IF(VLOOKUP($A153,'Concrete Beam Schedule'!$A$2:$Q$2902,AA$2,0)&lt;&gt;K153,"Beam Revised","")</f>
        <v>#N/A</v>
      </c>
      <c r="AB153" s="7" t="e">
        <f>IF(VLOOKUP($A153,'Concrete Beam Schedule'!$A$2:$Q$2902,AB$2,0)&lt;&gt;L153,"Beam Revised","")</f>
        <v>#N/A</v>
      </c>
      <c r="AC153" s="7" t="e">
        <f>IF(VLOOKUP($A153,'Concrete Beam Schedule'!$A$2:$Q$2902,AC$2,0)&lt;&gt;M153,"Beam Revised","")</f>
        <v>#N/A</v>
      </c>
      <c r="AD153" s="7" t="e">
        <f>IF(VLOOKUP($A153,'Concrete Beam Schedule'!$A$2:$Q$2902,AD$2,0)&lt;&gt;N153,"Beam Revised","")</f>
        <v>#N/A</v>
      </c>
      <c r="AE153" s="7" t="e">
        <f>IF(VLOOKUP($A153,'Concrete Beam Schedule'!$A$2:$Q$2902,AE$2,0)&lt;&gt;O153,"Beam Revised","")</f>
        <v>#N/A</v>
      </c>
    </row>
    <row r="154" spans="1:31" ht="25.5" customHeight="1" x14ac:dyDescent="0.25">
      <c r="A154" s="17"/>
      <c r="B154" s="17"/>
      <c r="C154" s="17"/>
      <c r="D154" s="17"/>
      <c r="E154" s="17"/>
      <c r="F154" s="17"/>
      <c r="G154" s="17"/>
      <c r="H154" s="17"/>
      <c r="I154" s="17"/>
      <c r="J154" s="17"/>
      <c r="K154" s="17"/>
      <c r="L154" s="17"/>
      <c r="M154" s="17"/>
      <c r="N154" s="17"/>
      <c r="O154" s="17"/>
      <c r="Q154" s="7">
        <f t="shared" si="2"/>
        <v>0</v>
      </c>
      <c r="R154" s="7" t="e">
        <f>IF(VLOOKUP($A154,'Concrete Beam Schedule'!$A$2:$Q$2902,R$2,0)&lt;&gt;B154,VLOOKUP($A154,'Concrete Beam Schedule'!$A$2:$Q$2902,R$2,0),"")</f>
        <v>#N/A</v>
      </c>
      <c r="S154" s="7" t="e">
        <f>IF(VLOOKUP($A154,'Concrete Beam Schedule'!$A$2:$Q$2902,S$2,0)&lt;&gt;C154,VLOOKUP($A154,'Concrete Beam Schedule'!$A$2:$Q$2902,S$2,0),"")</f>
        <v>#N/A</v>
      </c>
      <c r="T154" s="7" t="e">
        <f>IF(VLOOKUP($A154,'Concrete Beam Schedule'!$A$2:$Q$2902,T$2,0)&lt;&gt;D154,"Beam Revised","")</f>
        <v>#N/A</v>
      </c>
      <c r="U154" s="7" t="e">
        <f>IF(VLOOKUP($A154,'Concrete Beam Schedule'!$A$2:$Q$2902,U$2,0)&lt;&gt;E154,"Beam Revised","")</f>
        <v>#N/A</v>
      </c>
      <c r="V154" s="7" t="e">
        <f>IF(VLOOKUP($A154,'Concrete Beam Schedule'!$A$2:$Q$2902,V$2,0)&lt;&gt;F154,"Beam Revised","")</f>
        <v>#N/A</v>
      </c>
      <c r="W154" s="7" t="e">
        <f>IF(VLOOKUP($A154,'Concrete Beam Schedule'!$A$2:$Q$2902,W$2,0)&lt;&gt;G154,"Beam Revised","")</f>
        <v>#N/A</v>
      </c>
      <c r="X154" s="7" t="e">
        <f>IF(VLOOKUP($A154,'Concrete Beam Schedule'!$A$2:$Q$2902,X$2,0)&lt;&gt;H154,"Beam Revised","")</f>
        <v>#N/A</v>
      </c>
      <c r="Y154" s="7" t="e">
        <f>IF(VLOOKUP($A154,'Concrete Beam Schedule'!$A$2:$Q$2902,Y$2,0)&lt;&gt;I154,"Beam Revised","")</f>
        <v>#N/A</v>
      </c>
      <c r="Z154" s="7" t="e">
        <f>IF(VLOOKUP($A154,'Concrete Beam Schedule'!$A$2:$Q$2902,Z$2,0)&lt;&gt;J154,"Beam Revised","")</f>
        <v>#N/A</v>
      </c>
      <c r="AA154" s="7" t="e">
        <f>IF(VLOOKUP($A154,'Concrete Beam Schedule'!$A$2:$Q$2902,AA$2,0)&lt;&gt;K154,"Beam Revised","")</f>
        <v>#N/A</v>
      </c>
      <c r="AB154" s="7" t="e">
        <f>IF(VLOOKUP($A154,'Concrete Beam Schedule'!$A$2:$Q$2902,AB$2,0)&lt;&gt;L154,"Beam Revised","")</f>
        <v>#N/A</v>
      </c>
      <c r="AC154" s="7" t="e">
        <f>IF(VLOOKUP($A154,'Concrete Beam Schedule'!$A$2:$Q$2902,AC$2,0)&lt;&gt;M154,"Beam Revised","")</f>
        <v>#N/A</v>
      </c>
      <c r="AD154" s="7" t="e">
        <f>IF(VLOOKUP($A154,'Concrete Beam Schedule'!$A$2:$Q$2902,AD$2,0)&lt;&gt;N154,"Beam Revised","")</f>
        <v>#N/A</v>
      </c>
      <c r="AE154" s="7" t="e">
        <f>IF(VLOOKUP($A154,'Concrete Beam Schedule'!$A$2:$Q$2902,AE$2,0)&lt;&gt;O154,"Beam Revised","")</f>
        <v>#N/A</v>
      </c>
    </row>
    <row r="155" spans="1:31" ht="25.5" customHeight="1" x14ac:dyDescent="0.25">
      <c r="A155" s="17"/>
      <c r="B155" s="17"/>
      <c r="C155" s="17"/>
      <c r="D155" s="17"/>
      <c r="E155" s="17"/>
      <c r="F155" s="17"/>
      <c r="G155" s="17"/>
      <c r="H155" s="17"/>
      <c r="I155" s="17"/>
      <c r="J155" s="17"/>
      <c r="K155" s="17"/>
      <c r="L155" s="17"/>
      <c r="M155" s="17"/>
      <c r="N155" s="17"/>
      <c r="O155" s="17"/>
      <c r="Q155" s="7">
        <f t="shared" si="2"/>
        <v>0</v>
      </c>
      <c r="R155" s="7" t="e">
        <f>IF(VLOOKUP($A155,'Concrete Beam Schedule'!$A$2:$Q$2902,R$2,0)&lt;&gt;B155,VLOOKUP($A155,'Concrete Beam Schedule'!$A$2:$Q$2902,R$2,0),"")</f>
        <v>#N/A</v>
      </c>
      <c r="S155" s="7" t="e">
        <f>IF(VLOOKUP($A155,'Concrete Beam Schedule'!$A$2:$Q$2902,S$2,0)&lt;&gt;C155,VLOOKUP($A155,'Concrete Beam Schedule'!$A$2:$Q$2902,S$2,0),"")</f>
        <v>#N/A</v>
      </c>
      <c r="T155" s="7" t="e">
        <f>IF(VLOOKUP($A155,'Concrete Beam Schedule'!$A$2:$Q$2902,T$2,0)&lt;&gt;D155,"Beam Revised","")</f>
        <v>#N/A</v>
      </c>
      <c r="U155" s="7" t="e">
        <f>IF(VLOOKUP($A155,'Concrete Beam Schedule'!$A$2:$Q$2902,U$2,0)&lt;&gt;E155,"Beam Revised","")</f>
        <v>#N/A</v>
      </c>
      <c r="V155" s="7" t="e">
        <f>IF(VLOOKUP($A155,'Concrete Beam Schedule'!$A$2:$Q$2902,V$2,0)&lt;&gt;F155,"Beam Revised","")</f>
        <v>#N/A</v>
      </c>
      <c r="W155" s="7" t="e">
        <f>IF(VLOOKUP($A155,'Concrete Beam Schedule'!$A$2:$Q$2902,W$2,0)&lt;&gt;G155,"Beam Revised","")</f>
        <v>#N/A</v>
      </c>
      <c r="X155" s="7" t="e">
        <f>IF(VLOOKUP($A155,'Concrete Beam Schedule'!$A$2:$Q$2902,X$2,0)&lt;&gt;H155,"Beam Revised","")</f>
        <v>#N/A</v>
      </c>
      <c r="Y155" s="7" t="e">
        <f>IF(VLOOKUP($A155,'Concrete Beam Schedule'!$A$2:$Q$2902,Y$2,0)&lt;&gt;I155,"Beam Revised","")</f>
        <v>#N/A</v>
      </c>
      <c r="Z155" s="7" t="e">
        <f>IF(VLOOKUP($A155,'Concrete Beam Schedule'!$A$2:$Q$2902,Z$2,0)&lt;&gt;J155,"Beam Revised","")</f>
        <v>#N/A</v>
      </c>
      <c r="AA155" s="7" t="e">
        <f>IF(VLOOKUP($A155,'Concrete Beam Schedule'!$A$2:$Q$2902,AA$2,0)&lt;&gt;K155,"Beam Revised","")</f>
        <v>#N/A</v>
      </c>
      <c r="AB155" s="7" t="e">
        <f>IF(VLOOKUP($A155,'Concrete Beam Schedule'!$A$2:$Q$2902,AB$2,0)&lt;&gt;L155,"Beam Revised","")</f>
        <v>#N/A</v>
      </c>
      <c r="AC155" s="7" t="e">
        <f>IF(VLOOKUP($A155,'Concrete Beam Schedule'!$A$2:$Q$2902,AC$2,0)&lt;&gt;M155,"Beam Revised","")</f>
        <v>#N/A</v>
      </c>
      <c r="AD155" s="7" t="e">
        <f>IF(VLOOKUP($A155,'Concrete Beam Schedule'!$A$2:$Q$2902,AD$2,0)&lt;&gt;N155,"Beam Revised","")</f>
        <v>#N/A</v>
      </c>
      <c r="AE155" s="7" t="e">
        <f>IF(VLOOKUP($A155,'Concrete Beam Schedule'!$A$2:$Q$2902,AE$2,0)&lt;&gt;O155,"Beam Revised","")</f>
        <v>#N/A</v>
      </c>
    </row>
    <row r="156" spans="1:31" ht="25.5" customHeight="1" x14ac:dyDescent="0.25">
      <c r="A156" s="17"/>
      <c r="B156" s="17"/>
      <c r="C156" s="17"/>
      <c r="D156" s="17"/>
      <c r="E156" s="17"/>
      <c r="F156" s="17"/>
      <c r="G156" s="17"/>
      <c r="H156" s="17"/>
      <c r="I156" s="17"/>
      <c r="J156" s="17"/>
      <c r="K156" s="17"/>
      <c r="L156" s="17"/>
      <c r="M156" s="17"/>
      <c r="N156" s="17"/>
      <c r="O156" s="17"/>
      <c r="Q156" s="7">
        <f t="shared" si="2"/>
        <v>0</v>
      </c>
      <c r="R156" s="7" t="e">
        <f>IF(VLOOKUP($A156,'Concrete Beam Schedule'!$A$2:$Q$2902,R$2,0)&lt;&gt;B156,VLOOKUP($A156,'Concrete Beam Schedule'!$A$2:$Q$2902,R$2,0),"")</f>
        <v>#N/A</v>
      </c>
      <c r="S156" s="7" t="e">
        <f>IF(VLOOKUP($A156,'Concrete Beam Schedule'!$A$2:$Q$2902,S$2,0)&lt;&gt;C156,VLOOKUP($A156,'Concrete Beam Schedule'!$A$2:$Q$2902,S$2,0),"")</f>
        <v>#N/A</v>
      </c>
      <c r="T156" s="7" t="e">
        <f>IF(VLOOKUP($A156,'Concrete Beam Schedule'!$A$2:$Q$2902,T$2,0)&lt;&gt;D156,"Beam Revised","")</f>
        <v>#N/A</v>
      </c>
      <c r="U156" s="7" t="e">
        <f>IF(VLOOKUP($A156,'Concrete Beam Schedule'!$A$2:$Q$2902,U$2,0)&lt;&gt;E156,"Beam Revised","")</f>
        <v>#N/A</v>
      </c>
      <c r="V156" s="7" t="e">
        <f>IF(VLOOKUP($A156,'Concrete Beam Schedule'!$A$2:$Q$2902,V$2,0)&lt;&gt;F156,"Beam Revised","")</f>
        <v>#N/A</v>
      </c>
      <c r="W156" s="7" t="e">
        <f>IF(VLOOKUP($A156,'Concrete Beam Schedule'!$A$2:$Q$2902,W$2,0)&lt;&gt;G156,"Beam Revised","")</f>
        <v>#N/A</v>
      </c>
      <c r="X156" s="7" t="e">
        <f>IF(VLOOKUP($A156,'Concrete Beam Schedule'!$A$2:$Q$2902,X$2,0)&lt;&gt;H156,"Beam Revised","")</f>
        <v>#N/A</v>
      </c>
      <c r="Y156" s="7" t="e">
        <f>IF(VLOOKUP($A156,'Concrete Beam Schedule'!$A$2:$Q$2902,Y$2,0)&lt;&gt;I156,"Beam Revised","")</f>
        <v>#N/A</v>
      </c>
      <c r="Z156" s="7" t="e">
        <f>IF(VLOOKUP($A156,'Concrete Beam Schedule'!$A$2:$Q$2902,Z$2,0)&lt;&gt;J156,"Beam Revised","")</f>
        <v>#N/A</v>
      </c>
      <c r="AA156" s="7" t="e">
        <f>IF(VLOOKUP($A156,'Concrete Beam Schedule'!$A$2:$Q$2902,AA$2,0)&lt;&gt;K156,"Beam Revised","")</f>
        <v>#N/A</v>
      </c>
      <c r="AB156" s="7" t="e">
        <f>IF(VLOOKUP($A156,'Concrete Beam Schedule'!$A$2:$Q$2902,AB$2,0)&lt;&gt;L156,"Beam Revised","")</f>
        <v>#N/A</v>
      </c>
      <c r="AC156" s="7" t="e">
        <f>IF(VLOOKUP($A156,'Concrete Beam Schedule'!$A$2:$Q$2902,AC$2,0)&lt;&gt;M156,"Beam Revised","")</f>
        <v>#N/A</v>
      </c>
      <c r="AD156" s="7" t="e">
        <f>IF(VLOOKUP($A156,'Concrete Beam Schedule'!$A$2:$Q$2902,AD$2,0)&lt;&gt;N156,"Beam Revised","")</f>
        <v>#N/A</v>
      </c>
      <c r="AE156" s="7" t="e">
        <f>IF(VLOOKUP($A156,'Concrete Beam Schedule'!$A$2:$Q$2902,AE$2,0)&lt;&gt;O156,"Beam Revised","")</f>
        <v>#N/A</v>
      </c>
    </row>
    <row r="157" spans="1:31" ht="25.5" customHeight="1" x14ac:dyDescent="0.25">
      <c r="A157" s="17"/>
      <c r="B157" s="17"/>
      <c r="C157" s="17"/>
      <c r="D157" s="17"/>
      <c r="E157" s="17"/>
      <c r="F157" s="17"/>
      <c r="G157" s="17"/>
      <c r="H157" s="17"/>
      <c r="I157" s="17"/>
      <c r="J157" s="17"/>
      <c r="K157" s="17"/>
      <c r="L157" s="17"/>
      <c r="M157" s="17"/>
      <c r="N157" s="17"/>
      <c r="O157" s="17"/>
      <c r="Q157" s="7">
        <f t="shared" si="2"/>
        <v>0</v>
      </c>
      <c r="R157" s="7" t="e">
        <f>IF(VLOOKUP($A157,'Concrete Beam Schedule'!$A$2:$Q$2902,R$2,0)&lt;&gt;B157,VLOOKUP($A157,'Concrete Beam Schedule'!$A$2:$Q$2902,R$2,0),"")</f>
        <v>#N/A</v>
      </c>
      <c r="S157" s="7" t="e">
        <f>IF(VLOOKUP($A157,'Concrete Beam Schedule'!$A$2:$Q$2902,S$2,0)&lt;&gt;C157,VLOOKUP($A157,'Concrete Beam Schedule'!$A$2:$Q$2902,S$2,0),"")</f>
        <v>#N/A</v>
      </c>
      <c r="T157" s="7" t="e">
        <f>IF(VLOOKUP($A157,'Concrete Beam Schedule'!$A$2:$Q$2902,T$2,0)&lt;&gt;D157,"Beam Revised","")</f>
        <v>#N/A</v>
      </c>
      <c r="U157" s="7" t="e">
        <f>IF(VLOOKUP($A157,'Concrete Beam Schedule'!$A$2:$Q$2902,U$2,0)&lt;&gt;E157,"Beam Revised","")</f>
        <v>#N/A</v>
      </c>
      <c r="V157" s="7" t="e">
        <f>IF(VLOOKUP($A157,'Concrete Beam Schedule'!$A$2:$Q$2902,V$2,0)&lt;&gt;F157,"Beam Revised","")</f>
        <v>#N/A</v>
      </c>
      <c r="W157" s="7" t="e">
        <f>IF(VLOOKUP($A157,'Concrete Beam Schedule'!$A$2:$Q$2902,W$2,0)&lt;&gt;G157,"Beam Revised","")</f>
        <v>#N/A</v>
      </c>
      <c r="X157" s="7" t="e">
        <f>IF(VLOOKUP($A157,'Concrete Beam Schedule'!$A$2:$Q$2902,X$2,0)&lt;&gt;H157,"Beam Revised","")</f>
        <v>#N/A</v>
      </c>
      <c r="Y157" s="7" t="e">
        <f>IF(VLOOKUP($A157,'Concrete Beam Schedule'!$A$2:$Q$2902,Y$2,0)&lt;&gt;I157,"Beam Revised","")</f>
        <v>#N/A</v>
      </c>
      <c r="Z157" s="7" t="e">
        <f>IF(VLOOKUP($A157,'Concrete Beam Schedule'!$A$2:$Q$2902,Z$2,0)&lt;&gt;J157,"Beam Revised","")</f>
        <v>#N/A</v>
      </c>
      <c r="AA157" s="7" t="e">
        <f>IF(VLOOKUP($A157,'Concrete Beam Schedule'!$A$2:$Q$2902,AA$2,0)&lt;&gt;K157,"Beam Revised","")</f>
        <v>#N/A</v>
      </c>
      <c r="AB157" s="7" t="e">
        <f>IF(VLOOKUP($A157,'Concrete Beam Schedule'!$A$2:$Q$2902,AB$2,0)&lt;&gt;L157,"Beam Revised","")</f>
        <v>#N/A</v>
      </c>
      <c r="AC157" s="7" t="e">
        <f>IF(VLOOKUP($A157,'Concrete Beam Schedule'!$A$2:$Q$2902,AC$2,0)&lt;&gt;M157,"Beam Revised","")</f>
        <v>#N/A</v>
      </c>
      <c r="AD157" s="7" t="e">
        <f>IF(VLOOKUP($A157,'Concrete Beam Schedule'!$A$2:$Q$2902,AD$2,0)&lt;&gt;N157,"Beam Revised","")</f>
        <v>#N/A</v>
      </c>
      <c r="AE157" s="7" t="e">
        <f>IF(VLOOKUP($A157,'Concrete Beam Schedule'!$A$2:$Q$2902,AE$2,0)&lt;&gt;O157,"Beam Revised","")</f>
        <v>#N/A</v>
      </c>
    </row>
    <row r="158" spans="1:31" ht="25.5" customHeight="1" x14ac:dyDescent="0.25">
      <c r="A158" s="17"/>
      <c r="B158" s="17"/>
      <c r="C158" s="17"/>
      <c r="D158" s="17"/>
      <c r="E158" s="17"/>
      <c r="F158" s="17"/>
      <c r="G158" s="17"/>
      <c r="H158" s="17"/>
      <c r="I158" s="17"/>
      <c r="J158" s="17"/>
      <c r="K158" s="17"/>
      <c r="L158" s="17"/>
      <c r="M158" s="17"/>
      <c r="N158" s="17"/>
      <c r="O158" s="17"/>
      <c r="Q158" s="7">
        <f t="shared" si="2"/>
        <v>0</v>
      </c>
      <c r="R158" s="7" t="e">
        <f>IF(VLOOKUP($A158,'Concrete Beam Schedule'!$A$2:$Q$2902,R$2,0)&lt;&gt;B158,VLOOKUP($A158,'Concrete Beam Schedule'!$A$2:$Q$2902,R$2,0),"")</f>
        <v>#N/A</v>
      </c>
      <c r="S158" s="7" t="e">
        <f>IF(VLOOKUP($A158,'Concrete Beam Schedule'!$A$2:$Q$2902,S$2,0)&lt;&gt;C158,VLOOKUP($A158,'Concrete Beam Schedule'!$A$2:$Q$2902,S$2,0),"")</f>
        <v>#N/A</v>
      </c>
      <c r="T158" s="7" t="e">
        <f>IF(VLOOKUP($A158,'Concrete Beam Schedule'!$A$2:$Q$2902,T$2,0)&lt;&gt;D158,"Beam Revised","")</f>
        <v>#N/A</v>
      </c>
      <c r="U158" s="7" t="e">
        <f>IF(VLOOKUP($A158,'Concrete Beam Schedule'!$A$2:$Q$2902,U$2,0)&lt;&gt;E158,"Beam Revised","")</f>
        <v>#N/A</v>
      </c>
      <c r="V158" s="7" t="e">
        <f>IF(VLOOKUP($A158,'Concrete Beam Schedule'!$A$2:$Q$2902,V$2,0)&lt;&gt;F158,"Beam Revised","")</f>
        <v>#N/A</v>
      </c>
      <c r="W158" s="7" t="e">
        <f>IF(VLOOKUP($A158,'Concrete Beam Schedule'!$A$2:$Q$2902,W$2,0)&lt;&gt;G158,"Beam Revised","")</f>
        <v>#N/A</v>
      </c>
      <c r="X158" s="7" t="e">
        <f>IF(VLOOKUP($A158,'Concrete Beam Schedule'!$A$2:$Q$2902,X$2,0)&lt;&gt;H158,"Beam Revised","")</f>
        <v>#N/A</v>
      </c>
      <c r="Y158" s="7" t="e">
        <f>IF(VLOOKUP($A158,'Concrete Beam Schedule'!$A$2:$Q$2902,Y$2,0)&lt;&gt;I158,"Beam Revised","")</f>
        <v>#N/A</v>
      </c>
      <c r="Z158" s="7" t="e">
        <f>IF(VLOOKUP($A158,'Concrete Beam Schedule'!$A$2:$Q$2902,Z$2,0)&lt;&gt;J158,"Beam Revised","")</f>
        <v>#N/A</v>
      </c>
      <c r="AA158" s="7" t="e">
        <f>IF(VLOOKUP($A158,'Concrete Beam Schedule'!$A$2:$Q$2902,AA$2,0)&lt;&gt;K158,"Beam Revised","")</f>
        <v>#N/A</v>
      </c>
      <c r="AB158" s="7" t="e">
        <f>IF(VLOOKUP($A158,'Concrete Beam Schedule'!$A$2:$Q$2902,AB$2,0)&lt;&gt;L158,"Beam Revised","")</f>
        <v>#N/A</v>
      </c>
      <c r="AC158" s="7" t="e">
        <f>IF(VLOOKUP($A158,'Concrete Beam Schedule'!$A$2:$Q$2902,AC$2,0)&lt;&gt;M158,"Beam Revised","")</f>
        <v>#N/A</v>
      </c>
      <c r="AD158" s="7" t="e">
        <f>IF(VLOOKUP($A158,'Concrete Beam Schedule'!$A$2:$Q$2902,AD$2,0)&lt;&gt;N158,"Beam Revised","")</f>
        <v>#N/A</v>
      </c>
      <c r="AE158" s="7" t="e">
        <f>IF(VLOOKUP($A158,'Concrete Beam Schedule'!$A$2:$Q$2902,AE$2,0)&lt;&gt;O158,"Beam Revised","")</f>
        <v>#N/A</v>
      </c>
    </row>
    <row r="159" spans="1:31" ht="25.5" customHeight="1" x14ac:dyDescent="0.25">
      <c r="A159" s="17"/>
      <c r="B159" s="17"/>
      <c r="C159" s="17"/>
      <c r="D159" s="17"/>
      <c r="E159" s="17"/>
      <c r="F159" s="17"/>
      <c r="G159" s="17"/>
      <c r="H159" s="17"/>
      <c r="I159" s="17"/>
      <c r="J159" s="17"/>
      <c r="K159" s="17"/>
      <c r="L159" s="17"/>
      <c r="M159" s="17"/>
      <c r="N159" s="17"/>
      <c r="O159" s="17"/>
      <c r="Q159" s="7">
        <f t="shared" si="2"/>
        <v>0</v>
      </c>
      <c r="R159" s="7" t="e">
        <f>IF(VLOOKUP($A159,'Concrete Beam Schedule'!$A$2:$Q$2902,R$2,0)&lt;&gt;B159,VLOOKUP($A159,'Concrete Beam Schedule'!$A$2:$Q$2902,R$2,0),"")</f>
        <v>#N/A</v>
      </c>
      <c r="S159" s="7" t="e">
        <f>IF(VLOOKUP($A159,'Concrete Beam Schedule'!$A$2:$Q$2902,S$2,0)&lt;&gt;C159,VLOOKUP($A159,'Concrete Beam Schedule'!$A$2:$Q$2902,S$2,0),"")</f>
        <v>#N/A</v>
      </c>
      <c r="T159" s="7" t="e">
        <f>IF(VLOOKUP($A159,'Concrete Beam Schedule'!$A$2:$Q$2902,T$2,0)&lt;&gt;D159,"Beam Revised","")</f>
        <v>#N/A</v>
      </c>
      <c r="U159" s="7" t="e">
        <f>IF(VLOOKUP($A159,'Concrete Beam Schedule'!$A$2:$Q$2902,U$2,0)&lt;&gt;E159,"Beam Revised","")</f>
        <v>#N/A</v>
      </c>
      <c r="V159" s="7" t="e">
        <f>IF(VLOOKUP($A159,'Concrete Beam Schedule'!$A$2:$Q$2902,V$2,0)&lt;&gt;F159,"Beam Revised","")</f>
        <v>#N/A</v>
      </c>
      <c r="W159" s="7" t="e">
        <f>IF(VLOOKUP($A159,'Concrete Beam Schedule'!$A$2:$Q$2902,W$2,0)&lt;&gt;G159,"Beam Revised","")</f>
        <v>#N/A</v>
      </c>
      <c r="X159" s="7" t="e">
        <f>IF(VLOOKUP($A159,'Concrete Beam Schedule'!$A$2:$Q$2902,X$2,0)&lt;&gt;H159,"Beam Revised","")</f>
        <v>#N/A</v>
      </c>
      <c r="Y159" s="7" t="e">
        <f>IF(VLOOKUP($A159,'Concrete Beam Schedule'!$A$2:$Q$2902,Y$2,0)&lt;&gt;I159,"Beam Revised","")</f>
        <v>#N/A</v>
      </c>
      <c r="Z159" s="7" t="e">
        <f>IF(VLOOKUP($A159,'Concrete Beam Schedule'!$A$2:$Q$2902,Z$2,0)&lt;&gt;J159,"Beam Revised","")</f>
        <v>#N/A</v>
      </c>
      <c r="AA159" s="7" t="e">
        <f>IF(VLOOKUP($A159,'Concrete Beam Schedule'!$A$2:$Q$2902,AA$2,0)&lt;&gt;K159,"Beam Revised","")</f>
        <v>#N/A</v>
      </c>
      <c r="AB159" s="7" t="e">
        <f>IF(VLOOKUP($A159,'Concrete Beam Schedule'!$A$2:$Q$2902,AB$2,0)&lt;&gt;L159,"Beam Revised","")</f>
        <v>#N/A</v>
      </c>
      <c r="AC159" s="7" t="e">
        <f>IF(VLOOKUP($A159,'Concrete Beam Schedule'!$A$2:$Q$2902,AC$2,0)&lt;&gt;M159,"Beam Revised","")</f>
        <v>#N/A</v>
      </c>
      <c r="AD159" s="7" t="e">
        <f>IF(VLOOKUP($A159,'Concrete Beam Schedule'!$A$2:$Q$2902,AD$2,0)&lt;&gt;N159,"Beam Revised","")</f>
        <v>#N/A</v>
      </c>
      <c r="AE159" s="7" t="e">
        <f>IF(VLOOKUP($A159,'Concrete Beam Schedule'!$A$2:$Q$2902,AE$2,0)&lt;&gt;O159,"Beam Revised","")</f>
        <v>#N/A</v>
      </c>
    </row>
    <row r="160" spans="1:31" ht="25.5" customHeight="1" x14ac:dyDescent="0.25">
      <c r="A160" s="17"/>
      <c r="B160" s="17"/>
      <c r="C160" s="17"/>
      <c r="D160" s="17"/>
      <c r="E160" s="17"/>
      <c r="F160" s="17"/>
      <c r="G160" s="17"/>
      <c r="H160" s="17"/>
      <c r="I160" s="17"/>
      <c r="J160" s="17"/>
      <c r="K160" s="17"/>
      <c r="L160" s="17"/>
      <c r="M160" s="17"/>
      <c r="N160" s="17"/>
      <c r="O160" s="17"/>
      <c r="Q160" s="7">
        <f t="shared" si="2"/>
        <v>0</v>
      </c>
      <c r="R160" s="7" t="e">
        <f>IF(VLOOKUP($A160,'Concrete Beam Schedule'!$A$2:$Q$2902,R$2,0)&lt;&gt;B160,VLOOKUP($A160,'Concrete Beam Schedule'!$A$2:$Q$2902,R$2,0),"")</f>
        <v>#N/A</v>
      </c>
      <c r="S160" s="7" t="e">
        <f>IF(VLOOKUP($A160,'Concrete Beam Schedule'!$A$2:$Q$2902,S$2,0)&lt;&gt;C160,VLOOKUP($A160,'Concrete Beam Schedule'!$A$2:$Q$2902,S$2,0),"")</f>
        <v>#N/A</v>
      </c>
      <c r="T160" s="7" t="e">
        <f>IF(VLOOKUP($A160,'Concrete Beam Schedule'!$A$2:$Q$2902,T$2,0)&lt;&gt;D160,"Beam Revised","")</f>
        <v>#N/A</v>
      </c>
      <c r="U160" s="7" t="e">
        <f>IF(VLOOKUP($A160,'Concrete Beam Schedule'!$A$2:$Q$2902,U$2,0)&lt;&gt;E160,"Beam Revised","")</f>
        <v>#N/A</v>
      </c>
      <c r="V160" s="7" t="e">
        <f>IF(VLOOKUP($A160,'Concrete Beam Schedule'!$A$2:$Q$2902,V$2,0)&lt;&gt;F160,"Beam Revised","")</f>
        <v>#N/A</v>
      </c>
      <c r="W160" s="7" t="e">
        <f>IF(VLOOKUP($A160,'Concrete Beam Schedule'!$A$2:$Q$2902,W$2,0)&lt;&gt;G160,"Beam Revised","")</f>
        <v>#N/A</v>
      </c>
      <c r="X160" s="7" t="e">
        <f>IF(VLOOKUP($A160,'Concrete Beam Schedule'!$A$2:$Q$2902,X$2,0)&lt;&gt;H160,"Beam Revised","")</f>
        <v>#N/A</v>
      </c>
      <c r="Y160" s="7" t="e">
        <f>IF(VLOOKUP($A160,'Concrete Beam Schedule'!$A$2:$Q$2902,Y$2,0)&lt;&gt;I160,"Beam Revised","")</f>
        <v>#N/A</v>
      </c>
      <c r="Z160" s="7" t="e">
        <f>IF(VLOOKUP($A160,'Concrete Beam Schedule'!$A$2:$Q$2902,Z$2,0)&lt;&gt;J160,"Beam Revised","")</f>
        <v>#N/A</v>
      </c>
      <c r="AA160" s="7" t="e">
        <f>IF(VLOOKUP($A160,'Concrete Beam Schedule'!$A$2:$Q$2902,AA$2,0)&lt;&gt;K160,"Beam Revised","")</f>
        <v>#N/A</v>
      </c>
      <c r="AB160" s="7" t="e">
        <f>IF(VLOOKUP($A160,'Concrete Beam Schedule'!$A$2:$Q$2902,AB$2,0)&lt;&gt;L160,"Beam Revised","")</f>
        <v>#N/A</v>
      </c>
      <c r="AC160" s="7" t="e">
        <f>IF(VLOOKUP($A160,'Concrete Beam Schedule'!$A$2:$Q$2902,AC$2,0)&lt;&gt;M160,"Beam Revised","")</f>
        <v>#N/A</v>
      </c>
      <c r="AD160" s="7" t="e">
        <f>IF(VLOOKUP($A160,'Concrete Beam Schedule'!$A$2:$Q$2902,AD$2,0)&lt;&gt;N160,"Beam Revised","")</f>
        <v>#N/A</v>
      </c>
      <c r="AE160" s="7" t="e">
        <f>IF(VLOOKUP($A160,'Concrete Beam Schedule'!$A$2:$Q$2902,AE$2,0)&lt;&gt;O160,"Beam Revised","")</f>
        <v>#N/A</v>
      </c>
    </row>
    <row r="161" spans="1:31" ht="25.5" customHeight="1" x14ac:dyDescent="0.25">
      <c r="A161" s="17"/>
      <c r="B161" s="17"/>
      <c r="C161" s="17"/>
      <c r="D161" s="17"/>
      <c r="E161" s="17"/>
      <c r="F161" s="17"/>
      <c r="G161" s="17"/>
      <c r="H161" s="17"/>
      <c r="I161" s="17"/>
      <c r="J161" s="17"/>
      <c r="K161" s="17"/>
      <c r="L161" s="17"/>
      <c r="M161" s="17"/>
      <c r="N161" s="17"/>
      <c r="O161" s="17"/>
      <c r="Q161" s="7">
        <f t="shared" si="2"/>
        <v>0</v>
      </c>
      <c r="R161" s="7" t="e">
        <f>IF(VLOOKUP($A161,'Concrete Beam Schedule'!$A$2:$Q$2902,R$2,0)&lt;&gt;B161,VLOOKUP($A161,'Concrete Beam Schedule'!$A$2:$Q$2902,R$2,0),"")</f>
        <v>#N/A</v>
      </c>
      <c r="S161" s="7" t="e">
        <f>IF(VLOOKUP($A161,'Concrete Beam Schedule'!$A$2:$Q$2902,S$2,0)&lt;&gt;C161,VLOOKUP($A161,'Concrete Beam Schedule'!$A$2:$Q$2902,S$2,0),"")</f>
        <v>#N/A</v>
      </c>
      <c r="T161" s="7" t="e">
        <f>IF(VLOOKUP($A161,'Concrete Beam Schedule'!$A$2:$Q$2902,T$2,0)&lt;&gt;D161,"Beam Revised","")</f>
        <v>#N/A</v>
      </c>
      <c r="U161" s="7" t="e">
        <f>IF(VLOOKUP($A161,'Concrete Beam Schedule'!$A$2:$Q$2902,U$2,0)&lt;&gt;E161,"Beam Revised","")</f>
        <v>#N/A</v>
      </c>
      <c r="V161" s="7" t="e">
        <f>IF(VLOOKUP($A161,'Concrete Beam Schedule'!$A$2:$Q$2902,V$2,0)&lt;&gt;F161,"Beam Revised","")</f>
        <v>#N/A</v>
      </c>
      <c r="W161" s="7" t="e">
        <f>IF(VLOOKUP($A161,'Concrete Beam Schedule'!$A$2:$Q$2902,W$2,0)&lt;&gt;G161,"Beam Revised","")</f>
        <v>#N/A</v>
      </c>
      <c r="X161" s="7" t="e">
        <f>IF(VLOOKUP($A161,'Concrete Beam Schedule'!$A$2:$Q$2902,X$2,0)&lt;&gt;H161,"Beam Revised","")</f>
        <v>#N/A</v>
      </c>
      <c r="Y161" s="7" t="e">
        <f>IF(VLOOKUP($A161,'Concrete Beam Schedule'!$A$2:$Q$2902,Y$2,0)&lt;&gt;I161,"Beam Revised","")</f>
        <v>#N/A</v>
      </c>
      <c r="Z161" s="7" t="e">
        <f>IF(VLOOKUP($A161,'Concrete Beam Schedule'!$A$2:$Q$2902,Z$2,0)&lt;&gt;J161,"Beam Revised","")</f>
        <v>#N/A</v>
      </c>
      <c r="AA161" s="7" t="e">
        <f>IF(VLOOKUP($A161,'Concrete Beam Schedule'!$A$2:$Q$2902,AA$2,0)&lt;&gt;K161,"Beam Revised","")</f>
        <v>#N/A</v>
      </c>
      <c r="AB161" s="7" t="e">
        <f>IF(VLOOKUP($A161,'Concrete Beam Schedule'!$A$2:$Q$2902,AB$2,0)&lt;&gt;L161,"Beam Revised","")</f>
        <v>#N/A</v>
      </c>
      <c r="AC161" s="7" t="e">
        <f>IF(VLOOKUP($A161,'Concrete Beam Schedule'!$A$2:$Q$2902,AC$2,0)&lt;&gt;M161,"Beam Revised","")</f>
        <v>#N/A</v>
      </c>
      <c r="AD161" s="7" t="e">
        <f>IF(VLOOKUP($A161,'Concrete Beam Schedule'!$A$2:$Q$2902,AD$2,0)&lt;&gt;N161,"Beam Revised","")</f>
        <v>#N/A</v>
      </c>
      <c r="AE161" s="7" t="e">
        <f>IF(VLOOKUP($A161,'Concrete Beam Schedule'!$A$2:$Q$2902,AE$2,0)&lt;&gt;O161,"Beam Revised","")</f>
        <v>#N/A</v>
      </c>
    </row>
    <row r="162" spans="1:31" ht="25.5" customHeight="1" x14ac:dyDescent="0.25">
      <c r="A162" s="17"/>
      <c r="B162" s="17"/>
      <c r="C162" s="17"/>
      <c r="D162" s="17"/>
      <c r="E162" s="17"/>
      <c r="F162" s="17"/>
      <c r="G162" s="17"/>
      <c r="H162" s="17"/>
      <c r="I162" s="17"/>
      <c r="J162" s="17"/>
      <c r="K162" s="17"/>
      <c r="L162" s="17"/>
      <c r="M162" s="17"/>
      <c r="N162" s="17"/>
      <c r="O162" s="17"/>
      <c r="Q162" s="7">
        <f t="shared" si="2"/>
        <v>0</v>
      </c>
      <c r="R162" s="7" t="e">
        <f>IF(VLOOKUP($A162,'Concrete Beam Schedule'!$A$2:$Q$2902,R$2,0)&lt;&gt;B162,VLOOKUP($A162,'Concrete Beam Schedule'!$A$2:$Q$2902,R$2,0),"")</f>
        <v>#N/A</v>
      </c>
      <c r="S162" s="7" t="e">
        <f>IF(VLOOKUP($A162,'Concrete Beam Schedule'!$A$2:$Q$2902,S$2,0)&lt;&gt;C162,VLOOKUP($A162,'Concrete Beam Schedule'!$A$2:$Q$2902,S$2,0),"")</f>
        <v>#N/A</v>
      </c>
      <c r="T162" s="7" t="e">
        <f>IF(VLOOKUP($A162,'Concrete Beam Schedule'!$A$2:$Q$2902,T$2,0)&lt;&gt;D162,"Beam Revised","")</f>
        <v>#N/A</v>
      </c>
      <c r="U162" s="7" t="e">
        <f>IF(VLOOKUP($A162,'Concrete Beam Schedule'!$A$2:$Q$2902,U$2,0)&lt;&gt;E162,"Beam Revised","")</f>
        <v>#N/A</v>
      </c>
      <c r="V162" s="7" t="e">
        <f>IF(VLOOKUP($A162,'Concrete Beam Schedule'!$A$2:$Q$2902,V$2,0)&lt;&gt;F162,"Beam Revised","")</f>
        <v>#N/A</v>
      </c>
      <c r="W162" s="7" t="e">
        <f>IF(VLOOKUP($A162,'Concrete Beam Schedule'!$A$2:$Q$2902,W$2,0)&lt;&gt;G162,"Beam Revised","")</f>
        <v>#N/A</v>
      </c>
      <c r="X162" s="7" t="e">
        <f>IF(VLOOKUP($A162,'Concrete Beam Schedule'!$A$2:$Q$2902,X$2,0)&lt;&gt;H162,"Beam Revised","")</f>
        <v>#N/A</v>
      </c>
      <c r="Y162" s="7" t="e">
        <f>IF(VLOOKUP($A162,'Concrete Beam Schedule'!$A$2:$Q$2902,Y$2,0)&lt;&gt;I162,"Beam Revised","")</f>
        <v>#N/A</v>
      </c>
      <c r="Z162" s="7" t="e">
        <f>IF(VLOOKUP($A162,'Concrete Beam Schedule'!$A$2:$Q$2902,Z$2,0)&lt;&gt;J162,"Beam Revised","")</f>
        <v>#N/A</v>
      </c>
      <c r="AA162" s="7" t="e">
        <f>IF(VLOOKUP($A162,'Concrete Beam Schedule'!$A$2:$Q$2902,AA$2,0)&lt;&gt;K162,"Beam Revised","")</f>
        <v>#N/A</v>
      </c>
      <c r="AB162" s="7" t="e">
        <f>IF(VLOOKUP($A162,'Concrete Beam Schedule'!$A$2:$Q$2902,AB$2,0)&lt;&gt;L162,"Beam Revised","")</f>
        <v>#N/A</v>
      </c>
      <c r="AC162" s="7" t="e">
        <f>IF(VLOOKUP($A162,'Concrete Beam Schedule'!$A$2:$Q$2902,AC$2,0)&lt;&gt;M162,"Beam Revised","")</f>
        <v>#N/A</v>
      </c>
      <c r="AD162" s="7" t="e">
        <f>IF(VLOOKUP($A162,'Concrete Beam Schedule'!$A$2:$Q$2902,AD$2,0)&lt;&gt;N162,"Beam Revised","")</f>
        <v>#N/A</v>
      </c>
      <c r="AE162" s="7" t="e">
        <f>IF(VLOOKUP($A162,'Concrete Beam Schedule'!$A$2:$Q$2902,AE$2,0)&lt;&gt;O162,"Beam Revised","")</f>
        <v>#N/A</v>
      </c>
    </row>
    <row r="163" spans="1:31" ht="25.5" customHeight="1" x14ac:dyDescent="0.25">
      <c r="A163" s="17"/>
      <c r="B163" s="17"/>
      <c r="C163" s="17"/>
      <c r="D163" s="17"/>
      <c r="E163" s="17"/>
      <c r="F163" s="17"/>
      <c r="G163" s="17"/>
      <c r="H163" s="17"/>
      <c r="I163" s="17"/>
      <c r="J163" s="17"/>
      <c r="K163" s="17"/>
      <c r="L163" s="17"/>
      <c r="M163" s="17"/>
      <c r="N163" s="17"/>
      <c r="O163" s="17"/>
      <c r="Q163" s="7">
        <f t="shared" si="2"/>
        <v>0</v>
      </c>
      <c r="R163" s="7" t="e">
        <f>IF(VLOOKUP($A163,'Concrete Beam Schedule'!$A$2:$Q$2902,R$2,0)&lt;&gt;B163,VLOOKUP($A163,'Concrete Beam Schedule'!$A$2:$Q$2902,R$2,0),"")</f>
        <v>#N/A</v>
      </c>
      <c r="S163" s="7" t="e">
        <f>IF(VLOOKUP($A163,'Concrete Beam Schedule'!$A$2:$Q$2902,S$2,0)&lt;&gt;C163,VLOOKUP($A163,'Concrete Beam Schedule'!$A$2:$Q$2902,S$2,0),"")</f>
        <v>#N/A</v>
      </c>
      <c r="T163" s="7" t="e">
        <f>IF(VLOOKUP($A163,'Concrete Beam Schedule'!$A$2:$Q$2902,T$2,0)&lt;&gt;D163,"Beam Revised","")</f>
        <v>#N/A</v>
      </c>
      <c r="U163" s="7" t="e">
        <f>IF(VLOOKUP($A163,'Concrete Beam Schedule'!$A$2:$Q$2902,U$2,0)&lt;&gt;E163,"Beam Revised","")</f>
        <v>#N/A</v>
      </c>
      <c r="V163" s="7" t="e">
        <f>IF(VLOOKUP($A163,'Concrete Beam Schedule'!$A$2:$Q$2902,V$2,0)&lt;&gt;F163,"Beam Revised","")</f>
        <v>#N/A</v>
      </c>
      <c r="W163" s="7" t="e">
        <f>IF(VLOOKUP($A163,'Concrete Beam Schedule'!$A$2:$Q$2902,W$2,0)&lt;&gt;G163,"Beam Revised","")</f>
        <v>#N/A</v>
      </c>
      <c r="X163" s="7" t="e">
        <f>IF(VLOOKUP($A163,'Concrete Beam Schedule'!$A$2:$Q$2902,X$2,0)&lt;&gt;H163,"Beam Revised","")</f>
        <v>#N/A</v>
      </c>
      <c r="Y163" s="7" t="e">
        <f>IF(VLOOKUP($A163,'Concrete Beam Schedule'!$A$2:$Q$2902,Y$2,0)&lt;&gt;I163,"Beam Revised","")</f>
        <v>#N/A</v>
      </c>
      <c r="Z163" s="7" t="e">
        <f>IF(VLOOKUP($A163,'Concrete Beam Schedule'!$A$2:$Q$2902,Z$2,0)&lt;&gt;J163,"Beam Revised","")</f>
        <v>#N/A</v>
      </c>
      <c r="AA163" s="7" t="e">
        <f>IF(VLOOKUP($A163,'Concrete Beam Schedule'!$A$2:$Q$2902,AA$2,0)&lt;&gt;K163,"Beam Revised","")</f>
        <v>#N/A</v>
      </c>
      <c r="AB163" s="7" t="e">
        <f>IF(VLOOKUP($A163,'Concrete Beam Schedule'!$A$2:$Q$2902,AB$2,0)&lt;&gt;L163,"Beam Revised","")</f>
        <v>#N/A</v>
      </c>
      <c r="AC163" s="7" t="e">
        <f>IF(VLOOKUP($A163,'Concrete Beam Schedule'!$A$2:$Q$2902,AC$2,0)&lt;&gt;M163,"Beam Revised","")</f>
        <v>#N/A</v>
      </c>
      <c r="AD163" s="7" t="e">
        <f>IF(VLOOKUP($A163,'Concrete Beam Schedule'!$A$2:$Q$2902,AD$2,0)&lt;&gt;N163,"Beam Revised","")</f>
        <v>#N/A</v>
      </c>
      <c r="AE163" s="7" t="e">
        <f>IF(VLOOKUP($A163,'Concrete Beam Schedule'!$A$2:$Q$2902,AE$2,0)&lt;&gt;O163,"Beam Revised","")</f>
        <v>#N/A</v>
      </c>
    </row>
    <row r="164" spans="1:31" ht="25.5" customHeight="1" x14ac:dyDescent="0.25">
      <c r="A164" s="17"/>
      <c r="B164" s="17"/>
      <c r="C164" s="17"/>
      <c r="D164" s="17"/>
      <c r="E164" s="17"/>
      <c r="F164" s="17"/>
      <c r="G164" s="17"/>
      <c r="H164" s="17"/>
      <c r="I164" s="17"/>
      <c r="J164" s="17"/>
      <c r="K164" s="17"/>
      <c r="L164" s="17"/>
      <c r="M164" s="17"/>
      <c r="N164" s="17"/>
      <c r="O164" s="17"/>
      <c r="Q164" s="7">
        <f t="shared" si="2"/>
        <v>0</v>
      </c>
      <c r="R164" s="7" t="e">
        <f>IF(VLOOKUP($A164,'Concrete Beam Schedule'!$A$2:$Q$2902,R$2,0)&lt;&gt;B164,VLOOKUP($A164,'Concrete Beam Schedule'!$A$2:$Q$2902,R$2,0),"")</f>
        <v>#N/A</v>
      </c>
      <c r="S164" s="7" t="e">
        <f>IF(VLOOKUP($A164,'Concrete Beam Schedule'!$A$2:$Q$2902,S$2,0)&lt;&gt;C164,VLOOKUP($A164,'Concrete Beam Schedule'!$A$2:$Q$2902,S$2,0),"")</f>
        <v>#N/A</v>
      </c>
      <c r="T164" s="7" t="e">
        <f>IF(VLOOKUP($A164,'Concrete Beam Schedule'!$A$2:$Q$2902,T$2,0)&lt;&gt;D164,"Beam Revised","")</f>
        <v>#N/A</v>
      </c>
      <c r="U164" s="7" t="e">
        <f>IF(VLOOKUP($A164,'Concrete Beam Schedule'!$A$2:$Q$2902,U$2,0)&lt;&gt;E164,"Beam Revised","")</f>
        <v>#N/A</v>
      </c>
      <c r="V164" s="7" t="e">
        <f>IF(VLOOKUP($A164,'Concrete Beam Schedule'!$A$2:$Q$2902,V$2,0)&lt;&gt;F164,"Beam Revised","")</f>
        <v>#N/A</v>
      </c>
      <c r="W164" s="7" t="e">
        <f>IF(VLOOKUP($A164,'Concrete Beam Schedule'!$A$2:$Q$2902,W$2,0)&lt;&gt;G164,"Beam Revised","")</f>
        <v>#N/A</v>
      </c>
      <c r="X164" s="7" t="e">
        <f>IF(VLOOKUP($A164,'Concrete Beam Schedule'!$A$2:$Q$2902,X$2,0)&lt;&gt;H164,"Beam Revised","")</f>
        <v>#N/A</v>
      </c>
      <c r="Y164" s="7" t="e">
        <f>IF(VLOOKUP($A164,'Concrete Beam Schedule'!$A$2:$Q$2902,Y$2,0)&lt;&gt;I164,"Beam Revised","")</f>
        <v>#N/A</v>
      </c>
      <c r="Z164" s="7" t="e">
        <f>IF(VLOOKUP($A164,'Concrete Beam Schedule'!$A$2:$Q$2902,Z$2,0)&lt;&gt;J164,"Beam Revised","")</f>
        <v>#N/A</v>
      </c>
      <c r="AA164" s="7" t="e">
        <f>IF(VLOOKUP($A164,'Concrete Beam Schedule'!$A$2:$Q$2902,AA$2,0)&lt;&gt;K164,"Beam Revised","")</f>
        <v>#N/A</v>
      </c>
      <c r="AB164" s="7" t="e">
        <f>IF(VLOOKUP($A164,'Concrete Beam Schedule'!$A$2:$Q$2902,AB$2,0)&lt;&gt;L164,"Beam Revised","")</f>
        <v>#N/A</v>
      </c>
      <c r="AC164" s="7" t="e">
        <f>IF(VLOOKUP($A164,'Concrete Beam Schedule'!$A$2:$Q$2902,AC$2,0)&lt;&gt;M164,"Beam Revised","")</f>
        <v>#N/A</v>
      </c>
      <c r="AD164" s="7" t="e">
        <f>IF(VLOOKUP($A164,'Concrete Beam Schedule'!$A$2:$Q$2902,AD$2,0)&lt;&gt;N164,"Beam Revised","")</f>
        <v>#N/A</v>
      </c>
      <c r="AE164" s="7" t="e">
        <f>IF(VLOOKUP($A164,'Concrete Beam Schedule'!$A$2:$Q$2902,AE$2,0)&lt;&gt;O164,"Beam Revised","")</f>
        <v>#N/A</v>
      </c>
    </row>
    <row r="165" spans="1:31" ht="25.5" customHeight="1" x14ac:dyDescent="0.25">
      <c r="A165" s="17"/>
      <c r="B165" s="17"/>
      <c r="C165" s="17"/>
      <c r="D165" s="17"/>
      <c r="E165" s="17"/>
      <c r="F165" s="17"/>
      <c r="G165" s="17"/>
      <c r="H165" s="17"/>
      <c r="I165" s="17"/>
      <c r="J165" s="17"/>
      <c r="K165" s="17"/>
      <c r="L165" s="17"/>
      <c r="M165" s="17"/>
      <c r="N165" s="17"/>
      <c r="O165" s="17"/>
      <c r="Q165" s="7">
        <f t="shared" si="2"/>
        <v>0</v>
      </c>
      <c r="R165" s="7" t="e">
        <f>IF(VLOOKUP($A165,'Concrete Beam Schedule'!$A$2:$Q$2902,R$2,0)&lt;&gt;B165,VLOOKUP($A165,'Concrete Beam Schedule'!$A$2:$Q$2902,R$2,0),"")</f>
        <v>#N/A</v>
      </c>
      <c r="S165" s="7" t="e">
        <f>IF(VLOOKUP($A165,'Concrete Beam Schedule'!$A$2:$Q$2902,S$2,0)&lt;&gt;C165,VLOOKUP($A165,'Concrete Beam Schedule'!$A$2:$Q$2902,S$2,0),"")</f>
        <v>#N/A</v>
      </c>
      <c r="T165" s="7" t="e">
        <f>IF(VLOOKUP($A165,'Concrete Beam Schedule'!$A$2:$Q$2902,T$2,0)&lt;&gt;D165,"Beam Revised","")</f>
        <v>#N/A</v>
      </c>
      <c r="U165" s="7" t="e">
        <f>IF(VLOOKUP($A165,'Concrete Beam Schedule'!$A$2:$Q$2902,U$2,0)&lt;&gt;E165,"Beam Revised","")</f>
        <v>#N/A</v>
      </c>
      <c r="V165" s="7" t="e">
        <f>IF(VLOOKUP($A165,'Concrete Beam Schedule'!$A$2:$Q$2902,V$2,0)&lt;&gt;F165,"Beam Revised","")</f>
        <v>#N/A</v>
      </c>
      <c r="W165" s="7" t="e">
        <f>IF(VLOOKUP($A165,'Concrete Beam Schedule'!$A$2:$Q$2902,W$2,0)&lt;&gt;G165,"Beam Revised","")</f>
        <v>#N/A</v>
      </c>
      <c r="X165" s="7" t="e">
        <f>IF(VLOOKUP($A165,'Concrete Beam Schedule'!$A$2:$Q$2902,X$2,0)&lt;&gt;H165,"Beam Revised","")</f>
        <v>#N/A</v>
      </c>
      <c r="Y165" s="7" t="e">
        <f>IF(VLOOKUP($A165,'Concrete Beam Schedule'!$A$2:$Q$2902,Y$2,0)&lt;&gt;I165,"Beam Revised","")</f>
        <v>#N/A</v>
      </c>
      <c r="Z165" s="7" t="e">
        <f>IF(VLOOKUP($A165,'Concrete Beam Schedule'!$A$2:$Q$2902,Z$2,0)&lt;&gt;J165,"Beam Revised","")</f>
        <v>#N/A</v>
      </c>
      <c r="AA165" s="7" t="e">
        <f>IF(VLOOKUP($A165,'Concrete Beam Schedule'!$A$2:$Q$2902,AA$2,0)&lt;&gt;K165,"Beam Revised","")</f>
        <v>#N/A</v>
      </c>
      <c r="AB165" s="7" t="e">
        <f>IF(VLOOKUP($A165,'Concrete Beam Schedule'!$A$2:$Q$2902,AB$2,0)&lt;&gt;L165,"Beam Revised","")</f>
        <v>#N/A</v>
      </c>
      <c r="AC165" s="7" t="e">
        <f>IF(VLOOKUP($A165,'Concrete Beam Schedule'!$A$2:$Q$2902,AC$2,0)&lt;&gt;M165,"Beam Revised","")</f>
        <v>#N/A</v>
      </c>
      <c r="AD165" s="7" t="e">
        <f>IF(VLOOKUP($A165,'Concrete Beam Schedule'!$A$2:$Q$2902,AD$2,0)&lt;&gt;N165,"Beam Revised","")</f>
        <v>#N/A</v>
      </c>
      <c r="AE165" s="7" t="e">
        <f>IF(VLOOKUP($A165,'Concrete Beam Schedule'!$A$2:$Q$2902,AE$2,0)&lt;&gt;O165,"Beam Revised","")</f>
        <v>#N/A</v>
      </c>
    </row>
    <row r="166" spans="1:31" ht="25.5" customHeight="1" x14ac:dyDescent="0.25">
      <c r="A166" s="17"/>
      <c r="B166" s="17"/>
      <c r="C166" s="17"/>
      <c r="D166" s="17"/>
      <c r="E166" s="17"/>
      <c r="F166" s="17"/>
      <c r="G166" s="17"/>
      <c r="H166" s="17"/>
      <c r="I166" s="17"/>
      <c r="J166" s="17"/>
      <c r="K166" s="17"/>
      <c r="L166" s="17"/>
      <c r="M166" s="17"/>
      <c r="N166" s="17"/>
      <c r="O166" s="17"/>
      <c r="Q166" s="7">
        <f t="shared" si="2"/>
        <v>0</v>
      </c>
      <c r="R166" s="7" t="e">
        <f>IF(VLOOKUP($A166,'Concrete Beam Schedule'!$A$2:$Q$2902,R$2,0)&lt;&gt;B166,VLOOKUP($A166,'Concrete Beam Schedule'!$A$2:$Q$2902,R$2,0),"")</f>
        <v>#N/A</v>
      </c>
      <c r="S166" s="7" t="e">
        <f>IF(VLOOKUP($A166,'Concrete Beam Schedule'!$A$2:$Q$2902,S$2,0)&lt;&gt;C166,VLOOKUP($A166,'Concrete Beam Schedule'!$A$2:$Q$2902,S$2,0),"")</f>
        <v>#N/A</v>
      </c>
      <c r="T166" s="7" t="e">
        <f>IF(VLOOKUP($A166,'Concrete Beam Schedule'!$A$2:$Q$2902,T$2,0)&lt;&gt;D166,"Beam Revised","")</f>
        <v>#N/A</v>
      </c>
      <c r="U166" s="7" t="e">
        <f>IF(VLOOKUP($A166,'Concrete Beam Schedule'!$A$2:$Q$2902,U$2,0)&lt;&gt;E166,"Beam Revised","")</f>
        <v>#N/A</v>
      </c>
      <c r="V166" s="7" t="e">
        <f>IF(VLOOKUP($A166,'Concrete Beam Schedule'!$A$2:$Q$2902,V$2,0)&lt;&gt;F166,"Beam Revised","")</f>
        <v>#N/A</v>
      </c>
      <c r="W166" s="7" t="e">
        <f>IF(VLOOKUP($A166,'Concrete Beam Schedule'!$A$2:$Q$2902,W$2,0)&lt;&gt;G166,"Beam Revised","")</f>
        <v>#N/A</v>
      </c>
      <c r="X166" s="7" t="e">
        <f>IF(VLOOKUP($A166,'Concrete Beam Schedule'!$A$2:$Q$2902,X$2,0)&lt;&gt;H166,"Beam Revised","")</f>
        <v>#N/A</v>
      </c>
      <c r="Y166" s="7" t="e">
        <f>IF(VLOOKUP($A166,'Concrete Beam Schedule'!$A$2:$Q$2902,Y$2,0)&lt;&gt;I166,"Beam Revised","")</f>
        <v>#N/A</v>
      </c>
      <c r="Z166" s="7" t="e">
        <f>IF(VLOOKUP($A166,'Concrete Beam Schedule'!$A$2:$Q$2902,Z$2,0)&lt;&gt;J166,"Beam Revised","")</f>
        <v>#N/A</v>
      </c>
      <c r="AA166" s="7" t="e">
        <f>IF(VLOOKUP($A166,'Concrete Beam Schedule'!$A$2:$Q$2902,AA$2,0)&lt;&gt;K166,"Beam Revised","")</f>
        <v>#N/A</v>
      </c>
      <c r="AB166" s="7" t="e">
        <f>IF(VLOOKUP($A166,'Concrete Beam Schedule'!$A$2:$Q$2902,AB$2,0)&lt;&gt;L166,"Beam Revised","")</f>
        <v>#N/A</v>
      </c>
      <c r="AC166" s="7" t="e">
        <f>IF(VLOOKUP($A166,'Concrete Beam Schedule'!$A$2:$Q$2902,AC$2,0)&lt;&gt;M166,"Beam Revised","")</f>
        <v>#N/A</v>
      </c>
      <c r="AD166" s="7" t="e">
        <f>IF(VLOOKUP($A166,'Concrete Beam Schedule'!$A$2:$Q$2902,AD$2,0)&lt;&gt;N166,"Beam Revised","")</f>
        <v>#N/A</v>
      </c>
      <c r="AE166" s="7" t="e">
        <f>IF(VLOOKUP($A166,'Concrete Beam Schedule'!$A$2:$Q$2902,AE$2,0)&lt;&gt;O166,"Beam Revised","")</f>
        <v>#N/A</v>
      </c>
    </row>
    <row r="167" spans="1:31" ht="25.5" customHeight="1" x14ac:dyDescent="0.25">
      <c r="A167" s="17"/>
      <c r="B167" s="17"/>
      <c r="C167" s="17"/>
      <c r="D167" s="17"/>
      <c r="E167" s="17"/>
      <c r="F167" s="17"/>
      <c r="G167" s="17"/>
      <c r="H167" s="17"/>
      <c r="I167" s="17"/>
      <c r="J167" s="17"/>
      <c r="K167" s="17"/>
      <c r="L167" s="17"/>
      <c r="M167" s="17"/>
      <c r="N167" s="17"/>
      <c r="O167" s="17"/>
      <c r="Q167" s="7">
        <f t="shared" si="2"/>
        <v>0</v>
      </c>
      <c r="R167" s="7" t="e">
        <f>IF(VLOOKUP($A167,'Concrete Beam Schedule'!$A$2:$Q$2902,R$2,0)&lt;&gt;B167,VLOOKUP($A167,'Concrete Beam Schedule'!$A$2:$Q$2902,R$2,0),"")</f>
        <v>#N/A</v>
      </c>
      <c r="S167" s="7" t="e">
        <f>IF(VLOOKUP($A167,'Concrete Beam Schedule'!$A$2:$Q$2902,S$2,0)&lt;&gt;C167,VLOOKUP($A167,'Concrete Beam Schedule'!$A$2:$Q$2902,S$2,0),"")</f>
        <v>#N/A</v>
      </c>
      <c r="T167" s="7" t="e">
        <f>IF(VLOOKUP($A167,'Concrete Beam Schedule'!$A$2:$Q$2902,T$2,0)&lt;&gt;D167,"Beam Revised","")</f>
        <v>#N/A</v>
      </c>
      <c r="U167" s="7" t="e">
        <f>IF(VLOOKUP($A167,'Concrete Beam Schedule'!$A$2:$Q$2902,U$2,0)&lt;&gt;E167,"Beam Revised","")</f>
        <v>#N/A</v>
      </c>
      <c r="V167" s="7" t="e">
        <f>IF(VLOOKUP($A167,'Concrete Beam Schedule'!$A$2:$Q$2902,V$2,0)&lt;&gt;F167,"Beam Revised","")</f>
        <v>#N/A</v>
      </c>
      <c r="W167" s="7" t="e">
        <f>IF(VLOOKUP($A167,'Concrete Beam Schedule'!$A$2:$Q$2902,W$2,0)&lt;&gt;G167,"Beam Revised","")</f>
        <v>#N/A</v>
      </c>
      <c r="X167" s="7" t="e">
        <f>IF(VLOOKUP($A167,'Concrete Beam Schedule'!$A$2:$Q$2902,X$2,0)&lt;&gt;H167,"Beam Revised","")</f>
        <v>#N/A</v>
      </c>
      <c r="Y167" s="7" t="e">
        <f>IF(VLOOKUP($A167,'Concrete Beam Schedule'!$A$2:$Q$2902,Y$2,0)&lt;&gt;I167,"Beam Revised","")</f>
        <v>#N/A</v>
      </c>
      <c r="Z167" s="7" t="e">
        <f>IF(VLOOKUP($A167,'Concrete Beam Schedule'!$A$2:$Q$2902,Z$2,0)&lt;&gt;J167,"Beam Revised","")</f>
        <v>#N/A</v>
      </c>
      <c r="AA167" s="7" t="e">
        <f>IF(VLOOKUP($A167,'Concrete Beam Schedule'!$A$2:$Q$2902,AA$2,0)&lt;&gt;K167,"Beam Revised","")</f>
        <v>#N/A</v>
      </c>
      <c r="AB167" s="7" t="e">
        <f>IF(VLOOKUP($A167,'Concrete Beam Schedule'!$A$2:$Q$2902,AB$2,0)&lt;&gt;L167,"Beam Revised","")</f>
        <v>#N/A</v>
      </c>
      <c r="AC167" s="7" t="e">
        <f>IF(VLOOKUP($A167,'Concrete Beam Schedule'!$A$2:$Q$2902,AC$2,0)&lt;&gt;M167,"Beam Revised","")</f>
        <v>#N/A</v>
      </c>
      <c r="AD167" s="7" t="e">
        <f>IF(VLOOKUP($A167,'Concrete Beam Schedule'!$A$2:$Q$2902,AD$2,0)&lt;&gt;N167,"Beam Revised","")</f>
        <v>#N/A</v>
      </c>
      <c r="AE167" s="7" t="e">
        <f>IF(VLOOKUP($A167,'Concrete Beam Schedule'!$A$2:$Q$2902,AE$2,0)&lt;&gt;O167,"Beam Revised","")</f>
        <v>#N/A</v>
      </c>
    </row>
    <row r="168" spans="1:31" ht="25.5" customHeight="1" x14ac:dyDescent="0.25">
      <c r="A168" s="17"/>
      <c r="B168" s="17"/>
      <c r="C168" s="17"/>
      <c r="D168" s="17"/>
      <c r="E168" s="17"/>
      <c r="F168" s="17"/>
      <c r="G168" s="17"/>
      <c r="H168" s="17"/>
      <c r="I168" s="17"/>
      <c r="J168" s="17"/>
      <c r="K168" s="17"/>
      <c r="L168" s="17"/>
      <c r="M168" s="17"/>
      <c r="N168" s="17"/>
      <c r="O168" s="17"/>
      <c r="Q168" s="7">
        <f t="shared" si="2"/>
        <v>0</v>
      </c>
      <c r="R168" s="7" t="e">
        <f>IF(VLOOKUP($A168,'Concrete Beam Schedule'!$A$2:$Q$2902,R$2,0)&lt;&gt;B168,VLOOKUP($A168,'Concrete Beam Schedule'!$A$2:$Q$2902,R$2,0),"")</f>
        <v>#N/A</v>
      </c>
      <c r="S168" s="7" t="e">
        <f>IF(VLOOKUP($A168,'Concrete Beam Schedule'!$A$2:$Q$2902,S$2,0)&lt;&gt;C168,VLOOKUP($A168,'Concrete Beam Schedule'!$A$2:$Q$2902,S$2,0),"")</f>
        <v>#N/A</v>
      </c>
      <c r="T168" s="7" t="e">
        <f>IF(VLOOKUP($A168,'Concrete Beam Schedule'!$A$2:$Q$2902,T$2,0)&lt;&gt;D168,"Beam Revised","")</f>
        <v>#N/A</v>
      </c>
      <c r="U168" s="7" t="e">
        <f>IF(VLOOKUP($A168,'Concrete Beam Schedule'!$A$2:$Q$2902,U$2,0)&lt;&gt;E168,"Beam Revised","")</f>
        <v>#N/A</v>
      </c>
      <c r="V168" s="7" t="e">
        <f>IF(VLOOKUP($A168,'Concrete Beam Schedule'!$A$2:$Q$2902,V$2,0)&lt;&gt;F168,"Beam Revised","")</f>
        <v>#N/A</v>
      </c>
      <c r="W168" s="7" t="e">
        <f>IF(VLOOKUP($A168,'Concrete Beam Schedule'!$A$2:$Q$2902,W$2,0)&lt;&gt;G168,"Beam Revised","")</f>
        <v>#N/A</v>
      </c>
      <c r="X168" s="7" t="e">
        <f>IF(VLOOKUP($A168,'Concrete Beam Schedule'!$A$2:$Q$2902,X$2,0)&lt;&gt;H168,"Beam Revised","")</f>
        <v>#N/A</v>
      </c>
      <c r="Y168" s="7" t="e">
        <f>IF(VLOOKUP($A168,'Concrete Beam Schedule'!$A$2:$Q$2902,Y$2,0)&lt;&gt;I168,"Beam Revised","")</f>
        <v>#N/A</v>
      </c>
      <c r="Z168" s="7" t="e">
        <f>IF(VLOOKUP($A168,'Concrete Beam Schedule'!$A$2:$Q$2902,Z$2,0)&lt;&gt;J168,"Beam Revised","")</f>
        <v>#N/A</v>
      </c>
      <c r="AA168" s="7" t="e">
        <f>IF(VLOOKUP($A168,'Concrete Beam Schedule'!$A$2:$Q$2902,AA$2,0)&lt;&gt;K168,"Beam Revised","")</f>
        <v>#N/A</v>
      </c>
      <c r="AB168" s="7" t="e">
        <f>IF(VLOOKUP($A168,'Concrete Beam Schedule'!$A$2:$Q$2902,AB$2,0)&lt;&gt;L168,"Beam Revised","")</f>
        <v>#N/A</v>
      </c>
      <c r="AC168" s="7" t="e">
        <f>IF(VLOOKUP($A168,'Concrete Beam Schedule'!$A$2:$Q$2902,AC$2,0)&lt;&gt;M168,"Beam Revised","")</f>
        <v>#N/A</v>
      </c>
      <c r="AD168" s="7" t="e">
        <f>IF(VLOOKUP($A168,'Concrete Beam Schedule'!$A$2:$Q$2902,AD$2,0)&lt;&gt;N168,"Beam Revised","")</f>
        <v>#N/A</v>
      </c>
      <c r="AE168" s="7" t="e">
        <f>IF(VLOOKUP($A168,'Concrete Beam Schedule'!$A$2:$Q$2902,AE$2,0)&lt;&gt;O168,"Beam Revised","")</f>
        <v>#N/A</v>
      </c>
    </row>
    <row r="169" spans="1:31" ht="25.5" customHeight="1" x14ac:dyDescent="0.25">
      <c r="A169" s="17"/>
      <c r="B169" s="17"/>
      <c r="C169" s="17"/>
      <c r="D169" s="17"/>
      <c r="E169" s="17"/>
      <c r="F169" s="17"/>
      <c r="G169" s="17"/>
      <c r="H169" s="17"/>
      <c r="I169" s="17"/>
      <c r="J169" s="17"/>
      <c r="K169" s="17"/>
      <c r="L169" s="17"/>
      <c r="M169" s="17"/>
      <c r="N169" s="17"/>
      <c r="O169" s="17"/>
      <c r="Q169" s="7">
        <f t="shared" si="2"/>
        <v>0</v>
      </c>
      <c r="R169" s="7" t="e">
        <f>IF(VLOOKUP($A169,'Concrete Beam Schedule'!$A$2:$Q$2902,R$2,0)&lt;&gt;B169,VLOOKUP($A169,'Concrete Beam Schedule'!$A$2:$Q$2902,R$2,0),"")</f>
        <v>#N/A</v>
      </c>
      <c r="S169" s="7" t="e">
        <f>IF(VLOOKUP($A169,'Concrete Beam Schedule'!$A$2:$Q$2902,S$2,0)&lt;&gt;C169,VLOOKUP($A169,'Concrete Beam Schedule'!$A$2:$Q$2902,S$2,0),"")</f>
        <v>#N/A</v>
      </c>
      <c r="T169" s="7" t="e">
        <f>IF(VLOOKUP($A169,'Concrete Beam Schedule'!$A$2:$Q$2902,T$2,0)&lt;&gt;D169,"Beam Revised","")</f>
        <v>#N/A</v>
      </c>
      <c r="U169" s="7" t="e">
        <f>IF(VLOOKUP($A169,'Concrete Beam Schedule'!$A$2:$Q$2902,U$2,0)&lt;&gt;E169,"Beam Revised","")</f>
        <v>#N/A</v>
      </c>
      <c r="V169" s="7" t="e">
        <f>IF(VLOOKUP($A169,'Concrete Beam Schedule'!$A$2:$Q$2902,V$2,0)&lt;&gt;F169,"Beam Revised","")</f>
        <v>#N/A</v>
      </c>
      <c r="W169" s="7" t="e">
        <f>IF(VLOOKUP($A169,'Concrete Beam Schedule'!$A$2:$Q$2902,W$2,0)&lt;&gt;G169,"Beam Revised","")</f>
        <v>#N/A</v>
      </c>
      <c r="X169" s="7" t="e">
        <f>IF(VLOOKUP($A169,'Concrete Beam Schedule'!$A$2:$Q$2902,X$2,0)&lt;&gt;H169,"Beam Revised","")</f>
        <v>#N/A</v>
      </c>
      <c r="Y169" s="7" t="e">
        <f>IF(VLOOKUP($A169,'Concrete Beam Schedule'!$A$2:$Q$2902,Y$2,0)&lt;&gt;I169,"Beam Revised","")</f>
        <v>#N/A</v>
      </c>
      <c r="Z169" s="7" t="e">
        <f>IF(VLOOKUP($A169,'Concrete Beam Schedule'!$A$2:$Q$2902,Z$2,0)&lt;&gt;J169,"Beam Revised","")</f>
        <v>#N/A</v>
      </c>
      <c r="AA169" s="7" t="e">
        <f>IF(VLOOKUP($A169,'Concrete Beam Schedule'!$A$2:$Q$2902,AA$2,0)&lt;&gt;K169,"Beam Revised","")</f>
        <v>#N/A</v>
      </c>
      <c r="AB169" s="7" t="e">
        <f>IF(VLOOKUP($A169,'Concrete Beam Schedule'!$A$2:$Q$2902,AB$2,0)&lt;&gt;L169,"Beam Revised","")</f>
        <v>#N/A</v>
      </c>
      <c r="AC169" s="7" t="e">
        <f>IF(VLOOKUP($A169,'Concrete Beam Schedule'!$A$2:$Q$2902,AC$2,0)&lt;&gt;M169,"Beam Revised","")</f>
        <v>#N/A</v>
      </c>
      <c r="AD169" s="7" t="e">
        <f>IF(VLOOKUP($A169,'Concrete Beam Schedule'!$A$2:$Q$2902,AD$2,0)&lt;&gt;N169,"Beam Revised","")</f>
        <v>#N/A</v>
      </c>
      <c r="AE169" s="7" t="e">
        <f>IF(VLOOKUP($A169,'Concrete Beam Schedule'!$A$2:$Q$2902,AE$2,0)&lt;&gt;O169,"Beam Revised","")</f>
        <v>#N/A</v>
      </c>
    </row>
    <row r="170" spans="1:31" ht="25.5" customHeight="1" x14ac:dyDescent="0.25">
      <c r="A170" s="17"/>
      <c r="B170" s="17"/>
      <c r="C170" s="17"/>
      <c r="D170" s="17"/>
      <c r="E170" s="17"/>
      <c r="F170" s="17"/>
      <c r="G170" s="17"/>
      <c r="H170" s="17"/>
      <c r="I170" s="17"/>
      <c r="J170" s="17"/>
      <c r="K170" s="17"/>
      <c r="L170" s="17"/>
      <c r="M170" s="17"/>
      <c r="N170" s="17"/>
      <c r="O170" s="17"/>
      <c r="Q170" s="7">
        <f t="shared" si="2"/>
        <v>0</v>
      </c>
      <c r="R170" s="7" t="e">
        <f>IF(VLOOKUP($A170,'Concrete Beam Schedule'!$A$2:$Q$2902,R$2,0)&lt;&gt;B170,VLOOKUP($A170,'Concrete Beam Schedule'!$A$2:$Q$2902,R$2,0),"")</f>
        <v>#N/A</v>
      </c>
      <c r="S170" s="7" t="e">
        <f>IF(VLOOKUP($A170,'Concrete Beam Schedule'!$A$2:$Q$2902,S$2,0)&lt;&gt;C170,VLOOKUP($A170,'Concrete Beam Schedule'!$A$2:$Q$2902,S$2,0),"")</f>
        <v>#N/A</v>
      </c>
      <c r="T170" s="7" t="e">
        <f>IF(VLOOKUP($A170,'Concrete Beam Schedule'!$A$2:$Q$2902,T$2,0)&lt;&gt;D170,"Beam Revised","")</f>
        <v>#N/A</v>
      </c>
      <c r="U170" s="7" t="e">
        <f>IF(VLOOKUP($A170,'Concrete Beam Schedule'!$A$2:$Q$2902,U$2,0)&lt;&gt;E170,"Beam Revised","")</f>
        <v>#N/A</v>
      </c>
      <c r="V170" s="7" t="e">
        <f>IF(VLOOKUP($A170,'Concrete Beam Schedule'!$A$2:$Q$2902,V$2,0)&lt;&gt;F170,"Beam Revised","")</f>
        <v>#N/A</v>
      </c>
      <c r="W170" s="7" t="e">
        <f>IF(VLOOKUP($A170,'Concrete Beam Schedule'!$A$2:$Q$2902,W$2,0)&lt;&gt;G170,"Beam Revised","")</f>
        <v>#N/A</v>
      </c>
      <c r="X170" s="7" t="e">
        <f>IF(VLOOKUP($A170,'Concrete Beam Schedule'!$A$2:$Q$2902,X$2,0)&lt;&gt;H170,"Beam Revised","")</f>
        <v>#N/A</v>
      </c>
      <c r="Y170" s="7" t="e">
        <f>IF(VLOOKUP($A170,'Concrete Beam Schedule'!$A$2:$Q$2902,Y$2,0)&lt;&gt;I170,"Beam Revised","")</f>
        <v>#N/A</v>
      </c>
      <c r="Z170" s="7" t="e">
        <f>IF(VLOOKUP($A170,'Concrete Beam Schedule'!$A$2:$Q$2902,Z$2,0)&lt;&gt;J170,"Beam Revised","")</f>
        <v>#N/A</v>
      </c>
      <c r="AA170" s="7" t="e">
        <f>IF(VLOOKUP($A170,'Concrete Beam Schedule'!$A$2:$Q$2902,AA$2,0)&lt;&gt;K170,"Beam Revised","")</f>
        <v>#N/A</v>
      </c>
      <c r="AB170" s="7" t="e">
        <f>IF(VLOOKUP($A170,'Concrete Beam Schedule'!$A$2:$Q$2902,AB$2,0)&lt;&gt;L170,"Beam Revised","")</f>
        <v>#N/A</v>
      </c>
      <c r="AC170" s="7" t="e">
        <f>IF(VLOOKUP($A170,'Concrete Beam Schedule'!$A$2:$Q$2902,AC$2,0)&lt;&gt;M170,"Beam Revised","")</f>
        <v>#N/A</v>
      </c>
      <c r="AD170" s="7" t="e">
        <f>IF(VLOOKUP($A170,'Concrete Beam Schedule'!$A$2:$Q$2902,AD$2,0)&lt;&gt;N170,"Beam Revised","")</f>
        <v>#N/A</v>
      </c>
      <c r="AE170" s="7" t="e">
        <f>IF(VLOOKUP($A170,'Concrete Beam Schedule'!$A$2:$Q$2902,AE$2,0)&lt;&gt;O170,"Beam Revised","")</f>
        <v>#N/A</v>
      </c>
    </row>
    <row r="171" spans="1:31" ht="25.5" customHeight="1" x14ac:dyDescent="0.25">
      <c r="A171" s="17"/>
      <c r="B171" s="17"/>
      <c r="C171" s="17"/>
      <c r="D171" s="17"/>
      <c r="E171" s="17"/>
      <c r="F171" s="17"/>
      <c r="G171" s="17"/>
      <c r="H171" s="17"/>
      <c r="I171" s="17"/>
      <c r="J171" s="17"/>
      <c r="K171" s="17"/>
      <c r="L171" s="17"/>
      <c r="M171" s="17"/>
      <c r="N171" s="17"/>
      <c r="O171" s="17"/>
      <c r="Q171" s="7">
        <f t="shared" si="2"/>
        <v>0</v>
      </c>
      <c r="R171" s="7" t="e">
        <f>IF(VLOOKUP($A171,'Concrete Beam Schedule'!$A$2:$Q$2902,R$2,0)&lt;&gt;B171,VLOOKUP($A171,'Concrete Beam Schedule'!$A$2:$Q$2902,R$2,0),"")</f>
        <v>#N/A</v>
      </c>
      <c r="S171" s="7" t="e">
        <f>IF(VLOOKUP($A171,'Concrete Beam Schedule'!$A$2:$Q$2902,S$2,0)&lt;&gt;C171,VLOOKUP($A171,'Concrete Beam Schedule'!$A$2:$Q$2902,S$2,0),"")</f>
        <v>#N/A</v>
      </c>
      <c r="T171" s="7" t="e">
        <f>IF(VLOOKUP($A171,'Concrete Beam Schedule'!$A$2:$Q$2902,T$2,0)&lt;&gt;D171,"Beam Revised","")</f>
        <v>#N/A</v>
      </c>
      <c r="U171" s="7" t="e">
        <f>IF(VLOOKUP($A171,'Concrete Beam Schedule'!$A$2:$Q$2902,U$2,0)&lt;&gt;E171,"Beam Revised","")</f>
        <v>#N/A</v>
      </c>
      <c r="V171" s="7" t="e">
        <f>IF(VLOOKUP($A171,'Concrete Beam Schedule'!$A$2:$Q$2902,V$2,0)&lt;&gt;F171,"Beam Revised","")</f>
        <v>#N/A</v>
      </c>
      <c r="W171" s="7" t="e">
        <f>IF(VLOOKUP($A171,'Concrete Beam Schedule'!$A$2:$Q$2902,W$2,0)&lt;&gt;G171,"Beam Revised","")</f>
        <v>#N/A</v>
      </c>
      <c r="X171" s="7" t="e">
        <f>IF(VLOOKUP($A171,'Concrete Beam Schedule'!$A$2:$Q$2902,X$2,0)&lt;&gt;H171,"Beam Revised","")</f>
        <v>#N/A</v>
      </c>
      <c r="Y171" s="7" t="e">
        <f>IF(VLOOKUP($A171,'Concrete Beam Schedule'!$A$2:$Q$2902,Y$2,0)&lt;&gt;I171,"Beam Revised","")</f>
        <v>#N/A</v>
      </c>
      <c r="Z171" s="7" t="e">
        <f>IF(VLOOKUP($A171,'Concrete Beam Schedule'!$A$2:$Q$2902,Z$2,0)&lt;&gt;J171,"Beam Revised","")</f>
        <v>#N/A</v>
      </c>
      <c r="AA171" s="7" t="e">
        <f>IF(VLOOKUP($A171,'Concrete Beam Schedule'!$A$2:$Q$2902,AA$2,0)&lt;&gt;K171,"Beam Revised","")</f>
        <v>#N/A</v>
      </c>
      <c r="AB171" s="7" t="e">
        <f>IF(VLOOKUP($A171,'Concrete Beam Schedule'!$A$2:$Q$2902,AB$2,0)&lt;&gt;L171,"Beam Revised","")</f>
        <v>#N/A</v>
      </c>
      <c r="AC171" s="7" t="e">
        <f>IF(VLOOKUP($A171,'Concrete Beam Schedule'!$A$2:$Q$2902,AC$2,0)&lt;&gt;M171,"Beam Revised","")</f>
        <v>#N/A</v>
      </c>
      <c r="AD171" s="7" t="e">
        <f>IF(VLOOKUP($A171,'Concrete Beam Schedule'!$A$2:$Q$2902,AD$2,0)&lt;&gt;N171,"Beam Revised","")</f>
        <v>#N/A</v>
      </c>
      <c r="AE171" s="7" t="e">
        <f>IF(VLOOKUP($A171,'Concrete Beam Schedule'!$A$2:$Q$2902,AE$2,0)&lt;&gt;O171,"Beam Revised","")</f>
        <v>#N/A</v>
      </c>
    </row>
    <row r="172" spans="1:31" ht="25.5" customHeight="1" x14ac:dyDescent="0.25">
      <c r="A172" s="17"/>
      <c r="B172" s="17"/>
      <c r="C172" s="17"/>
      <c r="D172" s="17"/>
      <c r="E172" s="17"/>
      <c r="F172" s="17"/>
      <c r="G172" s="17"/>
      <c r="H172" s="17"/>
      <c r="I172" s="17"/>
      <c r="J172" s="17"/>
      <c r="K172" s="17"/>
      <c r="L172" s="17"/>
      <c r="M172" s="17"/>
      <c r="N172" s="17"/>
      <c r="O172" s="17"/>
      <c r="Q172" s="7">
        <f t="shared" si="2"/>
        <v>0</v>
      </c>
      <c r="R172" s="7" t="e">
        <f>IF(VLOOKUP($A172,'Concrete Beam Schedule'!$A$2:$Q$2902,R$2,0)&lt;&gt;B172,VLOOKUP($A172,'Concrete Beam Schedule'!$A$2:$Q$2902,R$2,0),"")</f>
        <v>#N/A</v>
      </c>
      <c r="S172" s="7" t="e">
        <f>IF(VLOOKUP($A172,'Concrete Beam Schedule'!$A$2:$Q$2902,S$2,0)&lt;&gt;C172,VLOOKUP($A172,'Concrete Beam Schedule'!$A$2:$Q$2902,S$2,0),"")</f>
        <v>#N/A</v>
      </c>
      <c r="T172" s="7" t="e">
        <f>IF(VLOOKUP($A172,'Concrete Beam Schedule'!$A$2:$Q$2902,T$2,0)&lt;&gt;D172,"Beam Revised","")</f>
        <v>#N/A</v>
      </c>
      <c r="U172" s="7" t="e">
        <f>IF(VLOOKUP($A172,'Concrete Beam Schedule'!$A$2:$Q$2902,U$2,0)&lt;&gt;E172,"Beam Revised","")</f>
        <v>#N/A</v>
      </c>
      <c r="V172" s="7" t="e">
        <f>IF(VLOOKUP($A172,'Concrete Beam Schedule'!$A$2:$Q$2902,V$2,0)&lt;&gt;F172,"Beam Revised","")</f>
        <v>#N/A</v>
      </c>
      <c r="W172" s="7" t="e">
        <f>IF(VLOOKUP($A172,'Concrete Beam Schedule'!$A$2:$Q$2902,W$2,0)&lt;&gt;G172,"Beam Revised","")</f>
        <v>#N/A</v>
      </c>
      <c r="X172" s="7" t="e">
        <f>IF(VLOOKUP($A172,'Concrete Beam Schedule'!$A$2:$Q$2902,X$2,0)&lt;&gt;H172,"Beam Revised","")</f>
        <v>#N/A</v>
      </c>
      <c r="Y172" s="7" t="e">
        <f>IF(VLOOKUP($A172,'Concrete Beam Schedule'!$A$2:$Q$2902,Y$2,0)&lt;&gt;I172,"Beam Revised","")</f>
        <v>#N/A</v>
      </c>
      <c r="Z172" s="7" t="e">
        <f>IF(VLOOKUP($A172,'Concrete Beam Schedule'!$A$2:$Q$2902,Z$2,0)&lt;&gt;J172,"Beam Revised","")</f>
        <v>#N/A</v>
      </c>
      <c r="AA172" s="7" t="e">
        <f>IF(VLOOKUP($A172,'Concrete Beam Schedule'!$A$2:$Q$2902,AA$2,0)&lt;&gt;K172,"Beam Revised","")</f>
        <v>#N/A</v>
      </c>
      <c r="AB172" s="7" t="e">
        <f>IF(VLOOKUP($A172,'Concrete Beam Schedule'!$A$2:$Q$2902,AB$2,0)&lt;&gt;L172,"Beam Revised","")</f>
        <v>#N/A</v>
      </c>
      <c r="AC172" s="7" t="e">
        <f>IF(VLOOKUP($A172,'Concrete Beam Schedule'!$A$2:$Q$2902,AC$2,0)&lt;&gt;M172,"Beam Revised","")</f>
        <v>#N/A</v>
      </c>
      <c r="AD172" s="7" t="e">
        <f>IF(VLOOKUP($A172,'Concrete Beam Schedule'!$A$2:$Q$2902,AD$2,0)&lt;&gt;N172,"Beam Revised","")</f>
        <v>#N/A</v>
      </c>
      <c r="AE172" s="7" t="e">
        <f>IF(VLOOKUP($A172,'Concrete Beam Schedule'!$A$2:$Q$2902,AE$2,0)&lt;&gt;O172,"Beam Revised","")</f>
        <v>#N/A</v>
      </c>
    </row>
    <row r="173" spans="1:31" ht="25.5" customHeight="1" x14ac:dyDescent="0.25">
      <c r="A173" s="17"/>
      <c r="B173" s="17"/>
      <c r="C173" s="17"/>
      <c r="D173" s="17"/>
      <c r="E173" s="17"/>
      <c r="F173" s="17"/>
      <c r="G173" s="17"/>
      <c r="H173" s="17"/>
      <c r="I173" s="17"/>
      <c r="J173" s="17"/>
      <c r="K173" s="17"/>
      <c r="L173" s="17"/>
      <c r="M173" s="17"/>
      <c r="N173" s="17"/>
      <c r="O173" s="17"/>
      <c r="Q173" s="7">
        <f t="shared" si="2"/>
        <v>0</v>
      </c>
      <c r="R173" s="7" t="e">
        <f>IF(VLOOKUP($A173,'Concrete Beam Schedule'!$A$2:$Q$2902,R$2,0)&lt;&gt;B173,VLOOKUP($A173,'Concrete Beam Schedule'!$A$2:$Q$2902,R$2,0),"")</f>
        <v>#N/A</v>
      </c>
      <c r="S173" s="7" t="e">
        <f>IF(VLOOKUP($A173,'Concrete Beam Schedule'!$A$2:$Q$2902,S$2,0)&lt;&gt;C173,VLOOKUP($A173,'Concrete Beam Schedule'!$A$2:$Q$2902,S$2,0),"")</f>
        <v>#N/A</v>
      </c>
      <c r="T173" s="7" t="e">
        <f>IF(VLOOKUP($A173,'Concrete Beam Schedule'!$A$2:$Q$2902,T$2,0)&lt;&gt;D173,"Beam Revised","")</f>
        <v>#N/A</v>
      </c>
      <c r="U173" s="7" t="e">
        <f>IF(VLOOKUP($A173,'Concrete Beam Schedule'!$A$2:$Q$2902,U$2,0)&lt;&gt;E173,"Beam Revised","")</f>
        <v>#N/A</v>
      </c>
      <c r="V173" s="7" t="e">
        <f>IF(VLOOKUP($A173,'Concrete Beam Schedule'!$A$2:$Q$2902,V$2,0)&lt;&gt;F173,"Beam Revised","")</f>
        <v>#N/A</v>
      </c>
      <c r="W173" s="7" t="e">
        <f>IF(VLOOKUP($A173,'Concrete Beam Schedule'!$A$2:$Q$2902,W$2,0)&lt;&gt;G173,"Beam Revised","")</f>
        <v>#N/A</v>
      </c>
      <c r="X173" s="7" t="e">
        <f>IF(VLOOKUP($A173,'Concrete Beam Schedule'!$A$2:$Q$2902,X$2,0)&lt;&gt;H173,"Beam Revised","")</f>
        <v>#N/A</v>
      </c>
      <c r="Y173" s="7" t="e">
        <f>IF(VLOOKUP($A173,'Concrete Beam Schedule'!$A$2:$Q$2902,Y$2,0)&lt;&gt;I173,"Beam Revised","")</f>
        <v>#N/A</v>
      </c>
      <c r="Z173" s="7" t="e">
        <f>IF(VLOOKUP($A173,'Concrete Beam Schedule'!$A$2:$Q$2902,Z$2,0)&lt;&gt;J173,"Beam Revised","")</f>
        <v>#N/A</v>
      </c>
      <c r="AA173" s="7" t="e">
        <f>IF(VLOOKUP($A173,'Concrete Beam Schedule'!$A$2:$Q$2902,AA$2,0)&lt;&gt;K173,"Beam Revised","")</f>
        <v>#N/A</v>
      </c>
      <c r="AB173" s="7" t="e">
        <f>IF(VLOOKUP($A173,'Concrete Beam Schedule'!$A$2:$Q$2902,AB$2,0)&lt;&gt;L173,"Beam Revised","")</f>
        <v>#N/A</v>
      </c>
      <c r="AC173" s="7" t="e">
        <f>IF(VLOOKUP($A173,'Concrete Beam Schedule'!$A$2:$Q$2902,AC$2,0)&lt;&gt;M173,"Beam Revised","")</f>
        <v>#N/A</v>
      </c>
      <c r="AD173" s="7" t="e">
        <f>IF(VLOOKUP($A173,'Concrete Beam Schedule'!$A$2:$Q$2902,AD$2,0)&lt;&gt;N173,"Beam Revised","")</f>
        <v>#N/A</v>
      </c>
      <c r="AE173" s="7" t="e">
        <f>IF(VLOOKUP($A173,'Concrete Beam Schedule'!$A$2:$Q$2902,AE$2,0)&lt;&gt;O173,"Beam Revised","")</f>
        <v>#N/A</v>
      </c>
    </row>
    <row r="174" spans="1:31" ht="25.5" customHeight="1" x14ac:dyDescent="0.25">
      <c r="A174" s="17"/>
      <c r="B174" s="17"/>
      <c r="C174" s="17"/>
      <c r="D174" s="17"/>
      <c r="E174" s="17"/>
      <c r="F174" s="17"/>
      <c r="G174" s="17"/>
      <c r="H174" s="17"/>
      <c r="I174" s="17"/>
      <c r="J174" s="17"/>
      <c r="K174" s="17"/>
      <c r="L174" s="17"/>
      <c r="M174" s="17"/>
      <c r="N174" s="17"/>
      <c r="O174" s="17"/>
      <c r="Q174" s="7">
        <f t="shared" si="2"/>
        <v>0</v>
      </c>
      <c r="R174" s="7" t="e">
        <f>IF(VLOOKUP($A174,'Concrete Beam Schedule'!$A$2:$Q$2902,R$2,0)&lt;&gt;B174,VLOOKUP($A174,'Concrete Beam Schedule'!$A$2:$Q$2902,R$2,0),"")</f>
        <v>#N/A</v>
      </c>
      <c r="S174" s="7" t="e">
        <f>IF(VLOOKUP($A174,'Concrete Beam Schedule'!$A$2:$Q$2902,S$2,0)&lt;&gt;C174,VLOOKUP($A174,'Concrete Beam Schedule'!$A$2:$Q$2902,S$2,0),"")</f>
        <v>#N/A</v>
      </c>
      <c r="T174" s="7" t="e">
        <f>IF(VLOOKUP($A174,'Concrete Beam Schedule'!$A$2:$Q$2902,T$2,0)&lt;&gt;D174,"Beam Revised","")</f>
        <v>#N/A</v>
      </c>
      <c r="U174" s="7" t="e">
        <f>IF(VLOOKUP($A174,'Concrete Beam Schedule'!$A$2:$Q$2902,U$2,0)&lt;&gt;E174,"Beam Revised","")</f>
        <v>#N/A</v>
      </c>
      <c r="V174" s="7" t="e">
        <f>IF(VLOOKUP($A174,'Concrete Beam Schedule'!$A$2:$Q$2902,V$2,0)&lt;&gt;F174,"Beam Revised","")</f>
        <v>#N/A</v>
      </c>
      <c r="W174" s="7" t="e">
        <f>IF(VLOOKUP($A174,'Concrete Beam Schedule'!$A$2:$Q$2902,W$2,0)&lt;&gt;G174,"Beam Revised","")</f>
        <v>#N/A</v>
      </c>
      <c r="X174" s="7" t="e">
        <f>IF(VLOOKUP($A174,'Concrete Beam Schedule'!$A$2:$Q$2902,X$2,0)&lt;&gt;H174,"Beam Revised","")</f>
        <v>#N/A</v>
      </c>
      <c r="Y174" s="7" t="e">
        <f>IF(VLOOKUP($A174,'Concrete Beam Schedule'!$A$2:$Q$2902,Y$2,0)&lt;&gt;I174,"Beam Revised","")</f>
        <v>#N/A</v>
      </c>
      <c r="Z174" s="7" t="e">
        <f>IF(VLOOKUP($A174,'Concrete Beam Schedule'!$A$2:$Q$2902,Z$2,0)&lt;&gt;J174,"Beam Revised","")</f>
        <v>#N/A</v>
      </c>
      <c r="AA174" s="7" t="e">
        <f>IF(VLOOKUP($A174,'Concrete Beam Schedule'!$A$2:$Q$2902,AA$2,0)&lt;&gt;K174,"Beam Revised","")</f>
        <v>#N/A</v>
      </c>
      <c r="AB174" s="7" t="e">
        <f>IF(VLOOKUP($A174,'Concrete Beam Schedule'!$A$2:$Q$2902,AB$2,0)&lt;&gt;L174,"Beam Revised","")</f>
        <v>#N/A</v>
      </c>
      <c r="AC174" s="7" t="e">
        <f>IF(VLOOKUP($A174,'Concrete Beam Schedule'!$A$2:$Q$2902,AC$2,0)&lt;&gt;M174,"Beam Revised","")</f>
        <v>#N/A</v>
      </c>
      <c r="AD174" s="7" t="e">
        <f>IF(VLOOKUP($A174,'Concrete Beam Schedule'!$A$2:$Q$2902,AD$2,0)&lt;&gt;N174,"Beam Revised","")</f>
        <v>#N/A</v>
      </c>
      <c r="AE174" s="7" t="e">
        <f>IF(VLOOKUP($A174,'Concrete Beam Schedule'!$A$2:$Q$2902,AE$2,0)&lt;&gt;O174,"Beam Revised","")</f>
        <v>#N/A</v>
      </c>
    </row>
    <row r="175" spans="1:31" ht="25.5" customHeight="1" x14ac:dyDescent="0.25">
      <c r="A175" s="17"/>
      <c r="B175" s="17"/>
      <c r="C175" s="17"/>
      <c r="D175" s="17"/>
      <c r="E175" s="17"/>
      <c r="F175" s="17"/>
      <c r="G175" s="17"/>
      <c r="H175" s="17"/>
      <c r="I175" s="17"/>
      <c r="J175" s="17"/>
      <c r="K175" s="17"/>
      <c r="L175" s="17"/>
      <c r="M175" s="17"/>
      <c r="N175" s="17"/>
      <c r="O175" s="17"/>
      <c r="Q175" s="7">
        <f t="shared" si="2"/>
        <v>0</v>
      </c>
      <c r="R175" s="7" t="e">
        <f>IF(VLOOKUP($A175,'Concrete Beam Schedule'!$A$2:$Q$2902,R$2,0)&lt;&gt;B175,VLOOKUP($A175,'Concrete Beam Schedule'!$A$2:$Q$2902,R$2,0),"")</f>
        <v>#N/A</v>
      </c>
      <c r="S175" s="7" t="e">
        <f>IF(VLOOKUP($A175,'Concrete Beam Schedule'!$A$2:$Q$2902,S$2,0)&lt;&gt;C175,VLOOKUP($A175,'Concrete Beam Schedule'!$A$2:$Q$2902,S$2,0),"")</f>
        <v>#N/A</v>
      </c>
      <c r="T175" s="7" t="e">
        <f>IF(VLOOKUP($A175,'Concrete Beam Schedule'!$A$2:$Q$2902,T$2,0)&lt;&gt;D175,"Beam Revised","")</f>
        <v>#N/A</v>
      </c>
      <c r="U175" s="7" t="e">
        <f>IF(VLOOKUP($A175,'Concrete Beam Schedule'!$A$2:$Q$2902,U$2,0)&lt;&gt;E175,"Beam Revised","")</f>
        <v>#N/A</v>
      </c>
      <c r="V175" s="7" t="e">
        <f>IF(VLOOKUP($A175,'Concrete Beam Schedule'!$A$2:$Q$2902,V$2,0)&lt;&gt;F175,"Beam Revised","")</f>
        <v>#N/A</v>
      </c>
      <c r="W175" s="7" t="e">
        <f>IF(VLOOKUP($A175,'Concrete Beam Schedule'!$A$2:$Q$2902,W$2,0)&lt;&gt;G175,"Beam Revised","")</f>
        <v>#N/A</v>
      </c>
      <c r="X175" s="7" t="e">
        <f>IF(VLOOKUP($A175,'Concrete Beam Schedule'!$A$2:$Q$2902,X$2,0)&lt;&gt;H175,"Beam Revised","")</f>
        <v>#N/A</v>
      </c>
      <c r="Y175" s="7" t="e">
        <f>IF(VLOOKUP($A175,'Concrete Beam Schedule'!$A$2:$Q$2902,Y$2,0)&lt;&gt;I175,"Beam Revised","")</f>
        <v>#N/A</v>
      </c>
      <c r="Z175" s="7" t="e">
        <f>IF(VLOOKUP($A175,'Concrete Beam Schedule'!$A$2:$Q$2902,Z$2,0)&lt;&gt;J175,"Beam Revised","")</f>
        <v>#N/A</v>
      </c>
      <c r="AA175" s="7" t="e">
        <f>IF(VLOOKUP($A175,'Concrete Beam Schedule'!$A$2:$Q$2902,AA$2,0)&lt;&gt;K175,"Beam Revised","")</f>
        <v>#N/A</v>
      </c>
      <c r="AB175" s="7" t="e">
        <f>IF(VLOOKUP($A175,'Concrete Beam Schedule'!$A$2:$Q$2902,AB$2,0)&lt;&gt;L175,"Beam Revised","")</f>
        <v>#N/A</v>
      </c>
      <c r="AC175" s="7" t="e">
        <f>IF(VLOOKUP($A175,'Concrete Beam Schedule'!$A$2:$Q$2902,AC$2,0)&lt;&gt;M175,"Beam Revised","")</f>
        <v>#N/A</v>
      </c>
      <c r="AD175" s="7" t="e">
        <f>IF(VLOOKUP($A175,'Concrete Beam Schedule'!$A$2:$Q$2902,AD$2,0)&lt;&gt;N175,"Beam Revised","")</f>
        <v>#N/A</v>
      </c>
      <c r="AE175" s="7" t="e">
        <f>IF(VLOOKUP($A175,'Concrete Beam Schedule'!$A$2:$Q$2902,AE$2,0)&lt;&gt;O175,"Beam Revised","")</f>
        <v>#N/A</v>
      </c>
    </row>
    <row r="176" spans="1:31" ht="25.5" customHeight="1" x14ac:dyDescent="0.25">
      <c r="A176" s="17"/>
      <c r="B176" s="17"/>
      <c r="C176" s="17"/>
      <c r="D176" s="17"/>
      <c r="E176" s="17"/>
      <c r="F176" s="17"/>
      <c r="G176" s="17"/>
      <c r="H176" s="17"/>
      <c r="I176" s="17"/>
      <c r="J176" s="17"/>
      <c r="K176" s="17"/>
      <c r="L176" s="17"/>
      <c r="M176" s="17"/>
      <c r="N176" s="17"/>
      <c r="O176" s="17"/>
      <c r="Q176" s="7">
        <f t="shared" si="2"/>
        <v>0</v>
      </c>
      <c r="R176" s="7" t="e">
        <f>IF(VLOOKUP($A176,'Concrete Beam Schedule'!$A$2:$Q$2902,R$2,0)&lt;&gt;B176,VLOOKUP($A176,'Concrete Beam Schedule'!$A$2:$Q$2902,R$2,0),"")</f>
        <v>#N/A</v>
      </c>
      <c r="S176" s="7" t="e">
        <f>IF(VLOOKUP($A176,'Concrete Beam Schedule'!$A$2:$Q$2902,S$2,0)&lt;&gt;C176,VLOOKUP($A176,'Concrete Beam Schedule'!$A$2:$Q$2902,S$2,0),"")</f>
        <v>#N/A</v>
      </c>
      <c r="T176" s="7" t="e">
        <f>IF(VLOOKUP($A176,'Concrete Beam Schedule'!$A$2:$Q$2902,T$2,0)&lt;&gt;D176,"Beam Revised","")</f>
        <v>#N/A</v>
      </c>
      <c r="U176" s="7" t="e">
        <f>IF(VLOOKUP($A176,'Concrete Beam Schedule'!$A$2:$Q$2902,U$2,0)&lt;&gt;E176,"Beam Revised","")</f>
        <v>#N/A</v>
      </c>
      <c r="V176" s="7" t="e">
        <f>IF(VLOOKUP($A176,'Concrete Beam Schedule'!$A$2:$Q$2902,V$2,0)&lt;&gt;F176,"Beam Revised","")</f>
        <v>#N/A</v>
      </c>
      <c r="W176" s="7" t="e">
        <f>IF(VLOOKUP($A176,'Concrete Beam Schedule'!$A$2:$Q$2902,W$2,0)&lt;&gt;G176,"Beam Revised","")</f>
        <v>#N/A</v>
      </c>
      <c r="X176" s="7" t="e">
        <f>IF(VLOOKUP($A176,'Concrete Beam Schedule'!$A$2:$Q$2902,X$2,0)&lt;&gt;H176,"Beam Revised","")</f>
        <v>#N/A</v>
      </c>
      <c r="Y176" s="7" t="e">
        <f>IF(VLOOKUP($A176,'Concrete Beam Schedule'!$A$2:$Q$2902,Y$2,0)&lt;&gt;I176,"Beam Revised","")</f>
        <v>#N/A</v>
      </c>
      <c r="Z176" s="7" t="e">
        <f>IF(VLOOKUP($A176,'Concrete Beam Schedule'!$A$2:$Q$2902,Z$2,0)&lt;&gt;J176,"Beam Revised","")</f>
        <v>#N/A</v>
      </c>
      <c r="AA176" s="7" t="e">
        <f>IF(VLOOKUP($A176,'Concrete Beam Schedule'!$A$2:$Q$2902,AA$2,0)&lt;&gt;K176,"Beam Revised","")</f>
        <v>#N/A</v>
      </c>
      <c r="AB176" s="7" t="e">
        <f>IF(VLOOKUP($A176,'Concrete Beam Schedule'!$A$2:$Q$2902,AB$2,0)&lt;&gt;L176,"Beam Revised","")</f>
        <v>#N/A</v>
      </c>
      <c r="AC176" s="7" t="e">
        <f>IF(VLOOKUP($A176,'Concrete Beam Schedule'!$A$2:$Q$2902,AC$2,0)&lt;&gt;M176,"Beam Revised","")</f>
        <v>#N/A</v>
      </c>
      <c r="AD176" s="7" t="e">
        <f>IF(VLOOKUP($A176,'Concrete Beam Schedule'!$A$2:$Q$2902,AD$2,0)&lt;&gt;N176,"Beam Revised","")</f>
        <v>#N/A</v>
      </c>
      <c r="AE176" s="7" t="e">
        <f>IF(VLOOKUP($A176,'Concrete Beam Schedule'!$A$2:$Q$2902,AE$2,0)&lt;&gt;O176,"Beam Revised","")</f>
        <v>#N/A</v>
      </c>
    </row>
    <row r="177" spans="1:31" ht="25.5" customHeight="1" x14ac:dyDescent="0.25">
      <c r="A177" s="17"/>
      <c r="B177" s="17"/>
      <c r="C177" s="17"/>
      <c r="D177" s="17"/>
      <c r="E177" s="17"/>
      <c r="F177" s="17"/>
      <c r="G177" s="17"/>
      <c r="H177" s="17"/>
      <c r="I177" s="17"/>
      <c r="J177" s="17"/>
      <c r="K177" s="17"/>
      <c r="L177" s="17"/>
      <c r="M177" s="17"/>
      <c r="N177" s="17"/>
      <c r="O177" s="17"/>
      <c r="Q177" s="7">
        <f t="shared" si="2"/>
        <v>0</v>
      </c>
      <c r="R177" s="7" t="e">
        <f>IF(VLOOKUP($A177,'Concrete Beam Schedule'!$A$2:$Q$2902,R$2,0)&lt;&gt;B177,VLOOKUP($A177,'Concrete Beam Schedule'!$A$2:$Q$2902,R$2,0),"")</f>
        <v>#N/A</v>
      </c>
      <c r="S177" s="7" t="e">
        <f>IF(VLOOKUP($A177,'Concrete Beam Schedule'!$A$2:$Q$2902,S$2,0)&lt;&gt;C177,VLOOKUP($A177,'Concrete Beam Schedule'!$A$2:$Q$2902,S$2,0),"")</f>
        <v>#N/A</v>
      </c>
      <c r="T177" s="7" t="e">
        <f>IF(VLOOKUP($A177,'Concrete Beam Schedule'!$A$2:$Q$2902,T$2,0)&lt;&gt;D177,"Beam Revised","")</f>
        <v>#N/A</v>
      </c>
      <c r="U177" s="7" t="e">
        <f>IF(VLOOKUP($A177,'Concrete Beam Schedule'!$A$2:$Q$2902,U$2,0)&lt;&gt;E177,"Beam Revised","")</f>
        <v>#N/A</v>
      </c>
      <c r="V177" s="7" t="e">
        <f>IF(VLOOKUP($A177,'Concrete Beam Schedule'!$A$2:$Q$2902,V$2,0)&lt;&gt;F177,"Beam Revised","")</f>
        <v>#N/A</v>
      </c>
      <c r="W177" s="7" t="e">
        <f>IF(VLOOKUP($A177,'Concrete Beam Schedule'!$A$2:$Q$2902,W$2,0)&lt;&gt;G177,"Beam Revised","")</f>
        <v>#N/A</v>
      </c>
      <c r="X177" s="7" t="e">
        <f>IF(VLOOKUP($A177,'Concrete Beam Schedule'!$A$2:$Q$2902,X$2,0)&lt;&gt;H177,"Beam Revised","")</f>
        <v>#N/A</v>
      </c>
      <c r="Y177" s="7" t="e">
        <f>IF(VLOOKUP($A177,'Concrete Beam Schedule'!$A$2:$Q$2902,Y$2,0)&lt;&gt;I177,"Beam Revised","")</f>
        <v>#N/A</v>
      </c>
      <c r="Z177" s="7" t="e">
        <f>IF(VLOOKUP($A177,'Concrete Beam Schedule'!$A$2:$Q$2902,Z$2,0)&lt;&gt;J177,"Beam Revised","")</f>
        <v>#N/A</v>
      </c>
      <c r="AA177" s="7" t="e">
        <f>IF(VLOOKUP($A177,'Concrete Beam Schedule'!$A$2:$Q$2902,AA$2,0)&lt;&gt;K177,"Beam Revised","")</f>
        <v>#N/A</v>
      </c>
      <c r="AB177" s="7" t="e">
        <f>IF(VLOOKUP($A177,'Concrete Beam Schedule'!$A$2:$Q$2902,AB$2,0)&lt;&gt;L177,"Beam Revised","")</f>
        <v>#N/A</v>
      </c>
      <c r="AC177" s="7" t="e">
        <f>IF(VLOOKUP($A177,'Concrete Beam Schedule'!$A$2:$Q$2902,AC$2,0)&lt;&gt;M177,"Beam Revised","")</f>
        <v>#N/A</v>
      </c>
      <c r="AD177" s="7" t="e">
        <f>IF(VLOOKUP($A177,'Concrete Beam Schedule'!$A$2:$Q$2902,AD$2,0)&lt;&gt;N177,"Beam Revised","")</f>
        <v>#N/A</v>
      </c>
      <c r="AE177" s="7" t="e">
        <f>IF(VLOOKUP($A177,'Concrete Beam Schedule'!$A$2:$Q$2902,AE$2,0)&lt;&gt;O177,"Beam Revised","")</f>
        <v>#N/A</v>
      </c>
    </row>
    <row r="178" spans="1:31" ht="25.5" customHeight="1" x14ac:dyDescent="0.25">
      <c r="A178" s="17"/>
      <c r="B178" s="17"/>
      <c r="C178" s="17"/>
      <c r="D178" s="17"/>
      <c r="E178" s="17"/>
      <c r="F178" s="17"/>
      <c r="G178" s="17"/>
      <c r="H178" s="17"/>
      <c r="I178" s="17"/>
      <c r="J178" s="17"/>
      <c r="K178" s="17"/>
      <c r="L178" s="17"/>
      <c r="M178" s="17"/>
      <c r="N178" s="17"/>
      <c r="O178" s="17"/>
      <c r="Q178" s="7">
        <f t="shared" si="2"/>
        <v>0</v>
      </c>
      <c r="R178" s="7" t="e">
        <f>IF(VLOOKUP($A178,'Concrete Beam Schedule'!$A$2:$Q$2902,R$2,0)&lt;&gt;B178,VLOOKUP($A178,'Concrete Beam Schedule'!$A$2:$Q$2902,R$2,0),"")</f>
        <v>#N/A</v>
      </c>
      <c r="S178" s="7" t="e">
        <f>IF(VLOOKUP($A178,'Concrete Beam Schedule'!$A$2:$Q$2902,S$2,0)&lt;&gt;C178,VLOOKUP($A178,'Concrete Beam Schedule'!$A$2:$Q$2902,S$2,0),"")</f>
        <v>#N/A</v>
      </c>
      <c r="T178" s="7" t="e">
        <f>IF(VLOOKUP($A178,'Concrete Beam Schedule'!$A$2:$Q$2902,T$2,0)&lt;&gt;D178,"Beam Revised","")</f>
        <v>#N/A</v>
      </c>
      <c r="U178" s="7" t="e">
        <f>IF(VLOOKUP($A178,'Concrete Beam Schedule'!$A$2:$Q$2902,U$2,0)&lt;&gt;E178,"Beam Revised","")</f>
        <v>#N/A</v>
      </c>
      <c r="V178" s="7" t="e">
        <f>IF(VLOOKUP($A178,'Concrete Beam Schedule'!$A$2:$Q$2902,V$2,0)&lt;&gt;F178,"Beam Revised","")</f>
        <v>#N/A</v>
      </c>
      <c r="W178" s="7" t="e">
        <f>IF(VLOOKUP($A178,'Concrete Beam Schedule'!$A$2:$Q$2902,W$2,0)&lt;&gt;G178,"Beam Revised","")</f>
        <v>#N/A</v>
      </c>
      <c r="X178" s="7" t="e">
        <f>IF(VLOOKUP($A178,'Concrete Beam Schedule'!$A$2:$Q$2902,X$2,0)&lt;&gt;H178,"Beam Revised","")</f>
        <v>#N/A</v>
      </c>
      <c r="Y178" s="7" t="e">
        <f>IF(VLOOKUP($A178,'Concrete Beam Schedule'!$A$2:$Q$2902,Y$2,0)&lt;&gt;I178,"Beam Revised","")</f>
        <v>#N/A</v>
      </c>
      <c r="Z178" s="7" t="e">
        <f>IF(VLOOKUP($A178,'Concrete Beam Schedule'!$A$2:$Q$2902,Z$2,0)&lt;&gt;J178,"Beam Revised","")</f>
        <v>#N/A</v>
      </c>
      <c r="AA178" s="7" t="e">
        <f>IF(VLOOKUP($A178,'Concrete Beam Schedule'!$A$2:$Q$2902,AA$2,0)&lt;&gt;K178,"Beam Revised","")</f>
        <v>#N/A</v>
      </c>
      <c r="AB178" s="7" t="e">
        <f>IF(VLOOKUP($A178,'Concrete Beam Schedule'!$A$2:$Q$2902,AB$2,0)&lt;&gt;L178,"Beam Revised","")</f>
        <v>#N/A</v>
      </c>
      <c r="AC178" s="7" t="e">
        <f>IF(VLOOKUP($A178,'Concrete Beam Schedule'!$A$2:$Q$2902,AC$2,0)&lt;&gt;M178,"Beam Revised","")</f>
        <v>#N/A</v>
      </c>
      <c r="AD178" s="7" t="e">
        <f>IF(VLOOKUP($A178,'Concrete Beam Schedule'!$A$2:$Q$2902,AD$2,0)&lt;&gt;N178,"Beam Revised","")</f>
        <v>#N/A</v>
      </c>
      <c r="AE178" s="7" t="e">
        <f>IF(VLOOKUP($A178,'Concrete Beam Schedule'!$A$2:$Q$2902,AE$2,0)&lt;&gt;O178,"Beam Revised","")</f>
        <v>#N/A</v>
      </c>
    </row>
    <row r="179" spans="1:31" ht="25.5" customHeight="1" x14ac:dyDescent="0.25">
      <c r="A179" s="17"/>
      <c r="B179" s="17"/>
      <c r="C179" s="17"/>
      <c r="D179" s="17"/>
      <c r="E179" s="17"/>
      <c r="F179" s="17"/>
      <c r="G179" s="17"/>
      <c r="H179" s="17"/>
      <c r="I179" s="17"/>
      <c r="J179" s="17"/>
      <c r="K179" s="17"/>
      <c r="L179" s="17"/>
      <c r="M179" s="17"/>
      <c r="N179" s="17"/>
      <c r="O179" s="17"/>
      <c r="Q179" s="7">
        <f t="shared" si="2"/>
        <v>0</v>
      </c>
      <c r="R179" s="7" t="e">
        <f>IF(VLOOKUP($A179,'Concrete Beam Schedule'!$A$2:$Q$2902,R$2,0)&lt;&gt;B179,VLOOKUP($A179,'Concrete Beam Schedule'!$A$2:$Q$2902,R$2,0),"")</f>
        <v>#N/A</v>
      </c>
      <c r="S179" s="7" t="e">
        <f>IF(VLOOKUP($A179,'Concrete Beam Schedule'!$A$2:$Q$2902,S$2,0)&lt;&gt;C179,VLOOKUP($A179,'Concrete Beam Schedule'!$A$2:$Q$2902,S$2,0),"")</f>
        <v>#N/A</v>
      </c>
      <c r="T179" s="7" t="e">
        <f>IF(VLOOKUP($A179,'Concrete Beam Schedule'!$A$2:$Q$2902,T$2,0)&lt;&gt;D179,"Beam Revised","")</f>
        <v>#N/A</v>
      </c>
      <c r="U179" s="7" t="e">
        <f>IF(VLOOKUP($A179,'Concrete Beam Schedule'!$A$2:$Q$2902,U$2,0)&lt;&gt;E179,"Beam Revised","")</f>
        <v>#N/A</v>
      </c>
      <c r="V179" s="7" t="e">
        <f>IF(VLOOKUP($A179,'Concrete Beam Schedule'!$A$2:$Q$2902,V$2,0)&lt;&gt;F179,"Beam Revised","")</f>
        <v>#N/A</v>
      </c>
      <c r="W179" s="7" t="e">
        <f>IF(VLOOKUP($A179,'Concrete Beam Schedule'!$A$2:$Q$2902,W$2,0)&lt;&gt;G179,"Beam Revised","")</f>
        <v>#N/A</v>
      </c>
      <c r="X179" s="7" t="e">
        <f>IF(VLOOKUP($A179,'Concrete Beam Schedule'!$A$2:$Q$2902,X$2,0)&lt;&gt;H179,"Beam Revised","")</f>
        <v>#N/A</v>
      </c>
      <c r="Y179" s="7" t="e">
        <f>IF(VLOOKUP($A179,'Concrete Beam Schedule'!$A$2:$Q$2902,Y$2,0)&lt;&gt;I179,"Beam Revised","")</f>
        <v>#N/A</v>
      </c>
      <c r="Z179" s="7" t="e">
        <f>IF(VLOOKUP($A179,'Concrete Beam Schedule'!$A$2:$Q$2902,Z$2,0)&lt;&gt;J179,"Beam Revised","")</f>
        <v>#N/A</v>
      </c>
      <c r="AA179" s="7" t="e">
        <f>IF(VLOOKUP($A179,'Concrete Beam Schedule'!$A$2:$Q$2902,AA$2,0)&lt;&gt;K179,"Beam Revised","")</f>
        <v>#N/A</v>
      </c>
      <c r="AB179" s="7" t="e">
        <f>IF(VLOOKUP($A179,'Concrete Beam Schedule'!$A$2:$Q$2902,AB$2,0)&lt;&gt;L179,"Beam Revised","")</f>
        <v>#N/A</v>
      </c>
      <c r="AC179" s="7" t="e">
        <f>IF(VLOOKUP($A179,'Concrete Beam Schedule'!$A$2:$Q$2902,AC$2,0)&lt;&gt;M179,"Beam Revised","")</f>
        <v>#N/A</v>
      </c>
      <c r="AD179" s="7" t="e">
        <f>IF(VLOOKUP($A179,'Concrete Beam Schedule'!$A$2:$Q$2902,AD$2,0)&lt;&gt;N179,"Beam Revised","")</f>
        <v>#N/A</v>
      </c>
      <c r="AE179" s="7" t="e">
        <f>IF(VLOOKUP($A179,'Concrete Beam Schedule'!$A$2:$Q$2902,AE$2,0)&lt;&gt;O179,"Beam Revised","")</f>
        <v>#N/A</v>
      </c>
    </row>
    <row r="180" spans="1:31" ht="25.5" customHeight="1" x14ac:dyDescent="0.25">
      <c r="A180" s="17"/>
      <c r="B180" s="17"/>
      <c r="C180" s="17"/>
      <c r="D180" s="17"/>
      <c r="E180" s="17"/>
      <c r="F180" s="17"/>
      <c r="G180" s="17"/>
      <c r="H180" s="17"/>
      <c r="I180" s="17"/>
      <c r="J180" s="17"/>
      <c r="K180" s="17"/>
      <c r="L180" s="17"/>
      <c r="M180" s="17"/>
      <c r="N180" s="17"/>
      <c r="O180" s="17"/>
      <c r="Q180" s="7">
        <f t="shared" si="2"/>
        <v>0</v>
      </c>
      <c r="R180" s="7" t="e">
        <f>IF(VLOOKUP($A180,'Concrete Beam Schedule'!$A$2:$Q$2902,R$2,0)&lt;&gt;B180,VLOOKUP($A180,'Concrete Beam Schedule'!$A$2:$Q$2902,R$2,0),"")</f>
        <v>#N/A</v>
      </c>
      <c r="S180" s="7" t="e">
        <f>IF(VLOOKUP($A180,'Concrete Beam Schedule'!$A$2:$Q$2902,S$2,0)&lt;&gt;C180,VLOOKUP($A180,'Concrete Beam Schedule'!$A$2:$Q$2902,S$2,0),"")</f>
        <v>#N/A</v>
      </c>
      <c r="T180" s="7" t="e">
        <f>IF(VLOOKUP($A180,'Concrete Beam Schedule'!$A$2:$Q$2902,T$2,0)&lt;&gt;D180,"Beam Revised","")</f>
        <v>#N/A</v>
      </c>
      <c r="U180" s="7" t="e">
        <f>IF(VLOOKUP($A180,'Concrete Beam Schedule'!$A$2:$Q$2902,U$2,0)&lt;&gt;E180,"Beam Revised","")</f>
        <v>#N/A</v>
      </c>
      <c r="V180" s="7" t="e">
        <f>IF(VLOOKUP($A180,'Concrete Beam Schedule'!$A$2:$Q$2902,V$2,0)&lt;&gt;F180,"Beam Revised","")</f>
        <v>#N/A</v>
      </c>
      <c r="W180" s="7" t="e">
        <f>IF(VLOOKUP($A180,'Concrete Beam Schedule'!$A$2:$Q$2902,W$2,0)&lt;&gt;G180,"Beam Revised","")</f>
        <v>#N/A</v>
      </c>
      <c r="X180" s="7" t="e">
        <f>IF(VLOOKUP($A180,'Concrete Beam Schedule'!$A$2:$Q$2902,X$2,0)&lt;&gt;H180,"Beam Revised","")</f>
        <v>#N/A</v>
      </c>
      <c r="Y180" s="7" t="e">
        <f>IF(VLOOKUP($A180,'Concrete Beam Schedule'!$A$2:$Q$2902,Y$2,0)&lt;&gt;I180,"Beam Revised","")</f>
        <v>#N/A</v>
      </c>
      <c r="Z180" s="7" t="e">
        <f>IF(VLOOKUP($A180,'Concrete Beam Schedule'!$A$2:$Q$2902,Z$2,0)&lt;&gt;J180,"Beam Revised","")</f>
        <v>#N/A</v>
      </c>
      <c r="AA180" s="7" t="e">
        <f>IF(VLOOKUP($A180,'Concrete Beam Schedule'!$A$2:$Q$2902,AA$2,0)&lt;&gt;K180,"Beam Revised","")</f>
        <v>#N/A</v>
      </c>
      <c r="AB180" s="7" t="e">
        <f>IF(VLOOKUP($A180,'Concrete Beam Schedule'!$A$2:$Q$2902,AB$2,0)&lt;&gt;L180,"Beam Revised","")</f>
        <v>#N/A</v>
      </c>
      <c r="AC180" s="7" t="e">
        <f>IF(VLOOKUP($A180,'Concrete Beam Schedule'!$A$2:$Q$2902,AC$2,0)&lt;&gt;M180,"Beam Revised","")</f>
        <v>#N/A</v>
      </c>
      <c r="AD180" s="7" t="e">
        <f>IF(VLOOKUP($A180,'Concrete Beam Schedule'!$A$2:$Q$2902,AD$2,0)&lt;&gt;N180,"Beam Revised","")</f>
        <v>#N/A</v>
      </c>
      <c r="AE180" s="7" t="e">
        <f>IF(VLOOKUP($A180,'Concrete Beam Schedule'!$A$2:$Q$2902,AE$2,0)&lt;&gt;O180,"Beam Revised","")</f>
        <v>#N/A</v>
      </c>
    </row>
    <row r="181" spans="1:31" ht="25.5" customHeight="1" x14ac:dyDescent="0.25">
      <c r="A181" s="17"/>
      <c r="B181" s="17"/>
      <c r="C181" s="17"/>
      <c r="D181" s="17"/>
      <c r="E181" s="17"/>
      <c r="F181" s="17"/>
      <c r="G181" s="17"/>
      <c r="H181" s="17"/>
      <c r="I181" s="17"/>
      <c r="J181" s="17"/>
      <c r="K181" s="17"/>
      <c r="L181" s="17"/>
      <c r="M181" s="17"/>
      <c r="N181" s="17"/>
      <c r="O181" s="17"/>
      <c r="Q181" s="7">
        <f t="shared" si="2"/>
        <v>0</v>
      </c>
      <c r="R181" s="7" t="e">
        <f>IF(VLOOKUP($A181,'Concrete Beam Schedule'!$A$2:$Q$2902,R$2,0)&lt;&gt;B181,VLOOKUP($A181,'Concrete Beam Schedule'!$A$2:$Q$2902,R$2,0),"")</f>
        <v>#N/A</v>
      </c>
      <c r="S181" s="7" t="e">
        <f>IF(VLOOKUP($A181,'Concrete Beam Schedule'!$A$2:$Q$2902,S$2,0)&lt;&gt;C181,VLOOKUP($A181,'Concrete Beam Schedule'!$A$2:$Q$2902,S$2,0),"")</f>
        <v>#N/A</v>
      </c>
      <c r="T181" s="7" t="e">
        <f>IF(VLOOKUP($A181,'Concrete Beam Schedule'!$A$2:$Q$2902,T$2,0)&lt;&gt;D181,"Beam Revised","")</f>
        <v>#N/A</v>
      </c>
      <c r="U181" s="7" t="e">
        <f>IF(VLOOKUP($A181,'Concrete Beam Schedule'!$A$2:$Q$2902,U$2,0)&lt;&gt;E181,"Beam Revised","")</f>
        <v>#N/A</v>
      </c>
      <c r="V181" s="7" t="e">
        <f>IF(VLOOKUP($A181,'Concrete Beam Schedule'!$A$2:$Q$2902,V$2,0)&lt;&gt;F181,"Beam Revised","")</f>
        <v>#N/A</v>
      </c>
      <c r="W181" s="7" t="e">
        <f>IF(VLOOKUP($A181,'Concrete Beam Schedule'!$A$2:$Q$2902,W$2,0)&lt;&gt;G181,"Beam Revised","")</f>
        <v>#N/A</v>
      </c>
      <c r="X181" s="7" t="e">
        <f>IF(VLOOKUP($A181,'Concrete Beam Schedule'!$A$2:$Q$2902,X$2,0)&lt;&gt;H181,"Beam Revised","")</f>
        <v>#N/A</v>
      </c>
      <c r="Y181" s="7" t="e">
        <f>IF(VLOOKUP($A181,'Concrete Beam Schedule'!$A$2:$Q$2902,Y$2,0)&lt;&gt;I181,"Beam Revised","")</f>
        <v>#N/A</v>
      </c>
      <c r="Z181" s="7" t="e">
        <f>IF(VLOOKUP($A181,'Concrete Beam Schedule'!$A$2:$Q$2902,Z$2,0)&lt;&gt;J181,"Beam Revised","")</f>
        <v>#N/A</v>
      </c>
      <c r="AA181" s="7" t="e">
        <f>IF(VLOOKUP($A181,'Concrete Beam Schedule'!$A$2:$Q$2902,AA$2,0)&lt;&gt;K181,"Beam Revised","")</f>
        <v>#N/A</v>
      </c>
      <c r="AB181" s="7" t="e">
        <f>IF(VLOOKUP($A181,'Concrete Beam Schedule'!$A$2:$Q$2902,AB$2,0)&lt;&gt;L181,"Beam Revised","")</f>
        <v>#N/A</v>
      </c>
      <c r="AC181" s="7" t="e">
        <f>IF(VLOOKUP($A181,'Concrete Beam Schedule'!$A$2:$Q$2902,AC$2,0)&lt;&gt;M181,"Beam Revised","")</f>
        <v>#N/A</v>
      </c>
      <c r="AD181" s="7" t="e">
        <f>IF(VLOOKUP($A181,'Concrete Beam Schedule'!$A$2:$Q$2902,AD$2,0)&lt;&gt;N181,"Beam Revised","")</f>
        <v>#N/A</v>
      </c>
      <c r="AE181" s="7" t="e">
        <f>IF(VLOOKUP($A181,'Concrete Beam Schedule'!$A$2:$Q$2902,AE$2,0)&lt;&gt;O181,"Beam Revised","")</f>
        <v>#N/A</v>
      </c>
    </row>
    <row r="182" spans="1:31" ht="25.5" customHeight="1" x14ac:dyDescent="0.25">
      <c r="A182" s="17"/>
      <c r="B182" s="17"/>
      <c r="C182" s="17"/>
      <c r="D182" s="17"/>
      <c r="E182" s="17"/>
      <c r="F182" s="17"/>
      <c r="G182" s="17"/>
      <c r="H182" s="17"/>
      <c r="I182" s="17"/>
      <c r="J182" s="17"/>
      <c r="K182" s="17"/>
      <c r="L182" s="17"/>
      <c r="M182" s="17"/>
      <c r="N182" s="17"/>
      <c r="O182" s="17"/>
      <c r="Q182" s="7">
        <f t="shared" si="2"/>
        <v>0</v>
      </c>
      <c r="R182" s="7" t="e">
        <f>IF(VLOOKUP($A182,'Concrete Beam Schedule'!$A$2:$Q$2902,R$2,0)&lt;&gt;B182,VLOOKUP($A182,'Concrete Beam Schedule'!$A$2:$Q$2902,R$2,0),"")</f>
        <v>#N/A</v>
      </c>
      <c r="S182" s="7" t="e">
        <f>IF(VLOOKUP($A182,'Concrete Beam Schedule'!$A$2:$Q$2902,S$2,0)&lt;&gt;C182,VLOOKUP($A182,'Concrete Beam Schedule'!$A$2:$Q$2902,S$2,0),"")</f>
        <v>#N/A</v>
      </c>
      <c r="T182" s="7" t="e">
        <f>IF(VLOOKUP($A182,'Concrete Beam Schedule'!$A$2:$Q$2902,T$2,0)&lt;&gt;D182,"Beam Revised","")</f>
        <v>#N/A</v>
      </c>
      <c r="U182" s="7" t="e">
        <f>IF(VLOOKUP($A182,'Concrete Beam Schedule'!$A$2:$Q$2902,U$2,0)&lt;&gt;E182,"Beam Revised","")</f>
        <v>#N/A</v>
      </c>
      <c r="V182" s="7" t="e">
        <f>IF(VLOOKUP($A182,'Concrete Beam Schedule'!$A$2:$Q$2902,V$2,0)&lt;&gt;F182,"Beam Revised","")</f>
        <v>#N/A</v>
      </c>
      <c r="W182" s="7" t="e">
        <f>IF(VLOOKUP($A182,'Concrete Beam Schedule'!$A$2:$Q$2902,W$2,0)&lt;&gt;G182,"Beam Revised","")</f>
        <v>#N/A</v>
      </c>
      <c r="X182" s="7" t="e">
        <f>IF(VLOOKUP($A182,'Concrete Beam Schedule'!$A$2:$Q$2902,X$2,0)&lt;&gt;H182,"Beam Revised","")</f>
        <v>#N/A</v>
      </c>
      <c r="Y182" s="7" t="e">
        <f>IF(VLOOKUP($A182,'Concrete Beam Schedule'!$A$2:$Q$2902,Y$2,0)&lt;&gt;I182,"Beam Revised","")</f>
        <v>#N/A</v>
      </c>
      <c r="Z182" s="7" t="e">
        <f>IF(VLOOKUP($A182,'Concrete Beam Schedule'!$A$2:$Q$2902,Z$2,0)&lt;&gt;J182,"Beam Revised","")</f>
        <v>#N/A</v>
      </c>
      <c r="AA182" s="7" t="e">
        <f>IF(VLOOKUP($A182,'Concrete Beam Schedule'!$A$2:$Q$2902,AA$2,0)&lt;&gt;K182,"Beam Revised","")</f>
        <v>#N/A</v>
      </c>
      <c r="AB182" s="7" t="e">
        <f>IF(VLOOKUP($A182,'Concrete Beam Schedule'!$A$2:$Q$2902,AB$2,0)&lt;&gt;L182,"Beam Revised","")</f>
        <v>#N/A</v>
      </c>
      <c r="AC182" s="7" t="e">
        <f>IF(VLOOKUP($A182,'Concrete Beam Schedule'!$A$2:$Q$2902,AC$2,0)&lt;&gt;M182,"Beam Revised","")</f>
        <v>#N/A</v>
      </c>
      <c r="AD182" s="7" t="e">
        <f>IF(VLOOKUP($A182,'Concrete Beam Schedule'!$A$2:$Q$2902,AD$2,0)&lt;&gt;N182,"Beam Revised","")</f>
        <v>#N/A</v>
      </c>
      <c r="AE182" s="7" t="e">
        <f>IF(VLOOKUP($A182,'Concrete Beam Schedule'!$A$2:$Q$2902,AE$2,0)&lt;&gt;O182,"Beam Revised","")</f>
        <v>#N/A</v>
      </c>
    </row>
    <row r="183" spans="1:31" ht="25.5" customHeight="1" x14ac:dyDescent="0.25">
      <c r="A183" s="17"/>
      <c r="B183" s="17"/>
      <c r="C183" s="17"/>
      <c r="D183" s="17"/>
      <c r="E183" s="17"/>
      <c r="F183" s="17"/>
      <c r="G183" s="17"/>
      <c r="H183" s="17"/>
      <c r="I183" s="17"/>
      <c r="J183" s="17"/>
      <c r="K183" s="17"/>
      <c r="L183" s="17"/>
      <c r="M183" s="17"/>
      <c r="N183" s="17"/>
      <c r="O183" s="17"/>
      <c r="Q183" s="7">
        <f t="shared" si="2"/>
        <v>0</v>
      </c>
      <c r="R183" s="7" t="e">
        <f>IF(VLOOKUP($A183,'Concrete Beam Schedule'!$A$2:$Q$2902,R$2,0)&lt;&gt;B183,VLOOKUP($A183,'Concrete Beam Schedule'!$A$2:$Q$2902,R$2,0),"")</f>
        <v>#N/A</v>
      </c>
      <c r="S183" s="7" t="e">
        <f>IF(VLOOKUP($A183,'Concrete Beam Schedule'!$A$2:$Q$2902,S$2,0)&lt;&gt;C183,VLOOKUP($A183,'Concrete Beam Schedule'!$A$2:$Q$2902,S$2,0),"")</f>
        <v>#N/A</v>
      </c>
      <c r="T183" s="7" t="e">
        <f>IF(VLOOKUP($A183,'Concrete Beam Schedule'!$A$2:$Q$2902,T$2,0)&lt;&gt;D183,"Beam Revised","")</f>
        <v>#N/A</v>
      </c>
      <c r="U183" s="7" t="e">
        <f>IF(VLOOKUP($A183,'Concrete Beam Schedule'!$A$2:$Q$2902,U$2,0)&lt;&gt;E183,"Beam Revised","")</f>
        <v>#N/A</v>
      </c>
      <c r="V183" s="7" t="e">
        <f>IF(VLOOKUP($A183,'Concrete Beam Schedule'!$A$2:$Q$2902,V$2,0)&lt;&gt;F183,"Beam Revised","")</f>
        <v>#N/A</v>
      </c>
      <c r="W183" s="7" t="e">
        <f>IF(VLOOKUP($A183,'Concrete Beam Schedule'!$A$2:$Q$2902,W$2,0)&lt;&gt;G183,"Beam Revised","")</f>
        <v>#N/A</v>
      </c>
      <c r="X183" s="7" t="e">
        <f>IF(VLOOKUP($A183,'Concrete Beam Schedule'!$A$2:$Q$2902,X$2,0)&lt;&gt;H183,"Beam Revised","")</f>
        <v>#N/A</v>
      </c>
      <c r="Y183" s="7" t="e">
        <f>IF(VLOOKUP($A183,'Concrete Beam Schedule'!$A$2:$Q$2902,Y$2,0)&lt;&gt;I183,"Beam Revised","")</f>
        <v>#N/A</v>
      </c>
      <c r="Z183" s="7" t="e">
        <f>IF(VLOOKUP($A183,'Concrete Beam Schedule'!$A$2:$Q$2902,Z$2,0)&lt;&gt;J183,"Beam Revised","")</f>
        <v>#N/A</v>
      </c>
      <c r="AA183" s="7" t="e">
        <f>IF(VLOOKUP($A183,'Concrete Beam Schedule'!$A$2:$Q$2902,AA$2,0)&lt;&gt;K183,"Beam Revised","")</f>
        <v>#N/A</v>
      </c>
      <c r="AB183" s="7" t="e">
        <f>IF(VLOOKUP($A183,'Concrete Beam Schedule'!$A$2:$Q$2902,AB$2,0)&lt;&gt;L183,"Beam Revised","")</f>
        <v>#N/A</v>
      </c>
      <c r="AC183" s="7" t="e">
        <f>IF(VLOOKUP($A183,'Concrete Beam Schedule'!$A$2:$Q$2902,AC$2,0)&lt;&gt;M183,"Beam Revised","")</f>
        <v>#N/A</v>
      </c>
      <c r="AD183" s="7" t="e">
        <f>IF(VLOOKUP($A183,'Concrete Beam Schedule'!$A$2:$Q$2902,AD$2,0)&lt;&gt;N183,"Beam Revised","")</f>
        <v>#N/A</v>
      </c>
      <c r="AE183" s="7" t="e">
        <f>IF(VLOOKUP($A183,'Concrete Beam Schedule'!$A$2:$Q$2902,AE$2,0)&lt;&gt;O183,"Beam Revised","")</f>
        <v>#N/A</v>
      </c>
    </row>
    <row r="184" spans="1:31" ht="25.5" customHeight="1" x14ac:dyDescent="0.25">
      <c r="A184" s="17"/>
      <c r="B184" s="17"/>
      <c r="C184" s="17"/>
      <c r="D184" s="17"/>
      <c r="E184" s="17"/>
      <c r="F184" s="17"/>
      <c r="G184" s="17"/>
      <c r="H184" s="17"/>
      <c r="I184" s="17"/>
      <c r="J184" s="17"/>
      <c r="K184" s="17"/>
      <c r="L184" s="17"/>
      <c r="M184" s="17"/>
      <c r="N184" s="17"/>
      <c r="O184" s="17"/>
      <c r="Q184" s="7">
        <f t="shared" si="2"/>
        <v>0</v>
      </c>
      <c r="R184" s="7" t="e">
        <f>IF(VLOOKUP($A184,'Concrete Beam Schedule'!$A$2:$Q$2902,R$2,0)&lt;&gt;B184,VLOOKUP($A184,'Concrete Beam Schedule'!$A$2:$Q$2902,R$2,0),"")</f>
        <v>#N/A</v>
      </c>
      <c r="S184" s="7" t="e">
        <f>IF(VLOOKUP($A184,'Concrete Beam Schedule'!$A$2:$Q$2902,S$2,0)&lt;&gt;C184,VLOOKUP($A184,'Concrete Beam Schedule'!$A$2:$Q$2902,S$2,0),"")</f>
        <v>#N/A</v>
      </c>
      <c r="T184" s="7" t="e">
        <f>IF(VLOOKUP($A184,'Concrete Beam Schedule'!$A$2:$Q$2902,T$2,0)&lt;&gt;D184,"Beam Revised","")</f>
        <v>#N/A</v>
      </c>
      <c r="U184" s="7" t="e">
        <f>IF(VLOOKUP($A184,'Concrete Beam Schedule'!$A$2:$Q$2902,U$2,0)&lt;&gt;E184,"Beam Revised","")</f>
        <v>#N/A</v>
      </c>
      <c r="V184" s="7" t="e">
        <f>IF(VLOOKUP($A184,'Concrete Beam Schedule'!$A$2:$Q$2902,V$2,0)&lt;&gt;F184,"Beam Revised","")</f>
        <v>#N/A</v>
      </c>
      <c r="W184" s="7" t="e">
        <f>IF(VLOOKUP($A184,'Concrete Beam Schedule'!$A$2:$Q$2902,W$2,0)&lt;&gt;G184,"Beam Revised","")</f>
        <v>#N/A</v>
      </c>
      <c r="X184" s="7" t="e">
        <f>IF(VLOOKUP($A184,'Concrete Beam Schedule'!$A$2:$Q$2902,X$2,0)&lt;&gt;H184,"Beam Revised","")</f>
        <v>#N/A</v>
      </c>
      <c r="Y184" s="7" t="e">
        <f>IF(VLOOKUP($A184,'Concrete Beam Schedule'!$A$2:$Q$2902,Y$2,0)&lt;&gt;I184,"Beam Revised","")</f>
        <v>#N/A</v>
      </c>
      <c r="Z184" s="7" t="e">
        <f>IF(VLOOKUP($A184,'Concrete Beam Schedule'!$A$2:$Q$2902,Z$2,0)&lt;&gt;J184,"Beam Revised","")</f>
        <v>#N/A</v>
      </c>
      <c r="AA184" s="7" t="e">
        <f>IF(VLOOKUP($A184,'Concrete Beam Schedule'!$A$2:$Q$2902,AA$2,0)&lt;&gt;K184,"Beam Revised","")</f>
        <v>#N/A</v>
      </c>
      <c r="AB184" s="7" t="e">
        <f>IF(VLOOKUP($A184,'Concrete Beam Schedule'!$A$2:$Q$2902,AB$2,0)&lt;&gt;L184,"Beam Revised","")</f>
        <v>#N/A</v>
      </c>
      <c r="AC184" s="7" t="e">
        <f>IF(VLOOKUP($A184,'Concrete Beam Schedule'!$A$2:$Q$2902,AC$2,0)&lt;&gt;M184,"Beam Revised","")</f>
        <v>#N/A</v>
      </c>
      <c r="AD184" s="7" t="e">
        <f>IF(VLOOKUP($A184,'Concrete Beam Schedule'!$A$2:$Q$2902,AD$2,0)&lt;&gt;N184,"Beam Revised","")</f>
        <v>#N/A</v>
      </c>
      <c r="AE184" s="7" t="e">
        <f>IF(VLOOKUP($A184,'Concrete Beam Schedule'!$A$2:$Q$2902,AE$2,0)&lt;&gt;O184,"Beam Revised","")</f>
        <v>#N/A</v>
      </c>
    </row>
    <row r="185" spans="1:31" ht="25.5" customHeight="1" x14ac:dyDescent="0.25">
      <c r="A185" s="17"/>
      <c r="B185" s="17"/>
      <c r="C185" s="17"/>
      <c r="D185" s="17"/>
      <c r="E185" s="17"/>
      <c r="F185" s="17"/>
      <c r="G185" s="17"/>
      <c r="H185" s="17"/>
      <c r="I185" s="17"/>
      <c r="J185" s="17"/>
      <c r="K185" s="17"/>
      <c r="L185" s="17"/>
      <c r="M185" s="17"/>
      <c r="N185" s="17"/>
      <c r="O185" s="17"/>
      <c r="Q185" s="7">
        <f t="shared" si="2"/>
        <v>0</v>
      </c>
      <c r="R185" s="7" t="e">
        <f>IF(VLOOKUP($A185,'Concrete Beam Schedule'!$A$2:$Q$2902,R$2,0)&lt;&gt;B185,VLOOKUP($A185,'Concrete Beam Schedule'!$A$2:$Q$2902,R$2,0),"")</f>
        <v>#N/A</v>
      </c>
      <c r="S185" s="7" t="e">
        <f>IF(VLOOKUP($A185,'Concrete Beam Schedule'!$A$2:$Q$2902,S$2,0)&lt;&gt;C185,VLOOKUP($A185,'Concrete Beam Schedule'!$A$2:$Q$2902,S$2,0),"")</f>
        <v>#N/A</v>
      </c>
      <c r="T185" s="7" t="e">
        <f>IF(VLOOKUP($A185,'Concrete Beam Schedule'!$A$2:$Q$2902,T$2,0)&lt;&gt;D185,"Beam Revised","")</f>
        <v>#N/A</v>
      </c>
      <c r="U185" s="7" t="e">
        <f>IF(VLOOKUP($A185,'Concrete Beam Schedule'!$A$2:$Q$2902,U$2,0)&lt;&gt;E185,"Beam Revised","")</f>
        <v>#N/A</v>
      </c>
      <c r="V185" s="7" t="e">
        <f>IF(VLOOKUP($A185,'Concrete Beam Schedule'!$A$2:$Q$2902,V$2,0)&lt;&gt;F185,"Beam Revised","")</f>
        <v>#N/A</v>
      </c>
      <c r="W185" s="7" t="e">
        <f>IF(VLOOKUP($A185,'Concrete Beam Schedule'!$A$2:$Q$2902,W$2,0)&lt;&gt;G185,"Beam Revised","")</f>
        <v>#N/A</v>
      </c>
      <c r="X185" s="7" t="e">
        <f>IF(VLOOKUP($A185,'Concrete Beam Schedule'!$A$2:$Q$2902,X$2,0)&lt;&gt;H185,"Beam Revised","")</f>
        <v>#N/A</v>
      </c>
      <c r="Y185" s="7" t="e">
        <f>IF(VLOOKUP($A185,'Concrete Beam Schedule'!$A$2:$Q$2902,Y$2,0)&lt;&gt;I185,"Beam Revised","")</f>
        <v>#N/A</v>
      </c>
      <c r="Z185" s="7" t="e">
        <f>IF(VLOOKUP($A185,'Concrete Beam Schedule'!$A$2:$Q$2902,Z$2,0)&lt;&gt;J185,"Beam Revised","")</f>
        <v>#N/A</v>
      </c>
      <c r="AA185" s="7" t="e">
        <f>IF(VLOOKUP($A185,'Concrete Beam Schedule'!$A$2:$Q$2902,AA$2,0)&lt;&gt;K185,"Beam Revised","")</f>
        <v>#N/A</v>
      </c>
      <c r="AB185" s="7" t="e">
        <f>IF(VLOOKUP($A185,'Concrete Beam Schedule'!$A$2:$Q$2902,AB$2,0)&lt;&gt;L185,"Beam Revised","")</f>
        <v>#N/A</v>
      </c>
      <c r="AC185" s="7" t="e">
        <f>IF(VLOOKUP($A185,'Concrete Beam Schedule'!$A$2:$Q$2902,AC$2,0)&lt;&gt;M185,"Beam Revised","")</f>
        <v>#N/A</v>
      </c>
      <c r="AD185" s="7" t="e">
        <f>IF(VLOOKUP($A185,'Concrete Beam Schedule'!$A$2:$Q$2902,AD$2,0)&lt;&gt;N185,"Beam Revised","")</f>
        <v>#N/A</v>
      </c>
      <c r="AE185" s="7" t="e">
        <f>IF(VLOOKUP($A185,'Concrete Beam Schedule'!$A$2:$Q$2902,AE$2,0)&lt;&gt;O185,"Beam Revised","")</f>
        <v>#N/A</v>
      </c>
    </row>
    <row r="186" spans="1:31" ht="25.5" customHeight="1" x14ac:dyDescent="0.25">
      <c r="A186" s="17"/>
      <c r="B186" s="17"/>
      <c r="C186" s="17"/>
      <c r="D186" s="17"/>
      <c r="E186" s="17"/>
      <c r="F186" s="17"/>
      <c r="G186" s="17"/>
      <c r="H186" s="17"/>
      <c r="I186" s="17"/>
      <c r="J186" s="17"/>
      <c r="K186" s="17"/>
      <c r="L186" s="17"/>
      <c r="M186" s="17"/>
      <c r="N186" s="17"/>
      <c r="O186" s="17"/>
      <c r="Q186" s="7">
        <f t="shared" si="2"/>
        <v>0</v>
      </c>
      <c r="R186" s="7" t="e">
        <f>IF(VLOOKUP($A186,'Concrete Beam Schedule'!$A$2:$Q$2902,R$2,0)&lt;&gt;B186,VLOOKUP($A186,'Concrete Beam Schedule'!$A$2:$Q$2902,R$2,0),"")</f>
        <v>#N/A</v>
      </c>
      <c r="S186" s="7" t="e">
        <f>IF(VLOOKUP($A186,'Concrete Beam Schedule'!$A$2:$Q$2902,S$2,0)&lt;&gt;C186,VLOOKUP($A186,'Concrete Beam Schedule'!$A$2:$Q$2902,S$2,0),"")</f>
        <v>#N/A</v>
      </c>
      <c r="T186" s="7" t="e">
        <f>IF(VLOOKUP($A186,'Concrete Beam Schedule'!$A$2:$Q$2902,T$2,0)&lt;&gt;D186,"Beam Revised","")</f>
        <v>#N/A</v>
      </c>
      <c r="U186" s="7" t="e">
        <f>IF(VLOOKUP($A186,'Concrete Beam Schedule'!$A$2:$Q$2902,U$2,0)&lt;&gt;E186,"Beam Revised","")</f>
        <v>#N/A</v>
      </c>
      <c r="V186" s="7" t="e">
        <f>IF(VLOOKUP($A186,'Concrete Beam Schedule'!$A$2:$Q$2902,V$2,0)&lt;&gt;F186,"Beam Revised","")</f>
        <v>#N/A</v>
      </c>
      <c r="W186" s="7" t="e">
        <f>IF(VLOOKUP($A186,'Concrete Beam Schedule'!$A$2:$Q$2902,W$2,0)&lt;&gt;G186,"Beam Revised","")</f>
        <v>#N/A</v>
      </c>
      <c r="X186" s="7" t="e">
        <f>IF(VLOOKUP($A186,'Concrete Beam Schedule'!$A$2:$Q$2902,X$2,0)&lt;&gt;H186,"Beam Revised","")</f>
        <v>#N/A</v>
      </c>
      <c r="Y186" s="7" t="e">
        <f>IF(VLOOKUP($A186,'Concrete Beam Schedule'!$A$2:$Q$2902,Y$2,0)&lt;&gt;I186,"Beam Revised","")</f>
        <v>#N/A</v>
      </c>
      <c r="Z186" s="7" t="e">
        <f>IF(VLOOKUP($A186,'Concrete Beam Schedule'!$A$2:$Q$2902,Z$2,0)&lt;&gt;J186,"Beam Revised","")</f>
        <v>#N/A</v>
      </c>
      <c r="AA186" s="7" t="e">
        <f>IF(VLOOKUP($A186,'Concrete Beam Schedule'!$A$2:$Q$2902,AA$2,0)&lt;&gt;K186,"Beam Revised","")</f>
        <v>#N/A</v>
      </c>
      <c r="AB186" s="7" t="e">
        <f>IF(VLOOKUP($A186,'Concrete Beam Schedule'!$A$2:$Q$2902,AB$2,0)&lt;&gt;L186,"Beam Revised","")</f>
        <v>#N/A</v>
      </c>
      <c r="AC186" s="7" t="e">
        <f>IF(VLOOKUP($A186,'Concrete Beam Schedule'!$A$2:$Q$2902,AC$2,0)&lt;&gt;M186,"Beam Revised","")</f>
        <v>#N/A</v>
      </c>
      <c r="AD186" s="7" t="e">
        <f>IF(VLOOKUP($A186,'Concrete Beam Schedule'!$A$2:$Q$2902,AD$2,0)&lt;&gt;N186,"Beam Revised","")</f>
        <v>#N/A</v>
      </c>
      <c r="AE186" s="7" t="e">
        <f>IF(VLOOKUP($A186,'Concrete Beam Schedule'!$A$2:$Q$2902,AE$2,0)&lt;&gt;O186,"Beam Revised","")</f>
        <v>#N/A</v>
      </c>
    </row>
    <row r="187" spans="1:31" ht="25.5" customHeight="1" x14ac:dyDescent="0.25">
      <c r="A187" s="17"/>
      <c r="B187" s="17"/>
      <c r="C187" s="17"/>
      <c r="D187" s="17"/>
      <c r="E187" s="17"/>
      <c r="F187" s="17"/>
      <c r="G187" s="17"/>
      <c r="H187" s="17"/>
      <c r="I187" s="17"/>
      <c r="J187" s="17"/>
      <c r="K187" s="17"/>
      <c r="L187" s="17"/>
      <c r="M187" s="17"/>
      <c r="N187" s="17"/>
      <c r="O187" s="17"/>
      <c r="Q187" s="7">
        <f t="shared" si="2"/>
        <v>0</v>
      </c>
      <c r="R187" s="7" t="e">
        <f>IF(VLOOKUP($A187,'Concrete Beam Schedule'!$A$2:$Q$2902,R$2,0)&lt;&gt;B187,VLOOKUP($A187,'Concrete Beam Schedule'!$A$2:$Q$2902,R$2,0),"")</f>
        <v>#N/A</v>
      </c>
      <c r="S187" s="7" t="e">
        <f>IF(VLOOKUP($A187,'Concrete Beam Schedule'!$A$2:$Q$2902,S$2,0)&lt;&gt;C187,VLOOKUP($A187,'Concrete Beam Schedule'!$A$2:$Q$2902,S$2,0),"")</f>
        <v>#N/A</v>
      </c>
      <c r="T187" s="7" t="e">
        <f>IF(VLOOKUP($A187,'Concrete Beam Schedule'!$A$2:$Q$2902,T$2,0)&lt;&gt;D187,"Beam Revised","")</f>
        <v>#N/A</v>
      </c>
      <c r="U187" s="7" t="e">
        <f>IF(VLOOKUP($A187,'Concrete Beam Schedule'!$A$2:$Q$2902,U$2,0)&lt;&gt;E187,"Beam Revised","")</f>
        <v>#N/A</v>
      </c>
      <c r="V187" s="7" t="e">
        <f>IF(VLOOKUP($A187,'Concrete Beam Schedule'!$A$2:$Q$2902,V$2,0)&lt;&gt;F187,"Beam Revised","")</f>
        <v>#N/A</v>
      </c>
      <c r="W187" s="7" t="e">
        <f>IF(VLOOKUP($A187,'Concrete Beam Schedule'!$A$2:$Q$2902,W$2,0)&lt;&gt;G187,"Beam Revised","")</f>
        <v>#N/A</v>
      </c>
      <c r="X187" s="7" t="e">
        <f>IF(VLOOKUP($A187,'Concrete Beam Schedule'!$A$2:$Q$2902,X$2,0)&lt;&gt;H187,"Beam Revised","")</f>
        <v>#N/A</v>
      </c>
      <c r="Y187" s="7" t="e">
        <f>IF(VLOOKUP($A187,'Concrete Beam Schedule'!$A$2:$Q$2902,Y$2,0)&lt;&gt;I187,"Beam Revised","")</f>
        <v>#N/A</v>
      </c>
      <c r="Z187" s="7" t="e">
        <f>IF(VLOOKUP($A187,'Concrete Beam Schedule'!$A$2:$Q$2902,Z$2,0)&lt;&gt;J187,"Beam Revised","")</f>
        <v>#N/A</v>
      </c>
      <c r="AA187" s="7" t="e">
        <f>IF(VLOOKUP($A187,'Concrete Beam Schedule'!$A$2:$Q$2902,AA$2,0)&lt;&gt;K187,"Beam Revised","")</f>
        <v>#N/A</v>
      </c>
      <c r="AB187" s="7" t="e">
        <f>IF(VLOOKUP($A187,'Concrete Beam Schedule'!$A$2:$Q$2902,AB$2,0)&lt;&gt;L187,"Beam Revised","")</f>
        <v>#N/A</v>
      </c>
      <c r="AC187" s="7" t="e">
        <f>IF(VLOOKUP($A187,'Concrete Beam Schedule'!$A$2:$Q$2902,AC$2,0)&lt;&gt;M187,"Beam Revised","")</f>
        <v>#N/A</v>
      </c>
      <c r="AD187" s="7" t="e">
        <f>IF(VLOOKUP($A187,'Concrete Beam Schedule'!$A$2:$Q$2902,AD$2,0)&lt;&gt;N187,"Beam Revised","")</f>
        <v>#N/A</v>
      </c>
      <c r="AE187" s="7" t="e">
        <f>IF(VLOOKUP($A187,'Concrete Beam Schedule'!$A$2:$Q$2902,AE$2,0)&lt;&gt;O187,"Beam Revised","")</f>
        <v>#N/A</v>
      </c>
    </row>
    <row r="188" spans="1:31" ht="25.5" customHeight="1" x14ac:dyDescent="0.25">
      <c r="A188" s="17"/>
      <c r="B188" s="17"/>
      <c r="C188" s="17"/>
      <c r="D188" s="17"/>
      <c r="E188" s="17"/>
      <c r="F188" s="17"/>
      <c r="G188" s="17"/>
      <c r="H188" s="17"/>
      <c r="I188" s="17"/>
      <c r="J188" s="17"/>
      <c r="K188" s="17"/>
      <c r="L188" s="17"/>
      <c r="M188" s="17"/>
      <c r="N188" s="17"/>
      <c r="O188" s="17"/>
      <c r="Q188" s="7">
        <f t="shared" si="2"/>
        <v>0</v>
      </c>
      <c r="R188" s="7" t="e">
        <f>IF(VLOOKUP($A188,'Concrete Beam Schedule'!$A$2:$Q$2902,R$2,0)&lt;&gt;B188,VLOOKUP($A188,'Concrete Beam Schedule'!$A$2:$Q$2902,R$2,0),"")</f>
        <v>#N/A</v>
      </c>
      <c r="S188" s="7" t="e">
        <f>IF(VLOOKUP($A188,'Concrete Beam Schedule'!$A$2:$Q$2902,S$2,0)&lt;&gt;C188,VLOOKUP($A188,'Concrete Beam Schedule'!$A$2:$Q$2902,S$2,0),"")</f>
        <v>#N/A</v>
      </c>
      <c r="T188" s="7" t="e">
        <f>IF(VLOOKUP($A188,'Concrete Beam Schedule'!$A$2:$Q$2902,T$2,0)&lt;&gt;D188,"Beam Revised","")</f>
        <v>#N/A</v>
      </c>
      <c r="U188" s="7" t="e">
        <f>IF(VLOOKUP($A188,'Concrete Beam Schedule'!$A$2:$Q$2902,U$2,0)&lt;&gt;E188,"Beam Revised","")</f>
        <v>#N/A</v>
      </c>
      <c r="V188" s="7" t="e">
        <f>IF(VLOOKUP($A188,'Concrete Beam Schedule'!$A$2:$Q$2902,V$2,0)&lt;&gt;F188,"Beam Revised","")</f>
        <v>#N/A</v>
      </c>
      <c r="W188" s="7" t="e">
        <f>IF(VLOOKUP($A188,'Concrete Beam Schedule'!$A$2:$Q$2902,W$2,0)&lt;&gt;G188,"Beam Revised","")</f>
        <v>#N/A</v>
      </c>
      <c r="X188" s="7" t="e">
        <f>IF(VLOOKUP($A188,'Concrete Beam Schedule'!$A$2:$Q$2902,X$2,0)&lt;&gt;H188,"Beam Revised","")</f>
        <v>#N/A</v>
      </c>
      <c r="Y188" s="7" t="e">
        <f>IF(VLOOKUP($A188,'Concrete Beam Schedule'!$A$2:$Q$2902,Y$2,0)&lt;&gt;I188,"Beam Revised","")</f>
        <v>#N/A</v>
      </c>
      <c r="Z188" s="7" t="e">
        <f>IF(VLOOKUP($A188,'Concrete Beam Schedule'!$A$2:$Q$2902,Z$2,0)&lt;&gt;J188,"Beam Revised","")</f>
        <v>#N/A</v>
      </c>
      <c r="AA188" s="7" t="e">
        <f>IF(VLOOKUP($A188,'Concrete Beam Schedule'!$A$2:$Q$2902,AA$2,0)&lt;&gt;K188,"Beam Revised","")</f>
        <v>#N/A</v>
      </c>
      <c r="AB188" s="7" t="e">
        <f>IF(VLOOKUP($A188,'Concrete Beam Schedule'!$A$2:$Q$2902,AB$2,0)&lt;&gt;L188,"Beam Revised","")</f>
        <v>#N/A</v>
      </c>
      <c r="AC188" s="7" t="e">
        <f>IF(VLOOKUP($A188,'Concrete Beam Schedule'!$A$2:$Q$2902,AC$2,0)&lt;&gt;M188,"Beam Revised","")</f>
        <v>#N/A</v>
      </c>
      <c r="AD188" s="7" t="e">
        <f>IF(VLOOKUP($A188,'Concrete Beam Schedule'!$A$2:$Q$2902,AD$2,0)&lt;&gt;N188,"Beam Revised","")</f>
        <v>#N/A</v>
      </c>
      <c r="AE188" s="7" t="e">
        <f>IF(VLOOKUP($A188,'Concrete Beam Schedule'!$A$2:$Q$2902,AE$2,0)&lt;&gt;O188,"Beam Revised","")</f>
        <v>#N/A</v>
      </c>
    </row>
    <row r="189" spans="1:31" ht="25.5" customHeight="1" x14ac:dyDescent="0.25">
      <c r="A189" s="17"/>
      <c r="B189" s="17"/>
      <c r="C189" s="17"/>
      <c r="D189" s="17"/>
      <c r="E189" s="17"/>
      <c r="F189" s="17"/>
      <c r="G189" s="17"/>
      <c r="H189" s="17"/>
      <c r="I189" s="17"/>
      <c r="J189" s="17"/>
      <c r="K189" s="17"/>
      <c r="L189" s="17"/>
      <c r="M189" s="17"/>
      <c r="N189" s="17"/>
      <c r="O189" s="17"/>
      <c r="Q189" s="7">
        <f t="shared" si="2"/>
        <v>0</v>
      </c>
      <c r="R189" s="7" t="e">
        <f>IF(VLOOKUP($A189,'Concrete Beam Schedule'!$A$2:$Q$2902,R$2,0)&lt;&gt;B189,VLOOKUP($A189,'Concrete Beam Schedule'!$A$2:$Q$2902,R$2,0),"")</f>
        <v>#N/A</v>
      </c>
      <c r="S189" s="7" t="e">
        <f>IF(VLOOKUP($A189,'Concrete Beam Schedule'!$A$2:$Q$2902,S$2,0)&lt;&gt;C189,VLOOKUP($A189,'Concrete Beam Schedule'!$A$2:$Q$2902,S$2,0),"")</f>
        <v>#N/A</v>
      </c>
      <c r="T189" s="7" t="e">
        <f>IF(VLOOKUP($A189,'Concrete Beam Schedule'!$A$2:$Q$2902,T$2,0)&lt;&gt;D189,"Beam Revised","")</f>
        <v>#N/A</v>
      </c>
      <c r="U189" s="7" t="e">
        <f>IF(VLOOKUP($A189,'Concrete Beam Schedule'!$A$2:$Q$2902,U$2,0)&lt;&gt;E189,"Beam Revised","")</f>
        <v>#N/A</v>
      </c>
      <c r="V189" s="7" t="e">
        <f>IF(VLOOKUP($A189,'Concrete Beam Schedule'!$A$2:$Q$2902,V$2,0)&lt;&gt;F189,"Beam Revised","")</f>
        <v>#N/A</v>
      </c>
      <c r="W189" s="7" t="e">
        <f>IF(VLOOKUP($A189,'Concrete Beam Schedule'!$A$2:$Q$2902,W$2,0)&lt;&gt;G189,"Beam Revised","")</f>
        <v>#N/A</v>
      </c>
      <c r="X189" s="7" t="e">
        <f>IF(VLOOKUP($A189,'Concrete Beam Schedule'!$A$2:$Q$2902,X$2,0)&lt;&gt;H189,"Beam Revised","")</f>
        <v>#N/A</v>
      </c>
      <c r="Y189" s="7" t="e">
        <f>IF(VLOOKUP($A189,'Concrete Beam Schedule'!$A$2:$Q$2902,Y$2,0)&lt;&gt;I189,"Beam Revised","")</f>
        <v>#N/A</v>
      </c>
      <c r="Z189" s="7" t="e">
        <f>IF(VLOOKUP($A189,'Concrete Beam Schedule'!$A$2:$Q$2902,Z$2,0)&lt;&gt;J189,"Beam Revised","")</f>
        <v>#N/A</v>
      </c>
      <c r="AA189" s="7" t="e">
        <f>IF(VLOOKUP($A189,'Concrete Beam Schedule'!$A$2:$Q$2902,AA$2,0)&lt;&gt;K189,"Beam Revised","")</f>
        <v>#N/A</v>
      </c>
      <c r="AB189" s="7" t="e">
        <f>IF(VLOOKUP($A189,'Concrete Beam Schedule'!$A$2:$Q$2902,AB$2,0)&lt;&gt;L189,"Beam Revised","")</f>
        <v>#N/A</v>
      </c>
      <c r="AC189" s="7" t="e">
        <f>IF(VLOOKUP($A189,'Concrete Beam Schedule'!$A$2:$Q$2902,AC$2,0)&lt;&gt;M189,"Beam Revised","")</f>
        <v>#N/A</v>
      </c>
      <c r="AD189" s="7" t="e">
        <f>IF(VLOOKUP($A189,'Concrete Beam Schedule'!$A$2:$Q$2902,AD$2,0)&lt;&gt;N189,"Beam Revised","")</f>
        <v>#N/A</v>
      </c>
      <c r="AE189" s="7" t="e">
        <f>IF(VLOOKUP($A189,'Concrete Beam Schedule'!$A$2:$Q$2902,AE$2,0)&lt;&gt;O189,"Beam Revised","")</f>
        <v>#N/A</v>
      </c>
    </row>
    <row r="190" spans="1:31" ht="25.5" customHeight="1" x14ac:dyDescent="0.25">
      <c r="A190" s="17"/>
      <c r="B190" s="17"/>
      <c r="C190" s="17"/>
      <c r="D190" s="17"/>
      <c r="E190" s="17"/>
      <c r="F190" s="17"/>
      <c r="G190" s="17"/>
      <c r="H190" s="17"/>
      <c r="I190" s="17"/>
      <c r="J190" s="17"/>
      <c r="K190" s="17"/>
      <c r="L190" s="17"/>
      <c r="M190" s="17"/>
      <c r="N190" s="17"/>
      <c r="O190" s="17"/>
      <c r="Q190" s="7">
        <f t="shared" si="2"/>
        <v>0</v>
      </c>
      <c r="R190" s="7" t="e">
        <f>IF(VLOOKUP($A190,'Concrete Beam Schedule'!$A$2:$Q$2902,R$2,0)&lt;&gt;B190,VLOOKUP($A190,'Concrete Beam Schedule'!$A$2:$Q$2902,R$2,0),"")</f>
        <v>#N/A</v>
      </c>
      <c r="S190" s="7" t="e">
        <f>IF(VLOOKUP($A190,'Concrete Beam Schedule'!$A$2:$Q$2902,S$2,0)&lt;&gt;C190,VLOOKUP($A190,'Concrete Beam Schedule'!$A$2:$Q$2902,S$2,0),"")</f>
        <v>#N/A</v>
      </c>
      <c r="T190" s="7" t="e">
        <f>IF(VLOOKUP($A190,'Concrete Beam Schedule'!$A$2:$Q$2902,T$2,0)&lt;&gt;D190,"Beam Revised","")</f>
        <v>#N/A</v>
      </c>
      <c r="U190" s="7" t="e">
        <f>IF(VLOOKUP($A190,'Concrete Beam Schedule'!$A$2:$Q$2902,U$2,0)&lt;&gt;E190,"Beam Revised","")</f>
        <v>#N/A</v>
      </c>
      <c r="V190" s="7" t="e">
        <f>IF(VLOOKUP($A190,'Concrete Beam Schedule'!$A$2:$Q$2902,V$2,0)&lt;&gt;F190,"Beam Revised","")</f>
        <v>#N/A</v>
      </c>
      <c r="W190" s="7" t="e">
        <f>IF(VLOOKUP($A190,'Concrete Beam Schedule'!$A$2:$Q$2902,W$2,0)&lt;&gt;G190,"Beam Revised","")</f>
        <v>#N/A</v>
      </c>
      <c r="X190" s="7" t="e">
        <f>IF(VLOOKUP($A190,'Concrete Beam Schedule'!$A$2:$Q$2902,X$2,0)&lt;&gt;H190,"Beam Revised","")</f>
        <v>#N/A</v>
      </c>
      <c r="Y190" s="7" t="e">
        <f>IF(VLOOKUP($A190,'Concrete Beam Schedule'!$A$2:$Q$2902,Y$2,0)&lt;&gt;I190,"Beam Revised","")</f>
        <v>#N/A</v>
      </c>
      <c r="Z190" s="7" t="e">
        <f>IF(VLOOKUP($A190,'Concrete Beam Schedule'!$A$2:$Q$2902,Z$2,0)&lt;&gt;J190,"Beam Revised","")</f>
        <v>#N/A</v>
      </c>
      <c r="AA190" s="7" t="e">
        <f>IF(VLOOKUP($A190,'Concrete Beam Schedule'!$A$2:$Q$2902,AA$2,0)&lt;&gt;K190,"Beam Revised","")</f>
        <v>#N/A</v>
      </c>
      <c r="AB190" s="7" t="e">
        <f>IF(VLOOKUP($A190,'Concrete Beam Schedule'!$A$2:$Q$2902,AB$2,0)&lt;&gt;L190,"Beam Revised","")</f>
        <v>#N/A</v>
      </c>
      <c r="AC190" s="7" t="e">
        <f>IF(VLOOKUP($A190,'Concrete Beam Schedule'!$A$2:$Q$2902,AC$2,0)&lt;&gt;M190,"Beam Revised","")</f>
        <v>#N/A</v>
      </c>
      <c r="AD190" s="7" t="e">
        <f>IF(VLOOKUP($A190,'Concrete Beam Schedule'!$A$2:$Q$2902,AD$2,0)&lt;&gt;N190,"Beam Revised","")</f>
        <v>#N/A</v>
      </c>
      <c r="AE190" s="7" t="e">
        <f>IF(VLOOKUP($A190,'Concrete Beam Schedule'!$A$2:$Q$2902,AE$2,0)&lt;&gt;O190,"Beam Revised","")</f>
        <v>#N/A</v>
      </c>
    </row>
    <row r="191" spans="1:31" ht="25.5" customHeight="1" x14ac:dyDescent="0.25">
      <c r="A191" s="17"/>
      <c r="B191" s="17"/>
      <c r="C191" s="17"/>
      <c r="D191" s="17"/>
      <c r="E191" s="17"/>
      <c r="F191" s="17"/>
      <c r="G191" s="17"/>
      <c r="H191" s="17"/>
      <c r="I191" s="17"/>
      <c r="J191" s="17"/>
      <c r="K191" s="17"/>
      <c r="L191" s="17"/>
      <c r="M191" s="17"/>
      <c r="N191" s="17"/>
      <c r="O191" s="17"/>
      <c r="Q191" s="7">
        <f t="shared" si="2"/>
        <v>0</v>
      </c>
      <c r="R191" s="7" t="e">
        <f>IF(VLOOKUP($A191,'Concrete Beam Schedule'!$A$2:$Q$2902,R$2,0)&lt;&gt;B191,VLOOKUP($A191,'Concrete Beam Schedule'!$A$2:$Q$2902,R$2,0),"")</f>
        <v>#N/A</v>
      </c>
      <c r="S191" s="7" t="e">
        <f>IF(VLOOKUP($A191,'Concrete Beam Schedule'!$A$2:$Q$2902,S$2,0)&lt;&gt;C191,VLOOKUP($A191,'Concrete Beam Schedule'!$A$2:$Q$2902,S$2,0),"")</f>
        <v>#N/A</v>
      </c>
      <c r="T191" s="7" t="e">
        <f>IF(VLOOKUP($A191,'Concrete Beam Schedule'!$A$2:$Q$2902,T$2,0)&lt;&gt;D191,"Beam Revised","")</f>
        <v>#N/A</v>
      </c>
      <c r="U191" s="7" t="e">
        <f>IF(VLOOKUP($A191,'Concrete Beam Schedule'!$A$2:$Q$2902,U$2,0)&lt;&gt;E191,"Beam Revised","")</f>
        <v>#N/A</v>
      </c>
      <c r="V191" s="7" t="e">
        <f>IF(VLOOKUP($A191,'Concrete Beam Schedule'!$A$2:$Q$2902,V$2,0)&lt;&gt;F191,"Beam Revised","")</f>
        <v>#N/A</v>
      </c>
      <c r="W191" s="7" t="e">
        <f>IF(VLOOKUP($A191,'Concrete Beam Schedule'!$A$2:$Q$2902,W$2,0)&lt;&gt;G191,"Beam Revised","")</f>
        <v>#N/A</v>
      </c>
      <c r="X191" s="7" t="e">
        <f>IF(VLOOKUP($A191,'Concrete Beam Schedule'!$A$2:$Q$2902,X$2,0)&lt;&gt;H191,"Beam Revised","")</f>
        <v>#N/A</v>
      </c>
      <c r="Y191" s="7" t="e">
        <f>IF(VLOOKUP($A191,'Concrete Beam Schedule'!$A$2:$Q$2902,Y$2,0)&lt;&gt;I191,"Beam Revised","")</f>
        <v>#N/A</v>
      </c>
      <c r="Z191" s="7" t="e">
        <f>IF(VLOOKUP($A191,'Concrete Beam Schedule'!$A$2:$Q$2902,Z$2,0)&lt;&gt;J191,"Beam Revised","")</f>
        <v>#N/A</v>
      </c>
      <c r="AA191" s="7" t="e">
        <f>IF(VLOOKUP($A191,'Concrete Beam Schedule'!$A$2:$Q$2902,AA$2,0)&lt;&gt;K191,"Beam Revised","")</f>
        <v>#N/A</v>
      </c>
      <c r="AB191" s="7" t="e">
        <f>IF(VLOOKUP($A191,'Concrete Beam Schedule'!$A$2:$Q$2902,AB$2,0)&lt;&gt;L191,"Beam Revised","")</f>
        <v>#N/A</v>
      </c>
      <c r="AC191" s="7" t="e">
        <f>IF(VLOOKUP($A191,'Concrete Beam Schedule'!$A$2:$Q$2902,AC$2,0)&lt;&gt;M191,"Beam Revised","")</f>
        <v>#N/A</v>
      </c>
      <c r="AD191" s="7" t="e">
        <f>IF(VLOOKUP($A191,'Concrete Beam Schedule'!$A$2:$Q$2902,AD$2,0)&lt;&gt;N191,"Beam Revised","")</f>
        <v>#N/A</v>
      </c>
      <c r="AE191" s="7" t="e">
        <f>IF(VLOOKUP($A191,'Concrete Beam Schedule'!$A$2:$Q$2902,AE$2,0)&lt;&gt;O191,"Beam Revised","")</f>
        <v>#N/A</v>
      </c>
    </row>
    <row r="192" spans="1:31" ht="25.5" customHeight="1" x14ac:dyDescent="0.25">
      <c r="A192" s="17"/>
      <c r="B192" s="17"/>
      <c r="C192" s="17"/>
      <c r="D192" s="17"/>
      <c r="E192" s="17"/>
      <c r="F192" s="17"/>
      <c r="G192" s="17"/>
      <c r="H192" s="17"/>
      <c r="I192" s="17"/>
      <c r="J192" s="17"/>
      <c r="K192" s="17"/>
      <c r="L192" s="17"/>
      <c r="M192" s="17"/>
      <c r="N192" s="17"/>
      <c r="O192" s="17"/>
      <c r="Q192" s="7">
        <f t="shared" si="2"/>
        <v>0</v>
      </c>
      <c r="R192" s="7" t="e">
        <f>IF(VLOOKUP($A192,'Concrete Beam Schedule'!$A$2:$Q$2902,R$2,0)&lt;&gt;B192,VLOOKUP($A192,'Concrete Beam Schedule'!$A$2:$Q$2902,R$2,0),"")</f>
        <v>#N/A</v>
      </c>
      <c r="S192" s="7" t="e">
        <f>IF(VLOOKUP($A192,'Concrete Beam Schedule'!$A$2:$Q$2902,S$2,0)&lt;&gt;C192,VLOOKUP($A192,'Concrete Beam Schedule'!$A$2:$Q$2902,S$2,0),"")</f>
        <v>#N/A</v>
      </c>
      <c r="T192" s="7" t="e">
        <f>IF(VLOOKUP($A192,'Concrete Beam Schedule'!$A$2:$Q$2902,T$2,0)&lt;&gt;D192,"Beam Revised","")</f>
        <v>#N/A</v>
      </c>
      <c r="U192" s="7" t="e">
        <f>IF(VLOOKUP($A192,'Concrete Beam Schedule'!$A$2:$Q$2902,U$2,0)&lt;&gt;E192,"Beam Revised","")</f>
        <v>#N/A</v>
      </c>
      <c r="V192" s="7" t="e">
        <f>IF(VLOOKUP($A192,'Concrete Beam Schedule'!$A$2:$Q$2902,V$2,0)&lt;&gt;F192,"Beam Revised","")</f>
        <v>#N/A</v>
      </c>
      <c r="W192" s="7" t="e">
        <f>IF(VLOOKUP($A192,'Concrete Beam Schedule'!$A$2:$Q$2902,W$2,0)&lt;&gt;G192,"Beam Revised","")</f>
        <v>#N/A</v>
      </c>
      <c r="X192" s="7" t="e">
        <f>IF(VLOOKUP($A192,'Concrete Beam Schedule'!$A$2:$Q$2902,X$2,0)&lt;&gt;H192,"Beam Revised","")</f>
        <v>#N/A</v>
      </c>
      <c r="Y192" s="7" t="e">
        <f>IF(VLOOKUP($A192,'Concrete Beam Schedule'!$A$2:$Q$2902,Y$2,0)&lt;&gt;I192,"Beam Revised","")</f>
        <v>#N/A</v>
      </c>
      <c r="Z192" s="7" t="e">
        <f>IF(VLOOKUP($A192,'Concrete Beam Schedule'!$A$2:$Q$2902,Z$2,0)&lt;&gt;J192,"Beam Revised","")</f>
        <v>#N/A</v>
      </c>
      <c r="AA192" s="7" t="e">
        <f>IF(VLOOKUP($A192,'Concrete Beam Schedule'!$A$2:$Q$2902,AA$2,0)&lt;&gt;K192,"Beam Revised","")</f>
        <v>#N/A</v>
      </c>
      <c r="AB192" s="7" t="e">
        <f>IF(VLOOKUP($A192,'Concrete Beam Schedule'!$A$2:$Q$2902,AB$2,0)&lt;&gt;L192,"Beam Revised","")</f>
        <v>#N/A</v>
      </c>
      <c r="AC192" s="7" t="e">
        <f>IF(VLOOKUP($A192,'Concrete Beam Schedule'!$A$2:$Q$2902,AC$2,0)&lt;&gt;M192,"Beam Revised","")</f>
        <v>#N/A</v>
      </c>
      <c r="AD192" s="7" t="e">
        <f>IF(VLOOKUP($A192,'Concrete Beam Schedule'!$A$2:$Q$2902,AD$2,0)&lt;&gt;N192,"Beam Revised","")</f>
        <v>#N/A</v>
      </c>
      <c r="AE192" s="7" t="e">
        <f>IF(VLOOKUP($A192,'Concrete Beam Schedule'!$A$2:$Q$2902,AE$2,0)&lt;&gt;O192,"Beam Revised","")</f>
        <v>#N/A</v>
      </c>
    </row>
    <row r="193" spans="1:31" ht="25.5" customHeight="1" x14ac:dyDescent="0.25">
      <c r="A193" s="17"/>
      <c r="B193" s="17"/>
      <c r="C193" s="17"/>
      <c r="D193" s="17"/>
      <c r="E193" s="17"/>
      <c r="F193" s="17"/>
      <c r="G193" s="17"/>
      <c r="H193" s="17"/>
      <c r="I193" s="17"/>
      <c r="J193" s="17"/>
      <c r="K193" s="17"/>
      <c r="L193" s="17"/>
      <c r="M193" s="17"/>
      <c r="N193" s="17"/>
      <c r="O193" s="17"/>
      <c r="Q193" s="7">
        <f t="shared" si="2"/>
        <v>0</v>
      </c>
      <c r="R193" s="7" t="e">
        <f>IF(VLOOKUP($A193,'Concrete Beam Schedule'!$A$2:$Q$2902,R$2,0)&lt;&gt;B193,VLOOKUP($A193,'Concrete Beam Schedule'!$A$2:$Q$2902,R$2,0),"")</f>
        <v>#N/A</v>
      </c>
      <c r="S193" s="7" t="e">
        <f>IF(VLOOKUP($A193,'Concrete Beam Schedule'!$A$2:$Q$2902,S$2,0)&lt;&gt;C193,VLOOKUP($A193,'Concrete Beam Schedule'!$A$2:$Q$2902,S$2,0),"")</f>
        <v>#N/A</v>
      </c>
      <c r="T193" s="7" t="e">
        <f>IF(VLOOKUP($A193,'Concrete Beam Schedule'!$A$2:$Q$2902,T$2,0)&lt;&gt;D193,"Beam Revised","")</f>
        <v>#N/A</v>
      </c>
      <c r="U193" s="7" t="e">
        <f>IF(VLOOKUP($A193,'Concrete Beam Schedule'!$A$2:$Q$2902,U$2,0)&lt;&gt;E193,"Beam Revised","")</f>
        <v>#N/A</v>
      </c>
      <c r="V193" s="7" t="e">
        <f>IF(VLOOKUP($A193,'Concrete Beam Schedule'!$A$2:$Q$2902,V$2,0)&lt;&gt;F193,"Beam Revised","")</f>
        <v>#N/A</v>
      </c>
      <c r="W193" s="7" t="e">
        <f>IF(VLOOKUP($A193,'Concrete Beam Schedule'!$A$2:$Q$2902,W$2,0)&lt;&gt;G193,"Beam Revised","")</f>
        <v>#N/A</v>
      </c>
      <c r="X193" s="7" t="e">
        <f>IF(VLOOKUP($A193,'Concrete Beam Schedule'!$A$2:$Q$2902,X$2,0)&lt;&gt;H193,"Beam Revised","")</f>
        <v>#N/A</v>
      </c>
      <c r="Y193" s="7" t="e">
        <f>IF(VLOOKUP($A193,'Concrete Beam Schedule'!$A$2:$Q$2902,Y$2,0)&lt;&gt;I193,"Beam Revised","")</f>
        <v>#N/A</v>
      </c>
      <c r="Z193" s="7" t="e">
        <f>IF(VLOOKUP($A193,'Concrete Beam Schedule'!$A$2:$Q$2902,Z$2,0)&lt;&gt;J193,"Beam Revised","")</f>
        <v>#N/A</v>
      </c>
      <c r="AA193" s="7" t="e">
        <f>IF(VLOOKUP($A193,'Concrete Beam Schedule'!$A$2:$Q$2902,AA$2,0)&lt;&gt;K193,"Beam Revised","")</f>
        <v>#N/A</v>
      </c>
      <c r="AB193" s="7" t="e">
        <f>IF(VLOOKUP($A193,'Concrete Beam Schedule'!$A$2:$Q$2902,AB$2,0)&lt;&gt;L193,"Beam Revised","")</f>
        <v>#N/A</v>
      </c>
      <c r="AC193" s="7" t="e">
        <f>IF(VLOOKUP($A193,'Concrete Beam Schedule'!$A$2:$Q$2902,AC$2,0)&lt;&gt;M193,"Beam Revised","")</f>
        <v>#N/A</v>
      </c>
      <c r="AD193" s="7" t="e">
        <f>IF(VLOOKUP($A193,'Concrete Beam Schedule'!$A$2:$Q$2902,AD$2,0)&lt;&gt;N193,"Beam Revised","")</f>
        <v>#N/A</v>
      </c>
      <c r="AE193" s="7" t="e">
        <f>IF(VLOOKUP($A193,'Concrete Beam Schedule'!$A$2:$Q$2902,AE$2,0)&lt;&gt;O193,"Beam Revised","")</f>
        <v>#N/A</v>
      </c>
    </row>
    <row r="194" spans="1:31" ht="25.5" customHeight="1" x14ac:dyDescent="0.25">
      <c r="A194" s="17"/>
      <c r="B194" s="17"/>
      <c r="C194" s="17"/>
      <c r="D194" s="17"/>
      <c r="E194" s="17"/>
      <c r="F194" s="17"/>
      <c r="G194" s="17"/>
      <c r="H194" s="17"/>
      <c r="I194" s="17"/>
      <c r="J194" s="17"/>
      <c r="K194" s="17"/>
      <c r="L194" s="17"/>
      <c r="M194" s="17"/>
      <c r="N194" s="17"/>
      <c r="O194" s="17"/>
      <c r="Q194" s="7">
        <f t="shared" si="2"/>
        <v>0</v>
      </c>
      <c r="R194" s="7" t="e">
        <f>IF(VLOOKUP($A194,'Concrete Beam Schedule'!$A$2:$Q$2902,R$2,0)&lt;&gt;B194,VLOOKUP($A194,'Concrete Beam Schedule'!$A$2:$Q$2902,R$2,0),"")</f>
        <v>#N/A</v>
      </c>
      <c r="S194" s="7" t="e">
        <f>IF(VLOOKUP($A194,'Concrete Beam Schedule'!$A$2:$Q$2902,S$2,0)&lt;&gt;C194,VLOOKUP($A194,'Concrete Beam Schedule'!$A$2:$Q$2902,S$2,0),"")</f>
        <v>#N/A</v>
      </c>
      <c r="T194" s="7" t="e">
        <f>IF(VLOOKUP($A194,'Concrete Beam Schedule'!$A$2:$Q$2902,T$2,0)&lt;&gt;D194,"Beam Revised","")</f>
        <v>#N/A</v>
      </c>
      <c r="U194" s="7" t="e">
        <f>IF(VLOOKUP($A194,'Concrete Beam Schedule'!$A$2:$Q$2902,U$2,0)&lt;&gt;E194,"Beam Revised","")</f>
        <v>#N/A</v>
      </c>
      <c r="V194" s="7" t="e">
        <f>IF(VLOOKUP($A194,'Concrete Beam Schedule'!$A$2:$Q$2902,V$2,0)&lt;&gt;F194,"Beam Revised","")</f>
        <v>#N/A</v>
      </c>
      <c r="W194" s="7" t="e">
        <f>IF(VLOOKUP($A194,'Concrete Beam Schedule'!$A$2:$Q$2902,W$2,0)&lt;&gt;G194,"Beam Revised","")</f>
        <v>#N/A</v>
      </c>
      <c r="X194" s="7" t="e">
        <f>IF(VLOOKUP($A194,'Concrete Beam Schedule'!$A$2:$Q$2902,X$2,0)&lt;&gt;H194,"Beam Revised","")</f>
        <v>#N/A</v>
      </c>
      <c r="Y194" s="7" t="e">
        <f>IF(VLOOKUP($A194,'Concrete Beam Schedule'!$A$2:$Q$2902,Y$2,0)&lt;&gt;I194,"Beam Revised","")</f>
        <v>#N/A</v>
      </c>
      <c r="Z194" s="7" t="e">
        <f>IF(VLOOKUP($A194,'Concrete Beam Schedule'!$A$2:$Q$2902,Z$2,0)&lt;&gt;J194,"Beam Revised","")</f>
        <v>#N/A</v>
      </c>
      <c r="AA194" s="7" t="e">
        <f>IF(VLOOKUP($A194,'Concrete Beam Schedule'!$A$2:$Q$2902,AA$2,0)&lt;&gt;K194,"Beam Revised","")</f>
        <v>#N/A</v>
      </c>
      <c r="AB194" s="7" t="e">
        <f>IF(VLOOKUP($A194,'Concrete Beam Schedule'!$A$2:$Q$2902,AB$2,0)&lt;&gt;L194,"Beam Revised","")</f>
        <v>#N/A</v>
      </c>
      <c r="AC194" s="7" t="e">
        <f>IF(VLOOKUP($A194,'Concrete Beam Schedule'!$A$2:$Q$2902,AC$2,0)&lt;&gt;M194,"Beam Revised","")</f>
        <v>#N/A</v>
      </c>
      <c r="AD194" s="7" t="e">
        <f>IF(VLOOKUP($A194,'Concrete Beam Schedule'!$A$2:$Q$2902,AD$2,0)&lt;&gt;N194,"Beam Revised","")</f>
        <v>#N/A</v>
      </c>
      <c r="AE194" s="7" t="e">
        <f>IF(VLOOKUP($A194,'Concrete Beam Schedule'!$A$2:$Q$2902,AE$2,0)&lt;&gt;O194,"Beam Revised","")</f>
        <v>#N/A</v>
      </c>
    </row>
    <row r="195" spans="1:31" ht="25.5" customHeight="1" x14ac:dyDescent="0.25">
      <c r="A195" s="17"/>
      <c r="B195" s="17"/>
      <c r="C195" s="17"/>
      <c r="D195" s="17"/>
      <c r="E195" s="17"/>
      <c r="F195" s="17"/>
      <c r="G195" s="17"/>
      <c r="H195" s="17"/>
      <c r="I195" s="17"/>
      <c r="J195" s="17"/>
      <c r="K195" s="17"/>
      <c r="L195" s="17"/>
      <c r="M195" s="17"/>
      <c r="N195" s="17"/>
      <c r="O195" s="17"/>
      <c r="Q195" s="7">
        <f t="shared" si="2"/>
        <v>0</v>
      </c>
      <c r="R195" s="7" t="e">
        <f>IF(VLOOKUP($A195,'Concrete Beam Schedule'!$A$2:$Q$2902,R$2,0)&lt;&gt;B195,VLOOKUP($A195,'Concrete Beam Schedule'!$A$2:$Q$2902,R$2,0),"")</f>
        <v>#N/A</v>
      </c>
      <c r="S195" s="7" t="e">
        <f>IF(VLOOKUP($A195,'Concrete Beam Schedule'!$A$2:$Q$2902,S$2,0)&lt;&gt;C195,VLOOKUP($A195,'Concrete Beam Schedule'!$A$2:$Q$2902,S$2,0),"")</f>
        <v>#N/A</v>
      </c>
      <c r="T195" s="7" t="e">
        <f>IF(VLOOKUP($A195,'Concrete Beam Schedule'!$A$2:$Q$2902,T$2,0)&lt;&gt;D195,"Beam Revised","")</f>
        <v>#N/A</v>
      </c>
      <c r="U195" s="7" t="e">
        <f>IF(VLOOKUP($A195,'Concrete Beam Schedule'!$A$2:$Q$2902,U$2,0)&lt;&gt;E195,"Beam Revised","")</f>
        <v>#N/A</v>
      </c>
      <c r="V195" s="7" t="e">
        <f>IF(VLOOKUP($A195,'Concrete Beam Schedule'!$A$2:$Q$2902,V$2,0)&lt;&gt;F195,"Beam Revised","")</f>
        <v>#N/A</v>
      </c>
      <c r="W195" s="7" t="e">
        <f>IF(VLOOKUP($A195,'Concrete Beam Schedule'!$A$2:$Q$2902,W$2,0)&lt;&gt;G195,"Beam Revised","")</f>
        <v>#N/A</v>
      </c>
      <c r="X195" s="7" t="e">
        <f>IF(VLOOKUP($A195,'Concrete Beam Schedule'!$A$2:$Q$2902,X$2,0)&lt;&gt;H195,"Beam Revised","")</f>
        <v>#N/A</v>
      </c>
      <c r="Y195" s="7" t="e">
        <f>IF(VLOOKUP($A195,'Concrete Beam Schedule'!$A$2:$Q$2902,Y$2,0)&lt;&gt;I195,"Beam Revised","")</f>
        <v>#N/A</v>
      </c>
      <c r="Z195" s="7" t="e">
        <f>IF(VLOOKUP($A195,'Concrete Beam Schedule'!$A$2:$Q$2902,Z$2,0)&lt;&gt;J195,"Beam Revised","")</f>
        <v>#N/A</v>
      </c>
      <c r="AA195" s="7" t="e">
        <f>IF(VLOOKUP($A195,'Concrete Beam Schedule'!$A$2:$Q$2902,AA$2,0)&lt;&gt;K195,"Beam Revised","")</f>
        <v>#N/A</v>
      </c>
      <c r="AB195" s="7" t="e">
        <f>IF(VLOOKUP($A195,'Concrete Beam Schedule'!$A$2:$Q$2902,AB$2,0)&lt;&gt;L195,"Beam Revised","")</f>
        <v>#N/A</v>
      </c>
      <c r="AC195" s="7" t="e">
        <f>IF(VLOOKUP($A195,'Concrete Beam Schedule'!$A$2:$Q$2902,AC$2,0)&lt;&gt;M195,"Beam Revised","")</f>
        <v>#N/A</v>
      </c>
      <c r="AD195" s="7" t="e">
        <f>IF(VLOOKUP($A195,'Concrete Beam Schedule'!$A$2:$Q$2902,AD$2,0)&lt;&gt;N195,"Beam Revised","")</f>
        <v>#N/A</v>
      </c>
      <c r="AE195" s="7" t="e">
        <f>IF(VLOOKUP($A195,'Concrete Beam Schedule'!$A$2:$Q$2902,AE$2,0)&lt;&gt;O195,"Beam Revised","")</f>
        <v>#N/A</v>
      </c>
    </row>
    <row r="196" spans="1:31" ht="25.5" customHeight="1" x14ac:dyDescent="0.25">
      <c r="A196" s="17"/>
      <c r="B196" s="17"/>
      <c r="C196" s="17"/>
      <c r="D196" s="17"/>
      <c r="E196" s="17"/>
      <c r="F196" s="17"/>
      <c r="G196" s="17"/>
      <c r="H196" s="17"/>
      <c r="I196" s="17"/>
      <c r="J196" s="17"/>
      <c r="K196" s="17"/>
      <c r="L196" s="17"/>
      <c r="M196" s="17"/>
      <c r="N196" s="17"/>
      <c r="O196" s="17"/>
      <c r="Q196" s="7">
        <f t="shared" ref="Q196:Q259" si="3">A196</f>
        <v>0</v>
      </c>
      <c r="R196" s="7" t="e">
        <f>IF(VLOOKUP($A196,'Concrete Beam Schedule'!$A$2:$Q$2902,R$2,0)&lt;&gt;B196,VLOOKUP($A196,'Concrete Beam Schedule'!$A$2:$Q$2902,R$2,0),"")</f>
        <v>#N/A</v>
      </c>
      <c r="S196" s="7" t="e">
        <f>IF(VLOOKUP($A196,'Concrete Beam Schedule'!$A$2:$Q$2902,S$2,0)&lt;&gt;C196,VLOOKUP($A196,'Concrete Beam Schedule'!$A$2:$Q$2902,S$2,0),"")</f>
        <v>#N/A</v>
      </c>
      <c r="T196" s="7" t="e">
        <f>IF(VLOOKUP($A196,'Concrete Beam Schedule'!$A$2:$Q$2902,T$2,0)&lt;&gt;D196,"Beam Revised","")</f>
        <v>#N/A</v>
      </c>
      <c r="U196" s="7" t="e">
        <f>IF(VLOOKUP($A196,'Concrete Beam Schedule'!$A$2:$Q$2902,U$2,0)&lt;&gt;E196,"Beam Revised","")</f>
        <v>#N/A</v>
      </c>
      <c r="V196" s="7" t="e">
        <f>IF(VLOOKUP($A196,'Concrete Beam Schedule'!$A$2:$Q$2902,V$2,0)&lt;&gt;F196,"Beam Revised","")</f>
        <v>#N/A</v>
      </c>
      <c r="W196" s="7" t="e">
        <f>IF(VLOOKUP($A196,'Concrete Beam Schedule'!$A$2:$Q$2902,W$2,0)&lt;&gt;G196,"Beam Revised","")</f>
        <v>#N/A</v>
      </c>
      <c r="X196" s="7" t="e">
        <f>IF(VLOOKUP($A196,'Concrete Beam Schedule'!$A$2:$Q$2902,X$2,0)&lt;&gt;H196,"Beam Revised","")</f>
        <v>#N/A</v>
      </c>
      <c r="Y196" s="7" t="e">
        <f>IF(VLOOKUP($A196,'Concrete Beam Schedule'!$A$2:$Q$2902,Y$2,0)&lt;&gt;I196,"Beam Revised","")</f>
        <v>#N/A</v>
      </c>
      <c r="Z196" s="7" t="e">
        <f>IF(VLOOKUP($A196,'Concrete Beam Schedule'!$A$2:$Q$2902,Z$2,0)&lt;&gt;J196,"Beam Revised","")</f>
        <v>#N/A</v>
      </c>
      <c r="AA196" s="7" t="e">
        <f>IF(VLOOKUP($A196,'Concrete Beam Schedule'!$A$2:$Q$2902,AA$2,0)&lt;&gt;K196,"Beam Revised","")</f>
        <v>#N/A</v>
      </c>
      <c r="AB196" s="7" t="e">
        <f>IF(VLOOKUP($A196,'Concrete Beam Schedule'!$A$2:$Q$2902,AB$2,0)&lt;&gt;L196,"Beam Revised","")</f>
        <v>#N/A</v>
      </c>
      <c r="AC196" s="7" t="e">
        <f>IF(VLOOKUP($A196,'Concrete Beam Schedule'!$A$2:$Q$2902,AC$2,0)&lt;&gt;M196,"Beam Revised","")</f>
        <v>#N/A</v>
      </c>
      <c r="AD196" s="7" t="e">
        <f>IF(VLOOKUP($A196,'Concrete Beam Schedule'!$A$2:$Q$2902,AD$2,0)&lt;&gt;N196,"Beam Revised","")</f>
        <v>#N/A</v>
      </c>
      <c r="AE196" s="7" t="e">
        <f>IF(VLOOKUP($A196,'Concrete Beam Schedule'!$A$2:$Q$2902,AE$2,0)&lt;&gt;O196,"Beam Revised","")</f>
        <v>#N/A</v>
      </c>
    </row>
    <row r="197" spans="1:31" ht="25.5" customHeight="1" x14ac:dyDescent="0.25">
      <c r="A197" s="17"/>
      <c r="B197" s="17"/>
      <c r="C197" s="17"/>
      <c r="D197" s="17"/>
      <c r="E197" s="17"/>
      <c r="F197" s="17"/>
      <c r="G197" s="17"/>
      <c r="H197" s="17"/>
      <c r="I197" s="17"/>
      <c r="J197" s="17"/>
      <c r="K197" s="17"/>
      <c r="L197" s="17"/>
      <c r="M197" s="17"/>
      <c r="N197" s="17"/>
      <c r="O197" s="17"/>
      <c r="Q197" s="7">
        <f t="shared" si="3"/>
        <v>0</v>
      </c>
      <c r="R197" s="7" t="e">
        <f>IF(VLOOKUP($A197,'Concrete Beam Schedule'!$A$2:$Q$2902,R$2,0)&lt;&gt;B197,VLOOKUP($A197,'Concrete Beam Schedule'!$A$2:$Q$2902,R$2,0),"")</f>
        <v>#N/A</v>
      </c>
      <c r="S197" s="7" t="e">
        <f>IF(VLOOKUP($A197,'Concrete Beam Schedule'!$A$2:$Q$2902,S$2,0)&lt;&gt;C197,VLOOKUP($A197,'Concrete Beam Schedule'!$A$2:$Q$2902,S$2,0),"")</f>
        <v>#N/A</v>
      </c>
      <c r="T197" s="7" t="e">
        <f>IF(VLOOKUP($A197,'Concrete Beam Schedule'!$A$2:$Q$2902,T$2,0)&lt;&gt;D197,"Beam Revised","")</f>
        <v>#N/A</v>
      </c>
      <c r="U197" s="7" t="e">
        <f>IF(VLOOKUP($A197,'Concrete Beam Schedule'!$A$2:$Q$2902,U$2,0)&lt;&gt;E197,"Beam Revised","")</f>
        <v>#N/A</v>
      </c>
      <c r="V197" s="7" t="e">
        <f>IF(VLOOKUP($A197,'Concrete Beam Schedule'!$A$2:$Q$2902,V$2,0)&lt;&gt;F197,"Beam Revised","")</f>
        <v>#N/A</v>
      </c>
      <c r="W197" s="7" t="e">
        <f>IF(VLOOKUP($A197,'Concrete Beam Schedule'!$A$2:$Q$2902,W$2,0)&lt;&gt;G197,"Beam Revised","")</f>
        <v>#N/A</v>
      </c>
      <c r="X197" s="7" t="e">
        <f>IF(VLOOKUP($A197,'Concrete Beam Schedule'!$A$2:$Q$2902,X$2,0)&lt;&gt;H197,"Beam Revised","")</f>
        <v>#N/A</v>
      </c>
      <c r="Y197" s="7" t="e">
        <f>IF(VLOOKUP($A197,'Concrete Beam Schedule'!$A$2:$Q$2902,Y$2,0)&lt;&gt;I197,"Beam Revised","")</f>
        <v>#N/A</v>
      </c>
      <c r="Z197" s="7" t="e">
        <f>IF(VLOOKUP($A197,'Concrete Beam Schedule'!$A$2:$Q$2902,Z$2,0)&lt;&gt;J197,"Beam Revised","")</f>
        <v>#N/A</v>
      </c>
      <c r="AA197" s="7" t="e">
        <f>IF(VLOOKUP($A197,'Concrete Beam Schedule'!$A$2:$Q$2902,AA$2,0)&lt;&gt;K197,"Beam Revised","")</f>
        <v>#N/A</v>
      </c>
      <c r="AB197" s="7" t="e">
        <f>IF(VLOOKUP($A197,'Concrete Beam Schedule'!$A$2:$Q$2902,AB$2,0)&lt;&gt;L197,"Beam Revised","")</f>
        <v>#N/A</v>
      </c>
      <c r="AC197" s="7" t="e">
        <f>IF(VLOOKUP($A197,'Concrete Beam Schedule'!$A$2:$Q$2902,AC$2,0)&lt;&gt;M197,"Beam Revised","")</f>
        <v>#N/A</v>
      </c>
      <c r="AD197" s="7" t="e">
        <f>IF(VLOOKUP($A197,'Concrete Beam Schedule'!$A$2:$Q$2902,AD$2,0)&lt;&gt;N197,"Beam Revised","")</f>
        <v>#N/A</v>
      </c>
      <c r="AE197" s="7" t="e">
        <f>IF(VLOOKUP($A197,'Concrete Beam Schedule'!$A$2:$Q$2902,AE$2,0)&lt;&gt;O197,"Beam Revised","")</f>
        <v>#N/A</v>
      </c>
    </row>
    <row r="198" spans="1:31" ht="25.5" customHeight="1" x14ac:dyDescent="0.25">
      <c r="A198" s="17"/>
      <c r="B198" s="17"/>
      <c r="C198" s="17"/>
      <c r="D198" s="17"/>
      <c r="E198" s="17"/>
      <c r="F198" s="17"/>
      <c r="G198" s="17"/>
      <c r="H198" s="17"/>
      <c r="I198" s="17"/>
      <c r="J198" s="17"/>
      <c r="K198" s="17"/>
      <c r="L198" s="17"/>
      <c r="M198" s="17"/>
      <c r="N198" s="17"/>
      <c r="O198" s="17"/>
      <c r="Q198" s="7">
        <f t="shared" si="3"/>
        <v>0</v>
      </c>
      <c r="R198" s="7" t="e">
        <f>IF(VLOOKUP($A198,'Concrete Beam Schedule'!$A$2:$Q$2902,R$2,0)&lt;&gt;B198,VLOOKUP($A198,'Concrete Beam Schedule'!$A$2:$Q$2902,R$2,0),"")</f>
        <v>#N/A</v>
      </c>
      <c r="S198" s="7" t="e">
        <f>IF(VLOOKUP($A198,'Concrete Beam Schedule'!$A$2:$Q$2902,S$2,0)&lt;&gt;C198,VLOOKUP($A198,'Concrete Beam Schedule'!$A$2:$Q$2902,S$2,0),"")</f>
        <v>#N/A</v>
      </c>
      <c r="T198" s="7" t="e">
        <f>IF(VLOOKUP($A198,'Concrete Beam Schedule'!$A$2:$Q$2902,T$2,0)&lt;&gt;D198,"Beam Revised","")</f>
        <v>#N/A</v>
      </c>
      <c r="U198" s="7" t="e">
        <f>IF(VLOOKUP($A198,'Concrete Beam Schedule'!$A$2:$Q$2902,U$2,0)&lt;&gt;E198,"Beam Revised","")</f>
        <v>#N/A</v>
      </c>
      <c r="V198" s="7" t="e">
        <f>IF(VLOOKUP($A198,'Concrete Beam Schedule'!$A$2:$Q$2902,V$2,0)&lt;&gt;F198,"Beam Revised","")</f>
        <v>#N/A</v>
      </c>
      <c r="W198" s="7" t="e">
        <f>IF(VLOOKUP($A198,'Concrete Beam Schedule'!$A$2:$Q$2902,W$2,0)&lt;&gt;G198,"Beam Revised","")</f>
        <v>#N/A</v>
      </c>
      <c r="X198" s="7" t="e">
        <f>IF(VLOOKUP($A198,'Concrete Beam Schedule'!$A$2:$Q$2902,X$2,0)&lt;&gt;H198,"Beam Revised","")</f>
        <v>#N/A</v>
      </c>
      <c r="Y198" s="7" t="e">
        <f>IF(VLOOKUP($A198,'Concrete Beam Schedule'!$A$2:$Q$2902,Y$2,0)&lt;&gt;I198,"Beam Revised","")</f>
        <v>#N/A</v>
      </c>
      <c r="Z198" s="7" t="e">
        <f>IF(VLOOKUP($A198,'Concrete Beam Schedule'!$A$2:$Q$2902,Z$2,0)&lt;&gt;J198,"Beam Revised","")</f>
        <v>#N/A</v>
      </c>
      <c r="AA198" s="7" t="e">
        <f>IF(VLOOKUP($A198,'Concrete Beam Schedule'!$A$2:$Q$2902,AA$2,0)&lt;&gt;K198,"Beam Revised","")</f>
        <v>#N/A</v>
      </c>
      <c r="AB198" s="7" t="e">
        <f>IF(VLOOKUP($A198,'Concrete Beam Schedule'!$A$2:$Q$2902,AB$2,0)&lt;&gt;L198,"Beam Revised","")</f>
        <v>#N/A</v>
      </c>
      <c r="AC198" s="7" t="e">
        <f>IF(VLOOKUP($A198,'Concrete Beam Schedule'!$A$2:$Q$2902,AC$2,0)&lt;&gt;M198,"Beam Revised","")</f>
        <v>#N/A</v>
      </c>
      <c r="AD198" s="7" t="e">
        <f>IF(VLOOKUP($A198,'Concrete Beam Schedule'!$A$2:$Q$2902,AD$2,0)&lt;&gt;N198,"Beam Revised","")</f>
        <v>#N/A</v>
      </c>
      <c r="AE198" s="7" t="e">
        <f>IF(VLOOKUP($A198,'Concrete Beam Schedule'!$A$2:$Q$2902,AE$2,0)&lt;&gt;O198,"Beam Revised","")</f>
        <v>#N/A</v>
      </c>
    </row>
    <row r="199" spans="1:31" ht="25.5" customHeight="1" x14ac:dyDescent="0.25">
      <c r="A199" s="17"/>
      <c r="B199" s="17"/>
      <c r="C199" s="17"/>
      <c r="D199" s="17"/>
      <c r="E199" s="17"/>
      <c r="F199" s="17"/>
      <c r="G199" s="17"/>
      <c r="H199" s="17"/>
      <c r="I199" s="17"/>
      <c r="J199" s="17"/>
      <c r="K199" s="17"/>
      <c r="L199" s="17"/>
      <c r="M199" s="17"/>
      <c r="N199" s="17"/>
      <c r="O199" s="17"/>
      <c r="Q199" s="7">
        <f t="shared" si="3"/>
        <v>0</v>
      </c>
      <c r="R199" s="7" t="e">
        <f>IF(VLOOKUP($A199,'Concrete Beam Schedule'!$A$2:$Q$2902,R$2,0)&lt;&gt;B199,VLOOKUP($A199,'Concrete Beam Schedule'!$A$2:$Q$2902,R$2,0),"")</f>
        <v>#N/A</v>
      </c>
      <c r="S199" s="7" t="e">
        <f>IF(VLOOKUP($A199,'Concrete Beam Schedule'!$A$2:$Q$2902,S$2,0)&lt;&gt;C199,VLOOKUP($A199,'Concrete Beam Schedule'!$A$2:$Q$2902,S$2,0),"")</f>
        <v>#N/A</v>
      </c>
      <c r="T199" s="7" t="e">
        <f>IF(VLOOKUP($A199,'Concrete Beam Schedule'!$A$2:$Q$2902,T$2,0)&lt;&gt;D199,"Beam Revised","")</f>
        <v>#N/A</v>
      </c>
      <c r="U199" s="7" t="e">
        <f>IF(VLOOKUP($A199,'Concrete Beam Schedule'!$A$2:$Q$2902,U$2,0)&lt;&gt;E199,"Beam Revised","")</f>
        <v>#N/A</v>
      </c>
      <c r="V199" s="7" t="e">
        <f>IF(VLOOKUP($A199,'Concrete Beam Schedule'!$A$2:$Q$2902,V$2,0)&lt;&gt;F199,"Beam Revised","")</f>
        <v>#N/A</v>
      </c>
      <c r="W199" s="7" t="e">
        <f>IF(VLOOKUP($A199,'Concrete Beam Schedule'!$A$2:$Q$2902,W$2,0)&lt;&gt;G199,"Beam Revised","")</f>
        <v>#N/A</v>
      </c>
      <c r="X199" s="7" t="e">
        <f>IF(VLOOKUP($A199,'Concrete Beam Schedule'!$A$2:$Q$2902,X$2,0)&lt;&gt;H199,"Beam Revised","")</f>
        <v>#N/A</v>
      </c>
      <c r="Y199" s="7" t="e">
        <f>IF(VLOOKUP($A199,'Concrete Beam Schedule'!$A$2:$Q$2902,Y$2,0)&lt;&gt;I199,"Beam Revised","")</f>
        <v>#N/A</v>
      </c>
      <c r="Z199" s="7" t="e">
        <f>IF(VLOOKUP($A199,'Concrete Beam Schedule'!$A$2:$Q$2902,Z$2,0)&lt;&gt;J199,"Beam Revised","")</f>
        <v>#N/A</v>
      </c>
      <c r="AA199" s="7" t="e">
        <f>IF(VLOOKUP($A199,'Concrete Beam Schedule'!$A$2:$Q$2902,AA$2,0)&lt;&gt;K199,"Beam Revised","")</f>
        <v>#N/A</v>
      </c>
      <c r="AB199" s="7" t="e">
        <f>IF(VLOOKUP($A199,'Concrete Beam Schedule'!$A$2:$Q$2902,AB$2,0)&lt;&gt;L199,"Beam Revised","")</f>
        <v>#N/A</v>
      </c>
      <c r="AC199" s="7" t="e">
        <f>IF(VLOOKUP($A199,'Concrete Beam Schedule'!$A$2:$Q$2902,AC$2,0)&lt;&gt;M199,"Beam Revised","")</f>
        <v>#N/A</v>
      </c>
      <c r="AD199" s="7" t="e">
        <f>IF(VLOOKUP($A199,'Concrete Beam Schedule'!$A$2:$Q$2902,AD$2,0)&lt;&gt;N199,"Beam Revised","")</f>
        <v>#N/A</v>
      </c>
      <c r="AE199" s="7" t="e">
        <f>IF(VLOOKUP($A199,'Concrete Beam Schedule'!$A$2:$Q$2902,AE$2,0)&lt;&gt;O199,"Beam Revised","")</f>
        <v>#N/A</v>
      </c>
    </row>
    <row r="200" spans="1:31" ht="25.5" customHeight="1" x14ac:dyDescent="0.25">
      <c r="A200" s="17"/>
      <c r="B200" s="17"/>
      <c r="C200" s="17"/>
      <c r="D200" s="17"/>
      <c r="E200" s="17"/>
      <c r="F200" s="17"/>
      <c r="G200" s="17"/>
      <c r="H200" s="17"/>
      <c r="I200" s="17"/>
      <c r="J200" s="17"/>
      <c r="K200" s="17"/>
      <c r="L200" s="17"/>
      <c r="M200" s="17"/>
      <c r="N200" s="17"/>
      <c r="O200" s="17"/>
      <c r="Q200" s="7">
        <f t="shared" si="3"/>
        <v>0</v>
      </c>
      <c r="R200" s="7" t="e">
        <f>IF(VLOOKUP($A200,'Concrete Beam Schedule'!$A$2:$Q$2902,R$2,0)&lt;&gt;B200,VLOOKUP($A200,'Concrete Beam Schedule'!$A$2:$Q$2902,R$2,0),"")</f>
        <v>#N/A</v>
      </c>
      <c r="S200" s="7" t="e">
        <f>IF(VLOOKUP($A200,'Concrete Beam Schedule'!$A$2:$Q$2902,S$2,0)&lt;&gt;C200,VLOOKUP($A200,'Concrete Beam Schedule'!$A$2:$Q$2902,S$2,0),"")</f>
        <v>#N/A</v>
      </c>
      <c r="T200" s="7" t="e">
        <f>IF(VLOOKUP($A200,'Concrete Beam Schedule'!$A$2:$Q$2902,T$2,0)&lt;&gt;D200,"Beam Revised","")</f>
        <v>#N/A</v>
      </c>
      <c r="U200" s="7" t="e">
        <f>IF(VLOOKUP($A200,'Concrete Beam Schedule'!$A$2:$Q$2902,U$2,0)&lt;&gt;E200,"Beam Revised","")</f>
        <v>#N/A</v>
      </c>
      <c r="V200" s="7" t="e">
        <f>IF(VLOOKUP($A200,'Concrete Beam Schedule'!$A$2:$Q$2902,V$2,0)&lt;&gt;F200,"Beam Revised","")</f>
        <v>#N/A</v>
      </c>
      <c r="W200" s="7" t="e">
        <f>IF(VLOOKUP($A200,'Concrete Beam Schedule'!$A$2:$Q$2902,W$2,0)&lt;&gt;G200,"Beam Revised","")</f>
        <v>#N/A</v>
      </c>
      <c r="X200" s="7" t="e">
        <f>IF(VLOOKUP($A200,'Concrete Beam Schedule'!$A$2:$Q$2902,X$2,0)&lt;&gt;H200,"Beam Revised","")</f>
        <v>#N/A</v>
      </c>
      <c r="Y200" s="7" t="e">
        <f>IF(VLOOKUP($A200,'Concrete Beam Schedule'!$A$2:$Q$2902,Y$2,0)&lt;&gt;I200,"Beam Revised","")</f>
        <v>#N/A</v>
      </c>
      <c r="Z200" s="7" t="e">
        <f>IF(VLOOKUP($A200,'Concrete Beam Schedule'!$A$2:$Q$2902,Z$2,0)&lt;&gt;J200,"Beam Revised","")</f>
        <v>#N/A</v>
      </c>
      <c r="AA200" s="7" t="e">
        <f>IF(VLOOKUP($A200,'Concrete Beam Schedule'!$A$2:$Q$2902,AA$2,0)&lt;&gt;K200,"Beam Revised","")</f>
        <v>#N/A</v>
      </c>
      <c r="AB200" s="7" t="e">
        <f>IF(VLOOKUP($A200,'Concrete Beam Schedule'!$A$2:$Q$2902,AB$2,0)&lt;&gt;L200,"Beam Revised","")</f>
        <v>#N/A</v>
      </c>
      <c r="AC200" s="7" t="e">
        <f>IF(VLOOKUP($A200,'Concrete Beam Schedule'!$A$2:$Q$2902,AC$2,0)&lt;&gt;M200,"Beam Revised","")</f>
        <v>#N/A</v>
      </c>
      <c r="AD200" s="7" t="e">
        <f>IF(VLOOKUP($A200,'Concrete Beam Schedule'!$A$2:$Q$2902,AD$2,0)&lt;&gt;N200,"Beam Revised","")</f>
        <v>#N/A</v>
      </c>
      <c r="AE200" s="7" t="e">
        <f>IF(VLOOKUP($A200,'Concrete Beam Schedule'!$A$2:$Q$2902,AE$2,0)&lt;&gt;O200,"Beam Revised","")</f>
        <v>#N/A</v>
      </c>
    </row>
    <row r="201" spans="1:31" ht="25.5" customHeight="1" x14ac:dyDescent="0.25">
      <c r="A201" s="17"/>
      <c r="B201" s="17"/>
      <c r="C201" s="17"/>
      <c r="D201" s="17"/>
      <c r="E201" s="17"/>
      <c r="F201" s="17"/>
      <c r="G201" s="17"/>
      <c r="H201" s="17"/>
      <c r="I201" s="17"/>
      <c r="J201" s="17"/>
      <c r="K201" s="17"/>
      <c r="L201" s="17"/>
      <c r="M201" s="17"/>
      <c r="N201" s="17"/>
      <c r="O201" s="17"/>
      <c r="Q201" s="7">
        <f t="shared" si="3"/>
        <v>0</v>
      </c>
      <c r="R201" s="7" t="e">
        <f>IF(VLOOKUP($A201,'Concrete Beam Schedule'!$A$2:$Q$2902,R$2,0)&lt;&gt;B201,VLOOKUP($A201,'Concrete Beam Schedule'!$A$2:$Q$2902,R$2,0),"")</f>
        <v>#N/A</v>
      </c>
      <c r="S201" s="7" t="e">
        <f>IF(VLOOKUP($A201,'Concrete Beam Schedule'!$A$2:$Q$2902,S$2,0)&lt;&gt;C201,VLOOKUP($A201,'Concrete Beam Schedule'!$A$2:$Q$2902,S$2,0),"")</f>
        <v>#N/A</v>
      </c>
      <c r="T201" s="7" t="e">
        <f>IF(VLOOKUP($A201,'Concrete Beam Schedule'!$A$2:$Q$2902,T$2,0)&lt;&gt;D201,"Beam Revised","")</f>
        <v>#N/A</v>
      </c>
      <c r="U201" s="7" t="e">
        <f>IF(VLOOKUP($A201,'Concrete Beam Schedule'!$A$2:$Q$2902,U$2,0)&lt;&gt;E201,"Beam Revised","")</f>
        <v>#N/A</v>
      </c>
      <c r="V201" s="7" t="e">
        <f>IF(VLOOKUP($A201,'Concrete Beam Schedule'!$A$2:$Q$2902,V$2,0)&lt;&gt;F201,"Beam Revised","")</f>
        <v>#N/A</v>
      </c>
      <c r="W201" s="7" t="e">
        <f>IF(VLOOKUP($A201,'Concrete Beam Schedule'!$A$2:$Q$2902,W$2,0)&lt;&gt;G201,"Beam Revised","")</f>
        <v>#N/A</v>
      </c>
      <c r="X201" s="7" t="e">
        <f>IF(VLOOKUP($A201,'Concrete Beam Schedule'!$A$2:$Q$2902,X$2,0)&lt;&gt;H201,"Beam Revised","")</f>
        <v>#N/A</v>
      </c>
      <c r="Y201" s="7" t="e">
        <f>IF(VLOOKUP($A201,'Concrete Beam Schedule'!$A$2:$Q$2902,Y$2,0)&lt;&gt;I201,"Beam Revised","")</f>
        <v>#N/A</v>
      </c>
      <c r="Z201" s="7" t="e">
        <f>IF(VLOOKUP($A201,'Concrete Beam Schedule'!$A$2:$Q$2902,Z$2,0)&lt;&gt;J201,"Beam Revised","")</f>
        <v>#N/A</v>
      </c>
      <c r="AA201" s="7" t="e">
        <f>IF(VLOOKUP($A201,'Concrete Beam Schedule'!$A$2:$Q$2902,AA$2,0)&lt;&gt;K201,"Beam Revised","")</f>
        <v>#N/A</v>
      </c>
      <c r="AB201" s="7" t="e">
        <f>IF(VLOOKUP($A201,'Concrete Beam Schedule'!$A$2:$Q$2902,AB$2,0)&lt;&gt;L201,"Beam Revised","")</f>
        <v>#N/A</v>
      </c>
      <c r="AC201" s="7" t="e">
        <f>IF(VLOOKUP($A201,'Concrete Beam Schedule'!$A$2:$Q$2902,AC$2,0)&lt;&gt;M201,"Beam Revised","")</f>
        <v>#N/A</v>
      </c>
      <c r="AD201" s="7" t="e">
        <f>IF(VLOOKUP($A201,'Concrete Beam Schedule'!$A$2:$Q$2902,AD$2,0)&lt;&gt;N201,"Beam Revised","")</f>
        <v>#N/A</v>
      </c>
      <c r="AE201" s="7" t="e">
        <f>IF(VLOOKUP($A201,'Concrete Beam Schedule'!$A$2:$Q$2902,AE$2,0)&lt;&gt;O201,"Beam Revised","")</f>
        <v>#N/A</v>
      </c>
    </row>
    <row r="202" spans="1:31" ht="25.5" customHeight="1" x14ac:dyDescent="0.25">
      <c r="A202" s="17"/>
      <c r="B202" s="17"/>
      <c r="C202" s="17"/>
      <c r="D202" s="17"/>
      <c r="E202" s="17"/>
      <c r="F202" s="17"/>
      <c r="G202" s="17"/>
      <c r="H202" s="17"/>
      <c r="I202" s="17"/>
      <c r="J202" s="17"/>
      <c r="K202" s="17"/>
      <c r="L202" s="17"/>
      <c r="M202" s="17"/>
      <c r="N202" s="17"/>
      <c r="O202" s="17"/>
      <c r="Q202" s="7">
        <f t="shared" si="3"/>
        <v>0</v>
      </c>
      <c r="R202" s="7" t="e">
        <f>IF(VLOOKUP($A202,'Concrete Beam Schedule'!$A$2:$Q$2902,R$2,0)&lt;&gt;B202,VLOOKUP($A202,'Concrete Beam Schedule'!$A$2:$Q$2902,R$2,0),"")</f>
        <v>#N/A</v>
      </c>
      <c r="S202" s="7" t="e">
        <f>IF(VLOOKUP($A202,'Concrete Beam Schedule'!$A$2:$Q$2902,S$2,0)&lt;&gt;C202,VLOOKUP($A202,'Concrete Beam Schedule'!$A$2:$Q$2902,S$2,0),"")</f>
        <v>#N/A</v>
      </c>
      <c r="T202" s="7" t="e">
        <f>IF(VLOOKUP($A202,'Concrete Beam Schedule'!$A$2:$Q$2902,T$2,0)&lt;&gt;D202,"Beam Revised","")</f>
        <v>#N/A</v>
      </c>
      <c r="U202" s="7" t="e">
        <f>IF(VLOOKUP($A202,'Concrete Beam Schedule'!$A$2:$Q$2902,U$2,0)&lt;&gt;E202,"Beam Revised","")</f>
        <v>#N/A</v>
      </c>
      <c r="V202" s="7" t="e">
        <f>IF(VLOOKUP($A202,'Concrete Beam Schedule'!$A$2:$Q$2902,V$2,0)&lt;&gt;F202,"Beam Revised","")</f>
        <v>#N/A</v>
      </c>
      <c r="W202" s="7" t="e">
        <f>IF(VLOOKUP($A202,'Concrete Beam Schedule'!$A$2:$Q$2902,W$2,0)&lt;&gt;G202,"Beam Revised","")</f>
        <v>#N/A</v>
      </c>
      <c r="X202" s="7" t="e">
        <f>IF(VLOOKUP($A202,'Concrete Beam Schedule'!$A$2:$Q$2902,X$2,0)&lt;&gt;H202,"Beam Revised","")</f>
        <v>#N/A</v>
      </c>
      <c r="Y202" s="7" t="e">
        <f>IF(VLOOKUP($A202,'Concrete Beam Schedule'!$A$2:$Q$2902,Y$2,0)&lt;&gt;I202,"Beam Revised","")</f>
        <v>#N/A</v>
      </c>
      <c r="Z202" s="7" t="e">
        <f>IF(VLOOKUP($A202,'Concrete Beam Schedule'!$A$2:$Q$2902,Z$2,0)&lt;&gt;J202,"Beam Revised","")</f>
        <v>#N/A</v>
      </c>
      <c r="AA202" s="7" t="e">
        <f>IF(VLOOKUP($A202,'Concrete Beam Schedule'!$A$2:$Q$2902,AA$2,0)&lt;&gt;K202,"Beam Revised","")</f>
        <v>#N/A</v>
      </c>
      <c r="AB202" s="7" t="e">
        <f>IF(VLOOKUP($A202,'Concrete Beam Schedule'!$A$2:$Q$2902,AB$2,0)&lt;&gt;L202,"Beam Revised","")</f>
        <v>#N/A</v>
      </c>
      <c r="AC202" s="7" t="e">
        <f>IF(VLOOKUP($A202,'Concrete Beam Schedule'!$A$2:$Q$2902,AC$2,0)&lt;&gt;M202,"Beam Revised","")</f>
        <v>#N/A</v>
      </c>
      <c r="AD202" s="7" t="e">
        <f>IF(VLOOKUP($A202,'Concrete Beam Schedule'!$A$2:$Q$2902,AD$2,0)&lt;&gt;N202,"Beam Revised","")</f>
        <v>#N/A</v>
      </c>
      <c r="AE202" s="7" t="e">
        <f>IF(VLOOKUP($A202,'Concrete Beam Schedule'!$A$2:$Q$2902,AE$2,0)&lt;&gt;O202,"Beam Revised","")</f>
        <v>#N/A</v>
      </c>
    </row>
    <row r="203" spans="1:31" ht="25.5" customHeight="1" x14ac:dyDescent="0.25">
      <c r="A203" s="17"/>
      <c r="B203" s="17"/>
      <c r="C203" s="17"/>
      <c r="D203" s="17"/>
      <c r="E203" s="17"/>
      <c r="F203" s="17"/>
      <c r="G203" s="17"/>
      <c r="H203" s="17"/>
      <c r="I203" s="17"/>
      <c r="J203" s="17"/>
      <c r="K203" s="17"/>
      <c r="L203" s="17"/>
      <c r="M203" s="17"/>
      <c r="N203" s="17"/>
      <c r="O203" s="17"/>
      <c r="Q203" s="7">
        <f t="shared" si="3"/>
        <v>0</v>
      </c>
      <c r="R203" s="7" t="e">
        <f>IF(VLOOKUP($A203,'Concrete Beam Schedule'!$A$2:$Q$2902,R$2,0)&lt;&gt;B203,VLOOKUP($A203,'Concrete Beam Schedule'!$A$2:$Q$2902,R$2,0),"")</f>
        <v>#N/A</v>
      </c>
      <c r="S203" s="7" t="e">
        <f>IF(VLOOKUP($A203,'Concrete Beam Schedule'!$A$2:$Q$2902,S$2,0)&lt;&gt;C203,VLOOKUP($A203,'Concrete Beam Schedule'!$A$2:$Q$2902,S$2,0),"")</f>
        <v>#N/A</v>
      </c>
      <c r="T203" s="7" t="e">
        <f>IF(VLOOKUP($A203,'Concrete Beam Schedule'!$A$2:$Q$2902,T$2,0)&lt;&gt;D203,"Beam Revised","")</f>
        <v>#N/A</v>
      </c>
      <c r="U203" s="7" t="e">
        <f>IF(VLOOKUP($A203,'Concrete Beam Schedule'!$A$2:$Q$2902,U$2,0)&lt;&gt;E203,"Beam Revised","")</f>
        <v>#N/A</v>
      </c>
      <c r="V203" s="7" t="e">
        <f>IF(VLOOKUP($A203,'Concrete Beam Schedule'!$A$2:$Q$2902,V$2,0)&lt;&gt;F203,"Beam Revised","")</f>
        <v>#N/A</v>
      </c>
      <c r="W203" s="7" t="e">
        <f>IF(VLOOKUP($A203,'Concrete Beam Schedule'!$A$2:$Q$2902,W$2,0)&lt;&gt;G203,"Beam Revised","")</f>
        <v>#N/A</v>
      </c>
      <c r="X203" s="7" t="e">
        <f>IF(VLOOKUP($A203,'Concrete Beam Schedule'!$A$2:$Q$2902,X$2,0)&lt;&gt;H203,"Beam Revised","")</f>
        <v>#N/A</v>
      </c>
      <c r="Y203" s="7" t="e">
        <f>IF(VLOOKUP($A203,'Concrete Beam Schedule'!$A$2:$Q$2902,Y$2,0)&lt;&gt;I203,"Beam Revised","")</f>
        <v>#N/A</v>
      </c>
      <c r="Z203" s="7" t="e">
        <f>IF(VLOOKUP($A203,'Concrete Beam Schedule'!$A$2:$Q$2902,Z$2,0)&lt;&gt;J203,"Beam Revised","")</f>
        <v>#N/A</v>
      </c>
      <c r="AA203" s="7" t="e">
        <f>IF(VLOOKUP($A203,'Concrete Beam Schedule'!$A$2:$Q$2902,AA$2,0)&lt;&gt;K203,"Beam Revised","")</f>
        <v>#N/A</v>
      </c>
      <c r="AB203" s="7" t="e">
        <f>IF(VLOOKUP($A203,'Concrete Beam Schedule'!$A$2:$Q$2902,AB$2,0)&lt;&gt;L203,"Beam Revised","")</f>
        <v>#N/A</v>
      </c>
      <c r="AC203" s="7" t="e">
        <f>IF(VLOOKUP($A203,'Concrete Beam Schedule'!$A$2:$Q$2902,AC$2,0)&lt;&gt;M203,"Beam Revised","")</f>
        <v>#N/A</v>
      </c>
      <c r="AD203" s="7" t="e">
        <f>IF(VLOOKUP($A203,'Concrete Beam Schedule'!$A$2:$Q$2902,AD$2,0)&lt;&gt;N203,"Beam Revised","")</f>
        <v>#N/A</v>
      </c>
      <c r="AE203" s="7" t="e">
        <f>IF(VLOOKUP($A203,'Concrete Beam Schedule'!$A$2:$Q$2902,AE$2,0)&lt;&gt;O203,"Beam Revised","")</f>
        <v>#N/A</v>
      </c>
    </row>
    <row r="204" spans="1:31" ht="25.5" customHeight="1" x14ac:dyDescent="0.25">
      <c r="A204" s="17"/>
      <c r="B204" s="17"/>
      <c r="C204" s="17"/>
      <c r="D204" s="17"/>
      <c r="E204" s="17"/>
      <c r="F204" s="17"/>
      <c r="G204" s="17"/>
      <c r="H204" s="17"/>
      <c r="I204" s="17"/>
      <c r="J204" s="17"/>
      <c r="K204" s="17"/>
      <c r="L204" s="17"/>
      <c r="M204" s="17"/>
      <c r="N204" s="17"/>
      <c r="O204" s="17"/>
      <c r="Q204" s="7">
        <f t="shared" si="3"/>
        <v>0</v>
      </c>
      <c r="R204" s="7" t="e">
        <f>IF(VLOOKUP($A204,'Concrete Beam Schedule'!$A$2:$Q$2902,R$2,0)&lt;&gt;B204,VLOOKUP($A204,'Concrete Beam Schedule'!$A$2:$Q$2902,R$2,0),"")</f>
        <v>#N/A</v>
      </c>
      <c r="S204" s="7" t="e">
        <f>IF(VLOOKUP($A204,'Concrete Beam Schedule'!$A$2:$Q$2902,S$2,0)&lt;&gt;C204,VLOOKUP($A204,'Concrete Beam Schedule'!$A$2:$Q$2902,S$2,0),"")</f>
        <v>#N/A</v>
      </c>
      <c r="T204" s="7" t="e">
        <f>IF(VLOOKUP($A204,'Concrete Beam Schedule'!$A$2:$Q$2902,T$2,0)&lt;&gt;D204,"Beam Revised","")</f>
        <v>#N/A</v>
      </c>
      <c r="U204" s="7" t="e">
        <f>IF(VLOOKUP($A204,'Concrete Beam Schedule'!$A$2:$Q$2902,U$2,0)&lt;&gt;E204,"Beam Revised","")</f>
        <v>#N/A</v>
      </c>
      <c r="V204" s="7" t="e">
        <f>IF(VLOOKUP($A204,'Concrete Beam Schedule'!$A$2:$Q$2902,V$2,0)&lt;&gt;F204,"Beam Revised","")</f>
        <v>#N/A</v>
      </c>
      <c r="W204" s="7" t="e">
        <f>IF(VLOOKUP($A204,'Concrete Beam Schedule'!$A$2:$Q$2902,W$2,0)&lt;&gt;G204,"Beam Revised","")</f>
        <v>#N/A</v>
      </c>
      <c r="X204" s="7" t="e">
        <f>IF(VLOOKUP($A204,'Concrete Beam Schedule'!$A$2:$Q$2902,X$2,0)&lt;&gt;H204,"Beam Revised","")</f>
        <v>#N/A</v>
      </c>
      <c r="Y204" s="7" t="e">
        <f>IF(VLOOKUP($A204,'Concrete Beam Schedule'!$A$2:$Q$2902,Y$2,0)&lt;&gt;I204,"Beam Revised","")</f>
        <v>#N/A</v>
      </c>
      <c r="Z204" s="7" t="e">
        <f>IF(VLOOKUP($A204,'Concrete Beam Schedule'!$A$2:$Q$2902,Z$2,0)&lt;&gt;J204,"Beam Revised","")</f>
        <v>#N/A</v>
      </c>
      <c r="AA204" s="7" t="e">
        <f>IF(VLOOKUP($A204,'Concrete Beam Schedule'!$A$2:$Q$2902,AA$2,0)&lt;&gt;K204,"Beam Revised","")</f>
        <v>#N/A</v>
      </c>
      <c r="AB204" s="7" t="e">
        <f>IF(VLOOKUP($A204,'Concrete Beam Schedule'!$A$2:$Q$2902,AB$2,0)&lt;&gt;L204,"Beam Revised","")</f>
        <v>#N/A</v>
      </c>
      <c r="AC204" s="7" t="e">
        <f>IF(VLOOKUP($A204,'Concrete Beam Schedule'!$A$2:$Q$2902,AC$2,0)&lt;&gt;M204,"Beam Revised","")</f>
        <v>#N/A</v>
      </c>
      <c r="AD204" s="7" t="e">
        <f>IF(VLOOKUP($A204,'Concrete Beam Schedule'!$A$2:$Q$2902,AD$2,0)&lt;&gt;N204,"Beam Revised","")</f>
        <v>#N/A</v>
      </c>
      <c r="AE204" s="7" t="e">
        <f>IF(VLOOKUP($A204,'Concrete Beam Schedule'!$A$2:$Q$2902,AE$2,0)&lt;&gt;O204,"Beam Revised","")</f>
        <v>#N/A</v>
      </c>
    </row>
    <row r="205" spans="1:31" ht="25.5" customHeight="1" x14ac:dyDescent="0.25">
      <c r="A205" s="17"/>
      <c r="B205" s="17"/>
      <c r="C205" s="17"/>
      <c r="D205" s="17"/>
      <c r="E205" s="17"/>
      <c r="F205" s="17"/>
      <c r="G205" s="17"/>
      <c r="H205" s="17"/>
      <c r="I205" s="17"/>
      <c r="J205" s="17"/>
      <c r="K205" s="17"/>
      <c r="L205" s="17"/>
      <c r="M205" s="17"/>
      <c r="N205" s="17"/>
      <c r="O205" s="17"/>
      <c r="Q205" s="7">
        <f t="shared" si="3"/>
        <v>0</v>
      </c>
      <c r="R205" s="7" t="e">
        <f>IF(VLOOKUP($A205,'Concrete Beam Schedule'!$A$2:$Q$2902,R$2,0)&lt;&gt;B205,VLOOKUP($A205,'Concrete Beam Schedule'!$A$2:$Q$2902,R$2,0),"")</f>
        <v>#N/A</v>
      </c>
      <c r="S205" s="7" t="e">
        <f>IF(VLOOKUP($A205,'Concrete Beam Schedule'!$A$2:$Q$2902,S$2,0)&lt;&gt;C205,VLOOKUP($A205,'Concrete Beam Schedule'!$A$2:$Q$2902,S$2,0),"")</f>
        <v>#N/A</v>
      </c>
      <c r="T205" s="7" t="e">
        <f>IF(VLOOKUP($A205,'Concrete Beam Schedule'!$A$2:$Q$2902,T$2,0)&lt;&gt;D205,"Beam Revised","")</f>
        <v>#N/A</v>
      </c>
      <c r="U205" s="7" t="e">
        <f>IF(VLOOKUP($A205,'Concrete Beam Schedule'!$A$2:$Q$2902,U$2,0)&lt;&gt;E205,"Beam Revised","")</f>
        <v>#N/A</v>
      </c>
      <c r="V205" s="7" t="e">
        <f>IF(VLOOKUP($A205,'Concrete Beam Schedule'!$A$2:$Q$2902,V$2,0)&lt;&gt;F205,"Beam Revised","")</f>
        <v>#N/A</v>
      </c>
      <c r="W205" s="7" t="e">
        <f>IF(VLOOKUP($A205,'Concrete Beam Schedule'!$A$2:$Q$2902,W$2,0)&lt;&gt;G205,"Beam Revised","")</f>
        <v>#N/A</v>
      </c>
      <c r="X205" s="7" t="e">
        <f>IF(VLOOKUP($A205,'Concrete Beam Schedule'!$A$2:$Q$2902,X$2,0)&lt;&gt;H205,"Beam Revised","")</f>
        <v>#N/A</v>
      </c>
      <c r="Y205" s="7" t="e">
        <f>IF(VLOOKUP($A205,'Concrete Beam Schedule'!$A$2:$Q$2902,Y$2,0)&lt;&gt;I205,"Beam Revised","")</f>
        <v>#N/A</v>
      </c>
      <c r="Z205" s="7" t="e">
        <f>IF(VLOOKUP($A205,'Concrete Beam Schedule'!$A$2:$Q$2902,Z$2,0)&lt;&gt;J205,"Beam Revised","")</f>
        <v>#N/A</v>
      </c>
      <c r="AA205" s="7" t="e">
        <f>IF(VLOOKUP($A205,'Concrete Beam Schedule'!$A$2:$Q$2902,AA$2,0)&lt;&gt;K205,"Beam Revised","")</f>
        <v>#N/A</v>
      </c>
      <c r="AB205" s="7" t="e">
        <f>IF(VLOOKUP($A205,'Concrete Beam Schedule'!$A$2:$Q$2902,AB$2,0)&lt;&gt;L205,"Beam Revised","")</f>
        <v>#N/A</v>
      </c>
      <c r="AC205" s="7" t="e">
        <f>IF(VLOOKUP($A205,'Concrete Beam Schedule'!$A$2:$Q$2902,AC$2,0)&lt;&gt;M205,"Beam Revised","")</f>
        <v>#N/A</v>
      </c>
      <c r="AD205" s="7" t="e">
        <f>IF(VLOOKUP($A205,'Concrete Beam Schedule'!$A$2:$Q$2902,AD$2,0)&lt;&gt;N205,"Beam Revised","")</f>
        <v>#N/A</v>
      </c>
      <c r="AE205" s="7" t="e">
        <f>IF(VLOOKUP($A205,'Concrete Beam Schedule'!$A$2:$Q$2902,AE$2,0)&lt;&gt;O205,"Beam Revised","")</f>
        <v>#N/A</v>
      </c>
    </row>
    <row r="206" spans="1:31" ht="25.5" customHeight="1" x14ac:dyDescent="0.25">
      <c r="A206" s="17"/>
      <c r="B206" s="17"/>
      <c r="C206" s="17"/>
      <c r="D206" s="17"/>
      <c r="E206" s="17"/>
      <c r="F206" s="17"/>
      <c r="G206" s="17"/>
      <c r="H206" s="17"/>
      <c r="I206" s="17"/>
      <c r="J206" s="17"/>
      <c r="K206" s="17"/>
      <c r="L206" s="17"/>
      <c r="M206" s="17"/>
      <c r="N206" s="17"/>
      <c r="O206" s="17"/>
      <c r="Q206" s="7">
        <f t="shared" si="3"/>
        <v>0</v>
      </c>
      <c r="R206" s="7" t="e">
        <f>IF(VLOOKUP($A206,'Concrete Beam Schedule'!$A$2:$Q$2902,R$2,0)&lt;&gt;B206,VLOOKUP($A206,'Concrete Beam Schedule'!$A$2:$Q$2902,R$2,0),"")</f>
        <v>#N/A</v>
      </c>
      <c r="S206" s="7" t="e">
        <f>IF(VLOOKUP($A206,'Concrete Beam Schedule'!$A$2:$Q$2902,S$2,0)&lt;&gt;C206,VLOOKUP($A206,'Concrete Beam Schedule'!$A$2:$Q$2902,S$2,0),"")</f>
        <v>#N/A</v>
      </c>
      <c r="T206" s="7" t="e">
        <f>IF(VLOOKUP($A206,'Concrete Beam Schedule'!$A$2:$Q$2902,T$2,0)&lt;&gt;D206,"Beam Revised","")</f>
        <v>#N/A</v>
      </c>
      <c r="U206" s="7" t="e">
        <f>IF(VLOOKUP($A206,'Concrete Beam Schedule'!$A$2:$Q$2902,U$2,0)&lt;&gt;E206,"Beam Revised","")</f>
        <v>#N/A</v>
      </c>
      <c r="V206" s="7" t="e">
        <f>IF(VLOOKUP($A206,'Concrete Beam Schedule'!$A$2:$Q$2902,V$2,0)&lt;&gt;F206,"Beam Revised","")</f>
        <v>#N/A</v>
      </c>
      <c r="W206" s="7" t="e">
        <f>IF(VLOOKUP($A206,'Concrete Beam Schedule'!$A$2:$Q$2902,W$2,0)&lt;&gt;G206,"Beam Revised","")</f>
        <v>#N/A</v>
      </c>
      <c r="X206" s="7" t="e">
        <f>IF(VLOOKUP($A206,'Concrete Beam Schedule'!$A$2:$Q$2902,X$2,0)&lt;&gt;H206,"Beam Revised","")</f>
        <v>#N/A</v>
      </c>
      <c r="Y206" s="7" t="e">
        <f>IF(VLOOKUP($A206,'Concrete Beam Schedule'!$A$2:$Q$2902,Y$2,0)&lt;&gt;I206,"Beam Revised","")</f>
        <v>#N/A</v>
      </c>
      <c r="Z206" s="7" t="e">
        <f>IF(VLOOKUP($A206,'Concrete Beam Schedule'!$A$2:$Q$2902,Z$2,0)&lt;&gt;J206,"Beam Revised","")</f>
        <v>#N/A</v>
      </c>
      <c r="AA206" s="7" t="e">
        <f>IF(VLOOKUP($A206,'Concrete Beam Schedule'!$A$2:$Q$2902,AA$2,0)&lt;&gt;K206,"Beam Revised","")</f>
        <v>#N/A</v>
      </c>
      <c r="AB206" s="7" t="e">
        <f>IF(VLOOKUP($A206,'Concrete Beam Schedule'!$A$2:$Q$2902,AB$2,0)&lt;&gt;L206,"Beam Revised","")</f>
        <v>#N/A</v>
      </c>
      <c r="AC206" s="7" t="e">
        <f>IF(VLOOKUP($A206,'Concrete Beam Schedule'!$A$2:$Q$2902,AC$2,0)&lt;&gt;M206,"Beam Revised","")</f>
        <v>#N/A</v>
      </c>
      <c r="AD206" s="7" t="e">
        <f>IF(VLOOKUP($A206,'Concrete Beam Schedule'!$A$2:$Q$2902,AD$2,0)&lt;&gt;N206,"Beam Revised","")</f>
        <v>#N/A</v>
      </c>
      <c r="AE206" s="7" t="e">
        <f>IF(VLOOKUP($A206,'Concrete Beam Schedule'!$A$2:$Q$2902,AE$2,0)&lt;&gt;O206,"Beam Revised","")</f>
        <v>#N/A</v>
      </c>
    </row>
    <row r="207" spans="1:31" ht="25.5" customHeight="1" x14ac:dyDescent="0.25">
      <c r="A207" s="17"/>
      <c r="B207" s="17"/>
      <c r="C207" s="17"/>
      <c r="D207" s="17"/>
      <c r="E207" s="17"/>
      <c r="F207" s="17"/>
      <c r="G207" s="17"/>
      <c r="H207" s="17"/>
      <c r="I207" s="17"/>
      <c r="J207" s="17"/>
      <c r="K207" s="17"/>
      <c r="L207" s="17"/>
      <c r="M207" s="17"/>
      <c r="N207" s="17"/>
      <c r="O207" s="17"/>
      <c r="Q207" s="7">
        <f t="shared" si="3"/>
        <v>0</v>
      </c>
      <c r="R207" s="7" t="e">
        <f>IF(VLOOKUP($A207,'Concrete Beam Schedule'!$A$2:$Q$2902,R$2,0)&lt;&gt;B207,VLOOKUP($A207,'Concrete Beam Schedule'!$A$2:$Q$2902,R$2,0),"")</f>
        <v>#N/A</v>
      </c>
      <c r="S207" s="7" t="e">
        <f>IF(VLOOKUP($A207,'Concrete Beam Schedule'!$A$2:$Q$2902,S$2,0)&lt;&gt;C207,VLOOKUP($A207,'Concrete Beam Schedule'!$A$2:$Q$2902,S$2,0),"")</f>
        <v>#N/A</v>
      </c>
      <c r="T207" s="7" t="e">
        <f>IF(VLOOKUP($A207,'Concrete Beam Schedule'!$A$2:$Q$2902,T$2,0)&lt;&gt;D207,"Beam Revised","")</f>
        <v>#N/A</v>
      </c>
      <c r="U207" s="7" t="e">
        <f>IF(VLOOKUP($A207,'Concrete Beam Schedule'!$A$2:$Q$2902,U$2,0)&lt;&gt;E207,"Beam Revised","")</f>
        <v>#N/A</v>
      </c>
      <c r="V207" s="7" t="e">
        <f>IF(VLOOKUP($A207,'Concrete Beam Schedule'!$A$2:$Q$2902,V$2,0)&lt;&gt;F207,"Beam Revised","")</f>
        <v>#N/A</v>
      </c>
      <c r="W207" s="7" t="e">
        <f>IF(VLOOKUP($A207,'Concrete Beam Schedule'!$A$2:$Q$2902,W$2,0)&lt;&gt;G207,"Beam Revised","")</f>
        <v>#N/A</v>
      </c>
      <c r="X207" s="7" t="e">
        <f>IF(VLOOKUP($A207,'Concrete Beam Schedule'!$A$2:$Q$2902,X$2,0)&lt;&gt;H207,"Beam Revised","")</f>
        <v>#N/A</v>
      </c>
      <c r="Y207" s="7" t="e">
        <f>IF(VLOOKUP($A207,'Concrete Beam Schedule'!$A$2:$Q$2902,Y$2,0)&lt;&gt;I207,"Beam Revised","")</f>
        <v>#N/A</v>
      </c>
      <c r="Z207" s="7" t="e">
        <f>IF(VLOOKUP($A207,'Concrete Beam Schedule'!$A$2:$Q$2902,Z$2,0)&lt;&gt;J207,"Beam Revised","")</f>
        <v>#N/A</v>
      </c>
      <c r="AA207" s="7" t="e">
        <f>IF(VLOOKUP($A207,'Concrete Beam Schedule'!$A$2:$Q$2902,AA$2,0)&lt;&gt;K207,"Beam Revised","")</f>
        <v>#N/A</v>
      </c>
      <c r="AB207" s="7" t="e">
        <f>IF(VLOOKUP($A207,'Concrete Beam Schedule'!$A$2:$Q$2902,AB$2,0)&lt;&gt;L207,"Beam Revised","")</f>
        <v>#N/A</v>
      </c>
      <c r="AC207" s="7" t="e">
        <f>IF(VLOOKUP($A207,'Concrete Beam Schedule'!$A$2:$Q$2902,AC$2,0)&lt;&gt;M207,"Beam Revised","")</f>
        <v>#N/A</v>
      </c>
      <c r="AD207" s="7" t="e">
        <f>IF(VLOOKUP($A207,'Concrete Beam Schedule'!$A$2:$Q$2902,AD$2,0)&lt;&gt;N207,"Beam Revised","")</f>
        <v>#N/A</v>
      </c>
      <c r="AE207" s="7" t="e">
        <f>IF(VLOOKUP($A207,'Concrete Beam Schedule'!$A$2:$Q$2902,AE$2,0)&lt;&gt;O207,"Beam Revised","")</f>
        <v>#N/A</v>
      </c>
    </row>
    <row r="208" spans="1:31" ht="25.5" customHeight="1" x14ac:dyDescent="0.25">
      <c r="A208" s="17"/>
      <c r="B208" s="17"/>
      <c r="C208" s="17"/>
      <c r="D208" s="17"/>
      <c r="E208" s="17"/>
      <c r="F208" s="17"/>
      <c r="G208" s="17"/>
      <c r="H208" s="17"/>
      <c r="I208" s="17"/>
      <c r="J208" s="17"/>
      <c r="K208" s="17"/>
      <c r="L208" s="17"/>
      <c r="M208" s="17"/>
      <c r="N208" s="17"/>
      <c r="O208" s="17"/>
      <c r="Q208" s="7">
        <f t="shared" si="3"/>
        <v>0</v>
      </c>
      <c r="R208" s="7" t="e">
        <f>IF(VLOOKUP($A208,'Concrete Beam Schedule'!$A$2:$Q$2902,R$2,0)&lt;&gt;B208,VLOOKUP($A208,'Concrete Beam Schedule'!$A$2:$Q$2902,R$2,0),"")</f>
        <v>#N/A</v>
      </c>
      <c r="S208" s="7" t="e">
        <f>IF(VLOOKUP($A208,'Concrete Beam Schedule'!$A$2:$Q$2902,S$2,0)&lt;&gt;C208,VLOOKUP($A208,'Concrete Beam Schedule'!$A$2:$Q$2902,S$2,0),"")</f>
        <v>#N/A</v>
      </c>
      <c r="T208" s="7" t="e">
        <f>IF(VLOOKUP($A208,'Concrete Beam Schedule'!$A$2:$Q$2902,T$2,0)&lt;&gt;D208,"Beam Revised","")</f>
        <v>#N/A</v>
      </c>
      <c r="U208" s="7" t="e">
        <f>IF(VLOOKUP($A208,'Concrete Beam Schedule'!$A$2:$Q$2902,U$2,0)&lt;&gt;E208,"Beam Revised","")</f>
        <v>#N/A</v>
      </c>
      <c r="V208" s="7" t="e">
        <f>IF(VLOOKUP($A208,'Concrete Beam Schedule'!$A$2:$Q$2902,V$2,0)&lt;&gt;F208,"Beam Revised","")</f>
        <v>#N/A</v>
      </c>
      <c r="W208" s="7" t="e">
        <f>IF(VLOOKUP($A208,'Concrete Beam Schedule'!$A$2:$Q$2902,W$2,0)&lt;&gt;G208,"Beam Revised","")</f>
        <v>#N/A</v>
      </c>
      <c r="X208" s="7" t="e">
        <f>IF(VLOOKUP($A208,'Concrete Beam Schedule'!$A$2:$Q$2902,X$2,0)&lt;&gt;H208,"Beam Revised","")</f>
        <v>#N/A</v>
      </c>
      <c r="Y208" s="7" t="e">
        <f>IF(VLOOKUP($A208,'Concrete Beam Schedule'!$A$2:$Q$2902,Y$2,0)&lt;&gt;I208,"Beam Revised","")</f>
        <v>#N/A</v>
      </c>
      <c r="Z208" s="7" t="e">
        <f>IF(VLOOKUP($A208,'Concrete Beam Schedule'!$A$2:$Q$2902,Z$2,0)&lt;&gt;J208,"Beam Revised","")</f>
        <v>#N/A</v>
      </c>
      <c r="AA208" s="7" t="e">
        <f>IF(VLOOKUP($A208,'Concrete Beam Schedule'!$A$2:$Q$2902,AA$2,0)&lt;&gt;K208,"Beam Revised","")</f>
        <v>#N/A</v>
      </c>
      <c r="AB208" s="7" t="e">
        <f>IF(VLOOKUP($A208,'Concrete Beam Schedule'!$A$2:$Q$2902,AB$2,0)&lt;&gt;L208,"Beam Revised","")</f>
        <v>#N/A</v>
      </c>
      <c r="AC208" s="7" t="e">
        <f>IF(VLOOKUP($A208,'Concrete Beam Schedule'!$A$2:$Q$2902,AC$2,0)&lt;&gt;M208,"Beam Revised","")</f>
        <v>#N/A</v>
      </c>
      <c r="AD208" s="7" t="e">
        <f>IF(VLOOKUP($A208,'Concrete Beam Schedule'!$A$2:$Q$2902,AD$2,0)&lt;&gt;N208,"Beam Revised","")</f>
        <v>#N/A</v>
      </c>
      <c r="AE208" s="7" t="e">
        <f>IF(VLOOKUP($A208,'Concrete Beam Schedule'!$A$2:$Q$2902,AE$2,0)&lt;&gt;O208,"Beam Revised","")</f>
        <v>#N/A</v>
      </c>
    </row>
    <row r="209" spans="1:31" ht="25.5" customHeight="1" x14ac:dyDescent="0.25">
      <c r="A209" s="17"/>
      <c r="B209" s="17"/>
      <c r="C209" s="17"/>
      <c r="D209" s="17"/>
      <c r="E209" s="17"/>
      <c r="F209" s="17"/>
      <c r="G209" s="17"/>
      <c r="H209" s="17"/>
      <c r="I209" s="17"/>
      <c r="J209" s="17"/>
      <c r="K209" s="17"/>
      <c r="L209" s="17"/>
      <c r="M209" s="17"/>
      <c r="N209" s="17"/>
      <c r="O209" s="17"/>
      <c r="Q209" s="7">
        <f t="shared" si="3"/>
        <v>0</v>
      </c>
      <c r="R209" s="7" t="e">
        <f>IF(VLOOKUP($A209,'Concrete Beam Schedule'!$A$2:$Q$2902,R$2,0)&lt;&gt;B209,VLOOKUP($A209,'Concrete Beam Schedule'!$A$2:$Q$2902,R$2,0),"")</f>
        <v>#N/A</v>
      </c>
      <c r="S209" s="7" t="e">
        <f>IF(VLOOKUP($A209,'Concrete Beam Schedule'!$A$2:$Q$2902,S$2,0)&lt;&gt;C209,VLOOKUP($A209,'Concrete Beam Schedule'!$A$2:$Q$2902,S$2,0),"")</f>
        <v>#N/A</v>
      </c>
      <c r="T209" s="7" t="e">
        <f>IF(VLOOKUP($A209,'Concrete Beam Schedule'!$A$2:$Q$2902,T$2,0)&lt;&gt;D209,"Beam Revised","")</f>
        <v>#N/A</v>
      </c>
      <c r="U209" s="7" t="e">
        <f>IF(VLOOKUP($A209,'Concrete Beam Schedule'!$A$2:$Q$2902,U$2,0)&lt;&gt;E209,"Beam Revised","")</f>
        <v>#N/A</v>
      </c>
      <c r="V209" s="7" t="e">
        <f>IF(VLOOKUP($A209,'Concrete Beam Schedule'!$A$2:$Q$2902,V$2,0)&lt;&gt;F209,"Beam Revised","")</f>
        <v>#N/A</v>
      </c>
      <c r="W209" s="7" t="e">
        <f>IF(VLOOKUP($A209,'Concrete Beam Schedule'!$A$2:$Q$2902,W$2,0)&lt;&gt;G209,"Beam Revised","")</f>
        <v>#N/A</v>
      </c>
      <c r="X209" s="7" t="e">
        <f>IF(VLOOKUP($A209,'Concrete Beam Schedule'!$A$2:$Q$2902,X$2,0)&lt;&gt;H209,"Beam Revised","")</f>
        <v>#N/A</v>
      </c>
      <c r="Y209" s="7" t="e">
        <f>IF(VLOOKUP($A209,'Concrete Beam Schedule'!$A$2:$Q$2902,Y$2,0)&lt;&gt;I209,"Beam Revised","")</f>
        <v>#N/A</v>
      </c>
      <c r="Z209" s="7" t="e">
        <f>IF(VLOOKUP($A209,'Concrete Beam Schedule'!$A$2:$Q$2902,Z$2,0)&lt;&gt;J209,"Beam Revised","")</f>
        <v>#N/A</v>
      </c>
      <c r="AA209" s="7" t="e">
        <f>IF(VLOOKUP($A209,'Concrete Beam Schedule'!$A$2:$Q$2902,AA$2,0)&lt;&gt;K209,"Beam Revised","")</f>
        <v>#N/A</v>
      </c>
      <c r="AB209" s="7" t="e">
        <f>IF(VLOOKUP($A209,'Concrete Beam Schedule'!$A$2:$Q$2902,AB$2,0)&lt;&gt;L209,"Beam Revised","")</f>
        <v>#N/A</v>
      </c>
      <c r="AC209" s="7" t="e">
        <f>IF(VLOOKUP($A209,'Concrete Beam Schedule'!$A$2:$Q$2902,AC$2,0)&lt;&gt;M209,"Beam Revised","")</f>
        <v>#N/A</v>
      </c>
      <c r="AD209" s="7" t="e">
        <f>IF(VLOOKUP($A209,'Concrete Beam Schedule'!$A$2:$Q$2902,AD$2,0)&lt;&gt;N209,"Beam Revised","")</f>
        <v>#N/A</v>
      </c>
      <c r="AE209" s="7" t="e">
        <f>IF(VLOOKUP($A209,'Concrete Beam Schedule'!$A$2:$Q$2902,AE$2,0)&lt;&gt;O209,"Beam Revised","")</f>
        <v>#N/A</v>
      </c>
    </row>
    <row r="210" spans="1:31" ht="25.5" customHeight="1" x14ac:dyDescent="0.25">
      <c r="A210" s="17"/>
      <c r="B210" s="17"/>
      <c r="C210" s="17"/>
      <c r="D210" s="17"/>
      <c r="E210" s="17"/>
      <c r="F210" s="17"/>
      <c r="G210" s="17"/>
      <c r="H210" s="17"/>
      <c r="I210" s="17"/>
      <c r="J210" s="17"/>
      <c r="K210" s="17"/>
      <c r="L210" s="17"/>
      <c r="M210" s="17"/>
      <c r="N210" s="17"/>
      <c r="O210" s="17"/>
      <c r="Q210" s="7">
        <f t="shared" si="3"/>
        <v>0</v>
      </c>
      <c r="R210" s="7" t="e">
        <f>IF(VLOOKUP($A210,'Concrete Beam Schedule'!$A$2:$Q$2902,R$2,0)&lt;&gt;B210,VLOOKUP($A210,'Concrete Beam Schedule'!$A$2:$Q$2902,R$2,0),"")</f>
        <v>#N/A</v>
      </c>
      <c r="S210" s="7" t="e">
        <f>IF(VLOOKUP($A210,'Concrete Beam Schedule'!$A$2:$Q$2902,S$2,0)&lt;&gt;C210,VLOOKUP($A210,'Concrete Beam Schedule'!$A$2:$Q$2902,S$2,0),"")</f>
        <v>#N/A</v>
      </c>
      <c r="T210" s="7" t="e">
        <f>IF(VLOOKUP($A210,'Concrete Beam Schedule'!$A$2:$Q$2902,T$2,0)&lt;&gt;D210,"Beam Revised","")</f>
        <v>#N/A</v>
      </c>
      <c r="U210" s="7" t="e">
        <f>IF(VLOOKUP($A210,'Concrete Beam Schedule'!$A$2:$Q$2902,U$2,0)&lt;&gt;E210,"Beam Revised","")</f>
        <v>#N/A</v>
      </c>
      <c r="V210" s="7" t="e">
        <f>IF(VLOOKUP($A210,'Concrete Beam Schedule'!$A$2:$Q$2902,V$2,0)&lt;&gt;F210,"Beam Revised","")</f>
        <v>#N/A</v>
      </c>
      <c r="W210" s="7" t="e">
        <f>IF(VLOOKUP($A210,'Concrete Beam Schedule'!$A$2:$Q$2902,W$2,0)&lt;&gt;G210,"Beam Revised","")</f>
        <v>#N/A</v>
      </c>
      <c r="X210" s="7" t="e">
        <f>IF(VLOOKUP($A210,'Concrete Beam Schedule'!$A$2:$Q$2902,X$2,0)&lt;&gt;H210,"Beam Revised","")</f>
        <v>#N/A</v>
      </c>
      <c r="Y210" s="7" t="e">
        <f>IF(VLOOKUP($A210,'Concrete Beam Schedule'!$A$2:$Q$2902,Y$2,0)&lt;&gt;I210,"Beam Revised","")</f>
        <v>#N/A</v>
      </c>
      <c r="Z210" s="7" t="e">
        <f>IF(VLOOKUP($A210,'Concrete Beam Schedule'!$A$2:$Q$2902,Z$2,0)&lt;&gt;J210,"Beam Revised","")</f>
        <v>#N/A</v>
      </c>
      <c r="AA210" s="7" t="e">
        <f>IF(VLOOKUP($A210,'Concrete Beam Schedule'!$A$2:$Q$2902,AA$2,0)&lt;&gt;K210,"Beam Revised","")</f>
        <v>#N/A</v>
      </c>
      <c r="AB210" s="7" t="e">
        <f>IF(VLOOKUP($A210,'Concrete Beam Schedule'!$A$2:$Q$2902,AB$2,0)&lt;&gt;L210,"Beam Revised","")</f>
        <v>#N/A</v>
      </c>
      <c r="AC210" s="7" t="e">
        <f>IF(VLOOKUP($A210,'Concrete Beam Schedule'!$A$2:$Q$2902,AC$2,0)&lt;&gt;M210,"Beam Revised","")</f>
        <v>#N/A</v>
      </c>
      <c r="AD210" s="7" t="e">
        <f>IF(VLOOKUP($A210,'Concrete Beam Schedule'!$A$2:$Q$2902,AD$2,0)&lt;&gt;N210,"Beam Revised","")</f>
        <v>#N/A</v>
      </c>
      <c r="AE210" s="7" t="e">
        <f>IF(VLOOKUP($A210,'Concrete Beam Schedule'!$A$2:$Q$2902,AE$2,0)&lt;&gt;O210,"Beam Revised","")</f>
        <v>#N/A</v>
      </c>
    </row>
    <row r="211" spans="1:31" ht="25.5" customHeight="1" x14ac:dyDescent="0.25">
      <c r="A211" s="17"/>
      <c r="B211" s="17"/>
      <c r="C211" s="17"/>
      <c r="D211" s="17"/>
      <c r="E211" s="17"/>
      <c r="F211" s="17"/>
      <c r="G211" s="17"/>
      <c r="H211" s="17"/>
      <c r="I211" s="17"/>
      <c r="J211" s="17"/>
      <c r="K211" s="17"/>
      <c r="L211" s="17"/>
      <c r="M211" s="17"/>
      <c r="N211" s="17"/>
      <c r="O211" s="17"/>
      <c r="Q211" s="7">
        <f t="shared" si="3"/>
        <v>0</v>
      </c>
      <c r="R211" s="7" t="e">
        <f>IF(VLOOKUP($A211,'Concrete Beam Schedule'!$A$2:$Q$2902,R$2,0)&lt;&gt;B211,VLOOKUP($A211,'Concrete Beam Schedule'!$A$2:$Q$2902,R$2,0),"")</f>
        <v>#N/A</v>
      </c>
      <c r="S211" s="7" t="e">
        <f>IF(VLOOKUP($A211,'Concrete Beam Schedule'!$A$2:$Q$2902,S$2,0)&lt;&gt;C211,VLOOKUP($A211,'Concrete Beam Schedule'!$A$2:$Q$2902,S$2,0),"")</f>
        <v>#N/A</v>
      </c>
      <c r="T211" s="7" t="e">
        <f>IF(VLOOKUP($A211,'Concrete Beam Schedule'!$A$2:$Q$2902,T$2,0)&lt;&gt;D211,"Beam Revised","")</f>
        <v>#N/A</v>
      </c>
      <c r="U211" s="7" t="e">
        <f>IF(VLOOKUP($A211,'Concrete Beam Schedule'!$A$2:$Q$2902,U$2,0)&lt;&gt;E211,"Beam Revised","")</f>
        <v>#N/A</v>
      </c>
      <c r="V211" s="7" t="e">
        <f>IF(VLOOKUP($A211,'Concrete Beam Schedule'!$A$2:$Q$2902,V$2,0)&lt;&gt;F211,"Beam Revised","")</f>
        <v>#N/A</v>
      </c>
      <c r="W211" s="7" t="e">
        <f>IF(VLOOKUP($A211,'Concrete Beam Schedule'!$A$2:$Q$2902,W$2,0)&lt;&gt;G211,"Beam Revised","")</f>
        <v>#N/A</v>
      </c>
      <c r="X211" s="7" t="e">
        <f>IF(VLOOKUP($A211,'Concrete Beam Schedule'!$A$2:$Q$2902,X$2,0)&lt;&gt;H211,"Beam Revised","")</f>
        <v>#N/A</v>
      </c>
      <c r="Y211" s="7" t="e">
        <f>IF(VLOOKUP($A211,'Concrete Beam Schedule'!$A$2:$Q$2902,Y$2,0)&lt;&gt;I211,"Beam Revised","")</f>
        <v>#N/A</v>
      </c>
      <c r="Z211" s="7" t="e">
        <f>IF(VLOOKUP($A211,'Concrete Beam Schedule'!$A$2:$Q$2902,Z$2,0)&lt;&gt;J211,"Beam Revised","")</f>
        <v>#N/A</v>
      </c>
      <c r="AA211" s="7" t="e">
        <f>IF(VLOOKUP($A211,'Concrete Beam Schedule'!$A$2:$Q$2902,AA$2,0)&lt;&gt;K211,"Beam Revised","")</f>
        <v>#N/A</v>
      </c>
      <c r="AB211" s="7" t="e">
        <f>IF(VLOOKUP($A211,'Concrete Beam Schedule'!$A$2:$Q$2902,AB$2,0)&lt;&gt;L211,"Beam Revised","")</f>
        <v>#N/A</v>
      </c>
      <c r="AC211" s="7" t="e">
        <f>IF(VLOOKUP($A211,'Concrete Beam Schedule'!$A$2:$Q$2902,AC$2,0)&lt;&gt;M211,"Beam Revised","")</f>
        <v>#N/A</v>
      </c>
      <c r="AD211" s="7" t="e">
        <f>IF(VLOOKUP($A211,'Concrete Beam Schedule'!$A$2:$Q$2902,AD$2,0)&lt;&gt;N211,"Beam Revised","")</f>
        <v>#N/A</v>
      </c>
      <c r="AE211" s="7" t="e">
        <f>IF(VLOOKUP($A211,'Concrete Beam Schedule'!$A$2:$Q$2902,AE$2,0)&lt;&gt;O211,"Beam Revised","")</f>
        <v>#N/A</v>
      </c>
    </row>
    <row r="212" spans="1:31" ht="25.5" customHeight="1" x14ac:dyDescent="0.25">
      <c r="A212" s="17"/>
      <c r="B212" s="17"/>
      <c r="C212" s="17"/>
      <c r="D212" s="17"/>
      <c r="E212" s="17"/>
      <c r="F212" s="17"/>
      <c r="G212" s="17"/>
      <c r="H212" s="17"/>
      <c r="I212" s="17"/>
      <c r="J212" s="17"/>
      <c r="K212" s="17"/>
      <c r="L212" s="17"/>
      <c r="M212" s="17"/>
      <c r="N212" s="17"/>
      <c r="O212" s="17"/>
      <c r="Q212" s="7">
        <f t="shared" si="3"/>
        <v>0</v>
      </c>
      <c r="R212" s="7" t="e">
        <f>IF(VLOOKUP($A212,'Concrete Beam Schedule'!$A$2:$Q$2902,R$2,0)&lt;&gt;B212,VLOOKUP($A212,'Concrete Beam Schedule'!$A$2:$Q$2902,R$2,0),"")</f>
        <v>#N/A</v>
      </c>
      <c r="S212" s="7" t="e">
        <f>IF(VLOOKUP($A212,'Concrete Beam Schedule'!$A$2:$Q$2902,S$2,0)&lt;&gt;C212,VLOOKUP($A212,'Concrete Beam Schedule'!$A$2:$Q$2902,S$2,0),"")</f>
        <v>#N/A</v>
      </c>
      <c r="T212" s="7" t="e">
        <f>IF(VLOOKUP($A212,'Concrete Beam Schedule'!$A$2:$Q$2902,T$2,0)&lt;&gt;D212,"Beam Revised","")</f>
        <v>#N/A</v>
      </c>
      <c r="U212" s="7" t="e">
        <f>IF(VLOOKUP($A212,'Concrete Beam Schedule'!$A$2:$Q$2902,U$2,0)&lt;&gt;E212,"Beam Revised","")</f>
        <v>#N/A</v>
      </c>
      <c r="V212" s="7" t="e">
        <f>IF(VLOOKUP($A212,'Concrete Beam Schedule'!$A$2:$Q$2902,V$2,0)&lt;&gt;F212,"Beam Revised","")</f>
        <v>#N/A</v>
      </c>
      <c r="W212" s="7" t="e">
        <f>IF(VLOOKUP($A212,'Concrete Beam Schedule'!$A$2:$Q$2902,W$2,0)&lt;&gt;G212,"Beam Revised","")</f>
        <v>#N/A</v>
      </c>
      <c r="X212" s="7" t="e">
        <f>IF(VLOOKUP($A212,'Concrete Beam Schedule'!$A$2:$Q$2902,X$2,0)&lt;&gt;H212,"Beam Revised","")</f>
        <v>#N/A</v>
      </c>
      <c r="Y212" s="7" t="e">
        <f>IF(VLOOKUP($A212,'Concrete Beam Schedule'!$A$2:$Q$2902,Y$2,0)&lt;&gt;I212,"Beam Revised","")</f>
        <v>#N/A</v>
      </c>
      <c r="Z212" s="7" t="e">
        <f>IF(VLOOKUP($A212,'Concrete Beam Schedule'!$A$2:$Q$2902,Z$2,0)&lt;&gt;J212,"Beam Revised","")</f>
        <v>#N/A</v>
      </c>
      <c r="AA212" s="7" t="e">
        <f>IF(VLOOKUP($A212,'Concrete Beam Schedule'!$A$2:$Q$2902,AA$2,0)&lt;&gt;K212,"Beam Revised","")</f>
        <v>#N/A</v>
      </c>
      <c r="AB212" s="7" t="e">
        <f>IF(VLOOKUP($A212,'Concrete Beam Schedule'!$A$2:$Q$2902,AB$2,0)&lt;&gt;L212,"Beam Revised","")</f>
        <v>#N/A</v>
      </c>
      <c r="AC212" s="7" t="e">
        <f>IF(VLOOKUP($A212,'Concrete Beam Schedule'!$A$2:$Q$2902,AC$2,0)&lt;&gt;M212,"Beam Revised","")</f>
        <v>#N/A</v>
      </c>
      <c r="AD212" s="7" t="e">
        <f>IF(VLOOKUP($A212,'Concrete Beam Schedule'!$A$2:$Q$2902,AD$2,0)&lt;&gt;N212,"Beam Revised","")</f>
        <v>#N/A</v>
      </c>
      <c r="AE212" s="7" t="e">
        <f>IF(VLOOKUP($A212,'Concrete Beam Schedule'!$A$2:$Q$2902,AE$2,0)&lt;&gt;O212,"Beam Revised","")</f>
        <v>#N/A</v>
      </c>
    </row>
    <row r="213" spans="1:31" ht="25.5" customHeight="1" x14ac:dyDescent="0.25">
      <c r="A213" s="17"/>
      <c r="B213" s="17"/>
      <c r="C213" s="17"/>
      <c r="D213" s="17"/>
      <c r="E213" s="17"/>
      <c r="F213" s="17"/>
      <c r="G213" s="17"/>
      <c r="H213" s="17"/>
      <c r="I213" s="17"/>
      <c r="J213" s="17"/>
      <c r="K213" s="17"/>
      <c r="L213" s="17"/>
      <c r="M213" s="17"/>
      <c r="N213" s="17"/>
      <c r="O213" s="17"/>
      <c r="Q213" s="7">
        <f t="shared" si="3"/>
        <v>0</v>
      </c>
      <c r="R213" s="7" t="e">
        <f>IF(VLOOKUP($A213,'Concrete Beam Schedule'!$A$2:$Q$2902,R$2,0)&lt;&gt;B213,VLOOKUP($A213,'Concrete Beam Schedule'!$A$2:$Q$2902,R$2,0),"")</f>
        <v>#N/A</v>
      </c>
      <c r="S213" s="7" t="e">
        <f>IF(VLOOKUP($A213,'Concrete Beam Schedule'!$A$2:$Q$2902,S$2,0)&lt;&gt;C213,VLOOKUP($A213,'Concrete Beam Schedule'!$A$2:$Q$2902,S$2,0),"")</f>
        <v>#N/A</v>
      </c>
      <c r="T213" s="7" t="e">
        <f>IF(VLOOKUP($A213,'Concrete Beam Schedule'!$A$2:$Q$2902,T$2,0)&lt;&gt;D213,"Beam Revised","")</f>
        <v>#N/A</v>
      </c>
      <c r="U213" s="7" t="e">
        <f>IF(VLOOKUP($A213,'Concrete Beam Schedule'!$A$2:$Q$2902,U$2,0)&lt;&gt;E213,"Beam Revised","")</f>
        <v>#N/A</v>
      </c>
      <c r="V213" s="7" t="e">
        <f>IF(VLOOKUP($A213,'Concrete Beam Schedule'!$A$2:$Q$2902,V$2,0)&lt;&gt;F213,"Beam Revised","")</f>
        <v>#N/A</v>
      </c>
      <c r="W213" s="7" t="e">
        <f>IF(VLOOKUP($A213,'Concrete Beam Schedule'!$A$2:$Q$2902,W$2,0)&lt;&gt;G213,"Beam Revised","")</f>
        <v>#N/A</v>
      </c>
      <c r="X213" s="7" t="e">
        <f>IF(VLOOKUP($A213,'Concrete Beam Schedule'!$A$2:$Q$2902,X$2,0)&lt;&gt;H213,"Beam Revised","")</f>
        <v>#N/A</v>
      </c>
      <c r="Y213" s="7" t="e">
        <f>IF(VLOOKUP($A213,'Concrete Beam Schedule'!$A$2:$Q$2902,Y$2,0)&lt;&gt;I213,"Beam Revised","")</f>
        <v>#N/A</v>
      </c>
      <c r="Z213" s="7" t="e">
        <f>IF(VLOOKUP($A213,'Concrete Beam Schedule'!$A$2:$Q$2902,Z$2,0)&lt;&gt;J213,"Beam Revised","")</f>
        <v>#N/A</v>
      </c>
      <c r="AA213" s="7" t="e">
        <f>IF(VLOOKUP($A213,'Concrete Beam Schedule'!$A$2:$Q$2902,AA$2,0)&lt;&gt;K213,"Beam Revised","")</f>
        <v>#N/A</v>
      </c>
      <c r="AB213" s="7" t="e">
        <f>IF(VLOOKUP($A213,'Concrete Beam Schedule'!$A$2:$Q$2902,AB$2,0)&lt;&gt;L213,"Beam Revised","")</f>
        <v>#N/A</v>
      </c>
      <c r="AC213" s="7" t="e">
        <f>IF(VLOOKUP($A213,'Concrete Beam Schedule'!$A$2:$Q$2902,AC$2,0)&lt;&gt;M213,"Beam Revised","")</f>
        <v>#N/A</v>
      </c>
      <c r="AD213" s="7" t="e">
        <f>IF(VLOOKUP($A213,'Concrete Beam Schedule'!$A$2:$Q$2902,AD$2,0)&lt;&gt;N213,"Beam Revised","")</f>
        <v>#N/A</v>
      </c>
      <c r="AE213" s="7" t="e">
        <f>IF(VLOOKUP($A213,'Concrete Beam Schedule'!$A$2:$Q$2902,AE$2,0)&lt;&gt;O213,"Beam Revised","")</f>
        <v>#N/A</v>
      </c>
    </row>
    <row r="214" spans="1:31" ht="25.5" customHeight="1" x14ac:dyDescent="0.25">
      <c r="A214" s="17"/>
      <c r="B214" s="17"/>
      <c r="C214" s="17"/>
      <c r="D214" s="17"/>
      <c r="E214" s="17"/>
      <c r="F214" s="17"/>
      <c r="G214" s="17"/>
      <c r="H214" s="17"/>
      <c r="I214" s="17"/>
      <c r="J214" s="17"/>
      <c r="K214" s="17"/>
      <c r="L214" s="17"/>
      <c r="M214" s="17"/>
      <c r="N214" s="17"/>
      <c r="O214" s="17"/>
      <c r="Q214" s="7">
        <f t="shared" si="3"/>
        <v>0</v>
      </c>
      <c r="R214" s="7" t="e">
        <f>IF(VLOOKUP($A214,'Concrete Beam Schedule'!$A$2:$Q$2902,R$2,0)&lt;&gt;B214,VLOOKUP($A214,'Concrete Beam Schedule'!$A$2:$Q$2902,R$2,0),"")</f>
        <v>#N/A</v>
      </c>
      <c r="S214" s="7" t="e">
        <f>IF(VLOOKUP($A214,'Concrete Beam Schedule'!$A$2:$Q$2902,S$2,0)&lt;&gt;C214,VLOOKUP($A214,'Concrete Beam Schedule'!$A$2:$Q$2902,S$2,0),"")</f>
        <v>#N/A</v>
      </c>
      <c r="T214" s="7" t="e">
        <f>IF(VLOOKUP($A214,'Concrete Beam Schedule'!$A$2:$Q$2902,T$2,0)&lt;&gt;D214,"Beam Revised","")</f>
        <v>#N/A</v>
      </c>
      <c r="U214" s="7" t="e">
        <f>IF(VLOOKUP($A214,'Concrete Beam Schedule'!$A$2:$Q$2902,U$2,0)&lt;&gt;E214,"Beam Revised","")</f>
        <v>#N/A</v>
      </c>
      <c r="V214" s="7" t="e">
        <f>IF(VLOOKUP($A214,'Concrete Beam Schedule'!$A$2:$Q$2902,V$2,0)&lt;&gt;F214,"Beam Revised","")</f>
        <v>#N/A</v>
      </c>
      <c r="W214" s="7" t="e">
        <f>IF(VLOOKUP($A214,'Concrete Beam Schedule'!$A$2:$Q$2902,W$2,0)&lt;&gt;G214,"Beam Revised","")</f>
        <v>#N/A</v>
      </c>
      <c r="X214" s="7" t="e">
        <f>IF(VLOOKUP($A214,'Concrete Beam Schedule'!$A$2:$Q$2902,X$2,0)&lt;&gt;H214,"Beam Revised","")</f>
        <v>#N/A</v>
      </c>
      <c r="Y214" s="7" t="e">
        <f>IF(VLOOKUP($A214,'Concrete Beam Schedule'!$A$2:$Q$2902,Y$2,0)&lt;&gt;I214,"Beam Revised","")</f>
        <v>#N/A</v>
      </c>
      <c r="Z214" s="7" t="e">
        <f>IF(VLOOKUP($A214,'Concrete Beam Schedule'!$A$2:$Q$2902,Z$2,0)&lt;&gt;J214,"Beam Revised","")</f>
        <v>#N/A</v>
      </c>
      <c r="AA214" s="7" t="e">
        <f>IF(VLOOKUP($A214,'Concrete Beam Schedule'!$A$2:$Q$2902,AA$2,0)&lt;&gt;K214,"Beam Revised","")</f>
        <v>#N/A</v>
      </c>
      <c r="AB214" s="7" t="e">
        <f>IF(VLOOKUP($A214,'Concrete Beam Schedule'!$A$2:$Q$2902,AB$2,0)&lt;&gt;L214,"Beam Revised","")</f>
        <v>#N/A</v>
      </c>
      <c r="AC214" s="7" t="e">
        <f>IF(VLOOKUP($A214,'Concrete Beam Schedule'!$A$2:$Q$2902,AC$2,0)&lt;&gt;M214,"Beam Revised","")</f>
        <v>#N/A</v>
      </c>
      <c r="AD214" s="7" t="e">
        <f>IF(VLOOKUP($A214,'Concrete Beam Schedule'!$A$2:$Q$2902,AD$2,0)&lt;&gt;N214,"Beam Revised","")</f>
        <v>#N/A</v>
      </c>
      <c r="AE214" s="7" t="e">
        <f>IF(VLOOKUP($A214,'Concrete Beam Schedule'!$A$2:$Q$2902,AE$2,0)&lt;&gt;O214,"Beam Revised","")</f>
        <v>#N/A</v>
      </c>
    </row>
    <row r="215" spans="1:31" ht="25.5" customHeight="1" x14ac:dyDescent="0.25">
      <c r="A215" s="17"/>
      <c r="B215" s="17"/>
      <c r="C215" s="17"/>
      <c r="D215" s="17"/>
      <c r="E215" s="17"/>
      <c r="F215" s="17"/>
      <c r="G215" s="17"/>
      <c r="H215" s="17"/>
      <c r="I215" s="17"/>
      <c r="J215" s="17"/>
      <c r="K215" s="17"/>
      <c r="L215" s="17"/>
      <c r="M215" s="17"/>
      <c r="N215" s="17"/>
      <c r="O215" s="17"/>
      <c r="Q215" s="7">
        <f t="shared" si="3"/>
        <v>0</v>
      </c>
      <c r="R215" s="7" t="e">
        <f>IF(VLOOKUP($A215,'Concrete Beam Schedule'!$A$2:$Q$2902,R$2,0)&lt;&gt;B215,VLOOKUP($A215,'Concrete Beam Schedule'!$A$2:$Q$2902,R$2,0),"")</f>
        <v>#N/A</v>
      </c>
      <c r="S215" s="7" t="e">
        <f>IF(VLOOKUP($A215,'Concrete Beam Schedule'!$A$2:$Q$2902,S$2,0)&lt;&gt;C215,VLOOKUP($A215,'Concrete Beam Schedule'!$A$2:$Q$2902,S$2,0),"")</f>
        <v>#N/A</v>
      </c>
      <c r="T215" s="7" t="e">
        <f>IF(VLOOKUP($A215,'Concrete Beam Schedule'!$A$2:$Q$2902,T$2,0)&lt;&gt;D215,"Beam Revised","")</f>
        <v>#N/A</v>
      </c>
      <c r="U215" s="7" t="e">
        <f>IF(VLOOKUP($A215,'Concrete Beam Schedule'!$A$2:$Q$2902,U$2,0)&lt;&gt;E215,"Beam Revised","")</f>
        <v>#N/A</v>
      </c>
      <c r="V215" s="7" t="e">
        <f>IF(VLOOKUP($A215,'Concrete Beam Schedule'!$A$2:$Q$2902,V$2,0)&lt;&gt;F215,"Beam Revised","")</f>
        <v>#N/A</v>
      </c>
      <c r="W215" s="7" t="e">
        <f>IF(VLOOKUP($A215,'Concrete Beam Schedule'!$A$2:$Q$2902,W$2,0)&lt;&gt;G215,"Beam Revised","")</f>
        <v>#N/A</v>
      </c>
      <c r="X215" s="7" t="e">
        <f>IF(VLOOKUP($A215,'Concrete Beam Schedule'!$A$2:$Q$2902,X$2,0)&lt;&gt;H215,"Beam Revised","")</f>
        <v>#N/A</v>
      </c>
      <c r="Y215" s="7" t="e">
        <f>IF(VLOOKUP($A215,'Concrete Beam Schedule'!$A$2:$Q$2902,Y$2,0)&lt;&gt;I215,"Beam Revised","")</f>
        <v>#N/A</v>
      </c>
      <c r="Z215" s="7" t="e">
        <f>IF(VLOOKUP($A215,'Concrete Beam Schedule'!$A$2:$Q$2902,Z$2,0)&lt;&gt;J215,"Beam Revised","")</f>
        <v>#N/A</v>
      </c>
      <c r="AA215" s="7" t="e">
        <f>IF(VLOOKUP($A215,'Concrete Beam Schedule'!$A$2:$Q$2902,AA$2,0)&lt;&gt;K215,"Beam Revised","")</f>
        <v>#N/A</v>
      </c>
      <c r="AB215" s="7" t="e">
        <f>IF(VLOOKUP($A215,'Concrete Beam Schedule'!$A$2:$Q$2902,AB$2,0)&lt;&gt;L215,"Beam Revised","")</f>
        <v>#N/A</v>
      </c>
      <c r="AC215" s="7" t="e">
        <f>IF(VLOOKUP($A215,'Concrete Beam Schedule'!$A$2:$Q$2902,AC$2,0)&lt;&gt;M215,"Beam Revised","")</f>
        <v>#N/A</v>
      </c>
      <c r="AD215" s="7" t="e">
        <f>IF(VLOOKUP($A215,'Concrete Beam Schedule'!$A$2:$Q$2902,AD$2,0)&lt;&gt;N215,"Beam Revised","")</f>
        <v>#N/A</v>
      </c>
      <c r="AE215" s="7" t="e">
        <f>IF(VLOOKUP($A215,'Concrete Beam Schedule'!$A$2:$Q$2902,AE$2,0)&lt;&gt;O215,"Beam Revised","")</f>
        <v>#N/A</v>
      </c>
    </row>
    <row r="216" spans="1:31" ht="25.5" customHeight="1" x14ac:dyDescent="0.25">
      <c r="A216" s="17"/>
      <c r="B216" s="17"/>
      <c r="C216" s="17"/>
      <c r="D216" s="17"/>
      <c r="E216" s="17"/>
      <c r="F216" s="17"/>
      <c r="G216" s="17"/>
      <c r="H216" s="17"/>
      <c r="I216" s="17"/>
      <c r="J216" s="17"/>
      <c r="K216" s="17"/>
      <c r="L216" s="17"/>
      <c r="M216" s="17"/>
      <c r="N216" s="17"/>
      <c r="O216" s="17"/>
      <c r="Q216" s="7">
        <f t="shared" si="3"/>
        <v>0</v>
      </c>
      <c r="R216" s="7" t="e">
        <f>IF(VLOOKUP($A216,'Concrete Beam Schedule'!$A$2:$Q$2902,R$2,0)&lt;&gt;B216,VLOOKUP($A216,'Concrete Beam Schedule'!$A$2:$Q$2902,R$2,0),"")</f>
        <v>#N/A</v>
      </c>
      <c r="S216" s="7" t="e">
        <f>IF(VLOOKUP($A216,'Concrete Beam Schedule'!$A$2:$Q$2902,S$2,0)&lt;&gt;C216,VLOOKUP($A216,'Concrete Beam Schedule'!$A$2:$Q$2902,S$2,0),"")</f>
        <v>#N/A</v>
      </c>
      <c r="T216" s="7" t="e">
        <f>IF(VLOOKUP($A216,'Concrete Beam Schedule'!$A$2:$Q$2902,T$2,0)&lt;&gt;D216,"Beam Revised","")</f>
        <v>#N/A</v>
      </c>
      <c r="U216" s="7" t="e">
        <f>IF(VLOOKUP($A216,'Concrete Beam Schedule'!$A$2:$Q$2902,U$2,0)&lt;&gt;E216,"Beam Revised","")</f>
        <v>#N/A</v>
      </c>
      <c r="V216" s="7" t="e">
        <f>IF(VLOOKUP($A216,'Concrete Beam Schedule'!$A$2:$Q$2902,V$2,0)&lt;&gt;F216,"Beam Revised","")</f>
        <v>#N/A</v>
      </c>
      <c r="W216" s="7" t="e">
        <f>IF(VLOOKUP($A216,'Concrete Beam Schedule'!$A$2:$Q$2902,W$2,0)&lt;&gt;G216,"Beam Revised","")</f>
        <v>#N/A</v>
      </c>
      <c r="X216" s="7" t="e">
        <f>IF(VLOOKUP($A216,'Concrete Beam Schedule'!$A$2:$Q$2902,X$2,0)&lt;&gt;H216,"Beam Revised","")</f>
        <v>#N/A</v>
      </c>
      <c r="Y216" s="7" t="e">
        <f>IF(VLOOKUP($A216,'Concrete Beam Schedule'!$A$2:$Q$2902,Y$2,0)&lt;&gt;I216,"Beam Revised","")</f>
        <v>#N/A</v>
      </c>
      <c r="Z216" s="7" t="e">
        <f>IF(VLOOKUP($A216,'Concrete Beam Schedule'!$A$2:$Q$2902,Z$2,0)&lt;&gt;J216,"Beam Revised","")</f>
        <v>#N/A</v>
      </c>
      <c r="AA216" s="7" t="e">
        <f>IF(VLOOKUP($A216,'Concrete Beam Schedule'!$A$2:$Q$2902,AA$2,0)&lt;&gt;K216,"Beam Revised","")</f>
        <v>#N/A</v>
      </c>
      <c r="AB216" s="7" t="e">
        <f>IF(VLOOKUP($A216,'Concrete Beam Schedule'!$A$2:$Q$2902,AB$2,0)&lt;&gt;L216,"Beam Revised","")</f>
        <v>#N/A</v>
      </c>
      <c r="AC216" s="7" t="e">
        <f>IF(VLOOKUP($A216,'Concrete Beam Schedule'!$A$2:$Q$2902,AC$2,0)&lt;&gt;M216,"Beam Revised","")</f>
        <v>#N/A</v>
      </c>
      <c r="AD216" s="7" t="e">
        <f>IF(VLOOKUP($A216,'Concrete Beam Schedule'!$A$2:$Q$2902,AD$2,0)&lt;&gt;N216,"Beam Revised","")</f>
        <v>#N/A</v>
      </c>
      <c r="AE216" s="7" t="e">
        <f>IF(VLOOKUP($A216,'Concrete Beam Schedule'!$A$2:$Q$2902,AE$2,0)&lt;&gt;O216,"Beam Revised","")</f>
        <v>#N/A</v>
      </c>
    </row>
    <row r="217" spans="1:31" ht="25.5" customHeight="1" x14ac:dyDescent="0.25">
      <c r="A217" s="17"/>
      <c r="B217" s="17"/>
      <c r="C217" s="17"/>
      <c r="D217" s="17"/>
      <c r="E217" s="17"/>
      <c r="F217" s="17"/>
      <c r="G217" s="17"/>
      <c r="H217" s="17"/>
      <c r="I217" s="17"/>
      <c r="J217" s="17"/>
      <c r="K217" s="17"/>
      <c r="L217" s="17"/>
      <c r="M217" s="17"/>
      <c r="N217" s="17"/>
      <c r="O217" s="17"/>
      <c r="Q217" s="7">
        <f t="shared" si="3"/>
        <v>0</v>
      </c>
      <c r="R217" s="7" t="e">
        <f>IF(VLOOKUP($A217,'Concrete Beam Schedule'!$A$2:$Q$2902,R$2,0)&lt;&gt;B217,VLOOKUP($A217,'Concrete Beam Schedule'!$A$2:$Q$2902,R$2,0),"")</f>
        <v>#N/A</v>
      </c>
      <c r="S217" s="7" t="e">
        <f>IF(VLOOKUP($A217,'Concrete Beam Schedule'!$A$2:$Q$2902,S$2,0)&lt;&gt;C217,VLOOKUP($A217,'Concrete Beam Schedule'!$A$2:$Q$2902,S$2,0),"")</f>
        <v>#N/A</v>
      </c>
      <c r="T217" s="7" t="e">
        <f>IF(VLOOKUP($A217,'Concrete Beam Schedule'!$A$2:$Q$2902,T$2,0)&lt;&gt;D217,"Beam Revised","")</f>
        <v>#N/A</v>
      </c>
      <c r="U217" s="7" t="e">
        <f>IF(VLOOKUP($A217,'Concrete Beam Schedule'!$A$2:$Q$2902,U$2,0)&lt;&gt;E217,"Beam Revised","")</f>
        <v>#N/A</v>
      </c>
      <c r="V217" s="7" t="e">
        <f>IF(VLOOKUP($A217,'Concrete Beam Schedule'!$A$2:$Q$2902,V$2,0)&lt;&gt;F217,"Beam Revised","")</f>
        <v>#N/A</v>
      </c>
      <c r="W217" s="7" t="e">
        <f>IF(VLOOKUP($A217,'Concrete Beam Schedule'!$A$2:$Q$2902,W$2,0)&lt;&gt;G217,"Beam Revised","")</f>
        <v>#N/A</v>
      </c>
      <c r="X217" s="7" t="e">
        <f>IF(VLOOKUP($A217,'Concrete Beam Schedule'!$A$2:$Q$2902,X$2,0)&lt;&gt;H217,"Beam Revised","")</f>
        <v>#N/A</v>
      </c>
      <c r="Y217" s="7" t="e">
        <f>IF(VLOOKUP($A217,'Concrete Beam Schedule'!$A$2:$Q$2902,Y$2,0)&lt;&gt;I217,"Beam Revised","")</f>
        <v>#N/A</v>
      </c>
      <c r="Z217" s="7" t="e">
        <f>IF(VLOOKUP($A217,'Concrete Beam Schedule'!$A$2:$Q$2902,Z$2,0)&lt;&gt;J217,"Beam Revised","")</f>
        <v>#N/A</v>
      </c>
      <c r="AA217" s="7" t="e">
        <f>IF(VLOOKUP($A217,'Concrete Beam Schedule'!$A$2:$Q$2902,AA$2,0)&lt;&gt;K217,"Beam Revised","")</f>
        <v>#N/A</v>
      </c>
      <c r="AB217" s="7" t="e">
        <f>IF(VLOOKUP($A217,'Concrete Beam Schedule'!$A$2:$Q$2902,AB$2,0)&lt;&gt;L217,"Beam Revised","")</f>
        <v>#N/A</v>
      </c>
      <c r="AC217" s="7" t="e">
        <f>IF(VLOOKUP($A217,'Concrete Beam Schedule'!$A$2:$Q$2902,AC$2,0)&lt;&gt;M217,"Beam Revised","")</f>
        <v>#N/A</v>
      </c>
      <c r="AD217" s="7" t="e">
        <f>IF(VLOOKUP($A217,'Concrete Beam Schedule'!$A$2:$Q$2902,AD$2,0)&lt;&gt;N217,"Beam Revised","")</f>
        <v>#N/A</v>
      </c>
      <c r="AE217" s="7" t="e">
        <f>IF(VLOOKUP($A217,'Concrete Beam Schedule'!$A$2:$Q$2902,AE$2,0)&lt;&gt;O217,"Beam Revised","")</f>
        <v>#N/A</v>
      </c>
    </row>
    <row r="218" spans="1:31" ht="25.5" customHeight="1" x14ac:dyDescent="0.25">
      <c r="A218" s="17"/>
      <c r="B218" s="17"/>
      <c r="C218" s="17"/>
      <c r="D218" s="17"/>
      <c r="E218" s="17"/>
      <c r="F218" s="17"/>
      <c r="G218" s="17"/>
      <c r="H218" s="17"/>
      <c r="I218" s="17"/>
      <c r="J218" s="17"/>
      <c r="K218" s="17"/>
      <c r="L218" s="17"/>
      <c r="M218" s="17"/>
      <c r="N218" s="17"/>
      <c r="O218" s="17"/>
      <c r="Q218" s="7">
        <f t="shared" si="3"/>
        <v>0</v>
      </c>
      <c r="R218" s="7" t="e">
        <f>IF(VLOOKUP($A218,'Concrete Beam Schedule'!$A$2:$Q$2902,R$2,0)&lt;&gt;B218,VLOOKUP($A218,'Concrete Beam Schedule'!$A$2:$Q$2902,R$2,0),"")</f>
        <v>#N/A</v>
      </c>
      <c r="S218" s="7" t="e">
        <f>IF(VLOOKUP($A218,'Concrete Beam Schedule'!$A$2:$Q$2902,S$2,0)&lt;&gt;C218,VLOOKUP($A218,'Concrete Beam Schedule'!$A$2:$Q$2902,S$2,0),"")</f>
        <v>#N/A</v>
      </c>
      <c r="T218" s="7" t="e">
        <f>IF(VLOOKUP($A218,'Concrete Beam Schedule'!$A$2:$Q$2902,T$2,0)&lt;&gt;D218,"Beam Revised","")</f>
        <v>#N/A</v>
      </c>
      <c r="U218" s="7" t="e">
        <f>IF(VLOOKUP($A218,'Concrete Beam Schedule'!$A$2:$Q$2902,U$2,0)&lt;&gt;E218,"Beam Revised","")</f>
        <v>#N/A</v>
      </c>
      <c r="V218" s="7" t="e">
        <f>IF(VLOOKUP($A218,'Concrete Beam Schedule'!$A$2:$Q$2902,V$2,0)&lt;&gt;F218,"Beam Revised","")</f>
        <v>#N/A</v>
      </c>
      <c r="W218" s="7" t="e">
        <f>IF(VLOOKUP($A218,'Concrete Beam Schedule'!$A$2:$Q$2902,W$2,0)&lt;&gt;G218,"Beam Revised","")</f>
        <v>#N/A</v>
      </c>
      <c r="X218" s="7" t="e">
        <f>IF(VLOOKUP($A218,'Concrete Beam Schedule'!$A$2:$Q$2902,X$2,0)&lt;&gt;H218,"Beam Revised","")</f>
        <v>#N/A</v>
      </c>
      <c r="Y218" s="7" t="e">
        <f>IF(VLOOKUP($A218,'Concrete Beam Schedule'!$A$2:$Q$2902,Y$2,0)&lt;&gt;I218,"Beam Revised","")</f>
        <v>#N/A</v>
      </c>
      <c r="Z218" s="7" t="e">
        <f>IF(VLOOKUP($A218,'Concrete Beam Schedule'!$A$2:$Q$2902,Z$2,0)&lt;&gt;J218,"Beam Revised","")</f>
        <v>#N/A</v>
      </c>
      <c r="AA218" s="7" t="e">
        <f>IF(VLOOKUP($A218,'Concrete Beam Schedule'!$A$2:$Q$2902,AA$2,0)&lt;&gt;K218,"Beam Revised","")</f>
        <v>#N/A</v>
      </c>
      <c r="AB218" s="7" t="e">
        <f>IF(VLOOKUP($A218,'Concrete Beam Schedule'!$A$2:$Q$2902,AB$2,0)&lt;&gt;L218,"Beam Revised","")</f>
        <v>#N/A</v>
      </c>
      <c r="AC218" s="7" t="e">
        <f>IF(VLOOKUP($A218,'Concrete Beam Schedule'!$A$2:$Q$2902,AC$2,0)&lt;&gt;M218,"Beam Revised","")</f>
        <v>#N/A</v>
      </c>
      <c r="AD218" s="7" t="e">
        <f>IF(VLOOKUP($A218,'Concrete Beam Schedule'!$A$2:$Q$2902,AD$2,0)&lt;&gt;N218,"Beam Revised","")</f>
        <v>#N/A</v>
      </c>
      <c r="AE218" s="7" t="e">
        <f>IF(VLOOKUP($A218,'Concrete Beam Schedule'!$A$2:$Q$2902,AE$2,0)&lt;&gt;O218,"Beam Revised","")</f>
        <v>#N/A</v>
      </c>
    </row>
    <row r="219" spans="1:31" ht="25.5" customHeight="1" x14ac:dyDescent="0.25">
      <c r="A219" s="17"/>
      <c r="B219" s="17"/>
      <c r="C219" s="17"/>
      <c r="D219" s="17"/>
      <c r="E219" s="17"/>
      <c r="F219" s="17"/>
      <c r="G219" s="17"/>
      <c r="H219" s="17"/>
      <c r="I219" s="17"/>
      <c r="J219" s="17"/>
      <c r="K219" s="17"/>
      <c r="L219" s="17"/>
      <c r="M219" s="17"/>
      <c r="N219" s="17"/>
      <c r="O219" s="17"/>
      <c r="Q219" s="7">
        <f t="shared" si="3"/>
        <v>0</v>
      </c>
      <c r="R219" s="7" t="e">
        <f>IF(VLOOKUP($A219,'Concrete Beam Schedule'!$A$2:$Q$2902,R$2,0)&lt;&gt;B219,VLOOKUP($A219,'Concrete Beam Schedule'!$A$2:$Q$2902,R$2,0),"")</f>
        <v>#N/A</v>
      </c>
      <c r="S219" s="7" t="e">
        <f>IF(VLOOKUP($A219,'Concrete Beam Schedule'!$A$2:$Q$2902,S$2,0)&lt;&gt;C219,VLOOKUP($A219,'Concrete Beam Schedule'!$A$2:$Q$2902,S$2,0),"")</f>
        <v>#N/A</v>
      </c>
      <c r="T219" s="7" t="e">
        <f>IF(VLOOKUP($A219,'Concrete Beam Schedule'!$A$2:$Q$2902,T$2,0)&lt;&gt;D219,"Beam Revised","")</f>
        <v>#N/A</v>
      </c>
      <c r="U219" s="7" t="e">
        <f>IF(VLOOKUP($A219,'Concrete Beam Schedule'!$A$2:$Q$2902,U$2,0)&lt;&gt;E219,"Beam Revised","")</f>
        <v>#N/A</v>
      </c>
      <c r="V219" s="7" t="e">
        <f>IF(VLOOKUP($A219,'Concrete Beam Schedule'!$A$2:$Q$2902,V$2,0)&lt;&gt;F219,"Beam Revised","")</f>
        <v>#N/A</v>
      </c>
      <c r="W219" s="7" t="e">
        <f>IF(VLOOKUP($A219,'Concrete Beam Schedule'!$A$2:$Q$2902,W$2,0)&lt;&gt;G219,"Beam Revised","")</f>
        <v>#N/A</v>
      </c>
      <c r="X219" s="7" t="e">
        <f>IF(VLOOKUP($A219,'Concrete Beam Schedule'!$A$2:$Q$2902,X$2,0)&lt;&gt;H219,"Beam Revised","")</f>
        <v>#N/A</v>
      </c>
      <c r="Y219" s="7" t="e">
        <f>IF(VLOOKUP($A219,'Concrete Beam Schedule'!$A$2:$Q$2902,Y$2,0)&lt;&gt;I219,"Beam Revised","")</f>
        <v>#N/A</v>
      </c>
      <c r="Z219" s="7" t="e">
        <f>IF(VLOOKUP($A219,'Concrete Beam Schedule'!$A$2:$Q$2902,Z$2,0)&lt;&gt;J219,"Beam Revised","")</f>
        <v>#N/A</v>
      </c>
      <c r="AA219" s="7" t="e">
        <f>IF(VLOOKUP($A219,'Concrete Beam Schedule'!$A$2:$Q$2902,AA$2,0)&lt;&gt;K219,"Beam Revised","")</f>
        <v>#N/A</v>
      </c>
      <c r="AB219" s="7" t="e">
        <f>IF(VLOOKUP($A219,'Concrete Beam Schedule'!$A$2:$Q$2902,AB$2,0)&lt;&gt;L219,"Beam Revised","")</f>
        <v>#N/A</v>
      </c>
      <c r="AC219" s="7" t="e">
        <f>IF(VLOOKUP($A219,'Concrete Beam Schedule'!$A$2:$Q$2902,AC$2,0)&lt;&gt;M219,"Beam Revised","")</f>
        <v>#N/A</v>
      </c>
      <c r="AD219" s="7" t="e">
        <f>IF(VLOOKUP($A219,'Concrete Beam Schedule'!$A$2:$Q$2902,AD$2,0)&lt;&gt;N219,"Beam Revised","")</f>
        <v>#N/A</v>
      </c>
      <c r="AE219" s="7" t="e">
        <f>IF(VLOOKUP($A219,'Concrete Beam Schedule'!$A$2:$Q$2902,AE$2,0)&lt;&gt;O219,"Beam Revised","")</f>
        <v>#N/A</v>
      </c>
    </row>
    <row r="220" spans="1:31" ht="25.5" customHeight="1" x14ac:dyDescent="0.25">
      <c r="A220" s="17"/>
      <c r="B220" s="17"/>
      <c r="C220" s="17"/>
      <c r="D220" s="17"/>
      <c r="E220" s="17"/>
      <c r="F220" s="17"/>
      <c r="G220" s="17"/>
      <c r="H220" s="17"/>
      <c r="I220" s="17"/>
      <c r="J220" s="17"/>
      <c r="K220" s="17"/>
      <c r="L220" s="17"/>
      <c r="M220" s="17"/>
      <c r="N220" s="17"/>
      <c r="O220" s="17"/>
      <c r="Q220" s="7">
        <f t="shared" si="3"/>
        <v>0</v>
      </c>
      <c r="R220" s="7" t="e">
        <f>IF(VLOOKUP($A220,'Concrete Beam Schedule'!$A$2:$Q$2902,R$2,0)&lt;&gt;B220,VLOOKUP($A220,'Concrete Beam Schedule'!$A$2:$Q$2902,R$2,0),"")</f>
        <v>#N/A</v>
      </c>
      <c r="S220" s="7" t="e">
        <f>IF(VLOOKUP($A220,'Concrete Beam Schedule'!$A$2:$Q$2902,S$2,0)&lt;&gt;C220,VLOOKUP($A220,'Concrete Beam Schedule'!$A$2:$Q$2902,S$2,0),"")</f>
        <v>#N/A</v>
      </c>
      <c r="T220" s="7" t="e">
        <f>IF(VLOOKUP($A220,'Concrete Beam Schedule'!$A$2:$Q$2902,T$2,0)&lt;&gt;D220,"Beam Revised","")</f>
        <v>#N/A</v>
      </c>
      <c r="U220" s="7" t="e">
        <f>IF(VLOOKUP($A220,'Concrete Beam Schedule'!$A$2:$Q$2902,U$2,0)&lt;&gt;E220,"Beam Revised","")</f>
        <v>#N/A</v>
      </c>
      <c r="V220" s="7" t="e">
        <f>IF(VLOOKUP($A220,'Concrete Beam Schedule'!$A$2:$Q$2902,V$2,0)&lt;&gt;F220,"Beam Revised","")</f>
        <v>#N/A</v>
      </c>
      <c r="W220" s="7" t="e">
        <f>IF(VLOOKUP($A220,'Concrete Beam Schedule'!$A$2:$Q$2902,W$2,0)&lt;&gt;G220,"Beam Revised","")</f>
        <v>#N/A</v>
      </c>
      <c r="X220" s="7" t="e">
        <f>IF(VLOOKUP($A220,'Concrete Beam Schedule'!$A$2:$Q$2902,X$2,0)&lt;&gt;H220,"Beam Revised","")</f>
        <v>#N/A</v>
      </c>
      <c r="Y220" s="7" t="e">
        <f>IF(VLOOKUP($A220,'Concrete Beam Schedule'!$A$2:$Q$2902,Y$2,0)&lt;&gt;I220,"Beam Revised","")</f>
        <v>#N/A</v>
      </c>
      <c r="Z220" s="7" t="e">
        <f>IF(VLOOKUP($A220,'Concrete Beam Schedule'!$A$2:$Q$2902,Z$2,0)&lt;&gt;J220,"Beam Revised","")</f>
        <v>#N/A</v>
      </c>
      <c r="AA220" s="7" t="e">
        <f>IF(VLOOKUP($A220,'Concrete Beam Schedule'!$A$2:$Q$2902,AA$2,0)&lt;&gt;K220,"Beam Revised","")</f>
        <v>#N/A</v>
      </c>
      <c r="AB220" s="7" t="e">
        <f>IF(VLOOKUP($A220,'Concrete Beam Schedule'!$A$2:$Q$2902,AB$2,0)&lt;&gt;L220,"Beam Revised","")</f>
        <v>#N/A</v>
      </c>
      <c r="AC220" s="7" t="e">
        <f>IF(VLOOKUP($A220,'Concrete Beam Schedule'!$A$2:$Q$2902,AC$2,0)&lt;&gt;M220,"Beam Revised","")</f>
        <v>#N/A</v>
      </c>
      <c r="AD220" s="7" t="e">
        <f>IF(VLOOKUP($A220,'Concrete Beam Schedule'!$A$2:$Q$2902,AD$2,0)&lt;&gt;N220,"Beam Revised","")</f>
        <v>#N/A</v>
      </c>
      <c r="AE220" s="7" t="e">
        <f>IF(VLOOKUP($A220,'Concrete Beam Schedule'!$A$2:$Q$2902,AE$2,0)&lt;&gt;O220,"Beam Revised","")</f>
        <v>#N/A</v>
      </c>
    </row>
    <row r="221" spans="1:31" ht="25.5" customHeight="1" x14ac:dyDescent="0.25">
      <c r="A221" s="17"/>
      <c r="B221" s="17"/>
      <c r="C221" s="17"/>
      <c r="D221" s="17"/>
      <c r="E221" s="17"/>
      <c r="F221" s="17"/>
      <c r="G221" s="17"/>
      <c r="H221" s="17"/>
      <c r="I221" s="17"/>
      <c r="J221" s="17"/>
      <c r="K221" s="17"/>
      <c r="L221" s="17"/>
      <c r="M221" s="17"/>
      <c r="N221" s="17"/>
      <c r="O221" s="17"/>
      <c r="Q221" s="7">
        <f t="shared" si="3"/>
        <v>0</v>
      </c>
      <c r="R221" s="7" t="e">
        <f>IF(VLOOKUP($A221,'Concrete Beam Schedule'!$A$2:$Q$2902,R$2,0)&lt;&gt;B221,VLOOKUP($A221,'Concrete Beam Schedule'!$A$2:$Q$2902,R$2,0),"")</f>
        <v>#N/A</v>
      </c>
      <c r="S221" s="7" t="e">
        <f>IF(VLOOKUP($A221,'Concrete Beam Schedule'!$A$2:$Q$2902,S$2,0)&lt;&gt;C221,VLOOKUP($A221,'Concrete Beam Schedule'!$A$2:$Q$2902,S$2,0),"")</f>
        <v>#N/A</v>
      </c>
      <c r="T221" s="7" t="e">
        <f>IF(VLOOKUP($A221,'Concrete Beam Schedule'!$A$2:$Q$2902,T$2,0)&lt;&gt;D221,"Beam Revised","")</f>
        <v>#N/A</v>
      </c>
      <c r="U221" s="7" t="e">
        <f>IF(VLOOKUP($A221,'Concrete Beam Schedule'!$A$2:$Q$2902,U$2,0)&lt;&gt;E221,"Beam Revised","")</f>
        <v>#N/A</v>
      </c>
      <c r="V221" s="7" t="e">
        <f>IF(VLOOKUP($A221,'Concrete Beam Schedule'!$A$2:$Q$2902,V$2,0)&lt;&gt;F221,"Beam Revised","")</f>
        <v>#N/A</v>
      </c>
      <c r="W221" s="7" t="e">
        <f>IF(VLOOKUP($A221,'Concrete Beam Schedule'!$A$2:$Q$2902,W$2,0)&lt;&gt;G221,"Beam Revised","")</f>
        <v>#N/A</v>
      </c>
      <c r="X221" s="7" t="e">
        <f>IF(VLOOKUP($A221,'Concrete Beam Schedule'!$A$2:$Q$2902,X$2,0)&lt;&gt;H221,"Beam Revised","")</f>
        <v>#N/A</v>
      </c>
      <c r="Y221" s="7" t="e">
        <f>IF(VLOOKUP($A221,'Concrete Beam Schedule'!$A$2:$Q$2902,Y$2,0)&lt;&gt;I221,"Beam Revised","")</f>
        <v>#N/A</v>
      </c>
      <c r="Z221" s="7" t="e">
        <f>IF(VLOOKUP($A221,'Concrete Beam Schedule'!$A$2:$Q$2902,Z$2,0)&lt;&gt;J221,"Beam Revised","")</f>
        <v>#N/A</v>
      </c>
      <c r="AA221" s="7" t="e">
        <f>IF(VLOOKUP($A221,'Concrete Beam Schedule'!$A$2:$Q$2902,AA$2,0)&lt;&gt;K221,"Beam Revised","")</f>
        <v>#N/A</v>
      </c>
      <c r="AB221" s="7" t="e">
        <f>IF(VLOOKUP($A221,'Concrete Beam Schedule'!$A$2:$Q$2902,AB$2,0)&lt;&gt;L221,"Beam Revised","")</f>
        <v>#N/A</v>
      </c>
      <c r="AC221" s="7" t="e">
        <f>IF(VLOOKUP($A221,'Concrete Beam Schedule'!$A$2:$Q$2902,AC$2,0)&lt;&gt;M221,"Beam Revised","")</f>
        <v>#N/A</v>
      </c>
      <c r="AD221" s="7" t="e">
        <f>IF(VLOOKUP($A221,'Concrete Beam Schedule'!$A$2:$Q$2902,AD$2,0)&lt;&gt;N221,"Beam Revised","")</f>
        <v>#N/A</v>
      </c>
      <c r="AE221" s="7" t="e">
        <f>IF(VLOOKUP($A221,'Concrete Beam Schedule'!$A$2:$Q$2902,AE$2,0)&lt;&gt;O221,"Beam Revised","")</f>
        <v>#N/A</v>
      </c>
    </row>
    <row r="222" spans="1:31" ht="25.5" customHeight="1" x14ac:dyDescent="0.25">
      <c r="A222" s="17"/>
      <c r="B222" s="17"/>
      <c r="C222" s="17"/>
      <c r="D222" s="17"/>
      <c r="E222" s="17"/>
      <c r="F222" s="17"/>
      <c r="G222" s="17"/>
      <c r="H222" s="17"/>
      <c r="I222" s="17"/>
      <c r="J222" s="17"/>
      <c r="K222" s="17"/>
      <c r="L222" s="17"/>
      <c r="M222" s="17"/>
      <c r="N222" s="17"/>
      <c r="O222" s="17"/>
      <c r="Q222" s="7">
        <f t="shared" si="3"/>
        <v>0</v>
      </c>
      <c r="R222" s="7" t="e">
        <f>IF(VLOOKUP($A222,'Concrete Beam Schedule'!$A$2:$Q$2902,R$2,0)&lt;&gt;B222,VLOOKUP($A222,'Concrete Beam Schedule'!$A$2:$Q$2902,R$2,0),"")</f>
        <v>#N/A</v>
      </c>
      <c r="S222" s="7" t="e">
        <f>IF(VLOOKUP($A222,'Concrete Beam Schedule'!$A$2:$Q$2902,S$2,0)&lt;&gt;C222,VLOOKUP($A222,'Concrete Beam Schedule'!$A$2:$Q$2902,S$2,0),"")</f>
        <v>#N/A</v>
      </c>
      <c r="T222" s="7" t="e">
        <f>IF(VLOOKUP($A222,'Concrete Beam Schedule'!$A$2:$Q$2902,T$2,0)&lt;&gt;D222,"Beam Revised","")</f>
        <v>#N/A</v>
      </c>
      <c r="U222" s="7" t="e">
        <f>IF(VLOOKUP($A222,'Concrete Beam Schedule'!$A$2:$Q$2902,U$2,0)&lt;&gt;E222,"Beam Revised","")</f>
        <v>#N/A</v>
      </c>
      <c r="V222" s="7" t="e">
        <f>IF(VLOOKUP($A222,'Concrete Beam Schedule'!$A$2:$Q$2902,V$2,0)&lt;&gt;F222,"Beam Revised","")</f>
        <v>#N/A</v>
      </c>
      <c r="W222" s="7" t="e">
        <f>IF(VLOOKUP($A222,'Concrete Beam Schedule'!$A$2:$Q$2902,W$2,0)&lt;&gt;G222,"Beam Revised","")</f>
        <v>#N/A</v>
      </c>
      <c r="X222" s="7" t="e">
        <f>IF(VLOOKUP($A222,'Concrete Beam Schedule'!$A$2:$Q$2902,X$2,0)&lt;&gt;H222,"Beam Revised","")</f>
        <v>#N/A</v>
      </c>
      <c r="Y222" s="7" t="e">
        <f>IF(VLOOKUP($A222,'Concrete Beam Schedule'!$A$2:$Q$2902,Y$2,0)&lt;&gt;I222,"Beam Revised","")</f>
        <v>#N/A</v>
      </c>
      <c r="Z222" s="7" t="e">
        <f>IF(VLOOKUP($A222,'Concrete Beam Schedule'!$A$2:$Q$2902,Z$2,0)&lt;&gt;J222,"Beam Revised","")</f>
        <v>#N/A</v>
      </c>
      <c r="AA222" s="7" t="e">
        <f>IF(VLOOKUP($A222,'Concrete Beam Schedule'!$A$2:$Q$2902,AA$2,0)&lt;&gt;K222,"Beam Revised","")</f>
        <v>#N/A</v>
      </c>
      <c r="AB222" s="7" t="e">
        <f>IF(VLOOKUP($A222,'Concrete Beam Schedule'!$A$2:$Q$2902,AB$2,0)&lt;&gt;L222,"Beam Revised","")</f>
        <v>#N/A</v>
      </c>
      <c r="AC222" s="7" t="e">
        <f>IF(VLOOKUP($A222,'Concrete Beam Schedule'!$A$2:$Q$2902,AC$2,0)&lt;&gt;M222,"Beam Revised","")</f>
        <v>#N/A</v>
      </c>
      <c r="AD222" s="7" t="e">
        <f>IF(VLOOKUP($A222,'Concrete Beam Schedule'!$A$2:$Q$2902,AD$2,0)&lt;&gt;N222,"Beam Revised","")</f>
        <v>#N/A</v>
      </c>
      <c r="AE222" s="7" t="e">
        <f>IF(VLOOKUP($A222,'Concrete Beam Schedule'!$A$2:$Q$2902,AE$2,0)&lt;&gt;O222,"Beam Revised","")</f>
        <v>#N/A</v>
      </c>
    </row>
    <row r="223" spans="1:31" ht="25.5" customHeight="1" x14ac:dyDescent="0.25">
      <c r="A223" s="17"/>
      <c r="B223" s="17"/>
      <c r="C223" s="17"/>
      <c r="D223" s="17"/>
      <c r="E223" s="17"/>
      <c r="F223" s="17"/>
      <c r="G223" s="17"/>
      <c r="H223" s="17"/>
      <c r="I223" s="17"/>
      <c r="J223" s="17"/>
      <c r="K223" s="17"/>
      <c r="L223" s="17"/>
      <c r="M223" s="17"/>
      <c r="N223" s="17"/>
      <c r="O223" s="17"/>
      <c r="Q223" s="7">
        <f t="shared" si="3"/>
        <v>0</v>
      </c>
      <c r="R223" s="7" t="e">
        <f>IF(VLOOKUP($A223,'Concrete Beam Schedule'!$A$2:$Q$2902,R$2,0)&lt;&gt;B223,VLOOKUP($A223,'Concrete Beam Schedule'!$A$2:$Q$2902,R$2,0),"")</f>
        <v>#N/A</v>
      </c>
      <c r="S223" s="7" t="e">
        <f>IF(VLOOKUP($A223,'Concrete Beam Schedule'!$A$2:$Q$2902,S$2,0)&lt;&gt;C223,VLOOKUP($A223,'Concrete Beam Schedule'!$A$2:$Q$2902,S$2,0),"")</f>
        <v>#N/A</v>
      </c>
      <c r="T223" s="7" t="e">
        <f>IF(VLOOKUP($A223,'Concrete Beam Schedule'!$A$2:$Q$2902,T$2,0)&lt;&gt;D223,"Beam Revised","")</f>
        <v>#N/A</v>
      </c>
      <c r="U223" s="7" t="e">
        <f>IF(VLOOKUP($A223,'Concrete Beam Schedule'!$A$2:$Q$2902,U$2,0)&lt;&gt;E223,"Beam Revised","")</f>
        <v>#N/A</v>
      </c>
      <c r="V223" s="7" t="e">
        <f>IF(VLOOKUP($A223,'Concrete Beam Schedule'!$A$2:$Q$2902,V$2,0)&lt;&gt;F223,"Beam Revised","")</f>
        <v>#N/A</v>
      </c>
      <c r="W223" s="7" t="e">
        <f>IF(VLOOKUP($A223,'Concrete Beam Schedule'!$A$2:$Q$2902,W$2,0)&lt;&gt;G223,"Beam Revised","")</f>
        <v>#N/A</v>
      </c>
      <c r="X223" s="7" t="e">
        <f>IF(VLOOKUP($A223,'Concrete Beam Schedule'!$A$2:$Q$2902,X$2,0)&lt;&gt;H223,"Beam Revised","")</f>
        <v>#N/A</v>
      </c>
      <c r="Y223" s="7" t="e">
        <f>IF(VLOOKUP($A223,'Concrete Beam Schedule'!$A$2:$Q$2902,Y$2,0)&lt;&gt;I223,"Beam Revised","")</f>
        <v>#N/A</v>
      </c>
      <c r="Z223" s="7" t="e">
        <f>IF(VLOOKUP($A223,'Concrete Beam Schedule'!$A$2:$Q$2902,Z$2,0)&lt;&gt;J223,"Beam Revised","")</f>
        <v>#N/A</v>
      </c>
      <c r="AA223" s="7" t="e">
        <f>IF(VLOOKUP($A223,'Concrete Beam Schedule'!$A$2:$Q$2902,AA$2,0)&lt;&gt;K223,"Beam Revised","")</f>
        <v>#N/A</v>
      </c>
      <c r="AB223" s="7" t="e">
        <f>IF(VLOOKUP($A223,'Concrete Beam Schedule'!$A$2:$Q$2902,AB$2,0)&lt;&gt;L223,"Beam Revised","")</f>
        <v>#N/A</v>
      </c>
      <c r="AC223" s="7" t="e">
        <f>IF(VLOOKUP($A223,'Concrete Beam Schedule'!$A$2:$Q$2902,AC$2,0)&lt;&gt;M223,"Beam Revised","")</f>
        <v>#N/A</v>
      </c>
      <c r="AD223" s="7" t="e">
        <f>IF(VLOOKUP($A223,'Concrete Beam Schedule'!$A$2:$Q$2902,AD$2,0)&lt;&gt;N223,"Beam Revised","")</f>
        <v>#N/A</v>
      </c>
      <c r="AE223" s="7" t="e">
        <f>IF(VLOOKUP($A223,'Concrete Beam Schedule'!$A$2:$Q$2902,AE$2,0)&lt;&gt;O223,"Beam Revised","")</f>
        <v>#N/A</v>
      </c>
    </row>
    <row r="224" spans="1:31" ht="25.5" customHeight="1" x14ac:dyDescent="0.25">
      <c r="A224" s="17"/>
      <c r="B224" s="17"/>
      <c r="C224" s="17"/>
      <c r="D224" s="17"/>
      <c r="E224" s="17"/>
      <c r="F224" s="17"/>
      <c r="G224" s="17"/>
      <c r="H224" s="17"/>
      <c r="I224" s="17"/>
      <c r="J224" s="17"/>
      <c r="K224" s="17"/>
      <c r="L224" s="17"/>
      <c r="M224" s="17"/>
      <c r="N224" s="17"/>
      <c r="O224" s="17"/>
      <c r="Q224" s="7">
        <f t="shared" si="3"/>
        <v>0</v>
      </c>
      <c r="R224" s="7" t="e">
        <f>IF(VLOOKUP($A224,'Concrete Beam Schedule'!$A$2:$Q$2902,R$2,0)&lt;&gt;B224,VLOOKUP($A224,'Concrete Beam Schedule'!$A$2:$Q$2902,R$2,0),"")</f>
        <v>#N/A</v>
      </c>
      <c r="S224" s="7" t="e">
        <f>IF(VLOOKUP($A224,'Concrete Beam Schedule'!$A$2:$Q$2902,S$2,0)&lt;&gt;C224,VLOOKUP($A224,'Concrete Beam Schedule'!$A$2:$Q$2902,S$2,0),"")</f>
        <v>#N/A</v>
      </c>
      <c r="T224" s="7" t="e">
        <f>IF(VLOOKUP($A224,'Concrete Beam Schedule'!$A$2:$Q$2902,T$2,0)&lt;&gt;D224,"Beam Revised","")</f>
        <v>#N/A</v>
      </c>
      <c r="U224" s="7" t="e">
        <f>IF(VLOOKUP($A224,'Concrete Beam Schedule'!$A$2:$Q$2902,U$2,0)&lt;&gt;E224,"Beam Revised","")</f>
        <v>#N/A</v>
      </c>
      <c r="V224" s="7" t="e">
        <f>IF(VLOOKUP($A224,'Concrete Beam Schedule'!$A$2:$Q$2902,V$2,0)&lt;&gt;F224,"Beam Revised","")</f>
        <v>#N/A</v>
      </c>
      <c r="W224" s="7" t="e">
        <f>IF(VLOOKUP($A224,'Concrete Beam Schedule'!$A$2:$Q$2902,W$2,0)&lt;&gt;G224,"Beam Revised","")</f>
        <v>#N/A</v>
      </c>
      <c r="X224" s="7" t="e">
        <f>IF(VLOOKUP($A224,'Concrete Beam Schedule'!$A$2:$Q$2902,X$2,0)&lt;&gt;H224,"Beam Revised","")</f>
        <v>#N/A</v>
      </c>
      <c r="Y224" s="7" t="e">
        <f>IF(VLOOKUP($A224,'Concrete Beam Schedule'!$A$2:$Q$2902,Y$2,0)&lt;&gt;I224,"Beam Revised","")</f>
        <v>#N/A</v>
      </c>
      <c r="Z224" s="7" t="e">
        <f>IF(VLOOKUP($A224,'Concrete Beam Schedule'!$A$2:$Q$2902,Z$2,0)&lt;&gt;J224,"Beam Revised","")</f>
        <v>#N/A</v>
      </c>
      <c r="AA224" s="7" t="e">
        <f>IF(VLOOKUP($A224,'Concrete Beam Schedule'!$A$2:$Q$2902,AA$2,0)&lt;&gt;K224,"Beam Revised","")</f>
        <v>#N/A</v>
      </c>
      <c r="AB224" s="7" t="e">
        <f>IF(VLOOKUP($A224,'Concrete Beam Schedule'!$A$2:$Q$2902,AB$2,0)&lt;&gt;L224,"Beam Revised","")</f>
        <v>#N/A</v>
      </c>
      <c r="AC224" s="7" t="e">
        <f>IF(VLOOKUP($A224,'Concrete Beam Schedule'!$A$2:$Q$2902,AC$2,0)&lt;&gt;M224,"Beam Revised","")</f>
        <v>#N/A</v>
      </c>
      <c r="AD224" s="7" t="e">
        <f>IF(VLOOKUP($A224,'Concrete Beam Schedule'!$A$2:$Q$2902,AD$2,0)&lt;&gt;N224,"Beam Revised","")</f>
        <v>#N/A</v>
      </c>
      <c r="AE224" s="7" t="e">
        <f>IF(VLOOKUP($A224,'Concrete Beam Schedule'!$A$2:$Q$2902,AE$2,0)&lt;&gt;O224,"Beam Revised","")</f>
        <v>#N/A</v>
      </c>
    </row>
    <row r="225" spans="1:31" ht="25.5" customHeight="1" x14ac:dyDescent="0.25">
      <c r="A225" s="17"/>
      <c r="B225" s="17"/>
      <c r="C225" s="17"/>
      <c r="D225" s="17"/>
      <c r="E225" s="17"/>
      <c r="F225" s="17"/>
      <c r="G225" s="17"/>
      <c r="H225" s="17"/>
      <c r="I225" s="17"/>
      <c r="J225" s="17"/>
      <c r="K225" s="17"/>
      <c r="L225" s="17"/>
      <c r="M225" s="17"/>
      <c r="N225" s="17"/>
      <c r="O225" s="17"/>
      <c r="Q225" s="7">
        <f t="shared" si="3"/>
        <v>0</v>
      </c>
      <c r="R225" s="7" t="e">
        <f>IF(VLOOKUP($A225,'Concrete Beam Schedule'!$A$2:$Q$2902,R$2,0)&lt;&gt;B225,VLOOKUP($A225,'Concrete Beam Schedule'!$A$2:$Q$2902,R$2,0),"")</f>
        <v>#N/A</v>
      </c>
      <c r="S225" s="7" t="e">
        <f>IF(VLOOKUP($A225,'Concrete Beam Schedule'!$A$2:$Q$2902,S$2,0)&lt;&gt;C225,VLOOKUP($A225,'Concrete Beam Schedule'!$A$2:$Q$2902,S$2,0),"")</f>
        <v>#N/A</v>
      </c>
      <c r="T225" s="7" t="e">
        <f>IF(VLOOKUP($A225,'Concrete Beam Schedule'!$A$2:$Q$2902,T$2,0)&lt;&gt;D225,"Beam Revised","")</f>
        <v>#N/A</v>
      </c>
      <c r="U225" s="7" t="e">
        <f>IF(VLOOKUP($A225,'Concrete Beam Schedule'!$A$2:$Q$2902,U$2,0)&lt;&gt;E225,"Beam Revised","")</f>
        <v>#N/A</v>
      </c>
      <c r="V225" s="7" t="e">
        <f>IF(VLOOKUP($A225,'Concrete Beam Schedule'!$A$2:$Q$2902,V$2,0)&lt;&gt;F225,"Beam Revised","")</f>
        <v>#N/A</v>
      </c>
      <c r="W225" s="7" t="e">
        <f>IF(VLOOKUP($A225,'Concrete Beam Schedule'!$A$2:$Q$2902,W$2,0)&lt;&gt;G225,"Beam Revised","")</f>
        <v>#N/A</v>
      </c>
      <c r="X225" s="7" t="e">
        <f>IF(VLOOKUP($A225,'Concrete Beam Schedule'!$A$2:$Q$2902,X$2,0)&lt;&gt;H225,"Beam Revised","")</f>
        <v>#N/A</v>
      </c>
      <c r="Y225" s="7" t="e">
        <f>IF(VLOOKUP($A225,'Concrete Beam Schedule'!$A$2:$Q$2902,Y$2,0)&lt;&gt;I225,"Beam Revised","")</f>
        <v>#N/A</v>
      </c>
      <c r="Z225" s="7" t="e">
        <f>IF(VLOOKUP($A225,'Concrete Beam Schedule'!$A$2:$Q$2902,Z$2,0)&lt;&gt;J225,"Beam Revised","")</f>
        <v>#N/A</v>
      </c>
      <c r="AA225" s="7" t="e">
        <f>IF(VLOOKUP($A225,'Concrete Beam Schedule'!$A$2:$Q$2902,AA$2,0)&lt;&gt;K225,"Beam Revised","")</f>
        <v>#N/A</v>
      </c>
      <c r="AB225" s="7" t="e">
        <f>IF(VLOOKUP($A225,'Concrete Beam Schedule'!$A$2:$Q$2902,AB$2,0)&lt;&gt;L225,"Beam Revised","")</f>
        <v>#N/A</v>
      </c>
      <c r="AC225" s="7" t="e">
        <f>IF(VLOOKUP($A225,'Concrete Beam Schedule'!$A$2:$Q$2902,AC$2,0)&lt;&gt;M225,"Beam Revised","")</f>
        <v>#N/A</v>
      </c>
      <c r="AD225" s="7" t="e">
        <f>IF(VLOOKUP($A225,'Concrete Beam Schedule'!$A$2:$Q$2902,AD$2,0)&lt;&gt;N225,"Beam Revised","")</f>
        <v>#N/A</v>
      </c>
      <c r="AE225" s="7" t="e">
        <f>IF(VLOOKUP($A225,'Concrete Beam Schedule'!$A$2:$Q$2902,AE$2,0)&lt;&gt;O225,"Beam Revised","")</f>
        <v>#N/A</v>
      </c>
    </row>
    <row r="226" spans="1:31" ht="25.5" customHeight="1" x14ac:dyDescent="0.25">
      <c r="A226" s="17"/>
      <c r="B226" s="17"/>
      <c r="C226" s="17"/>
      <c r="D226" s="17"/>
      <c r="E226" s="17"/>
      <c r="F226" s="17"/>
      <c r="G226" s="17"/>
      <c r="H226" s="17"/>
      <c r="I226" s="17"/>
      <c r="J226" s="17"/>
      <c r="K226" s="17"/>
      <c r="L226" s="17"/>
      <c r="M226" s="17"/>
      <c r="N226" s="17"/>
      <c r="O226" s="17"/>
      <c r="Q226" s="7">
        <f t="shared" si="3"/>
        <v>0</v>
      </c>
      <c r="R226" s="7" t="e">
        <f>IF(VLOOKUP($A226,'Concrete Beam Schedule'!$A$2:$Q$2902,R$2,0)&lt;&gt;B226,VLOOKUP($A226,'Concrete Beam Schedule'!$A$2:$Q$2902,R$2,0),"")</f>
        <v>#N/A</v>
      </c>
      <c r="S226" s="7" t="e">
        <f>IF(VLOOKUP($A226,'Concrete Beam Schedule'!$A$2:$Q$2902,S$2,0)&lt;&gt;C226,VLOOKUP($A226,'Concrete Beam Schedule'!$A$2:$Q$2902,S$2,0),"")</f>
        <v>#N/A</v>
      </c>
      <c r="T226" s="7" t="e">
        <f>IF(VLOOKUP($A226,'Concrete Beam Schedule'!$A$2:$Q$2902,T$2,0)&lt;&gt;D226,"Beam Revised","")</f>
        <v>#N/A</v>
      </c>
      <c r="U226" s="7" t="e">
        <f>IF(VLOOKUP($A226,'Concrete Beam Schedule'!$A$2:$Q$2902,U$2,0)&lt;&gt;E226,"Beam Revised","")</f>
        <v>#N/A</v>
      </c>
      <c r="V226" s="7" t="e">
        <f>IF(VLOOKUP($A226,'Concrete Beam Schedule'!$A$2:$Q$2902,V$2,0)&lt;&gt;F226,"Beam Revised","")</f>
        <v>#N/A</v>
      </c>
      <c r="W226" s="7" t="e">
        <f>IF(VLOOKUP($A226,'Concrete Beam Schedule'!$A$2:$Q$2902,W$2,0)&lt;&gt;G226,"Beam Revised","")</f>
        <v>#N/A</v>
      </c>
      <c r="X226" s="7" t="e">
        <f>IF(VLOOKUP($A226,'Concrete Beam Schedule'!$A$2:$Q$2902,X$2,0)&lt;&gt;H226,"Beam Revised","")</f>
        <v>#N/A</v>
      </c>
      <c r="Y226" s="7" t="e">
        <f>IF(VLOOKUP($A226,'Concrete Beam Schedule'!$A$2:$Q$2902,Y$2,0)&lt;&gt;I226,"Beam Revised","")</f>
        <v>#N/A</v>
      </c>
      <c r="Z226" s="7" t="e">
        <f>IF(VLOOKUP($A226,'Concrete Beam Schedule'!$A$2:$Q$2902,Z$2,0)&lt;&gt;J226,"Beam Revised","")</f>
        <v>#N/A</v>
      </c>
      <c r="AA226" s="7" t="e">
        <f>IF(VLOOKUP($A226,'Concrete Beam Schedule'!$A$2:$Q$2902,AA$2,0)&lt;&gt;K226,"Beam Revised","")</f>
        <v>#N/A</v>
      </c>
      <c r="AB226" s="7" t="e">
        <f>IF(VLOOKUP($A226,'Concrete Beam Schedule'!$A$2:$Q$2902,AB$2,0)&lt;&gt;L226,"Beam Revised","")</f>
        <v>#N/A</v>
      </c>
      <c r="AC226" s="7" t="e">
        <f>IF(VLOOKUP($A226,'Concrete Beam Schedule'!$A$2:$Q$2902,AC$2,0)&lt;&gt;M226,"Beam Revised","")</f>
        <v>#N/A</v>
      </c>
      <c r="AD226" s="7" t="e">
        <f>IF(VLOOKUP($A226,'Concrete Beam Schedule'!$A$2:$Q$2902,AD$2,0)&lt;&gt;N226,"Beam Revised","")</f>
        <v>#N/A</v>
      </c>
      <c r="AE226" s="7" t="e">
        <f>IF(VLOOKUP($A226,'Concrete Beam Schedule'!$A$2:$Q$2902,AE$2,0)&lt;&gt;O226,"Beam Revised","")</f>
        <v>#N/A</v>
      </c>
    </row>
    <row r="227" spans="1:31" ht="25.5" customHeight="1" x14ac:dyDescent="0.25">
      <c r="A227" s="17"/>
      <c r="B227" s="17"/>
      <c r="C227" s="17"/>
      <c r="D227" s="17"/>
      <c r="E227" s="17"/>
      <c r="F227" s="17"/>
      <c r="G227" s="17"/>
      <c r="H227" s="17"/>
      <c r="I227" s="17"/>
      <c r="J227" s="17"/>
      <c r="K227" s="17"/>
      <c r="L227" s="17"/>
      <c r="M227" s="17"/>
      <c r="N227" s="17"/>
      <c r="O227" s="17"/>
      <c r="Q227" s="7">
        <f t="shared" si="3"/>
        <v>0</v>
      </c>
      <c r="R227" s="7" t="e">
        <f>IF(VLOOKUP($A227,'Concrete Beam Schedule'!$A$2:$Q$2902,R$2,0)&lt;&gt;B227,VLOOKUP($A227,'Concrete Beam Schedule'!$A$2:$Q$2902,R$2,0),"")</f>
        <v>#N/A</v>
      </c>
      <c r="S227" s="7" t="e">
        <f>IF(VLOOKUP($A227,'Concrete Beam Schedule'!$A$2:$Q$2902,S$2,0)&lt;&gt;C227,VLOOKUP($A227,'Concrete Beam Schedule'!$A$2:$Q$2902,S$2,0),"")</f>
        <v>#N/A</v>
      </c>
      <c r="T227" s="7" t="e">
        <f>IF(VLOOKUP($A227,'Concrete Beam Schedule'!$A$2:$Q$2902,T$2,0)&lt;&gt;D227,"Beam Revised","")</f>
        <v>#N/A</v>
      </c>
      <c r="U227" s="7" t="e">
        <f>IF(VLOOKUP($A227,'Concrete Beam Schedule'!$A$2:$Q$2902,U$2,0)&lt;&gt;E227,"Beam Revised","")</f>
        <v>#N/A</v>
      </c>
      <c r="V227" s="7" t="e">
        <f>IF(VLOOKUP($A227,'Concrete Beam Schedule'!$A$2:$Q$2902,V$2,0)&lt;&gt;F227,"Beam Revised","")</f>
        <v>#N/A</v>
      </c>
      <c r="W227" s="7" t="e">
        <f>IF(VLOOKUP($A227,'Concrete Beam Schedule'!$A$2:$Q$2902,W$2,0)&lt;&gt;G227,"Beam Revised","")</f>
        <v>#N/A</v>
      </c>
      <c r="X227" s="7" t="e">
        <f>IF(VLOOKUP($A227,'Concrete Beam Schedule'!$A$2:$Q$2902,X$2,0)&lt;&gt;H227,"Beam Revised","")</f>
        <v>#N/A</v>
      </c>
      <c r="Y227" s="7" t="e">
        <f>IF(VLOOKUP($A227,'Concrete Beam Schedule'!$A$2:$Q$2902,Y$2,0)&lt;&gt;I227,"Beam Revised","")</f>
        <v>#N/A</v>
      </c>
      <c r="Z227" s="7" t="e">
        <f>IF(VLOOKUP($A227,'Concrete Beam Schedule'!$A$2:$Q$2902,Z$2,0)&lt;&gt;J227,"Beam Revised","")</f>
        <v>#N/A</v>
      </c>
      <c r="AA227" s="7" t="e">
        <f>IF(VLOOKUP($A227,'Concrete Beam Schedule'!$A$2:$Q$2902,AA$2,0)&lt;&gt;K227,"Beam Revised","")</f>
        <v>#N/A</v>
      </c>
      <c r="AB227" s="7" t="e">
        <f>IF(VLOOKUP($A227,'Concrete Beam Schedule'!$A$2:$Q$2902,AB$2,0)&lt;&gt;L227,"Beam Revised","")</f>
        <v>#N/A</v>
      </c>
      <c r="AC227" s="7" t="e">
        <f>IF(VLOOKUP($A227,'Concrete Beam Schedule'!$A$2:$Q$2902,AC$2,0)&lt;&gt;M227,"Beam Revised","")</f>
        <v>#N/A</v>
      </c>
      <c r="AD227" s="7" t="e">
        <f>IF(VLOOKUP($A227,'Concrete Beam Schedule'!$A$2:$Q$2902,AD$2,0)&lt;&gt;N227,"Beam Revised","")</f>
        <v>#N/A</v>
      </c>
      <c r="AE227" s="7" t="e">
        <f>IF(VLOOKUP($A227,'Concrete Beam Schedule'!$A$2:$Q$2902,AE$2,0)&lt;&gt;O227,"Beam Revised","")</f>
        <v>#N/A</v>
      </c>
    </row>
    <row r="228" spans="1:31" ht="25.5" customHeight="1" x14ac:dyDescent="0.25">
      <c r="A228" s="17"/>
      <c r="B228" s="17"/>
      <c r="C228" s="17"/>
      <c r="D228" s="17"/>
      <c r="E228" s="17"/>
      <c r="F228" s="17"/>
      <c r="G228" s="17"/>
      <c r="H228" s="17"/>
      <c r="I228" s="17"/>
      <c r="J228" s="17"/>
      <c r="K228" s="17"/>
      <c r="L228" s="17"/>
      <c r="M228" s="17"/>
      <c r="N228" s="17"/>
      <c r="O228" s="17"/>
      <c r="Q228" s="7">
        <f t="shared" si="3"/>
        <v>0</v>
      </c>
      <c r="R228" s="7" t="e">
        <f>IF(VLOOKUP($A228,'Concrete Beam Schedule'!$A$2:$Q$2902,R$2,0)&lt;&gt;B228,VLOOKUP($A228,'Concrete Beam Schedule'!$A$2:$Q$2902,R$2,0),"")</f>
        <v>#N/A</v>
      </c>
      <c r="S228" s="7" t="e">
        <f>IF(VLOOKUP($A228,'Concrete Beam Schedule'!$A$2:$Q$2902,S$2,0)&lt;&gt;C228,VLOOKUP($A228,'Concrete Beam Schedule'!$A$2:$Q$2902,S$2,0),"")</f>
        <v>#N/A</v>
      </c>
      <c r="T228" s="7" t="e">
        <f>IF(VLOOKUP($A228,'Concrete Beam Schedule'!$A$2:$Q$2902,T$2,0)&lt;&gt;D228,"Beam Revised","")</f>
        <v>#N/A</v>
      </c>
      <c r="U228" s="7" t="e">
        <f>IF(VLOOKUP($A228,'Concrete Beam Schedule'!$A$2:$Q$2902,U$2,0)&lt;&gt;E228,"Beam Revised","")</f>
        <v>#N/A</v>
      </c>
      <c r="V228" s="7" t="e">
        <f>IF(VLOOKUP($A228,'Concrete Beam Schedule'!$A$2:$Q$2902,V$2,0)&lt;&gt;F228,"Beam Revised","")</f>
        <v>#N/A</v>
      </c>
      <c r="W228" s="7" t="e">
        <f>IF(VLOOKUP($A228,'Concrete Beam Schedule'!$A$2:$Q$2902,W$2,0)&lt;&gt;G228,"Beam Revised","")</f>
        <v>#N/A</v>
      </c>
      <c r="X228" s="7" t="e">
        <f>IF(VLOOKUP($A228,'Concrete Beam Schedule'!$A$2:$Q$2902,X$2,0)&lt;&gt;H228,"Beam Revised","")</f>
        <v>#N/A</v>
      </c>
      <c r="Y228" s="7" t="e">
        <f>IF(VLOOKUP($A228,'Concrete Beam Schedule'!$A$2:$Q$2902,Y$2,0)&lt;&gt;I228,"Beam Revised","")</f>
        <v>#N/A</v>
      </c>
      <c r="Z228" s="7" t="e">
        <f>IF(VLOOKUP($A228,'Concrete Beam Schedule'!$A$2:$Q$2902,Z$2,0)&lt;&gt;J228,"Beam Revised","")</f>
        <v>#N/A</v>
      </c>
      <c r="AA228" s="7" t="e">
        <f>IF(VLOOKUP($A228,'Concrete Beam Schedule'!$A$2:$Q$2902,AA$2,0)&lt;&gt;K228,"Beam Revised","")</f>
        <v>#N/A</v>
      </c>
      <c r="AB228" s="7" t="e">
        <f>IF(VLOOKUP($A228,'Concrete Beam Schedule'!$A$2:$Q$2902,AB$2,0)&lt;&gt;L228,"Beam Revised","")</f>
        <v>#N/A</v>
      </c>
      <c r="AC228" s="7" t="e">
        <f>IF(VLOOKUP($A228,'Concrete Beam Schedule'!$A$2:$Q$2902,AC$2,0)&lt;&gt;M228,"Beam Revised","")</f>
        <v>#N/A</v>
      </c>
      <c r="AD228" s="7" t="e">
        <f>IF(VLOOKUP($A228,'Concrete Beam Schedule'!$A$2:$Q$2902,AD$2,0)&lt;&gt;N228,"Beam Revised","")</f>
        <v>#N/A</v>
      </c>
      <c r="AE228" s="7" t="e">
        <f>IF(VLOOKUP($A228,'Concrete Beam Schedule'!$A$2:$Q$2902,AE$2,0)&lt;&gt;O228,"Beam Revised","")</f>
        <v>#N/A</v>
      </c>
    </row>
    <row r="229" spans="1:31" ht="25.5" customHeight="1" x14ac:dyDescent="0.25">
      <c r="A229" s="17"/>
      <c r="B229" s="17"/>
      <c r="C229" s="17"/>
      <c r="D229" s="17"/>
      <c r="E229" s="17"/>
      <c r="F229" s="17"/>
      <c r="G229" s="17"/>
      <c r="H229" s="17"/>
      <c r="I229" s="17"/>
      <c r="J229" s="17"/>
      <c r="K229" s="17"/>
      <c r="L229" s="17"/>
      <c r="M229" s="17"/>
      <c r="N229" s="17"/>
      <c r="O229" s="17"/>
      <c r="Q229" s="7">
        <f t="shared" si="3"/>
        <v>0</v>
      </c>
      <c r="R229" s="7" t="e">
        <f>IF(VLOOKUP($A229,'Concrete Beam Schedule'!$A$2:$Q$2902,R$2,0)&lt;&gt;B229,VLOOKUP($A229,'Concrete Beam Schedule'!$A$2:$Q$2902,R$2,0),"")</f>
        <v>#N/A</v>
      </c>
      <c r="S229" s="7" t="e">
        <f>IF(VLOOKUP($A229,'Concrete Beam Schedule'!$A$2:$Q$2902,S$2,0)&lt;&gt;C229,VLOOKUP($A229,'Concrete Beam Schedule'!$A$2:$Q$2902,S$2,0),"")</f>
        <v>#N/A</v>
      </c>
      <c r="T229" s="7" t="e">
        <f>IF(VLOOKUP($A229,'Concrete Beam Schedule'!$A$2:$Q$2902,T$2,0)&lt;&gt;D229,"Beam Revised","")</f>
        <v>#N/A</v>
      </c>
      <c r="U229" s="7" t="e">
        <f>IF(VLOOKUP($A229,'Concrete Beam Schedule'!$A$2:$Q$2902,U$2,0)&lt;&gt;E229,"Beam Revised","")</f>
        <v>#N/A</v>
      </c>
      <c r="V229" s="7" t="e">
        <f>IF(VLOOKUP($A229,'Concrete Beam Schedule'!$A$2:$Q$2902,V$2,0)&lt;&gt;F229,"Beam Revised","")</f>
        <v>#N/A</v>
      </c>
      <c r="W229" s="7" t="e">
        <f>IF(VLOOKUP($A229,'Concrete Beam Schedule'!$A$2:$Q$2902,W$2,0)&lt;&gt;G229,"Beam Revised","")</f>
        <v>#N/A</v>
      </c>
      <c r="X229" s="7" t="e">
        <f>IF(VLOOKUP($A229,'Concrete Beam Schedule'!$A$2:$Q$2902,X$2,0)&lt;&gt;H229,"Beam Revised","")</f>
        <v>#N/A</v>
      </c>
      <c r="Y229" s="7" t="e">
        <f>IF(VLOOKUP($A229,'Concrete Beam Schedule'!$A$2:$Q$2902,Y$2,0)&lt;&gt;I229,"Beam Revised","")</f>
        <v>#N/A</v>
      </c>
      <c r="Z229" s="7" t="e">
        <f>IF(VLOOKUP($A229,'Concrete Beam Schedule'!$A$2:$Q$2902,Z$2,0)&lt;&gt;J229,"Beam Revised","")</f>
        <v>#N/A</v>
      </c>
      <c r="AA229" s="7" t="e">
        <f>IF(VLOOKUP($A229,'Concrete Beam Schedule'!$A$2:$Q$2902,AA$2,0)&lt;&gt;K229,"Beam Revised","")</f>
        <v>#N/A</v>
      </c>
      <c r="AB229" s="7" t="e">
        <f>IF(VLOOKUP($A229,'Concrete Beam Schedule'!$A$2:$Q$2902,AB$2,0)&lt;&gt;L229,"Beam Revised","")</f>
        <v>#N/A</v>
      </c>
      <c r="AC229" s="7" t="e">
        <f>IF(VLOOKUP($A229,'Concrete Beam Schedule'!$A$2:$Q$2902,AC$2,0)&lt;&gt;M229,"Beam Revised","")</f>
        <v>#N/A</v>
      </c>
      <c r="AD229" s="7" t="e">
        <f>IF(VLOOKUP($A229,'Concrete Beam Schedule'!$A$2:$Q$2902,AD$2,0)&lt;&gt;N229,"Beam Revised","")</f>
        <v>#N/A</v>
      </c>
      <c r="AE229" s="7" t="e">
        <f>IF(VLOOKUP($A229,'Concrete Beam Schedule'!$A$2:$Q$2902,AE$2,0)&lt;&gt;O229,"Beam Revised","")</f>
        <v>#N/A</v>
      </c>
    </row>
    <row r="230" spans="1:31" ht="25.5" customHeight="1" x14ac:dyDescent="0.25">
      <c r="A230" s="17"/>
      <c r="B230" s="17"/>
      <c r="C230" s="17"/>
      <c r="D230" s="17"/>
      <c r="E230" s="17"/>
      <c r="F230" s="17"/>
      <c r="G230" s="17"/>
      <c r="H230" s="17"/>
      <c r="I230" s="17"/>
      <c r="J230" s="17"/>
      <c r="K230" s="17"/>
      <c r="L230" s="17"/>
      <c r="M230" s="17"/>
      <c r="N230" s="17"/>
      <c r="O230" s="17"/>
      <c r="Q230" s="7">
        <f t="shared" si="3"/>
        <v>0</v>
      </c>
      <c r="R230" s="7" t="e">
        <f>IF(VLOOKUP($A230,'Concrete Beam Schedule'!$A$2:$Q$2902,R$2,0)&lt;&gt;B230,VLOOKUP($A230,'Concrete Beam Schedule'!$A$2:$Q$2902,R$2,0),"")</f>
        <v>#N/A</v>
      </c>
      <c r="S230" s="7" t="e">
        <f>IF(VLOOKUP($A230,'Concrete Beam Schedule'!$A$2:$Q$2902,S$2,0)&lt;&gt;C230,VLOOKUP($A230,'Concrete Beam Schedule'!$A$2:$Q$2902,S$2,0),"")</f>
        <v>#N/A</v>
      </c>
      <c r="T230" s="7" t="e">
        <f>IF(VLOOKUP($A230,'Concrete Beam Schedule'!$A$2:$Q$2902,T$2,0)&lt;&gt;D230,"Beam Revised","")</f>
        <v>#N/A</v>
      </c>
      <c r="U230" s="7" t="e">
        <f>IF(VLOOKUP($A230,'Concrete Beam Schedule'!$A$2:$Q$2902,U$2,0)&lt;&gt;E230,"Beam Revised","")</f>
        <v>#N/A</v>
      </c>
      <c r="V230" s="7" t="e">
        <f>IF(VLOOKUP($A230,'Concrete Beam Schedule'!$A$2:$Q$2902,V$2,0)&lt;&gt;F230,"Beam Revised","")</f>
        <v>#N/A</v>
      </c>
      <c r="W230" s="7" t="e">
        <f>IF(VLOOKUP($A230,'Concrete Beam Schedule'!$A$2:$Q$2902,W$2,0)&lt;&gt;G230,"Beam Revised","")</f>
        <v>#N/A</v>
      </c>
      <c r="X230" s="7" t="e">
        <f>IF(VLOOKUP($A230,'Concrete Beam Schedule'!$A$2:$Q$2902,X$2,0)&lt;&gt;H230,"Beam Revised","")</f>
        <v>#N/A</v>
      </c>
      <c r="Y230" s="7" t="e">
        <f>IF(VLOOKUP($A230,'Concrete Beam Schedule'!$A$2:$Q$2902,Y$2,0)&lt;&gt;I230,"Beam Revised","")</f>
        <v>#N/A</v>
      </c>
      <c r="Z230" s="7" t="e">
        <f>IF(VLOOKUP($A230,'Concrete Beam Schedule'!$A$2:$Q$2902,Z$2,0)&lt;&gt;J230,"Beam Revised","")</f>
        <v>#N/A</v>
      </c>
      <c r="AA230" s="7" t="e">
        <f>IF(VLOOKUP($A230,'Concrete Beam Schedule'!$A$2:$Q$2902,AA$2,0)&lt;&gt;K230,"Beam Revised","")</f>
        <v>#N/A</v>
      </c>
      <c r="AB230" s="7" t="e">
        <f>IF(VLOOKUP($A230,'Concrete Beam Schedule'!$A$2:$Q$2902,AB$2,0)&lt;&gt;L230,"Beam Revised","")</f>
        <v>#N/A</v>
      </c>
      <c r="AC230" s="7" t="e">
        <f>IF(VLOOKUP($A230,'Concrete Beam Schedule'!$A$2:$Q$2902,AC$2,0)&lt;&gt;M230,"Beam Revised","")</f>
        <v>#N/A</v>
      </c>
      <c r="AD230" s="7" t="e">
        <f>IF(VLOOKUP($A230,'Concrete Beam Schedule'!$A$2:$Q$2902,AD$2,0)&lt;&gt;N230,"Beam Revised","")</f>
        <v>#N/A</v>
      </c>
      <c r="AE230" s="7" t="e">
        <f>IF(VLOOKUP($A230,'Concrete Beam Schedule'!$A$2:$Q$2902,AE$2,0)&lt;&gt;O230,"Beam Revised","")</f>
        <v>#N/A</v>
      </c>
    </row>
    <row r="231" spans="1:31" ht="25.5" customHeight="1" x14ac:dyDescent="0.25">
      <c r="A231" s="17"/>
      <c r="B231" s="17"/>
      <c r="C231" s="17"/>
      <c r="D231" s="17"/>
      <c r="E231" s="17"/>
      <c r="F231" s="17"/>
      <c r="G231" s="17"/>
      <c r="H231" s="17"/>
      <c r="I231" s="17"/>
      <c r="J231" s="17"/>
      <c r="K231" s="17"/>
      <c r="L231" s="17"/>
      <c r="M231" s="17"/>
      <c r="N231" s="17"/>
      <c r="O231" s="17"/>
      <c r="Q231" s="7">
        <f t="shared" si="3"/>
        <v>0</v>
      </c>
      <c r="R231" s="7" t="e">
        <f>IF(VLOOKUP($A231,'Concrete Beam Schedule'!$A$2:$Q$2902,R$2,0)&lt;&gt;B231,VLOOKUP($A231,'Concrete Beam Schedule'!$A$2:$Q$2902,R$2,0),"")</f>
        <v>#N/A</v>
      </c>
      <c r="S231" s="7" t="e">
        <f>IF(VLOOKUP($A231,'Concrete Beam Schedule'!$A$2:$Q$2902,S$2,0)&lt;&gt;C231,VLOOKUP($A231,'Concrete Beam Schedule'!$A$2:$Q$2902,S$2,0),"")</f>
        <v>#N/A</v>
      </c>
      <c r="T231" s="7" t="e">
        <f>IF(VLOOKUP($A231,'Concrete Beam Schedule'!$A$2:$Q$2902,T$2,0)&lt;&gt;D231,"Beam Revised","")</f>
        <v>#N/A</v>
      </c>
      <c r="U231" s="7" t="e">
        <f>IF(VLOOKUP($A231,'Concrete Beam Schedule'!$A$2:$Q$2902,U$2,0)&lt;&gt;E231,"Beam Revised","")</f>
        <v>#N/A</v>
      </c>
      <c r="V231" s="7" t="e">
        <f>IF(VLOOKUP($A231,'Concrete Beam Schedule'!$A$2:$Q$2902,V$2,0)&lt;&gt;F231,"Beam Revised","")</f>
        <v>#N/A</v>
      </c>
      <c r="W231" s="7" t="e">
        <f>IF(VLOOKUP($A231,'Concrete Beam Schedule'!$A$2:$Q$2902,W$2,0)&lt;&gt;G231,"Beam Revised","")</f>
        <v>#N/A</v>
      </c>
      <c r="X231" s="7" t="e">
        <f>IF(VLOOKUP($A231,'Concrete Beam Schedule'!$A$2:$Q$2902,X$2,0)&lt;&gt;H231,"Beam Revised","")</f>
        <v>#N/A</v>
      </c>
      <c r="Y231" s="7" t="e">
        <f>IF(VLOOKUP($A231,'Concrete Beam Schedule'!$A$2:$Q$2902,Y$2,0)&lt;&gt;I231,"Beam Revised","")</f>
        <v>#N/A</v>
      </c>
      <c r="Z231" s="7" t="e">
        <f>IF(VLOOKUP($A231,'Concrete Beam Schedule'!$A$2:$Q$2902,Z$2,0)&lt;&gt;J231,"Beam Revised","")</f>
        <v>#N/A</v>
      </c>
      <c r="AA231" s="7" t="e">
        <f>IF(VLOOKUP($A231,'Concrete Beam Schedule'!$A$2:$Q$2902,AA$2,0)&lt;&gt;K231,"Beam Revised","")</f>
        <v>#N/A</v>
      </c>
      <c r="AB231" s="7" t="e">
        <f>IF(VLOOKUP($A231,'Concrete Beam Schedule'!$A$2:$Q$2902,AB$2,0)&lt;&gt;L231,"Beam Revised","")</f>
        <v>#N/A</v>
      </c>
      <c r="AC231" s="7" t="e">
        <f>IF(VLOOKUP($A231,'Concrete Beam Schedule'!$A$2:$Q$2902,AC$2,0)&lt;&gt;M231,"Beam Revised","")</f>
        <v>#N/A</v>
      </c>
      <c r="AD231" s="7" t="e">
        <f>IF(VLOOKUP($A231,'Concrete Beam Schedule'!$A$2:$Q$2902,AD$2,0)&lt;&gt;N231,"Beam Revised","")</f>
        <v>#N/A</v>
      </c>
      <c r="AE231" s="7" t="e">
        <f>IF(VLOOKUP($A231,'Concrete Beam Schedule'!$A$2:$Q$2902,AE$2,0)&lt;&gt;O231,"Beam Revised","")</f>
        <v>#N/A</v>
      </c>
    </row>
    <row r="232" spans="1:31" ht="25.5" customHeight="1" x14ac:dyDescent="0.25">
      <c r="A232" s="17"/>
      <c r="B232" s="17"/>
      <c r="C232" s="17"/>
      <c r="D232" s="17"/>
      <c r="E232" s="17"/>
      <c r="F232" s="17"/>
      <c r="G232" s="17"/>
      <c r="H232" s="17"/>
      <c r="I232" s="17"/>
      <c r="J232" s="17"/>
      <c r="K232" s="17"/>
      <c r="L232" s="17"/>
      <c r="M232" s="17"/>
      <c r="N232" s="17"/>
      <c r="O232" s="17"/>
      <c r="Q232" s="7">
        <f t="shared" si="3"/>
        <v>0</v>
      </c>
      <c r="R232" s="7" t="e">
        <f>IF(VLOOKUP($A232,'Concrete Beam Schedule'!$A$2:$Q$2902,R$2,0)&lt;&gt;B232,VLOOKUP($A232,'Concrete Beam Schedule'!$A$2:$Q$2902,R$2,0),"")</f>
        <v>#N/A</v>
      </c>
      <c r="S232" s="7" t="e">
        <f>IF(VLOOKUP($A232,'Concrete Beam Schedule'!$A$2:$Q$2902,S$2,0)&lt;&gt;C232,VLOOKUP($A232,'Concrete Beam Schedule'!$A$2:$Q$2902,S$2,0),"")</f>
        <v>#N/A</v>
      </c>
      <c r="T232" s="7" t="e">
        <f>IF(VLOOKUP($A232,'Concrete Beam Schedule'!$A$2:$Q$2902,T$2,0)&lt;&gt;D232,"Beam Revised","")</f>
        <v>#N/A</v>
      </c>
      <c r="U232" s="7" t="e">
        <f>IF(VLOOKUP($A232,'Concrete Beam Schedule'!$A$2:$Q$2902,U$2,0)&lt;&gt;E232,"Beam Revised","")</f>
        <v>#N/A</v>
      </c>
      <c r="V232" s="7" t="e">
        <f>IF(VLOOKUP($A232,'Concrete Beam Schedule'!$A$2:$Q$2902,V$2,0)&lt;&gt;F232,"Beam Revised","")</f>
        <v>#N/A</v>
      </c>
      <c r="W232" s="7" t="e">
        <f>IF(VLOOKUP($A232,'Concrete Beam Schedule'!$A$2:$Q$2902,W$2,0)&lt;&gt;G232,"Beam Revised","")</f>
        <v>#N/A</v>
      </c>
      <c r="X232" s="7" t="e">
        <f>IF(VLOOKUP($A232,'Concrete Beam Schedule'!$A$2:$Q$2902,X$2,0)&lt;&gt;H232,"Beam Revised","")</f>
        <v>#N/A</v>
      </c>
      <c r="Y232" s="7" t="e">
        <f>IF(VLOOKUP($A232,'Concrete Beam Schedule'!$A$2:$Q$2902,Y$2,0)&lt;&gt;I232,"Beam Revised","")</f>
        <v>#N/A</v>
      </c>
      <c r="Z232" s="7" t="e">
        <f>IF(VLOOKUP($A232,'Concrete Beam Schedule'!$A$2:$Q$2902,Z$2,0)&lt;&gt;J232,"Beam Revised","")</f>
        <v>#N/A</v>
      </c>
      <c r="AA232" s="7" t="e">
        <f>IF(VLOOKUP($A232,'Concrete Beam Schedule'!$A$2:$Q$2902,AA$2,0)&lt;&gt;K232,"Beam Revised","")</f>
        <v>#N/A</v>
      </c>
      <c r="AB232" s="7" t="e">
        <f>IF(VLOOKUP($A232,'Concrete Beam Schedule'!$A$2:$Q$2902,AB$2,0)&lt;&gt;L232,"Beam Revised","")</f>
        <v>#N/A</v>
      </c>
      <c r="AC232" s="7" t="e">
        <f>IF(VLOOKUP($A232,'Concrete Beam Schedule'!$A$2:$Q$2902,AC$2,0)&lt;&gt;M232,"Beam Revised","")</f>
        <v>#N/A</v>
      </c>
      <c r="AD232" s="7" t="e">
        <f>IF(VLOOKUP($A232,'Concrete Beam Schedule'!$A$2:$Q$2902,AD$2,0)&lt;&gt;N232,"Beam Revised","")</f>
        <v>#N/A</v>
      </c>
      <c r="AE232" s="7" t="e">
        <f>IF(VLOOKUP($A232,'Concrete Beam Schedule'!$A$2:$Q$2902,AE$2,0)&lt;&gt;O232,"Beam Revised","")</f>
        <v>#N/A</v>
      </c>
    </row>
    <row r="233" spans="1:31" ht="25.5" customHeight="1" x14ac:dyDescent="0.25">
      <c r="A233" s="17"/>
      <c r="B233" s="17"/>
      <c r="C233" s="17"/>
      <c r="D233" s="17"/>
      <c r="E233" s="17"/>
      <c r="F233" s="17"/>
      <c r="G233" s="17"/>
      <c r="H233" s="17"/>
      <c r="I233" s="17"/>
      <c r="J233" s="17"/>
      <c r="K233" s="17"/>
      <c r="L233" s="17"/>
      <c r="M233" s="17"/>
      <c r="N233" s="17"/>
      <c r="O233" s="17"/>
      <c r="Q233" s="7">
        <f t="shared" si="3"/>
        <v>0</v>
      </c>
      <c r="R233" s="7" t="e">
        <f>IF(VLOOKUP($A233,'Concrete Beam Schedule'!$A$2:$Q$2902,R$2,0)&lt;&gt;B233,VLOOKUP($A233,'Concrete Beam Schedule'!$A$2:$Q$2902,R$2,0),"")</f>
        <v>#N/A</v>
      </c>
      <c r="S233" s="7" t="e">
        <f>IF(VLOOKUP($A233,'Concrete Beam Schedule'!$A$2:$Q$2902,S$2,0)&lt;&gt;C233,VLOOKUP($A233,'Concrete Beam Schedule'!$A$2:$Q$2902,S$2,0),"")</f>
        <v>#N/A</v>
      </c>
      <c r="T233" s="7" t="e">
        <f>IF(VLOOKUP($A233,'Concrete Beam Schedule'!$A$2:$Q$2902,T$2,0)&lt;&gt;D233,"Beam Revised","")</f>
        <v>#N/A</v>
      </c>
      <c r="U233" s="7" t="e">
        <f>IF(VLOOKUP($A233,'Concrete Beam Schedule'!$A$2:$Q$2902,U$2,0)&lt;&gt;E233,"Beam Revised","")</f>
        <v>#N/A</v>
      </c>
      <c r="V233" s="7" t="e">
        <f>IF(VLOOKUP($A233,'Concrete Beam Schedule'!$A$2:$Q$2902,V$2,0)&lt;&gt;F233,"Beam Revised","")</f>
        <v>#N/A</v>
      </c>
      <c r="W233" s="7" t="e">
        <f>IF(VLOOKUP($A233,'Concrete Beam Schedule'!$A$2:$Q$2902,W$2,0)&lt;&gt;G233,"Beam Revised","")</f>
        <v>#N/A</v>
      </c>
      <c r="X233" s="7" t="e">
        <f>IF(VLOOKUP($A233,'Concrete Beam Schedule'!$A$2:$Q$2902,X$2,0)&lt;&gt;H233,"Beam Revised","")</f>
        <v>#N/A</v>
      </c>
      <c r="Y233" s="7" t="e">
        <f>IF(VLOOKUP($A233,'Concrete Beam Schedule'!$A$2:$Q$2902,Y$2,0)&lt;&gt;I233,"Beam Revised","")</f>
        <v>#N/A</v>
      </c>
      <c r="Z233" s="7" t="e">
        <f>IF(VLOOKUP($A233,'Concrete Beam Schedule'!$A$2:$Q$2902,Z$2,0)&lt;&gt;J233,"Beam Revised","")</f>
        <v>#N/A</v>
      </c>
      <c r="AA233" s="7" t="e">
        <f>IF(VLOOKUP($A233,'Concrete Beam Schedule'!$A$2:$Q$2902,AA$2,0)&lt;&gt;K233,"Beam Revised","")</f>
        <v>#N/A</v>
      </c>
      <c r="AB233" s="7" t="e">
        <f>IF(VLOOKUP($A233,'Concrete Beam Schedule'!$A$2:$Q$2902,AB$2,0)&lt;&gt;L233,"Beam Revised","")</f>
        <v>#N/A</v>
      </c>
      <c r="AC233" s="7" t="e">
        <f>IF(VLOOKUP($A233,'Concrete Beam Schedule'!$A$2:$Q$2902,AC$2,0)&lt;&gt;M233,"Beam Revised","")</f>
        <v>#N/A</v>
      </c>
      <c r="AD233" s="7" t="e">
        <f>IF(VLOOKUP($A233,'Concrete Beam Schedule'!$A$2:$Q$2902,AD$2,0)&lt;&gt;N233,"Beam Revised","")</f>
        <v>#N/A</v>
      </c>
      <c r="AE233" s="7" t="e">
        <f>IF(VLOOKUP($A233,'Concrete Beam Schedule'!$A$2:$Q$2902,AE$2,0)&lt;&gt;O233,"Beam Revised","")</f>
        <v>#N/A</v>
      </c>
    </row>
    <row r="234" spans="1:31" ht="25.5" customHeight="1" x14ac:dyDescent="0.25">
      <c r="A234" s="17"/>
      <c r="B234" s="17"/>
      <c r="C234" s="17"/>
      <c r="D234" s="17"/>
      <c r="E234" s="17"/>
      <c r="F234" s="17"/>
      <c r="G234" s="17"/>
      <c r="H234" s="17"/>
      <c r="I234" s="17"/>
      <c r="J234" s="17"/>
      <c r="K234" s="17"/>
      <c r="L234" s="17"/>
      <c r="M234" s="17"/>
      <c r="N234" s="17"/>
      <c r="O234" s="17"/>
      <c r="Q234" s="7">
        <f t="shared" si="3"/>
        <v>0</v>
      </c>
      <c r="R234" s="7" t="e">
        <f>IF(VLOOKUP($A234,'Concrete Beam Schedule'!$A$2:$Q$2902,R$2,0)&lt;&gt;B234,VLOOKUP($A234,'Concrete Beam Schedule'!$A$2:$Q$2902,R$2,0),"")</f>
        <v>#N/A</v>
      </c>
      <c r="S234" s="7" t="e">
        <f>IF(VLOOKUP($A234,'Concrete Beam Schedule'!$A$2:$Q$2902,S$2,0)&lt;&gt;C234,VLOOKUP($A234,'Concrete Beam Schedule'!$A$2:$Q$2902,S$2,0),"")</f>
        <v>#N/A</v>
      </c>
      <c r="T234" s="7" t="e">
        <f>IF(VLOOKUP($A234,'Concrete Beam Schedule'!$A$2:$Q$2902,T$2,0)&lt;&gt;D234,"Beam Revised","")</f>
        <v>#N/A</v>
      </c>
      <c r="U234" s="7" t="e">
        <f>IF(VLOOKUP($A234,'Concrete Beam Schedule'!$A$2:$Q$2902,U$2,0)&lt;&gt;E234,"Beam Revised","")</f>
        <v>#N/A</v>
      </c>
      <c r="V234" s="7" t="e">
        <f>IF(VLOOKUP($A234,'Concrete Beam Schedule'!$A$2:$Q$2902,V$2,0)&lt;&gt;F234,"Beam Revised","")</f>
        <v>#N/A</v>
      </c>
      <c r="W234" s="7" t="e">
        <f>IF(VLOOKUP($A234,'Concrete Beam Schedule'!$A$2:$Q$2902,W$2,0)&lt;&gt;G234,"Beam Revised","")</f>
        <v>#N/A</v>
      </c>
      <c r="X234" s="7" t="e">
        <f>IF(VLOOKUP($A234,'Concrete Beam Schedule'!$A$2:$Q$2902,X$2,0)&lt;&gt;H234,"Beam Revised","")</f>
        <v>#N/A</v>
      </c>
      <c r="Y234" s="7" t="e">
        <f>IF(VLOOKUP($A234,'Concrete Beam Schedule'!$A$2:$Q$2902,Y$2,0)&lt;&gt;I234,"Beam Revised","")</f>
        <v>#N/A</v>
      </c>
      <c r="Z234" s="7" t="e">
        <f>IF(VLOOKUP($A234,'Concrete Beam Schedule'!$A$2:$Q$2902,Z$2,0)&lt;&gt;J234,"Beam Revised","")</f>
        <v>#N/A</v>
      </c>
      <c r="AA234" s="7" t="e">
        <f>IF(VLOOKUP($A234,'Concrete Beam Schedule'!$A$2:$Q$2902,AA$2,0)&lt;&gt;K234,"Beam Revised","")</f>
        <v>#N/A</v>
      </c>
      <c r="AB234" s="7" t="e">
        <f>IF(VLOOKUP($A234,'Concrete Beam Schedule'!$A$2:$Q$2902,AB$2,0)&lt;&gt;L234,"Beam Revised","")</f>
        <v>#N/A</v>
      </c>
      <c r="AC234" s="7" t="e">
        <f>IF(VLOOKUP($A234,'Concrete Beam Schedule'!$A$2:$Q$2902,AC$2,0)&lt;&gt;M234,"Beam Revised","")</f>
        <v>#N/A</v>
      </c>
      <c r="AD234" s="7" t="e">
        <f>IF(VLOOKUP($A234,'Concrete Beam Schedule'!$A$2:$Q$2902,AD$2,0)&lt;&gt;N234,"Beam Revised","")</f>
        <v>#N/A</v>
      </c>
      <c r="AE234" s="7" t="e">
        <f>IF(VLOOKUP($A234,'Concrete Beam Schedule'!$A$2:$Q$2902,AE$2,0)&lt;&gt;O234,"Beam Revised","")</f>
        <v>#N/A</v>
      </c>
    </row>
    <row r="235" spans="1:31" ht="25.5" customHeight="1" x14ac:dyDescent="0.25">
      <c r="A235" s="17"/>
      <c r="B235" s="17"/>
      <c r="C235" s="17"/>
      <c r="D235" s="17"/>
      <c r="E235" s="17"/>
      <c r="F235" s="17"/>
      <c r="G235" s="17"/>
      <c r="H235" s="17"/>
      <c r="I235" s="17"/>
      <c r="J235" s="17"/>
      <c r="K235" s="17"/>
      <c r="L235" s="17"/>
      <c r="M235" s="17"/>
      <c r="N235" s="17"/>
      <c r="O235" s="17"/>
      <c r="Q235" s="7">
        <f t="shared" si="3"/>
        <v>0</v>
      </c>
      <c r="R235" s="7" t="e">
        <f>IF(VLOOKUP($A235,'Concrete Beam Schedule'!$A$2:$Q$2902,R$2,0)&lt;&gt;B235,VLOOKUP($A235,'Concrete Beam Schedule'!$A$2:$Q$2902,R$2,0),"")</f>
        <v>#N/A</v>
      </c>
      <c r="S235" s="7" t="e">
        <f>IF(VLOOKUP($A235,'Concrete Beam Schedule'!$A$2:$Q$2902,S$2,0)&lt;&gt;C235,VLOOKUP($A235,'Concrete Beam Schedule'!$A$2:$Q$2902,S$2,0),"")</f>
        <v>#N/A</v>
      </c>
      <c r="T235" s="7" t="e">
        <f>IF(VLOOKUP($A235,'Concrete Beam Schedule'!$A$2:$Q$2902,T$2,0)&lt;&gt;D235,"Beam Revised","")</f>
        <v>#N/A</v>
      </c>
      <c r="U235" s="7" t="e">
        <f>IF(VLOOKUP($A235,'Concrete Beam Schedule'!$A$2:$Q$2902,U$2,0)&lt;&gt;E235,"Beam Revised","")</f>
        <v>#N/A</v>
      </c>
      <c r="V235" s="7" t="e">
        <f>IF(VLOOKUP($A235,'Concrete Beam Schedule'!$A$2:$Q$2902,V$2,0)&lt;&gt;F235,"Beam Revised","")</f>
        <v>#N/A</v>
      </c>
      <c r="W235" s="7" t="e">
        <f>IF(VLOOKUP($A235,'Concrete Beam Schedule'!$A$2:$Q$2902,W$2,0)&lt;&gt;G235,"Beam Revised","")</f>
        <v>#N/A</v>
      </c>
      <c r="X235" s="7" t="e">
        <f>IF(VLOOKUP($A235,'Concrete Beam Schedule'!$A$2:$Q$2902,X$2,0)&lt;&gt;H235,"Beam Revised","")</f>
        <v>#N/A</v>
      </c>
      <c r="Y235" s="7" t="e">
        <f>IF(VLOOKUP($A235,'Concrete Beam Schedule'!$A$2:$Q$2902,Y$2,0)&lt;&gt;I235,"Beam Revised","")</f>
        <v>#N/A</v>
      </c>
      <c r="Z235" s="7" t="e">
        <f>IF(VLOOKUP($A235,'Concrete Beam Schedule'!$A$2:$Q$2902,Z$2,0)&lt;&gt;J235,"Beam Revised","")</f>
        <v>#N/A</v>
      </c>
      <c r="AA235" s="7" t="e">
        <f>IF(VLOOKUP($A235,'Concrete Beam Schedule'!$A$2:$Q$2902,AA$2,0)&lt;&gt;K235,"Beam Revised","")</f>
        <v>#N/A</v>
      </c>
      <c r="AB235" s="7" t="e">
        <f>IF(VLOOKUP($A235,'Concrete Beam Schedule'!$A$2:$Q$2902,AB$2,0)&lt;&gt;L235,"Beam Revised","")</f>
        <v>#N/A</v>
      </c>
      <c r="AC235" s="7" t="e">
        <f>IF(VLOOKUP($A235,'Concrete Beam Schedule'!$A$2:$Q$2902,AC$2,0)&lt;&gt;M235,"Beam Revised","")</f>
        <v>#N/A</v>
      </c>
      <c r="AD235" s="7" t="e">
        <f>IF(VLOOKUP($A235,'Concrete Beam Schedule'!$A$2:$Q$2902,AD$2,0)&lt;&gt;N235,"Beam Revised","")</f>
        <v>#N/A</v>
      </c>
      <c r="AE235" s="7" t="e">
        <f>IF(VLOOKUP($A235,'Concrete Beam Schedule'!$A$2:$Q$2902,AE$2,0)&lt;&gt;O235,"Beam Revised","")</f>
        <v>#N/A</v>
      </c>
    </row>
    <row r="236" spans="1:31" ht="25.5" customHeight="1" x14ac:dyDescent="0.25">
      <c r="A236" s="17"/>
      <c r="B236" s="17"/>
      <c r="C236" s="17"/>
      <c r="D236" s="17"/>
      <c r="E236" s="17"/>
      <c r="F236" s="17"/>
      <c r="G236" s="17"/>
      <c r="H236" s="17"/>
      <c r="I236" s="17"/>
      <c r="J236" s="17"/>
      <c r="K236" s="17"/>
      <c r="L236" s="17"/>
      <c r="M236" s="17"/>
      <c r="N236" s="17"/>
      <c r="O236" s="17"/>
      <c r="Q236" s="7">
        <f t="shared" si="3"/>
        <v>0</v>
      </c>
      <c r="R236" s="7" t="e">
        <f>IF(VLOOKUP($A236,'Concrete Beam Schedule'!$A$2:$Q$2902,R$2,0)&lt;&gt;B236,VLOOKUP($A236,'Concrete Beam Schedule'!$A$2:$Q$2902,R$2,0),"")</f>
        <v>#N/A</v>
      </c>
      <c r="S236" s="7" t="e">
        <f>IF(VLOOKUP($A236,'Concrete Beam Schedule'!$A$2:$Q$2902,S$2,0)&lt;&gt;C236,VLOOKUP($A236,'Concrete Beam Schedule'!$A$2:$Q$2902,S$2,0),"")</f>
        <v>#N/A</v>
      </c>
      <c r="T236" s="7" t="e">
        <f>IF(VLOOKUP($A236,'Concrete Beam Schedule'!$A$2:$Q$2902,T$2,0)&lt;&gt;D236,"Beam Revised","")</f>
        <v>#N/A</v>
      </c>
      <c r="U236" s="7" t="e">
        <f>IF(VLOOKUP($A236,'Concrete Beam Schedule'!$A$2:$Q$2902,U$2,0)&lt;&gt;E236,"Beam Revised","")</f>
        <v>#N/A</v>
      </c>
      <c r="V236" s="7" t="e">
        <f>IF(VLOOKUP($A236,'Concrete Beam Schedule'!$A$2:$Q$2902,V$2,0)&lt;&gt;F236,"Beam Revised","")</f>
        <v>#N/A</v>
      </c>
      <c r="W236" s="7" t="e">
        <f>IF(VLOOKUP($A236,'Concrete Beam Schedule'!$A$2:$Q$2902,W$2,0)&lt;&gt;G236,"Beam Revised","")</f>
        <v>#N/A</v>
      </c>
      <c r="X236" s="7" t="e">
        <f>IF(VLOOKUP($A236,'Concrete Beam Schedule'!$A$2:$Q$2902,X$2,0)&lt;&gt;H236,"Beam Revised","")</f>
        <v>#N/A</v>
      </c>
      <c r="Y236" s="7" t="e">
        <f>IF(VLOOKUP($A236,'Concrete Beam Schedule'!$A$2:$Q$2902,Y$2,0)&lt;&gt;I236,"Beam Revised","")</f>
        <v>#N/A</v>
      </c>
      <c r="Z236" s="7" t="e">
        <f>IF(VLOOKUP($A236,'Concrete Beam Schedule'!$A$2:$Q$2902,Z$2,0)&lt;&gt;J236,"Beam Revised","")</f>
        <v>#N/A</v>
      </c>
      <c r="AA236" s="7" t="e">
        <f>IF(VLOOKUP($A236,'Concrete Beam Schedule'!$A$2:$Q$2902,AA$2,0)&lt;&gt;K236,"Beam Revised","")</f>
        <v>#N/A</v>
      </c>
      <c r="AB236" s="7" t="e">
        <f>IF(VLOOKUP($A236,'Concrete Beam Schedule'!$A$2:$Q$2902,AB$2,0)&lt;&gt;L236,"Beam Revised","")</f>
        <v>#N/A</v>
      </c>
      <c r="AC236" s="7" t="e">
        <f>IF(VLOOKUP($A236,'Concrete Beam Schedule'!$A$2:$Q$2902,AC$2,0)&lt;&gt;M236,"Beam Revised","")</f>
        <v>#N/A</v>
      </c>
      <c r="AD236" s="7" t="e">
        <f>IF(VLOOKUP($A236,'Concrete Beam Schedule'!$A$2:$Q$2902,AD$2,0)&lt;&gt;N236,"Beam Revised","")</f>
        <v>#N/A</v>
      </c>
      <c r="AE236" s="7" t="e">
        <f>IF(VLOOKUP($A236,'Concrete Beam Schedule'!$A$2:$Q$2902,AE$2,0)&lt;&gt;O236,"Beam Revised","")</f>
        <v>#N/A</v>
      </c>
    </row>
    <row r="237" spans="1:31" ht="25.5" customHeight="1" x14ac:dyDescent="0.25">
      <c r="A237" s="17"/>
      <c r="B237" s="17"/>
      <c r="C237" s="17"/>
      <c r="D237" s="17"/>
      <c r="E237" s="17"/>
      <c r="F237" s="17"/>
      <c r="G237" s="17"/>
      <c r="H237" s="17"/>
      <c r="I237" s="17"/>
      <c r="J237" s="17"/>
      <c r="K237" s="17"/>
      <c r="L237" s="17"/>
      <c r="M237" s="17"/>
      <c r="N237" s="17"/>
      <c r="O237" s="17"/>
      <c r="Q237" s="7">
        <f t="shared" si="3"/>
        <v>0</v>
      </c>
      <c r="R237" s="7" t="e">
        <f>IF(VLOOKUP($A237,'Concrete Beam Schedule'!$A$2:$Q$2902,R$2,0)&lt;&gt;B237,VLOOKUP($A237,'Concrete Beam Schedule'!$A$2:$Q$2902,R$2,0),"")</f>
        <v>#N/A</v>
      </c>
      <c r="S237" s="7" t="e">
        <f>IF(VLOOKUP($A237,'Concrete Beam Schedule'!$A$2:$Q$2902,S$2,0)&lt;&gt;C237,VLOOKUP($A237,'Concrete Beam Schedule'!$A$2:$Q$2902,S$2,0),"")</f>
        <v>#N/A</v>
      </c>
      <c r="T237" s="7" t="e">
        <f>IF(VLOOKUP($A237,'Concrete Beam Schedule'!$A$2:$Q$2902,T$2,0)&lt;&gt;D237,"Beam Revised","")</f>
        <v>#N/A</v>
      </c>
      <c r="U237" s="7" t="e">
        <f>IF(VLOOKUP($A237,'Concrete Beam Schedule'!$A$2:$Q$2902,U$2,0)&lt;&gt;E237,"Beam Revised","")</f>
        <v>#N/A</v>
      </c>
      <c r="V237" s="7" t="e">
        <f>IF(VLOOKUP($A237,'Concrete Beam Schedule'!$A$2:$Q$2902,V$2,0)&lt;&gt;F237,"Beam Revised","")</f>
        <v>#N/A</v>
      </c>
      <c r="W237" s="7" t="e">
        <f>IF(VLOOKUP($A237,'Concrete Beam Schedule'!$A$2:$Q$2902,W$2,0)&lt;&gt;G237,"Beam Revised","")</f>
        <v>#N/A</v>
      </c>
      <c r="X237" s="7" t="e">
        <f>IF(VLOOKUP($A237,'Concrete Beam Schedule'!$A$2:$Q$2902,X$2,0)&lt;&gt;H237,"Beam Revised","")</f>
        <v>#N/A</v>
      </c>
      <c r="Y237" s="7" t="e">
        <f>IF(VLOOKUP($A237,'Concrete Beam Schedule'!$A$2:$Q$2902,Y$2,0)&lt;&gt;I237,"Beam Revised","")</f>
        <v>#N/A</v>
      </c>
      <c r="Z237" s="7" t="e">
        <f>IF(VLOOKUP($A237,'Concrete Beam Schedule'!$A$2:$Q$2902,Z$2,0)&lt;&gt;J237,"Beam Revised","")</f>
        <v>#N/A</v>
      </c>
      <c r="AA237" s="7" t="e">
        <f>IF(VLOOKUP($A237,'Concrete Beam Schedule'!$A$2:$Q$2902,AA$2,0)&lt;&gt;K237,"Beam Revised","")</f>
        <v>#N/A</v>
      </c>
      <c r="AB237" s="7" t="e">
        <f>IF(VLOOKUP($A237,'Concrete Beam Schedule'!$A$2:$Q$2902,AB$2,0)&lt;&gt;L237,"Beam Revised","")</f>
        <v>#N/A</v>
      </c>
      <c r="AC237" s="7" t="e">
        <f>IF(VLOOKUP($A237,'Concrete Beam Schedule'!$A$2:$Q$2902,AC$2,0)&lt;&gt;M237,"Beam Revised","")</f>
        <v>#N/A</v>
      </c>
      <c r="AD237" s="7" t="e">
        <f>IF(VLOOKUP($A237,'Concrete Beam Schedule'!$A$2:$Q$2902,AD$2,0)&lt;&gt;N237,"Beam Revised","")</f>
        <v>#N/A</v>
      </c>
      <c r="AE237" s="7" t="e">
        <f>IF(VLOOKUP($A237,'Concrete Beam Schedule'!$A$2:$Q$2902,AE$2,0)&lt;&gt;O237,"Beam Revised","")</f>
        <v>#N/A</v>
      </c>
    </row>
    <row r="238" spans="1:31" ht="25.5" customHeight="1" x14ac:dyDescent="0.25">
      <c r="A238" s="17"/>
      <c r="B238" s="17"/>
      <c r="C238" s="17"/>
      <c r="D238" s="17"/>
      <c r="E238" s="17"/>
      <c r="F238" s="17"/>
      <c r="G238" s="17"/>
      <c r="H238" s="17"/>
      <c r="I238" s="17"/>
      <c r="J238" s="17"/>
      <c r="K238" s="17"/>
      <c r="L238" s="17"/>
      <c r="M238" s="17"/>
      <c r="N238" s="17"/>
      <c r="O238" s="17"/>
      <c r="Q238" s="7">
        <f t="shared" si="3"/>
        <v>0</v>
      </c>
      <c r="R238" s="7" t="e">
        <f>IF(VLOOKUP($A238,'Concrete Beam Schedule'!$A$2:$Q$2902,R$2,0)&lt;&gt;B238,VLOOKUP($A238,'Concrete Beam Schedule'!$A$2:$Q$2902,R$2,0),"")</f>
        <v>#N/A</v>
      </c>
      <c r="S238" s="7" t="e">
        <f>IF(VLOOKUP($A238,'Concrete Beam Schedule'!$A$2:$Q$2902,S$2,0)&lt;&gt;C238,VLOOKUP($A238,'Concrete Beam Schedule'!$A$2:$Q$2902,S$2,0),"")</f>
        <v>#N/A</v>
      </c>
      <c r="T238" s="7" t="e">
        <f>IF(VLOOKUP($A238,'Concrete Beam Schedule'!$A$2:$Q$2902,T$2,0)&lt;&gt;D238,"Beam Revised","")</f>
        <v>#N/A</v>
      </c>
      <c r="U238" s="7" t="e">
        <f>IF(VLOOKUP($A238,'Concrete Beam Schedule'!$A$2:$Q$2902,U$2,0)&lt;&gt;E238,"Beam Revised","")</f>
        <v>#N/A</v>
      </c>
      <c r="V238" s="7" t="e">
        <f>IF(VLOOKUP($A238,'Concrete Beam Schedule'!$A$2:$Q$2902,V$2,0)&lt;&gt;F238,"Beam Revised","")</f>
        <v>#N/A</v>
      </c>
      <c r="W238" s="7" t="e">
        <f>IF(VLOOKUP($A238,'Concrete Beam Schedule'!$A$2:$Q$2902,W$2,0)&lt;&gt;G238,"Beam Revised","")</f>
        <v>#N/A</v>
      </c>
      <c r="X238" s="7" t="e">
        <f>IF(VLOOKUP($A238,'Concrete Beam Schedule'!$A$2:$Q$2902,X$2,0)&lt;&gt;H238,"Beam Revised","")</f>
        <v>#N/A</v>
      </c>
      <c r="Y238" s="7" t="e">
        <f>IF(VLOOKUP($A238,'Concrete Beam Schedule'!$A$2:$Q$2902,Y$2,0)&lt;&gt;I238,"Beam Revised","")</f>
        <v>#N/A</v>
      </c>
      <c r="Z238" s="7" t="e">
        <f>IF(VLOOKUP($A238,'Concrete Beam Schedule'!$A$2:$Q$2902,Z$2,0)&lt;&gt;J238,"Beam Revised","")</f>
        <v>#N/A</v>
      </c>
      <c r="AA238" s="7" t="e">
        <f>IF(VLOOKUP($A238,'Concrete Beam Schedule'!$A$2:$Q$2902,AA$2,0)&lt;&gt;K238,"Beam Revised","")</f>
        <v>#N/A</v>
      </c>
      <c r="AB238" s="7" t="e">
        <f>IF(VLOOKUP($A238,'Concrete Beam Schedule'!$A$2:$Q$2902,AB$2,0)&lt;&gt;L238,"Beam Revised","")</f>
        <v>#N/A</v>
      </c>
      <c r="AC238" s="7" t="e">
        <f>IF(VLOOKUP($A238,'Concrete Beam Schedule'!$A$2:$Q$2902,AC$2,0)&lt;&gt;M238,"Beam Revised","")</f>
        <v>#N/A</v>
      </c>
      <c r="AD238" s="7" t="e">
        <f>IF(VLOOKUP($A238,'Concrete Beam Schedule'!$A$2:$Q$2902,AD$2,0)&lt;&gt;N238,"Beam Revised","")</f>
        <v>#N/A</v>
      </c>
      <c r="AE238" s="7" t="e">
        <f>IF(VLOOKUP($A238,'Concrete Beam Schedule'!$A$2:$Q$2902,AE$2,0)&lt;&gt;O238,"Beam Revised","")</f>
        <v>#N/A</v>
      </c>
    </row>
    <row r="239" spans="1:31" ht="25.5" customHeight="1" x14ac:dyDescent="0.25">
      <c r="A239" s="17"/>
      <c r="B239" s="17"/>
      <c r="C239" s="17"/>
      <c r="D239" s="17"/>
      <c r="E239" s="17"/>
      <c r="F239" s="17"/>
      <c r="G239" s="17"/>
      <c r="H239" s="17"/>
      <c r="I239" s="17"/>
      <c r="J239" s="17"/>
      <c r="K239" s="17"/>
      <c r="L239" s="17"/>
      <c r="M239" s="17"/>
      <c r="N239" s="17"/>
      <c r="O239" s="17"/>
      <c r="Q239" s="7">
        <f t="shared" si="3"/>
        <v>0</v>
      </c>
      <c r="R239" s="7" t="e">
        <f>IF(VLOOKUP($A239,'Concrete Beam Schedule'!$A$2:$Q$2902,R$2,0)&lt;&gt;B239,VLOOKUP($A239,'Concrete Beam Schedule'!$A$2:$Q$2902,R$2,0),"")</f>
        <v>#N/A</v>
      </c>
      <c r="S239" s="7" t="e">
        <f>IF(VLOOKUP($A239,'Concrete Beam Schedule'!$A$2:$Q$2902,S$2,0)&lt;&gt;C239,VLOOKUP($A239,'Concrete Beam Schedule'!$A$2:$Q$2902,S$2,0),"")</f>
        <v>#N/A</v>
      </c>
      <c r="T239" s="7" t="e">
        <f>IF(VLOOKUP($A239,'Concrete Beam Schedule'!$A$2:$Q$2902,T$2,0)&lt;&gt;D239,"Beam Revised","")</f>
        <v>#N/A</v>
      </c>
      <c r="U239" s="7" t="e">
        <f>IF(VLOOKUP($A239,'Concrete Beam Schedule'!$A$2:$Q$2902,U$2,0)&lt;&gt;E239,"Beam Revised","")</f>
        <v>#N/A</v>
      </c>
      <c r="V239" s="7" t="e">
        <f>IF(VLOOKUP($A239,'Concrete Beam Schedule'!$A$2:$Q$2902,V$2,0)&lt;&gt;F239,"Beam Revised","")</f>
        <v>#N/A</v>
      </c>
      <c r="W239" s="7" t="e">
        <f>IF(VLOOKUP($A239,'Concrete Beam Schedule'!$A$2:$Q$2902,W$2,0)&lt;&gt;G239,"Beam Revised","")</f>
        <v>#N/A</v>
      </c>
      <c r="X239" s="7" t="e">
        <f>IF(VLOOKUP($A239,'Concrete Beam Schedule'!$A$2:$Q$2902,X$2,0)&lt;&gt;H239,"Beam Revised","")</f>
        <v>#N/A</v>
      </c>
      <c r="Y239" s="7" t="e">
        <f>IF(VLOOKUP($A239,'Concrete Beam Schedule'!$A$2:$Q$2902,Y$2,0)&lt;&gt;I239,"Beam Revised","")</f>
        <v>#N/A</v>
      </c>
      <c r="Z239" s="7" t="e">
        <f>IF(VLOOKUP($A239,'Concrete Beam Schedule'!$A$2:$Q$2902,Z$2,0)&lt;&gt;J239,"Beam Revised","")</f>
        <v>#N/A</v>
      </c>
      <c r="AA239" s="7" t="e">
        <f>IF(VLOOKUP($A239,'Concrete Beam Schedule'!$A$2:$Q$2902,AA$2,0)&lt;&gt;K239,"Beam Revised","")</f>
        <v>#N/A</v>
      </c>
      <c r="AB239" s="7" t="e">
        <f>IF(VLOOKUP($A239,'Concrete Beam Schedule'!$A$2:$Q$2902,AB$2,0)&lt;&gt;L239,"Beam Revised","")</f>
        <v>#N/A</v>
      </c>
      <c r="AC239" s="7" t="e">
        <f>IF(VLOOKUP($A239,'Concrete Beam Schedule'!$A$2:$Q$2902,AC$2,0)&lt;&gt;M239,"Beam Revised","")</f>
        <v>#N/A</v>
      </c>
      <c r="AD239" s="7" t="e">
        <f>IF(VLOOKUP($A239,'Concrete Beam Schedule'!$A$2:$Q$2902,AD$2,0)&lt;&gt;N239,"Beam Revised","")</f>
        <v>#N/A</v>
      </c>
      <c r="AE239" s="7" t="e">
        <f>IF(VLOOKUP($A239,'Concrete Beam Schedule'!$A$2:$Q$2902,AE$2,0)&lt;&gt;O239,"Beam Revised","")</f>
        <v>#N/A</v>
      </c>
    </row>
    <row r="240" spans="1:31" ht="25.5" customHeight="1" x14ac:dyDescent="0.25">
      <c r="A240" s="17"/>
      <c r="B240" s="17"/>
      <c r="C240" s="17"/>
      <c r="D240" s="17"/>
      <c r="E240" s="17"/>
      <c r="F240" s="17"/>
      <c r="G240" s="17"/>
      <c r="H240" s="17"/>
      <c r="I240" s="17"/>
      <c r="J240" s="17"/>
      <c r="K240" s="17"/>
      <c r="L240" s="17"/>
      <c r="M240" s="17"/>
      <c r="N240" s="17"/>
      <c r="O240" s="17"/>
      <c r="Q240" s="7">
        <f t="shared" si="3"/>
        <v>0</v>
      </c>
      <c r="R240" s="7" t="e">
        <f>IF(VLOOKUP($A240,'Concrete Beam Schedule'!$A$2:$Q$2902,R$2,0)&lt;&gt;B240,VLOOKUP($A240,'Concrete Beam Schedule'!$A$2:$Q$2902,R$2,0),"")</f>
        <v>#N/A</v>
      </c>
      <c r="S240" s="7" t="e">
        <f>IF(VLOOKUP($A240,'Concrete Beam Schedule'!$A$2:$Q$2902,S$2,0)&lt;&gt;C240,VLOOKUP($A240,'Concrete Beam Schedule'!$A$2:$Q$2902,S$2,0),"")</f>
        <v>#N/A</v>
      </c>
      <c r="T240" s="7" t="e">
        <f>IF(VLOOKUP($A240,'Concrete Beam Schedule'!$A$2:$Q$2902,T$2,0)&lt;&gt;D240,"Beam Revised","")</f>
        <v>#N/A</v>
      </c>
      <c r="U240" s="7" t="e">
        <f>IF(VLOOKUP($A240,'Concrete Beam Schedule'!$A$2:$Q$2902,U$2,0)&lt;&gt;E240,"Beam Revised","")</f>
        <v>#N/A</v>
      </c>
      <c r="V240" s="7" t="e">
        <f>IF(VLOOKUP($A240,'Concrete Beam Schedule'!$A$2:$Q$2902,V$2,0)&lt;&gt;F240,"Beam Revised","")</f>
        <v>#N/A</v>
      </c>
      <c r="W240" s="7" t="e">
        <f>IF(VLOOKUP($A240,'Concrete Beam Schedule'!$A$2:$Q$2902,W$2,0)&lt;&gt;G240,"Beam Revised","")</f>
        <v>#N/A</v>
      </c>
      <c r="X240" s="7" t="e">
        <f>IF(VLOOKUP($A240,'Concrete Beam Schedule'!$A$2:$Q$2902,X$2,0)&lt;&gt;H240,"Beam Revised","")</f>
        <v>#N/A</v>
      </c>
      <c r="Y240" s="7" t="e">
        <f>IF(VLOOKUP($A240,'Concrete Beam Schedule'!$A$2:$Q$2902,Y$2,0)&lt;&gt;I240,"Beam Revised","")</f>
        <v>#N/A</v>
      </c>
      <c r="Z240" s="7" t="e">
        <f>IF(VLOOKUP($A240,'Concrete Beam Schedule'!$A$2:$Q$2902,Z$2,0)&lt;&gt;J240,"Beam Revised","")</f>
        <v>#N/A</v>
      </c>
      <c r="AA240" s="7" t="e">
        <f>IF(VLOOKUP($A240,'Concrete Beam Schedule'!$A$2:$Q$2902,AA$2,0)&lt;&gt;K240,"Beam Revised","")</f>
        <v>#N/A</v>
      </c>
      <c r="AB240" s="7" t="e">
        <f>IF(VLOOKUP($A240,'Concrete Beam Schedule'!$A$2:$Q$2902,AB$2,0)&lt;&gt;L240,"Beam Revised","")</f>
        <v>#N/A</v>
      </c>
      <c r="AC240" s="7" t="e">
        <f>IF(VLOOKUP($A240,'Concrete Beam Schedule'!$A$2:$Q$2902,AC$2,0)&lt;&gt;M240,"Beam Revised","")</f>
        <v>#N/A</v>
      </c>
      <c r="AD240" s="7" t="e">
        <f>IF(VLOOKUP($A240,'Concrete Beam Schedule'!$A$2:$Q$2902,AD$2,0)&lt;&gt;N240,"Beam Revised","")</f>
        <v>#N/A</v>
      </c>
      <c r="AE240" s="7" t="e">
        <f>IF(VLOOKUP($A240,'Concrete Beam Schedule'!$A$2:$Q$2902,AE$2,0)&lt;&gt;O240,"Beam Revised","")</f>
        <v>#N/A</v>
      </c>
    </row>
    <row r="241" spans="1:31" ht="25.5" customHeight="1" x14ac:dyDescent="0.25">
      <c r="A241" s="17"/>
      <c r="B241" s="17"/>
      <c r="C241" s="17"/>
      <c r="D241" s="17"/>
      <c r="E241" s="17"/>
      <c r="F241" s="17"/>
      <c r="G241" s="17"/>
      <c r="H241" s="17"/>
      <c r="I241" s="17"/>
      <c r="J241" s="17"/>
      <c r="K241" s="17"/>
      <c r="L241" s="17"/>
      <c r="M241" s="17"/>
      <c r="N241" s="17"/>
      <c r="O241" s="17"/>
      <c r="Q241" s="7">
        <f t="shared" si="3"/>
        <v>0</v>
      </c>
      <c r="R241" s="7" t="e">
        <f>IF(VLOOKUP($A241,'Concrete Beam Schedule'!$A$2:$Q$2902,R$2,0)&lt;&gt;B241,VLOOKUP($A241,'Concrete Beam Schedule'!$A$2:$Q$2902,R$2,0),"")</f>
        <v>#N/A</v>
      </c>
      <c r="S241" s="7" t="e">
        <f>IF(VLOOKUP($A241,'Concrete Beam Schedule'!$A$2:$Q$2902,S$2,0)&lt;&gt;C241,VLOOKUP($A241,'Concrete Beam Schedule'!$A$2:$Q$2902,S$2,0),"")</f>
        <v>#N/A</v>
      </c>
      <c r="T241" s="7" t="e">
        <f>IF(VLOOKUP($A241,'Concrete Beam Schedule'!$A$2:$Q$2902,T$2,0)&lt;&gt;D241,"Beam Revised","")</f>
        <v>#N/A</v>
      </c>
      <c r="U241" s="7" t="e">
        <f>IF(VLOOKUP($A241,'Concrete Beam Schedule'!$A$2:$Q$2902,U$2,0)&lt;&gt;E241,"Beam Revised","")</f>
        <v>#N/A</v>
      </c>
      <c r="V241" s="7" t="e">
        <f>IF(VLOOKUP($A241,'Concrete Beam Schedule'!$A$2:$Q$2902,V$2,0)&lt;&gt;F241,"Beam Revised","")</f>
        <v>#N/A</v>
      </c>
      <c r="W241" s="7" t="e">
        <f>IF(VLOOKUP($A241,'Concrete Beam Schedule'!$A$2:$Q$2902,W$2,0)&lt;&gt;G241,"Beam Revised","")</f>
        <v>#N/A</v>
      </c>
      <c r="X241" s="7" t="e">
        <f>IF(VLOOKUP($A241,'Concrete Beam Schedule'!$A$2:$Q$2902,X$2,0)&lt;&gt;H241,"Beam Revised","")</f>
        <v>#N/A</v>
      </c>
      <c r="Y241" s="7" t="e">
        <f>IF(VLOOKUP($A241,'Concrete Beam Schedule'!$A$2:$Q$2902,Y$2,0)&lt;&gt;I241,"Beam Revised","")</f>
        <v>#N/A</v>
      </c>
      <c r="Z241" s="7" t="e">
        <f>IF(VLOOKUP($A241,'Concrete Beam Schedule'!$A$2:$Q$2902,Z$2,0)&lt;&gt;J241,"Beam Revised","")</f>
        <v>#N/A</v>
      </c>
      <c r="AA241" s="7" t="e">
        <f>IF(VLOOKUP($A241,'Concrete Beam Schedule'!$A$2:$Q$2902,AA$2,0)&lt;&gt;K241,"Beam Revised","")</f>
        <v>#N/A</v>
      </c>
      <c r="AB241" s="7" t="e">
        <f>IF(VLOOKUP($A241,'Concrete Beam Schedule'!$A$2:$Q$2902,AB$2,0)&lt;&gt;L241,"Beam Revised","")</f>
        <v>#N/A</v>
      </c>
      <c r="AC241" s="7" t="e">
        <f>IF(VLOOKUP($A241,'Concrete Beam Schedule'!$A$2:$Q$2902,AC$2,0)&lt;&gt;M241,"Beam Revised","")</f>
        <v>#N/A</v>
      </c>
      <c r="AD241" s="7" t="e">
        <f>IF(VLOOKUP($A241,'Concrete Beam Schedule'!$A$2:$Q$2902,AD$2,0)&lt;&gt;N241,"Beam Revised","")</f>
        <v>#N/A</v>
      </c>
      <c r="AE241" s="7" t="e">
        <f>IF(VLOOKUP($A241,'Concrete Beam Schedule'!$A$2:$Q$2902,AE$2,0)&lt;&gt;O241,"Beam Revised","")</f>
        <v>#N/A</v>
      </c>
    </row>
    <row r="242" spans="1:31" ht="25.5" customHeight="1" x14ac:dyDescent="0.25">
      <c r="A242" s="17"/>
      <c r="B242" s="17"/>
      <c r="C242" s="17"/>
      <c r="D242" s="17"/>
      <c r="E242" s="17"/>
      <c r="F242" s="17"/>
      <c r="G242" s="17"/>
      <c r="H242" s="17"/>
      <c r="I242" s="17"/>
      <c r="J242" s="17"/>
      <c r="K242" s="17"/>
      <c r="L242" s="17"/>
      <c r="M242" s="17"/>
      <c r="N242" s="17"/>
      <c r="O242" s="17"/>
      <c r="Q242" s="7">
        <f t="shared" si="3"/>
        <v>0</v>
      </c>
      <c r="R242" s="7" t="e">
        <f>IF(VLOOKUP($A242,'Concrete Beam Schedule'!$A$2:$Q$2902,R$2,0)&lt;&gt;B242,VLOOKUP($A242,'Concrete Beam Schedule'!$A$2:$Q$2902,R$2,0),"")</f>
        <v>#N/A</v>
      </c>
      <c r="S242" s="7" t="e">
        <f>IF(VLOOKUP($A242,'Concrete Beam Schedule'!$A$2:$Q$2902,S$2,0)&lt;&gt;C242,VLOOKUP($A242,'Concrete Beam Schedule'!$A$2:$Q$2902,S$2,0),"")</f>
        <v>#N/A</v>
      </c>
      <c r="T242" s="7" t="e">
        <f>IF(VLOOKUP($A242,'Concrete Beam Schedule'!$A$2:$Q$2902,T$2,0)&lt;&gt;D242,"Beam Revised","")</f>
        <v>#N/A</v>
      </c>
      <c r="U242" s="7" t="e">
        <f>IF(VLOOKUP($A242,'Concrete Beam Schedule'!$A$2:$Q$2902,U$2,0)&lt;&gt;E242,"Beam Revised","")</f>
        <v>#N/A</v>
      </c>
      <c r="V242" s="7" t="e">
        <f>IF(VLOOKUP($A242,'Concrete Beam Schedule'!$A$2:$Q$2902,V$2,0)&lt;&gt;F242,"Beam Revised","")</f>
        <v>#N/A</v>
      </c>
      <c r="W242" s="7" t="e">
        <f>IF(VLOOKUP($A242,'Concrete Beam Schedule'!$A$2:$Q$2902,W$2,0)&lt;&gt;G242,"Beam Revised","")</f>
        <v>#N/A</v>
      </c>
      <c r="X242" s="7" t="e">
        <f>IF(VLOOKUP($A242,'Concrete Beam Schedule'!$A$2:$Q$2902,X$2,0)&lt;&gt;H242,"Beam Revised","")</f>
        <v>#N/A</v>
      </c>
      <c r="Y242" s="7" t="e">
        <f>IF(VLOOKUP($A242,'Concrete Beam Schedule'!$A$2:$Q$2902,Y$2,0)&lt;&gt;I242,"Beam Revised","")</f>
        <v>#N/A</v>
      </c>
      <c r="Z242" s="7" t="e">
        <f>IF(VLOOKUP($A242,'Concrete Beam Schedule'!$A$2:$Q$2902,Z$2,0)&lt;&gt;J242,"Beam Revised","")</f>
        <v>#N/A</v>
      </c>
      <c r="AA242" s="7" t="e">
        <f>IF(VLOOKUP($A242,'Concrete Beam Schedule'!$A$2:$Q$2902,AA$2,0)&lt;&gt;K242,"Beam Revised","")</f>
        <v>#N/A</v>
      </c>
      <c r="AB242" s="7" t="e">
        <f>IF(VLOOKUP($A242,'Concrete Beam Schedule'!$A$2:$Q$2902,AB$2,0)&lt;&gt;L242,"Beam Revised","")</f>
        <v>#N/A</v>
      </c>
      <c r="AC242" s="7" t="e">
        <f>IF(VLOOKUP($A242,'Concrete Beam Schedule'!$A$2:$Q$2902,AC$2,0)&lt;&gt;M242,"Beam Revised","")</f>
        <v>#N/A</v>
      </c>
      <c r="AD242" s="7" t="e">
        <f>IF(VLOOKUP($A242,'Concrete Beam Schedule'!$A$2:$Q$2902,AD$2,0)&lt;&gt;N242,"Beam Revised","")</f>
        <v>#N/A</v>
      </c>
      <c r="AE242" s="7" t="e">
        <f>IF(VLOOKUP($A242,'Concrete Beam Schedule'!$A$2:$Q$2902,AE$2,0)&lt;&gt;O242,"Beam Revised","")</f>
        <v>#N/A</v>
      </c>
    </row>
    <row r="243" spans="1:31" ht="25.5" customHeight="1" x14ac:dyDescent="0.25">
      <c r="A243" s="17"/>
      <c r="B243" s="17"/>
      <c r="C243" s="17"/>
      <c r="D243" s="17"/>
      <c r="E243" s="17"/>
      <c r="F243" s="17"/>
      <c r="G243" s="17"/>
      <c r="H243" s="17"/>
      <c r="I243" s="17"/>
      <c r="J243" s="17"/>
      <c r="K243" s="17"/>
      <c r="L243" s="17"/>
      <c r="M243" s="17"/>
      <c r="N243" s="17"/>
      <c r="O243" s="17"/>
      <c r="Q243" s="7">
        <f t="shared" si="3"/>
        <v>0</v>
      </c>
      <c r="R243" s="7" t="e">
        <f>IF(VLOOKUP($A243,'Concrete Beam Schedule'!$A$2:$Q$2902,R$2,0)&lt;&gt;B243,VLOOKUP($A243,'Concrete Beam Schedule'!$A$2:$Q$2902,R$2,0),"")</f>
        <v>#N/A</v>
      </c>
      <c r="S243" s="7" t="e">
        <f>IF(VLOOKUP($A243,'Concrete Beam Schedule'!$A$2:$Q$2902,S$2,0)&lt;&gt;C243,VLOOKUP($A243,'Concrete Beam Schedule'!$A$2:$Q$2902,S$2,0),"")</f>
        <v>#N/A</v>
      </c>
      <c r="T243" s="7" t="e">
        <f>IF(VLOOKUP($A243,'Concrete Beam Schedule'!$A$2:$Q$2902,T$2,0)&lt;&gt;D243,"Beam Revised","")</f>
        <v>#N/A</v>
      </c>
      <c r="U243" s="7" t="e">
        <f>IF(VLOOKUP($A243,'Concrete Beam Schedule'!$A$2:$Q$2902,U$2,0)&lt;&gt;E243,"Beam Revised","")</f>
        <v>#N/A</v>
      </c>
      <c r="V243" s="7" t="e">
        <f>IF(VLOOKUP($A243,'Concrete Beam Schedule'!$A$2:$Q$2902,V$2,0)&lt;&gt;F243,"Beam Revised","")</f>
        <v>#N/A</v>
      </c>
      <c r="W243" s="7" t="e">
        <f>IF(VLOOKUP($A243,'Concrete Beam Schedule'!$A$2:$Q$2902,W$2,0)&lt;&gt;G243,"Beam Revised","")</f>
        <v>#N/A</v>
      </c>
      <c r="X243" s="7" t="e">
        <f>IF(VLOOKUP($A243,'Concrete Beam Schedule'!$A$2:$Q$2902,X$2,0)&lt;&gt;H243,"Beam Revised","")</f>
        <v>#N/A</v>
      </c>
      <c r="Y243" s="7" t="e">
        <f>IF(VLOOKUP($A243,'Concrete Beam Schedule'!$A$2:$Q$2902,Y$2,0)&lt;&gt;I243,"Beam Revised","")</f>
        <v>#N/A</v>
      </c>
      <c r="Z243" s="7" t="e">
        <f>IF(VLOOKUP($A243,'Concrete Beam Schedule'!$A$2:$Q$2902,Z$2,0)&lt;&gt;J243,"Beam Revised","")</f>
        <v>#N/A</v>
      </c>
      <c r="AA243" s="7" t="e">
        <f>IF(VLOOKUP($A243,'Concrete Beam Schedule'!$A$2:$Q$2902,AA$2,0)&lt;&gt;K243,"Beam Revised","")</f>
        <v>#N/A</v>
      </c>
      <c r="AB243" s="7" t="e">
        <f>IF(VLOOKUP($A243,'Concrete Beam Schedule'!$A$2:$Q$2902,AB$2,0)&lt;&gt;L243,"Beam Revised","")</f>
        <v>#N/A</v>
      </c>
      <c r="AC243" s="7" t="e">
        <f>IF(VLOOKUP($A243,'Concrete Beam Schedule'!$A$2:$Q$2902,AC$2,0)&lt;&gt;M243,"Beam Revised","")</f>
        <v>#N/A</v>
      </c>
      <c r="AD243" s="7" t="e">
        <f>IF(VLOOKUP($A243,'Concrete Beam Schedule'!$A$2:$Q$2902,AD$2,0)&lt;&gt;N243,"Beam Revised","")</f>
        <v>#N/A</v>
      </c>
      <c r="AE243" s="7" t="e">
        <f>IF(VLOOKUP($A243,'Concrete Beam Schedule'!$A$2:$Q$2902,AE$2,0)&lt;&gt;O243,"Beam Revised","")</f>
        <v>#N/A</v>
      </c>
    </row>
    <row r="244" spans="1:31" ht="25.5" customHeight="1" x14ac:dyDescent="0.25">
      <c r="A244" s="17"/>
      <c r="B244" s="17"/>
      <c r="C244" s="17"/>
      <c r="D244" s="17"/>
      <c r="E244" s="17"/>
      <c r="F244" s="17"/>
      <c r="G244" s="17"/>
      <c r="H244" s="17"/>
      <c r="I244" s="17"/>
      <c r="J244" s="17"/>
      <c r="K244" s="17"/>
      <c r="L244" s="17"/>
      <c r="M244" s="17"/>
      <c r="N244" s="17"/>
      <c r="O244" s="17"/>
      <c r="Q244" s="7">
        <f t="shared" si="3"/>
        <v>0</v>
      </c>
      <c r="R244" s="7" t="e">
        <f>IF(VLOOKUP($A244,'Concrete Beam Schedule'!$A$2:$Q$2902,R$2,0)&lt;&gt;B244,VLOOKUP($A244,'Concrete Beam Schedule'!$A$2:$Q$2902,R$2,0),"")</f>
        <v>#N/A</v>
      </c>
      <c r="S244" s="7" t="e">
        <f>IF(VLOOKUP($A244,'Concrete Beam Schedule'!$A$2:$Q$2902,S$2,0)&lt;&gt;C244,VLOOKUP($A244,'Concrete Beam Schedule'!$A$2:$Q$2902,S$2,0),"")</f>
        <v>#N/A</v>
      </c>
      <c r="T244" s="7" t="e">
        <f>IF(VLOOKUP($A244,'Concrete Beam Schedule'!$A$2:$Q$2902,T$2,0)&lt;&gt;D244,"Beam Revised","")</f>
        <v>#N/A</v>
      </c>
      <c r="U244" s="7" t="e">
        <f>IF(VLOOKUP($A244,'Concrete Beam Schedule'!$A$2:$Q$2902,U$2,0)&lt;&gt;E244,"Beam Revised","")</f>
        <v>#N/A</v>
      </c>
      <c r="V244" s="7" t="e">
        <f>IF(VLOOKUP($A244,'Concrete Beam Schedule'!$A$2:$Q$2902,V$2,0)&lt;&gt;F244,"Beam Revised","")</f>
        <v>#N/A</v>
      </c>
      <c r="W244" s="7" t="e">
        <f>IF(VLOOKUP($A244,'Concrete Beam Schedule'!$A$2:$Q$2902,W$2,0)&lt;&gt;G244,"Beam Revised","")</f>
        <v>#N/A</v>
      </c>
      <c r="X244" s="7" t="e">
        <f>IF(VLOOKUP($A244,'Concrete Beam Schedule'!$A$2:$Q$2902,X$2,0)&lt;&gt;H244,"Beam Revised","")</f>
        <v>#N/A</v>
      </c>
      <c r="Y244" s="7" t="e">
        <f>IF(VLOOKUP($A244,'Concrete Beam Schedule'!$A$2:$Q$2902,Y$2,0)&lt;&gt;I244,"Beam Revised","")</f>
        <v>#N/A</v>
      </c>
      <c r="Z244" s="7" t="e">
        <f>IF(VLOOKUP($A244,'Concrete Beam Schedule'!$A$2:$Q$2902,Z$2,0)&lt;&gt;J244,"Beam Revised","")</f>
        <v>#N/A</v>
      </c>
      <c r="AA244" s="7" t="e">
        <f>IF(VLOOKUP($A244,'Concrete Beam Schedule'!$A$2:$Q$2902,AA$2,0)&lt;&gt;K244,"Beam Revised","")</f>
        <v>#N/A</v>
      </c>
      <c r="AB244" s="7" t="e">
        <f>IF(VLOOKUP($A244,'Concrete Beam Schedule'!$A$2:$Q$2902,AB$2,0)&lt;&gt;L244,"Beam Revised","")</f>
        <v>#N/A</v>
      </c>
      <c r="AC244" s="7" t="e">
        <f>IF(VLOOKUP($A244,'Concrete Beam Schedule'!$A$2:$Q$2902,AC$2,0)&lt;&gt;M244,"Beam Revised","")</f>
        <v>#N/A</v>
      </c>
      <c r="AD244" s="7" t="e">
        <f>IF(VLOOKUP($A244,'Concrete Beam Schedule'!$A$2:$Q$2902,AD$2,0)&lt;&gt;N244,"Beam Revised","")</f>
        <v>#N/A</v>
      </c>
      <c r="AE244" s="7" t="e">
        <f>IF(VLOOKUP($A244,'Concrete Beam Schedule'!$A$2:$Q$2902,AE$2,0)&lt;&gt;O244,"Beam Revised","")</f>
        <v>#N/A</v>
      </c>
    </row>
    <row r="245" spans="1:31" ht="25.5" customHeight="1" x14ac:dyDescent="0.25">
      <c r="A245" s="17"/>
      <c r="B245" s="17"/>
      <c r="C245" s="17"/>
      <c r="D245" s="17"/>
      <c r="E245" s="17"/>
      <c r="F245" s="17"/>
      <c r="G245" s="17"/>
      <c r="H245" s="17"/>
      <c r="I245" s="17"/>
      <c r="J245" s="17"/>
      <c r="K245" s="17"/>
      <c r="L245" s="17"/>
      <c r="M245" s="17"/>
      <c r="N245" s="17"/>
      <c r="O245" s="17"/>
      <c r="Q245" s="7">
        <f t="shared" si="3"/>
        <v>0</v>
      </c>
      <c r="R245" s="7" t="e">
        <f>IF(VLOOKUP($A245,'Concrete Beam Schedule'!$A$2:$Q$2902,R$2,0)&lt;&gt;B245,VLOOKUP($A245,'Concrete Beam Schedule'!$A$2:$Q$2902,R$2,0),"")</f>
        <v>#N/A</v>
      </c>
      <c r="S245" s="7" t="e">
        <f>IF(VLOOKUP($A245,'Concrete Beam Schedule'!$A$2:$Q$2902,S$2,0)&lt;&gt;C245,VLOOKUP($A245,'Concrete Beam Schedule'!$A$2:$Q$2902,S$2,0),"")</f>
        <v>#N/A</v>
      </c>
      <c r="T245" s="7" t="e">
        <f>IF(VLOOKUP($A245,'Concrete Beam Schedule'!$A$2:$Q$2902,T$2,0)&lt;&gt;D245,"Beam Revised","")</f>
        <v>#N/A</v>
      </c>
      <c r="U245" s="7" t="e">
        <f>IF(VLOOKUP($A245,'Concrete Beam Schedule'!$A$2:$Q$2902,U$2,0)&lt;&gt;E245,"Beam Revised","")</f>
        <v>#N/A</v>
      </c>
      <c r="V245" s="7" t="e">
        <f>IF(VLOOKUP($A245,'Concrete Beam Schedule'!$A$2:$Q$2902,V$2,0)&lt;&gt;F245,"Beam Revised","")</f>
        <v>#N/A</v>
      </c>
      <c r="W245" s="7" t="e">
        <f>IF(VLOOKUP($A245,'Concrete Beam Schedule'!$A$2:$Q$2902,W$2,0)&lt;&gt;G245,"Beam Revised","")</f>
        <v>#N/A</v>
      </c>
      <c r="X245" s="7" t="e">
        <f>IF(VLOOKUP($A245,'Concrete Beam Schedule'!$A$2:$Q$2902,X$2,0)&lt;&gt;H245,"Beam Revised","")</f>
        <v>#N/A</v>
      </c>
      <c r="Y245" s="7" t="e">
        <f>IF(VLOOKUP($A245,'Concrete Beam Schedule'!$A$2:$Q$2902,Y$2,0)&lt;&gt;I245,"Beam Revised","")</f>
        <v>#N/A</v>
      </c>
      <c r="Z245" s="7" t="e">
        <f>IF(VLOOKUP($A245,'Concrete Beam Schedule'!$A$2:$Q$2902,Z$2,0)&lt;&gt;J245,"Beam Revised","")</f>
        <v>#N/A</v>
      </c>
      <c r="AA245" s="7" t="e">
        <f>IF(VLOOKUP($A245,'Concrete Beam Schedule'!$A$2:$Q$2902,AA$2,0)&lt;&gt;K245,"Beam Revised","")</f>
        <v>#N/A</v>
      </c>
      <c r="AB245" s="7" t="e">
        <f>IF(VLOOKUP($A245,'Concrete Beam Schedule'!$A$2:$Q$2902,AB$2,0)&lt;&gt;L245,"Beam Revised","")</f>
        <v>#N/A</v>
      </c>
      <c r="AC245" s="7" t="e">
        <f>IF(VLOOKUP($A245,'Concrete Beam Schedule'!$A$2:$Q$2902,AC$2,0)&lt;&gt;M245,"Beam Revised","")</f>
        <v>#N/A</v>
      </c>
      <c r="AD245" s="7" t="e">
        <f>IF(VLOOKUP($A245,'Concrete Beam Schedule'!$A$2:$Q$2902,AD$2,0)&lt;&gt;N245,"Beam Revised","")</f>
        <v>#N/A</v>
      </c>
      <c r="AE245" s="7" t="e">
        <f>IF(VLOOKUP($A245,'Concrete Beam Schedule'!$A$2:$Q$2902,AE$2,0)&lt;&gt;O245,"Beam Revised","")</f>
        <v>#N/A</v>
      </c>
    </row>
    <row r="246" spans="1:31" ht="25.5" customHeight="1" x14ac:dyDescent="0.25">
      <c r="A246" s="17"/>
      <c r="B246" s="17"/>
      <c r="C246" s="17"/>
      <c r="D246" s="17"/>
      <c r="E246" s="17"/>
      <c r="F246" s="17"/>
      <c r="G246" s="17"/>
      <c r="H246" s="17"/>
      <c r="I246" s="17"/>
      <c r="J246" s="17"/>
      <c r="K246" s="17"/>
      <c r="L246" s="17"/>
      <c r="M246" s="17"/>
      <c r="N246" s="17"/>
      <c r="O246" s="17"/>
      <c r="Q246" s="7">
        <f t="shared" si="3"/>
        <v>0</v>
      </c>
      <c r="R246" s="7" t="e">
        <f>IF(VLOOKUP($A246,'Concrete Beam Schedule'!$A$2:$Q$2902,R$2,0)&lt;&gt;B246,VLOOKUP($A246,'Concrete Beam Schedule'!$A$2:$Q$2902,R$2,0),"")</f>
        <v>#N/A</v>
      </c>
      <c r="S246" s="7" t="e">
        <f>IF(VLOOKUP($A246,'Concrete Beam Schedule'!$A$2:$Q$2902,S$2,0)&lt;&gt;C246,VLOOKUP($A246,'Concrete Beam Schedule'!$A$2:$Q$2902,S$2,0),"")</f>
        <v>#N/A</v>
      </c>
      <c r="T246" s="7" t="e">
        <f>IF(VLOOKUP($A246,'Concrete Beam Schedule'!$A$2:$Q$2902,T$2,0)&lt;&gt;D246,"Beam Revised","")</f>
        <v>#N/A</v>
      </c>
      <c r="U246" s="7" t="e">
        <f>IF(VLOOKUP($A246,'Concrete Beam Schedule'!$A$2:$Q$2902,U$2,0)&lt;&gt;E246,"Beam Revised","")</f>
        <v>#N/A</v>
      </c>
      <c r="V246" s="7" t="e">
        <f>IF(VLOOKUP($A246,'Concrete Beam Schedule'!$A$2:$Q$2902,V$2,0)&lt;&gt;F246,"Beam Revised","")</f>
        <v>#N/A</v>
      </c>
      <c r="W246" s="7" t="e">
        <f>IF(VLOOKUP($A246,'Concrete Beam Schedule'!$A$2:$Q$2902,W$2,0)&lt;&gt;G246,"Beam Revised","")</f>
        <v>#N/A</v>
      </c>
      <c r="X246" s="7" t="e">
        <f>IF(VLOOKUP($A246,'Concrete Beam Schedule'!$A$2:$Q$2902,X$2,0)&lt;&gt;H246,"Beam Revised","")</f>
        <v>#N/A</v>
      </c>
      <c r="Y246" s="7" t="e">
        <f>IF(VLOOKUP($A246,'Concrete Beam Schedule'!$A$2:$Q$2902,Y$2,0)&lt;&gt;I246,"Beam Revised","")</f>
        <v>#N/A</v>
      </c>
      <c r="Z246" s="7" t="e">
        <f>IF(VLOOKUP($A246,'Concrete Beam Schedule'!$A$2:$Q$2902,Z$2,0)&lt;&gt;J246,"Beam Revised","")</f>
        <v>#N/A</v>
      </c>
      <c r="AA246" s="7" t="e">
        <f>IF(VLOOKUP($A246,'Concrete Beam Schedule'!$A$2:$Q$2902,AA$2,0)&lt;&gt;K246,"Beam Revised","")</f>
        <v>#N/A</v>
      </c>
      <c r="AB246" s="7" t="e">
        <f>IF(VLOOKUP($A246,'Concrete Beam Schedule'!$A$2:$Q$2902,AB$2,0)&lt;&gt;L246,"Beam Revised","")</f>
        <v>#N/A</v>
      </c>
      <c r="AC246" s="7" t="e">
        <f>IF(VLOOKUP($A246,'Concrete Beam Schedule'!$A$2:$Q$2902,AC$2,0)&lt;&gt;M246,"Beam Revised","")</f>
        <v>#N/A</v>
      </c>
      <c r="AD246" s="7" t="e">
        <f>IF(VLOOKUP($A246,'Concrete Beam Schedule'!$A$2:$Q$2902,AD$2,0)&lt;&gt;N246,"Beam Revised","")</f>
        <v>#N/A</v>
      </c>
      <c r="AE246" s="7" t="e">
        <f>IF(VLOOKUP($A246,'Concrete Beam Schedule'!$A$2:$Q$2902,AE$2,0)&lt;&gt;O246,"Beam Revised","")</f>
        <v>#N/A</v>
      </c>
    </row>
    <row r="247" spans="1:31" ht="25.5" customHeight="1" x14ac:dyDescent="0.25">
      <c r="A247" s="17"/>
      <c r="B247" s="17"/>
      <c r="C247" s="17"/>
      <c r="D247" s="17"/>
      <c r="E247" s="17"/>
      <c r="F247" s="17"/>
      <c r="G247" s="17"/>
      <c r="H247" s="17"/>
      <c r="I247" s="17"/>
      <c r="J247" s="17"/>
      <c r="K247" s="17"/>
      <c r="L247" s="17"/>
      <c r="M247" s="17"/>
      <c r="N247" s="17"/>
      <c r="O247" s="17"/>
      <c r="Q247" s="7">
        <f t="shared" si="3"/>
        <v>0</v>
      </c>
      <c r="R247" s="7" t="e">
        <f>IF(VLOOKUP($A247,'Concrete Beam Schedule'!$A$2:$Q$2902,R$2,0)&lt;&gt;B247,VLOOKUP($A247,'Concrete Beam Schedule'!$A$2:$Q$2902,R$2,0),"")</f>
        <v>#N/A</v>
      </c>
      <c r="S247" s="7" t="e">
        <f>IF(VLOOKUP($A247,'Concrete Beam Schedule'!$A$2:$Q$2902,S$2,0)&lt;&gt;C247,VLOOKUP($A247,'Concrete Beam Schedule'!$A$2:$Q$2902,S$2,0),"")</f>
        <v>#N/A</v>
      </c>
      <c r="T247" s="7" t="e">
        <f>IF(VLOOKUP($A247,'Concrete Beam Schedule'!$A$2:$Q$2902,T$2,0)&lt;&gt;D247,"Beam Revised","")</f>
        <v>#N/A</v>
      </c>
      <c r="U247" s="7" t="e">
        <f>IF(VLOOKUP($A247,'Concrete Beam Schedule'!$A$2:$Q$2902,U$2,0)&lt;&gt;E247,"Beam Revised","")</f>
        <v>#N/A</v>
      </c>
      <c r="V247" s="7" t="e">
        <f>IF(VLOOKUP($A247,'Concrete Beam Schedule'!$A$2:$Q$2902,V$2,0)&lt;&gt;F247,"Beam Revised","")</f>
        <v>#N/A</v>
      </c>
      <c r="W247" s="7" t="e">
        <f>IF(VLOOKUP($A247,'Concrete Beam Schedule'!$A$2:$Q$2902,W$2,0)&lt;&gt;G247,"Beam Revised","")</f>
        <v>#N/A</v>
      </c>
      <c r="X247" s="7" t="e">
        <f>IF(VLOOKUP($A247,'Concrete Beam Schedule'!$A$2:$Q$2902,X$2,0)&lt;&gt;H247,"Beam Revised","")</f>
        <v>#N/A</v>
      </c>
      <c r="Y247" s="7" t="e">
        <f>IF(VLOOKUP($A247,'Concrete Beam Schedule'!$A$2:$Q$2902,Y$2,0)&lt;&gt;I247,"Beam Revised","")</f>
        <v>#N/A</v>
      </c>
      <c r="Z247" s="7" t="e">
        <f>IF(VLOOKUP($A247,'Concrete Beam Schedule'!$A$2:$Q$2902,Z$2,0)&lt;&gt;J247,"Beam Revised","")</f>
        <v>#N/A</v>
      </c>
      <c r="AA247" s="7" t="e">
        <f>IF(VLOOKUP($A247,'Concrete Beam Schedule'!$A$2:$Q$2902,AA$2,0)&lt;&gt;K247,"Beam Revised","")</f>
        <v>#N/A</v>
      </c>
      <c r="AB247" s="7" t="e">
        <f>IF(VLOOKUP($A247,'Concrete Beam Schedule'!$A$2:$Q$2902,AB$2,0)&lt;&gt;L247,"Beam Revised","")</f>
        <v>#N/A</v>
      </c>
      <c r="AC247" s="7" t="e">
        <f>IF(VLOOKUP($A247,'Concrete Beam Schedule'!$A$2:$Q$2902,AC$2,0)&lt;&gt;M247,"Beam Revised","")</f>
        <v>#N/A</v>
      </c>
      <c r="AD247" s="7" t="e">
        <f>IF(VLOOKUP($A247,'Concrete Beam Schedule'!$A$2:$Q$2902,AD$2,0)&lt;&gt;N247,"Beam Revised","")</f>
        <v>#N/A</v>
      </c>
      <c r="AE247" s="7" t="e">
        <f>IF(VLOOKUP($A247,'Concrete Beam Schedule'!$A$2:$Q$2902,AE$2,0)&lt;&gt;O247,"Beam Revised","")</f>
        <v>#N/A</v>
      </c>
    </row>
    <row r="248" spans="1:31" ht="25.5" customHeight="1" x14ac:dyDescent="0.25">
      <c r="A248" s="17"/>
      <c r="B248" s="17"/>
      <c r="C248" s="17"/>
      <c r="D248" s="17"/>
      <c r="E248" s="17"/>
      <c r="F248" s="17"/>
      <c r="G248" s="17"/>
      <c r="H248" s="17"/>
      <c r="I248" s="17"/>
      <c r="J248" s="17"/>
      <c r="K248" s="17"/>
      <c r="L248" s="17"/>
      <c r="M248" s="17"/>
      <c r="N248" s="17"/>
      <c r="O248" s="17"/>
      <c r="Q248" s="7">
        <f t="shared" si="3"/>
        <v>0</v>
      </c>
      <c r="R248" s="7" t="e">
        <f>IF(VLOOKUP($A248,'Concrete Beam Schedule'!$A$2:$Q$2902,R$2,0)&lt;&gt;B248,VLOOKUP($A248,'Concrete Beam Schedule'!$A$2:$Q$2902,R$2,0),"")</f>
        <v>#N/A</v>
      </c>
      <c r="S248" s="7" t="e">
        <f>IF(VLOOKUP($A248,'Concrete Beam Schedule'!$A$2:$Q$2902,S$2,0)&lt;&gt;C248,VLOOKUP($A248,'Concrete Beam Schedule'!$A$2:$Q$2902,S$2,0),"")</f>
        <v>#N/A</v>
      </c>
      <c r="T248" s="7" t="e">
        <f>IF(VLOOKUP($A248,'Concrete Beam Schedule'!$A$2:$Q$2902,T$2,0)&lt;&gt;D248,"Beam Revised","")</f>
        <v>#N/A</v>
      </c>
      <c r="U248" s="7" t="e">
        <f>IF(VLOOKUP($A248,'Concrete Beam Schedule'!$A$2:$Q$2902,U$2,0)&lt;&gt;E248,"Beam Revised","")</f>
        <v>#N/A</v>
      </c>
      <c r="V248" s="7" t="e">
        <f>IF(VLOOKUP($A248,'Concrete Beam Schedule'!$A$2:$Q$2902,V$2,0)&lt;&gt;F248,"Beam Revised","")</f>
        <v>#N/A</v>
      </c>
      <c r="W248" s="7" t="e">
        <f>IF(VLOOKUP($A248,'Concrete Beam Schedule'!$A$2:$Q$2902,W$2,0)&lt;&gt;G248,"Beam Revised","")</f>
        <v>#N/A</v>
      </c>
      <c r="X248" s="7" t="e">
        <f>IF(VLOOKUP($A248,'Concrete Beam Schedule'!$A$2:$Q$2902,X$2,0)&lt;&gt;H248,"Beam Revised","")</f>
        <v>#N/A</v>
      </c>
      <c r="Y248" s="7" t="e">
        <f>IF(VLOOKUP($A248,'Concrete Beam Schedule'!$A$2:$Q$2902,Y$2,0)&lt;&gt;I248,"Beam Revised","")</f>
        <v>#N/A</v>
      </c>
      <c r="Z248" s="7" t="e">
        <f>IF(VLOOKUP($A248,'Concrete Beam Schedule'!$A$2:$Q$2902,Z$2,0)&lt;&gt;J248,"Beam Revised","")</f>
        <v>#N/A</v>
      </c>
      <c r="AA248" s="7" t="e">
        <f>IF(VLOOKUP($A248,'Concrete Beam Schedule'!$A$2:$Q$2902,AA$2,0)&lt;&gt;K248,"Beam Revised","")</f>
        <v>#N/A</v>
      </c>
      <c r="AB248" s="7" t="e">
        <f>IF(VLOOKUP($A248,'Concrete Beam Schedule'!$A$2:$Q$2902,AB$2,0)&lt;&gt;L248,"Beam Revised","")</f>
        <v>#N/A</v>
      </c>
      <c r="AC248" s="7" t="e">
        <f>IF(VLOOKUP($A248,'Concrete Beam Schedule'!$A$2:$Q$2902,AC$2,0)&lt;&gt;M248,"Beam Revised","")</f>
        <v>#N/A</v>
      </c>
      <c r="AD248" s="7" t="e">
        <f>IF(VLOOKUP($A248,'Concrete Beam Schedule'!$A$2:$Q$2902,AD$2,0)&lt;&gt;N248,"Beam Revised","")</f>
        <v>#N/A</v>
      </c>
      <c r="AE248" s="7" t="e">
        <f>IF(VLOOKUP($A248,'Concrete Beam Schedule'!$A$2:$Q$2902,AE$2,0)&lt;&gt;O248,"Beam Revised","")</f>
        <v>#N/A</v>
      </c>
    </row>
    <row r="249" spans="1:31" ht="25.5" customHeight="1" x14ac:dyDescent="0.25">
      <c r="A249" s="17"/>
      <c r="B249" s="17"/>
      <c r="C249" s="17"/>
      <c r="D249" s="17"/>
      <c r="E249" s="17"/>
      <c r="F249" s="17"/>
      <c r="G249" s="17"/>
      <c r="H249" s="17"/>
      <c r="I249" s="17"/>
      <c r="J249" s="17"/>
      <c r="K249" s="17"/>
      <c r="L249" s="17"/>
      <c r="M249" s="17"/>
      <c r="N249" s="17"/>
      <c r="O249" s="17"/>
      <c r="Q249" s="7">
        <f t="shared" si="3"/>
        <v>0</v>
      </c>
      <c r="R249" s="7" t="e">
        <f>IF(VLOOKUP($A249,'Concrete Beam Schedule'!$A$2:$Q$2902,R$2,0)&lt;&gt;B249,VLOOKUP($A249,'Concrete Beam Schedule'!$A$2:$Q$2902,R$2,0),"")</f>
        <v>#N/A</v>
      </c>
      <c r="S249" s="7" t="e">
        <f>IF(VLOOKUP($A249,'Concrete Beam Schedule'!$A$2:$Q$2902,S$2,0)&lt;&gt;C249,VLOOKUP($A249,'Concrete Beam Schedule'!$A$2:$Q$2902,S$2,0),"")</f>
        <v>#N/A</v>
      </c>
      <c r="T249" s="7" t="e">
        <f>IF(VLOOKUP($A249,'Concrete Beam Schedule'!$A$2:$Q$2902,T$2,0)&lt;&gt;D249,"Beam Revised","")</f>
        <v>#N/A</v>
      </c>
      <c r="U249" s="7" t="e">
        <f>IF(VLOOKUP($A249,'Concrete Beam Schedule'!$A$2:$Q$2902,U$2,0)&lt;&gt;E249,"Beam Revised","")</f>
        <v>#N/A</v>
      </c>
      <c r="V249" s="7" t="e">
        <f>IF(VLOOKUP($A249,'Concrete Beam Schedule'!$A$2:$Q$2902,V$2,0)&lt;&gt;F249,"Beam Revised","")</f>
        <v>#N/A</v>
      </c>
      <c r="W249" s="7" t="e">
        <f>IF(VLOOKUP($A249,'Concrete Beam Schedule'!$A$2:$Q$2902,W$2,0)&lt;&gt;G249,"Beam Revised","")</f>
        <v>#N/A</v>
      </c>
      <c r="X249" s="7" t="e">
        <f>IF(VLOOKUP($A249,'Concrete Beam Schedule'!$A$2:$Q$2902,X$2,0)&lt;&gt;H249,"Beam Revised","")</f>
        <v>#N/A</v>
      </c>
      <c r="Y249" s="7" t="e">
        <f>IF(VLOOKUP($A249,'Concrete Beam Schedule'!$A$2:$Q$2902,Y$2,0)&lt;&gt;I249,"Beam Revised","")</f>
        <v>#N/A</v>
      </c>
      <c r="Z249" s="7" t="e">
        <f>IF(VLOOKUP($A249,'Concrete Beam Schedule'!$A$2:$Q$2902,Z$2,0)&lt;&gt;J249,"Beam Revised","")</f>
        <v>#N/A</v>
      </c>
      <c r="AA249" s="7" t="e">
        <f>IF(VLOOKUP($A249,'Concrete Beam Schedule'!$A$2:$Q$2902,AA$2,0)&lt;&gt;K249,"Beam Revised","")</f>
        <v>#N/A</v>
      </c>
      <c r="AB249" s="7" t="e">
        <f>IF(VLOOKUP($A249,'Concrete Beam Schedule'!$A$2:$Q$2902,AB$2,0)&lt;&gt;L249,"Beam Revised","")</f>
        <v>#N/A</v>
      </c>
      <c r="AC249" s="7" t="e">
        <f>IF(VLOOKUP($A249,'Concrete Beam Schedule'!$A$2:$Q$2902,AC$2,0)&lt;&gt;M249,"Beam Revised","")</f>
        <v>#N/A</v>
      </c>
      <c r="AD249" s="7" t="e">
        <f>IF(VLOOKUP($A249,'Concrete Beam Schedule'!$A$2:$Q$2902,AD$2,0)&lt;&gt;N249,"Beam Revised","")</f>
        <v>#N/A</v>
      </c>
      <c r="AE249" s="7" t="e">
        <f>IF(VLOOKUP($A249,'Concrete Beam Schedule'!$A$2:$Q$2902,AE$2,0)&lt;&gt;O249,"Beam Revised","")</f>
        <v>#N/A</v>
      </c>
    </row>
    <row r="250" spans="1:31" ht="25.5" customHeight="1" x14ac:dyDescent="0.25">
      <c r="A250" s="17"/>
      <c r="B250" s="17"/>
      <c r="C250" s="17"/>
      <c r="D250" s="17"/>
      <c r="E250" s="17"/>
      <c r="F250" s="17"/>
      <c r="G250" s="17"/>
      <c r="H250" s="17"/>
      <c r="I250" s="17"/>
      <c r="J250" s="17"/>
      <c r="K250" s="17"/>
      <c r="L250" s="17"/>
      <c r="M250" s="17"/>
      <c r="N250" s="17"/>
      <c r="O250" s="17"/>
      <c r="Q250" s="7">
        <f t="shared" si="3"/>
        <v>0</v>
      </c>
      <c r="R250" s="7" t="e">
        <f>IF(VLOOKUP($A250,'Concrete Beam Schedule'!$A$2:$Q$2902,R$2,0)&lt;&gt;B250,VLOOKUP($A250,'Concrete Beam Schedule'!$A$2:$Q$2902,R$2,0),"")</f>
        <v>#N/A</v>
      </c>
      <c r="S250" s="7" t="e">
        <f>IF(VLOOKUP($A250,'Concrete Beam Schedule'!$A$2:$Q$2902,S$2,0)&lt;&gt;C250,VLOOKUP($A250,'Concrete Beam Schedule'!$A$2:$Q$2902,S$2,0),"")</f>
        <v>#N/A</v>
      </c>
      <c r="T250" s="7" t="e">
        <f>IF(VLOOKUP($A250,'Concrete Beam Schedule'!$A$2:$Q$2902,T$2,0)&lt;&gt;D250,"Beam Revised","")</f>
        <v>#N/A</v>
      </c>
      <c r="U250" s="7" t="e">
        <f>IF(VLOOKUP($A250,'Concrete Beam Schedule'!$A$2:$Q$2902,U$2,0)&lt;&gt;E250,"Beam Revised","")</f>
        <v>#N/A</v>
      </c>
      <c r="V250" s="7" t="e">
        <f>IF(VLOOKUP($A250,'Concrete Beam Schedule'!$A$2:$Q$2902,V$2,0)&lt;&gt;F250,"Beam Revised","")</f>
        <v>#N/A</v>
      </c>
      <c r="W250" s="7" t="e">
        <f>IF(VLOOKUP($A250,'Concrete Beam Schedule'!$A$2:$Q$2902,W$2,0)&lt;&gt;G250,"Beam Revised","")</f>
        <v>#N/A</v>
      </c>
      <c r="X250" s="7" t="e">
        <f>IF(VLOOKUP($A250,'Concrete Beam Schedule'!$A$2:$Q$2902,X$2,0)&lt;&gt;H250,"Beam Revised","")</f>
        <v>#N/A</v>
      </c>
      <c r="Y250" s="7" t="e">
        <f>IF(VLOOKUP($A250,'Concrete Beam Schedule'!$A$2:$Q$2902,Y$2,0)&lt;&gt;I250,"Beam Revised","")</f>
        <v>#N/A</v>
      </c>
      <c r="Z250" s="7" t="e">
        <f>IF(VLOOKUP($A250,'Concrete Beam Schedule'!$A$2:$Q$2902,Z$2,0)&lt;&gt;J250,"Beam Revised","")</f>
        <v>#N/A</v>
      </c>
      <c r="AA250" s="7" t="e">
        <f>IF(VLOOKUP($A250,'Concrete Beam Schedule'!$A$2:$Q$2902,AA$2,0)&lt;&gt;K250,"Beam Revised","")</f>
        <v>#N/A</v>
      </c>
      <c r="AB250" s="7" t="e">
        <f>IF(VLOOKUP($A250,'Concrete Beam Schedule'!$A$2:$Q$2902,AB$2,0)&lt;&gt;L250,"Beam Revised","")</f>
        <v>#N/A</v>
      </c>
      <c r="AC250" s="7" t="e">
        <f>IF(VLOOKUP($A250,'Concrete Beam Schedule'!$A$2:$Q$2902,AC$2,0)&lt;&gt;M250,"Beam Revised","")</f>
        <v>#N/A</v>
      </c>
      <c r="AD250" s="7" t="e">
        <f>IF(VLOOKUP($A250,'Concrete Beam Schedule'!$A$2:$Q$2902,AD$2,0)&lt;&gt;N250,"Beam Revised","")</f>
        <v>#N/A</v>
      </c>
      <c r="AE250" s="7" t="e">
        <f>IF(VLOOKUP($A250,'Concrete Beam Schedule'!$A$2:$Q$2902,AE$2,0)&lt;&gt;O250,"Beam Revised","")</f>
        <v>#N/A</v>
      </c>
    </row>
    <row r="251" spans="1:31" ht="25.5" customHeight="1" x14ac:dyDescent="0.25">
      <c r="A251" s="17"/>
      <c r="B251" s="17"/>
      <c r="C251" s="17"/>
      <c r="D251" s="17"/>
      <c r="E251" s="17"/>
      <c r="F251" s="17"/>
      <c r="G251" s="17"/>
      <c r="H251" s="17"/>
      <c r="I251" s="17"/>
      <c r="J251" s="17"/>
      <c r="K251" s="17"/>
      <c r="L251" s="17"/>
      <c r="M251" s="17"/>
      <c r="N251" s="17"/>
      <c r="O251" s="17"/>
      <c r="Q251" s="7">
        <f t="shared" si="3"/>
        <v>0</v>
      </c>
      <c r="R251" s="7" t="e">
        <f>IF(VLOOKUP($A251,'Concrete Beam Schedule'!$A$2:$Q$2902,R$2,0)&lt;&gt;B251,VLOOKUP($A251,'Concrete Beam Schedule'!$A$2:$Q$2902,R$2,0),"")</f>
        <v>#N/A</v>
      </c>
      <c r="S251" s="7" t="e">
        <f>IF(VLOOKUP($A251,'Concrete Beam Schedule'!$A$2:$Q$2902,S$2,0)&lt;&gt;C251,VLOOKUP($A251,'Concrete Beam Schedule'!$A$2:$Q$2902,S$2,0),"")</f>
        <v>#N/A</v>
      </c>
      <c r="T251" s="7" t="e">
        <f>IF(VLOOKUP($A251,'Concrete Beam Schedule'!$A$2:$Q$2902,T$2,0)&lt;&gt;D251,"Beam Revised","")</f>
        <v>#N/A</v>
      </c>
      <c r="U251" s="7" t="e">
        <f>IF(VLOOKUP($A251,'Concrete Beam Schedule'!$A$2:$Q$2902,U$2,0)&lt;&gt;E251,"Beam Revised","")</f>
        <v>#N/A</v>
      </c>
      <c r="V251" s="7" t="e">
        <f>IF(VLOOKUP($A251,'Concrete Beam Schedule'!$A$2:$Q$2902,V$2,0)&lt;&gt;F251,"Beam Revised","")</f>
        <v>#N/A</v>
      </c>
      <c r="W251" s="7" t="e">
        <f>IF(VLOOKUP($A251,'Concrete Beam Schedule'!$A$2:$Q$2902,W$2,0)&lt;&gt;G251,"Beam Revised","")</f>
        <v>#N/A</v>
      </c>
      <c r="X251" s="7" t="e">
        <f>IF(VLOOKUP($A251,'Concrete Beam Schedule'!$A$2:$Q$2902,X$2,0)&lt;&gt;H251,"Beam Revised","")</f>
        <v>#N/A</v>
      </c>
      <c r="Y251" s="7" t="e">
        <f>IF(VLOOKUP($A251,'Concrete Beam Schedule'!$A$2:$Q$2902,Y$2,0)&lt;&gt;I251,"Beam Revised","")</f>
        <v>#N/A</v>
      </c>
      <c r="Z251" s="7" t="e">
        <f>IF(VLOOKUP($A251,'Concrete Beam Schedule'!$A$2:$Q$2902,Z$2,0)&lt;&gt;J251,"Beam Revised","")</f>
        <v>#N/A</v>
      </c>
      <c r="AA251" s="7" t="e">
        <f>IF(VLOOKUP($A251,'Concrete Beam Schedule'!$A$2:$Q$2902,AA$2,0)&lt;&gt;K251,"Beam Revised","")</f>
        <v>#N/A</v>
      </c>
      <c r="AB251" s="7" t="e">
        <f>IF(VLOOKUP($A251,'Concrete Beam Schedule'!$A$2:$Q$2902,AB$2,0)&lt;&gt;L251,"Beam Revised","")</f>
        <v>#N/A</v>
      </c>
      <c r="AC251" s="7" t="e">
        <f>IF(VLOOKUP($A251,'Concrete Beam Schedule'!$A$2:$Q$2902,AC$2,0)&lt;&gt;M251,"Beam Revised","")</f>
        <v>#N/A</v>
      </c>
      <c r="AD251" s="7" t="e">
        <f>IF(VLOOKUP($A251,'Concrete Beam Schedule'!$A$2:$Q$2902,AD$2,0)&lt;&gt;N251,"Beam Revised","")</f>
        <v>#N/A</v>
      </c>
      <c r="AE251" s="7" t="e">
        <f>IF(VLOOKUP($A251,'Concrete Beam Schedule'!$A$2:$Q$2902,AE$2,0)&lt;&gt;O251,"Beam Revised","")</f>
        <v>#N/A</v>
      </c>
    </row>
    <row r="252" spans="1:31" ht="25.5" customHeight="1" x14ac:dyDescent="0.25">
      <c r="A252" s="17"/>
      <c r="B252" s="17"/>
      <c r="C252" s="17"/>
      <c r="D252" s="17"/>
      <c r="E252" s="17"/>
      <c r="F252" s="17"/>
      <c r="G252" s="17"/>
      <c r="H252" s="17"/>
      <c r="I252" s="17"/>
      <c r="J252" s="17"/>
      <c r="K252" s="17"/>
      <c r="L252" s="17"/>
      <c r="M252" s="17"/>
      <c r="N252" s="17"/>
      <c r="O252" s="17"/>
      <c r="Q252" s="7">
        <f t="shared" si="3"/>
        <v>0</v>
      </c>
      <c r="R252" s="7" t="e">
        <f>IF(VLOOKUP($A252,'Concrete Beam Schedule'!$A$2:$Q$2902,R$2,0)&lt;&gt;B252,VLOOKUP($A252,'Concrete Beam Schedule'!$A$2:$Q$2902,R$2,0),"")</f>
        <v>#N/A</v>
      </c>
      <c r="S252" s="7" t="e">
        <f>IF(VLOOKUP($A252,'Concrete Beam Schedule'!$A$2:$Q$2902,S$2,0)&lt;&gt;C252,VLOOKUP($A252,'Concrete Beam Schedule'!$A$2:$Q$2902,S$2,0),"")</f>
        <v>#N/A</v>
      </c>
      <c r="T252" s="7" t="e">
        <f>IF(VLOOKUP($A252,'Concrete Beam Schedule'!$A$2:$Q$2902,T$2,0)&lt;&gt;D252,"Beam Revised","")</f>
        <v>#N/A</v>
      </c>
      <c r="U252" s="7" t="e">
        <f>IF(VLOOKUP($A252,'Concrete Beam Schedule'!$A$2:$Q$2902,U$2,0)&lt;&gt;E252,"Beam Revised","")</f>
        <v>#N/A</v>
      </c>
      <c r="V252" s="7" t="e">
        <f>IF(VLOOKUP($A252,'Concrete Beam Schedule'!$A$2:$Q$2902,V$2,0)&lt;&gt;F252,"Beam Revised","")</f>
        <v>#N/A</v>
      </c>
      <c r="W252" s="7" t="e">
        <f>IF(VLOOKUP($A252,'Concrete Beam Schedule'!$A$2:$Q$2902,W$2,0)&lt;&gt;G252,"Beam Revised","")</f>
        <v>#N/A</v>
      </c>
      <c r="X252" s="7" t="e">
        <f>IF(VLOOKUP($A252,'Concrete Beam Schedule'!$A$2:$Q$2902,X$2,0)&lt;&gt;H252,"Beam Revised","")</f>
        <v>#N/A</v>
      </c>
      <c r="Y252" s="7" t="e">
        <f>IF(VLOOKUP($A252,'Concrete Beam Schedule'!$A$2:$Q$2902,Y$2,0)&lt;&gt;I252,"Beam Revised","")</f>
        <v>#N/A</v>
      </c>
      <c r="Z252" s="7" t="e">
        <f>IF(VLOOKUP($A252,'Concrete Beam Schedule'!$A$2:$Q$2902,Z$2,0)&lt;&gt;J252,"Beam Revised","")</f>
        <v>#N/A</v>
      </c>
      <c r="AA252" s="7" t="e">
        <f>IF(VLOOKUP($A252,'Concrete Beam Schedule'!$A$2:$Q$2902,AA$2,0)&lt;&gt;K252,"Beam Revised","")</f>
        <v>#N/A</v>
      </c>
      <c r="AB252" s="7" t="e">
        <f>IF(VLOOKUP($A252,'Concrete Beam Schedule'!$A$2:$Q$2902,AB$2,0)&lt;&gt;L252,"Beam Revised","")</f>
        <v>#N/A</v>
      </c>
      <c r="AC252" s="7" t="e">
        <f>IF(VLOOKUP($A252,'Concrete Beam Schedule'!$A$2:$Q$2902,AC$2,0)&lt;&gt;M252,"Beam Revised","")</f>
        <v>#N/A</v>
      </c>
      <c r="AD252" s="7" t="e">
        <f>IF(VLOOKUP($A252,'Concrete Beam Schedule'!$A$2:$Q$2902,AD$2,0)&lt;&gt;N252,"Beam Revised","")</f>
        <v>#N/A</v>
      </c>
      <c r="AE252" s="7" t="e">
        <f>IF(VLOOKUP($A252,'Concrete Beam Schedule'!$A$2:$Q$2902,AE$2,0)&lt;&gt;O252,"Beam Revised","")</f>
        <v>#N/A</v>
      </c>
    </row>
    <row r="253" spans="1:31" ht="25.5" customHeight="1" x14ac:dyDescent="0.25">
      <c r="A253" s="17"/>
      <c r="B253" s="17"/>
      <c r="C253" s="17"/>
      <c r="D253" s="17"/>
      <c r="E253" s="17"/>
      <c r="F253" s="17"/>
      <c r="G253" s="17"/>
      <c r="H253" s="17"/>
      <c r="I253" s="17"/>
      <c r="J253" s="17"/>
      <c r="K253" s="17"/>
      <c r="L253" s="17"/>
      <c r="M253" s="17"/>
      <c r="N253" s="17"/>
      <c r="O253" s="17"/>
      <c r="Q253" s="7">
        <f t="shared" si="3"/>
        <v>0</v>
      </c>
      <c r="R253" s="7" t="e">
        <f>IF(VLOOKUP($A253,'Concrete Beam Schedule'!$A$2:$Q$2902,R$2,0)&lt;&gt;B253,VLOOKUP($A253,'Concrete Beam Schedule'!$A$2:$Q$2902,R$2,0),"")</f>
        <v>#N/A</v>
      </c>
      <c r="S253" s="7" t="e">
        <f>IF(VLOOKUP($A253,'Concrete Beam Schedule'!$A$2:$Q$2902,S$2,0)&lt;&gt;C253,VLOOKUP($A253,'Concrete Beam Schedule'!$A$2:$Q$2902,S$2,0),"")</f>
        <v>#N/A</v>
      </c>
      <c r="T253" s="7" t="e">
        <f>IF(VLOOKUP($A253,'Concrete Beam Schedule'!$A$2:$Q$2902,T$2,0)&lt;&gt;D253,"Beam Revised","")</f>
        <v>#N/A</v>
      </c>
      <c r="U253" s="7" t="e">
        <f>IF(VLOOKUP($A253,'Concrete Beam Schedule'!$A$2:$Q$2902,U$2,0)&lt;&gt;E253,"Beam Revised","")</f>
        <v>#N/A</v>
      </c>
      <c r="V253" s="7" t="e">
        <f>IF(VLOOKUP($A253,'Concrete Beam Schedule'!$A$2:$Q$2902,V$2,0)&lt;&gt;F253,"Beam Revised","")</f>
        <v>#N/A</v>
      </c>
      <c r="W253" s="7" t="e">
        <f>IF(VLOOKUP($A253,'Concrete Beam Schedule'!$A$2:$Q$2902,W$2,0)&lt;&gt;G253,"Beam Revised","")</f>
        <v>#N/A</v>
      </c>
      <c r="X253" s="7" t="e">
        <f>IF(VLOOKUP($A253,'Concrete Beam Schedule'!$A$2:$Q$2902,X$2,0)&lt;&gt;H253,"Beam Revised","")</f>
        <v>#N/A</v>
      </c>
      <c r="Y253" s="7" t="e">
        <f>IF(VLOOKUP($A253,'Concrete Beam Schedule'!$A$2:$Q$2902,Y$2,0)&lt;&gt;I253,"Beam Revised","")</f>
        <v>#N/A</v>
      </c>
      <c r="Z253" s="7" t="e">
        <f>IF(VLOOKUP($A253,'Concrete Beam Schedule'!$A$2:$Q$2902,Z$2,0)&lt;&gt;J253,"Beam Revised","")</f>
        <v>#N/A</v>
      </c>
      <c r="AA253" s="7" t="e">
        <f>IF(VLOOKUP($A253,'Concrete Beam Schedule'!$A$2:$Q$2902,AA$2,0)&lt;&gt;K253,"Beam Revised","")</f>
        <v>#N/A</v>
      </c>
      <c r="AB253" s="7" t="e">
        <f>IF(VLOOKUP($A253,'Concrete Beam Schedule'!$A$2:$Q$2902,AB$2,0)&lt;&gt;L253,"Beam Revised","")</f>
        <v>#N/A</v>
      </c>
      <c r="AC253" s="7" t="e">
        <f>IF(VLOOKUP($A253,'Concrete Beam Schedule'!$A$2:$Q$2902,AC$2,0)&lt;&gt;M253,"Beam Revised","")</f>
        <v>#N/A</v>
      </c>
      <c r="AD253" s="7" t="e">
        <f>IF(VLOOKUP($A253,'Concrete Beam Schedule'!$A$2:$Q$2902,AD$2,0)&lt;&gt;N253,"Beam Revised","")</f>
        <v>#N/A</v>
      </c>
      <c r="AE253" s="7" t="e">
        <f>IF(VLOOKUP($A253,'Concrete Beam Schedule'!$A$2:$Q$2902,AE$2,0)&lt;&gt;O253,"Beam Revised","")</f>
        <v>#N/A</v>
      </c>
    </row>
    <row r="254" spans="1:31" ht="25.5" customHeight="1" x14ac:dyDescent="0.25">
      <c r="A254" s="17"/>
      <c r="B254" s="17"/>
      <c r="C254" s="17"/>
      <c r="D254" s="17"/>
      <c r="E254" s="17"/>
      <c r="F254" s="17"/>
      <c r="G254" s="17"/>
      <c r="H254" s="17"/>
      <c r="I254" s="17"/>
      <c r="J254" s="17"/>
      <c r="K254" s="17"/>
      <c r="L254" s="17"/>
      <c r="M254" s="17"/>
      <c r="N254" s="17"/>
      <c r="O254" s="17"/>
      <c r="Q254" s="7">
        <f t="shared" si="3"/>
        <v>0</v>
      </c>
      <c r="R254" s="7" t="e">
        <f>IF(VLOOKUP($A254,'Concrete Beam Schedule'!$A$2:$Q$2902,R$2,0)&lt;&gt;B254,VLOOKUP($A254,'Concrete Beam Schedule'!$A$2:$Q$2902,R$2,0),"")</f>
        <v>#N/A</v>
      </c>
      <c r="S254" s="7" t="e">
        <f>IF(VLOOKUP($A254,'Concrete Beam Schedule'!$A$2:$Q$2902,S$2,0)&lt;&gt;C254,VLOOKUP($A254,'Concrete Beam Schedule'!$A$2:$Q$2902,S$2,0),"")</f>
        <v>#N/A</v>
      </c>
      <c r="T254" s="7" t="e">
        <f>IF(VLOOKUP($A254,'Concrete Beam Schedule'!$A$2:$Q$2902,T$2,0)&lt;&gt;D254,"Beam Revised","")</f>
        <v>#N/A</v>
      </c>
      <c r="U254" s="7" t="e">
        <f>IF(VLOOKUP($A254,'Concrete Beam Schedule'!$A$2:$Q$2902,U$2,0)&lt;&gt;E254,"Beam Revised","")</f>
        <v>#N/A</v>
      </c>
      <c r="V254" s="7" t="e">
        <f>IF(VLOOKUP($A254,'Concrete Beam Schedule'!$A$2:$Q$2902,V$2,0)&lt;&gt;F254,"Beam Revised","")</f>
        <v>#N/A</v>
      </c>
      <c r="W254" s="7" t="e">
        <f>IF(VLOOKUP($A254,'Concrete Beam Schedule'!$A$2:$Q$2902,W$2,0)&lt;&gt;G254,"Beam Revised","")</f>
        <v>#N/A</v>
      </c>
      <c r="X254" s="7" t="e">
        <f>IF(VLOOKUP($A254,'Concrete Beam Schedule'!$A$2:$Q$2902,X$2,0)&lt;&gt;H254,"Beam Revised","")</f>
        <v>#N/A</v>
      </c>
      <c r="Y254" s="7" t="e">
        <f>IF(VLOOKUP($A254,'Concrete Beam Schedule'!$A$2:$Q$2902,Y$2,0)&lt;&gt;I254,"Beam Revised","")</f>
        <v>#N/A</v>
      </c>
      <c r="Z254" s="7" t="e">
        <f>IF(VLOOKUP($A254,'Concrete Beam Schedule'!$A$2:$Q$2902,Z$2,0)&lt;&gt;J254,"Beam Revised","")</f>
        <v>#N/A</v>
      </c>
      <c r="AA254" s="7" t="e">
        <f>IF(VLOOKUP($A254,'Concrete Beam Schedule'!$A$2:$Q$2902,AA$2,0)&lt;&gt;K254,"Beam Revised","")</f>
        <v>#N/A</v>
      </c>
      <c r="AB254" s="7" t="e">
        <f>IF(VLOOKUP($A254,'Concrete Beam Schedule'!$A$2:$Q$2902,AB$2,0)&lt;&gt;L254,"Beam Revised","")</f>
        <v>#N/A</v>
      </c>
      <c r="AC254" s="7" t="e">
        <f>IF(VLOOKUP($A254,'Concrete Beam Schedule'!$A$2:$Q$2902,AC$2,0)&lt;&gt;M254,"Beam Revised","")</f>
        <v>#N/A</v>
      </c>
      <c r="AD254" s="7" t="e">
        <f>IF(VLOOKUP($A254,'Concrete Beam Schedule'!$A$2:$Q$2902,AD$2,0)&lt;&gt;N254,"Beam Revised","")</f>
        <v>#N/A</v>
      </c>
      <c r="AE254" s="7" t="e">
        <f>IF(VLOOKUP($A254,'Concrete Beam Schedule'!$A$2:$Q$2902,AE$2,0)&lt;&gt;O254,"Beam Revised","")</f>
        <v>#N/A</v>
      </c>
    </row>
    <row r="255" spans="1:31" ht="25.5" customHeight="1" x14ac:dyDescent="0.25">
      <c r="A255" s="17"/>
      <c r="B255" s="17"/>
      <c r="C255" s="17"/>
      <c r="D255" s="17"/>
      <c r="E255" s="17"/>
      <c r="F255" s="17"/>
      <c r="G255" s="17"/>
      <c r="H255" s="17"/>
      <c r="I255" s="17"/>
      <c r="J255" s="17"/>
      <c r="K255" s="17"/>
      <c r="L255" s="17"/>
      <c r="M255" s="17"/>
      <c r="N255" s="17"/>
      <c r="O255" s="17"/>
      <c r="Q255" s="7">
        <f t="shared" si="3"/>
        <v>0</v>
      </c>
      <c r="R255" s="7" t="e">
        <f>IF(VLOOKUP($A255,'Concrete Beam Schedule'!$A$2:$Q$2902,R$2,0)&lt;&gt;B255,VLOOKUP($A255,'Concrete Beam Schedule'!$A$2:$Q$2902,R$2,0),"")</f>
        <v>#N/A</v>
      </c>
      <c r="S255" s="7" t="e">
        <f>IF(VLOOKUP($A255,'Concrete Beam Schedule'!$A$2:$Q$2902,S$2,0)&lt;&gt;C255,VLOOKUP($A255,'Concrete Beam Schedule'!$A$2:$Q$2902,S$2,0),"")</f>
        <v>#N/A</v>
      </c>
      <c r="T255" s="7" t="e">
        <f>IF(VLOOKUP($A255,'Concrete Beam Schedule'!$A$2:$Q$2902,T$2,0)&lt;&gt;D255,"Beam Revised","")</f>
        <v>#N/A</v>
      </c>
      <c r="U255" s="7" t="e">
        <f>IF(VLOOKUP($A255,'Concrete Beam Schedule'!$A$2:$Q$2902,U$2,0)&lt;&gt;E255,"Beam Revised","")</f>
        <v>#N/A</v>
      </c>
      <c r="V255" s="7" t="e">
        <f>IF(VLOOKUP($A255,'Concrete Beam Schedule'!$A$2:$Q$2902,V$2,0)&lt;&gt;F255,"Beam Revised","")</f>
        <v>#N/A</v>
      </c>
      <c r="W255" s="7" t="e">
        <f>IF(VLOOKUP($A255,'Concrete Beam Schedule'!$A$2:$Q$2902,W$2,0)&lt;&gt;G255,"Beam Revised","")</f>
        <v>#N/A</v>
      </c>
      <c r="X255" s="7" t="e">
        <f>IF(VLOOKUP($A255,'Concrete Beam Schedule'!$A$2:$Q$2902,X$2,0)&lt;&gt;H255,"Beam Revised","")</f>
        <v>#N/A</v>
      </c>
      <c r="Y255" s="7" t="e">
        <f>IF(VLOOKUP($A255,'Concrete Beam Schedule'!$A$2:$Q$2902,Y$2,0)&lt;&gt;I255,"Beam Revised","")</f>
        <v>#N/A</v>
      </c>
      <c r="Z255" s="7" t="e">
        <f>IF(VLOOKUP($A255,'Concrete Beam Schedule'!$A$2:$Q$2902,Z$2,0)&lt;&gt;J255,"Beam Revised","")</f>
        <v>#N/A</v>
      </c>
      <c r="AA255" s="7" t="e">
        <f>IF(VLOOKUP($A255,'Concrete Beam Schedule'!$A$2:$Q$2902,AA$2,0)&lt;&gt;K255,"Beam Revised","")</f>
        <v>#N/A</v>
      </c>
      <c r="AB255" s="7" t="e">
        <f>IF(VLOOKUP($A255,'Concrete Beam Schedule'!$A$2:$Q$2902,AB$2,0)&lt;&gt;L255,"Beam Revised","")</f>
        <v>#N/A</v>
      </c>
      <c r="AC255" s="7" t="e">
        <f>IF(VLOOKUP($A255,'Concrete Beam Schedule'!$A$2:$Q$2902,AC$2,0)&lt;&gt;M255,"Beam Revised","")</f>
        <v>#N/A</v>
      </c>
      <c r="AD255" s="7" t="e">
        <f>IF(VLOOKUP($A255,'Concrete Beam Schedule'!$A$2:$Q$2902,AD$2,0)&lt;&gt;N255,"Beam Revised","")</f>
        <v>#N/A</v>
      </c>
      <c r="AE255" s="7" t="e">
        <f>IF(VLOOKUP($A255,'Concrete Beam Schedule'!$A$2:$Q$2902,AE$2,0)&lt;&gt;O255,"Beam Revised","")</f>
        <v>#N/A</v>
      </c>
    </row>
    <row r="256" spans="1:31" ht="25.5" customHeight="1" x14ac:dyDescent="0.25">
      <c r="A256" s="17"/>
      <c r="B256" s="17"/>
      <c r="C256" s="17"/>
      <c r="D256" s="17"/>
      <c r="E256" s="17"/>
      <c r="F256" s="17"/>
      <c r="G256" s="17"/>
      <c r="H256" s="17"/>
      <c r="I256" s="17"/>
      <c r="J256" s="17"/>
      <c r="K256" s="17"/>
      <c r="L256" s="17"/>
      <c r="M256" s="17"/>
      <c r="N256" s="17"/>
      <c r="O256" s="17"/>
      <c r="Q256" s="7">
        <f t="shared" si="3"/>
        <v>0</v>
      </c>
      <c r="R256" s="7" t="e">
        <f>IF(VLOOKUP($A256,'Concrete Beam Schedule'!$A$2:$Q$2902,R$2,0)&lt;&gt;B256,VLOOKUP($A256,'Concrete Beam Schedule'!$A$2:$Q$2902,R$2,0),"")</f>
        <v>#N/A</v>
      </c>
      <c r="S256" s="7" t="e">
        <f>IF(VLOOKUP($A256,'Concrete Beam Schedule'!$A$2:$Q$2902,S$2,0)&lt;&gt;C256,VLOOKUP($A256,'Concrete Beam Schedule'!$A$2:$Q$2902,S$2,0),"")</f>
        <v>#N/A</v>
      </c>
      <c r="T256" s="7" t="e">
        <f>IF(VLOOKUP($A256,'Concrete Beam Schedule'!$A$2:$Q$2902,T$2,0)&lt;&gt;D256,"Beam Revised","")</f>
        <v>#N/A</v>
      </c>
      <c r="U256" s="7" t="e">
        <f>IF(VLOOKUP($A256,'Concrete Beam Schedule'!$A$2:$Q$2902,U$2,0)&lt;&gt;E256,"Beam Revised","")</f>
        <v>#N/A</v>
      </c>
      <c r="V256" s="7" t="e">
        <f>IF(VLOOKUP($A256,'Concrete Beam Schedule'!$A$2:$Q$2902,V$2,0)&lt;&gt;F256,"Beam Revised","")</f>
        <v>#N/A</v>
      </c>
      <c r="W256" s="7" t="e">
        <f>IF(VLOOKUP($A256,'Concrete Beam Schedule'!$A$2:$Q$2902,W$2,0)&lt;&gt;G256,"Beam Revised","")</f>
        <v>#N/A</v>
      </c>
      <c r="X256" s="7" t="e">
        <f>IF(VLOOKUP($A256,'Concrete Beam Schedule'!$A$2:$Q$2902,X$2,0)&lt;&gt;H256,"Beam Revised","")</f>
        <v>#N/A</v>
      </c>
      <c r="Y256" s="7" t="e">
        <f>IF(VLOOKUP($A256,'Concrete Beam Schedule'!$A$2:$Q$2902,Y$2,0)&lt;&gt;I256,"Beam Revised","")</f>
        <v>#N/A</v>
      </c>
      <c r="Z256" s="7" t="e">
        <f>IF(VLOOKUP($A256,'Concrete Beam Schedule'!$A$2:$Q$2902,Z$2,0)&lt;&gt;J256,"Beam Revised","")</f>
        <v>#N/A</v>
      </c>
      <c r="AA256" s="7" t="e">
        <f>IF(VLOOKUP($A256,'Concrete Beam Schedule'!$A$2:$Q$2902,AA$2,0)&lt;&gt;K256,"Beam Revised","")</f>
        <v>#N/A</v>
      </c>
      <c r="AB256" s="7" t="e">
        <f>IF(VLOOKUP($A256,'Concrete Beam Schedule'!$A$2:$Q$2902,AB$2,0)&lt;&gt;L256,"Beam Revised","")</f>
        <v>#N/A</v>
      </c>
      <c r="AC256" s="7" t="e">
        <f>IF(VLOOKUP($A256,'Concrete Beam Schedule'!$A$2:$Q$2902,AC$2,0)&lt;&gt;M256,"Beam Revised","")</f>
        <v>#N/A</v>
      </c>
      <c r="AD256" s="7" t="e">
        <f>IF(VLOOKUP($A256,'Concrete Beam Schedule'!$A$2:$Q$2902,AD$2,0)&lt;&gt;N256,"Beam Revised","")</f>
        <v>#N/A</v>
      </c>
      <c r="AE256" s="7" t="e">
        <f>IF(VLOOKUP($A256,'Concrete Beam Schedule'!$A$2:$Q$2902,AE$2,0)&lt;&gt;O256,"Beam Revised","")</f>
        <v>#N/A</v>
      </c>
    </row>
    <row r="257" spans="1:31" ht="25.5" customHeight="1" x14ac:dyDescent="0.25">
      <c r="A257" s="17"/>
      <c r="B257" s="17"/>
      <c r="C257" s="17"/>
      <c r="D257" s="17"/>
      <c r="E257" s="17"/>
      <c r="F257" s="17"/>
      <c r="G257" s="17"/>
      <c r="H257" s="17"/>
      <c r="I257" s="17"/>
      <c r="J257" s="17"/>
      <c r="K257" s="17"/>
      <c r="L257" s="17"/>
      <c r="M257" s="17"/>
      <c r="N257" s="17"/>
      <c r="O257" s="17"/>
      <c r="Q257" s="7">
        <f t="shared" si="3"/>
        <v>0</v>
      </c>
      <c r="R257" s="7" t="e">
        <f>IF(VLOOKUP($A257,'Concrete Beam Schedule'!$A$2:$Q$2902,R$2,0)&lt;&gt;B257,VLOOKUP($A257,'Concrete Beam Schedule'!$A$2:$Q$2902,R$2,0),"")</f>
        <v>#N/A</v>
      </c>
      <c r="S257" s="7" t="e">
        <f>IF(VLOOKUP($A257,'Concrete Beam Schedule'!$A$2:$Q$2902,S$2,0)&lt;&gt;C257,VLOOKUP($A257,'Concrete Beam Schedule'!$A$2:$Q$2902,S$2,0),"")</f>
        <v>#N/A</v>
      </c>
      <c r="T257" s="7" t="e">
        <f>IF(VLOOKUP($A257,'Concrete Beam Schedule'!$A$2:$Q$2902,T$2,0)&lt;&gt;D257,"Beam Revised","")</f>
        <v>#N/A</v>
      </c>
      <c r="U257" s="7" t="e">
        <f>IF(VLOOKUP($A257,'Concrete Beam Schedule'!$A$2:$Q$2902,U$2,0)&lt;&gt;E257,"Beam Revised","")</f>
        <v>#N/A</v>
      </c>
      <c r="V257" s="7" t="e">
        <f>IF(VLOOKUP($A257,'Concrete Beam Schedule'!$A$2:$Q$2902,V$2,0)&lt;&gt;F257,"Beam Revised","")</f>
        <v>#N/A</v>
      </c>
      <c r="W257" s="7" t="e">
        <f>IF(VLOOKUP($A257,'Concrete Beam Schedule'!$A$2:$Q$2902,W$2,0)&lt;&gt;G257,"Beam Revised","")</f>
        <v>#N/A</v>
      </c>
      <c r="X257" s="7" t="e">
        <f>IF(VLOOKUP($A257,'Concrete Beam Schedule'!$A$2:$Q$2902,X$2,0)&lt;&gt;H257,"Beam Revised","")</f>
        <v>#N/A</v>
      </c>
      <c r="Y257" s="7" t="e">
        <f>IF(VLOOKUP($A257,'Concrete Beam Schedule'!$A$2:$Q$2902,Y$2,0)&lt;&gt;I257,"Beam Revised","")</f>
        <v>#N/A</v>
      </c>
      <c r="Z257" s="7" t="e">
        <f>IF(VLOOKUP($A257,'Concrete Beam Schedule'!$A$2:$Q$2902,Z$2,0)&lt;&gt;J257,"Beam Revised","")</f>
        <v>#N/A</v>
      </c>
      <c r="AA257" s="7" t="e">
        <f>IF(VLOOKUP($A257,'Concrete Beam Schedule'!$A$2:$Q$2902,AA$2,0)&lt;&gt;K257,"Beam Revised","")</f>
        <v>#N/A</v>
      </c>
      <c r="AB257" s="7" t="e">
        <f>IF(VLOOKUP($A257,'Concrete Beam Schedule'!$A$2:$Q$2902,AB$2,0)&lt;&gt;L257,"Beam Revised","")</f>
        <v>#N/A</v>
      </c>
      <c r="AC257" s="7" t="e">
        <f>IF(VLOOKUP($A257,'Concrete Beam Schedule'!$A$2:$Q$2902,AC$2,0)&lt;&gt;M257,"Beam Revised","")</f>
        <v>#N/A</v>
      </c>
      <c r="AD257" s="7" t="e">
        <f>IF(VLOOKUP($A257,'Concrete Beam Schedule'!$A$2:$Q$2902,AD$2,0)&lt;&gt;N257,"Beam Revised","")</f>
        <v>#N/A</v>
      </c>
      <c r="AE257" s="7" t="e">
        <f>IF(VLOOKUP($A257,'Concrete Beam Schedule'!$A$2:$Q$2902,AE$2,0)&lt;&gt;O257,"Beam Revised","")</f>
        <v>#N/A</v>
      </c>
    </row>
    <row r="258" spans="1:31" ht="25.5" customHeight="1" x14ac:dyDescent="0.25">
      <c r="A258" s="17"/>
      <c r="B258" s="17"/>
      <c r="C258" s="17"/>
      <c r="D258" s="17"/>
      <c r="E258" s="17"/>
      <c r="F258" s="17"/>
      <c r="G258" s="17"/>
      <c r="H258" s="17"/>
      <c r="I258" s="17"/>
      <c r="J258" s="17"/>
      <c r="K258" s="17"/>
      <c r="L258" s="17"/>
      <c r="M258" s="17"/>
      <c r="N258" s="17"/>
      <c r="O258" s="17"/>
      <c r="Q258" s="7">
        <f t="shared" si="3"/>
        <v>0</v>
      </c>
      <c r="R258" s="7" t="e">
        <f>IF(VLOOKUP($A258,'Concrete Beam Schedule'!$A$2:$Q$2902,R$2,0)&lt;&gt;B258,VLOOKUP($A258,'Concrete Beam Schedule'!$A$2:$Q$2902,R$2,0),"")</f>
        <v>#N/A</v>
      </c>
      <c r="S258" s="7" t="e">
        <f>IF(VLOOKUP($A258,'Concrete Beam Schedule'!$A$2:$Q$2902,S$2,0)&lt;&gt;C258,VLOOKUP($A258,'Concrete Beam Schedule'!$A$2:$Q$2902,S$2,0),"")</f>
        <v>#N/A</v>
      </c>
      <c r="T258" s="7" t="e">
        <f>IF(VLOOKUP($A258,'Concrete Beam Schedule'!$A$2:$Q$2902,T$2,0)&lt;&gt;D258,"Beam Revised","")</f>
        <v>#N/A</v>
      </c>
      <c r="U258" s="7" t="e">
        <f>IF(VLOOKUP($A258,'Concrete Beam Schedule'!$A$2:$Q$2902,U$2,0)&lt;&gt;E258,"Beam Revised","")</f>
        <v>#N/A</v>
      </c>
      <c r="V258" s="7" t="e">
        <f>IF(VLOOKUP($A258,'Concrete Beam Schedule'!$A$2:$Q$2902,V$2,0)&lt;&gt;F258,"Beam Revised","")</f>
        <v>#N/A</v>
      </c>
      <c r="W258" s="7" t="e">
        <f>IF(VLOOKUP($A258,'Concrete Beam Schedule'!$A$2:$Q$2902,W$2,0)&lt;&gt;G258,"Beam Revised","")</f>
        <v>#N/A</v>
      </c>
      <c r="X258" s="7" t="e">
        <f>IF(VLOOKUP($A258,'Concrete Beam Schedule'!$A$2:$Q$2902,X$2,0)&lt;&gt;H258,"Beam Revised","")</f>
        <v>#N/A</v>
      </c>
      <c r="Y258" s="7" t="e">
        <f>IF(VLOOKUP($A258,'Concrete Beam Schedule'!$A$2:$Q$2902,Y$2,0)&lt;&gt;I258,"Beam Revised","")</f>
        <v>#N/A</v>
      </c>
      <c r="Z258" s="7" t="e">
        <f>IF(VLOOKUP($A258,'Concrete Beam Schedule'!$A$2:$Q$2902,Z$2,0)&lt;&gt;J258,"Beam Revised","")</f>
        <v>#N/A</v>
      </c>
      <c r="AA258" s="7" t="e">
        <f>IF(VLOOKUP($A258,'Concrete Beam Schedule'!$A$2:$Q$2902,AA$2,0)&lt;&gt;K258,"Beam Revised","")</f>
        <v>#N/A</v>
      </c>
      <c r="AB258" s="7" t="e">
        <f>IF(VLOOKUP($A258,'Concrete Beam Schedule'!$A$2:$Q$2902,AB$2,0)&lt;&gt;L258,"Beam Revised","")</f>
        <v>#N/A</v>
      </c>
      <c r="AC258" s="7" t="e">
        <f>IF(VLOOKUP($A258,'Concrete Beam Schedule'!$A$2:$Q$2902,AC$2,0)&lt;&gt;M258,"Beam Revised","")</f>
        <v>#N/A</v>
      </c>
      <c r="AD258" s="7" t="e">
        <f>IF(VLOOKUP($A258,'Concrete Beam Schedule'!$A$2:$Q$2902,AD$2,0)&lt;&gt;N258,"Beam Revised","")</f>
        <v>#N/A</v>
      </c>
      <c r="AE258" s="7" t="e">
        <f>IF(VLOOKUP($A258,'Concrete Beam Schedule'!$A$2:$Q$2902,AE$2,0)&lt;&gt;O258,"Beam Revised","")</f>
        <v>#N/A</v>
      </c>
    </row>
    <row r="259" spans="1:31" ht="25.5" customHeight="1" x14ac:dyDescent="0.25">
      <c r="A259" s="17"/>
      <c r="B259" s="17"/>
      <c r="C259" s="17"/>
      <c r="D259" s="17"/>
      <c r="E259" s="17"/>
      <c r="F259" s="17"/>
      <c r="G259" s="17"/>
      <c r="H259" s="17"/>
      <c r="I259" s="17"/>
      <c r="J259" s="17"/>
      <c r="K259" s="17"/>
      <c r="L259" s="17"/>
      <c r="M259" s="17"/>
      <c r="N259" s="17"/>
      <c r="O259" s="17"/>
      <c r="Q259" s="7">
        <f t="shared" si="3"/>
        <v>0</v>
      </c>
      <c r="R259" s="7" t="e">
        <f>IF(VLOOKUP($A259,'Concrete Beam Schedule'!$A$2:$Q$2902,R$2,0)&lt;&gt;B259,VLOOKUP($A259,'Concrete Beam Schedule'!$A$2:$Q$2902,R$2,0),"")</f>
        <v>#N/A</v>
      </c>
      <c r="S259" s="7" t="e">
        <f>IF(VLOOKUP($A259,'Concrete Beam Schedule'!$A$2:$Q$2902,S$2,0)&lt;&gt;C259,VLOOKUP($A259,'Concrete Beam Schedule'!$A$2:$Q$2902,S$2,0),"")</f>
        <v>#N/A</v>
      </c>
      <c r="T259" s="7" t="e">
        <f>IF(VLOOKUP($A259,'Concrete Beam Schedule'!$A$2:$Q$2902,T$2,0)&lt;&gt;D259,"Beam Revised","")</f>
        <v>#N/A</v>
      </c>
      <c r="U259" s="7" t="e">
        <f>IF(VLOOKUP($A259,'Concrete Beam Schedule'!$A$2:$Q$2902,U$2,0)&lt;&gt;E259,"Beam Revised","")</f>
        <v>#N/A</v>
      </c>
      <c r="V259" s="7" t="e">
        <f>IF(VLOOKUP($A259,'Concrete Beam Schedule'!$A$2:$Q$2902,V$2,0)&lt;&gt;F259,"Beam Revised","")</f>
        <v>#N/A</v>
      </c>
      <c r="W259" s="7" t="e">
        <f>IF(VLOOKUP($A259,'Concrete Beam Schedule'!$A$2:$Q$2902,W$2,0)&lt;&gt;G259,"Beam Revised","")</f>
        <v>#N/A</v>
      </c>
      <c r="X259" s="7" t="e">
        <f>IF(VLOOKUP($A259,'Concrete Beam Schedule'!$A$2:$Q$2902,X$2,0)&lt;&gt;H259,"Beam Revised","")</f>
        <v>#N/A</v>
      </c>
      <c r="Y259" s="7" t="e">
        <f>IF(VLOOKUP($A259,'Concrete Beam Schedule'!$A$2:$Q$2902,Y$2,0)&lt;&gt;I259,"Beam Revised","")</f>
        <v>#N/A</v>
      </c>
      <c r="Z259" s="7" t="e">
        <f>IF(VLOOKUP($A259,'Concrete Beam Schedule'!$A$2:$Q$2902,Z$2,0)&lt;&gt;J259,"Beam Revised","")</f>
        <v>#N/A</v>
      </c>
      <c r="AA259" s="7" t="e">
        <f>IF(VLOOKUP($A259,'Concrete Beam Schedule'!$A$2:$Q$2902,AA$2,0)&lt;&gt;K259,"Beam Revised","")</f>
        <v>#N/A</v>
      </c>
      <c r="AB259" s="7" t="e">
        <f>IF(VLOOKUP($A259,'Concrete Beam Schedule'!$A$2:$Q$2902,AB$2,0)&lt;&gt;L259,"Beam Revised","")</f>
        <v>#N/A</v>
      </c>
      <c r="AC259" s="7" t="e">
        <f>IF(VLOOKUP($A259,'Concrete Beam Schedule'!$A$2:$Q$2902,AC$2,0)&lt;&gt;M259,"Beam Revised","")</f>
        <v>#N/A</v>
      </c>
      <c r="AD259" s="7" t="e">
        <f>IF(VLOOKUP($A259,'Concrete Beam Schedule'!$A$2:$Q$2902,AD$2,0)&lt;&gt;N259,"Beam Revised","")</f>
        <v>#N/A</v>
      </c>
      <c r="AE259" s="7" t="e">
        <f>IF(VLOOKUP($A259,'Concrete Beam Schedule'!$A$2:$Q$2902,AE$2,0)&lt;&gt;O259,"Beam Revised","")</f>
        <v>#N/A</v>
      </c>
    </row>
    <row r="260" spans="1:31" ht="25.5" customHeight="1" x14ac:dyDescent="0.25">
      <c r="A260" s="17"/>
      <c r="B260" s="17"/>
      <c r="C260" s="17"/>
      <c r="D260" s="17"/>
      <c r="E260" s="17"/>
      <c r="F260" s="17"/>
      <c r="G260" s="17"/>
      <c r="H260" s="17"/>
      <c r="I260" s="17"/>
      <c r="J260" s="17"/>
      <c r="K260" s="17"/>
      <c r="L260" s="17"/>
      <c r="M260" s="17"/>
      <c r="N260" s="17"/>
      <c r="O260" s="17"/>
      <c r="Q260" s="7">
        <f t="shared" ref="Q260:Q323" si="4">A260</f>
        <v>0</v>
      </c>
      <c r="R260" s="7" t="e">
        <f>IF(VLOOKUP($A260,'Concrete Beam Schedule'!$A$2:$Q$2902,R$2,0)&lt;&gt;B260,VLOOKUP($A260,'Concrete Beam Schedule'!$A$2:$Q$2902,R$2,0),"")</f>
        <v>#N/A</v>
      </c>
      <c r="S260" s="7" t="e">
        <f>IF(VLOOKUP($A260,'Concrete Beam Schedule'!$A$2:$Q$2902,S$2,0)&lt;&gt;C260,VLOOKUP($A260,'Concrete Beam Schedule'!$A$2:$Q$2902,S$2,0),"")</f>
        <v>#N/A</v>
      </c>
      <c r="T260" s="7" t="e">
        <f>IF(VLOOKUP($A260,'Concrete Beam Schedule'!$A$2:$Q$2902,T$2,0)&lt;&gt;D260,"Beam Revised","")</f>
        <v>#N/A</v>
      </c>
      <c r="U260" s="7" t="e">
        <f>IF(VLOOKUP($A260,'Concrete Beam Schedule'!$A$2:$Q$2902,U$2,0)&lt;&gt;E260,"Beam Revised","")</f>
        <v>#N/A</v>
      </c>
      <c r="V260" s="7" t="e">
        <f>IF(VLOOKUP($A260,'Concrete Beam Schedule'!$A$2:$Q$2902,V$2,0)&lt;&gt;F260,"Beam Revised","")</f>
        <v>#N/A</v>
      </c>
      <c r="W260" s="7" t="e">
        <f>IF(VLOOKUP($A260,'Concrete Beam Schedule'!$A$2:$Q$2902,W$2,0)&lt;&gt;G260,"Beam Revised","")</f>
        <v>#N/A</v>
      </c>
      <c r="X260" s="7" t="e">
        <f>IF(VLOOKUP($A260,'Concrete Beam Schedule'!$A$2:$Q$2902,X$2,0)&lt;&gt;H260,"Beam Revised","")</f>
        <v>#N/A</v>
      </c>
      <c r="Y260" s="7" t="e">
        <f>IF(VLOOKUP($A260,'Concrete Beam Schedule'!$A$2:$Q$2902,Y$2,0)&lt;&gt;I260,"Beam Revised","")</f>
        <v>#N/A</v>
      </c>
      <c r="Z260" s="7" t="e">
        <f>IF(VLOOKUP($A260,'Concrete Beam Schedule'!$A$2:$Q$2902,Z$2,0)&lt;&gt;J260,"Beam Revised","")</f>
        <v>#N/A</v>
      </c>
      <c r="AA260" s="7" t="e">
        <f>IF(VLOOKUP($A260,'Concrete Beam Schedule'!$A$2:$Q$2902,AA$2,0)&lt;&gt;K260,"Beam Revised","")</f>
        <v>#N/A</v>
      </c>
      <c r="AB260" s="7" t="e">
        <f>IF(VLOOKUP($A260,'Concrete Beam Schedule'!$A$2:$Q$2902,AB$2,0)&lt;&gt;L260,"Beam Revised","")</f>
        <v>#N/A</v>
      </c>
      <c r="AC260" s="7" t="e">
        <f>IF(VLOOKUP($A260,'Concrete Beam Schedule'!$A$2:$Q$2902,AC$2,0)&lt;&gt;M260,"Beam Revised","")</f>
        <v>#N/A</v>
      </c>
      <c r="AD260" s="7" t="e">
        <f>IF(VLOOKUP($A260,'Concrete Beam Schedule'!$A$2:$Q$2902,AD$2,0)&lt;&gt;N260,"Beam Revised","")</f>
        <v>#N/A</v>
      </c>
      <c r="AE260" s="7" t="e">
        <f>IF(VLOOKUP($A260,'Concrete Beam Schedule'!$A$2:$Q$2902,AE$2,0)&lt;&gt;O260,"Beam Revised","")</f>
        <v>#N/A</v>
      </c>
    </row>
    <row r="261" spans="1:31" ht="25.5" customHeight="1" x14ac:dyDescent="0.25">
      <c r="A261" s="17"/>
      <c r="B261" s="17"/>
      <c r="C261" s="17"/>
      <c r="D261" s="17"/>
      <c r="E261" s="17"/>
      <c r="F261" s="17"/>
      <c r="G261" s="17"/>
      <c r="H261" s="17"/>
      <c r="I261" s="17"/>
      <c r="J261" s="17"/>
      <c r="K261" s="17"/>
      <c r="L261" s="17"/>
      <c r="M261" s="17"/>
      <c r="N261" s="17"/>
      <c r="O261" s="17"/>
      <c r="Q261" s="7">
        <f t="shared" si="4"/>
        <v>0</v>
      </c>
      <c r="R261" s="7" t="e">
        <f>IF(VLOOKUP($A261,'Concrete Beam Schedule'!$A$2:$Q$2902,R$2,0)&lt;&gt;B261,VLOOKUP($A261,'Concrete Beam Schedule'!$A$2:$Q$2902,R$2,0),"")</f>
        <v>#N/A</v>
      </c>
      <c r="S261" s="7" t="e">
        <f>IF(VLOOKUP($A261,'Concrete Beam Schedule'!$A$2:$Q$2902,S$2,0)&lt;&gt;C261,VLOOKUP($A261,'Concrete Beam Schedule'!$A$2:$Q$2902,S$2,0),"")</f>
        <v>#N/A</v>
      </c>
      <c r="T261" s="7" t="e">
        <f>IF(VLOOKUP($A261,'Concrete Beam Schedule'!$A$2:$Q$2902,T$2,0)&lt;&gt;D261,"Beam Revised","")</f>
        <v>#N/A</v>
      </c>
      <c r="U261" s="7" t="e">
        <f>IF(VLOOKUP($A261,'Concrete Beam Schedule'!$A$2:$Q$2902,U$2,0)&lt;&gt;E261,"Beam Revised","")</f>
        <v>#N/A</v>
      </c>
      <c r="V261" s="7" t="e">
        <f>IF(VLOOKUP($A261,'Concrete Beam Schedule'!$A$2:$Q$2902,V$2,0)&lt;&gt;F261,"Beam Revised","")</f>
        <v>#N/A</v>
      </c>
      <c r="W261" s="7" t="e">
        <f>IF(VLOOKUP($A261,'Concrete Beam Schedule'!$A$2:$Q$2902,W$2,0)&lt;&gt;G261,"Beam Revised","")</f>
        <v>#N/A</v>
      </c>
      <c r="X261" s="7" t="e">
        <f>IF(VLOOKUP($A261,'Concrete Beam Schedule'!$A$2:$Q$2902,X$2,0)&lt;&gt;H261,"Beam Revised","")</f>
        <v>#N/A</v>
      </c>
      <c r="Y261" s="7" t="e">
        <f>IF(VLOOKUP($A261,'Concrete Beam Schedule'!$A$2:$Q$2902,Y$2,0)&lt;&gt;I261,"Beam Revised","")</f>
        <v>#N/A</v>
      </c>
      <c r="Z261" s="7" t="e">
        <f>IF(VLOOKUP($A261,'Concrete Beam Schedule'!$A$2:$Q$2902,Z$2,0)&lt;&gt;J261,"Beam Revised","")</f>
        <v>#N/A</v>
      </c>
      <c r="AA261" s="7" t="e">
        <f>IF(VLOOKUP($A261,'Concrete Beam Schedule'!$A$2:$Q$2902,AA$2,0)&lt;&gt;K261,"Beam Revised","")</f>
        <v>#N/A</v>
      </c>
      <c r="AB261" s="7" t="e">
        <f>IF(VLOOKUP($A261,'Concrete Beam Schedule'!$A$2:$Q$2902,AB$2,0)&lt;&gt;L261,"Beam Revised","")</f>
        <v>#N/A</v>
      </c>
      <c r="AC261" s="7" t="e">
        <f>IF(VLOOKUP($A261,'Concrete Beam Schedule'!$A$2:$Q$2902,AC$2,0)&lt;&gt;M261,"Beam Revised","")</f>
        <v>#N/A</v>
      </c>
      <c r="AD261" s="7" t="e">
        <f>IF(VLOOKUP($A261,'Concrete Beam Schedule'!$A$2:$Q$2902,AD$2,0)&lt;&gt;N261,"Beam Revised","")</f>
        <v>#N/A</v>
      </c>
      <c r="AE261" s="7" t="e">
        <f>IF(VLOOKUP($A261,'Concrete Beam Schedule'!$A$2:$Q$2902,AE$2,0)&lt;&gt;O261,"Beam Revised","")</f>
        <v>#N/A</v>
      </c>
    </row>
    <row r="262" spans="1:31" ht="25.5" customHeight="1" x14ac:dyDescent="0.25">
      <c r="A262" s="17"/>
      <c r="B262" s="17"/>
      <c r="C262" s="17"/>
      <c r="D262" s="17"/>
      <c r="E262" s="17"/>
      <c r="F262" s="17"/>
      <c r="G262" s="17"/>
      <c r="H262" s="17"/>
      <c r="I262" s="17"/>
      <c r="J262" s="17"/>
      <c r="K262" s="17"/>
      <c r="L262" s="17"/>
      <c r="M262" s="17"/>
      <c r="N262" s="17"/>
      <c r="O262" s="17"/>
      <c r="Q262" s="7">
        <f t="shared" si="4"/>
        <v>0</v>
      </c>
      <c r="R262" s="7" t="e">
        <f>IF(VLOOKUP($A262,'Concrete Beam Schedule'!$A$2:$Q$2902,R$2,0)&lt;&gt;B262,VLOOKUP($A262,'Concrete Beam Schedule'!$A$2:$Q$2902,R$2,0),"")</f>
        <v>#N/A</v>
      </c>
      <c r="S262" s="7" t="e">
        <f>IF(VLOOKUP($A262,'Concrete Beam Schedule'!$A$2:$Q$2902,S$2,0)&lt;&gt;C262,VLOOKUP($A262,'Concrete Beam Schedule'!$A$2:$Q$2902,S$2,0),"")</f>
        <v>#N/A</v>
      </c>
      <c r="T262" s="7" t="e">
        <f>IF(VLOOKUP($A262,'Concrete Beam Schedule'!$A$2:$Q$2902,T$2,0)&lt;&gt;D262,"Beam Revised","")</f>
        <v>#N/A</v>
      </c>
      <c r="U262" s="7" t="e">
        <f>IF(VLOOKUP($A262,'Concrete Beam Schedule'!$A$2:$Q$2902,U$2,0)&lt;&gt;E262,"Beam Revised","")</f>
        <v>#N/A</v>
      </c>
      <c r="V262" s="7" t="e">
        <f>IF(VLOOKUP($A262,'Concrete Beam Schedule'!$A$2:$Q$2902,V$2,0)&lt;&gt;F262,"Beam Revised","")</f>
        <v>#N/A</v>
      </c>
      <c r="W262" s="7" t="e">
        <f>IF(VLOOKUP($A262,'Concrete Beam Schedule'!$A$2:$Q$2902,W$2,0)&lt;&gt;G262,"Beam Revised","")</f>
        <v>#N/A</v>
      </c>
      <c r="X262" s="7" t="e">
        <f>IF(VLOOKUP($A262,'Concrete Beam Schedule'!$A$2:$Q$2902,X$2,0)&lt;&gt;H262,"Beam Revised","")</f>
        <v>#N/A</v>
      </c>
      <c r="Y262" s="7" t="e">
        <f>IF(VLOOKUP($A262,'Concrete Beam Schedule'!$A$2:$Q$2902,Y$2,0)&lt;&gt;I262,"Beam Revised","")</f>
        <v>#N/A</v>
      </c>
      <c r="Z262" s="7" t="e">
        <f>IF(VLOOKUP($A262,'Concrete Beam Schedule'!$A$2:$Q$2902,Z$2,0)&lt;&gt;J262,"Beam Revised","")</f>
        <v>#N/A</v>
      </c>
      <c r="AA262" s="7" t="e">
        <f>IF(VLOOKUP($A262,'Concrete Beam Schedule'!$A$2:$Q$2902,AA$2,0)&lt;&gt;K262,"Beam Revised","")</f>
        <v>#N/A</v>
      </c>
      <c r="AB262" s="7" t="e">
        <f>IF(VLOOKUP($A262,'Concrete Beam Schedule'!$A$2:$Q$2902,AB$2,0)&lt;&gt;L262,"Beam Revised","")</f>
        <v>#N/A</v>
      </c>
      <c r="AC262" s="7" t="e">
        <f>IF(VLOOKUP($A262,'Concrete Beam Schedule'!$A$2:$Q$2902,AC$2,0)&lt;&gt;M262,"Beam Revised","")</f>
        <v>#N/A</v>
      </c>
      <c r="AD262" s="7" t="e">
        <f>IF(VLOOKUP($A262,'Concrete Beam Schedule'!$A$2:$Q$2902,AD$2,0)&lt;&gt;N262,"Beam Revised","")</f>
        <v>#N/A</v>
      </c>
      <c r="AE262" s="7" t="e">
        <f>IF(VLOOKUP($A262,'Concrete Beam Schedule'!$A$2:$Q$2902,AE$2,0)&lt;&gt;O262,"Beam Revised","")</f>
        <v>#N/A</v>
      </c>
    </row>
    <row r="263" spans="1:31" ht="25.5" customHeight="1" x14ac:dyDescent="0.25">
      <c r="A263" s="17"/>
      <c r="B263" s="17"/>
      <c r="C263" s="17"/>
      <c r="D263" s="17"/>
      <c r="E263" s="17"/>
      <c r="F263" s="17"/>
      <c r="G263" s="17"/>
      <c r="H263" s="17"/>
      <c r="I263" s="17"/>
      <c r="J263" s="17"/>
      <c r="K263" s="17"/>
      <c r="L263" s="17"/>
      <c r="M263" s="17"/>
      <c r="N263" s="17"/>
      <c r="O263" s="17"/>
      <c r="Q263" s="7">
        <f t="shared" si="4"/>
        <v>0</v>
      </c>
      <c r="R263" s="7" t="e">
        <f>IF(VLOOKUP($A263,'Concrete Beam Schedule'!$A$2:$Q$2902,R$2,0)&lt;&gt;B263,VLOOKUP($A263,'Concrete Beam Schedule'!$A$2:$Q$2902,R$2,0),"")</f>
        <v>#N/A</v>
      </c>
      <c r="S263" s="7" t="e">
        <f>IF(VLOOKUP($A263,'Concrete Beam Schedule'!$A$2:$Q$2902,S$2,0)&lt;&gt;C263,VLOOKUP($A263,'Concrete Beam Schedule'!$A$2:$Q$2902,S$2,0),"")</f>
        <v>#N/A</v>
      </c>
      <c r="T263" s="7" t="e">
        <f>IF(VLOOKUP($A263,'Concrete Beam Schedule'!$A$2:$Q$2902,T$2,0)&lt;&gt;D263,"Beam Revised","")</f>
        <v>#N/A</v>
      </c>
      <c r="U263" s="7" t="e">
        <f>IF(VLOOKUP($A263,'Concrete Beam Schedule'!$A$2:$Q$2902,U$2,0)&lt;&gt;E263,"Beam Revised","")</f>
        <v>#N/A</v>
      </c>
      <c r="V263" s="7" t="e">
        <f>IF(VLOOKUP($A263,'Concrete Beam Schedule'!$A$2:$Q$2902,V$2,0)&lt;&gt;F263,"Beam Revised","")</f>
        <v>#N/A</v>
      </c>
      <c r="W263" s="7" t="e">
        <f>IF(VLOOKUP($A263,'Concrete Beam Schedule'!$A$2:$Q$2902,W$2,0)&lt;&gt;G263,"Beam Revised","")</f>
        <v>#N/A</v>
      </c>
      <c r="X263" s="7" t="e">
        <f>IF(VLOOKUP($A263,'Concrete Beam Schedule'!$A$2:$Q$2902,X$2,0)&lt;&gt;H263,"Beam Revised","")</f>
        <v>#N/A</v>
      </c>
      <c r="Y263" s="7" t="e">
        <f>IF(VLOOKUP($A263,'Concrete Beam Schedule'!$A$2:$Q$2902,Y$2,0)&lt;&gt;I263,"Beam Revised","")</f>
        <v>#N/A</v>
      </c>
      <c r="Z263" s="7" t="e">
        <f>IF(VLOOKUP($A263,'Concrete Beam Schedule'!$A$2:$Q$2902,Z$2,0)&lt;&gt;J263,"Beam Revised","")</f>
        <v>#N/A</v>
      </c>
      <c r="AA263" s="7" t="e">
        <f>IF(VLOOKUP($A263,'Concrete Beam Schedule'!$A$2:$Q$2902,AA$2,0)&lt;&gt;K263,"Beam Revised","")</f>
        <v>#N/A</v>
      </c>
      <c r="AB263" s="7" t="e">
        <f>IF(VLOOKUP($A263,'Concrete Beam Schedule'!$A$2:$Q$2902,AB$2,0)&lt;&gt;L263,"Beam Revised","")</f>
        <v>#N/A</v>
      </c>
      <c r="AC263" s="7" t="e">
        <f>IF(VLOOKUP($A263,'Concrete Beam Schedule'!$A$2:$Q$2902,AC$2,0)&lt;&gt;M263,"Beam Revised","")</f>
        <v>#N/A</v>
      </c>
      <c r="AD263" s="7" t="e">
        <f>IF(VLOOKUP($A263,'Concrete Beam Schedule'!$A$2:$Q$2902,AD$2,0)&lt;&gt;N263,"Beam Revised","")</f>
        <v>#N/A</v>
      </c>
      <c r="AE263" s="7" t="e">
        <f>IF(VLOOKUP($A263,'Concrete Beam Schedule'!$A$2:$Q$2902,AE$2,0)&lt;&gt;O263,"Beam Revised","")</f>
        <v>#N/A</v>
      </c>
    </row>
    <row r="264" spans="1:31" ht="25.5" customHeight="1" x14ac:dyDescent="0.25">
      <c r="A264" s="17"/>
      <c r="B264" s="17"/>
      <c r="C264" s="17"/>
      <c r="D264" s="17"/>
      <c r="E264" s="17"/>
      <c r="F264" s="17"/>
      <c r="G264" s="17"/>
      <c r="H264" s="17"/>
      <c r="I264" s="17"/>
      <c r="J264" s="17"/>
      <c r="K264" s="17"/>
      <c r="L264" s="17"/>
      <c r="M264" s="17"/>
      <c r="N264" s="17"/>
      <c r="O264" s="17"/>
      <c r="Q264" s="7">
        <f t="shared" si="4"/>
        <v>0</v>
      </c>
      <c r="R264" s="7" t="e">
        <f>IF(VLOOKUP($A264,'Concrete Beam Schedule'!$A$2:$Q$2902,R$2,0)&lt;&gt;B264,VLOOKUP($A264,'Concrete Beam Schedule'!$A$2:$Q$2902,R$2,0),"")</f>
        <v>#N/A</v>
      </c>
      <c r="S264" s="7" t="e">
        <f>IF(VLOOKUP($A264,'Concrete Beam Schedule'!$A$2:$Q$2902,S$2,0)&lt;&gt;C264,VLOOKUP($A264,'Concrete Beam Schedule'!$A$2:$Q$2902,S$2,0),"")</f>
        <v>#N/A</v>
      </c>
      <c r="T264" s="7" t="e">
        <f>IF(VLOOKUP($A264,'Concrete Beam Schedule'!$A$2:$Q$2902,T$2,0)&lt;&gt;D264,"Beam Revised","")</f>
        <v>#N/A</v>
      </c>
      <c r="U264" s="7" t="e">
        <f>IF(VLOOKUP($A264,'Concrete Beam Schedule'!$A$2:$Q$2902,U$2,0)&lt;&gt;E264,"Beam Revised","")</f>
        <v>#N/A</v>
      </c>
      <c r="V264" s="7" t="e">
        <f>IF(VLOOKUP($A264,'Concrete Beam Schedule'!$A$2:$Q$2902,V$2,0)&lt;&gt;F264,"Beam Revised","")</f>
        <v>#N/A</v>
      </c>
      <c r="W264" s="7" t="e">
        <f>IF(VLOOKUP($A264,'Concrete Beam Schedule'!$A$2:$Q$2902,W$2,0)&lt;&gt;G264,"Beam Revised","")</f>
        <v>#N/A</v>
      </c>
      <c r="X264" s="7" t="e">
        <f>IF(VLOOKUP($A264,'Concrete Beam Schedule'!$A$2:$Q$2902,X$2,0)&lt;&gt;H264,"Beam Revised","")</f>
        <v>#N/A</v>
      </c>
      <c r="Y264" s="7" t="e">
        <f>IF(VLOOKUP($A264,'Concrete Beam Schedule'!$A$2:$Q$2902,Y$2,0)&lt;&gt;I264,"Beam Revised","")</f>
        <v>#N/A</v>
      </c>
      <c r="Z264" s="7" t="e">
        <f>IF(VLOOKUP($A264,'Concrete Beam Schedule'!$A$2:$Q$2902,Z$2,0)&lt;&gt;J264,"Beam Revised","")</f>
        <v>#N/A</v>
      </c>
      <c r="AA264" s="7" t="e">
        <f>IF(VLOOKUP($A264,'Concrete Beam Schedule'!$A$2:$Q$2902,AA$2,0)&lt;&gt;K264,"Beam Revised","")</f>
        <v>#N/A</v>
      </c>
      <c r="AB264" s="7" t="e">
        <f>IF(VLOOKUP($A264,'Concrete Beam Schedule'!$A$2:$Q$2902,AB$2,0)&lt;&gt;L264,"Beam Revised","")</f>
        <v>#N/A</v>
      </c>
      <c r="AC264" s="7" t="e">
        <f>IF(VLOOKUP($A264,'Concrete Beam Schedule'!$A$2:$Q$2902,AC$2,0)&lt;&gt;M264,"Beam Revised","")</f>
        <v>#N/A</v>
      </c>
      <c r="AD264" s="7" t="e">
        <f>IF(VLOOKUP($A264,'Concrete Beam Schedule'!$A$2:$Q$2902,AD$2,0)&lt;&gt;N264,"Beam Revised","")</f>
        <v>#N/A</v>
      </c>
      <c r="AE264" s="7" t="e">
        <f>IF(VLOOKUP($A264,'Concrete Beam Schedule'!$A$2:$Q$2902,AE$2,0)&lt;&gt;O264,"Beam Revised","")</f>
        <v>#N/A</v>
      </c>
    </row>
    <row r="265" spans="1:31" ht="25.5" customHeight="1" x14ac:dyDescent="0.25">
      <c r="A265" s="17"/>
      <c r="B265" s="17"/>
      <c r="C265" s="17"/>
      <c r="D265" s="17"/>
      <c r="E265" s="17"/>
      <c r="F265" s="17"/>
      <c r="G265" s="17"/>
      <c r="H265" s="17"/>
      <c r="I265" s="17"/>
      <c r="J265" s="17"/>
      <c r="K265" s="17"/>
      <c r="L265" s="17"/>
      <c r="M265" s="17"/>
      <c r="N265" s="17"/>
      <c r="O265" s="17"/>
      <c r="Q265" s="7">
        <f t="shared" si="4"/>
        <v>0</v>
      </c>
      <c r="R265" s="7" t="e">
        <f>IF(VLOOKUP($A265,'Concrete Beam Schedule'!$A$2:$Q$2902,R$2,0)&lt;&gt;B265,VLOOKUP($A265,'Concrete Beam Schedule'!$A$2:$Q$2902,R$2,0),"")</f>
        <v>#N/A</v>
      </c>
      <c r="S265" s="7" t="e">
        <f>IF(VLOOKUP($A265,'Concrete Beam Schedule'!$A$2:$Q$2902,S$2,0)&lt;&gt;C265,VLOOKUP($A265,'Concrete Beam Schedule'!$A$2:$Q$2902,S$2,0),"")</f>
        <v>#N/A</v>
      </c>
      <c r="T265" s="7" t="e">
        <f>IF(VLOOKUP($A265,'Concrete Beam Schedule'!$A$2:$Q$2902,T$2,0)&lt;&gt;D265,"Beam Revised","")</f>
        <v>#N/A</v>
      </c>
      <c r="U265" s="7" t="e">
        <f>IF(VLOOKUP($A265,'Concrete Beam Schedule'!$A$2:$Q$2902,U$2,0)&lt;&gt;E265,"Beam Revised","")</f>
        <v>#N/A</v>
      </c>
      <c r="V265" s="7" t="e">
        <f>IF(VLOOKUP($A265,'Concrete Beam Schedule'!$A$2:$Q$2902,V$2,0)&lt;&gt;F265,"Beam Revised","")</f>
        <v>#N/A</v>
      </c>
      <c r="W265" s="7" t="e">
        <f>IF(VLOOKUP($A265,'Concrete Beam Schedule'!$A$2:$Q$2902,W$2,0)&lt;&gt;G265,"Beam Revised","")</f>
        <v>#N/A</v>
      </c>
      <c r="X265" s="7" t="e">
        <f>IF(VLOOKUP($A265,'Concrete Beam Schedule'!$A$2:$Q$2902,X$2,0)&lt;&gt;H265,"Beam Revised","")</f>
        <v>#N/A</v>
      </c>
      <c r="Y265" s="7" t="e">
        <f>IF(VLOOKUP($A265,'Concrete Beam Schedule'!$A$2:$Q$2902,Y$2,0)&lt;&gt;I265,"Beam Revised","")</f>
        <v>#N/A</v>
      </c>
      <c r="Z265" s="7" t="e">
        <f>IF(VLOOKUP($A265,'Concrete Beam Schedule'!$A$2:$Q$2902,Z$2,0)&lt;&gt;J265,"Beam Revised","")</f>
        <v>#N/A</v>
      </c>
      <c r="AA265" s="7" t="e">
        <f>IF(VLOOKUP($A265,'Concrete Beam Schedule'!$A$2:$Q$2902,AA$2,0)&lt;&gt;K265,"Beam Revised","")</f>
        <v>#N/A</v>
      </c>
      <c r="AB265" s="7" t="e">
        <f>IF(VLOOKUP($A265,'Concrete Beam Schedule'!$A$2:$Q$2902,AB$2,0)&lt;&gt;L265,"Beam Revised","")</f>
        <v>#N/A</v>
      </c>
      <c r="AC265" s="7" t="e">
        <f>IF(VLOOKUP($A265,'Concrete Beam Schedule'!$A$2:$Q$2902,AC$2,0)&lt;&gt;M265,"Beam Revised","")</f>
        <v>#N/A</v>
      </c>
      <c r="AD265" s="7" t="e">
        <f>IF(VLOOKUP($A265,'Concrete Beam Schedule'!$A$2:$Q$2902,AD$2,0)&lt;&gt;N265,"Beam Revised","")</f>
        <v>#N/A</v>
      </c>
      <c r="AE265" s="7" t="e">
        <f>IF(VLOOKUP($A265,'Concrete Beam Schedule'!$A$2:$Q$2902,AE$2,0)&lt;&gt;O265,"Beam Revised","")</f>
        <v>#N/A</v>
      </c>
    </row>
    <row r="266" spans="1:31" ht="25.5" customHeight="1" x14ac:dyDescent="0.25">
      <c r="A266" s="17"/>
      <c r="B266" s="17"/>
      <c r="C266" s="17"/>
      <c r="D266" s="17"/>
      <c r="E266" s="17"/>
      <c r="F266" s="17"/>
      <c r="G266" s="17"/>
      <c r="H266" s="17"/>
      <c r="I266" s="17"/>
      <c r="J266" s="17"/>
      <c r="K266" s="17"/>
      <c r="L266" s="17"/>
      <c r="M266" s="17"/>
      <c r="N266" s="17"/>
      <c r="O266" s="17"/>
      <c r="Q266" s="7">
        <f t="shared" si="4"/>
        <v>0</v>
      </c>
      <c r="R266" s="7" t="e">
        <f>IF(VLOOKUP($A266,'Concrete Beam Schedule'!$A$2:$Q$2902,R$2,0)&lt;&gt;B266,VLOOKUP($A266,'Concrete Beam Schedule'!$A$2:$Q$2902,R$2,0),"")</f>
        <v>#N/A</v>
      </c>
      <c r="S266" s="7" t="e">
        <f>IF(VLOOKUP($A266,'Concrete Beam Schedule'!$A$2:$Q$2902,S$2,0)&lt;&gt;C266,VLOOKUP($A266,'Concrete Beam Schedule'!$A$2:$Q$2902,S$2,0),"")</f>
        <v>#N/A</v>
      </c>
      <c r="T266" s="7" t="e">
        <f>IF(VLOOKUP($A266,'Concrete Beam Schedule'!$A$2:$Q$2902,T$2,0)&lt;&gt;D266,"Beam Revised","")</f>
        <v>#N/A</v>
      </c>
      <c r="U266" s="7" t="e">
        <f>IF(VLOOKUP($A266,'Concrete Beam Schedule'!$A$2:$Q$2902,U$2,0)&lt;&gt;E266,"Beam Revised","")</f>
        <v>#N/A</v>
      </c>
      <c r="V266" s="7" t="e">
        <f>IF(VLOOKUP($A266,'Concrete Beam Schedule'!$A$2:$Q$2902,V$2,0)&lt;&gt;F266,"Beam Revised","")</f>
        <v>#N/A</v>
      </c>
      <c r="W266" s="7" t="e">
        <f>IF(VLOOKUP($A266,'Concrete Beam Schedule'!$A$2:$Q$2902,W$2,0)&lt;&gt;G266,"Beam Revised","")</f>
        <v>#N/A</v>
      </c>
      <c r="X266" s="7" t="e">
        <f>IF(VLOOKUP($A266,'Concrete Beam Schedule'!$A$2:$Q$2902,X$2,0)&lt;&gt;H266,"Beam Revised","")</f>
        <v>#N/A</v>
      </c>
      <c r="Y266" s="7" t="e">
        <f>IF(VLOOKUP($A266,'Concrete Beam Schedule'!$A$2:$Q$2902,Y$2,0)&lt;&gt;I266,"Beam Revised","")</f>
        <v>#N/A</v>
      </c>
      <c r="Z266" s="7" t="e">
        <f>IF(VLOOKUP($A266,'Concrete Beam Schedule'!$A$2:$Q$2902,Z$2,0)&lt;&gt;J266,"Beam Revised","")</f>
        <v>#N/A</v>
      </c>
      <c r="AA266" s="7" t="e">
        <f>IF(VLOOKUP($A266,'Concrete Beam Schedule'!$A$2:$Q$2902,AA$2,0)&lt;&gt;K266,"Beam Revised","")</f>
        <v>#N/A</v>
      </c>
      <c r="AB266" s="7" t="e">
        <f>IF(VLOOKUP($A266,'Concrete Beam Schedule'!$A$2:$Q$2902,AB$2,0)&lt;&gt;L266,"Beam Revised","")</f>
        <v>#N/A</v>
      </c>
      <c r="AC266" s="7" t="e">
        <f>IF(VLOOKUP($A266,'Concrete Beam Schedule'!$A$2:$Q$2902,AC$2,0)&lt;&gt;M266,"Beam Revised","")</f>
        <v>#N/A</v>
      </c>
      <c r="AD266" s="7" t="e">
        <f>IF(VLOOKUP($A266,'Concrete Beam Schedule'!$A$2:$Q$2902,AD$2,0)&lt;&gt;N266,"Beam Revised","")</f>
        <v>#N/A</v>
      </c>
      <c r="AE266" s="7" t="e">
        <f>IF(VLOOKUP($A266,'Concrete Beam Schedule'!$A$2:$Q$2902,AE$2,0)&lt;&gt;O266,"Beam Revised","")</f>
        <v>#N/A</v>
      </c>
    </row>
    <row r="267" spans="1:31" ht="25.5" customHeight="1" x14ac:dyDescent="0.25">
      <c r="A267" s="17"/>
      <c r="B267" s="17"/>
      <c r="C267" s="17"/>
      <c r="D267" s="17"/>
      <c r="E267" s="17"/>
      <c r="F267" s="17"/>
      <c r="G267" s="17"/>
      <c r="H267" s="17"/>
      <c r="I267" s="17"/>
      <c r="J267" s="17"/>
      <c r="K267" s="17"/>
      <c r="L267" s="17"/>
      <c r="M267" s="17"/>
      <c r="N267" s="17"/>
      <c r="O267" s="17"/>
      <c r="Q267" s="7">
        <f t="shared" si="4"/>
        <v>0</v>
      </c>
      <c r="R267" s="7" t="e">
        <f>IF(VLOOKUP($A267,'Concrete Beam Schedule'!$A$2:$Q$2902,R$2,0)&lt;&gt;B267,VLOOKUP($A267,'Concrete Beam Schedule'!$A$2:$Q$2902,R$2,0),"")</f>
        <v>#N/A</v>
      </c>
      <c r="S267" s="7" t="e">
        <f>IF(VLOOKUP($A267,'Concrete Beam Schedule'!$A$2:$Q$2902,S$2,0)&lt;&gt;C267,VLOOKUP($A267,'Concrete Beam Schedule'!$A$2:$Q$2902,S$2,0),"")</f>
        <v>#N/A</v>
      </c>
      <c r="T267" s="7" t="e">
        <f>IF(VLOOKUP($A267,'Concrete Beam Schedule'!$A$2:$Q$2902,T$2,0)&lt;&gt;D267,"Beam Revised","")</f>
        <v>#N/A</v>
      </c>
      <c r="U267" s="7" t="e">
        <f>IF(VLOOKUP($A267,'Concrete Beam Schedule'!$A$2:$Q$2902,U$2,0)&lt;&gt;E267,"Beam Revised","")</f>
        <v>#N/A</v>
      </c>
      <c r="V267" s="7" t="e">
        <f>IF(VLOOKUP($A267,'Concrete Beam Schedule'!$A$2:$Q$2902,V$2,0)&lt;&gt;F267,"Beam Revised","")</f>
        <v>#N/A</v>
      </c>
      <c r="W267" s="7" t="e">
        <f>IF(VLOOKUP($A267,'Concrete Beam Schedule'!$A$2:$Q$2902,W$2,0)&lt;&gt;G267,"Beam Revised","")</f>
        <v>#N/A</v>
      </c>
      <c r="X267" s="7" t="e">
        <f>IF(VLOOKUP($A267,'Concrete Beam Schedule'!$A$2:$Q$2902,X$2,0)&lt;&gt;H267,"Beam Revised","")</f>
        <v>#N/A</v>
      </c>
      <c r="Y267" s="7" t="e">
        <f>IF(VLOOKUP($A267,'Concrete Beam Schedule'!$A$2:$Q$2902,Y$2,0)&lt;&gt;I267,"Beam Revised","")</f>
        <v>#N/A</v>
      </c>
      <c r="Z267" s="7" t="e">
        <f>IF(VLOOKUP($A267,'Concrete Beam Schedule'!$A$2:$Q$2902,Z$2,0)&lt;&gt;J267,"Beam Revised","")</f>
        <v>#N/A</v>
      </c>
      <c r="AA267" s="7" t="e">
        <f>IF(VLOOKUP($A267,'Concrete Beam Schedule'!$A$2:$Q$2902,AA$2,0)&lt;&gt;K267,"Beam Revised","")</f>
        <v>#N/A</v>
      </c>
      <c r="AB267" s="7" t="e">
        <f>IF(VLOOKUP($A267,'Concrete Beam Schedule'!$A$2:$Q$2902,AB$2,0)&lt;&gt;L267,"Beam Revised","")</f>
        <v>#N/A</v>
      </c>
      <c r="AC267" s="7" t="e">
        <f>IF(VLOOKUP($A267,'Concrete Beam Schedule'!$A$2:$Q$2902,AC$2,0)&lt;&gt;M267,"Beam Revised","")</f>
        <v>#N/A</v>
      </c>
      <c r="AD267" s="7" t="e">
        <f>IF(VLOOKUP($A267,'Concrete Beam Schedule'!$A$2:$Q$2902,AD$2,0)&lt;&gt;N267,"Beam Revised","")</f>
        <v>#N/A</v>
      </c>
      <c r="AE267" s="7" t="e">
        <f>IF(VLOOKUP($A267,'Concrete Beam Schedule'!$A$2:$Q$2902,AE$2,0)&lt;&gt;O267,"Beam Revised","")</f>
        <v>#N/A</v>
      </c>
    </row>
    <row r="268" spans="1:31" ht="25.5" customHeight="1" x14ac:dyDescent="0.25">
      <c r="A268" s="17"/>
      <c r="B268" s="17"/>
      <c r="C268" s="17"/>
      <c r="D268" s="17"/>
      <c r="E268" s="17"/>
      <c r="F268" s="17"/>
      <c r="G268" s="17"/>
      <c r="H268" s="17"/>
      <c r="I268" s="17"/>
      <c r="J268" s="17"/>
      <c r="K268" s="17"/>
      <c r="L268" s="17"/>
      <c r="M268" s="17"/>
      <c r="N268" s="17"/>
      <c r="O268" s="17"/>
      <c r="Q268" s="7">
        <f t="shared" si="4"/>
        <v>0</v>
      </c>
      <c r="R268" s="7" t="e">
        <f>IF(VLOOKUP($A268,'Concrete Beam Schedule'!$A$2:$Q$2902,R$2,0)&lt;&gt;B268,VLOOKUP($A268,'Concrete Beam Schedule'!$A$2:$Q$2902,R$2,0),"")</f>
        <v>#N/A</v>
      </c>
      <c r="S268" s="7" t="e">
        <f>IF(VLOOKUP($A268,'Concrete Beam Schedule'!$A$2:$Q$2902,S$2,0)&lt;&gt;C268,VLOOKUP($A268,'Concrete Beam Schedule'!$A$2:$Q$2902,S$2,0),"")</f>
        <v>#N/A</v>
      </c>
      <c r="T268" s="7" t="e">
        <f>IF(VLOOKUP($A268,'Concrete Beam Schedule'!$A$2:$Q$2902,T$2,0)&lt;&gt;D268,"Beam Revised","")</f>
        <v>#N/A</v>
      </c>
      <c r="U268" s="7" t="e">
        <f>IF(VLOOKUP($A268,'Concrete Beam Schedule'!$A$2:$Q$2902,U$2,0)&lt;&gt;E268,"Beam Revised","")</f>
        <v>#N/A</v>
      </c>
      <c r="V268" s="7" t="e">
        <f>IF(VLOOKUP($A268,'Concrete Beam Schedule'!$A$2:$Q$2902,V$2,0)&lt;&gt;F268,"Beam Revised","")</f>
        <v>#N/A</v>
      </c>
      <c r="W268" s="7" t="e">
        <f>IF(VLOOKUP($A268,'Concrete Beam Schedule'!$A$2:$Q$2902,W$2,0)&lt;&gt;G268,"Beam Revised","")</f>
        <v>#N/A</v>
      </c>
      <c r="X268" s="7" t="e">
        <f>IF(VLOOKUP($A268,'Concrete Beam Schedule'!$A$2:$Q$2902,X$2,0)&lt;&gt;H268,"Beam Revised","")</f>
        <v>#N/A</v>
      </c>
      <c r="Y268" s="7" t="e">
        <f>IF(VLOOKUP($A268,'Concrete Beam Schedule'!$A$2:$Q$2902,Y$2,0)&lt;&gt;I268,"Beam Revised","")</f>
        <v>#N/A</v>
      </c>
      <c r="Z268" s="7" t="e">
        <f>IF(VLOOKUP($A268,'Concrete Beam Schedule'!$A$2:$Q$2902,Z$2,0)&lt;&gt;J268,"Beam Revised","")</f>
        <v>#N/A</v>
      </c>
      <c r="AA268" s="7" t="e">
        <f>IF(VLOOKUP($A268,'Concrete Beam Schedule'!$A$2:$Q$2902,AA$2,0)&lt;&gt;K268,"Beam Revised","")</f>
        <v>#N/A</v>
      </c>
      <c r="AB268" s="7" t="e">
        <f>IF(VLOOKUP($A268,'Concrete Beam Schedule'!$A$2:$Q$2902,AB$2,0)&lt;&gt;L268,"Beam Revised","")</f>
        <v>#N/A</v>
      </c>
      <c r="AC268" s="7" t="e">
        <f>IF(VLOOKUP($A268,'Concrete Beam Schedule'!$A$2:$Q$2902,AC$2,0)&lt;&gt;M268,"Beam Revised","")</f>
        <v>#N/A</v>
      </c>
      <c r="AD268" s="7" t="e">
        <f>IF(VLOOKUP($A268,'Concrete Beam Schedule'!$A$2:$Q$2902,AD$2,0)&lt;&gt;N268,"Beam Revised","")</f>
        <v>#N/A</v>
      </c>
      <c r="AE268" s="7" t="e">
        <f>IF(VLOOKUP($A268,'Concrete Beam Schedule'!$A$2:$Q$2902,AE$2,0)&lt;&gt;O268,"Beam Revised","")</f>
        <v>#N/A</v>
      </c>
    </row>
    <row r="269" spans="1:31" ht="25.5" customHeight="1" x14ac:dyDescent="0.25">
      <c r="A269" s="17"/>
      <c r="B269" s="17"/>
      <c r="C269" s="17"/>
      <c r="D269" s="17"/>
      <c r="E269" s="17"/>
      <c r="F269" s="17"/>
      <c r="G269" s="17"/>
      <c r="H269" s="17"/>
      <c r="I269" s="17"/>
      <c r="J269" s="17"/>
      <c r="K269" s="17"/>
      <c r="L269" s="17"/>
      <c r="M269" s="17"/>
      <c r="N269" s="17"/>
      <c r="O269" s="17"/>
      <c r="Q269" s="7">
        <f t="shared" si="4"/>
        <v>0</v>
      </c>
      <c r="R269" s="7" t="e">
        <f>IF(VLOOKUP($A269,'Concrete Beam Schedule'!$A$2:$Q$2902,R$2,0)&lt;&gt;B269,VLOOKUP($A269,'Concrete Beam Schedule'!$A$2:$Q$2902,R$2,0),"")</f>
        <v>#N/A</v>
      </c>
      <c r="S269" s="7" t="e">
        <f>IF(VLOOKUP($A269,'Concrete Beam Schedule'!$A$2:$Q$2902,S$2,0)&lt;&gt;C269,VLOOKUP($A269,'Concrete Beam Schedule'!$A$2:$Q$2902,S$2,0),"")</f>
        <v>#N/A</v>
      </c>
      <c r="T269" s="7" t="e">
        <f>IF(VLOOKUP($A269,'Concrete Beam Schedule'!$A$2:$Q$2902,T$2,0)&lt;&gt;D269,"Beam Revised","")</f>
        <v>#N/A</v>
      </c>
      <c r="U269" s="7" t="e">
        <f>IF(VLOOKUP($A269,'Concrete Beam Schedule'!$A$2:$Q$2902,U$2,0)&lt;&gt;E269,"Beam Revised","")</f>
        <v>#N/A</v>
      </c>
      <c r="V269" s="7" t="e">
        <f>IF(VLOOKUP($A269,'Concrete Beam Schedule'!$A$2:$Q$2902,V$2,0)&lt;&gt;F269,"Beam Revised","")</f>
        <v>#N/A</v>
      </c>
      <c r="W269" s="7" t="e">
        <f>IF(VLOOKUP($A269,'Concrete Beam Schedule'!$A$2:$Q$2902,W$2,0)&lt;&gt;G269,"Beam Revised","")</f>
        <v>#N/A</v>
      </c>
      <c r="X269" s="7" t="e">
        <f>IF(VLOOKUP($A269,'Concrete Beam Schedule'!$A$2:$Q$2902,X$2,0)&lt;&gt;H269,"Beam Revised","")</f>
        <v>#N/A</v>
      </c>
      <c r="Y269" s="7" t="e">
        <f>IF(VLOOKUP($A269,'Concrete Beam Schedule'!$A$2:$Q$2902,Y$2,0)&lt;&gt;I269,"Beam Revised","")</f>
        <v>#N/A</v>
      </c>
      <c r="Z269" s="7" t="e">
        <f>IF(VLOOKUP($A269,'Concrete Beam Schedule'!$A$2:$Q$2902,Z$2,0)&lt;&gt;J269,"Beam Revised","")</f>
        <v>#N/A</v>
      </c>
      <c r="AA269" s="7" t="e">
        <f>IF(VLOOKUP($A269,'Concrete Beam Schedule'!$A$2:$Q$2902,AA$2,0)&lt;&gt;K269,"Beam Revised","")</f>
        <v>#N/A</v>
      </c>
      <c r="AB269" s="7" t="e">
        <f>IF(VLOOKUP($A269,'Concrete Beam Schedule'!$A$2:$Q$2902,AB$2,0)&lt;&gt;L269,"Beam Revised","")</f>
        <v>#N/A</v>
      </c>
      <c r="AC269" s="7" t="e">
        <f>IF(VLOOKUP($A269,'Concrete Beam Schedule'!$A$2:$Q$2902,AC$2,0)&lt;&gt;M269,"Beam Revised","")</f>
        <v>#N/A</v>
      </c>
      <c r="AD269" s="7" t="e">
        <f>IF(VLOOKUP($A269,'Concrete Beam Schedule'!$A$2:$Q$2902,AD$2,0)&lt;&gt;N269,"Beam Revised","")</f>
        <v>#N/A</v>
      </c>
      <c r="AE269" s="7" t="e">
        <f>IF(VLOOKUP($A269,'Concrete Beam Schedule'!$A$2:$Q$2902,AE$2,0)&lt;&gt;O269,"Beam Revised","")</f>
        <v>#N/A</v>
      </c>
    </row>
    <row r="270" spans="1:31" ht="25.5" customHeight="1" x14ac:dyDescent="0.25">
      <c r="A270" s="17"/>
      <c r="B270" s="17"/>
      <c r="C270" s="17"/>
      <c r="D270" s="17"/>
      <c r="E270" s="17"/>
      <c r="F270" s="17"/>
      <c r="G270" s="17"/>
      <c r="H270" s="17"/>
      <c r="I270" s="17"/>
      <c r="J270" s="17"/>
      <c r="K270" s="17"/>
      <c r="L270" s="17"/>
      <c r="M270" s="17"/>
      <c r="N270" s="17"/>
      <c r="O270" s="17"/>
      <c r="Q270" s="7">
        <f t="shared" si="4"/>
        <v>0</v>
      </c>
      <c r="R270" s="7" t="e">
        <f>IF(VLOOKUP($A270,'Concrete Beam Schedule'!$A$2:$Q$2902,R$2,0)&lt;&gt;B270,VLOOKUP($A270,'Concrete Beam Schedule'!$A$2:$Q$2902,R$2,0),"")</f>
        <v>#N/A</v>
      </c>
      <c r="S270" s="7" t="e">
        <f>IF(VLOOKUP($A270,'Concrete Beam Schedule'!$A$2:$Q$2902,S$2,0)&lt;&gt;C270,VLOOKUP($A270,'Concrete Beam Schedule'!$A$2:$Q$2902,S$2,0),"")</f>
        <v>#N/A</v>
      </c>
      <c r="T270" s="7" t="e">
        <f>IF(VLOOKUP($A270,'Concrete Beam Schedule'!$A$2:$Q$2902,T$2,0)&lt;&gt;D270,"Beam Revised","")</f>
        <v>#N/A</v>
      </c>
      <c r="U270" s="7" t="e">
        <f>IF(VLOOKUP($A270,'Concrete Beam Schedule'!$A$2:$Q$2902,U$2,0)&lt;&gt;E270,"Beam Revised","")</f>
        <v>#N/A</v>
      </c>
      <c r="V270" s="7" t="e">
        <f>IF(VLOOKUP($A270,'Concrete Beam Schedule'!$A$2:$Q$2902,V$2,0)&lt;&gt;F270,"Beam Revised","")</f>
        <v>#N/A</v>
      </c>
      <c r="W270" s="7" t="e">
        <f>IF(VLOOKUP($A270,'Concrete Beam Schedule'!$A$2:$Q$2902,W$2,0)&lt;&gt;G270,"Beam Revised","")</f>
        <v>#N/A</v>
      </c>
      <c r="X270" s="7" t="e">
        <f>IF(VLOOKUP($A270,'Concrete Beam Schedule'!$A$2:$Q$2902,X$2,0)&lt;&gt;H270,"Beam Revised","")</f>
        <v>#N/A</v>
      </c>
      <c r="Y270" s="7" t="e">
        <f>IF(VLOOKUP($A270,'Concrete Beam Schedule'!$A$2:$Q$2902,Y$2,0)&lt;&gt;I270,"Beam Revised","")</f>
        <v>#N/A</v>
      </c>
      <c r="Z270" s="7" t="e">
        <f>IF(VLOOKUP($A270,'Concrete Beam Schedule'!$A$2:$Q$2902,Z$2,0)&lt;&gt;J270,"Beam Revised","")</f>
        <v>#N/A</v>
      </c>
      <c r="AA270" s="7" t="e">
        <f>IF(VLOOKUP($A270,'Concrete Beam Schedule'!$A$2:$Q$2902,AA$2,0)&lt;&gt;K270,"Beam Revised","")</f>
        <v>#N/A</v>
      </c>
      <c r="AB270" s="7" t="e">
        <f>IF(VLOOKUP($A270,'Concrete Beam Schedule'!$A$2:$Q$2902,AB$2,0)&lt;&gt;L270,"Beam Revised","")</f>
        <v>#N/A</v>
      </c>
      <c r="AC270" s="7" t="e">
        <f>IF(VLOOKUP($A270,'Concrete Beam Schedule'!$A$2:$Q$2902,AC$2,0)&lt;&gt;M270,"Beam Revised","")</f>
        <v>#N/A</v>
      </c>
      <c r="AD270" s="7" t="e">
        <f>IF(VLOOKUP($A270,'Concrete Beam Schedule'!$A$2:$Q$2902,AD$2,0)&lt;&gt;N270,"Beam Revised","")</f>
        <v>#N/A</v>
      </c>
      <c r="AE270" s="7" t="e">
        <f>IF(VLOOKUP($A270,'Concrete Beam Schedule'!$A$2:$Q$2902,AE$2,0)&lt;&gt;O270,"Beam Revised","")</f>
        <v>#N/A</v>
      </c>
    </row>
    <row r="271" spans="1:31" ht="25.5" customHeight="1" x14ac:dyDescent="0.25">
      <c r="A271" s="17"/>
      <c r="B271" s="17"/>
      <c r="C271" s="17"/>
      <c r="D271" s="17"/>
      <c r="E271" s="17"/>
      <c r="F271" s="17"/>
      <c r="G271" s="17"/>
      <c r="H271" s="17"/>
      <c r="I271" s="17"/>
      <c r="J271" s="17"/>
      <c r="K271" s="17"/>
      <c r="L271" s="17"/>
      <c r="M271" s="17"/>
      <c r="N271" s="17"/>
      <c r="O271" s="17"/>
      <c r="Q271" s="7">
        <f t="shared" si="4"/>
        <v>0</v>
      </c>
      <c r="R271" s="7" t="e">
        <f>IF(VLOOKUP($A271,'Concrete Beam Schedule'!$A$2:$Q$2902,R$2,0)&lt;&gt;B271,VLOOKUP($A271,'Concrete Beam Schedule'!$A$2:$Q$2902,R$2,0),"")</f>
        <v>#N/A</v>
      </c>
      <c r="S271" s="7" t="e">
        <f>IF(VLOOKUP($A271,'Concrete Beam Schedule'!$A$2:$Q$2902,S$2,0)&lt;&gt;C271,VLOOKUP($A271,'Concrete Beam Schedule'!$A$2:$Q$2902,S$2,0),"")</f>
        <v>#N/A</v>
      </c>
      <c r="T271" s="7" t="e">
        <f>IF(VLOOKUP($A271,'Concrete Beam Schedule'!$A$2:$Q$2902,T$2,0)&lt;&gt;D271,"Beam Revised","")</f>
        <v>#N/A</v>
      </c>
      <c r="U271" s="7" t="e">
        <f>IF(VLOOKUP($A271,'Concrete Beam Schedule'!$A$2:$Q$2902,U$2,0)&lt;&gt;E271,"Beam Revised","")</f>
        <v>#N/A</v>
      </c>
      <c r="V271" s="7" t="e">
        <f>IF(VLOOKUP($A271,'Concrete Beam Schedule'!$A$2:$Q$2902,V$2,0)&lt;&gt;F271,"Beam Revised","")</f>
        <v>#N/A</v>
      </c>
      <c r="W271" s="7" t="e">
        <f>IF(VLOOKUP($A271,'Concrete Beam Schedule'!$A$2:$Q$2902,W$2,0)&lt;&gt;G271,"Beam Revised","")</f>
        <v>#N/A</v>
      </c>
      <c r="X271" s="7" t="e">
        <f>IF(VLOOKUP($A271,'Concrete Beam Schedule'!$A$2:$Q$2902,X$2,0)&lt;&gt;H271,"Beam Revised","")</f>
        <v>#N/A</v>
      </c>
      <c r="Y271" s="7" t="e">
        <f>IF(VLOOKUP($A271,'Concrete Beam Schedule'!$A$2:$Q$2902,Y$2,0)&lt;&gt;I271,"Beam Revised","")</f>
        <v>#N/A</v>
      </c>
      <c r="Z271" s="7" t="e">
        <f>IF(VLOOKUP($A271,'Concrete Beam Schedule'!$A$2:$Q$2902,Z$2,0)&lt;&gt;J271,"Beam Revised","")</f>
        <v>#N/A</v>
      </c>
      <c r="AA271" s="7" t="e">
        <f>IF(VLOOKUP($A271,'Concrete Beam Schedule'!$A$2:$Q$2902,AA$2,0)&lt;&gt;K271,"Beam Revised","")</f>
        <v>#N/A</v>
      </c>
      <c r="AB271" s="7" t="e">
        <f>IF(VLOOKUP($A271,'Concrete Beam Schedule'!$A$2:$Q$2902,AB$2,0)&lt;&gt;L271,"Beam Revised","")</f>
        <v>#N/A</v>
      </c>
      <c r="AC271" s="7" t="e">
        <f>IF(VLOOKUP($A271,'Concrete Beam Schedule'!$A$2:$Q$2902,AC$2,0)&lt;&gt;M271,"Beam Revised","")</f>
        <v>#N/A</v>
      </c>
      <c r="AD271" s="7" t="e">
        <f>IF(VLOOKUP($A271,'Concrete Beam Schedule'!$A$2:$Q$2902,AD$2,0)&lt;&gt;N271,"Beam Revised","")</f>
        <v>#N/A</v>
      </c>
      <c r="AE271" s="7" t="e">
        <f>IF(VLOOKUP($A271,'Concrete Beam Schedule'!$A$2:$Q$2902,AE$2,0)&lt;&gt;O271,"Beam Revised","")</f>
        <v>#N/A</v>
      </c>
    </row>
    <row r="272" spans="1:31" ht="25.5" customHeight="1" x14ac:dyDescent="0.25">
      <c r="A272" s="17"/>
      <c r="B272" s="17"/>
      <c r="C272" s="17"/>
      <c r="D272" s="17"/>
      <c r="E272" s="17"/>
      <c r="F272" s="17"/>
      <c r="G272" s="17"/>
      <c r="H272" s="17"/>
      <c r="I272" s="17"/>
      <c r="J272" s="17"/>
      <c r="K272" s="17"/>
      <c r="L272" s="17"/>
      <c r="M272" s="17"/>
      <c r="N272" s="17"/>
      <c r="O272" s="17"/>
      <c r="Q272" s="7">
        <f t="shared" si="4"/>
        <v>0</v>
      </c>
      <c r="R272" s="7" t="e">
        <f>IF(VLOOKUP($A272,'Concrete Beam Schedule'!$A$2:$Q$2902,R$2,0)&lt;&gt;B272,VLOOKUP($A272,'Concrete Beam Schedule'!$A$2:$Q$2902,R$2,0),"")</f>
        <v>#N/A</v>
      </c>
      <c r="S272" s="7" t="e">
        <f>IF(VLOOKUP($A272,'Concrete Beam Schedule'!$A$2:$Q$2902,S$2,0)&lt;&gt;C272,VLOOKUP($A272,'Concrete Beam Schedule'!$A$2:$Q$2902,S$2,0),"")</f>
        <v>#N/A</v>
      </c>
      <c r="T272" s="7" t="e">
        <f>IF(VLOOKUP($A272,'Concrete Beam Schedule'!$A$2:$Q$2902,T$2,0)&lt;&gt;D272,"Beam Revised","")</f>
        <v>#N/A</v>
      </c>
      <c r="U272" s="7" t="e">
        <f>IF(VLOOKUP($A272,'Concrete Beam Schedule'!$A$2:$Q$2902,U$2,0)&lt;&gt;E272,"Beam Revised","")</f>
        <v>#N/A</v>
      </c>
      <c r="V272" s="7" t="e">
        <f>IF(VLOOKUP($A272,'Concrete Beam Schedule'!$A$2:$Q$2902,V$2,0)&lt;&gt;F272,"Beam Revised","")</f>
        <v>#N/A</v>
      </c>
      <c r="W272" s="7" t="e">
        <f>IF(VLOOKUP($A272,'Concrete Beam Schedule'!$A$2:$Q$2902,W$2,0)&lt;&gt;G272,"Beam Revised","")</f>
        <v>#N/A</v>
      </c>
      <c r="X272" s="7" t="e">
        <f>IF(VLOOKUP($A272,'Concrete Beam Schedule'!$A$2:$Q$2902,X$2,0)&lt;&gt;H272,"Beam Revised","")</f>
        <v>#N/A</v>
      </c>
      <c r="Y272" s="7" t="e">
        <f>IF(VLOOKUP($A272,'Concrete Beam Schedule'!$A$2:$Q$2902,Y$2,0)&lt;&gt;I272,"Beam Revised","")</f>
        <v>#N/A</v>
      </c>
      <c r="Z272" s="7" t="e">
        <f>IF(VLOOKUP($A272,'Concrete Beam Schedule'!$A$2:$Q$2902,Z$2,0)&lt;&gt;J272,"Beam Revised","")</f>
        <v>#N/A</v>
      </c>
      <c r="AA272" s="7" t="e">
        <f>IF(VLOOKUP($A272,'Concrete Beam Schedule'!$A$2:$Q$2902,AA$2,0)&lt;&gt;K272,"Beam Revised","")</f>
        <v>#N/A</v>
      </c>
      <c r="AB272" s="7" t="e">
        <f>IF(VLOOKUP($A272,'Concrete Beam Schedule'!$A$2:$Q$2902,AB$2,0)&lt;&gt;L272,"Beam Revised","")</f>
        <v>#N/A</v>
      </c>
      <c r="AC272" s="7" t="e">
        <f>IF(VLOOKUP($A272,'Concrete Beam Schedule'!$A$2:$Q$2902,AC$2,0)&lt;&gt;M272,"Beam Revised","")</f>
        <v>#N/A</v>
      </c>
      <c r="AD272" s="7" t="e">
        <f>IF(VLOOKUP($A272,'Concrete Beam Schedule'!$A$2:$Q$2902,AD$2,0)&lt;&gt;N272,"Beam Revised","")</f>
        <v>#N/A</v>
      </c>
      <c r="AE272" s="7" t="e">
        <f>IF(VLOOKUP($A272,'Concrete Beam Schedule'!$A$2:$Q$2902,AE$2,0)&lt;&gt;O272,"Beam Revised","")</f>
        <v>#N/A</v>
      </c>
    </row>
    <row r="273" spans="1:31" ht="25.5" customHeight="1" x14ac:dyDescent="0.25">
      <c r="A273" s="17"/>
      <c r="B273" s="17"/>
      <c r="C273" s="17"/>
      <c r="D273" s="17"/>
      <c r="E273" s="17"/>
      <c r="F273" s="17"/>
      <c r="G273" s="17"/>
      <c r="H273" s="17"/>
      <c r="I273" s="17"/>
      <c r="J273" s="17"/>
      <c r="K273" s="17"/>
      <c r="L273" s="17"/>
      <c r="M273" s="17"/>
      <c r="N273" s="17"/>
      <c r="O273" s="17"/>
      <c r="Q273" s="7">
        <f t="shared" si="4"/>
        <v>0</v>
      </c>
      <c r="R273" s="7" t="e">
        <f>IF(VLOOKUP($A273,'Concrete Beam Schedule'!$A$2:$Q$2902,R$2,0)&lt;&gt;B273,VLOOKUP($A273,'Concrete Beam Schedule'!$A$2:$Q$2902,R$2,0),"")</f>
        <v>#N/A</v>
      </c>
      <c r="S273" s="7" t="e">
        <f>IF(VLOOKUP($A273,'Concrete Beam Schedule'!$A$2:$Q$2902,S$2,0)&lt;&gt;C273,VLOOKUP($A273,'Concrete Beam Schedule'!$A$2:$Q$2902,S$2,0),"")</f>
        <v>#N/A</v>
      </c>
      <c r="T273" s="7" t="e">
        <f>IF(VLOOKUP($A273,'Concrete Beam Schedule'!$A$2:$Q$2902,T$2,0)&lt;&gt;D273,"Beam Revised","")</f>
        <v>#N/A</v>
      </c>
      <c r="U273" s="7" t="e">
        <f>IF(VLOOKUP($A273,'Concrete Beam Schedule'!$A$2:$Q$2902,U$2,0)&lt;&gt;E273,"Beam Revised","")</f>
        <v>#N/A</v>
      </c>
      <c r="V273" s="7" t="e">
        <f>IF(VLOOKUP($A273,'Concrete Beam Schedule'!$A$2:$Q$2902,V$2,0)&lt;&gt;F273,"Beam Revised","")</f>
        <v>#N/A</v>
      </c>
      <c r="W273" s="7" t="e">
        <f>IF(VLOOKUP($A273,'Concrete Beam Schedule'!$A$2:$Q$2902,W$2,0)&lt;&gt;G273,"Beam Revised","")</f>
        <v>#N/A</v>
      </c>
      <c r="X273" s="7" t="e">
        <f>IF(VLOOKUP($A273,'Concrete Beam Schedule'!$A$2:$Q$2902,X$2,0)&lt;&gt;H273,"Beam Revised","")</f>
        <v>#N/A</v>
      </c>
      <c r="Y273" s="7" t="e">
        <f>IF(VLOOKUP($A273,'Concrete Beam Schedule'!$A$2:$Q$2902,Y$2,0)&lt;&gt;I273,"Beam Revised","")</f>
        <v>#N/A</v>
      </c>
      <c r="Z273" s="7" t="e">
        <f>IF(VLOOKUP($A273,'Concrete Beam Schedule'!$A$2:$Q$2902,Z$2,0)&lt;&gt;J273,"Beam Revised","")</f>
        <v>#N/A</v>
      </c>
      <c r="AA273" s="7" t="e">
        <f>IF(VLOOKUP($A273,'Concrete Beam Schedule'!$A$2:$Q$2902,AA$2,0)&lt;&gt;K273,"Beam Revised","")</f>
        <v>#N/A</v>
      </c>
      <c r="AB273" s="7" t="e">
        <f>IF(VLOOKUP($A273,'Concrete Beam Schedule'!$A$2:$Q$2902,AB$2,0)&lt;&gt;L273,"Beam Revised","")</f>
        <v>#N/A</v>
      </c>
      <c r="AC273" s="7" t="e">
        <f>IF(VLOOKUP($A273,'Concrete Beam Schedule'!$A$2:$Q$2902,AC$2,0)&lt;&gt;M273,"Beam Revised","")</f>
        <v>#N/A</v>
      </c>
      <c r="AD273" s="7" t="e">
        <f>IF(VLOOKUP($A273,'Concrete Beam Schedule'!$A$2:$Q$2902,AD$2,0)&lt;&gt;N273,"Beam Revised","")</f>
        <v>#N/A</v>
      </c>
      <c r="AE273" s="7" t="e">
        <f>IF(VLOOKUP($A273,'Concrete Beam Schedule'!$A$2:$Q$2902,AE$2,0)&lt;&gt;O273,"Beam Revised","")</f>
        <v>#N/A</v>
      </c>
    </row>
    <row r="274" spans="1:31" ht="25.5" customHeight="1" x14ac:dyDescent="0.25">
      <c r="A274" s="17"/>
      <c r="B274" s="17"/>
      <c r="C274" s="17"/>
      <c r="D274" s="17"/>
      <c r="E274" s="17"/>
      <c r="F274" s="17"/>
      <c r="G274" s="17"/>
      <c r="H274" s="17"/>
      <c r="I274" s="17"/>
      <c r="J274" s="17"/>
      <c r="K274" s="17"/>
      <c r="L274" s="17"/>
      <c r="M274" s="17"/>
      <c r="N274" s="17"/>
      <c r="O274" s="17"/>
      <c r="Q274" s="7">
        <f t="shared" si="4"/>
        <v>0</v>
      </c>
      <c r="R274" s="7" t="e">
        <f>IF(VLOOKUP($A274,'Concrete Beam Schedule'!$A$2:$Q$2902,R$2,0)&lt;&gt;B274,VLOOKUP($A274,'Concrete Beam Schedule'!$A$2:$Q$2902,R$2,0),"")</f>
        <v>#N/A</v>
      </c>
      <c r="S274" s="7" t="e">
        <f>IF(VLOOKUP($A274,'Concrete Beam Schedule'!$A$2:$Q$2902,S$2,0)&lt;&gt;C274,VLOOKUP($A274,'Concrete Beam Schedule'!$A$2:$Q$2902,S$2,0),"")</f>
        <v>#N/A</v>
      </c>
      <c r="T274" s="7" t="e">
        <f>IF(VLOOKUP($A274,'Concrete Beam Schedule'!$A$2:$Q$2902,T$2,0)&lt;&gt;D274,"Beam Revised","")</f>
        <v>#N/A</v>
      </c>
      <c r="U274" s="7" t="e">
        <f>IF(VLOOKUP($A274,'Concrete Beam Schedule'!$A$2:$Q$2902,U$2,0)&lt;&gt;E274,"Beam Revised","")</f>
        <v>#N/A</v>
      </c>
      <c r="V274" s="7" t="e">
        <f>IF(VLOOKUP($A274,'Concrete Beam Schedule'!$A$2:$Q$2902,V$2,0)&lt;&gt;F274,"Beam Revised","")</f>
        <v>#N/A</v>
      </c>
      <c r="W274" s="7" t="e">
        <f>IF(VLOOKUP($A274,'Concrete Beam Schedule'!$A$2:$Q$2902,W$2,0)&lt;&gt;G274,"Beam Revised","")</f>
        <v>#N/A</v>
      </c>
      <c r="X274" s="7" t="e">
        <f>IF(VLOOKUP($A274,'Concrete Beam Schedule'!$A$2:$Q$2902,X$2,0)&lt;&gt;H274,"Beam Revised","")</f>
        <v>#N/A</v>
      </c>
      <c r="Y274" s="7" t="e">
        <f>IF(VLOOKUP($A274,'Concrete Beam Schedule'!$A$2:$Q$2902,Y$2,0)&lt;&gt;I274,"Beam Revised","")</f>
        <v>#N/A</v>
      </c>
      <c r="Z274" s="7" t="e">
        <f>IF(VLOOKUP($A274,'Concrete Beam Schedule'!$A$2:$Q$2902,Z$2,0)&lt;&gt;J274,"Beam Revised","")</f>
        <v>#N/A</v>
      </c>
      <c r="AA274" s="7" t="e">
        <f>IF(VLOOKUP($A274,'Concrete Beam Schedule'!$A$2:$Q$2902,AA$2,0)&lt;&gt;K274,"Beam Revised","")</f>
        <v>#N/A</v>
      </c>
      <c r="AB274" s="7" t="e">
        <f>IF(VLOOKUP($A274,'Concrete Beam Schedule'!$A$2:$Q$2902,AB$2,0)&lt;&gt;L274,"Beam Revised","")</f>
        <v>#N/A</v>
      </c>
      <c r="AC274" s="7" t="e">
        <f>IF(VLOOKUP($A274,'Concrete Beam Schedule'!$A$2:$Q$2902,AC$2,0)&lt;&gt;M274,"Beam Revised","")</f>
        <v>#N/A</v>
      </c>
      <c r="AD274" s="7" t="e">
        <f>IF(VLOOKUP($A274,'Concrete Beam Schedule'!$A$2:$Q$2902,AD$2,0)&lt;&gt;N274,"Beam Revised","")</f>
        <v>#N/A</v>
      </c>
      <c r="AE274" s="7" t="e">
        <f>IF(VLOOKUP($A274,'Concrete Beam Schedule'!$A$2:$Q$2902,AE$2,0)&lt;&gt;O274,"Beam Revised","")</f>
        <v>#N/A</v>
      </c>
    </row>
    <row r="275" spans="1:31" ht="25.5" customHeight="1" x14ac:dyDescent="0.25">
      <c r="A275" s="17"/>
      <c r="B275" s="17"/>
      <c r="C275" s="17"/>
      <c r="D275" s="17"/>
      <c r="E275" s="17"/>
      <c r="F275" s="17"/>
      <c r="G275" s="17"/>
      <c r="H275" s="17"/>
      <c r="I275" s="17"/>
      <c r="J275" s="17"/>
      <c r="K275" s="17"/>
      <c r="L275" s="17"/>
      <c r="M275" s="17"/>
      <c r="N275" s="17"/>
      <c r="O275" s="17"/>
      <c r="Q275" s="7">
        <f t="shared" si="4"/>
        <v>0</v>
      </c>
      <c r="R275" s="7" t="e">
        <f>IF(VLOOKUP($A275,'Concrete Beam Schedule'!$A$2:$Q$2902,R$2,0)&lt;&gt;B275,VLOOKUP($A275,'Concrete Beam Schedule'!$A$2:$Q$2902,R$2,0),"")</f>
        <v>#N/A</v>
      </c>
      <c r="S275" s="7" t="e">
        <f>IF(VLOOKUP($A275,'Concrete Beam Schedule'!$A$2:$Q$2902,S$2,0)&lt;&gt;C275,VLOOKUP($A275,'Concrete Beam Schedule'!$A$2:$Q$2902,S$2,0),"")</f>
        <v>#N/A</v>
      </c>
      <c r="T275" s="7" t="e">
        <f>IF(VLOOKUP($A275,'Concrete Beam Schedule'!$A$2:$Q$2902,T$2,0)&lt;&gt;D275,"Beam Revised","")</f>
        <v>#N/A</v>
      </c>
      <c r="U275" s="7" t="e">
        <f>IF(VLOOKUP($A275,'Concrete Beam Schedule'!$A$2:$Q$2902,U$2,0)&lt;&gt;E275,"Beam Revised","")</f>
        <v>#N/A</v>
      </c>
      <c r="V275" s="7" t="e">
        <f>IF(VLOOKUP($A275,'Concrete Beam Schedule'!$A$2:$Q$2902,V$2,0)&lt;&gt;F275,"Beam Revised","")</f>
        <v>#N/A</v>
      </c>
      <c r="W275" s="7" t="e">
        <f>IF(VLOOKUP($A275,'Concrete Beam Schedule'!$A$2:$Q$2902,W$2,0)&lt;&gt;G275,"Beam Revised","")</f>
        <v>#N/A</v>
      </c>
      <c r="X275" s="7" t="e">
        <f>IF(VLOOKUP($A275,'Concrete Beam Schedule'!$A$2:$Q$2902,X$2,0)&lt;&gt;H275,"Beam Revised","")</f>
        <v>#N/A</v>
      </c>
      <c r="Y275" s="7" t="e">
        <f>IF(VLOOKUP($A275,'Concrete Beam Schedule'!$A$2:$Q$2902,Y$2,0)&lt;&gt;I275,"Beam Revised","")</f>
        <v>#N/A</v>
      </c>
      <c r="Z275" s="7" t="e">
        <f>IF(VLOOKUP($A275,'Concrete Beam Schedule'!$A$2:$Q$2902,Z$2,0)&lt;&gt;J275,"Beam Revised","")</f>
        <v>#N/A</v>
      </c>
      <c r="AA275" s="7" t="e">
        <f>IF(VLOOKUP($A275,'Concrete Beam Schedule'!$A$2:$Q$2902,AA$2,0)&lt;&gt;K275,"Beam Revised","")</f>
        <v>#N/A</v>
      </c>
      <c r="AB275" s="7" t="e">
        <f>IF(VLOOKUP($A275,'Concrete Beam Schedule'!$A$2:$Q$2902,AB$2,0)&lt;&gt;L275,"Beam Revised","")</f>
        <v>#N/A</v>
      </c>
      <c r="AC275" s="7" t="e">
        <f>IF(VLOOKUP($A275,'Concrete Beam Schedule'!$A$2:$Q$2902,AC$2,0)&lt;&gt;M275,"Beam Revised","")</f>
        <v>#N/A</v>
      </c>
      <c r="AD275" s="7" t="e">
        <f>IF(VLOOKUP($A275,'Concrete Beam Schedule'!$A$2:$Q$2902,AD$2,0)&lt;&gt;N275,"Beam Revised","")</f>
        <v>#N/A</v>
      </c>
      <c r="AE275" s="7" t="e">
        <f>IF(VLOOKUP($A275,'Concrete Beam Schedule'!$A$2:$Q$2902,AE$2,0)&lt;&gt;O275,"Beam Revised","")</f>
        <v>#N/A</v>
      </c>
    </row>
    <row r="276" spans="1:31" ht="25.5" customHeight="1" x14ac:dyDescent="0.25">
      <c r="A276" s="17"/>
      <c r="B276" s="17"/>
      <c r="C276" s="17"/>
      <c r="D276" s="17"/>
      <c r="E276" s="17"/>
      <c r="F276" s="17"/>
      <c r="G276" s="17"/>
      <c r="H276" s="17"/>
      <c r="I276" s="17"/>
      <c r="J276" s="17"/>
      <c r="K276" s="17"/>
      <c r="L276" s="17"/>
      <c r="M276" s="17"/>
      <c r="N276" s="17"/>
      <c r="O276" s="17"/>
      <c r="Q276" s="7">
        <f t="shared" si="4"/>
        <v>0</v>
      </c>
      <c r="R276" s="7" t="e">
        <f>IF(VLOOKUP($A276,'Concrete Beam Schedule'!$A$2:$Q$2902,R$2,0)&lt;&gt;B276,VLOOKUP($A276,'Concrete Beam Schedule'!$A$2:$Q$2902,R$2,0),"")</f>
        <v>#N/A</v>
      </c>
      <c r="S276" s="7" t="e">
        <f>IF(VLOOKUP($A276,'Concrete Beam Schedule'!$A$2:$Q$2902,S$2,0)&lt;&gt;C276,VLOOKUP($A276,'Concrete Beam Schedule'!$A$2:$Q$2902,S$2,0),"")</f>
        <v>#N/A</v>
      </c>
      <c r="T276" s="7" t="e">
        <f>IF(VLOOKUP($A276,'Concrete Beam Schedule'!$A$2:$Q$2902,T$2,0)&lt;&gt;D276,"Beam Revised","")</f>
        <v>#N/A</v>
      </c>
      <c r="U276" s="7" t="e">
        <f>IF(VLOOKUP($A276,'Concrete Beam Schedule'!$A$2:$Q$2902,U$2,0)&lt;&gt;E276,"Beam Revised","")</f>
        <v>#N/A</v>
      </c>
      <c r="V276" s="7" t="e">
        <f>IF(VLOOKUP($A276,'Concrete Beam Schedule'!$A$2:$Q$2902,V$2,0)&lt;&gt;F276,"Beam Revised","")</f>
        <v>#N/A</v>
      </c>
      <c r="W276" s="7" t="e">
        <f>IF(VLOOKUP($A276,'Concrete Beam Schedule'!$A$2:$Q$2902,W$2,0)&lt;&gt;G276,"Beam Revised","")</f>
        <v>#N/A</v>
      </c>
      <c r="X276" s="7" t="e">
        <f>IF(VLOOKUP($A276,'Concrete Beam Schedule'!$A$2:$Q$2902,X$2,0)&lt;&gt;H276,"Beam Revised","")</f>
        <v>#N/A</v>
      </c>
      <c r="Y276" s="7" t="e">
        <f>IF(VLOOKUP($A276,'Concrete Beam Schedule'!$A$2:$Q$2902,Y$2,0)&lt;&gt;I276,"Beam Revised","")</f>
        <v>#N/A</v>
      </c>
      <c r="Z276" s="7" t="e">
        <f>IF(VLOOKUP($A276,'Concrete Beam Schedule'!$A$2:$Q$2902,Z$2,0)&lt;&gt;J276,"Beam Revised","")</f>
        <v>#N/A</v>
      </c>
      <c r="AA276" s="7" t="e">
        <f>IF(VLOOKUP($A276,'Concrete Beam Schedule'!$A$2:$Q$2902,AA$2,0)&lt;&gt;K276,"Beam Revised","")</f>
        <v>#N/A</v>
      </c>
      <c r="AB276" s="7" t="e">
        <f>IF(VLOOKUP($A276,'Concrete Beam Schedule'!$A$2:$Q$2902,AB$2,0)&lt;&gt;L276,"Beam Revised","")</f>
        <v>#N/A</v>
      </c>
      <c r="AC276" s="7" t="e">
        <f>IF(VLOOKUP($A276,'Concrete Beam Schedule'!$A$2:$Q$2902,AC$2,0)&lt;&gt;M276,"Beam Revised","")</f>
        <v>#N/A</v>
      </c>
      <c r="AD276" s="7" t="e">
        <f>IF(VLOOKUP($A276,'Concrete Beam Schedule'!$A$2:$Q$2902,AD$2,0)&lt;&gt;N276,"Beam Revised","")</f>
        <v>#N/A</v>
      </c>
      <c r="AE276" s="7" t="e">
        <f>IF(VLOOKUP($A276,'Concrete Beam Schedule'!$A$2:$Q$2902,AE$2,0)&lt;&gt;O276,"Beam Revised","")</f>
        <v>#N/A</v>
      </c>
    </row>
    <row r="277" spans="1:31" ht="25.5" customHeight="1" x14ac:dyDescent="0.25">
      <c r="A277" s="17"/>
      <c r="B277" s="17"/>
      <c r="C277" s="17"/>
      <c r="D277" s="17"/>
      <c r="E277" s="17"/>
      <c r="F277" s="17"/>
      <c r="G277" s="17"/>
      <c r="H277" s="17"/>
      <c r="I277" s="17"/>
      <c r="J277" s="17"/>
      <c r="K277" s="17"/>
      <c r="L277" s="17"/>
      <c r="M277" s="17"/>
      <c r="N277" s="17"/>
      <c r="O277" s="17"/>
      <c r="Q277" s="7">
        <f t="shared" si="4"/>
        <v>0</v>
      </c>
      <c r="R277" s="7" t="e">
        <f>IF(VLOOKUP($A277,'Concrete Beam Schedule'!$A$2:$Q$2902,R$2,0)&lt;&gt;B277,VLOOKUP($A277,'Concrete Beam Schedule'!$A$2:$Q$2902,R$2,0),"")</f>
        <v>#N/A</v>
      </c>
      <c r="S277" s="7" t="e">
        <f>IF(VLOOKUP($A277,'Concrete Beam Schedule'!$A$2:$Q$2902,S$2,0)&lt;&gt;C277,VLOOKUP($A277,'Concrete Beam Schedule'!$A$2:$Q$2902,S$2,0),"")</f>
        <v>#N/A</v>
      </c>
      <c r="T277" s="7" t="e">
        <f>IF(VLOOKUP($A277,'Concrete Beam Schedule'!$A$2:$Q$2902,T$2,0)&lt;&gt;D277,"Beam Revised","")</f>
        <v>#N/A</v>
      </c>
      <c r="U277" s="7" t="e">
        <f>IF(VLOOKUP($A277,'Concrete Beam Schedule'!$A$2:$Q$2902,U$2,0)&lt;&gt;E277,"Beam Revised","")</f>
        <v>#N/A</v>
      </c>
      <c r="V277" s="7" t="e">
        <f>IF(VLOOKUP($A277,'Concrete Beam Schedule'!$A$2:$Q$2902,V$2,0)&lt;&gt;F277,"Beam Revised","")</f>
        <v>#N/A</v>
      </c>
      <c r="W277" s="7" t="e">
        <f>IF(VLOOKUP($A277,'Concrete Beam Schedule'!$A$2:$Q$2902,W$2,0)&lt;&gt;G277,"Beam Revised","")</f>
        <v>#N/A</v>
      </c>
      <c r="X277" s="7" t="e">
        <f>IF(VLOOKUP($A277,'Concrete Beam Schedule'!$A$2:$Q$2902,X$2,0)&lt;&gt;H277,"Beam Revised","")</f>
        <v>#N/A</v>
      </c>
      <c r="Y277" s="7" t="e">
        <f>IF(VLOOKUP($A277,'Concrete Beam Schedule'!$A$2:$Q$2902,Y$2,0)&lt;&gt;I277,"Beam Revised","")</f>
        <v>#N/A</v>
      </c>
      <c r="Z277" s="7" t="e">
        <f>IF(VLOOKUP($A277,'Concrete Beam Schedule'!$A$2:$Q$2902,Z$2,0)&lt;&gt;J277,"Beam Revised","")</f>
        <v>#N/A</v>
      </c>
      <c r="AA277" s="7" t="e">
        <f>IF(VLOOKUP($A277,'Concrete Beam Schedule'!$A$2:$Q$2902,AA$2,0)&lt;&gt;K277,"Beam Revised","")</f>
        <v>#N/A</v>
      </c>
      <c r="AB277" s="7" t="e">
        <f>IF(VLOOKUP($A277,'Concrete Beam Schedule'!$A$2:$Q$2902,AB$2,0)&lt;&gt;L277,"Beam Revised","")</f>
        <v>#N/A</v>
      </c>
      <c r="AC277" s="7" t="e">
        <f>IF(VLOOKUP($A277,'Concrete Beam Schedule'!$A$2:$Q$2902,AC$2,0)&lt;&gt;M277,"Beam Revised","")</f>
        <v>#N/A</v>
      </c>
      <c r="AD277" s="7" t="e">
        <f>IF(VLOOKUP($A277,'Concrete Beam Schedule'!$A$2:$Q$2902,AD$2,0)&lt;&gt;N277,"Beam Revised","")</f>
        <v>#N/A</v>
      </c>
      <c r="AE277" s="7" t="e">
        <f>IF(VLOOKUP($A277,'Concrete Beam Schedule'!$A$2:$Q$2902,AE$2,0)&lt;&gt;O277,"Beam Revised","")</f>
        <v>#N/A</v>
      </c>
    </row>
    <row r="278" spans="1:31" ht="25.5" customHeight="1" x14ac:dyDescent="0.25">
      <c r="A278" s="17"/>
      <c r="B278" s="17"/>
      <c r="C278" s="17"/>
      <c r="D278" s="17"/>
      <c r="E278" s="17"/>
      <c r="F278" s="17"/>
      <c r="G278" s="17"/>
      <c r="H278" s="17"/>
      <c r="I278" s="17"/>
      <c r="J278" s="17"/>
      <c r="K278" s="17"/>
      <c r="L278" s="17"/>
      <c r="M278" s="17"/>
      <c r="N278" s="17"/>
      <c r="O278" s="17"/>
      <c r="Q278" s="7">
        <f t="shared" si="4"/>
        <v>0</v>
      </c>
      <c r="R278" s="7" t="e">
        <f>IF(VLOOKUP($A278,'Concrete Beam Schedule'!$A$2:$Q$2902,R$2,0)&lt;&gt;B278,VLOOKUP($A278,'Concrete Beam Schedule'!$A$2:$Q$2902,R$2,0),"")</f>
        <v>#N/A</v>
      </c>
      <c r="S278" s="7" t="e">
        <f>IF(VLOOKUP($A278,'Concrete Beam Schedule'!$A$2:$Q$2902,S$2,0)&lt;&gt;C278,VLOOKUP($A278,'Concrete Beam Schedule'!$A$2:$Q$2902,S$2,0),"")</f>
        <v>#N/A</v>
      </c>
      <c r="T278" s="7" t="e">
        <f>IF(VLOOKUP($A278,'Concrete Beam Schedule'!$A$2:$Q$2902,T$2,0)&lt;&gt;D278,"Beam Revised","")</f>
        <v>#N/A</v>
      </c>
      <c r="U278" s="7" t="e">
        <f>IF(VLOOKUP($A278,'Concrete Beam Schedule'!$A$2:$Q$2902,U$2,0)&lt;&gt;E278,"Beam Revised","")</f>
        <v>#N/A</v>
      </c>
      <c r="V278" s="7" t="e">
        <f>IF(VLOOKUP($A278,'Concrete Beam Schedule'!$A$2:$Q$2902,V$2,0)&lt;&gt;F278,"Beam Revised","")</f>
        <v>#N/A</v>
      </c>
      <c r="W278" s="7" t="e">
        <f>IF(VLOOKUP($A278,'Concrete Beam Schedule'!$A$2:$Q$2902,W$2,0)&lt;&gt;G278,"Beam Revised","")</f>
        <v>#N/A</v>
      </c>
      <c r="X278" s="7" t="e">
        <f>IF(VLOOKUP($A278,'Concrete Beam Schedule'!$A$2:$Q$2902,X$2,0)&lt;&gt;H278,"Beam Revised","")</f>
        <v>#N/A</v>
      </c>
      <c r="Y278" s="7" t="e">
        <f>IF(VLOOKUP($A278,'Concrete Beam Schedule'!$A$2:$Q$2902,Y$2,0)&lt;&gt;I278,"Beam Revised","")</f>
        <v>#N/A</v>
      </c>
      <c r="Z278" s="7" t="e">
        <f>IF(VLOOKUP($A278,'Concrete Beam Schedule'!$A$2:$Q$2902,Z$2,0)&lt;&gt;J278,"Beam Revised","")</f>
        <v>#N/A</v>
      </c>
      <c r="AA278" s="7" t="e">
        <f>IF(VLOOKUP($A278,'Concrete Beam Schedule'!$A$2:$Q$2902,AA$2,0)&lt;&gt;K278,"Beam Revised","")</f>
        <v>#N/A</v>
      </c>
      <c r="AB278" s="7" t="e">
        <f>IF(VLOOKUP($A278,'Concrete Beam Schedule'!$A$2:$Q$2902,AB$2,0)&lt;&gt;L278,"Beam Revised","")</f>
        <v>#N/A</v>
      </c>
      <c r="AC278" s="7" t="e">
        <f>IF(VLOOKUP($A278,'Concrete Beam Schedule'!$A$2:$Q$2902,AC$2,0)&lt;&gt;M278,"Beam Revised","")</f>
        <v>#N/A</v>
      </c>
      <c r="AD278" s="7" t="e">
        <f>IF(VLOOKUP($A278,'Concrete Beam Schedule'!$A$2:$Q$2902,AD$2,0)&lt;&gt;N278,"Beam Revised","")</f>
        <v>#N/A</v>
      </c>
      <c r="AE278" s="7" t="e">
        <f>IF(VLOOKUP($A278,'Concrete Beam Schedule'!$A$2:$Q$2902,AE$2,0)&lt;&gt;O278,"Beam Revised","")</f>
        <v>#N/A</v>
      </c>
    </row>
    <row r="279" spans="1:31" ht="25.5" customHeight="1" x14ac:dyDescent="0.25">
      <c r="A279" s="17"/>
      <c r="B279" s="17"/>
      <c r="C279" s="17"/>
      <c r="D279" s="17"/>
      <c r="E279" s="17"/>
      <c r="F279" s="17"/>
      <c r="G279" s="17"/>
      <c r="H279" s="17"/>
      <c r="I279" s="17"/>
      <c r="J279" s="17"/>
      <c r="K279" s="17"/>
      <c r="L279" s="17"/>
      <c r="M279" s="17"/>
      <c r="N279" s="17"/>
      <c r="O279" s="17"/>
      <c r="Q279" s="7">
        <f t="shared" si="4"/>
        <v>0</v>
      </c>
      <c r="R279" s="7" t="e">
        <f>IF(VLOOKUP($A279,'Concrete Beam Schedule'!$A$2:$Q$2902,R$2,0)&lt;&gt;B279,VLOOKUP($A279,'Concrete Beam Schedule'!$A$2:$Q$2902,R$2,0),"")</f>
        <v>#N/A</v>
      </c>
      <c r="S279" s="7" t="e">
        <f>IF(VLOOKUP($A279,'Concrete Beam Schedule'!$A$2:$Q$2902,S$2,0)&lt;&gt;C279,VLOOKUP($A279,'Concrete Beam Schedule'!$A$2:$Q$2902,S$2,0),"")</f>
        <v>#N/A</v>
      </c>
      <c r="T279" s="7" t="e">
        <f>IF(VLOOKUP($A279,'Concrete Beam Schedule'!$A$2:$Q$2902,T$2,0)&lt;&gt;D279,"Beam Revised","")</f>
        <v>#N/A</v>
      </c>
      <c r="U279" s="7" t="e">
        <f>IF(VLOOKUP($A279,'Concrete Beam Schedule'!$A$2:$Q$2902,U$2,0)&lt;&gt;E279,"Beam Revised","")</f>
        <v>#N/A</v>
      </c>
      <c r="V279" s="7" t="e">
        <f>IF(VLOOKUP($A279,'Concrete Beam Schedule'!$A$2:$Q$2902,V$2,0)&lt;&gt;F279,"Beam Revised","")</f>
        <v>#N/A</v>
      </c>
      <c r="W279" s="7" t="e">
        <f>IF(VLOOKUP($A279,'Concrete Beam Schedule'!$A$2:$Q$2902,W$2,0)&lt;&gt;G279,"Beam Revised","")</f>
        <v>#N/A</v>
      </c>
      <c r="X279" s="7" t="e">
        <f>IF(VLOOKUP($A279,'Concrete Beam Schedule'!$A$2:$Q$2902,X$2,0)&lt;&gt;H279,"Beam Revised","")</f>
        <v>#N/A</v>
      </c>
      <c r="Y279" s="7" t="e">
        <f>IF(VLOOKUP($A279,'Concrete Beam Schedule'!$A$2:$Q$2902,Y$2,0)&lt;&gt;I279,"Beam Revised","")</f>
        <v>#N/A</v>
      </c>
      <c r="Z279" s="7" t="e">
        <f>IF(VLOOKUP($A279,'Concrete Beam Schedule'!$A$2:$Q$2902,Z$2,0)&lt;&gt;J279,"Beam Revised","")</f>
        <v>#N/A</v>
      </c>
      <c r="AA279" s="7" t="e">
        <f>IF(VLOOKUP($A279,'Concrete Beam Schedule'!$A$2:$Q$2902,AA$2,0)&lt;&gt;K279,"Beam Revised","")</f>
        <v>#N/A</v>
      </c>
      <c r="AB279" s="7" t="e">
        <f>IF(VLOOKUP($A279,'Concrete Beam Schedule'!$A$2:$Q$2902,AB$2,0)&lt;&gt;L279,"Beam Revised","")</f>
        <v>#N/A</v>
      </c>
      <c r="AC279" s="7" t="e">
        <f>IF(VLOOKUP($A279,'Concrete Beam Schedule'!$A$2:$Q$2902,AC$2,0)&lt;&gt;M279,"Beam Revised","")</f>
        <v>#N/A</v>
      </c>
      <c r="AD279" s="7" t="e">
        <f>IF(VLOOKUP($A279,'Concrete Beam Schedule'!$A$2:$Q$2902,AD$2,0)&lt;&gt;N279,"Beam Revised","")</f>
        <v>#N/A</v>
      </c>
      <c r="AE279" s="7" t="e">
        <f>IF(VLOOKUP($A279,'Concrete Beam Schedule'!$A$2:$Q$2902,AE$2,0)&lt;&gt;O279,"Beam Revised","")</f>
        <v>#N/A</v>
      </c>
    </row>
    <row r="280" spans="1:31" ht="25.5" customHeight="1" x14ac:dyDescent="0.25">
      <c r="A280" s="17"/>
      <c r="B280" s="17"/>
      <c r="C280" s="17"/>
      <c r="D280" s="17"/>
      <c r="E280" s="17"/>
      <c r="F280" s="17"/>
      <c r="G280" s="17"/>
      <c r="H280" s="17"/>
      <c r="I280" s="17"/>
      <c r="J280" s="17"/>
      <c r="K280" s="17"/>
      <c r="L280" s="17"/>
      <c r="M280" s="17"/>
      <c r="N280" s="17"/>
      <c r="O280" s="17"/>
      <c r="Q280" s="7">
        <f t="shared" si="4"/>
        <v>0</v>
      </c>
      <c r="R280" s="7" t="e">
        <f>IF(VLOOKUP($A280,'Concrete Beam Schedule'!$A$2:$Q$2902,R$2,0)&lt;&gt;B280,VLOOKUP($A280,'Concrete Beam Schedule'!$A$2:$Q$2902,R$2,0),"")</f>
        <v>#N/A</v>
      </c>
      <c r="S280" s="7" t="e">
        <f>IF(VLOOKUP($A280,'Concrete Beam Schedule'!$A$2:$Q$2902,S$2,0)&lt;&gt;C280,VLOOKUP($A280,'Concrete Beam Schedule'!$A$2:$Q$2902,S$2,0),"")</f>
        <v>#N/A</v>
      </c>
      <c r="T280" s="7" t="e">
        <f>IF(VLOOKUP($A280,'Concrete Beam Schedule'!$A$2:$Q$2902,T$2,0)&lt;&gt;D280,"Beam Revised","")</f>
        <v>#N/A</v>
      </c>
      <c r="U280" s="7" t="e">
        <f>IF(VLOOKUP($A280,'Concrete Beam Schedule'!$A$2:$Q$2902,U$2,0)&lt;&gt;E280,"Beam Revised","")</f>
        <v>#N/A</v>
      </c>
      <c r="V280" s="7" t="e">
        <f>IF(VLOOKUP($A280,'Concrete Beam Schedule'!$A$2:$Q$2902,V$2,0)&lt;&gt;F280,"Beam Revised","")</f>
        <v>#N/A</v>
      </c>
      <c r="W280" s="7" t="e">
        <f>IF(VLOOKUP($A280,'Concrete Beam Schedule'!$A$2:$Q$2902,W$2,0)&lt;&gt;G280,"Beam Revised","")</f>
        <v>#N/A</v>
      </c>
      <c r="X280" s="7" t="e">
        <f>IF(VLOOKUP($A280,'Concrete Beam Schedule'!$A$2:$Q$2902,X$2,0)&lt;&gt;H280,"Beam Revised","")</f>
        <v>#N/A</v>
      </c>
      <c r="Y280" s="7" t="e">
        <f>IF(VLOOKUP($A280,'Concrete Beam Schedule'!$A$2:$Q$2902,Y$2,0)&lt;&gt;I280,"Beam Revised","")</f>
        <v>#N/A</v>
      </c>
      <c r="Z280" s="7" t="e">
        <f>IF(VLOOKUP($A280,'Concrete Beam Schedule'!$A$2:$Q$2902,Z$2,0)&lt;&gt;J280,"Beam Revised","")</f>
        <v>#N/A</v>
      </c>
      <c r="AA280" s="7" t="e">
        <f>IF(VLOOKUP($A280,'Concrete Beam Schedule'!$A$2:$Q$2902,AA$2,0)&lt;&gt;K280,"Beam Revised","")</f>
        <v>#N/A</v>
      </c>
      <c r="AB280" s="7" t="e">
        <f>IF(VLOOKUP($A280,'Concrete Beam Schedule'!$A$2:$Q$2902,AB$2,0)&lt;&gt;L280,"Beam Revised","")</f>
        <v>#N/A</v>
      </c>
      <c r="AC280" s="7" t="e">
        <f>IF(VLOOKUP($A280,'Concrete Beam Schedule'!$A$2:$Q$2902,AC$2,0)&lt;&gt;M280,"Beam Revised","")</f>
        <v>#N/A</v>
      </c>
      <c r="AD280" s="7" t="e">
        <f>IF(VLOOKUP($A280,'Concrete Beam Schedule'!$A$2:$Q$2902,AD$2,0)&lt;&gt;N280,"Beam Revised","")</f>
        <v>#N/A</v>
      </c>
      <c r="AE280" s="7" t="e">
        <f>IF(VLOOKUP($A280,'Concrete Beam Schedule'!$A$2:$Q$2902,AE$2,0)&lt;&gt;O280,"Beam Revised","")</f>
        <v>#N/A</v>
      </c>
    </row>
    <row r="281" spans="1:31" ht="25.5" customHeight="1" x14ac:dyDescent="0.25">
      <c r="A281" s="17"/>
      <c r="B281" s="17"/>
      <c r="C281" s="17"/>
      <c r="D281" s="17"/>
      <c r="E281" s="17"/>
      <c r="F281" s="17"/>
      <c r="G281" s="17"/>
      <c r="H281" s="17"/>
      <c r="I281" s="17"/>
      <c r="J281" s="17"/>
      <c r="K281" s="17"/>
      <c r="L281" s="17"/>
      <c r="M281" s="17"/>
      <c r="N281" s="17"/>
      <c r="O281" s="17"/>
      <c r="Q281" s="7">
        <f t="shared" si="4"/>
        <v>0</v>
      </c>
      <c r="R281" s="7" t="e">
        <f>IF(VLOOKUP($A281,'Concrete Beam Schedule'!$A$2:$Q$2902,R$2,0)&lt;&gt;B281,VLOOKUP($A281,'Concrete Beam Schedule'!$A$2:$Q$2902,R$2,0),"")</f>
        <v>#N/A</v>
      </c>
      <c r="S281" s="7" t="e">
        <f>IF(VLOOKUP($A281,'Concrete Beam Schedule'!$A$2:$Q$2902,S$2,0)&lt;&gt;C281,VLOOKUP($A281,'Concrete Beam Schedule'!$A$2:$Q$2902,S$2,0),"")</f>
        <v>#N/A</v>
      </c>
      <c r="T281" s="7" t="e">
        <f>IF(VLOOKUP($A281,'Concrete Beam Schedule'!$A$2:$Q$2902,T$2,0)&lt;&gt;D281,"Beam Revised","")</f>
        <v>#N/A</v>
      </c>
      <c r="U281" s="7" t="e">
        <f>IF(VLOOKUP($A281,'Concrete Beam Schedule'!$A$2:$Q$2902,U$2,0)&lt;&gt;E281,"Beam Revised","")</f>
        <v>#N/A</v>
      </c>
      <c r="V281" s="7" t="e">
        <f>IF(VLOOKUP($A281,'Concrete Beam Schedule'!$A$2:$Q$2902,V$2,0)&lt;&gt;F281,"Beam Revised","")</f>
        <v>#N/A</v>
      </c>
      <c r="W281" s="7" t="e">
        <f>IF(VLOOKUP($A281,'Concrete Beam Schedule'!$A$2:$Q$2902,W$2,0)&lt;&gt;G281,"Beam Revised","")</f>
        <v>#N/A</v>
      </c>
      <c r="X281" s="7" t="e">
        <f>IF(VLOOKUP($A281,'Concrete Beam Schedule'!$A$2:$Q$2902,X$2,0)&lt;&gt;H281,"Beam Revised","")</f>
        <v>#N/A</v>
      </c>
      <c r="Y281" s="7" t="e">
        <f>IF(VLOOKUP($A281,'Concrete Beam Schedule'!$A$2:$Q$2902,Y$2,0)&lt;&gt;I281,"Beam Revised","")</f>
        <v>#N/A</v>
      </c>
      <c r="Z281" s="7" t="e">
        <f>IF(VLOOKUP($A281,'Concrete Beam Schedule'!$A$2:$Q$2902,Z$2,0)&lt;&gt;J281,"Beam Revised","")</f>
        <v>#N/A</v>
      </c>
      <c r="AA281" s="7" t="e">
        <f>IF(VLOOKUP($A281,'Concrete Beam Schedule'!$A$2:$Q$2902,AA$2,0)&lt;&gt;K281,"Beam Revised","")</f>
        <v>#N/A</v>
      </c>
      <c r="AB281" s="7" t="e">
        <f>IF(VLOOKUP($A281,'Concrete Beam Schedule'!$A$2:$Q$2902,AB$2,0)&lt;&gt;L281,"Beam Revised","")</f>
        <v>#N/A</v>
      </c>
      <c r="AC281" s="7" t="e">
        <f>IF(VLOOKUP($A281,'Concrete Beam Schedule'!$A$2:$Q$2902,AC$2,0)&lt;&gt;M281,"Beam Revised","")</f>
        <v>#N/A</v>
      </c>
      <c r="AD281" s="7" t="e">
        <f>IF(VLOOKUP($A281,'Concrete Beam Schedule'!$A$2:$Q$2902,AD$2,0)&lt;&gt;N281,"Beam Revised","")</f>
        <v>#N/A</v>
      </c>
      <c r="AE281" s="7" t="e">
        <f>IF(VLOOKUP($A281,'Concrete Beam Schedule'!$A$2:$Q$2902,AE$2,0)&lt;&gt;O281,"Beam Revised","")</f>
        <v>#N/A</v>
      </c>
    </row>
    <row r="282" spans="1:31" ht="25.5" customHeight="1" x14ac:dyDescent="0.25">
      <c r="A282" s="17"/>
      <c r="B282" s="17"/>
      <c r="C282" s="17"/>
      <c r="D282" s="17"/>
      <c r="E282" s="17"/>
      <c r="F282" s="17"/>
      <c r="G282" s="17"/>
      <c r="H282" s="17"/>
      <c r="I282" s="17"/>
      <c r="J282" s="17"/>
      <c r="K282" s="17"/>
      <c r="L282" s="17"/>
      <c r="M282" s="17"/>
      <c r="N282" s="17"/>
      <c r="O282" s="17"/>
      <c r="Q282" s="7">
        <f t="shared" si="4"/>
        <v>0</v>
      </c>
      <c r="R282" s="7" t="e">
        <f>IF(VLOOKUP($A282,'Concrete Beam Schedule'!$A$2:$Q$2902,R$2,0)&lt;&gt;B282,VLOOKUP($A282,'Concrete Beam Schedule'!$A$2:$Q$2902,R$2,0),"")</f>
        <v>#N/A</v>
      </c>
      <c r="S282" s="7" t="e">
        <f>IF(VLOOKUP($A282,'Concrete Beam Schedule'!$A$2:$Q$2902,S$2,0)&lt;&gt;C282,VLOOKUP($A282,'Concrete Beam Schedule'!$A$2:$Q$2902,S$2,0),"")</f>
        <v>#N/A</v>
      </c>
      <c r="T282" s="7" t="e">
        <f>IF(VLOOKUP($A282,'Concrete Beam Schedule'!$A$2:$Q$2902,T$2,0)&lt;&gt;D282,"Beam Revised","")</f>
        <v>#N/A</v>
      </c>
      <c r="U282" s="7" t="e">
        <f>IF(VLOOKUP($A282,'Concrete Beam Schedule'!$A$2:$Q$2902,U$2,0)&lt;&gt;E282,"Beam Revised","")</f>
        <v>#N/A</v>
      </c>
      <c r="V282" s="7" t="e">
        <f>IF(VLOOKUP($A282,'Concrete Beam Schedule'!$A$2:$Q$2902,V$2,0)&lt;&gt;F282,"Beam Revised","")</f>
        <v>#N/A</v>
      </c>
      <c r="W282" s="7" t="e">
        <f>IF(VLOOKUP($A282,'Concrete Beam Schedule'!$A$2:$Q$2902,W$2,0)&lt;&gt;G282,"Beam Revised","")</f>
        <v>#N/A</v>
      </c>
      <c r="X282" s="7" t="e">
        <f>IF(VLOOKUP($A282,'Concrete Beam Schedule'!$A$2:$Q$2902,X$2,0)&lt;&gt;H282,"Beam Revised","")</f>
        <v>#N/A</v>
      </c>
      <c r="Y282" s="7" t="e">
        <f>IF(VLOOKUP($A282,'Concrete Beam Schedule'!$A$2:$Q$2902,Y$2,0)&lt;&gt;I282,"Beam Revised","")</f>
        <v>#N/A</v>
      </c>
      <c r="Z282" s="7" t="e">
        <f>IF(VLOOKUP($A282,'Concrete Beam Schedule'!$A$2:$Q$2902,Z$2,0)&lt;&gt;J282,"Beam Revised","")</f>
        <v>#N/A</v>
      </c>
      <c r="AA282" s="7" t="e">
        <f>IF(VLOOKUP($A282,'Concrete Beam Schedule'!$A$2:$Q$2902,AA$2,0)&lt;&gt;K282,"Beam Revised","")</f>
        <v>#N/A</v>
      </c>
      <c r="AB282" s="7" t="e">
        <f>IF(VLOOKUP($A282,'Concrete Beam Schedule'!$A$2:$Q$2902,AB$2,0)&lt;&gt;L282,"Beam Revised","")</f>
        <v>#N/A</v>
      </c>
      <c r="AC282" s="7" t="e">
        <f>IF(VLOOKUP($A282,'Concrete Beam Schedule'!$A$2:$Q$2902,AC$2,0)&lt;&gt;M282,"Beam Revised","")</f>
        <v>#N/A</v>
      </c>
      <c r="AD282" s="7" t="e">
        <f>IF(VLOOKUP($A282,'Concrete Beam Schedule'!$A$2:$Q$2902,AD$2,0)&lt;&gt;N282,"Beam Revised","")</f>
        <v>#N/A</v>
      </c>
      <c r="AE282" s="7" t="e">
        <f>IF(VLOOKUP($A282,'Concrete Beam Schedule'!$A$2:$Q$2902,AE$2,0)&lt;&gt;O282,"Beam Revised","")</f>
        <v>#N/A</v>
      </c>
    </row>
    <row r="283" spans="1:31" ht="25.5" customHeight="1" x14ac:dyDescent="0.25">
      <c r="A283" s="17"/>
      <c r="B283" s="17"/>
      <c r="C283" s="17"/>
      <c r="D283" s="17"/>
      <c r="E283" s="17"/>
      <c r="F283" s="17"/>
      <c r="G283" s="17"/>
      <c r="H283" s="17"/>
      <c r="I283" s="17"/>
      <c r="J283" s="17"/>
      <c r="K283" s="17"/>
      <c r="L283" s="17"/>
      <c r="M283" s="17"/>
      <c r="N283" s="17"/>
      <c r="O283" s="17"/>
      <c r="Q283" s="7">
        <f t="shared" si="4"/>
        <v>0</v>
      </c>
      <c r="R283" s="7" t="e">
        <f>IF(VLOOKUP($A283,'Concrete Beam Schedule'!$A$2:$Q$2902,R$2,0)&lt;&gt;B283,VLOOKUP($A283,'Concrete Beam Schedule'!$A$2:$Q$2902,R$2,0),"")</f>
        <v>#N/A</v>
      </c>
      <c r="S283" s="7" t="e">
        <f>IF(VLOOKUP($A283,'Concrete Beam Schedule'!$A$2:$Q$2902,S$2,0)&lt;&gt;C283,VLOOKUP($A283,'Concrete Beam Schedule'!$A$2:$Q$2902,S$2,0),"")</f>
        <v>#N/A</v>
      </c>
      <c r="T283" s="7" t="e">
        <f>IF(VLOOKUP($A283,'Concrete Beam Schedule'!$A$2:$Q$2902,T$2,0)&lt;&gt;D283,"Beam Revised","")</f>
        <v>#N/A</v>
      </c>
      <c r="U283" s="7" t="e">
        <f>IF(VLOOKUP($A283,'Concrete Beam Schedule'!$A$2:$Q$2902,U$2,0)&lt;&gt;E283,"Beam Revised","")</f>
        <v>#N/A</v>
      </c>
      <c r="V283" s="7" t="e">
        <f>IF(VLOOKUP($A283,'Concrete Beam Schedule'!$A$2:$Q$2902,V$2,0)&lt;&gt;F283,"Beam Revised","")</f>
        <v>#N/A</v>
      </c>
      <c r="W283" s="7" t="e">
        <f>IF(VLOOKUP($A283,'Concrete Beam Schedule'!$A$2:$Q$2902,W$2,0)&lt;&gt;G283,"Beam Revised","")</f>
        <v>#N/A</v>
      </c>
      <c r="X283" s="7" t="e">
        <f>IF(VLOOKUP($A283,'Concrete Beam Schedule'!$A$2:$Q$2902,X$2,0)&lt;&gt;H283,"Beam Revised","")</f>
        <v>#N/A</v>
      </c>
      <c r="Y283" s="7" t="e">
        <f>IF(VLOOKUP($A283,'Concrete Beam Schedule'!$A$2:$Q$2902,Y$2,0)&lt;&gt;I283,"Beam Revised","")</f>
        <v>#N/A</v>
      </c>
      <c r="Z283" s="7" t="e">
        <f>IF(VLOOKUP($A283,'Concrete Beam Schedule'!$A$2:$Q$2902,Z$2,0)&lt;&gt;J283,"Beam Revised","")</f>
        <v>#N/A</v>
      </c>
      <c r="AA283" s="7" t="e">
        <f>IF(VLOOKUP($A283,'Concrete Beam Schedule'!$A$2:$Q$2902,AA$2,0)&lt;&gt;K283,"Beam Revised","")</f>
        <v>#N/A</v>
      </c>
      <c r="AB283" s="7" t="e">
        <f>IF(VLOOKUP($A283,'Concrete Beam Schedule'!$A$2:$Q$2902,AB$2,0)&lt;&gt;L283,"Beam Revised","")</f>
        <v>#N/A</v>
      </c>
      <c r="AC283" s="7" t="e">
        <f>IF(VLOOKUP($A283,'Concrete Beam Schedule'!$A$2:$Q$2902,AC$2,0)&lt;&gt;M283,"Beam Revised","")</f>
        <v>#N/A</v>
      </c>
      <c r="AD283" s="7" t="e">
        <f>IF(VLOOKUP($A283,'Concrete Beam Schedule'!$A$2:$Q$2902,AD$2,0)&lt;&gt;N283,"Beam Revised","")</f>
        <v>#N/A</v>
      </c>
      <c r="AE283" s="7" t="e">
        <f>IF(VLOOKUP($A283,'Concrete Beam Schedule'!$A$2:$Q$2902,AE$2,0)&lt;&gt;O283,"Beam Revised","")</f>
        <v>#N/A</v>
      </c>
    </row>
    <row r="284" spans="1:31" ht="25.5" customHeight="1" x14ac:dyDescent="0.25">
      <c r="A284" s="17"/>
      <c r="B284" s="17"/>
      <c r="C284" s="17"/>
      <c r="D284" s="17"/>
      <c r="E284" s="17"/>
      <c r="F284" s="17"/>
      <c r="G284" s="17"/>
      <c r="H284" s="17"/>
      <c r="I284" s="17"/>
      <c r="J284" s="17"/>
      <c r="K284" s="17"/>
      <c r="L284" s="17"/>
      <c r="M284" s="17"/>
      <c r="N284" s="17"/>
      <c r="O284" s="17"/>
      <c r="Q284" s="7">
        <f t="shared" si="4"/>
        <v>0</v>
      </c>
      <c r="R284" s="7" t="e">
        <f>IF(VLOOKUP($A284,'Concrete Beam Schedule'!$A$2:$Q$2902,R$2,0)&lt;&gt;B284,VLOOKUP($A284,'Concrete Beam Schedule'!$A$2:$Q$2902,R$2,0),"")</f>
        <v>#N/A</v>
      </c>
      <c r="S284" s="7" t="e">
        <f>IF(VLOOKUP($A284,'Concrete Beam Schedule'!$A$2:$Q$2902,S$2,0)&lt;&gt;C284,VLOOKUP($A284,'Concrete Beam Schedule'!$A$2:$Q$2902,S$2,0),"")</f>
        <v>#N/A</v>
      </c>
      <c r="T284" s="7" t="e">
        <f>IF(VLOOKUP($A284,'Concrete Beam Schedule'!$A$2:$Q$2902,T$2,0)&lt;&gt;D284,"Beam Revised","")</f>
        <v>#N/A</v>
      </c>
      <c r="U284" s="7" t="e">
        <f>IF(VLOOKUP($A284,'Concrete Beam Schedule'!$A$2:$Q$2902,U$2,0)&lt;&gt;E284,"Beam Revised","")</f>
        <v>#N/A</v>
      </c>
      <c r="V284" s="7" t="e">
        <f>IF(VLOOKUP($A284,'Concrete Beam Schedule'!$A$2:$Q$2902,V$2,0)&lt;&gt;F284,"Beam Revised","")</f>
        <v>#N/A</v>
      </c>
      <c r="W284" s="7" t="e">
        <f>IF(VLOOKUP($A284,'Concrete Beam Schedule'!$A$2:$Q$2902,W$2,0)&lt;&gt;G284,"Beam Revised","")</f>
        <v>#N/A</v>
      </c>
      <c r="X284" s="7" t="e">
        <f>IF(VLOOKUP($A284,'Concrete Beam Schedule'!$A$2:$Q$2902,X$2,0)&lt;&gt;H284,"Beam Revised","")</f>
        <v>#N/A</v>
      </c>
      <c r="Y284" s="7" t="e">
        <f>IF(VLOOKUP($A284,'Concrete Beam Schedule'!$A$2:$Q$2902,Y$2,0)&lt;&gt;I284,"Beam Revised","")</f>
        <v>#N/A</v>
      </c>
      <c r="Z284" s="7" t="e">
        <f>IF(VLOOKUP($A284,'Concrete Beam Schedule'!$A$2:$Q$2902,Z$2,0)&lt;&gt;J284,"Beam Revised","")</f>
        <v>#N/A</v>
      </c>
      <c r="AA284" s="7" t="e">
        <f>IF(VLOOKUP($A284,'Concrete Beam Schedule'!$A$2:$Q$2902,AA$2,0)&lt;&gt;K284,"Beam Revised","")</f>
        <v>#N/A</v>
      </c>
      <c r="AB284" s="7" t="e">
        <f>IF(VLOOKUP($A284,'Concrete Beam Schedule'!$A$2:$Q$2902,AB$2,0)&lt;&gt;L284,"Beam Revised","")</f>
        <v>#N/A</v>
      </c>
      <c r="AC284" s="7" t="e">
        <f>IF(VLOOKUP($A284,'Concrete Beam Schedule'!$A$2:$Q$2902,AC$2,0)&lt;&gt;M284,"Beam Revised","")</f>
        <v>#N/A</v>
      </c>
      <c r="AD284" s="7" t="e">
        <f>IF(VLOOKUP($A284,'Concrete Beam Schedule'!$A$2:$Q$2902,AD$2,0)&lt;&gt;N284,"Beam Revised","")</f>
        <v>#N/A</v>
      </c>
      <c r="AE284" s="7" t="e">
        <f>IF(VLOOKUP($A284,'Concrete Beam Schedule'!$A$2:$Q$2902,AE$2,0)&lt;&gt;O284,"Beam Revised","")</f>
        <v>#N/A</v>
      </c>
    </row>
    <row r="285" spans="1:31" ht="25.5" customHeight="1" x14ac:dyDescent="0.25">
      <c r="A285" s="17"/>
      <c r="B285" s="17"/>
      <c r="C285" s="17"/>
      <c r="D285" s="17"/>
      <c r="E285" s="17"/>
      <c r="F285" s="17"/>
      <c r="G285" s="17"/>
      <c r="H285" s="17"/>
      <c r="I285" s="17"/>
      <c r="J285" s="17"/>
      <c r="K285" s="17"/>
      <c r="L285" s="17"/>
      <c r="M285" s="17"/>
      <c r="N285" s="17"/>
      <c r="O285" s="17"/>
      <c r="Q285" s="7">
        <f t="shared" si="4"/>
        <v>0</v>
      </c>
      <c r="R285" s="7" t="e">
        <f>IF(VLOOKUP($A285,'Concrete Beam Schedule'!$A$2:$Q$2902,R$2,0)&lt;&gt;B285,VLOOKUP($A285,'Concrete Beam Schedule'!$A$2:$Q$2902,R$2,0),"")</f>
        <v>#N/A</v>
      </c>
      <c r="S285" s="7" t="e">
        <f>IF(VLOOKUP($A285,'Concrete Beam Schedule'!$A$2:$Q$2902,S$2,0)&lt;&gt;C285,VLOOKUP($A285,'Concrete Beam Schedule'!$A$2:$Q$2902,S$2,0),"")</f>
        <v>#N/A</v>
      </c>
      <c r="T285" s="7" t="e">
        <f>IF(VLOOKUP($A285,'Concrete Beam Schedule'!$A$2:$Q$2902,T$2,0)&lt;&gt;D285,"Beam Revised","")</f>
        <v>#N/A</v>
      </c>
      <c r="U285" s="7" t="e">
        <f>IF(VLOOKUP($A285,'Concrete Beam Schedule'!$A$2:$Q$2902,U$2,0)&lt;&gt;E285,"Beam Revised","")</f>
        <v>#N/A</v>
      </c>
      <c r="V285" s="7" t="e">
        <f>IF(VLOOKUP($A285,'Concrete Beam Schedule'!$A$2:$Q$2902,V$2,0)&lt;&gt;F285,"Beam Revised","")</f>
        <v>#N/A</v>
      </c>
      <c r="W285" s="7" t="e">
        <f>IF(VLOOKUP($A285,'Concrete Beam Schedule'!$A$2:$Q$2902,W$2,0)&lt;&gt;G285,"Beam Revised","")</f>
        <v>#N/A</v>
      </c>
      <c r="X285" s="7" t="e">
        <f>IF(VLOOKUP($A285,'Concrete Beam Schedule'!$A$2:$Q$2902,X$2,0)&lt;&gt;H285,"Beam Revised","")</f>
        <v>#N/A</v>
      </c>
      <c r="Y285" s="7" t="e">
        <f>IF(VLOOKUP($A285,'Concrete Beam Schedule'!$A$2:$Q$2902,Y$2,0)&lt;&gt;I285,"Beam Revised","")</f>
        <v>#N/A</v>
      </c>
      <c r="Z285" s="7" t="e">
        <f>IF(VLOOKUP($A285,'Concrete Beam Schedule'!$A$2:$Q$2902,Z$2,0)&lt;&gt;J285,"Beam Revised","")</f>
        <v>#N/A</v>
      </c>
      <c r="AA285" s="7" t="e">
        <f>IF(VLOOKUP($A285,'Concrete Beam Schedule'!$A$2:$Q$2902,AA$2,0)&lt;&gt;K285,"Beam Revised","")</f>
        <v>#N/A</v>
      </c>
      <c r="AB285" s="7" t="e">
        <f>IF(VLOOKUP($A285,'Concrete Beam Schedule'!$A$2:$Q$2902,AB$2,0)&lt;&gt;L285,"Beam Revised","")</f>
        <v>#N/A</v>
      </c>
      <c r="AC285" s="7" t="e">
        <f>IF(VLOOKUP($A285,'Concrete Beam Schedule'!$A$2:$Q$2902,AC$2,0)&lt;&gt;M285,"Beam Revised","")</f>
        <v>#N/A</v>
      </c>
      <c r="AD285" s="7" t="e">
        <f>IF(VLOOKUP($A285,'Concrete Beam Schedule'!$A$2:$Q$2902,AD$2,0)&lt;&gt;N285,"Beam Revised","")</f>
        <v>#N/A</v>
      </c>
      <c r="AE285" s="7" t="e">
        <f>IF(VLOOKUP($A285,'Concrete Beam Schedule'!$A$2:$Q$2902,AE$2,0)&lt;&gt;O285,"Beam Revised","")</f>
        <v>#N/A</v>
      </c>
    </row>
    <row r="286" spans="1:31" ht="25.5" customHeight="1" x14ac:dyDescent="0.25">
      <c r="A286" s="17"/>
      <c r="B286" s="17"/>
      <c r="C286" s="17"/>
      <c r="D286" s="17"/>
      <c r="E286" s="17"/>
      <c r="F286" s="17"/>
      <c r="G286" s="17"/>
      <c r="H286" s="17"/>
      <c r="I286" s="17"/>
      <c r="J286" s="17"/>
      <c r="K286" s="17"/>
      <c r="L286" s="17"/>
      <c r="M286" s="17"/>
      <c r="N286" s="17"/>
      <c r="O286" s="17"/>
      <c r="Q286" s="7">
        <f t="shared" si="4"/>
        <v>0</v>
      </c>
      <c r="R286" s="7" t="e">
        <f>IF(VLOOKUP($A286,'Concrete Beam Schedule'!$A$2:$Q$2902,R$2,0)&lt;&gt;B286,VLOOKUP($A286,'Concrete Beam Schedule'!$A$2:$Q$2902,R$2,0),"")</f>
        <v>#N/A</v>
      </c>
      <c r="S286" s="7" t="e">
        <f>IF(VLOOKUP($A286,'Concrete Beam Schedule'!$A$2:$Q$2902,S$2,0)&lt;&gt;C286,VLOOKUP($A286,'Concrete Beam Schedule'!$A$2:$Q$2902,S$2,0),"")</f>
        <v>#N/A</v>
      </c>
      <c r="T286" s="7" t="e">
        <f>IF(VLOOKUP($A286,'Concrete Beam Schedule'!$A$2:$Q$2902,T$2,0)&lt;&gt;D286,"Beam Revised","")</f>
        <v>#N/A</v>
      </c>
      <c r="U286" s="7" t="e">
        <f>IF(VLOOKUP($A286,'Concrete Beam Schedule'!$A$2:$Q$2902,U$2,0)&lt;&gt;E286,"Beam Revised","")</f>
        <v>#N/A</v>
      </c>
      <c r="V286" s="7" t="e">
        <f>IF(VLOOKUP($A286,'Concrete Beam Schedule'!$A$2:$Q$2902,V$2,0)&lt;&gt;F286,"Beam Revised","")</f>
        <v>#N/A</v>
      </c>
      <c r="W286" s="7" t="e">
        <f>IF(VLOOKUP($A286,'Concrete Beam Schedule'!$A$2:$Q$2902,W$2,0)&lt;&gt;G286,"Beam Revised","")</f>
        <v>#N/A</v>
      </c>
      <c r="X286" s="7" t="e">
        <f>IF(VLOOKUP($A286,'Concrete Beam Schedule'!$A$2:$Q$2902,X$2,0)&lt;&gt;H286,"Beam Revised","")</f>
        <v>#N/A</v>
      </c>
      <c r="Y286" s="7" t="e">
        <f>IF(VLOOKUP($A286,'Concrete Beam Schedule'!$A$2:$Q$2902,Y$2,0)&lt;&gt;I286,"Beam Revised","")</f>
        <v>#N/A</v>
      </c>
      <c r="Z286" s="7" t="e">
        <f>IF(VLOOKUP($A286,'Concrete Beam Schedule'!$A$2:$Q$2902,Z$2,0)&lt;&gt;J286,"Beam Revised","")</f>
        <v>#N/A</v>
      </c>
      <c r="AA286" s="7" t="e">
        <f>IF(VLOOKUP($A286,'Concrete Beam Schedule'!$A$2:$Q$2902,AA$2,0)&lt;&gt;K286,"Beam Revised","")</f>
        <v>#N/A</v>
      </c>
      <c r="AB286" s="7" t="e">
        <f>IF(VLOOKUP($A286,'Concrete Beam Schedule'!$A$2:$Q$2902,AB$2,0)&lt;&gt;L286,"Beam Revised","")</f>
        <v>#N/A</v>
      </c>
      <c r="AC286" s="7" t="e">
        <f>IF(VLOOKUP($A286,'Concrete Beam Schedule'!$A$2:$Q$2902,AC$2,0)&lt;&gt;M286,"Beam Revised","")</f>
        <v>#N/A</v>
      </c>
      <c r="AD286" s="7" t="e">
        <f>IF(VLOOKUP($A286,'Concrete Beam Schedule'!$A$2:$Q$2902,AD$2,0)&lt;&gt;N286,"Beam Revised","")</f>
        <v>#N/A</v>
      </c>
      <c r="AE286" s="7" t="e">
        <f>IF(VLOOKUP($A286,'Concrete Beam Schedule'!$A$2:$Q$2902,AE$2,0)&lt;&gt;O286,"Beam Revised","")</f>
        <v>#N/A</v>
      </c>
    </row>
    <row r="287" spans="1:31" ht="25.5" customHeight="1" x14ac:dyDescent="0.25">
      <c r="A287" s="17"/>
      <c r="B287" s="17"/>
      <c r="C287" s="17"/>
      <c r="D287" s="17"/>
      <c r="E287" s="17"/>
      <c r="F287" s="17"/>
      <c r="G287" s="17"/>
      <c r="H287" s="17"/>
      <c r="I287" s="17"/>
      <c r="J287" s="17"/>
      <c r="K287" s="17"/>
      <c r="L287" s="17"/>
      <c r="M287" s="17"/>
      <c r="N287" s="17"/>
      <c r="O287" s="17"/>
      <c r="Q287" s="7">
        <f t="shared" si="4"/>
        <v>0</v>
      </c>
      <c r="R287" s="7" t="e">
        <f>IF(VLOOKUP($A287,'Concrete Beam Schedule'!$A$2:$Q$2902,R$2,0)&lt;&gt;B287,VLOOKUP($A287,'Concrete Beam Schedule'!$A$2:$Q$2902,R$2,0),"")</f>
        <v>#N/A</v>
      </c>
      <c r="S287" s="7" t="e">
        <f>IF(VLOOKUP($A287,'Concrete Beam Schedule'!$A$2:$Q$2902,S$2,0)&lt;&gt;C287,VLOOKUP($A287,'Concrete Beam Schedule'!$A$2:$Q$2902,S$2,0),"")</f>
        <v>#N/A</v>
      </c>
      <c r="T287" s="7" t="e">
        <f>IF(VLOOKUP($A287,'Concrete Beam Schedule'!$A$2:$Q$2902,T$2,0)&lt;&gt;D287,"Beam Revised","")</f>
        <v>#N/A</v>
      </c>
      <c r="U287" s="7" t="e">
        <f>IF(VLOOKUP($A287,'Concrete Beam Schedule'!$A$2:$Q$2902,U$2,0)&lt;&gt;E287,"Beam Revised","")</f>
        <v>#N/A</v>
      </c>
      <c r="V287" s="7" t="e">
        <f>IF(VLOOKUP($A287,'Concrete Beam Schedule'!$A$2:$Q$2902,V$2,0)&lt;&gt;F287,"Beam Revised","")</f>
        <v>#N/A</v>
      </c>
      <c r="W287" s="7" t="e">
        <f>IF(VLOOKUP($A287,'Concrete Beam Schedule'!$A$2:$Q$2902,W$2,0)&lt;&gt;G287,"Beam Revised","")</f>
        <v>#N/A</v>
      </c>
      <c r="X287" s="7" t="e">
        <f>IF(VLOOKUP($A287,'Concrete Beam Schedule'!$A$2:$Q$2902,X$2,0)&lt;&gt;H287,"Beam Revised","")</f>
        <v>#N/A</v>
      </c>
      <c r="Y287" s="7" t="e">
        <f>IF(VLOOKUP($A287,'Concrete Beam Schedule'!$A$2:$Q$2902,Y$2,0)&lt;&gt;I287,"Beam Revised","")</f>
        <v>#N/A</v>
      </c>
      <c r="Z287" s="7" t="e">
        <f>IF(VLOOKUP($A287,'Concrete Beam Schedule'!$A$2:$Q$2902,Z$2,0)&lt;&gt;J287,"Beam Revised","")</f>
        <v>#N/A</v>
      </c>
      <c r="AA287" s="7" t="e">
        <f>IF(VLOOKUP($A287,'Concrete Beam Schedule'!$A$2:$Q$2902,AA$2,0)&lt;&gt;K287,"Beam Revised","")</f>
        <v>#N/A</v>
      </c>
      <c r="AB287" s="7" t="e">
        <f>IF(VLOOKUP($A287,'Concrete Beam Schedule'!$A$2:$Q$2902,AB$2,0)&lt;&gt;L287,"Beam Revised","")</f>
        <v>#N/A</v>
      </c>
      <c r="AC287" s="7" t="e">
        <f>IF(VLOOKUP($A287,'Concrete Beam Schedule'!$A$2:$Q$2902,AC$2,0)&lt;&gt;M287,"Beam Revised","")</f>
        <v>#N/A</v>
      </c>
      <c r="AD287" s="7" t="e">
        <f>IF(VLOOKUP($A287,'Concrete Beam Schedule'!$A$2:$Q$2902,AD$2,0)&lt;&gt;N287,"Beam Revised","")</f>
        <v>#N/A</v>
      </c>
      <c r="AE287" s="7" t="e">
        <f>IF(VLOOKUP($A287,'Concrete Beam Schedule'!$A$2:$Q$2902,AE$2,0)&lt;&gt;O287,"Beam Revised","")</f>
        <v>#N/A</v>
      </c>
    </row>
    <row r="288" spans="1:31" ht="25.5" customHeight="1" x14ac:dyDescent="0.25">
      <c r="A288" s="17"/>
      <c r="B288" s="17"/>
      <c r="C288" s="17"/>
      <c r="D288" s="17"/>
      <c r="E288" s="17"/>
      <c r="F288" s="17"/>
      <c r="G288" s="17"/>
      <c r="H288" s="17"/>
      <c r="I288" s="17"/>
      <c r="J288" s="17"/>
      <c r="K288" s="17"/>
      <c r="L288" s="17"/>
      <c r="M288" s="17"/>
      <c r="N288" s="17"/>
      <c r="O288" s="17"/>
      <c r="Q288" s="7">
        <f t="shared" si="4"/>
        <v>0</v>
      </c>
      <c r="R288" s="7" t="e">
        <f>IF(VLOOKUP($A288,'Concrete Beam Schedule'!$A$2:$Q$2902,R$2,0)&lt;&gt;B288,VLOOKUP($A288,'Concrete Beam Schedule'!$A$2:$Q$2902,R$2,0),"")</f>
        <v>#N/A</v>
      </c>
      <c r="S288" s="7" t="e">
        <f>IF(VLOOKUP($A288,'Concrete Beam Schedule'!$A$2:$Q$2902,S$2,0)&lt;&gt;C288,VLOOKUP($A288,'Concrete Beam Schedule'!$A$2:$Q$2902,S$2,0),"")</f>
        <v>#N/A</v>
      </c>
      <c r="T288" s="7" t="e">
        <f>IF(VLOOKUP($A288,'Concrete Beam Schedule'!$A$2:$Q$2902,T$2,0)&lt;&gt;D288,"Beam Revised","")</f>
        <v>#N/A</v>
      </c>
      <c r="U288" s="7" t="e">
        <f>IF(VLOOKUP($A288,'Concrete Beam Schedule'!$A$2:$Q$2902,U$2,0)&lt;&gt;E288,"Beam Revised","")</f>
        <v>#N/A</v>
      </c>
      <c r="V288" s="7" t="e">
        <f>IF(VLOOKUP($A288,'Concrete Beam Schedule'!$A$2:$Q$2902,V$2,0)&lt;&gt;F288,"Beam Revised","")</f>
        <v>#N/A</v>
      </c>
      <c r="W288" s="7" t="e">
        <f>IF(VLOOKUP($A288,'Concrete Beam Schedule'!$A$2:$Q$2902,W$2,0)&lt;&gt;G288,"Beam Revised","")</f>
        <v>#N/A</v>
      </c>
      <c r="X288" s="7" t="e">
        <f>IF(VLOOKUP($A288,'Concrete Beam Schedule'!$A$2:$Q$2902,X$2,0)&lt;&gt;H288,"Beam Revised","")</f>
        <v>#N/A</v>
      </c>
      <c r="Y288" s="7" t="e">
        <f>IF(VLOOKUP($A288,'Concrete Beam Schedule'!$A$2:$Q$2902,Y$2,0)&lt;&gt;I288,"Beam Revised","")</f>
        <v>#N/A</v>
      </c>
      <c r="Z288" s="7" t="e">
        <f>IF(VLOOKUP($A288,'Concrete Beam Schedule'!$A$2:$Q$2902,Z$2,0)&lt;&gt;J288,"Beam Revised","")</f>
        <v>#N/A</v>
      </c>
      <c r="AA288" s="7" t="e">
        <f>IF(VLOOKUP($A288,'Concrete Beam Schedule'!$A$2:$Q$2902,AA$2,0)&lt;&gt;K288,"Beam Revised","")</f>
        <v>#N/A</v>
      </c>
      <c r="AB288" s="7" t="e">
        <f>IF(VLOOKUP($A288,'Concrete Beam Schedule'!$A$2:$Q$2902,AB$2,0)&lt;&gt;L288,"Beam Revised","")</f>
        <v>#N/A</v>
      </c>
      <c r="AC288" s="7" t="e">
        <f>IF(VLOOKUP($A288,'Concrete Beam Schedule'!$A$2:$Q$2902,AC$2,0)&lt;&gt;M288,"Beam Revised","")</f>
        <v>#N/A</v>
      </c>
      <c r="AD288" s="7" t="e">
        <f>IF(VLOOKUP($A288,'Concrete Beam Schedule'!$A$2:$Q$2902,AD$2,0)&lt;&gt;N288,"Beam Revised","")</f>
        <v>#N/A</v>
      </c>
      <c r="AE288" s="7" t="e">
        <f>IF(VLOOKUP($A288,'Concrete Beam Schedule'!$A$2:$Q$2902,AE$2,0)&lt;&gt;O288,"Beam Revised","")</f>
        <v>#N/A</v>
      </c>
    </row>
    <row r="289" spans="1:31" ht="25.5" customHeight="1" x14ac:dyDescent="0.25">
      <c r="A289" s="17"/>
      <c r="B289" s="17"/>
      <c r="C289" s="17"/>
      <c r="D289" s="17"/>
      <c r="E289" s="17"/>
      <c r="F289" s="17"/>
      <c r="G289" s="17"/>
      <c r="H289" s="17"/>
      <c r="I289" s="17"/>
      <c r="J289" s="17"/>
      <c r="K289" s="17"/>
      <c r="L289" s="17"/>
      <c r="M289" s="17"/>
      <c r="N289" s="17"/>
      <c r="O289" s="17"/>
      <c r="Q289" s="7">
        <f t="shared" si="4"/>
        <v>0</v>
      </c>
      <c r="R289" s="7" t="e">
        <f>IF(VLOOKUP($A289,'Concrete Beam Schedule'!$A$2:$Q$2902,R$2,0)&lt;&gt;B289,VLOOKUP($A289,'Concrete Beam Schedule'!$A$2:$Q$2902,R$2,0),"")</f>
        <v>#N/A</v>
      </c>
      <c r="S289" s="7" t="e">
        <f>IF(VLOOKUP($A289,'Concrete Beam Schedule'!$A$2:$Q$2902,S$2,0)&lt;&gt;C289,VLOOKUP($A289,'Concrete Beam Schedule'!$A$2:$Q$2902,S$2,0),"")</f>
        <v>#N/A</v>
      </c>
      <c r="T289" s="7" t="e">
        <f>IF(VLOOKUP($A289,'Concrete Beam Schedule'!$A$2:$Q$2902,T$2,0)&lt;&gt;D289,"Beam Revised","")</f>
        <v>#N/A</v>
      </c>
      <c r="U289" s="7" t="e">
        <f>IF(VLOOKUP($A289,'Concrete Beam Schedule'!$A$2:$Q$2902,U$2,0)&lt;&gt;E289,"Beam Revised","")</f>
        <v>#N/A</v>
      </c>
      <c r="V289" s="7" t="e">
        <f>IF(VLOOKUP($A289,'Concrete Beam Schedule'!$A$2:$Q$2902,V$2,0)&lt;&gt;F289,"Beam Revised","")</f>
        <v>#N/A</v>
      </c>
      <c r="W289" s="7" t="e">
        <f>IF(VLOOKUP($A289,'Concrete Beam Schedule'!$A$2:$Q$2902,W$2,0)&lt;&gt;G289,"Beam Revised","")</f>
        <v>#N/A</v>
      </c>
      <c r="X289" s="7" t="e">
        <f>IF(VLOOKUP($A289,'Concrete Beam Schedule'!$A$2:$Q$2902,X$2,0)&lt;&gt;H289,"Beam Revised","")</f>
        <v>#N/A</v>
      </c>
      <c r="Y289" s="7" t="e">
        <f>IF(VLOOKUP($A289,'Concrete Beam Schedule'!$A$2:$Q$2902,Y$2,0)&lt;&gt;I289,"Beam Revised","")</f>
        <v>#N/A</v>
      </c>
      <c r="Z289" s="7" t="e">
        <f>IF(VLOOKUP($A289,'Concrete Beam Schedule'!$A$2:$Q$2902,Z$2,0)&lt;&gt;J289,"Beam Revised","")</f>
        <v>#N/A</v>
      </c>
      <c r="AA289" s="7" t="e">
        <f>IF(VLOOKUP($A289,'Concrete Beam Schedule'!$A$2:$Q$2902,AA$2,0)&lt;&gt;K289,"Beam Revised","")</f>
        <v>#N/A</v>
      </c>
      <c r="AB289" s="7" t="e">
        <f>IF(VLOOKUP($A289,'Concrete Beam Schedule'!$A$2:$Q$2902,AB$2,0)&lt;&gt;L289,"Beam Revised","")</f>
        <v>#N/A</v>
      </c>
      <c r="AC289" s="7" t="e">
        <f>IF(VLOOKUP($A289,'Concrete Beam Schedule'!$A$2:$Q$2902,AC$2,0)&lt;&gt;M289,"Beam Revised","")</f>
        <v>#N/A</v>
      </c>
      <c r="AD289" s="7" t="e">
        <f>IF(VLOOKUP($A289,'Concrete Beam Schedule'!$A$2:$Q$2902,AD$2,0)&lt;&gt;N289,"Beam Revised","")</f>
        <v>#N/A</v>
      </c>
      <c r="AE289" s="7" t="e">
        <f>IF(VLOOKUP($A289,'Concrete Beam Schedule'!$A$2:$Q$2902,AE$2,0)&lt;&gt;O289,"Beam Revised","")</f>
        <v>#N/A</v>
      </c>
    </row>
    <row r="290" spans="1:31" ht="25.5" customHeight="1" x14ac:dyDescent="0.25">
      <c r="A290" s="17"/>
      <c r="B290" s="17"/>
      <c r="C290" s="17"/>
      <c r="D290" s="17"/>
      <c r="E290" s="17"/>
      <c r="F290" s="17"/>
      <c r="G290" s="17"/>
      <c r="H290" s="17"/>
      <c r="I290" s="17"/>
      <c r="J290" s="17"/>
      <c r="K290" s="17"/>
      <c r="L290" s="17"/>
      <c r="M290" s="17"/>
      <c r="N290" s="17"/>
      <c r="O290" s="17"/>
      <c r="Q290" s="7">
        <f t="shared" si="4"/>
        <v>0</v>
      </c>
      <c r="R290" s="7" t="e">
        <f>IF(VLOOKUP($A290,'Concrete Beam Schedule'!$A$2:$Q$2902,R$2,0)&lt;&gt;B290,VLOOKUP($A290,'Concrete Beam Schedule'!$A$2:$Q$2902,R$2,0),"")</f>
        <v>#N/A</v>
      </c>
      <c r="S290" s="7" t="e">
        <f>IF(VLOOKUP($A290,'Concrete Beam Schedule'!$A$2:$Q$2902,S$2,0)&lt;&gt;C290,VLOOKUP($A290,'Concrete Beam Schedule'!$A$2:$Q$2902,S$2,0),"")</f>
        <v>#N/A</v>
      </c>
      <c r="T290" s="7" t="e">
        <f>IF(VLOOKUP($A290,'Concrete Beam Schedule'!$A$2:$Q$2902,T$2,0)&lt;&gt;D290,"Beam Revised","")</f>
        <v>#N/A</v>
      </c>
      <c r="U290" s="7" t="e">
        <f>IF(VLOOKUP($A290,'Concrete Beam Schedule'!$A$2:$Q$2902,U$2,0)&lt;&gt;E290,"Beam Revised","")</f>
        <v>#N/A</v>
      </c>
      <c r="V290" s="7" t="e">
        <f>IF(VLOOKUP($A290,'Concrete Beam Schedule'!$A$2:$Q$2902,V$2,0)&lt;&gt;F290,"Beam Revised","")</f>
        <v>#N/A</v>
      </c>
      <c r="W290" s="7" t="e">
        <f>IF(VLOOKUP($A290,'Concrete Beam Schedule'!$A$2:$Q$2902,W$2,0)&lt;&gt;G290,"Beam Revised","")</f>
        <v>#N/A</v>
      </c>
      <c r="X290" s="7" t="e">
        <f>IF(VLOOKUP($A290,'Concrete Beam Schedule'!$A$2:$Q$2902,X$2,0)&lt;&gt;H290,"Beam Revised","")</f>
        <v>#N/A</v>
      </c>
      <c r="Y290" s="7" t="e">
        <f>IF(VLOOKUP($A290,'Concrete Beam Schedule'!$A$2:$Q$2902,Y$2,0)&lt;&gt;I290,"Beam Revised","")</f>
        <v>#N/A</v>
      </c>
      <c r="Z290" s="7" t="e">
        <f>IF(VLOOKUP($A290,'Concrete Beam Schedule'!$A$2:$Q$2902,Z$2,0)&lt;&gt;J290,"Beam Revised","")</f>
        <v>#N/A</v>
      </c>
      <c r="AA290" s="7" t="e">
        <f>IF(VLOOKUP($A290,'Concrete Beam Schedule'!$A$2:$Q$2902,AA$2,0)&lt;&gt;K290,"Beam Revised","")</f>
        <v>#N/A</v>
      </c>
      <c r="AB290" s="7" t="e">
        <f>IF(VLOOKUP($A290,'Concrete Beam Schedule'!$A$2:$Q$2902,AB$2,0)&lt;&gt;L290,"Beam Revised","")</f>
        <v>#N/A</v>
      </c>
      <c r="AC290" s="7" t="e">
        <f>IF(VLOOKUP($A290,'Concrete Beam Schedule'!$A$2:$Q$2902,AC$2,0)&lt;&gt;M290,"Beam Revised","")</f>
        <v>#N/A</v>
      </c>
      <c r="AD290" s="7" t="e">
        <f>IF(VLOOKUP($A290,'Concrete Beam Schedule'!$A$2:$Q$2902,AD$2,0)&lt;&gt;N290,"Beam Revised","")</f>
        <v>#N/A</v>
      </c>
      <c r="AE290" s="7" t="e">
        <f>IF(VLOOKUP($A290,'Concrete Beam Schedule'!$A$2:$Q$2902,AE$2,0)&lt;&gt;O290,"Beam Revised","")</f>
        <v>#N/A</v>
      </c>
    </row>
    <row r="291" spans="1:31" ht="25.5" customHeight="1" x14ac:dyDescent="0.25">
      <c r="A291" s="17"/>
      <c r="B291" s="17"/>
      <c r="C291" s="17"/>
      <c r="D291" s="17"/>
      <c r="E291" s="17"/>
      <c r="F291" s="17"/>
      <c r="G291" s="17"/>
      <c r="H291" s="17"/>
      <c r="I291" s="17"/>
      <c r="J291" s="17"/>
      <c r="K291" s="17"/>
      <c r="L291" s="17"/>
      <c r="M291" s="17"/>
      <c r="N291" s="17"/>
      <c r="O291" s="17"/>
      <c r="Q291" s="7">
        <f t="shared" si="4"/>
        <v>0</v>
      </c>
      <c r="R291" s="7" t="e">
        <f>IF(VLOOKUP($A291,'Concrete Beam Schedule'!$A$2:$Q$2902,R$2,0)&lt;&gt;B291,VLOOKUP($A291,'Concrete Beam Schedule'!$A$2:$Q$2902,R$2,0),"")</f>
        <v>#N/A</v>
      </c>
      <c r="S291" s="7" t="e">
        <f>IF(VLOOKUP($A291,'Concrete Beam Schedule'!$A$2:$Q$2902,S$2,0)&lt;&gt;C291,VLOOKUP($A291,'Concrete Beam Schedule'!$A$2:$Q$2902,S$2,0),"")</f>
        <v>#N/A</v>
      </c>
      <c r="T291" s="7" t="e">
        <f>IF(VLOOKUP($A291,'Concrete Beam Schedule'!$A$2:$Q$2902,T$2,0)&lt;&gt;D291,"Beam Revised","")</f>
        <v>#N/A</v>
      </c>
      <c r="U291" s="7" t="e">
        <f>IF(VLOOKUP($A291,'Concrete Beam Schedule'!$A$2:$Q$2902,U$2,0)&lt;&gt;E291,"Beam Revised","")</f>
        <v>#N/A</v>
      </c>
      <c r="V291" s="7" t="e">
        <f>IF(VLOOKUP($A291,'Concrete Beam Schedule'!$A$2:$Q$2902,V$2,0)&lt;&gt;F291,"Beam Revised","")</f>
        <v>#N/A</v>
      </c>
      <c r="W291" s="7" t="e">
        <f>IF(VLOOKUP($A291,'Concrete Beam Schedule'!$A$2:$Q$2902,W$2,0)&lt;&gt;G291,"Beam Revised","")</f>
        <v>#N/A</v>
      </c>
      <c r="X291" s="7" t="e">
        <f>IF(VLOOKUP($A291,'Concrete Beam Schedule'!$A$2:$Q$2902,X$2,0)&lt;&gt;H291,"Beam Revised","")</f>
        <v>#N/A</v>
      </c>
      <c r="Y291" s="7" t="e">
        <f>IF(VLOOKUP($A291,'Concrete Beam Schedule'!$A$2:$Q$2902,Y$2,0)&lt;&gt;I291,"Beam Revised","")</f>
        <v>#N/A</v>
      </c>
      <c r="Z291" s="7" t="e">
        <f>IF(VLOOKUP($A291,'Concrete Beam Schedule'!$A$2:$Q$2902,Z$2,0)&lt;&gt;J291,"Beam Revised","")</f>
        <v>#N/A</v>
      </c>
      <c r="AA291" s="7" t="e">
        <f>IF(VLOOKUP($A291,'Concrete Beam Schedule'!$A$2:$Q$2902,AA$2,0)&lt;&gt;K291,"Beam Revised","")</f>
        <v>#N/A</v>
      </c>
      <c r="AB291" s="7" t="e">
        <f>IF(VLOOKUP($A291,'Concrete Beam Schedule'!$A$2:$Q$2902,AB$2,0)&lt;&gt;L291,"Beam Revised","")</f>
        <v>#N/A</v>
      </c>
      <c r="AC291" s="7" t="e">
        <f>IF(VLOOKUP($A291,'Concrete Beam Schedule'!$A$2:$Q$2902,AC$2,0)&lt;&gt;M291,"Beam Revised","")</f>
        <v>#N/A</v>
      </c>
      <c r="AD291" s="7" t="e">
        <f>IF(VLOOKUP($A291,'Concrete Beam Schedule'!$A$2:$Q$2902,AD$2,0)&lt;&gt;N291,"Beam Revised","")</f>
        <v>#N/A</v>
      </c>
      <c r="AE291" s="7" t="e">
        <f>IF(VLOOKUP($A291,'Concrete Beam Schedule'!$A$2:$Q$2902,AE$2,0)&lt;&gt;O291,"Beam Revised","")</f>
        <v>#N/A</v>
      </c>
    </row>
    <row r="292" spans="1:31" ht="25.5" customHeight="1" x14ac:dyDescent="0.25">
      <c r="A292" s="17"/>
      <c r="B292" s="17"/>
      <c r="C292" s="17"/>
      <c r="D292" s="17"/>
      <c r="E292" s="17"/>
      <c r="F292" s="17"/>
      <c r="G292" s="17"/>
      <c r="H292" s="17"/>
      <c r="I292" s="17"/>
      <c r="J292" s="17"/>
      <c r="K292" s="17"/>
      <c r="L292" s="17"/>
      <c r="M292" s="17"/>
      <c r="N292" s="17"/>
      <c r="O292" s="17"/>
      <c r="Q292" s="7">
        <f t="shared" si="4"/>
        <v>0</v>
      </c>
      <c r="R292" s="7" t="e">
        <f>IF(VLOOKUP($A292,'Concrete Beam Schedule'!$A$2:$Q$2902,R$2,0)&lt;&gt;B292,VLOOKUP($A292,'Concrete Beam Schedule'!$A$2:$Q$2902,R$2,0),"")</f>
        <v>#N/A</v>
      </c>
      <c r="S292" s="7" t="e">
        <f>IF(VLOOKUP($A292,'Concrete Beam Schedule'!$A$2:$Q$2902,S$2,0)&lt;&gt;C292,VLOOKUP($A292,'Concrete Beam Schedule'!$A$2:$Q$2902,S$2,0),"")</f>
        <v>#N/A</v>
      </c>
      <c r="T292" s="7" t="e">
        <f>IF(VLOOKUP($A292,'Concrete Beam Schedule'!$A$2:$Q$2902,T$2,0)&lt;&gt;D292,"Beam Revised","")</f>
        <v>#N/A</v>
      </c>
      <c r="U292" s="7" t="e">
        <f>IF(VLOOKUP($A292,'Concrete Beam Schedule'!$A$2:$Q$2902,U$2,0)&lt;&gt;E292,"Beam Revised","")</f>
        <v>#N/A</v>
      </c>
      <c r="V292" s="7" t="e">
        <f>IF(VLOOKUP($A292,'Concrete Beam Schedule'!$A$2:$Q$2902,V$2,0)&lt;&gt;F292,"Beam Revised","")</f>
        <v>#N/A</v>
      </c>
      <c r="W292" s="7" t="e">
        <f>IF(VLOOKUP($A292,'Concrete Beam Schedule'!$A$2:$Q$2902,W$2,0)&lt;&gt;G292,"Beam Revised","")</f>
        <v>#N/A</v>
      </c>
      <c r="X292" s="7" t="e">
        <f>IF(VLOOKUP($A292,'Concrete Beam Schedule'!$A$2:$Q$2902,X$2,0)&lt;&gt;H292,"Beam Revised","")</f>
        <v>#N/A</v>
      </c>
      <c r="Y292" s="7" t="e">
        <f>IF(VLOOKUP($A292,'Concrete Beam Schedule'!$A$2:$Q$2902,Y$2,0)&lt;&gt;I292,"Beam Revised","")</f>
        <v>#N/A</v>
      </c>
      <c r="Z292" s="7" t="e">
        <f>IF(VLOOKUP($A292,'Concrete Beam Schedule'!$A$2:$Q$2902,Z$2,0)&lt;&gt;J292,"Beam Revised","")</f>
        <v>#N/A</v>
      </c>
      <c r="AA292" s="7" t="e">
        <f>IF(VLOOKUP($A292,'Concrete Beam Schedule'!$A$2:$Q$2902,AA$2,0)&lt;&gt;K292,"Beam Revised","")</f>
        <v>#N/A</v>
      </c>
      <c r="AB292" s="7" t="e">
        <f>IF(VLOOKUP($A292,'Concrete Beam Schedule'!$A$2:$Q$2902,AB$2,0)&lt;&gt;L292,"Beam Revised","")</f>
        <v>#N/A</v>
      </c>
      <c r="AC292" s="7" t="e">
        <f>IF(VLOOKUP($A292,'Concrete Beam Schedule'!$A$2:$Q$2902,AC$2,0)&lt;&gt;M292,"Beam Revised","")</f>
        <v>#N/A</v>
      </c>
      <c r="AD292" s="7" t="e">
        <f>IF(VLOOKUP($A292,'Concrete Beam Schedule'!$A$2:$Q$2902,AD$2,0)&lt;&gt;N292,"Beam Revised","")</f>
        <v>#N/A</v>
      </c>
      <c r="AE292" s="7" t="e">
        <f>IF(VLOOKUP($A292,'Concrete Beam Schedule'!$A$2:$Q$2902,AE$2,0)&lt;&gt;O292,"Beam Revised","")</f>
        <v>#N/A</v>
      </c>
    </row>
    <row r="293" spans="1:31" ht="25.5" customHeight="1" x14ac:dyDescent="0.25">
      <c r="A293" s="17"/>
      <c r="B293" s="17"/>
      <c r="C293" s="17"/>
      <c r="D293" s="17"/>
      <c r="E293" s="17"/>
      <c r="F293" s="17"/>
      <c r="G293" s="17"/>
      <c r="H293" s="17"/>
      <c r="I293" s="17"/>
      <c r="J293" s="17"/>
      <c r="K293" s="17"/>
      <c r="L293" s="17"/>
      <c r="M293" s="17"/>
      <c r="N293" s="17"/>
      <c r="O293" s="17"/>
      <c r="Q293" s="7">
        <f t="shared" si="4"/>
        <v>0</v>
      </c>
      <c r="R293" s="7" t="e">
        <f>IF(VLOOKUP($A293,'Concrete Beam Schedule'!$A$2:$Q$2902,R$2,0)&lt;&gt;B293,VLOOKUP($A293,'Concrete Beam Schedule'!$A$2:$Q$2902,R$2,0),"")</f>
        <v>#N/A</v>
      </c>
      <c r="S293" s="7" t="e">
        <f>IF(VLOOKUP($A293,'Concrete Beam Schedule'!$A$2:$Q$2902,S$2,0)&lt;&gt;C293,VLOOKUP($A293,'Concrete Beam Schedule'!$A$2:$Q$2902,S$2,0),"")</f>
        <v>#N/A</v>
      </c>
      <c r="T293" s="7" t="e">
        <f>IF(VLOOKUP($A293,'Concrete Beam Schedule'!$A$2:$Q$2902,T$2,0)&lt;&gt;D293,"Beam Revised","")</f>
        <v>#N/A</v>
      </c>
      <c r="U293" s="7" t="e">
        <f>IF(VLOOKUP($A293,'Concrete Beam Schedule'!$A$2:$Q$2902,U$2,0)&lt;&gt;E293,"Beam Revised","")</f>
        <v>#N/A</v>
      </c>
      <c r="V293" s="7" t="e">
        <f>IF(VLOOKUP($A293,'Concrete Beam Schedule'!$A$2:$Q$2902,V$2,0)&lt;&gt;F293,"Beam Revised","")</f>
        <v>#N/A</v>
      </c>
      <c r="W293" s="7" t="e">
        <f>IF(VLOOKUP($A293,'Concrete Beam Schedule'!$A$2:$Q$2902,W$2,0)&lt;&gt;G293,"Beam Revised","")</f>
        <v>#N/A</v>
      </c>
      <c r="X293" s="7" t="e">
        <f>IF(VLOOKUP($A293,'Concrete Beam Schedule'!$A$2:$Q$2902,X$2,0)&lt;&gt;H293,"Beam Revised","")</f>
        <v>#N/A</v>
      </c>
      <c r="Y293" s="7" t="e">
        <f>IF(VLOOKUP($A293,'Concrete Beam Schedule'!$A$2:$Q$2902,Y$2,0)&lt;&gt;I293,"Beam Revised","")</f>
        <v>#N/A</v>
      </c>
      <c r="Z293" s="7" t="e">
        <f>IF(VLOOKUP($A293,'Concrete Beam Schedule'!$A$2:$Q$2902,Z$2,0)&lt;&gt;J293,"Beam Revised","")</f>
        <v>#N/A</v>
      </c>
      <c r="AA293" s="7" t="e">
        <f>IF(VLOOKUP($A293,'Concrete Beam Schedule'!$A$2:$Q$2902,AA$2,0)&lt;&gt;K293,"Beam Revised","")</f>
        <v>#N/A</v>
      </c>
      <c r="AB293" s="7" t="e">
        <f>IF(VLOOKUP($A293,'Concrete Beam Schedule'!$A$2:$Q$2902,AB$2,0)&lt;&gt;L293,"Beam Revised","")</f>
        <v>#N/A</v>
      </c>
      <c r="AC293" s="7" t="e">
        <f>IF(VLOOKUP($A293,'Concrete Beam Schedule'!$A$2:$Q$2902,AC$2,0)&lt;&gt;M293,"Beam Revised","")</f>
        <v>#N/A</v>
      </c>
      <c r="AD293" s="7" t="e">
        <f>IF(VLOOKUP($A293,'Concrete Beam Schedule'!$A$2:$Q$2902,AD$2,0)&lt;&gt;N293,"Beam Revised","")</f>
        <v>#N/A</v>
      </c>
      <c r="AE293" s="7" t="e">
        <f>IF(VLOOKUP($A293,'Concrete Beam Schedule'!$A$2:$Q$2902,AE$2,0)&lt;&gt;O293,"Beam Revised","")</f>
        <v>#N/A</v>
      </c>
    </row>
    <row r="294" spans="1:31" ht="25.5" customHeight="1" x14ac:dyDescent="0.25">
      <c r="A294" s="17"/>
      <c r="B294" s="17"/>
      <c r="C294" s="17"/>
      <c r="D294" s="17"/>
      <c r="E294" s="17"/>
      <c r="F294" s="17"/>
      <c r="G294" s="17"/>
      <c r="H294" s="17"/>
      <c r="I294" s="17"/>
      <c r="J294" s="17"/>
      <c r="K294" s="17"/>
      <c r="L294" s="17"/>
      <c r="M294" s="17"/>
      <c r="N294" s="17"/>
      <c r="O294" s="17"/>
      <c r="Q294" s="7">
        <f t="shared" si="4"/>
        <v>0</v>
      </c>
      <c r="R294" s="7" t="e">
        <f>IF(VLOOKUP($A294,'Concrete Beam Schedule'!$A$2:$Q$2902,R$2,0)&lt;&gt;B294,VLOOKUP($A294,'Concrete Beam Schedule'!$A$2:$Q$2902,R$2,0),"")</f>
        <v>#N/A</v>
      </c>
      <c r="S294" s="7" t="e">
        <f>IF(VLOOKUP($A294,'Concrete Beam Schedule'!$A$2:$Q$2902,S$2,0)&lt;&gt;C294,VLOOKUP($A294,'Concrete Beam Schedule'!$A$2:$Q$2902,S$2,0),"")</f>
        <v>#N/A</v>
      </c>
      <c r="T294" s="7" t="e">
        <f>IF(VLOOKUP($A294,'Concrete Beam Schedule'!$A$2:$Q$2902,T$2,0)&lt;&gt;D294,"Beam Revised","")</f>
        <v>#N/A</v>
      </c>
      <c r="U294" s="7" t="e">
        <f>IF(VLOOKUP($A294,'Concrete Beam Schedule'!$A$2:$Q$2902,U$2,0)&lt;&gt;E294,"Beam Revised","")</f>
        <v>#N/A</v>
      </c>
      <c r="V294" s="7" t="e">
        <f>IF(VLOOKUP($A294,'Concrete Beam Schedule'!$A$2:$Q$2902,V$2,0)&lt;&gt;F294,"Beam Revised","")</f>
        <v>#N/A</v>
      </c>
      <c r="W294" s="7" t="e">
        <f>IF(VLOOKUP($A294,'Concrete Beam Schedule'!$A$2:$Q$2902,W$2,0)&lt;&gt;G294,"Beam Revised","")</f>
        <v>#N/A</v>
      </c>
      <c r="X294" s="7" t="e">
        <f>IF(VLOOKUP($A294,'Concrete Beam Schedule'!$A$2:$Q$2902,X$2,0)&lt;&gt;H294,"Beam Revised","")</f>
        <v>#N/A</v>
      </c>
      <c r="Y294" s="7" t="e">
        <f>IF(VLOOKUP($A294,'Concrete Beam Schedule'!$A$2:$Q$2902,Y$2,0)&lt;&gt;I294,"Beam Revised","")</f>
        <v>#N/A</v>
      </c>
      <c r="Z294" s="7" t="e">
        <f>IF(VLOOKUP($A294,'Concrete Beam Schedule'!$A$2:$Q$2902,Z$2,0)&lt;&gt;J294,"Beam Revised","")</f>
        <v>#N/A</v>
      </c>
      <c r="AA294" s="7" t="e">
        <f>IF(VLOOKUP($A294,'Concrete Beam Schedule'!$A$2:$Q$2902,AA$2,0)&lt;&gt;K294,"Beam Revised","")</f>
        <v>#N/A</v>
      </c>
      <c r="AB294" s="7" t="e">
        <f>IF(VLOOKUP($A294,'Concrete Beam Schedule'!$A$2:$Q$2902,AB$2,0)&lt;&gt;L294,"Beam Revised","")</f>
        <v>#N/A</v>
      </c>
      <c r="AC294" s="7" t="e">
        <f>IF(VLOOKUP($A294,'Concrete Beam Schedule'!$A$2:$Q$2902,AC$2,0)&lt;&gt;M294,"Beam Revised","")</f>
        <v>#N/A</v>
      </c>
      <c r="AD294" s="7" t="e">
        <f>IF(VLOOKUP($A294,'Concrete Beam Schedule'!$A$2:$Q$2902,AD$2,0)&lt;&gt;N294,"Beam Revised","")</f>
        <v>#N/A</v>
      </c>
      <c r="AE294" s="7" t="e">
        <f>IF(VLOOKUP($A294,'Concrete Beam Schedule'!$A$2:$Q$2902,AE$2,0)&lt;&gt;O294,"Beam Revised","")</f>
        <v>#N/A</v>
      </c>
    </row>
    <row r="295" spans="1:31" ht="25.5" customHeight="1" x14ac:dyDescent="0.25">
      <c r="A295" s="17"/>
      <c r="B295" s="17"/>
      <c r="C295" s="17"/>
      <c r="D295" s="17"/>
      <c r="E295" s="17"/>
      <c r="F295" s="17"/>
      <c r="G295" s="17"/>
      <c r="H295" s="17"/>
      <c r="I295" s="17"/>
      <c r="J295" s="17"/>
      <c r="K295" s="17"/>
      <c r="L295" s="17"/>
      <c r="M295" s="17"/>
      <c r="N295" s="17"/>
      <c r="O295" s="17"/>
      <c r="Q295" s="7">
        <f t="shared" si="4"/>
        <v>0</v>
      </c>
      <c r="R295" s="7" t="e">
        <f>IF(VLOOKUP($A295,'Concrete Beam Schedule'!$A$2:$Q$2902,R$2,0)&lt;&gt;B295,VLOOKUP($A295,'Concrete Beam Schedule'!$A$2:$Q$2902,R$2,0),"")</f>
        <v>#N/A</v>
      </c>
      <c r="S295" s="7" t="e">
        <f>IF(VLOOKUP($A295,'Concrete Beam Schedule'!$A$2:$Q$2902,S$2,0)&lt;&gt;C295,VLOOKUP($A295,'Concrete Beam Schedule'!$A$2:$Q$2902,S$2,0),"")</f>
        <v>#N/A</v>
      </c>
      <c r="T295" s="7" t="e">
        <f>IF(VLOOKUP($A295,'Concrete Beam Schedule'!$A$2:$Q$2902,T$2,0)&lt;&gt;D295,"Beam Revised","")</f>
        <v>#N/A</v>
      </c>
      <c r="U295" s="7" t="e">
        <f>IF(VLOOKUP($A295,'Concrete Beam Schedule'!$A$2:$Q$2902,U$2,0)&lt;&gt;E295,"Beam Revised","")</f>
        <v>#N/A</v>
      </c>
      <c r="V295" s="7" t="e">
        <f>IF(VLOOKUP($A295,'Concrete Beam Schedule'!$A$2:$Q$2902,V$2,0)&lt;&gt;F295,"Beam Revised","")</f>
        <v>#N/A</v>
      </c>
      <c r="W295" s="7" t="e">
        <f>IF(VLOOKUP($A295,'Concrete Beam Schedule'!$A$2:$Q$2902,W$2,0)&lt;&gt;G295,"Beam Revised","")</f>
        <v>#N/A</v>
      </c>
      <c r="X295" s="7" t="e">
        <f>IF(VLOOKUP($A295,'Concrete Beam Schedule'!$A$2:$Q$2902,X$2,0)&lt;&gt;H295,"Beam Revised","")</f>
        <v>#N/A</v>
      </c>
      <c r="Y295" s="7" t="e">
        <f>IF(VLOOKUP($A295,'Concrete Beam Schedule'!$A$2:$Q$2902,Y$2,0)&lt;&gt;I295,"Beam Revised","")</f>
        <v>#N/A</v>
      </c>
      <c r="Z295" s="7" t="e">
        <f>IF(VLOOKUP($A295,'Concrete Beam Schedule'!$A$2:$Q$2902,Z$2,0)&lt;&gt;J295,"Beam Revised","")</f>
        <v>#N/A</v>
      </c>
      <c r="AA295" s="7" t="e">
        <f>IF(VLOOKUP($A295,'Concrete Beam Schedule'!$A$2:$Q$2902,AA$2,0)&lt;&gt;K295,"Beam Revised","")</f>
        <v>#N/A</v>
      </c>
      <c r="AB295" s="7" t="e">
        <f>IF(VLOOKUP($A295,'Concrete Beam Schedule'!$A$2:$Q$2902,AB$2,0)&lt;&gt;L295,"Beam Revised","")</f>
        <v>#N/A</v>
      </c>
      <c r="AC295" s="7" t="e">
        <f>IF(VLOOKUP($A295,'Concrete Beam Schedule'!$A$2:$Q$2902,AC$2,0)&lt;&gt;M295,"Beam Revised","")</f>
        <v>#N/A</v>
      </c>
      <c r="AD295" s="7" t="e">
        <f>IF(VLOOKUP($A295,'Concrete Beam Schedule'!$A$2:$Q$2902,AD$2,0)&lt;&gt;N295,"Beam Revised","")</f>
        <v>#N/A</v>
      </c>
      <c r="AE295" s="7" t="e">
        <f>IF(VLOOKUP($A295,'Concrete Beam Schedule'!$A$2:$Q$2902,AE$2,0)&lt;&gt;O295,"Beam Revised","")</f>
        <v>#N/A</v>
      </c>
    </row>
    <row r="296" spans="1:31" ht="25.5" customHeight="1" x14ac:dyDescent="0.25">
      <c r="A296" s="17"/>
      <c r="B296" s="17"/>
      <c r="C296" s="17"/>
      <c r="D296" s="17"/>
      <c r="E296" s="17"/>
      <c r="F296" s="17"/>
      <c r="G296" s="17"/>
      <c r="H296" s="17"/>
      <c r="I296" s="17"/>
      <c r="J296" s="17"/>
      <c r="K296" s="17"/>
      <c r="L296" s="17"/>
      <c r="M296" s="17"/>
      <c r="N296" s="17"/>
      <c r="O296" s="17"/>
      <c r="Q296" s="7">
        <f t="shared" si="4"/>
        <v>0</v>
      </c>
      <c r="R296" s="7" t="e">
        <f>IF(VLOOKUP($A296,'Concrete Beam Schedule'!$A$2:$Q$2902,R$2,0)&lt;&gt;B296,VLOOKUP($A296,'Concrete Beam Schedule'!$A$2:$Q$2902,R$2,0),"")</f>
        <v>#N/A</v>
      </c>
      <c r="S296" s="7" t="e">
        <f>IF(VLOOKUP($A296,'Concrete Beam Schedule'!$A$2:$Q$2902,S$2,0)&lt;&gt;C296,VLOOKUP($A296,'Concrete Beam Schedule'!$A$2:$Q$2902,S$2,0),"")</f>
        <v>#N/A</v>
      </c>
      <c r="T296" s="7" t="e">
        <f>IF(VLOOKUP($A296,'Concrete Beam Schedule'!$A$2:$Q$2902,T$2,0)&lt;&gt;D296,"Beam Revised","")</f>
        <v>#N/A</v>
      </c>
      <c r="U296" s="7" t="e">
        <f>IF(VLOOKUP($A296,'Concrete Beam Schedule'!$A$2:$Q$2902,U$2,0)&lt;&gt;E296,"Beam Revised","")</f>
        <v>#N/A</v>
      </c>
      <c r="V296" s="7" t="e">
        <f>IF(VLOOKUP($A296,'Concrete Beam Schedule'!$A$2:$Q$2902,V$2,0)&lt;&gt;F296,"Beam Revised","")</f>
        <v>#N/A</v>
      </c>
      <c r="W296" s="7" t="e">
        <f>IF(VLOOKUP($A296,'Concrete Beam Schedule'!$A$2:$Q$2902,W$2,0)&lt;&gt;G296,"Beam Revised","")</f>
        <v>#N/A</v>
      </c>
      <c r="X296" s="7" t="e">
        <f>IF(VLOOKUP($A296,'Concrete Beam Schedule'!$A$2:$Q$2902,X$2,0)&lt;&gt;H296,"Beam Revised","")</f>
        <v>#N/A</v>
      </c>
      <c r="Y296" s="7" t="e">
        <f>IF(VLOOKUP($A296,'Concrete Beam Schedule'!$A$2:$Q$2902,Y$2,0)&lt;&gt;I296,"Beam Revised","")</f>
        <v>#N/A</v>
      </c>
      <c r="Z296" s="7" t="e">
        <f>IF(VLOOKUP($A296,'Concrete Beam Schedule'!$A$2:$Q$2902,Z$2,0)&lt;&gt;J296,"Beam Revised","")</f>
        <v>#N/A</v>
      </c>
      <c r="AA296" s="7" t="e">
        <f>IF(VLOOKUP($A296,'Concrete Beam Schedule'!$A$2:$Q$2902,AA$2,0)&lt;&gt;K296,"Beam Revised","")</f>
        <v>#N/A</v>
      </c>
      <c r="AB296" s="7" t="e">
        <f>IF(VLOOKUP($A296,'Concrete Beam Schedule'!$A$2:$Q$2902,AB$2,0)&lt;&gt;L296,"Beam Revised","")</f>
        <v>#N/A</v>
      </c>
      <c r="AC296" s="7" t="e">
        <f>IF(VLOOKUP($A296,'Concrete Beam Schedule'!$A$2:$Q$2902,AC$2,0)&lt;&gt;M296,"Beam Revised","")</f>
        <v>#N/A</v>
      </c>
      <c r="AD296" s="7" t="e">
        <f>IF(VLOOKUP($A296,'Concrete Beam Schedule'!$A$2:$Q$2902,AD$2,0)&lt;&gt;N296,"Beam Revised","")</f>
        <v>#N/A</v>
      </c>
      <c r="AE296" s="7" t="e">
        <f>IF(VLOOKUP($A296,'Concrete Beam Schedule'!$A$2:$Q$2902,AE$2,0)&lt;&gt;O296,"Beam Revised","")</f>
        <v>#N/A</v>
      </c>
    </row>
    <row r="297" spans="1:31" ht="25.5" customHeight="1" x14ac:dyDescent="0.25">
      <c r="A297" s="17"/>
      <c r="B297" s="17"/>
      <c r="C297" s="17"/>
      <c r="D297" s="17"/>
      <c r="E297" s="17"/>
      <c r="F297" s="17"/>
      <c r="G297" s="17"/>
      <c r="H297" s="17"/>
      <c r="I297" s="17"/>
      <c r="J297" s="17"/>
      <c r="K297" s="17"/>
      <c r="L297" s="17"/>
      <c r="M297" s="17"/>
      <c r="N297" s="17"/>
      <c r="O297" s="17"/>
      <c r="Q297" s="7">
        <f t="shared" si="4"/>
        <v>0</v>
      </c>
      <c r="R297" s="7" t="e">
        <f>IF(VLOOKUP($A297,'Concrete Beam Schedule'!$A$2:$Q$2902,R$2,0)&lt;&gt;B297,VLOOKUP($A297,'Concrete Beam Schedule'!$A$2:$Q$2902,R$2,0),"")</f>
        <v>#N/A</v>
      </c>
      <c r="S297" s="7" t="e">
        <f>IF(VLOOKUP($A297,'Concrete Beam Schedule'!$A$2:$Q$2902,S$2,0)&lt;&gt;C297,VLOOKUP($A297,'Concrete Beam Schedule'!$A$2:$Q$2902,S$2,0),"")</f>
        <v>#N/A</v>
      </c>
      <c r="T297" s="7" t="e">
        <f>IF(VLOOKUP($A297,'Concrete Beam Schedule'!$A$2:$Q$2902,T$2,0)&lt;&gt;D297,"Beam Revised","")</f>
        <v>#N/A</v>
      </c>
      <c r="U297" s="7" t="e">
        <f>IF(VLOOKUP($A297,'Concrete Beam Schedule'!$A$2:$Q$2902,U$2,0)&lt;&gt;E297,"Beam Revised","")</f>
        <v>#N/A</v>
      </c>
      <c r="V297" s="7" t="e">
        <f>IF(VLOOKUP($A297,'Concrete Beam Schedule'!$A$2:$Q$2902,V$2,0)&lt;&gt;F297,"Beam Revised","")</f>
        <v>#N/A</v>
      </c>
      <c r="W297" s="7" t="e">
        <f>IF(VLOOKUP($A297,'Concrete Beam Schedule'!$A$2:$Q$2902,W$2,0)&lt;&gt;G297,"Beam Revised","")</f>
        <v>#N/A</v>
      </c>
      <c r="X297" s="7" t="e">
        <f>IF(VLOOKUP($A297,'Concrete Beam Schedule'!$A$2:$Q$2902,X$2,0)&lt;&gt;H297,"Beam Revised","")</f>
        <v>#N/A</v>
      </c>
      <c r="Y297" s="7" t="e">
        <f>IF(VLOOKUP($A297,'Concrete Beam Schedule'!$A$2:$Q$2902,Y$2,0)&lt;&gt;I297,"Beam Revised","")</f>
        <v>#N/A</v>
      </c>
      <c r="Z297" s="7" t="e">
        <f>IF(VLOOKUP($A297,'Concrete Beam Schedule'!$A$2:$Q$2902,Z$2,0)&lt;&gt;J297,"Beam Revised","")</f>
        <v>#N/A</v>
      </c>
      <c r="AA297" s="7" t="e">
        <f>IF(VLOOKUP($A297,'Concrete Beam Schedule'!$A$2:$Q$2902,AA$2,0)&lt;&gt;K297,"Beam Revised","")</f>
        <v>#N/A</v>
      </c>
      <c r="AB297" s="7" t="e">
        <f>IF(VLOOKUP($A297,'Concrete Beam Schedule'!$A$2:$Q$2902,AB$2,0)&lt;&gt;L297,"Beam Revised","")</f>
        <v>#N/A</v>
      </c>
      <c r="AC297" s="7" t="e">
        <f>IF(VLOOKUP($A297,'Concrete Beam Schedule'!$A$2:$Q$2902,AC$2,0)&lt;&gt;M297,"Beam Revised","")</f>
        <v>#N/A</v>
      </c>
      <c r="AD297" s="7" t="e">
        <f>IF(VLOOKUP($A297,'Concrete Beam Schedule'!$A$2:$Q$2902,AD$2,0)&lt;&gt;N297,"Beam Revised","")</f>
        <v>#N/A</v>
      </c>
      <c r="AE297" s="7" t="e">
        <f>IF(VLOOKUP($A297,'Concrete Beam Schedule'!$A$2:$Q$2902,AE$2,0)&lt;&gt;O297,"Beam Revised","")</f>
        <v>#N/A</v>
      </c>
    </row>
    <row r="298" spans="1:31" ht="25.5" customHeight="1" x14ac:dyDescent="0.25">
      <c r="A298" s="17"/>
      <c r="B298" s="17"/>
      <c r="C298" s="17"/>
      <c r="D298" s="17"/>
      <c r="E298" s="17"/>
      <c r="F298" s="17"/>
      <c r="G298" s="17"/>
      <c r="H298" s="17"/>
      <c r="I298" s="17"/>
      <c r="J298" s="17"/>
      <c r="K298" s="17"/>
      <c r="L298" s="17"/>
      <c r="M298" s="17"/>
      <c r="N298" s="17"/>
      <c r="O298" s="17"/>
      <c r="Q298" s="7">
        <f t="shared" si="4"/>
        <v>0</v>
      </c>
      <c r="R298" s="7" t="e">
        <f>IF(VLOOKUP($A298,'Concrete Beam Schedule'!$A$2:$Q$2902,R$2,0)&lt;&gt;B298,VLOOKUP($A298,'Concrete Beam Schedule'!$A$2:$Q$2902,R$2,0),"")</f>
        <v>#N/A</v>
      </c>
      <c r="S298" s="7" t="e">
        <f>IF(VLOOKUP($A298,'Concrete Beam Schedule'!$A$2:$Q$2902,S$2,0)&lt;&gt;C298,VLOOKUP($A298,'Concrete Beam Schedule'!$A$2:$Q$2902,S$2,0),"")</f>
        <v>#N/A</v>
      </c>
      <c r="T298" s="7" t="e">
        <f>IF(VLOOKUP($A298,'Concrete Beam Schedule'!$A$2:$Q$2902,T$2,0)&lt;&gt;D298,"Beam Revised","")</f>
        <v>#N/A</v>
      </c>
      <c r="U298" s="7" t="e">
        <f>IF(VLOOKUP($A298,'Concrete Beam Schedule'!$A$2:$Q$2902,U$2,0)&lt;&gt;E298,"Beam Revised","")</f>
        <v>#N/A</v>
      </c>
      <c r="V298" s="7" t="e">
        <f>IF(VLOOKUP($A298,'Concrete Beam Schedule'!$A$2:$Q$2902,V$2,0)&lt;&gt;F298,"Beam Revised","")</f>
        <v>#N/A</v>
      </c>
      <c r="W298" s="7" t="e">
        <f>IF(VLOOKUP($A298,'Concrete Beam Schedule'!$A$2:$Q$2902,W$2,0)&lt;&gt;G298,"Beam Revised","")</f>
        <v>#N/A</v>
      </c>
      <c r="X298" s="7" t="e">
        <f>IF(VLOOKUP($A298,'Concrete Beam Schedule'!$A$2:$Q$2902,X$2,0)&lt;&gt;H298,"Beam Revised","")</f>
        <v>#N/A</v>
      </c>
      <c r="Y298" s="7" t="e">
        <f>IF(VLOOKUP($A298,'Concrete Beam Schedule'!$A$2:$Q$2902,Y$2,0)&lt;&gt;I298,"Beam Revised","")</f>
        <v>#N/A</v>
      </c>
      <c r="Z298" s="7" t="e">
        <f>IF(VLOOKUP($A298,'Concrete Beam Schedule'!$A$2:$Q$2902,Z$2,0)&lt;&gt;J298,"Beam Revised","")</f>
        <v>#N/A</v>
      </c>
      <c r="AA298" s="7" t="e">
        <f>IF(VLOOKUP($A298,'Concrete Beam Schedule'!$A$2:$Q$2902,AA$2,0)&lt;&gt;K298,"Beam Revised","")</f>
        <v>#N/A</v>
      </c>
      <c r="AB298" s="7" t="e">
        <f>IF(VLOOKUP($A298,'Concrete Beam Schedule'!$A$2:$Q$2902,AB$2,0)&lt;&gt;L298,"Beam Revised","")</f>
        <v>#N/A</v>
      </c>
      <c r="AC298" s="7" t="e">
        <f>IF(VLOOKUP($A298,'Concrete Beam Schedule'!$A$2:$Q$2902,AC$2,0)&lt;&gt;M298,"Beam Revised","")</f>
        <v>#N/A</v>
      </c>
      <c r="AD298" s="7" t="e">
        <f>IF(VLOOKUP($A298,'Concrete Beam Schedule'!$A$2:$Q$2902,AD$2,0)&lt;&gt;N298,"Beam Revised","")</f>
        <v>#N/A</v>
      </c>
      <c r="AE298" s="7" t="e">
        <f>IF(VLOOKUP($A298,'Concrete Beam Schedule'!$A$2:$Q$2902,AE$2,0)&lt;&gt;O298,"Beam Revised","")</f>
        <v>#N/A</v>
      </c>
    </row>
    <row r="299" spans="1:31" ht="25.5" customHeight="1" x14ac:dyDescent="0.25">
      <c r="A299" s="17"/>
      <c r="B299" s="17"/>
      <c r="C299" s="17"/>
      <c r="D299" s="17"/>
      <c r="E299" s="17"/>
      <c r="F299" s="17"/>
      <c r="G299" s="17"/>
      <c r="H299" s="17"/>
      <c r="I299" s="17"/>
      <c r="J299" s="17"/>
      <c r="K299" s="17"/>
      <c r="L299" s="17"/>
      <c r="M299" s="17"/>
      <c r="N299" s="17"/>
      <c r="O299" s="17"/>
      <c r="Q299" s="7">
        <f t="shared" si="4"/>
        <v>0</v>
      </c>
      <c r="R299" s="7" t="e">
        <f>IF(VLOOKUP($A299,'Concrete Beam Schedule'!$A$2:$Q$2902,R$2,0)&lt;&gt;B299,VLOOKUP($A299,'Concrete Beam Schedule'!$A$2:$Q$2902,R$2,0),"")</f>
        <v>#N/A</v>
      </c>
      <c r="S299" s="7" t="e">
        <f>IF(VLOOKUP($A299,'Concrete Beam Schedule'!$A$2:$Q$2902,S$2,0)&lt;&gt;C299,VLOOKUP($A299,'Concrete Beam Schedule'!$A$2:$Q$2902,S$2,0),"")</f>
        <v>#N/A</v>
      </c>
      <c r="T299" s="7" t="e">
        <f>IF(VLOOKUP($A299,'Concrete Beam Schedule'!$A$2:$Q$2902,T$2,0)&lt;&gt;D299,"Beam Revised","")</f>
        <v>#N/A</v>
      </c>
      <c r="U299" s="7" t="e">
        <f>IF(VLOOKUP($A299,'Concrete Beam Schedule'!$A$2:$Q$2902,U$2,0)&lt;&gt;E299,"Beam Revised","")</f>
        <v>#N/A</v>
      </c>
      <c r="V299" s="7" t="e">
        <f>IF(VLOOKUP($A299,'Concrete Beam Schedule'!$A$2:$Q$2902,V$2,0)&lt;&gt;F299,"Beam Revised","")</f>
        <v>#N/A</v>
      </c>
      <c r="W299" s="7" t="e">
        <f>IF(VLOOKUP($A299,'Concrete Beam Schedule'!$A$2:$Q$2902,W$2,0)&lt;&gt;G299,"Beam Revised","")</f>
        <v>#N/A</v>
      </c>
      <c r="X299" s="7" t="e">
        <f>IF(VLOOKUP($A299,'Concrete Beam Schedule'!$A$2:$Q$2902,X$2,0)&lt;&gt;H299,"Beam Revised","")</f>
        <v>#N/A</v>
      </c>
      <c r="Y299" s="7" t="e">
        <f>IF(VLOOKUP($A299,'Concrete Beam Schedule'!$A$2:$Q$2902,Y$2,0)&lt;&gt;I299,"Beam Revised","")</f>
        <v>#N/A</v>
      </c>
      <c r="Z299" s="7" t="e">
        <f>IF(VLOOKUP($A299,'Concrete Beam Schedule'!$A$2:$Q$2902,Z$2,0)&lt;&gt;J299,"Beam Revised","")</f>
        <v>#N/A</v>
      </c>
      <c r="AA299" s="7" t="e">
        <f>IF(VLOOKUP($A299,'Concrete Beam Schedule'!$A$2:$Q$2902,AA$2,0)&lt;&gt;K299,"Beam Revised","")</f>
        <v>#N/A</v>
      </c>
      <c r="AB299" s="7" t="e">
        <f>IF(VLOOKUP($A299,'Concrete Beam Schedule'!$A$2:$Q$2902,AB$2,0)&lt;&gt;L299,"Beam Revised","")</f>
        <v>#N/A</v>
      </c>
      <c r="AC299" s="7" t="e">
        <f>IF(VLOOKUP($A299,'Concrete Beam Schedule'!$A$2:$Q$2902,AC$2,0)&lt;&gt;M299,"Beam Revised","")</f>
        <v>#N/A</v>
      </c>
      <c r="AD299" s="7" t="e">
        <f>IF(VLOOKUP($A299,'Concrete Beam Schedule'!$A$2:$Q$2902,AD$2,0)&lt;&gt;N299,"Beam Revised","")</f>
        <v>#N/A</v>
      </c>
      <c r="AE299" s="7" t="e">
        <f>IF(VLOOKUP($A299,'Concrete Beam Schedule'!$A$2:$Q$2902,AE$2,0)&lt;&gt;O299,"Beam Revised","")</f>
        <v>#N/A</v>
      </c>
    </row>
    <row r="300" spans="1:31" ht="25.5" customHeight="1" x14ac:dyDescent="0.25">
      <c r="A300" s="17"/>
      <c r="B300" s="17"/>
      <c r="C300" s="17"/>
      <c r="D300" s="17"/>
      <c r="E300" s="17"/>
      <c r="F300" s="17"/>
      <c r="G300" s="17"/>
      <c r="H300" s="17"/>
      <c r="I300" s="17"/>
      <c r="J300" s="17"/>
      <c r="K300" s="17"/>
      <c r="L300" s="17"/>
      <c r="M300" s="17"/>
      <c r="N300" s="17"/>
      <c r="O300" s="17"/>
      <c r="Q300" s="7">
        <f t="shared" si="4"/>
        <v>0</v>
      </c>
      <c r="R300" s="7" t="e">
        <f>IF(VLOOKUP($A300,'Concrete Beam Schedule'!$A$2:$Q$2902,R$2,0)&lt;&gt;B300,VLOOKUP($A300,'Concrete Beam Schedule'!$A$2:$Q$2902,R$2,0),"")</f>
        <v>#N/A</v>
      </c>
      <c r="S300" s="7" t="e">
        <f>IF(VLOOKUP($A300,'Concrete Beam Schedule'!$A$2:$Q$2902,S$2,0)&lt;&gt;C300,VLOOKUP($A300,'Concrete Beam Schedule'!$A$2:$Q$2902,S$2,0),"")</f>
        <v>#N/A</v>
      </c>
      <c r="T300" s="7" t="e">
        <f>IF(VLOOKUP($A300,'Concrete Beam Schedule'!$A$2:$Q$2902,T$2,0)&lt;&gt;D300,"Beam Revised","")</f>
        <v>#N/A</v>
      </c>
      <c r="U300" s="7" t="e">
        <f>IF(VLOOKUP($A300,'Concrete Beam Schedule'!$A$2:$Q$2902,U$2,0)&lt;&gt;E300,"Beam Revised","")</f>
        <v>#N/A</v>
      </c>
      <c r="V300" s="7" t="e">
        <f>IF(VLOOKUP($A300,'Concrete Beam Schedule'!$A$2:$Q$2902,V$2,0)&lt;&gt;F300,"Beam Revised","")</f>
        <v>#N/A</v>
      </c>
      <c r="W300" s="7" t="e">
        <f>IF(VLOOKUP($A300,'Concrete Beam Schedule'!$A$2:$Q$2902,W$2,0)&lt;&gt;G300,"Beam Revised","")</f>
        <v>#N/A</v>
      </c>
      <c r="X300" s="7" t="e">
        <f>IF(VLOOKUP($A300,'Concrete Beam Schedule'!$A$2:$Q$2902,X$2,0)&lt;&gt;H300,"Beam Revised","")</f>
        <v>#N/A</v>
      </c>
      <c r="Y300" s="7" t="e">
        <f>IF(VLOOKUP($A300,'Concrete Beam Schedule'!$A$2:$Q$2902,Y$2,0)&lt;&gt;I300,"Beam Revised","")</f>
        <v>#N/A</v>
      </c>
      <c r="Z300" s="7" t="e">
        <f>IF(VLOOKUP($A300,'Concrete Beam Schedule'!$A$2:$Q$2902,Z$2,0)&lt;&gt;J300,"Beam Revised","")</f>
        <v>#N/A</v>
      </c>
      <c r="AA300" s="7" t="e">
        <f>IF(VLOOKUP($A300,'Concrete Beam Schedule'!$A$2:$Q$2902,AA$2,0)&lt;&gt;K300,"Beam Revised","")</f>
        <v>#N/A</v>
      </c>
      <c r="AB300" s="7" t="e">
        <f>IF(VLOOKUP($A300,'Concrete Beam Schedule'!$A$2:$Q$2902,AB$2,0)&lt;&gt;L300,"Beam Revised","")</f>
        <v>#N/A</v>
      </c>
      <c r="AC300" s="7" t="e">
        <f>IF(VLOOKUP($A300,'Concrete Beam Schedule'!$A$2:$Q$2902,AC$2,0)&lt;&gt;M300,"Beam Revised","")</f>
        <v>#N/A</v>
      </c>
      <c r="AD300" s="7" t="e">
        <f>IF(VLOOKUP($A300,'Concrete Beam Schedule'!$A$2:$Q$2902,AD$2,0)&lt;&gt;N300,"Beam Revised","")</f>
        <v>#N/A</v>
      </c>
      <c r="AE300" s="7" t="e">
        <f>IF(VLOOKUP($A300,'Concrete Beam Schedule'!$A$2:$Q$2902,AE$2,0)&lt;&gt;O300,"Beam Revised","")</f>
        <v>#N/A</v>
      </c>
    </row>
    <row r="301" spans="1:31" ht="25.5" customHeight="1" x14ac:dyDescent="0.25">
      <c r="A301" s="17"/>
      <c r="B301" s="17"/>
      <c r="C301" s="17"/>
      <c r="D301" s="17"/>
      <c r="E301" s="17"/>
      <c r="F301" s="17"/>
      <c r="G301" s="17"/>
      <c r="H301" s="17"/>
      <c r="I301" s="17"/>
      <c r="J301" s="17"/>
      <c r="K301" s="17"/>
      <c r="L301" s="17"/>
      <c r="M301" s="17"/>
      <c r="N301" s="17"/>
      <c r="O301" s="17"/>
      <c r="Q301" s="7">
        <f t="shared" si="4"/>
        <v>0</v>
      </c>
      <c r="R301" s="7" t="e">
        <f>IF(VLOOKUP($A301,'Concrete Beam Schedule'!$A$2:$Q$2902,R$2,0)&lt;&gt;B301,VLOOKUP($A301,'Concrete Beam Schedule'!$A$2:$Q$2902,R$2,0),"")</f>
        <v>#N/A</v>
      </c>
      <c r="S301" s="7" t="e">
        <f>IF(VLOOKUP($A301,'Concrete Beam Schedule'!$A$2:$Q$2902,S$2,0)&lt;&gt;C301,VLOOKUP($A301,'Concrete Beam Schedule'!$A$2:$Q$2902,S$2,0),"")</f>
        <v>#N/A</v>
      </c>
      <c r="T301" s="7" t="e">
        <f>IF(VLOOKUP($A301,'Concrete Beam Schedule'!$A$2:$Q$2902,T$2,0)&lt;&gt;D301,"Beam Revised","")</f>
        <v>#N/A</v>
      </c>
      <c r="U301" s="7" t="e">
        <f>IF(VLOOKUP($A301,'Concrete Beam Schedule'!$A$2:$Q$2902,U$2,0)&lt;&gt;E301,"Beam Revised","")</f>
        <v>#N/A</v>
      </c>
      <c r="V301" s="7" t="e">
        <f>IF(VLOOKUP($A301,'Concrete Beam Schedule'!$A$2:$Q$2902,V$2,0)&lt;&gt;F301,"Beam Revised","")</f>
        <v>#N/A</v>
      </c>
      <c r="W301" s="7" t="e">
        <f>IF(VLOOKUP($A301,'Concrete Beam Schedule'!$A$2:$Q$2902,W$2,0)&lt;&gt;G301,"Beam Revised","")</f>
        <v>#N/A</v>
      </c>
      <c r="X301" s="7" t="e">
        <f>IF(VLOOKUP($A301,'Concrete Beam Schedule'!$A$2:$Q$2902,X$2,0)&lt;&gt;H301,"Beam Revised","")</f>
        <v>#N/A</v>
      </c>
      <c r="Y301" s="7" t="e">
        <f>IF(VLOOKUP($A301,'Concrete Beam Schedule'!$A$2:$Q$2902,Y$2,0)&lt;&gt;I301,"Beam Revised","")</f>
        <v>#N/A</v>
      </c>
      <c r="Z301" s="7" t="e">
        <f>IF(VLOOKUP($A301,'Concrete Beam Schedule'!$A$2:$Q$2902,Z$2,0)&lt;&gt;J301,"Beam Revised","")</f>
        <v>#N/A</v>
      </c>
      <c r="AA301" s="7" t="e">
        <f>IF(VLOOKUP($A301,'Concrete Beam Schedule'!$A$2:$Q$2902,AA$2,0)&lt;&gt;K301,"Beam Revised","")</f>
        <v>#N/A</v>
      </c>
      <c r="AB301" s="7" t="e">
        <f>IF(VLOOKUP($A301,'Concrete Beam Schedule'!$A$2:$Q$2902,AB$2,0)&lt;&gt;L301,"Beam Revised","")</f>
        <v>#N/A</v>
      </c>
      <c r="AC301" s="7" t="e">
        <f>IF(VLOOKUP($A301,'Concrete Beam Schedule'!$A$2:$Q$2902,AC$2,0)&lt;&gt;M301,"Beam Revised","")</f>
        <v>#N/A</v>
      </c>
      <c r="AD301" s="7" t="e">
        <f>IF(VLOOKUP($A301,'Concrete Beam Schedule'!$A$2:$Q$2902,AD$2,0)&lt;&gt;N301,"Beam Revised","")</f>
        <v>#N/A</v>
      </c>
      <c r="AE301" s="7" t="e">
        <f>IF(VLOOKUP($A301,'Concrete Beam Schedule'!$A$2:$Q$2902,AE$2,0)&lt;&gt;O301,"Beam Revised","")</f>
        <v>#N/A</v>
      </c>
    </row>
    <row r="302" spans="1:31" ht="25.5" customHeight="1" x14ac:dyDescent="0.25">
      <c r="A302" s="17"/>
      <c r="B302" s="17"/>
      <c r="C302" s="17"/>
      <c r="D302" s="17"/>
      <c r="E302" s="17"/>
      <c r="F302" s="17"/>
      <c r="G302" s="17"/>
      <c r="H302" s="17"/>
      <c r="I302" s="17"/>
      <c r="J302" s="17"/>
      <c r="K302" s="17"/>
      <c r="L302" s="17"/>
      <c r="M302" s="17"/>
      <c r="N302" s="17"/>
      <c r="O302" s="17"/>
      <c r="Q302" s="7">
        <f t="shared" si="4"/>
        <v>0</v>
      </c>
      <c r="R302" s="7" t="e">
        <f>IF(VLOOKUP($A302,'Concrete Beam Schedule'!$A$2:$Q$2902,R$2,0)&lt;&gt;B302,VLOOKUP($A302,'Concrete Beam Schedule'!$A$2:$Q$2902,R$2,0),"")</f>
        <v>#N/A</v>
      </c>
      <c r="S302" s="7" t="e">
        <f>IF(VLOOKUP($A302,'Concrete Beam Schedule'!$A$2:$Q$2902,S$2,0)&lt;&gt;C302,VLOOKUP($A302,'Concrete Beam Schedule'!$A$2:$Q$2902,S$2,0),"")</f>
        <v>#N/A</v>
      </c>
      <c r="T302" s="7" t="e">
        <f>IF(VLOOKUP($A302,'Concrete Beam Schedule'!$A$2:$Q$2902,T$2,0)&lt;&gt;D302,"Beam Revised","")</f>
        <v>#N/A</v>
      </c>
      <c r="U302" s="7" t="e">
        <f>IF(VLOOKUP($A302,'Concrete Beam Schedule'!$A$2:$Q$2902,U$2,0)&lt;&gt;E302,"Beam Revised","")</f>
        <v>#N/A</v>
      </c>
      <c r="V302" s="7" t="e">
        <f>IF(VLOOKUP($A302,'Concrete Beam Schedule'!$A$2:$Q$2902,V$2,0)&lt;&gt;F302,"Beam Revised","")</f>
        <v>#N/A</v>
      </c>
      <c r="W302" s="7" t="e">
        <f>IF(VLOOKUP($A302,'Concrete Beam Schedule'!$A$2:$Q$2902,W$2,0)&lt;&gt;G302,"Beam Revised","")</f>
        <v>#N/A</v>
      </c>
      <c r="X302" s="7" t="e">
        <f>IF(VLOOKUP($A302,'Concrete Beam Schedule'!$A$2:$Q$2902,X$2,0)&lt;&gt;H302,"Beam Revised","")</f>
        <v>#N/A</v>
      </c>
      <c r="Y302" s="7" t="e">
        <f>IF(VLOOKUP($A302,'Concrete Beam Schedule'!$A$2:$Q$2902,Y$2,0)&lt;&gt;I302,"Beam Revised","")</f>
        <v>#N/A</v>
      </c>
      <c r="Z302" s="7" t="e">
        <f>IF(VLOOKUP($A302,'Concrete Beam Schedule'!$A$2:$Q$2902,Z$2,0)&lt;&gt;J302,"Beam Revised","")</f>
        <v>#N/A</v>
      </c>
      <c r="AA302" s="7" t="e">
        <f>IF(VLOOKUP($A302,'Concrete Beam Schedule'!$A$2:$Q$2902,AA$2,0)&lt;&gt;K302,"Beam Revised","")</f>
        <v>#N/A</v>
      </c>
      <c r="AB302" s="7" t="e">
        <f>IF(VLOOKUP($A302,'Concrete Beam Schedule'!$A$2:$Q$2902,AB$2,0)&lt;&gt;L302,"Beam Revised","")</f>
        <v>#N/A</v>
      </c>
      <c r="AC302" s="7" t="e">
        <f>IF(VLOOKUP($A302,'Concrete Beam Schedule'!$A$2:$Q$2902,AC$2,0)&lt;&gt;M302,"Beam Revised","")</f>
        <v>#N/A</v>
      </c>
      <c r="AD302" s="7" t="e">
        <f>IF(VLOOKUP($A302,'Concrete Beam Schedule'!$A$2:$Q$2902,AD$2,0)&lt;&gt;N302,"Beam Revised","")</f>
        <v>#N/A</v>
      </c>
      <c r="AE302" s="7" t="e">
        <f>IF(VLOOKUP($A302,'Concrete Beam Schedule'!$A$2:$Q$2902,AE$2,0)&lt;&gt;O302,"Beam Revised","")</f>
        <v>#N/A</v>
      </c>
    </row>
    <row r="303" spans="1:31" ht="25.5" customHeight="1" x14ac:dyDescent="0.25">
      <c r="A303" s="17"/>
      <c r="B303" s="17"/>
      <c r="C303" s="17"/>
      <c r="D303" s="17"/>
      <c r="E303" s="17"/>
      <c r="F303" s="17"/>
      <c r="G303" s="17"/>
      <c r="H303" s="17"/>
      <c r="I303" s="17"/>
      <c r="J303" s="17"/>
      <c r="K303" s="17"/>
      <c r="L303" s="17"/>
      <c r="M303" s="17"/>
      <c r="N303" s="17"/>
      <c r="O303" s="17"/>
      <c r="Q303" s="7">
        <f t="shared" si="4"/>
        <v>0</v>
      </c>
      <c r="R303" s="7" t="e">
        <f>IF(VLOOKUP($A303,'Concrete Beam Schedule'!$A$2:$Q$2902,R$2,0)&lt;&gt;B303,VLOOKUP($A303,'Concrete Beam Schedule'!$A$2:$Q$2902,R$2,0),"")</f>
        <v>#N/A</v>
      </c>
      <c r="S303" s="7" t="e">
        <f>IF(VLOOKUP($A303,'Concrete Beam Schedule'!$A$2:$Q$2902,S$2,0)&lt;&gt;C303,VLOOKUP($A303,'Concrete Beam Schedule'!$A$2:$Q$2902,S$2,0),"")</f>
        <v>#N/A</v>
      </c>
      <c r="T303" s="7" t="e">
        <f>IF(VLOOKUP($A303,'Concrete Beam Schedule'!$A$2:$Q$2902,T$2,0)&lt;&gt;D303,"Beam Revised","")</f>
        <v>#N/A</v>
      </c>
      <c r="U303" s="7" t="e">
        <f>IF(VLOOKUP($A303,'Concrete Beam Schedule'!$A$2:$Q$2902,U$2,0)&lt;&gt;E303,"Beam Revised","")</f>
        <v>#N/A</v>
      </c>
      <c r="V303" s="7" t="e">
        <f>IF(VLOOKUP($A303,'Concrete Beam Schedule'!$A$2:$Q$2902,V$2,0)&lt;&gt;F303,"Beam Revised","")</f>
        <v>#N/A</v>
      </c>
      <c r="W303" s="7" t="e">
        <f>IF(VLOOKUP($A303,'Concrete Beam Schedule'!$A$2:$Q$2902,W$2,0)&lt;&gt;G303,"Beam Revised","")</f>
        <v>#N/A</v>
      </c>
      <c r="X303" s="7" t="e">
        <f>IF(VLOOKUP($A303,'Concrete Beam Schedule'!$A$2:$Q$2902,X$2,0)&lt;&gt;H303,"Beam Revised","")</f>
        <v>#N/A</v>
      </c>
      <c r="Y303" s="7" t="e">
        <f>IF(VLOOKUP($A303,'Concrete Beam Schedule'!$A$2:$Q$2902,Y$2,0)&lt;&gt;I303,"Beam Revised","")</f>
        <v>#N/A</v>
      </c>
      <c r="Z303" s="7" t="e">
        <f>IF(VLOOKUP($A303,'Concrete Beam Schedule'!$A$2:$Q$2902,Z$2,0)&lt;&gt;J303,"Beam Revised","")</f>
        <v>#N/A</v>
      </c>
      <c r="AA303" s="7" t="e">
        <f>IF(VLOOKUP($A303,'Concrete Beam Schedule'!$A$2:$Q$2902,AA$2,0)&lt;&gt;K303,"Beam Revised","")</f>
        <v>#N/A</v>
      </c>
      <c r="AB303" s="7" t="e">
        <f>IF(VLOOKUP($A303,'Concrete Beam Schedule'!$A$2:$Q$2902,AB$2,0)&lt;&gt;L303,"Beam Revised","")</f>
        <v>#N/A</v>
      </c>
      <c r="AC303" s="7" t="e">
        <f>IF(VLOOKUP($A303,'Concrete Beam Schedule'!$A$2:$Q$2902,AC$2,0)&lt;&gt;M303,"Beam Revised","")</f>
        <v>#N/A</v>
      </c>
      <c r="AD303" s="7" t="e">
        <f>IF(VLOOKUP($A303,'Concrete Beam Schedule'!$A$2:$Q$2902,AD$2,0)&lt;&gt;N303,"Beam Revised","")</f>
        <v>#N/A</v>
      </c>
      <c r="AE303" s="7" t="e">
        <f>IF(VLOOKUP($A303,'Concrete Beam Schedule'!$A$2:$Q$2902,AE$2,0)&lt;&gt;O303,"Beam Revised","")</f>
        <v>#N/A</v>
      </c>
    </row>
    <row r="304" spans="1:31" ht="25.5" customHeight="1" x14ac:dyDescent="0.25">
      <c r="A304" s="17"/>
      <c r="B304" s="17"/>
      <c r="C304" s="17"/>
      <c r="D304" s="17"/>
      <c r="E304" s="17"/>
      <c r="F304" s="17"/>
      <c r="G304" s="17"/>
      <c r="H304" s="17"/>
      <c r="I304" s="17"/>
      <c r="J304" s="17"/>
      <c r="K304" s="17"/>
      <c r="L304" s="17"/>
      <c r="M304" s="17"/>
      <c r="N304" s="17"/>
      <c r="O304" s="17"/>
      <c r="Q304" s="7">
        <f t="shared" si="4"/>
        <v>0</v>
      </c>
      <c r="R304" s="7" t="e">
        <f>IF(VLOOKUP($A304,'Concrete Beam Schedule'!$A$2:$Q$2902,R$2,0)&lt;&gt;B304,VLOOKUP($A304,'Concrete Beam Schedule'!$A$2:$Q$2902,R$2,0),"")</f>
        <v>#N/A</v>
      </c>
      <c r="S304" s="7" t="e">
        <f>IF(VLOOKUP($A304,'Concrete Beam Schedule'!$A$2:$Q$2902,S$2,0)&lt;&gt;C304,VLOOKUP($A304,'Concrete Beam Schedule'!$A$2:$Q$2902,S$2,0),"")</f>
        <v>#N/A</v>
      </c>
      <c r="T304" s="7" t="e">
        <f>IF(VLOOKUP($A304,'Concrete Beam Schedule'!$A$2:$Q$2902,T$2,0)&lt;&gt;D304,"Beam Revised","")</f>
        <v>#N/A</v>
      </c>
      <c r="U304" s="7" t="e">
        <f>IF(VLOOKUP($A304,'Concrete Beam Schedule'!$A$2:$Q$2902,U$2,0)&lt;&gt;E304,"Beam Revised","")</f>
        <v>#N/A</v>
      </c>
      <c r="V304" s="7" t="e">
        <f>IF(VLOOKUP($A304,'Concrete Beam Schedule'!$A$2:$Q$2902,V$2,0)&lt;&gt;F304,"Beam Revised","")</f>
        <v>#N/A</v>
      </c>
      <c r="W304" s="7" t="e">
        <f>IF(VLOOKUP($A304,'Concrete Beam Schedule'!$A$2:$Q$2902,W$2,0)&lt;&gt;G304,"Beam Revised","")</f>
        <v>#N/A</v>
      </c>
      <c r="X304" s="7" t="e">
        <f>IF(VLOOKUP($A304,'Concrete Beam Schedule'!$A$2:$Q$2902,X$2,0)&lt;&gt;H304,"Beam Revised","")</f>
        <v>#N/A</v>
      </c>
      <c r="Y304" s="7" t="e">
        <f>IF(VLOOKUP($A304,'Concrete Beam Schedule'!$A$2:$Q$2902,Y$2,0)&lt;&gt;I304,"Beam Revised","")</f>
        <v>#N/A</v>
      </c>
      <c r="Z304" s="7" t="e">
        <f>IF(VLOOKUP($A304,'Concrete Beam Schedule'!$A$2:$Q$2902,Z$2,0)&lt;&gt;J304,"Beam Revised","")</f>
        <v>#N/A</v>
      </c>
      <c r="AA304" s="7" t="e">
        <f>IF(VLOOKUP($A304,'Concrete Beam Schedule'!$A$2:$Q$2902,AA$2,0)&lt;&gt;K304,"Beam Revised","")</f>
        <v>#N/A</v>
      </c>
      <c r="AB304" s="7" t="e">
        <f>IF(VLOOKUP($A304,'Concrete Beam Schedule'!$A$2:$Q$2902,AB$2,0)&lt;&gt;L304,"Beam Revised","")</f>
        <v>#N/A</v>
      </c>
      <c r="AC304" s="7" t="e">
        <f>IF(VLOOKUP($A304,'Concrete Beam Schedule'!$A$2:$Q$2902,AC$2,0)&lt;&gt;M304,"Beam Revised","")</f>
        <v>#N/A</v>
      </c>
      <c r="AD304" s="7" t="e">
        <f>IF(VLOOKUP($A304,'Concrete Beam Schedule'!$A$2:$Q$2902,AD$2,0)&lt;&gt;N304,"Beam Revised","")</f>
        <v>#N/A</v>
      </c>
      <c r="AE304" s="7" t="e">
        <f>IF(VLOOKUP($A304,'Concrete Beam Schedule'!$A$2:$Q$2902,AE$2,0)&lt;&gt;O304,"Beam Revised","")</f>
        <v>#N/A</v>
      </c>
    </row>
    <row r="305" spans="1:31" ht="25.5" customHeight="1" x14ac:dyDescent="0.25">
      <c r="A305" s="17"/>
      <c r="B305" s="17"/>
      <c r="C305" s="17"/>
      <c r="D305" s="17"/>
      <c r="E305" s="17"/>
      <c r="F305" s="17"/>
      <c r="G305" s="17"/>
      <c r="H305" s="17"/>
      <c r="I305" s="17"/>
      <c r="J305" s="17"/>
      <c r="K305" s="17"/>
      <c r="L305" s="17"/>
      <c r="M305" s="17"/>
      <c r="N305" s="17"/>
      <c r="O305" s="17"/>
      <c r="Q305" s="7">
        <f t="shared" si="4"/>
        <v>0</v>
      </c>
      <c r="R305" s="7" t="e">
        <f>IF(VLOOKUP($A305,'Concrete Beam Schedule'!$A$2:$Q$2902,R$2,0)&lt;&gt;B305,VLOOKUP($A305,'Concrete Beam Schedule'!$A$2:$Q$2902,R$2,0),"")</f>
        <v>#N/A</v>
      </c>
      <c r="S305" s="7" t="e">
        <f>IF(VLOOKUP($A305,'Concrete Beam Schedule'!$A$2:$Q$2902,S$2,0)&lt;&gt;C305,VLOOKUP($A305,'Concrete Beam Schedule'!$A$2:$Q$2902,S$2,0),"")</f>
        <v>#N/A</v>
      </c>
      <c r="T305" s="7" t="e">
        <f>IF(VLOOKUP($A305,'Concrete Beam Schedule'!$A$2:$Q$2902,T$2,0)&lt;&gt;D305,"Beam Revised","")</f>
        <v>#N/A</v>
      </c>
      <c r="U305" s="7" t="e">
        <f>IF(VLOOKUP($A305,'Concrete Beam Schedule'!$A$2:$Q$2902,U$2,0)&lt;&gt;E305,"Beam Revised","")</f>
        <v>#N/A</v>
      </c>
      <c r="V305" s="7" t="e">
        <f>IF(VLOOKUP($A305,'Concrete Beam Schedule'!$A$2:$Q$2902,V$2,0)&lt;&gt;F305,"Beam Revised","")</f>
        <v>#N/A</v>
      </c>
      <c r="W305" s="7" t="e">
        <f>IF(VLOOKUP($A305,'Concrete Beam Schedule'!$A$2:$Q$2902,W$2,0)&lt;&gt;G305,"Beam Revised","")</f>
        <v>#N/A</v>
      </c>
      <c r="X305" s="7" t="e">
        <f>IF(VLOOKUP($A305,'Concrete Beam Schedule'!$A$2:$Q$2902,X$2,0)&lt;&gt;H305,"Beam Revised","")</f>
        <v>#N/A</v>
      </c>
      <c r="Y305" s="7" t="e">
        <f>IF(VLOOKUP($A305,'Concrete Beam Schedule'!$A$2:$Q$2902,Y$2,0)&lt;&gt;I305,"Beam Revised","")</f>
        <v>#N/A</v>
      </c>
      <c r="Z305" s="7" t="e">
        <f>IF(VLOOKUP($A305,'Concrete Beam Schedule'!$A$2:$Q$2902,Z$2,0)&lt;&gt;J305,"Beam Revised","")</f>
        <v>#N/A</v>
      </c>
      <c r="AA305" s="7" t="e">
        <f>IF(VLOOKUP($A305,'Concrete Beam Schedule'!$A$2:$Q$2902,AA$2,0)&lt;&gt;K305,"Beam Revised","")</f>
        <v>#N/A</v>
      </c>
      <c r="AB305" s="7" t="e">
        <f>IF(VLOOKUP($A305,'Concrete Beam Schedule'!$A$2:$Q$2902,AB$2,0)&lt;&gt;L305,"Beam Revised","")</f>
        <v>#N/A</v>
      </c>
      <c r="AC305" s="7" t="e">
        <f>IF(VLOOKUP($A305,'Concrete Beam Schedule'!$A$2:$Q$2902,AC$2,0)&lt;&gt;M305,"Beam Revised","")</f>
        <v>#N/A</v>
      </c>
      <c r="AD305" s="7" t="e">
        <f>IF(VLOOKUP($A305,'Concrete Beam Schedule'!$A$2:$Q$2902,AD$2,0)&lt;&gt;N305,"Beam Revised","")</f>
        <v>#N/A</v>
      </c>
      <c r="AE305" s="7" t="e">
        <f>IF(VLOOKUP($A305,'Concrete Beam Schedule'!$A$2:$Q$2902,AE$2,0)&lt;&gt;O305,"Beam Revised","")</f>
        <v>#N/A</v>
      </c>
    </row>
    <row r="306" spans="1:31" ht="25.5" customHeight="1" x14ac:dyDescent="0.25">
      <c r="A306" s="17"/>
      <c r="B306" s="17"/>
      <c r="C306" s="17"/>
      <c r="D306" s="17"/>
      <c r="E306" s="17"/>
      <c r="F306" s="17"/>
      <c r="G306" s="17"/>
      <c r="H306" s="17"/>
      <c r="I306" s="17"/>
      <c r="J306" s="17"/>
      <c r="K306" s="17"/>
      <c r="L306" s="17"/>
      <c r="M306" s="17"/>
      <c r="N306" s="17"/>
      <c r="O306" s="17"/>
      <c r="Q306" s="7">
        <f t="shared" si="4"/>
        <v>0</v>
      </c>
      <c r="R306" s="7" t="e">
        <f>IF(VLOOKUP($A306,'Concrete Beam Schedule'!$A$2:$Q$2902,R$2,0)&lt;&gt;B306,VLOOKUP($A306,'Concrete Beam Schedule'!$A$2:$Q$2902,R$2,0),"")</f>
        <v>#N/A</v>
      </c>
      <c r="S306" s="7" t="e">
        <f>IF(VLOOKUP($A306,'Concrete Beam Schedule'!$A$2:$Q$2902,S$2,0)&lt;&gt;C306,VLOOKUP($A306,'Concrete Beam Schedule'!$A$2:$Q$2902,S$2,0),"")</f>
        <v>#N/A</v>
      </c>
      <c r="T306" s="7" t="e">
        <f>IF(VLOOKUP($A306,'Concrete Beam Schedule'!$A$2:$Q$2902,T$2,0)&lt;&gt;D306,"Beam Revised","")</f>
        <v>#N/A</v>
      </c>
      <c r="U306" s="7" t="e">
        <f>IF(VLOOKUP($A306,'Concrete Beam Schedule'!$A$2:$Q$2902,U$2,0)&lt;&gt;E306,"Beam Revised","")</f>
        <v>#N/A</v>
      </c>
      <c r="V306" s="7" t="e">
        <f>IF(VLOOKUP($A306,'Concrete Beam Schedule'!$A$2:$Q$2902,V$2,0)&lt;&gt;F306,"Beam Revised","")</f>
        <v>#N/A</v>
      </c>
      <c r="W306" s="7" t="e">
        <f>IF(VLOOKUP($A306,'Concrete Beam Schedule'!$A$2:$Q$2902,W$2,0)&lt;&gt;G306,"Beam Revised","")</f>
        <v>#N/A</v>
      </c>
      <c r="X306" s="7" t="e">
        <f>IF(VLOOKUP($A306,'Concrete Beam Schedule'!$A$2:$Q$2902,X$2,0)&lt;&gt;H306,"Beam Revised","")</f>
        <v>#N/A</v>
      </c>
      <c r="Y306" s="7" t="e">
        <f>IF(VLOOKUP($A306,'Concrete Beam Schedule'!$A$2:$Q$2902,Y$2,0)&lt;&gt;I306,"Beam Revised","")</f>
        <v>#N/A</v>
      </c>
      <c r="Z306" s="7" t="e">
        <f>IF(VLOOKUP($A306,'Concrete Beam Schedule'!$A$2:$Q$2902,Z$2,0)&lt;&gt;J306,"Beam Revised","")</f>
        <v>#N/A</v>
      </c>
      <c r="AA306" s="7" t="e">
        <f>IF(VLOOKUP($A306,'Concrete Beam Schedule'!$A$2:$Q$2902,AA$2,0)&lt;&gt;K306,"Beam Revised","")</f>
        <v>#N/A</v>
      </c>
      <c r="AB306" s="7" t="e">
        <f>IF(VLOOKUP($A306,'Concrete Beam Schedule'!$A$2:$Q$2902,AB$2,0)&lt;&gt;L306,"Beam Revised","")</f>
        <v>#N/A</v>
      </c>
      <c r="AC306" s="7" t="e">
        <f>IF(VLOOKUP($A306,'Concrete Beam Schedule'!$A$2:$Q$2902,AC$2,0)&lt;&gt;M306,"Beam Revised","")</f>
        <v>#N/A</v>
      </c>
      <c r="AD306" s="7" t="e">
        <f>IF(VLOOKUP($A306,'Concrete Beam Schedule'!$A$2:$Q$2902,AD$2,0)&lt;&gt;N306,"Beam Revised","")</f>
        <v>#N/A</v>
      </c>
      <c r="AE306" s="7" t="e">
        <f>IF(VLOOKUP($A306,'Concrete Beam Schedule'!$A$2:$Q$2902,AE$2,0)&lt;&gt;O306,"Beam Revised","")</f>
        <v>#N/A</v>
      </c>
    </row>
    <row r="307" spans="1:31" ht="25.5" customHeight="1" x14ac:dyDescent="0.25">
      <c r="A307" s="17"/>
      <c r="B307" s="17"/>
      <c r="C307" s="17"/>
      <c r="D307" s="17"/>
      <c r="E307" s="17"/>
      <c r="F307" s="17"/>
      <c r="G307" s="17"/>
      <c r="H307" s="17"/>
      <c r="I307" s="17"/>
      <c r="J307" s="17"/>
      <c r="K307" s="17"/>
      <c r="L307" s="17"/>
      <c r="M307" s="17"/>
      <c r="N307" s="17"/>
      <c r="O307" s="17"/>
      <c r="Q307" s="7">
        <f t="shared" si="4"/>
        <v>0</v>
      </c>
      <c r="R307" s="7" t="e">
        <f>IF(VLOOKUP($A307,'Concrete Beam Schedule'!$A$2:$Q$2902,R$2,0)&lt;&gt;B307,VLOOKUP($A307,'Concrete Beam Schedule'!$A$2:$Q$2902,R$2,0),"")</f>
        <v>#N/A</v>
      </c>
      <c r="S307" s="7" t="e">
        <f>IF(VLOOKUP($A307,'Concrete Beam Schedule'!$A$2:$Q$2902,S$2,0)&lt;&gt;C307,VLOOKUP($A307,'Concrete Beam Schedule'!$A$2:$Q$2902,S$2,0),"")</f>
        <v>#N/A</v>
      </c>
      <c r="T307" s="7" t="e">
        <f>IF(VLOOKUP($A307,'Concrete Beam Schedule'!$A$2:$Q$2902,T$2,0)&lt;&gt;D307,"Beam Revised","")</f>
        <v>#N/A</v>
      </c>
      <c r="U307" s="7" t="e">
        <f>IF(VLOOKUP($A307,'Concrete Beam Schedule'!$A$2:$Q$2902,U$2,0)&lt;&gt;E307,"Beam Revised","")</f>
        <v>#N/A</v>
      </c>
      <c r="V307" s="7" t="e">
        <f>IF(VLOOKUP($A307,'Concrete Beam Schedule'!$A$2:$Q$2902,V$2,0)&lt;&gt;F307,"Beam Revised","")</f>
        <v>#N/A</v>
      </c>
      <c r="W307" s="7" t="e">
        <f>IF(VLOOKUP($A307,'Concrete Beam Schedule'!$A$2:$Q$2902,W$2,0)&lt;&gt;G307,"Beam Revised","")</f>
        <v>#N/A</v>
      </c>
      <c r="X307" s="7" t="e">
        <f>IF(VLOOKUP($A307,'Concrete Beam Schedule'!$A$2:$Q$2902,X$2,0)&lt;&gt;H307,"Beam Revised","")</f>
        <v>#N/A</v>
      </c>
      <c r="Y307" s="7" t="e">
        <f>IF(VLOOKUP($A307,'Concrete Beam Schedule'!$A$2:$Q$2902,Y$2,0)&lt;&gt;I307,"Beam Revised","")</f>
        <v>#N/A</v>
      </c>
      <c r="Z307" s="7" t="e">
        <f>IF(VLOOKUP($A307,'Concrete Beam Schedule'!$A$2:$Q$2902,Z$2,0)&lt;&gt;J307,"Beam Revised","")</f>
        <v>#N/A</v>
      </c>
      <c r="AA307" s="7" t="e">
        <f>IF(VLOOKUP($A307,'Concrete Beam Schedule'!$A$2:$Q$2902,AA$2,0)&lt;&gt;K307,"Beam Revised","")</f>
        <v>#N/A</v>
      </c>
      <c r="AB307" s="7" t="e">
        <f>IF(VLOOKUP($A307,'Concrete Beam Schedule'!$A$2:$Q$2902,AB$2,0)&lt;&gt;L307,"Beam Revised","")</f>
        <v>#N/A</v>
      </c>
      <c r="AC307" s="7" t="e">
        <f>IF(VLOOKUP($A307,'Concrete Beam Schedule'!$A$2:$Q$2902,AC$2,0)&lt;&gt;M307,"Beam Revised","")</f>
        <v>#N/A</v>
      </c>
      <c r="AD307" s="7" t="e">
        <f>IF(VLOOKUP($A307,'Concrete Beam Schedule'!$A$2:$Q$2902,AD$2,0)&lt;&gt;N307,"Beam Revised","")</f>
        <v>#N/A</v>
      </c>
      <c r="AE307" s="7" t="e">
        <f>IF(VLOOKUP($A307,'Concrete Beam Schedule'!$A$2:$Q$2902,AE$2,0)&lt;&gt;O307,"Beam Revised","")</f>
        <v>#N/A</v>
      </c>
    </row>
    <row r="308" spans="1:31" ht="25.5" customHeight="1" x14ac:dyDescent="0.25">
      <c r="A308" s="17"/>
      <c r="B308" s="17"/>
      <c r="C308" s="17"/>
      <c r="D308" s="17"/>
      <c r="E308" s="17"/>
      <c r="F308" s="17"/>
      <c r="G308" s="17"/>
      <c r="H308" s="17"/>
      <c r="I308" s="17"/>
      <c r="J308" s="17"/>
      <c r="K308" s="17"/>
      <c r="L308" s="17"/>
      <c r="M308" s="17"/>
      <c r="N308" s="17"/>
      <c r="O308" s="17"/>
      <c r="Q308" s="7">
        <f t="shared" si="4"/>
        <v>0</v>
      </c>
      <c r="R308" s="7" t="e">
        <f>IF(VLOOKUP($A308,'Concrete Beam Schedule'!$A$2:$Q$2902,R$2,0)&lt;&gt;B308,VLOOKUP($A308,'Concrete Beam Schedule'!$A$2:$Q$2902,R$2,0),"")</f>
        <v>#N/A</v>
      </c>
      <c r="S308" s="7" t="e">
        <f>IF(VLOOKUP($A308,'Concrete Beam Schedule'!$A$2:$Q$2902,S$2,0)&lt;&gt;C308,VLOOKUP($A308,'Concrete Beam Schedule'!$A$2:$Q$2902,S$2,0),"")</f>
        <v>#N/A</v>
      </c>
      <c r="T308" s="7" t="e">
        <f>IF(VLOOKUP($A308,'Concrete Beam Schedule'!$A$2:$Q$2902,T$2,0)&lt;&gt;D308,"Beam Revised","")</f>
        <v>#N/A</v>
      </c>
      <c r="U308" s="7" t="e">
        <f>IF(VLOOKUP($A308,'Concrete Beam Schedule'!$A$2:$Q$2902,U$2,0)&lt;&gt;E308,"Beam Revised","")</f>
        <v>#N/A</v>
      </c>
      <c r="V308" s="7" t="e">
        <f>IF(VLOOKUP($A308,'Concrete Beam Schedule'!$A$2:$Q$2902,V$2,0)&lt;&gt;F308,"Beam Revised","")</f>
        <v>#N/A</v>
      </c>
      <c r="W308" s="7" t="e">
        <f>IF(VLOOKUP($A308,'Concrete Beam Schedule'!$A$2:$Q$2902,W$2,0)&lt;&gt;G308,"Beam Revised","")</f>
        <v>#N/A</v>
      </c>
      <c r="X308" s="7" t="e">
        <f>IF(VLOOKUP($A308,'Concrete Beam Schedule'!$A$2:$Q$2902,X$2,0)&lt;&gt;H308,"Beam Revised","")</f>
        <v>#N/A</v>
      </c>
      <c r="Y308" s="7" t="e">
        <f>IF(VLOOKUP($A308,'Concrete Beam Schedule'!$A$2:$Q$2902,Y$2,0)&lt;&gt;I308,"Beam Revised","")</f>
        <v>#N/A</v>
      </c>
      <c r="Z308" s="7" t="e">
        <f>IF(VLOOKUP($A308,'Concrete Beam Schedule'!$A$2:$Q$2902,Z$2,0)&lt;&gt;J308,"Beam Revised","")</f>
        <v>#N/A</v>
      </c>
      <c r="AA308" s="7" t="e">
        <f>IF(VLOOKUP($A308,'Concrete Beam Schedule'!$A$2:$Q$2902,AA$2,0)&lt;&gt;K308,"Beam Revised","")</f>
        <v>#N/A</v>
      </c>
      <c r="AB308" s="7" t="e">
        <f>IF(VLOOKUP($A308,'Concrete Beam Schedule'!$A$2:$Q$2902,AB$2,0)&lt;&gt;L308,"Beam Revised","")</f>
        <v>#N/A</v>
      </c>
      <c r="AC308" s="7" t="e">
        <f>IF(VLOOKUP($A308,'Concrete Beam Schedule'!$A$2:$Q$2902,AC$2,0)&lt;&gt;M308,"Beam Revised","")</f>
        <v>#N/A</v>
      </c>
      <c r="AD308" s="7" t="e">
        <f>IF(VLOOKUP($A308,'Concrete Beam Schedule'!$A$2:$Q$2902,AD$2,0)&lt;&gt;N308,"Beam Revised","")</f>
        <v>#N/A</v>
      </c>
      <c r="AE308" s="7" t="e">
        <f>IF(VLOOKUP($A308,'Concrete Beam Schedule'!$A$2:$Q$2902,AE$2,0)&lt;&gt;O308,"Beam Revised","")</f>
        <v>#N/A</v>
      </c>
    </row>
    <row r="309" spans="1:31" ht="25.5" customHeight="1" x14ac:dyDescent="0.25">
      <c r="A309" s="17"/>
      <c r="B309" s="17"/>
      <c r="C309" s="17"/>
      <c r="D309" s="17"/>
      <c r="E309" s="17"/>
      <c r="F309" s="17"/>
      <c r="G309" s="17"/>
      <c r="H309" s="17"/>
      <c r="I309" s="17"/>
      <c r="J309" s="17"/>
      <c r="K309" s="17"/>
      <c r="L309" s="17"/>
      <c r="M309" s="17"/>
      <c r="N309" s="17"/>
      <c r="O309" s="17"/>
      <c r="Q309" s="7">
        <f t="shared" si="4"/>
        <v>0</v>
      </c>
      <c r="R309" s="7" t="e">
        <f>IF(VLOOKUP($A309,'Concrete Beam Schedule'!$A$2:$Q$2902,R$2,0)&lt;&gt;B309,VLOOKUP($A309,'Concrete Beam Schedule'!$A$2:$Q$2902,R$2,0),"")</f>
        <v>#N/A</v>
      </c>
      <c r="S309" s="7" t="e">
        <f>IF(VLOOKUP($A309,'Concrete Beam Schedule'!$A$2:$Q$2902,S$2,0)&lt;&gt;C309,VLOOKUP($A309,'Concrete Beam Schedule'!$A$2:$Q$2902,S$2,0),"")</f>
        <v>#N/A</v>
      </c>
      <c r="T309" s="7" t="e">
        <f>IF(VLOOKUP($A309,'Concrete Beam Schedule'!$A$2:$Q$2902,T$2,0)&lt;&gt;D309,"Beam Revised","")</f>
        <v>#N/A</v>
      </c>
      <c r="U309" s="7" t="e">
        <f>IF(VLOOKUP($A309,'Concrete Beam Schedule'!$A$2:$Q$2902,U$2,0)&lt;&gt;E309,"Beam Revised","")</f>
        <v>#N/A</v>
      </c>
      <c r="V309" s="7" t="e">
        <f>IF(VLOOKUP($A309,'Concrete Beam Schedule'!$A$2:$Q$2902,V$2,0)&lt;&gt;F309,"Beam Revised","")</f>
        <v>#N/A</v>
      </c>
      <c r="W309" s="7" t="e">
        <f>IF(VLOOKUP($A309,'Concrete Beam Schedule'!$A$2:$Q$2902,W$2,0)&lt;&gt;G309,"Beam Revised","")</f>
        <v>#N/A</v>
      </c>
      <c r="X309" s="7" t="e">
        <f>IF(VLOOKUP($A309,'Concrete Beam Schedule'!$A$2:$Q$2902,X$2,0)&lt;&gt;H309,"Beam Revised","")</f>
        <v>#N/A</v>
      </c>
      <c r="Y309" s="7" t="e">
        <f>IF(VLOOKUP($A309,'Concrete Beam Schedule'!$A$2:$Q$2902,Y$2,0)&lt;&gt;I309,"Beam Revised","")</f>
        <v>#N/A</v>
      </c>
      <c r="Z309" s="7" t="e">
        <f>IF(VLOOKUP($A309,'Concrete Beam Schedule'!$A$2:$Q$2902,Z$2,0)&lt;&gt;J309,"Beam Revised","")</f>
        <v>#N/A</v>
      </c>
      <c r="AA309" s="7" t="e">
        <f>IF(VLOOKUP($A309,'Concrete Beam Schedule'!$A$2:$Q$2902,AA$2,0)&lt;&gt;K309,"Beam Revised","")</f>
        <v>#N/A</v>
      </c>
      <c r="AB309" s="7" t="e">
        <f>IF(VLOOKUP($A309,'Concrete Beam Schedule'!$A$2:$Q$2902,AB$2,0)&lt;&gt;L309,"Beam Revised","")</f>
        <v>#N/A</v>
      </c>
      <c r="AC309" s="7" t="e">
        <f>IF(VLOOKUP($A309,'Concrete Beam Schedule'!$A$2:$Q$2902,AC$2,0)&lt;&gt;M309,"Beam Revised","")</f>
        <v>#N/A</v>
      </c>
      <c r="AD309" s="7" t="e">
        <f>IF(VLOOKUP($A309,'Concrete Beam Schedule'!$A$2:$Q$2902,AD$2,0)&lt;&gt;N309,"Beam Revised","")</f>
        <v>#N/A</v>
      </c>
      <c r="AE309" s="7" t="e">
        <f>IF(VLOOKUP($A309,'Concrete Beam Schedule'!$A$2:$Q$2902,AE$2,0)&lt;&gt;O309,"Beam Revised","")</f>
        <v>#N/A</v>
      </c>
    </row>
    <row r="310" spans="1:31" ht="25.5" customHeight="1" x14ac:dyDescent="0.25">
      <c r="A310" s="17"/>
      <c r="B310" s="17"/>
      <c r="C310" s="17"/>
      <c r="D310" s="17"/>
      <c r="E310" s="17"/>
      <c r="F310" s="17"/>
      <c r="G310" s="17"/>
      <c r="H310" s="17"/>
      <c r="I310" s="17"/>
      <c r="J310" s="17"/>
      <c r="K310" s="17"/>
      <c r="L310" s="17"/>
      <c r="M310" s="17"/>
      <c r="N310" s="17"/>
      <c r="O310" s="17"/>
      <c r="Q310" s="7">
        <f t="shared" si="4"/>
        <v>0</v>
      </c>
      <c r="R310" s="7" t="e">
        <f>IF(VLOOKUP($A310,'Concrete Beam Schedule'!$A$2:$Q$2902,R$2,0)&lt;&gt;B310,VLOOKUP($A310,'Concrete Beam Schedule'!$A$2:$Q$2902,R$2,0),"")</f>
        <v>#N/A</v>
      </c>
      <c r="S310" s="7" t="e">
        <f>IF(VLOOKUP($A310,'Concrete Beam Schedule'!$A$2:$Q$2902,S$2,0)&lt;&gt;C310,VLOOKUP($A310,'Concrete Beam Schedule'!$A$2:$Q$2902,S$2,0),"")</f>
        <v>#N/A</v>
      </c>
      <c r="T310" s="7" t="e">
        <f>IF(VLOOKUP($A310,'Concrete Beam Schedule'!$A$2:$Q$2902,T$2,0)&lt;&gt;D310,"Beam Revised","")</f>
        <v>#N/A</v>
      </c>
      <c r="U310" s="7" t="e">
        <f>IF(VLOOKUP($A310,'Concrete Beam Schedule'!$A$2:$Q$2902,U$2,0)&lt;&gt;E310,"Beam Revised","")</f>
        <v>#N/A</v>
      </c>
      <c r="V310" s="7" t="e">
        <f>IF(VLOOKUP($A310,'Concrete Beam Schedule'!$A$2:$Q$2902,V$2,0)&lt;&gt;F310,"Beam Revised","")</f>
        <v>#N/A</v>
      </c>
      <c r="W310" s="7" t="e">
        <f>IF(VLOOKUP($A310,'Concrete Beam Schedule'!$A$2:$Q$2902,W$2,0)&lt;&gt;G310,"Beam Revised","")</f>
        <v>#N/A</v>
      </c>
      <c r="X310" s="7" t="e">
        <f>IF(VLOOKUP($A310,'Concrete Beam Schedule'!$A$2:$Q$2902,X$2,0)&lt;&gt;H310,"Beam Revised","")</f>
        <v>#N/A</v>
      </c>
      <c r="Y310" s="7" t="e">
        <f>IF(VLOOKUP($A310,'Concrete Beam Schedule'!$A$2:$Q$2902,Y$2,0)&lt;&gt;I310,"Beam Revised","")</f>
        <v>#N/A</v>
      </c>
      <c r="Z310" s="7" t="e">
        <f>IF(VLOOKUP($A310,'Concrete Beam Schedule'!$A$2:$Q$2902,Z$2,0)&lt;&gt;J310,"Beam Revised","")</f>
        <v>#N/A</v>
      </c>
      <c r="AA310" s="7" t="e">
        <f>IF(VLOOKUP($A310,'Concrete Beam Schedule'!$A$2:$Q$2902,AA$2,0)&lt;&gt;K310,"Beam Revised","")</f>
        <v>#N/A</v>
      </c>
      <c r="AB310" s="7" t="e">
        <f>IF(VLOOKUP($A310,'Concrete Beam Schedule'!$A$2:$Q$2902,AB$2,0)&lt;&gt;L310,"Beam Revised","")</f>
        <v>#N/A</v>
      </c>
      <c r="AC310" s="7" t="e">
        <f>IF(VLOOKUP($A310,'Concrete Beam Schedule'!$A$2:$Q$2902,AC$2,0)&lt;&gt;M310,"Beam Revised","")</f>
        <v>#N/A</v>
      </c>
      <c r="AD310" s="7" t="e">
        <f>IF(VLOOKUP($A310,'Concrete Beam Schedule'!$A$2:$Q$2902,AD$2,0)&lt;&gt;N310,"Beam Revised","")</f>
        <v>#N/A</v>
      </c>
      <c r="AE310" s="7" t="e">
        <f>IF(VLOOKUP($A310,'Concrete Beam Schedule'!$A$2:$Q$2902,AE$2,0)&lt;&gt;O310,"Beam Revised","")</f>
        <v>#N/A</v>
      </c>
    </row>
    <row r="311" spans="1:31" ht="25.5" customHeight="1" x14ac:dyDescent="0.25">
      <c r="A311" s="17"/>
      <c r="B311" s="17"/>
      <c r="C311" s="17"/>
      <c r="D311" s="17"/>
      <c r="E311" s="17"/>
      <c r="F311" s="17"/>
      <c r="G311" s="17"/>
      <c r="H311" s="17"/>
      <c r="I311" s="17"/>
      <c r="J311" s="17"/>
      <c r="K311" s="17"/>
      <c r="L311" s="17"/>
      <c r="M311" s="17"/>
      <c r="N311" s="17"/>
      <c r="O311" s="17"/>
      <c r="Q311" s="7">
        <f t="shared" si="4"/>
        <v>0</v>
      </c>
      <c r="R311" s="7" t="e">
        <f>IF(VLOOKUP($A311,'Concrete Beam Schedule'!$A$2:$Q$2902,R$2,0)&lt;&gt;B311,VLOOKUP($A311,'Concrete Beam Schedule'!$A$2:$Q$2902,R$2,0),"")</f>
        <v>#N/A</v>
      </c>
      <c r="S311" s="7" t="e">
        <f>IF(VLOOKUP($A311,'Concrete Beam Schedule'!$A$2:$Q$2902,S$2,0)&lt;&gt;C311,VLOOKUP($A311,'Concrete Beam Schedule'!$A$2:$Q$2902,S$2,0),"")</f>
        <v>#N/A</v>
      </c>
      <c r="T311" s="7" t="e">
        <f>IF(VLOOKUP($A311,'Concrete Beam Schedule'!$A$2:$Q$2902,T$2,0)&lt;&gt;D311,"Beam Revised","")</f>
        <v>#N/A</v>
      </c>
      <c r="U311" s="7" t="e">
        <f>IF(VLOOKUP($A311,'Concrete Beam Schedule'!$A$2:$Q$2902,U$2,0)&lt;&gt;E311,"Beam Revised","")</f>
        <v>#N/A</v>
      </c>
      <c r="V311" s="7" t="e">
        <f>IF(VLOOKUP($A311,'Concrete Beam Schedule'!$A$2:$Q$2902,V$2,0)&lt;&gt;F311,"Beam Revised","")</f>
        <v>#N/A</v>
      </c>
      <c r="W311" s="7" t="e">
        <f>IF(VLOOKUP($A311,'Concrete Beam Schedule'!$A$2:$Q$2902,W$2,0)&lt;&gt;G311,"Beam Revised","")</f>
        <v>#N/A</v>
      </c>
      <c r="X311" s="7" t="e">
        <f>IF(VLOOKUP($A311,'Concrete Beam Schedule'!$A$2:$Q$2902,X$2,0)&lt;&gt;H311,"Beam Revised","")</f>
        <v>#N/A</v>
      </c>
      <c r="Y311" s="7" t="e">
        <f>IF(VLOOKUP($A311,'Concrete Beam Schedule'!$A$2:$Q$2902,Y$2,0)&lt;&gt;I311,"Beam Revised","")</f>
        <v>#N/A</v>
      </c>
      <c r="Z311" s="7" t="e">
        <f>IF(VLOOKUP($A311,'Concrete Beam Schedule'!$A$2:$Q$2902,Z$2,0)&lt;&gt;J311,"Beam Revised","")</f>
        <v>#N/A</v>
      </c>
      <c r="AA311" s="7" t="e">
        <f>IF(VLOOKUP($A311,'Concrete Beam Schedule'!$A$2:$Q$2902,AA$2,0)&lt;&gt;K311,"Beam Revised","")</f>
        <v>#N/A</v>
      </c>
      <c r="AB311" s="7" t="e">
        <f>IF(VLOOKUP($A311,'Concrete Beam Schedule'!$A$2:$Q$2902,AB$2,0)&lt;&gt;L311,"Beam Revised","")</f>
        <v>#N/A</v>
      </c>
      <c r="AC311" s="7" t="e">
        <f>IF(VLOOKUP($A311,'Concrete Beam Schedule'!$A$2:$Q$2902,AC$2,0)&lt;&gt;M311,"Beam Revised","")</f>
        <v>#N/A</v>
      </c>
      <c r="AD311" s="7" t="e">
        <f>IF(VLOOKUP($A311,'Concrete Beam Schedule'!$A$2:$Q$2902,AD$2,0)&lt;&gt;N311,"Beam Revised","")</f>
        <v>#N/A</v>
      </c>
      <c r="AE311" s="7" t="e">
        <f>IF(VLOOKUP($A311,'Concrete Beam Schedule'!$A$2:$Q$2902,AE$2,0)&lt;&gt;O311,"Beam Revised","")</f>
        <v>#N/A</v>
      </c>
    </row>
    <row r="312" spans="1:31" ht="25.5" customHeight="1" x14ac:dyDescent="0.25">
      <c r="A312" s="17"/>
      <c r="B312" s="17"/>
      <c r="C312" s="17"/>
      <c r="D312" s="17"/>
      <c r="E312" s="17"/>
      <c r="F312" s="17"/>
      <c r="G312" s="17"/>
      <c r="H312" s="17"/>
      <c r="I312" s="17"/>
      <c r="J312" s="17"/>
      <c r="K312" s="17"/>
      <c r="L312" s="17"/>
      <c r="M312" s="17"/>
      <c r="N312" s="17"/>
      <c r="O312" s="17"/>
      <c r="Q312" s="7">
        <f t="shared" si="4"/>
        <v>0</v>
      </c>
      <c r="R312" s="7" t="e">
        <f>IF(VLOOKUP($A312,'Concrete Beam Schedule'!$A$2:$Q$2902,R$2,0)&lt;&gt;B312,VLOOKUP($A312,'Concrete Beam Schedule'!$A$2:$Q$2902,R$2,0),"")</f>
        <v>#N/A</v>
      </c>
      <c r="S312" s="7" t="e">
        <f>IF(VLOOKUP($A312,'Concrete Beam Schedule'!$A$2:$Q$2902,S$2,0)&lt;&gt;C312,VLOOKUP($A312,'Concrete Beam Schedule'!$A$2:$Q$2902,S$2,0),"")</f>
        <v>#N/A</v>
      </c>
      <c r="T312" s="7" t="e">
        <f>IF(VLOOKUP($A312,'Concrete Beam Schedule'!$A$2:$Q$2902,T$2,0)&lt;&gt;D312,"Beam Revised","")</f>
        <v>#N/A</v>
      </c>
      <c r="U312" s="7" t="e">
        <f>IF(VLOOKUP($A312,'Concrete Beam Schedule'!$A$2:$Q$2902,U$2,0)&lt;&gt;E312,"Beam Revised","")</f>
        <v>#N/A</v>
      </c>
      <c r="V312" s="7" t="e">
        <f>IF(VLOOKUP($A312,'Concrete Beam Schedule'!$A$2:$Q$2902,V$2,0)&lt;&gt;F312,"Beam Revised","")</f>
        <v>#N/A</v>
      </c>
      <c r="W312" s="7" t="e">
        <f>IF(VLOOKUP($A312,'Concrete Beam Schedule'!$A$2:$Q$2902,W$2,0)&lt;&gt;G312,"Beam Revised","")</f>
        <v>#N/A</v>
      </c>
      <c r="X312" s="7" t="e">
        <f>IF(VLOOKUP($A312,'Concrete Beam Schedule'!$A$2:$Q$2902,X$2,0)&lt;&gt;H312,"Beam Revised","")</f>
        <v>#N/A</v>
      </c>
      <c r="Y312" s="7" t="e">
        <f>IF(VLOOKUP($A312,'Concrete Beam Schedule'!$A$2:$Q$2902,Y$2,0)&lt;&gt;I312,"Beam Revised","")</f>
        <v>#N/A</v>
      </c>
      <c r="Z312" s="7" t="e">
        <f>IF(VLOOKUP($A312,'Concrete Beam Schedule'!$A$2:$Q$2902,Z$2,0)&lt;&gt;J312,"Beam Revised","")</f>
        <v>#N/A</v>
      </c>
      <c r="AA312" s="7" t="e">
        <f>IF(VLOOKUP($A312,'Concrete Beam Schedule'!$A$2:$Q$2902,AA$2,0)&lt;&gt;K312,"Beam Revised","")</f>
        <v>#N/A</v>
      </c>
      <c r="AB312" s="7" t="e">
        <f>IF(VLOOKUP($A312,'Concrete Beam Schedule'!$A$2:$Q$2902,AB$2,0)&lt;&gt;L312,"Beam Revised","")</f>
        <v>#N/A</v>
      </c>
      <c r="AC312" s="7" t="e">
        <f>IF(VLOOKUP($A312,'Concrete Beam Schedule'!$A$2:$Q$2902,AC$2,0)&lt;&gt;M312,"Beam Revised","")</f>
        <v>#N/A</v>
      </c>
      <c r="AD312" s="7" t="e">
        <f>IF(VLOOKUP($A312,'Concrete Beam Schedule'!$A$2:$Q$2902,AD$2,0)&lt;&gt;N312,"Beam Revised","")</f>
        <v>#N/A</v>
      </c>
      <c r="AE312" s="7" t="e">
        <f>IF(VLOOKUP($A312,'Concrete Beam Schedule'!$A$2:$Q$2902,AE$2,0)&lt;&gt;O312,"Beam Revised","")</f>
        <v>#N/A</v>
      </c>
    </row>
    <row r="313" spans="1:31" ht="25.5" customHeight="1" x14ac:dyDescent="0.25">
      <c r="A313" s="17"/>
      <c r="B313" s="17"/>
      <c r="C313" s="17"/>
      <c r="D313" s="17"/>
      <c r="E313" s="17"/>
      <c r="F313" s="17"/>
      <c r="G313" s="17"/>
      <c r="H313" s="17"/>
      <c r="I313" s="17"/>
      <c r="J313" s="17"/>
      <c r="K313" s="17"/>
      <c r="L313" s="17"/>
      <c r="M313" s="17"/>
      <c r="N313" s="17"/>
      <c r="O313" s="17"/>
      <c r="Q313" s="7">
        <f t="shared" si="4"/>
        <v>0</v>
      </c>
      <c r="R313" s="7" t="e">
        <f>IF(VLOOKUP($A313,'Concrete Beam Schedule'!$A$2:$Q$2902,R$2,0)&lt;&gt;B313,VLOOKUP($A313,'Concrete Beam Schedule'!$A$2:$Q$2902,R$2,0),"")</f>
        <v>#N/A</v>
      </c>
      <c r="S313" s="7" t="e">
        <f>IF(VLOOKUP($A313,'Concrete Beam Schedule'!$A$2:$Q$2902,S$2,0)&lt;&gt;C313,VLOOKUP($A313,'Concrete Beam Schedule'!$A$2:$Q$2902,S$2,0),"")</f>
        <v>#N/A</v>
      </c>
      <c r="T313" s="7" t="e">
        <f>IF(VLOOKUP($A313,'Concrete Beam Schedule'!$A$2:$Q$2902,T$2,0)&lt;&gt;D313,"Beam Revised","")</f>
        <v>#N/A</v>
      </c>
      <c r="U313" s="7" t="e">
        <f>IF(VLOOKUP($A313,'Concrete Beam Schedule'!$A$2:$Q$2902,U$2,0)&lt;&gt;E313,"Beam Revised","")</f>
        <v>#N/A</v>
      </c>
      <c r="V313" s="7" t="e">
        <f>IF(VLOOKUP($A313,'Concrete Beam Schedule'!$A$2:$Q$2902,V$2,0)&lt;&gt;F313,"Beam Revised","")</f>
        <v>#N/A</v>
      </c>
      <c r="W313" s="7" t="e">
        <f>IF(VLOOKUP($A313,'Concrete Beam Schedule'!$A$2:$Q$2902,W$2,0)&lt;&gt;G313,"Beam Revised","")</f>
        <v>#N/A</v>
      </c>
      <c r="X313" s="7" t="e">
        <f>IF(VLOOKUP($A313,'Concrete Beam Schedule'!$A$2:$Q$2902,X$2,0)&lt;&gt;H313,"Beam Revised","")</f>
        <v>#N/A</v>
      </c>
      <c r="Y313" s="7" t="e">
        <f>IF(VLOOKUP($A313,'Concrete Beam Schedule'!$A$2:$Q$2902,Y$2,0)&lt;&gt;I313,"Beam Revised","")</f>
        <v>#N/A</v>
      </c>
      <c r="Z313" s="7" t="e">
        <f>IF(VLOOKUP($A313,'Concrete Beam Schedule'!$A$2:$Q$2902,Z$2,0)&lt;&gt;J313,"Beam Revised","")</f>
        <v>#N/A</v>
      </c>
      <c r="AA313" s="7" t="e">
        <f>IF(VLOOKUP($A313,'Concrete Beam Schedule'!$A$2:$Q$2902,AA$2,0)&lt;&gt;K313,"Beam Revised","")</f>
        <v>#N/A</v>
      </c>
      <c r="AB313" s="7" t="e">
        <f>IF(VLOOKUP($A313,'Concrete Beam Schedule'!$A$2:$Q$2902,AB$2,0)&lt;&gt;L313,"Beam Revised","")</f>
        <v>#N/A</v>
      </c>
      <c r="AC313" s="7" t="e">
        <f>IF(VLOOKUP($A313,'Concrete Beam Schedule'!$A$2:$Q$2902,AC$2,0)&lt;&gt;M313,"Beam Revised","")</f>
        <v>#N/A</v>
      </c>
      <c r="AD313" s="7" t="e">
        <f>IF(VLOOKUP($A313,'Concrete Beam Schedule'!$A$2:$Q$2902,AD$2,0)&lt;&gt;N313,"Beam Revised","")</f>
        <v>#N/A</v>
      </c>
      <c r="AE313" s="7" t="e">
        <f>IF(VLOOKUP($A313,'Concrete Beam Schedule'!$A$2:$Q$2902,AE$2,0)&lt;&gt;O313,"Beam Revised","")</f>
        <v>#N/A</v>
      </c>
    </row>
    <row r="314" spans="1:31" ht="25.5" customHeight="1" x14ac:dyDescent="0.25">
      <c r="A314" s="17"/>
      <c r="B314" s="17"/>
      <c r="C314" s="17"/>
      <c r="D314" s="17"/>
      <c r="E314" s="17"/>
      <c r="F314" s="17"/>
      <c r="G314" s="17"/>
      <c r="H314" s="17"/>
      <c r="I314" s="17"/>
      <c r="J314" s="17"/>
      <c r="K314" s="17"/>
      <c r="L314" s="17"/>
      <c r="M314" s="17"/>
      <c r="N314" s="17"/>
      <c r="O314" s="17"/>
      <c r="Q314" s="7">
        <f t="shared" si="4"/>
        <v>0</v>
      </c>
      <c r="R314" s="7" t="e">
        <f>IF(VLOOKUP($A314,'Concrete Beam Schedule'!$A$2:$Q$2902,R$2,0)&lt;&gt;B314,VLOOKUP($A314,'Concrete Beam Schedule'!$A$2:$Q$2902,R$2,0),"")</f>
        <v>#N/A</v>
      </c>
      <c r="S314" s="7" t="e">
        <f>IF(VLOOKUP($A314,'Concrete Beam Schedule'!$A$2:$Q$2902,S$2,0)&lt;&gt;C314,VLOOKUP($A314,'Concrete Beam Schedule'!$A$2:$Q$2902,S$2,0),"")</f>
        <v>#N/A</v>
      </c>
      <c r="T314" s="7" t="e">
        <f>IF(VLOOKUP($A314,'Concrete Beam Schedule'!$A$2:$Q$2902,T$2,0)&lt;&gt;D314,"Beam Revised","")</f>
        <v>#N/A</v>
      </c>
      <c r="U314" s="7" t="e">
        <f>IF(VLOOKUP($A314,'Concrete Beam Schedule'!$A$2:$Q$2902,U$2,0)&lt;&gt;E314,"Beam Revised","")</f>
        <v>#N/A</v>
      </c>
      <c r="V314" s="7" t="e">
        <f>IF(VLOOKUP($A314,'Concrete Beam Schedule'!$A$2:$Q$2902,V$2,0)&lt;&gt;F314,"Beam Revised","")</f>
        <v>#N/A</v>
      </c>
      <c r="W314" s="7" t="e">
        <f>IF(VLOOKUP($A314,'Concrete Beam Schedule'!$A$2:$Q$2902,W$2,0)&lt;&gt;G314,"Beam Revised","")</f>
        <v>#N/A</v>
      </c>
      <c r="X314" s="7" t="e">
        <f>IF(VLOOKUP($A314,'Concrete Beam Schedule'!$A$2:$Q$2902,X$2,0)&lt;&gt;H314,"Beam Revised","")</f>
        <v>#N/A</v>
      </c>
      <c r="Y314" s="7" t="e">
        <f>IF(VLOOKUP($A314,'Concrete Beam Schedule'!$A$2:$Q$2902,Y$2,0)&lt;&gt;I314,"Beam Revised","")</f>
        <v>#N/A</v>
      </c>
      <c r="Z314" s="7" t="e">
        <f>IF(VLOOKUP($A314,'Concrete Beam Schedule'!$A$2:$Q$2902,Z$2,0)&lt;&gt;J314,"Beam Revised","")</f>
        <v>#N/A</v>
      </c>
      <c r="AA314" s="7" t="e">
        <f>IF(VLOOKUP($A314,'Concrete Beam Schedule'!$A$2:$Q$2902,AA$2,0)&lt;&gt;K314,"Beam Revised","")</f>
        <v>#N/A</v>
      </c>
      <c r="AB314" s="7" t="e">
        <f>IF(VLOOKUP($A314,'Concrete Beam Schedule'!$A$2:$Q$2902,AB$2,0)&lt;&gt;L314,"Beam Revised","")</f>
        <v>#N/A</v>
      </c>
      <c r="AC314" s="7" t="e">
        <f>IF(VLOOKUP($A314,'Concrete Beam Schedule'!$A$2:$Q$2902,AC$2,0)&lt;&gt;M314,"Beam Revised","")</f>
        <v>#N/A</v>
      </c>
      <c r="AD314" s="7" t="e">
        <f>IF(VLOOKUP($A314,'Concrete Beam Schedule'!$A$2:$Q$2902,AD$2,0)&lt;&gt;N314,"Beam Revised","")</f>
        <v>#N/A</v>
      </c>
      <c r="AE314" s="7" t="e">
        <f>IF(VLOOKUP($A314,'Concrete Beam Schedule'!$A$2:$Q$2902,AE$2,0)&lt;&gt;O314,"Beam Revised","")</f>
        <v>#N/A</v>
      </c>
    </row>
    <row r="315" spans="1:31" ht="25.5" customHeight="1" x14ac:dyDescent="0.25">
      <c r="A315" s="17"/>
      <c r="B315" s="17"/>
      <c r="C315" s="17"/>
      <c r="D315" s="17"/>
      <c r="E315" s="17"/>
      <c r="F315" s="17"/>
      <c r="G315" s="17"/>
      <c r="H315" s="17"/>
      <c r="I315" s="17"/>
      <c r="J315" s="17"/>
      <c r="K315" s="17"/>
      <c r="L315" s="17"/>
      <c r="M315" s="17"/>
      <c r="N315" s="17"/>
      <c r="O315" s="17"/>
      <c r="Q315" s="7">
        <f t="shared" si="4"/>
        <v>0</v>
      </c>
      <c r="R315" s="7" t="e">
        <f>IF(VLOOKUP($A315,'Concrete Beam Schedule'!$A$2:$Q$2902,R$2,0)&lt;&gt;B315,VLOOKUP($A315,'Concrete Beam Schedule'!$A$2:$Q$2902,R$2,0),"")</f>
        <v>#N/A</v>
      </c>
      <c r="S315" s="7" t="e">
        <f>IF(VLOOKUP($A315,'Concrete Beam Schedule'!$A$2:$Q$2902,S$2,0)&lt;&gt;C315,VLOOKUP($A315,'Concrete Beam Schedule'!$A$2:$Q$2902,S$2,0),"")</f>
        <v>#N/A</v>
      </c>
      <c r="T315" s="7" t="e">
        <f>IF(VLOOKUP($A315,'Concrete Beam Schedule'!$A$2:$Q$2902,T$2,0)&lt;&gt;D315,"Beam Revised","")</f>
        <v>#N/A</v>
      </c>
      <c r="U315" s="7" t="e">
        <f>IF(VLOOKUP($A315,'Concrete Beam Schedule'!$A$2:$Q$2902,U$2,0)&lt;&gt;E315,"Beam Revised","")</f>
        <v>#N/A</v>
      </c>
      <c r="V315" s="7" t="e">
        <f>IF(VLOOKUP($A315,'Concrete Beam Schedule'!$A$2:$Q$2902,V$2,0)&lt;&gt;F315,"Beam Revised","")</f>
        <v>#N/A</v>
      </c>
      <c r="W315" s="7" t="e">
        <f>IF(VLOOKUP($A315,'Concrete Beam Schedule'!$A$2:$Q$2902,W$2,0)&lt;&gt;G315,"Beam Revised","")</f>
        <v>#N/A</v>
      </c>
      <c r="X315" s="7" t="e">
        <f>IF(VLOOKUP($A315,'Concrete Beam Schedule'!$A$2:$Q$2902,X$2,0)&lt;&gt;H315,"Beam Revised","")</f>
        <v>#N/A</v>
      </c>
      <c r="Y315" s="7" t="e">
        <f>IF(VLOOKUP($A315,'Concrete Beam Schedule'!$A$2:$Q$2902,Y$2,0)&lt;&gt;I315,"Beam Revised","")</f>
        <v>#N/A</v>
      </c>
      <c r="Z315" s="7" t="e">
        <f>IF(VLOOKUP($A315,'Concrete Beam Schedule'!$A$2:$Q$2902,Z$2,0)&lt;&gt;J315,"Beam Revised","")</f>
        <v>#N/A</v>
      </c>
      <c r="AA315" s="7" t="e">
        <f>IF(VLOOKUP($A315,'Concrete Beam Schedule'!$A$2:$Q$2902,AA$2,0)&lt;&gt;K315,"Beam Revised","")</f>
        <v>#N/A</v>
      </c>
      <c r="AB315" s="7" t="e">
        <f>IF(VLOOKUP($A315,'Concrete Beam Schedule'!$A$2:$Q$2902,AB$2,0)&lt;&gt;L315,"Beam Revised","")</f>
        <v>#N/A</v>
      </c>
      <c r="AC315" s="7" t="e">
        <f>IF(VLOOKUP($A315,'Concrete Beam Schedule'!$A$2:$Q$2902,AC$2,0)&lt;&gt;M315,"Beam Revised","")</f>
        <v>#N/A</v>
      </c>
      <c r="AD315" s="7" t="e">
        <f>IF(VLOOKUP($A315,'Concrete Beam Schedule'!$A$2:$Q$2902,AD$2,0)&lt;&gt;N315,"Beam Revised","")</f>
        <v>#N/A</v>
      </c>
      <c r="AE315" s="7" t="e">
        <f>IF(VLOOKUP($A315,'Concrete Beam Schedule'!$A$2:$Q$2902,AE$2,0)&lt;&gt;O315,"Beam Revised","")</f>
        <v>#N/A</v>
      </c>
    </row>
    <row r="316" spans="1:31" ht="25.5" customHeight="1" x14ac:dyDescent="0.25">
      <c r="A316" s="17"/>
      <c r="B316" s="17"/>
      <c r="C316" s="17"/>
      <c r="D316" s="17"/>
      <c r="E316" s="17"/>
      <c r="F316" s="17"/>
      <c r="G316" s="17"/>
      <c r="H316" s="17"/>
      <c r="I316" s="17"/>
      <c r="J316" s="17"/>
      <c r="K316" s="17"/>
      <c r="L316" s="17"/>
      <c r="M316" s="17"/>
      <c r="N316" s="17"/>
      <c r="O316" s="17"/>
      <c r="Q316" s="7">
        <f t="shared" si="4"/>
        <v>0</v>
      </c>
      <c r="R316" s="7" t="e">
        <f>IF(VLOOKUP($A316,'Concrete Beam Schedule'!$A$2:$Q$2902,R$2,0)&lt;&gt;B316,VLOOKUP($A316,'Concrete Beam Schedule'!$A$2:$Q$2902,R$2,0),"")</f>
        <v>#N/A</v>
      </c>
      <c r="S316" s="7" t="e">
        <f>IF(VLOOKUP($A316,'Concrete Beam Schedule'!$A$2:$Q$2902,S$2,0)&lt;&gt;C316,VLOOKUP($A316,'Concrete Beam Schedule'!$A$2:$Q$2902,S$2,0),"")</f>
        <v>#N/A</v>
      </c>
      <c r="T316" s="7" t="e">
        <f>IF(VLOOKUP($A316,'Concrete Beam Schedule'!$A$2:$Q$2902,T$2,0)&lt;&gt;D316,"Beam Revised","")</f>
        <v>#N/A</v>
      </c>
      <c r="U316" s="7" t="e">
        <f>IF(VLOOKUP($A316,'Concrete Beam Schedule'!$A$2:$Q$2902,U$2,0)&lt;&gt;E316,"Beam Revised","")</f>
        <v>#N/A</v>
      </c>
      <c r="V316" s="7" t="e">
        <f>IF(VLOOKUP($A316,'Concrete Beam Schedule'!$A$2:$Q$2902,V$2,0)&lt;&gt;F316,"Beam Revised","")</f>
        <v>#N/A</v>
      </c>
      <c r="W316" s="7" t="e">
        <f>IF(VLOOKUP($A316,'Concrete Beam Schedule'!$A$2:$Q$2902,W$2,0)&lt;&gt;G316,"Beam Revised","")</f>
        <v>#N/A</v>
      </c>
      <c r="X316" s="7" t="e">
        <f>IF(VLOOKUP($A316,'Concrete Beam Schedule'!$A$2:$Q$2902,X$2,0)&lt;&gt;H316,"Beam Revised","")</f>
        <v>#N/A</v>
      </c>
      <c r="Y316" s="7" t="e">
        <f>IF(VLOOKUP($A316,'Concrete Beam Schedule'!$A$2:$Q$2902,Y$2,0)&lt;&gt;I316,"Beam Revised","")</f>
        <v>#N/A</v>
      </c>
      <c r="Z316" s="7" t="e">
        <f>IF(VLOOKUP($A316,'Concrete Beam Schedule'!$A$2:$Q$2902,Z$2,0)&lt;&gt;J316,"Beam Revised","")</f>
        <v>#N/A</v>
      </c>
      <c r="AA316" s="7" t="e">
        <f>IF(VLOOKUP($A316,'Concrete Beam Schedule'!$A$2:$Q$2902,AA$2,0)&lt;&gt;K316,"Beam Revised","")</f>
        <v>#N/A</v>
      </c>
      <c r="AB316" s="7" t="e">
        <f>IF(VLOOKUP($A316,'Concrete Beam Schedule'!$A$2:$Q$2902,AB$2,0)&lt;&gt;L316,"Beam Revised","")</f>
        <v>#N/A</v>
      </c>
      <c r="AC316" s="7" t="e">
        <f>IF(VLOOKUP($A316,'Concrete Beam Schedule'!$A$2:$Q$2902,AC$2,0)&lt;&gt;M316,"Beam Revised","")</f>
        <v>#N/A</v>
      </c>
      <c r="AD316" s="7" t="e">
        <f>IF(VLOOKUP($A316,'Concrete Beam Schedule'!$A$2:$Q$2902,AD$2,0)&lt;&gt;N316,"Beam Revised","")</f>
        <v>#N/A</v>
      </c>
      <c r="AE316" s="7" t="e">
        <f>IF(VLOOKUP($A316,'Concrete Beam Schedule'!$A$2:$Q$2902,AE$2,0)&lt;&gt;O316,"Beam Revised","")</f>
        <v>#N/A</v>
      </c>
    </row>
    <row r="317" spans="1:31" ht="25.5" customHeight="1" x14ac:dyDescent="0.25">
      <c r="A317" s="17"/>
      <c r="B317" s="17"/>
      <c r="C317" s="17"/>
      <c r="D317" s="17"/>
      <c r="E317" s="17"/>
      <c r="F317" s="17"/>
      <c r="G317" s="17"/>
      <c r="H317" s="17"/>
      <c r="I317" s="17"/>
      <c r="J317" s="17"/>
      <c r="K317" s="17"/>
      <c r="L317" s="17"/>
      <c r="M317" s="17"/>
      <c r="N317" s="17"/>
      <c r="O317" s="17"/>
      <c r="Q317" s="7">
        <f t="shared" si="4"/>
        <v>0</v>
      </c>
      <c r="R317" s="7" t="e">
        <f>IF(VLOOKUP($A317,'Concrete Beam Schedule'!$A$2:$Q$2902,R$2,0)&lt;&gt;B317,VLOOKUP($A317,'Concrete Beam Schedule'!$A$2:$Q$2902,R$2,0),"")</f>
        <v>#N/A</v>
      </c>
      <c r="S317" s="7" t="e">
        <f>IF(VLOOKUP($A317,'Concrete Beam Schedule'!$A$2:$Q$2902,S$2,0)&lt;&gt;C317,VLOOKUP($A317,'Concrete Beam Schedule'!$A$2:$Q$2902,S$2,0),"")</f>
        <v>#N/A</v>
      </c>
      <c r="T317" s="7" t="e">
        <f>IF(VLOOKUP($A317,'Concrete Beam Schedule'!$A$2:$Q$2902,T$2,0)&lt;&gt;D317,"Beam Revised","")</f>
        <v>#N/A</v>
      </c>
      <c r="U317" s="7" t="e">
        <f>IF(VLOOKUP($A317,'Concrete Beam Schedule'!$A$2:$Q$2902,U$2,0)&lt;&gt;E317,"Beam Revised","")</f>
        <v>#N/A</v>
      </c>
      <c r="V317" s="7" t="e">
        <f>IF(VLOOKUP($A317,'Concrete Beam Schedule'!$A$2:$Q$2902,V$2,0)&lt;&gt;F317,"Beam Revised","")</f>
        <v>#N/A</v>
      </c>
      <c r="W317" s="7" t="e">
        <f>IF(VLOOKUP($A317,'Concrete Beam Schedule'!$A$2:$Q$2902,W$2,0)&lt;&gt;G317,"Beam Revised","")</f>
        <v>#N/A</v>
      </c>
      <c r="X317" s="7" t="e">
        <f>IF(VLOOKUP($A317,'Concrete Beam Schedule'!$A$2:$Q$2902,X$2,0)&lt;&gt;H317,"Beam Revised","")</f>
        <v>#N/A</v>
      </c>
      <c r="Y317" s="7" t="e">
        <f>IF(VLOOKUP($A317,'Concrete Beam Schedule'!$A$2:$Q$2902,Y$2,0)&lt;&gt;I317,"Beam Revised","")</f>
        <v>#N/A</v>
      </c>
      <c r="Z317" s="7" t="e">
        <f>IF(VLOOKUP($A317,'Concrete Beam Schedule'!$A$2:$Q$2902,Z$2,0)&lt;&gt;J317,"Beam Revised","")</f>
        <v>#N/A</v>
      </c>
      <c r="AA317" s="7" t="e">
        <f>IF(VLOOKUP($A317,'Concrete Beam Schedule'!$A$2:$Q$2902,AA$2,0)&lt;&gt;K317,"Beam Revised","")</f>
        <v>#N/A</v>
      </c>
      <c r="AB317" s="7" t="e">
        <f>IF(VLOOKUP($A317,'Concrete Beam Schedule'!$A$2:$Q$2902,AB$2,0)&lt;&gt;L317,"Beam Revised","")</f>
        <v>#N/A</v>
      </c>
      <c r="AC317" s="7" t="e">
        <f>IF(VLOOKUP($A317,'Concrete Beam Schedule'!$A$2:$Q$2902,AC$2,0)&lt;&gt;M317,"Beam Revised","")</f>
        <v>#N/A</v>
      </c>
      <c r="AD317" s="7" t="e">
        <f>IF(VLOOKUP($A317,'Concrete Beam Schedule'!$A$2:$Q$2902,AD$2,0)&lt;&gt;N317,"Beam Revised","")</f>
        <v>#N/A</v>
      </c>
      <c r="AE317" s="7" t="e">
        <f>IF(VLOOKUP($A317,'Concrete Beam Schedule'!$A$2:$Q$2902,AE$2,0)&lt;&gt;O317,"Beam Revised","")</f>
        <v>#N/A</v>
      </c>
    </row>
    <row r="318" spans="1:31" ht="25.5" customHeight="1" x14ac:dyDescent="0.25">
      <c r="A318" s="17"/>
      <c r="B318" s="17"/>
      <c r="C318" s="17"/>
      <c r="D318" s="17"/>
      <c r="E318" s="17"/>
      <c r="F318" s="17"/>
      <c r="G318" s="17"/>
      <c r="H318" s="17"/>
      <c r="I318" s="17"/>
      <c r="J318" s="17"/>
      <c r="K318" s="17"/>
      <c r="L318" s="17"/>
      <c r="M318" s="17"/>
      <c r="N318" s="17"/>
      <c r="O318" s="17"/>
      <c r="Q318" s="7">
        <f t="shared" si="4"/>
        <v>0</v>
      </c>
      <c r="R318" s="7" t="e">
        <f>IF(VLOOKUP($A318,'Concrete Beam Schedule'!$A$2:$Q$2902,R$2,0)&lt;&gt;B318,VLOOKUP($A318,'Concrete Beam Schedule'!$A$2:$Q$2902,R$2,0),"")</f>
        <v>#N/A</v>
      </c>
      <c r="S318" s="7" t="e">
        <f>IF(VLOOKUP($A318,'Concrete Beam Schedule'!$A$2:$Q$2902,S$2,0)&lt;&gt;C318,VLOOKUP($A318,'Concrete Beam Schedule'!$A$2:$Q$2902,S$2,0),"")</f>
        <v>#N/A</v>
      </c>
      <c r="T318" s="7" t="e">
        <f>IF(VLOOKUP($A318,'Concrete Beam Schedule'!$A$2:$Q$2902,T$2,0)&lt;&gt;D318,"Beam Revised","")</f>
        <v>#N/A</v>
      </c>
      <c r="U318" s="7" t="e">
        <f>IF(VLOOKUP($A318,'Concrete Beam Schedule'!$A$2:$Q$2902,U$2,0)&lt;&gt;E318,"Beam Revised","")</f>
        <v>#N/A</v>
      </c>
      <c r="V318" s="7" t="e">
        <f>IF(VLOOKUP($A318,'Concrete Beam Schedule'!$A$2:$Q$2902,V$2,0)&lt;&gt;F318,"Beam Revised","")</f>
        <v>#N/A</v>
      </c>
      <c r="W318" s="7" t="e">
        <f>IF(VLOOKUP($A318,'Concrete Beam Schedule'!$A$2:$Q$2902,W$2,0)&lt;&gt;G318,"Beam Revised","")</f>
        <v>#N/A</v>
      </c>
      <c r="X318" s="7" t="e">
        <f>IF(VLOOKUP($A318,'Concrete Beam Schedule'!$A$2:$Q$2902,X$2,0)&lt;&gt;H318,"Beam Revised","")</f>
        <v>#N/A</v>
      </c>
      <c r="Y318" s="7" t="e">
        <f>IF(VLOOKUP($A318,'Concrete Beam Schedule'!$A$2:$Q$2902,Y$2,0)&lt;&gt;I318,"Beam Revised","")</f>
        <v>#N/A</v>
      </c>
      <c r="Z318" s="7" t="e">
        <f>IF(VLOOKUP($A318,'Concrete Beam Schedule'!$A$2:$Q$2902,Z$2,0)&lt;&gt;J318,"Beam Revised","")</f>
        <v>#N/A</v>
      </c>
      <c r="AA318" s="7" t="e">
        <f>IF(VLOOKUP($A318,'Concrete Beam Schedule'!$A$2:$Q$2902,AA$2,0)&lt;&gt;K318,"Beam Revised","")</f>
        <v>#N/A</v>
      </c>
      <c r="AB318" s="7" t="e">
        <f>IF(VLOOKUP($A318,'Concrete Beam Schedule'!$A$2:$Q$2902,AB$2,0)&lt;&gt;L318,"Beam Revised","")</f>
        <v>#N/A</v>
      </c>
      <c r="AC318" s="7" t="e">
        <f>IF(VLOOKUP($A318,'Concrete Beam Schedule'!$A$2:$Q$2902,AC$2,0)&lt;&gt;M318,"Beam Revised","")</f>
        <v>#N/A</v>
      </c>
      <c r="AD318" s="7" t="e">
        <f>IF(VLOOKUP($A318,'Concrete Beam Schedule'!$A$2:$Q$2902,AD$2,0)&lt;&gt;N318,"Beam Revised","")</f>
        <v>#N/A</v>
      </c>
      <c r="AE318" s="7" t="e">
        <f>IF(VLOOKUP($A318,'Concrete Beam Schedule'!$A$2:$Q$2902,AE$2,0)&lt;&gt;O318,"Beam Revised","")</f>
        <v>#N/A</v>
      </c>
    </row>
    <row r="319" spans="1:31" ht="25.5" customHeight="1" x14ac:dyDescent="0.25">
      <c r="A319" s="17"/>
      <c r="B319" s="17"/>
      <c r="C319" s="17"/>
      <c r="D319" s="17"/>
      <c r="E319" s="17"/>
      <c r="F319" s="17"/>
      <c r="G319" s="17"/>
      <c r="H319" s="17"/>
      <c r="I319" s="17"/>
      <c r="J319" s="17"/>
      <c r="K319" s="17"/>
      <c r="L319" s="17"/>
      <c r="M319" s="17"/>
      <c r="N319" s="17"/>
      <c r="O319" s="17"/>
      <c r="Q319" s="7">
        <f t="shared" si="4"/>
        <v>0</v>
      </c>
      <c r="R319" s="7" t="e">
        <f>IF(VLOOKUP($A319,'Concrete Beam Schedule'!$A$2:$Q$2902,R$2,0)&lt;&gt;B319,VLOOKUP($A319,'Concrete Beam Schedule'!$A$2:$Q$2902,R$2,0),"")</f>
        <v>#N/A</v>
      </c>
      <c r="S319" s="7" t="e">
        <f>IF(VLOOKUP($A319,'Concrete Beam Schedule'!$A$2:$Q$2902,S$2,0)&lt;&gt;C319,VLOOKUP($A319,'Concrete Beam Schedule'!$A$2:$Q$2902,S$2,0),"")</f>
        <v>#N/A</v>
      </c>
      <c r="T319" s="7" t="e">
        <f>IF(VLOOKUP($A319,'Concrete Beam Schedule'!$A$2:$Q$2902,T$2,0)&lt;&gt;D319,"Beam Revised","")</f>
        <v>#N/A</v>
      </c>
      <c r="U319" s="7" t="e">
        <f>IF(VLOOKUP($A319,'Concrete Beam Schedule'!$A$2:$Q$2902,U$2,0)&lt;&gt;E319,"Beam Revised","")</f>
        <v>#N/A</v>
      </c>
      <c r="V319" s="7" t="e">
        <f>IF(VLOOKUP($A319,'Concrete Beam Schedule'!$A$2:$Q$2902,V$2,0)&lt;&gt;F319,"Beam Revised","")</f>
        <v>#N/A</v>
      </c>
      <c r="W319" s="7" t="e">
        <f>IF(VLOOKUP($A319,'Concrete Beam Schedule'!$A$2:$Q$2902,W$2,0)&lt;&gt;G319,"Beam Revised","")</f>
        <v>#N/A</v>
      </c>
      <c r="X319" s="7" t="e">
        <f>IF(VLOOKUP($A319,'Concrete Beam Schedule'!$A$2:$Q$2902,X$2,0)&lt;&gt;H319,"Beam Revised","")</f>
        <v>#N/A</v>
      </c>
      <c r="Y319" s="7" t="e">
        <f>IF(VLOOKUP($A319,'Concrete Beam Schedule'!$A$2:$Q$2902,Y$2,0)&lt;&gt;I319,"Beam Revised","")</f>
        <v>#N/A</v>
      </c>
      <c r="Z319" s="7" t="e">
        <f>IF(VLOOKUP($A319,'Concrete Beam Schedule'!$A$2:$Q$2902,Z$2,0)&lt;&gt;J319,"Beam Revised","")</f>
        <v>#N/A</v>
      </c>
      <c r="AA319" s="7" t="e">
        <f>IF(VLOOKUP($A319,'Concrete Beam Schedule'!$A$2:$Q$2902,AA$2,0)&lt;&gt;K319,"Beam Revised","")</f>
        <v>#N/A</v>
      </c>
      <c r="AB319" s="7" t="e">
        <f>IF(VLOOKUP($A319,'Concrete Beam Schedule'!$A$2:$Q$2902,AB$2,0)&lt;&gt;L319,"Beam Revised","")</f>
        <v>#N/A</v>
      </c>
      <c r="AC319" s="7" t="e">
        <f>IF(VLOOKUP($A319,'Concrete Beam Schedule'!$A$2:$Q$2902,AC$2,0)&lt;&gt;M319,"Beam Revised","")</f>
        <v>#N/A</v>
      </c>
      <c r="AD319" s="7" t="e">
        <f>IF(VLOOKUP($A319,'Concrete Beam Schedule'!$A$2:$Q$2902,AD$2,0)&lt;&gt;N319,"Beam Revised","")</f>
        <v>#N/A</v>
      </c>
      <c r="AE319" s="7" t="e">
        <f>IF(VLOOKUP($A319,'Concrete Beam Schedule'!$A$2:$Q$2902,AE$2,0)&lt;&gt;O319,"Beam Revised","")</f>
        <v>#N/A</v>
      </c>
    </row>
    <row r="320" spans="1:31" ht="25.5" customHeight="1" x14ac:dyDescent="0.25">
      <c r="A320" s="17"/>
      <c r="B320" s="17"/>
      <c r="C320" s="17"/>
      <c r="D320" s="17"/>
      <c r="E320" s="17"/>
      <c r="F320" s="17"/>
      <c r="G320" s="17"/>
      <c r="H320" s="17"/>
      <c r="I320" s="17"/>
      <c r="J320" s="17"/>
      <c r="K320" s="17"/>
      <c r="L320" s="17"/>
      <c r="M320" s="17"/>
      <c r="N320" s="17"/>
      <c r="O320" s="17"/>
      <c r="Q320" s="7">
        <f t="shared" si="4"/>
        <v>0</v>
      </c>
      <c r="R320" s="7" t="e">
        <f>IF(VLOOKUP($A320,'Concrete Beam Schedule'!$A$2:$Q$2902,R$2,0)&lt;&gt;B320,VLOOKUP($A320,'Concrete Beam Schedule'!$A$2:$Q$2902,R$2,0),"")</f>
        <v>#N/A</v>
      </c>
      <c r="S320" s="7" t="e">
        <f>IF(VLOOKUP($A320,'Concrete Beam Schedule'!$A$2:$Q$2902,S$2,0)&lt;&gt;C320,VLOOKUP($A320,'Concrete Beam Schedule'!$A$2:$Q$2902,S$2,0),"")</f>
        <v>#N/A</v>
      </c>
      <c r="T320" s="7" t="e">
        <f>IF(VLOOKUP($A320,'Concrete Beam Schedule'!$A$2:$Q$2902,T$2,0)&lt;&gt;D320,"Beam Revised","")</f>
        <v>#N/A</v>
      </c>
      <c r="U320" s="7" t="e">
        <f>IF(VLOOKUP($A320,'Concrete Beam Schedule'!$A$2:$Q$2902,U$2,0)&lt;&gt;E320,"Beam Revised","")</f>
        <v>#N/A</v>
      </c>
      <c r="V320" s="7" t="e">
        <f>IF(VLOOKUP($A320,'Concrete Beam Schedule'!$A$2:$Q$2902,V$2,0)&lt;&gt;F320,"Beam Revised","")</f>
        <v>#N/A</v>
      </c>
      <c r="W320" s="7" t="e">
        <f>IF(VLOOKUP($A320,'Concrete Beam Schedule'!$A$2:$Q$2902,W$2,0)&lt;&gt;G320,"Beam Revised","")</f>
        <v>#N/A</v>
      </c>
      <c r="X320" s="7" t="e">
        <f>IF(VLOOKUP($A320,'Concrete Beam Schedule'!$A$2:$Q$2902,X$2,0)&lt;&gt;H320,"Beam Revised","")</f>
        <v>#N/A</v>
      </c>
      <c r="Y320" s="7" t="e">
        <f>IF(VLOOKUP($A320,'Concrete Beam Schedule'!$A$2:$Q$2902,Y$2,0)&lt;&gt;I320,"Beam Revised","")</f>
        <v>#N/A</v>
      </c>
      <c r="Z320" s="7" t="e">
        <f>IF(VLOOKUP($A320,'Concrete Beam Schedule'!$A$2:$Q$2902,Z$2,0)&lt;&gt;J320,"Beam Revised","")</f>
        <v>#N/A</v>
      </c>
      <c r="AA320" s="7" t="e">
        <f>IF(VLOOKUP($A320,'Concrete Beam Schedule'!$A$2:$Q$2902,AA$2,0)&lt;&gt;K320,"Beam Revised","")</f>
        <v>#N/A</v>
      </c>
      <c r="AB320" s="7" t="e">
        <f>IF(VLOOKUP($A320,'Concrete Beam Schedule'!$A$2:$Q$2902,AB$2,0)&lt;&gt;L320,"Beam Revised","")</f>
        <v>#N/A</v>
      </c>
      <c r="AC320" s="7" t="e">
        <f>IF(VLOOKUP($A320,'Concrete Beam Schedule'!$A$2:$Q$2902,AC$2,0)&lt;&gt;M320,"Beam Revised","")</f>
        <v>#N/A</v>
      </c>
      <c r="AD320" s="7" t="e">
        <f>IF(VLOOKUP($A320,'Concrete Beam Schedule'!$A$2:$Q$2902,AD$2,0)&lt;&gt;N320,"Beam Revised","")</f>
        <v>#N/A</v>
      </c>
      <c r="AE320" s="7" t="e">
        <f>IF(VLOOKUP($A320,'Concrete Beam Schedule'!$A$2:$Q$2902,AE$2,0)&lt;&gt;O320,"Beam Revised","")</f>
        <v>#N/A</v>
      </c>
    </row>
    <row r="321" spans="1:31" ht="25.5" customHeight="1" x14ac:dyDescent="0.25">
      <c r="A321" s="17"/>
      <c r="B321" s="17"/>
      <c r="C321" s="17"/>
      <c r="D321" s="17"/>
      <c r="E321" s="17"/>
      <c r="F321" s="17"/>
      <c r="G321" s="17"/>
      <c r="H321" s="17"/>
      <c r="I321" s="17"/>
      <c r="J321" s="17"/>
      <c r="K321" s="17"/>
      <c r="L321" s="17"/>
      <c r="M321" s="17"/>
      <c r="N321" s="17"/>
      <c r="O321" s="17"/>
      <c r="Q321" s="7">
        <f t="shared" si="4"/>
        <v>0</v>
      </c>
      <c r="R321" s="7" t="e">
        <f>IF(VLOOKUP($A321,'Concrete Beam Schedule'!$A$2:$Q$2902,R$2,0)&lt;&gt;B321,VLOOKUP($A321,'Concrete Beam Schedule'!$A$2:$Q$2902,R$2,0),"")</f>
        <v>#N/A</v>
      </c>
      <c r="S321" s="7" t="e">
        <f>IF(VLOOKUP($A321,'Concrete Beam Schedule'!$A$2:$Q$2902,S$2,0)&lt;&gt;C321,VLOOKUP($A321,'Concrete Beam Schedule'!$A$2:$Q$2902,S$2,0),"")</f>
        <v>#N/A</v>
      </c>
      <c r="T321" s="7" t="e">
        <f>IF(VLOOKUP($A321,'Concrete Beam Schedule'!$A$2:$Q$2902,T$2,0)&lt;&gt;D321,"Beam Revised","")</f>
        <v>#N/A</v>
      </c>
      <c r="U321" s="7" t="e">
        <f>IF(VLOOKUP($A321,'Concrete Beam Schedule'!$A$2:$Q$2902,U$2,0)&lt;&gt;E321,"Beam Revised","")</f>
        <v>#N/A</v>
      </c>
      <c r="V321" s="7" t="e">
        <f>IF(VLOOKUP($A321,'Concrete Beam Schedule'!$A$2:$Q$2902,V$2,0)&lt;&gt;F321,"Beam Revised","")</f>
        <v>#N/A</v>
      </c>
      <c r="W321" s="7" t="e">
        <f>IF(VLOOKUP($A321,'Concrete Beam Schedule'!$A$2:$Q$2902,W$2,0)&lt;&gt;G321,"Beam Revised","")</f>
        <v>#N/A</v>
      </c>
      <c r="X321" s="7" t="e">
        <f>IF(VLOOKUP($A321,'Concrete Beam Schedule'!$A$2:$Q$2902,X$2,0)&lt;&gt;H321,"Beam Revised","")</f>
        <v>#N/A</v>
      </c>
      <c r="Y321" s="7" t="e">
        <f>IF(VLOOKUP($A321,'Concrete Beam Schedule'!$A$2:$Q$2902,Y$2,0)&lt;&gt;I321,"Beam Revised","")</f>
        <v>#N/A</v>
      </c>
      <c r="Z321" s="7" t="e">
        <f>IF(VLOOKUP($A321,'Concrete Beam Schedule'!$A$2:$Q$2902,Z$2,0)&lt;&gt;J321,"Beam Revised","")</f>
        <v>#N/A</v>
      </c>
      <c r="AA321" s="7" t="e">
        <f>IF(VLOOKUP($A321,'Concrete Beam Schedule'!$A$2:$Q$2902,AA$2,0)&lt;&gt;K321,"Beam Revised","")</f>
        <v>#N/A</v>
      </c>
      <c r="AB321" s="7" t="e">
        <f>IF(VLOOKUP($A321,'Concrete Beam Schedule'!$A$2:$Q$2902,AB$2,0)&lt;&gt;L321,"Beam Revised","")</f>
        <v>#N/A</v>
      </c>
      <c r="AC321" s="7" t="e">
        <f>IF(VLOOKUP($A321,'Concrete Beam Schedule'!$A$2:$Q$2902,AC$2,0)&lt;&gt;M321,"Beam Revised","")</f>
        <v>#N/A</v>
      </c>
      <c r="AD321" s="7" t="e">
        <f>IF(VLOOKUP($A321,'Concrete Beam Schedule'!$A$2:$Q$2902,AD$2,0)&lt;&gt;N321,"Beam Revised","")</f>
        <v>#N/A</v>
      </c>
      <c r="AE321" s="7" t="e">
        <f>IF(VLOOKUP($A321,'Concrete Beam Schedule'!$A$2:$Q$2902,AE$2,0)&lt;&gt;O321,"Beam Revised","")</f>
        <v>#N/A</v>
      </c>
    </row>
    <row r="322" spans="1:31" ht="25.5" customHeight="1" x14ac:dyDescent="0.25">
      <c r="A322" s="17"/>
      <c r="B322" s="17"/>
      <c r="C322" s="17"/>
      <c r="D322" s="17"/>
      <c r="E322" s="17"/>
      <c r="F322" s="17"/>
      <c r="G322" s="17"/>
      <c r="H322" s="17"/>
      <c r="I322" s="17"/>
      <c r="J322" s="17"/>
      <c r="K322" s="17"/>
      <c r="L322" s="17"/>
      <c r="M322" s="17"/>
      <c r="N322" s="17"/>
      <c r="O322" s="17"/>
      <c r="Q322" s="7">
        <f t="shared" si="4"/>
        <v>0</v>
      </c>
      <c r="R322" s="7" t="e">
        <f>IF(VLOOKUP($A322,'Concrete Beam Schedule'!$A$2:$Q$2902,R$2,0)&lt;&gt;B322,VLOOKUP($A322,'Concrete Beam Schedule'!$A$2:$Q$2902,R$2,0),"")</f>
        <v>#N/A</v>
      </c>
      <c r="S322" s="7" t="e">
        <f>IF(VLOOKUP($A322,'Concrete Beam Schedule'!$A$2:$Q$2902,S$2,0)&lt;&gt;C322,VLOOKUP($A322,'Concrete Beam Schedule'!$A$2:$Q$2902,S$2,0),"")</f>
        <v>#N/A</v>
      </c>
      <c r="T322" s="7" t="e">
        <f>IF(VLOOKUP($A322,'Concrete Beam Schedule'!$A$2:$Q$2902,T$2,0)&lt;&gt;D322,"Beam Revised","")</f>
        <v>#N/A</v>
      </c>
      <c r="U322" s="7" t="e">
        <f>IF(VLOOKUP($A322,'Concrete Beam Schedule'!$A$2:$Q$2902,U$2,0)&lt;&gt;E322,"Beam Revised","")</f>
        <v>#N/A</v>
      </c>
      <c r="V322" s="7" t="e">
        <f>IF(VLOOKUP($A322,'Concrete Beam Schedule'!$A$2:$Q$2902,V$2,0)&lt;&gt;F322,"Beam Revised","")</f>
        <v>#N/A</v>
      </c>
      <c r="W322" s="7" t="e">
        <f>IF(VLOOKUP($A322,'Concrete Beam Schedule'!$A$2:$Q$2902,W$2,0)&lt;&gt;G322,"Beam Revised","")</f>
        <v>#N/A</v>
      </c>
      <c r="X322" s="7" t="e">
        <f>IF(VLOOKUP($A322,'Concrete Beam Schedule'!$A$2:$Q$2902,X$2,0)&lt;&gt;H322,"Beam Revised","")</f>
        <v>#N/A</v>
      </c>
      <c r="Y322" s="7" t="e">
        <f>IF(VLOOKUP($A322,'Concrete Beam Schedule'!$A$2:$Q$2902,Y$2,0)&lt;&gt;I322,"Beam Revised","")</f>
        <v>#N/A</v>
      </c>
      <c r="Z322" s="7" t="e">
        <f>IF(VLOOKUP($A322,'Concrete Beam Schedule'!$A$2:$Q$2902,Z$2,0)&lt;&gt;J322,"Beam Revised","")</f>
        <v>#N/A</v>
      </c>
      <c r="AA322" s="7" t="e">
        <f>IF(VLOOKUP($A322,'Concrete Beam Schedule'!$A$2:$Q$2902,AA$2,0)&lt;&gt;K322,"Beam Revised","")</f>
        <v>#N/A</v>
      </c>
      <c r="AB322" s="7" t="e">
        <f>IF(VLOOKUP($A322,'Concrete Beam Schedule'!$A$2:$Q$2902,AB$2,0)&lt;&gt;L322,"Beam Revised","")</f>
        <v>#N/A</v>
      </c>
      <c r="AC322" s="7" t="e">
        <f>IF(VLOOKUP($A322,'Concrete Beam Schedule'!$A$2:$Q$2902,AC$2,0)&lt;&gt;M322,"Beam Revised","")</f>
        <v>#N/A</v>
      </c>
      <c r="AD322" s="7" t="e">
        <f>IF(VLOOKUP($A322,'Concrete Beam Schedule'!$A$2:$Q$2902,AD$2,0)&lt;&gt;N322,"Beam Revised","")</f>
        <v>#N/A</v>
      </c>
      <c r="AE322" s="7" t="e">
        <f>IF(VLOOKUP($A322,'Concrete Beam Schedule'!$A$2:$Q$2902,AE$2,0)&lt;&gt;O322,"Beam Revised","")</f>
        <v>#N/A</v>
      </c>
    </row>
    <row r="323" spans="1:31" ht="25.5" customHeight="1" x14ac:dyDescent="0.25">
      <c r="A323" s="17"/>
      <c r="B323" s="17"/>
      <c r="C323" s="17"/>
      <c r="D323" s="17"/>
      <c r="E323" s="17"/>
      <c r="F323" s="17"/>
      <c r="G323" s="17"/>
      <c r="H323" s="17"/>
      <c r="I323" s="17"/>
      <c r="J323" s="17"/>
      <c r="K323" s="17"/>
      <c r="L323" s="17"/>
      <c r="M323" s="17"/>
      <c r="N323" s="17"/>
      <c r="O323" s="17"/>
      <c r="Q323" s="7">
        <f t="shared" si="4"/>
        <v>0</v>
      </c>
      <c r="R323" s="7" t="e">
        <f>IF(VLOOKUP($A323,'Concrete Beam Schedule'!$A$2:$Q$2902,R$2,0)&lt;&gt;B323,VLOOKUP($A323,'Concrete Beam Schedule'!$A$2:$Q$2902,R$2,0),"")</f>
        <v>#N/A</v>
      </c>
      <c r="S323" s="7" t="e">
        <f>IF(VLOOKUP($A323,'Concrete Beam Schedule'!$A$2:$Q$2902,S$2,0)&lt;&gt;C323,VLOOKUP($A323,'Concrete Beam Schedule'!$A$2:$Q$2902,S$2,0),"")</f>
        <v>#N/A</v>
      </c>
      <c r="T323" s="7" t="e">
        <f>IF(VLOOKUP($A323,'Concrete Beam Schedule'!$A$2:$Q$2902,T$2,0)&lt;&gt;D323,"Beam Revised","")</f>
        <v>#N/A</v>
      </c>
      <c r="U323" s="7" t="e">
        <f>IF(VLOOKUP($A323,'Concrete Beam Schedule'!$A$2:$Q$2902,U$2,0)&lt;&gt;E323,"Beam Revised","")</f>
        <v>#N/A</v>
      </c>
      <c r="V323" s="7" t="e">
        <f>IF(VLOOKUP($A323,'Concrete Beam Schedule'!$A$2:$Q$2902,V$2,0)&lt;&gt;F323,"Beam Revised","")</f>
        <v>#N/A</v>
      </c>
      <c r="W323" s="7" t="e">
        <f>IF(VLOOKUP($A323,'Concrete Beam Schedule'!$A$2:$Q$2902,W$2,0)&lt;&gt;G323,"Beam Revised","")</f>
        <v>#N/A</v>
      </c>
      <c r="X323" s="7" t="e">
        <f>IF(VLOOKUP($A323,'Concrete Beam Schedule'!$A$2:$Q$2902,X$2,0)&lt;&gt;H323,"Beam Revised","")</f>
        <v>#N/A</v>
      </c>
      <c r="Y323" s="7" t="e">
        <f>IF(VLOOKUP($A323,'Concrete Beam Schedule'!$A$2:$Q$2902,Y$2,0)&lt;&gt;I323,"Beam Revised","")</f>
        <v>#N/A</v>
      </c>
      <c r="Z323" s="7" t="e">
        <f>IF(VLOOKUP($A323,'Concrete Beam Schedule'!$A$2:$Q$2902,Z$2,0)&lt;&gt;J323,"Beam Revised","")</f>
        <v>#N/A</v>
      </c>
      <c r="AA323" s="7" t="e">
        <f>IF(VLOOKUP($A323,'Concrete Beam Schedule'!$A$2:$Q$2902,AA$2,0)&lt;&gt;K323,"Beam Revised","")</f>
        <v>#N/A</v>
      </c>
      <c r="AB323" s="7" t="e">
        <f>IF(VLOOKUP($A323,'Concrete Beam Schedule'!$A$2:$Q$2902,AB$2,0)&lt;&gt;L323,"Beam Revised","")</f>
        <v>#N/A</v>
      </c>
      <c r="AC323" s="7" t="e">
        <f>IF(VLOOKUP($A323,'Concrete Beam Schedule'!$A$2:$Q$2902,AC$2,0)&lt;&gt;M323,"Beam Revised","")</f>
        <v>#N/A</v>
      </c>
      <c r="AD323" s="7" t="e">
        <f>IF(VLOOKUP($A323,'Concrete Beam Schedule'!$A$2:$Q$2902,AD$2,0)&lt;&gt;N323,"Beam Revised","")</f>
        <v>#N/A</v>
      </c>
      <c r="AE323" s="7" t="e">
        <f>IF(VLOOKUP($A323,'Concrete Beam Schedule'!$A$2:$Q$2902,AE$2,0)&lt;&gt;O323,"Beam Revised","")</f>
        <v>#N/A</v>
      </c>
    </row>
    <row r="324" spans="1:31" ht="25.5" customHeight="1" x14ac:dyDescent="0.25">
      <c r="A324" s="17"/>
      <c r="B324" s="17"/>
      <c r="C324" s="17"/>
      <c r="D324" s="17"/>
      <c r="E324" s="17"/>
      <c r="F324" s="17"/>
      <c r="G324" s="17"/>
      <c r="H324" s="17"/>
      <c r="I324" s="17"/>
      <c r="J324" s="17"/>
      <c r="K324" s="17"/>
      <c r="L324" s="17"/>
      <c r="M324" s="17"/>
      <c r="N324" s="17"/>
      <c r="O324" s="17"/>
      <c r="Q324" s="7">
        <f t="shared" ref="Q324:Q387" si="5">A324</f>
        <v>0</v>
      </c>
      <c r="R324" s="7" t="e">
        <f>IF(VLOOKUP($A324,'Concrete Beam Schedule'!$A$2:$Q$2902,R$2,0)&lt;&gt;B324,VLOOKUP($A324,'Concrete Beam Schedule'!$A$2:$Q$2902,R$2,0),"")</f>
        <v>#N/A</v>
      </c>
      <c r="S324" s="7" t="e">
        <f>IF(VLOOKUP($A324,'Concrete Beam Schedule'!$A$2:$Q$2902,S$2,0)&lt;&gt;C324,VLOOKUP($A324,'Concrete Beam Schedule'!$A$2:$Q$2902,S$2,0),"")</f>
        <v>#N/A</v>
      </c>
      <c r="T324" s="7" t="e">
        <f>IF(VLOOKUP($A324,'Concrete Beam Schedule'!$A$2:$Q$2902,T$2,0)&lt;&gt;D324,"Beam Revised","")</f>
        <v>#N/A</v>
      </c>
      <c r="U324" s="7" t="e">
        <f>IF(VLOOKUP($A324,'Concrete Beam Schedule'!$A$2:$Q$2902,U$2,0)&lt;&gt;E324,"Beam Revised","")</f>
        <v>#N/A</v>
      </c>
      <c r="V324" s="7" t="e">
        <f>IF(VLOOKUP($A324,'Concrete Beam Schedule'!$A$2:$Q$2902,V$2,0)&lt;&gt;F324,"Beam Revised","")</f>
        <v>#N/A</v>
      </c>
      <c r="W324" s="7" t="e">
        <f>IF(VLOOKUP($A324,'Concrete Beam Schedule'!$A$2:$Q$2902,W$2,0)&lt;&gt;G324,"Beam Revised","")</f>
        <v>#N/A</v>
      </c>
      <c r="X324" s="7" t="e">
        <f>IF(VLOOKUP($A324,'Concrete Beam Schedule'!$A$2:$Q$2902,X$2,0)&lt;&gt;H324,"Beam Revised","")</f>
        <v>#N/A</v>
      </c>
      <c r="Y324" s="7" t="e">
        <f>IF(VLOOKUP($A324,'Concrete Beam Schedule'!$A$2:$Q$2902,Y$2,0)&lt;&gt;I324,"Beam Revised","")</f>
        <v>#N/A</v>
      </c>
      <c r="Z324" s="7" t="e">
        <f>IF(VLOOKUP($A324,'Concrete Beam Schedule'!$A$2:$Q$2902,Z$2,0)&lt;&gt;J324,"Beam Revised","")</f>
        <v>#N/A</v>
      </c>
      <c r="AA324" s="7" t="e">
        <f>IF(VLOOKUP($A324,'Concrete Beam Schedule'!$A$2:$Q$2902,AA$2,0)&lt;&gt;K324,"Beam Revised","")</f>
        <v>#N/A</v>
      </c>
      <c r="AB324" s="7" t="e">
        <f>IF(VLOOKUP($A324,'Concrete Beam Schedule'!$A$2:$Q$2902,AB$2,0)&lt;&gt;L324,"Beam Revised","")</f>
        <v>#N/A</v>
      </c>
      <c r="AC324" s="7" t="e">
        <f>IF(VLOOKUP($A324,'Concrete Beam Schedule'!$A$2:$Q$2902,AC$2,0)&lt;&gt;M324,"Beam Revised","")</f>
        <v>#N/A</v>
      </c>
      <c r="AD324" s="7" t="e">
        <f>IF(VLOOKUP($A324,'Concrete Beam Schedule'!$A$2:$Q$2902,AD$2,0)&lt;&gt;N324,"Beam Revised","")</f>
        <v>#N/A</v>
      </c>
      <c r="AE324" s="7" t="e">
        <f>IF(VLOOKUP($A324,'Concrete Beam Schedule'!$A$2:$Q$2902,AE$2,0)&lt;&gt;O324,"Beam Revised","")</f>
        <v>#N/A</v>
      </c>
    </row>
    <row r="325" spans="1:31" ht="25.5" customHeight="1" x14ac:dyDescent="0.25">
      <c r="A325" s="17"/>
      <c r="B325" s="17"/>
      <c r="C325" s="17"/>
      <c r="D325" s="17"/>
      <c r="E325" s="17"/>
      <c r="F325" s="17"/>
      <c r="G325" s="17"/>
      <c r="H325" s="17"/>
      <c r="I325" s="17"/>
      <c r="J325" s="17"/>
      <c r="K325" s="17"/>
      <c r="L325" s="17"/>
      <c r="M325" s="17"/>
      <c r="N325" s="17"/>
      <c r="O325" s="17"/>
      <c r="Q325" s="7">
        <f t="shared" si="5"/>
        <v>0</v>
      </c>
      <c r="R325" s="7" t="e">
        <f>IF(VLOOKUP($A325,'Concrete Beam Schedule'!$A$2:$Q$2902,R$2,0)&lt;&gt;B325,VLOOKUP($A325,'Concrete Beam Schedule'!$A$2:$Q$2902,R$2,0),"")</f>
        <v>#N/A</v>
      </c>
      <c r="S325" s="7" t="e">
        <f>IF(VLOOKUP($A325,'Concrete Beam Schedule'!$A$2:$Q$2902,S$2,0)&lt;&gt;C325,VLOOKUP($A325,'Concrete Beam Schedule'!$A$2:$Q$2902,S$2,0),"")</f>
        <v>#N/A</v>
      </c>
      <c r="T325" s="7" t="e">
        <f>IF(VLOOKUP($A325,'Concrete Beam Schedule'!$A$2:$Q$2902,T$2,0)&lt;&gt;D325,"Beam Revised","")</f>
        <v>#N/A</v>
      </c>
      <c r="U325" s="7" t="e">
        <f>IF(VLOOKUP($A325,'Concrete Beam Schedule'!$A$2:$Q$2902,U$2,0)&lt;&gt;E325,"Beam Revised","")</f>
        <v>#N/A</v>
      </c>
      <c r="V325" s="7" t="e">
        <f>IF(VLOOKUP($A325,'Concrete Beam Schedule'!$A$2:$Q$2902,V$2,0)&lt;&gt;F325,"Beam Revised","")</f>
        <v>#N/A</v>
      </c>
      <c r="W325" s="7" t="e">
        <f>IF(VLOOKUP($A325,'Concrete Beam Schedule'!$A$2:$Q$2902,W$2,0)&lt;&gt;G325,"Beam Revised","")</f>
        <v>#N/A</v>
      </c>
      <c r="X325" s="7" t="e">
        <f>IF(VLOOKUP($A325,'Concrete Beam Schedule'!$A$2:$Q$2902,X$2,0)&lt;&gt;H325,"Beam Revised","")</f>
        <v>#N/A</v>
      </c>
      <c r="Y325" s="7" t="e">
        <f>IF(VLOOKUP($A325,'Concrete Beam Schedule'!$A$2:$Q$2902,Y$2,0)&lt;&gt;I325,"Beam Revised","")</f>
        <v>#N/A</v>
      </c>
      <c r="Z325" s="7" t="e">
        <f>IF(VLOOKUP($A325,'Concrete Beam Schedule'!$A$2:$Q$2902,Z$2,0)&lt;&gt;J325,"Beam Revised","")</f>
        <v>#N/A</v>
      </c>
      <c r="AA325" s="7" t="e">
        <f>IF(VLOOKUP($A325,'Concrete Beam Schedule'!$A$2:$Q$2902,AA$2,0)&lt;&gt;K325,"Beam Revised","")</f>
        <v>#N/A</v>
      </c>
      <c r="AB325" s="7" t="e">
        <f>IF(VLOOKUP($A325,'Concrete Beam Schedule'!$A$2:$Q$2902,AB$2,0)&lt;&gt;L325,"Beam Revised","")</f>
        <v>#N/A</v>
      </c>
      <c r="AC325" s="7" t="e">
        <f>IF(VLOOKUP($A325,'Concrete Beam Schedule'!$A$2:$Q$2902,AC$2,0)&lt;&gt;M325,"Beam Revised","")</f>
        <v>#N/A</v>
      </c>
      <c r="AD325" s="7" t="e">
        <f>IF(VLOOKUP($A325,'Concrete Beam Schedule'!$A$2:$Q$2902,AD$2,0)&lt;&gt;N325,"Beam Revised","")</f>
        <v>#N/A</v>
      </c>
      <c r="AE325" s="7" t="e">
        <f>IF(VLOOKUP($A325,'Concrete Beam Schedule'!$A$2:$Q$2902,AE$2,0)&lt;&gt;O325,"Beam Revised","")</f>
        <v>#N/A</v>
      </c>
    </row>
    <row r="326" spans="1:31" ht="25.5" customHeight="1" x14ac:dyDescent="0.25">
      <c r="A326" s="17"/>
      <c r="B326" s="17"/>
      <c r="C326" s="17"/>
      <c r="D326" s="17"/>
      <c r="E326" s="17"/>
      <c r="F326" s="17"/>
      <c r="G326" s="17"/>
      <c r="H326" s="17"/>
      <c r="I326" s="17"/>
      <c r="J326" s="17"/>
      <c r="K326" s="17"/>
      <c r="L326" s="17"/>
      <c r="M326" s="17"/>
      <c r="N326" s="17"/>
      <c r="O326" s="17"/>
      <c r="Q326" s="7">
        <f t="shared" si="5"/>
        <v>0</v>
      </c>
      <c r="R326" s="7" t="e">
        <f>IF(VLOOKUP($A326,'Concrete Beam Schedule'!$A$2:$Q$2902,R$2,0)&lt;&gt;B326,VLOOKUP($A326,'Concrete Beam Schedule'!$A$2:$Q$2902,R$2,0),"")</f>
        <v>#N/A</v>
      </c>
      <c r="S326" s="7" t="e">
        <f>IF(VLOOKUP($A326,'Concrete Beam Schedule'!$A$2:$Q$2902,S$2,0)&lt;&gt;C326,VLOOKUP($A326,'Concrete Beam Schedule'!$A$2:$Q$2902,S$2,0),"")</f>
        <v>#N/A</v>
      </c>
      <c r="T326" s="7" t="e">
        <f>IF(VLOOKUP($A326,'Concrete Beam Schedule'!$A$2:$Q$2902,T$2,0)&lt;&gt;D326,"Beam Revised","")</f>
        <v>#N/A</v>
      </c>
      <c r="U326" s="7" t="e">
        <f>IF(VLOOKUP($A326,'Concrete Beam Schedule'!$A$2:$Q$2902,U$2,0)&lt;&gt;E326,"Beam Revised","")</f>
        <v>#N/A</v>
      </c>
      <c r="V326" s="7" t="e">
        <f>IF(VLOOKUP($A326,'Concrete Beam Schedule'!$A$2:$Q$2902,V$2,0)&lt;&gt;F326,"Beam Revised","")</f>
        <v>#N/A</v>
      </c>
      <c r="W326" s="7" t="e">
        <f>IF(VLOOKUP($A326,'Concrete Beam Schedule'!$A$2:$Q$2902,W$2,0)&lt;&gt;G326,"Beam Revised","")</f>
        <v>#N/A</v>
      </c>
      <c r="X326" s="7" t="e">
        <f>IF(VLOOKUP($A326,'Concrete Beam Schedule'!$A$2:$Q$2902,X$2,0)&lt;&gt;H326,"Beam Revised","")</f>
        <v>#N/A</v>
      </c>
      <c r="Y326" s="7" t="e">
        <f>IF(VLOOKUP($A326,'Concrete Beam Schedule'!$A$2:$Q$2902,Y$2,0)&lt;&gt;I326,"Beam Revised","")</f>
        <v>#N/A</v>
      </c>
      <c r="Z326" s="7" t="e">
        <f>IF(VLOOKUP($A326,'Concrete Beam Schedule'!$A$2:$Q$2902,Z$2,0)&lt;&gt;J326,"Beam Revised","")</f>
        <v>#N/A</v>
      </c>
      <c r="AA326" s="7" t="e">
        <f>IF(VLOOKUP($A326,'Concrete Beam Schedule'!$A$2:$Q$2902,AA$2,0)&lt;&gt;K326,"Beam Revised","")</f>
        <v>#N/A</v>
      </c>
      <c r="AB326" s="7" t="e">
        <f>IF(VLOOKUP($A326,'Concrete Beam Schedule'!$A$2:$Q$2902,AB$2,0)&lt;&gt;L326,"Beam Revised","")</f>
        <v>#N/A</v>
      </c>
      <c r="AC326" s="7" t="e">
        <f>IF(VLOOKUP($A326,'Concrete Beam Schedule'!$A$2:$Q$2902,AC$2,0)&lt;&gt;M326,"Beam Revised","")</f>
        <v>#N/A</v>
      </c>
      <c r="AD326" s="7" t="e">
        <f>IF(VLOOKUP($A326,'Concrete Beam Schedule'!$A$2:$Q$2902,AD$2,0)&lt;&gt;N326,"Beam Revised","")</f>
        <v>#N/A</v>
      </c>
      <c r="AE326" s="7" t="e">
        <f>IF(VLOOKUP($A326,'Concrete Beam Schedule'!$A$2:$Q$2902,AE$2,0)&lt;&gt;O326,"Beam Revised","")</f>
        <v>#N/A</v>
      </c>
    </row>
    <row r="327" spans="1:31" ht="25.5" customHeight="1" x14ac:dyDescent="0.25">
      <c r="A327" s="17"/>
      <c r="B327" s="17"/>
      <c r="C327" s="17"/>
      <c r="D327" s="17"/>
      <c r="E327" s="17"/>
      <c r="F327" s="17"/>
      <c r="G327" s="17"/>
      <c r="H327" s="17"/>
      <c r="I327" s="17"/>
      <c r="J327" s="17"/>
      <c r="K327" s="17"/>
      <c r="L327" s="17"/>
      <c r="M327" s="17"/>
      <c r="N327" s="17"/>
      <c r="O327" s="17"/>
      <c r="Q327" s="7">
        <f t="shared" si="5"/>
        <v>0</v>
      </c>
      <c r="R327" s="7" t="e">
        <f>IF(VLOOKUP($A327,'Concrete Beam Schedule'!$A$2:$Q$2902,R$2,0)&lt;&gt;B327,VLOOKUP($A327,'Concrete Beam Schedule'!$A$2:$Q$2902,R$2,0),"")</f>
        <v>#N/A</v>
      </c>
      <c r="S327" s="7" t="e">
        <f>IF(VLOOKUP($A327,'Concrete Beam Schedule'!$A$2:$Q$2902,S$2,0)&lt;&gt;C327,VLOOKUP($A327,'Concrete Beam Schedule'!$A$2:$Q$2902,S$2,0),"")</f>
        <v>#N/A</v>
      </c>
      <c r="T327" s="7" t="e">
        <f>IF(VLOOKUP($A327,'Concrete Beam Schedule'!$A$2:$Q$2902,T$2,0)&lt;&gt;D327,"Beam Revised","")</f>
        <v>#N/A</v>
      </c>
      <c r="U327" s="7" t="e">
        <f>IF(VLOOKUP($A327,'Concrete Beam Schedule'!$A$2:$Q$2902,U$2,0)&lt;&gt;E327,"Beam Revised","")</f>
        <v>#N/A</v>
      </c>
      <c r="V327" s="7" t="e">
        <f>IF(VLOOKUP($A327,'Concrete Beam Schedule'!$A$2:$Q$2902,V$2,0)&lt;&gt;F327,"Beam Revised","")</f>
        <v>#N/A</v>
      </c>
      <c r="W327" s="7" t="e">
        <f>IF(VLOOKUP($A327,'Concrete Beam Schedule'!$A$2:$Q$2902,W$2,0)&lt;&gt;G327,"Beam Revised","")</f>
        <v>#N/A</v>
      </c>
      <c r="X327" s="7" t="e">
        <f>IF(VLOOKUP($A327,'Concrete Beam Schedule'!$A$2:$Q$2902,X$2,0)&lt;&gt;H327,"Beam Revised","")</f>
        <v>#N/A</v>
      </c>
      <c r="Y327" s="7" t="e">
        <f>IF(VLOOKUP($A327,'Concrete Beam Schedule'!$A$2:$Q$2902,Y$2,0)&lt;&gt;I327,"Beam Revised","")</f>
        <v>#N/A</v>
      </c>
      <c r="Z327" s="7" t="e">
        <f>IF(VLOOKUP($A327,'Concrete Beam Schedule'!$A$2:$Q$2902,Z$2,0)&lt;&gt;J327,"Beam Revised","")</f>
        <v>#N/A</v>
      </c>
      <c r="AA327" s="7" t="e">
        <f>IF(VLOOKUP($A327,'Concrete Beam Schedule'!$A$2:$Q$2902,AA$2,0)&lt;&gt;K327,"Beam Revised","")</f>
        <v>#N/A</v>
      </c>
      <c r="AB327" s="7" t="e">
        <f>IF(VLOOKUP($A327,'Concrete Beam Schedule'!$A$2:$Q$2902,AB$2,0)&lt;&gt;L327,"Beam Revised","")</f>
        <v>#N/A</v>
      </c>
      <c r="AC327" s="7" t="e">
        <f>IF(VLOOKUP($A327,'Concrete Beam Schedule'!$A$2:$Q$2902,AC$2,0)&lt;&gt;M327,"Beam Revised","")</f>
        <v>#N/A</v>
      </c>
      <c r="AD327" s="7" t="e">
        <f>IF(VLOOKUP($A327,'Concrete Beam Schedule'!$A$2:$Q$2902,AD$2,0)&lt;&gt;N327,"Beam Revised","")</f>
        <v>#N/A</v>
      </c>
      <c r="AE327" s="7" t="e">
        <f>IF(VLOOKUP($A327,'Concrete Beam Schedule'!$A$2:$Q$2902,AE$2,0)&lt;&gt;O327,"Beam Revised","")</f>
        <v>#N/A</v>
      </c>
    </row>
    <row r="328" spans="1:31" ht="25.5" customHeight="1" x14ac:dyDescent="0.25">
      <c r="A328" s="17"/>
      <c r="B328" s="17"/>
      <c r="C328" s="17"/>
      <c r="D328" s="17"/>
      <c r="E328" s="17"/>
      <c r="F328" s="17"/>
      <c r="G328" s="17"/>
      <c r="H328" s="17"/>
      <c r="I328" s="17"/>
      <c r="J328" s="17"/>
      <c r="K328" s="17"/>
      <c r="L328" s="17"/>
      <c r="M328" s="17"/>
      <c r="N328" s="17"/>
      <c r="O328" s="17"/>
      <c r="Q328" s="7">
        <f t="shared" si="5"/>
        <v>0</v>
      </c>
      <c r="R328" s="7" t="e">
        <f>IF(VLOOKUP($A328,'Concrete Beam Schedule'!$A$2:$Q$2902,R$2,0)&lt;&gt;B328,VLOOKUP($A328,'Concrete Beam Schedule'!$A$2:$Q$2902,R$2,0),"")</f>
        <v>#N/A</v>
      </c>
      <c r="S328" s="7" t="e">
        <f>IF(VLOOKUP($A328,'Concrete Beam Schedule'!$A$2:$Q$2902,S$2,0)&lt;&gt;C328,VLOOKUP($A328,'Concrete Beam Schedule'!$A$2:$Q$2902,S$2,0),"")</f>
        <v>#N/A</v>
      </c>
      <c r="T328" s="7" t="e">
        <f>IF(VLOOKUP($A328,'Concrete Beam Schedule'!$A$2:$Q$2902,T$2,0)&lt;&gt;D328,"Beam Revised","")</f>
        <v>#N/A</v>
      </c>
      <c r="U328" s="7" t="e">
        <f>IF(VLOOKUP($A328,'Concrete Beam Schedule'!$A$2:$Q$2902,U$2,0)&lt;&gt;E328,"Beam Revised","")</f>
        <v>#N/A</v>
      </c>
      <c r="V328" s="7" t="e">
        <f>IF(VLOOKUP($A328,'Concrete Beam Schedule'!$A$2:$Q$2902,V$2,0)&lt;&gt;F328,"Beam Revised","")</f>
        <v>#N/A</v>
      </c>
      <c r="W328" s="7" t="e">
        <f>IF(VLOOKUP($A328,'Concrete Beam Schedule'!$A$2:$Q$2902,W$2,0)&lt;&gt;G328,"Beam Revised","")</f>
        <v>#N/A</v>
      </c>
      <c r="X328" s="7" t="e">
        <f>IF(VLOOKUP($A328,'Concrete Beam Schedule'!$A$2:$Q$2902,X$2,0)&lt;&gt;H328,"Beam Revised","")</f>
        <v>#N/A</v>
      </c>
      <c r="Y328" s="7" t="e">
        <f>IF(VLOOKUP($A328,'Concrete Beam Schedule'!$A$2:$Q$2902,Y$2,0)&lt;&gt;I328,"Beam Revised","")</f>
        <v>#N/A</v>
      </c>
      <c r="Z328" s="7" t="e">
        <f>IF(VLOOKUP($A328,'Concrete Beam Schedule'!$A$2:$Q$2902,Z$2,0)&lt;&gt;J328,"Beam Revised","")</f>
        <v>#N/A</v>
      </c>
      <c r="AA328" s="7" t="e">
        <f>IF(VLOOKUP($A328,'Concrete Beam Schedule'!$A$2:$Q$2902,AA$2,0)&lt;&gt;K328,"Beam Revised","")</f>
        <v>#N/A</v>
      </c>
      <c r="AB328" s="7" t="e">
        <f>IF(VLOOKUP($A328,'Concrete Beam Schedule'!$A$2:$Q$2902,AB$2,0)&lt;&gt;L328,"Beam Revised","")</f>
        <v>#N/A</v>
      </c>
      <c r="AC328" s="7" t="e">
        <f>IF(VLOOKUP($A328,'Concrete Beam Schedule'!$A$2:$Q$2902,AC$2,0)&lt;&gt;M328,"Beam Revised","")</f>
        <v>#N/A</v>
      </c>
      <c r="AD328" s="7" t="e">
        <f>IF(VLOOKUP($A328,'Concrete Beam Schedule'!$A$2:$Q$2902,AD$2,0)&lt;&gt;N328,"Beam Revised","")</f>
        <v>#N/A</v>
      </c>
      <c r="AE328" s="7" t="e">
        <f>IF(VLOOKUP($A328,'Concrete Beam Schedule'!$A$2:$Q$2902,AE$2,0)&lt;&gt;O328,"Beam Revised","")</f>
        <v>#N/A</v>
      </c>
    </row>
    <row r="329" spans="1:31" ht="25.5" customHeight="1" x14ac:dyDescent="0.25">
      <c r="A329" s="17"/>
      <c r="B329" s="17"/>
      <c r="C329" s="17"/>
      <c r="D329" s="17"/>
      <c r="E329" s="17"/>
      <c r="F329" s="17"/>
      <c r="G329" s="17"/>
      <c r="H329" s="17"/>
      <c r="I329" s="17"/>
      <c r="J329" s="17"/>
      <c r="K329" s="17"/>
      <c r="L329" s="17"/>
      <c r="M329" s="17"/>
      <c r="N329" s="17"/>
      <c r="O329" s="17"/>
      <c r="Q329" s="7">
        <f t="shared" si="5"/>
        <v>0</v>
      </c>
      <c r="R329" s="7" t="e">
        <f>IF(VLOOKUP($A329,'Concrete Beam Schedule'!$A$2:$Q$2902,R$2,0)&lt;&gt;B329,VLOOKUP($A329,'Concrete Beam Schedule'!$A$2:$Q$2902,R$2,0),"")</f>
        <v>#N/A</v>
      </c>
      <c r="S329" s="7" t="e">
        <f>IF(VLOOKUP($A329,'Concrete Beam Schedule'!$A$2:$Q$2902,S$2,0)&lt;&gt;C329,VLOOKUP($A329,'Concrete Beam Schedule'!$A$2:$Q$2902,S$2,0),"")</f>
        <v>#N/A</v>
      </c>
      <c r="T329" s="7" t="e">
        <f>IF(VLOOKUP($A329,'Concrete Beam Schedule'!$A$2:$Q$2902,T$2,0)&lt;&gt;D329,"Beam Revised","")</f>
        <v>#N/A</v>
      </c>
      <c r="U329" s="7" t="e">
        <f>IF(VLOOKUP($A329,'Concrete Beam Schedule'!$A$2:$Q$2902,U$2,0)&lt;&gt;E329,"Beam Revised","")</f>
        <v>#N/A</v>
      </c>
      <c r="V329" s="7" t="e">
        <f>IF(VLOOKUP($A329,'Concrete Beam Schedule'!$A$2:$Q$2902,V$2,0)&lt;&gt;F329,"Beam Revised","")</f>
        <v>#N/A</v>
      </c>
      <c r="W329" s="7" t="e">
        <f>IF(VLOOKUP($A329,'Concrete Beam Schedule'!$A$2:$Q$2902,W$2,0)&lt;&gt;G329,"Beam Revised","")</f>
        <v>#N/A</v>
      </c>
      <c r="X329" s="7" t="e">
        <f>IF(VLOOKUP($A329,'Concrete Beam Schedule'!$A$2:$Q$2902,X$2,0)&lt;&gt;H329,"Beam Revised","")</f>
        <v>#N/A</v>
      </c>
      <c r="Y329" s="7" t="e">
        <f>IF(VLOOKUP($A329,'Concrete Beam Schedule'!$A$2:$Q$2902,Y$2,0)&lt;&gt;I329,"Beam Revised","")</f>
        <v>#N/A</v>
      </c>
      <c r="Z329" s="7" t="e">
        <f>IF(VLOOKUP($A329,'Concrete Beam Schedule'!$A$2:$Q$2902,Z$2,0)&lt;&gt;J329,"Beam Revised","")</f>
        <v>#N/A</v>
      </c>
      <c r="AA329" s="7" t="e">
        <f>IF(VLOOKUP($A329,'Concrete Beam Schedule'!$A$2:$Q$2902,AA$2,0)&lt;&gt;K329,"Beam Revised","")</f>
        <v>#N/A</v>
      </c>
      <c r="AB329" s="7" t="e">
        <f>IF(VLOOKUP($A329,'Concrete Beam Schedule'!$A$2:$Q$2902,AB$2,0)&lt;&gt;L329,"Beam Revised","")</f>
        <v>#N/A</v>
      </c>
      <c r="AC329" s="7" t="e">
        <f>IF(VLOOKUP($A329,'Concrete Beam Schedule'!$A$2:$Q$2902,AC$2,0)&lt;&gt;M329,"Beam Revised","")</f>
        <v>#N/A</v>
      </c>
      <c r="AD329" s="7" t="e">
        <f>IF(VLOOKUP($A329,'Concrete Beam Schedule'!$A$2:$Q$2902,AD$2,0)&lt;&gt;N329,"Beam Revised","")</f>
        <v>#N/A</v>
      </c>
      <c r="AE329" s="7" t="e">
        <f>IF(VLOOKUP($A329,'Concrete Beam Schedule'!$A$2:$Q$2902,AE$2,0)&lt;&gt;O329,"Beam Revised","")</f>
        <v>#N/A</v>
      </c>
    </row>
    <row r="330" spans="1:31" ht="25.5" customHeight="1" x14ac:dyDescent="0.25">
      <c r="A330" s="17"/>
      <c r="B330" s="17"/>
      <c r="C330" s="17"/>
      <c r="D330" s="17"/>
      <c r="E330" s="17"/>
      <c r="F330" s="17"/>
      <c r="G330" s="17"/>
      <c r="H330" s="17"/>
      <c r="I330" s="17"/>
      <c r="J330" s="17"/>
      <c r="K330" s="17"/>
      <c r="L330" s="17"/>
      <c r="M330" s="17"/>
      <c r="N330" s="17"/>
      <c r="O330" s="17"/>
      <c r="Q330" s="7">
        <f t="shared" si="5"/>
        <v>0</v>
      </c>
      <c r="R330" s="7" t="e">
        <f>IF(VLOOKUP($A330,'Concrete Beam Schedule'!$A$2:$Q$2902,R$2,0)&lt;&gt;B330,VLOOKUP($A330,'Concrete Beam Schedule'!$A$2:$Q$2902,R$2,0),"")</f>
        <v>#N/A</v>
      </c>
      <c r="S330" s="7" t="e">
        <f>IF(VLOOKUP($A330,'Concrete Beam Schedule'!$A$2:$Q$2902,S$2,0)&lt;&gt;C330,VLOOKUP($A330,'Concrete Beam Schedule'!$A$2:$Q$2902,S$2,0),"")</f>
        <v>#N/A</v>
      </c>
      <c r="T330" s="7" t="e">
        <f>IF(VLOOKUP($A330,'Concrete Beam Schedule'!$A$2:$Q$2902,T$2,0)&lt;&gt;D330,"Beam Revised","")</f>
        <v>#N/A</v>
      </c>
      <c r="U330" s="7" t="e">
        <f>IF(VLOOKUP($A330,'Concrete Beam Schedule'!$A$2:$Q$2902,U$2,0)&lt;&gt;E330,"Beam Revised","")</f>
        <v>#N/A</v>
      </c>
      <c r="V330" s="7" t="e">
        <f>IF(VLOOKUP($A330,'Concrete Beam Schedule'!$A$2:$Q$2902,V$2,0)&lt;&gt;F330,"Beam Revised","")</f>
        <v>#N/A</v>
      </c>
      <c r="W330" s="7" t="e">
        <f>IF(VLOOKUP($A330,'Concrete Beam Schedule'!$A$2:$Q$2902,W$2,0)&lt;&gt;G330,"Beam Revised","")</f>
        <v>#N/A</v>
      </c>
      <c r="X330" s="7" t="e">
        <f>IF(VLOOKUP($A330,'Concrete Beam Schedule'!$A$2:$Q$2902,X$2,0)&lt;&gt;H330,"Beam Revised","")</f>
        <v>#N/A</v>
      </c>
      <c r="Y330" s="7" t="e">
        <f>IF(VLOOKUP($A330,'Concrete Beam Schedule'!$A$2:$Q$2902,Y$2,0)&lt;&gt;I330,"Beam Revised","")</f>
        <v>#N/A</v>
      </c>
      <c r="Z330" s="7" t="e">
        <f>IF(VLOOKUP($A330,'Concrete Beam Schedule'!$A$2:$Q$2902,Z$2,0)&lt;&gt;J330,"Beam Revised","")</f>
        <v>#N/A</v>
      </c>
      <c r="AA330" s="7" t="e">
        <f>IF(VLOOKUP($A330,'Concrete Beam Schedule'!$A$2:$Q$2902,AA$2,0)&lt;&gt;K330,"Beam Revised","")</f>
        <v>#N/A</v>
      </c>
      <c r="AB330" s="7" t="e">
        <f>IF(VLOOKUP($A330,'Concrete Beam Schedule'!$A$2:$Q$2902,AB$2,0)&lt;&gt;L330,"Beam Revised","")</f>
        <v>#N/A</v>
      </c>
      <c r="AC330" s="7" t="e">
        <f>IF(VLOOKUP($A330,'Concrete Beam Schedule'!$A$2:$Q$2902,AC$2,0)&lt;&gt;M330,"Beam Revised","")</f>
        <v>#N/A</v>
      </c>
      <c r="AD330" s="7" t="e">
        <f>IF(VLOOKUP($A330,'Concrete Beam Schedule'!$A$2:$Q$2902,AD$2,0)&lt;&gt;N330,"Beam Revised","")</f>
        <v>#N/A</v>
      </c>
      <c r="AE330" s="7" t="e">
        <f>IF(VLOOKUP($A330,'Concrete Beam Schedule'!$A$2:$Q$2902,AE$2,0)&lt;&gt;O330,"Beam Revised","")</f>
        <v>#N/A</v>
      </c>
    </row>
    <row r="331" spans="1:31" ht="25.5" customHeight="1" x14ac:dyDescent="0.25">
      <c r="A331" s="17"/>
      <c r="B331" s="17"/>
      <c r="C331" s="17"/>
      <c r="D331" s="17"/>
      <c r="E331" s="17"/>
      <c r="F331" s="17"/>
      <c r="G331" s="17"/>
      <c r="H331" s="17"/>
      <c r="I331" s="17"/>
      <c r="J331" s="17"/>
      <c r="K331" s="17"/>
      <c r="L331" s="17"/>
      <c r="M331" s="17"/>
      <c r="N331" s="17"/>
      <c r="O331" s="17"/>
      <c r="Q331" s="7">
        <f t="shared" si="5"/>
        <v>0</v>
      </c>
      <c r="R331" s="7" t="e">
        <f>IF(VLOOKUP($A331,'Concrete Beam Schedule'!$A$2:$Q$2902,R$2,0)&lt;&gt;B331,VLOOKUP($A331,'Concrete Beam Schedule'!$A$2:$Q$2902,R$2,0),"")</f>
        <v>#N/A</v>
      </c>
      <c r="S331" s="7" t="e">
        <f>IF(VLOOKUP($A331,'Concrete Beam Schedule'!$A$2:$Q$2902,S$2,0)&lt;&gt;C331,VLOOKUP($A331,'Concrete Beam Schedule'!$A$2:$Q$2902,S$2,0),"")</f>
        <v>#N/A</v>
      </c>
      <c r="T331" s="7" t="e">
        <f>IF(VLOOKUP($A331,'Concrete Beam Schedule'!$A$2:$Q$2902,T$2,0)&lt;&gt;D331,"Beam Revised","")</f>
        <v>#N/A</v>
      </c>
      <c r="U331" s="7" t="e">
        <f>IF(VLOOKUP($A331,'Concrete Beam Schedule'!$A$2:$Q$2902,U$2,0)&lt;&gt;E331,"Beam Revised","")</f>
        <v>#N/A</v>
      </c>
      <c r="V331" s="7" t="e">
        <f>IF(VLOOKUP($A331,'Concrete Beam Schedule'!$A$2:$Q$2902,V$2,0)&lt;&gt;F331,"Beam Revised","")</f>
        <v>#N/A</v>
      </c>
      <c r="W331" s="7" t="e">
        <f>IF(VLOOKUP($A331,'Concrete Beam Schedule'!$A$2:$Q$2902,W$2,0)&lt;&gt;G331,"Beam Revised","")</f>
        <v>#N/A</v>
      </c>
      <c r="X331" s="7" t="e">
        <f>IF(VLOOKUP($A331,'Concrete Beam Schedule'!$A$2:$Q$2902,X$2,0)&lt;&gt;H331,"Beam Revised","")</f>
        <v>#N/A</v>
      </c>
      <c r="Y331" s="7" t="e">
        <f>IF(VLOOKUP($A331,'Concrete Beam Schedule'!$A$2:$Q$2902,Y$2,0)&lt;&gt;I331,"Beam Revised","")</f>
        <v>#N/A</v>
      </c>
      <c r="Z331" s="7" t="e">
        <f>IF(VLOOKUP($A331,'Concrete Beam Schedule'!$A$2:$Q$2902,Z$2,0)&lt;&gt;J331,"Beam Revised","")</f>
        <v>#N/A</v>
      </c>
      <c r="AA331" s="7" t="e">
        <f>IF(VLOOKUP($A331,'Concrete Beam Schedule'!$A$2:$Q$2902,AA$2,0)&lt;&gt;K331,"Beam Revised","")</f>
        <v>#N/A</v>
      </c>
      <c r="AB331" s="7" t="e">
        <f>IF(VLOOKUP($A331,'Concrete Beam Schedule'!$A$2:$Q$2902,AB$2,0)&lt;&gt;L331,"Beam Revised","")</f>
        <v>#N/A</v>
      </c>
      <c r="AC331" s="7" t="e">
        <f>IF(VLOOKUP($A331,'Concrete Beam Schedule'!$A$2:$Q$2902,AC$2,0)&lt;&gt;M331,"Beam Revised","")</f>
        <v>#N/A</v>
      </c>
      <c r="AD331" s="7" t="e">
        <f>IF(VLOOKUP($A331,'Concrete Beam Schedule'!$A$2:$Q$2902,AD$2,0)&lt;&gt;N331,"Beam Revised","")</f>
        <v>#N/A</v>
      </c>
      <c r="AE331" s="7" t="e">
        <f>IF(VLOOKUP($A331,'Concrete Beam Schedule'!$A$2:$Q$2902,AE$2,0)&lt;&gt;O331,"Beam Revised","")</f>
        <v>#N/A</v>
      </c>
    </row>
    <row r="332" spans="1:31" ht="25.5" customHeight="1" x14ac:dyDescent="0.25">
      <c r="A332" s="17"/>
      <c r="B332" s="17"/>
      <c r="C332" s="17"/>
      <c r="D332" s="17"/>
      <c r="E332" s="17"/>
      <c r="F332" s="17"/>
      <c r="G332" s="17"/>
      <c r="H332" s="17"/>
      <c r="I332" s="17"/>
      <c r="J332" s="17"/>
      <c r="K332" s="17"/>
      <c r="L332" s="17"/>
      <c r="M332" s="17"/>
      <c r="N332" s="17"/>
      <c r="O332" s="17"/>
      <c r="Q332" s="7">
        <f t="shared" si="5"/>
        <v>0</v>
      </c>
      <c r="R332" s="7" t="e">
        <f>IF(VLOOKUP($A332,'Concrete Beam Schedule'!$A$2:$Q$2902,R$2,0)&lt;&gt;B332,VLOOKUP($A332,'Concrete Beam Schedule'!$A$2:$Q$2902,R$2,0),"")</f>
        <v>#N/A</v>
      </c>
      <c r="S332" s="7" t="e">
        <f>IF(VLOOKUP($A332,'Concrete Beam Schedule'!$A$2:$Q$2902,S$2,0)&lt;&gt;C332,VLOOKUP($A332,'Concrete Beam Schedule'!$A$2:$Q$2902,S$2,0),"")</f>
        <v>#N/A</v>
      </c>
      <c r="T332" s="7" t="e">
        <f>IF(VLOOKUP($A332,'Concrete Beam Schedule'!$A$2:$Q$2902,T$2,0)&lt;&gt;D332,"Beam Revised","")</f>
        <v>#N/A</v>
      </c>
      <c r="U332" s="7" t="e">
        <f>IF(VLOOKUP($A332,'Concrete Beam Schedule'!$A$2:$Q$2902,U$2,0)&lt;&gt;E332,"Beam Revised","")</f>
        <v>#N/A</v>
      </c>
      <c r="V332" s="7" t="e">
        <f>IF(VLOOKUP($A332,'Concrete Beam Schedule'!$A$2:$Q$2902,V$2,0)&lt;&gt;F332,"Beam Revised","")</f>
        <v>#N/A</v>
      </c>
      <c r="W332" s="7" t="e">
        <f>IF(VLOOKUP($A332,'Concrete Beam Schedule'!$A$2:$Q$2902,W$2,0)&lt;&gt;G332,"Beam Revised","")</f>
        <v>#N/A</v>
      </c>
      <c r="X332" s="7" t="e">
        <f>IF(VLOOKUP($A332,'Concrete Beam Schedule'!$A$2:$Q$2902,X$2,0)&lt;&gt;H332,"Beam Revised","")</f>
        <v>#N/A</v>
      </c>
      <c r="Y332" s="7" t="e">
        <f>IF(VLOOKUP($A332,'Concrete Beam Schedule'!$A$2:$Q$2902,Y$2,0)&lt;&gt;I332,"Beam Revised","")</f>
        <v>#N/A</v>
      </c>
      <c r="Z332" s="7" t="e">
        <f>IF(VLOOKUP($A332,'Concrete Beam Schedule'!$A$2:$Q$2902,Z$2,0)&lt;&gt;J332,"Beam Revised","")</f>
        <v>#N/A</v>
      </c>
      <c r="AA332" s="7" t="e">
        <f>IF(VLOOKUP($A332,'Concrete Beam Schedule'!$A$2:$Q$2902,AA$2,0)&lt;&gt;K332,"Beam Revised","")</f>
        <v>#N/A</v>
      </c>
      <c r="AB332" s="7" t="e">
        <f>IF(VLOOKUP($A332,'Concrete Beam Schedule'!$A$2:$Q$2902,AB$2,0)&lt;&gt;L332,"Beam Revised","")</f>
        <v>#N/A</v>
      </c>
      <c r="AC332" s="7" t="e">
        <f>IF(VLOOKUP($A332,'Concrete Beam Schedule'!$A$2:$Q$2902,AC$2,0)&lt;&gt;M332,"Beam Revised","")</f>
        <v>#N/A</v>
      </c>
      <c r="AD332" s="7" t="e">
        <f>IF(VLOOKUP($A332,'Concrete Beam Schedule'!$A$2:$Q$2902,AD$2,0)&lt;&gt;N332,"Beam Revised","")</f>
        <v>#N/A</v>
      </c>
      <c r="AE332" s="7" t="e">
        <f>IF(VLOOKUP($A332,'Concrete Beam Schedule'!$A$2:$Q$2902,AE$2,0)&lt;&gt;O332,"Beam Revised","")</f>
        <v>#N/A</v>
      </c>
    </row>
    <row r="333" spans="1:31" ht="25.5" customHeight="1" x14ac:dyDescent="0.25">
      <c r="A333" s="17"/>
      <c r="B333" s="17"/>
      <c r="C333" s="17"/>
      <c r="D333" s="17"/>
      <c r="E333" s="17"/>
      <c r="F333" s="17"/>
      <c r="G333" s="17"/>
      <c r="H333" s="17"/>
      <c r="I333" s="17"/>
      <c r="J333" s="17"/>
      <c r="K333" s="17"/>
      <c r="L333" s="17"/>
      <c r="M333" s="17"/>
      <c r="N333" s="17"/>
      <c r="O333" s="17"/>
      <c r="Q333" s="7">
        <f t="shared" si="5"/>
        <v>0</v>
      </c>
      <c r="R333" s="7" t="e">
        <f>IF(VLOOKUP($A333,'Concrete Beam Schedule'!$A$2:$Q$2902,R$2,0)&lt;&gt;B333,VLOOKUP($A333,'Concrete Beam Schedule'!$A$2:$Q$2902,R$2,0),"")</f>
        <v>#N/A</v>
      </c>
      <c r="S333" s="7" t="e">
        <f>IF(VLOOKUP($A333,'Concrete Beam Schedule'!$A$2:$Q$2902,S$2,0)&lt;&gt;C333,VLOOKUP($A333,'Concrete Beam Schedule'!$A$2:$Q$2902,S$2,0),"")</f>
        <v>#N/A</v>
      </c>
      <c r="T333" s="7" t="e">
        <f>IF(VLOOKUP($A333,'Concrete Beam Schedule'!$A$2:$Q$2902,T$2,0)&lt;&gt;D333,"Beam Revised","")</f>
        <v>#N/A</v>
      </c>
      <c r="U333" s="7" t="e">
        <f>IF(VLOOKUP($A333,'Concrete Beam Schedule'!$A$2:$Q$2902,U$2,0)&lt;&gt;E333,"Beam Revised","")</f>
        <v>#N/A</v>
      </c>
      <c r="V333" s="7" t="e">
        <f>IF(VLOOKUP($A333,'Concrete Beam Schedule'!$A$2:$Q$2902,V$2,0)&lt;&gt;F333,"Beam Revised","")</f>
        <v>#N/A</v>
      </c>
      <c r="W333" s="7" t="e">
        <f>IF(VLOOKUP($A333,'Concrete Beam Schedule'!$A$2:$Q$2902,W$2,0)&lt;&gt;G333,"Beam Revised","")</f>
        <v>#N/A</v>
      </c>
      <c r="X333" s="7" t="e">
        <f>IF(VLOOKUP($A333,'Concrete Beam Schedule'!$A$2:$Q$2902,X$2,0)&lt;&gt;H333,"Beam Revised","")</f>
        <v>#N/A</v>
      </c>
      <c r="Y333" s="7" t="e">
        <f>IF(VLOOKUP($A333,'Concrete Beam Schedule'!$A$2:$Q$2902,Y$2,0)&lt;&gt;I333,"Beam Revised","")</f>
        <v>#N/A</v>
      </c>
      <c r="Z333" s="7" t="e">
        <f>IF(VLOOKUP($A333,'Concrete Beam Schedule'!$A$2:$Q$2902,Z$2,0)&lt;&gt;J333,"Beam Revised","")</f>
        <v>#N/A</v>
      </c>
      <c r="AA333" s="7" t="e">
        <f>IF(VLOOKUP($A333,'Concrete Beam Schedule'!$A$2:$Q$2902,AA$2,0)&lt;&gt;K333,"Beam Revised","")</f>
        <v>#N/A</v>
      </c>
      <c r="AB333" s="7" t="e">
        <f>IF(VLOOKUP($A333,'Concrete Beam Schedule'!$A$2:$Q$2902,AB$2,0)&lt;&gt;L333,"Beam Revised","")</f>
        <v>#N/A</v>
      </c>
      <c r="AC333" s="7" t="e">
        <f>IF(VLOOKUP($A333,'Concrete Beam Schedule'!$A$2:$Q$2902,AC$2,0)&lt;&gt;M333,"Beam Revised","")</f>
        <v>#N/A</v>
      </c>
      <c r="AD333" s="7" t="e">
        <f>IF(VLOOKUP($A333,'Concrete Beam Schedule'!$A$2:$Q$2902,AD$2,0)&lt;&gt;N333,"Beam Revised","")</f>
        <v>#N/A</v>
      </c>
      <c r="AE333" s="7" t="e">
        <f>IF(VLOOKUP($A333,'Concrete Beam Schedule'!$A$2:$Q$2902,AE$2,0)&lt;&gt;O333,"Beam Revised","")</f>
        <v>#N/A</v>
      </c>
    </row>
    <row r="334" spans="1:31" ht="25.5" customHeight="1" x14ac:dyDescent="0.25">
      <c r="A334" s="17"/>
      <c r="B334" s="17"/>
      <c r="C334" s="17"/>
      <c r="D334" s="17"/>
      <c r="E334" s="17"/>
      <c r="F334" s="17"/>
      <c r="G334" s="17"/>
      <c r="H334" s="17"/>
      <c r="I334" s="17"/>
      <c r="J334" s="17"/>
      <c r="K334" s="17"/>
      <c r="L334" s="17"/>
      <c r="M334" s="17"/>
      <c r="N334" s="17"/>
      <c r="O334" s="17"/>
      <c r="Q334" s="7">
        <f t="shared" si="5"/>
        <v>0</v>
      </c>
      <c r="R334" s="7" t="e">
        <f>IF(VLOOKUP($A334,'Concrete Beam Schedule'!$A$2:$Q$2902,R$2,0)&lt;&gt;B334,VLOOKUP($A334,'Concrete Beam Schedule'!$A$2:$Q$2902,R$2,0),"")</f>
        <v>#N/A</v>
      </c>
      <c r="S334" s="7" t="e">
        <f>IF(VLOOKUP($A334,'Concrete Beam Schedule'!$A$2:$Q$2902,S$2,0)&lt;&gt;C334,VLOOKUP($A334,'Concrete Beam Schedule'!$A$2:$Q$2902,S$2,0),"")</f>
        <v>#N/A</v>
      </c>
      <c r="T334" s="7" t="e">
        <f>IF(VLOOKUP($A334,'Concrete Beam Schedule'!$A$2:$Q$2902,T$2,0)&lt;&gt;D334,"Beam Revised","")</f>
        <v>#N/A</v>
      </c>
      <c r="U334" s="7" t="e">
        <f>IF(VLOOKUP($A334,'Concrete Beam Schedule'!$A$2:$Q$2902,U$2,0)&lt;&gt;E334,"Beam Revised","")</f>
        <v>#N/A</v>
      </c>
      <c r="V334" s="7" t="e">
        <f>IF(VLOOKUP($A334,'Concrete Beam Schedule'!$A$2:$Q$2902,V$2,0)&lt;&gt;F334,"Beam Revised","")</f>
        <v>#N/A</v>
      </c>
      <c r="W334" s="7" t="e">
        <f>IF(VLOOKUP($A334,'Concrete Beam Schedule'!$A$2:$Q$2902,W$2,0)&lt;&gt;G334,"Beam Revised","")</f>
        <v>#N/A</v>
      </c>
      <c r="X334" s="7" t="e">
        <f>IF(VLOOKUP($A334,'Concrete Beam Schedule'!$A$2:$Q$2902,X$2,0)&lt;&gt;H334,"Beam Revised","")</f>
        <v>#N/A</v>
      </c>
      <c r="Y334" s="7" t="e">
        <f>IF(VLOOKUP($A334,'Concrete Beam Schedule'!$A$2:$Q$2902,Y$2,0)&lt;&gt;I334,"Beam Revised","")</f>
        <v>#N/A</v>
      </c>
      <c r="Z334" s="7" t="e">
        <f>IF(VLOOKUP($A334,'Concrete Beam Schedule'!$A$2:$Q$2902,Z$2,0)&lt;&gt;J334,"Beam Revised","")</f>
        <v>#N/A</v>
      </c>
      <c r="AA334" s="7" t="e">
        <f>IF(VLOOKUP($A334,'Concrete Beam Schedule'!$A$2:$Q$2902,AA$2,0)&lt;&gt;K334,"Beam Revised","")</f>
        <v>#N/A</v>
      </c>
      <c r="AB334" s="7" t="e">
        <f>IF(VLOOKUP($A334,'Concrete Beam Schedule'!$A$2:$Q$2902,AB$2,0)&lt;&gt;L334,"Beam Revised","")</f>
        <v>#N/A</v>
      </c>
      <c r="AC334" s="7" t="e">
        <f>IF(VLOOKUP($A334,'Concrete Beam Schedule'!$A$2:$Q$2902,AC$2,0)&lt;&gt;M334,"Beam Revised","")</f>
        <v>#N/A</v>
      </c>
      <c r="AD334" s="7" t="e">
        <f>IF(VLOOKUP($A334,'Concrete Beam Schedule'!$A$2:$Q$2902,AD$2,0)&lt;&gt;N334,"Beam Revised","")</f>
        <v>#N/A</v>
      </c>
      <c r="AE334" s="7" t="e">
        <f>IF(VLOOKUP($A334,'Concrete Beam Schedule'!$A$2:$Q$2902,AE$2,0)&lt;&gt;O334,"Beam Revised","")</f>
        <v>#N/A</v>
      </c>
    </row>
    <row r="335" spans="1:31" ht="25.5" customHeight="1" x14ac:dyDescent="0.25">
      <c r="A335" s="17"/>
      <c r="B335" s="17"/>
      <c r="C335" s="17"/>
      <c r="D335" s="17"/>
      <c r="E335" s="17"/>
      <c r="F335" s="17"/>
      <c r="G335" s="17"/>
      <c r="H335" s="17"/>
      <c r="I335" s="17"/>
      <c r="J335" s="17"/>
      <c r="K335" s="17"/>
      <c r="L335" s="17"/>
      <c r="M335" s="17"/>
      <c r="N335" s="17"/>
      <c r="O335" s="17"/>
      <c r="Q335" s="7">
        <f t="shared" si="5"/>
        <v>0</v>
      </c>
      <c r="R335" s="7" t="e">
        <f>IF(VLOOKUP($A335,'Concrete Beam Schedule'!$A$2:$Q$2902,R$2,0)&lt;&gt;B335,VLOOKUP($A335,'Concrete Beam Schedule'!$A$2:$Q$2902,R$2,0),"")</f>
        <v>#N/A</v>
      </c>
      <c r="S335" s="7" t="e">
        <f>IF(VLOOKUP($A335,'Concrete Beam Schedule'!$A$2:$Q$2902,S$2,0)&lt;&gt;C335,VLOOKUP($A335,'Concrete Beam Schedule'!$A$2:$Q$2902,S$2,0),"")</f>
        <v>#N/A</v>
      </c>
      <c r="T335" s="7" t="e">
        <f>IF(VLOOKUP($A335,'Concrete Beam Schedule'!$A$2:$Q$2902,T$2,0)&lt;&gt;D335,"Beam Revised","")</f>
        <v>#N/A</v>
      </c>
      <c r="U335" s="7" t="e">
        <f>IF(VLOOKUP($A335,'Concrete Beam Schedule'!$A$2:$Q$2902,U$2,0)&lt;&gt;E335,"Beam Revised","")</f>
        <v>#N/A</v>
      </c>
      <c r="V335" s="7" t="e">
        <f>IF(VLOOKUP($A335,'Concrete Beam Schedule'!$A$2:$Q$2902,V$2,0)&lt;&gt;F335,"Beam Revised","")</f>
        <v>#N/A</v>
      </c>
      <c r="W335" s="7" t="e">
        <f>IF(VLOOKUP($A335,'Concrete Beam Schedule'!$A$2:$Q$2902,W$2,0)&lt;&gt;G335,"Beam Revised","")</f>
        <v>#N/A</v>
      </c>
      <c r="X335" s="7" t="e">
        <f>IF(VLOOKUP($A335,'Concrete Beam Schedule'!$A$2:$Q$2902,X$2,0)&lt;&gt;H335,"Beam Revised","")</f>
        <v>#N/A</v>
      </c>
      <c r="Y335" s="7" t="e">
        <f>IF(VLOOKUP($A335,'Concrete Beam Schedule'!$A$2:$Q$2902,Y$2,0)&lt;&gt;I335,"Beam Revised","")</f>
        <v>#N/A</v>
      </c>
      <c r="Z335" s="7" t="e">
        <f>IF(VLOOKUP($A335,'Concrete Beam Schedule'!$A$2:$Q$2902,Z$2,0)&lt;&gt;J335,"Beam Revised","")</f>
        <v>#N/A</v>
      </c>
      <c r="AA335" s="7" t="e">
        <f>IF(VLOOKUP($A335,'Concrete Beam Schedule'!$A$2:$Q$2902,AA$2,0)&lt;&gt;K335,"Beam Revised","")</f>
        <v>#N/A</v>
      </c>
      <c r="AB335" s="7" t="e">
        <f>IF(VLOOKUP($A335,'Concrete Beam Schedule'!$A$2:$Q$2902,AB$2,0)&lt;&gt;L335,"Beam Revised","")</f>
        <v>#N/A</v>
      </c>
      <c r="AC335" s="7" t="e">
        <f>IF(VLOOKUP($A335,'Concrete Beam Schedule'!$A$2:$Q$2902,AC$2,0)&lt;&gt;M335,"Beam Revised","")</f>
        <v>#N/A</v>
      </c>
      <c r="AD335" s="7" t="e">
        <f>IF(VLOOKUP($A335,'Concrete Beam Schedule'!$A$2:$Q$2902,AD$2,0)&lt;&gt;N335,"Beam Revised","")</f>
        <v>#N/A</v>
      </c>
      <c r="AE335" s="7" t="e">
        <f>IF(VLOOKUP($A335,'Concrete Beam Schedule'!$A$2:$Q$2902,AE$2,0)&lt;&gt;O335,"Beam Revised","")</f>
        <v>#N/A</v>
      </c>
    </row>
    <row r="336" spans="1:31" ht="25.5" customHeight="1" x14ac:dyDescent="0.25">
      <c r="A336" s="17"/>
      <c r="B336" s="17"/>
      <c r="C336" s="17"/>
      <c r="D336" s="17"/>
      <c r="E336" s="17"/>
      <c r="F336" s="17"/>
      <c r="G336" s="17"/>
      <c r="H336" s="17"/>
      <c r="I336" s="17"/>
      <c r="J336" s="17"/>
      <c r="K336" s="17"/>
      <c r="L336" s="17"/>
      <c r="M336" s="17"/>
      <c r="N336" s="17"/>
      <c r="O336" s="17"/>
      <c r="Q336" s="7">
        <f t="shared" si="5"/>
        <v>0</v>
      </c>
      <c r="R336" s="7" t="e">
        <f>IF(VLOOKUP($A336,'Concrete Beam Schedule'!$A$2:$Q$2902,R$2,0)&lt;&gt;B336,VLOOKUP($A336,'Concrete Beam Schedule'!$A$2:$Q$2902,R$2,0),"")</f>
        <v>#N/A</v>
      </c>
      <c r="S336" s="7" t="e">
        <f>IF(VLOOKUP($A336,'Concrete Beam Schedule'!$A$2:$Q$2902,S$2,0)&lt;&gt;C336,VLOOKUP($A336,'Concrete Beam Schedule'!$A$2:$Q$2902,S$2,0),"")</f>
        <v>#N/A</v>
      </c>
      <c r="T336" s="7" t="e">
        <f>IF(VLOOKUP($A336,'Concrete Beam Schedule'!$A$2:$Q$2902,T$2,0)&lt;&gt;D336,"Beam Revised","")</f>
        <v>#N/A</v>
      </c>
      <c r="U336" s="7" t="e">
        <f>IF(VLOOKUP($A336,'Concrete Beam Schedule'!$A$2:$Q$2902,U$2,0)&lt;&gt;E336,"Beam Revised","")</f>
        <v>#N/A</v>
      </c>
      <c r="V336" s="7" t="e">
        <f>IF(VLOOKUP($A336,'Concrete Beam Schedule'!$A$2:$Q$2902,V$2,0)&lt;&gt;F336,"Beam Revised","")</f>
        <v>#N/A</v>
      </c>
      <c r="W336" s="7" t="e">
        <f>IF(VLOOKUP($A336,'Concrete Beam Schedule'!$A$2:$Q$2902,W$2,0)&lt;&gt;G336,"Beam Revised","")</f>
        <v>#N/A</v>
      </c>
      <c r="X336" s="7" t="e">
        <f>IF(VLOOKUP($A336,'Concrete Beam Schedule'!$A$2:$Q$2902,X$2,0)&lt;&gt;H336,"Beam Revised","")</f>
        <v>#N/A</v>
      </c>
      <c r="Y336" s="7" t="e">
        <f>IF(VLOOKUP($A336,'Concrete Beam Schedule'!$A$2:$Q$2902,Y$2,0)&lt;&gt;I336,"Beam Revised","")</f>
        <v>#N/A</v>
      </c>
      <c r="Z336" s="7" t="e">
        <f>IF(VLOOKUP($A336,'Concrete Beam Schedule'!$A$2:$Q$2902,Z$2,0)&lt;&gt;J336,"Beam Revised","")</f>
        <v>#N/A</v>
      </c>
      <c r="AA336" s="7" t="e">
        <f>IF(VLOOKUP($A336,'Concrete Beam Schedule'!$A$2:$Q$2902,AA$2,0)&lt;&gt;K336,"Beam Revised","")</f>
        <v>#N/A</v>
      </c>
      <c r="AB336" s="7" t="e">
        <f>IF(VLOOKUP($A336,'Concrete Beam Schedule'!$A$2:$Q$2902,AB$2,0)&lt;&gt;L336,"Beam Revised","")</f>
        <v>#N/A</v>
      </c>
      <c r="AC336" s="7" t="e">
        <f>IF(VLOOKUP($A336,'Concrete Beam Schedule'!$A$2:$Q$2902,AC$2,0)&lt;&gt;M336,"Beam Revised","")</f>
        <v>#N/A</v>
      </c>
      <c r="AD336" s="7" t="e">
        <f>IF(VLOOKUP($A336,'Concrete Beam Schedule'!$A$2:$Q$2902,AD$2,0)&lt;&gt;N336,"Beam Revised","")</f>
        <v>#N/A</v>
      </c>
      <c r="AE336" s="7" t="e">
        <f>IF(VLOOKUP($A336,'Concrete Beam Schedule'!$A$2:$Q$2902,AE$2,0)&lt;&gt;O336,"Beam Revised","")</f>
        <v>#N/A</v>
      </c>
    </row>
    <row r="337" spans="1:31" ht="25.5" customHeight="1" x14ac:dyDescent="0.25">
      <c r="A337" s="17"/>
      <c r="B337" s="17"/>
      <c r="C337" s="17"/>
      <c r="D337" s="17"/>
      <c r="E337" s="17"/>
      <c r="F337" s="17"/>
      <c r="G337" s="17"/>
      <c r="H337" s="17"/>
      <c r="I337" s="17"/>
      <c r="J337" s="17"/>
      <c r="K337" s="17"/>
      <c r="L337" s="17"/>
      <c r="M337" s="17"/>
      <c r="N337" s="17"/>
      <c r="O337" s="17"/>
      <c r="Q337" s="7">
        <f t="shared" si="5"/>
        <v>0</v>
      </c>
      <c r="R337" s="7" t="e">
        <f>IF(VLOOKUP($A337,'Concrete Beam Schedule'!$A$2:$Q$2902,R$2,0)&lt;&gt;B337,VLOOKUP($A337,'Concrete Beam Schedule'!$A$2:$Q$2902,R$2,0),"")</f>
        <v>#N/A</v>
      </c>
      <c r="S337" s="7" t="e">
        <f>IF(VLOOKUP($A337,'Concrete Beam Schedule'!$A$2:$Q$2902,S$2,0)&lt;&gt;C337,VLOOKUP($A337,'Concrete Beam Schedule'!$A$2:$Q$2902,S$2,0),"")</f>
        <v>#N/A</v>
      </c>
      <c r="T337" s="7" t="e">
        <f>IF(VLOOKUP($A337,'Concrete Beam Schedule'!$A$2:$Q$2902,T$2,0)&lt;&gt;D337,"Beam Revised","")</f>
        <v>#N/A</v>
      </c>
      <c r="U337" s="7" t="e">
        <f>IF(VLOOKUP($A337,'Concrete Beam Schedule'!$A$2:$Q$2902,U$2,0)&lt;&gt;E337,"Beam Revised","")</f>
        <v>#N/A</v>
      </c>
      <c r="V337" s="7" t="e">
        <f>IF(VLOOKUP($A337,'Concrete Beam Schedule'!$A$2:$Q$2902,V$2,0)&lt;&gt;F337,"Beam Revised","")</f>
        <v>#N/A</v>
      </c>
      <c r="W337" s="7" t="e">
        <f>IF(VLOOKUP($A337,'Concrete Beam Schedule'!$A$2:$Q$2902,W$2,0)&lt;&gt;G337,"Beam Revised","")</f>
        <v>#N/A</v>
      </c>
      <c r="X337" s="7" t="e">
        <f>IF(VLOOKUP($A337,'Concrete Beam Schedule'!$A$2:$Q$2902,X$2,0)&lt;&gt;H337,"Beam Revised","")</f>
        <v>#N/A</v>
      </c>
      <c r="Y337" s="7" t="e">
        <f>IF(VLOOKUP($A337,'Concrete Beam Schedule'!$A$2:$Q$2902,Y$2,0)&lt;&gt;I337,"Beam Revised","")</f>
        <v>#N/A</v>
      </c>
      <c r="Z337" s="7" t="e">
        <f>IF(VLOOKUP($A337,'Concrete Beam Schedule'!$A$2:$Q$2902,Z$2,0)&lt;&gt;J337,"Beam Revised","")</f>
        <v>#N/A</v>
      </c>
      <c r="AA337" s="7" t="e">
        <f>IF(VLOOKUP($A337,'Concrete Beam Schedule'!$A$2:$Q$2902,AA$2,0)&lt;&gt;K337,"Beam Revised","")</f>
        <v>#N/A</v>
      </c>
      <c r="AB337" s="7" t="e">
        <f>IF(VLOOKUP($A337,'Concrete Beam Schedule'!$A$2:$Q$2902,AB$2,0)&lt;&gt;L337,"Beam Revised","")</f>
        <v>#N/A</v>
      </c>
      <c r="AC337" s="7" t="e">
        <f>IF(VLOOKUP($A337,'Concrete Beam Schedule'!$A$2:$Q$2902,AC$2,0)&lt;&gt;M337,"Beam Revised","")</f>
        <v>#N/A</v>
      </c>
      <c r="AD337" s="7" t="e">
        <f>IF(VLOOKUP($A337,'Concrete Beam Schedule'!$A$2:$Q$2902,AD$2,0)&lt;&gt;N337,"Beam Revised","")</f>
        <v>#N/A</v>
      </c>
      <c r="AE337" s="7" t="e">
        <f>IF(VLOOKUP($A337,'Concrete Beam Schedule'!$A$2:$Q$2902,AE$2,0)&lt;&gt;O337,"Beam Revised","")</f>
        <v>#N/A</v>
      </c>
    </row>
    <row r="338" spans="1:31" ht="25.5" customHeight="1" x14ac:dyDescent="0.25">
      <c r="A338" s="17"/>
      <c r="B338" s="17"/>
      <c r="C338" s="17"/>
      <c r="D338" s="17"/>
      <c r="E338" s="17"/>
      <c r="F338" s="17"/>
      <c r="G338" s="17"/>
      <c r="H338" s="17"/>
      <c r="I338" s="17"/>
      <c r="J338" s="17"/>
      <c r="K338" s="17"/>
      <c r="L338" s="17"/>
      <c r="M338" s="17"/>
      <c r="N338" s="17"/>
      <c r="O338" s="17"/>
      <c r="Q338" s="7">
        <f t="shared" si="5"/>
        <v>0</v>
      </c>
      <c r="R338" s="7" t="e">
        <f>IF(VLOOKUP($A338,'Concrete Beam Schedule'!$A$2:$Q$2902,R$2,0)&lt;&gt;B338,VLOOKUP($A338,'Concrete Beam Schedule'!$A$2:$Q$2902,R$2,0),"")</f>
        <v>#N/A</v>
      </c>
      <c r="S338" s="7" t="e">
        <f>IF(VLOOKUP($A338,'Concrete Beam Schedule'!$A$2:$Q$2902,S$2,0)&lt;&gt;C338,VLOOKUP($A338,'Concrete Beam Schedule'!$A$2:$Q$2902,S$2,0),"")</f>
        <v>#N/A</v>
      </c>
      <c r="T338" s="7" t="e">
        <f>IF(VLOOKUP($A338,'Concrete Beam Schedule'!$A$2:$Q$2902,T$2,0)&lt;&gt;D338,"Beam Revised","")</f>
        <v>#N/A</v>
      </c>
      <c r="U338" s="7" t="e">
        <f>IF(VLOOKUP($A338,'Concrete Beam Schedule'!$A$2:$Q$2902,U$2,0)&lt;&gt;E338,"Beam Revised","")</f>
        <v>#N/A</v>
      </c>
      <c r="V338" s="7" t="e">
        <f>IF(VLOOKUP($A338,'Concrete Beam Schedule'!$A$2:$Q$2902,V$2,0)&lt;&gt;F338,"Beam Revised","")</f>
        <v>#N/A</v>
      </c>
      <c r="W338" s="7" t="e">
        <f>IF(VLOOKUP($A338,'Concrete Beam Schedule'!$A$2:$Q$2902,W$2,0)&lt;&gt;G338,"Beam Revised","")</f>
        <v>#N/A</v>
      </c>
      <c r="X338" s="7" t="e">
        <f>IF(VLOOKUP($A338,'Concrete Beam Schedule'!$A$2:$Q$2902,X$2,0)&lt;&gt;H338,"Beam Revised","")</f>
        <v>#N/A</v>
      </c>
      <c r="Y338" s="7" t="e">
        <f>IF(VLOOKUP($A338,'Concrete Beam Schedule'!$A$2:$Q$2902,Y$2,0)&lt;&gt;I338,"Beam Revised","")</f>
        <v>#N/A</v>
      </c>
      <c r="Z338" s="7" t="e">
        <f>IF(VLOOKUP($A338,'Concrete Beam Schedule'!$A$2:$Q$2902,Z$2,0)&lt;&gt;J338,"Beam Revised","")</f>
        <v>#N/A</v>
      </c>
      <c r="AA338" s="7" t="e">
        <f>IF(VLOOKUP($A338,'Concrete Beam Schedule'!$A$2:$Q$2902,AA$2,0)&lt;&gt;K338,"Beam Revised","")</f>
        <v>#N/A</v>
      </c>
      <c r="AB338" s="7" t="e">
        <f>IF(VLOOKUP($A338,'Concrete Beam Schedule'!$A$2:$Q$2902,AB$2,0)&lt;&gt;L338,"Beam Revised","")</f>
        <v>#N/A</v>
      </c>
      <c r="AC338" s="7" t="e">
        <f>IF(VLOOKUP($A338,'Concrete Beam Schedule'!$A$2:$Q$2902,AC$2,0)&lt;&gt;M338,"Beam Revised","")</f>
        <v>#N/A</v>
      </c>
      <c r="AD338" s="7" t="e">
        <f>IF(VLOOKUP($A338,'Concrete Beam Schedule'!$A$2:$Q$2902,AD$2,0)&lt;&gt;N338,"Beam Revised","")</f>
        <v>#N/A</v>
      </c>
      <c r="AE338" s="7" t="e">
        <f>IF(VLOOKUP($A338,'Concrete Beam Schedule'!$A$2:$Q$2902,AE$2,0)&lt;&gt;O338,"Beam Revised","")</f>
        <v>#N/A</v>
      </c>
    </row>
    <row r="339" spans="1:31" ht="25.5" customHeight="1" x14ac:dyDescent="0.25">
      <c r="A339" s="17"/>
      <c r="B339" s="17"/>
      <c r="C339" s="17"/>
      <c r="D339" s="17"/>
      <c r="E339" s="17"/>
      <c r="F339" s="17"/>
      <c r="G339" s="17"/>
      <c r="H339" s="17"/>
      <c r="I339" s="17"/>
      <c r="J339" s="17"/>
      <c r="K339" s="17"/>
      <c r="L339" s="17"/>
      <c r="M339" s="17"/>
      <c r="N339" s="17"/>
      <c r="O339" s="17"/>
      <c r="Q339" s="7">
        <f t="shared" si="5"/>
        <v>0</v>
      </c>
      <c r="R339" s="7" t="e">
        <f>IF(VLOOKUP($A339,'Concrete Beam Schedule'!$A$2:$Q$2902,R$2,0)&lt;&gt;B339,VLOOKUP($A339,'Concrete Beam Schedule'!$A$2:$Q$2902,R$2,0),"")</f>
        <v>#N/A</v>
      </c>
      <c r="S339" s="7" t="e">
        <f>IF(VLOOKUP($A339,'Concrete Beam Schedule'!$A$2:$Q$2902,S$2,0)&lt;&gt;C339,VLOOKUP($A339,'Concrete Beam Schedule'!$A$2:$Q$2902,S$2,0),"")</f>
        <v>#N/A</v>
      </c>
      <c r="T339" s="7" t="e">
        <f>IF(VLOOKUP($A339,'Concrete Beam Schedule'!$A$2:$Q$2902,T$2,0)&lt;&gt;D339,"Beam Revised","")</f>
        <v>#N/A</v>
      </c>
      <c r="U339" s="7" t="e">
        <f>IF(VLOOKUP($A339,'Concrete Beam Schedule'!$A$2:$Q$2902,U$2,0)&lt;&gt;E339,"Beam Revised","")</f>
        <v>#N/A</v>
      </c>
      <c r="V339" s="7" t="e">
        <f>IF(VLOOKUP($A339,'Concrete Beam Schedule'!$A$2:$Q$2902,V$2,0)&lt;&gt;F339,"Beam Revised","")</f>
        <v>#N/A</v>
      </c>
      <c r="W339" s="7" t="e">
        <f>IF(VLOOKUP($A339,'Concrete Beam Schedule'!$A$2:$Q$2902,W$2,0)&lt;&gt;G339,"Beam Revised","")</f>
        <v>#N/A</v>
      </c>
      <c r="X339" s="7" t="e">
        <f>IF(VLOOKUP($A339,'Concrete Beam Schedule'!$A$2:$Q$2902,X$2,0)&lt;&gt;H339,"Beam Revised","")</f>
        <v>#N/A</v>
      </c>
      <c r="Y339" s="7" t="e">
        <f>IF(VLOOKUP($A339,'Concrete Beam Schedule'!$A$2:$Q$2902,Y$2,0)&lt;&gt;I339,"Beam Revised","")</f>
        <v>#N/A</v>
      </c>
      <c r="Z339" s="7" t="e">
        <f>IF(VLOOKUP($A339,'Concrete Beam Schedule'!$A$2:$Q$2902,Z$2,0)&lt;&gt;J339,"Beam Revised","")</f>
        <v>#N/A</v>
      </c>
      <c r="AA339" s="7" t="e">
        <f>IF(VLOOKUP($A339,'Concrete Beam Schedule'!$A$2:$Q$2902,AA$2,0)&lt;&gt;K339,"Beam Revised","")</f>
        <v>#N/A</v>
      </c>
      <c r="AB339" s="7" t="e">
        <f>IF(VLOOKUP($A339,'Concrete Beam Schedule'!$A$2:$Q$2902,AB$2,0)&lt;&gt;L339,"Beam Revised","")</f>
        <v>#N/A</v>
      </c>
      <c r="AC339" s="7" t="e">
        <f>IF(VLOOKUP($A339,'Concrete Beam Schedule'!$A$2:$Q$2902,AC$2,0)&lt;&gt;M339,"Beam Revised","")</f>
        <v>#N/A</v>
      </c>
      <c r="AD339" s="7" t="e">
        <f>IF(VLOOKUP($A339,'Concrete Beam Schedule'!$A$2:$Q$2902,AD$2,0)&lt;&gt;N339,"Beam Revised","")</f>
        <v>#N/A</v>
      </c>
      <c r="AE339" s="7" t="e">
        <f>IF(VLOOKUP($A339,'Concrete Beam Schedule'!$A$2:$Q$2902,AE$2,0)&lt;&gt;O339,"Beam Revised","")</f>
        <v>#N/A</v>
      </c>
    </row>
    <row r="340" spans="1:31" ht="25.5" customHeight="1" x14ac:dyDescent="0.25">
      <c r="A340" s="17"/>
      <c r="B340" s="17"/>
      <c r="C340" s="17"/>
      <c r="D340" s="17"/>
      <c r="E340" s="17"/>
      <c r="F340" s="17"/>
      <c r="G340" s="17"/>
      <c r="H340" s="17"/>
      <c r="I340" s="17"/>
      <c r="J340" s="17"/>
      <c r="K340" s="17"/>
      <c r="L340" s="17"/>
      <c r="M340" s="17"/>
      <c r="N340" s="17"/>
      <c r="O340" s="17"/>
      <c r="Q340" s="7">
        <f t="shared" si="5"/>
        <v>0</v>
      </c>
      <c r="R340" s="7" t="e">
        <f>IF(VLOOKUP($A340,'Concrete Beam Schedule'!$A$2:$Q$2902,R$2,0)&lt;&gt;B340,VLOOKUP($A340,'Concrete Beam Schedule'!$A$2:$Q$2902,R$2,0),"")</f>
        <v>#N/A</v>
      </c>
      <c r="S340" s="7" t="e">
        <f>IF(VLOOKUP($A340,'Concrete Beam Schedule'!$A$2:$Q$2902,S$2,0)&lt;&gt;C340,VLOOKUP($A340,'Concrete Beam Schedule'!$A$2:$Q$2902,S$2,0),"")</f>
        <v>#N/A</v>
      </c>
      <c r="T340" s="7" t="e">
        <f>IF(VLOOKUP($A340,'Concrete Beam Schedule'!$A$2:$Q$2902,T$2,0)&lt;&gt;D340,"Beam Revised","")</f>
        <v>#N/A</v>
      </c>
      <c r="U340" s="7" t="e">
        <f>IF(VLOOKUP($A340,'Concrete Beam Schedule'!$A$2:$Q$2902,U$2,0)&lt;&gt;E340,"Beam Revised","")</f>
        <v>#N/A</v>
      </c>
      <c r="V340" s="7" t="e">
        <f>IF(VLOOKUP($A340,'Concrete Beam Schedule'!$A$2:$Q$2902,V$2,0)&lt;&gt;F340,"Beam Revised","")</f>
        <v>#N/A</v>
      </c>
      <c r="W340" s="7" t="e">
        <f>IF(VLOOKUP($A340,'Concrete Beam Schedule'!$A$2:$Q$2902,W$2,0)&lt;&gt;G340,"Beam Revised","")</f>
        <v>#N/A</v>
      </c>
      <c r="X340" s="7" t="e">
        <f>IF(VLOOKUP($A340,'Concrete Beam Schedule'!$A$2:$Q$2902,X$2,0)&lt;&gt;H340,"Beam Revised","")</f>
        <v>#N/A</v>
      </c>
      <c r="Y340" s="7" t="e">
        <f>IF(VLOOKUP($A340,'Concrete Beam Schedule'!$A$2:$Q$2902,Y$2,0)&lt;&gt;I340,"Beam Revised","")</f>
        <v>#N/A</v>
      </c>
      <c r="Z340" s="7" t="e">
        <f>IF(VLOOKUP($A340,'Concrete Beam Schedule'!$A$2:$Q$2902,Z$2,0)&lt;&gt;J340,"Beam Revised","")</f>
        <v>#N/A</v>
      </c>
      <c r="AA340" s="7" t="e">
        <f>IF(VLOOKUP($A340,'Concrete Beam Schedule'!$A$2:$Q$2902,AA$2,0)&lt;&gt;K340,"Beam Revised","")</f>
        <v>#N/A</v>
      </c>
      <c r="AB340" s="7" t="e">
        <f>IF(VLOOKUP($A340,'Concrete Beam Schedule'!$A$2:$Q$2902,AB$2,0)&lt;&gt;L340,"Beam Revised","")</f>
        <v>#N/A</v>
      </c>
      <c r="AC340" s="7" t="e">
        <f>IF(VLOOKUP($A340,'Concrete Beam Schedule'!$A$2:$Q$2902,AC$2,0)&lt;&gt;M340,"Beam Revised","")</f>
        <v>#N/A</v>
      </c>
      <c r="AD340" s="7" t="e">
        <f>IF(VLOOKUP($A340,'Concrete Beam Schedule'!$A$2:$Q$2902,AD$2,0)&lt;&gt;N340,"Beam Revised","")</f>
        <v>#N/A</v>
      </c>
      <c r="AE340" s="7" t="e">
        <f>IF(VLOOKUP($A340,'Concrete Beam Schedule'!$A$2:$Q$2902,AE$2,0)&lt;&gt;O340,"Beam Revised","")</f>
        <v>#N/A</v>
      </c>
    </row>
    <row r="341" spans="1:31" ht="25.5" customHeight="1" x14ac:dyDescent="0.25">
      <c r="A341" s="17"/>
      <c r="B341" s="17"/>
      <c r="C341" s="17"/>
      <c r="D341" s="17"/>
      <c r="E341" s="17"/>
      <c r="F341" s="17"/>
      <c r="G341" s="17"/>
      <c r="H341" s="17"/>
      <c r="I341" s="17"/>
      <c r="J341" s="17"/>
      <c r="K341" s="17"/>
      <c r="L341" s="17"/>
      <c r="M341" s="17"/>
      <c r="N341" s="17"/>
      <c r="O341" s="17"/>
      <c r="Q341" s="7">
        <f t="shared" si="5"/>
        <v>0</v>
      </c>
      <c r="R341" s="7" t="e">
        <f>IF(VLOOKUP($A341,'Concrete Beam Schedule'!$A$2:$Q$2902,R$2,0)&lt;&gt;B341,VLOOKUP($A341,'Concrete Beam Schedule'!$A$2:$Q$2902,R$2,0),"")</f>
        <v>#N/A</v>
      </c>
      <c r="S341" s="7" t="e">
        <f>IF(VLOOKUP($A341,'Concrete Beam Schedule'!$A$2:$Q$2902,S$2,0)&lt;&gt;C341,VLOOKUP($A341,'Concrete Beam Schedule'!$A$2:$Q$2902,S$2,0),"")</f>
        <v>#N/A</v>
      </c>
      <c r="T341" s="7" t="e">
        <f>IF(VLOOKUP($A341,'Concrete Beam Schedule'!$A$2:$Q$2902,T$2,0)&lt;&gt;D341,"Beam Revised","")</f>
        <v>#N/A</v>
      </c>
      <c r="U341" s="7" t="e">
        <f>IF(VLOOKUP($A341,'Concrete Beam Schedule'!$A$2:$Q$2902,U$2,0)&lt;&gt;E341,"Beam Revised","")</f>
        <v>#N/A</v>
      </c>
      <c r="V341" s="7" t="e">
        <f>IF(VLOOKUP($A341,'Concrete Beam Schedule'!$A$2:$Q$2902,V$2,0)&lt;&gt;F341,"Beam Revised","")</f>
        <v>#N/A</v>
      </c>
      <c r="W341" s="7" t="e">
        <f>IF(VLOOKUP($A341,'Concrete Beam Schedule'!$A$2:$Q$2902,W$2,0)&lt;&gt;G341,"Beam Revised","")</f>
        <v>#N/A</v>
      </c>
      <c r="X341" s="7" t="e">
        <f>IF(VLOOKUP($A341,'Concrete Beam Schedule'!$A$2:$Q$2902,X$2,0)&lt;&gt;H341,"Beam Revised","")</f>
        <v>#N/A</v>
      </c>
      <c r="Y341" s="7" t="e">
        <f>IF(VLOOKUP($A341,'Concrete Beam Schedule'!$A$2:$Q$2902,Y$2,0)&lt;&gt;I341,"Beam Revised","")</f>
        <v>#N/A</v>
      </c>
      <c r="Z341" s="7" t="e">
        <f>IF(VLOOKUP($A341,'Concrete Beam Schedule'!$A$2:$Q$2902,Z$2,0)&lt;&gt;J341,"Beam Revised","")</f>
        <v>#N/A</v>
      </c>
      <c r="AA341" s="7" t="e">
        <f>IF(VLOOKUP($A341,'Concrete Beam Schedule'!$A$2:$Q$2902,AA$2,0)&lt;&gt;K341,"Beam Revised","")</f>
        <v>#N/A</v>
      </c>
      <c r="AB341" s="7" t="e">
        <f>IF(VLOOKUP($A341,'Concrete Beam Schedule'!$A$2:$Q$2902,AB$2,0)&lt;&gt;L341,"Beam Revised","")</f>
        <v>#N/A</v>
      </c>
      <c r="AC341" s="7" t="e">
        <f>IF(VLOOKUP($A341,'Concrete Beam Schedule'!$A$2:$Q$2902,AC$2,0)&lt;&gt;M341,"Beam Revised","")</f>
        <v>#N/A</v>
      </c>
      <c r="AD341" s="7" t="e">
        <f>IF(VLOOKUP($A341,'Concrete Beam Schedule'!$A$2:$Q$2902,AD$2,0)&lt;&gt;N341,"Beam Revised","")</f>
        <v>#N/A</v>
      </c>
      <c r="AE341" s="7" t="e">
        <f>IF(VLOOKUP($A341,'Concrete Beam Schedule'!$A$2:$Q$2902,AE$2,0)&lt;&gt;O341,"Beam Revised","")</f>
        <v>#N/A</v>
      </c>
    </row>
    <row r="342" spans="1:31" ht="25.5" customHeight="1" x14ac:dyDescent="0.25">
      <c r="A342" s="17"/>
      <c r="B342" s="17"/>
      <c r="C342" s="17"/>
      <c r="D342" s="17"/>
      <c r="E342" s="17"/>
      <c r="F342" s="17"/>
      <c r="G342" s="17"/>
      <c r="H342" s="17"/>
      <c r="I342" s="17"/>
      <c r="J342" s="17"/>
      <c r="K342" s="17"/>
      <c r="L342" s="17"/>
      <c r="M342" s="17"/>
      <c r="N342" s="17"/>
      <c r="O342" s="17"/>
      <c r="Q342" s="7">
        <f t="shared" si="5"/>
        <v>0</v>
      </c>
      <c r="R342" s="7" t="e">
        <f>IF(VLOOKUP($A342,'Concrete Beam Schedule'!$A$2:$Q$2902,R$2,0)&lt;&gt;B342,VLOOKUP($A342,'Concrete Beam Schedule'!$A$2:$Q$2902,R$2,0),"")</f>
        <v>#N/A</v>
      </c>
      <c r="S342" s="7" t="e">
        <f>IF(VLOOKUP($A342,'Concrete Beam Schedule'!$A$2:$Q$2902,S$2,0)&lt;&gt;C342,VLOOKUP($A342,'Concrete Beam Schedule'!$A$2:$Q$2902,S$2,0),"")</f>
        <v>#N/A</v>
      </c>
      <c r="T342" s="7" t="e">
        <f>IF(VLOOKUP($A342,'Concrete Beam Schedule'!$A$2:$Q$2902,T$2,0)&lt;&gt;D342,"Beam Revised","")</f>
        <v>#N/A</v>
      </c>
      <c r="U342" s="7" t="e">
        <f>IF(VLOOKUP($A342,'Concrete Beam Schedule'!$A$2:$Q$2902,U$2,0)&lt;&gt;E342,"Beam Revised","")</f>
        <v>#N/A</v>
      </c>
      <c r="V342" s="7" t="e">
        <f>IF(VLOOKUP($A342,'Concrete Beam Schedule'!$A$2:$Q$2902,V$2,0)&lt;&gt;F342,"Beam Revised","")</f>
        <v>#N/A</v>
      </c>
      <c r="W342" s="7" t="e">
        <f>IF(VLOOKUP($A342,'Concrete Beam Schedule'!$A$2:$Q$2902,W$2,0)&lt;&gt;G342,"Beam Revised","")</f>
        <v>#N/A</v>
      </c>
      <c r="X342" s="7" t="e">
        <f>IF(VLOOKUP($A342,'Concrete Beam Schedule'!$A$2:$Q$2902,X$2,0)&lt;&gt;H342,"Beam Revised","")</f>
        <v>#N/A</v>
      </c>
      <c r="Y342" s="7" t="e">
        <f>IF(VLOOKUP($A342,'Concrete Beam Schedule'!$A$2:$Q$2902,Y$2,0)&lt;&gt;I342,"Beam Revised","")</f>
        <v>#N/A</v>
      </c>
      <c r="Z342" s="7" t="e">
        <f>IF(VLOOKUP($A342,'Concrete Beam Schedule'!$A$2:$Q$2902,Z$2,0)&lt;&gt;J342,"Beam Revised","")</f>
        <v>#N/A</v>
      </c>
      <c r="AA342" s="7" t="e">
        <f>IF(VLOOKUP($A342,'Concrete Beam Schedule'!$A$2:$Q$2902,AA$2,0)&lt;&gt;K342,"Beam Revised","")</f>
        <v>#N/A</v>
      </c>
      <c r="AB342" s="7" t="e">
        <f>IF(VLOOKUP($A342,'Concrete Beam Schedule'!$A$2:$Q$2902,AB$2,0)&lt;&gt;L342,"Beam Revised","")</f>
        <v>#N/A</v>
      </c>
      <c r="AC342" s="7" t="e">
        <f>IF(VLOOKUP($A342,'Concrete Beam Schedule'!$A$2:$Q$2902,AC$2,0)&lt;&gt;M342,"Beam Revised","")</f>
        <v>#N/A</v>
      </c>
      <c r="AD342" s="7" t="e">
        <f>IF(VLOOKUP($A342,'Concrete Beam Schedule'!$A$2:$Q$2902,AD$2,0)&lt;&gt;N342,"Beam Revised","")</f>
        <v>#N/A</v>
      </c>
      <c r="AE342" s="7" t="e">
        <f>IF(VLOOKUP($A342,'Concrete Beam Schedule'!$A$2:$Q$2902,AE$2,0)&lt;&gt;O342,"Beam Revised","")</f>
        <v>#N/A</v>
      </c>
    </row>
    <row r="343" spans="1:31" ht="25.5" customHeight="1" x14ac:dyDescent="0.25">
      <c r="A343" s="17"/>
      <c r="B343" s="17"/>
      <c r="C343" s="17"/>
      <c r="D343" s="17"/>
      <c r="E343" s="17"/>
      <c r="F343" s="17"/>
      <c r="G343" s="17"/>
      <c r="H343" s="17"/>
      <c r="I343" s="17"/>
      <c r="J343" s="17"/>
      <c r="K343" s="17"/>
      <c r="L343" s="17"/>
      <c r="M343" s="17"/>
      <c r="N343" s="17"/>
      <c r="O343" s="17"/>
      <c r="Q343" s="7">
        <f t="shared" si="5"/>
        <v>0</v>
      </c>
      <c r="R343" s="7" t="e">
        <f>IF(VLOOKUP($A343,'Concrete Beam Schedule'!$A$2:$Q$2902,R$2,0)&lt;&gt;B343,VLOOKUP($A343,'Concrete Beam Schedule'!$A$2:$Q$2902,R$2,0),"")</f>
        <v>#N/A</v>
      </c>
      <c r="S343" s="7" t="e">
        <f>IF(VLOOKUP($A343,'Concrete Beam Schedule'!$A$2:$Q$2902,S$2,0)&lt;&gt;C343,VLOOKUP($A343,'Concrete Beam Schedule'!$A$2:$Q$2902,S$2,0),"")</f>
        <v>#N/A</v>
      </c>
      <c r="T343" s="7" t="e">
        <f>IF(VLOOKUP($A343,'Concrete Beam Schedule'!$A$2:$Q$2902,T$2,0)&lt;&gt;D343,"Beam Revised","")</f>
        <v>#N/A</v>
      </c>
      <c r="U343" s="7" t="e">
        <f>IF(VLOOKUP($A343,'Concrete Beam Schedule'!$A$2:$Q$2902,U$2,0)&lt;&gt;E343,"Beam Revised","")</f>
        <v>#N/A</v>
      </c>
      <c r="V343" s="7" t="e">
        <f>IF(VLOOKUP($A343,'Concrete Beam Schedule'!$A$2:$Q$2902,V$2,0)&lt;&gt;F343,"Beam Revised","")</f>
        <v>#N/A</v>
      </c>
      <c r="W343" s="7" t="e">
        <f>IF(VLOOKUP($A343,'Concrete Beam Schedule'!$A$2:$Q$2902,W$2,0)&lt;&gt;G343,"Beam Revised","")</f>
        <v>#N/A</v>
      </c>
      <c r="X343" s="7" t="e">
        <f>IF(VLOOKUP($A343,'Concrete Beam Schedule'!$A$2:$Q$2902,X$2,0)&lt;&gt;H343,"Beam Revised","")</f>
        <v>#N/A</v>
      </c>
      <c r="Y343" s="7" t="e">
        <f>IF(VLOOKUP($A343,'Concrete Beam Schedule'!$A$2:$Q$2902,Y$2,0)&lt;&gt;I343,"Beam Revised","")</f>
        <v>#N/A</v>
      </c>
      <c r="Z343" s="7" t="e">
        <f>IF(VLOOKUP($A343,'Concrete Beam Schedule'!$A$2:$Q$2902,Z$2,0)&lt;&gt;J343,"Beam Revised","")</f>
        <v>#N/A</v>
      </c>
      <c r="AA343" s="7" t="e">
        <f>IF(VLOOKUP($A343,'Concrete Beam Schedule'!$A$2:$Q$2902,AA$2,0)&lt;&gt;K343,"Beam Revised","")</f>
        <v>#N/A</v>
      </c>
      <c r="AB343" s="7" t="e">
        <f>IF(VLOOKUP($A343,'Concrete Beam Schedule'!$A$2:$Q$2902,AB$2,0)&lt;&gt;L343,"Beam Revised","")</f>
        <v>#N/A</v>
      </c>
      <c r="AC343" s="7" t="e">
        <f>IF(VLOOKUP($A343,'Concrete Beam Schedule'!$A$2:$Q$2902,AC$2,0)&lt;&gt;M343,"Beam Revised","")</f>
        <v>#N/A</v>
      </c>
      <c r="AD343" s="7" t="e">
        <f>IF(VLOOKUP($A343,'Concrete Beam Schedule'!$A$2:$Q$2902,AD$2,0)&lt;&gt;N343,"Beam Revised","")</f>
        <v>#N/A</v>
      </c>
      <c r="AE343" s="7" t="e">
        <f>IF(VLOOKUP($A343,'Concrete Beam Schedule'!$A$2:$Q$2902,AE$2,0)&lt;&gt;O343,"Beam Revised","")</f>
        <v>#N/A</v>
      </c>
    </row>
    <row r="344" spans="1:31" ht="25.5" customHeight="1" x14ac:dyDescent="0.25">
      <c r="A344" s="17"/>
      <c r="B344" s="17"/>
      <c r="C344" s="17"/>
      <c r="D344" s="17"/>
      <c r="E344" s="17"/>
      <c r="F344" s="17"/>
      <c r="G344" s="17"/>
      <c r="H344" s="17"/>
      <c r="I344" s="17"/>
      <c r="J344" s="17"/>
      <c r="K344" s="17"/>
      <c r="L344" s="17"/>
      <c r="M344" s="17"/>
      <c r="N344" s="17"/>
      <c r="O344" s="17"/>
      <c r="Q344" s="7">
        <f t="shared" si="5"/>
        <v>0</v>
      </c>
      <c r="R344" s="7" t="e">
        <f>IF(VLOOKUP($A344,'Concrete Beam Schedule'!$A$2:$Q$2902,R$2,0)&lt;&gt;B344,VLOOKUP($A344,'Concrete Beam Schedule'!$A$2:$Q$2902,R$2,0),"")</f>
        <v>#N/A</v>
      </c>
      <c r="S344" s="7" t="e">
        <f>IF(VLOOKUP($A344,'Concrete Beam Schedule'!$A$2:$Q$2902,S$2,0)&lt;&gt;C344,VLOOKUP($A344,'Concrete Beam Schedule'!$A$2:$Q$2902,S$2,0),"")</f>
        <v>#N/A</v>
      </c>
      <c r="T344" s="7" t="e">
        <f>IF(VLOOKUP($A344,'Concrete Beam Schedule'!$A$2:$Q$2902,T$2,0)&lt;&gt;D344,"Beam Revised","")</f>
        <v>#N/A</v>
      </c>
      <c r="U344" s="7" t="e">
        <f>IF(VLOOKUP($A344,'Concrete Beam Schedule'!$A$2:$Q$2902,U$2,0)&lt;&gt;E344,"Beam Revised","")</f>
        <v>#N/A</v>
      </c>
      <c r="V344" s="7" t="e">
        <f>IF(VLOOKUP($A344,'Concrete Beam Schedule'!$A$2:$Q$2902,V$2,0)&lt;&gt;F344,"Beam Revised","")</f>
        <v>#N/A</v>
      </c>
      <c r="W344" s="7" t="e">
        <f>IF(VLOOKUP($A344,'Concrete Beam Schedule'!$A$2:$Q$2902,W$2,0)&lt;&gt;G344,"Beam Revised","")</f>
        <v>#N/A</v>
      </c>
      <c r="X344" s="7" t="e">
        <f>IF(VLOOKUP($A344,'Concrete Beam Schedule'!$A$2:$Q$2902,X$2,0)&lt;&gt;H344,"Beam Revised","")</f>
        <v>#N/A</v>
      </c>
      <c r="Y344" s="7" t="e">
        <f>IF(VLOOKUP($A344,'Concrete Beam Schedule'!$A$2:$Q$2902,Y$2,0)&lt;&gt;I344,"Beam Revised","")</f>
        <v>#N/A</v>
      </c>
      <c r="Z344" s="7" t="e">
        <f>IF(VLOOKUP($A344,'Concrete Beam Schedule'!$A$2:$Q$2902,Z$2,0)&lt;&gt;J344,"Beam Revised","")</f>
        <v>#N/A</v>
      </c>
      <c r="AA344" s="7" t="e">
        <f>IF(VLOOKUP($A344,'Concrete Beam Schedule'!$A$2:$Q$2902,AA$2,0)&lt;&gt;K344,"Beam Revised","")</f>
        <v>#N/A</v>
      </c>
      <c r="AB344" s="7" t="e">
        <f>IF(VLOOKUP($A344,'Concrete Beam Schedule'!$A$2:$Q$2902,AB$2,0)&lt;&gt;L344,"Beam Revised","")</f>
        <v>#N/A</v>
      </c>
      <c r="AC344" s="7" t="e">
        <f>IF(VLOOKUP($A344,'Concrete Beam Schedule'!$A$2:$Q$2902,AC$2,0)&lt;&gt;M344,"Beam Revised","")</f>
        <v>#N/A</v>
      </c>
      <c r="AD344" s="7" t="e">
        <f>IF(VLOOKUP($A344,'Concrete Beam Schedule'!$A$2:$Q$2902,AD$2,0)&lt;&gt;N344,"Beam Revised","")</f>
        <v>#N/A</v>
      </c>
      <c r="AE344" s="7" t="e">
        <f>IF(VLOOKUP($A344,'Concrete Beam Schedule'!$A$2:$Q$2902,AE$2,0)&lt;&gt;O344,"Beam Revised","")</f>
        <v>#N/A</v>
      </c>
    </row>
    <row r="345" spans="1:31" ht="25.5" customHeight="1" x14ac:dyDescent="0.25">
      <c r="A345" s="17"/>
      <c r="B345" s="17"/>
      <c r="C345" s="17"/>
      <c r="D345" s="17"/>
      <c r="E345" s="17"/>
      <c r="F345" s="17"/>
      <c r="G345" s="17"/>
      <c r="H345" s="17"/>
      <c r="I345" s="17"/>
      <c r="J345" s="17"/>
      <c r="K345" s="17"/>
      <c r="L345" s="17"/>
      <c r="M345" s="17"/>
      <c r="N345" s="17"/>
      <c r="O345" s="17"/>
      <c r="Q345" s="7">
        <f t="shared" si="5"/>
        <v>0</v>
      </c>
      <c r="R345" s="7" t="e">
        <f>IF(VLOOKUP($A345,'Concrete Beam Schedule'!$A$2:$Q$2902,R$2,0)&lt;&gt;B345,VLOOKUP($A345,'Concrete Beam Schedule'!$A$2:$Q$2902,R$2,0),"")</f>
        <v>#N/A</v>
      </c>
      <c r="S345" s="7" t="e">
        <f>IF(VLOOKUP($A345,'Concrete Beam Schedule'!$A$2:$Q$2902,S$2,0)&lt;&gt;C345,VLOOKUP($A345,'Concrete Beam Schedule'!$A$2:$Q$2902,S$2,0),"")</f>
        <v>#N/A</v>
      </c>
      <c r="T345" s="7" t="e">
        <f>IF(VLOOKUP($A345,'Concrete Beam Schedule'!$A$2:$Q$2902,T$2,0)&lt;&gt;D345,"Beam Revised","")</f>
        <v>#N/A</v>
      </c>
      <c r="U345" s="7" t="e">
        <f>IF(VLOOKUP($A345,'Concrete Beam Schedule'!$A$2:$Q$2902,U$2,0)&lt;&gt;E345,"Beam Revised","")</f>
        <v>#N/A</v>
      </c>
      <c r="V345" s="7" t="e">
        <f>IF(VLOOKUP($A345,'Concrete Beam Schedule'!$A$2:$Q$2902,V$2,0)&lt;&gt;F345,"Beam Revised","")</f>
        <v>#N/A</v>
      </c>
      <c r="W345" s="7" t="e">
        <f>IF(VLOOKUP($A345,'Concrete Beam Schedule'!$A$2:$Q$2902,W$2,0)&lt;&gt;G345,"Beam Revised","")</f>
        <v>#N/A</v>
      </c>
      <c r="X345" s="7" t="e">
        <f>IF(VLOOKUP($A345,'Concrete Beam Schedule'!$A$2:$Q$2902,X$2,0)&lt;&gt;H345,"Beam Revised","")</f>
        <v>#N/A</v>
      </c>
      <c r="Y345" s="7" t="e">
        <f>IF(VLOOKUP($A345,'Concrete Beam Schedule'!$A$2:$Q$2902,Y$2,0)&lt;&gt;I345,"Beam Revised","")</f>
        <v>#N/A</v>
      </c>
      <c r="Z345" s="7" t="e">
        <f>IF(VLOOKUP($A345,'Concrete Beam Schedule'!$A$2:$Q$2902,Z$2,0)&lt;&gt;J345,"Beam Revised","")</f>
        <v>#N/A</v>
      </c>
      <c r="AA345" s="7" t="e">
        <f>IF(VLOOKUP($A345,'Concrete Beam Schedule'!$A$2:$Q$2902,AA$2,0)&lt;&gt;K345,"Beam Revised","")</f>
        <v>#N/A</v>
      </c>
      <c r="AB345" s="7" t="e">
        <f>IF(VLOOKUP($A345,'Concrete Beam Schedule'!$A$2:$Q$2902,AB$2,0)&lt;&gt;L345,"Beam Revised","")</f>
        <v>#N/A</v>
      </c>
      <c r="AC345" s="7" t="e">
        <f>IF(VLOOKUP($A345,'Concrete Beam Schedule'!$A$2:$Q$2902,AC$2,0)&lt;&gt;M345,"Beam Revised","")</f>
        <v>#N/A</v>
      </c>
      <c r="AD345" s="7" t="e">
        <f>IF(VLOOKUP($A345,'Concrete Beam Schedule'!$A$2:$Q$2902,AD$2,0)&lt;&gt;N345,"Beam Revised","")</f>
        <v>#N/A</v>
      </c>
      <c r="AE345" s="7" t="e">
        <f>IF(VLOOKUP($A345,'Concrete Beam Schedule'!$A$2:$Q$2902,AE$2,0)&lt;&gt;O345,"Beam Revised","")</f>
        <v>#N/A</v>
      </c>
    </row>
    <row r="346" spans="1:31" ht="25.5" customHeight="1" x14ac:dyDescent="0.25">
      <c r="A346" s="17"/>
      <c r="B346" s="17"/>
      <c r="C346" s="17"/>
      <c r="D346" s="17"/>
      <c r="E346" s="17"/>
      <c r="F346" s="17"/>
      <c r="G346" s="17"/>
      <c r="H346" s="17"/>
      <c r="I346" s="17"/>
      <c r="J346" s="17"/>
      <c r="K346" s="17"/>
      <c r="L346" s="17"/>
      <c r="M346" s="17"/>
      <c r="N346" s="17"/>
      <c r="O346" s="17"/>
      <c r="Q346" s="7">
        <f t="shared" si="5"/>
        <v>0</v>
      </c>
      <c r="R346" s="7" t="e">
        <f>IF(VLOOKUP($A346,'Concrete Beam Schedule'!$A$2:$Q$2902,R$2,0)&lt;&gt;B346,VLOOKUP($A346,'Concrete Beam Schedule'!$A$2:$Q$2902,R$2,0),"")</f>
        <v>#N/A</v>
      </c>
      <c r="S346" s="7" t="e">
        <f>IF(VLOOKUP($A346,'Concrete Beam Schedule'!$A$2:$Q$2902,S$2,0)&lt;&gt;C346,VLOOKUP($A346,'Concrete Beam Schedule'!$A$2:$Q$2902,S$2,0),"")</f>
        <v>#N/A</v>
      </c>
      <c r="T346" s="7" t="e">
        <f>IF(VLOOKUP($A346,'Concrete Beam Schedule'!$A$2:$Q$2902,T$2,0)&lt;&gt;D346,"Beam Revised","")</f>
        <v>#N/A</v>
      </c>
      <c r="U346" s="7" t="e">
        <f>IF(VLOOKUP($A346,'Concrete Beam Schedule'!$A$2:$Q$2902,U$2,0)&lt;&gt;E346,"Beam Revised","")</f>
        <v>#N/A</v>
      </c>
      <c r="V346" s="7" t="e">
        <f>IF(VLOOKUP($A346,'Concrete Beam Schedule'!$A$2:$Q$2902,V$2,0)&lt;&gt;F346,"Beam Revised","")</f>
        <v>#N/A</v>
      </c>
      <c r="W346" s="7" t="e">
        <f>IF(VLOOKUP($A346,'Concrete Beam Schedule'!$A$2:$Q$2902,W$2,0)&lt;&gt;G346,"Beam Revised","")</f>
        <v>#N/A</v>
      </c>
      <c r="X346" s="7" t="e">
        <f>IF(VLOOKUP($A346,'Concrete Beam Schedule'!$A$2:$Q$2902,X$2,0)&lt;&gt;H346,"Beam Revised","")</f>
        <v>#N/A</v>
      </c>
      <c r="Y346" s="7" t="e">
        <f>IF(VLOOKUP($A346,'Concrete Beam Schedule'!$A$2:$Q$2902,Y$2,0)&lt;&gt;I346,"Beam Revised","")</f>
        <v>#N/A</v>
      </c>
      <c r="Z346" s="7" t="e">
        <f>IF(VLOOKUP($A346,'Concrete Beam Schedule'!$A$2:$Q$2902,Z$2,0)&lt;&gt;J346,"Beam Revised","")</f>
        <v>#N/A</v>
      </c>
      <c r="AA346" s="7" t="e">
        <f>IF(VLOOKUP($A346,'Concrete Beam Schedule'!$A$2:$Q$2902,AA$2,0)&lt;&gt;K346,"Beam Revised","")</f>
        <v>#N/A</v>
      </c>
      <c r="AB346" s="7" t="e">
        <f>IF(VLOOKUP($A346,'Concrete Beam Schedule'!$A$2:$Q$2902,AB$2,0)&lt;&gt;L346,"Beam Revised","")</f>
        <v>#N/A</v>
      </c>
      <c r="AC346" s="7" t="e">
        <f>IF(VLOOKUP($A346,'Concrete Beam Schedule'!$A$2:$Q$2902,AC$2,0)&lt;&gt;M346,"Beam Revised","")</f>
        <v>#N/A</v>
      </c>
      <c r="AD346" s="7" t="e">
        <f>IF(VLOOKUP($A346,'Concrete Beam Schedule'!$A$2:$Q$2902,AD$2,0)&lt;&gt;N346,"Beam Revised","")</f>
        <v>#N/A</v>
      </c>
      <c r="AE346" s="7" t="e">
        <f>IF(VLOOKUP($A346,'Concrete Beam Schedule'!$A$2:$Q$2902,AE$2,0)&lt;&gt;O346,"Beam Revised","")</f>
        <v>#N/A</v>
      </c>
    </row>
    <row r="347" spans="1:31" ht="25.5" customHeight="1" x14ac:dyDescent="0.25">
      <c r="A347" s="17"/>
      <c r="B347" s="17"/>
      <c r="C347" s="17"/>
      <c r="D347" s="17"/>
      <c r="E347" s="17"/>
      <c r="F347" s="17"/>
      <c r="G347" s="17"/>
      <c r="H347" s="17"/>
      <c r="I347" s="17"/>
      <c r="J347" s="17"/>
      <c r="K347" s="17"/>
      <c r="L347" s="17"/>
      <c r="M347" s="17"/>
      <c r="N347" s="17"/>
      <c r="O347" s="17"/>
      <c r="Q347" s="7">
        <f t="shared" si="5"/>
        <v>0</v>
      </c>
      <c r="R347" s="7" t="e">
        <f>IF(VLOOKUP($A347,'Concrete Beam Schedule'!$A$2:$Q$2902,R$2,0)&lt;&gt;B347,VLOOKUP($A347,'Concrete Beam Schedule'!$A$2:$Q$2902,R$2,0),"")</f>
        <v>#N/A</v>
      </c>
      <c r="S347" s="7" t="e">
        <f>IF(VLOOKUP($A347,'Concrete Beam Schedule'!$A$2:$Q$2902,S$2,0)&lt;&gt;C347,VLOOKUP($A347,'Concrete Beam Schedule'!$A$2:$Q$2902,S$2,0),"")</f>
        <v>#N/A</v>
      </c>
      <c r="T347" s="7" t="e">
        <f>IF(VLOOKUP($A347,'Concrete Beam Schedule'!$A$2:$Q$2902,T$2,0)&lt;&gt;D347,"Beam Revised","")</f>
        <v>#N/A</v>
      </c>
      <c r="U347" s="7" t="e">
        <f>IF(VLOOKUP($A347,'Concrete Beam Schedule'!$A$2:$Q$2902,U$2,0)&lt;&gt;E347,"Beam Revised","")</f>
        <v>#N/A</v>
      </c>
      <c r="V347" s="7" t="e">
        <f>IF(VLOOKUP($A347,'Concrete Beam Schedule'!$A$2:$Q$2902,V$2,0)&lt;&gt;F347,"Beam Revised","")</f>
        <v>#N/A</v>
      </c>
      <c r="W347" s="7" t="e">
        <f>IF(VLOOKUP($A347,'Concrete Beam Schedule'!$A$2:$Q$2902,W$2,0)&lt;&gt;G347,"Beam Revised","")</f>
        <v>#N/A</v>
      </c>
      <c r="X347" s="7" t="e">
        <f>IF(VLOOKUP($A347,'Concrete Beam Schedule'!$A$2:$Q$2902,X$2,0)&lt;&gt;H347,"Beam Revised","")</f>
        <v>#N/A</v>
      </c>
      <c r="Y347" s="7" t="e">
        <f>IF(VLOOKUP($A347,'Concrete Beam Schedule'!$A$2:$Q$2902,Y$2,0)&lt;&gt;I347,"Beam Revised","")</f>
        <v>#N/A</v>
      </c>
      <c r="Z347" s="7" t="e">
        <f>IF(VLOOKUP($A347,'Concrete Beam Schedule'!$A$2:$Q$2902,Z$2,0)&lt;&gt;J347,"Beam Revised","")</f>
        <v>#N/A</v>
      </c>
      <c r="AA347" s="7" t="e">
        <f>IF(VLOOKUP($A347,'Concrete Beam Schedule'!$A$2:$Q$2902,AA$2,0)&lt;&gt;K347,"Beam Revised","")</f>
        <v>#N/A</v>
      </c>
      <c r="AB347" s="7" t="e">
        <f>IF(VLOOKUP($A347,'Concrete Beam Schedule'!$A$2:$Q$2902,AB$2,0)&lt;&gt;L347,"Beam Revised","")</f>
        <v>#N/A</v>
      </c>
      <c r="AC347" s="7" t="e">
        <f>IF(VLOOKUP($A347,'Concrete Beam Schedule'!$A$2:$Q$2902,AC$2,0)&lt;&gt;M347,"Beam Revised","")</f>
        <v>#N/A</v>
      </c>
      <c r="AD347" s="7" t="e">
        <f>IF(VLOOKUP($A347,'Concrete Beam Schedule'!$A$2:$Q$2902,AD$2,0)&lt;&gt;N347,"Beam Revised","")</f>
        <v>#N/A</v>
      </c>
      <c r="AE347" s="7" t="e">
        <f>IF(VLOOKUP($A347,'Concrete Beam Schedule'!$A$2:$Q$2902,AE$2,0)&lt;&gt;O347,"Beam Revised","")</f>
        <v>#N/A</v>
      </c>
    </row>
    <row r="348" spans="1:31" ht="25.5" customHeight="1" x14ac:dyDescent="0.25">
      <c r="A348" s="17"/>
      <c r="B348" s="17"/>
      <c r="C348" s="17"/>
      <c r="D348" s="17"/>
      <c r="E348" s="17"/>
      <c r="F348" s="17"/>
      <c r="G348" s="17"/>
      <c r="H348" s="17"/>
      <c r="I348" s="17"/>
      <c r="J348" s="17"/>
      <c r="K348" s="17"/>
      <c r="L348" s="17"/>
      <c r="M348" s="17"/>
      <c r="N348" s="17"/>
      <c r="O348" s="17"/>
      <c r="Q348" s="7">
        <f t="shared" si="5"/>
        <v>0</v>
      </c>
      <c r="R348" s="7" t="e">
        <f>IF(VLOOKUP($A348,'Concrete Beam Schedule'!$A$2:$Q$2902,R$2,0)&lt;&gt;B348,VLOOKUP($A348,'Concrete Beam Schedule'!$A$2:$Q$2902,R$2,0),"")</f>
        <v>#N/A</v>
      </c>
      <c r="S348" s="7" t="e">
        <f>IF(VLOOKUP($A348,'Concrete Beam Schedule'!$A$2:$Q$2902,S$2,0)&lt;&gt;C348,VLOOKUP($A348,'Concrete Beam Schedule'!$A$2:$Q$2902,S$2,0),"")</f>
        <v>#N/A</v>
      </c>
      <c r="T348" s="7" t="e">
        <f>IF(VLOOKUP($A348,'Concrete Beam Schedule'!$A$2:$Q$2902,T$2,0)&lt;&gt;D348,"Beam Revised","")</f>
        <v>#N/A</v>
      </c>
      <c r="U348" s="7" t="e">
        <f>IF(VLOOKUP($A348,'Concrete Beam Schedule'!$A$2:$Q$2902,U$2,0)&lt;&gt;E348,"Beam Revised","")</f>
        <v>#N/A</v>
      </c>
      <c r="V348" s="7" t="e">
        <f>IF(VLOOKUP($A348,'Concrete Beam Schedule'!$A$2:$Q$2902,V$2,0)&lt;&gt;F348,"Beam Revised","")</f>
        <v>#N/A</v>
      </c>
      <c r="W348" s="7" t="e">
        <f>IF(VLOOKUP($A348,'Concrete Beam Schedule'!$A$2:$Q$2902,W$2,0)&lt;&gt;G348,"Beam Revised","")</f>
        <v>#N/A</v>
      </c>
      <c r="X348" s="7" t="e">
        <f>IF(VLOOKUP($A348,'Concrete Beam Schedule'!$A$2:$Q$2902,X$2,0)&lt;&gt;H348,"Beam Revised","")</f>
        <v>#N/A</v>
      </c>
      <c r="Y348" s="7" t="e">
        <f>IF(VLOOKUP($A348,'Concrete Beam Schedule'!$A$2:$Q$2902,Y$2,0)&lt;&gt;I348,"Beam Revised","")</f>
        <v>#N/A</v>
      </c>
      <c r="Z348" s="7" t="e">
        <f>IF(VLOOKUP($A348,'Concrete Beam Schedule'!$A$2:$Q$2902,Z$2,0)&lt;&gt;J348,"Beam Revised","")</f>
        <v>#N/A</v>
      </c>
      <c r="AA348" s="7" t="e">
        <f>IF(VLOOKUP($A348,'Concrete Beam Schedule'!$A$2:$Q$2902,AA$2,0)&lt;&gt;K348,"Beam Revised","")</f>
        <v>#N/A</v>
      </c>
      <c r="AB348" s="7" t="e">
        <f>IF(VLOOKUP($A348,'Concrete Beam Schedule'!$A$2:$Q$2902,AB$2,0)&lt;&gt;L348,"Beam Revised","")</f>
        <v>#N/A</v>
      </c>
      <c r="AC348" s="7" t="e">
        <f>IF(VLOOKUP($A348,'Concrete Beam Schedule'!$A$2:$Q$2902,AC$2,0)&lt;&gt;M348,"Beam Revised","")</f>
        <v>#N/A</v>
      </c>
      <c r="AD348" s="7" t="e">
        <f>IF(VLOOKUP($A348,'Concrete Beam Schedule'!$A$2:$Q$2902,AD$2,0)&lt;&gt;N348,"Beam Revised","")</f>
        <v>#N/A</v>
      </c>
      <c r="AE348" s="7" t="e">
        <f>IF(VLOOKUP($A348,'Concrete Beam Schedule'!$A$2:$Q$2902,AE$2,0)&lt;&gt;O348,"Beam Revised","")</f>
        <v>#N/A</v>
      </c>
    </row>
    <row r="349" spans="1:31" ht="25.5" customHeight="1" x14ac:dyDescent="0.25">
      <c r="A349" s="17"/>
      <c r="B349" s="17"/>
      <c r="C349" s="17"/>
      <c r="D349" s="17"/>
      <c r="E349" s="17"/>
      <c r="F349" s="17"/>
      <c r="G349" s="17"/>
      <c r="H349" s="17"/>
      <c r="I349" s="17"/>
      <c r="J349" s="17"/>
      <c r="K349" s="17"/>
      <c r="L349" s="17"/>
      <c r="M349" s="17"/>
      <c r="N349" s="17"/>
      <c r="O349" s="17"/>
      <c r="Q349" s="7">
        <f t="shared" si="5"/>
        <v>0</v>
      </c>
      <c r="R349" s="7" t="e">
        <f>IF(VLOOKUP($A349,'Concrete Beam Schedule'!$A$2:$Q$2902,R$2,0)&lt;&gt;B349,VLOOKUP($A349,'Concrete Beam Schedule'!$A$2:$Q$2902,R$2,0),"")</f>
        <v>#N/A</v>
      </c>
      <c r="S349" s="7" t="e">
        <f>IF(VLOOKUP($A349,'Concrete Beam Schedule'!$A$2:$Q$2902,S$2,0)&lt;&gt;C349,VLOOKUP($A349,'Concrete Beam Schedule'!$A$2:$Q$2902,S$2,0),"")</f>
        <v>#N/A</v>
      </c>
      <c r="T349" s="7" t="e">
        <f>IF(VLOOKUP($A349,'Concrete Beam Schedule'!$A$2:$Q$2902,T$2,0)&lt;&gt;D349,"Beam Revised","")</f>
        <v>#N/A</v>
      </c>
      <c r="U349" s="7" t="e">
        <f>IF(VLOOKUP($A349,'Concrete Beam Schedule'!$A$2:$Q$2902,U$2,0)&lt;&gt;E349,"Beam Revised","")</f>
        <v>#N/A</v>
      </c>
      <c r="V349" s="7" t="e">
        <f>IF(VLOOKUP($A349,'Concrete Beam Schedule'!$A$2:$Q$2902,V$2,0)&lt;&gt;F349,"Beam Revised","")</f>
        <v>#N/A</v>
      </c>
      <c r="W349" s="7" t="e">
        <f>IF(VLOOKUP($A349,'Concrete Beam Schedule'!$A$2:$Q$2902,W$2,0)&lt;&gt;G349,"Beam Revised","")</f>
        <v>#N/A</v>
      </c>
      <c r="X349" s="7" t="e">
        <f>IF(VLOOKUP($A349,'Concrete Beam Schedule'!$A$2:$Q$2902,X$2,0)&lt;&gt;H349,"Beam Revised","")</f>
        <v>#N/A</v>
      </c>
      <c r="Y349" s="7" t="e">
        <f>IF(VLOOKUP($A349,'Concrete Beam Schedule'!$A$2:$Q$2902,Y$2,0)&lt;&gt;I349,"Beam Revised","")</f>
        <v>#N/A</v>
      </c>
      <c r="Z349" s="7" t="e">
        <f>IF(VLOOKUP($A349,'Concrete Beam Schedule'!$A$2:$Q$2902,Z$2,0)&lt;&gt;J349,"Beam Revised","")</f>
        <v>#N/A</v>
      </c>
      <c r="AA349" s="7" t="e">
        <f>IF(VLOOKUP($A349,'Concrete Beam Schedule'!$A$2:$Q$2902,AA$2,0)&lt;&gt;K349,"Beam Revised","")</f>
        <v>#N/A</v>
      </c>
      <c r="AB349" s="7" t="e">
        <f>IF(VLOOKUP($A349,'Concrete Beam Schedule'!$A$2:$Q$2902,AB$2,0)&lt;&gt;L349,"Beam Revised","")</f>
        <v>#N/A</v>
      </c>
      <c r="AC349" s="7" t="e">
        <f>IF(VLOOKUP($A349,'Concrete Beam Schedule'!$A$2:$Q$2902,AC$2,0)&lt;&gt;M349,"Beam Revised","")</f>
        <v>#N/A</v>
      </c>
      <c r="AD349" s="7" t="e">
        <f>IF(VLOOKUP($A349,'Concrete Beam Schedule'!$A$2:$Q$2902,AD$2,0)&lt;&gt;N349,"Beam Revised","")</f>
        <v>#N/A</v>
      </c>
      <c r="AE349" s="7" t="e">
        <f>IF(VLOOKUP($A349,'Concrete Beam Schedule'!$A$2:$Q$2902,AE$2,0)&lt;&gt;O349,"Beam Revised","")</f>
        <v>#N/A</v>
      </c>
    </row>
    <row r="350" spans="1:31" ht="25.5" customHeight="1" x14ac:dyDescent="0.25">
      <c r="A350" s="17"/>
      <c r="B350" s="17"/>
      <c r="C350" s="17"/>
      <c r="D350" s="17"/>
      <c r="E350" s="17"/>
      <c r="F350" s="17"/>
      <c r="G350" s="17"/>
      <c r="H350" s="17"/>
      <c r="I350" s="17"/>
      <c r="J350" s="17"/>
      <c r="K350" s="17"/>
      <c r="L350" s="17"/>
      <c r="M350" s="17"/>
      <c r="N350" s="17"/>
      <c r="O350" s="17"/>
      <c r="Q350" s="7">
        <f t="shared" si="5"/>
        <v>0</v>
      </c>
      <c r="R350" s="7" t="e">
        <f>IF(VLOOKUP($A350,'Concrete Beam Schedule'!$A$2:$Q$2902,R$2,0)&lt;&gt;B350,VLOOKUP($A350,'Concrete Beam Schedule'!$A$2:$Q$2902,R$2,0),"")</f>
        <v>#N/A</v>
      </c>
      <c r="S350" s="7" t="e">
        <f>IF(VLOOKUP($A350,'Concrete Beam Schedule'!$A$2:$Q$2902,S$2,0)&lt;&gt;C350,VLOOKUP($A350,'Concrete Beam Schedule'!$A$2:$Q$2902,S$2,0),"")</f>
        <v>#N/A</v>
      </c>
      <c r="T350" s="7" t="e">
        <f>IF(VLOOKUP($A350,'Concrete Beam Schedule'!$A$2:$Q$2902,T$2,0)&lt;&gt;D350,"Beam Revised","")</f>
        <v>#N/A</v>
      </c>
      <c r="U350" s="7" t="e">
        <f>IF(VLOOKUP($A350,'Concrete Beam Schedule'!$A$2:$Q$2902,U$2,0)&lt;&gt;E350,"Beam Revised","")</f>
        <v>#N/A</v>
      </c>
      <c r="V350" s="7" t="e">
        <f>IF(VLOOKUP($A350,'Concrete Beam Schedule'!$A$2:$Q$2902,V$2,0)&lt;&gt;F350,"Beam Revised","")</f>
        <v>#N/A</v>
      </c>
      <c r="W350" s="7" t="e">
        <f>IF(VLOOKUP($A350,'Concrete Beam Schedule'!$A$2:$Q$2902,W$2,0)&lt;&gt;G350,"Beam Revised","")</f>
        <v>#N/A</v>
      </c>
      <c r="X350" s="7" t="e">
        <f>IF(VLOOKUP($A350,'Concrete Beam Schedule'!$A$2:$Q$2902,X$2,0)&lt;&gt;H350,"Beam Revised","")</f>
        <v>#N/A</v>
      </c>
      <c r="Y350" s="7" t="e">
        <f>IF(VLOOKUP($A350,'Concrete Beam Schedule'!$A$2:$Q$2902,Y$2,0)&lt;&gt;I350,"Beam Revised","")</f>
        <v>#N/A</v>
      </c>
      <c r="Z350" s="7" t="e">
        <f>IF(VLOOKUP($A350,'Concrete Beam Schedule'!$A$2:$Q$2902,Z$2,0)&lt;&gt;J350,"Beam Revised","")</f>
        <v>#N/A</v>
      </c>
      <c r="AA350" s="7" t="e">
        <f>IF(VLOOKUP($A350,'Concrete Beam Schedule'!$A$2:$Q$2902,AA$2,0)&lt;&gt;K350,"Beam Revised","")</f>
        <v>#N/A</v>
      </c>
      <c r="AB350" s="7" t="e">
        <f>IF(VLOOKUP($A350,'Concrete Beam Schedule'!$A$2:$Q$2902,AB$2,0)&lt;&gt;L350,"Beam Revised","")</f>
        <v>#N/A</v>
      </c>
      <c r="AC350" s="7" t="e">
        <f>IF(VLOOKUP($A350,'Concrete Beam Schedule'!$A$2:$Q$2902,AC$2,0)&lt;&gt;M350,"Beam Revised","")</f>
        <v>#N/A</v>
      </c>
      <c r="AD350" s="7" t="e">
        <f>IF(VLOOKUP($A350,'Concrete Beam Schedule'!$A$2:$Q$2902,AD$2,0)&lt;&gt;N350,"Beam Revised","")</f>
        <v>#N/A</v>
      </c>
      <c r="AE350" s="7" t="e">
        <f>IF(VLOOKUP($A350,'Concrete Beam Schedule'!$A$2:$Q$2902,AE$2,0)&lt;&gt;O350,"Beam Revised","")</f>
        <v>#N/A</v>
      </c>
    </row>
    <row r="351" spans="1:31" ht="25.5" customHeight="1" x14ac:dyDescent="0.25">
      <c r="A351" s="17"/>
      <c r="B351" s="17"/>
      <c r="C351" s="17"/>
      <c r="D351" s="17"/>
      <c r="E351" s="17"/>
      <c r="F351" s="17"/>
      <c r="G351" s="17"/>
      <c r="H351" s="17"/>
      <c r="I351" s="17"/>
      <c r="J351" s="17"/>
      <c r="K351" s="17"/>
      <c r="L351" s="17"/>
      <c r="M351" s="17"/>
      <c r="N351" s="17"/>
      <c r="O351" s="17"/>
      <c r="Q351" s="7">
        <f t="shared" si="5"/>
        <v>0</v>
      </c>
      <c r="R351" s="7" t="e">
        <f>IF(VLOOKUP($A351,'Concrete Beam Schedule'!$A$2:$Q$2902,R$2,0)&lt;&gt;B351,VLOOKUP($A351,'Concrete Beam Schedule'!$A$2:$Q$2902,R$2,0),"")</f>
        <v>#N/A</v>
      </c>
      <c r="S351" s="7" t="e">
        <f>IF(VLOOKUP($A351,'Concrete Beam Schedule'!$A$2:$Q$2902,S$2,0)&lt;&gt;C351,VLOOKUP($A351,'Concrete Beam Schedule'!$A$2:$Q$2902,S$2,0),"")</f>
        <v>#N/A</v>
      </c>
      <c r="T351" s="7" t="e">
        <f>IF(VLOOKUP($A351,'Concrete Beam Schedule'!$A$2:$Q$2902,T$2,0)&lt;&gt;D351,"Beam Revised","")</f>
        <v>#N/A</v>
      </c>
      <c r="U351" s="7" t="e">
        <f>IF(VLOOKUP($A351,'Concrete Beam Schedule'!$A$2:$Q$2902,U$2,0)&lt;&gt;E351,"Beam Revised","")</f>
        <v>#N/A</v>
      </c>
      <c r="V351" s="7" t="e">
        <f>IF(VLOOKUP($A351,'Concrete Beam Schedule'!$A$2:$Q$2902,V$2,0)&lt;&gt;F351,"Beam Revised","")</f>
        <v>#N/A</v>
      </c>
      <c r="W351" s="7" t="e">
        <f>IF(VLOOKUP($A351,'Concrete Beam Schedule'!$A$2:$Q$2902,W$2,0)&lt;&gt;G351,"Beam Revised","")</f>
        <v>#N/A</v>
      </c>
      <c r="X351" s="7" t="e">
        <f>IF(VLOOKUP($A351,'Concrete Beam Schedule'!$A$2:$Q$2902,X$2,0)&lt;&gt;H351,"Beam Revised","")</f>
        <v>#N/A</v>
      </c>
      <c r="Y351" s="7" t="e">
        <f>IF(VLOOKUP($A351,'Concrete Beam Schedule'!$A$2:$Q$2902,Y$2,0)&lt;&gt;I351,"Beam Revised","")</f>
        <v>#N/A</v>
      </c>
      <c r="Z351" s="7" t="e">
        <f>IF(VLOOKUP($A351,'Concrete Beam Schedule'!$A$2:$Q$2902,Z$2,0)&lt;&gt;J351,"Beam Revised","")</f>
        <v>#N/A</v>
      </c>
      <c r="AA351" s="7" t="e">
        <f>IF(VLOOKUP($A351,'Concrete Beam Schedule'!$A$2:$Q$2902,AA$2,0)&lt;&gt;K351,"Beam Revised","")</f>
        <v>#N/A</v>
      </c>
      <c r="AB351" s="7" t="e">
        <f>IF(VLOOKUP($A351,'Concrete Beam Schedule'!$A$2:$Q$2902,AB$2,0)&lt;&gt;L351,"Beam Revised","")</f>
        <v>#N/A</v>
      </c>
      <c r="AC351" s="7" t="e">
        <f>IF(VLOOKUP($A351,'Concrete Beam Schedule'!$A$2:$Q$2902,AC$2,0)&lt;&gt;M351,"Beam Revised","")</f>
        <v>#N/A</v>
      </c>
      <c r="AD351" s="7" t="e">
        <f>IF(VLOOKUP($A351,'Concrete Beam Schedule'!$A$2:$Q$2902,AD$2,0)&lt;&gt;N351,"Beam Revised","")</f>
        <v>#N/A</v>
      </c>
      <c r="AE351" s="7" t="e">
        <f>IF(VLOOKUP($A351,'Concrete Beam Schedule'!$A$2:$Q$2902,AE$2,0)&lt;&gt;O351,"Beam Revised","")</f>
        <v>#N/A</v>
      </c>
    </row>
    <row r="352" spans="1:31" ht="25.5" customHeight="1" x14ac:dyDescent="0.25">
      <c r="A352" s="17"/>
      <c r="B352" s="17"/>
      <c r="C352" s="17"/>
      <c r="D352" s="17"/>
      <c r="E352" s="17"/>
      <c r="F352" s="17"/>
      <c r="G352" s="17"/>
      <c r="H352" s="17"/>
      <c r="I352" s="17"/>
      <c r="J352" s="17"/>
      <c r="K352" s="17"/>
      <c r="L352" s="17"/>
      <c r="M352" s="17"/>
      <c r="N352" s="17"/>
      <c r="O352" s="17"/>
      <c r="Q352" s="7">
        <f t="shared" si="5"/>
        <v>0</v>
      </c>
      <c r="R352" s="7" t="e">
        <f>IF(VLOOKUP($A352,'Concrete Beam Schedule'!$A$2:$Q$2902,R$2,0)&lt;&gt;B352,VLOOKUP($A352,'Concrete Beam Schedule'!$A$2:$Q$2902,R$2,0),"")</f>
        <v>#N/A</v>
      </c>
      <c r="S352" s="7" t="e">
        <f>IF(VLOOKUP($A352,'Concrete Beam Schedule'!$A$2:$Q$2902,S$2,0)&lt;&gt;C352,VLOOKUP($A352,'Concrete Beam Schedule'!$A$2:$Q$2902,S$2,0),"")</f>
        <v>#N/A</v>
      </c>
      <c r="T352" s="7" t="e">
        <f>IF(VLOOKUP($A352,'Concrete Beam Schedule'!$A$2:$Q$2902,T$2,0)&lt;&gt;D352,"Beam Revised","")</f>
        <v>#N/A</v>
      </c>
      <c r="U352" s="7" t="e">
        <f>IF(VLOOKUP($A352,'Concrete Beam Schedule'!$A$2:$Q$2902,U$2,0)&lt;&gt;E352,"Beam Revised","")</f>
        <v>#N/A</v>
      </c>
      <c r="V352" s="7" t="e">
        <f>IF(VLOOKUP($A352,'Concrete Beam Schedule'!$A$2:$Q$2902,V$2,0)&lt;&gt;F352,"Beam Revised","")</f>
        <v>#N/A</v>
      </c>
      <c r="W352" s="7" t="e">
        <f>IF(VLOOKUP($A352,'Concrete Beam Schedule'!$A$2:$Q$2902,W$2,0)&lt;&gt;G352,"Beam Revised","")</f>
        <v>#N/A</v>
      </c>
      <c r="X352" s="7" t="e">
        <f>IF(VLOOKUP($A352,'Concrete Beam Schedule'!$A$2:$Q$2902,X$2,0)&lt;&gt;H352,"Beam Revised","")</f>
        <v>#N/A</v>
      </c>
      <c r="Y352" s="7" t="e">
        <f>IF(VLOOKUP($A352,'Concrete Beam Schedule'!$A$2:$Q$2902,Y$2,0)&lt;&gt;I352,"Beam Revised","")</f>
        <v>#N/A</v>
      </c>
      <c r="Z352" s="7" t="e">
        <f>IF(VLOOKUP($A352,'Concrete Beam Schedule'!$A$2:$Q$2902,Z$2,0)&lt;&gt;J352,"Beam Revised","")</f>
        <v>#N/A</v>
      </c>
      <c r="AA352" s="7" t="e">
        <f>IF(VLOOKUP($A352,'Concrete Beam Schedule'!$A$2:$Q$2902,AA$2,0)&lt;&gt;K352,"Beam Revised","")</f>
        <v>#N/A</v>
      </c>
      <c r="AB352" s="7" t="e">
        <f>IF(VLOOKUP($A352,'Concrete Beam Schedule'!$A$2:$Q$2902,AB$2,0)&lt;&gt;L352,"Beam Revised","")</f>
        <v>#N/A</v>
      </c>
      <c r="AC352" s="7" t="e">
        <f>IF(VLOOKUP($A352,'Concrete Beam Schedule'!$A$2:$Q$2902,AC$2,0)&lt;&gt;M352,"Beam Revised","")</f>
        <v>#N/A</v>
      </c>
      <c r="AD352" s="7" t="e">
        <f>IF(VLOOKUP($A352,'Concrete Beam Schedule'!$A$2:$Q$2902,AD$2,0)&lt;&gt;N352,"Beam Revised","")</f>
        <v>#N/A</v>
      </c>
      <c r="AE352" s="7" t="e">
        <f>IF(VLOOKUP($A352,'Concrete Beam Schedule'!$A$2:$Q$2902,AE$2,0)&lt;&gt;O352,"Beam Revised","")</f>
        <v>#N/A</v>
      </c>
    </row>
    <row r="353" spans="1:31" ht="25.5" customHeight="1" x14ac:dyDescent="0.25">
      <c r="A353" s="17"/>
      <c r="B353" s="17"/>
      <c r="C353" s="17"/>
      <c r="D353" s="17"/>
      <c r="E353" s="17"/>
      <c r="F353" s="17"/>
      <c r="G353" s="17"/>
      <c r="H353" s="17"/>
      <c r="I353" s="17"/>
      <c r="J353" s="17"/>
      <c r="K353" s="17"/>
      <c r="L353" s="17"/>
      <c r="M353" s="17"/>
      <c r="N353" s="17"/>
      <c r="O353" s="17"/>
      <c r="Q353" s="7">
        <f t="shared" si="5"/>
        <v>0</v>
      </c>
      <c r="R353" s="7" t="e">
        <f>IF(VLOOKUP($A353,'Concrete Beam Schedule'!$A$2:$Q$2902,R$2,0)&lt;&gt;B353,VLOOKUP($A353,'Concrete Beam Schedule'!$A$2:$Q$2902,R$2,0),"")</f>
        <v>#N/A</v>
      </c>
      <c r="S353" s="7" t="e">
        <f>IF(VLOOKUP($A353,'Concrete Beam Schedule'!$A$2:$Q$2902,S$2,0)&lt;&gt;C353,VLOOKUP($A353,'Concrete Beam Schedule'!$A$2:$Q$2902,S$2,0),"")</f>
        <v>#N/A</v>
      </c>
      <c r="T353" s="7" t="e">
        <f>IF(VLOOKUP($A353,'Concrete Beam Schedule'!$A$2:$Q$2902,T$2,0)&lt;&gt;D353,"Beam Revised","")</f>
        <v>#N/A</v>
      </c>
      <c r="U353" s="7" t="e">
        <f>IF(VLOOKUP($A353,'Concrete Beam Schedule'!$A$2:$Q$2902,U$2,0)&lt;&gt;E353,"Beam Revised","")</f>
        <v>#N/A</v>
      </c>
      <c r="V353" s="7" t="e">
        <f>IF(VLOOKUP($A353,'Concrete Beam Schedule'!$A$2:$Q$2902,V$2,0)&lt;&gt;F353,"Beam Revised","")</f>
        <v>#N/A</v>
      </c>
      <c r="W353" s="7" t="e">
        <f>IF(VLOOKUP($A353,'Concrete Beam Schedule'!$A$2:$Q$2902,W$2,0)&lt;&gt;G353,"Beam Revised","")</f>
        <v>#N/A</v>
      </c>
      <c r="X353" s="7" t="e">
        <f>IF(VLOOKUP($A353,'Concrete Beam Schedule'!$A$2:$Q$2902,X$2,0)&lt;&gt;H353,"Beam Revised","")</f>
        <v>#N/A</v>
      </c>
      <c r="Y353" s="7" t="e">
        <f>IF(VLOOKUP($A353,'Concrete Beam Schedule'!$A$2:$Q$2902,Y$2,0)&lt;&gt;I353,"Beam Revised","")</f>
        <v>#N/A</v>
      </c>
      <c r="Z353" s="7" t="e">
        <f>IF(VLOOKUP($A353,'Concrete Beam Schedule'!$A$2:$Q$2902,Z$2,0)&lt;&gt;J353,"Beam Revised","")</f>
        <v>#N/A</v>
      </c>
      <c r="AA353" s="7" t="e">
        <f>IF(VLOOKUP($A353,'Concrete Beam Schedule'!$A$2:$Q$2902,AA$2,0)&lt;&gt;K353,"Beam Revised","")</f>
        <v>#N/A</v>
      </c>
      <c r="AB353" s="7" t="e">
        <f>IF(VLOOKUP($A353,'Concrete Beam Schedule'!$A$2:$Q$2902,AB$2,0)&lt;&gt;L353,"Beam Revised","")</f>
        <v>#N/A</v>
      </c>
      <c r="AC353" s="7" t="e">
        <f>IF(VLOOKUP($A353,'Concrete Beam Schedule'!$A$2:$Q$2902,AC$2,0)&lt;&gt;M353,"Beam Revised","")</f>
        <v>#N/A</v>
      </c>
      <c r="AD353" s="7" t="e">
        <f>IF(VLOOKUP($A353,'Concrete Beam Schedule'!$A$2:$Q$2902,AD$2,0)&lt;&gt;N353,"Beam Revised","")</f>
        <v>#N/A</v>
      </c>
      <c r="AE353" s="7" t="e">
        <f>IF(VLOOKUP($A353,'Concrete Beam Schedule'!$A$2:$Q$2902,AE$2,0)&lt;&gt;O353,"Beam Revised","")</f>
        <v>#N/A</v>
      </c>
    </row>
    <row r="354" spans="1:31" ht="25.5" customHeight="1" x14ac:dyDescent="0.25">
      <c r="A354" s="17"/>
      <c r="B354" s="17"/>
      <c r="C354" s="17"/>
      <c r="D354" s="17"/>
      <c r="E354" s="17"/>
      <c r="F354" s="17"/>
      <c r="G354" s="17"/>
      <c r="H354" s="17"/>
      <c r="I354" s="17"/>
      <c r="J354" s="17"/>
      <c r="K354" s="17"/>
      <c r="L354" s="17"/>
      <c r="M354" s="17"/>
      <c r="N354" s="17"/>
      <c r="O354" s="17"/>
      <c r="Q354" s="7">
        <f t="shared" si="5"/>
        <v>0</v>
      </c>
      <c r="R354" s="7" t="e">
        <f>IF(VLOOKUP($A354,'Concrete Beam Schedule'!$A$2:$Q$2902,R$2,0)&lt;&gt;B354,VLOOKUP($A354,'Concrete Beam Schedule'!$A$2:$Q$2902,R$2,0),"")</f>
        <v>#N/A</v>
      </c>
      <c r="S354" s="7" t="e">
        <f>IF(VLOOKUP($A354,'Concrete Beam Schedule'!$A$2:$Q$2902,S$2,0)&lt;&gt;C354,VLOOKUP($A354,'Concrete Beam Schedule'!$A$2:$Q$2902,S$2,0),"")</f>
        <v>#N/A</v>
      </c>
      <c r="T354" s="7" t="e">
        <f>IF(VLOOKUP($A354,'Concrete Beam Schedule'!$A$2:$Q$2902,T$2,0)&lt;&gt;D354,"Beam Revised","")</f>
        <v>#N/A</v>
      </c>
      <c r="U354" s="7" t="e">
        <f>IF(VLOOKUP($A354,'Concrete Beam Schedule'!$A$2:$Q$2902,U$2,0)&lt;&gt;E354,"Beam Revised","")</f>
        <v>#N/A</v>
      </c>
      <c r="V354" s="7" t="e">
        <f>IF(VLOOKUP($A354,'Concrete Beam Schedule'!$A$2:$Q$2902,V$2,0)&lt;&gt;F354,"Beam Revised","")</f>
        <v>#N/A</v>
      </c>
      <c r="W354" s="7" t="e">
        <f>IF(VLOOKUP($A354,'Concrete Beam Schedule'!$A$2:$Q$2902,W$2,0)&lt;&gt;G354,"Beam Revised","")</f>
        <v>#N/A</v>
      </c>
      <c r="X354" s="7" t="e">
        <f>IF(VLOOKUP($A354,'Concrete Beam Schedule'!$A$2:$Q$2902,X$2,0)&lt;&gt;H354,"Beam Revised","")</f>
        <v>#N/A</v>
      </c>
      <c r="Y354" s="7" t="e">
        <f>IF(VLOOKUP($A354,'Concrete Beam Schedule'!$A$2:$Q$2902,Y$2,0)&lt;&gt;I354,"Beam Revised","")</f>
        <v>#N/A</v>
      </c>
      <c r="Z354" s="7" t="e">
        <f>IF(VLOOKUP($A354,'Concrete Beam Schedule'!$A$2:$Q$2902,Z$2,0)&lt;&gt;J354,"Beam Revised","")</f>
        <v>#N/A</v>
      </c>
      <c r="AA354" s="7" t="e">
        <f>IF(VLOOKUP($A354,'Concrete Beam Schedule'!$A$2:$Q$2902,AA$2,0)&lt;&gt;K354,"Beam Revised","")</f>
        <v>#N/A</v>
      </c>
      <c r="AB354" s="7" t="e">
        <f>IF(VLOOKUP($A354,'Concrete Beam Schedule'!$A$2:$Q$2902,AB$2,0)&lt;&gt;L354,"Beam Revised","")</f>
        <v>#N/A</v>
      </c>
      <c r="AC354" s="7" t="e">
        <f>IF(VLOOKUP($A354,'Concrete Beam Schedule'!$A$2:$Q$2902,AC$2,0)&lt;&gt;M354,"Beam Revised","")</f>
        <v>#N/A</v>
      </c>
      <c r="AD354" s="7" t="e">
        <f>IF(VLOOKUP($A354,'Concrete Beam Schedule'!$A$2:$Q$2902,AD$2,0)&lt;&gt;N354,"Beam Revised","")</f>
        <v>#N/A</v>
      </c>
      <c r="AE354" s="7" t="e">
        <f>IF(VLOOKUP($A354,'Concrete Beam Schedule'!$A$2:$Q$2902,AE$2,0)&lt;&gt;O354,"Beam Revised","")</f>
        <v>#N/A</v>
      </c>
    </row>
    <row r="355" spans="1:31" ht="25.5" customHeight="1" x14ac:dyDescent="0.25">
      <c r="A355" s="17"/>
      <c r="B355" s="17"/>
      <c r="C355" s="17"/>
      <c r="D355" s="17"/>
      <c r="E355" s="17"/>
      <c r="F355" s="17"/>
      <c r="G355" s="17"/>
      <c r="H355" s="17"/>
      <c r="I355" s="17"/>
      <c r="J355" s="17"/>
      <c r="K355" s="17"/>
      <c r="L355" s="17"/>
      <c r="M355" s="17"/>
      <c r="N355" s="17"/>
      <c r="O355" s="17"/>
      <c r="Q355" s="7">
        <f t="shared" si="5"/>
        <v>0</v>
      </c>
      <c r="R355" s="7" t="e">
        <f>IF(VLOOKUP($A355,'Concrete Beam Schedule'!$A$2:$Q$2902,R$2,0)&lt;&gt;B355,VLOOKUP($A355,'Concrete Beam Schedule'!$A$2:$Q$2902,R$2,0),"")</f>
        <v>#N/A</v>
      </c>
      <c r="S355" s="7" t="e">
        <f>IF(VLOOKUP($A355,'Concrete Beam Schedule'!$A$2:$Q$2902,S$2,0)&lt;&gt;C355,VLOOKUP($A355,'Concrete Beam Schedule'!$A$2:$Q$2902,S$2,0),"")</f>
        <v>#N/A</v>
      </c>
      <c r="T355" s="7" t="e">
        <f>IF(VLOOKUP($A355,'Concrete Beam Schedule'!$A$2:$Q$2902,T$2,0)&lt;&gt;D355,"Beam Revised","")</f>
        <v>#N/A</v>
      </c>
      <c r="U355" s="7" t="e">
        <f>IF(VLOOKUP($A355,'Concrete Beam Schedule'!$A$2:$Q$2902,U$2,0)&lt;&gt;E355,"Beam Revised","")</f>
        <v>#N/A</v>
      </c>
      <c r="V355" s="7" t="e">
        <f>IF(VLOOKUP($A355,'Concrete Beam Schedule'!$A$2:$Q$2902,V$2,0)&lt;&gt;F355,"Beam Revised","")</f>
        <v>#N/A</v>
      </c>
      <c r="W355" s="7" t="e">
        <f>IF(VLOOKUP($A355,'Concrete Beam Schedule'!$A$2:$Q$2902,W$2,0)&lt;&gt;G355,"Beam Revised","")</f>
        <v>#N/A</v>
      </c>
      <c r="X355" s="7" t="e">
        <f>IF(VLOOKUP($A355,'Concrete Beam Schedule'!$A$2:$Q$2902,X$2,0)&lt;&gt;H355,"Beam Revised","")</f>
        <v>#N/A</v>
      </c>
      <c r="Y355" s="7" t="e">
        <f>IF(VLOOKUP($A355,'Concrete Beam Schedule'!$A$2:$Q$2902,Y$2,0)&lt;&gt;I355,"Beam Revised","")</f>
        <v>#N/A</v>
      </c>
      <c r="Z355" s="7" t="e">
        <f>IF(VLOOKUP($A355,'Concrete Beam Schedule'!$A$2:$Q$2902,Z$2,0)&lt;&gt;J355,"Beam Revised","")</f>
        <v>#N/A</v>
      </c>
      <c r="AA355" s="7" t="e">
        <f>IF(VLOOKUP($A355,'Concrete Beam Schedule'!$A$2:$Q$2902,AA$2,0)&lt;&gt;K355,"Beam Revised","")</f>
        <v>#N/A</v>
      </c>
      <c r="AB355" s="7" t="e">
        <f>IF(VLOOKUP($A355,'Concrete Beam Schedule'!$A$2:$Q$2902,AB$2,0)&lt;&gt;L355,"Beam Revised","")</f>
        <v>#N/A</v>
      </c>
      <c r="AC355" s="7" t="e">
        <f>IF(VLOOKUP($A355,'Concrete Beam Schedule'!$A$2:$Q$2902,AC$2,0)&lt;&gt;M355,"Beam Revised","")</f>
        <v>#N/A</v>
      </c>
      <c r="AD355" s="7" t="e">
        <f>IF(VLOOKUP($A355,'Concrete Beam Schedule'!$A$2:$Q$2902,AD$2,0)&lt;&gt;N355,"Beam Revised","")</f>
        <v>#N/A</v>
      </c>
      <c r="AE355" s="7" t="e">
        <f>IF(VLOOKUP($A355,'Concrete Beam Schedule'!$A$2:$Q$2902,AE$2,0)&lt;&gt;O355,"Beam Revised","")</f>
        <v>#N/A</v>
      </c>
    </row>
    <row r="356" spans="1:31" ht="25.5" customHeight="1" x14ac:dyDescent="0.25">
      <c r="A356" s="17"/>
      <c r="B356" s="17"/>
      <c r="C356" s="17"/>
      <c r="D356" s="17"/>
      <c r="E356" s="17"/>
      <c r="F356" s="17"/>
      <c r="G356" s="17"/>
      <c r="H356" s="17"/>
      <c r="I356" s="17"/>
      <c r="J356" s="17"/>
      <c r="K356" s="17"/>
      <c r="L356" s="17"/>
      <c r="M356" s="17"/>
      <c r="N356" s="17"/>
      <c r="O356" s="17"/>
      <c r="Q356" s="7">
        <f t="shared" si="5"/>
        <v>0</v>
      </c>
      <c r="R356" s="7" t="e">
        <f>IF(VLOOKUP($A356,'Concrete Beam Schedule'!$A$2:$Q$2902,R$2,0)&lt;&gt;B356,VLOOKUP($A356,'Concrete Beam Schedule'!$A$2:$Q$2902,R$2,0),"")</f>
        <v>#N/A</v>
      </c>
      <c r="S356" s="7" t="e">
        <f>IF(VLOOKUP($A356,'Concrete Beam Schedule'!$A$2:$Q$2902,S$2,0)&lt;&gt;C356,VLOOKUP($A356,'Concrete Beam Schedule'!$A$2:$Q$2902,S$2,0),"")</f>
        <v>#N/A</v>
      </c>
      <c r="T356" s="7" t="e">
        <f>IF(VLOOKUP($A356,'Concrete Beam Schedule'!$A$2:$Q$2902,T$2,0)&lt;&gt;D356,"Beam Revised","")</f>
        <v>#N/A</v>
      </c>
      <c r="U356" s="7" t="e">
        <f>IF(VLOOKUP($A356,'Concrete Beam Schedule'!$A$2:$Q$2902,U$2,0)&lt;&gt;E356,"Beam Revised","")</f>
        <v>#N/A</v>
      </c>
      <c r="V356" s="7" t="e">
        <f>IF(VLOOKUP($A356,'Concrete Beam Schedule'!$A$2:$Q$2902,V$2,0)&lt;&gt;F356,"Beam Revised","")</f>
        <v>#N/A</v>
      </c>
      <c r="W356" s="7" t="e">
        <f>IF(VLOOKUP($A356,'Concrete Beam Schedule'!$A$2:$Q$2902,W$2,0)&lt;&gt;G356,"Beam Revised","")</f>
        <v>#N/A</v>
      </c>
      <c r="X356" s="7" t="e">
        <f>IF(VLOOKUP($A356,'Concrete Beam Schedule'!$A$2:$Q$2902,X$2,0)&lt;&gt;H356,"Beam Revised","")</f>
        <v>#N/A</v>
      </c>
      <c r="Y356" s="7" t="e">
        <f>IF(VLOOKUP($A356,'Concrete Beam Schedule'!$A$2:$Q$2902,Y$2,0)&lt;&gt;I356,"Beam Revised","")</f>
        <v>#N/A</v>
      </c>
      <c r="Z356" s="7" t="e">
        <f>IF(VLOOKUP($A356,'Concrete Beam Schedule'!$A$2:$Q$2902,Z$2,0)&lt;&gt;J356,"Beam Revised","")</f>
        <v>#N/A</v>
      </c>
      <c r="AA356" s="7" t="e">
        <f>IF(VLOOKUP($A356,'Concrete Beam Schedule'!$A$2:$Q$2902,AA$2,0)&lt;&gt;K356,"Beam Revised","")</f>
        <v>#N/A</v>
      </c>
      <c r="AB356" s="7" t="e">
        <f>IF(VLOOKUP($A356,'Concrete Beam Schedule'!$A$2:$Q$2902,AB$2,0)&lt;&gt;L356,"Beam Revised","")</f>
        <v>#N/A</v>
      </c>
      <c r="AC356" s="7" t="e">
        <f>IF(VLOOKUP($A356,'Concrete Beam Schedule'!$A$2:$Q$2902,AC$2,0)&lt;&gt;M356,"Beam Revised","")</f>
        <v>#N/A</v>
      </c>
      <c r="AD356" s="7" t="e">
        <f>IF(VLOOKUP($A356,'Concrete Beam Schedule'!$A$2:$Q$2902,AD$2,0)&lt;&gt;N356,"Beam Revised","")</f>
        <v>#N/A</v>
      </c>
      <c r="AE356" s="7" t="e">
        <f>IF(VLOOKUP($A356,'Concrete Beam Schedule'!$A$2:$Q$2902,AE$2,0)&lt;&gt;O356,"Beam Revised","")</f>
        <v>#N/A</v>
      </c>
    </row>
    <row r="357" spans="1:31" ht="25.5" customHeight="1" x14ac:dyDescent="0.25">
      <c r="A357" s="17"/>
      <c r="B357" s="17"/>
      <c r="C357" s="17"/>
      <c r="D357" s="17"/>
      <c r="E357" s="17"/>
      <c r="F357" s="17"/>
      <c r="G357" s="17"/>
      <c r="H357" s="17"/>
      <c r="I357" s="17"/>
      <c r="J357" s="17"/>
      <c r="K357" s="17"/>
      <c r="L357" s="17"/>
      <c r="M357" s="17"/>
      <c r="N357" s="17"/>
      <c r="O357" s="17"/>
      <c r="Q357" s="7">
        <f t="shared" si="5"/>
        <v>0</v>
      </c>
      <c r="R357" s="7" t="e">
        <f>IF(VLOOKUP($A357,'Concrete Beam Schedule'!$A$2:$Q$2902,R$2,0)&lt;&gt;B357,VLOOKUP($A357,'Concrete Beam Schedule'!$A$2:$Q$2902,R$2,0),"")</f>
        <v>#N/A</v>
      </c>
      <c r="S357" s="7" t="e">
        <f>IF(VLOOKUP($A357,'Concrete Beam Schedule'!$A$2:$Q$2902,S$2,0)&lt;&gt;C357,VLOOKUP($A357,'Concrete Beam Schedule'!$A$2:$Q$2902,S$2,0),"")</f>
        <v>#N/A</v>
      </c>
      <c r="T357" s="7" t="e">
        <f>IF(VLOOKUP($A357,'Concrete Beam Schedule'!$A$2:$Q$2902,T$2,0)&lt;&gt;D357,"Beam Revised","")</f>
        <v>#N/A</v>
      </c>
      <c r="U357" s="7" t="e">
        <f>IF(VLOOKUP($A357,'Concrete Beam Schedule'!$A$2:$Q$2902,U$2,0)&lt;&gt;E357,"Beam Revised","")</f>
        <v>#N/A</v>
      </c>
      <c r="V357" s="7" t="e">
        <f>IF(VLOOKUP($A357,'Concrete Beam Schedule'!$A$2:$Q$2902,V$2,0)&lt;&gt;F357,"Beam Revised","")</f>
        <v>#N/A</v>
      </c>
      <c r="W357" s="7" t="e">
        <f>IF(VLOOKUP($A357,'Concrete Beam Schedule'!$A$2:$Q$2902,W$2,0)&lt;&gt;G357,"Beam Revised","")</f>
        <v>#N/A</v>
      </c>
      <c r="X357" s="7" t="e">
        <f>IF(VLOOKUP($A357,'Concrete Beam Schedule'!$A$2:$Q$2902,X$2,0)&lt;&gt;H357,"Beam Revised","")</f>
        <v>#N/A</v>
      </c>
      <c r="Y357" s="7" t="e">
        <f>IF(VLOOKUP($A357,'Concrete Beam Schedule'!$A$2:$Q$2902,Y$2,0)&lt;&gt;I357,"Beam Revised","")</f>
        <v>#N/A</v>
      </c>
      <c r="Z357" s="7" t="e">
        <f>IF(VLOOKUP($A357,'Concrete Beam Schedule'!$A$2:$Q$2902,Z$2,0)&lt;&gt;J357,"Beam Revised","")</f>
        <v>#N/A</v>
      </c>
      <c r="AA357" s="7" t="e">
        <f>IF(VLOOKUP($A357,'Concrete Beam Schedule'!$A$2:$Q$2902,AA$2,0)&lt;&gt;K357,"Beam Revised","")</f>
        <v>#N/A</v>
      </c>
      <c r="AB357" s="7" t="e">
        <f>IF(VLOOKUP($A357,'Concrete Beam Schedule'!$A$2:$Q$2902,AB$2,0)&lt;&gt;L357,"Beam Revised","")</f>
        <v>#N/A</v>
      </c>
      <c r="AC357" s="7" t="e">
        <f>IF(VLOOKUP($A357,'Concrete Beam Schedule'!$A$2:$Q$2902,AC$2,0)&lt;&gt;M357,"Beam Revised","")</f>
        <v>#N/A</v>
      </c>
      <c r="AD357" s="7" t="e">
        <f>IF(VLOOKUP($A357,'Concrete Beam Schedule'!$A$2:$Q$2902,AD$2,0)&lt;&gt;N357,"Beam Revised","")</f>
        <v>#N/A</v>
      </c>
      <c r="AE357" s="7" t="e">
        <f>IF(VLOOKUP($A357,'Concrete Beam Schedule'!$A$2:$Q$2902,AE$2,0)&lt;&gt;O357,"Beam Revised","")</f>
        <v>#N/A</v>
      </c>
    </row>
    <row r="358" spans="1:31" ht="25.5" customHeight="1" x14ac:dyDescent="0.25">
      <c r="A358" s="17"/>
      <c r="B358" s="17"/>
      <c r="C358" s="17"/>
      <c r="D358" s="17"/>
      <c r="E358" s="17"/>
      <c r="F358" s="17"/>
      <c r="G358" s="17"/>
      <c r="H358" s="17"/>
      <c r="I358" s="17"/>
      <c r="J358" s="17"/>
      <c r="K358" s="17"/>
      <c r="L358" s="17"/>
      <c r="M358" s="17"/>
      <c r="N358" s="17"/>
      <c r="O358" s="17"/>
      <c r="Q358" s="7">
        <f t="shared" si="5"/>
        <v>0</v>
      </c>
      <c r="R358" s="7" t="e">
        <f>IF(VLOOKUP($A358,'Concrete Beam Schedule'!$A$2:$Q$2902,R$2,0)&lt;&gt;B358,VLOOKUP($A358,'Concrete Beam Schedule'!$A$2:$Q$2902,R$2,0),"")</f>
        <v>#N/A</v>
      </c>
      <c r="S358" s="7" t="e">
        <f>IF(VLOOKUP($A358,'Concrete Beam Schedule'!$A$2:$Q$2902,S$2,0)&lt;&gt;C358,VLOOKUP($A358,'Concrete Beam Schedule'!$A$2:$Q$2902,S$2,0),"")</f>
        <v>#N/A</v>
      </c>
      <c r="T358" s="7" t="e">
        <f>IF(VLOOKUP($A358,'Concrete Beam Schedule'!$A$2:$Q$2902,T$2,0)&lt;&gt;D358,"Beam Revised","")</f>
        <v>#N/A</v>
      </c>
      <c r="U358" s="7" t="e">
        <f>IF(VLOOKUP($A358,'Concrete Beam Schedule'!$A$2:$Q$2902,U$2,0)&lt;&gt;E358,"Beam Revised","")</f>
        <v>#N/A</v>
      </c>
      <c r="V358" s="7" t="e">
        <f>IF(VLOOKUP($A358,'Concrete Beam Schedule'!$A$2:$Q$2902,V$2,0)&lt;&gt;F358,"Beam Revised","")</f>
        <v>#N/A</v>
      </c>
      <c r="W358" s="7" t="e">
        <f>IF(VLOOKUP($A358,'Concrete Beam Schedule'!$A$2:$Q$2902,W$2,0)&lt;&gt;G358,"Beam Revised","")</f>
        <v>#N/A</v>
      </c>
      <c r="X358" s="7" t="e">
        <f>IF(VLOOKUP($A358,'Concrete Beam Schedule'!$A$2:$Q$2902,X$2,0)&lt;&gt;H358,"Beam Revised","")</f>
        <v>#N/A</v>
      </c>
      <c r="Y358" s="7" t="e">
        <f>IF(VLOOKUP($A358,'Concrete Beam Schedule'!$A$2:$Q$2902,Y$2,0)&lt;&gt;I358,"Beam Revised","")</f>
        <v>#N/A</v>
      </c>
      <c r="Z358" s="7" t="e">
        <f>IF(VLOOKUP($A358,'Concrete Beam Schedule'!$A$2:$Q$2902,Z$2,0)&lt;&gt;J358,"Beam Revised","")</f>
        <v>#N/A</v>
      </c>
      <c r="AA358" s="7" t="e">
        <f>IF(VLOOKUP($A358,'Concrete Beam Schedule'!$A$2:$Q$2902,AA$2,0)&lt;&gt;K358,"Beam Revised","")</f>
        <v>#N/A</v>
      </c>
      <c r="AB358" s="7" t="e">
        <f>IF(VLOOKUP($A358,'Concrete Beam Schedule'!$A$2:$Q$2902,AB$2,0)&lt;&gt;L358,"Beam Revised","")</f>
        <v>#N/A</v>
      </c>
      <c r="AC358" s="7" t="e">
        <f>IF(VLOOKUP($A358,'Concrete Beam Schedule'!$A$2:$Q$2902,AC$2,0)&lt;&gt;M358,"Beam Revised","")</f>
        <v>#N/A</v>
      </c>
      <c r="AD358" s="7" t="e">
        <f>IF(VLOOKUP($A358,'Concrete Beam Schedule'!$A$2:$Q$2902,AD$2,0)&lt;&gt;N358,"Beam Revised","")</f>
        <v>#N/A</v>
      </c>
      <c r="AE358" s="7" t="e">
        <f>IF(VLOOKUP($A358,'Concrete Beam Schedule'!$A$2:$Q$2902,AE$2,0)&lt;&gt;O358,"Beam Revised","")</f>
        <v>#N/A</v>
      </c>
    </row>
    <row r="359" spans="1:31" ht="25.5" customHeight="1" x14ac:dyDescent="0.25">
      <c r="A359" s="17"/>
      <c r="B359" s="17"/>
      <c r="C359" s="17"/>
      <c r="D359" s="17"/>
      <c r="E359" s="17"/>
      <c r="F359" s="17"/>
      <c r="G359" s="17"/>
      <c r="H359" s="17"/>
      <c r="I359" s="17"/>
      <c r="J359" s="17"/>
      <c r="K359" s="17"/>
      <c r="L359" s="17"/>
      <c r="M359" s="17"/>
      <c r="N359" s="17"/>
      <c r="O359" s="17"/>
      <c r="Q359" s="7">
        <f t="shared" si="5"/>
        <v>0</v>
      </c>
      <c r="R359" s="7" t="e">
        <f>IF(VLOOKUP($A359,'Concrete Beam Schedule'!$A$2:$Q$2902,R$2,0)&lt;&gt;B359,VLOOKUP($A359,'Concrete Beam Schedule'!$A$2:$Q$2902,R$2,0),"")</f>
        <v>#N/A</v>
      </c>
      <c r="S359" s="7" t="e">
        <f>IF(VLOOKUP($A359,'Concrete Beam Schedule'!$A$2:$Q$2902,S$2,0)&lt;&gt;C359,VLOOKUP($A359,'Concrete Beam Schedule'!$A$2:$Q$2902,S$2,0),"")</f>
        <v>#N/A</v>
      </c>
      <c r="T359" s="7" t="e">
        <f>IF(VLOOKUP($A359,'Concrete Beam Schedule'!$A$2:$Q$2902,T$2,0)&lt;&gt;D359,"Beam Revised","")</f>
        <v>#N/A</v>
      </c>
      <c r="U359" s="7" t="e">
        <f>IF(VLOOKUP($A359,'Concrete Beam Schedule'!$A$2:$Q$2902,U$2,0)&lt;&gt;E359,"Beam Revised","")</f>
        <v>#N/A</v>
      </c>
      <c r="V359" s="7" t="e">
        <f>IF(VLOOKUP($A359,'Concrete Beam Schedule'!$A$2:$Q$2902,V$2,0)&lt;&gt;F359,"Beam Revised","")</f>
        <v>#N/A</v>
      </c>
      <c r="W359" s="7" t="e">
        <f>IF(VLOOKUP($A359,'Concrete Beam Schedule'!$A$2:$Q$2902,W$2,0)&lt;&gt;G359,"Beam Revised","")</f>
        <v>#N/A</v>
      </c>
      <c r="X359" s="7" t="e">
        <f>IF(VLOOKUP($A359,'Concrete Beam Schedule'!$A$2:$Q$2902,X$2,0)&lt;&gt;H359,"Beam Revised","")</f>
        <v>#N/A</v>
      </c>
      <c r="Y359" s="7" t="e">
        <f>IF(VLOOKUP($A359,'Concrete Beam Schedule'!$A$2:$Q$2902,Y$2,0)&lt;&gt;I359,"Beam Revised","")</f>
        <v>#N/A</v>
      </c>
      <c r="Z359" s="7" t="e">
        <f>IF(VLOOKUP($A359,'Concrete Beam Schedule'!$A$2:$Q$2902,Z$2,0)&lt;&gt;J359,"Beam Revised","")</f>
        <v>#N/A</v>
      </c>
      <c r="AA359" s="7" t="e">
        <f>IF(VLOOKUP($A359,'Concrete Beam Schedule'!$A$2:$Q$2902,AA$2,0)&lt;&gt;K359,"Beam Revised","")</f>
        <v>#N/A</v>
      </c>
      <c r="AB359" s="7" t="e">
        <f>IF(VLOOKUP($A359,'Concrete Beam Schedule'!$A$2:$Q$2902,AB$2,0)&lt;&gt;L359,"Beam Revised","")</f>
        <v>#N/A</v>
      </c>
      <c r="AC359" s="7" t="e">
        <f>IF(VLOOKUP($A359,'Concrete Beam Schedule'!$A$2:$Q$2902,AC$2,0)&lt;&gt;M359,"Beam Revised","")</f>
        <v>#N/A</v>
      </c>
      <c r="AD359" s="7" t="e">
        <f>IF(VLOOKUP($A359,'Concrete Beam Schedule'!$A$2:$Q$2902,AD$2,0)&lt;&gt;N359,"Beam Revised","")</f>
        <v>#N/A</v>
      </c>
      <c r="AE359" s="7" t="e">
        <f>IF(VLOOKUP($A359,'Concrete Beam Schedule'!$A$2:$Q$2902,AE$2,0)&lt;&gt;O359,"Beam Revised","")</f>
        <v>#N/A</v>
      </c>
    </row>
    <row r="360" spans="1:31" ht="25.5" customHeight="1" x14ac:dyDescent="0.25">
      <c r="A360" s="17"/>
      <c r="B360" s="17"/>
      <c r="C360" s="17"/>
      <c r="D360" s="17"/>
      <c r="E360" s="17"/>
      <c r="F360" s="17"/>
      <c r="G360" s="17"/>
      <c r="H360" s="17"/>
      <c r="I360" s="17"/>
      <c r="J360" s="17"/>
      <c r="K360" s="17"/>
      <c r="L360" s="17"/>
      <c r="M360" s="17"/>
      <c r="N360" s="17"/>
      <c r="O360" s="17"/>
      <c r="Q360" s="7">
        <f t="shared" si="5"/>
        <v>0</v>
      </c>
      <c r="R360" s="7" t="e">
        <f>IF(VLOOKUP($A360,'Concrete Beam Schedule'!$A$2:$Q$2902,R$2,0)&lt;&gt;B360,VLOOKUP($A360,'Concrete Beam Schedule'!$A$2:$Q$2902,R$2,0),"")</f>
        <v>#N/A</v>
      </c>
      <c r="S360" s="7" t="e">
        <f>IF(VLOOKUP($A360,'Concrete Beam Schedule'!$A$2:$Q$2902,S$2,0)&lt;&gt;C360,VLOOKUP($A360,'Concrete Beam Schedule'!$A$2:$Q$2902,S$2,0),"")</f>
        <v>#N/A</v>
      </c>
      <c r="T360" s="7" t="e">
        <f>IF(VLOOKUP($A360,'Concrete Beam Schedule'!$A$2:$Q$2902,T$2,0)&lt;&gt;D360,"Beam Revised","")</f>
        <v>#N/A</v>
      </c>
      <c r="U360" s="7" t="e">
        <f>IF(VLOOKUP($A360,'Concrete Beam Schedule'!$A$2:$Q$2902,U$2,0)&lt;&gt;E360,"Beam Revised","")</f>
        <v>#N/A</v>
      </c>
      <c r="V360" s="7" t="e">
        <f>IF(VLOOKUP($A360,'Concrete Beam Schedule'!$A$2:$Q$2902,V$2,0)&lt;&gt;F360,"Beam Revised","")</f>
        <v>#N/A</v>
      </c>
      <c r="W360" s="7" t="e">
        <f>IF(VLOOKUP($A360,'Concrete Beam Schedule'!$A$2:$Q$2902,W$2,0)&lt;&gt;G360,"Beam Revised","")</f>
        <v>#N/A</v>
      </c>
      <c r="X360" s="7" t="e">
        <f>IF(VLOOKUP($A360,'Concrete Beam Schedule'!$A$2:$Q$2902,X$2,0)&lt;&gt;H360,"Beam Revised","")</f>
        <v>#N/A</v>
      </c>
      <c r="Y360" s="7" t="e">
        <f>IF(VLOOKUP($A360,'Concrete Beam Schedule'!$A$2:$Q$2902,Y$2,0)&lt;&gt;I360,"Beam Revised","")</f>
        <v>#N/A</v>
      </c>
      <c r="Z360" s="7" t="e">
        <f>IF(VLOOKUP($A360,'Concrete Beam Schedule'!$A$2:$Q$2902,Z$2,0)&lt;&gt;J360,"Beam Revised","")</f>
        <v>#N/A</v>
      </c>
      <c r="AA360" s="7" t="e">
        <f>IF(VLOOKUP($A360,'Concrete Beam Schedule'!$A$2:$Q$2902,AA$2,0)&lt;&gt;K360,"Beam Revised","")</f>
        <v>#N/A</v>
      </c>
      <c r="AB360" s="7" t="e">
        <f>IF(VLOOKUP($A360,'Concrete Beam Schedule'!$A$2:$Q$2902,AB$2,0)&lt;&gt;L360,"Beam Revised","")</f>
        <v>#N/A</v>
      </c>
      <c r="AC360" s="7" t="e">
        <f>IF(VLOOKUP($A360,'Concrete Beam Schedule'!$A$2:$Q$2902,AC$2,0)&lt;&gt;M360,"Beam Revised","")</f>
        <v>#N/A</v>
      </c>
      <c r="AD360" s="7" t="e">
        <f>IF(VLOOKUP($A360,'Concrete Beam Schedule'!$A$2:$Q$2902,AD$2,0)&lt;&gt;N360,"Beam Revised","")</f>
        <v>#N/A</v>
      </c>
      <c r="AE360" s="7" t="e">
        <f>IF(VLOOKUP($A360,'Concrete Beam Schedule'!$A$2:$Q$2902,AE$2,0)&lt;&gt;O360,"Beam Revised","")</f>
        <v>#N/A</v>
      </c>
    </row>
    <row r="361" spans="1:31" ht="25.5" customHeight="1" x14ac:dyDescent="0.25">
      <c r="A361" s="17"/>
      <c r="B361" s="17"/>
      <c r="C361" s="17"/>
      <c r="D361" s="17"/>
      <c r="E361" s="17"/>
      <c r="F361" s="17"/>
      <c r="G361" s="17"/>
      <c r="H361" s="17"/>
      <c r="I361" s="17"/>
      <c r="J361" s="17"/>
      <c r="K361" s="17"/>
      <c r="L361" s="17"/>
      <c r="M361" s="17"/>
      <c r="N361" s="17"/>
      <c r="O361" s="17"/>
      <c r="Q361" s="7">
        <f t="shared" si="5"/>
        <v>0</v>
      </c>
      <c r="R361" s="7" t="e">
        <f>IF(VLOOKUP($A361,'Concrete Beam Schedule'!$A$2:$Q$2902,R$2,0)&lt;&gt;B361,VLOOKUP($A361,'Concrete Beam Schedule'!$A$2:$Q$2902,R$2,0),"")</f>
        <v>#N/A</v>
      </c>
      <c r="S361" s="7" t="e">
        <f>IF(VLOOKUP($A361,'Concrete Beam Schedule'!$A$2:$Q$2902,S$2,0)&lt;&gt;C361,VLOOKUP($A361,'Concrete Beam Schedule'!$A$2:$Q$2902,S$2,0),"")</f>
        <v>#N/A</v>
      </c>
      <c r="T361" s="7" t="e">
        <f>IF(VLOOKUP($A361,'Concrete Beam Schedule'!$A$2:$Q$2902,T$2,0)&lt;&gt;D361,"Beam Revised","")</f>
        <v>#N/A</v>
      </c>
      <c r="U361" s="7" t="e">
        <f>IF(VLOOKUP($A361,'Concrete Beam Schedule'!$A$2:$Q$2902,U$2,0)&lt;&gt;E361,"Beam Revised","")</f>
        <v>#N/A</v>
      </c>
      <c r="V361" s="7" t="e">
        <f>IF(VLOOKUP($A361,'Concrete Beam Schedule'!$A$2:$Q$2902,V$2,0)&lt;&gt;F361,"Beam Revised","")</f>
        <v>#N/A</v>
      </c>
      <c r="W361" s="7" t="e">
        <f>IF(VLOOKUP($A361,'Concrete Beam Schedule'!$A$2:$Q$2902,W$2,0)&lt;&gt;G361,"Beam Revised","")</f>
        <v>#N/A</v>
      </c>
      <c r="X361" s="7" t="e">
        <f>IF(VLOOKUP($A361,'Concrete Beam Schedule'!$A$2:$Q$2902,X$2,0)&lt;&gt;H361,"Beam Revised","")</f>
        <v>#N/A</v>
      </c>
      <c r="Y361" s="7" t="e">
        <f>IF(VLOOKUP($A361,'Concrete Beam Schedule'!$A$2:$Q$2902,Y$2,0)&lt;&gt;I361,"Beam Revised","")</f>
        <v>#N/A</v>
      </c>
      <c r="Z361" s="7" t="e">
        <f>IF(VLOOKUP($A361,'Concrete Beam Schedule'!$A$2:$Q$2902,Z$2,0)&lt;&gt;J361,"Beam Revised","")</f>
        <v>#N/A</v>
      </c>
      <c r="AA361" s="7" t="e">
        <f>IF(VLOOKUP($A361,'Concrete Beam Schedule'!$A$2:$Q$2902,AA$2,0)&lt;&gt;K361,"Beam Revised","")</f>
        <v>#N/A</v>
      </c>
      <c r="AB361" s="7" t="e">
        <f>IF(VLOOKUP($A361,'Concrete Beam Schedule'!$A$2:$Q$2902,AB$2,0)&lt;&gt;L361,"Beam Revised","")</f>
        <v>#N/A</v>
      </c>
      <c r="AC361" s="7" t="e">
        <f>IF(VLOOKUP($A361,'Concrete Beam Schedule'!$A$2:$Q$2902,AC$2,0)&lt;&gt;M361,"Beam Revised","")</f>
        <v>#N/A</v>
      </c>
      <c r="AD361" s="7" t="e">
        <f>IF(VLOOKUP($A361,'Concrete Beam Schedule'!$A$2:$Q$2902,AD$2,0)&lt;&gt;N361,"Beam Revised","")</f>
        <v>#N/A</v>
      </c>
      <c r="AE361" s="7" t="e">
        <f>IF(VLOOKUP($A361,'Concrete Beam Schedule'!$A$2:$Q$2902,AE$2,0)&lt;&gt;O361,"Beam Revised","")</f>
        <v>#N/A</v>
      </c>
    </row>
    <row r="362" spans="1:31" ht="25.5" customHeight="1" x14ac:dyDescent="0.25">
      <c r="A362" s="17"/>
      <c r="B362" s="17"/>
      <c r="C362" s="17"/>
      <c r="D362" s="17"/>
      <c r="E362" s="17"/>
      <c r="F362" s="17"/>
      <c r="G362" s="17"/>
      <c r="H362" s="17"/>
      <c r="I362" s="17"/>
      <c r="J362" s="17"/>
      <c r="K362" s="17"/>
      <c r="L362" s="17"/>
      <c r="M362" s="17"/>
      <c r="N362" s="17"/>
      <c r="O362" s="17"/>
      <c r="Q362" s="7">
        <f t="shared" si="5"/>
        <v>0</v>
      </c>
      <c r="R362" s="7" t="e">
        <f>IF(VLOOKUP($A362,'Concrete Beam Schedule'!$A$2:$Q$2902,R$2,0)&lt;&gt;B362,VLOOKUP($A362,'Concrete Beam Schedule'!$A$2:$Q$2902,R$2,0),"")</f>
        <v>#N/A</v>
      </c>
      <c r="S362" s="7" t="e">
        <f>IF(VLOOKUP($A362,'Concrete Beam Schedule'!$A$2:$Q$2902,S$2,0)&lt;&gt;C362,VLOOKUP($A362,'Concrete Beam Schedule'!$A$2:$Q$2902,S$2,0),"")</f>
        <v>#N/A</v>
      </c>
      <c r="T362" s="7" t="e">
        <f>IF(VLOOKUP($A362,'Concrete Beam Schedule'!$A$2:$Q$2902,T$2,0)&lt;&gt;D362,"Beam Revised","")</f>
        <v>#N/A</v>
      </c>
      <c r="U362" s="7" t="e">
        <f>IF(VLOOKUP($A362,'Concrete Beam Schedule'!$A$2:$Q$2902,U$2,0)&lt;&gt;E362,"Beam Revised","")</f>
        <v>#N/A</v>
      </c>
      <c r="V362" s="7" t="e">
        <f>IF(VLOOKUP($A362,'Concrete Beam Schedule'!$A$2:$Q$2902,V$2,0)&lt;&gt;F362,"Beam Revised","")</f>
        <v>#N/A</v>
      </c>
      <c r="W362" s="7" t="e">
        <f>IF(VLOOKUP($A362,'Concrete Beam Schedule'!$A$2:$Q$2902,W$2,0)&lt;&gt;G362,"Beam Revised","")</f>
        <v>#N/A</v>
      </c>
      <c r="X362" s="7" t="e">
        <f>IF(VLOOKUP($A362,'Concrete Beam Schedule'!$A$2:$Q$2902,X$2,0)&lt;&gt;H362,"Beam Revised","")</f>
        <v>#N/A</v>
      </c>
      <c r="Y362" s="7" t="e">
        <f>IF(VLOOKUP($A362,'Concrete Beam Schedule'!$A$2:$Q$2902,Y$2,0)&lt;&gt;I362,"Beam Revised","")</f>
        <v>#N/A</v>
      </c>
      <c r="Z362" s="7" t="e">
        <f>IF(VLOOKUP($A362,'Concrete Beam Schedule'!$A$2:$Q$2902,Z$2,0)&lt;&gt;J362,"Beam Revised","")</f>
        <v>#N/A</v>
      </c>
      <c r="AA362" s="7" t="e">
        <f>IF(VLOOKUP($A362,'Concrete Beam Schedule'!$A$2:$Q$2902,AA$2,0)&lt;&gt;K362,"Beam Revised","")</f>
        <v>#N/A</v>
      </c>
      <c r="AB362" s="7" t="e">
        <f>IF(VLOOKUP($A362,'Concrete Beam Schedule'!$A$2:$Q$2902,AB$2,0)&lt;&gt;L362,"Beam Revised","")</f>
        <v>#N/A</v>
      </c>
      <c r="AC362" s="7" t="e">
        <f>IF(VLOOKUP($A362,'Concrete Beam Schedule'!$A$2:$Q$2902,AC$2,0)&lt;&gt;M362,"Beam Revised","")</f>
        <v>#N/A</v>
      </c>
      <c r="AD362" s="7" t="e">
        <f>IF(VLOOKUP($A362,'Concrete Beam Schedule'!$A$2:$Q$2902,AD$2,0)&lt;&gt;N362,"Beam Revised","")</f>
        <v>#N/A</v>
      </c>
      <c r="AE362" s="7" t="e">
        <f>IF(VLOOKUP($A362,'Concrete Beam Schedule'!$A$2:$Q$2902,AE$2,0)&lt;&gt;O362,"Beam Revised","")</f>
        <v>#N/A</v>
      </c>
    </row>
    <row r="363" spans="1:31" ht="25.5" customHeight="1" x14ac:dyDescent="0.25">
      <c r="A363" s="17"/>
      <c r="B363" s="17"/>
      <c r="C363" s="17"/>
      <c r="D363" s="17"/>
      <c r="E363" s="17"/>
      <c r="F363" s="17"/>
      <c r="G363" s="17"/>
      <c r="H363" s="17"/>
      <c r="I363" s="17"/>
      <c r="J363" s="17"/>
      <c r="K363" s="17"/>
      <c r="L363" s="17"/>
      <c r="M363" s="17"/>
      <c r="N363" s="17"/>
      <c r="O363" s="17"/>
      <c r="Q363" s="7">
        <f t="shared" si="5"/>
        <v>0</v>
      </c>
      <c r="R363" s="7" t="e">
        <f>IF(VLOOKUP($A363,'Concrete Beam Schedule'!$A$2:$Q$2902,R$2,0)&lt;&gt;B363,VLOOKUP($A363,'Concrete Beam Schedule'!$A$2:$Q$2902,R$2,0),"")</f>
        <v>#N/A</v>
      </c>
      <c r="S363" s="7" t="e">
        <f>IF(VLOOKUP($A363,'Concrete Beam Schedule'!$A$2:$Q$2902,S$2,0)&lt;&gt;C363,VLOOKUP($A363,'Concrete Beam Schedule'!$A$2:$Q$2902,S$2,0),"")</f>
        <v>#N/A</v>
      </c>
      <c r="T363" s="7" t="e">
        <f>IF(VLOOKUP($A363,'Concrete Beam Schedule'!$A$2:$Q$2902,T$2,0)&lt;&gt;D363,"Beam Revised","")</f>
        <v>#N/A</v>
      </c>
      <c r="U363" s="7" t="e">
        <f>IF(VLOOKUP($A363,'Concrete Beam Schedule'!$A$2:$Q$2902,U$2,0)&lt;&gt;E363,"Beam Revised","")</f>
        <v>#N/A</v>
      </c>
      <c r="V363" s="7" t="e">
        <f>IF(VLOOKUP($A363,'Concrete Beam Schedule'!$A$2:$Q$2902,V$2,0)&lt;&gt;F363,"Beam Revised","")</f>
        <v>#N/A</v>
      </c>
      <c r="W363" s="7" t="e">
        <f>IF(VLOOKUP($A363,'Concrete Beam Schedule'!$A$2:$Q$2902,W$2,0)&lt;&gt;G363,"Beam Revised","")</f>
        <v>#N/A</v>
      </c>
      <c r="X363" s="7" t="e">
        <f>IF(VLOOKUP($A363,'Concrete Beam Schedule'!$A$2:$Q$2902,X$2,0)&lt;&gt;H363,"Beam Revised","")</f>
        <v>#N/A</v>
      </c>
      <c r="Y363" s="7" t="e">
        <f>IF(VLOOKUP($A363,'Concrete Beam Schedule'!$A$2:$Q$2902,Y$2,0)&lt;&gt;I363,"Beam Revised","")</f>
        <v>#N/A</v>
      </c>
      <c r="Z363" s="7" t="e">
        <f>IF(VLOOKUP($A363,'Concrete Beam Schedule'!$A$2:$Q$2902,Z$2,0)&lt;&gt;J363,"Beam Revised","")</f>
        <v>#N/A</v>
      </c>
      <c r="AA363" s="7" t="e">
        <f>IF(VLOOKUP($A363,'Concrete Beam Schedule'!$A$2:$Q$2902,AA$2,0)&lt;&gt;K363,"Beam Revised","")</f>
        <v>#N/A</v>
      </c>
      <c r="AB363" s="7" t="e">
        <f>IF(VLOOKUP($A363,'Concrete Beam Schedule'!$A$2:$Q$2902,AB$2,0)&lt;&gt;L363,"Beam Revised","")</f>
        <v>#N/A</v>
      </c>
      <c r="AC363" s="7" t="e">
        <f>IF(VLOOKUP($A363,'Concrete Beam Schedule'!$A$2:$Q$2902,AC$2,0)&lt;&gt;M363,"Beam Revised","")</f>
        <v>#N/A</v>
      </c>
      <c r="AD363" s="7" t="e">
        <f>IF(VLOOKUP($A363,'Concrete Beam Schedule'!$A$2:$Q$2902,AD$2,0)&lt;&gt;N363,"Beam Revised","")</f>
        <v>#N/A</v>
      </c>
      <c r="AE363" s="7" t="e">
        <f>IF(VLOOKUP($A363,'Concrete Beam Schedule'!$A$2:$Q$2902,AE$2,0)&lt;&gt;O363,"Beam Revised","")</f>
        <v>#N/A</v>
      </c>
    </row>
    <row r="364" spans="1:31" ht="25.5" customHeight="1" x14ac:dyDescent="0.25">
      <c r="A364" s="17"/>
      <c r="B364" s="17"/>
      <c r="C364" s="17"/>
      <c r="D364" s="17"/>
      <c r="E364" s="17"/>
      <c r="F364" s="17"/>
      <c r="G364" s="17"/>
      <c r="H364" s="17"/>
      <c r="I364" s="17"/>
      <c r="J364" s="17"/>
      <c r="K364" s="17"/>
      <c r="L364" s="17"/>
      <c r="M364" s="17"/>
      <c r="N364" s="17"/>
      <c r="O364" s="17"/>
      <c r="Q364" s="7">
        <f t="shared" si="5"/>
        <v>0</v>
      </c>
      <c r="R364" s="7" t="e">
        <f>IF(VLOOKUP($A364,'Concrete Beam Schedule'!$A$2:$Q$2902,R$2,0)&lt;&gt;B364,VLOOKUP($A364,'Concrete Beam Schedule'!$A$2:$Q$2902,R$2,0),"")</f>
        <v>#N/A</v>
      </c>
      <c r="S364" s="7" t="e">
        <f>IF(VLOOKUP($A364,'Concrete Beam Schedule'!$A$2:$Q$2902,S$2,0)&lt;&gt;C364,VLOOKUP($A364,'Concrete Beam Schedule'!$A$2:$Q$2902,S$2,0),"")</f>
        <v>#N/A</v>
      </c>
      <c r="T364" s="7" t="e">
        <f>IF(VLOOKUP($A364,'Concrete Beam Schedule'!$A$2:$Q$2902,T$2,0)&lt;&gt;D364,"Beam Revised","")</f>
        <v>#N/A</v>
      </c>
      <c r="U364" s="7" t="e">
        <f>IF(VLOOKUP($A364,'Concrete Beam Schedule'!$A$2:$Q$2902,U$2,0)&lt;&gt;E364,"Beam Revised","")</f>
        <v>#N/A</v>
      </c>
      <c r="V364" s="7" t="e">
        <f>IF(VLOOKUP($A364,'Concrete Beam Schedule'!$A$2:$Q$2902,V$2,0)&lt;&gt;F364,"Beam Revised","")</f>
        <v>#N/A</v>
      </c>
      <c r="W364" s="7" t="e">
        <f>IF(VLOOKUP($A364,'Concrete Beam Schedule'!$A$2:$Q$2902,W$2,0)&lt;&gt;G364,"Beam Revised","")</f>
        <v>#N/A</v>
      </c>
      <c r="X364" s="7" t="e">
        <f>IF(VLOOKUP($A364,'Concrete Beam Schedule'!$A$2:$Q$2902,X$2,0)&lt;&gt;H364,"Beam Revised","")</f>
        <v>#N/A</v>
      </c>
      <c r="Y364" s="7" t="e">
        <f>IF(VLOOKUP($A364,'Concrete Beam Schedule'!$A$2:$Q$2902,Y$2,0)&lt;&gt;I364,"Beam Revised","")</f>
        <v>#N/A</v>
      </c>
      <c r="Z364" s="7" t="e">
        <f>IF(VLOOKUP($A364,'Concrete Beam Schedule'!$A$2:$Q$2902,Z$2,0)&lt;&gt;J364,"Beam Revised","")</f>
        <v>#N/A</v>
      </c>
      <c r="AA364" s="7" t="e">
        <f>IF(VLOOKUP($A364,'Concrete Beam Schedule'!$A$2:$Q$2902,AA$2,0)&lt;&gt;K364,"Beam Revised","")</f>
        <v>#N/A</v>
      </c>
      <c r="AB364" s="7" t="e">
        <f>IF(VLOOKUP($A364,'Concrete Beam Schedule'!$A$2:$Q$2902,AB$2,0)&lt;&gt;L364,"Beam Revised","")</f>
        <v>#N/A</v>
      </c>
      <c r="AC364" s="7" t="e">
        <f>IF(VLOOKUP($A364,'Concrete Beam Schedule'!$A$2:$Q$2902,AC$2,0)&lt;&gt;M364,"Beam Revised","")</f>
        <v>#N/A</v>
      </c>
      <c r="AD364" s="7" t="e">
        <f>IF(VLOOKUP($A364,'Concrete Beam Schedule'!$A$2:$Q$2902,AD$2,0)&lt;&gt;N364,"Beam Revised","")</f>
        <v>#N/A</v>
      </c>
      <c r="AE364" s="7" t="e">
        <f>IF(VLOOKUP($A364,'Concrete Beam Schedule'!$A$2:$Q$2902,AE$2,0)&lt;&gt;O364,"Beam Revised","")</f>
        <v>#N/A</v>
      </c>
    </row>
    <row r="365" spans="1:31" ht="25.5" customHeight="1" x14ac:dyDescent="0.25">
      <c r="A365" s="17"/>
      <c r="B365" s="17"/>
      <c r="C365" s="17"/>
      <c r="D365" s="17"/>
      <c r="E365" s="17"/>
      <c r="F365" s="17"/>
      <c r="G365" s="17"/>
      <c r="H365" s="17"/>
      <c r="I365" s="17"/>
      <c r="J365" s="17"/>
      <c r="K365" s="17"/>
      <c r="L365" s="17"/>
      <c r="M365" s="17"/>
      <c r="N365" s="17"/>
      <c r="O365" s="17"/>
      <c r="Q365" s="7">
        <f t="shared" si="5"/>
        <v>0</v>
      </c>
      <c r="R365" s="7" t="e">
        <f>IF(VLOOKUP($A365,'Concrete Beam Schedule'!$A$2:$Q$2902,R$2,0)&lt;&gt;B365,VLOOKUP($A365,'Concrete Beam Schedule'!$A$2:$Q$2902,R$2,0),"")</f>
        <v>#N/A</v>
      </c>
      <c r="S365" s="7" t="e">
        <f>IF(VLOOKUP($A365,'Concrete Beam Schedule'!$A$2:$Q$2902,S$2,0)&lt;&gt;C365,VLOOKUP($A365,'Concrete Beam Schedule'!$A$2:$Q$2902,S$2,0),"")</f>
        <v>#N/A</v>
      </c>
      <c r="T365" s="7" t="e">
        <f>IF(VLOOKUP($A365,'Concrete Beam Schedule'!$A$2:$Q$2902,T$2,0)&lt;&gt;D365,"Beam Revised","")</f>
        <v>#N/A</v>
      </c>
      <c r="U365" s="7" t="e">
        <f>IF(VLOOKUP($A365,'Concrete Beam Schedule'!$A$2:$Q$2902,U$2,0)&lt;&gt;E365,"Beam Revised","")</f>
        <v>#N/A</v>
      </c>
      <c r="V365" s="7" t="e">
        <f>IF(VLOOKUP($A365,'Concrete Beam Schedule'!$A$2:$Q$2902,V$2,0)&lt;&gt;F365,"Beam Revised","")</f>
        <v>#N/A</v>
      </c>
      <c r="W365" s="7" t="e">
        <f>IF(VLOOKUP($A365,'Concrete Beam Schedule'!$A$2:$Q$2902,W$2,0)&lt;&gt;G365,"Beam Revised","")</f>
        <v>#N/A</v>
      </c>
      <c r="X365" s="7" t="e">
        <f>IF(VLOOKUP($A365,'Concrete Beam Schedule'!$A$2:$Q$2902,X$2,0)&lt;&gt;H365,"Beam Revised","")</f>
        <v>#N/A</v>
      </c>
      <c r="Y365" s="7" t="e">
        <f>IF(VLOOKUP($A365,'Concrete Beam Schedule'!$A$2:$Q$2902,Y$2,0)&lt;&gt;I365,"Beam Revised","")</f>
        <v>#N/A</v>
      </c>
      <c r="Z365" s="7" t="e">
        <f>IF(VLOOKUP($A365,'Concrete Beam Schedule'!$A$2:$Q$2902,Z$2,0)&lt;&gt;J365,"Beam Revised","")</f>
        <v>#N/A</v>
      </c>
      <c r="AA365" s="7" t="e">
        <f>IF(VLOOKUP($A365,'Concrete Beam Schedule'!$A$2:$Q$2902,AA$2,0)&lt;&gt;K365,"Beam Revised","")</f>
        <v>#N/A</v>
      </c>
      <c r="AB365" s="7" t="e">
        <f>IF(VLOOKUP($A365,'Concrete Beam Schedule'!$A$2:$Q$2902,AB$2,0)&lt;&gt;L365,"Beam Revised","")</f>
        <v>#N/A</v>
      </c>
      <c r="AC365" s="7" t="e">
        <f>IF(VLOOKUP($A365,'Concrete Beam Schedule'!$A$2:$Q$2902,AC$2,0)&lt;&gt;M365,"Beam Revised","")</f>
        <v>#N/A</v>
      </c>
      <c r="AD365" s="7" t="e">
        <f>IF(VLOOKUP($A365,'Concrete Beam Schedule'!$A$2:$Q$2902,AD$2,0)&lt;&gt;N365,"Beam Revised","")</f>
        <v>#N/A</v>
      </c>
      <c r="AE365" s="7" t="e">
        <f>IF(VLOOKUP($A365,'Concrete Beam Schedule'!$A$2:$Q$2902,AE$2,0)&lt;&gt;O365,"Beam Revised","")</f>
        <v>#N/A</v>
      </c>
    </row>
    <row r="366" spans="1:31" ht="25.5" customHeight="1" x14ac:dyDescent="0.25">
      <c r="A366" s="17"/>
      <c r="B366" s="17"/>
      <c r="C366" s="17"/>
      <c r="D366" s="17"/>
      <c r="E366" s="17"/>
      <c r="F366" s="17"/>
      <c r="G366" s="17"/>
      <c r="H366" s="17"/>
      <c r="I366" s="17"/>
      <c r="J366" s="17"/>
      <c r="K366" s="17"/>
      <c r="L366" s="17"/>
      <c r="M366" s="17"/>
      <c r="N366" s="17"/>
      <c r="O366" s="17"/>
      <c r="Q366" s="7">
        <f t="shared" si="5"/>
        <v>0</v>
      </c>
      <c r="R366" s="7" t="e">
        <f>IF(VLOOKUP($A366,'Concrete Beam Schedule'!$A$2:$Q$2902,R$2,0)&lt;&gt;B366,VLOOKUP($A366,'Concrete Beam Schedule'!$A$2:$Q$2902,R$2,0),"")</f>
        <v>#N/A</v>
      </c>
      <c r="S366" s="7" t="e">
        <f>IF(VLOOKUP($A366,'Concrete Beam Schedule'!$A$2:$Q$2902,S$2,0)&lt;&gt;C366,VLOOKUP($A366,'Concrete Beam Schedule'!$A$2:$Q$2902,S$2,0),"")</f>
        <v>#N/A</v>
      </c>
      <c r="T366" s="7" t="e">
        <f>IF(VLOOKUP($A366,'Concrete Beam Schedule'!$A$2:$Q$2902,T$2,0)&lt;&gt;D366,"Beam Revised","")</f>
        <v>#N/A</v>
      </c>
      <c r="U366" s="7" t="e">
        <f>IF(VLOOKUP($A366,'Concrete Beam Schedule'!$A$2:$Q$2902,U$2,0)&lt;&gt;E366,"Beam Revised","")</f>
        <v>#N/A</v>
      </c>
      <c r="V366" s="7" t="e">
        <f>IF(VLOOKUP($A366,'Concrete Beam Schedule'!$A$2:$Q$2902,V$2,0)&lt;&gt;F366,"Beam Revised","")</f>
        <v>#N/A</v>
      </c>
      <c r="W366" s="7" t="e">
        <f>IF(VLOOKUP($A366,'Concrete Beam Schedule'!$A$2:$Q$2902,W$2,0)&lt;&gt;G366,"Beam Revised","")</f>
        <v>#N/A</v>
      </c>
      <c r="X366" s="7" t="e">
        <f>IF(VLOOKUP($A366,'Concrete Beam Schedule'!$A$2:$Q$2902,X$2,0)&lt;&gt;H366,"Beam Revised","")</f>
        <v>#N/A</v>
      </c>
      <c r="Y366" s="7" t="e">
        <f>IF(VLOOKUP($A366,'Concrete Beam Schedule'!$A$2:$Q$2902,Y$2,0)&lt;&gt;I366,"Beam Revised","")</f>
        <v>#N/A</v>
      </c>
      <c r="Z366" s="7" t="e">
        <f>IF(VLOOKUP($A366,'Concrete Beam Schedule'!$A$2:$Q$2902,Z$2,0)&lt;&gt;J366,"Beam Revised","")</f>
        <v>#N/A</v>
      </c>
      <c r="AA366" s="7" t="e">
        <f>IF(VLOOKUP($A366,'Concrete Beam Schedule'!$A$2:$Q$2902,AA$2,0)&lt;&gt;K366,"Beam Revised","")</f>
        <v>#N/A</v>
      </c>
      <c r="AB366" s="7" t="e">
        <f>IF(VLOOKUP($A366,'Concrete Beam Schedule'!$A$2:$Q$2902,AB$2,0)&lt;&gt;L366,"Beam Revised","")</f>
        <v>#N/A</v>
      </c>
      <c r="AC366" s="7" t="e">
        <f>IF(VLOOKUP($A366,'Concrete Beam Schedule'!$A$2:$Q$2902,AC$2,0)&lt;&gt;M366,"Beam Revised","")</f>
        <v>#N/A</v>
      </c>
      <c r="AD366" s="7" t="e">
        <f>IF(VLOOKUP($A366,'Concrete Beam Schedule'!$A$2:$Q$2902,AD$2,0)&lt;&gt;N366,"Beam Revised","")</f>
        <v>#N/A</v>
      </c>
      <c r="AE366" s="7" t="e">
        <f>IF(VLOOKUP($A366,'Concrete Beam Schedule'!$A$2:$Q$2902,AE$2,0)&lt;&gt;O366,"Beam Revised","")</f>
        <v>#N/A</v>
      </c>
    </row>
    <row r="367" spans="1:31" ht="25.5" customHeight="1" x14ac:dyDescent="0.25">
      <c r="A367" s="17"/>
      <c r="B367" s="17"/>
      <c r="C367" s="17"/>
      <c r="D367" s="17"/>
      <c r="E367" s="17"/>
      <c r="F367" s="17"/>
      <c r="G367" s="17"/>
      <c r="H367" s="17"/>
      <c r="I367" s="17"/>
      <c r="J367" s="17"/>
      <c r="K367" s="17"/>
      <c r="L367" s="17"/>
      <c r="M367" s="17"/>
      <c r="N367" s="17"/>
      <c r="O367" s="17"/>
      <c r="Q367" s="7">
        <f t="shared" si="5"/>
        <v>0</v>
      </c>
      <c r="R367" s="7" t="e">
        <f>IF(VLOOKUP($A367,'Concrete Beam Schedule'!$A$2:$Q$2902,R$2,0)&lt;&gt;B367,VLOOKUP($A367,'Concrete Beam Schedule'!$A$2:$Q$2902,R$2,0),"")</f>
        <v>#N/A</v>
      </c>
      <c r="S367" s="7" t="e">
        <f>IF(VLOOKUP($A367,'Concrete Beam Schedule'!$A$2:$Q$2902,S$2,0)&lt;&gt;C367,VLOOKUP($A367,'Concrete Beam Schedule'!$A$2:$Q$2902,S$2,0),"")</f>
        <v>#N/A</v>
      </c>
      <c r="T367" s="7" t="e">
        <f>IF(VLOOKUP($A367,'Concrete Beam Schedule'!$A$2:$Q$2902,T$2,0)&lt;&gt;D367,"Beam Revised","")</f>
        <v>#N/A</v>
      </c>
      <c r="U367" s="7" t="e">
        <f>IF(VLOOKUP($A367,'Concrete Beam Schedule'!$A$2:$Q$2902,U$2,0)&lt;&gt;E367,"Beam Revised","")</f>
        <v>#N/A</v>
      </c>
      <c r="V367" s="7" t="e">
        <f>IF(VLOOKUP($A367,'Concrete Beam Schedule'!$A$2:$Q$2902,V$2,0)&lt;&gt;F367,"Beam Revised","")</f>
        <v>#N/A</v>
      </c>
      <c r="W367" s="7" t="e">
        <f>IF(VLOOKUP($A367,'Concrete Beam Schedule'!$A$2:$Q$2902,W$2,0)&lt;&gt;G367,"Beam Revised","")</f>
        <v>#N/A</v>
      </c>
      <c r="X367" s="7" t="e">
        <f>IF(VLOOKUP($A367,'Concrete Beam Schedule'!$A$2:$Q$2902,X$2,0)&lt;&gt;H367,"Beam Revised","")</f>
        <v>#N/A</v>
      </c>
      <c r="Y367" s="7" t="e">
        <f>IF(VLOOKUP($A367,'Concrete Beam Schedule'!$A$2:$Q$2902,Y$2,0)&lt;&gt;I367,"Beam Revised","")</f>
        <v>#N/A</v>
      </c>
      <c r="Z367" s="7" t="e">
        <f>IF(VLOOKUP($A367,'Concrete Beam Schedule'!$A$2:$Q$2902,Z$2,0)&lt;&gt;J367,"Beam Revised","")</f>
        <v>#N/A</v>
      </c>
      <c r="AA367" s="7" t="e">
        <f>IF(VLOOKUP($A367,'Concrete Beam Schedule'!$A$2:$Q$2902,AA$2,0)&lt;&gt;K367,"Beam Revised","")</f>
        <v>#N/A</v>
      </c>
      <c r="AB367" s="7" t="e">
        <f>IF(VLOOKUP($A367,'Concrete Beam Schedule'!$A$2:$Q$2902,AB$2,0)&lt;&gt;L367,"Beam Revised","")</f>
        <v>#N/A</v>
      </c>
      <c r="AC367" s="7" t="e">
        <f>IF(VLOOKUP($A367,'Concrete Beam Schedule'!$A$2:$Q$2902,AC$2,0)&lt;&gt;M367,"Beam Revised","")</f>
        <v>#N/A</v>
      </c>
      <c r="AD367" s="7" t="e">
        <f>IF(VLOOKUP($A367,'Concrete Beam Schedule'!$A$2:$Q$2902,AD$2,0)&lt;&gt;N367,"Beam Revised","")</f>
        <v>#N/A</v>
      </c>
      <c r="AE367" s="7" t="e">
        <f>IF(VLOOKUP($A367,'Concrete Beam Schedule'!$A$2:$Q$2902,AE$2,0)&lt;&gt;O367,"Beam Revised","")</f>
        <v>#N/A</v>
      </c>
    </row>
    <row r="368" spans="1:31" ht="25.5" customHeight="1" x14ac:dyDescent="0.25">
      <c r="A368" s="17"/>
      <c r="B368" s="17"/>
      <c r="C368" s="17"/>
      <c r="D368" s="17"/>
      <c r="E368" s="17"/>
      <c r="F368" s="17"/>
      <c r="G368" s="17"/>
      <c r="H368" s="17"/>
      <c r="I368" s="17"/>
      <c r="J368" s="17"/>
      <c r="K368" s="17"/>
      <c r="L368" s="17"/>
      <c r="M368" s="17"/>
      <c r="N368" s="17"/>
      <c r="O368" s="17"/>
      <c r="Q368" s="7">
        <f t="shared" si="5"/>
        <v>0</v>
      </c>
      <c r="R368" s="7" t="e">
        <f>IF(VLOOKUP($A368,'Concrete Beam Schedule'!$A$2:$Q$2902,R$2,0)&lt;&gt;B368,VLOOKUP($A368,'Concrete Beam Schedule'!$A$2:$Q$2902,R$2,0),"")</f>
        <v>#N/A</v>
      </c>
      <c r="S368" s="7" t="e">
        <f>IF(VLOOKUP($A368,'Concrete Beam Schedule'!$A$2:$Q$2902,S$2,0)&lt;&gt;C368,VLOOKUP($A368,'Concrete Beam Schedule'!$A$2:$Q$2902,S$2,0),"")</f>
        <v>#N/A</v>
      </c>
      <c r="T368" s="7" t="e">
        <f>IF(VLOOKUP($A368,'Concrete Beam Schedule'!$A$2:$Q$2902,T$2,0)&lt;&gt;D368,"Beam Revised","")</f>
        <v>#N/A</v>
      </c>
      <c r="U368" s="7" t="e">
        <f>IF(VLOOKUP($A368,'Concrete Beam Schedule'!$A$2:$Q$2902,U$2,0)&lt;&gt;E368,"Beam Revised","")</f>
        <v>#N/A</v>
      </c>
      <c r="V368" s="7" t="e">
        <f>IF(VLOOKUP($A368,'Concrete Beam Schedule'!$A$2:$Q$2902,V$2,0)&lt;&gt;F368,"Beam Revised","")</f>
        <v>#N/A</v>
      </c>
      <c r="W368" s="7" t="e">
        <f>IF(VLOOKUP($A368,'Concrete Beam Schedule'!$A$2:$Q$2902,W$2,0)&lt;&gt;G368,"Beam Revised","")</f>
        <v>#N/A</v>
      </c>
      <c r="X368" s="7" t="e">
        <f>IF(VLOOKUP($A368,'Concrete Beam Schedule'!$A$2:$Q$2902,X$2,0)&lt;&gt;H368,"Beam Revised","")</f>
        <v>#N/A</v>
      </c>
      <c r="Y368" s="7" t="e">
        <f>IF(VLOOKUP($A368,'Concrete Beam Schedule'!$A$2:$Q$2902,Y$2,0)&lt;&gt;I368,"Beam Revised","")</f>
        <v>#N/A</v>
      </c>
      <c r="Z368" s="7" t="e">
        <f>IF(VLOOKUP($A368,'Concrete Beam Schedule'!$A$2:$Q$2902,Z$2,0)&lt;&gt;J368,"Beam Revised","")</f>
        <v>#N/A</v>
      </c>
      <c r="AA368" s="7" t="e">
        <f>IF(VLOOKUP($A368,'Concrete Beam Schedule'!$A$2:$Q$2902,AA$2,0)&lt;&gt;K368,"Beam Revised","")</f>
        <v>#N/A</v>
      </c>
      <c r="AB368" s="7" t="e">
        <f>IF(VLOOKUP($A368,'Concrete Beam Schedule'!$A$2:$Q$2902,AB$2,0)&lt;&gt;L368,"Beam Revised","")</f>
        <v>#N/A</v>
      </c>
      <c r="AC368" s="7" t="e">
        <f>IF(VLOOKUP($A368,'Concrete Beam Schedule'!$A$2:$Q$2902,AC$2,0)&lt;&gt;M368,"Beam Revised","")</f>
        <v>#N/A</v>
      </c>
      <c r="AD368" s="7" t="e">
        <f>IF(VLOOKUP($A368,'Concrete Beam Schedule'!$A$2:$Q$2902,AD$2,0)&lt;&gt;N368,"Beam Revised","")</f>
        <v>#N/A</v>
      </c>
      <c r="AE368" s="7" t="e">
        <f>IF(VLOOKUP($A368,'Concrete Beam Schedule'!$A$2:$Q$2902,AE$2,0)&lt;&gt;O368,"Beam Revised","")</f>
        <v>#N/A</v>
      </c>
    </row>
    <row r="369" spans="1:31" ht="25.5" customHeight="1" x14ac:dyDescent="0.25">
      <c r="A369" s="17"/>
      <c r="B369" s="17"/>
      <c r="C369" s="17"/>
      <c r="D369" s="17"/>
      <c r="E369" s="17"/>
      <c r="F369" s="17"/>
      <c r="G369" s="17"/>
      <c r="H369" s="17"/>
      <c r="I369" s="17"/>
      <c r="J369" s="17"/>
      <c r="K369" s="17"/>
      <c r="L369" s="17"/>
      <c r="M369" s="17"/>
      <c r="N369" s="17"/>
      <c r="O369" s="17"/>
      <c r="Q369" s="7">
        <f t="shared" si="5"/>
        <v>0</v>
      </c>
      <c r="R369" s="7" t="e">
        <f>IF(VLOOKUP($A369,'Concrete Beam Schedule'!$A$2:$Q$2902,R$2,0)&lt;&gt;B369,VLOOKUP($A369,'Concrete Beam Schedule'!$A$2:$Q$2902,R$2,0),"")</f>
        <v>#N/A</v>
      </c>
      <c r="S369" s="7" t="e">
        <f>IF(VLOOKUP($A369,'Concrete Beam Schedule'!$A$2:$Q$2902,S$2,0)&lt;&gt;C369,VLOOKUP($A369,'Concrete Beam Schedule'!$A$2:$Q$2902,S$2,0),"")</f>
        <v>#N/A</v>
      </c>
      <c r="T369" s="7" t="e">
        <f>IF(VLOOKUP($A369,'Concrete Beam Schedule'!$A$2:$Q$2902,T$2,0)&lt;&gt;D369,"Beam Revised","")</f>
        <v>#N/A</v>
      </c>
      <c r="U369" s="7" t="e">
        <f>IF(VLOOKUP($A369,'Concrete Beam Schedule'!$A$2:$Q$2902,U$2,0)&lt;&gt;E369,"Beam Revised","")</f>
        <v>#N/A</v>
      </c>
      <c r="V369" s="7" t="e">
        <f>IF(VLOOKUP($A369,'Concrete Beam Schedule'!$A$2:$Q$2902,V$2,0)&lt;&gt;F369,"Beam Revised","")</f>
        <v>#N/A</v>
      </c>
      <c r="W369" s="7" t="e">
        <f>IF(VLOOKUP($A369,'Concrete Beam Schedule'!$A$2:$Q$2902,W$2,0)&lt;&gt;G369,"Beam Revised","")</f>
        <v>#N/A</v>
      </c>
      <c r="X369" s="7" t="e">
        <f>IF(VLOOKUP($A369,'Concrete Beam Schedule'!$A$2:$Q$2902,X$2,0)&lt;&gt;H369,"Beam Revised","")</f>
        <v>#N/A</v>
      </c>
      <c r="Y369" s="7" t="e">
        <f>IF(VLOOKUP($A369,'Concrete Beam Schedule'!$A$2:$Q$2902,Y$2,0)&lt;&gt;I369,"Beam Revised","")</f>
        <v>#N/A</v>
      </c>
      <c r="Z369" s="7" t="e">
        <f>IF(VLOOKUP($A369,'Concrete Beam Schedule'!$A$2:$Q$2902,Z$2,0)&lt;&gt;J369,"Beam Revised","")</f>
        <v>#N/A</v>
      </c>
      <c r="AA369" s="7" t="e">
        <f>IF(VLOOKUP($A369,'Concrete Beam Schedule'!$A$2:$Q$2902,AA$2,0)&lt;&gt;K369,"Beam Revised","")</f>
        <v>#N/A</v>
      </c>
      <c r="AB369" s="7" t="e">
        <f>IF(VLOOKUP($A369,'Concrete Beam Schedule'!$A$2:$Q$2902,AB$2,0)&lt;&gt;L369,"Beam Revised","")</f>
        <v>#N/A</v>
      </c>
      <c r="AC369" s="7" t="e">
        <f>IF(VLOOKUP($A369,'Concrete Beam Schedule'!$A$2:$Q$2902,AC$2,0)&lt;&gt;M369,"Beam Revised","")</f>
        <v>#N/A</v>
      </c>
      <c r="AD369" s="7" t="e">
        <f>IF(VLOOKUP($A369,'Concrete Beam Schedule'!$A$2:$Q$2902,AD$2,0)&lt;&gt;N369,"Beam Revised","")</f>
        <v>#N/A</v>
      </c>
      <c r="AE369" s="7" t="e">
        <f>IF(VLOOKUP($A369,'Concrete Beam Schedule'!$A$2:$Q$2902,AE$2,0)&lt;&gt;O369,"Beam Revised","")</f>
        <v>#N/A</v>
      </c>
    </row>
    <row r="370" spans="1:31" ht="25.5" customHeight="1" x14ac:dyDescent="0.25">
      <c r="A370" s="17"/>
      <c r="B370" s="17"/>
      <c r="C370" s="17"/>
      <c r="D370" s="17"/>
      <c r="E370" s="17"/>
      <c r="F370" s="17"/>
      <c r="G370" s="17"/>
      <c r="H370" s="17"/>
      <c r="I370" s="17"/>
      <c r="J370" s="17"/>
      <c r="K370" s="17"/>
      <c r="L370" s="17"/>
      <c r="M370" s="17"/>
      <c r="N370" s="17"/>
      <c r="O370" s="17"/>
      <c r="Q370" s="7">
        <f t="shared" si="5"/>
        <v>0</v>
      </c>
      <c r="R370" s="7" t="e">
        <f>IF(VLOOKUP($A370,'Concrete Beam Schedule'!$A$2:$Q$2902,R$2,0)&lt;&gt;B370,VLOOKUP($A370,'Concrete Beam Schedule'!$A$2:$Q$2902,R$2,0),"")</f>
        <v>#N/A</v>
      </c>
      <c r="S370" s="7" t="e">
        <f>IF(VLOOKUP($A370,'Concrete Beam Schedule'!$A$2:$Q$2902,S$2,0)&lt;&gt;C370,VLOOKUP($A370,'Concrete Beam Schedule'!$A$2:$Q$2902,S$2,0),"")</f>
        <v>#N/A</v>
      </c>
      <c r="T370" s="7" t="e">
        <f>IF(VLOOKUP($A370,'Concrete Beam Schedule'!$A$2:$Q$2902,T$2,0)&lt;&gt;D370,"Beam Revised","")</f>
        <v>#N/A</v>
      </c>
      <c r="U370" s="7" t="e">
        <f>IF(VLOOKUP($A370,'Concrete Beam Schedule'!$A$2:$Q$2902,U$2,0)&lt;&gt;E370,"Beam Revised","")</f>
        <v>#N/A</v>
      </c>
      <c r="V370" s="7" t="e">
        <f>IF(VLOOKUP($A370,'Concrete Beam Schedule'!$A$2:$Q$2902,V$2,0)&lt;&gt;F370,"Beam Revised","")</f>
        <v>#N/A</v>
      </c>
      <c r="W370" s="7" t="e">
        <f>IF(VLOOKUP($A370,'Concrete Beam Schedule'!$A$2:$Q$2902,W$2,0)&lt;&gt;G370,"Beam Revised","")</f>
        <v>#N/A</v>
      </c>
      <c r="X370" s="7" t="e">
        <f>IF(VLOOKUP($A370,'Concrete Beam Schedule'!$A$2:$Q$2902,X$2,0)&lt;&gt;H370,"Beam Revised","")</f>
        <v>#N/A</v>
      </c>
      <c r="Y370" s="7" t="e">
        <f>IF(VLOOKUP($A370,'Concrete Beam Schedule'!$A$2:$Q$2902,Y$2,0)&lt;&gt;I370,"Beam Revised","")</f>
        <v>#N/A</v>
      </c>
      <c r="Z370" s="7" t="e">
        <f>IF(VLOOKUP($A370,'Concrete Beam Schedule'!$A$2:$Q$2902,Z$2,0)&lt;&gt;J370,"Beam Revised","")</f>
        <v>#N/A</v>
      </c>
      <c r="AA370" s="7" t="e">
        <f>IF(VLOOKUP($A370,'Concrete Beam Schedule'!$A$2:$Q$2902,AA$2,0)&lt;&gt;K370,"Beam Revised","")</f>
        <v>#N/A</v>
      </c>
      <c r="AB370" s="7" t="e">
        <f>IF(VLOOKUP($A370,'Concrete Beam Schedule'!$A$2:$Q$2902,AB$2,0)&lt;&gt;L370,"Beam Revised","")</f>
        <v>#N/A</v>
      </c>
      <c r="AC370" s="7" t="e">
        <f>IF(VLOOKUP($A370,'Concrete Beam Schedule'!$A$2:$Q$2902,AC$2,0)&lt;&gt;M370,"Beam Revised","")</f>
        <v>#N/A</v>
      </c>
      <c r="AD370" s="7" t="e">
        <f>IF(VLOOKUP($A370,'Concrete Beam Schedule'!$A$2:$Q$2902,AD$2,0)&lt;&gt;N370,"Beam Revised","")</f>
        <v>#N/A</v>
      </c>
      <c r="AE370" s="7" t="e">
        <f>IF(VLOOKUP($A370,'Concrete Beam Schedule'!$A$2:$Q$2902,AE$2,0)&lt;&gt;O370,"Beam Revised","")</f>
        <v>#N/A</v>
      </c>
    </row>
    <row r="371" spans="1:31" ht="25.5" customHeight="1" x14ac:dyDescent="0.25">
      <c r="A371" s="17"/>
      <c r="B371" s="17"/>
      <c r="C371" s="17"/>
      <c r="D371" s="17"/>
      <c r="E371" s="17"/>
      <c r="F371" s="17"/>
      <c r="G371" s="17"/>
      <c r="H371" s="17"/>
      <c r="I371" s="17"/>
      <c r="J371" s="17"/>
      <c r="K371" s="17"/>
      <c r="L371" s="17"/>
      <c r="M371" s="17"/>
      <c r="N371" s="17"/>
      <c r="O371" s="17"/>
      <c r="Q371" s="7">
        <f t="shared" si="5"/>
        <v>0</v>
      </c>
      <c r="R371" s="7" t="e">
        <f>IF(VLOOKUP($A371,'Concrete Beam Schedule'!$A$2:$Q$2902,R$2,0)&lt;&gt;B371,VLOOKUP($A371,'Concrete Beam Schedule'!$A$2:$Q$2902,R$2,0),"")</f>
        <v>#N/A</v>
      </c>
      <c r="S371" s="7" t="e">
        <f>IF(VLOOKUP($A371,'Concrete Beam Schedule'!$A$2:$Q$2902,S$2,0)&lt;&gt;C371,VLOOKUP($A371,'Concrete Beam Schedule'!$A$2:$Q$2902,S$2,0),"")</f>
        <v>#N/A</v>
      </c>
      <c r="T371" s="7" t="e">
        <f>IF(VLOOKUP($A371,'Concrete Beam Schedule'!$A$2:$Q$2902,T$2,0)&lt;&gt;D371,"Beam Revised","")</f>
        <v>#N/A</v>
      </c>
      <c r="U371" s="7" t="e">
        <f>IF(VLOOKUP($A371,'Concrete Beam Schedule'!$A$2:$Q$2902,U$2,0)&lt;&gt;E371,"Beam Revised","")</f>
        <v>#N/A</v>
      </c>
      <c r="V371" s="7" t="e">
        <f>IF(VLOOKUP($A371,'Concrete Beam Schedule'!$A$2:$Q$2902,V$2,0)&lt;&gt;F371,"Beam Revised","")</f>
        <v>#N/A</v>
      </c>
      <c r="W371" s="7" t="e">
        <f>IF(VLOOKUP($A371,'Concrete Beam Schedule'!$A$2:$Q$2902,W$2,0)&lt;&gt;G371,"Beam Revised","")</f>
        <v>#N/A</v>
      </c>
      <c r="X371" s="7" t="e">
        <f>IF(VLOOKUP($A371,'Concrete Beam Schedule'!$A$2:$Q$2902,X$2,0)&lt;&gt;H371,"Beam Revised","")</f>
        <v>#N/A</v>
      </c>
      <c r="Y371" s="7" t="e">
        <f>IF(VLOOKUP($A371,'Concrete Beam Schedule'!$A$2:$Q$2902,Y$2,0)&lt;&gt;I371,"Beam Revised","")</f>
        <v>#N/A</v>
      </c>
      <c r="Z371" s="7" t="e">
        <f>IF(VLOOKUP($A371,'Concrete Beam Schedule'!$A$2:$Q$2902,Z$2,0)&lt;&gt;J371,"Beam Revised","")</f>
        <v>#N/A</v>
      </c>
      <c r="AA371" s="7" t="e">
        <f>IF(VLOOKUP($A371,'Concrete Beam Schedule'!$A$2:$Q$2902,AA$2,0)&lt;&gt;K371,"Beam Revised","")</f>
        <v>#N/A</v>
      </c>
      <c r="AB371" s="7" t="e">
        <f>IF(VLOOKUP($A371,'Concrete Beam Schedule'!$A$2:$Q$2902,AB$2,0)&lt;&gt;L371,"Beam Revised","")</f>
        <v>#N/A</v>
      </c>
      <c r="AC371" s="7" t="e">
        <f>IF(VLOOKUP($A371,'Concrete Beam Schedule'!$A$2:$Q$2902,AC$2,0)&lt;&gt;M371,"Beam Revised","")</f>
        <v>#N/A</v>
      </c>
      <c r="AD371" s="7" t="e">
        <f>IF(VLOOKUP($A371,'Concrete Beam Schedule'!$A$2:$Q$2902,AD$2,0)&lt;&gt;N371,"Beam Revised","")</f>
        <v>#N/A</v>
      </c>
      <c r="AE371" s="7" t="e">
        <f>IF(VLOOKUP($A371,'Concrete Beam Schedule'!$A$2:$Q$2902,AE$2,0)&lt;&gt;O371,"Beam Revised","")</f>
        <v>#N/A</v>
      </c>
    </row>
    <row r="372" spans="1:31" ht="25.5" customHeight="1" x14ac:dyDescent="0.25">
      <c r="A372" s="17"/>
      <c r="B372" s="17"/>
      <c r="C372" s="17"/>
      <c r="D372" s="17"/>
      <c r="E372" s="17"/>
      <c r="F372" s="17"/>
      <c r="G372" s="17"/>
      <c r="H372" s="17"/>
      <c r="I372" s="17"/>
      <c r="J372" s="17"/>
      <c r="K372" s="17"/>
      <c r="L372" s="17"/>
      <c r="M372" s="17"/>
      <c r="N372" s="17"/>
      <c r="O372" s="17"/>
      <c r="Q372" s="7">
        <f t="shared" si="5"/>
        <v>0</v>
      </c>
      <c r="R372" s="7" t="e">
        <f>IF(VLOOKUP($A372,'Concrete Beam Schedule'!$A$2:$Q$2902,R$2,0)&lt;&gt;B372,VLOOKUP($A372,'Concrete Beam Schedule'!$A$2:$Q$2902,R$2,0),"")</f>
        <v>#N/A</v>
      </c>
      <c r="S372" s="7" t="e">
        <f>IF(VLOOKUP($A372,'Concrete Beam Schedule'!$A$2:$Q$2902,S$2,0)&lt;&gt;C372,VLOOKUP($A372,'Concrete Beam Schedule'!$A$2:$Q$2902,S$2,0),"")</f>
        <v>#N/A</v>
      </c>
      <c r="T372" s="7" t="e">
        <f>IF(VLOOKUP($A372,'Concrete Beam Schedule'!$A$2:$Q$2902,T$2,0)&lt;&gt;D372,"Beam Revised","")</f>
        <v>#N/A</v>
      </c>
      <c r="U372" s="7" t="e">
        <f>IF(VLOOKUP($A372,'Concrete Beam Schedule'!$A$2:$Q$2902,U$2,0)&lt;&gt;E372,"Beam Revised","")</f>
        <v>#N/A</v>
      </c>
      <c r="V372" s="7" t="e">
        <f>IF(VLOOKUP($A372,'Concrete Beam Schedule'!$A$2:$Q$2902,V$2,0)&lt;&gt;F372,"Beam Revised","")</f>
        <v>#N/A</v>
      </c>
      <c r="W372" s="7" t="e">
        <f>IF(VLOOKUP($A372,'Concrete Beam Schedule'!$A$2:$Q$2902,W$2,0)&lt;&gt;G372,"Beam Revised","")</f>
        <v>#N/A</v>
      </c>
      <c r="X372" s="7" t="e">
        <f>IF(VLOOKUP($A372,'Concrete Beam Schedule'!$A$2:$Q$2902,X$2,0)&lt;&gt;H372,"Beam Revised","")</f>
        <v>#N/A</v>
      </c>
      <c r="Y372" s="7" t="e">
        <f>IF(VLOOKUP($A372,'Concrete Beam Schedule'!$A$2:$Q$2902,Y$2,0)&lt;&gt;I372,"Beam Revised","")</f>
        <v>#N/A</v>
      </c>
      <c r="Z372" s="7" t="e">
        <f>IF(VLOOKUP($A372,'Concrete Beam Schedule'!$A$2:$Q$2902,Z$2,0)&lt;&gt;J372,"Beam Revised","")</f>
        <v>#N/A</v>
      </c>
      <c r="AA372" s="7" t="e">
        <f>IF(VLOOKUP($A372,'Concrete Beam Schedule'!$A$2:$Q$2902,AA$2,0)&lt;&gt;K372,"Beam Revised","")</f>
        <v>#N/A</v>
      </c>
      <c r="AB372" s="7" t="e">
        <f>IF(VLOOKUP($A372,'Concrete Beam Schedule'!$A$2:$Q$2902,AB$2,0)&lt;&gt;L372,"Beam Revised","")</f>
        <v>#N/A</v>
      </c>
      <c r="AC372" s="7" t="e">
        <f>IF(VLOOKUP($A372,'Concrete Beam Schedule'!$A$2:$Q$2902,AC$2,0)&lt;&gt;M372,"Beam Revised","")</f>
        <v>#N/A</v>
      </c>
      <c r="AD372" s="7" t="e">
        <f>IF(VLOOKUP($A372,'Concrete Beam Schedule'!$A$2:$Q$2902,AD$2,0)&lt;&gt;N372,"Beam Revised","")</f>
        <v>#N/A</v>
      </c>
      <c r="AE372" s="7" t="e">
        <f>IF(VLOOKUP($A372,'Concrete Beam Schedule'!$A$2:$Q$2902,AE$2,0)&lt;&gt;O372,"Beam Revised","")</f>
        <v>#N/A</v>
      </c>
    </row>
    <row r="373" spans="1:31" ht="25.5" customHeight="1" x14ac:dyDescent="0.25">
      <c r="A373" s="17"/>
      <c r="B373" s="17"/>
      <c r="C373" s="17"/>
      <c r="D373" s="17"/>
      <c r="E373" s="17"/>
      <c r="F373" s="17"/>
      <c r="G373" s="17"/>
      <c r="H373" s="17"/>
      <c r="I373" s="17"/>
      <c r="J373" s="17"/>
      <c r="K373" s="17"/>
      <c r="L373" s="17"/>
      <c r="M373" s="17"/>
      <c r="N373" s="17"/>
      <c r="O373" s="17"/>
      <c r="Q373" s="7">
        <f t="shared" si="5"/>
        <v>0</v>
      </c>
      <c r="R373" s="7" t="e">
        <f>IF(VLOOKUP($A373,'Concrete Beam Schedule'!$A$2:$Q$2902,R$2,0)&lt;&gt;B373,VLOOKUP($A373,'Concrete Beam Schedule'!$A$2:$Q$2902,R$2,0),"")</f>
        <v>#N/A</v>
      </c>
      <c r="S373" s="7" t="e">
        <f>IF(VLOOKUP($A373,'Concrete Beam Schedule'!$A$2:$Q$2902,S$2,0)&lt;&gt;C373,VLOOKUP($A373,'Concrete Beam Schedule'!$A$2:$Q$2902,S$2,0),"")</f>
        <v>#N/A</v>
      </c>
      <c r="T373" s="7" t="e">
        <f>IF(VLOOKUP($A373,'Concrete Beam Schedule'!$A$2:$Q$2902,T$2,0)&lt;&gt;D373,"Beam Revised","")</f>
        <v>#N/A</v>
      </c>
      <c r="U373" s="7" t="e">
        <f>IF(VLOOKUP($A373,'Concrete Beam Schedule'!$A$2:$Q$2902,U$2,0)&lt;&gt;E373,"Beam Revised","")</f>
        <v>#N/A</v>
      </c>
      <c r="V373" s="7" t="e">
        <f>IF(VLOOKUP($A373,'Concrete Beam Schedule'!$A$2:$Q$2902,V$2,0)&lt;&gt;F373,"Beam Revised","")</f>
        <v>#N/A</v>
      </c>
      <c r="W373" s="7" t="e">
        <f>IF(VLOOKUP($A373,'Concrete Beam Schedule'!$A$2:$Q$2902,W$2,0)&lt;&gt;G373,"Beam Revised","")</f>
        <v>#N/A</v>
      </c>
      <c r="X373" s="7" t="e">
        <f>IF(VLOOKUP($A373,'Concrete Beam Schedule'!$A$2:$Q$2902,X$2,0)&lt;&gt;H373,"Beam Revised","")</f>
        <v>#N/A</v>
      </c>
      <c r="Y373" s="7" t="e">
        <f>IF(VLOOKUP($A373,'Concrete Beam Schedule'!$A$2:$Q$2902,Y$2,0)&lt;&gt;I373,"Beam Revised","")</f>
        <v>#N/A</v>
      </c>
      <c r="Z373" s="7" t="e">
        <f>IF(VLOOKUP($A373,'Concrete Beam Schedule'!$A$2:$Q$2902,Z$2,0)&lt;&gt;J373,"Beam Revised","")</f>
        <v>#N/A</v>
      </c>
      <c r="AA373" s="7" t="e">
        <f>IF(VLOOKUP($A373,'Concrete Beam Schedule'!$A$2:$Q$2902,AA$2,0)&lt;&gt;K373,"Beam Revised","")</f>
        <v>#N/A</v>
      </c>
      <c r="AB373" s="7" t="e">
        <f>IF(VLOOKUP($A373,'Concrete Beam Schedule'!$A$2:$Q$2902,AB$2,0)&lt;&gt;L373,"Beam Revised","")</f>
        <v>#N/A</v>
      </c>
      <c r="AC373" s="7" t="e">
        <f>IF(VLOOKUP($A373,'Concrete Beam Schedule'!$A$2:$Q$2902,AC$2,0)&lt;&gt;M373,"Beam Revised","")</f>
        <v>#N/A</v>
      </c>
      <c r="AD373" s="7" t="e">
        <f>IF(VLOOKUP($A373,'Concrete Beam Schedule'!$A$2:$Q$2902,AD$2,0)&lt;&gt;N373,"Beam Revised","")</f>
        <v>#N/A</v>
      </c>
      <c r="AE373" s="7" t="e">
        <f>IF(VLOOKUP($A373,'Concrete Beam Schedule'!$A$2:$Q$2902,AE$2,0)&lt;&gt;O373,"Beam Revised","")</f>
        <v>#N/A</v>
      </c>
    </row>
    <row r="374" spans="1:31" ht="25.5" customHeight="1" x14ac:dyDescent="0.25">
      <c r="A374" s="17"/>
      <c r="B374" s="17"/>
      <c r="C374" s="17"/>
      <c r="D374" s="17"/>
      <c r="E374" s="17"/>
      <c r="F374" s="17"/>
      <c r="G374" s="17"/>
      <c r="H374" s="17"/>
      <c r="I374" s="17"/>
      <c r="J374" s="17"/>
      <c r="K374" s="17"/>
      <c r="L374" s="17"/>
      <c r="M374" s="17"/>
      <c r="N374" s="17"/>
      <c r="O374" s="17"/>
      <c r="Q374" s="7">
        <f t="shared" si="5"/>
        <v>0</v>
      </c>
      <c r="R374" s="7" t="e">
        <f>IF(VLOOKUP($A374,'Concrete Beam Schedule'!$A$2:$Q$2902,R$2,0)&lt;&gt;B374,VLOOKUP($A374,'Concrete Beam Schedule'!$A$2:$Q$2902,R$2,0),"")</f>
        <v>#N/A</v>
      </c>
      <c r="S374" s="7" t="e">
        <f>IF(VLOOKUP($A374,'Concrete Beam Schedule'!$A$2:$Q$2902,S$2,0)&lt;&gt;C374,VLOOKUP($A374,'Concrete Beam Schedule'!$A$2:$Q$2902,S$2,0),"")</f>
        <v>#N/A</v>
      </c>
      <c r="T374" s="7" t="e">
        <f>IF(VLOOKUP($A374,'Concrete Beam Schedule'!$A$2:$Q$2902,T$2,0)&lt;&gt;D374,"Beam Revised","")</f>
        <v>#N/A</v>
      </c>
      <c r="U374" s="7" t="e">
        <f>IF(VLOOKUP($A374,'Concrete Beam Schedule'!$A$2:$Q$2902,U$2,0)&lt;&gt;E374,"Beam Revised","")</f>
        <v>#N/A</v>
      </c>
      <c r="V374" s="7" t="e">
        <f>IF(VLOOKUP($A374,'Concrete Beam Schedule'!$A$2:$Q$2902,V$2,0)&lt;&gt;F374,"Beam Revised","")</f>
        <v>#N/A</v>
      </c>
      <c r="W374" s="7" t="e">
        <f>IF(VLOOKUP($A374,'Concrete Beam Schedule'!$A$2:$Q$2902,W$2,0)&lt;&gt;G374,"Beam Revised","")</f>
        <v>#N/A</v>
      </c>
      <c r="X374" s="7" t="e">
        <f>IF(VLOOKUP($A374,'Concrete Beam Schedule'!$A$2:$Q$2902,X$2,0)&lt;&gt;H374,"Beam Revised","")</f>
        <v>#N/A</v>
      </c>
      <c r="Y374" s="7" t="e">
        <f>IF(VLOOKUP($A374,'Concrete Beam Schedule'!$A$2:$Q$2902,Y$2,0)&lt;&gt;I374,"Beam Revised","")</f>
        <v>#N/A</v>
      </c>
      <c r="Z374" s="7" t="e">
        <f>IF(VLOOKUP($A374,'Concrete Beam Schedule'!$A$2:$Q$2902,Z$2,0)&lt;&gt;J374,"Beam Revised","")</f>
        <v>#N/A</v>
      </c>
      <c r="AA374" s="7" t="e">
        <f>IF(VLOOKUP($A374,'Concrete Beam Schedule'!$A$2:$Q$2902,AA$2,0)&lt;&gt;K374,"Beam Revised","")</f>
        <v>#N/A</v>
      </c>
      <c r="AB374" s="7" t="e">
        <f>IF(VLOOKUP($A374,'Concrete Beam Schedule'!$A$2:$Q$2902,AB$2,0)&lt;&gt;L374,"Beam Revised","")</f>
        <v>#N/A</v>
      </c>
      <c r="AC374" s="7" t="e">
        <f>IF(VLOOKUP($A374,'Concrete Beam Schedule'!$A$2:$Q$2902,AC$2,0)&lt;&gt;M374,"Beam Revised","")</f>
        <v>#N/A</v>
      </c>
      <c r="AD374" s="7" t="e">
        <f>IF(VLOOKUP($A374,'Concrete Beam Schedule'!$A$2:$Q$2902,AD$2,0)&lt;&gt;N374,"Beam Revised","")</f>
        <v>#N/A</v>
      </c>
      <c r="AE374" s="7" t="e">
        <f>IF(VLOOKUP($A374,'Concrete Beam Schedule'!$A$2:$Q$2902,AE$2,0)&lt;&gt;O374,"Beam Revised","")</f>
        <v>#N/A</v>
      </c>
    </row>
    <row r="375" spans="1:31" ht="25.5" customHeight="1" x14ac:dyDescent="0.25">
      <c r="A375" s="17"/>
      <c r="B375" s="17"/>
      <c r="C375" s="17"/>
      <c r="D375" s="17"/>
      <c r="E375" s="17"/>
      <c r="F375" s="17"/>
      <c r="G375" s="17"/>
      <c r="H375" s="17"/>
      <c r="I375" s="17"/>
      <c r="J375" s="17"/>
      <c r="K375" s="17"/>
      <c r="L375" s="17"/>
      <c r="M375" s="17"/>
      <c r="N375" s="17"/>
      <c r="O375" s="17"/>
      <c r="Q375" s="7">
        <f t="shared" si="5"/>
        <v>0</v>
      </c>
      <c r="R375" s="7" t="e">
        <f>IF(VLOOKUP($A375,'Concrete Beam Schedule'!$A$2:$Q$2902,R$2,0)&lt;&gt;B375,VLOOKUP($A375,'Concrete Beam Schedule'!$A$2:$Q$2902,R$2,0),"")</f>
        <v>#N/A</v>
      </c>
      <c r="S375" s="7" t="e">
        <f>IF(VLOOKUP($A375,'Concrete Beam Schedule'!$A$2:$Q$2902,S$2,0)&lt;&gt;C375,VLOOKUP($A375,'Concrete Beam Schedule'!$A$2:$Q$2902,S$2,0),"")</f>
        <v>#N/A</v>
      </c>
      <c r="T375" s="7" t="e">
        <f>IF(VLOOKUP($A375,'Concrete Beam Schedule'!$A$2:$Q$2902,T$2,0)&lt;&gt;D375,"Beam Revised","")</f>
        <v>#N/A</v>
      </c>
      <c r="U375" s="7" t="e">
        <f>IF(VLOOKUP($A375,'Concrete Beam Schedule'!$A$2:$Q$2902,U$2,0)&lt;&gt;E375,"Beam Revised","")</f>
        <v>#N/A</v>
      </c>
      <c r="V375" s="7" t="e">
        <f>IF(VLOOKUP($A375,'Concrete Beam Schedule'!$A$2:$Q$2902,V$2,0)&lt;&gt;F375,"Beam Revised","")</f>
        <v>#N/A</v>
      </c>
      <c r="W375" s="7" t="e">
        <f>IF(VLOOKUP($A375,'Concrete Beam Schedule'!$A$2:$Q$2902,W$2,0)&lt;&gt;G375,"Beam Revised","")</f>
        <v>#N/A</v>
      </c>
      <c r="X375" s="7" t="e">
        <f>IF(VLOOKUP($A375,'Concrete Beam Schedule'!$A$2:$Q$2902,X$2,0)&lt;&gt;H375,"Beam Revised","")</f>
        <v>#N/A</v>
      </c>
      <c r="Y375" s="7" t="e">
        <f>IF(VLOOKUP($A375,'Concrete Beam Schedule'!$A$2:$Q$2902,Y$2,0)&lt;&gt;I375,"Beam Revised","")</f>
        <v>#N/A</v>
      </c>
      <c r="Z375" s="7" t="e">
        <f>IF(VLOOKUP($A375,'Concrete Beam Schedule'!$A$2:$Q$2902,Z$2,0)&lt;&gt;J375,"Beam Revised","")</f>
        <v>#N/A</v>
      </c>
      <c r="AA375" s="7" t="e">
        <f>IF(VLOOKUP($A375,'Concrete Beam Schedule'!$A$2:$Q$2902,AA$2,0)&lt;&gt;K375,"Beam Revised","")</f>
        <v>#N/A</v>
      </c>
      <c r="AB375" s="7" t="e">
        <f>IF(VLOOKUP($A375,'Concrete Beam Schedule'!$A$2:$Q$2902,AB$2,0)&lt;&gt;L375,"Beam Revised","")</f>
        <v>#N/A</v>
      </c>
      <c r="AC375" s="7" t="e">
        <f>IF(VLOOKUP($A375,'Concrete Beam Schedule'!$A$2:$Q$2902,AC$2,0)&lt;&gt;M375,"Beam Revised","")</f>
        <v>#N/A</v>
      </c>
      <c r="AD375" s="7" t="e">
        <f>IF(VLOOKUP($A375,'Concrete Beam Schedule'!$A$2:$Q$2902,AD$2,0)&lt;&gt;N375,"Beam Revised","")</f>
        <v>#N/A</v>
      </c>
      <c r="AE375" s="7" t="e">
        <f>IF(VLOOKUP($A375,'Concrete Beam Schedule'!$A$2:$Q$2902,AE$2,0)&lt;&gt;O375,"Beam Revised","")</f>
        <v>#N/A</v>
      </c>
    </row>
    <row r="376" spans="1:31" ht="25.5" customHeight="1" x14ac:dyDescent="0.25">
      <c r="A376" s="17"/>
      <c r="B376" s="17"/>
      <c r="C376" s="17"/>
      <c r="D376" s="17"/>
      <c r="E376" s="17"/>
      <c r="F376" s="17"/>
      <c r="G376" s="17"/>
      <c r="H376" s="17"/>
      <c r="I376" s="17"/>
      <c r="J376" s="17"/>
      <c r="K376" s="17"/>
      <c r="L376" s="17"/>
      <c r="M376" s="17"/>
      <c r="N376" s="17"/>
      <c r="O376" s="17"/>
      <c r="Q376" s="7">
        <f t="shared" si="5"/>
        <v>0</v>
      </c>
      <c r="R376" s="7" t="e">
        <f>IF(VLOOKUP($A376,'Concrete Beam Schedule'!$A$2:$Q$2902,R$2,0)&lt;&gt;B376,VLOOKUP($A376,'Concrete Beam Schedule'!$A$2:$Q$2902,R$2,0),"")</f>
        <v>#N/A</v>
      </c>
      <c r="S376" s="7" t="e">
        <f>IF(VLOOKUP($A376,'Concrete Beam Schedule'!$A$2:$Q$2902,S$2,0)&lt;&gt;C376,VLOOKUP($A376,'Concrete Beam Schedule'!$A$2:$Q$2902,S$2,0),"")</f>
        <v>#N/A</v>
      </c>
      <c r="T376" s="7" t="e">
        <f>IF(VLOOKUP($A376,'Concrete Beam Schedule'!$A$2:$Q$2902,T$2,0)&lt;&gt;D376,"Beam Revised","")</f>
        <v>#N/A</v>
      </c>
      <c r="U376" s="7" t="e">
        <f>IF(VLOOKUP($A376,'Concrete Beam Schedule'!$A$2:$Q$2902,U$2,0)&lt;&gt;E376,"Beam Revised","")</f>
        <v>#N/A</v>
      </c>
      <c r="V376" s="7" t="e">
        <f>IF(VLOOKUP($A376,'Concrete Beam Schedule'!$A$2:$Q$2902,V$2,0)&lt;&gt;F376,"Beam Revised","")</f>
        <v>#N/A</v>
      </c>
      <c r="W376" s="7" t="e">
        <f>IF(VLOOKUP($A376,'Concrete Beam Schedule'!$A$2:$Q$2902,W$2,0)&lt;&gt;G376,"Beam Revised","")</f>
        <v>#N/A</v>
      </c>
      <c r="X376" s="7" t="e">
        <f>IF(VLOOKUP($A376,'Concrete Beam Schedule'!$A$2:$Q$2902,X$2,0)&lt;&gt;H376,"Beam Revised","")</f>
        <v>#N/A</v>
      </c>
      <c r="Y376" s="7" t="e">
        <f>IF(VLOOKUP($A376,'Concrete Beam Schedule'!$A$2:$Q$2902,Y$2,0)&lt;&gt;I376,"Beam Revised","")</f>
        <v>#N/A</v>
      </c>
      <c r="Z376" s="7" t="e">
        <f>IF(VLOOKUP($A376,'Concrete Beam Schedule'!$A$2:$Q$2902,Z$2,0)&lt;&gt;J376,"Beam Revised","")</f>
        <v>#N/A</v>
      </c>
      <c r="AA376" s="7" t="e">
        <f>IF(VLOOKUP($A376,'Concrete Beam Schedule'!$A$2:$Q$2902,AA$2,0)&lt;&gt;K376,"Beam Revised","")</f>
        <v>#N/A</v>
      </c>
      <c r="AB376" s="7" t="e">
        <f>IF(VLOOKUP($A376,'Concrete Beam Schedule'!$A$2:$Q$2902,AB$2,0)&lt;&gt;L376,"Beam Revised","")</f>
        <v>#N/A</v>
      </c>
      <c r="AC376" s="7" t="e">
        <f>IF(VLOOKUP($A376,'Concrete Beam Schedule'!$A$2:$Q$2902,AC$2,0)&lt;&gt;M376,"Beam Revised","")</f>
        <v>#N/A</v>
      </c>
      <c r="AD376" s="7" t="e">
        <f>IF(VLOOKUP($A376,'Concrete Beam Schedule'!$A$2:$Q$2902,AD$2,0)&lt;&gt;N376,"Beam Revised","")</f>
        <v>#N/A</v>
      </c>
      <c r="AE376" s="7" t="e">
        <f>IF(VLOOKUP($A376,'Concrete Beam Schedule'!$A$2:$Q$2902,AE$2,0)&lt;&gt;O376,"Beam Revised","")</f>
        <v>#N/A</v>
      </c>
    </row>
    <row r="377" spans="1:31" ht="25.5" customHeight="1" x14ac:dyDescent="0.25">
      <c r="A377" s="17"/>
      <c r="B377" s="17"/>
      <c r="C377" s="17"/>
      <c r="D377" s="17"/>
      <c r="E377" s="17"/>
      <c r="F377" s="17"/>
      <c r="G377" s="17"/>
      <c r="H377" s="17"/>
      <c r="I377" s="17"/>
      <c r="J377" s="17"/>
      <c r="K377" s="17"/>
      <c r="L377" s="17"/>
      <c r="M377" s="17"/>
      <c r="N377" s="17"/>
      <c r="O377" s="17"/>
      <c r="Q377" s="7">
        <f t="shared" si="5"/>
        <v>0</v>
      </c>
      <c r="R377" s="7" t="e">
        <f>IF(VLOOKUP($A377,'Concrete Beam Schedule'!$A$2:$Q$2902,R$2,0)&lt;&gt;B377,VLOOKUP($A377,'Concrete Beam Schedule'!$A$2:$Q$2902,R$2,0),"")</f>
        <v>#N/A</v>
      </c>
      <c r="S377" s="7" t="e">
        <f>IF(VLOOKUP($A377,'Concrete Beam Schedule'!$A$2:$Q$2902,S$2,0)&lt;&gt;C377,VLOOKUP($A377,'Concrete Beam Schedule'!$A$2:$Q$2902,S$2,0),"")</f>
        <v>#N/A</v>
      </c>
      <c r="T377" s="7" t="e">
        <f>IF(VLOOKUP($A377,'Concrete Beam Schedule'!$A$2:$Q$2902,T$2,0)&lt;&gt;D377,"Beam Revised","")</f>
        <v>#N/A</v>
      </c>
      <c r="U377" s="7" t="e">
        <f>IF(VLOOKUP($A377,'Concrete Beam Schedule'!$A$2:$Q$2902,U$2,0)&lt;&gt;E377,"Beam Revised","")</f>
        <v>#N/A</v>
      </c>
      <c r="V377" s="7" t="e">
        <f>IF(VLOOKUP($A377,'Concrete Beam Schedule'!$A$2:$Q$2902,V$2,0)&lt;&gt;F377,"Beam Revised","")</f>
        <v>#N/A</v>
      </c>
      <c r="W377" s="7" t="e">
        <f>IF(VLOOKUP($A377,'Concrete Beam Schedule'!$A$2:$Q$2902,W$2,0)&lt;&gt;G377,"Beam Revised","")</f>
        <v>#N/A</v>
      </c>
      <c r="X377" s="7" t="e">
        <f>IF(VLOOKUP($A377,'Concrete Beam Schedule'!$A$2:$Q$2902,X$2,0)&lt;&gt;H377,"Beam Revised","")</f>
        <v>#N/A</v>
      </c>
      <c r="Y377" s="7" t="e">
        <f>IF(VLOOKUP($A377,'Concrete Beam Schedule'!$A$2:$Q$2902,Y$2,0)&lt;&gt;I377,"Beam Revised","")</f>
        <v>#N/A</v>
      </c>
      <c r="Z377" s="7" t="e">
        <f>IF(VLOOKUP($A377,'Concrete Beam Schedule'!$A$2:$Q$2902,Z$2,0)&lt;&gt;J377,"Beam Revised","")</f>
        <v>#N/A</v>
      </c>
      <c r="AA377" s="7" t="e">
        <f>IF(VLOOKUP($A377,'Concrete Beam Schedule'!$A$2:$Q$2902,AA$2,0)&lt;&gt;K377,"Beam Revised","")</f>
        <v>#N/A</v>
      </c>
      <c r="AB377" s="7" t="e">
        <f>IF(VLOOKUP($A377,'Concrete Beam Schedule'!$A$2:$Q$2902,AB$2,0)&lt;&gt;L377,"Beam Revised","")</f>
        <v>#N/A</v>
      </c>
      <c r="AC377" s="7" t="e">
        <f>IF(VLOOKUP($A377,'Concrete Beam Schedule'!$A$2:$Q$2902,AC$2,0)&lt;&gt;M377,"Beam Revised","")</f>
        <v>#N/A</v>
      </c>
      <c r="AD377" s="7" t="e">
        <f>IF(VLOOKUP($A377,'Concrete Beam Schedule'!$A$2:$Q$2902,AD$2,0)&lt;&gt;N377,"Beam Revised","")</f>
        <v>#N/A</v>
      </c>
      <c r="AE377" s="7" t="e">
        <f>IF(VLOOKUP($A377,'Concrete Beam Schedule'!$A$2:$Q$2902,AE$2,0)&lt;&gt;O377,"Beam Revised","")</f>
        <v>#N/A</v>
      </c>
    </row>
    <row r="378" spans="1:31" ht="25.5" customHeight="1" x14ac:dyDescent="0.25">
      <c r="A378" s="17"/>
      <c r="B378" s="17"/>
      <c r="C378" s="17"/>
      <c r="D378" s="17"/>
      <c r="E378" s="17"/>
      <c r="F378" s="17"/>
      <c r="G378" s="17"/>
      <c r="H378" s="17"/>
      <c r="I378" s="17"/>
      <c r="J378" s="17"/>
      <c r="K378" s="17"/>
      <c r="L378" s="17"/>
      <c r="M378" s="17"/>
      <c r="N378" s="17"/>
      <c r="O378" s="17"/>
      <c r="Q378" s="7">
        <f t="shared" si="5"/>
        <v>0</v>
      </c>
      <c r="R378" s="7" t="e">
        <f>IF(VLOOKUP($A378,'Concrete Beam Schedule'!$A$2:$Q$2902,R$2,0)&lt;&gt;B378,VLOOKUP($A378,'Concrete Beam Schedule'!$A$2:$Q$2902,R$2,0),"")</f>
        <v>#N/A</v>
      </c>
      <c r="S378" s="7" t="e">
        <f>IF(VLOOKUP($A378,'Concrete Beam Schedule'!$A$2:$Q$2902,S$2,0)&lt;&gt;C378,VLOOKUP($A378,'Concrete Beam Schedule'!$A$2:$Q$2902,S$2,0),"")</f>
        <v>#N/A</v>
      </c>
      <c r="T378" s="7" t="e">
        <f>IF(VLOOKUP($A378,'Concrete Beam Schedule'!$A$2:$Q$2902,T$2,0)&lt;&gt;D378,"Beam Revised","")</f>
        <v>#N/A</v>
      </c>
      <c r="U378" s="7" t="e">
        <f>IF(VLOOKUP($A378,'Concrete Beam Schedule'!$A$2:$Q$2902,U$2,0)&lt;&gt;E378,"Beam Revised","")</f>
        <v>#N/A</v>
      </c>
      <c r="V378" s="7" t="e">
        <f>IF(VLOOKUP($A378,'Concrete Beam Schedule'!$A$2:$Q$2902,V$2,0)&lt;&gt;F378,"Beam Revised","")</f>
        <v>#N/A</v>
      </c>
      <c r="W378" s="7" t="e">
        <f>IF(VLOOKUP($A378,'Concrete Beam Schedule'!$A$2:$Q$2902,W$2,0)&lt;&gt;G378,"Beam Revised","")</f>
        <v>#N/A</v>
      </c>
      <c r="X378" s="7" t="e">
        <f>IF(VLOOKUP($A378,'Concrete Beam Schedule'!$A$2:$Q$2902,X$2,0)&lt;&gt;H378,"Beam Revised","")</f>
        <v>#N/A</v>
      </c>
      <c r="Y378" s="7" t="e">
        <f>IF(VLOOKUP($A378,'Concrete Beam Schedule'!$A$2:$Q$2902,Y$2,0)&lt;&gt;I378,"Beam Revised","")</f>
        <v>#N/A</v>
      </c>
      <c r="Z378" s="7" t="e">
        <f>IF(VLOOKUP($A378,'Concrete Beam Schedule'!$A$2:$Q$2902,Z$2,0)&lt;&gt;J378,"Beam Revised","")</f>
        <v>#N/A</v>
      </c>
      <c r="AA378" s="7" t="e">
        <f>IF(VLOOKUP($A378,'Concrete Beam Schedule'!$A$2:$Q$2902,AA$2,0)&lt;&gt;K378,"Beam Revised","")</f>
        <v>#N/A</v>
      </c>
      <c r="AB378" s="7" t="e">
        <f>IF(VLOOKUP($A378,'Concrete Beam Schedule'!$A$2:$Q$2902,AB$2,0)&lt;&gt;L378,"Beam Revised","")</f>
        <v>#N/A</v>
      </c>
      <c r="AC378" s="7" t="e">
        <f>IF(VLOOKUP($A378,'Concrete Beam Schedule'!$A$2:$Q$2902,AC$2,0)&lt;&gt;M378,"Beam Revised","")</f>
        <v>#N/A</v>
      </c>
      <c r="AD378" s="7" t="e">
        <f>IF(VLOOKUP($A378,'Concrete Beam Schedule'!$A$2:$Q$2902,AD$2,0)&lt;&gt;N378,"Beam Revised","")</f>
        <v>#N/A</v>
      </c>
      <c r="AE378" s="7" t="e">
        <f>IF(VLOOKUP($A378,'Concrete Beam Schedule'!$A$2:$Q$2902,AE$2,0)&lt;&gt;O378,"Beam Revised","")</f>
        <v>#N/A</v>
      </c>
    </row>
    <row r="379" spans="1:31" ht="25.5" customHeight="1" x14ac:dyDescent="0.25">
      <c r="A379" s="17"/>
      <c r="B379" s="17"/>
      <c r="C379" s="17"/>
      <c r="D379" s="17"/>
      <c r="E379" s="17"/>
      <c r="F379" s="17"/>
      <c r="G379" s="17"/>
      <c r="H379" s="17"/>
      <c r="I379" s="17"/>
      <c r="J379" s="17"/>
      <c r="K379" s="17"/>
      <c r="L379" s="17"/>
      <c r="M379" s="17"/>
      <c r="N379" s="17"/>
      <c r="O379" s="17"/>
      <c r="Q379" s="7">
        <f t="shared" si="5"/>
        <v>0</v>
      </c>
      <c r="R379" s="7" t="e">
        <f>IF(VLOOKUP($A379,'Concrete Beam Schedule'!$A$2:$Q$2902,R$2,0)&lt;&gt;B379,VLOOKUP($A379,'Concrete Beam Schedule'!$A$2:$Q$2902,R$2,0),"")</f>
        <v>#N/A</v>
      </c>
      <c r="S379" s="7" t="e">
        <f>IF(VLOOKUP($A379,'Concrete Beam Schedule'!$A$2:$Q$2902,S$2,0)&lt;&gt;C379,VLOOKUP($A379,'Concrete Beam Schedule'!$A$2:$Q$2902,S$2,0),"")</f>
        <v>#N/A</v>
      </c>
      <c r="T379" s="7" t="e">
        <f>IF(VLOOKUP($A379,'Concrete Beam Schedule'!$A$2:$Q$2902,T$2,0)&lt;&gt;D379,"Beam Revised","")</f>
        <v>#N/A</v>
      </c>
      <c r="U379" s="7" t="e">
        <f>IF(VLOOKUP($A379,'Concrete Beam Schedule'!$A$2:$Q$2902,U$2,0)&lt;&gt;E379,"Beam Revised","")</f>
        <v>#N/A</v>
      </c>
      <c r="V379" s="7" t="e">
        <f>IF(VLOOKUP($A379,'Concrete Beam Schedule'!$A$2:$Q$2902,V$2,0)&lt;&gt;F379,"Beam Revised","")</f>
        <v>#N/A</v>
      </c>
      <c r="W379" s="7" t="e">
        <f>IF(VLOOKUP($A379,'Concrete Beam Schedule'!$A$2:$Q$2902,W$2,0)&lt;&gt;G379,"Beam Revised","")</f>
        <v>#N/A</v>
      </c>
      <c r="X379" s="7" t="e">
        <f>IF(VLOOKUP($A379,'Concrete Beam Schedule'!$A$2:$Q$2902,X$2,0)&lt;&gt;H379,"Beam Revised","")</f>
        <v>#N/A</v>
      </c>
      <c r="Y379" s="7" t="e">
        <f>IF(VLOOKUP($A379,'Concrete Beam Schedule'!$A$2:$Q$2902,Y$2,0)&lt;&gt;I379,"Beam Revised","")</f>
        <v>#N/A</v>
      </c>
      <c r="Z379" s="7" t="e">
        <f>IF(VLOOKUP($A379,'Concrete Beam Schedule'!$A$2:$Q$2902,Z$2,0)&lt;&gt;J379,"Beam Revised","")</f>
        <v>#N/A</v>
      </c>
      <c r="AA379" s="7" t="e">
        <f>IF(VLOOKUP($A379,'Concrete Beam Schedule'!$A$2:$Q$2902,AA$2,0)&lt;&gt;K379,"Beam Revised","")</f>
        <v>#N/A</v>
      </c>
      <c r="AB379" s="7" t="e">
        <f>IF(VLOOKUP($A379,'Concrete Beam Schedule'!$A$2:$Q$2902,AB$2,0)&lt;&gt;L379,"Beam Revised","")</f>
        <v>#N/A</v>
      </c>
      <c r="AC379" s="7" t="e">
        <f>IF(VLOOKUP($A379,'Concrete Beam Schedule'!$A$2:$Q$2902,AC$2,0)&lt;&gt;M379,"Beam Revised","")</f>
        <v>#N/A</v>
      </c>
      <c r="AD379" s="7" t="e">
        <f>IF(VLOOKUP($A379,'Concrete Beam Schedule'!$A$2:$Q$2902,AD$2,0)&lt;&gt;N379,"Beam Revised","")</f>
        <v>#N/A</v>
      </c>
      <c r="AE379" s="7" t="e">
        <f>IF(VLOOKUP($A379,'Concrete Beam Schedule'!$A$2:$Q$2902,AE$2,0)&lt;&gt;O379,"Beam Revised","")</f>
        <v>#N/A</v>
      </c>
    </row>
    <row r="380" spans="1:31" ht="25.5" customHeight="1" x14ac:dyDescent="0.25">
      <c r="A380" s="17"/>
      <c r="B380" s="17"/>
      <c r="C380" s="17"/>
      <c r="D380" s="17"/>
      <c r="E380" s="17"/>
      <c r="F380" s="17"/>
      <c r="G380" s="17"/>
      <c r="H380" s="17"/>
      <c r="I380" s="17"/>
      <c r="J380" s="17"/>
      <c r="K380" s="17"/>
      <c r="L380" s="17"/>
      <c r="M380" s="17"/>
      <c r="N380" s="17"/>
      <c r="O380" s="17"/>
      <c r="Q380" s="7">
        <f t="shared" si="5"/>
        <v>0</v>
      </c>
      <c r="R380" s="7" t="e">
        <f>IF(VLOOKUP($A380,'Concrete Beam Schedule'!$A$2:$Q$2902,R$2,0)&lt;&gt;B380,VLOOKUP($A380,'Concrete Beam Schedule'!$A$2:$Q$2902,R$2,0),"")</f>
        <v>#N/A</v>
      </c>
      <c r="S380" s="7" t="e">
        <f>IF(VLOOKUP($A380,'Concrete Beam Schedule'!$A$2:$Q$2902,S$2,0)&lt;&gt;C380,VLOOKUP($A380,'Concrete Beam Schedule'!$A$2:$Q$2902,S$2,0),"")</f>
        <v>#N/A</v>
      </c>
      <c r="T380" s="7" t="e">
        <f>IF(VLOOKUP($A380,'Concrete Beam Schedule'!$A$2:$Q$2902,T$2,0)&lt;&gt;D380,"Beam Revised","")</f>
        <v>#N/A</v>
      </c>
      <c r="U380" s="7" t="e">
        <f>IF(VLOOKUP($A380,'Concrete Beam Schedule'!$A$2:$Q$2902,U$2,0)&lt;&gt;E380,"Beam Revised","")</f>
        <v>#N/A</v>
      </c>
      <c r="V380" s="7" t="e">
        <f>IF(VLOOKUP($A380,'Concrete Beam Schedule'!$A$2:$Q$2902,V$2,0)&lt;&gt;F380,"Beam Revised","")</f>
        <v>#N/A</v>
      </c>
      <c r="W380" s="7" t="e">
        <f>IF(VLOOKUP($A380,'Concrete Beam Schedule'!$A$2:$Q$2902,W$2,0)&lt;&gt;G380,"Beam Revised","")</f>
        <v>#N/A</v>
      </c>
      <c r="X380" s="7" t="e">
        <f>IF(VLOOKUP($A380,'Concrete Beam Schedule'!$A$2:$Q$2902,X$2,0)&lt;&gt;H380,"Beam Revised","")</f>
        <v>#N/A</v>
      </c>
      <c r="Y380" s="7" t="e">
        <f>IF(VLOOKUP($A380,'Concrete Beam Schedule'!$A$2:$Q$2902,Y$2,0)&lt;&gt;I380,"Beam Revised","")</f>
        <v>#N/A</v>
      </c>
      <c r="Z380" s="7" t="e">
        <f>IF(VLOOKUP($A380,'Concrete Beam Schedule'!$A$2:$Q$2902,Z$2,0)&lt;&gt;J380,"Beam Revised","")</f>
        <v>#N/A</v>
      </c>
      <c r="AA380" s="7" t="e">
        <f>IF(VLOOKUP($A380,'Concrete Beam Schedule'!$A$2:$Q$2902,AA$2,0)&lt;&gt;K380,"Beam Revised","")</f>
        <v>#N/A</v>
      </c>
      <c r="AB380" s="7" t="e">
        <f>IF(VLOOKUP($A380,'Concrete Beam Schedule'!$A$2:$Q$2902,AB$2,0)&lt;&gt;L380,"Beam Revised","")</f>
        <v>#N/A</v>
      </c>
      <c r="AC380" s="7" t="e">
        <f>IF(VLOOKUP($A380,'Concrete Beam Schedule'!$A$2:$Q$2902,AC$2,0)&lt;&gt;M380,"Beam Revised","")</f>
        <v>#N/A</v>
      </c>
      <c r="AD380" s="7" t="e">
        <f>IF(VLOOKUP($A380,'Concrete Beam Schedule'!$A$2:$Q$2902,AD$2,0)&lt;&gt;N380,"Beam Revised","")</f>
        <v>#N/A</v>
      </c>
      <c r="AE380" s="7" t="e">
        <f>IF(VLOOKUP($A380,'Concrete Beam Schedule'!$A$2:$Q$2902,AE$2,0)&lt;&gt;O380,"Beam Revised","")</f>
        <v>#N/A</v>
      </c>
    </row>
    <row r="381" spans="1:31" ht="25.5" customHeight="1" x14ac:dyDescent="0.25">
      <c r="A381" s="17"/>
      <c r="B381" s="17"/>
      <c r="C381" s="17"/>
      <c r="D381" s="17"/>
      <c r="E381" s="17"/>
      <c r="F381" s="17"/>
      <c r="G381" s="17"/>
      <c r="H381" s="17"/>
      <c r="I381" s="17"/>
      <c r="J381" s="17"/>
      <c r="K381" s="17"/>
      <c r="L381" s="17"/>
      <c r="M381" s="17"/>
      <c r="N381" s="17"/>
      <c r="O381" s="17"/>
      <c r="Q381" s="7">
        <f t="shared" si="5"/>
        <v>0</v>
      </c>
      <c r="R381" s="7" t="e">
        <f>IF(VLOOKUP($A381,'Concrete Beam Schedule'!$A$2:$Q$2902,R$2,0)&lt;&gt;B381,VLOOKUP($A381,'Concrete Beam Schedule'!$A$2:$Q$2902,R$2,0),"")</f>
        <v>#N/A</v>
      </c>
      <c r="S381" s="7" t="e">
        <f>IF(VLOOKUP($A381,'Concrete Beam Schedule'!$A$2:$Q$2902,S$2,0)&lt;&gt;C381,VLOOKUP($A381,'Concrete Beam Schedule'!$A$2:$Q$2902,S$2,0),"")</f>
        <v>#N/A</v>
      </c>
      <c r="T381" s="7" t="e">
        <f>IF(VLOOKUP($A381,'Concrete Beam Schedule'!$A$2:$Q$2902,T$2,0)&lt;&gt;D381,"Beam Revised","")</f>
        <v>#N/A</v>
      </c>
      <c r="U381" s="7" t="e">
        <f>IF(VLOOKUP($A381,'Concrete Beam Schedule'!$A$2:$Q$2902,U$2,0)&lt;&gt;E381,"Beam Revised","")</f>
        <v>#N/A</v>
      </c>
      <c r="V381" s="7" t="e">
        <f>IF(VLOOKUP($A381,'Concrete Beam Schedule'!$A$2:$Q$2902,V$2,0)&lt;&gt;F381,"Beam Revised","")</f>
        <v>#N/A</v>
      </c>
      <c r="W381" s="7" t="e">
        <f>IF(VLOOKUP($A381,'Concrete Beam Schedule'!$A$2:$Q$2902,W$2,0)&lt;&gt;G381,"Beam Revised","")</f>
        <v>#N/A</v>
      </c>
      <c r="X381" s="7" t="e">
        <f>IF(VLOOKUP($A381,'Concrete Beam Schedule'!$A$2:$Q$2902,X$2,0)&lt;&gt;H381,"Beam Revised","")</f>
        <v>#N/A</v>
      </c>
      <c r="Y381" s="7" t="e">
        <f>IF(VLOOKUP($A381,'Concrete Beam Schedule'!$A$2:$Q$2902,Y$2,0)&lt;&gt;I381,"Beam Revised","")</f>
        <v>#N/A</v>
      </c>
      <c r="Z381" s="7" t="e">
        <f>IF(VLOOKUP($A381,'Concrete Beam Schedule'!$A$2:$Q$2902,Z$2,0)&lt;&gt;J381,"Beam Revised","")</f>
        <v>#N/A</v>
      </c>
      <c r="AA381" s="7" t="e">
        <f>IF(VLOOKUP($A381,'Concrete Beam Schedule'!$A$2:$Q$2902,AA$2,0)&lt;&gt;K381,"Beam Revised","")</f>
        <v>#N/A</v>
      </c>
      <c r="AB381" s="7" t="e">
        <f>IF(VLOOKUP($A381,'Concrete Beam Schedule'!$A$2:$Q$2902,AB$2,0)&lt;&gt;L381,"Beam Revised","")</f>
        <v>#N/A</v>
      </c>
      <c r="AC381" s="7" t="e">
        <f>IF(VLOOKUP($A381,'Concrete Beam Schedule'!$A$2:$Q$2902,AC$2,0)&lt;&gt;M381,"Beam Revised","")</f>
        <v>#N/A</v>
      </c>
      <c r="AD381" s="7" t="e">
        <f>IF(VLOOKUP($A381,'Concrete Beam Schedule'!$A$2:$Q$2902,AD$2,0)&lt;&gt;N381,"Beam Revised","")</f>
        <v>#N/A</v>
      </c>
      <c r="AE381" s="7" t="e">
        <f>IF(VLOOKUP($A381,'Concrete Beam Schedule'!$A$2:$Q$2902,AE$2,0)&lt;&gt;O381,"Beam Revised","")</f>
        <v>#N/A</v>
      </c>
    </row>
    <row r="382" spans="1:31" ht="25.5" customHeight="1" x14ac:dyDescent="0.25">
      <c r="A382" s="17"/>
      <c r="B382" s="17"/>
      <c r="C382" s="17"/>
      <c r="D382" s="17"/>
      <c r="E382" s="17"/>
      <c r="F382" s="17"/>
      <c r="G382" s="17"/>
      <c r="H382" s="17"/>
      <c r="I382" s="17"/>
      <c r="J382" s="17"/>
      <c r="K382" s="17"/>
      <c r="L382" s="17"/>
      <c r="M382" s="17"/>
      <c r="N382" s="17"/>
      <c r="O382" s="17"/>
      <c r="Q382" s="7">
        <f t="shared" si="5"/>
        <v>0</v>
      </c>
      <c r="R382" s="7" t="e">
        <f>IF(VLOOKUP($A382,'Concrete Beam Schedule'!$A$2:$Q$2902,R$2,0)&lt;&gt;B382,VLOOKUP($A382,'Concrete Beam Schedule'!$A$2:$Q$2902,R$2,0),"")</f>
        <v>#N/A</v>
      </c>
      <c r="S382" s="7" t="e">
        <f>IF(VLOOKUP($A382,'Concrete Beam Schedule'!$A$2:$Q$2902,S$2,0)&lt;&gt;C382,VLOOKUP($A382,'Concrete Beam Schedule'!$A$2:$Q$2902,S$2,0),"")</f>
        <v>#N/A</v>
      </c>
      <c r="T382" s="7" t="e">
        <f>IF(VLOOKUP($A382,'Concrete Beam Schedule'!$A$2:$Q$2902,T$2,0)&lt;&gt;D382,"Beam Revised","")</f>
        <v>#N/A</v>
      </c>
      <c r="U382" s="7" t="e">
        <f>IF(VLOOKUP($A382,'Concrete Beam Schedule'!$A$2:$Q$2902,U$2,0)&lt;&gt;E382,"Beam Revised","")</f>
        <v>#N/A</v>
      </c>
      <c r="V382" s="7" t="e">
        <f>IF(VLOOKUP($A382,'Concrete Beam Schedule'!$A$2:$Q$2902,V$2,0)&lt;&gt;F382,"Beam Revised","")</f>
        <v>#N/A</v>
      </c>
      <c r="W382" s="7" t="e">
        <f>IF(VLOOKUP($A382,'Concrete Beam Schedule'!$A$2:$Q$2902,W$2,0)&lt;&gt;G382,"Beam Revised","")</f>
        <v>#N/A</v>
      </c>
      <c r="X382" s="7" t="e">
        <f>IF(VLOOKUP($A382,'Concrete Beam Schedule'!$A$2:$Q$2902,X$2,0)&lt;&gt;H382,"Beam Revised","")</f>
        <v>#N/A</v>
      </c>
      <c r="Y382" s="7" t="e">
        <f>IF(VLOOKUP($A382,'Concrete Beam Schedule'!$A$2:$Q$2902,Y$2,0)&lt;&gt;I382,"Beam Revised","")</f>
        <v>#N/A</v>
      </c>
      <c r="Z382" s="7" t="e">
        <f>IF(VLOOKUP($A382,'Concrete Beam Schedule'!$A$2:$Q$2902,Z$2,0)&lt;&gt;J382,"Beam Revised","")</f>
        <v>#N/A</v>
      </c>
      <c r="AA382" s="7" t="e">
        <f>IF(VLOOKUP($A382,'Concrete Beam Schedule'!$A$2:$Q$2902,AA$2,0)&lt;&gt;K382,"Beam Revised","")</f>
        <v>#N/A</v>
      </c>
      <c r="AB382" s="7" t="e">
        <f>IF(VLOOKUP($A382,'Concrete Beam Schedule'!$A$2:$Q$2902,AB$2,0)&lt;&gt;L382,"Beam Revised","")</f>
        <v>#N/A</v>
      </c>
      <c r="AC382" s="7" t="e">
        <f>IF(VLOOKUP($A382,'Concrete Beam Schedule'!$A$2:$Q$2902,AC$2,0)&lt;&gt;M382,"Beam Revised","")</f>
        <v>#N/A</v>
      </c>
      <c r="AD382" s="7" t="e">
        <f>IF(VLOOKUP($A382,'Concrete Beam Schedule'!$A$2:$Q$2902,AD$2,0)&lt;&gt;N382,"Beam Revised","")</f>
        <v>#N/A</v>
      </c>
      <c r="AE382" s="7" t="e">
        <f>IF(VLOOKUP($A382,'Concrete Beam Schedule'!$A$2:$Q$2902,AE$2,0)&lt;&gt;O382,"Beam Revised","")</f>
        <v>#N/A</v>
      </c>
    </row>
    <row r="383" spans="1:31" ht="25.5" customHeight="1" x14ac:dyDescent="0.25">
      <c r="A383" s="17"/>
      <c r="B383" s="17"/>
      <c r="C383" s="17"/>
      <c r="D383" s="17"/>
      <c r="E383" s="17"/>
      <c r="F383" s="17"/>
      <c r="G383" s="17"/>
      <c r="H383" s="17"/>
      <c r="I383" s="17"/>
      <c r="J383" s="17"/>
      <c r="K383" s="17"/>
      <c r="L383" s="17"/>
      <c r="M383" s="17"/>
      <c r="N383" s="17"/>
      <c r="O383" s="17"/>
      <c r="Q383" s="7">
        <f t="shared" si="5"/>
        <v>0</v>
      </c>
      <c r="R383" s="7" t="e">
        <f>IF(VLOOKUP($A383,'Concrete Beam Schedule'!$A$2:$Q$2902,R$2,0)&lt;&gt;B383,VLOOKUP($A383,'Concrete Beam Schedule'!$A$2:$Q$2902,R$2,0),"")</f>
        <v>#N/A</v>
      </c>
      <c r="S383" s="7" t="e">
        <f>IF(VLOOKUP($A383,'Concrete Beam Schedule'!$A$2:$Q$2902,S$2,0)&lt;&gt;C383,VLOOKUP($A383,'Concrete Beam Schedule'!$A$2:$Q$2902,S$2,0),"")</f>
        <v>#N/A</v>
      </c>
      <c r="T383" s="7" t="e">
        <f>IF(VLOOKUP($A383,'Concrete Beam Schedule'!$A$2:$Q$2902,T$2,0)&lt;&gt;D383,"Beam Revised","")</f>
        <v>#N/A</v>
      </c>
      <c r="U383" s="7" t="e">
        <f>IF(VLOOKUP($A383,'Concrete Beam Schedule'!$A$2:$Q$2902,U$2,0)&lt;&gt;E383,"Beam Revised","")</f>
        <v>#N/A</v>
      </c>
      <c r="V383" s="7" t="e">
        <f>IF(VLOOKUP($A383,'Concrete Beam Schedule'!$A$2:$Q$2902,V$2,0)&lt;&gt;F383,"Beam Revised","")</f>
        <v>#N/A</v>
      </c>
      <c r="W383" s="7" t="e">
        <f>IF(VLOOKUP($A383,'Concrete Beam Schedule'!$A$2:$Q$2902,W$2,0)&lt;&gt;G383,"Beam Revised","")</f>
        <v>#N/A</v>
      </c>
      <c r="X383" s="7" t="e">
        <f>IF(VLOOKUP($A383,'Concrete Beam Schedule'!$A$2:$Q$2902,X$2,0)&lt;&gt;H383,"Beam Revised","")</f>
        <v>#N/A</v>
      </c>
      <c r="Y383" s="7" t="e">
        <f>IF(VLOOKUP($A383,'Concrete Beam Schedule'!$A$2:$Q$2902,Y$2,0)&lt;&gt;I383,"Beam Revised","")</f>
        <v>#N/A</v>
      </c>
      <c r="Z383" s="7" t="e">
        <f>IF(VLOOKUP($A383,'Concrete Beam Schedule'!$A$2:$Q$2902,Z$2,0)&lt;&gt;J383,"Beam Revised","")</f>
        <v>#N/A</v>
      </c>
      <c r="AA383" s="7" t="e">
        <f>IF(VLOOKUP($A383,'Concrete Beam Schedule'!$A$2:$Q$2902,AA$2,0)&lt;&gt;K383,"Beam Revised","")</f>
        <v>#N/A</v>
      </c>
      <c r="AB383" s="7" t="e">
        <f>IF(VLOOKUP($A383,'Concrete Beam Schedule'!$A$2:$Q$2902,AB$2,0)&lt;&gt;L383,"Beam Revised","")</f>
        <v>#N/A</v>
      </c>
      <c r="AC383" s="7" t="e">
        <f>IF(VLOOKUP($A383,'Concrete Beam Schedule'!$A$2:$Q$2902,AC$2,0)&lt;&gt;M383,"Beam Revised","")</f>
        <v>#N/A</v>
      </c>
      <c r="AD383" s="7" t="e">
        <f>IF(VLOOKUP($A383,'Concrete Beam Schedule'!$A$2:$Q$2902,AD$2,0)&lt;&gt;N383,"Beam Revised","")</f>
        <v>#N/A</v>
      </c>
      <c r="AE383" s="7" t="e">
        <f>IF(VLOOKUP($A383,'Concrete Beam Schedule'!$A$2:$Q$2902,AE$2,0)&lt;&gt;O383,"Beam Revised","")</f>
        <v>#N/A</v>
      </c>
    </row>
    <row r="384" spans="1:31" ht="25.5" customHeight="1" x14ac:dyDescent="0.25">
      <c r="A384" s="17"/>
      <c r="B384" s="17"/>
      <c r="C384" s="17"/>
      <c r="D384" s="17"/>
      <c r="E384" s="17"/>
      <c r="F384" s="17"/>
      <c r="G384" s="17"/>
      <c r="H384" s="17"/>
      <c r="I384" s="17"/>
      <c r="J384" s="17"/>
      <c r="K384" s="17"/>
      <c r="L384" s="17"/>
      <c r="M384" s="17"/>
      <c r="N384" s="17"/>
      <c r="O384" s="17"/>
      <c r="Q384" s="7">
        <f t="shared" si="5"/>
        <v>0</v>
      </c>
      <c r="R384" s="7" t="e">
        <f>IF(VLOOKUP($A384,'Concrete Beam Schedule'!$A$2:$Q$2902,R$2,0)&lt;&gt;B384,VLOOKUP($A384,'Concrete Beam Schedule'!$A$2:$Q$2902,R$2,0),"")</f>
        <v>#N/A</v>
      </c>
      <c r="S384" s="7" t="e">
        <f>IF(VLOOKUP($A384,'Concrete Beam Schedule'!$A$2:$Q$2902,S$2,0)&lt;&gt;C384,VLOOKUP($A384,'Concrete Beam Schedule'!$A$2:$Q$2902,S$2,0),"")</f>
        <v>#N/A</v>
      </c>
      <c r="T384" s="7" t="e">
        <f>IF(VLOOKUP($A384,'Concrete Beam Schedule'!$A$2:$Q$2902,T$2,0)&lt;&gt;D384,"Beam Revised","")</f>
        <v>#N/A</v>
      </c>
      <c r="U384" s="7" t="e">
        <f>IF(VLOOKUP($A384,'Concrete Beam Schedule'!$A$2:$Q$2902,U$2,0)&lt;&gt;E384,"Beam Revised","")</f>
        <v>#N/A</v>
      </c>
      <c r="V384" s="7" t="e">
        <f>IF(VLOOKUP($A384,'Concrete Beam Schedule'!$A$2:$Q$2902,V$2,0)&lt;&gt;F384,"Beam Revised","")</f>
        <v>#N/A</v>
      </c>
      <c r="W384" s="7" t="e">
        <f>IF(VLOOKUP($A384,'Concrete Beam Schedule'!$A$2:$Q$2902,W$2,0)&lt;&gt;G384,"Beam Revised","")</f>
        <v>#N/A</v>
      </c>
      <c r="X384" s="7" t="e">
        <f>IF(VLOOKUP($A384,'Concrete Beam Schedule'!$A$2:$Q$2902,X$2,0)&lt;&gt;H384,"Beam Revised","")</f>
        <v>#N/A</v>
      </c>
      <c r="Y384" s="7" t="e">
        <f>IF(VLOOKUP($A384,'Concrete Beam Schedule'!$A$2:$Q$2902,Y$2,0)&lt;&gt;I384,"Beam Revised","")</f>
        <v>#N/A</v>
      </c>
      <c r="Z384" s="7" t="e">
        <f>IF(VLOOKUP($A384,'Concrete Beam Schedule'!$A$2:$Q$2902,Z$2,0)&lt;&gt;J384,"Beam Revised","")</f>
        <v>#N/A</v>
      </c>
      <c r="AA384" s="7" t="e">
        <f>IF(VLOOKUP($A384,'Concrete Beam Schedule'!$A$2:$Q$2902,AA$2,0)&lt;&gt;K384,"Beam Revised","")</f>
        <v>#N/A</v>
      </c>
      <c r="AB384" s="7" t="e">
        <f>IF(VLOOKUP($A384,'Concrete Beam Schedule'!$A$2:$Q$2902,AB$2,0)&lt;&gt;L384,"Beam Revised","")</f>
        <v>#N/A</v>
      </c>
      <c r="AC384" s="7" t="e">
        <f>IF(VLOOKUP($A384,'Concrete Beam Schedule'!$A$2:$Q$2902,AC$2,0)&lt;&gt;M384,"Beam Revised","")</f>
        <v>#N/A</v>
      </c>
      <c r="AD384" s="7" t="e">
        <f>IF(VLOOKUP($A384,'Concrete Beam Schedule'!$A$2:$Q$2902,AD$2,0)&lt;&gt;N384,"Beam Revised","")</f>
        <v>#N/A</v>
      </c>
      <c r="AE384" s="7" t="e">
        <f>IF(VLOOKUP($A384,'Concrete Beam Schedule'!$A$2:$Q$2902,AE$2,0)&lt;&gt;O384,"Beam Revised","")</f>
        <v>#N/A</v>
      </c>
    </row>
    <row r="385" spans="1:31" ht="25.5" customHeight="1" x14ac:dyDescent="0.25">
      <c r="A385" s="17"/>
      <c r="B385" s="17"/>
      <c r="C385" s="17"/>
      <c r="D385" s="17"/>
      <c r="E385" s="17"/>
      <c r="F385" s="17"/>
      <c r="G385" s="17"/>
      <c r="H385" s="17"/>
      <c r="I385" s="17"/>
      <c r="J385" s="17"/>
      <c r="K385" s="17"/>
      <c r="L385" s="17"/>
      <c r="M385" s="17"/>
      <c r="N385" s="17"/>
      <c r="O385" s="17"/>
      <c r="Q385" s="7">
        <f t="shared" si="5"/>
        <v>0</v>
      </c>
      <c r="R385" s="7" t="e">
        <f>IF(VLOOKUP($A385,'Concrete Beam Schedule'!$A$2:$Q$2902,R$2,0)&lt;&gt;B385,VLOOKUP($A385,'Concrete Beam Schedule'!$A$2:$Q$2902,R$2,0),"")</f>
        <v>#N/A</v>
      </c>
      <c r="S385" s="7" t="e">
        <f>IF(VLOOKUP($A385,'Concrete Beam Schedule'!$A$2:$Q$2902,S$2,0)&lt;&gt;C385,VLOOKUP($A385,'Concrete Beam Schedule'!$A$2:$Q$2902,S$2,0),"")</f>
        <v>#N/A</v>
      </c>
      <c r="T385" s="7" t="e">
        <f>IF(VLOOKUP($A385,'Concrete Beam Schedule'!$A$2:$Q$2902,T$2,0)&lt;&gt;D385,"Beam Revised","")</f>
        <v>#N/A</v>
      </c>
      <c r="U385" s="7" t="e">
        <f>IF(VLOOKUP($A385,'Concrete Beam Schedule'!$A$2:$Q$2902,U$2,0)&lt;&gt;E385,"Beam Revised","")</f>
        <v>#N/A</v>
      </c>
      <c r="V385" s="7" t="e">
        <f>IF(VLOOKUP($A385,'Concrete Beam Schedule'!$A$2:$Q$2902,V$2,0)&lt;&gt;F385,"Beam Revised","")</f>
        <v>#N/A</v>
      </c>
      <c r="W385" s="7" t="e">
        <f>IF(VLOOKUP($A385,'Concrete Beam Schedule'!$A$2:$Q$2902,W$2,0)&lt;&gt;G385,"Beam Revised","")</f>
        <v>#N/A</v>
      </c>
      <c r="X385" s="7" t="e">
        <f>IF(VLOOKUP($A385,'Concrete Beam Schedule'!$A$2:$Q$2902,X$2,0)&lt;&gt;H385,"Beam Revised","")</f>
        <v>#N/A</v>
      </c>
      <c r="Y385" s="7" t="e">
        <f>IF(VLOOKUP($A385,'Concrete Beam Schedule'!$A$2:$Q$2902,Y$2,0)&lt;&gt;I385,"Beam Revised","")</f>
        <v>#N/A</v>
      </c>
      <c r="Z385" s="7" t="e">
        <f>IF(VLOOKUP($A385,'Concrete Beam Schedule'!$A$2:$Q$2902,Z$2,0)&lt;&gt;J385,"Beam Revised","")</f>
        <v>#N/A</v>
      </c>
      <c r="AA385" s="7" t="e">
        <f>IF(VLOOKUP($A385,'Concrete Beam Schedule'!$A$2:$Q$2902,AA$2,0)&lt;&gt;K385,"Beam Revised","")</f>
        <v>#N/A</v>
      </c>
      <c r="AB385" s="7" t="e">
        <f>IF(VLOOKUP($A385,'Concrete Beam Schedule'!$A$2:$Q$2902,AB$2,0)&lt;&gt;L385,"Beam Revised","")</f>
        <v>#N/A</v>
      </c>
      <c r="AC385" s="7" t="e">
        <f>IF(VLOOKUP($A385,'Concrete Beam Schedule'!$A$2:$Q$2902,AC$2,0)&lt;&gt;M385,"Beam Revised","")</f>
        <v>#N/A</v>
      </c>
      <c r="AD385" s="7" t="e">
        <f>IF(VLOOKUP($A385,'Concrete Beam Schedule'!$A$2:$Q$2902,AD$2,0)&lt;&gt;N385,"Beam Revised","")</f>
        <v>#N/A</v>
      </c>
      <c r="AE385" s="7" t="e">
        <f>IF(VLOOKUP($A385,'Concrete Beam Schedule'!$A$2:$Q$2902,AE$2,0)&lt;&gt;O385,"Beam Revised","")</f>
        <v>#N/A</v>
      </c>
    </row>
    <row r="386" spans="1:31" ht="25.5" customHeight="1" x14ac:dyDescent="0.25">
      <c r="A386" s="17"/>
      <c r="B386" s="17"/>
      <c r="C386" s="17"/>
      <c r="D386" s="17"/>
      <c r="E386" s="17"/>
      <c r="F386" s="17"/>
      <c r="G386" s="17"/>
      <c r="H386" s="17"/>
      <c r="I386" s="17"/>
      <c r="J386" s="17"/>
      <c r="K386" s="17"/>
      <c r="L386" s="17"/>
      <c r="M386" s="17"/>
      <c r="N386" s="17"/>
      <c r="O386" s="17"/>
      <c r="Q386" s="7">
        <f t="shared" si="5"/>
        <v>0</v>
      </c>
      <c r="R386" s="7" t="e">
        <f>IF(VLOOKUP($A386,'Concrete Beam Schedule'!$A$2:$Q$2902,R$2,0)&lt;&gt;B386,VLOOKUP($A386,'Concrete Beam Schedule'!$A$2:$Q$2902,R$2,0),"")</f>
        <v>#N/A</v>
      </c>
      <c r="S386" s="7" t="e">
        <f>IF(VLOOKUP($A386,'Concrete Beam Schedule'!$A$2:$Q$2902,S$2,0)&lt;&gt;C386,VLOOKUP($A386,'Concrete Beam Schedule'!$A$2:$Q$2902,S$2,0),"")</f>
        <v>#N/A</v>
      </c>
      <c r="T386" s="7" t="e">
        <f>IF(VLOOKUP($A386,'Concrete Beam Schedule'!$A$2:$Q$2902,T$2,0)&lt;&gt;D386,"Beam Revised","")</f>
        <v>#N/A</v>
      </c>
      <c r="U386" s="7" t="e">
        <f>IF(VLOOKUP($A386,'Concrete Beam Schedule'!$A$2:$Q$2902,U$2,0)&lt;&gt;E386,"Beam Revised","")</f>
        <v>#N/A</v>
      </c>
      <c r="V386" s="7" t="e">
        <f>IF(VLOOKUP($A386,'Concrete Beam Schedule'!$A$2:$Q$2902,V$2,0)&lt;&gt;F386,"Beam Revised","")</f>
        <v>#N/A</v>
      </c>
      <c r="W386" s="7" t="e">
        <f>IF(VLOOKUP($A386,'Concrete Beam Schedule'!$A$2:$Q$2902,W$2,0)&lt;&gt;G386,"Beam Revised","")</f>
        <v>#N/A</v>
      </c>
      <c r="X386" s="7" t="e">
        <f>IF(VLOOKUP($A386,'Concrete Beam Schedule'!$A$2:$Q$2902,X$2,0)&lt;&gt;H386,"Beam Revised","")</f>
        <v>#N/A</v>
      </c>
      <c r="Y386" s="7" t="e">
        <f>IF(VLOOKUP($A386,'Concrete Beam Schedule'!$A$2:$Q$2902,Y$2,0)&lt;&gt;I386,"Beam Revised","")</f>
        <v>#N/A</v>
      </c>
      <c r="Z386" s="7" t="e">
        <f>IF(VLOOKUP($A386,'Concrete Beam Schedule'!$A$2:$Q$2902,Z$2,0)&lt;&gt;J386,"Beam Revised","")</f>
        <v>#N/A</v>
      </c>
      <c r="AA386" s="7" t="e">
        <f>IF(VLOOKUP($A386,'Concrete Beam Schedule'!$A$2:$Q$2902,AA$2,0)&lt;&gt;K386,"Beam Revised","")</f>
        <v>#N/A</v>
      </c>
      <c r="AB386" s="7" t="e">
        <f>IF(VLOOKUP($A386,'Concrete Beam Schedule'!$A$2:$Q$2902,AB$2,0)&lt;&gt;L386,"Beam Revised","")</f>
        <v>#N/A</v>
      </c>
      <c r="AC386" s="7" t="e">
        <f>IF(VLOOKUP($A386,'Concrete Beam Schedule'!$A$2:$Q$2902,AC$2,0)&lt;&gt;M386,"Beam Revised","")</f>
        <v>#N/A</v>
      </c>
      <c r="AD386" s="7" t="e">
        <f>IF(VLOOKUP($A386,'Concrete Beam Schedule'!$A$2:$Q$2902,AD$2,0)&lt;&gt;N386,"Beam Revised","")</f>
        <v>#N/A</v>
      </c>
      <c r="AE386" s="7" t="e">
        <f>IF(VLOOKUP($A386,'Concrete Beam Schedule'!$A$2:$Q$2902,AE$2,0)&lt;&gt;O386,"Beam Revised","")</f>
        <v>#N/A</v>
      </c>
    </row>
    <row r="387" spans="1:31" ht="25.5" customHeight="1" x14ac:dyDescent="0.25">
      <c r="A387" s="17"/>
      <c r="B387" s="17"/>
      <c r="C387" s="17"/>
      <c r="D387" s="17"/>
      <c r="E387" s="17"/>
      <c r="F387" s="17"/>
      <c r="G387" s="17"/>
      <c r="H387" s="17"/>
      <c r="I387" s="17"/>
      <c r="J387" s="17"/>
      <c r="K387" s="17"/>
      <c r="L387" s="17"/>
      <c r="M387" s="17"/>
      <c r="N387" s="17"/>
      <c r="O387" s="17"/>
      <c r="Q387" s="7">
        <f t="shared" si="5"/>
        <v>0</v>
      </c>
      <c r="R387" s="7" t="e">
        <f>IF(VLOOKUP($A387,'Concrete Beam Schedule'!$A$2:$Q$2902,R$2,0)&lt;&gt;B387,VLOOKUP($A387,'Concrete Beam Schedule'!$A$2:$Q$2902,R$2,0),"")</f>
        <v>#N/A</v>
      </c>
      <c r="S387" s="7" t="e">
        <f>IF(VLOOKUP($A387,'Concrete Beam Schedule'!$A$2:$Q$2902,S$2,0)&lt;&gt;C387,VLOOKUP($A387,'Concrete Beam Schedule'!$A$2:$Q$2902,S$2,0),"")</f>
        <v>#N/A</v>
      </c>
      <c r="T387" s="7" t="e">
        <f>IF(VLOOKUP($A387,'Concrete Beam Schedule'!$A$2:$Q$2902,T$2,0)&lt;&gt;D387,"Beam Revised","")</f>
        <v>#N/A</v>
      </c>
      <c r="U387" s="7" t="e">
        <f>IF(VLOOKUP($A387,'Concrete Beam Schedule'!$A$2:$Q$2902,U$2,0)&lt;&gt;E387,"Beam Revised","")</f>
        <v>#N/A</v>
      </c>
      <c r="V387" s="7" t="e">
        <f>IF(VLOOKUP($A387,'Concrete Beam Schedule'!$A$2:$Q$2902,V$2,0)&lt;&gt;F387,"Beam Revised","")</f>
        <v>#N/A</v>
      </c>
      <c r="W387" s="7" t="e">
        <f>IF(VLOOKUP($A387,'Concrete Beam Schedule'!$A$2:$Q$2902,W$2,0)&lt;&gt;G387,"Beam Revised","")</f>
        <v>#N/A</v>
      </c>
      <c r="X387" s="7" t="e">
        <f>IF(VLOOKUP($A387,'Concrete Beam Schedule'!$A$2:$Q$2902,X$2,0)&lt;&gt;H387,"Beam Revised","")</f>
        <v>#N/A</v>
      </c>
      <c r="Y387" s="7" t="e">
        <f>IF(VLOOKUP($A387,'Concrete Beam Schedule'!$A$2:$Q$2902,Y$2,0)&lt;&gt;I387,"Beam Revised","")</f>
        <v>#N/A</v>
      </c>
      <c r="Z387" s="7" t="e">
        <f>IF(VLOOKUP($A387,'Concrete Beam Schedule'!$A$2:$Q$2902,Z$2,0)&lt;&gt;J387,"Beam Revised","")</f>
        <v>#N/A</v>
      </c>
      <c r="AA387" s="7" t="e">
        <f>IF(VLOOKUP($A387,'Concrete Beam Schedule'!$A$2:$Q$2902,AA$2,0)&lt;&gt;K387,"Beam Revised","")</f>
        <v>#N/A</v>
      </c>
      <c r="AB387" s="7" t="e">
        <f>IF(VLOOKUP($A387,'Concrete Beam Schedule'!$A$2:$Q$2902,AB$2,0)&lt;&gt;L387,"Beam Revised","")</f>
        <v>#N/A</v>
      </c>
      <c r="AC387" s="7" t="e">
        <f>IF(VLOOKUP($A387,'Concrete Beam Schedule'!$A$2:$Q$2902,AC$2,0)&lt;&gt;M387,"Beam Revised","")</f>
        <v>#N/A</v>
      </c>
      <c r="AD387" s="7" t="e">
        <f>IF(VLOOKUP($A387,'Concrete Beam Schedule'!$A$2:$Q$2902,AD$2,0)&lt;&gt;N387,"Beam Revised","")</f>
        <v>#N/A</v>
      </c>
      <c r="AE387" s="7" t="e">
        <f>IF(VLOOKUP($A387,'Concrete Beam Schedule'!$A$2:$Q$2902,AE$2,0)&lt;&gt;O387,"Beam Revised","")</f>
        <v>#N/A</v>
      </c>
    </row>
    <row r="388" spans="1:31" ht="25.5" customHeight="1" x14ac:dyDescent="0.25">
      <c r="A388" s="17"/>
      <c r="B388" s="17"/>
      <c r="C388" s="17"/>
      <c r="D388" s="17"/>
      <c r="E388" s="17"/>
      <c r="F388" s="17"/>
      <c r="G388" s="17"/>
      <c r="H388" s="17"/>
      <c r="I388" s="17"/>
      <c r="J388" s="17"/>
      <c r="K388" s="17"/>
      <c r="L388" s="17"/>
      <c r="M388" s="17"/>
      <c r="N388" s="17"/>
      <c r="O388" s="17"/>
      <c r="Q388" s="7">
        <f t="shared" ref="Q388:Q451" si="6">A388</f>
        <v>0</v>
      </c>
      <c r="R388" s="7" t="e">
        <f>IF(VLOOKUP($A388,'Concrete Beam Schedule'!$A$2:$Q$2902,R$2,0)&lt;&gt;B388,VLOOKUP($A388,'Concrete Beam Schedule'!$A$2:$Q$2902,R$2,0),"")</f>
        <v>#N/A</v>
      </c>
      <c r="S388" s="7" t="e">
        <f>IF(VLOOKUP($A388,'Concrete Beam Schedule'!$A$2:$Q$2902,S$2,0)&lt;&gt;C388,VLOOKUP($A388,'Concrete Beam Schedule'!$A$2:$Q$2902,S$2,0),"")</f>
        <v>#N/A</v>
      </c>
      <c r="T388" s="7" t="e">
        <f>IF(VLOOKUP($A388,'Concrete Beam Schedule'!$A$2:$Q$2902,T$2,0)&lt;&gt;D388,"Beam Revised","")</f>
        <v>#N/A</v>
      </c>
      <c r="U388" s="7" t="e">
        <f>IF(VLOOKUP($A388,'Concrete Beam Schedule'!$A$2:$Q$2902,U$2,0)&lt;&gt;E388,"Beam Revised","")</f>
        <v>#N/A</v>
      </c>
      <c r="V388" s="7" t="e">
        <f>IF(VLOOKUP($A388,'Concrete Beam Schedule'!$A$2:$Q$2902,V$2,0)&lt;&gt;F388,"Beam Revised","")</f>
        <v>#N/A</v>
      </c>
      <c r="W388" s="7" t="e">
        <f>IF(VLOOKUP($A388,'Concrete Beam Schedule'!$A$2:$Q$2902,W$2,0)&lt;&gt;G388,"Beam Revised","")</f>
        <v>#N/A</v>
      </c>
      <c r="X388" s="7" t="e">
        <f>IF(VLOOKUP($A388,'Concrete Beam Schedule'!$A$2:$Q$2902,X$2,0)&lt;&gt;H388,"Beam Revised","")</f>
        <v>#N/A</v>
      </c>
      <c r="Y388" s="7" t="e">
        <f>IF(VLOOKUP($A388,'Concrete Beam Schedule'!$A$2:$Q$2902,Y$2,0)&lt;&gt;I388,"Beam Revised","")</f>
        <v>#N/A</v>
      </c>
      <c r="Z388" s="7" t="e">
        <f>IF(VLOOKUP($A388,'Concrete Beam Schedule'!$A$2:$Q$2902,Z$2,0)&lt;&gt;J388,"Beam Revised","")</f>
        <v>#N/A</v>
      </c>
      <c r="AA388" s="7" t="e">
        <f>IF(VLOOKUP($A388,'Concrete Beam Schedule'!$A$2:$Q$2902,AA$2,0)&lt;&gt;K388,"Beam Revised","")</f>
        <v>#N/A</v>
      </c>
      <c r="AB388" s="7" t="e">
        <f>IF(VLOOKUP($A388,'Concrete Beam Schedule'!$A$2:$Q$2902,AB$2,0)&lt;&gt;L388,"Beam Revised","")</f>
        <v>#N/A</v>
      </c>
      <c r="AC388" s="7" t="e">
        <f>IF(VLOOKUP($A388,'Concrete Beam Schedule'!$A$2:$Q$2902,AC$2,0)&lt;&gt;M388,"Beam Revised","")</f>
        <v>#N/A</v>
      </c>
      <c r="AD388" s="7" t="e">
        <f>IF(VLOOKUP($A388,'Concrete Beam Schedule'!$A$2:$Q$2902,AD$2,0)&lt;&gt;N388,"Beam Revised","")</f>
        <v>#N/A</v>
      </c>
      <c r="AE388" s="7" t="e">
        <f>IF(VLOOKUP($A388,'Concrete Beam Schedule'!$A$2:$Q$2902,AE$2,0)&lt;&gt;O388,"Beam Revised","")</f>
        <v>#N/A</v>
      </c>
    </row>
    <row r="389" spans="1:31" ht="25.5" customHeight="1" x14ac:dyDescent="0.25">
      <c r="A389" s="17"/>
      <c r="B389" s="17"/>
      <c r="C389" s="17"/>
      <c r="D389" s="17"/>
      <c r="E389" s="17"/>
      <c r="F389" s="17"/>
      <c r="G389" s="17"/>
      <c r="H389" s="17"/>
      <c r="I389" s="17"/>
      <c r="J389" s="17"/>
      <c r="K389" s="17"/>
      <c r="L389" s="17"/>
      <c r="M389" s="17"/>
      <c r="N389" s="17"/>
      <c r="O389" s="17"/>
      <c r="Q389" s="7">
        <f t="shared" si="6"/>
        <v>0</v>
      </c>
      <c r="R389" s="7" t="e">
        <f>IF(VLOOKUP($A389,'Concrete Beam Schedule'!$A$2:$Q$2902,R$2,0)&lt;&gt;B389,VLOOKUP($A389,'Concrete Beam Schedule'!$A$2:$Q$2902,R$2,0),"")</f>
        <v>#N/A</v>
      </c>
      <c r="S389" s="7" t="e">
        <f>IF(VLOOKUP($A389,'Concrete Beam Schedule'!$A$2:$Q$2902,S$2,0)&lt;&gt;C389,VLOOKUP($A389,'Concrete Beam Schedule'!$A$2:$Q$2902,S$2,0),"")</f>
        <v>#N/A</v>
      </c>
      <c r="T389" s="7" t="e">
        <f>IF(VLOOKUP($A389,'Concrete Beam Schedule'!$A$2:$Q$2902,T$2,0)&lt;&gt;D389,"Beam Revised","")</f>
        <v>#N/A</v>
      </c>
      <c r="U389" s="7" t="e">
        <f>IF(VLOOKUP($A389,'Concrete Beam Schedule'!$A$2:$Q$2902,U$2,0)&lt;&gt;E389,"Beam Revised","")</f>
        <v>#N/A</v>
      </c>
      <c r="V389" s="7" t="e">
        <f>IF(VLOOKUP($A389,'Concrete Beam Schedule'!$A$2:$Q$2902,V$2,0)&lt;&gt;F389,"Beam Revised","")</f>
        <v>#N/A</v>
      </c>
      <c r="W389" s="7" t="e">
        <f>IF(VLOOKUP($A389,'Concrete Beam Schedule'!$A$2:$Q$2902,W$2,0)&lt;&gt;G389,"Beam Revised","")</f>
        <v>#N/A</v>
      </c>
      <c r="X389" s="7" t="e">
        <f>IF(VLOOKUP($A389,'Concrete Beam Schedule'!$A$2:$Q$2902,X$2,0)&lt;&gt;H389,"Beam Revised","")</f>
        <v>#N/A</v>
      </c>
      <c r="Y389" s="7" t="e">
        <f>IF(VLOOKUP($A389,'Concrete Beam Schedule'!$A$2:$Q$2902,Y$2,0)&lt;&gt;I389,"Beam Revised","")</f>
        <v>#N/A</v>
      </c>
      <c r="Z389" s="7" t="e">
        <f>IF(VLOOKUP($A389,'Concrete Beam Schedule'!$A$2:$Q$2902,Z$2,0)&lt;&gt;J389,"Beam Revised","")</f>
        <v>#N/A</v>
      </c>
      <c r="AA389" s="7" t="e">
        <f>IF(VLOOKUP($A389,'Concrete Beam Schedule'!$A$2:$Q$2902,AA$2,0)&lt;&gt;K389,"Beam Revised","")</f>
        <v>#N/A</v>
      </c>
      <c r="AB389" s="7" t="e">
        <f>IF(VLOOKUP($A389,'Concrete Beam Schedule'!$A$2:$Q$2902,AB$2,0)&lt;&gt;L389,"Beam Revised","")</f>
        <v>#N/A</v>
      </c>
      <c r="AC389" s="7" t="e">
        <f>IF(VLOOKUP($A389,'Concrete Beam Schedule'!$A$2:$Q$2902,AC$2,0)&lt;&gt;M389,"Beam Revised","")</f>
        <v>#N/A</v>
      </c>
      <c r="AD389" s="7" t="e">
        <f>IF(VLOOKUP($A389,'Concrete Beam Schedule'!$A$2:$Q$2902,AD$2,0)&lt;&gt;N389,"Beam Revised","")</f>
        <v>#N/A</v>
      </c>
      <c r="AE389" s="7" t="e">
        <f>IF(VLOOKUP($A389,'Concrete Beam Schedule'!$A$2:$Q$2902,AE$2,0)&lt;&gt;O389,"Beam Revised","")</f>
        <v>#N/A</v>
      </c>
    </row>
    <row r="390" spans="1:31" ht="25.5" customHeight="1" x14ac:dyDescent="0.25">
      <c r="A390" s="17"/>
      <c r="B390" s="17"/>
      <c r="C390" s="17"/>
      <c r="D390" s="17"/>
      <c r="E390" s="17"/>
      <c r="F390" s="17"/>
      <c r="G390" s="17"/>
      <c r="H390" s="17"/>
      <c r="I390" s="17"/>
      <c r="J390" s="17"/>
      <c r="K390" s="17"/>
      <c r="L390" s="17"/>
      <c r="M390" s="17"/>
      <c r="N390" s="17"/>
      <c r="O390" s="17"/>
      <c r="Q390" s="7">
        <f t="shared" si="6"/>
        <v>0</v>
      </c>
      <c r="R390" s="7" t="e">
        <f>IF(VLOOKUP($A390,'Concrete Beam Schedule'!$A$2:$Q$2902,R$2,0)&lt;&gt;B390,VLOOKUP($A390,'Concrete Beam Schedule'!$A$2:$Q$2902,R$2,0),"")</f>
        <v>#N/A</v>
      </c>
      <c r="S390" s="7" t="e">
        <f>IF(VLOOKUP($A390,'Concrete Beam Schedule'!$A$2:$Q$2902,S$2,0)&lt;&gt;C390,VLOOKUP($A390,'Concrete Beam Schedule'!$A$2:$Q$2902,S$2,0),"")</f>
        <v>#N/A</v>
      </c>
      <c r="T390" s="7" t="e">
        <f>IF(VLOOKUP($A390,'Concrete Beam Schedule'!$A$2:$Q$2902,T$2,0)&lt;&gt;D390,"Beam Revised","")</f>
        <v>#N/A</v>
      </c>
      <c r="U390" s="7" t="e">
        <f>IF(VLOOKUP($A390,'Concrete Beam Schedule'!$A$2:$Q$2902,U$2,0)&lt;&gt;E390,"Beam Revised","")</f>
        <v>#N/A</v>
      </c>
      <c r="V390" s="7" t="e">
        <f>IF(VLOOKUP($A390,'Concrete Beam Schedule'!$A$2:$Q$2902,V$2,0)&lt;&gt;F390,"Beam Revised","")</f>
        <v>#N/A</v>
      </c>
      <c r="W390" s="7" t="e">
        <f>IF(VLOOKUP($A390,'Concrete Beam Schedule'!$A$2:$Q$2902,W$2,0)&lt;&gt;G390,"Beam Revised","")</f>
        <v>#N/A</v>
      </c>
      <c r="X390" s="7" t="e">
        <f>IF(VLOOKUP($A390,'Concrete Beam Schedule'!$A$2:$Q$2902,X$2,0)&lt;&gt;H390,"Beam Revised","")</f>
        <v>#N/A</v>
      </c>
      <c r="Y390" s="7" t="e">
        <f>IF(VLOOKUP($A390,'Concrete Beam Schedule'!$A$2:$Q$2902,Y$2,0)&lt;&gt;I390,"Beam Revised","")</f>
        <v>#N/A</v>
      </c>
      <c r="Z390" s="7" t="e">
        <f>IF(VLOOKUP($A390,'Concrete Beam Schedule'!$A$2:$Q$2902,Z$2,0)&lt;&gt;J390,"Beam Revised","")</f>
        <v>#N/A</v>
      </c>
      <c r="AA390" s="7" t="e">
        <f>IF(VLOOKUP($A390,'Concrete Beam Schedule'!$A$2:$Q$2902,AA$2,0)&lt;&gt;K390,"Beam Revised","")</f>
        <v>#N/A</v>
      </c>
      <c r="AB390" s="7" t="e">
        <f>IF(VLOOKUP($A390,'Concrete Beam Schedule'!$A$2:$Q$2902,AB$2,0)&lt;&gt;L390,"Beam Revised","")</f>
        <v>#N/A</v>
      </c>
      <c r="AC390" s="7" t="e">
        <f>IF(VLOOKUP($A390,'Concrete Beam Schedule'!$A$2:$Q$2902,AC$2,0)&lt;&gt;M390,"Beam Revised","")</f>
        <v>#N/A</v>
      </c>
      <c r="AD390" s="7" t="e">
        <f>IF(VLOOKUP($A390,'Concrete Beam Schedule'!$A$2:$Q$2902,AD$2,0)&lt;&gt;N390,"Beam Revised","")</f>
        <v>#N/A</v>
      </c>
      <c r="AE390" s="7" t="e">
        <f>IF(VLOOKUP($A390,'Concrete Beam Schedule'!$A$2:$Q$2902,AE$2,0)&lt;&gt;O390,"Beam Revised","")</f>
        <v>#N/A</v>
      </c>
    </row>
    <row r="391" spans="1:31" ht="25.5" customHeight="1" x14ac:dyDescent="0.25">
      <c r="A391" s="17"/>
      <c r="B391" s="17"/>
      <c r="C391" s="17"/>
      <c r="D391" s="17"/>
      <c r="E391" s="17"/>
      <c r="F391" s="17"/>
      <c r="G391" s="17"/>
      <c r="H391" s="17"/>
      <c r="I391" s="17"/>
      <c r="J391" s="17"/>
      <c r="K391" s="17"/>
      <c r="L391" s="17"/>
      <c r="M391" s="17"/>
      <c r="N391" s="17"/>
      <c r="O391" s="17"/>
      <c r="Q391" s="7">
        <f t="shared" si="6"/>
        <v>0</v>
      </c>
      <c r="R391" s="7" t="e">
        <f>IF(VLOOKUP($A391,'Concrete Beam Schedule'!$A$2:$Q$2902,R$2,0)&lt;&gt;B391,VLOOKUP($A391,'Concrete Beam Schedule'!$A$2:$Q$2902,R$2,0),"")</f>
        <v>#N/A</v>
      </c>
      <c r="S391" s="7" t="e">
        <f>IF(VLOOKUP($A391,'Concrete Beam Schedule'!$A$2:$Q$2902,S$2,0)&lt;&gt;C391,VLOOKUP($A391,'Concrete Beam Schedule'!$A$2:$Q$2902,S$2,0),"")</f>
        <v>#N/A</v>
      </c>
      <c r="T391" s="7" t="e">
        <f>IF(VLOOKUP($A391,'Concrete Beam Schedule'!$A$2:$Q$2902,T$2,0)&lt;&gt;D391,"Beam Revised","")</f>
        <v>#N/A</v>
      </c>
      <c r="U391" s="7" t="e">
        <f>IF(VLOOKUP($A391,'Concrete Beam Schedule'!$A$2:$Q$2902,U$2,0)&lt;&gt;E391,"Beam Revised","")</f>
        <v>#N/A</v>
      </c>
      <c r="V391" s="7" t="e">
        <f>IF(VLOOKUP($A391,'Concrete Beam Schedule'!$A$2:$Q$2902,V$2,0)&lt;&gt;F391,"Beam Revised","")</f>
        <v>#N/A</v>
      </c>
      <c r="W391" s="7" t="e">
        <f>IF(VLOOKUP($A391,'Concrete Beam Schedule'!$A$2:$Q$2902,W$2,0)&lt;&gt;G391,"Beam Revised","")</f>
        <v>#N/A</v>
      </c>
      <c r="X391" s="7" t="e">
        <f>IF(VLOOKUP($A391,'Concrete Beam Schedule'!$A$2:$Q$2902,X$2,0)&lt;&gt;H391,"Beam Revised","")</f>
        <v>#N/A</v>
      </c>
      <c r="Y391" s="7" t="e">
        <f>IF(VLOOKUP($A391,'Concrete Beam Schedule'!$A$2:$Q$2902,Y$2,0)&lt;&gt;I391,"Beam Revised","")</f>
        <v>#N/A</v>
      </c>
      <c r="Z391" s="7" t="e">
        <f>IF(VLOOKUP($A391,'Concrete Beam Schedule'!$A$2:$Q$2902,Z$2,0)&lt;&gt;J391,"Beam Revised","")</f>
        <v>#N/A</v>
      </c>
      <c r="AA391" s="7" t="e">
        <f>IF(VLOOKUP($A391,'Concrete Beam Schedule'!$A$2:$Q$2902,AA$2,0)&lt;&gt;K391,"Beam Revised","")</f>
        <v>#N/A</v>
      </c>
      <c r="AB391" s="7" t="e">
        <f>IF(VLOOKUP($A391,'Concrete Beam Schedule'!$A$2:$Q$2902,AB$2,0)&lt;&gt;L391,"Beam Revised","")</f>
        <v>#N/A</v>
      </c>
      <c r="AC391" s="7" t="e">
        <f>IF(VLOOKUP($A391,'Concrete Beam Schedule'!$A$2:$Q$2902,AC$2,0)&lt;&gt;M391,"Beam Revised","")</f>
        <v>#N/A</v>
      </c>
      <c r="AD391" s="7" t="e">
        <f>IF(VLOOKUP($A391,'Concrete Beam Schedule'!$A$2:$Q$2902,AD$2,0)&lt;&gt;N391,"Beam Revised","")</f>
        <v>#N/A</v>
      </c>
      <c r="AE391" s="7" t="e">
        <f>IF(VLOOKUP($A391,'Concrete Beam Schedule'!$A$2:$Q$2902,AE$2,0)&lt;&gt;O391,"Beam Revised","")</f>
        <v>#N/A</v>
      </c>
    </row>
    <row r="392" spans="1:31" ht="25.5" customHeight="1" x14ac:dyDescent="0.25">
      <c r="A392" s="17"/>
      <c r="B392" s="17"/>
      <c r="C392" s="17"/>
      <c r="D392" s="17"/>
      <c r="E392" s="17"/>
      <c r="F392" s="17"/>
      <c r="G392" s="17"/>
      <c r="H392" s="17"/>
      <c r="I392" s="17"/>
      <c r="J392" s="17"/>
      <c r="K392" s="17"/>
      <c r="L392" s="17"/>
      <c r="M392" s="17"/>
      <c r="N392" s="17"/>
      <c r="O392" s="17"/>
      <c r="Q392" s="7">
        <f t="shared" si="6"/>
        <v>0</v>
      </c>
      <c r="R392" s="7" t="e">
        <f>IF(VLOOKUP($A392,'Concrete Beam Schedule'!$A$2:$Q$2902,R$2,0)&lt;&gt;B392,VLOOKUP($A392,'Concrete Beam Schedule'!$A$2:$Q$2902,R$2,0),"")</f>
        <v>#N/A</v>
      </c>
      <c r="S392" s="7" t="e">
        <f>IF(VLOOKUP($A392,'Concrete Beam Schedule'!$A$2:$Q$2902,S$2,0)&lt;&gt;C392,VLOOKUP($A392,'Concrete Beam Schedule'!$A$2:$Q$2902,S$2,0),"")</f>
        <v>#N/A</v>
      </c>
      <c r="T392" s="7" t="e">
        <f>IF(VLOOKUP($A392,'Concrete Beam Schedule'!$A$2:$Q$2902,T$2,0)&lt;&gt;D392,"Beam Revised","")</f>
        <v>#N/A</v>
      </c>
      <c r="U392" s="7" t="e">
        <f>IF(VLOOKUP($A392,'Concrete Beam Schedule'!$A$2:$Q$2902,U$2,0)&lt;&gt;E392,"Beam Revised","")</f>
        <v>#N/A</v>
      </c>
      <c r="V392" s="7" t="e">
        <f>IF(VLOOKUP($A392,'Concrete Beam Schedule'!$A$2:$Q$2902,V$2,0)&lt;&gt;F392,"Beam Revised","")</f>
        <v>#N/A</v>
      </c>
      <c r="W392" s="7" t="e">
        <f>IF(VLOOKUP($A392,'Concrete Beam Schedule'!$A$2:$Q$2902,W$2,0)&lt;&gt;G392,"Beam Revised","")</f>
        <v>#N/A</v>
      </c>
      <c r="X392" s="7" t="e">
        <f>IF(VLOOKUP($A392,'Concrete Beam Schedule'!$A$2:$Q$2902,X$2,0)&lt;&gt;H392,"Beam Revised","")</f>
        <v>#N/A</v>
      </c>
      <c r="Y392" s="7" t="e">
        <f>IF(VLOOKUP($A392,'Concrete Beam Schedule'!$A$2:$Q$2902,Y$2,0)&lt;&gt;I392,"Beam Revised","")</f>
        <v>#N/A</v>
      </c>
      <c r="Z392" s="7" t="e">
        <f>IF(VLOOKUP($A392,'Concrete Beam Schedule'!$A$2:$Q$2902,Z$2,0)&lt;&gt;J392,"Beam Revised","")</f>
        <v>#N/A</v>
      </c>
      <c r="AA392" s="7" t="e">
        <f>IF(VLOOKUP($A392,'Concrete Beam Schedule'!$A$2:$Q$2902,AA$2,0)&lt;&gt;K392,"Beam Revised","")</f>
        <v>#N/A</v>
      </c>
      <c r="AB392" s="7" t="e">
        <f>IF(VLOOKUP($A392,'Concrete Beam Schedule'!$A$2:$Q$2902,AB$2,0)&lt;&gt;L392,"Beam Revised","")</f>
        <v>#N/A</v>
      </c>
      <c r="AC392" s="7" t="e">
        <f>IF(VLOOKUP($A392,'Concrete Beam Schedule'!$A$2:$Q$2902,AC$2,0)&lt;&gt;M392,"Beam Revised","")</f>
        <v>#N/A</v>
      </c>
      <c r="AD392" s="7" t="e">
        <f>IF(VLOOKUP($A392,'Concrete Beam Schedule'!$A$2:$Q$2902,AD$2,0)&lt;&gt;N392,"Beam Revised","")</f>
        <v>#N/A</v>
      </c>
      <c r="AE392" s="7" t="e">
        <f>IF(VLOOKUP($A392,'Concrete Beam Schedule'!$A$2:$Q$2902,AE$2,0)&lt;&gt;O392,"Beam Revised","")</f>
        <v>#N/A</v>
      </c>
    </row>
    <row r="393" spans="1:31" ht="25.5" customHeight="1" x14ac:dyDescent="0.25">
      <c r="A393" s="17"/>
      <c r="B393" s="17"/>
      <c r="C393" s="17"/>
      <c r="D393" s="17"/>
      <c r="E393" s="17"/>
      <c r="F393" s="17"/>
      <c r="G393" s="17"/>
      <c r="H393" s="17"/>
      <c r="I393" s="17"/>
      <c r="J393" s="17"/>
      <c r="K393" s="17"/>
      <c r="L393" s="17"/>
      <c r="M393" s="17"/>
      <c r="N393" s="17"/>
      <c r="O393" s="17"/>
      <c r="Q393" s="7">
        <f t="shared" si="6"/>
        <v>0</v>
      </c>
      <c r="R393" s="7" t="e">
        <f>IF(VLOOKUP($A393,'Concrete Beam Schedule'!$A$2:$Q$2902,R$2,0)&lt;&gt;B393,VLOOKUP($A393,'Concrete Beam Schedule'!$A$2:$Q$2902,R$2,0),"")</f>
        <v>#N/A</v>
      </c>
      <c r="S393" s="7" t="e">
        <f>IF(VLOOKUP($A393,'Concrete Beam Schedule'!$A$2:$Q$2902,S$2,0)&lt;&gt;C393,VLOOKUP($A393,'Concrete Beam Schedule'!$A$2:$Q$2902,S$2,0),"")</f>
        <v>#N/A</v>
      </c>
      <c r="T393" s="7" t="e">
        <f>IF(VLOOKUP($A393,'Concrete Beam Schedule'!$A$2:$Q$2902,T$2,0)&lt;&gt;D393,"Beam Revised","")</f>
        <v>#N/A</v>
      </c>
      <c r="U393" s="7" t="e">
        <f>IF(VLOOKUP($A393,'Concrete Beam Schedule'!$A$2:$Q$2902,U$2,0)&lt;&gt;E393,"Beam Revised","")</f>
        <v>#N/A</v>
      </c>
      <c r="V393" s="7" t="e">
        <f>IF(VLOOKUP($A393,'Concrete Beam Schedule'!$A$2:$Q$2902,V$2,0)&lt;&gt;F393,"Beam Revised","")</f>
        <v>#N/A</v>
      </c>
      <c r="W393" s="7" t="e">
        <f>IF(VLOOKUP($A393,'Concrete Beam Schedule'!$A$2:$Q$2902,W$2,0)&lt;&gt;G393,"Beam Revised","")</f>
        <v>#N/A</v>
      </c>
      <c r="X393" s="7" t="e">
        <f>IF(VLOOKUP($A393,'Concrete Beam Schedule'!$A$2:$Q$2902,X$2,0)&lt;&gt;H393,"Beam Revised","")</f>
        <v>#N/A</v>
      </c>
      <c r="Y393" s="7" t="e">
        <f>IF(VLOOKUP($A393,'Concrete Beam Schedule'!$A$2:$Q$2902,Y$2,0)&lt;&gt;I393,"Beam Revised","")</f>
        <v>#N/A</v>
      </c>
      <c r="Z393" s="7" t="e">
        <f>IF(VLOOKUP($A393,'Concrete Beam Schedule'!$A$2:$Q$2902,Z$2,0)&lt;&gt;J393,"Beam Revised","")</f>
        <v>#N/A</v>
      </c>
      <c r="AA393" s="7" t="e">
        <f>IF(VLOOKUP($A393,'Concrete Beam Schedule'!$A$2:$Q$2902,AA$2,0)&lt;&gt;K393,"Beam Revised","")</f>
        <v>#N/A</v>
      </c>
      <c r="AB393" s="7" t="e">
        <f>IF(VLOOKUP($A393,'Concrete Beam Schedule'!$A$2:$Q$2902,AB$2,0)&lt;&gt;L393,"Beam Revised","")</f>
        <v>#N/A</v>
      </c>
      <c r="AC393" s="7" t="e">
        <f>IF(VLOOKUP($A393,'Concrete Beam Schedule'!$A$2:$Q$2902,AC$2,0)&lt;&gt;M393,"Beam Revised","")</f>
        <v>#N/A</v>
      </c>
      <c r="AD393" s="7" t="e">
        <f>IF(VLOOKUP($A393,'Concrete Beam Schedule'!$A$2:$Q$2902,AD$2,0)&lt;&gt;N393,"Beam Revised","")</f>
        <v>#N/A</v>
      </c>
      <c r="AE393" s="7" t="e">
        <f>IF(VLOOKUP($A393,'Concrete Beam Schedule'!$A$2:$Q$2902,AE$2,0)&lt;&gt;O393,"Beam Revised","")</f>
        <v>#N/A</v>
      </c>
    </row>
    <row r="394" spans="1:31" ht="25.5" customHeight="1" x14ac:dyDescent="0.25">
      <c r="A394" s="17"/>
      <c r="B394" s="17"/>
      <c r="C394" s="17"/>
      <c r="D394" s="17"/>
      <c r="E394" s="17"/>
      <c r="F394" s="17"/>
      <c r="G394" s="17"/>
      <c r="H394" s="17"/>
      <c r="I394" s="17"/>
      <c r="J394" s="17"/>
      <c r="K394" s="17"/>
      <c r="L394" s="17"/>
      <c r="M394" s="17"/>
      <c r="N394" s="17"/>
      <c r="O394" s="17"/>
      <c r="Q394" s="7">
        <f t="shared" si="6"/>
        <v>0</v>
      </c>
      <c r="R394" s="7" t="e">
        <f>IF(VLOOKUP($A394,'Concrete Beam Schedule'!$A$2:$Q$2902,R$2,0)&lt;&gt;B394,VLOOKUP($A394,'Concrete Beam Schedule'!$A$2:$Q$2902,R$2,0),"")</f>
        <v>#N/A</v>
      </c>
      <c r="S394" s="7" t="e">
        <f>IF(VLOOKUP($A394,'Concrete Beam Schedule'!$A$2:$Q$2902,S$2,0)&lt;&gt;C394,VLOOKUP($A394,'Concrete Beam Schedule'!$A$2:$Q$2902,S$2,0),"")</f>
        <v>#N/A</v>
      </c>
      <c r="T394" s="7" t="e">
        <f>IF(VLOOKUP($A394,'Concrete Beam Schedule'!$A$2:$Q$2902,T$2,0)&lt;&gt;D394,"Beam Revised","")</f>
        <v>#N/A</v>
      </c>
      <c r="U394" s="7" t="e">
        <f>IF(VLOOKUP($A394,'Concrete Beam Schedule'!$A$2:$Q$2902,U$2,0)&lt;&gt;E394,"Beam Revised","")</f>
        <v>#N/A</v>
      </c>
      <c r="V394" s="7" t="e">
        <f>IF(VLOOKUP($A394,'Concrete Beam Schedule'!$A$2:$Q$2902,V$2,0)&lt;&gt;F394,"Beam Revised","")</f>
        <v>#N/A</v>
      </c>
      <c r="W394" s="7" t="e">
        <f>IF(VLOOKUP($A394,'Concrete Beam Schedule'!$A$2:$Q$2902,W$2,0)&lt;&gt;G394,"Beam Revised","")</f>
        <v>#N/A</v>
      </c>
      <c r="X394" s="7" t="e">
        <f>IF(VLOOKUP($A394,'Concrete Beam Schedule'!$A$2:$Q$2902,X$2,0)&lt;&gt;H394,"Beam Revised","")</f>
        <v>#N/A</v>
      </c>
      <c r="Y394" s="7" t="e">
        <f>IF(VLOOKUP($A394,'Concrete Beam Schedule'!$A$2:$Q$2902,Y$2,0)&lt;&gt;I394,"Beam Revised","")</f>
        <v>#N/A</v>
      </c>
      <c r="Z394" s="7" t="e">
        <f>IF(VLOOKUP($A394,'Concrete Beam Schedule'!$A$2:$Q$2902,Z$2,0)&lt;&gt;J394,"Beam Revised","")</f>
        <v>#N/A</v>
      </c>
      <c r="AA394" s="7" t="e">
        <f>IF(VLOOKUP($A394,'Concrete Beam Schedule'!$A$2:$Q$2902,AA$2,0)&lt;&gt;K394,"Beam Revised","")</f>
        <v>#N/A</v>
      </c>
      <c r="AB394" s="7" t="e">
        <f>IF(VLOOKUP($A394,'Concrete Beam Schedule'!$A$2:$Q$2902,AB$2,0)&lt;&gt;L394,"Beam Revised","")</f>
        <v>#N/A</v>
      </c>
      <c r="AC394" s="7" t="e">
        <f>IF(VLOOKUP($A394,'Concrete Beam Schedule'!$A$2:$Q$2902,AC$2,0)&lt;&gt;M394,"Beam Revised","")</f>
        <v>#N/A</v>
      </c>
      <c r="AD394" s="7" t="e">
        <f>IF(VLOOKUP($A394,'Concrete Beam Schedule'!$A$2:$Q$2902,AD$2,0)&lt;&gt;N394,"Beam Revised","")</f>
        <v>#N/A</v>
      </c>
      <c r="AE394" s="7" t="e">
        <f>IF(VLOOKUP($A394,'Concrete Beam Schedule'!$A$2:$Q$2902,AE$2,0)&lt;&gt;O394,"Beam Revised","")</f>
        <v>#N/A</v>
      </c>
    </row>
    <row r="395" spans="1:31" ht="25.5" customHeight="1" x14ac:dyDescent="0.25">
      <c r="A395" s="17"/>
      <c r="B395" s="17"/>
      <c r="C395" s="17"/>
      <c r="D395" s="17"/>
      <c r="E395" s="17"/>
      <c r="F395" s="17"/>
      <c r="G395" s="17"/>
      <c r="H395" s="17"/>
      <c r="I395" s="17"/>
      <c r="J395" s="17"/>
      <c r="K395" s="17"/>
      <c r="L395" s="17"/>
      <c r="M395" s="17"/>
      <c r="N395" s="17"/>
      <c r="O395" s="17"/>
      <c r="Q395" s="7">
        <f t="shared" si="6"/>
        <v>0</v>
      </c>
      <c r="R395" s="7" t="e">
        <f>IF(VLOOKUP($A395,'Concrete Beam Schedule'!$A$2:$Q$2902,R$2,0)&lt;&gt;B395,VLOOKUP($A395,'Concrete Beam Schedule'!$A$2:$Q$2902,R$2,0),"")</f>
        <v>#N/A</v>
      </c>
      <c r="S395" s="7" t="e">
        <f>IF(VLOOKUP($A395,'Concrete Beam Schedule'!$A$2:$Q$2902,S$2,0)&lt;&gt;C395,VLOOKUP($A395,'Concrete Beam Schedule'!$A$2:$Q$2902,S$2,0),"")</f>
        <v>#N/A</v>
      </c>
      <c r="T395" s="7" t="e">
        <f>IF(VLOOKUP($A395,'Concrete Beam Schedule'!$A$2:$Q$2902,T$2,0)&lt;&gt;D395,"Beam Revised","")</f>
        <v>#N/A</v>
      </c>
      <c r="U395" s="7" t="e">
        <f>IF(VLOOKUP($A395,'Concrete Beam Schedule'!$A$2:$Q$2902,U$2,0)&lt;&gt;E395,"Beam Revised","")</f>
        <v>#N/A</v>
      </c>
      <c r="V395" s="7" t="e">
        <f>IF(VLOOKUP($A395,'Concrete Beam Schedule'!$A$2:$Q$2902,V$2,0)&lt;&gt;F395,"Beam Revised","")</f>
        <v>#N/A</v>
      </c>
      <c r="W395" s="7" t="e">
        <f>IF(VLOOKUP($A395,'Concrete Beam Schedule'!$A$2:$Q$2902,W$2,0)&lt;&gt;G395,"Beam Revised","")</f>
        <v>#N/A</v>
      </c>
      <c r="X395" s="7" t="e">
        <f>IF(VLOOKUP($A395,'Concrete Beam Schedule'!$A$2:$Q$2902,X$2,0)&lt;&gt;H395,"Beam Revised","")</f>
        <v>#N/A</v>
      </c>
      <c r="Y395" s="7" t="e">
        <f>IF(VLOOKUP($A395,'Concrete Beam Schedule'!$A$2:$Q$2902,Y$2,0)&lt;&gt;I395,"Beam Revised","")</f>
        <v>#N/A</v>
      </c>
      <c r="Z395" s="7" t="e">
        <f>IF(VLOOKUP($A395,'Concrete Beam Schedule'!$A$2:$Q$2902,Z$2,0)&lt;&gt;J395,"Beam Revised","")</f>
        <v>#N/A</v>
      </c>
      <c r="AA395" s="7" t="e">
        <f>IF(VLOOKUP($A395,'Concrete Beam Schedule'!$A$2:$Q$2902,AA$2,0)&lt;&gt;K395,"Beam Revised","")</f>
        <v>#N/A</v>
      </c>
      <c r="AB395" s="7" t="e">
        <f>IF(VLOOKUP($A395,'Concrete Beam Schedule'!$A$2:$Q$2902,AB$2,0)&lt;&gt;L395,"Beam Revised","")</f>
        <v>#N/A</v>
      </c>
      <c r="AC395" s="7" t="e">
        <f>IF(VLOOKUP($A395,'Concrete Beam Schedule'!$A$2:$Q$2902,AC$2,0)&lt;&gt;M395,"Beam Revised","")</f>
        <v>#N/A</v>
      </c>
      <c r="AD395" s="7" t="e">
        <f>IF(VLOOKUP($A395,'Concrete Beam Schedule'!$A$2:$Q$2902,AD$2,0)&lt;&gt;N395,"Beam Revised","")</f>
        <v>#N/A</v>
      </c>
      <c r="AE395" s="7" t="e">
        <f>IF(VLOOKUP($A395,'Concrete Beam Schedule'!$A$2:$Q$2902,AE$2,0)&lt;&gt;O395,"Beam Revised","")</f>
        <v>#N/A</v>
      </c>
    </row>
    <row r="396" spans="1:31" ht="25.5" customHeight="1" x14ac:dyDescent="0.25">
      <c r="A396" s="17"/>
      <c r="B396" s="17"/>
      <c r="C396" s="17"/>
      <c r="D396" s="17"/>
      <c r="E396" s="17"/>
      <c r="F396" s="17"/>
      <c r="G396" s="17"/>
      <c r="H396" s="17"/>
      <c r="I396" s="17"/>
      <c r="J396" s="17"/>
      <c r="K396" s="17"/>
      <c r="L396" s="17"/>
      <c r="M396" s="17"/>
      <c r="N396" s="17"/>
      <c r="O396" s="17"/>
      <c r="Q396" s="7">
        <f t="shared" si="6"/>
        <v>0</v>
      </c>
      <c r="R396" s="7" t="e">
        <f>IF(VLOOKUP($A396,'Concrete Beam Schedule'!$A$2:$Q$2902,R$2,0)&lt;&gt;B396,VLOOKUP($A396,'Concrete Beam Schedule'!$A$2:$Q$2902,R$2,0),"")</f>
        <v>#N/A</v>
      </c>
      <c r="S396" s="7" t="e">
        <f>IF(VLOOKUP($A396,'Concrete Beam Schedule'!$A$2:$Q$2902,S$2,0)&lt;&gt;C396,VLOOKUP($A396,'Concrete Beam Schedule'!$A$2:$Q$2902,S$2,0),"")</f>
        <v>#N/A</v>
      </c>
      <c r="T396" s="7" t="e">
        <f>IF(VLOOKUP($A396,'Concrete Beam Schedule'!$A$2:$Q$2902,T$2,0)&lt;&gt;D396,"Beam Revised","")</f>
        <v>#N/A</v>
      </c>
      <c r="U396" s="7" t="e">
        <f>IF(VLOOKUP($A396,'Concrete Beam Schedule'!$A$2:$Q$2902,U$2,0)&lt;&gt;E396,"Beam Revised","")</f>
        <v>#N/A</v>
      </c>
      <c r="V396" s="7" t="e">
        <f>IF(VLOOKUP($A396,'Concrete Beam Schedule'!$A$2:$Q$2902,V$2,0)&lt;&gt;F396,"Beam Revised","")</f>
        <v>#N/A</v>
      </c>
      <c r="W396" s="7" t="e">
        <f>IF(VLOOKUP($A396,'Concrete Beam Schedule'!$A$2:$Q$2902,W$2,0)&lt;&gt;G396,"Beam Revised","")</f>
        <v>#N/A</v>
      </c>
      <c r="X396" s="7" t="e">
        <f>IF(VLOOKUP($A396,'Concrete Beam Schedule'!$A$2:$Q$2902,X$2,0)&lt;&gt;H396,"Beam Revised","")</f>
        <v>#N/A</v>
      </c>
      <c r="Y396" s="7" t="e">
        <f>IF(VLOOKUP($A396,'Concrete Beam Schedule'!$A$2:$Q$2902,Y$2,0)&lt;&gt;I396,"Beam Revised","")</f>
        <v>#N/A</v>
      </c>
      <c r="Z396" s="7" t="e">
        <f>IF(VLOOKUP($A396,'Concrete Beam Schedule'!$A$2:$Q$2902,Z$2,0)&lt;&gt;J396,"Beam Revised","")</f>
        <v>#N/A</v>
      </c>
      <c r="AA396" s="7" t="e">
        <f>IF(VLOOKUP($A396,'Concrete Beam Schedule'!$A$2:$Q$2902,AA$2,0)&lt;&gt;K396,"Beam Revised","")</f>
        <v>#N/A</v>
      </c>
      <c r="AB396" s="7" t="e">
        <f>IF(VLOOKUP($A396,'Concrete Beam Schedule'!$A$2:$Q$2902,AB$2,0)&lt;&gt;L396,"Beam Revised","")</f>
        <v>#N/A</v>
      </c>
      <c r="AC396" s="7" t="e">
        <f>IF(VLOOKUP($A396,'Concrete Beam Schedule'!$A$2:$Q$2902,AC$2,0)&lt;&gt;M396,"Beam Revised","")</f>
        <v>#N/A</v>
      </c>
      <c r="AD396" s="7" t="e">
        <f>IF(VLOOKUP($A396,'Concrete Beam Schedule'!$A$2:$Q$2902,AD$2,0)&lt;&gt;N396,"Beam Revised","")</f>
        <v>#N/A</v>
      </c>
      <c r="AE396" s="7" t="e">
        <f>IF(VLOOKUP($A396,'Concrete Beam Schedule'!$A$2:$Q$2902,AE$2,0)&lt;&gt;O396,"Beam Revised","")</f>
        <v>#N/A</v>
      </c>
    </row>
    <row r="397" spans="1:31" ht="25.5" customHeight="1" x14ac:dyDescent="0.25">
      <c r="A397" s="17"/>
      <c r="B397" s="17"/>
      <c r="C397" s="17"/>
      <c r="D397" s="17"/>
      <c r="E397" s="17"/>
      <c r="F397" s="17"/>
      <c r="G397" s="17"/>
      <c r="H397" s="17"/>
      <c r="I397" s="17"/>
      <c r="J397" s="17"/>
      <c r="K397" s="17"/>
      <c r="L397" s="17"/>
      <c r="M397" s="17"/>
      <c r="N397" s="17"/>
      <c r="O397" s="17"/>
      <c r="Q397" s="7">
        <f t="shared" si="6"/>
        <v>0</v>
      </c>
      <c r="R397" s="7" t="e">
        <f>IF(VLOOKUP($A397,'Concrete Beam Schedule'!$A$2:$Q$2902,R$2,0)&lt;&gt;B397,VLOOKUP($A397,'Concrete Beam Schedule'!$A$2:$Q$2902,R$2,0),"")</f>
        <v>#N/A</v>
      </c>
      <c r="S397" s="7" t="e">
        <f>IF(VLOOKUP($A397,'Concrete Beam Schedule'!$A$2:$Q$2902,S$2,0)&lt;&gt;C397,VLOOKUP($A397,'Concrete Beam Schedule'!$A$2:$Q$2902,S$2,0),"")</f>
        <v>#N/A</v>
      </c>
      <c r="T397" s="7" t="e">
        <f>IF(VLOOKUP($A397,'Concrete Beam Schedule'!$A$2:$Q$2902,T$2,0)&lt;&gt;D397,"Beam Revised","")</f>
        <v>#N/A</v>
      </c>
      <c r="U397" s="7" t="e">
        <f>IF(VLOOKUP($A397,'Concrete Beam Schedule'!$A$2:$Q$2902,U$2,0)&lt;&gt;E397,"Beam Revised","")</f>
        <v>#N/A</v>
      </c>
      <c r="V397" s="7" t="e">
        <f>IF(VLOOKUP($A397,'Concrete Beam Schedule'!$A$2:$Q$2902,V$2,0)&lt;&gt;F397,"Beam Revised","")</f>
        <v>#N/A</v>
      </c>
      <c r="W397" s="7" t="e">
        <f>IF(VLOOKUP($A397,'Concrete Beam Schedule'!$A$2:$Q$2902,W$2,0)&lt;&gt;G397,"Beam Revised","")</f>
        <v>#N/A</v>
      </c>
      <c r="X397" s="7" t="e">
        <f>IF(VLOOKUP($A397,'Concrete Beam Schedule'!$A$2:$Q$2902,X$2,0)&lt;&gt;H397,"Beam Revised","")</f>
        <v>#N/A</v>
      </c>
      <c r="Y397" s="7" t="e">
        <f>IF(VLOOKUP($A397,'Concrete Beam Schedule'!$A$2:$Q$2902,Y$2,0)&lt;&gt;I397,"Beam Revised","")</f>
        <v>#N/A</v>
      </c>
      <c r="Z397" s="7" t="e">
        <f>IF(VLOOKUP($A397,'Concrete Beam Schedule'!$A$2:$Q$2902,Z$2,0)&lt;&gt;J397,"Beam Revised","")</f>
        <v>#N/A</v>
      </c>
      <c r="AA397" s="7" t="e">
        <f>IF(VLOOKUP($A397,'Concrete Beam Schedule'!$A$2:$Q$2902,AA$2,0)&lt;&gt;K397,"Beam Revised","")</f>
        <v>#N/A</v>
      </c>
      <c r="AB397" s="7" t="e">
        <f>IF(VLOOKUP($A397,'Concrete Beam Schedule'!$A$2:$Q$2902,AB$2,0)&lt;&gt;L397,"Beam Revised","")</f>
        <v>#N/A</v>
      </c>
      <c r="AC397" s="7" t="e">
        <f>IF(VLOOKUP($A397,'Concrete Beam Schedule'!$A$2:$Q$2902,AC$2,0)&lt;&gt;M397,"Beam Revised","")</f>
        <v>#N/A</v>
      </c>
      <c r="AD397" s="7" t="e">
        <f>IF(VLOOKUP($A397,'Concrete Beam Schedule'!$A$2:$Q$2902,AD$2,0)&lt;&gt;N397,"Beam Revised","")</f>
        <v>#N/A</v>
      </c>
      <c r="AE397" s="7" t="e">
        <f>IF(VLOOKUP($A397,'Concrete Beam Schedule'!$A$2:$Q$2902,AE$2,0)&lt;&gt;O397,"Beam Revised","")</f>
        <v>#N/A</v>
      </c>
    </row>
    <row r="398" spans="1:31" ht="25.5" customHeight="1" x14ac:dyDescent="0.25">
      <c r="A398" s="17"/>
      <c r="B398" s="17"/>
      <c r="C398" s="17"/>
      <c r="D398" s="17"/>
      <c r="E398" s="17"/>
      <c r="F398" s="17"/>
      <c r="G398" s="17"/>
      <c r="H398" s="17"/>
      <c r="I398" s="17"/>
      <c r="J398" s="17"/>
      <c r="K398" s="17"/>
      <c r="L398" s="17"/>
      <c r="M398" s="17"/>
      <c r="N398" s="17"/>
      <c r="O398" s="17"/>
      <c r="Q398" s="7">
        <f t="shared" si="6"/>
        <v>0</v>
      </c>
      <c r="R398" s="7" t="e">
        <f>IF(VLOOKUP($A398,'Concrete Beam Schedule'!$A$2:$Q$2902,R$2,0)&lt;&gt;B398,VLOOKUP($A398,'Concrete Beam Schedule'!$A$2:$Q$2902,R$2,0),"")</f>
        <v>#N/A</v>
      </c>
      <c r="S398" s="7" t="e">
        <f>IF(VLOOKUP($A398,'Concrete Beam Schedule'!$A$2:$Q$2902,S$2,0)&lt;&gt;C398,VLOOKUP($A398,'Concrete Beam Schedule'!$A$2:$Q$2902,S$2,0),"")</f>
        <v>#N/A</v>
      </c>
      <c r="T398" s="7" t="e">
        <f>IF(VLOOKUP($A398,'Concrete Beam Schedule'!$A$2:$Q$2902,T$2,0)&lt;&gt;D398,"Beam Revised","")</f>
        <v>#N/A</v>
      </c>
      <c r="U398" s="7" t="e">
        <f>IF(VLOOKUP($A398,'Concrete Beam Schedule'!$A$2:$Q$2902,U$2,0)&lt;&gt;E398,"Beam Revised","")</f>
        <v>#N/A</v>
      </c>
      <c r="V398" s="7" t="e">
        <f>IF(VLOOKUP($A398,'Concrete Beam Schedule'!$A$2:$Q$2902,V$2,0)&lt;&gt;F398,"Beam Revised","")</f>
        <v>#N/A</v>
      </c>
      <c r="W398" s="7" t="e">
        <f>IF(VLOOKUP($A398,'Concrete Beam Schedule'!$A$2:$Q$2902,W$2,0)&lt;&gt;G398,"Beam Revised","")</f>
        <v>#N/A</v>
      </c>
      <c r="X398" s="7" t="e">
        <f>IF(VLOOKUP($A398,'Concrete Beam Schedule'!$A$2:$Q$2902,X$2,0)&lt;&gt;H398,"Beam Revised","")</f>
        <v>#N/A</v>
      </c>
      <c r="Y398" s="7" t="e">
        <f>IF(VLOOKUP($A398,'Concrete Beam Schedule'!$A$2:$Q$2902,Y$2,0)&lt;&gt;I398,"Beam Revised","")</f>
        <v>#N/A</v>
      </c>
      <c r="Z398" s="7" t="e">
        <f>IF(VLOOKUP($A398,'Concrete Beam Schedule'!$A$2:$Q$2902,Z$2,0)&lt;&gt;J398,"Beam Revised","")</f>
        <v>#N/A</v>
      </c>
      <c r="AA398" s="7" t="e">
        <f>IF(VLOOKUP($A398,'Concrete Beam Schedule'!$A$2:$Q$2902,AA$2,0)&lt;&gt;K398,"Beam Revised","")</f>
        <v>#N/A</v>
      </c>
      <c r="AB398" s="7" t="e">
        <f>IF(VLOOKUP($A398,'Concrete Beam Schedule'!$A$2:$Q$2902,AB$2,0)&lt;&gt;L398,"Beam Revised","")</f>
        <v>#N/A</v>
      </c>
      <c r="AC398" s="7" t="e">
        <f>IF(VLOOKUP($A398,'Concrete Beam Schedule'!$A$2:$Q$2902,AC$2,0)&lt;&gt;M398,"Beam Revised","")</f>
        <v>#N/A</v>
      </c>
      <c r="AD398" s="7" t="e">
        <f>IF(VLOOKUP($A398,'Concrete Beam Schedule'!$A$2:$Q$2902,AD$2,0)&lt;&gt;N398,"Beam Revised","")</f>
        <v>#N/A</v>
      </c>
      <c r="AE398" s="7" t="e">
        <f>IF(VLOOKUP($A398,'Concrete Beam Schedule'!$A$2:$Q$2902,AE$2,0)&lt;&gt;O398,"Beam Revised","")</f>
        <v>#N/A</v>
      </c>
    </row>
    <row r="399" spans="1:31" ht="25.5" customHeight="1" x14ac:dyDescent="0.25">
      <c r="A399" s="17"/>
      <c r="B399" s="17"/>
      <c r="C399" s="17"/>
      <c r="D399" s="17"/>
      <c r="E399" s="17"/>
      <c r="F399" s="17"/>
      <c r="G399" s="17"/>
      <c r="H399" s="17"/>
      <c r="I399" s="17"/>
      <c r="J399" s="17"/>
      <c r="K399" s="17"/>
      <c r="L399" s="17"/>
      <c r="M399" s="17"/>
      <c r="N399" s="17"/>
      <c r="O399" s="17"/>
      <c r="Q399" s="7">
        <f t="shared" si="6"/>
        <v>0</v>
      </c>
      <c r="R399" s="7" t="e">
        <f>IF(VLOOKUP($A399,'Concrete Beam Schedule'!$A$2:$Q$2902,R$2,0)&lt;&gt;B399,VLOOKUP($A399,'Concrete Beam Schedule'!$A$2:$Q$2902,R$2,0),"")</f>
        <v>#N/A</v>
      </c>
      <c r="S399" s="7" t="e">
        <f>IF(VLOOKUP($A399,'Concrete Beam Schedule'!$A$2:$Q$2902,S$2,0)&lt;&gt;C399,VLOOKUP($A399,'Concrete Beam Schedule'!$A$2:$Q$2902,S$2,0),"")</f>
        <v>#N/A</v>
      </c>
      <c r="T399" s="7" t="e">
        <f>IF(VLOOKUP($A399,'Concrete Beam Schedule'!$A$2:$Q$2902,T$2,0)&lt;&gt;D399,"Beam Revised","")</f>
        <v>#N/A</v>
      </c>
      <c r="U399" s="7" t="e">
        <f>IF(VLOOKUP($A399,'Concrete Beam Schedule'!$A$2:$Q$2902,U$2,0)&lt;&gt;E399,"Beam Revised","")</f>
        <v>#N/A</v>
      </c>
      <c r="V399" s="7" t="e">
        <f>IF(VLOOKUP($A399,'Concrete Beam Schedule'!$A$2:$Q$2902,V$2,0)&lt;&gt;F399,"Beam Revised","")</f>
        <v>#N/A</v>
      </c>
      <c r="W399" s="7" t="e">
        <f>IF(VLOOKUP($A399,'Concrete Beam Schedule'!$A$2:$Q$2902,W$2,0)&lt;&gt;G399,"Beam Revised","")</f>
        <v>#N/A</v>
      </c>
      <c r="X399" s="7" t="e">
        <f>IF(VLOOKUP($A399,'Concrete Beam Schedule'!$A$2:$Q$2902,X$2,0)&lt;&gt;H399,"Beam Revised","")</f>
        <v>#N/A</v>
      </c>
      <c r="Y399" s="7" t="e">
        <f>IF(VLOOKUP($A399,'Concrete Beam Schedule'!$A$2:$Q$2902,Y$2,0)&lt;&gt;I399,"Beam Revised","")</f>
        <v>#N/A</v>
      </c>
      <c r="Z399" s="7" t="e">
        <f>IF(VLOOKUP($A399,'Concrete Beam Schedule'!$A$2:$Q$2902,Z$2,0)&lt;&gt;J399,"Beam Revised","")</f>
        <v>#N/A</v>
      </c>
      <c r="AA399" s="7" t="e">
        <f>IF(VLOOKUP($A399,'Concrete Beam Schedule'!$A$2:$Q$2902,AA$2,0)&lt;&gt;K399,"Beam Revised","")</f>
        <v>#N/A</v>
      </c>
      <c r="AB399" s="7" t="e">
        <f>IF(VLOOKUP($A399,'Concrete Beam Schedule'!$A$2:$Q$2902,AB$2,0)&lt;&gt;L399,"Beam Revised","")</f>
        <v>#N/A</v>
      </c>
      <c r="AC399" s="7" t="e">
        <f>IF(VLOOKUP($A399,'Concrete Beam Schedule'!$A$2:$Q$2902,AC$2,0)&lt;&gt;M399,"Beam Revised","")</f>
        <v>#N/A</v>
      </c>
      <c r="AD399" s="7" t="e">
        <f>IF(VLOOKUP($A399,'Concrete Beam Schedule'!$A$2:$Q$2902,AD$2,0)&lt;&gt;N399,"Beam Revised","")</f>
        <v>#N/A</v>
      </c>
      <c r="AE399" s="7" t="e">
        <f>IF(VLOOKUP($A399,'Concrete Beam Schedule'!$A$2:$Q$2902,AE$2,0)&lt;&gt;O399,"Beam Revised","")</f>
        <v>#N/A</v>
      </c>
    </row>
    <row r="400" spans="1:31" ht="25.5" customHeight="1" x14ac:dyDescent="0.25">
      <c r="A400" s="17"/>
      <c r="B400" s="17"/>
      <c r="C400" s="17"/>
      <c r="D400" s="17"/>
      <c r="E400" s="17"/>
      <c r="F400" s="17"/>
      <c r="G400" s="17"/>
      <c r="H400" s="17"/>
      <c r="I400" s="17"/>
      <c r="J400" s="17"/>
      <c r="K400" s="17"/>
      <c r="L400" s="17"/>
      <c r="M400" s="17"/>
      <c r="N400" s="17"/>
      <c r="O400" s="17"/>
      <c r="Q400" s="7">
        <f t="shared" si="6"/>
        <v>0</v>
      </c>
      <c r="R400" s="7" t="e">
        <f>IF(VLOOKUP($A400,'Concrete Beam Schedule'!$A$2:$Q$2902,R$2,0)&lt;&gt;B400,VLOOKUP($A400,'Concrete Beam Schedule'!$A$2:$Q$2902,R$2,0),"")</f>
        <v>#N/A</v>
      </c>
      <c r="S400" s="7" t="e">
        <f>IF(VLOOKUP($A400,'Concrete Beam Schedule'!$A$2:$Q$2902,S$2,0)&lt;&gt;C400,VLOOKUP($A400,'Concrete Beam Schedule'!$A$2:$Q$2902,S$2,0),"")</f>
        <v>#N/A</v>
      </c>
      <c r="T400" s="7" t="e">
        <f>IF(VLOOKUP($A400,'Concrete Beam Schedule'!$A$2:$Q$2902,T$2,0)&lt;&gt;D400,"Beam Revised","")</f>
        <v>#N/A</v>
      </c>
      <c r="U400" s="7" t="e">
        <f>IF(VLOOKUP($A400,'Concrete Beam Schedule'!$A$2:$Q$2902,U$2,0)&lt;&gt;E400,"Beam Revised","")</f>
        <v>#N/A</v>
      </c>
      <c r="V400" s="7" t="e">
        <f>IF(VLOOKUP($A400,'Concrete Beam Schedule'!$A$2:$Q$2902,V$2,0)&lt;&gt;F400,"Beam Revised","")</f>
        <v>#N/A</v>
      </c>
      <c r="W400" s="7" t="e">
        <f>IF(VLOOKUP($A400,'Concrete Beam Schedule'!$A$2:$Q$2902,W$2,0)&lt;&gt;G400,"Beam Revised","")</f>
        <v>#N/A</v>
      </c>
      <c r="X400" s="7" t="e">
        <f>IF(VLOOKUP($A400,'Concrete Beam Schedule'!$A$2:$Q$2902,X$2,0)&lt;&gt;H400,"Beam Revised","")</f>
        <v>#N/A</v>
      </c>
      <c r="Y400" s="7" t="e">
        <f>IF(VLOOKUP($A400,'Concrete Beam Schedule'!$A$2:$Q$2902,Y$2,0)&lt;&gt;I400,"Beam Revised","")</f>
        <v>#N/A</v>
      </c>
      <c r="Z400" s="7" t="e">
        <f>IF(VLOOKUP($A400,'Concrete Beam Schedule'!$A$2:$Q$2902,Z$2,0)&lt;&gt;J400,"Beam Revised","")</f>
        <v>#N/A</v>
      </c>
      <c r="AA400" s="7" t="e">
        <f>IF(VLOOKUP($A400,'Concrete Beam Schedule'!$A$2:$Q$2902,AA$2,0)&lt;&gt;K400,"Beam Revised","")</f>
        <v>#N/A</v>
      </c>
      <c r="AB400" s="7" t="e">
        <f>IF(VLOOKUP($A400,'Concrete Beam Schedule'!$A$2:$Q$2902,AB$2,0)&lt;&gt;L400,"Beam Revised","")</f>
        <v>#N/A</v>
      </c>
      <c r="AC400" s="7" t="e">
        <f>IF(VLOOKUP($A400,'Concrete Beam Schedule'!$A$2:$Q$2902,AC$2,0)&lt;&gt;M400,"Beam Revised","")</f>
        <v>#N/A</v>
      </c>
      <c r="AD400" s="7" t="e">
        <f>IF(VLOOKUP($A400,'Concrete Beam Schedule'!$A$2:$Q$2902,AD$2,0)&lt;&gt;N400,"Beam Revised","")</f>
        <v>#N/A</v>
      </c>
      <c r="AE400" s="7" t="e">
        <f>IF(VLOOKUP($A400,'Concrete Beam Schedule'!$A$2:$Q$2902,AE$2,0)&lt;&gt;O400,"Beam Revised","")</f>
        <v>#N/A</v>
      </c>
    </row>
    <row r="401" spans="1:31" ht="25.5" customHeight="1" x14ac:dyDescent="0.25">
      <c r="A401" s="17"/>
      <c r="B401" s="17"/>
      <c r="C401" s="17"/>
      <c r="D401" s="17"/>
      <c r="E401" s="17"/>
      <c r="F401" s="17"/>
      <c r="G401" s="17"/>
      <c r="H401" s="17"/>
      <c r="I401" s="17"/>
      <c r="J401" s="17"/>
      <c r="K401" s="17"/>
      <c r="L401" s="17"/>
      <c r="M401" s="17"/>
      <c r="N401" s="17"/>
      <c r="O401" s="17"/>
      <c r="Q401" s="7">
        <f t="shared" si="6"/>
        <v>0</v>
      </c>
      <c r="R401" s="7" t="e">
        <f>IF(VLOOKUP($A401,'Concrete Beam Schedule'!$A$2:$Q$2902,R$2,0)&lt;&gt;B401,VLOOKUP($A401,'Concrete Beam Schedule'!$A$2:$Q$2902,R$2,0),"")</f>
        <v>#N/A</v>
      </c>
      <c r="S401" s="7" t="e">
        <f>IF(VLOOKUP($A401,'Concrete Beam Schedule'!$A$2:$Q$2902,S$2,0)&lt;&gt;C401,VLOOKUP($A401,'Concrete Beam Schedule'!$A$2:$Q$2902,S$2,0),"")</f>
        <v>#N/A</v>
      </c>
      <c r="T401" s="7" t="e">
        <f>IF(VLOOKUP($A401,'Concrete Beam Schedule'!$A$2:$Q$2902,T$2,0)&lt;&gt;D401,"Beam Revised","")</f>
        <v>#N/A</v>
      </c>
      <c r="U401" s="7" t="e">
        <f>IF(VLOOKUP($A401,'Concrete Beam Schedule'!$A$2:$Q$2902,U$2,0)&lt;&gt;E401,"Beam Revised","")</f>
        <v>#N/A</v>
      </c>
      <c r="V401" s="7" t="e">
        <f>IF(VLOOKUP($A401,'Concrete Beam Schedule'!$A$2:$Q$2902,V$2,0)&lt;&gt;F401,"Beam Revised","")</f>
        <v>#N/A</v>
      </c>
      <c r="W401" s="7" t="e">
        <f>IF(VLOOKUP($A401,'Concrete Beam Schedule'!$A$2:$Q$2902,W$2,0)&lt;&gt;G401,"Beam Revised","")</f>
        <v>#N/A</v>
      </c>
      <c r="X401" s="7" t="e">
        <f>IF(VLOOKUP($A401,'Concrete Beam Schedule'!$A$2:$Q$2902,X$2,0)&lt;&gt;H401,"Beam Revised","")</f>
        <v>#N/A</v>
      </c>
      <c r="Y401" s="7" t="e">
        <f>IF(VLOOKUP($A401,'Concrete Beam Schedule'!$A$2:$Q$2902,Y$2,0)&lt;&gt;I401,"Beam Revised","")</f>
        <v>#N/A</v>
      </c>
      <c r="Z401" s="7" t="e">
        <f>IF(VLOOKUP($A401,'Concrete Beam Schedule'!$A$2:$Q$2902,Z$2,0)&lt;&gt;J401,"Beam Revised","")</f>
        <v>#N/A</v>
      </c>
      <c r="AA401" s="7" t="e">
        <f>IF(VLOOKUP($A401,'Concrete Beam Schedule'!$A$2:$Q$2902,AA$2,0)&lt;&gt;K401,"Beam Revised","")</f>
        <v>#N/A</v>
      </c>
      <c r="AB401" s="7" t="e">
        <f>IF(VLOOKUP($A401,'Concrete Beam Schedule'!$A$2:$Q$2902,AB$2,0)&lt;&gt;L401,"Beam Revised","")</f>
        <v>#N/A</v>
      </c>
      <c r="AC401" s="7" t="e">
        <f>IF(VLOOKUP($A401,'Concrete Beam Schedule'!$A$2:$Q$2902,AC$2,0)&lt;&gt;M401,"Beam Revised","")</f>
        <v>#N/A</v>
      </c>
      <c r="AD401" s="7" t="e">
        <f>IF(VLOOKUP($A401,'Concrete Beam Schedule'!$A$2:$Q$2902,AD$2,0)&lt;&gt;N401,"Beam Revised","")</f>
        <v>#N/A</v>
      </c>
      <c r="AE401" s="7" t="e">
        <f>IF(VLOOKUP($A401,'Concrete Beam Schedule'!$A$2:$Q$2902,AE$2,0)&lt;&gt;O401,"Beam Revised","")</f>
        <v>#N/A</v>
      </c>
    </row>
    <row r="402" spans="1:31" ht="25.5" customHeight="1" x14ac:dyDescent="0.25">
      <c r="A402" s="17"/>
      <c r="B402" s="17"/>
      <c r="C402" s="17"/>
      <c r="D402" s="17"/>
      <c r="E402" s="17"/>
      <c r="F402" s="17"/>
      <c r="G402" s="17"/>
      <c r="H402" s="17"/>
      <c r="I402" s="17"/>
      <c r="J402" s="17"/>
      <c r="K402" s="17"/>
      <c r="L402" s="17"/>
      <c r="M402" s="17"/>
      <c r="N402" s="17"/>
      <c r="O402" s="17"/>
      <c r="Q402" s="7">
        <f t="shared" si="6"/>
        <v>0</v>
      </c>
      <c r="R402" s="7" t="e">
        <f>IF(VLOOKUP($A402,'Concrete Beam Schedule'!$A$2:$Q$2902,R$2,0)&lt;&gt;B402,VLOOKUP($A402,'Concrete Beam Schedule'!$A$2:$Q$2902,R$2,0),"")</f>
        <v>#N/A</v>
      </c>
      <c r="S402" s="7" t="e">
        <f>IF(VLOOKUP($A402,'Concrete Beam Schedule'!$A$2:$Q$2902,S$2,0)&lt;&gt;C402,VLOOKUP($A402,'Concrete Beam Schedule'!$A$2:$Q$2902,S$2,0),"")</f>
        <v>#N/A</v>
      </c>
      <c r="T402" s="7" t="e">
        <f>IF(VLOOKUP($A402,'Concrete Beam Schedule'!$A$2:$Q$2902,T$2,0)&lt;&gt;D402,"Beam Revised","")</f>
        <v>#N/A</v>
      </c>
      <c r="U402" s="7" t="e">
        <f>IF(VLOOKUP($A402,'Concrete Beam Schedule'!$A$2:$Q$2902,U$2,0)&lt;&gt;E402,"Beam Revised","")</f>
        <v>#N/A</v>
      </c>
      <c r="V402" s="7" t="e">
        <f>IF(VLOOKUP($A402,'Concrete Beam Schedule'!$A$2:$Q$2902,V$2,0)&lt;&gt;F402,"Beam Revised","")</f>
        <v>#N/A</v>
      </c>
      <c r="W402" s="7" t="e">
        <f>IF(VLOOKUP($A402,'Concrete Beam Schedule'!$A$2:$Q$2902,W$2,0)&lt;&gt;G402,"Beam Revised","")</f>
        <v>#N/A</v>
      </c>
      <c r="X402" s="7" t="e">
        <f>IF(VLOOKUP($A402,'Concrete Beam Schedule'!$A$2:$Q$2902,X$2,0)&lt;&gt;H402,"Beam Revised","")</f>
        <v>#N/A</v>
      </c>
      <c r="Y402" s="7" t="e">
        <f>IF(VLOOKUP($A402,'Concrete Beam Schedule'!$A$2:$Q$2902,Y$2,0)&lt;&gt;I402,"Beam Revised","")</f>
        <v>#N/A</v>
      </c>
      <c r="Z402" s="7" t="e">
        <f>IF(VLOOKUP($A402,'Concrete Beam Schedule'!$A$2:$Q$2902,Z$2,0)&lt;&gt;J402,"Beam Revised","")</f>
        <v>#N/A</v>
      </c>
      <c r="AA402" s="7" t="e">
        <f>IF(VLOOKUP($A402,'Concrete Beam Schedule'!$A$2:$Q$2902,AA$2,0)&lt;&gt;K402,"Beam Revised","")</f>
        <v>#N/A</v>
      </c>
      <c r="AB402" s="7" t="e">
        <f>IF(VLOOKUP($A402,'Concrete Beam Schedule'!$A$2:$Q$2902,AB$2,0)&lt;&gt;L402,"Beam Revised","")</f>
        <v>#N/A</v>
      </c>
      <c r="AC402" s="7" t="e">
        <f>IF(VLOOKUP($A402,'Concrete Beam Schedule'!$A$2:$Q$2902,AC$2,0)&lt;&gt;M402,"Beam Revised","")</f>
        <v>#N/A</v>
      </c>
      <c r="AD402" s="7" t="e">
        <f>IF(VLOOKUP($A402,'Concrete Beam Schedule'!$A$2:$Q$2902,AD$2,0)&lt;&gt;N402,"Beam Revised","")</f>
        <v>#N/A</v>
      </c>
      <c r="AE402" s="7" t="e">
        <f>IF(VLOOKUP($A402,'Concrete Beam Schedule'!$A$2:$Q$2902,AE$2,0)&lt;&gt;O402,"Beam Revised","")</f>
        <v>#N/A</v>
      </c>
    </row>
    <row r="403" spans="1:31" ht="25.5" customHeight="1" x14ac:dyDescent="0.25">
      <c r="A403" s="17"/>
      <c r="B403" s="17"/>
      <c r="C403" s="17"/>
      <c r="D403" s="17"/>
      <c r="E403" s="17"/>
      <c r="F403" s="17"/>
      <c r="G403" s="17"/>
      <c r="H403" s="17"/>
      <c r="I403" s="17"/>
      <c r="J403" s="17"/>
      <c r="K403" s="17"/>
      <c r="L403" s="17"/>
      <c r="M403" s="17"/>
      <c r="N403" s="17"/>
      <c r="O403" s="17"/>
      <c r="Q403" s="7">
        <f t="shared" si="6"/>
        <v>0</v>
      </c>
      <c r="R403" s="7" t="e">
        <f>IF(VLOOKUP($A403,'Concrete Beam Schedule'!$A$2:$Q$2902,R$2,0)&lt;&gt;B403,VLOOKUP($A403,'Concrete Beam Schedule'!$A$2:$Q$2902,R$2,0),"")</f>
        <v>#N/A</v>
      </c>
      <c r="S403" s="7" t="e">
        <f>IF(VLOOKUP($A403,'Concrete Beam Schedule'!$A$2:$Q$2902,S$2,0)&lt;&gt;C403,VLOOKUP($A403,'Concrete Beam Schedule'!$A$2:$Q$2902,S$2,0),"")</f>
        <v>#N/A</v>
      </c>
      <c r="T403" s="7" t="e">
        <f>IF(VLOOKUP($A403,'Concrete Beam Schedule'!$A$2:$Q$2902,T$2,0)&lt;&gt;D403,"Beam Revised","")</f>
        <v>#N/A</v>
      </c>
      <c r="U403" s="7" t="e">
        <f>IF(VLOOKUP($A403,'Concrete Beam Schedule'!$A$2:$Q$2902,U$2,0)&lt;&gt;E403,"Beam Revised","")</f>
        <v>#N/A</v>
      </c>
      <c r="V403" s="7" t="e">
        <f>IF(VLOOKUP($A403,'Concrete Beam Schedule'!$A$2:$Q$2902,V$2,0)&lt;&gt;F403,"Beam Revised","")</f>
        <v>#N/A</v>
      </c>
      <c r="W403" s="7" t="e">
        <f>IF(VLOOKUP($A403,'Concrete Beam Schedule'!$A$2:$Q$2902,W$2,0)&lt;&gt;G403,"Beam Revised","")</f>
        <v>#N/A</v>
      </c>
      <c r="X403" s="7" t="e">
        <f>IF(VLOOKUP($A403,'Concrete Beam Schedule'!$A$2:$Q$2902,X$2,0)&lt;&gt;H403,"Beam Revised","")</f>
        <v>#N/A</v>
      </c>
      <c r="Y403" s="7" t="e">
        <f>IF(VLOOKUP($A403,'Concrete Beam Schedule'!$A$2:$Q$2902,Y$2,0)&lt;&gt;I403,"Beam Revised","")</f>
        <v>#N/A</v>
      </c>
      <c r="Z403" s="7" t="e">
        <f>IF(VLOOKUP($A403,'Concrete Beam Schedule'!$A$2:$Q$2902,Z$2,0)&lt;&gt;J403,"Beam Revised","")</f>
        <v>#N/A</v>
      </c>
      <c r="AA403" s="7" t="e">
        <f>IF(VLOOKUP($A403,'Concrete Beam Schedule'!$A$2:$Q$2902,AA$2,0)&lt;&gt;K403,"Beam Revised","")</f>
        <v>#N/A</v>
      </c>
      <c r="AB403" s="7" t="e">
        <f>IF(VLOOKUP($A403,'Concrete Beam Schedule'!$A$2:$Q$2902,AB$2,0)&lt;&gt;L403,"Beam Revised","")</f>
        <v>#N/A</v>
      </c>
      <c r="AC403" s="7" t="e">
        <f>IF(VLOOKUP($A403,'Concrete Beam Schedule'!$A$2:$Q$2902,AC$2,0)&lt;&gt;M403,"Beam Revised","")</f>
        <v>#N/A</v>
      </c>
      <c r="AD403" s="7" t="e">
        <f>IF(VLOOKUP($A403,'Concrete Beam Schedule'!$A$2:$Q$2902,AD$2,0)&lt;&gt;N403,"Beam Revised","")</f>
        <v>#N/A</v>
      </c>
      <c r="AE403" s="7" t="e">
        <f>IF(VLOOKUP($A403,'Concrete Beam Schedule'!$A$2:$Q$2902,AE$2,0)&lt;&gt;O403,"Beam Revised","")</f>
        <v>#N/A</v>
      </c>
    </row>
    <row r="404" spans="1:31" ht="25.5" customHeight="1" x14ac:dyDescent="0.25">
      <c r="A404" s="17"/>
      <c r="B404" s="17"/>
      <c r="C404" s="17"/>
      <c r="D404" s="17"/>
      <c r="E404" s="17"/>
      <c r="F404" s="17"/>
      <c r="G404" s="17"/>
      <c r="H404" s="17"/>
      <c r="I404" s="17"/>
      <c r="J404" s="17"/>
      <c r="K404" s="17"/>
      <c r="L404" s="17"/>
      <c r="M404" s="17"/>
      <c r="N404" s="17"/>
      <c r="O404" s="17"/>
      <c r="Q404" s="7">
        <f t="shared" si="6"/>
        <v>0</v>
      </c>
      <c r="R404" s="7" t="e">
        <f>IF(VLOOKUP($A404,'Concrete Beam Schedule'!$A$2:$Q$2902,R$2,0)&lt;&gt;B404,VLOOKUP($A404,'Concrete Beam Schedule'!$A$2:$Q$2902,R$2,0),"")</f>
        <v>#N/A</v>
      </c>
      <c r="S404" s="7" t="e">
        <f>IF(VLOOKUP($A404,'Concrete Beam Schedule'!$A$2:$Q$2902,S$2,0)&lt;&gt;C404,VLOOKUP($A404,'Concrete Beam Schedule'!$A$2:$Q$2902,S$2,0),"")</f>
        <v>#N/A</v>
      </c>
      <c r="T404" s="7" t="e">
        <f>IF(VLOOKUP($A404,'Concrete Beam Schedule'!$A$2:$Q$2902,T$2,0)&lt;&gt;D404,"Beam Revised","")</f>
        <v>#N/A</v>
      </c>
      <c r="U404" s="7" t="e">
        <f>IF(VLOOKUP($A404,'Concrete Beam Schedule'!$A$2:$Q$2902,U$2,0)&lt;&gt;E404,"Beam Revised","")</f>
        <v>#N/A</v>
      </c>
      <c r="V404" s="7" t="e">
        <f>IF(VLOOKUP($A404,'Concrete Beam Schedule'!$A$2:$Q$2902,V$2,0)&lt;&gt;F404,"Beam Revised","")</f>
        <v>#N/A</v>
      </c>
      <c r="W404" s="7" t="e">
        <f>IF(VLOOKUP($A404,'Concrete Beam Schedule'!$A$2:$Q$2902,W$2,0)&lt;&gt;G404,"Beam Revised","")</f>
        <v>#N/A</v>
      </c>
      <c r="X404" s="7" t="e">
        <f>IF(VLOOKUP($A404,'Concrete Beam Schedule'!$A$2:$Q$2902,X$2,0)&lt;&gt;H404,"Beam Revised","")</f>
        <v>#N/A</v>
      </c>
      <c r="Y404" s="7" t="e">
        <f>IF(VLOOKUP($A404,'Concrete Beam Schedule'!$A$2:$Q$2902,Y$2,0)&lt;&gt;I404,"Beam Revised","")</f>
        <v>#N/A</v>
      </c>
      <c r="Z404" s="7" t="e">
        <f>IF(VLOOKUP($A404,'Concrete Beam Schedule'!$A$2:$Q$2902,Z$2,0)&lt;&gt;J404,"Beam Revised","")</f>
        <v>#N/A</v>
      </c>
      <c r="AA404" s="7" t="e">
        <f>IF(VLOOKUP($A404,'Concrete Beam Schedule'!$A$2:$Q$2902,AA$2,0)&lt;&gt;K404,"Beam Revised","")</f>
        <v>#N/A</v>
      </c>
      <c r="AB404" s="7" t="e">
        <f>IF(VLOOKUP($A404,'Concrete Beam Schedule'!$A$2:$Q$2902,AB$2,0)&lt;&gt;L404,"Beam Revised","")</f>
        <v>#N/A</v>
      </c>
      <c r="AC404" s="7" t="e">
        <f>IF(VLOOKUP($A404,'Concrete Beam Schedule'!$A$2:$Q$2902,AC$2,0)&lt;&gt;M404,"Beam Revised","")</f>
        <v>#N/A</v>
      </c>
      <c r="AD404" s="7" t="e">
        <f>IF(VLOOKUP($A404,'Concrete Beam Schedule'!$A$2:$Q$2902,AD$2,0)&lt;&gt;N404,"Beam Revised","")</f>
        <v>#N/A</v>
      </c>
      <c r="AE404" s="7" t="e">
        <f>IF(VLOOKUP($A404,'Concrete Beam Schedule'!$A$2:$Q$2902,AE$2,0)&lt;&gt;O404,"Beam Revised","")</f>
        <v>#N/A</v>
      </c>
    </row>
    <row r="405" spans="1:31" ht="25.5" customHeight="1" x14ac:dyDescent="0.25">
      <c r="A405" s="17"/>
      <c r="B405" s="17"/>
      <c r="C405" s="17"/>
      <c r="D405" s="17"/>
      <c r="E405" s="17"/>
      <c r="F405" s="17"/>
      <c r="G405" s="17"/>
      <c r="H405" s="17"/>
      <c r="I405" s="17"/>
      <c r="J405" s="17"/>
      <c r="K405" s="17"/>
      <c r="L405" s="17"/>
      <c r="M405" s="17"/>
      <c r="N405" s="17"/>
      <c r="O405" s="17"/>
      <c r="Q405" s="7">
        <f t="shared" si="6"/>
        <v>0</v>
      </c>
      <c r="R405" s="7" t="e">
        <f>IF(VLOOKUP($A405,'Concrete Beam Schedule'!$A$2:$Q$2902,R$2,0)&lt;&gt;B405,VLOOKUP($A405,'Concrete Beam Schedule'!$A$2:$Q$2902,R$2,0),"")</f>
        <v>#N/A</v>
      </c>
      <c r="S405" s="7" t="e">
        <f>IF(VLOOKUP($A405,'Concrete Beam Schedule'!$A$2:$Q$2902,S$2,0)&lt;&gt;C405,VLOOKUP($A405,'Concrete Beam Schedule'!$A$2:$Q$2902,S$2,0),"")</f>
        <v>#N/A</v>
      </c>
      <c r="T405" s="7" t="e">
        <f>IF(VLOOKUP($A405,'Concrete Beam Schedule'!$A$2:$Q$2902,T$2,0)&lt;&gt;D405,"Beam Revised","")</f>
        <v>#N/A</v>
      </c>
      <c r="U405" s="7" t="e">
        <f>IF(VLOOKUP($A405,'Concrete Beam Schedule'!$A$2:$Q$2902,U$2,0)&lt;&gt;E405,"Beam Revised","")</f>
        <v>#N/A</v>
      </c>
      <c r="V405" s="7" t="e">
        <f>IF(VLOOKUP($A405,'Concrete Beam Schedule'!$A$2:$Q$2902,V$2,0)&lt;&gt;F405,"Beam Revised","")</f>
        <v>#N/A</v>
      </c>
      <c r="W405" s="7" t="e">
        <f>IF(VLOOKUP($A405,'Concrete Beam Schedule'!$A$2:$Q$2902,W$2,0)&lt;&gt;G405,"Beam Revised","")</f>
        <v>#N/A</v>
      </c>
      <c r="X405" s="7" t="e">
        <f>IF(VLOOKUP($A405,'Concrete Beam Schedule'!$A$2:$Q$2902,X$2,0)&lt;&gt;H405,"Beam Revised","")</f>
        <v>#N/A</v>
      </c>
      <c r="Y405" s="7" t="e">
        <f>IF(VLOOKUP($A405,'Concrete Beam Schedule'!$A$2:$Q$2902,Y$2,0)&lt;&gt;I405,"Beam Revised","")</f>
        <v>#N/A</v>
      </c>
      <c r="Z405" s="7" t="e">
        <f>IF(VLOOKUP($A405,'Concrete Beam Schedule'!$A$2:$Q$2902,Z$2,0)&lt;&gt;J405,"Beam Revised","")</f>
        <v>#N/A</v>
      </c>
      <c r="AA405" s="7" t="e">
        <f>IF(VLOOKUP($A405,'Concrete Beam Schedule'!$A$2:$Q$2902,AA$2,0)&lt;&gt;K405,"Beam Revised","")</f>
        <v>#N/A</v>
      </c>
      <c r="AB405" s="7" t="e">
        <f>IF(VLOOKUP($A405,'Concrete Beam Schedule'!$A$2:$Q$2902,AB$2,0)&lt;&gt;L405,"Beam Revised","")</f>
        <v>#N/A</v>
      </c>
      <c r="AC405" s="7" t="e">
        <f>IF(VLOOKUP($A405,'Concrete Beam Schedule'!$A$2:$Q$2902,AC$2,0)&lt;&gt;M405,"Beam Revised","")</f>
        <v>#N/A</v>
      </c>
      <c r="AD405" s="7" t="e">
        <f>IF(VLOOKUP($A405,'Concrete Beam Schedule'!$A$2:$Q$2902,AD$2,0)&lt;&gt;N405,"Beam Revised","")</f>
        <v>#N/A</v>
      </c>
      <c r="AE405" s="7" t="e">
        <f>IF(VLOOKUP($A405,'Concrete Beam Schedule'!$A$2:$Q$2902,AE$2,0)&lt;&gt;O405,"Beam Revised","")</f>
        <v>#N/A</v>
      </c>
    </row>
    <row r="406" spans="1:31" ht="25.5" customHeight="1" x14ac:dyDescent="0.25">
      <c r="A406" s="17"/>
      <c r="B406" s="17"/>
      <c r="C406" s="17"/>
      <c r="D406" s="17"/>
      <c r="E406" s="17"/>
      <c r="F406" s="17"/>
      <c r="G406" s="17"/>
      <c r="H406" s="17"/>
      <c r="I406" s="17"/>
      <c r="J406" s="17"/>
      <c r="K406" s="17"/>
      <c r="L406" s="17"/>
      <c r="M406" s="17"/>
      <c r="N406" s="17"/>
      <c r="O406" s="17"/>
      <c r="Q406" s="7">
        <f t="shared" si="6"/>
        <v>0</v>
      </c>
      <c r="R406" s="7" t="e">
        <f>IF(VLOOKUP($A406,'Concrete Beam Schedule'!$A$2:$Q$2902,R$2,0)&lt;&gt;B406,VLOOKUP($A406,'Concrete Beam Schedule'!$A$2:$Q$2902,R$2,0),"")</f>
        <v>#N/A</v>
      </c>
      <c r="S406" s="7" t="e">
        <f>IF(VLOOKUP($A406,'Concrete Beam Schedule'!$A$2:$Q$2902,S$2,0)&lt;&gt;C406,VLOOKUP($A406,'Concrete Beam Schedule'!$A$2:$Q$2902,S$2,0),"")</f>
        <v>#N/A</v>
      </c>
      <c r="T406" s="7" t="e">
        <f>IF(VLOOKUP($A406,'Concrete Beam Schedule'!$A$2:$Q$2902,T$2,0)&lt;&gt;D406,"Beam Revised","")</f>
        <v>#N/A</v>
      </c>
      <c r="U406" s="7" t="e">
        <f>IF(VLOOKUP($A406,'Concrete Beam Schedule'!$A$2:$Q$2902,U$2,0)&lt;&gt;E406,"Beam Revised","")</f>
        <v>#N/A</v>
      </c>
      <c r="V406" s="7" t="e">
        <f>IF(VLOOKUP($A406,'Concrete Beam Schedule'!$A$2:$Q$2902,V$2,0)&lt;&gt;F406,"Beam Revised","")</f>
        <v>#N/A</v>
      </c>
      <c r="W406" s="7" t="e">
        <f>IF(VLOOKUP($A406,'Concrete Beam Schedule'!$A$2:$Q$2902,W$2,0)&lt;&gt;G406,"Beam Revised","")</f>
        <v>#N/A</v>
      </c>
      <c r="X406" s="7" t="e">
        <f>IF(VLOOKUP($A406,'Concrete Beam Schedule'!$A$2:$Q$2902,X$2,0)&lt;&gt;H406,"Beam Revised","")</f>
        <v>#N/A</v>
      </c>
      <c r="Y406" s="7" t="e">
        <f>IF(VLOOKUP($A406,'Concrete Beam Schedule'!$A$2:$Q$2902,Y$2,0)&lt;&gt;I406,"Beam Revised","")</f>
        <v>#N/A</v>
      </c>
      <c r="Z406" s="7" t="e">
        <f>IF(VLOOKUP($A406,'Concrete Beam Schedule'!$A$2:$Q$2902,Z$2,0)&lt;&gt;J406,"Beam Revised","")</f>
        <v>#N/A</v>
      </c>
      <c r="AA406" s="7" t="e">
        <f>IF(VLOOKUP($A406,'Concrete Beam Schedule'!$A$2:$Q$2902,AA$2,0)&lt;&gt;K406,"Beam Revised","")</f>
        <v>#N/A</v>
      </c>
      <c r="AB406" s="7" t="e">
        <f>IF(VLOOKUP($A406,'Concrete Beam Schedule'!$A$2:$Q$2902,AB$2,0)&lt;&gt;L406,"Beam Revised","")</f>
        <v>#N/A</v>
      </c>
      <c r="AC406" s="7" t="e">
        <f>IF(VLOOKUP($A406,'Concrete Beam Schedule'!$A$2:$Q$2902,AC$2,0)&lt;&gt;M406,"Beam Revised","")</f>
        <v>#N/A</v>
      </c>
      <c r="AD406" s="7" t="e">
        <f>IF(VLOOKUP($A406,'Concrete Beam Schedule'!$A$2:$Q$2902,AD$2,0)&lt;&gt;N406,"Beam Revised","")</f>
        <v>#N/A</v>
      </c>
      <c r="AE406" s="7" t="e">
        <f>IF(VLOOKUP($A406,'Concrete Beam Schedule'!$A$2:$Q$2902,AE$2,0)&lt;&gt;O406,"Beam Revised","")</f>
        <v>#N/A</v>
      </c>
    </row>
    <row r="407" spans="1:31" ht="25.5" customHeight="1" x14ac:dyDescent="0.25">
      <c r="A407" s="17"/>
      <c r="B407" s="17"/>
      <c r="C407" s="17"/>
      <c r="D407" s="17"/>
      <c r="E407" s="17"/>
      <c r="F407" s="17"/>
      <c r="G407" s="17"/>
      <c r="H407" s="17"/>
      <c r="I407" s="17"/>
      <c r="J407" s="17"/>
      <c r="K407" s="17"/>
      <c r="L407" s="17"/>
      <c r="M407" s="17"/>
      <c r="N407" s="17"/>
      <c r="O407" s="17"/>
      <c r="Q407" s="7">
        <f t="shared" si="6"/>
        <v>0</v>
      </c>
      <c r="R407" s="7" t="e">
        <f>IF(VLOOKUP($A407,'Concrete Beam Schedule'!$A$2:$Q$2902,R$2,0)&lt;&gt;B407,VLOOKUP($A407,'Concrete Beam Schedule'!$A$2:$Q$2902,R$2,0),"")</f>
        <v>#N/A</v>
      </c>
      <c r="S407" s="7" t="e">
        <f>IF(VLOOKUP($A407,'Concrete Beam Schedule'!$A$2:$Q$2902,S$2,0)&lt;&gt;C407,VLOOKUP($A407,'Concrete Beam Schedule'!$A$2:$Q$2902,S$2,0),"")</f>
        <v>#N/A</v>
      </c>
      <c r="T407" s="7" t="e">
        <f>IF(VLOOKUP($A407,'Concrete Beam Schedule'!$A$2:$Q$2902,T$2,0)&lt;&gt;D407,"Beam Revised","")</f>
        <v>#N/A</v>
      </c>
      <c r="U407" s="7" t="e">
        <f>IF(VLOOKUP($A407,'Concrete Beam Schedule'!$A$2:$Q$2902,U$2,0)&lt;&gt;E407,"Beam Revised","")</f>
        <v>#N/A</v>
      </c>
      <c r="V407" s="7" t="e">
        <f>IF(VLOOKUP($A407,'Concrete Beam Schedule'!$A$2:$Q$2902,V$2,0)&lt;&gt;F407,"Beam Revised","")</f>
        <v>#N/A</v>
      </c>
      <c r="W407" s="7" t="e">
        <f>IF(VLOOKUP($A407,'Concrete Beam Schedule'!$A$2:$Q$2902,W$2,0)&lt;&gt;G407,"Beam Revised","")</f>
        <v>#N/A</v>
      </c>
      <c r="X407" s="7" t="e">
        <f>IF(VLOOKUP($A407,'Concrete Beam Schedule'!$A$2:$Q$2902,X$2,0)&lt;&gt;H407,"Beam Revised","")</f>
        <v>#N/A</v>
      </c>
      <c r="Y407" s="7" t="e">
        <f>IF(VLOOKUP($A407,'Concrete Beam Schedule'!$A$2:$Q$2902,Y$2,0)&lt;&gt;I407,"Beam Revised","")</f>
        <v>#N/A</v>
      </c>
      <c r="Z407" s="7" t="e">
        <f>IF(VLOOKUP($A407,'Concrete Beam Schedule'!$A$2:$Q$2902,Z$2,0)&lt;&gt;J407,"Beam Revised","")</f>
        <v>#N/A</v>
      </c>
      <c r="AA407" s="7" t="e">
        <f>IF(VLOOKUP($A407,'Concrete Beam Schedule'!$A$2:$Q$2902,AA$2,0)&lt;&gt;K407,"Beam Revised","")</f>
        <v>#N/A</v>
      </c>
      <c r="AB407" s="7" t="e">
        <f>IF(VLOOKUP($A407,'Concrete Beam Schedule'!$A$2:$Q$2902,AB$2,0)&lt;&gt;L407,"Beam Revised","")</f>
        <v>#N/A</v>
      </c>
      <c r="AC407" s="7" t="e">
        <f>IF(VLOOKUP($A407,'Concrete Beam Schedule'!$A$2:$Q$2902,AC$2,0)&lt;&gt;M407,"Beam Revised","")</f>
        <v>#N/A</v>
      </c>
      <c r="AD407" s="7" t="e">
        <f>IF(VLOOKUP($A407,'Concrete Beam Schedule'!$A$2:$Q$2902,AD$2,0)&lt;&gt;N407,"Beam Revised","")</f>
        <v>#N/A</v>
      </c>
      <c r="AE407" s="7" t="e">
        <f>IF(VLOOKUP($A407,'Concrete Beam Schedule'!$A$2:$Q$2902,AE$2,0)&lt;&gt;O407,"Beam Revised","")</f>
        <v>#N/A</v>
      </c>
    </row>
    <row r="408" spans="1:31" ht="25.5" customHeight="1" x14ac:dyDescent="0.25">
      <c r="A408" s="17"/>
      <c r="B408" s="17"/>
      <c r="C408" s="17"/>
      <c r="D408" s="17"/>
      <c r="E408" s="17"/>
      <c r="F408" s="17"/>
      <c r="G408" s="17"/>
      <c r="H408" s="17"/>
      <c r="I408" s="17"/>
      <c r="J408" s="17"/>
      <c r="K408" s="17"/>
      <c r="L408" s="17"/>
      <c r="M408" s="17"/>
      <c r="N408" s="17"/>
      <c r="O408" s="17"/>
      <c r="Q408" s="7">
        <f t="shared" si="6"/>
        <v>0</v>
      </c>
      <c r="R408" s="7" t="e">
        <f>IF(VLOOKUP($A408,'Concrete Beam Schedule'!$A$2:$Q$2902,R$2,0)&lt;&gt;B408,VLOOKUP($A408,'Concrete Beam Schedule'!$A$2:$Q$2902,R$2,0),"")</f>
        <v>#N/A</v>
      </c>
      <c r="S408" s="7" t="e">
        <f>IF(VLOOKUP($A408,'Concrete Beam Schedule'!$A$2:$Q$2902,S$2,0)&lt;&gt;C408,VLOOKUP($A408,'Concrete Beam Schedule'!$A$2:$Q$2902,S$2,0),"")</f>
        <v>#N/A</v>
      </c>
      <c r="T408" s="7" t="e">
        <f>IF(VLOOKUP($A408,'Concrete Beam Schedule'!$A$2:$Q$2902,T$2,0)&lt;&gt;D408,"Beam Revised","")</f>
        <v>#N/A</v>
      </c>
      <c r="U408" s="7" t="e">
        <f>IF(VLOOKUP($A408,'Concrete Beam Schedule'!$A$2:$Q$2902,U$2,0)&lt;&gt;E408,"Beam Revised","")</f>
        <v>#N/A</v>
      </c>
      <c r="V408" s="7" t="e">
        <f>IF(VLOOKUP($A408,'Concrete Beam Schedule'!$A$2:$Q$2902,V$2,0)&lt;&gt;F408,"Beam Revised","")</f>
        <v>#N/A</v>
      </c>
      <c r="W408" s="7" t="e">
        <f>IF(VLOOKUP($A408,'Concrete Beam Schedule'!$A$2:$Q$2902,W$2,0)&lt;&gt;G408,"Beam Revised","")</f>
        <v>#N/A</v>
      </c>
      <c r="X408" s="7" t="e">
        <f>IF(VLOOKUP($A408,'Concrete Beam Schedule'!$A$2:$Q$2902,X$2,0)&lt;&gt;H408,"Beam Revised","")</f>
        <v>#N/A</v>
      </c>
      <c r="Y408" s="7" t="e">
        <f>IF(VLOOKUP($A408,'Concrete Beam Schedule'!$A$2:$Q$2902,Y$2,0)&lt;&gt;I408,"Beam Revised","")</f>
        <v>#N/A</v>
      </c>
      <c r="Z408" s="7" t="e">
        <f>IF(VLOOKUP($A408,'Concrete Beam Schedule'!$A$2:$Q$2902,Z$2,0)&lt;&gt;J408,"Beam Revised","")</f>
        <v>#N/A</v>
      </c>
      <c r="AA408" s="7" t="e">
        <f>IF(VLOOKUP($A408,'Concrete Beam Schedule'!$A$2:$Q$2902,AA$2,0)&lt;&gt;K408,"Beam Revised","")</f>
        <v>#N/A</v>
      </c>
      <c r="AB408" s="7" t="e">
        <f>IF(VLOOKUP($A408,'Concrete Beam Schedule'!$A$2:$Q$2902,AB$2,0)&lt;&gt;L408,"Beam Revised","")</f>
        <v>#N/A</v>
      </c>
      <c r="AC408" s="7" t="e">
        <f>IF(VLOOKUP($A408,'Concrete Beam Schedule'!$A$2:$Q$2902,AC$2,0)&lt;&gt;M408,"Beam Revised","")</f>
        <v>#N/A</v>
      </c>
      <c r="AD408" s="7" t="e">
        <f>IF(VLOOKUP($A408,'Concrete Beam Schedule'!$A$2:$Q$2902,AD$2,0)&lt;&gt;N408,"Beam Revised","")</f>
        <v>#N/A</v>
      </c>
      <c r="AE408" s="7" t="e">
        <f>IF(VLOOKUP($A408,'Concrete Beam Schedule'!$A$2:$Q$2902,AE$2,0)&lt;&gt;O408,"Beam Revised","")</f>
        <v>#N/A</v>
      </c>
    </row>
    <row r="409" spans="1:31" ht="25.5" customHeight="1" x14ac:dyDescent="0.25">
      <c r="A409" s="17"/>
      <c r="B409" s="17"/>
      <c r="C409" s="17"/>
      <c r="D409" s="17"/>
      <c r="E409" s="17"/>
      <c r="F409" s="17"/>
      <c r="G409" s="17"/>
      <c r="H409" s="17"/>
      <c r="I409" s="17"/>
      <c r="J409" s="17"/>
      <c r="K409" s="17"/>
      <c r="L409" s="17"/>
      <c r="M409" s="17"/>
      <c r="N409" s="17"/>
      <c r="O409" s="17"/>
      <c r="Q409" s="7">
        <f t="shared" si="6"/>
        <v>0</v>
      </c>
      <c r="R409" s="7" t="e">
        <f>IF(VLOOKUP($A409,'Concrete Beam Schedule'!$A$2:$Q$2902,R$2,0)&lt;&gt;B409,VLOOKUP($A409,'Concrete Beam Schedule'!$A$2:$Q$2902,R$2,0),"")</f>
        <v>#N/A</v>
      </c>
      <c r="S409" s="7" t="e">
        <f>IF(VLOOKUP($A409,'Concrete Beam Schedule'!$A$2:$Q$2902,S$2,0)&lt;&gt;C409,VLOOKUP($A409,'Concrete Beam Schedule'!$A$2:$Q$2902,S$2,0),"")</f>
        <v>#N/A</v>
      </c>
      <c r="T409" s="7" t="e">
        <f>IF(VLOOKUP($A409,'Concrete Beam Schedule'!$A$2:$Q$2902,T$2,0)&lt;&gt;D409,"Beam Revised","")</f>
        <v>#N/A</v>
      </c>
      <c r="U409" s="7" t="e">
        <f>IF(VLOOKUP($A409,'Concrete Beam Schedule'!$A$2:$Q$2902,U$2,0)&lt;&gt;E409,"Beam Revised","")</f>
        <v>#N/A</v>
      </c>
      <c r="V409" s="7" t="e">
        <f>IF(VLOOKUP($A409,'Concrete Beam Schedule'!$A$2:$Q$2902,V$2,0)&lt;&gt;F409,"Beam Revised","")</f>
        <v>#N/A</v>
      </c>
      <c r="W409" s="7" t="e">
        <f>IF(VLOOKUP($A409,'Concrete Beam Schedule'!$A$2:$Q$2902,W$2,0)&lt;&gt;G409,"Beam Revised","")</f>
        <v>#N/A</v>
      </c>
      <c r="X409" s="7" t="e">
        <f>IF(VLOOKUP($A409,'Concrete Beam Schedule'!$A$2:$Q$2902,X$2,0)&lt;&gt;H409,"Beam Revised","")</f>
        <v>#N/A</v>
      </c>
      <c r="Y409" s="7" t="e">
        <f>IF(VLOOKUP($A409,'Concrete Beam Schedule'!$A$2:$Q$2902,Y$2,0)&lt;&gt;I409,"Beam Revised","")</f>
        <v>#N/A</v>
      </c>
      <c r="Z409" s="7" t="e">
        <f>IF(VLOOKUP($A409,'Concrete Beam Schedule'!$A$2:$Q$2902,Z$2,0)&lt;&gt;J409,"Beam Revised","")</f>
        <v>#N/A</v>
      </c>
      <c r="AA409" s="7" t="e">
        <f>IF(VLOOKUP($A409,'Concrete Beam Schedule'!$A$2:$Q$2902,AA$2,0)&lt;&gt;K409,"Beam Revised","")</f>
        <v>#N/A</v>
      </c>
      <c r="AB409" s="7" t="e">
        <f>IF(VLOOKUP($A409,'Concrete Beam Schedule'!$A$2:$Q$2902,AB$2,0)&lt;&gt;L409,"Beam Revised","")</f>
        <v>#N/A</v>
      </c>
      <c r="AC409" s="7" t="e">
        <f>IF(VLOOKUP($A409,'Concrete Beam Schedule'!$A$2:$Q$2902,AC$2,0)&lt;&gt;M409,"Beam Revised","")</f>
        <v>#N/A</v>
      </c>
      <c r="AD409" s="7" t="e">
        <f>IF(VLOOKUP($A409,'Concrete Beam Schedule'!$A$2:$Q$2902,AD$2,0)&lt;&gt;N409,"Beam Revised","")</f>
        <v>#N/A</v>
      </c>
      <c r="AE409" s="7" t="e">
        <f>IF(VLOOKUP($A409,'Concrete Beam Schedule'!$A$2:$Q$2902,AE$2,0)&lt;&gt;O409,"Beam Revised","")</f>
        <v>#N/A</v>
      </c>
    </row>
    <row r="410" spans="1:31" ht="25.5" customHeight="1" x14ac:dyDescent="0.25">
      <c r="A410" s="17"/>
      <c r="B410" s="17"/>
      <c r="C410" s="17"/>
      <c r="D410" s="17"/>
      <c r="E410" s="17"/>
      <c r="F410" s="17"/>
      <c r="G410" s="17"/>
      <c r="H410" s="17"/>
      <c r="I410" s="17"/>
      <c r="J410" s="17"/>
      <c r="K410" s="17"/>
      <c r="L410" s="17"/>
      <c r="M410" s="17"/>
      <c r="N410" s="17"/>
      <c r="O410" s="17"/>
      <c r="Q410" s="7">
        <f t="shared" si="6"/>
        <v>0</v>
      </c>
      <c r="R410" s="7" t="e">
        <f>IF(VLOOKUP($A410,'Concrete Beam Schedule'!$A$2:$Q$2902,R$2,0)&lt;&gt;B410,VLOOKUP($A410,'Concrete Beam Schedule'!$A$2:$Q$2902,R$2,0),"")</f>
        <v>#N/A</v>
      </c>
      <c r="S410" s="7" t="e">
        <f>IF(VLOOKUP($A410,'Concrete Beam Schedule'!$A$2:$Q$2902,S$2,0)&lt;&gt;C410,VLOOKUP($A410,'Concrete Beam Schedule'!$A$2:$Q$2902,S$2,0),"")</f>
        <v>#N/A</v>
      </c>
      <c r="T410" s="7" t="e">
        <f>IF(VLOOKUP($A410,'Concrete Beam Schedule'!$A$2:$Q$2902,T$2,0)&lt;&gt;D410,"Beam Revised","")</f>
        <v>#N/A</v>
      </c>
      <c r="U410" s="7" t="e">
        <f>IF(VLOOKUP($A410,'Concrete Beam Schedule'!$A$2:$Q$2902,U$2,0)&lt;&gt;E410,"Beam Revised","")</f>
        <v>#N/A</v>
      </c>
      <c r="V410" s="7" t="e">
        <f>IF(VLOOKUP($A410,'Concrete Beam Schedule'!$A$2:$Q$2902,V$2,0)&lt;&gt;F410,"Beam Revised","")</f>
        <v>#N/A</v>
      </c>
      <c r="W410" s="7" t="e">
        <f>IF(VLOOKUP($A410,'Concrete Beam Schedule'!$A$2:$Q$2902,W$2,0)&lt;&gt;G410,"Beam Revised","")</f>
        <v>#N/A</v>
      </c>
      <c r="X410" s="7" t="e">
        <f>IF(VLOOKUP($A410,'Concrete Beam Schedule'!$A$2:$Q$2902,X$2,0)&lt;&gt;H410,"Beam Revised","")</f>
        <v>#N/A</v>
      </c>
      <c r="Y410" s="7" t="e">
        <f>IF(VLOOKUP($A410,'Concrete Beam Schedule'!$A$2:$Q$2902,Y$2,0)&lt;&gt;I410,"Beam Revised","")</f>
        <v>#N/A</v>
      </c>
      <c r="Z410" s="7" t="e">
        <f>IF(VLOOKUP($A410,'Concrete Beam Schedule'!$A$2:$Q$2902,Z$2,0)&lt;&gt;J410,"Beam Revised","")</f>
        <v>#N/A</v>
      </c>
      <c r="AA410" s="7" t="e">
        <f>IF(VLOOKUP($A410,'Concrete Beam Schedule'!$A$2:$Q$2902,AA$2,0)&lt;&gt;K410,"Beam Revised","")</f>
        <v>#N/A</v>
      </c>
      <c r="AB410" s="7" t="e">
        <f>IF(VLOOKUP($A410,'Concrete Beam Schedule'!$A$2:$Q$2902,AB$2,0)&lt;&gt;L410,"Beam Revised","")</f>
        <v>#N/A</v>
      </c>
      <c r="AC410" s="7" t="e">
        <f>IF(VLOOKUP($A410,'Concrete Beam Schedule'!$A$2:$Q$2902,AC$2,0)&lt;&gt;M410,"Beam Revised","")</f>
        <v>#N/A</v>
      </c>
      <c r="AD410" s="7" t="e">
        <f>IF(VLOOKUP($A410,'Concrete Beam Schedule'!$A$2:$Q$2902,AD$2,0)&lt;&gt;N410,"Beam Revised","")</f>
        <v>#N/A</v>
      </c>
      <c r="AE410" s="7" t="e">
        <f>IF(VLOOKUP($A410,'Concrete Beam Schedule'!$A$2:$Q$2902,AE$2,0)&lt;&gt;O410,"Beam Revised","")</f>
        <v>#N/A</v>
      </c>
    </row>
    <row r="411" spans="1:31" ht="25.5" customHeight="1" x14ac:dyDescent="0.25">
      <c r="A411" s="17"/>
      <c r="B411" s="17"/>
      <c r="C411" s="17"/>
      <c r="D411" s="17"/>
      <c r="E411" s="17"/>
      <c r="F411" s="17"/>
      <c r="G411" s="17"/>
      <c r="H411" s="17"/>
      <c r="I411" s="17"/>
      <c r="J411" s="17"/>
      <c r="K411" s="17"/>
      <c r="L411" s="17"/>
      <c r="M411" s="17"/>
      <c r="N411" s="17"/>
      <c r="O411" s="17"/>
      <c r="Q411" s="7">
        <f t="shared" si="6"/>
        <v>0</v>
      </c>
      <c r="R411" s="7" t="e">
        <f>IF(VLOOKUP($A411,'Concrete Beam Schedule'!$A$2:$Q$2902,R$2,0)&lt;&gt;B411,VLOOKUP($A411,'Concrete Beam Schedule'!$A$2:$Q$2902,R$2,0),"")</f>
        <v>#N/A</v>
      </c>
      <c r="S411" s="7" t="e">
        <f>IF(VLOOKUP($A411,'Concrete Beam Schedule'!$A$2:$Q$2902,S$2,0)&lt;&gt;C411,VLOOKUP($A411,'Concrete Beam Schedule'!$A$2:$Q$2902,S$2,0),"")</f>
        <v>#N/A</v>
      </c>
      <c r="T411" s="7" t="e">
        <f>IF(VLOOKUP($A411,'Concrete Beam Schedule'!$A$2:$Q$2902,T$2,0)&lt;&gt;D411,"Beam Revised","")</f>
        <v>#N/A</v>
      </c>
      <c r="U411" s="7" t="e">
        <f>IF(VLOOKUP($A411,'Concrete Beam Schedule'!$A$2:$Q$2902,U$2,0)&lt;&gt;E411,"Beam Revised","")</f>
        <v>#N/A</v>
      </c>
      <c r="V411" s="7" t="e">
        <f>IF(VLOOKUP($A411,'Concrete Beam Schedule'!$A$2:$Q$2902,V$2,0)&lt;&gt;F411,"Beam Revised","")</f>
        <v>#N/A</v>
      </c>
      <c r="W411" s="7" t="e">
        <f>IF(VLOOKUP($A411,'Concrete Beam Schedule'!$A$2:$Q$2902,W$2,0)&lt;&gt;G411,"Beam Revised","")</f>
        <v>#N/A</v>
      </c>
      <c r="X411" s="7" t="e">
        <f>IF(VLOOKUP($A411,'Concrete Beam Schedule'!$A$2:$Q$2902,X$2,0)&lt;&gt;H411,"Beam Revised","")</f>
        <v>#N/A</v>
      </c>
      <c r="Y411" s="7" t="e">
        <f>IF(VLOOKUP($A411,'Concrete Beam Schedule'!$A$2:$Q$2902,Y$2,0)&lt;&gt;I411,"Beam Revised","")</f>
        <v>#N/A</v>
      </c>
      <c r="Z411" s="7" t="e">
        <f>IF(VLOOKUP($A411,'Concrete Beam Schedule'!$A$2:$Q$2902,Z$2,0)&lt;&gt;J411,"Beam Revised","")</f>
        <v>#N/A</v>
      </c>
      <c r="AA411" s="7" t="e">
        <f>IF(VLOOKUP($A411,'Concrete Beam Schedule'!$A$2:$Q$2902,AA$2,0)&lt;&gt;K411,"Beam Revised","")</f>
        <v>#N/A</v>
      </c>
      <c r="AB411" s="7" t="e">
        <f>IF(VLOOKUP($A411,'Concrete Beam Schedule'!$A$2:$Q$2902,AB$2,0)&lt;&gt;L411,"Beam Revised","")</f>
        <v>#N/A</v>
      </c>
      <c r="AC411" s="7" t="e">
        <f>IF(VLOOKUP($A411,'Concrete Beam Schedule'!$A$2:$Q$2902,AC$2,0)&lt;&gt;M411,"Beam Revised","")</f>
        <v>#N/A</v>
      </c>
      <c r="AD411" s="7" t="e">
        <f>IF(VLOOKUP($A411,'Concrete Beam Schedule'!$A$2:$Q$2902,AD$2,0)&lt;&gt;N411,"Beam Revised","")</f>
        <v>#N/A</v>
      </c>
      <c r="AE411" s="7" t="e">
        <f>IF(VLOOKUP($A411,'Concrete Beam Schedule'!$A$2:$Q$2902,AE$2,0)&lt;&gt;O411,"Beam Revised","")</f>
        <v>#N/A</v>
      </c>
    </row>
    <row r="412" spans="1:31" ht="25.5" customHeight="1" x14ac:dyDescent="0.25">
      <c r="A412" s="17"/>
      <c r="B412" s="17"/>
      <c r="C412" s="17"/>
      <c r="D412" s="17"/>
      <c r="E412" s="17"/>
      <c r="F412" s="17"/>
      <c r="G412" s="17"/>
      <c r="H412" s="17"/>
      <c r="I412" s="17"/>
      <c r="J412" s="17"/>
      <c r="K412" s="17"/>
      <c r="L412" s="17"/>
      <c r="M412" s="17"/>
      <c r="N412" s="17"/>
      <c r="O412" s="17"/>
      <c r="Q412" s="7">
        <f t="shared" si="6"/>
        <v>0</v>
      </c>
      <c r="R412" s="7" t="e">
        <f>IF(VLOOKUP($A412,'Concrete Beam Schedule'!$A$2:$Q$2902,R$2,0)&lt;&gt;B412,VLOOKUP($A412,'Concrete Beam Schedule'!$A$2:$Q$2902,R$2,0),"")</f>
        <v>#N/A</v>
      </c>
      <c r="S412" s="7" t="e">
        <f>IF(VLOOKUP($A412,'Concrete Beam Schedule'!$A$2:$Q$2902,S$2,0)&lt;&gt;C412,VLOOKUP($A412,'Concrete Beam Schedule'!$A$2:$Q$2902,S$2,0),"")</f>
        <v>#N/A</v>
      </c>
      <c r="T412" s="7" t="e">
        <f>IF(VLOOKUP($A412,'Concrete Beam Schedule'!$A$2:$Q$2902,T$2,0)&lt;&gt;D412,"Beam Revised","")</f>
        <v>#N/A</v>
      </c>
      <c r="U412" s="7" t="e">
        <f>IF(VLOOKUP($A412,'Concrete Beam Schedule'!$A$2:$Q$2902,U$2,0)&lt;&gt;E412,"Beam Revised","")</f>
        <v>#N/A</v>
      </c>
      <c r="V412" s="7" t="e">
        <f>IF(VLOOKUP($A412,'Concrete Beam Schedule'!$A$2:$Q$2902,V$2,0)&lt;&gt;F412,"Beam Revised","")</f>
        <v>#N/A</v>
      </c>
      <c r="W412" s="7" t="e">
        <f>IF(VLOOKUP($A412,'Concrete Beam Schedule'!$A$2:$Q$2902,W$2,0)&lt;&gt;G412,"Beam Revised","")</f>
        <v>#N/A</v>
      </c>
      <c r="X412" s="7" t="e">
        <f>IF(VLOOKUP($A412,'Concrete Beam Schedule'!$A$2:$Q$2902,X$2,0)&lt;&gt;H412,"Beam Revised","")</f>
        <v>#N/A</v>
      </c>
      <c r="Y412" s="7" t="e">
        <f>IF(VLOOKUP($A412,'Concrete Beam Schedule'!$A$2:$Q$2902,Y$2,0)&lt;&gt;I412,"Beam Revised","")</f>
        <v>#N/A</v>
      </c>
      <c r="Z412" s="7" t="e">
        <f>IF(VLOOKUP($A412,'Concrete Beam Schedule'!$A$2:$Q$2902,Z$2,0)&lt;&gt;J412,"Beam Revised","")</f>
        <v>#N/A</v>
      </c>
      <c r="AA412" s="7" t="e">
        <f>IF(VLOOKUP($A412,'Concrete Beam Schedule'!$A$2:$Q$2902,AA$2,0)&lt;&gt;K412,"Beam Revised","")</f>
        <v>#N/A</v>
      </c>
      <c r="AB412" s="7" t="e">
        <f>IF(VLOOKUP($A412,'Concrete Beam Schedule'!$A$2:$Q$2902,AB$2,0)&lt;&gt;L412,"Beam Revised","")</f>
        <v>#N/A</v>
      </c>
      <c r="AC412" s="7" t="e">
        <f>IF(VLOOKUP($A412,'Concrete Beam Schedule'!$A$2:$Q$2902,AC$2,0)&lt;&gt;M412,"Beam Revised","")</f>
        <v>#N/A</v>
      </c>
      <c r="AD412" s="7" t="e">
        <f>IF(VLOOKUP($A412,'Concrete Beam Schedule'!$A$2:$Q$2902,AD$2,0)&lt;&gt;N412,"Beam Revised","")</f>
        <v>#N/A</v>
      </c>
      <c r="AE412" s="7" t="e">
        <f>IF(VLOOKUP($A412,'Concrete Beam Schedule'!$A$2:$Q$2902,AE$2,0)&lt;&gt;O412,"Beam Revised","")</f>
        <v>#N/A</v>
      </c>
    </row>
    <row r="413" spans="1:31" ht="25.5" customHeight="1" x14ac:dyDescent="0.25">
      <c r="A413" s="17"/>
      <c r="B413" s="17"/>
      <c r="C413" s="17"/>
      <c r="D413" s="17"/>
      <c r="E413" s="17"/>
      <c r="F413" s="17"/>
      <c r="G413" s="17"/>
      <c r="H413" s="17"/>
      <c r="I413" s="17"/>
      <c r="J413" s="17"/>
      <c r="K413" s="17"/>
      <c r="L413" s="17"/>
      <c r="M413" s="17"/>
      <c r="N413" s="17"/>
      <c r="O413" s="17"/>
      <c r="Q413" s="7">
        <f t="shared" si="6"/>
        <v>0</v>
      </c>
      <c r="R413" s="7" t="e">
        <f>IF(VLOOKUP($A413,'Concrete Beam Schedule'!$A$2:$Q$2902,R$2,0)&lt;&gt;B413,VLOOKUP($A413,'Concrete Beam Schedule'!$A$2:$Q$2902,R$2,0),"")</f>
        <v>#N/A</v>
      </c>
      <c r="S413" s="7" t="e">
        <f>IF(VLOOKUP($A413,'Concrete Beam Schedule'!$A$2:$Q$2902,S$2,0)&lt;&gt;C413,VLOOKUP($A413,'Concrete Beam Schedule'!$A$2:$Q$2902,S$2,0),"")</f>
        <v>#N/A</v>
      </c>
      <c r="T413" s="7" t="e">
        <f>IF(VLOOKUP($A413,'Concrete Beam Schedule'!$A$2:$Q$2902,T$2,0)&lt;&gt;D413,"Beam Revised","")</f>
        <v>#N/A</v>
      </c>
      <c r="U413" s="7" t="e">
        <f>IF(VLOOKUP($A413,'Concrete Beam Schedule'!$A$2:$Q$2902,U$2,0)&lt;&gt;E413,"Beam Revised","")</f>
        <v>#N/A</v>
      </c>
      <c r="V413" s="7" t="e">
        <f>IF(VLOOKUP($A413,'Concrete Beam Schedule'!$A$2:$Q$2902,V$2,0)&lt;&gt;F413,"Beam Revised","")</f>
        <v>#N/A</v>
      </c>
      <c r="W413" s="7" t="e">
        <f>IF(VLOOKUP($A413,'Concrete Beam Schedule'!$A$2:$Q$2902,W$2,0)&lt;&gt;G413,"Beam Revised","")</f>
        <v>#N/A</v>
      </c>
      <c r="X413" s="7" t="e">
        <f>IF(VLOOKUP($A413,'Concrete Beam Schedule'!$A$2:$Q$2902,X$2,0)&lt;&gt;H413,"Beam Revised","")</f>
        <v>#N/A</v>
      </c>
      <c r="Y413" s="7" t="e">
        <f>IF(VLOOKUP($A413,'Concrete Beam Schedule'!$A$2:$Q$2902,Y$2,0)&lt;&gt;I413,"Beam Revised","")</f>
        <v>#N/A</v>
      </c>
      <c r="Z413" s="7" t="e">
        <f>IF(VLOOKUP($A413,'Concrete Beam Schedule'!$A$2:$Q$2902,Z$2,0)&lt;&gt;J413,"Beam Revised","")</f>
        <v>#N/A</v>
      </c>
      <c r="AA413" s="7" t="e">
        <f>IF(VLOOKUP($A413,'Concrete Beam Schedule'!$A$2:$Q$2902,AA$2,0)&lt;&gt;K413,"Beam Revised","")</f>
        <v>#N/A</v>
      </c>
      <c r="AB413" s="7" t="e">
        <f>IF(VLOOKUP($A413,'Concrete Beam Schedule'!$A$2:$Q$2902,AB$2,0)&lt;&gt;L413,"Beam Revised","")</f>
        <v>#N/A</v>
      </c>
      <c r="AC413" s="7" t="e">
        <f>IF(VLOOKUP($A413,'Concrete Beam Schedule'!$A$2:$Q$2902,AC$2,0)&lt;&gt;M413,"Beam Revised","")</f>
        <v>#N/A</v>
      </c>
      <c r="AD413" s="7" t="e">
        <f>IF(VLOOKUP($A413,'Concrete Beam Schedule'!$A$2:$Q$2902,AD$2,0)&lt;&gt;N413,"Beam Revised","")</f>
        <v>#N/A</v>
      </c>
      <c r="AE413" s="7" t="e">
        <f>IF(VLOOKUP($A413,'Concrete Beam Schedule'!$A$2:$Q$2902,AE$2,0)&lt;&gt;O413,"Beam Revised","")</f>
        <v>#N/A</v>
      </c>
    </row>
    <row r="414" spans="1:31" ht="25.5" customHeight="1" x14ac:dyDescent="0.25">
      <c r="A414" s="17"/>
      <c r="B414" s="17"/>
      <c r="C414" s="17"/>
      <c r="D414" s="17"/>
      <c r="E414" s="17"/>
      <c r="F414" s="17"/>
      <c r="G414" s="17"/>
      <c r="H414" s="17"/>
      <c r="I414" s="17"/>
      <c r="J414" s="17"/>
      <c r="K414" s="17"/>
      <c r="L414" s="17"/>
      <c r="M414" s="17"/>
      <c r="N414" s="17"/>
      <c r="O414" s="17"/>
      <c r="Q414" s="7">
        <f t="shared" si="6"/>
        <v>0</v>
      </c>
      <c r="R414" s="7" t="e">
        <f>IF(VLOOKUP($A414,'Concrete Beam Schedule'!$A$2:$Q$2902,R$2,0)&lt;&gt;B414,VLOOKUP($A414,'Concrete Beam Schedule'!$A$2:$Q$2902,R$2,0),"")</f>
        <v>#N/A</v>
      </c>
      <c r="S414" s="7" t="e">
        <f>IF(VLOOKUP($A414,'Concrete Beam Schedule'!$A$2:$Q$2902,S$2,0)&lt;&gt;C414,VLOOKUP($A414,'Concrete Beam Schedule'!$A$2:$Q$2902,S$2,0),"")</f>
        <v>#N/A</v>
      </c>
      <c r="T414" s="7" t="e">
        <f>IF(VLOOKUP($A414,'Concrete Beam Schedule'!$A$2:$Q$2902,T$2,0)&lt;&gt;D414,"Beam Revised","")</f>
        <v>#N/A</v>
      </c>
      <c r="U414" s="7" t="e">
        <f>IF(VLOOKUP($A414,'Concrete Beam Schedule'!$A$2:$Q$2902,U$2,0)&lt;&gt;E414,"Beam Revised","")</f>
        <v>#N/A</v>
      </c>
      <c r="V414" s="7" t="e">
        <f>IF(VLOOKUP($A414,'Concrete Beam Schedule'!$A$2:$Q$2902,V$2,0)&lt;&gt;F414,"Beam Revised","")</f>
        <v>#N/A</v>
      </c>
      <c r="W414" s="7" t="e">
        <f>IF(VLOOKUP($A414,'Concrete Beam Schedule'!$A$2:$Q$2902,W$2,0)&lt;&gt;G414,"Beam Revised","")</f>
        <v>#N/A</v>
      </c>
      <c r="X414" s="7" t="e">
        <f>IF(VLOOKUP($A414,'Concrete Beam Schedule'!$A$2:$Q$2902,X$2,0)&lt;&gt;H414,"Beam Revised","")</f>
        <v>#N/A</v>
      </c>
      <c r="Y414" s="7" t="e">
        <f>IF(VLOOKUP($A414,'Concrete Beam Schedule'!$A$2:$Q$2902,Y$2,0)&lt;&gt;I414,"Beam Revised","")</f>
        <v>#N/A</v>
      </c>
      <c r="Z414" s="7" t="e">
        <f>IF(VLOOKUP($A414,'Concrete Beam Schedule'!$A$2:$Q$2902,Z$2,0)&lt;&gt;J414,"Beam Revised","")</f>
        <v>#N/A</v>
      </c>
      <c r="AA414" s="7" t="e">
        <f>IF(VLOOKUP($A414,'Concrete Beam Schedule'!$A$2:$Q$2902,AA$2,0)&lt;&gt;K414,"Beam Revised","")</f>
        <v>#N/A</v>
      </c>
      <c r="AB414" s="7" t="e">
        <f>IF(VLOOKUP($A414,'Concrete Beam Schedule'!$A$2:$Q$2902,AB$2,0)&lt;&gt;L414,"Beam Revised","")</f>
        <v>#N/A</v>
      </c>
      <c r="AC414" s="7" t="e">
        <f>IF(VLOOKUP($A414,'Concrete Beam Schedule'!$A$2:$Q$2902,AC$2,0)&lt;&gt;M414,"Beam Revised","")</f>
        <v>#N/A</v>
      </c>
      <c r="AD414" s="7" t="e">
        <f>IF(VLOOKUP($A414,'Concrete Beam Schedule'!$A$2:$Q$2902,AD$2,0)&lt;&gt;N414,"Beam Revised","")</f>
        <v>#N/A</v>
      </c>
      <c r="AE414" s="7" t="e">
        <f>IF(VLOOKUP($A414,'Concrete Beam Schedule'!$A$2:$Q$2902,AE$2,0)&lt;&gt;O414,"Beam Revised","")</f>
        <v>#N/A</v>
      </c>
    </row>
    <row r="415" spans="1:31" ht="25.5" customHeight="1" x14ac:dyDescent="0.25">
      <c r="A415" s="17"/>
      <c r="B415" s="17"/>
      <c r="C415" s="17"/>
      <c r="D415" s="17"/>
      <c r="E415" s="17"/>
      <c r="F415" s="17"/>
      <c r="G415" s="17"/>
      <c r="H415" s="17"/>
      <c r="I415" s="17"/>
      <c r="J415" s="17"/>
      <c r="K415" s="17"/>
      <c r="L415" s="17"/>
      <c r="M415" s="17"/>
      <c r="N415" s="17"/>
      <c r="O415" s="17"/>
      <c r="Q415" s="7">
        <f t="shared" si="6"/>
        <v>0</v>
      </c>
      <c r="R415" s="7" t="e">
        <f>IF(VLOOKUP($A415,'Concrete Beam Schedule'!$A$2:$Q$2902,R$2,0)&lt;&gt;B415,VLOOKUP($A415,'Concrete Beam Schedule'!$A$2:$Q$2902,R$2,0),"")</f>
        <v>#N/A</v>
      </c>
      <c r="S415" s="7" t="e">
        <f>IF(VLOOKUP($A415,'Concrete Beam Schedule'!$A$2:$Q$2902,S$2,0)&lt;&gt;C415,VLOOKUP($A415,'Concrete Beam Schedule'!$A$2:$Q$2902,S$2,0),"")</f>
        <v>#N/A</v>
      </c>
      <c r="T415" s="7" t="e">
        <f>IF(VLOOKUP($A415,'Concrete Beam Schedule'!$A$2:$Q$2902,T$2,0)&lt;&gt;D415,"Beam Revised","")</f>
        <v>#N/A</v>
      </c>
      <c r="U415" s="7" t="e">
        <f>IF(VLOOKUP($A415,'Concrete Beam Schedule'!$A$2:$Q$2902,U$2,0)&lt;&gt;E415,"Beam Revised","")</f>
        <v>#N/A</v>
      </c>
      <c r="V415" s="7" t="e">
        <f>IF(VLOOKUP($A415,'Concrete Beam Schedule'!$A$2:$Q$2902,V$2,0)&lt;&gt;F415,"Beam Revised","")</f>
        <v>#N/A</v>
      </c>
      <c r="W415" s="7" t="e">
        <f>IF(VLOOKUP($A415,'Concrete Beam Schedule'!$A$2:$Q$2902,W$2,0)&lt;&gt;G415,"Beam Revised","")</f>
        <v>#N/A</v>
      </c>
      <c r="X415" s="7" t="e">
        <f>IF(VLOOKUP($A415,'Concrete Beam Schedule'!$A$2:$Q$2902,X$2,0)&lt;&gt;H415,"Beam Revised","")</f>
        <v>#N/A</v>
      </c>
      <c r="Y415" s="7" t="e">
        <f>IF(VLOOKUP($A415,'Concrete Beam Schedule'!$A$2:$Q$2902,Y$2,0)&lt;&gt;I415,"Beam Revised","")</f>
        <v>#N/A</v>
      </c>
      <c r="Z415" s="7" t="e">
        <f>IF(VLOOKUP($A415,'Concrete Beam Schedule'!$A$2:$Q$2902,Z$2,0)&lt;&gt;J415,"Beam Revised","")</f>
        <v>#N/A</v>
      </c>
      <c r="AA415" s="7" t="e">
        <f>IF(VLOOKUP($A415,'Concrete Beam Schedule'!$A$2:$Q$2902,AA$2,0)&lt;&gt;K415,"Beam Revised","")</f>
        <v>#N/A</v>
      </c>
      <c r="AB415" s="7" t="e">
        <f>IF(VLOOKUP($A415,'Concrete Beam Schedule'!$A$2:$Q$2902,AB$2,0)&lt;&gt;L415,"Beam Revised","")</f>
        <v>#N/A</v>
      </c>
      <c r="AC415" s="7" t="e">
        <f>IF(VLOOKUP($A415,'Concrete Beam Schedule'!$A$2:$Q$2902,AC$2,0)&lt;&gt;M415,"Beam Revised","")</f>
        <v>#N/A</v>
      </c>
      <c r="AD415" s="7" t="e">
        <f>IF(VLOOKUP($A415,'Concrete Beam Schedule'!$A$2:$Q$2902,AD$2,0)&lt;&gt;N415,"Beam Revised","")</f>
        <v>#N/A</v>
      </c>
      <c r="AE415" s="7" t="e">
        <f>IF(VLOOKUP($A415,'Concrete Beam Schedule'!$A$2:$Q$2902,AE$2,0)&lt;&gt;O415,"Beam Revised","")</f>
        <v>#N/A</v>
      </c>
    </row>
    <row r="416" spans="1:31" ht="25.5" customHeight="1" x14ac:dyDescent="0.25">
      <c r="A416" s="17"/>
      <c r="B416" s="17"/>
      <c r="C416" s="17"/>
      <c r="D416" s="17"/>
      <c r="E416" s="17"/>
      <c r="F416" s="17"/>
      <c r="G416" s="17"/>
      <c r="H416" s="17"/>
      <c r="I416" s="17"/>
      <c r="J416" s="17"/>
      <c r="K416" s="17"/>
      <c r="L416" s="17"/>
      <c r="M416" s="17"/>
      <c r="N416" s="17"/>
      <c r="O416" s="17"/>
      <c r="Q416" s="7">
        <f t="shared" si="6"/>
        <v>0</v>
      </c>
      <c r="R416" s="7" t="e">
        <f>IF(VLOOKUP($A416,'Concrete Beam Schedule'!$A$2:$Q$2902,R$2,0)&lt;&gt;B416,VLOOKUP($A416,'Concrete Beam Schedule'!$A$2:$Q$2902,R$2,0),"")</f>
        <v>#N/A</v>
      </c>
      <c r="S416" s="7" t="e">
        <f>IF(VLOOKUP($A416,'Concrete Beam Schedule'!$A$2:$Q$2902,S$2,0)&lt;&gt;C416,VLOOKUP($A416,'Concrete Beam Schedule'!$A$2:$Q$2902,S$2,0),"")</f>
        <v>#N/A</v>
      </c>
      <c r="T416" s="7" t="e">
        <f>IF(VLOOKUP($A416,'Concrete Beam Schedule'!$A$2:$Q$2902,T$2,0)&lt;&gt;D416,"Beam Revised","")</f>
        <v>#N/A</v>
      </c>
      <c r="U416" s="7" t="e">
        <f>IF(VLOOKUP($A416,'Concrete Beam Schedule'!$A$2:$Q$2902,U$2,0)&lt;&gt;E416,"Beam Revised","")</f>
        <v>#N/A</v>
      </c>
      <c r="V416" s="7" t="e">
        <f>IF(VLOOKUP($A416,'Concrete Beam Schedule'!$A$2:$Q$2902,V$2,0)&lt;&gt;F416,"Beam Revised","")</f>
        <v>#N/A</v>
      </c>
      <c r="W416" s="7" t="e">
        <f>IF(VLOOKUP($A416,'Concrete Beam Schedule'!$A$2:$Q$2902,W$2,0)&lt;&gt;G416,"Beam Revised","")</f>
        <v>#N/A</v>
      </c>
      <c r="X416" s="7" t="e">
        <f>IF(VLOOKUP($A416,'Concrete Beam Schedule'!$A$2:$Q$2902,X$2,0)&lt;&gt;H416,"Beam Revised","")</f>
        <v>#N/A</v>
      </c>
      <c r="Y416" s="7" t="e">
        <f>IF(VLOOKUP($A416,'Concrete Beam Schedule'!$A$2:$Q$2902,Y$2,0)&lt;&gt;I416,"Beam Revised","")</f>
        <v>#N/A</v>
      </c>
      <c r="Z416" s="7" t="e">
        <f>IF(VLOOKUP($A416,'Concrete Beam Schedule'!$A$2:$Q$2902,Z$2,0)&lt;&gt;J416,"Beam Revised","")</f>
        <v>#N/A</v>
      </c>
      <c r="AA416" s="7" t="e">
        <f>IF(VLOOKUP($A416,'Concrete Beam Schedule'!$A$2:$Q$2902,AA$2,0)&lt;&gt;K416,"Beam Revised","")</f>
        <v>#N/A</v>
      </c>
      <c r="AB416" s="7" t="e">
        <f>IF(VLOOKUP($A416,'Concrete Beam Schedule'!$A$2:$Q$2902,AB$2,0)&lt;&gt;L416,"Beam Revised","")</f>
        <v>#N/A</v>
      </c>
      <c r="AC416" s="7" t="e">
        <f>IF(VLOOKUP($A416,'Concrete Beam Schedule'!$A$2:$Q$2902,AC$2,0)&lt;&gt;M416,"Beam Revised","")</f>
        <v>#N/A</v>
      </c>
      <c r="AD416" s="7" t="e">
        <f>IF(VLOOKUP($A416,'Concrete Beam Schedule'!$A$2:$Q$2902,AD$2,0)&lt;&gt;N416,"Beam Revised","")</f>
        <v>#N/A</v>
      </c>
      <c r="AE416" s="7" t="e">
        <f>IF(VLOOKUP($A416,'Concrete Beam Schedule'!$A$2:$Q$2902,AE$2,0)&lt;&gt;O416,"Beam Revised","")</f>
        <v>#N/A</v>
      </c>
    </row>
    <row r="417" spans="1:31" ht="25.5" customHeight="1" x14ac:dyDescent="0.25">
      <c r="A417" s="17"/>
      <c r="B417" s="17"/>
      <c r="C417" s="17"/>
      <c r="D417" s="17"/>
      <c r="E417" s="17"/>
      <c r="F417" s="17"/>
      <c r="G417" s="17"/>
      <c r="H417" s="17"/>
      <c r="I417" s="17"/>
      <c r="J417" s="17"/>
      <c r="K417" s="17"/>
      <c r="L417" s="17"/>
      <c r="M417" s="17"/>
      <c r="N417" s="17"/>
      <c r="O417" s="17"/>
      <c r="Q417" s="7">
        <f t="shared" si="6"/>
        <v>0</v>
      </c>
      <c r="R417" s="7" t="e">
        <f>IF(VLOOKUP($A417,'Concrete Beam Schedule'!$A$2:$Q$2902,R$2,0)&lt;&gt;B417,VLOOKUP($A417,'Concrete Beam Schedule'!$A$2:$Q$2902,R$2,0),"")</f>
        <v>#N/A</v>
      </c>
      <c r="S417" s="7" t="e">
        <f>IF(VLOOKUP($A417,'Concrete Beam Schedule'!$A$2:$Q$2902,S$2,0)&lt;&gt;C417,VLOOKUP($A417,'Concrete Beam Schedule'!$A$2:$Q$2902,S$2,0),"")</f>
        <v>#N/A</v>
      </c>
      <c r="T417" s="7" t="e">
        <f>IF(VLOOKUP($A417,'Concrete Beam Schedule'!$A$2:$Q$2902,T$2,0)&lt;&gt;D417,"Beam Revised","")</f>
        <v>#N/A</v>
      </c>
      <c r="U417" s="7" t="e">
        <f>IF(VLOOKUP($A417,'Concrete Beam Schedule'!$A$2:$Q$2902,U$2,0)&lt;&gt;E417,"Beam Revised","")</f>
        <v>#N/A</v>
      </c>
      <c r="V417" s="7" t="e">
        <f>IF(VLOOKUP($A417,'Concrete Beam Schedule'!$A$2:$Q$2902,V$2,0)&lt;&gt;F417,"Beam Revised","")</f>
        <v>#N/A</v>
      </c>
      <c r="W417" s="7" t="e">
        <f>IF(VLOOKUP($A417,'Concrete Beam Schedule'!$A$2:$Q$2902,W$2,0)&lt;&gt;G417,"Beam Revised","")</f>
        <v>#N/A</v>
      </c>
      <c r="X417" s="7" t="e">
        <f>IF(VLOOKUP($A417,'Concrete Beam Schedule'!$A$2:$Q$2902,X$2,0)&lt;&gt;H417,"Beam Revised","")</f>
        <v>#N/A</v>
      </c>
      <c r="Y417" s="7" t="e">
        <f>IF(VLOOKUP($A417,'Concrete Beam Schedule'!$A$2:$Q$2902,Y$2,0)&lt;&gt;I417,"Beam Revised","")</f>
        <v>#N/A</v>
      </c>
      <c r="Z417" s="7" t="e">
        <f>IF(VLOOKUP($A417,'Concrete Beam Schedule'!$A$2:$Q$2902,Z$2,0)&lt;&gt;J417,"Beam Revised","")</f>
        <v>#N/A</v>
      </c>
      <c r="AA417" s="7" t="e">
        <f>IF(VLOOKUP($A417,'Concrete Beam Schedule'!$A$2:$Q$2902,AA$2,0)&lt;&gt;K417,"Beam Revised","")</f>
        <v>#N/A</v>
      </c>
      <c r="AB417" s="7" t="e">
        <f>IF(VLOOKUP($A417,'Concrete Beam Schedule'!$A$2:$Q$2902,AB$2,0)&lt;&gt;L417,"Beam Revised","")</f>
        <v>#N/A</v>
      </c>
      <c r="AC417" s="7" t="e">
        <f>IF(VLOOKUP($A417,'Concrete Beam Schedule'!$A$2:$Q$2902,AC$2,0)&lt;&gt;M417,"Beam Revised","")</f>
        <v>#N/A</v>
      </c>
      <c r="AD417" s="7" t="e">
        <f>IF(VLOOKUP($A417,'Concrete Beam Schedule'!$A$2:$Q$2902,AD$2,0)&lt;&gt;N417,"Beam Revised","")</f>
        <v>#N/A</v>
      </c>
      <c r="AE417" s="7" t="e">
        <f>IF(VLOOKUP($A417,'Concrete Beam Schedule'!$A$2:$Q$2902,AE$2,0)&lt;&gt;O417,"Beam Revised","")</f>
        <v>#N/A</v>
      </c>
    </row>
    <row r="418" spans="1:31" ht="25.5" customHeight="1" x14ac:dyDescent="0.25">
      <c r="A418" s="17"/>
      <c r="B418" s="17"/>
      <c r="C418" s="17"/>
      <c r="D418" s="17"/>
      <c r="E418" s="17"/>
      <c r="F418" s="17"/>
      <c r="G418" s="17"/>
      <c r="H418" s="17"/>
      <c r="I418" s="17"/>
      <c r="J418" s="17"/>
      <c r="K418" s="17"/>
      <c r="L418" s="17"/>
      <c r="M418" s="17"/>
      <c r="N418" s="17"/>
      <c r="O418" s="17"/>
      <c r="Q418" s="7">
        <f t="shared" si="6"/>
        <v>0</v>
      </c>
      <c r="R418" s="7" t="e">
        <f>IF(VLOOKUP($A418,'Concrete Beam Schedule'!$A$2:$Q$2902,R$2,0)&lt;&gt;B418,VLOOKUP($A418,'Concrete Beam Schedule'!$A$2:$Q$2902,R$2,0),"")</f>
        <v>#N/A</v>
      </c>
      <c r="S418" s="7" t="e">
        <f>IF(VLOOKUP($A418,'Concrete Beam Schedule'!$A$2:$Q$2902,S$2,0)&lt;&gt;C418,VLOOKUP($A418,'Concrete Beam Schedule'!$A$2:$Q$2902,S$2,0),"")</f>
        <v>#N/A</v>
      </c>
      <c r="T418" s="7" t="e">
        <f>IF(VLOOKUP($A418,'Concrete Beam Schedule'!$A$2:$Q$2902,T$2,0)&lt;&gt;D418,"Beam Revised","")</f>
        <v>#N/A</v>
      </c>
      <c r="U418" s="7" t="e">
        <f>IF(VLOOKUP($A418,'Concrete Beam Schedule'!$A$2:$Q$2902,U$2,0)&lt;&gt;E418,"Beam Revised","")</f>
        <v>#N/A</v>
      </c>
      <c r="V418" s="7" t="e">
        <f>IF(VLOOKUP($A418,'Concrete Beam Schedule'!$A$2:$Q$2902,V$2,0)&lt;&gt;F418,"Beam Revised","")</f>
        <v>#N/A</v>
      </c>
      <c r="W418" s="7" t="e">
        <f>IF(VLOOKUP($A418,'Concrete Beam Schedule'!$A$2:$Q$2902,W$2,0)&lt;&gt;G418,"Beam Revised","")</f>
        <v>#N/A</v>
      </c>
      <c r="X418" s="7" t="e">
        <f>IF(VLOOKUP($A418,'Concrete Beam Schedule'!$A$2:$Q$2902,X$2,0)&lt;&gt;H418,"Beam Revised","")</f>
        <v>#N/A</v>
      </c>
      <c r="Y418" s="7" t="e">
        <f>IF(VLOOKUP($A418,'Concrete Beam Schedule'!$A$2:$Q$2902,Y$2,0)&lt;&gt;I418,"Beam Revised","")</f>
        <v>#N/A</v>
      </c>
      <c r="Z418" s="7" t="e">
        <f>IF(VLOOKUP($A418,'Concrete Beam Schedule'!$A$2:$Q$2902,Z$2,0)&lt;&gt;J418,"Beam Revised","")</f>
        <v>#N/A</v>
      </c>
      <c r="AA418" s="7" t="e">
        <f>IF(VLOOKUP($A418,'Concrete Beam Schedule'!$A$2:$Q$2902,AA$2,0)&lt;&gt;K418,"Beam Revised","")</f>
        <v>#N/A</v>
      </c>
      <c r="AB418" s="7" t="e">
        <f>IF(VLOOKUP($A418,'Concrete Beam Schedule'!$A$2:$Q$2902,AB$2,0)&lt;&gt;L418,"Beam Revised","")</f>
        <v>#N/A</v>
      </c>
      <c r="AC418" s="7" t="e">
        <f>IF(VLOOKUP($A418,'Concrete Beam Schedule'!$A$2:$Q$2902,AC$2,0)&lt;&gt;M418,"Beam Revised","")</f>
        <v>#N/A</v>
      </c>
      <c r="AD418" s="7" t="e">
        <f>IF(VLOOKUP($A418,'Concrete Beam Schedule'!$A$2:$Q$2902,AD$2,0)&lt;&gt;N418,"Beam Revised","")</f>
        <v>#N/A</v>
      </c>
      <c r="AE418" s="7" t="e">
        <f>IF(VLOOKUP($A418,'Concrete Beam Schedule'!$A$2:$Q$2902,AE$2,0)&lt;&gt;O418,"Beam Revised","")</f>
        <v>#N/A</v>
      </c>
    </row>
    <row r="419" spans="1:31" ht="25.5" customHeight="1" x14ac:dyDescent="0.25">
      <c r="A419" s="17"/>
      <c r="B419" s="17"/>
      <c r="C419" s="17"/>
      <c r="D419" s="17"/>
      <c r="E419" s="17"/>
      <c r="F419" s="17"/>
      <c r="G419" s="17"/>
      <c r="H419" s="17"/>
      <c r="I419" s="17"/>
      <c r="J419" s="17"/>
      <c r="K419" s="17"/>
      <c r="L419" s="17"/>
      <c r="M419" s="17"/>
      <c r="N419" s="17"/>
      <c r="O419" s="17"/>
      <c r="Q419" s="7">
        <f t="shared" si="6"/>
        <v>0</v>
      </c>
      <c r="R419" s="7" t="e">
        <f>IF(VLOOKUP($A419,'Concrete Beam Schedule'!$A$2:$Q$2902,R$2,0)&lt;&gt;B419,VLOOKUP($A419,'Concrete Beam Schedule'!$A$2:$Q$2902,R$2,0),"")</f>
        <v>#N/A</v>
      </c>
      <c r="S419" s="7" t="e">
        <f>IF(VLOOKUP($A419,'Concrete Beam Schedule'!$A$2:$Q$2902,S$2,0)&lt;&gt;C419,VLOOKUP($A419,'Concrete Beam Schedule'!$A$2:$Q$2902,S$2,0),"")</f>
        <v>#N/A</v>
      </c>
      <c r="T419" s="7" t="e">
        <f>IF(VLOOKUP($A419,'Concrete Beam Schedule'!$A$2:$Q$2902,T$2,0)&lt;&gt;D419,"Beam Revised","")</f>
        <v>#N/A</v>
      </c>
      <c r="U419" s="7" t="e">
        <f>IF(VLOOKUP($A419,'Concrete Beam Schedule'!$A$2:$Q$2902,U$2,0)&lt;&gt;E419,"Beam Revised","")</f>
        <v>#N/A</v>
      </c>
      <c r="V419" s="7" t="e">
        <f>IF(VLOOKUP($A419,'Concrete Beam Schedule'!$A$2:$Q$2902,V$2,0)&lt;&gt;F419,"Beam Revised","")</f>
        <v>#N/A</v>
      </c>
      <c r="W419" s="7" t="e">
        <f>IF(VLOOKUP($A419,'Concrete Beam Schedule'!$A$2:$Q$2902,W$2,0)&lt;&gt;G419,"Beam Revised","")</f>
        <v>#N/A</v>
      </c>
      <c r="X419" s="7" t="e">
        <f>IF(VLOOKUP($A419,'Concrete Beam Schedule'!$A$2:$Q$2902,X$2,0)&lt;&gt;H419,"Beam Revised","")</f>
        <v>#N/A</v>
      </c>
      <c r="Y419" s="7" t="e">
        <f>IF(VLOOKUP($A419,'Concrete Beam Schedule'!$A$2:$Q$2902,Y$2,0)&lt;&gt;I419,"Beam Revised","")</f>
        <v>#N/A</v>
      </c>
      <c r="Z419" s="7" t="e">
        <f>IF(VLOOKUP($A419,'Concrete Beam Schedule'!$A$2:$Q$2902,Z$2,0)&lt;&gt;J419,"Beam Revised","")</f>
        <v>#N/A</v>
      </c>
      <c r="AA419" s="7" t="e">
        <f>IF(VLOOKUP($A419,'Concrete Beam Schedule'!$A$2:$Q$2902,AA$2,0)&lt;&gt;K419,"Beam Revised","")</f>
        <v>#N/A</v>
      </c>
      <c r="AB419" s="7" t="e">
        <f>IF(VLOOKUP($A419,'Concrete Beam Schedule'!$A$2:$Q$2902,AB$2,0)&lt;&gt;L419,"Beam Revised","")</f>
        <v>#N/A</v>
      </c>
      <c r="AC419" s="7" t="e">
        <f>IF(VLOOKUP($A419,'Concrete Beam Schedule'!$A$2:$Q$2902,AC$2,0)&lt;&gt;M419,"Beam Revised","")</f>
        <v>#N/A</v>
      </c>
      <c r="AD419" s="7" t="e">
        <f>IF(VLOOKUP($A419,'Concrete Beam Schedule'!$A$2:$Q$2902,AD$2,0)&lt;&gt;N419,"Beam Revised","")</f>
        <v>#N/A</v>
      </c>
      <c r="AE419" s="7" t="e">
        <f>IF(VLOOKUP($A419,'Concrete Beam Schedule'!$A$2:$Q$2902,AE$2,0)&lt;&gt;O419,"Beam Revised","")</f>
        <v>#N/A</v>
      </c>
    </row>
    <row r="420" spans="1:31" ht="25.5" customHeight="1" x14ac:dyDescent="0.25">
      <c r="A420" s="17"/>
      <c r="B420" s="17"/>
      <c r="C420" s="17"/>
      <c r="D420" s="17"/>
      <c r="E420" s="17"/>
      <c r="F420" s="17"/>
      <c r="G420" s="17"/>
      <c r="H420" s="17"/>
      <c r="I420" s="17"/>
      <c r="J420" s="17"/>
      <c r="K420" s="17"/>
      <c r="L420" s="17"/>
      <c r="M420" s="17"/>
      <c r="N420" s="17"/>
      <c r="O420" s="17"/>
      <c r="Q420" s="7">
        <f t="shared" si="6"/>
        <v>0</v>
      </c>
      <c r="R420" s="7" t="e">
        <f>IF(VLOOKUP($A420,'Concrete Beam Schedule'!$A$2:$Q$2902,R$2,0)&lt;&gt;B420,VLOOKUP($A420,'Concrete Beam Schedule'!$A$2:$Q$2902,R$2,0),"")</f>
        <v>#N/A</v>
      </c>
      <c r="S420" s="7" t="e">
        <f>IF(VLOOKUP($A420,'Concrete Beam Schedule'!$A$2:$Q$2902,S$2,0)&lt;&gt;C420,VLOOKUP($A420,'Concrete Beam Schedule'!$A$2:$Q$2902,S$2,0),"")</f>
        <v>#N/A</v>
      </c>
      <c r="T420" s="7" t="e">
        <f>IF(VLOOKUP($A420,'Concrete Beam Schedule'!$A$2:$Q$2902,T$2,0)&lt;&gt;D420,"Beam Revised","")</f>
        <v>#N/A</v>
      </c>
      <c r="U420" s="7" t="e">
        <f>IF(VLOOKUP($A420,'Concrete Beam Schedule'!$A$2:$Q$2902,U$2,0)&lt;&gt;E420,"Beam Revised","")</f>
        <v>#N/A</v>
      </c>
      <c r="V420" s="7" t="e">
        <f>IF(VLOOKUP($A420,'Concrete Beam Schedule'!$A$2:$Q$2902,V$2,0)&lt;&gt;F420,"Beam Revised","")</f>
        <v>#N/A</v>
      </c>
      <c r="W420" s="7" t="e">
        <f>IF(VLOOKUP($A420,'Concrete Beam Schedule'!$A$2:$Q$2902,W$2,0)&lt;&gt;G420,"Beam Revised","")</f>
        <v>#N/A</v>
      </c>
      <c r="X420" s="7" t="e">
        <f>IF(VLOOKUP($A420,'Concrete Beam Schedule'!$A$2:$Q$2902,X$2,0)&lt;&gt;H420,"Beam Revised","")</f>
        <v>#N/A</v>
      </c>
      <c r="Y420" s="7" t="e">
        <f>IF(VLOOKUP($A420,'Concrete Beam Schedule'!$A$2:$Q$2902,Y$2,0)&lt;&gt;I420,"Beam Revised","")</f>
        <v>#N/A</v>
      </c>
      <c r="Z420" s="7" t="e">
        <f>IF(VLOOKUP($A420,'Concrete Beam Schedule'!$A$2:$Q$2902,Z$2,0)&lt;&gt;J420,"Beam Revised","")</f>
        <v>#N/A</v>
      </c>
      <c r="AA420" s="7" t="e">
        <f>IF(VLOOKUP($A420,'Concrete Beam Schedule'!$A$2:$Q$2902,AA$2,0)&lt;&gt;K420,"Beam Revised","")</f>
        <v>#N/A</v>
      </c>
      <c r="AB420" s="7" t="e">
        <f>IF(VLOOKUP($A420,'Concrete Beam Schedule'!$A$2:$Q$2902,AB$2,0)&lt;&gt;L420,"Beam Revised","")</f>
        <v>#N/A</v>
      </c>
      <c r="AC420" s="7" t="e">
        <f>IF(VLOOKUP($A420,'Concrete Beam Schedule'!$A$2:$Q$2902,AC$2,0)&lt;&gt;M420,"Beam Revised","")</f>
        <v>#N/A</v>
      </c>
      <c r="AD420" s="7" t="e">
        <f>IF(VLOOKUP($A420,'Concrete Beam Schedule'!$A$2:$Q$2902,AD$2,0)&lt;&gt;N420,"Beam Revised","")</f>
        <v>#N/A</v>
      </c>
      <c r="AE420" s="7" t="e">
        <f>IF(VLOOKUP($A420,'Concrete Beam Schedule'!$A$2:$Q$2902,AE$2,0)&lt;&gt;O420,"Beam Revised","")</f>
        <v>#N/A</v>
      </c>
    </row>
    <row r="421" spans="1:31" ht="25.5" customHeight="1" x14ac:dyDescent="0.25">
      <c r="A421" s="17"/>
      <c r="B421" s="17"/>
      <c r="C421" s="17"/>
      <c r="D421" s="17"/>
      <c r="E421" s="17"/>
      <c r="F421" s="17"/>
      <c r="G421" s="17"/>
      <c r="H421" s="17"/>
      <c r="I421" s="17"/>
      <c r="J421" s="17"/>
      <c r="K421" s="17"/>
      <c r="L421" s="17"/>
      <c r="M421" s="17"/>
      <c r="N421" s="17"/>
      <c r="O421" s="17"/>
      <c r="Q421" s="7">
        <f t="shared" si="6"/>
        <v>0</v>
      </c>
      <c r="R421" s="7" t="e">
        <f>IF(VLOOKUP($A421,'Concrete Beam Schedule'!$A$2:$Q$2902,R$2,0)&lt;&gt;B421,VLOOKUP($A421,'Concrete Beam Schedule'!$A$2:$Q$2902,R$2,0),"")</f>
        <v>#N/A</v>
      </c>
      <c r="S421" s="7" t="e">
        <f>IF(VLOOKUP($A421,'Concrete Beam Schedule'!$A$2:$Q$2902,S$2,0)&lt;&gt;C421,VLOOKUP($A421,'Concrete Beam Schedule'!$A$2:$Q$2902,S$2,0),"")</f>
        <v>#N/A</v>
      </c>
      <c r="T421" s="7" t="e">
        <f>IF(VLOOKUP($A421,'Concrete Beam Schedule'!$A$2:$Q$2902,T$2,0)&lt;&gt;D421,"Beam Revised","")</f>
        <v>#N/A</v>
      </c>
      <c r="U421" s="7" t="e">
        <f>IF(VLOOKUP($A421,'Concrete Beam Schedule'!$A$2:$Q$2902,U$2,0)&lt;&gt;E421,"Beam Revised","")</f>
        <v>#N/A</v>
      </c>
      <c r="V421" s="7" t="e">
        <f>IF(VLOOKUP($A421,'Concrete Beam Schedule'!$A$2:$Q$2902,V$2,0)&lt;&gt;F421,"Beam Revised","")</f>
        <v>#N/A</v>
      </c>
      <c r="W421" s="7" t="e">
        <f>IF(VLOOKUP($A421,'Concrete Beam Schedule'!$A$2:$Q$2902,W$2,0)&lt;&gt;G421,"Beam Revised","")</f>
        <v>#N/A</v>
      </c>
      <c r="X421" s="7" t="e">
        <f>IF(VLOOKUP($A421,'Concrete Beam Schedule'!$A$2:$Q$2902,X$2,0)&lt;&gt;H421,"Beam Revised","")</f>
        <v>#N/A</v>
      </c>
      <c r="Y421" s="7" t="e">
        <f>IF(VLOOKUP($A421,'Concrete Beam Schedule'!$A$2:$Q$2902,Y$2,0)&lt;&gt;I421,"Beam Revised","")</f>
        <v>#N/A</v>
      </c>
      <c r="Z421" s="7" t="e">
        <f>IF(VLOOKUP($A421,'Concrete Beam Schedule'!$A$2:$Q$2902,Z$2,0)&lt;&gt;J421,"Beam Revised","")</f>
        <v>#N/A</v>
      </c>
      <c r="AA421" s="7" t="e">
        <f>IF(VLOOKUP($A421,'Concrete Beam Schedule'!$A$2:$Q$2902,AA$2,0)&lt;&gt;K421,"Beam Revised","")</f>
        <v>#N/A</v>
      </c>
      <c r="AB421" s="7" t="e">
        <f>IF(VLOOKUP($A421,'Concrete Beam Schedule'!$A$2:$Q$2902,AB$2,0)&lt;&gt;L421,"Beam Revised","")</f>
        <v>#N/A</v>
      </c>
      <c r="AC421" s="7" t="e">
        <f>IF(VLOOKUP($A421,'Concrete Beam Schedule'!$A$2:$Q$2902,AC$2,0)&lt;&gt;M421,"Beam Revised","")</f>
        <v>#N/A</v>
      </c>
      <c r="AD421" s="7" t="e">
        <f>IF(VLOOKUP($A421,'Concrete Beam Schedule'!$A$2:$Q$2902,AD$2,0)&lt;&gt;N421,"Beam Revised","")</f>
        <v>#N/A</v>
      </c>
      <c r="AE421" s="7" t="e">
        <f>IF(VLOOKUP($A421,'Concrete Beam Schedule'!$A$2:$Q$2902,AE$2,0)&lt;&gt;O421,"Beam Revised","")</f>
        <v>#N/A</v>
      </c>
    </row>
    <row r="422" spans="1:31" ht="25.5" customHeight="1" x14ac:dyDescent="0.25">
      <c r="A422" s="17"/>
      <c r="B422" s="17"/>
      <c r="C422" s="17"/>
      <c r="D422" s="17"/>
      <c r="E422" s="17"/>
      <c r="F422" s="17"/>
      <c r="G422" s="17"/>
      <c r="H422" s="17"/>
      <c r="I422" s="17"/>
      <c r="J422" s="17"/>
      <c r="K422" s="17"/>
      <c r="L422" s="17"/>
      <c r="M422" s="17"/>
      <c r="N422" s="17"/>
      <c r="O422" s="17"/>
      <c r="Q422" s="7">
        <f t="shared" si="6"/>
        <v>0</v>
      </c>
      <c r="R422" s="7" t="e">
        <f>IF(VLOOKUP($A422,'Concrete Beam Schedule'!$A$2:$Q$2902,R$2,0)&lt;&gt;B422,VLOOKUP($A422,'Concrete Beam Schedule'!$A$2:$Q$2902,R$2,0),"")</f>
        <v>#N/A</v>
      </c>
      <c r="S422" s="7" t="e">
        <f>IF(VLOOKUP($A422,'Concrete Beam Schedule'!$A$2:$Q$2902,S$2,0)&lt;&gt;C422,VLOOKUP($A422,'Concrete Beam Schedule'!$A$2:$Q$2902,S$2,0),"")</f>
        <v>#N/A</v>
      </c>
      <c r="T422" s="7" t="e">
        <f>IF(VLOOKUP($A422,'Concrete Beam Schedule'!$A$2:$Q$2902,T$2,0)&lt;&gt;D422,"Beam Revised","")</f>
        <v>#N/A</v>
      </c>
      <c r="U422" s="7" t="e">
        <f>IF(VLOOKUP($A422,'Concrete Beam Schedule'!$A$2:$Q$2902,U$2,0)&lt;&gt;E422,"Beam Revised","")</f>
        <v>#N/A</v>
      </c>
      <c r="V422" s="7" t="e">
        <f>IF(VLOOKUP($A422,'Concrete Beam Schedule'!$A$2:$Q$2902,V$2,0)&lt;&gt;F422,"Beam Revised","")</f>
        <v>#N/A</v>
      </c>
      <c r="W422" s="7" t="e">
        <f>IF(VLOOKUP($A422,'Concrete Beam Schedule'!$A$2:$Q$2902,W$2,0)&lt;&gt;G422,"Beam Revised","")</f>
        <v>#N/A</v>
      </c>
      <c r="X422" s="7" t="e">
        <f>IF(VLOOKUP($A422,'Concrete Beam Schedule'!$A$2:$Q$2902,X$2,0)&lt;&gt;H422,"Beam Revised","")</f>
        <v>#N/A</v>
      </c>
      <c r="Y422" s="7" t="e">
        <f>IF(VLOOKUP($A422,'Concrete Beam Schedule'!$A$2:$Q$2902,Y$2,0)&lt;&gt;I422,"Beam Revised","")</f>
        <v>#N/A</v>
      </c>
      <c r="Z422" s="7" t="e">
        <f>IF(VLOOKUP($A422,'Concrete Beam Schedule'!$A$2:$Q$2902,Z$2,0)&lt;&gt;J422,"Beam Revised","")</f>
        <v>#N/A</v>
      </c>
      <c r="AA422" s="7" t="e">
        <f>IF(VLOOKUP($A422,'Concrete Beam Schedule'!$A$2:$Q$2902,AA$2,0)&lt;&gt;K422,"Beam Revised","")</f>
        <v>#N/A</v>
      </c>
      <c r="AB422" s="7" t="e">
        <f>IF(VLOOKUP($A422,'Concrete Beam Schedule'!$A$2:$Q$2902,AB$2,0)&lt;&gt;L422,"Beam Revised","")</f>
        <v>#N/A</v>
      </c>
      <c r="AC422" s="7" t="e">
        <f>IF(VLOOKUP($A422,'Concrete Beam Schedule'!$A$2:$Q$2902,AC$2,0)&lt;&gt;M422,"Beam Revised","")</f>
        <v>#N/A</v>
      </c>
      <c r="AD422" s="7" t="e">
        <f>IF(VLOOKUP($A422,'Concrete Beam Schedule'!$A$2:$Q$2902,AD$2,0)&lt;&gt;N422,"Beam Revised","")</f>
        <v>#N/A</v>
      </c>
      <c r="AE422" s="7" t="e">
        <f>IF(VLOOKUP($A422,'Concrete Beam Schedule'!$A$2:$Q$2902,AE$2,0)&lt;&gt;O422,"Beam Revised","")</f>
        <v>#N/A</v>
      </c>
    </row>
    <row r="423" spans="1:31" ht="25.5" customHeight="1" x14ac:dyDescent="0.25">
      <c r="A423" s="17"/>
      <c r="B423" s="17"/>
      <c r="C423" s="17"/>
      <c r="D423" s="17"/>
      <c r="E423" s="17"/>
      <c r="F423" s="17"/>
      <c r="G423" s="17"/>
      <c r="H423" s="17"/>
      <c r="I423" s="17"/>
      <c r="J423" s="17"/>
      <c r="K423" s="17"/>
      <c r="L423" s="17"/>
      <c r="M423" s="17"/>
      <c r="N423" s="17"/>
      <c r="O423" s="17"/>
      <c r="Q423" s="7">
        <f t="shared" si="6"/>
        <v>0</v>
      </c>
      <c r="R423" s="7" t="e">
        <f>IF(VLOOKUP($A423,'Concrete Beam Schedule'!$A$2:$Q$2902,R$2,0)&lt;&gt;B423,VLOOKUP($A423,'Concrete Beam Schedule'!$A$2:$Q$2902,R$2,0),"")</f>
        <v>#N/A</v>
      </c>
      <c r="S423" s="7" t="e">
        <f>IF(VLOOKUP($A423,'Concrete Beam Schedule'!$A$2:$Q$2902,S$2,0)&lt;&gt;C423,VLOOKUP($A423,'Concrete Beam Schedule'!$A$2:$Q$2902,S$2,0),"")</f>
        <v>#N/A</v>
      </c>
      <c r="T423" s="7" t="e">
        <f>IF(VLOOKUP($A423,'Concrete Beam Schedule'!$A$2:$Q$2902,T$2,0)&lt;&gt;D423,"Beam Revised","")</f>
        <v>#N/A</v>
      </c>
      <c r="U423" s="7" t="e">
        <f>IF(VLOOKUP($A423,'Concrete Beam Schedule'!$A$2:$Q$2902,U$2,0)&lt;&gt;E423,"Beam Revised","")</f>
        <v>#N/A</v>
      </c>
      <c r="V423" s="7" t="e">
        <f>IF(VLOOKUP($A423,'Concrete Beam Schedule'!$A$2:$Q$2902,V$2,0)&lt;&gt;F423,"Beam Revised","")</f>
        <v>#N/A</v>
      </c>
      <c r="W423" s="7" t="e">
        <f>IF(VLOOKUP($A423,'Concrete Beam Schedule'!$A$2:$Q$2902,W$2,0)&lt;&gt;G423,"Beam Revised","")</f>
        <v>#N/A</v>
      </c>
      <c r="X423" s="7" t="e">
        <f>IF(VLOOKUP($A423,'Concrete Beam Schedule'!$A$2:$Q$2902,X$2,0)&lt;&gt;H423,"Beam Revised","")</f>
        <v>#N/A</v>
      </c>
      <c r="Y423" s="7" t="e">
        <f>IF(VLOOKUP($A423,'Concrete Beam Schedule'!$A$2:$Q$2902,Y$2,0)&lt;&gt;I423,"Beam Revised","")</f>
        <v>#N/A</v>
      </c>
      <c r="Z423" s="7" t="e">
        <f>IF(VLOOKUP($A423,'Concrete Beam Schedule'!$A$2:$Q$2902,Z$2,0)&lt;&gt;J423,"Beam Revised","")</f>
        <v>#N/A</v>
      </c>
      <c r="AA423" s="7" t="e">
        <f>IF(VLOOKUP($A423,'Concrete Beam Schedule'!$A$2:$Q$2902,AA$2,0)&lt;&gt;K423,"Beam Revised","")</f>
        <v>#N/A</v>
      </c>
      <c r="AB423" s="7" t="e">
        <f>IF(VLOOKUP($A423,'Concrete Beam Schedule'!$A$2:$Q$2902,AB$2,0)&lt;&gt;L423,"Beam Revised","")</f>
        <v>#N/A</v>
      </c>
      <c r="AC423" s="7" t="e">
        <f>IF(VLOOKUP($A423,'Concrete Beam Schedule'!$A$2:$Q$2902,AC$2,0)&lt;&gt;M423,"Beam Revised","")</f>
        <v>#N/A</v>
      </c>
      <c r="AD423" s="7" t="e">
        <f>IF(VLOOKUP($A423,'Concrete Beam Schedule'!$A$2:$Q$2902,AD$2,0)&lt;&gt;N423,"Beam Revised","")</f>
        <v>#N/A</v>
      </c>
      <c r="AE423" s="7" t="e">
        <f>IF(VLOOKUP($A423,'Concrete Beam Schedule'!$A$2:$Q$2902,AE$2,0)&lt;&gt;O423,"Beam Revised","")</f>
        <v>#N/A</v>
      </c>
    </row>
    <row r="424" spans="1:31" ht="25.5" customHeight="1" x14ac:dyDescent="0.25">
      <c r="A424" s="17"/>
      <c r="B424" s="17"/>
      <c r="C424" s="17"/>
      <c r="D424" s="17"/>
      <c r="E424" s="17"/>
      <c r="F424" s="17"/>
      <c r="G424" s="17"/>
      <c r="H424" s="17"/>
      <c r="I424" s="17"/>
      <c r="J424" s="17"/>
      <c r="K424" s="17"/>
      <c r="L424" s="17"/>
      <c r="M424" s="17"/>
      <c r="N424" s="17"/>
      <c r="O424" s="17"/>
      <c r="Q424" s="7">
        <f t="shared" si="6"/>
        <v>0</v>
      </c>
      <c r="R424" s="7" t="e">
        <f>IF(VLOOKUP($A424,'Concrete Beam Schedule'!$A$2:$Q$2902,R$2,0)&lt;&gt;B424,VLOOKUP($A424,'Concrete Beam Schedule'!$A$2:$Q$2902,R$2,0),"")</f>
        <v>#N/A</v>
      </c>
      <c r="S424" s="7" t="e">
        <f>IF(VLOOKUP($A424,'Concrete Beam Schedule'!$A$2:$Q$2902,S$2,0)&lt;&gt;C424,VLOOKUP($A424,'Concrete Beam Schedule'!$A$2:$Q$2902,S$2,0),"")</f>
        <v>#N/A</v>
      </c>
      <c r="T424" s="7" t="e">
        <f>IF(VLOOKUP($A424,'Concrete Beam Schedule'!$A$2:$Q$2902,T$2,0)&lt;&gt;D424,"Beam Revised","")</f>
        <v>#N/A</v>
      </c>
      <c r="U424" s="7" t="e">
        <f>IF(VLOOKUP($A424,'Concrete Beam Schedule'!$A$2:$Q$2902,U$2,0)&lt;&gt;E424,"Beam Revised","")</f>
        <v>#N/A</v>
      </c>
      <c r="V424" s="7" t="e">
        <f>IF(VLOOKUP($A424,'Concrete Beam Schedule'!$A$2:$Q$2902,V$2,0)&lt;&gt;F424,"Beam Revised","")</f>
        <v>#N/A</v>
      </c>
      <c r="W424" s="7" t="e">
        <f>IF(VLOOKUP($A424,'Concrete Beam Schedule'!$A$2:$Q$2902,W$2,0)&lt;&gt;G424,"Beam Revised","")</f>
        <v>#N/A</v>
      </c>
      <c r="X424" s="7" t="e">
        <f>IF(VLOOKUP($A424,'Concrete Beam Schedule'!$A$2:$Q$2902,X$2,0)&lt;&gt;H424,"Beam Revised","")</f>
        <v>#N/A</v>
      </c>
      <c r="Y424" s="7" t="e">
        <f>IF(VLOOKUP($A424,'Concrete Beam Schedule'!$A$2:$Q$2902,Y$2,0)&lt;&gt;I424,"Beam Revised","")</f>
        <v>#N/A</v>
      </c>
      <c r="Z424" s="7" t="e">
        <f>IF(VLOOKUP($A424,'Concrete Beam Schedule'!$A$2:$Q$2902,Z$2,0)&lt;&gt;J424,"Beam Revised","")</f>
        <v>#N/A</v>
      </c>
      <c r="AA424" s="7" t="e">
        <f>IF(VLOOKUP($A424,'Concrete Beam Schedule'!$A$2:$Q$2902,AA$2,0)&lt;&gt;K424,"Beam Revised","")</f>
        <v>#N/A</v>
      </c>
      <c r="AB424" s="7" t="e">
        <f>IF(VLOOKUP($A424,'Concrete Beam Schedule'!$A$2:$Q$2902,AB$2,0)&lt;&gt;L424,"Beam Revised","")</f>
        <v>#N/A</v>
      </c>
      <c r="AC424" s="7" t="e">
        <f>IF(VLOOKUP($A424,'Concrete Beam Schedule'!$A$2:$Q$2902,AC$2,0)&lt;&gt;M424,"Beam Revised","")</f>
        <v>#N/A</v>
      </c>
      <c r="AD424" s="7" t="e">
        <f>IF(VLOOKUP($A424,'Concrete Beam Schedule'!$A$2:$Q$2902,AD$2,0)&lt;&gt;N424,"Beam Revised","")</f>
        <v>#N/A</v>
      </c>
      <c r="AE424" s="7" t="e">
        <f>IF(VLOOKUP($A424,'Concrete Beam Schedule'!$A$2:$Q$2902,AE$2,0)&lt;&gt;O424,"Beam Revised","")</f>
        <v>#N/A</v>
      </c>
    </row>
    <row r="425" spans="1:31" ht="25.5" customHeight="1" x14ac:dyDescent="0.25">
      <c r="A425" s="17"/>
      <c r="B425" s="17"/>
      <c r="C425" s="17"/>
      <c r="D425" s="17"/>
      <c r="E425" s="17"/>
      <c r="F425" s="17"/>
      <c r="G425" s="17"/>
      <c r="H425" s="17"/>
      <c r="I425" s="17"/>
      <c r="J425" s="17"/>
      <c r="K425" s="17"/>
      <c r="L425" s="17"/>
      <c r="M425" s="17"/>
      <c r="N425" s="17"/>
      <c r="O425" s="17"/>
      <c r="Q425" s="7">
        <f t="shared" si="6"/>
        <v>0</v>
      </c>
      <c r="R425" s="7" t="e">
        <f>IF(VLOOKUP($A425,'Concrete Beam Schedule'!$A$2:$Q$2902,R$2,0)&lt;&gt;B425,VLOOKUP($A425,'Concrete Beam Schedule'!$A$2:$Q$2902,R$2,0),"")</f>
        <v>#N/A</v>
      </c>
      <c r="S425" s="7" t="e">
        <f>IF(VLOOKUP($A425,'Concrete Beam Schedule'!$A$2:$Q$2902,S$2,0)&lt;&gt;C425,VLOOKUP($A425,'Concrete Beam Schedule'!$A$2:$Q$2902,S$2,0),"")</f>
        <v>#N/A</v>
      </c>
      <c r="T425" s="7" t="e">
        <f>IF(VLOOKUP($A425,'Concrete Beam Schedule'!$A$2:$Q$2902,T$2,0)&lt;&gt;D425,"Beam Revised","")</f>
        <v>#N/A</v>
      </c>
      <c r="U425" s="7" t="e">
        <f>IF(VLOOKUP($A425,'Concrete Beam Schedule'!$A$2:$Q$2902,U$2,0)&lt;&gt;E425,"Beam Revised","")</f>
        <v>#N/A</v>
      </c>
      <c r="V425" s="7" t="e">
        <f>IF(VLOOKUP($A425,'Concrete Beam Schedule'!$A$2:$Q$2902,V$2,0)&lt;&gt;F425,"Beam Revised","")</f>
        <v>#N/A</v>
      </c>
      <c r="W425" s="7" t="e">
        <f>IF(VLOOKUP($A425,'Concrete Beam Schedule'!$A$2:$Q$2902,W$2,0)&lt;&gt;G425,"Beam Revised","")</f>
        <v>#N/A</v>
      </c>
      <c r="X425" s="7" t="e">
        <f>IF(VLOOKUP($A425,'Concrete Beam Schedule'!$A$2:$Q$2902,X$2,0)&lt;&gt;H425,"Beam Revised","")</f>
        <v>#N/A</v>
      </c>
      <c r="Y425" s="7" t="e">
        <f>IF(VLOOKUP($A425,'Concrete Beam Schedule'!$A$2:$Q$2902,Y$2,0)&lt;&gt;I425,"Beam Revised","")</f>
        <v>#N/A</v>
      </c>
      <c r="Z425" s="7" t="e">
        <f>IF(VLOOKUP($A425,'Concrete Beam Schedule'!$A$2:$Q$2902,Z$2,0)&lt;&gt;J425,"Beam Revised","")</f>
        <v>#N/A</v>
      </c>
      <c r="AA425" s="7" t="e">
        <f>IF(VLOOKUP($A425,'Concrete Beam Schedule'!$A$2:$Q$2902,AA$2,0)&lt;&gt;K425,"Beam Revised","")</f>
        <v>#N/A</v>
      </c>
      <c r="AB425" s="7" t="e">
        <f>IF(VLOOKUP($A425,'Concrete Beam Schedule'!$A$2:$Q$2902,AB$2,0)&lt;&gt;L425,"Beam Revised","")</f>
        <v>#N/A</v>
      </c>
      <c r="AC425" s="7" t="e">
        <f>IF(VLOOKUP($A425,'Concrete Beam Schedule'!$A$2:$Q$2902,AC$2,0)&lt;&gt;M425,"Beam Revised","")</f>
        <v>#N/A</v>
      </c>
      <c r="AD425" s="7" t="e">
        <f>IF(VLOOKUP($A425,'Concrete Beam Schedule'!$A$2:$Q$2902,AD$2,0)&lt;&gt;N425,"Beam Revised","")</f>
        <v>#N/A</v>
      </c>
      <c r="AE425" s="7" t="e">
        <f>IF(VLOOKUP($A425,'Concrete Beam Schedule'!$A$2:$Q$2902,AE$2,0)&lt;&gt;O425,"Beam Revised","")</f>
        <v>#N/A</v>
      </c>
    </row>
    <row r="426" spans="1:31" ht="25.5" customHeight="1" x14ac:dyDescent="0.25">
      <c r="A426" s="17"/>
      <c r="B426" s="17"/>
      <c r="C426" s="17"/>
      <c r="D426" s="17"/>
      <c r="E426" s="17"/>
      <c r="F426" s="17"/>
      <c r="G426" s="17"/>
      <c r="H426" s="17"/>
      <c r="I426" s="17"/>
      <c r="J426" s="17"/>
      <c r="K426" s="17"/>
      <c r="L426" s="17"/>
      <c r="M426" s="17"/>
      <c r="N426" s="17"/>
      <c r="O426" s="17"/>
      <c r="Q426" s="7">
        <f t="shared" si="6"/>
        <v>0</v>
      </c>
      <c r="R426" s="7" t="e">
        <f>IF(VLOOKUP($A426,'Concrete Beam Schedule'!$A$2:$Q$2902,R$2,0)&lt;&gt;B426,VLOOKUP($A426,'Concrete Beam Schedule'!$A$2:$Q$2902,R$2,0),"")</f>
        <v>#N/A</v>
      </c>
      <c r="S426" s="7" t="e">
        <f>IF(VLOOKUP($A426,'Concrete Beam Schedule'!$A$2:$Q$2902,S$2,0)&lt;&gt;C426,VLOOKUP($A426,'Concrete Beam Schedule'!$A$2:$Q$2902,S$2,0),"")</f>
        <v>#N/A</v>
      </c>
      <c r="T426" s="7" t="e">
        <f>IF(VLOOKUP($A426,'Concrete Beam Schedule'!$A$2:$Q$2902,T$2,0)&lt;&gt;D426,"Beam Revised","")</f>
        <v>#N/A</v>
      </c>
      <c r="U426" s="7" t="e">
        <f>IF(VLOOKUP($A426,'Concrete Beam Schedule'!$A$2:$Q$2902,U$2,0)&lt;&gt;E426,"Beam Revised","")</f>
        <v>#N/A</v>
      </c>
      <c r="V426" s="7" t="e">
        <f>IF(VLOOKUP($A426,'Concrete Beam Schedule'!$A$2:$Q$2902,V$2,0)&lt;&gt;F426,"Beam Revised","")</f>
        <v>#N/A</v>
      </c>
      <c r="W426" s="7" t="e">
        <f>IF(VLOOKUP($A426,'Concrete Beam Schedule'!$A$2:$Q$2902,W$2,0)&lt;&gt;G426,"Beam Revised","")</f>
        <v>#N/A</v>
      </c>
      <c r="X426" s="7" t="e">
        <f>IF(VLOOKUP($A426,'Concrete Beam Schedule'!$A$2:$Q$2902,X$2,0)&lt;&gt;H426,"Beam Revised","")</f>
        <v>#N/A</v>
      </c>
      <c r="Y426" s="7" t="e">
        <f>IF(VLOOKUP($A426,'Concrete Beam Schedule'!$A$2:$Q$2902,Y$2,0)&lt;&gt;I426,"Beam Revised","")</f>
        <v>#N/A</v>
      </c>
      <c r="Z426" s="7" t="e">
        <f>IF(VLOOKUP($A426,'Concrete Beam Schedule'!$A$2:$Q$2902,Z$2,0)&lt;&gt;J426,"Beam Revised","")</f>
        <v>#N/A</v>
      </c>
      <c r="AA426" s="7" t="e">
        <f>IF(VLOOKUP($A426,'Concrete Beam Schedule'!$A$2:$Q$2902,AA$2,0)&lt;&gt;K426,"Beam Revised","")</f>
        <v>#N/A</v>
      </c>
      <c r="AB426" s="7" t="e">
        <f>IF(VLOOKUP($A426,'Concrete Beam Schedule'!$A$2:$Q$2902,AB$2,0)&lt;&gt;L426,"Beam Revised","")</f>
        <v>#N/A</v>
      </c>
      <c r="AC426" s="7" t="e">
        <f>IF(VLOOKUP($A426,'Concrete Beam Schedule'!$A$2:$Q$2902,AC$2,0)&lt;&gt;M426,"Beam Revised","")</f>
        <v>#N/A</v>
      </c>
      <c r="AD426" s="7" t="e">
        <f>IF(VLOOKUP($A426,'Concrete Beam Schedule'!$A$2:$Q$2902,AD$2,0)&lt;&gt;N426,"Beam Revised","")</f>
        <v>#N/A</v>
      </c>
      <c r="AE426" s="7" t="e">
        <f>IF(VLOOKUP($A426,'Concrete Beam Schedule'!$A$2:$Q$2902,AE$2,0)&lt;&gt;O426,"Beam Revised","")</f>
        <v>#N/A</v>
      </c>
    </row>
    <row r="427" spans="1:31" ht="25.5" customHeight="1" x14ac:dyDescent="0.25">
      <c r="A427" s="17"/>
      <c r="B427" s="17"/>
      <c r="C427" s="17"/>
      <c r="D427" s="17"/>
      <c r="E427" s="17"/>
      <c r="F427" s="17"/>
      <c r="G427" s="17"/>
      <c r="H427" s="17"/>
      <c r="I427" s="17"/>
      <c r="J427" s="17"/>
      <c r="K427" s="17"/>
      <c r="L427" s="17"/>
      <c r="M427" s="17"/>
      <c r="N427" s="17"/>
      <c r="O427" s="17"/>
      <c r="Q427" s="7">
        <f t="shared" si="6"/>
        <v>0</v>
      </c>
      <c r="R427" s="7" t="e">
        <f>IF(VLOOKUP($A427,'Concrete Beam Schedule'!$A$2:$Q$2902,R$2,0)&lt;&gt;B427,VLOOKUP($A427,'Concrete Beam Schedule'!$A$2:$Q$2902,R$2,0),"")</f>
        <v>#N/A</v>
      </c>
      <c r="S427" s="7" t="e">
        <f>IF(VLOOKUP($A427,'Concrete Beam Schedule'!$A$2:$Q$2902,S$2,0)&lt;&gt;C427,VLOOKUP($A427,'Concrete Beam Schedule'!$A$2:$Q$2902,S$2,0),"")</f>
        <v>#N/A</v>
      </c>
      <c r="T427" s="7" t="e">
        <f>IF(VLOOKUP($A427,'Concrete Beam Schedule'!$A$2:$Q$2902,T$2,0)&lt;&gt;D427,"Beam Revised","")</f>
        <v>#N/A</v>
      </c>
      <c r="U427" s="7" t="e">
        <f>IF(VLOOKUP($A427,'Concrete Beam Schedule'!$A$2:$Q$2902,U$2,0)&lt;&gt;E427,"Beam Revised","")</f>
        <v>#N/A</v>
      </c>
      <c r="V427" s="7" t="e">
        <f>IF(VLOOKUP($A427,'Concrete Beam Schedule'!$A$2:$Q$2902,V$2,0)&lt;&gt;F427,"Beam Revised","")</f>
        <v>#N/A</v>
      </c>
      <c r="W427" s="7" t="e">
        <f>IF(VLOOKUP($A427,'Concrete Beam Schedule'!$A$2:$Q$2902,W$2,0)&lt;&gt;G427,"Beam Revised","")</f>
        <v>#N/A</v>
      </c>
      <c r="X427" s="7" t="e">
        <f>IF(VLOOKUP($A427,'Concrete Beam Schedule'!$A$2:$Q$2902,X$2,0)&lt;&gt;H427,"Beam Revised","")</f>
        <v>#N/A</v>
      </c>
      <c r="Y427" s="7" t="e">
        <f>IF(VLOOKUP($A427,'Concrete Beam Schedule'!$A$2:$Q$2902,Y$2,0)&lt;&gt;I427,"Beam Revised","")</f>
        <v>#N/A</v>
      </c>
      <c r="Z427" s="7" t="e">
        <f>IF(VLOOKUP($A427,'Concrete Beam Schedule'!$A$2:$Q$2902,Z$2,0)&lt;&gt;J427,"Beam Revised","")</f>
        <v>#N/A</v>
      </c>
      <c r="AA427" s="7" t="e">
        <f>IF(VLOOKUP($A427,'Concrete Beam Schedule'!$A$2:$Q$2902,AA$2,0)&lt;&gt;K427,"Beam Revised","")</f>
        <v>#N/A</v>
      </c>
      <c r="AB427" s="7" t="e">
        <f>IF(VLOOKUP($A427,'Concrete Beam Schedule'!$A$2:$Q$2902,AB$2,0)&lt;&gt;L427,"Beam Revised","")</f>
        <v>#N/A</v>
      </c>
      <c r="AC427" s="7" t="e">
        <f>IF(VLOOKUP($A427,'Concrete Beam Schedule'!$A$2:$Q$2902,AC$2,0)&lt;&gt;M427,"Beam Revised","")</f>
        <v>#N/A</v>
      </c>
      <c r="AD427" s="7" t="e">
        <f>IF(VLOOKUP($A427,'Concrete Beam Schedule'!$A$2:$Q$2902,AD$2,0)&lt;&gt;N427,"Beam Revised","")</f>
        <v>#N/A</v>
      </c>
      <c r="AE427" s="7" t="e">
        <f>IF(VLOOKUP($A427,'Concrete Beam Schedule'!$A$2:$Q$2902,AE$2,0)&lt;&gt;O427,"Beam Revised","")</f>
        <v>#N/A</v>
      </c>
    </row>
    <row r="428" spans="1:31" ht="25.5" customHeight="1" x14ac:dyDescent="0.25">
      <c r="A428" s="17"/>
      <c r="B428" s="17"/>
      <c r="C428" s="17"/>
      <c r="D428" s="17"/>
      <c r="E428" s="17"/>
      <c r="F428" s="17"/>
      <c r="G428" s="17"/>
      <c r="H428" s="17"/>
      <c r="I428" s="17"/>
      <c r="J428" s="17"/>
      <c r="K428" s="17"/>
      <c r="L428" s="17"/>
      <c r="M428" s="17"/>
      <c r="N428" s="17"/>
      <c r="O428" s="17"/>
      <c r="Q428" s="7">
        <f t="shared" si="6"/>
        <v>0</v>
      </c>
      <c r="R428" s="7" t="e">
        <f>IF(VLOOKUP($A428,'Concrete Beam Schedule'!$A$2:$Q$2902,R$2,0)&lt;&gt;B428,VLOOKUP($A428,'Concrete Beam Schedule'!$A$2:$Q$2902,R$2,0),"")</f>
        <v>#N/A</v>
      </c>
      <c r="S428" s="7" t="e">
        <f>IF(VLOOKUP($A428,'Concrete Beam Schedule'!$A$2:$Q$2902,S$2,0)&lt;&gt;C428,VLOOKUP($A428,'Concrete Beam Schedule'!$A$2:$Q$2902,S$2,0),"")</f>
        <v>#N/A</v>
      </c>
      <c r="T428" s="7" t="e">
        <f>IF(VLOOKUP($A428,'Concrete Beam Schedule'!$A$2:$Q$2902,T$2,0)&lt;&gt;D428,"Beam Revised","")</f>
        <v>#N/A</v>
      </c>
      <c r="U428" s="7" t="e">
        <f>IF(VLOOKUP($A428,'Concrete Beam Schedule'!$A$2:$Q$2902,U$2,0)&lt;&gt;E428,"Beam Revised","")</f>
        <v>#N/A</v>
      </c>
      <c r="V428" s="7" t="e">
        <f>IF(VLOOKUP($A428,'Concrete Beam Schedule'!$A$2:$Q$2902,V$2,0)&lt;&gt;F428,"Beam Revised","")</f>
        <v>#N/A</v>
      </c>
      <c r="W428" s="7" t="e">
        <f>IF(VLOOKUP($A428,'Concrete Beam Schedule'!$A$2:$Q$2902,W$2,0)&lt;&gt;G428,"Beam Revised","")</f>
        <v>#N/A</v>
      </c>
      <c r="X428" s="7" t="e">
        <f>IF(VLOOKUP($A428,'Concrete Beam Schedule'!$A$2:$Q$2902,X$2,0)&lt;&gt;H428,"Beam Revised","")</f>
        <v>#N/A</v>
      </c>
      <c r="Y428" s="7" t="e">
        <f>IF(VLOOKUP($A428,'Concrete Beam Schedule'!$A$2:$Q$2902,Y$2,0)&lt;&gt;I428,"Beam Revised","")</f>
        <v>#N/A</v>
      </c>
      <c r="Z428" s="7" t="e">
        <f>IF(VLOOKUP($A428,'Concrete Beam Schedule'!$A$2:$Q$2902,Z$2,0)&lt;&gt;J428,"Beam Revised","")</f>
        <v>#N/A</v>
      </c>
      <c r="AA428" s="7" t="e">
        <f>IF(VLOOKUP($A428,'Concrete Beam Schedule'!$A$2:$Q$2902,AA$2,0)&lt;&gt;K428,"Beam Revised","")</f>
        <v>#N/A</v>
      </c>
      <c r="AB428" s="7" t="e">
        <f>IF(VLOOKUP($A428,'Concrete Beam Schedule'!$A$2:$Q$2902,AB$2,0)&lt;&gt;L428,"Beam Revised","")</f>
        <v>#N/A</v>
      </c>
      <c r="AC428" s="7" t="e">
        <f>IF(VLOOKUP($A428,'Concrete Beam Schedule'!$A$2:$Q$2902,AC$2,0)&lt;&gt;M428,"Beam Revised","")</f>
        <v>#N/A</v>
      </c>
      <c r="AD428" s="7" t="e">
        <f>IF(VLOOKUP($A428,'Concrete Beam Schedule'!$A$2:$Q$2902,AD$2,0)&lt;&gt;N428,"Beam Revised","")</f>
        <v>#N/A</v>
      </c>
      <c r="AE428" s="7" t="e">
        <f>IF(VLOOKUP($A428,'Concrete Beam Schedule'!$A$2:$Q$2902,AE$2,0)&lt;&gt;O428,"Beam Revised","")</f>
        <v>#N/A</v>
      </c>
    </row>
    <row r="429" spans="1:31" ht="25.5" customHeight="1" x14ac:dyDescent="0.25">
      <c r="A429" s="17"/>
      <c r="B429" s="17"/>
      <c r="C429" s="17"/>
      <c r="D429" s="17"/>
      <c r="E429" s="17"/>
      <c r="F429" s="17"/>
      <c r="G429" s="17"/>
      <c r="H429" s="17"/>
      <c r="I429" s="17"/>
      <c r="J429" s="17"/>
      <c r="K429" s="17"/>
      <c r="L429" s="17"/>
      <c r="M429" s="17"/>
      <c r="N429" s="17"/>
      <c r="O429" s="17"/>
      <c r="Q429" s="7">
        <f t="shared" si="6"/>
        <v>0</v>
      </c>
      <c r="R429" s="7" t="e">
        <f>IF(VLOOKUP($A429,'Concrete Beam Schedule'!$A$2:$Q$2902,R$2,0)&lt;&gt;B429,VLOOKUP($A429,'Concrete Beam Schedule'!$A$2:$Q$2902,R$2,0),"")</f>
        <v>#N/A</v>
      </c>
      <c r="S429" s="7" t="e">
        <f>IF(VLOOKUP($A429,'Concrete Beam Schedule'!$A$2:$Q$2902,S$2,0)&lt;&gt;C429,VLOOKUP($A429,'Concrete Beam Schedule'!$A$2:$Q$2902,S$2,0),"")</f>
        <v>#N/A</v>
      </c>
      <c r="T429" s="7" t="e">
        <f>IF(VLOOKUP($A429,'Concrete Beam Schedule'!$A$2:$Q$2902,T$2,0)&lt;&gt;D429,"Beam Revised","")</f>
        <v>#N/A</v>
      </c>
      <c r="U429" s="7" t="e">
        <f>IF(VLOOKUP($A429,'Concrete Beam Schedule'!$A$2:$Q$2902,U$2,0)&lt;&gt;E429,"Beam Revised","")</f>
        <v>#N/A</v>
      </c>
      <c r="V429" s="7" t="e">
        <f>IF(VLOOKUP($A429,'Concrete Beam Schedule'!$A$2:$Q$2902,V$2,0)&lt;&gt;F429,"Beam Revised","")</f>
        <v>#N/A</v>
      </c>
      <c r="W429" s="7" t="e">
        <f>IF(VLOOKUP($A429,'Concrete Beam Schedule'!$A$2:$Q$2902,W$2,0)&lt;&gt;G429,"Beam Revised","")</f>
        <v>#N/A</v>
      </c>
      <c r="X429" s="7" t="e">
        <f>IF(VLOOKUP($A429,'Concrete Beam Schedule'!$A$2:$Q$2902,X$2,0)&lt;&gt;H429,"Beam Revised","")</f>
        <v>#N/A</v>
      </c>
      <c r="Y429" s="7" t="e">
        <f>IF(VLOOKUP($A429,'Concrete Beam Schedule'!$A$2:$Q$2902,Y$2,0)&lt;&gt;I429,"Beam Revised","")</f>
        <v>#N/A</v>
      </c>
      <c r="Z429" s="7" t="e">
        <f>IF(VLOOKUP($A429,'Concrete Beam Schedule'!$A$2:$Q$2902,Z$2,0)&lt;&gt;J429,"Beam Revised","")</f>
        <v>#N/A</v>
      </c>
      <c r="AA429" s="7" t="e">
        <f>IF(VLOOKUP($A429,'Concrete Beam Schedule'!$A$2:$Q$2902,AA$2,0)&lt;&gt;K429,"Beam Revised","")</f>
        <v>#N/A</v>
      </c>
      <c r="AB429" s="7" t="e">
        <f>IF(VLOOKUP($A429,'Concrete Beam Schedule'!$A$2:$Q$2902,AB$2,0)&lt;&gt;L429,"Beam Revised","")</f>
        <v>#N/A</v>
      </c>
      <c r="AC429" s="7" t="e">
        <f>IF(VLOOKUP($A429,'Concrete Beam Schedule'!$A$2:$Q$2902,AC$2,0)&lt;&gt;M429,"Beam Revised","")</f>
        <v>#N/A</v>
      </c>
      <c r="AD429" s="7" t="e">
        <f>IF(VLOOKUP($A429,'Concrete Beam Schedule'!$A$2:$Q$2902,AD$2,0)&lt;&gt;N429,"Beam Revised","")</f>
        <v>#N/A</v>
      </c>
      <c r="AE429" s="7" t="e">
        <f>IF(VLOOKUP($A429,'Concrete Beam Schedule'!$A$2:$Q$2902,AE$2,0)&lt;&gt;O429,"Beam Revised","")</f>
        <v>#N/A</v>
      </c>
    </row>
    <row r="430" spans="1:31" ht="25.5" customHeight="1" x14ac:dyDescent="0.25">
      <c r="A430" s="17"/>
      <c r="B430" s="17"/>
      <c r="C430" s="17"/>
      <c r="D430" s="17"/>
      <c r="E430" s="17"/>
      <c r="F430" s="17"/>
      <c r="G430" s="17"/>
      <c r="H430" s="17"/>
      <c r="I430" s="17"/>
      <c r="J430" s="17"/>
      <c r="K430" s="17"/>
      <c r="L430" s="17"/>
      <c r="M430" s="17"/>
      <c r="N430" s="17"/>
      <c r="O430" s="17"/>
      <c r="Q430" s="7">
        <f t="shared" si="6"/>
        <v>0</v>
      </c>
      <c r="R430" s="7" t="e">
        <f>IF(VLOOKUP($A430,'Concrete Beam Schedule'!$A$2:$Q$2902,R$2,0)&lt;&gt;B430,VLOOKUP($A430,'Concrete Beam Schedule'!$A$2:$Q$2902,R$2,0),"")</f>
        <v>#N/A</v>
      </c>
      <c r="S430" s="7" t="e">
        <f>IF(VLOOKUP($A430,'Concrete Beam Schedule'!$A$2:$Q$2902,S$2,0)&lt;&gt;C430,VLOOKUP($A430,'Concrete Beam Schedule'!$A$2:$Q$2902,S$2,0),"")</f>
        <v>#N/A</v>
      </c>
      <c r="T430" s="7" t="e">
        <f>IF(VLOOKUP($A430,'Concrete Beam Schedule'!$A$2:$Q$2902,T$2,0)&lt;&gt;D430,"Beam Revised","")</f>
        <v>#N/A</v>
      </c>
      <c r="U430" s="7" t="e">
        <f>IF(VLOOKUP($A430,'Concrete Beam Schedule'!$A$2:$Q$2902,U$2,0)&lt;&gt;E430,"Beam Revised","")</f>
        <v>#N/A</v>
      </c>
      <c r="V430" s="7" t="e">
        <f>IF(VLOOKUP($A430,'Concrete Beam Schedule'!$A$2:$Q$2902,V$2,0)&lt;&gt;F430,"Beam Revised","")</f>
        <v>#N/A</v>
      </c>
      <c r="W430" s="7" t="e">
        <f>IF(VLOOKUP($A430,'Concrete Beam Schedule'!$A$2:$Q$2902,W$2,0)&lt;&gt;G430,"Beam Revised","")</f>
        <v>#N/A</v>
      </c>
      <c r="X430" s="7" t="e">
        <f>IF(VLOOKUP($A430,'Concrete Beam Schedule'!$A$2:$Q$2902,X$2,0)&lt;&gt;H430,"Beam Revised","")</f>
        <v>#N/A</v>
      </c>
      <c r="Y430" s="7" t="e">
        <f>IF(VLOOKUP($A430,'Concrete Beam Schedule'!$A$2:$Q$2902,Y$2,0)&lt;&gt;I430,"Beam Revised","")</f>
        <v>#N/A</v>
      </c>
      <c r="Z430" s="7" t="e">
        <f>IF(VLOOKUP($A430,'Concrete Beam Schedule'!$A$2:$Q$2902,Z$2,0)&lt;&gt;J430,"Beam Revised","")</f>
        <v>#N/A</v>
      </c>
      <c r="AA430" s="7" t="e">
        <f>IF(VLOOKUP($A430,'Concrete Beam Schedule'!$A$2:$Q$2902,AA$2,0)&lt;&gt;K430,"Beam Revised","")</f>
        <v>#N/A</v>
      </c>
      <c r="AB430" s="7" t="e">
        <f>IF(VLOOKUP($A430,'Concrete Beam Schedule'!$A$2:$Q$2902,AB$2,0)&lt;&gt;L430,"Beam Revised","")</f>
        <v>#N/A</v>
      </c>
      <c r="AC430" s="7" t="e">
        <f>IF(VLOOKUP($A430,'Concrete Beam Schedule'!$A$2:$Q$2902,AC$2,0)&lt;&gt;M430,"Beam Revised","")</f>
        <v>#N/A</v>
      </c>
      <c r="AD430" s="7" t="e">
        <f>IF(VLOOKUP($A430,'Concrete Beam Schedule'!$A$2:$Q$2902,AD$2,0)&lt;&gt;N430,"Beam Revised","")</f>
        <v>#N/A</v>
      </c>
      <c r="AE430" s="7" t="e">
        <f>IF(VLOOKUP($A430,'Concrete Beam Schedule'!$A$2:$Q$2902,AE$2,0)&lt;&gt;O430,"Beam Revised","")</f>
        <v>#N/A</v>
      </c>
    </row>
    <row r="431" spans="1:31" ht="25.5" customHeight="1" x14ac:dyDescent="0.25">
      <c r="A431" s="17"/>
      <c r="B431" s="17"/>
      <c r="C431" s="17"/>
      <c r="D431" s="17"/>
      <c r="E431" s="17"/>
      <c r="F431" s="17"/>
      <c r="G431" s="17"/>
      <c r="H431" s="17"/>
      <c r="I431" s="17"/>
      <c r="J431" s="17"/>
      <c r="K431" s="17"/>
      <c r="L431" s="17"/>
      <c r="M431" s="17"/>
      <c r="N431" s="17"/>
      <c r="O431" s="17"/>
      <c r="Q431" s="7">
        <f t="shared" si="6"/>
        <v>0</v>
      </c>
      <c r="R431" s="7" t="e">
        <f>IF(VLOOKUP($A431,'Concrete Beam Schedule'!$A$2:$Q$2902,R$2,0)&lt;&gt;B431,VLOOKUP($A431,'Concrete Beam Schedule'!$A$2:$Q$2902,R$2,0),"")</f>
        <v>#N/A</v>
      </c>
      <c r="S431" s="7" t="e">
        <f>IF(VLOOKUP($A431,'Concrete Beam Schedule'!$A$2:$Q$2902,S$2,0)&lt;&gt;C431,VLOOKUP($A431,'Concrete Beam Schedule'!$A$2:$Q$2902,S$2,0),"")</f>
        <v>#N/A</v>
      </c>
      <c r="T431" s="7" t="e">
        <f>IF(VLOOKUP($A431,'Concrete Beam Schedule'!$A$2:$Q$2902,T$2,0)&lt;&gt;D431,"Beam Revised","")</f>
        <v>#N/A</v>
      </c>
      <c r="U431" s="7" t="e">
        <f>IF(VLOOKUP($A431,'Concrete Beam Schedule'!$A$2:$Q$2902,U$2,0)&lt;&gt;E431,"Beam Revised","")</f>
        <v>#N/A</v>
      </c>
      <c r="V431" s="7" t="e">
        <f>IF(VLOOKUP($A431,'Concrete Beam Schedule'!$A$2:$Q$2902,V$2,0)&lt;&gt;F431,"Beam Revised","")</f>
        <v>#N/A</v>
      </c>
      <c r="W431" s="7" t="e">
        <f>IF(VLOOKUP($A431,'Concrete Beam Schedule'!$A$2:$Q$2902,W$2,0)&lt;&gt;G431,"Beam Revised","")</f>
        <v>#N/A</v>
      </c>
      <c r="X431" s="7" t="e">
        <f>IF(VLOOKUP($A431,'Concrete Beam Schedule'!$A$2:$Q$2902,X$2,0)&lt;&gt;H431,"Beam Revised","")</f>
        <v>#N/A</v>
      </c>
      <c r="Y431" s="7" t="e">
        <f>IF(VLOOKUP($A431,'Concrete Beam Schedule'!$A$2:$Q$2902,Y$2,0)&lt;&gt;I431,"Beam Revised","")</f>
        <v>#N/A</v>
      </c>
      <c r="Z431" s="7" t="e">
        <f>IF(VLOOKUP($A431,'Concrete Beam Schedule'!$A$2:$Q$2902,Z$2,0)&lt;&gt;J431,"Beam Revised","")</f>
        <v>#N/A</v>
      </c>
      <c r="AA431" s="7" t="e">
        <f>IF(VLOOKUP($A431,'Concrete Beam Schedule'!$A$2:$Q$2902,AA$2,0)&lt;&gt;K431,"Beam Revised","")</f>
        <v>#N/A</v>
      </c>
      <c r="AB431" s="7" t="e">
        <f>IF(VLOOKUP($A431,'Concrete Beam Schedule'!$A$2:$Q$2902,AB$2,0)&lt;&gt;L431,"Beam Revised","")</f>
        <v>#N/A</v>
      </c>
      <c r="AC431" s="7" t="e">
        <f>IF(VLOOKUP($A431,'Concrete Beam Schedule'!$A$2:$Q$2902,AC$2,0)&lt;&gt;M431,"Beam Revised","")</f>
        <v>#N/A</v>
      </c>
      <c r="AD431" s="7" t="e">
        <f>IF(VLOOKUP($A431,'Concrete Beam Schedule'!$A$2:$Q$2902,AD$2,0)&lt;&gt;N431,"Beam Revised","")</f>
        <v>#N/A</v>
      </c>
      <c r="AE431" s="7" t="e">
        <f>IF(VLOOKUP($A431,'Concrete Beam Schedule'!$A$2:$Q$2902,AE$2,0)&lt;&gt;O431,"Beam Revised","")</f>
        <v>#N/A</v>
      </c>
    </row>
    <row r="432" spans="1:31" ht="25.5" customHeight="1" x14ac:dyDescent="0.25">
      <c r="A432" s="17"/>
      <c r="B432" s="17"/>
      <c r="C432" s="17"/>
      <c r="D432" s="17"/>
      <c r="E432" s="17"/>
      <c r="F432" s="17"/>
      <c r="G432" s="17"/>
      <c r="H432" s="17"/>
      <c r="I432" s="17"/>
      <c r="J432" s="17"/>
      <c r="K432" s="17"/>
      <c r="L432" s="17"/>
      <c r="M432" s="17"/>
      <c r="N432" s="17"/>
      <c r="O432" s="17"/>
      <c r="Q432" s="7">
        <f t="shared" si="6"/>
        <v>0</v>
      </c>
      <c r="R432" s="7" t="e">
        <f>IF(VLOOKUP($A432,'Concrete Beam Schedule'!$A$2:$Q$2902,R$2,0)&lt;&gt;B432,VLOOKUP($A432,'Concrete Beam Schedule'!$A$2:$Q$2902,R$2,0),"")</f>
        <v>#N/A</v>
      </c>
      <c r="S432" s="7" t="e">
        <f>IF(VLOOKUP($A432,'Concrete Beam Schedule'!$A$2:$Q$2902,S$2,0)&lt;&gt;C432,VLOOKUP($A432,'Concrete Beam Schedule'!$A$2:$Q$2902,S$2,0),"")</f>
        <v>#N/A</v>
      </c>
      <c r="T432" s="7" t="e">
        <f>IF(VLOOKUP($A432,'Concrete Beam Schedule'!$A$2:$Q$2902,T$2,0)&lt;&gt;D432,"Beam Revised","")</f>
        <v>#N/A</v>
      </c>
      <c r="U432" s="7" t="e">
        <f>IF(VLOOKUP($A432,'Concrete Beam Schedule'!$A$2:$Q$2902,U$2,0)&lt;&gt;E432,"Beam Revised","")</f>
        <v>#N/A</v>
      </c>
      <c r="V432" s="7" t="e">
        <f>IF(VLOOKUP($A432,'Concrete Beam Schedule'!$A$2:$Q$2902,V$2,0)&lt;&gt;F432,"Beam Revised","")</f>
        <v>#N/A</v>
      </c>
      <c r="W432" s="7" t="e">
        <f>IF(VLOOKUP($A432,'Concrete Beam Schedule'!$A$2:$Q$2902,W$2,0)&lt;&gt;G432,"Beam Revised","")</f>
        <v>#N/A</v>
      </c>
      <c r="X432" s="7" t="e">
        <f>IF(VLOOKUP($A432,'Concrete Beam Schedule'!$A$2:$Q$2902,X$2,0)&lt;&gt;H432,"Beam Revised","")</f>
        <v>#N/A</v>
      </c>
      <c r="Y432" s="7" t="e">
        <f>IF(VLOOKUP($A432,'Concrete Beam Schedule'!$A$2:$Q$2902,Y$2,0)&lt;&gt;I432,"Beam Revised","")</f>
        <v>#N/A</v>
      </c>
      <c r="Z432" s="7" t="e">
        <f>IF(VLOOKUP($A432,'Concrete Beam Schedule'!$A$2:$Q$2902,Z$2,0)&lt;&gt;J432,"Beam Revised","")</f>
        <v>#N/A</v>
      </c>
      <c r="AA432" s="7" t="e">
        <f>IF(VLOOKUP($A432,'Concrete Beam Schedule'!$A$2:$Q$2902,AA$2,0)&lt;&gt;K432,"Beam Revised","")</f>
        <v>#N/A</v>
      </c>
      <c r="AB432" s="7" t="e">
        <f>IF(VLOOKUP($A432,'Concrete Beam Schedule'!$A$2:$Q$2902,AB$2,0)&lt;&gt;L432,"Beam Revised","")</f>
        <v>#N/A</v>
      </c>
      <c r="AC432" s="7" t="e">
        <f>IF(VLOOKUP($A432,'Concrete Beam Schedule'!$A$2:$Q$2902,AC$2,0)&lt;&gt;M432,"Beam Revised","")</f>
        <v>#N/A</v>
      </c>
      <c r="AD432" s="7" t="e">
        <f>IF(VLOOKUP($A432,'Concrete Beam Schedule'!$A$2:$Q$2902,AD$2,0)&lt;&gt;N432,"Beam Revised","")</f>
        <v>#N/A</v>
      </c>
      <c r="AE432" s="7" t="e">
        <f>IF(VLOOKUP($A432,'Concrete Beam Schedule'!$A$2:$Q$2902,AE$2,0)&lt;&gt;O432,"Beam Revised","")</f>
        <v>#N/A</v>
      </c>
    </row>
    <row r="433" spans="1:31" ht="25.5" customHeight="1" x14ac:dyDescent="0.25">
      <c r="A433" s="17"/>
      <c r="B433" s="17"/>
      <c r="C433" s="17"/>
      <c r="D433" s="17"/>
      <c r="E433" s="17"/>
      <c r="F433" s="17"/>
      <c r="G433" s="17"/>
      <c r="H433" s="17"/>
      <c r="I433" s="17"/>
      <c r="J433" s="17"/>
      <c r="K433" s="17"/>
      <c r="L433" s="17"/>
      <c r="M433" s="17"/>
      <c r="N433" s="17"/>
      <c r="O433" s="17"/>
      <c r="Q433" s="7">
        <f t="shared" si="6"/>
        <v>0</v>
      </c>
      <c r="R433" s="7" t="e">
        <f>IF(VLOOKUP($A433,'Concrete Beam Schedule'!$A$2:$Q$2902,R$2,0)&lt;&gt;B433,VLOOKUP($A433,'Concrete Beam Schedule'!$A$2:$Q$2902,R$2,0),"")</f>
        <v>#N/A</v>
      </c>
      <c r="S433" s="7" t="e">
        <f>IF(VLOOKUP($A433,'Concrete Beam Schedule'!$A$2:$Q$2902,S$2,0)&lt;&gt;C433,VLOOKUP($A433,'Concrete Beam Schedule'!$A$2:$Q$2902,S$2,0),"")</f>
        <v>#N/A</v>
      </c>
      <c r="T433" s="7" t="e">
        <f>IF(VLOOKUP($A433,'Concrete Beam Schedule'!$A$2:$Q$2902,T$2,0)&lt;&gt;D433,"Beam Revised","")</f>
        <v>#N/A</v>
      </c>
      <c r="U433" s="7" t="e">
        <f>IF(VLOOKUP($A433,'Concrete Beam Schedule'!$A$2:$Q$2902,U$2,0)&lt;&gt;E433,"Beam Revised","")</f>
        <v>#N/A</v>
      </c>
      <c r="V433" s="7" t="e">
        <f>IF(VLOOKUP($A433,'Concrete Beam Schedule'!$A$2:$Q$2902,V$2,0)&lt;&gt;F433,"Beam Revised","")</f>
        <v>#N/A</v>
      </c>
      <c r="W433" s="7" t="e">
        <f>IF(VLOOKUP($A433,'Concrete Beam Schedule'!$A$2:$Q$2902,W$2,0)&lt;&gt;G433,"Beam Revised","")</f>
        <v>#N/A</v>
      </c>
      <c r="X433" s="7" t="e">
        <f>IF(VLOOKUP($A433,'Concrete Beam Schedule'!$A$2:$Q$2902,X$2,0)&lt;&gt;H433,"Beam Revised","")</f>
        <v>#N/A</v>
      </c>
      <c r="Y433" s="7" t="e">
        <f>IF(VLOOKUP($A433,'Concrete Beam Schedule'!$A$2:$Q$2902,Y$2,0)&lt;&gt;I433,"Beam Revised","")</f>
        <v>#N/A</v>
      </c>
      <c r="Z433" s="7" t="e">
        <f>IF(VLOOKUP($A433,'Concrete Beam Schedule'!$A$2:$Q$2902,Z$2,0)&lt;&gt;J433,"Beam Revised","")</f>
        <v>#N/A</v>
      </c>
      <c r="AA433" s="7" t="e">
        <f>IF(VLOOKUP($A433,'Concrete Beam Schedule'!$A$2:$Q$2902,AA$2,0)&lt;&gt;K433,"Beam Revised","")</f>
        <v>#N/A</v>
      </c>
      <c r="AB433" s="7" t="e">
        <f>IF(VLOOKUP($A433,'Concrete Beam Schedule'!$A$2:$Q$2902,AB$2,0)&lt;&gt;L433,"Beam Revised","")</f>
        <v>#N/A</v>
      </c>
      <c r="AC433" s="7" t="e">
        <f>IF(VLOOKUP($A433,'Concrete Beam Schedule'!$A$2:$Q$2902,AC$2,0)&lt;&gt;M433,"Beam Revised","")</f>
        <v>#N/A</v>
      </c>
      <c r="AD433" s="7" t="e">
        <f>IF(VLOOKUP($A433,'Concrete Beam Schedule'!$A$2:$Q$2902,AD$2,0)&lt;&gt;N433,"Beam Revised","")</f>
        <v>#N/A</v>
      </c>
      <c r="AE433" s="7" t="e">
        <f>IF(VLOOKUP($A433,'Concrete Beam Schedule'!$A$2:$Q$2902,AE$2,0)&lt;&gt;O433,"Beam Revised","")</f>
        <v>#N/A</v>
      </c>
    </row>
    <row r="434" spans="1:31" ht="25.5" customHeight="1" x14ac:dyDescent="0.25">
      <c r="A434" s="17"/>
      <c r="B434" s="17"/>
      <c r="C434" s="17"/>
      <c r="D434" s="17"/>
      <c r="E434" s="17"/>
      <c r="F434" s="17"/>
      <c r="G434" s="17"/>
      <c r="H434" s="17"/>
      <c r="I434" s="17"/>
      <c r="J434" s="17"/>
      <c r="K434" s="17"/>
      <c r="L434" s="17"/>
      <c r="M434" s="17"/>
      <c r="N434" s="17"/>
      <c r="O434" s="17"/>
      <c r="Q434" s="7">
        <f t="shared" si="6"/>
        <v>0</v>
      </c>
      <c r="R434" s="7" t="e">
        <f>IF(VLOOKUP($A434,'Concrete Beam Schedule'!$A$2:$Q$2902,R$2,0)&lt;&gt;B434,VLOOKUP($A434,'Concrete Beam Schedule'!$A$2:$Q$2902,R$2,0),"")</f>
        <v>#N/A</v>
      </c>
      <c r="S434" s="7" t="e">
        <f>IF(VLOOKUP($A434,'Concrete Beam Schedule'!$A$2:$Q$2902,S$2,0)&lt;&gt;C434,VLOOKUP($A434,'Concrete Beam Schedule'!$A$2:$Q$2902,S$2,0),"")</f>
        <v>#N/A</v>
      </c>
      <c r="T434" s="7" t="e">
        <f>IF(VLOOKUP($A434,'Concrete Beam Schedule'!$A$2:$Q$2902,T$2,0)&lt;&gt;D434,"Beam Revised","")</f>
        <v>#N/A</v>
      </c>
      <c r="U434" s="7" t="e">
        <f>IF(VLOOKUP($A434,'Concrete Beam Schedule'!$A$2:$Q$2902,U$2,0)&lt;&gt;E434,"Beam Revised","")</f>
        <v>#N/A</v>
      </c>
      <c r="V434" s="7" t="e">
        <f>IF(VLOOKUP($A434,'Concrete Beam Schedule'!$A$2:$Q$2902,V$2,0)&lt;&gt;F434,"Beam Revised","")</f>
        <v>#N/A</v>
      </c>
      <c r="W434" s="7" t="e">
        <f>IF(VLOOKUP($A434,'Concrete Beam Schedule'!$A$2:$Q$2902,W$2,0)&lt;&gt;G434,"Beam Revised","")</f>
        <v>#N/A</v>
      </c>
      <c r="X434" s="7" t="e">
        <f>IF(VLOOKUP($A434,'Concrete Beam Schedule'!$A$2:$Q$2902,X$2,0)&lt;&gt;H434,"Beam Revised","")</f>
        <v>#N/A</v>
      </c>
      <c r="Y434" s="7" t="e">
        <f>IF(VLOOKUP($A434,'Concrete Beam Schedule'!$A$2:$Q$2902,Y$2,0)&lt;&gt;I434,"Beam Revised","")</f>
        <v>#N/A</v>
      </c>
      <c r="Z434" s="7" t="e">
        <f>IF(VLOOKUP($A434,'Concrete Beam Schedule'!$A$2:$Q$2902,Z$2,0)&lt;&gt;J434,"Beam Revised","")</f>
        <v>#N/A</v>
      </c>
      <c r="AA434" s="7" t="e">
        <f>IF(VLOOKUP($A434,'Concrete Beam Schedule'!$A$2:$Q$2902,AA$2,0)&lt;&gt;K434,"Beam Revised","")</f>
        <v>#N/A</v>
      </c>
      <c r="AB434" s="7" t="e">
        <f>IF(VLOOKUP($A434,'Concrete Beam Schedule'!$A$2:$Q$2902,AB$2,0)&lt;&gt;L434,"Beam Revised","")</f>
        <v>#N/A</v>
      </c>
      <c r="AC434" s="7" t="e">
        <f>IF(VLOOKUP($A434,'Concrete Beam Schedule'!$A$2:$Q$2902,AC$2,0)&lt;&gt;M434,"Beam Revised","")</f>
        <v>#N/A</v>
      </c>
      <c r="AD434" s="7" t="e">
        <f>IF(VLOOKUP($A434,'Concrete Beam Schedule'!$A$2:$Q$2902,AD$2,0)&lt;&gt;N434,"Beam Revised","")</f>
        <v>#N/A</v>
      </c>
      <c r="AE434" s="7" t="e">
        <f>IF(VLOOKUP($A434,'Concrete Beam Schedule'!$A$2:$Q$2902,AE$2,0)&lt;&gt;O434,"Beam Revised","")</f>
        <v>#N/A</v>
      </c>
    </row>
    <row r="435" spans="1:31" ht="25.5" customHeight="1" x14ac:dyDescent="0.25">
      <c r="A435" s="17"/>
      <c r="B435" s="17"/>
      <c r="C435" s="17"/>
      <c r="D435" s="17"/>
      <c r="E435" s="17"/>
      <c r="F435" s="17"/>
      <c r="G435" s="17"/>
      <c r="H435" s="17"/>
      <c r="I435" s="17"/>
      <c r="J435" s="17"/>
      <c r="K435" s="17"/>
      <c r="L435" s="17"/>
      <c r="M435" s="17"/>
      <c r="N435" s="17"/>
      <c r="O435" s="17"/>
      <c r="Q435" s="7">
        <f t="shared" si="6"/>
        <v>0</v>
      </c>
      <c r="R435" s="7" t="e">
        <f>IF(VLOOKUP($A435,'Concrete Beam Schedule'!$A$2:$Q$2902,R$2,0)&lt;&gt;B435,VLOOKUP($A435,'Concrete Beam Schedule'!$A$2:$Q$2902,R$2,0),"")</f>
        <v>#N/A</v>
      </c>
      <c r="S435" s="7" t="e">
        <f>IF(VLOOKUP($A435,'Concrete Beam Schedule'!$A$2:$Q$2902,S$2,0)&lt;&gt;C435,VLOOKUP($A435,'Concrete Beam Schedule'!$A$2:$Q$2902,S$2,0),"")</f>
        <v>#N/A</v>
      </c>
      <c r="T435" s="7" t="e">
        <f>IF(VLOOKUP($A435,'Concrete Beam Schedule'!$A$2:$Q$2902,T$2,0)&lt;&gt;D435,"Beam Revised","")</f>
        <v>#N/A</v>
      </c>
      <c r="U435" s="7" t="e">
        <f>IF(VLOOKUP($A435,'Concrete Beam Schedule'!$A$2:$Q$2902,U$2,0)&lt;&gt;E435,"Beam Revised","")</f>
        <v>#N/A</v>
      </c>
      <c r="V435" s="7" t="e">
        <f>IF(VLOOKUP($A435,'Concrete Beam Schedule'!$A$2:$Q$2902,V$2,0)&lt;&gt;F435,"Beam Revised","")</f>
        <v>#N/A</v>
      </c>
      <c r="W435" s="7" t="e">
        <f>IF(VLOOKUP($A435,'Concrete Beam Schedule'!$A$2:$Q$2902,W$2,0)&lt;&gt;G435,"Beam Revised","")</f>
        <v>#N/A</v>
      </c>
      <c r="X435" s="7" t="e">
        <f>IF(VLOOKUP($A435,'Concrete Beam Schedule'!$A$2:$Q$2902,X$2,0)&lt;&gt;H435,"Beam Revised","")</f>
        <v>#N/A</v>
      </c>
      <c r="Y435" s="7" t="e">
        <f>IF(VLOOKUP($A435,'Concrete Beam Schedule'!$A$2:$Q$2902,Y$2,0)&lt;&gt;I435,"Beam Revised","")</f>
        <v>#N/A</v>
      </c>
      <c r="Z435" s="7" t="e">
        <f>IF(VLOOKUP($A435,'Concrete Beam Schedule'!$A$2:$Q$2902,Z$2,0)&lt;&gt;J435,"Beam Revised","")</f>
        <v>#N/A</v>
      </c>
      <c r="AA435" s="7" t="e">
        <f>IF(VLOOKUP($A435,'Concrete Beam Schedule'!$A$2:$Q$2902,AA$2,0)&lt;&gt;K435,"Beam Revised","")</f>
        <v>#N/A</v>
      </c>
      <c r="AB435" s="7" t="e">
        <f>IF(VLOOKUP($A435,'Concrete Beam Schedule'!$A$2:$Q$2902,AB$2,0)&lt;&gt;L435,"Beam Revised","")</f>
        <v>#N/A</v>
      </c>
      <c r="AC435" s="7" t="e">
        <f>IF(VLOOKUP($A435,'Concrete Beam Schedule'!$A$2:$Q$2902,AC$2,0)&lt;&gt;M435,"Beam Revised","")</f>
        <v>#N/A</v>
      </c>
      <c r="AD435" s="7" t="e">
        <f>IF(VLOOKUP($A435,'Concrete Beam Schedule'!$A$2:$Q$2902,AD$2,0)&lt;&gt;N435,"Beam Revised","")</f>
        <v>#N/A</v>
      </c>
      <c r="AE435" s="7" t="e">
        <f>IF(VLOOKUP($A435,'Concrete Beam Schedule'!$A$2:$Q$2902,AE$2,0)&lt;&gt;O435,"Beam Revised","")</f>
        <v>#N/A</v>
      </c>
    </row>
    <row r="436" spans="1:31" ht="25.5" customHeight="1" x14ac:dyDescent="0.25">
      <c r="A436" s="17"/>
      <c r="B436" s="17"/>
      <c r="C436" s="17"/>
      <c r="D436" s="17"/>
      <c r="E436" s="17"/>
      <c r="F436" s="17"/>
      <c r="G436" s="17"/>
      <c r="H436" s="17"/>
      <c r="I436" s="17"/>
      <c r="J436" s="17"/>
      <c r="K436" s="17"/>
      <c r="L436" s="17"/>
      <c r="M436" s="17"/>
      <c r="N436" s="17"/>
      <c r="O436" s="17"/>
      <c r="Q436" s="7">
        <f t="shared" si="6"/>
        <v>0</v>
      </c>
      <c r="R436" s="7" t="e">
        <f>IF(VLOOKUP($A436,'Concrete Beam Schedule'!$A$2:$Q$2902,R$2,0)&lt;&gt;B436,VLOOKUP($A436,'Concrete Beam Schedule'!$A$2:$Q$2902,R$2,0),"")</f>
        <v>#N/A</v>
      </c>
      <c r="S436" s="7" t="e">
        <f>IF(VLOOKUP($A436,'Concrete Beam Schedule'!$A$2:$Q$2902,S$2,0)&lt;&gt;C436,VLOOKUP($A436,'Concrete Beam Schedule'!$A$2:$Q$2902,S$2,0),"")</f>
        <v>#N/A</v>
      </c>
      <c r="T436" s="7" t="e">
        <f>IF(VLOOKUP($A436,'Concrete Beam Schedule'!$A$2:$Q$2902,T$2,0)&lt;&gt;D436,"Beam Revised","")</f>
        <v>#N/A</v>
      </c>
      <c r="U436" s="7" t="e">
        <f>IF(VLOOKUP($A436,'Concrete Beam Schedule'!$A$2:$Q$2902,U$2,0)&lt;&gt;E436,"Beam Revised","")</f>
        <v>#N/A</v>
      </c>
      <c r="V436" s="7" t="e">
        <f>IF(VLOOKUP($A436,'Concrete Beam Schedule'!$A$2:$Q$2902,V$2,0)&lt;&gt;F436,"Beam Revised","")</f>
        <v>#N/A</v>
      </c>
      <c r="W436" s="7" t="e">
        <f>IF(VLOOKUP($A436,'Concrete Beam Schedule'!$A$2:$Q$2902,W$2,0)&lt;&gt;G436,"Beam Revised","")</f>
        <v>#N/A</v>
      </c>
      <c r="X436" s="7" t="e">
        <f>IF(VLOOKUP($A436,'Concrete Beam Schedule'!$A$2:$Q$2902,X$2,0)&lt;&gt;H436,"Beam Revised","")</f>
        <v>#N/A</v>
      </c>
      <c r="Y436" s="7" t="e">
        <f>IF(VLOOKUP($A436,'Concrete Beam Schedule'!$A$2:$Q$2902,Y$2,0)&lt;&gt;I436,"Beam Revised","")</f>
        <v>#N/A</v>
      </c>
      <c r="Z436" s="7" t="e">
        <f>IF(VLOOKUP($A436,'Concrete Beam Schedule'!$A$2:$Q$2902,Z$2,0)&lt;&gt;J436,"Beam Revised","")</f>
        <v>#N/A</v>
      </c>
      <c r="AA436" s="7" t="e">
        <f>IF(VLOOKUP($A436,'Concrete Beam Schedule'!$A$2:$Q$2902,AA$2,0)&lt;&gt;K436,"Beam Revised","")</f>
        <v>#N/A</v>
      </c>
      <c r="AB436" s="7" t="e">
        <f>IF(VLOOKUP($A436,'Concrete Beam Schedule'!$A$2:$Q$2902,AB$2,0)&lt;&gt;L436,"Beam Revised","")</f>
        <v>#N/A</v>
      </c>
      <c r="AC436" s="7" t="e">
        <f>IF(VLOOKUP($A436,'Concrete Beam Schedule'!$A$2:$Q$2902,AC$2,0)&lt;&gt;M436,"Beam Revised","")</f>
        <v>#N/A</v>
      </c>
      <c r="AD436" s="7" t="e">
        <f>IF(VLOOKUP($A436,'Concrete Beam Schedule'!$A$2:$Q$2902,AD$2,0)&lt;&gt;N436,"Beam Revised","")</f>
        <v>#N/A</v>
      </c>
      <c r="AE436" s="7" t="e">
        <f>IF(VLOOKUP($A436,'Concrete Beam Schedule'!$A$2:$Q$2902,AE$2,0)&lt;&gt;O436,"Beam Revised","")</f>
        <v>#N/A</v>
      </c>
    </row>
    <row r="437" spans="1:31" ht="25.5" customHeight="1" x14ac:dyDescent="0.25">
      <c r="A437" s="17"/>
      <c r="B437" s="17"/>
      <c r="C437" s="17"/>
      <c r="D437" s="17"/>
      <c r="E437" s="17"/>
      <c r="F437" s="17"/>
      <c r="G437" s="17"/>
      <c r="H437" s="17"/>
      <c r="I437" s="17"/>
      <c r="J437" s="17"/>
      <c r="K437" s="17"/>
      <c r="L437" s="17"/>
      <c r="M437" s="17"/>
      <c r="N437" s="17"/>
      <c r="O437" s="17"/>
      <c r="Q437" s="7">
        <f t="shared" si="6"/>
        <v>0</v>
      </c>
      <c r="R437" s="7" t="e">
        <f>IF(VLOOKUP($A437,'Concrete Beam Schedule'!$A$2:$Q$2902,R$2,0)&lt;&gt;B437,VLOOKUP($A437,'Concrete Beam Schedule'!$A$2:$Q$2902,R$2,0),"")</f>
        <v>#N/A</v>
      </c>
      <c r="S437" s="7" t="e">
        <f>IF(VLOOKUP($A437,'Concrete Beam Schedule'!$A$2:$Q$2902,S$2,0)&lt;&gt;C437,VLOOKUP($A437,'Concrete Beam Schedule'!$A$2:$Q$2902,S$2,0),"")</f>
        <v>#N/A</v>
      </c>
      <c r="T437" s="7" t="e">
        <f>IF(VLOOKUP($A437,'Concrete Beam Schedule'!$A$2:$Q$2902,T$2,0)&lt;&gt;D437,"Beam Revised","")</f>
        <v>#N/A</v>
      </c>
      <c r="U437" s="7" t="e">
        <f>IF(VLOOKUP($A437,'Concrete Beam Schedule'!$A$2:$Q$2902,U$2,0)&lt;&gt;E437,"Beam Revised","")</f>
        <v>#N/A</v>
      </c>
      <c r="V437" s="7" t="e">
        <f>IF(VLOOKUP($A437,'Concrete Beam Schedule'!$A$2:$Q$2902,V$2,0)&lt;&gt;F437,"Beam Revised","")</f>
        <v>#N/A</v>
      </c>
      <c r="W437" s="7" t="e">
        <f>IF(VLOOKUP($A437,'Concrete Beam Schedule'!$A$2:$Q$2902,W$2,0)&lt;&gt;G437,"Beam Revised","")</f>
        <v>#N/A</v>
      </c>
      <c r="X437" s="7" t="e">
        <f>IF(VLOOKUP($A437,'Concrete Beam Schedule'!$A$2:$Q$2902,X$2,0)&lt;&gt;H437,"Beam Revised","")</f>
        <v>#N/A</v>
      </c>
      <c r="Y437" s="7" t="e">
        <f>IF(VLOOKUP($A437,'Concrete Beam Schedule'!$A$2:$Q$2902,Y$2,0)&lt;&gt;I437,"Beam Revised","")</f>
        <v>#N/A</v>
      </c>
      <c r="Z437" s="7" t="e">
        <f>IF(VLOOKUP($A437,'Concrete Beam Schedule'!$A$2:$Q$2902,Z$2,0)&lt;&gt;J437,"Beam Revised","")</f>
        <v>#N/A</v>
      </c>
      <c r="AA437" s="7" t="e">
        <f>IF(VLOOKUP($A437,'Concrete Beam Schedule'!$A$2:$Q$2902,AA$2,0)&lt;&gt;K437,"Beam Revised","")</f>
        <v>#N/A</v>
      </c>
      <c r="AB437" s="7" t="e">
        <f>IF(VLOOKUP($A437,'Concrete Beam Schedule'!$A$2:$Q$2902,AB$2,0)&lt;&gt;L437,"Beam Revised","")</f>
        <v>#N/A</v>
      </c>
      <c r="AC437" s="7" t="e">
        <f>IF(VLOOKUP($A437,'Concrete Beam Schedule'!$A$2:$Q$2902,AC$2,0)&lt;&gt;M437,"Beam Revised","")</f>
        <v>#N/A</v>
      </c>
      <c r="AD437" s="7" t="e">
        <f>IF(VLOOKUP($A437,'Concrete Beam Schedule'!$A$2:$Q$2902,AD$2,0)&lt;&gt;N437,"Beam Revised","")</f>
        <v>#N/A</v>
      </c>
      <c r="AE437" s="7" t="e">
        <f>IF(VLOOKUP($A437,'Concrete Beam Schedule'!$A$2:$Q$2902,AE$2,0)&lt;&gt;O437,"Beam Revised","")</f>
        <v>#N/A</v>
      </c>
    </row>
    <row r="438" spans="1:31" ht="25.5" customHeight="1" x14ac:dyDescent="0.25">
      <c r="A438" s="17"/>
      <c r="B438" s="17"/>
      <c r="C438" s="17"/>
      <c r="D438" s="17"/>
      <c r="E438" s="17"/>
      <c r="F438" s="17"/>
      <c r="G438" s="17"/>
      <c r="H438" s="17"/>
      <c r="I438" s="17"/>
      <c r="J438" s="17"/>
      <c r="K438" s="17"/>
      <c r="L438" s="17"/>
      <c r="M438" s="17"/>
      <c r="N438" s="17"/>
      <c r="O438" s="17"/>
      <c r="Q438" s="7">
        <f t="shared" si="6"/>
        <v>0</v>
      </c>
      <c r="R438" s="7" t="e">
        <f>IF(VLOOKUP($A438,'Concrete Beam Schedule'!$A$2:$Q$2902,R$2,0)&lt;&gt;B438,VLOOKUP($A438,'Concrete Beam Schedule'!$A$2:$Q$2902,R$2,0),"")</f>
        <v>#N/A</v>
      </c>
      <c r="S438" s="7" t="e">
        <f>IF(VLOOKUP($A438,'Concrete Beam Schedule'!$A$2:$Q$2902,S$2,0)&lt;&gt;C438,VLOOKUP($A438,'Concrete Beam Schedule'!$A$2:$Q$2902,S$2,0),"")</f>
        <v>#N/A</v>
      </c>
      <c r="T438" s="7" t="e">
        <f>IF(VLOOKUP($A438,'Concrete Beam Schedule'!$A$2:$Q$2902,T$2,0)&lt;&gt;D438,"Beam Revised","")</f>
        <v>#N/A</v>
      </c>
      <c r="U438" s="7" t="e">
        <f>IF(VLOOKUP($A438,'Concrete Beam Schedule'!$A$2:$Q$2902,U$2,0)&lt;&gt;E438,"Beam Revised","")</f>
        <v>#N/A</v>
      </c>
      <c r="V438" s="7" t="e">
        <f>IF(VLOOKUP($A438,'Concrete Beam Schedule'!$A$2:$Q$2902,V$2,0)&lt;&gt;F438,"Beam Revised","")</f>
        <v>#N/A</v>
      </c>
      <c r="W438" s="7" t="e">
        <f>IF(VLOOKUP($A438,'Concrete Beam Schedule'!$A$2:$Q$2902,W$2,0)&lt;&gt;G438,"Beam Revised","")</f>
        <v>#N/A</v>
      </c>
      <c r="X438" s="7" t="e">
        <f>IF(VLOOKUP($A438,'Concrete Beam Schedule'!$A$2:$Q$2902,X$2,0)&lt;&gt;H438,"Beam Revised","")</f>
        <v>#N/A</v>
      </c>
      <c r="Y438" s="7" t="e">
        <f>IF(VLOOKUP($A438,'Concrete Beam Schedule'!$A$2:$Q$2902,Y$2,0)&lt;&gt;I438,"Beam Revised","")</f>
        <v>#N/A</v>
      </c>
      <c r="Z438" s="7" t="e">
        <f>IF(VLOOKUP($A438,'Concrete Beam Schedule'!$A$2:$Q$2902,Z$2,0)&lt;&gt;J438,"Beam Revised","")</f>
        <v>#N/A</v>
      </c>
      <c r="AA438" s="7" t="e">
        <f>IF(VLOOKUP($A438,'Concrete Beam Schedule'!$A$2:$Q$2902,AA$2,0)&lt;&gt;K438,"Beam Revised","")</f>
        <v>#N/A</v>
      </c>
      <c r="AB438" s="7" t="e">
        <f>IF(VLOOKUP($A438,'Concrete Beam Schedule'!$A$2:$Q$2902,AB$2,0)&lt;&gt;L438,"Beam Revised","")</f>
        <v>#N/A</v>
      </c>
      <c r="AC438" s="7" t="e">
        <f>IF(VLOOKUP($A438,'Concrete Beam Schedule'!$A$2:$Q$2902,AC$2,0)&lt;&gt;M438,"Beam Revised","")</f>
        <v>#N/A</v>
      </c>
      <c r="AD438" s="7" t="e">
        <f>IF(VLOOKUP($A438,'Concrete Beam Schedule'!$A$2:$Q$2902,AD$2,0)&lt;&gt;N438,"Beam Revised","")</f>
        <v>#N/A</v>
      </c>
      <c r="AE438" s="7" t="e">
        <f>IF(VLOOKUP($A438,'Concrete Beam Schedule'!$A$2:$Q$2902,AE$2,0)&lt;&gt;O438,"Beam Revised","")</f>
        <v>#N/A</v>
      </c>
    </row>
    <row r="439" spans="1:31" ht="25.5" customHeight="1" x14ac:dyDescent="0.25">
      <c r="A439" s="17"/>
      <c r="B439" s="17"/>
      <c r="C439" s="17"/>
      <c r="D439" s="17"/>
      <c r="E439" s="17"/>
      <c r="F439" s="17"/>
      <c r="G439" s="17"/>
      <c r="H439" s="17"/>
      <c r="I439" s="17"/>
      <c r="J439" s="17"/>
      <c r="K439" s="17"/>
      <c r="L439" s="17"/>
      <c r="M439" s="17"/>
      <c r="N439" s="17"/>
      <c r="O439" s="17"/>
      <c r="Q439" s="7">
        <f t="shared" si="6"/>
        <v>0</v>
      </c>
      <c r="R439" s="7" t="e">
        <f>IF(VLOOKUP($A439,'Concrete Beam Schedule'!$A$2:$Q$2902,R$2,0)&lt;&gt;B439,VLOOKUP($A439,'Concrete Beam Schedule'!$A$2:$Q$2902,R$2,0),"")</f>
        <v>#N/A</v>
      </c>
      <c r="S439" s="7" t="e">
        <f>IF(VLOOKUP($A439,'Concrete Beam Schedule'!$A$2:$Q$2902,S$2,0)&lt;&gt;C439,VLOOKUP($A439,'Concrete Beam Schedule'!$A$2:$Q$2902,S$2,0),"")</f>
        <v>#N/A</v>
      </c>
      <c r="T439" s="7" t="e">
        <f>IF(VLOOKUP($A439,'Concrete Beam Schedule'!$A$2:$Q$2902,T$2,0)&lt;&gt;D439,"Beam Revised","")</f>
        <v>#N/A</v>
      </c>
      <c r="U439" s="7" t="e">
        <f>IF(VLOOKUP($A439,'Concrete Beam Schedule'!$A$2:$Q$2902,U$2,0)&lt;&gt;E439,"Beam Revised","")</f>
        <v>#N/A</v>
      </c>
      <c r="V439" s="7" t="e">
        <f>IF(VLOOKUP($A439,'Concrete Beam Schedule'!$A$2:$Q$2902,V$2,0)&lt;&gt;F439,"Beam Revised","")</f>
        <v>#N/A</v>
      </c>
      <c r="W439" s="7" t="e">
        <f>IF(VLOOKUP($A439,'Concrete Beam Schedule'!$A$2:$Q$2902,W$2,0)&lt;&gt;G439,"Beam Revised","")</f>
        <v>#N/A</v>
      </c>
      <c r="X439" s="7" t="e">
        <f>IF(VLOOKUP($A439,'Concrete Beam Schedule'!$A$2:$Q$2902,X$2,0)&lt;&gt;H439,"Beam Revised","")</f>
        <v>#N/A</v>
      </c>
      <c r="Y439" s="7" t="e">
        <f>IF(VLOOKUP($A439,'Concrete Beam Schedule'!$A$2:$Q$2902,Y$2,0)&lt;&gt;I439,"Beam Revised","")</f>
        <v>#N/A</v>
      </c>
      <c r="Z439" s="7" t="e">
        <f>IF(VLOOKUP($A439,'Concrete Beam Schedule'!$A$2:$Q$2902,Z$2,0)&lt;&gt;J439,"Beam Revised","")</f>
        <v>#N/A</v>
      </c>
      <c r="AA439" s="7" t="e">
        <f>IF(VLOOKUP($A439,'Concrete Beam Schedule'!$A$2:$Q$2902,AA$2,0)&lt;&gt;K439,"Beam Revised","")</f>
        <v>#N/A</v>
      </c>
      <c r="AB439" s="7" t="e">
        <f>IF(VLOOKUP($A439,'Concrete Beam Schedule'!$A$2:$Q$2902,AB$2,0)&lt;&gt;L439,"Beam Revised","")</f>
        <v>#N/A</v>
      </c>
      <c r="AC439" s="7" t="e">
        <f>IF(VLOOKUP($A439,'Concrete Beam Schedule'!$A$2:$Q$2902,AC$2,0)&lt;&gt;M439,"Beam Revised","")</f>
        <v>#N/A</v>
      </c>
      <c r="AD439" s="7" t="e">
        <f>IF(VLOOKUP($A439,'Concrete Beam Schedule'!$A$2:$Q$2902,AD$2,0)&lt;&gt;N439,"Beam Revised","")</f>
        <v>#N/A</v>
      </c>
      <c r="AE439" s="7" t="e">
        <f>IF(VLOOKUP($A439,'Concrete Beam Schedule'!$A$2:$Q$2902,AE$2,0)&lt;&gt;O439,"Beam Revised","")</f>
        <v>#N/A</v>
      </c>
    </row>
    <row r="440" spans="1:31" ht="25.5" customHeight="1" x14ac:dyDescent="0.25">
      <c r="A440" s="17"/>
      <c r="B440" s="17"/>
      <c r="C440" s="17"/>
      <c r="D440" s="17"/>
      <c r="E440" s="17"/>
      <c r="F440" s="17"/>
      <c r="G440" s="17"/>
      <c r="H440" s="17"/>
      <c r="I440" s="17"/>
      <c r="J440" s="17"/>
      <c r="K440" s="17"/>
      <c r="L440" s="17"/>
      <c r="M440" s="17"/>
      <c r="N440" s="17"/>
      <c r="O440" s="17"/>
      <c r="Q440" s="7">
        <f t="shared" si="6"/>
        <v>0</v>
      </c>
      <c r="R440" s="7" t="e">
        <f>IF(VLOOKUP($A440,'Concrete Beam Schedule'!$A$2:$Q$2902,R$2,0)&lt;&gt;B440,VLOOKUP($A440,'Concrete Beam Schedule'!$A$2:$Q$2902,R$2,0),"")</f>
        <v>#N/A</v>
      </c>
      <c r="S440" s="7" t="e">
        <f>IF(VLOOKUP($A440,'Concrete Beam Schedule'!$A$2:$Q$2902,S$2,0)&lt;&gt;C440,VLOOKUP($A440,'Concrete Beam Schedule'!$A$2:$Q$2902,S$2,0),"")</f>
        <v>#N/A</v>
      </c>
      <c r="T440" s="7" t="e">
        <f>IF(VLOOKUP($A440,'Concrete Beam Schedule'!$A$2:$Q$2902,T$2,0)&lt;&gt;D440,"Beam Revised","")</f>
        <v>#N/A</v>
      </c>
      <c r="U440" s="7" t="e">
        <f>IF(VLOOKUP($A440,'Concrete Beam Schedule'!$A$2:$Q$2902,U$2,0)&lt;&gt;E440,"Beam Revised","")</f>
        <v>#N/A</v>
      </c>
      <c r="V440" s="7" t="e">
        <f>IF(VLOOKUP($A440,'Concrete Beam Schedule'!$A$2:$Q$2902,V$2,0)&lt;&gt;F440,"Beam Revised","")</f>
        <v>#N/A</v>
      </c>
      <c r="W440" s="7" t="e">
        <f>IF(VLOOKUP($A440,'Concrete Beam Schedule'!$A$2:$Q$2902,W$2,0)&lt;&gt;G440,"Beam Revised","")</f>
        <v>#N/A</v>
      </c>
      <c r="X440" s="7" t="e">
        <f>IF(VLOOKUP($A440,'Concrete Beam Schedule'!$A$2:$Q$2902,X$2,0)&lt;&gt;H440,"Beam Revised","")</f>
        <v>#N/A</v>
      </c>
      <c r="Y440" s="7" t="e">
        <f>IF(VLOOKUP($A440,'Concrete Beam Schedule'!$A$2:$Q$2902,Y$2,0)&lt;&gt;I440,"Beam Revised","")</f>
        <v>#N/A</v>
      </c>
      <c r="Z440" s="7" t="e">
        <f>IF(VLOOKUP($A440,'Concrete Beam Schedule'!$A$2:$Q$2902,Z$2,0)&lt;&gt;J440,"Beam Revised","")</f>
        <v>#N/A</v>
      </c>
      <c r="AA440" s="7" t="e">
        <f>IF(VLOOKUP($A440,'Concrete Beam Schedule'!$A$2:$Q$2902,AA$2,0)&lt;&gt;K440,"Beam Revised","")</f>
        <v>#N/A</v>
      </c>
      <c r="AB440" s="7" t="e">
        <f>IF(VLOOKUP($A440,'Concrete Beam Schedule'!$A$2:$Q$2902,AB$2,0)&lt;&gt;L440,"Beam Revised","")</f>
        <v>#N/A</v>
      </c>
      <c r="AC440" s="7" t="e">
        <f>IF(VLOOKUP($A440,'Concrete Beam Schedule'!$A$2:$Q$2902,AC$2,0)&lt;&gt;M440,"Beam Revised","")</f>
        <v>#N/A</v>
      </c>
      <c r="AD440" s="7" t="e">
        <f>IF(VLOOKUP($A440,'Concrete Beam Schedule'!$A$2:$Q$2902,AD$2,0)&lt;&gt;N440,"Beam Revised","")</f>
        <v>#N/A</v>
      </c>
      <c r="AE440" s="7" t="e">
        <f>IF(VLOOKUP($A440,'Concrete Beam Schedule'!$A$2:$Q$2902,AE$2,0)&lt;&gt;O440,"Beam Revised","")</f>
        <v>#N/A</v>
      </c>
    </row>
    <row r="441" spans="1:31" ht="25.5" customHeight="1" x14ac:dyDescent="0.25">
      <c r="A441" s="17"/>
      <c r="B441" s="17"/>
      <c r="C441" s="17"/>
      <c r="D441" s="17"/>
      <c r="E441" s="17"/>
      <c r="F441" s="17"/>
      <c r="G441" s="17"/>
      <c r="H441" s="17"/>
      <c r="I441" s="17"/>
      <c r="J441" s="17"/>
      <c r="K441" s="17"/>
      <c r="L441" s="17"/>
      <c r="M441" s="17"/>
      <c r="N441" s="17"/>
      <c r="O441" s="17"/>
      <c r="Q441" s="7">
        <f t="shared" si="6"/>
        <v>0</v>
      </c>
      <c r="R441" s="7" t="e">
        <f>IF(VLOOKUP($A441,'Concrete Beam Schedule'!$A$2:$Q$2902,R$2,0)&lt;&gt;B441,VLOOKUP($A441,'Concrete Beam Schedule'!$A$2:$Q$2902,R$2,0),"")</f>
        <v>#N/A</v>
      </c>
      <c r="S441" s="7" t="e">
        <f>IF(VLOOKUP($A441,'Concrete Beam Schedule'!$A$2:$Q$2902,S$2,0)&lt;&gt;C441,VLOOKUP($A441,'Concrete Beam Schedule'!$A$2:$Q$2902,S$2,0),"")</f>
        <v>#N/A</v>
      </c>
      <c r="T441" s="7" t="e">
        <f>IF(VLOOKUP($A441,'Concrete Beam Schedule'!$A$2:$Q$2902,T$2,0)&lt;&gt;D441,"Beam Revised","")</f>
        <v>#N/A</v>
      </c>
      <c r="U441" s="7" t="e">
        <f>IF(VLOOKUP($A441,'Concrete Beam Schedule'!$A$2:$Q$2902,U$2,0)&lt;&gt;E441,"Beam Revised","")</f>
        <v>#N/A</v>
      </c>
      <c r="V441" s="7" t="e">
        <f>IF(VLOOKUP($A441,'Concrete Beam Schedule'!$A$2:$Q$2902,V$2,0)&lt;&gt;F441,"Beam Revised","")</f>
        <v>#N/A</v>
      </c>
      <c r="W441" s="7" t="e">
        <f>IF(VLOOKUP($A441,'Concrete Beam Schedule'!$A$2:$Q$2902,W$2,0)&lt;&gt;G441,"Beam Revised","")</f>
        <v>#N/A</v>
      </c>
      <c r="X441" s="7" t="e">
        <f>IF(VLOOKUP($A441,'Concrete Beam Schedule'!$A$2:$Q$2902,X$2,0)&lt;&gt;H441,"Beam Revised","")</f>
        <v>#N/A</v>
      </c>
      <c r="Y441" s="7" t="e">
        <f>IF(VLOOKUP($A441,'Concrete Beam Schedule'!$A$2:$Q$2902,Y$2,0)&lt;&gt;I441,"Beam Revised","")</f>
        <v>#N/A</v>
      </c>
      <c r="Z441" s="7" t="e">
        <f>IF(VLOOKUP($A441,'Concrete Beam Schedule'!$A$2:$Q$2902,Z$2,0)&lt;&gt;J441,"Beam Revised","")</f>
        <v>#N/A</v>
      </c>
      <c r="AA441" s="7" t="e">
        <f>IF(VLOOKUP($A441,'Concrete Beam Schedule'!$A$2:$Q$2902,AA$2,0)&lt;&gt;K441,"Beam Revised","")</f>
        <v>#N/A</v>
      </c>
      <c r="AB441" s="7" t="e">
        <f>IF(VLOOKUP($A441,'Concrete Beam Schedule'!$A$2:$Q$2902,AB$2,0)&lt;&gt;L441,"Beam Revised","")</f>
        <v>#N/A</v>
      </c>
      <c r="AC441" s="7" t="e">
        <f>IF(VLOOKUP($A441,'Concrete Beam Schedule'!$A$2:$Q$2902,AC$2,0)&lt;&gt;M441,"Beam Revised","")</f>
        <v>#N/A</v>
      </c>
      <c r="AD441" s="7" t="e">
        <f>IF(VLOOKUP($A441,'Concrete Beam Schedule'!$A$2:$Q$2902,AD$2,0)&lt;&gt;N441,"Beam Revised","")</f>
        <v>#N/A</v>
      </c>
      <c r="AE441" s="7" t="e">
        <f>IF(VLOOKUP($A441,'Concrete Beam Schedule'!$A$2:$Q$2902,AE$2,0)&lt;&gt;O441,"Beam Revised","")</f>
        <v>#N/A</v>
      </c>
    </row>
    <row r="442" spans="1:31" ht="25.5" customHeight="1" x14ac:dyDescent="0.25">
      <c r="A442" s="17"/>
      <c r="B442" s="17"/>
      <c r="C442" s="17"/>
      <c r="D442" s="17"/>
      <c r="E442" s="17"/>
      <c r="F442" s="17"/>
      <c r="G442" s="17"/>
      <c r="H442" s="17"/>
      <c r="I442" s="17"/>
      <c r="J442" s="17"/>
      <c r="K442" s="17"/>
      <c r="L442" s="17"/>
      <c r="M442" s="17"/>
      <c r="N442" s="17"/>
      <c r="O442" s="17"/>
      <c r="Q442" s="7">
        <f t="shared" si="6"/>
        <v>0</v>
      </c>
      <c r="R442" s="7" t="e">
        <f>IF(VLOOKUP($A442,'Concrete Beam Schedule'!$A$2:$Q$2902,R$2,0)&lt;&gt;B442,VLOOKUP($A442,'Concrete Beam Schedule'!$A$2:$Q$2902,R$2,0),"")</f>
        <v>#N/A</v>
      </c>
      <c r="S442" s="7" t="e">
        <f>IF(VLOOKUP($A442,'Concrete Beam Schedule'!$A$2:$Q$2902,S$2,0)&lt;&gt;C442,VLOOKUP($A442,'Concrete Beam Schedule'!$A$2:$Q$2902,S$2,0),"")</f>
        <v>#N/A</v>
      </c>
      <c r="T442" s="7" t="e">
        <f>IF(VLOOKUP($A442,'Concrete Beam Schedule'!$A$2:$Q$2902,T$2,0)&lt;&gt;D442,"Beam Revised","")</f>
        <v>#N/A</v>
      </c>
      <c r="U442" s="7" t="e">
        <f>IF(VLOOKUP($A442,'Concrete Beam Schedule'!$A$2:$Q$2902,U$2,0)&lt;&gt;E442,"Beam Revised","")</f>
        <v>#N/A</v>
      </c>
      <c r="V442" s="7" t="e">
        <f>IF(VLOOKUP($A442,'Concrete Beam Schedule'!$A$2:$Q$2902,V$2,0)&lt;&gt;F442,"Beam Revised","")</f>
        <v>#N/A</v>
      </c>
      <c r="W442" s="7" t="e">
        <f>IF(VLOOKUP($A442,'Concrete Beam Schedule'!$A$2:$Q$2902,W$2,0)&lt;&gt;G442,"Beam Revised","")</f>
        <v>#N/A</v>
      </c>
      <c r="X442" s="7" t="e">
        <f>IF(VLOOKUP($A442,'Concrete Beam Schedule'!$A$2:$Q$2902,X$2,0)&lt;&gt;H442,"Beam Revised","")</f>
        <v>#N/A</v>
      </c>
      <c r="Y442" s="7" t="e">
        <f>IF(VLOOKUP($A442,'Concrete Beam Schedule'!$A$2:$Q$2902,Y$2,0)&lt;&gt;I442,"Beam Revised","")</f>
        <v>#N/A</v>
      </c>
      <c r="Z442" s="7" t="e">
        <f>IF(VLOOKUP($A442,'Concrete Beam Schedule'!$A$2:$Q$2902,Z$2,0)&lt;&gt;J442,"Beam Revised","")</f>
        <v>#N/A</v>
      </c>
      <c r="AA442" s="7" t="e">
        <f>IF(VLOOKUP($A442,'Concrete Beam Schedule'!$A$2:$Q$2902,AA$2,0)&lt;&gt;K442,"Beam Revised","")</f>
        <v>#N/A</v>
      </c>
      <c r="AB442" s="7" t="e">
        <f>IF(VLOOKUP($A442,'Concrete Beam Schedule'!$A$2:$Q$2902,AB$2,0)&lt;&gt;L442,"Beam Revised","")</f>
        <v>#N/A</v>
      </c>
      <c r="AC442" s="7" t="e">
        <f>IF(VLOOKUP($A442,'Concrete Beam Schedule'!$A$2:$Q$2902,AC$2,0)&lt;&gt;M442,"Beam Revised","")</f>
        <v>#N/A</v>
      </c>
      <c r="AD442" s="7" t="e">
        <f>IF(VLOOKUP($A442,'Concrete Beam Schedule'!$A$2:$Q$2902,AD$2,0)&lt;&gt;N442,"Beam Revised","")</f>
        <v>#N/A</v>
      </c>
      <c r="AE442" s="7" t="e">
        <f>IF(VLOOKUP($A442,'Concrete Beam Schedule'!$A$2:$Q$2902,AE$2,0)&lt;&gt;O442,"Beam Revised","")</f>
        <v>#N/A</v>
      </c>
    </row>
    <row r="443" spans="1:31" ht="25.5" customHeight="1" x14ac:dyDescent="0.25">
      <c r="A443" s="17"/>
      <c r="B443" s="17"/>
      <c r="C443" s="17"/>
      <c r="D443" s="17"/>
      <c r="E443" s="17"/>
      <c r="F443" s="17"/>
      <c r="G443" s="17"/>
      <c r="H443" s="17"/>
      <c r="I443" s="17"/>
      <c r="J443" s="17"/>
      <c r="K443" s="17"/>
      <c r="L443" s="17"/>
      <c r="M443" s="17"/>
      <c r="N443" s="17"/>
      <c r="O443" s="17"/>
      <c r="Q443" s="7">
        <f t="shared" si="6"/>
        <v>0</v>
      </c>
      <c r="R443" s="7" t="e">
        <f>IF(VLOOKUP($A443,'Concrete Beam Schedule'!$A$2:$Q$2902,R$2,0)&lt;&gt;B443,VLOOKUP($A443,'Concrete Beam Schedule'!$A$2:$Q$2902,R$2,0),"")</f>
        <v>#N/A</v>
      </c>
      <c r="S443" s="7" t="e">
        <f>IF(VLOOKUP($A443,'Concrete Beam Schedule'!$A$2:$Q$2902,S$2,0)&lt;&gt;C443,VLOOKUP($A443,'Concrete Beam Schedule'!$A$2:$Q$2902,S$2,0),"")</f>
        <v>#N/A</v>
      </c>
      <c r="T443" s="7" t="e">
        <f>IF(VLOOKUP($A443,'Concrete Beam Schedule'!$A$2:$Q$2902,T$2,0)&lt;&gt;D443,"Beam Revised","")</f>
        <v>#N/A</v>
      </c>
      <c r="U443" s="7" t="e">
        <f>IF(VLOOKUP($A443,'Concrete Beam Schedule'!$A$2:$Q$2902,U$2,0)&lt;&gt;E443,"Beam Revised","")</f>
        <v>#N/A</v>
      </c>
      <c r="V443" s="7" t="e">
        <f>IF(VLOOKUP($A443,'Concrete Beam Schedule'!$A$2:$Q$2902,V$2,0)&lt;&gt;F443,"Beam Revised","")</f>
        <v>#N/A</v>
      </c>
      <c r="W443" s="7" t="e">
        <f>IF(VLOOKUP($A443,'Concrete Beam Schedule'!$A$2:$Q$2902,W$2,0)&lt;&gt;G443,"Beam Revised","")</f>
        <v>#N/A</v>
      </c>
      <c r="X443" s="7" t="e">
        <f>IF(VLOOKUP($A443,'Concrete Beam Schedule'!$A$2:$Q$2902,X$2,0)&lt;&gt;H443,"Beam Revised","")</f>
        <v>#N/A</v>
      </c>
      <c r="Y443" s="7" t="e">
        <f>IF(VLOOKUP($A443,'Concrete Beam Schedule'!$A$2:$Q$2902,Y$2,0)&lt;&gt;I443,"Beam Revised","")</f>
        <v>#N/A</v>
      </c>
      <c r="Z443" s="7" t="e">
        <f>IF(VLOOKUP($A443,'Concrete Beam Schedule'!$A$2:$Q$2902,Z$2,0)&lt;&gt;J443,"Beam Revised","")</f>
        <v>#N/A</v>
      </c>
      <c r="AA443" s="7" t="e">
        <f>IF(VLOOKUP($A443,'Concrete Beam Schedule'!$A$2:$Q$2902,AA$2,0)&lt;&gt;K443,"Beam Revised","")</f>
        <v>#N/A</v>
      </c>
      <c r="AB443" s="7" t="e">
        <f>IF(VLOOKUP($A443,'Concrete Beam Schedule'!$A$2:$Q$2902,AB$2,0)&lt;&gt;L443,"Beam Revised","")</f>
        <v>#N/A</v>
      </c>
      <c r="AC443" s="7" t="e">
        <f>IF(VLOOKUP($A443,'Concrete Beam Schedule'!$A$2:$Q$2902,AC$2,0)&lt;&gt;M443,"Beam Revised","")</f>
        <v>#N/A</v>
      </c>
      <c r="AD443" s="7" t="e">
        <f>IF(VLOOKUP($A443,'Concrete Beam Schedule'!$A$2:$Q$2902,AD$2,0)&lt;&gt;N443,"Beam Revised","")</f>
        <v>#N/A</v>
      </c>
      <c r="AE443" s="7" t="e">
        <f>IF(VLOOKUP($A443,'Concrete Beam Schedule'!$A$2:$Q$2902,AE$2,0)&lt;&gt;O443,"Beam Revised","")</f>
        <v>#N/A</v>
      </c>
    </row>
    <row r="444" spans="1:31" ht="25.5" customHeight="1" x14ac:dyDescent="0.25">
      <c r="A444" s="17"/>
      <c r="B444" s="17"/>
      <c r="C444" s="17"/>
      <c r="D444" s="17"/>
      <c r="E444" s="17"/>
      <c r="F444" s="17"/>
      <c r="G444" s="17"/>
      <c r="H444" s="17"/>
      <c r="I444" s="17"/>
      <c r="J444" s="17"/>
      <c r="K444" s="17"/>
      <c r="L444" s="17"/>
      <c r="M444" s="17"/>
      <c r="N444" s="17"/>
      <c r="O444" s="17"/>
      <c r="Q444" s="7">
        <f t="shared" si="6"/>
        <v>0</v>
      </c>
      <c r="R444" s="7" t="e">
        <f>IF(VLOOKUP($A444,'Concrete Beam Schedule'!$A$2:$Q$2902,R$2,0)&lt;&gt;B444,VLOOKUP($A444,'Concrete Beam Schedule'!$A$2:$Q$2902,R$2,0),"")</f>
        <v>#N/A</v>
      </c>
      <c r="S444" s="7" t="e">
        <f>IF(VLOOKUP($A444,'Concrete Beam Schedule'!$A$2:$Q$2902,S$2,0)&lt;&gt;C444,VLOOKUP($A444,'Concrete Beam Schedule'!$A$2:$Q$2902,S$2,0),"")</f>
        <v>#N/A</v>
      </c>
      <c r="T444" s="7" t="e">
        <f>IF(VLOOKUP($A444,'Concrete Beam Schedule'!$A$2:$Q$2902,T$2,0)&lt;&gt;D444,"Beam Revised","")</f>
        <v>#N/A</v>
      </c>
      <c r="U444" s="7" t="e">
        <f>IF(VLOOKUP($A444,'Concrete Beam Schedule'!$A$2:$Q$2902,U$2,0)&lt;&gt;E444,"Beam Revised","")</f>
        <v>#N/A</v>
      </c>
      <c r="V444" s="7" t="e">
        <f>IF(VLOOKUP($A444,'Concrete Beam Schedule'!$A$2:$Q$2902,V$2,0)&lt;&gt;F444,"Beam Revised","")</f>
        <v>#N/A</v>
      </c>
      <c r="W444" s="7" t="e">
        <f>IF(VLOOKUP($A444,'Concrete Beam Schedule'!$A$2:$Q$2902,W$2,0)&lt;&gt;G444,"Beam Revised","")</f>
        <v>#N/A</v>
      </c>
      <c r="X444" s="7" t="e">
        <f>IF(VLOOKUP($A444,'Concrete Beam Schedule'!$A$2:$Q$2902,X$2,0)&lt;&gt;H444,"Beam Revised","")</f>
        <v>#N/A</v>
      </c>
      <c r="Y444" s="7" t="e">
        <f>IF(VLOOKUP($A444,'Concrete Beam Schedule'!$A$2:$Q$2902,Y$2,0)&lt;&gt;I444,"Beam Revised","")</f>
        <v>#N/A</v>
      </c>
      <c r="Z444" s="7" t="e">
        <f>IF(VLOOKUP($A444,'Concrete Beam Schedule'!$A$2:$Q$2902,Z$2,0)&lt;&gt;J444,"Beam Revised","")</f>
        <v>#N/A</v>
      </c>
      <c r="AA444" s="7" t="e">
        <f>IF(VLOOKUP($A444,'Concrete Beam Schedule'!$A$2:$Q$2902,AA$2,0)&lt;&gt;K444,"Beam Revised","")</f>
        <v>#N/A</v>
      </c>
      <c r="AB444" s="7" t="e">
        <f>IF(VLOOKUP($A444,'Concrete Beam Schedule'!$A$2:$Q$2902,AB$2,0)&lt;&gt;L444,"Beam Revised","")</f>
        <v>#N/A</v>
      </c>
      <c r="AC444" s="7" t="e">
        <f>IF(VLOOKUP($A444,'Concrete Beam Schedule'!$A$2:$Q$2902,AC$2,0)&lt;&gt;M444,"Beam Revised","")</f>
        <v>#N/A</v>
      </c>
      <c r="AD444" s="7" t="e">
        <f>IF(VLOOKUP($A444,'Concrete Beam Schedule'!$A$2:$Q$2902,AD$2,0)&lt;&gt;N444,"Beam Revised","")</f>
        <v>#N/A</v>
      </c>
      <c r="AE444" s="7" t="e">
        <f>IF(VLOOKUP($A444,'Concrete Beam Schedule'!$A$2:$Q$2902,AE$2,0)&lt;&gt;O444,"Beam Revised","")</f>
        <v>#N/A</v>
      </c>
    </row>
    <row r="445" spans="1:31" ht="25.5" customHeight="1" x14ac:dyDescent="0.25">
      <c r="A445" s="17"/>
      <c r="B445" s="17"/>
      <c r="C445" s="17"/>
      <c r="D445" s="17"/>
      <c r="E445" s="17"/>
      <c r="F445" s="17"/>
      <c r="G445" s="17"/>
      <c r="H445" s="17"/>
      <c r="I445" s="17"/>
      <c r="J445" s="17"/>
      <c r="K445" s="17"/>
      <c r="L445" s="17"/>
      <c r="M445" s="17"/>
      <c r="N445" s="17"/>
      <c r="O445" s="17"/>
      <c r="Q445" s="7">
        <f t="shared" si="6"/>
        <v>0</v>
      </c>
      <c r="R445" s="7" t="e">
        <f>IF(VLOOKUP($A445,'Concrete Beam Schedule'!$A$2:$Q$2902,R$2,0)&lt;&gt;B445,VLOOKUP($A445,'Concrete Beam Schedule'!$A$2:$Q$2902,R$2,0),"")</f>
        <v>#N/A</v>
      </c>
      <c r="S445" s="7" t="e">
        <f>IF(VLOOKUP($A445,'Concrete Beam Schedule'!$A$2:$Q$2902,S$2,0)&lt;&gt;C445,VLOOKUP($A445,'Concrete Beam Schedule'!$A$2:$Q$2902,S$2,0),"")</f>
        <v>#N/A</v>
      </c>
      <c r="T445" s="7" t="e">
        <f>IF(VLOOKUP($A445,'Concrete Beam Schedule'!$A$2:$Q$2902,T$2,0)&lt;&gt;D445,"Beam Revised","")</f>
        <v>#N/A</v>
      </c>
      <c r="U445" s="7" t="e">
        <f>IF(VLOOKUP($A445,'Concrete Beam Schedule'!$A$2:$Q$2902,U$2,0)&lt;&gt;E445,"Beam Revised","")</f>
        <v>#N/A</v>
      </c>
      <c r="V445" s="7" t="e">
        <f>IF(VLOOKUP($A445,'Concrete Beam Schedule'!$A$2:$Q$2902,V$2,0)&lt;&gt;F445,"Beam Revised","")</f>
        <v>#N/A</v>
      </c>
      <c r="W445" s="7" t="e">
        <f>IF(VLOOKUP($A445,'Concrete Beam Schedule'!$A$2:$Q$2902,W$2,0)&lt;&gt;G445,"Beam Revised","")</f>
        <v>#N/A</v>
      </c>
      <c r="X445" s="7" t="e">
        <f>IF(VLOOKUP($A445,'Concrete Beam Schedule'!$A$2:$Q$2902,X$2,0)&lt;&gt;H445,"Beam Revised","")</f>
        <v>#N/A</v>
      </c>
      <c r="Y445" s="7" t="e">
        <f>IF(VLOOKUP($A445,'Concrete Beam Schedule'!$A$2:$Q$2902,Y$2,0)&lt;&gt;I445,"Beam Revised","")</f>
        <v>#N/A</v>
      </c>
      <c r="Z445" s="7" t="e">
        <f>IF(VLOOKUP($A445,'Concrete Beam Schedule'!$A$2:$Q$2902,Z$2,0)&lt;&gt;J445,"Beam Revised","")</f>
        <v>#N/A</v>
      </c>
      <c r="AA445" s="7" t="e">
        <f>IF(VLOOKUP($A445,'Concrete Beam Schedule'!$A$2:$Q$2902,AA$2,0)&lt;&gt;K445,"Beam Revised","")</f>
        <v>#N/A</v>
      </c>
      <c r="AB445" s="7" t="e">
        <f>IF(VLOOKUP($A445,'Concrete Beam Schedule'!$A$2:$Q$2902,AB$2,0)&lt;&gt;L445,"Beam Revised","")</f>
        <v>#N/A</v>
      </c>
      <c r="AC445" s="7" t="e">
        <f>IF(VLOOKUP($A445,'Concrete Beam Schedule'!$A$2:$Q$2902,AC$2,0)&lt;&gt;M445,"Beam Revised","")</f>
        <v>#N/A</v>
      </c>
      <c r="AD445" s="7" t="e">
        <f>IF(VLOOKUP($A445,'Concrete Beam Schedule'!$A$2:$Q$2902,AD$2,0)&lt;&gt;N445,"Beam Revised","")</f>
        <v>#N/A</v>
      </c>
      <c r="AE445" s="7" t="e">
        <f>IF(VLOOKUP($A445,'Concrete Beam Schedule'!$A$2:$Q$2902,AE$2,0)&lt;&gt;O445,"Beam Revised","")</f>
        <v>#N/A</v>
      </c>
    </row>
    <row r="446" spans="1:31" ht="25.5" customHeight="1" x14ac:dyDescent="0.25">
      <c r="A446" s="17"/>
      <c r="B446" s="17"/>
      <c r="C446" s="17"/>
      <c r="D446" s="17"/>
      <c r="E446" s="17"/>
      <c r="F446" s="17"/>
      <c r="G446" s="17"/>
      <c r="H446" s="17"/>
      <c r="I446" s="17"/>
      <c r="J446" s="17"/>
      <c r="K446" s="17"/>
      <c r="L446" s="17"/>
      <c r="M446" s="17"/>
      <c r="N446" s="17"/>
      <c r="O446" s="17"/>
      <c r="Q446" s="7">
        <f t="shared" si="6"/>
        <v>0</v>
      </c>
      <c r="R446" s="7" t="e">
        <f>IF(VLOOKUP($A446,'Concrete Beam Schedule'!$A$2:$Q$2902,R$2,0)&lt;&gt;B446,VLOOKUP($A446,'Concrete Beam Schedule'!$A$2:$Q$2902,R$2,0),"")</f>
        <v>#N/A</v>
      </c>
      <c r="S446" s="7" t="e">
        <f>IF(VLOOKUP($A446,'Concrete Beam Schedule'!$A$2:$Q$2902,S$2,0)&lt;&gt;C446,VLOOKUP($A446,'Concrete Beam Schedule'!$A$2:$Q$2902,S$2,0),"")</f>
        <v>#N/A</v>
      </c>
      <c r="T446" s="7" t="e">
        <f>IF(VLOOKUP($A446,'Concrete Beam Schedule'!$A$2:$Q$2902,T$2,0)&lt;&gt;D446,"Beam Revised","")</f>
        <v>#N/A</v>
      </c>
      <c r="U446" s="7" t="e">
        <f>IF(VLOOKUP($A446,'Concrete Beam Schedule'!$A$2:$Q$2902,U$2,0)&lt;&gt;E446,"Beam Revised","")</f>
        <v>#N/A</v>
      </c>
      <c r="V446" s="7" t="e">
        <f>IF(VLOOKUP($A446,'Concrete Beam Schedule'!$A$2:$Q$2902,V$2,0)&lt;&gt;F446,"Beam Revised","")</f>
        <v>#N/A</v>
      </c>
      <c r="W446" s="7" t="e">
        <f>IF(VLOOKUP($A446,'Concrete Beam Schedule'!$A$2:$Q$2902,W$2,0)&lt;&gt;G446,"Beam Revised","")</f>
        <v>#N/A</v>
      </c>
      <c r="X446" s="7" t="e">
        <f>IF(VLOOKUP($A446,'Concrete Beam Schedule'!$A$2:$Q$2902,X$2,0)&lt;&gt;H446,"Beam Revised","")</f>
        <v>#N/A</v>
      </c>
      <c r="Y446" s="7" t="e">
        <f>IF(VLOOKUP($A446,'Concrete Beam Schedule'!$A$2:$Q$2902,Y$2,0)&lt;&gt;I446,"Beam Revised","")</f>
        <v>#N/A</v>
      </c>
      <c r="Z446" s="7" t="e">
        <f>IF(VLOOKUP($A446,'Concrete Beam Schedule'!$A$2:$Q$2902,Z$2,0)&lt;&gt;J446,"Beam Revised","")</f>
        <v>#N/A</v>
      </c>
      <c r="AA446" s="7" t="e">
        <f>IF(VLOOKUP($A446,'Concrete Beam Schedule'!$A$2:$Q$2902,AA$2,0)&lt;&gt;K446,"Beam Revised","")</f>
        <v>#N/A</v>
      </c>
      <c r="AB446" s="7" t="e">
        <f>IF(VLOOKUP($A446,'Concrete Beam Schedule'!$A$2:$Q$2902,AB$2,0)&lt;&gt;L446,"Beam Revised","")</f>
        <v>#N/A</v>
      </c>
      <c r="AC446" s="7" t="e">
        <f>IF(VLOOKUP($A446,'Concrete Beam Schedule'!$A$2:$Q$2902,AC$2,0)&lt;&gt;M446,"Beam Revised","")</f>
        <v>#N/A</v>
      </c>
      <c r="AD446" s="7" t="e">
        <f>IF(VLOOKUP($A446,'Concrete Beam Schedule'!$A$2:$Q$2902,AD$2,0)&lt;&gt;N446,"Beam Revised","")</f>
        <v>#N/A</v>
      </c>
      <c r="AE446" s="7" t="e">
        <f>IF(VLOOKUP($A446,'Concrete Beam Schedule'!$A$2:$Q$2902,AE$2,0)&lt;&gt;O446,"Beam Revised","")</f>
        <v>#N/A</v>
      </c>
    </row>
    <row r="447" spans="1:31" ht="25.5" customHeight="1" x14ac:dyDescent="0.25">
      <c r="A447" s="17"/>
      <c r="B447" s="17"/>
      <c r="C447" s="17"/>
      <c r="D447" s="17"/>
      <c r="E447" s="17"/>
      <c r="F447" s="17"/>
      <c r="G447" s="17"/>
      <c r="H447" s="17"/>
      <c r="I447" s="17"/>
      <c r="J447" s="17"/>
      <c r="K447" s="17"/>
      <c r="L447" s="17"/>
      <c r="M447" s="17"/>
      <c r="N447" s="17"/>
      <c r="O447" s="17"/>
      <c r="Q447" s="7">
        <f t="shared" si="6"/>
        <v>0</v>
      </c>
      <c r="R447" s="7" t="e">
        <f>IF(VLOOKUP($A447,'Concrete Beam Schedule'!$A$2:$Q$2902,R$2,0)&lt;&gt;B447,VLOOKUP($A447,'Concrete Beam Schedule'!$A$2:$Q$2902,R$2,0),"")</f>
        <v>#N/A</v>
      </c>
      <c r="S447" s="7" t="e">
        <f>IF(VLOOKUP($A447,'Concrete Beam Schedule'!$A$2:$Q$2902,S$2,0)&lt;&gt;C447,VLOOKUP($A447,'Concrete Beam Schedule'!$A$2:$Q$2902,S$2,0),"")</f>
        <v>#N/A</v>
      </c>
      <c r="T447" s="7" t="e">
        <f>IF(VLOOKUP($A447,'Concrete Beam Schedule'!$A$2:$Q$2902,T$2,0)&lt;&gt;D447,"Beam Revised","")</f>
        <v>#N/A</v>
      </c>
      <c r="U447" s="7" t="e">
        <f>IF(VLOOKUP($A447,'Concrete Beam Schedule'!$A$2:$Q$2902,U$2,0)&lt;&gt;E447,"Beam Revised","")</f>
        <v>#N/A</v>
      </c>
      <c r="V447" s="7" t="e">
        <f>IF(VLOOKUP($A447,'Concrete Beam Schedule'!$A$2:$Q$2902,V$2,0)&lt;&gt;F447,"Beam Revised","")</f>
        <v>#N/A</v>
      </c>
      <c r="W447" s="7" t="e">
        <f>IF(VLOOKUP($A447,'Concrete Beam Schedule'!$A$2:$Q$2902,W$2,0)&lt;&gt;G447,"Beam Revised","")</f>
        <v>#N/A</v>
      </c>
      <c r="X447" s="7" t="e">
        <f>IF(VLOOKUP($A447,'Concrete Beam Schedule'!$A$2:$Q$2902,X$2,0)&lt;&gt;H447,"Beam Revised","")</f>
        <v>#N/A</v>
      </c>
      <c r="Y447" s="7" t="e">
        <f>IF(VLOOKUP($A447,'Concrete Beam Schedule'!$A$2:$Q$2902,Y$2,0)&lt;&gt;I447,"Beam Revised","")</f>
        <v>#N/A</v>
      </c>
      <c r="Z447" s="7" t="e">
        <f>IF(VLOOKUP($A447,'Concrete Beam Schedule'!$A$2:$Q$2902,Z$2,0)&lt;&gt;J447,"Beam Revised","")</f>
        <v>#N/A</v>
      </c>
      <c r="AA447" s="7" t="e">
        <f>IF(VLOOKUP($A447,'Concrete Beam Schedule'!$A$2:$Q$2902,AA$2,0)&lt;&gt;K447,"Beam Revised","")</f>
        <v>#N/A</v>
      </c>
      <c r="AB447" s="7" t="e">
        <f>IF(VLOOKUP($A447,'Concrete Beam Schedule'!$A$2:$Q$2902,AB$2,0)&lt;&gt;L447,"Beam Revised","")</f>
        <v>#N/A</v>
      </c>
      <c r="AC447" s="7" t="e">
        <f>IF(VLOOKUP($A447,'Concrete Beam Schedule'!$A$2:$Q$2902,AC$2,0)&lt;&gt;M447,"Beam Revised","")</f>
        <v>#N/A</v>
      </c>
      <c r="AD447" s="7" t="e">
        <f>IF(VLOOKUP($A447,'Concrete Beam Schedule'!$A$2:$Q$2902,AD$2,0)&lt;&gt;N447,"Beam Revised","")</f>
        <v>#N/A</v>
      </c>
      <c r="AE447" s="7" t="e">
        <f>IF(VLOOKUP($A447,'Concrete Beam Schedule'!$A$2:$Q$2902,AE$2,0)&lt;&gt;O447,"Beam Revised","")</f>
        <v>#N/A</v>
      </c>
    </row>
    <row r="448" spans="1:31" ht="25.5" customHeight="1" x14ac:dyDescent="0.25">
      <c r="A448" s="17"/>
      <c r="B448" s="17"/>
      <c r="C448" s="17"/>
      <c r="D448" s="17"/>
      <c r="E448" s="17"/>
      <c r="F448" s="17"/>
      <c r="G448" s="17"/>
      <c r="H448" s="17"/>
      <c r="I448" s="17"/>
      <c r="J448" s="17"/>
      <c r="K448" s="17"/>
      <c r="L448" s="17"/>
      <c r="M448" s="17"/>
      <c r="N448" s="17"/>
      <c r="O448" s="17"/>
      <c r="Q448" s="7">
        <f t="shared" si="6"/>
        <v>0</v>
      </c>
      <c r="R448" s="7" t="e">
        <f>IF(VLOOKUP($A448,'Concrete Beam Schedule'!$A$2:$Q$2902,R$2,0)&lt;&gt;B448,VLOOKUP($A448,'Concrete Beam Schedule'!$A$2:$Q$2902,R$2,0),"")</f>
        <v>#N/A</v>
      </c>
      <c r="S448" s="7" t="e">
        <f>IF(VLOOKUP($A448,'Concrete Beam Schedule'!$A$2:$Q$2902,S$2,0)&lt;&gt;C448,VLOOKUP($A448,'Concrete Beam Schedule'!$A$2:$Q$2902,S$2,0),"")</f>
        <v>#N/A</v>
      </c>
      <c r="T448" s="7" t="e">
        <f>IF(VLOOKUP($A448,'Concrete Beam Schedule'!$A$2:$Q$2902,T$2,0)&lt;&gt;D448,"Beam Revised","")</f>
        <v>#N/A</v>
      </c>
      <c r="U448" s="7" t="e">
        <f>IF(VLOOKUP($A448,'Concrete Beam Schedule'!$A$2:$Q$2902,U$2,0)&lt;&gt;E448,"Beam Revised","")</f>
        <v>#N/A</v>
      </c>
      <c r="V448" s="7" t="e">
        <f>IF(VLOOKUP($A448,'Concrete Beam Schedule'!$A$2:$Q$2902,V$2,0)&lt;&gt;F448,"Beam Revised","")</f>
        <v>#N/A</v>
      </c>
      <c r="W448" s="7" t="e">
        <f>IF(VLOOKUP($A448,'Concrete Beam Schedule'!$A$2:$Q$2902,W$2,0)&lt;&gt;G448,"Beam Revised","")</f>
        <v>#N/A</v>
      </c>
      <c r="X448" s="7" t="e">
        <f>IF(VLOOKUP($A448,'Concrete Beam Schedule'!$A$2:$Q$2902,X$2,0)&lt;&gt;H448,"Beam Revised","")</f>
        <v>#N/A</v>
      </c>
      <c r="Y448" s="7" t="e">
        <f>IF(VLOOKUP($A448,'Concrete Beam Schedule'!$A$2:$Q$2902,Y$2,0)&lt;&gt;I448,"Beam Revised","")</f>
        <v>#N/A</v>
      </c>
      <c r="Z448" s="7" t="e">
        <f>IF(VLOOKUP($A448,'Concrete Beam Schedule'!$A$2:$Q$2902,Z$2,0)&lt;&gt;J448,"Beam Revised","")</f>
        <v>#N/A</v>
      </c>
      <c r="AA448" s="7" t="e">
        <f>IF(VLOOKUP($A448,'Concrete Beam Schedule'!$A$2:$Q$2902,AA$2,0)&lt;&gt;K448,"Beam Revised","")</f>
        <v>#N/A</v>
      </c>
      <c r="AB448" s="7" t="e">
        <f>IF(VLOOKUP($A448,'Concrete Beam Schedule'!$A$2:$Q$2902,AB$2,0)&lt;&gt;L448,"Beam Revised","")</f>
        <v>#N/A</v>
      </c>
      <c r="AC448" s="7" t="e">
        <f>IF(VLOOKUP($A448,'Concrete Beam Schedule'!$A$2:$Q$2902,AC$2,0)&lt;&gt;M448,"Beam Revised","")</f>
        <v>#N/A</v>
      </c>
      <c r="AD448" s="7" t="e">
        <f>IF(VLOOKUP($A448,'Concrete Beam Schedule'!$A$2:$Q$2902,AD$2,0)&lt;&gt;N448,"Beam Revised","")</f>
        <v>#N/A</v>
      </c>
      <c r="AE448" s="7" t="e">
        <f>IF(VLOOKUP($A448,'Concrete Beam Schedule'!$A$2:$Q$2902,AE$2,0)&lt;&gt;O448,"Beam Revised","")</f>
        <v>#N/A</v>
      </c>
    </row>
    <row r="449" spans="1:31" ht="25.5" customHeight="1" x14ac:dyDescent="0.25">
      <c r="A449" s="17"/>
      <c r="B449" s="17"/>
      <c r="C449" s="17"/>
      <c r="D449" s="17"/>
      <c r="E449" s="17"/>
      <c r="F449" s="17"/>
      <c r="G449" s="17"/>
      <c r="H449" s="17"/>
      <c r="I449" s="17"/>
      <c r="J449" s="17"/>
      <c r="K449" s="17"/>
      <c r="L449" s="17"/>
      <c r="M449" s="17"/>
      <c r="N449" s="17"/>
      <c r="O449" s="17"/>
      <c r="Q449" s="7">
        <f t="shared" si="6"/>
        <v>0</v>
      </c>
      <c r="R449" s="7" t="e">
        <f>IF(VLOOKUP($A449,'Concrete Beam Schedule'!$A$2:$Q$2902,R$2,0)&lt;&gt;B449,VLOOKUP($A449,'Concrete Beam Schedule'!$A$2:$Q$2902,R$2,0),"")</f>
        <v>#N/A</v>
      </c>
      <c r="S449" s="7" t="e">
        <f>IF(VLOOKUP($A449,'Concrete Beam Schedule'!$A$2:$Q$2902,S$2,0)&lt;&gt;C449,VLOOKUP($A449,'Concrete Beam Schedule'!$A$2:$Q$2902,S$2,0),"")</f>
        <v>#N/A</v>
      </c>
      <c r="T449" s="7" t="e">
        <f>IF(VLOOKUP($A449,'Concrete Beam Schedule'!$A$2:$Q$2902,T$2,0)&lt;&gt;D449,"Beam Revised","")</f>
        <v>#N/A</v>
      </c>
      <c r="U449" s="7" t="e">
        <f>IF(VLOOKUP($A449,'Concrete Beam Schedule'!$A$2:$Q$2902,U$2,0)&lt;&gt;E449,"Beam Revised","")</f>
        <v>#N/A</v>
      </c>
      <c r="V449" s="7" t="e">
        <f>IF(VLOOKUP($A449,'Concrete Beam Schedule'!$A$2:$Q$2902,V$2,0)&lt;&gt;F449,"Beam Revised","")</f>
        <v>#N/A</v>
      </c>
      <c r="W449" s="7" t="e">
        <f>IF(VLOOKUP($A449,'Concrete Beam Schedule'!$A$2:$Q$2902,W$2,0)&lt;&gt;G449,"Beam Revised","")</f>
        <v>#N/A</v>
      </c>
      <c r="X449" s="7" t="e">
        <f>IF(VLOOKUP($A449,'Concrete Beam Schedule'!$A$2:$Q$2902,X$2,0)&lt;&gt;H449,"Beam Revised","")</f>
        <v>#N/A</v>
      </c>
      <c r="Y449" s="7" t="e">
        <f>IF(VLOOKUP($A449,'Concrete Beam Schedule'!$A$2:$Q$2902,Y$2,0)&lt;&gt;I449,"Beam Revised","")</f>
        <v>#N/A</v>
      </c>
      <c r="Z449" s="7" t="e">
        <f>IF(VLOOKUP($A449,'Concrete Beam Schedule'!$A$2:$Q$2902,Z$2,0)&lt;&gt;J449,"Beam Revised","")</f>
        <v>#N/A</v>
      </c>
      <c r="AA449" s="7" t="e">
        <f>IF(VLOOKUP($A449,'Concrete Beam Schedule'!$A$2:$Q$2902,AA$2,0)&lt;&gt;K449,"Beam Revised","")</f>
        <v>#N/A</v>
      </c>
      <c r="AB449" s="7" t="e">
        <f>IF(VLOOKUP($A449,'Concrete Beam Schedule'!$A$2:$Q$2902,AB$2,0)&lt;&gt;L449,"Beam Revised","")</f>
        <v>#N/A</v>
      </c>
      <c r="AC449" s="7" t="e">
        <f>IF(VLOOKUP($A449,'Concrete Beam Schedule'!$A$2:$Q$2902,AC$2,0)&lt;&gt;M449,"Beam Revised","")</f>
        <v>#N/A</v>
      </c>
      <c r="AD449" s="7" t="e">
        <f>IF(VLOOKUP($A449,'Concrete Beam Schedule'!$A$2:$Q$2902,AD$2,0)&lt;&gt;N449,"Beam Revised","")</f>
        <v>#N/A</v>
      </c>
      <c r="AE449" s="7" t="e">
        <f>IF(VLOOKUP($A449,'Concrete Beam Schedule'!$A$2:$Q$2902,AE$2,0)&lt;&gt;O449,"Beam Revised","")</f>
        <v>#N/A</v>
      </c>
    </row>
    <row r="450" spans="1:31" ht="25.5" customHeight="1" x14ac:dyDescent="0.25">
      <c r="A450" s="17"/>
      <c r="B450" s="17"/>
      <c r="C450" s="17"/>
      <c r="D450" s="17"/>
      <c r="E450" s="17"/>
      <c r="F450" s="17"/>
      <c r="G450" s="17"/>
      <c r="H450" s="17"/>
      <c r="I450" s="17"/>
      <c r="J450" s="17"/>
      <c r="K450" s="17"/>
      <c r="L450" s="17"/>
      <c r="M450" s="17"/>
      <c r="N450" s="17"/>
      <c r="O450" s="17"/>
      <c r="Q450" s="7">
        <f t="shared" si="6"/>
        <v>0</v>
      </c>
      <c r="R450" s="7" t="e">
        <f>IF(VLOOKUP($A450,'Concrete Beam Schedule'!$A$2:$Q$2902,R$2,0)&lt;&gt;B450,VLOOKUP($A450,'Concrete Beam Schedule'!$A$2:$Q$2902,R$2,0),"")</f>
        <v>#N/A</v>
      </c>
      <c r="S450" s="7" t="e">
        <f>IF(VLOOKUP($A450,'Concrete Beam Schedule'!$A$2:$Q$2902,S$2,0)&lt;&gt;C450,VLOOKUP($A450,'Concrete Beam Schedule'!$A$2:$Q$2902,S$2,0),"")</f>
        <v>#N/A</v>
      </c>
      <c r="T450" s="7" t="e">
        <f>IF(VLOOKUP($A450,'Concrete Beam Schedule'!$A$2:$Q$2902,T$2,0)&lt;&gt;D450,"Beam Revised","")</f>
        <v>#N/A</v>
      </c>
      <c r="U450" s="7" t="e">
        <f>IF(VLOOKUP($A450,'Concrete Beam Schedule'!$A$2:$Q$2902,U$2,0)&lt;&gt;E450,"Beam Revised","")</f>
        <v>#N/A</v>
      </c>
      <c r="V450" s="7" t="e">
        <f>IF(VLOOKUP($A450,'Concrete Beam Schedule'!$A$2:$Q$2902,V$2,0)&lt;&gt;F450,"Beam Revised","")</f>
        <v>#N/A</v>
      </c>
      <c r="W450" s="7" t="e">
        <f>IF(VLOOKUP($A450,'Concrete Beam Schedule'!$A$2:$Q$2902,W$2,0)&lt;&gt;G450,"Beam Revised","")</f>
        <v>#N/A</v>
      </c>
      <c r="X450" s="7" t="e">
        <f>IF(VLOOKUP($A450,'Concrete Beam Schedule'!$A$2:$Q$2902,X$2,0)&lt;&gt;H450,"Beam Revised","")</f>
        <v>#N/A</v>
      </c>
      <c r="Y450" s="7" t="e">
        <f>IF(VLOOKUP($A450,'Concrete Beam Schedule'!$A$2:$Q$2902,Y$2,0)&lt;&gt;I450,"Beam Revised","")</f>
        <v>#N/A</v>
      </c>
      <c r="Z450" s="7" t="e">
        <f>IF(VLOOKUP($A450,'Concrete Beam Schedule'!$A$2:$Q$2902,Z$2,0)&lt;&gt;J450,"Beam Revised","")</f>
        <v>#N/A</v>
      </c>
      <c r="AA450" s="7" t="e">
        <f>IF(VLOOKUP($A450,'Concrete Beam Schedule'!$A$2:$Q$2902,AA$2,0)&lt;&gt;K450,"Beam Revised","")</f>
        <v>#N/A</v>
      </c>
      <c r="AB450" s="7" t="e">
        <f>IF(VLOOKUP($A450,'Concrete Beam Schedule'!$A$2:$Q$2902,AB$2,0)&lt;&gt;L450,"Beam Revised","")</f>
        <v>#N/A</v>
      </c>
      <c r="AC450" s="7" t="e">
        <f>IF(VLOOKUP($A450,'Concrete Beam Schedule'!$A$2:$Q$2902,AC$2,0)&lt;&gt;M450,"Beam Revised","")</f>
        <v>#N/A</v>
      </c>
      <c r="AD450" s="7" t="e">
        <f>IF(VLOOKUP($A450,'Concrete Beam Schedule'!$A$2:$Q$2902,AD$2,0)&lt;&gt;N450,"Beam Revised","")</f>
        <v>#N/A</v>
      </c>
      <c r="AE450" s="7" t="e">
        <f>IF(VLOOKUP($A450,'Concrete Beam Schedule'!$A$2:$Q$2902,AE$2,0)&lt;&gt;O450,"Beam Revised","")</f>
        <v>#N/A</v>
      </c>
    </row>
    <row r="451" spans="1:31" ht="25.5" customHeight="1" x14ac:dyDescent="0.25">
      <c r="A451" s="17"/>
      <c r="B451" s="17"/>
      <c r="C451" s="17"/>
      <c r="D451" s="17"/>
      <c r="E451" s="17"/>
      <c r="F451" s="17"/>
      <c r="G451" s="17"/>
      <c r="H451" s="17"/>
      <c r="I451" s="17"/>
      <c r="J451" s="17"/>
      <c r="K451" s="17"/>
      <c r="L451" s="17"/>
      <c r="M451" s="17"/>
      <c r="N451" s="17"/>
      <c r="O451" s="17"/>
      <c r="Q451" s="7">
        <f t="shared" si="6"/>
        <v>0</v>
      </c>
      <c r="R451" s="7" t="e">
        <f>IF(VLOOKUP($A451,'Concrete Beam Schedule'!$A$2:$Q$2902,R$2,0)&lt;&gt;B451,VLOOKUP($A451,'Concrete Beam Schedule'!$A$2:$Q$2902,R$2,0),"")</f>
        <v>#N/A</v>
      </c>
      <c r="S451" s="7" t="e">
        <f>IF(VLOOKUP($A451,'Concrete Beam Schedule'!$A$2:$Q$2902,S$2,0)&lt;&gt;C451,VLOOKUP($A451,'Concrete Beam Schedule'!$A$2:$Q$2902,S$2,0),"")</f>
        <v>#N/A</v>
      </c>
      <c r="T451" s="7" t="e">
        <f>IF(VLOOKUP($A451,'Concrete Beam Schedule'!$A$2:$Q$2902,T$2,0)&lt;&gt;D451,"Beam Revised","")</f>
        <v>#N/A</v>
      </c>
      <c r="U451" s="7" t="e">
        <f>IF(VLOOKUP($A451,'Concrete Beam Schedule'!$A$2:$Q$2902,U$2,0)&lt;&gt;E451,"Beam Revised","")</f>
        <v>#N/A</v>
      </c>
      <c r="V451" s="7" t="e">
        <f>IF(VLOOKUP($A451,'Concrete Beam Schedule'!$A$2:$Q$2902,V$2,0)&lt;&gt;F451,"Beam Revised","")</f>
        <v>#N/A</v>
      </c>
      <c r="W451" s="7" t="e">
        <f>IF(VLOOKUP($A451,'Concrete Beam Schedule'!$A$2:$Q$2902,W$2,0)&lt;&gt;G451,"Beam Revised","")</f>
        <v>#N/A</v>
      </c>
      <c r="X451" s="7" t="e">
        <f>IF(VLOOKUP($A451,'Concrete Beam Schedule'!$A$2:$Q$2902,X$2,0)&lt;&gt;H451,"Beam Revised","")</f>
        <v>#N/A</v>
      </c>
      <c r="Y451" s="7" t="e">
        <f>IF(VLOOKUP($A451,'Concrete Beam Schedule'!$A$2:$Q$2902,Y$2,0)&lt;&gt;I451,"Beam Revised","")</f>
        <v>#N/A</v>
      </c>
      <c r="Z451" s="7" t="e">
        <f>IF(VLOOKUP($A451,'Concrete Beam Schedule'!$A$2:$Q$2902,Z$2,0)&lt;&gt;J451,"Beam Revised","")</f>
        <v>#N/A</v>
      </c>
      <c r="AA451" s="7" t="e">
        <f>IF(VLOOKUP($A451,'Concrete Beam Schedule'!$A$2:$Q$2902,AA$2,0)&lt;&gt;K451,"Beam Revised","")</f>
        <v>#N/A</v>
      </c>
      <c r="AB451" s="7" t="e">
        <f>IF(VLOOKUP($A451,'Concrete Beam Schedule'!$A$2:$Q$2902,AB$2,0)&lt;&gt;L451,"Beam Revised","")</f>
        <v>#N/A</v>
      </c>
      <c r="AC451" s="7" t="e">
        <f>IF(VLOOKUP($A451,'Concrete Beam Schedule'!$A$2:$Q$2902,AC$2,0)&lt;&gt;M451,"Beam Revised","")</f>
        <v>#N/A</v>
      </c>
      <c r="AD451" s="7" t="e">
        <f>IF(VLOOKUP($A451,'Concrete Beam Schedule'!$A$2:$Q$2902,AD$2,0)&lt;&gt;N451,"Beam Revised","")</f>
        <v>#N/A</v>
      </c>
      <c r="AE451" s="7" t="e">
        <f>IF(VLOOKUP($A451,'Concrete Beam Schedule'!$A$2:$Q$2902,AE$2,0)&lt;&gt;O451,"Beam Revised","")</f>
        <v>#N/A</v>
      </c>
    </row>
    <row r="452" spans="1:31" ht="25.5" customHeight="1" x14ac:dyDescent="0.25">
      <c r="A452" s="17"/>
      <c r="B452" s="17"/>
      <c r="C452" s="17"/>
      <c r="D452" s="17"/>
      <c r="E452" s="17"/>
      <c r="F452" s="17"/>
      <c r="G452" s="17"/>
      <c r="H452" s="17"/>
      <c r="I452" s="17"/>
      <c r="J452" s="17"/>
      <c r="K452" s="17"/>
      <c r="L452" s="17"/>
      <c r="M452" s="17"/>
      <c r="N452" s="17"/>
      <c r="O452" s="17"/>
      <c r="Q452" s="7">
        <f t="shared" ref="Q452:Q515" si="7">A452</f>
        <v>0</v>
      </c>
      <c r="R452" s="7" t="e">
        <f>IF(VLOOKUP($A452,'Concrete Beam Schedule'!$A$2:$Q$2902,R$2,0)&lt;&gt;B452,VLOOKUP($A452,'Concrete Beam Schedule'!$A$2:$Q$2902,R$2,0),"")</f>
        <v>#N/A</v>
      </c>
      <c r="S452" s="7" t="e">
        <f>IF(VLOOKUP($A452,'Concrete Beam Schedule'!$A$2:$Q$2902,S$2,0)&lt;&gt;C452,VLOOKUP($A452,'Concrete Beam Schedule'!$A$2:$Q$2902,S$2,0),"")</f>
        <v>#N/A</v>
      </c>
      <c r="T452" s="7" t="e">
        <f>IF(VLOOKUP($A452,'Concrete Beam Schedule'!$A$2:$Q$2902,T$2,0)&lt;&gt;D452,"Beam Revised","")</f>
        <v>#N/A</v>
      </c>
      <c r="U452" s="7" t="e">
        <f>IF(VLOOKUP($A452,'Concrete Beam Schedule'!$A$2:$Q$2902,U$2,0)&lt;&gt;E452,"Beam Revised","")</f>
        <v>#N/A</v>
      </c>
      <c r="V452" s="7" t="e">
        <f>IF(VLOOKUP($A452,'Concrete Beam Schedule'!$A$2:$Q$2902,V$2,0)&lt;&gt;F452,"Beam Revised","")</f>
        <v>#N/A</v>
      </c>
      <c r="W452" s="7" t="e">
        <f>IF(VLOOKUP($A452,'Concrete Beam Schedule'!$A$2:$Q$2902,W$2,0)&lt;&gt;G452,"Beam Revised","")</f>
        <v>#N/A</v>
      </c>
      <c r="X452" s="7" t="e">
        <f>IF(VLOOKUP($A452,'Concrete Beam Schedule'!$A$2:$Q$2902,X$2,0)&lt;&gt;H452,"Beam Revised","")</f>
        <v>#N/A</v>
      </c>
      <c r="Y452" s="7" t="e">
        <f>IF(VLOOKUP($A452,'Concrete Beam Schedule'!$A$2:$Q$2902,Y$2,0)&lt;&gt;I452,"Beam Revised","")</f>
        <v>#N/A</v>
      </c>
      <c r="Z452" s="7" t="e">
        <f>IF(VLOOKUP($A452,'Concrete Beam Schedule'!$A$2:$Q$2902,Z$2,0)&lt;&gt;J452,"Beam Revised","")</f>
        <v>#N/A</v>
      </c>
      <c r="AA452" s="7" t="e">
        <f>IF(VLOOKUP($A452,'Concrete Beam Schedule'!$A$2:$Q$2902,AA$2,0)&lt;&gt;K452,"Beam Revised","")</f>
        <v>#N/A</v>
      </c>
      <c r="AB452" s="7" t="e">
        <f>IF(VLOOKUP($A452,'Concrete Beam Schedule'!$A$2:$Q$2902,AB$2,0)&lt;&gt;L452,"Beam Revised","")</f>
        <v>#N/A</v>
      </c>
      <c r="AC452" s="7" t="e">
        <f>IF(VLOOKUP($A452,'Concrete Beam Schedule'!$A$2:$Q$2902,AC$2,0)&lt;&gt;M452,"Beam Revised","")</f>
        <v>#N/A</v>
      </c>
      <c r="AD452" s="7" t="e">
        <f>IF(VLOOKUP($A452,'Concrete Beam Schedule'!$A$2:$Q$2902,AD$2,0)&lt;&gt;N452,"Beam Revised","")</f>
        <v>#N/A</v>
      </c>
      <c r="AE452" s="7" t="e">
        <f>IF(VLOOKUP($A452,'Concrete Beam Schedule'!$A$2:$Q$2902,AE$2,0)&lt;&gt;O452,"Beam Revised","")</f>
        <v>#N/A</v>
      </c>
    </row>
    <row r="453" spans="1:31" ht="25.5" customHeight="1" x14ac:dyDescent="0.25">
      <c r="A453" s="17"/>
      <c r="B453" s="17"/>
      <c r="C453" s="17"/>
      <c r="D453" s="17"/>
      <c r="E453" s="17"/>
      <c r="F453" s="17"/>
      <c r="G453" s="17"/>
      <c r="H453" s="17"/>
      <c r="I453" s="17"/>
      <c r="J453" s="17"/>
      <c r="K453" s="17"/>
      <c r="L453" s="17"/>
      <c r="M453" s="17"/>
      <c r="N453" s="17"/>
      <c r="O453" s="17"/>
      <c r="Q453" s="7">
        <f t="shared" si="7"/>
        <v>0</v>
      </c>
      <c r="R453" s="7" t="e">
        <f>IF(VLOOKUP($A453,'Concrete Beam Schedule'!$A$2:$Q$2902,R$2,0)&lt;&gt;B453,VLOOKUP($A453,'Concrete Beam Schedule'!$A$2:$Q$2902,R$2,0),"")</f>
        <v>#N/A</v>
      </c>
      <c r="S453" s="7" t="e">
        <f>IF(VLOOKUP($A453,'Concrete Beam Schedule'!$A$2:$Q$2902,S$2,0)&lt;&gt;C453,VLOOKUP($A453,'Concrete Beam Schedule'!$A$2:$Q$2902,S$2,0),"")</f>
        <v>#N/A</v>
      </c>
      <c r="T453" s="7" t="e">
        <f>IF(VLOOKUP($A453,'Concrete Beam Schedule'!$A$2:$Q$2902,T$2,0)&lt;&gt;D453,"Beam Revised","")</f>
        <v>#N/A</v>
      </c>
      <c r="U453" s="7" t="e">
        <f>IF(VLOOKUP($A453,'Concrete Beam Schedule'!$A$2:$Q$2902,U$2,0)&lt;&gt;E453,"Beam Revised","")</f>
        <v>#N/A</v>
      </c>
      <c r="V453" s="7" t="e">
        <f>IF(VLOOKUP($A453,'Concrete Beam Schedule'!$A$2:$Q$2902,V$2,0)&lt;&gt;F453,"Beam Revised","")</f>
        <v>#N/A</v>
      </c>
      <c r="W453" s="7" t="e">
        <f>IF(VLOOKUP($A453,'Concrete Beam Schedule'!$A$2:$Q$2902,W$2,0)&lt;&gt;G453,"Beam Revised","")</f>
        <v>#N/A</v>
      </c>
      <c r="X453" s="7" t="e">
        <f>IF(VLOOKUP($A453,'Concrete Beam Schedule'!$A$2:$Q$2902,X$2,0)&lt;&gt;H453,"Beam Revised","")</f>
        <v>#N/A</v>
      </c>
      <c r="Y453" s="7" t="e">
        <f>IF(VLOOKUP($A453,'Concrete Beam Schedule'!$A$2:$Q$2902,Y$2,0)&lt;&gt;I453,"Beam Revised","")</f>
        <v>#N/A</v>
      </c>
      <c r="Z453" s="7" t="e">
        <f>IF(VLOOKUP($A453,'Concrete Beam Schedule'!$A$2:$Q$2902,Z$2,0)&lt;&gt;J453,"Beam Revised","")</f>
        <v>#N/A</v>
      </c>
      <c r="AA453" s="7" t="e">
        <f>IF(VLOOKUP($A453,'Concrete Beam Schedule'!$A$2:$Q$2902,AA$2,0)&lt;&gt;K453,"Beam Revised","")</f>
        <v>#N/A</v>
      </c>
      <c r="AB453" s="7" t="e">
        <f>IF(VLOOKUP($A453,'Concrete Beam Schedule'!$A$2:$Q$2902,AB$2,0)&lt;&gt;L453,"Beam Revised","")</f>
        <v>#N/A</v>
      </c>
      <c r="AC453" s="7" t="e">
        <f>IF(VLOOKUP($A453,'Concrete Beam Schedule'!$A$2:$Q$2902,AC$2,0)&lt;&gt;M453,"Beam Revised","")</f>
        <v>#N/A</v>
      </c>
      <c r="AD453" s="7" t="e">
        <f>IF(VLOOKUP($A453,'Concrete Beam Schedule'!$A$2:$Q$2902,AD$2,0)&lt;&gt;N453,"Beam Revised","")</f>
        <v>#N/A</v>
      </c>
      <c r="AE453" s="7" t="e">
        <f>IF(VLOOKUP($A453,'Concrete Beam Schedule'!$A$2:$Q$2902,AE$2,0)&lt;&gt;O453,"Beam Revised","")</f>
        <v>#N/A</v>
      </c>
    </row>
    <row r="454" spans="1:31" ht="25.5" customHeight="1" x14ac:dyDescent="0.25">
      <c r="A454" s="17"/>
      <c r="B454" s="17"/>
      <c r="C454" s="17"/>
      <c r="D454" s="17"/>
      <c r="E454" s="17"/>
      <c r="F454" s="17"/>
      <c r="G454" s="17"/>
      <c r="H454" s="17"/>
      <c r="I454" s="17"/>
      <c r="J454" s="17"/>
      <c r="K454" s="17"/>
      <c r="L454" s="17"/>
      <c r="M454" s="17"/>
      <c r="N454" s="17"/>
      <c r="O454" s="17"/>
      <c r="Q454" s="7">
        <f t="shared" si="7"/>
        <v>0</v>
      </c>
      <c r="R454" s="7" t="e">
        <f>IF(VLOOKUP($A454,'Concrete Beam Schedule'!$A$2:$Q$2902,R$2,0)&lt;&gt;B454,VLOOKUP($A454,'Concrete Beam Schedule'!$A$2:$Q$2902,R$2,0),"")</f>
        <v>#N/A</v>
      </c>
      <c r="S454" s="7" t="e">
        <f>IF(VLOOKUP($A454,'Concrete Beam Schedule'!$A$2:$Q$2902,S$2,0)&lt;&gt;C454,VLOOKUP($A454,'Concrete Beam Schedule'!$A$2:$Q$2902,S$2,0),"")</f>
        <v>#N/A</v>
      </c>
      <c r="T454" s="7" t="e">
        <f>IF(VLOOKUP($A454,'Concrete Beam Schedule'!$A$2:$Q$2902,T$2,0)&lt;&gt;D454,"Beam Revised","")</f>
        <v>#N/A</v>
      </c>
      <c r="U454" s="7" t="e">
        <f>IF(VLOOKUP($A454,'Concrete Beam Schedule'!$A$2:$Q$2902,U$2,0)&lt;&gt;E454,"Beam Revised","")</f>
        <v>#N/A</v>
      </c>
      <c r="V454" s="7" t="e">
        <f>IF(VLOOKUP($A454,'Concrete Beam Schedule'!$A$2:$Q$2902,V$2,0)&lt;&gt;F454,"Beam Revised","")</f>
        <v>#N/A</v>
      </c>
      <c r="W454" s="7" t="e">
        <f>IF(VLOOKUP($A454,'Concrete Beam Schedule'!$A$2:$Q$2902,W$2,0)&lt;&gt;G454,"Beam Revised","")</f>
        <v>#N/A</v>
      </c>
      <c r="X454" s="7" t="e">
        <f>IF(VLOOKUP($A454,'Concrete Beam Schedule'!$A$2:$Q$2902,X$2,0)&lt;&gt;H454,"Beam Revised","")</f>
        <v>#N/A</v>
      </c>
      <c r="Y454" s="7" t="e">
        <f>IF(VLOOKUP($A454,'Concrete Beam Schedule'!$A$2:$Q$2902,Y$2,0)&lt;&gt;I454,"Beam Revised","")</f>
        <v>#N/A</v>
      </c>
      <c r="Z454" s="7" t="e">
        <f>IF(VLOOKUP($A454,'Concrete Beam Schedule'!$A$2:$Q$2902,Z$2,0)&lt;&gt;J454,"Beam Revised","")</f>
        <v>#N/A</v>
      </c>
      <c r="AA454" s="7" t="e">
        <f>IF(VLOOKUP($A454,'Concrete Beam Schedule'!$A$2:$Q$2902,AA$2,0)&lt;&gt;K454,"Beam Revised","")</f>
        <v>#N/A</v>
      </c>
      <c r="AB454" s="7" t="e">
        <f>IF(VLOOKUP($A454,'Concrete Beam Schedule'!$A$2:$Q$2902,AB$2,0)&lt;&gt;L454,"Beam Revised","")</f>
        <v>#N/A</v>
      </c>
      <c r="AC454" s="7" t="e">
        <f>IF(VLOOKUP($A454,'Concrete Beam Schedule'!$A$2:$Q$2902,AC$2,0)&lt;&gt;M454,"Beam Revised","")</f>
        <v>#N/A</v>
      </c>
      <c r="AD454" s="7" t="e">
        <f>IF(VLOOKUP($A454,'Concrete Beam Schedule'!$A$2:$Q$2902,AD$2,0)&lt;&gt;N454,"Beam Revised","")</f>
        <v>#N/A</v>
      </c>
      <c r="AE454" s="7" t="e">
        <f>IF(VLOOKUP($A454,'Concrete Beam Schedule'!$A$2:$Q$2902,AE$2,0)&lt;&gt;O454,"Beam Revised","")</f>
        <v>#N/A</v>
      </c>
    </row>
    <row r="455" spans="1:31" ht="25.5" customHeight="1" x14ac:dyDescent="0.25">
      <c r="A455" s="17"/>
      <c r="B455" s="17"/>
      <c r="C455" s="17"/>
      <c r="D455" s="17"/>
      <c r="E455" s="17"/>
      <c r="F455" s="17"/>
      <c r="G455" s="17"/>
      <c r="H455" s="17"/>
      <c r="I455" s="17"/>
      <c r="J455" s="17"/>
      <c r="K455" s="17"/>
      <c r="L455" s="17"/>
      <c r="M455" s="17"/>
      <c r="N455" s="17"/>
      <c r="O455" s="17"/>
      <c r="Q455" s="7">
        <f t="shared" si="7"/>
        <v>0</v>
      </c>
      <c r="R455" s="7" t="e">
        <f>IF(VLOOKUP($A455,'Concrete Beam Schedule'!$A$2:$Q$2902,R$2,0)&lt;&gt;B455,VLOOKUP($A455,'Concrete Beam Schedule'!$A$2:$Q$2902,R$2,0),"")</f>
        <v>#N/A</v>
      </c>
      <c r="S455" s="7" t="e">
        <f>IF(VLOOKUP($A455,'Concrete Beam Schedule'!$A$2:$Q$2902,S$2,0)&lt;&gt;C455,VLOOKUP($A455,'Concrete Beam Schedule'!$A$2:$Q$2902,S$2,0),"")</f>
        <v>#N/A</v>
      </c>
      <c r="T455" s="7" t="e">
        <f>IF(VLOOKUP($A455,'Concrete Beam Schedule'!$A$2:$Q$2902,T$2,0)&lt;&gt;D455,"Beam Revised","")</f>
        <v>#N/A</v>
      </c>
      <c r="U455" s="7" t="e">
        <f>IF(VLOOKUP($A455,'Concrete Beam Schedule'!$A$2:$Q$2902,U$2,0)&lt;&gt;E455,"Beam Revised","")</f>
        <v>#N/A</v>
      </c>
      <c r="V455" s="7" t="e">
        <f>IF(VLOOKUP($A455,'Concrete Beam Schedule'!$A$2:$Q$2902,V$2,0)&lt;&gt;F455,"Beam Revised","")</f>
        <v>#N/A</v>
      </c>
      <c r="W455" s="7" t="e">
        <f>IF(VLOOKUP($A455,'Concrete Beam Schedule'!$A$2:$Q$2902,W$2,0)&lt;&gt;G455,"Beam Revised","")</f>
        <v>#N/A</v>
      </c>
      <c r="X455" s="7" t="e">
        <f>IF(VLOOKUP($A455,'Concrete Beam Schedule'!$A$2:$Q$2902,X$2,0)&lt;&gt;H455,"Beam Revised","")</f>
        <v>#N/A</v>
      </c>
      <c r="Y455" s="7" t="e">
        <f>IF(VLOOKUP($A455,'Concrete Beam Schedule'!$A$2:$Q$2902,Y$2,0)&lt;&gt;I455,"Beam Revised","")</f>
        <v>#N/A</v>
      </c>
      <c r="Z455" s="7" t="e">
        <f>IF(VLOOKUP($A455,'Concrete Beam Schedule'!$A$2:$Q$2902,Z$2,0)&lt;&gt;J455,"Beam Revised","")</f>
        <v>#N/A</v>
      </c>
      <c r="AA455" s="7" t="e">
        <f>IF(VLOOKUP($A455,'Concrete Beam Schedule'!$A$2:$Q$2902,AA$2,0)&lt;&gt;K455,"Beam Revised","")</f>
        <v>#N/A</v>
      </c>
      <c r="AB455" s="7" t="e">
        <f>IF(VLOOKUP($A455,'Concrete Beam Schedule'!$A$2:$Q$2902,AB$2,0)&lt;&gt;L455,"Beam Revised","")</f>
        <v>#N/A</v>
      </c>
      <c r="AC455" s="7" t="e">
        <f>IF(VLOOKUP($A455,'Concrete Beam Schedule'!$A$2:$Q$2902,AC$2,0)&lt;&gt;M455,"Beam Revised","")</f>
        <v>#N/A</v>
      </c>
      <c r="AD455" s="7" t="e">
        <f>IF(VLOOKUP($A455,'Concrete Beam Schedule'!$A$2:$Q$2902,AD$2,0)&lt;&gt;N455,"Beam Revised","")</f>
        <v>#N/A</v>
      </c>
      <c r="AE455" s="7" t="e">
        <f>IF(VLOOKUP($A455,'Concrete Beam Schedule'!$A$2:$Q$2902,AE$2,0)&lt;&gt;O455,"Beam Revised","")</f>
        <v>#N/A</v>
      </c>
    </row>
    <row r="456" spans="1:31" ht="25.5" customHeight="1" x14ac:dyDescent="0.25">
      <c r="A456" s="17"/>
      <c r="B456" s="17"/>
      <c r="C456" s="17"/>
      <c r="D456" s="17"/>
      <c r="E456" s="17"/>
      <c r="F456" s="17"/>
      <c r="G456" s="17"/>
      <c r="H456" s="17"/>
      <c r="I456" s="17"/>
      <c r="J456" s="17"/>
      <c r="K456" s="17"/>
      <c r="L456" s="17"/>
      <c r="M456" s="17"/>
      <c r="N456" s="17"/>
      <c r="O456" s="17"/>
      <c r="Q456" s="7">
        <f t="shared" si="7"/>
        <v>0</v>
      </c>
      <c r="R456" s="7" t="e">
        <f>IF(VLOOKUP($A456,'Concrete Beam Schedule'!$A$2:$Q$2902,R$2,0)&lt;&gt;B456,VLOOKUP($A456,'Concrete Beam Schedule'!$A$2:$Q$2902,R$2,0),"")</f>
        <v>#N/A</v>
      </c>
      <c r="S456" s="7" t="e">
        <f>IF(VLOOKUP($A456,'Concrete Beam Schedule'!$A$2:$Q$2902,S$2,0)&lt;&gt;C456,VLOOKUP($A456,'Concrete Beam Schedule'!$A$2:$Q$2902,S$2,0),"")</f>
        <v>#N/A</v>
      </c>
      <c r="T456" s="7" t="e">
        <f>IF(VLOOKUP($A456,'Concrete Beam Schedule'!$A$2:$Q$2902,T$2,0)&lt;&gt;D456,"Beam Revised","")</f>
        <v>#N/A</v>
      </c>
      <c r="U456" s="7" t="e">
        <f>IF(VLOOKUP($A456,'Concrete Beam Schedule'!$A$2:$Q$2902,U$2,0)&lt;&gt;E456,"Beam Revised","")</f>
        <v>#N/A</v>
      </c>
      <c r="V456" s="7" t="e">
        <f>IF(VLOOKUP($A456,'Concrete Beam Schedule'!$A$2:$Q$2902,V$2,0)&lt;&gt;F456,"Beam Revised","")</f>
        <v>#N/A</v>
      </c>
      <c r="W456" s="7" t="e">
        <f>IF(VLOOKUP($A456,'Concrete Beam Schedule'!$A$2:$Q$2902,W$2,0)&lt;&gt;G456,"Beam Revised","")</f>
        <v>#N/A</v>
      </c>
      <c r="X456" s="7" t="e">
        <f>IF(VLOOKUP($A456,'Concrete Beam Schedule'!$A$2:$Q$2902,X$2,0)&lt;&gt;H456,"Beam Revised","")</f>
        <v>#N/A</v>
      </c>
      <c r="Y456" s="7" t="e">
        <f>IF(VLOOKUP($A456,'Concrete Beam Schedule'!$A$2:$Q$2902,Y$2,0)&lt;&gt;I456,"Beam Revised","")</f>
        <v>#N/A</v>
      </c>
      <c r="Z456" s="7" t="e">
        <f>IF(VLOOKUP($A456,'Concrete Beam Schedule'!$A$2:$Q$2902,Z$2,0)&lt;&gt;J456,"Beam Revised","")</f>
        <v>#N/A</v>
      </c>
      <c r="AA456" s="7" t="e">
        <f>IF(VLOOKUP($A456,'Concrete Beam Schedule'!$A$2:$Q$2902,AA$2,0)&lt;&gt;K456,"Beam Revised","")</f>
        <v>#N/A</v>
      </c>
      <c r="AB456" s="7" t="e">
        <f>IF(VLOOKUP($A456,'Concrete Beam Schedule'!$A$2:$Q$2902,AB$2,0)&lt;&gt;L456,"Beam Revised","")</f>
        <v>#N/A</v>
      </c>
      <c r="AC456" s="7" t="e">
        <f>IF(VLOOKUP($A456,'Concrete Beam Schedule'!$A$2:$Q$2902,AC$2,0)&lt;&gt;M456,"Beam Revised","")</f>
        <v>#N/A</v>
      </c>
      <c r="AD456" s="7" t="e">
        <f>IF(VLOOKUP($A456,'Concrete Beam Schedule'!$A$2:$Q$2902,AD$2,0)&lt;&gt;N456,"Beam Revised","")</f>
        <v>#N/A</v>
      </c>
      <c r="AE456" s="7" t="e">
        <f>IF(VLOOKUP($A456,'Concrete Beam Schedule'!$A$2:$Q$2902,AE$2,0)&lt;&gt;O456,"Beam Revised","")</f>
        <v>#N/A</v>
      </c>
    </row>
    <row r="457" spans="1:31" ht="25.5" customHeight="1" x14ac:dyDescent="0.25">
      <c r="A457" s="17"/>
      <c r="B457" s="17"/>
      <c r="C457" s="17"/>
      <c r="D457" s="17"/>
      <c r="E457" s="17"/>
      <c r="F457" s="17"/>
      <c r="G457" s="17"/>
      <c r="H457" s="17"/>
      <c r="I457" s="17"/>
      <c r="J457" s="17"/>
      <c r="K457" s="17"/>
      <c r="L457" s="17"/>
      <c r="M457" s="17"/>
      <c r="N457" s="17"/>
      <c r="O457" s="17"/>
      <c r="Q457" s="7">
        <f t="shared" si="7"/>
        <v>0</v>
      </c>
      <c r="R457" s="7" t="e">
        <f>IF(VLOOKUP($A457,'Concrete Beam Schedule'!$A$2:$Q$2902,R$2,0)&lt;&gt;B457,VLOOKUP($A457,'Concrete Beam Schedule'!$A$2:$Q$2902,R$2,0),"")</f>
        <v>#N/A</v>
      </c>
      <c r="S457" s="7" t="e">
        <f>IF(VLOOKUP($A457,'Concrete Beam Schedule'!$A$2:$Q$2902,S$2,0)&lt;&gt;C457,VLOOKUP($A457,'Concrete Beam Schedule'!$A$2:$Q$2902,S$2,0),"")</f>
        <v>#N/A</v>
      </c>
      <c r="T457" s="7" t="e">
        <f>IF(VLOOKUP($A457,'Concrete Beam Schedule'!$A$2:$Q$2902,T$2,0)&lt;&gt;D457,"Beam Revised","")</f>
        <v>#N/A</v>
      </c>
      <c r="U457" s="7" t="e">
        <f>IF(VLOOKUP($A457,'Concrete Beam Schedule'!$A$2:$Q$2902,U$2,0)&lt;&gt;E457,"Beam Revised","")</f>
        <v>#N/A</v>
      </c>
      <c r="V457" s="7" t="e">
        <f>IF(VLOOKUP($A457,'Concrete Beam Schedule'!$A$2:$Q$2902,V$2,0)&lt;&gt;F457,"Beam Revised","")</f>
        <v>#N/A</v>
      </c>
      <c r="W457" s="7" t="e">
        <f>IF(VLOOKUP($A457,'Concrete Beam Schedule'!$A$2:$Q$2902,W$2,0)&lt;&gt;G457,"Beam Revised","")</f>
        <v>#N/A</v>
      </c>
      <c r="X457" s="7" t="e">
        <f>IF(VLOOKUP($A457,'Concrete Beam Schedule'!$A$2:$Q$2902,X$2,0)&lt;&gt;H457,"Beam Revised","")</f>
        <v>#N/A</v>
      </c>
      <c r="Y457" s="7" t="e">
        <f>IF(VLOOKUP($A457,'Concrete Beam Schedule'!$A$2:$Q$2902,Y$2,0)&lt;&gt;I457,"Beam Revised","")</f>
        <v>#N/A</v>
      </c>
      <c r="Z457" s="7" t="e">
        <f>IF(VLOOKUP($A457,'Concrete Beam Schedule'!$A$2:$Q$2902,Z$2,0)&lt;&gt;J457,"Beam Revised","")</f>
        <v>#N/A</v>
      </c>
      <c r="AA457" s="7" t="e">
        <f>IF(VLOOKUP($A457,'Concrete Beam Schedule'!$A$2:$Q$2902,AA$2,0)&lt;&gt;K457,"Beam Revised","")</f>
        <v>#N/A</v>
      </c>
      <c r="AB457" s="7" t="e">
        <f>IF(VLOOKUP($A457,'Concrete Beam Schedule'!$A$2:$Q$2902,AB$2,0)&lt;&gt;L457,"Beam Revised","")</f>
        <v>#N/A</v>
      </c>
      <c r="AC457" s="7" t="e">
        <f>IF(VLOOKUP($A457,'Concrete Beam Schedule'!$A$2:$Q$2902,AC$2,0)&lt;&gt;M457,"Beam Revised","")</f>
        <v>#N/A</v>
      </c>
      <c r="AD457" s="7" t="e">
        <f>IF(VLOOKUP($A457,'Concrete Beam Schedule'!$A$2:$Q$2902,AD$2,0)&lt;&gt;N457,"Beam Revised","")</f>
        <v>#N/A</v>
      </c>
      <c r="AE457" s="7" t="e">
        <f>IF(VLOOKUP($A457,'Concrete Beam Schedule'!$A$2:$Q$2902,AE$2,0)&lt;&gt;O457,"Beam Revised","")</f>
        <v>#N/A</v>
      </c>
    </row>
    <row r="458" spans="1:31" ht="25.5" customHeight="1" x14ac:dyDescent="0.25">
      <c r="A458" s="17"/>
      <c r="B458" s="17"/>
      <c r="C458" s="17"/>
      <c r="D458" s="17"/>
      <c r="E458" s="17"/>
      <c r="F458" s="17"/>
      <c r="G458" s="17"/>
      <c r="H458" s="17"/>
      <c r="I458" s="17"/>
      <c r="J458" s="17"/>
      <c r="K458" s="17"/>
      <c r="L458" s="17"/>
      <c r="M458" s="17"/>
      <c r="N458" s="17"/>
      <c r="O458" s="17"/>
      <c r="Q458" s="7">
        <f t="shared" si="7"/>
        <v>0</v>
      </c>
      <c r="R458" s="7" t="e">
        <f>IF(VLOOKUP($A458,'Concrete Beam Schedule'!$A$2:$Q$2902,R$2,0)&lt;&gt;B458,VLOOKUP($A458,'Concrete Beam Schedule'!$A$2:$Q$2902,R$2,0),"")</f>
        <v>#N/A</v>
      </c>
      <c r="S458" s="7" t="e">
        <f>IF(VLOOKUP($A458,'Concrete Beam Schedule'!$A$2:$Q$2902,S$2,0)&lt;&gt;C458,VLOOKUP($A458,'Concrete Beam Schedule'!$A$2:$Q$2902,S$2,0),"")</f>
        <v>#N/A</v>
      </c>
      <c r="T458" s="7" t="e">
        <f>IF(VLOOKUP($A458,'Concrete Beam Schedule'!$A$2:$Q$2902,T$2,0)&lt;&gt;D458,"Beam Revised","")</f>
        <v>#N/A</v>
      </c>
      <c r="U458" s="7" t="e">
        <f>IF(VLOOKUP($A458,'Concrete Beam Schedule'!$A$2:$Q$2902,U$2,0)&lt;&gt;E458,"Beam Revised","")</f>
        <v>#N/A</v>
      </c>
      <c r="V458" s="7" t="e">
        <f>IF(VLOOKUP($A458,'Concrete Beam Schedule'!$A$2:$Q$2902,V$2,0)&lt;&gt;F458,"Beam Revised","")</f>
        <v>#N/A</v>
      </c>
      <c r="W458" s="7" t="e">
        <f>IF(VLOOKUP($A458,'Concrete Beam Schedule'!$A$2:$Q$2902,W$2,0)&lt;&gt;G458,"Beam Revised","")</f>
        <v>#N/A</v>
      </c>
      <c r="X458" s="7" t="e">
        <f>IF(VLOOKUP($A458,'Concrete Beam Schedule'!$A$2:$Q$2902,X$2,0)&lt;&gt;H458,"Beam Revised","")</f>
        <v>#N/A</v>
      </c>
      <c r="Y458" s="7" t="e">
        <f>IF(VLOOKUP($A458,'Concrete Beam Schedule'!$A$2:$Q$2902,Y$2,0)&lt;&gt;I458,"Beam Revised","")</f>
        <v>#N/A</v>
      </c>
      <c r="Z458" s="7" t="e">
        <f>IF(VLOOKUP($A458,'Concrete Beam Schedule'!$A$2:$Q$2902,Z$2,0)&lt;&gt;J458,"Beam Revised","")</f>
        <v>#N/A</v>
      </c>
      <c r="AA458" s="7" t="e">
        <f>IF(VLOOKUP($A458,'Concrete Beam Schedule'!$A$2:$Q$2902,AA$2,0)&lt;&gt;K458,"Beam Revised","")</f>
        <v>#N/A</v>
      </c>
      <c r="AB458" s="7" t="e">
        <f>IF(VLOOKUP($A458,'Concrete Beam Schedule'!$A$2:$Q$2902,AB$2,0)&lt;&gt;L458,"Beam Revised","")</f>
        <v>#N/A</v>
      </c>
      <c r="AC458" s="7" t="e">
        <f>IF(VLOOKUP($A458,'Concrete Beam Schedule'!$A$2:$Q$2902,AC$2,0)&lt;&gt;M458,"Beam Revised","")</f>
        <v>#N/A</v>
      </c>
      <c r="AD458" s="7" t="e">
        <f>IF(VLOOKUP($A458,'Concrete Beam Schedule'!$A$2:$Q$2902,AD$2,0)&lt;&gt;N458,"Beam Revised","")</f>
        <v>#N/A</v>
      </c>
      <c r="AE458" s="7" t="e">
        <f>IF(VLOOKUP($A458,'Concrete Beam Schedule'!$A$2:$Q$2902,AE$2,0)&lt;&gt;O458,"Beam Revised","")</f>
        <v>#N/A</v>
      </c>
    </row>
    <row r="459" spans="1:31" ht="25.5" customHeight="1" x14ac:dyDescent="0.25">
      <c r="A459" s="17"/>
      <c r="B459" s="17"/>
      <c r="C459" s="17"/>
      <c r="D459" s="17"/>
      <c r="E459" s="17"/>
      <c r="F459" s="17"/>
      <c r="G459" s="17"/>
      <c r="H459" s="17"/>
      <c r="I459" s="17"/>
      <c r="J459" s="17"/>
      <c r="K459" s="17"/>
      <c r="L459" s="17"/>
      <c r="M459" s="17"/>
      <c r="N459" s="17"/>
      <c r="O459" s="17"/>
      <c r="Q459" s="7">
        <f t="shared" si="7"/>
        <v>0</v>
      </c>
      <c r="R459" s="7" t="e">
        <f>IF(VLOOKUP($A459,'Concrete Beam Schedule'!$A$2:$Q$2902,R$2,0)&lt;&gt;B459,VLOOKUP($A459,'Concrete Beam Schedule'!$A$2:$Q$2902,R$2,0),"")</f>
        <v>#N/A</v>
      </c>
      <c r="S459" s="7" t="e">
        <f>IF(VLOOKUP($A459,'Concrete Beam Schedule'!$A$2:$Q$2902,S$2,0)&lt;&gt;C459,VLOOKUP($A459,'Concrete Beam Schedule'!$A$2:$Q$2902,S$2,0),"")</f>
        <v>#N/A</v>
      </c>
      <c r="T459" s="7" t="e">
        <f>IF(VLOOKUP($A459,'Concrete Beam Schedule'!$A$2:$Q$2902,T$2,0)&lt;&gt;D459,"Beam Revised","")</f>
        <v>#N/A</v>
      </c>
      <c r="U459" s="7" t="e">
        <f>IF(VLOOKUP($A459,'Concrete Beam Schedule'!$A$2:$Q$2902,U$2,0)&lt;&gt;E459,"Beam Revised","")</f>
        <v>#N/A</v>
      </c>
      <c r="V459" s="7" t="e">
        <f>IF(VLOOKUP($A459,'Concrete Beam Schedule'!$A$2:$Q$2902,V$2,0)&lt;&gt;F459,"Beam Revised","")</f>
        <v>#N/A</v>
      </c>
      <c r="W459" s="7" t="e">
        <f>IF(VLOOKUP($A459,'Concrete Beam Schedule'!$A$2:$Q$2902,W$2,0)&lt;&gt;G459,"Beam Revised","")</f>
        <v>#N/A</v>
      </c>
      <c r="X459" s="7" t="e">
        <f>IF(VLOOKUP($A459,'Concrete Beam Schedule'!$A$2:$Q$2902,X$2,0)&lt;&gt;H459,"Beam Revised","")</f>
        <v>#N/A</v>
      </c>
      <c r="Y459" s="7" t="e">
        <f>IF(VLOOKUP($A459,'Concrete Beam Schedule'!$A$2:$Q$2902,Y$2,0)&lt;&gt;I459,"Beam Revised","")</f>
        <v>#N/A</v>
      </c>
      <c r="Z459" s="7" t="e">
        <f>IF(VLOOKUP($A459,'Concrete Beam Schedule'!$A$2:$Q$2902,Z$2,0)&lt;&gt;J459,"Beam Revised","")</f>
        <v>#N/A</v>
      </c>
      <c r="AA459" s="7" t="e">
        <f>IF(VLOOKUP($A459,'Concrete Beam Schedule'!$A$2:$Q$2902,AA$2,0)&lt;&gt;K459,"Beam Revised","")</f>
        <v>#N/A</v>
      </c>
      <c r="AB459" s="7" t="e">
        <f>IF(VLOOKUP($A459,'Concrete Beam Schedule'!$A$2:$Q$2902,AB$2,0)&lt;&gt;L459,"Beam Revised","")</f>
        <v>#N/A</v>
      </c>
      <c r="AC459" s="7" t="e">
        <f>IF(VLOOKUP($A459,'Concrete Beam Schedule'!$A$2:$Q$2902,AC$2,0)&lt;&gt;M459,"Beam Revised","")</f>
        <v>#N/A</v>
      </c>
      <c r="AD459" s="7" t="e">
        <f>IF(VLOOKUP($A459,'Concrete Beam Schedule'!$A$2:$Q$2902,AD$2,0)&lt;&gt;N459,"Beam Revised","")</f>
        <v>#N/A</v>
      </c>
      <c r="AE459" s="7" t="e">
        <f>IF(VLOOKUP($A459,'Concrete Beam Schedule'!$A$2:$Q$2902,AE$2,0)&lt;&gt;O459,"Beam Revised","")</f>
        <v>#N/A</v>
      </c>
    </row>
    <row r="460" spans="1:31" ht="25.5" customHeight="1" x14ac:dyDescent="0.25">
      <c r="A460" s="17"/>
      <c r="B460" s="17"/>
      <c r="C460" s="17"/>
      <c r="D460" s="17"/>
      <c r="E460" s="17"/>
      <c r="F460" s="17"/>
      <c r="G460" s="17"/>
      <c r="H460" s="17"/>
      <c r="I460" s="17"/>
      <c r="J460" s="17"/>
      <c r="K460" s="17"/>
      <c r="L460" s="17"/>
      <c r="M460" s="17"/>
      <c r="N460" s="17"/>
      <c r="O460" s="17"/>
      <c r="Q460" s="7">
        <f t="shared" si="7"/>
        <v>0</v>
      </c>
      <c r="R460" s="7" t="e">
        <f>IF(VLOOKUP($A460,'Concrete Beam Schedule'!$A$2:$Q$2902,R$2,0)&lt;&gt;B460,VLOOKUP($A460,'Concrete Beam Schedule'!$A$2:$Q$2902,R$2,0),"")</f>
        <v>#N/A</v>
      </c>
      <c r="S460" s="7" t="e">
        <f>IF(VLOOKUP($A460,'Concrete Beam Schedule'!$A$2:$Q$2902,S$2,0)&lt;&gt;C460,VLOOKUP($A460,'Concrete Beam Schedule'!$A$2:$Q$2902,S$2,0),"")</f>
        <v>#N/A</v>
      </c>
      <c r="T460" s="7" t="e">
        <f>IF(VLOOKUP($A460,'Concrete Beam Schedule'!$A$2:$Q$2902,T$2,0)&lt;&gt;D460,"Beam Revised","")</f>
        <v>#N/A</v>
      </c>
      <c r="U460" s="7" t="e">
        <f>IF(VLOOKUP($A460,'Concrete Beam Schedule'!$A$2:$Q$2902,U$2,0)&lt;&gt;E460,"Beam Revised","")</f>
        <v>#N/A</v>
      </c>
      <c r="V460" s="7" t="e">
        <f>IF(VLOOKUP($A460,'Concrete Beam Schedule'!$A$2:$Q$2902,V$2,0)&lt;&gt;F460,"Beam Revised","")</f>
        <v>#N/A</v>
      </c>
      <c r="W460" s="7" t="e">
        <f>IF(VLOOKUP($A460,'Concrete Beam Schedule'!$A$2:$Q$2902,W$2,0)&lt;&gt;G460,"Beam Revised","")</f>
        <v>#N/A</v>
      </c>
      <c r="X460" s="7" t="e">
        <f>IF(VLOOKUP($A460,'Concrete Beam Schedule'!$A$2:$Q$2902,X$2,0)&lt;&gt;H460,"Beam Revised","")</f>
        <v>#N/A</v>
      </c>
      <c r="Y460" s="7" t="e">
        <f>IF(VLOOKUP($A460,'Concrete Beam Schedule'!$A$2:$Q$2902,Y$2,0)&lt;&gt;I460,"Beam Revised","")</f>
        <v>#N/A</v>
      </c>
      <c r="Z460" s="7" t="e">
        <f>IF(VLOOKUP($A460,'Concrete Beam Schedule'!$A$2:$Q$2902,Z$2,0)&lt;&gt;J460,"Beam Revised","")</f>
        <v>#N/A</v>
      </c>
      <c r="AA460" s="7" t="e">
        <f>IF(VLOOKUP($A460,'Concrete Beam Schedule'!$A$2:$Q$2902,AA$2,0)&lt;&gt;K460,"Beam Revised","")</f>
        <v>#N/A</v>
      </c>
      <c r="AB460" s="7" t="e">
        <f>IF(VLOOKUP($A460,'Concrete Beam Schedule'!$A$2:$Q$2902,AB$2,0)&lt;&gt;L460,"Beam Revised","")</f>
        <v>#N/A</v>
      </c>
      <c r="AC460" s="7" t="e">
        <f>IF(VLOOKUP($A460,'Concrete Beam Schedule'!$A$2:$Q$2902,AC$2,0)&lt;&gt;M460,"Beam Revised","")</f>
        <v>#N/A</v>
      </c>
      <c r="AD460" s="7" t="e">
        <f>IF(VLOOKUP($A460,'Concrete Beam Schedule'!$A$2:$Q$2902,AD$2,0)&lt;&gt;N460,"Beam Revised","")</f>
        <v>#N/A</v>
      </c>
      <c r="AE460" s="7" t="e">
        <f>IF(VLOOKUP($A460,'Concrete Beam Schedule'!$A$2:$Q$2902,AE$2,0)&lt;&gt;O460,"Beam Revised","")</f>
        <v>#N/A</v>
      </c>
    </row>
    <row r="461" spans="1:31" ht="25.5" customHeight="1" x14ac:dyDescent="0.25">
      <c r="A461" s="17"/>
      <c r="B461" s="17"/>
      <c r="C461" s="17"/>
      <c r="D461" s="17"/>
      <c r="E461" s="17"/>
      <c r="F461" s="17"/>
      <c r="G461" s="17"/>
      <c r="H461" s="17"/>
      <c r="I461" s="17"/>
      <c r="J461" s="17"/>
      <c r="K461" s="17"/>
      <c r="L461" s="17"/>
      <c r="M461" s="17"/>
      <c r="N461" s="17"/>
      <c r="O461" s="17"/>
      <c r="Q461" s="7">
        <f t="shared" si="7"/>
        <v>0</v>
      </c>
      <c r="R461" s="7" t="e">
        <f>IF(VLOOKUP($A461,'Concrete Beam Schedule'!$A$2:$Q$2902,R$2,0)&lt;&gt;B461,VLOOKUP($A461,'Concrete Beam Schedule'!$A$2:$Q$2902,R$2,0),"")</f>
        <v>#N/A</v>
      </c>
      <c r="S461" s="7" t="e">
        <f>IF(VLOOKUP($A461,'Concrete Beam Schedule'!$A$2:$Q$2902,S$2,0)&lt;&gt;C461,VLOOKUP($A461,'Concrete Beam Schedule'!$A$2:$Q$2902,S$2,0),"")</f>
        <v>#N/A</v>
      </c>
      <c r="T461" s="7" t="e">
        <f>IF(VLOOKUP($A461,'Concrete Beam Schedule'!$A$2:$Q$2902,T$2,0)&lt;&gt;D461,"Beam Revised","")</f>
        <v>#N/A</v>
      </c>
      <c r="U461" s="7" t="e">
        <f>IF(VLOOKUP($A461,'Concrete Beam Schedule'!$A$2:$Q$2902,U$2,0)&lt;&gt;E461,"Beam Revised","")</f>
        <v>#N/A</v>
      </c>
      <c r="V461" s="7" t="e">
        <f>IF(VLOOKUP($A461,'Concrete Beam Schedule'!$A$2:$Q$2902,V$2,0)&lt;&gt;F461,"Beam Revised","")</f>
        <v>#N/A</v>
      </c>
      <c r="W461" s="7" t="e">
        <f>IF(VLOOKUP($A461,'Concrete Beam Schedule'!$A$2:$Q$2902,W$2,0)&lt;&gt;G461,"Beam Revised","")</f>
        <v>#N/A</v>
      </c>
      <c r="X461" s="7" t="e">
        <f>IF(VLOOKUP($A461,'Concrete Beam Schedule'!$A$2:$Q$2902,X$2,0)&lt;&gt;H461,"Beam Revised","")</f>
        <v>#N/A</v>
      </c>
      <c r="Y461" s="7" t="e">
        <f>IF(VLOOKUP($A461,'Concrete Beam Schedule'!$A$2:$Q$2902,Y$2,0)&lt;&gt;I461,"Beam Revised","")</f>
        <v>#N/A</v>
      </c>
      <c r="Z461" s="7" t="e">
        <f>IF(VLOOKUP($A461,'Concrete Beam Schedule'!$A$2:$Q$2902,Z$2,0)&lt;&gt;J461,"Beam Revised","")</f>
        <v>#N/A</v>
      </c>
      <c r="AA461" s="7" t="e">
        <f>IF(VLOOKUP($A461,'Concrete Beam Schedule'!$A$2:$Q$2902,AA$2,0)&lt;&gt;K461,"Beam Revised","")</f>
        <v>#N/A</v>
      </c>
      <c r="AB461" s="7" t="e">
        <f>IF(VLOOKUP($A461,'Concrete Beam Schedule'!$A$2:$Q$2902,AB$2,0)&lt;&gt;L461,"Beam Revised","")</f>
        <v>#N/A</v>
      </c>
      <c r="AC461" s="7" t="e">
        <f>IF(VLOOKUP($A461,'Concrete Beam Schedule'!$A$2:$Q$2902,AC$2,0)&lt;&gt;M461,"Beam Revised","")</f>
        <v>#N/A</v>
      </c>
      <c r="AD461" s="7" t="e">
        <f>IF(VLOOKUP($A461,'Concrete Beam Schedule'!$A$2:$Q$2902,AD$2,0)&lt;&gt;N461,"Beam Revised","")</f>
        <v>#N/A</v>
      </c>
      <c r="AE461" s="7" t="e">
        <f>IF(VLOOKUP($A461,'Concrete Beam Schedule'!$A$2:$Q$2902,AE$2,0)&lt;&gt;O461,"Beam Revised","")</f>
        <v>#N/A</v>
      </c>
    </row>
    <row r="462" spans="1:31" ht="25.5" customHeight="1" x14ac:dyDescent="0.25">
      <c r="A462" s="17"/>
      <c r="B462" s="17"/>
      <c r="C462" s="17"/>
      <c r="D462" s="17"/>
      <c r="E462" s="17"/>
      <c r="F462" s="17"/>
      <c r="G462" s="17"/>
      <c r="H462" s="17"/>
      <c r="I462" s="17"/>
      <c r="J462" s="17"/>
      <c r="K462" s="17"/>
      <c r="L462" s="17"/>
      <c r="M462" s="17"/>
      <c r="N462" s="17"/>
      <c r="O462" s="17"/>
      <c r="Q462" s="7">
        <f t="shared" si="7"/>
        <v>0</v>
      </c>
      <c r="R462" s="7" t="e">
        <f>IF(VLOOKUP($A462,'Concrete Beam Schedule'!$A$2:$Q$2902,R$2,0)&lt;&gt;B462,VLOOKUP($A462,'Concrete Beam Schedule'!$A$2:$Q$2902,R$2,0),"")</f>
        <v>#N/A</v>
      </c>
      <c r="S462" s="7" t="e">
        <f>IF(VLOOKUP($A462,'Concrete Beam Schedule'!$A$2:$Q$2902,S$2,0)&lt;&gt;C462,VLOOKUP($A462,'Concrete Beam Schedule'!$A$2:$Q$2902,S$2,0),"")</f>
        <v>#N/A</v>
      </c>
      <c r="T462" s="7" t="e">
        <f>IF(VLOOKUP($A462,'Concrete Beam Schedule'!$A$2:$Q$2902,T$2,0)&lt;&gt;D462,"Beam Revised","")</f>
        <v>#N/A</v>
      </c>
      <c r="U462" s="7" t="e">
        <f>IF(VLOOKUP($A462,'Concrete Beam Schedule'!$A$2:$Q$2902,U$2,0)&lt;&gt;E462,"Beam Revised","")</f>
        <v>#N/A</v>
      </c>
      <c r="V462" s="7" t="e">
        <f>IF(VLOOKUP($A462,'Concrete Beam Schedule'!$A$2:$Q$2902,V$2,0)&lt;&gt;F462,"Beam Revised","")</f>
        <v>#N/A</v>
      </c>
      <c r="W462" s="7" t="e">
        <f>IF(VLOOKUP($A462,'Concrete Beam Schedule'!$A$2:$Q$2902,W$2,0)&lt;&gt;G462,"Beam Revised","")</f>
        <v>#N/A</v>
      </c>
      <c r="X462" s="7" t="e">
        <f>IF(VLOOKUP($A462,'Concrete Beam Schedule'!$A$2:$Q$2902,X$2,0)&lt;&gt;H462,"Beam Revised","")</f>
        <v>#N/A</v>
      </c>
      <c r="Y462" s="7" t="e">
        <f>IF(VLOOKUP($A462,'Concrete Beam Schedule'!$A$2:$Q$2902,Y$2,0)&lt;&gt;I462,"Beam Revised","")</f>
        <v>#N/A</v>
      </c>
      <c r="Z462" s="7" t="e">
        <f>IF(VLOOKUP($A462,'Concrete Beam Schedule'!$A$2:$Q$2902,Z$2,0)&lt;&gt;J462,"Beam Revised","")</f>
        <v>#N/A</v>
      </c>
      <c r="AA462" s="7" t="e">
        <f>IF(VLOOKUP($A462,'Concrete Beam Schedule'!$A$2:$Q$2902,AA$2,0)&lt;&gt;K462,"Beam Revised","")</f>
        <v>#N/A</v>
      </c>
      <c r="AB462" s="7" t="e">
        <f>IF(VLOOKUP($A462,'Concrete Beam Schedule'!$A$2:$Q$2902,AB$2,0)&lt;&gt;L462,"Beam Revised","")</f>
        <v>#N/A</v>
      </c>
      <c r="AC462" s="7" t="e">
        <f>IF(VLOOKUP($A462,'Concrete Beam Schedule'!$A$2:$Q$2902,AC$2,0)&lt;&gt;M462,"Beam Revised","")</f>
        <v>#N/A</v>
      </c>
      <c r="AD462" s="7" t="e">
        <f>IF(VLOOKUP($A462,'Concrete Beam Schedule'!$A$2:$Q$2902,AD$2,0)&lt;&gt;N462,"Beam Revised","")</f>
        <v>#N/A</v>
      </c>
      <c r="AE462" s="7" t="e">
        <f>IF(VLOOKUP($A462,'Concrete Beam Schedule'!$A$2:$Q$2902,AE$2,0)&lt;&gt;O462,"Beam Revised","")</f>
        <v>#N/A</v>
      </c>
    </row>
    <row r="463" spans="1:31" ht="25.5" customHeight="1" x14ac:dyDescent="0.25">
      <c r="A463" s="17"/>
      <c r="B463" s="17"/>
      <c r="C463" s="17"/>
      <c r="D463" s="17"/>
      <c r="E463" s="17"/>
      <c r="F463" s="17"/>
      <c r="G463" s="17"/>
      <c r="H463" s="17"/>
      <c r="I463" s="17"/>
      <c r="J463" s="17"/>
      <c r="K463" s="17"/>
      <c r="L463" s="17"/>
      <c r="M463" s="17"/>
      <c r="N463" s="17"/>
      <c r="O463" s="17"/>
      <c r="Q463" s="7">
        <f t="shared" si="7"/>
        <v>0</v>
      </c>
      <c r="R463" s="7" t="e">
        <f>IF(VLOOKUP($A463,'Concrete Beam Schedule'!$A$2:$Q$2902,R$2,0)&lt;&gt;B463,VLOOKUP($A463,'Concrete Beam Schedule'!$A$2:$Q$2902,R$2,0),"")</f>
        <v>#N/A</v>
      </c>
      <c r="S463" s="7" t="e">
        <f>IF(VLOOKUP($A463,'Concrete Beam Schedule'!$A$2:$Q$2902,S$2,0)&lt;&gt;C463,VLOOKUP($A463,'Concrete Beam Schedule'!$A$2:$Q$2902,S$2,0),"")</f>
        <v>#N/A</v>
      </c>
      <c r="T463" s="7" t="e">
        <f>IF(VLOOKUP($A463,'Concrete Beam Schedule'!$A$2:$Q$2902,T$2,0)&lt;&gt;D463,"Beam Revised","")</f>
        <v>#N/A</v>
      </c>
      <c r="U463" s="7" t="e">
        <f>IF(VLOOKUP($A463,'Concrete Beam Schedule'!$A$2:$Q$2902,U$2,0)&lt;&gt;E463,"Beam Revised","")</f>
        <v>#N/A</v>
      </c>
      <c r="V463" s="7" t="e">
        <f>IF(VLOOKUP($A463,'Concrete Beam Schedule'!$A$2:$Q$2902,V$2,0)&lt;&gt;F463,"Beam Revised","")</f>
        <v>#N/A</v>
      </c>
      <c r="W463" s="7" t="e">
        <f>IF(VLOOKUP($A463,'Concrete Beam Schedule'!$A$2:$Q$2902,W$2,0)&lt;&gt;G463,"Beam Revised","")</f>
        <v>#N/A</v>
      </c>
      <c r="X463" s="7" t="e">
        <f>IF(VLOOKUP($A463,'Concrete Beam Schedule'!$A$2:$Q$2902,X$2,0)&lt;&gt;H463,"Beam Revised","")</f>
        <v>#N/A</v>
      </c>
      <c r="Y463" s="7" t="e">
        <f>IF(VLOOKUP($A463,'Concrete Beam Schedule'!$A$2:$Q$2902,Y$2,0)&lt;&gt;I463,"Beam Revised","")</f>
        <v>#N/A</v>
      </c>
      <c r="Z463" s="7" t="e">
        <f>IF(VLOOKUP($A463,'Concrete Beam Schedule'!$A$2:$Q$2902,Z$2,0)&lt;&gt;J463,"Beam Revised","")</f>
        <v>#N/A</v>
      </c>
      <c r="AA463" s="7" t="e">
        <f>IF(VLOOKUP($A463,'Concrete Beam Schedule'!$A$2:$Q$2902,AA$2,0)&lt;&gt;K463,"Beam Revised","")</f>
        <v>#N/A</v>
      </c>
      <c r="AB463" s="7" t="e">
        <f>IF(VLOOKUP($A463,'Concrete Beam Schedule'!$A$2:$Q$2902,AB$2,0)&lt;&gt;L463,"Beam Revised","")</f>
        <v>#N/A</v>
      </c>
      <c r="AC463" s="7" t="e">
        <f>IF(VLOOKUP($A463,'Concrete Beam Schedule'!$A$2:$Q$2902,AC$2,0)&lt;&gt;M463,"Beam Revised","")</f>
        <v>#N/A</v>
      </c>
      <c r="AD463" s="7" t="e">
        <f>IF(VLOOKUP($A463,'Concrete Beam Schedule'!$A$2:$Q$2902,AD$2,0)&lt;&gt;N463,"Beam Revised","")</f>
        <v>#N/A</v>
      </c>
      <c r="AE463" s="7" t="e">
        <f>IF(VLOOKUP($A463,'Concrete Beam Schedule'!$A$2:$Q$2902,AE$2,0)&lt;&gt;O463,"Beam Revised","")</f>
        <v>#N/A</v>
      </c>
    </row>
    <row r="464" spans="1:31" ht="25.5" customHeight="1" x14ac:dyDescent="0.25">
      <c r="A464" s="17"/>
      <c r="B464" s="17"/>
      <c r="C464" s="17"/>
      <c r="D464" s="17"/>
      <c r="E464" s="17"/>
      <c r="F464" s="17"/>
      <c r="G464" s="17"/>
      <c r="H464" s="17"/>
      <c r="I464" s="17"/>
      <c r="J464" s="17"/>
      <c r="K464" s="17"/>
      <c r="L464" s="17"/>
      <c r="M464" s="17"/>
      <c r="N464" s="17"/>
      <c r="O464" s="17"/>
      <c r="Q464" s="7">
        <f t="shared" si="7"/>
        <v>0</v>
      </c>
      <c r="R464" s="7" t="e">
        <f>IF(VLOOKUP($A464,'Concrete Beam Schedule'!$A$2:$Q$2902,R$2,0)&lt;&gt;B464,VLOOKUP($A464,'Concrete Beam Schedule'!$A$2:$Q$2902,R$2,0),"")</f>
        <v>#N/A</v>
      </c>
      <c r="S464" s="7" t="e">
        <f>IF(VLOOKUP($A464,'Concrete Beam Schedule'!$A$2:$Q$2902,S$2,0)&lt;&gt;C464,VLOOKUP($A464,'Concrete Beam Schedule'!$A$2:$Q$2902,S$2,0),"")</f>
        <v>#N/A</v>
      </c>
      <c r="T464" s="7" t="e">
        <f>IF(VLOOKUP($A464,'Concrete Beam Schedule'!$A$2:$Q$2902,T$2,0)&lt;&gt;D464,"Beam Revised","")</f>
        <v>#N/A</v>
      </c>
      <c r="U464" s="7" t="e">
        <f>IF(VLOOKUP($A464,'Concrete Beam Schedule'!$A$2:$Q$2902,U$2,0)&lt;&gt;E464,"Beam Revised","")</f>
        <v>#N/A</v>
      </c>
      <c r="V464" s="7" t="e">
        <f>IF(VLOOKUP($A464,'Concrete Beam Schedule'!$A$2:$Q$2902,V$2,0)&lt;&gt;F464,"Beam Revised","")</f>
        <v>#N/A</v>
      </c>
      <c r="W464" s="7" t="e">
        <f>IF(VLOOKUP($A464,'Concrete Beam Schedule'!$A$2:$Q$2902,W$2,0)&lt;&gt;G464,"Beam Revised","")</f>
        <v>#N/A</v>
      </c>
      <c r="X464" s="7" t="e">
        <f>IF(VLOOKUP($A464,'Concrete Beam Schedule'!$A$2:$Q$2902,X$2,0)&lt;&gt;H464,"Beam Revised","")</f>
        <v>#N/A</v>
      </c>
      <c r="Y464" s="7" t="e">
        <f>IF(VLOOKUP($A464,'Concrete Beam Schedule'!$A$2:$Q$2902,Y$2,0)&lt;&gt;I464,"Beam Revised","")</f>
        <v>#N/A</v>
      </c>
      <c r="Z464" s="7" t="e">
        <f>IF(VLOOKUP($A464,'Concrete Beam Schedule'!$A$2:$Q$2902,Z$2,0)&lt;&gt;J464,"Beam Revised","")</f>
        <v>#N/A</v>
      </c>
      <c r="AA464" s="7" t="e">
        <f>IF(VLOOKUP($A464,'Concrete Beam Schedule'!$A$2:$Q$2902,AA$2,0)&lt;&gt;K464,"Beam Revised","")</f>
        <v>#N/A</v>
      </c>
      <c r="AB464" s="7" t="e">
        <f>IF(VLOOKUP($A464,'Concrete Beam Schedule'!$A$2:$Q$2902,AB$2,0)&lt;&gt;L464,"Beam Revised","")</f>
        <v>#N/A</v>
      </c>
      <c r="AC464" s="7" t="e">
        <f>IF(VLOOKUP($A464,'Concrete Beam Schedule'!$A$2:$Q$2902,AC$2,0)&lt;&gt;M464,"Beam Revised","")</f>
        <v>#N/A</v>
      </c>
      <c r="AD464" s="7" t="e">
        <f>IF(VLOOKUP($A464,'Concrete Beam Schedule'!$A$2:$Q$2902,AD$2,0)&lt;&gt;N464,"Beam Revised","")</f>
        <v>#N/A</v>
      </c>
      <c r="AE464" s="7" t="e">
        <f>IF(VLOOKUP($A464,'Concrete Beam Schedule'!$A$2:$Q$2902,AE$2,0)&lt;&gt;O464,"Beam Revised","")</f>
        <v>#N/A</v>
      </c>
    </row>
    <row r="465" spans="1:31" ht="25.5" customHeight="1" x14ac:dyDescent="0.25">
      <c r="A465" s="17"/>
      <c r="B465" s="17"/>
      <c r="C465" s="17"/>
      <c r="D465" s="17"/>
      <c r="E465" s="17"/>
      <c r="F465" s="17"/>
      <c r="G465" s="17"/>
      <c r="H465" s="17"/>
      <c r="I465" s="17"/>
      <c r="J465" s="17"/>
      <c r="K465" s="17"/>
      <c r="L465" s="17"/>
      <c r="M465" s="17"/>
      <c r="N465" s="17"/>
      <c r="O465" s="17"/>
      <c r="Q465" s="7">
        <f t="shared" si="7"/>
        <v>0</v>
      </c>
      <c r="R465" s="7" t="e">
        <f>IF(VLOOKUP($A465,'Concrete Beam Schedule'!$A$2:$Q$2902,R$2,0)&lt;&gt;B465,VLOOKUP($A465,'Concrete Beam Schedule'!$A$2:$Q$2902,R$2,0),"")</f>
        <v>#N/A</v>
      </c>
      <c r="S465" s="7" t="e">
        <f>IF(VLOOKUP($A465,'Concrete Beam Schedule'!$A$2:$Q$2902,S$2,0)&lt;&gt;C465,VLOOKUP($A465,'Concrete Beam Schedule'!$A$2:$Q$2902,S$2,0),"")</f>
        <v>#N/A</v>
      </c>
      <c r="T465" s="7" t="e">
        <f>IF(VLOOKUP($A465,'Concrete Beam Schedule'!$A$2:$Q$2902,T$2,0)&lt;&gt;D465,"Beam Revised","")</f>
        <v>#N/A</v>
      </c>
      <c r="U465" s="7" t="e">
        <f>IF(VLOOKUP($A465,'Concrete Beam Schedule'!$A$2:$Q$2902,U$2,0)&lt;&gt;E465,"Beam Revised","")</f>
        <v>#N/A</v>
      </c>
      <c r="V465" s="7" t="e">
        <f>IF(VLOOKUP($A465,'Concrete Beam Schedule'!$A$2:$Q$2902,V$2,0)&lt;&gt;F465,"Beam Revised","")</f>
        <v>#N/A</v>
      </c>
      <c r="W465" s="7" t="e">
        <f>IF(VLOOKUP($A465,'Concrete Beam Schedule'!$A$2:$Q$2902,W$2,0)&lt;&gt;G465,"Beam Revised","")</f>
        <v>#N/A</v>
      </c>
      <c r="X465" s="7" t="e">
        <f>IF(VLOOKUP($A465,'Concrete Beam Schedule'!$A$2:$Q$2902,X$2,0)&lt;&gt;H465,"Beam Revised","")</f>
        <v>#N/A</v>
      </c>
      <c r="Y465" s="7" t="e">
        <f>IF(VLOOKUP($A465,'Concrete Beam Schedule'!$A$2:$Q$2902,Y$2,0)&lt;&gt;I465,"Beam Revised","")</f>
        <v>#N/A</v>
      </c>
      <c r="Z465" s="7" t="e">
        <f>IF(VLOOKUP($A465,'Concrete Beam Schedule'!$A$2:$Q$2902,Z$2,0)&lt;&gt;J465,"Beam Revised","")</f>
        <v>#N/A</v>
      </c>
      <c r="AA465" s="7" t="e">
        <f>IF(VLOOKUP($A465,'Concrete Beam Schedule'!$A$2:$Q$2902,AA$2,0)&lt;&gt;K465,"Beam Revised","")</f>
        <v>#N/A</v>
      </c>
      <c r="AB465" s="7" t="e">
        <f>IF(VLOOKUP($A465,'Concrete Beam Schedule'!$A$2:$Q$2902,AB$2,0)&lt;&gt;L465,"Beam Revised","")</f>
        <v>#N/A</v>
      </c>
      <c r="AC465" s="7" t="e">
        <f>IF(VLOOKUP($A465,'Concrete Beam Schedule'!$A$2:$Q$2902,AC$2,0)&lt;&gt;M465,"Beam Revised","")</f>
        <v>#N/A</v>
      </c>
      <c r="AD465" s="7" t="e">
        <f>IF(VLOOKUP($A465,'Concrete Beam Schedule'!$A$2:$Q$2902,AD$2,0)&lt;&gt;N465,"Beam Revised","")</f>
        <v>#N/A</v>
      </c>
      <c r="AE465" s="7" t="e">
        <f>IF(VLOOKUP($A465,'Concrete Beam Schedule'!$A$2:$Q$2902,AE$2,0)&lt;&gt;O465,"Beam Revised","")</f>
        <v>#N/A</v>
      </c>
    </row>
    <row r="466" spans="1:31" ht="25.5" customHeight="1" x14ac:dyDescent="0.25">
      <c r="A466" s="17"/>
      <c r="B466" s="17"/>
      <c r="C466" s="17"/>
      <c r="D466" s="17"/>
      <c r="E466" s="17"/>
      <c r="F466" s="17"/>
      <c r="G466" s="17"/>
      <c r="H466" s="17"/>
      <c r="I466" s="17"/>
      <c r="J466" s="17"/>
      <c r="K466" s="17"/>
      <c r="L466" s="17"/>
      <c r="M466" s="17"/>
      <c r="N466" s="17"/>
      <c r="O466" s="17"/>
      <c r="Q466" s="7">
        <f t="shared" si="7"/>
        <v>0</v>
      </c>
      <c r="R466" s="7" t="e">
        <f>IF(VLOOKUP($A466,'Concrete Beam Schedule'!$A$2:$Q$2902,R$2,0)&lt;&gt;B466,VLOOKUP($A466,'Concrete Beam Schedule'!$A$2:$Q$2902,R$2,0),"")</f>
        <v>#N/A</v>
      </c>
      <c r="S466" s="7" t="e">
        <f>IF(VLOOKUP($A466,'Concrete Beam Schedule'!$A$2:$Q$2902,S$2,0)&lt;&gt;C466,VLOOKUP($A466,'Concrete Beam Schedule'!$A$2:$Q$2902,S$2,0),"")</f>
        <v>#N/A</v>
      </c>
      <c r="T466" s="7" t="e">
        <f>IF(VLOOKUP($A466,'Concrete Beam Schedule'!$A$2:$Q$2902,T$2,0)&lt;&gt;D466,"Beam Revised","")</f>
        <v>#N/A</v>
      </c>
      <c r="U466" s="7" t="e">
        <f>IF(VLOOKUP($A466,'Concrete Beam Schedule'!$A$2:$Q$2902,U$2,0)&lt;&gt;E466,"Beam Revised","")</f>
        <v>#N/A</v>
      </c>
      <c r="V466" s="7" t="e">
        <f>IF(VLOOKUP($A466,'Concrete Beam Schedule'!$A$2:$Q$2902,V$2,0)&lt;&gt;F466,"Beam Revised","")</f>
        <v>#N/A</v>
      </c>
      <c r="W466" s="7" t="e">
        <f>IF(VLOOKUP($A466,'Concrete Beam Schedule'!$A$2:$Q$2902,W$2,0)&lt;&gt;G466,"Beam Revised","")</f>
        <v>#N/A</v>
      </c>
      <c r="X466" s="7" t="e">
        <f>IF(VLOOKUP($A466,'Concrete Beam Schedule'!$A$2:$Q$2902,X$2,0)&lt;&gt;H466,"Beam Revised","")</f>
        <v>#N/A</v>
      </c>
      <c r="Y466" s="7" t="e">
        <f>IF(VLOOKUP($A466,'Concrete Beam Schedule'!$A$2:$Q$2902,Y$2,0)&lt;&gt;I466,"Beam Revised","")</f>
        <v>#N/A</v>
      </c>
      <c r="Z466" s="7" t="e">
        <f>IF(VLOOKUP($A466,'Concrete Beam Schedule'!$A$2:$Q$2902,Z$2,0)&lt;&gt;J466,"Beam Revised","")</f>
        <v>#N/A</v>
      </c>
      <c r="AA466" s="7" t="e">
        <f>IF(VLOOKUP($A466,'Concrete Beam Schedule'!$A$2:$Q$2902,AA$2,0)&lt;&gt;K466,"Beam Revised","")</f>
        <v>#N/A</v>
      </c>
      <c r="AB466" s="7" t="e">
        <f>IF(VLOOKUP($A466,'Concrete Beam Schedule'!$A$2:$Q$2902,AB$2,0)&lt;&gt;L466,"Beam Revised","")</f>
        <v>#N/A</v>
      </c>
      <c r="AC466" s="7" t="e">
        <f>IF(VLOOKUP($A466,'Concrete Beam Schedule'!$A$2:$Q$2902,AC$2,0)&lt;&gt;M466,"Beam Revised","")</f>
        <v>#N/A</v>
      </c>
      <c r="AD466" s="7" t="e">
        <f>IF(VLOOKUP($A466,'Concrete Beam Schedule'!$A$2:$Q$2902,AD$2,0)&lt;&gt;N466,"Beam Revised","")</f>
        <v>#N/A</v>
      </c>
      <c r="AE466" s="7" t="e">
        <f>IF(VLOOKUP($A466,'Concrete Beam Schedule'!$A$2:$Q$2902,AE$2,0)&lt;&gt;O466,"Beam Revised","")</f>
        <v>#N/A</v>
      </c>
    </row>
    <row r="467" spans="1:31" ht="25.5" customHeight="1" x14ac:dyDescent="0.25">
      <c r="A467" s="17"/>
      <c r="B467" s="17"/>
      <c r="C467" s="17"/>
      <c r="D467" s="17"/>
      <c r="E467" s="17"/>
      <c r="F467" s="17"/>
      <c r="G467" s="17"/>
      <c r="H467" s="17"/>
      <c r="I467" s="17"/>
      <c r="J467" s="17"/>
      <c r="K467" s="17"/>
      <c r="L467" s="17"/>
      <c r="M467" s="17"/>
      <c r="N467" s="17"/>
      <c r="O467" s="17"/>
      <c r="Q467" s="7">
        <f t="shared" si="7"/>
        <v>0</v>
      </c>
      <c r="R467" s="7" t="e">
        <f>IF(VLOOKUP($A467,'Concrete Beam Schedule'!$A$2:$Q$2902,R$2,0)&lt;&gt;B467,VLOOKUP($A467,'Concrete Beam Schedule'!$A$2:$Q$2902,R$2,0),"")</f>
        <v>#N/A</v>
      </c>
      <c r="S467" s="7" t="e">
        <f>IF(VLOOKUP($A467,'Concrete Beam Schedule'!$A$2:$Q$2902,S$2,0)&lt;&gt;C467,VLOOKUP($A467,'Concrete Beam Schedule'!$A$2:$Q$2902,S$2,0),"")</f>
        <v>#N/A</v>
      </c>
      <c r="T467" s="7" t="e">
        <f>IF(VLOOKUP($A467,'Concrete Beam Schedule'!$A$2:$Q$2902,T$2,0)&lt;&gt;D467,"Beam Revised","")</f>
        <v>#N/A</v>
      </c>
      <c r="U467" s="7" t="e">
        <f>IF(VLOOKUP($A467,'Concrete Beam Schedule'!$A$2:$Q$2902,U$2,0)&lt;&gt;E467,"Beam Revised","")</f>
        <v>#N/A</v>
      </c>
      <c r="V467" s="7" t="e">
        <f>IF(VLOOKUP($A467,'Concrete Beam Schedule'!$A$2:$Q$2902,V$2,0)&lt;&gt;F467,"Beam Revised","")</f>
        <v>#N/A</v>
      </c>
      <c r="W467" s="7" t="e">
        <f>IF(VLOOKUP($A467,'Concrete Beam Schedule'!$A$2:$Q$2902,W$2,0)&lt;&gt;G467,"Beam Revised","")</f>
        <v>#N/A</v>
      </c>
      <c r="X467" s="7" t="e">
        <f>IF(VLOOKUP($A467,'Concrete Beam Schedule'!$A$2:$Q$2902,X$2,0)&lt;&gt;H467,"Beam Revised","")</f>
        <v>#N/A</v>
      </c>
      <c r="Y467" s="7" t="e">
        <f>IF(VLOOKUP($A467,'Concrete Beam Schedule'!$A$2:$Q$2902,Y$2,0)&lt;&gt;I467,"Beam Revised","")</f>
        <v>#N/A</v>
      </c>
      <c r="Z467" s="7" t="e">
        <f>IF(VLOOKUP($A467,'Concrete Beam Schedule'!$A$2:$Q$2902,Z$2,0)&lt;&gt;J467,"Beam Revised","")</f>
        <v>#N/A</v>
      </c>
      <c r="AA467" s="7" t="e">
        <f>IF(VLOOKUP($A467,'Concrete Beam Schedule'!$A$2:$Q$2902,AA$2,0)&lt;&gt;K467,"Beam Revised","")</f>
        <v>#N/A</v>
      </c>
      <c r="AB467" s="7" t="e">
        <f>IF(VLOOKUP($A467,'Concrete Beam Schedule'!$A$2:$Q$2902,AB$2,0)&lt;&gt;L467,"Beam Revised","")</f>
        <v>#N/A</v>
      </c>
      <c r="AC467" s="7" t="e">
        <f>IF(VLOOKUP($A467,'Concrete Beam Schedule'!$A$2:$Q$2902,AC$2,0)&lt;&gt;M467,"Beam Revised","")</f>
        <v>#N/A</v>
      </c>
      <c r="AD467" s="7" t="e">
        <f>IF(VLOOKUP($A467,'Concrete Beam Schedule'!$A$2:$Q$2902,AD$2,0)&lt;&gt;N467,"Beam Revised","")</f>
        <v>#N/A</v>
      </c>
      <c r="AE467" s="7" t="e">
        <f>IF(VLOOKUP($A467,'Concrete Beam Schedule'!$A$2:$Q$2902,AE$2,0)&lt;&gt;O467,"Beam Revised","")</f>
        <v>#N/A</v>
      </c>
    </row>
    <row r="468" spans="1:31" ht="25.5" customHeight="1" x14ac:dyDescent="0.25">
      <c r="A468" s="17"/>
      <c r="B468" s="17"/>
      <c r="C468" s="17"/>
      <c r="D468" s="17"/>
      <c r="E468" s="17"/>
      <c r="F468" s="17"/>
      <c r="G468" s="17"/>
      <c r="H468" s="17"/>
      <c r="I468" s="17"/>
      <c r="J468" s="17"/>
      <c r="K468" s="17"/>
      <c r="L468" s="17"/>
      <c r="M468" s="17"/>
      <c r="N468" s="17"/>
      <c r="O468" s="17"/>
      <c r="Q468" s="7">
        <f t="shared" si="7"/>
        <v>0</v>
      </c>
      <c r="R468" s="7" t="e">
        <f>IF(VLOOKUP($A468,'Concrete Beam Schedule'!$A$2:$Q$2902,R$2,0)&lt;&gt;B468,VLOOKUP($A468,'Concrete Beam Schedule'!$A$2:$Q$2902,R$2,0),"")</f>
        <v>#N/A</v>
      </c>
      <c r="S468" s="7" t="e">
        <f>IF(VLOOKUP($A468,'Concrete Beam Schedule'!$A$2:$Q$2902,S$2,0)&lt;&gt;C468,VLOOKUP($A468,'Concrete Beam Schedule'!$A$2:$Q$2902,S$2,0),"")</f>
        <v>#N/A</v>
      </c>
      <c r="T468" s="7" t="e">
        <f>IF(VLOOKUP($A468,'Concrete Beam Schedule'!$A$2:$Q$2902,T$2,0)&lt;&gt;D468,"Beam Revised","")</f>
        <v>#N/A</v>
      </c>
      <c r="U468" s="7" t="e">
        <f>IF(VLOOKUP($A468,'Concrete Beam Schedule'!$A$2:$Q$2902,U$2,0)&lt;&gt;E468,"Beam Revised","")</f>
        <v>#N/A</v>
      </c>
      <c r="V468" s="7" t="e">
        <f>IF(VLOOKUP($A468,'Concrete Beam Schedule'!$A$2:$Q$2902,V$2,0)&lt;&gt;F468,"Beam Revised","")</f>
        <v>#N/A</v>
      </c>
      <c r="W468" s="7" t="e">
        <f>IF(VLOOKUP($A468,'Concrete Beam Schedule'!$A$2:$Q$2902,W$2,0)&lt;&gt;G468,"Beam Revised","")</f>
        <v>#N/A</v>
      </c>
      <c r="X468" s="7" t="e">
        <f>IF(VLOOKUP($A468,'Concrete Beam Schedule'!$A$2:$Q$2902,X$2,0)&lt;&gt;H468,"Beam Revised","")</f>
        <v>#N/A</v>
      </c>
      <c r="Y468" s="7" t="e">
        <f>IF(VLOOKUP($A468,'Concrete Beam Schedule'!$A$2:$Q$2902,Y$2,0)&lt;&gt;I468,"Beam Revised","")</f>
        <v>#N/A</v>
      </c>
      <c r="Z468" s="7" t="e">
        <f>IF(VLOOKUP($A468,'Concrete Beam Schedule'!$A$2:$Q$2902,Z$2,0)&lt;&gt;J468,"Beam Revised","")</f>
        <v>#N/A</v>
      </c>
      <c r="AA468" s="7" t="e">
        <f>IF(VLOOKUP($A468,'Concrete Beam Schedule'!$A$2:$Q$2902,AA$2,0)&lt;&gt;K468,"Beam Revised","")</f>
        <v>#N/A</v>
      </c>
      <c r="AB468" s="7" t="e">
        <f>IF(VLOOKUP($A468,'Concrete Beam Schedule'!$A$2:$Q$2902,AB$2,0)&lt;&gt;L468,"Beam Revised","")</f>
        <v>#N/A</v>
      </c>
      <c r="AC468" s="7" t="e">
        <f>IF(VLOOKUP($A468,'Concrete Beam Schedule'!$A$2:$Q$2902,AC$2,0)&lt;&gt;M468,"Beam Revised","")</f>
        <v>#N/A</v>
      </c>
      <c r="AD468" s="7" t="e">
        <f>IF(VLOOKUP($A468,'Concrete Beam Schedule'!$A$2:$Q$2902,AD$2,0)&lt;&gt;N468,"Beam Revised","")</f>
        <v>#N/A</v>
      </c>
      <c r="AE468" s="7" t="e">
        <f>IF(VLOOKUP($A468,'Concrete Beam Schedule'!$A$2:$Q$2902,AE$2,0)&lt;&gt;O468,"Beam Revised","")</f>
        <v>#N/A</v>
      </c>
    </row>
    <row r="469" spans="1:31" ht="25.5" customHeight="1" x14ac:dyDescent="0.25">
      <c r="A469" s="17"/>
      <c r="B469" s="17"/>
      <c r="C469" s="17"/>
      <c r="D469" s="17"/>
      <c r="E469" s="17"/>
      <c r="F469" s="17"/>
      <c r="G469" s="17"/>
      <c r="H469" s="17"/>
      <c r="I469" s="17"/>
      <c r="J469" s="17"/>
      <c r="K469" s="17"/>
      <c r="L469" s="17"/>
      <c r="M469" s="17"/>
      <c r="N469" s="17"/>
      <c r="O469" s="17"/>
      <c r="Q469" s="7">
        <f t="shared" si="7"/>
        <v>0</v>
      </c>
      <c r="R469" s="7" t="e">
        <f>IF(VLOOKUP($A469,'Concrete Beam Schedule'!$A$2:$Q$2902,R$2,0)&lt;&gt;B469,VLOOKUP($A469,'Concrete Beam Schedule'!$A$2:$Q$2902,R$2,0),"")</f>
        <v>#N/A</v>
      </c>
      <c r="S469" s="7" t="e">
        <f>IF(VLOOKUP($A469,'Concrete Beam Schedule'!$A$2:$Q$2902,S$2,0)&lt;&gt;C469,VLOOKUP($A469,'Concrete Beam Schedule'!$A$2:$Q$2902,S$2,0),"")</f>
        <v>#N/A</v>
      </c>
      <c r="T469" s="7" t="e">
        <f>IF(VLOOKUP($A469,'Concrete Beam Schedule'!$A$2:$Q$2902,T$2,0)&lt;&gt;D469,"Beam Revised","")</f>
        <v>#N/A</v>
      </c>
      <c r="U469" s="7" t="e">
        <f>IF(VLOOKUP($A469,'Concrete Beam Schedule'!$A$2:$Q$2902,U$2,0)&lt;&gt;E469,"Beam Revised","")</f>
        <v>#N/A</v>
      </c>
      <c r="V469" s="7" t="e">
        <f>IF(VLOOKUP($A469,'Concrete Beam Schedule'!$A$2:$Q$2902,V$2,0)&lt;&gt;F469,"Beam Revised","")</f>
        <v>#N/A</v>
      </c>
      <c r="W469" s="7" t="e">
        <f>IF(VLOOKUP($A469,'Concrete Beam Schedule'!$A$2:$Q$2902,W$2,0)&lt;&gt;G469,"Beam Revised","")</f>
        <v>#N/A</v>
      </c>
      <c r="X469" s="7" t="e">
        <f>IF(VLOOKUP($A469,'Concrete Beam Schedule'!$A$2:$Q$2902,X$2,0)&lt;&gt;H469,"Beam Revised","")</f>
        <v>#N/A</v>
      </c>
      <c r="Y469" s="7" t="e">
        <f>IF(VLOOKUP($A469,'Concrete Beam Schedule'!$A$2:$Q$2902,Y$2,0)&lt;&gt;I469,"Beam Revised","")</f>
        <v>#N/A</v>
      </c>
      <c r="Z469" s="7" t="e">
        <f>IF(VLOOKUP($A469,'Concrete Beam Schedule'!$A$2:$Q$2902,Z$2,0)&lt;&gt;J469,"Beam Revised","")</f>
        <v>#N/A</v>
      </c>
      <c r="AA469" s="7" t="e">
        <f>IF(VLOOKUP($A469,'Concrete Beam Schedule'!$A$2:$Q$2902,AA$2,0)&lt;&gt;K469,"Beam Revised","")</f>
        <v>#N/A</v>
      </c>
      <c r="AB469" s="7" t="e">
        <f>IF(VLOOKUP($A469,'Concrete Beam Schedule'!$A$2:$Q$2902,AB$2,0)&lt;&gt;L469,"Beam Revised","")</f>
        <v>#N/A</v>
      </c>
      <c r="AC469" s="7" t="e">
        <f>IF(VLOOKUP($A469,'Concrete Beam Schedule'!$A$2:$Q$2902,AC$2,0)&lt;&gt;M469,"Beam Revised","")</f>
        <v>#N/A</v>
      </c>
      <c r="AD469" s="7" t="e">
        <f>IF(VLOOKUP($A469,'Concrete Beam Schedule'!$A$2:$Q$2902,AD$2,0)&lt;&gt;N469,"Beam Revised","")</f>
        <v>#N/A</v>
      </c>
      <c r="AE469" s="7" t="e">
        <f>IF(VLOOKUP($A469,'Concrete Beam Schedule'!$A$2:$Q$2902,AE$2,0)&lt;&gt;O469,"Beam Revised","")</f>
        <v>#N/A</v>
      </c>
    </row>
    <row r="470" spans="1:31" ht="25.5" customHeight="1" x14ac:dyDescent="0.25">
      <c r="A470" s="17"/>
      <c r="B470" s="17"/>
      <c r="C470" s="17"/>
      <c r="D470" s="17"/>
      <c r="E470" s="17"/>
      <c r="F470" s="17"/>
      <c r="G470" s="17"/>
      <c r="H470" s="17"/>
      <c r="I470" s="17"/>
      <c r="J470" s="17"/>
      <c r="K470" s="17"/>
      <c r="L470" s="17"/>
      <c r="M470" s="17"/>
      <c r="N470" s="17"/>
      <c r="O470" s="17"/>
      <c r="Q470" s="7">
        <f t="shared" si="7"/>
        <v>0</v>
      </c>
      <c r="R470" s="7" t="e">
        <f>IF(VLOOKUP($A470,'Concrete Beam Schedule'!$A$2:$Q$2902,R$2,0)&lt;&gt;B470,VLOOKUP($A470,'Concrete Beam Schedule'!$A$2:$Q$2902,R$2,0),"")</f>
        <v>#N/A</v>
      </c>
      <c r="S470" s="7" t="e">
        <f>IF(VLOOKUP($A470,'Concrete Beam Schedule'!$A$2:$Q$2902,S$2,0)&lt;&gt;C470,VLOOKUP($A470,'Concrete Beam Schedule'!$A$2:$Q$2902,S$2,0),"")</f>
        <v>#N/A</v>
      </c>
      <c r="T470" s="7" t="e">
        <f>IF(VLOOKUP($A470,'Concrete Beam Schedule'!$A$2:$Q$2902,T$2,0)&lt;&gt;D470,"Beam Revised","")</f>
        <v>#N/A</v>
      </c>
      <c r="U470" s="7" t="e">
        <f>IF(VLOOKUP($A470,'Concrete Beam Schedule'!$A$2:$Q$2902,U$2,0)&lt;&gt;E470,"Beam Revised","")</f>
        <v>#N/A</v>
      </c>
      <c r="V470" s="7" t="e">
        <f>IF(VLOOKUP($A470,'Concrete Beam Schedule'!$A$2:$Q$2902,V$2,0)&lt;&gt;F470,"Beam Revised","")</f>
        <v>#N/A</v>
      </c>
      <c r="W470" s="7" t="e">
        <f>IF(VLOOKUP($A470,'Concrete Beam Schedule'!$A$2:$Q$2902,W$2,0)&lt;&gt;G470,"Beam Revised","")</f>
        <v>#N/A</v>
      </c>
      <c r="X470" s="7" t="e">
        <f>IF(VLOOKUP($A470,'Concrete Beam Schedule'!$A$2:$Q$2902,X$2,0)&lt;&gt;H470,"Beam Revised","")</f>
        <v>#N/A</v>
      </c>
      <c r="Y470" s="7" t="e">
        <f>IF(VLOOKUP($A470,'Concrete Beam Schedule'!$A$2:$Q$2902,Y$2,0)&lt;&gt;I470,"Beam Revised","")</f>
        <v>#N/A</v>
      </c>
      <c r="Z470" s="7" t="e">
        <f>IF(VLOOKUP($A470,'Concrete Beam Schedule'!$A$2:$Q$2902,Z$2,0)&lt;&gt;J470,"Beam Revised","")</f>
        <v>#N/A</v>
      </c>
      <c r="AA470" s="7" t="e">
        <f>IF(VLOOKUP($A470,'Concrete Beam Schedule'!$A$2:$Q$2902,AA$2,0)&lt;&gt;K470,"Beam Revised","")</f>
        <v>#N/A</v>
      </c>
      <c r="AB470" s="7" t="e">
        <f>IF(VLOOKUP($A470,'Concrete Beam Schedule'!$A$2:$Q$2902,AB$2,0)&lt;&gt;L470,"Beam Revised","")</f>
        <v>#N/A</v>
      </c>
      <c r="AC470" s="7" t="e">
        <f>IF(VLOOKUP($A470,'Concrete Beam Schedule'!$A$2:$Q$2902,AC$2,0)&lt;&gt;M470,"Beam Revised","")</f>
        <v>#N/A</v>
      </c>
      <c r="AD470" s="7" t="e">
        <f>IF(VLOOKUP($A470,'Concrete Beam Schedule'!$A$2:$Q$2902,AD$2,0)&lt;&gt;N470,"Beam Revised","")</f>
        <v>#N/A</v>
      </c>
      <c r="AE470" s="7" t="e">
        <f>IF(VLOOKUP($A470,'Concrete Beam Schedule'!$A$2:$Q$2902,AE$2,0)&lt;&gt;O470,"Beam Revised","")</f>
        <v>#N/A</v>
      </c>
    </row>
    <row r="471" spans="1:31" ht="25.5" customHeight="1" x14ac:dyDescent="0.25">
      <c r="A471" s="17"/>
      <c r="B471" s="17"/>
      <c r="C471" s="17"/>
      <c r="D471" s="17"/>
      <c r="E471" s="17"/>
      <c r="F471" s="17"/>
      <c r="G471" s="17"/>
      <c r="H471" s="17"/>
      <c r="I471" s="17"/>
      <c r="J471" s="17"/>
      <c r="K471" s="17"/>
      <c r="L471" s="17"/>
      <c r="M471" s="17"/>
      <c r="N471" s="17"/>
      <c r="O471" s="17"/>
      <c r="Q471" s="7">
        <f t="shared" si="7"/>
        <v>0</v>
      </c>
      <c r="R471" s="7" t="e">
        <f>IF(VLOOKUP($A471,'Concrete Beam Schedule'!$A$2:$Q$2902,R$2,0)&lt;&gt;B471,VLOOKUP($A471,'Concrete Beam Schedule'!$A$2:$Q$2902,R$2,0),"")</f>
        <v>#N/A</v>
      </c>
      <c r="S471" s="7" t="e">
        <f>IF(VLOOKUP($A471,'Concrete Beam Schedule'!$A$2:$Q$2902,S$2,0)&lt;&gt;C471,VLOOKUP($A471,'Concrete Beam Schedule'!$A$2:$Q$2902,S$2,0),"")</f>
        <v>#N/A</v>
      </c>
      <c r="T471" s="7" t="e">
        <f>IF(VLOOKUP($A471,'Concrete Beam Schedule'!$A$2:$Q$2902,T$2,0)&lt;&gt;D471,"Beam Revised","")</f>
        <v>#N/A</v>
      </c>
      <c r="U471" s="7" t="e">
        <f>IF(VLOOKUP($A471,'Concrete Beam Schedule'!$A$2:$Q$2902,U$2,0)&lt;&gt;E471,"Beam Revised","")</f>
        <v>#N/A</v>
      </c>
      <c r="V471" s="7" t="e">
        <f>IF(VLOOKUP($A471,'Concrete Beam Schedule'!$A$2:$Q$2902,V$2,0)&lt;&gt;F471,"Beam Revised","")</f>
        <v>#N/A</v>
      </c>
      <c r="W471" s="7" t="e">
        <f>IF(VLOOKUP($A471,'Concrete Beam Schedule'!$A$2:$Q$2902,W$2,0)&lt;&gt;G471,"Beam Revised","")</f>
        <v>#N/A</v>
      </c>
      <c r="X471" s="7" t="e">
        <f>IF(VLOOKUP($A471,'Concrete Beam Schedule'!$A$2:$Q$2902,X$2,0)&lt;&gt;H471,"Beam Revised","")</f>
        <v>#N/A</v>
      </c>
      <c r="Y471" s="7" t="e">
        <f>IF(VLOOKUP($A471,'Concrete Beam Schedule'!$A$2:$Q$2902,Y$2,0)&lt;&gt;I471,"Beam Revised","")</f>
        <v>#N/A</v>
      </c>
      <c r="Z471" s="7" t="e">
        <f>IF(VLOOKUP($A471,'Concrete Beam Schedule'!$A$2:$Q$2902,Z$2,0)&lt;&gt;J471,"Beam Revised","")</f>
        <v>#N/A</v>
      </c>
      <c r="AA471" s="7" t="e">
        <f>IF(VLOOKUP($A471,'Concrete Beam Schedule'!$A$2:$Q$2902,AA$2,0)&lt;&gt;K471,"Beam Revised","")</f>
        <v>#N/A</v>
      </c>
      <c r="AB471" s="7" t="e">
        <f>IF(VLOOKUP($A471,'Concrete Beam Schedule'!$A$2:$Q$2902,AB$2,0)&lt;&gt;L471,"Beam Revised","")</f>
        <v>#N/A</v>
      </c>
      <c r="AC471" s="7" t="e">
        <f>IF(VLOOKUP($A471,'Concrete Beam Schedule'!$A$2:$Q$2902,AC$2,0)&lt;&gt;M471,"Beam Revised","")</f>
        <v>#N/A</v>
      </c>
      <c r="AD471" s="7" t="e">
        <f>IF(VLOOKUP($A471,'Concrete Beam Schedule'!$A$2:$Q$2902,AD$2,0)&lt;&gt;N471,"Beam Revised","")</f>
        <v>#N/A</v>
      </c>
      <c r="AE471" s="7" t="e">
        <f>IF(VLOOKUP($A471,'Concrete Beam Schedule'!$A$2:$Q$2902,AE$2,0)&lt;&gt;O471,"Beam Revised","")</f>
        <v>#N/A</v>
      </c>
    </row>
    <row r="472" spans="1:31" ht="25.5" customHeight="1" x14ac:dyDescent="0.25">
      <c r="A472" s="17"/>
      <c r="B472" s="17"/>
      <c r="C472" s="17"/>
      <c r="D472" s="17"/>
      <c r="E472" s="17"/>
      <c r="F472" s="17"/>
      <c r="G472" s="17"/>
      <c r="H472" s="17"/>
      <c r="I472" s="17"/>
      <c r="J472" s="17"/>
      <c r="K472" s="17"/>
      <c r="L472" s="17"/>
      <c r="M472" s="17"/>
      <c r="N472" s="17"/>
      <c r="O472" s="17"/>
      <c r="Q472" s="7">
        <f t="shared" si="7"/>
        <v>0</v>
      </c>
      <c r="R472" s="7" t="e">
        <f>IF(VLOOKUP($A472,'Concrete Beam Schedule'!$A$2:$Q$2902,R$2,0)&lt;&gt;B472,VLOOKUP($A472,'Concrete Beam Schedule'!$A$2:$Q$2902,R$2,0),"")</f>
        <v>#N/A</v>
      </c>
      <c r="S472" s="7" t="e">
        <f>IF(VLOOKUP($A472,'Concrete Beam Schedule'!$A$2:$Q$2902,S$2,0)&lt;&gt;C472,VLOOKUP($A472,'Concrete Beam Schedule'!$A$2:$Q$2902,S$2,0),"")</f>
        <v>#N/A</v>
      </c>
      <c r="T472" s="7" t="e">
        <f>IF(VLOOKUP($A472,'Concrete Beam Schedule'!$A$2:$Q$2902,T$2,0)&lt;&gt;D472,"Beam Revised","")</f>
        <v>#N/A</v>
      </c>
      <c r="U472" s="7" t="e">
        <f>IF(VLOOKUP($A472,'Concrete Beam Schedule'!$A$2:$Q$2902,U$2,0)&lt;&gt;E472,"Beam Revised","")</f>
        <v>#N/A</v>
      </c>
      <c r="V472" s="7" t="e">
        <f>IF(VLOOKUP($A472,'Concrete Beam Schedule'!$A$2:$Q$2902,V$2,0)&lt;&gt;F472,"Beam Revised","")</f>
        <v>#N/A</v>
      </c>
      <c r="W472" s="7" t="e">
        <f>IF(VLOOKUP($A472,'Concrete Beam Schedule'!$A$2:$Q$2902,W$2,0)&lt;&gt;G472,"Beam Revised","")</f>
        <v>#N/A</v>
      </c>
      <c r="X472" s="7" t="e">
        <f>IF(VLOOKUP($A472,'Concrete Beam Schedule'!$A$2:$Q$2902,X$2,0)&lt;&gt;H472,"Beam Revised","")</f>
        <v>#N/A</v>
      </c>
      <c r="Y472" s="7" t="e">
        <f>IF(VLOOKUP($A472,'Concrete Beam Schedule'!$A$2:$Q$2902,Y$2,0)&lt;&gt;I472,"Beam Revised","")</f>
        <v>#N/A</v>
      </c>
      <c r="Z472" s="7" t="e">
        <f>IF(VLOOKUP($A472,'Concrete Beam Schedule'!$A$2:$Q$2902,Z$2,0)&lt;&gt;J472,"Beam Revised","")</f>
        <v>#N/A</v>
      </c>
      <c r="AA472" s="7" t="e">
        <f>IF(VLOOKUP($A472,'Concrete Beam Schedule'!$A$2:$Q$2902,AA$2,0)&lt;&gt;K472,"Beam Revised","")</f>
        <v>#N/A</v>
      </c>
      <c r="AB472" s="7" t="e">
        <f>IF(VLOOKUP($A472,'Concrete Beam Schedule'!$A$2:$Q$2902,AB$2,0)&lt;&gt;L472,"Beam Revised","")</f>
        <v>#N/A</v>
      </c>
      <c r="AC472" s="7" t="e">
        <f>IF(VLOOKUP($A472,'Concrete Beam Schedule'!$A$2:$Q$2902,AC$2,0)&lt;&gt;M472,"Beam Revised","")</f>
        <v>#N/A</v>
      </c>
      <c r="AD472" s="7" t="e">
        <f>IF(VLOOKUP($A472,'Concrete Beam Schedule'!$A$2:$Q$2902,AD$2,0)&lt;&gt;N472,"Beam Revised","")</f>
        <v>#N/A</v>
      </c>
      <c r="AE472" s="7" t="e">
        <f>IF(VLOOKUP($A472,'Concrete Beam Schedule'!$A$2:$Q$2902,AE$2,0)&lt;&gt;O472,"Beam Revised","")</f>
        <v>#N/A</v>
      </c>
    </row>
    <row r="473" spans="1:31" ht="25.5" customHeight="1" x14ac:dyDescent="0.25">
      <c r="A473" s="17"/>
      <c r="B473" s="17"/>
      <c r="C473" s="17"/>
      <c r="D473" s="17"/>
      <c r="E473" s="17"/>
      <c r="F473" s="17"/>
      <c r="G473" s="17"/>
      <c r="H473" s="17"/>
      <c r="I473" s="17"/>
      <c r="J473" s="17"/>
      <c r="K473" s="17"/>
      <c r="L473" s="17"/>
      <c r="M473" s="17"/>
      <c r="N473" s="17"/>
      <c r="O473" s="17"/>
      <c r="Q473" s="7">
        <f t="shared" si="7"/>
        <v>0</v>
      </c>
      <c r="R473" s="7" t="e">
        <f>IF(VLOOKUP($A473,'Concrete Beam Schedule'!$A$2:$Q$2902,R$2,0)&lt;&gt;B473,VLOOKUP($A473,'Concrete Beam Schedule'!$A$2:$Q$2902,R$2,0),"")</f>
        <v>#N/A</v>
      </c>
      <c r="S473" s="7" t="e">
        <f>IF(VLOOKUP($A473,'Concrete Beam Schedule'!$A$2:$Q$2902,S$2,0)&lt;&gt;C473,VLOOKUP($A473,'Concrete Beam Schedule'!$A$2:$Q$2902,S$2,0),"")</f>
        <v>#N/A</v>
      </c>
      <c r="T473" s="7" t="e">
        <f>IF(VLOOKUP($A473,'Concrete Beam Schedule'!$A$2:$Q$2902,T$2,0)&lt;&gt;D473,"Beam Revised","")</f>
        <v>#N/A</v>
      </c>
      <c r="U473" s="7" t="e">
        <f>IF(VLOOKUP($A473,'Concrete Beam Schedule'!$A$2:$Q$2902,U$2,0)&lt;&gt;E473,"Beam Revised","")</f>
        <v>#N/A</v>
      </c>
      <c r="V473" s="7" t="e">
        <f>IF(VLOOKUP($A473,'Concrete Beam Schedule'!$A$2:$Q$2902,V$2,0)&lt;&gt;F473,"Beam Revised","")</f>
        <v>#N/A</v>
      </c>
      <c r="W473" s="7" t="e">
        <f>IF(VLOOKUP($A473,'Concrete Beam Schedule'!$A$2:$Q$2902,W$2,0)&lt;&gt;G473,"Beam Revised","")</f>
        <v>#N/A</v>
      </c>
      <c r="X473" s="7" t="e">
        <f>IF(VLOOKUP($A473,'Concrete Beam Schedule'!$A$2:$Q$2902,X$2,0)&lt;&gt;H473,"Beam Revised","")</f>
        <v>#N/A</v>
      </c>
      <c r="Y473" s="7" t="e">
        <f>IF(VLOOKUP($A473,'Concrete Beam Schedule'!$A$2:$Q$2902,Y$2,0)&lt;&gt;I473,"Beam Revised","")</f>
        <v>#N/A</v>
      </c>
      <c r="Z473" s="7" t="e">
        <f>IF(VLOOKUP($A473,'Concrete Beam Schedule'!$A$2:$Q$2902,Z$2,0)&lt;&gt;J473,"Beam Revised","")</f>
        <v>#N/A</v>
      </c>
      <c r="AA473" s="7" t="e">
        <f>IF(VLOOKUP($A473,'Concrete Beam Schedule'!$A$2:$Q$2902,AA$2,0)&lt;&gt;K473,"Beam Revised","")</f>
        <v>#N/A</v>
      </c>
      <c r="AB473" s="7" t="e">
        <f>IF(VLOOKUP($A473,'Concrete Beam Schedule'!$A$2:$Q$2902,AB$2,0)&lt;&gt;L473,"Beam Revised","")</f>
        <v>#N/A</v>
      </c>
      <c r="AC473" s="7" t="e">
        <f>IF(VLOOKUP($A473,'Concrete Beam Schedule'!$A$2:$Q$2902,AC$2,0)&lt;&gt;M473,"Beam Revised","")</f>
        <v>#N/A</v>
      </c>
      <c r="AD473" s="7" t="e">
        <f>IF(VLOOKUP($A473,'Concrete Beam Schedule'!$A$2:$Q$2902,AD$2,0)&lt;&gt;N473,"Beam Revised","")</f>
        <v>#N/A</v>
      </c>
      <c r="AE473" s="7" t="e">
        <f>IF(VLOOKUP($A473,'Concrete Beam Schedule'!$A$2:$Q$2902,AE$2,0)&lt;&gt;O473,"Beam Revised","")</f>
        <v>#N/A</v>
      </c>
    </row>
    <row r="474" spans="1:31" ht="25.5" customHeight="1" x14ac:dyDescent="0.25">
      <c r="A474" s="17"/>
      <c r="B474" s="17"/>
      <c r="C474" s="17"/>
      <c r="D474" s="17"/>
      <c r="E474" s="17"/>
      <c r="F474" s="17"/>
      <c r="G474" s="17"/>
      <c r="H474" s="17"/>
      <c r="I474" s="17"/>
      <c r="J474" s="17"/>
      <c r="K474" s="17"/>
      <c r="L474" s="17"/>
      <c r="M474" s="17"/>
      <c r="N474" s="17"/>
      <c r="O474" s="17"/>
      <c r="Q474" s="7">
        <f t="shared" si="7"/>
        <v>0</v>
      </c>
      <c r="R474" s="7" t="e">
        <f>IF(VLOOKUP($A474,'Concrete Beam Schedule'!$A$2:$Q$2902,R$2,0)&lt;&gt;B474,VLOOKUP($A474,'Concrete Beam Schedule'!$A$2:$Q$2902,R$2,0),"")</f>
        <v>#N/A</v>
      </c>
      <c r="S474" s="7" t="e">
        <f>IF(VLOOKUP($A474,'Concrete Beam Schedule'!$A$2:$Q$2902,S$2,0)&lt;&gt;C474,VLOOKUP($A474,'Concrete Beam Schedule'!$A$2:$Q$2902,S$2,0),"")</f>
        <v>#N/A</v>
      </c>
      <c r="T474" s="7" t="e">
        <f>IF(VLOOKUP($A474,'Concrete Beam Schedule'!$A$2:$Q$2902,T$2,0)&lt;&gt;D474,"Beam Revised","")</f>
        <v>#N/A</v>
      </c>
      <c r="U474" s="7" t="e">
        <f>IF(VLOOKUP($A474,'Concrete Beam Schedule'!$A$2:$Q$2902,U$2,0)&lt;&gt;E474,"Beam Revised","")</f>
        <v>#N/A</v>
      </c>
      <c r="V474" s="7" t="e">
        <f>IF(VLOOKUP($A474,'Concrete Beam Schedule'!$A$2:$Q$2902,V$2,0)&lt;&gt;F474,"Beam Revised","")</f>
        <v>#N/A</v>
      </c>
      <c r="W474" s="7" t="e">
        <f>IF(VLOOKUP($A474,'Concrete Beam Schedule'!$A$2:$Q$2902,W$2,0)&lt;&gt;G474,"Beam Revised","")</f>
        <v>#N/A</v>
      </c>
      <c r="X474" s="7" t="e">
        <f>IF(VLOOKUP($A474,'Concrete Beam Schedule'!$A$2:$Q$2902,X$2,0)&lt;&gt;H474,"Beam Revised","")</f>
        <v>#N/A</v>
      </c>
      <c r="Y474" s="7" t="e">
        <f>IF(VLOOKUP($A474,'Concrete Beam Schedule'!$A$2:$Q$2902,Y$2,0)&lt;&gt;I474,"Beam Revised","")</f>
        <v>#N/A</v>
      </c>
      <c r="Z474" s="7" t="e">
        <f>IF(VLOOKUP($A474,'Concrete Beam Schedule'!$A$2:$Q$2902,Z$2,0)&lt;&gt;J474,"Beam Revised","")</f>
        <v>#N/A</v>
      </c>
      <c r="AA474" s="7" t="e">
        <f>IF(VLOOKUP($A474,'Concrete Beam Schedule'!$A$2:$Q$2902,AA$2,0)&lt;&gt;K474,"Beam Revised","")</f>
        <v>#N/A</v>
      </c>
      <c r="AB474" s="7" t="e">
        <f>IF(VLOOKUP($A474,'Concrete Beam Schedule'!$A$2:$Q$2902,AB$2,0)&lt;&gt;L474,"Beam Revised","")</f>
        <v>#N/A</v>
      </c>
      <c r="AC474" s="7" t="e">
        <f>IF(VLOOKUP($A474,'Concrete Beam Schedule'!$A$2:$Q$2902,AC$2,0)&lt;&gt;M474,"Beam Revised","")</f>
        <v>#N/A</v>
      </c>
      <c r="AD474" s="7" t="e">
        <f>IF(VLOOKUP($A474,'Concrete Beam Schedule'!$A$2:$Q$2902,AD$2,0)&lt;&gt;N474,"Beam Revised","")</f>
        <v>#N/A</v>
      </c>
      <c r="AE474" s="7" t="e">
        <f>IF(VLOOKUP($A474,'Concrete Beam Schedule'!$A$2:$Q$2902,AE$2,0)&lt;&gt;O474,"Beam Revised","")</f>
        <v>#N/A</v>
      </c>
    </row>
    <row r="475" spans="1:31" ht="25.5" customHeight="1" x14ac:dyDescent="0.25">
      <c r="A475" s="17"/>
      <c r="B475" s="17"/>
      <c r="C475" s="17"/>
      <c r="D475" s="17"/>
      <c r="E475" s="17"/>
      <c r="F475" s="17"/>
      <c r="G475" s="17"/>
      <c r="H475" s="17"/>
      <c r="I475" s="17"/>
      <c r="J475" s="17"/>
      <c r="K475" s="17"/>
      <c r="L475" s="17"/>
      <c r="M475" s="17"/>
      <c r="N475" s="17"/>
      <c r="O475" s="17"/>
      <c r="Q475" s="7">
        <f t="shared" si="7"/>
        <v>0</v>
      </c>
      <c r="R475" s="7" t="e">
        <f>IF(VLOOKUP($A475,'Concrete Beam Schedule'!$A$2:$Q$2902,R$2,0)&lt;&gt;B475,VLOOKUP($A475,'Concrete Beam Schedule'!$A$2:$Q$2902,R$2,0),"")</f>
        <v>#N/A</v>
      </c>
      <c r="S475" s="7" t="e">
        <f>IF(VLOOKUP($A475,'Concrete Beam Schedule'!$A$2:$Q$2902,S$2,0)&lt;&gt;C475,VLOOKUP($A475,'Concrete Beam Schedule'!$A$2:$Q$2902,S$2,0),"")</f>
        <v>#N/A</v>
      </c>
      <c r="T475" s="7" t="e">
        <f>IF(VLOOKUP($A475,'Concrete Beam Schedule'!$A$2:$Q$2902,T$2,0)&lt;&gt;D475,"Beam Revised","")</f>
        <v>#N/A</v>
      </c>
      <c r="U475" s="7" t="e">
        <f>IF(VLOOKUP($A475,'Concrete Beam Schedule'!$A$2:$Q$2902,U$2,0)&lt;&gt;E475,"Beam Revised","")</f>
        <v>#N/A</v>
      </c>
      <c r="V475" s="7" t="e">
        <f>IF(VLOOKUP($A475,'Concrete Beam Schedule'!$A$2:$Q$2902,V$2,0)&lt;&gt;F475,"Beam Revised","")</f>
        <v>#N/A</v>
      </c>
      <c r="W475" s="7" t="e">
        <f>IF(VLOOKUP($A475,'Concrete Beam Schedule'!$A$2:$Q$2902,W$2,0)&lt;&gt;G475,"Beam Revised","")</f>
        <v>#N/A</v>
      </c>
      <c r="X475" s="7" t="e">
        <f>IF(VLOOKUP($A475,'Concrete Beam Schedule'!$A$2:$Q$2902,X$2,0)&lt;&gt;H475,"Beam Revised","")</f>
        <v>#N/A</v>
      </c>
      <c r="Y475" s="7" t="e">
        <f>IF(VLOOKUP($A475,'Concrete Beam Schedule'!$A$2:$Q$2902,Y$2,0)&lt;&gt;I475,"Beam Revised","")</f>
        <v>#N/A</v>
      </c>
      <c r="Z475" s="7" t="e">
        <f>IF(VLOOKUP($A475,'Concrete Beam Schedule'!$A$2:$Q$2902,Z$2,0)&lt;&gt;J475,"Beam Revised","")</f>
        <v>#N/A</v>
      </c>
      <c r="AA475" s="7" t="e">
        <f>IF(VLOOKUP($A475,'Concrete Beam Schedule'!$A$2:$Q$2902,AA$2,0)&lt;&gt;K475,"Beam Revised","")</f>
        <v>#N/A</v>
      </c>
      <c r="AB475" s="7" t="e">
        <f>IF(VLOOKUP($A475,'Concrete Beam Schedule'!$A$2:$Q$2902,AB$2,0)&lt;&gt;L475,"Beam Revised","")</f>
        <v>#N/A</v>
      </c>
      <c r="AC475" s="7" t="e">
        <f>IF(VLOOKUP($A475,'Concrete Beam Schedule'!$A$2:$Q$2902,AC$2,0)&lt;&gt;M475,"Beam Revised","")</f>
        <v>#N/A</v>
      </c>
      <c r="AD475" s="7" t="e">
        <f>IF(VLOOKUP($A475,'Concrete Beam Schedule'!$A$2:$Q$2902,AD$2,0)&lt;&gt;N475,"Beam Revised","")</f>
        <v>#N/A</v>
      </c>
      <c r="AE475" s="7" t="e">
        <f>IF(VLOOKUP($A475,'Concrete Beam Schedule'!$A$2:$Q$2902,AE$2,0)&lt;&gt;O475,"Beam Revised","")</f>
        <v>#N/A</v>
      </c>
    </row>
    <row r="476" spans="1:31" ht="25.5" customHeight="1" x14ac:dyDescent="0.25">
      <c r="A476" s="17"/>
      <c r="B476" s="17"/>
      <c r="C476" s="17"/>
      <c r="D476" s="17"/>
      <c r="E476" s="17"/>
      <c r="F476" s="17"/>
      <c r="G476" s="17"/>
      <c r="H476" s="17"/>
      <c r="I476" s="17"/>
      <c r="J476" s="17"/>
      <c r="K476" s="17"/>
      <c r="L476" s="17"/>
      <c r="M476" s="17"/>
      <c r="N476" s="17"/>
      <c r="O476" s="17"/>
      <c r="Q476" s="7">
        <f t="shared" si="7"/>
        <v>0</v>
      </c>
      <c r="R476" s="7" t="e">
        <f>IF(VLOOKUP($A476,'Concrete Beam Schedule'!$A$2:$Q$2902,R$2,0)&lt;&gt;B476,VLOOKUP($A476,'Concrete Beam Schedule'!$A$2:$Q$2902,R$2,0),"")</f>
        <v>#N/A</v>
      </c>
      <c r="S476" s="7" t="e">
        <f>IF(VLOOKUP($A476,'Concrete Beam Schedule'!$A$2:$Q$2902,S$2,0)&lt;&gt;C476,VLOOKUP($A476,'Concrete Beam Schedule'!$A$2:$Q$2902,S$2,0),"")</f>
        <v>#N/A</v>
      </c>
      <c r="T476" s="7" t="e">
        <f>IF(VLOOKUP($A476,'Concrete Beam Schedule'!$A$2:$Q$2902,T$2,0)&lt;&gt;D476,"Beam Revised","")</f>
        <v>#N/A</v>
      </c>
      <c r="U476" s="7" t="e">
        <f>IF(VLOOKUP($A476,'Concrete Beam Schedule'!$A$2:$Q$2902,U$2,0)&lt;&gt;E476,"Beam Revised","")</f>
        <v>#N/A</v>
      </c>
      <c r="V476" s="7" t="e">
        <f>IF(VLOOKUP($A476,'Concrete Beam Schedule'!$A$2:$Q$2902,V$2,0)&lt;&gt;F476,"Beam Revised","")</f>
        <v>#N/A</v>
      </c>
      <c r="W476" s="7" t="e">
        <f>IF(VLOOKUP($A476,'Concrete Beam Schedule'!$A$2:$Q$2902,W$2,0)&lt;&gt;G476,"Beam Revised","")</f>
        <v>#N/A</v>
      </c>
      <c r="X476" s="7" t="e">
        <f>IF(VLOOKUP($A476,'Concrete Beam Schedule'!$A$2:$Q$2902,X$2,0)&lt;&gt;H476,"Beam Revised","")</f>
        <v>#N/A</v>
      </c>
      <c r="Y476" s="7" t="e">
        <f>IF(VLOOKUP($A476,'Concrete Beam Schedule'!$A$2:$Q$2902,Y$2,0)&lt;&gt;I476,"Beam Revised","")</f>
        <v>#N/A</v>
      </c>
      <c r="Z476" s="7" t="e">
        <f>IF(VLOOKUP($A476,'Concrete Beam Schedule'!$A$2:$Q$2902,Z$2,0)&lt;&gt;J476,"Beam Revised","")</f>
        <v>#N/A</v>
      </c>
      <c r="AA476" s="7" t="e">
        <f>IF(VLOOKUP($A476,'Concrete Beam Schedule'!$A$2:$Q$2902,AA$2,0)&lt;&gt;K476,"Beam Revised","")</f>
        <v>#N/A</v>
      </c>
      <c r="AB476" s="7" t="e">
        <f>IF(VLOOKUP($A476,'Concrete Beam Schedule'!$A$2:$Q$2902,AB$2,0)&lt;&gt;L476,"Beam Revised","")</f>
        <v>#N/A</v>
      </c>
      <c r="AC476" s="7" t="e">
        <f>IF(VLOOKUP($A476,'Concrete Beam Schedule'!$A$2:$Q$2902,AC$2,0)&lt;&gt;M476,"Beam Revised","")</f>
        <v>#N/A</v>
      </c>
      <c r="AD476" s="7" t="e">
        <f>IF(VLOOKUP($A476,'Concrete Beam Schedule'!$A$2:$Q$2902,AD$2,0)&lt;&gt;N476,"Beam Revised","")</f>
        <v>#N/A</v>
      </c>
      <c r="AE476" s="7" t="e">
        <f>IF(VLOOKUP($A476,'Concrete Beam Schedule'!$A$2:$Q$2902,AE$2,0)&lt;&gt;O476,"Beam Revised","")</f>
        <v>#N/A</v>
      </c>
    </row>
    <row r="477" spans="1:31" ht="25.5" customHeight="1" x14ac:dyDescent="0.25">
      <c r="A477" s="17"/>
      <c r="B477" s="17"/>
      <c r="C477" s="17"/>
      <c r="D477" s="17"/>
      <c r="E477" s="17"/>
      <c r="F477" s="17"/>
      <c r="G477" s="17"/>
      <c r="H477" s="17"/>
      <c r="I477" s="17"/>
      <c r="J477" s="17"/>
      <c r="K477" s="17"/>
      <c r="L477" s="17"/>
      <c r="M477" s="17"/>
      <c r="N477" s="17"/>
      <c r="O477" s="17"/>
      <c r="Q477" s="7">
        <f t="shared" si="7"/>
        <v>0</v>
      </c>
      <c r="R477" s="7" t="e">
        <f>IF(VLOOKUP($A477,'Concrete Beam Schedule'!$A$2:$Q$2902,R$2,0)&lt;&gt;B477,VLOOKUP($A477,'Concrete Beam Schedule'!$A$2:$Q$2902,R$2,0),"")</f>
        <v>#N/A</v>
      </c>
      <c r="S477" s="7" t="e">
        <f>IF(VLOOKUP($A477,'Concrete Beam Schedule'!$A$2:$Q$2902,S$2,0)&lt;&gt;C477,VLOOKUP($A477,'Concrete Beam Schedule'!$A$2:$Q$2902,S$2,0),"")</f>
        <v>#N/A</v>
      </c>
      <c r="T477" s="7" t="e">
        <f>IF(VLOOKUP($A477,'Concrete Beam Schedule'!$A$2:$Q$2902,T$2,0)&lt;&gt;D477,"Beam Revised","")</f>
        <v>#N/A</v>
      </c>
      <c r="U477" s="7" t="e">
        <f>IF(VLOOKUP($A477,'Concrete Beam Schedule'!$A$2:$Q$2902,U$2,0)&lt;&gt;E477,"Beam Revised","")</f>
        <v>#N/A</v>
      </c>
      <c r="V477" s="7" t="e">
        <f>IF(VLOOKUP($A477,'Concrete Beam Schedule'!$A$2:$Q$2902,V$2,0)&lt;&gt;F477,"Beam Revised","")</f>
        <v>#N/A</v>
      </c>
      <c r="W477" s="7" t="e">
        <f>IF(VLOOKUP($A477,'Concrete Beam Schedule'!$A$2:$Q$2902,W$2,0)&lt;&gt;G477,"Beam Revised","")</f>
        <v>#N/A</v>
      </c>
      <c r="X477" s="7" t="e">
        <f>IF(VLOOKUP($A477,'Concrete Beam Schedule'!$A$2:$Q$2902,X$2,0)&lt;&gt;H477,"Beam Revised","")</f>
        <v>#N/A</v>
      </c>
      <c r="Y477" s="7" t="e">
        <f>IF(VLOOKUP($A477,'Concrete Beam Schedule'!$A$2:$Q$2902,Y$2,0)&lt;&gt;I477,"Beam Revised","")</f>
        <v>#N/A</v>
      </c>
      <c r="Z477" s="7" t="e">
        <f>IF(VLOOKUP($A477,'Concrete Beam Schedule'!$A$2:$Q$2902,Z$2,0)&lt;&gt;J477,"Beam Revised","")</f>
        <v>#N/A</v>
      </c>
      <c r="AA477" s="7" t="e">
        <f>IF(VLOOKUP($A477,'Concrete Beam Schedule'!$A$2:$Q$2902,AA$2,0)&lt;&gt;K477,"Beam Revised","")</f>
        <v>#N/A</v>
      </c>
      <c r="AB477" s="7" t="e">
        <f>IF(VLOOKUP($A477,'Concrete Beam Schedule'!$A$2:$Q$2902,AB$2,0)&lt;&gt;L477,"Beam Revised","")</f>
        <v>#N/A</v>
      </c>
      <c r="AC477" s="7" t="e">
        <f>IF(VLOOKUP($A477,'Concrete Beam Schedule'!$A$2:$Q$2902,AC$2,0)&lt;&gt;M477,"Beam Revised","")</f>
        <v>#N/A</v>
      </c>
      <c r="AD477" s="7" t="e">
        <f>IF(VLOOKUP($A477,'Concrete Beam Schedule'!$A$2:$Q$2902,AD$2,0)&lt;&gt;N477,"Beam Revised","")</f>
        <v>#N/A</v>
      </c>
      <c r="AE477" s="7" t="e">
        <f>IF(VLOOKUP($A477,'Concrete Beam Schedule'!$A$2:$Q$2902,AE$2,0)&lt;&gt;O477,"Beam Revised","")</f>
        <v>#N/A</v>
      </c>
    </row>
    <row r="478" spans="1:31" ht="25.5" customHeight="1" x14ac:dyDescent="0.25">
      <c r="A478" s="17"/>
      <c r="B478" s="17"/>
      <c r="C478" s="17"/>
      <c r="D478" s="17"/>
      <c r="E478" s="17"/>
      <c r="F478" s="17"/>
      <c r="G478" s="17"/>
      <c r="H478" s="17"/>
      <c r="I478" s="17"/>
      <c r="J478" s="17"/>
      <c r="K478" s="17"/>
      <c r="L478" s="17"/>
      <c r="M478" s="17"/>
      <c r="N478" s="17"/>
      <c r="O478" s="17"/>
      <c r="Q478" s="7">
        <f t="shared" si="7"/>
        <v>0</v>
      </c>
      <c r="R478" s="7" t="e">
        <f>IF(VLOOKUP($A478,'Concrete Beam Schedule'!$A$2:$Q$2902,R$2,0)&lt;&gt;B478,VLOOKUP($A478,'Concrete Beam Schedule'!$A$2:$Q$2902,R$2,0),"")</f>
        <v>#N/A</v>
      </c>
      <c r="S478" s="7" t="e">
        <f>IF(VLOOKUP($A478,'Concrete Beam Schedule'!$A$2:$Q$2902,S$2,0)&lt;&gt;C478,VLOOKUP($A478,'Concrete Beam Schedule'!$A$2:$Q$2902,S$2,0),"")</f>
        <v>#N/A</v>
      </c>
      <c r="T478" s="7" t="e">
        <f>IF(VLOOKUP($A478,'Concrete Beam Schedule'!$A$2:$Q$2902,T$2,0)&lt;&gt;D478,"Beam Revised","")</f>
        <v>#N/A</v>
      </c>
      <c r="U478" s="7" t="e">
        <f>IF(VLOOKUP($A478,'Concrete Beam Schedule'!$A$2:$Q$2902,U$2,0)&lt;&gt;E478,"Beam Revised","")</f>
        <v>#N/A</v>
      </c>
      <c r="V478" s="7" t="e">
        <f>IF(VLOOKUP($A478,'Concrete Beam Schedule'!$A$2:$Q$2902,V$2,0)&lt;&gt;F478,"Beam Revised","")</f>
        <v>#N/A</v>
      </c>
      <c r="W478" s="7" t="e">
        <f>IF(VLOOKUP($A478,'Concrete Beam Schedule'!$A$2:$Q$2902,W$2,0)&lt;&gt;G478,"Beam Revised","")</f>
        <v>#N/A</v>
      </c>
      <c r="X478" s="7" t="e">
        <f>IF(VLOOKUP($A478,'Concrete Beam Schedule'!$A$2:$Q$2902,X$2,0)&lt;&gt;H478,"Beam Revised","")</f>
        <v>#N/A</v>
      </c>
      <c r="Y478" s="7" t="e">
        <f>IF(VLOOKUP($A478,'Concrete Beam Schedule'!$A$2:$Q$2902,Y$2,0)&lt;&gt;I478,"Beam Revised","")</f>
        <v>#N/A</v>
      </c>
      <c r="Z478" s="7" t="e">
        <f>IF(VLOOKUP($A478,'Concrete Beam Schedule'!$A$2:$Q$2902,Z$2,0)&lt;&gt;J478,"Beam Revised","")</f>
        <v>#N/A</v>
      </c>
      <c r="AA478" s="7" t="e">
        <f>IF(VLOOKUP($A478,'Concrete Beam Schedule'!$A$2:$Q$2902,AA$2,0)&lt;&gt;K478,"Beam Revised","")</f>
        <v>#N/A</v>
      </c>
      <c r="AB478" s="7" t="e">
        <f>IF(VLOOKUP($A478,'Concrete Beam Schedule'!$A$2:$Q$2902,AB$2,0)&lt;&gt;L478,"Beam Revised","")</f>
        <v>#N/A</v>
      </c>
      <c r="AC478" s="7" t="e">
        <f>IF(VLOOKUP($A478,'Concrete Beam Schedule'!$A$2:$Q$2902,AC$2,0)&lt;&gt;M478,"Beam Revised","")</f>
        <v>#N/A</v>
      </c>
      <c r="AD478" s="7" t="e">
        <f>IF(VLOOKUP($A478,'Concrete Beam Schedule'!$A$2:$Q$2902,AD$2,0)&lt;&gt;N478,"Beam Revised","")</f>
        <v>#N/A</v>
      </c>
      <c r="AE478" s="7" t="e">
        <f>IF(VLOOKUP($A478,'Concrete Beam Schedule'!$A$2:$Q$2902,AE$2,0)&lt;&gt;O478,"Beam Revised","")</f>
        <v>#N/A</v>
      </c>
    </row>
    <row r="479" spans="1:31" ht="25.5" customHeight="1" x14ac:dyDescent="0.25">
      <c r="A479" s="17"/>
      <c r="B479" s="17"/>
      <c r="C479" s="17"/>
      <c r="D479" s="17"/>
      <c r="E479" s="17"/>
      <c r="F479" s="17"/>
      <c r="G479" s="17"/>
      <c r="H479" s="17"/>
      <c r="I479" s="17"/>
      <c r="J479" s="17"/>
      <c r="K479" s="17"/>
      <c r="L479" s="17"/>
      <c r="M479" s="17"/>
      <c r="N479" s="17"/>
      <c r="O479" s="17"/>
      <c r="Q479" s="7">
        <f t="shared" si="7"/>
        <v>0</v>
      </c>
      <c r="R479" s="7" t="e">
        <f>IF(VLOOKUP($A479,'Concrete Beam Schedule'!$A$2:$Q$2902,R$2,0)&lt;&gt;B479,VLOOKUP($A479,'Concrete Beam Schedule'!$A$2:$Q$2902,R$2,0),"")</f>
        <v>#N/A</v>
      </c>
      <c r="S479" s="7" t="e">
        <f>IF(VLOOKUP($A479,'Concrete Beam Schedule'!$A$2:$Q$2902,S$2,0)&lt;&gt;C479,VLOOKUP($A479,'Concrete Beam Schedule'!$A$2:$Q$2902,S$2,0),"")</f>
        <v>#N/A</v>
      </c>
      <c r="T479" s="7" t="e">
        <f>IF(VLOOKUP($A479,'Concrete Beam Schedule'!$A$2:$Q$2902,T$2,0)&lt;&gt;D479,"Beam Revised","")</f>
        <v>#N/A</v>
      </c>
      <c r="U479" s="7" t="e">
        <f>IF(VLOOKUP($A479,'Concrete Beam Schedule'!$A$2:$Q$2902,U$2,0)&lt;&gt;E479,"Beam Revised","")</f>
        <v>#N/A</v>
      </c>
      <c r="V479" s="7" t="e">
        <f>IF(VLOOKUP($A479,'Concrete Beam Schedule'!$A$2:$Q$2902,V$2,0)&lt;&gt;F479,"Beam Revised","")</f>
        <v>#N/A</v>
      </c>
      <c r="W479" s="7" t="e">
        <f>IF(VLOOKUP($A479,'Concrete Beam Schedule'!$A$2:$Q$2902,W$2,0)&lt;&gt;G479,"Beam Revised","")</f>
        <v>#N/A</v>
      </c>
      <c r="X479" s="7" t="e">
        <f>IF(VLOOKUP($A479,'Concrete Beam Schedule'!$A$2:$Q$2902,X$2,0)&lt;&gt;H479,"Beam Revised","")</f>
        <v>#N/A</v>
      </c>
      <c r="Y479" s="7" t="e">
        <f>IF(VLOOKUP($A479,'Concrete Beam Schedule'!$A$2:$Q$2902,Y$2,0)&lt;&gt;I479,"Beam Revised","")</f>
        <v>#N/A</v>
      </c>
      <c r="Z479" s="7" t="e">
        <f>IF(VLOOKUP($A479,'Concrete Beam Schedule'!$A$2:$Q$2902,Z$2,0)&lt;&gt;J479,"Beam Revised","")</f>
        <v>#N/A</v>
      </c>
      <c r="AA479" s="7" t="e">
        <f>IF(VLOOKUP($A479,'Concrete Beam Schedule'!$A$2:$Q$2902,AA$2,0)&lt;&gt;K479,"Beam Revised","")</f>
        <v>#N/A</v>
      </c>
      <c r="AB479" s="7" t="e">
        <f>IF(VLOOKUP($A479,'Concrete Beam Schedule'!$A$2:$Q$2902,AB$2,0)&lt;&gt;L479,"Beam Revised","")</f>
        <v>#N/A</v>
      </c>
      <c r="AC479" s="7" t="e">
        <f>IF(VLOOKUP($A479,'Concrete Beam Schedule'!$A$2:$Q$2902,AC$2,0)&lt;&gt;M479,"Beam Revised","")</f>
        <v>#N/A</v>
      </c>
      <c r="AD479" s="7" t="e">
        <f>IF(VLOOKUP($A479,'Concrete Beam Schedule'!$A$2:$Q$2902,AD$2,0)&lt;&gt;N479,"Beam Revised","")</f>
        <v>#N/A</v>
      </c>
      <c r="AE479" s="7" t="e">
        <f>IF(VLOOKUP($A479,'Concrete Beam Schedule'!$A$2:$Q$2902,AE$2,0)&lt;&gt;O479,"Beam Revised","")</f>
        <v>#N/A</v>
      </c>
    </row>
    <row r="480" spans="1:31" ht="25.5" customHeight="1" x14ac:dyDescent="0.25">
      <c r="A480" s="17"/>
      <c r="B480" s="17"/>
      <c r="C480" s="17"/>
      <c r="D480" s="17"/>
      <c r="E480" s="17"/>
      <c r="F480" s="17"/>
      <c r="G480" s="17"/>
      <c r="H480" s="17"/>
      <c r="I480" s="17"/>
      <c r="J480" s="17"/>
      <c r="K480" s="17"/>
      <c r="L480" s="17"/>
      <c r="M480" s="17"/>
      <c r="N480" s="17"/>
      <c r="O480" s="17"/>
      <c r="Q480" s="7">
        <f t="shared" si="7"/>
        <v>0</v>
      </c>
      <c r="R480" s="7" t="e">
        <f>IF(VLOOKUP($A480,'Concrete Beam Schedule'!$A$2:$Q$2902,R$2,0)&lt;&gt;B480,VLOOKUP($A480,'Concrete Beam Schedule'!$A$2:$Q$2902,R$2,0),"")</f>
        <v>#N/A</v>
      </c>
      <c r="S480" s="7" t="e">
        <f>IF(VLOOKUP($A480,'Concrete Beam Schedule'!$A$2:$Q$2902,S$2,0)&lt;&gt;C480,VLOOKUP($A480,'Concrete Beam Schedule'!$A$2:$Q$2902,S$2,0),"")</f>
        <v>#N/A</v>
      </c>
      <c r="T480" s="7" t="e">
        <f>IF(VLOOKUP($A480,'Concrete Beam Schedule'!$A$2:$Q$2902,T$2,0)&lt;&gt;D480,"Beam Revised","")</f>
        <v>#N/A</v>
      </c>
      <c r="U480" s="7" t="e">
        <f>IF(VLOOKUP($A480,'Concrete Beam Schedule'!$A$2:$Q$2902,U$2,0)&lt;&gt;E480,"Beam Revised","")</f>
        <v>#N/A</v>
      </c>
      <c r="V480" s="7" t="e">
        <f>IF(VLOOKUP($A480,'Concrete Beam Schedule'!$A$2:$Q$2902,V$2,0)&lt;&gt;F480,"Beam Revised","")</f>
        <v>#N/A</v>
      </c>
      <c r="W480" s="7" t="e">
        <f>IF(VLOOKUP($A480,'Concrete Beam Schedule'!$A$2:$Q$2902,W$2,0)&lt;&gt;G480,"Beam Revised","")</f>
        <v>#N/A</v>
      </c>
      <c r="X480" s="7" t="e">
        <f>IF(VLOOKUP($A480,'Concrete Beam Schedule'!$A$2:$Q$2902,X$2,0)&lt;&gt;H480,"Beam Revised","")</f>
        <v>#N/A</v>
      </c>
      <c r="Y480" s="7" t="e">
        <f>IF(VLOOKUP($A480,'Concrete Beam Schedule'!$A$2:$Q$2902,Y$2,0)&lt;&gt;I480,"Beam Revised","")</f>
        <v>#N/A</v>
      </c>
      <c r="Z480" s="7" t="e">
        <f>IF(VLOOKUP($A480,'Concrete Beam Schedule'!$A$2:$Q$2902,Z$2,0)&lt;&gt;J480,"Beam Revised","")</f>
        <v>#N/A</v>
      </c>
      <c r="AA480" s="7" t="e">
        <f>IF(VLOOKUP($A480,'Concrete Beam Schedule'!$A$2:$Q$2902,AA$2,0)&lt;&gt;K480,"Beam Revised","")</f>
        <v>#N/A</v>
      </c>
      <c r="AB480" s="7" t="e">
        <f>IF(VLOOKUP($A480,'Concrete Beam Schedule'!$A$2:$Q$2902,AB$2,0)&lt;&gt;L480,"Beam Revised","")</f>
        <v>#N/A</v>
      </c>
      <c r="AC480" s="7" t="e">
        <f>IF(VLOOKUP($A480,'Concrete Beam Schedule'!$A$2:$Q$2902,AC$2,0)&lt;&gt;M480,"Beam Revised","")</f>
        <v>#N/A</v>
      </c>
      <c r="AD480" s="7" t="e">
        <f>IF(VLOOKUP($A480,'Concrete Beam Schedule'!$A$2:$Q$2902,AD$2,0)&lt;&gt;N480,"Beam Revised","")</f>
        <v>#N/A</v>
      </c>
      <c r="AE480" s="7" t="e">
        <f>IF(VLOOKUP($A480,'Concrete Beam Schedule'!$A$2:$Q$2902,AE$2,0)&lt;&gt;O480,"Beam Revised","")</f>
        <v>#N/A</v>
      </c>
    </row>
    <row r="481" spans="1:31" ht="25.5" customHeight="1" x14ac:dyDescent="0.25">
      <c r="A481" s="17"/>
      <c r="B481" s="17"/>
      <c r="C481" s="17"/>
      <c r="D481" s="17"/>
      <c r="E481" s="17"/>
      <c r="F481" s="17"/>
      <c r="G481" s="17"/>
      <c r="H481" s="17"/>
      <c r="I481" s="17"/>
      <c r="J481" s="17"/>
      <c r="K481" s="17"/>
      <c r="L481" s="17"/>
      <c r="M481" s="17"/>
      <c r="N481" s="17"/>
      <c r="O481" s="17"/>
      <c r="Q481" s="7">
        <f t="shared" si="7"/>
        <v>0</v>
      </c>
      <c r="R481" s="7" t="e">
        <f>IF(VLOOKUP($A481,'Concrete Beam Schedule'!$A$2:$Q$2902,R$2,0)&lt;&gt;B481,VLOOKUP($A481,'Concrete Beam Schedule'!$A$2:$Q$2902,R$2,0),"")</f>
        <v>#N/A</v>
      </c>
      <c r="S481" s="7" t="e">
        <f>IF(VLOOKUP($A481,'Concrete Beam Schedule'!$A$2:$Q$2902,S$2,0)&lt;&gt;C481,VLOOKUP($A481,'Concrete Beam Schedule'!$A$2:$Q$2902,S$2,0),"")</f>
        <v>#N/A</v>
      </c>
      <c r="T481" s="7" t="e">
        <f>IF(VLOOKUP($A481,'Concrete Beam Schedule'!$A$2:$Q$2902,T$2,0)&lt;&gt;D481,"Beam Revised","")</f>
        <v>#N/A</v>
      </c>
      <c r="U481" s="7" t="e">
        <f>IF(VLOOKUP($A481,'Concrete Beam Schedule'!$A$2:$Q$2902,U$2,0)&lt;&gt;E481,"Beam Revised","")</f>
        <v>#N/A</v>
      </c>
      <c r="V481" s="7" t="e">
        <f>IF(VLOOKUP($A481,'Concrete Beam Schedule'!$A$2:$Q$2902,V$2,0)&lt;&gt;F481,"Beam Revised","")</f>
        <v>#N/A</v>
      </c>
      <c r="W481" s="7" t="e">
        <f>IF(VLOOKUP($A481,'Concrete Beam Schedule'!$A$2:$Q$2902,W$2,0)&lt;&gt;G481,"Beam Revised","")</f>
        <v>#N/A</v>
      </c>
      <c r="X481" s="7" t="e">
        <f>IF(VLOOKUP($A481,'Concrete Beam Schedule'!$A$2:$Q$2902,X$2,0)&lt;&gt;H481,"Beam Revised","")</f>
        <v>#N/A</v>
      </c>
      <c r="Y481" s="7" t="e">
        <f>IF(VLOOKUP($A481,'Concrete Beam Schedule'!$A$2:$Q$2902,Y$2,0)&lt;&gt;I481,"Beam Revised","")</f>
        <v>#N/A</v>
      </c>
      <c r="Z481" s="7" t="e">
        <f>IF(VLOOKUP($A481,'Concrete Beam Schedule'!$A$2:$Q$2902,Z$2,0)&lt;&gt;J481,"Beam Revised","")</f>
        <v>#N/A</v>
      </c>
      <c r="AA481" s="7" t="e">
        <f>IF(VLOOKUP($A481,'Concrete Beam Schedule'!$A$2:$Q$2902,AA$2,0)&lt;&gt;K481,"Beam Revised","")</f>
        <v>#N/A</v>
      </c>
      <c r="AB481" s="7" t="e">
        <f>IF(VLOOKUP($A481,'Concrete Beam Schedule'!$A$2:$Q$2902,AB$2,0)&lt;&gt;L481,"Beam Revised","")</f>
        <v>#N/A</v>
      </c>
      <c r="AC481" s="7" t="e">
        <f>IF(VLOOKUP($A481,'Concrete Beam Schedule'!$A$2:$Q$2902,AC$2,0)&lt;&gt;M481,"Beam Revised","")</f>
        <v>#N/A</v>
      </c>
      <c r="AD481" s="7" t="e">
        <f>IF(VLOOKUP($A481,'Concrete Beam Schedule'!$A$2:$Q$2902,AD$2,0)&lt;&gt;N481,"Beam Revised","")</f>
        <v>#N/A</v>
      </c>
      <c r="AE481" s="7" t="e">
        <f>IF(VLOOKUP($A481,'Concrete Beam Schedule'!$A$2:$Q$2902,AE$2,0)&lt;&gt;O481,"Beam Revised","")</f>
        <v>#N/A</v>
      </c>
    </row>
    <row r="482" spans="1:31" ht="25.5" customHeight="1" x14ac:dyDescent="0.25">
      <c r="A482" s="17"/>
      <c r="B482" s="17"/>
      <c r="C482" s="17"/>
      <c r="D482" s="17"/>
      <c r="E482" s="17"/>
      <c r="F482" s="17"/>
      <c r="G482" s="17"/>
      <c r="H482" s="17"/>
      <c r="I482" s="17"/>
      <c r="J482" s="17"/>
      <c r="K482" s="17"/>
      <c r="L482" s="17"/>
      <c r="M482" s="17"/>
      <c r="N482" s="17"/>
      <c r="O482" s="17"/>
      <c r="Q482" s="7">
        <f t="shared" si="7"/>
        <v>0</v>
      </c>
      <c r="R482" s="7" t="e">
        <f>IF(VLOOKUP($A482,'Concrete Beam Schedule'!$A$2:$Q$2902,R$2,0)&lt;&gt;B482,VLOOKUP($A482,'Concrete Beam Schedule'!$A$2:$Q$2902,R$2,0),"")</f>
        <v>#N/A</v>
      </c>
      <c r="S482" s="7" t="e">
        <f>IF(VLOOKUP($A482,'Concrete Beam Schedule'!$A$2:$Q$2902,S$2,0)&lt;&gt;C482,VLOOKUP($A482,'Concrete Beam Schedule'!$A$2:$Q$2902,S$2,0),"")</f>
        <v>#N/A</v>
      </c>
      <c r="T482" s="7" t="e">
        <f>IF(VLOOKUP($A482,'Concrete Beam Schedule'!$A$2:$Q$2902,T$2,0)&lt;&gt;D482,"Beam Revised","")</f>
        <v>#N/A</v>
      </c>
      <c r="U482" s="7" t="e">
        <f>IF(VLOOKUP($A482,'Concrete Beam Schedule'!$A$2:$Q$2902,U$2,0)&lt;&gt;E482,"Beam Revised","")</f>
        <v>#N/A</v>
      </c>
      <c r="V482" s="7" t="e">
        <f>IF(VLOOKUP($A482,'Concrete Beam Schedule'!$A$2:$Q$2902,V$2,0)&lt;&gt;F482,"Beam Revised","")</f>
        <v>#N/A</v>
      </c>
      <c r="W482" s="7" t="e">
        <f>IF(VLOOKUP($A482,'Concrete Beam Schedule'!$A$2:$Q$2902,W$2,0)&lt;&gt;G482,"Beam Revised","")</f>
        <v>#N/A</v>
      </c>
      <c r="X482" s="7" t="e">
        <f>IF(VLOOKUP($A482,'Concrete Beam Schedule'!$A$2:$Q$2902,X$2,0)&lt;&gt;H482,"Beam Revised","")</f>
        <v>#N/A</v>
      </c>
      <c r="Y482" s="7" t="e">
        <f>IF(VLOOKUP($A482,'Concrete Beam Schedule'!$A$2:$Q$2902,Y$2,0)&lt;&gt;I482,"Beam Revised","")</f>
        <v>#N/A</v>
      </c>
      <c r="Z482" s="7" t="e">
        <f>IF(VLOOKUP($A482,'Concrete Beam Schedule'!$A$2:$Q$2902,Z$2,0)&lt;&gt;J482,"Beam Revised","")</f>
        <v>#N/A</v>
      </c>
      <c r="AA482" s="7" t="e">
        <f>IF(VLOOKUP($A482,'Concrete Beam Schedule'!$A$2:$Q$2902,AA$2,0)&lt;&gt;K482,"Beam Revised","")</f>
        <v>#N/A</v>
      </c>
      <c r="AB482" s="7" t="e">
        <f>IF(VLOOKUP($A482,'Concrete Beam Schedule'!$A$2:$Q$2902,AB$2,0)&lt;&gt;L482,"Beam Revised","")</f>
        <v>#N/A</v>
      </c>
      <c r="AC482" s="7" t="e">
        <f>IF(VLOOKUP($A482,'Concrete Beam Schedule'!$A$2:$Q$2902,AC$2,0)&lt;&gt;M482,"Beam Revised","")</f>
        <v>#N/A</v>
      </c>
      <c r="AD482" s="7" t="e">
        <f>IF(VLOOKUP($A482,'Concrete Beam Schedule'!$A$2:$Q$2902,AD$2,0)&lt;&gt;N482,"Beam Revised","")</f>
        <v>#N/A</v>
      </c>
      <c r="AE482" s="7" t="e">
        <f>IF(VLOOKUP($A482,'Concrete Beam Schedule'!$A$2:$Q$2902,AE$2,0)&lt;&gt;O482,"Beam Revised","")</f>
        <v>#N/A</v>
      </c>
    </row>
    <row r="483" spans="1:31" ht="25.5" customHeight="1" x14ac:dyDescent="0.25">
      <c r="A483" s="17"/>
      <c r="B483" s="17"/>
      <c r="C483" s="17"/>
      <c r="D483" s="17"/>
      <c r="E483" s="17"/>
      <c r="F483" s="17"/>
      <c r="G483" s="17"/>
      <c r="H483" s="17"/>
      <c r="I483" s="17"/>
      <c r="J483" s="17"/>
      <c r="K483" s="17"/>
      <c r="L483" s="17"/>
      <c r="M483" s="17"/>
      <c r="N483" s="17"/>
      <c r="O483" s="17"/>
      <c r="Q483" s="7">
        <f t="shared" si="7"/>
        <v>0</v>
      </c>
      <c r="R483" s="7" t="e">
        <f>IF(VLOOKUP($A483,'Concrete Beam Schedule'!$A$2:$Q$2902,R$2,0)&lt;&gt;B483,VLOOKUP($A483,'Concrete Beam Schedule'!$A$2:$Q$2902,R$2,0),"")</f>
        <v>#N/A</v>
      </c>
      <c r="S483" s="7" t="e">
        <f>IF(VLOOKUP($A483,'Concrete Beam Schedule'!$A$2:$Q$2902,S$2,0)&lt;&gt;C483,VLOOKUP($A483,'Concrete Beam Schedule'!$A$2:$Q$2902,S$2,0),"")</f>
        <v>#N/A</v>
      </c>
      <c r="T483" s="7" t="e">
        <f>IF(VLOOKUP($A483,'Concrete Beam Schedule'!$A$2:$Q$2902,T$2,0)&lt;&gt;D483,"Beam Revised","")</f>
        <v>#N/A</v>
      </c>
      <c r="U483" s="7" t="e">
        <f>IF(VLOOKUP($A483,'Concrete Beam Schedule'!$A$2:$Q$2902,U$2,0)&lt;&gt;E483,"Beam Revised","")</f>
        <v>#N/A</v>
      </c>
      <c r="V483" s="7" t="e">
        <f>IF(VLOOKUP($A483,'Concrete Beam Schedule'!$A$2:$Q$2902,V$2,0)&lt;&gt;F483,"Beam Revised","")</f>
        <v>#N/A</v>
      </c>
      <c r="W483" s="7" t="e">
        <f>IF(VLOOKUP($A483,'Concrete Beam Schedule'!$A$2:$Q$2902,W$2,0)&lt;&gt;G483,"Beam Revised","")</f>
        <v>#N/A</v>
      </c>
      <c r="X483" s="7" t="e">
        <f>IF(VLOOKUP($A483,'Concrete Beam Schedule'!$A$2:$Q$2902,X$2,0)&lt;&gt;H483,"Beam Revised","")</f>
        <v>#N/A</v>
      </c>
      <c r="Y483" s="7" t="e">
        <f>IF(VLOOKUP($A483,'Concrete Beam Schedule'!$A$2:$Q$2902,Y$2,0)&lt;&gt;I483,"Beam Revised","")</f>
        <v>#N/A</v>
      </c>
      <c r="Z483" s="7" t="e">
        <f>IF(VLOOKUP($A483,'Concrete Beam Schedule'!$A$2:$Q$2902,Z$2,0)&lt;&gt;J483,"Beam Revised","")</f>
        <v>#N/A</v>
      </c>
      <c r="AA483" s="7" t="e">
        <f>IF(VLOOKUP($A483,'Concrete Beam Schedule'!$A$2:$Q$2902,AA$2,0)&lt;&gt;K483,"Beam Revised","")</f>
        <v>#N/A</v>
      </c>
      <c r="AB483" s="7" t="e">
        <f>IF(VLOOKUP($A483,'Concrete Beam Schedule'!$A$2:$Q$2902,AB$2,0)&lt;&gt;L483,"Beam Revised","")</f>
        <v>#N/A</v>
      </c>
      <c r="AC483" s="7" t="e">
        <f>IF(VLOOKUP($A483,'Concrete Beam Schedule'!$A$2:$Q$2902,AC$2,0)&lt;&gt;M483,"Beam Revised","")</f>
        <v>#N/A</v>
      </c>
      <c r="AD483" s="7" t="e">
        <f>IF(VLOOKUP($A483,'Concrete Beam Schedule'!$A$2:$Q$2902,AD$2,0)&lt;&gt;N483,"Beam Revised","")</f>
        <v>#N/A</v>
      </c>
      <c r="AE483" s="7" t="e">
        <f>IF(VLOOKUP($A483,'Concrete Beam Schedule'!$A$2:$Q$2902,AE$2,0)&lt;&gt;O483,"Beam Revised","")</f>
        <v>#N/A</v>
      </c>
    </row>
    <row r="484" spans="1:31" ht="25.5" customHeight="1" x14ac:dyDescent="0.25">
      <c r="A484" s="17"/>
      <c r="B484" s="17"/>
      <c r="C484" s="17"/>
      <c r="D484" s="17"/>
      <c r="E484" s="17"/>
      <c r="F484" s="17"/>
      <c r="G484" s="17"/>
      <c r="H484" s="17"/>
      <c r="I484" s="17"/>
      <c r="J484" s="17"/>
      <c r="K484" s="17"/>
      <c r="L484" s="17"/>
      <c r="M484" s="17"/>
      <c r="N484" s="17"/>
      <c r="O484" s="17"/>
      <c r="Q484" s="7">
        <f t="shared" si="7"/>
        <v>0</v>
      </c>
      <c r="R484" s="7" t="e">
        <f>IF(VLOOKUP($A484,'Concrete Beam Schedule'!$A$2:$Q$2902,R$2,0)&lt;&gt;B484,VLOOKUP($A484,'Concrete Beam Schedule'!$A$2:$Q$2902,R$2,0),"")</f>
        <v>#N/A</v>
      </c>
      <c r="S484" s="7" t="e">
        <f>IF(VLOOKUP($A484,'Concrete Beam Schedule'!$A$2:$Q$2902,S$2,0)&lt;&gt;C484,VLOOKUP($A484,'Concrete Beam Schedule'!$A$2:$Q$2902,S$2,0),"")</f>
        <v>#N/A</v>
      </c>
      <c r="T484" s="7" t="e">
        <f>IF(VLOOKUP($A484,'Concrete Beam Schedule'!$A$2:$Q$2902,T$2,0)&lt;&gt;D484,"Beam Revised","")</f>
        <v>#N/A</v>
      </c>
      <c r="U484" s="7" t="e">
        <f>IF(VLOOKUP($A484,'Concrete Beam Schedule'!$A$2:$Q$2902,U$2,0)&lt;&gt;E484,"Beam Revised","")</f>
        <v>#N/A</v>
      </c>
      <c r="V484" s="7" t="e">
        <f>IF(VLOOKUP($A484,'Concrete Beam Schedule'!$A$2:$Q$2902,V$2,0)&lt;&gt;F484,"Beam Revised","")</f>
        <v>#N/A</v>
      </c>
      <c r="W484" s="7" t="e">
        <f>IF(VLOOKUP($A484,'Concrete Beam Schedule'!$A$2:$Q$2902,W$2,0)&lt;&gt;G484,"Beam Revised","")</f>
        <v>#N/A</v>
      </c>
      <c r="X484" s="7" t="e">
        <f>IF(VLOOKUP($A484,'Concrete Beam Schedule'!$A$2:$Q$2902,X$2,0)&lt;&gt;H484,"Beam Revised","")</f>
        <v>#N/A</v>
      </c>
      <c r="Y484" s="7" t="e">
        <f>IF(VLOOKUP($A484,'Concrete Beam Schedule'!$A$2:$Q$2902,Y$2,0)&lt;&gt;I484,"Beam Revised","")</f>
        <v>#N/A</v>
      </c>
      <c r="Z484" s="7" t="e">
        <f>IF(VLOOKUP($A484,'Concrete Beam Schedule'!$A$2:$Q$2902,Z$2,0)&lt;&gt;J484,"Beam Revised","")</f>
        <v>#N/A</v>
      </c>
      <c r="AA484" s="7" t="e">
        <f>IF(VLOOKUP($A484,'Concrete Beam Schedule'!$A$2:$Q$2902,AA$2,0)&lt;&gt;K484,"Beam Revised","")</f>
        <v>#N/A</v>
      </c>
      <c r="AB484" s="7" t="e">
        <f>IF(VLOOKUP($A484,'Concrete Beam Schedule'!$A$2:$Q$2902,AB$2,0)&lt;&gt;L484,"Beam Revised","")</f>
        <v>#N/A</v>
      </c>
      <c r="AC484" s="7" t="e">
        <f>IF(VLOOKUP($A484,'Concrete Beam Schedule'!$A$2:$Q$2902,AC$2,0)&lt;&gt;M484,"Beam Revised","")</f>
        <v>#N/A</v>
      </c>
      <c r="AD484" s="7" t="e">
        <f>IF(VLOOKUP($A484,'Concrete Beam Schedule'!$A$2:$Q$2902,AD$2,0)&lt;&gt;N484,"Beam Revised","")</f>
        <v>#N/A</v>
      </c>
      <c r="AE484" s="7" t="e">
        <f>IF(VLOOKUP($A484,'Concrete Beam Schedule'!$A$2:$Q$2902,AE$2,0)&lt;&gt;O484,"Beam Revised","")</f>
        <v>#N/A</v>
      </c>
    </row>
    <row r="485" spans="1:31" ht="25.5" customHeight="1" x14ac:dyDescent="0.25">
      <c r="A485" s="17"/>
      <c r="B485" s="17"/>
      <c r="C485" s="17"/>
      <c r="D485" s="17"/>
      <c r="E485" s="17"/>
      <c r="F485" s="17"/>
      <c r="G485" s="17"/>
      <c r="H485" s="17"/>
      <c r="I485" s="17"/>
      <c r="J485" s="17"/>
      <c r="K485" s="17"/>
      <c r="L485" s="17"/>
      <c r="M485" s="17"/>
      <c r="N485" s="17"/>
      <c r="O485" s="17"/>
      <c r="Q485" s="7">
        <f t="shared" si="7"/>
        <v>0</v>
      </c>
      <c r="R485" s="7" t="e">
        <f>IF(VLOOKUP($A485,'Concrete Beam Schedule'!$A$2:$Q$2902,R$2,0)&lt;&gt;B485,VLOOKUP($A485,'Concrete Beam Schedule'!$A$2:$Q$2902,R$2,0),"")</f>
        <v>#N/A</v>
      </c>
      <c r="S485" s="7" t="e">
        <f>IF(VLOOKUP($A485,'Concrete Beam Schedule'!$A$2:$Q$2902,S$2,0)&lt;&gt;C485,VLOOKUP($A485,'Concrete Beam Schedule'!$A$2:$Q$2902,S$2,0),"")</f>
        <v>#N/A</v>
      </c>
      <c r="T485" s="7" t="e">
        <f>IF(VLOOKUP($A485,'Concrete Beam Schedule'!$A$2:$Q$2902,T$2,0)&lt;&gt;D485,"Beam Revised","")</f>
        <v>#N/A</v>
      </c>
      <c r="U485" s="7" t="e">
        <f>IF(VLOOKUP($A485,'Concrete Beam Schedule'!$A$2:$Q$2902,U$2,0)&lt;&gt;E485,"Beam Revised","")</f>
        <v>#N/A</v>
      </c>
      <c r="V485" s="7" t="e">
        <f>IF(VLOOKUP($A485,'Concrete Beam Schedule'!$A$2:$Q$2902,V$2,0)&lt;&gt;F485,"Beam Revised","")</f>
        <v>#N/A</v>
      </c>
      <c r="W485" s="7" t="e">
        <f>IF(VLOOKUP($A485,'Concrete Beam Schedule'!$A$2:$Q$2902,W$2,0)&lt;&gt;G485,"Beam Revised","")</f>
        <v>#N/A</v>
      </c>
      <c r="X485" s="7" t="e">
        <f>IF(VLOOKUP($A485,'Concrete Beam Schedule'!$A$2:$Q$2902,X$2,0)&lt;&gt;H485,"Beam Revised","")</f>
        <v>#N/A</v>
      </c>
      <c r="Y485" s="7" t="e">
        <f>IF(VLOOKUP($A485,'Concrete Beam Schedule'!$A$2:$Q$2902,Y$2,0)&lt;&gt;I485,"Beam Revised","")</f>
        <v>#N/A</v>
      </c>
      <c r="Z485" s="7" t="e">
        <f>IF(VLOOKUP($A485,'Concrete Beam Schedule'!$A$2:$Q$2902,Z$2,0)&lt;&gt;J485,"Beam Revised","")</f>
        <v>#N/A</v>
      </c>
      <c r="AA485" s="7" t="e">
        <f>IF(VLOOKUP($A485,'Concrete Beam Schedule'!$A$2:$Q$2902,AA$2,0)&lt;&gt;K485,"Beam Revised","")</f>
        <v>#N/A</v>
      </c>
      <c r="AB485" s="7" t="e">
        <f>IF(VLOOKUP($A485,'Concrete Beam Schedule'!$A$2:$Q$2902,AB$2,0)&lt;&gt;L485,"Beam Revised","")</f>
        <v>#N/A</v>
      </c>
      <c r="AC485" s="7" t="e">
        <f>IF(VLOOKUP($A485,'Concrete Beam Schedule'!$A$2:$Q$2902,AC$2,0)&lt;&gt;M485,"Beam Revised","")</f>
        <v>#N/A</v>
      </c>
      <c r="AD485" s="7" t="e">
        <f>IF(VLOOKUP($A485,'Concrete Beam Schedule'!$A$2:$Q$2902,AD$2,0)&lt;&gt;N485,"Beam Revised","")</f>
        <v>#N/A</v>
      </c>
      <c r="AE485" s="7" t="e">
        <f>IF(VLOOKUP($A485,'Concrete Beam Schedule'!$A$2:$Q$2902,AE$2,0)&lt;&gt;O485,"Beam Revised","")</f>
        <v>#N/A</v>
      </c>
    </row>
    <row r="486" spans="1:31" ht="25.5" customHeight="1" x14ac:dyDescent="0.25">
      <c r="A486" s="17"/>
      <c r="B486" s="17"/>
      <c r="C486" s="17"/>
      <c r="D486" s="17"/>
      <c r="E486" s="17"/>
      <c r="F486" s="17"/>
      <c r="G486" s="17"/>
      <c r="H486" s="17"/>
      <c r="I486" s="17"/>
      <c r="J486" s="17"/>
      <c r="K486" s="17"/>
      <c r="L486" s="17"/>
      <c r="M486" s="17"/>
      <c r="N486" s="17"/>
      <c r="O486" s="17"/>
      <c r="Q486" s="7">
        <f t="shared" si="7"/>
        <v>0</v>
      </c>
      <c r="R486" s="7" t="e">
        <f>IF(VLOOKUP($A486,'Concrete Beam Schedule'!$A$2:$Q$2902,R$2,0)&lt;&gt;B486,VLOOKUP($A486,'Concrete Beam Schedule'!$A$2:$Q$2902,R$2,0),"")</f>
        <v>#N/A</v>
      </c>
      <c r="S486" s="7" t="e">
        <f>IF(VLOOKUP($A486,'Concrete Beam Schedule'!$A$2:$Q$2902,S$2,0)&lt;&gt;C486,VLOOKUP($A486,'Concrete Beam Schedule'!$A$2:$Q$2902,S$2,0),"")</f>
        <v>#N/A</v>
      </c>
      <c r="T486" s="7" t="e">
        <f>IF(VLOOKUP($A486,'Concrete Beam Schedule'!$A$2:$Q$2902,T$2,0)&lt;&gt;D486,"Beam Revised","")</f>
        <v>#N/A</v>
      </c>
      <c r="U486" s="7" t="e">
        <f>IF(VLOOKUP($A486,'Concrete Beam Schedule'!$A$2:$Q$2902,U$2,0)&lt;&gt;E486,"Beam Revised","")</f>
        <v>#N/A</v>
      </c>
      <c r="V486" s="7" t="e">
        <f>IF(VLOOKUP($A486,'Concrete Beam Schedule'!$A$2:$Q$2902,V$2,0)&lt;&gt;F486,"Beam Revised","")</f>
        <v>#N/A</v>
      </c>
      <c r="W486" s="7" t="e">
        <f>IF(VLOOKUP($A486,'Concrete Beam Schedule'!$A$2:$Q$2902,W$2,0)&lt;&gt;G486,"Beam Revised","")</f>
        <v>#N/A</v>
      </c>
      <c r="X486" s="7" t="e">
        <f>IF(VLOOKUP($A486,'Concrete Beam Schedule'!$A$2:$Q$2902,X$2,0)&lt;&gt;H486,"Beam Revised","")</f>
        <v>#N/A</v>
      </c>
      <c r="Y486" s="7" t="e">
        <f>IF(VLOOKUP($A486,'Concrete Beam Schedule'!$A$2:$Q$2902,Y$2,0)&lt;&gt;I486,"Beam Revised","")</f>
        <v>#N/A</v>
      </c>
      <c r="Z486" s="7" t="e">
        <f>IF(VLOOKUP($A486,'Concrete Beam Schedule'!$A$2:$Q$2902,Z$2,0)&lt;&gt;J486,"Beam Revised","")</f>
        <v>#N/A</v>
      </c>
      <c r="AA486" s="7" t="e">
        <f>IF(VLOOKUP($A486,'Concrete Beam Schedule'!$A$2:$Q$2902,AA$2,0)&lt;&gt;K486,"Beam Revised","")</f>
        <v>#N/A</v>
      </c>
      <c r="AB486" s="7" t="e">
        <f>IF(VLOOKUP($A486,'Concrete Beam Schedule'!$A$2:$Q$2902,AB$2,0)&lt;&gt;L486,"Beam Revised","")</f>
        <v>#N/A</v>
      </c>
      <c r="AC486" s="7" t="e">
        <f>IF(VLOOKUP($A486,'Concrete Beam Schedule'!$A$2:$Q$2902,AC$2,0)&lt;&gt;M486,"Beam Revised","")</f>
        <v>#N/A</v>
      </c>
      <c r="AD486" s="7" t="e">
        <f>IF(VLOOKUP($A486,'Concrete Beam Schedule'!$A$2:$Q$2902,AD$2,0)&lt;&gt;N486,"Beam Revised","")</f>
        <v>#N/A</v>
      </c>
      <c r="AE486" s="7" t="e">
        <f>IF(VLOOKUP($A486,'Concrete Beam Schedule'!$A$2:$Q$2902,AE$2,0)&lt;&gt;O486,"Beam Revised","")</f>
        <v>#N/A</v>
      </c>
    </row>
    <row r="487" spans="1:31" ht="25.5" customHeight="1" x14ac:dyDescent="0.25">
      <c r="A487" s="17"/>
      <c r="B487" s="17"/>
      <c r="C487" s="17"/>
      <c r="D487" s="17"/>
      <c r="E487" s="17"/>
      <c r="F487" s="17"/>
      <c r="G487" s="17"/>
      <c r="H487" s="17"/>
      <c r="I487" s="17"/>
      <c r="J487" s="17"/>
      <c r="K487" s="17"/>
      <c r="L487" s="17"/>
      <c r="M487" s="17"/>
      <c r="N487" s="17"/>
      <c r="O487" s="17"/>
      <c r="Q487" s="7">
        <f t="shared" si="7"/>
        <v>0</v>
      </c>
      <c r="R487" s="7" t="e">
        <f>IF(VLOOKUP($A487,'Concrete Beam Schedule'!$A$2:$Q$2902,R$2,0)&lt;&gt;B487,VLOOKUP($A487,'Concrete Beam Schedule'!$A$2:$Q$2902,R$2,0),"")</f>
        <v>#N/A</v>
      </c>
      <c r="S487" s="7" t="e">
        <f>IF(VLOOKUP($A487,'Concrete Beam Schedule'!$A$2:$Q$2902,S$2,0)&lt;&gt;C487,VLOOKUP($A487,'Concrete Beam Schedule'!$A$2:$Q$2902,S$2,0),"")</f>
        <v>#N/A</v>
      </c>
      <c r="T487" s="7" t="e">
        <f>IF(VLOOKUP($A487,'Concrete Beam Schedule'!$A$2:$Q$2902,T$2,0)&lt;&gt;D487,"Beam Revised","")</f>
        <v>#N/A</v>
      </c>
      <c r="U487" s="7" t="e">
        <f>IF(VLOOKUP($A487,'Concrete Beam Schedule'!$A$2:$Q$2902,U$2,0)&lt;&gt;E487,"Beam Revised","")</f>
        <v>#N/A</v>
      </c>
      <c r="V487" s="7" t="e">
        <f>IF(VLOOKUP($A487,'Concrete Beam Schedule'!$A$2:$Q$2902,V$2,0)&lt;&gt;F487,"Beam Revised","")</f>
        <v>#N/A</v>
      </c>
      <c r="W487" s="7" t="e">
        <f>IF(VLOOKUP($A487,'Concrete Beam Schedule'!$A$2:$Q$2902,W$2,0)&lt;&gt;G487,"Beam Revised","")</f>
        <v>#N/A</v>
      </c>
      <c r="X487" s="7" t="e">
        <f>IF(VLOOKUP($A487,'Concrete Beam Schedule'!$A$2:$Q$2902,X$2,0)&lt;&gt;H487,"Beam Revised","")</f>
        <v>#N/A</v>
      </c>
      <c r="Y487" s="7" t="e">
        <f>IF(VLOOKUP($A487,'Concrete Beam Schedule'!$A$2:$Q$2902,Y$2,0)&lt;&gt;I487,"Beam Revised","")</f>
        <v>#N/A</v>
      </c>
      <c r="Z487" s="7" t="e">
        <f>IF(VLOOKUP($A487,'Concrete Beam Schedule'!$A$2:$Q$2902,Z$2,0)&lt;&gt;J487,"Beam Revised","")</f>
        <v>#N/A</v>
      </c>
      <c r="AA487" s="7" t="e">
        <f>IF(VLOOKUP($A487,'Concrete Beam Schedule'!$A$2:$Q$2902,AA$2,0)&lt;&gt;K487,"Beam Revised","")</f>
        <v>#N/A</v>
      </c>
      <c r="AB487" s="7" t="e">
        <f>IF(VLOOKUP($A487,'Concrete Beam Schedule'!$A$2:$Q$2902,AB$2,0)&lt;&gt;L487,"Beam Revised","")</f>
        <v>#N/A</v>
      </c>
      <c r="AC487" s="7" t="e">
        <f>IF(VLOOKUP($A487,'Concrete Beam Schedule'!$A$2:$Q$2902,AC$2,0)&lt;&gt;M487,"Beam Revised","")</f>
        <v>#N/A</v>
      </c>
      <c r="AD487" s="7" t="e">
        <f>IF(VLOOKUP($A487,'Concrete Beam Schedule'!$A$2:$Q$2902,AD$2,0)&lt;&gt;N487,"Beam Revised","")</f>
        <v>#N/A</v>
      </c>
      <c r="AE487" s="7" t="e">
        <f>IF(VLOOKUP($A487,'Concrete Beam Schedule'!$A$2:$Q$2902,AE$2,0)&lt;&gt;O487,"Beam Revised","")</f>
        <v>#N/A</v>
      </c>
    </row>
    <row r="488" spans="1:31" ht="25.5" customHeight="1" x14ac:dyDescent="0.25">
      <c r="A488" s="17"/>
      <c r="B488" s="17"/>
      <c r="C488" s="17"/>
      <c r="D488" s="17"/>
      <c r="E488" s="17"/>
      <c r="F488" s="17"/>
      <c r="G488" s="17"/>
      <c r="H488" s="17"/>
      <c r="I488" s="17"/>
      <c r="J488" s="17"/>
      <c r="K488" s="17"/>
      <c r="L488" s="17"/>
      <c r="M488" s="17"/>
      <c r="N488" s="17"/>
      <c r="O488" s="17"/>
      <c r="Q488" s="7">
        <f t="shared" si="7"/>
        <v>0</v>
      </c>
      <c r="R488" s="7" t="e">
        <f>IF(VLOOKUP($A488,'Concrete Beam Schedule'!$A$2:$Q$2902,R$2,0)&lt;&gt;B488,VLOOKUP($A488,'Concrete Beam Schedule'!$A$2:$Q$2902,R$2,0),"")</f>
        <v>#N/A</v>
      </c>
      <c r="S488" s="7" t="e">
        <f>IF(VLOOKUP($A488,'Concrete Beam Schedule'!$A$2:$Q$2902,S$2,0)&lt;&gt;C488,VLOOKUP($A488,'Concrete Beam Schedule'!$A$2:$Q$2902,S$2,0),"")</f>
        <v>#N/A</v>
      </c>
      <c r="T488" s="7" t="e">
        <f>IF(VLOOKUP($A488,'Concrete Beam Schedule'!$A$2:$Q$2902,T$2,0)&lt;&gt;D488,"Beam Revised","")</f>
        <v>#N/A</v>
      </c>
      <c r="U488" s="7" t="e">
        <f>IF(VLOOKUP($A488,'Concrete Beam Schedule'!$A$2:$Q$2902,U$2,0)&lt;&gt;E488,"Beam Revised","")</f>
        <v>#N/A</v>
      </c>
      <c r="V488" s="7" t="e">
        <f>IF(VLOOKUP($A488,'Concrete Beam Schedule'!$A$2:$Q$2902,V$2,0)&lt;&gt;F488,"Beam Revised","")</f>
        <v>#N/A</v>
      </c>
      <c r="W488" s="7" t="e">
        <f>IF(VLOOKUP($A488,'Concrete Beam Schedule'!$A$2:$Q$2902,W$2,0)&lt;&gt;G488,"Beam Revised","")</f>
        <v>#N/A</v>
      </c>
      <c r="X488" s="7" t="e">
        <f>IF(VLOOKUP($A488,'Concrete Beam Schedule'!$A$2:$Q$2902,X$2,0)&lt;&gt;H488,"Beam Revised","")</f>
        <v>#N/A</v>
      </c>
      <c r="Y488" s="7" t="e">
        <f>IF(VLOOKUP($A488,'Concrete Beam Schedule'!$A$2:$Q$2902,Y$2,0)&lt;&gt;I488,"Beam Revised","")</f>
        <v>#N/A</v>
      </c>
      <c r="Z488" s="7" t="e">
        <f>IF(VLOOKUP($A488,'Concrete Beam Schedule'!$A$2:$Q$2902,Z$2,0)&lt;&gt;J488,"Beam Revised","")</f>
        <v>#N/A</v>
      </c>
      <c r="AA488" s="7" t="e">
        <f>IF(VLOOKUP($A488,'Concrete Beam Schedule'!$A$2:$Q$2902,AA$2,0)&lt;&gt;K488,"Beam Revised","")</f>
        <v>#N/A</v>
      </c>
      <c r="AB488" s="7" t="e">
        <f>IF(VLOOKUP($A488,'Concrete Beam Schedule'!$A$2:$Q$2902,AB$2,0)&lt;&gt;L488,"Beam Revised","")</f>
        <v>#N/A</v>
      </c>
      <c r="AC488" s="7" t="e">
        <f>IF(VLOOKUP($A488,'Concrete Beam Schedule'!$A$2:$Q$2902,AC$2,0)&lt;&gt;M488,"Beam Revised","")</f>
        <v>#N/A</v>
      </c>
      <c r="AD488" s="7" t="e">
        <f>IF(VLOOKUP($A488,'Concrete Beam Schedule'!$A$2:$Q$2902,AD$2,0)&lt;&gt;N488,"Beam Revised","")</f>
        <v>#N/A</v>
      </c>
      <c r="AE488" s="7" t="e">
        <f>IF(VLOOKUP($A488,'Concrete Beam Schedule'!$A$2:$Q$2902,AE$2,0)&lt;&gt;O488,"Beam Revised","")</f>
        <v>#N/A</v>
      </c>
    </row>
    <row r="489" spans="1:31" ht="25.5" customHeight="1" x14ac:dyDescent="0.25">
      <c r="A489" s="17"/>
      <c r="B489" s="17"/>
      <c r="C489" s="17"/>
      <c r="D489" s="17"/>
      <c r="E489" s="17"/>
      <c r="F489" s="17"/>
      <c r="G489" s="17"/>
      <c r="H489" s="17"/>
      <c r="I489" s="17"/>
      <c r="J489" s="17"/>
      <c r="K489" s="17"/>
      <c r="L489" s="17"/>
      <c r="M489" s="17"/>
      <c r="N489" s="17"/>
      <c r="O489" s="17"/>
      <c r="Q489" s="7">
        <f t="shared" si="7"/>
        <v>0</v>
      </c>
      <c r="R489" s="7" t="e">
        <f>IF(VLOOKUP($A489,'Concrete Beam Schedule'!$A$2:$Q$2902,R$2,0)&lt;&gt;B489,VLOOKUP($A489,'Concrete Beam Schedule'!$A$2:$Q$2902,R$2,0),"")</f>
        <v>#N/A</v>
      </c>
      <c r="S489" s="7" t="e">
        <f>IF(VLOOKUP($A489,'Concrete Beam Schedule'!$A$2:$Q$2902,S$2,0)&lt;&gt;C489,VLOOKUP($A489,'Concrete Beam Schedule'!$A$2:$Q$2902,S$2,0),"")</f>
        <v>#N/A</v>
      </c>
      <c r="T489" s="7" t="e">
        <f>IF(VLOOKUP($A489,'Concrete Beam Schedule'!$A$2:$Q$2902,T$2,0)&lt;&gt;D489,"Beam Revised","")</f>
        <v>#N/A</v>
      </c>
      <c r="U489" s="7" t="e">
        <f>IF(VLOOKUP($A489,'Concrete Beam Schedule'!$A$2:$Q$2902,U$2,0)&lt;&gt;E489,"Beam Revised","")</f>
        <v>#N/A</v>
      </c>
      <c r="V489" s="7" t="e">
        <f>IF(VLOOKUP($A489,'Concrete Beam Schedule'!$A$2:$Q$2902,V$2,0)&lt;&gt;F489,"Beam Revised","")</f>
        <v>#N/A</v>
      </c>
      <c r="W489" s="7" t="e">
        <f>IF(VLOOKUP($A489,'Concrete Beam Schedule'!$A$2:$Q$2902,W$2,0)&lt;&gt;G489,"Beam Revised","")</f>
        <v>#N/A</v>
      </c>
      <c r="X489" s="7" t="e">
        <f>IF(VLOOKUP($A489,'Concrete Beam Schedule'!$A$2:$Q$2902,X$2,0)&lt;&gt;H489,"Beam Revised","")</f>
        <v>#N/A</v>
      </c>
      <c r="Y489" s="7" t="e">
        <f>IF(VLOOKUP($A489,'Concrete Beam Schedule'!$A$2:$Q$2902,Y$2,0)&lt;&gt;I489,"Beam Revised","")</f>
        <v>#N/A</v>
      </c>
      <c r="Z489" s="7" t="e">
        <f>IF(VLOOKUP($A489,'Concrete Beam Schedule'!$A$2:$Q$2902,Z$2,0)&lt;&gt;J489,"Beam Revised","")</f>
        <v>#N/A</v>
      </c>
      <c r="AA489" s="7" t="e">
        <f>IF(VLOOKUP($A489,'Concrete Beam Schedule'!$A$2:$Q$2902,AA$2,0)&lt;&gt;K489,"Beam Revised","")</f>
        <v>#N/A</v>
      </c>
      <c r="AB489" s="7" t="e">
        <f>IF(VLOOKUP($A489,'Concrete Beam Schedule'!$A$2:$Q$2902,AB$2,0)&lt;&gt;L489,"Beam Revised","")</f>
        <v>#N/A</v>
      </c>
      <c r="AC489" s="7" t="e">
        <f>IF(VLOOKUP($A489,'Concrete Beam Schedule'!$A$2:$Q$2902,AC$2,0)&lt;&gt;M489,"Beam Revised","")</f>
        <v>#N/A</v>
      </c>
      <c r="AD489" s="7" t="e">
        <f>IF(VLOOKUP($A489,'Concrete Beam Schedule'!$A$2:$Q$2902,AD$2,0)&lt;&gt;N489,"Beam Revised","")</f>
        <v>#N/A</v>
      </c>
      <c r="AE489" s="7" t="e">
        <f>IF(VLOOKUP($A489,'Concrete Beam Schedule'!$A$2:$Q$2902,AE$2,0)&lt;&gt;O489,"Beam Revised","")</f>
        <v>#N/A</v>
      </c>
    </row>
    <row r="490" spans="1:31" ht="25.5" customHeight="1" x14ac:dyDescent="0.25">
      <c r="A490" s="17"/>
      <c r="B490" s="17"/>
      <c r="C490" s="17"/>
      <c r="D490" s="17"/>
      <c r="E490" s="17"/>
      <c r="F490" s="17"/>
      <c r="G490" s="17"/>
      <c r="H490" s="17"/>
      <c r="I490" s="17"/>
      <c r="J490" s="17"/>
      <c r="K490" s="17"/>
      <c r="L490" s="17"/>
      <c r="M490" s="17"/>
      <c r="N490" s="17"/>
      <c r="O490" s="17"/>
      <c r="Q490" s="7">
        <f t="shared" si="7"/>
        <v>0</v>
      </c>
      <c r="R490" s="7" t="e">
        <f>IF(VLOOKUP($A490,'Concrete Beam Schedule'!$A$2:$Q$2902,R$2,0)&lt;&gt;B490,VLOOKUP($A490,'Concrete Beam Schedule'!$A$2:$Q$2902,R$2,0),"")</f>
        <v>#N/A</v>
      </c>
      <c r="S490" s="7" t="e">
        <f>IF(VLOOKUP($A490,'Concrete Beam Schedule'!$A$2:$Q$2902,S$2,0)&lt;&gt;C490,VLOOKUP($A490,'Concrete Beam Schedule'!$A$2:$Q$2902,S$2,0),"")</f>
        <v>#N/A</v>
      </c>
      <c r="T490" s="7" t="e">
        <f>IF(VLOOKUP($A490,'Concrete Beam Schedule'!$A$2:$Q$2902,T$2,0)&lt;&gt;D490,"Beam Revised","")</f>
        <v>#N/A</v>
      </c>
      <c r="U490" s="7" t="e">
        <f>IF(VLOOKUP($A490,'Concrete Beam Schedule'!$A$2:$Q$2902,U$2,0)&lt;&gt;E490,"Beam Revised","")</f>
        <v>#N/A</v>
      </c>
      <c r="V490" s="7" t="e">
        <f>IF(VLOOKUP($A490,'Concrete Beam Schedule'!$A$2:$Q$2902,V$2,0)&lt;&gt;F490,"Beam Revised","")</f>
        <v>#N/A</v>
      </c>
      <c r="W490" s="7" t="e">
        <f>IF(VLOOKUP($A490,'Concrete Beam Schedule'!$A$2:$Q$2902,W$2,0)&lt;&gt;G490,"Beam Revised","")</f>
        <v>#N/A</v>
      </c>
      <c r="X490" s="7" t="e">
        <f>IF(VLOOKUP($A490,'Concrete Beam Schedule'!$A$2:$Q$2902,X$2,0)&lt;&gt;H490,"Beam Revised","")</f>
        <v>#N/A</v>
      </c>
      <c r="Y490" s="7" t="e">
        <f>IF(VLOOKUP($A490,'Concrete Beam Schedule'!$A$2:$Q$2902,Y$2,0)&lt;&gt;I490,"Beam Revised","")</f>
        <v>#N/A</v>
      </c>
      <c r="Z490" s="7" t="e">
        <f>IF(VLOOKUP($A490,'Concrete Beam Schedule'!$A$2:$Q$2902,Z$2,0)&lt;&gt;J490,"Beam Revised","")</f>
        <v>#N/A</v>
      </c>
      <c r="AA490" s="7" t="e">
        <f>IF(VLOOKUP($A490,'Concrete Beam Schedule'!$A$2:$Q$2902,AA$2,0)&lt;&gt;K490,"Beam Revised","")</f>
        <v>#N/A</v>
      </c>
      <c r="AB490" s="7" t="e">
        <f>IF(VLOOKUP($A490,'Concrete Beam Schedule'!$A$2:$Q$2902,AB$2,0)&lt;&gt;L490,"Beam Revised","")</f>
        <v>#N/A</v>
      </c>
      <c r="AC490" s="7" t="e">
        <f>IF(VLOOKUP($A490,'Concrete Beam Schedule'!$A$2:$Q$2902,AC$2,0)&lt;&gt;M490,"Beam Revised","")</f>
        <v>#N/A</v>
      </c>
      <c r="AD490" s="7" t="e">
        <f>IF(VLOOKUP($A490,'Concrete Beam Schedule'!$A$2:$Q$2902,AD$2,0)&lt;&gt;N490,"Beam Revised","")</f>
        <v>#N/A</v>
      </c>
      <c r="AE490" s="7" t="e">
        <f>IF(VLOOKUP($A490,'Concrete Beam Schedule'!$A$2:$Q$2902,AE$2,0)&lt;&gt;O490,"Beam Revised","")</f>
        <v>#N/A</v>
      </c>
    </row>
    <row r="491" spans="1:31" ht="25.5" customHeight="1" x14ac:dyDescent="0.25">
      <c r="A491" s="17"/>
      <c r="B491" s="17"/>
      <c r="C491" s="17"/>
      <c r="D491" s="17"/>
      <c r="E491" s="17"/>
      <c r="F491" s="17"/>
      <c r="G491" s="17"/>
      <c r="H491" s="17"/>
      <c r="I491" s="17"/>
      <c r="J491" s="17"/>
      <c r="K491" s="17"/>
      <c r="L491" s="17"/>
      <c r="M491" s="17"/>
      <c r="N491" s="17"/>
      <c r="O491" s="17"/>
      <c r="Q491" s="7">
        <f t="shared" si="7"/>
        <v>0</v>
      </c>
      <c r="R491" s="7" t="e">
        <f>IF(VLOOKUP($A491,'Concrete Beam Schedule'!$A$2:$Q$2902,R$2,0)&lt;&gt;B491,VLOOKUP($A491,'Concrete Beam Schedule'!$A$2:$Q$2902,R$2,0),"")</f>
        <v>#N/A</v>
      </c>
      <c r="S491" s="7" t="e">
        <f>IF(VLOOKUP($A491,'Concrete Beam Schedule'!$A$2:$Q$2902,S$2,0)&lt;&gt;C491,VLOOKUP($A491,'Concrete Beam Schedule'!$A$2:$Q$2902,S$2,0),"")</f>
        <v>#N/A</v>
      </c>
      <c r="T491" s="7" t="e">
        <f>IF(VLOOKUP($A491,'Concrete Beam Schedule'!$A$2:$Q$2902,T$2,0)&lt;&gt;D491,"Beam Revised","")</f>
        <v>#N/A</v>
      </c>
      <c r="U491" s="7" t="e">
        <f>IF(VLOOKUP($A491,'Concrete Beam Schedule'!$A$2:$Q$2902,U$2,0)&lt;&gt;E491,"Beam Revised","")</f>
        <v>#N/A</v>
      </c>
      <c r="V491" s="7" t="e">
        <f>IF(VLOOKUP($A491,'Concrete Beam Schedule'!$A$2:$Q$2902,V$2,0)&lt;&gt;F491,"Beam Revised","")</f>
        <v>#N/A</v>
      </c>
      <c r="W491" s="7" t="e">
        <f>IF(VLOOKUP($A491,'Concrete Beam Schedule'!$A$2:$Q$2902,W$2,0)&lt;&gt;G491,"Beam Revised","")</f>
        <v>#N/A</v>
      </c>
      <c r="X491" s="7" t="e">
        <f>IF(VLOOKUP($A491,'Concrete Beam Schedule'!$A$2:$Q$2902,X$2,0)&lt;&gt;H491,"Beam Revised","")</f>
        <v>#N/A</v>
      </c>
      <c r="Y491" s="7" t="e">
        <f>IF(VLOOKUP($A491,'Concrete Beam Schedule'!$A$2:$Q$2902,Y$2,0)&lt;&gt;I491,"Beam Revised","")</f>
        <v>#N/A</v>
      </c>
      <c r="Z491" s="7" t="e">
        <f>IF(VLOOKUP($A491,'Concrete Beam Schedule'!$A$2:$Q$2902,Z$2,0)&lt;&gt;J491,"Beam Revised","")</f>
        <v>#N/A</v>
      </c>
      <c r="AA491" s="7" t="e">
        <f>IF(VLOOKUP($A491,'Concrete Beam Schedule'!$A$2:$Q$2902,AA$2,0)&lt;&gt;K491,"Beam Revised","")</f>
        <v>#N/A</v>
      </c>
      <c r="AB491" s="7" t="e">
        <f>IF(VLOOKUP($A491,'Concrete Beam Schedule'!$A$2:$Q$2902,AB$2,0)&lt;&gt;L491,"Beam Revised","")</f>
        <v>#N/A</v>
      </c>
      <c r="AC491" s="7" t="e">
        <f>IF(VLOOKUP($A491,'Concrete Beam Schedule'!$A$2:$Q$2902,AC$2,0)&lt;&gt;M491,"Beam Revised","")</f>
        <v>#N/A</v>
      </c>
      <c r="AD491" s="7" t="e">
        <f>IF(VLOOKUP($A491,'Concrete Beam Schedule'!$A$2:$Q$2902,AD$2,0)&lt;&gt;N491,"Beam Revised","")</f>
        <v>#N/A</v>
      </c>
      <c r="AE491" s="7" t="e">
        <f>IF(VLOOKUP($A491,'Concrete Beam Schedule'!$A$2:$Q$2902,AE$2,0)&lt;&gt;O491,"Beam Revised","")</f>
        <v>#N/A</v>
      </c>
    </row>
    <row r="492" spans="1:31" ht="25.5" customHeight="1" x14ac:dyDescent="0.25">
      <c r="A492" s="17"/>
      <c r="B492" s="17"/>
      <c r="C492" s="17"/>
      <c r="D492" s="17"/>
      <c r="E492" s="17"/>
      <c r="F492" s="17"/>
      <c r="G492" s="17"/>
      <c r="H492" s="17"/>
      <c r="I492" s="17"/>
      <c r="J492" s="17"/>
      <c r="K492" s="17"/>
      <c r="L492" s="17"/>
      <c r="M492" s="17"/>
      <c r="N492" s="17"/>
      <c r="O492" s="17"/>
      <c r="Q492" s="7">
        <f t="shared" si="7"/>
        <v>0</v>
      </c>
      <c r="R492" s="7" t="e">
        <f>IF(VLOOKUP($A492,'Concrete Beam Schedule'!$A$2:$Q$2902,R$2,0)&lt;&gt;B492,VLOOKUP($A492,'Concrete Beam Schedule'!$A$2:$Q$2902,R$2,0),"")</f>
        <v>#N/A</v>
      </c>
      <c r="S492" s="7" t="e">
        <f>IF(VLOOKUP($A492,'Concrete Beam Schedule'!$A$2:$Q$2902,S$2,0)&lt;&gt;C492,VLOOKUP($A492,'Concrete Beam Schedule'!$A$2:$Q$2902,S$2,0),"")</f>
        <v>#N/A</v>
      </c>
      <c r="T492" s="7" t="e">
        <f>IF(VLOOKUP($A492,'Concrete Beam Schedule'!$A$2:$Q$2902,T$2,0)&lt;&gt;D492,"Beam Revised","")</f>
        <v>#N/A</v>
      </c>
      <c r="U492" s="7" t="e">
        <f>IF(VLOOKUP($A492,'Concrete Beam Schedule'!$A$2:$Q$2902,U$2,0)&lt;&gt;E492,"Beam Revised","")</f>
        <v>#N/A</v>
      </c>
      <c r="V492" s="7" t="e">
        <f>IF(VLOOKUP($A492,'Concrete Beam Schedule'!$A$2:$Q$2902,V$2,0)&lt;&gt;F492,"Beam Revised","")</f>
        <v>#N/A</v>
      </c>
      <c r="W492" s="7" t="e">
        <f>IF(VLOOKUP($A492,'Concrete Beam Schedule'!$A$2:$Q$2902,W$2,0)&lt;&gt;G492,"Beam Revised","")</f>
        <v>#N/A</v>
      </c>
      <c r="X492" s="7" t="e">
        <f>IF(VLOOKUP($A492,'Concrete Beam Schedule'!$A$2:$Q$2902,X$2,0)&lt;&gt;H492,"Beam Revised","")</f>
        <v>#N/A</v>
      </c>
      <c r="Y492" s="7" t="e">
        <f>IF(VLOOKUP($A492,'Concrete Beam Schedule'!$A$2:$Q$2902,Y$2,0)&lt;&gt;I492,"Beam Revised","")</f>
        <v>#N/A</v>
      </c>
      <c r="Z492" s="7" t="e">
        <f>IF(VLOOKUP($A492,'Concrete Beam Schedule'!$A$2:$Q$2902,Z$2,0)&lt;&gt;J492,"Beam Revised","")</f>
        <v>#N/A</v>
      </c>
      <c r="AA492" s="7" t="e">
        <f>IF(VLOOKUP($A492,'Concrete Beam Schedule'!$A$2:$Q$2902,AA$2,0)&lt;&gt;K492,"Beam Revised","")</f>
        <v>#N/A</v>
      </c>
      <c r="AB492" s="7" t="e">
        <f>IF(VLOOKUP($A492,'Concrete Beam Schedule'!$A$2:$Q$2902,AB$2,0)&lt;&gt;L492,"Beam Revised","")</f>
        <v>#N/A</v>
      </c>
      <c r="AC492" s="7" t="e">
        <f>IF(VLOOKUP($A492,'Concrete Beam Schedule'!$A$2:$Q$2902,AC$2,0)&lt;&gt;M492,"Beam Revised","")</f>
        <v>#N/A</v>
      </c>
      <c r="AD492" s="7" t="e">
        <f>IF(VLOOKUP($A492,'Concrete Beam Schedule'!$A$2:$Q$2902,AD$2,0)&lt;&gt;N492,"Beam Revised","")</f>
        <v>#N/A</v>
      </c>
      <c r="AE492" s="7" t="e">
        <f>IF(VLOOKUP($A492,'Concrete Beam Schedule'!$A$2:$Q$2902,AE$2,0)&lt;&gt;O492,"Beam Revised","")</f>
        <v>#N/A</v>
      </c>
    </row>
    <row r="493" spans="1:31" ht="25.5" customHeight="1" x14ac:dyDescent="0.25">
      <c r="A493" s="17"/>
      <c r="B493" s="17"/>
      <c r="C493" s="17"/>
      <c r="D493" s="17"/>
      <c r="E493" s="17"/>
      <c r="F493" s="17"/>
      <c r="G493" s="17"/>
      <c r="H493" s="17"/>
      <c r="I493" s="17"/>
      <c r="J493" s="17"/>
      <c r="K493" s="17"/>
      <c r="L493" s="17"/>
      <c r="M493" s="17"/>
      <c r="N493" s="17"/>
      <c r="O493" s="17"/>
      <c r="Q493" s="7">
        <f t="shared" si="7"/>
        <v>0</v>
      </c>
      <c r="R493" s="7" t="e">
        <f>IF(VLOOKUP($A493,'Concrete Beam Schedule'!$A$2:$Q$2902,R$2,0)&lt;&gt;B493,VLOOKUP($A493,'Concrete Beam Schedule'!$A$2:$Q$2902,R$2,0),"")</f>
        <v>#N/A</v>
      </c>
      <c r="S493" s="7" t="e">
        <f>IF(VLOOKUP($A493,'Concrete Beam Schedule'!$A$2:$Q$2902,S$2,0)&lt;&gt;C493,VLOOKUP($A493,'Concrete Beam Schedule'!$A$2:$Q$2902,S$2,0),"")</f>
        <v>#N/A</v>
      </c>
      <c r="T493" s="7" t="e">
        <f>IF(VLOOKUP($A493,'Concrete Beam Schedule'!$A$2:$Q$2902,T$2,0)&lt;&gt;D493,"Beam Revised","")</f>
        <v>#N/A</v>
      </c>
      <c r="U493" s="7" t="e">
        <f>IF(VLOOKUP($A493,'Concrete Beam Schedule'!$A$2:$Q$2902,U$2,0)&lt;&gt;E493,"Beam Revised","")</f>
        <v>#N/A</v>
      </c>
      <c r="V493" s="7" t="e">
        <f>IF(VLOOKUP($A493,'Concrete Beam Schedule'!$A$2:$Q$2902,V$2,0)&lt;&gt;F493,"Beam Revised","")</f>
        <v>#N/A</v>
      </c>
      <c r="W493" s="7" t="e">
        <f>IF(VLOOKUP($A493,'Concrete Beam Schedule'!$A$2:$Q$2902,W$2,0)&lt;&gt;G493,"Beam Revised","")</f>
        <v>#N/A</v>
      </c>
      <c r="X493" s="7" t="e">
        <f>IF(VLOOKUP($A493,'Concrete Beam Schedule'!$A$2:$Q$2902,X$2,0)&lt;&gt;H493,"Beam Revised","")</f>
        <v>#N/A</v>
      </c>
      <c r="Y493" s="7" t="e">
        <f>IF(VLOOKUP($A493,'Concrete Beam Schedule'!$A$2:$Q$2902,Y$2,0)&lt;&gt;I493,"Beam Revised","")</f>
        <v>#N/A</v>
      </c>
      <c r="Z493" s="7" t="e">
        <f>IF(VLOOKUP($A493,'Concrete Beam Schedule'!$A$2:$Q$2902,Z$2,0)&lt;&gt;J493,"Beam Revised","")</f>
        <v>#N/A</v>
      </c>
      <c r="AA493" s="7" t="e">
        <f>IF(VLOOKUP($A493,'Concrete Beam Schedule'!$A$2:$Q$2902,AA$2,0)&lt;&gt;K493,"Beam Revised","")</f>
        <v>#N/A</v>
      </c>
      <c r="AB493" s="7" t="e">
        <f>IF(VLOOKUP($A493,'Concrete Beam Schedule'!$A$2:$Q$2902,AB$2,0)&lt;&gt;L493,"Beam Revised","")</f>
        <v>#N/A</v>
      </c>
      <c r="AC493" s="7" t="e">
        <f>IF(VLOOKUP($A493,'Concrete Beam Schedule'!$A$2:$Q$2902,AC$2,0)&lt;&gt;M493,"Beam Revised","")</f>
        <v>#N/A</v>
      </c>
      <c r="AD493" s="7" t="e">
        <f>IF(VLOOKUP($A493,'Concrete Beam Schedule'!$A$2:$Q$2902,AD$2,0)&lt;&gt;N493,"Beam Revised","")</f>
        <v>#N/A</v>
      </c>
      <c r="AE493" s="7" t="e">
        <f>IF(VLOOKUP($A493,'Concrete Beam Schedule'!$A$2:$Q$2902,AE$2,0)&lt;&gt;O493,"Beam Revised","")</f>
        <v>#N/A</v>
      </c>
    </row>
    <row r="494" spans="1:31" ht="25.5" customHeight="1" x14ac:dyDescent="0.25">
      <c r="A494" s="17"/>
      <c r="B494" s="17"/>
      <c r="C494" s="17"/>
      <c r="D494" s="17"/>
      <c r="E494" s="17"/>
      <c r="F494" s="17"/>
      <c r="G494" s="17"/>
      <c r="H494" s="17"/>
      <c r="I494" s="17"/>
      <c r="J494" s="17"/>
      <c r="K494" s="17"/>
      <c r="L494" s="17"/>
      <c r="M494" s="17"/>
      <c r="N494" s="17"/>
      <c r="O494" s="17"/>
      <c r="Q494" s="7">
        <f t="shared" si="7"/>
        <v>0</v>
      </c>
      <c r="R494" s="7" t="e">
        <f>IF(VLOOKUP($A494,'Concrete Beam Schedule'!$A$2:$Q$2902,R$2,0)&lt;&gt;B494,VLOOKUP($A494,'Concrete Beam Schedule'!$A$2:$Q$2902,R$2,0),"")</f>
        <v>#N/A</v>
      </c>
      <c r="S494" s="7" t="e">
        <f>IF(VLOOKUP($A494,'Concrete Beam Schedule'!$A$2:$Q$2902,S$2,0)&lt;&gt;C494,VLOOKUP($A494,'Concrete Beam Schedule'!$A$2:$Q$2902,S$2,0),"")</f>
        <v>#N/A</v>
      </c>
      <c r="T494" s="7" t="e">
        <f>IF(VLOOKUP($A494,'Concrete Beam Schedule'!$A$2:$Q$2902,T$2,0)&lt;&gt;D494,"Beam Revised","")</f>
        <v>#N/A</v>
      </c>
      <c r="U494" s="7" t="e">
        <f>IF(VLOOKUP($A494,'Concrete Beam Schedule'!$A$2:$Q$2902,U$2,0)&lt;&gt;E494,"Beam Revised","")</f>
        <v>#N/A</v>
      </c>
      <c r="V494" s="7" t="e">
        <f>IF(VLOOKUP($A494,'Concrete Beam Schedule'!$A$2:$Q$2902,V$2,0)&lt;&gt;F494,"Beam Revised","")</f>
        <v>#N/A</v>
      </c>
      <c r="W494" s="7" t="e">
        <f>IF(VLOOKUP($A494,'Concrete Beam Schedule'!$A$2:$Q$2902,W$2,0)&lt;&gt;G494,"Beam Revised","")</f>
        <v>#N/A</v>
      </c>
      <c r="X494" s="7" t="e">
        <f>IF(VLOOKUP($A494,'Concrete Beam Schedule'!$A$2:$Q$2902,X$2,0)&lt;&gt;H494,"Beam Revised","")</f>
        <v>#N/A</v>
      </c>
      <c r="Y494" s="7" t="e">
        <f>IF(VLOOKUP($A494,'Concrete Beam Schedule'!$A$2:$Q$2902,Y$2,0)&lt;&gt;I494,"Beam Revised","")</f>
        <v>#N/A</v>
      </c>
      <c r="Z494" s="7" t="e">
        <f>IF(VLOOKUP($A494,'Concrete Beam Schedule'!$A$2:$Q$2902,Z$2,0)&lt;&gt;J494,"Beam Revised","")</f>
        <v>#N/A</v>
      </c>
      <c r="AA494" s="7" t="e">
        <f>IF(VLOOKUP($A494,'Concrete Beam Schedule'!$A$2:$Q$2902,AA$2,0)&lt;&gt;K494,"Beam Revised","")</f>
        <v>#N/A</v>
      </c>
      <c r="AB494" s="7" t="e">
        <f>IF(VLOOKUP($A494,'Concrete Beam Schedule'!$A$2:$Q$2902,AB$2,0)&lt;&gt;L494,"Beam Revised","")</f>
        <v>#N/A</v>
      </c>
      <c r="AC494" s="7" t="e">
        <f>IF(VLOOKUP($A494,'Concrete Beam Schedule'!$A$2:$Q$2902,AC$2,0)&lt;&gt;M494,"Beam Revised","")</f>
        <v>#N/A</v>
      </c>
      <c r="AD494" s="7" t="e">
        <f>IF(VLOOKUP($A494,'Concrete Beam Schedule'!$A$2:$Q$2902,AD$2,0)&lt;&gt;N494,"Beam Revised","")</f>
        <v>#N/A</v>
      </c>
      <c r="AE494" s="7" t="e">
        <f>IF(VLOOKUP($A494,'Concrete Beam Schedule'!$A$2:$Q$2902,AE$2,0)&lt;&gt;O494,"Beam Revised","")</f>
        <v>#N/A</v>
      </c>
    </row>
    <row r="495" spans="1:31" ht="25.5" customHeight="1" x14ac:dyDescent="0.25">
      <c r="A495" s="17"/>
      <c r="B495" s="17"/>
      <c r="C495" s="17"/>
      <c r="D495" s="17"/>
      <c r="E495" s="17"/>
      <c r="F495" s="17"/>
      <c r="G495" s="17"/>
      <c r="H495" s="17"/>
      <c r="I495" s="17"/>
      <c r="J495" s="17"/>
      <c r="K495" s="17"/>
      <c r="L495" s="17"/>
      <c r="M495" s="17"/>
      <c r="N495" s="17"/>
      <c r="O495" s="17"/>
      <c r="Q495" s="7">
        <f t="shared" si="7"/>
        <v>0</v>
      </c>
      <c r="R495" s="7" t="e">
        <f>IF(VLOOKUP($A495,'Concrete Beam Schedule'!$A$2:$Q$2902,R$2,0)&lt;&gt;B495,VLOOKUP($A495,'Concrete Beam Schedule'!$A$2:$Q$2902,R$2,0),"")</f>
        <v>#N/A</v>
      </c>
      <c r="S495" s="7" t="e">
        <f>IF(VLOOKUP($A495,'Concrete Beam Schedule'!$A$2:$Q$2902,S$2,0)&lt;&gt;C495,VLOOKUP($A495,'Concrete Beam Schedule'!$A$2:$Q$2902,S$2,0),"")</f>
        <v>#N/A</v>
      </c>
      <c r="T495" s="7" t="e">
        <f>IF(VLOOKUP($A495,'Concrete Beam Schedule'!$A$2:$Q$2902,T$2,0)&lt;&gt;D495,"Beam Revised","")</f>
        <v>#N/A</v>
      </c>
      <c r="U495" s="7" t="e">
        <f>IF(VLOOKUP($A495,'Concrete Beam Schedule'!$A$2:$Q$2902,U$2,0)&lt;&gt;E495,"Beam Revised","")</f>
        <v>#N/A</v>
      </c>
      <c r="V495" s="7" t="e">
        <f>IF(VLOOKUP($A495,'Concrete Beam Schedule'!$A$2:$Q$2902,V$2,0)&lt;&gt;F495,"Beam Revised","")</f>
        <v>#N/A</v>
      </c>
      <c r="W495" s="7" t="e">
        <f>IF(VLOOKUP($A495,'Concrete Beam Schedule'!$A$2:$Q$2902,W$2,0)&lt;&gt;G495,"Beam Revised","")</f>
        <v>#N/A</v>
      </c>
      <c r="X495" s="7" t="e">
        <f>IF(VLOOKUP($A495,'Concrete Beam Schedule'!$A$2:$Q$2902,X$2,0)&lt;&gt;H495,"Beam Revised","")</f>
        <v>#N/A</v>
      </c>
      <c r="Y495" s="7" t="e">
        <f>IF(VLOOKUP($A495,'Concrete Beam Schedule'!$A$2:$Q$2902,Y$2,0)&lt;&gt;I495,"Beam Revised","")</f>
        <v>#N/A</v>
      </c>
      <c r="Z495" s="7" t="e">
        <f>IF(VLOOKUP($A495,'Concrete Beam Schedule'!$A$2:$Q$2902,Z$2,0)&lt;&gt;J495,"Beam Revised","")</f>
        <v>#N/A</v>
      </c>
      <c r="AA495" s="7" t="e">
        <f>IF(VLOOKUP($A495,'Concrete Beam Schedule'!$A$2:$Q$2902,AA$2,0)&lt;&gt;K495,"Beam Revised","")</f>
        <v>#N/A</v>
      </c>
      <c r="AB495" s="7" t="e">
        <f>IF(VLOOKUP($A495,'Concrete Beam Schedule'!$A$2:$Q$2902,AB$2,0)&lt;&gt;L495,"Beam Revised","")</f>
        <v>#N/A</v>
      </c>
      <c r="AC495" s="7" t="e">
        <f>IF(VLOOKUP($A495,'Concrete Beam Schedule'!$A$2:$Q$2902,AC$2,0)&lt;&gt;M495,"Beam Revised","")</f>
        <v>#N/A</v>
      </c>
      <c r="AD495" s="7" t="e">
        <f>IF(VLOOKUP($A495,'Concrete Beam Schedule'!$A$2:$Q$2902,AD$2,0)&lt;&gt;N495,"Beam Revised","")</f>
        <v>#N/A</v>
      </c>
      <c r="AE495" s="7" t="e">
        <f>IF(VLOOKUP($A495,'Concrete Beam Schedule'!$A$2:$Q$2902,AE$2,0)&lt;&gt;O495,"Beam Revised","")</f>
        <v>#N/A</v>
      </c>
    </row>
    <row r="496" spans="1:31" ht="25.5" customHeight="1" x14ac:dyDescent="0.25">
      <c r="A496" s="17"/>
      <c r="B496" s="17"/>
      <c r="C496" s="17"/>
      <c r="D496" s="17"/>
      <c r="E496" s="17"/>
      <c r="F496" s="17"/>
      <c r="G496" s="17"/>
      <c r="H496" s="17"/>
      <c r="I496" s="17"/>
      <c r="J496" s="17"/>
      <c r="K496" s="17"/>
      <c r="L496" s="17"/>
      <c r="M496" s="17"/>
      <c r="N496" s="17"/>
      <c r="O496" s="17"/>
      <c r="Q496" s="7">
        <f t="shared" si="7"/>
        <v>0</v>
      </c>
      <c r="R496" s="7" t="e">
        <f>IF(VLOOKUP($A496,'Concrete Beam Schedule'!$A$2:$Q$2902,R$2,0)&lt;&gt;B496,VLOOKUP($A496,'Concrete Beam Schedule'!$A$2:$Q$2902,R$2,0),"")</f>
        <v>#N/A</v>
      </c>
      <c r="S496" s="7" t="e">
        <f>IF(VLOOKUP($A496,'Concrete Beam Schedule'!$A$2:$Q$2902,S$2,0)&lt;&gt;C496,VLOOKUP($A496,'Concrete Beam Schedule'!$A$2:$Q$2902,S$2,0),"")</f>
        <v>#N/A</v>
      </c>
      <c r="T496" s="7" t="e">
        <f>IF(VLOOKUP($A496,'Concrete Beam Schedule'!$A$2:$Q$2902,T$2,0)&lt;&gt;D496,"Beam Revised","")</f>
        <v>#N/A</v>
      </c>
      <c r="U496" s="7" t="e">
        <f>IF(VLOOKUP($A496,'Concrete Beam Schedule'!$A$2:$Q$2902,U$2,0)&lt;&gt;E496,"Beam Revised","")</f>
        <v>#N/A</v>
      </c>
      <c r="V496" s="7" t="e">
        <f>IF(VLOOKUP($A496,'Concrete Beam Schedule'!$A$2:$Q$2902,V$2,0)&lt;&gt;F496,"Beam Revised","")</f>
        <v>#N/A</v>
      </c>
      <c r="W496" s="7" t="e">
        <f>IF(VLOOKUP($A496,'Concrete Beam Schedule'!$A$2:$Q$2902,W$2,0)&lt;&gt;G496,"Beam Revised","")</f>
        <v>#N/A</v>
      </c>
      <c r="X496" s="7" t="e">
        <f>IF(VLOOKUP($A496,'Concrete Beam Schedule'!$A$2:$Q$2902,X$2,0)&lt;&gt;H496,"Beam Revised","")</f>
        <v>#N/A</v>
      </c>
      <c r="Y496" s="7" t="e">
        <f>IF(VLOOKUP($A496,'Concrete Beam Schedule'!$A$2:$Q$2902,Y$2,0)&lt;&gt;I496,"Beam Revised","")</f>
        <v>#N/A</v>
      </c>
      <c r="Z496" s="7" t="e">
        <f>IF(VLOOKUP($A496,'Concrete Beam Schedule'!$A$2:$Q$2902,Z$2,0)&lt;&gt;J496,"Beam Revised","")</f>
        <v>#N/A</v>
      </c>
      <c r="AA496" s="7" t="e">
        <f>IF(VLOOKUP($A496,'Concrete Beam Schedule'!$A$2:$Q$2902,AA$2,0)&lt;&gt;K496,"Beam Revised","")</f>
        <v>#N/A</v>
      </c>
      <c r="AB496" s="7" t="e">
        <f>IF(VLOOKUP($A496,'Concrete Beam Schedule'!$A$2:$Q$2902,AB$2,0)&lt;&gt;L496,"Beam Revised","")</f>
        <v>#N/A</v>
      </c>
      <c r="AC496" s="7" t="e">
        <f>IF(VLOOKUP($A496,'Concrete Beam Schedule'!$A$2:$Q$2902,AC$2,0)&lt;&gt;M496,"Beam Revised","")</f>
        <v>#N/A</v>
      </c>
      <c r="AD496" s="7" t="e">
        <f>IF(VLOOKUP($A496,'Concrete Beam Schedule'!$A$2:$Q$2902,AD$2,0)&lt;&gt;N496,"Beam Revised","")</f>
        <v>#N/A</v>
      </c>
      <c r="AE496" s="7" t="e">
        <f>IF(VLOOKUP($A496,'Concrete Beam Schedule'!$A$2:$Q$2902,AE$2,0)&lt;&gt;O496,"Beam Revised","")</f>
        <v>#N/A</v>
      </c>
    </row>
    <row r="497" spans="1:31" ht="25.5" customHeight="1" x14ac:dyDescent="0.25">
      <c r="A497" s="17"/>
      <c r="B497" s="17"/>
      <c r="C497" s="17"/>
      <c r="D497" s="17"/>
      <c r="E497" s="17"/>
      <c r="F497" s="17"/>
      <c r="G497" s="17"/>
      <c r="H497" s="17"/>
      <c r="I497" s="17"/>
      <c r="J497" s="17"/>
      <c r="K497" s="17"/>
      <c r="L497" s="17"/>
      <c r="M497" s="17"/>
      <c r="N497" s="17"/>
      <c r="O497" s="17"/>
      <c r="Q497" s="7">
        <f t="shared" si="7"/>
        <v>0</v>
      </c>
      <c r="R497" s="7" t="e">
        <f>IF(VLOOKUP($A497,'Concrete Beam Schedule'!$A$2:$Q$2902,R$2,0)&lt;&gt;B497,VLOOKUP($A497,'Concrete Beam Schedule'!$A$2:$Q$2902,R$2,0),"")</f>
        <v>#N/A</v>
      </c>
      <c r="S497" s="7" t="e">
        <f>IF(VLOOKUP($A497,'Concrete Beam Schedule'!$A$2:$Q$2902,S$2,0)&lt;&gt;C497,VLOOKUP($A497,'Concrete Beam Schedule'!$A$2:$Q$2902,S$2,0),"")</f>
        <v>#N/A</v>
      </c>
      <c r="T497" s="7" t="e">
        <f>IF(VLOOKUP($A497,'Concrete Beam Schedule'!$A$2:$Q$2902,T$2,0)&lt;&gt;D497,"Beam Revised","")</f>
        <v>#N/A</v>
      </c>
      <c r="U497" s="7" t="e">
        <f>IF(VLOOKUP($A497,'Concrete Beam Schedule'!$A$2:$Q$2902,U$2,0)&lt;&gt;E497,"Beam Revised","")</f>
        <v>#N/A</v>
      </c>
      <c r="V497" s="7" t="e">
        <f>IF(VLOOKUP($A497,'Concrete Beam Schedule'!$A$2:$Q$2902,V$2,0)&lt;&gt;F497,"Beam Revised","")</f>
        <v>#N/A</v>
      </c>
      <c r="W497" s="7" t="e">
        <f>IF(VLOOKUP($A497,'Concrete Beam Schedule'!$A$2:$Q$2902,W$2,0)&lt;&gt;G497,"Beam Revised","")</f>
        <v>#N/A</v>
      </c>
      <c r="X497" s="7" t="e">
        <f>IF(VLOOKUP($A497,'Concrete Beam Schedule'!$A$2:$Q$2902,X$2,0)&lt;&gt;H497,"Beam Revised","")</f>
        <v>#N/A</v>
      </c>
      <c r="Y497" s="7" t="e">
        <f>IF(VLOOKUP($A497,'Concrete Beam Schedule'!$A$2:$Q$2902,Y$2,0)&lt;&gt;I497,"Beam Revised","")</f>
        <v>#N/A</v>
      </c>
      <c r="Z497" s="7" t="e">
        <f>IF(VLOOKUP($A497,'Concrete Beam Schedule'!$A$2:$Q$2902,Z$2,0)&lt;&gt;J497,"Beam Revised","")</f>
        <v>#N/A</v>
      </c>
      <c r="AA497" s="7" t="e">
        <f>IF(VLOOKUP($A497,'Concrete Beam Schedule'!$A$2:$Q$2902,AA$2,0)&lt;&gt;K497,"Beam Revised","")</f>
        <v>#N/A</v>
      </c>
      <c r="AB497" s="7" t="e">
        <f>IF(VLOOKUP($A497,'Concrete Beam Schedule'!$A$2:$Q$2902,AB$2,0)&lt;&gt;L497,"Beam Revised","")</f>
        <v>#N/A</v>
      </c>
      <c r="AC497" s="7" t="e">
        <f>IF(VLOOKUP($A497,'Concrete Beam Schedule'!$A$2:$Q$2902,AC$2,0)&lt;&gt;M497,"Beam Revised","")</f>
        <v>#N/A</v>
      </c>
      <c r="AD497" s="7" t="e">
        <f>IF(VLOOKUP($A497,'Concrete Beam Schedule'!$A$2:$Q$2902,AD$2,0)&lt;&gt;N497,"Beam Revised","")</f>
        <v>#N/A</v>
      </c>
      <c r="AE497" s="7" t="e">
        <f>IF(VLOOKUP($A497,'Concrete Beam Schedule'!$A$2:$Q$2902,AE$2,0)&lt;&gt;O497,"Beam Revised","")</f>
        <v>#N/A</v>
      </c>
    </row>
    <row r="498" spans="1:31" ht="25.5" customHeight="1" x14ac:dyDescent="0.25">
      <c r="A498" s="17"/>
      <c r="B498" s="17"/>
      <c r="C498" s="17"/>
      <c r="D498" s="17"/>
      <c r="E498" s="17"/>
      <c r="F498" s="17"/>
      <c r="G498" s="17"/>
      <c r="H498" s="17"/>
      <c r="I498" s="17"/>
      <c r="J498" s="17"/>
      <c r="K498" s="17"/>
      <c r="L498" s="17"/>
      <c r="M498" s="17"/>
      <c r="N498" s="17"/>
      <c r="O498" s="17"/>
      <c r="Q498" s="7">
        <f t="shared" si="7"/>
        <v>0</v>
      </c>
      <c r="R498" s="7" t="e">
        <f>IF(VLOOKUP($A498,'Concrete Beam Schedule'!$A$2:$Q$2902,R$2,0)&lt;&gt;B498,VLOOKUP($A498,'Concrete Beam Schedule'!$A$2:$Q$2902,R$2,0),"")</f>
        <v>#N/A</v>
      </c>
      <c r="S498" s="7" t="e">
        <f>IF(VLOOKUP($A498,'Concrete Beam Schedule'!$A$2:$Q$2902,S$2,0)&lt;&gt;C498,VLOOKUP($A498,'Concrete Beam Schedule'!$A$2:$Q$2902,S$2,0),"")</f>
        <v>#N/A</v>
      </c>
      <c r="T498" s="7" t="e">
        <f>IF(VLOOKUP($A498,'Concrete Beam Schedule'!$A$2:$Q$2902,T$2,0)&lt;&gt;D498,"Beam Revised","")</f>
        <v>#N/A</v>
      </c>
      <c r="U498" s="7" t="e">
        <f>IF(VLOOKUP($A498,'Concrete Beam Schedule'!$A$2:$Q$2902,U$2,0)&lt;&gt;E498,"Beam Revised","")</f>
        <v>#N/A</v>
      </c>
      <c r="V498" s="7" t="e">
        <f>IF(VLOOKUP($A498,'Concrete Beam Schedule'!$A$2:$Q$2902,V$2,0)&lt;&gt;F498,"Beam Revised","")</f>
        <v>#N/A</v>
      </c>
      <c r="W498" s="7" t="e">
        <f>IF(VLOOKUP($A498,'Concrete Beam Schedule'!$A$2:$Q$2902,W$2,0)&lt;&gt;G498,"Beam Revised","")</f>
        <v>#N/A</v>
      </c>
      <c r="X498" s="7" t="e">
        <f>IF(VLOOKUP($A498,'Concrete Beam Schedule'!$A$2:$Q$2902,X$2,0)&lt;&gt;H498,"Beam Revised","")</f>
        <v>#N/A</v>
      </c>
      <c r="Y498" s="7" t="e">
        <f>IF(VLOOKUP($A498,'Concrete Beam Schedule'!$A$2:$Q$2902,Y$2,0)&lt;&gt;I498,"Beam Revised","")</f>
        <v>#N/A</v>
      </c>
      <c r="Z498" s="7" t="e">
        <f>IF(VLOOKUP($A498,'Concrete Beam Schedule'!$A$2:$Q$2902,Z$2,0)&lt;&gt;J498,"Beam Revised","")</f>
        <v>#N/A</v>
      </c>
      <c r="AA498" s="7" t="e">
        <f>IF(VLOOKUP($A498,'Concrete Beam Schedule'!$A$2:$Q$2902,AA$2,0)&lt;&gt;K498,"Beam Revised","")</f>
        <v>#N/A</v>
      </c>
      <c r="AB498" s="7" t="e">
        <f>IF(VLOOKUP($A498,'Concrete Beam Schedule'!$A$2:$Q$2902,AB$2,0)&lt;&gt;L498,"Beam Revised","")</f>
        <v>#N/A</v>
      </c>
      <c r="AC498" s="7" t="e">
        <f>IF(VLOOKUP($A498,'Concrete Beam Schedule'!$A$2:$Q$2902,AC$2,0)&lt;&gt;M498,"Beam Revised","")</f>
        <v>#N/A</v>
      </c>
      <c r="AD498" s="7" t="e">
        <f>IF(VLOOKUP($A498,'Concrete Beam Schedule'!$A$2:$Q$2902,AD$2,0)&lt;&gt;N498,"Beam Revised","")</f>
        <v>#N/A</v>
      </c>
      <c r="AE498" s="7" t="e">
        <f>IF(VLOOKUP($A498,'Concrete Beam Schedule'!$A$2:$Q$2902,AE$2,0)&lt;&gt;O498,"Beam Revised","")</f>
        <v>#N/A</v>
      </c>
    </row>
    <row r="499" spans="1:31" ht="25.5" customHeight="1" x14ac:dyDescent="0.25">
      <c r="A499" s="17"/>
      <c r="B499" s="17"/>
      <c r="C499" s="17"/>
      <c r="D499" s="17"/>
      <c r="E499" s="17"/>
      <c r="F499" s="17"/>
      <c r="G499" s="17"/>
      <c r="H499" s="17"/>
      <c r="I499" s="17"/>
      <c r="J499" s="17"/>
      <c r="K499" s="17"/>
      <c r="L499" s="17"/>
      <c r="M499" s="17"/>
      <c r="N499" s="17"/>
      <c r="O499" s="17"/>
      <c r="Q499" s="7">
        <f t="shared" si="7"/>
        <v>0</v>
      </c>
      <c r="R499" s="7" t="e">
        <f>IF(VLOOKUP($A499,'Concrete Beam Schedule'!$A$2:$Q$2902,R$2,0)&lt;&gt;B499,VLOOKUP($A499,'Concrete Beam Schedule'!$A$2:$Q$2902,R$2,0),"")</f>
        <v>#N/A</v>
      </c>
      <c r="S499" s="7" t="e">
        <f>IF(VLOOKUP($A499,'Concrete Beam Schedule'!$A$2:$Q$2902,S$2,0)&lt;&gt;C499,VLOOKUP($A499,'Concrete Beam Schedule'!$A$2:$Q$2902,S$2,0),"")</f>
        <v>#N/A</v>
      </c>
      <c r="T499" s="7" t="e">
        <f>IF(VLOOKUP($A499,'Concrete Beam Schedule'!$A$2:$Q$2902,T$2,0)&lt;&gt;D499,"Beam Revised","")</f>
        <v>#N/A</v>
      </c>
      <c r="U499" s="7" t="e">
        <f>IF(VLOOKUP($A499,'Concrete Beam Schedule'!$A$2:$Q$2902,U$2,0)&lt;&gt;E499,"Beam Revised","")</f>
        <v>#N/A</v>
      </c>
      <c r="V499" s="7" t="e">
        <f>IF(VLOOKUP($A499,'Concrete Beam Schedule'!$A$2:$Q$2902,V$2,0)&lt;&gt;F499,"Beam Revised","")</f>
        <v>#N/A</v>
      </c>
      <c r="W499" s="7" t="e">
        <f>IF(VLOOKUP($A499,'Concrete Beam Schedule'!$A$2:$Q$2902,W$2,0)&lt;&gt;G499,"Beam Revised","")</f>
        <v>#N/A</v>
      </c>
      <c r="X499" s="7" t="e">
        <f>IF(VLOOKUP($A499,'Concrete Beam Schedule'!$A$2:$Q$2902,X$2,0)&lt;&gt;H499,"Beam Revised","")</f>
        <v>#N/A</v>
      </c>
      <c r="Y499" s="7" t="e">
        <f>IF(VLOOKUP($A499,'Concrete Beam Schedule'!$A$2:$Q$2902,Y$2,0)&lt;&gt;I499,"Beam Revised","")</f>
        <v>#N/A</v>
      </c>
      <c r="Z499" s="7" t="e">
        <f>IF(VLOOKUP($A499,'Concrete Beam Schedule'!$A$2:$Q$2902,Z$2,0)&lt;&gt;J499,"Beam Revised","")</f>
        <v>#N/A</v>
      </c>
      <c r="AA499" s="7" t="e">
        <f>IF(VLOOKUP($A499,'Concrete Beam Schedule'!$A$2:$Q$2902,AA$2,0)&lt;&gt;K499,"Beam Revised","")</f>
        <v>#N/A</v>
      </c>
      <c r="AB499" s="7" t="e">
        <f>IF(VLOOKUP($A499,'Concrete Beam Schedule'!$A$2:$Q$2902,AB$2,0)&lt;&gt;L499,"Beam Revised","")</f>
        <v>#N/A</v>
      </c>
      <c r="AC499" s="7" t="e">
        <f>IF(VLOOKUP($A499,'Concrete Beam Schedule'!$A$2:$Q$2902,AC$2,0)&lt;&gt;M499,"Beam Revised","")</f>
        <v>#N/A</v>
      </c>
      <c r="AD499" s="7" t="e">
        <f>IF(VLOOKUP($A499,'Concrete Beam Schedule'!$A$2:$Q$2902,AD$2,0)&lt;&gt;N499,"Beam Revised","")</f>
        <v>#N/A</v>
      </c>
      <c r="AE499" s="7" t="e">
        <f>IF(VLOOKUP($A499,'Concrete Beam Schedule'!$A$2:$Q$2902,AE$2,0)&lt;&gt;O499,"Beam Revised","")</f>
        <v>#N/A</v>
      </c>
    </row>
    <row r="500" spans="1:31" ht="15" customHeight="1" x14ac:dyDescent="0.25">
      <c r="Q500" s="7">
        <f t="shared" si="7"/>
        <v>0</v>
      </c>
      <c r="R500" s="7" t="e">
        <f>IF(VLOOKUP($A500,'Concrete Beam Schedule'!$A$2:$Q$2902,R$2,0)&lt;&gt;B500,VLOOKUP($A500,'Concrete Beam Schedule'!$A$2:$Q$2902,R$2,0),"")</f>
        <v>#N/A</v>
      </c>
      <c r="S500" s="7" t="e">
        <f>IF(VLOOKUP($A500,'Concrete Beam Schedule'!$A$2:$Q$2902,S$2,0)&lt;&gt;C500,VLOOKUP($A500,'Concrete Beam Schedule'!$A$2:$Q$2902,S$2,0),"")</f>
        <v>#N/A</v>
      </c>
      <c r="T500" s="7" t="e">
        <f>IF(VLOOKUP($A500,'Concrete Beam Schedule'!$A$2:$Q$2902,T$2,0)&lt;&gt;D500,"Beam Revised","")</f>
        <v>#N/A</v>
      </c>
      <c r="U500" s="7" t="e">
        <f>IF(VLOOKUP($A500,'Concrete Beam Schedule'!$A$2:$Q$2902,U$2,0)&lt;&gt;E500,"Beam Revised","")</f>
        <v>#N/A</v>
      </c>
      <c r="V500" s="7" t="e">
        <f>IF(VLOOKUP($A500,'Concrete Beam Schedule'!$A$2:$Q$2902,V$2,0)&lt;&gt;F500,"Beam Revised","")</f>
        <v>#N/A</v>
      </c>
      <c r="W500" s="7" t="e">
        <f>IF(VLOOKUP($A500,'Concrete Beam Schedule'!$A$2:$Q$2902,W$2,0)&lt;&gt;G500,"Beam Revised","")</f>
        <v>#N/A</v>
      </c>
      <c r="X500" s="7" t="e">
        <f>IF(VLOOKUP($A500,'Concrete Beam Schedule'!$A$2:$Q$2902,X$2,0)&lt;&gt;H500,"Beam Revised","")</f>
        <v>#N/A</v>
      </c>
      <c r="Y500" s="7" t="e">
        <f>IF(VLOOKUP($A500,'Concrete Beam Schedule'!$A$2:$Q$2902,Y$2,0)&lt;&gt;I500,"Beam Revised","")</f>
        <v>#N/A</v>
      </c>
      <c r="Z500" s="7" t="e">
        <f>IF(VLOOKUP($A500,'Concrete Beam Schedule'!$A$2:$Q$2902,Z$2,0)&lt;&gt;J500,"Beam Revised","")</f>
        <v>#N/A</v>
      </c>
      <c r="AA500" s="7" t="e">
        <f>IF(VLOOKUP($A500,'Concrete Beam Schedule'!$A$2:$Q$2902,AA$2,0)&lt;&gt;K500,"Beam Revised","")</f>
        <v>#N/A</v>
      </c>
      <c r="AB500" s="7" t="e">
        <f>IF(VLOOKUP($A500,'Concrete Beam Schedule'!$A$2:$Q$2902,AB$2,0)&lt;&gt;L500,"Beam Revised","")</f>
        <v>#N/A</v>
      </c>
      <c r="AC500" s="7" t="e">
        <f>IF(VLOOKUP($A500,'Concrete Beam Schedule'!$A$2:$Q$2902,AC$2,0)&lt;&gt;M500,"Beam Revised","")</f>
        <v>#N/A</v>
      </c>
      <c r="AD500" s="7" t="e">
        <f>IF(VLOOKUP($A500,'Concrete Beam Schedule'!$A$2:$Q$2902,AD$2,0)&lt;&gt;N500,"Beam Revised","")</f>
        <v>#N/A</v>
      </c>
      <c r="AE500" s="7" t="e">
        <f>IF(VLOOKUP($A500,'Concrete Beam Schedule'!$A$2:$Q$2902,AE$2,0)&lt;&gt;O500,"Beam Revised","")</f>
        <v>#N/A</v>
      </c>
    </row>
    <row r="501" spans="1:31" ht="15" customHeight="1" x14ac:dyDescent="0.25">
      <c r="Q501" s="7">
        <f t="shared" si="7"/>
        <v>0</v>
      </c>
      <c r="R501" s="7" t="e">
        <f>IF(VLOOKUP($A501,'Concrete Beam Schedule'!$A$2:$Q$2902,R$2,0)&lt;&gt;B501,VLOOKUP($A501,'Concrete Beam Schedule'!$A$2:$Q$2902,R$2,0),"")</f>
        <v>#N/A</v>
      </c>
      <c r="S501" s="7" t="e">
        <f>IF(VLOOKUP($A501,'Concrete Beam Schedule'!$A$2:$Q$2902,S$2,0)&lt;&gt;C501,VLOOKUP($A501,'Concrete Beam Schedule'!$A$2:$Q$2902,S$2,0),"")</f>
        <v>#N/A</v>
      </c>
      <c r="T501" s="7" t="e">
        <f>IF(VLOOKUP($A501,'Concrete Beam Schedule'!$A$2:$Q$2902,T$2,0)&lt;&gt;D501,"Beam Revised","")</f>
        <v>#N/A</v>
      </c>
      <c r="U501" s="7" t="e">
        <f>IF(VLOOKUP($A501,'Concrete Beam Schedule'!$A$2:$Q$2902,U$2,0)&lt;&gt;E501,"Beam Revised","")</f>
        <v>#N/A</v>
      </c>
      <c r="V501" s="7" t="e">
        <f>IF(VLOOKUP($A501,'Concrete Beam Schedule'!$A$2:$Q$2902,V$2,0)&lt;&gt;F501,"Beam Revised","")</f>
        <v>#N/A</v>
      </c>
      <c r="W501" s="7" t="e">
        <f>IF(VLOOKUP($A501,'Concrete Beam Schedule'!$A$2:$Q$2902,W$2,0)&lt;&gt;G501,"Beam Revised","")</f>
        <v>#N/A</v>
      </c>
      <c r="X501" s="7" t="e">
        <f>IF(VLOOKUP($A501,'Concrete Beam Schedule'!$A$2:$Q$2902,X$2,0)&lt;&gt;H501,"Beam Revised","")</f>
        <v>#N/A</v>
      </c>
      <c r="Y501" s="7" t="e">
        <f>IF(VLOOKUP($A501,'Concrete Beam Schedule'!$A$2:$Q$2902,Y$2,0)&lt;&gt;I501,"Beam Revised","")</f>
        <v>#N/A</v>
      </c>
      <c r="Z501" s="7" t="e">
        <f>IF(VLOOKUP($A501,'Concrete Beam Schedule'!$A$2:$Q$2902,Z$2,0)&lt;&gt;J501,"Beam Revised","")</f>
        <v>#N/A</v>
      </c>
      <c r="AA501" s="7" t="e">
        <f>IF(VLOOKUP($A501,'Concrete Beam Schedule'!$A$2:$Q$2902,AA$2,0)&lt;&gt;K501,"Beam Revised","")</f>
        <v>#N/A</v>
      </c>
      <c r="AB501" s="7" t="e">
        <f>IF(VLOOKUP($A501,'Concrete Beam Schedule'!$A$2:$Q$2902,AB$2,0)&lt;&gt;L501,"Beam Revised","")</f>
        <v>#N/A</v>
      </c>
      <c r="AC501" s="7" t="e">
        <f>IF(VLOOKUP($A501,'Concrete Beam Schedule'!$A$2:$Q$2902,AC$2,0)&lt;&gt;M501,"Beam Revised","")</f>
        <v>#N/A</v>
      </c>
      <c r="AD501" s="7" t="e">
        <f>IF(VLOOKUP($A501,'Concrete Beam Schedule'!$A$2:$Q$2902,AD$2,0)&lt;&gt;N501,"Beam Revised","")</f>
        <v>#N/A</v>
      </c>
      <c r="AE501" s="7" t="e">
        <f>IF(VLOOKUP($A501,'Concrete Beam Schedule'!$A$2:$Q$2902,AE$2,0)&lt;&gt;O501,"Beam Revised","")</f>
        <v>#N/A</v>
      </c>
    </row>
    <row r="502" spans="1:31" ht="15" customHeight="1" x14ac:dyDescent="0.25">
      <c r="Q502" s="7">
        <f t="shared" si="7"/>
        <v>0</v>
      </c>
      <c r="R502" s="7" t="e">
        <f>IF(VLOOKUP($A502,'Concrete Beam Schedule'!$A$2:$Q$2902,R$2,0)&lt;&gt;B502,VLOOKUP($A502,'Concrete Beam Schedule'!$A$2:$Q$2902,R$2,0),"")</f>
        <v>#N/A</v>
      </c>
      <c r="S502" s="7" t="e">
        <f>IF(VLOOKUP($A502,'Concrete Beam Schedule'!$A$2:$Q$2902,S$2,0)&lt;&gt;C502,VLOOKUP($A502,'Concrete Beam Schedule'!$A$2:$Q$2902,S$2,0),"")</f>
        <v>#N/A</v>
      </c>
      <c r="T502" s="7" t="e">
        <f>IF(VLOOKUP($A502,'Concrete Beam Schedule'!$A$2:$Q$2902,T$2,0)&lt;&gt;D502,"Beam Revised","")</f>
        <v>#N/A</v>
      </c>
      <c r="U502" s="7" t="e">
        <f>IF(VLOOKUP($A502,'Concrete Beam Schedule'!$A$2:$Q$2902,U$2,0)&lt;&gt;E502,"Beam Revised","")</f>
        <v>#N/A</v>
      </c>
      <c r="V502" s="7" t="e">
        <f>IF(VLOOKUP($A502,'Concrete Beam Schedule'!$A$2:$Q$2902,V$2,0)&lt;&gt;F502,"Beam Revised","")</f>
        <v>#N/A</v>
      </c>
      <c r="W502" s="7" t="e">
        <f>IF(VLOOKUP($A502,'Concrete Beam Schedule'!$A$2:$Q$2902,W$2,0)&lt;&gt;G502,"Beam Revised","")</f>
        <v>#N/A</v>
      </c>
      <c r="X502" s="7" t="e">
        <f>IF(VLOOKUP($A502,'Concrete Beam Schedule'!$A$2:$Q$2902,X$2,0)&lt;&gt;H502,"Beam Revised","")</f>
        <v>#N/A</v>
      </c>
      <c r="Y502" s="7" t="e">
        <f>IF(VLOOKUP($A502,'Concrete Beam Schedule'!$A$2:$Q$2902,Y$2,0)&lt;&gt;I502,"Beam Revised","")</f>
        <v>#N/A</v>
      </c>
      <c r="Z502" s="7" t="e">
        <f>IF(VLOOKUP($A502,'Concrete Beam Schedule'!$A$2:$Q$2902,Z$2,0)&lt;&gt;J502,"Beam Revised","")</f>
        <v>#N/A</v>
      </c>
      <c r="AA502" s="7" t="e">
        <f>IF(VLOOKUP($A502,'Concrete Beam Schedule'!$A$2:$Q$2902,AA$2,0)&lt;&gt;K502,"Beam Revised","")</f>
        <v>#N/A</v>
      </c>
      <c r="AB502" s="7" t="e">
        <f>IF(VLOOKUP($A502,'Concrete Beam Schedule'!$A$2:$Q$2902,AB$2,0)&lt;&gt;L502,"Beam Revised","")</f>
        <v>#N/A</v>
      </c>
      <c r="AC502" s="7" t="e">
        <f>IF(VLOOKUP($A502,'Concrete Beam Schedule'!$A$2:$Q$2902,AC$2,0)&lt;&gt;M502,"Beam Revised","")</f>
        <v>#N/A</v>
      </c>
      <c r="AD502" s="7" t="e">
        <f>IF(VLOOKUP($A502,'Concrete Beam Schedule'!$A$2:$Q$2902,AD$2,0)&lt;&gt;N502,"Beam Revised","")</f>
        <v>#N/A</v>
      </c>
      <c r="AE502" s="7" t="e">
        <f>IF(VLOOKUP($A502,'Concrete Beam Schedule'!$A$2:$Q$2902,AE$2,0)&lt;&gt;O502,"Beam Revised","")</f>
        <v>#N/A</v>
      </c>
    </row>
    <row r="503" spans="1:31" ht="15" customHeight="1" x14ac:dyDescent="0.25">
      <c r="Q503" s="7">
        <f t="shared" si="7"/>
        <v>0</v>
      </c>
      <c r="R503" s="7" t="e">
        <f>IF(VLOOKUP($A503,'Concrete Beam Schedule'!$A$2:$Q$2902,R$2,0)&lt;&gt;B503,VLOOKUP($A503,'Concrete Beam Schedule'!$A$2:$Q$2902,R$2,0),"")</f>
        <v>#N/A</v>
      </c>
      <c r="S503" s="7" t="e">
        <f>IF(VLOOKUP($A503,'Concrete Beam Schedule'!$A$2:$Q$2902,S$2,0)&lt;&gt;C503,VLOOKUP($A503,'Concrete Beam Schedule'!$A$2:$Q$2902,S$2,0),"")</f>
        <v>#N/A</v>
      </c>
      <c r="T503" s="7" t="e">
        <f>IF(VLOOKUP($A503,'Concrete Beam Schedule'!$A$2:$Q$2902,T$2,0)&lt;&gt;D503,"Beam Revised","")</f>
        <v>#N/A</v>
      </c>
      <c r="U503" s="7" t="e">
        <f>IF(VLOOKUP($A503,'Concrete Beam Schedule'!$A$2:$Q$2902,U$2,0)&lt;&gt;E503,"Beam Revised","")</f>
        <v>#N/A</v>
      </c>
      <c r="V503" s="7" t="e">
        <f>IF(VLOOKUP($A503,'Concrete Beam Schedule'!$A$2:$Q$2902,V$2,0)&lt;&gt;F503,"Beam Revised","")</f>
        <v>#N/A</v>
      </c>
      <c r="W503" s="7" t="e">
        <f>IF(VLOOKUP($A503,'Concrete Beam Schedule'!$A$2:$Q$2902,W$2,0)&lt;&gt;G503,"Beam Revised","")</f>
        <v>#N/A</v>
      </c>
      <c r="X503" s="7" t="e">
        <f>IF(VLOOKUP($A503,'Concrete Beam Schedule'!$A$2:$Q$2902,X$2,0)&lt;&gt;H503,"Beam Revised","")</f>
        <v>#N/A</v>
      </c>
      <c r="Y503" s="7" t="e">
        <f>IF(VLOOKUP($A503,'Concrete Beam Schedule'!$A$2:$Q$2902,Y$2,0)&lt;&gt;I503,"Beam Revised","")</f>
        <v>#N/A</v>
      </c>
      <c r="Z503" s="7" t="e">
        <f>IF(VLOOKUP($A503,'Concrete Beam Schedule'!$A$2:$Q$2902,Z$2,0)&lt;&gt;J503,"Beam Revised","")</f>
        <v>#N/A</v>
      </c>
      <c r="AA503" s="7" t="e">
        <f>IF(VLOOKUP($A503,'Concrete Beam Schedule'!$A$2:$Q$2902,AA$2,0)&lt;&gt;K503,"Beam Revised","")</f>
        <v>#N/A</v>
      </c>
      <c r="AB503" s="7" t="e">
        <f>IF(VLOOKUP($A503,'Concrete Beam Schedule'!$A$2:$Q$2902,AB$2,0)&lt;&gt;L503,"Beam Revised","")</f>
        <v>#N/A</v>
      </c>
      <c r="AC503" s="7" t="e">
        <f>IF(VLOOKUP($A503,'Concrete Beam Schedule'!$A$2:$Q$2902,AC$2,0)&lt;&gt;M503,"Beam Revised","")</f>
        <v>#N/A</v>
      </c>
      <c r="AD503" s="7" t="e">
        <f>IF(VLOOKUP($A503,'Concrete Beam Schedule'!$A$2:$Q$2902,AD$2,0)&lt;&gt;N503,"Beam Revised","")</f>
        <v>#N/A</v>
      </c>
      <c r="AE503" s="7" t="e">
        <f>IF(VLOOKUP($A503,'Concrete Beam Schedule'!$A$2:$Q$2902,AE$2,0)&lt;&gt;O503,"Beam Revised","")</f>
        <v>#N/A</v>
      </c>
    </row>
    <row r="504" spans="1:31" ht="15" customHeight="1" x14ac:dyDescent="0.25">
      <c r="Q504" s="7">
        <f t="shared" si="7"/>
        <v>0</v>
      </c>
      <c r="R504" s="7" t="e">
        <f>IF(VLOOKUP($A504,'Concrete Beam Schedule'!$A$2:$Q$2902,R$2,0)&lt;&gt;B504,VLOOKUP($A504,'Concrete Beam Schedule'!$A$2:$Q$2902,R$2,0),"")</f>
        <v>#N/A</v>
      </c>
      <c r="S504" s="7" t="e">
        <f>IF(VLOOKUP($A504,'Concrete Beam Schedule'!$A$2:$Q$2902,S$2,0)&lt;&gt;C504,VLOOKUP($A504,'Concrete Beam Schedule'!$A$2:$Q$2902,S$2,0),"")</f>
        <v>#N/A</v>
      </c>
      <c r="T504" s="7" t="e">
        <f>IF(VLOOKUP($A504,'Concrete Beam Schedule'!$A$2:$Q$2902,T$2,0)&lt;&gt;D504,"Beam Revised","")</f>
        <v>#N/A</v>
      </c>
      <c r="U504" s="7" t="e">
        <f>IF(VLOOKUP($A504,'Concrete Beam Schedule'!$A$2:$Q$2902,U$2,0)&lt;&gt;E504,"Beam Revised","")</f>
        <v>#N/A</v>
      </c>
      <c r="V504" s="7" t="e">
        <f>IF(VLOOKUP($A504,'Concrete Beam Schedule'!$A$2:$Q$2902,V$2,0)&lt;&gt;F504,"Beam Revised","")</f>
        <v>#N/A</v>
      </c>
      <c r="W504" s="7" t="e">
        <f>IF(VLOOKUP($A504,'Concrete Beam Schedule'!$A$2:$Q$2902,W$2,0)&lt;&gt;G504,"Beam Revised","")</f>
        <v>#N/A</v>
      </c>
      <c r="X504" s="7" t="e">
        <f>IF(VLOOKUP($A504,'Concrete Beam Schedule'!$A$2:$Q$2902,X$2,0)&lt;&gt;H504,"Beam Revised","")</f>
        <v>#N/A</v>
      </c>
      <c r="Y504" s="7" t="e">
        <f>IF(VLOOKUP($A504,'Concrete Beam Schedule'!$A$2:$Q$2902,Y$2,0)&lt;&gt;I504,"Beam Revised","")</f>
        <v>#N/A</v>
      </c>
      <c r="Z504" s="7" t="e">
        <f>IF(VLOOKUP($A504,'Concrete Beam Schedule'!$A$2:$Q$2902,Z$2,0)&lt;&gt;J504,"Beam Revised","")</f>
        <v>#N/A</v>
      </c>
      <c r="AA504" s="7" t="e">
        <f>IF(VLOOKUP($A504,'Concrete Beam Schedule'!$A$2:$Q$2902,AA$2,0)&lt;&gt;K504,"Beam Revised","")</f>
        <v>#N/A</v>
      </c>
      <c r="AB504" s="7" t="e">
        <f>IF(VLOOKUP($A504,'Concrete Beam Schedule'!$A$2:$Q$2902,AB$2,0)&lt;&gt;L504,"Beam Revised","")</f>
        <v>#N/A</v>
      </c>
      <c r="AC504" s="7" t="e">
        <f>IF(VLOOKUP($A504,'Concrete Beam Schedule'!$A$2:$Q$2902,AC$2,0)&lt;&gt;M504,"Beam Revised","")</f>
        <v>#N/A</v>
      </c>
      <c r="AD504" s="7" t="e">
        <f>IF(VLOOKUP($A504,'Concrete Beam Schedule'!$A$2:$Q$2902,AD$2,0)&lt;&gt;N504,"Beam Revised","")</f>
        <v>#N/A</v>
      </c>
      <c r="AE504" s="7" t="e">
        <f>IF(VLOOKUP($A504,'Concrete Beam Schedule'!$A$2:$Q$2902,AE$2,0)&lt;&gt;O504,"Beam Revised","")</f>
        <v>#N/A</v>
      </c>
    </row>
    <row r="505" spans="1:31" ht="15" customHeight="1" x14ac:dyDescent="0.25">
      <c r="Q505" s="7">
        <f t="shared" si="7"/>
        <v>0</v>
      </c>
      <c r="R505" s="7" t="e">
        <f>IF(VLOOKUP($A505,'Concrete Beam Schedule'!$A$2:$Q$2902,R$2,0)&lt;&gt;B505,VLOOKUP($A505,'Concrete Beam Schedule'!$A$2:$Q$2902,R$2,0),"")</f>
        <v>#N/A</v>
      </c>
      <c r="S505" s="7" t="e">
        <f>IF(VLOOKUP($A505,'Concrete Beam Schedule'!$A$2:$Q$2902,S$2,0)&lt;&gt;C505,VLOOKUP($A505,'Concrete Beam Schedule'!$A$2:$Q$2902,S$2,0),"")</f>
        <v>#N/A</v>
      </c>
      <c r="T505" s="7" t="e">
        <f>IF(VLOOKUP($A505,'Concrete Beam Schedule'!$A$2:$Q$2902,T$2,0)&lt;&gt;D505,"Beam Revised","")</f>
        <v>#N/A</v>
      </c>
      <c r="U505" s="7" t="e">
        <f>IF(VLOOKUP($A505,'Concrete Beam Schedule'!$A$2:$Q$2902,U$2,0)&lt;&gt;E505,"Beam Revised","")</f>
        <v>#N/A</v>
      </c>
      <c r="V505" s="7" t="e">
        <f>IF(VLOOKUP($A505,'Concrete Beam Schedule'!$A$2:$Q$2902,V$2,0)&lt;&gt;F505,"Beam Revised","")</f>
        <v>#N/A</v>
      </c>
      <c r="W505" s="7" t="e">
        <f>IF(VLOOKUP($A505,'Concrete Beam Schedule'!$A$2:$Q$2902,W$2,0)&lt;&gt;G505,"Beam Revised","")</f>
        <v>#N/A</v>
      </c>
      <c r="X505" s="7" t="e">
        <f>IF(VLOOKUP($A505,'Concrete Beam Schedule'!$A$2:$Q$2902,X$2,0)&lt;&gt;H505,"Beam Revised","")</f>
        <v>#N/A</v>
      </c>
      <c r="Y505" s="7" t="e">
        <f>IF(VLOOKUP($A505,'Concrete Beam Schedule'!$A$2:$Q$2902,Y$2,0)&lt;&gt;I505,"Beam Revised","")</f>
        <v>#N/A</v>
      </c>
      <c r="Z505" s="7" t="e">
        <f>IF(VLOOKUP($A505,'Concrete Beam Schedule'!$A$2:$Q$2902,Z$2,0)&lt;&gt;J505,"Beam Revised","")</f>
        <v>#N/A</v>
      </c>
      <c r="AA505" s="7" t="e">
        <f>IF(VLOOKUP($A505,'Concrete Beam Schedule'!$A$2:$Q$2902,AA$2,0)&lt;&gt;K505,"Beam Revised","")</f>
        <v>#N/A</v>
      </c>
      <c r="AB505" s="7" t="e">
        <f>IF(VLOOKUP($A505,'Concrete Beam Schedule'!$A$2:$Q$2902,AB$2,0)&lt;&gt;L505,"Beam Revised","")</f>
        <v>#N/A</v>
      </c>
      <c r="AC505" s="7" t="e">
        <f>IF(VLOOKUP($A505,'Concrete Beam Schedule'!$A$2:$Q$2902,AC$2,0)&lt;&gt;M505,"Beam Revised","")</f>
        <v>#N/A</v>
      </c>
      <c r="AD505" s="7" t="e">
        <f>IF(VLOOKUP($A505,'Concrete Beam Schedule'!$A$2:$Q$2902,AD$2,0)&lt;&gt;N505,"Beam Revised","")</f>
        <v>#N/A</v>
      </c>
      <c r="AE505" s="7" t="e">
        <f>IF(VLOOKUP($A505,'Concrete Beam Schedule'!$A$2:$Q$2902,AE$2,0)&lt;&gt;O505,"Beam Revised","")</f>
        <v>#N/A</v>
      </c>
    </row>
    <row r="506" spans="1:31" ht="15" customHeight="1" x14ac:dyDescent="0.25">
      <c r="Q506" s="7">
        <f t="shared" si="7"/>
        <v>0</v>
      </c>
      <c r="R506" s="7" t="e">
        <f>IF(VLOOKUP($A506,'Concrete Beam Schedule'!$A$2:$Q$2902,R$2,0)&lt;&gt;B506,VLOOKUP($A506,'Concrete Beam Schedule'!$A$2:$Q$2902,R$2,0),"")</f>
        <v>#N/A</v>
      </c>
      <c r="S506" s="7" t="e">
        <f>IF(VLOOKUP($A506,'Concrete Beam Schedule'!$A$2:$Q$2902,S$2,0)&lt;&gt;C506,VLOOKUP($A506,'Concrete Beam Schedule'!$A$2:$Q$2902,S$2,0),"")</f>
        <v>#N/A</v>
      </c>
      <c r="T506" s="7" t="e">
        <f>IF(VLOOKUP($A506,'Concrete Beam Schedule'!$A$2:$Q$2902,T$2,0)&lt;&gt;D506,"Beam Revised","")</f>
        <v>#N/A</v>
      </c>
      <c r="U506" s="7" t="e">
        <f>IF(VLOOKUP($A506,'Concrete Beam Schedule'!$A$2:$Q$2902,U$2,0)&lt;&gt;E506,"Beam Revised","")</f>
        <v>#N/A</v>
      </c>
      <c r="V506" s="7" t="e">
        <f>IF(VLOOKUP($A506,'Concrete Beam Schedule'!$A$2:$Q$2902,V$2,0)&lt;&gt;F506,"Beam Revised","")</f>
        <v>#N/A</v>
      </c>
      <c r="W506" s="7" t="e">
        <f>IF(VLOOKUP($A506,'Concrete Beam Schedule'!$A$2:$Q$2902,W$2,0)&lt;&gt;G506,"Beam Revised","")</f>
        <v>#N/A</v>
      </c>
      <c r="X506" s="7" t="e">
        <f>IF(VLOOKUP($A506,'Concrete Beam Schedule'!$A$2:$Q$2902,X$2,0)&lt;&gt;H506,"Beam Revised","")</f>
        <v>#N/A</v>
      </c>
      <c r="Y506" s="7" t="e">
        <f>IF(VLOOKUP($A506,'Concrete Beam Schedule'!$A$2:$Q$2902,Y$2,0)&lt;&gt;I506,"Beam Revised","")</f>
        <v>#N/A</v>
      </c>
      <c r="Z506" s="7" t="e">
        <f>IF(VLOOKUP($A506,'Concrete Beam Schedule'!$A$2:$Q$2902,Z$2,0)&lt;&gt;J506,"Beam Revised","")</f>
        <v>#N/A</v>
      </c>
      <c r="AA506" s="7" t="e">
        <f>IF(VLOOKUP($A506,'Concrete Beam Schedule'!$A$2:$Q$2902,AA$2,0)&lt;&gt;K506,"Beam Revised","")</f>
        <v>#N/A</v>
      </c>
      <c r="AB506" s="7" t="e">
        <f>IF(VLOOKUP($A506,'Concrete Beam Schedule'!$A$2:$Q$2902,AB$2,0)&lt;&gt;L506,"Beam Revised","")</f>
        <v>#N/A</v>
      </c>
      <c r="AC506" s="7" t="e">
        <f>IF(VLOOKUP($A506,'Concrete Beam Schedule'!$A$2:$Q$2902,AC$2,0)&lt;&gt;M506,"Beam Revised","")</f>
        <v>#N/A</v>
      </c>
      <c r="AD506" s="7" t="e">
        <f>IF(VLOOKUP($A506,'Concrete Beam Schedule'!$A$2:$Q$2902,AD$2,0)&lt;&gt;N506,"Beam Revised","")</f>
        <v>#N/A</v>
      </c>
      <c r="AE506" s="7" t="e">
        <f>IF(VLOOKUP($A506,'Concrete Beam Schedule'!$A$2:$Q$2902,AE$2,0)&lt;&gt;O506,"Beam Revised","")</f>
        <v>#N/A</v>
      </c>
    </row>
    <row r="507" spans="1:31" ht="15" customHeight="1" x14ac:dyDescent="0.25">
      <c r="Q507" s="7">
        <f t="shared" si="7"/>
        <v>0</v>
      </c>
      <c r="R507" s="7" t="e">
        <f>IF(VLOOKUP($A507,'Concrete Beam Schedule'!$A$2:$Q$2902,R$2,0)&lt;&gt;B507,VLOOKUP($A507,'Concrete Beam Schedule'!$A$2:$Q$2902,R$2,0),"")</f>
        <v>#N/A</v>
      </c>
      <c r="S507" s="7" t="e">
        <f>IF(VLOOKUP($A507,'Concrete Beam Schedule'!$A$2:$Q$2902,S$2,0)&lt;&gt;C507,VLOOKUP($A507,'Concrete Beam Schedule'!$A$2:$Q$2902,S$2,0),"")</f>
        <v>#N/A</v>
      </c>
      <c r="T507" s="7" t="e">
        <f>IF(VLOOKUP($A507,'Concrete Beam Schedule'!$A$2:$Q$2902,T$2,0)&lt;&gt;D507,"Beam Revised","")</f>
        <v>#N/A</v>
      </c>
      <c r="U507" s="7" t="e">
        <f>IF(VLOOKUP($A507,'Concrete Beam Schedule'!$A$2:$Q$2902,U$2,0)&lt;&gt;E507,"Beam Revised","")</f>
        <v>#N/A</v>
      </c>
      <c r="V507" s="7" t="e">
        <f>IF(VLOOKUP($A507,'Concrete Beam Schedule'!$A$2:$Q$2902,V$2,0)&lt;&gt;F507,"Beam Revised","")</f>
        <v>#N/A</v>
      </c>
      <c r="W507" s="7" t="e">
        <f>IF(VLOOKUP($A507,'Concrete Beam Schedule'!$A$2:$Q$2902,W$2,0)&lt;&gt;G507,"Beam Revised","")</f>
        <v>#N/A</v>
      </c>
      <c r="X507" s="7" t="e">
        <f>IF(VLOOKUP($A507,'Concrete Beam Schedule'!$A$2:$Q$2902,X$2,0)&lt;&gt;H507,"Beam Revised","")</f>
        <v>#N/A</v>
      </c>
      <c r="Y507" s="7" t="e">
        <f>IF(VLOOKUP($A507,'Concrete Beam Schedule'!$A$2:$Q$2902,Y$2,0)&lt;&gt;I507,"Beam Revised","")</f>
        <v>#N/A</v>
      </c>
      <c r="Z507" s="7" t="e">
        <f>IF(VLOOKUP($A507,'Concrete Beam Schedule'!$A$2:$Q$2902,Z$2,0)&lt;&gt;J507,"Beam Revised","")</f>
        <v>#N/A</v>
      </c>
      <c r="AA507" s="7" t="e">
        <f>IF(VLOOKUP($A507,'Concrete Beam Schedule'!$A$2:$Q$2902,AA$2,0)&lt;&gt;K507,"Beam Revised","")</f>
        <v>#N/A</v>
      </c>
      <c r="AB507" s="7" t="e">
        <f>IF(VLOOKUP($A507,'Concrete Beam Schedule'!$A$2:$Q$2902,AB$2,0)&lt;&gt;L507,"Beam Revised","")</f>
        <v>#N/A</v>
      </c>
      <c r="AC507" s="7" t="e">
        <f>IF(VLOOKUP($A507,'Concrete Beam Schedule'!$A$2:$Q$2902,AC$2,0)&lt;&gt;M507,"Beam Revised","")</f>
        <v>#N/A</v>
      </c>
      <c r="AD507" s="7" t="e">
        <f>IF(VLOOKUP($A507,'Concrete Beam Schedule'!$A$2:$Q$2902,AD$2,0)&lt;&gt;N507,"Beam Revised","")</f>
        <v>#N/A</v>
      </c>
      <c r="AE507" s="7" t="e">
        <f>IF(VLOOKUP($A507,'Concrete Beam Schedule'!$A$2:$Q$2902,AE$2,0)&lt;&gt;O507,"Beam Revised","")</f>
        <v>#N/A</v>
      </c>
    </row>
    <row r="508" spans="1:31" ht="15" customHeight="1" x14ac:dyDescent="0.25">
      <c r="Q508" s="7">
        <f t="shared" si="7"/>
        <v>0</v>
      </c>
      <c r="R508" s="7" t="e">
        <f>IF(VLOOKUP($A508,'Concrete Beam Schedule'!$A$2:$Q$2902,R$2,0)&lt;&gt;B508,VLOOKUP($A508,'Concrete Beam Schedule'!$A$2:$Q$2902,R$2,0),"")</f>
        <v>#N/A</v>
      </c>
      <c r="S508" s="7" t="e">
        <f>IF(VLOOKUP($A508,'Concrete Beam Schedule'!$A$2:$Q$2902,S$2,0)&lt;&gt;C508,VLOOKUP($A508,'Concrete Beam Schedule'!$A$2:$Q$2902,S$2,0),"")</f>
        <v>#N/A</v>
      </c>
      <c r="T508" s="7" t="e">
        <f>IF(VLOOKUP($A508,'Concrete Beam Schedule'!$A$2:$Q$2902,T$2,0)&lt;&gt;D508,"Beam Revised","")</f>
        <v>#N/A</v>
      </c>
      <c r="U508" s="7" t="e">
        <f>IF(VLOOKUP($A508,'Concrete Beam Schedule'!$A$2:$Q$2902,U$2,0)&lt;&gt;E508,"Beam Revised","")</f>
        <v>#N/A</v>
      </c>
      <c r="V508" s="7" t="e">
        <f>IF(VLOOKUP($A508,'Concrete Beam Schedule'!$A$2:$Q$2902,V$2,0)&lt;&gt;F508,"Beam Revised","")</f>
        <v>#N/A</v>
      </c>
      <c r="W508" s="7" t="e">
        <f>IF(VLOOKUP($A508,'Concrete Beam Schedule'!$A$2:$Q$2902,W$2,0)&lt;&gt;G508,"Beam Revised","")</f>
        <v>#N/A</v>
      </c>
      <c r="X508" s="7" t="e">
        <f>IF(VLOOKUP($A508,'Concrete Beam Schedule'!$A$2:$Q$2902,X$2,0)&lt;&gt;H508,"Beam Revised","")</f>
        <v>#N/A</v>
      </c>
      <c r="Y508" s="7" t="e">
        <f>IF(VLOOKUP($A508,'Concrete Beam Schedule'!$A$2:$Q$2902,Y$2,0)&lt;&gt;I508,"Beam Revised","")</f>
        <v>#N/A</v>
      </c>
      <c r="Z508" s="7" t="e">
        <f>IF(VLOOKUP($A508,'Concrete Beam Schedule'!$A$2:$Q$2902,Z$2,0)&lt;&gt;J508,"Beam Revised","")</f>
        <v>#N/A</v>
      </c>
      <c r="AA508" s="7" t="e">
        <f>IF(VLOOKUP($A508,'Concrete Beam Schedule'!$A$2:$Q$2902,AA$2,0)&lt;&gt;K508,"Beam Revised","")</f>
        <v>#N/A</v>
      </c>
      <c r="AB508" s="7" t="e">
        <f>IF(VLOOKUP($A508,'Concrete Beam Schedule'!$A$2:$Q$2902,AB$2,0)&lt;&gt;L508,"Beam Revised","")</f>
        <v>#N/A</v>
      </c>
      <c r="AC508" s="7" t="e">
        <f>IF(VLOOKUP($A508,'Concrete Beam Schedule'!$A$2:$Q$2902,AC$2,0)&lt;&gt;M508,"Beam Revised","")</f>
        <v>#N/A</v>
      </c>
      <c r="AD508" s="7" t="e">
        <f>IF(VLOOKUP($A508,'Concrete Beam Schedule'!$A$2:$Q$2902,AD$2,0)&lt;&gt;N508,"Beam Revised","")</f>
        <v>#N/A</v>
      </c>
      <c r="AE508" s="7" t="e">
        <f>IF(VLOOKUP($A508,'Concrete Beam Schedule'!$A$2:$Q$2902,AE$2,0)&lt;&gt;O508,"Beam Revised","")</f>
        <v>#N/A</v>
      </c>
    </row>
    <row r="509" spans="1:31" ht="15" customHeight="1" x14ac:dyDescent="0.25">
      <c r="Q509" s="7">
        <f t="shared" si="7"/>
        <v>0</v>
      </c>
      <c r="R509" s="7" t="e">
        <f>IF(VLOOKUP($A509,'Concrete Beam Schedule'!$A$2:$Q$2902,R$2,0)&lt;&gt;B509,VLOOKUP($A509,'Concrete Beam Schedule'!$A$2:$Q$2902,R$2,0),"")</f>
        <v>#N/A</v>
      </c>
      <c r="S509" s="7" t="e">
        <f>IF(VLOOKUP($A509,'Concrete Beam Schedule'!$A$2:$Q$2902,S$2,0)&lt;&gt;C509,VLOOKUP($A509,'Concrete Beam Schedule'!$A$2:$Q$2902,S$2,0),"")</f>
        <v>#N/A</v>
      </c>
      <c r="T509" s="7" t="e">
        <f>IF(VLOOKUP($A509,'Concrete Beam Schedule'!$A$2:$Q$2902,T$2,0)&lt;&gt;D509,"Beam Revised","")</f>
        <v>#N/A</v>
      </c>
      <c r="U509" s="7" t="e">
        <f>IF(VLOOKUP($A509,'Concrete Beam Schedule'!$A$2:$Q$2902,U$2,0)&lt;&gt;E509,"Beam Revised","")</f>
        <v>#N/A</v>
      </c>
      <c r="V509" s="7" t="e">
        <f>IF(VLOOKUP($A509,'Concrete Beam Schedule'!$A$2:$Q$2902,V$2,0)&lt;&gt;F509,"Beam Revised","")</f>
        <v>#N/A</v>
      </c>
      <c r="W509" s="7" t="e">
        <f>IF(VLOOKUP($A509,'Concrete Beam Schedule'!$A$2:$Q$2902,W$2,0)&lt;&gt;G509,"Beam Revised","")</f>
        <v>#N/A</v>
      </c>
      <c r="X509" s="7" t="e">
        <f>IF(VLOOKUP($A509,'Concrete Beam Schedule'!$A$2:$Q$2902,X$2,0)&lt;&gt;H509,"Beam Revised","")</f>
        <v>#N/A</v>
      </c>
      <c r="Y509" s="7" t="e">
        <f>IF(VLOOKUP($A509,'Concrete Beam Schedule'!$A$2:$Q$2902,Y$2,0)&lt;&gt;I509,"Beam Revised","")</f>
        <v>#N/A</v>
      </c>
      <c r="Z509" s="7" t="e">
        <f>IF(VLOOKUP($A509,'Concrete Beam Schedule'!$A$2:$Q$2902,Z$2,0)&lt;&gt;J509,"Beam Revised","")</f>
        <v>#N/A</v>
      </c>
      <c r="AA509" s="7" t="e">
        <f>IF(VLOOKUP($A509,'Concrete Beam Schedule'!$A$2:$Q$2902,AA$2,0)&lt;&gt;K509,"Beam Revised","")</f>
        <v>#N/A</v>
      </c>
      <c r="AB509" s="7" t="e">
        <f>IF(VLOOKUP($A509,'Concrete Beam Schedule'!$A$2:$Q$2902,AB$2,0)&lt;&gt;L509,"Beam Revised","")</f>
        <v>#N/A</v>
      </c>
      <c r="AC509" s="7" t="e">
        <f>IF(VLOOKUP($A509,'Concrete Beam Schedule'!$A$2:$Q$2902,AC$2,0)&lt;&gt;M509,"Beam Revised","")</f>
        <v>#N/A</v>
      </c>
      <c r="AD509" s="7" t="e">
        <f>IF(VLOOKUP($A509,'Concrete Beam Schedule'!$A$2:$Q$2902,AD$2,0)&lt;&gt;N509,"Beam Revised","")</f>
        <v>#N/A</v>
      </c>
      <c r="AE509" s="7" t="e">
        <f>IF(VLOOKUP($A509,'Concrete Beam Schedule'!$A$2:$Q$2902,AE$2,0)&lt;&gt;O509,"Beam Revised","")</f>
        <v>#N/A</v>
      </c>
    </row>
    <row r="510" spans="1:31" ht="15" customHeight="1" x14ac:dyDescent="0.25">
      <c r="Q510" s="7">
        <f t="shared" si="7"/>
        <v>0</v>
      </c>
      <c r="R510" s="7" t="e">
        <f>IF(VLOOKUP($A510,'Concrete Beam Schedule'!$A$2:$Q$2902,R$2,0)&lt;&gt;B510,VLOOKUP($A510,'Concrete Beam Schedule'!$A$2:$Q$2902,R$2,0),"")</f>
        <v>#N/A</v>
      </c>
      <c r="S510" s="7" t="e">
        <f>IF(VLOOKUP($A510,'Concrete Beam Schedule'!$A$2:$Q$2902,S$2,0)&lt;&gt;C510,VLOOKUP($A510,'Concrete Beam Schedule'!$A$2:$Q$2902,S$2,0),"")</f>
        <v>#N/A</v>
      </c>
      <c r="T510" s="7" t="e">
        <f>IF(VLOOKUP($A510,'Concrete Beam Schedule'!$A$2:$Q$2902,T$2,0)&lt;&gt;D510,"Beam Revised","")</f>
        <v>#N/A</v>
      </c>
      <c r="U510" s="7" t="e">
        <f>IF(VLOOKUP($A510,'Concrete Beam Schedule'!$A$2:$Q$2902,U$2,0)&lt;&gt;E510,"Beam Revised","")</f>
        <v>#N/A</v>
      </c>
      <c r="V510" s="7" t="e">
        <f>IF(VLOOKUP($A510,'Concrete Beam Schedule'!$A$2:$Q$2902,V$2,0)&lt;&gt;F510,"Beam Revised","")</f>
        <v>#N/A</v>
      </c>
      <c r="W510" s="7" t="e">
        <f>IF(VLOOKUP($A510,'Concrete Beam Schedule'!$A$2:$Q$2902,W$2,0)&lt;&gt;G510,"Beam Revised","")</f>
        <v>#N/A</v>
      </c>
      <c r="X510" s="7" t="e">
        <f>IF(VLOOKUP($A510,'Concrete Beam Schedule'!$A$2:$Q$2902,X$2,0)&lt;&gt;H510,"Beam Revised","")</f>
        <v>#N/A</v>
      </c>
      <c r="Y510" s="7" t="e">
        <f>IF(VLOOKUP($A510,'Concrete Beam Schedule'!$A$2:$Q$2902,Y$2,0)&lt;&gt;I510,"Beam Revised","")</f>
        <v>#N/A</v>
      </c>
      <c r="Z510" s="7" t="e">
        <f>IF(VLOOKUP($A510,'Concrete Beam Schedule'!$A$2:$Q$2902,Z$2,0)&lt;&gt;J510,"Beam Revised","")</f>
        <v>#N/A</v>
      </c>
      <c r="AA510" s="7" t="e">
        <f>IF(VLOOKUP($A510,'Concrete Beam Schedule'!$A$2:$Q$2902,AA$2,0)&lt;&gt;K510,"Beam Revised","")</f>
        <v>#N/A</v>
      </c>
      <c r="AB510" s="7" t="e">
        <f>IF(VLOOKUP($A510,'Concrete Beam Schedule'!$A$2:$Q$2902,AB$2,0)&lt;&gt;L510,"Beam Revised","")</f>
        <v>#N/A</v>
      </c>
      <c r="AC510" s="7" t="e">
        <f>IF(VLOOKUP($A510,'Concrete Beam Schedule'!$A$2:$Q$2902,AC$2,0)&lt;&gt;M510,"Beam Revised","")</f>
        <v>#N/A</v>
      </c>
      <c r="AD510" s="7" t="e">
        <f>IF(VLOOKUP($A510,'Concrete Beam Schedule'!$A$2:$Q$2902,AD$2,0)&lt;&gt;N510,"Beam Revised","")</f>
        <v>#N/A</v>
      </c>
      <c r="AE510" s="7" t="e">
        <f>IF(VLOOKUP($A510,'Concrete Beam Schedule'!$A$2:$Q$2902,AE$2,0)&lt;&gt;O510,"Beam Revised","")</f>
        <v>#N/A</v>
      </c>
    </row>
    <row r="511" spans="1:31" ht="15" customHeight="1" x14ac:dyDescent="0.25">
      <c r="Q511" s="7">
        <f t="shared" si="7"/>
        <v>0</v>
      </c>
      <c r="R511" s="7" t="e">
        <f>IF(VLOOKUP($A511,'Concrete Beam Schedule'!$A$2:$Q$2902,R$2,0)&lt;&gt;B511,VLOOKUP($A511,'Concrete Beam Schedule'!$A$2:$Q$2902,R$2,0),"")</f>
        <v>#N/A</v>
      </c>
      <c r="S511" s="7" t="e">
        <f>IF(VLOOKUP($A511,'Concrete Beam Schedule'!$A$2:$Q$2902,S$2,0)&lt;&gt;C511,VLOOKUP($A511,'Concrete Beam Schedule'!$A$2:$Q$2902,S$2,0),"")</f>
        <v>#N/A</v>
      </c>
      <c r="T511" s="7" t="e">
        <f>IF(VLOOKUP($A511,'Concrete Beam Schedule'!$A$2:$Q$2902,T$2,0)&lt;&gt;D511,"Beam Revised","")</f>
        <v>#N/A</v>
      </c>
      <c r="U511" s="7" t="e">
        <f>IF(VLOOKUP($A511,'Concrete Beam Schedule'!$A$2:$Q$2902,U$2,0)&lt;&gt;E511,"Beam Revised","")</f>
        <v>#N/A</v>
      </c>
      <c r="V511" s="7" t="e">
        <f>IF(VLOOKUP($A511,'Concrete Beam Schedule'!$A$2:$Q$2902,V$2,0)&lt;&gt;F511,"Beam Revised","")</f>
        <v>#N/A</v>
      </c>
      <c r="W511" s="7" t="e">
        <f>IF(VLOOKUP($A511,'Concrete Beam Schedule'!$A$2:$Q$2902,W$2,0)&lt;&gt;G511,"Beam Revised","")</f>
        <v>#N/A</v>
      </c>
      <c r="X511" s="7" t="e">
        <f>IF(VLOOKUP($A511,'Concrete Beam Schedule'!$A$2:$Q$2902,X$2,0)&lt;&gt;H511,"Beam Revised","")</f>
        <v>#N/A</v>
      </c>
      <c r="Y511" s="7" t="e">
        <f>IF(VLOOKUP($A511,'Concrete Beam Schedule'!$A$2:$Q$2902,Y$2,0)&lt;&gt;I511,"Beam Revised","")</f>
        <v>#N/A</v>
      </c>
      <c r="Z511" s="7" t="e">
        <f>IF(VLOOKUP($A511,'Concrete Beam Schedule'!$A$2:$Q$2902,Z$2,0)&lt;&gt;J511,"Beam Revised","")</f>
        <v>#N/A</v>
      </c>
      <c r="AA511" s="7" t="e">
        <f>IF(VLOOKUP($A511,'Concrete Beam Schedule'!$A$2:$Q$2902,AA$2,0)&lt;&gt;K511,"Beam Revised","")</f>
        <v>#N/A</v>
      </c>
      <c r="AB511" s="7" t="e">
        <f>IF(VLOOKUP($A511,'Concrete Beam Schedule'!$A$2:$Q$2902,AB$2,0)&lt;&gt;L511,"Beam Revised","")</f>
        <v>#N/A</v>
      </c>
      <c r="AC511" s="7" t="e">
        <f>IF(VLOOKUP($A511,'Concrete Beam Schedule'!$A$2:$Q$2902,AC$2,0)&lt;&gt;M511,"Beam Revised","")</f>
        <v>#N/A</v>
      </c>
      <c r="AD511" s="7" t="e">
        <f>IF(VLOOKUP($A511,'Concrete Beam Schedule'!$A$2:$Q$2902,AD$2,0)&lt;&gt;N511,"Beam Revised","")</f>
        <v>#N/A</v>
      </c>
      <c r="AE511" s="7" t="e">
        <f>IF(VLOOKUP($A511,'Concrete Beam Schedule'!$A$2:$Q$2902,AE$2,0)&lt;&gt;O511,"Beam Revised","")</f>
        <v>#N/A</v>
      </c>
    </row>
    <row r="512" spans="1:31" ht="15" customHeight="1" x14ac:dyDescent="0.25">
      <c r="Q512" s="7">
        <f t="shared" si="7"/>
        <v>0</v>
      </c>
      <c r="R512" s="7" t="e">
        <f>IF(VLOOKUP($A512,'Concrete Beam Schedule'!$A$2:$Q$2902,R$2,0)&lt;&gt;B512,VLOOKUP($A512,'Concrete Beam Schedule'!$A$2:$Q$2902,R$2,0),"")</f>
        <v>#N/A</v>
      </c>
      <c r="S512" s="7" t="e">
        <f>IF(VLOOKUP($A512,'Concrete Beam Schedule'!$A$2:$Q$2902,S$2,0)&lt;&gt;C512,VLOOKUP($A512,'Concrete Beam Schedule'!$A$2:$Q$2902,S$2,0),"")</f>
        <v>#N/A</v>
      </c>
      <c r="T512" s="7" t="e">
        <f>IF(VLOOKUP($A512,'Concrete Beam Schedule'!$A$2:$Q$2902,T$2,0)&lt;&gt;D512,"Beam Revised","")</f>
        <v>#N/A</v>
      </c>
      <c r="U512" s="7" t="e">
        <f>IF(VLOOKUP($A512,'Concrete Beam Schedule'!$A$2:$Q$2902,U$2,0)&lt;&gt;E512,"Beam Revised","")</f>
        <v>#N/A</v>
      </c>
      <c r="V512" s="7" t="e">
        <f>IF(VLOOKUP($A512,'Concrete Beam Schedule'!$A$2:$Q$2902,V$2,0)&lt;&gt;F512,"Beam Revised","")</f>
        <v>#N/A</v>
      </c>
      <c r="W512" s="7" t="e">
        <f>IF(VLOOKUP($A512,'Concrete Beam Schedule'!$A$2:$Q$2902,W$2,0)&lt;&gt;G512,"Beam Revised","")</f>
        <v>#N/A</v>
      </c>
      <c r="X512" s="7" t="e">
        <f>IF(VLOOKUP($A512,'Concrete Beam Schedule'!$A$2:$Q$2902,X$2,0)&lt;&gt;H512,"Beam Revised","")</f>
        <v>#N/A</v>
      </c>
      <c r="Y512" s="7" t="e">
        <f>IF(VLOOKUP($A512,'Concrete Beam Schedule'!$A$2:$Q$2902,Y$2,0)&lt;&gt;I512,"Beam Revised","")</f>
        <v>#N/A</v>
      </c>
      <c r="Z512" s="7" t="e">
        <f>IF(VLOOKUP($A512,'Concrete Beam Schedule'!$A$2:$Q$2902,Z$2,0)&lt;&gt;J512,"Beam Revised","")</f>
        <v>#N/A</v>
      </c>
      <c r="AA512" s="7" t="e">
        <f>IF(VLOOKUP($A512,'Concrete Beam Schedule'!$A$2:$Q$2902,AA$2,0)&lt;&gt;K512,"Beam Revised","")</f>
        <v>#N/A</v>
      </c>
      <c r="AB512" s="7" t="e">
        <f>IF(VLOOKUP($A512,'Concrete Beam Schedule'!$A$2:$Q$2902,AB$2,0)&lt;&gt;L512,"Beam Revised","")</f>
        <v>#N/A</v>
      </c>
      <c r="AC512" s="7" t="e">
        <f>IF(VLOOKUP($A512,'Concrete Beam Schedule'!$A$2:$Q$2902,AC$2,0)&lt;&gt;M512,"Beam Revised","")</f>
        <v>#N/A</v>
      </c>
      <c r="AD512" s="7" t="e">
        <f>IF(VLOOKUP($A512,'Concrete Beam Schedule'!$A$2:$Q$2902,AD$2,0)&lt;&gt;N512,"Beam Revised","")</f>
        <v>#N/A</v>
      </c>
      <c r="AE512" s="7" t="e">
        <f>IF(VLOOKUP($A512,'Concrete Beam Schedule'!$A$2:$Q$2902,AE$2,0)&lt;&gt;O512,"Beam Revised","")</f>
        <v>#N/A</v>
      </c>
    </row>
    <row r="513" spans="17:31" ht="13.2" x14ac:dyDescent="0.25">
      <c r="Q513" s="7">
        <f t="shared" si="7"/>
        <v>0</v>
      </c>
      <c r="R513" s="7" t="e">
        <f>IF(VLOOKUP($A513,'Concrete Beam Schedule'!$A$2:$Q$2902,R$2,0)&lt;&gt;B513,VLOOKUP($A513,'Concrete Beam Schedule'!$A$2:$Q$2902,R$2,0),"")</f>
        <v>#N/A</v>
      </c>
      <c r="S513" s="7" t="e">
        <f>IF(VLOOKUP($A513,'Concrete Beam Schedule'!$A$2:$Q$2902,S$2,0)&lt;&gt;C513,VLOOKUP($A513,'Concrete Beam Schedule'!$A$2:$Q$2902,S$2,0),"")</f>
        <v>#N/A</v>
      </c>
      <c r="T513" s="7" t="e">
        <f>IF(VLOOKUP($A513,'Concrete Beam Schedule'!$A$2:$Q$2902,T$2,0)&lt;&gt;D513,"Beam Revised","")</f>
        <v>#N/A</v>
      </c>
      <c r="U513" s="7" t="e">
        <f>IF(VLOOKUP($A513,'Concrete Beam Schedule'!$A$2:$Q$2902,U$2,0)&lt;&gt;E513,"Beam Revised","")</f>
        <v>#N/A</v>
      </c>
      <c r="V513" s="7" t="e">
        <f>IF(VLOOKUP($A513,'Concrete Beam Schedule'!$A$2:$Q$2902,V$2,0)&lt;&gt;F513,"Beam Revised","")</f>
        <v>#N/A</v>
      </c>
      <c r="W513" s="7" t="e">
        <f>IF(VLOOKUP($A513,'Concrete Beam Schedule'!$A$2:$Q$2902,W$2,0)&lt;&gt;G513,"Beam Revised","")</f>
        <v>#N/A</v>
      </c>
      <c r="X513" s="7" t="e">
        <f>IF(VLOOKUP($A513,'Concrete Beam Schedule'!$A$2:$Q$2902,X$2,0)&lt;&gt;H513,"Beam Revised","")</f>
        <v>#N/A</v>
      </c>
      <c r="Y513" s="7" t="e">
        <f>IF(VLOOKUP($A513,'Concrete Beam Schedule'!$A$2:$Q$2902,Y$2,0)&lt;&gt;I513,"Beam Revised","")</f>
        <v>#N/A</v>
      </c>
      <c r="Z513" s="7" t="e">
        <f>IF(VLOOKUP($A513,'Concrete Beam Schedule'!$A$2:$Q$2902,Z$2,0)&lt;&gt;J513,"Beam Revised","")</f>
        <v>#N/A</v>
      </c>
      <c r="AA513" s="7" t="e">
        <f>IF(VLOOKUP($A513,'Concrete Beam Schedule'!$A$2:$Q$2902,AA$2,0)&lt;&gt;K513,"Beam Revised","")</f>
        <v>#N/A</v>
      </c>
      <c r="AB513" s="7" t="e">
        <f>IF(VLOOKUP($A513,'Concrete Beam Schedule'!$A$2:$Q$2902,AB$2,0)&lt;&gt;L513,"Beam Revised","")</f>
        <v>#N/A</v>
      </c>
      <c r="AC513" s="7" t="e">
        <f>IF(VLOOKUP($A513,'Concrete Beam Schedule'!$A$2:$Q$2902,AC$2,0)&lt;&gt;M513,"Beam Revised","")</f>
        <v>#N/A</v>
      </c>
      <c r="AD513" s="7" t="e">
        <f>IF(VLOOKUP($A513,'Concrete Beam Schedule'!$A$2:$Q$2902,AD$2,0)&lt;&gt;N513,"Beam Revised","")</f>
        <v>#N/A</v>
      </c>
      <c r="AE513" s="7" t="e">
        <f>IF(VLOOKUP($A513,'Concrete Beam Schedule'!$A$2:$Q$2902,AE$2,0)&lt;&gt;O513,"Beam Revised","")</f>
        <v>#N/A</v>
      </c>
    </row>
    <row r="514" spans="17:31" ht="13.2" x14ac:dyDescent="0.25">
      <c r="Q514" s="7">
        <f t="shared" si="7"/>
        <v>0</v>
      </c>
      <c r="R514" s="7" t="e">
        <f>IF(VLOOKUP($A514,'Concrete Beam Schedule'!$A$2:$Q$2902,R$2,0)&lt;&gt;B514,VLOOKUP($A514,'Concrete Beam Schedule'!$A$2:$Q$2902,R$2,0),"")</f>
        <v>#N/A</v>
      </c>
      <c r="S514" s="7" t="e">
        <f>IF(VLOOKUP($A514,'Concrete Beam Schedule'!$A$2:$Q$2902,S$2,0)&lt;&gt;C514,VLOOKUP($A514,'Concrete Beam Schedule'!$A$2:$Q$2902,S$2,0),"")</f>
        <v>#N/A</v>
      </c>
      <c r="T514" s="7" t="e">
        <f>IF(VLOOKUP($A514,'Concrete Beam Schedule'!$A$2:$Q$2902,T$2,0)&lt;&gt;D514,"Beam Revised","")</f>
        <v>#N/A</v>
      </c>
      <c r="U514" s="7" t="e">
        <f>IF(VLOOKUP($A514,'Concrete Beam Schedule'!$A$2:$Q$2902,U$2,0)&lt;&gt;E514,"Beam Revised","")</f>
        <v>#N/A</v>
      </c>
      <c r="V514" s="7" t="e">
        <f>IF(VLOOKUP($A514,'Concrete Beam Schedule'!$A$2:$Q$2902,V$2,0)&lt;&gt;F514,"Beam Revised","")</f>
        <v>#N/A</v>
      </c>
      <c r="W514" s="7" t="e">
        <f>IF(VLOOKUP($A514,'Concrete Beam Schedule'!$A$2:$Q$2902,W$2,0)&lt;&gt;G514,"Beam Revised","")</f>
        <v>#N/A</v>
      </c>
      <c r="X514" s="7" t="e">
        <f>IF(VLOOKUP($A514,'Concrete Beam Schedule'!$A$2:$Q$2902,X$2,0)&lt;&gt;H514,"Beam Revised","")</f>
        <v>#N/A</v>
      </c>
      <c r="Y514" s="7" t="e">
        <f>IF(VLOOKUP($A514,'Concrete Beam Schedule'!$A$2:$Q$2902,Y$2,0)&lt;&gt;I514,"Beam Revised","")</f>
        <v>#N/A</v>
      </c>
      <c r="Z514" s="7" t="e">
        <f>IF(VLOOKUP($A514,'Concrete Beam Schedule'!$A$2:$Q$2902,Z$2,0)&lt;&gt;J514,"Beam Revised","")</f>
        <v>#N/A</v>
      </c>
      <c r="AA514" s="7" t="e">
        <f>IF(VLOOKUP($A514,'Concrete Beam Schedule'!$A$2:$Q$2902,AA$2,0)&lt;&gt;K514,"Beam Revised","")</f>
        <v>#N/A</v>
      </c>
      <c r="AB514" s="7" t="e">
        <f>IF(VLOOKUP($A514,'Concrete Beam Schedule'!$A$2:$Q$2902,AB$2,0)&lt;&gt;L514,"Beam Revised","")</f>
        <v>#N/A</v>
      </c>
      <c r="AC514" s="7" t="e">
        <f>IF(VLOOKUP($A514,'Concrete Beam Schedule'!$A$2:$Q$2902,AC$2,0)&lt;&gt;M514,"Beam Revised","")</f>
        <v>#N/A</v>
      </c>
      <c r="AD514" s="7" t="e">
        <f>IF(VLOOKUP($A514,'Concrete Beam Schedule'!$A$2:$Q$2902,AD$2,0)&lt;&gt;N514,"Beam Revised","")</f>
        <v>#N/A</v>
      </c>
      <c r="AE514" s="7" t="e">
        <f>IF(VLOOKUP($A514,'Concrete Beam Schedule'!$A$2:$Q$2902,AE$2,0)&lt;&gt;O514,"Beam Revised","")</f>
        <v>#N/A</v>
      </c>
    </row>
    <row r="515" spans="17:31" ht="13.2" x14ac:dyDescent="0.25">
      <c r="Q515" s="7">
        <f t="shared" si="7"/>
        <v>0</v>
      </c>
      <c r="R515" s="7" t="e">
        <f>IF(VLOOKUP($A515,'Concrete Beam Schedule'!$A$2:$Q$2902,R$2,0)&lt;&gt;B515,VLOOKUP($A515,'Concrete Beam Schedule'!$A$2:$Q$2902,R$2,0),"")</f>
        <v>#N/A</v>
      </c>
      <c r="S515" s="7" t="e">
        <f>IF(VLOOKUP($A515,'Concrete Beam Schedule'!$A$2:$Q$2902,S$2,0)&lt;&gt;C515,VLOOKUP($A515,'Concrete Beam Schedule'!$A$2:$Q$2902,S$2,0),"")</f>
        <v>#N/A</v>
      </c>
      <c r="T515" s="7" t="e">
        <f>IF(VLOOKUP($A515,'Concrete Beam Schedule'!$A$2:$Q$2902,T$2,0)&lt;&gt;D515,"Beam Revised","")</f>
        <v>#N/A</v>
      </c>
      <c r="U515" s="7" t="e">
        <f>IF(VLOOKUP($A515,'Concrete Beam Schedule'!$A$2:$Q$2902,U$2,0)&lt;&gt;E515,"Beam Revised","")</f>
        <v>#N/A</v>
      </c>
      <c r="V515" s="7" t="e">
        <f>IF(VLOOKUP($A515,'Concrete Beam Schedule'!$A$2:$Q$2902,V$2,0)&lt;&gt;F515,"Beam Revised","")</f>
        <v>#N/A</v>
      </c>
      <c r="W515" s="7" t="e">
        <f>IF(VLOOKUP($A515,'Concrete Beam Schedule'!$A$2:$Q$2902,W$2,0)&lt;&gt;G515,"Beam Revised","")</f>
        <v>#N/A</v>
      </c>
      <c r="X515" s="7" t="e">
        <f>IF(VLOOKUP($A515,'Concrete Beam Schedule'!$A$2:$Q$2902,X$2,0)&lt;&gt;H515,"Beam Revised","")</f>
        <v>#N/A</v>
      </c>
      <c r="Y515" s="7" t="e">
        <f>IF(VLOOKUP($A515,'Concrete Beam Schedule'!$A$2:$Q$2902,Y$2,0)&lt;&gt;I515,"Beam Revised","")</f>
        <v>#N/A</v>
      </c>
      <c r="Z515" s="7" t="e">
        <f>IF(VLOOKUP($A515,'Concrete Beam Schedule'!$A$2:$Q$2902,Z$2,0)&lt;&gt;J515,"Beam Revised","")</f>
        <v>#N/A</v>
      </c>
      <c r="AA515" s="7" t="e">
        <f>IF(VLOOKUP($A515,'Concrete Beam Schedule'!$A$2:$Q$2902,AA$2,0)&lt;&gt;K515,"Beam Revised","")</f>
        <v>#N/A</v>
      </c>
      <c r="AB515" s="7" t="e">
        <f>IF(VLOOKUP($A515,'Concrete Beam Schedule'!$A$2:$Q$2902,AB$2,0)&lt;&gt;L515,"Beam Revised","")</f>
        <v>#N/A</v>
      </c>
      <c r="AC515" s="7" t="e">
        <f>IF(VLOOKUP($A515,'Concrete Beam Schedule'!$A$2:$Q$2902,AC$2,0)&lt;&gt;M515,"Beam Revised","")</f>
        <v>#N/A</v>
      </c>
      <c r="AD515" s="7" t="e">
        <f>IF(VLOOKUP($A515,'Concrete Beam Schedule'!$A$2:$Q$2902,AD$2,0)&lt;&gt;N515,"Beam Revised","")</f>
        <v>#N/A</v>
      </c>
      <c r="AE515" s="7" t="e">
        <f>IF(VLOOKUP($A515,'Concrete Beam Schedule'!$A$2:$Q$2902,AE$2,0)&lt;&gt;O515,"Beam Revised","")</f>
        <v>#N/A</v>
      </c>
    </row>
    <row r="516" spans="17:31" ht="13.2" x14ac:dyDescent="0.25">
      <c r="Q516" s="7">
        <f t="shared" ref="Q516:Q579" si="8">A516</f>
        <v>0</v>
      </c>
      <c r="R516" s="7" t="e">
        <f>IF(VLOOKUP($A516,'Concrete Beam Schedule'!$A$2:$Q$2902,R$2,0)&lt;&gt;B516,VLOOKUP($A516,'Concrete Beam Schedule'!$A$2:$Q$2902,R$2,0),"")</f>
        <v>#N/A</v>
      </c>
      <c r="S516" s="7" t="e">
        <f>IF(VLOOKUP($A516,'Concrete Beam Schedule'!$A$2:$Q$2902,S$2,0)&lt;&gt;C516,VLOOKUP($A516,'Concrete Beam Schedule'!$A$2:$Q$2902,S$2,0),"")</f>
        <v>#N/A</v>
      </c>
      <c r="T516" s="7" t="e">
        <f>IF(VLOOKUP($A516,'Concrete Beam Schedule'!$A$2:$Q$2902,T$2,0)&lt;&gt;D516,"Beam Revised","")</f>
        <v>#N/A</v>
      </c>
      <c r="U516" s="7" t="e">
        <f>IF(VLOOKUP($A516,'Concrete Beam Schedule'!$A$2:$Q$2902,U$2,0)&lt;&gt;E516,"Beam Revised","")</f>
        <v>#N/A</v>
      </c>
      <c r="V516" s="7" t="e">
        <f>IF(VLOOKUP($A516,'Concrete Beam Schedule'!$A$2:$Q$2902,V$2,0)&lt;&gt;F516,"Beam Revised","")</f>
        <v>#N/A</v>
      </c>
      <c r="W516" s="7" t="e">
        <f>IF(VLOOKUP($A516,'Concrete Beam Schedule'!$A$2:$Q$2902,W$2,0)&lt;&gt;G516,"Beam Revised","")</f>
        <v>#N/A</v>
      </c>
      <c r="X516" s="7" t="e">
        <f>IF(VLOOKUP($A516,'Concrete Beam Schedule'!$A$2:$Q$2902,X$2,0)&lt;&gt;H516,"Beam Revised","")</f>
        <v>#N/A</v>
      </c>
      <c r="Y516" s="7" t="e">
        <f>IF(VLOOKUP($A516,'Concrete Beam Schedule'!$A$2:$Q$2902,Y$2,0)&lt;&gt;I516,"Beam Revised","")</f>
        <v>#N/A</v>
      </c>
      <c r="Z516" s="7" t="e">
        <f>IF(VLOOKUP($A516,'Concrete Beam Schedule'!$A$2:$Q$2902,Z$2,0)&lt;&gt;J516,"Beam Revised","")</f>
        <v>#N/A</v>
      </c>
      <c r="AA516" s="7" t="e">
        <f>IF(VLOOKUP($A516,'Concrete Beam Schedule'!$A$2:$Q$2902,AA$2,0)&lt;&gt;K516,"Beam Revised","")</f>
        <v>#N/A</v>
      </c>
      <c r="AB516" s="7" t="e">
        <f>IF(VLOOKUP($A516,'Concrete Beam Schedule'!$A$2:$Q$2902,AB$2,0)&lt;&gt;L516,"Beam Revised","")</f>
        <v>#N/A</v>
      </c>
      <c r="AC516" s="7" t="e">
        <f>IF(VLOOKUP($A516,'Concrete Beam Schedule'!$A$2:$Q$2902,AC$2,0)&lt;&gt;M516,"Beam Revised","")</f>
        <v>#N/A</v>
      </c>
      <c r="AD516" s="7" t="e">
        <f>IF(VLOOKUP($A516,'Concrete Beam Schedule'!$A$2:$Q$2902,AD$2,0)&lt;&gt;N516,"Beam Revised","")</f>
        <v>#N/A</v>
      </c>
      <c r="AE516" s="7" t="e">
        <f>IF(VLOOKUP($A516,'Concrete Beam Schedule'!$A$2:$Q$2902,AE$2,0)&lt;&gt;O516,"Beam Revised","")</f>
        <v>#N/A</v>
      </c>
    </row>
    <row r="517" spans="17:31" ht="13.2" x14ac:dyDescent="0.25">
      <c r="Q517" s="7">
        <f t="shared" si="8"/>
        <v>0</v>
      </c>
      <c r="R517" s="7" t="e">
        <f>IF(VLOOKUP($A517,'Concrete Beam Schedule'!$A$2:$Q$2902,R$2,0)&lt;&gt;B517,VLOOKUP($A517,'Concrete Beam Schedule'!$A$2:$Q$2902,R$2,0),"")</f>
        <v>#N/A</v>
      </c>
      <c r="S517" s="7" t="e">
        <f>IF(VLOOKUP($A517,'Concrete Beam Schedule'!$A$2:$Q$2902,S$2,0)&lt;&gt;C517,VLOOKUP($A517,'Concrete Beam Schedule'!$A$2:$Q$2902,S$2,0),"")</f>
        <v>#N/A</v>
      </c>
      <c r="T517" s="7" t="e">
        <f>IF(VLOOKUP($A517,'Concrete Beam Schedule'!$A$2:$Q$2902,T$2,0)&lt;&gt;D517,"Beam Revised","")</f>
        <v>#N/A</v>
      </c>
      <c r="U517" s="7" t="e">
        <f>IF(VLOOKUP($A517,'Concrete Beam Schedule'!$A$2:$Q$2902,U$2,0)&lt;&gt;E517,"Beam Revised","")</f>
        <v>#N/A</v>
      </c>
      <c r="V517" s="7" t="e">
        <f>IF(VLOOKUP($A517,'Concrete Beam Schedule'!$A$2:$Q$2902,V$2,0)&lt;&gt;F517,"Beam Revised","")</f>
        <v>#N/A</v>
      </c>
      <c r="W517" s="7" t="e">
        <f>IF(VLOOKUP($A517,'Concrete Beam Schedule'!$A$2:$Q$2902,W$2,0)&lt;&gt;G517,"Beam Revised","")</f>
        <v>#N/A</v>
      </c>
      <c r="X517" s="7" t="e">
        <f>IF(VLOOKUP($A517,'Concrete Beam Schedule'!$A$2:$Q$2902,X$2,0)&lt;&gt;H517,"Beam Revised","")</f>
        <v>#N/A</v>
      </c>
      <c r="Y517" s="7" t="e">
        <f>IF(VLOOKUP($A517,'Concrete Beam Schedule'!$A$2:$Q$2902,Y$2,0)&lt;&gt;I517,"Beam Revised","")</f>
        <v>#N/A</v>
      </c>
      <c r="Z517" s="7" t="e">
        <f>IF(VLOOKUP($A517,'Concrete Beam Schedule'!$A$2:$Q$2902,Z$2,0)&lt;&gt;J517,"Beam Revised","")</f>
        <v>#N/A</v>
      </c>
      <c r="AA517" s="7" t="e">
        <f>IF(VLOOKUP($A517,'Concrete Beam Schedule'!$A$2:$Q$2902,AA$2,0)&lt;&gt;K517,"Beam Revised","")</f>
        <v>#N/A</v>
      </c>
      <c r="AB517" s="7" t="e">
        <f>IF(VLOOKUP($A517,'Concrete Beam Schedule'!$A$2:$Q$2902,AB$2,0)&lt;&gt;L517,"Beam Revised","")</f>
        <v>#N/A</v>
      </c>
      <c r="AC517" s="7" t="e">
        <f>IF(VLOOKUP($A517,'Concrete Beam Schedule'!$A$2:$Q$2902,AC$2,0)&lt;&gt;M517,"Beam Revised","")</f>
        <v>#N/A</v>
      </c>
      <c r="AD517" s="7" t="e">
        <f>IF(VLOOKUP($A517,'Concrete Beam Schedule'!$A$2:$Q$2902,AD$2,0)&lt;&gt;N517,"Beam Revised","")</f>
        <v>#N/A</v>
      </c>
      <c r="AE517" s="7" t="e">
        <f>IF(VLOOKUP($A517,'Concrete Beam Schedule'!$A$2:$Q$2902,AE$2,0)&lt;&gt;O517,"Beam Revised","")</f>
        <v>#N/A</v>
      </c>
    </row>
    <row r="518" spans="17:31" ht="13.2" x14ac:dyDescent="0.25">
      <c r="Q518" s="7">
        <f t="shared" si="8"/>
        <v>0</v>
      </c>
      <c r="R518" s="7" t="e">
        <f>IF(VLOOKUP($A518,'Concrete Beam Schedule'!$A$2:$Q$2902,R$2,0)&lt;&gt;B518,VLOOKUP($A518,'Concrete Beam Schedule'!$A$2:$Q$2902,R$2,0),"")</f>
        <v>#N/A</v>
      </c>
      <c r="S518" s="7" t="e">
        <f>IF(VLOOKUP($A518,'Concrete Beam Schedule'!$A$2:$Q$2902,S$2,0)&lt;&gt;C518,VLOOKUP($A518,'Concrete Beam Schedule'!$A$2:$Q$2902,S$2,0),"")</f>
        <v>#N/A</v>
      </c>
      <c r="T518" s="7" t="e">
        <f>IF(VLOOKUP($A518,'Concrete Beam Schedule'!$A$2:$Q$2902,T$2,0)&lt;&gt;D518,"Beam Revised","")</f>
        <v>#N/A</v>
      </c>
      <c r="U518" s="7" t="e">
        <f>IF(VLOOKUP($A518,'Concrete Beam Schedule'!$A$2:$Q$2902,U$2,0)&lt;&gt;E518,"Beam Revised","")</f>
        <v>#N/A</v>
      </c>
      <c r="V518" s="7" t="e">
        <f>IF(VLOOKUP($A518,'Concrete Beam Schedule'!$A$2:$Q$2902,V$2,0)&lt;&gt;F518,"Beam Revised","")</f>
        <v>#N/A</v>
      </c>
      <c r="W518" s="7" t="e">
        <f>IF(VLOOKUP($A518,'Concrete Beam Schedule'!$A$2:$Q$2902,W$2,0)&lt;&gt;G518,"Beam Revised","")</f>
        <v>#N/A</v>
      </c>
      <c r="X518" s="7" t="e">
        <f>IF(VLOOKUP($A518,'Concrete Beam Schedule'!$A$2:$Q$2902,X$2,0)&lt;&gt;H518,"Beam Revised","")</f>
        <v>#N/A</v>
      </c>
      <c r="Y518" s="7" t="e">
        <f>IF(VLOOKUP($A518,'Concrete Beam Schedule'!$A$2:$Q$2902,Y$2,0)&lt;&gt;I518,"Beam Revised","")</f>
        <v>#N/A</v>
      </c>
      <c r="Z518" s="7" t="e">
        <f>IF(VLOOKUP($A518,'Concrete Beam Schedule'!$A$2:$Q$2902,Z$2,0)&lt;&gt;J518,"Beam Revised","")</f>
        <v>#N/A</v>
      </c>
      <c r="AA518" s="7" t="e">
        <f>IF(VLOOKUP($A518,'Concrete Beam Schedule'!$A$2:$Q$2902,AA$2,0)&lt;&gt;K518,"Beam Revised","")</f>
        <v>#N/A</v>
      </c>
      <c r="AB518" s="7" t="e">
        <f>IF(VLOOKUP($A518,'Concrete Beam Schedule'!$A$2:$Q$2902,AB$2,0)&lt;&gt;L518,"Beam Revised","")</f>
        <v>#N/A</v>
      </c>
      <c r="AC518" s="7" t="e">
        <f>IF(VLOOKUP($A518,'Concrete Beam Schedule'!$A$2:$Q$2902,AC$2,0)&lt;&gt;M518,"Beam Revised","")</f>
        <v>#N/A</v>
      </c>
      <c r="AD518" s="7" t="e">
        <f>IF(VLOOKUP($A518,'Concrete Beam Schedule'!$A$2:$Q$2902,AD$2,0)&lt;&gt;N518,"Beam Revised","")</f>
        <v>#N/A</v>
      </c>
      <c r="AE518" s="7" t="e">
        <f>IF(VLOOKUP($A518,'Concrete Beam Schedule'!$A$2:$Q$2902,AE$2,0)&lt;&gt;O518,"Beam Revised","")</f>
        <v>#N/A</v>
      </c>
    </row>
    <row r="519" spans="17:31" ht="13.2" x14ac:dyDescent="0.25">
      <c r="Q519" s="7">
        <f t="shared" si="8"/>
        <v>0</v>
      </c>
      <c r="R519" s="7" t="e">
        <f>IF(VLOOKUP($A519,'Concrete Beam Schedule'!$A$2:$Q$2902,R$2,0)&lt;&gt;B519,VLOOKUP($A519,'Concrete Beam Schedule'!$A$2:$Q$2902,R$2,0),"")</f>
        <v>#N/A</v>
      </c>
      <c r="S519" s="7" t="e">
        <f>IF(VLOOKUP($A519,'Concrete Beam Schedule'!$A$2:$Q$2902,S$2,0)&lt;&gt;C519,VLOOKUP($A519,'Concrete Beam Schedule'!$A$2:$Q$2902,S$2,0),"")</f>
        <v>#N/A</v>
      </c>
      <c r="T519" s="7" t="e">
        <f>IF(VLOOKUP($A519,'Concrete Beam Schedule'!$A$2:$Q$2902,T$2,0)&lt;&gt;D519,"Beam Revised","")</f>
        <v>#N/A</v>
      </c>
      <c r="U519" s="7" t="e">
        <f>IF(VLOOKUP($A519,'Concrete Beam Schedule'!$A$2:$Q$2902,U$2,0)&lt;&gt;E519,"Beam Revised","")</f>
        <v>#N/A</v>
      </c>
      <c r="V519" s="7" t="e">
        <f>IF(VLOOKUP($A519,'Concrete Beam Schedule'!$A$2:$Q$2902,V$2,0)&lt;&gt;F519,"Beam Revised","")</f>
        <v>#N/A</v>
      </c>
      <c r="W519" s="7" t="e">
        <f>IF(VLOOKUP($A519,'Concrete Beam Schedule'!$A$2:$Q$2902,W$2,0)&lt;&gt;G519,"Beam Revised","")</f>
        <v>#N/A</v>
      </c>
      <c r="X519" s="7" t="e">
        <f>IF(VLOOKUP($A519,'Concrete Beam Schedule'!$A$2:$Q$2902,X$2,0)&lt;&gt;H519,"Beam Revised","")</f>
        <v>#N/A</v>
      </c>
      <c r="Y519" s="7" t="e">
        <f>IF(VLOOKUP($A519,'Concrete Beam Schedule'!$A$2:$Q$2902,Y$2,0)&lt;&gt;I519,"Beam Revised","")</f>
        <v>#N/A</v>
      </c>
      <c r="Z519" s="7" t="e">
        <f>IF(VLOOKUP($A519,'Concrete Beam Schedule'!$A$2:$Q$2902,Z$2,0)&lt;&gt;J519,"Beam Revised","")</f>
        <v>#N/A</v>
      </c>
      <c r="AA519" s="7" t="e">
        <f>IF(VLOOKUP($A519,'Concrete Beam Schedule'!$A$2:$Q$2902,AA$2,0)&lt;&gt;K519,"Beam Revised","")</f>
        <v>#N/A</v>
      </c>
      <c r="AB519" s="7" t="e">
        <f>IF(VLOOKUP($A519,'Concrete Beam Schedule'!$A$2:$Q$2902,AB$2,0)&lt;&gt;L519,"Beam Revised","")</f>
        <v>#N/A</v>
      </c>
      <c r="AC519" s="7" t="e">
        <f>IF(VLOOKUP($A519,'Concrete Beam Schedule'!$A$2:$Q$2902,AC$2,0)&lt;&gt;M519,"Beam Revised","")</f>
        <v>#N/A</v>
      </c>
      <c r="AD519" s="7" t="e">
        <f>IF(VLOOKUP($A519,'Concrete Beam Schedule'!$A$2:$Q$2902,AD$2,0)&lt;&gt;N519,"Beam Revised","")</f>
        <v>#N/A</v>
      </c>
      <c r="AE519" s="7" t="e">
        <f>IF(VLOOKUP($A519,'Concrete Beam Schedule'!$A$2:$Q$2902,AE$2,0)&lt;&gt;O519,"Beam Revised","")</f>
        <v>#N/A</v>
      </c>
    </row>
    <row r="520" spans="17:31" ht="13.2" x14ac:dyDescent="0.25">
      <c r="Q520" s="7">
        <f t="shared" si="8"/>
        <v>0</v>
      </c>
      <c r="R520" s="7" t="e">
        <f>IF(VLOOKUP($A520,'Concrete Beam Schedule'!$A$2:$Q$2902,R$2,0)&lt;&gt;B520,VLOOKUP($A520,'Concrete Beam Schedule'!$A$2:$Q$2902,R$2,0),"")</f>
        <v>#N/A</v>
      </c>
      <c r="S520" s="7" t="e">
        <f>IF(VLOOKUP($A520,'Concrete Beam Schedule'!$A$2:$Q$2902,S$2,0)&lt;&gt;C520,VLOOKUP($A520,'Concrete Beam Schedule'!$A$2:$Q$2902,S$2,0),"")</f>
        <v>#N/A</v>
      </c>
      <c r="T520" s="7" t="e">
        <f>IF(VLOOKUP($A520,'Concrete Beam Schedule'!$A$2:$Q$2902,T$2,0)&lt;&gt;D520,"Beam Revised","")</f>
        <v>#N/A</v>
      </c>
      <c r="U520" s="7" t="e">
        <f>IF(VLOOKUP($A520,'Concrete Beam Schedule'!$A$2:$Q$2902,U$2,0)&lt;&gt;E520,"Beam Revised","")</f>
        <v>#N/A</v>
      </c>
      <c r="V520" s="7" t="e">
        <f>IF(VLOOKUP($A520,'Concrete Beam Schedule'!$A$2:$Q$2902,V$2,0)&lt;&gt;F520,"Beam Revised","")</f>
        <v>#N/A</v>
      </c>
      <c r="W520" s="7" t="e">
        <f>IF(VLOOKUP($A520,'Concrete Beam Schedule'!$A$2:$Q$2902,W$2,0)&lt;&gt;G520,"Beam Revised","")</f>
        <v>#N/A</v>
      </c>
      <c r="X520" s="7" t="e">
        <f>IF(VLOOKUP($A520,'Concrete Beam Schedule'!$A$2:$Q$2902,X$2,0)&lt;&gt;H520,"Beam Revised","")</f>
        <v>#N/A</v>
      </c>
      <c r="Y520" s="7" t="e">
        <f>IF(VLOOKUP($A520,'Concrete Beam Schedule'!$A$2:$Q$2902,Y$2,0)&lt;&gt;I520,"Beam Revised","")</f>
        <v>#N/A</v>
      </c>
      <c r="Z520" s="7" t="e">
        <f>IF(VLOOKUP($A520,'Concrete Beam Schedule'!$A$2:$Q$2902,Z$2,0)&lt;&gt;J520,"Beam Revised","")</f>
        <v>#N/A</v>
      </c>
      <c r="AA520" s="7" t="e">
        <f>IF(VLOOKUP($A520,'Concrete Beam Schedule'!$A$2:$Q$2902,AA$2,0)&lt;&gt;K520,"Beam Revised","")</f>
        <v>#N/A</v>
      </c>
      <c r="AB520" s="7" t="e">
        <f>IF(VLOOKUP($A520,'Concrete Beam Schedule'!$A$2:$Q$2902,AB$2,0)&lt;&gt;L520,"Beam Revised","")</f>
        <v>#N/A</v>
      </c>
      <c r="AC520" s="7" t="e">
        <f>IF(VLOOKUP($A520,'Concrete Beam Schedule'!$A$2:$Q$2902,AC$2,0)&lt;&gt;M520,"Beam Revised","")</f>
        <v>#N/A</v>
      </c>
      <c r="AD520" s="7" t="e">
        <f>IF(VLOOKUP($A520,'Concrete Beam Schedule'!$A$2:$Q$2902,AD$2,0)&lt;&gt;N520,"Beam Revised","")</f>
        <v>#N/A</v>
      </c>
      <c r="AE520" s="7" t="e">
        <f>IF(VLOOKUP($A520,'Concrete Beam Schedule'!$A$2:$Q$2902,AE$2,0)&lt;&gt;O520,"Beam Revised","")</f>
        <v>#N/A</v>
      </c>
    </row>
    <row r="521" spans="17:31" ht="13.2" x14ac:dyDescent="0.25">
      <c r="Q521" s="7">
        <f t="shared" si="8"/>
        <v>0</v>
      </c>
      <c r="R521" s="7" t="e">
        <f>IF(VLOOKUP($A521,'Concrete Beam Schedule'!$A$2:$Q$2902,R$2,0)&lt;&gt;B521,VLOOKUP($A521,'Concrete Beam Schedule'!$A$2:$Q$2902,R$2,0),"")</f>
        <v>#N/A</v>
      </c>
      <c r="S521" s="7" t="e">
        <f>IF(VLOOKUP($A521,'Concrete Beam Schedule'!$A$2:$Q$2902,S$2,0)&lt;&gt;C521,VLOOKUP($A521,'Concrete Beam Schedule'!$A$2:$Q$2902,S$2,0),"")</f>
        <v>#N/A</v>
      </c>
      <c r="T521" s="7" t="e">
        <f>IF(VLOOKUP($A521,'Concrete Beam Schedule'!$A$2:$Q$2902,T$2,0)&lt;&gt;D521,"Beam Revised","")</f>
        <v>#N/A</v>
      </c>
      <c r="U521" s="7" t="e">
        <f>IF(VLOOKUP($A521,'Concrete Beam Schedule'!$A$2:$Q$2902,U$2,0)&lt;&gt;E521,"Beam Revised","")</f>
        <v>#N/A</v>
      </c>
      <c r="V521" s="7" t="e">
        <f>IF(VLOOKUP($A521,'Concrete Beam Schedule'!$A$2:$Q$2902,V$2,0)&lt;&gt;F521,"Beam Revised","")</f>
        <v>#N/A</v>
      </c>
      <c r="W521" s="7" t="e">
        <f>IF(VLOOKUP($A521,'Concrete Beam Schedule'!$A$2:$Q$2902,W$2,0)&lt;&gt;G521,"Beam Revised","")</f>
        <v>#N/A</v>
      </c>
      <c r="X521" s="7" t="e">
        <f>IF(VLOOKUP($A521,'Concrete Beam Schedule'!$A$2:$Q$2902,X$2,0)&lt;&gt;H521,"Beam Revised","")</f>
        <v>#N/A</v>
      </c>
      <c r="Y521" s="7" t="e">
        <f>IF(VLOOKUP($A521,'Concrete Beam Schedule'!$A$2:$Q$2902,Y$2,0)&lt;&gt;I521,"Beam Revised","")</f>
        <v>#N/A</v>
      </c>
      <c r="Z521" s="7" t="e">
        <f>IF(VLOOKUP($A521,'Concrete Beam Schedule'!$A$2:$Q$2902,Z$2,0)&lt;&gt;J521,"Beam Revised","")</f>
        <v>#N/A</v>
      </c>
      <c r="AA521" s="7" t="e">
        <f>IF(VLOOKUP($A521,'Concrete Beam Schedule'!$A$2:$Q$2902,AA$2,0)&lt;&gt;K521,"Beam Revised","")</f>
        <v>#N/A</v>
      </c>
      <c r="AB521" s="7" t="e">
        <f>IF(VLOOKUP($A521,'Concrete Beam Schedule'!$A$2:$Q$2902,AB$2,0)&lt;&gt;L521,"Beam Revised","")</f>
        <v>#N/A</v>
      </c>
      <c r="AC521" s="7" t="e">
        <f>IF(VLOOKUP($A521,'Concrete Beam Schedule'!$A$2:$Q$2902,AC$2,0)&lt;&gt;M521,"Beam Revised","")</f>
        <v>#N/A</v>
      </c>
      <c r="AD521" s="7" t="e">
        <f>IF(VLOOKUP($A521,'Concrete Beam Schedule'!$A$2:$Q$2902,AD$2,0)&lt;&gt;N521,"Beam Revised","")</f>
        <v>#N/A</v>
      </c>
      <c r="AE521" s="7" t="e">
        <f>IF(VLOOKUP($A521,'Concrete Beam Schedule'!$A$2:$Q$2902,AE$2,0)&lt;&gt;O521,"Beam Revised","")</f>
        <v>#N/A</v>
      </c>
    </row>
    <row r="522" spans="17:31" ht="13.2" x14ac:dyDescent="0.25">
      <c r="Q522" s="7">
        <f t="shared" si="8"/>
        <v>0</v>
      </c>
      <c r="R522" s="7" t="e">
        <f>IF(VLOOKUP($A522,'Concrete Beam Schedule'!$A$2:$Q$2902,R$2,0)&lt;&gt;B522,VLOOKUP($A522,'Concrete Beam Schedule'!$A$2:$Q$2902,R$2,0),"")</f>
        <v>#N/A</v>
      </c>
      <c r="S522" s="7" t="e">
        <f>IF(VLOOKUP($A522,'Concrete Beam Schedule'!$A$2:$Q$2902,S$2,0)&lt;&gt;C522,VLOOKUP($A522,'Concrete Beam Schedule'!$A$2:$Q$2902,S$2,0),"")</f>
        <v>#N/A</v>
      </c>
      <c r="T522" s="7" t="e">
        <f>IF(VLOOKUP($A522,'Concrete Beam Schedule'!$A$2:$Q$2902,T$2,0)&lt;&gt;D522,"Beam Revised","")</f>
        <v>#N/A</v>
      </c>
      <c r="U522" s="7" t="e">
        <f>IF(VLOOKUP($A522,'Concrete Beam Schedule'!$A$2:$Q$2902,U$2,0)&lt;&gt;E522,"Beam Revised","")</f>
        <v>#N/A</v>
      </c>
      <c r="V522" s="7" t="e">
        <f>IF(VLOOKUP($A522,'Concrete Beam Schedule'!$A$2:$Q$2902,V$2,0)&lt;&gt;F522,"Beam Revised","")</f>
        <v>#N/A</v>
      </c>
      <c r="W522" s="7" t="e">
        <f>IF(VLOOKUP($A522,'Concrete Beam Schedule'!$A$2:$Q$2902,W$2,0)&lt;&gt;G522,"Beam Revised","")</f>
        <v>#N/A</v>
      </c>
      <c r="X522" s="7" t="e">
        <f>IF(VLOOKUP($A522,'Concrete Beam Schedule'!$A$2:$Q$2902,X$2,0)&lt;&gt;H522,"Beam Revised","")</f>
        <v>#N/A</v>
      </c>
      <c r="Y522" s="7" t="e">
        <f>IF(VLOOKUP($A522,'Concrete Beam Schedule'!$A$2:$Q$2902,Y$2,0)&lt;&gt;I522,"Beam Revised","")</f>
        <v>#N/A</v>
      </c>
      <c r="Z522" s="7" t="e">
        <f>IF(VLOOKUP($A522,'Concrete Beam Schedule'!$A$2:$Q$2902,Z$2,0)&lt;&gt;J522,"Beam Revised","")</f>
        <v>#N/A</v>
      </c>
      <c r="AA522" s="7" t="e">
        <f>IF(VLOOKUP($A522,'Concrete Beam Schedule'!$A$2:$Q$2902,AA$2,0)&lt;&gt;K522,"Beam Revised","")</f>
        <v>#N/A</v>
      </c>
      <c r="AB522" s="7" t="e">
        <f>IF(VLOOKUP($A522,'Concrete Beam Schedule'!$A$2:$Q$2902,AB$2,0)&lt;&gt;L522,"Beam Revised","")</f>
        <v>#N/A</v>
      </c>
      <c r="AC522" s="7" t="e">
        <f>IF(VLOOKUP($A522,'Concrete Beam Schedule'!$A$2:$Q$2902,AC$2,0)&lt;&gt;M522,"Beam Revised","")</f>
        <v>#N/A</v>
      </c>
      <c r="AD522" s="7" t="e">
        <f>IF(VLOOKUP($A522,'Concrete Beam Schedule'!$A$2:$Q$2902,AD$2,0)&lt;&gt;N522,"Beam Revised","")</f>
        <v>#N/A</v>
      </c>
      <c r="AE522" s="7" t="e">
        <f>IF(VLOOKUP($A522,'Concrete Beam Schedule'!$A$2:$Q$2902,AE$2,0)&lt;&gt;O522,"Beam Revised","")</f>
        <v>#N/A</v>
      </c>
    </row>
    <row r="523" spans="17:31" ht="13.2" x14ac:dyDescent="0.25">
      <c r="Q523" s="7">
        <f t="shared" si="8"/>
        <v>0</v>
      </c>
      <c r="R523" s="7" t="e">
        <f>IF(VLOOKUP($A523,'Concrete Beam Schedule'!$A$2:$Q$2902,R$2,0)&lt;&gt;B523,VLOOKUP($A523,'Concrete Beam Schedule'!$A$2:$Q$2902,R$2,0),"")</f>
        <v>#N/A</v>
      </c>
      <c r="S523" s="7" t="e">
        <f>IF(VLOOKUP($A523,'Concrete Beam Schedule'!$A$2:$Q$2902,S$2,0)&lt;&gt;C523,VLOOKUP($A523,'Concrete Beam Schedule'!$A$2:$Q$2902,S$2,0),"")</f>
        <v>#N/A</v>
      </c>
      <c r="T523" s="7" t="e">
        <f>IF(VLOOKUP($A523,'Concrete Beam Schedule'!$A$2:$Q$2902,T$2,0)&lt;&gt;D523,"Beam Revised","")</f>
        <v>#N/A</v>
      </c>
      <c r="U523" s="7" t="e">
        <f>IF(VLOOKUP($A523,'Concrete Beam Schedule'!$A$2:$Q$2902,U$2,0)&lt;&gt;E523,"Beam Revised","")</f>
        <v>#N/A</v>
      </c>
      <c r="V523" s="7" t="e">
        <f>IF(VLOOKUP($A523,'Concrete Beam Schedule'!$A$2:$Q$2902,V$2,0)&lt;&gt;F523,"Beam Revised","")</f>
        <v>#N/A</v>
      </c>
      <c r="W523" s="7" t="e">
        <f>IF(VLOOKUP($A523,'Concrete Beam Schedule'!$A$2:$Q$2902,W$2,0)&lt;&gt;G523,"Beam Revised","")</f>
        <v>#N/A</v>
      </c>
      <c r="X523" s="7" t="e">
        <f>IF(VLOOKUP($A523,'Concrete Beam Schedule'!$A$2:$Q$2902,X$2,0)&lt;&gt;H523,"Beam Revised","")</f>
        <v>#N/A</v>
      </c>
      <c r="Y523" s="7" t="e">
        <f>IF(VLOOKUP($A523,'Concrete Beam Schedule'!$A$2:$Q$2902,Y$2,0)&lt;&gt;I523,"Beam Revised","")</f>
        <v>#N/A</v>
      </c>
      <c r="Z523" s="7" t="e">
        <f>IF(VLOOKUP($A523,'Concrete Beam Schedule'!$A$2:$Q$2902,Z$2,0)&lt;&gt;J523,"Beam Revised","")</f>
        <v>#N/A</v>
      </c>
      <c r="AA523" s="7" t="e">
        <f>IF(VLOOKUP($A523,'Concrete Beam Schedule'!$A$2:$Q$2902,AA$2,0)&lt;&gt;K523,"Beam Revised","")</f>
        <v>#N/A</v>
      </c>
      <c r="AB523" s="7" t="e">
        <f>IF(VLOOKUP($A523,'Concrete Beam Schedule'!$A$2:$Q$2902,AB$2,0)&lt;&gt;L523,"Beam Revised","")</f>
        <v>#N/A</v>
      </c>
      <c r="AC523" s="7" t="e">
        <f>IF(VLOOKUP($A523,'Concrete Beam Schedule'!$A$2:$Q$2902,AC$2,0)&lt;&gt;M523,"Beam Revised","")</f>
        <v>#N/A</v>
      </c>
      <c r="AD523" s="7" t="e">
        <f>IF(VLOOKUP($A523,'Concrete Beam Schedule'!$A$2:$Q$2902,AD$2,0)&lt;&gt;N523,"Beam Revised","")</f>
        <v>#N/A</v>
      </c>
      <c r="AE523" s="7" t="e">
        <f>IF(VLOOKUP($A523,'Concrete Beam Schedule'!$A$2:$Q$2902,AE$2,0)&lt;&gt;O523,"Beam Revised","")</f>
        <v>#N/A</v>
      </c>
    </row>
    <row r="524" spans="17:31" ht="13.2" x14ac:dyDescent="0.25">
      <c r="Q524" s="7">
        <f t="shared" si="8"/>
        <v>0</v>
      </c>
      <c r="R524" s="7" t="e">
        <f>IF(VLOOKUP($A524,'Concrete Beam Schedule'!$A$2:$Q$2902,R$2,0)&lt;&gt;B524,VLOOKUP($A524,'Concrete Beam Schedule'!$A$2:$Q$2902,R$2,0),"")</f>
        <v>#N/A</v>
      </c>
      <c r="S524" s="7" t="e">
        <f>IF(VLOOKUP($A524,'Concrete Beam Schedule'!$A$2:$Q$2902,S$2,0)&lt;&gt;C524,VLOOKUP($A524,'Concrete Beam Schedule'!$A$2:$Q$2902,S$2,0),"")</f>
        <v>#N/A</v>
      </c>
      <c r="T524" s="7" t="e">
        <f>IF(VLOOKUP($A524,'Concrete Beam Schedule'!$A$2:$Q$2902,T$2,0)&lt;&gt;D524,"Beam Revised","")</f>
        <v>#N/A</v>
      </c>
      <c r="U524" s="7" t="e">
        <f>IF(VLOOKUP($A524,'Concrete Beam Schedule'!$A$2:$Q$2902,U$2,0)&lt;&gt;E524,"Beam Revised","")</f>
        <v>#N/A</v>
      </c>
      <c r="V524" s="7" t="e">
        <f>IF(VLOOKUP($A524,'Concrete Beam Schedule'!$A$2:$Q$2902,V$2,0)&lt;&gt;F524,"Beam Revised","")</f>
        <v>#N/A</v>
      </c>
      <c r="W524" s="7" t="e">
        <f>IF(VLOOKUP($A524,'Concrete Beam Schedule'!$A$2:$Q$2902,W$2,0)&lt;&gt;G524,"Beam Revised","")</f>
        <v>#N/A</v>
      </c>
      <c r="X524" s="7" t="e">
        <f>IF(VLOOKUP($A524,'Concrete Beam Schedule'!$A$2:$Q$2902,X$2,0)&lt;&gt;H524,"Beam Revised","")</f>
        <v>#N/A</v>
      </c>
      <c r="Y524" s="7" t="e">
        <f>IF(VLOOKUP($A524,'Concrete Beam Schedule'!$A$2:$Q$2902,Y$2,0)&lt;&gt;I524,"Beam Revised","")</f>
        <v>#N/A</v>
      </c>
      <c r="Z524" s="7" t="e">
        <f>IF(VLOOKUP($A524,'Concrete Beam Schedule'!$A$2:$Q$2902,Z$2,0)&lt;&gt;J524,"Beam Revised","")</f>
        <v>#N/A</v>
      </c>
      <c r="AA524" s="7" t="e">
        <f>IF(VLOOKUP($A524,'Concrete Beam Schedule'!$A$2:$Q$2902,AA$2,0)&lt;&gt;K524,"Beam Revised","")</f>
        <v>#N/A</v>
      </c>
      <c r="AB524" s="7" t="e">
        <f>IF(VLOOKUP($A524,'Concrete Beam Schedule'!$A$2:$Q$2902,AB$2,0)&lt;&gt;L524,"Beam Revised","")</f>
        <v>#N/A</v>
      </c>
      <c r="AC524" s="7" t="e">
        <f>IF(VLOOKUP($A524,'Concrete Beam Schedule'!$A$2:$Q$2902,AC$2,0)&lt;&gt;M524,"Beam Revised","")</f>
        <v>#N/A</v>
      </c>
      <c r="AD524" s="7" t="e">
        <f>IF(VLOOKUP($A524,'Concrete Beam Schedule'!$A$2:$Q$2902,AD$2,0)&lt;&gt;N524,"Beam Revised","")</f>
        <v>#N/A</v>
      </c>
      <c r="AE524" s="7" t="e">
        <f>IF(VLOOKUP($A524,'Concrete Beam Schedule'!$A$2:$Q$2902,AE$2,0)&lt;&gt;O524,"Beam Revised","")</f>
        <v>#N/A</v>
      </c>
    </row>
    <row r="525" spans="17:31" ht="13.2" x14ac:dyDescent="0.25">
      <c r="Q525" s="7">
        <f t="shared" si="8"/>
        <v>0</v>
      </c>
      <c r="R525" s="7" t="e">
        <f>IF(VLOOKUP($A525,'Concrete Beam Schedule'!$A$2:$Q$2902,R$2,0)&lt;&gt;B525,VLOOKUP($A525,'Concrete Beam Schedule'!$A$2:$Q$2902,R$2,0),"")</f>
        <v>#N/A</v>
      </c>
      <c r="S525" s="7" t="e">
        <f>IF(VLOOKUP($A525,'Concrete Beam Schedule'!$A$2:$Q$2902,S$2,0)&lt;&gt;C525,VLOOKUP($A525,'Concrete Beam Schedule'!$A$2:$Q$2902,S$2,0),"")</f>
        <v>#N/A</v>
      </c>
      <c r="T525" s="7" t="e">
        <f>IF(VLOOKUP($A525,'Concrete Beam Schedule'!$A$2:$Q$2902,T$2,0)&lt;&gt;D525,"Beam Revised","")</f>
        <v>#N/A</v>
      </c>
      <c r="U525" s="7" t="e">
        <f>IF(VLOOKUP($A525,'Concrete Beam Schedule'!$A$2:$Q$2902,U$2,0)&lt;&gt;E525,"Beam Revised","")</f>
        <v>#N/A</v>
      </c>
      <c r="V525" s="7" t="e">
        <f>IF(VLOOKUP($A525,'Concrete Beam Schedule'!$A$2:$Q$2902,V$2,0)&lt;&gt;F525,"Beam Revised","")</f>
        <v>#N/A</v>
      </c>
      <c r="W525" s="7" t="e">
        <f>IF(VLOOKUP($A525,'Concrete Beam Schedule'!$A$2:$Q$2902,W$2,0)&lt;&gt;G525,"Beam Revised","")</f>
        <v>#N/A</v>
      </c>
      <c r="X525" s="7" t="e">
        <f>IF(VLOOKUP($A525,'Concrete Beam Schedule'!$A$2:$Q$2902,X$2,0)&lt;&gt;H525,"Beam Revised","")</f>
        <v>#N/A</v>
      </c>
      <c r="Y525" s="7" t="e">
        <f>IF(VLOOKUP($A525,'Concrete Beam Schedule'!$A$2:$Q$2902,Y$2,0)&lt;&gt;I525,"Beam Revised","")</f>
        <v>#N/A</v>
      </c>
      <c r="Z525" s="7" t="e">
        <f>IF(VLOOKUP($A525,'Concrete Beam Schedule'!$A$2:$Q$2902,Z$2,0)&lt;&gt;J525,"Beam Revised","")</f>
        <v>#N/A</v>
      </c>
      <c r="AA525" s="7" t="e">
        <f>IF(VLOOKUP($A525,'Concrete Beam Schedule'!$A$2:$Q$2902,AA$2,0)&lt;&gt;K525,"Beam Revised","")</f>
        <v>#N/A</v>
      </c>
      <c r="AB525" s="7" t="e">
        <f>IF(VLOOKUP($A525,'Concrete Beam Schedule'!$A$2:$Q$2902,AB$2,0)&lt;&gt;L525,"Beam Revised","")</f>
        <v>#N/A</v>
      </c>
      <c r="AC525" s="7" t="e">
        <f>IF(VLOOKUP($A525,'Concrete Beam Schedule'!$A$2:$Q$2902,AC$2,0)&lt;&gt;M525,"Beam Revised","")</f>
        <v>#N/A</v>
      </c>
      <c r="AD525" s="7" t="e">
        <f>IF(VLOOKUP($A525,'Concrete Beam Schedule'!$A$2:$Q$2902,AD$2,0)&lt;&gt;N525,"Beam Revised","")</f>
        <v>#N/A</v>
      </c>
      <c r="AE525" s="7" t="e">
        <f>IF(VLOOKUP($A525,'Concrete Beam Schedule'!$A$2:$Q$2902,AE$2,0)&lt;&gt;O525,"Beam Revised","")</f>
        <v>#N/A</v>
      </c>
    </row>
    <row r="526" spans="17:31" ht="13.2" x14ac:dyDescent="0.25">
      <c r="Q526" s="7">
        <f t="shared" si="8"/>
        <v>0</v>
      </c>
      <c r="R526" s="7" t="e">
        <f>IF(VLOOKUP($A526,'Concrete Beam Schedule'!$A$2:$Q$2902,R$2,0)&lt;&gt;B526,VLOOKUP($A526,'Concrete Beam Schedule'!$A$2:$Q$2902,R$2,0),"")</f>
        <v>#N/A</v>
      </c>
      <c r="S526" s="7" t="e">
        <f>IF(VLOOKUP($A526,'Concrete Beam Schedule'!$A$2:$Q$2902,S$2,0)&lt;&gt;C526,VLOOKUP($A526,'Concrete Beam Schedule'!$A$2:$Q$2902,S$2,0),"")</f>
        <v>#N/A</v>
      </c>
      <c r="T526" s="7" t="e">
        <f>IF(VLOOKUP($A526,'Concrete Beam Schedule'!$A$2:$Q$2902,T$2,0)&lt;&gt;D526,"Beam Revised","")</f>
        <v>#N/A</v>
      </c>
      <c r="U526" s="7" t="e">
        <f>IF(VLOOKUP($A526,'Concrete Beam Schedule'!$A$2:$Q$2902,U$2,0)&lt;&gt;E526,"Beam Revised","")</f>
        <v>#N/A</v>
      </c>
      <c r="V526" s="7" t="e">
        <f>IF(VLOOKUP($A526,'Concrete Beam Schedule'!$A$2:$Q$2902,V$2,0)&lt;&gt;F526,"Beam Revised","")</f>
        <v>#N/A</v>
      </c>
      <c r="W526" s="7" t="e">
        <f>IF(VLOOKUP($A526,'Concrete Beam Schedule'!$A$2:$Q$2902,W$2,0)&lt;&gt;G526,"Beam Revised","")</f>
        <v>#N/A</v>
      </c>
      <c r="X526" s="7" t="e">
        <f>IF(VLOOKUP($A526,'Concrete Beam Schedule'!$A$2:$Q$2902,X$2,0)&lt;&gt;H526,"Beam Revised","")</f>
        <v>#N/A</v>
      </c>
      <c r="Y526" s="7" t="e">
        <f>IF(VLOOKUP($A526,'Concrete Beam Schedule'!$A$2:$Q$2902,Y$2,0)&lt;&gt;I526,"Beam Revised","")</f>
        <v>#N/A</v>
      </c>
      <c r="Z526" s="7" t="e">
        <f>IF(VLOOKUP($A526,'Concrete Beam Schedule'!$A$2:$Q$2902,Z$2,0)&lt;&gt;J526,"Beam Revised","")</f>
        <v>#N/A</v>
      </c>
      <c r="AA526" s="7" t="e">
        <f>IF(VLOOKUP($A526,'Concrete Beam Schedule'!$A$2:$Q$2902,AA$2,0)&lt;&gt;K526,"Beam Revised","")</f>
        <v>#N/A</v>
      </c>
      <c r="AB526" s="7" t="e">
        <f>IF(VLOOKUP($A526,'Concrete Beam Schedule'!$A$2:$Q$2902,AB$2,0)&lt;&gt;L526,"Beam Revised","")</f>
        <v>#N/A</v>
      </c>
      <c r="AC526" s="7" t="e">
        <f>IF(VLOOKUP($A526,'Concrete Beam Schedule'!$A$2:$Q$2902,AC$2,0)&lt;&gt;M526,"Beam Revised","")</f>
        <v>#N/A</v>
      </c>
      <c r="AD526" s="7" t="e">
        <f>IF(VLOOKUP($A526,'Concrete Beam Schedule'!$A$2:$Q$2902,AD$2,0)&lt;&gt;N526,"Beam Revised","")</f>
        <v>#N/A</v>
      </c>
      <c r="AE526" s="7" t="e">
        <f>IF(VLOOKUP($A526,'Concrete Beam Schedule'!$A$2:$Q$2902,AE$2,0)&lt;&gt;O526,"Beam Revised","")</f>
        <v>#N/A</v>
      </c>
    </row>
    <row r="527" spans="17:31" ht="13.2" x14ac:dyDescent="0.25">
      <c r="Q527" s="7">
        <f t="shared" si="8"/>
        <v>0</v>
      </c>
      <c r="R527" s="7" t="e">
        <f>IF(VLOOKUP($A527,'Concrete Beam Schedule'!$A$2:$Q$2902,R$2,0)&lt;&gt;B527,VLOOKUP($A527,'Concrete Beam Schedule'!$A$2:$Q$2902,R$2,0),"")</f>
        <v>#N/A</v>
      </c>
      <c r="S527" s="7" t="e">
        <f>IF(VLOOKUP($A527,'Concrete Beam Schedule'!$A$2:$Q$2902,S$2,0)&lt;&gt;C527,VLOOKUP($A527,'Concrete Beam Schedule'!$A$2:$Q$2902,S$2,0),"")</f>
        <v>#N/A</v>
      </c>
      <c r="T527" s="7" t="e">
        <f>IF(VLOOKUP($A527,'Concrete Beam Schedule'!$A$2:$Q$2902,T$2,0)&lt;&gt;D527,"Beam Revised","")</f>
        <v>#N/A</v>
      </c>
      <c r="U527" s="7" t="e">
        <f>IF(VLOOKUP($A527,'Concrete Beam Schedule'!$A$2:$Q$2902,U$2,0)&lt;&gt;E527,"Beam Revised","")</f>
        <v>#N/A</v>
      </c>
      <c r="V527" s="7" t="e">
        <f>IF(VLOOKUP($A527,'Concrete Beam Schedule'!$A$2:$Q$2902,V$2,0)&lt;&gt;F527,"Beam Revised","")</f>
        <v>#N/A</v>
      </c>
      <c r="W527" s="7" t="e">
        <f>IF(VLOOKUP($A527,'Concrete Beam Schedule'!$A$2:$Q$2902,W$2,0)&lt;&gt;G527,"Beam Revised","")</f>
        <v>#N/A</v>
      </c>
      <c r="X527" s="7" t="e">
        <f>IF(VLOOKUP($A527,'Concrete Beam Schedule'!$A$2:$Q$2902,X$2,0)&lt;&gt;H527,"Beam Revised","")</f>
        <v>#N/A</v>
      </c>
      <c r="Y527" s="7" t="e">
        <f>IF(VLOOKUP($A527,'Concrete Beam Schedule'!$A$2:$Q$2902,Y$2,0)&lt;&gt;I527,"Beam Revised","")</f>
        <v>#N/A</v>
      </c>
      <c r="Z527" s="7" t="e">
        <f>IF(VLOOKUP($A527,'Concrete Beam Schedule'!$A$2:$Q$2902,Z$2,0)&lt;&gt;J527,"Beam Revised","")</f>
        <v>#N/A</v>
      </c>
      <c r="AA527" s="7" t="e">
        <f>IF(VLOOKUP($A527,'Concrete Beam Schedule'!$A$2:$Q$2902,AA$2,0)&lt;&gt;K527,"Beam Revised","")</f>
        <v>#N/A</v>
      </c>
      <c r="AB527" s="7" t="e">
        <f>IF(VLOOKUP($A527,'Concrete Beam Schedule'!$A$2:$Q$2902,AB$2,0)&lt;&gt;L527,"Beam Revised","")</f>
        <v>#N/A</v>
      </c>
      <c r="AC527" s="7" t="e">
        <f>IF(VLOOKUP($A527,'Concrete Beam Schedule'!$A$2:$Q$2902,AC$2,0)&lt;&gt;M527,"Beam Revised","")</f>
        <v>#N/A</v>
      </c>
      <c r="AD527" s="7" t="e">
        <f>IF(VLOOKUP($A527,'Concrete Beam Schedule'!$A$2:$Q$2902,AD$2,0)&lt;&gt;N527,"Beam Revised","")</f>
        <v>#N/A</v>
      </c>
      <c r="AE527" s="7" t="e">
        <f>IF(VLOOKUP($A527,'Concrete Beam Schedule'!$A$2:$Q$2902,AE$2,0)&lt;&gt;O527,"Beam Revised","")</f>
        <v>#N/A</v>
      </c>
    </row>
    <row r="528" spans="17:31" ht="13.2" x14ac:dyDescent="0.25">
      <c r="Q528" s="7">
        <f t="shared" si="8"/>
        <v>0</v>
      </c>
      <c r="R528" s="7" t="e">
        <f>IF(VLOOKUP($A528,'Concrete Beam Schedule'!$A$2:$Q$2902,R$2,0)&lt;&gt;B528,VLOOKUP($A528,'Concrete Beam Schedule'!$A$2:$Q$2902,R$2,0),"")</f>
        <v>#N/A</v>
      </c>
      <c r="S528" s="7" t="e">
        <f>IF(VLOOKUP($A528,'Concrete Beam Schedule'!$A$2:$Q$2902,S$2,0)&lt;&gt;C528,VLOOKUP($A528,'Concrete Beam Schedule'!$A$2:$Q$2902,S$2,0),"")</f>
        <v>#N/A</v>
      </c>
      <c r="T528" s="7" t="e">
        <f>IF(VLOOKUP($A528,'Concrete Beam Schedule'!$A$2:$Q$2902,T$2,0)&lt;&gt;D528,"Beam Revised","")</f>
        <v>#N/A</v>
      </c>
      <c r="U528" s="7" t="e">
        <f>IF(VLOOKUP($A528,'Concrete Beam Schedule'!$A$2:$Q$2902,U$2,0)&lt;&gt;E528,"Beam Revised","")</f>
        <v>#N/A</v>
      </c>
      <c r="V528" s="7" t="e">
        <f>IF(VLOOKUP($A528,'Concrete Beam Schedule'!$A$2:$Q$2902,V$2,0)&lt;&gt;F528,"Beam Revised","")</f>
        <v>#N/A</v>
      </c>
      <c r="W528" s="7" t="e">
        <f>IF(VLOOKUP($A528,'Concrete Beam Schedule'!$A$2:$Q$2902,W$2,0)&lt;&gt;G528,"Beam Revised","")</f>
        <v>#N/A</v>
      </c>
      <c r="X528" s="7" t="e">
        <f>IF(VLOOKUP($A528,'Concrete Beam Schedule'!$A$2:$Q$2902,X$2,0)&lt;&gt;H528,"Beam Revised","")</f>
        <v>#N/A</v>
      </c>
      <c r="Y528" s="7" t="e">
        <f>IF(VLOOKUP($A528,'Concrete Beam Schedule'!$A$2:$Q$2902,Y$2,0)&lt;&gt;I528,"Beam Revised","")</f>
        <v>#N/A</v>
      </c>
      <c r="Z528" s="7" t="e">
        <f>IF(VLOOKUP($A528,'Concrete Beam Schedule'!$A$2:$Q$2902,Z$2,0)&lt;&gt;J528,"Beam Revised","")</f>
        <v>#N/A</v>
      </c>
      <c r="AA528" s="7" t="e">
        <f>IF(VLOOKUP($A528,'Concrete Beam Schedule'!$A$2:$Q$2902,AA$2,0)&lt;&gt;K528,"Beam Revised","")</f>
        <v>#N/A</v>
      </c>
      <c r="AB528" s="7" t="e">
        <f>IF(VLOOKUP($A528,'Concrete Beam Schedule'!$A$2:$Q$2902,AB$2,0)&lt;&gt;L528,"Beam Revised","")</f>
        <v>#N/A</v>
      </c>
      <c r="AC528" s="7" t="e">
        <f>IF(VLOOKUP($A528,'Concrete Beam Schedule'!$A$2:$Q$2902,AC$2,0)&lt;&gt;M528,"Beam Revised","")</f>
        <v>#N/A</v>
      </c>
      <c r="AD528" s="7" t="e">
        <f>IF(VLOOKUP($A528,'Concrete Beam Schedule'!$A$2:$Q$2902,AD$2,0)&lt;&gt;N528,"Beam Revised","")</f>
        <v>#N/A</v>
      </c>
      <c r="AE528" s="7" t="e">
        <f>IF(VLOOKUP($A528,'Concrete Beam Schedule'!$A$2:$Q$2902,AE$2,0)&lt;&gt;O528,"Beam Revised","")</f>
        <v>#N/A</v>
      </c>
    </row>
    <row r="529" spans="17:31" ht="13.2" x14ac:dyDescent="0.25">
      <c r="Q529" s="7">
        <f t="shared" si="8"/>
        <v>0</v>
      </c>
      <c r="R529" s="7" t="e">
        <f>IF(VLOOKUP($A529,'Concrete Beam Schedule'!$A$2:$Q$2902,R$2,0)&lt;&gt;B529,VLOOKUP($A529,'Concrete Beam Schedule'!$A$2:$Q$2902,R$2,0),"")</f>
        <v>#N/A</v>
      </c>
      <c r="S529" s="7" t="e">
        <f>IF(VLOOKUP($A529,'Concrete Beam Schedule'!$A$2:$Q$2902,S$2,0)&lt;&gt;C529,VLOOKUP($A529,'Concrete Beam Schedule'!$A$2:$Q$2902,S$2,0),"")</f>
        <v>#N/A</v>
      </c>
      <c r="T529" s="7" t="e">
        <f>IF(VLOOKUP($A529,'Concrete Beam Schedule'!$A$2:$Q$2902,T$2,0)&lt;&gt;D529,"Beam Revised","")</f>
        <v>#N/A</v>
      </c>
      <c r="U529" s="7" t="e">
        <f>IF(VLOOKUP($A529,'Concrete Beam Schedule'!$A$2:$Q$2902,U$2,0)&lt;&gt;E529,"Beam Revised","")</f>
        <v>#N/A</v>
      </c>
      <c r="V529" s="7" t="e">
        <f>IF(VLOOKUP($A529,'Concrete Beam Schedule'!$A$2:$Q$2902,V$2,0)&lt;&gt;F529,"Beam Revised","")</f>
        <v>#N/A</v>
      </c>
      <c r="W529" s="7" t="e">
        <f>IF(VLOOKUP($A529,'Concrete Beam Schedule'!$A$2:$Q$2902,W$2,0)&lt;&gt;G529,"Beam Revised","")</f>
        <v>#N/A</v>
      </c>
      <c r="X529" s="7" t="e">
        <f>IF(VLOOKUP($A529,'Concrete Beam Schedule'!$A$2:$Q$2902,X$2,0)&lt;&gt;H529,"Beam Revised","")</f>
        <v>#N/A</v>
      </c>
      <c r="Y529" s="7" t="e">
        <f>IF(VLOOKUP($A529,'Concrete Beam Schedule'!$A$2:$Q$2902,Y$2,0)&lt;&gt;I529,"Beam Revised","")</f>
        <v>#N/A</v>
      </c>
      <c r="Z529" s="7" t="e">
        <f>IF(VLOOKUP($A529,'Concrete Beam Schedule'!$A$2:$Q$2902,Z$2,0)&lt;&gt;J529,"Beam Revised","")</f>
        <v>#N/A</v>
      </c>
      <c r="AA529" s="7" t="e">
        <f>IF(VLOOKUP($A529,'Concrete Beam Schedule'!$A$2:$Q$2902,AA$2,0)&lt;&gt;K529,"Beam Revised","")</f>
        <v>#N/A</v>
      </c>
      <c r="AB529" s="7" t="e">
        <f>IF(VLOOKUP($A529,'Concrete Beam Schedule'!$A$2:$Q$2902,AB$2,0)&lt;&gt;L529,"Beam Revised","")</f>
        <v>#N/A</v>
      </c>
      <c r="AC529" s="7" t="e">
        <f>IF(VLOOKUP($A529,'Concrete Beam Schedule'!$A$2:$Q$2902,AC$2,0)&lt;&gt;M529,"Beam Revised","")</f>
        <v>#N/A</v>
      </c>
      <c r="AD529" s="7" t="e">
        <f>IF(VLOOKUP($A529,'Concrete Beam Schedule'!$A$2:$Q$2902,AD$2,0)&lt;&gt;N529,"Beam Revised","")</f>
        <v>#N/A</v>
      </c>
      <c r="AE529" s="7" t="e">
        <f>IF(VLOOKUP($A529,'Concrete Beam Schedule'!$A$2:$Q$2902,AE$2,0)&lt;&gt;O529,"Beam Revised","")</f>
        <v>#N/A</v>
      </c>
    </row>
    <row r="530" spans="17:31" ht="13.2" x14ac:dyDescent="0.25">
      <c r="Q530" s="7">
        <f t="shared" si="8"/>
        <v>0</v>
      </c>
      <c r="R530" s="7" t="e">
        <f>IF(VLOOKUP($A530,'Concrete Beam Schedule'!$A$2:$Q$2902,R$2,0)&lt;&gt;B530,VLOOKUP($A530,'Concrete Beam Schedule'!$A$2:$Q$2902,R$2,0),"")</f>
        <v>#N/A</v>
      </c>
      <c r="S530" s="7" t="e">
        <f>IF(VLOOKUP($A530,'Concrete Beam Schedule'!$A$2:$Q$2902,S$2,0)&lt;&gt;C530,VLOOKUP($A530,'Concrete Beam Schedule'!$A$2:$Q$2902,S$2,0),"")</f>
        <v>#N/A</v>
      </c>
      <c r="T530" s="7" t="e">
        <f>IF(VLOOKUP($A530,'Concrete Beam Schedule'!$A$2:$Q$2902,T$2,0)&lt;&gt;D530,"Beam Revised","")</f>
        <v>#N/A</v>
      </c>
      <c r="U530" s="7" t="e">
        <f>IF(VLOOKUP($A530,'Concrete Beam Schedule'!$A$2:$Q$2902,U$2,0)&lt;&gt;E530,"Beam Revised","")</f>
        <v>#N/A</v>
      </c>
      <c r="V530" s="7" t="e">
        <f>IF(VLOOKUP($A530,'Concrete Beam Schedule'!$A$2:$Q$2902,V$2,0)&lt;&gt;F530,"Beam Revised","")</f>
        <v>#N/A</v>
      </c>
      <c r="W530" s="7" t="e">
        <f>IF(VLOOKUP($A530,'Concrete Beam Schedule'!$A$2:$Q$2902,W$2,0)&lt;&gt;G530,"Beam Revised","")</f>
        <v>#N/A</v>
      </c>
      <c r="X530" s="7" t="e">
        <f>IF(VLOOKUP($A530,'Concrete Beam Schedule'!$A$2:$Q$2902,X$2,0)&lt;&gt;H530,"Beam Revised","")</f>
        <v>#N/A</v>
      </c>
      <c r="Y530" s="7" t="e">
        <f>IF(VLOOKUP($A530,'Concrete Beam Schedule'!$A$2:$Q$2902,Y$2,0)&lt;&gt;I530,"Beam Revised","")</f>
        <v>#N/A</v>
      </c>
      <c r="Z530" s="7" t="e">
        <f>IF(VLOOKUP($A530,'Concrete Beam Schedule'!$A$2:$Q$2902,Z$2,0)&lt;&gt;J530,"Beam Revised","")</f>
        <v>#N/A</v>
      </c>
      <c r="AA530" s="7" t="e">
        <f>IF(VLOOKUP($A530,'Concrete Beam Schedule'!$A$2:$Q$2902,AA$2,0)&lt;&gt;K530,"Beam Revised","")</f>
        <v>#N/A</v>
      </c>
      <c r="AB530" s="7" t="e">
        <f>IF(VLOOKUP($A530,'Concrete Beam Schedule'!$A$2:$Q$2902,AB$2,0)&lt;&gt;L530,"Beam Revised","")</f>
        <v>#N/A</v>
      </c>
      <c r="AC530" s="7" t="e">
        <f>IF(VLOOKUP($A530,'Concrete Beam Schedule'!$A$2:$Q$2902,AC$2,0)&lt;&gt;M530,"Beam Revised","")</f>
        <v>#N/A</v>
      </c>
      <c r="AD530" s="7" t="e">
        <f>IF(VLOOKUP($A530,'Concrete Beam Schedule'!$A$2:$Q$2902,AD$2,0)&lt;&gt;N530,"Beam Revised","")</f>
        <v>#N/A</v>
      </c>
      <c r="AE530" s="7" t="e">
        <f>IF(VLOOKUP($A530,'Concrete Beam Schedule'!$A$2:$Q$2902,AE$2,0)&lt;&gt;O530,"Beam Revised","")</f>
        <v>#N/A</v>
      </c>
    </row>
    <row r="531" spans="17:31" ht="13.2" x14ac:dyDescent="0.25">
      <c r="Q531" s="7">
        <f t="shared" si="8"/>
        <v>0</v>
      </c>
      <c r="R531" s="7" t="e">
        <f>IF(VLOOKUP($A531,'Concrete Beam Schedule'!$A$2:$Q$2902,R$2,0)&lt;&gt;B531,VLOOKUP($A531,'Concrete Beam Schedule'!$A$2:$Q$2902,R$2,0),"")</f>
        <v>#N/A</v>
      </c>
      <c r="S531" s="7" t="e">
        <f>IF(VLOOKUP($A531,'Concrete Beam Schedule'!$A$2:$Q$2902,S$2,0)&lt;&gt;C531,VLOOKUP($A531,'Concrete Beam Schedule'!$A$2:$Q$2902,S$2,0),"")</f>
        <v>#N/A</v>
      </c>
      <c r="T531" s="7" t="e">
        <f>IF(VLOOKUP($A531,'Concrete Beam Schedule'!$A$2:$Q$2902,T$2,0)&lt;&gt;D531,"Beam Revised","")</f>
        <v>#N/A</v>
      </c>
      <c r="U531" s="7" t="e">
        <f>IF(VLOOKUP($A531,'Concrete Beam Schedule'!$A$2:$Q$2902,U$2,0)&lt;&gt;E531,"Beam Revised","")</f>
        <v>#N/A</v>
      </c>
      <c r="V531" s="7" t="e">
        <f>IF(VLOOKUP($A531,'Concrete Beam Schedule'!$A$2:$Q$2902,V$2,0)&lt;&gt;F531,"Beam Revised","")</f>
        <v>#N/A</v>
      </c>
      <c r="W531" s="7" t="e">
        <f>IF(VLOOKUP($A531,'Concrete Beam Schedule'!$A$2:$Q$2902,W$2,0)&lt;&gt;G531,"Beam Revised","")</f>
        <v>#N/A</v>
      </c>
      <c r="X531" s="7" t="e">
        <f>IF(VLOOKUP($A531,'Concrete Beam Schedule'!$A$2:$Q$2902,X$2,0)&lt;&gt;H531,"Beam Revised","")</f>
        <v>#N/A</v>
      </c>
      <c r="Y531" s="7" t="e">
        <f>IF(VLOOKUP($A531,'Concrete Beam Schedule'!$A$2:$Q$2902,Y$2,0)&lt;&gt;I531,"Beam Revised","")</f>
        <v>#N/A</v>
      </c>
      <c r="Z531" s="7" t="e">
        <f>IF(VLOOKUP($A531,'Concrete Beam Schedule'!$A$2:$Q$2902,Z$2,0)&lt;&gt;J531,"Beam Revised","")</f>
        <v>#N/A</v>
      </c>
      <c r="AA531" s="7" t="e">
        <f>IF(VLOOKUP($A531,'Concrete Beam Schedule'!$A$2:$Q$2902,AA$2,0)&lt;&gt;K531,"Beam Revised","")</f>
        <v>#N/A</v>
      </c>
      <c r="AB531" s="7" t="e">
        <f>IF(VLOOKUP($A531,'Concrete Beam Schedule'!$A$2:$Q$2902,AB$2,0)&lt;&gt;L531,"Beam Revised","")</f>
        <v>#N/A</v>
      </c>
      <c r="AC531" s="7" t="e">
        <f>IF(VLOOKUP($A531,'Concrete Beam Schedule'!$A$2:$Q$2902,AC$2,0)&lt;&gt;M531,"Beam Revised","")</f>
        <v>#N/A</v>
      </c>
      <c r="AD531" s="7" t="e">
        <f>IF(VLOOKUP($A531,'Concrete Beam Schedule'!$A$2:$Q$2902,AD$2,0)&lt;&gt;N531,"Beam Revised","")</f>
        <v>#N/A</v>
      </c>
      <c r="AE531" s="7" t="e">
        <f>IF(VLOOKUP($A531,'Concrete Beam Schedule'!$A$2:$Q$2902,AE$2,0)&lt;&gt;O531,"Beam Revised","")</f>
        <v>#N/A</v>
      </c>
    </row>
    <row r="532" spans="17:31" ht="13.2" x14ac:dyDescent="0.25">
      <c r="Q532" s="7">
        <f t="shared" si="8"/>
        <v>0</v>
      </c>
      <c r="R532" s="7" t="e">
        <f>IF(VLOOKUP($A532,'Concrete Beam Schedule'!$A$2:$Q$2902,R$2,0)&lt;&gt;B532,VLOOKUP($A532,'Concrete Beam Schedule'!$A$2:$Q$2902,R$2,0),"")</f>
        <v>#N/A</v>
      </c>
      <c r="S532" s="7" t="e">
        <f>IF(VLOOKUP($A532,'Concrete Beam Schedule'!$A$2:$Q$2902,S$2,0)&lt;&gt;C532,VLOOKUP($A532,'Concrete Beam Schedule'!$A$2:$Q$2902,S$2,0),"")</f>
        <v>#N/A</v>
      </c>
      <c r="T532" s="7" t="e">
        <f>IF(VLOOKUP($A532,'Concrete Beam Schedule'!$A$2:$Q$2902,T$2,0)&lt;&gt;D532,"Beam Revised","")</f>
        <v>#N/A</v>
      </c>
      <c r="U532" s="7" t="e">
        <f>IF(VLOOKUP($A532,'Concrete Beam Schedule'!$A$2:$Q$2902,U$2,0)&lt;&gt;E532,"Beam Revised","")</f>
        <v>#N/A</v>
      </c>
      <c r="V532" s="7" t="e">
        <f>IF(VLOOKUP($A532,'Concrete Beam Schedule'!$A$2:$Q$2902,V$2,0)&lt;&gt;F532,"Beam Revised","")</f>
        <v>#N/A</v>
      </c>
      <c r="W532" s="7" t="e">
        <f>IF(VLOOKUP($A532,'Concrete Beam Schedule'!$A$2:$Q$2902,W$2,0)&lt;&gt;G532,"Beam Revised","")</f>
        <v>#N/A</v>
      </c>
      <c r="X532" s="7" t="e">
        <f>IF(VLOOKUP($A532,'Concrete Beam Schedule'!$A$2:$Q$2902,X$2,0)&lt;&gt;H532,"Beam Revised","")</f>
        <v>#N/A</v>
      </c>
      <c r="Y532" s="7" t="e">
        <f>IF(VLOOKUP($A532,'Concrete Beam Schedule'!$A$2:$Q$2902,Y$2,0)&lt;&gt;I532,"Beam Revised","")</f>
        <v>#N/A</v>
      </c>
      <c r="Z532" s="7" t="e">
        <f>IF(VLOOKUP($A532,'Concrete Beam Schedule'!$A$2:$Q$2902,Z$2,0)&lt;&gt;J532,"Beam Revised","")</f>
        <v>#N/A</v>
      </c>
      <c r="AA532" s="7" t="e">
        <f>IF(VLOOKUP($A532,'Concrete Beam Schedule'!$A$2:$Q$2902,AA$2,0)&lt;&gt;K532,"Beam Revised","")</f>
        <v>#N/A</v>
      </c>
      <c r="AB532" s="7" t="e">
        <f>IF(VLOOKUP($A532,'Concrete Beam Schedule'!$A$2:$Q$2902,AB$2,0)&lt;&gt;L532,"Beam Revised","")</f>
        <v>#N/A</v>
      </c>
      <c r="AC532" s="7" t="e">
        <f>IF(VLOOKUP($A532,'Concrete Beam Schedule'!$A$2:$Q$2902,AC$2,0)&lt;&gt;M532,"Beam Revised","")</f>
        <v>#N/A</v>
      </c>
      <c r="AD532" s="7" t="e">
        <f>IF(VLOOKUP($A532,'Concrete Beam Schedule'!$A$2:$Q$2902,AD$2,0)&lt;&gt;N532,"Beam Revised","")</f>
        <v>#N/A</v>
      </c>
      <c r="AE532" s="7" t="e">
        <f>IF(VLOOKUP($A532,'Concrete Beam Schedule'!$A$2:$Q$2902,AE$2,0)&lt;&gt;O532,"Beam Revised","")</f>
        <v>#N/A</v>
      </c>
    </row>
    <row r="533" spans="17:31" ht="13.2" x14ac:dyDescent="0.25">
      <c r="Q533" s="7">
        <f t="shared" si="8"/>
        <v>0</v>
      </c>
      <c r="R533" s="7" t="e">
        <f>IF(VLOOKUP($A533,'Concrete Beam Schedule'!$A$2:$Q$2902,R$2,0)&lt;&gt;B533,VLOOKUP($A533,'Concrete Beam Schedule'!$A$2:$Q$2902,R$2,0),"")</f>
        <v>#N/A</v>
      </c>
      <c r="S533" s="7" t="e">
        <f>IF(VLOOKUP($A533,'Concrete Beam Schedule'!$A$2:$Q$2902,S$2,0)&lt;&gt;C533,VLOOKUP($A533,'Concrete Beam Schedule'!$A$2:$Q$2902,S$2,0),"")</f>
        <v>#N/A</v>
      </c>
      <c r="T533" s="7" t="e">
        <f>IF(VLOOKUP($A533,'Concrete Beam Schedule'!$A$2:$Q$2902,T$2,0)&lt;&gt;D533,"Beam Revised","")</f>
        <v>#N/A</v>
      </c>
      <c r="U533" s="7" t="e">
        <f>IF(VLOOKUP($A533,'Concrete Beam Schedule'!$A$2:$Q$2902,U$2,0)&lt;&gt;E533,"Beam Revised","")</f>
        <v>#N/A</v>
      </c>
      <c r="V533" s="7" t="e">
        <f>IF(VLOOKUP($A533,'Concrete Beam Schedule'!$A$2:$Q$2902,V$2,0)&lt;&gt;F533,"Beam Revised","")</f>
        <v>#N/A</v>
      </c>
      <c r="W533" s="7" t="e">
        <f>IF(VLOOKUP($A533,'Concrete Beam Schedule'!$A$2:$Q$2902,W$2,0)&lt;&gt;G533,"Beam Revised","")</f>
        <v>#N/A</v>
      </c>
      <c r="X533" s="7" t="e">
        <f>IF(VLOOKUP($A533,'Concrete Beam Schedule'!$A$2:$Q$2902,X$2,0)&lt;&gt;H533,"Beam Revised","")</f>
        <v>#N/A</v>
      </c>
      <c r="Y533" s="7" t="e">
        <f>IF(VLOOKUP($A533,'Concrete Beam Schedule'!$A$2:$Q$2902,Y$2,0)&lt;&gt;I533,"Beam Revised","")</f>
        <v>#N/A</v>
      </c>
      <c r="Z533" s="7" t="e">
        <f>IF(VLOOKUP($A533,'Concrete Beam Schedule'!$A$2:$Q$2902,Z$2,0)&lt;&gt;J533,"Beam Revised","")</f>
        <v>#N/A</v>
      </c>
      <c r="AA533" s="7" t="e">
        <f>IF(VLOOKUP($A533,'Concrete Beam Schedule'!$A$2:$Q$2902,AA$2,0)&lt;&gt;K533,"Beam Revised","")</f>
        <v>#N/A</v>
      </c>
      <c r="AB533" s="7" t="e">
        <f>IF(VLOOKUP($A533,'Concrete Beam Schedule'!$A$2:$Q$2902,AB$2,0)&lt;&gt;L533,"Beam Revised","")</f>
        <v>#N/A</v>
      </c>
      <c r="AC533" s="7" t="e">
        <f>IF(VLOOKUP($A533,'Concrete Beam Schedule'!$A$2:$Q$2902,AC$2,0)&lt;&gt;M533,"Beam Revised","")</f>
        <v>#N/A</v>
      </c>
      <c r="AD533" s="7" t="e">
        <f>IF(VLOOKUP($A533,'Concrete Beam Schedule'!$A$2:$Q$2902,AD$2,0)&lt;&gt;N533,"Beam Revised","")</f>
        <v>#N/A</v>
      </c>
      <c r="AE533" s="7" t="e">
        <f>IF(VLOOKUP($A533,'Concrete Beam Schedule'!$A$2:$Q$2902,AE$2,0)&lt;&gt;O533,"Beam Revised","")</f>
        <v>#N/A</v>
      </c>
    </row>
    <row r="534" spans="17:31" ht="13.2" x14ac:dyDescent="0.25">
      <c r="Q534" s="7">
        <f t="shared" si="8"/>
        <v>0</v>
      </c>
      <c r="R534" s="7" t="e">
        <f>IF(VLOOKUP($A534,'Concrete Beam Schedule'!$A$2:$Q$2902,R$2,0)&lt;&gt;B534,VLOOKUP($A534,'Concrete Beam Schedule'!$A$2:$Q$2902,R$2,0),"")</f>
        <v>#N/A</v>
      </c>
      <c r="S534" s="7" t="e">
        <f>IF(VLOOKUP($A534,'Concrete Beam Schedule'!$A$2:$Q$2902,S$2,0)&lt;&gt;C534,VLOOKUP($A534,'Concrete Beam Schedule'!$A$2:$Q$2902,S$2,0),"")</f>
        <v>#N/A</v>
      </c>
      <c r="T534" s="7" t="e">
        <f>IF(VLOOKUP($A534,'Concrete Beam Schedule'!$A$2:$Q$2902,T$2,0)&lt;&gt;D534,"Beam Revised","")</f>
        <v>#N/A</v>
      </c>
      <c r="U534" s="7" t="e">
        <f>IF(VLOOKUP($A534,'Concrete Beam Schedule'!$A$2:$Q$2902,U$2,0)&lt;&gt;E534,"Beam Revised","")</f>
        <v>#N/A</v>
      </c>
      <c r="V534" s="7" t="e">
        <f>IF(VLOOKUP($A534,'Concrete Beam Schedule'!$A$2:$Q$2902,V$2,0)&lt;&gt;F534,"Beam Revised","")</f>
        <v>#N/A</v>
      </c>
      <c r="W534" s="7" t="e">
        <f>IF(VLOOKUP($A534,'Concrete Beam Schedule'!$A$2:$Q$2902,W$2,0)&lt;&gt;G534,"Beam Revised","")</f>
        <v>#N/A</v>
      </c>
      <c r="X534" s="7" t="e">
        <f>IF(VLOOKUP($A534,'Concrete Beam Schedule'!$A$2:$Q$2902,X$2,0)&lt;&gt;H534,"Beam Revised","")</f>
        <v>#N/A</v>
      </c>
      <c r="Y534" s="7" t="e">
        <f>IF(VLOOKUP($A534,'Concrete Beam Schedule'!$A$2:$Q$2902,Y$2,0)&lt;&gt;I534,"Beam Revised","")</f>
        <v>#N/A</v>
      </c>
      <c r="Z534" s="7" t="e">
        <f>IF(VLOOKUP($A534,'Concrete Beam Schedule'!$A$2:$Q$2902,Z$2,0)&lt;&gt;J534,"Beam Revised","")</f>
        <v>#N/A</v>
      </c>
      <c r="AA534" s="7" t="e">
        <f>IF(VLOOKUP($A534,'Concrete Beam Schedule'!$A$2:$Q$2902,AA$2,0)&lt;&gt;K534,"Beam Revised","")</f>
        <v>#N/A</v>
      </c>
      <c r="AB534" s="7" t="e">
        <f>IF(VLOOKUP($A534,'Concrete Beam Schedule'!$A$2:$Q$2902,AB$2,0)&lt;&gt;L534,"Beam Revised","")</f>
        <v>#N/A</v>
      </c>
      <c r="AC534" s="7" t="e">
        <f>IF(VLOOKUP($A534,'Concrete Beam Schedule'!$A$2:$Q$2902,AC$2,0)&lt;&gt;M534,"Beam Revised","")</f>
        <v>#N/A</v>
      </c>
      <c r="AD534" s="7" t="e">
        <f>IF(VLOOKUP($A534,'Concrete Beam Schedule'!$A$2:$Q$2902,AD$2,0)&lt;&gt;N534,"Beam Revised","")</f>
        <v>#N/A</v>
      </c>
      <c r="AE534" s="7" t="e">
        <f>IF(VLOOKUP($A534,'Concrete Beam Schedule'!$A$2:$Q$2902,AE$2,0)&lt;&gt;O534,"Beam Revised","")</f>
        <v>#N/A</v>
      </c>
    </row>
    <row r="535" spans="17:31" ht="13.2" x14ac:dyDescent="0.25">
      <c r="Q535" s="7">
        <f t="shared" si="8"/>
        <v>0</v>
      </c>
      <c r="R535" s="7" t="e">
        <f>IF(VLOOKUP($A535,'Concrete Beam Schedule'!$A$2:$Q$2902,R$2,0)&lt;&gt;B535,VLOOKUP($A535,'Concrete Beam Schedule'!$A$2:$Q$2902,R$2,0),"")</f>
        <v>#N/A</v>
      </c>
      <c r="S535" s="7" t="e">
        <f>IF(VLOOKUP($A535,'Concrete Beam Schedule'!$A$2:$Q$2902,S$2,0)&lt;&gt;C535,VLOOKUP($A535,'Concrete Beam Schedule'!$A$2:$Q$2902,S$2,0),"")</f>
        <v>#N/A</v>
      </c>
      <c r="T535" s="7" t="e">
        <f>IF(VLOOKUP($A535,'Concrete Beam Schedule'!$A$2:$Q$2902,T$2,0)&lt;&gt;D535,"Beam Revised","")</f>
        <v>#N/A</v>
      </c>
      <c r="U535" s="7" t="e">
        <f>IF(VLOOKUP($A535,'Concrete Beam Schedule'!$A$2:$Q$2902,U$2,0)&lt;&gt;E535,"Beam Revised","")</f>
        <v>#N/A</v>
      </c>
      <c r="V535" s="7" t="e">
        <f>IF(VLOOKUP($A535,'Concrete Beam Schedule'!$A$2:$Q$2902,V$2,0)&lt;&gt;F535,"Beam Revised","")</f>
        <v>#N/A</v>
      </c>
      <c r="W535" s="7" t="e">
        <f>IF(VLOOKUP($A535,'Concrete Beam Schedule'!$A$2:$Q$2902,W$2,0)&lt;&gt;G535,"Beam Revised","")</f>
        <v>#N/A</v>
      </c>
      <c r="X535" s="7" t="e">
        <f>IF(VLOOKUP($A535,'Concrete Beam Schedule'!$A$2:$Q$2902,X$2,0)&lt;&gt;H535,"Beam Revised","")</f>
        <v>#N/A</v>
      </c>
      <c r="Y535" s="7" t="e">
        <f>IF(VLOOKUP($A535,'Concrete Beam Schedule'!$A$2:$Q$2902,Y$2,0)&lt;&gt;I535,"Beam Revised","")</f>
        <v>#N/A</v>
      </c>
      <c r="Z535" s="7" t="e">
        <f>IF(VLOOKUP($A535,'Concrete Beam Schedule'!$A$2:$Q$2902,Z$2,0)&lt;&gt;J535,"Beam Revised","")</f>
        <v>#N/A</v>
      </c>
      <c r="AA535" s="7" t="e">
        <f>IF(VLOOKUP($A535,'Concrete Beam Schedule'!$A$2:$Q$2902,AA$2,0)&lt;&gt;K535,"Beam Revised","")</f>
        <v>#N/A</v>
      </c>
      <c r="AB535" s="7" t="e">
        <f>IF(VLOOKUP($A535,'Concrete Beam Schedule'!$A$2:$Q$2902,AB$2,0)&lt;&gt;L535,"Beam Revised","")</f>
        <v>#N/A</v>
      </c>
      <c r="AC535" s="7" t="e">
        <f>IF(VLOOKUP($A535,'Concrete Beam Schedule'!$A$2:$Q$2902,AC$2,0)&lt;&gt;M535,"Beam Revised","")</f>
        <v>#N/A</v>
      </c>
      <c r="AD535" s="7" t="e">
        <f>IF(VLOOKUP($A535,'Concrete Beam Schedule'!$A$2:$Q$2902,AD$2,0)&lt;&gt;N535,"Beam Revised","")</f>
        <v>#N/A</v>
      </c>
      <c r="AE535" s="7" t="e">
        <f>IF(VLOOKUP($A535,'Concrete Beam Schedule'!$A$2:$Q$2902,AE$2,0)&lt;&gt;O535,"Beam Revised","")</f>
        <v>#N/A</v>
      </c>
    </row>
    <row r="536" spans="17:31" ht="13.2" x14ac:dyDescent="0.25">
      <c r="Q536" s="7">
        <f t="shared" si="8"/>
        <v>0</v>
      </c>
      <c r="R536" s="7" t="e">
        <f>IF(VLOOKUP($A536,'Concrete Beam Schedule'!$A$2:$Q$2902,R$2,0)&lt;&gt;B536,VLOOKUP($A536,'Concrete Beam Schedule'!$A$2:$Q$2902,R$2,0),"")</f>
        <v>#N/A</v>
      </c>
      <c r="S536" s="7" t="e">
        <f>IF(VLOOKUP($A536,'Concrete Beam Schedule'!$A$2:$Q$2902,S$2,0)&lt;&gt;C536,VLOOKUP($A536,'Concrete Beam Schedule'!$A$2:$Q$2902,S$2,0),"")</f>
        <v>#N/A</v>
      </c>
      <c r="T536" s="7" t="e">
        <f>IF(VLOOKUP($A536,'Concrete Beam Schedule'!$A$2:$Q$2902,T$2,0)&lt;&gt;D536,"Beam Revised","")</f>
        <v>#N/A</v>
      </c>
      <c r="U536" s="7" t="e">
        <f>IF(VLOOKUP($A536,'Concrete Beam Schedule'!$A$2:$Q$2902,U$2,0)&lt;&gt;E536,"Beam Revised","")</f>
        <v>#N/A</v>
      </c>
      <c r="V536" s="7" t="e">
        <f>IF(VLOOKUP($A536,'Concrete Beam Schedule'!$A$2:$Q$2902,V$2,0)&lt;&gt;F536,"Beam Revised","")</f>
        <v>#N/A</v>
      </c>
      <c r="W536" s="7" t="e">
        <f>IF(VLOOKUP($A536,'Concrete Beam Schedule'!$A$2:$Q$2902,W$2,0)&lt;&gt;G536,"Beam Revised","")</f>
        <v>#N/A</v>
      </c>
      <c r="X536" s="7" t="e">
        <f>IF(VLOOKUP($A536,'Concrete Beam Schedule'!$A$2:$Q$2902,X$2,0)&lt;&gt;H536,"Beam Revised","")</f>
        <v>#N/A</v>
      </c>
      <c r="Y536" s="7" t="e">
        <f>IF(VLOOKUP($A536,'Concrete Beam Schedule'!$A$2:$Q$2902,Y$2,0)&lt;&gt;I536,"Beam Revised","")</f>
        <v>#N/A</v>
      </c>
      <c r="Z536" s="7" t="e">
        <f>IF(VLOOKUP($A536,'Concrete Beam Schedule'!$A$2:$Q$2902,Z$2,0)&lt;&gt;J536,"Beam Revised","")</f>
        <v>#N/A</v>
      </c>
      <c r="AA536" s="7" t="e">
        <f>IF(VLOOKUP($A536,'Concrete Beam Schedule'!$A$2:$Q$2902,AA$2,0)&lt;&gt;K536,"Beam Revised","")</f>
        <v>#N/A</v>
      </c>
      <c r="AB536" s="7" t="e">
        <f>IF(VLOOKUP($A536,'Concrete Beam Schedule'!$A$2:$Q$2902,AB$2,0)&lt;&gt;L536,"Beam Revised","")</f>
        <v>#N/A</v>
      </c>
      <c r="AC536" s="7" t="e">
        <f>IF(VLOOKUP($A536,'Concrete Beam Schedule'!$A$2:$Q$2902,AC$2,0)&lt;&gt;M536,"Beam Revised","")</f>
        <v>#N/A</v>
      </c>
      <c r="AD536" s="7" t="e">
        <f>IF(VLOOKUP($A536,'Concrete Beam Schedule'!$A$2:$Q$2902,AD$2,0)&lt;&gt;N536,"Beam Revised","")</f>
        <v>#N/A</v>
      </c>
      <c r="AE536" s="7" t="e">
        <f>IF(VLOOKUP($A536,'Concrete Beam Schedule'!$A$2:$Q$2902,AE$2,0)&lt;&gt;O536,"Beam Revised","")</f>
        <v>#N/A</v>
      </c>
    </row>
    <row r="537" spans="17:31" ht="13.2" x14ac:dyDescent="0.25">
      <c r="Q537" s="7">
        <f t="shared" si="8"/>
        <v>0</v>
      </c>
      <c r="R537" s="7" t="e">
        <f>IF(VLOOKUP($A537,'Concrete Beam Schedule'!$A$2:$Q$2902,R$2,0)&lt;&gt;B537,VLOOKUP($A537,'Concrete Beam Schedule'!$A$2:$Q$2902,R$2,0),"")</f>
        <v>#N/A</v>
      </c>
      <c r="S537" s="7" t="e">
        <f>IF(VLOOKUP($A537,'Concrete Beam Schedule'!$A$2:$Q$2902,S$2,0)&lt;&gt;C537,VLOOKUP($A537,'Concrete Beam Schedule'!$A$2:$Q$2902,S$2,0),"")</f>
        <v>#N/A</v>
      </c>
      <c r="T537" s="7" t="e">
        <f>IF(VLOOKUP($A537,'Concrete Beam Schedule'!$A$2:$Q$2902,T$2,0)&lt;&gt;D537,"Beam Revised","")</f>
        <v>#N/A</v>
      </c>
      <c r="U537" s="7" t="e">
        <f>IF(VLOOKUP($A537,'Concrete Beam Schedule'!$A$2:$Q$2902,U$2,0)&lt;&gt;E537,"Beam Revised","")</f>
        <v>#N/A</v>
      </c>
      <c r="V537" s="7" t="e">
        <f>IF(VLOOKUP($A537,'Concrete Beam Schedule'!$A$2:$Q$2902,V$2,0)&lt;&gt;F537,"Beam Revised","")</f>
        <v>#N/A</v>
      </c>
      <c r="W537" s="7" t="e">
        <f>IF(VLOOKUP($A537,'Concrete Beam Schedule'!$A$2:$Q$2902,W$2,0)&lt;&gt;G537,"Beam Revised","")</f>
        <v>#N/A</v>
      </c>
      <c r="X537" s="7" t="e">
        <f>IF(VLOOKUP($A537,'Concrete Beam Schedule'!$A$2:$Q$2902,X$2,0)&lt;&gt;H537,"Beam Revised","")</f>
        <v>#N/A</v>
      </c>
      <c r="Y537" s="7" t="e">
        <f>IF(VLOOKUP($A537,'Concrete Beam Schedule'!$A$2:$Q$2902,Y$2,0)&lt;&gt;I537,"Beam Revised","")</f>
        <v>#N/A</v>
      </c>
      <c r="Z537" s="7" t="e">
        <f>IF(VLOOKUP($A537,'Concrete Beam Schedule'!$A$2:$Q$2902,Z$2,0)&lt;&gt;J537,"Beam Revised","")</f>
        <v>#N/A</v>
      </c>
      <c r="AA537" s="7" t="e">
        <f>IF(VLOOKUP($A537,'Concrete Beam Schedule'!$A$2:$Q$2902,AA$2,0)&lt;&gt;K537,"Beam Revised","")</f>
        <v>#N/A</v>
      </c>
      <c r="AB537" s="7" t="e">
        <f>IF(VLOOKUP($A537,'Concrete Beam Schedule'!$A$2:$Q$2902,AB$2,0)&lt;&gt;L537,"Beam Revised","")</f>
        <v>#N/A</v>
      </c>
      <c r="AC537" s="7" t="e">
        <f>IF(VLOOKUP($A537,'Concrete Beam Schedule'!$A$2:$Q$2902,AC$2,0)&lt;&gt;M537,"Beam Revised","")</f>
        <v>#N/A</v>
      </c>
      <c r="AD537" s="7" t="e">
        <f>IF(VLOOKUP($A537,'Concrete Beam Schedule'!$A$2:$Q$2902,AD$2,0)&lt;&gt;N537,"Beam Revised","")</f>
        <v>#N/A</v>
      </c>
      <c r="AE537" s="7" t="e">
        <f>IF(VLOOKUP($A537,'Concrete Beam Schedule'!$A$2:$Q$2902,AE$2,0)&lt;&gt;O537,"Beam Revised","")</f>
        <v>#N/A</v>
      </c>
    </row>
    <row r="538" spans="17:31" ht="13.2" x14ac:dyDescent="0.25">
      <c r="Q538" s="7">
        <f t="shared" si="8"/>
        <v>0</v>
      </c>
      <c r="R538" s="7" t="e">
        <f>IF(VLOOKUP($A538,'Concrete Beam Schedule'!$A$2:$Q$2902,R$2,0)&lt;&gt;B538,VLOOKUP($A538,'Concrete Beam Schedule'!$A$2:$Q$2902,R$2,0),"")</f>
        <v>#N/A</v>
      </c>
      <c r="S538" s="7" t="e">
        <f>IF(VLOOKUP($A538,'Concrete Beam Schedule'!$A$2:$Q$2902,S$2,0)&lt;&gt;C538,VLOOKUP($A538,'Concrete Beam Schedule'!$A$2:$Q$2902,S$2,0),"")</f>
        <v>#N/A</v>
      </c>
      <c r="T538" s="7" t="e">
        <f>IF(VLOOKUP($A538,'Concrete Beam Schedule'!$A$2:$Q$2902,T$2,0)&lt;&gt;D538,"Beam Revised","")</f>
        <v>#N/A</v>
      </c>
      <c r="U538" s="7" t="e">
        <f>IF(VLOOKUP($A538,'Concrete Beam Schedule'!$A$2:$Q$2902,U$2,0)&lt;&gt;E538,"Beam Revised","")</f>
        <v>#N/A</v>
      </c>
      <c r="V538" s="7" t="e">
        <f>IF(VLOOKUP($A538,'Concrete Beam Schedule'!$A$2:$Q$2902,V$2,0)&lt;&gt;F538,"Beam Revised","")</f>
        <v>#N/A</v>
      </c>
      <c r="W538" s="7" t="e">
        <f>IF(VLOOKUP($A538,'Concrete Beam Schedule'!$A$2:$Q$2902,W$2,0)&lt;&gt;G538,"Beam Revised","")</f>
        <v>#N/A</v>
      </c>
      <c r="X538" s="7" t="e">
        <f>IF(VLOOKUP($A538,'Concrete Beam Schedule'!$A$2:$Q$2902,X$2,0)&lt;&gt;H538,"Beam Revised","")</f>
        <v>#N/A</v>
      </c>
      <c r="Y538" s="7" t="e">
        <f>IF(VLOOKUP($A538,'Concrete Beam Schedule'!$A$2:$Q$2902,Y$2,0)&lt;&gt;I538,"Beam Revised","")</f>
        <v>#N/A</v>
      </c>
      <c r="Z538" s="7" t="e">
        <f>IF(VLOOKUP($A538,'Concrete Beam Schedule'!$A$2:$Q$2902,Z$2,0)&lt;&gt;J538,"Beam Revised","")</f>
        <v>#N/A</v>
      </c>
      <c r="AA538" s="7" t="e">
        <f>IF(VLOOKUP($A538,'Concrete Beam Schedule'!$A$2:$Q$2902,AA$2,0)&lt;&gt;K538,"Beam Revised","")</f>
        <v>#N/A</v>
      </c>
      <c r="AB538" s="7" t="e">
        <f>IF(VLOOKUP($A538,'Concrete Beam Schedule'!$A$2:$Q$2902,AB$2,0)&lt;&gt;L538,"Beam Revised","")</f>
        <v>#N/A</v>
      </c>
      <c r="AC538" s="7" t="e">
        <f>IF(VLOOKUP($A538,'Concrete Beam Schedule'!$A$2:$Q$2902,AC$2,0)&lt;&gt;M538,"Beam Revised","")</f>
        <v>#N/A</v>
      </c>
      <c r="AD538" s="7" t="e">
        <f>IF(VLOOKUP($A538,'Concrete Beam Schedule'!$A$2:$Q$2902,AD$2,0)&lt;&gt;N538,"Beam Revised","")</f>
        <v>#N/A</v>
      </c>
      <c r="AE538" s="7" t="e">
        <f>IF(VLOOKUP($A538,'Concrete Beam Schedule'!$A$2:$Q$2902,AE$2,0)&lt;&gt;O538,"Beam Revised","")</f>
        <v>#N/A</v>
      </c>
    </row>
    <row r="539" spans="17:31" ht="13.2" x14ac:dyDescent="0.25">
      <c r="Q539" s="7">
        <f t="shared" si="8"/>
        <v>0</v>
      </c>
      <c r="R539" s="7" t="e">
        <f>IF(VLOOKUP($A539,'Concrete Beam Schedule'!$A$2:$Q$2902,R$2,0)&lt;&gt;B539,VLOOKUP($A539,'Concrete Beam Schedule'!$A$2:$Q$2902,R$2,0),"")</f>
        <v>#N/A</v>
      </c>
      <c r="S539" s="7" t="e">
        <f>IF(VLOOKUP($A539,'Concrete Beam Schedule'!$A$2:$Q$2902,S$2,0)&lt;&gt;C539,VLOOKUP($A539,'Concrete Beam Schedule'!$A$2:$Q$2902,S$2,0),"")</f>
        <v>#N/A</v>
      </c>
      <c r="T539" s="7" t="e">
        <f>IF(VLOOKUP($A539,'Concrete Beam Schedule'!$A$2:$Q$2902,T$2,0)&lt;&gt;D539,"Beam Revised","")</f>
        <v>#N/A</v>
      </c>
      <c r="U539" s="7" t="e">
        <f>IF(VLOOKUP($A539,'Concrete Beam Schedule'!$A$2:$Q$2902,U$2,0)&lt;&gt;E539,"Beam Revised","")</f>
        <v>#N/A</v>
      </c>
      <c r="V539" s="7" t="e">
        <f>IF(VLOOKUP($A539,'Concrete Beam Schedule'!$A$2:$Q$2902,V$2,0)&lt;&gt;F539,"Beam Revised","")</f>
        <v>#N/A</v>
      </c>
      <c r="W539" s="7" t="e">
        <f>IF(VLOOKUP($A539,'Concrete Beam Schedule'!$A$2:$Q$2902,W$2,0)&lt;&gt;G539,"Beam Revised","")</f>
        <v>#N/A</v>
      </c>
      <c r="X539" s="7" t="e">
        <f>IF(VLOOKUP($A539,'Concrete Beam Schedule'!$A$2:$Q$2902,X$2,0)&lt;&gt;H539,"Beam Revised","")</f>
        <v>#N/A</v>
      </c>
      <c r="Y539" s="7" t="e">
        <f>IF(VLOOKUP($A539,'Concrete Beam Schedule'!$A$2:$Q$2902,Y$2,0)&lt;&gt;I539,"Beam Revised","")</f>
        <v>#N/A</v>
      </c>
      <c r="Z539" s="7" t="e">
        <f>IF(VLOOKUP($A539,'Concrete Beam Schedule'!$A$2:$Q$2902,Z$2,0)&lt;&gt;J539,"Beam Revised","")</f>
        <v>#N/A</v>
      </c>
      <c r="AA539" s="7" t="e">
        <f>IF(VLOOKUP($A539,'Concrete Beam Schedule'!$A$2:$Q$2902,AA$2,0)&lt;&gt;K539,"Beam Revised","")</f>
        <v>#N/A</v>
      </c>
      <c r="AB539" s="7" t="e">
        <f>IF(VLOOKUP($A539,'Concrete Beam Schedule'!$A$2:$Q$2902,AB$2,0)&lt;&gt;L539,"Beam Revised","")</f>
        <v>#N/A</v>
      </c>
      <c r="AC539" s="7" t="e">
        <f>IF(VLOOKUP($A539,'Concrete Beam Schedule'!$A$2:$Q$2902,AC$2,0)&lt;&gt;M539,"Beam Revised","")</f>
        <v>#N/A</v>
      </c>
      <c r="AD539" s="7" t="e">
        <f>IF(VLOOKUP($A539,'Concrete Beam Schedule'!$A$2:$Q$2902,AD$2,0)&lt;&gt;N539,"Beam Revised","")</f>
        <v>#N/A</v>
      </c>
      <c r="AE539" s="7" t="e">
        <f>IF(VLOOKUP($A539,'Concrete Beam Schedule'!$A$2:$Q$2902,AE$2,0)&lt;&gt;O539,"Beam Revised","")</f>
        <v>#N/A</v>
      </c>
    </row>
    <row r="540" spans="17:31" ht="13.2" x14ac:dyDescent="0.25">
      <c r="Q540" s="7">
        <f t="shared" si="8"/>
        <v>0</v>
      </c>
      <c r="R540" s="7" t="e">
        <f>IF(VLOOKUP($A540,'Concrete Beam Schedule'!$A$2:$Q$2902,R$2,0)&lt;&gt;B540,VLOOKUP($A540,'Concrete Beam Schedule'!$A$2:$Q$2902,R$2,0),"")</f>
        <v>#N/A</v>
      </c>
      <c r="S540" s="7" t="e">
        <f>IF(VLOOKUP($A540,'Concrete Beam Schedule'!$A$2:$Q$2902,S$2,0)&lt;&gt;C540,VLOOKUP($A540,'Concrete Beam Schedule'!$A$2:$Q$2902,S$2,0),"")</f>
        <v>#N/A</v>
      </c>
      <c r="T540" s="7" t="e">
        <f>IF(VLOOKUP($A540,'Concrete Beam Schedule'!$A$2:$Q$2902,T$2,0)&lt;&gt;D540,"Beam Revised","")</f>
        <v>#N/A</v>
      </c>
      <c r="U540" s="7" t="e">
        <f>IF(VLOOKUP($A540,'Concrete Beam Schedule'!$A$2:$Q$2902,U$2,0)&lt;&gt;E540,"Beam Revised","")</f>
        <v>#N/A</v>
      </c>
      <c r="V540" s="7" t="e">
        <f>IF(VLOOKUP($A540,'Concrete Beam Schedule'!$A$2:$Q$2902,V$2,0)&lt;&gt;F540,"Beam Revised","")</f>
        <v>#N/A</v>
      </c>
      <c r="W540" s="7" t="e">
        <f>IF(VLOOKUP($A540,'Concrete Beam Schedule'!$A$2:$Q$2902,W$2,0)&lt;&gt;G540,"Beam Revised","")</f>
        <v>#N/A</v>
      </c>
      <c r="X540" s="7" t="e">
        <f>IF(VLOOKUP($A540,'Concrete Beam Schedule'!$A$2:$Q$2902,X$2,0)&lt;&gt;H540,"Beam Revised","")</f>
        <v>#N/A</v>
      </c>
      <c r="Y540" s="7" t="e">
        <f>IF(VLOOKUP($A540,'Concrete Beam Schedule'!$A$2:$Q$2902,Y$2,0)&lt;&gt;I540,"Beam Revised","")</f>
        <v>#N/A</v>
      </c>
      <c r="Z540" s="7" t="e">
        <f>IF(VLOOKUP($A540,'Concrete Beam Schedule'!$A$2:$Q$2902,Z$2,0)&lt;&gt;J540,"Beam Revised","")</f>
        <v>#N/A</v>
      </c>
      <c r="AA540" s="7" t="e">
        <f>IF(VLOOKUP($A540,'Concrete Beam Schedule'!$A$2:$Q$2902,AA$2,0)&lt;&gt;K540,"Beam Revised","")</f>
        <v>#N/A</v>
      </c>
      <c r="AB540" s="7" t="e">
        <f>IF(VLOOKUP($A540,'Concrete Beam Schedule'!$A$2:$Q$2902,AB$2,0)&lt;&gt;L540,"Beam Revised","")</f>
        <v>#N/A</v>
      </c>
      <c r="AC540" s="7" t="e">
        <f>IF(VLOOKUP($A540,'Concrete Beam Schedule'!$A$2:$Q$2902,AC$2,0)&lt;&gt;M540,"Beam Revised","")</f>
        <v>#N/A</v>
      </c>
      <c r="AD540" s="7" t="e">
        <f>IF(VLOOKUP($A540,'Concrete Beam Schedule'!$A$2:$Q$2902,AD$2,0)&lt;&gt;N540,"Beam Revised","")</f>
        <v>#N/A</v>
      </c>
      <c r="AE540" s="7" t="e">
        <f>IF(VLOOKUP($A540,'Concrete Beam Schedule'!$A$2:$Q$2902,AE$2,0)&lt;&gt;O540,"Beam Revised","")</f>
        <v>#N/A</v>
      </c>
    </row>
    <row r="541" spans="17:31" ht="13.2" x14ac:dyDescent="0.25">
      <c r="Q541" s="7">
        <f t="shared" si="8"/>
        <v>0</v>
      </c>
      <c r="R541" s="7" t="e">
        <f>IF(VLOOKUP($A541,'Concrete Beam Schedule'!$A$2:$Q$2902,R$2,0)&lt;&gt;B541,VLOOKUP($A541,'Concrete Beam Schedule'!$A$2:$Q$2902,R$2,0),"")</f>
        <v>#N/A</v>
      </c>
      <c r="S541" s="7" t="e">
        <f>IF(VLOOKUP($A541,'Concrete Beam Schedule'!$A$2:$Q$2902,S$2,0)&lt;&gt;C541,VLOOKUP($A541,'Concrete Beam Schedule'!$A$2:$Q$2902,S$2,0),"")</f>
        <v>#N/A</v>
      </c>
      <c r="T541" s="7" t="e">
        <f>IF(VLOOKUP($A541,'Concrete Beam Schedule'!$A$2:$Q$2902,T$2,0)&lt;&gt;D541,"Beam Revised","")</f>
        <v>#N/A</v>
      </c>
      <c r="U541" s="7" t="e">
        <f>IF(VLOOKUP($A541,'Concrete Beam Schedule'!$A$2:$Q$2902,U$2,0)&lt;&gt;E541,"Beam Revised","")</f>
        <v>#N/A</v>
      </c>
      <c r="V541" s="7" t="e">
        <f>IF(VLOOKUP($A541,'Concrete Beam Schedule'!$A$2:$Q$2902,V$2,0)&lt;&gt;F541,"Beam Revised","")</f>
        <v>#N/A</v>
      </c>
      <c r="W541" s="7" t="e">
        <f>IF(VLOOKUP($A541,'Concrete Beam Schedule'!$A$2:$Q$2902,W$2,0)&lt;&gt;G541,"Beam Revised","")</f>
        <v>#N/A</v>
      </c>
      <c r="X541" s="7" t="e">
        <f>IF(VLOOKUP($A541,'Concrete Beam Schedule'!$A$2:$Q$2902,X$2,0)&lt;&gt;H541,"Beam Revised","")</f>
        <v>#N/A</v>
      </c>
      <c r="Y541" s="7" t="e">
        <f>IF(VLOOKUP($A541,'Concrete Beam Schedule'!$A$2:$Q$2902,Y$2,0)&lt;&gt;I541,"Beam Revised","")</f>
        <v>#N/A</v>
      </c>
      <c r="Z541" s="7" t="e">
        <f>IF(VLOOKUP($A541,'Concrete Beam Schedule'!$A$2:$Q$2902,Z$2,0)&lt;&gt;J541,"Beam Revised","")</f>
        <v>#N/A</v>
      </c>
      <c r="AA541" s="7" t="e">
        <f>IF(VLOOKUP($A541,'Concrete Beam Schedule'!$A$2:$Q$2902,AA$2,0)&lt;&gt;K541,"Beam Revised","")</f>
        <v>#N/A</v>
      </c>
      <c r="AB541" s="7" t="e">
        <f>IF(VLOOKUP($A541,'Concrete Beam Schedule'!$A$2:$Q$2902,AB$2,0)&lt;&gt;L541,"Beam Revised","")</f>
        <v>#N/A</v>
      </c>
      <c r="AC541" s="7" t="e">
        <f>IF(VLOOKUP($A541,'Concrete Beam Schedule'!$A$2:$Q$2902,AC$2,0)&lt;&gt;M541,"Beam Revised","")</f>
        <v>#N/A</v>
      </c>
      <c r="AD541" s="7" t="e">
        <f>IF(VLOOKUP($A541,'Concrete Beam Schedule'!$A$2:$Q$2902,AD$2,0)&lt;&gt;N541,"Beam Revised","")</f>
        <v>#N/A</v>
      </c>
      <c r="AE541" s="7" t="e">
        <f>IF(VLOOKUP($A541,'Concrete Beam Schedule'!$A$2:$Q$2902,AE$2,0)&lt;&gt;O541,"Beam Revised","")</f>
        <v>#N/A</v>
      </c>
    </row>
    <row r="542" spans="17:31" ht="13.2" x14ac:dyDescent="0.25">
      <c r="Q542" s="7">
        <f t="shared" si="8"/>
        <v>0</v>
      </c>
      <c r="R542" s="7" t="e">
        <f>IF(VLOOKUP($A542,'Concrete Beam Schedule'!$A$2:$Q$2902,R$2,0)&lt;&gt;B542,VLOOKUP($A542,'Concrete Beam Schedule'!$A$2:$Q$2902,R$2,0),"")</f>
        <v>#N/A</v>
      </c>
      <c r="S542" s="7" t="e">
        <f>IF(VLOOKUP($A542,'Concrete Beam Schedule'!$A$2:$Q$2902,S$2,0)&lt;&gt;C542,VLOOKUP($A542,'Concrete Beam Schedule'!$A$2:$Q$2902,S$2,0),"")</f>
        <v>#N/A</v>
      </c>
      <c r="T542" s="7" t="e">
        <f>IF(VLOOKUP($A542,'Concrete Beam Schedule'!$A$2:$Q$2902,T$2,0)&lt;&gt;D542,"Beam Revised","")</f>
        <v>#N/A</v>
      </c>
      <c r="U542" s="7" t="e">
        <f>IF(VLOOKUP($A542,'Concrete Beam Schedule'!$A$2:$Q$2902,U$2,0)&lt;&gt;E542,"Beam Revised","")</f>
        <v>#N/A</v>
      </c>
      <c r="V542" s="7" t="e">
        <f>IF(VLOOKUP($A542,'Concrete Beam Schedule'!$A$2:$Q$2902,V$2,0)&lt;&gt;F542,"Beam Revised","")</f>
        <v>#N/A</v>
      </c>
      <c r="W542" s="7" t="e">
        <f>IF(VLOOKUP($A542,'Concrete Beam Schedule'!$A$2:$Q$2902,W$2,0)&lt;&gt;G542,"Beam Revised","")</f>
        <v>#N/A</v>
      </c>
      <c r="X542" s="7" t="e">
        <f>IF(VLOOKUP($A542,'Concrete Beam Schedule'!$A$2:$Q$2902,X$2,0)&lt;&gt;H542,"Beam Revised","")</f>
        <v>#N/A</v>
      </c>
      <c r="Y542" s="7" t="e">
        <f>IF(VLOOKUP($A542,'Concrete Beam Schedule'!$A$2:$Q$2902,Y$2,0)&lt;&gt;I542,"Beam Revised","")</f>
        <v>#N/A</v>
      </c>
      <c r="Z542" s="7" t="e">
        <f>IF(VLOOKUP($A542,'Concrete Beam Schedule'!$A$2:$Q$2902,Z$2,0)&lt;&gt;J542,"Beam Revised","")</f>
        <v>#N/A</v>
      </c>
      <c r="AA542" s="7" t="e">
        <f>IF(VLOOKUP($A542,'Concrete Beam Schedule'!$A$2:$Q$2902,AA$2,0)&lt;&gt;K542,"Beam Revised","")</f>
        <v>#N/A</v>
      </c>
      <c r="AB542" s="7" t="e">
        <f>IF(VLOOKUP($A542,'Concrete Beam Schedule'!$A$2:$Q$2902,AB$2,0)&lt;&gt;L542,"Beam Revised","")</f>
        <v>#N/A</v>
      </c>
      <c r="AC542" s="7" t="e">
        <f>IF(VLOOKUP($A542,'Concrete Beam Schedule'!$A$2:$Q$2902,AC$2,0)&lt;&gt;M542,"Beam Revised","")</f>
        <v>#N/A</v>
      </c>
      <c r="AD542" s="7" t="e">
        <f>IF(VLOOKUP($A542,'Concrete Beam Schedule'!$A$2:$Q$2902,AD$2,0)&lt;&gt;N542,"Beam Revised","")</f>
        <v>#N/A</v>
      </c>
      <c r="AE542" s="7" t="e">
        <f>IF(VLOOKUP($A542,'Concrete Beam Schedule'!$A$2:$Q$2902,AE$2,0)&lt;&gt;O542,"Beam Revised","")</f>
        <v>#N/A</v>
      </c>
    </row>
    <row r="543" spans="17:31" ht="13.2" x14ac:dyDescent="0.25">
      <c r="Q543" s="7">
        <f t="shared" si="8"/>
        <v>0</v>
      </c>
      <c r="R543" s="7" t="e">
        <f>IF(VLOOKUP($A543,'Concrete Beam Schedule'!$A$2:$Q$2902,R$2,0)&lt;&gt;B543,VLOOKUP($A543,'Concrete Beam Schedule'!$A$2:$Q$2902,R$2,0),"")</f>
        <v>#N/A</v>
      </c>
      <c r="S543" s="7" t="e">
        <f>IF(VLOOKUP($A543,'Concrete Beam Schedule'!$A$2:$Q$2902,S$2,0)&lt;&gt;C543,VLOOKUP($A543,'Concrete Beam Schedule'!$A$2:$Q$2902,S$2,0),"")</f>
        <v>#N/A</v>
      </c>
      <c r="T543" s="7" t="e">
        <f>IF(VLOOKUP($A543,'Concrete Beam Schedule'!$A$2:$Q$2902,T$2,0)&lt;&gt;D543,"Beam Revised","")</f>
        <v>#N/A</v>
      </c>
      <c r="U543" s="7" t="e">
        <f>IF(VLOOKUP($A543,'Concrete Beam Schedule'!$A$2:$Q$2902,U$2,0)&lt;&gt;E543,"Beam Revised","")</f>
        <v>#N/A</v>
      </c>
      <c r="V543" s="7" t="e">
        <f>IF(VLOOKUP($A543,'Concrete Beam Schedule'!$A$2:$Q$2902,V$2,0)&lt;&gt;F543,"Beam Revised","")</f>
        <v>#N/A</v>
      </c>
      <c r="W543" s="7" t="e">
        <f>IF(VLOOKUP($A543,'Concrete Beam Schedule'!$A$2:$Q$2902,W$2,0)&lt;&gt;G543,"Beam Revised","")</f>
        <v>#N/A</v>
      </c>
      <c r="X543" s="7" t="e">
        <f>IF(VLOOKUP($A543,'Concrete Beam Schedule'!$A$2:$Q$2902,X$2,0)&lt;&gt;H543,"Beam Revised","")</f>
        <v>#N/A</v>
      </c>
      <c r="Y543" s="7" t="e">
        <f>IF(VLOOKUP($A543,'Concrete Beam Schedule'!$A$2:$Q$2902,Y$2,0)&lt;&gt;I543,"Beam Revised","")</f>
        <v>#N/A</v>
      </c>
      <c r="Z543" s="7" t="e">
        <f>IF(VLOOKUP($A543,'Concrete Beam Schedule'!$A$2:$Q$2902,Z$2,0)&lt;&gt;J543,"Beam Revised","")</f>
        <v>#N/A</v>
      </c>
      <c r="AA543" s="7" t="e">
        <f>IF(VLOOKUP($A543,'Concrete Beam Schedule'!$A$2:$Q$2902,AA$2,0)&lt;&gt;K543,"Beam Revised","")</f>
        <v>#N/A</v>
      </c>
      <c r="AB543" s="7" t="e">
        <f>IF(VLOOKUP($A543,'Concrete Beam Schedule'!$A$2:$Q$2902,AB$2,0)&lt;&gt;L543,"Beam Revised","")</f>
        <v>#N/A</v>
      </c>
      <c r="AC543" s="7" t="e">
        <f>IF(VLOOKUP($A543,'Concrete Beam Schedule'!$A$2:$Q$2902,AC$2,0)&lt;&gt;M543,"Beam Revised","")</f>
        <v>#N/A</v>
      </c>
      <c r="AD543" s="7" t="e">
        <f>IF(VLOOKUP($A543,'Concrete Beam Schedule'!$A$2:$Q$2902,AD$2,0)&lt;&gt;N543,"Beam Revised","")</f>
        <v>#N/A</v>
      </c>
      <c r="AE543" s="7" t="e">
        <f>IF(VLOOKUP($A543,'Concrete Beam Schedule'!$A$2:$Q$2902,AE$2,0)&lt;&gt;O543,"Beam Revised","")</f>
        <v>#N/A</v>
      </c>
    </row>
    <row r="544" spans="17:31" ht="13.2" x14ac:dyDescent="0.25">
      <c r="Q544" s="7">
        <f t="shared" si="8"/>
        <v>0</v>
      </c>
      <c r="R544" s="7" t="e">
        <f>IF(VLOOKUP($A544,'Concrete Beam Schedule'!$A$2:$Q$2902,R$2,0)&lt;&gt;B544,VLOOKUP($A544,'Concrete Beam Schedule'!$A$2:$Q$2902,R$2,0),"")</f>
        <v>#N/A</v>
      </c>
      <c r="S544" s="7" t="e">
        <f>IF(VLOOKUP($A544,'Concrete Beam Schedule'!$A$2:$Q$2902,S$2,0)&lt;&gt;C544,VLOOKUP($A544,'Concrete Beam Schedule'!$A$2:$Q$2902,S$2,0),"")</f>
        <v>#N/A</v>
      </c>
      <c r="T544" s="7" t="e">
        <f>IF(VLOOKUP($A544,'Concrete Beam Schedule'!$A$2:$Q$2902,T$2,0)&lt;&gt;D544,"Beam Revised","")</f>
        <v>#N/A</v>
      </c>
      <c r="U544" s="7" t="e">
        <f>IF(VLOOKUP($A544,'Concrete Beam Schedule'!$A$2:$Q$2902,U$2,0)&lt;&gt;E544,"Beam Revised","")</f>
        <v>#N/A</v>
      </c>
      <c r="V544" s="7" t="e">
        <f>IF(VLOOKUP($A544,'Concrete Beam Schedule'!$A$2:$Q$2902,V$2,0)&lt;&gt;F544,"Beam Revised","")</f>
        <v>#N/A</v>
      </c>
      <c r="W544" s="7" t="e">
        <f>IF(VLOOKUP($A544,'Concrete Beam Schedule'!$A$2:$Q$2902,W$2,0)&lt;&gt;G544,"Beam Revised","")</f>
        <v>#N/A</v>
      </c>
      <c r="X544" s="7" t="e">
        <f>IF(VLOOKUP($A544,'Concrete Beam Schedule'!$A$2:$Q$2902,X$2,0)&lt;&gt;H544,"Beam Revised","")</f>
        <v>#N/A</v>
      </c>
      <c r="Y544" s="7" t="e">
        <f>IF(VLOOKUP($A544,'Concrete Beam Schedule'!$A$2:$Q$2902,Y$2,0)&lt;&gt;I544,"Beam Revised","")</f>
        <v>#N/A</v>
      </c>
      <c r="Z544" s="7" t="e">
        <f>IF(VLOOKUP($A544,'Concrete Beam Schedule'!$A$2:$Q$2902,Z$2,0)&lt;&gt;J544,"Beam Revised","")</f>
        <v>#N/A</v>
      </c>
      <c r="AA544" s="7" t="e">
        <f>IF(VLOOKUP($A544,'Concrete Beam Schedule'!$A$2:$Q$2902,AA$2,0)&lt;&gt;K544,"Beam Revised","")</f>
        <v>#N/A</v>
      </c>
      <c r="AB544" s="7" t="e">
        <f>IF(VLOOKUP($A544,'Concrete Beam Schedule'!$A$2:$Q$2902,AB$2,0)&lt;&gt;L544,"Beam Revised","")</f>
        <v>#N/A</v>
      </c>
      <c r="AC544" s="7" t="e">
        <f>IF(VLOOKUP($A544,'Concrete Beam Schedule'!$A$2:$Q$2902,AC$2,0)&lt;&gt;M544,"Beam Revised","")</f>
        <v>#N/A</v>
      </c>
      <c r="AD544" s="7" t="e">
        <f>IF(VLOOKUP($A544,'Concrete Beam Schedule'!$A$2:$Q$2902,AD$2,0)&lt;&gt;N544,"Beam Revised","")</f>
        <v>#N/A</v>
      </c>
      <c r="AE544" s="7" t="e">
        <f>IF(VLOOKUP($A544,'Concrete Beam Schedule'!$A$2:$Q$2902,AE$2,0)&lt;&gt;O544,"Beam Revised","")</f>
        <v>#N/A</v>
      </c>
    </row>
    <row r="545" spans="17:31" ht="13.2" x14ac:dyDescent="0.25">
      <c r="Q545" s="7">
        <f t="shared" si="8"/>
        <v>0</v>
      </c>
      <c r="R545" s="7" t="e">
        <f>IF(VLOOKUP($A545,'Concrete Beam Schedule'!$A$2:$Q$2902,R$2,0)&lt;&gt;B545,VLOOKUP($A545,'Concrete Beam Schedule'!$A$2:$Q$2902,R$2,0),"")</f>
        <v>#N/A</v>
      </c>
      <c r="S545" s="7" t="e">
        <f>IF(VLOOKUP($A545,'Concrete Beam Schedule'!$A$2:$Q$2902,S$2,0)&lt;&gt;C545,VLOOKUP($A545,'Concrete Beam Schedule'!$A$2:$Q$2902,S$2,0),"")</f>
        <v>#N/A</v>
      </c>
      <c r="T545" s="7" t="e">
        <f>IF(VLOOKUP($A545,'Concrete Beam Schedule'!$A$2:$Q$2902,T$2,0)&lt;&gt;D545,"Beam Revised","")</f>
        <v>#N/A</v>
      </c>
      <c r="U545" s="7" t="e">
        <f>IF(VLOOKUP($A545,'Concrete Beam Schedule'!$A$2:$Q$2902,U$2,0)&lt;&gt;E545,"Beam Revised","")</f>
        <v>#N/A</v>
      </c>
      <c r="V545" s="7" t="e">
        <f>IF(VLOOKUP($A545,'Concrete Beam Schedule'!$A$2:$Q$2902,V$2,0)&lt;&gt;F545,"Beam Revised","")</f>
        <v>#N/A</v>
      </c>
      <c r="W545" s="7" t="e">
        <f>IF(VLOOKUP($A545,'Concrete Beam Schedule'!$A$2:$Q$2902,W$2,0)&lt;&gt;G545,"Beam Revised","")</f>
        <v>#N/A</v>
      </c>
      <c r="X545" s="7" t="e">
        <f>IF(VLOOKUP($A545,'Concrete Beam Schedule'!$A$2:$Q$2902,X$2,0)&lt;&gt;H545,"Beam Revised","")</f>
        <v>#N/A</v>
      </c>
      <c r="Y545" s="7" t="e">
        <f>IF(VLOOKUP($A545,'Concrete Beam Schedule'!$A$2:$Q$2902,Y$2,0)&lt;&gt;I545,"Beam Revised","")</f>
        <v>#N/A</v>
      </c>
      <c r="Z545" s="7" t="e">
        <f>IF(VLOOKUP($A545,'Concrete Beam Schedule'!$A$2:$Q$2902,Z$2,0)&lt;&gt;J545,"Beam Revised","")</f>
        <v>#N/A</v>
      </c>
      <c r="AA545" s="7" t="e">
        <f>IF(VLOOKUP($A545,'Concrete Beam Schedule'!$A$2:$Q$2902,AA$2,0)&lt;&gt;K545,"Beam Revised","")</f>
        <v>#N/A</v>
      </c>
      <c r="AB545" s="7" t="e">
        <f>IF(VLOOKUP($A545,'Concrete Beam Schedule'!$A$2:$Q$2902,AB$2,0)&lt;&gt;L545,"Beam Revised","")</f>
        <v>#N/A</v>
      </c>
      <c r="AC545" s="7" t="e">
        <f>IF(VLOOKUP($A545,'Concrete Beam Schedule'!$A$2:$Q$2902,AC$2,0)&lt;&gt;M545,"Beam Revised","")</f>
        <v>#N/A</v>
      </c>
      <c r="AD545" s="7" t="e">
        <f>IF(VLOOKUP($A545,'Concrete Beam Schedule'!$A$2:$Q$2902,AD$2,0)&lt;&gt;N545,"Beam Revised","")</f>
        <v>#N/A</v>
      </c>
      <c r="AE545" s="7" t="e">
        <f>IF(VLOOKUP($A545,'Concrete Beam Schedule'!$A$2:$Q$2902,AE$2,0)&lt;&gt;O545,"Beam Revised","")</f>
        <v>#N/A</v>
      </c>
    </row>
    <row r="546" spans="17:31" ht="13.2" x14ac:dyDescent="0.25">
      <c r="Q546" s="7">
        <f t="shared" si="8"/>
        <v>0</v>
      </c>
      <c r="R546" s="7" t="e">
        <f>IF(VLOOKUP($A546,'Concrete Beam Schedule'!$A$2:$Q$2902,R$2,0)&lt;&gt;B546,VLOOKUP($A546,'Concrete Beam Schedule'!$A$2:$Q$2902,R$2,0),"")</f>
        <v>#N/A</v>
      </c>
      <c r="S546" s="7" t="e">
        <f>IF(VLOOKUP($A546,'Concrete Beam Schedule'!$A$2:$Q$2902,S$2,0)&lt;&gt;C546,VLOOKUP($A546,'Concrete Beam Schedule'!$A$2:$Q$2902,S$2,0),"")</f>
        <v>#N/A</v>
      </c>
      <c r="T546" s="7" t="e">
        <f>IF(VLOOKUP($A546,'Concrete Beam Schedule'!$A$2:$Q$2902,T$2,0)&lt;&gt;D546,"Beam Revised","")</f>
        <v>#N/A</v>
      </c>
      <c r="U546" s="7" t="e">
        <f>IF(VLOOKUP($A546,'Concrete Beam Schedule'!$A$2:$Q$2902,U$2,0)&lt;&gt;E546,"Beam Revised","")</f>
        <v>#N/A</v>
      </c>
      <c r="V546" s="7" t="e">
        <f>IF(VLOOKUP($A546,'Concrete Beam Schedule'!$A$2:$Q$2902,V$2,0)&lt;&gt;F546,"Beam Revised","")</f>
        <v>#N/A</v>
      </c>
      <c r="W546" s="7" t="e">
        <f>IF(VLOOKUP($A546,'Concrete Beam Schedule'!$A$2:$Q$2902,W$2,0)&lt;&gt;G546,"Beam Revised","")</f>
        <v>#N/A</v>
      </c>
      <c r="X546" s="7" t="e">
        <f>IF(VLOOKUP($A546,'Concrete Beam Schedule'!$A$2:$Q$2902,X$2,0)&lt;&gt;H546,"Beam Revised","")</f>
        <v>#N/A</v>
      </c>
      <c r="Y546" s="7" t="e">
        <f>IF(VLOOKUP($A546,'Concrete Beam Schedule'!$A$2:$Q$2902,Y$2,0)&lt;&gt;I546,"Beam Revised","")</f>
        <v>#N/A</v>
      </c>
      <c r="Z546" s="7" t="e">
        <f>IF(VLOOKUP($A546,'Concrete Beam Schedule'!$A$2:$Q$2902,Z$2,0)&lt;&gt;J546,"Beam Revised","")</f>
        <v>#N/A</v>
      </c>
      <c r="AA546" s="7" t="e">
        <f>IF(VLOOKUP($A546,'Concrete Beam Schedule'!$A$2:$Q$2902,AA$2,0)&lt;&gt;K546,"Beam Revised","")</f>
        <v>#N/A</v>
      </c>
      <c r="AB546" s="7" t="e">
        <f>IF(VLOOKUP($A546,'Concrete Beam Schedule'!$A$2:$Q$2902,AB$2,0)&lt;&gt;L546,"Beam Revised","")</f>
        <v>#N/A</v>
      </c>
      <c r="AC546" s="7" t="e">
        <f>IF(VLOOKUP($A546,'Concrete Beam Schedule'!$A$2:$Q$2902,AC$2,0)&lt;&gt;M546,"Beam Revised","")</f>
        <v>#N/A</v>
      </c>
      <c r="AD546" s="7" t="e">
        <f>IF(VLOOKUP($A546,'Concrete Beam Schedule'!$A$2:$Q$2902,AD$2,0)&lt;&gt;N546,"Beam Revised","")</f>
        <v>#N/A</v>
      </c>
      <c r="AE546" s="7" t="e">
        <f>IF(VLOOKUP($A546,'Concrete Beam Schedule'!$A$2:$Q$2902,AE$2,0)&lt;&gt;O546,"Beam Revised","")</f>
        <v>#N/A</v>
      </c>
    </row>
    <row r="547" spans="17:31" ht="13.2" x14ac:dyDescent="0.25">
      <c r="Q547" s="7">
        <f t="shared" si="8"/>
        <v>0</v>
      </c>
      <c r="R547" s="7" t="e">
        <f>IF(VLOOKUP($A547,'Concrete Beam Schedule'!$A$2:$Q$2902,R$2,0)&lt;&gt;B547,VLOOKUP($A547,'Concrete Beam Schedule'!$A$2:$Q$2902,R$2,0),"")</f>
        <v>#N/A</v>
      </c>
      <c r="S547" s="7" t="e">
        <f>IF(VLOOKUP($A547,'Concrete Beam Schedule'!$A$2:$Q$2902,S$2,0)&lt;&gt;C547,VLOOKUP($A547,'Concrete Beam Schedule'!$A$2:$Q$2902,S$2,0),"")</f>
        <v>#N/A</v>
      </c>
      <c r="T547" s="7" t="e">
        <f>IF(VLOOKUP($A547,'Concrete Beam Schedule'!$A$2:$Q$2902,T$2,0)&lt;&gt;D547,"Beam Revised","")</f>
        <v>#N/A</v>
      </c>
      <c r="U547" s="7" t="e">
        <f>IF(VLOOKUP($A547,'Concrete Beam Schedule'!$A$2:$Q$2902,U$2,0)&lt;&gt;E547,"Beam Revised","")</f>
        <v>#N/A</v>
      </c>
      <c r="V547" s="7" t="e">
        <f>IF(VLOOKUP($A547,'Concrete Beam Schedule'!$A$2:$Q$2902,V$2,0)&lt;&gt;F547,"Beam Revised","")</f>
        <v>#N/A</v>
      </c>
      <c r="W547" s="7" t="e">
        <f>IF(VLOOKUP($A547,'Concrete Beam Schedule'!$A$2:$Q$2902,W$2,0)&lt;&gt;G547,"Beam Revised","")</f>
        <v>#N/A</v>
      </c>
      <c r="X547" s="7" t="e">
        <f>IF(VLOOKUP($A547,'Concrete Beam Schedule'!$A$2:$Q$2902,X$2,0)&lt;&gt;H547,"Beam Revised","")</f>
        <v>#N/A</v>
      </c>
      <c r="Y547" s="7" t="e">
        <f>IF(VLOOKUP($A547,'Concrete Beam Schedule'!$A$2:$Q$2902,Y$2,0)&lt;&gt;I547,"Beam Revised","")</f>
        <v>#N/A</v>
      </c>
      <c r="Z547" s="7" t="e">
        <f>IF(VLOOKUP($A547,'Concrete Beam Schedule'!$A$2:$Q$2902,Z$2,0)&lt;&gt;J547,"Beam Revised","")</f>
        <v>#N/A</v>
      </c>
      <c r="AA547" s="7" t="e">
        <f>IF(VLOOKUP($A547,'Concrete Beam Schedule'!$A$2:$Q$2902,AA$2,0)&lt;&gt;K547,"Beam Revised","")</f>
        <v>#N/A</v>
      </c>
      <c r="AB547" s="7" t="e">
        <f>IF(VLOOKUP($A547,'Concrete Beam Schedule'!$A$2:$Q$2902,AB$2,0)&lt;&gt;L547,"Beam Revised","")</f>
        <v>#N/A</v>
      </c>
      <c r="AC547" s="7" t="e">
        <f>IF(VLOOKUP($A547,'Concrete Beam Schedule'!$A$2:$Q$2902,AC$2,0)&lt;&gt;M547,"Beam Revised","")</f>
        <v>#N/A</v>
      </c>
      <c r="AD547" s="7" t="e">
        <f>IF(VLOOKUP($A547,'Concrete Beam Schedule'!$A$2:$Q$2902,AD$2,0)&lt;&gt;N547,"Beam Revised","")</f>
        <v>#N/A</v>
      </c>
      <c r="AE547" s="7" t="e">
        <f>IF(VLOOKUP($A547,'Concrete Beam Schedule'!$A$2:$Q$2902,AE$2,0)&lt;&gt;O547,"Beam Revised","")</f>
        <v>#N/A</v>
      </c>
    </row>
    <row r="548" spans="17:31" ht="13.2" x14ac:dyDescent="0.25">
      <c r="Q548" s="7">
        <f t="shared" si="8"/>
        <v>0</v>
      </c>
      <c r="R548" s="7" t="e">
        <f>IF(VLOOKUP($A548,'Concrete Beam Schedule'!$A$2:$Q$2902,R$2,0)&lt;&gt;B548,VLOOKUP($A548,'Concrete Beam Schedule'!$A$2:$Q$2902,R$2,0),"")</f>
        <v>#N/A</v>
      </c>
      <c r="S548" s="7" t="e">
        <f>IF(VLOOKUP($A548,'Concrete Beam Schedule'!$A$2:$Q$2902,S$2,0)&lt;&gt;C548,VLOOKUP($A548,'Concrete Beam Schedule'!$A$2:$Q$2902,S$2,0),"")</f>
        <v>#N/A</v>
      </c>
      <c r="T548" s="7" t="e">
        <f>IF(VLOOKUP($A548,'Concrete Beam Schedule'!$A$2:$Q$2902,T$2,0)&lt;&gt;D548,"Beam Revised","")</f>
        <v>#N/A</v>
      </c>
      <c r="U548" s="7" t="e">
        <f>IF(VLOOKUP($A548,'Concrete Beam Schedule'!$A$2:$Q$2902,U$2,0)&lt;&gt;E548,"Beam Revised","")</f>
        <v>#N/A</v>
      </c>
      <c r="V548" s="7" t="e">
        <f>IF(VLOOKUP($A548,'Concrete Beam Schedule'!$A$2:$Q$2902,V$2,0)&lt;&gt;F548,"Beam Revised","")</f>
        <v>#N/A</v>
      </c>
      <c r="W548" s="7" t="e">
        <f>IF(VLOOKUP($A548,'Concrete Beam Schedule'!$A$2:$Q$2902,W$2,0)&lt;&gt;G548,"Beam Revised","")</f>
        <v>#N/A</v>
      </c>
      <c r="X548" s="7" t="e">
        <f>IF(VLOOKUP($A548,'Concrete Beam Schedule'!$A$2:$Q$2902,X$2,0)&lt;&gt;H548,"Beam Revised","")</f>
        <v>#N/A</v>
      </c>
      <c r="Y548" s="7" t="e">
        <f>IF(VLOOKUP($A548,'Concrete Beam Schedule'!$A$2:$Q$2902,Y$2,0)&lt;&gt;I548,"Beam Revised","")</f>
        <v>#N/A</v>
      </c>
      <c r="Z548" s="7" t="e">
        <f>IF(VLOOKUP($A548,'Concrete Beam Schedule'!$A$2:$Q$2902,Z$2,0)&lt;&gt;J548,"Beam Revised","")</f>
        <v>#N/A</v>
      </c>
      <c r="AA548" s="7" t="e">
        <f>IF(VLOOKUP($A548,'Concrete Beam Schedule'!$A$2:$Q$2902,AA$2,0)&lt;&gt;K548,"Beam Revised","")</f>
        <v>#N/A</v>
      </c>
      <c r="AB548" s="7" t="e">
        <f>IF(VLOOKUP($A548,'Concrete Beam Schedule'!$A$2:$Q$2902,AB$2,0)&lt;&gt;L548,"Beam Revised","")</f>
        <v>#N/A</v>
      </c>
      <c r="AC548" s="7" t="e">
        <f>IF(VLOOKUP($A548,'Concrete Beam Schedule'!$A$2:$Q$2902,AC$2,0)&lt;&gt;M548,"Beam Revised","")</f>
        <v>#N/A</v>
      </c>
      <c r="AD548" s="7" t="e">
        <f>IF(VLOOKUP($A548,'Concrete Beam Schedule'!$A$2:$Q$2902,AD$2,0)&lt;&gt;N548,"Beam Revised","")</f>
        <v>#N/A</v>
      </c>
      <c r="AE548" s="7" t="e">
        <f>IF(VLOOKUP($A548,'Concrete Beam Schedule'!$A$2:$Q$2902,AE$2,0)&lt;&gt;O548,"Beam Revised","")</f>
        <v>#N/A</v>
      </c>
    </row>
    <row r="549" spans="17:31" ht="13.2" x14ac:dyDescent="0.25">
      <c r="Q549" s="7">
        <f t="shared" si="8"/>
        <v>0</v>
      </c>
      <c r="R549" s="7" t="e">
        <f>IF(VLOOKUP($A549,'Concrete Beam Schedule'!$A$2:$Q$2902,R$2,0)&lt;&gt;B549,VLOOKUP($A549,'Concrete Beam Schedule'!$A$2:$Q$2902,R$2,0),"")</f>
        <v>#N/A</v>
      </c>
      <c r="S549" s="7" t="e">
        <f>IF(VLOOKUP($A549,'Concrete Beam Schedule'!$A$2:$Q$2902,S$2,0)&lt;&gt;C549,VLOOKUP($A549,'Concrete Beam Schedule'!$A$2:$Q$2902,S$2,0),"")</f>
        <v>#N/A</v>
      </c>
      <c r="T549" s="7" t="e">
        <f>IF(VLOOKUP($A549,'Concrete Beam Schedule'!$A$2:$Q$2902,T$2,0)&lt;&gt;D549,"Beam Revised","")</f>
        <v>#N/A</v>
      </c>
      <c r="U549" s="7" t="e">
        <f>IF(VLOOKUP($A549,'Concrete Beam Schedule'!$A$2:$Q$2902,U$2,0)&lt;&gt;E549,"Beam Revised","")</f>
        <v>#N/A</v>
      </c>
      <c r="V549" s="7" t="e">
        <f>IF(VLOOKUP($A549,'Concrete Beam Schedule'!$A$2:$Q$2902,V$2,0)&lt;&gt;F549,"Beam Revised","")</f>
        <v>#N/A</v>
      </c>
      <c r="W549" s="7" t="e">
        <f>IF(VLOOKUP($A549,'Concrete Beam Schedule'!$A$2:$Q$2902,W$2,0)&lt;&gt;G549,"Beam Revised","")</f>
        <v>#N/A</v>
      </c>
      <c r="X549" s="7" t="e">
        <f>IF(VLOOKUP($A549,'Concrete Beam Schedule'!$A$2:$Q$2902,X$2,0)&lt;&gt;H549,"Beam Revised","")</f>
        <v>#N/A</v>
      </c>
      <c r="Y549" s="7" t="e">
        <f>IF(VLOOKUP($A549,'Concrete Beam Schedule'!$A$2:$Q$2902,Y$2,0)&lt;&gt;I549,"Beam Revised","")</f>
        <v>#N/A</v>
      </c>
      <c r="Z549" s="7" t="e">
        <f>IF(VLOOKUP($A549,'Concrete Beam Schedule'!$A$2:$Q$2902,Z$2,0)&lt;&gt;J549,"Beam Revised","")</f>
        <v>#N/A</v>
      </c>
      <c r="AA549" s="7" t="e">
        <f>IF(VLOOKUP($A549,'Concrete Beam Schedule'!$A$2:$Q$2902,AA$2,0)&lt;&gt;K549,"Beam Revised","")</f>
        <v>#N/A</v>
      </c>
      <c r="AB549" s="7" t="e">
        <f>IF(VLOOKUP($A549,'Concrete Beam Schedule'!$A$2:$Q$2902,AB$2,0)&lt;&gt;L549,"Beam Revised","")</f>
        <v>#N/A</v>
      </c>
      <c r="AC549" s="7" t="e">
        <f>IF(VLOOKUP($A549,'Concrete Beam Schedule'!$A$2:$Q$2902,AC$2,0)&lt;&gt;M549,"Beam Revised","")</f>
        <v>#N/A</v>
      </c>
      <c r="AD549" s="7" t="e">
        <f>IF(VLOOKUP($A549,'Concrete Beam Schedule'!$A$2:$Q$2902,AD$2,0)&lt;&gt;N549,"Beam Revised","")</f>
        <v>#N/A</v>
      </c>
      <c r="AE549" s="7" t="e">
        <f>IF(VLOOKUP($A549,'Concrete Beam Schedule'!$A$2:$Q$2902,AE$2,0)&lt;&gt;O549,"Beam Revised","")</f>
        <v>#N/A</v>
      </c>
    </row>
    <row r="550" spans="17:31" ht="13.2" x14ac:dyDescent="0.25">
      <c r="Q550" s="7">
        <f t="shared" si="8"/>
        <v>0</v>
      </c>
      <c r="R550" s="7" t="e">
        <f>IF(VLOOKUP($A550,'Concrete Beam Schedule'!$A$2:$Q$2902,R$2,0)&lt;&gt;B550,VLOOKUP($A550,'Concrete Beam Schedule'!$A$2:$Q$2902,R$2,0),"")</f>
        <v>#N/A</v>
      </c>
      <c r="S550" s="7" t="e">
        <f>IF(VLOOKUP($A550,'Concrete Beam Schedule'!$A$2:$Q$2902,S$2,0)&lt;&gt;C550,VLOOKUP($A550,'Concrete Beam Schedule'!$A$2:$Q$2902,S$2,0),"")</f>
        <v>#N/A</v>
      </c>
      <c r="T550" s="7" t="e">
        <f>IF(VLOOKUP($A550,'Concrete Beam Schedule'!$A$2:$Q$2902,T$2,0)&lt;&gt;D550,"Beam Revised","")</f>
        <v>#N/A</v>
      </c>
      <c r="U550" s="7" t="e">
        <f>IF(VLOOKUP($A550,'Concrete Beam Schedule'!$A$2:$Q$2902,U$2,0)&lt;&gt;E550,"Beam Revised","")</f>
        <v>#N/A</v>
      </c>
      <c r="V550" s="7" t="e">
        <f>IF(VLOOKUP($A550,'Concrete Beam Schedule'!$A$2:$Q$2902,V$2,0)&lt;&gt;F550,"Beam Revised","")</f>
        <v>#N/A</v>
      </c>
      <c r="W550" s="7" t="e">
        <f>IF(VLOOKUP($A550,'Concrete Beam Schedule'!$A$2:$Q$2902,W$2,0)&lt;&gt;G550,"Beam Revised","")</f>
        <v>#N/A</v>
      </c>
      <c r="X550" s="7" t="e">
        <f>IF(VLOOKUP($A550,'Concrete Beam Schedule'!$A$2:$Q$2902,X$2,0)&lt;&gt;H550,"Beam Revised","")</f>
        <v>#N/A</v>
      </c>
      <c r="Y550" s="7" t="e">
        <f>IF(VLOOKUP($A550,'Concrete Beam Schedule'!$A$2:$Q$2902,Y$2,0)&lt;&gt;I550,"Beam Revised","")</f>
        <v>#N/A</v>
      </c>
      <c r="Z550" s="7" t="e">
        <f>IF(VLOOKUP($A550,'Concrete Beam Schedule'!$A$2:$Q$2902,Z$2,0)&lt;&gt;J550,"Beam Revised","")</f>
        <v>#N/A</v>
      </c>
      <c r="AA550" s="7" t="e">
        <f>IF(VLOOKUP($A550,'Concrete Beam Schedule'!$A$2:$Q$2902,AA$2,0)&lt;&gt;K550,"Beam Revised","")</f>
        <v>#N/A</v>
      </c>
      <c r="AB550" s="7" t="e">
        <f>IF(VLOOKUP($A550,'Concrete Beam Schedule'!$A$2:$Q$2902,AB$2,0)&lt;&gt;L550,"Beam Revised","")</f>
        <v>#N/A</v>
      </c>
      <c r="AC550" s="7" t="e">
        <f>IF(VLOOKUP($A550,'Concrete Beam Schedule'!$A$2:$Q$2902,AC$2,0)&lt;&gt;M550,"Beam Revised","")</f>
        <v>#N/A</v>
      </c>
      <c r="AD550" s="7" t="e">
        <f>IF(VLOOKUP($A550,'Concrete Beam Schedule'!$A$2:$Q$2902,AD$2,0)&lt;&gt;N550,"Beam Revised","")</f>
        <v>#N/A</v>
      </c>
      <c r="AE550" s="7" t="e">
        <f>IF(VLOOKUP($A550,'Concrete Beam Schedule'!$A$2:$Q$2902,AE$2,0)&lt;&gt;O550,"Beam Revised","")</f>
        <v>#N/A</v>
      </c>
    </row>
    <row r="551" spans="17:31" ht="13.2" x14ac:dyDescent="0.25">
      <c r="Q551" s="7">
        <f t="shared" si="8"/>
        <v>0</v>
      </c>
      <c r="R551" s="7" t="e">
        <f>IF(VLOOKUP($A551,'Concrete Beam Schedule'!$A$2:$Q$2902,R$2,0)&lt;&gt;B551,VLOOKUP($A551,'Concrete Beam Schedule'!$A$2:$Q$2902,R$2,0),"")</f>
        <v>#N/A</v>
      </c>
      <c r="S551" s="7" t="e">
        <f>IF(VLOOKUP($A551,'Concrete Beam Schedule'!$A$2:$Q$2902,S$2,0)&lt;&gt;C551,VLOOKUP($A551,'Concrete Beam Schedule'!$A$2:$Q$2902,S$2,0),"")</f>
        <v>#N/A</v>
      </c>
      <c r="T551" s="7" t="e">
        <f>IF(VLOOKUP($A551,'Concrete Beam Schedule'!$A$2:$Q$2902,T$2,0)&lt;&gt;D551,"Beam Revised","")</f>
        <v>#N/A</v>
      </c>
      <c r="U551" s="7" t="e">
        <f>IF(VLOOKUP($A551,'Concrete Beam Schedule'!$A$2:$Q$2902,U$2,0)&lt;&gt;E551,"Beam Revised","")</f>
        <v>#N/A</v>
      </c>
      <c r="V551" s="7" t="e">
        <f>IF(VLOOKUP($A551,'Concrete Beam Schedule'!$A$2:$Q$2902,V$2,0)&lt;&gt;F551,"Beam Revised","")</f>
        <v>#N/A</v>
      </c>
      <c r="W551" s="7" t="e">
        <f>IF(VLOOKUP($A551,'Concrete Beam Schedule'!$A$2:$Q$2902,W$2,0)&lt;&gt;G551,"Beam Revised","")</f>
        <v>#N/A</v>
      </c>
      <c r="X551" s="7" t="e">
        <f>IF(VLOOKUP($A551,'Concrete Beam Schedule'!$A$2:$Q$2902,X$2,0)&lt;&gt;H551,"Beam Revised","")</f>
        <v>#N/A</v>
      </c>
      <c r="Y551" s="7" t="e">
        <f>IF(VLOOKUP($A551,'Concrete Beam Schedule'!$A$2:$Q$2902,Y$2,0)&lt;&gt;I551,"Beam Revised","")</f>
        <v>#N/A</v>
      </c>
      <c r="Z551" s="7" t="e">
        <f>IF(VLOOKUP($A551,'Concrete Beam Schedule'!$A$2:$Q$2902,Z$2,0)&lt;&gt;J551,"Beam Revised","")</f>
        <v>#N/A</v>
      </c>
      <c r="AA551" s="7" t="e">
        <f>IF(VLOOKUP($A551,'Concrete Beam Schedule'!$A$2:$Q$2902,AA$2,0)&lt;&gt;K551,"Beam Revised","")</f>
        <v>#N/A</v>
      </c>
      <c r="AB551" s="7" t="e">
        <f>IF(VLOOKUP($A551,'Concrete Beam Schedule'!$A$2:$Q$2902,AB$2,0)&lt;&gt;L551,"Beam Revised","")</f>
        <v>#N/A</v>
      </c>
      <c r="AC551" s="7" t="e">
        <f>IF(VLOOKUP($A551,'Concrete Beam Schedule'!$A$2:$Q$2902,AC$2,0)&lt;&gt;M551,"Beam Revised","")</f>
        <v>#N/A</v>
      </c>
      <c r="AD551" s="7" t="e">
        <f>IF(VLOOKUP($A551,'Concrete Beam Schedule'!$A$2:$Q$2902,AD$2,0)&lt;&gt;N551,"Beam Revised","")</f>
        <v>#N/A</v>
      </c>
      <c r="AE551" s="7" t="e">
        <f>IF(VLOOKUP($A551,'Concrete Beam Schedule'!$A$2:$Q$2902,AE$2,0)&lt;&gt;O551,"Beam Revised","")</f>
        <v>#N/A</v>
      </c>
    </row>
    <row r="552" spans="17:31" ht="13.2" x14ac:dyDescent="0.25">
      <c r="Q552" s="7">
        <f t="shared" si="8"/>
        <v>0</v>
      </c>
      <c r="R552" s="7" t="e">
        <f>IF(VLOOKUP($A552,'Concrete Beam Schedule'!$A$2:$Q$2902,R$2,0)&lt;&gt;B552,VLOOKUP($A552,'Concrete Beam Schedule'!$A$2:$Q$2902,R$2,0),"")</f>
        <v>#N/A</v>
      </c>
      <c r="S552" s="7" t="e">
        <f>IF(VLOOKUP($A552,'Concrete Beam Schedule'!$A$2:$Q$2902,S$2,0)&lt;&gt;C552,VLOOKUP($A552,'Concrete Beam Schedule'!$A$2:$Q$2902,S$2,0),"")</f>
        <v>#N/A</v>
      </c>
      <c r="T552" s="7" t="e">
        <f>IF(VLOOKUP($A552,'Concrete Beam Schedule'!$A$2:$Q$2902,T$2,0)&lt;&gt;D552,"Beam Revised","")</f>
        <v>#N/A</v>
      </c>
      <c r="U552" s="7" t="e">
        <f>IF(VLOOKUP($A552,'Concrete Beam Schedule'!$A$2:$Q$2902,U$2,0)&lt;&gt;E552,"Beam Revised","")</f>
        <v>#N/A</v>
      </c>
      <c r="V552" s="7" t="e">
        <f>IF(VLOOKUP($A552,'Concrete Beam Schedule'!$A$2:$Q$2902,V$2,0)&lt;&gt;F552,"Beam Revised","")</f>
        <v>#N/A</v>
      </c>
      <c r="W552" s="7" t="e">
        <f>IF(VLOOKUP($A552,'Concrete Beam Schedule'!$A$2:$Q$2902,W$2,0)&lt;&gt;G552,"Beam Revised","")</f>
        <v>#N/A</v>
      </c>
      <c r="X552" s="7" t="e">
        <f>IF(VLOOKUP($A552,'Concrete Beam Schedule'!$A$2:$Q$2902,X$2,0)&lt;&gt;H552,"Beam Revised","")</f>
        <v>#N/A</v>
      </c>
      <c r="Y552" s="7" t="e">
        <f>IF(VLOOKUP($A552,'Concrete Beam Schedule'!$A$2:$Q$2902,Y$2,0)&lt;&gt;I552,"Beam Revised","")</f>
        <v>#N/A</v>
      </c>
      <c r="Z552" s="7" t="e">
        <f>IF(VLOOKUP($A552,'Concrete Beam Schedule'!$A$2:$Q$2902,Z$2,0)&lt;&gt;J552,"Beam Revised","")</f>
        <v>#N/A</v>
      </c>
      <c r="AA552" s="7" t="e">
        <f>IF(VLOOKUP($A552,'Concrete Beam Schedule'!$A$2:$Q$2902,AA$2,0)&lt;&gt;K552,"Beam Revised","")</f>
        <v>#N/A</v>
      </c>
      <c r="AB552" s="7" t="e">
        <f>IF(VLOOKUP($A552,'Concrete Beam Schedule'!$A$2:$Q$2902,AB$2,0)&lt;&gt;L552,"Beam Revised","")</f>
        <v>#N/A</v>
      </c>
      <c r="AC552" s="7" t="e">
        <f>IF(VLOOKUP($A552,'Concrete Beam Schedule'!$A$2:$Q$2902,AC$2,0)&lt;&gt;M552,"Beam Revised","")</f>
        <v>#N/A</v>
      </c>
      <c r="AD552" s="7" t="e">
        <f>IF(VLOOKUP($A552,'Concrete Beam Schedule'!$A$2:$Q$2902,AD$2,0)&lt;&gt;N552,"Beam Revised","")</f>
        <v>#N/A</v>
      </c>
      <c r="AE552" s="7" t="e">
        <f>IF(VLOOKUP($A552,'Concrete Beam Schedule'!$A$2:$Q$2902,AE$2,0)&lt;&gt;O552,"Beam Revised","")</f>
        <v>#N/A</v>
      </c>
    </row>
    <row r="553" spans="17:31" ht="13.2" x14ac:dyDescent="0.25">
      <c r="Q553" s="7">
        <f t="shared" si="8"/>
        <v>0</v>
      </c>
      <c r="R553" s="7" t="e">
        <f>IF(VLOOKUP($A553,'Concrete Beam Schedule'!$A$2:$Q$2902,R$2,0)&lt;&gt;B553,VLOOKUP($A553,'Concrete Beam Schedule'!$A$2:$Q$2902,R$2,0),"")</f>
        <v>#N/A</v>
      </c>
      <c r="S553" s="7" t="e">
        <f>IF(VLOOKUP($A553,'Concrete Beam Schedule'!$A$2:$Q$2902,S$2,0)&lt;&gt;C553,VLOOKUP($A553,'Concrete Beam Schedule'!$A$2:$Q$2902,S$2,0),"")</f>
        <v>#N/A</v>
      </c>
      <c r="T553" s="7" t="e">
        <f>IF(VLOOKUP($A553,'Concrete Beam Schedule'!$A$2:$Q$2902,T$2,0)&lt;&gt;D553,"Beam Revised","")</f>
        <v>#N/A</v>
      </c>
      <c r="U553" s="7" t="e">
        <f>IF(VLOOKUP($A553,'Concrete Beam Schedule'!$A$2:$Q$2902,U$2,0)&lt;&gt;E553,"Beam Revised","")</f>
        <v>#N/A</v>
      </c>
      <c r="V553" s="7" t="e">
        <f>IF(VLOOKUP($A553,'Concrete Beam Schedule'!$A$2:$Q$2902,V$2,0)&lt;&gt;F553,"Beam Revised","")</f>
        <v>#N/A</v>
      </c>
      <c r="W553" s="7" t="e">
        <f>IF(VLOOKUP($A553,'Concrete Beam Schedule'!$A$2:$Q$2902,W$2,0)&lt;&gt;G553,"Beam Revised","")</f>
        <v>#N/A</v>
      </c>
      <c r="X553" s="7" t="e">
        <f>IF(VLOOKUP($A553,'Concrete Beam Schedule'!$A$2:$Q$2902,X$2,0)&lt;&gt;H553,"Beam Revised","")</f>
        <v>#N/A</v>
      </c>
      <c r="Y553" s="7" t="e">
        <f>IF(VLOOKUP($A553,'Concrete Beam Schedule'!$A$2:$Q$2902,Y$2,0)&lt;&gt;I553,"Beam Revised","")</f>
        <v>#N/A</v>
      </c>
      <c r="Z553" s="7" t="e">
        <f>IF(VLOOKUP($A553,'Concrete Beam Schedule'!$A$2:$Q$2902,Z$2,0)&lt;&gt;J553,"Beam Revised","")</f>
        <v>#N/A</v>
      </c>
      <c r="AA553" s="7" t="e">
        <f>IF(VLOOKUP($A553,'Concrete Beam Schedule'!$A$2:$Q$2902,AA$2,0)&lt;&gt;K553,"Beam Revised","")</f>
        <v>#N/A</v>
      </c>
      <c r="AB553" s="7" t="e">
        <f>IF(VLOOKUP($A553,'Concrete Beam Schedule'!$A$2:$Q$2902,AB$2,0)&lt;&gt;L553,"Beam Revised","")</f>
        <v>#N/A</v>
      </c>
      <c r="AC553" s="7" t="e">
        <f>IF(VLOOKUP($A553,'Concrete Beam Schedule'!$A$2:$Q$2902,AC$2,0)&lt;&gt;M553,"Beam Revised","")</f>
        <v>#N/A</v>
      </c>
      <c r="AD553" s="7" t="e">
        <f>IF(VLOOKUP($A553,'Concrete Beam Schedule'!$A$2:$Q$2902,AD$2,0)&lt;&gt;N553,"Beam Revised","")</f>
        <v>#N/A</v>
      </c>
      <c r="AE553" s="7" t="e">
        <f>IF(VLOOKUP($A553,'Concrete Beam Schedule'!$A$2:$Q$2902,AE$2,0)&lt;&gt;O553,"Beam Revised","")</f>
        <v>#N/A</v>
      </c>
    </row>
    <row r="554" spans="17:31" ht="13.2" x14ac:dyDescent="0.25">
      <c r="Q554" s="7">
        <f t="shared" si="8"/>
        <v>0</v>
      </c>
      <c r="R554" s="7" t="e">
        <f>IF(VLOOKUP($A554,'Concrete Beam Schedule'!$A$2:$Q$2902,R$2,0)&lt;&gt;B554,VLOOKUP($A554,'Concrete Beam Schedule'!$A$2:$Q$2902,R$2,0),"")</f>
        <v>#N/A</v>
      </c>
      <c r="S554" s="7" t="e">
        <f>IF(VLOOKUP($A554,'Concrete Beam Schedule'!$A$2:$Q$2902,S$2,0)&lt;&gt;C554,VLOOKUP($A554,'Concrete Beam Schedule'!$A$2:$Q$2902,S$2,0),"")</f>
        <v>#N/A</v>
      </c>
      <c r="T554" s="7" t="e">
        <f>IF(VLOOKUP($A554,'Concrete Beam Schedule'!$A$2:$Q$2902,T$2,0)&lt;&gt;D554,"Beam Revised","")</f>
        <v>#N/A</v>
      </c>
      <c r="U554" s="7" t="e">
        <f>IF(VLOOKUP($A554,'Concrete Beam Schedule'!$A$2:$Q$2902,U$2,0)&lt;&gt;E554,"Beam Revised","")</f>
        <v>#N/A</v>
      </c>
      <c r="V554" s="7" t="e">
        <f>IF(VLOOKUP($A554,'Concrete Beam Schedule'!$A$2:$Q$2902,V$2,0)&lt;&gt;F554,"Beam Revised","")</f>
        <v>#N/A</v>
      </c>
      <c r="W554" s="7" t="e">
        <f>IF(VLOOKUP($A554,'Concrete Beam Schedule'!$A$2:$Q$2902,W$2,0)&lt;&gt;G554,"Beam Revised","")</f>
        <v>#N/A</v>
      </c>
      <c r="X554" s="7" t="e">
        <f>IF(VLOOKUP($A554,'Concrete Beam Schedule'!$A$2:$Q$2902,X$2,0)&lt;&gt;H554,"Beam Revised","")</f>
        <v>#N/A</v>
      </c>
      <c r="Y554" s="7" t="e">
        <f>IF(VLOOKUP($A554,'Concrete Beam Schedule'!$A$2:$Q$2902,Y$2,0)&lt;&gt;I554,"Beam Revised","")</f>
        <v>#N/A</v>
      </c>
      <c r="Z554" s="7" t="e">
        <f>IF(VLOOKUP($A554,'Concrete Beam Schedule'!$A$2:$Q$2902,Z$2,0)&lt;&gt;J554,"Beam Revised","")</f>
        <v>#N/A</v>
      </c>
      <c r="AA554" s="7" t="e">
        <f>IF(VLOOKUP($A554,'Concrete Beam Schedule'!$A$2:$Q$2902,AA$2,0)&lt;&gt;K554,"Beam Revised","")</f>
        <v>#N/A</v>
      </c>
      <c r="AB554" s="7" t="e">
        <f>IF(VLOOKUP($A554,'Concrete Beam Schedule'!$A$2:$Q$2902,AB$2,0)&lt;&gt;L554,"Beam Revised","")</f>
        <v>#N/A</v>
      </c>
      <c r="AC554" s="7" t="e">
        <f>IF(VLOOKUP($A554,'Concrete Beam Schedule'!$A$2:$Q$2902,AC$2,0)&lt;&gt;M554,"Beam Revised","")</f>
        <v>#N/A</v>
      </c>
      <c r="AD554" s="7" t="e">
        <f>IF(VLOOKUP($A554,'Concrete Beam Schedule'!$A$2:$Q$2902,AD$2,0)&lt;&gt;N554,"Beam Revised","")</f>
        <v>#N/A</v>
      </c>
      <c r="AE554" s="7" t="e">
        <f>IF(VLOOKUP($A554,'Concrete Beam Schedule'!$A$2:$Q$2902,AE$2,0)&lt;&gt;O554,"Beam Revised","")</f>
        <v>#N/A</v>
      </c>
    </row>
    <row r="555" spans="17:31" ht="13.2" x14ac:dyDescent="0.25">
      <c r="Q555" s="7">
        <f t="shared" si="8"/>
        <v>0</v>
      </c>
      <c r="R555" s="7" t="e">
        <f>IF(VLOOKUP($A555,'Concrete Beam Schedule'!$A$2:$Q$2902,R$2,0)&lt;&gt;B555,VLOOKUP($A555,'Concrete Beam Schedule'!$A$2:$Q$2902,R$2,0),"")</f>
        <v>#N/A</v>
      </c>
      <c r="S555" s="7" t="e">
        <f>IF(VLOOKUP($A555,'Concrete Beam Schedule'!$A$2:$Q$2902,S$2,0)&lt;&gt;C555,VLOOKUP($A555,'Concrete Beam Schedule'!$A$2:$Q$2902,S$2,0),"")</f>
        <v>#N/A</v>
      </c>
      <c r="T555" s="7" t="e">
        <f>IF(VLOOKUP($A555,'Concrete Beam Schedule'!$A$2:$Q$2902,T$2,0)&lt;&gt;D555,"Beam Revised","")</f>
        <v>#N/A</v>
      </c>
      <c r="U555" s="7" t="e">
        <f>IF(VLOOKUP($A555,'Concrete Beam Schedule'!$A$2:$Q$2902,U$2,0)&lt;&gt;E555,"Beam Revised","")</f>
        <v>#N/A</v>
      </c>
      <c r="V555" s="7" t="e">
        <f>IF(VLOOKUP($A555,'Concrete Beam Schedule'!$A$2:$Q$2902,V$2,0)&lt;&gt;F555,"Beam Revised","")</f>
        <v>#N/A</v>
      </c>
      <c r="W555" s="7" t="e">
        <f>IF(VLOOKUP($A555,'Concrete Beam Schedule'!$A$2:$Q$2902,W$2,0)&lt;&gt;G555,"Beam Revised","")</f>
        <v>#N/A</v>
      </c>
      <c r="X555" s="7" t="e">
        <f>IF(VLOOKUP($A555,'Concrete Beam Schedule'!$A$2:$Q$2902,X$2,0)&lt;&gt;H555,"Beam Revised","")</f>
        <v>#N/A</v>
      </c>
      <c r="Y555" s="7" t="e">
        <f>IF(VLOOKUP($A555,'Concrete Beam Schedule'!$A$2:$Q$2902,Y$2,0)&lt;&gt;I555,"Beam Revised","")</f>
        <v>#N/A</v>
      </c>
      <c r="Z555" s="7" t="e">
        <f>IF(VLOOKUP($A555,'Concrete Beam Schedule'!$A$2:$Q$2902,Z$2,0)&lt;&gt;J555,"Beam Revised","")</f>
        <v>#N/A</v>
      </c>
      <c r="AA555" s="7" t="e">
        <f>IF(VLOOKUP($A555,'Concrete Beam Schedule'!$A$2:$Q$2902,AA$2,0)&lt;&gt;K555,"Beam Revised","")</f>
        <v>#N/A</v>
      </c>
      <c r="AB555" s="7" t="e">
        <f>IF(VLOOKUP($A555,'Concrete Beam Schedule'!$A$2:$Q$2902,AB$2,0)&lt;&gt;L555,"Beam Revised","")</f>
        <v>#N/A</v>
      </c>
      <c r="AC555" s="7" t="e">
        <f>IF(VLOOKUP($A555,'Concrete Beam Schedule'!$A$2:$Q$2902,AC$2,0)&lt;&gt;M555,"Beam Revised","")</f>
        <v>#N/A</v>
      </c>
      <c r="AD555" s="7" t="e">
        <f>IF(VLOOKUP($A555,'Concrete Beam Schedule'!$A$2:$Q$2902,AD$2,0)&lt;&gt;N555,"Beam Revised","")</f>
        <v>#N/A</v>
      </c>
      <c r="AE555" s="7" t="e">
        <f>IF(VLOOKUP($A555,'Concrete Beam Schedule'!$A$2:$Q$2902,AE$2,0)&lt;&gt;O555,"Beam Revised","")</f>
        <v>#N/A</v>
      </c>
    </row>
    <row r="556" spans="17:31" ht="13.2" x14ac:dyDescent="0.25">
      <c r="Q556" s="7">
        <f t="shared" si="8"/>
        <v>0</v>
      </c>
      <c r="R556" s="7" t="e">
        <f>IF(VLOOKUP($A556,'Concrete Beam Schedule'!$A$2:$Q$2902,R$2,0)&lt;&gt;B556,VLOOKUP($A556,'Concrete Beam Schedule'!$A$2:$Q$2902,R$2,0),"")</f>
        <v>#N/A</v>
      </c>
      <c r="S556" s="7" t="e">
        <f>IF(VLOOKUP($A556,'Concrete Beam Schedule'!$A$2:$Q$2902,S$2,0)&lt;&gt;C556,VLOOKUP($A556,'Concrete Beam Schedule'!$A$2:$Q$2902,S$2,0),"")</f>
        <v>#N/A</v>
      </c>
      <c r="T556" s="7" t="e">
        <f>IF(VLOOKUP($A556,'Concrete Beam Schedule'!$A$2:$Q$2902,T$2,0)&lt;&gt;D556,"Beam Revised","")</f>
        <v>#N/A</v>
      </c>
      <c r="U556" s="7" t="e">
        <f>IF(VLOOKUP($A556,'Concrete Beam Schedule'!$A$2:$Q$2902,U$2,0)&lt;&gt;E556,"Beam Revised","")</f>
        <v>#N/A</v>
      </c>
      <c r="V556" s="7" t="e">
        <f>IF(VLOOKUP($A556,'Concrete Beam Schedule'!$A$2:$Q$2902,V$2,0)&lt;&gt;F556,"Beam Revised","")</f>
        <v>#N/A</v>
      </c>
      <c r="W556" s="7" t="e">
        <f>IF(VLOOKUP($A556,'Concrete Beam Schedule'!$A$2:$Q$2902,W$2,0)&lt;&gt;G556,"Beam Revised","")</f>
        <v>#N/A</v>
      </c>
      <c r="X556" s="7" t="e">
        <f>IF(VLOOKUP($A556,'Concrete Beam Schedule'!$A$2:$Q$2902,X$2,0)&lt;&gt;H556,"Beam Revised","")</f>
        <v>#N/A</v>
      </c>
      <c r="Y556" s="7" t="e">
        <f>IF(VLOOKUP($A556,'Concrete Beam Schedule'!$A$2:$Q$2902,Y$2,0)&lt;&gt;I556,"Beam Revised","")</f>
        <v>#N/A</v>
      </c>
      <c r="Z556" s="7" t="e">
        <f>IF(VLOOKUP($A556,'Concrete Beam Schedule'!$A$2:$Q$2902,Z$2,0)&lt;&gt;J556,"Beam Revised","")</f>
        <v>#N/A</v>
      </c>
      <c r="AA556" s="7" t="e">
        <f>IF(VLOOKUP($A556,'Concrete Beam Schedule'!$A$2:$Q$2902,AA$2,0)&lt;&gt;K556,"Beam Revised","")</f>
        <v>#N/A</v>
      </c>
      <c r="AB556" s="7" t="e">
        <f>IF(VLOOKUP($A556,'Concrete Beam Schedule'!$A$2:$Q$2902,AB$2,0)&lt;&gt;L556,"Beam Revised","")</f>
        <v>#N/A</v>
      </c>
      <c r="AC556" s="7" t="e">
        <f>IF(VLOOKUP($A556,'Concrete Beam Schedule'!$A$2:$Q$2902,AC$2,0)&lt;&gt;M556,"Beam Revised","")</f>
        <v>#N/A</v>
      </c>
      <c r="AD556" s="7" t="e">
        <f>IF(VLOOKUP($A556,'Concrete Beam Schedule'!$A$2:$Q$2902,AD$2,0)&lt;&gt;N556,"Beam Revised","")</f>
        <v>#N/A</v>
      </c>
      <c r="AE556" s="7" t="e">
        <f>IF(VLOOKUP($A556,'Concrete Beam Schedule'!$A$2:$Q$2902,AE$2,0)&lt;&gt;O556,"Beam Revised","")</f>
        <v>#N/A</v>
      </c>
    </row>
    <row r="557" spans="17:31" ht="13.2" x14ac:dyDescent="0.25">
      <c r="Q557" s="7">
        <f t="shared" si="8"/>
        <v>0</v>
      </c>
      <c r="R557" s="7" t="e">
        <f>IF(VLOOKUP($A557,'Concrete Beam Schedule'!$A$2:$Q$2902,R$2,0)&lt;&gt;B557,VLOOKUP($A557,'Concrete Beam Schedule'!$A$2:$Q$2902,R$2,0),"")</f>
        <v>#N/A</v>
      </c>
      <c r="S557" s="7" t="e">
        <f>IF(VLOOKUP($A557,'Concrete Beam Schedule'!$A$2:$Q$2902,S$2,0)&lt;&gt;C557,VLOOKUP($A557,'Concrete Beam Schedule'!$A$2:$Q$2902,S$2,0),"")</f>
        <v>#N/A</v>
      </c>
      <c r="T557" s="7" t="e">
        <f>IF(VLOOKUP($A557,'Concrete Beam Schedule'!$A$2:$Q$2902,T$2,0)&lt;&gt;D557,"Beam Revised","")</f>
        <v>#N/A</v>
      </c>
      <c r="U557" s="7" t="e">
        <f>IF(VLOOKUP($A557,'Concrete Beam Schedule'!$A$2:$Q$2902,U$2,0)&lt;&gt;E557,"Beam Revised","")</f>
        <v>#N/A</v>
      </c>
      <c r="V557" s="7" t="e">
        <f>IF(VLOOKUP($A557,'Concrete Beam Schedule'!$A$2:$Q$2902,V$2,0)&lt;&gt;F557,"Beam Revised","")</f>
        <v>#N/A</v>
      </c>
      <c r="W557" s="7" t="e">
        <f>IF(VLOOKUP($A557,'Concrete Beam Schedule'!$A$2:$Q$2902,W$2,0)&lt;&gt;G557,"Beam Revised","")</f>
        <v>#N/A</v>
      </c>
      <c r="X557" s="7" t="e">
        <f>IF(VLOOKUP($A557,'Concrete Beam Schedule'!$A$2:$Q$2902,X$2,0)&lt;&gt;H557,"Beam Revised","")</f>
        <v>#N/A</v>
      </c>
      <c r="Y557" s="7" t="e">
        <f>IF(VLOOKUP($A557,'Concrete Beam Schedule'!$A$2:$Q$2902,Y$2,0)&lt;&gt;I557,"Beam Revised","")</f>
        <v>#N/A</v>
      </c>
      <c r="Z557" s="7" t="e">
        <f>IF(VLOOKUP($A557,'Concrete Beam Schedule'!$A$2:$Q$2902,Z$2,0)&lt;&gt;J557,"Beam Revised","")</f>
        <v>#N/A</v>
      </c>
      <c r="AA557" s="7" t="e">
        <f>IF(VLOOKUP($A557,'Concrete Beam Schedule'!$A$2:$Q$2902,AA$2,0)&lt;&gt;K557,"Beam Revised","")</f>
        <v>#N/A</v>
      </c>
      <c r="AB557" s="7" t="e">
        <f>IF(VLOOKUP($A557,'Concrete Beam Schedule'!$A$2:$Q$2902,AB$2,0)&lt;&gt;L557,"Beam Revised","")</f>
        <v>#N/A</v>
      </c>
      <c r="AC557" s="7" t="e">
        <f>IF(VLOOKUP($A557,'Concrete Beam Schedule'!$A$2:$Q$2902,AC$2,0)&lt;&gt;M557,"Beam Revised","")</f>
        <v>#N/A</v>
      </c>
      <c r="AD557" s="7" t="e">
        <f>IF(VLOOKUP($A557,'Concrete Beam Schedule'!$A$2:$Q$2902,AD$2,0)&lt;&gt;N557,"Beam Revised","")</f>
        <v>#N/A</v>
      </c>
      <c r="AE557" s="7" t="e">
        <f>IF(VLOOKUP($A557,'Concrete Beam Schedule'!$A$2:$Q$2902,AE$2,0)&lt;&gt;O557,"Beam Revised","")</f>
        <v>#N/A</v>
      </c>
    </row>
    <row r="558" spans="17:31" ht="13.2" x14ac:dyDescent="0.25">
      <c r="Q558" s="7">
        <f t="shared" si="8"/>
        <v>0</v>
      </c>
      <c r="R558" s="7" t="e">
        <f>IF(VLOOKUP($A558,'Concrete Beam Schedule'!$A$2:$Q$2902,R$2,0)&lt;&gt;B558,VLOOKUP($A558,'Concrete Beam Schedule'!$A$2:$Q$2902,R$2,0),"")</f>
        <v>#N/A</v>
      </c>
      <c r="S558" s="7" t="e">
        <f>IF(VLOOKUP($A558,'Concrete Beam Schedule'!$A$2:$Q$2902,S$2,0)&lt;&gt;C558,VLOOKUP($A558,'Concrete Beam Schedule'!$A$2:$Q$2902,S$2,0),"")</f>
        <v>#N/A</v>
      </c>
      <c r="T558" s="7" t="e">
        <f>IF(VLOOKUP($A558,'Concrete Beam Schedule'!$A$2:$Q$2902,T$2,0)&lt;&gt;D558,"Beam Revised","")</f>
        <v>#N/A</v>
      </c>
      <c r="U558" s="7" t="e">
        <f>IF(VLOOKUP($A558,'Concrete Beam Schedule'!$A$2:$Q$2902,U$2,0)&lt;&gt;E558,"Beam Revised","")</f>
        <v>#N/A</v>
      </c>
      <c r="V558" s="7" t="e">
        <f>IF(VLOOKUP($A558,'Concrete Beam Schedule'!$A$2:$Q$2902,V$2,0)&lt;&gt;F558,"Beam Revised","")</f>
        <v>#N/A</v>
      </c>
      <c r="W558" s="7" t="e">
        <f>IF(VLOOKUP($A558,'Concrete Beam Schedule'!$A$2:$Q$2902,W$2,0)&lt;&gt;G558,"Beam Revised","")</f>
        <v>#N/A</v>
      </c>
      <c r="X558" s="7" t="e">
        <f>IF(VLOOKUP($A558,'Concrete Beam Schedule'!$A$2:$Q$2902,X$2,0)&lt;&gt;H558,"Beam Revised","")</f>
        <v>#N/A</v>
      </c>
      <c r="Y558" s="7" t="e">
        <f>IF(VLOOKUP($A558,'Concrete Beam Schedule'!$A$2:$Q$2902,Y$2,0)&lt;&gt;I558,"Beam Revised","")</f>
        <v>#N/A</v>
      </c>
      <c r="Z558" s="7" t="e">
        <f>IF(VLOOKUP($A558,'Concrete Beam Schedule'!$A$2:$Q$2902,Z$2,0)&lt;&gt;J558,"Beam Revised","")</f>
        <v>#N/A</v>
      </c>
      <c r="AA558" s="7" t="e">
        <f>IF(VLOOKUP($A558,'Concrete Beam Schedule'!$A$2:$Q$2902,AA$2,0)&lt;&gt;K558,"Beam Revised","")</f>
        <v>#N/A</v>
      </c>
      <c r="AB558" s="7" t="e">
        <f>IF(VLOOKUP($A558,'Concrete Beam Schedule'!$A$2:$Q$2902,AB$2,0)&lt;&gt;L558,"Beam Revised","")</f>
        <v>#N/A</v>
      </c>
      <c r="AC558" s="7" t="e">
        <f>IF(VLOOKUP($A558,'Concrete Beam Schedule'!$A$2:$Q$2902,AC$2,0)&lt;&gt;M558,"Beam Revised","")</f>
        <v>#N/A</v>
      </c>
      <c r="AD558" s="7" t="e">
        <f>IF(VLOOKUP($A558,'Concrete Beam Schedule'!$A$2:$Q$2902,AD$2,0)&lt;&gt;N558,"Beam Revised","")</f>
        <v>#N/A</v>
      </c>
      <c r="AE558" s="7" t="e">
        <f>IF(VLOOKUP($A558,'Concrete Beam Schedule'!$A$2:$Q$2902,AE$2,0)&lt;&gt;O558,"Beam Revised","")</f>
        <v>#N/A</v>
      </c>
    </row>
    <row r="559" spans="17:31" ht="13.2" x14ac:dyDescent="0.25">
      <c r="Q559" s="7">
        <f t="shared" si="8"/>
        <v>0</v>
      </c>
      <c r="R559" s="7" t="e">
        <f>IF(VLOOKUP($A559,'Concrete Beam Schedule'!$A$2:$Q$2902,R$2,0)&lt;&gt;B559,VLOOKUP($A559,'Concrete Beam Schedule'!$A$2:$Q$2902,R$2,0),"")</f>
        <v>#N/A</v>
      </c>
      <c r="S559" s="7" t="e">
        <f>IF(VLOOKUP($A559,'Concrete Beam Schedule'!$A$2:$Q$2902,S$2,0)&lt;&gt;C559,VLOOKUP($A559,'Concrete Beam Schedule'!$A$2:$Q$2902,S$2,0),"")</f>
        <v>#N/A</v>
      </c>
      <c r="T559" s="7" t="e">
        <f>IF(VLOOKUP($A559,'Concrete Beam Schedule'!$A$2:$Q$2902,T$2,0)&lt;&gt;D559,"Beam Revised","")</f>
        <v>#N/A</v>
      </c>
      <c r="U559" s="7" t="e">
        <f>IF(VLOOKUP($A559,'Concrete Beam Schedule'!$A$2:$Q$2902,U$2,0)&lt;&gt;E559,"Beam Revised","")</f>
        <v>#N/A</v>
      </c>
      <c r="V559" s="7" t="e">
        <f>IF(VLOOKUP($A559,'Concrete Beam Schedule'!$A$2:$Q$2902,V$2,0)&lt;&gt;F559,"Beam Revised","")</f>
        <v>#N/A</v>
      </c>
      <c r="W559" s="7" t="e">
        <f>IF(VLOOKUP($A559,'Concrete Beam Schedule'!$A$2:$Q$2902,W$2,0)&lt;&gt;G559,"Beam Revised","")</f>
        <v>#N/A</v>
      </c>
      <c r="X559" s="7" t="e">
        <f>IF(VLOOKUP($A559,'Concrete Beam Schedule'!$A$2:$Q$2902,X$2,0)&lt;&gt;H559,"Beam Revised","")</f>
        <v>#N/A</v>
      </c>
      <c r="Y559" s="7" t="e">
        <f>IF(VLOOKUP($A559,'Concrete Beam Schedule'!$A$2:$Q$2902,Y$2,0)&lt;&gt;I559,"Beam Revised","")</f>
        <v>#N/A</v>
      </c>
      <c r="Z559" s="7" t="e">
        <f>IF(VLOOKUP($A559,'Concrete Beam Schedule'!$A$2:$Q$2902,Z$2,0)&lt;&gt;J559,"Beam Revised","")</f>
        <v>#N/A</v>
      </c>
      <c r="AA559" s="7" t="e">
        <f>IF(VLOOKUP($A559,'Concrete Beam Schedule'!$A$2:$Q$2902,AA$2,0)&lt;&gt;K559,"Beam Revised","")</f>
        <v>#N/A</v>
      </c>
      <c r="AB559" s="7" t="e">
        <f>IF(VLOOKUP($A559,'Concrete Beam Schedule'!$A$2:$Q$2902,AB$2,0)&lt;&gt;L559,"Beam Revised","")</f>
        <v>#N/A</v>
      </c>
      <c r="AC559" s="7" t="e">
        <f>IF(VLOOKUP($A559,'Concrete Beam Schedule'!$A$2:$Q$2902,AC$2,0)&lt;&gt;M559,"Beam Revised","")</f>
        <v>#N/A</v>
      </c>
      <c r="AD559" s="7" t="e">
        <f>IF(VLOOKUP($A559,'Concrete Beam Schedule'!$A$2:$Q$2902,AD$2,0)&lt;&gt;N559,"Beam Revised","")</f>
        <v>#N/A</v>
      </c>
      <c r="AE559" s="7" t="e">
        <f>IF(VLOOKUP($A559,'Concrete Beam Schedule'!$A$2:$Q$2902,AE$2,0)&lt;&gt;O559,"Beam Revised","")</f>
        <v>#N/A</v>
      </c>
    </row>
    <row r="560" spans="17:31" ht="13.2" x14ac:dyDescent="0.25">
      <c r="Q560" s="7">
        <f t="shared" si="8"/>
        <v>0</v>
      </c>
      <c r="R560" s="7" t="e">
        <f>IF(VLOOKUP($A560,'Concrete Beam Schedule'!$A$2:$Q$2902,R$2,0)&lt;&gt;B560,VLOOKUP($A560,'Concrete Beam Schedule'!$A$2:$Q$2902,R$2,0),"")</f>
        <v>#N/A</v>
      </c>
      <c r="S560" s="7" t="e">
        <f>IF(VLOOKUP($A560,'Concrete Beam Schedule'!$A$2:$Q$2902,S$2,0)&lt;&gt;C560,VLOOKUP($A560,'Concrete Beam Schedule'!$A$2:$Q$2902,S$2,0),"")</f>
        <v>#N/A</v>
      </c>
      <c r="T560" s="7" t="e">
        <f>IF(VLOOKUP($A560,'Concrete Beam Schedule'!$A$2:$Q$2902,T$2,0)&lt;&gt;D560,"Beam Revised","")</f>
        <v>#N/A</v>
      </c>
      <c r="U560" s="7" t="e">
        <f>IF(VLOOKUP($A560,'Concrete Beam Schedule'!$A$2:$Q$2902,U$2,0)&lt;&gt;E560,"Beam Revised","")</f>
        <v>#N/A</v>
      </c>
      <c r="V560" s="7" t="e">
        <f>IF(VLOOKUP($A560,'Concrete Beam Schedule'!$A$2:$Q$2902,V$2,0)&lt;&gt;F560,"Beam Revised","")</f>
        <v>#N/A</v>
      </c>
      <c r="W560" s="7" t="e">
        <f>IF(VLOOKUP($A560,'Concrete Beam Schedule'!$A$2:$Q$2902,W$2,0)&lt;&gt;G560,"Beam Revised","")</f>
        <v>#N/A</v>
      </c>
      <c r="X560" s="7" t="e">
        <f>IF(VLOOKUP($A560,'Concrete Beam Schedule'!$A$2:$Q$2902,X$2,0)&lt;&gt;H560,"Beam Revised","")</f>
        <v>#N/A</v>
      </c>
      <c r="Y560" s="7" t="e">
        <f>IF(VLOOKUP($A560,'Concrete Beam Schedule'!$A$2:$Q$2902,Y$2,0)&lt;&gt;I560,"Beam Revised","")</f>
        <v>#N/A</v>
      </c>
      <c r="Z560" s="7" t="e">
        <f>IF(VLOOKUP($A560,'Concrete Beam Schedule'!$A$2:$Q$2902,Z$2,0)&lt;&gt;J560,"Beam Revised","")</f>
        <v>#N/A</v>
      </c>
      <c r="AA560" s="7" t="e">
        <f>IF(VLOOKUP($A560,'Concrete Beam Schedule'!$A$2:$Q$2902,AA$2,0)&lt;&gt;K560,"Beam Revised","")</f>
        <v>#N/A</v>
      </c>
      <c r="AB560" s="7" t="e">
        <f>IF(VLOOKUP($A560,'Concrete Beam Schedule'!$A$2:$Q$2902,AB$2,0)&lt;&gt;L560,"Beam Revised","")</f>
        <v>#N/A</v>
      </c>
      <c r="AC560" s="7" t="e">
        <f>IF(VLOOKUP($A560,'Concrete Beam Schedule'!$A$2:$Q$2902,AC$2,0)&lt;&gt;M560,"Beam Revised","")</f>
        <v>#N/A</v>
      </c>
      <c r="AD560" s="7" t="e">
        <f>IF(VLOOKUP($A560,'Concrete Beam Schedule'!$A$2:$Q$2902,AD$2,0)&lt;&gt;N560,"Beam Revised","")</f>
        <v>#N/A</v>
      </c>
      <c r="AE560" s="7" t="e">
        <f>IF(VLOOKUP($A560,'Concrete Beam Schedule'!$A$2:$Q$2902,AE$2,0)&lt;&gt;O560,"Beam Revised","")</f>
        <v>#N/A</v>
      </c>
    </row>
    <row r="561" spans="17:31" ht="13.2" x14ac:dyDescent="0.25">
      <c r="Q561" s="7">
        <f t="shared" si="8"/>
        <v>0</v>
      </c>
      <c r="R561" s="7" t="e">
        <f>IF(VLOOKUP($A561,'Concrete Beam Schedule'!$A$2:$Q$2902,R$2,0)&lt;&gt;B561,VLOOKUP($A561,'Concrete Beam Schedule'!$A$2:$Q$2902,R$2,0),"")</f>
        <v>#N/A</v>
      </c>
      <c r="S561" s="7" t="e">
        <f>IF(VLOOKUP($A561,'Concrete Beam Schedule'!$A$2:$Q$2902,S$2,0)&lt;&gt;C561,VLOOKUP($A561,'Concrete Beam Schedule'!$A$2:$Q$2902,S$2,0),"")</f>
        <v>#N/A</v>
      </c>
      <c r="T561" s="7" t="e">
        <f>IF(VLOOKUP($A561,'Concrete Beam Schedule'!$A$2:$Q$2902,T$2,0)&lt;&gt;D561,"Beam Revised","")</f>
        <v>#N/A</v>
      </c>
      <c r="U561" s="7" t="e">
        <f>IF(VLOOKUP($A561,'Concrete Beam Schedule'!$A$2:$Q$2902,U$2,0)&lt;&gt;E561,"Beam Revised","")</f>
        <v>#N/A</v>
      </c>
      <c r="V561" s="7" t="e">
        <f>IF(VLOOKUP($A561,'Concrete Beam Schedule'!$A$2:$Q$2902,V$2,0)&lt;&gt;F561,"Beam Revised","")</f>
        <v>#N/A</v>
      </c>
      <c r="W561" s="7" t="e">
        <f>IF(VLOOKUP($A561,'Concrete Beam Schedule'!$A$2:$Q$2902,W$2,0)&lt;&gt;G561,"Beam Revised","")</f>
        <v>#N/A</v>
      </c>
      <c r="X561" s="7" t="e">
        <f>IF(VLOOKUP($A561,'Concrete Beam Schedule'!$A$2:$Q$2902,X$2,0)&lt;&gt;H561,"Beam Revised","")</f>
        <v>#N/A</v>
      </c>
      <c r="Y561" s="7" t="e">
        <f>IF(VLOOKUP($A561,'Concrete Beam Schedule'!$A$2:$Q$2902,Y$2,0)&lt;&gt;I561,"Beam Revised","")</f>
        <v>#N/A</v>
      </c>
      <c r="Z561" s="7" t="e">
        <f>IF(VLOOKUP($A561,'Concrete Beam Schedule'!$A$2:$Q$2902,Z$2,0)&lt;&gt;J561,"Beam Revised","")</f>
        <v>#N/A</v>
      </c>
      <c r="AA561" s="7" t="e">
        <f>IF(VLOOKUP($A561,'Concrete Beam Schedule'!$A$2:$Q$2902,AA$2,0)&lt;&gt;K561,"Beam Revised","")</f>
        <v>#N/A</v>
      </c>
      <c r="AB561" s="7" t="e">
        <f>IF(VLOOKUP($A561,'Concrete Beam Schedule'!$A$2:$Q$2902,AB$2,0)&lt;&gt;L561,"Beam Revised","")</f>
        <v>#N/A</v>
      </c>
      <c r="AC561" s="7" t="e">
        <f>IF(VLOOKUP($A561,'Concrete Beam Schedule'!$A$2:$Q$2902,AC$2,0)&lt;&gt;M561,"Beam Revised","")</f>
        <v>#N/A</v>
      </c>
      <c r="AD561" s="7" t="e">
        <f>IF(VLOOKUP($A561,'Concrete Beam Schedule'!$A$2:$Q$2902,AD$2,0)&lt;&gt;N561,"Beam Revised","")</f>
        <v>#N/A</v>
      </c>
      <c r="AE561" s="7" t="e">
        <f>IF(VLOOKUP($A561,'Concrete Beam Schedule'!$A$2:$Q$2902,AE$2,0)&lt;&gt;O561,"Beam Revised","")</f>
        <v>#N/A</v>
      </c>
    </row>
    <row r="562" spans="17:31" ht="13.2" x14ac:dyDescent="0.25">
      <c r="Q562" s="7">
        <f t="shared" si="8"/>
        <v>0</v>
      </c>
      <c r="R562" s="7" t="e">
        <f>IF(VLOOKUP($A562,'Concrete Beam Schedule'!$A$2:$Q$2902,R$2,0)&lt;&gt;B562,VLOOKUP($A562,'Concrete Beam Schedule'!$A$2:$Q$2902,R$2,0),"")</f>
        <v>#N/A</v>
      </c>
      <c r="S562" s="7" t="e">
        <f>IF(VLOOKUP($A562,'Concrete Beam Schedule'!$A$2:$Q$2902,S$2,0)&lt;&gt;C562,VLOOKUP($A562,'Concrete Beam Schedule'!$A$2:$Q$2902,S$2,0),"")</f>
        <v>#N/A</v>
      </c>
      <c r="T562" s="7" t="e">
        <f>IF(VLOOKUP($A562,'Concrete Beam Schedule'!$A$2:$Q$2902,T$2,0)&lt;&gt;D562,"Beam Revised","")</f>
        <v>#N/A</v>
      </c>
      <c r="U562" s="7" t="e">
        <f>IF(VLOOKUP($A562,'Concrete Beam Schedule'!$A$2:$Q$2902,U$2,0)&lt;&gt;E562,"Beam Revised","")</f>
        <v>#N/A</v>
      </c>
      <c r="V562" s="7" t="e">
        <f>IF(VLOOKUP($A562,'Concrete Beam Schedule'!$A$2:$Q$2902,V$2,0)&lt;&gt;F562,"Beam Revised","")</f>
        <v>#N/A</v>
      </c>
      <c r="W562" s="7" t="e">
        <f>IF(VLOOKUP($A562,'Concrete Beam Schedule'!$A$2:$Q$2902,W$2,0)&lt;&gt;G562,"Beam Revised","")</f>
        <v>#N/A</v>
      </c>
      <c r="X562" s="7" t="e">
        <f>IF(VLOOKUP($A562,'Concrete Beam Schedule'!$A$2:$Q$2902,X$2,0)&lt;&gt;H562,"Beam Revised","")</f>
        <v>#N/A</v>
      </c>
      <c r="Y562" s="7" t="e">
        <f>IF(VLOOKUP($A562,'Concrete Beam Schedule'!$A$2:$Q$2902,Y$2,0)&lt;&gt;I562,"Beam Revised","")</f>
        <v>#N/A</v>
      </c>
      <c r="Z562" s="7" t="e">
        <f>IF(VLOOKUP($A562,'Concrete Beam Schedule'!$A$2:$Q$2902,Z$2,0)&lt;&gt;J562,"Beam Revised","")</f>
        <v>#N/A</v>
      </c>
      <c r="AA562" s="7" t="e">
        <f>IF(VLOOKUP($A562,'Concrete Beam Schedule'!$A$2:$Q$2902,AA$2,0)&lt;&gt;K562,"Beam Revised","")</f>
        <v>#N/A</v>
      </c>
      <c r="AB562" s="7" t="e">
        <f>IF(VLOOKUP($A562,'Concrete Beam Schedule'!$A$2:$Q$2902,AB$2,0)&lt;&gt;L562,"Beam Revised","")</f>
        <v>#N/A</v>
      </c>
      <c r="AC562" s="7" t="e">
        <f>IF(VLOOKUP($A562,'Concrete Beam Schedule'!$A$2:$Q$2902,AC$2,0)&lt;&gt;M562,"Beam Revised","")</f>
        <v>#N/A</v>
      </c>
      <c r="AD562" s="7" t="e">
        <f>IF(VLOOKUP($A562,'Concrete Beam Schedule'!$A$2:$Q$2902,AD$2,0)&lt;&gt;N562,"Beam Revised","")</f>
        <v>#N/A</v>
      </c>
      <c r="AE562" s="7" t="e">
        <f>IF(VLOOKUP($A562,'Concrete Beam Schedule'!$A$2:$Q$2902,AE$2,0)&lt;&gt;O562,"Beam Revised","")</f>
        <v>#N/A</v>
      </c>
    </row>
    <row r="563" spans="17:31" ht="13.2" x14ac:dyDescent="0.25">
      <c r="Q563" s="7">
        <f t="shared" si="8"/>
        <v>0</v>
      </c>
      <c r="R563" s="7" t="e">
        <f>IF(VLOOKUP($A563,'Concrete Beam Schedule'!$A$2:$Q$2902,R$2,0)&lt;&gt;B563,VLOOKUP($A563,'Concrete Beam Schedule'!$A$2:$Q$2902,R$2,0),"")</f>
        <v>#N/A</v>
      </c>
      <c r="S563" s="7" t="e">
        <f>IF(VLOOKUP($A563,'Concrete Beam Schedule'!$A$2:$Q$2902,S$2,0)&lt;&gt;C563,VLOOKUP($A563,'Concrete Beam Schedule'!$A$2:$Q$2902,S$2,0),"")</f>
        <v>#N/A</v>
      </c>
      <c r="T563" s="7" t="e">
        <f>IF(VLOOKUP($A563,'Concrete Beam Schedule'!$A$2:$Q$2902,T$2,0)&lt;&gt;D563,"Beam Revised","")</f>
        <v>#N/A</v>
      </c>
      <c r="U563" s="7" t="e">
        <f>IF(VLOOKUP($A563,'Concrete Beam Schedule'!$A$2:$Q$2902,U$2,0)&lt;&gt;E563,"Beam Revised","")</f>
        <v>#N/A</v>
      </c>
      <c r="V563" s="7" t="e">
        <f>IF(VLOOKUP($A563,'Concrete Beam Schedule'!$A$2:$Q$2902,V$2,0)&lt;&gt;F563,"Beam Revised","")</f>
        <v>#N/A</v>
      </c>
      <c r="W563" s="7" t="e">
        <f>IF(VLOOKUP($A563,'Concrete Beam Schedule'!$A$2:$Q$2902,W$2,0)&lt;&gt;G563,"Beam Revised","")</f>
        <v>#N/A</v>
      </c>
      <c r="X563" s="7" t="e">
        <f>IF(VLOOKUP($A563,'Concrete Beam Schedule'!$A$2:$Q$2902,X$2,0)&lt;&gt;H563,"Beam Revised","")</f>
        <v>#N/A</v>
      </c>
      <c r="Y563" s="7" t="e">
        <f>IF(VLOOKUP($A563,'Concrete Beam Schedule'!$A$2:$Q$2902,Y$2,0)&lt;&gt;I563,"Beam Revised","")</f>
        <v>#N/A</v>
      </c>
      <c r="Z563" s="7" t="e">
        <f>IF(VLOOKUP($A563,'Concrete Beam Schedule'!$A$2:$Q$2902,Z$2,0)&lt;&gt;J563,"Beam Revised","")</f>
        <v>#N/A</v>
      </c>
      <c r="AA563" s="7" t="e">
        <f>IF(VLOOKUP($A563,'Concrete Beam Schedule'!$A$2:$Q$2902,AA$2,0)&lt;&gt;K563,"Beam Revised","")</f>
        <v>#N/A</v>
      </c>
      <c r="AB563" s="7" t="e">
        <f>IF(VLOOKUP($A563,'Concrete Beam Schedule'!$A$2:$Q$2902,AB$2,0)&lt;&gt;L563,"Beam Revised","")</f>
        <v>#N/A</v>
      </c>
      <c r="AC563" s="7" t="e">
        <f>IF(VLOOKUP($A563,'Concrete Beam Schedule'!$A$2:$Q$2902,AC$2,0)&lt;&gt;M563,"Beam Revised","")</f>
        <v>#N/A</v>
      </c>
      <c r="AD563" s="7" t="e">
        <f>IF(VLOOKUP($A563,'Concrete Beam Schedule'!$A$2:$Q$2902,AD$2,0)&lt;&gt;N563,"Beam Revised","")</f>
        <v>#N/A</v>
      </c>
      <c r="AE563" s="7" t="e">
        <f>IF(VLOOKUP($A563,'Concrete Beam Schedule'!$A$2:$Q$2902,AE$2,0)&lt;&gt;O563,"Beam Revised","")</f>
        <v>#N/A</v>
      </c>
    </row>
    <row r="564" spans="17:31" ht="13.2" x14ac:dyDescent="0.25">
      <c r="Q564" s="7">
        <f t="shared" si="8"/>
        <v>0</v>
      </c>
      <c r="R564" s="7" t="e">
        <f>IF(VLOOKUP($A564,'Concrete Beam Schedule'!$A$2:$Q$2902,R$2,0)&lt;&gt;B564,VLOOKUP($A564,'Concrete Beam Schedule'!$A$2:$Q$2902,R$2,0),"")</f>
        <v>#N/A</v>
      </c>
      <c r="S564" s="7" t="e">
        <f>IF(VLOOKUP($A564,'Concrete Beam Schedule'!$A$2:$Q$2902,S$2,0)&lt;&gt;C564,VLOOKUP($A564,'Concrete Beam Schedule'!$A$2:$Q$2902,S$2,0),"")</f>
        <v>#N/A</v>
      </c>
      <c r="T564" s="7" t="e">
        <f>IF(VLOOKUP($A564,'Concrete Beam Schedule'!$A$2:$Q$2902,T$2,0)&lt;&gt;D564,"Beam Revised","")</f>
        <v>#N/A</v>
      </c>
      <c r="U564" s="7" t="e">
        <f>IF(VLOOKUP($A564,'Concrete Beam Schedule'!$A$2:$Q$2902,U$2,0)&lt;&gt;E564,"Beam Revised","")</f>
        <v>#N/A</v>
      </c>
      <c r="V564" s="7" t="e">
        <f>IF(VLOOKUP($A564,'Concrete Beam Schedule'!$A$2:$Q$2902,V$2,0)&lt;&gt;F564,"Beam Revised","")</f>
        <v>#N/A</v>
      </c>
      <c r="W564" s="7" t="e">
        <f>IF(VLOOKUP($A564,'Concrete Beam Schedule'!$A$2:$Q$2902,W$2,0)&lt;&gt;G564,"Beam Revised","")</f>
        <v>#N/A</v>
      </c>
      <c r="X564" s="7" t="e">
        <f>IF(VLOOKUP($A564,'Concrete Beam Schedule'!$A$2:$Q$2902,X$2,0)&lt;&gt;H564,"Beam Revised","")</f>
        <v>#N/A</v>
      </c>
      <c r="Y564" s="7" t="e">
        <f>IF(VLOOKUP($A564,'Concrete Beam Schedule'!$A$2:$Q$2902,Y$2,0)&lt;&gt;I564,"Beam Revised","")</f>
        <v>#N/A</v>
      </c>
      <c r="Z564" s="7" t="e">
        <f>IF(VLOOKUP($A564,'Concrete Beam Schedule'!$A$2:$Q$2902,Z$2,0)&lt;&gt;J564,"Beam Revised","")</f>
        <v>#N/A</v>
      </c>
      <c r="AA564" s="7" t="e">
        <f>IF(VLOOKUP($A564,'Concrete Beam Schedule'!$A$2:$Q$2902,AA$2,0)&lt;&gt;K564,"Beam Revised","")</f>
        <v>#N/A</v>
      </c>
      <c r="AB564" s="7" t="e">
        <f>IF(VLOOKUP($A564,'Concrete Beam Schedule'!$A$2:$Q$2902,AB$2,0)&lt;&gt;L564,"Beam Revised","")</f>
        <v>#N/A</v>
      </c>
      <c r="AC564" s="7" t="e">
        <f>IF(VLOOKUP($A564,'Concrete Beam Schedule'!$A$2:$Q$2902,AC$2,0)&lt;&gt;M564,"Beam Revised","")</f>
        <v>#N/A</v>
      </c>
      <c r="AD564" s="7" t="e">
        <f>IF(VLOOKUP($A564,'Concrete Beam Schedule'!$A$2:$Q$2902,AD$2,0)&lt;&gt;N564,"Beam Revised","")</f>
        <v>#N/A</v>
      </c>
      <c r="AE564" s="7" t="e">
        <f>IF(VLOOKUP($A564,'Concrete Beam Schedule'!$A$2:$Q$2902,AE$2,0)&lt;&gt;O564,"Beam Revised","")</f>
        <v>#N/A</v>
      </c>
    </row>
    <row r="565" spans="17:31" ht="13.2" x14ac:dyDescent="0.25">
      <c r="Q565" s="7">
        <f t="shared" si="8"/>
        <v>0</v>
      </c>
      <c r="R565" s="7" t="e">
        <f>IF(VLOOKUP($A565,'Concrete Beam Schedule'!$A$2:$Q$2902,R$2,0)&lt;&gt;B565,VLOOKUP($A565,'Concrete Beam Schedule'!$A$2:$Q$2902,R$2,0),"")</f>
        <v>#N/A</v>
      </c>
      <c r="S565" s="7" t="e">
        <f>IF(VLOOKUP($A565,'Concrete Beam Schedule'!$A$2:$Q$2902,S$2,0)&lt;&gt;C565,VLOOKUP($A565,'Concrete Beam Schedule'!$A$2:$Q$2902,S$2,0),"")</f>
        <v>#N/A</v>
      </c>
      <c r="T565" s="7" t="e">
        <f>IF(VLOOKUP($A565,'Concrete Beam Schedule'!$A$2:$Q$2902,T$2,0)&lt;&gt;D565,"Beam Revised","")</f>
        <v>#N/A</v>
      </c>
      <c r="U565" s="7" t="e">
        <f>IF(VLOOKUP($A565,'Concrete Beam Schedule'!$A$2:$Q$2902,U$2,0)&lt;&gt;E565,"Beam Revised","")</f>
        <v>#N/A</v>
      </c>
      <c r="V565" s="7" t="e">
        <f>IF(VLOOKUP($A565,'Concrete Beam Schedule'!$A$2:$Q$2902,V$2,0)&lt;&gt;F565,"Beam Revised","")</f>
        <v>#N/A</v>
      </c>
      <c r="W565" s="7" t="e">
        <f>IF(VLOOKUP($A565,'Concrete Beam Schedule'!$A$2:$Q$2902,W$2,0)&lt;&gt;G565,"Beam Revised","")</f>
        <v>#N/A</v>
      </c>
      <c r="X565" s="7" t="e">
        <f>IF(VLOOKUP($A565,'Concrete Beam Schedule'!$A$2:$Q$2902,X$2,0)&lt;&gt;H565,"Beam Revised","")</f>
        <v>#N/A</v>
      </c>
      <c r="Y565" s="7" t="e">
        <f>IF(VLOOKUP($A565,'Concrete Beam Schedule'!$A$2:$Q$2902,Y$2,0)&lt;&gt;I565,"Beam Revised","")</f>
        <v>#N/A</v>
      </c>
      <c r="Z565" s="7" t="e">
        <f>IF(VLOOKUP($A565,'Concrete Beam Schedule'!$A$2:$Q$2902,Z$2,0)&lt;&gt;J565,"Beam Revised","")</f>
        <v>#N/A</v>
      </c>
      <c r="AA565" s="7" t="e">
        <f>IF(VLOOKUP($A565,'Concrete Beam Schedule'!$A$2:$Q$2902,AA$2,0)&lt;&gt;K565,"Beam Revised","")</f>
        <v>#N/A</v>
      </c>
      <c r="AB565" s="7" t="e">
        <f>IF(VLOOKUP($A565,'Concrete Beam Schedule'!$A$2:$Q$2902,AB$2,0)&lt;&gt;L565,"Beam Revised","")</f>
        <v>#N/A</v>
      </c>
      <c r="AC565" s="7" t="e">
        <f>IF(VLOOKUP($A565,'Concrete Beam Schedule'!$A$2:$Q$2902,AC$2,0)&lt;&gt;M565,"Beam Revised","")</f>
        <v>#N/A</v>
      </c>
      <c r="AD565" s="7" t="e">
        <f>IF(VLOOKUP($A565,'Concrete Beam Schedule'!$A$2:$Q$2902,AD$2,0)&lt;&gt;N565,"Beam Revised","")</f>
        <v>#N/A</v>
      </c>
      <c r="AE565" s="7" t="e">
        <f>IF(VLOOKUP($A565,'Concrete Beam Schedule'!$A$2:$Q$2902,AE$2,0)&lt;&gt;O565,"Beam Revised","")</f>
        <v>#N/A</v>
      </c>
    </row>
    <row r="566" spans="17:31" ht="13.2" x14ac:dyDescent="0.25">
      <c r="Q566" s="7">
        <f t="shared" si="8"/>
        <v>0</v>
      </c>
      <c r="R566" s="7" t="e">
        <f>IF(VLOOKUP($A566,'Concrete Beam Schedule'!$A$2:$Q$2902,R$2,0)&lt;&gt;B566,VLOOKUP($A566,'Concrete Beam Schedule'!$A$2:$Q$2902,R$2,0),"")</f>
        <v>#N/A</v>
      </c>
      <c r="S566" s="7" t="e">
        <f>IF(VLOOKUP($A566,'Concrete Beam Schedule'!$A$2:$Q$2902,S$2,0)&lt;&gt;C566,VLOOKUP($A566,'Concrete Beam Schedule'!$A$2:$Q$2902,S$2,0),"")</f>
        <v>#N/A</v>
      </c>
      <c r="T566" s="7" t="e">
        <f>IF(VLOOKUP($A566,'Concrete Beam Schedule'!$A$2:$Q$2902,T$2,0)&lt;&gt;D566,"Beam Revised","")</f>
        <v>#N/A</v>
      </c>
      <c r="U566" s="7" t="e">
        <f>IF(VLOOKUP($A566,'Concrete Beam Schedule'!$A$2:$Q$2902,U$2,0)&lt;&gt;E566,"Beam Revised","")</f>
        <v>#N/A</v>
      </c>
      <c r="V566" s="7" t="e">
        <f>IF(VLOOKUP($A566,'Concrete Beam Schedule'!$A$2:$Q$2902,V$2,0)&lt;&gt;F566,"Beam Revised","")</f>
        <v>#N/A</v>
      </c>
      <c r="W566" s="7" t="e">
        <f>IF(VLOOKUP($A566,'Concrete Beam Schedule'!$A$2:$Q$2902,W$2,0)&lt;&gt;G566,"Beam Revised","")</f>
        <v>#N/A</v>
      </c>
      <c r="X566" s="7" t="e">
        <f>IF(VLOOKUP($A566,'Concrete Beam Schedule'!$A$2:$Q$2902,X$2,0)&lt;&gt;H566,"Beam Revised","")</f>
        <v>#N/A</v>
      </c>
      <c r="Y566" s="7" t="e">
        <f>IF(VLOOKUP($A566,'Concrete Beam Schedule'!$A$2:$Q$2902,Y$2,0)&lt;&gt;I566,"Beam Revised","")</f>
        <v>#N/A</v>
      </c>
      <c r="Z566" s="7" t="e">
        <f>IF(VLOOKUP($A566,'Concrete Beam Schedule'!$A$2:$Q$2902,Z$2,0)&lt;&gt;J566,"Beam Revised","")</f>
        <v>#N/A</v>
      </c>
      <c r="AA566" s="7" t="e">
        <f>IF(VLOOKUP($A566,'Concrete Beam Schedule'!$A$2:$Q$2902,AA$2,0)&lt;&gt;K566,"Beam Revised","")</f>
        <v>#N/A</v>
      </c>
      <c r="AB566" s="7" t="e">
        <f>IF(VLOOKUP($A566,'Concrete Beam Schedule'!$A$2:$Q$2902,AB$2,0)&lt;&gt;L566,"Beam Revised","")</f>
        <v>#N/A</v>
      </c>
      <c r="AC566" s="7" t="e">
        <f>IF(VLOOKUP($A566,'Concrete Beam Schedule'!$A$2:$Q$2902,AC$2,0)&lt;&gt;M566,"Beam Revised","")</f>
        <v>#N/A</v>
      </c>
      <c r="AD566" s="7" t="e">
        <f>IF(VLOOKUP($A566,'Concrete Beam Schedule'!$A$2:$Q$2902,AD$2,0)&lt;&gt;N566,"Beam Revised","")</f>
        <v>#N/A</v>
      </c>
      <c r="AE566" s="7" t="e">
        <f>IF(VLOOKUP($A566,'Concrete Beam Schedule'!$A$2:$Q$2902,AE$2,0)&lt;&gt;O566,"Beam Revised","")</f>
        <v>#N/A</v>
      </c>
    </row>
    <row r="567" spans="17:31" ht="13.2" x14ac:dyDescent="0.25">
      <c r="Q567" s="7">
        <f t="shared" si="8"/>
        <v>0</v>
      </c>
      <c r="R567" s="7" t="e">
        <f>IF(VLOOKUP($A567,'Concrete Beam Schedule'!$A$2:$Q$2902,R$2,0)&lt;&gt;B567,VLOOKUP($A567,'Concrete Beam Schedule'!$A$2:$Q$2902,R$2,0),"")</f>
        <v>#N/A</v>
      </c>
      <c r="S567" s="7" t="e">
        <f>IF(VLOOKUP($A567,'Concrete Beam Schedule'!$A$2:$Q$2902,S$2,0)&lt;&gt;C567,VLOOKUP($A567,'Concrete Beam Schedule'!$A$2:$Q$2902,S$2,0),"")</f>
        <v>#N/A</v>
      </c>
      <c r="T567" s="7" t="e">
        <f>IF(VLOOKUP($A567,'Concrete Beam Schedule'!$A$2:$Q$2902,T$2,0)&lt;&gt;D567,"Beam Revised","")</f>
        <v>#N/A</v>
      </c>
      <c r="U567" s="7" t="e">
        <f>IF(VLOOKUP($A567,'Concrete Beam Schedule'!$A$2:$Q$2902,U$2,0)&lt;&gt;E567,"Beam Revised","")</f>
        <v>#N/A</v>
      </c>
      <c r="V567" s="7" t="e">
        <f>IF(VLOOKUP($A567,'Concrete Beam Schedule'!$A$2:$Q$2902,V$2,0)&lt;&gt;F567,"Beam Revised","")</f>
        <v>#N/A</v>
      </c>
      <c r="W567" s="7" t="e">
        <f>IF(VLOOKUP($A567,'Concrete Beam Schedule'!$A$2:$Q$2902,W$2,0)&lt;&gt;G567,"Beam Revised","")</f>
        <v>#N/A</v>
      </c>
      <c r="X567" s="7" t="e">
        <f>IF(VLOOKUP($A567,'Concrete Beam Schedule'!$A$2:$Q$2902,X$2,0)&lt;&gt;H567,"Beam Revised","")</f>
        <v>#N/A</v>
      </c>
      <c r="Y567" s="7" t="e">
        <f>IF(VLOOKUP($A567,'Concrete Beam Schedule'!$A$2:$Q$2902,Y$2,0)&lt;&gt;I567,"Beam Revised","")</f>
        <v>#N/A</v>
      </c>
      <c r="Z567" s="7" t="e">
        <f>IF(VLOOKUP($A567,'Concrete Beam Schedule'!$A$2:$Q$2902,Z$2,0)&lt;&gt;J567,"Beam Revised","")</f>
        <v>#N/A</v>
      </c>
      <c r="AA567" s="7" t="e">
        <f>IF(VLOOKUP($A567,'Concrete Beam Schedule'!$A$2:$Q$2902,AA$2,0)&lt;&gt;K567,"Beam Revised","")</f>
        <v>#N/A</v>
      </c>
      <c r="AB567" s="7" t="e">
        <f>IF(VLOOKUP($A567,'Concrete Beam Schedule'!$A$2:$Q$2902,AB$2,0)&lt;&gt;L567,"Beam Revised","")</f>
        <v>#N/A</v>
      </c>
      <c r="AC567" s="7" t="e">
        <f>IF(VLOOKUP($A567,'Concrete Beam Schedule'!$A$2:$Q$2902,AC$2,0)&lt;&gt;M567,"Beam Revised","")</f>
        <v>#N/A</v>
      </c>
      <c r="AD567" s="7" t="e">
        <f>IF(VLOOKUP($A567,'Concrete Beam Schedule'!$A$2:$Q$2902,AD$2,0)&lt;&gt;N567,"Beam Revised","")</f>
        <v>#N/A</v>
      </c>
      <c r="AE567" s="7" t="e">
        <f>IF(VLOOKUP($A567,'Concrete Beam Schedule'!$A$2:$Q$2902,AE$2,0)&lt;&gt;O567,"Beam Revised","")</f>
        <v>#N/A</v>
      </c>
    </row>
    <row r="568" spans="17:31" ht="13.2" x14ac:dyDescent="0.25">
      <c r="Q568" s="7">
        <f t="shared" si="8"/>
        <v>0</v>
      </c>
      <c r="R568" s="7" t="e">
        <f>IF(VLOOKUP($A568,'Concrete Beam Schedule'!$A$2:$Q$2902,R$2,0)&lt;&gt;B568,VLOOKUP($A568,'Concrete Beam Schedule'!$A$2:$Q$2902,R$2,0),"")</f>
        <v>#N/A</v>
      </c>
      <c r="S568" s="7" t="e">
        <f>IF(VLOOKUP($A568,'Concrete Beam Schedule'!$A$2:$Q$2902,S$2,0)&lt;&gt;C568,VLOOKUP($A568,'Concrete Beam Schedule'!$A$2:$Q$2902,S$2,0),"")</f>
        <v>#N/A</v>
      </c>
      <c r="T568" s="7" t="e">
        <f>IF(VLOOKUP($A568,'Concrete Beam Schedule'!$A$2:$Q$2902,T$2,0)&lt;&gt;D568,"Beam Revised","")</f>
        <v>#N/A</v>
      </c>
      <c r="U568" s="7" t="e">
        <f>IF(VLOOKUP($A568,'Concrete Beam Schedule'!$A$2:$Q$2902,U$2,0)&lt;&gt;E568,"Beam Revised","")</f>
        <v>#N/A</v>
      </c>
      <c r="V568" s="7" t="e">
        <f>IF(VLOOKUP($A568,'Concrete Beam Schedule'!$A$2:$Q$2902,V$2,0)&lt;&gt;F568,"Beam Revised","")</f>
        <v>#N/A</v>
      </c>
      <c r="W568" s="7" t="e">
        <f>IF(VLOOKUP($A568,'Concrete Beam Schedule'!$A$2:$Q$2902,W$2,0)&lt;&gt;G568,"Beam Revised","")</f>
        <v>#N/A</v>
      </c>
      <c r="X568" s="7" t="e">
        <f>IF(VLOOKUP($A568,'Concrete Beam Schedule'!$A$2:$Q$2902,X$2,0)&lt;&gt;H568,"Beam Revised","")</f>
        <v>#N/A</v>
      </c>
      <c r="Y568" s="7" t="e">
        <f>IF(VLOOKUP($A568,'Concrete Beam Schedule'!$A$2:$Q$2902,Y$2,0)&lt;&gt;I568,"Beam Revised","")</f>
        <v>#N/A</v>
      </c>
      <c r="Z568" s="7" t="e">
        <f>IF(VLOOKUP($A568,'Concrete Beam Schedule'!$A$2:$Q$2902,Z$2,0)&lt;&gt;J568,"Beam Revised","")</f>
        <v>#N/A</v>
      </c>
      <c r="AA568" s="7" t="e">
        <f>IF(VLOOKUP($A568,'Concrete Beam Schedule'!$A$2:$Q$2902,AA$2,0)&lt;&gt;K568,"Beam Revised","")</f>
        <v>#N/A</v>
      </c>
      <c r="AB568" s="7" t="e">
        <f>IF(VLOOKUP($A568,'Concrete Beam Schedule'!$A$2:$Q$2902,AB$2,0)&lt;&gt;L568,"Beam Revised","")</f>
        <v>#N/A</v>
      </c>
      <c r="AC568" s="7" t="e">
        <f>IF(VLOOKUP($A568,'Concrete Beam Schedule'!$A$2:$Q$2902,AC$2,0)&lt;&gt;M568,"Beam Revised","")</f>
        <v>#N/A</v>
      </c>
      <c r="AD568" s="7" t="e">
        <f>IF(VLOOKUP($A568,'Concrete Beam Schedule'!$A$2:$Q$2902,AD$2,0)&lt;&gt;N568,"Beam Revised","")</f>
        <v>#N/A</v>
      </c>
      <c r="AE568" s="7" t="e">
        <f>IF(VLOOKUP($A568,'Concrete Beam Schedule'!$A$2:$Q$2902,AE$2,0)&lt;&gt;O568,"Beam Revised","")</f>
        <v>#N/A</v>
      </c>
    </row>
    <row r="569" spans="17:31" ht="13.2" x14ac:dyDescent="0.25">
      <c r="Q569" s="7">
        <f t="shared" si="8"/>
        <v>0</v>
      </c>
      <c r="R569" s="7" t="e">
        <f>IF(VLOOKUP($A569,'Concrete Beam Schedule'!$A$2:$Q$2902,R$2,0)&lt;&gt;B569,VLOOKUP($A569,'Concrete Beam Schedule'!$A$2:$Q$2902,R$2,0),"")</f>
        <v>#N/A</v>
      </c>
      <c r="S569" s="7" t="e">
        <f>IF(VLOOKUP($A569,'Concrete Beam Schedule'!$A$2:$Q$2902,S$2,0)&lt;&gt;C569,VLOOKUP($A569,'Concrete Beam Schedule'!$A$2:$Q$2902,S$2,0),"")</f>
        <v>#N/A</v>
      </c>
      <c r="T569" s="7" t="e">
        <f>IF(VLOOKUP($A569,'Concrete Beam Schedule'!$A$2:$Q$2902,T$2,0)&lt;&gt;D569,"Beam Revised","")</f>
        <v>#N/A</v>
      </c>
      <c r="U569" s="7" t="e">
        <f>IF(VLOOKUP($A569,'Concrete Beam Schedule'!$A$2:$Q$2902,U$2,0)&lt;&gt;E569,"Beam Revised","")</f>
        <v>#N/A</v>
      </c>
      <c r="V569" s="7" t="e">
        <f>IF(VLOOKUP($A569,'Concrete Beam Schedule'!$A$2:$Q$2902,V$2,0)&lt;&gt;F569,"Beam Revised","")</f>
        <v>#N/A</v>
      </c>
      <c r="W569" s="7" t="e">
        <f>IF(VLOOKUP($A569,'Concrete Beam Schedule'!$A$2:$Q$2902,W$2,0)&lt;&gt;G569,"Beam Revised","")</f>
        <v>#N/A</v>
      </c>
      <c r="X569" s="7" t="e">
        <f>IF(VLOOKUP($A569,'Concrete Beam Schedule'!$A$2:$Q$2902,X$2,0)&lt;&gt;H569,"Beam Revised","")</f>
        <v>#N/A</v>
      </c>
      <c r="Y569" s="7" t="e">
        <f>IF(VLOOKUP($A569,'Concrete Beam Schedule'!$A$2:$Q$2902,Y$2,0)&lt;&gt;I569,"Beam Revised","")</f>
        <v>#N/A</v>
      </c>
      <c r="Z569" s="7" t="e">
        <f>IF(VLOOKUP($A569,'Concrete Beam Schedule'!$A$2:$Q$2902,Z$2,0)&lt;&gt;J569,"Beam Revised","")</f>
        <v>#N/A</v>
      </c>
      <c r="AA569" s="7" t="e">
        <f>IF(VLOOKUP($A569,'Concrete Beam Schedule'!$A$2:$Q$2902,AA$2,0)&lt;&gt;K569,"Beam Revised","")</f>
        <v>#N/A</v>
      </c>
      <c r="AB569" s="7" t="e">
        <f>IF(VLOOKUP($A569,'Concrete Beam Schedule'!$A$2:$Q$2902,AB$2,0)&lt;&gt;L569,"Beam Revised","")</f>
        <v>#N/A</v>
      </c>
      <c r="AC569" s="7" t="e">
        <f>IF(VLOOKUP($A569,'Concrete Beam Schedule'!$A$2:$Q$2902,AC$2,0)&lt;&gt;M569,"Beam Revised","")</f>
        <v>#N/A</v>
      </c>
      <c r="AD569" s="7" t="e">
        <f>IF(VLOOKUP($A569,'Concrete Beam Schedule'!$A$2:$Q$2902,AD$2,0)&lt;&gt;N569,"Beam Revised","")</f>
        <v>#N/A</v>
      </c>
      <c r="AE569" s="7" t="e">
        <f>IF(VLOOKUP($A569,'Concrete Beam Schedule'!$A$2:$Q$2902,AE$2,0)&lt;&gt;O569,"Beam Revised","")</f>
        <v>#N/A</v>
      </c>
    </row>
    <row r="570" spans="17:31" ht="13.2" x14ac:dyDescent="0.25">
      <c r="Q570" s="7">
        <f t="shared" si="8"/>
        <v>0</v>
      </c>
      <c r="R570" s="7" t="e">
        <f>IF(VLOOKUP($A570,'Concrete Beam Schedule'!$A$2:$Q$2902,R$2,0)&lt;&gt;B570,VLOOKUP($A570,'Concrete Beam Schedule'!$A$2:$Q$2902,R$2,0),"")</f>
        <v>#N/A</v>
      </c>
      <c r="S570" s="7" t="e">
        <f>IF(VLOOKUP($A570,'Concrete Beam Schedule'!$A$2:$Q$2902,S$2,0)&lt;&gt;C570,VLOOKUP($A570,'Concrete Beam Schedule'!$A$2:$Q$2902,S$2,0),"")</f>
        <v>#N/A</v>
      </c>
      <c r="T570" s="7" t="e">
        <f>IF(VLOOKUP($A570,'Concrete Beam Schedule'!$A$2:$Q$2902,T$2,0)&lt;&gt;D570,"Beam Revised","")</f>
        <v>#N/A</v>
      </c>
      <c r="U570" s="7" t="e">
        <f>IF(VLOOKUP($A570,'Concrete Beam Schedule'!$A$2:$Q$2902,U$2,0)&lt;&gt;E570,"Beam Revised","")</f>
        <v>#N/A</v>
      </c>
      <c r="V570" s="7" t="e">
        <f>IF(VLOOKUP($A570,'Concrete Beam Schedule'!$A$2:$Q$2902,V$2,0)&lt;&gt;F570,"Beam Revised","")</f>
        <v>#N/A</v>
      </c>
      <c r="W570" s="7" t="e">
        <f>IF(VLOOKUP($A570,'Concrete Beam Schedule'!$A$2:$Q$2902,W$2,0)&lt;&gt;G570,"Beam Revised","")</f>
        <v>#N/A</v>
      </c>
      <c r="X570" s="7" t="e">
        <f>IF(VLOOKUP($A570,'Concrete Beam Schedule'!$A$2:$Q$2902,X$2,0)&lt;&gt;H570,"Beam Revised","")</f>
        <v>#N/A</v>
      </c>
      <c r="Y570" s="7" t="e">
        <f>IF(VLOOKUP($A570,'Concrete Beam Schedule'!$A$2:$Q$2902,Y$2,0)&lt;&gt;I570,"Beam Revised","")</f>
        <v>#N/A</v>
      </c>
      <c r="Z570" s="7" t="e">
        <f>IF(VLOOKUP($A570,'Concrete Beam Schedule'!$A$2:$Q$2902,Z$2,0)&lt;&gt;J570,"Beam Revised","")</f>
        <v>#N/A</v>
      </c>
      <c r="AA570" s="7" t="e">
        <f>IF(VLOOKUP($A570,'Concrete Beam Schedule'!$A$2:$Q$2902,AA$2,0)&lt;&gt;K570,"Beam Revised","")</f>
        <v>#N/A</v>
      </c>
      <c r="AB570" s="7" t="e">
        <f>IF(VLOOKUP($A570,'Concrete Beam Schedule'!$A$2:$Q$2902,AB$2,0)&lt;&gt;L570,"Beam Revised","")</f>
        <v>#N/A</v>
      </c>
      <c r="AC570" s="7" t="e">
        <f>IF(VLOOKUP($A570,'Concrete Beam Schedule'!$A$2:$Q$2902,AC$2,0)&lt;&gt;M570,"Beam Revised","")</f>
        <v>#N/A</v>
      </c>
      <c r="AD570" s="7" t="e">
        <f>IF(VLOOKUP($A570,'Concrete Beam Schedule'!$A$2:$Q$2902,AD$2,0)&lt;&gt;N570,"Beam Revised","")</f>
        <v>#N/A</v>
      </c>
      <c r="AE570" s="7" t="e">
        <f>IF(VLOOKUP($A570,'Concrete Beam Schedule'!$A$2:$Q$2902,AE$2,0)&lt;&gt;O570,"Beam Revised","")</f>
        <v>#N/A</v>
      </c>
    </row>
    <row r="571" spans="17:31" ht="13.2" x14ac:dyDescent="0.25">
      <c r="Q571" s="7">
        <f t="shared" si="8"/>
        <v>0</v>
      </c>
      <c r="R571" s="7" t="e">
        <f>IF(VLOOKUP($A571,'Concrete Beam Schedule'!$A$2:$Q$2902,R$2,0)&lt;&gt;B571,VLOOKUP($A571,'Concrete Beam Schedule'!$A$2:$Q$2902,R$2,0),"")</f>
        <v>#N/A</v>
      </c>
      <c r="S571" s="7" t="e">
        <f>IF(VLOOKUP($A571,'Concrete Beam Schedule'!$A$2:$Q$2902,S$2,0)&lt;&gt;C571,VLOOKUP($A571,'Concrete Beam Schedule'!$A$2:$Q$2902,S$2,0),"")</f>
        <v>#N/A</v>
      </c>
      <c r="T571" s="7" t="e">
        <f>IF(VLOOKUP($A571,'Concrete Beam Schedule'!$A$2:$Q$2902,T$2,0)&lt;&gt;D571,"Beam Revised","")</f>
        <v>#N/A</v>
      </c>
      <c r="U571" s="7" t="e">
        <f>IF(VLOOKUP($A571,'Concrete Beam Schedule'!$A$2:$Q$2902,U$2,0)&lt;&gt;E571,"Beam Revised","")</f>
        <v>#N/A</v>
      </c>
      <c r="V571" s="7" t="e">
        <f>IF(VLOOKUP($A571,'Concrete Beam Schedule'!$A$2:$Q$2902,V$2,0)&lt;&gt;F571,"Beam Revised","")</f>
        <v>#N/A</v>
      </c>
      <c r="W571" s="7" t="e">
        <f>IF(VLOOKUP($A571,'Concrete Beam Schedule'!$A$2:$Q$2902,W$2,0)&lt;&gt;G571,"Beam Revised","")</f>
        <v>#N/A</v>
      </c>
      <c r="X571" s="7" t="e">
        <f>IF(VLOOKUP($A571,'Concrete Beam Schedule'!$A$2:$Q$2902,X$2,0)&lt;&gt;H571,"Beam Revised","")</f>
        <v>#N/A</v>
      </c>
      <c r="Y571" s="7" t="e">
        <f>IF(VLOOKUP($A571,'Concrete Beam Schedule'!$A$2:$Q$2902,Y$2,0)&lt;&gt;I571,"Beam Revised","")</f>
        <v>#N/A</v>
      </c>
      <c r="Z571" s="7" t="e">
        <f>IF(VLOOKUP($A571,'Concrete Beam Schedule'!$A$2:$Q$2902,Z$2,0)&lt;&gt;J571,"Beam Revised","")</f>
        <v>#N/A</v>
      </c>
      <c r="AA571" s="7" t="e">
        <f>IF(VLOOKUP($A571,'Concrete Beam Schedule'!$A$2:$Q$2902,AA$2,0)&lt;&gt;K571,"Beam Revised","")</f>
        <v>#N/A</v>
      </c>
      <c r="AB571" s="7" t="e">
        <f>IF(VLOOKUP($A571,'Concrete Beam Schedule'!$A$2:$Q$2902,AB$2,0)&lt;&gt;L571,"Beam Revised","")</f>
        <v>#N/A</v>
      </c>
      <c r="AC571" s="7" t="e">
        <f>IF(VLOOKUP($A571,'Concrete Beam Schedule'!$A$2:$Q$2902,AC$2,0)&lt;&gt;M571,"Beam Revised","")</f>
        <v>#N/A</v>
      </c>
      <c r="AD571" s="7" t="e">
        <f>IF(VLOOKUP($A571,'Concrete Beam Schedule'!$A$2:$Q$2902,AD$2,0)&lt;&gt;N571,"Beam Revised","")</f>
        <v>#N/A</v>
      </c>
      <c r="AE571" s="7" t="e">
        <f>IF(VLOOKUP($A571,'Concrete Beam Schedule'!$A$2:$Q$2902,AE$2,0)&lt;&gt;O571,"Beam Revised","")</f>
        <v>#N/A</v>
      </c>
    </row>
    <row r="572" spans="17:31" ht="13.2" x14ac:dyDescent="0.25">
      <c r="Q572" s="7">
        <f t="shared" si="8"/>
        <v>0</v>
      </c>
      <c r="R572" s="7" t="e">
        <f>IF(VLOOKUP($A572,'Concrete Beam Schedule'!$A$2:$Q$2902,R$2,0)&lt;&gt;B572,VLOOKUP($A572,'Concrete Beam Schedule'!$A$2:$Q$2902,R$2,0),"")</f>
        <v>#N/A</v>
      </c>
      <c r="S572" s="7" t="e">
        <f>IF(VLOOKUP($A572,'Concrete Beam Schedule'!$A$2:$Q$2902,S$2,0)&lt;&gt;C572,VLOOKUP($A572,'Concrete Beam Schedule'!$A$2:$Q$2902,S$2,0),"")</f>
        <v>#N/A</v>
      </c>
      <c r="T572" s="7" t="e">
        <f>IF(VLOOKUP($A572,'Concrete Beam Schedule'!$A$2:$Q$2902,T$2,0)&lt;&gt;D572,"Beam Revised","")</f>
        <v>#N/A</v>
      </c>
      <c r="U572" s="7" t="e">
        <f>IF(VLOOKUP($A572,'Concrete Beam Schedule'!$A$2:$Q$2902,U$2,0)&lt;&gt;E572,"Beam Revised","")</f>
        <v>#N/A</v>
      </c>
      <c r="V572" s="7" t="e">
        <f>IF(VLOOKUP($A572,'Concrete Beam Schedule'!$A$2:$Q$2902,V$2,0)&lt;&gt;F572,"Beam Revised","")</f>
        <v>#N/A</v>
      </c>
      <c r="W572" s="7" t="e">
        <f>IF(VLOOKUP($A572,'Concrete Beam Schedule'!$A$2:$Q$2902,W$2,0)&lt;&gt;G572,"Beam Revised","")</f>
        <v>#N/A</v>
      </c>
      <c r="X572" s="7" t="e">
        <f>IF(VLOOKUP($A572,'Concrete Beam Schedule'!$A$2:$Q$2902,X$2,0)&lt;&gt;H572,"Beam Revised","")</f>
        <v>#N/A</v>
      </c>
      <c r="Y572" s="7" t="e">
        <f>IF(VLOOKUP($A572,'Concrete Beam Schedule'!$A$2:$Q$2902,Y$2,0)&lt;&gt;I572,"Beam Revised","")</f>
        <v>#N/A</v>
      </c>
      <c r="Z572" s="7" t="e">
        <f>IF(VLOOKUP($A572,'Concrete Beam Schedule'!$A$2:$Q$2902,Z$2,0)&lt;&gt;J572,"Beam Revised","")</f>
        <v>#N/A</v>
      </c>
      <c r="AA572" s="7" t="e">
        <f>IF(VLOOKUP($A572,'Concrete Beam Schedule'!$A$2:$Q$2902,AA$2,0)&lt;&gt;K572,"Beam Revised","")</f>
        <v>#N/A</v>
      </c>
      <c r="AB572" s="7" t="e">
        <f>IF(VLOOKUP($A572,'Concrete Beam Schedule'!$A$2:$Q$2902,AB$2,0)&lt;&gt;L572,"Beam Revised","")</f>
        <v>#N/A</v>
      </c>
      <c r="AC572" s="7" t="e">
        <f>IF(VLOOKUP($A572,'Concrete Beam Schedule'!$A$2:$Q$2902,AC$2,0)&lt;&gt;M572,"Beam Revised","")</f>
        <v>#N/A</v>
      </c>
      <c r="AD572" s="7" t="e">
        <f>IF(VLOOKUP($A572,'Concrete Beam Schedule'!$A$2:$Q$2902,AD$2,0)&lt;&gt;N572,"Beam Revised","")</f>
        <v>#N/A</v>
      </c>
      <c r="AE572" s="7" t="e">
        <f>IF(VLOOKUP($A572,'Concrete Beam Schedule'!$A$2:$Q$2902,AE$2,0)&lt;&gt;O572,"Beam Revised","")</f>
        <v>#N/A</v>
      </c>
    </row>
    <row r="573" spans="17:31" ht="13.2" x14ac:dyDescent="0.25">
      <c r="Q573" s="7">
        <f t="shared" si="8"/>
        <v>0</v>
      </c>
      <c r="R573" s="7" t="e">
        <f>IF(VLOOKUP($A573,'Concrete Beam Schedule'!$A$2:$Q$2902,R$2,0)&lt;&gt;B573,VLOOKUP($A573,'Concrete Beam Schedule'!$A$2:$Q$2902,R$2,0),"")</f>
        <v>#N/A</v>
      </c>
      <c r="S573" s="7" t="e">
        <f>IF(VLOOKUP($A573,'Concrete Beam Schedule'!$A$2:$Q$2902,S$2,0)&lt;&gt;C573,VLOOKUP($A573,'Concrete Beam Schedule'!$A$2:$Q$2902,S$2,0),"")</f>
        <v>#N/A</v>
      </c>
      <c r="T573" s="7" t="e">
        <f>IF(VLOOKUP($A573,'Concrete Beam Schedule'!$A$2:$Q$2902,T$2,0)&lt;&gt;D573,"Beam Revised","")</f>
        <v>#N/A</v>
      </c>
      <c r="U573" s="7" t="e">
        <f>IF(VLOOKUP($A573,'Concrete Beam Schedule'!$A$2:$Q$2902,U$2,0)&lt;&gt;E573,"Beam Revised","")</f>
        <v>#N/A</v>
      </c>
      <c r="V573" s="7" t="e">
        <f>IF(VLOOKUP($A573,'Concrete Beam Schedule'!$A$2:$Q$2902,V$2,0)&lt;&gt;F573,"Beam Revised","")</f>
        <v>#N/A</v>
      </c>
      <c r="W573" s="7" t="e">
        <f>IF(VLOOKUP($A573,'Concrete Beam Schedule'!$A$2:$Q$2902,W$2,0)&lt;&gt;G573,"Beam Revised","")</f>
        <v>#N/A</v>
      </c>
      <c r="X573" s="7" t="e">
        <f>IF(VLOOKUP($A573,'Concrete Beam Schedule'!$A$2:$Q$2902,X$2,0)&lt;&gt;H573,"Beam Revised","")</f>
        <v>#N/A</v>
      </c>
      <c r="Y573" s="7" t="e">
        <f>IF(VLOOKUP($A573,'Concrete Beam Schedule'!$A$2:$Q$2902,Y$2,0)&lt;&gt;I573,"Beam Revised","")</f>
        <v>#N/A</v>
      </c>
      <c r="Z573" s="7" t="e">
        <f>IF(VLOOKUP($A573,'Concrete Beam Schedule'!$A$2:$Q$2902,Z$2,0)&lt;&gt;J573,"Beam Revised","")</f>
        <v>#N/A</v>
      </c>
      <c r="AA573" s="7" t="e">
        <f>IF(VLOOKUP($A573,'Concrete Beam Schedule'!$A$2:$Q$2902,AA$2,0)&lt;&gt;K573,"Beam Revised","")</f>
        <v>#N/A</v>
      </c>
      <c r="AB573" s="7" t="e">
        <f>IF(VLOOKUP($A573,'Concrete Beam Schedule'!$A$2:$Q$2902,AB$2,0)&lt;&gt;L573,"Beam Revised","")</f>
        <v>#N/A</v>
      </c>
      <c r="AC573" s="7" t="e">
        <f>IF(VLOOKUP($A573,'Concrete Beam Schedule'!$A$2:$Q$2902,AC$2,0)&lt;&gt;M573,"Beam Revised","")</f>
        <v>#N/A</v>
      </c>
      <c r="AD573" s="7" t="e">
        <f>IF(VLOOKUP($A573,'Concrete Beam Schedule'!$A$2:$Q$2902,AD$2,0)&lt;&gt;N573,"Beam Revised","")</f>
        <v>#N/A</v>
      </c>
      <c r="AE573" s="7" t="e">
        <f>IF(VLOOKUP($A573,'Concrete Beam Schedule'!$A$2:$Q$2902,AE$2,0)&lt;&gt;O573,"Beam Revised","")</f>
        <v>#N/A</v>
      </c>
    </row>
    <row r="574" spans="17:31" ht="13.2" x14ac:dyDescent="0.25">
      <c r="Q574" s="7">
        <f t="shared" si="8"/>
        <v>0</v>
      </c>
      <c r="R574" s="7" t="e">
        <f>IF(VLOOKUP($A574,'Concrete Beam Schedule'!$A$2:$Q$2902,R$2,0)&lt;&gt;B574,VLOOKUP($A574,'Concrete Beam Schedule'!$A$2:$Q$2902,R$2,0),"")</f>
        <v>#N/A</v>
      </c>
      <c r="S574" s="7" t="e">
        <f>IF(VLOOKUP($A574,'Concrete Beam Schedule'!$A$2:$Q$2902,S$2,0)&lt;&gt;C574,VLOOKUP($A574,'Concrete Beam Schedule'!$A$2:$Q$2902,S$2,0),"")</f>
        <v>#N/A</v>
      </c>
      <c r="T574" s="7" t="e">
        <f>IF(VLOOKUP($A574,'Concrete Beam Schedule'!$A$2:$Q$2902,T$2,0)&lt;&gt;D574,"Beam Revised","")</f>
        <v>#N/A</v>
      </c>
      <c r="U574" s="7" t="e">
        <f>IF(VLOOKUP($A574,'Concrete Beam Schedule'!$A$2:$Q$2902,U$2,0)&lt;&gt;E574,"Beam Revised","")</f>
        <v>#N/A</v>
      </c>
      <c r="V574" s="7" t="e">
        <f>IF(VLOOKUP($A574,'Concrete Beam Schedule'!$A$2:$Q$2902,V$2,0)&lt;&gt;F574,"Beam Revised","")</f>
        <v>#N/A</v>
      </c>
      <c r="W574" s="7" t="e">
        <f>IF(VLOOKUP($A574,'Concrete Beam Schedule'!$A$2:$Q$2902,W$2,0)&lt;&gt;G574,"Beam Revised","")</f>
        <v>#N/A</v>
      </c>
      <c r="X574" s="7" t="e">
        <f>IF(VLOOKUP($A574,'Concrete Beam Schedule'!$A$2:$Q$2902,X$2,0)&lt;&gt;H574,"Beam Revised","")</f>
        <v>#N/A</v>
      </c>
      <c r="Y574" s="7" t="e">
        <f>IF(VLOOKUP($A574,'Concrete Beam Schedule'!$A$2:$Q$2902,Y$2,0)&lt;&gt;I574,"Beam Revised","")</f>
        <v>#N/A</v>
      </c>
      <c r="Z574" s="7" t="e">
        <f>IF(VLOOKUP($A574,'Concrete Beam Schedule'!$A$2:$Q$2902,Z$2,0)&lt;&gt;J574,"Beam Revised","")</f>
        <v>#N/A</v>
      </c>
      <c r="AA574" s="7" t="e">
        <f>IF(VLOOKUP($A574,'Concrete Beam Schedule'!$A$2:$Q$2902,AA$2,0)&lt;&gt;K574,"Beam Revised","")</f>
        <v>#N/A</v>
      </c>
      <c r="AB574" s="7" t="e">
        <f>IF(VLOOKUP($A574,'Concrete Beam Schedule'!$A$2:$Q$2902,AB$2,0)&lt;&gt;L574,"Beam Revised","")</f>
        <v>#N/A</v>
      </c>
      <c r="AC574" s="7" t="e">
        <f>IF(VLOOKUP($A574,'Concrete Beam Schedule'!$A$2:$Q$2902,AC$2,0)&lt;&gt;M574,"Beam Revised","")</f>
        <v>#N/A</v>
      </c>
      <c r="AD574" s="7" t="e">
        <f>IF(VLOOKUP($A574,'Concrete Beam Schedule'!$A$2:$Q$2902,AD$2,0)&lt;&gt;N574,"Beam Revised","")</f>
        <v>#N/A</v>
      </c>
      <c r="AE574" s="7" t="e">
        <f>IF(VLOOKUP($A574,'Concrete Beam Schedule'!$A$2:$Q$2902,AE$2,0)&lt;&gt;O574,"Beam Revised","")</f>
        <v>#N/A</v>
      </c>
    </row>
    <row r="575" spans="17:31" ht="13.2" x14ac:dyDescent="0.25">
      <c r="Q575" s="7">
        <f t="shared" si="8"/>
        <v>0</v>
      </c>
      <c r="R575" s="7" t="e">
        <f>IF(VLOOKUP($A575,'Concrete Beam Schedule'!$A$2:$Q$2902,R$2,0)&lt;&gt;B575,VLOOKUP($A575,'Concrete Beam Schedule'!$A$2:$Q$2902,R$2,0),"")</f>
        <v>#N/A</v>
      </c>
      <c r="S575" s="7" t="e">
        <f>IF(VLOOKUP($A575,'Concrete Beam Schedule'!$A$2:$Q$2902,S$2,0)&lt;&gt;C575,VLOOKUP($A575,'Concrete Beam Schedule'!$A$2:$Q$2902,S$2,0),"")</f>
        <v>#N/A</v>
      </c>
      <c r="T575" s="7" t="e">
        <f>IF(VLOOKUP($A575,'Concrete Beam Schedule'!$A$2:$Q$2902,T$2,0)&lt;&gt;D575,"Beam Revised","")</f>
        <v>#N/A</v>
      </c>
      <c r="U575" s="7" t="e">
        <f>IF(VLOOKUP($A575,'Concrete Beam Schedule'!$A$2:$Q$2902,U$2,0)&lt;&gt;E575,"Beam Revised","")</f>
        <v>#N/A</v>
      </c>
      <c r="V575" s="7" t="e">
        <f>IF(VLOOKUP($A575,'Concrete Beam Schedule'!$A$2:$Q$2902,V$2,0)&lt;&gt;F575,"Beam Revised","")</f>
        <v>#N/A</v>
      </c>
      <c r="W575" s="7" t="e">
        <f>IF(VLOOKUP($A575,'Concrete Beam Schedule'!$A$2:$Q$2902,W$2,0)&lt;&gt;G575,"Beam Revised","")</f>
        <v>#N/A</v>
      </c>
      <c r="X575" s="7" t="e">
        <f>IF(VLOOKUP($A575,'Concrete Beam Schedule'!$A$2:$Q$2902,X$2,0)&lt;&gt;H575,"Beam Revised","")</f>
        <v>#N/A</v>
      </c>
      <c r="Y575" s="7" t="e">
        <f>IF(VLOOKUP($A575,'Concrete Beam Schedule'!$A$2:$Q$2902,Y$2,0)&lt;&gt;I575,"Beam Revised","")</f>
        <v>#N/A</v>
      </c>
      <c r="Z575" s="7" t="e">
        <f>IF(VLOOKUP($A575,'Concrete Beam Schedule'!$A$2:$Q$2902,Z$2,0)&lt;&gt;J575,"Beam Revised","")</f>
        <v>#N/A</v>
      </c>
      <c r="AA575" s="7" t="e">
        <f>IF(VLOOKUP($A575,'Concrete Beam Schedule'!$A$2:$Q$2902,AA$2,0)&lt;&gt;K575,"Beam Revised","")</f>
        <v>#N/A</v>
      </c>
      <c r="AB575" s="7" t="e">
        <f>IF(VLOOKUP($A575,'Concrete Beam Schedule'!$A$2:$Q$2902,AB$2,0)&lt;&gt;L575,"Beam Revised","")</f>
        <v>#N/A</v>
      </c>
      <c r="AC575" s="7" t="e">
        <f>IF(VLOOKUP($A575,'Concrete Beam Schedule'!$A$2:$Q$2902,AC$2,0)&lt;&gt;M575,"Beam Revised","")</f>
        <v>#N/A</v>
      </c>
      <c r="AD575" s="7" t="e">
        <f>IF(VLOOKUP($A575,'Concrete Beam Schedule'!$A$2:$Q$2902,AD$2,0)&lt;&gt;N575,"Beam Revised","")</f>
        <v>#N/A</v>
      </c>
      <c r="AE575" s="7" t="e">
        <f>IF(VLOOKUP($A575,'Concrete Beam Schedule'!$A$2:$Q$2902,AE$2,0)&lt;&gt;O575,"Beam Revised","")</f>
        <v>#N/A</v>
      </c>
    </row>
    <row r="576" spans="17:31" ht="13.2" x14ac:dyDescent="0.25">
      <c r="Q576" s="7">
        <f t="shared" si="8"/>
        <v>0</v>
      </c>
      <c r="R576" s="7" t="e">
        <f>IF(VLOOKUP($A576,'Concrete Beam Schedule'!$A$2:$Q$2902,R$2,0)&lt;&gt;B576,VLOOKUP($A576,'Concrete Beam Schedule'!$A$2:$Q$2902,R$2,0),"")</f>
        <v>#N/A</v>
      </c>
      <c r="S576" s="7" t="e">
        <f>IF(VLOOKUP($A576,'Concrete Beam Schedule'!$A$2:$Q$2902,S$2,0)&lt;&gt;C576,VLOOKUP($A576,'Concrete Beam Schedule'!$A$2:$Q$2902,S$2,0),"")</f>
        <v>#N/A</v>
      </c>
      <c r="T576" s="7" t="e">
        <f>IF(VLOOKUP($A576,'Concrete Beam Schedule'!$A$2:$Q$2902,T$2,0)&lt;&gt;D576,"Beam Revised","")</f>
        <v>#N/A</v>
      </c>
      <c r="U576" s="7" t="e">
        <f>IF(VLOOKUP($A576,'Concrete Beam Schedule'!$A$2:$Q$2902,U$2,0)&lt;&gt;E576,"Beam Revised","")</f>
        <v>#N/A</v>
      </c>
      <c r="V576" s="7" t="e">
        <f>IF(VLOOKUP($A576,'Concrete Beam Schedule'!$A$2:$Q$2902,V$2,0)&lt;&gt;F576,"Beam Revised","")</f>
        <v>#N/A</v>
      </c>
      <c r="W576" s="7" t="e">
        <f>IF(VLOOKUP($A576,'Concrete Beam Schedule'!$A$2:$Q$2902,W$2,0)&lt;&gt;G576,"Beam Revised","")</f>
        <v>#N/A</v>
      </c>
      <c r="X576" s="7" t="e">
        <f>IF(VLOOKUP($A576,'Concrete Beam Schedule'!$A$2:$Q$2902,X$2,0)&lt;&gt;H576,"Beam Revised","")</f>
        <v>#N/A</v>
      </c>
      <c r="Y576" s="7" t="e">
        <f>IF(VLOOKUP($A576,'Concrete Beam Schedule'!$A$2:$Q$2902,Y$2,0)&lt;&gt;I576,"Beam Revised","")</f>
        <v>#N/A</v>
      </c>
      <c r="Z576" s="7" t="e">
        <f>IF(VLOOKUP($A576,'Concrete Beam Schedule'!$A$2:$Q$2902,Z$2,0)&lt;&gt;J576,"Beam Revised","")</f>
        <v>#N/A</v>
      </c>
      <c r="AA576" s="7" t="e">
        <f>IF(VLOOKUP($A576,'Concrete Beam Schedule'!$A$2:$Q$2902,AA$2,0)&lt;&gt;K576,"Beam Revised","")</f>
        <v>#N/A</v>
      </c>
      <c r="AB576" s="7" t="e">
        <f>IF(VLOOKUP($A576,'Concrete Beam Schedule'!$A$2:$Q$2902,AB$2,0)&lt;&gt;L576,"Beam Revised","")</f>
        <v>#N/A</v>
      </c>
      <c r="AC576" s="7" t="e">
        <f>IF(VLOOKUP($A576,'Concrete Beam Schedule'!$A$2:$Q$2902,AC$2,0)&lt;&gt;M576,"Beam Revised","")</f>
        <v>#N/A</v>
      </c>
      <c r="AD576" s="7" t="e">
        <f>IF(VLOOKUP($A576,'Concrete Beam Schedule'!$A$2:$Q$2902,AD$2,0)&lt;&gt;N576,"Beam Revised","")</f>
        <v>#N/A</v>
      </c>
      <c r="AE576" s="7" t="e">
        <f>IF(VLOOKUP($A576,'Concrete Beam Schedule'!$A$2:$Q$2902,AE$2,0)&lt;&gt;O576,"Beam Revised","")</f>
        <v>#N/A</v>
      </c>
    </row>
    <row r="577" spans="17:31" ht="13.2" x14ac:dyDescent="0.25">
      <c r="Q577" s="7">
        <f t="shared" si="8"/>
        <v>0</v>
      </c>
      <c r="R577" s="7" t="e">
        <f>IF(VLOOKUP($A577,'Concrete Beam Schedule'!$A$2:$Q$2902,R$2,0)&lt;&gt;B577,VLOOKUP($A577,'Concrete Beam Schedule'!$A$2:$Q$2902,R$2,0),"")</f>
        <v>#N/A</v>
      </c>
      <c r="S577" s="7" t="e">
        <f>IF(VLOOKUP($A577,'Concrete Beam Schedule'!$A$2:$Q$2902,S$2,0)&lt;&gt;C577,VLOOKUP($A577,'Concrete Beam Schedule'!$A$2:$Q$2902,S$2,0),"")</f>
        <v>#N/A</v>
      </c>
      <c r="T577" s="7" t="e">
        <f>IF(VLOOKUP($A577,'Concrete Beam Schedule'!$A$2:$Q$2902,T$2,0)&lt;&gt;D577,"Beam Revised","")</f>
        <v>#N/A</v>
      </c>
      <c r="U577" s="7" t="e">
        <f>IF(VLOOKUP($A577,'Concrete Beam Schedule'!$A$2:$Q$2902,U$2,0)&lt;&gt;E577,"Beam Revised","")</f>
        <v>#N/A</v>
      </c>
      <c r="V577" s="7" t="e">
        <f>IF(VLOOKUP($A577,'Concrete Beam Schedule'!$A$2:$Q$2902,V$2,0)&lt;&gt;F577,"Beam Revised","")</f>
        <v>#N/A</v>
      </c>
      <c r="W577" s="7" t="e">
        <f>IF(VLOOKUP($A577,'Concrete Beam Schedule'!$A$2:$Q$2902,W$2,0)&lt;&gt;G577,"Beam Revised","")</f>
        <v>#N/A</v>
      </c>
      <c r="X577" s="7" t="e">
        <f>IF(VLOOKUP($A577,'Concrete Beam Schedule'!$A$2:$Q$2902,X$2,0)&lt;&gt;H577,"Beam Revised","")</f>
        <v>#N/A</v>
      </c>
      <c r="Y577" s="7" t="e">
        <f>IF(VLOOKUP($A577,'Concrete Beam Schedule'!$A$2:$Q$2902,Y$2,0)&lt;&gt;I577,"Beam Revised","")</f>
        <v>#N/A</v>
      </c>
      <c r="Z577" s="7" t="e">
        <f>IF(VLOOKUP($A577,'Concrete Beam Schedule'!$A$2:$Q$2902,Z$2,0)&lt;&gt;J577,"Beam Revised","")</f>
        <v>#N/A</v>
      </c>
      <c r="AA577" s="7" t="e">
        <f>IF(VLOOKUP($A577,'Concrete Beam Schedule'!$A$2:$Q$2902,AA$2,0)&lt;&gt;K577,"Beam Revised","")</f>
        <v>#N/A</v>
      </c>
      <c r="AB577" s="7" t="e">
        <f>IF(VLOOKUP($A577,'Concrete Beam Schedule'!$A$2:$Q$2902,AB$2,0)&lt;&gt;L577,"Beam Revised","")</f>
        <v>#N/A</v>
      </c>
      <c r="AC577" s="7" t="e">
        <f>IF(VLOOKUP($A577,'Concrete Beam Schedule'!$A$2:$Q$2902,AC$2,0)&lt;&gt;M577,"Beam Revised","")</f>
        <v>#N/A</v>
      </c>
      <c r="AD577" s="7" t="e">
        <f>IF(VLOOKUP($A577,'Concrete Beam Schedule'!$A$2:$Q$2902,AD$2,0)&lt;&gt;N577,"Beam Revised","")</f>
        <v>#N/A</v>
      </c>
      <c r="AE577" s="7" t="e">
        <f>IF(VLOOKUP($A577,'Concrete Beam Schedule'!$A$2:$Q$2902,AE$2,0)&lt;&gt;O577,"Beam Revised","")</f>
        <v>#N/A</v>
      </c>
    </row>
    <row r="578" spans="17:31" ht="13.2" x14ac:dyDescent="0.25">
      <c r="Q578" s="7">
        <f t="shared" si="8"/>
        <v>0</v>
      </c>
      <c r="R578" s="7" t="e">
        <f>IF(VLOOKUP($A578,'Concrete Beam Schedule'!$A$2:$Q$2902,R$2,0)&lt;&gt;B578,VLOOKUP($A578,'Concrete Beam Schedule'!$A$2:$Q$2902,R$2,0),"")</f>
        <v>#N/A</v>
      </c>
      <c r="S578" s="7" t="e">
        <f>IF(VLOOKUP($A578,'Concrete Beam Schedule'!$A$2:$Q$2902,S$2,0)&lt;&gt;C578,VLOOKUP($A578,'Concrete Beam Schedule'!$A$2:$Q$2902,S$2,0),"")</f>
        <v>#N/A</v>
      </c>
      <c r="T578" s="7" t="e">
        <f>IF(VLOOKUP($A578,'Concrete Beam Schedule'!$A$2:$Q$2902,T$2,0)&lt;&gt;D578,"Beam Revised","")</f>
        <v>#N/A</v>
      </c>
      <c r="U578" s="7" t="e">
        <f>IF(VLOOKUP($A578,'Concrete Beam Schedule'!$A$2:$Q$2902,U$2,0)&lt;&gt;E578,"Beam Revised","")</f>
        <v>#N/A</v>
      </c>
      <c r="V578" s="7" t="e">
        <f>IF(VLOOKUP($A578,'Concrete Beam Schedule'!$A$2:$Q$2902,V$2,0)&lt;&gt;F578,"Beam Revised","")</f>
        <v>#N/A</v>
      </c>
      <c r="W578" s="7" t="e">
        <f>IF(VLOOKUP($A578,'Concrete Beam Schedule'!$A$2:$Q$2902,W$2,0)&lt;&gt;G578,"Beam Revised","")</f>
        <v>#N/A</v>
      </c>
      <c r="X578" s="7" t="e">
        <f>IF(VLOOKUP($A578,'Concrete Beam Schedule'!$A$2:$Q$2902,X$2,0)&lt;&gt;H578,"Beam Revised","")</f>
        <v>#N/A</v>
      </c>
      <c r="Y578" s="7" t="e">
        <f>IF(VLOOKUP($A578,'Concrete Beam Schedule'!$A$2:$Q$2902,Y$2,0)&lt;&gt;I578,"Beam Revised","")</f>
        <v>#N/A</v>
      </c>
      <c r="Z578" s="7" t="e">
        <f>IF(VLOOKUP($A578,'Concrete Beam Schedule'!$A$2:$Q$2902,Z$2,0)&lt;&gt;J578,"Beam Revised","")</f>
        <v>#N/A</v>
      </c>
      <c r="AA578" s="7" t="e">
        <f>IF(VLOOKUP($A578,'Concrete Beam Schedule'!$A$2:$Q$2902,AA$2,0)&lt;&gt;K578,"Beam Revised","")</f>
        <v>#N/A</v>
      </c>
      <c r="AB578" s="7" t="e">
        <f>IF(VLOOKUP($A578,'Concrete Beam Schedule'!$A$2:$Q$2902,AB$2,0)&lt;&gt;L578,"Beam Revised","")</f>
        <v>#N/A</v>
      </c>
      <c r="AC578" s="7" t="e">
        <f>IF(VLOOKUP($A578,'Concrete Beam Schedule'!$A$2:$Q$2902,AC$2,0)&lt;&gt;M578,"Beam Revised","")</f>
        <v>#N/A</v>
      </c>
      <c r="AD578" s="7" t="e">
        <f>IF(VLOOKUP($A578,'Concrete Beam Schedule'!$A$2:$Q$2902,AD$2,0)&lt;&gt;N578,"Beam Revised","")</f>
        <v>#N/A</v>
      </c>
      <c r="AE578" s="7" t="e">
        <f>IF(VLOOKUP($A578,'Concrete Beam Schedule'!$A$2:$Q$2902,AE$2,0)&lt;&gt;O578,"Beam Revised","")</f>
        <v>#N/A</v>
      </c>
    </row>
    <row r="579" spans="17:31" ht="13.2" x14ac:dyDescent="0.25">
      <c r="Q579" s="7">
        <f t="shared" si="8"/>
        <v>0</v>
      </c>
      <c r="R579" s="7" t="e">
        <f>IF(VLOOKUP($A579,'Concrete Beam Schedule'!$A$2:$Q$2902,R$2,0)&lt;&gt;B579,VLOOKUP($A579,'Concrete Beam Schedule'!$A$2:$Q$2902,R$2,0),"")</f>
        <v>#N/A</v>
      </c>
      <c r="S579" s="7" t="e">
        <f>IF(VLOOKUP($A579,'Concrete Beam Schedule'!$A$2:$Q$2902,S$2,0)&lt;&gt;C579,VLOOKUP($A579,'Concrete Beam Schedule'!$A$2:$Q$2902,S$2,0),"")</f>
        <v>#N/A</v>
      </c>
      <c r="T579" s="7" t="e">
        <f>IF(VLOOKUP($A579,'Concrete Beam Schedule'!$A$2:$Q$2902,T$2,0)&lt;&gt;D579,"Beam Revised","")</f>
        <v>#N/A</v>
      </c>
      <c r="U579" s="7" t="e">
        <f>IF(VLOOKUP($A579,'Concrete Beam Schedule'!$A$2:$Q$2902,U$2,0)&lt;&gt;E579,"Beam Revised","")</f>
        <v>#N/A</v>
      </c>
      <c r="V579" s="7" t="e">
        <f>IF(VLOOKUP($A579,'Concrete Beam Schedule'!$A$2:$Q$2902,V$2,0)&lt;&gt;F579,"Beam Revised","")</f>
        <v>#N/A</v>
      </c>
      <c r="W579" s="7" t="e">
        <f>IF(VLOOKUP($A579,'Concrete Beam Schedule'!$A$2:$Q$2902,W$2,0)&lt;&gt;G579,"Beam Revised","")</f>
        <v>#N/A</v>
      </c>
      <c r="X579" s="7" t="e">
        <f>IF(VLOOKUP($A579,'Concrete Beam Schedule'!$A$2:$Q$2902,X$2,0)&lt;&gt;H579,"Beam Revised","")</f>
        <v>#N/A</v>
      </c>
      <c r="Y579" s="7" t="e">
        <f>IF(VLOOKUP($A579,'Concrete Beam Schedule'!$A$2:$Q$2902,Y$2,0)&lt;&gt;I579,"Beam Revised","")</f>
        <v>#N/A</v>
      </c>
      <c r="Z579" s="7" t="e">
        <f>IF(VLOOKUP($A579,'Concrete Beam Schedule'!$A$2:$Q$2902,Z$2,0)&lt;&gt;J579,"Beam Revised","")</f>
        <v>#N/A</v>
      </c>
      <c r="AA579" s="7" t="e">
        <f>IF(VLOOKUP($A579,'Concrete Beam Schedule'!$A$2:$Q$2902,AA$2,0)&lt;&gt;K579,"Beam Revised","")</f>
        <v>#N/A</v>
      </c>
      <c r="AB579" s="7" t="e">
        <f>IF(VLOOKUP($A579,'Concrete Beam Schedule'!$A$2:$Q$2902,AB$2,0)&lt;&gt;L579,"Beam Revised","")</f>
        <v>#N/A</v>
      </c>
      <c r="AC579" s="7" t="e">
        <f>IF(VLOOKUP($A579,'Concrete Beam Schedule'!$A$2:$Q$2902,AC$2,0)&lt;&gt;M579,"Beam Revised","")</f>
        <v>#N/A</v>
      </c>
      <c r="AD579" s="7" t="e">
        <f>IF(VLOOKUP($A579,'Concrete Beam Schedule'!$A$2:$Q$2902,AD$2,0)&lt;&gt;N579,"Beam Revised","")</f>
        <v>#N/A</v>
      </c>
      <c r="AE579" s="7" t="e">
        <f>IF(VLOOKUP($A579,'Concrete Beam Schedule'!$A$2:$Q$2902,AE$2,0)&lt;&gt;O579,"Beam Revised","")</f>
        <v>#N/A</v>
      </c>
    </row>
    <row r="580" spans="17:31" ht="13.2" x14ac:dyDescent="0.25">
      <c r="Q580" s="7">
        <f t="shared" ref="Q580:Q643" si="9">A580</f>
        <v>0</v>
      </c>
      <c r="R580" s="7" t="e">
        <f>IF(VLOOKUP($A580,'Concrete Beam Schedule'!$A$2:$Q$2902,R$2,0)&lt;&gt;B580,VLOOKUP($A580,'Concrete Beam Schedule'!$A$2:$Q$2902,R$2,0),"")</f>
        <v>#N/A</v>
      </c>
      <c r="S580" s="7" t="e">
        <f>IF(VLOOKUP($A580,'Concrete Beam Schedule'!$A$2:$Q$2902,S$2,0)&lt;&gt;C580,VLOOKUP($A580,'Concrete Beam Schedule'!$A$2:$Q$2902,S$2,0),"")</f>
        <v>#N/A</v>
      </c>
      <c r="T580" s="7" t="e">
        <f>IF(VLOOKUP($A580,'Concrete Beam Schedule'!$A$2:$Q$2902,T$2,0)&lt;&gt;D580,"Beam Revised","")</f>
        <v>#N/A</v>
      </c>
      <c r="U580" s="7" t="e">
        <f>IF(VLOOKUP($A580,'Concrete Beam Schedule'!$A$2:$Q$2902,U$2,0)&lt;&gt;E580,"Beam Revised","")</f>
        <v>#N/A</v>
      </c>
      <c r="V580" s="7" t="e">
        <f>IF(VLOOKUP($A580,'Concrete Beam Schedule'!$A$2:$Q$2902,V$2,0)&lt;&gt;F580,"Beam Revised","")</f>
        <v>#N/A</v>
      </c>
      <c r="W580" s="7" t="e">
        <f>IF(VLOOKUP($A580,'Concrete Beam Schedule'!$A$2:$Q$2902,W$2,0)&lt;&gt;G580,"Beam Revised","")</f>
        <v>#N/A</v>
      </c>
      <c r="X580" s="7" t="e">
        <f>IF(VLOOKUP($A580,'Concrete Beam Schedule'!$A$2:$Q$2902,X$2,0)&lt;&gt;H580,"Beam Revised","")</f>
        <v>#N/A</v>
      </c>
      <c r="Y580" s="7" t="e">
        <f>IF(VLOOKUP($A580,'Concrete Beam Schedule'!$A$2:$Q$2902,Y$2,0)&lt;&gt;I580,"Beam Revised","")</f>
        <v>#N/A</v>
      </c>
      <c r="Z580" s="7" t="e">
        <f>IF(VLOOKUP($A580,'Concrete Beam Schedule'!$A$2:$Q$2902,Z$2,0)&lt;&gt;J580,"Beam Revised","")</f>
        <v>#N/A</v>
      </c>
      <c r="AA580" s="7" t="e">
        <f>IF(VLOOKUP($A580,'Concrete Beam Schedule'!$A$2:$Q$2902,AA$2,0)&lt;&gt;K580,"Beam Revised","")</f>
        <v>#N/A</v>
      </c>
      <c r="AB580" s="7" t="e">
        <f>IF(VLOOKUP($A580,'Concrete Beam Schedule'!$A$2:$Q$2902,AB$2,0)&lt;&gt;L580,"Beam Revised","")</f>
        <v>#N/A</v>
      </c>
      <c r="AC580" s="7" t="e">
        <f>IF(VLOOKUP($A580,'Concrete Beam Schedule'!$A$2:$Q$2902,AC$2,0)&lt;&gt;M580,"Beam Revised","")</f>
        <v>#N/A</v>
      </c>
      <c r="AD580" s="7" t="e">
        <f>IF(VLOOKUP($A580,'Concrete Beam Schedule'!$A$2:$Q$2902,AD$2,0)&lt;&gt;N580,"Beam Revised","")</f>
        <v>#N/A</v>
      </c>
      <c r="AE580" s="7" t="e">
        <f>IF(VLOOKUP($A580,'Concrete Beam Schedule'!$A$2:$Q$2902,AE$2,0)&lt;&gt;O580,"Beam Revised","")</f>
        <v>#N/A</v>
      </c>
    </row>
    <row r="581" spans="17:31" ht="13.2" x14ac:dyDescent="0.25">
      <c r="Q581" s="7">
        <f t="shared" si="9"/>
        <v>0</v>
      </c>
      <c r="R581" s="7" t="e">
        <f>IF(VLOOKUP($A581,'Concrete Beam Schedule'!$A$2:$Q$2902,R$2,0)&lt;&gt;B581,VLOOKUP($A581,'Concrete Beam Schedule'!$A$2:$Q$2902,R$2,0),"")</f>
        <v>#N/A</v>
      </c>
      <c r="S581" s="7" t="e">
        <f>IF(VLOOKUP($A581,'Concrete Beam Schedule'!$A$2:$Q$2902,S$2,0)&lt;&gt;C581,VLOOKUP($A581,'Concrete Beam Schedule'!$A$2:$Q$2902,S$2,0),"")</f>
        <v>#N/A</v>
      </c>
      <c r="T581" s="7" t="e">
        <f>IF(VLOOKUP($A581,'Concrete Beam Schedule'!$A$2:$Q$2902,T$2,0)&lt;&gt;D581,"Beam Revised","")</f>
        <v>#N/A</v>
      </c>
      <c r="U581" s="7" t="e">
        <f>IF(VLOOKUP($A581,'Concrete Beam Schedule'!$A$2:$Q$2902,U$2,0)&lt;&gt;E581,"Beam Revised","")</f>
        <v>#N/A</v>
      </c>
      <c r="V581" s="7" t="e">
        <f>IF(VLOOKUP($A581,'Concrete Beam Schedule'!$A$2:$Q$2902,V$2,0)&lt;&gt;F581,"Beam Revised","")</f>
        <v>#N/A</v>
      </c>
      <c r="W581" s="7" t="e">
        <f>IF(VLOOKUP($A581,'Concrete Beam Schedule'!$A$2:$Q$2902,W$2,0)&lt;&gt;G581,"Beam Revised","")</f>
        <v>#N/A</v>
      </c>
      <c r="X581" s="7" t="e">
        <f>IF(VLOOKUP($A581,'Concrete Beam Schedule'!$A$2:$Q$2902,X$2,0)&lt;&gt;H581,"Beam Revised","")</f>
        <v>#N/A</v>
      </c>
      <c r="Y581" s="7" t="e">
        <f>IF(VLOOKUP($A581,'Concrete Beam Schedule'!$A$2:$Q$2902,Y$2,0)&lt;&gt;I581,"Beam Revised","")</f>
        <v>#N/A</v>
      </c>
      <c r="Z581" s="7" t="e">
        <f>IF(VLOOKUP($A581,'Concrete Beam Schedule'!$A$2:$Q$2902,Z$2,0)&lt;&gt;J581,"Beam Revised","")</f>
        <v>#N/A</v>
      </c>
      <c r="AA581" s="7" t="e">
        <f>IF(VLOOKUP($A581,'Concrete Beam Schedule'!$A$2:$Q$2902,AA$2,0)&lt;&gt;K581,"Beam Revised","")</f>
        <v>#N/A</v>
      </c>
      <c r="AB581" s="7" t="e">
        <f>IF(VLOOKUP($A581,'Concrete Beam Schedule'!$A$2:$Q$2902,AB$2,0)&lt;&gt;L581,"Beam Revised","")</f>
        <v>#N/A</v>
      </c>
      <c r="AC581" s="7" t="e">
        <f>IF(VLOOKUP($A581,'Concrete Beam Schedule'!$A$2:$Q$2902,AC$2,0)&lt;&gt;M581,"Beam Revised","")</f>
        <v>#N/A</v>
      </c>
      <c r="AD581" s="7" t="e">
        <f>IF(VLOOKUP($A581,'Concrete Beam Schedule'!$A$2:$Q$2902,AD$2,0)&lt;&gt;N581,"Beam Revised","")</f>
        <v>#N/A</v>
      </c>
      <c r="AE581" s="7" t="e">
        <f>IF(VLOOKUP($A581,'Concrete Beam Schedule'!$A$2:$Q$2902,AE$2,0)&lt;&gt;O581,"Beam Revised","")</f>
        <v>#N/A</v>
      </c>
    </row>
    <row r="582" spans="17:31" ht="13.2" x14ac:dyDescent="0.25">
      <c r="Q582" s="7">
        <f t="shared" si="9"/>
        <v>0</v>
      </c>
      <c r="R582" s="7" t="e">
        <f>IF(VLOOKUP($A582,'Concrete Beam Schedule'!$A$2:$Q$2902,R$2,0)&lt;&gt;B582,VLOOKUP($A582,'Concrete Beam Schedule'!$A$2:$Q$2902,R$2,0),"")</f>
        <v>#N/A</v>
      </c>
      <c r="S582" s="7" t="e">
        <f>IF(VLOOKUP($A582,'Concrete Beam Schedule'!$A$2:$Q$2902,S$2,0)&lt;&gt;C582,VLOOKUP($A582,'Concrete Beam Schedule'!$A$2:$Q$2902,S$2,0),"")</f>
        <v>#N/A</v>
      </c>
      <c r="T582" s="7" t="e">
        <f>IF(VLOOKUP($A582,'Concrete Beam Schedule'!$A$2:$Q$2902,T$2,0)&lt;&gt;D582,"Beam Revised","")</f>
        <v>#N/A</v>
      </c>
      <c r="U582" s="7" t="e">
        <f>IF(VLOOKUP($A582,'Concrete Beam Schedule'!$A$2:$Q$2902,U$2,0)&lt;&gt;E582,"Beam Revised","")</f>
        <v>#N/A</v>
      </c>
      <c r="V582" s="7" t="e">
        <f>IF(VLOOKUP($A582,'Concrete Beam Schedule'!$A$2:$Q$2902,V$2,0)&lt;&gt;F582,"Beam Revised","")</f>
        <v>#N/A</v>
      </c>
      <c r="W582" s="7" t="e">
        <f>IF(VLOOKUP($A582,'Concrete Beam Schedule'!$A$2:$Q$2902,W$2,0)&lt;&gt;G582,"Beam Revised","")</f>
        <v>#N/A</v>
      </c>
      <c r="X582" s="7" t="e">
        <f>IF(VLOOKUP($A582,'Concrete Beam Schedule'!$A$2:$Q$2902,X$2,0)&lt;&gt;H582,"Beam Revised","")</f>
        <v>#N/A</v>
      </c>
      <c r="Y582" s="7" t="e">
        <f>IF(VLOOKUP($A582,'Concrete Beam Schedule'!$A$2:$Q$2902,Y$2,0)&lt;&gt;I582,"Beam Revised","")</f>
        <v>#N/A</v>
      </c>
      <c r="Z582" s="7" t="e">
        <f>IF(VLOOKUP($A582,'Concrete Beam Schedule'!$A$2:$Q$2902,Z$2,0)&lt;&gt;J582,"Beam Revised","")</f>
        <v>#N/A</v>
      </c>
      <c r="AA582" s="7" t="e">
        <f>IF(VLOOKUP($A582,'Concrete Beam Schedule'!$A$2:$Q$2902,AA$2,0)&lt;&gt;K582,"Beam Revised","")</f>
        <v>#N/A</v>
      </c>
      <c r="AB582" s="7" t="e">
        <f>IF(VLOOKUP($A582,'Concrete Beam Schedule'!$A$2:$Q$2902,AB$2,0)&lt;&gt;L582,"Beam Revised","")</f>
        <v>#N/A</v>
      </c>
      <c r="AC582" s="7" t="e">
        <f>IF(VLOOKUP($A582,'Concrete Beam Schedule'!$A$2:$Q$2902,AC$2,0)&lt;&gt;M582,"Beam Revised","")</f>
        <v>#N/A</v>
      </c>
      <c r="AD582" s="7" t="e">
        <f>IF(VLOOKUP($A582,'Concrete Beam Schedule'!$A$2:$Q$2902,AD$2,0)&lt;&gt;N582,"Beam Revised","")</f>
        <v>#N/A</v>
      </c>
      <c r="AE582" s="7" t="e">
        <f>IF(VLOOKUP($A582,'Concrete Beam Schedule'!$A$2:$Q$2902,AE$2,0)&lt;&gt;O582,"Beam Revised","")</f>
        <v>#N/A</v>
      </c>
    </row>
    <row r="583" spans="17:31" ht="13.2" x14ac:dyDescent="0.25">
      <c r="Q583" s="7">
        <f t="shared" si="9"/>
        <v>0</v>
      </c>
      <c r="R583" s="7" t="e">
        <f>IF(VLOOKUP($A583,'Concrete Beam Schedule'!$A$2:$Q$2902,R$2,0)&lt;&gt;B583,VLOOKUP($A583,'Concrete Beam Schedule'!$A$2:$Q$2902,R$2,0),"")</f>
        <v>#N/A</v>
      </c>
      <c r="S583" s="7" t="e">
        <f>IF(VLOOKUP($A583,'Concrete Beam Schedule'!$A$2:$Q$2902,S$2,0)&lt;&gt;C583,VLOOKUP($A583,'Concrete Beam Schedule'!$A$2:$Q$2902,S$2,0),"")</f>
        <v>#N/A</v>
      </c>
      <c r="T583" s="7" t="e">
        <f>IF(VLOOKUP($A583,'Concrete Beam Schedule'!$A$2:$Q$2902,T$2,0)&lt;&gt;D583,"Beam Revised","")</f>
        <v>#N/A</v>
      </c>
      <c r="U583" s="7" t="e">
        <f>IF(VLOOKUP($A583,'Concrete Beam Schedule'!$A$2:$Q$2902,U$2,0)&lt;&gt;E583,"Beam Revised","")</f>
        <v>#N/A</v>
      </c>
      <c r="V583" s="7" t="e">
        <f>IF(VLOOKUP($A583,'Concrete Beam Schedule'!$A$2:$Q$2902,V$2,0)&lt;&gt;F583,"Beam Revised","")</f>
        <v>#N/A</v>
      </c>
      <c r="W583" s="7" t="e">
        <f>IF(VLOOKUP($A583,'Concrete Beam Schedule'!$A$2:$Q$2902,W$2,0)&lt;&gt;G583,"Beam Revised","")</f>
        <v>#N/A</v>
      </c>
      <c r="X583" s="7" t="e">
        <f>IF(VLOOKUP($A583,'Concrete Beam Schedule'!$A$2:$Q$2902,X$2,0)&lt;&gt;H583,"Beam Revised","")</f>
        <v>#N/A</v>
      </c>
      <c r="Y583" s="7" t="e">
        <f>IF(VLOOKUP($A583,'Concrete Beam Schedule'!$A$2:$Q$2902,Y$2,0)&lt;&gt;I583,"Beam Revised","")</f>
        <v>#N/A</v>
      </c>
      <c r="Z583" s="7" t="e">
        <f>IF(VLOOKUP($A583,'Concrete Beam Schedule'!$A$2:$Q$2902,Z$2,0)&lt;&gt;J583,"Beam Revised","")</f>
        <v>#N/A</v>
      </c>
      <c r="AA583" s="7" t="e">
        <f>IF(VLOOKUP($A583,'Concrete Beam Schedule'!$A$2:$Q$2902,AA$2,0)&lt;&gt;K583,"Beam Revised","")</f>
        <v>#N/A</v>
      </c>
      <c r="AB583" s="7" t="e">
        <f>IF(VLOOKUP($A583,'Concrete Beam Schedule'!$A$2:$Q$2902,AB$2,0)&lt;&gt;L583,"Beam Revised","")</f>
        <v>#N/A</v>
      </c>
      <c r="AC583" s="7" t="e">
        <f>IF(VLOOKUP($A583,'Concrete Beam Schedule'!$A$2:$Q$2902,AC$2,0)&lt;&gt;M583,"Beam Revised","")</f>
        <v>#N/A</v>
      </c>
      <c r="AD583" s="7" t="e">
        <f>IF(VLOOKUP($A583,'Concrete Beam Schedule'!$A$2:$Q$2902,AD$2,0)&lt;&gt;N583,"Beam Revised","")</f>
        <v>#N/A</v>
      </c>
      <c r="AE583" s="7" t="e">
        <f>IF(VLOOKUP($A583,'Concrete Beam Schedule'!$A$2:$Q$2902,AE$2,0)&lt;&gt;O583,"Beam Revised","")</f>
        <v>#N/A</v>
      </c>
    </row>
    <row r="584" spans="17:31" ht="13.2" x14ac:dyDescent="0.25">
      <c r="Q584" s="7">
        <f t="shared" si="9"/>
        <v>0</v>
      </c>
      <c r="R584" s="7" t="e">
        <f>IF(VLOOKUP($A584,'Concrete Beam Schedule'!$A$2:$Q$2902,R$2,0)&lt;&gt;B584,VLOOKUP($A584,'Concrete Beam Schedule'!$A$2:$Q$2902,R$2,0),"")</f>
        <v>#N/A</v>
      </c>
      <c r="S584" s="7" t="e">
        <f>IF(VLOOKUP($A584,'Concrete Beam Schedule'!$A$2:$Q$2902,S$2,0)&lt;&gt;C584,VLOOKUP($A584,'Concrete Beam Schedule'!$A$2:$Q$2902,S$2,0),"")</f>
        <v>#N/A</v>
      </c>
      <c r="T584" s="7" t="e">
        <f>IF(VLOOKUP($A584,'Concrete Beam Schedule'!$A$2:$Q$2902,T$2,0)&lt;&gt;D584,"Beam Revised","")</f>
        <v>#N/A</v>
      </c>
      <c r="U584" s="7" t="e">
        <f>IF(VLOOKUP($A584,'Concrete Beam Schedule'!$A$2:$Q$2902,U$2,0)&lt;&gt;E584,"Beam Revised","")</f>
        <v>#N/A</v>
      </c>
      <c r="V584" s="7" t="e">
        <f>IF(VLOOKUP($A584,'Concrete Beam Schedule'!$A$2:$Q$2902,V$2,0)&lt;&gt;F584,"Beam Revised","")</f>
        <v>#N/A</v>
      </c>
      <c r="W584" s="7" t="e">
        <f>IF(VLOOKUP($A584,'Concrete Beam Schedule'!$A$2:$Q$2902,W$2,0)&lt;&gt;G584,"Beam Revised","")</f>
        <v>#N/A</v>
      </c>
      <c r="X584" s="7" t="e">
        <f>IF(VLOOKUP($A584,'Concrete Beam Schedule'!$A$2:$Q$2902,X$2,0)&lt;&gt;H584,"Beam Revised","")</f>
        <v>#N/A</v>
      </c>
      <c r="Y584" s="7" t="e">
        <f>IF(VLOOKUP($A584,'Concrete Beam Schedule'!$A$2:$Q$2902,Y$2,0)&lt;&gt;I584,"Beam Revised","")</f>
        <v>#N/A</v>
      </c>
      <c r="Z584" s="7" t="e">
        <f>IF(VLOOKUP($A584,'Concrete Beam Schedule'!$A$2:$Q$2902,Z$2,0)&lt;&gt;J584,"Beam Revised","")</f>
        <v>#N/A</v>
      </c>
      <c r="AA584" s="7" t="e">
        <f>IF(VLOOKUP($A584,'Concrete Beam Schedule'!$A$2:$Q$2902,AA$2,0)&lt;&gt;K584,"Beam Revised","")</f>
        <v>#N/A</v>
      </c>
      <c r="AB584" s="7" t="e">
        <f>IF(VLOOKUP($A584,'Concrete Beam Schedule'!$A$2:$Q$2902,AB$2,0)&lt;&gt;L584,"Beam Revised","")</f>
        <v>#N/A</v>
      </c>
      <c r="AC584" s="7" t="e">
        <f>IF(VLOOKUP($A584,'Concrete Beam Schedule'!$A$2:$Q$2902,AC$2,0)&lt;&gt;M584,"Beam Revised","")</f>
        <v>#N/A</v>
      </c>
      <c r="AD584" s="7" t="e">
        <f>IF(VLOOKUP($A584,'Concrete Beam Schedule'!$A$2:$Q$2902,AD$2,0)&lt;&gt;N584,"Beam Revised","")</f>
        <v>#N/A</v>
      </c>
      <c r="AE584" s="7" t="e">
        <f>IF(VLOOKUP($A584,'Concrete Beam Schedule'!$A$2:$Q$2902,AE$2,0)&lt;&gt;O584,"Beam Revised","")</f>
        <v>#N/A</v>
      </c>
    </row>
    <row r="585" spans="17:31" ht="13.2" x14ac:dyDescent="0.25">
      <c r="Q585" s="7">
        <f t="shared" si="9"/>
        <v>0</v>
      </c>
      <c r="R585" s="7" t="e">
        <f>IF(VLOOKUP($A585,'Concrete Beam Schedule'!$A$2:$Q$2902,R$2,0)&lt;&gt;B585,VLOOKUP($A585,'Concrete Beam Schedule'!$A$2:$Q$2902,R$2,0),"")</f>
        <v>#N/A</v>
      </c>
      <c r="S585" s="7" t="e">
        <f>IF(VLOOKUP($A585,'Concrete Beam Schedule'!$A$2:$Q$2902,S$2,0)&lt;&gt;C585,VLOOKUP($A585,'Concrete Beam Schedule'!$A$2:$Q$2902,S$2,0),"")</f>
        <v>#N/A</v>
      </c>
      <c r="T585" s="7" t="e">
        <f>IF(VLOOKUP($A585,'Concrete Beam Schedule'!$A$2:$Q$2902,T$2,0)&lt;&gt;D585,"Beam Revised","")</f>
        <v>#N/A</v>
      </c>
      <c r="U585" s="7" t="e">
        <f>IF(VLOOKUP($A585,'Concrete Beam Schedule'!$A$2:$Q$2902,U$2,0)&lt;&gt;E585,"Beam Revised","")</f>
        <v>#N/A</v>
      </c>
      <c r="V585" s="7" t="e">
        <f>IF(VLOOKUP($A585,'Concrete Beam Schedule'!$A$2:$Q$2902,V$2,0)&lt;&gt;F585,"Beam Revised","")</f>
        <v>#N/A</v>
      </c>
      <c r="W585" s="7" t="e">
        <f>IF(VLOOKUP($A585,'Concrete Beam Schedule'!$A$2:$Q$2902,W$2,0)&lt;&gt;G585,"Beam Revised","")</f>
        <v>#N/A</v>
      </c>
      <c r="X585" s="7" t="e">
        <f>IF(VLOOKUP($A585,'Concrete Beam Schedule'!$A$2:$Q$2902,X$2,0)&lt;&gt;H585,"Beam Revised","")</f>
        <v>#N/A</v>
      </c>
      <c r="Y585" s="7" t="e">
        <f>IF(VLOOKUP($A585,'Concrete Beam Schedule'!$A$2:$Q$2902,Y$2,0)&lt;&gt;I585,"Beam Revised","")</f>
        <v>#N/A</v>
      </c>
      <c r="Z585" s="7" t="e">
        <f>IF(VLOOKUP($A585,'Concrete Beam Schedule'!$A$2:$Q$2902,Z$2,0)&lt;&gt;J585,"Beam Revised","")</f>
        <v>#N/A</v>
      </c>
      <c r="AA585" s="7" t="e">
        <f>IF(VLOOKUP($A585,'Concrete Beam Schedule'!$A$2:$Q$2902,AA$2,0)&lt;&gt;K585,"Beam Revised","")</f>
        <v>#N/A</v>
      </c>
      <c r="AB585" s="7" t="e">
        <f>IF(VLOOKUP($A585,'Concrete Beam Schedule'!$A$2:$Q$2902,AB$2,0)&lt;&gt;L585,"Beam Revised","")</f>
        <v>#N/A</v>
      </c>
      <c r="AC585" s="7" t="e">
        <f>IF(VLOOKUP($A585,'Concrete Beam Schedule'!$A$2:$Q$2902,AC$2,0)&lt;&gt;M585,"Beam Revised","")</f>
        <v>#N/A</v>
      </c>
      <c r="AD585" s="7" t="e">
        <f>IF(VLOOKUP($A585,'Concrete Beam Schedule'!$A$2:$Q$2902,AD$2,0)&lt;&gt;N585,"Beam Revised","")</f>
        <v>#N/A</v>
      </c>
      <c r="AE585" s="7" t="e">
        <f>IF(VLOOKUP($A585,'Concrete Beam Schedule'!$A$2:$Q$2902,AE$2,0)&lt;&gt;O585,"Beam Revised","")</f>
        <v>#N/A</v>
      </c>
    </row>
    <row r="586" spans="17:31" ht="13.2" x14ac:dyDescent="0.25">
      <c r="Q586" s="7">
        <f t="shared" si="9"/>
        <v>0</v>
      </c>
      <c r="R586" s="7" t="e">
        <f>IF(VLOOKUP($A586,'Concrete Beam Schedule'!$A$2:$Q$2902,R$2,0)&lt;&gt;B586,VLOOKUP($A586,'Concrete Beam Schedule'!$A$2:$Q$2902,R$2,0),"")</f>
        <v>#N/A</v>
      </c>
      <c r="S586" s="7" t="e">
        <f>IF(VLOOKUP($A586,'Concrete Beam Schedule'!$A$2:$Q$2902,S$2,0)&lt;&gt;C586,VLOOKUP($A586,'Concrete Beam Schedule'!$A$2:$Q$2902,S$2,0),"")</f>
        <v>#N/A</v>
      </c>
      <c r="T586" s="7" t="e">
        <f>IF(VLOOKUP($A586,'Concrete Beam Schedule'!$A$2:$Q$2902,T$2,0)&lt;&gt;D586,"Beam Revised","")</f>
        <v>#N/A</v>
      </c>
      <c r="U586" s="7" t="e">
        <f>IF(VLOOKUP($A586,'Concrete Beam Schedule'!$A$2:$Q$2902,U$2,0)&lt;&gt;E586,"Beam Revised","")</f>
        <v>#N/A</v>
      </c>
      <c r="V586" s="7" t="e">
        <f>IF(VLOOKUP($A586,'Concrete Beam Schedule'!$A$2:$Q$2902,V$2,0)&lt;&gt;F586,"Beam Revised","")</f>
        <v>#N/A</v>
      </c>
      <c r="W586" s="7" t="e">
        <f>IF(VLOOKUP($A586,'Concrete Beam Schedule'!$A$2:$Q$2902,W$2,0)&lt;&gt;G586,"Beam Revised","")</f>
        <v>#N/A</v>
      </c>
      <c r="X586" s="7" t="e">
        <f>IF(VLOOKUP($A586,'Concrete Beam Schedule'!$A$2:$Q$2902,X$2,0)&lt;&gt;H586,"Beam Revised","")</f>
        <v>#N/A</v>
      </c>
      <c r="Y586" s="7" t="e">
        <f>IF(VLOOKUP($A586,'Concrete Beam Schedule'!$A$2:$Q$2902,Y$2,0)&lt;&gt;I586,"Beam Revised","")</f>
        <v>#N/A</v>
      </c>
      <c r="Z586" s="7" t="e">
        <f>IF(VLOOKUP($A586,'Concrete Beam Schedule'!$A$2:$Q$2902,Z$2,0)&lt;&gt;J586,"Beam Revised","")</f>
        <v>#N/A</v>
      </c>
      <c r="AA586" s="7" t="e">
        <f>IF(VLOOKUP($A586,'Concrete Beam Schedule'!$A$2:$Q$2902,AA$2,0)&lt;&gt;K586,"Beam Revised","")</f>
        <v>#N/A</v>
      </c>
      <c r="AB586" s="7" t="e">
        <f>IF(VLOOKUP($A586,'Concrete Beam Schedule'!$A$2:$Q$2902,AB$2,0)&lt;&gt;L586,"Beam Revised","")</f>
        <v>#N/A</v>
      </c>
      <c r="AC586" s="7" t="e">
        <f>IF(VLOOKUP($A586,'Concrete Beam Schedule'!$A$2:$Q$2902,AC$2,0)&lt;&gt;M586,"Beam Revised","")</f>
        <v>#N/A</v>
      </c>
      <c r="AD586" s="7" t="e">
        <f>IF(VLOOKUP($A586,'Concrete Beam Schedule'!$A$2:$Q$2902,AD$2,0)&lt;&gt;N586,"Beam Revised","")</f>
        <v>#N/A</v>
      </c>
      <c r="AE586" s="7" t="e">
        <f>IF(VLOOKUP($A586,'Concrete Beam Schedule'!$A$2:$Q$2902,AE$2,0)&lt;&gt;O586,"Beam Revised","")</f>
        <v>#N/A</v>
      </c>
    </row>
    <row r="587" spans="17:31" ht="13.2" x14ac:dyDescent="0.25">
      <c r="Q587" s="7">
        <f t="shared" si="9"/>
        <v>0</v>
      </c>
      <c r="R587" s="7" t="e">
        <f>IF(VLOOKUP($A587,'Concrete Beam Schedule'!$A$2:$Q$2902,R$2,0)&lt;&gt;B587,VLOOKUP($A587,'Concrete Beam Schedule'!$A$2:$Q$2902,R$2,0),"")</f>
        <v>#N/A</v>
      </c>
      <c r="S587" s="7" t="e">
        <f>IF(VLOOKUP($A587,'Concrete Beam Schedule'!$A$2:$Q$2902,S$2,0)&lt;&gt;C587,VLOOKUP($A587,'Concrete Beam Schedule'!$A$2:$Q$2902,S$2,0),"")</f>
        <v>#N/A</v>
      </c>
      <c r="T587" s="7" t="e">
        <f>IF(VLOOKUP($A587,'Concrete Beam Schedule'!$A$2:$Q$2902,T$2,0)&lt;&gt;D587,"Beam Revised","")</f>
        <v>#N/A</v>
      </c>
      <c r="U587" s="7" t="e">
        <f>IF(VLOOKUP($A587,'Concrete Beam Schedule'!$A$2:$Q$2902,U$2,0)&lt;&gt;E587,"Beam Revised","")</f>
        <v>#N/A</v>
      </c>
      <c r="V587" s="7" t="e">
        <f>IF(VLOOKUP($A587,'Concrete Beam Schedule'!$A$2:$Q$2902,V$2,0)&lt;&gt;F587,"Beam Revised","")</f>
        <v>#N/A</v>
      </c>
      <c r="W587" s="7" t="e">
        <f>IF(VLOOKUP($A587,'Concrete Beam Schedule'!$A$2:$Q$2902,W$2,0)&lt;&gt;G587,"Beam Revised","")</f>
        <v>#N/A</v>
      </c>
      <c r="X587" s="7" t="e">
        <f>IF(VLOOKUP($A587,'Concrete Beam Schedule'!$A$2:$Q$2902,X$2,0)&lt;&gt;H587,"Beam Revised","")</f>
        <v>#N/A</v>
      </c>
      <c r="Y587" s="7" t="e">
        <f>IF(VLOOKUP($A587,'Concrete Beam Schedule'!$A$2:$Q$2902,Y$2,0)&lt;&gt;I587,"Beam Revised","")</f>
        <v>#N/A</v>
      </c>
      <c r="Z587" s="7" t="e">
        <f>IF(VLOOKUP($A587,'Concrete Beam Schedule'!$A$2:$Q$2902,Z$2,0)&lt;&gt;J587,"Beam Revised","")</f>
        <v>#N/A</v>
      </c>
      <c r="AA587" s="7" t="e">
        <f>IF(VLOOKUP($A587,'Concrete Beam Schedule'!$A$2:$Q$2902,AA$2,0)&lt;&gt;K587,"Beam Revised","")</f>
        <v>#N/A</v>
      </c>
      <c r="AB587" s="7" t="e">
        <f>IF(VLOOKUP($A587,'Concrete Beam Schedule'!$A$2:$Q$2902,AB$2,0)&lt;&gt;L587,"Beam Revised","")</f>
        <v>#N/A</v>
      </c>
      <c r="AC587" s="7" t="e">
        <f>IF(VLOOKUP($A587,'Concrete Beam Schedule'!$A$2:$Q$2902,AC$2,0)&lt;&gt;M587,"Beam Revised","")</f>
        <v>#N/A</v>
      </c>
      <c r="AD587" s="7" t="e">
        <f>IF(VLOOKUP($A587,'Concrete Beam Schedule'!$A$2:$Q$2902,AD$2,0)&lt;&gt;N587,"Beam Revised","")</f>
        <v>#N/A</v>
      </c>
      <c r="AE587" s="7" t="e">
        <f>IF(VLOOKUP($A587,'Concrete Beam Schedule'!$A$2:$Q$2902,AE$2,0)&lt;&gt;O587,"Beam Revised","")</f>
        <v>#N/A</v>
      </c>
    </row>
    <row r="588" spans="17:31" ht="13.2" x14ac:dyDescent="0.25">
      <c r="Q588" s="7">
        <f t="shared" si="9"/>
        <v>0</v>
      </c>
      <c r="R588" s="7" t="e">
        <f>IF(VLOOKUP($A588,'Concrete Beam Schedule'!$A$2:$Q$2902,R$2,0)&lt;&gt;B588,VLOOKUP($A588,'Concrete Beam Schedule'!$A$2:$Q$2902,R$2,0),"")</f>
        <v>#N/A</v>
      </c>
      <c r="S588" s="7" t="e">
        <f>IF(VLOOKUP($A588,'Concrete Beam Schedule'!$A$2:$Q$2902,S$2,0)&lt;&gt;C588,VLOOKUP($A588,'Concrete Beam Schedule'!$A$2:$Q$2902,S$2,0),"")</f>
        <v>#N/A</v>
      </c>
      <c r="T588" s="7" t="e">
        <f>IF(VLOOKUP($A588,'Concrete Beam Schedule'!$A$2:$Q$2902,T$2,0)&lt;&gt;D588,"Beam Revised","")</f>
        <v>#N/A</v>
      </c>
      <c r="U588" s="7" t="e">
        <f>IF(VLOOKUP($A588,'Concrete Beam Schedule'!$A$2:$Q$2902,U$2,0)&lt;&gt;E588,"Beam Revised","")</f>
        <v>#N/A</v>
      </c>
      <c r="V588" s="7" t="e">
        <f>IF(VLOOKUP($A588,'Concrete Beam Schedule'!$A$2:$Q$2902,V$2,0)&lt;&gt;F588,"Beam Revised","")</f>
        <v>#N/A</v>
      </c>
      <c r="W588" s="7" t="e">
        <f>IF(VLOOKUP($A588,'Concrete Beam Schedule'!$A$2:$Q$2902,W$2,0)&lt;&gt;G588,"Beam Revised","")</f>
        <v>#N/A</v>
      </c>
      <c r="X588" s="7" t="e">
        <f>IF(VLOOKUP($A588,'Concrete Beam Schedule'!$A$2:$Q$2902,X$2,0)&lt;&gt;H588,"Beam Revised","")</f>
        <v>#N/A</v>
      </c>
      <c r="Y588" s="7" t="e">
        <f>IF(VLOOKUP($A588,'Concrete Beam Schedule'!$A$2:$Q$2902,Y$2,0)&lt;&gt;I588,"Beam Revised","")</f>
        <v>#N/A</v>
      </c>
      <c r="Z588" s="7" t="e">
        <f>IF(VLOOKUP($A588,'Concrete Beam Schedule'!$A$2:$Q$2902,Z$2,0)&lt;&gt;J588,"Beam Revised","")</f>
        <v>#N/A</v>
      </c>
      <c r="AA588" s="7" t="e">
        <f>IF(VLOOKUP($A588,'Concrete Beam Schedule'!$A$2:$Q$2902,AA$2,0)&lt;&gt;K588,"Beam Revised","")</f>
        <v>#N/A</v>
      </c>
      <c r="AB588" s="7" t="e">
        <f>IF(VLOOKUP($A588,'Concrete Beam Schedule'!$A$2:$Q$2902,AB$2,0)&lt;&gt;L588,"Beam Revised","")</f>
        <v>#N/A</v>
      </c>
      <c r="AC588" s="7" t="e">
        <f>IF(VLOOKUP($A588,'Concrete Beam Schedule'!$A$2:$Q$2902,AC$2,0)&lt;&gt;M588,"Beam Revised","")</f>
        <v>#N/A</v>
      </c>
      <c r="AD588" s="7" t="e">
        <f>IF(VLOOKUP($A588,'Concrete Beam Schedule'!$A$2:$Q$2902,AD$2,0)&lt;&gt;N588,"Beam Revised","")</f>
        <v>#N/A</v>
      </c>
      <c r="AE588" s="7" t="e">
        <f>IF(VLOOKUP($A588,'Concrete Beam Schedule'!$A$2:$Q$2902,AE$2,0)&lt;&gt;O588,"Beam Revised","")</f>
        <v>#N/A</v>
      </c>
    </row>
    <row r="589" spans="17:31" ht="13.2" x14ac:dyDescent="0.25">
      <c r="Q589" s="7">
        <f t="shared" si="9"/>
        <v>0</v>
      </c>
      <c r="R589" s="7" t="e">
        <f>IF(VLOOKUP($A589,'Concrete Beam Schedule'!$A$2:$Q$2902,R$2,0)&lt;&gt;B589,VLOOKUP($A589,'Concrete Beam Schedule'!$A$2:$Q$2902,R$2,0),"")</f>
        <v>#N/A</v>
      </c>
      <c r="S589" s="7" t="e">
        <f>IF(VLOOKUP($A589,'Concrete Beam Schedule'!$A$2:$Q$2902,S$2,0)&lt;&gt;C589,VLOOKUP($A589,'Concrete Beam Schedule'!$A$2:$Q$2902,S$2,0),"")</f>
        <v>#N/A</v>
      </c>
      <c r="T589" s="7" t="e">
        <f>IF(VLOOKUP($A589,'Concrete Beam Schedule'!$A$2:$Q$2902,T$2,0)&lt;&gt;D589,"Beam Revised","")</f>
        <v>#N/A</v>
      </c>
      <c r="U589" s="7" t="e">
        <f>IF(VLOOKUP($A589,'Concrete Beam Schedule'!$A$2:$Q$2902,U$2,0)&lt;&gt;E589,"Beam Revised","")</f>
        <v>#N/A</v>
      </c>
      <c r="V589" s="7" t="e">
        <f>IF(VLOOKUP($A589,'Concrete Beam Schedule'!$A$2:$Q$2902,V$2,0)&lt;&gt;F589,"Beam Revised","")</f>
        <v>#N/A</v>
      </c>
      <c r="W589" s="7" t="e">
        <f>IF(VLOOKUP($A589,'Concrete Beam Schedule'!$A$2:$Q$2902,W$2,0)&lt;&gt;G589,"Beam Revised","")</f>
        <v>#N/A</v>
      </c>
      <c r="X589" s="7" t="e">
        <f>IF(VLOOKUP($A589,'Concrete Beam Schedule'!$A$2:$Q$2902,X$2,0)&lt;&gt;H589,"Beam Revised","")</f>
        <v>#N/A</v>
      </c>
      <c r="Y589" s="7" t="e">
        <f>IF(VLOOKUP($A589,'Concrete Beam Schedule'!$A$2:$Q$2902,Y$2,0)&lt;&gt;I589,"Beam Revised","")</f>
        <v>#N/A</v>
      </c>
      <c r="Z589" s="7" t="e">
        <f>IF(VLOOKUP($A589,'Concrete Beam Schedule'!$A$2:$Q$2902,Z$2,0)&lt;&gt;J589,"Beam Revised","")</f>
        <v>#N/A</v>
      </c>
      <c r="AA589" s="7" t="e">
        <f>IF(VLOOKUP($A589,'Concrete Beam Schedule'!$A$2:$Q$2902,AA$2,0)&lt;&gt;K589,"Beam Revised","")</f>
        <v>#N/A</v>
      </c>
      <c r="AB589" s="7" t="e">
        <f>IF(VLOOKUP($A589,'Concrete Beam Schedule'!$A$2:$Q$2902,AB$2,0)&lt;&gt;L589,"Beam Revised","")</f>
        <v>#N/A</v>
      </c>
      <c r="AC589" s="7" t="e">
        <f>IF(VLOOKUP($A589,'Concrete Beam Schedule'!$A$2:$Q$2902,AC$2,0)&lt;&gt;M589,"Beam Revised","")</f>
        <v>#N/A</v>
      </c>
      <c r="AD589" s="7" t="e">
        <f>IF(VLOOKUP($A589,'Concrete Beam Schedule'!$A$2:$Q$2902,AD$2,0)&lt;&gt;N589,"Beam Revised","")</f>
        <v>#N/A</v>
      </c>
      <c r="AE589" s="7" t="e">
        <f>IF(VLOOKUP($A589,'Concrete Beam Schedule'!$A$2:$Q$2902,AE$2,0)&lt;&gt;O589,"Beam Revised","")</f>
        <v>#N/A</v>
      </c>
    </row>
    <row r="590" spans="17:31" ht="13.2" x14ac:dyDescent="0.25">
      <c r="Q590" s="7">
        <f t="shared" si="9"/>
        <v>0</v>
      </c>
      <c r="R590" s="7" t="e">
        <f>IF(VLOOKUP($A590,'Concrete Beam Schedule'!$A$2:$Q$2902,R$2,0)&lt;&gt;B590,VLOOKUP($A590,'Concrete Beam Schedule'!$A$2:$Q$2902,R$2,0),"")</f>
        <v>#N/A</v>
      </c>
      <c r="S590" s="7" t="e">
        <f>IF(VLOOKUP($A590,'Concrete Beam Schedule'!$A$2:$Q$2902,S$2,0)&lt;&gt;C590,VLOOKUP($A590,'Concrete Beam Schedule'!$A$2:$Q$2902,S$2,0),"")</f>
        <v>#N/A</v>
      </c>
      <c r="T590" s="7" t="e">
        <f>IF(VLOOKUP($A590,'Concrete Beam Schedule'!$A$2:$Q$2902,T$2,0)&lt;&gt;D590,"Beam Revised","")</f>
        <v>#N/A</v>
      </c>
      <c r="U590" s="7" t="e">
        <f>IF(VLOOKUP($A590,'Concrete Beam Schedule'!$A$2:$Q$2902,U$2,0)&lt;&gt;E590,"Beam Revised","")</f>
        <v>#N/A</v>
      </c>
      <c r="V590" s="7" t="e">
        <f>IF(VLOOKUP($A590,'Concrete Beam Schedule'!$A$2:$Q$2902,V$2,0)&lt;&gt;F590,"Beam Revised","")</f>
        <v>#N/A</v>
      </c>
      <c r="W590" s="7" t="e">
        <f>IF(VLOOKUP($A590,'Concrete Beam Schedule'!$A$2:$Q$2902,W$2,0)&lt;&gt;G590,"Beam Revised","")</f>
        <v>#N/A</v>
      </c>
      <c r="X590" s="7" t="e">
        <f>IF(VLOOKUP($A590,'Concrete Beam Schedule'!$A$2:$Q$2902,X$2,0)&lt;&gt;H590,"Beam Revised","")</f>
        <v>#N/A</v>
      </c>
      <c r="Y590" s="7" t="e">
        <f>IF(VLOOKUP($A590,'Concrete Beam Schedule'!$A$2:$Q$2902,Y$2,0)&lt;&gt;I590,"Beam Revised","")</f>
        <v>#N/A</v>
      </c>
      <c r="Z590" s="7" t="e">
        <f>IF(VLOOKUP($A590,'Concrete Beam Schedule'!$A$2:$Q$2902,Z$2,0)&lt;&gt;J590,"Beam Revised","")</f>
        <v>#N/A</v>
      </c>
      <c r="AA590" s="7" t="e">
        <f>IF(VLOOKUP($A590,'Concrete Beam Schedule'!$A$2:$Q$2902,AA$2,0)&lt;&gt;K590,"Beam Revised","")</f>
        <v>#N/A</v>
      </c>
      <c r="AB590" s="7" t="e">
        <f>IF(VLOOKUP($A590,'Concrete Beam Schedule'!$A$2:$Q$2902,AB$2,0)&lt;&gt;L590,"Beam Revised","")</f>
        <v>#N/A</v>
      </c>
      <c r="AC590" s="7" t="e">
        <f>IF(VLOOKUP($A590,'Concrete Beam Schedule'!$A$2:$Q$2902,AC$2,0)&lt;&gt;M590,"Beam Revised","")</f>
        <v>#N/A</v>
      </c>
      <c r="AD590" s="7" t="e">
        <f>IF(VLOOKUP($A590,'Concrete Beam Schedule'!$A$2:$Q$2902,AD$2,0)&lt;&gt;N590,"Beam Revised","")</f>
        <v>#N/A</v>
      </c>
      <c r="AE590" s="7" t="e">
        <f>IF(VLOOKUP($A590,'Concrete Beam Schedule'!$A$2:$Q$2902,AE$2,0)&lt;&gt;O590,"Beam Revised","")</f>
        <v>#N/A</v>
      </c>
    </row>
    <row r="591" spans="17:31" ht="13.2" x14ac:dyDescent="0.25">
      <c r="Q591" s="7">
        <f t="shared" si="9"/>
        <v>0</v>
      </c>
      <c r="R591" s="7" t="e">
        <f>IF(VLOOKUP($A591,'Concrete Beam Schedule'!$A$2:$Q$2902,R$2,0)&lt;&gt;B591,VLOOKUP($A591,'Concrete Beam Schedule'!$A$2:$Q$2902,R$2,0),"")</f>
        <v>#N/A</v>
      </c>
      <c r="S591" s="7" t="e">
        <f>IF(VLOOKUP($A591,'Concrete Beam Schedule'!$A$2:$Q$2902,S$2,0)&lt;&gt;C591,VLOOKUP($A591,'Concrete Beam Schedule'!$A$2:$Q$2902,S$2,0),"")</f>
        <v>#N/A</v>
      </c>
      <c r="T591" s="7" t="e">
        <f>IF(VLOOKUP($A591,'Concrete Beam Schedule'!$A$2:$Q$2902,T$2,0)&lt;&gt;D591,"Beam Revised","")</f>
        <v>#N/A</v>
      </c>
      <c r="U591" s="7" t="e">
        <f>IF(VLOOKUP($A591,'Concrete Beam Schedule'!$A$2:$Q$2902,U$2,0)&lt;&gt;E591,"Beam Revised","")</f>
        <v>#N/A</v>
      </c>
      <c r="V591" s="7" t="e">
        <f>IF(VLOOKUP($A591,'Concrete Beam Schedule'!$A$2:$Q$2902,V$2,0)&lt;&gt;F591,"Beam Revised","")</f>
        <v>#N/A</v>
      </c>
      <c r="W591" s="7" t="e">
        <f>IF(VLOOKUP($A591,'Concrete Beam Schedule'!$A$2:$Q$2902,W$2,0)&lt;&gt;G591,"Beam Revised","")</f>
        <v>#N/A</v>
      </c>
      <c r="X591" s="7" t="e">
        <f>IF(VLOOKUP($A591,'Concrete Beam Schedule'!$A$2:$Q$2902,X$2,0)&lt;&gt;H591,"Beam Revised","")</f>
        <v>#N/A</v>
      </c>
      <c r="Y591" s="7" t="e">
        <f>IF(VLOOKUP($A591,'Concrete Beam Schedule'!$A$2:$Q$2902,Y$2,0)&lt;&gt;I591,"Beam Revised","")</f>
        <v>#N/A</v>
      </c>
      <c r="Z591" s="7" t="e">
        <f>IF(VLOOKUP($A591,'Concrete Beam Schedule'!$A$2:$Q$2902,Z$2,0)&lt;&gt;J591,"Beam Revised","")</f>
        <v>#N/A</v>
      </c>
      <c r="AA591" s="7" t="e">
        <f>IF(VLOOKUP($A591,'Concrete Beam Schedule'!$A$2:$Q$2902,AA$2,0)&lt;&gt;K591,"Beam Revised","")</f>
        <v>#N/A</v>
      </c>
      <c r="AB591" s="7" t="e">
        <f>IF(VLOOKUP($A591,'Concrete Beam Schedule'!$A$2:$Q$2902,AB$2,0)&lt;&gt;L591,"Beam Revised","")</f>
        <v>#N/A</v>
      </c>
      <c r="AC591" s="7" t="e">
        <f>IF(VLOOKUP($A591,'Concrete Beam Schedule'!$A$2:$Q$2902,AC$2,0)&lt;&gt;M591,"Beam Revised","")</f>
        <v>#N/A</v>
      </c>
      <c r="AD591" s="7" t="e">
        <f>IF(VLOOKUP($A591,'Concrete Beam Schedule'!$A$2:$Q$2902,AD$2,0)&lt;&gt;N591,"Beam Revised","")</f>
        <v>#N/A</v>
      </c>
      <c r="AE591" s="7" t="e">
        <f>IF(VLOOKUP($A591,'Concrete Beam Schedule'!$A$2:$Q$2902,AE$2,0)&lt;&gt;O591,"Beam Revised","")</f>
        <v>#N/A</v>
      </c>
    </row>
    <row r="592" spans="17:31" ht="13.2" x14ac:dyDescent="0.25">
      <c r="Q592" s="7">
        <f t="shared" si="9"/>
        <v>0</v>
      </c>
      <c r="R592" s="7" t="e">
        <f>IF(VLOOKUP($A592,'Concrete Beam Schedule'!$A$2:$Q$2902,R$2,0)&lt;&gt;B592,VLOOKUP($A592,'Concrete Beam Schedule'!$A$2:$Q$2902,R$2,0),"")</f>
        <v>#N/A</v>
      </c>
      <c r="S592" s="7" t="e">
        <f>IF(VLOOKUP($A592,'Concrete Beam Schedule'!$A$2:$Q$2902,S$2,0)&lt;&gt;C592,VLOOKUP($A592,'Concrete Beam Schedule'!$A$2:$Q$2902,S$2,0),"")</f>
        <v>#N/A</v>
      </c>
      <c r="T592" s="7" t="e">
        <f>IF(VLOOKUP($A592,'Concrete Beam Schedule'!$A$2:$Q$2902,T$2,0)&lt;&gt;D592,"Beam Revised","")</f>
        <v>#N/A</v>
      </c>
      <c r="U592" s="7" t="e">
        <f>IF(VLOOKUP($A592,'Concrete Beam Schedule'!$A$2:$Q$2902,U$2,0)&lt;&gt;E592,"Beam Revised","")</f>
        <v>#N/A</v>
      </c>
      <c r="V592" s="7" t="e">
        <f>IF(VLOOKUP($A592,'Concrete Beam Schedule'!$A$2:$Q$2902,V$2,0)&lt;&gt;F592,"Beam Revised","")</f>
        <v>#N/A</v>
      </c>
      <c r="W592" s="7" t="e">
        <f>IF(VLOOKUP($A592,'Concrete Beam Schedule'!$A$2:$Q$2902,W$2,0)&lt;&gt;G592,"Beam Revised","")</f>
        <v>#N/A</v>
      </c>
      <c r="X592" s="7" t="e">
        <f>IF(VLOOKUP($A592,'Concrete Beam Schedule'!$A$2:$Q$2902,X$2,0)&lt;&gt;H592,"Beam Revised","")</f>
        <v>#N/A</v>
      </c>
      <c r="Y592" s="7" t="e">
        <f>IF(VLOOKUP($A592,'Concrete Beam Schedule'!$A$2:$Q$2902,Y$2,0)&lt;&gt;I592,"Beam Revised","")</f>
        <v>#N/A</v>
      </c>
      <c r="Z592" s="7" t="e">
        <f>IF(VLOOKUP($A592,'Concrete Beam Schedule'!$A$2:$Q$2902,Z$2,0)&lt;&gt;J592,"Beam Revised","")</f>
        <v>#N/A</v>
      </c>
      <c r="AA592" s="7" t="e">
        <f>IF(VLOOKUP($A592,'Concrete Beam Schedule'!$A$2:$Q$2902,AA$2,0)&lt;&gt;K592,"Beam Revised","")</f>
        <v>#N/A</v>
      </c>
      <c r="AB592" s="7" t="e">
        <f>IF(VLOOKUP($A592,'Concrete Beam Schedule'!$A$2:$Q$2902,AB$2,0)&lt;&gt;L592,"Beam Revised","")</f>
        <v>#N/A</v>
      </c>
      <c r="AC592" s="7" t="e">
        <f>IF(VLOOKUP($A592,'Concrete Beam Schedule'!$A$2:$Q$2902,AC$2,0)&lt;&gt;M592,"Beam Revised","")</f>
        <v>#N/A</v>
      </c>
      <c r="AD592" s="7" t="e">
        <f>IF(VLOOKUP($A592,'Concrete Beam Schedule'!$A$2:$Q$2902,AD$2,0)&lt;&gt;N592,"Beam Revised","")</f>
        <v>#N/A</v>
      </c>
      <c r="AE592" s="7" t="e">
        <f>IF(VLOOKUP($A592,'Concrete Beam Schedule'!$A$2:$Q$2902,AE$2,0)&lt;&gt;O592,"Beam Revised","")</f>
        <v>#N/A</v>
      </c>
    </row>
    <row r="593" spans="17:31" ht="13.2" x14ac:dyDescent="0.25">
      <c r="Q593" s="7">
        <f t="shared" si="9"/>
        <v>0</v>
      </c>
      <c r="R593" s="7" t="e">
        <f>IF(VLOOKUP($A593,'Concrete Beam Schedule'!$A$2:$Q$2902,R$2,0)&lt;&gt;B593,VLOOKUP($A593,'Concrete Beam Schedule'!$A$2:$Q$2902,R$2,0),"")</f>
        <v>#N/A</v>
      </c>
      <c r="S593" s="7" t="e">
        <f>IF(VLOOKUP($A593,'Concrete Beam Schedule'!$A$2:$Q$2902,S$2,0)&lt;&gt;C593,VLOOKUP($A593,'Concrete Beam Schedule'!$A$2:$Q$2902,S$2,0),"")</f>
        <v>#N/A</v>
      </c>
      <c r="T593" s="7" t="e">
        <f>IF(VLOOKUP($A593,'Concrete Beam Schedule'!$A$2:$Q$2902,T$2,0)&lt;&gt;D593,"Beam Revised","")</f>
        <v>#N/A</v>
      </c>
      <c r="U593" s="7" t="e">
        <f>IF(VLOOKUP($A593,'Concrete Beam Schedule'!$A$2:$Q$2902,U$2,0)&lt;&gt;E593,"Beam Revised","")</f>
        <v>#N/A</v>
      </c>
      <c r="V593" s="7" t="e">
        <f>IF(VLOOKUP($A593,'Concrete Beam Schedule'!$A$2:$Q$2902,V$2,0)&lt;&gt;F593,"Beam Revised","")</f>
        <v>#N/A</v>
      </c>
      <c r="W593" s="7" t="e">
        <f>IF(VLOOKUP($A593,'Concrete Beam Schedule'!$A$2:$Q$2902,W$2,0)&lt;&gt;G593,"Beam Revised","")</f>
        <v>#N/A</v>
      </c>
      <c r="X593" s="7" t="e">
        <f>IF(VLOOKUP($A593,'Concrete Beam Schedule'!$A$2:$Q$2902,X$2,0)&lt;&gt;H593,"Beam Revised","")</f>
        <v>#N/A</v>
      </c>
      <c r="Y593" s="7" t="e">
        <f>IF(VLOOKUP($A593,'Concrete Beam Schedule'!$A$2:$Q$2902,Y$2,0)&lt;&gt;I593,"Beam Revised","")</f>
        <v>#N/A</v>
      </c>
      <c r="Z593" s="7" t="e">
        <f>IF(VLOOKUP($A593,'Concrete Beam Schedule'!$A$2:$Q$2902,Z$2,0)&lt;&gt;J593,"Beam Revised","")</f>
        <v>#N/A</v>
      </c>
      <c r="AA593" s="7" t="e">
        <f>IF(VLOOKUP($A593,'Concrete Beam Schedule'!$A$2:$Q$2902,AA$2,0)&lt;&gt;K593,"Beam Revised","")</f>
        <v>#N/A</v>
      </c>
      <c r="AB593" s="7" t="e">
        <f>IF(VLOOKUP($A593,'Concrete Beam Schedule'!$A$2:$Q$2902,AB$2,0)&lt;&gt;L593,"Beam Revised","")</f>
        <v>#N/A</v>
      </c>
      <c r="AC593" s="7" t="e">
        <f>IF(VLOOKUP($A593,'Concrete Beam Schedule'!$A$2:$Q$2902,AC$2,0)&lt;&gt;M593,"Beam Revised","")</f>
        <v>#N/A</v>
      </c>
      <c r="AD593" s="7" t="e">
        <f>IF(VLOOKUP($A593,'Concrete Beam Schedule'!$A$2:$Q$2902,AD$2,0)&lt;&gt;N593,"Beam Revised","")</f>
        <v>#N/A</v>
      </c>
      <c r="AE593" s="7" t="e">
        <f>IF(VLOOKUP($A593,'Concrete Beam Schedule'!$A$2:$Q$2902,AE$2,0)&lt;&gt;O593,"Beam Revised","")</f>
        <v>#N/A</v>
      </c>
    </row>
    <row r="594" spans="17:31" ht="13.2" x14ac:dyDescent="0.25">
      <c r="Q594" s="7">
        <f t="shared" si="9"/>
        <v>0</v>
      </c>
      <c r="R594" s="7" t="e">
        <f>IF(VLOOKUP($A594,'Concrete Beam Schedule'!$A$2:$Q$2902,R$2,0)&lt;&gt;B594,VLOOKUP($A594,'Concrete Beam Schedule'!$A$2:$Q$2902,R$2,0),"")</f>
        <v>#N/A</v>
      </c>
      <c r="S594" s="7" t="e">
        <f>IF(VLOOKUP($A594,'Concrete Beam Schedule'!$A$2:$Q$2902,S$2,0)&lt;&gt;C594,VLOOKUP($A594,'Concrete Beam Schedule'!$A$2:$Q$2902,S$2,0),"")</f>
        <v>#N/A</v>
      </c>
      <c r="T594" s="7" t="e">
        <f>IF(VLOOKUP($A594,'Concrete Beam Schedule'!$A$2:$Q$2902,T$2,0)&lt;&gt;D594,"Beam Revised","")</f>
        <v>#N/A</v>
      </c>
      <c r="U594" s="7" t="e">
        <f>IF(VLOOKUP($A594,'Concrete Beam Schedule'!$A$2:$Q$2902,U$2,0)&lt;&gt;E594,"Beam Revised","")</f>
        <v>#N/A</v>
      </c>
      <c r="V594" s="7" t="e">
        <f>IF(VLOOKUP($A594,'Concrete Beam Schedule'!$A$2:$Q$2902,V$2,0)&lt;&gt;F594,"Beam Revised","")</f>
        <v>#N/A</v>
      </c>
      <c r="W594" s="7" t="e">
        <f>IF(VLOOKUP($A594,'Concrete Beam Schedule'!$A$2:$Q$2902,W$2,0)&lt;&gt;G594,"Beam Revised","")</f>
        <v>#N/A</v>
      </c>
      <c r="X594" s="7" t="e">
        <f>IF(VLOOKUP($A594,'Concrete Beam Schedule'!$A$2:$Q$2902,X$2,0)&lt;&gt;H594,"Beam Revised","")</f>
        <v>#N/A</v>
      </c>
      <c r="Y594" s="7" t="e">
        <f>IF(VLOOKUP($A594,'Concrete Beam Schedule'!$A$2:$Q$2902,Y$2,0)&lt;&gt;I594,"Beam Revised","")</f>
        <v>#N/A</v>
      </c>
      <c r="Z594" s="7" t="e">
        <f>IF(VLOOKUP($A594,'Concrete Beam Schedule'!$A$2:$Q$2902,Z$2,0)&lt;&gt;J594,"Beam Revised","")</f>
        <v>#N/A</v>
      </c>
      <c r="AA594" s="7" t="e">
        <f>IF(VLOOKUP($A594,'Concrete Beam Schedule'!$A$2:$Q$2902,AA$2,0)&lt;&gt;K594,"Beam Revised","")</f>
        <v>#N/A</v>
      </c>
      <c r="AB594" s="7" t="e">
        <f>IF(VLOOKUP($A594,'Concrete Beam Schedule'!$A$2:$Q$2902,AB$2,0)&lt;&gt;L594,"Beam Revised","")</f>
        <v>#N/A</v>
      </c>
      <c r="AC594" s="7" t="e">
        <f>IF(VLOOKUP($A594,'Concrete Beam Schedule'!$A$2:$Q$2902,AC$2,0)&lt;&gt;M594,"Beam Revised","")</f>
        <v>#N/A</v>
      </c>
      <c r="AD594" s="7" t="e">
        <f>IF(VLOOKUP($A594,'Concrete Beam Schedule'!$A$2:$Q$2902,AD$2,0)&lt;&gt;N594,"Beam Revised","")</f>
        <v>#N/A</v>
      </c>
      <c r="AE594" s="7" t="e">
        <f>IF(VLOOKUP($A594,'Concrete Beam Schedule'!$A$2:$Q$2902,AE$2,0)&lt;&gt;O594,"Beam Revised","")</f>
        <v>#N/A</v>
      </c>
    </row>
    <row r="595" spans="17:31" ht="13.2" x14ac:dyDescent="0.25">
      <c r="Q595" s="7">
        <f t="shared" si="9"/>
        <v>0</v>
      </c>
      <c r="R595" s="7" t="e">
        <f>IF(VLOOKUP($A595,'Concrete Beam Schedule'!$A$2:$Q$2902,R$2,0)&lt;&gt;B595,VLOOKUP($A595,'Concrete Beam Schedule'!$A$2:$Q$2902,R$2,0),"")</f>
        <v>#N/A</v>
      </c>
      <c r="S595" s="7" t="e">
        <f>IF(VLOOKUP($A595,'Concrete Beam Schedule'!$A$2:$Q$2902,S$2,0)&lt;&gt;C595,VLOOKUP($A595,'Concrete Beam Schedule'!$A$2:$Q$2902,S$2,0),"")</f>
        <v>#N/A</v>
      </c>
      <c r="T595" s="7" t="e">
        <f>IF(VLOOKUP($A595,'Concrete Beam Schedule'!$A$2:$Q$2902,T$2,0)&lt;&gt;D595,"Beam Revised","")</f>
        <v>#N/A</v>
      </c>
      <c r="U595" s="7" t="e">
        <f>IF(VLOOKUP($A595,'Concrete Beam Schedule'!$A$2:$Q$2902,U$2,0)&lt;&gt;E595,"Beam Revised","")</f>
        <v>#N/A</v>
      </c>
      <c r="V595" s="7" t="e">
        <f>IF(VLOOKUP($A595,'Concrete Beam Schedule'!$A$2:$Q$2902,V$2,0)&lt;&gt;F595,"Beam Revised","")</f>
        <v>#N/A</v>
      </c>
      <c r="W595" s="7" t="e">
        <f>IF(VLOOKUP($A595,'Concrete Beam Schedule'!$A$2:$Q$2902,W$2,0)&lt;&gt;G595,"Beam Revised","")</f>
        <v>#N/A</v>
      </c>
      <c r="X595" s="7" t="e">
        <f>IF(VLOOKUP($A595,'Concrete Beam Schedule'!$A$2:$Q$2902,X$2,0)&lt;&gt;H595,"Beam Revised","")</f>
        <v>#N/A</v>
      </c>
      <c r="Y595" s="7" t="e">
        <f>IF(VLOOKUP($A595,'Concrete Beam Schedule'!$A$2:$Q$2902,Y$2,0)&lt;&gt;I595,"Beam Revised","")</f>
        <v>#N/A</v>
      </c>
      <c r="Z595" s="7" t="e">
        <f>IF(VLOOKUP($A595,'Concrete Beam Schedule'!$A$2:$Q$2902,Z$2,0)&lt;&gt;J595,"Beam Revised","")</f>
        <v>#N/A</v>
      </c>
      <c r="AA595" s="7" t="e">
        <f>IF(VLOOKUP($A595,'Concrete Beam Schedule'!$A$2:$Q$2902,AA$2,0)&lt;&gt;K595,"Beam Revised","")</f>
        <v>#N/A</v>
      </c>
      <c r="AB595" s="7" t="e">
        <f>IF(VLOOKUP($A595,'Concrete Beam Schedule'!$A$2:$Q$2902,AB$2,0)&lt;&gt;L595,"Beam Revised","")</f>
        <v>#N/A</v>
      </c>
      <c r="AC595" s="7" t="e">
        <f>IF(VLOOKUP($A595,'Concrete Beam Schedule'!$A$2:$Q$2902,AC$2,0)&lt;&gt;M595,"Beam Revised","")</f>
        <v>#N/A</v>
      </c>
      <c r="AD595" s="7" t="e">
        <f>IF(VLOOKUP($A595,'Concrete Beam Schedule'!$A$2:$Q$2902,AD$2,0)&lt;&gt;N595,"Beam Revised","")</f>
        <v>#N/A</v>
      </c>
      <c r="AE595" s="7" t="e">
        <f>IF(VLOOKUP($A595,'Concrete Beam Schedule'!$A$2:$Q$2902,AE$2,0)&lt;&gt;O595,"Beam Revised","")</f>
        <v>#N/A</v>
      </c>
    </row>
    <row r="596" spans="17:31" ht="13.2" x14ac:dyDescent="0.25">
      <c r="Q596" s="7">
        <f t="shared" si="9"/>
        <v>0</v>
      </c>
      <c r="R596" s="7" t="e">
        <f>IF(VLOOKUP($A596,'Concrete Beam Schedule'!$A$2:$Q$2902,R$2,0)&lt;&gt;B596,VLOOKUP($A596,'Concrete Beam Schedule'!$A$2:$Q$2902,R$2,0),"")</f>
        <v>#N/A</v>
      </c>
      <c r="S596" s="7" t="e">
        <f>IF(VLOOKUP($A596,'Concrete Beam Schedule'!$A$2:$Q$2902,S$2,0)&lt;&gt;C596,VLOOKUP($A596,'Concrete Beam Schedule'!$A$2:$Q$2902,S$2,0),"")</f>
        <v>#N/A</v>
      </c>
      <c r="T596" s="7" t="e">
        <f>IF(VLOOKUP($A596,'Concrete Beam Schedule'!$A$2:$Q$2902,T$2,0)&lt;&gt;D596,"Beam Revised","")</f>
        <v>#N/A</v>
      </c>
      <c r="U596" s="7" t="e">
        <f>IF(VLOOKUP($A596,'Concrete Beam Schedule'!$A$2:$Q$2902,U$2,0)&lt;&gt;E596,"Beam Revised","")</f>
        <v>#N/A</v>
      </c>
      <c r="V596" s="7" t="e">
        <f>IF(VLOOKUP($A596,'Concrete Beam Schedule'!$A$2:$Q$2902,V$2,0)&lt;&gt;F596,"Beam Revised","")</f>
        <v>#N/A</v>
      </c>
      <c r="W596" s="7" t="e">
        <f>IF(VLOOKUP($A596,'Concrete Beam Schedule'!$A$2:$Q$2902,W$2,0)&lt;&gt;G596,"Beam Revised","")</f>
        <v>#N/A</v>
      </c>
      <c r="X596" s="7" t="e">
        <f>IF(VLOOKUP($A596,'Concrete Beam Schedule'!$A$2:$Q$2902,X$2,0)&lt;&gt;H596,"Beam Revised","")</f>
        <v>#N/A</v>
      </c>
      <c r="Y596" s="7" t="e">
        <f>IF(VLOOKUP($A596,'Concrete Beam Schedule'!$A$2:$Q$2902,Y$2,0)&lt;&gt;I596,"Beam Revised","")</f>
        <v>#N/A</v>
      </c>
      <c r="Z596" s="7" t="e">
        <f>IF(VLOOKUP($A596,'Concrete Beam Schedule'!$A$2:$Q$2902,Z$2,0)&lt;&gt;J596,"Beam Revised","")</f>
        <v>#N/A</v>
      </c>
      <c r="AA596" s="7" t="e">
        <f>IF(VLOOKUP($A596,'Concrete Beam Schedule'!$A$2:$Q$2902,AA$2,0)&lt;&gt;K596,"Beam Revised","")</f>
        <v>#N/A</v>
      </c>
      <c r="AB596" s="7" t="e">
        <f>IF(VLOOKUP($A596,'Concrete Beam Schedule'!$A$2:$Q$2902,AB$2,0)&lt;&gt;L596,"Beam Revised","")</f>
        <v>#N/A</v>
      </c>
      <c r="AC596" s="7" t="e">
        <f>IF(VLOOKUP($A596,'Concrete Beam Schedule'!$A$2:$Q$2902,AC$2,0)&lt;&gt;M596,"Beam Revised","")</f>
        <v>#N/A</v>
      </c>
      <c r="AD596" s="7" t="e">
        <f>IF(VLOOKUP($A596,'Concrete Beam Schedule'!$A$2:$Q$2902,AD$2,0)&lt;&gt;N596,"Beam Revised","")</f>
        <v>#N/A</v>
      </c>
      <c r="AE596" s="7" t="e">
        <f>IF(VLOOKUP($A596,'Concrete Beam Schedule'!$A$2:$Q$2902,AE$2,0)&lt;&gt;O596,"Beam Revised","")</f>
        <v>#N/A</v>
      </c>
    </row>
    <row r="597" spans="17:31" ht="13.2" x14ac:dyDescent="0.25">
      <c r="Q597" s="7">
        <f t="shared" si="9"/>
        <v>0</v>
      </c>
      <c r="R597" s="7" t="e">
        <f>IF(VLOOKUP($A597,'Concrete Beam Schedule'!$A$2:$Q$2902,R$2,0)&lt;&gt;B597,VLOOKUP($A597,'Concrete Beam Schedule'!$A$2:$Q$2902,R$2,0),"")</f>
        <v>#N/A</v>
      </c>
      <c r="S597" s="7" t="e">
        <f>IF(VLOOKUP($A597,'Concrete Beam Schedule'!$A$2:$Q$2902,S$2,0)&lt;&gt;C597,VLOOKUP($A597,'Concrete Beam Schedule'!$A$2:$Q$2902,S$2,0),"")</f>
        <v>#N/A</v>
      </c>
      <c r="T597" s="7" t="e">
        <f>IF(VLOOKUP($A597,'Concrete Beam Schedule'!$A$2:$Q$2902,T$2,0)&lt;&gt;D597,"Beam Revised","")</f>
        <v>#N/A</v>
      </c>
      <c r="U597" s="7" t="e">
        <f>IF(VLOOKUP($A597,'Concrete Beam Schedule'!$A$2:$Q$2902,U$2,0)&lt;&gt;E597,"Beam Revised","")</f>
        <v>#N/A</v>
      </c>
      <c r="V597" s="7" t="e">
        <f>IF(VLOOKUP($A597,'Concrete Beam Schedule'!$A$2:$Q$2902,V$2,0)&lt;&gt;F597,"Beam Revised","")</f>
        <v>#N/A</v>
      </c>
      <c r="W597" s="7" t="e">
        <f>IF(VLOOKUP($A597,'Concrete Beam Schedule'!$A$2:$Q$2902,W$2,0)&lt;&gt;G597,"Beam Revised","")</f>
        <v>#N/A</v>
      </c>
      <c r="X597" s="7" t="e">
        <f>IF(VLOOKUP($A597,'Concrete Beam Schedule'!$A$2:$Q$2902,X$2,0)&lt;&gt;H597,"Beam Revised","")</f>
        <v>#N/A</v>
      </c>
      <c r="Y597" s="7" t="e">
        <f>IF(VLOOKUP($A597,'Concrete Beam Schedule'!$A$2:$Q$2902,Y$2,0)&lt;&gt;I597,"Beam Revised","")</f>
        <v>#N/A</v>
      </c>
      <c r="Z597" s="7" t="e">
        <f>IF(VLOOKUP($A597,'Concrete Beam Schedule'!$A$2:$Q$2902,Z$2,0)&lt;&gt;J597,"Beam Revised","")</f>
        <v>#N/A</v>
      </c>
      <c r="AA597" s="7" t="e">
        <f>IF(VLOOKUP($A597,'Concrete Beam Schedule'!$A$2:$Q$2902,AA$2,0)&lt;&gt;K597,"Beam Revised","")</f>
        <v>#N/A</v>
      </c>
      <c r="AB597" s="7" t="e">
        <f>IF(VLOOKUP($A597,'Concrete Beam Schedule'!$A$2:$Q$2902,AB$2,0)&lt;&gt;L597,"Beam Revised","")</f>
        <v>#N/A</v>
      </c>
      <c r="AC597" s="7" t="e">
        <f>IF(VLOOKUP($A597,'Concrete Beam Schedule'!$A$2:$Q$2902,AC$2,0)&lt;&gt;M597,"Beam Revised","")</f>
        <v>#N/A</v>
      </c>
      <c r="AD597" s="7" t="e">
        <f>IF(VLOOKUP($A597,'Concrete Beam Schedule'!$A$2:$Q$2902,AD$2,0)&lt;&gt;N597,"Beam Revised","")</f>
        <v>#N/A</v>
      </c>
      <c r="AE597" s="7" t="e">
        <f>IF(VLOOKUP($A597,'Concrete Beam Schedule'!$A$2:$Q$2902,AE$2,0)&lt;&gt;O597,"Beam Revised","")</f>
        <v>#N/A</v>
      </c>
    </row>
    <row r="598" spans="17:31" ht="13.2" x14ac:dyDescent="0.25">
      <c r="Q598" s="7">
        <f t="shared" si="9"/>
        <v>0</v>
      </c>
      <c r="R598" s="7" t="e">
        <f>IF(VLOOKUP($A598,'Concrete Beam Schedule'!$A$2:$Q$2902,R$2,0)&lt;&gt;B598,VLOOKUP($A598,'Concrete Beam Schedule'!$A$2:$Q$2902,R$2,0),"")</f>
        <v>#N/A</v>
      </c>
      <c r="S598" s="7" t="e">
        <f>IF(VLOOKUP($A598,'Concrete Beam Schedule'!$A$2:$Q$2902,S$2,0)&lt;&gt;C598,VLOOKUP($A598,'Concrete Beam Schedule'!$A$2:$Q$2902,S$2,0),"")</f>
        <v>#N/A</v>
      </c>
      <c r="T598" s="7" t="e">
        <f>IF(VLOOKUP($A598,'Concrete Beam Schedule'!$A$2:$Q$2902,T$2,0)&lt;&gt;D598,"Beam Revised","")</f>
        <v>#N/A</v>
      </c>
      <c r="U598" s="7" t="e">
        <f>IF(VLOOKUP($A598,'Concrete Beam Schedule'!$A$2:$Q$2902,U$2,0)&lt;&gt;E598,"Beam Revised","")</f>
        <v>#N/A</v>
      </c>
      <c r="V598" s="7" t="e">
        <f>IF(VLOOKUP($A598,'Concrete Beam Schedule'!$A$2:$Q$2902,V$2,0)&lt;&gt;F598,"Beam Revised","")</f>
        <v>#N/A</v>
      </c>
      <c r="W598" s="7" t="e">
        <f>IF(VLOOKUP($A598,'Concrete Beam Schedule'!$A$2:$Q$2902,W$2,0)&lt;&gt;G598,"Beam Revised","")</f>
        <v>#N/A</v>
      </c>
      <c r="X598" s="7" t="e">
        <f>IF(VLOOKUP($A598,'Concrete Beam Schedule'!$A$2:$Q$2902,X$2,0)&lt;&gt;H598,"Beam Revised","")</f>
        <v>#N/A</v>
      </c>
      <c r="Y598" s="7" t="e">
        <f>IF(VLOOKUP($A598,'Concrete Beam Schedule'!$A$2:$Q$2902,Y$2,0)&lt;&gt;I598,"Beam Revised","")</f>
        <v>#N/A</v>
      </c>
      <c r="Z598" s="7" t="e">
        <f>IF(VLOOKUP($A598,'Concrete Beam Schedule'!$A$2:$Q$2902,Z$2,0)&lt;&gt;J598,"Beam Revised","")</f>
        <v>#N/A</v>
      </c>
      <c r="AA598" s="7" t="e">
        <f>IF(VLOOKUP($A598,'Concrete Beam Schedule'!$A$2:$Q$2902,AA$2,0)&lt;&gt;K598,"Beam Revised","")</f>
        <v>#N/A</v>
      </c>
      <c r="AB598" s="7" t="e">
        <f>IF(VLOOKUP($A598,'Concrete Beam Schedule'!$A$2:$Q$2902,AB$2,0)&lt;&gt;L598,"Beam Revised","")</f>
        <v>#N/A</v>
      </c>
      <c r="AC598" s="7" t="e">
        <f>IF(VLOOKUP($A598,'Concrete Beam Schedule'!$A$2:$Q$2902,AC$2,0)&lt;&gt;M598,"Beam Revised","")</f>
        <v>#N/A</v>
      </c>
      <c r="AD598" s="7" t="e">
        <f>IF(VLOOKUP($A598,'Concrete Beam Schedule'!$A$2:$Q$2902,AD$2,0)&lt;&gt;N598,"Beam Revised","")</f>
        <v>#N/A</v>
      </c>
      <c r="AE598" s="7" t="e">
        <f>IF(VLOOKUP($A598,'Concrete Beam Schedule'!$A$2:$Q$2902,AE$2,0)&lt;&gt;O598,"Beam Revised","")</f>
        <v>#N/A</v>
      </c>
    </row>
    <row r="599" spans="17:31" ht="13.2" x14ac:dyDescent="0.25">
      <c r="Q599" s="7">
        <f t="shared" si="9"/>
        <v>0</v>
      </c>
      <c r="R599" s="7" t="e">
        <f>IF(VLOOKUP($A599,'Concrete Beam Schedule'!$A$2:$Q$2902,R$2,0)&lt;&gt;B599,VLOOKUP($A599,'Concrete Beam Schedule'!$A$2:$Q$2902,R$2,0),"")</f>
        <v>#N/A</v>
      </c>
      <c r="S599" s="7" t="e">
        <f>IF(VLOOKUP($A599,'Concrete Beam Schedule'!$A$2:$Q$2902,S$2,0)&lt;&gt;C599,VLOOKUP($A599,'Concrete Beam Schedule'!$A$2:$Q$2902,S$2,0),"")</f>
        <v>#N/A</v>
      </c>
      <c r="T599" s="7" t="e">
        <f>IF(VLOOKUP($A599,'Concrete Beam Schedule'!$A$2:$Q$2902,T$2,0)&lt;&gt;D599,"Beam Revised","")</f>
        <v>#N/A</v>
      </c>
      <c r="U599" s="7" t="e">
        <f>IF(VLOOKUP($A599,'Concrete Beam Schedule'!$A$2:$Q$2902,U$2,0)&lt;&gt;E599,"Beam Revised","")</f>
        <v>#N/A</v>
      </c>
      <c r="V599" s="7" t="e">
        <f>IF(VLOOKUP($A599,'Concrete Beam Schedule'!$A$2:$Q$2902,V$2,0)&lt;&gt;F599,"Beam Revised","")</f>
        <v>#N/A</v>
      </c>
      <c r="W599" s="7" t="e">
        <f>IF(VLOOKUP($A599,'Concrete Beam Schedule'!$A$2:$Q$2902,W$2,0)&lt;&gt;G599,"Beam Revised","")</f>
        <v>#N/A</v>
      </c>
      <c r="X599" s="7" t="e">
        <f>IF(VLOOKUP($A599,'Concrete Beam Schedule'!$A$2:$Q$2902,X$2,0)&lt;&gt;H599,"Beam Revised","")</f>
        <v>#N/A</v>
      </c>
      <c r="Y599" s="7" t="e">
        <f>IF(VLOOKUP($A599,'Concrete Beam Schedule'!$A$2:$Q$2902,Y$2,0)&lt;&gt;I599,"Beam Revised","")</f>
        <v>#N/A</v>
      </c>
      <c r="Z599" s="7" t="e">
        <f>IF(VLOOKUP($A599,'Concrete Beam Schedule'!$A$2:$Q$2902,Z$2,0)&lt;&gt;J599,"Beam Revised","")</f>
        <v>#N/A</v>
      </c>
      <c r="AA599" s="7" t="e">
        <f>IF(VLOOKUP($A599,'Concrete Beam Schedule'!$A$2:$Q$2902,AA$2,0)&lt;&gt;K599,"Beam Revised","")</f>
        <v>#N/A</v>
      </c>
      <c r="AB599" s="7" t="e">
        <f>IF(VLOOKUP($A599,'Concrete Beam Schedule'!$A$2:$Q$2902,AB$2,0)&lt;&gt;L599,"Beam Revised","")</f>
        <v>#N/A</v>
      </c>
      <c r="AC599" s="7" t="e">
        <f>IF(VLOOKUP($A599,'Concrete Beam Schedule'!$A$2:$Q$2902,AC$2,0)&lt;&gt;M599,"Beam Revised","")</f>
        <v>#N/A</v>
      </c>
      <c r="AD599" s="7" t="e">
        <f>IF(VLOOKUP($A599,'Concrete Beam Schedule'!$A$2:$Q$2902,AD$2,0)&lt;&gt;N599,"Beam Revised","")</f>
        <v>#N/A</v>
      </c>
      <c r="AE599" s="7" t="e">
        <f>IF(VLOOKUP($A599,'Concrete Beam Schedule'!$A$2:$Q$2902,AE$2,0)&lt;&gt;O599,"Beam Revised","")</f>
        <v>#N/A</v>
      </c>
    </row>
    <row r="600" spans="17:31" ht="13.2" x14ac:dyDescent="0.25">
      <c r="Q600" s="7">
        <f t="shared" si="9"/>
        <v>0</v>
      </c>
      <c r="R600" s="7" t="e">
        <f>IF(VLOOKUP($A600,'Concrete Beam Schedule'!$A$2:$Q$2902,R$2,0)&lt;&gt;B600,VLOOKUP($A600,'Concrete Beam Schedule'!$A$2:$Q$2902,R$2,0),"")</f>
        <v>#N/A</v>
      </c>
      <c r="S600" s="7" t="e">
        <f>IF(VLOOKUP($A600,'Concrete Beam Schedule'!$A$2:$Q$2902,S$2,0)&lt;&gt;C600,VLOOKUP($A600,'Concrete Beam Schedule'!$A$2:$Q$2902,S$2,0),"")</f>
        <v>#N/A</v>
      </c>
      <c r="T600" s="7" t="e">
        <f>IF(VLOOKUP($A600,'Concrete Beam Schedule'!$A$2:$Q$2902,T$2,0)&lt;&gt;D600,"Beam Revised","")</f>
        <v>#N/A</v>
      </c>
      <c r="U600" s="7" t="e">
        <f>IF(VLOOKUP($A600,'Concrete Beam Schedule'!$A$2:$Q$2902,U$2,0)&lt;&gt;E600,"Beam Revised","")</f>
        <v>#N/A</v>
      </c>
      <c r="V600" s="7" t="e">
        <f>IF(VLOOKUP($A600,'Concrete Beam Schedule'!$A$2:$Q$2902,V$2,0)&lt;&gt;F600,"Beam Revised","")</f>
        <v>#N/A</v>
      </c>
      <c r="W600" s="7" t="e">
        <f>IF(VLOOKUP($A600,'Concrete Beam Schedule'!$A$2:$Q$2902,W$2,0)&lt;&gt;G600,"Beam Revised","")</f>
        <v>#N/A</v>
      </c>
      <c r="X600" s="7" t="e">
        <f>IF(VLOOKUP($A600,'Concrete Beam Schedule'!$A$2:$Q$2902,X$2,0)&lt;&gt;H600,"Beam Revised","")</f>
        <v>#N/A</v>
      </c>
      <c r="Y600" s="7" t="e">
        <f>IF(VLOOKUP($A600,'Concrete Beam Schedule'!$A$2:$Q$2902,Y$2,0)&lt;&gt;I600,"Beam Revised","")</f>
        <v>#N/A</v>
      </c>
      <c r="Z600" s="7" t="e">
        <f>IF(VLOOKUP($A600,'Concrete Beam Schedule'!$A$2:$Q$2902,Z$2,0)&lt;&gt;J600,"Beam Revised","")</f>
        <v>#N/A</v>
      </c>
      <c r="AA600" s="7" t="e">
        <f>IF(VLOOKUP($A600,'Concrete Beam Schedule'!$A$2:$Q$2902,AA$2,0)&lt;&gt;K600,"Beam Revised","")</f>
        <v>#N/A</v>
      </c>
      <c r="AB600" s="7" t="e">
        <f>IF(VLOOKUP($A600,'Concrete Beam Schedule'!$A$2:$Q$2902,AB$2,0)&lt;&gt;L600,"Beam Revised","")</f>
        <v>#N/A</v>
      </c>
      <c r="AC600" s="7" t="e">
        <f>IF(VLOOKUP($A600,'Concrete Beam Schedule'!$A$2:$Q$2902,AC$2,0)&lt;&gt;M600,"Beam Revised","")</f>
        <v>#N/A</v>
      </c>
      <c r="AD600" s="7" t="e">
        <f>IF(VLOOKUP($A600,'Concrete Beam Schedule'!$A$2:$Q$2902,AD$2,0)&lt;&gt;N600,"Beam Revised","")</f>
        <v>#N/A</v>
      </c>
      <c r="AE600" s="7" t="e">
        <f>IF(VLOOKUP($A600,'Concrete Beam Schedule'!$A$2:$Q$2902,AE$2,0)&lt;&gt;O600,"Beam Revised","")</f>
        <v>#N/A</v>
      </c>
    </row>
    <row r="601" spans="17:31" ht="13.2" x14ac:dyDescent="0.25">
      <c r="Q601" s="7">
        <f t="shared" si="9"/>
        <v>0</v>
      </c>
      <c r="R601" s="7" t="e">
        <f>IF(VLOOKUP($A601,'Concrete Beam Schedule'!$A$2:$Q$2902,R$2,0)&lt;&gt;B601,VLOOKUP($A601,'Concrete Beam Schedule'!$A$2:$Q$2902,R$2,0),"")</f>
        <v>#N/A</v>
      </c>
      <c r="S601" s="7" t="e">
        <f>IF(VLOOKUP($A601,'Concrete Beam Schedule'!$A$2:$Q$2902,S$2,0)&lt;&gt;C601,VLOOKUP($A601,'Concrete Beam Schedule'!$A$2:$Q$2902,S$2,0),"")</f>
        <v>#N/A</v>
      </c>
      <c r="T601" s="7" t="e">
        <f>IF(VLOOKUP($A601,'Concrete Beam Schedule'!$A$2:$Q$2902,T$2,0)&lt;&gt;D601,"Beam Revised","")</f>
        <v>#N/A</v>
      </c>
      <c r="U601" s="7" t="e">
        <f>IF(VLOOKUP($A601,'Concrete Beam Schedule'!$A$2:$Q$2902,U$2,0)&lt;&gt;E601,"Beam Revised","")</f>
        <v>#N/A</v>
      </c>
      <c r="V601" s="7" t="e">
        <f>IF(VLOOKUP($A601,'Concrete Beam Schedule'!$A$2:$Q$2902,V$2,0)&lt;&gt;F601,"Beam Revised","")</f>
        <v>#N/A</v>
      </c>
      <c r="W601" s="7" t="e">
        <f>IF(VLOOKUP($A601,'Concrete Beam Schedule'!$A$2:$Q$2902,W$2,0)&lt;&gt;G601,"Beam Revised","")</f>
        <v>#N/A</v>
      </c>
      <c r="X601" s="7" t="e">
        <f>IF(VLOOKUP($A601,'Concrete Beam Schedule'!$A$2:$Q$2902,X$2,0)&lt;&gt;H601,"Beam Revised","")</f>
        <v>#N/A</v>
      </c>
      <c r="Y601" s="7" t="e">
        <f>IF(VLOOKUP($A601,'Concrete Beam Schedule'!$A$2:$Q$2902,Y$2,0)&lt;&gt;I601,"Beam Revised","")</f>
        <v>#N/A</v>
      </c>
      <c r="Z601" s="7" t="e">
        <f>IF(VLOOKUP($A601,'Concrete Beam Schedule'!$A$2:$Q$2902,Z$2,0)&lt;&gt;J601,"Beam Revised","")</f>
        <v>#N/A</v>
      </c>
      <c r="AA601" s="7" t="e">
        <f>IF(VLOOKUP($A601,'Concrete Beam Schedule'!$A$2:$Q$2902,AA$2,0)&lt;&gt;K601,"Beam Revised","")</f>
        <v>#N/A</v>
      </c>
      <c r="AB601" s="7" t="e">
        <f>IF(VLOOKUP($A601,'Concrete Beam Schedule'!$A$2:$Q$2902,AB$2,0)&lt;&gt;L601,"Beam Revised","")</f>
        <v>#N/A</v>
      </c>
      <c r="AC601" s="7" t="e">
        <f>IF(VLOOKUP($A601,'Concrete Beam Schedule'!$A$2:$Q$2902,AC$2,0)&lt;&gt;M601,"Beam Revised","")</f>
        <v>#N/A</v>
      </c>
      <c r="AD601" s="7" t="e">
        <f>IF(VLOOKUP($A601,'Concrete Beam Schedule'!$A$2:$Q$2902,AD$2,0)&lt;&gt;N601,"Beam Revised","")</f>
        <v>#N/A</v>
      </c>
      <c r="AE601" s="7" t="e">
        <f>IF(VLOOKUP($A601,'Concrete Beam Schedule'!$A$2:$Q$2902,AE$2,0)&lt;&gt;O601,"Beam Revised","")</f>
        <v>#N/A</v>
      </c>
    </row>
    <row r="602" spans="17:31" ht="13.2" x14ac:dyDescent="0.25">
      <c r="Q602" s="7">
        <f t="shared" si="9"/>
        <v>0</v>
      </c>
      <c r="R602" s="7" t="e">
        <f>IF(VLOOKUP($A602,'Concrete Beam Schedule'!$A$2:$Q$2902,R$2,0)&lt;&gt;B602,VLOOKUP($A602,'Concrete Beam Schedule'!$A$2:$Q$2902,R$2,0),"")</f>
        <v>#N/A</v>
      </c>
      <c r="S602" s="7" t="e">
        <f>IF(VLOOKUP($A602,'Concrete Beam Schedule'!$A$2:$Q$2902,S$2,0)&lt;&gt;C602,VLOOKUP($A602,'Concrete Beam Schedule'!$A$2:$Q$2902,S$2,0),"")</f>
        <v>#N/A</v>
      </c>
      <c r="T602" s="7" t="e">
        <f>IF(VLOOKUP($A602,'Concrete Beam Schedule'!$A$2:$Q$2902,T$2,0)&lt;&gt;D602,"Beam Revised","")</f>
        <v>#N/A</v>
      </c>
      <c r="U602" s="7" t="e">
        <f>IF(VLOOKUP($A602,'Concrete Beam Schedule'!$A$2:$Q$2902,U$2,0)&lt;&gt;E602,"Beam Revised","")</f>
        <v>#N/A</v>
      </c>
      <c r="V602" s="7" t="e">
        <f>IF(VLOOKUP($A602,'Concrete Beam Schedule'!$A$2:$Q$2902,V$2,0)&lt;&gt;F602,"Beam Revised","")</f>
        <v>#N/A</v>
      </c>
      <c r="W602" s="7" t="e">
        <f>IF(VLOOKUP($A602,'Concrete Beam Schedule'!$A$2:$Q$2902,W$2,0)&lt;&gt;G602,"Beam Revised","")</f>
        <v>#N/A</v>
      </c>
      <c r="X602" s="7" t="e">
        <f>IF(VLOOKUP($A602,'Concrete Beam Schedule'!$A$2:$Q$2902,X$2,0)&lt;&gt;H602,"Beam Revised","")</f>
        <v>#N/A</v>
      </c>
      <c r="Y602" s="7" t="e">
        <f>IF(VLOOKUP($A602,'Concrete Beam Schedule'!$A$2:$Q$2902,Y$2,0)&lt;&gt;I602,"Beam Revised","")</f>
        <v>#N/A</v>
      </c>
      <c r="Z602" s="7" t="e">
        <f>IF(VLOOKUP($A602,'Concrete Beam Schedule'!$A$2:$Q$2902,Z$2,0)&lt;&gt;J602,"Beam Revised","")</f>
        <v>#N/A</v>
      </c>
      <c r="AA602" s="7" t="e">
        <f>IF(VLOOKUP($A602,'Concrete Beam Schedule'!$A$2:$Q$2902,AA$2,0)&lt;&gt;K602,"Beam Revised","")</f>
        <v>#N/A</v>
      </c>
      <c r="AB602" s="7" t="e">
        <f>IF(VLOOKUP($A602,'Concrete Beam Schedule'!$A$2:$Q$2902,AB$2,0)&lt;&gt;L602,"Beam Revised","")</f>
        <v>#N/A</v>
      </c>
      <c r="AC602" s="7" t="e">
        <f>IF(VLOOKUP($A602,'Concrete Beam Schedule'!$A$2:$Q$2902,AC$2,0)&lt;&gt;M602,"Beam Revised","")</f>
        <v>#N/A</v>
      </c>
      <c r="AD602" s="7" t="e">
        <f>IF(VLOOKUP($A602,'Concrete Beam Schedule'!$A$2:$Q$2902,AD$2,0)&lt;&gt;N602,"Beam Revised","")</f>
        <v>#N/A</v>
      </c>
      <c r="AE602" s="7" t="e">
        <f>IF(VLOOKUP($A602,'Concrete Beam Schedule'!$A$2:$Q$2902,AE$2,0)&lt;&gt;O602,"Beam Revised","")</f>
        <v>#N/A</v>
      </c>
    </row>
    <row r="603" spans="17:31" ht="13.2" x14ac:dyDescent="0.25">
      <c r="Q603" s="7">
        <f t="shared" si="9"/>
        <v>0</v>
      </c>
      <c r="R603" s="7" t="e">
        <f>IF(VLOOKUP($A603,'Concrete Beam Schedule'!$A$2:$Q$2902,R$2,0)&lt;&gt;B603,VLOOKUP($A603,'Concrete Beam Schedule'!$A$2:$Q$2902,R$2,0),"")</f>
        <v>#N/A</v>
      </c>
      <c r="S603" s="7" t="e">
        <f>IF(VLOOKUP($A603,'Concrete Beam Schedule'!$A$2:$Q$2902,S$2,0)&lt;&gt;C603,VLOOKUP($A603,'Concrete Beam Schedule'!$A$2:$Q$2902,S$2,0),"")</f>
        <v>#N/A</v>
      </c>
      <c r="T603" s="7" t="e">
        <f>IF(VLOOKUP($A603,'Concrete Beam Schedule'!$A$2:$Q$2902,T$2,0)&lt;&gt;D603,"Beam Revised","")</f>
        <v>#N/A</v>
      </c>
      <c r="U603" s="7" t="e">
        <f>IF(VLOOKUP($A603,'Concrete Beam Schedule'!$A$2:$Q$2902,U$2,0)&lt;&gt;E603,"Beam Revised","")</f>
        <v>#N/A</v>
      </c>
      <c r="V603" s="7" t="e">
        <f>IF(VLOOKUP($A603,'Concrete Beam Schedule'!$A$2:$Q$2902,V$2,0)&lt;&gt;F603,"Beam Revised","")</f>
        <v>#N/A</v>
      </c>
      <c r="W603" s="7" t="e">
        <f>IF(VLOOKUP($A603,'Concrete Beam Schedule'!$A$2:$Q$2902,W$2,0)&lt;&gt;G603,"Beam Revised","")</f>
        <v>#N/A</v>
      </c>
      <c r="X603" s="7" t="e">
        <f>IF(VLOOKUP($A603,'Concrete Beam Schedule'!$A$2:$Q$2902,X$2,0)&lt;&gt;H603,"Beam Revised","")</f>
        <v>#N/A</v>
      </c>
      <c r="Y603" s="7" t="e">
        <f>IF(VLOOKUP($A603,'Concrete Beam Schedule'!$A$2:$Q$2902,Y$2,0)&lt;&gt;I603,"Beam Revised","")</f>
        <v>#N/A</v>
      </c>
      <c r="Z603" s="7" t="e">
        <f>IF(VLOOKUP($A603,'Concrete Beam Schedule'!$A$2:$Q$2902,Z$2,0)&lt;&gt;J603,"Beam Revised","")</f>
        <v>#N/A</v>
      </c>
      <c r="AA603" s="7" t="e">
        <f>IF(VLOOKUP($A603,'Concrete Beam Schedule'!$A$2:$Q$2902,AA$2,0)&lt;&gt;K603,"Beam Revised","")</f>
        <v>#N/A</v>
      </c>
      <c r="AB603" s="7" t="e">
        <f>IF(VLOOKUP($A603,'Concrete Beam Schedule'!$A$2:$Q$2902,AB$2,0)&lt;&gt;L603,"Beam Revised","")</f>
        <v>#N/A</v>
      </c>
      <c r="AC603" s="7" t="e">
        <f>IF(VLOOKUP($A603,'Concrete Beam Schedule'!$A$2:$Q$2902,AC$2,0)&lt;&gt;M603,"Beam Revised","")</f>
        <v>#N/A</v>
      </c>
      <c r="AD603" s="7" t="e">
        <f>IF(VLOOKUP($A603,'Concrete Beam Schedule'!$A$2:$Q$2902,AD$2,0)&lt;&gt;N603,"Beam Revised","")</f>
        <v>#N/A</v>
      </c>
      <c r="AE603" s="7" t="e">
        <f>IF(VLOOKUP($A603,'Concrete Beam Schedule'!$A$2:$Q$2902,AE$2,0)&lt;&gt;O603,"Beam Revised","")</f>
        <v>#N/A</v>
      </c>
    </row>
    <row r="604" spans="17:31" ht="13.2" x14ac:dyDescent="0.25">
      <c r="Q604" s="7">
        <f t="shared" si="9"/>
        <v>0</v>
      </c>
      <c r="R604" s="7" t="e">
        <f>IF(VLOOKUP($A604,'Concrete Beam Schedule'!$A$2:$Q$2902,R$2,0)&lt;&gt;B604,VLOOKUP($A604,'Concrete Beam Schedule'!$A$2:$Q$2902,R$2,0),"")</f>
        <v>#N/A</v>
      </c>
      <c r="S604" s="7" t="e">
        <f>IF(VLOOKUP($A604,'Concrete Beam Schedule'!$A$2:$Q$2902,S$2,0)&lt;&gt;C604,VLOOKUP($A604,'Concrete Beam Schedule'!$A$2:$Q$2902,S$2,0),"")</f>
        <v>#N/A</v>
      </c>
      <c r="T604" s="7" t="e">
        <f>IF(VLOOKUP($A604,'Concrete Beam Schedule'!$A$2:$Q$2902,T$2,0)&lt;&gt;D604,"Beam Revised","")</f>
        <v>#N/A</v>
      </c>
      <c r="U604" s="7" t="e">
        <f>IF(VLOOKUP($A604,'Concrete Beam Schedule'!$A$2:$Q$2902,U$2,0)&lt;&gt;E604,"Beam Revised","")</f>
        <v>#N/A</v>
      </c>
      <c r="V604" s="7" t="e">
        <f>IF(VLOOKUP($A604,'Concrete Beam Schedule'!$A$2:$Q$2902,V$2,0)&lt;&gt;F604,"Beam Revised","")</f>
        <v>#N/A</v>
      </c>
      <c r="W604" s="7" t="e">
        <f>IF(VLOOKUP($A604,'Concrete Beam Schedule'!$A$2:$Q$2902,W$2,0)&lt;&gt;G604,"Beam Revised","")</f>
        <v>#N/A</v>
      </c>
      <c r="X604" s="7" t="e">
        <f>IF(VLOOKUP($A604,'Concrete Beam Schedule'!$A$2:$Q$2902,X$2,0)&lt;&gt;H604,"Beam Revised","")</f>
        <v>#N/A</v>
      </c>
      <c r="Y604" s="7" t="e">
        <f>IF(VLOOKUP($A604,'Concrete Beam Schedule'!$A$2:$Q$2902,Y$2,0)&lt;&gt;I604,"Beam Revised","")</f>
        <v>#N/A</v>
      </c>
      <c r="Z604" s="7" t="e">
        <f>IF(VLOOKUP($A604,'Concrete Beam Schedule'!$A$2:$Q$2902,Z$2,0)&lt;&gt;J604,"Beam Revised","")</f>
        <v>#N/A</v>
      </c>
      <c r="AA604" s="7" t="e">
        <f>IF(VLOOKUP($A604,'Concrete Beam Schedule'!$A$2:$Q$2902,AA$2,0)&lt;&gt;K604,"Beam Revised","")</f>
        <v>#N/A</v>
      </c>
      <c r="AB604" s="7" t="e">
        <f>IF(VLOOKUP($A604,'Concrete Beam Schedule'!$A$2:$Q$2902,AB$2,0)&lt;&gt;L604,"Beam Revised","")</f>
        <v>#N/A</v>
      </c>
      <c r="AC604" s="7" t="e">
        <f>IF(VLOOKUP($A604,'Concrete Beam Schedule'!$A$2:$Q$2902,AC$2,0)&lt;&gt;M604,"Beam Revised","")</f>
        <v>#N/A</v>
      </c>
      <c r="AD604" s="7" t="e">
        <f>IF(VLOOKUP($A604,'Concrete Beam Schedule'!$A$2:$Q$2902,AD$2,0)&lt;&gt;N604,"Beam Revised","")</f>
        <v>#N/A</v>
      </c>
      <c r="AE604" s="7" t="e">
        <f>IF(VLOOKUP($A604,'Concrete Beam Schedule'!$A$2:$Q$2902,AE$2,0)&lt;&gt;O604,"Beam Revised","")</f>
        <v>#N/A</v>
      </c>
    </row>
    <row r="605" spans="17:31" ht="13.2" x14ac:dyDescent="0.25">
      <c r="Q605" s="7">
        <f t="shared" si="9"/>
        <v>0</v>
      </c>
      <c r="R605" s="7" t="e">
        <f>IF(VLOOKUP($A605,'Concrete Beam Schedule'!$A$2:$Q$2902,R$2,0)&lt;&gt;B605,VLOOKUP($A605,'Concrete Beam Schedule'!$A$2:$Q$2902,R$2,0),"")</f>
        <v>#N/A</v>
      </c>
      <c r="S605" s="7" t="e">
        <f>IF(VLOOKUP($A605,'Concrete Beam Schedule'!$A$2:$Q$2902,S$2,0)&lt;&gt;C605,VLOOKUP($A605,'Concrete Beam Schedule'!$A$2:$Q$2902,S$2,0),"")</f>
        <v>#N/A</v>
      </c>
      <c r="T605" s="7" t="e">
        <f>IF(VLOOKUP($A605,'Concrete Beam Schedule'!$A$2:$Q$2902,T$2,0)&lt;&gt;D605,"Beam Revised","")</f>
        <v>#N/A</v>
      </c>
      <c r="U605" s="7" t="e">
        <f>IF(VLOOKUP($A605,'Concrete Beam Schedule'!$A$2:$Q$2902,U$2,0)&lt;&gt;E605,"Beam Revised","")</f>
        <v>#N/A</v>
      </c>
      <c r="V605" s="7" t="e">
        <f>IF(VLOOKUP($A605,'Concrete Beam Schedule'!$A$2:$Q$2902,V$2,0)&lt;&gt;F605,"Beam Revised","")</f>
        <v>#N/A</v>
      </c>
      <c r="W605" s="7" t="e">
        <f>IF(VLOOKUP($A605,'Concrete Beam Schedule'!$A$2:$Q$2902,W$2,0)&lt;&gt;G605,"Beam Revised","")</f>
        <v>#N/A</v>
      </c>
      <c r="X605" s="7" t="e">
        <f>IF(VLOOKUP($A605,'Concrete Beam Schedule'!$A$2:$Q$2902,X$2,0)&lt;&gt;H605,"Beam Revised","")</f>
        <v>#N/A</v>
      </c>
      <c r="Y605" s="7" t="e">
        <f>IF(VLOOKUP($A605,'Concrete Beam Schedule'!$A$2:$Q$2902,Y$2,0)&lt;&gt;I605,"Beam Revised","")</f>
        <v>#N/A</v>
      </c>
      <c r="Z605" s="7" t="e">
        <f>IF(VLOOKUP($A605,'Concrete Beam Schedule'!$A$2:$Q$2902,Z$2,0)&lt;&gt;J605,"Beam Revised","")</f>
        <v>#N/A</v>
      </c>
      <c r="AA605" s="7" t="e">
        <f>IF(VLOOKUP($A605,'Concrete Beam Schedule'!$A$2:$Q$2902,AA$2,0)&lt;&gt;K605,"Beam Revised","")</f>
        <v>#N/A</v>
      </c>
      <c r="AB605" s="7" t="e">
        <f>IF(VLOOKUP($A605,'Concrete Beam Schedule'!$A$2:$Q$2902,AB$2,0)&lt;&gt;L605,"Beam Revised","")</f>
        <v>#N/A</v>
      </c>
      <c r="AC605" s="7" t="e">
        <f>IF(VLOOKUP($A605,'Concrete Beam Schedule'!$A$2:$Q$2902,AC$2,0)&lt;&gt;M605,"Beam Revised","")</f>
        <v>#N/A</v>
      </c>
      <c r="AD605" s="7" t="e">
        <f>IF(VLOOKUP($A605,'Concrete Beam Schedule'!$A$2:$Q$2902,AD$2,0)&lt;&gt;N605,"Beam Revised","")</f>
        <v>#N/A</v>
      </c>
      <c r="AE605" s="7" t="e">
        <f>IF(VLOOKUP($A605,'Concrete Beam Schedule'!$A$2:$Q$2902,AE$2,0)&lt;&gt;O605,"Beam Revised","")</f>
        <v>#N/A</v>
      </c>
    </row>
    <row r="606" spans="17:31" ht="13.2" x14ac:dyDescent="0.25">
      <c r="Q606" s="7">
        <f t="shared" si="9"/>
        <v>0</v>
      </c>
      <c r="R606" s="7" t="e">
        <f>IF(VLOOKUP($A606,'Concrete Beam Schedule'!$A$2:$Q$2902,R$2,0)&lt;&gt;B606,VLOOKUP($A606,'Concrete Beam Schedule'!$A$2:$Q$2902,R$2,0),"")</f>
        <v>#N/A</v>
      </c>
      <c r="S606" s="7" t="e">
        <f>IF(VLOOKUP($A606,'Concrete Beam Schedule'!$A$2:$Q$2902,S$2,0)&lt;&gt;C606,VLOOKUP($A606,'Concrete Beam Schedule'!$A$2:$Q$2902,S$2,0),"")</f>
        <v>#N/A</v>
      </c>
      <c r="T606" s="7" t="e">
        <f>IF(VLOOKUP($A606,'Concrete Beam Schedule'!$A$2:$Q$2902,T$2,0)&lt;&gt;D606,"Beam Revised","")</f>
        <v>#N/A</v>
      </c>
      <c r="U606" s="7" t="e">
        <f>IF(VLOOKUP($A606,'Concrete Beam Schedule'!$A$2:$Q$2902,U$2,0)&lt;&gt;E606,"Beam Revised","")</f>
        <v>#N/A</v>
      </c>
      <c r="V606" s="7" t="e">
        <f>IF(VLOOKUP($A606,'Concrete Beam Schedule'!$A$2:$Q$2902,V$2,0)&lt;&gt;F606,"Beam Revised","")</f>
        <v>#N/A</v>
      </c>
      <c r="W606" s="7" t="e">
        <f>IF(VLOOKUP($A606,'Concrete Beam Schedule'!$A$2:$Q$2902,W$2,0)&lt;&gt;G606,"Beam Revised","")</f>
        <v>#N/A</v>
      </c>
      <c r="X606" s="7" t="e">
        <f>IF(VLOOKUP($A606,'Concrete Beam Schedule'!$A$2:$Q$2902,X$2,0)&lt;&gt;H606,"Beam Revised","")</f>
        <v>#N/A</v>
      </c>
      <c r="Y606" s="7" t="e">
        <f>IF(VLOOKUP($A606,'Concrete Beam Schedule'!$A$2:$Q$2902,Y$2,0)&lt;&gt;I606,"Beam Revised","")</f>
        <v>#N/A</v>
      </c>
      <c r="Z606" s="7" t="e">
        <f>IF(VLOOKUP($A606,'Concrete Beam Schedule'!$A$2:$Q$2902,Z$2,0)&lt;&gt;J606,"Beam Revised","")</f>
        <v>#N/A</v>
      </c>
      <c r="AA606" s="7" t="e">
        <f>IF(VLOOKUP($A606,'Concrete Beam Schedule'!$A$2:$Q$2902,AA$2,0)&lt;&gt;K606,"Beam Revised","")</f>
        <v>#N/A</v>
      </c>
      <c r="AB606" s="7" t="e">
        <f>IF(VLOOKUP($A606,'Concrete Beam Schedule'!$A$2:$Q$2902,AB$2,0)&lt;&gt;L606,"Beam Revised","")</f>
        <v>#N/A</v>
      </c>
      <c r="AC606" s="7" t="e">
        <f>IF(VLOOKUP($A606,'Concrete Beam Schedule'!$A$2:$Q$2902,AC$2,0)&lt;&gt;M606,"Beam Revised","")</f>
        <v>#N/A</v>
      </c>
      <c r="AD606" s="7" t="e">
        <f>IF(VLOOKUP($A606,'Concrete Beam Schedule'!$A$2:$Q$2902,AD$2,0)&lt;&gt;N606,"Beam Revised","")</f>
        <v>#N/A</v>
      </c>
      <c r="AE606" s="7" t="e">
        <f>IF(VLOOKUP($A606,'Concrete Beam Schedule'!$A$2:$Q$2902,AE$2,0)&lt;&gt;O606,"Beam Revised","")</f>
        <v>#N/A</v>
      </c>
    </row>
    <row r="607" spans="17:31" ht="13.2" x14ac:dyDescent="0.25">
      <c r="Q607" s="7">
        <f t="shared" si="9"/>
        <v>0</v>
      </c>
      <c r="R607" s="7" t="e">
        <f>IF(VLOOKUP($A607,'Concrete Beam Schedule'!$A$2:$Q$2902,R$2,0)&lt;&gt;B607,VLOOKUP($A607,'Concrete Beam Schedule'!$A$2:$Q$2902,R$2,0),"")</f>
        <v>#N/A</v>
      </c>
      <c r="S607" s="7" t="e">
        <f>IF(VLOOKUP($A607,'Concrete Beam Schedule'!$A$2:$Q$2902,S$2,0)&lt;&gt;C607,VLOOKUP($A607,'Concrete Beam Schedule'!$A$2:$Q$2902,S$2,0),"")</f>
        <v>#N/A</v>
      </c>
      <c r="T607" s="7" t="e">
        <f>IF(VLOOKUP($A607,'Concrete Beam Schedule'!$A$2:$Q$2902,T$2,0)&lt;&gt;D607,"Beam Revised","")</f>
        <v>#N/A</v>
      </c>
      <c r="U607" s="7" t="e">
        <f>IF(VLOOKUP($A607,'Concrete Beam Schedule'!$A$2:$Q$2902,U$2,0)&lt;&gt;E607,"Beam Revised","")</f>
        <v>#N/A</v>
      </c>
      <c r="V607" s="7" t="e">
        <f>IF(VLOOKUP($A607,'Concrete Beam Schedule'!$A$2:$Q$2902,V$2,0)&lt;&gt;F607,"Beam Revised","")</f>
        <v>#N/A</v>
      </c>
      <c r="W607" s="7" t="e">
        <f>IF(VLOOKUP($A607,'Concrete Beam Schedule'!$A$2:$Q$2902,W$2,0)&lt;&gt;G607,"Beam Revised","")</f>
        <v>#N/A</v>
      </c>
      <c r="X607" s="7" t="e">
        <f>IF(VLOOKUP($A607,'Concrete Beam Schedule'!$A$2:$Q$2902,X$2,0)&lt;&gt;H607,"Beam Revised","")</f>
        <v>#N/A</v>
      </c>
      <c r="Y607" s="7" t="e">
        <f>IF(VLOOKUP($A607,'Concrete Beam Schedule'!$A$2:$Q$2902,Y$2,0)&lt;&gt;I607,"Beam Revised","")</f>
        <v>#N/A</v>
      </c>
      <c r="Z607" s="7" t="e">
        <f>IF(VLOOKUP($A607,'Concrete Beam Schedule'!$A$2:$Q$2902,Z$2,0)&lt;&gt;J607,"Beam Revised","")</f>
        <v>#N/A</v>
      </c>
      <c r="AA607" s="7" t="e">
        <f>IF(VLOOKUP($A607,'Concrete Beam Schedule'!$A$2:$Q$2902,AA$2,0)&lt;&gt;K607,"Beam Revised","")</f>
        <v>#N/A</v>
      </c>
      <c r="AB607" s="7" t="e">
        <f>IF(VLOOKUP($A607,'Concrete Beam Schedule'!$A$2:$Q$2902,AB$2,0)&lt;&gt;L607,"Beam Revised","")</f>
        <v>#N/A</v>
      </c>
      <c r="AC607" s="7" t="e">
        <f>IF(VLOOKUP($A607,'Concrete Beam Schedule'!$A$2:$Q$2902,AC$2,0)&lt;&gt;M607,"Beam Revised","")</f>
        <v>#N/A</v>
      </c>
      <c r="AD607" s="7" t="e">
        <f>IF(VLOOKUP($A607,'Concrete Beam Schedule'!$A$2:$Q$2902,AD$2,0)&lt;&gt;N607,"Beam Revised","")</f>
        <v>#N/A</v>
      </c>
      <c r="AE607" s="7" t="e">
        <f>IF(VLOOKUP($A607,'Concrete Beam Schedule'!$A$2:$Q$2902,AE$2,0)&lt;&gt;O607,"Beam Revised","")</f>
        <v>#N/A</v>
      </c>
    </row>
    <row r="608" spans="17:31" ht="13.2" x14ac:dyDescent="0.25">
      <c r="Q608" s="7">
        <f t="shared" si="9"/>
        <v>0</v>
      </c>
      <c r="R608" s="7" t="e">
        <f>IF(VLOOKUP($A608,'Concrete Beam Schedule'!$A$2:$Q$2902,R$2,0)&lt;&gt;B608,VLOOKUP($A608,'Concrete Beam Schedule'!$A$2:$Q$2902,R$2,0),"")</f>
        <v>#N/A</v>
      </c>
      <c r="S608" s="7" t="e">
        <f>IF(VLOOKUP($A608,'Concrete Beam Schedule'!$A$2:$Q$2902,S$2,0)&lt;&gt;C608,VLOOKUP($A608,'Concrete Beam Schedule'!$A$2:$Q$2902,S$2,0),"")</f>
        <v>#N/A</v>
      </c>
      <c r="T608" s="7" t="e">
        <f>IF(VLOOKUP($A608,'Concrete Beam Schedule'!$A$2:$Q$2902,T$2,0)&lt;&gt;D608,"Beam Revised","")</f>
        <v>#N/A</v>
      </c>
      <c r="U608" s="7" t="e">
        <f>IF(VLOOKUP($A608,'Concrete Beam Schedule'!$A$2:$Q$2902,U$2,0)&lt;&gt;E608,"Beam Revised","")</f>
        <v>#N/A</v>
      </c>
      <c r="V608" s="7" t="e">
        <f>IF(VLOOKUP($A608,'Concrete Beam Schedule'!$A$2:$Q$2902,V$2,0)&lt;&gt;F608,"Beam Revised","")</f>
        <v>#N/A</v>
      </c>
      <c r="W608" s="7" t="e">
        <f>IF(VLOOKUP($A608,'Concrete Beam Schedule'!$A$2:$Q$2902,W$2,0)&lt;&gt;G608,"Beam Revised","")</f>
        <v>#N/A</v>
      </c>
      <c r="X608" s="7" t="e">
        <f>IF(VLOOKUP($A608,'Concrete Beam Schedule'!$A$2:$Q$2902,X$2,0)&lt;&gt;H608,"Beam Revised","")</f>
        <v>#N/A</v>
      </c>
      <c r="Y608" s="7" t="e">
        <f>IF(VLOOKUP($A608,'Concrete Beam Schedule'!$A$2:$Q$2902,Y$2,0)&lt;&gt;I608,"Beam Revised","")</f>
        <v>#N/A</v>
      </c>
      <c r="Z608" s="7" t="e">
        <f>IF(VLOOKUP($A608,'Concrete Beam Schedule'!$A$2:$Q$2902,Z$2,0)&lt;&gt;J608,"Beam Revised","")</f>
        <v>#N/A</v>
      </c>
      <c r="AA608" s="7" t="e">
        <f>IF(VLOOKUP($A608,'Concrete Beam Schedule'!$A$2:$Q$2902,AA$2,0)&lt;&gt;K608,"Beam Revised","")</f>
        <v>#N/A</v>
      </c>
      <c r="AB608" s="7" t="e">
        <f>IF(VLOOKUP($A608,'Concrete Beam Schedule'!$A$2:$Q$2902,AB$2,0)&lt;&gt;L608,"Beam Revised","")</f>
        <v>#N/A</v>
      </c>
      <c r="AC608" s="7" t="e">
        <f>IF(VLOOKUP($A608,'Concrete Beam Schedule'!$A$2:$Q$2902,AC$2,0)&lt;&gt;M608,"Beam Revised","")</f>
        <v>#N/A</v>
      </c>
      <c r="AD608" s="7" t="e">
        <f>IF(VLOOKUP($A608,'Concrete Beam Schedule'!$A$2:$Q$2902,AD$2,0)&lt;&gt;N608,"Beam Revised","")</f>
        <v>#N/A</v>
      </c>
      <c r="AE608" s="7" t="e">
        <f>IF(VLOOKUP($A608,'Concrete Beam Schedule'!$A$2:$Q$2902,AE$2,0)&lt;&gt;O608,"Beam Revised","")</f>
        <v>#N/A</v>
      </c>
    </row>
    <row r="609" spans="17:31" ht="13.2" x14ac:dyDescent="0.25">
      <c r="Q609" s="7">
        <f t="shared" si="9"/>
        <v>0</v>
      </c>
      <c r="R609" s="7" t="e">
        <f>IF(VLOOKUP($A609,'Concrete Beam Schedule'!$A$2:$Q$2902,R$2,0)&lt;&gt;B609,VLOOKUP($A609,'Concrete Beam Schedule'!$A$2:$Q$2902,R$2,0),"")</f>
        <v>#N/A</v>
      </c>
      <c r="S609" s="7" t="e">
        <f>IF(VLOOKUP($A609,'Concrete Beam Schedule'!$A$2:$Q$2902,S$2,0)&lt;&gt;C609,VLOOKUP($A609,'Concrete Beam Schedule'!$A$2:$Q$2902,S$2,0),"")</f>
        <v>#N/A</v>
      </c>
      <c r="T609" s="7" t="e">
        <f>IF(VLOOKUP($A609,'Concrete Beam Schedule'!$A$2:$Q$2902,T$2,0)&lt;&gt;D609,"Beam Revised","")</f>
        <v>#N/A</v>
      </c>
      <c r="U609" s="7" t="e">
        <f>IF(VLOOKUP($A609,'Concrete Beam Schedule'!$A$2:$Q$2902,U$2,0)&lt;&gt;E609,"Beam Revised","")</f>
        <v>#N/A</v>
      </c>
      <c r="V609" s="7" t="e">
        <f>IF(VLOOKUP($A609,'Concrete Beam Schedule'!$A$2:$Q$2902,V$2,0)&lt;&gt;F609,"Beam Revised","")</f>
        <v>#N/A</v>
      </c>
      <c r="W609" s="7" t="e">
        <f>IF(VLOOKUP($A609,'Concrete Beam Schedule'!$A$2:$Q$2902,W$2,0)&lt;&gt;G609,"Beam Revised","")</f>
        <v>#N/A</v>
      </c>
      <c r="X609" s="7" t="e">
        <f>IF(VLOOKUP($A609,'Concrete Beam Schedule'!$A$2:$Q$2902,X$2,0)&lt;&gt;H609,"Beam Revised","")</f>
        <v>#N/A</v>
      </c>
      <c r="Y609" s="7" t="e">
        <f>IF(VLOOKUP($A609,'Concrete Beam Schedule'!$A$2:$Q$2902,Y$2,0)&lt;&gt;I609,"Beam Revised","")</f>
        <v>#N/A</v>
      </c>
      <c r="Z609" s="7" t="e">
        <f>IF(VLOOKUP($A609,'Concrete Beam Schedule'!$A$2:$Q$2902,Z$2,0)&lt;&gt;J609,"Beam Revised","")</f>
        <v>#N/A</v>
      </c>
      <c r="AA609" s="7" t="e">
        <f>IF(VLOOKUP($A609,'Concrete Beam Schedule'!$A$2:$Q$2902,AA$2,0)&lt;&gt;K609,"Beam Revised","")</f>
        <v>#N/A</v>
      </c>
      <c r="AB609" s="7" t="e">
        <f>IF(VLOOKUP($A609,'Concrete Beam Schedule'!$A$2:$Q$2902,AB$2,0)&lt;&gt;L609,"Beam Revised","")</f>
        <v>#N/A</v>
      </c>
      <c r="AC609" s="7" t="e">
        <f>IF(VLOOKUP($A609,'Concrete Beam Schedule'!$A$2:$Q$2902,AC$2,0)&lt;&gt;M609,"Beam Revised","")</f>
        <v>#N/A</v>
      </c>
      <c r="AD609" s="7" t="e">
        <f>IF(VLOOKUP($A609,'Concrete Beam Schedule'!$A$2:$Q$2902,AD$2,0)&lt;&gt;N609,"Beam Revised","")</f>
        <v>#N/A</v>
      </c>
      <c r="AE609" s="7" t="e">
        <f>IF(VLOOKUP($A609,'Concrete Beam Schedule'!$A$2:$Q$2902,AE$2,0)&lt;&gt;O609,"Beam Revised","")</f>
        <v>#N/A</v>
      </c>
    </row>
    <row r="610" spans="17:31" ht="13.2" x14ac:dyDescent="0.25">
      <c r="Q610" s="7">
        <f t="shared" si="9"/>
        <v>0</v>
      </c>
      <c r="R610" s="7" t="e">
        <f>IF(VLOOKUP($A610,'Concrete Beam Schedule'!$A$2:$Q$2902,R$2,0)&lt;&gt;B610,VLOOKUP($A610,'Concrete Beam Schedule'!$A$2:$Q$2902,R$2,0),"")</f>
        <v>#N/A</v>
      </c>
      <c r="S610" s="7" t="e">
        <f>IF(VLOOKUP($A610,'Concrete Beam Schedule'!$A$2:$Q$2902,S$2,0)&lt;&gt;C610,VLOOKUP($A610,'Concrete Beam Schedule'!$A$2:$Q$2902,S$2,0),"")</f>
        <v>#N/A</v>
      </c>
      <c r="T610" s="7" t="e">
        <f>IF(VLOOKUP($A610,'Concrete Beam Schedule'!$A$2:$Q$2902,T$2,0)&lt;&gt;D610,"Beam Revised","")</f>
        <v>#N/A</v>
      </c>
      <c r="U610" s="7" t="e">
        <f>IF(VLOOKUP($A610,'Concrete Beam Schedule'!$A$2:$Q$2902,U$2,0)&lt;&gt;E610,"Beam Revised","")</f>
        <v>#N/A</v>
      </c>
      <c r="V610" s="7" t="e">
        <f>IF(VLOOKUP($A610,'Concrete Beam Schedule'!$A$2:$Q$2902,V$2,0)&lt;&gt;F610,"Beam Revised","")</f>
        <v>#N/A</v>
      </c>
      <c r="W610" s="7" t="e">
        <f>IF(VLOOKUP($A610,'Concrete Beam Schedule'!$A$2:$Q$2902,W$2,0)&lt;&gt;G610,"Beam Revised","")</f>
        <v>#N/A</v>
      </c>
      <c r="X610" s="7" t="e">
        <f>IF(VLOOKUP($A610,'Concrete Beam Schedule'!$A$2:$Q$2902,X$2,0)&lt;&gt;H610,"Beam Revised","")</f>
        <v>#N/A</v>
      </c>
      <c r="Y610" s="7" t="e">
        <f>IF(VLOOKUP($A610,'Concrete Beam Schedule'!$A$2:$Q$2902,Y$2,0)&lt;&gt;I610,"Beam Revised","")</f>
        <v>#N/A</v>
      </c>
      <c r="Z610" s="7" t="e">
        <f>IF(VLOOKUP($A610,'Concrete Beam Schedule'!$A$2:$Q$2902,Z$2,0)&lt;&gt;J610,"Beam Revised","")</f>
        <v>#N/A</v>
      </c>
      <c r="AA610" s="7" t="e">
        <f>IF(VLOOKUP($A610,'Concrete Beam Schedule'!$A$2:$Q$2902,AA$2,0)&lt;&gt;K610,"Beam Revised","")</f>
        <v>#N/A</v>
      </c>
      <c r="AB610" s="7" t="e">
        <f>IF(VLOOKUP($A610,'Concrete Beam Schedule'!$A$2:$Q$2902,AB$2,0)&lt;&gt;L610,"Beam Revised","")</f>
        <v>#N/A</v>
      </c>
      <c r="AC610" s="7" t="e">
        <f>IF(VLOOKUP($A610,'Concrete Beam Schedule'!$A$2:$Q$2902,AC$2,0)&lt;&gt;M610,"Beam Revised","")</f>
        <v>#N/A</v>
      </c>
      <c r="AD610" s="7" t="e">
        <f>IF(VLOOKUP($A610,'Concrete Beam Schedule'!$A$2:$Q$2902,AD$2,0)&lt;&gt;N610,"Beam Revised","")</f>
        <v>#N/A</v>
      </c>
      <c r="AE610" s="7" t="e">
        <f>IF(VLOOKUP($A610,'Concrete Beam Schedule'!$A$2:$Q$2902,AE$2,0)&lt;&gt;O610,"Beam Revised","")</f>
        <v>#N/A</v>
      </c>
    </row>
    <row r="611" spans="17:31" ht="13.2" x14ac:dyDescent="0.25">
      <c r="Q611" s="7">
        <f t="shared" si="9"/>
        <v>0</v>
      </c>
      <c r="R611" s="7" t="e">
        <f>IF(VLOOKUP($A611,'Concrete Beam Schedule'!$A$2:$Q$2902,R$2,0)&lt;&gt;B611,VLOOKUP($A611,'Concrete Beam Schedule'!$A$2:$Q$2902,R$2,0),"")</f>
        <v>#N/A</v>
      </c>
      <c r="S611" s="7" t="e">
        <f>IF(VLOOKUP($A611,'Concrete Beam Schedule'!$A$2:$Q$2902,S$2,0)&lt;&gt;C611,VLOOKUP($A611,'Concrete Beam Schedule'!$A$2:$Q$2902,S$2,0),"")</f>
        <v>#N/A</v>
      </c>
      <c r="T611" s="7" t="e">
        <f>IF(VLOOKUP($A611,'Concrete Beam Schedule'!$A$2:$Q$2902,T$2,0)&lt;&gt;D611,"Beam Revised","")</f>
        <v>#N/A</v>
      </c>
      <c r="U611" s="7" t="e">
        <f>IF(VLOOKUP($A611,'Concrete Beam Schedule'!$A$2:$Q$2902,U$2,0)&lt;&gt;E611,"Beam Revised","")</f>
        <v>#N/A</v>
      </c>
      <c r="V611" s="7" t="e">
        <f>IF(VLOOKUP($A611,'Concrete Beam Schedule'!$A$2:$Q$2902,V$2,0)&lt;&gt;F611,"Beam Revised","")</f>
        <v>#N/A</v>
      </c>
      <c r="W611" s="7" t="e">
        <f>IF(VLOOKUP($A611,'Concrete Beam Schedule'!$A$2:$Q$2902,W$2,0)&lt;&gt;G611,"Beam Revised","")</f>
        <v>#N/A</v>
      </c>
      <c r="X611" s="7" t="e">
        <f>IF(VLOOKUP($A611,'Concrete Beam Schedule'!$A$2:$Q$2902,X$2,0)&lt;&gt;H611,"Beam Revised","")</f>
        <v>#N/A</v>
      </c>
      <c r="Y611" s="7" t="e">
        <f>IF(VLOOKUP($A611,'Concrete Beam Schedule'!$A$2:$Q$2902,Y$2,0)&lt;&gt;I611,"Beam Revised","")</f>
        <v>#N/A</v>
      </c>
      <c r="Z611" s="7" t="e">
        <f>IF(VLOOKUP($A611,'Concrete Beam Schedule'!$A$2:$Q$2902,Z$2,0)&lt;&gt;J611,"Beam Revised","")</f>
        <v>#N/A</v>
      </c>
      <c r="AA611" s="7" t="e">
        <f>IF(VLOOKUP($A611,'Concrete Beam Schedule'!$A$2:$Q$2902,AA$2,0)&lt;&gt;K611,"Beam Revised","")</f>
        <v>#N/A</v>
      </c>
      <c r="AB611" s="7" t="e">
        <f>IF(VLOOKUP($A611,'Concrete Beam Schedule'!$A$2:$Q$2902,AB$2,0)&lt;&gt;L611,"Beam Revised","")</f>
        <v>#N/A</v>
      </c>
      <c r="AC611" s="7" t="e">
        <f>IF(VLOOKUP($A611,'Concrete Beam Schedule'!$A$2:$Q$2902,AC$2,0)&lt;&gt;M611,"Beam Revised","")</f>
        <v>#N/A</v>
      </c>
      <c r="AD611" s="7" t="e">
        <f>IF(VLOOKUP($A611,'Concrete Beam Schedule'!$A$2:$Q$2902,AD$2,0)&lt;&gt;N611,"Beam Revised","")</f>
        <v>#N/A</v>
      </c>
      <c r="AE611" s="7" t="e">
        <f>IF(VLOOKUP($A611,'Concrete Beam Schedule'!$A$2:$Q$2902,AE$2,0)&lt;&gt;O611,"Beam Revised","")</f>
        <v>#N/A</v>
      </c>
    </row>
    <row r="612" spans="17:31" ht="13.2" x14ac:dyDescent="0.25">
      <c r="Q612" s="7">
        <f t="shared" si="9"/>
        <v>0</v>
      </c>
      <c r="R612" s="7" t="e">
        <f>IF(VLOOKUP($A612,'Concrete Beam Schedule'!$A$2:$Q$2902,R$2,0)&lt;&gt;B612,VLOOKUP($A612,'Concrete Beam Schedule'!$A$2:$Q$2902,R$2,0),"")</f>
        <v>#N/A</v>
      </c>
      <c r="S612" s="7" t="e">
        <f>IF(VLOOKUP($A612,'Concrete Beam Schedule'!$A$2:$Q$2902,S$2,0)&lt;&gt;C612,VLOOKUP($A612,'Concrete Beam Schedule'!$A$2:$Q$2902,S$2,0),"")</f>
        <v>#N/A</v>
      </c>
      <c r="T612" s="7" t="e">
        <f>IF(VLOOKUP($A612,'Concrete Beam Schedule'!$A$2:$Q$2902,T$2,0)&lt;&gt;D612,"Beam Revised","")</f>
        <v>#N/A</v>
      </c>
      <c r="U612" s="7" t="e">
        <f>IF(VLOOKUP($A612,'Concrete Beam Schedule'!$A$2:$Q$2902,U$2,0)&lt;&gt;E612,"Beam Revised","")</f>
        <v>#N/A</v>
      </c>
      <c r="V612" s="7" t="e">
        <f>IF(VLOOKUP($A612,'Concrete Beam Schedule'!$A$2:$Q$2902,V$2,0)&lt;&gt;F612,"Beam Revised","")</f>
        <v>#N/A</v>
      </c>
      <c r="W612" s="7" t="e">
        <f>IF(VLOOKUP($A612,'Concrete Beam Schedule'!$A$2:$Q$2902,W$2,0)&lt;&gt;G612,"Beam Revised","")</f>
        <v>#N/A</v>
      </c>
      <c r="X612" s="7" t="e">
        <f>IF(VLOOKUP($A612,'Concrete Beam Schedule'!$A$2:$Q$2902,X$2,0)&lt;&gt;H612,"Beam Revised","")</f>
        <v>#N/A</v>
      </c>
      <c r="Y612" s="7" t="e">
        <f>IF(VLOOKUP($A612,'Concrete Beam Schedule'!$A$2:$Q$2902,Y$2,0)&lt;&gt;I612,"Beam Revised","")</f>
        <v>#N/A</v>
      </c>
      <c r="Z612" s="7" t="e">
        <f>IF(VLOOKUP($A612,'Concrete Beam Schedule'!$A$2:$Q$2902,Z$2,0)&lt;&gt;J612,"Beam Revised","")</f>
        <v>#N/A</v>
      </c>
      <c r="AA612" s="7" t="e">
        <f>IF(VLOOKUP($A612,'Concrete Beam Schedule'!$A$2:$Q$2902,AA$2,0)&lt;&gt;K612,"Beam Revised","")</f>
        <v>#N/A</v>
      </c>
      <c r="AB612" s="7" t="e">
        <f>IF(VLOOKUP($A612,'Concrete Beam Schedule'!$A$2:$Q$2902,AB$2,0)&lt;&gt;L612,"Beam Revised","")</f>
        <v>#N/A</v>
      </c>
      <c r="AC612" s="7" t="e">
        <f>IF(VLOOKUP($A612,'Concrete Beam Schedule'!$A$2:$Q$2902,AC$2,0)&lt;&gt;M612,"Beam Revised","")</f>
        <v>#N/A</v>
      </c>
      <c r="AD612" s="7" t="e">
        <f>IF(VLOOKUP($A612,'Concrete Beam Schedule'!$A$2:$Q$2902,AD$2,0)&lt;&gt;N612,"Beam Revised","")</f>
        <v>#N/A</v>
      </c>
      <c r="AE612" s="7" t="e">
        <f>IF(VLOOKUP($A612,'Concrete Beam Schedule'!$A$2:$Q$2902,AE$2,0)&lt;&gt;O612,"Beam Revised","")</f>
        <v>#N/A</v>
      </c>
    </row>
    <row r="613" spans="17:31" ht="13.2" x14ac:dyDescent="0.25">
      <c r="Q613" s="7">
        <f t="shared" si="9"/>
        <v>0</v>
      </c>
      <c r="R613" s="7" t="e">
        <f>IF(VLOOKUP($A613,'Concrete Beam Schedule'!$A$2:$Q$2902,R$2,0)&lt;&gt;B613,VLOOKUP($A613,'Concrete Beam Schedule'!$A$2:$Q$2902,R$2,0),"")</f>
        <v>#N/A</v>
      </c>
      <c r="S613" s="7" t="e">
        <f>IF(VLOOKUP($A613,'Concrete Beam Schedule'!$A$2:$Q$2902,S$2,0)&lt;&gt;C613,VLOOKUP($A613,'Concrete Beam Schedule'!$A$2:$Q$2902,S$2,0),"")</f>
        <v>#N/A</v>
      </c>
      <c r="T613" s="7" t="e">
        <f>IF(VLOOKUP($A613,'Concrete Beam Schedule'!$A$2:$Q$2902,T$2,0)&lt;&gt;D613,"Beam Revised","")</f>
        <v>#N/A</v>
      </c>
      <c r="U613" s="7" t="e">
        <f>IF(VLOOKUP($A613,'Concrete Beam Schedule'!$A$2:$Q$2902,U$2,0)&lt;&gt;E613,"Beam Revised","")</f>
        <v>#N/A</v>
      </c>
      <c r="V613" s="7" t="e">
        <f>IF(VLOOKUP($A613,'Concrete Beam Schedule'!$A$2:$Q$2902,V$2,0)&lt;&gt;F613,"Beam Revised","")</f>
        <v>#N/A</v>
      </c>
      <c r="W613" s="7" t="e">
        <f>IF(VLOOKUP($A613,'Concrete Beam Schedule'!$A$2:$Q$2902,W$2,0)&lt;&gt;G613,"Beam Revised","")</f>
        <v>#N/A</v>
      </c>
      <c r="X613" s="7" t="e">
        <f>IF(VLOOKUP($A613,'Concrete Beam Schedule'!$A$2:$Q$2902,X$2,0)&lt;&gt;H613,"Beam Revised","")</f>
        <v>#N/A</v>
      </c>
      <c r="Y613" s="7" t="e">
        <f>IF(VLOOKUP($A613,'Concrete Beam Schedule'!$A$2:$Q$2902,Y$2,0)&lt;&gt;I613,"Beam Revised","")</f>
        <v>#N/A</v>
      </c>
      <c r="Z613" s="7" t="e">
        <f>IF(VLOOKUP($A613,'Concrete Beam Schedule'!$A$2:$Q$2902,Z$2,0)&lt;&gt;J613,"Beam Revised","")</f>
        <v>#N/A</v>
      </c>
      <c r="AA613" s="7" t="e">
        <f>IF(VLOOKUP($A613,'Concrete Beam Schedule'!$A$2:$Q$2902,AA$2,0)&lt;&gt;K613,"Beam Revised","")</f>
        <v>#N/A</v>
      </c>
      <c r="AB613" s="7" t="e">
        <f>IF(VLOOKUP($A613,'Concrete Beam Schedule'!$A$2:$Q$2902,AB$2,0)&lt;&gt;L613,"Beam Revised","")</f>
        <v>#N/A</v>
      </c>
      <c r="AC613" s="7" t="e">
        <f>IF(VLOOKUP($A613,'Concrete Beam Schedule'!$A$2:$Q$2902,AC$2,0)&lt;&gt;M613,"Beam Revised","")</f>
        <v>#N/A</v>
      </c>
      <c r="AD613" s="7" t="e">
        <f>IF(VLOOKUP($A613,'Concrete Beam Schedule'!$A$2:$Q$2902,AD$2,0)&lt;&gt;N613,"Beam Revised","")</f>
        <v>#N/A</v>
      </c>
      <c r="AE613" s="7" t="e">
        <f>IF(VLOOKUP($A613,'Concrete Beam Schedule'!$A$2:$Q$2902,AE$2,0)&lt;&gt;O613,"Beam Revised","")</f>
        <v>#N/A</v>
      </c>
    </row>
    <row r="614" spans="17:31" ht="13.2" x14ac:dyDescent="0.25">
      <c r="Q614" s="7">
        <f t="shared" si="9"/>
        <v>0</v>
      </c>
      <c r="R614" s="7" t="e">
        <f>IF(VLOOKUP($A614,'Concrete Beam Schedule'!$A$2:$Q$2902,R$2,0)&lt;&gt;B614,VLOOKUP($A614,'Concrete Beam Schedule'!$A$2:$Q$2902,R$2,0),"")</f>
        <v>#N/A</v>
      </c>
      <c r="S614" s="7" t="e">
        <f>IF(VLOOKUP($A614,'Concrete Beam Schedule'!$A$2:$Q$2902,S$2,0)&lt;&gt;C614,VLOOKUP($A614,'Concrete Beam Schedule'!$A$2:$Q$2902,S$2,0),"")</f>
        <v>#N/A</v>
      </c>
      <c r="T614" s="7" t="e">
        <f>IF(VLOOKUP($A614,'Concrete Beam Schedule'!$A$2:$Q$2902,T$2,0)&lt;&gt;D614,"Beam Revised","")</f>
        <v>#N/A</v>
      </c>
      <c r="U614" s="7" t="e">
        <f>IF(VLOOKUP($A614,'Concrete Beam Schedule'!$A$2:$Q$2902,U$2,0)&lt;&gt;E614,"Beam Revised","")</f>
        <v>#N/A</v>
      </c>
      <c r="V614" s="7" t="e">
        <f>IF(VLOOKUP($A614,'Concrete Beam Schedule'!$A$2:$Q$2902,V$2,0)&lt;&gt;F614,"Beam Revised","")</f>
        <v>#N/A</v>
      </c>
      <c r="W614" s="7" t="e">
        <f>IF(VLOOKUP($A614,'Concrete Beam Schedule'!$A$2:$Q$2902,W$2,0)&lt;&gt;G614,"Beam Revised","")</f>
        <v>#N/A</v>
      </c>
      <c r="X614" s="7" t="e">
        <f>IF(VLOOKUP($A614,'Concrete Beam Schedule'!$A$2:$Q$2902,X$2,0)&lt;&gt;H614,"Beam Revised","")</f>
        <v>#N/A</v>
      </c>
      <c r="Y614" s="7" t="e">
        <f>IF(VLOOKUP($A614,'Concrete Beam Schedule'!$A$2:$Q$2902,Y$2,0)&lt;&gt;I614,"Beam Revised","")</f>
        <v>#N/A</v>
      </c>
      <c r="Z614" s="7" t="e">
        <f>IF(VLOOKUP($A614,'Concrete Beam Schedule'!$A$2:$Q$2902,Z$2,0)&lt;&gt;J614,"Beam Revised","")</f>
        <v>#N/A</v>
      </c>
      <c r="AA614" s="7" t="e">
        <f>IF(VLOOKUP($A614,'Concrete Beam Schedule'!$A$2:$Q$2902,AA$2,0)&lt;&gt;K614,"Beam Revised","")</f>
        <v>#N/A</v>
      </c>
      <c r="AB614" s="7" t="e">
        <f>IF(VLOOKUP($A614,'Concrete Beam Schedule'!$A$2:$Q$2902,AB$2,0)&lt;&gt;L614,"Beam Revised","")</f>
        <v>#N/A</v>
      </c>
      <c r="AC614" s="7" t="e">
        <f>IF(VLOOKUP($A614,'Concrete Beam Schedule'!$A$2:$Q$2902,AC$2,0)&lt;&gt;M614,"Beam Revised","")</f>
        <v>#N/A</v>
      </c>
      <c r="AD614" s="7" t="e">
        <f>IF(VLOOKUP($A614,'Concrete Beam Schedule'!$A$2:$Q$2902,AD$2,0)&lt;&gt;N614,"Beam Revised","")</f>
        <v>#N/A</v>
      </c>
      <c r="AE614" s="7" t="e">
        <f>IF(VLOOKUP($A614,'Concrete Beam Schedule'!$A$2:$Q$2902,AE$2,0)&lt;&gt;O614,"Beam Revised","")</f>
        <v>#N/A</v>
      </c>
    </row>
    <row r="615" spans="17:31" ht="13.2" x14ac:dyDescent="0.25">
      <c r="Q615" s="7">
        <f t="shared" si="9"/>
        <v>0</v>
      </c>
      <c r="R615" s="7" t="e">
        <f>IF(VLOOKUP($A615,'Concrete Beam Schedule'!$A$2:$Q$2902,R$2,0)&lt;&gt;B615,VLOOKUP($A615,'Concrete Beam Schedule'!$A$2:$Q$2902,R$2,0),"")</f>
        <v>#N/A</v>
      </c>
      <c r="S615" s="7" t="e">
        <f>IF(VLOOKUP($A615,'Concrete Beam Schedule'!$A$2:$Q$2902,S$2,0)&lt;&gt;C615,VLOOKUP($A615,'Concrete Beam Schedule'!$A$2:$Q$2902,S$2,0),"")</f>
        <v>#N/A</v>
      </c>
      <c r="T615" s="7" t="e">
        <f>IF(VLOOKUP($A615,'Concrete Beam Schedule'!$A$2:$Q$2902,T$2,0)&lt;&gt;D615,"Beam Revised","")</f>
        <v>#N/A</v>
      </c>
      <c r="U615" s="7" t="e">
        <f>IF(VLOOKUP($A615,'Concrete Beam Schedule'!$A$2:$Q$2902,U$2,0)&lt;&gt;E615,"Beam Revised","")</f>
        <v>#N/A</v>
      </c>
      <c r="V615" s="7" t="e">
        <f>IF(VLOOKUP($A615,'Concrete Beam Schedule'!$A$2:$Q$2902,V$2,0)&lt;&gt;F615,"Beam Revised","")</f>
        <v>#N/A</v>
      </c>
      <c r="W615" s="7" t="e">
        <f>IF(VLOOKUP($A615,'Concrete Beam Schedule'!$A$2:$Q$2902,W$2,0)&lt;&gt;G615,"Beam Revised","")</f>
        <v>#N/A</v>
      </c>
      <c r="X615" s="7" t="e">
        <f>IF(VLOOKUP($A615,'Concrete Beam Schedule'!$A$2:$Q$2902,X$2,0)&lt;&gt;H615,"Beam Revised","")</f>
        <v>#N/A</v>
      </c>
      <c r="Y615" s="7" t="e">
        <f>IF(VLOOKUP($A615,'Concrete Beam Schedule'!$A$2:$Q$2902,Y$2,0)&lt;&gt;I615,"Beam Revised","")</f>
        <v>#N/A</v>
      </c>
      <c r="Z615" s="7" t="e">
        <f>IF(VLOOKUP($A615,'Concrete Beam Schedule'!$A$2:$Q$2902,Z$2,0)&lt;&gt;J615,"Beam Revised","")</f>
        <v>#N/A</v>
      </c>
      <c r="AA615" s="7" t="e">
        <f>IF(VLOOKUP($A615,'Concrete Beam Schedule'!$A$2:$Q$2902,AA$2,0)&lt;&gt;K615,"Beam Revised","")</f>
        <v>#N/A</v>
      </c>
      <c r="AB615" s="7" t="e">
        <f>IF(VLOOKUP($A615,'Concrete Beam Schedule'!$A$2:$Q$2902,AB$2,0)&lt;&gt;L615,"Beam Revised","")</f>
        <v>#N/A</v>
      </c>
      <c r="AC615" s="7" t="e">
        <f>IF(VLOOKUP($A615,'Concrete Beam Schedule'!$A$2:$Q$2902,AC$2,0)&lt;&gt;M615,"Beam Revised","")</f>
        <v>#N/A</v>
      </c>
      <c r="AD615" s="7" t="e">
        <f>IF(VLOOKUP($A615,'Concrete Beam Schedule'!$A$2:$Q$2902,AD$2,0)&lt;&gt;N615,"Beam Revised","")</f>
        <v>#N/A</v>
      </c>
      <c r="AE615" s="7" t="e">
        <f>IF(VLOOKUP($A615,'Concrete Beam Schedule'!$A$2:$Q$2902,AE$2,0)&lt;&gt;O615,"Beam Revised","")</f>
        <v>#N/A</v>
      </c>
    </row>
    <row r="616" spans="17:31" ht="13.2" x14ac:dyDescent="0.25">
      <c r="Q616" s="7">
        <f t="shared" si="9"/>
        <v>0</v>
      </c>
      <c r="R616" s="7" t="e">
        <f>IF(VLOOKUP($A616,'Concrete Beam Schedule'!$A$2:$Q$2902,R$2,0)&lt;&gt;B616,VLOOKUP($A616,'Concrete Beam Schedule'!$A$2:$Q$2902,R$2,0),"")</f>
        <v>#N/A</v>
      </c>
      <c r="S616" s="7" t="e">
        <f>IF(VLOOKUP($A616,'Concrete Beam Schedule'!$A$2:$Q$2902,S$2,0)&lt;&gt;C616,VLOOKUP($A616,'Concrete Beam Schedule'!$A$2:$Q$2902,S$2,0),"")</f>
        <v>#N/A</v>
      </c>
      <c r="T616" s="7" t="e">
        <f>IF(VLOOKUP($A616,'Concrete Beam Schedule'!$A$2:$Q$2902,T$2,0)&lt;&gt;D616,"Beam Revised","")</f>
        <v>#N/A</v>
      </c>
      <c r="U616" s="7" t="e">
        <f>IF(VLOOKUP($A616,'Concrete Beam Schedule'!$A$2:$Q$2902,U$2,0)&lt;&gt;E616,"Beam Revised","")</f>
        <v>#N/A</v>
      </c>
      <c r="V616" s="7" t="e">
        <f>IF(VLOOKUP($A616,'Concrete Beam Schedule'!$A$2:$Q$2902,V$2,0)&lt;&gt;F616,"Beam Revised","")</f>
        <v>#N/A</v>
      </c>
      <c r="W616" s="7" t="e">
        <f>IF(VLOOKUP($A616,'Concrete Beam Schedule'!$A$2:$Q$2902,W$2,0)&lt;&gt;G616,"Beam Revised","")</f>
        <v>#N/A</v>
      </c>
      <c r="X616" s="7" t="e">
        <f>IF(VLOOKUP($A616,'Concrete Beam Schedule'!$A$2:$Q$2902,X$2,0)&lt;&gt;H616,"Beam Revised","")</f>
        <v>#N/A</v>
      </c>
      <c r="Y616" s="7" t="e">
        <f>IF(VLOOKUP($A616,'Concrete Beam Schedule'!$A$2:$Q$2902,Y$2,0)&lt;&gt;I616,"Beam Revised","")</f>
        <v>#N/A</v>
      </c>
      <c r="Z616" s="7" t="e">
        <f>IF(VLOOKUP($A616,'Concrete Beam Schedule'!$A$2:$Q$2902,Z$2,0)&lt;&gt;J616,"Beam Revised","")</f>
        <v>#N/A</v>
      </c>
      <c r="AA616" s="7" t="e">
        <f>IF(VLOOKUP($A616,'Concrete Beam Schedule'!$A$2:$Q$2902,AA$2,0)&lt;&gt;K616,"Beam Revised","")</f>
        <v>#N/A</v>
      </c>
      <c r="AB616" s="7" t="e">
        <f>IF(VLOOKUP($A616,'Concrete Beam Schedule'!$A$2:$Q$2902,AB$2,0)&lt;&gt;L616,"Beam Revised","")</f>
        <v>#N/A</v>
      </c>
      <c r="AC616" s="7" t="e">
        <f>IF(VLOOKUP($A616,'Concrete Beam Schedule'!$A$2:$Q$2902,AC$2,0)&lt;&gt;M616,"Beam Revised","")</f>
        <v>#N/A</v>
      </c>
      <c r="AD616" s="7" t="e">
        <f>IF(VLOOKUP($A616,'Concrete Beam Schedule'!$A$2:$Q$2902,AD$2,0)&lt;&gt;N616,"Beam Revised","")</f>
        <v>#N/A</v>
      </c>
      <c r="AE616" s="7" t="e">
        <f>IF(VLOOKUP($A616,'Concrete Beam Schedule'!$A$2:$Q$2902,AE$2,0)&lt;&gt;O616,"Beam Revised","")</f>
        <v>#N/A</v>
      </c>
    </row>
    <row r="617" spans="17:31" ht="13.2" x14ac:dyDescent="0.25">
      <c r="Q617" s="7">
        <f t="shared" si="9"/>
        <v>0</v>
      </c>
      <c r="R617" s="7" t="e">
        <f>IF(VLOOKUP($A617,'Concrete Beam Schedule'!$A$2:$Q$2902,R$2,0)&lt;&gt;B617,VLOOKUP($A617,'Concrete Beam Schedule'!$A$2:$Q$2902,R$2,0),"")</f>
        <v>#N/A</v>
      </c>
      <c r="S617" s="7" t="e">
        <f>IF(VLOOKUP($A617,'Concrete Beam Schedule'!$A$2:$Q$2902,S$2,0)&lt;&gt;C617,VLOOKUP($A617,'Concrete Beam Schedule'!$A$2:$Q$2902,S$2,0),"")</f>
        <v>#N/A</v>
      </c>
      <c r="T617" s="7" t="e">
        <f>IF(VLOOKUP($A617,'Concrete Beam Schedule'!$A$2:$Q$2902,T$2,0)&lt;&gt;D617,"Beam Revised","")</f>
        <v>#N/A</v>
      </c>
      <c r="U617" s="7" t="e">
        <f>IF(VLOOKUP($A617,'Concrete Beam Schedule'!$A$2:$Q$2902,U$2,0)&lt;&gt;E617,"Beam Revised","")</f>
        <v>#N/A</v>
      </c>
      <c r="V617" s="7" t="e">
        <f>IF(VLOOKUP($A617,'Concrete Beam Schedule'!$A$2:$Q$2902,V$2,0)&lt;&gt;F617,"Beam Revised","")</f>
        <v>#N/A</v>
      </c>
      <c r="W617" s="7" t="e">
        <f>IF(VLOOKUP($A617,'Concrete Beam Schedule'!$A$2:$Q$2902,W$2,0)&lt;&gt;G617,"Beam Revised","")</f>
        <v>#N/A</v>
      </c>
      <c r="X617" s="7" t="e">
        <f>IF(VLOOKUP($A617,'Concrete Beam Schedule'!$A$2:$Q$2902,X$2,0)&lt;&gt;H617,"Beam Revised","")</f>
        <v>#N/A</v>
      </c>
      <c r="Y617" s="7" t="e">
        <f>IF(VLOOKUP($A617,'Concrete Beam Schedule'!$A$2:$Q$2902,Y$2,0)&lt;&gt;I617,"Beam Revised","")</f>
        <v>#N/A</v>
      </c>
      <c r="Z617" s="7" t="e">
        <f>IF(VLOOKUP($A617,'Concrete Beam Schedule'!$A$2:$Q$2902,Z$2,0)&lt;&gt;J617,"Beam Revised","")</f>
        <v>#N/A</v>
      </c>
      <c r="AA617" s="7" t="e">
        <f>IF(VLOOKUP($A617,'Concrete Beam Schedule'!$A$2:$Q$2902,AA$2,0)&lt;&gt;K617,"Beam Revised","")</f>
        <v>#N/A</v>
      </c>
      <c r="AB617" s="7" t="e">
        <f>IF(VLOOKUP($A617,'Concrete Beam Schedule'!$A$2:$Q$2902,AB$2,0)&lt;&gt;L617,"Beam Revised","")</f>
        <v>#N/A</v>
      </c>
      <c r="AC617" s="7" t="e">
        <f>IF(VLOOKUP($A617,'Concrete Beam Schedule'!$A$2:$Q$2902,AC$2,0)&lt;&gt;M617,"Beam Revised","")</f>
        <v>#N/A</v>
      </c>
      <c r="AD617" s="7" t="e">
        <f>IF(VLOOKUP($A617,'Concrete Beam Schedule'!$A$2:$Q$2902,AD$2,0)&lt;&gt;N617,"Beam Revised","")</f>
        <v>#N/A</v>
      </c>
      <c r="AE617" s="7" t="e">
        <f>IF(VLOOKUP($A617,'Concrete Beam Schedule'!$A$2:$Q$2902,AE$2,0)&lt;&gt;O617,"Beam Revised","")</f>
        <v>#N/A</v>
      </c>
    </row>
    <row r="618" spans="17:31" ht="13.2" x14ac:dyDescent="0.25">
      <c r="Q618" s="7">
        <f t="shared" si="9"/>
        <v>0</v>
      </c>
      <c r="R618" s="7" t="e">
        <f>IF(VLOOKUP($A618,'Concrete Beam Schedule'!$A$2:$Q$2902,R$2,0)&lt;&gt;B618,VLOOKUP($A618,'Concrete Beam Schedule'!$A$2:$Q$2902,R$2,0),"")</f>
        <v>#N/A</v>
      </c>
      <c r="S618" s="7" t="e">
        <f>IF(VLOOKUP($A618,'Concrete Beam Schedule'!$A$2:$Q$2902,S$2,0)&lt;&gt;C618,VLOOKUP($A618,'Concrete Beam Schedule'!$A$2:$Q$2902,S$2,0),"")</f>
        <v>#N/A</v>
      </c>
      <c r="T618" s="7" t="e">
        <f>IF(VLOOKUP($A618,'Concrete Beam Schedule'!$A$2:$Q$2902,T$2,0)&lt;&gt;D618,"Beam Revised","")</f>
        <v>#N/A</v>
      </c>
      <c r="U618" s="7" t="e">
        <f>IF(VLOOKUP($A618,'Concrete Beam Schedule'!$A$2:$Q$2902,U$2,0)&lt;&gt;E618,"Beam Revised","")</f>
        <v>#N/A</v>
      </c>
      <c r="V618" s="7" t="e">
        <f>IF(VLOOKUP($A618,'Concrete Beam Schedule'!$A$2:$Q$2902,V$2,0)&lt;&gt;F618,"Beam Revised","")</f>
        <v>#N/A</v>
      </c>
      <c r="W618" s="7" t="e">
        <f>IF(VLOOKUP($A618,'Concrete Beam Schedule'!$A$2:$Q$2902,W$2,0)&lt;&gt;G618,"Beam Revised","")</f>
        <v>#N/A</v>
      </c>
      <c r="X618" s="7" t="e">
        <f>IF(VLOOKUP($A618,'Concrete Beam Schedule'!$A$2:$Q$2902,X$2,0)&lt;&gt;H618,"Beam Revised","")</f>
        <v>#N/A</v>
      </c>
      <c r="Y618" s="7" t="e">
        <f>IF(VLOOKUP($A618,'Concrete Beam Schedule'!$A$2:$Q$2902,Y$2,0)&lt;&gt;I618,"Beam Revised","")</f>
        <v>#N/A</v>
      </c>
      <c r="Z618" s="7" t="e">
        <f>IF(VLOOKUP($A618,'Concrete Beam Schedule'!$A$2:$Q$2902,Z$2,0)&lt;&gt;J618,"Beam Revised","")</f>
        <v>#N/A</v>
      </c>
      <c r="AA618" s="7" t="e">
        <f>IF(VLOOKUP($A618,'Concrete Beam Schedule'!$A$2:$Q$2902,AA$2,0)&lt;&gt;K618,"Beam Revised","")</f>
        <v>#N/A</v>
      </c>
      <c r="AB618" s="7" t="e">
        <f>IF(VLOOKUP($A618,'Concrete Beam Schedule'!$A$2:$Q$2902,AB$2,0)&lt;&gt;L618,"Beam Revised","")</f>
        <v>#N/A</v>
      </c>
      <c r="AC618" s="7" t="e">
        <f>IF(VLOOKUP($A618,'Concrete Beam Schedule'!$A$2:$Q$2902,AC$2,0)&lt;&gt;M618,"Beam Revised","")</f>
        <v>#N/A</v>
      </c>
      <c r="AD618" s="7" t="e">
        <f>IF(VLOOKUP($A618,'Concrete Beam Schedule'!$A$2:$Q$2902,AD$2,0)&lt;&gt;N618,"Beam Revised","")</f>
        <v>#N/A</v>
      </c>
      <c r="AE618" s="7" t="e">
        <f>IF(VLOOKUP($A618,'Concrete Beam Schedule'!$A$2:$Q$2902,AE$2,0)&lt;&gt;O618,"Beam Revised","")</f>
        <v>#N/A</v>
      </c>
    </row>
    <row r="619" spans="17:31" ht="13.2" x14ac:dyDescent="0.25">
      <c r="Q619" s="7">
        <f t="shared" si="9"/>
        <v>0</v>
      </c>
      <c r="R619" s="7" t="e">
        <f>IF(VLOOKUP($A619,'Concrete Beam Schedule'!$A$2:$Q$2902,R$2,0)&lt;&gt;B619,VLOOKUP($A619,'Concrete Beam Schedule'!$A$2:$Q$2902,R$2,0),"")</f>
        <v>#N/A</v>
      </c>
      <c r="S619" s="7" t="e">
        <f>IF(VLOOKUP($A619,'Concrete Beam Schedule'!$A$2:$Q$2902,S$2,0)&lt;&gt;C619,VLOOKUP($A619,'Concrete Beam Schedule'!$A$2:$Q$2902,S$2,0),"")</f>
        <v>#N/A</v>
      </c>
      <c r="T619" s="7" t="e">
        <f>IF(VLOOKUP($A619,'Concrete Beam Schedule'!$A$2:$Q$2902,T$2,0)&lt;&gt;D619,"Beam Revised","")</f>
        <v>#N/A</v>
      </c>
      <c r="U619" s="7" t="e">
        <f>IF(VLOOKUP($A619,'Concrete Beam Schedule'!$A$2:$Q$2902,U$2,0)&lt;&gt;E619,"Beam Revised","")</f>
        <v>#N/A</v>
      </c>
      <c r="V619" s="7" t="e">
        <f>IF(VLOOKUP($A619,'Concrete Beam Schedule'!$A$2:$Q$2902,V$2,0)&lt;&gt;F619,"Beam Revised","")</f>
        <v>#N/A</v>
      </c>
      <c r="W619" s="7" t="e">
        <f>IF(VLOOKUP($A619,'Concrete Beam Schedule'!$A$2:$Q$2902,W$2,0)&lt;&gt;G619,"Beam Revised","")</f>
        <v>#N/A</v>
      </c>
      <c r="X619" s="7" t="e">
        <f>IF(VLOOKUP($A619,'Concrete Beam Schedule'!$A$2:$Q$2902,X$2,0)&lt;&gt;H619,"Beam Revised","")</f>
        <v>#N/A</v>
      </c>
      <c r="Y619" s="7" t="e">
        <f>IF(VLOOKUP($A619,'Concrete Beam Schedule'!$A$2:$Q$2902,Y$2,0)&lt;&gt;I619,"Beam Revised","")</f>
        <v>#N/A</v>
      </c>
      <c r="Z619" s="7" t="e">
        <f>IF(VLOOKUP($A619,'Concrete Beam Schedule'!$A$2:$Q$2902,Z$2,0)&lt;&gt;J619,"Beam Revised","")</f>
        <v>#N/A</v>
      </c>
      <c r="AA619" s="7" t="e">
        <f>IF(VLOOKUP($A619,'Concrete Beam Schedule'!$A$2:$Q$2902,AA$2,0)&lt;&gt;K619,"Beam Revised","")</f>
        <v>#N/A</v>
      </c>
      <c r="AB619" s="7" t="e">
        <f>IF(VLOOKUP($A619,'Concrete Beam Schedule'!$A$2:$Q$2902,AB$2,0)&lt;&gt;L619,"Beam Revised","")</f>
        <v>#N/A</v>
      </c>
      <c r="AC619" s="7" t="e">
        <f>IF(VLOOKUP($A619,'Concrete Beam Schedule'!$A$2:$Q$2902,AC$2,0)&lt;&gt;M619,"Beam Revised","")</f>
        <v>#N/A</v>
      </c>
      <c r="AD619" s="7" t="e">
        <f>IF(VLOOKUP($A619,'Concrete Beam Schedule'!$A$2:$Q$2902,AD$2,0)&lt;&gt;N619,"Beam Revised","")</f>
        <v>#N/A</v>
      </c>
      <c r="AE619" s="7" t="e">
        <f>IF(VLOOKUP($A619,'Concrete Beam Schedule'!$A$2:$Q$2902,AE$2,0)&lt;&gt;O619,"Beam Revised","")</f>
        <v>#N/A</v>
      </c>
    </row>
    <row r="620" spans="17:31" ht="13.2" x14ac:dyDescent="0.25">
      <c r="Q620" s="7">
        <f t="shared" si="9"/>
        <v>0</v>
      </c>
      <c r="R620" s="7" t="e">
        <f>IF(VLOOKUP($A620,'Concrete Beam Schedule'!$A$2:$Q$2902,R$2,0)&lt;&gt;B620,VLOOKUP($A620,'Concrete Beam Schedule'!$A$2:$Q$2902,R$2,0),"")</f>
        <v>#N/A</v>
      </c>
      <c r="S620" s="7" t="e">
        <f>IF(VLOOKUP($A620,'Concrete Beam Schedule'!$A$2:$Q$2902,S$2,0)&lt;&gt;C620,VLOOKUP($A620,'Concrete Beam Schedule'!$A$2:$Q$2902,S$2,0),"")</f>
        <v>#N/A</v>
      </c>
      <c r="T620" s="7" t="e">
        <f>IF(VLOOKUP($A620,'Concrete Beam Schedule'!$A$2:$Q$2902,T$2,0)&lt;&gt;D620,"Beam Revised","")</f>
        <v>#N/A</v>
      </c>
      <c r="U620" s="7" t="e">
        <f>IF(VLOOKUP($A620,'Concrete Beam Schedule'!$A$2:$Q$2902,U$2,0)&lt;&gt;E620,"Beam Revised","")</f>
        <v>#N/A</v>
      </c>
      <c r="V620" s="7" t="e">
        <f>IF(VLOOKUP($A620,'Concrete Beam Schedule'!$A$2:$Q$2902,V$2,0)&lt;&gt;F620,"Beam Revised","")</f>
        <v>#N/A</v>
      </c>
      <c r="W620" s="7" t="e">
        <f>IF(VLOOKUP($A620,'Concrete Beam Schedule'!$A$2:$Q$2902,W$2,0)&lt;&gt;G620,"Beam Revised","")</f>
        <v>#N/A</v>
      </c>
      <c r="X620" s="7" t="e">
        <f>IF(VLOOKUP($A620,'Concrete Beam Schedule'!$A$2:$Q$2902,X$2,0)&lt;&gt;H620,"Beam Revised","")</f>
        <v>#N/A</v>
      </c>
      <c r="Y620" s="7" t="e">
        <f>IF(VLOOKUP($A620,'Concrete Beam Schedule'!$A$2:$Q$2902,Y$2,0)&lt;&gt;I620,"Beam Revised","")</f>
        <v>#N/A</v>
      </c>
      <c r="Z620" s="7" t="e">
        <f>IF(VLOOKUP($A620,'Concrete Beam Schedule'!$A$2:$Q$2902,Z$2,0)&lt;&gt;J620,"Beam Revised","")</f>
        <v>#N/A</v>
      </c>
      <c r="AA620" s="7" t="e">
        <f>IF(VLOOKUP($A620,'Concrete Beam Schedule'!$A$2:$Q$2902,AA$2,0)&lt;&gt;K620,"Beam Revised","")</f>
        <v>#N/A</v>
      </c>
      <c r="AB620" s="7" t="e">
        <f>IF(VLOOKUP($A620,'Concrete Beam Schedule'!$A$2:$Q$2902,AB$2,0)&lt;&gt;L620,"Beam Revised","")</f>
        <v>#N/A</v>
      </c>
      <c r="AC620" s="7" t="e">
        <f>IF(VLOOKUP($A620,'Concrete Beam Schedule'!$A$2:$Q$2902,AC$2,0)&lt;&gt;M620,"Beam Revised","")</f>
        <v>#N/A</v>
      </c>
      <c r="AD620" s="7" t="e">
        <f>IF(VLOOKUP($A620,'Concrete Beam Schedule'!$A$2:$Q$2902,AD$2,0)&lt;&gt;N620,"Beam Revised","")</f>
        <v>#N/A</v>
      </c>
      <c r="AE620" s="7" t="e">
        <f>IF(VLOOKUP($A620,'Concrete Beam Schedule'!$A$2:$Q$2902,AE$2,0)&lt;&gt;O620,"Beam Revised","")</f>
        <v>#N/A</v>
      </c>
    </row>
    <row r="621" spans="17:31" ht="13.2" x14ac:dyDescent="0.25">
      <c r="Q621" s="7">
        <f t="shared" si="9"/>
        <v>0</v>
      </c>
      <c r="R621" s="7" t="e">
        <f>IF(VLOOKUP($A621,'Concrete Beam Schedule'!$A$2:$Q$2902,R$2,0)&lt;&gt;B621,VLOOKUP($A621,'Concrete Beam Schedule'!$A$2:$Q$2902,R$2,0),"")</f>
        <v>#N/A</v>
      </c>
      <c r="S621" s="7" t="e">
        <f>IF(VLOOKUP($A621,'Concrete Beam Schedule'!$A$2:$Q$2902,S$2,0)&lt;&gt;C621,VLOOKUP($A621,'Concrete Beam Schedule'!$A$2:$Q$2902,S$2,0),"")</f>
        <v>#N/A</v>
      </c>
      <c r="T621" s="7" t="e">
        <f>IF(VLOOKUP($A621,'Concrete Beam Schedule'!$A$2:$Q$2902,T$2,0)&lt;&gt;D621,"Beam Revised","")</f>
        <v>#N/A</v>
      </c>
      <c r="U621" s="7" t="e">
        <f>IF(VLOOKUP($A621,'Concrete Beam Schedule'!$A$2:$Q$2902,U$2,0)&lt;&gt;E621,"Beam Revised","")</f>
        <v>#N/A</v>
      </c>
      <c r="V621" s="7" t="e">
        <f>IF(VLOOKUP($A621,'Concrete Beam Schedule'!$A$2:$Q$2902,V$2,0)&lt;&gt;F621,"Beam Revised","")</f>
        <v>#N/A</v>
      </c>
      <c r="W621" s="7" t="e">
        <f>IF(VLOOKUP($A621,'Concrete Beam Schedule'!$A$2:$Q$2902,W$2,0)&lt;&gt;G621,"Beam Revised","")</f>
        <v>#N/A</v>
      </c>
      <c r="X621" s="7" t="e">
        <f>IF(VLOOKUP($A621,'Concrete Beam Schedule'!$A$2:$Q$2902,X$2,0)&lt;&gt;H621,"Beam Revised","")</f>
        <v>#N/A</v>
      </c>
      <c r="Y621" s="7" t="e">
        <f>IF(VLOOKUP($A621,'Concrete Beam Schedule'!$A$2:$Q$2902,Y$2,0)&lt;&gt;I621,"Beam Revised","")</f>
        <v>#N/A</v>
      </c>
      <c r="Z621" s="7" t="e">
        <f>IF(VLOOKUP($A621,'Concrete Beam Schedule'!$A$2:$Q$2902,Z$2,0)&lt;&gt;J621,"Beam Revised","")</f>
        <v>#N/A</v>
      </c>
      <c r="AA621" s="7" t="e">
        <f>IF(VLOOKUP($A621,'Concrete Beam Schedule'!$A$2:$Q$2902,AA$2,0)&lt;&gt;K621,"Beam Revised","")</f>
        <v>#N/A</v>
      </c>
      <c r="AB621" s="7" t="e">
        <f>IF(VLOOKUP($A621,'Concrete Beam Schedule'!$A$2:$Q$2902,AB$2,0)&lt;&gt;L621,"Beam Revised","")</f>
        <v>#N/A</v>
      </c>
      <c r="AC621" s="7" t="e">
        <f>IF(VLOOKUP($A621,'Concrete Beam Schedule'!$A$2:$Q$2902,AC$2,0)&lt;&gt;M621,"Beam Revised","")</f>
        <v>#N/A</v>
      </c>
      <c r="AD621" s="7" t="e">
        <f>IF(VLOOKUP($A621,'Concrete Beam Schedule'!$A$2:$Q$2902,AD$2,0)&lt;&gt;N621,"Beam Revised","")</f>
        <v>#N/A</v>
      </c>
      <c r="AE621" s="7" t="e">
        <f>IF(VLOOKUP($A621,'Concrete Beam Schedule'!$A$2:$Q$2902,AE$2,0)&lt;&gt;O621,"Beam Revised","")</f>
        <v>#N/A</v>
      </c>
    </row>
    <row r="622" spans="17:31" ht="13.2" x14ac:dyDescent="0.25">
      <c r="Q622" s="7">
        <f t="shared" si="9"/>
        <v>0</v>
      </c>
      <c r="R622" s="7" t="e">
        <f>IF(VLOOKUP($A622,'Concrete Beam Schedule'!$A$2:$Q$2902,R$2,0)&lt;&gt;B622,VLOOKUP($A622,'Concrete Beam Schedule'!$A$2:$Q$2902,R$2,0),"")</f>
        <v>#N/A</v>
      </c>
      <c r="S622" s="7" t="e">
        <f>IF(VLOOKUP($A622,'Concrete Beam Schedule'!$A$2:$Q$2902,S$2,0)&lt;&gt;C622,VLOOKUP($A622,'Concrete Beam Schedule'!$A$2:$Q$2902,S$2,0),"")</f>
        <v>#N/A</v>
      </c>
      <c r="T622" s="7" t="e">
        <f>IF(VLOOKUP($A622,'Concrete Beam Schedule'!$A$2:$Q$2902,T$2,0)&lt;&gt;D622,"Beam Revised","")</f>
        <v>#N/A</v>
      </c>
      <c r="U622" s="7" t="e">
        <f>IF(VLOOKUP($A622,'Concrete Beam Schedule'!$A$2:$Q$2902,U$2,0)&lt;&gt;E622,"Beam Revised","")</f>
        <v>#N/A</v>
      </c>
      <c r="V622" s="7" t="e">
        <f>IF(VLOOKUP($A622,'Concrete Beam Schedule'!$A$2:$Q$2902,V$2,0)&lt;&gt;F622,"Beam Revised","")</f>
        <v>#N/A</v>
      </c>
      <c r="W622" s="7" t="e">
        <f>IF(VLOOKUP($A622,'Concrete Beam Schedule'!$A$2:$Q$2902,W$2,0)&lt;&gt;G622,"Beam Revised","")</f>
        <v>#N/A</v>
      </c>
      <c r="X622" s="7" t="e">
        <f>IF(VLOOKUP($A622,'Concrete Beam Schedule'!$A$2:$Q$2902,X$2,0)&lt;&gt;H622,"Beam Revised","")</f>
        <v>#N/A</v>
      </c>
      <c r="Y622" s="7" t="e">
        <f>IF(VLOOKUP($A622,'Concrete Beam Schedule'!$A$2:$Q$2902,Y$2,0)&lt;&gt;I622,"Beam Revised","")</f>
        <v>#N/A</v>
      </c>
      <c r="Z622" s="7" t="e">
        <f>IF(VLOOKUP($A622,'Concrete Beam Schedule'!$A$2:$Q$2902,Z$2,0)&lt;&gt;J622,"Beam Revised","")</f>
        <v>#N/A</v>
      </c>
      <c r="AA622" s="7" t="e">
        <f>IF(VLOOKUP($A622,'Concrete Beam Schedule'!$A$2:$Q$2902,AA$2,0)&lt;&gt;K622,"Beam Revised","")</f>
        <v>#N/A</v>
      </c>
      <c r="AB622" s="7" t="e">
        <f>IF(VLOOKUP($A622,'Concrete Beam Schedule'!$A$2:$Q$2902,AB$2,0)&lt;&gt;L622,"Beam Revised","")</f>
        <v>#N/A</v>
      </c>
      <c r="AC622" s="7" t="e">
        <f>IF(VLOOKUP($A622,'Concrete Beam Schedule'!$A$2:$Q$2902,AC$2,0)&lt;&gt;M622,"Beam Revised","")</f>
        <v>#N/A</v>
      </c>
      <c r="AD622" s="7" t="e">
        <f>IF(VLOOKUP($A622,'Concrete Beam Schedule'!$A$2:$Q$2902,AD$2,0)&lt;&gt;N622,"Beam Revised","")</f>
        <v>#N/A</v>
      </c>
      <c r="AE622" s="7" t="e">
        <f>IF(VLOOKUP($A622,'Concrete Beam Schedule'!$A$2:$Q$2902,AE$2,0)&lt;&gt;O622,"Beam Revised","")</f>
        <v>#N/A</v>
      </c>
    </row>
    <row r="623" spans="17:31" ht="13.2" x14ac:dyDescent="0.25">
      <c r="Q623" s="7">
        <f t="shared" si="9"/>
        <v>0</v>
      </c>
      <c r="R623" s="7" t="e">
        <f>IF(VLOOKUP($A623,'Concrete Beam Schedule'!$A$2:$Q$2902,R$2,0)&lt;&gt;B623,VLOOKUP($A623,'Concrete Beam Schedule'!$A$2:$Q$2902,R$2,0),"")</f>
        <v>#N/A</v>
      </c>
      <c r="S623" s="7" t="e">
        <f>IF(VLOOKUP($A623,'Concrete Beam Schedule'!$A$2:$Q$2902,S$2,0)&lt;&gt;C623,VLOOKUP($A623,'Concrete Beam Schedule'!$A$2:$Q$2902,S$2,0),"")</f>
        <v>#N/A</v>
      </c>
      <c r="T623" s="7" t="e">
        <f>IF(VLOOKUP($A623,'Concrete Beam Schedule'!$A$2:$Q$2902,T$2,0)&lt;&gt;D623,"Beam Revised","")</f>
        <v>#N/A</v>
      </c>
      <c r="U623" s="7" t="e">
        <f>IF(VLOOKUP($A623,'Concrete Beam Schedule'!$A$2:$Q$2902,U$2,0)&lt;&gt;E623,"Beam Revised","")</f>
        <v>#N/A</v>
      </c>
      <c r="V623" s="7" t="e">
        <f>IF(VLOOKUP($A623,'Concrete Beam Schedule'!$A$2:$Q$2902,V$2,0)&lt;&gt;F623,"Beam Revised","")</f>
        <v>#N/A</v>
      </c>
      <c r="W623" s="7" t="e">
        <f>IF(VLOOKUP($A623,'Concrete Beam Schedule'!$A$2:$Q$2902,W$2,0)&lt;&gt;G623,"Beam Revised","")</f>
        <v>#N/A</v>
      </c>
      <c r="X623" s="7" t="e">
        <f>IF(VLOOKUP($A623,'Concrete Beam Schedule'!$A$2:$Q$2902,X$2,0)&lt;&gt;H623,"Beam Revised","")</f>
        <v>#N/A</v>
      </c>
      <c r="Y623" s="7" t="e">
        <f>IF(VLOOKUP($A623,'Concrete Beam Schedule'!$A$2:$Q$2902,Y$2,0)&lt;&gt;I623,"Beam Revised","")</f>
        <v>#N/A</v>
      </c>
      <c r="Z623" s="7" t="e">
        <f>IF(VLOOKUP($A623,'Concrete Beam Schedule'!$A$2:$Q$2902,Z$2,0)&lt;&gt;J623,"Beam Revised","")</f>
        <v>#N/A</v>
      </c>
      <c r="AA623" s="7" t="e">
        <f>IF(VLOOKUP($A623,'Concrete Beam Schedule'!$A$2:$Q$2902,AA$2,0)&lt;&gt;K623,"Beam Revised","")</f>
        <v>#N/A</v>
      </c>
      <c r="AB623" s="7" t="e">
        <f>IF(VLOOKUP($A623,'Concrete Beam Schedule'!$A$2:$Q$2902,AB$2,0)&lt;&gt;L623,"Beam Revised","")</f>
        <v>#N/A</v>
      </c>
      <c r="AC623" s="7" t="e">
        <f>IF(VLOOKUP($A623,'Concrete Beam Schedule'!$A$2:$Q$2902,AC$2,0)&lt;&gt;M623,"Beam Revised","")</f>
        <v>#N/A</v>
      </c>
      <c r="AD623" s="7" t="e">
        <f>IF(VLOOKUP($A623,'Concrete Beam Schedule'!$A$2:$Q$2902,AD$2,0)&lt;&gt;N623,"Beam Revised","")</f>
        <v>#N/A</v>
      </c>
      <c r="AE623" s="7" t="e">
        <f>IF(VLOOKUP($A623,'Concrete Beam Schedule'!$A$2:$Q$2902,AE$2,0)&lt;&gt;O623,"Beam Revised","")</f>
        <v>#N/A</v>
      </c>
    </row>
    <row r="624" spans="17:31" ht="13.2" x14ac:dyDescent="0.25">
      <c r="Q624" s="7">
        <f t="shared" si="9"/>
        <v>0</v>
      </c>
      <c r="R624" s="7" t="e">
        <f>IF(VLOOKUP($A624,'Concrete Beam Schedule'!$A$2:$Q$2902,R$2,0)&lt;&gt;B624,VLOOKUP($A624,'Concrete Beam Schedule'!$A$2:$Q$2902,R$2,0),"")</f>
        <v>#N/A</v>
      </c>
      <c r="S624" s="7" t="e">
        <f>IF(VLOOKUP($A624,'Concrete Beam Schedule'!$A$2:$Q$2902,S$2,0)&lt;&gt;C624,VLOOKUP($A624,'Concrete Beam Schedule'!$A$2:$Q$2902,S$2,0),"")</f>
        <v>#N/A</v>
      </c>
      <c r="T624" s="7" t="e">
        <f>IF(VLOOKUP($A624,'Concrete Beam Schedule'!$A$2:$Q$2902,T$2,0)&lt;&gt;D624,"Beam Revised","")</f>
        <v>#N/A</v>
      </c>
      <c r="U624" s="7" t="e">
        <f>IF(VLOOKUP($A624,'Concrete Beam Schedule'!$A$2:$Q$2902,U$2,0)&lt;&gt;E624,"Beam Revised","")</f>
        <v>#N/A</v>
      </c>
      <c r="V624" s="7" t="e">
        <f>IF(VLOOKUP($A624,'Concrete Beam Schedule'!$A$2:$Q$2902,V$2,0)&lt;&gt;F624,"Beam Revised","")</f>
        <v>#N/A</v>
      </c>
      <c r="W624" s="7" t="e">
        <f>IF(VLOOKUP($A624,'Concrete Beam Schedule'!$A$2:$Q$2902,W$2,0)&lt;&gt;G624,"Beam Revised","")</f>
        <v>#N/A</v>
      </c>
      <c r="X624" s="7" t="e">
        <f>IF(VLOOKUP($A624,'Concrete Beam Schedule'!$A$2:$Q$2902,X$2,0)&lt;&gt;H624,"Beam Revised","")</f>
        <v>#N/A</v>
      </c>
      <c r="Y624" s="7" t="e">
        <f>IF(VLOOKUP($A624,'Concrete Beam Schedule'!$A$2:$Q$2902,Y$2,0)&lt;&gt;I624,"Beam Revised","")</f>
        <v>#N/A</v>
      </c>
      <c r="Z624" s="7" t="e">
        <f>IF(VLOOKUP($A624,'Concrete Beam Schedule'!$A$2:$Q$2902,Z$2,0)&lt;&gt;J624,"Beam Revised","")</f>
        <v>#N/A</v>
      </c>
      <c r="AA624" s="7" t="e">
        <f>IF(VLOOKUP($A624,'Concrete Beam Schedule'!$A$2:$Q$2902,AA$2,0)&lt;&gt;K624,"Beam Revised","")</f>
        <v>#N/A</v>
      </c>
      <c r="AB624" s="7" t="e">
        <f>IF(VLOOKUP($A624,'Concrete Beam Schedule'!$A$2:$Q$2902,AB$2,0)&lt;&gt;L624,"Beam Revised","")</f>
        <v>#N/A</v>
      </c>
      <c r="AC624" s="7" t="e">
        <f>IF(VLOOKUP($A624,'Concrete Beam Schedule'!$A$2:$Q$2902,AC$2,0)&lt;&gt;M624,"Beam Revised","")</f>
        <v>#N/A</v>
      </c>
      <c r="AD624" s="7" t="e">
        <f>IF(VLOOKUP($A624,'Concrete Beam Schedule'!$A$2:$Q$2902,AD$2,0)&lt;&gt;N624,"Beam Revised","")</f>
        <v>#N/A</v>
      </c>
      <c r="AE624" s="7" t="e">
        <f>IF(VLOOKUP($A624,'Concrete Beam Schedule'!$A$2:$Q$2902,AE$2,0)&lt;&gt;O624,"Beam Revised","")</f>
        <v>#N/A</v>
      </c>
    </row>
    <row r="625" spans="17:31" ht="13.2" x14ac:dyDescent="0.25">
      <c r="Q625" s="7">
        <f t="shared" si="9"/>
        <v>0</v>
      </c>
      <c r="R625" s="7" t="e">
        <f>IF(VLOOKUP($A625,'Concrete Beam Schedule'!$A$2:$Q$2902,R$2,0)&lt;&gt;B625,VLOOKUP($A625,'Concrete Beam Schedule'!$A$2:$Q$2902,R$2,0),"")</f>
        <v>#N/A</v>
      </c>
      <c r="S625" s="7" t="e">
        <f>IF(VLOOKUP($A625,'Concrete Beam Schedule'!$A$2:$Q$2902,S$2,0)&lt;&gt;C625,VLOOKUP($A625,'Concrete Beam Schedule'!$A$2:$Q$2902,S$2,0),"")</f>
        <v>#N/A</v>
      </c>
      <c r="T625" s="7" t="e">
        <f>IF(VLOOKUP($A625,'Concrete Beam Schedule'!$A$2:$Q$2902,T$2,0)&lt;&gt;D625,"Beam Revised","")</f>
        <v>#N/A</v>
      </c>
      <c r="U625" s="7" t="e">
        <f>IF(VLOOKUP($A625,'Concrete Beam Schedule'!$A$2:$Q$2902,U$2,0)&lt;&gt;E625,"Beam Revised","")</f>
        <v>#N/A</v>
      </c>
      <c r="V625" s="7" t="e">
        <f>IF(VLOOKUP($A625,'Concrete Beam Schedule'!$A$2:$Q$2902,V$2,0)&lt;&gt;F625,"Beam Revised","")</f>
        <v>#N/A</v>
      </c>
      <c r="W625" s="7" t="e">
        <f>IF(VLOOKUP($A625,'Concrete Beam Schedule'!$A$2:$Q$2902,W$2,0)&lt;&gt;G625,"Beam Revised","")</f>
        <v>#N/A</v>
      </c>
      <c r="X625" s="7" t="e">
        <f>IF(VLOOKUP($A625,'Concrete Beam Schedule'!$A$2:$Q$2902,X$2,0)&lt;&gt;H625,"Beam Revised","")</f>
        <v>#N/A</v>
      </c>
      <c r="Y625" s="7" t="e">
        <f>IF(VLOOKUP($A625,'Concrete Beam Schedule'!$A$2:$Q$2902,Y$2,0)&lt;&gt;I625,"Beam Revised","")</f>
        <v>#N/A</v>
      </c>
      <c r="Z625" s="7" t="e">
        <f>IF(VLOOKUP($A625,'Concrete Beam Schedule'!$A$2:$Q$2902,Z$2,0)&lt;&gt;J625,"Beam Revised","")</f>
        <v>#N/A</v>
      </c>
      <c r="AA625" s="7" t="e">
        <f>IF(VLOOKUP($A625,'Concrete Beam Schedule'!$A$2:$Q$2902,AA$2,0)&lt;&gt;K625,"Beam Revised","")</f>
        <v>#N/A</v>
      </c>
      <c r="AB625" s="7" t="e">
        <f>IF(VLOOKUP($A625,'Concrete Beam Schedule'!$A$2:$Q$2902,AB$2,0)&lt;&gt;L625,"Beam Revised","")</f>
        <v>#N/A</v>
      </c>
      <c r="AC625" s="7" t="e">
        <f>IF(VLOOKUP($A625,'Concrete Beam Schedule'!$A$2:$Q$2902,AC$2,0)&lt;&gt;M625,"Beam Revised","")</f>
        <v>#N/A</v>
      </c>
      <c r="AD625" s="7" t="e">
        <f>IF(VLOOKUP($A625,'Concrete Beam Schedule'!$A$2:$Q$2902,AD$2,0)&lt;&gt;N625,"Beam Revised","")</f>
        <v>#N/A</v>
      </c>
      <c r="AE625" s="7" t="e">
        <f>IF(VLOOKUP($A625,'Concrete Beam Schedule'!$A$2:$Q$2902,AE$2,0)&lt;&gt;O625,"Beam Revised","")</f>
        <v>#N/A</v>
      </c>
    </row>
    <row r="626" spans="17:31" ht="13.2" x14ac:dyDescent="0.25">
      <c r="Q626" s="7">
        <f t="shared" si="9"/>
        <v>0</v>
      </c>
      <c r="R626" s="7" t="e">
        <f>IF(VLOOKUP($A626,'Concrete Beam Schedule'!$A$2:$Q$2902,R$2,0)&lt;&gt;B626,VLOOKUP($A626,'Concrete Beam Schedule'!$A$2:$Q$2902,R$2,0),"")</f>
        <v>#N/A</v>
      </c>
      <c r="S626" s="7" t="e">
        <f>IF(VLOOKUP($A626,'Concrete Beam Schedule'!$A$2:$Q$2902,S$2,0)&lt;&gt;C626,VLOOKUP($A626,'Concrete Beam Schedule'!$A$2:$Q$2902,S$2,0),"")</f>
        <v>#N/A</v>
      </c>
      <c r="T626" s="7" t="e">
        <f>IF(VLOOKUP($A626,'Concrete Beam Schedule'!$A$2:$Q$2902,T$2,0)&lt;&gt;D626,"Beam Revised","")</f>
        <v>#N/A</v>
      </c>
      <c r="U626" s="7" t="e">
        <f>IF(VLOOKUP($A626,'Concrete Beam Schedule'!$A$2:$Q$2902,U$2,0)&lt;&gt;E626,"Beam Revised","")</f>
        <v>#N/A</v>
      </c>
      <c r="V626" s="7" t="e">
        <f>IF(VLOOKUP($A626,'Concrete Beam Schedule'!$A$2:$Q$2902,V$2,0)&lt;&gt;F626,"Beam Revised","")</f>
        <v>#N/A</v>
      </c>
      <c r="W626" s="7" t="e">
        <f>IF(VLOOKUP($A626,'Concrete Beam Schedule'!$A$2:$Q$2902,W$2,0)&lt;&gt;G626,"Beam Revised","")</f>
        <v>#N/A</v>
      </c>
      <c r="X626" s="7" t="e">
        <f>IF(VLOOKUP($A626,'Concrete Beam Schedule'!$A$2:$Q$2902,X$2,0)&lt;&gt;H626,"Beam Revised","")</f>
        <v>#N/A</v>
      </c>
      <c r="Y626" s="7" t="e">
        <f>IF(VLOOKUP($A626,'Concrete Beam Schedule'!$A$2:$Q$2902,Y$2,0)&lt;&gt;I626,"Beam Revised","")</f>
        <v>#N/A</v>
      </c>
      <c r="Z626" s="7" t="e">
        <f>IF(VLOOKUP($A626,'Concrete Beam Schedule'!$A$2:$Q$2902,Z$2,0)&lt;&gt;J626,"Beam Revised","")</f>
        <v>#N/A</v>
      </c>
      <c r="AA626" s="7" t="e">
        <f>IF(VLOOKUP($A626,'Concrete Beam Schedule'!$A$2:$Q$2902,AA$2,0)&lt;&gt;K626,"Beam Revised","")</f>
        <v>#N/A</v>
      </c>
      <c r="AB626" s="7" t="e">
        <f>IF(VLOOKUP($A626,'Concrete Beam Schedule'!$A$2:$Q$2902,AB$2,0)&lt;&gt;L626,"Beam Revised","")</f>
        <v>#N/A</v>
      </c>
      <c r="AC626" s="7" t="e">
        <f>IF(VLOOKUP($A626,'Concrete Beam Schedule'!$A$2:$Q$2902,AC$2,0)&lt;&gt;M626,"Beam Revised","")</f>
        <v>#N/A</v>
      </c>
      <c r="AD626" s="7" t="e">
        <f>IF(VLOOKUP($A626,'Concrete Beam Schedule'!$A$2:$Q$2902,AD$2,0)&lt;&gt;N626,"Beam Revised","")</f>
        <v>#N/A</v>
      </c>
      <c r="AE626" s="7" t="e">
        <f>IF(VLOOKUP($A626,'Concrete Beam Schedule'!$A$2:$Q$2902,AE$2,0)&lt;&gt;O626,"Beam Revised","")</f>
        <v>#N/A</v>
      </c>
    </row>
    <row r="627" spans="17:31" ht="13.2" x14ac:dyDescent="0.25">
      <c r="Q627" s="7">
        <f t="shared" si="9"/>
        <v>0</v>
      </c>
      <c r="R627" s="7" t="e">
        <f>IF(VLOOKUP($A627,'Concrete Beam Schedule'!$A$2:$Q$2902,R$2,0)&lt;&gt;B627,VLOOKUP($A627,'Concrete Beam Schedule'!$A$2:$Q$2902,R$2,0),"")</f>
        <v>#N/A</v>
      </c>
      <c r="S627" s="7" t="e">
        <f>IF(VLOOKUP($A627,'Concrete Beam Schedule'!$A$2:$Q$2902,S$2,0)&lt;&gt;C627,VLOOKUP($A627,'Concrete Beam Schedule'!$A$2:$Q$2902,S$2,0),"")</f>
        <v>#N/A</v>
      </c>
      <c r="T627" s="7" t="e">
        <f>IF(VLOOKUP($A627,'Concrete Beam Schedule'!$A$2:$Q$2902,T$2,0)&lt;&gt;D627,"Beam Revised","")</f>
        <v>#N/A</v>
      </c>
      <c r="U627" s="7" t="e">
        <f>IF(VLOOKUP($A627,'Concrete Beam Schedule'!$A$2:$Q$2902,U$2,0)&lt;&gt;E627,"Beam Revised","")</f>
        <v>#N/A</v>
      </c>
      <c r="V627" s="7" t="e">
        <f>IF(VLOOKUP($A627,'Concrete Beam Schedule'!$A$2:$Q$2902,V$2,0)&lt;&gt;F627,"Beam Revised","")</f>
        <v>#N/A</v>
      </c>
      <c r="W627" s="7" t="e">
        <f>IF(VLOOKUP($A627,'Concrete Beam Schedule'!$A$2:$Q$2902,W$2,0)&lt;&gt;G627,"Beam Revised","")</f>
        <v>#N/A</v>
      </c>
      <c r="X627" s="7" t="e">
        <f>IF(VLOOKUP($A627,'Concrete Beam Schedule'!$A$2:$Q$2902,X$2,0)&lt;&gt;H627,"Beam Revised","")</f>
        <v>#N/A</v>
      </c>
      <c r="Y627" s="7" t="e">
        <f>IF(VLOOKUP($A627,'Concrete Beam Schedule'!$A$2:$Q$2902,Y$2,0)&lt;&gt;I627,"Beam Revised","")</f>
        <v>#N/A</v>
      </c>
      <c r="Z627" s="7" t="e">
        <f>IF(VLOOKUP($A627,'Concrete Beam Schedule'!$A$2:$Q$2902,Z$2,0)&lt;&gt;J627,"Beam Revised","")</f>
        <v>#N/A</v>
      </c>
      <c r="AA627" s="7" t="e">
        <f>IF(VLOOKUP($A627,'Concrete Beam Schedule'!$A$2:$Q$2902,AA$2,0)&lt;&gt;K627,"Beam Revised","")</f>
        <v>#N/A</v>
      </c>
      <c r="AB627" s="7" t="e">
        <f>IF(VLOOKUP($A627,'Concrete Beam Schedule'!$A$2:$Q$2902,AB$2,0)&lt;&gt;L627,"Beam Revised","")</f>
        <v>#N/A</v>
      </c>
      <c r="AC627" s="7" t="e">
        <f>IF(VLOOKUP($A627,'Concrete Beam Schedule'!$A$2:$Q$2902,AC$2,0)&lt;&gt;M627,"Beam Revised","")</f>
        <v>#N/A</v>
      </c>
      <c r="AD627" s="7" t="e">
        <f>IF(VLOOKUP($A627,'Concrete Beam Schedule'!$A$2:$Q$2902,AD$2,0)&lt;&gt;N627,"Beam Revised","")</f>
        <v>#N/A</v>
      </c>
      <c r="AE627" s="7" t="e">
        <f>IF(VLOOKUP($A627,'Concrete Beam Schedule'!$A$2:$Q$2902,AE$2,0)&lt;&gt;O627,"Beam Revised","")</f>
        <v>#N/A</v>
      </c>
    </row>
    <row r="628" spans="17:31" ht="13.2" x14ac:dyDescent="0.25">
      <c r="Q628" s="7">
        <f t="shared" si="9"/>
        <v>0</v>
      </c>
      <c r="R628" s="7" t="e">
        <f>IF(VLOOKUP($A628,'Concrete Beam Schedule'!$A$2:$Q$2902,R$2,0)&lt;&gt;B628,VLOOKUP($A628,'Concrete Beam Schedule'!$A$2:$Q$2902,R$2,0),"")</f>
        <v>#N/A</v>
      </c>
      <c r="S628" s="7" t="e">
        <f>IF(VLOOKUP($A628,'Concrete Beam Schedule'!$A$2:$Q$2902,S$2,0)&lt;&gt;C628,VLOOKUP($A628,'Concrete Beam Schedule'!$A$2:$Q$2902,S$2,0),"")</f>
        <v>#N/A</v>
      </c>
      <c r="T628" s="7" t="e">
        <f>IF(VLOOKUP($A628,'Concrete Beam Schedule'!$A$2:$Q$2902,T$2,0)&lt;&gt;D628,"Beam Revised","")</f>
        <v>#N/A</v>
      </c>
      <c r="U628" s="7" t="e">
        <f>IF(VLOOKUP($A628,'Concrete Beam Schedule'!$A$2:$Q$2902,U$2,0)&lt;&gt;E628,"Beam Revised","")</f>
        <v>#N/A</v>
      </c>
      <c r="V628" s="7" t="e">
        <f>IF(VLOOKUP($A628,'Concrete Beam Schedule'!$A$2:$Q$2902,V$2,0)&lt;&gt;F628,"Beam Revised","")</f>
        <v>#N/A</v>
      </c>
      <c r="W628" s="7" t="e">
        <f>IF(VLOOKUP($A628,'Concrete Beam Schedule'!$A$2:$Q$2902,W$2,0)&lt;&gt;G628,"Beam Revised","")</f>
        <v>#N/A</v>
      </c>
      <c r="X628" s="7" t="e">
        <f>IF(VLOOKUP($A628,'Concrete Beam Schedule'!$A$2:$Q$2902,X$2,0)&lt;&gt;H628,"Beam Revised","")</f>
        <v>#N/A</v>
      </c>
      <c r="Y628" s="7" t="e">
        <f>IF(VLOOKUP($A628,'Concrete Beam Schedule'!$A$2:$Q$2902,Y$2,0)&lt;&gt;I628,"Beam Revised","")</f>
        <v>#N/A</v>
      </c>
      <c r="Z628" s="7" t="e">
        <f>IF(VLOOKUP($A628,'Concrete Beam Schedule'!$A$2:$Q$2902,Z$2,0)&lt;&gt;J628,"Beam Revised","")</f>
        <v>#N/A</v>
      </c>
      <c r="AA628" s="7" t="e">
        <f>IF(VLOOKUP($A628,'Concrete Beam Schedule'!$A$2:$Q$2902,AA$2,0)&lt;&gt;K628,"Beam Revised","")</f>
        <v>#N/A</v>
      </c>
      <c r="AB628" s="7" t="e">
        <f>IF(VLOOKUP($A628,'Concrete Beam Schedule'!$A$2:$Q$2902,AB$2,0)&lt;&gt;L628,"Beam Revised","")</f>
        <v>#N/A</v>
      </c>
      <c r="AC628" s="7" t="e">
        <f>IF(VLOOKUP($A628,'Concrete Beam Schedule'!$A$2:$Q$2902,AC$2,0)&lt;&gt;M628,"Beam Revised","")</f>
        <v>#N/A</v>
      </c>
      <c r="AD628" s="7" t="e">
        <f>IF(VLOOKUP($A628,'Concrete Beam Schedule'!$A$2:$Q$2902,AD$2,0)&lt;&gt;N628,"Beam Revised","")</f>
        <v>#N/A</v>
      </c>
      <c r="AE628" s="7" t="e">
        <f>IF(VLOOKUP($A628,'Concrete Beam Schedule'!$A$2:$Q$2902,AE$2,0)&lt;&gt;O628,"Beam Revised","")</f>
        <v>#N/A</v>
      </c>
    </row>
    <row r="629" spans="17:31" ht="13.2" x14ac:dyDescent="0.25">
      <c r="Q629" s="7">
        <f t="shared" si="9"/>
        <v>0</v>
      </c>
      <c r="R629" s="7" t="e">
        <f>IF(VLOOKUP($A629,'Concrete Beam Schedule'!$A$2:$Q$2902,R$2,0)&lt;&gt;B629,VLOOKUP($A629,'Concrete Beam Schedule'!$A$2:$Q$2902,R$2,0),"")</f>
        <v>#N/A</v>
      </c>
      <c r="S629" s="7" t="e">
        <f>IF(VLOOKUP($A629,'Concrete Beam Schedule'!$A$2:$Q$2902,S$2,0)&lt;&gt;C629,VLOOKUP($A629,'Concrete Beam Schedule'!$A$2:$Q$2902,S$2,0),"")</f>
        <v>#N/A</v>
      </c>
      <c r="T629" s="7" t="e">
        <f>IF(VLOOKUP($A629,'Concrete Beam Schedule'!$A$2:$Q$2902,T$2,0)&lt;&gt;D629,"Beam Revised","")</f>
        <v>#N/A</v>
      </c>
      <c r="U629" s="7" t="e">
        <f>IF(VLOOKUP($A629,'Concrete Beam Schedule'!$A$2:$Q$2902,U$2,0)&lt;&gt;E629,"Beam Revised","")</f>
        <v>#N/A</v>
      </c>
      <c r="V629" s="7" t="e">
        <f>IF(VLOOKUP($A629,'Concrete Beam Schedule'!$A$2:$Q$2902,V$2,0)&lt;&gt;F629,"Beam Revised","")</f>
        <v>#N/A</v>
      </c>
      <c r="W629" s="7" t="e">
        <f>IF(VLOOKUP($A629,'Concrete Beam Schedule'!$A$2:$Q$2902,W$2,0)&lt;&gt;G629,"Beam Revised","")</f>
        <v>#N/A</v>
      </c>
      <c r="X629" s="7" t="e">
        <f>IF(VLOOKUP($A629,'Concrete Beam Schedule'!$A$2:$Q$2902,X$2,0)&lt;&gt;H629,"Beam Revised","")</f>
        <v>#N/A</v>
      </c>
      <c r="Y629" s="7" t="e">
        <f>IF(VLOOKUP($A629,'Concrete Beam Schedule'!$A$2:$Q$2902,Y$2,0)&lt;&gt;I629,"Beam Revised","")</f>
        <v>#N/A</v>
      </c>
      <c r="Z629" s="7" t="e">
        <f>IF(VLOOKUP($A629,'Concrete Beam Schedule'!$A$2:$Q$2902,Z$2,0)&lt;&gt;J629,"Beam Revised","")</f>
        <v>#N/A</v>
      </c>
      <c r="AA629" s="7" t="e">
        <f>IF(VLOOKUP($A629,'Concrete Beam Schedule'!$A$2:$Q$2902,AA$2,0)&lt;&gt;K629,"Beam Revised","")</f>
        <v>#N/A</v>
      </c>
      <c r="AB629" s="7" t="e">
        <f>IF(VLOOKUP($A629,'Concrete Beam Schedule'!$A$2:$Q$2902,AB$2,0)&lt;&gt;L629,"Beam Revised","")</f>
        <v>#N/A</v>
      </c>
      <c r="AC629" s="7" t="e">
        <f>IF(VLOOKUP($A629,'Concrete Beam Schedule'!$A$2:$Q$2902,AC$2,0)&lt;&gt;M629,"Beam Revised","")</f>
        <v>#N/A</v>
      </c>
      <c r="AD629" s="7" t="e">
        <f>IF(VLOOKUP($A629,'Concrete Beam Schedule'!$A$2:$Q$2902,AD$2,0)&lt;&gt;N629,"Beam Revised","")</f>
        <v>#N/A</v>
      </c>
      <c r="AE629" s="7" t="e">
        <f>IF(VLOOKUP($A629,'Concrete Beam Schedule'!$A$2:$Q$2902,AE$2,0)&lt;&gt;O629,"Beam Revised","")</f>
        <v>#N/A</v>
      </c>
    </row>
    <row r="630" spans="17:31" ht="13.2" x14ac:dyDescent="0.25">
      <c r="Q630" s="7">
        <f t="shared" si="9"/>
        <v>0</v>
      </c>
      <c r="R630" s="7" t="e">
        <f>IF(VLOOKUP($A630,'Concrete Beam Schedule'!$A$2:$Q$2902,R$2,0)&lt;&gt;B630,VLOOKUP($A630,'Concrete Beam Schedule'!$A$2:$Q$2902,R$2,0),"")</f>
        <v>#N/A</v>
      </c>
      <c r="S630" s="7" t="e">
        <f>IF(VLOOKUP($A630,'Concrete Beam Schedule'!$A$2:$Q$2902,S$2,0)&lt;&gt;C630,VLOOKUP($A630,'Concrete Beam Schedule'!$A$2:$Q$2902,S$2,0),"")</f>
        <v>#N/A</v>
      </c>
      <c r="T630" s="7" t="e">
        <f>IF(VLOOKUP($A630,'Concrete Beam Schedule'!$A$2:$Q$2902,T$2,0)&lt;&gt;D630,"Beam Revised","")</f>
        <v>#N/A</v>
      </c>
      <c r="U630" s="7" t="e">
        <f>IF(VLOOKUP($A630,'Concrete Beam Schedule'!$A$2:$Q$2902,U$2,0)&lt;&gt;E630,"Beam Revised","")</f>
        <v>#N/A</v>
      </c>
      <c r="V630" s="7" t="e">
        <f>IF(VLOOKUP($A630,'Concrete Beam Schedule'!$A$2:$Q$2902,V$2,0)&lt;&gt;F630,"Beam Revised","")</f>
        <v>#N/A</v>
      </c>
      <c r="W630" s="7" t="e">
        <f>IF(VLOOKUP($A630,'Concrete Beam Schedule'!$A$2:$Q$2902,W$2,0)&lt;&gt;G630,"Beam Revised","")</f>
        <v>#N/A</v>
      </c>
      <c r="X630" s="7" t="e">
        <f>IF(VLOOKUP($A630,'Concrete Beam Schedule'!$A$2:$Q$2902,X$2,0)&lt;&gt;H630,"Beam Revised","")</f>
        <v>#N/A</v>
      </c>
      <c r="Y630" s="7" t="e">
        <f>IF(VLOOKUP($A630,'Concrete Beam Schedule'!$A$2:$Q$2902,Y$2,0)&lt;&gt;I630,"Beam Revised","")</f>
        <v>#N/A</v>
      </c>
      <c r="Z630" s="7" t="e">
        <f>IF(VLOOKUP($A630,'Concrete Beam Schedule'!$A$2:$Q$2902,Z$2,0)&lt;&gt;J630,"Beam Revised","")</f>
        <v>#N/A</v>
      </c>
      <c r="AA630" s="7" t="e">
        <f>IF(VLOOKUP($A630,'Concrete Beam Schedule'!$A$2:$Q$2902,AA$2,0)&lt;&gt;K630,"Beam Revised","")</f>
        <v>#N/A</v>
      </c>
      <c r="AB630" s="7" t="e">
        <f>IF(VLOOKUP($A630,'Concrete Beam Schedule'!$A$2:$Q$2902,AB$2,0)&lt;&gt;L630,"Beam Revised","")</f>
        <v>#N/A</v>
      </c>
      <c r="AC630" s="7" t="e">
        <f>IF(VLOOKUP($A630,'Concrete Beam Schedule'!$A$2:$Q$2902,AC$2,0)&lt;&gt;M630,"Beam Revised","")</f>
        <v>#N/A</v>
      </c>
      <c r="AD630" s="7" t="e">
        <f>IF(VLOOKUP($A630,'Concrete Beam Schedule'!$A$2:$Q$2902,AD$2,0)&lt;&gt;N630,"Beam Revised","")</f>
        <v>#N/A</v>
      </c>
      <c r="AE630" s="7" t="e">
        <f>IF(VLOOKUP($A630,'Concrete Beam Schedule'!$A$2:$Q$2902,AE$2,0)&lt;&gt;O630,"Beam Revised","")</f>
        <v>#N/A</v>
      </c>
    </row>
    <row r="631" spans="17:31" ht="13.2" x14ac:dyDescent="0.25">
      <c r="Q631" s="7">
        <f t="shared" si="9"/>
        <v>0</v>
      </c>
      <c r="R631" s="7" t="e">
        <f>IF(VLOOKUP($A631,'Concrete Beam Schedule'!$A$2:$Q$2902,R$2,0)&lt;&gt;B631,VLOOKUP($A631,'Concrete Beam Schedule'!$A$2:$Q$2902,R$2,0),"")</f>
        <v>#N/A</v>
      </c>
      <c r="S631" s="7" t="e">
        <f>IF(VLOOKUP($A631,'Concrete Beam Schedule'!$A$2:$Q$2902,S$2,0)&lt;&gt;C631,VLOOKUP($A631,'Concrete Beam Schedule'!$A$2:$Q$2902,S$2,0),"")</f>
        <v>#N/A</v>
      </c>
      <c r="T631" s="7" t="e">
        <f>IF(VLOOKUP($A631,'Concrete Beam Schedule'!$A$2:$Q$2902,T$2,0)&lt;&gt;D631,"Beam Revised","")</f>
        <v>#N/A</v>
      </c>
      <c r="U631" s="7" t="e">
        <f>IF(VLOOKUP($A631,'Concrete Beam Schedule'!$A$2:$Q$2902,U$2,0)&lt;&gt;E631,"Beam Revised","")</f>
        <v>#N/A</v>
      </c>
      <c r="V631" s="7" t="e">
        <f>IF(VLOOKUP($A631,'Concrete Beam Schedule'!$A$2:$Q$2902,V$2,0)&lt;&gt;F631,"Beam Revised","")</f>
        <v>#N/A</v>
      </c>
      <c r="W631" s="7" t="e">
        <f>IF(VLOOKUP($A631,'Concrete Beam Schedule'!$A$2:$Q$2902,W$2,0)&lt;&gt;G631,"Beam Revised","")</f>
        <v>#N/A</v>
      </c>
      <c r="X631" s="7" t="e">
        <f>IF(VLOOKUP($A631,'Concrete Beam Schedule'!$A$2:$Q$2902,X$2,0)&lt;&gt;H631,"Beam Revised","")</f>
        <v>#N/A</v>
      </c>
      <c r="Y631" s="7" t="e">
        <f>IF(VLOOKUP($A631,'Concrete Beam Schedule'!$A$2:$Q$2902,Y$2,0)&lt;&gt;I631,"Beam Revised","")</f>
        <v>#N/A</v>
      </c>
      <c r="Z631" s="7" t="e">
        <f>IF(VLOOKUP($A631,'Concrete Beam Schedule'!$A$2:$Q$2902,Z$2,0)&lt;&gt;J631,"Beam Revised","")</f>
        <v>#N/A</v>
      </c>
      <c r="AA631" s="7" t="e">
        <f>IF(VLOOKUP($A631,'Concrete Beam Schedule'!$A$2:$Q$2902,AA$2,0)&lt;&gt;K631,"Beam Revised","")</f>
        <v>#N/A</v>
      </c>
      <c r="AB631" s="7" t="e">
        <f>IF(VLOOKUP($A631,'Concrete Beam Schedule'!$A$2:$Q$2902,AB$2,0)&lt;&gt;L631,"Beam Revised","")</f>
        <v>#N/A</v>
      </c>
      <c r="AC631" s="7" t="e">
        <f>IF(VLOOKUP($A631,'Concrete Beam Schedule'!$A$2:$Q$2902,AC$2,0)&lt;&gt;M631,"Beam Revised","")</f>
        <v>#N/A</v>
      </c>
      <c r="AD631" s="7" t="e">
        <f>IF(VLOOKUP($A631,'Concrete Beam Schedule'!$A$2:$Q$2902,AD$2,0)&lt;&gt;N631,"Beam Revised","")</f>
        <v>#N/A</v>
      </c>
      <c r="AE631" s="7" t="e">
        <f>IF(VLOOKUP($A631,'Concrete Beam Schedule'!$A$2:$Q$2902,AE$2,0)&lt;&gt;O631,"Beam Revised","")</f>
        <v>#N/A</v>
      </c>
    </row>
    <row r="632" spans="17:31" ht="13.2" x14ac:dyDescent="0.25">
      <c r="Q632" s="7">
        <f t="shared" si="9"/>
        <v>0</v>
      </c>
      <c r="R632" s="7" t="e">
        <f>IF(VLOOKUP($A632,'Concrete Beam Schedule'!$A$2:$Q$2902,R$2,0)&lt;&gt;B632,VLOOKUP($A632,'Concrete Beam Schedule'!$A$2:$Q$2902,R$2,0),"")</f>
        <v>#N/A</v>
      </c>
      <c r="S632" s="7" t="e">
        <f>IF(VLOOKUP($A632,'Concrete Beam Schedule'!$A$2:$Q$2902,S$2,0)&lt;&gt;C632,VLOOKUP($A632,'Concrete Beam Schedule'!$A$2:$Q$2902,S$2,0),"")</f>
        <v>#N/A</v>
      </c>
      <c r="T632" s="7" t="e">
        <f>IF(VLOOKUP($A632,'Concrete Beam Schedule'!$A$2:$Q$2902,T$2,0)&lt;&gt;D632,"Beam Revised","")</f>
        <v>#N/A</v>
      </c>
      <c r="U632" s="7" t="e">
        <f>IF(VLOOKUP($A632,'Concrete Beam Schedule'!$A$2:$Q$2902,U$2,0)&lt;&gt;E632,"Beam Revised","")</f>
        <v>#N/A</v>
      </c>
      <c r="V632" s="7" t="e">
        <f>IF(VLOOKUP($A632,'Concrete Beam Schedule'!$A$2:$Q$2902,V$2,0)&lt;&gt;F632,"Beam Revised","")</f>
        <v>#N/A</v>
      </c>
      <c r="W632" s="7" t="e">
        <f>IF(VLOOKUP($A632,'Concrete Beam Schedule'!$A$2:$Q$2902,W$2,0)&lt;&gt;G632,"Beam Revised","")</f>
        <v>#N/A</v>
      </c>
      <c r="X632" s="7" t="e">
        <f>IF(VLOOKUP($A632,'Concrete Beam Schedule'!$A$2:$Q$2902,X$2,0)&lt;&gt;H632,"Beam Revised","")</f>
        <v>#N/A</v>
      </c>
      <c r="Y632" s="7" t="e">
        <f>IF(VLOOKUP($A632,'Concrete Beam Schedule'!$A$2:$Q$2902,Y$2,0)&lt;&gt;I632,"Beam Revised","")</f>
        <v>#N/A</v>
      </c>
      <c r="Z632" s="7" t="e">
        <f>IF(VLOOKUP($A632,'Concrete Beam Schedule'!$A$2:$Q$2902,Z$2,0)&lt;&gt;J632,"Beam Revised","")</f>
        <v>#N/A</v>
      </c>
      <c r="AA632" s="7" t="e">
        <f>IF(VLOOKUP($A632,'Concrete Beam Schedule'!$A$2:$Q$2902,AA$2,0)&lt;&gt;K632,"Beam Revised","")</f>
        <v>#N/A</v>
      </c>
      <c r="AB632" s="7" t="e">
        <f>IF(VLOOKUP($A632,'Concrete Beam Schedule'!$A$2:$Q$2902,AB$2,0)&lt;&gt;L632,"Beam Revised","")</f>
        <v>#N/A</v>
      </c>
      <c r="AC632" s="7" t="e">
        <f>IF(VLOOKUP($A632,'Concrete Beam Schedule'!$A$2:$Q$2902,AC$2,0)&lt;&gt;M632,"Beam Revised","")</f>
        <v>#N/A</v>
      </c>
      <c r="AD632" s="7" t="e">
        <f>IF(VLOOKUP($A632,'Concrete Beam Schedule'!$A$2:$Q$2902,AD$2,0)&lt;&gt;N632,"Beam Revised","")</f>
        <v>#N/A</v>
      </c>
      <c r="AE632" s="7" t="e">
        <f>IF(VLOOKUP($A632,'Concrete Beam Schedule'!$A$2:$Q$2902,AE$2,0)&lt;&gt;O632,"Beam Revised","")</f>
        <v>#N/A</v>
      </c>
    </row>
    <row r="633" spans="17:31" ht="13.2" x14ac:dyDescent="0.25">
      <c r="Q633" s="7">
        <f t="shared" si="9"/>
        <v>0</v>
      </c>
      <c r="R633" s="7" t="e">
        <f>IF(VLOOKUP($A633,'Concrete Beam Schedule'!$A$2:$Q$2902,R$2,0)&lt;&gt;B633,VLOOKUP($A633,'Concrete Beam Schedule'!$A$2:$Q$2902,R$2,0),"")</f>
        <v>#N/A</v>
      </c>
      <c r="S633" s="7" t="e">
        <f>IF(VLOOKUP($A633,'Concrete Beam Schedule'!$A$2:$Q$2902,S$2,0)&lt;&gt;C633,VLOOKUP($A633,'Concrete Beam Schedule'!$A$2:$Q$2902,S$2,0),"")</f>
        <v>#N/A</v>
      </c>
      <c r="T633" s="7" t="e">
        <f>IF(VLOOKUP($A633,'Concrete Beam Schedule'!$A$2:$Q$2902,T$2,0)&lt;&gt;D633,"Beam Revised","")</f>
        <v>#N/A</v>
      </c>
      <c r="U633" s="7" t="e">
        <f>IF(VLOOKUP($A633,'Concrete Beam Schedule'!$A$2:$Q$2902,U$2,0)&lt;&gt;E633,"Beam Revised","")</f>
        <v>#N/A</v>
      </c>
      <c r="V633" s="7" t="e">
        <f>IF(VLOOKUP($A633,'Concrete Beam Schedule'!$A$2:$Q$2902,V$2,0)&lt;&gt;F633,"Beam Revised","")</f>
        <v>#N/A</v>
      </c>
      <c r="W633" s="7" t="e">
        <f>IF(VLOOKUP($A633,'Concrete Beam Schedule'!$A$2:$Q$2902,W$2,0)&lt;&gt;G633,"Beam Revised","")</f>
        <v>#N/A</v>
      </c>
      <c r="X633" s="7" t="e">
        <f>IF(VLOOKUP($A633,'Concrete Beam Schedule'!$A$2:$Q$2902,X$2,0)&lt;&gt;H633,"Beam Revised","")</f>
        <v>#N/A</v>
      </c>
      <c r="Y633" s="7" t="e">
        <f>IF(VLOOKUP($A633,'Concrete Beam Schedule'!$A$2:$Q$2902,Y$2,0)&lt;&gt;I633,"Beam Revised","")</f>
        <v>#N/A</v>
      </c>
      <c r="Z633" s="7" t="e">
        <f>IF(VLOOKUP($A633,'Concrete Beam Schedule'!$A$2:$Q$2902,Z$2,0)&lt;&gt;J633,"Beam Revised","")</f>
        <v>#N/A</v>
      </c>
      <c r="AA633" s="7" t="e">
        <f>IF(VLOOKUP($A633,'Concrete Beam Schedule'!$A$2:$Q$2902,AA$2,0)&lt;&gt;K633,"Beam Revised","")</f>
        <v>#N/A</v>
      </c>
      <c r="AB633" s="7" t="e">
        <f>IF(VLOOKUP($A633,'Concrete Beam Schedule'!$A$2:$Q$2902,AB$2,0)&lt;&gt;L633,"Beam Revised","")</f>
        <v>#N/A</v>
      </c>
      <c r="AC633" s="7" t="e">
        <f>IF(VLOOKUP($A633,'Concrete Beam Schedule'!$A$2:$Q$2902,AC$2,0)&lt;&gt;M633,"Beam Revised","")</f>
        <v>#N/A</v>
      </c>
      <c r="AD633" s="7" t="e">
        <f>IF(VLOOKUP($A633,'Concrete Beam Schedule'!$A$2:$Q$2902,AD$2,0)&lt;&gt;N633,"Beam Revised","")</f>
        <v>#N/A</v>
      </c>
      <c r="AE633" s="7" t="e">
        <f>IF(VLOOKUP($A633,'Concrete Beam Schedule'!$A$2:$Q$2902,AE$2,0)&lt;&gt;O633,"Beam Revised","")</f>
        <v>#N/A</v>
      </c>
    </row>
    <row r="634" spans="17:31" ht="13.2" x14ac:dyDescent="0.25">
      <c r="Q634" s="7">
        <f t="shared" si="9"/>
        <v>0</v>
      </c>
      <c r="R634" s="7" t="e">
        <f>IF(VLOOKUP($A634,'Concrete Beam Schedule'!$A$2:$Q$2902,R$2,0)&lt;&gt;B634,VLOOKUP($A634,'Concrete Beam Schedule'!$A$2:$Q$2902,R$2,0),"")</f>
        <v>#N/A</v>
      </c>
      <c r="S634" s="7" t="e">
        <f>IF(VLOOKUP($A634,'Concrete Beam Schedule'!$A$2:$Q$2902,S$2,0)&lt;&gt;C634,VLOOKUP($A634,'Concrete Beam Schedule'!$A$2:$Q$2902,S$2,0),"")</f>
        <v>#N/A</v>
      </c>
      <c r="T634" s="7" t="e">
        <f>IF(VLOOKUP($A634,'Concrete Beam Schedule'!$A$2:$Q$2902,T$2,0)&lt;&gt;D634,"Beam Revised","")</f>
        <v>#N/A</v>
      </c>
      <c r="U634" s="7" t="e">
        <f>IF(VLOOKUP($A634,'Concrete Beam Schedule'!$A$2:$Q$2902,U$2,0)&lt;&gt;E634,"Beam Revised","")</f>
        <v>#N/A</v>
      </c>
      <c r="V634" s="7" t="e">
        <f>IF(VLOOKUP($A634,'Concrete Beam Schedule'!$A$2:$Q$2902,V$2,0)&lt;&gt;F634,"Beam Revised","")</f>
        <v>#N/A</v>
      </c>
      <c r="W634" s="7" t="e">
        <f>IF(VLOOKUP($A634,'Concrete Beam Schedule'!$A$2:$Q$2902,W$2,0)&lt;&gt;G634,"Beam Revised","")</f>
        <v>#N/A</v>
      </c>
      <c r="X634" s="7" t="e">
        <f>IF(VLOOKUP($A634,'Concrete Beam Schedule'!$A$2:$Q$2902,X$2,0)&lt;&gt;H634,"Beam Revised","")</f>
        <v>#N/A</v>
      </c>
      <c r="Y634" s="7" t="e">
        <f>IF(VLOOKUP($A634,'Concrete Beam Schedule'!$A$2:$Q$2902,Y$2,0)&lt;&gt;I634,"Beam Revised","")</f>
        <v>#N/A</v>
      </c>
      <c r="Z634" s="7" t="e">
        <f>IF(VLOOKUP($A634,'Concrete Beam Schedule'!$A$2:$Q$2902,Z$2,0)&lt;&gt;J634,"Beam Revised","")</f>
        <v>#N/A</v>
      </c>
      <c r="AA634" s="7" t="e">
        <f>IF(VLOOKUP($A634,'Concrete Beam Schedule'!$A$2:$Q$2902,AA$2,0)&lt;&gt;K634,"Beam Revised","")</f>
        <v>#N/A</v>
      </c>
      <c r="AB634" s="7" t="e">
        <f>IF(VLOOKUP($A634,'Concrete Beam Schedule'!$A$2:$Q$2902,AB$2,0)&lt;&gt;L634,"Beam Revised","")</f>
        <v>#N/A</v>
      </c>
      <c r="AC634" s="7" t="e">
        <f>IF(VLOOKUP($A634,'Concrete Beam Schedule'!$A$2:$Q$2902,AC$2,0)&lt;&gt;M634,"Beam Revised","")</f>
        <v>#N/A</v>
      </c>
      <c r="AD634" s="7" t="e">
        <f>IF(VLOOKUP($A634,'Concrete Beam Schedule'!$A$2:$Q$2902,AD$2,0)&lt;&gt;N634,"Beam Revised","")</f>
        <v>#N/A</v>
      </c>
      <c r="AE634" s="7" t="e">
        <f>IF(VLOOKUP($A634,'Concrete Beam Schedule'!$A$2:$Q$2902,AE$2,0)&lt;&gt;O634,"Beam Revised","")</f>
        <v>#N/A</v>
      </c>
    </row>
    <row r="635" spans="17:31" ht="13.2" x14ac:dyDescent="0.25">
      <c r="Q635" s="7">
        <f t="shared" si="9"/>
        <v>0</v>
      </c>
      <c r="R635" s="7" t="e">
        <f>IF(VLOOKUP($A635,'Concrete Beam Schedule'!$A$2:$Q$2902,R$2,0)&lt;&gt;B635,VLOOKUP($A635,'Concrete Beam Schedule'!$A$2:$Q$2902,R$2,0),"")</f>
        <v>#N/A</v>
      </c>
      <c r="S635" s="7" t="e">
        <f>IF(VLOOKUP($A635,'Concrete Beam Schedule'!$A$2:$Q$2902,S$2,0)&lt;&gt;C635,VLOOKUP($A635,'Concrete Beam Schedule'!$A$2:$Q$2902,S$2,0),"")</f>
        <v>#N/A</v>
      </c>
      <c r="T635" s="7" t="e">
        <f>IF(VLOOKUP($A635,'Concrete Beam Schedule'!$A$2:$Q$2902,T$2,0)&lt;&gt;D635,"Beam Revised","")</f>
        <v>#N/A</v>
      </c>
      <c r="U635" s="7" t="e">
        <f>IF(VLOOKUP($A635,'Concrete Beam Schedule'!$A$2:$Q$2902,U$2,0)&lt;&gt;E635,"Beam Revised","")</f>
        <v>#N/A</v>
      </c>
      <c r="V635" s="7" t="e">
        <f>IF(VLOOKUP($A635,'Concrete Beam Schedule'!$A$2:$Q$2902,V$2,0)&lt;&gt;F635,"Beam Revised","")</f>
        <v>#N/A</v>
      </c>
      <c r="W635" s="7" t="e">
        <f>IF(VLOOKUP($A635,'Concrete Beam Schedule'!$A$2:$Q$2902,W$2,0)&lt;&gt;G635,"Beam Revised","")</f>
        <v>#N/A</v>
      </c>
      <c r="X635" s="7" t="e">
        <f>IF(VLOOKUP($A635,'Concrete Beam Schedule'!$A$2:$Q$2902,X$2,0)&lt;&gt;H635,"Beam Revised","")</f>
        <v>#N/A</v>
      </c>
      <c r="Y635" s="7" t="e">
        <f>IF(VLOOKUP($A635,'Concrete Beam Schedule'!$A$2:$Q$2902,Y$2,0)&lt;&gt;I635,"Beam Revised","")</f>
        <v>#N/A</v>
      </c>
      <c r="Z635" s="7" t="e">
        <f>IF(VLOOKUP($A635,'Concrete Beam Schedule'!$A$2:$Q$2902,Z$2,0)&lt;&gt;J635,"Beam Revised","")</f>
        <v>#N/A</v>
      </c>
      <c r="AA635" s="7" t="e">
        <f>IF(VLOOKUP($A635,'Concrete Beam Schedule'!$A$2:$Q$2902,AA$2,0)&lt;&gt;K635,"Beam Revised","")</f>
        <v>#N/A</v>
      </c>
      <c r="AB635" s="7" t="e">
        <f>IF(VLOOKUP($A635,'Concrete Beam Schedule'!$A$2:$Q$2902,AB$2,0)&lt;&gt;L635,"Beam Revised","")</f>
        <v>#N/A</v>
      </c>
      <c r="AC635" s="7" t="e">
        <f>IF(VLOOKUP($A635,'Concrete Beam Schedule'!$A$2:$Q$2902,AC$2,0)&lt;&gt;M635,"Beam Revised","")</f>
        <v>#N/A</v>
      </c>
      <c r="AD635" s="7" t="e">
        <f>IF(VLOOKUP($A635,'Concrete Beam Schedule'!$A$2:$Q$2902,AD$2,0)&lt;&gt;N635,"Beam Revised","")</f>
        <v>#N/A</v>
      </c>
      <c r="AE635" s="7" t="e">
        <f>IF(VLOOKUP($A635,'Concrete Beam Schedule'!$A$2:$Q$2902,AE$2,0)&lt;&gt;O635,"Beam Revised","")</f>
        <v>#N/A</v>
      </c>
    </row>
    <row r="636" spans="17:31" ht="13.2" x14ac:dyDescent="0.25">
      <c r="Q636" s="7">
        <f t="shared" si="9"/>
        <v>0</v>
      </c>
      <c r="R636" s="7" t="e">
        <f>IF(VLOOKUP($A636,'Concrete Beam Schedule'!$A$2:$Q$2902,R$2,0)&lt;&gt;B636,VLOOKUP($A636,'Concrete Beam Schedule'!$A$2:$Q$2902,R$2,0),"")</f>
        <v>#N/A</v>
      </c>
      <c r="S636" s="7" t="e">
        <f>IF(VLOOKUP($A636,'Concrete Beam Schedule'!$A$2:$Q$2902,S$2,0)&lt;&gt;C636,VLOOKUP($A636,'Concrete Beam Schedule'!$A$2:$Q$2902,S$2,0),"")</f>
        <v>#N/A</v>
      </c>
      <c r="T636" s="7" t="e">
        <f>IF(VLOOKUP($A636,'Concrete Beam Schedule'!$A$2:$Q$2902,T$2,0)&lt;&gt;D636,"Beam Revised","")</f>
        <v>#N/A</v>
      </c>
      <c r="U636" s="7" t="e">
        <f>IF(VLOOKUP($A636,'Concrete Beam Schedule'!$A$2:$Q$2902,U$2,0)&lt;&gt;E636,"Beam Revised","")</f>
        <v>#N/A</v>
      </c>
      <c r="V636" s="7" t="e">
        <f>IF(VLOOKUP($A636,'Concrete Beam Schedule'!$A$2:$Q$2902,V$2,0)&lt;&gt;F636,"Beam Revised","")</f>
        <v>#N/A</v>
      </c>
      <c r="W636" s="7" t="e">
        <f>IF(VLOOKUP($A636,'Concrete Beam Schedule'!$A$2:$Q$2902,W$2,0)&lt;&gt;G636,"Beam Revised","")</f>
        <v>#N/A</v>
      </c>
      <c r="X636" s="7" t="e">
        <f>IF(VLOOKUP($A636,'Concrete Beam Schedule'!$A$2:$Q$2902,X$2,0)&lt;&gt;H636,"Beam Revised","")</f>
        <v>#N/A</v>
      </c>
      <c r="Y636" s="7" t="e">
        <f>IF(VLOOKUP($A636,'Concrete Beam Schedule'!$A$2:$Q$2902,Y$2,0)&lt;&gt;I636,"Beam Revised","")</f>
        <v>#N/A</v>
      </c>
      <c r="Z636" s="7" t="e">
        <f>IF(VLOOKUP($A636,'Concrete Beam Schedule'!$A$2:$Q$2902,Z$2,0)&lt;&gt;J636,"Beam Revised","")</f>
        <v>#N/A</v>
      </c>
      <c r="AA636" s="7" t="e">
        <f>IF(VLOOKUP($A636,'Concrete Beam Schedule'!$A$2:$Q$2902,AA$2,0)&lt;&gt;K636,"Beam Revised","")</f>
        <v>#N/A</v>
      </c>
      <c r="AB636" s="7" t="e">
        <f>IF(VLOOKUP($A636,'Concrete Beam Schedule'!$A$2:$Q$2902,AB$2,0)&lt;&gt;L636,"Beam Revised","")</f>
        <v>#N/A</v>
      </c>
      <c r="AC636" s="7" t="e">
        <f>IF(VLOOKUP($A636,'Concrete Beam Schedule'!$A$2:$Q$2902,AC$2,0)&lt;&gt;M636,"Beam Revised","")</f>
        <v>#N/A</v>
      </c>
      <c r="AD636" s="7" t="e">
        <f>IF(VLOOKUP($A636,'Concrete Beam Schedule'!$A$2:$Q$2902,AD$2,0)&lt;&gt;N636,"Beam Revised","")</f>
        <v>#N/A</v>
      </c>
      <c r="AE636" s="7" t="e">
        <f>IF(VLOOKUP($A636,'Concrete Beam Schedule'!$A$2:$Q$2902,AE$2,0)&lt;&gt;O636,"Beam Revised","")</f>
        <v>#N/A</v>
      </c>
    </row>
    <row r="637" spans="17:31" ht="13.2" x14ac:dyDescent="0.25">
      <c r="Q637" s="7">
        <f t="shared" si="9"/>
        <v>0</v>
      </c>
      <c r="R637" s="7" t="e">
        <f>IF(VLOOKUP($A637,'Concrete Beam Schedule'!$A$2:$Q$2902,R$2,0)&lt;&gt;B637,VLOOKUP($A637,'Concrete Beam Schedule'!$A$2:$Q$2902,R$2,0),"")</f>
        <v>#N/A</v>
      </c>
      <c r="S637" s="7" t="e">
        <f>IF(VLOOKUP($A637,'Concrete Beam Schedule'!$A$2:$Q$2902,S$2,0)&lt;&gt;C637,VLOOKUP($A637,'Concrete Beam Schedule'!$A$2:$Q$2902,S$2,0),"")</f>
        <v>#N/A</v>
      </c>
      <c r="T637" s="7" t="e">
        <f>IF(VLOOKUP($A637,'Concrete Beam Schedule'!$A$2:$Q$2902,T$2,0)&lt;&gt;D637,"Beam Revised","")</f>
        <v>#N/A</v>
      </c>
      <c r="U637" s="7" t="e">
        <f>IF(VLOOKUP($A637,'Concrete Beam Schedule'!$A$2:$Q$2902,U$2,0)&lt;&gt;E637,"Beam Revised","")</f>
        <v>#N/A</v>
      </c>
      <c r="V637" s="7" t="e">
        <f>IF(VLOOKUP($A637,'Concrete Beam Schedule'!$A$2:$Q$2902,V$2,0)&lt;&gt;F637,"Beam Revised","")</f>
        <v>#N/A</v>
      </c>
      <c r="W637" s="7" t="e">
        <f>IF(VLOOKUP($A637,'Concrete Beam Schedule'!$A$2:$Q$2902,W$2,0)&lt;&gt;G637,"Beam Revised","")</f>
        <v>#N/A</v>
      </c>
      <c r="X637" s="7" t="e">
        <f>IF(VLOOKUP($A637,'Concrete Beam Schedule'!$A$2:$Q$2902,X$2,0)&lt;&gt;H637,"Beam Revised","")</f>
        <v>#N/A</v>
      </c>
      <c r="Y637" s="7" t="e">
        <f>IF(VLOOKUP($A637,'Concrete Beam Schedule'!$A$2:$Q$2902,Y$2,0)&lt;&gt;I637,"Beam Revised","")</f>
        <v>#N/A</v>
      </c>
      <c r="Z637" s="7" t="e">
        <f>IF(VLOOKUP($A637,'Concrete Beam Schedule'!$A$2:$Q$2902,Z$2,0)&lt;&gt;J637,"Beam Revised","")</f>
        <v>#N/A</v>
      </c>
      <c r="AA637" s="7" t="e">
        <f>IF(VLOOKUP($A637,'Concrete Beam Schedule'!$A$2:$Q$2902,AA$2,0)&lt;&gt;K637,"Beam Revised","")</f>
        <v>#N/A</v>
      </c>
      <c r="AB637" s="7" t="e">
        <f>IF(VLOOKUP($A637,'Concrete Beam Schedule'!$A$2:$Q$2902,AB$2,0)&lt;&gt;L637,"Beam Revised","")</f>
        <v>#N/A</v>
      </c>
      <c r="AC637" s="7" t="e">
        <f>IF(VLOOKUP($A637,'Concrete Beam Schedule'!$A$2:$Q$2902,AC$2,0)&lt;&gt;M637,"Beam Revised","")</f>
        <v>#N/A</v>
      </c>
      <c r="AD637" s="7" t="e">
        <f>IF(VLOOKUP($A637,'Concrete Beam Schedule'!$A$2:$Q$2902,AD$2,0)&lt;&gt;N637,"Beam Revised","")</f>
        <v>#N/A</v>
      </c>
      <c r="AE637" s="7" t="e">
        <f>IF(VLOOKUP($A637,'Concrete Beam Schedule'!$A$2:$Q$2902,AE$2,0)&lt;&gt;O637,"Beam Revised","")</f>
        <v>#N/A</v>
      </c>
    </row>
    <row r="638" spans="17:31" ht="13.2" x14ac:dyDescent="0.25">
      <c r="Q638" s="7">
        <f t="shared" si="9"/>
        <v>0</v>
      </c>
      <c r="R638" s="7" t="e">
        <f>IF(VLOOKUP($A638,'Concrete Beam Schedule'!$A$2:$Q$2902,R$2,0)&lt;&gt;B638,VLOOKUP($A638,'Concrete Beam Schedule'!$A$2:$Q$2902,R$2,0),"")</f>
        <v>#N/A</v>
      </c>
      <c r="S638" s="7" t="e">
        <f>IF(VLOOKUP($A638,'Concrete Beam Schedule'!$A$2:$Q$2902,S$2,0)&lt;&gt;C638,VLOOKUP($A638,'Concrete Beam Schedule'!$A$2:$Q$2902,S$2,0),"")</f>
        <v>#N/A</v>
      </c>
      <c r="T638" s="7" t="e">
        <f>IF(VLOOKUP($A638,'Concrete Beam Schedule'!$A$2:$Q$2902,T$2,0)&lt;&gt;D638,"Beam Revised","")</f>
        <v>#N/A</v>
      </c>
      <c r="U638" s="7" t="e">
        <f>IF(VLOOKUP($A638,'Concrete Beam Schedule'!$A$2:$Q$2902,U$2,0)&lt;&gt;E638,"Beam Revised","")</f>
        <v>#N/A</v>
      </c>
      <c r="V638" s="7" t="e">
        <f>IF(VLOOKUP($A638,'Concrete Beam Schedule'!$A$2:$Q$2902,V$2,0)&lt;&gt;F638,"Beam Revised","")</f>
        <v>#N/A</v>
      </c>
      <c r="W638" s="7" t="e">
        <f>IF(VLOOKUP($A638,'Concrete Beam Schedule'!$A$2:$Q$2902,W$2,0)&lt;&gt;G638,"Beam Revised","")</f>
        <v>#N/A</v>
      </c>
      <c r="X638" s="7" t="e">
        <f>IF(VLOOKUP($A638,'Concrete Beam Schedule'!$A$2:$Q$2902,X$2,0)&lt;&gt;H638,"Beam Revised","")</f>
        <v>#N/A</v>
      </c>
      <c r="Y638" s="7" t="e">
        <f>IF(VLOOKUP($A638,'Concrete Beam Schedule'!$A$2:$Q$2902,Y$2,0)&lt;&gt;I638,"Beam Revised","")</f>
        <v>#N/A</v>
      </c>
      <c r="Z638" s="7" t="e">
        <f>IF(VLOOKUP($A638,'Concrete Beam Schedule'!$A$2:$Q$2902,Z$2,0)&lt;&gt;J638,"Beam Revised","")</f>
        <v>#N/A</v>
      </c>
      <c r="AA638" s="7" t="e">
        <f>IF(VLOOKUP($A638,'Concrete Beam Schedule'!$A$2:$Q$2902,AA$2,0)&lt;&gt;K638,"Beam Revised","")</f>
        <v>#N/A</v>
      </c>
      <c r="AB638" s="7" t="e">
        <f>IF(VLOOKUP($A638,'Concrete Beam Schedule'!$A$2:$Q$2902,AB$2,0)&lt;&gt;L638,"Beam Revised","")</f>
        <v>#N/A</v>
      </c>
      <c r="AC638" s="7" t="e">
        <f>IF(VLOOKUP($A638,'Concrete Beam Schedule'!$A$2:$Q$2902,AC$2,0)&lt;&gt;M638,"Beam Revised","")</f>
        <v>#N/A</v>
      </c>
      <c r="AD638" s="7" t="e">
        <f>IF(VLOOKUP($A638,'Concrete Beam Schedule'!$A$2:$Q$2902,AD$2,0)&lt;&gt;N638,"Beam Revised","")</f>
        <v>#N/A</v>
      </c>
      <c r="AE638" s="7" t="e">
        <f>IF(VLOOKUP($A638,'Concrete Beam Schedule'!$A$2:$Q$2902,AE$2,0)&lt;&gt;O638,"Beam Revised","")</f>
        <v>#N/A</v>
      </c>
    </row>
    <row r="639" spans="17:31" ht="13.2" x14ac:dyDescent="0.25">
      <c r="Q639" s="7">
        <f t="shared" si="9"/>
        <v>0</v>
      </c>
      <c r="R639" s="7" t="e">
        <f>IF(VLOOKUP($A639,'Concrete Beam Schedule'!$A$2:$Q$2902,R$2,0)&lt;&gt;B639,VLOOKUP($A639,'Concrete Beam Schedule'!$A$2:$Q$2902,R$2,0),"")</f>
        <v>#N/A</v>
      </c>
      <c r="S639" s="7" t="e">
        <f>IF(VLOOKUP($A639,'Concrete Beam Schedule'!$A$2:$Q$2902,S$2,0)&lt;&gt;C639,VLOOKUP($A639,'Concrete Beam Schedule'!$A$2:$Q$2902,S$2,0),"")</f>
        <v>#N/A</v>
      </c>
      <c r="T639" s="7" t="e">
        <f>IF(VLOOKUP($A639,'Concrete Beam Schedule'!$A$2:$Q$2902,T$2,0)&lt;&gt;D639,"Beam Revised","")</f>
        <v>#N/A</v>
      </c>
      <c r="U639" s="7" t="e">
        <f>IF(VLOOKUP($A639,'Concrete Beam Schedule'!$A$2:$Q$2902,U$2,0)&lt;&gt;E639,"Beam Revised","")</f>
        <v>#N/A</v>
      </c>
      <c r="V639" s="7" t="e">
        <f>IF(VLOOKUP($A639,'Concrete Beam Schedule'!$A$2:$Q$2902,V$2,0)&lt;&gt;F639,"Beam Revised","")</f>
        <v>#N/A</v>
      </c>
      <c r="W639" s="7" t="e">
        <f>IF(VLOOKUP($A639,'Concrete Beam Schedule'!$A$2:$Q$2902,W$2,0)&lt;&gt;G639,"Beam Revised","")</f>
        <v>#N/A</v>
      </c>
      <c r="X639" s="7" t="e">
        <f>IF(VLOOKUP($A639,'Concrete Beam Schedule'!$A$2:$Q$2902,X$2,0)&lt;&gt;H639,"Beam Revised","")</f>
        <v>#N/A</v>
      </c>
      <c r="Y639" s="7" t="e">
        <f>IF(VLOOKUP($A639,'Concrete Beam Schedule'!$A$2:$Q$2902,Y$2,0)&lt;&gt;I639,"Beam Revised","")</f>
        <v>#N/A</v>
      </c>
      <c r="Z639" s="7" t="e">
        <f>IF(VLOOKUP($A639,'Concrete Beam Schedule'!$A$2:$Q$2902,Z$2,0)&lt;&gt;J639,"Beam Revised","")</f>
        <v>#N/A</v>
      </c>
      <c r="AA639" s="7" t="e">
        <f>IF(VLOOKUP($A639,'Concrete Beam Schedule'!$A$2:$Q$2902,AA$2,0)&lt;&gt;K639,"Beam Revised","")</f>
        <v>#N/A</v>
      </c>
      <c r="AB639" s="7" t="e">
        <f>IF(VLOOKUP($A639,'Concrete Beam Schedule'!$A$2:$Q$2902,AB$2,0)&lt;&gt;L639,"Beam Revised","")</f>
        <v>#N/A</v>
      </c>
      <c r="AC639" s="7" t="e">
        <f>IF(VLOOKUP($A639,'Concrete Beam Schedule'!$A$2:$Q$2902,AC$2,0)&lt;&gt;M639,"Beam Revised","")</f>
        <v>#N/A</v>
      </c>
      <c r="AD639" s="7" t="e">
        <f>IF(VLOOKUP($A639,'Concrete Beam Schedule'!$A$2:$Q$2902,AD$2,0)&lt;&gt;N639,"Beam Revised","")</f>
        <v>#N/A</v>
      </c>
      <c r="AE639" s="7" t="e">
        <f>IF(VLOOKUP($A639,'Concrete Beam Schedule'!$A$2:$Q$2902,AE$2,0)&lt;&gt;O639,"Beam Revised","")</f>
        <v>#N/A</v>
      </c>
    </row>
    <row r="640" spans="17:31" ht="13.2" x14ac:dyDescent="0.25">
      <c r="Q640" s="7">
        <f t="shared" si="9"/>
        <v>0</v>
      </c>
      <c r="R640" s="7" t="e">
        <f>IF(VLOOKUP($A640,'Concrete Beam Schedule'!$A$2:$Q$2902,R$2,0)&lt;&gt;B640,VLOOKUP($A640,'Concrete Beam Schedule'!$A$2:$Q$2902,R$2,0),"")</f>
        <v>#N/A</v>
      </c>
      <c r="S640" s="7" t="e">
        <f>IF(VLOOKUP($A640,'Concrete Beam Schedule'!$A$2:$Q$2902,S$2,0)&lt;&gt;C640,VLOOKUP($A640,'Concrete Beam Schedule'!$A$2:$Q$2902,S$2,0),"")</f>
        <v>#N/A</v>
      </c>
      <c r="T640" s="7" t="e">
        <f>IF(VLOOKUP($A640,'Concrete Beam Schedule'!$A$2:$Q$2902,T$2,0)&lt;&gt;D640,"Beam Revised","")</f>
        <v>#N/A</v>
      </c>
      <c r="U640" s="7" t="e">
        <f>IF(VLOOKUP($A640,'Concrete Beam Schedule'!$A$2:$Q$2902,U$2,0)&lt;&gt;E640,"Beam Revised","")</f>
        <v>#N/A</v>
      </c>
      <c r="V640" s="7" t="e">
        <f>IF(VLOOKUP($A640,'Concrete Beam Schedule'!$A$2:$Q$2902,V$2,0)&lt;&gt;F640,"Beam Revised","")</f>
        <v>#N/A</v>
      </c>
      <c r="W640" s="7" t="e">
        <f>IF(VLOOKUP($A640,'Concrete Beam Schedule'!$A$2:$Q$2902,W$2,0)&lt;&gt;G640,"Beam Revised","")</f>
        <v>#N/A</v>
      </c>
      <c r="X640" s="7" t="e">
        <f>IF(VLOOKUP($A640,'Concrete Beam Schedule'!$A$2:$Q$2902,X$2,0)&lt;&gt;H640,"Beam Revised","")</f>
        <v>#N/A</v>
      </c>
      <c r="Y640" s="7" t="e">
        <f>IF(VLOOKUP($A640,'Concrete Beam Schedule'!$A$2:$Q$2902,Y$2,0)&lt;&gt;I640,"Beam Revised","")</f>
        <v>#N/A</v>
      </c>
      <c r="Z640" s="7" t="e">
        <f>IF(VLOOKUP($A640,'Concrete Beam Schedule'!$A$2:$Q$2902,Z$2,0)&lt;&gt;J640,"Beam Revised","")</f>
        <v>#N/A</v>
      </c>
      <c r="AA640" s="7" t="e">
        <f>IF(VLOOKUP($A640,'Concrete Beam Schedule'!$A$2:$Q$2902,AA$2,0)&lt;&gt;K640,"Beam Revised","")</f>
        <v>#N/A</v>
      </c>
      <c r="AB640" s="7" t="e">
        <f>IF(VLOOKUP($A640,'Concrete Beam Schedule'!$A$2:$Q$2902,AB$2,0)&lt;&gt;L640,"Beam Revised","")</f>
        <v>#N/A</v>
      </c>
      <c r="AC640" s="7" t="e">
        <f>IF(VLOOKUP($A640,'Concrete Beam Schedule'!$A$2:$Q$2902,AC$2,0)&lt;&gt;M640,"Beam Revised","")</f>
        <v>#N/A</v>
      </c>
      <c r="AD640" s="7" t="e">
        <f>IF(VLOOKUP($A640,'Concrete Beam Schedule'!$A$2:$Q$2902,AD$2,0)&lt;&gt;N640,"Beam Revised","")</f>
        <v>#N/A</v>
      </c>
      <c r="AE640" s="7" t="e">
        <f>IF(VLOOKUP($A640,'Concrete Beam Schedule'!$A$2:$Q$2902,AE$2,0)&lt;&gt;O640,"Beam Revised","")</f>
        <v>#N/A</v>
      </c>
    </row>
    <row r="641" spans="17:31" ht="13.2" x14ac:dyDescent="0.25">
      <c r="Q641" s="7">
        <f t="shared" si="9"/>
        <v>0</v>
      </c>
      <c r="R641" s="7" t="e">
        <f>IF(VLOOKUP($A641,'Concrete Beam Schedule'!$A$2:$Q$2902,R$2,0)&lt;&gt;B641,VLOOKUP($A641,'Concrete Beam Schedule'!$A$2:$Q$2902,R$2,0),"")</f>
        <v>#N/A</v>
      </c>
      <c r="S641" s="7" t="e">
        <f>IF(VLOOKUP($A641,'Concrete Beam Schedule'!$A$2:$Q$2902,S$2,0)&lt;&gt;C641,VLOOKUP($A641,'Concrete Beam Schedule'!$A$2:$Q$2902,S$2,0),"")</f>
        <v>#N/A</v>
      </c>
      <c r="T641" s="7" t="e">
        <f>IF(VLOOKUP($A641,'Concrete Beam Schedule'!$A$2:$Q$2902,T$2,0)&lt;&gt;D641,"Beam Revised","")</f>
        <v>#N/A</v>
      </c>
      <c r="U641" s="7" t="e">
        <f>IF(VLOOKUP($A641,'Concrete Beam Schedule'!$A$2:$Q$2902,U$2,0)&lt;&gt;E641,"Beam Revised","")</f>
        <v>#N/A</v>
      </c>
      <c r="V641" s="7" t="e">
        <f>IF(VLOOKUP($A641,'Concrete Beam Schedule'!$A$2:$Q$2902,V$2,0)&lt;&gt;F641,"Beam Revised","")</f>
        <v>#N/A</v>
      </c>
      <c r="W641" s="7" t="e">
        <f>IF(VLOOKUP($A641,'Concrete Beam Schedule'!$A$2:$Q$2902,W$2,0)&lt;&gt;G641,"Beam Revised","")</f>
        <v>#N/A</v>
      </c>
      <c r="X641" s="7" t="e">
        <f>IF(VLOOKUP($A641,'Concrete Beam Schedule'!$A$2:$Q$2902,X$2,0)&lt;&gt;H641,"Beam Revised","")</f>
        <v>#N/A</v>
      </c>
      <c r="Y641" s="7" t="e">
        <f>IF(VLOOKUP($A641,'Concrete Beam Schedule'!$A$2:$Q$2902,Y$2,0)&lt;&gt;I641,"Beam Revised","")</f>
        <v>#N/A</v>
      </c>
      <c r="Z641" s="7" t="e">
        <f>IF(VLOOKUP($A641,'Concrete Beam Schedule'!$A$2:$Q$2902,Z$2,0)&lt;&gt;J641,"Beam Revised","")</f>
        <v>#N/A</v>
      </c>
      <c r="AA641" s="7" t="e">
        <f>IF(VLOOKUP($A641,'Concrete Beam Schedule'!$A$2:$Q$2902,AA$2,0)&lt;&gt;K641,"Beam Revised","")</f>
        <v>#N/A</v>
      </c>
      <c r="AB641" s="7" t="e">
        <f>IF(VLOOKUP($A641,'Concrete Beam Schedule'!$A$2:$Q$2902,AB$2,0)&lt;&gt;L641,"Beam Revised","")</f>
        <v>#N/A</v>
      </c>
      <c r="AC641" s="7" t="e">
        <f>IF(VLOOKUP($A641,'Concrete Beam Schedule'!$A$2:$Q$2902,AC$2,0)&lt;&gt;M641,"Beam Revised","")</f>
        <v>#N/A</v>
      </c>
      <c r="AD641" s="7" t="e">
        <f>IF(VLOOKUP($A641,'Concrete Beam Schedule'!$A$2:$Q$2902,AD$2,0)&lt;&gt;N641,"Beam Revised","")</f>
        <v>#N/A</v>
      </c>
      <c r="AE641" s="7" t="e">
        <f>IF(VLOOKUP($A641,'Concrete Beam Schedule'!$A$2:$Q$2902,AE$2,0)&lt;&gt;O641,"Beam Revised","")</f>
        <v>#N/A</v>
      </c>
    </row>
    <row r="642" spans="17:31" ht="13.2" x14ac:dyDescent="0.25">
      <c r="Q642" s="7">
        <f t="shared" si="9"/>
        <v>0</v>
      </c>
      <c r="R642" s="7" t="e">
        <f>IF(VLOOKUP($A642,'Concrete Beam Schedule'!$A$2:$Q$2902,R$2,0)&lt;&gt;B642,VLOOKUP($A642,'Concrete Beam Schedule'!$A$2:$Q$2902,R$2,0),"")</f>
        <v>#N/A</v>
      </c>
      <c r="S642" s="7" t="e">
        <f>IF(VLOOKUP($A642,'Concrete Beam Schedule'!$A$2:$Q$2902,S$2,0)&lt;&gt;C642,VLOOKUP($A642,'Concrete Beam Schedule'!$A$2:$Q$2902,S$2,0),"")</f>
        <v>#N/A</v>
      </c>
      <c r="T642" s="7" t="e">
        <f>IF(VLOOKUP($A642,'Concrete Beam Schedule'!$A$2:$Q$2902,T$2,0)&lt;&gt;D642,"Beam Revised","")</f>
        <v>#N/A</v>
      </c>
      <c r="U642" s="7" t="e">
        <f>IF(VLOOKUP($A642,'Concrete Beam Schedule'!$A$2:$Q$2902,U$2,0)&lt;&gt;E642,"Beam Revised","")</f>
        <v>#N/A</v>
      </c>
      <c r="V642" s="7" t="e">
        <f>IF(VLOOKUP($A642,'Concrete Beam Schedule'!$A$2:$Q$2902,V$2,0)&lt;&gt;F642,"Beam Revised","")</f>
        <v>#N/A</v>
      </c>
      <c r="W642" s="7" t="e">
        <f>IF(VLOOKUP($A642,'Concrete Beam Schedule'!$A$2:$Q$2902,W$2,0)&lt;&gt;G642,"Beam Revised","")</f>
        <v>#N/A</v>
      </c>
      <c r="X642" s="7" t="e">
        <f>IF(VLOOKUP($A642,'Concrete Beam Schedule'!$A$2:$Q$2902,X$2,0)&lt;&gt;H642,"Beam Revised","")</f>
        <v>#N/A</v>
      </c>
      <c r="Y642" s="7" t="e">
        <f>IF(VLOOKUP($A642,'Concrete Beam Schedule'!$A$2:$Q$2902,Y$2,0)&lt;&gt;I642,"Beam Revised","")</f>
        <v>#N/A</v>
      </c>
      <c r="Z642" s="7" t="e">
        <f>IF(VLOOKUP($A642,'Concrete Beam Schedule'!$A$2:$Q$2902,Z$2,0)&lt;&gt;J642,"Beam Revised","")</f>
        <v>#N/A</v>
      </c>
      <c r="AA642" s="7" t="e">
        <f>IF(VLOOKUP($A642,'Concrete Beam Schedule'!$A$2:$Q$2902,AA$2,0)&lt;&gt;K642,"Beam Revised","")</f>
        <v>#N/A</v>
      </c>
      <c r="AB642" s="7" t="e">
        <f>IF(VLOOKUP($A642,'Concrete Beam Schedule'!$A$2:$Q$2902,AB$2,0)&lt;&gt;L642,"Beam Revised","")</f>
        <v>#N/A</v>
      </c>
      <c r="AC642" s="7" t="e">
        <f>IF(VLOOKUP($A642,'Concrete Beam Schedule'!$A$2:$Q$2902,AC$2,0)&lt;&gt;M642,"Beam Revised","")</f>
        <v>#N/A</v>
      </c>
      <c r="AD642" s="7" t="e">
        <f>IF(VLOOKUP($A642,'Concrete Beam Schedule'!$A$2:$Q$2902,AD$2,0)&lt;&gt;N642,"Beam Revised","")</f>
        <v>#N/A</v>
      </c>
      <c r="AE642" s="7" t="e">
        <f>IF(VLOOKUP($A642,'Concrete Beam Schedule'!$A$2:$Q$2902,AE$2,0)&lt;&gt;O642,"Beam Revised","")</f>
        <v>#N/A</v>
      </c>
    </row>
    <row r="643" spans="17:31" ht="13.2" x14ac:dyDescent="0.25">
      <c r="Q643" s="7">
        <f t="shared" si="9"/>
        <v>0</v>
      </c>
      <c r="R643" s="7" t="e">
        <f>IF(VLOOKUP($A643,'Concrete Beam Schedule'!$A$2:$Q$2902,R$2,0)&lt;&gt;B643,VLOOKUP($A643,'Concrete Beam Schedule'!$A$2:$Q$2902,R$2,0),"")</f>
        <v>#N/A</v>
      </c>
      <c r="S643" s="7" t="e">
        <f>IF(VLOOKUP($A643,'Concrete Beam Schedule'!$A$2:$Q$2902,S$2,0)&lt;&gt;C643,VLOOKUP($A643,'Concrete Beam Schedule'!$A$2:$Q$2902,S$2,0),"")</f>
        <v>#N/A</v>
      </c>
      <c r="T643" s="7" t="e">
        <f>IF(VLOOKUP($A643,'Concrete Beam Schedule'!$A$2:$Q$2902,T$2,0)&lt;&gt;D643,"Beam Revised","")</f>
        <v>#N/A</v>
      </c>
      <c r="U643" s="7" t="e">
        <f>IF(VLOOKUP($A643,'Concrete Beam Schedule'!$A$2:$Q$2902,U$2,0)&lt;&gt;E643,"Beam Revised","")</f>
        <v>#N/A</v>
      </c>
      <c r="V643" s="7" t="e">
        <f>IF(VLOOKUP($A643,'Concrete Beam Schedule'!$A$2:$Q$2902,V$2,0)&lt;&gt;F643,"Beam Revised","")</f>
        <v>#N/A</v>
      </c>
      <c r="W643" s="7" t="e">
        <f>IF(VLOOKUP($A643,'Concrete Beam Schedule'!$A$2:$Q$2902,W$2,0)&lt;&gt;G643,"Beam Revised","")</f>
        <v>#N/A</v>
      </c>
      <c r="X643" s="7" t="e">
        <f>IF(VLOOKUP($A643,'Concrete Beam Schedule'!$A$2:$Q$2902,X$2,0)&lt;&gt;H643,"Beam Revised","")</f>
        <v>#N/A</v>
      </c>
      <c r="Y643" s="7" t="e">
        <f>IF(VLOOKUP($A643,'Concrete Beam Schedule'!$A$2:$Q$2902,Y$2,0)&lt;&gt;I643,"Beam Revised","")</f>
        <v>#N/A</v>
      </c>
      <c r="Z643" s="7" t="e">
        <f>IF(VLOOKUP($A643,'Concrete Beam Schedule'!$A$2:$Q$2902,Z$2,0)&lt;&gt;J643,"Beam Revised","")</f>
        <v>#N/A</v>
      </c>
      <c r="AA643" s="7" t="e">
        <f>IF(VLOOKUP($A643,'Concrete Beam Schedule'!$A$2:$Q$2902,AA$2,0)&lt;&gt;K643,"Beam Revised","")</f>
        <v>#N/A</v>
      </c>
      <c r="AB643" s="7" t="e">
        <f>IF(VLOOKUP($A643,'Concrete Beam Schedule'!$A$2:$Q$2902,AB$2,0)&lt;&gt;L643,"Beam Revised","")</f>
        <v>#N/A</v>
      </c>
      <c r="AC643" s="7" t="e">
        <f>IF(VLOOKUP($A643,'Concrete Beam Schedule'!$A$2:$Q$2902,AC$2,0)&lt;&gt;M643,"Beam Revised","")</f>
        <v>#N/A</v>
      </c>
      <c r="AD643" s="7" t="e">
        <f>IF(VLOOKUP($A643,'Concrete Beam Schedule'!$A$2:$Q$2902,AD$2,0)&lt;&gt;N643,"Beam Revised","")</f>
        <v>#N/A</v>
      </c>
      <c r="AE643" s="7" t="e">
        <f>IF(VLOOKUP($A643,'Concrete Beam Schedule'!$A$2:$Q$2902,AE$2,0)&lt;&gt;O643,"Beam Revised","")</f>
        <v>#N/A</v>
      </c>
    </row>
    <row r="644" spans="17:31" ht="13.2" x14ac:dyDescent="0.25">
      <c r="Q644" s="7">
        <f t="shared" ref="Q644:Q707" si="10">A644</f>
        <v>0</v>
      </c>
      <c r="R644" s="7" t="e">
        <f>IF(VLOOKUP($A644,'Concrete Beam Schedule'!$A$2:$Q$2902,R$2,0)&lt;&gt;B644,VLOOKUP($A644,'Concrete Beam Schedule'!$A$2:$Q$2902,R$2,0),"")</f>
        <v>#N/A</v>
      </c>
      <c r="S644" s="7" t="e">
        <f>IF(VLOOKUP($A644,'Concrete Beam Schedule'!$A$2:$Q$2902,S$2,0)&lt;&gt;C644,VLOOKUP($A644,'Concrete Beam Schedule'!$A$2:$Q$2902,S$2,0),"")</f>
        <v>#N/A</v>
      </c>
      <c r="T644" s="7" t="e">
        <f>IF(VLOOKUP($A644,'Concrete Beam Schedule'!$A$2:$Q$2902,T$2,0)&lt;&gt;D644,"Beam Revised","")</f>
        <v>#N/A</v>
      </c>
      <c r="U644" s="7" t="e">
        <f>IF(VLOOKUP($A644,'Concrete Beam Schedule'!$A$2:$Q$2902,U$2,0)&lt;&gt;E644,"Beam Revised","")</f>
        <v>#N/A</v>
      </c>
      <c r="V644" s="7" t="e">
        <f>IF(VLOOKUP($A644,'Concrete Beam Schedule'!$A$2:$Q$2902,V$2,0)&lt;&gt;F644,"Beam Revised","")</f>
        <v>#N/A</v>
      </c>
      <c r="W644" s="7" t="e">
        <f>IF(VLOOKUP($A644,'Concrete Beam Schedule'!$A$2:$Q$2902,W$2,0)&lt;&gt;G644,"Beam Revised","")</f>
        <v>#N/A</v>
      </c>
      <c r="X644" s="7" t="e">
        <f>IF(VLOOKUP($A644,'Concrete Beam Schedule'!$A$2:$Q$2902,X$2,0)&lt;&gt;H644,"Beam Revised","")</f>
        <v>#N/A</v>
      </c>
      <c r="Y644" s="7" t="e">
        <f>IF(VLOOKUP($A644,'Concrete Beam Schedule'!$A$2:$Q$2902,Y$2,0)&lt;&gt;I644,"Beam Revised","")</f>
        <v>#N/A</v>
      </c>
      <c r="Z644" s="7" t="e">
        <f>IF(VLOOKUP($A644,'Concrete Beam Schedule'!$A$2:$Q$2902,Z$2,0)&lt;&gt;J644,"Beam Revised","")</f>
        <v>#N/A</v>
      </c>
      <c r="AA644" s="7" t="e">
        <f>IF(VLOOKUP($A644,'Concrete Beam Schedule'!$A$2:$Q$2902,AA$2,0)&lt;&gt;K644,"Beam Revised","")</f>
        <v>#N/A</v>
      </c>
      <c r="AB644" s="7" t="e">
        <f>IF(VLOOKUP($A644,'Concrete Beam Schedule'!$A$2:$Q$2902,AB$2,0)&lt;&gt;L644,"Beam Revised","")</f>
        <v>#N/A</v>
      </c>
      <c r="AC644" s="7" t="e">
        <f>IF(VLOOKUP($A644,'Concrete Beam Schedule'!$A$2:$Q$2902,AC$2,0)&lt;&gt;M644,"Beam Revised","")</f>
        <v>#N/A</v>
      </c>
      <c r="AD644" s="7" t="e">
        <f>IF(VLOOKUP($A644,'Concrete Beam Schedule'!$A$2:$Q$2902,AD$2,0)&lt;&gt;N644,"Beam Revised","")</f>
        <v>#N/A</v>
      </c>
      <c r="AE644" s="7" t="e">
        <f>IF(VLOOKUP($A644,'Concrete Beam Schedule'!$A$2:$Q$2902,AE$2,0)&lt;&gt;O644,"Beam Revised","")</f>
        <v>#N/A</v>
      </c>
    </row>
    <row r="645" spans="17:31" ht="13.2" x14ac:dyDescent="0.25">
      <c r="Q645" s="7">
        <f t="shared" si="10"/>
        <v>0</v>
      </c>
      <c r="R645" s="7" t="e">
        <f>IF(VLOOKUP($A645,'Concrete Beam Schedule'!$A$2:$Q$2902,R$2,0)&lt;&gt;B645,VLOOKUP($A645,'Concrete Beam Schedule'!$A$2:$Q$2902,R$2,0),"")</f>
        <v>#N/A</v>
      </c>
      <c r="S645" s="7" t="e">
        <f>IF(VLOOKUP($A645,'Concrete Beam Schedule'!$A$2:$Q$2902,S$2,0)&lt;&gt;C645,VLOOKUP($A645,'Concrete Beam Schedule'!$A$2:$Q$2902,S$2,0),"")</f>
        <v>#N/A</v>
      </c>
      <c r="T645" s="7" t="e">
        <f>IF(VLOOKUP($A645,'Concrete Beam Schedule'!$A$2:$Q$2902,T$2,0)&lt;&gt;D645,"Beam Revised","")</f>
        <v>#N/A</v>
      </c>
      <c r="U645" s="7" t="e">
        <f>IF(VLOOKUP($A645,'Concrete Beam Schedule'!$A$2:$Q$2902,U$2,0)&lt;&gt;E645,"Beam Revised","")</f>
        <v>#N/A</v>
      </c>
      <c r="V645" s="7" t="e">
        <f>IF(VLOOKUP($A645,'Concrete Beam Schedule'!$A$2:$Q$2902,V$2,0)&lt;&gt;F645,"Beam Revised","")</f>
        <v>#N/A</v>
      </c>
      <c r="W645" s="7" t="e">
        <f>IF(VLOOKUP($A645,'Concrete Beam Schedule'!$A$2:$Q$2902,W$2,0)&lt;&gt;G645,"Beam Revised","")</f>
        <v>#N/A</v>
      </c>
      <c r="X645" s="7" t="e">
        <f>IF(VLOOKUP($A645,'Concrete Beam Schedule'!$A$2:$Q$2902,X$2,0)&lt;&gt;H645,"Beam Revised","")</f>
        <v>#N/A</v>
      </c>
      <c r="Y645" s="7" t="e">
        <f>IF(VLOOKUP($A645,'Concrete Beam Schedule'!$A$2:$Q$2902,Y$2,0)&lt;&gt;I645,"Beam Revised","")</f>
        <v>#N/A</v>
      </c>
      <c r="Z645" s="7" t="e">
        <f>IF(VLOOKUP($A645,'Concrete Beam Schedule'!$A$2:$Q$2902,Z$2,0)&lt;&gt;J645,"Beam Revised","")</f>
        <v>#N/A</v>
      </c>
      <c r="AA645" s="7" t="e">
        <f>IF(VLOOKUP($A645,'Concrete Beam Schedule'!$A$2:$Q$2902,AA$2,0)&lt;&gt;K645,"Beam Revised","")</f>
        <v>#N/A</v>
      </c>
      <c r="AB645" s="7" t="e">
        <f>IF(VLOOKUP($A645,'Concrete Beam Schedule'!$A$2:$Q$2902,AB$2,0)&lt;&gt;L645,"Beam Revised","")</f>
        <v>#N/A</v>
      </c>
      <c r="AC645" s="7" t="e">
        <f>IF(VLOOKUP($A645,'Concrete Beam Schedule'!$A$2:$Q$2902,AC$2,0)&lt;&gt;M645,"Beam Revised","")</f>
        <v>#N/A</v>
      </c>
      <c r="AD645" s="7" t="e">
        <f>IF(VLOOKUP($A645,'Concrete Beam Schedule'!$A$2:$Q$2902,AD$2,0)&lt;&gt;N645,"Beam Revised","")</f>
        <v>#N/A</v>
      </c>
      <c r="AE645" s="7" t="e">
        <f>IF(VLOOKUP($A645,'Concrete Beam Schedule'!$A$2:$Q$2902,AE$2,0)&lt;&gt;O645,"Beam Revised","")</f>
        <v>#N/A</v>
      </c>
    </row>
    <row r="646" spans="17:31" ht="13.2" x14ac:dyDescent="0.25">
      <c r="Q646" s="7">
        <f t="shared" si="10"/>
        <v>0</v>
      </c>
      <c r="R646" s="7" t="e">
        <f>IF(VLOOKUP($A646,'Concrete Beam Schedule'!$A$2:$Q$2902,R$2,0)&lt;&gt;B646,VLOOKUP($A646,'Concrete Beam Schedule'!$A$2:$Q$2902,R$2,0),"")</f>
        <v>#N/A</v>
      </c>
      <c r="S646" s="7" t="e">
        <f>IF(VLOOKUP($A646,'Concrete Beam Schedule'!$A$2:$Q$2902,S$2,0)&lt;&gt;C646,VLOOKUP($A646,'Concrete Beam Schedule'!$A$2:$Q$2902,S$2,0),"")</f>
        <v>#N/A</v>
      </c>
      <c r="T646" s="7" t="e">
        <f>IF(VLOOKUP($A646,'Concrete Beam Schedule'!$A$2:$Q$2902,T$2,0)&lt;&gt;D646,"Beam Revised","")</f>
        <v>#N/A</v>
      </c>
      <c r="U646" s="7" t="e">
        <f>IF(VLOOKUP($A646,'Concrete Beam Schedule'!$A$2:$Q$2902,U$2,0)&lt;&gt;E646,"Beam Revised","")</f>
        <v>#N/A</v>
      </c>
      <c r="V646" s="7" t="e">
        <f>IF(VLOOKUP($A646,'Concrete Beam Schedule'!$A$2:$Q$2902,V$2,0)&lt;&gt;F646,"Beam Revised","")</f>
        <v>#N/A</v>
      </c>
      <c r="W646" s="7" t="e">
        <f>IF(VLOOKUP($A646,'Concrete Beam Schedule'!$A$2:$Q$2902,W$2,0)&lt;&gt;G646,"Beam Revised","")</f>
        <v>#N/A</v>
      </c>
      <c r="X646" s="7" t="e">
        <f>IF(VLOOKUP($A646,'Concrete Beam Schedule'!$A$2:$Q$2902,X$2,0)&lt;&gt;H646,"Beam Revised","")</f>
        <v>#N/A</v>
      </c>
      <c r="Y646" s="7" t="e">
        <f>IF(VLOOKUP($A646,'Concrete Beam Schedule'!$A$2:$Q$2902,Y$2,0)&lt;&gt;I646,"Beam Revised","")</f>
        <v>#N/A</v>
      </c>
      <c r="Z646" s="7" t="e">
        <f>IF(VLOOKUP($A646,'Concrete Beam Schedule'!$A$2:$Q$2902,Z$2,0)&lt;&gt;J646,"Beam Revised","")</f>
        <v>#N/A</v>
      </c>
      <c r="AA646" s="7" t="e">
        <f>IF(VLOOKUP($A646,'Concrete Beam Schedule'!$A$2:$Q$2902,AA$2,0)&lt;&gt;K646,"Beam Revised","")</f>
        <v>#N/A</v>
      </c>
      <c r="AB646" s="7" t="e">
        <f>IF(VLOOKUP($A646,'Concrete Beam Schedule'!$A$2:$Q$2902,AB$2,0)&lt;&gt;L646,"Beam Revised","")</f>
        <v>#N/A</v>
      </c>
      <c r="AC646" s="7" t="e">
        <f>IF(VLOOKUP($A646,'Concrete Beam Schedule'!$A$2:$Q$2902,AC$2,0)&lt;&gt;M646,"Beam Revised","")</f>
        <v>#N/A</v>
      </c>
      <c r="AD646" s="7" t="e">
        <f>IF(VLOOKUP($A646,'Concrete Beam Schedule'!$A$2:$Q$2902,AD$2,0)&lt;&gt;N646,"Beam Revised","")</f>
        <v>#N/A</v>
      </c>
      <c r="AE646" s="7" t="e">
        <f>IF(VLOOKUP($A646,'Concrete Beam Schedule'!$A$2:$Q$2902,AE$2,0)&lt;&gt;O646,"Beam Revised","")</f>
        <v>#N/A</v>
      </c>
    </row>
    <row r="647" spans="17:31" ht="13.2" x14ac:dyDescent="0.25">
      <c r="Q647" s="7">
        <f t="shared" si="10"/>
        <v>0</v>
      </c>
      <c r="R647" s="7" t="e">
        <f>IF(VLOOKUP($A647,'Concrete Beam Schedule'!$A$2:$Q$2902,R$2,0)&lt;&gt;B647,VLOOKUP($A647,'Concrete Beam Schedule'!$A$2:$Q$2902,R$2,0),"")</f>
        <v>#N/A</v>
      </c>
      <c r="S647" s="7" t="e">
        <f>IF(VLOOKUP($A647,'Concrete Beam Schedule'!$A$2:$Q$2902,S$2,0)&lt;&gt;C647,VLOOKUP($A647,'Concrete Beam Schedule'!$A$2:$Q$2902,S$2,0),"")</f>
        <v>#N/A</v>
      </c>
      <c r="T647" s="7" t="e">
        <f>IF(VLOOKUP($A647,'Concrete Beam Schedule'!$A$2:$Q$2902,T$2,0)&lt;&gt;D647,"Beam Revised","")</f>
        <v>#N/A</v>
      </c>
      <c r="U647" s="7" t="e">
        <f>IF(VLOOKUP($A647,'Concrete Beam Schedule'!$A$2:$Q$2902,U$2,0)&lt;&gt;E647,"Beam Revised","")</f>
        <v>#N/A</v>
      </c>
      <c r="V647" s="7" t="e">
        <f>IF(VLOOKUP($A647,'Concrete Beam Schedule'!$A$2:$Q$2902,V$2,0)&lt;&gt;F647,"Beam Revised","")</f>
        <v>#N/A</v>
      </c>
      <c r="W647" s="7" t="e">
        <f>IF(VLOOKUP($A647,'Concrete Beam Schedule'!$A$2:$Q$2902,W$2,0)&lt;&gt;G647,"Beam Revised","")</f>
        <v>#N/A</v>
      </c>
      <c r="X647" s="7" t="e">
        <f>IF(VLOOKUP($A647,'Concrete Beam Schedule'!$A$2:$Q$2902,X$2,0)&lt;&gt;H647,"Beam Revised","")</f>
        <v>#N/A</v>
      </c>
      <c r="Y647" s="7" t="e">
        <f>IF(VLOOKUP($A647,'Concrete Beam Schedule'!$A$2:$Q$2902,Y$2,0)&lt;&gt;I647,"Beam Revised","")</f>
        <v>#N/A</v>
      </c>
      <c r="Z647" s="7" t="e">
        <f>IF(VLOOKUP($A647,'Concrete Beam Schedule'!$A$2:$Q$2902,Z$2,0)&lt;&gt;J647,"Beam Revised","")</f>
        <v>#N/A</v>
      </c>
      <c r="AA647" s="7" t="e">
        <f>IF(VLOOKUP($A647,'Concrete Beam Schedule'!$A$2:$Q$2902,AA$2,0)&lt;&gt;K647,"Beam Revised","")</f>
        <v>#N/A</v>
      </c>
      <c r="AB647" s="7" t="e">
        <f>IF(VLOOKUP($A647,'Concrete Beam Schedule'!$A$2:$Q$2902,AB$2,0)&lt;&gt;L647,"Beam Revised","")</f>
        <v>#N/A</v>
      </c>
      <c r="AC647" s="7" t="e">
        <f>IF(VLOOKUP($A647,'Concrete Beam Schedule'!$A$2:$Q$2902,AC$2,0)&lt;&gt;M647,"Beam Revised","")</f>
        <v>#N/A</v>
      </c>
      <c r="AD647" s="7" t="e">
        <f>IF(VLOOKUP($A647,'Concrete Beam Schedule'!$A$2:$Q$2902,AD$2,0)&lt;&gt;N647,"Beam Revised","")</f>
        <v>#N/A</v>
      </c>
      <c r="AE647" s="7" t="e">
        <f>IF(VLOOKUP($A647,'Concrete Beam Schedule'!$A$2:$Q$2902,AE$2,0)&lt;&gt;O647,"Beam Revised","")</f>
        <v>#N/A</v>
      </c>
    </row>
    <row r="648" spans="17:31" ht="13.2" x14ac:dyDescent="0.25">
      <c r="Q648" s="7">
        <f t="shared" si="10"/>
        <v>0</v>
      </c>
      <c r="R648" s="7" t="e">
        <f>IF(VLOOKUP($A648,'Concrete Beam Schedule'!$A$2:$Q$2902,R$2,0)&lt;&gt;B648,VLOOKUP($A648,'Concrete Beam Schedule'!$A$2:$Q$2902,R$2,0),"")</f>
        <v>#N/A</v>
      </c>
      <c r="S648" s="7" t="e">
        <f>IF(VLOOKUP($A648,'Concrete Beam Schedule'!$A$2:$Q$2902,S$2,0)&lt;&gt;C648,VLOOKUP($A648,'Concrete Beam Schedule'!$A$2:$Q$2902,S$2,0),"")</f>
        <v>#N/A</v>
      </c>
      <c r="T648" s="7" t="e">
        <f>IF(VLOOKUP($A648,'Concrete Beam Schedule'!$A$2:$Q$2902,T$2,0)&lt;&gt;D648,"Beam Revised","")</f>
        <v>#N/A</v>
      </c>
      <c r="U648" s="7" t="e">
        <f>IF(VLOOKUP($A648,'Concrete Beam Schedule'!$A$2:$Q$2902,U$2,0)&lt;&gt;E648,"Beam Revised","")</f>
        <v>#N/A</v>
      </c>
      <c r="V648" s="7" t="e">
        <f>IF(VLOOKUP($A648,'Concrete Beam Schedule'!$A$2:$Q$2902,V$2,0)&lt;&gt;F648,"Beam Revised","")</f>
        <v>#N/A</v>
      </c>
      <c r="W648" s="7" t="e">
        <f>IF(VLOOKUP($A648,'Concrete Beam Schedule'!$A$2:$Q$2902,W$2,0)&lt;&gt;G648,"Beam Revised","")</f>
        <v>#N/A</v>
      </c>
      <c r="X648" s="7" t="e">
        <f>IF(VLOOKUP($A648,'Concrete Beam Schedule'!$A$2:$Q$2902,X$2,0)&lt;&gt;H648,"Beam Revised","")</f>
        <v>#N/A</v>
      </c>
      <c r="Y648" s="7" t="e">
        <f>IF(VLOOKUP($A648,'Concrete Beam Schedule'!$A$2:$Q$2902,Y$2,0)&lt;&gt;I648,"Beam Revised","")</f>
        <v>#N/A</v>
      </c>
      <c r="Z648" s="7" t="e">
        <f>IF(VLOOKUP($A648,'Concrete Beam Schedule'!$A$2:$Q$2902,Z$2,0)&lt;&gt;J648,"Beam Revised","")</f>
        <v>#N/A</v>
      </c>
      <c r="AA648" s="7" t="e">
        <f>IF(VLOOKUP($A648,'Concrete Beam Schedule'!$A$2:$Q$2902,AA$2,0)&lt;&gt;K648,"Beam Revised","")</f>
        <v>#N/A</v>
      </c>
      <c r="AB648" s="7" t="e">
        <f>IF(VLOOKUP($A648,'Concrete Beam Schedule'!$A$2:$Q$2902,AB$2,0)&lt;&gt;L648,"Beam Revised","")</f>
        <v>#N/A</v>
      </c>
      <c r="AC648" s="7" t="e">
        <f>IF(VLOOKUP($A648,'Concrete Beam Schedule'!$A$2:$Q$2902,AC$2,0)&lt;&gt;M648,"Beam Revised","")</f>
        <v>#N/A</v>
      </c>
      <c r="AD648" s="7" t="e">
        <f>IF(VLOOKUP($A648,'Concrete Beam Schedule'!$A$2:$Q$2902,AD$2,0)&lt;&gt;N648,"Beam Revised","")</f>
        <v>#N/A</v>
      </c>
      <c r="AE648" s="7" t="e">
        <f>IF(VLOOKUP($A648,'Concrete Beam Schedule'!$A$2:$Q$2902,AE$2,0)&lt;&gt;O648,"Beam Revised","")</f>
        <v>#N/A</v>
      </c>
    </row>
    <row r="649" spans="17:31" ht="13.2" x14ac:dyDescent="0.25">
      <c r="Q649" s="7">
        <f t="shared" si="10"/>
        <v>0</v>
      </c>
      <c r="R649" s="7" t="e">
        <f>IF(VLOOKUP($A649,'Concrete Beam Schedule'!$A$2:$Q$2902,R$2,0)&lt;&gt;B649,VLOOKUP($A649,'Concrete Beam Schedule'!$A$2:$Q$2902,R$2,0),"")</f>
        <v>#N/A</v>
      </c>
      <c r="S649" s="7" t="e">
        <f>IF(VLOOKUP($A649,'Concrete Beam Schedule'!$A$2:$Q$2902,S$2,0)&lt;&gt;C649,VLOOKUP($A649,'Concrete Beam Schedule'!$A$2:$Q$2902,S$2,0),"")</f>
        <v>#N/A</v>
      </c>
      <c r="T649" s="7" t="e">
        <f>IF(VLOOKUP($A649,'Concrete Beam Schedule'!$A$2:$Q$2902,T$2,0)&lt;&gt;D649,"Beam Revised","")</f>
        <v>#N/A</v>
      </c>
      <c r="U649" s="7" t="e">
        <f>IF(VLOOKUP($A649,'Concrete Beam Schedule'!$A$2:$Q$2902,U$2,0)&lt;&gt;E649,"Beam Revised","")</f>
        <v>#N/A</v>
      </c>
      <c r="V649" s="7" t="e">
        <f>IF(VLOOKUP($A649,'Concrete Beam Schedule'!$A$2:$Q$2902,V$2,0)&lt;&gt;F649,"Beam Revised","")</f>
        <v>#N/A</v>
      </c>
      <c r="W649" s="7" t="e">
        <f>IF(VLOOKUP($A649,'Concrete Beam Schedule'!$A$2:$Q$2902,W$2,0)&lt;&gt;G649,"Beam Revised","")</f>
        <v>#N/A</v>
      </c>
      <c r="X649" s="7" t="e">
        <f>IF(VLOOKUP($A649,'Concrete Beam Schedule'!$A$2:$Q$2902,X$2,0)&lt;&gt;H649,"Beam Revised","")</f>
        <v>#N/A</v>
      </c>
      <c r="Y649" s="7" t="e">
        <f>IF(VLOOKUP($A649,'Concrete Beam Schedule'!$A$2:$Q$2902,Y$2,0)&lt;&gt;I649,"Beam Revised","")</f>
        <v>#N/A</v>
      </c>
      <c r="Z649" s="7" t="e">
        <f>IF(VLOOKUP($A649,'Concrete Beam Schedule'!$A$2:$Q$2902,Z$2,0)&lt;&gt;J649,"Beam Revised","")</f>
        <v>#N/A</v>
      </c>
      <c r="AA649" s="7" t="e">
        <f>IF(VLOOKUP($A649,'Concrete Beam Schedule'!$A$2:$Q$2902,AA$2,0)&lt;&gt;K649,"Beam Revised","")</f>
        <v>#N/A</v>
      </c>
      <c r="AB649" s="7" t="e">
        <f>IF(VLOOKUP($A649,'Concrete Beam Schedule'!$A$2:$Q$2902,AB$2,0)&lt;&gt;L649,"Beam Revised","")</f>
        <v>#N/A</v>
      </c>
      <c r="AC649" s="7" t="e">
        <f>IF(VLOOKUP($A649,'Concrete Beam Schedule'!$A$2:$Q$2902,AC$2,0)&lt;&gt;M649,"Beam Revised","")</f>
        <v>#N/A</v>
      </c>
      <c r="AD649" s="7" t="e">
        <f>IF(VLOOKUP($A649,'Concrete Beam Schedule'!$A$2:$Q$2902,AD$2,0)&lt;&gt;N649,"Beam Revised","")</f>
        <v>#N/A</v>
      </c>
      <c r="AE649" s="7" t="e">
        <f>IF(VLOOKUP($A649,'Concrete Beam Schedule'!$A$2:$Q$2902,AE$2,0)&lt;&gt;O649,"Beam Revised","")</f>
        <v>#N/A</v>
      </c>
    </row>
    <row r="650" spans="17:31" ht="13.2" x14ac:dyDescent="0.25">
      <c r="Q650" s="7">
        <f t="shared" si="10"/>
        <v>0</v>
      </c>
      <c r="R650" s="7" t="e">
        <f>IF(VLOOKUP($A650,'Concrete Beam Schedule'!$A$2:$Q$2902,R$2,0)&lt;&gt;B650,VLOOKUP($A650,'Concrete Beam Schedule'!$A$2:$Q$2902,R$2,0),"")</f>
        <v>#N/A</v>
      </c>
      <c r="S650" s="7" t="e">
        <f>IF(VLOOKUP($A650,'Concrete Beam Schedule'!$A$2:$Q$2902,S$2,0)&lt;&gt;C650,VLOOKUP($A650,'Concrete Beam Schedule'!$A$2:$Q$2902,S$2,0),"")</f>
        <v>#N/A</v>
      </c>
      <c r="T650" s="7" t="e">
        <f>IF(VLOOKUP($A650,'Concrete Beam Schedule'!$A$2:$Q$2902,T$2,0)&lt;&gt;D650,"Beam Revised","")</f>
        <v>#N/A</v>
      </c>
      <c r="U650" s="7" t="e">
        <f>IF(VLOOKUP($A650,'Concrete Beam Schedule'!$A$2:$Q$2902,U$2,0)&lt;&gt;E650,"Beam Revised","")</f>
        <v>#N/A</v>
      </c>
      <c r="V650" s="7" t="e">
        <f>IF(VLOOKUP($A650,'Concrete Beam Schedule'!$A$2:$Q$2902,V$2,0)&lt;&gt;F650,"Beam Revised","")</f>
        <v>#N/A</v>
      </c>
      <c r="W650" s="7" t="e">
        <f>IF(VLOOKUP($A650,'Concrete Beam Schedule'!$A$2:$Q$2902,W$2,0)&lt;&gt;G650,"Beam Revised","")</f>
        <v>#N/A</v>
      </c>
      <c r="X650" s="7" t="e">
        <f>IF(VLOOKUP($A650,'Concrete Beam Schedule'!$A$2:$Q$2902,X$2,0)&lt;&gt;H650,"Beam Revised","")</f>
        <v>#N/A</v>
      </c>
      <c r="Y650" s="7" t="e">
        <f>IF(VLOOKUP($A650,'Concrete Beam Schedule'!$A$2:$Q$2902,Y$2,0)&lt;&gt;I650,"Beam Revised","")</f>
        <v>#N/A</v>
      </c>
      <c r="Z650" s="7" t="e">
        <f>IF(VLOOKUP($A650,'Concrete Beam Schedule'!$A$2:$Q$2902,Z$2,0)&lt;&gt;J650,"Beam Revised","")</f>
        <v>#N/A</v>
      </c>
      <c r="AA650" s="7" t="e">
        <f>IF(VLOOKUP($A650,'Concrete Beam Schedule'!$A$2:$Q$2902,AA$2,0)&lt;&gt;K650,"Beam Revised","")</f>
        <v>#N/A</v>
      </c>
      <c r="AB650" s="7" t="e">
        <f>IF(VLOOKUP($A650,'Concrete Beam Schedule'!$A$2:$Q$2902,AB$2,0)&lt;&gt;L650,"Beam Revised","")</f>
        <v>#N/A</v>
      </c>
      <c r="AC650" s="7" t="e">
        <f>IF(VLOOKUP($A650,'Concrete Beam Schedule'!$A$2:$Q$2902,AC$2,0)&lt;&gt;M650,"Beam Revised","")</f>
        <v>#N/A</v>
      </c>
      <c r="AD650" s="7" t="e">
        <f>IF(VLOOKUP($A650,'Concrete Beam Schedule'!$A$2:$Q$2902,AD$2,0)&lt;&gt;N650,"Beam Revised","")</f>
        <v>#N/A</v>
      </c>
      <c r="AE650" s="7" t="e">
        <f>IF(VLOOKUP($A650,'Concrete Beam Schedule'!$A$2:$Q$2902,AE$2,0)&lt;&gt;O650,"Beam Revised","")</f>
        <v>#N/A</v>
      </c>
    </row>
    <row r="651" spans="17:31" ht="13.2" x14ac:dyDescent="0.25">
      <c r="Q651" s="7">
        <f t="shared" si="10"/>
        <v>0</v>
      </c>
      <c r="R651" s="7" t="e">
        <f>IF(VLOOKUP($A651,'Concrete Beam Schedule'!$A$2:$Q$2902,R$2,0)&lt;&gt;B651,VLOOKUP($A651,'Concrete Beam Schedule'!$A$2:$Q$2902,R$2,0),"")</f>
        <v>#N/A</v>
      </c>
      <c r="S651" s="7" t="e">
        <f>IF(VLOOKUP($A651,'Concrete Beam Schedule'!$A$2:$Q$2902,S$2,0)&lt;&gt;C651,VLOOKUP($A651,'Concrete Beam Schedule'!$A$2:$Q$2902,S$2,0),"")</f>
        <v>#N/A</v>
      </c>
      <c r="T651" s="7" t="e">
        <f>IF(VLOOKUP($A651,'Concrete Beam Schedule'!$A$2:$Q$2902,T$2,0)&lt;&gt;D651,"Beam Revised","")</f>
        <v>#N/A</v>
      </c>
      <c r="U651" s="7" t="e">
        <f>IF(VLOOKUP($A651,'Concrete Beam Schedule'!$A$2:$Q$2902,U$2,0)&lt;&gt;E651,"Beam Revised","")</f>
        <v>#N/A</v>
      </c>
      <c r="V651" s="7" t="e">
        <f>IF(VLOOKUP($A651,'Concrete Beam Schedule'!$A$2:$Q$2902,V$2,0)&lt;&gt;F651,"Beam Revised","")</f>
        <v>#N/A</v>
      </c>
      <c r="W651" s="7" t="e">
        <f>IF(VLOOKUP($A651,'Concrete Beam Schedule'!$A$2:$Q$2902,W$2,0)&lt;&gt;G651,"Beam Revised","")</f>
        <v>#N/A</v>
      </c>
      <c r="X651" s="7" t="e">
        <f>IF(VLOOKUP($A651,'Concrete Beam Schedule'!$A$2:$Q$2902,X$2,0)&lt;&gt;H651,"Beam Revised","")</f>
        <v>#N/A</v>
      </c>
      <c r="Y651" s="7" t="e">
        <f>IF(VLOOKUP($A651,'Concrete Beam Schedule'!$A$2:$Q$2902,Y$2,0)&lt;&gt;I651,"Beam Revised","")</f>
        <v>#N/A</v>
      </c>
      <c r="Z651" s="7" t="e">
        <f>IF(VLOOKUP($A651,'Concrete Beam Schedule'!$A$2:$Q$2902,Z$2,0)&lt;&gt;J651,"Beam Revised","")</f>
        <v>#N/A</v>
      </c>
      <c r="AA651" s="7" t="e">
        <f>IF(VLOOKUP($A651,'Concrete Beam Schedule'!$A$2:$Q$2902,AA$2,0)&lt;&gt;K651,"Beam Revised","")</f>
        <v>#N/A</v>
      </c>
      <c r="AB651" s="7" t="e">
        <f>IF(VLOOKUP($A651,'Concrete Beam Schedule'!$A$2:$Q$2902,AB$2,0)&lt;&gt;L651,"Beam Revised","")</f>
        <v>#N/A</v>
      </c>
      <c r="AC651" s="7" t="e">
        <f>IF(VLOOKUP($A651,'Concrete Beam Schedule'!$A$2:$Q$2902,AC$2,0)&lt;&gt;M651,"Beam Revised","")</f>
        <v>#N/A</v>
      </c>
      <c r="AD651" s="7" t="e">
        <f>IF(VLOOKUP($A651,'Concrete Beam Schedule'!$A$2:$Q$2902,AD$2,0)&lt;&gt;N651,"Beam Revised","")</f>
        <v>#N/A</v>
      </c>
      <c r="AE651" s="7" t="e">
        <f>IF(VLOOKUP($A651,'Concrete Beam Schedule'!$A$2:$Q$2902,AE$2,0)&lt;&gt;O651,"Beam Revised","")</f>
        <v>#N/A</v>
      </c>
    </row>
    <row r="652" spans="17:31" ht="13.2" x14ac:dyDescent="0.25">
      <c r="Q652" s="7">
        <f t="shared" si="10"/>
        <v>0</v>
      </c>
      <c r="R652" s="7" t="e">
        <f>IF(VLOOKUP($A652,'Concrete Beam Schedule'!$A$2:$Q$2902,R$2,0)&lt;&gt;B652,VLOOKUP($A652,'Concrete Beam Schedule'!$A$2:$Q$2902,R$2,0),"")</f>
        <v>#N/A</v>
      </c>
      <c r="S652" s="7" t="e">
        <f>IF(VLOOKUP($A652,'Concrete Beam Schedule'!$A$2:$Q$2902,S$2,0)&lt;&gt;C652,VLOOKUP($A652,'Concrete Beam Schedule'!$A$2:$Q$2902,S$2,0),"")</f>
        <v>#N/A</v>
      </c>
      <c r="T652" s="7" t="e">
        <f>IF(VLOOKUP($A652,'Concrete Beam Schedule'!$A$2:$Q$2902,T$2,0)&lt;&gt;D652,"Beam Revised","")</f>
        <v>#N/A</v>
      </c>
      <c r="U652" s="7" t="e">
        <f>IF(VLOOKUP($A652,'Concrete Beam Schedule'!$A$2:$Q$2902,U$2,0)&lt;&gt;E652,"Beam Revised","")</f>
        <v>#N/A</v>
      </c>
      <c r="V652" s="7" t="e">
        <f>IF(VLOOKUP($A652,'Concrete Beam Schedule'!$A$2:$Q$2902,V$2,0)&lt;&gt;F652,"Beam Revised","")</f>
        <v>#N/A</v>
      </c>
      <c r="W652" s="7" t="e">
        <f>IF(VLOOKUP($A652,'Concrete Beam Schedule'!$A$2:$Q$2902,W$2,0)&lt;&gt;G652,"Beam Revised","")</f>
        <v>#N/A</v>
      </c>
      <c r="X652" s="7" t="e">
        <f>IF(VLOOKUP($A652,'Concrete Beam Schedule'!$A$2:$Q$2902,X$2,0)&lt;&gt;H652,"Beam Revised","")</f>
        <v>#N/A</v>
      </c>
      <c r="Y652" s="7" t="e">
        <f>IF(VLOOKUP($A652,'Concrete Beam Schedule'!$A$2:$Q$2902,Y$2,0)&lt;&gt;I652,"Beam Revised","")</f>
        <v>#N/A</v>
      </c>
      <c r="Z652" s="7" t="e">
        <f>IF(VLOOKUP($A652,'Concrete Beam Schedule'!$A$2:$Q$2902,Z$2,0)&lt;&gt;J652,"Beam Revised","")</f>
        <v>#N/A</v>
      </c>
      <c r="AA652" s="7" t="e">
        <f>IF(VLOOKUP($A652,'Concrete Beam Schedule'!$A$2:$Q$2902,AA$2,0)&lt;&gt;K652,"Beam Revised","")</f>
        <v>#N/A</v>
      </c>
      <c r="AB652" s="7" t="e">
        <f>IF(VLOOKUP($A652,'Concrete Beam Schedule'!$A$2:$Q$2902,AB$2,0)&lt;&gt;L652,"Beam Revised","")</f>
        <v>#N/A</v>
      </c>
      <c r="AC652" s="7" t="e">
        <f>IF(VLOOKUP($A652,'Concrete Beam Schedule'!$A$2:$Q$2902,AC$2,0)&lt;&gt;M652,"Beam Revised","")</f>
        <v>#N/A</v>
      </c>
      <c r="AD652" s="7" t="e">
        <f>IF(VLOOKUP($A652,'Concrete Beam Schedule'!$A$2:$Q$2902,AD$2,0)&lt;&gt;N652,"Beam Revised","")</f>
        <v>#N/A</v>
      </c>
      <c r="AE652" s="7" t="e">
        <f>IF(VLOOKUP($A652,'Concrete Beam Schedule'!$A$2:$Q$2902,AE$2,0)&lt;&gt;O652,"Beam Revised","")</f>
        <v>#N/A</v>
      </c>
    </row>
    <row r="653" spans="17:31" ht="13.2" x14ac:dyDescent="0.25">
      <c r="Q653" s="7">
        <f t="shared" si="10"/>
        <v>0</v>
      </c>
      <c r="R653" s="7" t="e">
        <f>IF(VLOOKUP($A653,'Concrete Beam Schedule'!$A$2:$Q$2902,R$2,0)&lt;&gt;B653,VLOOKUP($A653,'Concrete Beam Schedule'!$A$2:$Q$2902,R$2,0),"")</f>
        <v>#N/A</v>
      </c>
      <c r="S653" s="7" t="e">
        <f>IF(VLOOKUP($A653,'Concrete Beam Schedule'!$A$2:$Q$2902,S$2,0)&lt;&gt;C653,VLOOKUP($A653,'Concrete Beam Schedule'!$A$2:$Q$2902,S$2,0),"")</f>
        <v>#N/A</v>
      </c>
      <c r="T653" s="7" t="e">
        <f>IF(VLOOKUP($A653,'Concrete Beam Schedule'!$A$2:$Q$2902,T$2,0)&lt;&gt;D653,"Beam Revised","")</f>
        <v>#N/A</v>
      </c>
      <c r="U653" s="7" t="e">
        <f>IF(VLOOKUP($A653,'Concrete Beam Schedule'!$A$2:$Q$2902,U$2,0)&lt;&gt;E653,"Beam Revised","")</f>
        <v>#N/A</v>
      </c>
      <c r="V653" s="7" t="e">
        <f>IF(VLOOKUP($A653,'Concrete Beam Schedule'!$A$2:$Q$2902,V$2,0)&lt;&gt;F653,"Beam Revised","")</f>
        <v>#N/A</v>
      </c>
      <c r="W653" s="7" t="e">
        <f>IF(VLOOKUP($A653,'Concrete Beam Schedule'!$A$2:$Q$2902,W$2,0)&lt;&gt;G653,"Beam Revised","")</f>
        <v>#N/A</v>
      </c>
      <c r="X653" s="7" t="e">
        <f>IF(VLOOKUP($A653,'Concrete Beam Schedule'!$A$2:$Q$2902,X$2,0)&lt;&gt;H653,"Beam Revised","")</f>
        <v>#N/A</v>
      </c>
      <c r="Y653" s="7" t="e">
        <f>IF(VLOOKUP($A653,'Concrete Beam Schedule'!$A$2:$Q$2902,Y$2,0)&lt;&gt;I653,"Beam Revised","")</f>
        <v>#N/A</v>
      </c>
      <c r="Z653" s="7" t="e">
        <f>IF(VLOOKUP($A653,'Concrete Beam Schedule'!$A$2:$Q$2902,Z$2,0)&lt;&gt;J653,"Beam Revised","")</f>
        <v>#N/A</v>
      </c>
      <c r="AA653" s="7" t="e">
        <f>IF(VLOOKUP($A653,'Concrete Beam Schedule'!$A$2:$Q$2902,AA$2,0)&lt;&gt;K653,"Beam Revised","")</f>
        <v>#N/A</v>
      </c>
      <c r="AB653" s="7" t="e">
        <f>IF(VLOOKUP($A653,'Concrete Beam Schedule'!$A$2:$Q$2902,AB$2,0)&lt;&gt;L653,"Beam Revised","")</f>
        <v>#N/A</v>
      </c>
      <c r="AC653" s="7" t="e">
        <f>IF(VLOOKUP($A653,'Concrete Beam Schedule'!$A$2:$Q$2902,AC$2,0)&lt;&gt;M653,"Beam Revised","")</f>
        <v>#N/A</v>
      </c>
      <c r="AD653" s="7" t="e">
        <f>IF(VLOOKUP($A653,'Concrete Beam Schedule'!$A$2:$Q$2902,AD$2,0)&lt;&gt;N653,"Beam Revised","")</f>
        <v>#N/A</v>
      </c>
      <c r="AE653" s="7" t="e">
        <f>IF(VLOOKUP($A653,'Concrete Beam Schedule'!$A$2:$Q$2902,AE$2,0)&lt;&gt;O653,"Beam Revised","")</f>
        <v>#N/A</v>
      </c>
    </row>
    <row r="654" spans="17:31" ht="13.2" x14ac:dyDescent="0.25">
      <c r="Q654" s="7">
        <f t="shared" si="10"/>
        <v>0</v>
      </c>
      <c r="R654" s="7" t="e">
        <f>IF(VLOOKUP($A654,'Concrete Beam Schedule'!$A$2:$Q$2902,R$2,0)&lt;&gt;B654,VLOOKUP($A654,'Concrete Beam Schedule'!$A$2:$Q$2902,R$2,0),"")</f>
        <v>#N/A</v>
      </c>
      <c r="S654" s="7" t="e">
        <f>IF(VLOOKUP($A654,'Concrete Beam Schedule'!$A$2:$Q$2902,S$2,0)&lt;&gt;C654,VLOOKUP($A654,'Concrete Beam Schedule'!$A$2:$Q$2902,S$2,0),"")</f>
        <v>#N/A</v>
      </c>
      <c r="T654" s="7" t="e">
        <f>IF(VLOOKUP($A654,'Concrete Beam Schedule'!$A$2:$Q$2902,T$2,0)&lt;&gt;D654,"Beam Revised","")</f>
        <v>#N/A</v>
      </c>
      <c r="U654" s="7" t="e">
        <f>IF(VLOOKUP($A654,'Concrete Beam Schedule'!$A$2:$Q$2902,U$2,0)&lt;&gt;E654,"Beam Revised","")</f>
        <v>#N/A</v>
      </c>
      <c r="V654" s="7" t="e">
        <f>IF(VLOOKUP($A654,'Concrete Beam Schedule'!$A$2:$Q$2902,V$2,0)&lt;&gt;F654,"Beam Revised","")</f>
        <v>#N/A</v>
      </c>
      <c r="W654" s="7" t="e">
        <f>IF(VLOOKUP($A654,'Concrete Beam Schedule'!$A$2:$Q$2902,W$2,0)&lt;&gt;G654,"Beam Revised","")</f>
        <v>#N/A</v>
      </c>
      <c r="X654" s="7" t="e">
        <f>IF(VLOOKUP($A654,'Concrete Beam Schedule'!$A$2:$Q$2902,X$2,0)&lt;&gt;H654,"Beam Revised","")</f>
        <v>#N/A</v>
      </c>
      <c r="Y654" s="7" t="e">
        <f>IF(VLOOKUP($A654,'Concrete Beam Schedule'!$A$2:$Q$2902,Y$2,0)&lt;&gt;I654,"Beam Revised","")</f>
        <v>#N/A</v>
      </c>
      <c r="Z654" s="7" t="e">
        <f>IF(VLOOKUP($A654,'Concrete Beam Schedule'!$A$2:$Q$2902,Z$2,0)&lt;&gt;J654,"Beam Revised","")</f>
        <v>#N/A</v>
      </c>
      <c r="AA654" s="7" t="e">
        <f>IF(VLOOKUP($A654,'Concrete Beam Schedule'!$A$2:$Q$2902,AA$2,0)&lt;&gt;K654,"Beam Revised","")</f>
        <v>#N/A</v>
      </c>
      <c r="AB654" s="7" t="e">
        <f>IF(VLOOKUP($A654,'Concrete Beam Schedule'!$A$2:$Q$2902,AB$2,0)&lt;&gt;L654,"Beam Revised","")</f>
        <v>#N/A</v>
      </c>
      <c r="AC654" s="7" t="e">
        <f>IF(VLOOKUP($A654,'Concrete Beam Schedule'!$A$2:$Q$2902,AC$2,0)&lt;&gt;M654,"Beam Revised","")</f>
        <v>#N/A</v>
      </c>
      <c r="AD654" s="7" t="e">
        <f>IF(VLOOKUP($A654,'Concrete Beam Schedule'!$A$2:$Q$2902,AD$2,0)&lt;&gt;N654,"Beam Revised","")</f>
        <v>#N/A</v>
      </c>
      <c r="AE654" s="7" t="e">
        <f>IF(VLOOKUP($A654,'Concrete Beam Schedule'!$A$2:$Q$2902,AE$2,0)&lt;&gt;O654,"Beam Revised","")</f>
        <v>#N/A</v>
      </c>
    </row>
    <row r="655" spans="17:31" ht="13.2" x14ac:dyDescent="0.25">
      <c r="Q655" s="7">
        <f t="shared" si="10"/>
        <v>0</v>
      </c>
      <c r="R655" s="7" t="e">
        <f>IF(VLOOKUP($A655,'Concrete Beam Schedule'!$A$2:$Q$2902,R$2,0)&lt;&gt;B655,VLOOKUP($A655,'Concrete Beam Schedule'!$A$2:$Q$2902,R$2,0),"")</f>
        <v>#N/A</v>
      </c>
      <c r="S655" s="7" t="e">
        <f>IF(VLOOKUP($A655,'Concrete Beam Schedule'!$A$2:$Q$2902,S$2,0)&lt;&gt;C655,VLOOKUP($A655,'Concrete Beam Schedule'!$A$2:$Q$2902,S$2,0),"")</f>
        <v>#N/A</v>
      </c>
      <c r="T655" s="7" t="e">
        <f>IF(VLOOKUP($A655,'Concrete Beam Schedule'!$A$2:$Q$2902,T$2,0)&lt;&gt;D655,"Beam Revised","")</f>
        <v>#N/A</v>
      </c>
      <c r="U655" s="7" t="e">
        <f>IF(VLOOKUP($A655,'Concrete Beam Schedule'!$A$2:$Q$2902,U$2,0)&lt;&gt;E655,"Beam Revised","")</f>
        <v>#N/A</v>
      </c>
      <c r="V655" s="7" t="e">
        <f>IF(VLOOKUP($A655,'Concrete Beam Schedule'!$A$2:$Q$2902,V$2,0)&lt;&gt;F655,"Beam Revised","")</f>
        <v>#N/A</v>
      </c>
      <c r="W655" s="7" t="e">
        <f>IF(VLOOKUP($A655,'Concrete Beam Schedule'!$A$2:$Q$2902,W$2,0)&lt;&gt;G655,"Beam Revised","")</f>
        <v>#N/A</v>
      </c>
      <c r="X655" s="7" t="e">
        <f>IF(VLOOKUP($A655,'Concrete Beam Schedule'!$A$2:$Q$2902,X$2,0)&lt;&gt;H655,"Beam Revised","")</f>
        <v>#N/A</v>
      </c>
      <c r="Y655" s="7" t="e">
        <f>IF(VLOOKUP($A655,'Concrete Beam Schedule'!$A$2:$Q$2902,Y$2,0)&lt;&gt;I655,"Beam Revised","")</f>
        <v>#N/A</v>
      </c>
      <c r="Z655" s="7" t="e">
        <f>IF(VLOOKUP($A655,'Concrete Beam Schedule'!$A$2:$Q$2902,Z$2,0)&lt;&gt;J655,"Beam Revised","")</f>
        <v>#N/A</v>
      </c>
      <c r="AA655" s="7" t="e">
        <f>IF(VLOOKUP($A655,'Concrete Beam Schedule'!$A$2:$Q$2902,AA$2,0)&lt;&gt;K655,"Beam Revised","")</f>
        <v>#N/A</v>
      </c>
      <c r="AB655" s="7" t="e">
        <f>IF(VLOOKUP($A655,'Concrete Beam Schedule'!$A$2:$Q$2902,AB$2,0)&lt;&gt;L655,"Beam Revised","")</f>
        <v>#N/A</v>
      </c>
      <c r="AC655" s="7" t="e">
        <f>IF(VLOOKUP($A655,'Concrete Beam Schedule'!$A$2:$Q$2902,AC$2,0)&lt;&gt;M655,"Beam Revised","")</f>
        <v>#N/A</v>
      </c>
      <c r="AD655" s="7" t="e">
        <f>IF(VLOOKUP($A655,'Concrete Beam Schedule'!$A$2:$Q$2902,AD$2,0)&lt;&gt;N655,"Beam Revised","")</f>
        <v>#N/A</v>
      </c>
      <c r="AE655" s="7" t="e">
        <f>IF(VLOOKUP($A655,'Concrete Beam Schedule'!$A$2:$Q$2902,AE$2,0)&lt;&gt;O655,"Beam Revised","")</f>
        <v>#N/A</v>
      </c>
    </row>
    <row r="656" spans="17:31" ht="13.2" x14ac:dyDescent="0.25">
      <c r="Q656" s="7">
        <f t="shared" si="10"/>
        <v>0</v>
      </c>
      <c r="R656" s="7" t="e">
        <f>IF(VLOOKUP($A656,'Concrete Beam Schedule'!$A$2:$Q$2902,R$2,0)&lt;&gt;B656,VLOOKUP($A656,'Concrete Beam Schedule'!$A$2:$Q$2902,R$2,0),"")</f>
        <v>#N/A</v>
      </c>
      <c r="S656" s="7" t="e">
        <f>IF(VLOOKUP($A656,'Concrete Beam Schedule'!$A$2:$Q$2902,S$2,0)&lt;&gt;C656,VLOOKUP($A656,'Concrete Beam Schedule'!$A$2:$Q$2902,S$2,0),"")</f>
        <v>#N/A</v>
      </c>
      <c r="T656" s="7" t="e">
        <f>IF(VLOOKUP($A656,'Concrete Beam Schedule'!$A$2:$Q$2902,T$2,0)&lt;&gt;D656,"Beam Revised","")</f>
        <v>#N/A</v>
      </c>
      <c r="U656" s="7" t="e">
        <f>IF(VLOOKUP($A656,'Concrete Beam Schedule'!$A$2:$Q$2902,U$2,0)&lt;&gt;E656,"Beam Revised","")</f>
        <v>#N/A</v>
      </c>
      <c r="V656" s="7" t="e">
        <f>IF(VLOOKUP($A656,'Concrete Beam Schedule'!$A$2:$Q$2902,V$2,0)&lt;&gt;F656,"Beam Revised","")</f>
        <v>#N/A</v>
      </c>
      <c r="W656" s="7" t="e">
        <f>IF(VLOOKUP($A656,'Concrete Beam Schedule'!$A$2:$Q$2902,W$2,0)&lt;&gt;G656,"Beam Revised","")</f>
        <v>#N/A</v>
      </c>
      <c r="X656" s="7" t="e">
        <f>IF(VLOOKUP($A656,'Concrete Beam Schedule'!$A$2:$Q$2902,X$2,0)&lt;&gt;H656,"Beam Revised","")</f>
        <v>#N/A</v>
      </c>
      <c r="Y656" s="7" t="e">
        <f>IF(VLOOKUP($A656,'Concrete Beam Schedule'!$A$2:$Q$2902,Y$2,0)&lt;&gt;I656,"Beam Revised","")</f>
        <v>#N/A</v>
      </c>
      <c r="Z656" s="7" t="e">
        <f>IF(VLOOKUP($A656,'Concrete Beam Schedule'!$A$2:$Q$2902,Z$2,0)&lt;&gt;J656,"Beam Revised","")</f>
        <v>#N/A</v>
      </c>
      <c r="AA656" s="7" t="e">
        <f>IF(VLOOKUP($A656,'Concrete Beam Schedule'!$A$2:$Q$2902,AA$2,0)&lt;&gt;K656,"Beam Revised","")</f>
        <v>#N/A</v>
      </c>
      <c r="AB656" s="7" t="e">
        <f>IF(VLOOKUP($A656,'Concrete Beam Schedule'!$A$2:$Q$2902,AB$2,0)&lt;&gt;L656,"Beam Revised","")</f>
        <v>#N/A</v>
      </c>
      <c r="AC656" s="7" t="e">
        <f>IF(VLOOKUP($A656,'Concrete Beam Schedule'!$A$2:$Q$2902,AC$2,0)&lt;&gt;M656,"Beam Revised","")</f>
        <v>#N/A</v>
      </c>
      <c r="AD656" s="7" t="e">
        <f>IF(VLOOKUP($A656,'Concrete Beam Schedule'!$A$2:$Q$2902,AD$2,0)&lt;&gt;N656,"Beam Revised","")</f>
        <v>#N/A</v>
      </c>
      <c r="AE656" s="7" t="e">
        <f>IF(VLOOKUP($A656,'Concrete Beam Schedule'!$A$2:$Q$2902,AE$2,0)&lt;&gt;O656,"Beam Revised","")</f>
        <v>#N/A</v>
      </c>
    </row>
    <row r="657" spans="17:31" ht="13.2" x14ac:dyDescent="0.25">
      <c r="Q657" s="7">
        <f t="shared" si="10"/>
        <v>0</v>
      </c>
      <c r="R657" s="7" t="e">
        <f>IF(VLOOKUP($A657,'Concrete Beam Schedule'!$A$2:$Q$2902,R$2,0)&lt;&gt;B657,VLOOKUP($A657,'Concrete Beam Schedule'!$A$2:$Q$2902,R$2,0),"")</f>
        <v>#N/A</v>
      </c>
      <c r="S657" s="7" t="e">
        <f>IF(VLOOKUP($A657,'Concrete Beam Schedule'!$A$2:$Q$2902,S$2,0)&lt;&gt;C657,VLOOKUP($A657,'Concrete Beam Schedule'!$A$2:$Q$2902,S$2,0),"")</f>
        <v>#N/A</v>
      </c>
      <c r="T657" s="7" t="e">
        <f>IF(VLOOKUP($A657,'Concrete Beam Schedule'!$A$2:$Q$2902,T$2,0)&lt;&gt;D657,"Beam Revised","")</f>
        <v>#N/A</v>
      </c>
      <c r="U657" s="7" t="e">
        <f>IF(VLOOKUP($A657,'Concrete Beam Schedule'!$A$2:$Q$2902,U$2,0)&lt;&gt;E657,"Beam Revised","")</f>
        <v>#N/A</v>
      </c>
      <c r="V657" s="7" t="e">
        <f>IF(VLOOKUP($A657,'Concrete Beam Schedule'!$A$2:$Q$2902,V$2,0)&lt;&gt;F657,"Beam Revised","")</f>
        <v>#N/A</v>
      </c>
      <c r="W657" s="7" t="e">
        <f>IF(VLOOKUP($A657,'Concrete Beam Schedule'!$A$2:$Q$2902,W$2,0)&lt;&gt;G657,"Beam Revised","")</f>
        <v>#N/A</v>
      </c>
      <c r="X657" s="7" t="e">
        <f>IF(VLOOKUP($A657,'Concrete Beam Schedule'!$A$2:$Q$2902,X$2,0)&lt;&gt;H657,"Beam Revised","")</f>
        <v>#N/A</v>
      </c>
      <c r="Y657" s="7" t="e">
        <f>IF(VLOOKUP($A657,'Concrete Beam Schedule'!$A$2:$Q$2902,Y$2,0)&lt;&gt;I657,"Beam Revised","")</f>
        <v>#N/A</v>
      </c>
      <c r="Z657" s="7" t="e">
        <f>IF(VLOOKUP($A657,'Concrete Beam Schedule'!$A$2:$Q$2902,Z$2,0)&lt;&gt;J657,"Beam Revised","")</f>
        <v>#N/A</v>
      </c>
      <c r="AA657" s="7" t="e">
        <f>IF(VLOOKUP($A657,'Concrete Beam Schedule'!$A$2:$Q$2902,AA$2,0)&lt;&gt;K657,"Beam Revised","")</f>
        <v>#N/A</v>
      </c>
      <c r="AB657" s="7" t="e">
        <f>IF(VLOOKUP($A657,'Concrete Beam Schedule'!$A$2:$Q$2902,AB$2,0)&lt;&gt;L657,"Beam Revised","")</f>
        <v>#N/A</v>
      </c>
      <c r="AC657" s="7" t="e">
        <f>IF(VLOOKUP($A657,'Concrete Beam Schedule'!$A$2:$Q$2902,AC$2,0)&lt;&gt;M657,"Beam Revised","")</f>
        <v>#N/A</v>
      </c>
      <c r="AD657" s="7" t="e">
        <f>IF(VLOOKUP($A657,'Concrete Beam Schedule'!$A$2:$Q$2902,AD$2,0)&lt;&gt;N657,"Beam Revised","")</f>
        <v>#N/A</v>
      </c>
      <c r="AE657" s="7" t="e">
        <f>IF(VLOOKUP($A657,'Concrete Beam Schedule'!$A$2:$Q$2902,AE$2,0)&lt;&gt;O657,"Beam Revised","")</f>
        <v>#N/A</v>
      </c>
    </row>
    <row r="658" spans="17:31" ht="13.2" x14ac:dyDescent="0.25">
      <c r="Q658" s="7">
        <f t="shared" si="10"/>
        <v>0</v>
      </c>
      <c r="R658" s="7" t="e">
        <f>IF(VLOOKUP($A658,'Concrete Beam Schedule'!$A$2:$Q$2902,R$2,0)&lt;&gt;B658,VLOOKUP($A658,'Concrete Beam Schedule'!$A$2:$Q$2902,R$2,0),"")</f>
        <v>#N/A</v>
      </c>
      <c r="S658" s="7" t="e">
        <f>IF(VLOOKUP($A658,'Concrete Beam Schedule'!$A$2:$Q$2902,S$2,0)&lt;&gt;C658,VLOOKUP($A658,'Concrete Beam Schedule'!$A$2:$Q$2902,S$2,0),"")</f>
        <v>#N/A</v>
      </c>
      <c r="T658" s="7" t="e">
        <f>IF(VLOOKUP($A658,'Concrete Beam Schedule'!$A$2:$Q$2902,T$2,0)&lt;&gt;D658,"Beam Revised","")</f>
        <v>#N/A</v>
      </c>
      <c r="U658" s="7" t="e">
        <f>IF(VLOOKUP($A658,'Concrete Beam Schedule'!$A$2:$Q$2902,U$2,0)&lt;&gt;E658,"Beam Revised","")</f>
        <v>#N/A</v>
      </c>
      <c r="V658" s="7" t="e">
        <f>IF(VLOOKUP($A658,'Concrete Beam Schedule'!$A$2:$Q$2902,V$2,0)&lt;&gt;F658,"Beam Revised","")</f>
        <v>#N/A</v>
      </c>
      <c r="W658" s="7" t="e">
        <f>IF(VLOOKUP($A658,'Concrete Beam Schedule'!$A$2:$Q$2902,W$2,0)&lt;&gt;G658,"Beam Revised","")</f>
        <v>#N/A</v>
      </c>
      <c r="X658" s="7" t="e">
        <f>IF(VLOOKUP($A658,'Concrete Beam Schedule'!$A$2:$Q$2902,X$2,0)&lt;&gt;H658,"Beam Revised","")</f>
        <v>#N/A</v>
      </c>
      <c r="Y658" s="7" t="e">
        <f>IF(VLOOKUP($A658,'Concrete Beam Schedule'!$A$2:$Q$2902,Y$2,0)&lt;&gt;I658,"Beam Revised","")</f>
        <v>#N/A</v>
      </c>
      <c r="Z658" s="7" t="e">
        <f>IF(VLOOKUP($A658,'Concrete Beam Schedule'!$A$2:$Q$2902,Z$2,0)&lt;&gt;J658,"Beam Revised","")</f>
        <v>#N/A</v>
      </c>
      <c r="AA658" s="7" t="e">
        <f>IF(VLOOKUP($A658,'Concrete Beam Schedule'!$A$2:$Q$2902,AA$2,0)&lt;&gt;K658,"Beam Revised","")</f>
        <v>#N/A</v>
      </c>
      <c r="AB658" s="7" t="e">
        <f>IF(VLOOKUP($A658,'Concrete Beam Schedule'!$A$2:$Q$2902,AB$2,0)&lt;&gt;L658,"Beam Revised","")</f>
        <v>#N/A</v>
      </c>
      <c r="AC658" s="7" t="e">
        <f>IF(VLOOKUP($A658,'Concrete Beam Schedule'!$A$2:$Q$2902,AC$2,0)&lt;&gt;M658,"Beam Revised","")</f>
        <v>#N/A</v>
      </c>
      <c r="AD658" s="7" t="e">
        <f>IF(VLOOKUP($A658,'Concrete Beam Schedule'!$A$2:$Q$2902,AD$2,0)&lt;&gt;N658,"Beam Revised","")</f>
        <v>#N/A</v>
      </c>
      <c r="AE658" s="7" t="e">
        <f>IF(VLOOKUP($A658,'Concrete Beam Schedule'!$A$2:$Q$2902,AE$2,0)&lt;&gt;O658,"Beam Revised","")</f>
        <v>#N/A</v>
      </c>
    </row>
    <row r="659" spans="17:31" ht="13.2" x14ac:dyDescent="0.25">
      <c r="Q659" s="7">
        <f t="shared" si="10"/>
        <v>0</v>
      </c>
      <c r="R659" s="7" t="e">
        <f>IF(VLOOKUP($A659,'Concrete Beam Schedule'!$A$2:$Q$2902,R$2,0)&lt;&gt;B659,VLOOKUP($A659,'Concrete Beam Schedule'!$A$2:$Q$2902,R$2,0),"")</f>
        <v>#N/A</v>
      </c>
      <c r="S659" s="7" t="e">
        <f>IF(VLOOKUP($A659,'Concrete Beam Schedule'!$A$2:$Q$2902,S$2,0)&lt;&gt;C659,VLOOKUP($A659,'Concrete Beam Schedule'!$A$2:$Q$2902,S$2,0),"")</f>
        <v>#N/A</v>
      </c>
      <c r="T659" s="7" t="e">
        <f>IF(VLOOKUP($A659,'Concrete Beam Schedule'!$A$2:$Q$2902,T$2,0)&lt;&gt;D659,"Beam Revised","")</f>
        <v>#N/A</v>
      </c>
      <c r="U659" s="7" t="e">
        <f>IF(VLOOKUP($A659,'Concrete Beam Schedule'!$A$2:$Q$2902,U$2,0)&lt;&gt;E659,"Beam Revised","")</f>
        <v>#N/A</v>
      </c>
      <c r="V659" s="7" t="e">
        <f>IF(VLOOKUP($A659,'Concrete Beam Schedule'!$A$2:$Q$2902,V$2,0)&lt;&gt;F659,"Beam Revised","")</f>
        <v>#N/A</v>
      </c>
      <c r="W659" s="7" t="e">
        <f>IF(VLOOKUP($A659,'Concrete Beam Schedule'!$A$2:$Q$2902,W$2,0)&lt;&gt;G659,"Beam Revised","")</f>
        <v>#N/A</v>
      </c>
      <c r="X659" s="7" t="e">
        <f>IF(VLOOKUP($A659,'Concrete Beam Schedule'!$A$2:$Q$2902,X$2,0)&lt;&gt;H659,"Beam Revised","")</f>
        <v>#N/A</v>
      </c>
      <c r="Y659" s="7" t="e">
        <f>IF(VLOOKUP($A659,'Concrete Beam Schedule'!$A$2:$Q$2902,Y$2,0)&lt;&gt;I659,"Beam Revised","")</f>
        <v>#N/A</v>
      </c>
      <c r="Z659" s="7" t="e">
        <f>IF(VLOOKUP($A659,'Concrete Beam Schedule'!$A$2:$Q$2902,Z$2,0)&lt;&gt;J659,"Beam Revised","")</f>
        <v>#N/A</v>
      </c>
      <c r="AA659" s="7" t="e">
        <f>IF(VLOOKUP($A659,'Concrete Beam Schedule'!$A$2:$Q$2902,AA$2,0)&lt;&gt;K659,"Beam Revised","")</f>
        <v>#N/A</v>
      </c>
      <c r="AB659" s="7" t="e">
        <f>IF(VLOOKUP($A659,'Concrete Beam Schedule'!$A$2:$Q$2902,AB$2,0)&lt;&gt;L659,"Beam Revised","")</f>
        <v>#N/A</v>
      </c>
      <c r="AC659" s="7" t="e">
        <f>IF(VLOOKUP($A659,'Concrete Beam Schedule'!$A$2:$Q$2902,AC$2,0)&lt;&gt;M659,"Beam Revised","")</f>
        <v>#N/A</v>
      </c>
      <c r="AD659" s="7" t="e">
        <f>IF(VLOOKUP($A659,'Concrete Beam Schedule'!$A$2:$Q$2902,AD$2,0)&lt;&gt;N659,"Beam Revised","")</f>
        <v>#N/A</v>
      </c>
      <c r="AE659" s="7" t="e">
        <f>IF(VLOOKUP($A659,'Concrete Beam Schedule'!$A$2:$Q$2902,AE$2,0)&lt;&gt;O659,"Beam Revised","")</f>
        <v>#N/A</v>
      </c>
    </row>
    <row r="660" spans="17:31" ht="13.2" x14ac:dyDescent="0.25">
      <c r="Q660" s="7">
        <f t="shared" si="10"/>
        <v>0</v>
      </c>
      <c r="R660" s="7" t="e">
        <f>IF(VLOOKUP($A660,'Concrete Beam Schedule'!$A$2:$Q$2902,R$2,0)&lt;&gt;B660,VLOOKUP($A660,'Concrete Beam Schedule'!$A$2:$Q$2902,R$2,0),"")</f>
        <v>#N/A</v>
      </c>
      <c r="S660" s="7" t="e">
        <f>IF(VLOOKUP($A660,'Concrete Beam Schedule'!$A$2:$Q$2902,S$2,0)&lt;&gt;C660,VLOOKUP($A660,'Concrete Beam Schedule'!$A$2:$Q$2902,S$2,0),"")</f>
        <v>#N/A</v>
      </c>
      <c r="T660" s="7" t="e">
        <f>IF(VLOOKUP($A660,'Concrete Beam Schedule'!$A$2:$Q$2902,T$2,0)&lt;&gt;D660,"Beam Revised","")</f>
        <v>#N/A</v>
      </c>
      <c r="U660" s="7" t="e">
        <f>IF(VLOOKUP($A660,'Concrete Beam Schedule'!$A$2:$Q$2902,U$2,0)&lt;&gt;E660,"Beam Revised","")</f>
        <v>#N/A</v>
      </c>
      <c r="V660" s="7" t="e">
        <f>IF(VLOOKUP($A660,'Concrete Beam Schedule'!$A$2:$Q$2902,V$2,0)&lt;&gt;F660,"Beam Revised","")</f>
        <v>#N/A</v>
      </c>
      <c r="W660" s="7" t="e">
        <f>IF(VLOOKUP($A660,'Concrete Beam Schedule'!$A$2:$Q$2902,W$2,0)&lt;&gt;G660,"Beam Revised","")</f>
        <v>#N/A</v>
      </c>
      <c r="X660" s="7" t="e">
        <f>IF(VLOOKUP($A660,'Concrete Beam Schedule'!$A$2:$Q$2902,X$2,0)&lt;&gt;H660,"Beam Revised","")</f>
        <v>#N/A</v>
      </c>
      <c r="Y660" s="7" t="e">
        <f>IF(VLOOKUP($A660,'Concrete Beam Schedule'!$A$2:$Q$2902,Y$2,0)&lt;&gt;I660,"Beam Revised","")</f>
        <v>#N/A</v>
      </c>
      <c r="Z660" s="7" t="e">
        <f>IF(VLOOKUP($A660,'Concrete Beam Schedule'!$A$2:$Q$2902,Z$2,0)&lt;&gt;J660,"Beam Revised","")</f>
        <v>#N/A</v>
      </c>
      <c r="AA660" s="7" t="e">
        <f>IF(VLOOKUP($A660,'Concrete Beam Schedule'!$A$2:$Q$2902,AA$2,0)&lt;&gt;K660,"Beam Revised","")</f>
        <v>#N/A</v>
      </c>
      <c r="AB660" s="7" t="e">
        <f>IF(VLOOKUP($A660,'Concrete Beam Schedule'!$A$2:$Q$2902,AB$2,0)&lt;&gt;L660,"Beam Revised","")</f>
        <v>#N/A</v>
      </c>
      <c r="AC660" s="7" t="e">
        <f>IF(VLOOKUP($A660,'Concrete Beam Schedule'!$A$2:$Q$2902,AC$2,0)&lt;&gt;M660,"Beam Revised","")</f>
        <v>#N/A</v>
      </c>
      <c r="AD660" s="7" t="e">
        <f>IF(VLOOKUP($A660,'Concrete Beam Schedule'!$A$2:$Q$2902,AD$2,0)&lt;&gt;N660,"Beam Revised","")</f>
        <v>#N/A</v>
      </c>
      <c r="AE660" s="7" t="e">
        <f>IF(VLOOKUP($A660,'Concrete Beam Schedule'!$A$2:$Q$2902,AE$2,0)&lt;&gt;O660,"Beam Revised","")</f>
        <v>#N/A</v>
      </c>
    </row>
    <row r="661" spans="17:31" ht="13.2" x14ac:dyDescent="0.25">
      <c r="Q661" s="7">
        <f t="shared" si="10"/>
        <v>0</v>
      </c>
      <c r="R661" s="7" t="e">
        <f>IF(VLOOKUP($A661,'Concrete Beam Schedule'!$A$2:$Q$2902,R$2,0)&lt;&gt;B661,VLOOKUP($A661,'Concrete Beam Schedule'!$A$2:$Q$2902,R$2,0),"")</f>
        <v>#N/A</v>
      </c>
      <c r="S661" s="7" t="e">
        <f>IF(VLOOKUP($A661,'Concrete Beam Schedule'!$A$2:$Q$2902,S$2,0)&lt;&gt;C661,VLOOKUP($A661,'Concrete Beam Schedule'!$A$2:$Q$2902,S$2,0),"")</f>
        <v>#N/A</v>
      </c>
      <c r="T661" s="7" t="e">
        <f>IF(VLOOKUP($A661,'Concrete Beam Schedule'!$A$2:$Q$2902,T$2,0)&lt;&gt;D661,"Beam Revised","")</f>
        <v>#N/A</v>
      </c>
      <c r="U661" s="7" t="e">
        <f>IF(VLOOKUP($A661,'Concrete Beam Schedule'!$A$2:$Q$2902,U$2,0)&lt;&gt;E661,"Beam Revised","")</f>
        <v>#N/A</v>
      </c>
      <c r="V661" s="7" t="e">
        <f>IF(VLOOKUP($A661,'Concrete Beam Schedule'!$A$2:$Q$2902,V$2,0)&lt;&gt;F661,"Beam Revised","")</f>
        <v>#N/A</v>
      </c>
      <c r="W661" s="7" t="e">
        <f>IF(VLOOKUP($A661,'Concrete Beam Schedule'!$A$2:$Q$2902,W$2,0)&lt;&gt;G661,"Beam Revised","")</f>
        <v>#N/A</v>
      </c>
      <c r="X661" s="7" t="e">
        <f>IF(VLOOKUP($A661,'Concrete Beam Schedule'!$A$2:$Q$2902,X$2,0)&lt;&gt;H661,"Beam Revised","")</f>
        <v>#N/A</v>
      </c>
      <c r="Y661" s="7" t="e">
        <f>IF(VLOOKUP($A661,'Concrete Beam Schedule'!$A$2:$Q$2902,Y$2,0)&lt;&gt;I661,"Beam Revised","")</f>
        <v>#N/A</v>
      </c>
      <c r="Z661" s="7" t="e">
        <f>IF(VLOOKUP($A661,'Concrete Beam Schedule'!$A$2:$Q$2902,Z$2,0)&lt;&gt;J661,"Beam Revised","")</f>
        <v>#N/A</v>
      </c>
      <c r="AA661" s="7" t="e">
        <f>IF(VLOOKUP($A661,'Concrete Beam Schedule'!$A$2:$Q$2902,AA$2,0)&lt;&gt;K661,"Beam Revised","")</f>
        <v>#N/A</v>
      </c>
      <c r="AB661" s="7" t="e">
        <f>IF(VLOOKUP($A661,'Concrete Beam Schedule'!$A$2:$Q$2902,AB$2,0)&lt;&gt;L661,"Beam Revised","")</f>
        <v>#N/A</v>
      </c>
      <c r="AC661" s="7" t="e">
        <f>IF(VLOOKUP($A661,'Concrete Beam Schedule'!$A$2:$Q$2902,AC$2,0)&lt;&gt;M661,"Beam Revised","")</f>
        <v>#N/A</v>
      </c>
      <c r="AD661" s="7" t="e">
        <f>IF(VLOOKUP($A661,'Concrete Beam Schedule'!$A$2:$Q$2902,AD$2,0)&lt;&gt;N661,"Beam Revised","")</f>
        <v>#N/A</v>
      </c>
      <c r="AE661" s="7" t="e">
        <f>IF(VLOOKUP($A661,'Concrete Beam Schedule'!$A$2:$Q$2902,AE$2,0)&lt;&gt;O661,"Beam Revised","")</f>
        <v>#N/A</v>
      </c>
    </row>
    <row r="662" spans="17:31" ht="13.2" x14ac:dyDescent="0.25">
      <c r="Q662" s="7">
        <f t="shared" si="10"/>
        <v>0</v>
      </c>
      <c r="R662" s="7" t="e">
        <f>IF(VLOOKUP($A662,'Concrete Beam Schedule'!$A$2:$Q$2902,R$2,0)&lt;&gt;B662,VLOOKUP($A662,'Concrete Beam Schedule'!$A$2:$Q$2902,R$2,0),"")</f>
        <v>#N/A</v>
      </c>
      <c r="S662" s="7" t="e">
        <f>IF(VLOOKUP($A662,'Concrete Beam Schedule'!$A$2:$Q$2902,S$2,0)&lt;&gt;C662,VLOOKUP($A662,'Concrete Beam Schedule'!$A$2:$Q$2902,S$2,0),"")</f>
        <v>#N/A</v>
      </c>
      <c r="T662" s="7" t="e">
        <f>IF(VLOOKUP($A662,'Concrete Beam Schedule'!$A$2:$Q$2902,T$2,0)&lt;&gt;D662,"Beam Revised","")</f>
        <v>#N/A</v>
      </c>
      <c r="U662" s="7" t="e">
        <f>IF(VLOOKUP($A662,'Concrete Beam Schedule'!$A$2:$Q$2902,U$2,0)&lt;&gt;E662,"Beam Revised","")</f>
        <v>#N/A</v>
      </c>
      <c r="V662" s="7" t="e">
        <f>IF(VLOOKUP($A662,'Concrete Beam Schedule'!$A$2:$Q$2902,V$2,0)&lt;&gt;F662,"Beam Revised","")</f>
        <v>#N/A</v>
      </c>
      <c r="W662" s="7" t="e">
        <f>IF(VLOOKUP($A662,'Concrete Beam Schedule'!$A$2:$Q$2902,W$2,0)&lt;&gt;G662,"Beam Revised","")</f>
        <v>#N/A</v>
      </c>
      <c r="X662" s="7" t="e">
        <f>IF(VLOOKUP($A662,'Concrete Beam Schedule'!$A$2:$Q$2902,X$2,0)&lt;&gt;H662,"Beam Revised","")</f>
        <v>#N/A</v>
      </c>
      <c r="Y662" s="7" t="e">
        <f>IF(VLOOKUP($A662,'Concrete Beam Schedule'!$A$2:$Q$2902,Y$2,0)&lt;&gt;I662,"Beam Revised","")</f>
        <v>#N/A</v>
      </c>
      <c r="Z662" s="7" t="e">
        <f>IF(VLOOKUP($A662,'Concrete Beam Schedule'!$A$2:$Q$2902,Z$2,0)&lt;&gt;J662,"Beam Revised","")</f>
        <v>#N/A</v>
      </c>
      <c r="AA662" s="7" t="e">
        <f>IF(VLOOKUP($A662,'Concrete Beam Schedule'!$A$2:$Q$2902,AA$2,0)&lt;&gt;K662,"Beam Revised","")</f>
        <v>#N/A</v>
      </c>
      <c r="AB662" s="7" t="e">
        <f>IF(VLOOKUP($A662,'Concrete Beam Schedule'!$A$2:$Q$2902,AB$2,0)&lt;&gt;L662,"Beam Revised","")</f>
        <v>#N/A</v>
      </c>
      <c r="AC662" s="7" t="e">
        <f>IF(VLOOKUP($A662,'Concrete Beam Schedule'!$A$2:$Q$2902,AC$2,0)&lt;&gt;M662,"Beam Revised","")</f>
        <v>#N/A</v>
      </c>
      <c r="AD662" s="7" t="e">
        <f>IF(VLOOKUP($A662,'Concrete Beam Schedule'!$A$2:$Q$2902,AD$2,0)&lt;&gt;N662,"Beam Revised","")</f>
        <v>#N/A</v>
      </c>
      <c r="AE662" s="7" t="e">
        <f>IF(VLOOKUP($A662,'Concrete Beam Schedule'!$A$2:$Q$2902,AE$2,0)&lt;&gt;O662,"Beam Revised","")</f>
        <v>#N/A</v>
      </c>
    </row>
    <row r="663" spans="17:31" ht="13.2" x14ac:dyDescent="0.25">
      <c r="Q663" s="7">
        <f t="shared" si="10"/>
        <v>0</v>
      </c>
      <c r="R663" s="7" t="e">
        <f>IF(VLOOKUP($A663,'Concrete Beam Schedule'!$A$2:$Q$2902,R$2,0)&lt;&gt;B663,VLOOKUP($A663,'Concrete Beam Schedule'!$A$2:$Q$2902,R$2,0),"")</f>
        <v>#N/A</v>
      </c>
      <c r="S663" s="7" t="e">
        <f>IF(VLOOKUP($A663,'Concrete Beam Schedule'!$A$2:$Q$2902,S$2,0)&lt;&gt;C663,VLOOKUP($A663,'Concrete Beam Schedule'!$A$2:$Q$2902,S$2,0),"")</f>
        <v>#N/A</v>
      </c>
      <c r="T663" s="7" t="e">
        <f>IF(VLOOKUP($A663,'Concrete Beam Schedule'!$A$2:$Q$2902,T$2,0)&lt;&gt;D663,"Beam Revised","")</f>
        <v>#N/A</v>
      </c>
      <c r="U663" s="7" t="e">
        <f>IF(VLOOKUP($A663,'Concrete Beam Schedule'!$A$2:$Q$2902,U$2,0)&lt;&gt;E663,"Beam Revised","")</f>
        <v>#N/A</v>
      </c>
      <c r="V663" s="7" t="e">
        <f>IF(VLOOKUP($A663,'Concrete Beam Schedule'!$A$2:$Q$2902,V$2,0)&lt;&gt;F663,"Beam Revised","")</f>
        <v>#N/A</v>
      </c>
      <c r="W663" s="7" t="e">
        <f>IF(VLOOKUP($A663,'Concrete Beam Schedule'!$A$2:$Q$2902,W$2,0)&lt;&gt;G663,"Beam Revised","")</f>
        <v>#N/A</v>
      </c>
      <c r="X663" s="7" t="e">
        <f>IF(VLOOKUP($A663,'Concrete Beam Schedule'!$A$2:$Q$2902,X$2,0)&lt;&gt;H663,"Beam Revised","")</f>
        <v>#N/A</v>
      </c>
      <c r="Y663" s="7" t="e">
        <f>IF(VLOOKUP($A663,'Concrete Beam Schedule'!$A$2:$Q$2902,Y$2,0)&lt;&gt;I663,"Beam Revised","")</f>
        <v>#N/A</v>
      </c>
      <c r="Z663" s="7" t="e">
        <f>IF(VLOOKUP($A663,'Concrete Beam Schedule'!$A$2:$Q$2902,Z$2,0)&lt;&gt;J663,"Beam Revised","")</f>
        <v>#N/A</v>
      </c>
      <c r="AA663" s="7" t="e">
        <f>IF(VLOOKUP($A663,'Concrete Beam Schedule'!$A$2:$Q$2902,AA$2,0)&lt;&gt;K663,"Beam Revised","")</f>
        <v>#N/A</v>
      </c>
      <c r="AB663" s="7" t="e">
        <f>IF(VLOOKUP($A663,'Concrete Beam Schedule'!$A$2:$Q$2902,AB$2,0)&lt;&gt;L663,"Beam Revised","")</f>
        <v>#N/A</v>
      </c>
      <c r="AC663" s="7" t="e">
        <f>IF(VLOOKUP($A663,'Concrete Beam Schedule'!$A$2:$Q$2902,AC$2,0)&lt;&gt;M663,"Beam Revised","")</f>
        <v>#N/A</v>
      </c>
      <c r="AD663" s="7" t="e">
        <f>IF(VLOOKUP($A663,'Concrete Beam Schedule'!$A$2:$Q$2902,AD$2,0)&lt;&gt;N663,"Beam Revised","")</f>
        <v>#N/A</v>
      </c>
      <c r="AE663" s="7" t="e">
        <f>IF(VLOOKUP($A663,'Concrete Beam Schedule'!$A$2:$Q$2902,AE$2,0)&lt;&gt;O663,"Beam Revised","")</f>
        <v>#N/A</v>
      </c>
    </row>
    <row r="664" spans="17:31" ht="13.2" x14ac:dyDescent="0.25">
      <c r="Q664" s="7">
        <f t="shared" si="10"/>
        <v>0</v>
      </c>
      <c r="R664" s="7" t="e">
        <f>IF(VLOOKUP($A664,'Concrete Beam Schedule'!$A$2:$Q$2902,R$2,0)&lt;&gt;B664,VLOOKUP($A664,'Concrete Beam Schedule'!$A$2:$Q$2902,R$2,0),"")</f>
        <v>#N/A</v>
      </c>
      <c r="S664" s="7" t="e">
        <f>IF(VLOOKUP($A664,'Concrete Beam Schedule'!$A$2:$Q$2902,S$2,0)&lt;&gt;C664,VLOOKUP($A664,'Concrete Beam Schedule'!$A$2:$Q$2902,S$2,0),"")</f>
        <v>#N/A</v>
      </c>
      <c r="T664" s="7" t="e">
        <f>IF(VLOOKUP($A664,'Concrete Beam Schedule'!$A$2:$Q$2902,T$2,0)&lt;&gt;D664,"Beam Revised","")</f>
        <v>#N/A</v>
      </c>
      <c r="U664" s="7" t="e">
        <f>IF(VLOOKUP($A664,'Concrete Beam Schedule'!$A$2:$Q$2902,U$2,0)&lt;&gt;E664,"Beam Revised","")</f>
        <v>#N/A</v>
      </c>
      <c r="V664" s="7" t="e">
        <f>IF(VLOOKUP($A664,'Concrete Beam Schedule'!$A$2:$Q$2902,V$2,0)&lt;&gt;F664,"Beam Revised","")</f>
        <v>#N/A</v>
      </c>
      <c r="W664" s="7" t="e">
        <f>IF(VLOOKUP($A664,'Concrete Beam Schedule'!$A$2:$Q$2902,W$2,0)&lt;&gt;G664,"Beam Revised","")</f>
        <v>#N/A</v>
      </c>
      <c r="X664" s="7" t="e">
        <f>IF(VLOOKUP($A664,'Concrete Beam Schedule'!$A$2:$Q$2902,X$2,0)&lt;&gt;H664,"Beam Revised","")</f>
        <v>#N/A</v>
      </c>
      <c r="Y664" s="7" t="e">
        <f>IF(VLOOKUP($A664,'Concrete Beam Schedule'!$A$2:$Q$2902,Y$2,0)&lt;&gt;I664,"Beam Revised","")</f>
        <v>#N/A</v>
      </c>
      <c r="Z664" s="7" t="e">
        <f>IF(VLOOKUP($A664,'Concrete Beam Schedule'!$A$2:$Q$2902,Z$2,0)&lt;&gt;J664,"Beam Revised","")</f>
        <v>#N/A</v>
      </c>
      <c r="AA664" s="7" t="e">
        <f>IF(VLOOKUP($A664,'Concrete Beam Schedule'!$A$2:$Q$2902,AA$2,0)&lt;&gt;K664,"Beam Revised","")</f>
        <v>#N/A</v>
      </c>
      <c r="AB664" s="7" t="e">
        <f>IF(VLOOKUP($A664,'Concrete Beam Schedule'!$A$2:$Q$2902,AB$2,0)&lt;&gt;L664,"Beam Revised","")</f>
        <v>#N/A</v>
      </c>
      <c r="AC664" s="7" t="e">
        <f>IF(VLOOKUP($A664,'Concrete Beam Schedule'!$A$2:$Q$2902,AC$2,0)&lt;&gt;M664,"Beam Revised","")</f>
        <v>#N/A</v>
      </c>
      <c r="AD664" s="7" t="e">
        <f>IF(VLOOKUP($A664,'Concrete Beam Schedule'!$A$2:$Q$2902,AD$2,0)&lt;&gt;N664,"Beam Revised","")</f>
        <v>#N/A</v>
      </c>
      <c r="AE664" s="7" t="e">
        <f>IF(VLOOKUP($A664,'Concrete Beam Schedule'!$A$2:$Q$2902,AE$2,0)&lt;&gt;O664,"Beam Revised","")</f>
        <v>#N/A</v>
      </c>
    </row>
    <row r="665" spans="17:31" ht="13.2" x14ac:dyDescent="0.25">
      <c r="Q665" s="7">
        <f t="shared" si="10"/>
        <v>0</v>
      </c>
      <c r="R665" s="7" t="e">
        <f>IF(VLOOKUP($A665,'Concrete Beam Schedule'!$A$2:$Q$2902,R$2,0)&lt;&gt;B665,VLOOKUP($A665,'Concrete Beam Schedule'!$A$2:$Q$2902,R$2,0),"")</f>
        <v>#N/A</v>
      </c>
      <c r="S665" s="7" t="e">
        <f>IF(VLOOKUP($A665,'Concrete Beam Schedule'!$A$2:$Q$2902,S$2,0)&lt;&gt;C665,VLOOKUP($A665,'Concrete Beam Schedule'!$A$2:$Q$2902,S$2,0),"")</f>
        <v>#N/A</v>
      </c>
      <c r="T665" s="7" t="e">
        <f>IF(VLOOKUP($A665,'Concrete Beam Schedule'!$A$2:$Q$2902,T$2,0)&lt;&gt;D665,"Beam Revised","")</f>
        <v>#N/A</v>
      </c>
      <c r="U665" s="7" t="e">
        <f>IF(VLOOKUP($A665,'Concrete Beam Schedule'!$A$2:$Q$2902,U$2,0)&lt;&gt;E665,"Beam Revised","")</f>
        <v>#N/A</v>
      </c>
      <c r="V665" s="7" t="e">
        <f>IF(VLOOKUP($A665,'Concrete Beam Schedule'!$A$2:$Q$2902,V$2,0)&lt;&gt;F665,"Beam Revised","")</f>
        <v>#N/A</v>
      </c>
      <c r="W665" s="7" t="e">
        <f>IF(VLOOKUP($A665,'Concrete Beam Schedule'!$A$2:$Q$2902,W$2,0)&lt;&gt;G665,"Beam Revised","")</f>
        <v>#N/A</v>
      </c>
      <c r="X665" s="7" t="e">
        <f>IF(VLOOKUP($A665,'Concrete Beam Schedule'!$A$2:$Q$2902,X$2,0)&lt;&gt;H665,"Beam Revised","")</f>
        <v>#N/A</v>
      </c>
      <c r="Y665" s="7" t="e">
        <f>IF(VLOOKUP($A665,'Concrete Beam Schedule'!$A$2:$Q$2902,Y$2,0)&lt;&gt;I665,"Beam Revised","")</f>
        <v>#N/A</v>
      </c>
      <c r="Z665" s="7" t="e">
        <f>IF(VLOOKUP($A665,'Concrete Beam Schedule'!$A$2:$Q$2902,Z$2,0)&lt;&gt;J665,"Beam Revised","")</f>
        <v>#N/A</v>
      </c>
      <c r="AA665" s="7" t="e">
        <f>IF(VLOOKUP($A665,'Concrete Beam Schedule'!$A$2:$Q$2902,AA$2,0)&lt;&gt;K665,"Beam Revised","")</f>
        <v>#N/A</v>
      </c>
      <c r="AB665" s="7" t="e">
        <f>IF(VLOOKUP($A665,'Concrete Beam Schedule'!$A$2:$Q$2902,AB$2,0)&lt;&gt;L665,"Beam Revised","")</f>
        <v>#N/A</v>
      </c>
      <c r="AC665" s="7" t="e">
        <f>IF(VLOOKUP($A665,'Concrete Beam Schedule'!$A$2:$Q$2902,AC$2,0)&lt;&gt;M665,"Beam Revised","")</f>
        <v>#N/A</v>
      </c>
      <c r="AD665" s="7" t="e">
        <f>IF(VLOOKUP($A665,'Concrete Beam Schedule'!$A$2:$Q$2902,AD$2,0)&lt;&gt;N665,"Beam Revised","")</f>
        <v>#N/A</v>
      </c>
      <c r="AE665" s="7" t="e">
        <f>IF(VLOOKUP($A665,'Concrete Beam Schedule'!$A$2:$Q$2902,AE$2,0)&lt;&gt;O665,"Beam Revised","")</f>
        <v>#N/A</v>
      </c>
    </row>
    <row r="666" spans="17:31" ht="13.2" x14ac:dyDescent="0.25">
      <c r="Q666" s="7">
        <f t="shared" si="10"/>
        <v>0</v>
      </c>
      <c r="R666" s="7" t="e">
        <f>IF(VLOOKUP($A666,'Concrete Beam Schedule'!$A$2:$Q$2902,R$2,0)&lt;&gt;B666,VLOOKUP($A666,'Concrete Beam Schedule'!$A$2:$Q$2902,R$2,0),"")</f>
        <v>#N/A</v>
      </c>
      <c r="S666" s="7" t="e">
        <f>IF(VLOOKUP($A666,'Concrete Beam Schedule'!$A$2:$Q$2902,S$2,0)&lt;&gt;C666,VLOOKUP($A666,'Concrete Beam Schedule'!$A$2:$Q$2902,S$2,0),"")</f>
        <v>#N/A</v>
      </c>
      <c r="T666" s="7" t="e">
        <f>IF(VLOOKUP($A666,'Concrete Beam Schedule'!$A$2:$Q$2902,T$2,0)&lt;&gt;D666,"Beam Revised","")</f>
        <v>#N/A</v>
      </c>
      <c r="U666" s="7" t="e">
        <f>IF(VLOOKUP($A666,'Concrete Beam Schedule'!$A$2:$Q$2902,U$2,0)&lt;&gt;E666,"Beam Revised","")</f>
        <v>#N/A</v>
      </c>
      <c r="V666" s="7" t="e">
        <f>IF(VLOOKUP($A666,'Concrete Beam Schedule'!$A$2:$Q$2902,V$2,0)&lt;&gt;F666,"Beam Revised","")</f>
        <v>#N/A</v>
      </c>
      <c r="W666" s="7" t="e">
        <f>IF(VLOOKUP($A666,'Concrete Beam Schedule'!$A$2:$Q$2902,W$2,0)&lt;&gt;G666,"Beam Revised","")</f>
        <v>#N/A</v>
      </c>
      <c r="X666" s="7" t="e">
        <f>IF(VLOOKUP($A666,'Concrete Beam Schedule'!$A$2:$Q$2902,X$2,0)&lt;&gt;H666,"Beam Revised","")</f>
        <v>#N/A</v>
      </c>
      <c r="Y666" s="7" t="e">
        <f>IF(VLOOKUP($A666,'Concrete Beam Schedule'!$A$2:$Q$2902,Y$2,0)&lt;&gt;I666,"Beam Revised","")</f>
        <v>#N/A</v>
      </c>
      <c r="Z666" s="7" t="e">
        <f>IF(VLOOKUP($A666,'Concrete Beam Schedule'!$A$2:$Q$2902,Z$2,0)&lt;&gt;J666,"Beam Revised","")</f>
        <v>#N/A</v>
      </c>
      <c r="AA666" s="7" t="e">
        <f>IF(VLOOKUP($A666,'Concrete Beam Schedule'!$A$2:$Q$2902,AA$2,0)&lt;&gt;K666,"Beam Revised","")</f>
        <v>#N/A</v>
      </c>
      <c r="AB666" s="7" t="e">
        <f>IF(VLOOKUP($A666,'Concrete Beam Schedule'!$A$2:$Q$2902,AB$2,0)&lt;&gt;L666,"Beam Revised","")</f>
        <v>#N/A</v>
      </c>
      <c r="AC666" s="7" t="e">
        <f>IF(VLOOKUP($A666,'Concrete Beam Schedule'!$A$2:$Q$2902,AC$2,0)&lt;&gt;M666,"Beam Revised","")</f>
        <v>#N/A</v>
      </c>
      <c r="AD666" s="7" t="e">
        <f>IF(VLOOKUP($A666,'Concrete Beam Schedule'!$A$2:$Q$2902,AD$2,0)&lt;&gt;N666,"Beam Revised","")</f>
        <v>#N/A</v>
      </c>
      <c r="AE666" s="7" t="e">
        <f>IF(VLOOKUP($A666,'Concrete Beam Schedule'!$A$2:$Q$2902,AE$2,0)&lt;&gt;O666,"Beam Revised","")</f>
        <v>#N/A</v>
      </c>
    </row>
    <row r="667" spans="17:31" ht="13.2" x14ac:dyDescent="0.25">
      <c r="Q667" s="7">
        <f t="shared" si="10"/>
        <v>0</v>
      </c>
      <c r="R667" s="7" t="e">
        <f>IF(VLOOKUP($A667,'Concrete Beam Schedule'!$A$2:$Q$2902,R$2,0)&lt;&gt;B667,VLOOKUP($A667,'Concrete Beam Schedule'!$A$2:$Q$2902,R$2,0),"")</f>
        <v>#N/A</v>
      </c>
      <c r="S667" s="7" t="e">
        <f>IF(VLOOKUP($A667,'Concrete Beam Schedule'!$A$2:$Q$2902,S$2,0)&lt;&gt;C667,VLOOKUP($A667,'Concrete Beam Schedule'!$A$2:$Q$2902,S$2,0),"")</f>
        <v>#N/A</v>
      </c>
      <c r="T667" s="7" t="e">
        <f>IF(VLOOKUP($A667,'Concrete Beam Schedule'!$A$2:$Q$2902,T$2,0)&lt;&gt;D667,"Beam Revised","")</f>
        <v>#N/A</v>
      </c>
      <c r="U667" s="7" t="e">
        <f>IF(VLOOKUP($A667,'Concrete Beam Schedule'!$A$2:$Q$2902,U$2,0)&lt;&gt;E667,"Beam Revised","")</f>
        <v>#N/A</v>
      </c>
      <c r="V667" s="7" t="e">
        <f>IF(VLOOKUP($A667,'Concrete Beam Schedule'!$A$2:$Q$2902,V$2,0)&lt;&gt;F667,"Beam Revised","")</f>
        <v>#N/A</v>
      </c>
      <c r="W667" s="7" t="e">
        <f>IF(VLOOKUP($A667,'Concrete Beam Schedule'!$A$2:$Q$2902,W$2,0)&lt;&gt;G667,"Beam Revised","")</f>
        <v>#N/A</v>
      </c>
      <c r="X667" s="7" t="e">
        <f>IF(VLOOKUP($A667,'Concrete Beam Schedule'!$A$2:$Q$2902,X$2,0)&lt;&gt;H667,"Beam Revised","")</f>
        <v>#N/A</v>
      </c>
      <c r="Y667" s="7" t="e">
        <f>IF(VLOOKUP($A667,'Concrete Beam Schedule'!$A$2:$Q$2902,Y$2,0)&lt;&gt;I667,"Beam Revised","")</f>
        <v>#N/A</v>
      </c>
      <c r="Z667" s="7" t="e">
        <f>IF(VLOOKUP($A667,'Concrete Beam Schedule'!$A$2:$Q$2902,Z$2,0)&lt;&gt;J667,"Beam Revised","")</f>
        <v>#N/A</v>
      </c>
      <c r="AA667" s="7" t="e">
        <f>IF(VLOOKUP($A667,'Concrete Beam Schedule'!$A$2:$Q$2902,AA$2,0)&lt;&gt;K667,"Beam Revised","")</f>
        <v>#N/A</v>
      </c>
      <c r="AB667" s="7" t="e">
        <f>IF(VLOOKUP($A667,'Concrete Beam Schedule'!$A$2:$Q$2902,AB$2,0)&lt;&gt;L667,"Beam Revised","")</f>
        <v>#N/A</v>
      </c>
      <c r="AC667" s="7" t="e">
        <f>IF(VLOOKUP($A667,'Concrete Beam Schedule'!$A$2:$Q$2902,AC$2,0)&lt;&gt;M667,"Beam Revised","")</f>
        <v>#N/A</v>
      </c>
      <c r="AD667" s="7" t="e">
        <f>IF(VLOOKUP($A667,'Concrete Beam Schedule'!$A$2:$Q$2902,AD$2,0)&lt;&gt;N667,"Beam Revised","")</f>
        <v>#N/A</v>
      </c>
      <c r="AE667" s="7" t="e">
        <f>IF(VLOOKUP($A667,'Concrete Beam Schedule'!$A$2:$Q$2902,AE$2,0)&lt;&gt;O667,"Beam Revised","")</f>
        <v>#N/A</v>
      </c>
    </row>
    <row r="668" spans="17:31" ht="13.2" x14ac:dyDescent="0.25">
      <c r="Q668" s="7">
        <f t="shared" si="10"/>
        <v>0</v>
      </c>
      <c r="R668" s="7" t="e">
        <f>IF(VLOOKUP($A668,'Concrete Beam Schedule'!$A$2:$Q$2902,R$2,0)&lt;&gt;B668,VLOOKUP($A668,'Concrete Beam Schedule'!$A$2:$Q$2902,R$2,0),"")</f>
        <v>#N/A</v>
      </c>
      <c r="S668" s="7" t="e">
        <f>IF(VLOOKUP($A668,'Concrete Beam Schedule'!$A$2:$Q$2902,S$2,0)&lt;&gt;C668,VLOOKUP($A668,'Concrete Beam Schedule'!$A$2:$Q$2902,S$2,0),"")</f>
        <v>#N/A</v>
      </c>
      <c r="T668" s="7" t="e">
        <f>IF(VLOOKUP($A668,'Concrete Beam Schedule'!$A$2:$Q$2902,T$2,0)&lt;&gt;D668,"Beam Revised","")</f>
        <v>#N/A</v>
      </c>
      <c r="U668" s="7" t="e">
        <f>IF(VLOOKUP($A668,'Concrete Beam Schedule'!$A$2:$Q$2902,U$2,0)&lt;&gt;E668,"Beam Revised","")</f>
        <v>#N/A</v>
      </c>
      <c r="V668" s="7" t="e">
        <f>IF(VLOOKUP($A668,'Concrete Beam Schedule'!$A$2:$Q$2902,V$2,0)&lt;&gt;F668,"Beam Revised","")</f>
        <v>#N/A</v>
      </c>
      <c r="W668" s="7" t="e">
        <f>IF(VLOOKUP($A668,'Concrete Beam Schedule'!$A$2:$Q$2902,W$2,0)&lt;&gt;G668,"Beam Revised","")</f>
        <v>#N/A</v>
      </c>
      <c r="X668" s="7" t="e">
        <f>IF(VLOOKUP($A668,'Concrete Beam Schedule'!$A$2:$Q$2902,X$2,0)&lt;&gt;H668,"Beam Revised","")</f>
        <v>#N/A</v>
      </c>
      <c r="Y668" s="7" t="e">
        <f>IF(VLOOKUP($A668,'Concrete Beam Schedule'!$A$2:$Q$2902,Y$2,0)&lt;&gt;I668,"Beam Revised","")</f>
        <v>#N/A</v>
      </c>
      <c r="Z668" s="7" t="e">
        <f>IF(VLOOKUP($A668,'Concrete Beam Schedule'!$A$2:$Q$2902,Z$2,0)&lt;&gt;J668,"Beam Revised","")</f>
        <v>#N/A</v>
      </c>
      <c r="AA668" s="7" t="e">
        <f>IF(VLOOKUP($A668,'Concrete Beam Schedule'!$A$2:$Q$2902,AA$2,0)&lt;&gt;K668,"Beam Revised","")</f>
        <v>#N/A</v>
      </c>
      <c r="AB668" s="7" t="e">
        <f>IF(VLOOKUP($A668,'Concrete Beam Schedule'!$A$2:$Q$2902,AB$2,0)&lt;&gt;L668,"Beam Revised","")</f>
        <v>#N/A</v>
      </c>
      <c r="AC668" s="7" t="e">
        <f>IF(VLOOKUP($A668,'Concrete Beam Schedule'!$A$2:$Q$2902,AC$2,0)&lt;&gt;M668,"Beam Revised","")</f>
        <v>#N/A</v>
      </c>
      <c r="AD668" s="7" t="e">
        <f>IF(VLOOKUP($A668,'Concrete Beam Schedule'!$A$2:$Q$2902,AD$2,0)&lt;&gt;N668,"Beam Revised","")</f>
        <v>#N/A</v>
      </c>
      <c r="AE668" s="7" t="e">
        <f>IF(VLOOKUP($A668,'Concrete Beam Schedule'!$A$2:$Q$2902,AE$2,0)&lt;&gt;O668,"Beam Revised","")</f>
        <v>#N/A</v>
      </c>
    </row>
    <row r="669" spans="17:31" ht="13.2" x14ac:dyDescent="0.25">
      <c r="Q669" s="7">
        <f t="shared" si="10"/>
        <v>0</v>
      </c>
      <c r="R669" s="7" t="e">
        <f>IF(VLOOKUP($A669,'Concrete Beam Schedule'!$A$2:$Q$2902,R$2,0)&lt;&gt;B669,VLOOKUP($A669,'Concrete Beam Schedule'!$A$2:$Q$2902,R$2,0),"")</f>
        <v>#N/A</v>
      </c>
      <c r="S669" s="7" t="e">
        <f>IF(VLOOKUP($A669,'Concrete Beam Schedule'!$A$2:$Q$2902,S$2,0)&lt;&gt;C669,VLOOKUP($A669,'Concrete Beam Schedule'!$A$2:$Q$2902,S$2,0),"")</f>
        <v>#N/A</v>
      </c>
      <c r="T669" s="7" t="e">
        <f>IF(VLOOKUP($A669,'Concrete Beam Schedule'!$A$2:$Q$2902,T$2,0)&lt;&gt;D669,"Beam Revised","")</f>
        <v>#N/A</v>
      </c>
      <c r="U669" s="7" t="e">
        <f>IF(VLOOKUP($A669,'Concrete Beam Schedule'!$A$2:$Q$2902,U$2,0)&lt;&gt;E669,"Beam Revised","")</f>
        <v>#N/A</v>
      </c>
      <c r="V669" s="7" t="e">
        <f>IF(VLOOKUP($A669,'Concrete Beam Schedule'!$A$2:$Q$2902,V$2,0)&lt;&gt;F669,"Beam Revised","")</f>
        <v>#N/A</v>
      </c>
      <c r="W669" s="7" t="e">
        <f>IF(VLOOKUP($A669,'Concrete Beam Schedule'!$A$2:$Q$2902,W$2,0)&lt;&gt;G669,"Beam Revised","")</f>
        <v>#N/A</v>
      </c>
      <c r="X669" s="7" t="e">
        <f>IF(VLOOKUP($A669,'Concrete Beam Schedule'!$A$2:$Q$2902,X$2,0)&lt;&gt;H669,"Beam Revised","")</f>
        <v>#N/A</v>
      </c>
      <c r="Y669" s="7" t="e">
        <f>IF(VLOOKUP($A669,'Concrete Beam Schedule'!$A$2:$Q$2902,Y$2,0)&lt;&gt;I669,"Beam Revised","")</f>
        <v>#N/A</v>
      </c>
      <c r="Z669" s="7" t="e">
        <f>IF(VLOOKUP($A669,'Concrete Beam Schedule'!$A$2:$Q$2902,Z$2,0)&lt;&gt;J669,"Beam Revised","")</f>
        <v>#N/A</v>
      </c>
      <c r="AA669" s="7" t="e">
        <f>IF(VLOOKUP($A669,'Concrete Beam Schedule'!$A$2:$Q$2902,AA$2,0)&lt;&gt;K669,"Beam Revised","")</f>
        <v>#N/A</v>
      </c>
      <c r="AB669" s="7" t="e">
        <f>IF(VLOOKUP($A669,'Concrete Beam Schedule'!$A$2:$Q$2902,AB$2,0)&lt;&gt;L669,"Beam Revised","")</f>
        <v>#N/A</v>
      </c>
      <c r="AC669" s="7" t="e">
        <f>IF(VLOOKUP($A669,'Concrete Beam Schedule'!$A$2:$Q$2902,AC$2,0)&lt;&gt;M669,"Beam Revised","")</f>
        <v>#N/A</v>
      </c>
      <c r="AD669" s="7" t="e">
        <f>IF(VLOOKUP($A669,'Concrete Beam Schedule'!$A$2:$Q$2902,AD$2,0)&lt;&gt;N669,"Beam Revised","")</f>
        <v>#N/A</v>
      </c>
      <c r="AE669" s="7" t="e">
        <f>IF(VLOOKUP($A669,'Concrete Beam Schedule'!$A$2:$Q$2902,AE$2,0)&lt;&gt;O669,"Beam Revised","")</f>
        <v>#N/A</v>
      </c>
    </row>
    <row r="670" spans="17:31" ht="13.2" x14ac:dyDescent="0.25">
      <c r="Q670" s="7">
        <f t="shared" si="10"/>
        <v>0</v>
      </c>
      <c r="R670" s="7" t="e">
        <f>IF(VLOOKUP($A670,'Concrete Beam Schedule'!$A$2:$Q$2902,R$2,0)&lt;&gt;B670,VLOOKUP($A670,'Concrete Beam Schedule'!$A$2:$Q$2902,R$2,0),"")</f>
        <v>#N/A</v>
      </c>
      <c r="S670" s="7" t="e">
        <f>IF(VLOOKUP($A670,'Concrete Beam Schedule'!$A$2:$Q$2902,S$2,0)&lt;&gt;C670,VLOOKUP($A670,'Concrete Beam Schedule'!$A$2:$Q$2902,S$2,0),"")</f>
        <v>#N/A</v>
      </c>
      <c r="T670" s="7" t="e">
        <f>IF(VLOOKUP($A670,'Concrete Beam Schedule'!$A$2:$Q$2902,T$2,0)&lt;&gt;D670,"Beam Revised","")</f>
        <v>#N/A</v>
      </c>
      <c r="U670" s="7" t="e">
        <f>IF(VLOOKUP($A670,'Concrete Beam Schedule'!$A$2:$Q$2902,U$2,0)&lt;&gt;E670,"Beam Revised","")</f>
        <v>#N/A</v>
      </c>
      <c r="V670" s="7" t="e">
        <f>IF(VLOOKUP($A670,'Concrete Beam Schedule'!$A$2:$Q$2902,V$2,0)&lt;&gt;F670,"Beam Revised","")</f>
        <v>#N/A</v>
      </c>
      <c r="W670" s="7" t="e">
        <f>IF(VLOOKUP($A670,'Concrete Beam Schedule'!$A$2:$Q$2902,W$2,0)&lt;&gt;G670,"Beam Revised","")</f>
        <v>#N/A</v>
      </c>
      <c r="X670" s="7" t="e">
        <f>IF(VLOOKUP($A670,'Concrete Beam Schedule'!$A$2:$Q$2902,X$2,0)&lt;&gt;H670,"Beam Revised","")</f>
        <v>#N/A</v>
      </c>
      <c r="Y670" s="7" t="e">
        <f>IF(VLOOKUP($A670,'Concrete Beam Schedule'!$A$2:$Q$2902,Y$2,0)&lt;&gt;I670,"Beam Revised","")</f>
        <v>#N/A</v>
      </c>
      <c r="Z670" s="7" t="e">
        <f>IF(VLOOKUP($A670,'Concrete Beam Schedule'!$A$2:$Q$2902,Z$2,0)&lt;&gt;J670,"Beam Revised","")</f>
        <v>#N/A</v>
      </c>
      <c r="AA670" s="7" t="e">
        <f>IF(VLOOKUP($A670,'Concrete Beam Schedule'!$A$2:$Q$2902,AA$2,0)&lt;&gt;K670,"Beam Revised","")</f>
        <v>#N/A</v>
      </c>
      <c r="AB670" s="7" t="e">
        <f>IF(VLOOKUP($A670,'Concrete Beam Schedule'!$A$2:$Q$2902,AB$2,0)&lt;&gt;L670,"Beam Revised","")</f>
        <v>#N/A</v>
      </c>
      <c r="AC670" s="7" t="e">
        <f>IF(VLOOKUP($A670,'Concrete Beam Schedule'!$A$2:$Q$2902,AC$2,0)&lt;&gt;M670,"Beam Revised","")</f>
        <v>#N/A</v>
      </c>
      <c r="AD670" s="7" t="e">
        <f>IF(VLOOKUP($A670,'Concrete Beam Schedule'!$A$2:$Q$2902,AD$2,0)&lt;&gt;N670,"Beam Revised","")</f>
        <v>#N/A</v>
      </c>
      <c r="AE670" s="7" t="e">
        <f>IF(VLOOKUP($A670,'Concrete Beam Schedule'!$A$2:$Q$2902,AE$2,0)&lt;&gt;O670,"Beam Revised","")</f>
        <v>#N/A</v>
      </c>
    </row>
    <row r="671" spans="17:31" ht="13.2" x14ac:dyDescent="0.25">
      <c r="Q671" s="7">
        <f t="shared" si="10"/>
        <v>0</v>
      </c>
      <c r="R671" s="7" t="e">
        <f>IF(VLOOKUP($A671,'Concrete Beam Schedule'!$A$2:$Q$2902,R$2,0)&lt;&gt;B671,VLOOKUP($A671,'Concrete Beam Schedule'!$A$2:$Q$2902,R$2,0),"")</f>
        <v>#N/A</v>
      </c>
      <c r="S671" s="7" t="e">
        <f>IF(VLOOKUP($A671,'Concrete Beam Schedule'!$A$2:$Q$2902,S$2,0)&lt;&gt;C671,VLOOKUP($A671,'Concrete Beam Schedule'!$A$2:$Q$2902,S$2,0),"")</f>
        <v>#N/A</v>
      </c>
      <c r="T671" s="7" t="e">
        <f>IF(VLOOKUP($A671,'Concrete Beam Schedule'!$A$2:$Q$2902,T$2,0)&lt;&gt;D671,"Beam Revised","")</f>
        <v>#N/A</v>
      </c>
      <c r="U671" s="7" t="e">
        <f>IF(VLOOKUP($A671,'Concrete Beam Schedule'!$A$2:$Q$2902,U$2,0)&lt;&gt;E671,"Beam Revised","")</f>
        <v>#N/A</v>
      </c>
      <c r="V671" s="7" t="e">
        <f>IF(VLOOKUP($A671,'Concrete Beam Schedule'!$A$2:$Q$2902,V$2,0)&lt;&gt;F671,"Beam Revised","")</f>
        <v>#N/A</v>
      </c>
      <c r="W671" s="7" t="e">
        <f>IF(VLOOKUP($A671,'Concrete Beam Schedule'!$A$2:$Q$2902,W$2,0)&lt;&gt;G671,"Beam Revised","")</f>
        <v>#N/A</v>
      </c>
      <c r="X671" s="7" t="e">
        <f>IF(VLOOKUP($A671,'Concrete Beam Schedule'!$A$2:$Q$2902,X$2,0)&lt;&gt;H671,"Beam Revised","")</f>
        <v>#N/A</v>
      </c>
      <c r="Y671" s="7" t="e">
        <f>IF(VLOOKUP($A671,'Concrete Beam Schedule'!$A$2:$Q$2902,Y$2,0)&lt;&gt;I671,"Beam Revised","")</f>
        <v>#N/A</v>
      </c>
      <c r="Z671" s="7" t="e">
        <f>IF(VLOOKUP($A671,'Concrete Beam Schedule'!$A$2:$Q$2902,Z$2,0)&lt;&gt;J671,"Beam Revised","")</f>
        <v>#N/A</v>
      </c>
      <c r="AA671" s="7" t="e">
        <f>IF(VLOOKUP($A671,'Concrete Beam Schedule'!$A$2:$Q$2902,AA$2,0)&lt;&gt;K671,"Beam Revised","")</f>
        <v>#N/A</v>
      </c>
      <c r="AB671" s="7" t="e">
        <f>IF(VLOOKUP($A671,'Concrete Beam Schedule'!$A$2:$Q$2902,AB$2,0)&lt;&gt;L671,"Beam Revised","")</f>
        <v>#N/A</v>
      </c>
      <c r="AC671" s="7" t="e">
        <f>IF(VLOOKUP($A671,'Concrete Beam Schedule'!$A$2:$Q$2902,AC$2,0)&lt;&gt;M671,"Beam Revised","")</f>
        <v>#N/A</v>
      </c>
      <c r="AD671" s="7" t="e">
        <f>IF(VLOOKUP($A671,'Concrete Beam Schedule'!$A$2:$Q$2902,AD$2,0)&lt;&gt;N671,"Beam Revised","")</f>
        <v>#N/A</v>
      </c>
      <c r="AE671" s="7" t="e">
        <f>IF(VLOOKUP($A671,'Concrete Beam Schedule'!$A$2:$Q$2902,AE$2,0)&lt;&gt;O671,"Beam Revised","")</f>
        <v>#N/A</v>
      </c>
    </row>
    <row r="672" spans="17:31" ht="13.2" x14ac:dyDescent="0.25">
      <c r="Q672" s="7">
        <f t="shared" si="10"/>
        <v>0</v>
      </c>
      <c r="R672" s="7" t="e">
        <f>IF(VLOOKUP($A672,'Concrete Beam Schedule'!$A$2:$Q$2902,R$2,0)&lt;&gt;B672,VLOOKUP($A672,'Concrete Beam Schedule'!$A$2:$Q$2902,R$2,0),"")</f>
        <v>#N/A</v>
      </c>
      <c r="S672" s="7" t="e">
        <f>IF(VLOOKUP($A672,'Concrete Beam Schedule'!$A$2:$Q$2902,S$2,0)&lt;&gt;C672,VLOOKUP($A672,'Concrete Beam Schedule'!$A$2:$Q$2902,S$2,0),"")</f>
        <v>#N/A</v>
      </c>
      <c r="T672" s="7" t="e">
        <f>IF(VLOOKUP($A672,'Concrete Beam Schedule'!$A$2:$Q$2902,T$2,0)&lt;&gt;D672,"Beam Revised","")</f>
        <v>#N/A</v>
      </c>
      <c r="U672" s="7" t="e">
        <f>IF(VLOOKUP($A672,'Concrete Beam Schedule'!$A$2:$Q$2902,U$2,0)&lt;&gt;E672,"Beam Revised","")</f>
        <v>#N/A</v>
      </c>
      <c r="V672" s="7" t="e">
        <f>IF(VLOOKUP($A672,'Concrete Beam Schedule'!$A$2:$Q$2902,V$2,0)&lt;&gt;F672,"Beam Revised","")</f>
        <v>#N/A</v>
      </c>
      <c r="W672" s="7" t="e">
        <f>IF(VLOOKUP($A672,'Concrete Beam Schedule'!$A$2:$Q$2902,W$2,0)&lt;&gt;G672,"Beam Revised","")</f>
        <v>#N/A</v>
      </c>
      <c r="X672" s="7" t="e">
        <f>IF(VLOOKUP($A672,'Concrete Beam Schedule'!$A$2:$Q$2902,X$2,0)&lt;&gt;H672,"Beam Revised","")</f>
        <v>#N/A</v>
      </c>
      <c r="Y672" s="7" t="e">
        <f>IF(VLOOKUP($A672,'Concrete Beam Schedule'!$A$2:$Q$2902,Y$2,0)&lt;&gt;I672,"Beam Revised","")</f>
        <v>#N/A</v>
      </c>
      <c r="Z672" s="7" t="e">
        <f>IF(VLOOKUP($A672,'Concrete Beam Schedule'!$A$2:$Q$2902,Z$2,0)&lt;&gt;J672,"Beam Revised","")</f>
        <v>#N/A</v>
      </c>
      <c r="AA672" s="7" t="e">
        <f>IF(VLOOKUP($A672,'Concrete Beam Schedule'!$A$2:$Q$2902,AA$2,0)&lt;&gt;K672,"Beam Revised","")</f>
        <v>#N/A</v>
      </c>
      <c r="AB672" s="7" t="e">
        <f>IF(VLOOKUP($A672,'Concrete Beam Schedule'!$A$2:$Q$2902,AB$2,0)&lt;&gt;L672,"Beam Revised","")</f>
        <v>#N/A</v>
      </c>
      <c r="AC672" s="7" t="e">
        <f>IF(VLOOKUP($A672,'Concrete Beam Schedule'!$A$2:$Q$2902,AC$2,0)&lt;&gt;M672,"Beam Revised","")</f>
        <v>#N/A</v>
      </c>
      <c r="AD672" s="7" t="e">
        <f>IF(VLOOKUP($A672,'Concrete Beam Schedule'!$A$2:$Q$2902,AD$2,0)&lt;&gt;N672,"Beam Revised","")</f>
        <v>#N/A</v>
      </c>
      <c r="AE672" s="7" t="e">
        <f>IF(VLOOKUP($A672,'Concrete Beam Schedule'!$A$2:$Q$2902,AE$2,0)&lt;&gt;O672,"Beam Revised","")</f>
        <v>#N/A</v>
      </c>
    </row>
    <row r="673" spans="17:31" ht="13.2" x14ac:dyDescent="0.25">
      <c r="Q673" s="7">
        <f t="shared" si="10"/>
        <v>0</v>
      </c>
      <c r="R673" s="7" t="e">
        <f>IF(VLOOKUP($A673,'Concrete Beam Schedule'!$A$2:$Q$2902,R$2,0)&lt;&gt;B673,VLOOKUP($A673,'Concrete Beam Schedule'!$A$2:$Q$2902,R$2,0),"")</f>
        <v>#N/A</v>
      </c>
      <c r="S673" s="7" t="e">
        <f>IF(VLOOKUP($A673,'Concrete Beam Schedule'!$A$2:$Q$2902,S$2,0)&lt;&gt;C673,VLOOKUP($A673,'Concrete Beam Schedule'!$A$2:$Q$2902,S$2,0),"")</f>
        <v>#N/A</v>
      </c>
      <c r="T673" s="7" t="e">
        <f>IF(VLOOKUP($A673,'Concrete Beam Schedule'!$A$2:$Q$2902,T$2,0)&lt;&gt;D673,"Beam Revised","")</f>
        <v>#N/A</v>
      </c>
      <c r="U673" s="7" t="e">
        <f>IF(VLOOKUP($A673,'Concrete Beam Schedule'!$A$2:$Q$2902,U$2,0)&lt;&gt;E673,"Beam Revised","")</f>
        <v>#N/A</v>
      </c>
      <c r="V673" s="7" t="e">
        <f>IF(VLOOKUP($A673,'Concrete Beam Schedule'!$A$2:$Q$2902,V$2,0)&lt;&gt;F673,"Beam Revised","")</f>
        <v>#N/A</v>
      </c>
      <c r="W673" s="7" t="e">
        <f>IF(VLOOKUP($A673,'Concrete Beam Schedule'!$A$2:$Q$2902,W$2,0)&lt;&gt;G673,"Beam Revised","")</f>
        <v>#N/A</v>
      </c>
      <c r="X673" s="7" t="e">
        <f>IF(VLOOKUP($A673,'Concrete Beam Schedule'!$A$2:$Q$2902,X$2,0)&lt;&gt;H673,"Beam Revised","")</f>
        <v>#N/A</v>
      </c>
      <c r="Y673" s="7" t="e">
        <f>IF(VLOOKUP($A673,'Concrete Beam Schedule'!$A$2:$Q$2902,Y$2,0)&lt;&gt;I673,"Beam Revised","")</f>
        <v>#N/A</v>
      </c>
      <c r="Z673" s="7" t="e">
        <f>IF(VLOOKUP($A673,'Concrete Beam Schedule'!$A$2:$Q$2902,Z$2,0)&lt;&gt;J673,"Beam Revised","")</f>
        <v>#N/A</v>
      </c>
      <c r="AA673" s="7" t="e">
        <f>IF(VLOOKUP($A673,'Concrete Beam Schedule'!$A$2:$Q$2902,AA$2,0)&lt;&gt;K673,"Beam Revised","")</f>
        <v>#N/A</v>
      </c>
      <c r="AB673" s="7" t="e">
        <f>IF(VLOOKUP($A673,'Concrete Beam Schedule'!$A$2:$Q$2902,AB$2,0)&lt;&gt;L673,"Beam Revised","")</f>
        <v>#N/A</v>
      </c>
      <c r="AC673" s="7" t="e">
        <f>IF(VLOOKUP($A673,'Concrete Beam Schedule'!$A$2:$Q$2902,AC$2,0)&lt;&gt;M673,"Beam Revised","")</f>
        <v>#N/A</v>
      </c>
      <c r="AD673" s="7" t="e">
        <f>IF(VLOOKUP($A673,'Concrete Beam Schedule'!$A$2:$Q$2902,AD$2,0)&lt;&gt;N673,"Beam Revised","")</f>
        <v>#N/A</v>
      </c>
      <c r="AE673" s="7" t="e">
        <f>IF(VLOOKUP($A673,'Concrete Beam Schedule'!$A$2:$Q$2902,AE$2,0)&lt;&gt;O673,"Beam Revised","")</f>
        <v>#N/A</v>
      </c>
    </row>
    <row r="674" spans="17:31" ht="13.2" x14ac:dyDescent="0.25">
      <c r="Q674" s="7">
        <f t="shared" si="10"/>
        <v>0</v>
      </c>
      <c r="R674" s="7" t="e">
        <f>IF(VLOOKUP($A674,'Concrete Beam Schedule'!$A$2:$Q$2902,R$2,0)&lt;&gt;B674,VLOOKUP($A674,'Concrete Beam Schedule'!$A$2:$Q$2902,R$2,0),"")</f>
        <v>#N/A</v>
      </c>
      <c r="S674" s="7" t="e">
        <f>IF(VLOOKUP($A674,'Concrete Beam Schedule'!$A$2:$Q$2902,S$2,0)&lt;&gt;C674,VLOOKUP($A674,'Concrete Beam Schedule'!$A$2:$Q$2902,S$2,0),"")</f>
        <v>#N/A</v>
      </c>
      <c r="T674" s="7" t="e">
        <f>IF(VLOOKUP($A674,'Concrete Beam Schedule'!$A$2:$Q$2902,T$2,0)&lt;&gt;D674,"Beam Revised","")</f>
        <v>#N/A</v>
      </c>
      <c r="U674" s="7" t="e">
        <f>IF(VLOOKUP($A674,'Concrete Beam Schedule'!$A$2:$Q$2902,U$2,0)&lt;&gt;E674,"Beam Revised","")</f>
        <v>#N/A</v>
      </c>
      <c r="V674" s="7" t="e">
        <f>IF(VLOOKUP($A674,'Concrete Beam Schedule'!$A$2:$Q$2902,V$2,0)&lt;&gt;F674,"Beam Revised","")</f>
        <v>#N/A</v>
      </c>
      <c r="W674" s="7" t="e">
        <f>IF(VLOOKUP($A674,'Concrete Beam Schedule'!$A$2:$Q$2902,W$2,0)&lt;&gt;G674,"Beam Revised","")</f>
        <v>#N/A</v>
      </c>
      <c r="X674" s="7" t="e">
        <f>IF(VLOOKUP($A674,'Concrete Beam Schedule'!$A$2:$Q$2902,X$2,0)&lt;&gt;H674,"Beam Revised","")</f>
        <v>#N/A</v>
      </c>
      <c r="Y674" s="7" t="e">
        <f>IF(VLOOKUP($A674,'Concrete Beam Schedule'!$A$2:$Q$2902,Y$2,0)&lt;&gt;I674,"Beam Revised","")</f>
        <v>#N/A</v>
      </c>
      <c r="Z674" s="7" t="e">
        <f>IF(VLOOKUP($A674,'Concrete Beam Schedule'!$A$2:$Q$2902,Z$2,0)&lt;&gt;J674,"Beam Revised","")</f>
        <v>#N/A</v>
      </c>
      <c r="AA674" s="7" t="e">
        <f>IF(VLOOKUP($A674,'Concrete Beam Schedule'!$A$2:$Q$2902,AA$2,0)&lt;&gt;K674,"Beam Revised","")</f>
        <v>#N/A</v>
      </c>
      <c r="AB674" s="7" t="e">
        <f>IF(VLOOKUP($A674,'Concrete Beam Schedule'!$A$2:$Q$2902,AB$2,0)&lt;&gt;L674,"Beam Revised","")</f>
        <v>#N/A</v>
      </c>
      <c r="AC674" s="7" t="e">
        <f>IF(VLOOKUP($A674,'Concrete Beam Schedule'!$A$2:$Q$2902,AC$2,0)&lt;&gt;M674,"Beam Revised","")</f>
        <v>#N/A</v>
      </c>
      <c r="AD674" s="7" t="e">
        <f>IF(VLOOKUP($A674,'Concrete Beam Schedule'!$A$2:$Q$2902,AD$2,0)&lt;&gt;N674,"Beam Revised","")</f>
        <v>#N/A</v>
      </c>
      <c r="AE674" s="7" t="e">
        <f>IF(VLOOKUP($A674,'Concrete Beam Schedule'!$A$2:$Q$2902,AE$2,0)&lt;&gt;O674,"Beam Revised","")</f>
        <v>#N/A</v>
      </c>
    </row>
    <row r="675" spans="17:31" ht="13.2" x14ac:dyDescent="0.25">
      <c r="Q675" s="7">
        <f t="shared" si="10"/>
        <v>0</v>
      </c>
      <c r="R675" s="7" t="e">
        <f>IF(VLOOKUP($A675,'Concrete Beam Schedule'!$A$2:$Q$2902,R$2,0)&lt;&gt;B675,VLOOKUP($A675,'Concrete Beam Schedule'!$A$2:$Q$2902,R$2,0),"")</f>
        <v>#N/A</v>
      </c>
      <c r="S675" s="7" t="e">
        <f>IF(VLOOKUP($A675,'Concrete Beam Schedule'!$A$2:$Q$2902,S$2,0)&lt;&gt;C675,VLOOKUP($A675,'Concrete Beam Schedule'!$A$2:$Q$2902,S$2,0),"")</f>
        <v>#N/A</v>
      </c>
      <c r="T675" s="7" t="e">
        <f>IF(VLOOKUP($A675,'Concrete Beam Schedule'!$A$2:$Q$2902,T$2,0)&lt;&gt;D675,"Beam Revised","")</f>
        <v>#N/A</v>
      </c>
      <c r="U675" s="7" t="e">
        <f>IF(VLOOKUP($A675,'Concrete Beam Schedule'!$A$2:$Q$2902,U$2,0)&lt;&gt;E675,"Beam Revised","")</f>
        <v>#N/A</v>
      </c>
      <c r="V675" s="7" t="e">
        <f>IF(VLOOKUP($A675,'Concrete Beam Schedule'!$A$2:$Q$2902,V$2,0)&lt;&gt;F675,"Beam Revised","")</f>
        <v>#N/A</v>
      </c>
      <c r="W675" s="7" t="e">
        <f>IF(VLOOKUP($A675,'Concrete Beam Schedule'!$A$2:$Q$2902,W$2,0)&lt;&gt;G675,"Beam Revised","")</f>
        <v>#N/A</v>
      </c>
      <c r="X675" s="7" t="e">
        <f>IF(VLOOKUP($A675,'Concrete Beam Schedule'!$A$2:$Q$2902,X$2,0)&lt;&gt;H675,"Beam Revised","")</f>
        <v>#N/A</v>
      </c>
      <c r="Y675" s="7" t="e">
        <f>IF(VLOOKUP($A675,'Concrete Beam Schedule'!$A$2:$Q$2902,Y$2,0)&lt;&gt;I675,"Beam Revised","")</f>
        <v>#N/A</v>
      </c>
      <c r="Z675" s="7" t="e">
        <f>IF(VLOOKUP($A675,'Concrete Beam Schedule'!$A$2:$Q$2902,Z$2,0)&lt;&gt;J675,"Beam Revised","")</f>
        <v>#N/A</v>
      </c>
      <c r="AA675" s="7" t="e">
        <f>IF(VLOOKUP($A675,'Concrete Beam Schedule'!$A$2:$Q$2902,AA$2,0)&lt;&gt;K675,"Beam Revised","")</f>
        <v>#N/A</v>
      </c>
      <c r="AB675" s="7" t="e">
        <f>IF(VLOOKUP($A675,'Concrete Beam Schedule'!$A$2:$Q$2902,AB$2,0)&lt;&gt;L675,"Beam Revised","")</f>
        <v>#N/A</v>
      </c>
      <c r="AC675" s="7" t="e">
        <f>IF(VLOOKUP($A675,'Concrete Beam Schedule'!$A$2:$Q$2902,AC$2,0)&lt;&gt;M675,"Beam Revised","")</f>
        <v>#N/A</v>
      </c>
      <c r="AD675" s="7" t="e">
        <f>IF(VLOOKUP($A675,'Concrete Beam Schedule'!$A$2:$Q$2902,AD$2,0)&lt;&gt;N675,"Beam Revised","")</f>
        <v>#N/A</v>
      </c>
      <c r="AE675" s="7" t="e">
        <f>IF(VLOOKUP($A675,'Concrete Beam Schedule'!$A$2:$Q$2902,AE$2,0)&lt;&gt;O675,"Beam Revised","")</f>
        <v>#N/A</v>
      </c>
    </row>
    <row r="676" spans="17:31" ht="13.2" x14ac:dyDescent="0.25">
      <c r="Q676" s="7">
        <f t="shared" si="10"/>
        <v>0</v>
      </c>
      <c r="R676" s="7" t="e">
        <f>IF(VLOOKUP($A676,'Concrete Beam Schedule'!$A$2:$Q$2902,R$2,0)&lt;&gt;B676,VLOOKUP($A676,'Concrete Beam Schedule'!$A$2:$Q$2902,R$2,0),"")</f>
        <v>#N/A</v>
      </c>
      <c r="S676" s="7" t="e">
        <f>IF(VLOOKUP($A676,'Concrete Beam Schedule'!$A$2:$Q$2902,S$2,0)&lt;&gt;C676,VLOOKUP($A676,'Concrete Beam Schedule'!$A$2:$Q$2902,S$2,0),"")</f>
        <v>#N/A</v>
      </c>
      <c r="T676" s="7" t="e">
        <f>IF(VLOOKUP($A676,'Concrete Beam Schedule'!$A$2:$Q$2902,T$2,0)&lt;&gt;D676,"Beam Revised","")</f>
        <v>#N/A</v>
      </c>
      <c r="U676" s="7" t="e">
        <f>IF(VLOOKUP($A676,'Concrete Beam Schedule'!$A$2:$Q$2902,U$2,0)&lt;&gt;E676,"Beam Revised","")</f>
        <v>#N/A</v>
      </c>
      <c r="V676" s="7" t="e">
        <f>IF(VLOOKUP($A676,'Concrete Beam Schedule'!$A$2:$Q$2902,V$2,0)&lt;&gt;F676,"Beam Revised","")</f>
        <v>#N/A</v>
      </c>
      <c r="W676" s="7" t="e">
        <f>IF(VLOOKUP($A676,'Concrete Beam Schedule'!$A$2:$Q$2902,W$2,0)&lt;&gt;G676,"Beam Revised","")</f>
        <v>#N/A</v>
      </c>
      <c r="X676" s="7" t="e">
        <f>IF(VLOOKUP($A676,'Concrete Beam Schedule'!$A$2:$Q$2902,X$2,0)&lt;&gt;H676,"Beam Revised","")</f>
        <v>#N/A</v>
      </c>
      <c r="Y676" s="7" t="e">
        <f>IF(VLOOKUP($A676,'Concrete Beam Schedule'!$A$2:$Q$2902,Y$2,0)&lt;&gt;I676,"Beam Revised","")</f>
        <v>#N/A</v>
      </c>
      <c r="Z676" s="7" t="e">
        <f>IF(VLOOKUP($A676,'Concrete Beam Schedule'!$A$2:$Q$2902,Z$2,0)&lt;&gt;J676,"Beam Revised","")</f>
        <v>#N/A</v>
      </c>
      <c r="AA676" s="7" t="e">
        <f>IF(VLOOKUP($A676,'Concrete Beam Schedule'!$A$2:$Q$2902,AA$2,0)&lt;&gt;K676,"Beam Revised","")</f>
        <v>#N/A</v>
      </c>
      <c r="AB676" s="7" t="e">
        <f>IF(VLOOKUP($A676,'Concrete Beam Schedule'!$A$2:$Q$2902,AB$2,0)&lt;&gt;L676,"Beam Revised","")</f>
        <v>#N/A</v>
      </c>
      <c r="AC676" s="7" t="e">
        <f>IF(VLOOKUP($A676,'Concrete Beam Schedule'!$A$2:$Q$2902,AC$2,0)&lt;&gt;M676,"Beam Revised","")</f>
        <v>#N/A</v>
      </c>
      <c r="AD676" s="7" t="e">
        <f>IF(VLOOKUP($A676,'Concrete Beam Schedule'!$A$2:$Q$2902,AD$2,0)&lt;&gt;N676,"Beam Revised","")</f>
        <v>#N/A</v>
      </c>
      <c r="AE676" s="7" t="e">
        <f>IF(VLOOKUP($A676,'Concrete Beam Schedule'!$A$2:$Q$2902,AE$2,0)&lt;&gt;O676,"Beam Revised","")</f>
        <v>#N/A</v>
      </c>
    </row>
    <row r="677" spans="17:31" ht="13.2" x14ac:dyDescent="0.25">
      <c r="Q677" s="7">
        <f t="shared" si="10"/>
        <v>0</v>
      </c>
      <c r="R677" s="7" t="e">
        <f>IF(VLOOKUP($A677,'Concrete Beam Schedule'!$A$2:$Q$2902,R$2,0)&lt;&gt;B677,VLOOKUP($A677,'Concrete Beam Schedule'!$A$2:$Q$2902,R$2,0),"")</f>
        <v>#N/A</v>
      </c>
      <c r="S677" s="7" t="e">
        <f>IF(VLOOKUP($A677,'Concrete Beam Schedule'!$A$2:$Q$2902,S$2,0)&lt;&gt;C677,VLOOKUP($A677,'Concrete Beam Schedule'!$A$2:$Q$2902,S$2,0),"")</f>
        <v>#N/A</v>
      </c>
      <c r="T677" s="7" t="e">
        <f>IF(VLOOKUP($A677,'Concrete Beam Schedule'!$A$2:$Q$2902,T$2,0)&lt;&gt;D677,"Beam Revised","")</f>
        <v>#N/A</v>
      </c>
      <c r="U677" s="7" t="e">
        <f>IF(VLOOKUP($A677,'Concrete Beam Schedule'!$A$2:$Q$2902,U$2,0)&lt;&gt;E677,"Beam Revised","")</f>
        <v>#N/A</v>
      </c>
      <c r="V677" s="7" t="e">
        <f>IF(VLOOKUP($A677,'Concrete Beam Schedule'!$A$2:$Q$2902,V$2,0)&lt;&gt;F677,"Beam Revised","")</f>
        <v>#N/A</v>
      </c>
      <c r="W677" s="7" t="e">
        <f>IF(VLOOKUP($A677,'Concrete Beam Schedule'!$A$2:$Q$2902,W$2,0)&lt;&gt;G677,"Beam Revised","")</f>
        <v>#N/A</v>
      </c>
      <c r="X677" s="7" t="e">
        <f>IF(VLOOKUP($A677,'Concrete Beam Schedule'!$A$2:$Q$2902,X$2,0)&lt;&gt;H677,"Beam Revised","")</f>
        <v>#N/A</v>
      </c>
      <c r="Y677" s="7" t="e">
        <f>IF(VLOOKUP($A677,'Concrete Beam Schedule'!$A$2:$Q$2902,Y$2,0)&lt;&gt;I677,"Beam Revised","")</f>
        <v>#N/A</v>
      </c>
      <c r="Z677" s="7" t="e">
        <f>IF(VLOOKUP($A677,'Concrete Beam Schedule'!$A$2:$Q$2902,Z$2,0)&lt;&gt;J677,"Beam Revised","")</f>
        <v>#N/A</v>
      </c>
      <c r="AA677" s="7" t="e">
        <f>IF(VLOOKUP($A677,'Concrete Beam Schedule'!$A$2:$Q$2902,AA$2,0)&lt;&gt;K677,"Beam Revised","")</f>
        <v>#N/A</v>
      </c>
      <c r="AB677" s="7" t="e">
        <f>IF(VLOOKUP($A677,'Concrete Beam Schedule'!$A$2:$Q$2902,AB$2,0)&lt;&gt;L677,"Beam Revised","")</f>
        <v>#N/A</v>
      </c>
      <c r="AC677" s="7" t="e">
        <f>IF(VLOOKUP($A677,'Concrete Beam Schedule'!$A$2:$Q$2902,AC$2,0)&lt;&gt;M677,"Beam Revised","")</f>
        <v>#N/A</v>
      </c>
      <c r="AD677" s="7" t="e">
        <f>IF(VLOOKUP($A677,'Concrete Beam Schedule'!$A$2:$Q$2902,AD$2,0)&lt;&gt;N677,"Beam Revised","")</f>
        <v>#N/A</v>
      </c>
      <c r="AE677" s="7" t="e">
        <f>IF(VLOOKUP($A677,'Concrete Beam Schedule'!$A$2:$Q$2902,AE$2,0)&lt;&gt;O677,"Beam Revised","")</f>
        <v>#N/A</v>
      </c>
    </row>
    <row r="678" spans="17:31" ht="13.2" x14ac:dyDescent="0.25">
      <c r="Q678" s="7">
        <f t="shared" si="10"/>
        <v>0</v>
      </c>
      <c r="R678" s="7" t="e">
        <f>IF(VLOOKUP($A678,'Concrete Beam Schedule'!$A$2:$Q$2902,R$2,0)&lt;&gt;B678,VLOOKUP($A678,'Concrete Beam Schedule'!$A$2:$Q$2902,R$2,0),"")</f>
        <v>#N/A</v>
      </c>
      <c r="S678" s="7" t="e">
        <f>IF(VLOOKUP($A678,'Concrete Beam Schedule'!$A$2:$Q$2902,S$2,0)&lt;&gt;C678,VLOOKUP($A678,'Concrete Beam Schedule'!$A$2:$Q$2902,S$2,0),"")</f>
        <v>#N/A</v>
      </c>
      <c r="T678" s="7" t="e">
        <f>IF(VLOOKUP($A678,'Concrete Beam Schedule'!$A$2:$Q$2902,T$2,0)&lt;&gt;D678,"Beam Revised","")</f>
        <v>#N/A</v>
      </c>
      <c r="U678" s="7" t="e">
        <f>IF(VLOOKUP($A678,'Concrete Beam Schedule'!$A$2:$Q$2902,U$2,0)&lt;&gt;E678,"Beam Revised","")</f>
        <v>#N/A</v>
      </c>
      <c r="V678" s="7" t="e">
        <f>IF(VLOOKUP($A678,'Concrete Beam Schedule'!$A$2:$Q$2902,V$2,0)&lt;&gt;F678,"Beam Revised","")</f>
        <v>#N/A</v>
      </c>
      <c r="W678" s="7" t="e">
        <f>IF(VLOOKUP($A678,'Concrete Beam Schedule'!$A$2:$Q$2902,W$2,0)&lt;&gt;G678,"Beam Revised","")</f>
        <v>#N/A</v>
      </c>
      <c r="X678" s="7" t="e">
        <f>IF(VLOOKUP($A678,'Concrete Beam Schedule'!$A$2:$Q$2902,X$2,0)&lt;&gt;H678,"Beam Revised","")</f>
        <v>#N/A</v>
      </c>
      <c r="Y678" s="7" t="e">
        <f>IF(VLOOKUP($A678,'Concrete Beam Schedule'!$A$2:$Q$2902,Y$2,0)&lt;&gt;I678,"Beam Revised","")</f>
        <v>#N/A</v>
      </c>
      <c r="Z678" s="7" t="e">
        <f>IF(VLOOKUP($A678,'Concrete Beam Schedule'!$A$2:$Q$2902,Z$2,0)&lt;&gt;J678,"Beam Revised","")</f>
        <v>#N/A</v>
      </c>
      <c r="AA678" s="7" t="e">
        <f>IF(VLOOKUP($A678,'Concrete Beam Schedule'!$A$2:$Q$2902,AA$2,0)&lt;&gt;K678,"Beam Revised","")</f>
        <v>#N/A</v>
      </c>
      <c r="AB678" s="7" t="e">
        <f>IF(VLOOKUP($A678,'Concrete Beam Schedule'!$A$2:$Q$2902,AB$2,0)&lt;&gt;L678,"Beam Revised","")</f>
        <v>#N/A</v>
      </c>
      <c r="AC678" s="7" t="e">
        <f>IF(VLOOKUP($A678,'Concrete Beam Schedule'!$A$2:$Q$2902,AC$2,0)&lt;&gt;M678,"Beam Revised","")</f>
        <v>#N/A</v>
      </c>
      <c r="AD678" s="7" t="e">
        <f>IF(VLOOKUP($A678,'Concrete Beam Schedule'!$A$2:$Q$2902,AD$2,0)&lt;&gt;N678,"Beam Revised","")</f>
        <v>#N/A</v>
      </c>
      <c r="AE678" s="7" t="e">
        <f>IF(VLOOKUP($A678,'Concrete Beam Schedule'!$A$2:$Q$2902,AE$2,0)&lt;&gt;O678,"Beam Revised","")</f>
        <v>#N/A</v>
      </c>
    </row>
    <row r="679" spans="17:31" ht="13.2" x14ac:dyDescent="0.25">
      <c r="Q679" s="7">
        <f t="shared" si="10"/>
        <v>0</v>
      </c>
      <c r="R679" s="7" t="e">
        <f>IF(VLOOKUP($A679,'Concrete Beam Schedule'!$A$2:$Q$2902,R$2,0)&lt;&gt;B679,VLOOKUP($A679,'Concrete Beam Schedule'!$A$2:$Q$2902,R$2,0),"")</f>
        <v>#N/A</v>
      </c>
      <c r="S679" s="7" t="e">
        <f>IF(VLOOKUP($A679,'Concrete Beam Schedule'!$A$2:$Q$2902,S$2,0)&lt;&gt;C679,VLOOKUP($A679,'Concrete Beam Schedule'!$A$2:$Q$2902,S$2,0),"")</f>
        <v>#N/A</v>
      </c>
      <c r="T679" s="7" t="e">
        <f>IF(VLOOKUP($A679,'Concrete Beam Schedule'!$A$2:$Q$2902,T$2,0)&lt;&gt;D679,"Beam Revised","")</f>
        <v>#N/A</v>
      </c>
      <c r="U679" s="7" t="e">
        <f>IF(VLOOKUP($A679,'Concrete Beam Schedule'!$A$2:$Q$2902,U$2,0)&lt;&gt;E679,"Beam Revised","")</f>
        <v>#N/A</v>
      </c>
      <c r="V679" s="7" t="e">
        <f>IF(VLOOKUP($A679,'Concrete Beam Schedule'!$A$2:$Q$2902,V$2,0)&lt;&gt;F679,"Beam Revised","")</f>
        <v>#N/A</v>
      </c>
      <c r="W679" s="7" t="e">
        <f>IF(VLOOKUP($A679,'Concrete Beam Schedule'!$A$2:$Q$2902,W$2,0)&lt;&gt;G679,"Beam Revised","")</f>
        <v>#N/A</v>
      </c>
      <c r="X679" s="7" t="e">
        <f>IF(VLOOKUP($A679,'Concrete Beam Schedule'!$A$2:$Q$2902,X$2,0)&lt;&gt;H679,"Beam Revised","")</f>
        <v>#N/A</v>
      </c>
      <c r="Y679" s="7" t="e">
        <f>IF(VLOOKUP($A679,'Concrete Beam Schedule'!$A$2:$Q$2902,Y$2,0)&lt;&gt;I679,"Beam Revised","")</f>
        <v>#N/A</v>
      </c>
      <c r="Z679" s="7" t="e">
        <f>IF(VLOOKUP($A679,'Concrete Beam Schedule'!$A$2:$Q$2902,Z$2,0)&lt;&gt;J679,"Beam Revised","")</f>
        <v>#N/A</v>
      </c>
      <c r="AA679" s="7" t="e">
        <f>IF(VLOOKUP($A679,'Concrete Beam Schedule'!$A$2:$Q$2902,AA$2,0)&lt;&gt;K679,"Beam Revised","")</f>
        <v>#N/A</v>
      </c>
      <c r="AB679" s="7" t="e">
        <f>IF(VLOOKUP($A679,'Concrete Beam Schedule'!$A$2:$Q$2902,AB$2,0)&lt;&gt;L679,"Beam Revised","")</f>
        <v>#N/A</v>
      </c>
      <c r="AC679" s="7" t="e">
        <f>IF(VLOOKUP($A679,'Concrete Beam Schedule'!$A$2:$Q$2902,AC$2,0)&lt;&gt;M679,"Beam Revised","")</f>
        <v>#N/A</v>
      </c>
      <c r="AD679" s="7" t="e">
        <f>IF(VLOOKUP($A679,'Concrete Beam Schedule'!$A$2:$Q$2902,AD$2,0)&lt;&gt;N679,"Beam Revised","")</f>
        <v>#N/A</v>
      </c>
      <c r="AE679" s="7" t="e">
        <f>IF(VLOOKUP($A679,'Concrete Beam Schedule'!$A$2:$Q$2902,AE$2,0)&lt;&gt;O679,"Beam Revised","")</f>
        <v>#N/A</v>
      </c>
    </row>
    <row r="680" spans="17:31" ht="13.2" x14ac:dyDescent="0.25">
      <c r="Q680" s="7">
        <f t="shared" si="10"/>
        <v>0</v>
      </c>
      <c r="R680" s="7" t="e">
        <f>IF(VLOOKUP($A680,'Concrete Beam Schedule'!$A$2:$Q$2902,R$2,0)&lt;&gt;B680,VLOOKUP($A680,'Concrete Beam Schedule'!$A$2:$Q$2902,R$2,0),"")</f>
        <v>#N/A</v>
      </c>
      <c r="S680" s="7" t="e">
        <f>IF(VLOOKUP($A680,'Concrete Beam Schedule'!$A$2:$Q$2902,S$2,0)&lt;&gt;C680,VLOOKUP($A680,'Concrete Beam Schedule'!$A$2:$Q$2902,S$2,0),"")</f>
        <v>#N/A</v>
      </c>
      <c r="T680" s="7" t="e">
        <f>IF(VLOOKUP($A680,'Concrete Beam Schedule'!$A$2:$Q$2902,T$2,0)&lt;&gt;D680,"Beam Revised","")</f>
        <v>#N/A</v>
      </c>
      <c r="U680" s="7" t="e">
        <f>IF(VLOOKUP($A680,'Concrete Beam Schedule'!$A$2:$Q$2902,U$2,0)&lt;&gt;E680,"Beam Revised","")</f>
        <v>#N/A</v>
      </c>
      <c r="V680" s="7" t="e">
        <f>IF(VLOOKUP($A680,'Concrete Beam Schedule'!$A$2:$Q$2902,V$2,0)&lt;&gt;F680,"Beam Revised","")</f>
        <v>#N/A</v>
      </c>
      <c r="W680" s="7" t="e">
        <f>IF(VLOOKUP($A680,'Concrete Beam Schedule'!$A$2:$Q$2902,W$2,0)&lt;&gt;G680,"Beam Revised","")</f>
        <v>#N/A</v>
      </c>
      <c r="X680" s="7" t="e">
        <f>IF(VLOOKUP($A680,'Concrete Beam Schedule'!$A$2:$Q$2902,X$2,0)&lt;&gt;H680,"Beam Revised","")</f>
        <v>#N/A</v>
      </c>
      <c r="Y680" s="7" t="e">
        <f>IF(VLOOKUP($A680,'Concrete Beam Schedule'!$A$2:$Q$2902,Y$2,0)&lt;&gt;I680,"Beam Revised","")</f>
        <v>#N/A</v>
      </c>
      <c r="Z680" s="7" t="e">
        <f>IF(VLOOKUP($A680,'Concrete Beam Schedule'!$A$2:$Q$2902,Z$2,0)&lt;&gt;J680,"Beam Revised","")</f>
        <v>#N/A</v>
      </c>
      <c r="AA680" s="7" t="e">
        <f>IF(VLOOKUP($A680,'Concrete Beam Schedule'!$A$2:$Q$2902,AA$2,0)&lt;&gt;K680,"Beam Revised","")</f>
        <v>#N/A</v>
      </c>
      <c r="AB680" s="7" t="e">
        <f>IF(VLOOKUP($A680,'Concrete Beam Schedule'!$A$2:$Q$2902,AB$2,0)&lt;&gt;L680,"Beam Revised","")</f>
        <v>#N/A</v>
      </c>
      <c r="AC680" s="7" t="e">
        <f>IF(VLOOKUP($A680,'Concrete Beam Schedule'!$A$2:$Q$2902,AC$2,0)&lt;&gt;M680,"Beam Revised","")</f>
        <v>#N/A</v>
      </c>
      <c r="AD680" s="7" t="e">
        <f>IF(VLOOKUP($A680,'Concrete Beam Schedule'!$A$2:$Q$2902,AD$2,0)&lt;&gt;N680,"Beam Revised","")</f>
        <v>#N/A</v>
      </c>
      <c r="AE680" s="7" t="e">
        <f>IF(VLOOKUP($A680,'Concrete Beam Schedule'!$A$2:$Q$2902,AE$2,0)&lt;&gt;O680,"Beam Revised","")</f>
        <v>#N/A</v>
      </c>
    </row>
    <row r="681" spans="17:31" ht="13.2" x14ac:dyDescent="0.25">
      <c r="Q681" s="7">
        <f t="shared" si="10"/>
        <v>0</v>
      </c>
      <c r="R681" s="7" t="e">
        <f>IF(VLOOKUP($A681,'Concrete Beam Schedule'!$A$2:$Q$2902,R$2,0)&lt;&gt;B681,VLOOKUP($A681,'Concrete Beam Schedule'!$A$2:$Q$2902,R$2,0),"")</f>
        <v>#N/A</v>
      </c>
      <c r="S681" s="7" t="e">
        <f>IF(VLOOKUP($A681,'Concrete Beam Schedule'!$A$2:$Q$2902,S$2,0)&lt;&gt;C681,VLOOKUP($A681,'Concrete Beam Schedule'!$A$2:$Q$2902,S$2,0),"")</f>
        <v>#N/A</v>
      </c>
      <c r="T681" s="7" t="e">
        <f>IF(VLOOKUP($A681,'Concrete Beam Schedule'!$A$2:$Q$2902,T$2,0)&lt;&gt;D681,"Beam Revised","")</f>
        <v>#N/A</v>
      </c>
      <c r="U681" s="7" t="e">
        <f>IF(VLOOKUP($A681,'Concrete Beam Schedule'!$A$2:$Q$2902,U$2,0)&lt;&gt;E681,"Beam Revised","")</f>
        <v>#N/A</v>
      </c>
      <c r="V681" s="7" t="e">
        <f>IF(VLOOKUP($A681,'Concrete Beam Schedule'!$A$2:$Q$2902,V$2,0)&lt;&gt;F681,"Beam Revised","")</f>
        <v>#N/A</v>
      </c>
      <c r="W681" s="7" t="e">
        <f>IF(VLOOKUP($A681,'Concrete Beam Schedule'!$A$2:$Q$2902,W$2,0)&lt;&gt;G681,"Beam Revised","")</f>
        <v>#N/A</v>
      </c>
      <c r="X681" s="7" t="e">
        <f>IF(VLOOKUP($A681,'Concrete Beam Schedule'!$A$2:$Q$2902,X$2,0)&lt;&gt;H681,"Beam Revised","")</f>
        <v>#N/A</v>
      </c>
      <c r="Y681" s="7" t="e">
        <f>IF(VLOOKUP($A681,'Concrete Beam Schedule'!$A$2:$Q$2902,Y$2,0)&lt;&gt;I681,"Beam Revised","")</f>
        <v>#N/A</v>
      </c>
      <c r="Z681" s="7" t="e">
        <f>IF(VLOOKUP($A681,'Concrete Beam Schedule'!$A$2:$Q$2902,Z$2,0)&lt;&gt;J681,"Beam Revised","")</f>
        <v>#N/A</v>
      </c>
      <c r="AA681" s="7" t="e">
        <f>IF(VLOOKUP($A681,'Concrete Beam Schedule'!$A$2:$Q$2902,AA$2,0)&lt;&gt;K681,"Beam Revised","")</f>
        <v>#N/A</v>
      </c>
      <c r="AB681" s="7" t="e">
        <f>IF(VLOOKUP($A681,'Concrete Beam Schedule'!$A$2:$Q$2902,AB$2,0)&lt;&gt;L681,"Beam Revised","")</f>
        <v>#N/A</v>
      </c>
      <c r="AC681" s="7" t="e">
        <f>IF(VLOOKUP($A681,'Concrete Beam Schedule'!$A$2:$Q$2902,AC$2,0)&lt;&gt;M681,"Beam Revised","")</f>
        <v>#N/A</v>
      </c>
      <c r="AD681" s="7" t="e">
        <f>IF(VLOOKUP($A681,'Concrete Beam Schedule'!$A$2:$Q$2902,AD$2,0)&lt;&gt;N681,"Beam Revised","")</f>
        <v>#N/A</v>
      </c>
      <c r="AE681" s="7" t="e">
        <f>IF(VLOOKUP($A681,'Concrete Beam Schedule'!$A$2:$Q$2902,AE$2,0)&lt;&gt;O681,"Beam Revised","")</f>
        <v>#N/A</v>
      </c>
    </row>
    <row r="682" spans="17:31" ht="13.2" x14ac:dyDescent="0.25">
      <c r="Q682" s="7">
        <f t="shared" si="10"/>
        <v>0</v>
      </c>
      <c r="R682" s="7" t="e">
        <f>IF(VLOOKUP($A682,'Concrete Beam Schedule'!$A$2:$Q$2902,R$2,0)&lt;&gt;B682,VLOOKUP($A682,'Concrete Beam Schedule'!$A$2:$Q$2902,R$2,0),"")</f>
        <v>#N/A</v>
      </c>
      <c r="S682" s="7" t="e">
        <f>IF(VLOOKUP($A682,'Concrete Beam Schedule'!$A$2:$Q$2902,S$2,0)&lt;&gt;C682,VLOOKUP($A682,'Concrete Beam Schedule'!$A$2:$Q$2902,S$2,0),"")</f>
        <v>#N/A</v>
      </c>
      <c r="T682" s="7" t="e">
        <f>IF(VLOOKUP($A682,'Concrete Beam Schedule'!$A$2:$Q$2902,T$2,0)&lt;&gt;D682,"Beam Revised","")</f>
        <v>#N/A</v>
      </c>
      <c r="U682" s="7" t="e">
        <f>IF(VLOOKUP($A682,'Concrete Beam Schedule'!$A$2:$Q$2902,U$2,0)&lt;&gt;E682,"Beam Revised","")</f>
        <v>#N/A</v>
      </c>
      <c r="V682" s="7" t="e">
        <f>IF(VLOOKUP($A682,'Concrete Beam Schedule'!$A$2:$Q$2902,V$2,0)&lt;&gt;F682,"Beam Revised","")</f>
        <v>#N/A</v>
      </c>
      <c r="W682" s="7" t="e">
        <f>IF(VLOOKUP($A682,'Concrete Beam Schedule'!$A$2:$Q$2902,W$2,0)&lt;&gt;G682,"Beam Revised","")</f>
        <v>#N/A</v>
      </c>
      <c r="X682" s="7" t="e">
        <f>IF(VLOOKUP($A682,'Concrete Beam Schedule'!$A$2:$Q$2902,X$2,0)&lt;&gt;H682,"Beam Revised","")</f>
        <v>#N/A</v>
      </c>
      <c r="Y682" s="7" t="e">
        <f>IF(VLOOKUP($A682,'Concrete Beam Schedule'!$A$2:$Q$2902,Y$2,0)&lt;&gt;I682,"Beam Revised","")</f>
        <v>#N/A</v>
      </c>
      <c r="Z682" s="7" t="e">
        <f>IF(VLOOKUP($A682,'Concrete Beam Schedule'!$A$2:$Q$2902,Z$2,0)&lt;&gt;J682,"Beam Revised","")</f>
        <v>#N/A</v>
      </c>
      <c r="AA682" s="7" t="e">
        <f>IF(VLOOKUP($A682,'Concrete Beam Schedule'!$A$2:$Q$2902,AA$2,0)&lt;&gt;K682,"Beam Revised","")</f>
        <v>#N/A</v>
      </c>
      <c r="AB682" s="7" t="e">
        <f>IF(VLOOKUP($A682,'Concrete Beam Schedule'!$A$2:$Q$2902,AB$2,0)&lt;&gt;L682,"Beam Revised","")</f>
        <v>#N/A</v>
      </c>
      <c r="AC682" s="7" t="e">
        <f>IF(VLOOKUP($A682,'Concrete Beam Schedule'!$A$2:$Q$2902,AC$2,0)&lt;&gt;M682,"Beam Revised","")</f>
        <v>#N/A</v>
      </c>
      <c r="AD682" s="7" t="e">
        <f>IF(VLOOKUP($A682,'Concrete Beam Schedule'!$A$2:$Q$2902,AD$2,0)&lt;&gt;N682,"Beam Revised","")</f>
        <v>#N/A</v>
      </c>
      <c r="AE682" s="7" t="e">
        <f>IF(VLOOKUP($A682,'Concrete Beam Schedule'!$A$2:$Q$2902,AE$2,0)&lt;&gt;O682,"Beam Revised","")</f>
        <v>#N/A</v>
      </c>
    </row>
    <row r="683" spans="17:31" ht="13.2" x14ac:dyDescent="0.25">
      <c r="Q683" s="7">
        <f t="shared" si="10"/>
        <v>0</v>
      </c>
      <c r="R683" s="7" t="e">
        <f>IF(VLOOKUP($A683,'Concrete Beam Schedule'!$A$2:$Q$2902,R$2,0)&lt;&gt;B683,VLOOKUP($A683,'Concrete Beam Schedule'!$A$2:$Q$2902,R$2,0),"")</f>
        <v>#N/A</v>
      </c>
      <c r="S683" s="7" t="e">
        <f>IF(VLOOKUP($A683,'Concrete Beam Schedule'!$A$2:$Q$2902,S$2,0)&lt;&gt;C683,VLOOKUP($A683,'Concrete Beam Schedule'!$A$2:$Q$2902,S$2,0),"")</f>
        <v>#N/A</v>
      </c>
      <c r="T683" s="7" t="e">
        <f>IF(VLOOKUP($A683,'Concrete Beam Schedule'!$A$2:$Q$2902,T$2,0)&lt;&gt;D683,"Beam Revised","")</f>
        <v>#N/A</v>
      </c>
      <c r="U683" s="7" t="e">
        <f>IF(VLOOKUP($A683,'Concrete Beam Schedule'!$A$2:$Q$2902,U$2,0)&lt;&gt;E683,"Beam Revised","")</f>
        <v>#N/A</v>
      </c>
      <c r="V683" s="7" t="e">
        <f>IF(VLOOKUP($A683,'Concrete Beam Schedule'!$A$2:$Q$2902,V$2,0)&lt;&gt;F683,"Beam Revised","")</f>
        <v>#N/A</v>
      </c>
      <c r="W683" s="7" t="e">
        <f>IF(VLOOKUP($A683,'Concrete Beam Schedule'!$A$2:$Q$2902,W$2,0)&lt;&gt;G683,"Beam Revised","")</f>
        <v>#N/A</v>
      </c>
      <c r="X683" s="7" t="e">
        <f>IF(VLOOKUP($A683,'Concrete Beam Schedule'!$A$2:$Q$2902,X$2,0)&lt;&gt;H683,"Beam Revised","")</f>
        <v>#N/A</v>
      </c>
      <c r="Y683" s="7" t="e">
        <f>IF(VLOOKUP($A683,'Concrete Beam Schedule'!$A$2:$Q$2902,Y$2,0)&lt;&gt;I683,"Beam Revised","")</f>
        <v>#N/A</v>
      </c>
      <c r="Z683" s="7" t="e">
        <f>IF(VLOOKUP($A683,'Concrete Beam Schedule'!$A$2:$Q$2902,Z$2,0)&lt;&gt;J683,"Beam Revised","")</f>
        <v>#N/A</v>
      </c>
      <c r="AA683" s="7" t="e">
        <f>IF(VLOOKUP($A683,'Concrete Beam Schedule'!$A$2:$Q$2902,AA$2,0)&lt;&gt;K683,"Beam Revised","")</f>
        <v>#N/A</v>
      </c>
      <c r="AB683" s="7" t="e">
        <f>IF(VLOOKUP($A683,'Concrete Beam Schedule'!$A$2:$Q$2902,AB$2,0)&lt;&gt;L683,"Beam Revised","")</f>
        <v>#N/A</v>
      </c>
      <c r="AC683" s="7" t="e">
        <f>IF(VLOOKUP($A683,'Concrete Beam Schedule'!$A$2:$Q$2902,AC$2,0)&lt;&gt;M683,"Beam Revised","")</f>
        <v>#N/A</v>
      </c>
      <c r="AD683" s="7" t="e">
        <f>IF(VLOOKUP($A683,'Concrete Beam Schedule'!$A$2:$Q$2902,AD$2,0)&lt;&gt;N683,"Beam Revised","")</f>
        <v>#N/A</v>
      </c>
      <c r="AE683" s="7" t="e">
        <f>IF(VLOOKUP($A683,'Concrete Beam Schedule'!$A$2:$Q$2902,AE$2,0)&lt;&gt;O683,"Beam Revised","")</f>
        <v>#N/A</v>
      </c>
    </row>
    <row r="684" spans="17:31" ht="13.2" x14ac:dyDescent="0.25">
      <c r="Q684" s="7">
        <f t="shared" si="10"/>
        <v>0</v>
      </c>
      <c r="R684" s="7" t="e">
        <f>IF(VLOOKUP($A684,'Concrete Beam Schedule'!$A$2:$Q$2902,R$2,0)&lt;&gt;B684,VLOOKUP($A684,'Concrete Beam Schedule'!$A$2:$Q$2902,R$2,0),"")</f>
        <v>#N/A</v>
      </c>
      <c r="S684" s="7" t="e">
        <f>IF(VLOOKUP($A684,'Concrete Beam Schedule'!$A$2:$Q$2902,S$2,0)&lt;&gt;C684,VLOOKUP($A684,'Concrete Beam Schedule'!$A$2:$Q$2902,S$2,0),"")</f>
        <v>#N/A</v>
      </c>
      <c r="T684" s="7" t="e">
        <f>IF(VLOOKUP($A684,'Concrete Beam Schedule'!$A$2:$Q$2902,T$2,0)&lt;&gt;D684,"Beam Revised","")</f>
        <v>#N/A</v>
      </c>
      <c r="U684" s="7" t="e">
        <f>IF(VLOOKUP($A684,'Concrete Beam Schedule'!$A$2:$Q$2902,U$2,0)&lt;&gt;E684,"Beam Revised","")</f>
        <v>#N/A</v>
      </c>
      <c r="V684" s="7" t="e">
        <f>IF(VLOOKUP($A684,'Concrete Beam Schedule'!$A$2:$Q$2902,V$2,0)&lt;&gt;F684,"Beam Revised","")</f>
        <v>#N/A</v>
      </c>
      <c r="W684" s="7" t="e">
        <f>IF(VLOOKUP($A684,'Concrete Beam Schedule'!$A$2:$Q$2902,W$2,0)&lt;&gt;G684,"Beam Revised","")</f>
        <v>#N/A</v>
      </c>
      <c r="X684" s="7" t="e">
        <f>IF(VLOOKUP($A684,'Concrete Beam Schedule'!$A$2:$Q$2902,X$2,0)&lt;&gt;H684,"Beam Revised","")</f>
        <v>#N/A</v>
      </c>
      <c r="Y684" s="7" t="e">
        <f>IF(VLOOKUP($A684,'Concrete Beam Schedule'!$A$2:$Q$2902,Y$2,0)&lt;&gt;I684,"Beam Revised","")</f>
        <v>#N/A</v>
      </c>
      <c r="Z684" s="7" t="e">
        <f>IF(VLOOKUP($A684,'Concrete Beam Schedule'!$A$2:$Q$2902,Z$2,0)&lt;&gt;J684,"Beam Revised","")</f>
        <v>#N/A</v>
      </c>
      <c r="AA684" s="7" t="e">
        <f>IF(VLOOKUP($A684,'Concrete Beam Schedule'!$A$2:$Q$2902,AA$2,0)&lt;&gt;K684,"Beam Revised","")</f>
        <v>#N/A</v>
      </c>
      <c r="AB684" s="7" t="e">
        <f>IF(VLOOKUP($A684,'Concrete Beam Schedule'!$A$2:$Q$2902,AB$2,0)&lt;&gt;L684,"Beam Revised","")</f>
        <v>#N/A</v>
      </c>
      <c r="AC684" s="7" t="e">
        <f>IF(VLOOKUP($A684,'Concrete Beam Schedule'!$A$2:$Q$2902,AC$2,0)&lt;&gt;M684,"Beam Revised","")</f>
        <v>#N/A</v>
      </c>
      <c r="AD684" s="7" t="e">
        <f>IF(VLOOKUP($A684,'Concrete Beam Schedule'!$A$2:$Q$2902,AD$2,0)&lt;&gt;N684,"Beam Revised","")</f>
        <v>#N/A</v>
      </c>
      <c r="AE684" s="7" t="e">
        <f>IF(VLOOKUP($A684,'Concrete Beam Schedule'!$A$2:$Q$2902,AE$2,0)&lt;&gt;O684,"Beam Revised","")</f>
        <v>#N/A</v>
      </c>
    </row>
    <row r="685" spans="17:31" ht="13.2" x14ac:dyDescent="0.25">
      <c r="Q685" s="7">
        <f t="shared" si="10"/>
        <v>0</v>
      </c>
      <c r="R685" s="7" t="e">
        <f>IF(VLOOKUP($A685,'Concrete Beam Schedule'!$A$2:$Q$2902,R$2,0)&lt;&gt;B685,VLOOKUP($A685,'Concrete Beam Schedule'!$A$2:$Q$2902,R$2,0),"")</f>
        <v>#N/A</v>
      </c>
      <c r="S685" s="7" t="e">
        <f>IF(VLOOKUP($A685,'Concrete Beam Schedule'!$A$2:$Q$2902,S$2,0)&lt;&gt;C685,VLOOKUP($A685,'Concrete Beam Schedule'!$A$2:$Q$2902,S$2,0),"")</f>
        <v>#N/A</v>
      </c>
      <c r="T685" s="7" t="e">
        <f>IF(VLOOKUP($A685,'Concrete Beam Schedule'!$A$2:$Q$2902,T$2,0)&lt;&gt;D685,"Beam Revised","")</f>
        <v>#N/A</v>
      </c>
      <c r="U685" s="7" t="e">
        <f>IF(VLOOKUP($A685,'Concrete Beam Schedule'!$A$2:$Q$2902,U$2,0)&lt;&gt;E685,"Beam Revised","")</f>
        <v>#N/A</v>
      </c>
      <c r="V685" s="7" t="e">
        <f>IF(VLOOKUP($A685,'Concrete Beam Schedule'!$A$2:$Q$2902,V$2,0)&lt;&gt;F685,"Beam Revised","")</f>
        <v>#N/A</v>
      </c>
      <c r="W685" s="7" t="e">
        <f>IF(VLOOKUP($A685,'Concrete Beam Schedule'!$A$2:$Q$2902,W$2,0)&lt;&gt;G685,"Beam Revised","")</f>
        <v>#N/A</v>
      </c>
      <c r="X685" s="7" t="e">
        <f>IF(VLOOKUP($A685,'Concrete Beam Schedule'!$A$2:$Q$2902,X$2,0)&lt;&gt;H685,"Beam Revised","")</f>
        <v>#N/A</v>
      </c>
      <c r="Y685" s="7" t="e">
        <f>IF(VLOOKUP($A685,'Concrete Beam Schedule'!$A$2:$Q$2902,Y$2,0)&lt;&gt;I685,"Beam Revised","")</f>
        <v>#N/A</v>
      </c>
      <c r="Z685" s="7" t="e">
        <f>IF(VLOOKUP($A685,'Concrete Beam Schedule'!$A$2:$Q$2902,Z$2,0)&lt;&gt;J685,"Beam Revised","")</f>
        <v>#N/A</v>
      </c>
      <c r="AA685" s="7" t="e">
        <f>IF(VLOOKUP($A685,'Concrete Beam Schedule'!$A$2:$Q$2902,AA$2,0)&lt;&gt;K685,"Beam Revised","")</f>
        <v>#N/A</v>
      </c>
      <c r="AB685" s="7" t="e">
        <f>IF(VLOOKUP($A685,'Concrete Beam Schedule'!$A$2:$Q$2902,AB$2,0)&lt;&gt;L685,"Beam Revised","")</f>
        <v>#N/A</v>
      </c>
      <c r="AC685" s="7" t="e">
        <f>IF(VLOOKUP($A685,'Concrete Beam Schedule'!$A$2:$Q$2902,AC$2,0)&lt;&gt;M685,"Beam Revised","")</f>
        <v>#N/A</v>
      </c>
      <c r="AD685" s="7" t="e">
        <f>IF(VLOOKUP($A685,'Concrete Beam Schedule'!$A$2:$Q$2902,AD$2,0)&lt;&gt;N685,"Beam Revised","")</f>
        <v>#N/A</v>
      </c>
      <c r="AE685" s="7" t="e">
        <f>IF(VLOOKUP($A685,'Concrete Beam Schedule'!$A$2:$Q$2902,AE$2,0)&lt;&gt;O685,"Beam Revised","")</f>
        <v>#N/A</v>
      </c>
    </row>
    <row r="686" spans="17:31" ht="13.2" x14ac:dyDescent="0.25">
      <c r="Q686" s="7">
        <f t="shared" si="10"/>
        <v>0</v>
      </c>
      <c r="R686" s="7" t="e">
        <f>IF(VLOOKUP($A686,'Concrete Beam Schedule'!$A$2:$Q$2902,R$2,0)&lt;&gt;B686,VLOOKUP($A686,'Concrete Beam Schedule'!$A$2:$Q$2902,R$2,0),"")</f>
        <v>#N/A</v>
      </c>
      <c r="S686" s="7" t="e">
        <f>IF(VLOOKUP($A686,'Concrete Beam Schedule'!$A$2:$Q$2902,S$2,0)&lt;&gt;C686,VLOOKUP($A686,'Concrete Beam Schedule'!$A$2:$Q$2902,S$2,0),"")</f>
        <v>#N/A</v>
      </c>
      <c r="T686" s="7" t="e">
        <f>IF(VLOOKUP($A686,'Concrete Beam Schedule'!$A$2:$Q$2902,T$2,0)&lt;&gt;D686,"Beam Revised","")</f>
        <v>#N/A</v>
      </c>
      <c r="U686" s="7" t="e">
        <f>IF(VLOOKUP($A686,'Concrete Beam Schedule'!$A$2:$Q$2902,U$2,0)&lt;&gt;E686,"Beam Revised","")</f>
        <v>#N/A</v>
      </c>
      <c r="V686" s="7" t="e">
        <f>IF(VLOOKUP($A686,'Concrete Beam Schedule'!$A$2:$Q$2902,V$2,0)&lt;&gt;F686,"Beam Revised","")</f>
        <v>#N/A</v>
      </c>
      <c r="W686" s="7" t="e">
        <f>IF(VLOOKUP($A686,'Concrete Beam Schedule'!$A$2:$Q$2902,W$2,0)&lt;&gt;G686,"Beam Revised","")</f>
        <v>#N/A</v>
      </c>
      <c r="X686" s="7" t="e">
        <f>IF(VLOOKUP($A686,'Concrete Beam Schedule'!$A$2:$Q$2902,X$2,0)&lt;&gt;H686,"Beam Revised","")</f>
        <v>#N/A</v>
      </c>
      <c r="Y686" s="7" t="e">
        <f>IF(VLOOKUP($A686,'Concrete Beam Schedule'!$A$2:$Q$2902,Y$2,0)&lt;&gt;I686,"Beam Revised","")</f>
        <v>#N/A</v>
      </c>
      <c r="Z686" s="7" t="e">
        <f>IF(VLOOKUP($A686,'Concrete Beam Schedule'!$A$2:$Q$2902,Z$2,0)&lt;&gt;J686,"Beam Revised","")</f>
        <v>#N/A</v>
      </c>
      <c r="AA686" s="7" t="e">
        <f>IF(VLOOKUP($A686,'Concrete Beam Schedule'!$A$2:$Q$2902,AA$2,0)&lt;&gt;K686,"Beam Revised","")</f>
        <v>#N/A</v>
      </c>
      <c r="AB686" s="7" t="e">
        <f>IF(VLOOKUP($A686,'Concrete Beam Schedule'!$A$2:$Q$2902,AB$2,0)&lt;&gt;L686,"Beam Revised","")</f>
        <v>#N/A</v>
      </c>
      <c r="AC686" s="7" t="e">
        <f>IF(VLOOKUP($A686,'Concrete Beam Schedule'!$A$2:$Q$2902,AC$2,0)&lt;&gt;M686,"Beam Revised","")</f>
        <v>#N/A</v>
      </c>
      <c r="AD686" s="7" t="e">
        <f>IF(VLOOKUP($A686,'Concrete Beam Schedule'!$A$2:$Q$2902,AD$2,0)&lt;&gt;N686,"Beam Revised","")</f>
        <v>#N/A</v>
      </c>
      <c r="AE686" s="7" t="e">
        <f>IF(VLOOKUP($A686,'Concrete Beam Schedule'!$A$2:$Q$2902,AE$2,0)&lt;&gt;O686,"Beam Revised","")</f>
        <v>#N/A</v>
      </c>
    </row>
    <row r="687" spans="17:31" ht="13.2" x14ac:dyDescent="0.25">
      <c r="Q687" s="7">
        <f t="shared" si="10"/>
        <v>0</v>
      </c>
      <c r="R687" s="7" t="e">
        <f>IF(VLOOKUP($A687,'Concrete Beam Schedule'!$A$2:$Q$2902,R$2,0)&lt;&gt;B687,VLOOKUP($A687,'Concrete Beam Schedule'!$A$2:$Q$2902,R$2,0),"")</f>
        <v>#N/A</v>
      </c>
      <c r="S687" s="7" t="e">
        <f>IF(VLOOKUP($A687,'Concrete Beam Schedule'!$A$2:$Q$2902,S$2,0)&lt;&gt;C687,VLOOKUP($A687,'Concrete Beam Schedule'!$A$2:$Q$2902,S$2,0),"")</f>
        <v>#N/A</v>
      </c>
      <c r="T687" s="7" t="e">
        <f>IF(VLOOKUP($A687,'Concrete Beam Schedule'!$A$2:$Q$2902,T$2,0)&lt;&gt;D687,"Beam Revised","")</f>
        <v>#N/A</v>
      </c>
      <c r="U687" s="7" t="e">
        <f>IF(VLOOKUP($A687,'Concrete Beam Schedule'!$A$2:$Q$2902,U$2,0)&lt;&gt;E687,"Beam Revised","")</f>
        <v>#N/A</v>
      </c>
      <c r="V687" s="7" t="e">
        <f>IF(VLOOKUP($A687,'Concrete Beam Schedule'!$A$2:$Q$2902,V$2,0)&lt;&gt;F687,"Beam Revised","")</f>
        <v>#N/A</v>
      </c>
      <c r="W687" s="7" t="e">
        <f>IF(VLOOKUP($A687,'Concrete Beam Schedule'!$A$2:$Q$2902,W$2,0)&lt;&gt;G687,"Beam Revised","")</f>
        <v>#N/A</v>
      </c>
      <c r="X687" s="7" t="e">
        <f>IF(VLOOKUP($A687,'Concrete Beam Schedule'!$A$2:$Q$2902,X$2,0)&lt;&gt;H687,"Beam Revised","")</f>
        <v>#N/A</v>
      </c>
      <c r="Y687" s="7" t="e">
        <f>IF(VLOOKUP($A687,'Concrete Beam Schedule'!$A$2:$Q$2902,Y$2,0)&lt;&gt;I687,"Beam Revised","")</f>
        <v>#N/A</v>
      </c>
      <c r="Z687" s="7" t="e">
        <f>IF(VLOOKUP($A687,'Concrete Beam Schedule'!$A$2:$Q$2902,Z$2,0)&lt;&gt;J687,"Beam Revised","")</f>
        <v>#N/A</v>
      </c>
      <c r="AA687" s="7" t="e">
        <f>IF(VLOOKUP($A687,'Concrete Beam Schedule'!$A$2:$Q$2902,AA$2,0)&lt;&gt;K687,"Beam Revised","")</f>
        <v>#N/A</v>
      </c>
      <c r="AB687" s="7" t="e">
        <f>IF(VLOOKUP($A687,'Concrete Beam Schedule'!$A$2:$Q$2902,AB$2,0)&lt;&gt;L687,"Beam Revised","")</f>
        <v>#N/A</v>
      </c>
      <c r="AC687" s="7" t="e">
        <f>IF(VLOOKUP($A687,'Concrete Beam Schedule'!$A$2:$Q$2902,AC$2,0)&lt;&gt;M687,"Beam Revised","")</f>
        <v>#N/A</v>
      </c>
      <c r="AD687" s="7" t="e">
        <f>IF(VLOOKUP($A687,'Concrete Beam Schedule'!$A$2:$Q$2902,AD$2,0)&lt;&gt;N687,"Beam Revised","")</f>
        <v>#N/A</v>
      </c>
      <c r="AE687" s="7" t="e">
        <f>IF(VLOOKUP($A687,'Concrete Beam Schedule'!$A$2:$Q$2902,AE$2,0)&lt;&gt;O687,"Beam Revised","")</f>
        <v>#N/A</v>
      </c>
    </row>
    <row r="688" spans="17:31" ht="13.2" x14ac:dyDescent="0.25">
      <c r="Q688" s="7">
        <f t="shared" si="10"/>
        <v>0</v>
      </c>
      <c r="R688" s="7" t="e">
        <f>IF(VLOOKUP($A688,'Concrete Beam Schedule'!$A$2:$Q$2902,R$2,0)&lt;&gt;B688,VLOOKUP($A688,'Concrete Beam Schedule'!$A$2:$Q$2902,R$2,0),"")</f>
        <v>#N/A</v>
      </c>
      <c r="S688" s="7" t="e">
        <f>IF(VLOOKUP($A688,'Concrete Beam Schedule'!$A$2:$Q$2902,S$2,0)&lt;&gt;C688,VLOOKUP($A688,'Concrete Beam Schedule'!$A$2:$Q$2902,S$2,0),"")</f>
        <v>#N/A</v>
      </c>
      <c r="T688" s="7" t="e">
        <f>IF(VLOOKUP($A688,'Concrete Beam Schedule'!$A$2:$Q$2902,T$2,0)&lt;&gt;D688,"Beam Revised","")</f>
        <v>#N/A</v>
      </c>
      <c r="U688" s="7" t="e">
        <f>IF(VLOOKUP($A688,'Concrete Beam Schedule'!$A$2:$Q$2902,U$2,0)&lt;&gt;E688,"Beam Revised","")</f>
        <v>#N/A</v>
      </c>
      <c r="V688" s="7" t="e">
        <f>IF(VLOOKUP($A688,'Concrete Beam Schedule'!$A$2:$Q$2902,V$2,0)&lt;&gt;F688,"Beam Revised","")</f>
        <v>#N/A</v>
      </c>
      <c r="W688" s="7" t="e">
        <f>IF(VLOOKUP($A688,'Concrete Beam Schedule'!$A$2:$Q$2902,W$2,0)&lt;&gt;G688,"Beam Revised","")</f>
        <v>#N/A</v>
      </c>
      <c r="X688" s="7" t="e">
        <f>IF(VLOOKUP($A688,'Concrete Beam Schedule'!$A$2:$Q$2902,X$2,0)&lt;&gt;H688,"Beam Revised","")</f>
        <v>#N/A</v>
      </c>
      <c r="Y688" s="7" t="e">
        <f>IF(VLOOKUP($A688,'Concrete Beam Schedule'!$A$2:$Q$2902,Y$2,0)&lt;&gt;I688,"Beam Revised","")</f>
        <v>#N/A</v>
      </c>
      <c r="Z688" s="7" t="e">
        <f>IF(VLOOKUP($A688,'Concrete Beam Schedule'!$A$2:$Q$2902,Z$2,0)&lt;&gt;J688,"Beam Revised","")</f>
        <v>#N/A</v>
      </c>
      <c r="AA688" s="7" t="e">
        <f>IF(VLOOKUP($A688,'Concrete Beam Schedule'!$A$2:$Q$2902,AA$2,0)&lt;&gt;K688,"Beam Revised","")</f>
        <v>#N/A</v>
      </c>
      <c r="AB688" s="7" t="e">
        <f>IF(VLOOKUP($A688,'Concrete Beam Schedule'!$A$2:$Q$2902,AB$2,0)&lt;&gt;L688,"Beam Revised","")</f>
        <v>#N/A</v>
      </c>
      <c r="AC688" s="7" t="e">
        <f>IF(VLOOKUP($A688,'Concrete Beam Schedule'!$A$2:$Q$2902,AC$2,0)&lt;&gt;M688,"Beam Revised","")</f>
        <v>#N/A</v>
      </c>
      <c r="AD688" s="7" t="e">
        <f>IF(VLOOKUP($A688,'Concrete Beam Schedule'!$A$2:$Q$2902,AD$2,0)&lt;&gt;N688,"Beam Revised","")</f>
        <v>#N/A</v>
      </c>
      <c r="AE688" s="7" t="e">
        <f>IF(VLOOKUP($A688,'Concrete Beam Schedule'!$A$2:$Q$2902,AE$2,0)&lt;&gt;O688,"Beam Revised","")</f>
        <v>#N/A</v>
      </c>
    </row>
    <row r="689" spans="17:31" ht="13.2" x14ac:dyDescent="0.25">
      <c r="Q689" s="7">
        <f t="shared" si="10"/>
        <v>0</v>
      </c>
      <c r="R689" s="7" t="e">
        <f>IF(VLOOKUP($A689,'Concrete Beam Schedule'!$A$2:$Q$2902,R$2,0)&lt;&gt;B689,VLOOKUP($A689,'Concrete Beam Schedule'!$A$2:$Q$2902,R$2,0),"")</f>
        <v>#N/A</v>
      </c>
      <c r="S689" s="7" t="e">
        <f>IF(VLOOKUP($A689,'Concrete Beam Schedule'!$A$2:$Q$2902,S$2,0)&lt;&gt;C689,VLOOKUP($A689,'Concrete Beam Schedule'!$A$2:$Q$2902,S$2,0),"")</f>
        <v>#N/A</v>
      </c>
      <c r="T689" s="7" t="e">
        <f>IF(VLOOKUP($A689,'Concrete Beam Schedule'!$A$2:$Q$2902,T$2,0)&lt;&gt;D689,"Beam Revised","")</f>
        <v>#N/A</v>
      </c>
      <c r="U689" s="7" t="e">
        <f>IF(VLOOKUP($A689,'Concrete Beam Schedule'!$A$2:$Q$2902,U$2,0)&lt;&gt;E689,"Beam Revised","")</f>
        <v>#N/A</v>
      </c>
      <c r="V689" s="7" t="e">
        <f>IF(VLOOKUP($A689,'Concrete Beam Schedule'!$A$2:$Q$2902,V$2,0)&lt;&gt;F689,"Beam Revised","")</f>
        <v>#N/A</v>
      </c>
      <c r="W689" s="7" t="e">
        <f>IF(VLOOKUP($A689,'Concrete Beam Schedule'!$A$2:$Q$2902,W$2,0)&lt;&gt;G689,"Beam Revised","")</f>
        <v>#N/A</v>
      </c>
      <c r="X689" s="7" t="e">
        <f>IF(VLOOKUP($A689,'Concrete Beam Schedule'!$A$2:$Q$2902,X$2,0)&lt;&gt;H689,"Beam Revised","")</f>
        <v>#N/A</v>
      </c>
      <c r="Y689" s="7" t="e">
        <f>IF(VLOOKUP($A689,'Concrete Beam Schedule'!$A$2:$Q$2902,Y$2,0)&lt;&gt;I689,"Beam Revised","")</f>
        <v>#N/A</v>
      </c>
      <c r="Z689" s="7" t="e">
        <f>IF(VLOOKUP($A689,'Concrete Beam Schedule'!$A$2:$Q$2902,Z$2,0)&lt;&gt;J689,"Beam Revised","")</f>
        <v>#N/A</v>
      </c>
      <c r="AA689" s="7" t="e">
        <f>IF(VLOOKUP($A689,'Concrete Beam Schedule'!$A$2:$Q$2902,AA$2,0)&lt;&gt;K689,"Beam Revised","")</f>
        <v>#N/A</v>
      </c>
      <c r="AB689" s="7" t="e">
        <f>IF(VLOOKUP($A689,'Concrete Beam Schedule'!$A$2:$Q$2902,AB$2,0)&lt;&gt;L689,"Beam Revised","")</f>
        <v>#N/A</v>
      </c>
      <c r="AC689" s="7" t="e">
        <f>IF(VLOOKUP($A689,'Concrete Beam Schedule'!$A$2:$Q$2902,AC$2,0)&lt;&gt;M689,"Beam Revised","")</f>
        <v>#N/A</v>
      </c>
      <c r="AD689" s="7" t="e">
        <f>IF(VLOOKUP($A689,'Concrete Beam Schedule'!$A$2:$Q$2902,AD$2,0)&lt;&gt;N689,"Beam Revised","")</f>
        <v>#N/A</v>
      </c>
      <c r="AE689" s="7" t="e">
        <f>IF(VLOOKUP($A689,'Concrete Beam Schedule'!$A$2:$Q$2902,AE$2,0)&lt;&gt;O689,"Beam Revised","")</f>
        <v>#N/A</v>
      </c>
    </row>
    <row r="690" spans="17:31" ht="13.2" x14ac:dyDescent="0.25">
      <c r="Q690" s="7">
        <f t="shared" si="10"/>
        <v>0</v>
      </c>
      <c r="R690" s="7" t="e">
        <f>IF(VLOOKUP($A690,'Concrete Beam Schedule'!$A$2:$Q$2902,R$2,0)&lt;&gt;B690,VLOOKUP($A690,'Concrete Beam Schedule'!$A$2:$Q$2902,R$2,0),"")</f>
        <v>#N/A</v>
      </c>
      <c r="S690" s="7" t="e">
        <f>IF(VLOOKUP($A690,'Concrete Beam Schedule'!$A$2:$Q$2902,S$2,0)&lt;&gt;C690,VLOOKUP($A690,'Concrete Beam Schedule'!$A$2:$Q$2902,S$2,0),"")</f>
        <v>#N/A</v>
      </c>
      <c r="T690" s="7" t="e">
        <f>IF(VLOOKUP($A690,'Concrete Beam Schedule'!$A$2:$Q$2902,T$2,0)&lt;&gt;D690,"Beam Revised","")</f>
        <v>#N/A</v>
      </c>
      <c r="U690" s="7" t="e">
        <f>IF(VLOOKUP($A690,'Concrete Beam Schedule'!$A$2:$Q$2902,U$2,0)&lt;&gt;E690,"Beam Revised","")</f>
        <v>#N/A</v>
      </c>
      <c r="V690" s="7" t="e">
        <f>IF(VLOOKUP($A690,'Concrete Beam Schedule'!$A$2:$Q$2902,V$2,0)&lt;&gt;F690,"Beam Revised","")</f>
        <v>#N/A</v>
      </c>
      <c r="W690" s="7" t="e">
        <f>IF(VLOOKUP($A690,'Concrete Beam Schedule'!$A$2:$Q$2902,W$2,0)&lt;&gt;G690,"Beam Revised","")</f>
        <v>#N/A</v>
      </c>
      <c r="X690" s="7" t="e">
        <f>IF(VLOOKUP($A690,'Concrete Beam Schedule'!$A$2:$Q$2902,X$2,0)&lt;&gt;H690,"Beam Revised","")</f>
        <v>#N/A</v>
      </c>
      <c r="Y690" s="7" t="e">
        <f>IF(VLOOKUP($A690,'Concrete Beam Schedule'!$A$2:$Q$2902,Y$2,0)&lt;&gt;I690,"Beam Revised","")</f>
        <v>#N/A</v>
      </c>
      <c r="Z690" s="7" t="e">
        <f>IF(VLOOKUP($A690,'Concrete Beam Schedule'!$A$2:$Q$2902,Z$2,0)&lt;&gt;J690,"Beam Revised","")</f>
        <v>#N/A</v>
      </c>
      <c r="AA690" s="7" t="e">
        <f>IF(VLOOKUP($A690,'Concrete Beam Schedule'!$A$2:$Q$2902,AA$2,0)&lt;&gt;K690,"Beam Revised","")</f>
        <v>#N/A</v>
      </c>
      <c r="AB690" s="7" t="e">
        <f>IF(VLOOKUP($A690,'Concrete Beam Schedule'!$A$2:$Q$2902,AB$2,0)&lt;&gt;L690,"Beam Revised","")</f>
        <v>#N/A</v>
      </c>
      <c r="AC690" s="7" t="e">
        <f>IF(VLOOKUP($A690,'Concrete Beam Schedule'!$A$2:$Q$2902,AC$2,0)&lt;&gt;M690,"Beam Revised","")</f>
        <v>#N/A</v>
      </c>
      <c r="AD690" s="7" t="e">
        <f>IF(VLOOKUP($A690,'Concrete Beam Schedule'!$A$2:$Q$2902,AD$2,0)&lt;&gt;N690,"Beam Revised","")</f>
        <v>#N/A</v>
      </c>
      <c r="AE690" s="7" t="e">
        <f>IF(VLOOKUP($A690,'Concrete Beam Schedule'!$A$2:$Q$2902,AE$2,0)&lt;&gt;O690,"Beam Revised","")</f>
        <v>#N/A</v>
      </c>
    </row>
    <row r="691" spans="17:31" ht="13.2" x14ac:dyDescent="0.25">
      <c r="Q691" s="7">
        <f t="shared" si="10"/>
        <v>0</v>
      </c>
      <c r="R691" s="7" t="e">
        <f>IF(VLOOKUP($A691,'Concrete Beam Schedule'!$A$2:$Q$2902,R$2,0)&lt;&gt;B691,VLOOKUP($A691,'Concrete Beam Schedule'!$A$2:$Q$2902,R$2,0),"")</f>
        <v>#N/A</v>
      </c>
      <c r="S691" s="7" t="e">
        <f>IF(VLOOKUP($A691,'Concrete Beam Schedule'!$A$2:$Q$2902,S$2,0)&lt;&gt;C691,VLOOKUP($A691,'Concrete Beam Schedule'!$A$2:$Q$2902,S$2,0),"")</f>
        <v>#N/A</v>
      </c>
      <c r="T691" s="7" t="e">
        <f>IF(VLOOKUP($A691,'Concrete Beam Schedule'!$A$2:$Q$2902,T$2,0)&lt;&gt;D691,"Beam Revised","")</f>
        <v>#N/A</v>
      </c>
      <c r="U691" s="7" t="e">
        <f>IF(VLOOKUP($A691,'Concrete Beam Schedule'!$A$2:$Q$2902,U$2,0)&lt;&gt;E691,"Beam Revised","")</f>
        <v>#N/A</v>
      </c>
      <c r="V691" s="7" t="e">
        <f>IF(VLOOKUP($A691,'Concrete Beam Schedule'!$A$2:$Q$2902,V$2,0)&lt;&gt;F691,"Beam Revised","")</f>
        <v>#N/A</v>
      </c>
      <c r="W691" s="7" t="e">
        <f>IF(VLOOKUP($A691,'Concrete Beam Schedule'!$A$2:$Q$2902,W$2,0)&lt;&gt;G691,"Beam Revised","")</f>
        <v>#N/A</v>
      </c>
      <c r="X691" s="7" t="e">
        <f>IF(VLOOKUP($A691,'Concrete Beam Schedule'!$A$2:$Q$2902,X$2,0)&lt;&gt;H691,"Beam Revised","")</f>
        <v>#N/A</v>
      </c>
      <c r="Y691" s="7" t="e">
        <f>IF(VLOOKUP($A691,'Concrete Beam Schedule'!$A$2:$Q$2902,Y$2,0)&lt;&gt;I691,"Beam Revised","")</f>
        <v>#N/A</v>
      </c>
      <c r="Z691" s="7" t="e">
        <f>IF(VLOOKUP($A691,'Concrete Beam Schedule'!$A$2:$Q$2902,Z$2,0)&lt;&gt;J691,"Beam Revised","")</f>
        <v>#N/A</v>
      </c>
      <c r="AA691" s="7" t="e">
        <f>IF(VLOOKUP($A691,'Concrete Beam Schedule'!$A$2:$Q$2902,AA$2,0)&lt;&gt;K691,"Beam Revised","")</f>
        <v>#N/A</v>
      </c>
      <c r="AB691" s="7" t="e">
        <f>IF(VLOOKUP($A691,'Concrete Beam Schedule'!$A$2:$Q$2902,AB$2,0)&lt;&gt;L691,"Beam Revised","")</f>
        <v>#N/A</v>
      </c>
      <c r="AC691" s="7" t="e">
        <f>IF(VLOOKUP($A691,'Concrete Beam Schedule'!$A$2:$Q$2902,AC$2,0)&lt;&gt;M691,"Beam Revised","")</f>
        <v>#N/A</v>
      </c>
      <c r="AD691" s="7" t="e">
        <f>IF(VLOOKUP($A691,'Concrete Beam Schedule'!$A$2:$Q$2902,AD$2,0)&lt;&gt;N691,"Beam Revised","")</f>
        <v>#N/A</v>
      </c>
      <c r="AE691" s="7" t="e">
        <f>IF(VLOOKUP($A691,'Concrete Beam Schedule'!$A$2:$Q$2902,AE$2,0)&lt;&gt;O691,"Beam Revised","")</f>
        <v>#N/A</v>
      </c>
    </row>
    <row r="692" spans="17:31" ht="13.2" x14ac:dyDescent="0.25">
      <c r="Q692" s="7">
        <f t="shared" si="10"/>
        <v>0</v>
      </c>
      <c r="R692" s="7" t="e">
        <f>IF(VLOOKUP($A692,'Concrete Beam Schedule'!$A$2:$Q$2902,R$2,0)&lt;&gt;B692,VLOOKUP($A692,'Concrete Beam Schedule'!$A$2:$Q$2902,R$2,0),"")</f>
        <v>#N/A</v>
      </c>
      <c r="S692" s="7" t="e">
        <f>IF(VLOOKUP($A692,'Concrete Beam Schedule'!$A$2:$Q$2902,S$2,0)&lt;&gt;C692,VLOOKUP($A692,'Concrete Beam Schedule'!$A$2:$Q$2902,S$2,0),"")</f>
        <v>#N/A</v>
      </c>
      <c r="T692" s="7" t="e">
        <f>IF(VLOOKUP($A692,'Concrete Beam Schedule'!$A$2:$Q$2902,T$2,0)&lt;&gt;D692,"Beam Revised","")</f>
        <v>#N/A</v>
      </c>
      <c r="U692" s="7" t="e">
        <f>IF(VLOOKUP($A692,'Concrete Beam Schedule'!$A$2:$Q$2902,U$2,0)&lt;&gt;E692,"Beam Revised","")</f>
        <v>#N/A</v>
      </c>
      <c r="V692" s="7" t="e">
        <f>IF(VLOOKUP($A692,'Concrete Beam Schedule'!$A$2:$Q$2902,V$2,0)&lt;&gt;F692,"Beam Revised","")</f>
        <v>#N/A</v>
      </c>
      <c r="W692" s="7" t="e">
        <f>IF(VLOOKUP($A692,'Concrete Beam Schedule'!$A$2:$Q$2902,W$2,0)&lt;&gt;G692,"Beam Revised","")</f>
        <v>#N/A</v>
      </c>
      <c r="X692" s="7" t="e">
        <f>IF(VLOOKUP($A692,'Concrete Beam Schedule'!$A$2:$Q$2902,X$2,0)&lt;&gt;H692,"Beam Revised","")</f>
        <v>#N/A</v>
      </c>
      <c r="Y692" s="7" t="e">
        <f>IF(VLOOKUP($A692,'Concrete Beam Schedule'!$A$2:$Q$2902,Y$2,0)&lt;&gt;I692,"Beam Revised","")</f>
        <v>#N/A</v>
      </c>
      <c r="Z692" s="7" t="e">
        <f>IF(VLOOKUP($A692,'Concrete Beam Schedule'!$A$2:$Q$2902,Z$2,0)&lt;&gt;J692,"Beam Revised","")</f>
        <v>#N/A</v>
      </c>
      <c r="AA692" s="7" t="e">
        <f>IF(VLOOKUP($A692,'Concrete Beam Schedule'!$A$2:$Q$2902,AA$2,0)&lt;&gt;K692,"Beam Revised","")</f>
        <v>#N/A</v>
      </c>
      <c r="AB692" s="7" t="e">
        <f>IF(VLOOKUP($A692,'Concrete Beam Schedule'!$A$2:$Q$2902,AB$2,0)&lt;&gt;L692,"Beam Revised","")</f>
        <v>#N/A</v>
      </c>
      <c r="AC692" s="7" t="e">
        <f>IF(VLOOKUP($A692,'Concrete Beam Schedule'!$A$2:$Q$2902,AC$2,0)&lt;&gt;M692,"Beam Revised","")</f>
        <v>#N/A</v>
      </c>
      <c r="AD692" s="7" t="e">
        <f>IF(VLOOKUP($A692,'Concrete Beam Schedule'!$A$2:$Q$2902,AD$2,0)&lt;&gt;N692,"Beam Revised","")</f>
        <v>#N/A</v>
      </c>
      <c r="AE692" s="7" t="e">
        <f>IF(VLOOKUP($A692,'Concrete Beam Schedule'!$A$2:$Q$2902,AE$2,0)&lt;&gt;O692,"Beam Revised","")</f>
        <v>#N/A</v>
      </c>
    </row>
    <row r="693" spans="17:31" ht="13.2" x14ac:dyDescent="0.25">
      <c r="Q693" s="7">
        <f t="shared" si="10"/>
        <v>0</v>
      </c>
      <c r="R693" s="7" t="e">
        <f>IF(VLOOKUP($A693,'Concrete Beam Schedule'!$A$2:$Q$2902,R$2,0)&lt;&gt;B693,VLOOKUP($A693,'Concrete Beam Schedule'!$A$2:$Q$2902,R$2,0),"")</f>
        <v>#N/A</v>
      </c>
      <c r="S693" s="7" t="e">
        <f>IF(VLOOKUP($A693,'Concrete Beam Schedule'!$A$2:$Q$2902,S$2,0)&lt;&gt;C693,VLOOKUP($A693,'Concrete Beam Schedule'!$A$2:$Q$2902,S$2,0),"")</f>
        <v>#N/A</v>
      </c>
      <c r="T693" s="7" t="e">
        <f>IF(VLOOKUP($A693,'Concrete Beam Schedule'!$A$2:$Q$2902,T$2,0)&lt;&gt;D693,"Beam Revised","")</f>
        <v>#N/A</v>
      </c>
      <c r="U693" s="7" t="e">
        <f>IF(VLOOKUP($A693,'Concrete Beam Schedule'!$A$2:$Q$2902,U$2,0)&lt;&gt;E693,"Beam Revised","")</f>
        <v>#N/A</v>
      </c>
      <c r="V693" s="7" t="e">
        <f>IF(VLOOKUP($A693,'Concrete Beam Schedule'!$A$2:$Q$2902,V$2,0)&lt;&gt;F693,"Beam Revised","")</f>
        <v>#N/A</v>
      </c>
      <c r="W693" s="7" t="e">
        <f>IF(VLOOKUP($A693,'Concrete Beam Schedule'!$A$2:$Q$2902,W$2,0)&lt;&gt;G693,"Beam Revised","")</f>
        <v>#N/A</v>
      </c>
      <c r="X693" s="7" t="e">
        <f>IF(VLOOKUP($A693,'Concrete Beam Schedule'!$A$2:$Q$2902,X$2,0)&lt;&gt;H693,"Beam Revised","")</f>
        <v>#N/A</v>
      </c>
      <c r="Y693" s="7" t="e">
        <f>IF(VLOOKUP($A693,'Concrete Beam Schedule'!$A$2:$Q$2902,Y$2,0)&lt;&gt;I693,"Beam Revised","")</f>
        <v>#N/A</v>
      </c>
      <c r="Z693" s="7" t="e">
        <f>IF(VLOOKUP($A693,'Concrete Beam Schedule'!$A$2:$Q$2902,Z$2,0)&lt;&gt;J693,"Beam Revised","")</f>
        <v>#N/A</v>
      </c>
      <c r="AA693" s="7" t="e">
        <f>IF(VLOOKUP($A693,'Concrete Beam Schedule'!$A$2:$Q$2902,AA$2,0)&lt;&gt;K693,"Beam Revised","")</f>
        <v>#N/A</v>
      </c>
      <c r="AB693" s="7" t="e">
        <f>IF(VLOOKUP($A693,'Concrete Beam Schedule'!$A$2:$Q$2902,AB$2,0)&lt;&gt;L693,"Beam Revised","")</f>
        <v>#N/A</v>
      </c>
      <c r="AC693" s="7" t="e">
        <f>IF(VLOOKUP($A693,'Concrete Beam Schedule'!$A$2:$Q$2902,AC$2,0)&lt;&gt;M693,"Beam Revised","")</f>
        <v>#N/A</v>
      </c>
      <c r="AD693" s="7" t="e">
        <f>IF(VLOOKUP($A693,'Concrete Beam Schedule'!$A$2:$Q$2902,AD$2,0)&lt;&gt;N693,"Beam Revised","")</f>
        <v>#N/A</v>
      </c>
      <c r="AE693" s="7" t="e">
        <f>IF(VLOOKUP($A693,'Concrete Beam Schedule'!$A$2:$Q$2902,AE$2,0)&lt;&gt;O693,"Beam Revised","")</f>
        <v>#N/A</v>
      </c>
    </row>
    <row r="694" spans="17:31" ht="13.2" x14ac:dyDescent="0.25">
      <c r="Q694" s="7">
        <f t="shared" si="10"/>
        <v>0</v>
      </c>
      <c r="R694" s="7" t="e">
        <f>IF(VLOOKUP($A694,'Concrete Beam Schedule'!$A$2:$Q$2902,R$2,0)&lt;&gt;B694,VLOOKUP($A694,'Concrete Beam Schedule'!$A$2:$Q$2902,R$2,0),"")</f>
        <v>#N/A</v>
      </c>
      <c r="S694" s="7" t="e">
        <f>IF(VLOOKUP($A694,'Concrete Beam Schedule'!$A$2:$Q$2902,S$2,0)&lt;&gt;C694,VLOOKUP($A694,'Concrete Beam Schedule'!$A$2:$Q$2902,S$2,0),"")</f>
        <v>#N/A</v>
      </c>
      <c r="T694" s="7" t="e">
        <f>IF(VLOOKUP($A694,'Concrete Beam Schedule'!$A$2:$Q$2902,T$2,0)&lt;&gt;D694,"Beam Revised","")</f>
        <v>#N/A</v>
      </c>
      <c r="U694" s="7" t="e">
        <f>IF(VLOOKUP($A694,'Concrete Beam Schedule'!$A$2:$Q$2902,U$2,0)&lt;&gt;E694,"Beam Revised","")</f>
        <v>#N/A</v>
      </c>
      <c r="V694" s="7" t="e">
        <f>IF(VLOOKUP($A694,'Concrete Beam Schedule'!$A$2:$Q$2902,V$2,0)&lt;&gt;F694,"Beam Revised","")</f>
        <v>#N/A</v>
      </c>
      <c r="W694" s="7" t="e">
        <f>IF(VLOOKUP($A694,'Concrete Beam Schedule'!$A$2:$Q$2902,W$2,0)&lt;&gt;G694,"Beam Revised","")</f>
        <v>#N/A</v>
      </c>
      <c r="X694" s="7" t="e">
        <f>IF(VLOOKUP($A694,'Concrete Beam Schedule'!$A$2:$Q$2902,X$2,0)&lt;&gt;H694,"Beam Revised","")</f>
        <v>#N/A</v>
      </c>
      <c r="Y694" s="7" t="e">
        <f>IF(VLOOKUP($A694,'Concrete Beam Schedule'!$A$2:$Q$2902,Y$2,0)&lt;&gt;I694,"Beam Revised","")</f>
        <v>#N/A</v>
      </c>
      <c r="Z694" s="7" t="e">
        <f>IF(VLOOKUP($A694,'Concrete Beam Schedule'!$A$2:$Q$2902,Z$2,0)&lt;&gt;J694,"Beam Revised","")</f>
        <v>#N/A</v>
      </c>
      <c r="AA694" s="7" t="e">
        <f>IF(VLOOKUP($A694,'Concrete Beam Schedule'!$A$2:$Q$2902,AA$2,0)&lt;&gt;K694,"Beam Revised","")</f>
        <v>#N/A</v>
      </c>
      <c r="AB694" s="7" t="e">
        <f>IF(VLOOKUP($A694,'Concrete Beam Schedule'!$A$2:$Q$2902,AB$2,0)&lt;&gt;L694,"Beam Revised","")</f>
        <v>#N/A</v>
      </c>
      <c r="AC694" s="7" t="e">
        <f>IF(VLOOKUP($A694,'Concrete Beam Schedule'!$A$2:$Q$2902,AC$2,0)&lt;&gt;M694,"Beam Revised","")</f>
        <v>#N/A</v>
      </c>
      <c r="AD694" s="7" t="e">
        <f>IF(VLOOKUP($A694,'Concrete Beam Schedule'!$A$2:$Q$2902,AD$2,0)&lt;&gt;N694,"Beam Revised","")</f>
        <v>#N/A</v>
      </c>
      <c r="AE694" s="7" t="e">
        <f>IF(VLOOKUP($A694,'Concrete Beam Schedule'!$A$2:$Q$2902,AE$2,0)&lt;&gt;O694,"Beam Revised","")</f>
        <v>#N/A</v>
      </c>
    </row>
    <row r="695" spans="17:31" ht="13.2" x14ac:dyDescent="0.25">
      <c r="Q695" s="7">
        <f t="shared" si="10"/>
        <v>0</v>
      </c>
      <c r="R695" s="7" t="e">
        <f>IF(VLOOKUP($A695,'Concrete Beam Schedule'!$A$2:$Q$2902,R$2,0)&lt;&gt;B695,VLOOKUP($A695,'Concrete Beam Schedule'!$A$2:$Q$2902,R$2,0),"")</f>
        <v>#N/A</v>
      </c>
      <c r="S695" s="7" t="e">
        <f>IF(VLOOKUP($A695,'Concrete Beam Schedule'!$A$2:$Q$2902,S$2,0)&lt;&gt;C695,VLOOKUP($A695,'Concrete Beam Schedule'!$A$2:$Q$2902,S$2,0),"")</f>
        <v>#N/A</v>
      </c>
      <c r="T695" s="7" t="e">
        <f>IF(VLOOKUP($A695,'Concrete Beam Schedule'!$A$2:$Q$2902,T$2,0)&lt;&gt;D695,"Beam Revised","")</f>
        <v>#N/A</v>
      </c>
      <c r="U695" s="7" t="e">
        <f>IF(VLOOKUP($A695,'Concrete Beam Schedule'!$A$2:$Q$2902,U$2,0)&lt;&gt;E695,"Beam Revised","")</f>
        <v>#N/A</v>
      </c>
      <c r="V695" s="7" t="e">
        <f>IF(VLOOKUP($A695,'Concrete Beam Schedule'!$A$2:$Q$2902,V$2,0)&lt;&gt;F695,"Beam Revised","")</f>
        <v>#N/A</v>
      </c>
      <c r="W695" s="7" t="e">
        <f>IF(VLOOKUP($A695,'Concrete Beam Schedule'!$A$2:$Q$2902,W$2,0)&lt;&gt;G695,"Beam Revised","")</f>
        <v>#N/A</v>
      </c>
      <c r="X695" s="7" t="e">
        <f>IF(VLOOKUP($A695,'Concrete Beam Schedule'!$A$2:$Q$2902,X$2,0)&lt;&gt;H695,"Beam Revised","")</f>
        <v>#N/A</v>
      </c>
      <c r="Y695" s="7" t="e">
        <f>IF(VLOOKUP($A695,'Concrete Beam Schedule'!$A$2:$Q$2902,Y$2,0)&lt;&gt;I695,"Beam Revised","")</f>
        <v>#N/A</v>
      </c>
      <c r="Z695" s="7" t="e">
        <f>IF(VLOOKUP($A695,'Concrete Beam Schedule'!$A$2:$Q$2902,Z$2,0)&lt;&gt;J695,"Beam Revised","")</f>
        <v>#N/A</v>
      </c>
      <c r="AA695" s="7" t="e">
        <f>IF(VLOOKUP($A695,'Concrete Beam Schedule'!$A$2:$Q$2902,AA$2,0)&lt;&gt;K695,"Beam Revised","")</f>
        <v>#N/A</v>
      </c>
      <c r="AB695" s="7" t="e">
        <f>IF(VLOOKUP($A695,'Concrete Beam Schedule'!$A$2:$Q$2902,AB$2,0)&lt;&gt;L695,"Beam Revised","")</f>
        <v>#N/A</v>
      </c>
      <c r="AC695" s="7" t="e">
        <f>IF(VLOOKUP($A695,'Concrete Beam Schedule'!$A$2:$Q$2902,AC$2,0)&lt;&gt;M695,"Beam Revised","")</f>
        <v>#N/A</v>
      </c>
      <c r="AD695" s="7" t="e">
        <f>IF(VLOOKUP($A695,'Concrete Beam Schedule'!$A$2:$Q$2902,AD$2,0)&lt;&gt;N695,"Beam Revised","")</f>
        <v>#N/A</v>
      </c>
      <c r="AE695" s="7" t="e">
        <f>IF(VLOOKUP($A695,'Concrete Beam Schedule'!$A$2:$Q$2902,AE$2,0)&lt;&gt;O695,"Beam Revised","")</f>
        <v>#N/A</v>
      </c>
    </row>
    <row r="696" spans="17:31" ht="13.2" x14ac:dyDescent="0.25">
      <c r="Q696" s="7">
        <f t="shared" si="10"/>
        <v>0</v>
      </c>
      <c r="R696" s="7" t="e">
        <f>IF(VLOOKUP($A696,'Concrete Beam Schedule'!$A$2:$Q$2902,R$2,0)&lt;&gt;B696,VLOOKUP($A696,'Concrete Beam Schedule'!$A$2:$Q$2902,R$2,0),"")</f>
        <v>#N/A</v>
      </c>
      <c r="S696" s="7" t="e">
        <f>IF(VLOOKUP($A696,'Concrete Beam Schedule'!$A$2:$Q$2902,S$2,0)&lt;&gt;C696,VLOOKUP($A696,'Concrete Beam Schedule'!$A$2:$Q$2902,S$2,0),"")</f>
        <v>#N/A</v>
      </c>
      <c r="T696" s="7" t="e">
        <f>IF(VLOOKUP($A696,'Concrete Beam Schedule'!$A$2:$Q$2902,T$2,0)&lt;&gt;D696,"Beam Revised","")</f>
        <v>#N/A</v>
      </c>
      <c r="U696" s="7" t="e">
        <f>IF(VLOOKUP($A696,'Concrete Beam Schedule'!$A$2:$Q$2902,U$2,0)&lt;&gt;E696,"Beam Revised","")</f>
        <v>#N/A</v>
      </c>
      <c r="V696" s="7" t="e">
        <f>IF(VLOOKUP($A696,'Concrete Beam Schedule'!$A$2:$Q$2902,V$2,0)&lt;&gt;F696,"Beam Revised","")</f>
        <v>#N/A</v>
      </c>
      <c r="W696" s="7" t="e">
        <f>IF(VLOOKUP($A696,'Concrete Beam Schedule'!$A$2:$Q$2902,W$2,0)&lt;&gt;G696,"Beam Revised","")</f>
        <v>#N/A</v>
      </c>
      <c r="X696" s="7" t="e">
        <f>IF(VLOOKUP($A696,'Concrete Beam Schedule'!$A$2:$Q$2902,X$2,0)&lt;&gt;H696,"Beam Revised","")</f>
        <v>#N/A</v>
      </c>
      <c r="Y696" s="7" t="e">
        <f>IF(VLOOKUP($A696,'Concrete Beam Schedule'!$A$2:$Q$2902,Y$2,0)&lt;&gt;I696,"Beam Revised","")</f>
        <v>#N/A</v>
      </c>
      <c r="Z696" s="7" t="e">
        <f>IF(VLOOKUP($A696,'Concrete Beam Schedule'!$A$2:$Q$2902,Z$2,0)&lt;&gt;J696,"Beam Revised","")</f>
        <v>#N/A</v>
      </c>
      <c r="AA696" s="7" t="e">
        <f>IF(VLOOKUP($A696,'Concrete Beam Schedule'!$A$2:$Q$2902,AA$2,0)&lt;&gt;K696,"Beam Revised","")</f>
        <v>#N/A</v>
      </c>
      <c r="AB696" s="7" t="e">
        <f>IF(VLOOKUP($A696,'Concrete Beam Schedule'!$A$2:$Q$2902,AB$2,0)&lt;&gt;L696,"Beam Revised","")</f>
        <v>#N/A</v>
      </c>
      <c r="AC696" s="7" t="e">
        <f>IF(VLOOKUP($A696,'Concrete Beam Schedule'!$A$2:$Q$2902,AC$2,0)&lt;&gt;M696,"Beam Revised","")</f>
        <v>#N/A</v>
      </c>
      <c r="AD696" s="7" t="e">
        <f>IF(VLOOKUP($A696,'Concrete Beam Schedule'!$A$2:$Q$2902,AD$2,0)&lt;&gt;N696,"Beam Revised","")</f>
        <v>#N/A</v>
      </c>
      <c r="AE696" s="7" t="e">
        <f>IF(VLOOKUP($A696,'Concrete Beam Schedule'!$A$2:$Q$2902,AE$2,0)&lt;&gt;O696,"Beam Revised","")</f>
        <v>#N/A</v>
      </c>
    </row>
    <row r="697" spans="17:31" ht="13.2" x14ac:dyDescent="0.25">
      <c r="Q697" s="7">
        <f t="shared" si="10"/>
        <v>0</v>
      </c>
      <c r="R697" s="7" t="e">
        <f>IF(VLOOKUP($A697,'Concrete Beam Schedule'!$A$2:$Q$2902,R$2,0)&lt;&gt;B697,VLOOKUP($A697,'Concrete Beam Schedule'!$A$2:$Q$2902,R$2,0),"")</f>
        <v>#N/A</v>
      </c>
      <c r="S697" s="7" t="e">
        <f>IF(VLOOKUP($A697,'Concrete Beam Schedule'!$A$2:$Q$2902,S$2,0)&lt;&gt;C697,VLOOKUP($A697,'Concrete Beam Schedule'!$A$2:$Q$2902,S$2,0),"")</f>
        <v>#N/A</v>
      </c>
      <c r="T697" s="7" t="e">
        <f>IF(VLOOKUP($A697,'Concrete Beam Schedule'!$A$2:$Q$2902,T$2,0)&lt;&gt;D697,"Beam Revised","")</f>
        <v>#N/A</v>
      </c>
      <c r="U697" s="7" t="e">
        <f>IF(VLOOKUP($A697,'Concrete Beam Schedule'!$A$2:$Q$2902,U$2,0)&lt;&gt;E697,"Beam Revised","")</f>
        <v>#N/A</v>
      </c>
      <c r="V697" s="7" t="e">
        <f>IF(VLOOKUP($A697,'Concrete Beam Schedule'!$A$2:$Q$2902,V$2,0)&lt;&gt;F697,"Beam Revised","")</f>
        <v>#N/A</v>
      </c>
      <c r="W697" s="7" t="e">
        <f>IF(VLOOKUP($A697,'Concrete Beam Schedule'!$A$2:$Q$2902,W$2,0)&lt;&gt;G697,"Beam Revised","")</f>
        <v>#N/A</v>
      </c>
      <c r="X697" s="7" t="e">
        <f>IF(VLOOKUP($A697,'Concrete Beam Schedule'!$A$2:$Q$2902,X$2,0)&lt;&gt;H697,"Beam Revised","")</f>
        <v>#N/A</v>
      </c>
      <c r="Y697" s="7" t="e">
        <f>IF(VLOOKUP($A697,'Concrete Beam Schedule'!$A$2:$Q$2902,Y$2,0)&lt;&gt;I697,"Beam Revised","")</f>
        <v>#N/A</v>
      </c>
      <c r="Z697" s="7" t="e">
        <f>IF(VLOOKUP($A697,'Concrete Beam Schedule'!$A$2:$Q$2902,Z$2,0)&lt;&gt;J697,"Beam Revised","")</f>
        <v>#N/A</v>
      </c>
      <c r="AA697" s="7" t="e">
        <f>IF(VLOOKUP($A697,'Concrete Beam Schedule'!$A$2:$Q$2902,AA$2,0)&lt;&gt;K697,"Beam Revised","")</f>
        <v>#N/A</v>
      </c>
      <c r="AB697" s="7" t="e">
        <f>IF(VLOOKUP($A697,'Concrete Beam Schedule'!$A$2:$Q$2902,AB$2,0)&lt;&gt;L697,"Beam Revised","")</f>
        <v>#N/A</v>
      </c>
      <c r="AC697" s="7" t="e">
        <f>IF(VLOOKUP($A697,'Concrete Beam Schedule'!$A$2:$Q$2902,AC$2,0)&lt;&gt;M697,"Beam Revised","")</f>
        <v>#N/A</v>
      </c>
      <c r="AD697" s="7" t="e">
        <f>IF(VLOOKUP($A697,'Concrete Beam Schedule'!$A$2:$Q$2902,AD$2,0)&lt;&gt;N697,"Beam Revised","")</f>
        <v>#N/A</v>
      </c>
      <c r="AE697" s="7" t="e">
        <f>IF(VLOOKUP($A697,'Concrete Beam Schedule'!$A$2:$Q$2902,AE$2,0)&lt;&gt;O697,"Beam Revised","")</f>
        <v>#N/A</v>
      </c>
    </row>
    <row r="698" spans="17:31" ht="13.2" x14ac:dyDescent="0.25">
      <c r="Q698" s="7">
        <f t="shared" si="10"/>
        <v>0</v>
      </c>
      <c r="R698" s="7" t="e">
        <f>IF(VLOOKUP($A698,'Concrete Beam Schedule'!$A$2:$Q$2902,R$2,0)&lt;&gt;B698,VLOOKUP($A698,'Concrete Beam Schedule'!$A$2:$Q$2902,R$2,0),"")</f>
        <v>#N/A</v>
      </c>
      <c r="S698" s="7" t="e">
        <f>IF(VLOOKUP($A698,'Concrete Beam Schedule'!$A$2:$Q$2902,S$2,0)&lt;&gt;C698,VLOOKUP($A698,'Concrete Beam Schedule'!$A$2:$Q$2902,S$2,0),"")</f>
        <v>#N/A</v>
      </c>
      <c r="T698" s="7" t="e">
        <f>IF(VLOOKUP($A698,'Concrete Beam Schedule'!$A$2:$Q$2902,T$2,0)&lt;&gt;D698,"Beam Revised","")</f>
        <v>#N/A</v>
      </c>
      <c r="U698" s="7" t="e">
        <f>IF(VLOOKUP($A698,'Concrete Beam Schedule'!$A$2:$Q$2902,U$2,0)&lt;&gt;E698,"Beam Revised","")</f>
        <v>#N/A</v>
      </c>
      <c r="V698" s="7" t="e">
        <f>IF(VLOOKUP($A698,'Concrete Beam Schedule'!$A$2:$Q$2902,V$2,0)&lt;&gt;F698,"Beam Revised","")</f>
        <v>#N/A</v>
      </c>
      <c r="W698" s="7" t="e">
        <f>IF(VLOOKUP($A698,'Concrete Beam Schedule'!$A$2:$Q$2902,W$2,0)&lt;&gt;G698,"Beam Revised","")</f>
        <v>#N/A</v>
      </c>
      <c r="X698" s="7" t="e">
        <f>IF(VLOOKUP($A698,'Concrete Beam Schedule'!$A$2:$Q$2902,X$2,0)&lt;&gt;H698,"Beam Revised","")</f>
        <v>#N/A</v>
      </c>
      <c r="Y698" s="7" t="e">
        <f>IF(VLOOKUP($A698,'Concrete Beam Schedule'!$A$2:$Q$2902,Y$2,0)&lt;&gt;I698,"Beam Revised","")</f>
        <v>#N/A</v>
      </c>
      <c r="Z698" s="7" t="e">
        <f>IF(VLOOKUP($A698,'Concrete Beam Schedule'!$A$2:$Q$2902,Z$2,0)&lt;&gt;J698,"Beam Revised","")</f>
        <v>#N/A</v>
      </c>
      <c r="AA698" s="7" t="e">
        <f>IF(VLOOKUP($A698,'Concrete Beam Schedule'!$A$2:$Q$2902,AA$2,0)&lt;&gt;K698,"Beam Revised","")</f>
        <v>#N/A</v>
      </c>
      <c r="AB698" s="7" t="e">
        <f>IF(VLOOKUP($A698,'Concrete Beam Schedule'!$A$2:$Q$2902,AB$2,0)&lt;&gt;L698,"Beam Revised","")</f>
        <v>#N/A</v>
      </c>
      <c r="AC698" s="7" t="e">
        <f>IF(VLOOKUP($A698,'Concrete Beam Schedule'!$A$2:$Q$2902,AC$2,0)&lt;&gt;M698,"Beam Revised","")</f>
        <v>#N/A</v>
      </c>
      <c r="AD698" s="7" t="e">
        <f>IF(VLOOKUP($A698,'Concrete Beam Schedule'!$A$2:$Q$2902,AD$2,0)&lt;&gt;N698,"Beam Revised","")</f>
        <v>#N/A</v>
      </c>
      <c r="AE698" s="7" t="e">
        <f>IF(VLOOKUP($A698,'Concrete Beam Schedule'!$A$2:$Q$2902,AE$2,0)&lt;&gt;O698,"Beam Revised","")</f>
        <v>#N/A</v>
      </c>
    </row>
    <row r="699" spans="17:31" ht="13.2" x14ac:dyDescent="0.25">
      <c r="Q699" s="7">
        <f t="shared" si="10"/>
        <v>0</v>
      </c>
      <c r="R699" s="7" t="e">
        <f>IF(VLOOKUP($A699,'Concrete Beam Schedule'!$A$2:$Q$2902,R$2,0)&lt;&gt;B699,VLOOKUP($A699,'Concrete Beam Schedule'!$A$2:$Q$2902,R$2,0),"")</f>
        <v>#N/A</v>
      </c>
      <c r="S699" s="7" t="e">
        <f>IF(VLOOKUP($A699,'Concrete Beam Schedule'!$A$2:$Q$2902,S$2,0)&lt;&gt;C699,VLOOKUP($A699,'Concrete Beam Schedule'!$A$2:$Q$2902,S$2,0),"")</f>
        <v>#N/A</v>
      </c>
      <c r="T699" s="7" t="e">
        <f>IF(VLOOKUP($A699,'Concrete Beam Schedule'!$A$2:$Q$2902,T$2,0)&lt;&gt;D699,"Beam Revised","")</f>
        <v>#N/A</v>
      </c>
      <c r="U699" s="7" t="e">
        <f>IF(VLOOKUP($A699,'Concrete Beam Schedule'!$A$2:$Q$2902,U$2,0)&lt;&gt;E699,"Beam Revised","")</f>
        <v>#N/A</v>
      </c>
      <c r="V699" s="7" t="e">
        <f>IF(VLOOKUP($A699,'Concrete Beam Schedule'!$A$2:$Q$2902,V$2,0)&lt;&gt;F699,"Beam Revised","")</f>
        <v>#N/A</v>
      </c>
      <c r="W699" s="7" t="e">
        <f>IF(VLOOKUP($A699,'Concrete Beam Schedule'!$A$2:$Q$2902,W$2,0)&lt;&gt;G699,"Beam Revised","")</f>
        <v>#N/A</v>
      </c>
      <c r="X699" s="7" t="e">
        <f>IF(VLOOKUP($A699,'Concrete Beam Schedule'!$A$2:$Q$2902,X$2,0)&lt;&gt;H699,"Beam Revised","")</f>
        <v>#N/A</v>
      </c>
      <c r="Y699" s="7" t="e">
        <f>IF(VLOOKUP($A699,'Concrete Beam Schedule'!$A$2:$Q$2902,Y$2,0)&lt;&gt;I699,"Beam Revised","")</f>
        <v>#N/A</v>
      </c>
      <c r="Z699" s="7" t="e">
        <f>IF(VLOOKUP($A699,'Concrete Beam Schedule'!$A$2:$Q$2902,Z$2,0)&lt;&gt;J699,"Beam Revised","")</f>
        <v>#N/A</v>
      </c>
      <c r="AA699" s="7" t="e">
        <f>IF(VLOOKUP($A699,'Concrete Beam Schedule'!$A$2:$Q$2902,AA$2,0)&lt;&gt;K699,"Beam Revised","")</f>
        <v>#N/A</v>
      </c>
      <c r="AB699" s="7" t="e">
        <f>IF(VLOOKUP($A699,'Concrete Beam Schedule'!$A$2:$Q$2902,AB$2,0)&lt;&gt;L699,"Beam Revised","")</f>
        <v>#N/A</v>
      </c>
      <c r="AC699" s="7" t="e">
        <f>IF(VLOOKUP($A699,'Concrete Beam Schedule'!$A$2:$Q$2902,AC$2,0)&lt;&gt;M699,"Beam Revised","")</f>
        <v>#N/A</v>
      </c>
      <c r="AD699" s="7" t="e">
        <f>IF(VLOOKUP($A699,'Concrete Beam Schedule'!$A$2:$Q$2902,AD$2,0)&lt;&gt;N699,"Beam Revised","")</f>
        <v>#N/A</v>
      </c>
      <c r="AE699" s="7" t="e">
        <f>IF(VLOOKUP($A699,'Concrete Beam Schedule'!$A$2:$Q$2902,AE$2,0)&lt;&gt;O699,"Beam Revised","")</f>
        <v>#N/A</v>
      </c>
    </row>
    <row r="700" spans="17:31" ht="13.2" x14ac:dyDescent="0.25">
      <c r="Q700" s="7">
        <f t="shared" si="10"/>
        <v>0</v>
      </c>
      <c r="R700" s="7" t="e">
        <f>IF(VLOOKUP($A700,'Concrete Beam Schedule'!$A$2:$Q$2902,R$2,0)&lt;&gt;B700,VLOOKUP($A700,'Concrete Beam Schedule'!$A$2:$Q$2902,R$2,0),"")</f>
        <v>#N/A</v>
      </c>
      <c r="S700" s="7" t="e">
        <f>IF(VLOOKUP($A700,'Concrete Beam Schedule'!$A$2:$Q$2902,S$2,0)&lt;&gt;C700,VLOOKUP($A700,'Concrete Beam Schedule'!$A$2:$Q$2902,S$2,0),"")</f>
        <v>#N/A</v>
      </c>
      <c r="T700" s="7" t="e">
        <f>IF(VLOOKUP($A700,'Concrete Beam Schedule'!$A$2:$Q$2902,T$2,0)&lt;&gt;D700,"Beam Revised","")</f>
        <v>#N/A</v>
      </c>
      <c r="U700" s="7" t="e">
        <f>IF(VLOOKUP($A700,'Concrete Beam Schedule'!$A$2:$Q$2902,U$2,0)&lt;&gt;E700,"Beam Revised","")</f>
        <v>#N/A</v>
      </c>
      <c r="V700" s="7" t="e">
        <f>IF(VLOOKUP($A700,'Concrete Beam Schedule'!$A$2:$Q$2902,V$2,0)&lt;&gt;F700,"Beam Revised","")</f>
        <v>#N/A</v>
      </c>
      <c r="W700" s="7" t="e">
        <f>IF(VLOOKUP($A700,'Concrete Beam Schedule'!$A$2:$Q$2902,W$2,0)&lt;&gt;G700,"Beam Revised","")</f>
        <v>#N/A</v>
      </c>
      <c r="X700" s="7" t="e">
        <f>IF(VLOOKUP($A700,'Concrete Beam Schedule'!$A$2:$Q$2902,X$2,0)&lt;&gt;H700,"Beam Revised","")</f>
        <v>#N/A</v>
      </c>
      <c r="Y700" s="7" t="e">
        <f>IF(VLOOKUP($A700,'Concrete Beam Schedule'!$A$2:$Q$2902,Y$2,0)&lt;&gt;I700,"Beam Revised","")</f>
        <v>#N/A</v>
      </c>
      <c r="Z700" s="7" t="e">
        <f>IF(VLOOKUP($A700,'Concrete Beam Schedule'!$A$2:$Q$2902,Z$2,0)&lt;&gt;J700,"Beam Revised","")</f>
        <v>#N/A</v>
      </c>
      <c r="AA700" s="7" t="e">
        <f>IF(VLOOKUP($A700,'Concrete Beam Schedule'!$A$2:$Q$2902,AA$2,0)&lt;&gt;K700,"Beam Revised","")</f>
        <v>#N/A</v>
      </c>
      <c r="AB700" s="7" t="e">
        <f>IF(VLOOKUP($A700,'Concrete Beam Schedule'!$A$2:$Q$2902,AB$2,0)&lt;&gt;L700,"Beam Revised","")</f>
        <v>#N/A</v>
      </c>
      <c r="AC700" s="7" t="e">
        <f>IF(VLOOKUP($A700,'Concrete Beam Schedule'!$A$2:$Q$2902,AC$2,0)&lt;&gt;M700,"Beam Revised","")</f>
        <v>#N/A</v>
      </c>
      <c r="AD700" s="7" t="e">
        <f>IF(VLOOKUP($A700,'Concrete Beam Schedule'!$A$2:$Q$2902,AD$2,0)&lt;&gt;N700,"Beam Revised","")</f>
        <v>#N/A</v>
      </c>
      <c r="AE700" s="7" t="e">
        <f>IF(VLOOKUP($A700,'Concrete Beam Schedule'!$A$2:$Q$2902,AE$2,0)&lt;&gt;O700,"Beam Revised","")</f>
        <v>#N/A</v>
      </c>
    </row>
    <row r="701" spans="17:31" ht="13.2" x14ac:dyDescent="0.25">
      <c r="Q701" s="7">
        <f t="shared" si="10"/>
        <v>0</v>
      </c>
      <c r="R701" s="7" t="e">
        <f>IF(VLOOKUP($A701,'Concrete Beam Schedule'!$A$2:$Q$2902,R$2,0)&lt;&gt;B701,VLOOKUP($A701,'Concrete Beam Schedule'!$A$2:$Q$2902,R$2,0),"")</f>
        <v>#N/A</v>
      </c>
      <c r="S701" s="7" t="e">
        <f>IF(VLOOKUP($A701,'Concrete Beam Schedule'!$A$2:$Q$2902,S$2,0)&lt;&gt;C701,VLOOKUP($A701,'Concrete Beam Schedule'!$A$2:$Q$2902,S$2,0),"")</f>
        <v>#N/A</v>
      </c>
      <c r="T701" s="7" t="e">
        <f>IF(VLOOKUP($A701,'Concrete Beam Schedule'!$A$2:$Q$2902,T$2,0)&lt;&gt;D701,"Beam Revised","")</f>
        <v>#N/A</v>
      </c>
      <c r="U701" s="7" t="e">
        <f>IF(VLOOKUP($A701,'Concrete Beam Schedule'!$A$2:$Q$2902,U$2,0)&lt;&gt;E701,"Beam Revised","")</f>
        <v>#N/A</v>
      </c>
      <c r="V701" s="7" t="e">
        <f>IF(VLOOKUP($A701,'Concrete Beam Schedule'!$A$2:$Q$2902,V$2,0)&lt;&gt;F701,"Beam Revised","")</f>
        <v>#N/A</v>
      </c>
      <c r="W701" s="7" t="e">
        <f>IF(VLOOKUP($A701,'Concrete Beam Schedule'!$A$2:$Q$2902,W$2,0)&lt;&gt;G701,"Beam Revised","")</f>
        <v>#N/A</v>
      </c>
      <c r="X701" s="7" t="e">
        <f>IF(VLOOKUP($A701,'Concrete Beam Schedule'!$A$2:$Q$2902,X$2,0)&lt;&gt;H701,"Beam Revised","")</f>
        <v>#N/A</v>
      </c>
      <c r="Y701" s="7" t="e">
        <f>IF(VLOOKUP($A701,'Concrete Beam Schedule'!$A$2:$Q$2902,Y$2,0)&lt;&gt;I701,"Beam Revised","")</f>
        <v>#N/A</v>
      </c>
      <c r="Z701" s="7" t="e">
        <f>IF(VLOOKUP($A701,'Concrete Beam Schedule'!$A$2:$Q$2902,Z$2,0)&lt;&gt;J701,"Beam Revised","")</f>
        <v>#N/A</v>
      </c>
      <c r="AA701" s="7" t="e">
        <f>IF(VLOOKUP($A701,'Concrete Beam Schedule'!$A$2:$Q$2902,AA$2,0)&lt;&gt;K701,"Beam Revised","")</f>
        <v>#N/A</v>
      </c>
      <c r="AB701" s="7" t="e">
        <f>IF(VLOOKUP($A701,'Concrete Beam Schedule'!$A$2:$Q$2902,AB$2,0)&lt;&gt;L701,"Beam Revised","")</f>
        <v>#N/A</v>
      </c>
      <c r="AC701" s="7" t="e">
        <f>IF(VLOOKUP($A701,'Concrete Beam Schedule'!$A$2:$Q$2902,AC$2,0)&lt;&gt;M701,"Beam Revised","")</f>
        <v>#N/A</v>
      </c>
      <c r="AD701" s="7" t="e">
        <f>IF(VLOOKUP($A701,'Concrete Beam Schedule'!$A$2:$Q$2902,AD$2,0)&lt;&gt;N701,"Beam Revised","")</f>
        <v>#N/A</v>
      </c>
      <c r="AE701" s="7" t="e">
        <f>IF(VLOOKUP($A701,'Concrete Beam Schedule'!$A$2:$Q$2902,AE$2,0)&lt;&gt;O701,"Beam Revised","")</f>
        <v>#N/A</v>
      </c>
    </row>
    <row r="702" spans="17:31" ht="13.2" x14ac:dyDescent="0.25">
      <c r="Q702" s="7">
        <f t="shared" si="10"/>
        <v>0</v>
      </c>
      <c r="R702" s="7" t="e">
        <f>IF(VLOOKUP($A702,'Concrete Beam Schedule'!$A$2:$Q$2902,R$2,0)&lt;&gt;B702,VLOOKUP($A702,'Concrete Beam Schedule'!$A$2:$Q$2902,R$2,0),"")</f>
        <v>#N/A</v>
      </c>
      <c r="S702" s="7" t="e">
        <f>IF(VLOOKUP($A702,'Concrete Beam Schedule'!$A$2:$Q$2902,S$2,0)&lt;&gt;C702,VLOOKUP($A702,'Concrete Beam Schedule'!$A$2:$Q$2902,S$2,0),"")</f>
        <v>#N/A</v>
      </c>
      <c r="T702" s="7" t="e">
        <f>IF(VLOOKUP($A702,'Concrete Beam Schedule'!$A$2:$Q$2902,T$2,0)&lt;&gt;D702,"Beam Revised","")</f>
        <v>#N/A</v>
      </c>
      <c r="U702" s="7" t="e">
        <f>IF(VLOOKUP($A702,'Concrete Beam Schedule'!$A$2:$Q$2902,U$2,0)&lt;&gt;E702,"Beam Revised","")</f>
        <v>#N/A</v>
      </c>
      <c r="V702" s="7" t="e">
        <f>IF(VLOOKUP($A702,'Concrete Beam Schedule'!$A$2:$Q$2902,V$2,0)&lt;&gt;F702,"Beam Revised","")</f>
        <v>#N/A</v>
      </c>
      <c r="W702" s="7" t="e">
        <f>IF(VLOOKUP($A702,'Concrete Beam Schedule'!$A$2:$Q$2902,W$2,0)&lt;&gt;G702,"Beam Revised","")</f>
        <v>#N/A</v>
      </c>
      <c r="X702" s="7" t="e">
        <f>IF(VLOOKUP($A702,'Concrete Beam Schedule'!$A$2:$Q$2902,X$2,0)&lt;&gt;H702,"Beam Revised","")</f>
        <v>#N/A</v>
      </c>
      <c r="Y702" s="7" t="e">
        <f>IF(VLOOKUP($A702,'Concrete Beam Schedule'!$A$2:$Q$2902,Y$2,0)&lt;&gt;I702,"Beam Revised","")</f>
        <v>#N/A</v>
      </c>
      <c r="Z702" s="7" t="e">
        <f>IF(VLOOKUP($A702,'Concrete Beam Schedule'!$A$2:$Q$2902,Z$2,0)&lt;&gt;J702,"Beam Revised","")</f>
        <v>#N/A</v>
      </c>
      <c r="AA702" s="7" t="e">
        <f>IF(VLOOKUP($A702,'Concrete Beam Schedule'!$A$2:$Q$2902,AA$2,0)&lt;&gt;K702,"Beam Revised","")</f>
        <v>#N/A</v>
      </c>
      <c r="AB702" s="7" t="e">
        <f>IF(VLOOKUP($A702,'Concrete Beam Schedule'!$A$2:$Q$2902,AB$2,0)&lt;&gt;L702,"Beam Revised","")</f>
        <v>#N/A</v>
      </c>
      <c r="AC702" s="7" t="e">
        <f>IF(VLOOKUP($A702,'Concrete Beam Schedule'!$A$2:$Q$2902,AC$2,0)&lt;&gt;M702,"Beam Revised","")</f>
        <v>#N/A</v>
      </c>
      <c r="AD702" s="7" t="e">
        <f>IF(VLOOKUP($A702,'Concrete Beam Schedule'!$A$2:$Q$2902,AD$2,0)&lt;&gt;N702,"Beam Revised","")</f>
        <v>#N/A</v>
      </c>
      <c r="AE702" s="7" t="e">
        <f>IF(VLOOKUP($A702,'Concrete Beam Schedule'!$A$2:$Q$2902,AE$2,0)&lt;&gt;O702,"Beam Revised","")</f>
        <v>#N/A</v>
      </c>
    </row>
    <row r="703" spans="17:31" ht="13.2" x14ac:dyDescent="0.25">
      <c r="Q703" s="7">
        <f t="shared" si="10"/>
        <v>0</v>
      </c>
      <c r="R703" s="7" t="e">
        <f>IF(VLOOKUP($A703,'Concrete Beam Schedule'!$A$2:$Q$2902,R$2,0)&lt;&gt;B703,VLOOKUP($A703,'Concrete Beam Schedule'!$A$2:$Q$2902,R$2,0),"")</f>
        <v>#N/A</v>
      </c>
      <c r="S703" s="7" t="e">
        <f>IF(VLOOKUP($A703,'Concrete Beam Schedule'!$A$2:$Q$2902,S$2,0)&lt;&gt;C703,VLOOKUP($A703,'Concrete Beam Schedule'!$A$2:$Q$2902,S$2,0),"")</f>
        <v>#N/A</v>
      </c>
      <c r="T703" s="7" t="e">
        <f>IF(VLOOKUP($A703,'Concrete Beam Schedule'!$A$2:$Q$2902,T$2,0)&lt;&gt;D703,"Beam Revised","")</f>
        <v>#N/A</v>
      </c>
      <c r="U703" s="7" t="e">
        <f>IF(VLOOKUP($A703,'Concrete Beam Schedule'!$A$2:$Q$2902,U$2,0)&lt;&gt;E703,"Beam Revised","")</f>
        <v>#N/A</v>
      </c>
      <c r="V703" s="7" t="e">
        <f>IF(VLOOKUP($A703,'Concrete Beam Schedule'!$A$2:$Q$2902,V$2,0)&lt;&gt;F703,"Beam Revised","")</f>
        <v>#N/A</v>
      </c>
      <c r="W703" s="7" t="e">
        <f>IF(VLOOKUP($A703,'Concrete Beam Schedule'!$A$2:$Q$2902,W$2,0)&lt;&gt;G703,"Beam Revised","")</f>
        <v>#N/A</v>
      </c>
      <c r="X703" s="7" t="e">
        <f>IF(VLOOKUP($A703,'Concrete Beam Schedule'!$A$2:$Q$2902,X$2,0)&lt;&gt;H703,"Beam Revised","")</f>
        <v>#N/A</v>
      </c>
      <c r="Y703" s="7" t="e">
        <f>IF(VLOOKUP($A703,'Concrete Beam Schedule'!$A$2:$Q$2902,Y$2,0)&lt;&gt;I703,"Beam Revised","")</f>
        <v>#N/A</v>
      </c>
      <c r="Z703" s="7" t="e">
        <f>IF(VLOOKUP($A703,'Concrete Beam Schedule'!$A$2:$Q$2902,Z$2,0)&lt;&gt;J703,"Beam Revised","")</f>
        <v>#N/A</v>
      </c>
      <c r="AA703" s="7" t="e">
        <f>IF(VLOOKUP($A703,'Concrete Beam Schedule'!$A$2:$Q$2902,AA$2,0)&lt;&gt;K703,"Beam Revised","")</f>
        <v>#N/A</v>
      </c>
      <c r="AB703" s="7" t="e">
        <f>IF(VLOOKUP($A703,'Concrete Beam Schedule'!$A$2:$Q$2902,AB$2,0)&lt;&gt;L703,"Beam Revised","")</f>
        <v>#N/A</v>
      </c>
      <c r="AC703" s="7" t="e">
        <f>IF(VLOOKUP($A703,'Concrete Beam Schedule'!$A$2:$Q$2902,AC$2,0)&lt;&gt;M703,"Beam Revised","")</f>
        <v>#N/A</v>
      </c>
      <c r="AD703" s="7" t="e">
        <f>IF(VLOOKUP($A703,'Concrete Beam Schedule'!$A$2:$Q$2902,AD$2,0)&lt;&gt;N703,"Beam Revised","")</f>
        <v>#N/A</v>
      </c>
      <c r="AE703" s="7" t="e">
        <f>IF(VLOOKUP($A703,'Concrete Beam Schedule'!$A$2:$Q$2902,AE$2,0)&lt;&gt;O703,"Beam Revised","")</f>
        <v>#N/A</v>
      </c>
    </row>
    <row r="704" spans="17:31" ht="13.2" x14ac:dyDescent="0.25">
      <c r="Q704" s="7">
        <f t="shared" si="10"/>
        <v>0</v>
      </c>
      <c r="R704" s="7" t="e">
        <f>IF(VLOOKUP($A704,'Concrete Beam Schedule'!$A$2:$Q$2902,R$2,0)&lt;&gt;B704,VLOOKUP($A704,'Concrete Beam Schedule'!$A$2:$Q$2902,R$2,0),"")</f>
        <v>#N/A</v>
      </c>
      <c r="S704" s="7" t="e">
        <f>IF(VLOOKUP($A704,'Concrete Beam Schedule'!$A$2:$Q$2902,S$2,0)&lt;&gt;C704,VLOOKUP($A704,'Concrete Beam Schedule'!$A$2:$Q$2902,S$2,0),"")</f>
        <v>#N/A</v>
      </c>
      <c r="T704" s="7" t="e">
        <f>IF(VLOOKUP($A704,'Concrete Beam Schedule'!$A$2:$Q$2902,T$2,0)&lt;&gt;D704,"Beam Revised","")</f>
        <v>#N/A</v>
      </c>
      <c r="U704" s="7" t="e">
        <f>IF(VLOOKUP($A704,'Concrete Beam Schedule'!$A$2:$Q$2902,U$2,0)&lt;&gt;E704,"Beam Revised","")</f>
        <v>#N/A</v>
      </c>
      <c r="V704" s="7" t="e">
        <f>IF(VLOOKUP($A704,'Concrete Beam Schedule'!$A$2:$Q$2902,V$2,0)&lt;&gt;F704,"Beam Revised","")</f>
        <v>#N/A</v>
      </c>
      <c r="W704" s="7" t="e">
        <f>IF(VLOOKUP($A704,'Concrete Beam Schedule'!$A$2:$Q$2902,W$2,0)&lt;&gt;G704,"Beam Revised","")</f>
        <v>#N/A</v>
      </c>
      <c r="X704" s="7" t="e">
        <f>IF(VLOOKUP($A704,'Concrete Beam Schedule'!$A$2:$Q$2902,X$2,0)&lt;&gt;H704,"Beam Revised","")</f>
        <v>#N/A</v>
      </c>
      <c r="Y704" s="7" t="e">
        <f>IF(VLOOKUP($A704,'Concrete Beam Schedule'!$A$2:$Q$2902,Y$2,0)&lt;&gt;I704,"Beam Revised","")</f>
        <v>#N/A</v>
      </c>
      <c r="Z704" s="7" t="e">
        <f>IF(VLOOKUP($A704,'Concrete Beam Schedule'!$A$2:$Q$2902,Z$2,0)&lt;&gt;J704,"Beam Revised","")</f>
        <v>#N/A</v>
      </c>
      <c r="AA704" s="7" t="e">
        <f>IF(VLOOKUP($A704,'Concrete Beam Schedule'!$A$2:$Q$2902,AA$2,0)&lt;&gt;K704,"Beam Revised","")</f>
        <v>#N/A</v>
      </c>
      <c r="AB704" s="7" t="e">
        <f>IF(VLOOKUP($A704,'Concrete Beam Schedule'!$A$2:$Q$2902,AB$2,0)&lt;&gt;L704,"Beam Revised","")</f>
        <v>#N/A</v>
      </c>
      <c r="AC704" s="7" t="e">
        <f>IF(VLOOKUP($A704,'Concrete Beam Schedule'!$A$2:$Q$2902,AC$2,0)&lt;&gt;M704,"Beam Revised","")</f>
        <v>#N/A</v>
      </c>
      <c r="AD704" s="7" t="e">
        <f>IF(VLOOKUP($A704,'Concrete Beam Schedule'!$A$2:$Q$2902,AD$2,0)&lt;&gt;N704,"Beam Revised","")</f>
        <v>#N/A</v>
      </c>
      <c r="AE704" s="7" t="e">
        <f>IF(VLOOKUP($A704,'Concrete Beam Schedule'!$A$2:$Q$2902,AE$2,0)&lt;&gt;O704,"Beam Revised","")</f>
        <v>#N/A</v>
      </c>
    </row>
    <row r="705" spans="17:31" ht="13.2" x14ac:dyDescent="0.25">
      <c r="Q705" s="7">
        <f t="shared" si="10"/>
        <v>0</v>
      </c>
      <c r="R705" s="7" t="e">
        <f>IF(VLOOKUP($A705,'Concrete Beam Schedule'!$A$2:$Q$2902,R$2,0)&lt;&gt;B705,VLOOKUP($A705,'Concrete Beam Schedule'!$A$2:$Q$2902,R$2,0),"")</f>
        <v>#N/A</v>
      </c>
      <c r="S705" s="7" t="e">
        <f>IF(VLOOKUP($A705,'Concrete Beam Schedule'!$A$2:$Q$2902,S$2,0)&lt;&gt;C705,VLOOKUP($A705,'Concrete Beam Schedule'!$A$2:$Q$2902,S$2,0),"")</f>
        <v>#N/A</v>
      </c>
      <c r="T705" s="7" t="e">
        <f>IF(VLOOKUP($A705,'Concrete Beam Schedule'!$A$2:$Q$2902,T$2,0)&lt;&gt;D705,"Beam Revised","")</f>
        <v>#N/A</v>
      </c>
      <c r="U705" s="7" t="e">
        <f>IF(VLOOKUP($A705,'Concrete Beam Schedule'!$A$2:$Q$2902,U$2,0)&lt;&gt;E705,"Beam Revised","")</f>
        <v>#N/A</v>
      </c>
      <c r="V705" s="7" t="e">
        <f>IF(VLOOKUP($A705,'Concrete Beam Schedule'!$A$2:$Q$2902,V$2,0)&lt;&gt;F705,"Beam Revised","")</f>
        <v>#N/A</v>
      </c>
      <c r="W705" s="7" t="e">
        <f>IF(VLOOKUP($A705,'Concrete Beam Schedule'!$A$2:$Q$2902,W$2,0)&lt;&gt;G705,"Beam Revised","")</f>
        <v>#N/A</v>
      </c>
      <c r="X705" s="7" t="e">
        <f>IF(VLOOKUP($A705,'Concrete Beam Schedule'!$A$2:$Q$2902,X$2,0)&lt;&gt;H705,"Beam Revised","")</f>
        <v>#N/A</v>
      </c>
      <c r="Y705" s="7" t="e">
        <f>IF(VLOOKUP($A705,'Concrete Beam Schedule'!$A$2:$Q$2902,Y$2,0)&lt;&gt;I705,"Beam Revised","")</f>
        <v>#N/A</v>
      </c>
      <c r="Z705" s="7" t="e">
        <f>IF(VLOOKUP($A705,'Concrete Beam Schedule'!$A$2:$Q$2902,Z$2,0)&lt;&gt;J705,"Beam Revised","")</f>
        <v>#N/A</v>
      </c>
      <c r="AA705" s="7" t="e">
        <f>IF(VLOOKUP($A705,'Concrete Beam Schedule'!$A$2:$Q$2902,AA$2,0)&lt;&gt;K705,"Beam Revised","")</f>
        <v>#N/A</v>
      </c>
      <c r="AB705" s="7" t="e">
        <f>IF(VLOOKUP($A705,'Concrete Beam Schedule'!$A$2:$Q$2902,AB$2,0)&lt;&gt;L705,"Beam Revised","")</f>
        <v>#N/A</v>
      </c>
      <c r="AC705" s="7" t="e">
        <f>IF(VLOOKUP($A705,'Concrete Beam Schedule'!$A$2:$Q$2902,AC$2,0)&lt;&gt;M705,"Beam Revised","")</f>
        <v>#N/A</v>
      </c>
      <c r="AD705" s="7" t="e">
        <f>IF(VLOOKUP($A705,'Concrete Beam Schedule'!$A$2:$Q$2902,AD$2,0)&lt;&gt;N705,"Beam Revised","")</f>
        <v>#N/A</v>
      </c>
      <c r="AE705" s="7" t="e">
        <f>IF(VLOOKUP($A705,'Concrete Beam Schedule'!$A$2:$Q$2902,AE$2,0)&lt;&gt;O705,"Beam Revised","")</f>
        <v>#N/A</v>
      </c>
    </row>
    <row r="706" spans="17:31" ht="13.2" x14ac:dyDescent="0.25">
      <c r="Q706" s="7">
        <f t="shared" si="10"/>
        <v>0</v>
      </c>
      <c r="R706" s="7" t="e">
        <f>IF(VLOOKUP($A706,'Concrete Beam Schedule'!$A$2:$Q$2902,R$2,0)&lt;&gt;B706,VLOOKUP($A706,'Concrete Beam Schedule'!$A$2:$Q$2902,R$2,0),"")</f>
        <v>#N/A</v>
      </c>
      <c r="S706" s="7" t="e">
        <f>IF(VLOOKUP($A706,'Concrete Beam Schedule'!$A$2:$Q$2902,S$2,0)&lt;&gt;C706,VLOOKUP($A706,'Concrete Beam Schedule'!$A$2:$Q$2902,S$2,0),"")</f>
        <v>#N/A</v>
      </c>
      <c r="T706" s="7" t="e">
        <f>IF(VLOOKUP($A706,'Concrete Beam Schedule'!$A$2:$Q$2902,T$2,0)&lt;&gt;D706,"Beam Revised","")</f>
        <v>#N/A</v>
      </c>
      <c r="U706" s="7" t="e">
        <f>IF(VLOOKUP($A706,'Concrete Beam Schedule'!$A$2:$Q$2902,U$2,0)&lt;&gt;E706,"Beam Revised","")</f>
        <v>#N/A</v>
      </c>
      <c r="V706" s="7" t="e">
        <f>IF(VLOOKUP($A706,'Concrete Beam Schedule'!$A$2:$Q$2902,V$2,0)&lt;&gt;F706,"Beam Revised","")</f>
        <v>#N/A</v>
      </c>
      <c r="W706" s="7" t="e">
        <f>IF(VLOOKUP($A706,'Concrete Beam Schedule'!$A$2:$Q$2902,W$2,0)&lt;&gt;G706,"Beam Revised","")</f>
        <v>#N/A</v>
      </c>
      <c r="X706" s="7" t="e">
        <f>IF(VLOOKUP($A706,'Concrete Beam Schedule'!$A$2:$Q$2902,X$2,0)&lt;&gt;H706,"Beam Revised","")</f>
        <v>#N/A</v>
      </c>
      <c r="Y706" s="7" t="e">
        <f>IF(VLOOKUP($A706,'Concrete Beam Schedule'!$A$2:$Q$2902,Y$2,0)&lt;&gt;I706,"Beam Revised","")</f>
        <v>#N/A</v>
      </c>
      <c r="Z706" s="7" t="e">
        <f>IF(VLOOKUP($A706,'Concrete Beam Schedule'!$A$2:$Q$2902,Z$2,0)&lt;&gt;J706,"Beam Revised","")</f>
        <v>#N/A</v>
      </c>
      <c r="AA706" s="7" t="e">
        <f>IF(VLOOKUP($A706,'Concrete Beam Schedule'!$A$2:$Q$2902,AA$2,0)&lt;&gt;K706,"Beam Revised","")</f>
        <v>#N/A</v>
      </c>
      <c r="AB706" s="7" t="e">
        <f>IF(VLOOKUP($A706,'Concrete Beam Schedule'!$A$2:$Q$2902,AB$2,0)&lt;&gt;L706,"Beam Revised","")</f>
        <v>#N/A</v>
      </c>
      <c r="AC706" s="7" t="e">
        <f>IF(VLOOKUP($A706,'Concrete Beam Schedule'!$A$2:$Q$2902,AC$2,0)&lt;&gt;M706,"Beam Revised","")</f>
        <v>#N/A</v>
      </c>
      <c r="AD706" s="7" t="e">
        <f>IF(VLOOKUP($A706,'Concrete Beam Schedule'!$A$2:$Q$2902,AD$2,0)&lt;&gt;N706,"Beam Revised","")</f>
        <v>#N/A</v>
      </c>
      <c r="AE706" s="7" t="e">
        <f>IF(VLOOKUP($A706,'Concrete Beam Schedule'!$A$2:$Q$2902,AE$2,0)&lt;&gt;O706,"Beam Revised","")</f>
        <v>#N/A</v>
      </c>
    </row>
    <row r="707" spans="17:31" ht="13.2" x14ac:dyDescent="0.25">
      <c r="Q707" s="7">
        <f t="shared" si="10"/>
        <v>0</v>
      </c>
      <c r="R707" s="7" t="e">
        <f>IF(VLOOKUP($A707,'Concrete Beam Schedule'!$A$2:$Q$2902,R$2,0)&lt;&gt;B707,VLOOKUP($A707,'Concrete Beam Schedule'!$A$2:$Q$2902,R$2,0),"")</f>
        <v>#N/A</v>
      </c>
      <c r="S707" s="7" t="e">
        <f>IF(VLOOKUP($A707,'Concrete Beam Schedule'!$A$2:$Q$2902,S$2,0)&lt;&gt;C707,VLOOKUP($A707,'Concrete Beam Schedule'!$A$2:$Q$2902,S$2,0),"")</f>
        <v>#N/A</v>
      </c>
      <c r="T707" s="7" t="e">
        <f>IF(VLOOKUP($A707,'Concrete Beam Schedule'!$A$2:$Q$2902,T$2,0)&lt;&gt;D707,"Beam Revised","")</f>
        <v>#N/A</v>
      </c>
      <c r="U707" s="7" t="e">
        <f>IF(VLOOKUP($A707,'Concrete Beam Schedule'!$A$2:$Q$2902,U$2,0)&lt;&gt;E707,"Beam Revised","")</f>
        <v>#N/A</v>
      </c>
      <c r="V707" s="7" t="e">
        <f>IF(VLOOKUP($A707,'Concrete Beam Schedule'!$A$2:$Q$2902,V$2,0)&lt;&gt;F707,"Beam Revised","")</f>
        <v>#N/A</v>
      </c>
      <c r="W707" s="7" t="e">
        <f>IF(VLOOKUP($A707,'Concrete Beam Schedule'!$A$2:$Q$2902,W$2,0)&lt;&gt;G707,"Beam Revised","")</f>
        <v>#N/A</v>
      </c>
      <c r="X707" s="7" t="e">
        <f>IF(VLOOKUP($A707,'Concrete Beam Schedule'!$A$2:$Q$2902,X$2,0)&lt;&gt;H707,"Beam Revised","")</f>
        <v>#N/A</v>
      </c>
      <c r="Y707" s="7" t="e">
        <f>IF(VLOOKUP($A707,'Concrete Beam Schedule'!$A$2:$Q$2902,Y$2,0)&lt;&gt;I707,"Beam Revised","")</f>
        <v>#N/A</v>
      </c>
      <c r="Z707" s="7" t="e">
        <f>IF(VLOOKUP($A707,'Concrete Beam Schedule'!$A$2:$Q$2902,Z$2,0)&lt;&gt;J707,"Beam Revised","")</f>
        <v>#N/A</v>
      </c>
      <c r="AA707" s="7" t="e">
        <f>IF(VLOOKUP($A707,'Concrete Beam Schedule'!$A$2:$Q$2902,AA$2,0)&lt;&gt;K707,"Beam Revised","")</f>
        <v>#N/A</v>
      </c>
      <c r="AB707" s="7" t="e">
        <f>IF(VLOOKUP($A707,'Concrete Beam Schedule'!$A$2:$Q$2902,AB$2,0)&lt;&gt;L707,"Beam Revised","")</f>
        <v>#N/A</v>
      </c>
      <c r="AC707" s="7" t="e">
        <f>IF(VLOOKUP($A707,'Concrete Beam Schedule'!$A$2:$Q$2902,AC$2,0)&lt;&gt;M707,"Beam Revised","")</f>
        <v>#N/A</v>
      </c>
      <c r="AD707" s="7" t="e">
        <f>IF(VLOOKUP($A707,'Concrete Beam Schedule'!$A$2:$Q$2902,AD$2,0)&lt;&gt;N707,"Beam Revised","")</f>
        <v>#N/A</v>
      </c>
      <c r="AE707" s="7" t="e">
        <f>IF(VLOOKUP($A707,'Concrete Beam Schedule'!$A$2:$Q$2902,AE$2,0)&lt;&gt;O707,"Beam Revised","")</f>
        <v>#N/A</v>
      </c>
    </row>
    <row r="708" spans="17:31" ht="13.2" x14ac:dyDescent="0.25">
      <c r="Q708" s="7">
        <f t="shared" ref="Q708:Q771" si="11">A708</f>
        <v>0</v>
      </c>
      <c r="R708" s="7" t="e">
        <f>IF(VLOOKUP($A708,'Concrete Beam Schedule'!$A$2:$Q$2902,R$2,0)&lt;&gt;B708,VLOOKUP($A708,'Concrete Beam Schedule'!$A$2:$Q$2902,R$2,0),"")</f>
        <v>#N/A</v>
      </c>
      <c r="S708" s="7" t="e">
        <f>IF(VLOOKUP($A708,'Concrete Beam Schedule'!$A$2:$Q$2902,S$2,0)&lt;&gt;C708,VLOOKUP($A708,'Concrete Beam Schedule'!$A$2:$Q$2902,S$2,0),"")</f>
        <v>#N/A</v>
      </c>
      <c r="T708" s="7" t="e">
        <f>IF(VLOOKUP($A708,'Concrete Beam Schedule'!$A$2:$Q$2902,T$2,0)&lt;&gt;D708,"Beam Revised","")</f>
        <v>#N/A</v>
      </c>
      <c r="U708" s="7" t="e">
        <f>IF(VLOOKUP($A708,'Concrete Beam Schedule'!$A$2:$Q$2902,U$2,0)&lt;&gt;E708,"Beam Revised","")</f>
        <v>#N/A</v>
      </c>
      <c r="V708" s="7" t="e">
        <f>IF(VLOOKUP($A708,'Concrete Beam Schedule'!$A$2:$Q$2902,V$2,0)&lt;&gt;F708,"Beam Revised","")</f>
        <v>#N/A</v>
      </c>
      <c r="W708" s="7" t="e">
        <f>IF(VLOOKUP($A708,'Concrete Beam Schedule'!$A$2:$Q$2902,W$2,0)&lt;&gt;G708,"Beam Revised","")</f>
        <v>#N/A</v>
      </c>
      <c r="X708" s="7" t="e">
        <f>IF(VLOOKUP($A708,'Concrete Beam Schedule'!$A$2:$Q$2902,X$2,0)&lt;&gt;H708,"Beam Revised","")</f>
        <v>#N/A</v>
      </c>
      <c r="Y708" s="7" t="e">
        <f>IF(VLOOKUP($A708,'Concrete Beam Schedule'!$A$2:$Q$2902,Y$2,0)&lt;&gt;I708,"Beam Revised","")</f>
        <v>#N/A</v>
      </c>
      <c r="Z708" s="7" t="e">
        <f>IF(VLOOKUP($A708,'Concrete Beam Schedule'!$A$2:$Q$2902,Z$2,0)&lt;&gt;J708,"Beam Revised","")</f>
        <v>#N/A</v>
      </c>
      <c r="AA708" s="7" t="e">
        <f>IF(VLOOKUP($A708,'Concrete Beam Schedule'!$A$2:$Q$2902,AA$2,0)&lt;&gt;K708,"Beam Revised","")</f>
        <v>#N/A</v>
      </c>
      <c r="AB708" s="7" t="e">
        <f>IF(VLOOKUP($A708,'Concrete Beam Schedule'!$A$2:$Q$2902,AB$2,0)&lt;&gt;L708,"Beam Revised","")</f>
        <v>#N/A</v>
      </c>
      <c r="AC708" s="7" t="e">
        <f>IF(VLOOKUP($A708,'Concrete Beam Schedule'!$A$2:$Q$2902,AC$2,0)&lt;&gt;M708,"Beam Revised","")</f>
        <v>#N/A</v>
      </c>
      <c r="AD708" s="7" t="e">
        <f>IF(VLOOKUP($A708,'Concrete Beam Schedule'!$A$2:$Q$2902,AD$2,0)&lt;&gt;N708,"Beam Revised","")</f>
        <v>#N/A</v>
      </c>
      <c r="AE708" s="7" t="e">
        <f>IF(VLOOKUP($A708,'Concrete Beam Schedule'!$A$2:$Q$2902,AE$2,0)&lt;&gt;O708,"Beam Revised","")</f>
        <v>#N/A</v>
      </c>
    </row>
    <row r="709" spans="17:31" ht="13.2" x14ac:dyDescent="0.25">
      <c r="Q709" s="7">
        <f t="shared" si="11"/>
        <v>0</v>
      </c>
      <c r="R709" s="7" t="e">
        <f>IF(VLOOKUP($A709,'Concrete Beam Schedule'!$A$2:$Q$2902,R$2,0)&lt;&gt;B709,VLOOKUP($A709,'Concrete Beam Schedule'!$A$2:$Q$2902,R$2,0),"")</f>
        <v>#N/A</v>
      </c>
      <c r="S709" s="7" t="e">
        <f>IF(VLOOKUP($A709,'Concrete Beam Schedule'!$A$2:$Q$2902,S$2,0)&lt;&gt;C709,VLOOKUP($A709,'Concrete Beam Schedule'!$A$2:$Q$2902,S$2,0),"")</f>
        <v>#N/A</v>
      </c>
      <c r="T709" s="7" t="e">
        <f>IF(VLOOKUP($A709,'Concrete Beam Schedule'!$A$2:$Q$2902,T$2,0)&lt;&gt;D709,"Beam Revised","")</f>
        <v>#N/A</v>
      </c>
      <c r="U709" s="7" t="e">
        <f>IF(VLOOKUP($A709,'Concrete Beam Schedule'!$A$2:$Q$2902,U$2,0)&lt;&gt;E709,"Beam Revised","")</f>
        <v>#N/A</v>
      </c>
      <c r="V709" s="7" t="e">
        <f>IF(VLOOKUP($A709,'Concrete Beam Schedule'!$A$2:$Q$2902,V$2,0)&lt;&gt;F709,"Beam Revised","")</f>
        <v>#N/A</v>
      </c>
      <c r="W709" s="7" t="e">
        <f>IF(VLOOKUP($A709,'Concrete Beam Schedule'!$A$2:$Q$2902,W$2,0)&lt;&gt;G709,"Beam Revised","")</f>
        <v>#N/A</v>
      </c>
      <c r="X709" s="7" t="e">
        <f>IF(VLOOKUP($A709,'Concrete Beam Schedule'!$A$2:$Q$2902,X$2,0)&lt;&gt;H709,"Beam Revised","")</f>
        <v>#N/A</v>
      </c>
      <c r="Y709" s="7" t="e">
        <f>IF(VLOOKUP($A709,'Concrete Beam Schedule'!$A$2:$Q$2902,Y$2,0)&lt;&gt;I709,"Beam Revised","")</f>
        <v>#N/A</v>
      </c>
      <c r="Z709" s="7" t="e">
        <f>IF(VLOOKUP($A709,'Concrete Beam Schedule'!$A$2:$Q$2902,Z$2,0)&lt;&gt;J709,"Beam Revised","")</f>
        <v>#N/A</v>
      </c>
      <c r="AA709" s="7" t="e">
        <f>IF(VLOOKUP($A709,'Concrete Beam Schedule'!$A$2:$Q$2902,AA$2,0)&lt;&gt;K709,"Beam Revised","")</f>
        <v>#N/A</v>
      </c>
      <c r="AB709" s="7" t="e">
        <f>IF(VLOOKUP($A709,'Concrete Beam Schedule'!$A$2:$Q$2902,AB$2,0)&lt;&gt;L709,"Beam Revised","")</f>
        <v>#N/A</v>
      </c>
      <c r="AC709" s="7" t="e">
        <f>IF(VLOOKUP($A709,'Concrete Beam Schedule'!$A$2:$Q$2902,AC$2,0)&lt;&gt;M709,"Beam Revised","")</f>
        <v>#N/A</v>
      </c>
      <c r="AD709" s="7" t="e">
        <f>IF(VLOOKUP($A709,'Concrete Beam Schedule'!$A$2:$Q$2902,AD$2,0)&lt;&gt;N709,"Beam Revised","")</f>
        <v>#N/A</v>
      </c>
      <c r="AE709" s="7" t="e">
        <f>IF(VLOOKUP($A709,'Concrete Beam Schedule'!$A$2:$Q$2902,AE$2,0)&lt;&gt;O709,"Beam Revised","")</f>
        <v>#N/A</v>
      </c>
    </row>
    <row r="710" spans="17:31" ht="13.2" x14ac:dyDescent="0.25">
      <c r="Q710" s="7">
        <f t="shared" si="11"/>
        <v>0</v>
      </c>
      <c r="R710" s="7" t="e">
        <f>IF(VLOOKUP($A710,'Concrete Beam Schedule'!$A$2:$Q$2902,R$2,0)&lt;&gt;B710,VLOOKUP($A710,'Concrete Beam Schedule'!$A$2:$Q$2902,R$2,0),"")</f>
        <v>#N/A</v>
      </c>
      <c r="S710" s="7" t="e">
        <f>IF(VLOOKUP($A710,'Concrete Beam Schedule'!$A$2:$Q$2902,S$2,0)&lt;&gt;C710,VLOOKUP($A710,'Concrete Beam Schedule'!$A$2:$Q$2902,S$2,0),"")</f>
        <v>#N/A</v>
      </c>
      <c r="T710" s="7" t="e">
        <f>IF(VLOOKUP($A710,'Concrete Beam Schedule'!$A$2:$Q$2902,T$2,0)&lt;&gt;D710,"Beam Revised","")</f>
        <v>#N/A</v>
      </c>
      <c r="U710" s="7" t="e">
        <f>IF(VLOOKUP($A710,'Concrete Beam Schedule'!$A$2:$Q$2902,U$2,0)&lt;&gt;E710,"Beam Revised","")</f>
        <v>#N/A</v>
      </c>
      <c r="V710" s="7" t="e">
        <f>IF(VLOOKUP($A710,'Concrete Beam Schedule'!$A$2:$Q$2902,V$2,0)&lt;&gt;F710,"Beam Revised","")</f>
        <v>#N/A</v>
      </c>
      <c r="W710" s="7" t="e">
        <f>IF(VLOOKUP($A710,'Concrete Beam Schedule'!$A$2:$Q$2902,W$2,0)&lt;&gt;G710,"Beam Revised","")</f>
        <v>#N/A</v>
      </c>
      <c r="X710" s="7" t="e">
        <f>IF(VLOOKUP($A710,'Concrete Beam Schedule'!$A$2:$Q$2902,X$2,0)&lt;&gt;H710,"Beam Revised","")</f>
        <v>#N/A</v>
      </c>
      <c r="Y710" s="7" t="e">
        <f>IF(VLOOKUP($A710,'Concrete Beam Schedule'!$A$2:$Q$2902,Y$2,0)&lt;&gt;I710,"Beam Revised","")</f>
        <v>#N/A</v>
      </c>
      <c r="Z710" s="7" t="e">
        <f>IF(VLOOKUP($A710,'Concrete Beam Schedule'!$A$2:$Q$2902,Z$2,0)&lt;&gt;J710,"Beam Revised","")</f>
        <v>#N/A</v>
      </c>
      <c r="AA710" s="7" t="e">
        <f>IF(VLOOKUP($A710,'Concrete Beam Schedule'!$A$2:$Q$2902,AA$2,0)&lt;&gt;K710,"Beam Revised","")</f>
        <v>#N/A</v>
      </c>
      <c r="AB710" s="7" t="e">
        <f>IF(VLOOKUP($A710,'Concrete Beam Schedule'!$A$2:$Q$2902,AB$2,0)&lt;&gt;L710,"Beam Revised","")</f>
        <v>#N/A</v>
      </c>
      <c r="AC710" s="7" t="e">
        <f>IF(VLOOKUP($A710,'Concrete Beam Schedule'!$A$2:$Q$2902,AC$2,0)&lt;&gt;M710,"Beam Revised","")</f>
        <v>#N/A</v>
      </c>
      <c r="AD710" s="7" t="e">
        <f>IF(VLOOKUP($A710,'Concrete Beam Schedule'!$A$2:$Q$2902,AD$2,0)&lt;&gt;N710,"Beam Revised","")</f>
        <v>#N/A</v>
      </c>
      <c r="AE710" s="7" t="e">
        <f>IF(VLOOKUP($A710,'Concrete Beam Schedule'!$A$2:$Q$2902,AE$2,0)&lt;&gt;O710,"Beam Revised","")</f>
        <v>#N/A</v>
      </c>
    </row>
    <row r="711" spans="17:31" ht="13.2" x14ac:dyDescent="0.25">
      <c r="Q711" s="7">
        <f t="shared" si="11"/>
        <v>0</v>
      </c>
      <c r="R711" s="7" t="e">
        <f>IF(VLOOKUP($A711,'Concrete Beam Schedule'!$A$2:$Q$2902,R$2,0)&lt;&gt;B711,VLOOKUP($A711,'Concrete Beam Schedule'!$A$2:$Q$2902,R$2,0),"")</f>
        <v>#N/A</v>
      </c>
      <c r="S711" s="7" t="e">
        <f>IF(VLOOKUP($A711,'Concrete Beam Schedule'!$A$2:$Q$2902,S$2,0)&lt;&gt;C711,VLOOKUP($A711,'Concrete Beam Schedule'!$A$2:$Q$2902,S$2,0),"")</f>
        <v>#N/A</v>
      </c>
      <c r="T711" s="7" t="e">
        <f>IF(VLOOKUP($A711,'Concrete Beam Schedule'!$A$2:$Q$2902,T$2,0)&lt;&gt;D711,"Beam Revised","")</f>
        <v>#N/A</v>
      </c>
      <c r="U711" s="7" t="e">
        <f>IF(VLOOKUP($A711,'Concrete Beam Schedule'!$A$2:$Q$2902,U$2,0)&lt;&gt;E711,"Beam Revised","")</f>
        <v>#N/A</v>
      </c>
      <c r="V711" s="7" t="e">
        <f>IF(VLOOKUP($A711,'Concrete Beam Schedule'!$A$2:$Q$2902,V$2,0)&lt;&gt;F711,"Beam Revised","")</f>
        <v>#N/A</v>
      </c>
      <c r="W711" s="7" t="e">
        <f>IF(VLOOKUP($A711,'Concrete Beam Schedule'!$A$2:$Q$2902,W$2,0)&lt;&gt;G711,"Beam Revised","")</f>
        <v>#N/A</v>
      </c>
      <c r="X711" s="7" t="e">
        <f>IF(VLOOKUP($A711,'Concrete Beam Schedule'!$A$2:$Q$2902,X$2,0)&lt;&gt;H711,"Beam Revised","")</f>
        <v>#N/A</v>
      </c>
      <c r="Y711" s="7" t="e">
        <f>IF(VLOOKUP($A711,'Concrete Beam Schedule'!$A$2:$Q$2902,Y$2,0)&lt;&gt;I711,"Beam Revised","")</f>
        <v>#N/A</v>
      </c>
      <c r="Z711" s="7" t="e">
        <f>IF(VLOOKUP($A711,'Concrete Beam Schedule'!$A$2:$Q$2902,Z$2,0)&lt;&gt;J711,"Beam Revised","")</f>
        <v>#N/A</v>
      </c>
      <c r="AA711" s="7" t="e">
        <f>IF(VLOOKUP($A711,'Concrete Beam Schedule'!$A$2:$Q$2902,AA$2,0)&lt;&gt;K711,"Beam Revised","")</f>
        <v>#N/A</v>
      </c>
      <c r="AB711" s="7" t="e">
        <f>IF(VLOOKUP($A711,'Concrete Beam Schedule'!$A$2:$Q$2902,AB$2,0)&lt;&gt;L711,"Beam Revised","")</f>
        <v>#N/A</v>
      </c>
      <c r="AC711" s="7" t="e">
        <f>IF(VLOOKUP($A711,'Concrete Beam Schedule'!$A$2:$Q$2902,AC$2,0)&lt;&gt;M711,"Beam Revised","")</f>
        <v>#N/A</v>
      </c>
      <c r="AD711" s="7" t="e">
        <f>IF(VLOOKUP($A711,'Concrete Beam Schedule'!$A$2:$Q$2902,AD$2,0)&lt;&gt;N711,"Beam Revised","")</f>
        <v>#N/A</v>
      </c>
      <c r="AE711" s="7" t="e">
        <f>IF(VLOOKUP($A711,'Concrete Beam Schedule'!$A$2:$Q$2902,AE$2,0)&lt;&gt;O711,"Beam Revised","")</f>
        <v>#N/A</v>
      </c>
    </row>
    <row r="712" spans="17:31" ht="13.2" x14ac:dyDescent="0.25">
      <c r="Q712" s="7">
        <f t="shared" si="11"/>
        <v>0</v>
      </c>
      <c r="R712" s="7" t="e">
        <f>IF(VLOOKUP($A712,'Concrete Beam Schedule'!$A$2:$Q$2902,R$2,0)&lt;&gt;B712,VLOOKUP($A712,'Concrete Beam Schedule'!$A$2:$Q$2902,R$2,0),"")</f>
        <v>#N/A</v>
      </c>
      <c r="S712" s="7" t="e">
        <f>IF(VLOOKUP($A712,'Concrete Beam Schedule'!$A$2:$Q$2902,S$2,0)&lt;&gt;C712,VLOOKUP($A712,'Concrete Beam Schedule'!$A$2:$Q$2902,S$2,0),"")</f>
        <v>#N/A</v>
      </c>
      <c r="T712" s="7" t="e">
        <f>IF(VLOOKUP($A712,'Concrete Beam Schedule'!$A$2:$Q$2902,T$2,0)&lt;&gt;D712,"Beam Revised","")</f>
        <v>#N/A</v>
      </c>
      <c r="U712" s="7" t="e">
        <f>IF(VLOOKUP($A712,'Concrete Beam Schedule'!$A$2:$Q$2902,U$2,0)&lt;&gt;E712,"Beam Revised","")</f>
        <v>#N/A</v>
      </c>
      <c r="V712" s="7" t="e">
        <f>IF(VLOOKUP($A712,'Concrete Beam Schedule'!$A$2:$Q$2902,V$2,0)&lt;&gt;F712,"Beam Revised","")</f>
        <v>#N/A</v>
      </c>
      <c r="W712" s="7" t="e">
        <f>IF(VLOOKUP($A712,'Concrete Beam Schedule'!$A$2:$Q$2902,W$2,0)&lt;&gt;G712,"Beam Revised","")</f>
        <v>#N/A</v>
      </c>
      <c r="X712" s="7" t="e">
        <f>IF(VLOOKUP($A712,'Concrete Beam Schedule'!$A$2:$Q$2902,X$2,0)&lt;&gt;H712,"Beam Revised","")</f>
        <v>#N/A</v>
      </c>
      <c r="Y712" s="7" t="e">
        <f>IF(VLOOKUP($A712,'Concrete Beam Schedule'!$A$2:$Q$2902,Y$2,0)&lt;&gt;I712,"Beam Revised","")</f>
        <v>#N/A</v>
      </c>
      <c r="Z712" s="7" t="e">
        <f>IF(VLOOKUP($A712,'Concrete Beam Schedule'!$A$2:$Q$2902,Z$2,0)&lt;&gt;J712,"Beam Revised","")</f>
        <v>#N/A</v>
      </c>
      <c r="AA712" s="7" t="e">
        <f>IF(VLOOKUP($A712,'Concrete Beam Schedule'!$A$2:$Q$2902,AA$2,0)&lt;&gt;K712,"Beam Revised","")</f>
        <v>#N/A</v>
      </c>
      <c r="AB712" s="7" t="e">
        <f>IF(VLOOKUP($A712,'Concrete Beam Schedule'!$A$2:$Q$2902,AB$2,0)&lt;&gt;L712,"Beam Revised","")</f>
        <v>#N/A</v>
      </c>
      <c r="AC712" s="7" t="e">
        <f>IF(VLOOKUP($A712,'Concrete Beam Schedule'!$A$2:$Q$2902,AC$2,0)&lt;&gt;M712,"Beam Revised","")</f>
        <v>#N/A</v>
      </c>
      <c r="AD712" s="7" t="e">
        <f>IF(VLOOKUP($A712,'Concrete Beam Schedule'!$A$2:$Q$2902,AD$2,0)&lt;&gt;N712,"Beam Revised","")</f>
        <v>#N/A</v>
      </c>
      <c r="AE712" s="7" t="e">
        <f>IF(VLOOKUP($A712,'Concrete Beam Schedule'!$A$2:$Q$2902,AE$2,0)&lt;&gt;O712,"Beam Revised","")</f>
        <v>#N/A</v>
      </c>
    </row>
    <row r="713" spans="17:31" ht="13.2" x14ac:dyDescent="0.25">
      <c r="Q713" s="7">
        <f t="shared" si="11"/>
        <v>0</v>
      </c>
      <c r="R713" s="7" t="e">
        <f>IF(VLOOKUP($A713,'Concrete Beam Schedule'!$A$2:$Q$2902,R$2,0)&lt;&gt;B713,VLOOKUP($A713,'Concrete Beam Schedule'!$A$2:$Q$2902,R$2,0),"")</f>
        <v>#N/A</v>
      </c>
      <c r="S713" s="7" t="e">
        <f>IF(VLOOKUP($A713,'Concrete Beam Schedule'!$A$2:$Q$2902,S$2,0)&lt;&gt;C713,VLOOKUP($A713,'Concrete Beam Schedule'!$A$2:$Q$2902,S$2,0),"")</f>
        <v>#N/A</v>
      </c>
      <c r="T713" s="7" t="e">
        <f>IF(VLOOKUP($A713,'Concrete Beam Schedule'!$A$2:$Q$2902,T$2,0)&lt;&gt;D713,"Beam Revised","")</f>
        <v>#N/A</v>
      </c>
      <c r="U713" s="7" t="e">
        <f>IF(VLOOKUP($A713,'Concrete Beam Schedule'!$A$2:$Q$2902,U$2,0)&lt;&gt;E713,"Beam Revised","")</f>
        <v>#N/A</v>
      </c>
      <c r="V713" s="7" t="e">
        <f>IF(VLOOKUP($A713,'Concrete Beam Schedule'!$A$2:$Q$2902,V$2,0)&lt;&gt;F713,"Beam Revised","")</f>
        <v>#N/A</v>
      </c>
      <c r="W713" s="7" t="e">
        <f>IF(VLOOKUP($A713,'Concrete Beam Schedule'!$A$2:$Q$2902,W$2,0)&lt;&gt;G713,"Beam Revised","")</f>
        <v>#N/A</v>
      </c>
      <c r="X713" s="7" t="e">
        <f>IF(VLOOKUP($A713,'Concrete Beam Schedule'!$A$2:$Q$2902,X$2,0)&lt;&gt;H713,"Beam Revised","")</f>
        <v>#N/A</v>
      </c>
      <c r="Y713" s="7" t="e">
        <f>IF(VLOOKUP($A713,'Concrete Beam Schedule'!$A$2:$Q$2902,Y$2,0)&lt;&gt;I713,"Beam Revised","")</f>
        <v>#N/A</v>
      </c>
      <c r="Z713" s="7" t="e">
        <f>IF(VLOOKUP($A713,'Concrete Beam Schedule'!$A$2:$Q$2902,Z$2,0)&lt;&gt;J713,"Beam Revised","")</f>
        <v>#N/A</v>
      </c>
      <c r="AA713" s="7" t="e">
        <f>IF(VLOOKUP($A713,'Concrete Beam Schedule'!$A$2:$Q$2902,AA$2,0)&lt;&gt;K713,"Beam Revised","")</f>
        <v>#N/A</v>
      </c>
      <c r="AB713" s="7" t="e">
        <f>IF(VLOOKUP($A713,'Concrete Beam Schedule'!$A$2:$Q$2902,AB$2,0)&lt;&gt;L713,"Beam Revised","")</f>
        <v>#N/A</v>
      </c>
      <c r="AC713" s="7" t="e">
        <f>IF(VLOOKUP($A713,'Concrete Beam Schedule'!$A$2:$Q$2902,AC$2,0)&lt;&gt;M713,"Beam Revised","")</f>
        <v>#N/A</v>
      </c>
      <c r="AD713" s="7" t="e">
        <f>IF(VLOOKUP($A713,'Concrete Beam Schedule'!$A$2:$Q$2902,AD$2,0)&lt;&gt;N713,"Beam Revised","")</f>
        <v>#N/A</v>
      </c>
      <c r="AE713" s="7" t="e">
        <f>IF(VLOOKUP($A713,'Concrete Beam Schedule'!$A$2:$Q$2902,AE$2,0)&lt;&gt;O713,"Beam Revised","")</f>
        <v>#N/A</v>
      </c>
    </row>
    <row r="714" spans="17:31" ht="13.2" x14ac:dyDescent="0.25">
      <c r="Q714" s="7">
        <f t="shared" si="11"/>
        <v>0</v>
      </c>
      <c r="R714" s="7" t="e">
        <f>IF(VLOOKUP($A714,'Concrete Beam Schedule'!$A$2:$Q$2902,R$2,0)&lt;&gt;B714,VLOOKUP($A714,'Concrete Beam Schedule'!$A$2:$Q$2902,R$2,0),"")</f>
        <v>#N/A</v>
      </c>
      <c r="S714" s="7" t="e">
        <f>IF(VLOOKUP($A714,'Concrete Beam Schedule'!$A$2:$Q$2902,S$2,0)&lt;&gt;C714,VLOOKUP($A714,'Concrete Beam Schedule'!$A$2:$Q$2902,S$2,0),"")</f>
        <v>#N/A</v>
      </c>
      <c r="T714" s="7" t="e">
        <f>IF(VLOOKUP($A714,'Concrete Beam Schedule'!$A$2:$Q$2902,T$2,0)&lt;&gt;D714,"Beam Revised","")</f>
        <v>#N/A</v>
      </c>
      <c r="U714" s="7" t="e">
        <f>IF(VLOOKUP($A714,'Concrete Beam Schedule'!$A$2:$Q$2902,U$2,0)&lt;&gt;E714,"Beam Revised","")</f>
        <v>#N/A</v>
      </c>
      <c r="V714" s="7" t="e">
        <f>IF(VLOOKUP($A714,'Concrete Beam Schedule'!$A$2:$Q$2902,V$2,0)&lt;&gt;F714,"Beam Revised","")</f>
        <v>#N/A</v>
      </c>
      <c r="W714" s="7" t="e">
        <f>IF(VLOOKUP($A714,'Concrete Beam Schedule'!$A$2:$Q$2902,W$2,0)&lt;&gt;G714,"Beam Revised","")</f>
        <v>#N/A</v>
      </c>
      <c r="X714" s="7" t="e">
        <f>IF(VLOOKUP($A714,'Concrete Beam Schedule'!$A$2:$Q$2902,X$2,0)&lt;&gt;H714,"Beam Revised","")</f>
        <v>#N/A</v>
      </c>
      <c r="Y714" s="7" t="e">
        <f>IF(VLOOKUP($A714,'Concrete Beam Schedule'!$A$2:$Q$2902,Y$2,0)&lt;&gt;I714,"Beam Revised","")</f>
        <v>#N/A</v>
      </c>
      <c r="Z714" s="7" t="e">
        <f>IF(VLOOKUP($A714,'Concrete Beam Schedule'!$A$2:$Q$2902,Z$2,0)&lt;&gt;J714,"Beam Revised","")</f>
        <v>#N/A</v>
      </c>
      <c r="AA714" s="7" t="e">
        <f>IF(VLOOKUP($A714,'Concrete Beam Schedule'!$A$2:$Q$2902,AA$2,0)&lt;&gt;K714,"Beam Revised","")</f>
        <v>#N/A</v>
      </c>
      <c r="AB714" s="7" t="e">
        <f>IF(VLOOKUP($A714,'Concrete Beam Schedule'!$A$2:$Q$2902,AB$2,0)&lt;&gt;L714,"Beam Revised","")</f>
        <v>#N/A</v>
      </c>
      <c r="AC714" s="7" t="e">
        <f>IF(VLOOKUP($A714,'Concrete Beam Schedule'!$A$2:$Q$2902,AC$2,0)&lt;&gt;M714,"Beam Revised","")</f>
        <v>#N/A</v>
      </c>
      <c r="AD714" s="7" t="e">
        <f>IF(VLOOKUP($A714,'Concrete Beam Schedule'!$A$2:$Q$2902,AD$2,0)&lt;&gt;N714,"Beam Revised","")</f>
        <v>#N/A</v>
      </c>
      <c r="AE714" s="7" t="e">
        <f>IF(VLOOKUP($A714,'Concrete Beam Schedule'!$A$2:$Q$2902,AE$2,0)&lt;&gt;O714,"Beam Revised","")</f>
        <v>#N/A</v>
      </c>
    </row>
    <row r="715" spans="17:31" ht="13.2" x14ac:dyDescent="0.25">
      <c r="Q715" s="7">
        <f t="shared" si="11"/>
        <v>0</v>
      </c>
      <c r="R715" s="7" t="e">
        <f>IF(VLOOKUP($A715,'Concrete Beam Schedule'!$A$2:$Q$2902,R$2,0)&lt;&gt;B715,VLOOKUP($A715,'Concrete Beam Schedule'!$A$2:$Q$2902,R$2,0),"")</f>
        <v>#N/A</v>
      </c>
      <c r="S715" s="7" t="e">
        <f>IF(VLOOKUP($A715,'Concrete Beam Schedule'!$A$2:$Q$2902,S$2,0)&lt;&gt;C715,VLOOKUP($A715,'Concrete Beam Schedule'!$A$2:$Q$2902,S$2,0),"")</f>
        <v>#N/A</v>
      </c>
      <c r="T715" s="7" t="e">
        <f>IF(VLOOKUP($A715,'Concrete Beam Schedule'!$A$2:$Q$2902,T$2,0)&lt;&gt;D715,"Beam Revised","")</f>
        <v>#N/A</v>
      </c>
      <c r="U715" s="7" t="e">
        <f>IF(VLOOKUP($A715,'Concrete Beam Schedule'!$A$2:$Q$2902,U$2,0)&lt;&gt;E715,"Beam Revised","")</f>
        <v>#N/A</v>
      </c>
      <c r="V715" s="7" t="e">
        <f>IF(VLOOKUP($A715,'Concrete Beam Schedule'!$A$2:$Q$2902,V$2,0)&lt;&gt;F715,"Beam Revised","")</f>
        <v>#N/A</v>
      </c>
      <c r="W715" s="7" t="e">
        <f>IF(VLOOKUP($A715,'Concrete Beam Schedule'!$A$2:$Q$2902,W$2,0)&lt;&gt;G715,"Beam Revised","")</f>
        <v>#N/A</v>
      </c>
      <c r="X715" s="7" t="e">
        <f>IF(VLOOKUP($A715,'Concrete Beam Schedule'!$A$2:$Q$2902,X$2,0)&lt;&gt;H715,"Beam Revised","")</f>
        <v>#N/A</v>
      </c>
      <c r="Y715" s="7" t="e">
        <f>IF(VLOOKUP($A715,'Concrete Beam Schedule'!$A$2:$Q$2902,Y$2,0)&lt;&gt;I715,"Beam Revised","")</f>
        <v>#N/A</v>
      </c>
      <c r="Z715" s="7" t="e">
        <f>IF(VLOOKUP($A715,'Concrete Beam Schedule'!$A$2:$Q$2902,Z$2,0)&lt;&gt;J715,"Beam Revised","")</f>
        <v>#N/A</v>
      </c>
      <c r="AA715" s="7" t="e">
        <f>IF(VLOOKUP($A715,'Concrete Beam Schedule'!$A$2:$Q$2902,AA$2,0)&lt;&gt;K715,"Beam Revised","")</f>
        <v>#N/A</v>
      </c>
      <c r="AB715" s="7" t="e">
        <f>IF(VLOOKUP($A715,'Concrete Beam Schedule'!$A$2:$Q$2902,AB$2,0)&lt;&gt;L715,"Beam Revised","")</f>
        <v>#N/A</v>
      </c>
      <c r="AC715" s="7" t="e">
        <f>IF(VLOOKUP($A715,'Concrete Beam Schedule'!$A$2:$Q$2902,AC$2,0)&lt;&gt;M715,"Beam Revised","")</f>
        <v>#N/A</v>
      </c>
      <c r="AD715" s="7" t="e">
        <f>IF(VLOOKUP($A715,'Concrete Beam Schedule'!$A$2:$Q$2902,AD$2,0)&lt;&gt;N715,"Beam Revised","")</f>
        <v>#N/A</v>
      </c>
      <c r="AE715" s="7" t="e">
        <f>IF(VLOOKUP($A715,'Concrete Beam Schedule'!$A$2:$Q$2902,AE$2,0)&lt;&gt;O715,"Beam Revised","")</f>
        <v>#N/A</v>
      </c>
    </row>
    <row r="716" spans="17:31" ht="13.2" x14ac:dyDescent="0.25">
      <c r="Q716" s="7">
        <f t="shared" si="11"/>
        <v>0</v>
      </c>
      <c r="R716" s="7" t="e">
        <f>IF(VLOOKUP($A716,'Concrete Beam Schedule'!$A$2:$Q$2902,R$2,0)&lt;&gt;B716,VLOOKUP($A716,'Concrete Beam Schedule'!$A$2:$Q$2902,R$2,0),"")</f>
        <v>#N/A</v>
      </c>
      <c r="S716" s="7" t="e">
        <f>IF(VLOOKUP($A716,'Concrete Beam Schedule'!$A$2:$Q$2902,S$2,0)&lt;&gt;C716,VLOOKUP($A716,'Concrete Beam Schedule'!$A$2:$Q$2902,S$2,0),"")</f>
        <v>#N/A</v>
      </c>
      <c r="T716" s="7" t="e">
        <f>IF(VLOOKUP($A716,'Concrete Beam Schedule'!$A$2:$Q$2902,T$2,0)&lt;&gt;D716,"Beam Revised","")</f>
        <v>#N/A</v>
      </c>
      <c r="U716" s="7" t="e">
        <f>IF(VLOOKUP($A716,'Concrete Beam Schedule'!$A$2:$Q$2902,U$2,0)&lt;&gt;E716,"Beam Revised","")</f>
        <v>#N/A</v>
      </c>
      <c r="V716" s="7" t="e">
        <f>IF(VLOOKUP($A716,'Concrete Beam Schedule'!$A$2:$Q$2902,V$2,0)&lt;&gt;F716,"Beam Revised","")</f>
        <v>#N/A</v>
      </c>
      <c r="W716" s="7" t="e">
        <f>IF(VLOOKUP($A716,'Concrete Beam Schedule'!$A$2:$Q$2902,W$2,0)&lt;&gt;G716,"Beam Revised","")</f>
        <v>#N/A</v>
      </c>
      <c r="X716" s="7" t="e">
        <f>IF(VLOOKUP($A716,'Concrete Beam Schedule'!$A$2:$Q$2902,X$2,0)&lt;&gt;H716,"Beam Revised","")</f>
        <v>#N/A</v>
      </c>
      <c r="Y716" s="7" t="e">
        <f>IF(VLOOKUP($A716,'Concrete Beam Schedule'!$A$2:$Q$2902,Y$2,0)&lt;&gt;I716,"Beam Revised","")</f>
        <v>#N/A</v>
      </c>
      <c r="Z716" s="7" t="e">
        <f>IF(VLOOKUP($A716,'Concrete Beam Schedule'!$A$2:$Q$2902,Z$2,0)&lt;&gt;J716,"Beam Revised","")</f>
        <v>#N/A</v>
      </c>
      <c r="AA716" s="7" t="e">
        <f>IF(VLOOKUP($A716,'Concrete Beam Schedule'!$A$2:$Q$2902,AA$2,0)&lt;&gt;K716,"Beam Revised","")</f>
        <v>#N/A</v>
      </c>
      <c r="AB716" s="7" t="e">
        <f>IF(VLOOKUP($A716,'Concrete Beam Schedule'!$A$2:$Q$2902,AB$2,0)&lt;&gt;L716,"Beam Revised","")</f>
        <v>#N/A</v>
      </c>
      <c r="AC716" s="7" t="e">
        <f>IF(VLOOKUP($A716,'Concrete Beam Schedule'!$A$2:$Q$2902,AC$2,0)&lt;&gt;M716,"Beam Revised","")</f>
        <v>#N/A</v>
      </c>
      <c r="AD716" s="7" t="e">
        <f>IF(VLOOKUP($A716,'Concrete Beam Schedule'!$A$2:$Q$2902,AD$2,0)&lt;&gt;N716,"Beam Revised","")</f>
        <v>#N/A</v>
      </c>
      <c r="AE716" s="7" t="e">
        <f>IF(VLOOKUP($A716,'Concrete Beam Schedule'!$A$2:$Q$2902,AE$2,0)&lt;&gt;O716,"Beam Revised","")</f>
        <v>#N/A</v>
      </c>
    </row>
    <row r="717" spans="17:31" ht="13.2" x14ac:dyDescent="0.25">
      <c r="Q717" s="7">
        <f t="shared" si="11"/>
        <v>0</v>
      </c>
      <c r="R717" s="7" t="e">
        <f>IF(VLOOKUP($A717,'Concrete Beam Schedule'!$A$2:$Q$2902,R$2,0)&lt;&gt;B717,VLOOKUP($A717,'Concrete Beam Schedule'!$A$2:$Q$2902,R$2,0),"")</f>
        <v>#N/A</v>
      </c>
      <c r="S717" s="7" t="e">
        <f>IF(VLOOKUP($A717,'Concrete Beam Schedule'!$A$2:$Q$2902,S$2,0)&lt;&gt;C717,VLOOKUP($A717,'Concrete Beam Schedule'!$A$2:$Q$2902,S$2,0),"")</f>
        <v>#N/A</v>
      </c>
      <c r="T717" s="7" t="e">
        <f>IF(VLOOKUP($A717,'Concrete Beam Schedule'!$A$2:$Q$2902,T$2,0)&lt;&gt;D717,"Beam Revised","")</f>
        <v>#N/A</v>
      </c>
      <c r="U717" s="7" t="e">
        <f>IF(VLOOKUP($A717,'Concrete Beam Schedule'!$A$2:$Q$2902,U$2,0)&lt;&gt;E717,"Beam Revised","")</f>
        <v>#N/A</v>
      </c>
      <c r="V717" s="7" t="e">
        <f>IF(VLOOKUP($A717,'Concrete Beam Schedule'!$A$2:$Q$2902,V$2,0)&lt;&gt;F717,"Beam Revised","")</f>
        <v>#N/A</v>
      </c>
      <c r="W717" s="7" t="e">
        <f>IF(VLOOKUP($A717,'Concrete Beam Schedule'!$A$2:$Q$2902,W$2,0)&lt;&gt;G717,"Beam Revised","")</f>
        <v>#N/A</v>
      </c>
      <c r="X717" s="7" t="e">
        <f>IF(VLOOKUP($A717,'Concrete Beam Schedule'!$A$2:$Q$2902,X$2,0)&lt;&gt;H717,"Beam Revised","")</f>
        <v>#N/A</v>
      </c>
      <c r="Y717" s="7" t="e">
        <f>IF(VLOOKUP($A717,'Concrete Beam Schedule'!$A$2:$Q$2902,Y$2,0)&lt;&gt;I717,"Beam Revised","")</f>
        <v>#N/A</v>
      </c>
      <c r="Z717" s="7" t="e">
        <f>IF(VLOOKUP($A717,'Concrete Beam Schedule'!$A$2:$Q$2902,Z$2,0)&lt;&gt;J717,"Beam Revised","")</f>
        <v>#N/A</v>
      </c>
      <c r="AA717" s="7" t="e">
        <f>IF(VLOOKUP($A717,'Concrete Beam Schedule'!$A$2:$Q$2902,AA$2,0)&lt;&gt;K717,"Beam Revised","")</f>
        <v>#N/A</v>
      </c>
      <c r="AB717" s="7" t="e">
        <f>IF(VLOOKUP($A717,'Concrete Beam Schedule'!$A$2:$Q$2902,AB$2,0)&lt;&gt;L717,"Beam Revised","")</f>
        <v>#N/A</v>
      </c>
      <c r="AC717" s="7" t="e">
        <f>IF(VLOOKUP($A717,'Concrete Beam Schedule'!$A$2:$Q$2902,AC$2,0)&lt;&gt;M717,"Beam Revised","")</f>
        <v>#N/A</v>
      </c>
      <c r="AD717" s="7" t="e">
        <f>IF(VLOOKUP($A717,'Concrete Beam Schedule'!$A$2:$Q$2902,AD$2,0)&lt;&gt;N717,"Beam Revised","")</f>
        <v>#N/A</v>
      </c>
      <c r="AE717" s="7" t="e">
        <f>IF(VLOOKUP($A717,'Concrete Beam Schedule'!$A$2:$Q$2902,AE$2,0)&lt;&gt;O717,"Beam Revised","")</f>
        <v>#N/A</v>
      </c>
    </row>
    <row r="718" spans="17:31" ht="13.2" x14ac:dyDescent="0.25">
      <c r="Q718" s="7">
        <f t="shared" si="11"/>
        <v>0</v>
      </c>
      <c r="R718" s="7" t="e">
        <f>IF(VLOOKUP($A718,'Concrete Beam Schedule'!$A$2:$Q$2902,R$2,0)&lt;&gt;B718,VLOOKUP($A718,'Concrete Beam Schedule'!$A$2:$Q$2902,R$2,0),"")</f>
        <v>#N/A</v>
      </c>
      <c r="S718" s="7" t="e">
        <f>IF(VLOOKUP($A718,'Concrete Beam Schedule'!$A$2:$Q$2902,S$2,0)&lt;&gt;C718,VLOOKUP($A718,'Concrete Beam Schedule'!$A$2:$Q$2902,S$2,0),"")</f>
        <v>#N/A</v>
      </c>
      <c r="T718" s="7" t="e">
        <f>IF(VLOOKUP($A718,'Concrete Beam Schedule'!$A$2:$Q$2902,T$2,0)&lt;&gt;D718,"Beam Revised","")</f>
        <v>#N/A</v>
      </c>
      <c r="U718" s="7" t="e">
        <f>IF(VLOOKUP($A718,'Concrete Beam Schedule'!$A$2:$Q$2902,U$2,0)&lt;&gt;E718,"Beam Revised","")</f>
        <v>#N/A</v>
      </c>
      <c r="V718" s="7" t="e">
        <f>IF(VLOOKUP($A718,'Concrete Beam Schedule'!$A$2:$Q$2902,V$2,0)&lt;&gt;F718,"Beam Revised","")</f>
        <v>#N/A</v>
      </c>
      <c r="W718" s="7" t="e">
        <f>IF(VLOOKUP($A718,'Concrete Beam Schedule'!$A$2:$Q$2902,W$2,0)&lt;&gt;G718,"Beam Revised","")</f>
        <v>#N/A</v>
      </c>
      <c r="X718" s="7" t="e">
        <f>IF(VLOOKUP($A718,'Concrete Beam Schedule'!$A$2:$Q$2902,X$2,0)&lt;&gt;H718,"Beam Revised","")</f>
        <v>#N/A</v>
      </c>
      <c r="Y718" s="7" t="e">
        <f>IF(VLOOKUP($A718,'Concrete Beam Schedule'!$A$2:$Q$2902,Y$2,0)&lt;&gt;I718,"Beam Revised","")</f>
        <v>#N/A</v>
      </c>
      <c r="Z718" s="7" t="e">
        <f>IF(VLOOKUP($A718,'Concrete Beam Schedule'!$A$2:$Q$2902,Z$2,0)&lt;&gt;J718,"Beam Revised","")</f>
        <v>#N/A</v>
      </c>
      <c r="AA718" s="7" t="e">
        <f>IF(VLOOKUP($A718,'Concrete Beam Schedule'!$A$2:$Q$2902,AA$2,0)&lt;&gt;K718,"Beam Revised","")</f>
        <v>#N/A</v>
      </c>
      <c r="AB718" s="7" t="e">
        <f>IF(VLOOKUP($A718,'Concrete Beam Schedule'!$A$2:$Q$2902,AB$2,0)&lt;&gt;L718,"Beam Revised","")</f>
        <v>#N/A</v>
      </c>
      <c r="AC718" s="7" t="e">
        <f>IF(VLOOKUP($A718,'Concrete Beam Schedule'!$A$2:$Q$2902,AC$2,0)&lt;&gt;M718,"Beam Revised","")</f>
        <v>#N/A</v>
      </c>
      <c r="AD718" s="7" t="e">
        <f>IF(VLOOKUP($A718,'Concrete Beam Schedule'!$A$2:$Q$2902,AD$2,0)&lt;&gt;N718,"Beam Revised","")</f>
        <v>#N/A</v>
      </c>
      <c r="AE718" s="7" t="e">
        <f>IF(VLOOKUP($A718,'Concrete Beam Schedule'!$A$2:$Q$2902,AE$2,0)&lt;&gt;O718,"Beam Revised","")</f>
        <v>#N/A</v>
      </c>
    </row>
    <row r="719" spans="17:31" ht="13.2" x14ac:dyDescent="0.25">
      <c r="Q719" s="7">
        <f t="shared" si="11"/>
        <v>0</v>
      </c>
      <c r="R719" s="7" t="e">
        <f>IF(VLOOKUP($A719,'Concrete Beam Schedule'!$A$2:$Q$2902,R$2,0)&lt;&gt;B719,VLOOKUP($A719,'Concrete Beam Schedule'!$A$2:$Q$2902,R$2,0),"")</f>
        <v>#N/A</v>
      </c>
      <c r="S719" s="7" t="e">
        <f>IF(VLOOKUP($A719,'Concrete Beam Schedule'!$A$2:$Q$2902,S$2,0)&lt;&gt;C719,VLOOKUP($A719,'Concrete Beam Schedule'!$A$2:$Q$2902,S$2,0),"")</f>
        <v>#N/A</v>
      </c>
      <c r="T719" s="7" t="e">
        <f>IF(VLOOKUP($A719,'Concrete Beam Schedule'!$A$2:$Q$2902,T$2,0)&lt;&gt;D719,"Beam Revised","")</f>
        <v>#N/A</v>
      </c>
      <c r="U719" s="7" t="e">
        <f>IF(VLOOKUP($A719,'Concrete Beam Schedule'!$A$2:$Q$2902,U$2,0)&lt;&gt;E719,"Beam Revised","")</f>
        <v>#N/A</v>
      </c>
      <c r="V719" s="7" t="e">
        <f>IF(VLOOKUP($A719,'Concrete Beam Schedule'!$A$2:$Q$2902,V$2,0)&lt;&gt;F719,"Beam Revised","")</f>
        <v>#N/A</v>
      </c>
      <c r="W719" s="7" t="e">
        <f>IF(VLOOKUP($A719,'Concrete Beam Schedule'!$A$2:$Q$2902,W$2,0)&lt;&gt;G719,"Beam Revised","")</f>
        <v>#N/A</v>
      </c>
      <c r="X719" s="7" t="e">
        <f>IF(VLOOKUP($A719,'Concrete Beam Schedule'!$A$2:$Q$2902,X$2,0)&lt;&gt;H719,"Beam Revised","")</f>
        <v>#N/A</v>
      </c>
      <c r="Y719" s="7" t="e">
        <f>IF(VLOOKUP($A719,'Concrete Beam Schedule'!$A$2:$Q$2902,Y$2,0)&lt;&gt;I719,"Beam Revised","")</f>
        <v>#N/A</v>
      </c>
      <c r="Z719" s="7" t="e">
        <f>IF(VLOOKUP($A719,'Concrete Beam Schedule'!$A$2:$Q$2902,Z$2,0)&lt;&gt;J719,"Beam Revised","")</f>
        <v>#N/A</v>
      </c>
      <c r="AA719" s="7" t="e">
        <f>IF(VLOOKUP($A719,'Concrete Beam Schedule'!$A$2:$Q$2902,AA$2,0)&lt;&gt;K719,"Beam Revised","")</f>
        <v>#N/A</v>
      </c>
      <c r="AB719" s="7" t="e">
        <f>IF(VLOOKUP($A719,'Concrete Beam Schedule'!$A$2:$Q$2902,AB$2,0)&lt;&gt;L719,"Beam Revised","")</f>
        <v>#N/A</v>
      </c>
      <c r="AC719" s="7" t="e">
        <f>IF(VLOOKUP($A719,'Concrete Beam Schedule'!$A$2:$Q$2902,AC$2,0)&lt;&gt;M719,"Beam Revised","")</f>
        <v>#N/A</v>
      </c>
      <c r="AD719" s="7" t="e">
        <f>IF(VLOOKUP($A719,'Concrete Beam Schedule'!$A$2:$Q$2902,AD$2,0)&lt;&gt;N719,"Beam Revised","")</f>
        <v>#N/A</v>
      </c>
      <c r="AE719" s="7" t="e">
        <f>IF(VLOOKUP($A719,'Concrete Beam Schedule'!$A$2:$Q$2902,AE$2,0)&lt;&gt;O719,"Beam Revised","")</f>
        <v>#N/A</v>
      </c>
    </row>
    <row r="720" spans="17:31" ht="13.2" x14ac:dyDescent="0.25">
      <c r="Q720" s="7">
        <f t="shared" si="11"/>
        <v>0</v>
      </c>
      <c r="R720" s="7" t="e">
        <f>IF(VLOOKUP($A720,'Concrete Beam Schedule'!$A$2:$Q$2902,R$2,0)&lt;&gt;B720,VLOOKUP($A720,'Concrete Beam Schedule'!$A$2:$Q$2902,R$2,0),"")</f>
        <v>#N/A</v>
      </c>
      <c r="S720" s="7" t="e">
        <f>IF(VLOOKUP($A720,'Concrete Beam Schedule'!$A$2:$Q$2902,S$2,0)&lt;&gt;C720,VLOOKUP($A720,'Concrete Beam Schedule'!$A$2:$Q$2902,S$2,0),"")</f>
        <v>#N/A</v>
      </c>
      <c r="T720" s="7" t="e">
        <f>IF(VLOOKUP($A720,'Concrete Beam Schedule'!$A$2:$Q$2902,T$2,0)&lt;&gt;D720,"Beam Revised","")</f>
        <v>#N/A</v>
      </c>
      <c r="U720" s="7" t="e">
        <f>IF(VLOOKUP($A720,'Concrete Beam Schedule'!$A$2:$Q$2902,U$2,0)&lt;&gt;E720,"Beam Revised","")</f>
        <v>#N/A</v>
      </c>
      <c r="V720" s="7" t="e">
        <f>IF(VLOOKUP($A720,'Concrete Beam Schedule'!$A$2:$Q$2902,V$2,0)&lt;&gt;F720,"Beam Revised","")</f>
        <v>#N/A</v>
      </c>
      <c r="W720" s="7" t="e">
        <f>IF(VLOOKUP($A720,'Concrete Beam Schedule'!$A$2:$Q$2902,W$2,0)&lt;&gt;G720,"Beam Revised","")</f>
        <v>#N/A</v>
      </c>
      <c r="X720" s="7" t="e">
        <f>IF(VLOOKUP($A720,'Concrete Beam Schedule'!$A$2:$Q$2902,X$2,0)&lt;&gt;H720,"Beam Revised","")</f>
        <v>#N/A</v>
      </c>
      <c r="Y720" s="7" t="e">
        <f>IF(VLOOKUP($A720,'Concrete Beam Schedule'!$A$2:$Q$2902,Y$2,0)&lt;&gt;I720,"Beam Revised","")</f>
        <v>#N/A</v>
      </c>
      <c r="Z720" s="7" t="e">
        <f>IF(VLOOKUP($A720,'Concrete Beam Schedule'!$A$2:$Q$2902,Z$2,0)&lt;&gt;J720,"Beam Revised","")</f>
        <v>#N/A</v>
      </c>
      <c r="AA720" s="7" t="e">
        <f>IF(VLOOKUP($A720,'Concrete Beam Schedule'!$A$2:$Q$2902,AA$2,0)&lt;&gt;K720,"Beam Revised","")</f>
        <v>#N/A</v>
      </c>
      <c r="AB720" s="7" t="e">
        <f>IF(VLOOKUP($A720,'Concrete Beam Schedule'!$A$2:$Q$2902,AB$2,0)&lt;&gt;L720,"Beam Revised","")</f>
        <v>#N/A</v>
      </c>
      <c r="AC720" s="7" t="e">
        <f>IF(VLOOKUP($A720,'Concrete Beam Schedule'!$A$2:$Q$2902,AC$2,0)&lt;&gt;M720,"Beam Revised","")</f>
        <v>#N/A</v>
      </c>
      <c r="AD720" s="7" t="e">
        <f>IF(VLOOKUP($A720,'Concrete Beam Schedule'!$A$2:$Q$2902,AD$2,0)&lt;&gt;N720,"Beam Revised","")</f>
        <v>#N/A</v>
      </c>
      <c r="AE720" s="7" t="e">
        <f>IF(VLOOKUP($A720,'Concrete Beam Schedule'!$A$2:$Q$2902,AE$2,0)&lt;&gt;O720,"Beam Revised","")</f>
        <v>#N/A</v>
      </c>
    </row>
    <row r="721" spans="17:31" ht="13.2" x14ac:dyDescent="0.25">
      <c r="Q721" s="7">
        <f t="shared" si="11"/>
        <v>0</v>
      </c>
      <c r="R721" s="7" t="e">
        <f>IF(VLOOKUP($A721,'Concrete Beam Schedule'!$A$2:$Q$2902,R$2,0)&lt;&gt;B721,VLOOKUP($A721,'Concrete Beam Schedule'!$A$2:$Q$2902,R$2,0),"")</f>
        <v>#N/A</v>
      </c>
      <c r="S721" s="7" t="e">
        <f>IF(VLOOKUP($A721,'Concrete Beam Schedule'!$A$2:$Q$2902,S$2,0)&lt;&gt;C721,VLOOKUP($A721,'Concrete Beam Schedule'!$A$2:$Q$2902,S$2,0),"")</f>
        <v>#N/A</v>
      </c>
      <c r="T721" s="7" t="e">
        <f>IF(VLOOKUP($A721,'Concrete Beam Schedule'!$A$2:$Q$2902,T$2,0)&lt;&gt;D721,"Beam Revised","")</f>
        <v>#N/A</v>
      </c>
      <c r="U721" s="7" t="e">
        <f>IF(VLOOKUP($A721,'Concrete Beam Schedule'!$A$2:$Q$2902,U$2,0)&lt;&gt;E721,"Beam Revised","")</f>
        <v>#N/A</v>
      </c>
      <c r="V721" s="7" t="e">
        <f>IF(VLOOKUP($A721,'Concrete Beam Schedule'!$A$2:$Q$2902,V$2,0)&lt;&gt;F721,"Beam Revised","")</f>
        <v>#N/A</v>
      </c>
      <c r="W721" s="7" t="e">
        <f>IF(VLOOKUP($A721,'Concrete Beam Schedule'!$A$2:$Q$2902,W$2,0)&lt;&gt;G721,"Beam Revised","")</f>
        <v>#N/A</v>
      </c>
      <c r="X721" s="7" t="e">
        <f>IF(VLOOKUP($A721,'Concrete Beam Schedule'!$A$2:$Q$2902,X$2,0)&lt;&gt;H721,"Beam Revised","")</f>
        <v>#N/A</v>
      </c>
      <c r="Y721" s="7" t="e">
        <f>IF(VLOOKUP($A721,'Concrete Beam Schedule'!$A$2:$Q$2902,Y$2,0)&lt;&gt;I721,"Beam Revised","")</f>
        <v>#N/A</v>
      </c>
      <c r="Z721" s="7" t="e">
        <f>IF(VLOOKUP($A721,'Concrete Beam Schedule'!$A$2:$Q$2902,Z$2,0)&lt;&gt;J721,"Beam Revised","")</f>
        <v>#N/A</v>
      </c>
      <c r="AA721" s="7" t="e">
        <f>IF(VLOOKUP($A721,'Concrete Beam Schedule'!$A$2:$Q$2902,AA$2,0)&lt;&gt;K721,"Beam Revised","")</f>
        <v>#N/A</v>
      </c>
      <c r="AB721" s="7" t="e">
        <f>IF(VLOOKUP($A721,'Concrete Beam Schedule'!$A$2:$Q$2902,AB$2,0)&lt;&gt;L721,"Beam Revised","")</f>
        <v>#N/A</v>
      </c>
      <c r="AC721" s="7" t="e">
        <f>IF(VLOOKUP($A721,'Concrete Beam Schedule'!$A$2:$Q$2902,AC$2,0)&lt;&gt;M721,"Beam Revised","")</f>
        <v>#N/A</v>
      </c>
      <c r="AD721" s="7" t="e">
        <f>IF(VLOOKUP($A721,'Concrete Beam Schedule'!$A$2:$Q$2902,AD$2,0)&lt;&gt;N721,"Beam Revised","")</f>
        <v>#N/A</v>
      </c>
      <c r="AE721" s="7" t="e">
        <f>IF(VLOOKUP($A721,'Concrete Beam Schedule'!$A$2:$Q$2902,AE$2,0)&lt;&gt;O721,"Beam Revised","")</f>
        <v>#N/A</v>
      </c>
    </row>
    <row r="722" spans="17:31" ht="13.2" x14ac:dyDescent="0.25">
      <c r="Q722" s="7">
        <f t="shared" si="11"/>
        <v>0</v>
      </c>
      <c r="R722" s="7" t="e">
        <f>IF(VLOOKUP($A722,'Concrete Beam Schedule'!$A$2:$Q$2902,R$2,0)&lt;&gt;B722,VLOOKUP($A722,'Concrete Beam Schedule'!$A$2:$Q$2902,R$2,0),"")</f>
        <v>#N/A</v>
      </c>
      <c r="S722" s="7" t="e">
        <f>IF(VLOOKUP($A722,'Concrete Beam Schedule'!$A$2:$Q$2902,S$2,0)&lt;&gt;C722,VLOOKUP($A722,'Concrete Beam Schedule'!$A$2:$Q$2902,S$2,0),"")</f>
        <v>#N/A</v>
      </c>
      <c r="T722" s="7" t="e">
        <f>IF(VLOOKUP($A722,'Concrete Beam Schedule'!$A$2:$Q$2902,T$2,0)&lt;&gt;D722,"Beam Revised","")</f>
        <v>#N/A</v>
      </c>
      <c r="U722" s="7" t="e">
        <f>IF(VLOOKUP($A722,'Concrete Beam Schedule'!$A$2:$Q$2902,U$2,0)&lt;&gt;E722,"Beam Revised","")</f>
        <v>#N/A</v>
      </c>
      <c r="V722" s="7" t="e">
        <f>IF(VLOOKUP($A722,'Concrete Beam Schedule'!$A$2:$Q$2902,V$2,0)&lt;&gt;F722,"Beam Revised","")</f>
        <v>#N/A</v>
      </c>
      <c r="W722" s="7" t="e">
        <f>IF(VLOOKUP($A722,'Concrete Beam Schedule'!$A$2:$Q$2902,W$2,0)&lt;&gt;G722,"Beam Revised","")</f>
        <v>#N/A</v>
      </c>
      <c r="X722" s="7" t="e">
        <f>IF(VLOOKUP($A722,'Concrete Beam Schedule'!$A$2:$Q$2902,X$2,0)&lt;&gt;H722,"Beam Revised","")</f>
        <v>#N/A</v>
      </c>
      <c r="Y722" s="7" t="e">
        <f>IF(VLOOKUP($A722,'Concrete Beam Schedule'!$A$2:$Q$2902,Y$2,0)&lt;&gt;I722,"Beam Revised","")</f>
        <v>#N/A</v>
      </c>
      <c r="Z722" s="7" t="e">
        <f>IF(VLOOKUP($A722,'Concrete Beam Schedule'!$A$2:$Q$2902,Z$2,0)&lt;&gt;J722,"Beam Revised","")</f>
        <v>#N/A</v>
      </c>
      <c r="AA722" s="7" t="e">
        <f>IF(VLOOKUP($A722,'Concrete Beam Schedule'!$A$2:$Q$2902,AA$2,0)&lt;&gt;K722,"Beam Revised","")</f>
        <v>#N/A</v>
      </c>
      <c r="AB722" s="7" t="e">
        <f>IF(VLOOKUP($A722,'Concrete Beam Schedule'!$A$2:$Q$2902,AB$2,0)&lt;&gt;L722,"Beam Revised","")</f>
        <v>#N/A</v>
      </c>
      <c r="AC722" s="7" t="e">
        <f>IF(VLOOKUP($A722,'Concrete Beam Schedule'!$A$2:$Q$2902,AC$2,0)&lt;&gt;M722,"Beam Revised","")</f>
        <v>#N/A</v>
      </c>
      <c r="AD722" s="7" t="e">
        <f>IF(VLOOKUP($A722,'Concrete Beam Schedule'!$A$2:$Q$2902,AD$2,0)&lt;&gt;N722,"Beam Revised","")</f>
        <v>#N/A</v>
      </c>
      <c r="AE722" s="7" t="e">
        <f>IF(VLOOKUP($A722,'Concrete Beam Schedule'!$A$2:$Q$2902,AE$2,0)&lt;&gt;O722,"Beam Revised","")</f>
        <v>#N/A</v>
      </c>
    </row>
    <row r="723" spans="17:31" ht="13.2" x14ac:dyDescent="0.25">
      <c r="Q723" s="7">
        <f t="shared" si="11"/>
        <v>0</v>
      </c>
      <c r="R723" s="7" t="e">
        <f>IF(VLOOKUP($A723,'Concrete Beam Schedule'!$A$2:$Q$2902,R$2,0)&lt;&gt;B723,VLOOKUP($A723,'Concrete Beam Schedule'!$A$2:$Q$2902,R$2,0),"")</f>
        <v>#N/A</v>
      </c>
      <c r="S723" s="7" t="e">
        <f>IF(VLOOKUP($A723,'Concrete Beam Schedule'!$A$2:$Q$2902,S$2,0)&lt;&gt;C723,VLOOKUP($A723,'Concrete Beam Schedule'!$A$2:$Q$2902,S$2,0),"")</f>
        <v>#N/A</v>
      </c>
      <c r="T723" s="7" t="e">
        <f>IF(VLOOKUP($A723,'Concrete Beam Schedule'!$A$2:$Q$2902,T$2,0)&lt;&gt;D723,"Beam Revised","")</f>
        <v>#N/A</v>
      </c>
      <c r="U723" s="7" t="e">
        <f>IF(VLOOKUP($A723,'Concrete Beam Schedule'!$A$2:$Q$2902,U$2,0)&lt;&gt;E723,"Beam Revised","")</f>
        <v>#N/A</v>
      </c>
      <c r="V723" s="7" t="e">
        <f>IF(VLOOKUP($A723,'Concrete Beam Schedule'!$A$2:$Q$2902,V$2,0)&lt;&gt;F723,"Beam Revised","")</f>
        <v>#N/A</v>
      </c>
      <c r="W723" s="7" t="e">
        <f>IF(VLOOKUP($A723,'Concrete Beam Schedule'!$A$2:$Q$2902,W$2,0)&lt;&gt;G723,"Beam Revised","")</f>
        <v>#N/A</v>
      </c>
      <c r="X723" s="7" t="e">
        <f>IF(VLOOKUP($A723,'Concrete Beam Schedule'!$A$2:$Q$2902,X$2,0)&lt;&gt;H723,"Beam Revised","")</f>
        <v>#N/A</v>
      </c>
      <c r="Y723" s="7" t="e">
        <f>IF(VLOOKUP($A723,'Concrete Beam Schedule'!$A$2:$Q$2902,Y$2,0)&lt;&gt;I723,"Beam Revised","")</f>
        <v>#N/A</v>
      </c>
      <c r="Z723" s="7" t="e">
        <f>IF(VLOOKUP($A723,'Concrete Beam Schedule'!$A$2:$Q$2902,Z$2,0)&lt;&gt;J723,"Beam Revised","")</f>
        <v>#N/A</v>
      </c>
      <c r="AA723" s="7" t="e">
        <f>IF(VLOOKUP($A723,'Concrete Beam Schedule'!$A$2:$Q$2902,AA$2,0)&lt;&gt;K723,"Beam Revised","")</f>
        <v>#N/A</v>
      </c>
      <c r="AB723" s="7" t="e">
        <f>IF(VLOOKUP($A723,'Concrete Beam Schedule'!$A$2:$Q$2902,AB$2,0)&lt;&gt;L723,"Beam Revised","")</f>
        <v>#N/A</v>
      </c>
      <c r="AC723" s="7" t="e">
        <f>IF(VLOOKUP($A723,'Concrete Beam Schedule'!$A$2:$Q$2902,AC$2,0)&lt;&gt;M723,"Beam Revised","")</f>
        <v>#N/A</v>
      </c>
      <c r="AD723" s="7" t="e">
        <f>IF(VLOOKUP($A723,'Concrete Beam Schedule'!$A$2:$Q$2902,AD$2,0)&lt;&gt;N723,"Beam Revised","")</f>
        <v>#N/A</v>
      </c>
      <c r="AE723" s="7" t="e">
        <f>IF(VLOOKUP($A723,'Concrete Beam Schedule'!$A$2:$Q$2902,AE$2,0)&lt;&gt;O723,"Beam Revised","")</f>
        <v>#N/A</v>
      </c>
    </row>
    <row r="724" spans="17:31" ht="13.2" x14ac:dyDescent="0.25">
      <c r="Q724" s="7">
        <f t="shared" si="11"/>
        <v>0</v>
      </c>
      <c r="R724" s="7" t="e">
        <f>IF(VLOOKUP($A724,'Concrete Beam Schedule'!$A$2:$Q$2902,R$2,0)&lt;&gt;B724,VLOOKUP($A724,'Concrete Beam Schedule'!$A$2:$Q$2902,R$2,0),"")</f>
        <v>#N/A</v>
      </c>
      <c r="S724" s="7" t="e">
        <f>IF(VLOOKUP($A724,'Concrete Beam Schedule'!$A$2:$Q$2902,S$2,0)&lt;&gt;C724,VLOOKUP($A724,'Concrete Beam Schedule'!$A$2:$Q$2902,S$2,0),"")</f>
        <v>#N/A</v>
      </c>
      <c r="T724" s="7" t="e">
        <f>IF(VLOOKUP($A724,'Concrete Beam Schedule'!$A$2:$Q$2902,T$2,0)&lt;&gt;D724,"Beam Revised","")</f>
        <v>#N/A</v>
      </c>
      <c r="U724" s="7" t="e">
        <f>IF(VLOOKUP($A724,'Concrete Beam Schedule'!$A$2:$Q$2902,U$2,0)&lt;&gt;E724,"Beam Revised","")</f>
        <v>#N/A</v>
      </c>
      <c r="V724" s="7" t="e">
        <f>IF(VLOOKUP($A724,'Concrete Beam Schedule'!$A$2:$Q$2902,V$2,0)&lt;&gt;F724,"Beam Revised","")</f>
        <v>#N/A</v>
      </c>
      <c r="W724" s="7" t="e">
        <f>IF(VLOOKUP($A724,'Concrete Beam Schedule'!$A$2:$Q$2902,W$2,0)&lt;&gt;G724,"Beam Revised","")</f>
        <v>#N/A</v>
      </c>
      <c r="X724" s="7" t="e">
        <f>IF(VLOOKUP($A724,'Concrete Beam Schedule'!$A$2:$Q$2902,X$2,0)&lt;&gt;H724,"Beam Revised","")</f>
        <v>#N/A</v>
      </c>
      <c r="Y724" s="7" t="e">
        <f>IF(VLOOKUP($A724,'Concrete Beam Schedule'!$A$2:$Q$2902,Y$2,0)&lt;&gt;I724,"Beam Revised","")</f>
        <v>#N/A</v>
      </c>
      <c r="Z724" s="7" t="e">
        <f>IF(VLOOKUP($A724,'Concrete Beam Schedule'!$A$2:$Q$2902,Z$2,0)&lt;&gt;J724,"Beam Revised","")</f>
        <v>#N/A</v>
      </c>
      <c r="AA724" s="7" t="e">
        <f>IF(VLOOKUP($A724,'Concrete Beam Schedule'!$A$2:$Q$2902,AA$2,0)&lt;&gt;K724,"Beam Revised","")</f>
        <v>#N/A</v>
      </c>
      <c r="AB724" s="7" t="e">
        <f>IF(VLOOKUP($A724,'Concrete Beam Schedule'!$A$2:$Q$2902,AB$2,0)&lt;&gt;L724,"Beam Revised","")</f>
        <v>#N/A</v>
      </c>
      <c r="AC724" s="7" t="e">
        <f>IF(VLOOKUP($A724,'Concrete Beam Schedule'!$A$2:$Q$2902,AC$2,0)&lt;&gt;M724,"Beam Revised","")</f>
        <v>#N/A</v>
      </c>
      <c r="AD724" s="7" t="e">
        <f>IF(VLOOKUP($A724,'Concrete Beam Schedule'!$A$2:$Q$2902,AD$2,0)&lt;&gt;N724,"Beam Revised","")</f>
        <v>#N/A</v>
      </c>
      <c r="AE724" s="7" t="e">
        <f>IF(VLOOKUP($A724,'Concrete Beam Schedule'!$A$2:$Q$2902,AE$2,0)&lt;&gt;O724,"Beam Revised","")</f>
        <v>#N/A</v>
      </c>
    </row>
    <row r="725" spans="17:31" ht="13.2" x14ac:dyDescent="0.25">
      <c r="Q725" s="7">
        <f t="shared" si="11"/>
        <v>0</v>
      </c>
      <c r="R725" s="7" t="e">
        <f>IF(VLOOKUP($A725,'Concrete Beam Schedule'!$A$2:$Q$2902,R$2,0)&lt;&gt;B725,VLOOKUP($A725,'Concrete Beam Schedule'!$A$2:$Q$2902,R$2,0),"")</f>
        <v>#N/A</v>
      </c>
      <c r="S725" s="7" t="e">
        <f>IF(VLOOKUP($A725,'Concrete Beam Schedule'!$A$2:$Q$2902,S$2,0)&lt;&gt;C725,VLOOKUP($A725,'Concrete Beam Schedule'!$A$2:$Q$2902,S$2,0),"")</f>
        <v>#N/A</v>
      </c>
      <c r="T725" s="7" t="e">
        <f>IF(VLOOKUP($A725,'Concrete Beam Schedule'!$A$2:$Q$2902,T$2,0)&lt;&gt;D725,"Beam Revised","")</f>
        <v>#N/A</v>
      </c>
      <c r="U725" s="7" t="e">
        <f>IF(VLOOKUP($A725,'Concrete Beam Schedule'!$A$2:$Q$2902,U$2,0)&lt;&gt;E725,"Beam Revised","")</f>
        <v>#N/A</v>
      </c>
      <c r="V725" s="7" t="e">
        <f>IF(VLOOKUP($A725,'Concrete Beam Schedule'!$A$2:$Q$2902,V$2,0)&lt;&gt;F725,"Beam Revised","")</f>
        <v>#N/A</v>
      </c>
      <c r="W725" s="7" t="e">
        <f>IF(VLOOKUP($A725,'Concrete Beam Schedule'!$A$2:$Q$2902,W$2,0)&lt;&gt;G725,"Beam Revised","")</f>
        <v>#N/A</v>
      </c>
      <c r="X725" s="7" t="e">
        <f>IF(VLOOKUP($A725,'Concrete Beam Schedule'!$A$2:$Q$2902,X$2,0)&lt;&gt;H725,"Beam Revised","")</f>
        <v>#N/A</v>
      </c>
      <c r="Y725" s="7" t="e">
        <f>IF(VLOOKUP($A725,'Concrete Beam Schedule'!$A$2:$Q$2902,Y$2,0)&lt;&gt;I725,"Beam Revised","")</f>
        <v>#N/A</v>
      </c>
      <c r="Z725" s="7" t="e">
        <f>IF(VLOOKUP($A725,'Concrete Beam Schedule'!$A$2:$Q$2902,Z$2,0)&lt;&gt;J725,"Beam Revised","")</f>
        <v>#N/A</v>
      </c>
      <c r="AA725" s="7" t="e">
        <f>IF(VLOOKUP($A725,'Concrete Beam Schedule'!$A$2:$Q$2902,AA$2,0)&lt;&gt;K725,"Beam Revised","")</f>
        <v>#N/A</v>
      </c>
      <c r="AB725" s="7" t="e">
        <f>IF(VLOOKUP($A725,'Concrete Beam Schedule'!$A$2:$Q$2902,AB$2,0)&lt;&gt;L725,"Beam Revised","")</f>
        <v>#N/A</v>
      </c>
      <c r="AC725" s="7" t="e">
        <f>IF(VLOOKUP($A725,'Concrete Beam Schedule'!$A$2:$Q$2902,AC$2,0)&lt;&gt;M725,"Beam Revised","")</f>
        <v>#N/A</v>
      </c>
      <c r="AD725" s="7" t="e">
        <f>IF(VLOOKUP($A725,'Concrete Beam Schedule'!$A$2:$Q$2902,AD$2,0)&lt;&gt;N725,"Beam Revised","")</f>
        <v>#N/A</v>
      </c>
      <c r="AE725" s="7" t="e">
        <f>IF(VLOOKUP($A725,'Concrete Beam Schedule'!$A$2:$Q$2902,AE$2,0)&lt;&gt;O725,"Beam Revised","")</f>
        <v>#N/A</v>
      </c>
    </row>
    <row r="726" spans="17:31" ht="13.2" x14ac:dyDescent="0.25">
      <c r="Q726" s="7">
        <f t="shared" si="11"/>
        <v>0</v>
      </c>
      <c r="R726" s="7" t="e">
        <f>IF(VLOOKUP($A726,'Concrete Beam Schedule'!$A$2:$Q$2902,R$2,0)&lt;&gt;B726,VLOOKUP($A726,'Concrete Beam Schedule'!$A$2:$Q$2902,R$2,0),"")</f>
        <v>#N/A</v>
      </c>
      <c r="S726" s="7" t="e">
        <f>IF(VLOOKUP($A726,'Concrete Beam Schedule'!$A$2:$Q$2902,S$2,0)&lt;&gt;C726,VLOOKUP($A726,'Concrete Beam Schedule'!$A$2:$Q$2902,S$2,0),"")</f>
        <v>#N/A</v>
      </c>
      <c r="T726" s="7" t="e">
        <f>IF(VLOOKUP($A726,'Concrete Beam Schedule'!$A$2:$Q$2902,T$2,0)&lt;&gt;D726,"Beam Revised","")</f>
        <v>#N/A</v>
      </c>
      <c r="U726" s="7" t="e">
        <f>IF(VLOOKUP($A726,'Concrete Beam Schedule'!$A$2:$Q$2902,U$2,0)&lt;&gt;E726,"Beam Revised","")</f>
        <v>#N/A</v>
      </c>
      <c r="V726" s="7" t="e">
        <f>IF(VLOOKUP($A726,'Concrete Beam Schedule'!$A$2:$Q$2902,V$2,0)&lt;&gt;F726,"Beam Revised","")</f>
        <v>#N/A</v>
      </c>
      <c r="W726" s="7" t="e">
        <f>IF(VLOOKUP($A726,'Concrete Beam Schedule'!$A$2:$Q$2902,W$2,0)&lt;&gt;G726,"Beam Revised","")</f>
        <v>#N/A</v>
      </c>
      <c r="X726" s="7" t="e">
        <f>IF(VLOOKUP($A726,'Concrete Beam Schedule'!$A$2:$Q$2902,X$2,0)&lt;&gt;H726,"Beam Revised","")</f>
        <v>#N/A</v>
      </c>
      <c r="Y726" s="7" t="e">
        <f>IF(VLOOKUP($A726,'Concrete Beam Schedule'!$A$2:$Q$2902,Y$2,0)&lt;&gt;I726,"Beam Revised","")</f>
        <v>#N/A</v>
      </c>
      <c r="Z726" s="7" t="e">
        <f>IF(VLOOKUP($A726,'Concrete Beam Schedule'!$A$2:$Q$2902,Z$2,0)&lt;&gt;J726,"Beam Revised","")</f>
        <v>#N/A</v>
      </c>
      <c r="AA726" s="7" t="e">
        <f>IF(VLOOKUP($A726,'Concrete Beam Schedule'!$A$2:$Q$2902,AA$2,0)&lt;&gt;K726,"Beam Revised","")</f>
        <v>#N/A</v>
      </c>
      <c r="AB726" s="7" t="e">
        <f>IF(VLOOKUP($A726,'Concrete Beam Schedule'!$A$2:$Q$2902,AB$2,0)&lt;&gt;L726,"Beam Revised","")</f>
        <v>#N/A</v>
      </c>
      <c r="AC726" s="7" t="e">
        <f>IF(VLOOKUP($A726,'Concrete Beam Schedule'!$A$2:$Q$2902,AC$2,0)&lt;&gt;M726,"Beam Revised","")</f>
        <v>#N/A</v>
      </c>
      <c r="AD726" s="7" t="e">
        <f>IF(VLOOKUP($A726,'Concrete Beam Schedule'!$A$2:$Q$2902,AD$2,0)&lt;&gt;N726,"Beam Revised","")</f>
        <v>#N/A</v>
      </c>
      <c r="AE726" s="7" t="e">
        <f>IF(VLOOKUP($A726,'Concrete Beam Schedule'!$A$2:$Q$2902,AE$2,0)&lt;&gt;O726,"Beam Revised","")</f>
        <v>#N/A</v>
      </c>
    </row>
    <row r="727" spans="17:31" ht="13.2" x14ac:dyDescent="0.25">
      <c r="Q727" s="7">
        <f t="shared" si="11"/>
        <v>0</v>
      </c>
      <c r="R727" s="7" t="e">
        <f>IF(VLOOKUP($A727,'Concrete Beam Schedule'!$A$2:$Q$2902,R$2,0)&lt;&gt;B727,VLOOKUP($A727,'Concrete Beam Schedule'!$A$2:$Q$2902,R$2,0),"")</f>
        <v>#N/A</v>
      </c>
      <c r="S727" s="7" t="e">
        <f>IF(VLOOKUP($A727,'Concrete Beam Schedule'!$A$2:$Q$2902,S$2,0)&lt;&gt;C727,VLOOKUP($A727,'Concrete Beam Schedule'!$A$2:$Q$2902,S$2,0),"")</f>
        <v>#N/A</v>
      </c>
      <c r="T727" s="7" t="e">
        <f>IF(VLOOKUP($A727,'Concrete Beam Schedule'!$A$2:$Q$2902,T$2,0)&lt;&gt;D727,"Beam Revised","")</f>
        <v>#N/A</v>
      </c>
      <c r="U727" s="7" t="e">
        <f>IF(VLOOKUP($A727,'Concrete Beam Schedule'!$A$2:$Q$2902,U$2,0)&lt;&gt;E727,"Beam Revised","")</f>
        <v>#N/A</v>
      </c>
      <c r="V727" s="7" t="e">
        <f>IF(VLOOKUP($A727,'Concrete Beam Schedule'!$A$2:$Q$2902,V$2,0)&lt;&gt;F727,"Beam Revised","")</f>
        <v>#N/A</v>
      </c>
      <c r="W727" s="7" t="e">
        <f>IF(VLOOKUP($A727,'Concrete Beam Schedule'!$A$2:$Q$2902,W$2,0)&lt;&gt;G727,"Beam Revised","")</f>
        <v>#N/A</v>
      </c>
      <c r="X727" s="7" t="e">
        <f>IF(VLOOKUP($A727,'Concrete Beam Schedule'!$A$2:$Q$2902,X$2,0)&lt;&gt;H727,"Beam Revised","")</f>
        <v>#N/A</v>
      </c>
      <c r="Y727" s="7" t="e">
        <f>IF(VLOOKUP($A727,'Concrete Beam Schedule'!$A$2:$Q$2902,Y$2,0)&lt;&gt;I727,"Beam Revised","")</f>
        <v>#N/A</v>
      </c>
      <c r="Z727" s="7" t="e">
        <f>IF(VLOOKUP($A727,'Concrete Beam Schedule'!$A$2:$Q$2902,Z$2,0)&lt;&gt;J727,"Beam Revised","")</f>
        <v>#N/A</v>
      </c>
      <c r="AA727" s="7" t="e">
        <f>IF(VLOOKUP($A727,'Concrete Beam Schedule'!$A$2:$Q$2902,AA$2,0)&lt;&gt;K727,"Beam Revised","")</f>
        <v>#N/A</v>
      </c>
      <c r="AB727" s="7" t="e">
        <f>IF(VLOOKUP($A727,'Concrete Beam Schedule'!$A$2:$Q$2902,AB$2,0)&lt;&gt;L727,"Beam Revised","")</f>
        <v>#N/A</v>
      </c>
      <c r="AC727" s="7" t="e">
        <f>IF(VLOOKUP($A727,'Concrete Beam Schedule'!$A$2:$Q$2902,AC$2,0)&lt;&gt;M727,"Beam Revised","")</f>
        <v>#N/A</v>
      </c>
      <c r="AD727" s="7" t="e">
        <f>IF(VLOOKUP($A727,'Concrete Beam Schedule'!$A$2:$Q$2902,AD$2,0)&lt;&gt;N727,"Beam Revised","")</f>
        <v>#N/A</v>
      </c>
      <c r="AE727" s="7" t="e">
        <f>IF(VLOOKUP($A727,'Concrete Beam Schedule'!$A$2:$Q$2902,AE$2,0)&lt;&gt;O727,"Beam Revised","")</f>
        <v>#N/A</v>
      </c>
    </row>
    <row r="728" spans="17:31" ht="13.2" x14ac:dyDescent="0.25">
      <c r="Q728" s="7">
        <f t="shared" si="11"/>
        <v>0</v>
      </c>
      <c r="R728" s="7" t="e">
        <f>IF(VLOOKUP($A728,'Concrete Beam Schedule'!$A$2:$Q$2902,R$2,0)&lt;&gt;B728,VLOOKUP($A728,'Concrete Beam Schedule'!$A$2:$Q$2902,R$2,0),"")</f>
        <v>#N/A</v>
      </c>
      <c r="S728" s="7" t="e">
        <f>IF(VLOOKUP($A728,'Concrete Beam Schedule'!$A$2:$Q$2902,S$2,0)&lt;&gt;C728,VLOOKUP($A728,'Concrete Beam Schedule'!$A$2:$Q$2902,S$2,0),"")</f>
        <v>#N/A</v>
      </c>
      <c r="T728" s="7" t="e">
        <f>IF(VLOOKUP($A728,'Concrete Beam Schedule'!$A$2:$Q$2902,T$2,0)&lt;&gt;D728,"Beam Revised","")</f>
        <v>#N/A</v>
      </c>
      <c r="U728" s="7" t="e">
        <f>IF(VLOOKUP($A728,'Concrete Beam Schedule'!$A$2:$Q$2902,U$2,0)&lt;&gt;E728,"Beam Revised","")</f>
        <v>#N/A</v>
      </c>
      <c r="V728" s="7" t="e">
        <f>IF(VLOOKUP($A728,'Concrete Beam Schedule'!$A$2:$Q$2902,V$2,0)&lt;&gt;F728,"Beam Revised","")</f>
        <v>#N/A</v>
      </c>
      <c r="W728" s="7" t="e">
        <f>IF(VLOOKUP($A728,'Concrete Beam Schedule'!$A$2:$Q$2902,W$2,0)&lt;&gt;G728,"Beam Revised","")</f>
        <v>#N/A</v>
      </c>
      <c r="X728" s="7" t="e">
        <f>IF(VLOOKUP($A728,'Concrete Beam Schedule'!$A$2:$Q$2902,X$2,0)&lt;&gt;H728,"Beam Revised","")</f>
        <v>#N/A</v>
      </c>
      <c r="Y728" s="7" t="e">
        <f>IF(VLOOKUP($A728,'Concrete Beam Schedule'!$A$2:$Q$2902,Y$2,0)&lt;&gt;I728,"Beam Revised","")</f>
        <v>#N/A</v>
      </c>
      <c r="Z728" s="7" t="e">
        <f>IF(VLOOKUP($A728,'Concrete Beam Schedule'!$A$2:$Q$2902,Z$2,0)&lt;&gt;J728,"Beam Revised","")</f>
        <v>#N/A</v>
      </c>
      <c r="AA728" s="7" t="e">
        <f>IF(VLOOKUP($A728,'Concrete Beam Schedule'!$A$2:$Q$2902,AA$2,0)&lt;&gt;K728,"Beam Revised","")</f>
        <v>#N/A</v>
      </c>
      <c r="AB728" s="7" t="e">
        <f>IF(VLOOKUP($A728,'Concrete Beam Schedule'!$A$2:$Q$2902,AB$2,0)&lt;&gt;L728,"Beam Revised","")</f>
        <v>#N/A</v>
      </c>
      <c r="AC728" s="7" t="e">
        <f>IF(VLOOKUP($A728,'Concrete Beam Schedule'!$A$2:$Q$2902,AC$2,0)&lt;&gt;M728,"Beam Revised","")</f>
        <v>#N/A</v>
      </c>
      <c r="AD728" s="7" t="e">
        <f>IF(VLOOKUP($A728,'Concrete Beam Schedule'!$A$2:$Q$2902,AD$2,0)&lt;&gt;N728,"Beam Revised","")</f>
        <v>#N/A</v>
      </c>
      <c r="AE728" s="7" t="e">
        <f>IF(VLOOKUP($A728,'Concrete Beam Schedule'!$A$2:$Q$2902,AE$2,0)&lt;&gt;O728,"Beam Revised","")</f>
        <v>#N/A</v>
      </c>
    </row>
    <row r="729" spans="17:31" ht="13.2" x14ac:dyDescent="0.25">
      <c r="Q729" s="7">
        <f t="shared" si="11"/>
        <v>0</v>
      </c>
      <c r="R729" s="7" t="e">
        <f>IF(VLOOKUP($A729,'Concrete Beam Schedule'!$A$2:$Q$2902,R$2,0)&lt;&gt;B729,VLOOKUP($A729,'Concrete Beam Schedule'!$A$2:$Q$2902,R$2,0),"")</f>
        <v>#N/A</v>
      </c>
      <c r="S729" s="7" t="e">
        <f>IF(VLOOKUP($A729,'Concrete Beam Schedule'!$A$2:$Q$2902,S$2,0)&lt;&gt;C729,VLOOKUP($A729,'Concrete Beam Schedule'!$A$2:$Q$2902,S$2,0),"")</f>
        <v>#N/A</v>
      </c>
      <c r="T729" s="7" t="e">
        <f>IF(VLOOKUP($A729,'Concrete Beam Schedule'!$A$2:$Q$2902,T$2,0)&lt;&gt;D729,"Beam Revised","")</f>
        <v>#N/A</v>
      </c>
      <c r="U729" s="7" t="e">
        <f>IF(VLOOKUP($A729,'Concrete Beam Schedule'!$A$2:$Q$2902,U$2,0)&lt;&gt;E729,"Beam Revised","")</f>
        <v>#N/A</v>
      </c>
      <c r="V729" s="7" t="e">
        <f>IF(VLOOKUP($A729,'Concrete Beam Schedule'!$A$2:$Q$2902,V$2,0)&lt;&gt;F729,"Beam Revised","")</f>
        <v>#N/A</v>
      </c>
      <c r="W729" s="7" t="e">
        <f>IF(VLOOKUP($A729,'Concrete Beam Schedule'!$A$2:$Q$2902,W$2,0)&lt;&gt;G729,"Beam Revised","")</f>
        <v>#N/A</v>
      </c>
      <c r="X729" s="7" t="e">
        <f>IF(VLOOKUP($A729,'Concrete Beam Schedule'!$A$2:$Q$2902,X$2,0)&lt;&gt;H729,"Beam Revised","")</f>
        <v>#N/A</v>
      </c>
      <c r="Y729" s="7" t="e">
        <f>IF(VLOOKUP($A729,'Concrete Beam Schedule'!$A$2:$Q$2902,Y$2,0)&lt;&gt;I729,"Beam Revised","")</f>
        <v>#N/A</v>
      </c>
      <c r="Z729" s="7" t="e">
        <f>IF(VLOOKUP($A729,'Concrete Beam Schedule'!$A$2:$Q$2902,Z$2,0)&lt;&gt;J729,"Beam Revised","")</f>
        <v>#N/A</v>
      </c>
      <c r="AA729" s="7" t="e">
        <f>IF(VLOOKUP($A729,'Concrete Beam Schedule'!$A$2:$Q$2902,AA$2,0)&lt;&gt;K729,"Beam Revised","")</f>
        <v>#N/A</v>
      </c>
      <c r="AB729" s="7" t="e">
        <f>IF(VLOOKUP($A729,'Concrete Beam Schedule'!$A$2:$Q$2902,AB$2,0)&lt;&gt;L729,"Beam Revised","")</f>
        <v>#N/A</v>
      </c>
      <c r="AC729" s="7" t="e">
        <f>IF(VLOOKUP($A729,'Concrete Beam Schedule'!$A$2:$Q$2902,AC$2,0)&lt;&gt;M729,"Beam Revised","")</f>
        <v>#N/A</v>
      </c>
      <c r="AD729" s="7" t="e">
        <f>IF(VLOOKUP($A729,'Concrete Beam Schedule'!$A$2:$Q$2902,AD$2,0)&lt;&gt;N729,"Beam Revised","")</f>
        <v>#N/A</v>
      </c>
      <c r="AE729" s="7" t="e">
        <f>IF(VLOOKUP($A729,'Concrete Beam Schedule'!$A$2:$Q$2902,AE$2,0)&lt;&gt;O729,"Beam Revised","")</f>
        <v>#N/A</v>
      </c>
    </row>
    <row r="730" spans="17:31" ht="13.2" x14ac:dyDescent="0.25">
      <c r="Q730" s="7">
        <f t="shared" si="11"/>
        <v>0</v>
      </c>
      <c r="R730" s="7" t="e">
        <f>IF(VLOOKUP($A730,'Concrete Beam Schedule'!$A$2:$Q$2902,R$2,0)&lt;&gt;B730,VLOOKUP($A730,'Concrete Beam Schedule'!$A$2:$Q$2902,R$2,0),"")</f>
        <v>#N/A</v>
      </c>
      <c r="S730" s="7" t="e">
        <f>IF(VLOOKUP($A730,'Concrete Beam Schedule'!$A$2:$Q$2902,S$2,0)&lt;&gt;C730,VLOOKUP($A730,'Concrete Beam Schedule'!$A$2:$Q$2902,S$2,0),"")</f>
        <v>#N/A</v>
      </c>
      <c r="T730" s="7" t="e">
        <f>IF(VLOOKUP($A730,'Concrete Beam Schedule'!$A$2:$Q$2902,T$2,0)&lt;&gt;D730,"Beam Revised","")</f>
        <v>#N/A</v>
      </c>
      <c r="U730" s="7" t="e">
        <f>IF(VLOOKUP($A730,'Concrete Beam Schedule'!$A$2:$Q$2902,U$2,0)&lt;&gt;E730,"Beam Revised","")</f>
        <v>#N/A</v>
      </c>
      <c r="V730" s="7" t="e">
        <f>IF(VLOOKUP($A730,'Concrete Beam Schedule'!$A$2:$Q$2902,V$2,0)&lt;&gt;F730,"Beam Revised","")</f>
        <v>#N/A</v>
      </c>
      <c r="W730" s="7" t="e">
        <f>IF(VLOOKUP($A730,'Concrete Beam Schedule'!$A$2:$Q$2902,W$2,0)&lt;&gt;G730,"Beam Revised","")</f>
        <v>#N/A</v>
      </c>
      <c r="X730" s="7" t="e">
        <f>IF(VLOOKUP($A730,'Concrete Beam Schedule'!$A$2:$Q$2902,X$2,0)&lt;&gt;H730,"Beam Revised","")</f>
        <v>#N/A</v>
      </c>
      <c r="Y730" s="7" t="e">
        <f>IF(VLOOKUP($A730,'Concrete Beam Schedule'!$A$2:$Q$2902,Y$2,0)&lt;&gt;I730,"Beam Revised","")</f>
        <v>#N/A</v>
      </c>
      <c r="Z730" s="7" t="e">
        <f>IF(VLOOKUP($A730,'Concrete Beam Schedule'!$A$2:$Q$2902,Z$2,0)&lt;&gt;J730,"Beam Revised","")</f>
        <v>#N/A</v>
      </c>
      <c r="AA730" s="7" t="e">
        <f>IF(VLOOKUP($A730,'Concrete Beam Schedule'!$A$2:$Q$2902,AA$2,0)&lt;&gt;K730,"Beam Revised","")</f>
        <v>#N/A</v>
      </c>
      <c r="AB730" s="7" t="e">
        <f>IF(VLOOKUP($A730,'Concrete Beam Schedule'!$A$2:$Q$2902,AB$2,0)&lt;&gt;L730,"Beam Revised","")</f>
        <v>#N/A</v>
      </c>
      <c r="AC730" s="7" t="e">
        <f>IF(VLOOKUP($A730,'Concrete Beam Schedule'!$A$2:$Q$2902,AC$2,0)&lt;&gt;M730,"Beam Revised","")</f>
        <v>#N/A</v>
      </c>
      <c r="AD730" s="7" t="e">
        <f>IF(VLOOKUP($A730,'Concrete Beam Schedule'!$A$2:$Q$2902,AD$2,0)&lt;&gt;N730,"Beam Revised","")</f>
        <v>#N/A</v>
      </c>
      <c r="AE730" s="7" t="e">
        <f>IF(VLOOKUP($A730,'Concrete Beam Schedule'!$A$2:$Q$2902,AE$2,0)&lt;&gt;O730,"Beam Revised","")</f>
        <v>#N/A</v>
      </c>
    </row>
    <row r="731" spans="17:31" ht="13.2" x14ac:dyDescent="0.25">
      <c r="Q731" s="7">
        <f t="shared" si="11"/>
        <v>0</v>
      </c>
      <c r="R731" s="7" t="e">
        <f>IF(VLOOKUP($A731,'Concrete Beam Schedule'!$A$2:$Q$2902,R$2,0)&lt;&gt;B731,VLOOKUP($A731,'Concrete Beam Schedule'!$A$2:$Q$2902,R$2,0),"")</f>
        <v>#N/A</v>
      </c>
      <c r="S731" s="7" t="e">
        <f>IF(VLOOKUP($A731,'Concrete Beam Schedule'!$A$2:$Q$2902,S$2,0)&lt;&gt;C731,VLOOKUP($A731,'Concrete Beam Schedule'!$A$2:$Q$2902,S$2,0),"")</f>
        <v>#N/A</v>
      </c>
      <c r="T731" s="7" t="e">
        <f>IF(VLOOKUP($A731,'Concrete Beam Schedule'!$A$2:$Q$2902,T$2,0)&lt;&gt;D731,"Beam Revised","")</f>
        <v>#N/A</v>
      </c>
      <c r="U731" s="7" t="e">
        <f>IF(VLOOKUP($A731,'Concrete Beam Schedule'!$A$2:$Q$2902,U$2,0)&lt;&gt;E731,"Beam Revised","")</f>
        <v>#N/A</v>
      </c>
      <c r="V731" s="7" t="e">
        <f>IF(VLOOKUP($A731,'Concrete Beam Schedule'!$A$2:$Q$2902,V$2,0)&lt;&gt;F731,"Beam Revised","")</f>
        <v>#N/A</v>
      </c>
      <c r="W731" s="7" t="e">
        <f>IF(VLOOKUP($A731,'Concrete Beam Schedule'!$A$2:$Q$2902,W$2,0)&lt;&gt;G731,"Beam Revised","")</f>
        <v>#N/A</v>
      </c>
      <c r="X731" s="7" t="e">
        <f>IF(VLOOKUP($A731,'Concrete Beam Schedule'!$A$2:$Q$2902,X$2,0)&lt;&gt;H731,"Beam Revised","")</f>
        <v>#N/A</v>
      </c>
      <c r="Y731" s="7" t="e">
        <f>IF(VLOOKUP($A731,'Concrete Beam Schedule'!$A$2:$Q$2902,Y$2,0)&lt;&gt;I731,"Beam Revised","")</f>
        <v>#N/A</v>
      </c>
      <c r="Z731" s="7" t="e">
        <f>IF(VLOOKUP($A731,'Concrete Beam Schedule'!$A$2:$Q$2902,Z$2,0)&lt;&gt;J731,"Beam Revised","")</f>
        <v>#N/A</v>
      </c>
      <c r="AA731" s="7" t="e">
        <f>IF(VLOOKUP($A731,'Concrete Beam Schedule'!$A$2:$Q$2902,AA$2,0)&lt;&gt;K731,"Beam Revised","")</f>
        <v>#N/A</v>
      </c>
      <c r="AB731" s="7" t="e">
        <f>IF(VLOOKUP($A731,'Concrete Beam Schedule'!$A$2:$Q$2902,AB$2,0)&lt;&gt;L731,"Beam Revised","")</f>
        <v>#N/A</v>
      </c>
      <c r="AC731" s="7" t="e">
        <f>IF(VLOOKUP($A731,'Concrete Beam Schedule'!$A$2:$Q$2902,AC$2,0)&lt;&gt;M731,"Beam Revised","")</f>
        <v>#N/A</v>
      </c>
      <c r="AD731" s="7" t="e">
        <f>IF(VLOOKUP($A731,'Concrete Beam Schedule'!$A$2:$Q$2902,AD$2,0)&lt;&gt;N731,"Beam Revised","")</f>
        <v>#N/A</v>
      </c>
      <c r="AE731" s="7" t="e">
        <f>IF(VLOOKUP($A731,'Concrete Beam Schedule'!$A$2:$Q$2902,AE$2,0)&lt;&gt;O731,"Beam Revised","")</f>
        <v>#N/A</v>
      </c>
    </row>
    <row r="732" spans="17:31" ht="13.2" x14ac:dyDescent="0.25">
      <c r="Q732" s="7">
        <f t="shared" si="11"/>
        <v>0</v>
      </c>
      <c r="R732" s="7" t="e">
        <f>IF(VLOOKUP($A732,'Concrete Beam Schedule'!$A$2:$Q$2902,R$2,0)&lt;&gt;B732,VLOOKUP($A732,'Concrete Beam Schedule'!$A$2:$Q$2902,R$2,0),"")</f>
        <v>#N/A</v>
      </c>
      <c r="S732" s="7" t="e">
        <f>IF(VLOOKUP($A732,'Concrete Beam Schedule'!$A$2:$Q$2902,S$2,0)&lt;&gt;C732,VLOOKUP($A732,'Concrete Beam Schedule'!$A$2:$Q$2902,S$2,0),"")</f>
        <v>#N/A</v>
      </c>
      <c r="T732" s="7" t="e">
        <f>IF(VLOOKUP($A732,'Concrete Beam Schedule'!$A$2:$Q$2902,T$2,0)&lt;&gt;D732,"Beam Revised","")</f>
        <v>#N/A</v>
      </c>
      <c r="U732" s="7" t="e">
        <f>IF(VLOOKUP($A732,'Concrete Beam Schedule'!$A$2:$Q$2902,U$2,0)&lt;&gt;E732,"Beam Revised","")</f>
        <v>#N/A</v>
      </c>
      <c r="V732" s="7" t="e">
        <f>IF(VLOOKUP($A732,'Concrete Beam Schedule'!$A$2:$Q$2902,V$2,0)&lt;&gt;F732,"Beam Revised","")</f>
        <v>#N/A</v>
      </c>
      <c r="W732" s="7" t="e">
        <f>IF(VLOOKUP($A732,'Concrete Beam Schedule'!$A$2:$Q$2902,W$2,0)&lt;&gt;G732,"Beam Revised","")</f>
        <v>#N/A</v>
      </c>
      <c r="X732" s="7" t="e">
        <f>IF(VLOOKUP($A732,'Concrete Beam Schedule'!$A$2:$Q$2902,X$2,0)&lt;&gt;H732,"Beam Revised","")</f>
        <v>#N/A</v>
      </c>
      <c r="Y732" s="7" t="e">
        <f>IF(VLOOKUP($A732,'Concrete Beam Schedule'!$A$2:$Q$2902,Y$2,0)&lt;&gt;I732,"Beam Revised","")</f>
        <v>#N/A</v>
      </c>
      <c r="Z732" s="7" t="e">
        <f>IF(VLOOKUP($A732,'Concrete Beam Schedule'!$A$2:$Q$2902,Z$2,0)&lt;&gt;J732,"Beam Revised","")</f>
        <v>#N/A</v>
      </c>
      <c r="AA732" s="7" t="e">
        <f>IF(VLOOKUP($A732,'Concrete Beam Schedule'!$A$2:$Q$2902,AA$2,0)&lt;&gt;K732,"Beam Revised","")</f>
        <v>#N/A</v>
      </c>
      <c r="AB732" s="7" t="e">
        <f>IF(VLOOKUP($A732,'Concrete Beam Schedule'!$A$2:$Q$2902,AB$2,0)&lt;&gt;L732,"Beam Revised","")</f>
        <v>#N/A</v>
      </c>
      <c r="AC732" s="7" t="e">
        <f>IF(VLOOKUP($A732,'Concrete Beam Schedule'!$A$2:$Q$2902,AC$2,0)&lt;&gt;M732,"Beam Revised","")</f>
        <v>#N/A</v>
      </c>
      <c r="AD732" s="7" t="e">
        <f>IF(VLOOKUP($A732,'Concrete Beam Schedule'!$A$2:$Q$2902,AD$2,0)&lt;&gt;N732,"Beam Revised","")</f>
        <v>#N/A</v>
      </c>
      <c r="AE732" s="7" t="e">
        <f>IF(VLOOKUP($A732,'Concrete Beam Schedule'!$A$2:$Q$2902,AE$2,0)&lt;&gt;O732,"Beam Revised","")</f>
        <v>#N/A</v>
      </c>
    </row>
    <row r="733" spans="17:31" ht="13.2" x14ac:dyDescent="0.25">
      <c r="Q733" s="7">
        <f t="shared" si="11"/>
        <v>0</v>
      </c>
      <c r="R733" s="7" t="e">
        <f>IF(VLOOKUP($A733,'Concrete Beam Schedule'!$A$2:$Q$2902,R$2,0)&lt;&gt;B733,VLOOKUP($A733,'Concrete Beam Schedule'!$A$2:$Q$2902,R$2,0),"")</f>
        <v>#N/A</v>
      </c>
      <c r="S733" s="7" t="e">
        <f>IF(VLOOKUP($A733,'Concrete Beam Schedule'!$A$2:$Q$2902,S$2,0)&lt;&gt;C733,VLOOKUP($A733,'Concrete Beam Schedule'!$A$2:$Q$2902,S$2,0),"")</f>
        <v>#N/A</v>
      </c>
      <c r="T733" s="7" t="e">
        <f>IF(VLOOKUP($A733,'Concrete Beam Schedule'!$A$2:$Q$2902,T$2,0)&lt;&gt;D733,"Beam Revised","")</f>
        <v>#N/A</v>
      </c>
      <c r="U733" s="7" t="e">
        <f>IF(VLOOKUP($A733,'Concrete Beam Schedule'!$A$2:$Q$2902,U$2,0)&lt;&gt;E733,"Beam Revised","")</f>
        <v>#N/A</v>
      </c>
      <c r="V733" s="7" t="e">
        <f>IF(VLOOKUP($A733,'Concrete Beam Schedule'!$A$2:$Q$2902,V$2,0)&lt;&gt;F733,"Beam Revised","")</f>
        <v>#N/A</v>
      </c>
      <c r="W733" s="7" t="e">
        <f>IF(VLOOKUP($A733,'Concrete Beam Schedule'!$A$2:$Q$2902,W$2,0)&lt;&gt;G733,"Beam Revised","")</f>
        <v>#N/A</v>
      </c>
      <c r="X733" s="7" t="e">
        <f>IF(VLOOKUP($A733,'Concrete Beam Schedule'!$A$2:$Q$2902,X$2,0)&lt;&gt;H733,"Beam Revised","")</f>
        <v>#N/A</v>
      </c>
      <c r="Y733" s="7" t="e">
        <f>IF(VLOOKUP($A733,'Concrete Beam Schedule'!$A$2:$Q$2902,Y$2,0)&lt;&gt;I733,"Beam Revised","")</f>
        <v>#N/A</v>
      </c>
      <c r="Z733" s="7" t="e">
        <f>IF(VLOOKUP($A733,'Concrete Beam Schedule'!$A$2:$Q$2902,Z$2,0)&lt;&gt;J733,"Beam Revised","")</f>
        <v>#N/A</v>
      </c>
      <c r="AA733" s="7" t="e">
        <f>IF(VLOOKUP($A733,'Concrete Beam Schedule'!$A$2:$Q$2902,AA$2,0)&lt;&gt;K733,"Beam Revised","")</f>
        <v>#N/A</v>
      </c>
      <c r="AB733" s="7" t="e">
        <f>IF(VLOOKUP($A733,'Concrete Beam Schedule'!$A$2:$Q$2902,AB$2,0)&lt;&gt;L733,"Beam Revised","")</f>
        <v>#N/A</v>
      </c>
      <c r="AC733" s="7" t="e">
        <f>IF(VLOOKUP($A733,'Concrete Beam Schedule'!$A$2:$Q$2902,AC$2,0)&lt;&gt;M733,"Beam Revised","")</f>
        <v>#N/A</v>
      </c>
      <c r="AD733" s="7" t="e">
        <f>IF(VLOOKUP($A733,'Concrete Beam Schedule'!$A$2:$Q$2902,AD$2,0)&lt;&gt;N733,"Beam Revised","")</f>
        <v>#N/A</v>
      </c>
      <c r="AE733" s="7" t="e">
        <f>IF(VLOOKUP($A733,'Concrete Beam Schedule'!$A$2:$Q$2902,AE$2,0)&lt;&gt;O733,"Beam Revised","")</f>
        <v>#N/A</v>
      </c>
    </row>
    <row r="734" spans="17:31" ht="13.2" x14ac:dyDescent="0.25">
      <c r="Q734" s="7">
        <f t="shared" si="11"/>
        <v>0</v>
      </c>
      <c r="R734" s="7" t="e">
        <f>IF(VLOOKUP($A734,'Concrete Beam Schedule'!$A$2:$Q$2902,R$2,0)&lt;&gt;B734,VLOOKUP($A734,'Concrete Beam Schedule'!$A$2:$Q$2902,R$2,0),"")</f>
        <v>#N/A</v>
      </c>
      <c r="S734" s="7" t="e">
        <f>IF(VLOOKUP($A734,'Concrete Beam Schedule'!$A$2:$Q$2902,S$2,0)&lt;&gt;C734,VLOOKUP($A734,'Concrete Beam Schedule'!$A$2:$Q$2902,S$2,0),"")</f>
        <v>#N/A</v>
      </c>
      <c r="T734" s="7" t="e">
        <f>IF(VLOOKUP($A734,'Concrete Beam Schedule'!$A$2:$Q$2902,T$2,0)&lt;&gt;D734,"Beam Revised","")</f>
        <v>#N/A</v>
      </c>
      <c r="U734" s="7" t="e">
        <f>IF(VLOOKUP($A734,'Concrete Beam Schedule'!$A$2:$Q$2902,U$2,0)&lt;&gt;E734,"Beam Revised","")</f>
        <v>#N/A</v>
      </c>
      <c r="V734" s="7" t="e">
        <f>IF(VLOOKUP($A734,'Concrete Beam Schedule'!$A$2:$Q$2902,V$2,0)&lt;&gt;F734,"Beam Revised","")</f>
        <v>#N/A</v>
      </c>
      <c r="W734" s="7" t="e">
        <f>IF(VLOOKUP($A734,'Concrete Beam Schedule'!$A$2:$Q$2902,W$2,0)&lt;&gt;G734,"Beam Revised","")</f>
        <v>#N/A</v>
      </c>
      <c r="X734" s="7" t="e">
        <f>IF(VLOOKUP($A734,'Concrete Beam Schedule'!$A$2:$Q$2902,X$2,0)&lt;&gt;H734,"Beam Revised","")</f>
        <v>#N/A</v>
      </c>
      <c r="Y734" s="7" t="e">
        <f>IF(VLOOKUP($A734,'Concrete Beam Schedule'!$A$2:$Q$2902,Y$2,0)&lt;&gt;I734,"Beam Revised","")</f>
        <v>#N/A</v>
      </c>
      <c r="Z734" s="7" t="e">
        <f>IF(VLOOKUP($A734,'Concrete Beam Schedule'!$A$2:$Q$2902,Z$2,0)&lt;&gt;J734,"Beam Revised","")</f>
        <v>#N/A</v>
      </c>
      <c r="AA734" s="7" t="e">
        <f>IF(VLOOKUP($A734,'Concrete Beam Schedule'!$A$2:$Q$2902,AA$2,0)&lt;&gt;K734,"Beam Revised","")</f>
        <v>#N/A</v>
      </c>
      <c r="AB734" s="7" t="e">
        <f>IF(VLOOKUP($A734,'Concrete Beam Schedule'!$A$2:$Q$2902,AB$2,0)&lt;&gt;L734,"Beam Revised","")</f>
        <v>#N/A</v>
      </c>
      <c r="AC734" s="7" t="e">
        <f>IF(VLOOKUP($A734,'Concrete Beam Schedule'!$A$2:$Q$2902,AC$2,0)&lt;&gt;M734,"Beam Revised","")</f>
        <v>#N/A</v>
      </c>
      <c r="AD734" s="7" t="e">
        <f>IF(VLOOKUP($A734,'Concrete Beam Schedule'!$A$2:$Q$2902,AD$2,0)&lt;&gt;N734,"Beam Revised","")</f>
        <v>#N/A</v>
      </c>
      <c r="AE734" s="7" t="e">
        <f>IF(VLOOKUP($A734,'Concrete Beam Schedule'!$A$2:$Q$2902,AE$2,0)&lt;&gt;O734,"Beam Revised","")</f>
        <v>#N/A</v>
      </c>
    </row>
    <row r="735" spans="17:31" ht="13.2" x14ac:dyDescent="0.25">
      <c r="Q735" s="7">
        <f t="shared" si="11"/>
        <v>0</v>
      </c>
      <c r="R735" s="7" t="e">
        <f>IF(VLOOKUP($A735,'Concrete Beam Schedule'!$A$2:$Q$2902,R$2,0)&lt;&gt;B735,VLOOKUP($A735,'Concrete Beam Schedule'!$A$2:$Q$2902,R$2,0),"")</f>
        <v>#N/A</v>
      </c>
      <c r="S735" s="7" t="e">
        <f>IF(VLOOKUP($A735,'Concrete Beam Schedule'!$A$2:$Q$2902,S$2,0)&lt;&gt;C735,VLOOKUP($A735,'Concrete Beam Schedule'!$A$2:$Q$2902,S$2,0),"")</f>
        <v>#N/A</v>
      </c>
      <c r="T735" s="7" t="e">
        <f>IF(VLOOKUP($A735,'Concrete Beam Schedule'!$A$2:$Q$2902,T$2,0)&lt;&gt;D735,"Beam Revised","")</f>
        <v>#N/A</v>
      </c>
      <c r="U735" s="7" t="e">
        <f>IF(VLOOKUP($A735,'Concrete Beam Schedule'!$A$2:$Q$2902,U$2,0)&lt;&gt;E735,"Beam Revised","")</f>
        <v>#N/A</v>
      </c>
      <c r="V735" s="7" t="e">
        <f>IF(VLOOKUP($A735,'Concrete Beam Schedule'!$A$2:$Q$2902,V$2,0)&lt;&gt;F735,"Beam Revised","")</f>
        <v>#N/A</v>
      </c>
      <c r="W735" s="7" t="e">
        <f>IF(VLOOKUP($A735,'Concrete Beam Schedule'!$A$2:$Q$2902,W$2,0)&lt;&gt;G735,"Beam Revised","")</f>
        <v>#N/A</v>
      </c>
      <c r="X735" s="7" t="e">
        <f>IF(VLOOKUP($A735,'Concrete Beam Schedule'!$A$2:$Q$2902,X$2,0)&lt;&gt;H735,"Beam Revised","")</f>
        <v>#N/A</v>
      </c>
      <c r="Y735" s="7" t="e">
        <f>IF(VLOOKUP($A735,'Concrete Beam Schedule'!$A$2:$Q$2902,Y$2,0)&lt;&gt;I735,"Beam Revised","")</f>
        <v>#N/A</v>
      </c>
      <c r="Z735" s="7" t="e">
        <f>IF(VLOOKUP($A735,'Concrete Beam Schedule'!$A$2:$Q$2902,Z$2,0)&lt;&gt;J735,"Beam Revised","")</f>
        <v>#N/A</v>
      </c>
      <c r="AA735" s="7" t="e">
        <f>IF(VLOOKUP($A735,'Concrete Beam Schedule'!$A$2:$Q$2902,AA$2,0)&lt;&gt;K735,"Beam Revised","")</f>
        <v>#N/A</v>
      </c>
      <c r="AB735" s="7" t="e">
        <f>IF(VLOOKUP($A735,'Concrete Beam Schedule'!$A$2:$Q$2902,AB$2,0)&lt;&gt;L735,"Beam Revised","")</f>
        <v>#N/A</v>
      </c>
      <c r="AC735" s="7" t="e">
        <f>IF(VLOOKUP($A735,'Concrete Beam Schedule'!$A$2:$Q$2902,AC$2,0)&lt;&gt;M735,"Beam Revised","")</f>
        <v>#N/A</v>
      </c>
      <c r="AD735" s="7" t="e">
        <f>IF(VLOOKUP($A735,'Concrete Beam Schedule'!$A$2:$Q$2902,AD$2,0)&lt;&gt;N735,"Beam Revised","")</f>
        <v>#N/A</v>
      </c>
      <c r="AE735" s="7" t="e">
        <f>IF(VLOOKUP($A735,'Concrete Beam Schedule'!$A$2:$Q$2902,AE$2,0)&lt;&gt;O735,"Beam Revised","")</f>
        <v>#N/A</v>
      </c>
    </row>
    <row r="736" spans="17:31" ht="13.2" x14ac:dyDescent="0.25">
      <c r="Q736" s="7">
        <f t="shared" si="11"/>
        <v>0</v>
      </c>
      <c r="R736" s="7" t="e">
        <f>IF(VLOOKUP($A736,'Concrete Beam Schedule'!$A$2:$Q$2902,R$2,0)&lt;&gt;B736,VLOOKUP($A736,'Concrete Beam Schedule'!$A$2:$Q$2902,R$2,0),"")</f>
        <v>#N/A</v>
      </c>
      <c r="S736" s="7" t="e">
        <f>IF(VLOOKUP($A736,'Concrete Beam Schedule'!$A$2:$Q$2902,S$2,0)&lt;&gt;C736,VLOOKUP($A736,'Concrete Beam Schedule'!$A$2:$Q$2902,S$2,0),"")</f>
        <v>#N/A</v>
      </c>
      <c r="T736" s="7" t="e">
        <f>IF(VLOOKUP($A736,'Concrete Beam Schedule'!$A$2:$Q$2902,T$2,0)&lt;&gt;D736,"Beam Revised","")</f>
        <v>#N/A</v>
      </c>
      <c r="U736" s="7" t="e">
        <f>IF(VLOOKUP($A736,'Concrete Beam Schedule'!$A$2:$Q$2902,U$2,0)&lt;&gt;E736,"Beam Revised","")</f>
        <v>#N/A</v>
      </c>
      <c r="V736" s="7" t="e">
        <f>IF(VLOOKUP($A736,'Concrete Beam Schedule'!$A$2:$Q$2902,V$2,0)&lt;&gt;F736,"Beam Revised","")</f>
        <v>#N/A</v>
      </c>
      <c r="W736" s="7" t="e">
        <f>IF(VLOOKUP($A736,'Concrete Beam Schedule'!$A$2:$Q$2902,W$2,0)&lt;&gt;G736,"Beam Revised","")</f>
        <v>#N/A</v>
      </c>
      <c r="X736" s="7" t="e">
        <f>IF(VLOOKUP($A736,'Concrete Beam Schedule'!$A$2:$Q$2902,X$2,0)&lt;&gt;H736,"Beam Revised","")</f>
        <v>#N/A</v>
      </c>
      <c r="Y736" s="7" t="e">
        <f>IF(VLOOKUP($A736,'Concrete Beam Schedule'!$A$2:$Q$2902,Y$2,0)&lt;&gt;I736,"Beam Revised","")</f>
        <v>#N/A</v>
      </c>
      <c r="Z736" s="7" t="e">
        <f>IF(VLOOKUP($A736,'Concrete Beam Schedule'!$A$2:$Q$2902,Z$2,0)&lt;&gt;J736,"Beam Revised","")</f>
        <v>#N/A</v>
      </c>
      <c r="AA736" s="7" t="e">
        <f>IF(VLOOKUP($A736,'Concrete Beam Schedule'!$A$2:$Q$2902,AA$2,0)&lt;&gt;K736,"Beam Revised","")</f>
        <v>#N/A</v>
      </c>
      <c r="AB736" s="7" t="e">
        <f>IF(VLOOKUP($A736,'Concrete Beam Schedule'!$A$2:$Q$2902,AB$2,0)&lt;&gt;L736,"Beam Revised","")</f>
        <v>#N/A</v>
      </c>
      <c r="AC736" s="7" t="e">
        <f>IF(VLOOKUP($A736,'Concrete Beam Schedule'!$A$2:$Q$2902,AC$2,0)&lt;&gt;M736,"Beam Revised","")</f>
        <v>#N/A</v>
      </c>
      <c r="AD736" s="7" t="e">
        <f>IF(VLOOKUP($A736,'Concrete Beam Schedule'!$A$2:$Q$2902,AD$2,0)&lt;&gt;N736,"Beam Revised","")</f>
        <v>#N/A</v>
      </c>
      <c r="AE736" s="7" t="e">
        <f>IF(VLOOKUP($A736,'Concrete Beam Schedule'!$A$2:$Q$2902,AE$2,0)&lt;&gt;O736,"Beam Revised","")</f>
        <v>#N/A</v>
      </c>
    </row>
    <row r="737" spans="17:31" ht="13.2" x14ac:dyDescent="0.25">
      <c r="Q737" s="7">
        <f t="shared" si="11"/>
        <v>0</v>
      </c>
      <c r="R737" s="7" t="e">
        <f>IF(VLOOKUP($A737,'Concrete Beam Schedule'!$A$2:$Q$2902,R$2,0)&lt;&gt;B737,VLOOKUP($A737,'Concrete Beam Schedule'!$A$2:$Q$2902,R$2,0),"")</f>
        <v>#N/A</v>
      </c>
      <c r="S737" s="7" t="e">
        <f>IF(VLOOKUP($A737,'Concrete Beam Schedule'!$A$2:$Q$2902,S$2,0)&lt;&gt;C737,VLOOKUP($A737,'Concrete Beam Schedule'!$A$2:$Q$2902,S$2,0),"")</f>
        <v>#N/A</v>
      </c>
      <c r="T737" s="7" t="e">
        <f>IF(VLOOKUP($A737,'Concrete Beam Schedule'!$A$2:$Q$2902,T$2,0)&lt;&gt;D737,"Beam Revised","")</f>
        <v>#N/A</v>
      </c>
      <c r="U737" s="7" t="e">
        <f>IF(VLOOKUP($A737,'Concrete Beam Schedule'!$A$2:$Q$2902,U$2,0)&lt;&gt;E737,"Beam Revised","")</f>
        <v>#N/A</v>
      </c>
      <c r="V737" s="7" t="e">
        <f>IF(VLOOKUP($A737,'Concrete Beam Schedule'!$A$2:$Q$2902,V$2,0)&lt;&gt;F737,"Beam Revised","")</f>
        <v>#N/A</v>
      </c>
      <c r="W737" s="7" t="e">
        <f>IF(VLOOKUP($A737,'Concrete Beam Schedule'!$A$2:$Q$2902,W$2,0)&lt;&gt;G737,"Beam Revised","")</f>
        <v>#N/A</v>
      </c>
      <c r="X737" s="7" t="e">
        <f>IF(VLOOKUP($A737,'Concrete Beam Schedule'!$A$2:$Q$2902,X$2,0)&lt;&gt;H737,"Beam Revised","")</f>
        <v>#N/A</v>
      </c>
      <c r="Y737" s="7" t="e">
        <f>IF(VLOOKUP($A737,'Concrete Beam Schedule'!$A$2:$Q$2902,Y$2,0)&lt;&gt;I737,"Beam Revised","")</f>
        <v>#N/A</v>
      </c>
      <c r="Z737" s="7" t="e">
        <f>IF(VLOOKUP($A737,'Concrete Beam Schedule'!$A$2:$Q$2902,Z$2,0)&lt;&gt;J737,"Beam Revised","")</f>
        <v>#N/A</v>
      </c>
      <c r="AA737" s="7" t="e">
        <f>IF(VLOOKUP($A737,'Concrete Beam Schedule'!$A$2:$Q$2902,AA$2,0)&lt;&gt;K737,"Beam Revised","")</f>
        <v>#N/A</v>
      </c>
      <c r="AB737" s="7" t="e">
        <f>IF(VLOOKUP($A737,'Concrete Beam Schedule'!$A$2:$Q$2902,AB$2,0)&lt;&gt;L737,"Beam Revised","")</f>
        <v>#N/A</v>
      </c>
      <c r="AC737" s="7" t="e">
        <f>IF(VLOOKUP($A737,'Concrete Beam Schedule'!$A$2:$Q$2902,AC$2,0)&lt;&gt;M737,"Beam Revised","")</f>
        <v>#N/A</v>
      </c>
      <c r="AD737" s="7" t="e">
        <f>IF(VLOOKUP($A737,'Concrete Beam Schedule'!$A$2:$Q$2902,AD$2,0)&lt;&gt;N737,"Beam Revised","")</f>
        <v>#N/A</v>
      </c>
      <c r="AE737" s="7" t="e">
        <f>IF(VLOOKUP($A737,'Concrete Beam Schedule'!$A$2:$Q$2902,AE$2,0)&lt;&gt;O737,"Beam Revised","")</f>
        <v>#N/A</v>
      </c>
    </row>
    <row r="738" spans="17:31" ht="13.2" x14ac:dyDescent="0.25">
      <c r="Q738" s="7">
        <f t="shared" si="11"/>
        <v>0</v>
      </c>
      <c r="R738" s="7" t="e">
        <f>IF(VLOOKUP($A738,'Concrete Beam Schedule'!$A$2:$Q$2902,R$2,0)&lt;&gt;B738,VLOOKUP($A738,'Concrete Beam Schedule'!$A$2:$Q$2902,R$2,0),"")</f>
        <v>#N/A</v>
      </c>
      <c r="S738" s="7" t="e">
        <f>IF(VLOOKUP($A738,'Concrete Beam Schedule'!$A$2:$Q$2902,S$2,0)&lt;&gt;C738,VLOOKUP($A738,'Concrete Beam Schedule'!$A$2:$Q$2902,S$2,0),"")</f>
        <v>#N/A</v>
      </c>
      <c r="T738" s="7" t="e">
        <f>IF(VLOOKUP($A738,'Concrete Beam Schedule'!$A$2:$Q$2902,T$2,0)&lt;&gt;D738,"Beam Revised","")</f>
        <v>#N/A</v>
      </c>
      <c r="U738" s="7" t="e">
        <f>IF(VLOOKUP($A738,'Concrete Beam Schedule'!$A$2:$Q$2902,U$2,0)&lt;&gt;E738,"Beam Revised","")</f>
        <v>#N/A</v>
      </c>
      <c r="V738" s="7" t="e">
        <f>IF(VLOOKUP($A738,'Concrete Beam Schedule'!$A$2:$Q$2902,V$2,0)&lt;&gt;F738,"Beam Revised","")</f>
        <v>#N/A</v>
      </c>
      <c r="W738" s="7" t="e">
        <f>IF(VLOOKUP($A738,'Concrete Beam Schedule'!$A$2:$Q$2902,W$2,0)&lt;&gt;G738,"Beam Revised","")</f>
        <v>#N/A</v>
      </c>
      <c r="X738" s="7" t="e">
        <f>IF(VLOOKUP($A738,'Concrete Beam Schedule'!$A$2:$Q$2902,X$2,0)&lt;&gt;H738,"Beam Revised","")</f>
        <v>#N/A</v>
      </c>
      <c r="Y738" s="7" t="e">
        <f>IF(VLOOKUP($A738,'Concrete Beam Schedule'!$A$2:$Q$2902,Y$2,0)&lt;&gt;I738,"Beam Revised","")</f>
        <v>#N/A</v>
      </c>
      <c r="Z738" s="7" t="e">
        <f>IF(VLOOKUP($A738,'Concrete Beam Schedule'!$A$2:$Q$2902,Z$2,0)&lt;&gt;J738,"Beam Revised","")</f>
        <v>#N/A</v>
      </c>
      <c r="AA738" s="7" t="e">
        <f>IF(VLOOKUP($A738,'Concrete Beam Schedule'!$A$2:$Q$2902,AA$2,0)&lt;&gt;K738,"Beam Revised","")</f>
        <v>#N/A</v>
      </c>
      <c r="AB738" s="7" t="e">
        <f>IF(VLOOKUP($A738,'Concrete Beam Schedule'!$A$2:$Q$2902,AB$2,0)&lt;&gt;L738,"Beam Revised","")</f>
        <v>#N/A</v>
      </c>
      <c r="AC738" s="7" t="e">
        <f>IF(VLOOKUP($A738,'Concrete Beam Schedule'!$A$2:$Q$2902,AC$2,0)&lt;&gt;M738,"Beam Revised","")</f>
        <v>#N/A</v>
      </c>
      <c r="AD738" s="7" t="e">
        <f>IF(VLOOKUP($A738,'Concrete Beam Schedule'!$A$2:$Q$2902,AD$2,0)&lt;&gt;N738,"Beam Revised","")</f>
        <v>#N/A</v>
      </c>
      <c r="AE738" s="7" t="e">
        <f>IF(VLOOKUP($A738,'Concrete Beam Schedule'!$A$2:$Q$2902,AE$2,0)&lt;&gt;O738,"Beam Revised","")</f>
        <v>#N/A</v>
      </c>
    </row>
    <row r="739" spans="17:31" ht="13.2" x14ac:dyDescent="0.25">
      <c r="Q739" s="7">
        <f t="shared" si="11"/>
        <v>0</v>
      </c>
      <c r="R739" s="7" t="e">
        <f>IF(VLOOKUP($A739,'Concrete Beam Schedule'!$A$2:$Q$2902,R$2,0)&lt;&gt;B739,VLOOKUP($A739,'Concrete Beam Schedule'!$A$2:$Q$2902,R$2,0),"")</f>
        <v>#N/A</v>
      </c>
      <c r="S739" s="7" t="e">
        <f>IF(VLOOKUP($A739,'Concrete Beam Schedule'!$A$2:$Q$2902,S$2,0)&lt;&gt;C739,VLOOKUP($A739,'Concrete Beam Schedule'!$A$2:$Q$2902,S$2,0),"")</f>
        <v>#N/A</v>
      </c>
      <c r="T739" s="7" t="e">
        <f>IF(VLOOKUP($A739,'Concrete Beam Schedule'!$A$2:$Q$2902,T$2,0)&lt;&gt;D739,"Beam Revised","")</f>
        <v>#N/A</v>
      </c>
      <c r="U739" s="7" t="e">
        <f>IF(VLOOKUP($A739,'Concrete Beam Schedule'!$A$2:$Q$2902,U$2,0)&lt;&gt;E739,"Beam Revised","")</f>
        <v>#N/A</v>
      </c>
      <c r="V739" s="7" t="e">
        <f>IF(VLOOKUP($A739,'Concrete Beam Schedule'!$A$2:$Q$2902,V$2,0)&lt;&gt;F739,"Beam Revised","")</f>
        <v>#N/A</v>
      </c>
      <c r="W739" s="7" t="e">
        <f>IF(VLOOKUP($A739,'Concrete Beam Schedule'!$A$2:$Q$2902,W$2,0)&lt;&gt;G739,"Beam Revised","")</f>
        <v>#N/A</v>
      </c>
      <c r="X739" s="7" t="e">
        <f>IF(VLOOKUP($A739,'Concrete Beam Schedule'!$A$2:$Q$2902,X$2,0)&lt;&gt;H739,"Beam Revised","")</f>
        <v>#N/A</v>
      </c>
      <c r="Y739" s="7" t="e">
        <f>IF(VLOOKUP($A739,'Concrete Beam Schedule'!$A$2:$Q$2902,Y$2,0)&lt;&gt;I739,"Beam Revised","")</f>
        <v>#N/A</v>
      </c>
      <c r="Z739" s="7" t="e">
        <f>IF(VLOOKUP($A739,'Concrete Beam Schedule'!$A$2:$Q$2902,Z$2,0)&lt;&gt;J739,"Beam Revised","")</f>
        <v>#N/A</v>
      </c>
      <c r="AA739" s="7" t="e">
        <f>IF(VLOOKUP($A739,'Concrete Beam Schedule'!$A$2:$Q$2902,AA$2,0)&lt;&gt;K739,"Beam Revised","")</f>
        <v>#N/A</v>
      </c>
      <c r="AB739" s="7" t="e">
        <f>IF(VLOOKUP($A739,'Concrete Beam Schedule'!$A$2:$Q$2902,AB$2,0)&lt;&gt;L739,"Beam Revised","")</f>
        <v>#N/A</v>
      </c>
      <c r="AC739" s="7" t="e">
        <f>IF(VLOOKUP($A739,'Concrete Beam Schedule'!$A$2:$Q$2902,AC$2,0)&lt;&gt;M739,"Beam Revised","")</f>
        <v>#N/A</v>
      </c>
      <c r="AD739" s="7" t="e">
        <f>IF(VLOOKUP($A739,'Concrete Beam Schedule'!$A$2:$Q$2902,AD$2,0)&lt;&gt;N739,"Beam Revised","")</f>
        <v>#N/A</v>
      </c>
      <c r="AE739" s="7" t="e">
        <f>IF(VLOOKUP($A739,'Concrete Beam Schedule'!$A$2:$Q$2902,AE$2,0)&lt;&gt;O739,"Beam Revised","")</f>
        <v>#N/A</v>
      </c>
    </row>
    <row r="740" spans="17:31" ht="13.2" x14ac:dyDescent="0.25">
      <c r="Q740" s="7">
        <f t="shared" si="11"/>
        <v>0</v>
      </c>
      <c r="R740" s="7" t="e">
        <f>IF(VLOOKUP($A740,'Concrete Beam Schedule'!$A$2:$Q$2902,R$2,0)&lt;&gt;B740,VLOOKUP($A740,'Concrete Beam Schedule'!$A$2:$Q$2902,R$2,0),"")</f>
        <v>#N/A</v>
      </c>
      <c r="S740" s="7" t="e">
        <f>IF(VLOOKUP($A740,'Concrete Beam Schedule'!$A$2:$Q$2902,S$2,0)&lt;&gt;C740,VLOOKUP($A740,'Concrete Beam Schedule'!$A$2:$Q$2902,S$2,0),"")</f>
        <v>#N/A</v>
      </c>
      <c r="T740" s="7" t="e">
        <f>IF(VLOOKUP($A740,'Concrete Beam Schedule'!$A$2:$Q$2902,T$2,0)&lt;&gt;D740,"Beam Revised","")</f>
        <v>#N/A</v>
      </c>
      <c r="U740" s="7" t="e">
        <f>IF(VLOOKUP($A740,'Concrete Beam Schedule'!$A$2:$Q$2902,U$2,0)&lt;&gt;E740,"Beam Revised","")</f>
        <v>#N/A</v>
      </c>
      <c r="V740" s="7" t="e">
        <f>IF(VLOOKUP($A740,'Concrete Beam Schedule'!$A$2:$Q$2902,V$2,0)&lt;&gt;F740,"Beam Revised","")</f>
        <v>#N/A</v>
      </c>
      <c r="W740" s="7" t="e">
        <f>IF(VLOOKUP($A740,'Concrete Beam Schedule'!$A$2:$Q$2902,W$2,0)&lt;&gt;G740,"Beam Revised","")</f>
        <v>#N/A</v>
      </c>
      <c r="X740" s="7" t="e">
        <f>IF(VLOOKUP($A740,'Concrete Beam Schedule'!$A$2:$Q$2902,X$2,0)&lt;&gt;H740,"Beam Revised","")</f>
        <v>#N/A</v>
      </c>
      <c r="Y740" s="7" t="e">
        <f>IF(VLOOKUP($A740,'Concrete Beam Schedule'!$A$2:$Q$2902,Y$2,0)&lt;&gt;I740,"Beam Revised","")</f>
        <v>#N/A</v>
      </c>
      <c r="Z740" s="7" t="e">
        <f>IF(VLOOKUP($A740,'Concrete Beam Schedule'!$A$2:$Q$2902,Z$2,0)&lt;&gt;J740,"Beam Revised","")</f>
        <v>#N/A</v>
      </c>
      <c r="AA740" s="7" t="e">
        <f>IF(VLOOKUP($A740,'Concrete Beam Schedule'!$A$2:$Q$2902,AA$2,0)&lt;&gt;K740,"Beam Revised","")</f>
        <v>#N/A</v>
      </c>
      <c r="AB740" s="7" t="e">
        <f>IF(VLOOKUP($A740,'Concrete Beam Schedule'!$A$2:$Q$2902,AB$2,0)&lt;&gt;L740,"Beam Revised","")</f>
        <v>#N/A</v>
      </c>
      <c r="AC740" s="7" t="e">
        <f>IF(VLOOKUP($A740,'Concrete Beam Schedule'!$A$2:$Q$2902,AC$2,0)&lt;&gt;M740,"Beam Revised","")</f>
        <v>#N/A</v>
      </c>
      <c r="AD740" s="7" t="e">
        <f>IF(VLOOKUP($A740,'Concrete Beam Schedule'!$A$2:$Q$2902,AD$2,0)&lt;&gt;N740,"Beam Revised","")</f>
        <v>#N/A</v>
      </c>
      <c r="AE740" s="7" t="e">
        <f>IF(VLOOKUP($A740,'Concrete Beam Schedule'!$A$2:$Q$2902,AE$2,0)&lt;&gt;O740,"Beam Revised","")</f>
        <v>#N/A</v>
      </c>
    </row>
    <row r="741" spans="17:31" ht="13.2" x14ac:dyDescent="0.25">
      <c r="Q741" s="7">
        <f t="shared" si="11"/>
        <v>0</v>
      </c>
      <c r="R741" s="7" t="e">
        <f>IF(VLOOKUP($A741,'Concrete Beam Schedule'!$A$2:$Q$2902,R$2,0)&lt;&gt;B741,VLOOKUP($A741,'Concrete Beam Schedule'!$A$2:$Q$2902,R$2,0),"")</f>
        <v>#N/A</v>
      </c>
      <c r="S741" s="7" t="e">
        <f>IF(VLOOKUP($A741,'Concrete Beam Schedule'!$A$2:$Q$2902,S$2,0)&lt;&gt;C741,VLOOKUP($A741,'Concrete Beam Schedule'!$A$2:$Q$2902,S$2,0),"")</f>
        <v>#N/A</v>
      </c>
      <c r="T741" s="7" t="e">
        <f>IF(VLOOKUP($A741,'Concrete Beam Schedule'!$A$2:$Q$2902,T$2,0)&lt;&gt;D741,"Beam Revised","")</f>
        <v>#N/A</v>
      </c>
      <c r="U741" s="7" t="e">
        <f>IF(VLOOKUP($A741,'Concrete Beam Schedule'!$A$2:$Q$2902,U$2,0)&lt;&gt;E741,"Beam Revised","")</f>
        <v>#N/A</v>
      </c>
      <c r="V741" s="7" t="e">
        <f>IF(VLOOKUP($A741,'Concrete Beam Schedule'!$A$2:$Q$2902,V$2,0)&lt;&gt;F741,"Beam Revised","")</f>
        <v>#N/A</v>
      </c>
      <c r="W741" s="7" t="e">
        <f>IF(VLOOKUP($A741,'Concrete Beam Schedule'!$A$2:$Q$2902,W$2,0)&lt;&gt;G741,"Beam Revised","")</f>
        <v>#N/A</v>
      </c>
      <c r="X741" s="7" t="e">
        <f>IF(VLOOKUP($A741,'Concrete Beam Schedule'!$A$2:$Q$2902,X$2,0)&lt;&gt;H741,"Beam Revised","")</f>
        <v>#N/A</v>
      </c>
      <c r="Y741" s="7" t="e">
        <f>IF(VLOOKUP($A741,'Concrete Beam Schedule'!$A$2:$Q$2902,Y$2,0)&lt;&gt;I741,"Beam Revised","")</f>
        <v>#N/A</v>
      </c>
      <c r="Z741" s="7" t="e">
        <f>IF(VLOOKUP($A741,'Concrete Beam Schedule'!$A$2:$Q$2902,Z$2,0)&lt;&gt;J741,"Beam Revised","")</f>
        <v>#N/A</v>
      </c>
      <c r="AA741" s="7" t="e">
        <f>IF(VLOOKUP($A741,'Concrete Beam Schedule'!$A$2:$Q$2902,AA$2,0)&lt;&gt;K741,"Beam Revised","")</f>
        <v>#N/A</v>
      </c>
      <c r="AB741" s="7" t="e">
        <f>IF(VLOOKUP($A741,'Concrete Beam Schedule'!$A$2:$Q$2902,AB$2,0)&lt;&gt;L741,"Beam Revised","")</f>
        <v>#N/A</v>
      </c>
      <c r="AC741" s="7" t="e">
        <f>IF(VLOOKUP($A741,'Concrete Beam Schedule'!$A$2:$Q$2902,AC$2,0)&lt;&gt;M741,"Beam Revised","")</f>
        <v>#N/A</v>
      </c>
      <c r="AD741" s="7" t="e">
        <f>IF(VLOOKUP($A741,'Concrete Beam Schedule'!$A$2:$Q$2902,AD$2,0)&lt;&gt;N741,"Beam Revised","")</f>
        <v>#N/A</v>
      </c>
      <c r="AE741" s="7" t="e">
        <f>IF(VLOOKUP($A741,'Concrete Beam Schedule'!$A$2:$Q$2902,AE$2,0)&lt;&gt;O741,"Beam Revised","")</f>
        <v>#N/A</v>
      </c>
    </row>
    <row r="742" spans="17:31" ht="13.2" x14ac:dyDescent="0.25">
      <c r="Q742" s="7">
        <f t="shared" si="11"/>
        <v>0</v>
      </c>
      <c r="R742" s="7" t="e">
        <f>IF(VLOOKUP($A742,'Concrete Beam Schedule'!$A$2:$Q$2902,R$2,0)&lt;&gt;B742,VLOOKUP($A742,'Concrete Beam Schedule'!$A$2:$Q$2902,R$2,0),"")</f>
        <v>#N/A</v>
      </c>
      <c r="S742" s="7" t="e">
        <f>IF(VLOOKUP($A742,'Concrete Beam Schedule'!$A$2:$Q$2902,S$2,0)&lt;&gt;C742,VLOOKUP($A742,'Concrete Beam Schedule'!$A$2:$Q$2902,S$2,0),"")</f>
        <v>#N/A</v>
      </c>
      <c r="T742" s="7" t="e">
        <f>IF(VLOOKUP($A742,'Concrete Beam Schedule'!$A$2:$Q$2902,T$2,0)&lt;&gt;D742,"Beam Revised","")</f>
        <v>#N/A</v>
      </c>
      <c r="U742" s="7" t="e">
        <f>IF(VLOOKUP($A742,'Concrete Beam Schedule'!$A$2:$Q$2902,U$2,0)&lt;&gt;E742,"Beam Revised","")</f>
        <v>#N/A</v>
      </c>
      <c r="V742" s="7" t="e">
        <f>IF(VLOOKUP($A742,'Concrete Beam Schedule'!$A$2:$Q$2902,V$2,0)&lt;&gt;F742,"Beam Revised","")</f>
        <v>#N/A</v>
      </c>
      <c r="W742" s="7" t="e">
        <f>IF(VLOOKUP($A742,'Concrete Beam Schedule'!$A$2:$Q$2902,W$2,0)&lt;&gt;G742,"Beam Revised","")</f>
        <v>#N/A</v>
      </c>
      <c r="X742" s="7" t="e">
        <f>IF(VLOOKUP($A742,'Concrete Beam Schedule'!$A$2:$Q$2902,X$2,0)&lt;&gt;H742,"Beam Revised","")</f>
        <v>#N/A</v>
      </c>
      <c r="Y742" s="7" t="e">
        <f>IF(VLOOKUP($A742,'Concrete Beam Schedule'!$A$2:$Q$2902,Y$2,0)&lt;&gt;I742,"Beam Revised","")</f>
        <v>#N/A</v>
      </c>
      <c r="Z742" s="7" t="e">
        <f>IF(VLOOKUP($A742,'Concrete Beam Schedule'!$A$2:$Q$2902,Z$2,0)&lt;&gt;J742,"Beam Revised","")</f>
        <v>#N/A</v>
      </c>
      <c r="AA742" s="7" t="e">
        <f>IF(VLOOKUP($A742,'Concrete Beam Schedule'!$A$2:$Q$2902,AA$2,0)&lt;&gt;K742,"Beam Revised","")</f>
        <v>#N/A</v>
      </c>
      <c r="AB742" s="7" t="e">
        <f>IF(VLOOKUP($A742,'Concrete Beam Schedule'!$A$2:$Q$2902,AB$2,0)&lt;&gt;L742,"Beam Revised","")</f>
        <v>#N/A</v>
      </c>
      <c r="AC742" s="7" t="e">
        <f>IF(VLOOKUP($A742,'Concrete Beam Schedule'!$A$2:$Q$2902,AC$2,0)&lt;&gt;M742,"Beam Revised","")</f>
        <v>#N/A</v>
      </c>
      <c r="AD742" s="7" t="e">
        <f>IF(VLOOKUP($A742,'Concrete Beam Schedule'!$A$2:$Q$2902,AD$2,0)&lt;&gt;N742,"Beam Revised","")</f>
        <v>#N/A</v>
      </c>
      <c r="AE742" s="7" t="e">
        <f>IF(VLOOKUP($A742,'Concrete Beam Schedule'!$A$2:$Q$2902,AE$2,0)&lt;&gt;O742,"Beam Revised","")</f>
        <v>#N/A</v>
      </c>
    </row>
    <row r="743" spans="17:31" ht="13.2" x14ac:dyDescent="0.25">
      <c r="Q743" s="7">
        <f t="shared" si="11"/>
        <v>0</v>
      </c>
      <c r="R743" s="7" t="e">
        <f>IF(VLOOKUP($A743,'Concrete Beam Schedule'!$A$2:$Q$2902,R$2,0)&lt;&gt;B743,VLOOKUP($A743,'Concrete Beam Schedule'!$A$2:$Q$2902,R$2,0),"")</f>
        <v>#N/A</v>
      </c>
      <c r="S743" s="7" t="e">
        <f>IF(VLOOKUP($A743,'Concrete Beam Schedule'!$A$2:$Q$2902,S$2,0)&lt;&gt;C743,VLOOKUP($A743,'Concrete Beam Schedule'!$A$2:$Q$2902,S$2,0),"")</f>
        <v>#N/A</v>
      </c>
      <c r="T743" s="7" t="e">
        <f>IF(VLOOKUP($A743,'Concrete Beam Schedule'!$A$2:$Q$2902,T$2,0)&lt;&gt;D743,"Beam Revised","")</f>
        <v>#N/A</v>
      </c>
      <c r="U743" s="7" t="e">
        <f>IF(VLOOKUP($A743,'Concrete Beam Schedule'!$A$2:$Q$2902,U$2,0)&lt;&gt;E743,"Beam Revised","")</f>
        <v>#N/A</v>
      </c>
      <c r="V743" s="7" t="e">
        <f>IF(VLOOKUP($A743,'Concrete Beam Schedule'!$A$2:$Q$2902,V$2,0)&lt;&gt;F743,"Beam Revised","")</f>
        <v>#N/A</v>
      </c>
      <c r="W743" s="7" t="e">
        <f>IF(VLOOKUP($A743,'Concrete Beam Schedule'!$A$2:$Q$2902,W$2,0)&lt;&gt;G743,"Beam Revised","")</f>
        <v>#N/A</v>
      </c>
      <c r="X743" s="7" t="e">
        <f>IF(VLOOKUP($A743,'Concrete Beam Schedule'!$A$2:$Q$2902,X$2,0)&lt;&gt;H743,"Beam Revised","")</f>
        <v>#N/A</v>
      </c>
      <c r="Y743" s="7" t="e">
        <f>IF(VLOOKUP($A743,'Concrete Beam Schedule'!$A$2:$Q$2902,Y$2,0)&lt;&gt;I743,"Beam Revised","")</f>
        <v>#N/A</v>
      </c>
      <c r="Z743" s="7" t="e">
        <f>IF(VLOOKUP($A743,'Concrete Beam Schedule'!$A$2:$Q$2902,Z$2,0)&lt;&gt;J743,"Beam Revised","")</f>
        <v>#N/A</v>
      </c>
      <c r="AA743" s="7" t="e">
        <f>IF(VLOOKUP($A743,'Concrete Beam Schedule'!$A$2:$Q$2902,AA$2,0)&lt;&gt;K743,"Beam Revised","")</f>
        <v>#N/A</v>
      </c>
      <c r="AB743" s="7" t="e">
        <f>IF(VLOOKUP($A743,'Concrete Beam Schedule'!$A$2:$Q$2902,AB$2,0)&lt;&gt;L743,"Beam Revised","")</f>
        <v>#N/A</v>
      </c>
      <c r="AC743" s="7" t="e">
        <f>IF(VLOOKUP($A743,'Concrete Beam Schedule'!$A$2:$Q$2902,AC$2,0)&lt;&gt;M743,"Beam Revised","")</f>
        <v>#N/A</v>
      </c>
      <c r="AD743" s="7" t="e">
        <f>IF(VLOOKUP($A743,'Concrete Beam Schedule'!$A$2:$Q$2902,AD$2,0)&lt;&gt;N743,"Beam Revised","")</f>
        <v>#N/A</v>
      </c>
      <c r="AE743" s="7" t="e">
        <f>IF(VLOOKUP($A743,'Concrete Beam Schedule'!$A$2:$Q$2902,AE$2,0)&lt;&gt;O743,"Beam Revised","")</f>
        <v>#N/A</v>
      </c>
    </row>
    <row r="744" spans="17:31" ht="13.2" x14ac:dyDescent="0.25">
      <c r="Q744" s="7">
        <f t="shared" si="11"/>
        <v>0</v>
      </c>
      <c r="R744" s="7" t="e">
        <f>IF(VLOOKUP($A744,'Concrete Beam Schedule'!$A$2:$Q$2902,R$2,0)&lt;&gt;B744,VLOOKUP($A744,'Concrete Beam Schedule'!$A$2:$Q$2902,R$2,0),"")</f>
        <v>#N/A</v>
      </c>
      <c r="S744" s="7" t="e">
        <f>IF(VLOOKUP($A744,'Concrete Beam Schedule'!$A$2:$Q$2902,S$2,0)&lt;&gt;C744,VLOOKUP($A744,'Concrete Beam Schedule'!$A$2:$Q$2902,S$2,0),"")</f>
        <v>#N/A</v>
      </c>
      <c r="T744" s="7" t="e">
        <f>IF(VLOOKUP($A744,'Concrete Beam Schedule'!$A$2:$Q$2902,T$2,0)&lt;&gt;D744,"Beam Revised","")</f>
        <v>#N/A</v>
      </c>
      <c r="U744" s="7" t="e">
        <f>IF(VLOOKUP($A744,'Concrete Beam Schedule'!$A$2:$Q$2902,U$2,0)&lt;&gt;E744,"Beam Revised","")</f>
        <v>#N/A</v>
      </c>
      <c r="V744" s="7" t="e">
        <f>IF(VLOOKUP($A744,'Concrete Beam Schedule'!$A$2:$Q$2902,V$2,0)&lt;&gt;F744,"Beam Revised","")</f>
        <v>#N/A</v>
      </c>
      <c r="W744" s="7" t="e">
        <f>IF(VLOOKUP($A744,'Concrete Beam Schedule'!$A$2:$Q$2902,W$2,0)&lt;&gt;G744,"Beam Revised","")</f>
        <v>#N/A</v>
      </c>
      <c r="X744" s="7" t="e">
        <f>IF(VLOOKUP($A744,'Concrete Beam Schedule'!$A$2:$Q$2902,X$2,0)&lt;&gt;H744,"Beam Revised","")</f>
        <v>#N/A</v>
      </c>
      <c r="Y744" s="7" t="e">
        <f>IF(VLOOKUP($A744,'Concrete Beam Schedule'!$A$2:$Q$2902,Y$2,0)&lt;&gt;I744,"Beam Revised","")</f>
        <v>#N/A</v>
      </c>
      <c r="Z744" s="7" t="e">
        <f>IF(VLOOKUP($A744,'Concrete Beam Schedule'!$A$2:$Q$2902,Z$2,0)&lt;&gt;J744,"Beam Revised","")</f>
        <v>#N/A</v>
      </c>
      <c r="AA744" s="7" t="e">
        <f>IF(VLOOKUP($A744,'Concrete Beam Schedule'!$A$2:$Q$2902,AA$2,0)&lt;&gt;K744,"Beam Revised","")</f>
        <v>#N/A</v>
      </c>
      <c r="AB744" s="7" t="e">
        <f>IF(VLOOKUP($A744,'Concrete Beam Schedule'!$A$2:$Q$2902,AB$2,0)&lt;&gt;L744,"Beam Revised","")</f>
        <v>#N/A</v>
      </c>
      <c r="AC744" s="7" t="e">
        <f>IF(VLOOKUP($A744,'Concrete Beam Schedule'!$A$2:$Q$2902,AC$2,0)&lt;&gt;M744,"Beam Revised","")</f>
        <v>#N/A</v>
      </c>
      <c r="AD744" s="7" t="e">
        <f>IF(VLOOKUP($A744,'Concrete Beam Schedule'!$A$2:$Q$2902,AD$2,0)&lt;&gt;N744,"Beam Revised","")</f>
        <v>#N/A</v>
      </c>
      <c r="AE744" s="7" t="e">
        <f>IF(VLOOKUP($A744,'Concrete Beam Schedule'!$A$2:$Q$2902,AE$2,0)&lt;&gt;O744,"Beam Revised","")</f>
        <v>#N/A</v>
      </c>
    </row>
    <row r="745" spans="17:31" ht="13.2" x14ac:dyDescent="0.25">
      <c r="Q745" s="7">
        <f t="shared" si="11"/>
        <v>0</v>
      </c>
      <c r="R745" s="7" t="e">
        <f>IF(VLOOKUP($A745,'Concrete Beam Schedule'!$A$2:$Q$2902,R$2,0)&lt;&gt;B745,VLOOKUP($A745,'Concrete Beam Schedule'!$A$2:$Q$2902,R$2,0),"")</f>
        <v>#N/A</v>
      </c>
      <c r="S745" s="7" t="e">
        <f>IF(VLOOKUP($A745,'Concrete Beam Schedule'!$A$2:$Q$2902,S$2,0)&lt;&gt;C745,VLOOKUP($A745,'Concrete Beam Schedule'!$A$2:$Q$2902,S$2,0),"")</f>
        <v>#N/A</v>
      </c>
      <c r="T745" s="7" t="e">
        <f>IF(VLOOKUP($A745,'Concrete Beam Schedule'!$A$2:$Q$2902,T$2,0)&lt;&gt;D745,"Beam Revised","")</f>
        <v>#N/A</v>
      </c>
      <c r="U745" s="7" t="e">
        <f>IF(VLOOKUP($A745,'Concrete Beam Schedule'!$A$2:$Q$2902,U$2,0)&lt;&gt;E745,"Beam Revised","")</f>
        <v>#N/A</v>
      </c>
      <c r="V745" s="7" t="e">
        <f>IF(VLOOKUP($A745,'Concrete Beam Schedule'!$A$2:$Q$2902,V$2,0)&lt;&gt;F745,"Beam Revised","")</f>
        <v>#N/A</v>
      </c>
      <c r="W745" s="7" t="e">
        <f>IF(VLOOKUP($A745,'Concrete Beam Schedule'!$A$2:$Q$2902,W$2,0)&lt;&gt;G745,"Beam Revised","")</f>
        <v>#N/A</v>
      </c>
      <c r="X745" s="7" t="e">
        <f>IF(VLOOKUP($A745,'Concrete Beam Schedule'!$A$2:$Q$2902,X$2,0)&lt;&gt;H745,"Beam Revised","")</f>
        <v>#N/A</v>
      </c>
      <c r="Y745" s="7" t="e">
        <f>IF(VLOOKUP($A745,'Concrete Beam Schedule'!$A$2:$Q$2902,Y$2,0)&lt;&gt;I745,"Beam Revised","")</f>
        <v>#N/A</v>
      </c>
      <c r="Z745" s="7" t="e">
        <f>IF(VLOOKUP($A745,'Concrete Beam Schedule'!$A$2:$Q$2902,Z$2,0)&lt;&gt;J745,"Beam Revised","")</f>
        <v>#N/A</v>
      </c>
      <c r="AA745" s="7" t="e">
        <f>IF(VLOOKUP($A745,'Concrete Beam Schedule'!$A$2:$Q$2902,AA$2,0)&lt;&gt;K745,"Beam Revised","")</f>
        <v>#N/A</v>
      </c>
      <c r="AB745" s="7" t="e">
        <f>IF(VLOOKUP($A745,'Concrete Beam Schedule'!$A$2:$Q$2902,AB$2,0)&lt;&gt;L745,"Beam Revised","")</f>
        <v>#N/A</v>
      </c>
      <c r="AC745" s="7" t="e">
        <f>IF(VLOOKUP($A745,'Concrete Beam Schedule'!$A$2:$Q$2902,AC$2,0)&lt;&gt;M745,"Beam Revised","")</f>
        <v>#N/A</v>
      </c>
      <c r="AD745" s="7" t="e">
        <f>IF(VLOOKUP($A745,'Concrete Beam Schedule'!$A$2:$Q$2902,AD$2,0)&lt;&gt;N745,"Beam Revised","")</f>
        <v>#N/A</v>
      </c>
      <c r="AE745" s="7" t="e">
        <f>IF(VLOOKUP($A745,'Concrete Beam Schedule'!$A$2:$Q$2902,AE$2,0)&lt;&gt;O745,"Beam Revised","")</f>
        <v>#N/A</v>
      </c>
    </row>
    <row r="746" spans="17:31" ht="13.2" x14ac:dyDescent="0.25">
      <c r="Q746" s="7">
        <f t="shared" si="11"/>
        <v>0</v>
      </c>
      <c r="R746" s="7" t="e">
        <f>IF(VLOOKUP($A746,'Concrete Beam Schedule'!$A$2:$Q$2902,R$2,0)&lt;&gt;B746,VLOOKUP($A746,'Concrete Beam Schedule'!$A$2:$Q$2902,R$2,0),"")</f>
        <v>#N/A</v>
      </c>
      <c r="S746" s="7" t="e">
        <f>IF(VLOOKUP($A746,'Concrete Beam Schedule'!$A$2:$Q$2902,S$2,0)&lt;&gt;C746,VLOOKUP($A746,'Concrete Beam Schedule'!$A$2:$Q$2902,S$2,0),"")</f>
        <v>#N/A</v>
      </c>
      <c r="T746" s="7" t="e">
        <f>IF(VLOOKUP($A746,'Concrete Beam Schedule'!$A$2:$Q$2902,T$2,0)&lt;&gt;D746,"Beam Revised","")</f>
        <v>#N/A</v>
      </c>
      <c r="U746" s="7" t="e">
        <f>IF(VLOOKUP($A746,'Concrete Beam Schedule'!$A$2:$Q$2902,U$2,0)&lt;&gt;E746,"Beam Revised","")</f>
        <v>#N/A</v>
      </c>
      <c r="V746" s="7" t="e">
        <f>IF(VLOOKUP($A746,'Concrete Beam Schedule'!$A$2:$Q$2902,V$2,0)&lt;&gt;F746,"Beam Revised","")</f>
        <v>#N/A</v>
      </c>
      <c r="W746" s="7" t="e">
        <f>IF(VLOOKUP($A746,'Concrete Beam Schedule'!$A$2:$Q$2902,W$2,0)&lt;&gt;G746,"Beam Revised","")</f>
        <v>#N/A</v>
      </c>
      <c r="X746" s="7" t="e">
        <f>IF(VLOOKUP($A746,'Concrete Beam Schedule'!$A$2:$Q$2902,X$2,0)&lt;&gt;H746,"Beam Revised","")</f>
        <v>#N/A</v>
      </c>
      <c r="Y746" s="7" t="e">
        <f>IF(VLOOKUP($A746,'Concrete Beam Schedule'!$A$2:$Q$2902,Y$2,0)&lt;&gt;I746,"Beam Revised","")</f>
        <v>#N/A</v>
      </c>
      <c r="Z746" s="7" t="e">
        <f>IF(VLOOKUP($A746,'Concrete Beam Schedule'!$A$2:$Q$2902,Z$2,0)&lt;&gt;J746,"Beam Revised","")</f>
        <v>#N/A</v>
      </c>
      <c r="AA746" s="7" t="e">
        <f>IF(VLOOKUP($A746,'Concrete Beam Schedule'!$A$2:$Q$2902,AA$2,0)&lt;&gt;K746,"Beam Revised","")</f>
        <v>#N/A</v>
      </c>
      <c r="AB746" s="7" t="e">
        <f>IF(VLOOKUP($A746,'Concrete Beam Schedule'!$A$2:$Q$2902,AB$2,0)&lt;&gt;L746,"Beam Revised","")</f>
        <v>#N/A</v>
      </c>
      <c r="AC746" s="7" t="e">
        <f>IF(VLOOKUP($A746,'Concrete Beam Schedule'!$A$2:$Q$2902,AC$2,0)&lt;&gt;M746,"Beam Revised","")</f>
        <v>#N/A</v>
      </c>
      <c r="AD746" s="7" t="e">
        <f>IF(VLOOKUP($A746,'Concrete Beam Schedule'!$A$2:$Q$2902,AD$2,0)&lt;&gt;N746,"Beam Revised","")</f>
        <v>#N/A</v>
      </c>
      <c r="AE746" s="7" t="e">
        <f>IF(VLOOKUP($A746,'Concrete Beam Schedule'!$A$2:$Q$2902,AE$2,0)&lt;&gt;O746,"Beam Revised","")</f>
        <v>#N/A</v>
      </c>
    </row>
    <row r="747" spans="17:31" ht="13.2" x14ac:dyDescent="0.25">
      <c r="Q747" s="7">
        <f t="shared" si="11"/>
        <v>0</v>
      </c>
      <c r="R747" s="7" t="e">
        <f>IF(VLOOKUP($A747,'Concrete Beam Schedule'!$A$2:$Q$2902,R$2,0)&lt;&gt;B747,VLOOKUP($A747,'Concrete Beam Schedule'!$A$2:$Q$2902,R$2,0),"")</f>
        <v>#N/A</v>
      </c>
      <c r="S747" s="7" t="e">
        <f>IF(VLOOKUP($A747,'Concrete Beam Schedule'!$A$2:$Q$2902,S$2,0)&lt;&gt;C747,VLOOKUP($A747,'Concrete Beam Schedule'!$A$2:$Q$2902,S$2,0),"")</f>
        <v>#N/A</v>
      </c>
      <c r="T747" s="7" t="e">
        <f>IF(VLOOKUP($A747,'Concrete Beam Schedule'!$A$2:$Q$2902,T$2,0)&lt;&gt;D747,"Beam Revised","")</f>
        <v>#N/A</v>
      </c>
      <c r="U747" s="7" t="e">
        <f>IF(VLOOKUP($A747,'Concrete Beam Schedule'!$A$2:$Q$2902,U$2,0)&lt;&gt;E747,"Beam Revised","")</f>
        <v>#N/A</v>
      </c>
      <c r="V747" s="7" t="e">
        <f>IF(VLOOKUP($A747,'Concrete Beam Schedule'!$A$2:$Q$2902,V$2,0)&lt;&gt;F747,"Beam Revised","")</f>
        <v>#N/A</v>
      </c>
      <c r="W747" s="7" t="e">
        <f>IF(VLOOKUP($A747,'Concrete Beam Schedule'!$A$2:$Q$2902,W$2,0)&lt;&gt;G747,"Beam Revised","")</f>
        <v>#N/A</v>
      </c>
      <c r="X747" s="7" t="e">
        <f>IF(VLOOKUP($A747,'Concrete Beam Schedule'!$A$2:$Q$2902,X$2,0)&lt;&gt;H747,"Beam Revised","")</f>
        <v>#N/A</v>
      </c>
      <c r="Y747" s="7" t="e">
        <f>IF(VLOOKUP($A747,'Concrete Beam Schedule'!$A$2:$Q$2902,Y$2,0)&lt;&gt;I747,"Beam Revised","")</f>
        <v>#N/A</v>
      </c>
      <c r="Z747" s="7" t="e">
        <f>IF(VLOOKUP($A747,'Concrete Beam Schedule'!$A$2:$Q$2902,Z$2,0)&lt;&gt;J747,"Beam Revised","")</f>
        <v>#N/A</v>
      </c>
      <c r="AA747" s="7" t="e">
        <f>IF(VLOOKUP($A747,'Concrete Beam Schedule'!$A$2:$Q$2902,AA$2,0)&lt;&gt;K747,"Beam Revised","")</f>
        <v>#N/A</v>
      </c>
      <c r="AB747" s="7" t="e">
        <f>IF(VLOOKUP($A747,'Concrete Beam Schedule'!$A$2:$Q$2902,AB$2,0)&lt;&gt;L747,"Beam Revised","")</f>
        <v>#N/A</v>
      </c>
      <c r="AC747" s="7" t="e">
        <f>IF(VLOOKUP($A747,'Concrete Beam Schedule'!$A$2:$Q$2902,AC$2,0)&lt;&gt;M747,"Beam Revised","")</f>
        <v>#N/A</v>
      </c>
      <c r="AD747" s="7" t="e">
        <f>IF(VLOOKUP($A747,'Concrete Beam Schedule'!$A$2:$Q$2902,AD$2,0)&lt;&gt;N747,"Beam Revised","")</f>
        <v>#N/A</v>
      </c>
      <c r="AE747" s="7" t="e">
        <f>IF(VLOOKUP($A747,'Concrete Beam Schedule'!$A$2:$Q$2902,AE$2,0)&lt;&gt;O747,"Beam Revised","")</f>
        <v>#N/A</v>
      </c>
    </row>
    <row r="748" spans="17:31" ht="13.2" x14ac:dyDescent="0.25">
      <c r="Q748" s="7">
        <f t="shared" si="11"/>
        <v>0</v>
      </c>
      <c r="R748" s="7" t="e">
        <f>IF(VLOOKUP($A748,'Concrete Beam Schedule'!$A$2:$Q$2902,R$2,0)&lt;&gt;B748,VLOOKUP($A748,'Concrete Beam Schedule'!$A$2:$Q$2902,R$2,0),"")</f>
        <v>#N/A</v>
      </c>
      <c r="S748" s="7" t="e">
        <f>IF(VLOOKUP($A748,'Concrete Beam Schedule'!$A$2:$Q$2902,S$2,0)&lt;&gt;C748,VLOOKUP($A748,'Concrete Beam Schedule'!$A$2:$Q$2902,S$2,0),"")</f>
        <v>#N/A</v>
      </c>
      <c r="T748" s="7" t="e">
        <f>IF(VLOOKUP($A748,'Concrete Beam Schedule'!$A$2:$Q$2902,T$2,0)&lt;&gt;D748,"Beam Revised","")</f>
        <v>#N/A</v>
      </c>
      <c r="U748" s="7" t="e">
        <f>IF(VLOOKUP($A748,'Concrete Beam Schedule'!$A$2:$Q$2902,U$2,0)&lt;&gt;E748,"Beam Revised","")</f>
        <v>#N/A</v>
      </c>
      <c r="V748" s="7" t="e">
        <f>IF(VLOOKUP($A748,'Concrete Beam Schedule'!$A$2:$Q$2902,V$2,0)&lt;&gt;F748,"Beam Revised","")</f>
        <v>#N/A</v>
      </c>
      <c r="W748" s="7" t="e">
        <f>IF(VLOOKUP($A748,'Concrete Beam Schedule'!$A$2:$Q$2902,W$2,0)&lt;&gt;G748,"Beam Revised","")</f>
        <v>#N/A</v>
      </c>
      <c r="X748" s="7" t="e">
        <f>IF(VLOOKUP($A748,'Concrete Beam Schedule'!$A$2:$Q$2902,X$2,0)&lt;&gt;H748,"Beam Revised","")</f>
        <v>#N/A</v>
      </c>
      <c r="Y748" s="7" t="e">
        <f>IF(VLOOKUP($A748,'Concrete Beam Schedule'!$A$2:$Q$2902,Y$2,0)&lt;&gt;I748,"Beam Revised","")</f>
        <v>#N/A</v>
      </c>
      <c r="Z748" s="7" t="e">
        <f>IF(VLOOKUP($A748,'Concrete Beam Schedule'!$A$2:$Q$2902,Z$2,0)&lt;&gt;J748,"Beam Revised","")</f>
        <v>#N/A</v>
      </c>
      <c r="AA748" s="7" t="e">
        <f>IF(VLOOKUP($A748,'Concrete Beam Schedule'!$A$2:$Q$2902,AA$2,0)&lt;&gt;K748,"Beam Revised","")</f>
        <v>#N/A</v>
      </c>
      <c r="AB748" s="7" t="e">
        <f>IF(VLOOKUP($A748,'Concrete Beam Schedule'!$A$2:$Q$2902,AB$2,0)&lt;&gt;L748,"Beam Revised","")</f>
        <v>#N/A</v>
      </c>
      <c r="AC748" s="7" t="e">
        <f>IF(VLOOKUP($A748,'Concrete Beam Schedule'!$A$2:$Q$2902,AC$2,0)&lt;&gt;M748,"Beam Revised","")</f>
        <v>#N/A</v>
      </c>
      <c r="AD748" s="7" t="e">
        <f>IF(VLOOKUP($A748,'Concrete Beam Schedule'!$A$2:$Q$2902,AD$2,0)&lt;&gt;N748,"Beam Revised","")</f>
        <v>#N/A</v>
      </c>
      <c r="AE748" s="7" t="e">
        <f>IF(VLOOKUP($A748,'Concrete Beam Schedule'!$A$2:$Q$2902,AE$2,0)&lt;&gt;O748,"Beam Revised","")</f>
        <v>#N/A</v>
      </c>
    </row>
    <row r="749" spans="17:31" ht="13.2" x14ac:dyDescent="0.25">
      <c r="Q749" s="7">
        <f t="shared" si="11"/>
        <v>0</v>
      </c>
      <c r="R749" s="7" t="e">
        <f>IF(VLOOKUP($A749,'Concrete Beam Schedule'!$A$2:$Q$2902,R$2,0)&lt;&gt;B749,VLOOKUP($A749,'Concrete Beam Schedule'!$A$2:$Q$2902,R$2,0),"")</f>
        <v>#N/A</v>
      </c>
      <c r="S749" s="7" t="e">
        <f>IF(VLOOKUP($A749,'Concrete Beam Schedule'!$A$2:$Q$2902,S$2,0)&lt;&gt;C749,VLOOKUP($A749,'Concrete Beam Schedule'!$A$2:$Q$2902,S$2,0),"")</f>
        <v>#N/A</v>
      </c>
      <c r="T749" s="7" t="e">
        <f>IF(VLOOKUP($A749,'Concrete Beam Schedule'!$A$2:$Q$2902,T$2,0)&lt;&gt;D749,"Beam Revised","")</f>
        <v>#N/A</v>
      </c>
      <c r="U749" s="7" t="e">
        <f>IF(VLOOKUP($A749,'Concrete Beam Schedule'!$A$2:$Q$2902,U$2,0)&lt;&gt;E749,"Beam Revised","")</f>
        <v>#N/A</v>
      </c>
      <c r="V749" s="7" t="e">
        <f>IF(VLOOKUP($A749,'Concrete Beam Schedule'!$A$2:$Q$2902,V$2,0)&lt;&gt;F749,"Beam Revised","")</f>
        <v>#N/A</v>
      </c>
      <c r="W749" s="7" t="e">
        <f>IF(VLOOKUP($A749,'Concrete Beam Schedule'!$A$2:$Q$2902,W$2,0)&lt;&gt;G749,"Beam Revised","")</f>
        <v>#N/A</v>
      </c>
      <c r="X749" s="7" t="e">
        <f>IF(VLOOKUP($A749,'Concrete Beam Schedule'!$A$2:$Q$2902,X$2,0)&lt;&gt;H749,"Beam Revised","")</f>
        <v>#N/A</v>
      </c>
      <c r="Y749" s="7" t="e">
        <f>IF(VLOOKUP($A749,'Concrete Beam Schedule'!$A$2:$Q$2902,Y$2,0)&lt;&gt;I749,"Beam Revised","")</f>
        <v>#N/A</v>
      </c>
      <c r="Z749" s="7" t="e">
        <f>IF(VLOOKUP($A749,'Concrete Beam Schedule'!$A$2:$Q$2902,Z$2,0)&lt;&gt;J749,"Beam Revised","")</f>
        <v>#N/A</v>
      </c>
      <c r="AA749" s="7" t="e">
        <f>IF(VLOOKUP($A749,'Concrete Beam Schedule'!$A$2:$Q$2902,AA$2,0)&lt;&gt;K749,"Beam Revised","")</f>
        <v>#N/A</v>
      </c>
      <c r="AB749" s="7" t="e">
        <f>IF(VLOOKUP($A749,'Concrete Beam Schedule'!$A$2:$Q$2902,AB$2,0)&lt;&gt;L749,"Beam Revised","")</f>
        <v>#N/A</v>
      </c>
      <c r="AC749" s="7" t="e">
        <f>IF(VLOOKUP($A749,'Concrete Beam Schedule'!$A$2:$Q$2902,AC$2,0)&lt;&gt;M749,"Beam Revised","")</f>
        <v>#N/A</v>
      </c>
      <c r="AD749" s="7" t="e">
        <f>IF(VLOOKUP($A749,'Concrete Beam Schedule'!$A$2:$Q$2902,AD$2,0)&lt;&gt;N749,"Beam Revised","")</f>
        <v>#N/A</v>
      </c>
      <c r="AE749" s="7" t="e">
        <f>IF(VLOOKUP($A749,'Concrete Beam Schedule'!$A$2:$Q$2902,AE$2,0)&lt;&gt;O749,"Beam Revised","")</f>
        <v>#N/A</v>
      </c>
    </row>
    <row r="750" spans="17:31" ht="13.2" x14ac:dyDescent="0.25">
      <c r="Q750" s="7">
        <f t="shared" si="11"/>
        <v>0</v>
      </c>
      <c r="R750" s="7" t="e">
        <f>IF(VLOOKUP($A750,'Concrete Beam Schedule'!$A$2:$Q$2902,R$2,0)&lt;&gt;B750,VLOOKUP($A750,'Concrete Beam Schedule'!$A$2:$Q$2902,R$2,0),"")</f>
        <v>#N/A</v>
      </c>
      <c r="S750" s="7" t="e">
        <f>IF(VLOOKUP($A750,'Concrete Beam Schedule'!$A$2:$Q$2902,S$2,0)&lt;&gt;C750,VLOOKUP($A750,'Concrete Beam Schedule'!$A$2:$Q$2902,S$2,0),"")</f>
        <v>#N/A</v>
      </c>
      <c r="T750" s="7" t="e">
        <f>IF(VLOOKUP($A750,'Concrete Beam Schedule'!$A$2:$Q$2902,T$2,0)&lt;&gt;D750,"Beam Revised","")</f>
        <v>#N/A</v>
      </c>
      <c r="U750" s="7" t="e">
        <f>IF(VLOOKUP($A750,'Concrete Beam Schedule'!$A$2:$Q$2902,U$2,0)&lt;&gt;E750,"Beam Revised","")</f>
        <v>#N/A</v>
      </c>
      <c r="V750" s="7" t="e">
        <f>IF(VLOOKUP($A750,'Concrete Beam Schedule'!$A$2:$Q$2902,V$2,0)&lt;&gt;F750,"Beam Revised","")</f>
        <v>#N/A</v>
      </c>
      <c r="W750" s="7" t="e">
        <f>IF(VLOOKUP($A750,'Concrete Beam Schedule'!$A$2:$Q$2902,W$2,0)&lt;&gt;G750,"Beam Revised","")</f>
        <v>#N/A</v>
      </c>
      <c r="X750" s="7" t="e">
        <f>IF(VLOOKUP($A750,'Concrete Beam Schedule'!$A$2:$Q$2902,X$2,0)&lt;&gt;H750,"Beam Revised","")</f>
        <v>#N/A</v>
      </c>
      <c r="Y750" s="7" t="e">
        <f>IF(VLOOKUP($A750,'Concrete Beam Schedule'!$A$2:$Q$2902,Y$2,0)&lt;&gt;I750,"Beam Revised","")</f>
        <v>#N/A</v>
      </c>
      <c r="Z750" s="7" t="e">
        <f>IF(VLOOKUP($A750,'Concrete Beam Schedule'!$A$2:$Q$2902,Z$2,0)&lt;&gt;J750,"Beam Revised","")</f>
        <v>#N/A</v>
      </c>
      <c r="AA750" s="7" t="e">
        <f>IF(VLOOKUP($A750,'Concrete Beam Schedule'!$A$2:$Q$2902,AA$2,0)&lt;&gt;K750,"Beam Revised","")</f>
        <v>#N/A</v>
      </c>
      <c r="AB750" s="7" t="e">
        <f>IF(VLOOKUP($A750,'Concrete Beam Schedule'!$A$2:$Q$2902,AB$2,0)&lt;&gt;L750,"Beam Revised","")</f>
        <v>#N/A</v>
      </c>
      <c r="AC750" s="7" t="e">
        <f>IF(VLOOKUP($A750,'Concrete Beam Schedule'!$A$2:$Q$2902,AC$2,0)&lt;&gt;M750,"Beam Revised","")</f>
        <v>#N/A</v>
      </c>
      <c r="AD750" s="7" t="e">
        <f>IF(VLOOKUP($A750,'Concrete Beam Schedule'!$A$2:$Q$2902,AD$2,0)&lt;&gt;N750,"Beam Revised","")</f>
        <v>#N/A</v>
      </c>
      <c r="AE750" s="7" t="e">
        <f>IF(VLOOKUP($A750,'Concrete Beam Schedule'!$A$2:$Q$2902,AE$2,0)&lt;&gt;O750,"Beam Revised","")</f>
        <v>#N/A</v>
      </c>
    </row>
    <row r="751" spans="17:31" ht="13.2" x14ac:dyDescent="0.25">
      <c r="Q751" s="7">
        <f t="shared" si="11"/>
        <v>0</v>
      </c>
      <c r="R751" s="7" t="e">
        <f>IF(VLOOKUP($A751,'Concrete Beam Schedule'!$A$2:$Q$2902,R$2,0)&lt;&gt;B751,VLOOKUP($A751,'Concrete Beam Schedule'!$A$2:$Q$2902,R$2,0),"")</f>
        <v>#N/A</v>
      </c>
      <c r="S751" s="7" t="e">
        <f>IF(VLOOKUP($A751,'Concrete Beam Schedule'!$A$2:$Q$2902,S$2,0)&lt;&gt;C751,VLOOKUP($A751,'Concrete Beam Schedule'!$A$2:$Q$2902,S$2,0),"")</f>
        <v>#N/A</v>
      </c>
      <c r="T751" s="7" t="e">
        <f>IF(VLOOKUP($A751,'Concrete Beam Schedule'!$A$2:$Q$2902,T$2,0)&lt;&gt;D751,"Beam Revised","")</f>
        <v>#N/A</v>
      </c>
      <c r="U751" s="7" t="e">
        <f>IF(VLOOKUP($A751,'Concrete Beam Schedule'!$A$2:$Q$2902,U$2,0)&lt;&gt;E751,"Beam Revised","")</f>
        <v>#N/A</v>
      </c>
      <c r="V751" s="7" t="e">
        <f>IF(VLOOKUP($A751,'Concrete Beam Schedule'!$A$2:$Q$2902,V$2,0)&lt;&gt;F751,"Beam Revised","")</f>
        <v>#N/A</v>
      </c>
      <c r="W751" s="7" t="e">
        <f>IF(VLOOKUP($A751,'Concrete Beam Schedule'!$A$2:$Q$2902,W$2,0)&lt;&gt;G751,"Beam Revised","")</f>
        <v>#N/A</v>
      </c>
      <c r="X751" s="7" t="e">
        <f>IF(VLOOKUP($A751,'Concrete Beam Schedule'!$A$2:$Q$2902,X$2,0)&lt;&gt;H751,"Beam Revised","")</f>
        <v>#N/A</v>
      </c>
      <c r="Y751" s="7" t="e">
        <f>IF(VLOOKUP($A751,'Concrete Beam Schedule'!$A$2:$Q$2902,Y$2,0)&lt;&gt;I751,"Beam Revised","")</f>
        <v>#N/A</v>
      </c>
      <c r="Z751" s="7" t="e">
        <f>IF(VLOOKUP($A751,'Concrete Beam Schedule'!$A$2:$Q$2902,Z$2,0)&lt;&gt;J751,"Beam Revised","")</f>
        <v>#N/A</v>
      </c>
      <c r="AA751" s="7" t="e">
        <f>IF(VLOOKUP($A751,'Concrete Beam Schedule'!$A$2:$Q$2902,AA$2,0)&lt;&gt;K751,"Beam Revised","")</f>
        <v>#N/A</v>
      </c>
      <c r="AB751" s="7" t="e">
        <f>IF(VLOOKUP($A751,'Concrete Beam Schedule'!$A$2:$Q$2902,AB$2,0)&lt;&gt;L751,"Beam Revised","")</f>
        <v>#N/A</v>
      </c>
      <c r="AC751" s="7" t="e">
        <f>IF(VLOOKUP($A751,'Concrete Beam Schedule'!$A$2:$Q$2902,AC$2,0)&lt;&gt;M751,"Beam Revised","")</f>
        <v>#N/A</v>
      </c>
      <c r="AD751" s="7" t="e">
        <f>IF(VLOOKUP($A751,'Concrete Beam Schedule'!$A$2:$Q$2902,AD$2,0)&lt;&gt;N751,"Beam Revised","")</f>
        <v>#N/A</v>
      </c>
      <c r="AE751" s="7" t="e">
        <f>IF(VLOOKUP($A751,'Concrete Beam Schedule'!$A$2:$Q$2902,AE$2,0)&lt;&gt;O751,"Beam Revised","")</f>
        <v>#N/A</v>
      </c>
    </row>
    <row r="752" spans="17:31" ht="13.2" x14ac:dyDescent="0.25">
      <c r="Q752" s="7">
        <f t="shared" si="11"/>
        <v>0</v>
      </c>
      <c r="R752" s="7" t="e">
        <f>IF(VLOOKUP($A752,'Concrete Beam Schedule'!$A$2:$Q$2902,R$2,0)&lt;&gt;B752,VLOOKUP($A752,'Concrete Beam Schedule'!$A$2:$Q$2902,R$2,0),"")</f>
        <v>#N/A</v>
      </c>
      <c r="S752" s="7" t="e">
        <f>IF(VLOOKUP($A752,'Concrete Beam Schedule'!$A$2:$Q$2902,S$2,0)&lt;&gt;C752,VLOOKUP($A752,'Concrete Beam Schedule'!$A$2:$Q$2902,S$2,0),"")</f>
        <v>#N/A</v>
      </c>
      <c r="T752" s="7" t="e">
        <f>IF(VLOOKUP($A752,'Concrete Beam Schedule'!$A$2:$Q$2902,T$2,0)&lt;&gt;D752,"Beam Revised","")</f>
        <v>#N/A</v>
      </c>
      <c r="U752" s="7" t="e">
        <f>IF(VLOOKUP($A752,'Concrete Beam Schedule'!$A$2:$Q$2902,U$2,0)&lt;&gt;E752,"Beam Revised","")</f>
        <v>#N/A</v>
      </c>
      <c r="V752" s="7" t="e">
        <f>IF(VLOOKUP($A752,'Concrete Beam Schedule'!$A$2:$Q$2902,V$2,0)&lt;&gt;F752,"Beam Revised","")</f>
        <v>#N/A</v>
      </c>
      <c r="W752" s="7" t="e">
        <f>IF(VLOOKUP($A752,'Concrete Beam Schedule'!$A$2:$Q$2902,W$2,0)&lt;&gt;G752,"Beam Revised","")</f>
        <v>#N/A</v>
      </c>
      <c r="X752" s="7" t="e">
        <f>IF(VLOOKUP($A752,'Concrete Beam Schedule'!$A$2:$Q$2902,X$2,0)&lt;&gt;H752,"Beam Revised","")</f>
        <v>#N/A</v>
      </c>
      <c r="Y752" s="7" t="e">
        <f>IF(VLOOKUP($A752,'Concrete Beam Schedule'!$A$2:$Q$2902,Y$2,0)&lt;&gt;I752,"Beam Revised","")</f>
        <v>#N/A</v>
      </c>
      <c r="Z752" s="7" t="e">
        <f>IF(VLOOKUP($A752,'Concrete Beam Schedule'!$A$2:$Q$2902,Z$2,0)&lt;&gt;J752,"Beam Revised","")</f>
        <v>#N/A</v>
      </c>
      <c r="AA752" s="7" t="e">
        <f>IF(VLOOKUP($A752,'Concrete Beam Schedule'!$A$2:$Q$2902,AA$2,0)&lt;&gt;K752,"Beam Revised","")</f>
        <v>#N/A</v>
      </c>
      <c r="AB752" s="7" t="e">
        <f>IF(VLOOKUP($A752,'Concrete Beam Schedule'!$A$2:$Q$2902,AB$2,0)&lt;&gt;L752,"Beam Revised","")</f>
        <v>#N/A</v>
      </c>
      <c r="AC752" s="7" t="e">
        <f>IF(VLOOKUP($A752,'Concrete Beam Schedule'!$A$2:$Q$2902,AC$2,0)&lt;&gt;M752,"Beam Revised","")</f>
        <v>#N/A</v>
      </c>
      <c r="AD752" s="7" t="e">
        <f>IF(VLOOKUP($A752,'Concrete Beam Schedule'!$A$2:$Q$2902,AD$2,0)&lt;&gt;N752,"Beam Revised","")</f>
        <v>#N/A</v>
      </c>
      <c r="AE752" s="7" t="e">
        <f>IF(VLOOKUP($A752,'Concrete Beam Schedule'!$A$2:$Q$2902,AE$2,0)&lt;&gt;O752,"Beam Revised","")</f>
        <v>#N/A</v>
      </c>
    </row>
    <row r="753" spans="17:31" ht="13.2" x14ac:dyDescent="0.25">
      <c r="Q753" s="7">
        <f t="shared" si="11"/>
        <v>0</v>
      </c>
      <c r="R753" s="7" t="e">
        <f>IF(VLOOKUP($A753,'Concrete Beam Schedule'!$A$2:$Q$2902,R$2,0)&lt;&gt;B753,VLOOKUP($A753,'Concrete Beam Schedule'!$A$2:$Q$2902,R$2,0),"")</f>
        <v>#N/A</v>
      </c>
      <c r="S753" s="7" t="e">
        <f>IF(VLOOKUP($A753,'Concrete Beam Schedule'!$A$2:$Q$2902,S$2,0)&lt;&gt;C753,VLOOKUP($A753,'Concrete Beam Schedule'!$A$2:$Q$2902,S$2,0),"")</f>
        <v>#N/A</v>
      </c>
      <c r="T753" s="7" t="e">
        <f>IF(VLOOKUP($A753,'Concrete Beam Schedule'!$A$2:$Q$2902,T$2,0)&lt;&gt;D753,"Beam Revised","")</f>
        <v>#N/A</v>
      </c>
      <c r="U753" s="7" t="e">
        <f>IF(VLOOKUP($A753,'Concrete Beam Schedule'!$A$2:$Q$2902,U$2,0)&lt;&gt;E753,"Beam Revised","")</f>
        <v>#N/A</v>
      </c>
      <c r="V753" s="7" t="e">
        <f>IF(VLOOKUP($A753,'Concrete Beam Schedule'!$A$2:$Q$2902,V$2,0)&lt;&gt;F753,"Beam Revised","")</f>
        <v>#N/A</v>
      </c>
      <c r="W753" s="7" t="e">
        <f>IF(VLOOKUP($A753,'Concrete Beam Schedule'!$A$2:$Q$2902,W$2,0)&lt;&gt;G753,"Beam Revised","")</f>
        <v>#N/A</v>
      </c>
      <c r="X753" s="7" t="e">
        <f>IF(VLOOKUP($A753,'Concrete Beam Schedule'!$A$2:$Q$2902,X$2,0)&lt;&gt;H753,"Beam Revised","")</f>
        <v>#N/A</v>
      </c>
      <c r="Y753" s="7" t="e">
        <f>IF(VLOOKUP($A753,'Concrete Beam Schedule'!$A$2:$Q$2902,Y$2,0)&lt;&gt;I753,"Beam Revised","")</f>
        <v>#N/A</v>
      </c>
      <c r="Z753" s="7" t="e">
        <f>IF(VLOOKUP($A753,'Concrete Beam Schedule'!$A$2:$Q$2902,Z$2,0)&lt;&gt;J753,"Beam Revised","")</f>
        <v>#N/A</v>
      </c>
      <c r="AA753" s="7" t="e">
        <f>IF(VLOOKUP($A753,'Concrete Beam Schedule'!$A$2:$Q$2902,AA$2,0)&lt;&gt;K753,"Beam Revised","")</f>
        <v>#N/A</v>
      </c>
      <c r="AB753" s="7" t="e">
        <f>IF(VLOOKUP($A753,'Concrete Beam Schedule'!$A$2:$Q$2902,AB$2,0)&lt;&gt;L753,"Beam Revised","")</f>
        <v>#N/A</v>
      </c>
      <c r="AC753" s="7" t="e">
        <f>IF(VLOOKUP($A753,'Concrete Beam Schedule'!$A$2:$Q$2902,AC$2,0)&lt;&gt;M753,"Beam Revised","")</f>
        <v>#N/A</v>
      </c>
      <c r="AD753" s="7" t="e">
        <f>IF(VLOOKUP($A753,'Concrete Beam Schedule'!$A$2:$Q$2902,AD$2,0)&lt;&gt;N753,"Beam Revised","")</f>
        <v>#N/A</v>
      </c>
      <c r="AE753" s="7" t="e">
        <f>IF(VLOOKUP($A753,'Concrete Beam Schedule'!$A$2:$Q$2902,AE$2,0)&lt;&gt;O753,"Beam Revised","")</f>
        <v>#N/A</v>
      </c>
    </row>
    <row r="754" spans="17:31" ht="13.2" x14ac:dyDescent="0.25">
      <c r="Q754" s="7">
        <f t="shared" si="11"/>
        <v>0</v>
      </c>
      <c r="R754" s="7" t="e">
        <f>IF(VLOOKUP($A754,'Concrete Beam Schedule'!$A$2:$Q$2902,R$2,0)&lt;&gt;B754,VLOOKUP($A754,'Concrete Beam Schedule'!$A$2:$Q$2902,R$2,0),"")</f>
        <v>#N/A</v>
      </c>
      <c r="S754" s="7" t="e">
        <f>IF(VLOOKUP($A754,'Concrete Beam Schedule'!$A$2:$Q$2902,S$2,0)&lt;&gt;C754,VLOOKUP($A754,'Concrete Beam Schedule'!$A$2:$Q$2902,S$2,0),"")</f>
        <v>#N/A</v>
      </c>
      <c r="T754" s="7" t="e">
        <f>IF(VLOOKUP($A754,'Concrete Beam Schedule'!$A$2:$Q$2902,T$2,0)&lt;&gt;D754,"Beam Revised","")</f>
        <v>#N/A</v>
      </c>
      <c r="U754" s="7" t="e">
        <f>IF(VLOOKUP($A754,'Concrete Beam Schedule'!$A$2:$Q$2902,U$2,0)&lt;&gt;E754,"Beam Revised","")</f>
        <v>#N/A</v>
      </c>
      <c r="V754" s="7" t="e">
        <f>IF(VLOOKUP($A754,'Concrete Beam Schedule'!$A$2:$Q$2902,V$2,0)&lt;&gt;F754,"Beam Revised","")</f>
        <v>#N/A</v>
      </c>
      <c r="W754" s="7" t="e">
        <f>IF(VLOOKUP($A754,'Concrete Beam Schedule'!$A$2:$Q$2902,W$2,0)&lt;&gt;G754,"Beam Revised","")</f>
        <v>#N/A</v>
      </c>
      <c r="X754" s="7" t="e">
        <f>IF(VLOOKUP($A754,'Concrete Beam Schedule'!$A$2:$Q$2902,X$2,0)&lt;&gt;H754,"Beam Revised","")</f>
        <v>#N/A</v>
      </c>
      <c r="Y754" s="7" t="e">
        <f>IF(VLOOKUP($A754,'Concrete Beam Schedule'!$A$2:$Q$2902,Y$2,0)&lt;&gt;I754,"Beam Revised","")</f>
        <v>#N/A</v>
      </c>
      <c r="Z754" s="7" t="e">
        <f>IF(VLOOKUP($A754,'Concrete Beam Schedule'!$A$2:$Q$2902,Z$2,0)&lt;&gt;J754,"Beam Revised","")</f>
        <v>#N/A</v>
      </c>
      <c r="AA754" s="7" t="e">
        <f>IF(VLOOKUP($A754,'Concrete Beam Schedule'!$A$2:$Q$2902,AA$2,0)&lt;&gt;K754,"Beam Revised","")</f>
        <v>#N/A</v>
      </c>
      <c r="AB754" s="7" t="e">
        <f>IF(VLOOKUP($A754,'Concrete Beam Schedule'!$A$2:$Q$2902,AB$2,0)&lt;&gt;L754,"Beam Revised","")</f>
        <v>#N/A</v>
      </c>
      <c r="AC754" s="7" t="e">
        <f>IF(VLOOKUP($A754,'Concrete Beam Schedule'!$A$2:$Q$2902,AC$2,0)&lt;&gt;M754,"Beam Revised","")</f>
        <v>#N/A</v>
      </c>
      <c r="AD754" s="7" t="e">
        <f>IF(VLOOKUP($A754,'Concrete Beam Schedule'!$A$2:$Q$2902,AD$2,0)&lt;&gt;N754,"Beam Revised","")</f>
        <v>#N/A</v>
      </c>
      <c r="AE754" s="7" t="e">
        <f>IF(VLOOKUP($A754,'Concrete Beam Schedule'!$A$2:$Q$2902,AE$2,0)&lt;&gt;O754,"Beam Revised","")</f>
        <v>#N/A</v>
      </c>
    </row>
    <row r="755" spans="17:31" ht="13.2" x14ac:dyDescent="0.25">
      <c r="Q755" s="7">
        <f t="shared" si="11"/>
        <v>0</v>
      </c>
      <c r="R755" s="7" t="e">
        <f>IF(VLOOKUP($A755,'Concrete Beam Schedule'!$A$2:$Q$2902,R$2,0)&lt;&gt;B755,VLOOKUP($A755,'Concrete Beam Schedule'!$A$2:$Q$2902,R$2,0),"")</f>
        <v>#N/A</v>
      </c>
      <c r="S755" s="7" t="e">
        <f>IF(VLOOKUP($A755,'Concrete Beam Schedule'!$A$2:$Q$2902,S$2,0)&lt;&gt;C755,VLOOKUP($A755,'Concrete Beam Schedule'!$A$2:$Q$2902,S$2,0),"")</f>
        <v>#N/A</v>
      </c>
      <c r="T755" s="7" t="e">
        <f>IF(VLOOKUP($A755,'Concrete Beam Schedule'!$A$2:$Q$2902,T$2,0)&lt;&gt;D755,"Beam Revised","")</f>
        <v>#N/A</v>
      </c>
      <c r="U755" s="7" t="e">
        <f>IF(VLOOKUP($A755,'Concrete Beam Schedule'!$A$2:$Q$2902,U$2,0)&lt;&gt;E755,"Beam Revised","")</f>
        <v>#N/A</v>
      </c>
      <c r="V755" s="7" t="e">
        <f>IF(VLOOKUP($A755,'Concrete Beam Schedule'!$A$2:$Q$2902,V$2,0)&lt;&gt;F755,"Beam Revised","")</f>
        <v>#N/A</v>
      </c>
      <c r="W755" s="7" t="e">
        <f>IF(VLOOKUP($A755,'Concrete Beam Schedule'!$A$2:$Q$2902,W$2,0)&lt;&gt;G755,"Beam Revised","")</f>
        <v>#N/A</v>
      </c>
      <c r="X755" s="7" t="e">
        <f>IF(VLOOKUP($A755,'Concrete Beam Schedule'!$A$2:$Q$2902,X$2,0)&lt;&gt;H755,"Beam Revised","")</f>
        <v>#N/A</v>
      </c>
      <c r="Y755" s="7" t="e">
        <f>IF(VLOOKUP($A755,'Concrete Beam Schedule'!$A$2:$Q$2902,Y$2,0)&lt;&gt;I755,"Beam Revised","")</f>
        <v>#N/A</v>
      </c>
      <c r="Z755" s="7" t="e">
        <f>IF(VLOOKUP($A755,'Concrete Beam Schedule'!$A$2:$Q$2902,Z$2,0)&lt;&gt;J755,"Beam Revised","")</f>
        <v>#N/A</v>
      </c>
      <c r="AA755" s="7" t="e">
        <f>IF(VLOOKUP($A755,'Concrete Beam Schedule'!$A$2:$Q$2902,AA$2,0)&lt;&gt;K755,"Beam Revised","")</f>
        <v>#N/A</v>
      </c>
      <c r="AB755" s="7" t="e">
        <f>IF(VLOOKUP($A755,'Concrete Beam Schedule'!$A$2:$Q$2902,AB$2,0)&lt;&gt;L755,"Beam Revised","")</f>
        <v>#N/A</v>
      </c>
      <c r="AC755" s="7" t="e">
        <f>IF(VLOOKUP($A755,'Concrete Beam Schedule'!$A$2:$Q$2902,AC$2,0)&lt;&gt;M755,"Beam Revised","")</f>
        <v>#N/A</v>
      </c>
      <c r="AD755" s="7" t="e">
        <f>IF(VLOOKUP($A755,'Concrete Beam Schedule'!$A$2:$Q$2902,AD$2,0)&lt;&gt;N755,"Beam Revised","")</f>
        <v>#N/A</v>
      </c>
      <c r="AE755" s="7" t="e">
        <f>IF(VLOOKUP($A755,'Concrete Beam Schedule'!$A$2:$Q$2902,AE$2,0)&lt;&gt;O755,"Beam Revised","")</f>
        <v>#N/A</v>
      </c>
    </row>
    <row r="756" spans="17:31" ht="13.2" x14ac:dyDescent="0.25">
      <c r="Q756" s="7">
        <f t="shared" si="11"/>
        <v>0</v>
      </c>
      <c r="R756" s="7" t="e">
        <f>IF(VLOOKUP($A756,'Concrete Beam Schedule'!$A$2:$Q$2902,R$2,0)&lt;&gt;B756,VLOOKUP($A756,'Concrete Beam Schedule'!$A$2:$Q$2902,R$2,0),"")</f>
        <v>#N/A</v>
      </c>
      <c r="S756" s="7" t="e">
        <f>IF(VLOOKUP($A756,'Concrete Beam Schedule'!$A$2:$Q$2902,S$2,0)&lt;&gt;C756,VLOOKUP($A756,'Concrete Beam Schedule'!$A$2:$Q$2902,S$2,0),"")</f>
        <v>#N/A</v>
      </c>
      <c r="T756" s="7" t="e">
        <f>IF(VLOOKUP($A756,'Concrete Beam Schedule'!$A$2:$Q$2902,T$2,0)&lt;&gt;D756,"Beam Revised","")</f>
        <v>#N/A</v>
      </c>
      <c r="U756" s="7" t="e">
        <f>IF(VLOOKUP($A756,'Concrete Beam Schedule'!$A$2:$Q$2902,U$2,0)&lt;&gt;E756,"Beam Revised","")</f>
        <v>#N/A</v>
      </c>
      <c r="V756" s="7" t="e">
        <f>IF(VLOOKUP($A756,'Concrete Beam Schedule'!$A$2:$Q$2902,V$2,0)&lt;&gt;F756,"Beam Revised","")</f>
        <v>#N/A</v>
      </c>
      <c r="W756" s="7" t="e">
        <f>IF(VLOOKUP($A756,'Concrete Beam Schedule'!$A$2:$Q$2902,W$2,0)&lt;&gt;G756,"Beam Revised","")</f>
        <v>#N/A</v>
      </c>
      <c r="X756" s="7" t="e">
        <f>IF(VLOOKUP($A756,'Concrete Beam Schedule'!$A$2:$Q$2902,X$2,0)&lt;&gt;H756,"Beam Revised","")</f>
        <v>#N/A</v>
      </c>
      <c r="Y756" s="7" t="e">
        <f>IF(VLOOKUP($A756,'Concrete Beam Schedule'!$A$2:$Q$2902,Y$2,0)&lt;&gt;I756,"Beam Revised","")</f>
        <v>#N/A</v>
      </c>
      <c r="Z756" s="7" t="e">
        <f>IF(VLOOKUP($A756,'Concrete Beam Schedule'!$A$2:$Q$2902,Z$2,0)&lt;&gt;J756,"Beam Revised","")</f>
        <v>#N/A</v>
      </c>
      <c r="AA756" s="7" t="e">
        <f>IF(VLOOKUP($A756,'Concrete Beam Schedule'!$A$2:$Q$2902,AA$2,0)&lt;&gt;K756,"Beam Revised","")</f>
        <v>#N/A</v>
      </c>
      <c r="AB756" s="7" t="e">
        <f>IF(VLOOKUP($A756,'Concrete Beam Schedule'!$A$2:$Q$2902,AB$2,0)&lt;&gt;L756,"Beam Revised","")</f>
        <v>#N/A</v>
      </c>
      <c r="AC756" s="7" t="e">
        <f>IF(VLOOKUP($A756,'Concrete Beam Schedule'!$A$2:$Q$2902,AC$2,0)&lt;&gt;M756,"Beam Revised","")</f>
        <v>#N/A</v>
      </c>
      <c r="AD756" s="7" t="e">
        <f>IF(VLOOKUP($A756,'Concrete Beam Schedule'!$A$2:$Q$2902,AD$2,0)&lt;&gt;N756,"Beam Revised","")</f>
        <v>#N/A</v>
      </c>
      <c r="AE756" s="7" t="e">
        <f>IF(VLOOKUP($A756,'Concrete Beam Schedule'!$A$2:$Q$2902,AE$2,0)&lt;&gt;O756,"Beam Revised","")</f>
        <v>#N/A</v>
      </c>
    </row>
    <row r="757" spans="17:31" ht="13.2" x14ac:dyDescent="0.25">
      <c r="Q757" s="7">
        <f t="shared" si="11"/>
        <v>0</v>
      </c>
      <c r="R757" s="7" t="e">
        <f>IF(VLOOKUP($A757,'Concrete Beam Schedule'!$A$2:$Q$2902,R$2,0)&lt;&gt;B757,VLOOKUP($A757,'Concrete Beam Schedule'!$A$2:$Q$2902,R$2,0),"")</f>
        <v>#N/A</v>
      </c>
      <c r="S757" s="7" t="e">
        <f>IF(VLOOKUP($A757,'Concrete Beam Schedule'!$A$2:$Q$2902,S$2,0)&lt;&gt;C757,VLOOKUP($A757,'Concrete Beam Schedule'!$A$2:$Q$2902,S$2,0),"")</f>
        <v>#N/A</v>
      </c>
      <c r="T757" s="7" t="e">
        <f>IF(VLOOKUP($A757,'Concrete Beam Schedule'!$A$2:$Q$2902,T$2,0)&lt;&gt;D757,"Beam Revised","")</f>
        <v>#N/A</v>
      </c>
      <c r="U757" s="7" t="e">
        <f>IF(VLOOKUP($A757,'Concrete Beam Schedule'!$A$2:$Q$2902,U$2,0)&lt;&gt;E757,"Beam Revised","")</f>
        <v>#N/A</v>
      </c>
      <c r="V757" s="7" t="e">
        <f>IF(VLOOKUP($A757,'Concrete Beam Schedule'!$A$2:$Q$2902,V$2,0)&lt;&gt;F757,"Beam Revised","")</f>
        <v>#N/A</v>
      </c>
      <c r="W757" s="7" t="e">
        <f>IF(VLOOKUP($A757,'Concrete Beam Schedule'!$A$2:$Q$2902,W$2,0)&lt;&gt;G757,"Beam Revised","")</f>
        <v>#N/A</v>
      </c>
      <c r="X757" s="7" t="e">
        <f>IF(VLOOKUP($A757,'Concrete Beam Schedule'!$A$2:$Q$2902,X$2,0)&lt;&gt;H757,"Beam Revised","")</f>
        <v>#N/A</v>
      </c>
      <c r="Y757" s="7" t="e">
        <f>IF(VLOOKUP($A757,'Concrete Beam Schedule'!$A$2:$Q$2902,Y$2,0)&lt;&gt;I757,"Beam Revised","")</f>
        <v>#N/A</v>
      </c>
      <c r="Z757" s="7" t="e">
        <f>IF(VLOOKUP($A757,'Concrete Beam Schedule'!$A$2:$Q$2902,Z$2,0)&lt;&gt;J757,"Beam Revised","")</f>
        <v>#N/A</v>
      </c>
      <c r="AA757" s="7" t="e">
        <f>IF(VLOOKUP($A757,'Concrete Beam Schedule'!$A$2:$Q$2902,AA$2,0)&lt;&gt;K757,"Beam Revised","")</f>
        <v>#N/A</v>
      </c>
      <c r="AB757" s="7" t="e">
        <f>IF(VLOOKUP($A757,'Concrete Beam Schedule'!$A$2:$Q$2902,AB$2,0)&lt;&gt;L757,"Beam Revised","")</f>
        <v>#N/A</v>
      </c>
      <c r="AC757" s="7" t="e">
        <f>IF(VLOOKUP($A757,'Concrete Beam Schedule'!$A$2:$Q$2902,AC$2,0)&lt;&gt;M757,"Beam Revised","")</f>
        <v>#N/A</v>
      </c>
      <c r="AD757" s="7" t="e">
        <f>IF(VLOOKUP($A757,'Concrete Beam Schedule'!$A$2:$Q$2902,AD$2,0)&lt;&gt;N757,"Beam Revised","")</f>
        <v>#N/A</v>
      </c>
      <c r="AE757" s="7" t="e">
        <f>IF(VLOOKUP($A757,'Concrete Beam Schedule'!$A$2:$Q$2902,AE$2,0)&lt;&gt;O757,"Beam Revised","")</f>
        <v>#N/A</v>
      </c>
    </row>
    <row r="758" spans="17:31" ht="13.2" x14ac:dyDescent="0.25">
      <c r="Q758" s="7">
        <f t="shared" si="11"/>
        <v>0</v>
      </c>
      <c r="R758" s="7" t="e">
        <f>IF(VLOOKUP($A758,'Concrete Beam Schedule'!$A$2:$Q$2902,R$2,0)&lt;&gt;B758,VLOOKUP($A758,'Concrete Beam Schedule'!$A$2:$Q$2902,R$2,0),"")</f>
        <v>#N/A</v>
      </c>
      <c r="S758" s="7" t="e">
        <f>IF(VLOOKUP($A758,'Concrete Beam Schedule'!$A$2:$Q$2902,S$2,0)&lt;&gt;C758,VLOOKUP($A758,'Concrete Beam Schedule'!$A$2:$Q$2902,S$2,0),"")</f>
        <v>#N/A</v>
      </c>
      <c r="T758" s="7" t="e">
        <f>IF(VLOOKUP($A758,'Concrete Beam Schedule'!$A$2:$Q$2902,T$2,0)&lt;&gt;D758,"Beam Revised","")</f>
        <v>#N/A</v>
      </c>
      <c r="U758" s="7" t="e">
        <f>IF(VLOOKUP($A758,'Concrete Beam Schedule'!$A$2:$Q$2902,U$2,0)&lt;&gt;E758,"Beam Revised","")</f>
        <v>#N/A</v>
      </c>
      <c r="V758" s="7" t="e">
        <f>IF(VLOOKUP($A758,'Concrete Beam Schedule'!$A$2:$Q$2902,V$2,0)&lt;&gt;F758,"Beam Revised","")</f>
        <v>#N/A</v>
      </c>
      <c r="W758" s="7" t="e">
        <f>IF(VLOOKUP($A758,'Concrete Beam Schedule'!$A$2:$Q$2902,W$2,0)&lt;&gt;G758,"Beam Revised","")</f>
        <v>#N/A</v>
      </c>
      <c r="X758" s="7" t="e">
        <f>IF(VLOOKUP($A758,'Concrete Beam Schedule'!$A$2:$Q$2902,X$2,0)&lt;&gt;H758,"Beam Revised","")</f>
        <v>#N/A</v>
      </c>
      <c r="Y758" s="7" t="e">
        <f>IF(VLOOKUP($A758,'Concrete Beam Schedule'!$A$2:$Q$2902,Y$2,0)&lt;&gt;I758,"Beam Revised","")</f>
        <v>#N/A</v>
      </c>
      <c r="Z758" s="7" t="e">
        <f>IF(VLOOKUP($A758,'Concrete Beam Schedule'!$A$2:$Q$2902,Z$2,0)&lt;&gt;J758,"Beam Revised","")</f>
        <v>#N/A</v>
      </c>
      <c r="AA758" s="7" t="e">
        <f>IF(VLOOKUP($A758,'Concrete Beam Schedule'!$A$2:$Q$2902,AA$2,0)&lt;&gt;K758,"Beam Revised","")</f>
        <v>#N/A</v>
      </c>
      <c r="AB758" s="7" t="e">
        <f>IF(VLOOKUP($A758,'Concrete Beam Schedule'!$A$2:$Q$2902,AB$2,0)&lt;&gt;L758,"Beam Revised","")</f>
        <v>#N/A</v>
      </c>
      <c r="AC758" s="7" t="e">
        <f>IF(VLOOKUP($A758,'Concrete Beam Schedule'!$A$2:$Q$2902,AC$2,0)&lt;&gt;M758,"Beam Revised","")</f>
        <v>#N/A</v>
      </c>
      <c r="AD758" s="7" t="e">
        <f>IF(VLOOKUP($A758,'Concrete Beam Schedule'!$A$2:$Q$2902,AD$2,0)&lt;&gt;N758,"Beam Revised","")</f>
        <v>#N/A</v>
      </c>
      <c r="AE758" s="7" t="e">
        <f>IF(VLOOKUP($A758,'Concrete Beam Schedule'!$A$2:$Q$2902,AE$2,0)&lt;&gt;O758,"Beam Revised","")</f>
        <v>#N/A</v>
      </c>
    </row>
    <row r="759" spans="17:31" ht="13.2" x14ac:dyDescent="0.25">
      <c r="Q759" s="7">
        <f t="shared" si="11"/>
        <v>0</v>
      </c>
      <c r="R759" s="7" t="e">
        <f>IF(VLOOKUP($A759,'Concrete Beam Schedule'!$A$2:$Q$2902,R$2,0)&lt;&gt;B759,VLOOKUP($A759,'Concrete Beam Schedule'!$A$2:$Q$2902,R$2,0),"")</f>
        <v>#N/A</v>
      </c>
      <c r="S759" s="7" t="e">
        <f>IF(VLOOKUP($A759,'Concrete Beam Schedule'!$A$2:$Q$2902,S$2,0)&lt;&gt;C759,VLOOKUP($A759,'Concrete Beam Schedule'!$A$2:$Q$2902,S$2,0),"")</f>
        <v>#N/A</v>
      </c>
      <c r="T759" s="7" t="e">
        <f>IF(VLOOKUP($A759,'Concrete Beam Schedule'!$A$2:$Q$2902,T$2,0)&lt;&gt;D759,"Beam Revised","")</f>
        <v>#N/A</v>
      </c>
      <c r="U759" s="7" t="e">
        <f>IF(VLOOKUP($A759,'Concrete Beam Schedule'!$A$2:$Q$2902,U$2,0)&lt;&gt;E759,"Beam Revised","")</f>
        <v>#N/A</v>
      </c>
      <c r="V759" s="7" t="e">
        <f>IF(VLOOKUP($A759,'Concrete Beam Schedule'!$A$2:$Q$2902,V$2,0)&lt;&gt;F759,"Beam Revised","")</f>
        <v>#N/A</v>
      </c>
      <c r="W759" s="7" t="e">
        <f>IF(VLOOKUP($A759,'Concrete Beam Schedule'!$A$2:$Q$2902,W$2,0)&lt;&gt;G759,"Beam Revised","")</f>
        <v>#N/A</v>
      </c>
      <c r="X759" s="7" t="e">
        <f>IF(VLOOKUP($A759,'Concrete Beam Schedule'!$A$2:$Q$2902,X$2,0)&lt;&gt;H759,"Beam Revised","")</f>
        <v>#N/A</v>
      </c>
      <c r="Y759" s="7" t="e">
        <f>IF(VLOOKUP($A759,'Concrete Beam Schedule'!$A$2:$Q$2902,Y$2,0)&lt;&gt;I759,"Beam Revised","")</f>
        <v>#N/A</v>
      </c>
      <c r="Z759" s="7" t="e">
        <f>IF(VLOOKUP($A759,'Concrete Beam Schedule'!$A$2:$Q$2902,Z$2,0)&lt;&gt;J759,"Beam Revised","")</f>
        <v>#N/A</v>
      </c>
      <c r="AA759" s="7" t="e">
        <f>IF(VLOOKUP($A759,'Concrete Beam Schedule'!$A$2:$Q$2902,AA$2,0)&lt;&gt;K759,"Beam Revised","")</f>
        <v>#N/A</v>
      </c>
      <c r="AB759" s="7" t="e">
        <f>IF(VLOOKUP($A759,'Concrete Beam Schedule'!$A$2:$Q$2902,AB$2,0)&lt;&gt;L759,"Beam Revised","")</f>
        <v>#N/A</v>
      </c>
      <c r="AC759" s="7" t="e">
        <f>IF(VLOOKUP($A759,'Concrete Beam Schedule'!$A$2:$Q$2902,AC$2,0)&lt;&gt;M759,"Beam Revised","")</f>
        <v>#N/A</v>
      </c>
      <c r="AD759" s="7" t="e">
        <f>IF(VLOOKUP($A759,'Concrete Beam Schedule'!$A$2:$Q$2902,AD$2,0)&lt;&gt;N759,"Beam Revised","")</f>
        <v>#N/A</v>
      </c>
      <c r="AE759" s="7" t="e">
        <f>IF(VLOOKUP($A759,'Concrete Beam Schedule'!$A$2:$Q$2902,AE$2,0)&lt;&gt;O759,"Beam Revised","")</f>
        <v>#N/A</v>
      </c>
    </row>
    <row r="760" spans="17:31" ht="13.2" x14ac:dyDescent="0.25">
      <c r="Q760" s="7">
        <f t="shared" si="11"/>
        <v>0</v>
      </c>
      <c r="R760" s="7" t="e">
        <f>IF(VLOOKUP($A760,'Concrete Beam Schedule'!$A$2:$Q$2902,R$2,0)&lt;&gt;B760,VLOOKUP($A760,'Concrete Beam Schedule'!$A$2:$Q$2902,R$2,0),"")</f>
        <v>#N/A</v>
      </c>
      <c r="S760" s="7" t="e">
        <f>IF(VLOOKUP($A760,'Concrete Beam Schedule'!$A$2:$Q$2902,S$2,0)&lt;&gt;C760,VLOOKUP($A760,'Concrete Beam Schedule'!$A$2:$Q$2902,S$2,0),"")</f>
        <v>#N/A</v>
      </c>
      <c r="T760" s="7" t="e">
        <f>IF(VLOOKUP($A760,'Concrete Beam Schedule'!$A$2:$Q$2902,T$2,0)&lt;&gt;D760,"Beam Revised","")</f>
        <v>#N/A</v>
      </c>
      <c r="U760" s="7" t="e">
        <f>IF(VLOOKUP($A760,'Concrete Beam Schedule'!$A$2:$Q$2902,U$2,0)&lt;&gt;E760,"Beam Revised","")</f>
        <v>#N/A</v>
      </c>
      <c r="V760" s="7" t="e">
        <f>IF(VLOOKUP($A760,'Concrete Beam Schedule'!$A$2:$Q$2902,V$2,0)&lt;&gt;F760,"Beam Revised","")</f>
        <v>#N/A</v>
      </c>
      <c r="W760" s="7" t="e">
        <f>IF(VLOOKUP($A760,'Concrete Beam Schedule'!$A$2:$Q$2902,W$2,0)&lt;&gt;G760,"Beam Revised","")</f>
        <v>#N/A</v>
      </c>
      <c r="X760" s="7" t="e">
        <f>IF(VLOOKUP($A760,'Concrete Beam Schedule'!$A$2:$Q$2902,X$2,0)&lt;&gt;H760,"Beam Revised","")</f>
        <v>#N/A</v>
      </c>
      <c r="Y760" s="7" t="e">
        <f>IF(VLOOKUP($A760,'Concrete Beam Schedule'!$A$2:$Q$2902,Y$2,0)&lt;&gt;I760,"Beam Revised","")</f>
        <v>#N/A</v>
      </c>
      <c r="Z760" s="7" t="e">
        <f>IF(VLOOKUP($A760,'Concrete Beam Schedule'!$A$2:$Q$2902,Z$2,0)&lt;&gt;J760,"Beam Revised","")</f>
        <v>#N/A</v>
      </c>
      <c r="AA760" s="7" t="e">
        <f>IF(VLOOKUP($A760,'Concrete Beam Schedule'!$A$2:$Q$2902,AA$2,0)&lt;&gt;K760,"Beam Revised","")</f>
        <v>#N/A</v>
      </c>
      <c r="AB760" s="7" t="e">
        <f>IF(VLOOKUP($A760,'Concrete Beam Schedule'!$A$2:$Q$2902,AB$2,0)&lt;&gt;L760,"Beam Revised","")</f>
        <v>#N/A</v>
      </c>
      <c r="AC760" s="7" t="e">
        <f>IF(VLOOKUP($A760,'Concrete Beam Schedule'!$A$2:$Q$2902,AC$2,0)&lt;&gt;M760,"Beam Revised","")</f>
        <v>#N/A</v>
      </c>
      <c r="AD760" s="7" t="e">
        <f>IF(VLOOKUP($A760,'Concrete Beam Schedule'!$A$2:$Q$2902,AD$2,0)&lt;&gt;N760,"Beam Revised","")</f>
        <v>#N/A</v>
      </c>
      <c r="AE760" s="7" t="e">
        <f>IF(VLOOKUP($A760,'Concrete Beam Schedule'!$A$2:$Q$2902,AE$2,0)&lt;&gt;O760,"Beam Revised","")</f>
        <v>#N/A</v>
      </c>
    </row>
    <row r="761" spans="17:31" ht="13.2" x14ac:dyDescent="0.25">
      <c r="Q761" s="7">
        <f t="shared" si="11"/>
        <v>0</v>
      </c>
      <c r="R761" s="7" t="e">
        <f>IF(VLOOKUP($A761,'Concrete Beam Schedule'!$A$2:$Q$2902,R$2,0)&lt;&gt;B761,VLOOKUP($A761,'Concrete Beam Schedule'!$A$2:$Q$2902,R$2,0),"")</f>
        <v>#N/A</v>
      </c>
      <c r="S761" s="7" t="e">
        <f>IF(VLOOKUP($A761,'Concrete Beam Schedule'!$A$2:$Q$2902,S$2,0)&lt;&gt;C761,VLOOKUP($A761,'Concrete Beam Schedule'!$A$2:$Q$2902,S$2,0),"")</f>
        <v>#N/A</v>
      </c>
      <c r="T761" s="7" t="e">
        <f>IF(VLOOKUP($A761,'Concrete Beam Schedule'!$A$2:$Q$2902,T$2,0)&lt;&gt;D761,"Beam Revised","")</f>
        <v>#N/A</v>
      </c>
      <c r="U761" s="7" t="e">
        <f>IF(VLOOKUP($A761,'Concrete Beam Schedule'!$A$2:$Q$2902,U$2,0)&lt;&gt;E761,"Beam Revised","")</f>
        <v>#N/A</v>
      </c>
      <c r="V761" s="7" t="e">
        <f>IF(VLOOKUP($A761,'Concrete Beam Schedule'!$A$2:$Q$2902,V$2,0)&lt;&gt;F761,"Beam Revised","")</f>
        <v>#N/A</v>
      </c>
      <c r="W761" s="7" t="e">
        <f>IF(VLOOKUP($A761,'Concrete Beam Schedule'!$A$2:$Q$2902,W$2,0)&lt;&gt;G761,"Beam Revised","")</f>
        <v>#N/A</v>
      </c>
      <c r="X761" s="7" t="e">
        <f>IF(VLOOKUP($A761,'Concrete Beam Schedule'!$A$2:$Q$2902,X$2,0)&lt;&gt;H761,"Beam Revised","")</f>
        <v>#N/A</v>
      </c>
      <c r="Y761" s="7" t="e">
        <f>IF(VLOOKUP($A761,'Concrete Beam Schedule'!$A$2:$Q$2902,Y$2,0)&lt;&gt;I761,"Beam Revised","")</f>
        <v>#N/A</v>
      </c>
      <c r="Z761" s="7" t="e">
        <f>IF(VLOOKUP($A761,'Concrete Beam Schedule'!$A$2:$Q$2902,Z$2,0)&lt;&gt;J761,"Beam Revised","")</f>
        <v>#N/A</v>
      </c>
      <c r="AA761" s="7" t="e">
        <f>IF(VLOOKUP($A761,'Concrete Beam Schedule'!$A$2:$Q$2902,AA$2,0)&lt;&gt;K761,"Beam Revised","")</f>
        <v>#N/A</v>
      </c>
      <c r="AB761" s="7" t="e">
        <f>IF(VLOOKUP($A761,'Concrete Beam Schedule'!$A$2:$Q$2902,AB$2,0)&lt;&gt;L761,"Beam Revised","")</f>
        <v>#N/A</v>
      </c>
      <c r="AC761" s="7" t="e">
        <f>IF(VLOOKUP($A761,'Concrete Beam Schedule'!$A$2:$Q$2902,AC$2,0)&lt;&gt;M761,"Beam Revised","")</f>
        <v>#N/A</v>
      </c>
      <c r="AD761" s="7" t="e">
        <f>IF(VLOOKUP($A761,'Concrete Beam Schedule'!$A$2:$Q$2902,AD$2,0)&lt;&gt;N761,"Beam Revised","")</f>
        <v>#N/A</v>
      </c>
      <c r="AE761" s="7" t="e">
        <f>IF(VLOOKUP($A761,'Concrete Beam Schedule'!$A$2:$Q$2902,AE$2,0)&lt;&gt;O761,"Beam Revised","")</f>
        <v>#N/A</v>
      </c>
    </row>
    <row r="762" spans="17:31" ht="13.2" x14ac:dyDescent="0.25">
      <c r="Q762" s="7">
        <f t="shared" si="11"/>
        <v>0</v>
      </c>
      <c r="R762" s="7" t="e">
        <f>IF(VLOOKUP($A762,'Concrete Beam Schedule'!$A$2:$Q$2902,R$2,0)&lt;&gt;B762,VLOOKUP($A762,'Concrete Beam Schedule'!$A$2:$Q$2902,R$2,0),"")</f>
        <v>#N/A</v>
      </c>
      <c r="S762" s="7" t="e">
        <f>IF(VLOOKUP($A762,'Concrete Beam Schedule'!$A$2:$Q$2902,S$2,0)&lt;&gt;C762,VLOOKUP($A762,'Concrete Beam Schedule'!$A$2:$Q$2902,S$2,0),"")</f>
        <v>#N/A</v>
      </c>
      <c r="T762" s="7" t="e">
        <f>IF(VLOOKUP($A762,'Concrete Beam Schedule'!$A$2:$Q$2902,T$2,0)&lt;&gt;D762,"Beam Revised","")</f>
        <v>#N/A</v>
      </c>
      <c r="U762" s="7" t="e">
        <f>IF(VLOOKUP($A762,'Concrete Beam Schedule'!$A$2:$Q$2902,U$2,0)&lt;&gt;E762,"Beam Revised","")</f>
        <v>#N/A</v>
      </c>
      <c r="V762" s="7" t="e">
        <f>IF(VLOOKUP($A762,'Concrete Beam Schedule'!$A$2:$Q$2902,V$2,0)&lt;&gt;F762,"Beam Revised","")</f>
        <v>#N/A</v>
      </c>
      <c r="W762" s="7" t="e">
        <f>IF(VLOOKUP($A762,'Concrete Beam Schedule'!$A$2:$Q$2902,W$2,0)&lt;&gt;G762,"Beam Revised","")</f>
        <v>#N/A</v>
      </c>
      <c r="X762" s="7" t="e">
        <f>IF(VLOOKUP($A762,'Concrete Beam Schedule'!$A$2:$Q$2902,X$2,0)&lt;&gt;H762,"Beam Revised","")</f>
        <v>#N/A</v>
      </c>
      <c r="Y762" s="7" t="e">
        <f>IF(VLOOKUP($A762,'Concrete Beam Schedule'!$A$2:$Q$2902,Y$2,0)&lt;&gt;I762,"Beam Revised","")</f>
        <v>#N/A</v>
      </c>
      <c r="Z762" s="7" t="e">
        <f>IF(VLOOKUP($A762,'Concrete Beam Schedule'!$A$2:$Q$2902,Z$2,0)&lt;&gt;J762,"Beam Revised","")</f>
        <v>#N/A</v>
      </c>
      <c r="AA762" s="7" t="e">
        <f>IF(VLOOKUP($A762,'Concrete Beam Schedule'!$A$2:$Q$2902,AA$2,0)&lt;&gt;K762,"Beam Revised","")</f>
        <v>#N/A</v>
      </c>
      <c r="AB762" s="7" t="e">
        <f>IF(VLOOKUP($A762,'Concrete Beam Schedule'!$A$2:$Q$2902,AB$2,0)&lt;&gt;L762,"Beam Revised","")</f>
        <v>#N/A</v>
      </c>
      <c r="AC762" s="7" t="e">
        <f>IF(VLOOKUP($A762,'Concrete Beam Schedule'!$A$2:$Q$2902,AC$2,0)&lt;&gt;M762,"Beam Revised","")</f>
        <v>#N/A</v>
      </c>
      <c r="AD762" s="7" t="e">
        <f>IF(VLOOKUP($A762,'Concrete Beam Schedule'!$A$2:$Q$2902,AD$2,0)&lt;&gt;N762,"Beam Revised","")</f>
        <v>#N/A</v>
      </c>
      <c r="AE762" s="7" t="e">
        <f>IF(VLOOKUP($A762,'Concrete Beam Schedule'!$A$2:$Q$2902,AE$2,0)&lt;&gt;O762,"Beam Revised","")</f>
        <v>#N/A</v>
      </c>
    </row>
    <row r="763" spans="17:31" ht="13.2" x14ac:dyDescent="0.25">
      <c r="Q763" s="7">
        <f t="shared" si="11"/>
        <v>0</v>
      </c>
      <c r="R763" s="7" t="e">
        <f>IF(VLOOKUP($A763,'Concrete Beam Schedule'!$A$2:$Q$2902,R$2,0)&lt;&gt;B763,VLOOKUP($A763,'Concrete Beam Schedule'!$A$2:$Q$2902,R$2,0),"")</f>
        <v>#N/A</v>
      </c>
      <c r="S763" s="7" t="e">
        <f>IF(VLOOKUP($A763,'Concrete Beam Schedule'!$A$2:$Q$2902,S$2,0)&lt;&gt;C763,VLOOKUP($A763,'Concrete Beam Schedule'!$A$2:$Q$2902,S$2,0),"")</f>
        <v>#N/A</v>
      </c>
      <c r="T763" s="7" t="e">
        <f>IF(VLOOKUP($A763,'Concrete Beam Schedule'!$A$2:$Q$2902,T$2,0)&lt;&gt;D763,"Beam Revised","")</f>
        <v>#N/A</v>
      </c>
      <c r="U763" s="7" t="e">
        <f>IF(VLOOKUP($A763,'Concrete Beam Schedule'!$A$2:$Q$2902,U$2,0)&lt;&gt;E763,"Beam Revised","")</f>
        <v>#N/A</v>
      </c>
      <c r="V763" s="7" t="e">
        <f>IF(VLOOKUP($A763,'Concrete Beam Schedule'!$A$2:$Q$2902,V$2,0)&lt;&gt;F763,"Beam Revised","")</f>
        <v>#N/A</v>
      </c>
      <c r="W763" s="7" t="e">
        <f>IF(VLOOKUP($A763,'Concrete Beam Schedule'!$A$2:$Q$2902,W$2,0)&lt;&gt;G763,"Beam Revised","")</f>
        <v>#N/A</v>
      </c>
      <c r="X763" s="7" t="e">
        <f>IF(VLOOKUP($A763,'Concrete Beam Schedule'!$A$2:$Q$2902,X$2,0)&lt;&gt;H763,"Beam Revised","")</f>
        <v>#N/A</v>
      </c>
      <c r="Y763" s="7" t="e">
        <f>IF(VLOOKUP($A763,'Concrete Beam Schedule'!$A$2:$Q$2902,Y$2,0)&lt;&gt;I763,"Beam Revised","")</f>
        <v>#N/A</v>
      </c>
      <c r="Z763" s="7" t="e">
        <f>IF(VLOOKUP($A763,'Concrete Beam Schedule'!$A$2:$Q$2902,Z$2,0)&lt;&gt;J763,"Beam Revised","")</f>
        <v>#N/A</v>
      </c>
      <c r="AA763" s="7" t="e">
        <f>IF(VLOOKUP($A763,'Concrete Beam Schedule'!$A$2:$Q$2902,AA$2,0)&lt;&gt;K763,"Beam Revised","")</f>
        <v>#N/A</v>
      </c>
      <c r="AB763" s="7" t="e">
        <f>IF(VLOOKUP($A763,'Concrete Beam Schedule'!$A$2:$Q$2902,AB$2,0)&lt;&gt;L763,"Beam Revised","")</f>
        <v>#N/A</v>
      </c>
      <c r="AC763" s="7" t="e">
        <f>IF(VLOOKUP($A763,'Concrete Beam Schedule'!$A$2:$Q$2902,AC$2,0)&lt;&gt;M763,"Beam Revised","")</f>
        <v>#N/A</v>
      </c>
      <c r="AD763" s="7" t="e">
        <f>IF(VLOOKUP($A763,'Concrete Beam Schedule'!$A$2:$Q$2902,AD$2,0)&lt;&gt;N763,"Beam Revised","")</f>
        <v>#N/A</v>
      </c>
      <c r="AE763" s="7" t="e">
        <f>IF(VLOOKUP($A763,'Concrete Beam Schedule'!$A$2:$Q$2902,AE$2,0)&lt;&gt;O763,"Beam Revised","")</f>
        <v>#N/A</v>
      </c>
    </row>
    <row r="764" spans="17:31" ht="13.2" x14ac:dyDescent="0.25">
      <c r="Q764" s="7">
        <f t="shared" si="11"/>
        <v>0</v>
      </c>
      <c r="R764" s="7" t="e">
        <f>IF(VLOOKUP($A764,'Concrete Beam Schedule'!$A$2:$Q$2902,R$2,0)&lt;&gt;B764,VLOOKUP($A764,'Concrete Beam Schedule'!$A$2:$Q$2902,R$2,0),"")</f>
        <v>#N/A</v>
      </c>
      <c r="S764" s="7" t="e">
        <f>IF(VLOOKUP($A764,'Concrete Beam Schedule'!$A$2:$Q$2902,S$2,0)&lt;&gt;C764,VLOOKUP($A764,'Concrete Beam Schedule'!$A$2:$Q$2902,S$2,0),"")</f>
        <v>#N/A</v>
      </c>
      <c r="T764" s="7" t="e">
        <f>IF(VLOOKUP($A764,'Concrete Beam Schedule'!$A$2:$Q$2902,T$2,0)&lt;&gt;D764,"Beam Revised","")</f>
        <v>#N/A</v>
      </c>
      <c r="U764" s="7" t="e">
        <f>IF(VLOOKUP($A764,'Concrete Beam Schedule'!$A$2:$Q$2902,U$2,0)&lt;&gt;E764,"Beam Revised","")</f>
        <v>#N/A</v>
      </c>
      <c r="V764" s="7" t="e">
        <f>IF(VLOOKUP($A764,'Concrete Beam Schedule'!$A$2:$Q$2902,V$2,0)&lt;&gt;F764,"Beam Revised","")</f>
        <v>#N/A</v>
      </c>
      <c r="W764" s="7" t="e">
        <f>IF(VLOOKUP($A764,'Concrete Beam Schedule'!$A$2:$Q$2902,W$2,0)&lt;&gt;G764,"Beam Revised","")</f>
        <v>#N/A</v>
      </c>
      <c r="X764" s="7" t="e">
        <f>IF(VLOOKUP($A764,'Concrete Beam Schedule'!$A$2:$Q$2902,X$2,0)&lt;&gt;H764,"Beam Revised","")</f>
        <v>#N/A</v>
      </c>
      <c r="Y764" s="7" t="e">
        <f>IF(VLOOKUP($A764,'Concrete Beam Schedule'!$A$2:$Q$2902,Y$2,0)&lt;&gt;I764,"Beam Revised","")</f>
        <v>#N/A</v>
      </c>
      <c r="Z764" s="7" t="e">
        <f>IF(VLOOKUP($A764,'Concrete Beam Schedule'!$A$2:$Q$2902,Z$2,0)&lt;&gt;J764,"Beam Revised","")</f>
        <v>#N/A</v>
      </c>
      <c r="AA764" s="7" t="e">
        <f>IF(VLOOKUP($A764,'Concrete Beam Schedule'!$A$2:$Q$2902,AA$2,0)&lt;&gt;K764,"Beam Revised","")</f>
        <v>#N/A</v>
      </c>
      <c r="AB764" s="7" t="e">
        <f>IF(VLOOKUP($A764,'Concrete Beam Schedule'!$A$2:$Q$2902,AB$2,0)&lt;&gt;L764,"Beam Revised","")</f>
        <v>#N/A</v>
      </c>
      <c r="AC764" s="7" t="e">
        <f>IF(VLOOKUP($A764,'Concrete Beam Schedule'!$A$2:$Q$2902,AC$2,0)&lt;&gt;M764,"Beam Revised","")</f>
        <v>#N/A</v>
      </c>
      <c r="AD764" s="7" t="e">
        <f>IF(VLOOKUP($A764,'Concrete Beam Schedule'!$A$2:$Q$2902,AD$2,0)&lt;&gt;N764,"Beam Revised","")</f>
        <v>#N/A</v>
      </c>
      <c r="AE764" s="7" t="e">
        <f>IF(VLOOKUP($A764,'Concrete Beam Schedule'!$A$2:$Q$2902,AE$2,0)&lt;&gt;O764,"Beam Revised","")</f>
        <v>#N/A</v>
      </c>
    </row>
    <row r="765" spans="17:31" ht="13.2" x14ac:dyDescent="0.25">
      <c r="Q765" s="7">
        <f t="shared" si="11"/>
        <v>0</v>
      </c>
      <c r="R765" s="7" t="e">
        <f>IF(VLOOKUP($A765,'Concrete Beam Schedule'!$A$2:$Q$2902,R$2,0)&lt;&gt;B765,VLOOKUP($A765,'Concrete Beam Schedule'!$A$2:$Q$2902,R$2,0),"")</f>
        <v>#N/A</v>
      </c>
      <c r="S765" s="7" t="e">
        <f>IF(VLOOKUP($A765,'Concrete Beam Schedule'!$A$2:$Q$2902,S$2,0)&lt;&gt;C765,VLOOKUP($A765,'Concrete Beam Schedule'!$A$2:$Q$2902,S$2,0),"")</f>
        <v>#N/A</v>
      </c>
      <c r="T765" s="7" t="e">
        <f>IF(VLOOKUP($A765,'Concrete Beam Schedule'!$A$2:$Q$2902,T$2,0)&lt;&gt;D765,"Beam Revised","")</f>
        <v>#N/A</v>
      </c>
      <c r="U765" s="7" t="e">
        <f>IF(VLOOKUP($A765,'Concrete Beam Schedule'!$A$2:$Q$2902,U$2,0)&lt;&gt;E765,"Beam Revised","")</f>
        <v>#N/A</v>
      </c>
      <c r="V765" s="7" t="e">
        <f>IF(VLOOKUP($A765,'Concrete Beam Schedule'!$A$2:$Q$2902,V$2,0)&lt;&gt;F765,"Beam Revised","")</f>
        <v>#N/A</v>
      </c>
      <c r="W765" s="7" t="e">
        <f>IF(VLOOKUP($A765,'Concrete Beam Schedule'!$A$2:$Q$2902,W$2,0)&lt;&gt;G765,"Beam Revised","")</f>
        <v>#N/A</v>
      </c>
      <c r="X765" s="7" t="e">
        <f>IF(VLOOKUP($A765,'Concrete Beam Schedule'!$A$2:$Q$2902,X$2,0)&lt;&gt;H765,"Beam Revised","")</f>
        <v>#N/A</v>
      </c>
      <c r="Y765" s="7" t="e">
        <f>IF(VLOOKUP($A765,'Concrete Beam Schedule'!$A$2:$Q$2902,Y$2,0)&lt;&gt;I765,"Beam Revised","")</f>
        <v>#N/A</v>
      </c>
      <c r="Z765" s="7" t="e">
        <f>IF(VLOOKUP($A765,'Concrete Beam Schedule'!$A$2:$Q$2902,Z$2,0)&lt;&gt;J765,"Beam Revised","")</f>
        <v>#N/A</v>
      </c>
      <c r="AA765" s="7" t="e">
        <f>IF(VLOOKUP($A765,'Concrete Beam Schedule'!$A$2:$Q$2902,AA$2,0)&lt;&gt;K765,"Beam Revised","")</f>
        <v>#N/A</v>
      </c>
      <c r="AB765" s="7" t="e">
        <f>IF(VLOOKUP($A765,'Concrete Beam Schedule'!$A$2:$Q$2902,AB$2,0)&lt;&gt;L765,"Beam Revised","")</f>
        <v>#N/A</v>
      </c>
      <c r="AC765" s="7" t="e">
        <f>IF(VLOOKUP($A765,'Concrete Beam Schedule'!$A$2:$Q$2902,AC$2,0)&lt;&gt;M765,"Beam Revised","")</f>
        <v>#N/A</v>
      </c>
      <c r="AD765" s="7" t="e">
        <f>IF(VLOOKUP($A765,'Concrete Beam Schedule'!$A$2:$Q$2902,AD$2,0)&lt;&gt;N765,"Beam Revised","")</f>
        <v>#N/A</v>
      </c>
      <c r="AE765" s="7" t="e">
        <f>IF(VLOOKUP($A765,'Concrete Beam Schedule'!$A$2:$Q$2902,AE$2,0)&lt;&gt;O765,"Beam Revised","")</f>
        <v>#N/A</v>
      </c>
    </row>
    <row r="766" spans="17:31" ht="13.2" x14ac:dyDescent="0.25">
      <c r="Q766" s="7">
        <f t="shared" si="11"/>
        <v>0</v>
      </c>
      <c r="R766" s="7" t="e">
        <f>IF(VLOOKUP($A766,'Concrete Beam Schedule'!$A$2:$Q$2902,R$2,0)&lt;&gt;B766,VLOOKUP($A766,'Concrete Beam Schedule'!$A$2:$Q$2902,R$2,0),"")</f>
        <v>#N/A</v>
      </c>
      <c r="S766" s="7" t="e">
        <f>IF(VLOOKUP($A766,'Concrete Beam Schedule'!$A$2:$Q$2902,S$2,0)&lt;&gt;C766,VLOOKUP($A766,'Concrete Beam Schedule'!$A$2:$Q$2902,S$2,0),"")</f>
        <v>#N/A</v>
      </c>
      <c r="T766" s="7" t="e">
        <f>IF(VLOOKUP($A766,'Concrete Beam Schedule'!$A$2:$Q$2902,T$2,0)&lt;&gt;D766,"Beam Revised","")</f>
        <v>#N/A</v>
      </c>
      <c r="U766" s="7" t="e">
        <f>IF(VLOOKUP($A766,'Concrete Beam Schedule'!$A$2:$Q$2902,U$2,0)&lt;&gt;E766,"Beam Revised","")</f>
        <v>#N/A</v>
      </c>
      <c r="V766" s="7" t="e">
        <f>IF(VLOOKUP($A766,'Concrete Beam Schedule'!$A$2:$Q$2902,V$2,0)&lt;&gt;F766,"Beam Revised","")</f>
        <v>#N/A</v>
      </c>
      <c r="W766" s="7" t="e">
        <f>IF(VLOOKUP($A766,'Concrete Beam Schedule'!$A$2:$Q$2902,W$2,0)&lt;&gt;G766,"Beam Revised","")</f>
        <v>#N/A</v>
      </c>
      <c r="X766" s="7" t="e">
        <f>IF(VLOOKUP($A766,'Concrete Beam Schedule'!$A$2:$Q$2902,X$2,0)&lt;&gt;H766,"Beam Revised","")</f>
        <v>#N/A</v>
      </c>
      <c r="Y766" s="7" t="e">
        <f>IF(VLOOKUP($A766,'Concrete Beam Schedule'!$A$2:$Q$2902,Y$2,0)&lt;&gt;I766,"Beam Revised","")</f>
        <v>#N/A</v>
      </c>
      <c r="Z766" s="7" t="e">
        <f>IF(VLOOKUP($A766,'Concrete Beam Schedule'!$A$2:$Q$2902,Z$2,0)&lt;&gt;J766,"Beam Revised","")</f>
        <v>#N/A</v>
      </c>
      <c r="AA766" s="7" t="e">
        <f>IF(VLOOKUP($A766,'Concrete Beam Schedule'!$A$2:$Q$2902,AA$2,0)&lt;&gt;K766,"Beam Revised","")</f>
        <v>#N/A</v>
      </c>
      <c r="AB766" s="7" t="e">
        <f>IF(VLOOKUP($A766,'Concrete Beam Schedule'!$A$2:$Q$2902,AB$2,0)&lt;&gt;L766,"Beam Revised","")</f>
        <v>#N/A</v>
      </c>
      <c r="AC766" s="7" t="e">
        <f>IF(VLOOKUP($A766,'Concrete Beam Schedule'!$A$2:$Q$2902,AC$2,0)&lt;&gt;M766,"Beam Revised","")</f>
        <v>#N/A</v>
      </c>
      <c r="AD766" s="7" t="e">
        <f>IF(VLOOKUP($A766,'Concrete Beam Schedule'!$A$2:$Q$2902,AD$2,0)&lt;&gt;N766,"Beam Revised","")</f>
        <v>#N/A</v>
      </c>
      <c r="AE766" s="7" t="e">
        <f>IF(VLOOKUP($A766,'Concrete Beam Schedule'!$A$2:$Q$2902,AE$2,0)&lt;&gt;O766,"Beam Revised","")</f>
        <v>#N/A</v>
      </c>
    </row>
    <row r="767" spans="17:31" ht="13.2" x14ac:dyDescent="0.25">
      <c r="Q767" s="7">
        <f t="shared" si="11"/>
        <v>0</v>
      </c>
      <c r="R767" s="7" t="e">
        <f>IF(VLOOKUP($A767,'Concrete Beam Schedule'!$A$2:$Q$2902,R$2,0)&lt;&gt;B767,VLOOKUP($A767,'Concrete Beam Schedule'!$A$2:$Q$2902,R$2,0),"")</f>
        <v>#N/A</v>
      </c>
      <c r="S767" s="7" t="e">
        <f>IF(VLOOKUP($A767,'Concrete Beam Schedule'!$A$2:$Q$2902,S$2,0)&lt;&gt;C767,VLOOKUP($A767,'Concrete Beam Schedule'!$A$2:$Q$2902,S$2,0),"")</f>
        <v>#N/A</v>
      </c>
      <c r="T767" s="7" t="e">
        <f>IF(VLOOKUP($A767,'Concrete Beam Schedule'!$A$2:$Q$2902,T$2,0)&lt;&gt;D767,"Beam Revised","")</f>
        <v>#N/A</v>
      </c>
      <c r="U767" s="7" t="e">
        <f>IF(VLOOKUP($A767,'Concrete Beam Schedule'!$A$2:$Q$2902,U$2,0)&lt;&gt;E767,"Beam Revised","")</f>
        <v>#N/A</v>
      </c>
      <c r="V767" s="7" t="e">
        <f>IF(VLOOKUP($A767,'Concrete Beam Schedule'!$A$2:$Q$2902,V$2,0)&lt;&gt;F767,"Beam Revised","")</f>
        <v>#N/A</v>
      </c>
      <c r="W767" s="7" t="e">
        <f>IF(VLOOKUP($A767,'Concrete Beam Schedule'!$A$2:$Q$2902,W$2,0)&lt;&gt;G767,"Beam Revised","")</f>
        <v>#N/A</v>
      </c>
      <c r="X767" s="7" t="e">
        <f>IF(VLOOKUP($A767,'Concrete Beam Schedule'!$A$2:$Q$2902,X$2,0)&lt;&gt;H767,"Beam Revised","")</f>
        <v>#N/A</v>
      </c>
      <c r="Y767" s="7" t="e">
        <f>IF(VLOOKUP($A767,'Concrete Beam Schedule'!$A$2:$Q$2902,Y$2,0)&lt;&gt;I767,"Beam Revised","")</f>
        <v>#N/A</v>
      </c>
      <c r="Z767" s="7" t="e">
        <f>IF(VLOOKUP($A767,'Concrete Beam Schedule'!$A$2:$Q$2902,Z$2,0)&lt;&gt;J767,"Beam Revised","")</f>
        <v>#N/A</v>
      </c>
      <c r="AA767" s="7" t="e">
        <f>IF(VLOOKUP($A767,'Concrete Beam Schedule'!$A$2:$Q$2902,AA$2,0)&lt;&gt;K767,"Beam Revised","")</f>
        <v>#N/A</v>
      </c>
      <c r="AB767" s="7" t="e">
        <f>IF(VLOOKUP($A767,'Concrete Beam Schedule'!$A$2:$Q$2902,AB$2,0)&lt;&gt;L767,"Beam Revised","")</f>
        <v>#N/A</v>
      </c>
      <c r="AC767" s="7" t="e">
        <f>IF(VLOOKUP($A767,'Concrete Beam Schedule'!$A$2:$Q$2902,AC$2,0)&lt;&gt;M767,"Beam Revised","")</f>
        <v>#N/A</v>
      </c>
      <c r="AD767" s="7" t="e">
        <f>IF(VLOOKUP($A767,'Concrete Beam Schedule'!$A$2:$Q$2902,AD$2,0)&lt;&gt;N767,"Beam Revised","")</f>
        <v>#N/A</v>
      </c>
      <c r="AE767" s="7" t="e">
        <f>IF(VLOOKUP($A767,'Concrete Beam Schedule'!$A$2:$Q$2902,AE$2,0)&lt;&gt;O767,"Beam Revised","")</f>
        <v>#N/A</v>
      </c>
    </row>
    <row r="768" spans="17:31" ht="13.2" x14ac:dyDescent="0.25">
      <c r="Q768" s="7">
        <f t="shared" si="11"/>
        <v>0</v>
      </c>
      <c r="R768" s="7" t="e">
        <f>IF(VLOOKUP($A768,'Concrete Beam Schedule'!$A$2:$Q$2902,R$2,0)&lt;&gt;B768,VLOOKUP($A768,'Concrete Beam Schedule'!$A$2:$Q$2902,R$2,0),"")</f>
        <v>#N/A</v>
      </c>
      <c r="S768" s="7" t="e">
        <f>IF(VLOOKUP($A768,'Concrete Beam Schedule'!$A$2:$Q$2902,S$2,0)&lt;&gt;C768,VLOOKUP($A768,'Concrete Beam Schedule'!$A$2:$Q$2902,S$2,0),"")</f>
        <v>#N/A</v>
      </c>
      <c r="T768" s="7" t="e">
        <f>IF(VLOOKUP($A768,'Concrete Beam Schedule'!$A$2:$Q$2902,T$2,0)&lt;&gt;D768,"Beam Revised","")</f>
        <v>#N/A</v>
      </c>
      <c r="U768" s="7" t="e">
        <f>IF(VLOOKUP($A768,'Concrete Beam Schedule'!$A$2:$Q$2902,U$2,0)&lt;&gt;E768,"Beam Revised","")</f>
        <v>#N/A</v>
      </c>
      <c r="V768" s="7" t="e">
        <f>IF(VLOOKUP($A768,'Concrete Beam Schedule'!$A$2:$Q$2902,V$2,0)&lt;&gt;F768,"Beam Revised","")</f>
        <v>#N/A</v>
      </c>
      <c r="W768" s="7" t="e">
        <f>IF(VLOOKUP($A768,'Concrete Beam Schedule'!$A$2:$Q$2902,W$2,0)&lt;&gt;G768,"Beam Revised","")</f>
        <v>#N/A</v>
      </c>
      <c r="X768" s="7" t="e">
        <f>IF(VLOOKUP($A768,'Concrete Beam Schedule'!$A$2:$Q$2902,X$2,0)&lt;&gt;H768,"Beam Revised","")</f>
        <v>#N/A</v>
      </c>
      <c r="Y768" s="7" t="e">
        <f>IF(VLOOKUP($A768,'Concrete Beam Schedule'!$A$2:$Q$2902,Y$2,0)&lt;&gt;I768,"Beam Revised","")</f>
        <v>#N/A</v>
      </c>
      <c r="Z768" s="7" t="e">
        <f>IF(VLOOKUP($A768,'Concrete Beam Schedule'!$A$2:$Q$2902,Z$2,0)&lt;&gt;J768,"Beam Revised","")</f>
        <v>#N/A</v>
      </c>
      <c r="AA768" s="7" t="e">
        <f>IF(VLOOKUP($A768,'Concrete Beam Schedule'!$A$2:$Q$2902,AA$2,0)&lt;&gt;K768,"Beam Revised","")</f>
        <v>#N/A</v>
      </c>
      <c r="AB768" s="7" t="e">
        <f>IF(VLOOKUP($A768,'Concrete Beam Schedule'!$A$2:$Q$2902,AB$2,0)&lt;&gt;L768,"Beam Revised","")</f>
        <v>#N/A</v>
      </c>
      <c r="AC768" s="7" t="e">
        <f>IF(VLOOKUP($A768,'Concrete Beam Schedule'!$A$2:$Q$2902,AC$2,0)&lt;&gt;M768,"Beam Revised","")</f>
        <v>#N/A</v>
      </c>
      <c r="AD768" s="7" t="e">
        <f>IF(VLOOKUP($A768,'Concrete Beam Schedule'!$A$2:$Q$2902,AD$2,0)&lt;&gt;N768,"Beam Revised","")</f>
        <v>#N/A</v>
      </c>
      <c r="AE768" s="7" t="e">
        <f>IF(VLOOKUP($A768,'Concrete Beam Schedule'!$A$2:$Q$2902,AE$2,0)&lt;&gt;O768,"Beam Revised","")</f>
        <v>#N/A</v>
      </c>
    </row>
    <row r="769" spans="17:31" ht="13.2" x14ac:dyDescent="0.25">
      <c r="Q769" s="7">
        <f t="shared" si="11"/>
        <v>0</v>
      </c>
      <c r="R769" s="7" t="e">
        <f>IF(VLOOKUP($A769,'Concrete Beam Schedule'!$A$2:$Q$2902,R$2,0)&lt;&gt;B769,VLOOKUP($A769,'Concrete Beam Schedule'!$A$2:$Q$2902,R$2,0),"")</f>
        <v>#N/A</v>
      </c>
      <c r="S769" s="7" t="e">
        <f>IF(VLOOKUP($A769,'Concrete Beam Schedule'!$A$2:$Q$2902,S$2,0)&lt;&gt;C769,VLOOKUP($A769,'Concrete Beam Schedule'!$A$2:$Q$2902,S$2,0),"")</f>
        <v>#N/A</v>
      </c>
      <c r="T769" s="7" t="e">
        <f>IF(VLOOKUP($A769,'Concrete Beam Schedule'!$A$2:$Q$2902,T$2,0)&lt;&gt;D769,"Beam Revised","")</f>
        <v>#N/A</v>
      </c>
      <c r="U769" s="7" t="e">
        <f>IF(VLOOKUP($A769,'Concrete Beam Schedule'!$A$2:$Q$2902,U$2,0)&lt;&gt;E769,"Beam Revised","")</f>
        <v>#N/A</v>
      </c>
      <c r="V769" s="7" t="e">
        <f>IF(VLOOKUP($A769,'Concrete Beam Schedule'!$A$2:$Q$2902,V$2,0)&lt;&gt;F769,"Beam Revised","")</f>
        <v>#N/A</v>
      </c>
      <c r="W769" s="7" t="e">
        <f>IF(VLOOKUP($A769,'Concrete Beam Schedule'!$A$2:$Q$2902,W$2,0)&lt;&gt;G769,"Beam Revised","")</f>
        <v>#N/A</v>
      </c>
      <c r="X769" s="7" t="e">
        <f>IF(VLOOKUP($A769,'Concrete Beam Schedule'!$A$2:$Q$2902,X$2,0)&lt;&gt;H769,"Beam Revised","")</f>
        <v>#N/A</v>
      </c>
      <c r="Y769" s="7" t="e">
        <f>IF(VLOOKUP($A769,'Concrete Beam Schedule'!$A$2:$Q$2902,Y$2,0)&lt;&gt;I769,"Beam Revised","")</f>
        <v>#N/A</v>
      </c>
      <c r="Z769" s="7" t="e">
        <f>IF(VLOOKUP($A769,'Concrete Beam Schedule'!$A$2:$Q$2902,Z$2,0)&lt;&gt;J769,"Beam Revised","")</f>
        <v>#N/A</v>
      </c>
      <c r="AA769" s="7" t="e">
        <f>IF(VLOOKUP($A769,'Concrete Beam Schedule'!$A$2:$Q$2902,AA$2,0)&lt;&gt;K769,"Beam Revised","")</f>
        <v>#N/A</v>
      </c>
      <c r="AB769" s="7" t="e">
        <f>IF(VLOOKUP($A769,'Concrete Beam Schedule'!$A$2:$Q$2902,AB$2,0)&lt;&gt;L769,"Beam Revised","")</f>
        <v>#N/A</v>
      </c>
      <c r="AC769" s="7" t="e">
        <f>IF(VLOOKUP($A769,'Concrete Beam Schedule'!$A$2:$Q$2902,AC$2,0)&lt;&gt;M769,"Beam Revised","")</f>
        <v>#N/A</v>
      </c>
      <c r="AD769" s="7" t="e">
        <f>IF(VLOOKUP($A769,'Concrete Beam Schedule'!$A$2:$Q$2902,AD$2,0)&lt;&gt;N769,"Beam Revised","")</f>
        <v>#N/A</v>
      </c>
      <c r="AE769" s="7" t="e">
        <f>IF(VLOOKUP($A769,'Concrete Beam Schedule'!$A$2:$Q$2902,AE$2,0)&lt;&gt;O769,"Beam Revised","")</f>
        <v>#N/A</v>
      </c>
    </row>
    <row r="770" spans="17:31" ht="13.2" x14ac:dyDescent="0.25">
      <c r="Q770" s="7">
        <f t="shared" si="11"/>
        <v>0</v>
      </c>
      <c r="R770" s="7" t="e">
        <f>IF(VLOOKUP($A770,'Concrete Beam Schedule'!$A$2:$Q$2902,R$2,0)&lt;&gt;B770,VLOOKUP($A770,'Concrete Beam Schedule'!$A$2:$Q$2902,R$2,0),"")</f>
        <v>#N/A</v>
      </c>
      <c r="S770" s="7" t="e">
        <f>IF(VLOOKUP($A770,'Concrete Beam Schedule'!$A$2:$Q$2902,S$2,0)&lt;&gt;C770,VLOOKUP($A770,'Concrete Beam Schedule'!$A$2:$Q$2902,S$2,0),"")</f>
        <v>#N/A</v>
      </c>
      <c r="T770" s="7" t="e">
        <f>IF(VLOOKUP($A770,'Concrete Beam Schedule'!$A$2:$Q$2902,T$2,0)&lt;&gt;D770,"Beam Revised","")</f>
        <v>#N/A</v>
      </c>
      <c r="U770" s="7" t="e">
        <f>IF(VLOOKUP($A770,'Concrete Beam Schedule'!$A$2:$Q$2902,U$2,0)&lt;&gt;E770,"Beam Revised","")</f>
        <v>#N/A</v>
      </c>
      <c r="V770" s="7" t="e">
        <f>IF(VLOOKUP($A770,'Concrete Beam Schedule'!$A$2:$Q$2902,V$2,0)&lt;&gt;F770,"Beam Revised","")</f>
        <v>#N/A</v>
      </c>
      <c r="W770" s="7" t="e">
        <f>IF(VLOOKUP($A770,'Concrete Beam Schedule'!$A$2:$Q$2902,W$2,0)&lt;&gt;G770,"Beam Revised","")</f>
        <v>#N/A</v>
      </c>
      <c r="X770" s="7" t="e">
        <f>IF(VLOOKUP($A770,'Concrete Beam Schedule'!$A$2:$Q$2902,X$2,0)&lt;&gt;H770,"Beam Revised","")</f>
        <v>#N/A</v>
      </c>
      <c r="Y770" s="7" t="e">
        <f>IF(VLOOKUP($A770,'Concrete Beam Schedule'!$A$2:$Q$2902,Y$2,0)&lt;&gt;I770,"Beam Revised","")</f>
        <v>#N/A</v>
      </c>
      <c r="Z770" s="7" t="e">
        <f>IF(VLOOKUP($A770,'Concrete Beam Schedule'!$A$2:$Q$2902,Z$2,0)&lt;&gt;J770,"Beam Revised","")</f>
        <v>#N/A</v>
      </c>
      <c r="AA770" s="7" t="e">
        <f>IF(VLOOKUP($A770,'Concrete Beam Schedule'!$A$2:$Q$2902,AA$2,0)&lt;&gt;K770,"Beam Revised","")</f>
        <v>#N/A</v>
      </c>
      <c r="AB770" s="7" t="e">
        <f>IF(VLOOKUP($A770,'Concrete Beam Schedule'!$A$2:$Q$2902,AB$2,0)&lt;&gt;L770,"Beam Revised","")</f>
        <v>#N/A</v>
      </c>
      <c r="AC770" s="7" t="e">
        <f>IF(VLOOKUP($A770,'Concrete Beam Schedule'!$A$2:$Q$2902,AC$2,0)&lt;&gt;M770,"Beam Revised","")</f>
        <v>#N/A</v>
      </c>
      <c r="AD770" s="7" t="e">
        <f>IF(VLOOKUP($A770,'Concrete Beam Schedule'!$A$2:$Q$2902,AD$2,0)&lt;&gt;N770,"Beam Revised","")</f>
        <v>#N/A</v>
      </c>
      <c r="AE770" s="7" t="e">
        <f>IF(VLOOKUP($A770,'Concrete Beam Schedule'!$A$2:$Q$2902,AE$2,0)&lt;&gt;O770,"Beam Revised","")</f>
        <v>#N/A</v>
      </c>
    </row>
    <row r="771" spans="17:31" ht="13.2" x14ac:dyDescent="0.25">
      <c r="Q771" s="7">
        <f t="shared" si="11"/>
        <v>0</v>
      </c>
      <c r="R771" s="7" t="e">
        <f>IF(VLOOKUP($A771,'Concrete Beam Schedule'!$A$2:$Q$2902,R$2,0)&lt;&gt;B771,VLOOKUP($A771,'Concrete Beam Schedule'!$A$2:$Q$2902,R$2,0),"")</f>
        <v>#N/A</v>
      </c>
      <c r="S771" s="7" t="e">
        <f>IF(VLOOKUP($A771,'Concrete Beam Schedule'!$A$2:$Q$2902,S$2,0)&lt;&gt;C771,VLOOKUP($A771,'Concrete Beam Schedule'!$A$2:$Q$2902,S$2,0),"")</f>
        <v>#N/A</v>
      </c>
      <c r="T771" s="7" t="e">
        <f>IF(VLOOKUP($A771,'Concrete Beam Schedule'!$A$2:$Q$2902,T$2,0)&lt;&gt;D771,"Beam Revised","")</f>
        <v>#N/A</v>
      </c>
      <c r="U771" s="7" t="e">
        <f>IF(VLOOKUP($A771,'Concrete Beam Schedule'!$A$2:$Q$2902,U$2,0)&lt;&gt;E771,"Beam Revised","")</f>
        <v>#N/A</v>
      </c>
      <c r="V771" s="7" t="e">
        <f>IF(VLOOKUP($A771,'Concrete Beam Schedule'!$A$2:$Q$2902,V$2,0)&lt;&gt;F771,"Beam Revised","")</f>
        <v>#N/A</v>
      </c>
      <c r="W771" s="7" t="e">
        <f>IF(VLOOKUP($A771,'Concrete Beam Schedule'!$A$2:$Q$2902,W$2,0)&lt;&gt;G771,"Beam Revised","")</f>
        <v>#N/A</v>
      </c>
      <c r="X771" s="7" t="e">
        <f>IF(VLOOKUP($A771,'Concrete Beam Schedule'!$A$2:$Q$2902,X$2,0)&lt;&gt;H771,"Beam Revised","")</f>
        <v>#N/A</v>
      </c>
      <c r="Y771" s="7" t="e">
        <f>IF(VLOOKUP($A771,'Concrete Beam Schedule'!$A$2:$Q$2902,Y$2,0)&lt;&gt;I771,"Beam Revised","")</f>
        <v>#N/A</v>
      </c>
      <c r="Z771" s="7" t="e">
        <f>IF(VLOOKUP($A771,'Concrete Beam Schedule'!$A$2:$Q$2902,Z$2,0)&lt;&gt;J771,"Beam Revised","")</f>
        <v>#N/A</v>
      </c>
      <c r="AA771" s="7" t="e">
        <f>IF(VLOOKUP($A771,'Concrete Beam Schedule'!$A$2:$Q$2902,AA$2,0)&lt;&gt;K771,"Beam Revised","")</f>
        <v>#N/A</v>
      </c>
      <c r="AB771" s="7" t="e">
        <f>IF(VLOOKUP($A771,'Concrete Beam Schedule'!$A$2:$Q$2902,AB$2,0)&lt;&gt;L771,"Beam Revised","")</f>
        <v>#N/A</v>
      </c>
      <c r="AC771" s="7" t="e">
        <f>IF(VLOOKUP($A771,'Concrete Beam Schedule'!$A$2:$Q$2902,AC$2,0)&lt;&gt;M771,"Beam Revised","")</f>
        <v>#N/A</v>
      </c>
      <c r="AD771" s="7" t="e">
        <f>IF(VLOOKUP($A771,'Concrete Beam Schedule'!$A$2:$Q$2902,AD$2,0)&lt;&gt;N771,"Beam Revised","")</f>
        <v>#N/A</v>
      </c>
      <c r="AE771" s="7" t="e">
        <f>IF(VLOOKUP($A771,'Concrete Beam Schedule'!$A$2:$Q$2902,AE$2,0)&lt;&gt;O771,"Beam Revised","")</f>
        <v>#N/A</v>
      </c>
    </row>
    <row r="772" spans="17:31" ht="13.2" x14ac:dyDescent="0.25">
      <c r="Q772" s="7">
        <f t="shared" ref="Q772:Q835" si="12">A772</f>
        <v>0</v>
      </c>
      <c r="R772" s="7" t="e">
        <f>IF(VLOOKUP($A772,'Concrete Beam Schedule'!$A$2:$Q$2902,R$2,0)&lt;&gt;B772,VLOOKUP($A772,'Concrete Beam Schedule'!$A$2:$Q$2902,R$2,0),"")</f>
        <v>#N/A</v>
      </c>
      <c r="S772" s="7" t="e">
        <f>IF(VLOOKUP($A772,'Concrete Beam Schedule'!$A$2:$Q$2902,S$2,0)&lt;&gt;C772,VLOOKUP($A772,'Concrete Beam Schedule'!$A$2:$Q$2902,S$2,0),"")</f>
        <v>#N/A</v>
      </c>
      <c r="T772" s="7" t="e">
        <f>IF(VLOOKUP($A772,'Concrete Beam Schedule'!$A$2:$Q$2902,T$2,0)&lt;&gt;D772,"Beam Revised","")</f>
        <v>#N/A</v>
      </c>
      <c r="U772" s="7" t="e">
        <f>IF(VLOOKUP($A772,'Concrete Beam Schedule'!$A$2:$Q$2902,U$2,0)&lt;&gt;E772,"Beam Revised","")</f>
        <v>#N/A</v>
      </c>
      <c r="V772" s="7" t="e">
        <f>IF(VLOOKUP($A772,'Concrete Beam Schedule'!$A$2:$Q$2902,V$2,0)&lt;&gt;F772,"Beam Revised","")</f>
        <v>#N/A</v>
      </c>
      <c r="W772" s="7" t="e">
        <f>IF(VLOOKUP($A772,'Concrete Beam Schedule'!$A$2:$Q$2902,W$2,0)&lt;&gt;G772,"Beam Revised","")</f>
        <v>#N/A</v>
      </c>
      <c r="X772" s="7" t="e">
        <f>IF(VLOOKUP($A772,'Concrete Beam Schedule'!$A$2:$Q$2902,X$2,0)&lt;&gt;H772,"Beam Revised","")</f>
        <v>#N/A</v>
      </c>
      <c r="Y772" s="7" t="e">
        <f>IF(VLOOKUP($A772,'Concrete Beam Schedule'!$A$2:$Q$2902,Y$2,0)&lt;&gt;I772,"Beam Revised","")</f>
        <v>#N/A</v>
      </c>
      <c r="Z772" s="7" t="e">
        <f>IF(VLOOKUP($A772,'Concrete Beam Schedule'!$A$2:$Q$2902,Z$2,0)&lt;&gt;J772,"Beam Revised","")</f>
        <v>#N/A</v>
      </c>
      <c r="AA772" s="7" t="e">
        <f>IF(VLOOKUP($A772,'Concrete Beam Schedule'!$A$2:$Q$2902,AA$2,0)&lt;&gt;K772,"Beam Revised","")</f>
        <v>#N/A</v>
      </c>
      <c r="AB772" s="7" t="e">
        <f>IF(VLOOKUP($A772,'Concrete Beam Schedule'!$A$2:$Q$2902,AB$2,0)&lt;&gt;L772,"Beam Revised","")</f>
        <v>#N/A</v>
      </c>
      <c r="AC772" s="7" t="e">
        <f>IF(VLOOKUP($A772,'Concrete Beam Schedule'!$A$2:$Q$2902,AC$2,0)&lt;&gt;M772,"Beam Revised","")</f>
        <v>#N/A</v>
      </c>
      <c r="AD772" s="7" t="e">
        <f>IF(VLOOKUP($A772,'Concrete Beam Schedule'!$A$2:$Q$2902,AD$2,0)&lt;&gt;N772,"Beam Revised","")</f>
        <v>#N/A</v>
      </c>
      <c r="AE772" s="7" t="e">
        <f>IF(VLOOKUP($A772,'Concrete Beam Schedule'!$A$2:$Q$2902,AE$2,0)&lt;&gt;O772,"Beam Revised","")</f>
        <v>#N/A</v>
      </c>
    </row>
    <row r="773" spans="17:31" ht="13.2" x14ac:dyDescent="0.25">
      <c r="Q773" s="7">
        <f t="shared" si="12"/>
        <v>0</v>
      </c>
      <c r="R773" s="7" t="e">
        <f>IF(VLOOKUP($A773,'Concrete Beam Schedule'!$A$2:$Q$2902,R$2,0)&lt;&gt;B773,VLOOKUP($A773,'Concrete Beam Schedule'!$A$2:$Q$2902,R$2,0),"")</f>
        <v>#N/A</v>
      </c>
      <c r="S773" s="7" t="e">
        <f>IF(VLOOKUP($A773,'Concrete Beam Schedule'!$A$2:$Q$2902,S$2,0)&lt;&gt;C773,VLOOKUP($A773,'Concrete Beam Schedule'!$A$2:$Q$2902,S$2,0),"")</f>
        <v>#N/A</v>
      </c>
      <c r="T773" s="7" t="e">
        <f>IF(VLOOKUP($A773,'Concrete Beam Schedule'!$A$2:$Q$2902,T$2,0)&lt;&gt;D773,"Beam Revised","")</f>
        <v>#N/A</v>
      </c>
      <c r="U773" s="7" t="e">
        <f>IF(VLOOKUP($A773,'Concrete Beam Schedule'!$A$2:$Q$2902,U$2,0)&lt;&gt;E773,"Beam Revised","")</f>
        <v>#N/A</v>
      </c>
      <c r="V773" s="7" t="e">
        <f>IF(VLOOKUP($A773,'Concrete Beam Schedule'!$A$2:$Q$2902,V$2,0)&lt;&gt;F773,"Beam Revised","")</f>
        <v>#N/A</v>
      </c>
      <c r="W773" s="7" t="e">
        <f>IF(VLOOKUP($A773,'Concrete Beam Schedule'!$A$2:$Q$2902,W$2,0)&lt;&gt;G773,"Beam Revised","")</f>
        <v>#N/A</v>
      </c>
      <c r="X773" s="7" t="e">
        <f>IF(VLOOKUP($A773,'Concrete Beam Schedule'!$A$2:$Q$2902,X$2,0)&lt;&gt;H773,"Beam Revised","")</f>
        <v>#N/A</v>
      </c>
      <c r="Y773" s="7" t="e">
        <f>IF(VLOOKUP($A773,'Concrete Beam Schedule'!$A$2:$Q$2902,Y$2,0)&lt;&gt;I773,"Beam Revised","")</f>
        <v>#N/A</v>
      </c>
      <c r="Z773" s="7" t="e">
        <f>IF(VLOOKUP($A773,'Concrete Beam Schedule'!$A$2:$Q$2902,Z$2,0)&lt;&gt;J773,"Beam Revised","")</f>
        <v>#N/A</v>
      </c>
      <c r="AA773" s="7" t="e">
        <f>IF(VLOOKUP($A773,'Concrete Beam Schedule'!$A$2:$Q$2902,AA$2,0)&lt;&gt;K773,"Beam Revised","")</f>
        <v>#N/A</v>
      </c>
      <c r="AB773" s="7" t="e">
        <f>IF(VLOOKUP($A773,'Concrete Beam Schedule'!$A$2:$Q$2902,AB$2,0)&lt;&gt;L773,"Beam Revised","")</f>
        <v>#N/A</v>
      </c>
      <c r="AC773" s="7" t="e">
        <f>IF(VLOOKUP($A773,'Concrete Beam Schedule'!$A$2:$Q$2902,AC$2,0)&lt;&gt;M773,"Beam Revised","")</f>
        <v>#N/A</v>
      </c>
      <c r="AD773" s="7" t="e">
        <f>IF(VLOOKUP($A773,'Concrete Beam Schedule'!$A$2:$Q$2902,AD$2,0)&lt;&gt;N773,"Beam Revised","")</f>
        <v>#N/A</v>
      </c>
      <c r="AE773" s="7" t="e">
        <f>IF(VLOOKUP($A773,'Concrete Beam Schedule'!$A$2:$Q$2902,AE$2,0)&lt;&gt;O773,"Beam Revised","")</f>
        <v>#N/A</v>
      </c>
    </row>
    <row r="774" spans="17:31" ht="13.2" x14ac:dyDescent="0.25">
      <c r="Q774" s="7">
        <f t="shared" si="12"/>
        <v>0</v>
      </c>
      <c r="R774" s="7" t="e">
        <f>IF(VLOOKUP($A774,'Concrete Beam Schedule'!$A$2:$Q$2902,R$2,0)&lt;&gt;B774,VLOOKUP($A774,'Concrete Beam Schedule'!$A$2:$Q$2902,R$2,0),"")</f>
        <v>#N/A</v>
      </c>
      <c r="S774" s="7" t="e">
        <f>IF(VLOOKUP($A774,'Concrete Beam Schedule'!$A$2:$Q$2902,S$2,0)&lt;&gt;C774,VLOOKUP($A774,'Concrete Beam Schedule'!$A$2:$Q$2902,S$2,0),"")</f>
        <v>#N/A</v>
      </c>
      <c r="T774" s="7" t="e">
        <f>IF(VLOOKUP($A774,'Concrete Beam Schedule'!$A$2:$Q$2902,T$2,0)&lt;&gt;D774,"Beam Revised","")</f>
        <v>#N/A</v>
      </c>
      <c r="U774" s="7" t="e">
        <f>IF(VLOOKUP($A774,'Concrete Beam Schedule'!$A$2:$Q$2902,U$2,0)&lt;&gt;E774,"Beam Revised","")</f>
        <v>#N/A</v>
      </c>
      <c r="V774" s="7" t="e">
        <f>IF(VLOOKUP($A774,'Concrete Beam Schedule'!$A$2:$Q$2902,V$2,0)&lt;&gt;F774,"Beam Revised","")</f>
        <v>#N/A</v>
      </c>
      <c r="W774" s="7" t="e">
        <f>IF(VLOOKUP($A774,'Concrete Beam Schedule'!$A$2:$Q$2902,W$2,0)&lt;&gt;G774,"Beam Revised","")</f>
        <v>#N/A</v>
      </c>
      <c r="X774" s="7" t="e">
        <f>IF(VLOOKUP($A774,'Concrete Beam Schedule'!$A$2:$Q$2902,X$2,0)&lt;&gt;H774,"Beam Revised","")</f>
        <v>#N/A</v>
      </c>
      <c r="Y774" s="7" t="e">
        <f>IF(VLOOKUP($A774,'Concrete Beam Schedule'!$A$2:$Q$2902,Y$2,0)&lt;&gt;I774,"Beam Revised","")</f>
        <v>#N/A</v>
      </c>
      <c r="Z774" s="7" t="e">
        <f>IF(VLOOKUP($A774,'Concrete Beam Schedule'!$A$2:$Q$2902,Z$2,0)&lt;&gt;J774,"Beam Revised","")</f>
        <v>#N/A</v>
      </c>
      <c r="AA774" s="7" t="e">
        <f>IF(VLOOKUP($A774,'Concrete Beam Schedule'!$A$2:$Q$2902,AA$2,0)&lt;&gt;K774,"Beam Revised","")</f>
        <v>#N/A</v>
      </c>
      <c r="AB774" s="7" t="e">
        <f>IF(VLOOKUP($A774,'Concrete Beam Schedule'!$A$2:$Q$2902,AB$2,0)&lt;&gt;L774,"Beam Revised","")</f>
        <v>#N/A</v>
      </c>
      <c r="AC774" s="7" t="e">
        <f>IF(VLOOKUP($A774,'Concrete Beam Schedule'!$A$2:$Q$2902,AC$2,0)&lt;&gt;M774,"Beam Revised","")</f>
        <v>#N/A</v>
      </c>
      <c r="AD774" s="7" t="e">
        <f>IF(VLOOKUP($A774,'Concrete Beam Schedule'!$A$2:$Q$2902,AD$2,0)&lt;&gt;N774,"Beam Revised","")</f>
        <v>#N/A</v>
      </c>
      <c r="AE774" s="7" t="e">
        <f>IF(VLOOKUP($A774,'Concrete Beam Schedule'!$A$2:$Q$2902,AE$2,0)&lt;&gt;O774,"Beam Revised","")</f>
        <v>#N/A</v>
      </c>
    </row>
    <row r="775" spans="17:31" ht="13.2" x14ac:dyDescent="0.25">
      <c r="Q775" s="7">
        <f t="shared" si="12"/>
        <v>0</v>
      </c>
      <c r="R775" s="7" t="e">
        <f>IF(VLOOKUP($A775,'Concrete Beam Schedule'!$A$2:$Q$2902,R$2,0)&lt;&gt;B775,VLOOKUP($A775,'Concrete Beam Schedule'!$A$2:$Q$2902,R$2,0),"")</f>
        <v>#N/A</v>
      </c>
      <c r="S775" s="7" t="e">
        <f>IF(VLOOKUP($A775,'Concrete Beam Schedule'!$A$2:$Q$2902,S$2,0)&lt;&gt;C775,VLOOKUP($A775,'Concrete Beam Schedule'!$A$2:$Q$2902,S$2,0),"")</f>
        <v>#N/A</v>
      </c>
      <c r="T775" s="7" t="e">
        <f>IF(VLOOKUP($A775,'Concrete Beam Schedule'!$A$2:$Q$2902,T$2,0)&lt;&gt;D775,"Beam Revised","")</f>
        <v>#N/A</v>
      </c>
      <c r="U775" s="7" t="e">
        <f>IF(VLOOKUP($A775,'Concrete Beam Schedule'!$A$2:$Q$2902,U$2,0)&lt;&gt;E775,"Beam Revised","")</f>
        <v>#N/A</v>
      </c>
      <c r="V775" s="7" t="e">
        <f>IF(VLOOKUP($A775,'Concrete Beam Schedule'!$A$2:$Q$2902,V$2,0)&lt;&gt;F775,"Beam Revised","")</f>
        <v>#N/A</v>
      </c>
      <c r="W775" s="7" t="e">
        <f>IF(VLOOKUP($A775,'Concrete Beam Schedule'!$A$2:$Q$2902,W$2,0)&lt;&gt;G775,"Beam Revised","")</f>
        <v>#N/A</v>
      </c>
      <c r="X775" s="7" t="e">
        <f>IF(VLOOKUP($A775,'Concrete Beam Schedule'!$A$2:$Q$2902,X$2,0)&lt;&gt;H775,"Beam Revised","")</f>
        <v>#N/A</v>
      </c>
      <c r="Y775" s="7" t="e">
        <f>IF(VLOOKUP($A775,'Concrete Beam Schedule'!$A$2:$Q$2902,Y$2,0)&lt;&gt;I775,"Beam Revised","")</f>
        <v>#N/A</v>
      </c>
      <c r="Z775" s="7" t="e">
        <f>IF(VLOOKUP($A775,'Concrete Beam Schedule'!$A$2:$Q$2902,Z$2,0)&lt;&gt;J775,"Beam Revised","")</f>
        <v>#N/A</v>
      </c>
      <c r="AA775" s="7" t="e">
        <f>IF(VLOOKUP($A775,'Concrete Beam Schedule'!$A$2:$Q$2902,AA$2,0)&lt;&gt;K775,"Beam Revised","")</f>
        <v>#N/A</v>
      </c>
      <c r="AB775" s="7" t="e">
        <f>IF(VLOOKUP($A775,'Concrete Beam Schedule'!$A$2:$Q$2902,AB$2,0)&lt;&gt;L775,"Beam Revised","")</f>
        <v>#N/A</v>
      </c>
      <c r="AC775" s="7" t="e">
        <f>IF(VLOOKUP($A775,'Concrete Beam Schedule'!$A$2:$Q$2902,AC$2,0)&lt;&gt;M775,"Beam Revised","")</f>
        <v>#N/A</v>
      </c>
      <c r="AD775" s="7" t="e">
        <f>IF(VLOOKUP($A775,'Concrete Beam Schedule'!$A$2:$Q$2902,AD$2,0)&lt;&gt;N775,"Beam Revised","")</f>
        <v>#N/A</v>
      </c>
      <c r="AE775" s="7" t="e">
        <f>IF(VLOOKUP($A775,'Concrete Beam Schedule'!$A$2:$Q$2902,AE$2,0)&lt;&gt;O775,"Beam Revised","")</f>
        <v>#N/A</v>
      </c>
    </row>
    <row r="776" spans="17:31" ht="13.2" x14ac:dyDescent="0.25">
      <c r="Q776" s="7">
        <f t="shared" si="12"/>
        <v>0</v>
      </c>
      <c r="R776" s="7" t="e">
        <f>IF(VLOOKUP($A776,'Concrete Beam Schedule'!$A$2:$Q$2902,R$2,0)&lt;&gt;B776,VLOOKUP($A776,'Concrete Beam Schedule'!$A$2:$Q$2902,R$2,0),"")</f>
        <v>#N/A</v>
      </c>
      <c r="S776" s="7" t="e">
        <f>IF(VLOOKUP($A776,'Concrete Beam Schedule'!$A$2:$Q$2902,S$2,0)&lt;&gt;C776,VLOOKUP($A776,'Concrete Beam Schedule'!$A$2:$Q$2902,S$2,0),"")</f>
        <v>#N/A</v>
      </c>
      <c r="T776" s="7" t="e">
        <f>IF(VLOOKUP($A776,'Concrete Beam Schedule'!$A$2:$Q$2902,T$2,0)&lt;&gt;D776,"Beam Revised","")</f>
        <v>#N/A</v>
      </c>
      <c r="U776" s="7" t="e">
        <f>IF(VLOOKUP($A776,'Concrete Beam Schedule'!$A$2:$Q$2902,U$2,0)&lt;&gt;E776,"Beam Revised","")</f>
        <v>#N/A</v>
      </c>
      <c r="V776" s="7" t="e">
        <f>IF(VLOOKUP($A776,'Concrete Beam Schedule'!$A$2:$Q$2902,V$2,0)&lt;&gt;F776,"Beam Revised","")</f>
        <v>#N/A</v>
      </c>
      <c r="W776" s="7" t="e">
        <f>IF(VLOOKUP($A776,'Concrete Beam Schedule'!$A$2:$Q$2902,W$2,0)&lt;&gt;G776,"Beam Revised","")</f>
        <v>#N/A</v>
      </c>
      <c r="X776" s="7" t="e">
        <f>IF(VLOOKUP($A776,'Concrete Beam Schedule'!$A$2:$Q$2902,X$2,0)&lt;&gt;H776,"Beam Revised","")</f>
        <v>#N/A</v>
      </c>
      <c r="Y776" s="7" t="e">
        <f>IF(VLOOKUP($A776,'Concrete Beam Schedule'!$A$2:$Q$2902,Y$2,0)&lt;&gt;I776,"Beam Revised","")</f>
        <v>#N/A</v>
      </c>
      <c r="Z776" s="7" t="e">
        <f>IF(VLOOKUP($A776,'Concrete Beam Schedule'!$A$2:$Q$2902,Z$2,0)&lt;&gt;J776,"Beam Revised","")</f>
        <v>#N/A</v>
      </c>
      <c r="AA776" s="7" t="e">
        <f>IF(VLOOKUP($A776,'Concrete Beam Schedule'!$A$2:$Q$2902,AA$2,0)&lt;&gt;K776,"Beam Revised","")</f>
        <v>#N/A</v>
      </c>
      <c r="AB776" s="7" t="e">
        <f>IF(VLOOKUP($A776,'Concrete Beam Schedule'!$A$2:$Q$2902,AB$2,0)&lt;&gt;L776,"Beam Revised","")</f>
        <v>#N/A</v>
      </c>
      <c r="AC776" s="7" t="e">
        <f>IF(VLOOKUP($A776,'Concrete Beam Schedule'!$A$2:$Q$2902,AC$2,0)&lt;&gt;M776,"Beam Revised","")</f>
        <v>#N/A</v>
      </c>
      <c r="AD776" s="7" t="e">
        <f>IF(VLOOKUP($A776,'Concrete Beam Schedule'!$A$2:$Q$2902,AD$2,0)&lt;&gt;N776,"Beam Revised","")</f>
        <v>#N/A</v>
      </c>
      <c r="AE776" s="7" t="e">
        <f>IF(VLOOKUP($A776,'Concrete Beam Schedule'!$A$2:$Q$2902,AE$2,0)&lt;&gt;O776,"Beam Revised","")</f>
        <v>#N/A</v>
      </c>
    </row>
    <row r="777" spans="17:31" ht="13.2" x14ac:dyDescent="0.25">
      <c r="Q777" s="7">
        <f t="shared" si="12"/>
        <v>0</v>
      </c>
      <c r="R777" s="7" t="e">
        <f>IF(VLOOKUP($A777,'Concrete Beam Schedule'!$A$2:$Q$2902,R$2,0)&lt;&gt;B777,VLOOKUP($A777,'Concrete Beam Schedule'!$A$2:$Q$2902,R$2,0),"")</f>
        <v>#N/A</v>
      </c>
      <c r="S777" s="7" t="e">
        <f>IF(VLOOKUP($A777,'Concrete Beam Schedule'!$A$2:$Q$2902,S$2,0)&lt;&gt;C777,VLOOKUP($A777,'Concrete Beam Schedule'!$A$2:$Q$2902,S$2,0),"")</f>
        <v>#N/A</v>
      </c>
      <c r="T777" s="7" t="e">
        <f>IF(VLOOKUP($A777,'Concrete Beam Schedule'!$A$2:$Q$2902,T$2,0)&lt;&gt;D777,"Beam Revised","")</f>
        <v>#N/A</v>
      </c>
      <c r="U777" s="7" t="e">
        <f>IF(VLOOKUP($A777,'Concrete Beam Schedule'!$A$2:$Q$2902,U$2,0)&lt;&gt;E777,"Beam Revised","")</f>
        <v>#N/A</v>
      </c>
      <c r="V777" s="7" t="e">
        <f>IF(VLOOKUP($A777,'Concrete Beam Schedule'!$A$2:$Q$2902,V$2,0)&lt;&gt;F777,"Beam Revised","")</f>
        <v>#N/A</v>
      </c>
      <c r="W777" s="7" t="e">
        <f>IF(VLOOKUP($A777,'Concrete Beam Schedule'!$A$2:$Q$2902,W$2,0)&lt;&gt;G777,"Beam Revised","")</f>
        <v>#N/A</v>
      </c>
      <c r="X777" s="7" t="e">
        <f>IF(VLOOKUP($A777,'Concrete Beam Schedule'!$A$2:$Q$2902,X$2,0)&lt;&gt;H777,"Beam Revised","")</f>
        <v>#N/A</v>
      </c>
      <c r="Y777" s="7" t="e">
        <f>IF(VLOOKUP($A777,'Concrete Beam Schedule'!$A$2:$Q$2902,Y$2,0)&lt;&gt;I777,"Beam Revised","")</f>
        <v>#N/A</v>
      </c>
      <c r="Z777" s="7" t="e">
        <f>IF(VLOOKUP($A777,'Concrete Beam Schedule'!$A$2:$Q$2902,Z$2,0)&lt;&gt;J777,"Beam Revised","")</f>
        <v>#N/A</v>
      </c>
      <c r="AA777" s="7" t="e">
        <f>IF(VLOOKUP($A777,'Concrete Beam Schedule'!$A$2:$Q$2902,AA$2,0)&lt;&gt;K777,"Beam Revised","")</f>
        <v>#N/A</v>
      </c>
      <c r="AB777" s="7" t="e">
        <f>IF(VLOOKUP($A777,'Concrete Beam Schedule'!$A$2:$Q$2902,AB$2,0)&lt;&gt;L777,"Beam Revised","")</f>
        <v>#N/A</v>
      </c>
      <c r="AC777" s="7" t="e">
        <f>IF(VLOOKUP($A777,'Concrete Beam Schedule'!$A$2:$Q$2902,AC$2,0)&lt;&gt;M777,"Beam Revised","")</f>
        <v>#N/A</v>
      </c>
      <c r="AD777" s="7" t="e">
        <f>IF(VLOOKUP($A777,'Concrete Beam Schedule'!$A$2:$Q$2902,AD$2,0)&lt;&gt;N777,"Beam Revised","")</f>
        <v>#N/A</v>
      </c>
      <c r="AE777" s="7" t="e">
        <f>IF(VLOOKUP($A777,'Concrete Beam Schedule'!$A$2:$Q$2902,AE$2,0)&lt;&gt;O777,"Beam Revised","")</f>
        <v>#N/A</v>
      </c>
    </row>
    <row r="778" spans="17:31" ht="13.2" x14ac:dyDescent="0.25">
      <c r="Q778" s="7">
        <f t="shared" si="12"/>
        <v>0</v>
      </c>
      <c r="R778" s="7" t="e">
        <f>IF(VLOOKUP($A778,'Concrete Beam Schedule'!$A$2:$Q$2902,R$2,0)&lt;&gt;B778,VLOOKUP($A778,'Concrete Beam Schedule'!$A$2:$Q$2902,R$2,0),"")</f>
        <v>#N/A</v>
      </c>
      <c r="S778" s="7" t="e">
        <f>IF(VLOOKUP($A778,'Concrete Beam Schedule'!$A$2:$Q$2902,S$2,0)&lt;&gt;C778,VLOOKUP($A778,'Concrete Beam Schedule'!$A$2:$Q$2902,S$2,0),"")</f>
        <v>#N/A</v>
      </c>
      <c r="T778" s="7" t="e">
        <f>IF(VLOOKUP($A778,'Concrete Beam Schedule'!$A$2:$Q$2902,T$2,0)&lt;&gt;D778,"Beam Revised","")</f>
        <v>#N/A</v>
      </c>
      <c r="U778" s="7" t="e">
        <f>IF(VLOOKUP($A778,'Concrete Beam Schedule'!$A$2:$Q$2902,U$2,0)&lt;&gt;E778,"Beam Revised","")</f>
        <v>#N/A</v>
      </c>
      <c r="V778" s="7" t="e">
        <f>IF(VLOOKUP($A778,'Concrete Beam Schedule'!$A$2:$Q$2902,V$2,0)&lt;&gt;F778,"Beam Revised","")</f>
        <v>#N/A</v>
      </c>
      <c r="W778" s="7" t="e">
        <f>IF(VLOOKUP($A778,'Concrete Beam Schedule'!$A$2:$Q$2902,W$2,0)&lt;&gt;G778,"Beam Revised","")</f>
        <v>#N/A</v>
      </c>
      <c r="X778" s="7" t="e">
        <f>IF(VLOOKUP($A778,'Concrete Beam Schedule'!$A$2:$Q$2902,X$2,0)&lt;&gt;H778,"Beam Revised","")</f>
        <v>#N/A</v>
      </c>
      <c r="Y778" s="7" t="e">
        <f>IF(VLOOKUP($A778,'Concrete Beam Schedule'!$A$2:$Q$2902,Y$2,0)&lt;&gt;I778,"Beam Revised","")</f>
        <v>#N/A</v>
      </c>
      <c r="Z778" s="7" t="e">
        <f>IF(VLOOKUP($A778,'Concrete Beam Schedule'!$A$2:$Q$2902,Z$2,0)&lt;&gt;J778,"Beam Revised","")</f>
        <v>#N/A</v>
      </c>
      <c r="AA778" s="7" t="e">
        <f>IF(VLOOKUP($A778,'Concrete Beam Schedule'!$A$2:$Q$2902,AA$2,0)&lt;&gt;K778,"Beam Revised","")</f>
        <v>#N/A</v>
      </c>
      <c r="AB778" s="7" t="e">
        <f>IF(VLOOKUP($A778,'Concrete Beam Schedule'!$A$2:$Q$2902,AB$2,0)&lt;&gt;L778,"Beam Revised","")</f>
        <v>#N/A</v>
      </c>
      <c r="AC778" s="7" t="e">
        <f>IF(VLOOKUP($A778,'Concrete Beam Schedule'!$A$2:$Q$2902,AC$2,0)&lt;&gt;M778,"Beam Revised","")</f>
        <v>#N/A</v>
      </c>
      <c r="AD778" s="7" t="e">
        <f>IF(VLOOKUP($A778,'Concrete Beam Schedule'!$A$2:$Q$2902,AD$2,0)&lt;&gt;N778,"Beam Revised","")</f>
        <v>#N/A</v>
      </c>
      <c r="AE778" s="7" t="e">
        <f>IF(VLOOKUP($A778,'Concrete Beam Schedule'!$A$2:$Q$2902,AE$2,0)&lt;&gt;O778,"Beam Revised","")</f>
        <v>#N/A</v>
      </c>
    </row>
    <row r="779" spans="17:31" ht="13.2" x14ac:dyDescent="0.25">
      <c r="Q779" s="7">
        <f t="shared" si="12"/>
        <v>0</v>
      </c>
      <c r="R779" s="7" t="e">
        <f>IF(VLOOKUP($A779,'Concrete Beam Schedule'!$A$2:$Q$2902,R$2,0)&lt;&gt;B779,VLOOKUP($A779,'Concrete Beam Schedule'!$A$2:$Q$2902,R$2,0),"")</f>
        <v>#N/A</v>
      </c>
      <c r="S779" s="7" t="e">
        <f>IF(VLOOKUP($A779,'Concrete Beam Schedule'!$A$2:$Q$2902,S$2,0)&lt;&gt;C779,VLOOKUP($A779,'Concrete Beam Schedule'!$A$2:$Q$2902,S$2,0),"")</f>
        <v>#N/A</v>
      </c>
      <c r="T779" s="7" t="e">
        <f>IF(VLOOKUP($A779,'Concrete Beam Schedule'!$A$2:$Q$2902,T$2,0)&lt;&gt;D779,"Beam Revised","")</f>
        <v>#N/A</v>
      </c>
      <c r="U779" s="7" t="e">
        <f>IF(VLOOKUP($A779,'Concrete Beam Schedule'!$A$2:$Q$2902,U$2,0)&lt;&gt;E779,"Beam Revised","")</f>
        <v>#N/A</v>
      </c>
      <c r="V779" s="7" t="e">
        <f>IF(VLOOKUP($A779,'Concrete Beam Schedule'!$A$2:$Q$2902,V$2,0)&lt;&gt;F779,"Beam Revised","")</f>
        <v>#N/A</v>
      </c>
      <c r="W779" s="7" t="e">
        <f>IF(VLOOKUP($A779,'Concrete Beam Schedule'!$A$2:$Q$2902,W$2,0)&lt;&gt;G779,"Beam Revised","")</f>
        <v>#N/A</v>
      </c>
      <c r="X779" s="7" t="e">
        <f>IF(VLOOKUP($A779,'Concrete Beam Schedule'!$A$2:$Q$2902,X$2,0)&lt;&gt;H779,"Beam Revised","")</f>
        <v>#N/A</v>
      </c>
      <c r="Y779" s="7" t="e">
        <f>IF(VLOOKUP($A779,'Concrete Beam Schedule'!$A$2:$Q$2902,Y$2,0)&lt;&gt;I779,"Beam Revised","")</f>
        <v>#N/A</v>
      </c>
      <c r="Z779" s="7" t="e">
        <f>IF(VLOOKUP($A779,'Concrete Beam Schedule'!$A$2:$Q$2902,Z$2,0)&lt;&gt;J779,"Beam Revised","")</f>
        <v>#N/A</v>
      </c>
      <c r="AA779" s="7" t="e">
        <f>IF(VLOOKUP($A779,'Concrete Beam Schedule'!$A$2:$Q$2902,AA$2,0)&lt;&gt;K779,"Beam Revised","")</f>
        <v>#N/A</v>
      </c>
      <c r="AB779" s="7" t="e">
        <f>IF(VLOOKUP($A779,'Concrete Beam Schedule'!$A$2:$Q$2902,AB$2,0)&lt;&gt;L779,"Beam Revised","")</f>
        <v>#N/A</v>
      </c>
      <c r="AC779" s="7" t="e">
        <f>IF(VLOOKUP($A779,'Concrete Beam Schedule'!$A$2:$Q$2902,AC$2,0)&lt;&gt;M779,"Beam Revised","")</f>
        <v>#N/A</v>
      </c>
      <c r="AD779" s="7" t="e">
        <f>IF(VLOOKUP($A779,'Concrete Beam Schedule'!$A$2:$Q$2902,AD$2,0)&lt;&gt;N779,"Beam Revised","")</f>
        <v>#N/A</v>
      </c>
      <c r="AE779" s="7" t="e">
        <f>IF(VLOOKUP($A779,'Concrete Beam Schedule'!$A$2:$Q$2902,AE$2,0)&lt;&gt;O779,"Beam Revised","")</f>
        <v>#N/A</v>
      </c>
    </row>
    <row r="780" spans="17:31" ht="13.2" x14ac:dyDescent="0.25">
      <c r="Q780" s="7">
        <f t="shared" si="12"/>
        <v>0</v>
      </c>
      <c r="R780" s="7" t="e">
        <f>IF(VLOOKUP($A780,'Concrete Beam Schedule'!$A$2:$Q$2902,R$2,0)&lt;&gt;B780,VLOOKUP($A780,'Concrete Beam Schedule'!$A$2:$Q$2902,R$2,0),"")</f>
        <v>#N/A</v>
      </c>
      <c r="S780" s="7" t="e">
        <f>IF(VLOOKUP($A780,'Concrete Beam Schedule'!$A$2:$Q$2902,S$2,0)&lt;&gt;C780,VLOOKUP($A780,'Concrete Beam Schedule'!$A$2:$Q$2902,S$2,0),"")</f>
        <v>#N/A</v>
      </c>
      <c r="T780" s="7" t="e">
        <f>IF(VLOOKUP($A780,'Concrete Beam Schedule'!$A$2:$Q$2902,T$2,0)&lt;&gt;D780,"Beam Revised","")</f>
        <v>#N/A</v>
      </c>
      <c r="U780" s="7" t="e">
        <f>IF(VLOOKUP($A780,'Concrete Beam Schedule'!$A$2:$Q$2902,U$2,0)&lt;&gt;E780,"Beam Revised","")</f>
        <v>#N/A</v>
      </c>
      <c r="V780" s="7" t="e">
        <f>IF(VLOOKUP($A780,'Concrete Beam Schedule'!$A$2:$Q$2902,V$2,0)&lt;&gt;F780,"Beam Revised","")</f>
        <v>#N/A</v>
      </c>
      <c r="W780" s="7" t="e">
        <f>IF(VLOOKUP($A780,'Concrete Beam Schedule'!$A$2:$Q$2902,W$2,0)&lt;&gt;G780,"Beam Revised","")</f>
        <v>#N/A</v>
      </c>
      <c r="X780" s="7" t="e">
        <f>IF(VLOOKUP($A780,'Concrete Beam Schedule'!$A$2:$Q$2902,X$2,0)&lt;&gt;H780,"Beam Revised","")</f>
        <v>#N/A</v>
      </c>
      <c r="Y780" s="7" t="e">
        <f>IF(VLOOKUP($A780,'Concrete Beam Schedule'!$A$2:$Q$2902,Y$2,0)&lt;&gt;I780,"Beam Revised","")</f>
        <v>#N/A</v>
      </c>
      <c r="Z780" s="7" t="e">
        <f>IF(VLOOKUP($A780,'Concrete Beam Schedule'!$A$2:$Q$2902,Z$2,0)&lt;&gt;J780,"Beam Revised","")</f>
        <v>#N/A</v>
      </c>
      <c r="AA780" s="7" t="e">
        <f>IF(VLOOKUP($A780,'Concrete Beam Schedule'!$A$2:$Q$2902,AA$2,0)&lt;&gt;K780,"Beam Revised","")</f>
        <v>#N/A</v>
      </c>
      <c r="AB780" s="7" t="e">
        <f>IF(VLOOKUP($A780,'Concrete Beam Schedule'!$A$2:$Q$2902,AB$2,0)&lt;&gt;L780,"Beam Revised","")</f>
        <v>#N/A</v>
      </c>
      <c r="AC780" s="7" t="e">
        <f>IF(VLOOKUP($A780,'Concrete Beam Schedule'!$A$2:$Q$2902,AC$2,0)&lt;&gt;M780,"Beam Revised","")</f>
        <v>#N/A</v>
      </c>
      <c r="AD780" s="7" t="e">
        <f>IF(VLOOKUP($A780,'Concrete Beam Schedule'!$A$2:$Q$2902,AD$2,0)&lt;&gt;N780,"Beam Revised","")</f>
        <v>#N/A</v>
      </c>
      <c r="AE780" s="7" t="e">
        <f>IF(VLOOKUP($A780,'Concrete Beam Schedule'!$A$2:$Q$2902,AE$2,0)&lt;&gt;O780,"Beam Revised","")</f>
        <v>#N/A</v>
      </c>
    </row>
    <row r="781" spans="17:31" ht="13.2" x14ac:dyDescent="0.25">
      <c r="Q781" s="7">
        <f t="shared" si="12"/>
        <v>0</v>
      </c>
      <c r="R781" s="7" t="e">
        <f>IF(VLOOKUP($A781,'Concrete Beam Schedule'!$A$2:$Q$2902,R$2,0)&lt;&gt;B781,VLOOKUP($A781,'Concrete Beam Schedule'!$A$2:$Q$2902,R$2,0),"")</f>
        <v>#N/A</v>
      </c>
      <c r="S781" s="7" t="e">
        <f>IF(VLOOKUP($A781,'Concrete Beam Schedule'!$A$2:$Q$2902,S$2,0)&lt;&gt;C781,VLOOKUP($A781,'Concrete Beam Schedule'!$A$2:$Q$2902,S$2,0),"")</f>
        <v>#N/A</v>
      </c>
      <c r="T781" s="7" t="e">
        <f>IF(VLOOKUP($A781,'Concrete Beam Schedule'!$A$2:$Q$2902,T$2,0)&lt;&gt;D781,"Beam Revised","")</f>
        <v>#N/A</v>
      </c>
      <c r="U781" s="7" t="e">
        <f>IF(VLOOKUP($A781,'Concrete Beam Schedule'!$A$2:$Q$2902,U$2,0)&lt;&gt;E781,"Beam Revised","")</f>
        <v>#N/A</v>
      </c>
      <c r="V781" s="7" t="e">
        <f>IF(VLOOKUP($A781,'Concrete Beam Schedule'!$A$2:$Q$2902,V$2,0)&lt;&gt;F781,"Beam Revised","")</f>
        <v>#N/A</v>
      </c>
      <c r="W781" s="7" t="e">
        <f>IF(VLOOKUP($A781,'Concrete Beam Schedule'!$A$2:$Q$2902,W$2,0)&lt;&gt;G781,"Beam Revised","")</f>
        <v>#N/A</v>
      </c>
      <c r="X781" s="7" t="e">
        <f>IF(VLOOKUP($A781,'Concrete Beam Schedule'!$A$2:$Q$2902,X$2,0)&lt;&gt;H781,"Beam Revised","")</f>
        <v>#N/A</v>
      </c>
      <c r="Y781" s="7" t="e">
        <f>IF(VLOOKUP($A781,'Concrete Beam Schedule'!$A$2:$Q$2902,Y$2,0)&lt;&gt;I781,"Beam Revised","")</f>
        <v>#N/A</v>
      </c>
      <c r="Z781" s="7" t="e">
        <f>IF(VLOOKUP($A781,'Concrete Beam Schedule'!$A$2:$Q$2902,Z$2,0)&lt;&gt;J781,"Beam Revised","")</f>
        <v>#N/A</v>
      </c>
      <c r="AA781" s="7" t="e">
        <f>IF(VLOOKUP($A781,'Concrete Beam Schedule'!$A$2:$Q$2902,AA$2,0)&lt;&gt;K781,"Beam Revised","")</f>
        <v>#N/A</v>
      </c>
      <c r="AB781" s="7" t="e">
        <f>IF(VLOOKUP($A781,'Concrete Beam Schedule'!$A$2:$Q$2902,AB$2,0)&lt;&gt;L781,"Beam Revised","")</f>
        <v>#N/A</v>
      </c>
      <c r="AC781" s="7" t="e">
        <f>IF(VLOOKUP($A781,'Concrete Beam Schedule'!$A$2:$Q$2902,AC$2,0)&lt;&gt;M781,"Beam Revised","")</f>
        <v>#N/A</v>
      </c>
      <c r="AD781" s="7" t="e">
        <f>IF(VLOOKUP($A781,'Concrete Beam Schedule'!$A$2:$Q$2902,AD$2,0)&lt;&gt;N781,"Beam Revised","")</f>
        <v>#N/A</v>
      </c>
      <c r="AE781" s="7" t="e">
        <f>IF(VLOOKUP($A781,'Concrete Beam Schedule'!$A$2:$Q$2902,AE$2,0)&lt;&gt;O781,"Beam Revised","")</f>
        <v>#N/A</v>
      </c>
    </row>
    <row r="782" spans="17:31" ht="13.2" x14ac:dyDescent="0.25">
      <c r="Q782" s="7">
        <f t="shared" si="12"/>
        <v>0</v>
      </c>
      <c r="R782" s="7" t="e">
        <f>IF(VLOOKUP($A782,'Concrete Beam Schedule'!$A$2:$Q$2902,R$2,0)&lt;&gt;B782,VLOOKUP($A782,'Concrete Beam Schedule'!$A$2:$Q$2902,R$2,0),"")</f>
        <v>#N/A</v>
      </c>
      <c r="S782" s="7" t="e">
        <f>IF(VLOOKUP($A782,'Concrete Beam Schedule'!$A$2:$Q$2902,S$2,0)&lt;&gt;C782,VLOOKUP($A782,'Concrete Beam Schedule'!$A$2:$Q$2902,S$2,0),"")</f>
        <v>#N/A</v>
      </c>
      <c r="T782" s="7" t="e">
        <f>IF(VLOOKUP($A782,'Concrete Beam Schedule'!$A$2:$Q$2902,T$2,0)&lt;&gt;D782,"Beam Revised","")</f>
        <v>#N/A</v>
      </c>
      <c r="U782" s="7" t="e">
        <f>IF(VLOOKUP($A782,'Concrete Beam Schedule'!$A$2:$Q$2902,U$2,0)&lt;&gt;E782,"Beam Revised","")</f>
        <v>#N/A</v>
      </c>
      <c r="V782" s="7" t="e">
        <f>IF(VLOOKUP($A782,'Concrete Beam Schedule'!$A$2:$Q$2902,V$2,0)&lt;&gt;F782,"Beam Revised","")</f>
        <v>#N/A</v>
      </c>
      <c r="W782" s="7" t="e">
        <f>IF(VLOOKUP($A782,'Concrete Beam Schedule'!$A$2:$Q$2902,W$2,0)&lt;&gt;G782,"Beam Revised","")</f>
        <v>#N/A</v>
      </c>
      <c r="X782" s="7" t="e">
        <f>IF(VLOOKUP($A782,'Concrete Beam Schedule'!$A$2:$Q$2902,X$2,0)&lt;&gt;H782,"Beam Revised","")</f>
        <v>#N/A</v>
      </c>
      <c r="Y782" s="7" t="e">
        <f>IF(VLOOKUP($A782,'Concrete Beam Schedule'!$A$2:$Q$2902,Y$2,0)&lt;&gt;I782,"Beam Revised","")</f>
        <v>#N/A</v>
      </c>
      <c r="Z782" s="7" t="e">
        <f>IF(VLOOKUP($A782,'Concrete Beam Schedule'!$A$2:$Q$2902,Z$2,0)&lt;&gt;J782,"Beam Revised","")</f>
        <v>#N/A</v>
      </c>
      <c r="AA782" s="7" t="e">
        <f>IF(VLOOKUP($A782,'Concrete Beam Schedule'!$A$2:$Q$2902,AA$2,0)&lt;&gt;K782,"Beam Revised","")</f>
        <v>#N/A</v>
      </c>
      <c r="AB782" s="7" t="e">
        <f>IF(VLOOKUP($A782,'Concrete Beam Schedule'!$A$2:$Q$2902,AB$2,0)&lt;&gt;L782,"Beam Revised","")</f>
        <v>#N/A</v>
      </c>
      <c r="AC782" s="7" t="e">
        <f>IF(VLOOKUP($A782,'Concrete Beam Schedule'!$A$2:$Q$2902,AC$2,0)&lt;&gt;M782,"Beam Revised","")</f>
        <v>#N/A</v>
      </c>
      <c r="AD782" s="7" t="e">
        <f>IF(VLOOKUP($A782,'Concrete Beam Schedule'!$A$2:$Q$2902,AD$2,0)&lt;&gt;N782,"Beam Revised","")</f>
        <v>#N/A</v>
      </c>
      <c r="AE782" s="7" t="e">
        <f>IF(VLOOKUP($A782,'Concrete Beam Schedule'!$A$2:$Q$2902,AE$2,0)&lt;&gt;O782,"Beam Revised","")</f>
        <v>#N/A</v>
      </c>
    </row>
    <row r="783" spans="17:31" ht="13.2" x14ac:dyDescent="0.25">
      <c r="Q783" s="7">
        <f t="shared" si="12"/>
        <v>0</v>
      </c>
      <c r="R783" s="7" t="e">
        <f>IF(VLOOKUP($A783,'Concrete Beam Schedule'!$A$2:$Q$2902,R$2,0)&lt;&gt;B783,VLOOKUP($A783,'Concrete Beam Schedule'!$A$2:$Q$2902,R$2,0),"")</f>
        <v>#N/A</v>
      </c>
      <c r="S783" s="7" t="e">
        <f>IF(VLOOKUP($A783,'Concrete Beam Schedule'!$A$2:$Q$2902,S$2,0)&lt;&gt;C783,VLOOKUP($A783,'Concrete Beam Schedule'!$A$2:$Q$2902,S$2,0),"")</f>
        <v>#N/A</v>
      </c>
      <c r="T783" s="7" t="e">
        <f>IF(VLOOKUP($A783,'Concrete Beam Schedule'!$A$2:$Q$2902,T$2,0)&lt;&gt;D783,"Beam Revised","")</f>
        <v>#N/A</v>
      </c>
      <c r="U783" s="7" t="e">
        <f>IF(VLOOKUP($A783,'Concrete Beam Schedule'!$A$2:$Q$2902,U$2,0)&lt;&gt;E783,"Beam Revised","")</f>
        <v>#N/A</v>
      </c>
      <c r="V783" s="7" t="e">
        <f>IF(VLOOKUP($A783,'Concrete Beam Schedule'!$A$2:$Q$2902,V$2,0)&lt;&gt;F783,"Beam Revised","")</f>
        <v>#N/A</v>
      </c>
      <c r="W783" s="7" t="e">
        <f>IF(VLOOKUP($A783,'Concrete Beam Schedule'!$A$2:$Q$2902,W$2,0)&lt;&gt;G783,"Beam Revised","")</f>
        <v>#N/A</v>
      </c>
      <c r="X783" s="7" t="e">
        <f>IF(VLOOKUP($A783,'Concrete Beam Schedule'!$A$2:$Q$2902,X$2,0)&lt;&gt;H783,"Beam Revised","")</f>
        <v>#N/A</v>
      </c>
      <c r="Y783" s="7" t="e">
        <f>IF(VLOOKUP($A783,'Concrete Beam Schedule'!$A$2:$Q$2902,Y$2,0)&lt;&gt;I783,"Beam Revised","")</f>
        <v>#N/A</v>
      </c>
      <c r="Z783" s="7" t="e">
        <f>IF(VLOOKUP($A783,'Concrete Beam Schedule'!$A$2:$Q$2902,Z$2,0)&lt;&gt;J783,"Beam Revised","")</f>
        <v>#N/A</v>
      </c>
      <c r="AA783" s="7" t="e">
        <f>IF(VLOOKUP($A783,'Concrete Beam Schedule'!$A$2:$Q$2902,AA$2,0)&lt;&gt;K783,"Beam Revised","")</f>
        <v>#N/A</v>
      </c>
      <c r="AB783" s="7" t="e">
        <f>IF(VLOOKUP($A783,'Concrete Beam Schedule'!$A$2:$Q$2902,AB$2,0)&lt;&gt;L783,"Beam Revised","")</f>
        <v>#N/A</v>
      </c>
      <c r="AC783" s="7" t="e">
        <f>IF(VLOOKUP($A783,'Concrete Beam Schedule'!$A$2:$Q$2902,AC$2,0)&lt;&gt;M783,"Beam Revised","")</f>
        <v>#N/A</v>
      </c>
      <c r="AD783" s="7" t="e">
        <f>IF(VLOOKUP($A783,'Concrete Beam Schedule'!$A$2:$Q$2902,AD$2,0)&lt;&gt;N783,"Beam Revised","")</f>
        <v>#N/A</v>
      </c>
      <c r="AE783" s="7" t="e">
        <f>IF(VLOOKUP($A783,'Concrete Beam Schedule'!$A$2:$Q$2902,AE$2,0)&lt;&gt;O783,"Beam Revised","")</f>
        <v>#N/A</v>
      </c>
    </row>
    <row r="784" spans="17:31" ht="13.2" x14ac:dyDescent="0.25">
      <c r="Q784" s="7">
        <f t="shared" si="12"/>
        <v>0</v>
      </c>
      <c r="R784" s="7" t="e">
        <f>IF(VLOOKUP($A784,'Concrete Beam Schedule'!$A$2:$Q$2902,R$2,0)&lt;&gt;B784,VLOOKUP($A784,'Concrete Beam Schedule'!$A$2:$Q$2902,R$2,0),"")</f>
        <v>#N/A</v>
      </c>
      <c r="S784" s="7" t="e">
        <f>IF(VLOOKUP($A784,'Concrete Beam Schedule'!$A$2:$Q$2902,S$2,0)&lt;&gt;C784,VLOOKUP($A784,'Concrete Beam Schedule'!$A$2:$Q$2902,S$2,0),"")</f>
        <v>#N/A</v>
      </c>
      <c r="T784" s="7" t="e">
        <f>IF(VLOOKUP($A784,'Concrete Beam Schedule'!$A$2:$Q$2902,T$2,0)&lt;&gt;D784,"Beam Revised","")</f>
        <v>#N/A</v>
      </c>
      <c r="U784" s="7" t="e">
        <f>IF(VLOOKUP($A784,'Concrete Beam Schedule'!$A$2:$Q$2902,U$2,0)&lt;&gt;E784,"Beam Revised","")</f>
        <v>#N/A</v>
      </c>
      <c r="V784" s="7" t="e">
        <f>IF(VLOOKUP($A784,'Concrete Beam Schedule'!$A$2:$Q$2902,V$2,0)&lt;&gt;F784,"Beam Revised","")</f>
        <v>#N/A</v>
      </c>
      <c r="W784" s="7" t="e">
        <f>IF(VLOOKUP($A784,'Concrete Beam Schedule'!$A$2:$Q$2902,W$2,0)&lt;&gt;G784,"Beam Revised","")</f>
        <v>#N/A</v>
      </c>
      <c r="X784" s="7" t="e">
        <f>IF(VLOOKUP($A784,'Concrete Beam Schedule'!$A$2:$Q$2902,X$2,0)&lt;&gt;H784,"Beam Revised","")</f>
        <v>#N/A</v>
      </c>
      <c r="Y784" s="7" t="e">
        <f>IF(VLOOKUP($A784,'Concrete Beam Schedule'!$A$2:$Q$2902,Y$2,0)&lt;&gt;I784,"Beam Revised","")</f>
        <v>#N/A</v>
      </c>
      <c r="Z784" s="7" t="e">
        <f>IF(VLOOKUP($A784,'Concrete Beam Schedule'!$A$2:$Q$2902,Z$2,0)&lt;&gt;J784,"Beam Revised","")</f>
        <v>#N/A</v>
      </c>
      <c r="AA784" s="7" t="e">
        <f>IF(VLOOKUP($A784,'Concrete Beam Schedule'!$A$2:$Q$2902,AA$2,0)&lt;&gt;K784,"Beam Revised","")</f>
        <v>#N/A</v>
      </c>
      <c r="AB784" s="7" t="e">
        <f>IF(VLOOKUP($A784,'Concrete Beam Schedule'!$A$2:$Q$2902,AB$2,0)&lt;&gt;L784,"Beam Revised","")</f>
        <v>#N/A</v>
      </c>
      <c r="AC784" s="7" t="e">
        <f>IF(VLOOKUP($A784,'Concrete Beam Schedule'!$A$2:$Q$2902,AC$2,0)&lt;&gt;M784,"Beam Revised","")</f>
        <v>#N/A</v>
      </c>
      <c r="AD784" s="7" t="e">
        <f>IF(VLOOKUP($A784,'Concrete Beam Schedule'!$A$2:$Q$2902,AD$2,0)&lt;&gt;N784,"Beam Revised","")</f>
        <v>#N/A</v>
      </c>
      <c r="AE784" s="7" t="e">
        <f>IF(VLOOKUP($A784,'Concrete Beam Schedule'!$A$2:$Q$2902,AE$2,0)&lt;&gt;O784,"Beam Revised","")</f>
        <v>#N/A</v>
      </c>
    </row>
    <row r="785" spans="17:31" ht="13.2" x14ac:dyDescent="0.25">
      <c r="Q785" s="7">
        <f t="shared" si="12"/>
        <v>0</v>
      </c>
      <c r="R785" s="7" t="e">
        <f>IF(VLOOKUP($A785,'Concrete Beam Schedule'!$A$2:$Q$2902,R$2,0)&lt;&gt;B785,VLOOKUP($A785,'Concrete Beam Schedule'!$A$2:$Q$2902,R$2,0),"")</f>
        <v>#N/A</v>
      </c>
      <c r="S785" s="7" t="e">
        <f>IF(VLOOKUP($A785,'Concrete Beam Schedule'!$A$2:$Q$2902,S$2,0)&lt;&gt;C785,VLOOKUP($A785,'Concrete Beam Schedule'!$A$2:$Q$2902,S$2,0),"")</f>
        <v>#N/A</v>
      </c>
      <c r="T785" s="7" t="e">
        <f>IF(VLOOKUP($A785,'Concrete Beam Schedule'!$A$2:$Q$2902,T$2,0)&lt;&gt;D785,"Beam Revised","")</f>
        <v>#N/A</v>
      </c>
      <c r="U785" s="7" t="e">
        <f>IF(VLOOKUP($A785,'Concrete Beam Schedule'!$A$2:$Q$2902,U$2,0)&lt;&gt;E785,"Beam Revised","")</f>
        <v>#N/A</v>
      </c>
      <c r="V785" s="7" t="e">
        <f>IF(VLOOKUP($A785,'Concrete Beam Schedule'!$A$2:$Q$2902,V$2,0)&lt;&gt;F785,"Beam Revised","")</f>
        <v>#N/A</v>
      </c>
      <c r="W785" s="7" t="e">
        <f>IF(VLOOKUP($A785,'Concrete Beam Schedule'!$A$2:$Q$2902,W$2,0)&lt;&gt;G785,"Beam Revised","")</f>
        <v>#N/A</v>
      </c>
      <c r="X785" s="7" t="e">
        <f>IF(VLOOKUP($A785,'Concrete Beam Schedule'!$A$2:$Q$2902,X$2,0)&lt;&gt;H785,"Beam Revised","")</f>
        <v>#N/A</v>
      </c>
      <c r="Y785" s="7" t="e">
        <f>IF(VLOOKUP($A785,'Concrete Beam Schedule'!$A$2:$Q$2902,Y$2,0)&lt;&gt;I785,"Beam Revised","")</f>
        <v>#N/A</v>
      </c>
      <c r="Z785" s="7" t="e">
        <f>IF(VLOOKUP($A785,'Concrete Beam Schedule'!$A$2:$Q$2902,Z$2,0)&lt;&gt;J785,"Beam Revised","")</f>
        <v>#N/A</v>
      </c>
      <c r="AA785" s="7" t="e">
        <f>IF(VLOOKUP($A785,'Concrete Beam Schedule'!$A$2:$Q$2902,AA$2,0)&lt;&gt;K785,"Beam Revised","")</f>
        <v>#N/A</v>
      </c>
      <c r="AB785" s="7" t="e">
        <f>IF(VLOOKUP($A785,'Concrete Beam Schedule'!$A$2:$Q$2902,AB$2,0)&lt;&gt;L785,"Beam Revised","")</f>
        <v>#N/A</v>
      </c>
      <c r="AC785" s="7" t="e">
        <f>IF(VLOOKUP($A785,'Concrete Beam Schedule'!$A$2:$Q$2902,AC$2,0)&lt;&gt;M785,"Beam Revised","")</f>
        <v>#N/A</v>
      </c>
      <c r="AD785" s="7" t="e">
        <f>IF(VLOOKUP($A785,'Concrete Beam Schedule'!$A$2:$Q$2902,AD$2,0)&lt;&gt;N785,"Beam Revised","")</f>
        <v>#N/A</v>
      </c>
      <c r="AE785" s="7" t="e">
        <f>IF(VLOOKUP($A785,'Concrete Beam Schedule'!$A$2:$Q$2902,AE$2,0)&lt;&gt;O785,"Beam Revised","")</f>
        <v>#N/A</v>
      </c>
    </row>
    <row r="786" spans="17:31" ht="13.2" x14ac:dyDescent="0.25">
      <c r="Q786" s="7">
        <f t="shared" si="12"/>
        <v>0</v>
      </c>
      <c r="R786" s="7" t="e">
        <f>IF(VLOOKUP($A786,'Concrete Beam Schedule'!$A$2:$Q$2902,R$2,0)&lt;&gt;B786,VLOOKUP($A786,'Concrete Beam Schedule'!$A$2:$Q$2902,R$2,0),"")</f>
        <v>#N/A</v>
      </c>
      <c r="S786" s="7" t="e">
        <f>IF(VLOOKUP($A786,'Concrete Beam Schedule'!$A$2:$Q$2902,S$2,0)&lt;&gt;C786,VLOOKUP($A786,'Concrete Beam Schedule'!$A$2:$Q$2902,S$2,0),"")</f>
        <v>#N/A</v>
      </c>
      <c r="T786" s="7" t="e">
        <f>IF(VLOOKUP($A786,'Concrete Beam Schedule'!$A$2:$Q$2902,T$2,0)&lt;&gt;D786,"Beam Revised","")</f>
        <v>#N/A</v>
      </c>
      <c r="U786" s="7" t="e">
        <f>IF(VLOOKUP($A786,'Concrete Beam Schedule'!$A$2:$Q$2902,U$2,0)&lt;&gt;E786,"Beam Revised","")</f>
        <v>#N/A</v>
      </c>
      <c r="V786" s="7" t="e">
        <f>IF(VLOOKUP($A786,'Concrete Beam Schedule'!$A$2:$Q$2902,V$2,0)&lt;&gt;F786,"Beam Revised","")</f>
        <v>#N/A</v>
      </c>
      <c r="W786" s="7" t="e">
        <f>IF(VLOOKUP($A786,'Concrete Beam Schedule'!$A$2:$Q$2902,W$2,0)&lt;&gt;G786,"Beam Revised","")</f>
        <v>#N/A</v>
      </c>
      <c r="X786" s="7" t="e">
        <f>IF(VLOOKUP($A786,'Concrete Beam Schedule'!$A$2:$Q$2902,X$2,0)&lt;&gt;H786,"Beam Revised","")</f>
        <v>#N/A</v>
      </c>
      <c r="Y786" s="7" t="e">
        <f>IF(VLOOKUP($A786,'Concrete Beam Schedule'!$A$2:$Q$2902,Y$2,0)&lt;&gt;I786,"Beam Revised","")</f>
        <v>#N/A</v>
      </c>
      <c r="Z786" s="7" t="e">
        <f>IF(VLOOKUP($A786,'Concrete Beam Schedule'!$A$2:$Q$2902,Z$2,0)&lt;&gt;J786,"Beam Revised","")</f>
        <v>#N/A</v>
      </c>
      <c r="AA786" s="7" t="e">
        <f>IF(VLOOKUP($A786,'Concrete Beam Schedule'!$A$2:$Q$2902,AA$2,0)&lt;&gt;K786,"Beam Revised","")</f>
        <v>#N/A</v>
      </c>
      <c r="AB786" s="7" t="e">
        <f>IF(VLOOKUP($A786,'Concrete Beam Schedule'!$A$2:$Q$2902,AB$2,0)&lt;&gt;L786,"Beam Revised","")</f>
        <v>#N/A</v>
      </c>
      <c r="AC786" s="7" t="e">
        <f>IF(VLOOKUP($A786,'Concrete Beam Schedule'!$A$2:$Q$2902,AC$2,0)&lt;&gt;M786,"Beam Revised","")</f>
        <v>#N/A</v>
      </c>
      <c r="AD786" s="7" t="e">
        <f>IF(VLOOKUP($A786,'Concrete Beam Schedule'!$A$2:$Q$2902,AD$2,0)&lt;&gt;N786,"Beam Revised","")</f>
        <v>#N/A</v>
      </c>
      <c r="AE786" s="7" t="e">
        <f>IF(VLOOKUP($A786,'Concrete Beam Schedule'!$A$2:$Q$2902,AE$2,0)&lt;&gt;O786,"Beam Revised","")</f>
        <v>#N/A</v>
      </c>
    </row>
    <row r="787" spans="17:31" ht="13.2" x14ac:dyDescent="0.25">
      <c r="Q787" s="7">
        <f t="shared" si="12"/>
        <v>0</v>
      </c>
      <c r="R787" s="7" t="e">
        <f>IF(VLOOKUP($A787,'Concrete Beam Schedule'!$A$2:$Q$2902,R$2,0)&lt;&gt;B787,VLOOKUP($A787,'Concrete Beam Schedule'!$A$2:$Q$2902,R$2,0),"")</f>
        <v>#N/A</v>
      </c>
      <c r="S787" s="7" t="e">
        <f>IF(VLOOKUP($A787,'Concrete Beam Schedule'!$A$2:$Q$2902,S$2,0)&lt;&gt;C787,VLOOKUP($A787,'Concrete Beam Schedule'!$A$2:$Q$2902,S$2,0),"")</f>
        <v>#N/A</v>
      </c>
      <c r="T787" s="7" t="e">
        <f>IF(VLOOKUP($A787,'Concrete Beam Schedule'!$A$2:$Q$2902,T$2,0)&lt;&gt;D787,"Beam Revised","")</f>
        <v>#N/A</v>
      </c>
      <c r="U787" s="7" t="e">
        <f>IF(VLOOKUP($A787,'Concrete Beam Schedule'!$A$2:$Q$2902,U$2,0)&lt;&gt;E787,"Beam Revised","")</f>
        <v>#N/A</v>
      </c>
      <c r="V787" s="7" t="e">
        <f>IF(VLOOKUP($A787,'Concrete Beam Schedule'!$A$2:$Q$2902,V$2,0)&lt;&gt;F787,"Beam Revised","")</f>
        <v>#N/A</v>
      </c>
      <c r="W787" s="7" t="e">
        <f>IF(VLOOKUP($A787,'Concrete Beam Schedule'!$A$2:$Q$2902,W$2,0)&lt;&gt;G787,"Beam Revised","")</f>
        <v>#N/A</v>
      </c>
      <c r="X787" s="7" t="e">
        <f>IF(VLOOKUP($A787,'Concrete Beam Schedule'!$A$2:$Q$2902,X$2,0)&lt;&gt;H787,"Beam Revised","")</f>
        <v>#N/A</v>
      </c>
      <c r="Y787" s="7" t="e">
        <f>IF(VLOOKUP($A787,'Concrete Beam Schedule'!$A$2:$Q$2902,Y$2,0)&lt;&gt;I787,"Beam Revised","")</f>
        <v>#N/A</v>
      </c>
      <c r="Z787" s="7" t="e">
        <f>IF(VLOOKUP($A787,'Concrete Beam Schedule'!$A$2:$Q$2902,Z$2,0)&lt;&gt;J787,"Beam Revised","")</f>
        <v>#N/A</v>
      </c>
      <c r="AA787" s="7" t="e">
        <f>IF(VLOOKUP($A787,'Concrete Beam Schedule'!$A$2:$Q$2902,AA$2,0)&lt;&gt;K787,"Beam Revised","")</f>
        <v>#N/A</v>
      </c>
      <c r="AB787" s="7" t="e">
        <f>IF(VLOOKUP($A787,'Concrete Beam Schedule'!$A$2:$Q$2902,AB$2,0)&lt;&gt;L787,"Beam Revised","")</f>
        <v>#N/A</v>
      </c>
      <c r="AC787" s="7" t="e">
        <f>IF(VLOOKUP($A787,'Concrete Beam Schedule'!$A$2:$Q$2902,AC$2,0)&lt;&gt;M787,"Beam Revised","")</f>
        <v>#N/A</v>
      </c>
      <c r="AD787" s="7" t="e">
        <f>IF(VLOOKUP($A787,'Concrete Beam Schedule'!$A$2:$Q$2902,AD$2,0)&lt;&gt;N787,"Beam Revised","")</f>
        <v>#N/A</v>
      </c>
      <c r="AE787" s="7" t="e">
        <f>IF(VLOOKUP($A787,'Concrete Beam Schedule'!$A$2:$Q$2902,AE$2,0)&lt;&gt;O787,"Beam Revised","")</f>
        <v>#N/A</v>
      </c>
    </row>
    <row r="788" spans="17:31" ht="13.2" x14ac:dyDescent="0.25">
      <c r="Q788" s="7">
        <f t="shared" si="12"/>
        <v>0</v>
      </c>
      <c r="R788" s="7" t="e">
        <f>IF(VLOOKUP($A788,'Concrete Beam Schedule'!$A$2:$Q$2902,R$2,0)&lt;&gt;B788,VLOOKUP($A788,'Concrete Beam Schedule'!$A$2:$Q$2902,R$2,0),"")</f>
        <v>#N/A</v>
      </c>
      <c r="S788" s="7" t="e">
        <f>IF(VLOOKUP($A788,'Concrete Beam Schedule'!$A$2:$Q$2902,S$2,0)&lt;&gt;C788,VLOOKUP($A788,'Concrete Beam Schedule'!$A$2:$Q$2902,S$2,0),"")</f>
        <v>#N/A</v>
      </c>
      <c r="T788" s="7" t="e">
        <f>IF(VLOOKUP($A788,'Concrete Beam Schedule'!$A$2:$Q$2902,T$2,0)&lt;&gt;D788,"Beam Revised","")</f>
        <v>#N/A</v>
      </c>
      <c r="U788" s="7" t="e">
        <f>IF(VLOOKUP($A788,'Concrete Beam Schedule'!$A$2:$Q$2902,U$2,0)&lt;&gt;E788,"Beam Revised","")</f>
        <v>#N/A</v>
      </c>
      <c r="V788" s="7" t="e">
        <f>IF(VLOOKUP($A788,'Concrete Beam Schedule'!$A$2:$Q$2902,V$2,0)&lt;&gt;F788,"Beam Revised","")</f>
        <v>#N/A</v>
      </c>
      <c r="W788" s="7" t="e">
        <f>IF(VLOOKUP($A788,'Concrete Beam Schedule'!$A$2:$Q$2902,W$2,0)&lt;&gt;G788,"Beam Revised","")</f>
        <v>#N/A</v>
      </c>
      <c r="X788" s="7" t="e">
        <f>IF(VLOOKUP($A788,'Concrete Beam Schedule'!$A$2:$Q$2902,X$2,0)&lt;&gt;H788,"Beam Revised","")</f>
        <v>#N/A</v>
      </c>
      <c r="Y788" s="7" t="e">
        <f>IF(VLOOKUP($A788,'Concrete Beam Schedule'!$A$2:$Q$2902,Y$2,0)&lt;&gt;I788,"Beam Revised","")</f>
        <v>#N/A</v>
      </c>
      <c r="Z788" s="7" t="e">
        <f>IF(VLOOKUP($A788,'Concrete Beam Schedule'!$A$2:$Q$2902,Z$2,0)&lt;&gt;J788,"Beam Revised","")</f>
        <v>#N/A</v>
      </c>
      <c r="AA788" s="7" t="e">
        <f>IF(VLOOKUP($A788,'Concrete Beam Schedule'!$A$2:$Q$2902,AA$2,0)&lt;&gt;K788,"Beam Revised","")</f>
        <v>#N/A</v>
      </c>
      <c r="AB788" s="7" t="e">
        <f>IF(VLOOKUP($A788,'Concrete Beam Schedule'!$A$2:$Q$2902,AB$2,0)&lt;&gt;L788,"Beam Revised","")</f>
        <v>#N/A</v>
      </c>
      <c r="AC788" s="7" t="e">
        <f>IF(VLOOKUP($A788,'Concrete Beam Schedule'!$A$2:$Q$2902,AC$2,0)&lt;&gt;M788,"Beam Revised","")</f>
        <v>#N/A</v>
      </c>
      <c r="AD788" s="7" t="e">
        <f>IF(VLOOKUP($A788,'Concrete Beam Schedule'!$A$2:$Q$2902,AD$2,0)&lt;&gt;N788,"Beam Revised","")</f>
        <v>#N/A</v>
      </c>
      <c r="AE788" s="7" t="e">
        <f>IF(VLOOKUP($A788,'Concrete Beam Schedule'!$A$2:$Q$2902,AE$2,0)&lt;&gt;O788,"Beam Revised","")</f>
        <v>#N/A</v>
      </c>
    </row>
    <row r="789" spans="17:31" ht="13.2" x14ac:dyDescent="0.25">
      <c r="Q789" s="7">
        <f t="shared" si="12"/>
        <v>0</v>
      </c>
      <c r="R789" s="7" t="e">
        <f>IF(VLOOKUP($A789,'Concrete Beam Schedule'!$A$2:$Q$2902,R$2,0)&lt;&gt;B789,VLOOKUP($A789,'Concrete Beam Schedule'!$A$2:$Q$2902,R$2,0),"")</f>
        <v>#N/A</v>
      </c>
      <c r="S789" s="7" t="e">
        <f>IF(VLOOKUP($A789,'Concrete Beam Schedule'!$A$2:$Q$2902,S$2,0)&lt;&gt;C789,VLOOKUP($A789,'Concrete Beam Schedule'!$A$2:$Q$2902,S$2,0),"")</f>
        <v>#N/A</v>
      </c>
      <c r="T789" s="7" t="e">
        <f>IF(VLOOKUP($A789,'Concrete Beam Schedule'!$A$2:$Q$2902,T$2,0)&lt;&gt;D789,"Beam Revised","")</f>
        <v>#N/A</v>
      </c>
      <c r="U789" s="7" t="e">
        <f>IF(VLOOKUP($A789,'Concrete Beam Schedule'!$A$2:$Q$2902,U$2,0)&lt;&gt;E789,"Beam Revised","")</f>
        <v>#N/A</v>
      </c>
      <c r="V789" s="7" t="e">
        <f>IF(VLOOKUP($A789,'Concrete Beam Schedule'!$A$2:$Q$2902,V$2,0)&lt;&gt;F789,"Beam Revised","")</f>
        <v>#N/A</v>
      </c>
      <c r="W789" s="7" t="e">
        <f>IF(VLOOKUP($A789,'Concrete Beam Schedule'!$A$2:$Q$2902,W$2,0)&lt;&gt;G789,"Beam Revised","")</f>
        <v>#N/A</v>
      </c>
      <c r="X789" s="7" t="e">
        <f>IF(VLOOKUP($A789,'Concrete Beam Schedule'!$A$2:$Q$2902,X$2,0)&lt;&gt;H789,"Beam Revised","")</f>
        <v>#N/A</v>
      </c>
      <c r="Y789" s="7" t="e">
        <f>IF(VLOOKUP($A789,'Concrete Beam Schedule'!$A$2:$Q$2902,Y$2,0)&lt;&gt;I789,"Beam Revised","")</f>
        <v>#N/A</v>
      </c>
      <c r="Z789" s="7" t="e">
        <f>IF(VLOOKUP($A789,'Concrete Beam Schedule'!$A$2:$Q$2902,Z$2,0)&lt;&gt;J789,"Beam Revised","")</f>
        <v>#N/A</v>
      </c>
      <c r="AA789" s="7" t="e">
        <f>IF(VLOOKUP($A789,'Concrete Beam Schedule'!$A$2:$Q$2902,AA$2,0)&lt;&gt;K789,"Beam Revised","")</f>
        <v>#N/A</v>
      </c>
      <c r="AB789" s="7" t="e">
        <f>IF(VLOOKUP($A789,'Concrete Beam Schedule'!$A$2:$Q$2902,AB$2,0)&lt;&gt;L789,"Beam Revised","")</f>
        <v>#N/A</v>
      </c>
      <c r="AC789" s="7" t="e">
        <f>IF(VLOOKUP($A789,'Concrete Beam Schedule'!$A$2:$Q$2902,AC$2,0)&lt;&gt;M789,"Beam Revised","")</f>
        <v>#N/A</v>
      </c>
      <c r="AD789" s="7" t="e">
        <f>IF(VLOOKUP($A789,'Concrete Beam Schedule'!$A$2:$Q$2902,AD$2,0)&lt;&gt;N789,"Beam Revised","")</f>
        <v>#N/A</v>
      </c>
      <c r="AE789" s="7" t="e">
        <f>IF(VLOOKUP($A789,'Concrete Beam Schedule'!$A$2:$Q$2902,AE$2,0)&lt;&gt;O789,"Beam Revised","")</f>
        <v>#N/A</v>
      </c>
    </row>
    <row r="790" spans="17:31" ht="13.2" x14ac:dyDescent="0.25">
      <c r="Q790" s="7">
        <f t="shared" si="12"/>
        <v>0</v>
      </c>
      <c r="R790" s="7" t="e">
        <f>IF(VLOOKUP($A790,'Concrete Beam Schedule'!$A$2:$Q$2902,R$2,0)&lt;&gt;B790,VLOOKUP($A790,'Concrete Beam Schedule'!$A$2:$Q$2902,R$2,0),"")</f>
        <v>#N/A</v>
      </c>
      <c r="S790" s="7" t="e">
        <f>IF(VLOOKUP($A790,'Concrete Beam Schedule'!$A$2:$Q$2902,S$2,0)&lt;&gt;C790,VLOOKUP($A790,'Concrete Beam Schedule'!$A$2:$Q$2902,S$2,0),"")</f>
        <v>#N/A</v>
      </c>
      <c r="T790" s="7" t="e">
        <f>IF(VLOOKUP($A790,'Concrete Beam Schedule'!$A$2:$Q$2902,T$2,0)&lt;&gt;D790,"Beam Revised","")</f>
        <v>#N/A</v>
      </c>
      <c r="U790" s="7" t="e">
        <f>IF(VLOOKUP($A790,'Concrete Beam Schedule'!$A$2:$Q$2902,U$2,0)&lt;&gt;E790,"Beam Revised","")</f>
        <v>#N/A</v>
      </c>
      <c r="V790" s="7" t="e">
        <f>IF(VLOOKUP($A790,'Concrete Beam Schedule'!$A$2:$Q$2902,V$2,0)&lt;&gt;F790,"Beam Revised","")</f>
        <v>#N/A</v>
      </c>
      <c r="W790" s="7" t="e">
        <f>IF(VLOOKUP($A790,'Concrete Beam Schedule'!$A$2:$Q$2902,W$2,0)&lt;&gt;G790,"Beam Revised","")</f>
        <v>#N/A</v>
      </c>
      <c r="X790" s="7" t="e">
        <f>IF(VLOOKUP($A790,'Concrete Beam Schedule'!$A$2:$Q$2902,X$2,0)&lt;&gt;H790,"Beam Revised","")</f>
        <v>#N/A</v>
      </c>
      <c r="Y790" s="7" t="e">
        <f>IF(VLOOKUP($A790,'Concrete Beam Schedule'!$A$2:$Q$2902,Y$2,0)&lt;&gt;I790,"Beam Revised","")</f>
        <v>#N/A</v>
      </c>
      <c r="Z790" s="7" t="e">
        <f>IF(VLOOKUP($A790,'Concrete Beam Schedule'!$A$2:$Q$2902,Z$2,0)&lt;&gt;J790,"Beam Revised","")</f>
        <v>#N/A</v>
      </c>
      <c r="AA790" s="7" t="e">
        <f>IF(VLOOKUP($A790,'Concrete Beam Schedule'!$A$2:$Q$2902,AA$2,0)&lt;&gt;K790,"Beam Revised","")</f>
        <v>#N/A</v>
      </c>
      <c r="AB790" s="7" t="e">
        <f>IF(VLOOKUP($A790,'Concrete Beam Schedule'!$A$2:$Q$2902,AB$2,0)&lt;&gt;L790,"Beam Revised","")</f>
        <v>#N/A</v>
      </c>
      <c r="AC790" s="7" t="e">
        <f>IF(VLOOKUP($A790,'Concrete Beam Schedule'!$A$2:$Q$2902,AC$2,0)&lt;&gt;M790,"Beam Revised","")</f>
        <v>#N/A</v>
      </c>
      <c r="AD790" s="7" t="e">
        <f>IF(VLOOKUP($A790,'Concrete Beam Schedule'!$A$2:$Q$2902,AD$2,0)&lt;&gt;N790,"Beam Revised","")</f>
        <v>#N/A</v>
      </c>
      <c r="AE790" s="7" t="e">
        <f>IF(VLOOKUP($A790,'Concrete Beam Schedule'!$A$2:$Q$2902,AE$2,0)&lt;&gt;O790,"Beam Revised","")</f>
        <v>#N/A</v>
      </c>
    </row>
    <row r="791" spans="17:31" ht="13.2" x14ac:dyDescent="0.25">
      <c r="Q791" s="7">
        <f t="shared" si="12"/>
        <v>0</v>
      </c>
      <c r="R791" s="7" t="e">
        <f>IF(VLOOKUP($A791,'Concrete Beam Schedule'!$A$2:$Q$2902,R$2,0)&lt;&gt;B791,VLOOKUP($A791,'Concrete Beam Schedule'!$A$2:$Q$2902,R$2,0),"")</f>
        <v>#N/A</v>
      </c>
      <c r="S791" s="7" t="e">
        <f>IF(VLOOKUP($A791,'Concrete Beam Schedule'!$A$2:$Q$2902,S$2,0)&lt;&gt;C791,VLOOKUP($A791,'Concrete Beam Schedule'!$A$2:$Q$2902,S$2,0),"")</f>
        <v>#N/A</v>
      </c>
      <c r="T791" s="7" t="e">
        <f>IF(VLOOKUP($A791,'Concrete Beam Schedule'!$A$2:$Q$2902,T$2,0)&lt;&gt;D791,"Beam Revised","")</f>
        <v>#N/A</v>
      </c>
      <c r="U791" s="7" t="e">
        <f>IF(VLOOKUP($A791,'Concrete Beam Schedule'!$A$2:$Q$2902,U$2,0)&lt;&gt;E791,"Beam Revised","")</f>
        <v>#N/A</v>
      </c>
      <c r="V791" s="7" t="e">
        <f>IF(VLOOKUP($A791,'Concrete Beam Schedule'!$A$2:$Q$2902,V$2,0)&lt;&gt;F791,"Beam Revised","")</f>
        <v>#N/A</v>
      </c>
      <c r="W791" s="7" t="e">
        <f>IF(VLOOKUP($A791,'Concrete Beam Schedule'!$A$2:$Q$2902,W$2,0)&lt;&gt;G791,"Beam Revised","")</f>
        <v>#N/A</v>
      </c>
      <c r="X791" s="7" t="e">
        <f>IF(VLOOKUP($A791,'Concrete Beam Schedule'!$A$2:$Q$2902,X$2,0)&lt;&gt;H791,"Beam Revised","")</f>
        <v>#N/A</v>
      </c>
      <c r="Y791" s="7" t="e">
        <f>IF(VLOOKUP($A791,'Concrete Beam Schedule'!$A$2:$Q$2902,Y$2,0)&lt;&gt;I791,"Beam Revised","")</f>
        <v>#N/A</v>
      </c>
      <c r="Z791" s="7" t="e">
        <f>IF(VLOOKUP($A791,'Concrete Beam Schedule'!$A$2:$Q$2902,Z$2,0)&lt;&gt;J791,"Beam Revised","")</f>
        <v>#N/A</v>
      </c>
      <c r="AA791" s="7" t="e">
        <f>IF(VLOOKUP($A791,'Concrete Beam Schedule'!$A$2:$Q$2902,AA$2,0)&lt;&gt;K791,"Beam Revised","")</f>
        <v>#N/A</v>
      </c>
      <c r="AB791" s="7" t="e">
        <f>IF(VLOOKUP($A791,'Concrete Beam Schedule'!$A$2:$Q$2902,AB$2,0)&lt;&gt;L791,"Beam Revised","")</f>
        <v>#N/A</v>
      </c>
      <c r="AC791" s="7" t="e">
        <f>IF(VLOOKUP($A791,'Concrete Beam Schedule'!$A$2:$Q$2902,AC$2,0)&lt;&gt;M791,"Beam Revised","")</f>
        <v>#N/A</v>
      </c>
      <c r="AD791" s="7" t="e">
        <f>IF(VLOOKUP($A791,'Concrete Beam Schedule'!$A$2:$Q$2902,AD$2,0)&lt;&gt;N791,"Beam Revised","")</f>
        <v>#N/A</v>
      </c>
      <c r="AE791" s="7" t="e">
        <f>IF(VLOOKUP($A791,'Concrete Beam Schedule'!$A$2:$Q$2902,AE$2,0)&lt;&gt;O791,"Beam Revised","")</f>
        <v>#N/A</v>
      </c>
    </row>
    <row r="792" spans="17:31" ht="13.2" x14ac:dyDescent="0.25">
      <c r="Q792" s="7">
        <f t="shared" si="12"/>
        <v>0</v>
      </c>
      <c r="R792" s="7" t="e">
        <f>IF(VLOOKUP($A792,'Concrete Beam Schedule'!$A$2:$Q$2902,R$2,0)&lt;&gt;B792,VLOOKUP($A792,'Concrete Beam Schedule'!$A$2:$Q$2902,R$2,0),"")</f>
        <v>#N/A</v>
      </c>
      <c r="S792" s="7" t="e">
        <f>IF(VLOOKUP($A792,'Concrete Beam Schedule'!$A$2:$Q$2902,S$2,0)&lt;&gt;C792,VLOOKUP($A792,'Concrete Beam Schedule'!$A$2:$Q$2902,S$2,0),"")</f>
        <v>#N/A</v>
      </c>
      <c r="T792" s="7" t="e">
        <f>IF(VLOOKUP($A792,'Concrete Beam Schedule'!$A$2:$Q$2902,T$2,0)&lt;&gt;D792,"Beam Revised","")</f>
        <v>#N/A</v>
      </c>
      <c r="U792" s="7" t="e">
        <f>IF(VLOOKUP($A792,'Concrete Beam Schedule'!$A$2:$Q$2902,U$2,0)&lt;&gt;E792,"Beam Revised","")</f>
        <v>#N/A</v>
      </c>
      <c r="V792" s="7" t="e">
        <f>IF(VLOOKUP($A792,'Concrete Beam Schedule'!$A$2:$Q$2902,V$2,0)&lt;&gt;F792,"Beam Revised","")</f>
        <v>#N/A</v>
      </c>
      <c r="W792" s="7" t="e">
        <f>IF(VLOOKUP($A792,'Concrete Beam Schedule'!$A$2:$Q$2902,W$2,0)&lt;&gt;G792,"Beam Revised","")</f>
        <v>#N/A</v>
      </c>
      <c r="X792" s="7" t="e">
        <f>IF(VLOOKUP($A792,'Concrete Beam Schedule'!$A$2:$Q$2902,X$2,0)&lt;&gt;H792,"Beam Revised","")</f>
        <v>#N/A</v>
      </c>
      <c r="Y792" s="7" t="e">
        <f>IF(VLOOKUP($A792,'Concrete Beam Schedule'!$A$2:$Q$2902,Y$2,0)&lt;&gt;I792,"Beam Revised","")</f>
        <v>#N/A</v>
      </c>
      <c r="Z792" s="7" t="e">
        <f>IF(VLOOKUP($A792,'Concrete Beam Schedule'!$A$2:$Q$2902,Z$2,0)&lt;&gt;J792,"Beam Revised","")</f>
        <v>#N/A</v>
      </c>
      <c r="AA792" s="7" t="e">
        <f>IF(VLOOKUP($A792,'Concrete Beam Schedule'!$A$2:$Q$2902,AA$2,0)&lt;&gt;K792,"Beam Revised","")</f>
        <v>#N/A</v>
      </c>
      <c r="AB792" s="7" t="e">
        <f>IF(VLOOKUP($A792,'Concrete Beam Schedule'!$A$2:$Q$2902,AB$2,0)&lt;&gt;L792,"Beam Revised","")</f>
        <v>#N/A</v>
      </c>
      <c r="AC792" s="7" t="e">
        <f>IF(VLOOKUP($A792,'Concrete Beam Schedule'!$A$2:$Q$2902,AC$2,0)&lt;&gt;M792,"Beam Revised","")</f>
        <v>#N/A</v>
      </c>
      <c r="AD792" s="7" t="e">
        <f>IF(VLOOKUP($A792,'Concrete Beam Schedule'!$A$2:$Q$2902,AD$2,0)&lt;&gt;N792,"Beam Revised","")</f>
        <v>#N/A</v>
      </c>
      <c r="AE792" s="7" t="e">
        <f>IF(VLOOKUP($A792,'Concrete Beam Schedule'!$A$2:$Q$2902,AE$2,0)&lt;&gt;O792,"Beam Revised","")</f>
        <v>#N/A</v>
      </c>
    </row>
    <row r="793" spans="17:31" ht="13.2" x14ac:dyDescent="0.25">
      <c r="Q793" s="7">
        <f t="shared" si="12"/>
        <v>0</v>
      </c>
      <c r="R793" s="7" t="e">
        <f>IF(VLOOKUP($A793,'Concrete Beam Schedule'!$A$2:$Q$2902,R$2,0)&lt;&gt;B793,VLOOKUP($A793,'Concrete Beam Schedule'!$A$2:$Q$2902,R$2,0),"")</f>
        <v>#N/A</v>
      </c>
      <c r="S793" s="7" t="e">
        <f>IF(VLOOKUP($A793,'Concrete Beam Schedule'!$A$2:$Q$2902,S$2,0)&lt;&gt;C793,VLOOKUP($A793,'Concrete Beam Schedule'!$A$2:$Q$2902,S$2,0),"")</f>
        <v>#N/A</v>
      </c>
      <c r="T793" s="7" t="e">
        <f>IF(VLOOKUP($A793,'Concrete Beam Schedule'!$A$2:$Q$2902,T$2,0)&lt;&gt;D793,"Beam Revised","")</f>
        <v>#N/A</v>
      </c>
      <c r="U793" s="7" t="e">
        <f>IF(VLOOKUP($A793,'Concrete Beam Schedule'!$A$2:$Q$2902,U$2,0)&lt;&gt;E793,"Beam Revised","")</f>
        <v>#N/A</v>
      </c>
      <c r="V793" s="7" t="e">
        <f>IF(VLOOKUP($A793,'Concrete Beam Schedule'!$A$2:$Q$2902,V$2,0)&lt;&gt;F793,"Beam Revised","")</f>
        <v>#N/A</v>
      </c>
      <c r="W793" s="7" t="e">
        <f>IF(VLOOKUP($A793,'Concrete Beam Schedule'!$A$2:$Q$2902,W$2,0)&lt;&gt;G793,"Beam Revised","")</f>
        <v>#N/A</v>
      </c>
      <c r="X793" s="7" t="e">
        <f>IF(VLOOKUP($A793,'Concrete Beam Schedule'!$A$2:$Q$2902,X$2,0)&lt;&gt;H793,"Beam Revised","")</f>
        <v>#N/A</v>
      </c>
      <c r="Y793" s="7" t="e">
        <f>IF(VLOOKUP($A793,'Concrete Beam Schedule'!$A$2:$Q$2902,Y$2,0)&lt;&gt;I793,"Beam Revised","")</f>
        <v>#N/A</v>
      </c>
      <c r="Z793" s="7" t="e">
        <f>IF(VLOOKUP($A793,'Concrete Beam Schedule'!$A$2:$Q$2902,Z$2,0)&lt;&gt;J793,"Beam Revised","")</f>
        <v>#N/A</v>
      </c>
      <c r="AA793" s="7" t="e">
        <f>IF(VLOOKUP($A793,'Concrete Beam Schedule'!$A$2:$Q$2902,AA$2,0)&lt;&gt;K793,"Beam Revised","")</f>
        <v>#N/A</v>
      </c>
      <c r="AB793" s="7" t="e">
        <f>IF(VLOOKUP($A793,'Concrete Beam Schedule'!$A$2:$Q$2902,AB$2,0)&lt;&gt;L793,"Beam Revised","")</f>
        <v>#N/A</v>
      </c>
      <c r="AC793" s="7" t="e">
        <f>IF(VLOOKUP($A793,'Concrete Beam Schedule'!$A$2:$Q$2902,AC$2,0)&lt;&gt;M793,"Beam Revised","")</f>
        <v>#N/A</v>
      </c>
      <c r="AD793" s="7" t="e">
        <f>IF(VLOOKUP($A793,'Concrete Beam Schedule'!$A$2:$Q$2902,AD$2,0)&lt;&gt;N793,"Beam Revised","")</f>
        <v>#N/A</v>
      </c>
      <c r="AE793" s="7" t="e">
        <f>IF(VLOOKUP($A793,'Concrete Beam Schedule'!$A$2:$Q$2902,AE$2,0)&lt;&gt;O793,"Beam Revised","")</f>
        <v>#N/A</v>
      </c>
    </row>
    <row r="794" spans="17:31" ht="13.2" x14ac:dyDescent="0.25">
      <c r="Q794" s="7">
        <f t="shared" si="12"/>
        <v>0</v>
      </c>
      <c r="R794" s="7" t="e">
        <f>IF(VLOOKUP($A794,'Concrete Beam Schedule'!$A$2:$Q$2902,R$2,0)&lt;&gt;B794,VLOOKUP($A794,'Concrete Beam Schedule'!$A$2:$Q$2902,R$2,0),"")</f>
        <v>#N/A</v>
      </c>
      <c r="S794" s="7" t="e">
        <f>IF(VLOOKUP($A794,'Concrete Beam Schedule'!$A$2:$Q$2902,S$2,0)&lt;&gt;C794,VLOOKUP($A794,'Concrete Beam Schedule'!$A$2:$Q$2902,S$2,0),"")</f>
        <v>#N/A</v>
      </c>
      <c r="T794" s="7" t="e">
        <f>IF(VLOOKUP($A794,'Concrete Beam Schedule'!$A$2:$Q$2902,T$2,0)&lt;&gt;D794,"Beam Revised","")</f>
        <v>#N/A</v>
      </c>
      <c r="U794" s="7" t="e">
        <f>IF(VLOOKUP($A794,'Concrete Beam Schedule'!$A$2:$Q$2902,U$2,0)&lt;&gt;E794,"Beam Revised","")</f>
        <v>#N/A</v>
      </c>
      <c r="V794" s="7" t="e">
        <f>IF(VLOOKUP($A794,'Concrete Beam Schedule'!$A$2:$Q$2902,V$2,0)&lt;&gt;F794,"Beam Revised","")</f>
        <v>#N/A</v>
      </c>
      <c r="W794" s="7" t="e">
        <f>IF(VLOOKUP($A794,'Concrete Beam Schedule'!$A$2:$Q$2902,W$2,0)&lt;&gt;G794,"Beam Revised","")</f>
        <v>#N/A</v>
      </c>
      <c r="X794" s="7" t="e">
        <f>IF(VLOOKUP($A794,'Concrete Beam Schedule'!$A$2:$Q$2902,X$2,0)&lt;&gt;H794,"Beam Revised","")</f>
        <v>#N/A</v>
      </c>
      <c r="Y794" s="7" t="e">
        <f>IF(VLOOKUP($A794,'Concrete Beam Schedule'!$A$2:$Q$2902,Y$2,0)&lt;&gt;I794,"Beam Revised","")</f>
        <v>#N/A</v>
      </c>
      <c r="Z794" s="7" t="e">
        <f>IF(VLOOKUP($A794,'Concrete Beam Schedule'!$A$2:$Q$2902,Z$2,0)&lt;&gt;J794,"Beam Revised","")</f>
        <v>#N/A</v>
      </c>
      <c r="AA794" s="7" t="e">
        <f>IF(VLOOKUP($A794,'Concrete Beam Schedule'!$A$2:$Q$2902,AA$2,0)&lt;&gt;K794,"Beam Revised","")</f>
        <v>#N/A</v>
      </c>
      <c r="AB794" s="7" t="e">
        <f>IF(VLOOKUP($A794,'Concrete Beam Schedule'!$A$2:$Q$2902,AB$2,0)&lt;&gt;L794,"Beam Revised","")</f>
        <v>#N/A</v>
      </c>
      <c r="AC794" s="7" t="e">
        <f>IF(VLOOKUP($A794,'Concrete Beam Schedule'!$A$2:$Q$2902,AC$2,0)&lt;&gt;M794,"Beam Revised","")</f>
        <v>#N/A</v>
      </c>
      <c r="AD794" s="7" t="e">
        <f>IF(VLOOKUP($A794,'Concrete Beam Schedule'!$A$2:$Q$2902,AD$2,0)&lt;&gt;N794,"Beam Revised","")</f>
        <v>#N/A</v>
      </c>
      <c r="AE794" s="7" t="e">
        <f>IF(VLOOKUP($A794,'Concrete Beam Schedule'!$A$2:$Q$2902,AE$2,0)&lt;&gt;O794,"Beam Revised","")</f>
        <v>#N/A</v>
      </c>
    </row>
    <row r="795" spans="17:31" ht="13.2" x14ac:dyDescent="0.25">
      <c r="Q795" s="7">
        <f t="shared" si="12"/>
        <v>0</v>
      </c>
      <c r="R795" s="7" t="e">
        <f>IF(VLOOKUP($A795,'Concrete Beam Schedule'!$A$2:$Q$2902,R$2,0)&lt;&gt;B795,VLOOKUP($A795,'Concrete Beam Schedule'!$A$2:$Q$2902,R$2,0),"")</f>
        <v>#N/A</v>
      </c>
      <c r="S795" s="7" t="e">
        <f>IF(VLOOKUP($A795,'Concrete Beam Schedule'!$A$2:$Q$2902,S$2,0)&lt;&gt;C795,VLOOKUP($A795,'Concrete Beam Schedule'!$A$2:$Q$2902,S$2,0),"")</f>
        <v>#N/A</v>
      </c>
      <c r="T795" s="7" t="e">
        <f>IF(VLOOKUP($A795,'Concrete Beam Schedule'!$A$2:$Q$2902,T$2,0)&lt;&gt;D795,"Beam Revised","")</f>
        <v>#N/A</v>
      </c>
      <c r="U795" s="7" t="e">
        <f>IF(VLOOKUP($A795,'Concrete Beam Schedule'!$A$2:$Q$2902,U$2,0)&lt;&gt;E795,"Beam Revised","")</f>
        <v>#N/A</v>
      </c>
      <c r="V795" s="7" t="e">
        <f>IF(VLOOKUP($A795,'Concrete Beam Schedule'!$A$2:$Q$2902,V$2,0)&lt;&gt;F795,"Beam Revised","")</f>
        <v>#N/A</v>
      </c>
      <c r="W795" s="7" t="e">
        <f>IF(VLOOKUP($A795,'Concrete Beam Schedule'!$A$2:$Q$2902,W$2,0)&lt;&gt;G795,"Beam Revised","")</f>
        <v>#N/A</v>
      </c>
      <c r="X795" s="7" t="e">
        <f>IF(VLOOKUP($A795,'Concrete Beam Schedule'!$A$2:$Q$2902,X$2,0)&lt;&gt;H795,"Beam Revised","")</f>
        <v>#N/A</v>
      </c>
      <c r="Y795" s="7" t="e">
        <f>IF(VLOOKUP($A795,'Concrete Beam Schedule'!$A$2:$Q$2902,Y$2,0)&lt;&gt;I795,"Beam Revised","")</f>
        <v>#N/A</v>
      </c>
      <c r="Z795" s="7" t="e">
        <f>IF(VLOOKUP($A795,'Concrete Beam Schedule'!$A$2:$Q$2902,Z$2,0)&lt;&gt;J795,"Beam Revised","")</f>
        <v>#N/A</v>
      </c>
      <c r="AA795" s="7" t="e">
        <f>IF(VLOOKUP($A795,'Concrete Beam Schedule'!$A$2:$Q$2902,AA$2,0)&lt;&gt;K795,"Beam Revised","")</f>
        <v>#N/A</v>
      </c>
      <c r="AB795" s="7" t="e">
        <f>IF(VLOOKUP($A795,'Concrete Beam Schedule'!$A$2:$Q$2902,AB$2,0)&lt;&gt;L795,"Beam Revised","")</f>
        <v>#N/A</v>
      </c>
      <c r="AC795" s="7" t="e">
        <f>IF(VLOOKUP($A795,'Concrete Beam Schedule'!$A$2:$Q$2902,AC$2,0)&lt;&gt;M795,"Beam Revised","")</f>
        <v>#N/A</v>
      </c>
      <c r="AD795" s="7" t="e">
        <f>IF(VLOOKUP($A795,'Concrete Beam Schedule'!$A$2:$Q$2902,AD$2,0)&lt;&gt;N795,"Beam Revised","")</f>
        <v>#N/A</v>
      </c>
      <c r="AE795" s="7" t="e">
        <f>IF(VLOOKUP($A795,'Concrete Beam Schedule'!$A$2:$Q$2902,AE$2,0)&lt;&gt;O795,"Beam Revised","")</f>
        <v>#N/A</v>
      </c>
    </row>
    <row r="796" spans="17:31" ht="13.2" x14ac:dyDescent="0.25">
      <c r="Q796" s="7">
        <f t="shared" si="12"/>
        <v>0</v>
      </c>
      <c r="R796" s="7" t="e">
        <f>IF(VLOOKUP($A796,'Concrete Beam Schedule'!$A$2:$Q$2902,R$2,0)&lt;&gt;B796,VLOOKUP($A796,'Concrete Beam Schedule'!$A$2:$Q$2902,R$2,0),"")</f>
        <v>#N/A</v>
      </c>
      <c r="S796" s="7" t="e">
        <f>IF(VLOOKUP($A796,'Concrete Beam Schedule'!$A$2:$Q$2902,S$2,0)&lt;&gt;C796,VLOOKUP($A796,'Concrete Beam Schedule'!$A$2:$Q$2902,S$2,0),"")</f>
        <v>#N/A</v>
      </c>
      <c r="T796" s="7" t="e">
        <f>IF(VLOOKUP($A796,'Concrete Beam Schedule'!$A$2:$Q$2902,T$2,0)&lt;&gt;D796,"Beam Revised","")</f>
        <v>#N/A</v>
      </c>
      <c r="U796" s="7" t="e">
        <f>IF(VLOOKUP($A796,'Concrete Beam Schedule'!$A$2:$Q$2902,U$2,0)&lt;&gt;E796,"Beam Revised","")</f>
        <v>#N/A</v>
      </c>
      <c r="V796" s="7" t="e">
        <f>IF(VLOOKUP($A796,'Concrete Beam Schedule'!$A$2:$Q$2902,V$2,0)&lt;&gt;F796,"Beam Revised","")</f>
        <v>#N/A</v>
      </c>
      <c r="W796" s="7" t="e">
        <f>IF(VLOOKUP($A796,'Concrete Beam Schedule'!$A$2:$Q$2902,W$2,0)&lt;&gt;G796,"Beam Revised","")</f>
        <v>#N/A</v>
      </c>
      <c r="X796" s="7" t="e">
        <f>IF(VLOOKUP($A796,'Concrete Beam Schedule'!$A$2:$Q$2902,X$2,0)&lt;&gt;H796,"Beam Revised","")</f>
        <v>#N/A</v>
      </c>
      <c r="Y796" s="7" t="e">
        <f>IF(VLOOKUP($A796,'Concrete Beam Schedule'!$A$2:$Q$2902,Y$2,0)&lt;&gt;I796,"Beam Revised","")</f>
        <v>#N/A</v>
      </c>
      <c r="Z796" s="7" t="e">
        <f>IF(VLOOKUP($A796,'Concrete Beam Schedule'!$A$2:$Q$2902,Z$2,0)&lt;&gt;J796,"Beam Revised","")</f>
        <v>#N/A</v>
      </c>
      <c r="AA796" s="7" t="e">
        <f>IF(VLOOKUP($A796,'Concrete Beam Schedule'!$A$2:$Q$2902,AA$2,0)&lt;&gt;K796,"Beam Revised","")</f>
        <v>#N/A</v>
      </c>
      <c r="AB796" s="7" t="e">
        <f>IF(VLOOKUP($A796,'Concrete Beam Schedule'!$A$2:$Q$2902,AB$2,0)&lt;&gt;L796,"Beam Revised","")</f>
        <v>#N/A</v>
      </c>
      <c r="AC796" s="7" t="e">
        <f>IF(VLOOKUP($A796,'Concrete Beam Schedule'!$A$2:$Q$2902,AC$2,0)&lt;&gt;M796,"Beam Revised","")</f>
        <v>#N/A</v>
      </c>
      <c r="AD796" s="7" t="e">
        <f>IF(VLOOKUP($A796,'Concrete Beam Schedule'!$A$2:$Q$2902,AD$2,0)&lt;&gt;N796,"Beam Revised","")</f>
        <v>#N/A</v>
      </c>
      <c r="AE796" s="7" t="e">
        <f>IF(VLOOKUP($A796,'Concrete Beam Schedule'!$A$2:$Q$2902,AE$2,0)&lt;&gt;O796,"Beam Revised","")</f>
        <v>#N/A</v>
      </c>
    </row>
    <row r="797" spans="17:31" ht="13.2" x14ac:dyDescent="0.25">
      <c r="Q797" s="7">
        <f t="shared" si="12"/>
        <v>0</v>
      </c>
      <c r="R797" s="7" t="e">
        <f>IF(VLOOKUP($A797,'Concrete Beam Schedule'!$A$2:$Q$2902,R$2,0)&lt;&gt;B797,VLOOKUP($A797,'Concrete Beam Schedule'!$A$2:$Q$2902,R$2,0),"")</f>
        <v>#N/A</v>
      </c>
      <c r="S797" s="7" t="e">
        <f>IF(VLOOKUP($A797,'Concrete Beam Schedule'!$A$2:$Q$2902,S$2,0)&lt;&gt;C797,VLOOKUP($A797,'Concrete Beam Schedule'!$A$2:$Q$2902,S$2,0),"")</f>
        <v>#N/A</v>
      </c>
      <c r="T797" s="7" t="e">
        <f>IF(VLOOKUP($A797,'Concrete Beam Schedule'!$A$2:$Q$2902,T$2,0)&lt;&gt;D797,"Beam Revised","")</f>
        <v>#N/A</v>
      </c>
      <c r="U797" s="7" t="e">
        <f>IF(VLOOKUP($A797,'Concrete Beam Schedule'!$A$2:$Q$2902,U$2,0)&lt;&gt;E797,"Beam Revised","")</f>
        <v>#N/A</v>
      </c>
      <c r="V797" s="7" t="e">
        <f>IF(VLOOKUP($A797,'Concrete Beam Schedule'!$A$2:$Q$2902,V$2,0)&lt;&gt;F797,"Beam Revised","")</f>
        <v>#N/A</v>
      </c>
      <c r="W797" s="7" t="e">
        <f>IF(VLOOKUP($A797,'Concrete Beam Schedule'!$A$2:$Q$2902,W$2,0)&lt;&gt;G797,"Beam Revised","")</f>
        <v>#N/A</v>
      </c>
      <c r="X797" s="7" t="e">
        <f>IF(VLOOKUP($A797,'Concrete Beam Schedule'!$A$2:$Q$2902,X$2,0)&lt;&gt;H797,"Beam Revised","")</f>
        <v>#N/A</v>
      </c>
      <c r="Y797" s="7" t="e">
        <f>IF(VLOOKUP($A797,'Concrete Beam Schedule'!$A$2:$Q$2902,Y$2,0)&lt;&gt;I797,"Beam Revised","")</f>
        <v>#N/A</v>
      </c>
      <c r="Z797" s="7" t="e">
        <f>IF(VLOOKUP($A797,'Concrete Beam Schedule'!$A$2:$Q$2902,Z$2,0)&lt;&gt;J797,"Beam Revised","")</f>
        <v>#N/A</v>
      </c>
      <c r="AA797" s="7" t="e">
        <f>IF(VLOOKUP($A797,'Concrete Beam Schedule'!$A$2:$Q$2902,AA$2,0)&lt;&gt;K797,"Beam Revised","")</f>
        <v>#N/A</v>
      </c>
      <c r="AB797" s="7" t="e">
        <f>IF(VLOOKUP($A797,'Concrete Beam Schedule'!$A$2:$Q$2902,AB$2,0)&lt;&gt;L797,"Beam Revised","")</f>
        <v>#N/A</v>
      </c>
      <c r="AC797" s="7" t="e">
        <f>IF(VLOOKUP($A797,'Concrete Beam Schedule'!$A$2:$Q$2902,AC$2,0)&lt;&gt;M797,"Beam Revised","")</f>
        <v>#N/A</v>
      </c>
      <c r="AD797" s="7" t="e">
        <f>IF(VLOOKUP($A797,'Concrete Beam Schedule'!$A$2:$Q$2902,AD$2,0)&lt;&gt;N797,"Beam Revised","")</f>
        <v>#N/A</v>
      </c>
      <c r="AE797" s="7" t="e">
        <f>IF(VLOOKUP($A797,'Concrete Beam Schedule'!$A$2:$Q$2902,AE$2,0)&lt;&gt;O797,"Beam Revised","")</f>
        <v>#N/A</v>
      </c>
    </row>
    <row r="798" spans="17:31" ht="13.2" x14ac:dyDescent="0.25">
      <c r="Q798" s="7">
        <f t="shared" si="12"/>
        <v>0</v>
      </c>
      <c r="R798" s="7" t="e">
        <f>IF(VLOOKUP($A798,'Concrete Beam Schedule'!$A$2:$Q$2902,R$2,0)&lt;&gt;B798,VLOOKUP($A798,'Concrete Beam Schedule'!$A$2:$Q$2902,R$2,0),"")</f>
        <v>#N/A</v>
      </c>
      <c r="S798" s="7" t="e">
        <f>IF(VLOOKUP($A798,'Concrete Beam Schedule'!$A$2:$Q$2902,S$2,0)&lt;&gt;C798,VLOOKUP($A798,'Concrete Beam Schedule'!$A$2:$Q$2902,S$2,0),"")</f>
        <v>#N/A</v>
      </c>
      <c r="T798" s="7" t="e">
        <f>IF(VLOOKUP($A798,'Concrete Beam Schedule'!$A$2:$Q$2902,T$2,0)&lt;&gt;D798,"Beam Revised","")</f>
        <v>#N/A</v>
      </c>
      <c r="U798" s="7" t="e">
        <f>IF(VLOOKUP($A798,'Concrete Beam Schedule'!$A$2:$Q$2902,U$2,0)&lt;&gt;E798,"Beam Revised","")</f>
        <v>#N/A</v>
      </c>
      <c r="V798" s="7" t="e">
        <f>IF(VLOOKUP($A798,'Concrete Beam Schedule'!$A$2:$Q$2902,V$2,0)&lt;&gt;F798,"Beam Revised","")</f>
        <v>#N/A</v>
      </c>
      <c r="W798" s="7" t="e">
        <f>IF(VLOOKUP($A798,'Concrete Beam Schedule'!$A$2:$Q$2902,W$2,0)&lt;&gt;G798,"Beam Revised","")</f>
        <v>#N/A</v>
      </c>
      <c r="X798" s="7" t="e">
        <f>IF(VLOOKUP($A798,'Concrete Beam Schedule'!$A$2:$Q$2902,X$2,0)&lt;&gt;H798,"Beam Revised","")</f>
        <v>#N/A</v>
      </c>
      <c r="Y798" s="7" t="e">
        <f>IF(VLOOKUP($A798,'Concrete Beam Schedule'!$A$2:$Q$2902,Y$2,0)&lt;&gt;I798,"Beam Revised","")</f>
        <v>#N/A</v>
      </c>
      <c r="Z798" s="7" t="e">
        <f>IF(VLOOKUP($A798,'Concrete Beam Schedule'!$A$2:$Q$2902,Z$2,0)&lt;&gt;J798,"Beam Revised","")</f>
        <v>#N/A</v>
      </c>
      <c r="AA798" s="7" t="e">
        <f>IF(VLOOKUP($A798,'Concrete Beam Schedule'!$A$2:$Q$2902,AA$2,0)&lt;&gt;K798,"Beam Revised","")</f>
        <v>#N/A</v>
      </c>
      <c r="AB798" s="7" t="e">
        <f>IF(VLOOKUP($A798,'Concrete Beam Schedule'!$A$2:$Q$2902,AB$2,0)&lt;&gt;L798,"Beam Revised","")</f>
        <v>#N/A</v>
      </c>
      <c r="AC798" s="7" t="e">
        <f>IF(VLOOKUP($A798,'Concrete Beam Schedule'!$A$2:$Q$2902,AC$2,0)&lt;&gt;M798,"Beam Revised","")</f>
        <v>#N/A</v>
      </c>
      <c r="AD798" s="7" t="e">
        <f>IF(VLOOKUP($A798,'Concrete Beam Schedule'!$A$2:$Q$2902,AD$2,0)&lt;&gt;N798,"Beam Revised","")</f>
        <v>#N/A</v>
      </c>
      <c r="AE798" s="7" t="e">
        <f>IF(VLOOKUP($A798,'Concrete Beam Schedule'!$A$2:$Q$2902,AE$2,0)&lt;&gt;O798,"Beam Revised","")</f>
        <v>#N/A</v>
      </c>
    </row>
    <row r="799" spans="17:31" ht="13.2" x14ac:dyDescent="0.25">
      <c r="Q799" s="7">
        <f t="shared" si="12"/>
        <v>0</v>
      </c>
      <c r="R799" s="7" t="e">
        <f>IF(VLOOKUP($A799,'Concrete Beam Schedule'!$A$2:$Q$2902,R$2,0)&lt;&gt;B799,VLOOKUP($A799,'Concrete Beam Schedule'!$A$2:$Q$2902,R$2,0),"")</f>
        <v>#N/A</v>
      </c>
      <c r="S799" s="7" t="e">
        <f>IF(VLOOKUP($A799,'Concrete Beam Schedule'!$A$2:$Q$2902,S$2,0)&lt;&gt;C799,VLOOKUP($A799,'Concrete Beam Schedule'!$A$2:$Q$2902,S$2,0),"")</f>
        <v>#N/A</v>
      </c>
      <c r="T799" s="7" t="e">
        <f>IF(VLOOKUP($A799,'Concrete Beam Schedule'!$A$2:$Q$2902,T$2,0)&lt;&gt;D799,"Beam Revised","")</f>
        <v>#N/A</v>
      </c>
      <c r="U799" s="7" t="e">
        <f>IF(VLOOKUP($A799,'Concrete Beam Schedule'!$A$2:$Q$2902,U$2,0)&lt;&gt;E799,"Beam Revised","")</f>
        <v>#N/A</v>
      </c>
      <c r="V799" s="7" t="e">
        <f>IF(VLOOKUP($A799,'Concrete Beam Schedule'!$A$2:$Q$2902,V$2,0)&lt;&gt;F799,"Beam Revised","")</f>
        <v>#N/A</v>
      </c>
      <c r="W799" s="7" t="e">
        <f>IF(VLOOKUP($A799,'Concrete Beam Schedule'!$A$2:$Q$2902,W$2,0)&lt;&gt;G799,"Beam Revised","")</f>
        <v>#N/A</v>
      </c>
      <c r="X799" s="7" t="e">
        <f>IF(VLOOKUP($A799,'Concrete Beam Schedule'!$A$2:$Q$2902,X$2,0)&lt;&gt;H799,"Beam Revised","")</f>
        <v>#N/A</v>
      </c>
      <c r="Y799" s="7" t="e">
        <f>IF(VLOOKUP($A799,'Concrete Beam Schedule'!$A$2:$Q$2902,Y$2,0)&lt;&gt;I799,"Beam Revised","")</f>
        <v>#N/A</v>
      </c>
      <c r="Z799" s="7" t="e">
        <f>IF(VLOOKUP($A799,'Concrete Beam Schedule'!$A$2:$Q$2902,Z$2,0)&lt;&gt;J799,"Beam Revised","")</f>
        <v>#N/A</v>
      </c>
      <c r="AA799" s="7" t="e">
        <f>IF(VLOOKUP($A799,'Concrete Beam Schedule'!$A$2:$Q$2902,AA$2,0)&lt;&gt;K799,"Beam Revised","")</f>
        <v>#N/A</v>
      </c>
      <c r="AB799" s="7" t="e">
        <f>IF(VLOOKUP($A799,'Concrete Beam Schedule'!$A$2:$Q$2902,AB$2,0)&lt;&gt;L799,"Beam Revised","")</f>
        <v>#N/A</v>
      </c>
      <c r="AC799" s="7" t="e">
        <f>IF(VLOOKUP($A799,'Concrete Beam Schedule'!$A$2:$Q$2902,AC$2,0)&lt;&gt;M799,"Beam Revised","")</f>
        <v>#N/A</v>
      </c>
      <c r="AD799" s="7" t="e">
        <f>IF(VLOOKUP($A799,'Concrete Beam Schedule'!$A$2:$Q$2902,AD$2,0)&lt;&gt;N799,"Beam Revised","")</f>
        <v>#N/A</v>
      </c>
      <c r="AE799" s="7" t="e">
        <f>IF(VLOOKUP($A799,'Concrete Beam Schedule'!$A$2:$Q$2902,AE$2,0)&lt;&gt;O799,"Beam Revised","")</f>
        <v>#N/A</v>
      </c>
    </row>
    <row r="800" spans="17:31" ht="13.2" x14ac:dyDescent="0.25">
      <c r="Q800" s="7">
        <f t="shared" si="12"/>
        <v>0</v>
      </c>
      <c r="R800" s="7" t="e">
        <f>IF(VLOOKUP($A800,'Concrete Beam Schedule'!$A$2:$Q$2902,R$2,0)&lt;&gt;B800,VLOOKUP($A800,'Concrete Beam Schedule'!$A$2:$Q$2902,R$2,0),"")</f>
        <v>#N/A</v>
      </c>
      <c r="S800" s="7" t="e">
        <f>IF(VLOOKUP($A800,'Concrete Beam Schedule'!$A$2:$Q$2902,S$2,0)&lt;&gt;C800,VLOOKUP($A800,'Concrete Beam Schedule'!$A$2:$Q$2902,S$2,0),"")</f>
        <v>#N/A</v>
      </c>
      <c r="T800" s="7" t="e">
        <f>IF(VLOOKUP($A800,'Concrete Beam Schedule'!$A$2:$Q$2902,T$2,0)&lt;&gt;D800,"Beam Revised","")</f>
        <v>#N/A</v>
      </c>
      <c r="U800" s="7" t="e">
        <f>IF(VLOOKUP($A800,'Concrete Beam Schedule'!$A$2:$Q$2902,U$2,0)&lt;&gt;E800,"Beam Revised","")</f>
        <v>#N/A</v>
      </c>
      <c r="V800" s="7" t="e">
        <f>IF(VLOOKUP($A800,'Concrete Beam Schedule'!$A$2:$Q$2902,V$2,0)&lt;&gt;F800,"Beam Revised","")</f>
        <v>#N/A</v>
      </c>
      <c r="W800" s="7" t="e">
        <f>IF(VLOOKUP($A800,'Concrete Beam Schedule'!$A$2:$Q$2902,W$2,0)&lt;&gt;G800,"Beam Revised","")</f>
        <v>#N/A</v>
      </c>
      <c r="X800" s="7" t="e">
        <f>IF(VLOOKUP($A800,'Concrete Beam Schedule'!$A$2:$Q$2902,X$2,0)&lt;&gt;H800,"Beam Revised","")</f>
        <v>#N/A</v>
      </c>
      <c r="Y800" s="7" t="e">
        <f>IF(VLOOKUP($A800,'Concrete Beam Schedule'!$A$2:$Q$2902,Y$2,0)&lt;&gt;I800,"Beam Revised","")</f>
        <v>#N/A</v>
      </c>
      <c r="Z800" s="7" t="e">
        <f>IF(VLOOKUP($A800,'Concrete Beam Schedule'!$A$2:$Q$2902,Z$2,0)&lt;&gt;J800,"Beam Revised","")</f>
        <v>#N/A</v>
      </c>
      <c r="AA800" s="7" t="e">
        <f>IF(VLOOKUP($A800,'Concrete Beam Schedule'!$A$2:$Q$2902,AA$2,0)&lt;&gt;K800,"Beam Revised","")</f>
        <v>#N/A</v>
      </c>
      <c r="AB800" s="7" t="e">
        <f>IF(VLOOKUP($A800,'Concrete Beam Schedule'!$A$2:$Q$2902,AB$2,0)&lt;&gt;L800,"Beam Revised","")</f>
        <v>#N/A</v>
      </c>
      <c r="AC800" s="7" t="e">
        <f>IF(VLOOKUP($A800,'Concrete Beam Schedule'!$A$2:$Q$2902,AC$2,0)&lt;&gt;M800,"Beam Revised","")</f>
        <v>#N/A</v>
      </c>
      <c r="AD800" s="7" t="e">
        <f>IF(VLOOKUP($A800,'Concrete Beam Schedule'!$A$2:$Q$2902,AD$2,0)&lt;&gt;N800,"Beam Revised","")</f>
        <v>#N/A</v>
      </c>
      <c r="AE800" s="7" t="e">
        <f>IF(VLOOKUP($A800,'Concrete Beam Schedule'!$A$2:$Q$2902,AE$2,0)&lt;&gt;O800,"Beam Revised","")</f>
        <v>#N/A</v>
      </c>
    </row>
    <row r="801" spans="17:31" ht="13.2" x14ac:dyDescent="0.25">
      <c r="Q801" s="7">
        <f t="shared" si="12"/>
        <v>0</v>
      </c>
      <c r="R801" s="7" t="e">
        <f>IF(VLOOKUP($A801,'Concrete Beam Schedule'!$A$2:$Q$2902,R$2,0)&lt;&gt;B801,VLOOKUP($A801,'Concrete Beam Schedule'!$A$2:$Q$2902,R$2,0),"")</f>
        <v>#N/A</v>
      </c>
      <c r="S801" s="7" t="e">
        <f>IF(VLOOKUP($A801,'Concrete Beam Schedule'!$A$2:$Q$2902,S$2,0)&lt;&gt;C801,VLOOKUP($A801,'Concrete Beam Schedule'!$A$2:$Q$2902,S$2,0),"")</f>
        <v>#N/A</v>
      </c>
      <c r="T801" s="7" t="e">
        <f>IF(VLOOKUP($A801,'Concrete Beam Schedule'!$A$2:$Q$2902,T$2,0)&lt;&gt;D801,"Beam Revised","")</f>
        <v>#N/A</v>
      </c>
      <c r="U801" s="7" t="e">
        <f>IF(VLOOKUP($A801,'Concrete Beam Schedule'!$A$2:$Q$2902,U$2,0)&lt;&gt;E801,"Beam Revised","")</f>
        <v>#N/A</v>
      </c>
      <c r="V801" s="7" t="e">
        <f>IF(VLOOKUP($A801,'Concrete Beam Schedule'!$A$2:$Q$2902,V$2,0)&lt;&gt;F801,"Beam Revised","")</f>
        <v>#N/A</v>
      </c>
      <c r="W801" s="7" t="e">
        <f>IF(VLOOKUP($A801,'Concrete Beam Schedule'!$A$2:$Q$2902,W$2,0)&lt;&gt;G801,"Beam Revised","")</f>
        <v>#N/A</v>
      </c>
      <c r="X801" s="7" t="e">
        <f>IF(VLOOKUP($A801,'Concrete Beam Schedule'!$A$2:$Q$2902,X$2,0)&lt;&gt;H801,"Beam Revised","")</f>
        <v>#N/A</v>
      </c>
      <c r="Y801" s="7" t="e">
        <f>IF(VLOOKUP($A801,'Concrete Beam Schedule'!$A$2:$Q$2902,Y$2,0)&lt;&gt;I801,"Beam Revised","")</f>
        <v>#N/A</v>
      </c>
      <c r="Z801" s="7" t="e">
        <f>IF(VLOOKUP($A801,'Concrete Beam Schedule'!$A$2:$Q$2902,Z$2,0)&lt;&gt;J801,"Beam Revised","")</f>
        <v>#N/A</v>
      </c>
      <c r="AA801" s="7" t="e">
        <f>IF(VLOOKUP($A801,'Concrete Beam Schedule'!$A$2:$Q$2902,AA$2,0)&lt;&gt;K801,"Beam Revised","")</f>
        <v>#N/A</v>
      </c>
      <c r="AB801" s="7" t="e">
        <f>IF(VLOOKUP($A801,'Concrete Beam Schedule'!$A$2:$Q$2902,AB$2,0)&lt;&gt;L801,"Beam Revised","")</f>
        <v>#N/A</v>
      </c>
      <c r="AC801" s="7" t="e">
        <f>IF(VLOOKUP($A801,'Concrete Beam Schedule'!$A$2:$Q$2902,AC$2,0)&lt;&gt;M801,"Beam Revised","")</f>
        <v>#N/A</v>
      </c>
      <c r="AD801" s="7" t="e">
        <f>IF(VLOOKUP($A801,'Concrete Beam Schedule'!$A$2:$Q$2902,AD$2,0)&lt;&gt;N801,"Beam Revised","")</f>
        <v>#N/A</v>
      </c>
      <c r="AE801" s="7" t="e">
        <f>IF(VLOOKUP($A801,'Concrete Beam Schedule'!$A$2:$Q$2902,AE$2,0)&lt;&gt;O801,"Beam Revised","")</f>
        <v>#N/A</v>
      </c>
    </row>
    <row r="802" spans="17:31" ht="13.2" x14ac:dyDescent="0.25">
      <c r="Q802" s="7">
        <f t="shared" si="12"/>
        <v>0</v>
      </c>
      <c r="R802" s="7" t="e">
        <f>IF(VLOOKUP($A802,'Concrete Beam Schedule'!$A$2:$Q$2902,R$2,0)&lt;&gt;B802,VLOOKUP($A802,'Concrete Beam Schedule'!$A$2:$Q$2902,R$2,0),"")</f>
        <v>#N/A</v>
      </c>
      <c r="S802" s="7" t="e">
        <f>IF(VLOOKUP($A802,'Concrete Beam Schedule'!$A$2:$Q$2902,S$2,0)&lt;&gt;C802,VLOOKUP($A802,'Concrete Beam Schedule'!$A$2:$Q$2902,S$2,0),"")</f>
        <v>#N/A</v>
      </c>
      <c r="T802" s="7" t="e">
        <f>IF(VLOOKUP($A802,'Concrete Beam Schedule'!$A$2:$Q$2902,T$2,0)&lt;&gt;D802,"Beam Revised","")</f>
        <v>#N/A</v>
      </c>
      <c r="U802" s="7" t="e">
        <f>IF(VLOOKUP($A802,'Concrete Beam Schedule'!$A$2:$Q$2902,U$2,0)&lt;&gt;E802,"Beam Revised","")</f>
        <v>#N/A</v>
      </c>
      <c r="V802" s="7" t="e">
        <f>IF(VLOOKUP($A802,'Concrete Beam Schedule'!$A$2:$Q$2902,V$2,0)&lt;&gt;F802,"Beam Revised","")</f>
        <v>#N/A</v>
      </c>
      <c r="W802" s="7" t="e">
        <f>IF(VLOOKUP($A802,'Concrete Beam Schedule'!$A$2:$Q$2902,W$2,0)&lt;&gt;G802,"Beam Revised","")</f>
        <v>#N/A</v>
      </c>
      <c r="X802" s="7" t="e">
        <f>IF(VLOOKUP($A802,'Concrete Beam Schedule'!$A$2:$Q$2902,X$2,0)&lt;&gt;H802,"Beam Revised","")</f>
        <v>#N/A</v>
      </c>
      <c r="Y802" s="7" t="e">
        <f>IF(VLOOKUP($A802,'Concrete Beam Schedule'!$A$2:$Q$2902,Y$2,0)&lt;&gt;I802,"Beam Revised","")</f>
        <v>#N/A</v>
      </c>
      <c r="Z802" s="7" t="e">
        <f>IF(VLOOKUP($A802,'Concrete Beam Schedule'!$A$2:$Q$2902,Z$2,0)&lt;&gt;J802,"Beam Revised","")</f>
        <v>#N/A</v>
      </c>
      <c r="AA802" s="7" t="e">
        <f>IF(VLOOKUP($A802,'Concrete Beam Schedule'!$A$2:$Q$2902,AA$2,0)&lt;&gt;K802,"Beam Revised","")</f>
        <v>#N/A</v>
      </c>
      <c r="AB802" s="7" t="e">
        <f>IF(VLOOKUP($A802,'Concrete Beam Schedule'!$A$2:$Q$2902,AB$2,0)&lt;&gt;L802,"Beam Revised","")</f>
        <v>#N/A</v>
      </c>
      <c r="AC802" s="7" t="e">
        <f>IF(VLOOKUP($A802,'Concrete Beam Schedule'!$A$2:$Q$2902,AC$2,0)&lt;&gt;M802,"Beam Revised","")</f>
        <v>#N/A</v>
      </c>
      <c r="AD802" s="7" t="e">
        <f>IF(VLOOKUP($A802,'Concrete Beam Schedule'!$A$2:$Q$2902,AD$2,0)&lt;&gt;N802,"Beam Revised","")</f>
        <v>#N/A</v>
      </c>
      <c r="AE802" s="7" t="e">
        <f>IF(VLOOKUP($A802,'Concrete Beam Schedule'!$A$2:$Q$2902,AE$2,0)&lt;&gt;O802,"Beam Revised","")</f>
        <v>#N/A</v>
      </c>
    </row>
    <row r="803" spans="17:31" ht="13.2" x14ac:dyDescent="0.25">
      <c r="Q803" s="7">
        <f t="shared" si="12"/>
        <v>0</v>
      </c>
      <c r="R803" s="7" t="e">
        <f>IF(VLOOKUP($A803,'Concrete Beam Schedule'!$A$2:$Q$2902,R$2,0)&lt;&gt;B803,VLOOKUP($A803,'Concrete Beam Schedule'!$A$2:$Q$2902,R$2,0),"")</f>
        <v>#N/A</v>
      </c>
      <c r="S803" s="7" t="e">
        <f>IF(VLOOKUP($A803,'Concrete Beam Schedule'!$A$2:$Q$2902,S$2,0)&lt;&gt;C803,VLOOKUP($A803,'Concrete Beam Schedule'!$A$2:$Q$2902,S$2,0),"")</f>
        <v>#N/A</v>
      </c>
      <c r="T803" s="7" t="e">
        <f>IF(VLOOKUP($A803,'Concrete Beam Schedule'!$A$2:$Q$2902,T$2,0)&lt;&gt;D803,"Beam Revised","")</f>
        <v>#N/A</v>
      </c>
      <c r="U803" s="7" t="e">
        <f>IF(VLOOKUP($A803,'Concrete Beam Schedule'!$A$2:$Q$2902,U$2,0)&lt;&gt;E803,"Beam Revised","")</f>
        <v>#N/A</v>
      </c>
      <c r="V803" s="7" t="e">
        <f>IF(VLOOKUP($A803,'Concrete Beam Schedule'!$A$2:$Q$2902,V$2,0)&lt;&gt;F803,"Beam Revised","")</f>
        <v>#N/A</v>
      </c>
      <c r="W803" s="7" t="e">
        <f>IF(VLOOKUP($A803,'Concrete Beam Schedule'!$A$2:$Q$2902,W$2,0)&lt;&gt;G803,"Beam Revised","")</f>
        <v>#N/A</v>
      </c>
      <c r="X803" s="7" t="e">
        <f>IF(VLOOKUP($A803,'Concrete Beam Schedule'!$A$2:$Q$2902,X$2,0)&lt;&gt;H803,"Beam Revised","")</f>
        <v>#N/A</v>
      </c>
      <c r="Y803" s="7" t="e">
        <f>IF(VLOOKUP($A803,'Concrete Beam Schedule'!$A$2:$Q$2902,Y$2,0)&lt;&gt;I803,"Beam Revised","")</f>
        <v>#N/A</v>
      </c>
      <c r="Z803" s="7" t="e">
        <f>IF(VLOOKUP($A803,'Concrete Beam Schedule'!$A$2:$Q$2902,Z$2,0)&lt;&gt;J803,"Beam Revised","")</f>
        <v>#N/A</v>
      </c>
      <c r="AA803" s="7" t="e">
        <f>IF(VLOOKUP($A803,'Concrete Beam Schedule'!$A$2:$Q$2902,AA$2,0)&lt;&gt;K803,"Beam Revised","")</f>
        <v>#N/A</v>
      </c>
      <c r="AB803" s="7" t="e">
        <f>IF(VLOOKUP($A803,'Concrete Beam Schedule'!$A$2:$Q$2902,AB$2,0)&lt;&gt;L803,"Beam Revised","")</f>
        <v>#N/A</v>
      </c>
      <c r="AC803" s="7" t="e">
        <f>IF(VLOOKUP($A803,'Concrete Beam Schedule'!$A$2:$Q$2902,AC$2,0)&lt;&gt;M803,"Beam Revised","")</f>
        <v>#N/A</v>
      </c>
      <c r="AD803" s="7" t="e">
        <f>IF(VLOOKUP($A803,'Concrete Beam Schedule'!$A$2:$Q$2902,AD$2,0)&lt;&gt;N803,"Beam Revised","")</f>
        <v>#N/A</v>
      </c>
      <c r="AE803" s="7" t="e">
        <f>IF(VLOOKUP($A803,'Concrete Beam Schedule'!$A$2:$Q$2902,AE$2,0)&lt;&gt;O803,"Beam Revised","")</f>
        <v>#N/A</v>
      </c>
    </row>
    <row r="804" spans="17:31" ht="13.2" x14ac:dyDescent="0.25">
      <c r="Q804" s="7">
        <f t="shared" si="12"/>
        <v>0</v>
      </c>
      <c r="R804" s="7" t="e">
        <f>IF(VLOOKUP($A804,'Concrete Beam Schedule'!$A$2:$Q$2902,R$2,0)&lt;&gt;B804,VLOOKUP($A804,'Concrete Beam Schedule'!$A$2:$Q$2902,R$2,0),"")</f>
        <v>#N/A</v>
      </c>
      <c r="S804" s="7" t="e">
        <f>IF(VLOOKUP($A804,'Concrete Beam Schedule'!$A$2:$Q$2902,S$2,0)&lt;&gt;C804,VLOOKUP($A804,'Concrete Beam Schedule'!$A$2:$Q$2902,S$2,0),"")</f>
        <v>#N/A</v>
      </c>
      <c r="T804" s="7" t="e">
        <f>IF(VLOOKUP($A804,'Concrete Beam Schedule'!$A$2:$Q$2902,T$2,0)&lt;&gt;D804,"Beam Revised","")</f>
        <v>#N/A</v>
      </c>
      <c r="U804" s="7" t="e">
        <f>IF(VLOOKUP($A804,'Concrete Beam Schedule'!$A$2:$Q$2902,U$2,0)&lt;&gt;E804,"Beam Revised","")</f>
        <v>#N/A</v>
      </c>
      <c r="V804" s="7" t="e">
        <f>IF(VLOOKUP($A804,'Concrete Beam Schedule'!$A$2:$Q$2902,V$2,0)&lt;&gt;F804,"Beam Revised","")</f>
        <v>#N/A</v>
      </c>
      <c r="W804" s="7" t="e">
        <f>IF(VLOOKUP($A804,'Concrete Beam Schedule'!$A$2:$Q$2902,W$2,0)&lt;&gt;G804,"Beam Revised","")</f>
        <v>#N/A</v>
      </c>
      <c r="X804" s="7" t="e">
        <f>IF(VLOOKUP($A804,'Concrete Beam Schedule'!$A$2:$Q$2902,X$2,0)&lt;&gt;H804,"Beam Revised","")</f>
        <v>#N/A</v>
      </c>
      <c r="Y804" s="7" t="e">
        <f>IF(VLOOKUP($A804,'Concrete Beam Schedule'!$A$2:$Q$2902,Y$2,0)&lt;&gt;I804,"Beam Revised","")</f>
        <v>#N/A</v>
      </c>
      <c r="Z804" s="7" t="e">
        <f>IF(VLOOKUP($A804,'Concrete Beam Schedule'!$A$2:$Q$2902,Z$2,0)&lt;&gt;J804,"Beam Revised","")</f>
        <v>#N/A</v>
      </c>
      <c r="AA804" s="7" t="e">
        <f>IF(VLOOKUP($A804,'Concrete Beam Schedule'!$A$2:$Q$2902,AA$2,0)&lt;&gt;K804,"Beam Revised","")</f>
        <v>#N/A</v>
      </c>
      <c r="AB804" s="7" t="e">
        <f>IF(VLOOKUP($A804,'Concrete Beam Schedule'!$A$2:$Q$2902,AB$2,0)&lt;&gt;L804,"Beam Revised","")</f>
        <v>#N/A</v>
      </c>
      <c r="AC804" s="7" t="e">
        <f>IF(VLOOKUP($A804,'Concrete Beam Schedule'!$A$2:$Q$2902,AC$2,0)&lt;&gt;M804,"Beam Revised","")</f>
        <v>#N/A</v>
      </c>
      <c r="AD804" s="7" t="e">
        <f>IF(VLOOKUP($A804,'Concrete Beam Schedule'!$A$2:$Q$2902,AD$2,0)&lt;&gt;N804,"Beam Revised","")</f>
        <v>#N/A</v>
      </c>
      <c r="AE804" s="7" t="e">
        <f>IF(VLOOKUP($A804,'Concrete Beam Schedule'!$A$2:$Q$2902,AE$2,0)&lt;&gt;O804,"Beam Revised","")</f>
        <v>#N/A</v>
      </c>
    </row>
    <row r="805" spans="17:31" ht="13.2" x14ac:dyDescent="0.25">
      <c r="Q805" s="7">
        <f t="shared" si="12"/>
        <v>0</v>
      </c>
      <c r="R805" s="7" t="e">
        <f>IF(VLOOKUP($A805,'Concrete Beam Schedule'!$A$2:$Q$2902,R$2,0)&lt;&gt;B805,VLOOKUP($A805,'Concrete Beam Schedule'!$A$2:$Q$2902,R$2,0),"")</f>
        <v>#N/A</v>
      </c>
      <c r="S805" s="7" t="e">
        <f>IF(VLOOKUP($A805,'Concrete Beam Schedule'!$A$2:$Q$2902,S$2,0)&lt;&gt;C805,VLOOKUP($A805,'Concrete Beam Schedule'!$A$2:$Q$2902,S$2,0),"")</f>
        <v>#N/A</v>
      </c>
      <c r="T805" s="7" t="e">
        <f>IF(VLOOKUP($A805,'Concrete Beam Schedule'!$A$2:$Q$2902,T$2,0)&lt;&gt;D805,"Beam Revised","")</f>
        <v>#N/A</v>
      </c>
      <c r="U805" s="7" t="e">
        <f>IF(VLOOKUP($A805,'Concrete Beam Schedule'!$A$2:$Q$2902,U$2,0)&lt;&gt;E805,"Beam Revised","")</f>
        <v>#N/A</v>
      </c>
      <c r="V805" s="7" t="e">
        <f>IF(VLOOKUP($A805,'Concrete Beam Schedule'!$A$2:$Q$2902,V$2,0)&lt;&gt;F805,"Beam Revised","")</f>
        <v>#N/A</v>
      </c>
      <c r="W805" s="7" t="e">
        <f>IF(VLOOKUP($A805,'Concrete Beam Schedule'!$A$2:$Q$2902,W$2,0)&lt;&gt;G805,"Beam Revised","")</f>
        <v>#N/A</v>
      </c>
      <c r="X805" s="7" t="e">
        <f>IF(VLOOKUP($A805,'Concrete Beam Schedule'!$A$2:$Q$2902,X$2,0)&lt;&gt;H805,"Beam Revised","")</f>
        <v>#N/A</v>
      </c>
      <c r="Y805" s="7" t="e">
        <f>IF(VLOOKUP($A805,'Concrete Beam Schedule'!$A$2:$Q$2902,Y$2,0)&lt;&gt;I805,"Beam Revised","")</f>
        <v>#N/A</v>
      </c>
      <c r="Z805" s="7" t="e">
        <f>IF(VLOOKUP($A805,'Concrete Beam Schedule'!$A$2:$Q$2902,Z$2,0)&lt;&gt;J805,"Beam Revised","")</f>
        <v>#N/A</v>
      </c>
      <c r="AA805" s="7" t="e">
        <f>IF(VLOOKUP($A805,'Concrete Beam Schedule'!$A$2:$Q$2902,AA$2,0)&lt;&gt;K805,"Beam Revised","")</f>
        <v>#N/A</v>
      </c>
      <c r="AB805" s="7" t="e">
        <f>IF(VLOOKUP($A805,'Concrete Beam Schedule'!$A$2:$Q$2902,AB$2,0)&lt;&gt;L805,"Beam Revised","")</f>
        <v>#N/A</v>
      </c>
      <c r="AC805" s="7" t="e">
        <f>IF(VLOOKUP($A805,'Concrete Beam Schedule'!$A$2:$Q$2902,AC$2,0)&lt;&gt;M805,"Beam Revised","")</f>
        <v>#N/A</v>
      </c>
      <c r="AD805" s="7" t="e">
        <f>IF(VLOOKUP($A805,'Concrete Beam Schedule'!$A$2:$Q$2902,AD$2,0)&lt;&gt;N805,"Beam Revised","")</f>
        <v>#N/A</v>
      </c>
      <c r="AE805" s="7" t="e">
        <f>IF(VLOOKUP($A805,'Concrete Beam Schedule'!$A$2:$Q$2902,AE$2,0)&lt;&gt;O805,"Beam Revised","")</f>
        <v>#N/A</v>
      </c>
    </row>
    <row r="806" spans="17:31" ht="13.2" x14ac:dyDescent="0.25">
      <c r="Q806" s="7">
        <f t="shared" si="12"/>
        <v>0</v>
      </c>
      <c r="R806" s="7" t="e">
        <f>IF(VLOOKUP($A806,'Concrete Beam Schedule'!$A$2:$Q$2902,R$2,0)&lt;&gt;B806,VLOOKUP($A806,'Concrete Beam Schedule'!$A$2:$Q$2902,R$2,0),"")</f>
        <v>#N/A</v>
      </c>
      <c r="S806" s="7" t="e">
        <f>IF(VLOOKUP($A806,'Concrete Beam Schedule'!$A$2:$Q$2902,S$2,0)&lt;&gt;C806,VLOOKUP($A806,'Concrete Beam Schedule'!$A$2:$Q$2902,S$2,0),"")</f>
        <v>#N/A</v>
      </c>
      <c r="T806" s="7" t="e">
        <f>IF(VLOOKUP($A806,'Concrete Beam Schedule'!$A$2:$Q$2902,T$2,0)&lt;&gt;D806,"Beam Revised","")</f>
        <v>#N/A</v>
      </c>
      <c r="U806" s="7" t="e">
        <f>IF(VLOOKUP($A806,'Concrete Beam Schedule'!$A$2:$Q$2902,U$2,0)&lt;&gt;E806,"Beam Revised","")</f>
        <v>#N/A</v>
      </c>
      <c r="V806" s="7" t="e">
        <f>IF(VLOOKUP($A806,'Concrete Beam Schedule'!$A$2:$Q$2902,V$2,0)&lt;&gt;F806,"Beam Revised","")</f>
        <v>#N/A</v>
      </c>
      <c r="W806" s="7" t="e">
        <f>IF(VLOOKUP($A806,'Concrete Beam Schedule'!$A$2:$Q$2902,W$2,0)&lt;&gt;G806,"Beam Revised","")</f>
        <v>#N/A</v>
      </c>
      <c r="X806" s="7" t="e">
        <f>IF(VLOOKUP($A806,'Concrete Beam Schedule'!$A$2:$Q$2902,X$2,0)&lt;&gt;H806,"Beam Revised","")</f>
        <v>#N/A</v>
      </c>
      <c r="Y806" s="7" t="e">
        <f>IF(VLOOKUP($A806,'Concrete Beam Schedule'!$A$2:$Q$2902,Y$2,0)&lt;&gt;I806,"Beam Revised","")</f>
        <v>#N/A</v>
      </c>
      <c r="Z806" s="7" t="e">
        <f>IF(VLOOKUP($A806,'Concrete Beam Schedule'!$A$2:$Q$2902,Z$2,0)&lt;&gt;J806,"Beam Revised","")</f>
        <v>#N/A</v>
      </c>
      <c r="AA806" s="7" t="e">
        <f>IF(VLOOKUP($A806,'Concrete Beam Schedule'!$A$2:$Q$2902,AA$2,0)&lt;&gt;K806,"Beam Revised","")</f>
        <v>#N/A</v>
      </c>
      <c r="AB806" s="7" t="e">
        <f>IF(VLOOKUP($A806,'Concrete Beam Schedule'!$A$2:$Q$2902,AB$2,0)&lt;&gt;L806,"Beam Revised","")</f>
        <v>#N/A</v>
      </c>
      <c r="AC806" s="7" t="e">
        <f>IF(VLOOKUP($A806,'Concrete Beam Schedule'!$A$2:$Q$2902,AC$2,0)&lt;&gt;M806,"Beam Revised","")</f>
        <v>#N/A</v>
      </c>
      <c r="AD806" s="7" t="e">
        <f>IF(VLOOKUP($A806,'Concrete Beam Schedule'!$A$2:$Q$2902,AD$2,0)&lt;&gt;N806,"Beam Revised","")</f>
        <v>#N/A</v>
      </c>
      <c r="AE806" s="7" t="e">
        <f>IF(VLOOKUP($A806,'Concrete Beam Schedule'!$A$2:$Q$2902,AE$2,0)&lt;&gt;O806,"Beam Revised","")</f>
        <v>#N/A</v>
      </c>
    </row>
    <row r="807" spans="17:31" ht="13.2" x14ac:dyDescent="0.25">
      <c r="Q807" s="7">
        <f t="shared" si="12"/>
        <v>0</v>
      </c>
      <c r="R807" s="7" t="e">
        <f>IF(VLOOKUP($A807,'Concrete Beam Schedule'!$A$2:$Q$2902,R$2,0)&lt;&gt;B807,VLOOKUP($A807,'Concrete Beam Schedule'!$A$2:$Q$2902,R$2,0),"")</f>
        <v>#N/A</v>
      </c>
      <c r="S807" s="7" t="e">
        <f>IF(VLOOKUP($A807,'Concrete Beam Schedule'!$A$2:$Q$2902,S$2,0)&lt;&gt;C807,VLOOKUP($A807,'Concrete Beam Schedule'!$A$2:$Q$2902,S$2,0),"")</f>
        <v>#N/A</v>
      </c>
      <c r="T807" s="7" t="e">
        <f>IF(VLOOKUP($A807,'Concrete Beam Schedule'!$A$2:$Q$2902,T$2,0)&lt;&gt;D807,"Beam Revised","")</f>
        <v>#N/A</v>
      </c>
      <c r="U807" s="7" t="e">
        <f>IF(VLOOKUP($A807,'Concrete Beam Schedule'!$A$2:$Q$2902,U$2,0)&lt;&gt;E807,"Beam Revised","")</f>
        <v>#N/A</v>
      </c>
      <c r="V807" s="7" t="e">
        <f>IF(VLOOKUP($A807,'Concrete Beam Schedule'!$A$2:$Q$2902,V$2,0)&lt;&gt;F807,"Beam Revised","")</f>
        <v>#N/A</v>
      </c>
      <c r="W807" s="7" t="e">
        <f>IF(VLOOKUP($A807,'Concrete Beam Schedule'!$A$2:$Q$2902,W$2,0)&lt;&gt;G807,"Beam Revised","")</f>
        <v>#N/A</v>
      </c>
      <c r="X807" s="7" t="e">
        <f>IF(VLOOKUP($A807,'Concrete Beam Schedule'!$A$2:$Q$2902,X$2,0)&lt;&gt;H807,"Beam Revised","")</f>
        <v>#N/A</v>
      </c>
      <c r="Y807" s="7" t="e">
        <f>IF(VLOOKUP($A807,'Concrete Beam Schedule'!$A$2:$Q$2902,Y$2,0)&lt;&gt;I807,"Beam Revised","")</f>
        <v>#N/A</v>
      </c>
      <c r="Z807" s="7" t="e">
        <f>IF(VLOOKUP($A807,'Concrete Beam Schedule'!$A$2:$Q$2902,Z$2,0)&lt;&gt;J807,"Beam Revised","")</f>
        <v>#N/A</v>
      </c>
      <c r="AA807" s="7" t="e">
        <f>IF(VLOOKUP($A807,'Concrete Beam Schedule'!$A$2:$Q$2902,AA$2,0)&lt;&gt;K807,"Beam Revised","")</f>
        <v>#N/A</v>
      </c>
      <c r="AB807" s="7" t="e">
        <f>IF(VLOOKUP($A807,'Concrete Beam Schedule'!$A$2:$Q$2902,AB$2,0)&lt;&gt;L807,"Beam Revised","")</f>
        <v>#N/A</v>
      </c>
      <c r="AC807" s="7" t="e">
        <f>IF(VLOOKUP($A807,'Concrete Beam Schedule'!$A$2:$Q$2902,AC$2,0)&lt;&gt;M807,"Beam Revised","")</f>
        <v>#N/A</v>
      </c>
      <c r="AD807" s="7" t="e">
        <f>IF(VLOOKUP($A807,'Concrete Beam Schedule'!$A$2:$Q$2902,AD$2,0)&lt;&gt;N807,"Beam Revised","")</f>
        <v>#N/A</v>
      </c>
      <c r="AE807" s="7" t="e">
        <f>IF(VLOOKUP($A807,'Concrete Beam Schedule'!$A$2:$Q$2902,AE$2,0)&lt;&gt;O807,"Beam Revised","")</f>
        <v>#N/A</v>
      </c>
    </row>
    <row r="808" spans="17:31" ht="13.2" x14ac:dyDescent="0.25">
      <c r="Q808" s="7">
        <f t="shared" si="12"/>
        <v>0</v>
      </c>
      <c r="R808" s="7" t="e">
        <f>IF(VLOOKUP($A808,'Concrete Beam Schedule'!$A$2:$Q$2902,R$2,0)&lt;&gt;B808,VLOOKUP($A808,'Concrete Beam Schedule'!$A$2:$Q$2902,R$2,0),"")</f>
        <v>#N/A</v>
      </c>
      <c r="S808" s="7" t="e">
        <f>IF(VLOOKUP($A808,'Concrete Beam Schedule'!$A$2:$Q$2902,S$2,0)&lt;&gt;C808,VLOOKUP($A808,'Concrete Beam Schedule'!$A$2:$Q$2902,S$2,0),"")</f>
        <v>#N/A</v>
      </c>
      <c r="T808" s="7" t="e">
        <f>IF(VLOOKUP($A808,'Concrete Beam Schedule'!$A$2:$Q$2902,T$2,0)&lt;&gt;D808,"Beam Revised","")</f>
        <v>#N/A</v>
      </c>
      <c r="U808" s="7" t="e">
        <f>IF(VLOOKUP($A808,'Concrete Beam Schedule'!$A$2:$Q$2902,U$2,0)&lt;&gt;E808,"Beam Revised","")</f>
        <v>#N/A</v>
      </c>
      <c r="V808" s="7" t="e">
        <f>IF(VLOOKUP($A808,'Concrete Beam Schedule'!$A$2:$Q$2902,V$2,0)&lt;&gt;F808,"Beam Revised","")</f>
        <v>#N/A</v>
      </c>
      <c r="W808" s="7" t="e">
        <f>IF(VLOOKUP($A808,'Concrete Beam Schedule'!$A$2:$Q$2902,W$2,0)&lt;&gt;G808,"Beam Revised","")</f>
        <v>#N/A</v>
      </c>
      <c r="X808" s="7" t="e">
        <f>IF(VLOOKUP($A808,'Concrete Beam Schedule'!$A$2:$Q$2902,X$2,0)&lt;&gt;H808,"Beam Revised","")</f>
        <v>#N/A</v>
      </c>
      <c r="Y808" s="7" t="e">
        <f>IF(VLOOKUP($A808,'Concrete Beam Schedule'!$A$2:$Q$2902,Y$2,0)&lt;&gt;I808,"Beam Revised","")</f>
        <v>#N/A</v>
      </c>
      <c r="Z808" s="7" t="e">
        <f>IF(VLOOKUP($A808,'Concrete Beam Schedule'!$A$2:$Q$2902,Z$2,0)&lt;&gt;J808,"Beam Revised","")</f>
        <v>#N/A</v>
      </c>
      <c r="AA808" s="7" t="e">
        <f>IF(VLOOKUP($A808,'Concrete Beam Schedule'!$A$2:$Q$2902,AA$2,0)&lt;&gt;K808,"Beam Revised","")</f>
        <v>#N/A</v>
      </c>
      <c r="AB808" s="7" t="e">
        <f>IF(VLOOKUP($A808,'Concrete Beam Schedule'!$A$2:$Q$2902,AB$2,0)&lt;&gt;L808,"Beam Revised","")</f>
        <v>#N/A</v>
      </c>
      <c r="AC808" s="7" t="e">
        <f>IF(VLOOKUP($A808,'Concrete Beam Schedule'!$A$2:$Q$2902,AC$2,0)&lt;&gt;M808,"Beam Revised","")</f>
        <v>#N/A</v>
      </c>
      <c r="AD808" s="7" t="e">
        <f>IF(VLOOKUP($A808,'Concrete Beam Schedule'!$A$2:$Q$2902,AD$2,0)&lt;&gt;N808,"Beam Revised","")</f>
        <v>#N/A</v>
      </c>
      <c r="AE808" s="7" t="e">
        <f>IF(VLOOKUP($A808,'Concrete Beam Schedule'!$A$2:$Q$2902,AE$2,0)&lt;&gt;O808,"Beam Revised","")</f>
        <v>#N/A</v>
      </c>
    </row>
    <row r="809" spans="17:31" ht="13.2" x14ac:dyDescent="0.25">
      <c r="Q809" s="7">
        <f t="shared" si="12"/>
        <v>0</v>
      </c>
      <c r="R809" s="7" t="e">
        <f>IF(VLOOKUP($A809,'Concrete Beam Schedule'!$A$2:$Q$2902,R$2,0)&lt;&gt;B809,VLOOKUP($A809,'Concrete Beam Schedule'!$A$2:$Q$2902,R$2,0),"")</f>
        <v>#N/A</v>
      </c>
      <c r="S809" s="7" t="e">
        <f>IF(VLOOKUP($A809,'Concrete Beam Schedule'!$A$2:$Q$2902,S$2,0)&lt;&gt;C809,VLOOKUP($A809,'Concrete Beam Schedule'!$A$2:$Q$2902,S$2,0),"")</f>
        <v>#N/A</v>
      </c>
      <c r="T809" s="7" t="e">
        <f>IF(VLOOKUP($A809,'Concrete Beam Schedule'!$A$2:$Q$2902,T$2,0)&lt;&gt;D809,"Beam Revised","")</f>
        <v>#N/A</v>
      </c>
      <c r="U809" s="7" t="e">
        <f>IF(VLOOKUP($A809,'Concrete Beam Schedule'!$A$2:$Q$2902,U$2,0)&lt;&gt;E809,"Beam Revised","")</f>
        <v>#N/A</v>
      </c>
      <c r="V809" s="7" t="e">
        <f>IF(VLOOKUP($A809,'Concrete Beam Schedule'!$A$2:$Q$2902,V$2,0)&lt;&gt;F809,"Beam Revised","")</f>
        <v>#N/A</v>
      </c>
      <c r="W809" s="7" t="e">
        <f>IF(VLOOKUP($A809,'Concrete Beam Schedule'!$A$2:$Q$2902,W$2,0)&lt;&gt;G809,"Beam Revised","")</f>
        <v>#N/A</v>
      </c>
      <c r="X809" s="7" t="e">
        <f>IF(VLOOKUP($A809,'Concrete Beam Schedule'!$A$2:$Q$2902,X$2,0)&lt;&gt;H809,"Beam Revised","")</f>
        <v>#N/A</v>
      </c>
      <c r="Y809" s="7" t="e">
        <f>IF(VLOOKUP($A809,'Concrete Beam Schedule'!$A$2:$Q$2902,Y$2,0)&lt;&gt;I809,"Beam Revised","")</f>
        <v>#N/A</v>
      </c>
      <c r="Z809" s="7" t="e">
        <f>IF(VLOOKUP($A809,'Concrete Beam Schedule'!$A$2:$Q$2902,Z$2,0)&lt;&gt;J809,"Beam Revised","")</f>
        <v>#N/A</v>
      </c>
      <c r="AA809" s="7" t="e">
        <f>IF(VLOOKUP($A809,'Concrete Beam Schedule'!$A$2:$Q$2902,AA$2,0)&lt;&gt;K809,"Beam Revised","")</f>
        <v>#N/A</v>
      </c>
      <c r="AB809" s="7" t="e">
        <f>IF(VLOOKUP($A809,'Concrete Beam Schedule'!$A$2:$Q$2902,AB$2,0)&lt;&gt;L809,"Beam Revised","")</f>
        <v>#N/A</v>
      </c>
      <c r="AC809" s="7" t="e">
        <f>IF(VLOOKUP($A809,'Concrete Beam Schedule'!$A$2:$Q$2902,AC$2,0)&lt;&gt;M809,"Beam Revised","")</f>
        <v>#N/A</v>
      </c>
      <c r="AD809" s="7" t="e">
        <f>IF(VLOOKUP($A809,'Concrete Beam Schedule'!$A$2:$Q$2902,AD$2,0)&lt;&gt;N809,"Beam Revised","")</f>
        <v>#N/A</v>
      </c>
      <c r="AE809" s="7" t="e">
        <f>IF(VLOOKUP($A809,'Concrete Beam Schedule'!$A$2:$Q$2902,AE$2,0)&lt;&gt;O809,"Beam Revised","")</f>
        <v>#N/A</v>
      </c>
    </row>
    <row r="810" spans="17:31" ht="13.2" x14ac:dyDescent="0.25">
      <c r="Q810" s="7">
        <f t="shared" si="12"/>
        <v>0</v>
      </c>
      <c r="R810" s="7" t="e">
        <f>IF(VLOOKUP($A810,'Concrete Beam Schedule'!$A$2:$Q$2902,R$2,0)&lt;&gt;B810,VLOOKUP($A810,'Concrete Beam Schedule'!$A$2:$Q$2902,R$2,0),"")</f>
        <v>#N/A</v>
      </c>
      <c r="S810" s="7" t="e">
        <f>IF(VLOOKUP($A810,'Concrete Beam Schedule'!$A$2:$Q$2902,S$2,0)&lt;&gt;C810,VLOOKUP($A810,'Concrete Beam Schedule'!$A$2:$Q$2902,S$2,0),"")</f>
        <v>#N/A</v>
      </c>
      <c r="T810" s="7" t="e">
        <f>IF(VLOOKUP($A810,'Concrete Beam Schedule'!$A$2:$Q$2902,T$2,0)&lt;&gt;D810,"Beam Revised","")</f>
        <v>#N/A</v>
      </c>
      <c r="U810" s="7" t="e">
        <f>IF(VLOOKUP($A810,'Concrete Beam Schedule'!$A$2:$Q$2902,U$2,0)&lt;&gt;E810,"Beam Revised","")</f>
        <v>#N/A</v>
      </c>
      <c r="V810" s="7" t="e">
        <f>IF(VLOOKUP($A810,'Concrete Beam Schedule'!$A$2:$Q$2902,V$2,0)&lt;&gt;F810,"Beam Revised","")</f>
        <v>#N/A</v>
      </c>
      <c r="W810" s="7" t="e">
        <f>IF(VLOOKUP($A810,'Concrete Beam Schedule'!$A$2:$Q$2902,W$2,0)&lt;&gt;G810,"Beam Revised","")</f>
        <v>#N/A</v>
      </c>
      <c r="X810" s="7" t="e">
        <f>IF(VLOOKUP($A810,'Concrete Beam Schedule'!$A$2:$Q$2902,X$2,0)&lt;&gt;H810,"Beam Revised","")</f>
        <v>#N/A</v>
      </c>
      <c r="Y810" s="7" t="e">
        <f>IF(VLOOKUP($A810,'Concrete Beam Schedule'!$A$2:$Q$2902,Y$2,0)&lt;&gt;I810,"Beam Revised","")</f>
        <v>#N/A</v>
      </c>
      <c r="Z810" s="7" t="e">
        <f>IF(VLOOKUP($A810,'Concrete Beam Schedule'!$A$2:$Q$2902,Z$2,0)&lt;&gt;J810,"Beam Revised","")</f>
        <v>#N/A</v>
      </c>
      <c r="AA810" s="7" t="e">
        <f>IF(VLOOKUP($A810,'Concrete Beam Schedule'!$A$2:$Q$2902,AA$2,0)&lt;&gt;K810,"Beam Revised","")</f>
        <v>#N/A</v>
      </c>
      <c r="AB810" s="7" t="e">
        <f>IF(VLOOKUP($A810,'Concrete Beam Schedule'!$A$2:$Q$2902,AB$2,0)&lt;&gt;L810,"Beam Revised","")</f>
        <v>#N/A</v>
      </c>
      <c r="AC810" s="7" t="e">
        <f>IF(VLOOKUP($A810,'Concrete Beam Schedule'!$A$2:$Q$2902,AC$2,0)&lt;&gt;M810,"Beam Revised","")</f>
        <v>#N/A</v>
      </c>
      <c r="AD810" s="7" t="e">
        <f>IF(VLOOKUP($A810,'Concrete Beam Schedule'!$A$2:$Q$2902,AD$2,0)&lt;&gt;N810,"Beam Revised","")</f>
        <v>#N/A</v>
      </c>
      <c r="AE810" s="7" t="e">
        <f>IF(VLOOKUP($A810,'Concrete Beam Schedule'!$A$2:$Q$2902,AE$2,0)&lt;&gt;O810,"Beam Revised","")</f>
        <v>#N/A</v>
      </c>
    </row>
    <row r="811" spans="17:31" ht="13.2" x14ac:dyDescent="0.25">
      <c r="Q811" s="7">
        <f t="shared" si="12"/>
        <v>0</v>
      </c>
      <c r="R811" s="7" t="e">
        <f>IF(VLOOKUP($A811,'Concrete Beam Schedule'!$A$2:$Q$2902,R$2,0)&lt;&gt;B811,VLOOKUP($A811,'Concrete Beam Schedule'!$A$2:$Q$2902,R$2,0),"")</f>
        <v>#N/A</v>
      </c>
      <c r="S811" s="7" t="e">
        <f>IF(VLOOKUP($A811,'Concrete Beam Schedule'!$A$2:$Q$2902,S$2,0)&lt;&gt;C811,VLOOKUP($A811,'Concrete Beam Schedule'!$A$2:$Q$2902,S$2,0),"")</f>
        <v>#N/A</v>
      </c>
      <c r="T811" s="7" t="e">
        <f>IF(VLOOKUP($A811,'Concrete Beam Schedule'!$A$2:$Q$2902,T$2,0)&lt;&gt;D811,"Beam Revised","")</f>
        <v>#N/A</v>
      </c>
      <c r="U811" s="7" t="e">
        <f>IF(VLOOKUP($A811,'Concrete Beam Schedule'!$A$2:$Q$2902,U$2,0)&lt;&gt;E811,"Beam Revised","")</f>
        <v>#N/A</v>
      </c>
      <c r="V811" s="7" t="e">
        <f>IF(VLOOKUP($A811,'Concrete Beam Schedule'!$A$2:$Q$2902,V$2,0)&lt;&gt;F811,"Beam Revised","")</f>
        <v>#N/A</v>
      </c>
      <c r="W811" s="7" t="e">
        <f>IF(VLOOKUP($A811,'Concrete Beam Schedule'!$A$2:$Q$2902,W$2,0)&lt;&gt;G811,"Beam Revised","")</f>
        <v>#N/A</v>
      </c>
      <c r="X811" s="7" t="e">
        <f>IF(VLOOKUP($A811,'Concrete Beam Schedule'!$A$2:$Q$2902,X$2,0)&lt;&gt;H811,"Beam Revised","")</f>
        <v>#N/A</v>
      </c>
      <c r="Y811" s="7" t="e">
        <f>IF(VLOOKUP($A811,'Concrete Beam Schedule'!$A$2:$Q$2902,Y$2,0)&lt;&gt;I811,"Beam Revised","")</f>
        <v>#N/A</v>
      </c>
      <c r="Z811" s="7" t="e">
        <f>IF(VLOOKUP($A811,'Concrete Beam Schedule'!$A$2:$Q$2902,Z$2,0)&lt;&gt;J811,"Beam Revised","")</f>
        <v>#N/A</v>
      </c>
      <c r="AA811" s="7" t="e">
        <f>IF(VLOOKUP($A811,'Concrete Beam Schedule'!$A$2:$Q$2902,AA$2,0)&lt;&gt;K811,"Beam Revised","")</f>
        <v>#N/A</v>
      </c>
      <c r="AB811" s="7" t="e">
        <f>IF(VLOOKUP($A811,'Concrete Beam Schedule'!$A$2:$Q$2902,AB$2,0)&lt;&gt;L811,"Beam Revised","")</f>
        <v>#N/A</v>
      </c>
      <c r="AC811" s="7" t="e">
        <f>IF(VLOOKUP($A811,'Concrete Beam Schedule'!$A$2:$Q$2902,AC$2,0)&lt;&gt;M811,"Beam Revised","")</f>
        <v>#N/A</v>
      </c>
      <c r="AD811" s="7" t="e">
        <f>IF(VLOOKUP($A811,'Concrete Beam Schedule'!$A$2:$Q$2902,AD$2,0)&lt;&gt;N811,"Beam Revised","")</f>
        <v>#N/A</v>
      </c>
      <c r="AE811" s="7" t="e">
        <f>IF(VLOOKUP($A811,'Concrete Beam Schedule'!$A$2:$Q$2902,AE$2,0)&lt;&gt;O811,"Beam Revised","")</f>
        <v>#N/A</v>
      </c>
    </row>
    <row r="812" spans="17:31" ht="13.2" x14ac:dyDescent="0.25">
      <c r="Q812" s="7">
        <f t="shared" si="12"/>
        <v>0</v>
      </c>
      <c r="R812" s="7" t="e">
        <f>IF(VLOOKUP($A812,'Concrete Beam Schedule'!$A$2:$Q$2902,R$2,0)&lt;&gt;B812,VLOOKUP($A812,'Concrete Beam Schedule'!$A$2:$Q$2902,R$2,0),"")</f>
        <v>#N/A</v>
      </c>
      <c r="S812" s="7" t="e">
        <f>IF(VLOOKUP($A812,'Concrete Beam Schedule'!$A$2:$Q$2902,S$2,0)&lt;&gt;C812,VLOOKUP($A812,'Concrete Beam Schedule'!$A$2:$Q$2902,S$2,0),"")</f>
        <v>#N/A</v>
      </c>
      <c r="T812" s="7" t="e">
        <f>IF(VLOOKUP($A812,'Concrete Beam Schedule'!$A$2:$Q$2902,T$2,0)&lt;&gt;D812,"Beam Revised","")</f>
        <v>#N/A</v>
      </c>
      <c r="U812" s="7" t="e">
        <f>IF(VLOOKUP($A812,'Concrete Beam Schedule'!$A$2:$Q$2902,U$2,0)&lt;&gt;E812,"Beam Revised","")</f>
        <v>#N/A</v>
      </c>
      <c r="V812" s="7" t="e">
        <f>IF(VLOOKUP($A812,'Concrete Beam Schedule'!$A$2:$Q$2902,V$2,0)&lt;&gt;F812,"Beam Revised","")</f>
        <v>#N/A</v>
      </c>
      <c r="W812" s="7" t="e">
        <f>IF(VLOOKUP($A812,'Concrete Beam Schedule'!$A$2:$Q$2902,W$2,0)&lt;&gt;G812,"Beam Revised","")</f>
        <v>#N/A</v>
      </c>
      <c r="X812" s="7" t="e">
        <f>IF(VLOOKUP($A812,'Concrete Beam Schedule'!$A$2:$Q$2902,X$2,0)&lt;&gt;H812,"Beam Revised","")</f>
        <v>#N/A</v>
      </c>
      <c r="Y812" s="7" t="e">
        <f>IF(VLOOKUP($A812,'Concrete Beam Schedule'!$A$2:$Q$2902,Y$2,0)&lt;&gt;I812,"Beam Revised","")</f>
        <v>#N/A</v>
      </c>
      <c r="Z812" s="7" t="e">
        <f>IF(VLOOKUP($A812,'Concrete Beam Schedule'!$A$2:$Q$2902,Z$2,0)&lt;&gt;J812,"Beam Revised","")</f>
        <v>#N/A</v>
      </c>
      <c r="AA812" s="7" t="e">
        <f>IF(VLOOKUP($A812,'Concrete Beam Schedule'!$A$2:$Q$2902,AA$2,0)&lt;&gt;K812,"Beam Revised","")</f>
        <v>#N/A</v>
      </c>
      <c r="AB812" s="7" t="e">
        <f>IF(VLOOKUP($A812,'Concrete Beam Schedule'!$A$2:$Q$2902,AB$2,0)&lt;&gt;L812,"Beam Revised","")</f>
        <v>#N/A</v>
      </c>
      <c r="AC812" s="7" t="e">
        <f>IF(VLOOKUP($A812,'Concrete Beam Schedule'!$A$2:$Q$2902,AC$2,0)&lt;&gt;M812,"Beam Revised","")</f>
        <v>#N/A</v>
      </c>
      <c r="AD812" s="7" t="e">
        <f>IF(VLOOKUP($A812,'Concrete Beam Schedule'!$A$2:$Q$2902,AD$2,0)&lt;&gt;N812,"Beam Revised","")</f>
        <v>#N/A</v>
      </c>
      <c r="AE812" s="7" t="e">
        <f>IF(VLOOKUP($A812,'Concrete Beam Schedule'!$A$2:$Q$2902,AE$2,0)&lt;&gt;O812,"Beam Revised","")</f>
        <v>#N/A</v>
      </c>
    </row>
    <row r="813" spans="17:31" ht="13.2" x14ac:dyDescent="0.25">
      <c r="Q813" s="7">
        <f t="shared" si="12"/>
        <v>0</v>
      </c>
      <c r="R813" s="7" t="e">
        <f>IF(VLOOKUP($A813,'Concrete Beam Schedule'!$A$2:$Q$2902,R$2,0)&lt;&gt;B813,VLOOKUP($A813,'Concrete Beam Schedule'!$A$2:$Q$2902,R$2,0),"")</f>
        <v>#N/A</v>
      </c>
      <c r="S813" s="7" t="e">
        <f>IF(VLOOKUP($A813,'Concrete Beam Schedule'!$A$2:$Q$2902,S$2,0)&lt;&gt;C813,VLOOKUP($A813,'Concrete Beam Schedule'!$A$2:$Q$2902,S$2,0),"")</f>
        <v>#N/A</v>
      </c>
      <c r="T813" s="7" t="e">
        <f>IF(VLOOKUP($A813,'Concrete Beam Schedule'!$A$2:$Q$2902,T$2,0)&lt;&gt;D813,"Beam Revised","")</f>
        <v>#N/A</v>
      </c>
      <c r="U813" s="7" t="e">
        <f>IF(VLOOKUP($A813,'Concrete Beam Schedule'!$A$2:$Q$2902,U$2,0)&lt;&gt;E813,"Beam Revised","")</f>
        <v>#N/A</v>
      </c>
      <c r="V813" s="7" t="e">
        <f>IF(VLOOKUP($A813,'Concrete Beam Schedule'!$A$2:$Q$2902,V$2,0)&lt;&gt;F813,"Beam Revised","")</f>
        <v>#N/A</v>
      </c>
      <c r="W813" s="7" t="e">
        <f>IF(VLOOKUP($A813,'Concrete Beam Schedule'!$A$2:$Q$2902,W$2,0)&lt;&gt;G813,"Beam Revised","")</f>
        <v>#N/A</v>
      </c>
      <c r="X813" s="7" t="e">
        <f>IF(VLOOKUP($A813,'Concrete Beam Schedule'!$A$2:$Q$2902,X$2,0)&lt;&gt;H813,"Beam Revised","")</f>
        <v>#N/A</v>
      </c>
      <c r="Y813" s="7" t="e">
        <f>IF(VLOOKUP($A813,'Concrete Beam Schedule'!$A$2:$Q$2902,Y$2,0)&lt;&gt;I813,"Beam Revised","")</f>
        <v>#N/A</v>
      </c>
      <c r="Z813" s="7" t="e">
        <f>IF(VLOOKUP($A813,'Concrete Beam Schedule'!$A$2:$Q$2902,Z$2,0)&lt;&gt;J813,"Beam Revised","")</f>
        <v>#N/A</v>
      </c>
      <c r="AA813" s="7" t="e">
        <f>IF(VLOOKUP($A813,'Concrete Beam Schedule'!$A$2:$Q$2902,AA$2,0)&lt;&gt;K813,"Beam Revised","")</f>
        <v>#N/A</v>
      </c>
      <c r="AB813" s="7" t="e">
        <f>IF(VLOOKUP($A813,'Concrete Beam Schedule'!$A$2:$Q$2902,AB$2,0)&lt;&gt;L813,"Beam Revised","")</f>
        <v>#N/A</v>
      </c>
      <c r="AC813" s="7" t="e">
        <f>IF(VLOOKUP($A813,'Concrete Beam Schedule'!$A$2:$Q$2902,AC$2,0)&lt;&gt;M813,"Beam Revised","")</f>
        <v>#N/A</v>
      </c>
      <c r="AD813" s="7" t="e">
        <f>IF(VLOOKUP($A813,'Concrete Beam Schedule'!$A$2:$Q$2902,AD$2,0)&lt;&gt;N813,"Beam Revised","")</f>
        <v>#N/A</v>
      </c>
      <c r="AE813" s="7" t="e">
        <f>IF(VLOOKUP($A813,'Concrete Beam Schedule'!$A$2:$Q$2902,AE$2,0)&lt;&gt;O813,"Beam Revised","")</f>
        <v>#N/A</v>
      </c>
    </row>
    <row r="814" spans="17:31" ht="13.2" x14ac:dyDescent="0.25">
      <c r="Q814" s="7">
        <f t="shared" si="12"/>
        <v>0</v>
      </c>
      <c r="R814" s="7" t="e">
        <f>IF(VLOOKUP($A814,'Concrete Beam Schedule'!$A$2:$Q$2902,R$2,0)&lt;&gt;B814,VLOOKUP($A814,'Concrete Beam Schedule'!$A$2:$Q$2902,R$2,0),"")</f>
        <v>#N/A</v>
      </c>
      <c r="S814" s="7" t="e">
        <f>IF(VLOOKUP($A814,'Concrete Beam Schedule'!$A$2:$Q$2902,S$2,0)&lt;&gt;C814,VLOOKUP($A814,'Concrete Beam Schedule'!$A$2:$Q$2902,S$2,0),"")</f>
        <v>#N/A</v>
      </c>
      <c r="T814" s="7" t="e">
        <f>IF(VLOOKUP($A814,'Concrete Beam Schedule'!$A$2:$Q$2902,T$2,0)&lt;&gt;D814,"Beam Revised","")</f>
        <v>#N/A</v>
      </c>
      <c r="U814" s="7" t="e">
        <f>IF(VLOOKUP($A814,'Concrete Beam Schedule'!$A$2:$Q$2902,U$2,0)&lt;&gt;E814,"Beam Revised","")</f>
        <v>#N/A</v>
      </c>
      <c r="V814" s="7" t="e">
        <f>IF(VLOOKUP($A814,'Concrete Beam Schedule'!$A$2:$Q$2902,V$2,0)&lt;&gt;F814,"Beam Revised","")</f>
        <v>#N/A</v>
      </c>
      <c r="W814" s="7" t="e">
        <f>IF(VLOOKUP($A814,'Concrete Beam Schedule'!$A$2:$Q$2902,W$2,0)&lt;&gt;G814,"Beam Revised","")</f>
        <v>#N/A</v>
      </c>
      <c r="X814" s="7" t="e">
        <f>IF(VLOOKUP($A814,'Concrete Beam Schedule'!$A$2:$Q$2902,X$2,0)&lt;&gt;H814,"Beam Revised","")</f>
        <v>#N/A</v>
      </c>
      <c r="Y814" s="7" t="e">
        <f>IF(VLOOKUP($A814,'Concrete Beam Schedule'!$A$2:$Q$2902,Y$2,0)&lt;&gt;I814,"Beam Revised","")</f>
        <v>#N/A</v>
      </c>
      <c r="Z814" s="7" t="e">
        <f>IF(VLOOKUP($A814,'Concrete Beam Schedule'!$A$2:$Q$2902,Z$2,0)&lt;&gt;J814,"Beam Revised","")</f>
        <v>#N/A</v>
      </c>
      <c r="AA814" s="7" t="e">
        <f>IF(VLOOKUP($A814,'Concrete Beam Schedule'!$A$2:$Q$2902,AA$2,0)&lt;&gt;K814,"Beam Revised","")</f>
        <v>#N/A</v>
      </c>
      <c r="AB814" s="7" t="e">
        <f>IF(VLOOKUP($A814,'Concrete Beam Schedule'!$A$2:$Q$2902,AB$2,0)&lt;&gt;L814,"Beam Revised","")</f>
        <v>#N/A</v>
      </c>
      <c r="AC814" s="7" t="e">
        <f>IF(VLOOKUP($A814,'Concrete Beam Schedule'!$A$2:$Q$2902,AC$2,0)&lt;&gt;M814,"Beam Revised","")</f>
        <v>#N/A</v>
      </c>
      <c r="AD814" s="7" t="e">
        <f>IF(VLOOKUP($A814,'Concrete Beam Schedule'!$A$2:$Q$2902,AD$2,0)&lt;&gt;N814,"Beam Revised","")</f>
        <v>#N/A</v>
      </c>
      <c r="AE814" s="7" t="e">
        <f>IF(VLOOKUP($A814,'Concrete Beam Schedule'!$A$2:$Q$2902,AE$2,0)&lt;&gt;O814,"Beam Revised","")</f>
        <v>#N/A</v>
      </c>
    </row>
    <row r="815" spans="17:31" ht="13.2" x14ac:dyDescent="0.25">
      <c r="Q815" s="7">
        <f t="shared" si="12"/>
        <v>0</v>
      </c>
      <c r="R815" s="7" t="e">
        <f>IF(VLOOKUP($A815,'Concrete Beam Schedule'!$A$2:$Q$2902,R$2,0)&lt;&gt;B815,VLOOKUP($A815,'Concrete Beam Schedule'!$A$2:$Q$2902,R$2,0),"")</f>
        <v>#N/A</v>
      </c>
      <c r="S815" s="7" t="e">
        <f>IF(VLOOKUP($A815,'Concrete Beam Schedule'!$A$2:$Q$2902,S$2,0)&lt;&gt;C815,VLOOKUP($A815,'Concrete Beam Schedule'!$A$2:$Q$2902,S$2,0),"")</f>
        <v>#N/A</v>
      </c>
      <c r="T815" s="7" t="e">
        <f>IF(VLOOKUP($A815,'Concrete Beam Schedule'!$A$2:$Q$2902,T$2,0)&lt;&gt;D815,"Beam Revised","")</f>
        <v>#N/A</v>
      </c>
      <c r="U815" s="7" t="e">
        <f>IF(VLOOKUP($A815,'Concrete Beam Schedule'!$A$2:$Q$2902,U$2,0)&lt;&gt;E815,"Beam Revised","")</f>
        <v>#N/A</v>
      </c>
      <c r="V815" s="7" t="e">
        <f>IF(VLOOKUP($A815,'Concrete Beam Schedule'!$A$2:$Q$2902,V$2,0)&lt;&gt;F815,"Beam Revised","")</f>
        <v>#N/A</v>
      </c>
      <c r="W815" s="7" t="e">
        <f>IF(VLOOKUP($A815,'Concrete Beam Schedule'!$A$2:$Q$2902,W$2,0)&lt;&gt;G815,"Beam Revised","")</f>
        <v>#N/A</v>
      </c>
      <c r="X815" s="7" t="e">
        <f>IF(VLOOKUP($A815,'Concrete Beam Schedule'!$A$2:$Q$2902,X$2,0)&lt;&gt;H815,"Beam Revised","")</f>
        <v>#N/A</v>
      </c>
      <c r="Y815" s="7" t="e">
        <f>IF(VLOOKUP($A815,'Concrete Beam Schedule'!$A$2:$Q$2902,Y$2,0)&lt;&gt;I815,"Beam Revised","")</f>
        <v>#N/A</v>
      </c>
      <c r="Z815" s="7" t="e">
        <f>IF(VLOOKUP($A815,'Concrete Beam Schedule'!$A$2:$Q$2902,Z$2,0)&lt;&gt;J815,"Beam Revised","")</f>
        <v>#N/A</v>
      </c>
      <c r="AA815" s="7" t="e">
        <f>IF(VLOOKUP($A815,'Concrete Beam Schedule'!$A$2:$Q$2902,AA$2,0)&lt;&gt;K815,"Beam Revised","")</f>
        <v>#N/A</v>
      </c>
      <c r="AB815" s="7" t="e">
        <f>IF(VLOOKUP($A815,'Concrete Beam Schedule'!$A$2:$Q$2902,AB$2,0)&lt;&gt;L815,"Beam Revised","")</f>
        <v>#N/A</v>
      </c>
      <c r="AC815" s="7" t="e">
        <f>IF(VLOOKUP($A815,'Concrete Beam Schedule'!$A$2:$Q$2902,AC$2,0)&lt;&gt;M815,"Beam Revised","")</f>
        <v>#N/A</v>
      </c>
      <c r="AD815" s="7" t="e">
        <f>IF(VLOOKUP($A815,'Concrete Beam Schedule'!$A$2:$Q$2902,AD$2,0)&lt;&gt;N815,"Beam Revised","")</f>
        <v>#N/A</v>
      </c>
      <c r="AE815" s="7" t="e">
        <f>IF(VLOOKUP($A815,'Concrete Beam Schedule'!$A$2:$Q$2902,AE$2,0)&lt;&gt;O815,"Beam Revised","")</f>
        <v>#N/A</v>
      </c>
    </row>
    <row r="816" spans="17:31" ht="13.2" x14ac:dyDescent="0.25">
      <c r="Q816" s="7">
        <f t="shared" si="12"/>
        <v>0</v>
      </c>
      <c r="R816" s="7" t="e">
        <f>IF(VLOOKUP($A816,'Concrete Beam Schedule'!$A$2:$Q$2902,R$2,0)&lt;&gt;B816,VLOOKUP($A816,'Concrete Beam Schedule'!$A$2:$Q$2902,R$2,0),"")</f>
        <v>#N/A</v>
      </c>
      <c r="S816" s="7" t="e">
        <f>IF(VLOOKUP($A816,'Concrete Beam Schedule'!$A$2:$Q$2902,S$2,0)&lt;&gt;C816,VLOOKUP($A816,'Concrete Beam Schedule'!$A$2:$Q$2902,S$2,0),"")</f>
        <v>#N/A</v>
      </c>
      <c r="T816" s="7" t="e">
        <f>IF(VLOOKUP($A816,'Concrete Beam Schedule'!$A$2:$Q$2902,T$2,0)&lt;&gt;D816,"Beam Revised","")</f>
        <v>#N/A</v>
      </c>
      <c r="U816" s="7" t="e">
        <f>IF(VLOOKUP($A816,'Concrete Beam Schedule'!$A$2:$Q$2902,U$2,0)&lt;&gt;E816,"Beam Revised","")</f>
        <v>#N/A</v>
      </c>
      <c r="V816" s="7" t="e">
        <f>IF(VLOOKUP($A816,'Concrete Beam Schedule'!$A$2:$Q$2902,V$2,0)&lt;&gt;F816,"Beam Revised","")</f>
        <v>#N/A</v>
      </c>
      <c r="W816" s="7" t="e">
        <f>IF(VLOOKUP($A816,'Concrete Beam Schedule'!$A$2:$Q$2902,W$2,0)&lt;&gt;G816,"Beam Revised","")</f>
        <v>#N/A</v>
      </c>
      <c r="X816" s="7" t="e">
        <f>IF(VLOOKUP($A816,'Concrete Beam Schedule'!$A$2:$Q$2902,X$2,0)&lt;&gt;H816,"Beam Revised","")</f>
        <v>#N/A</v>
      </c>
      <c r="Y816" s="7" t="e">
        <f>IF(VLOOKUP($A816,'Concrete Beam Schedule'!$A$2:$Q$2902,Y$2,0)&lt;&gt;I816,"Beam Revised","")</f>
        <v>#N/A</v>
      </c>
      <c r="Z816" s="7" t="e">
        <f>IF(VLOOKUP($A816,'Concrete Beam Schedule'!$A$2:$Q$2902,Z$2,0)&lt;&gt;J816,"Beam Revised","")</f>
        <v>#N/A</v>
      </c>
      <c r="AA816" s="7" t="e">
        <f>IF(VLOOKUP($A816,'Concrete Beam Schedule'!$A$2:$Q$2902,AA$2,0)&lt;&gt;K816,"Beam Revised","")</f>
        <v>#N/A</v>
      </c>
      <c r="AB816" s="7" t="e">
        <f>IF(VLOOKUP($A816,'Concrete Beam Schedule'!$A$2:$Q$2902,AB$2,0)&lt;&gt;L816,"Beam Revised","")</f>
        <v>#N/A</v>
      </c>
      <c r="AC816" s="7" t="e">
        <f>IF(VLOOKUP($A816,'Concrete Beam Schedule'!$A$2:$Q$2902,AC$2,0)&lt;&gt;M816,"Beam Revised","")</f>
        <v>#N/A</v>
      </c>
      <c r="AD816" s="7" t="e">
        <f>IF(VLOOKUP($A816,'Concrete Beam Schedule'!$A$2:$Q$2902,AD$2,0)&lt;&gt;N816,"Beam Revised","")</f>
        <v>#N/A</v>
      </c>
      <c r="AE816" s="7" t="e">
        <f>IF(VLOOKUP($A816,'Concrete Beam Schedule'!$A$2:$Q$2902,AE$2,0)&lt;&gt;O816,"Beam Revised","")</f>
        <v>#N/A</v>
      </c>
    </row>
    <row r="817" spans="17:31" ht="13.2" x14ac:dyDescent="0.25">
      <c r="Q817" s="7">
        <f t="shared" si="12"/>
        <v>0</v>
      </c>
      <c r="R817" s="7" t="e">
        <f>IF(VLOOKUP($A817,'Concrete Beam Schedule'!$A$2:$Q$2902,R$2,0)&lt;&gt;B817,VLOOKUP($A817,'Concrete Beam Schedule'!$A$2:$Q$2902,R$2,0),"")</f>
        <v>#N/A</v>
      </c>
      <c r="S817" s="7" t="e">
        <f>IF(VLOOKUP($A817,'Concrete Beam Schedule'!$A$2:$Q$2902,S$2,0)&lt;&gt;C817,VLOOKUP($A817,'Concrete Beam Schedule'!$A$2:$Q$2902,S$2,0),"")</f>
        <v>#N/A</v>
      </c>
      <c r="T817" s="7" t="e">
        <f>IF(VLOOKUP($A817,'Concrete Beam Schedule'!$A$2:$Q$2902,T$2,0)&lt;&gt;D817,"Beam Revised","")</f>
        <v>#N/A</v>
      </c>
      <c r="U817" s="7" t="e">
        <f>IF(VLOOKUP($A817,'Concrete Beam Schedule'!$A$2:$Q$2902,U$2,0)&lt;&gt;E817,"Beam Revised","")</f>
        <v>#N/A</v>
      </c>
      <c r="V817" s="7" t="e">
        <f>IF(VLOOKUP($A817,'Concrete Beam Schedule'!$A$2:$Q$2902,V$2,0)&lt;&gt;F817,"Beam Revised","")</f>
        <v>#N/A</v>
      </c>
      <c r="W817" s="7" t="e">
        <f>IF(VLOOKUP($A817,'Concrete Beam Schedule'!$A$2:$Q$2902,W$2,0)&lt;&gt;G817,"Beam Revised","")</f>
        <v>#N/A</v>
      </c>
      <c r="X817" s="7" t="e">
        <f>IF(VLOOKUP($A817,'Concrete Beam Schedule'!$A$2:$Q$2902,X$2,0)&lt;&gt;H817,"Beam Revised","")</f>
        <v>#N/A</v>
      </c>
      <c r="Y817" s="7" t="e">
        <f>IF(VLOOKUP($A817,'Concrete Beam Schedule'!$A$2:$Q$2902,Y$2,0)&lt;&gt;I817,"Beam Revised","")</f>
        <v>#N/A</v>
      </c>
      <c r="Z817" s="7" t="e">
        <f>IF(VLOOKUP($A817,'Concrete Beam Schedule'!$A$2:$Q$2902,Z$2,0)&lt;&gt;J817,"Beam Revised","")</f>
        <v>#N/A</v>
      </c>
      <c r="AA817" s="7" t="e">
        <f>IF(VLOOKUP($A817,'Concrete Beam Schedule'!$A$2:$Q$2902,AA$2,0)&lt;&gt;K817,"Beam Revised","")</f>
        <v>#N/A</v>
      </c>
      <c r="AB817" s="7" t="e">
        <f>IF(VLOOKUP($A817,'Concrete Beam Schedule'!$A$2:$Q$2902,AB$2,0)&lt;&gt;L817,"Beam Revised","")</f>
        <v>#N/A</v>
      </c>
      <c r="AC817" s="7" t="e">
        <f>IF(VLOOKUP($A817,'Concrete Beam Schedule'!$A$2:$Q$2902,AC$2,0)&lt;&gt;M817,"Beam Revised","")</f>
        <v>#N/A</v>
      </c>
      <c r="AD817" s="7" t="e">
        <f>IF(VLOOKUP($A817,'Concrete Beam Schedule'!$A$2:$Q$2902,AD$2,0)&lt;&gt;N817,"Beam Revised","")</f>
        <v>#N/A</v>
      </c>
      <c r="AE817" s="7" t="e">
        <f>IF(VLOOKUP($A817,'Concrete Beam Schedule'!$A$2:$Q$2902,AE$2,0)&lt;&gt;O817,"Beam Revised","")</f>
        <v>#N/A</v>
      </c>
    </row>
    <row r="818" spans="17:31" ht="13.2" x14ac:dyDescent="0.25">
      <c r="Q818" s="7">
        <f t="shared" si="12"/>
        <v>0</v>
      </c>
      <c r="R818" s="7" t="e">
        <f>IF(VLOOKUP($A818,'Concrete Beam Schedule'!$A$2:$Q$2902,R$2,0)&lt;&gt;B818,VLOOKUP($A818,'Concrete Beam Schedule'!$A$2:$Q$2902,R$2,0),"")</f>
        <v>#N/A</v>
      </c>
      <c r="S818" s="7" t="e">
        <f>IF(VLOOKUP($A818,'Concrete Beam Schedule'!$A$2:$Q$2902,S$2,0)&lt;&gt;C818,VLOOKUP($A818,'Concrete Beam Schedule'!$A$2:$Q$2902,S$2,0),"")</f>
        <v>#N/A</v>
      </c>
      <c r="T818" s="7" t="e">
        <f>IF(VLOOKUP($A818,'Concrete Beam Schedule'!$A$2:$Q$2902,T$2,0)&lt;&gt;D818,"Beam Revised","")</f>
        <v>#N/A</v>
      </c>
      <c r="U818" s="7" t="e">
        <f>IF(VLOOKUP($A818,'Concrete Beam Schedule'!$A$2:$Q$2902,U$2,0)&lt;&gt;E818,"Beam Revised","")</f>
        <v>#N/A</v>
      </c>
      <c r="V818" s="7" t="e">
        <f>IF(VLOOKUP($A818,'Concrete Beam Schedule'!$A$2:$Q$2902,V$2,0)&lt;&gt;F818,"Beam Revised","")</f>
        <v>#N/A</v>
      </c>
      <c r="W818" s="7" t="e">
        <f>IF(VLOOKUP($A818,'Concrete Beam Schedule'!$A$2:$Q$2902,W$2,0)&lt;&gt;G818,"Beam Revised","")</f>
        <v>#N/A</v>
      </c>
      <c r="X818" s="7" t="e">
        <f>IF(VLOOKUP($A818,'Concrete Beam Schedule'!$A$2:$Q$2902,X$2,0)&lt;&gt;H818,"Beam Revised","")</f>
        <v>#N/A</v>
      </c>
      <c r="Y818" s="7" t="e">
        <f>IF(VLOOKUP($A818,'Concrete Beam Schedule'!$A$2:$Q$2902,Y$2,0)&lt;&gt;I818,"Beam Revised","")</f>
        <v>#N/A</v>
      </c>
      <c r="Z818" s="7" t="e">
        <f>IF(VLOOKUP($A818,'Concrete Beam Schedule'!$A$2:$Q$2902,Z$2,0)&lt;&gt;J818,"Beam Revised","")</f>
        <v>#N/A</v>
      </c>
      <c r="AA818" s="7" t="e">
        <f>IF(VLOOKUP($A818,'Concrete Beam Schedule'!$A$2:$Q$2902,AA$2,0)&lt;&gt;K818,"Beam Revised","")</f>
        <v>#N/A</v>
      </c>
      <c r="AB818" s="7" t="e">
        <f>IF(VLOOKUP($A818,'Concrete Beam Schedule'!$A$2:$Q$2902,AB$2,0)&lt;&gt;L818,"Beam Revised","")</f>
        <v>#N/A</v>
      </c>
      <c r="AC818" s="7" t="e">
        <f>IF(VLOOKUP($A818,'Concrete Beam Schedule'!$A$2:$Q$2902,AC$2,0)&lt;&gt;M818,"Beam Revised","")</f>
        <v>#N/A</v>
      </c>
      <c r="AD818" s="7" t="e">
        <f>IF(VLOOKUP($A818,'Concrete Beam Schedule'!$A$2:$Q$2902,AD$2,0)&lt;&gt;N818,"Beam Revised","")</f>
        <v>#N/A</v>
      </c>
      <c r="AE818" s="7" t="e">
        <f>IF(VLOOKUP($A818,'Concrete Beam Schedule'!$A$2:$Q$2902,AE$2,0)&lt;&gt;O818,"Beam Revised","")</f>
        <v>#N/A</v>
      </c>
    </row>
    <row r="819" spans="17:31" ht="13.2" x14ac:dyDescent="0.25">
      <c r="Q819" s="7">
        <f t="shared" si="12"/>
        <v>0</v>
      </c>
      <c r="R819" s="7" t="e">
        <f>IF(VLOOKUP($A819,'Concrete Beam Schedule'!$A$2:$Q$2902,R$2,0)&lt;&gt;B819,VLOOKUP($A819,'Concrete Beam Schedule'!$A$2:$Q$2902,R$2,0),"")</f>
        <v>#N/A</v>
      </c>
      <c r="S819" s="7" t="e">
        <f>IF(VLOOKUP($A819,'Concrete Beam Schedule'!$A$2:$Q$2902,S$2,0)&lt;&gt;C819,VLOOKUP($A819,'Concrete Beam Schedule'!$A$2:$Q$2902,S$2,0),"")</f>
        <v>#N/A</v>
      </c>
      <c r="T819" s="7" t="e">
        <f>IF(VLOOKUP($A819,'Concrete Beam Schedule'!$A$2:$Q$2902,T$2,0)&lt;&gt;D819,"Beam Revised","")</f>
        <v>#N/A</v>
      </c>
      <c r="U819" s="7" t="e">
        <f>IF(VLOOKUP($A819,'Concrete Beam Schedule'!$A$2:$Q$2902,U$2,0)&lt;&gt;E819,"Beam Revised","")</f>
        <v>#N/A</v>
      </c>
      <c r="V819" s="7" t="e">
        <f>IF(VLOOKUP($A819,'Concrete Beam Schedule'!$A$2:$Q$2902,V$2,0)&lt;&gt;F819,"Beam Revised","")</f>
        <v>#N/A</v>
      </c>
      <c r="W819" s="7" t="e">
        <f>IF(VLOOKUP($A819,'Concrete Beam Schedule'!$A$2:$Q$2902,W$2,0)&lt;&gt;G819,"Beam Revised","")</f>
        <v>#N/A</v>
      </c>
      <c r="X819" s="7" t="e">
        <f>IF(VLOOKUP($A819,'Concrete Beam Schedule'!$A$2:$Q$2902,X$2,0)&lt;&gt;H819,"Beam Revised","")</f>
        <v>#N/A</v>
      </c>
      <c r="Y819" s="7" t="e">
        <f>IF(VLOOKUP($A819,'Concrete Beam Schedule'!$A$2:$Q$2902,Y$2,0)&lt;&gt;I819,"Beam Revised","")</f>
        <v>#N/A</v>
      </c>
      <c r="Z819" s="7" t="e">
        <f>IF(VLOOKUP($A819,'Concrete Beam Schedule'!$A$2:$Q$2902,Z$2,0)&lt;&gt;J819,"Beam Revised","")</f>
        <v>#N/A</v>
      </c>
      <c r="AA819" s="7" t="e">
        <f>IF(VLOOKUP($A819,'Concrete Beam Schedule'!$A$2:$Q$2902,AA$2,0)&lt;&gt;K819,"Beam Revised","")</f>
        <v>#N/A</v>
      </c>
      <c r="AB819" s="7" t="e">
        <f>IF(VLOOKUP($A819,'Concrete Beam Schedule'!$A$2:$Q$2902,AB$2,0)&lt;&gt;L819,"Beam Revised","")</f>
        <v>#N/A</v>
      </c>
      <c r="AC819" s="7" t="e">
        <f>IF(VLOOKUP($A819,'Concrete Beam Schedule'!$A$2:$Q$2902,AC$2,0)&lt;&gt;M819,"Beam Revised","")</f>
        <v>#N/A</v>
      </c>
      <c r="AD819" s="7" t="e">
        <f>IF(VLOOKUP($A819,'Concrete Beam Schedule'!$A$2:$Q$2902,AD$2,0)&lt;&gt;N819,"Beam Revised","")</f>
        <v>#N/A</v>
      </c>
      <c r="AE819" s="7" t="e">
        <f>IF(VLOOKUP($A819,'Concrete Beam Schedule'!$A$2:$Q$2902,AE$2,0)&lt;&gt;O819,"Beam Revised","")</f>
        <v>#N/A</v>
      </c>
    </row>
    <row r="820" spans="17:31" ht="13.2" x14ac:dyDescent="0.25">
      <c r="Q820" s="7">
        <f t="shared" si="12"/>
        <v>0</v>
      </c>
      <c r="R820" s="7" t="e">
        <f>IF(VLOOKUP($A820,'Concrete Beam Schedule'!$A$2:$Q$2902,R$2,0)&lt;&gt;B820,VLOOKUP($A820,'Concrete Beam Schedule'!$A$2:$Q$2902,R$2,0),"")</f>
        <v>#N/A</v>
      </c>
      <c r="S820" s="7" t="e">
        <f>IF(VLOOKUP($A820,'Concrete Beam Schedule'!$A$2:$Q$2902,S$2,0)&lt;&gt;C820,VLOOKUP($A820,'Concrete Beam Schedule'!$A$2:$Q$2902,S$2,0),"")</f>
        <v>#N/A</v>
      </c>
      <c r="T820" s="7" t="e">
        <f>IF(VLOOKUP($A820,'Concrete Beam Schedule'!$A$2:$Q$2902,T$2,0)&lt;&gt;D820,"Beam Revised","")</f>
        <v>#N/A</v>
      </c>
      <c r="U820" s="7" t="e">
        <f>IF(VLOOKUP($A820,'Concrete Beam Schedule'!$A$2:$Q$2902,U$2,0)&lt;&gt;E820,"Beam Revised","")</f>
        <v>#N/A</v>
      </c>
      <c r="V820" s="7" t="e">
        <f>IF(VLOOKUP($A820,'Concrete Beam Schedule'!$A$2:$Q$2902,V$2,0)&lt;&gt;F820,"Beam Revised","")</f>
        <v>#N/A</v>
      </c>
      <c r="W820" s="7" t="e">
        <f>IF(VLOOKUP($A820,'Concrete Beam Schedule'!$A$2:$Q$2902,W$2,0)&lt;&gt;G820,"Beam Revised","")</f>
        <v>#N/A</v>
      </c>
      <c r="X820" s="7" t="e">
        <f>IF(VLOOKUP($A820,'Concrete Beam Schedule'!$A$2:$Q$2902,X$2,0)&lt;&gt;H820,"Beam Revised","")</f>
        <v>#N/A</v>
      </c>
      <c r="Y820" s="7" t="e">
        <f>IF(VLOOKUP($A820,'Concrete Beam Schedule'!$A$2:$Q$2902,Y$2,0)&lt;&gt;I820,"Beam Revised","")</f>
        <v>#N/A</v>
      </c>
      <c r="Z820" s="7" t="e">
        <f>IF(VLOOKUP($A820,'Concrete Beam Schedule'!$A$2:$Q$2902,Z$2,0)&lt;&gt;J820,"Beam Revised","")</f>
        <v>#N/A</v>
      </c>
      <c r="AA820" s="7" t="e">
        <f>IF(VLOOKUP($A820,'Concrete Beam Schedule'!$A$2:$Q$2902,AA$2,0)&lt;&gt;K820,"Beam Revised","")</f>
        <v>#N/A</v>
      </c>
      <c r="AB820" s="7" t="e">
        <f>IF(VLOOKUP($A820,'Concrete Beam Schedule'!$A$2:$Q$2902,AB$2,0)&lt;&gt;L820,"Beam Revised","")</f>
        <v>#N/A</v>
      </c>
      <c r="AC820" s="7" t="e">
        <f>IF(VLOOKUP($A820,'Concrete Beam Schedule'!$A$2:$Q$2902,AC$2,0)&lt;&gt;M820,"Beam Revised","")</f>
        <v>#N/A</v>
      </c>
      <c r="AD820" s="7" t="e">
        <f>IF(VLOOKUP($A820,'Concrete Beam Schedule'!$A$2:$Q$2902,AD$2,0)&lt;&gt;N820,"Beam Revised","")</f>
        <v>#N/A</v>
      </c>
      <c r="AE820" s="7" t="e">
        <f>IF(VLOOKUP($A820,'Concrete Beam Schedule'!$A$2:$Q$2902,AE$2,0)&lt;&gt;O820,"Beam Revised","")</f>
        <v>#N/A</v>
      </c>
    </row>
    <row r="821" spans="17:31" ht="13.2" x14ac:dyDescent="0.25">
      <c r="Q821" s="7">
        <f t="shared" si="12"/>
        <v>0</v>
      </c>
      <c r="R821" s="7" t="e">
        <f>IF(VLOOKUP($A821,'Concrete Beam Schedule'!$A$2:$Q$2902,R$2,0)&lt;&gt;B821,VLOOKUP($A821,'Concrete Beam Schedule'!$A$2:$Q$2902,R$2,0),"")</f>
        <v>#N/A</v>
      </c>
      <c r="S821" s="7" t="e">
        <f>IF(VLOOKUP($A821,'Concrete Beam Schedule'!$A$2:$Q$2902,S$2,0)&lt;&gt;C821,VLOOKUP($A821,'Concrete Beam Schedule'!$A$2:$Q$2902,S$2,0),"")</f>
        <v>#N/A</v>
      </c>
      <c r="T821" s="7" t="e">
        <f>IF(VLOOKUP($A821,'Concrete Beam Schedule'!$A$2:$Q$2902,T$2,0)&lt;&gt;D821,"Beam Revised","")</f>
        <v>#N/A</v>
      </c>
      <c r="U821" s="7" t="e">
        <f>IF(VLOOKUP($A821,'Concrete Beam Schedule'!$A$2:$Q$2902,U$2,0)&lt;&gt;E821,"Beam Revised","")</f>
        <v>#N/A</v>
      </c>
      <c r="V821" s="7" t="e">
        <f>IF(VLOOKUP($A821,'Concrete Beam Schedule'!$A$2:$Q$2902,V$2,0)&lt;&gt;F821,"Beam Revised","")</f>
        <v>#N/A</v>
      </c>
      <c r="W821" s="7" t="e">
        <f>IF(VLOOKUP($A821,'Concrete Beam Schedule'!$A$2:$Q$2902,W$2,0)&lt;&gt;G821,"Beam Revised","")</f>
        <v>#N/A</v>
      </c>
      <c r="X821" s="7" t="e">
        <f>IF(VLOOKUP($A821,'Concrete Beam Schedule'!$A$2:$Q$2902,X$2,0)&lt;&gt;H821,"Beam Revised","")</f>
        <v>#N/A</v>
      </c>
      <c r="Y821" s="7" t="e">
        <f>IF(VLOOKUP($A821,'Concrete Beam Schedule'!$A$2:$Q$2902,Y$2,0)&lt;&gt;I821,"Beam Revised","")</f>
        <v>#N/A</v>
      </c>
      <c r="Z821" s="7" t="e">
        <f>IF(VLOOKUP($A821,'Concrete Beam Schedule'!$A$2:$Q$2902,Z$2,0)&lt;&gt;J821,"Beam Revised","")</f>
        <v>#N/A</v>
      </c>
      <c r="AA821" s="7" t="e">
        <f>IF(VLOOKUP($A821,'Concrete Beam Schedule'!$A$2:$Q$2902,AA$2,0)&lt;&gt;K821,"Beam Revised","")</f>
        <v>#N/A</v>
      </c>
      <c r="AB821" s="7" t="e">
        <f>IF(VLOOKUP($A821,'Concrete Beam Schedule'!$A$2:$Q$2902,AB$2,0)&lt;&gt;L821,"Beam Revised","")</f>
        <v>#N/A</v>
      </c>
      <c r="AC821" s="7" t="e">
        <f>IF(VLOOKUP($A821,'Concrete Beam Schedule'!$A$2:$Q$2902,AC$2,0)&lt;&gt;M821,"Beam Revised","")</f>
        <v>#N/A</v>
      </c>
      <c r="AD821" s="7" t="e">
        <f>IF(VLOOKUP($A821,'Concrete Beam Schedule'!$A$2:$Q$2902,AD$2,0)&lt;&gt;N821,"Beam Revised","")</f>
        <v>#N/A</v>
      </c>
      <c r="AE821" s="7" t="e">
        <f>IF(VLOOKUP($A821,'Concrete Beam Schedule'!$A$2:$Q$2902,AE$2,0)&lt;&gt;O821,"Beam Revised","")</f>
        <v>#N/A</v>
      </c>
    </row>
    <row r="822" spans="17:31" ht="13.2" x14ac:dyDescent="0.25">
      <c r="Q822" s="7">
        <f t="shared" si="12"/>
        <v>0</v>
      </c>
      <c r="R822" s="7" t="e">
        <f>IF(VLOOKUP($A822,'Concrete Beam Schedule'!$A$2:$Q$2902,R$2,0)&lt;&gt;B822,VLOOKUP($A822,'Concrete Beam Schedule'!$A$2:$Q$2902,R$2,0),"")</f>
        <v>#N/A</v>
      </c>
      <c r="S822" s="7" t="e">
        <f>IF(VLOOKUP($A822,'Concrete Beam Schedule'!$A$2:$Q$2902,S$2,0)&lt;&gt;C822,VLOOKUP($A822,'Concrete Beam Schedule'!$A$2:$Q$2902,S$2,0),"")</f>
        <v>#N/A</v>
      </c>
      <c r="T822" s="7" t="e">
        <f>IF(VLOOKUP($A822,'Concrete Beam Schedule'!$A$2:$Q$2902,T$2,0)&lt;&gt;D822,"Beam Revised","")</f>
        <v>#N/A</v>
      </c>
      <c r="U822" s="7" t="e">
        <f>IF(VLOOKUP($A822,'Concrete Beam Schedule'!$A$2:$Q$2902,U$2,0)&lt;&gt;E822,"Beam Revised","")</f>
        <v>#N/A</v>
      </c>
      <c r="V822" s="7" t="e">
        <f>IF(VLOOKUP($A822,'Concrete Beam Schedule'!$A$2:$Q$2902,V$2,0)&lt;&gt;F822,"Beam Revised","")</f>
        <v>#N/A</v>
      </c>
      <c r="W822" s="7" t="e">
        <f>IF(VLOOKUP($A822,'Concrete Beam Schedule'!$A$2:$Q$2902,W$2,0)&lt;&gt;G822,"Beam Revised","")</f>
        <v>#N/A</v>
      </c>
      <c r="X822" s="7" t="e">
        <f>IF(VLOOKUP($A822,'Concrete Beam Schedule'!$A$2:$Q$2902,X$2,0)&lt;&gt;H822,"Beam Revised","")</f>
        <v>#N/A</v>
      </c>
      <c r="Y822" s="7" t="e">
        <f>IF(VLOOKUP($A822,'Concrete Beam Schedule'!$A$2:$Q$2902,Y$2,0)&lt;&gt;I822,"Beam Revised","")</f>
        <v>#N/A</v>
      </c>
      <c r="Z822" s="7" t="e">
        <f>IF(VLOOKUP($A822,'Concrete Beam Schedule'!$A$2:$Q$2902,Z$2,0)&lt;&gt;J822,"Beam Revised","")</f>
        <v>#N/A</v>
      </c>
      <c r="AA822" s="7" t="e">
        <f>IF(VLOOKUP($A822,'Concrete Beam Schedule'!$A$2:$Q$2902,AA$2,0)&lt;&gt;K822,"Beam Revised","")</f>
        <v>#N/A</v>
      </c>
      <c r="AB822" s="7" t="e">
        <f>IF(VLOOKUP($A822,'Concrete Beam Schedule'!$A$2:$Q$2902,AB$2,0)&lt;&gt;L822,"Beam Revised","")</f>
        <v>#N/A</v>
      </c>
      <c r="AC822" s="7" t="e">
        <f>IF(VLOOKUP($A822,'Concrete Beam Schedule'!$A$2:$Q$2902,AC$2,0)&lt;&gt;M822,"Beam Revised","")</f>
        <v>#N/A</v>
      </c>
      <c r="AD822" s="7" t="e">
        <f>IF(VLOOKUP($A822,'Concrete Beam Schedule'!$A$2:$Q$2902,AD$2,0)&lt;&gt;N822,"Beam Revised","")</f>
        <v>#N/A</v>
      </c>
      <c r="AE822" s="7" t="e">
        <f>IF(VLOOKUP($A822,'Concrete Beam Schedule'!$A$2:$Q$2902,AE$2,0)&lt;&gt;O822,"Beam Revised","")</f>
        <v>#N/A</v>
      </c>
    </row>
    <row r="823" spans="17:31" ht="13.2" x14ac:dyDescent="0.25">
      <c r="Q823" s="7">
        <f t="shared" si="12"/>
        <v>0</v>
      </c>
      <c r="R823" s="7" t="e">
        <f>IF(VLOOKUP($A823,'Concrete Beam Schedule'!$A$2:$Q$2902,R$2,0)&lt;&gt;B823,VLOOKUP($A823,'Concrete Beam Schedule'!$A$2:$Q$2902,R$2,0),"")</f>
        <v>#N/A</v>
      </c>
      <c r="S823" s="7" t="e">
        <f>IF(VLOOKUP($A823,'Concrete Beam Schedule'!$A$2:$Q$2902,S$2,0)&lt;&gt;C823,VLOOKUP($A823,'Concrete Beam Schedule'!$A$2:$Q$2902,S$2,0),"")</f>
        <v>#N/A</v>
      </c>
      <c r="T823" s="7" t="e">
        <f>IF(VLOOKUP($A823,'Concrete Beam Schedule'!$A$2:$Q$2902,T$2,0)&lt;&gt;D823,"Beam Revised","")</f>
        <v>#N/A</v>
      </c>
      <c r="U823" s="7" t="e">
        <f>IF(VLOOKUP($A823,'Concrete Beam Schedule'!$A$2:$Q$2902,U$2,0)&lt;&gt;E823,"Beam Revised","")</f>
        <v>#N/A</v>
      </c>
      <c r="V823" s="7" t="e">
        <f>IF(VLOOKUP($A823,'Concrete Beam Schedule'!$A$2:$Q$2902,V$2,0)&lt;&gt;F823,"Beam Revised","")</f>
        <v>#N/A</v>
      </c>
      <c r="W823" s="7" t="e">
        <f>IF(VLOOKUP($A823,'Concrete Beam Schedule'!$A$2:$Q$2902,W$2,0)&lt;&gt;G823,"Beam Revised","")</f>
        <v>#N/A</v>
      </c>
      <c r="X823" s="7" t="e">
        <f>IF(VLOOKUP($A823,'Concrete Beam Schedule'!$A$2:$Q$2902,X$2,0)&lt;&gt;H823,"Beam Revised","")</f>
        <v>#N/A</v>
      </c>
      <c r="Y823" s="7" t="e">
        <f>IF(VLOOKUP($A823,'Concrete Beam Schedule'!$A$2:$Q$2902,Y$2,0)&lt;&gt;I823,"Beam Revised","")</f>
        <v>#N/A</v>
      </c>
      <c r="Z823" s="7" t="e">
        <f>IF(VLOOKUP($A823,'Concrete Beam Schedule'!$A$2:$Q$2902,Z$2,0)&lt;&gt;J823,"Beam Revised","")</f>
        <v>#N/A</v>
      </c>
      <c r="AA823" s="7" t="e">
        <f>IF(VLOOKUP($A823,'Concrete Beam Schedule'!$A$2:$Q$2902,AA$2,0)&lt;&gt;K823,"Beam Revised","")</f>
        <v>#N/A</v>
      </c>
      <c r="AB823" s="7" t="e">
        <f>IF(VLOOKUP($A823,'Concrete Beam Schedule'!$A$2:$Q$2902,AB$2,0)&lt;&gt;L823,"Beam Revised","")</f>
        <v>#N/A</v>
      </c>
      <c r="AC823" s="7" t="e">
        <f>IF(VLOOKUP($A823,'Concrete Beam Schedule'!$A$2:$Q$2902,AC$2,0)&lt;&gt;M823,"Beam Revised","")</f>
        <v>#N/A</v>
      </c>
      <c r="AD823" s="7" t="e">
        <f>IF(VLOOKUP($A823,'Concrete Beam Schedule'!$A$2:$Q$2902,AD$2,0)&lt;&gt;N823,"Beam Revised","")</f>
        <v>#N/A</v>
      </c>
      <c r="AE823" s="7" t="e">
        <f>IF(VLOOKUP($A823,'Concrete Beam Schedule'!$A$2:$Q$2902,AE$2,0)&lt;&gt;O823,"Beam Revised","")</f>
        <v>#N/A</v>
      </c>
    </row>
    <row r="824" spans="17:31" ht="13.2" x14ac:dyDescent="0.25">
      <c r="Q824" s="7">
        <f t="shared" si="12"/>
        <v>0</v>
      </c>
      <c r="R824" s="7" t="e">
        <f>IF(VLOOKUP($A824,'Concrete Beam Schedule'!$A$2:$Q$2902,R$2,0)&lt;&gt;B824,VLOOKUP($A824,'Concrete Beam Schedule'!$A$2:$Q$2902,R$2,0),"")</f>
        <v>#N/A</v>
      </c>
      <c r="S824" s="7" t="e">
        <f>IF(VLOOKUP($A824,'Concrete Beam Schedule'!$A$2:$Q$2902,S$2,0)&lt;&gt;C824,VLOOKUP($A824,'Concrete Beam Schedule'!$A$2:$Q$2902,S$2,0),"")</f>
        <v>#N/A</v>
      </c>
      <c r="T824" s="7" t="e">
        <f>IF(VLOOKUP($A824,'Concrete Beam Schedule'!$A$2:$Q$2902,T$2,0)&lt;&gt;D824,"Beam Revised","")</f>
        <v>#N/A</v>
      </c>
      <c r="U824" s="7" t="e">
        <f>IF(VLOOKUP($A824,'Concrete Beam Schedule'!$A$2:$Q$2902,U$2,0)&lt;&gt;E824,"Beam Revised","")</f>
        <v>#N/A</v>
      </c>
      <c r="V824" s="7" t="e">
        <f>IF(VLOOKUP($A824,'Concrete Beam Schedule'!$A$2:$Q$2902,V$2,0)&lt;&gt;F824,"Beam Revised","")</f>
        <v>#N/A</v>
      </c>
      <c r="W824" s="7" t="e">
        <f>IF(VLOOKUP($A824,'Concrete Beam Schedule'!$A$2:$Q$2902,W$2,0)&lt;&gt;G824,"Beam Revised","")</f>
        <v>#N/A</v>
      </c>
      <c r="X824" s="7" t="e">
        <f>IF(VLOOKUP($A824,'Concrete Beam Schedule'!$A$2:$Q$2902,X$2,0)&lt;&gt;H824,"Beam Revised","")</f>
        <v>#N/A</v>
      </c>
      <c r="Y824" s="7" t="e">
        <f>IF(VLOOKUP($A824,'Concrete Beam Schedule'!$A$2:$Q$2902,Y$2,0)&lt;&gt;I824,"Beam Revised","")</f>
        <v>#N/A</v>
      </c>
      <c r="Z824" s="7" t="e">
        <f>IF(VLOOKUP($A824,'Concrete Beam Schedule'!$A$2:$Q$2902,Z$2,0)&lt;&gt;J824,"Beam Revised","")</f>
        <v>#N/A</v>
      </c>
      <c r="AA824" s="7" t="e">
        <f>IF(VLOOKUP($A824,'Concrete Beam Schedule'!$A$2:$Q$2902,AA$2,0)&lt;&gt;K824,"Beam Revised","")</f>
        <v>#N/A</v>
      </c>
      <c r="AB824" s="7" t="e">
        <f>IF(VLOOKUP($A824,'Concrete Beam Schedule'!$A$2:$Q$2902,AB$2,0)&lt;&gt;L824,"Beam Revised","")</f>
        <v>#N/A</v>
      </c>
      <c r="AC824" s="7" t="e">
        <f>IF(VLOOKUP($A824,'Concrete Beam Schedule'!$A$2:$Q$2902,AC$2,0)&lt;&gt;M824,"Beam Revised","")</f>
        <v>#N/A</v>
      </c>
      <c r="AD824" s="7" t="e">
        <f>IF(VLOOKUP($A824,'Concrete Beam Schedule'!$A$2:$Q$2902,AD$2,0)&lt;&gt;N824,"Beam Revised","")</f>
        <v>#N/A</v>
      </c>
      <c r="AE824" s="7" t="e">
        <f>IF(VLOOKUP($A824,'Concrete Beam Schedule'!$A$2:$Q$2902,AE$2,0)&lt;&gt;O824,"Beam Revised","")</f>
        <v>#N/A</v>
      </c>
    </row>
    <row r="825" spans="17:31" ht="13.2" x14ac:dyDescent="0.25">
      <c r="Q825" s="7">
        <f t="shared" si="12"/>
        <v>0</v>
      </c>
      <c r="R825" s="7" t="e">
        <f>IF(VLOOKUP($A825,'Concrete Beam Schedule'!$A$2:$Q$2902,R$2,0)&lt;&gt;B825,VLOOKUP($A825,'Concrete Beam Schedule'!$A$2:$Q$2902,R$2,0),"")</f>
        <v>#N/A</v>
      </c>
      <c r="S825" s="7" t="e">
        <f>IF(VLOOKUP($A825,'Concrete Beam Schedule'!$A$2:$Q$2902,S$2,0)&lt;&gt;C825,VLOOKUP($A825,'Concrete Beam Schedule'!$A$2:$Q$2902,S$2,0),"")</f>
        <v>#N/A</v>
      </c>
      <c r="T825" s="7" t="e">
        <f>IF(VLOOKUP($A825,'Concrete Beam Schedule'!$A$2:$Q$2902,T$2,0)&lt;&gt;D825,"Beam Revised","")</f>
        <v>#N/A</v>
      </c>
      <c r="U825" s="7" t="e">
        <f>IF(VLOOKUP($A825,'Concrete Beam Schedule'!$A$2:$Q$2902,U$2,0)&lt;&gt;E825,"Beam Revised","")</f>
        <v>#N/A</v>
      </c>
      <c r="V825" s="7" t="e">
        <f>IF(VLOOKUP($A825,'Concrete Beam Schedule'!$A$2:$Q$2902,V$2,0)&lt;&gt;F825,"Beam Revised","")</f>
        <v>#N/A</v>
      </c>
      <c r="W825" s="7" t="e">
        <f>IF(VLOOKUP($A825,'Concrete Beam Schedule'!$A$2:$Q$2902,W$2,0)&lt;&gt;G825,"Beam Revised","")</f>
        <v>#N/A</v>
      </c>
      <c r="X825" s="7" t="e">
        <f>IF(VLOOKUP($A825,'Concrete Beam Schedule'!$A$2:$Q$2902,X$2,0)&lt;&gt;H825,"Beam Revised","")</f>
        <v>#N/A</v>
      </c>
      <c r="Y825" s="7" t="e">
        <f>IF(VLOOKUP($A825,'Concrete Beam Schedule'!$A$2:$Q$2902,Y$2,0)&lt;&gt;I825,"Beam Revised","")</f>
        <v>#N/A</v>
      </c>
      <c r="Z825" s="7" t="e">
        <f>IF(VLOOKUP($A825,'Concrete Beam Schedule'!$A$2:$Q$2902,Z$2,0)&lt;&gt;J825,"Beam Revised","")</f>
        <v>#N/A</v>
      </c>
      <c r="AA825" s="7" t="e">
        <f>IF(VLOOKUP($A825,'Concrete Beam Schedule'!$A$2:$Q$2902,AA$2,0)&lt;&gt;K825,"Beam Revised","")</f>
        <v>#N/A</v>
      </c>
      <c r="AB825" s="7" t="e">
        <f>IF(VLOOKUP($A825,'Concrete Beam Schedule'!$A$2:$Q$2902,AB$2,0)&lt;&gt;L825,"Beam Revised","")</f>
        <v>#N/A</v>
      </c>
      <c r="AC825" s="7" t="e">
        <f>IF(VLOOKUP($A825,'Concrete Beam Schedule'!$A$2:$Q$2902,AC$2,0)&lt;&gt;M825,"Beam Revised","")</f>
        <v>#N/A</v>
      </c>
      <c r="AD825" s="7" t="e">
        <f>IF(VLOOKUP($A825,'Concrete Beam Schedule'!$A$2:$Q$2902,AD$2,0)&lt;&gt;N825,"Beam Revised","")</f>
        <v>#N/A</v>
      </c>
      <c r="AE825" s="7" t="e">
        <f>IF(VLOOKUP($A825,'Concrete Beam Schedule'!$A$2:$Q$2902,AE$2,0)&lt;&gt;O825,"Beam Revised","")</f>
        <v>#N/A</v>
      </c>
    </row>
    <row r="826" spans="17:31" ht="13.2" x14ac:dyDescent="0.25">
      <c r="Q826" s="7">
        <f t="shared" si="12"/>
        <v>0</v>
      </c>
      <c r="R826" s="7" t="e">
        <f>IF(VLOOKUP($A826,'Concrete Beam Schedule'!$A$2:$Q$2902,R$2,0)&lt;&gt;B826,VLOOKUP($A826,'Concrete Beam Schedule'!$A$2:$Q$2902,R$2,0),"")</f>
        <v>#N/A</v>
      </c>
      <c r="S826" s="7" t="e">
        <f>IF(VLOOKUP($A826,'Concrete Beam Schedule'!$A$2:$Q$2902,S$2,0)&lt;&gt;C826,VLOOKUP($A826,'Concrete Beam Schedule'!$A$2:$Q$2902,S$2,0),"")</f>
        <v>#N/A</v>
      </c>
      <c r="T826" s="7" t="e">
        <f>IF(VLOOKUP($A826,'Concrete Beam Schedule'!$A$2:$Q$2902,T$2,0)&lt;&gt;D826,"Beam Revised","")</f>
        <v>#N/A</v>
      </c>
      <c r="U826" s="7" t="e">
        <f>IF(VLOOKUP($A826,'Concrete Beam Schedule'!$A$2:$Q$2902,U$2,0)&lt;&gt;E826,"Beam Revised","")</f>
        <v>#N/A</v>
      </c>
      <c r="V826" s="7" t="e">
        <f>IF(VLOOKUP($A826,'Concrete Beam Schedule'!$A$2:$Q$2902,V$2,0)&lt;&gt;F826,"Beam Revised","")</f>
        <v>#N/A</v>
      </c>
      <c r="W826" s="7" t="e">
        <f>IF(VLOOKUP($A826,'Concrete Beam Schedule'!$A$2:$Q$2902,W$2,0)&lt;&gt;G826,"Beam Revised","")</f>
        <v>#N/A</v>
      </c>
      <c r="X826" s="7" t="e">
        <f>IF(VLOOKUP($A826,'Concrete Beam Schedule'!$A$2:$Q$2902,X$2,0)&lt;&gt;H826,"Beam Revised","")</f>
        <v>#N/A</v>
      </c>
      <c r="Y826" s="7" t="e">
        <f>IF(VLOOKUP($A826,'Concrete Beam Schedule'!$A$2:$Q$2902,Y$2,0)&lt;&gt;I826,"Beam Revised","")</f>
        <v>#N/A</v>
      </c>
      <c r="Z826" s="7" t="e">
        <f>IF(VLOOKUP($A826,'Concrete Beam Schedule'!$A$2:$Q$2902,Z$2,0)&lt;&gt;J826,"Beam Revised","")</f>
        <v>#N/A</v>
      </c>
      <c r="AA826" s="7" t="e">
        <f>IF(VLOOKUP($A826,'Concrete Beam Schedule'!$A$2:$Q$2902,AA$2,0)&lt;&gt;K826,"Beam Revised","")</f>
        <v>#N/A</v>
      </c>
      <c r="AB826" s="7" t="e">
        <f>IF(VLOOKUP($A826,'Concrete Beam Schedule'!$A$2:$Q$2902,AB$2,0)&lt;&gt;L826,"Beam Revised","")</f>
        <v>#N/A</v>
      </c>
      <c r="AC826" s="7" t="e">
        <f>IF(VLOOKUP($A826,'Concrete Beam Schedule'!$A$2:$Q$2902,AC$2,0)&lt;&gt;M826,"Beam Revised","")</f>
        <v>#N/A</v>
      </c>
      <c r="AD826" s="7" t="e">
        <f>IF(VLOOKUP($A826,'Concrete Beam Schedule'!$A$2:$Q$2902,AD$2,0)&lt;&gt;N826,"Beam Revised","")</f>
        <v>#N/A</v>
      </c>
      <c r="AE826" s="7" t="e">
        <f>IF(VLOOKUP($A826,'Concrete Beam Schedule'!$A$2:$Q$2902,AE$2,0)&lt;&gt;O826,"Beam Revised","")</f>
        <v>#N/A</v>
      </c>
    </row>
    <row r="827" spans="17:31" ht="13.2" x14ac:dyDescent="0.25">
      <c r="Q827" s="7">
        <f t="shared" si="12"/>
        <v>0</v>
      </c>
      <c r="R827" s="7" t="e">
        <f>IF(VLOOKUP($A827,'Concrete Beam Schedule'!$A$2:$Q$2902,R$2,0)&lt;&gt;B827,VLOOKUP($A827,'Concrete Beam Schedule'!$A$2:$Q$2902,R$2,0),"")</f>
        <v>#N/A</v>
      </c>
      <c r="S827" s="7" t="e">
        <f>IF(VLOOKUP($A827,'Concrete Beam Schedule'!$A$2:$Q$2902,S$2,0)&lt;&gt;C827,VLOOKUP($A827,'Concrete Beam Schedule'!$A$2:$Q$2902,S$2,0),"")</f>
        <v>#N/A</v>
      </c>
      <c r="T827" s="7" t="e">
        <f>IF(VLOOKUP($A827,'Concrete Beam Schedule'!$A$2:$Q$2902,T$2,0)&lt;&gt;D827,"Beam Revised","")</f>
        <v>#N/A</v>
      </c>
      <c r="U827" s="7" t="e">
        <f>IF(VLOOKUP($A827,'Concrete Beam Schedule'!$A$2:$Q$2902,U$2,0)&lt;&gt;E827,"Beam Revised","")</f>
        <v>#N/A</v>
      </c>
      <c r="V827" s="7" t="e">
        <f>IF(VLOOKUP($A827,'Concrete Beam Schedule'!$A$2:$Q$2902,V$2,0)&lt;&gt;F827,"Beam Revised","")</f>
        <v>#N/A</v>
      </c>
      <c r="W827" s="7" t="e">
        <f>IF(VLOOKUP($A827,'Concrete Beam Schedule'!$A$2:$Q$2902,W$2,0)&lt;&gt;G827,"Beam Revised","")</f>
        <v>#N/A</v>
      </c>
      <c r="X827" s="7" t="e">
        <f>IF(VLOOKUP($A827,'Concrete Beam Schedule'!$A$2:$Q$2902,X$2,0)&lt;&gt;H827,"Beam Revised","")</f>
        <v>#N/A</v>
      </c>
      <c r="Y827" s="7" t="e">
        <f>IF(VLOOKUP($A827,'Concrete Beam Schedule'!$A$2:$Q$2902,Y$2,0)&lt;&gt;I827,"Beam Revised","")</f>
        <v>#N/A</v>
      </c>
      <c r="Z827" s="7" t="e">
        <f>IF(VLOOKUP($A827,'Concrete Beam Schedule'!$A$2:$Q$2902,Z$2,0)&lt;&gt;J827,"Beam Revised","")</f>
        <v>#N/A</v>
      </c>
      <c r="AA827" s="7" t="e">
        <f>IF(VLOOKUP($A827,'Concrete Beam Schedule'!$A$2:$Q$2902,AA$2,0)&lt;&gt;K827,"Beam Revised","")</f>
        <v>#N/A</v>
      </c>
      <c r="AB827" s="7" t="e">
        <f>IF(VLOOKUP($A827,'Concrete Beam Schedule'!$A$2:$Q$2902,AB$2,0)&lt;&gt;L827,"Beam Revised","")</f>
        <v>#N/A</v>
      </c>
      <c r="AC827" s="7" t="e">
        <f>IF(VLOOKUP($A827,'Concrete Beam Schedule'!$A$2:$Q$2902,AC$2,0)&lt;&gt;M827,"Beam Revised","")</f>
        <v>#N/A</v>
      </c>
      <c r="AD827" s="7" t="e">
        <f>IF(VLOOKUP($A827,'Concrete Beam Schedule'!$A$2:$Q$2902,AD$2,0)&lt;&gt;N827,"Beam Revised","")</f>
        <v>#N/A</v>
      </c>
      <c r="AE827" s="7" t="e">
        <f>IF(VLOOKUP($A827,'Concrete Beam Schedule'!$A$2:$Q$2902,AE$2,0)&lt;&gt;O827,"Beam Revised","")</f>
        <v>#N/A</v>
      </c>
    </row>
    <row r="828" spans="17:31" ht="13.2" x14ac:dyDescent="0.25">
      <c r="Q828" s="7">
        <f t="shared" si="12"/>
        <v>0</v>
      </c>
      <c r="R828" s="7" t="e">
        <f>IF(VLOOKUP($A828,'Concrete Beam Schedule'!$A$2:$Q$2902,R$2,0)&lt;&gt;B828,VLOOKUP($A828,'Concrete Beam Schedule'!$A$2:$Q$2902,R$2,0),"")</f>
        <v>#N/A</v>
      </c>
      <c r="S828" s="7" t="e">
        <f>IF(VLOOKUP($A828,'Concrete Beam Schedule'!$A$2:$Q$2902,S$2,0)&lt;&gt;C828,VLOOKUP($A828,'Concrete Beam Schedule'!$A$2:$Q$2902,S$2,0),"")</f>
        <v>#N/A</v>
      </c>
      <c r="T828" s="7" t="e">
        <f>IF(VLOOKUP($A828,'Concrete Beam Schedule'!$A$2:$Q$2902,T$2,0)&lt;&gt;D828,"Beam Revised","")</f>
        <v>#N/A</v>
      </c>
      <c r="U828" s="7" t="e">
        <f>IF(VLOOKUP($A828,'Concrete Beam Schedule'!$A$2:$Q$2902,U$2,0)&lt;&gt;E828,"Beam Revised","")</f>
        <v>#N/A</v>
      </c>
      <c r="V828" s="7" t="e">
        <f>IF(VLOOKUP($A828,'Concrete Beam Schedule'!$A$2:$Q$2902,V$2,0)&lt;&gt;F828,"Beam Revised","")</f>
        <v>#N/A</v>
      </c>
      <c r="W828" s="7" t="e">
        <f>IF(VLOOKUP($A828,'Concrete Beam Schedule'!$A$2:$Q$2902,W$2,0)&lt;&gt;G828,"Beam Revised","")</f>
        <v>#N/A</v>
      </c>
      <c r="X828" s="7" t="e">
        <f>IF(VLOOKUP($A828,'Concrete Beam Schedule'!$A$2:$Q$2902,X$2,0)&lt;&gt;H828,"Beam Revised","")</f>
        <v>#N/A</v>
      </c>
      <c r="Y828" s="7" t="e">
        <f>IF(VLOOKUP($A828,'Concrete Beam Schedule'!$A$2:$Q$2902,Y$2,0)&lt;&gt;I828,"Beam Revised","")</f>
        <v>#N/A</v>
      </c>
      <c r="Z828" s="7" t="e">
        <f>IF(VLOOKUP($A828,'Concrete Beam Schedule'!$A$2:$Q$2902,Z$2,0)&lt;&gt;J828,"Beam Revised","")</f>
        <v>#N/A</v>
      </c>
      <c r="AA828" s="7" t="e">
        <f>IF(VLOOKUP($A828,'Concrete Beam Schedule'!$A$2:$Q$2902,AA$2,0)&lt;&gt;K828,"Beam Revised","")</f>
        <v>#N/A</v>
      </c>
      <c r="AB828" s="7" t="e">
        <f>IF(VLOOKUP($A828,'Concrete Beam Schedule'!$A$2:$Q$2902,AB$2,0)&lt;&gt;L828,"Beam Revised","")</f>
        <v>#N/A</v>
      </c>
      <c r="AC828" s="7" t="e">
        <f>IF(VLOOKUP($A828,'Concrete Beam Schedule'!$A$2:$Q$2902,AC$2,0)&lt;&gt;M828,"Beam Revised","")</f>
        <v>#N/A</v>
      </c>
      <c r="AD828" s="7" t="e">
        <f>IF(VLOOKUP($A828,'Concrete Beam Schedule'!$A$2:$Q$2902,AD$2,0)&lt;&gt;N828,"Beam Revised","")</f>
        <v>#N/A</v>
      </c>
      <c r="AE828" s="7" t="e">
        <f>IF(VLOOKUP($A828,'Concrete Beam Schedule'!$A$2:$Q$2902,AE$2,0)&lt;&gt;O828,"Beam Revised","")</f>
        <v>#N/A</v>
      </c>
    </row>
    <row r="829" spans="17:31" ht="13.2" x14ac:dyDescent="0.25">
      <c r="Q829" s="7">
        <f t="shared" si="12"/>
        <v>0</v>
      </c>
      <c r="R829" s="7" t="e">
        <f>IF(VLOOKUP($A829,'Concrete Beam Schedule'!$A$2:$Q$2902,R$2,0)&lt;&gt;B829,VLOOKUP($A829,'Concrete Beam Schedule'!$A$2:$Q$2902,R$2,0),"")</f>
        <v>#N/A</v>
      </c>
      <c r="S829" s="7" t="e">
        <f>IF(VLOOKUP($A829,'Concrete Beam Schedule'!$A$2:$Q$2902,S$2,0)&lt;&gt;C829,VLOOKUP($A829,'Concrete Beam Schedule'!$A$2:$Q$2902,S$2,0),"")</f>
        <v>#N/A</v>
      </c>
      <c r="T829" s="7" t="e">
        <f>IF(VLOOKUP($A829,'Concrete Beam Schedule'!$A$2:$Q$2902,T$2,0)&lt;&gt;D829,"Beam Revised","")</f>
        <v>#N/A</v>
      </c>
      <c r="U829" s="7" t="e">
        <f>IF(VLOOKUP($A829,'Concrete Beam Schedule'!$A$2:$Q$2902,U$2,0)&lt;&gt;E829,"Beam Revised","")</f>
        <v>#N/A</v>
      </c>
      <c r="V829" s="7" t="e">
        <f>IF(VLOOKUP($A829,'Concrete Beam Schedule'!$A$2:$Q$2902,V$2,0)&lt;&gt;F829,"Beam Revised","")</f>
        <v>#N/A</v>
      </c>
      <c r="W829" s="7" t="e">
        <f>IF(VLOOKUP($A829,'Concrete Beam Schedule'!$A$2:$Q$2902,W$2,0)&lt;&gt;G829,"Beam Revised","")</f>
        <v>#N/A</v>
      </c>
      <c r="X829" s="7" t="e">
        <f>IF(VLOOKUP($A829,'Concrete Beam Schedule'!$A$2:$Q$2902,X$2,0)&lt;&gt;H829,"Beam Revised","")</f>
        <v>#N/A</v>
      </c>
      <c r="Y829" s="7" t="e">
        <f>IF(VLOOKUP($A829,'Concrete Beam Schedule'!$A$2:$Q$2902,Y$2,0)&lt;&gt;I829,"Beam Revised","")</f>
        <v>#N/A</v>
      </c>
      <c r="Z829" s="7" t="e">
        <f>IF(VLOOKUP($A829,'Concrete Beam Schedule'!$A$2:$Q$2902,Z$2,0)&lt;&gt;J829,"Beam Revised","")</f>
        <v>#N/A</v>
      </c>
      <c r="AA829" s="7" t="e">
        <f>IF(VLOOKUP($A829,'Concrete Beam Schedule'!$A$2:$Q$2902,AA$2,0)&lt;&gt;K829,"Beam Revised","")</f>
        <v>#N/A</v>
      </c>
      <c r="AB829" s="7" t="e">
        <f>IF(VLOOKUP($A829,'Concrete Beam Schedule'!$A$2:$Q$2902,AB$2,0)&lt;&gt;L829,"Beam Revised","")</f>
        <v>#N/A</v>
      </c>
      <c r="AC829" s="7" t="e">
        <f>IF(VLOOKUP($A829,'Concrete Beam Schedule'!$A$2:$Q$2902,AC$2,0)&lt;&gt;M829,"Beam Revised","")</f>
        <v>#N/A</v>
      </c>
      <c r="AD829" s="7" t="e">
        <f>IF(VLOOKUP($A829,'Concrete Beam Schedule'!$A$2:$Q$2902,AD$2,0)&lt;&gt;N829,"Beam Revised","")</f>
        <v>#N/A</v>
      </c>
      <c r="AE829" s="7" t="e">
        <f>IF(VLOOKUP($A829,'Concrete Beam Schedule'!$A$2:$Q$2902,AE$2,0)&lt;&gt;O829,"Beam Revised","")</f>
        <v>#N/A</v>
      </c>
    </row>
    <row r="830" spans="17:31" ht="13.2" x14ac:dyDescent="0.25">
      <c r="Q830" s="7">
        <f t="shared" si="12"/>
        <v>0</v>
      </c>
      <c r="R830" s="7" t="e">
        <f>IF(VLOOKUP($A830,'Concrete Beam Schedule'!$A$2:$Q$2902,R$2,0)&lt;&gt;B830,VLOOKUP($A830,'Concrete Beam Schedule'!$A$2:$Q$2902,R$2,0),"")</f>
        <v>#N/A</v>
      </c>
      <c r="S830" s="7" t="e">
        <f>IF(VLOOKUP($A830,'Concrete Beam Schedule'!$A$2:$Q$2902,S$2,0)&lt;&gt;C830,VLOOKUP($A830,'Concrete Beam Schedule'!$A$2:$Q$2902,S$2,0),"")</f>
        <v>#N/A</v>
      </c>
      <c r="T830" s="7" t="e">
        <f>IF(VLOOKUP($A830,'Concrete Beam Schedule'!$A$2:$Q$2902,T$2,0)&lt;&gt;D830,"Beam Revised","")</f>
        <v>#N/A</v>
      </c>
      <c r="U830" s="7" t="e">
        <f>IF(VLOOKUP($A830,'Concrete Beam Schedule'!$A$2:$Q$2902,U$2,0)&lt;&gt;E830,"Beam Revised","")</f>
        <v>#N/A</v>
      </c>
      <c r="V830" s="7" t="e">
        <f>IF(VLOOKUP($A830,'Concrete Beam Schedule'!$A$2:$Q$2902,V$2,0)&lt;&gt;F830,"Beam Revised","")</f>
        <v>#N/A</v>
      </c>
      <c r="W830" s="7" t="e">
        <f>IF(VLOOKUP($A830,'Concrete Beam Schedule'!$A$2:$Q$2902,W$2,0)&lt;&gt;G830,"Beam Revised","")</f>
        <v>#N/A</v>
      </c>
      <c r="X830" s="7" t="e">
        <f>IF(VLOOKUP($A830,'Concrete Beam Schedule'!$A$2:$Q$2902,X$2,0)&lt;&gt;H830,"Beam Revised","")</f>
        <v>#N/A</v>
      </c>
      <c r="Y830" s="7" t="e">
        <f>IF(VLOOKUP($A830,'Concrete Beam Schedule'!$A$2:$Q$2902,Y$2,0)&lt;&gt;I830,"Beam Revised","")</f>
        <v>#N/A</v>
      </c>
      <c r="Z830" s="7" t="e">
        <f>IF(VLOOKUP($A830,'Concrete Beam Schedule'!$A$2:$Q$2902,Z$2,0)&lt;&gt;J830,"Beam Revised","")</f>
        <v>#N/A</v>
      </c>
      <c r="AA830" s="7" t="e">
        <f>IF(VLOOKUP($A830,'Concrete Beam Schedule'!$A$2:$Q$2902,AA$2,0)&lt;&gt;K830,"Beam Revised","")</f>
        <v>#N/A</v>
      </c>
      <c r="AB830" s="7" t="e">
        <f>IF(VLOOKUP($A830,'Concrete Beam Schedule'!$A$2:$Q$2902,AB$2,0)&lt;&gt;L830,"Beam Revised","")</f>
        <v>#N/A</v>
      </c>
      <c r="AC830" s="7" t="e">
        <f>IF(VLOOKUP($A830,'Concrete Beam Schedule'!$A$2:$Q$2902,AC$2,0)&lt;&gt;M830,"Beam Revised","")</f>
        <v>#N/A</v>
      </c>
      <c r="AD830" s="7" t="e">
        <f>IF(VLOOKUP($A830,'Concrete Beam Schedule'!$A$2:$Q$2902,AD$2,0)&lt;&gt;N830,"Beam Revised","")</f>
        <v>#N/A</v>
      </c>
      <c r="AE830" s="7" t="e">
        <f>IF(VLOOKUP($A830,'Concrete Beam Schedule'!$A$2:$Q$2902,AE$2,0)&lt;&gt;O830,"Beam Revised","")</f>
        <v>#N/A</v>
      </c>
    </row>
    <row r="831" spans="17:31" ht="13.2" x14ac:dyDescent="0.25">
      <c r="Q831" s="7">
        <f t="shared" si="12"/>
        <v>0</v>
      </c>
      <c r="R831" s="7" t="e">
        <f>IF(VLOOKUP($A831,'Concrete Beam Schedule'!$A$2:$Q$2902,R$2,0)&lt;&gt;B831,VLOOKUP($A831,'Concrete Beam Schedule'!$A$2:$Q$2902,R$2,0),"")</f>
        <v>#N/A</v>
      </c>
      <c r="S831" s="7" t="e">
        <f>IF(VLOOKUP($A831,'Concrete Beam Schedule'!$A$2:$Q$2902,S$2,0)&lt;&gt;C831,VLOOKUP($A831,'Concrete Beam Schedule'!$A$2:$Q$2902,S$2,0),"")</f>
        <v>#N/A</v>
      </c>
      <c r="T831" s="7" t="e">
        <f>IF(VLOOKUP($A831,'Concrete Beam Schedule'!$A$2:$Q$2902,T$2,0)&lt;&gt;D831,"Beam Revised","")</f>
        <v>#N/A</v>
      </c>
      <c r="U831" s="7" t="e">
        <f>IF(VLOOKUP($A831,'Concrete Beam Schedule'!$A$2:$Q$2902,U$2,0)&lt;&gt;E831,"Beam Revised","")</f>
        <v>#N/A</v>
      </c>
      <c r="V831" s="7" t="e">
        <f>IF(VLOOKUP($A831,'Concrete Beam Schedule'!$A$2:$Q$2902,V$2,0)&lt;&gt;F831,"Beam Revised","")</f>
        <v>#N/A</v>
      </c>
      <c r="W831" s="7" t="e">
        <f>IF(VLOOKUP($A831,'Concrete Beam Schedule'!$A$2:$Q$2902,W$2,0)&lt;&gt;G831,"Beam Revised","")</f>
        <v>#N/A</v>
      </c>
      <c r="X831" s="7" t="e">
        <f>IF(VLOOKUP($A831,'Concrete Beam Schedule'!$A$2:$Q$2902,X$2,0)&lt;&gt;H831,"Beam Revised","")</f>
        <v>#N/A</v>
      </c>
      <c r="Y831" s="7" t="e">
        <f>IF(VLOOKUP($A831,'Concrete Beam Schedule'!$A$2:$Q$2902,Y$2,0)&lt;&gt;I831,"Beam Revised","")</f>
        <v>#N/A</v>
      </c>
      <c r="Z831" s="7" t="e">
        <f>IF(VLOOKUP($A831,'Concrete Beam Schedule'!$A$2:$Q$2902,Z$2,0)&lt;&gt;J831,"Beam Revised","")</f>
        <v>#N/A</v>
      </c>
      <c r="AA831" s="7" t="e">
        <f>IF(VLOOKUP($A831,'Concrete Beam Schedule'!$A$2:$Q$2902,AA$2,0)&lt;&gt;K831,"Beam Revised","")</f>
        <v>#N/A</v>
      </c>
      <c r="AB831" s="7" t="e">
        <f>IF(VLOOKUP($A831,'Concrete Beam Schedule'!$A$2:$Q$2902,AB$2,0)&lt;&gt;L831,"Beam Revised","")</f>
        <v>#N/A</v>
      </c>
      <c r="AC831" s="7" t="e">
        <f>IF(VLOOKUP($A831,'Concrete Beam Schedule'!$A$2:$Q$2902,AC$2,0)&lt;&gt;M831,"Beam Revised","")</f>
        <v>#N/A</v>
      </c>
      <c r="AD831" s="7" t="e">
        <f>IF(VLOOKUP($A831,'Concrete Beam Schedule'!$A$2:$Q$2902,AD$2,0)&lt;&gt;N831,"Beam Revised","")</f>
        <v>#N/A</v>
      </c>
      <c r="AE831" s="7" t="e">
        <f>IF(VLOOKUP($A831,'Concrete Beam Schedule'!$A$2:$Q$2902,AE$2,0)&lt;&gt;O831,"Beam Revised","")</f>
        <v>#N/A</v>
      </c>
    </row>
    <row r="832" spans="17:31" ht="13.2" x14ac:dyDescent="0.25">
      <c r="Q832" s="7">
        <f t="shared" si="12"/>
        <v>0</v>
      </c>
      <c r="R832" s="7" t="e">
        <f>IF(VLOOKUP($A832,'Concrete Beam Schedule'!$A$2:$Q$2902,R$2,0)&lt;&gt;B832,VLOOKUP($A832,'Concrete Beam Schedule'!$A$2:$Q$2902,R$2,0),"")</f>
        <v>#N/A</v>
      </c>
      <c r="S832" s="7" t="e">
        <f>IF(VLOOKUP($A832,'Concrete Beam Schedule'!$A$2:$Q$2902,S$2,0)&lt;&gt;C832,VLOOKUP($A832,'Concrete Beam Schedule'!$A$2:$Q$2902,S$2,0),"")</f>
        <v>#N/A</v>
      </c>
      <c r="T832" s="7" t="e">
        <f>IF(VLOOKUP($A832,'Concrete Beam Schedule'!$A$2:$Q$2902,T$2,0)&lt;&gt;D832,"Beam Revised","")</f>
        <v>#N/A</v>
      </c>
      <c r="U832" s="7" t="e">
        <f>IF(VLOOKUP($A832,'Concrete Beam Schedule'!$A$2:$Q$2902,U$2,0)&lt;&gt;E832,"Beam Revised","")</f>
        <v>#N/A</v>
      </c>
      <c r="V832" s="7" t="e">
        <f>IF(VLOOKUP($A832,'Concrete Beam Schedule'!$A$2:$Q$2902,V$2,0)&lt;&gt;F832,"Beam Revised","")</f>
        <v>#N/A</v>
      </c>
      <c r="W832" s="7" t="e">
        <f>IF(VLOOKUP($A832,'Concrete Beam Schedule'!$A$2:$Q$2902,W$2,0)&lt;&gt;G832,"Beam Revised","")</f>
        <v>#N/A</v>
      </c>
      <c r="X832" s="7" t="e">
        <f>IF(VLOOKUP($A832,'Concrete Beam Schedule'!$A$2:$Q$2902,X$2,0)&lt;&gt;H832,"Beam Revised","")</f>
        <v>#N/A</v>
      </c>
      <c r="Y832" s="7" t="e">
        <f>IF(VLOOKUP($A832,'Concrete Beam Schedule'!$A$2:$Q$2902,Y$2,0)&lt;&gt;I832,"Beam Revised","")</f>
        <v>#N/A</v>
      </c>
      <c r="Z832" s="7" t="e">
        <f>IF(VLOOKUP($A832,'Concrete Beam Schedule'!$A$2:$Q$2902,Z$2,0)&lt;&gt;J832,"Beam Revised","")</f>
        <v>#N/A</v>
      </c>
      <c r="AA832" s="7" t="e">
        <f>IF(VLOOKUP($A832,'Concrete Beam Schedule'!$A$2:$Q$2902,AA$2,0)&lt;&gt;K832,"Beam Revised","")</f>
        <v>#N/A</v>
      </c>
      <c r="AB832" s="7" t="e">
        <f>IF(VLOOKUP($A832,'Concrete Beam Schedule'!$A$2:$Q$2902,AB$2,0)&lt;&gt;L832,"Beam Revised","")</f>
        <v>#N/A</v>
      </c>
      <c r="AC832" s="7" t="e">
        <f>IF(VLOOKUP($A832,'Concrete Beam Schedule'!$A$2:$Q$2902,AC$2,0)&lt;&gt;M832,"Beam Revised","")</f>
        <v>#N/A</v>
      </c>
      <c r="AD832" s="7" t="e">
        <f>IF(VLOOKUP($A832,'Concrete Beam Schedule'!$A$2:$Q$2902,AD$2,0)&lt;&gt;N832,"Beam Revised","")</f>
        <v>#N/A</v>
      </c>
      <c r="AE832" s="7" t="e">
        <f>IF(VLOOKUP($A832,'Concrete Beam Schedule'!$A$2:$Q$2902,AE$2,0)&lt;&gt;O832,"Beam Revised","")</f>
        <v>#N/A</v>
      </c>
    </row>
    <row r="833" spans="17:31" ht="13.2" x14ac:dyDescent="0.25">
      <c r="Q833" s="7">
        <f t="shared" si="12"/>
        <v>0</v>
      </c>
      <c r="R833" s="7" t="e">
        <f>IF(VLOOKUP($A833,'Concrete Beam Schedule'!$A$2:$Q$2902,R$2,0)&lt;&gt;B833,VLOOKUP($A833,'Concrete Beam Schedule'!$A$2:$Q$2902,R$2,0),"")</f>
        <v>#N/A</v>
      </c>
      <c r="S833" s="7" t="e">
        <f>IF(VLOOKUP($A833,'Concrete Beam Schedule'!$A$2:$Q$2902,S$2,0)&lt;&gt;C833,VLOOKUP($A833,'Concrete Beam Schedule'!$A$2:$Q$2902,S$2,0),"")</f>
        <v>#N/A</v>
      </c>
      <c r="T833" s="7" t="e">
        <f>IF(VLOOKUP($A833,'Concrete Beam Schedule'!$A$2:$Q$2902,T$2,0)&lt;&gt;D833,"Beam Revised","")</f>
        <v>#N/A</v>
      </c>
      <c r="U833" s="7" t="e">
        <f>IF(VLOOKUP($A833,'Concrete Beam Schedule'!$A$2:$Q$2902,U$2,0)&lt;&gt;E833,"Beam Revised","")</f>
        <v>#N/A</v>
      </c>
      <c r="V833" s="7" t="e">
        <f>IF(VLOOKUP($A833,'Concrete Beam Schedule'!$A$2:$Q$2902,V$2,0)&lt;&gt;F833,"Beam Revised","")</f>
        <v>#N/A</v>
      </c>
      <c r="W833" s="7" t="e">
        <f>IF(VLOOKUP($A833,'Concrete Beam Schedule'!$A$2:$Q$2902,W$2,0)&lt;&gt;G833,"Beam Revised","")</f>
        <v>#N/A</v>
      </c>
      <c r="X833" s="7" t="e">
        <f>IF(VLOOKUP($A833,'Concrete Beam Schedule'!$A$2:$Q$2902,X$2,0)&lt;&gt;H833,"Beam Revised","")</f>
        <v>#N/A</v>
      </c>
      <c r="Y833" s="7" t="e">
        <f>IF(VLOOKUP($A833,'Concrete Beam Schedule'!$A$2:$Q$2902,Y$2,0)&lt;&gt;I833,"Beam Revised","")</f>
        <v>#N/A</v>
      </c>
      <c r="Z833" s="7" t="e">
        <f>IF(VLOOKUP($A833,'Concrete Beam Schedule'!$A$2:$Q$2902,Z$2,0)&lt;&gt;J833,"Beam Revised","")</f>
        <v>#N/A</v>
      </c>
      <c r="AA833" s="7" t="e">
        <f>IF(VLOOKUP($A833,'Concrete Beam Schedule'!$A$2:$Q$2902,AA$2,0)&lt;&gt;K833,"Beam Revised","")</f>
        <v>#N/A</v>
      </c>
      <c r="AB833" s="7" t="e">
        <f>IF(VLOOKUP($A833,'Concrete Beam Schedule'!$A$2:$Q$2902,AB$2,0)&lt;&gt;L833,"Beam Revised","")</f>
        <v>#N/A</v>
      </c>
      <c r="AC833" s="7" t="e">
        <f>IF(VLOOKUP($A833,'Concrete Beam Schedule'!$A$2:$Q$2902,AC$2,0)&lt;&gt;M833,"Beam Revised","")</f>
        <v>#N/A</v>
      </c>
      <c r="AD833" s="7" t="e">
        <f>IF(VLOOKUP($A833,'Concrete Beam Schedule'!$A$2:$Q$2902,AD$2,0)&lt;&gt;N833,"Beam Revised","")</f>
        <v>#N/A</v>
      </c>
      <c r="AE833" s="7" t="e">
        <f>IF(VLOOKUP($A833,'Concrete Beam Schedule'!$A$2:$Q$2902,AE$2,0)&lt;&gt;O833,"Beam Revised","")</f>
        <v>#N/A</v>
      </c>
    </row>
    <row r="834" spans="17:31" ht="13.2" x14ac:dyDescent="0.25">
      <c r="Q834" s="7">
        <f t="shared" si="12"/>
        <v>0</v>
      </c>
      <c r="R834" s="7" t="e">
        <f>IF(VLOOKUP($A834,'Concrete Beam Schedule'!$A$2:$Q$2902,R$2,0)&lt;&gt;B834,VLOOKUP($A834,'Concrete Beam Schedule'!$A$2:$Q$2902,R$2,0),"")</f>
        <v>#N/A</v>
      </c>
      <c r="S834" s="7" t="e">
        <f>IF(VLOOKUP($A834,'Concrete Beam Schedule'!$A$2:$Q$2902,S$2,0)&lt;&gt;C834,VLOOKUP($A834,'Concrete Beam Schedule'!$A$2:$Q$2902,S$2,0),"")</f>
        <v>#N/A</v>
      </c>
      <c r="T834" s="7" t="e">
        <f>IF(VLOOKUP($A834,'Concrete Beam Schedule'!$A$2:$Q$2902,T$2,0)&lt;&gt;D834,"Beam Revised","")</f>
        <v>#N/A</v>
      </c>
      <c r="U834" s="7" t="e">
        <f>IF(VLOOKUP($A834,'Concrete Beam Schedule'!$A$2:$Q$2902,U$2,0)&lt;&gt;E834,"Beam Revised","")</f>
        <v>#N/A</v>
      </c>
      <c r="V834" s="7" t="e">
        <f>IF(VLOOKUP($A834,'Concrete Beam Schedule'!$A$2:$Q$2902,V$2,0)&lt;&gt;F834,"Beam Revised","")</f>
        <v>#N/A</v>
      </c>
      <c r="W834" s="7" t="e">
        <f>IF(VLOOKUP($A834,'Concrete Beam Schedule'!$A$2:$Q$2902,W$2,0)&lt;&gt;G834,"Beam Revised","")</f>
        <v>#N/A</v>
      </c>
      <c r="X834" s="7" t="e">
        <f>IF(VLOOKUP($A834,'Concrete Beam Schedule'!$A$2:$Q$2902,X$2,0)&lt;&gt;H834,"Beam Revised","")</f>
        <v>#N/A</v>
      </c>
      <c r="Y834" s="7" t="e">
        <f>IF(VLOOKUP($A834,'Concrete Beam Schedule'!$A$2:$Q$2902,Y$2,0)&lt;&gt;I834,"Beam Revised","")</f>
        <v>#N/A</v>
      </c>
      <c r="Z834" s="7" t="e">
        <f>IF(VLOOKUP($A834,'Concrete Beam Schedule'!$A$2:$Q$2902,Z$2,0)&lt;&gt;J834,"Beam Revised","")</f>
        <v>#N/A</v>
      </c>
      <c r="AA834" s="7" t="e">
        <f>IF(VLOOKUP($A834,'Concrete Beam Schedule'!$A$2:$Q$2902,AA$2,0)&lt;&gt;K834,"Beam Revised","")</f>
        <v>#N/A</v>
      </c>
      <c r="AB834" s="7" t="e">
        <f>IF(VLOOKUP($A834,'Concrete Beam Schedule'!$A$2:$Q$2902,AB$2,0)&lt;&gt;L834,"Beam Revised","")</f>
        <v>#N/A</v>
      </c>
      <c r="AC834" s="7" t="e">
        <f>IF(VLOOKUP($A834,'Concrete Beam Schedule'!$A$2:$Q$2902,AC$2,0)&lt;&gt;M834,"Beam Revised","")</f>
        <v>#N/A</v>
      </c>
      <c r="AD834" s="7" t="e">
        <f>IF(VLOOKUP($A834,'Concrete Beam Schedule'!$A$2:$Q$2902,AD$2,0)&lt;&gt;N834,"Beam Revised","")</f>
        <v>#N/A</v>
      </c>
      <c r="AE834" s="7" t="e">
        <f>IF(VLOOKUP($A834,'Concrete Beam Schedule'!$A$2:$Q$2902,AE$2,0)&lt;&gt;O834,"Beam Revised","")</f>
        <v>#N/A</v>
      </c>
    </row>
    <row r="835" spans="17:31" ht="13.2" x14ac:dyDescent="0.25">
      <c r="Q835" s="7">
        <f t="shared" si="12"/>
        <v>0</v>
      </c>
      <c r="R835" s="7" t="e">
        <f>IF(VLOOKUP($A835,'Concrete Beam Schedule'!$A$2:$Q$2902,R$2,0)&lt;&gt;B835,VLOOKUP($A835,'Concrete Beam Schedule'!$A$2:$Q$2902,R$2,0),"")</f>
        <v>#N/A</v>
      </c>
      <c r="S835" s="7" t="e">
        <f>IF(VLOOKUP($A835,'Concrete Beam Schedule'!$A$2:$Q$2902,S$2,0)&lt;&gt;C835,VLOOKUP($A835,'Concrete Beam Schedule'!$A$2:$Q$2902,S$2,0),"")</f>
        <v>#N/A</v>
      </c>
      <c r="T835" s="7" t="e">
        <f>IF(VLOOKUP($A835,'Concrete Beam Schedule'!$A$2:$Q$2902,T$2,0)&lt;&gt;D835,"Beam Revised","")</f>
        <v>#N/A</v>
      </c>
      <c r="U835" s="7" t="e">
        <f>IF(VLOOKUP($A835,'Concrete Beam Schedule'!$A$2:$Q$2902,U$2,0)&lt;&gt;E835,"Beam Revised","")</f>
        <v>#N/A</v>
      </c>
      <c r="V835" s="7" t="e">
        <f>IF(VLOOKUP($A835,'Concrete Beam Schedule'!$A$2:$Q$2902,V$2,0)&lt;&gt;F835,"Beam Revised","")</f>
        <v>#N/A</v>
      </c>
      <c r="W835" s="7" t="e">
        <f>IF(VLOOKUP($A835,'Concrete Beam Schedule'!$A$2:$Q$2902,W$2,0)&lt;&gt;G835,"Beam Revised","")</f>
        <v>#N/A</v>
      </c>
      <c r="X835" s="7" t="e">
        <f>IF(VLOOKUP($A835,'Concrete Beam Schedule'!$A$2:$Q$2902,X$2,0)&lt;&gt;H835,"Beam Revised","")</f>
        <v>#N/A</v>
      </c>
      <c r="Y835" s="7" t="e">
        <f>IF(VLOOKUP($A835,'Concrete Beam Schedule'!$A$2:$Q$2902,Y$2,0)&lt;&gt;I835,"Beam Revised","")</f>
        <v>#N/A</v>
      </c>
      <c r="Z835" s="7" t="e">
        <f>IF(VLOOKUP($A835,'Concrete Beam Schedule'!$A$2:$Q$2902,Z$2,0)&lt;&gt;J835,"Beam Revised","")</f>
        <v>#N/A</v>
      </c>
      <c r="AA835" s="7" t="e">
        <f>IF(VLOOKUP($A835,'Concrete Beam Schedule'!$A$2:$Q$2902,AA$2,0)&lt;&gt;K835,"Beam Revised","")</f>
        <v>#N/A</v>
      </c>
      <c r="AB835" s="7" t="e">
        <f>IF(VLOOKUP($A835,'Concrete Beam Schedule'!$A$2:$Q$2902,AB$2,0)&lt;&gt;L835,"Beam Revised","")</f>
        <v>#N/A</v>
      </c>
      <c r="AC835" s="7" t="e">
        <f>IF(VLOOKUP($A835,'Concrete Beam Schedule'!$A$2:$Q$2902,AC$2,0)&lt;&gt;M835,"Beam Revised","")</f>
        <v>#N/A</v>
      </c>
      <c r="AD835" s="7" t="e">
        <f>IF(VLOOKUP($A835,'Concrete Beam Schedule'!$A$2:$Q$2902,AD$2,0)&lt;&gt;N835,"Beam Revised","")</f>
        <v>#N/A</v>
      </c>
      <c r="AE835" s="7" t="e">
        <f>IF(VLOOKUP($A835,'Concrete Beam Schedule'!$A$2:$Q$2902,AE$2,0)&lt;&gt;O835,"Beam Revised","")</f>
        <v>#N/A</v>
      </c>
    </row>
    <row r="836" spans="17:31" ht="13.2" x14ac:dyDescent="0.25">
      <c r="Q836" s="7">
        <f t="shared" ref="Q836:Q899" si="13">A836</f>
        <v>0</v>
      </c>
      <c r="R836" s="7" t="e">
        <f>IF(VLOOKUP($A836,'Concrete Beam Schedule'!$A$2:$Q$2902,R$2,0)&lt;&gt;B836,VLOOKUP($A836,'Concrete Beam Schedule'!$A$2:$Q$2902,R$2,0),"")</f>
        <v>#N/A</v>
      </c>
      <c r="S836" s="7" t="e">
        <f>IF(VLOOKUP($A836,'Concrete Beam Schedule'!$A$2:$Q$2902,S$2,0)&lt;&gt;C836,VLOOKUP($A836,'Concrete Beam Schedule'!$A$2:$Q$2902,S$2,0),"")</f>
        <v>#N/A</v>
      </c>
      <c r="T836" s="7" t="e">
        <f>IF(VLOOKUP($A836,'Concrete Beam Schedule'!$A$2:$Q$2902,T$2,0)&lt;&gt;D836,"Beam Revised","")</f>
        <v>#N/A</v>
      </c>
      <c r="U836" s="7" t="e">
        <f>IF(VLOOKUP($A836,'Concrete Beam Schedule'!$A$2:$Q$2902,U$2,0)&lt;&gt;E836,"Beam Revised","")</f>
        <v>#N/A</v>
      </c>
      <c r="V836" s="7" t="e">
        <f>IF(VLOOKUP($A836,'Concrete Beam Schedule'!$A$2:$Q$2902,V$2,0)&lt;&gt;F836,"Beam Revised","")</f>
        <v>#N/A</v>
      </c>
      <c r="W836" s="7" t="e">
        <f>IF(VLOOKUP($A836,'Concrete Beam Schedule'!$A$2:$Q$2902,W$2,0)&lt;&gt;G836,"Beam Revised","")</f>
        <v>#N/A</v>
      </c>
      <c r="X836" s="7" t="e">
        <f>IF(VLOOKUP($A836,'Concrete Beam Schedule'!$A$2:$Q$2902,X$2,0)&lt;&gt;H836,"Beam Revised","")</f>
        <v>#N/A</v>
      </c>
      <c r="Y836" s="7" t="e">
        <f>IF(VLOOKUP($A836,'Concrete Beam Schedule'!$A$2:$Q$2902,Y$2,0)&lt;&gt;I836,"Beam Revised","")</f>
        <v>#N/A</v>
      </c>
      <c r="Z836" s="7" t="e">
        <f>IF(VLOOKUP($A836,'Concrete Beam Schedule'!$A$2:$Q$2902,Z$2,0)&lt;&gt;J836,"Beam Revised","")</f>
        <v>#N/A</v>
      </c>
      <c r="AA836" s="7" t="e">
        <f>IF(VLOOKUP($A836,'Concrete Beam Schedule'!$A$2:$Q$2902,AA$2,0)&lt;&gt;K836,"Beam Revised","")</f>
        <v>#N/A</v>
      </c>
      <c r="AB836" s="7" t="e">
        <f>IF(VLOOKUP($A836,'Concrete Beam Schedule'!$A$2:$Q$2902,AB$2,0)&lt;&gt;L836,"Beam Revised","")</f>
        <v>#N/A</v>
      </c>
      <c r="AC836" s="7" t="e">
        <f>IF(VLOOKUP($A836,'Concrete Beam Schedule'!$A$2:$Q$2902,AC$2,0)&lt;&gt;M836,"Beam Revised","")</f>
        <v>#N/A</v>
      </c>
      <c r="AD836" s="7" t="e">
        <f>IF(VLOOKUP($A836,'Concrete Beam Schedule'!$A$2:$Q$2902,AD$2,0)&lt;&gt;N836,"Beam Revised","")</f>
        <v>#N/A</v>
      </c>
      <c r="AE836" s="7" t="e">
        <f>IF(VLOOKUP($A836,'Concrete Beam Schedule'!$A$2:$Q$2902,AE$2,0)&lt;&gt;O836,"Beam Revised","")</f>
        <v>#N/A</v>
      </c>
    </row>
    <row r="837" spans="17:31" ht="13.2" x14ac:dyDescent="0.25">
      <c r="Q837" s="7">
        <f t="shared" si="13"/>
        <v>0</v>
      </c>
      <c r="R837" s="7" t="e">
        <f>IF(VLOOKUP($A837,'Concrete Beam Schedule'!$A$2:$Q$2902,R$2,0)&lt;&gt;B837,VLOOKUP($A837,'Concrete Beam Schedule'!$A$2:$Q$2902,R$2,0),"")</f>
        <v>#N/A</v>
      </c>
      <c r="S837" s="7" t="e">
        <f>IF(VLOOKUP($A837,'Concrete Beam Schedule'!$A$2:$Q$2902,S$2,0)&lt;&gt;C837,VLOOKUP($A837,'Concrete Beam Schedule'!$A$2:$Q$2902,S$2,0),"")</f>
        <v>#N/A</v>
      </c>
      <c r="T837" s="7" t="e">
        <f>IF(VLOOKUP($A837,'Concrete Beam Schedule'!$A$2:$Q$2902,T$2,0)&lt;&gt;D837,"Beam Revised","")</f>
        <v>#N/A</v>
      </c>
      <c r="U837" s="7" t="e">
        <f>IF(VLOOKUP($A837,'Concrete Beam Schedule'!$A$2:$Q$2902,U$2,0)&lt;&gt;E837,"Beam Revised","")</f>
        <v>#N/A</v>
      </c>
      <c r="V837" s="7" t="e">
        <f>IF(VLOOKUP($A837,'Concrete Beam Schedule'!$A$2:$Q$2902,V$2,0)&lt;&gt;F837,"Beam Revised","")</f>
        <v>#N/A</v>
      </c>
      <c r="W837" s="7" t="e">
        <f>IF(VLOOKUP($A837,'Concrete Beam Schedule'!$A$2:$Q$2902,W$2,0)&lt;&gt;G837,"Beam Revised","")</f>
        <v>#N/A</v>
      </c>
      <c r="X837" s="7" t="e">
        <f>IF(VLOOKUP($A837,'Concrete Beam Schedule'!$A$2:$Q$2902,X$2,0)&lt;&gt;H837,"Beam Revised","")</f>
        <v>#N/A</v>
      </c>
      <c r="Y837" s="7" t="e">
        <f>IF(VLOOKUP($A837,'Concrete Beam Schedule'!$A$2:$Q$2902,Y$2,0)&lt;&gt;I837,"Beam Revised","")</f>
        <v>#N/A</v>
      </c>
      <c r="Z837" s="7" t="e">
        <f>IF(VLOOKUP($A837,'Concrete Beam Schedule'!$A$2:$Q$2902,Z$2,0)&lt;&gt;J837,"Beam Revised","")</f>
        <v>#N/A</v>
      </c>
      <c r="AA837" s="7" t="e">
        <f>IF(VLOOKUP($A837,'Concrete Beam Schedule'!$A$2:$Q$2902,AA$2,0)&lt;&gt;K837,"Beam Revised","")</f>
        <v>#N/A</v>
      </c>
      <c r="AB837" s="7" t="e">
        <f>IF(VLOOKUP($A837,'Concrete Beam Schedule'!$A$2:$Q$2902,AB$2,0)&lt;&gt;L837,"Beam Revised","")</f>
        <v>#N/A</v>
      </c>
      <c r="AC837" s="7" t="e">
        <f>IF(VLOOKUP($A837,'Concrete Beam Schedule'!$A$2:$Q$2902,AC$2,0)&lt;&gt;M837,"Beam Revised","")</f>
        <v>#N/A</v>
      </c>
      <c r="AD837" s="7" t="e">
        <f>IF(VLOOKUP($A837,'Concrete Beam Schedule'!$A$2:$Q$2902,AD$2,0)&lt;&gt;N837,"Beam Revised","")</f>
        <v>#N/A</v>
      </c>
      <c r="AE837" s="7" t="e">
        <f>IF(VLOOKUP($A837,'Concrete Beam Schedule'!$A$2:$Q$2902,AE$2,0)&lt;&gt;O837,"Beam Revised","")</f>
        <v>#N/A</v>
      </c>
    </row>
    <row r="838" spans="17:31" ht="13.2" x14ac:dyDescent="0.25">
      <c r="Q838" s="7">
        <f t="shared" si="13"/>
        <v>0</v>
      </c>
      <c r="R838" s="7" t="e">
        <f>IF(VLOOKUP($A838,'Concrete Beam Schedule'!$A$2:$Q$2902,R$2,0)&lt;&gt;B838,VLOOKUP($A838,'Concrete Beam Schedule'!$A$2:$Q$2902,R$2,0),"")</f>
        <v>#N/A</v>
      </c>
      <c r="S838" s="7" t="e">
        <f>IF(VLOOKUP($A838,'Concrete Beam Schedule'!$A$2:$Q$2902,S$2,0)&lt;&gt;C838,VLOOKUP($A838,'Concrete Beam Schedule'!$A$2:$Q$2902,S$2,0),"")</f>
        <v>#N/A</v>
      </c>
      <c r="T838" s="7" t="e">
        <f>IF(VLOOKUP($A838,'Concrete Beam Schedule'!$A$2:$Q$2902,T$2,0)&lt;&gt;D838,"Beam Revised","")</f>
        <v>#N/A</v>
      </c>
      <c r="U838" s="7" t="e">
        <f>IF(VLOOKUP($A838,'Concrete Beam Schedule'!$A$2:$Q$2902,U$2,0)&lt;&gt;E838,"Beam Revised","")</f>
        <v>#N/A</v>
      </c>
      <c r="V838" s="7" t="e">
        <f>IF(VLOOKUP($A838,'Concrete Beam Schedule'!$A$2:$Q$2902,V$2,0)&lt;&gt;F838,"Beam Revised","")</f>
        <v>#N/A</v>
      </c>
      <c r="W838" s="7" t="e">
        <f>IF(VLOOKUP($A838,'Concrete Beam Schedule'!$A$2:$Q$2902,W$2,0)&lt;&gt;G838,"Beam Revised","")</f>
        <v>#N/A</v>
      </c>
      <c r="X838" s="7" t="e">
        <f>IF(VLOOKUP($A838,'Concrete Beam Schedule'!$A$2:$Q$2902,X$2,0)&lt;&gt;H838,"Beam Revised","")</f>
        <v>#N/A</v>
      </c>
      <c r="Y838" s="7" t="e">
        <f>IF(VLOOKUP($A838,'Concrete Beam Schedule'!$A$2:$Q$2902,Y$2,0)&lt;&gt;I838,"Beam Revised","")</f>
        <v>#N/A</v>
      </c>
      <c r="Z838" s="7" t="e">
        <f>IF(VLOOKUP($A838,'Concrete Beam Schedule'!$A$2:$Q$2902,Z$2,0)&lt;&gt;J838,"Beam Revised","")</f>
        <v>#N/A</v>
      </c>
      <c r="AA838" s="7" t="e">
        <f>IF(VLOOKUP($A838,'Concrete Beam Schedule'!$A$2:$Q$2902,AA$2,0)&lt;&gt;K838,"Beam Revised","")</f>
        <v>#N/A</v>
      </c>
      <c r="AB838" s="7" t="e">
        <f>IF(VLOOKUP($A838,'Concrete Beam Schedule'!$A$2:$Q$2902,AB$2,0)&lt;&gt;L838,"Beam Revised","")</f>
        <v>#N/A</v>
      </c>
      <c r="AC838" s="7" t="e">
        <f>IF(VLOOKUP($A838,'Concrete Beam Schedule'!$A$2:$Q$2902,AC$2,0)&lt;&gt;M838,"Beam Revised","")</f>
        <v>#N/A</v>
      </c>
      <c r="AD838" s="7" t="e">
        <f>IF(VLOOKUP($A838,'Concrete Beam Schedule'!$A$2:$Q$2902,AD$2,0)&lt;&gt;N838,"Beam Revised","")</f>
        <v>#N/A</v>
      </c>
      <c r="AE838" s="7" t="e">
        <f>IF(VLOOKUP($A838,'Concrete Beam Schedule'!$A$2:$Q$2902,AE$2,0)&lt;&gt;O838,"Beam Revised","")</f>
        <v>#N/A</v>
      </c>
    </row>
    <row r="839" spans="17:31" ht="13.2" x14ac:dyDescent="0.25">
      <c r="Q839" s="7">
        <f t="shared" si="13"/>
        <v>0</v>
      </c>
      <c r="R839" s="7" t="e">
        <f>IF(VLOOKUP($A839,'Concrete Beam Schedule'!$A$2:$Q$2902,R$2,0)&lt;&gt;B839,VLOOKUP($A839,'Concrete Beam Schedule'!$A$2:$Q$2902,R$2,0),"")</f>
        <v>#N/A</v>
      </c>
      <c r="S839" s="7" t="e">
        <f>IF(VLOOKUP($A839,'Concrete Beam Schedule'!$A$2:$Q$2902,S$2,0)&lt;&gt;C839,VLOOKUP($A839,'Concrete Beam Schedule'!$A$2:$Q$2902,S$2,0),"")</f>
        <v>#N/A</v>
      </c>
      <c r="T839" s="7" t="e">
        <f>IF(VLOOKUP($A839,'Concrete Beam Schedule'!$A$2:$Q$2902,T$2,0)&lt;&gt;D839,"Beam Revised","")</f>
        <v>#N/A</v>
      </c>
      <c r="U839" s="7" t="e">
        <f>IF(VLOOKUP($A839,'Concrete Beam Schedule'!$A$2:$Q$2902,U$2,0)&lt;&gt;E839,"Beam Revised","")</f>
        <v>#N/A</v>
      </c>
      <c r="V839" s="7" t="e">
        <f>IF(VLOOKUP($A839,'Concrete Beam Schedule'!$A$2:$Q$2902,V$2,0)&lt;&gt;F839,"Beam Revised","")</f>
        <v>#N/A</v>
      </c>
      <c r="W839" s="7" t="e">
        <f>IF(VLOOKUP($A839,'Concrete Beam Schedule'!$A$2:$Q$2902,W$2,0)&lt;&gt;G839,"Beam Revised","")</f>
        <v>#N/A</v>
      </c>
      <c r="X839" s="7" t="e">
        <f>IF(VLOOKUP($A839,'Concrete Beam Schedule'!$A$2:$Q$2902,X$2,0)&lt;&gt;H839,"Beam Revised","")</f>
        <v>#N/A</v>
      </c>
      <c r="Y839" s="7" t="e">
        <f>IF(VLOOKUP($A839,'Concrete Beam Schedule'!$A$2:$Q$2902,Y$2,0)&lt;&gt;I839,"Beam Revised","")</f>
        <v>#N/A</v>
      </c>
      <c r="Z839" s="7" t="e">
        <f>IF(VLOOKUP($A839,'Concrete Beam Schedule'!$A$2:$Q$2902,Z$2,0)&lt;&gt;J839,"Beam Revised","")</f>
        <v>#N/A</v>
      </c>
      <c r="AA839" s="7" t="e">
        <f>IF(VLOOKUP($A839,'Concrete Beam Schedule'!$A$2:$Q$2902,AA$2,0)&lt;&gt;K839,"Beam Revised","")</f>
        <v>#N/A</v>
      </c>
      <c r="AB839" s="7" t="e">
        <f>IF(VLOOKUP($A839,'Concrete Beam Schedule'!$A$2:$Q$2902,AB$2,0)&lt;&gt;L839,"Beam Revised","")</f>
        <v>#N/A</v>
      </c>
      <c r="AC839" s="7" t="e">
        <f>IF(VLOOKUP($A839,'Concrete Beam Schedule'!$A$2:$Q$2902,AC$2,0)&lt;&gt;M839,"Beam Revised","")</f>
        <v>#N/A</v>
      </c>
      <c r="AD839" s="7" t="e">
        <f>IF(VLOOKUP($A839,'Concrete Beam Schedule'!$A$2:$Q$2902,AD$2,0)&lt;&gt;N839,"Beam Revised","")</f>
        <v>#N/A</v>
      </c>
      <c r="AE839" s="7" t="e">
        <f>IF(VLOOKUP($A839,'Concrete Beam Schedule'!$A$2:$Q$2902,AE$2,0)&lt;&gt;O839,"Beam Revised","")</f>
        <v>#N/A</v>
      </c>
    </row>
    <row r="840" spans="17:31" ht="13.2" x14ac:dyDescent="0.25">
      <c r="Q840" s="7">
        <f t="shared" si="13"/>
        <v>0</v>
      </c>
      <c r="R840" s="7" t="e">
        <f>IF(VLOOKUP($A840,'Concrete Beam Schedule'!$A$2:$Q$2902,R$2,0)&lt;&gt;B840,VLOOKUP($A840,'Concrete Beam Schedule'!$A$2:$Q$2902,R$2,0),"")</f>
        <v>#N/A</v>
      </c>
      <c r="S840" s="7" t="e">
        <f>IF(VLOOKUP($A840,'Concrete Beam Schedule'!$A$2:$Q$2902,S$2,0)&lt;&gt;C840,VLOOKUP($A840,'Concrete Beam Schedule'!$A$2:$Q$2902,S$2,0),"")</f>
        <v>#N/A</v>
      </c>
      <c r="T840" s="7" t="e">
        <f>IF(VLOOKUP($A840,'Concrete Beam Schedule'!$A$2:$Q$2902,T$2,0)&lt;&gt;D840,"Beam Revised","")</f>
        <v>#N/A</v>
      </c>
      <c r="U840" s="7" t="e">
        <f>IF(VLOOKUP($A840,'Concrete Beam Schedule'!$A$2:$Q$2902,U$2,0)&lt;&gt;E840,"Beam Revised","")</f>
        <v>#N/A</v>
      </c>
      <c r="V840" s="7" t="e">
        <f>IF(VLOOKUP($A840,'Concrete Beam Schedule'!$A$2:$Q$2902,V$2,0)&lt;&gt;F840,"Beam Revised","")</f>
        <v>#N/A</v>
      </c>
      <c r="W840" s="7" t="e">
        <f>IF(VLOOKUP($A840,'Concrete Beam Schedule'!$A$2:$Q$2902,W$2,0)&lt;&gt;G840,"Beam Revised","")</f>
        <v>#N/A</v>
      </c>
      <c r="X840" s="7" t="e">
        <f>IF(VLOOKUP($A840,'Concrete Beam Schedule'!$A$2:$Q$2902,X$2,0)&lt;&gt;H840,"Beam Revised","")</f>
        <v>#N/A</v>
      </c>
      <c r="Y840" s="7" t="e">
        <f>IF(VLOOKUP($A840,'Concrete Beam Schedule'!$A$2:$Q$2902,Y$2,0)&lt;&gt;I840,"Beam Revised","")</f>
        <v>#N/A</v>
      </c>
      <c r="Z840" s="7" t="e">
        <f>IF(VLOOKUP($A840,'Concrete Beam Schedule'!$A$2:$Q$2902,Z$2,0)&lt;&gt;J840,"Beam Revised","")</f>
        <v>#N/A</v>
      </c>
      <c r="AA840" s="7" t="e">
        <f>IF(VLOOKUP($A840,'Concrete Beam Schedule'!$A$2:$Q$2902,AA$2,0)&lt;&gt;K840,"Beam Revised","")</f>
        <v>#N/A</v>
      </c>
      <c r="AB840" s="7" t="e">
        <f>IF(VLOOKUP($A840,'Concrete Beam Schedule'!$A$2:$Q$2902,AB$2,0)&lt;&gt;L840,"Beam Revised","")</f>
        <v>#N/A</v>
      </c>
      <c r="AC840" s="7" t="e">
        <f>IF(VLOOKUP($A840,'Concrete Beam Schedule'!$A$2:$Q$2902,AC$2,0)&lt;&gt;M840,"Beam Revised","")</f>
        <v>#N/A</v>
      </c>
      <c r="AD840" s="7" t="e">
        <f>IF(VLOOKUP($A840,'Concrete Beam Schedule'!$A$2:$Q$2902,AD$2,0)&lt;&gt;N840,"Beam Revised","")</f>
        <v>#N/A</v>
      </c>
      <c r="AE840" s="7" t="e">
        <f>IF(VLOOKUP($A840,'Concrete Beam Schedule'!$A$2:$Q$2902,AE$2,0)&lt;&gt;O840,"Beam Revised","")</f>
        <v>#N/A</v>
      </c>
    </row>
    <row r="841" spans="17:31" ht="13.2" x14ac:dyDescent="0.25">
      <c r="Q841" s="7">
        <f t="shared" si="13"/>
        <v>0</v>
      </c>
      <c r="R841" s="7" t="e">
        <f>IF(VLOOKUP($A841,'Concrete Beam Schedule'!$A$2:$Q$2902,R$2,0)&lt;&gt;B841,VLOOKUP($A841,'Concrete Beam Schedule'!$A$2:$Q$2902,R$2,0),"")</f>
        <v>#N/A</v>
      </c>
      <c r="S841" s="7" t="e">
        <f>IF(VLOOKUP($A841,'Concrete Beam Schedule'!$A$2:$Q$2902,S$2,0)&lt;&gt;C841,VLOOKUP($A841,'Concrete Beam Schedule'!$A$2:$Q$2902,S$2,0),"")</f>
        <v>#N/A</v>
      </c>
      <c r="T841" s="7" t="e">
        <f>IF(VLOOKUP($A841,'Concrete Beam Schedule'!$A$2:$Q$2902,T$2,0)&lt;&gt;D841,"Beam Revised","")</f>
        <v>#N/A</v>
      </c>
      <c r="U841" s="7" t="e">
        <f>IF(VLOOKUP($A841,'Concrete Beam Schedule'!$A$2:$Q$2902,U$2,0)&lt;&gt;E841,"Beam Revised","")</f>
        <v>#N/A</v>
      </c>
      <c r="V841" s="7" t="e">
        <f>IF(VLOOKUP($A841,'Concrete Beam Schedule'!$A$2:$Q$2902,V$2,0)&lt;&gt;F841,"Beam Revised","")</f>
        <v>#N/A</v>
      </c>
      <c r="W841" s="7" t="e">
        <f>IF(VLOOKUP($A841,'Concrete Beam Schedule'!$A$2:$Q$2902,W$2,0)&lt;&gt;G841,"Beam Revised","")</f>
        <v>#N/A</v>
      </c>
      <c r="X841" s="7" t="e">
        <f>IF(VLOOKUP($A841,'Concrete Beam Schedule'!$A$2:$Q$2902,X$2,0)&lt;&gt;H841,"Beam Revised","")</f>
        <v>#N/A</v>
      </c>
      <c r="Y841" s="7" t="e">
        <f>IF(VLOOKUP($A841,'Concrete Beam Schedule'!$A$2:$Q$2902,Y$2,0)&lt;&gt;I841,"Beam Revised","")</f>
        <v>#N/A</v>
      </c>
      <c r="Z841" s="7" t="e">
        <f>IF(VLOOKUP($A841,'Concrete Beam Schedule'!$A$2:$Q$2902,Z$2,0)&lt;&gt;J841,"Beam Revised","")</f>
        <v>#N/A</v>
      </c>
      <c r="AA841" s="7" t="e">
        <f>IF(VLOOKUP($A841,'Concrete Beam Schedule'!$A$2:$Q$2902,AA$2,0)&lt;&gt;K841,"Beam Revised","")</f>
        <v>#N/A</v>
      </c>
      <c r="AB841" s="7" t="e">
        <f>IF(VLOOKUP($A841,'Concrete Beam Schedule'!$A$2:$Q$2902,AB$2,0)&lt;&gt;L841,"Beam Revised","")</f>
        <v>#N/A</v>
      </c>
      <c r="AC841" s="7" t="e">
        <f>IF(VLOOKUP($A841,'Concrete Beam Schedule'!$A$2:$Q$2902,AC$2,0)&lt;&gt;M841,"Beam Revised","")</f>
        <v>#N/A</v>
      </c>
      <c r="AD841" s="7" t="e">
        <f>IF(VLOOKUP($A841,'Concrete Beam Schedule'!$A$2:$Q$2902,AD$2,0)&lt;&gt;N841,"Beam Revised","")</f>
        <v>#N/A</v>
      </c>
      <c r="AE841" s="7" t="e">
        <f>IF(VLOOKUP($A841,'Concrete Beam Schedule'!$A$2:$Q$2902,AE$2,0)&lt;&gt;O841,"Beam Revised","")</f>
        <v>#N/A</v>
      </c>
    </row>
    <row r="842" spans="17:31" ht="13.2" x14ac:dyDescent="0.25">
      <c r="Q842" s="7">
        <f t="shared" si="13"/>
        <v>0</v>
      </c>
      <c r="R842" s="7" t="e">
        <f>IF(VLOOKUP($A842,'Concrete Beam Schedule'!$A$2:$Q$2902,R$2,0)&lt;&gt;B842,VLOOKUP($A842,'Concrete Beam Schedule'!$A$2:$Q$2902,R$2,0),"")</f>
        <v>#N/A</v>
      </c>
      <c r="S842" s="7" t="e">
        <f>IF(VLOOKUP($A842,'Concrete Beam Schedule'!$A$2:$Q$2902,S$2,0)&lt;&gt;C842,VLOOKUP($A842,'Concrete Beam Schedule'!$A$2:$Q$2902,S$2,0),"")</f>
        <v>#N/A</v>
      </c>
      <c r="T842" s="7" t="e">
        <f>IF(VLOOKUP($A842,'Concrete Beam Schedule'!$A$2:$Q$2902,T$2,0)&lt;&gt;D842,"Beam Revised","")</f>
        <v>#N/A</v>
      </c>
      <c r="U842" s="7" t="e">
        <f>IF(VLOOKUP($A842,'Concrete Beam Schedule'!$A$2:$Q$2902,U$2,0)&lt;&gt;E842,"Beam Revised","")</f>
        <v>#N/A</v>
      </c>
      <c r="V842" s="7" t="e">
        <f>IF(VLOOKUP($A842,'Concrete Beam Schedule'!$A$2:$Q$2902,V$2,0)&lt;&gt;F842,"Beam Revised","")</f>
        <v>#N/A</v>
      </c>
      <c r="W842" s="7" t="e">
        <f>IF(VLOOKUP($A842,'Concrete Beam Schedule'!$A$2:$Q$2902,W$2,0)&lt;&gt;G842,"Beam Revised","")</f>
        <v>#N/A</v>
      </c>
      <c r="X842" s="7" t="e">
        <f>IF(VLOOKUP($A842,'Concrete Beam Schedule'!$A$2:$Q$2902,X$2,0)&lt;&gt;H842,"Beam Revised","")</f>
        <v>#N/A</v>
      </c>
      <c r="Y842" s="7" t="e">
        <f>IF(VLOOKUP($A842,'Concrete Beam Schedule'!$A$2:$Q$2902,Y$2,0)&lt;&gt;I842,"Beam Revised","")</f>
        <v>#N/A</v>
      </c>
      <c r="Z842" s="7" t="e">
        <f>IF(VLOOKUP($A842,'Concrete Beam Schedule'!$A$2:$Q$2902,Z$2,0)&lt;&gt;J842,"Beam Revised","")</f>
        <v>#N/A</v>
      </c>
      <c r="AA842" s="7" t="e">
        <f>IF(VLOOKUP($A842,'Concrete Beam Schedule'!$A$2:$Q$2902,AA$2,0)&lt;&gt;K842,"Beam Revised","")</f>
        <v>#N/A</v>
      </c>
      <c r="AB842" s="7" t="e">
        <f>IF(VLOOKUP($A842,'Concrete Beam Schedule'!$A$2:$Q$2902,AB$2,0)&lt;&gt;L842,"Beam Revised","")</f>
        <v>#N/A</v>
      </c>
      <c r="AC842" s="7" t="e">
        <f>IF(VLOOKUP($A842,'Concrete Beam Schedule'!$A$2:$Q$2902,AC$2,0)&lt;&gt;M842,"Beam Revised","")</f>
        <v>#N/A</v>
      </c>
      <c r="AD842" s="7" t="e">
        <f>IF(VLOOKUP($A842,'Concrete Beam Schedule'!$A$2:$Q$2902,AD$2,0)&lt;&gt;N842,"Beam Revised","")</f>
        <v>#N/A</v>
      </c>
      <c r="AE842" s="7" t="e">
        <f>IF(VLOOKUP($A842,'Concrete Beam Schedule'!$A$2:$Q$2902,AE$2,0)&lt;&gt;O842,"Beam Revised","")</f>
        <v>#N/A</v>
      </c>
    </row>
    <row r="843" spans="17:31" ht="13.2" x14ac:dyDescent="0.25">
      <c r="Q843" s="7">
        <f t="shared" si="13"/>
        <v>0</v>
      </c>
      <c r="R843" s="7" t="e">
        <f>IF(VLOOKUP($A843,'Concrete Beam Schedule'!$A$2:$Q$2902,R$2,0)&lt;&gt;B843,VLOOKUP($A843,'Concrete Beam Schedule'!$A$2:$Q$2902,R$2,0),"")</f>
        <v>#N/A</v>
      </c>
      <c r="S843" s="7" t="e">
        <f>IF(VLOOKUP($A843,'Concrete Beam Schedule'!$A$2:$Q$2902,S$2,0)&lt;&gt;C843,VLOOKUP($A843,'Concrete Beam Schedule'!$A$2:$Q$2902,S$2,0),"")</f>
        <v>#N/A</v>
      </c>
      <c r="T843" s="7" t="e">
        <f>IF(VLOOKUP($A843,'Concrete Beam Schedule'!$A$2:$Q$2902,T$2,0)&lt;&gt;D843,"Beam Revised","")</f>
        <v>#N/A</v>
      </c>
      <c r="U843" s="7" t="e">
        <f>IF(VLOOKUP($A843,'Concrete Beam Schedule'!$A$2:$Q$2902,U$2,0)&lt;&gt;E843,"Beam Revised","")</f>
        <v>#N/A</v>
      </c>
      <c r="V843" s="7" t="e">
        <f>IF(VLOOKUP($A843,'Concrete Beam Schedule'!$A$2:$Q$2902,V$2,0)&lt;&gt;F843,"Beam Revised","")</f>
        <v>#N/A</v>
      </c>
      <c r="W843" s="7" t="e">
        <f>IF(VLOOKUP($A843,'Concrete Beam Schedule'!$A$2:$Q$2902,W$2,0)&lt;&gt;G843,"Beam Revised","")</f>
        <v>#N/A</v>
      </c>
      <c r="X843" s="7" t="e">
        <f>IF(VLOOKUP($A843,'Concrete Beam Schedule'!$A$2:$Q$2902,X$2,0)&lt;&gt;H843,"Beam Revised","")</f>
        <v>#N/A</v>
      </c>
      <c r="Y843" s="7" t="e">
        <f>IF(VLOOKUP($A843,'Concrete Beam Schedule'!$A$2:$Q$2902,Y$2,0)&lt;&gt;I843,"Beam Revised","")</f>
        <v>#N/A</v>
      </c>
      <c r="Z843" s="7" t="e">
        <f>IF(VLOOKUP($A843,'Concrete Beam Schedule'!$A$2:$Q$2902,Z$2,0)&lt;&gt;J843,"Beam Revised","")</f>
        <v>#N/A</v>
      </c>
      <c r="AA843" s="7" t="e">
        <f>IF(VLOOKUP($A843,'Concrete Beam Schedule'!$A$2:$Q$2902,AA$2,0)&lt;&gt;K843,"Beam Revised","")</f>
        <v>#N/A</v>
      </c>
      <c r="AB843" s="7" t="e">
        <f>IF(VLOOKUP($A843,'Concrete Beam Schedule'!$A$2:$Q$2902,AB$2,0)&lt;&gt;L843,"Beam Revised","")</f>
        <v>#N/A</v>
      </c>
      <c r="AC843" s="7" t="e">
        <f>IF(VLOOKUP($A843,'Concrete Beam Schedule'!$A$2:$Q$2902,AC$2,0)&lt;&gt;M843,"Beam Revised","")</f>
        <v>#N/A</v>
      </c>
      <c r="AD843" s="7" t="e">
        <f>IF(VLOOKUP($A843,'Concrete Beam Schedule'!$A$2:$Q$2902,AD$2,0)&lt;&gt;N843,"Beam Revised","")</f>
        <v>#N/A</v>
      </c>
      <c r="AE843" s="7" t="e">
        <f>IF(VLOOKUP($A843,'Concrete Beam Schedule'!$A$2:$Q$2902,AE$2,0)&lt;&gt;O843,"Beam Revised","")</f>
        <v>#N/A</v>
      </c>
    </row>
    <row r="844" spans="17:31" ht="13.2" x14ac:dyDescent="0.25">
      <c r="Q844" s="7">
        <f t="shared" si="13"/>
        <v>0</v>
      </c>
      <c r="R844" s="7" t="e">
        <f>IF(VLOOKUP($A844,'Concrete Beam Schedule'!$A$2:$Q$2902,R$2,0)&lt;&gt;B844,VLOOKUP($A844,'Concrete Beam Schedule'!$A$2:$Q$2902,R$2,0),"")</f>
        <v>#N/A</v>
      </c>
      <c r="S844" s="7" t="e">
        <f>IF(VLOOKUP($A844,'Concrete Beam Schedule'!$A$2:$Q$2902,S$2,0)&lt;&gt;C844,VLOOKUP($A844,'Concrete Beam Schedule'!$A$2:$Q$2902,S$2,0),"")</f>
        <v>#N/A</v>
      </c>
      <c r="T844" s="7" t="e">
        <f>IF(VLOOKUP($A844,'Concrete Beam Schedule'!$A$2:$Q$2902,T$2,0)&lt;&gt;D844,"Beam Revised","")</f>
        <v>#N/A</v>
      </c>
      <c r="U844" s="7" t="e">
        <f>IF(VLOOKUP($A844,'Concrete Beam Schedule'!$A$2:$Q$2902,U$2,0)&lt;&gt;E844,"Beam Revised","")</f>
        <v>#N/A</v>
      </c>
      <c r="V844" s="7" t="e">
        <f>IF(VLOOKUP($A844,'Concrete Beam Schedule'!$A$2:$Q$2902,V$2,0)&lt;&gt;F844,"Beam Revised","")</f>
        <v>#N/A</v>
      </c>
      <c r="W844" s="7" t="e">
        <f>IF(VLOOKUP($A844,'Concrete Beam Schedule'!$A$2:$Q$2902,W$2,0)&lt;&gt;G844,"Beam Revised","")</f>
        <v>#N/A</v>
      </c>
      <c r="X844" s="7" t="e">
        <f>IF(VLOOKUP($A844,'Concrete Beam Schedule'!$A$2:$Q$2902,X$2,0)&lt;&gt;H844,"Beam Revised","")</f>
        <v>#N/A</v>
      </c>
      <c r="Y844" s="7" t="e">
        <f>IF(VLOOKUP($A844,'Concrete Beam Schedule'!$A$2:$Q$2902,Y$2,0)&lt;&gt;I844,"Beam Revised","")</f>
        <v>#N/A</v>
      </c>
      <c r="Z844" s="7" t="e">
        <f>IF(VLOOKUP($A844,'Concrete Beam Schedule'!$A$2:$Q$2902,Z$2,0)&lt;&gt;J844,"Beam Revised","")</f>
        <v>#N/A</v>
      </c>
      <c r="AA844" s="7" t="e">
        <f>IF(VLOOKUP($A844,'Concrete Beam Schedule'!$A$2:$Q$2902,AA$2,0)&lt;&gt;K844,"Beam Revised","")</f>
        <v>#N/A</v>
      </c>
      <c r="AB844" s="7" t="e">
        <f>IF(VLOOKUP($A844,'Concrete Beam Schedule'!$A$2:$Q$2902,AB$2,0)&lt;&gt;L844,"Beam Revised","")</f>
        <v>#N/A</v>
      </c>
      <c r="AC844" s="7" t="e">
        <f>IF(VLOOKUP($A844,'Concrete Beam Schedule'!$A$2:$Q$2902,AC$2,0)&lt;&gt;M844,"Beam Revised","")</f>
        <v>#N/A</v>
      </c>
      <c r="AD844" s="7" t="e">
        <f>IF(VLOOKUP($A844,'Concrete Beam Schedule'!$A$2:$Q$2902,AD$2,0)&lt;&gt;N844,"Beam Revised","")</f>
        <v>#N/A</v>
      </c>
      <c r="AE844" s="7" t="e">
        <f>IF(VLOOKUP($A844,'Concrete Beam Schedule'!$A$2:$Q$2902,AE$2,0)&lt;&gt;O844,"Beam Revised","")</f>
        <v>#N/A</v>
      </c>
    </row>
    <row r="845" spans="17:31" ht="13.2" x14ac:dyDescent="0.25">
      <c r="Q845" s="7">
        <f t="shared" si="13"/>
        <v>0</v>
      </c>
      <c r="R845" s="7" t="e">
        <f>IF(VLOOKUP($A845,'Concrete Beam Schedule'!$A$2:$Q$2902,R$2,0)&lt;&gt;B845,VLOOKUP($A845,'Concrete Beam Schedule'!$A$2:$Q$2902,R$2,0),"")</f>
        <v>#N/A</v>
      </c>
      <c r="S845" s="7" t="e">
        <f>IF(VLOOKUP($A845,'Concrete Beam Schedule'!$A$2:$Q$2902,S$2,0)&lt;&gt;C845,VLOOKUP($A845,'Concrete Beam Schedule'!$A$2:$Q$2902,S$2,0),"")</f>
        <v>#N/A</v>
      </c>
      <c r="T845" s="7" t="e">
        <f>IF(VLOOKUP($A845,'Concrete Beam Schedule'!$A$2:$Q$2902,T$2,0)&lt;&gt;D845,"Beam Revised","")</f>
        <v>#N/A</v>
      </c>
      <c r="U845" s="7" t="e">
        <f>IF(VLOOKUP($A845,'Concrete Beam Schedule'!$A$2:$Q$2902,U$2,0)&lt;&gt;E845,"Beam Revised","")</f>
        <v>#N/A</v>
      </c>
      <c r="V845" s="7" t="e">
        <f>IF(VLOOKUP($A845,'Concrete Beam Schedule'!$A$2:$Q$2902,V$2,0)&lt;&gt;F845,"Beam Revised","")</f>
        <v>#N/A</v>
      </c>
      <c r="W845" s="7" t="e">
        <f>IF(VLOOKUP($A845,'Concrete Beam Schedule'!$A$2:$Q$2902,W$2,0)&lt;&gt;G845,"Beam Revised","")</f>
        <v>#N/A</v>
      </c>
      <c r="X845" s="7" t="e">
        <f>IF(VLOOKUP($A845,'Concrete Beam Schedule'!$A$2:$Q$2902,X$2,0)&lt;&gt;H845,"Beam Revised","")</f>
        <v>#N/A</v>
      </c>
      <c r="Y845" s="7" t="e">
        <f>IF(VLOOKUP($A845,'Concrete Beam Schedule'!$A$2:$Q$2902,Y$2,0)&lt;&gt;I845,"Beam Revised","")</f>
        <v>#N/A</v>
      </c>
      <c r="Z845" s="7" t="e">
        <f>IF(VLOOKUP($A845,'Concrete Beam Schedule'!$A$2:$Q$2902,Z$2,0)&lt;&gt;J845,"Beam Revised","")</f>
        <v>#N/A</v>
      </c>
      <c r="AA845" s="7" t="e">
        <f>IF(VLOOKUP($A845,'Concrete Beam Schedule'!$A$2:$Q$2902,AA$2,0)&lt;&gt;K845,"Beam Revised","")</f>
        <v>#N/A</v>
      </c>
      <c r="AB845" s="7" t="e">
        <f>IF(VLOOKUP($A845,'Concrete Beam Schedule'!$A$2:$Q$2902,AB$2,0)&lt;&gt;L845,"Beam Revised","")</f>
        <v>#N/A</v>
      </c>
      <c r="AC845" s="7" t="e">
        <f>IF(VLOOKUP($A845,'Concrete Beam Schedule'!$A$2:$Q$2902,AC$2,0)&lt;&gt;M845,"Beam Revised","")</f>
        <v>#N/A</v>
      </c>
      <c r="AD845" s="7" t="e">
        <f>IF(VLOOKUP($A845,'Concrete Beam Schedule'!$A$2:$Q$2902,AD$2,0)&lt;&gt;N845,"Beam Revised","")</f>
        <v>#N/A</v>
      </c>
      <c r="AE845" s="7" t="e">
        <f>IF(VLOOKUP($A845,'Concrete Beam Schedule'!$A$2:$Q$2902,AE$2,0)&lt;&gt;O845,"Beam Revised","")</f>
        <v>#N/A</v>
      </c>
    </row>
    <row r="846" spans="17:31" ht="13.2" x14ac:dyDescent="0.25">
      <c r="Q846" s="7">
        <f t="shared" si="13"/>
        <v>0</v>
      </c>
      <c r="R846" s="7" t="e">
        <f>IF(VLOOKUP($A846,'Concrete Beam Schedule'!$A$2:$Q$2902,R$2,0)&lt;&gt;B846,VLOOKUP($A846,'Concrete Beam Schedule'!$A$2:$Q$2902,R$2,0),"")</f>
        <v>#N/A</v>
      </c>
      <c r="S846" s="7" t="e">
        <f>IF(VLOOKUP($A846,'Concrete Beam Schedule'!$A$2:$Q$2902,S$2,0)&lt;&gt;C846,VLOOKUP($A846,'Concrete Beam Schedule'!$A$2:$Q$2902,S$2,0),"")</f>
        <v>#N/A</v>
      </c>
      <c r="T846" s="7" t="e">
        <f>IF(VLOOKUP($A846,'Concrete Beam Schedule'!$A$2:$Q$2902,T$2,0)&lt;&gt;D846,"Beam Revised","")</f>
        <v>#N/A</v>
      </c>
      <c r="U846" s="7" t="e">
        <f>IF(VLOOKUP($A846,'Concrete Beam Schedule'!$A$2:$Q$2902,U$2,0)&lt;&gt;E846,"Beam Revised","")</f>
        <v>#N/A</v>
      </c>
      <c r="V846" s="7" t="e">
        <f>IF(VLOOKUP($A846,'Concrete Beam Schedule'!$A$2:$Q$2902,V$2,0)&lt;&gt;F846,"Beam Revised","")</f>
        <v>#N/A</v>
      </c>
      <c r="W846" s="7" t="e">
        <f>IF(VLOOKUP($A846,'Concrete Beam Schedule'!$A$2:$Q$2902,W$2,0)&lt;&gt;G846,"Beam Revised","")</f>
        <v>#N/A</v>
      </c>
      <c r="X846" s="7" t="e">
        <f>IF(VLOOKUP($A846,'Concrete Beam Schedule'!$A$2:$Q$2902,X$2,0)&lt;&gt;H846,"Beam Revised","")</f>
        <v>#N/A</v>
      </c>
      <c r="Y846" s="7" t="e">
        <f>IF(VLOOKUP($A846,'Concrete Beam Schedule'!$A$2:$Q$2902,Y$2,0)&lt;&gt;I846,"Beam Revised","")</f>
        <v>#N/A</v>
      </c>
      <c r="Z846" s="7" t="e">
        <f>IF(VLOOKUP($A846,'Concrete Beam Schedule'!$A$2:$Q$2902,Z$2,0)&lt;&gt;J846,"Beam Revised","")</f>
        <v>#N/A</v>
      </c>
      <c r="AA846" s="7" t="e">
        <f>IF(VLOOKUP($A846,'Concrete Beam Schedule'!$A$2:$Q$2902,AA$2,0)&lt;&gt;K846,"Beam Revised","")</f>
        <v>#N/A</v>
      </c>
      <c r="AB846" s="7" t="e">
        <f>IF(VLOOKUP($A846,'Concrete Beam Schedule'!$A$2:$Q$2902,AB$2,0)&lt;&gt;L846,"Beam Revised","")</f>
        <v>#N/A</v>
      </c>
      <c r="AC846" s="7" t="e">
        <f>IF(VLOOKUP($A846,'Concrete Beam Schedule'!$A$2:$Q$2902,AC$2,0)&lt;&gt;M846,"Beam Revised","")</f>
        <v>#N/A</v>
      </c>
      <c r="AD846" s="7" t="e">
        <f>IF(VLOOKUP($A846,'Concrete Beam Schedule'!$A$2:$Q$2902,AD$2,0)&lt;&gt;N846,"Beam Revised","")</f>
        <v>#N/A</v>
      </c>
      <c r="AE846" s="7" t="e">
        <f>IF(VLOOKUP($A846,'Concrete Beam Schedule'!$A$2:$Q$2902,AE$2,0)&lt;&gt;O846,"Beam Revised","")</f>
        <v>#N/A</v>
      </c>
    </row>
    <row r="847" spans="17:31" ht="13.2" x14ac:dyDescent="0.25">
      <c r="Q847" s="7">
        <f t="shared" si="13"/>
        <v>0</v>
      </c>
      <c r="R847" s="7" t="e">
        <f>IF(VLOOKUP($A847,'Concrete Beam Schedule'!$A$2:$Q$2902,R$2,0)&lt;&gt;B847,VLOOKUP($A847,'Concrete Beam Schedule'!$A$2:$Q$2902,R$2,0),"")</f>
        <v>#N/A</v>
      </c>
      <c r="S847" s="7" t="e">
        <f>IF(VLOOKUP($A847,'Concrete Beam Schedule'!$A$2:$Q$2902,S$2,0)&lt;&gt;C847,VLOOKUP($A847,'Concrete Beam Schedule'!$A$2:$Q$2902,S$2,0),"")</f>
        <v>#N/A</v>
      </c>
      <c r="T847" s="7" t="e">
        <f>IF(VLOOKUP($A847,'Concrete Beam Schedule'!$A$2:$Q$2902,T$2,0)&lt;&gt;D847,"Beam Revised","")</f>
        <v>#N/A</v>
      </c>
      <c r="U847" s="7" t="e">
        <f>IF(VLOOKUP($A847,'Concrete Beam Schedule'!$A$2:$Q$2902,U$2,0)&lt;&gt;E847,"Beam Revised","")</f>
        <v>#N/A</v>
      </c>
      <c r="V847" s="7" t="e">
        <f>IF(VLOOKUP($A847,'Concrete Beam Schedule'!$A$2:$Q$2902,V$2,0)&lt;&gt;F847,"Beam Revised","")</f>
        <v>#N/A</v>
      </c>
      <c r="W847" s="7" t="e">
        <f>IF(VLOOKUP($A847,'Concrete Beam Schedule'!$A$2:$Q$2902,W$2,0)&lt;&gt;G847,"Beam Revised","")</f>
        <v>#N/A</v>
      </c>
      <c r="X847" s="7" t="e">
        <f>IF(VLOOKUP($A847,'Concrete Beam Schedule'!$A$2:$Q$2902,X$2,0)&lt;&gt;H847,"Beam Revised","")</f>
        <v>#N/A</v>
      </c>
      <c r="Y847" s="7" t="e">
        <f>IF(VLOOKUP($A847,'Concrete Beam Schedule'!$A$2:$Q$2902,Y$2,0)&lt;&gt;I847,"Beam Revised","")</f>
        <v>#N/A</v>
      </c>
      <c r="Z847" s="7" t="e">
        <f>IF(VLOOKUP($A847,'Concrete Beam Schedule'!$A$2:$Q$2902,Z$2,0)&lt;&gt;J847,"Beam Revised","")</f>
        <v>#N/A</v>
      </c>
      <c r="AA847" s="7" t="e">
        <f>IF(VLOOKUP($A847,'Concrete Beam Schedule'!$A$2:$Q$2902,AA$2,0)&lt;&gt;K847,"Beam Revised","")</f>
        <v>#N/A</v>
      </c>
      <c r="AB847" s="7" t="e">
        <f>IF(VLOOKUP($A847,'Concrete Beam Schedule'!$A$2:$Q$2902,AB$2,0)&lt;&gt;L847,"Beam Revised","")</f>
        <v>#N/A</v>
      </c>
      <c r="AC847" s="7" t="e">
        <f>IF(VLOOKUP($A847,'Concrete Beam Schedule'!$A$2:$Q$2902,AC$2,0)&lt;&gt;M847,"Beam Revised","")</f>
        <v>#N/A</v>
      </c>
      <c r="AD847" s="7" t="e">
        <f>IF(VLOOKUP($A847,'Concrete Beam Schedule'!$A$2:$Q$2902,AD$2,0)&lt;&gt;N847,"Beam Revised","")</f>
        <v>#N/A</v>
      </c>
      <c r="AE847" s="7" t="e">
        <f>IF(VLOOKUP($A847,'Concrete Beam Schedule'!$A$2:$Q$2902,AE$2,0)&lt;&gt;O847,"Beam Revised","")</f>
        <v>#N/A</v>
      </c>
    </row>
    <row r="848" spans="17:31" ht="13.2" x14ac:dyDescent="0.25">
      <c r="Q848" s="7">
        <f t="shared" si="13"/>
        <v>0</v>
      </c>
      <c r="R848" s="7" t="e">
        <f>IF(VLOOKUP($A848,'Concrete Beam Schedule'!$A$2:$Q$2902,R$2,0)&lt;&gt;B848,VLOOKUP($A848,'Concrete Beam Schedule'!$A$2:$Q$2902,R$2,0),"")</f>
        <v>#N/A</v>
      </c>
      <c r="S848" s="7" t="e">
        <f>IF(VLOOKUP($A848,'Concrete Beam Schedule'!$A$2:$Q$2902,S$2,0)&lt;&gt;C848,VLOOKUP($A848,'Concrete Beam Schedule'!$A$2:$Q$2902,S$2,0),"")</f>
        <v>#N/A</v>
      </c>
      <c r="T848" s="7" t="e">
        <f>IF(VLOOKUP($A848,'Concrete Beam Schedule'!$A$2:$Q$2902,T$2,0)&lt;&gt;D848,"Beam Revised","")</f>
        <v>#N/A</v>
      </c>
      <c r="U848" s="7" t="e">
        <f>IF(VLOOKUP($A848,'Concrete Beam Schedule'!$A$2:$Q$2902,U$2,0)&lt;&gt;E848,"Beam Revised","")</f>
        <v>#N/A</v>
      </c>
      <c r="V848" s="7" t="e">
        <f>IF(VLOOKUP($A848,'Concrete Beam Schedule'!$A$2:$Q$2902,V$2,0)&lt;&gt;F848,"Beam Revised","")</f>
        <v>#N/A</v>
      </c>
      <c r="W848" s="7" t="e">
        <f>IF(VLOOKUP($A848,'Concrete Beam Schedule'!$A$2:$Q$2902,W$2,0)&lt;&gt;G848,"Beam Revised","")</f>
        <v>#N/A</v>
      </c>
      <c r="X848" s="7" t="e">
        <f>IF(VLOOKUP($A848,'Concrete Beam Schedule'!$A$2:$Q$2902,X$2,0)&lt;&gt;H848,"Beam Revised","")</f>
        <v>#N/A</v>
      </c>
      <c r="Y848" s="7" t="e">
        <f>IF(VLOOKUP($A848,'Concrete Beam Schedule'!$A$2:$Q$2902,Y$2,0)&lt;&gt;I848,"Beam Revised","")</f>
        <v>#N/A</v>
      </c>
      <c r="Z848" s="7" t="e">
        <f>IF(VLOOKUP($A848,'Concrete Beam Schedule'!$A$2:$Q$2902,Z$2,0)&lt;&gt;J848,"Beam Revised","")</f>
        <v>#N/A</v>
      </c>
      <c r="AA848" s="7" t="e">
        <f>IF(VLOOKUP($A848,'Concrete Beam Schedule'!$A$2:$Q$2902,AA$2,0)&lt;&gt;K848,"Beam Revised","")</f>
        <v>#N/A</v>
      </c>
      <c r="AB848" s="7" t="e">
        <f>IF(VLOOKUP($A848,'Concrete Beam Schedule'!$A$2:$Q$2902,AB$2,0)&lt;&gt;L848,"Beam Revised","")</f>
        <v>#N/A</v>
      </c>
      <c r="AC848" s="7" t="e">
        <f>IF(VLOOKUP($A848,'Concrete Beam Schedule'!$A$2:$Q$2902,AC$2,0)&lt;&gt;M848,"Beam Revised","")</f>
        <v>#N/A</v>
      </c>
      <c r="AD848" s="7" t="e">
        <f>IF(VLOOKUP($A848,'Concrete Beam Schedule'!$A$2:$Q$2902,AD$2,0)&lt;&gt;N848,"Beam Revised","")</f>
        <v>#N/A</v>
      </c>
      <c r="AE848" s="7" t="e">
        <f>IF(VLOOKUP($A848,'Concrete Beam Schedule'!$A$2:$Q$2902,AE$2,0)&lt;&gt;O848,"Beam Revised","")</f>
        <v>#N/A</v>
      </c>
    </row>
    <row r="849" spans="17:31" ht="13.2" x14ac:dyDescent="0.25">
      <c r="Q849" s="7">
        <f t="shared" si="13"/>
        <v>0</v>
      </c>
      <c r="R849" s="7" t="e">
        <f>IF(VLOOKUP($A849,'Concrete Beam Schedule'!$A$2:$Q$2902,R$2,0)&lt;&gt;B849,VLOOKUP($A849,'Concrete Beam Schedule'!$A$2:$Q$2902,R$2,0),"")</f>
        <v>#N/A</v>
      </c>
      <c r="S849" s="7" t="e">
        <f>IF(VLOOKUP($A849,'Concrete Beam Schedule'!$A$2:$Q$2902,S$2,0)&lt;&gt;C849,VLOOKUP($A849,'Concrete Beam Schedule'!$A$2:$Q$2902,S$2,0),"")</f>
        <v>#N/A</v>
      </c>
      <c r="T849" s="7" t="e">
        <f>IF(VLOOKUP($A849,'Concrete Beam Schedule'!$A$2:$Q$2902,T$2,0)&lt;&gt;D849,"Beam Revised","")</f>
        <v>#N/A</v>
      </c>
      <c r="U849" s="7" t="e">
        <f>IF(VLOOKUP($A849,'Concrete Beam Schedule'!$A$2:$Q$2902,U$2,0)&lt;&gt;E849,"Beam Revised","")</f>
        <v>#N/A</v>
      </c>
      <c r="V849" s="7" t="e">
        <f>IF(VLOOKUP($A849,'Concrete Beam Schedule'!$A$2:$Q$2902,V$2,0)&lt;&gt;F849,"Beam Revised","")</f>
        <v>#N/A</v>
      </c>
      <c r="W849" s="7" t="e">
        <f>IF(VLOOKUP($A849,'Concrete Beam Schedule'!$A$2:$Q$2902,W$2,0)&lt;&gt;G849,"Beam Revised","")</f>
        <v>#N/A</v>
      </c>
      <c r="X849" s="7" t="e">
        <f>IF(VLOOKUP($A849,'Concrete Beam Schedule'!$A$2:$Q$2902,X$2,0)&lt;&gt;H849,"Beam Revised","")</f>
        <v>#N/A</v>
      </c>
      <c r="Y849" s="7" t="e">
        <f>IF(VLOOKUP($A849,'Concrete Beam Schedule'!$A$2:$Q$2902,Y$2,0)&lt;&gt;I849,"Beam Revised","")</f>
        <v>#N/A</v>
      </c>
      <c r="Z849" s="7" t="e">
        <f>IF(VLOOKUP($A849,'Concrete Beam Schedule'!$A$2:$Q$2902,Z$2,0)&lt;&gt;J849,"Beam Revised","")</f>
        <v>#N/A</v>
      </c>
      <c r="AA849" s="7" t="e">
        <f>IF(VLOOKUP($A849,'Concrete Beam Schedule'!$A$2:$Q$2902,AA$2,0)&lt;&gt;K849,"Beam Revised","")</f>
        <v>#N/A</v>
      </c>
      <c r="AB849" s="7" t="e">
        <f>IF(VLOOKUP($A849,'Concrete Beam Schedule'!$A$2:$Q$2902,AB$2,0)&lt;&gt;L849,"Beam Revised","")</f>
        <v>#N/A</v>
      </c>
      <c r="AC849" s="7" t="e">
        <f>IF(VLOOKUP($A849,'Concrete Beam Schedule'!$A$2:$Q$2902,AC$2,0)&lt;&gt;M849,"Beam Revised","")</f>
        <v>#N/A</v>
      </c>
      <c r="AD849" s="7" t="e">
        <f>IF(VLOOKUP($A849,'Concrete Beam Schedule'!$A$2:$Q$2902,AD$2,0)&lt;&gt;N849,"Beam Revised","")</f>
        <v>#N/A</v>
      </c>
      <c r="AE849" s="7" t="e">
        <f>IF(VLOOKUP($A849,'Concrete Beam Schedule'!$A$2:$Q$2902,AE$2,0)&lt;&gt;O849,"Beam Revised","")</f>
        <v>#N/A</v>
      </c>
    </row>
    <row r="850" spans="17:31" ht="13.2" x14ac:dyDescent="0.25">
      <c r="Q850" s="7">
        <f t="shared" si="13"/>
        <v>0</v>
      </c>
      <c r="R850" s="7" t="e">
        <f>IF(VLOOKUP($A850,'Concrete Beam Schedule'!$A$2:$Q$2902,R$2,0)&lt;&gt;B850,VLOOKUP($A850,'Concrete Beam Schedule'!$A$2:$Q$2902,R$2,0),"")</f>
        <v>#N/A</v>
      </c>
      <c r="S850" s="7" t="e">
        <f>IF(VLOOKUP($A850,'Concrete Beam Schedule'!$A$2:$Q$2902,S$2,0)&lt;&gt;C850,VLOOKUP($A850,'Concrete Beam Schedule'!$A$2:$Q$2902,S$2,0),"")</f>
        <v>#N/A</v>
      </c>
      <c r="T850" s="7" t="e">
        <f>IF(VLOOKUP($A850,'Concrete Beam Schedule'!$A$2:$Q$2902,T$2,0)&lt;&gt;D850,"Beam Revised","")</f>
        <v>#N/A</v>
      </c>
      <c r="U850" s="7" t="e">
        <f>IF(VLOOKUP($A850,'Concrete Beam Schedule'!$A$2:$Q$2902,U$2,0)&lt;&gt;E850,"Beam Revised","")</f>
        <v>#N/A</v>
      </c>
      <c r="V850" s="7" t="e">
        <f>IF(VLOOKUP($A850,'Concrete Beam Schedule'!$A$2:$Q$2902,V$2,0)&lt;&gt;F850,"Beam Revised","")</f>
        <v>#N/A</v>
      </c>
      <c r="W850" s="7" t="e">
        <f>IF(VLOOKUP($A850,'Concrete Beam Schedule'!$A$2:$Q$2902,W$2,0)&lt;&gt;G850,"Beam Revised","")</f>
        <v>#N/A</v>
      </c>
      <c r="X850" s="7" t="e">
        <f>IF(VLOOKUP($A850,'Concrete Beam Schedule'!$A$2:$Q$2902,X$2,0)&lt;&gt;H850,"Beam Revised","")</f>
        <v>#N/A</v>
      </c>
      <c r="Y850" s="7" t="e">
        <f>IF(VLOOKUP($A850,'Concrete Beam Schedule'!$A$2:$Q$2902,Y$2,0)&lt;&gt;I850,"Beam Revised","")</f>
        <v>#N/A</v>
      </c>
      <c r="Z850" s="7" t="e">
        <f>IF(VLOOKUP($A850,'Concrete Beam Schedule'!$A$2:$Q$2902,Z$2,0)&lt;&gt;J850,"Beam Revised","")</f>
        <v>#N/A</v>
      </c>
      <c r="AA850" s="7" t="e">
        <f>IF(VLOOKUP($A850,'Concrete Beam Schedule'!$A$2:$Q$2902,AA$2,0)&lt;&gt;K850,"Beam Revised","")</f>
        <v>#N/A</v>
      </c>
      <c r="AB850" s="7" t="e">
        <f>IF(VLOOKUP($A850,'Concrete Beam Schedule'!$A$2:$Q$2902,AB$2,0)&lt;&gt;L850,"Beam Revised","")</f>
        <v>#N/A</v>
      </c>
      <c r="AC850" s="7" t="e">
        <f>IF(VLOOKUP($A850,'Concrete Beam Schedule'!$A$2:$Q$2902,AC$2,0)&lt;&gt;M850,"Beam Revised","")</f>
        <v>#N/A</v>
      </c>
      <c r="AD850" s="7" t="e">
        <f>IF(VLOOKUP($A850,'Concrete Beam Schedule'!$A$2:$Q$2902,AD$2,0)&lt;&gt;N850,"Beam Revised","")</f>
        <v>#N/A</v>
      </c>
      <c r="AE850" s="7" t="e">
        <f>IF(VLOOKUP($A850,'Concrete Beam Schedule'!$A$2:$Q$2902,AE$2,0)&lt;&gt;O850,"Beam Revised","")</f>
        <v>#N/A</v>
      </c>
    </row>
    <row r="851" spans="17:31" ht="13.2" x14ac:dyDescent="0.25">
      <c r="Q851" s="7">
        <f t="shared" si="13"/>
        <v>0</v>
      </c>
      <c r="R851" s="7" t="e">
        <f>IF(VLOOKUP($A851,'Concrete Beam Schedule'!$A$2:$Q$2902,R$2,0)&lt;&gt;B851,VLOOKUP($A851,'Concrete Beam Schedule'!$A$2:$Q$2902,R$2,0),"")</f>
        <v>#N/A</v>
      </c>
      <c r="S851" s="7" t="e">
        <f>IF(VLOOKUP($A851,'Concrete Beam Schedule'!$A$2:$Q$2902,S$2,0)&lt;&gt;C851,VLOOKUP($A851,'Concrete Beam Schedule'!$A$2:$Q$2902,S$2,0),"")</f>
        <v>#N/A</v>
      </c>
      <c r="T851" s="7" t="e">
        <f>IF(VLOOKUP($A851,'Concrete Beam Schedule'!$A$2:$Q$2902,T$2,0)&lt;&gt;D851,"Beam Revised","")</f>
        <v>#N/A</v>
      </c>
      <c r="U851" s="7" t="e">
        <f>IF(VLOOKUP($A851,'Concrete Beam Schedule'!$A$2:$Q$2902,U$2,0)&lt;&gt;E851,"Beam Revised","")</f>
        <v>#N/A</v>
      </c>
      <c r="V851" s="7" t="e">
        <f>IF(VLOOKUP($A851,'Concrete Beam Schedule'!$A$2:$Q$2902,V$2,0)&lt;&gt;F851,"Beam Revised","")</f>
        <v>#N/A</v>
      </c>
      <c r="W851" s="7" t="e">
        <f>IF(VLOOKUP($A851,'Concrete Beam Schedule'!$A$2:$Q$2902,W$2,0)&lt;&gt;G851,"Beam Revised","")</f>
        <v>#N/A</v>
      </c>
      <c r="X851" s="7" t="e">
        <f>IF(VLOOKUP($A851,'Concrete Beam Schedule'!$A$2:$Q$2902,X$2,0)&lt;&gt;H851,"Beam Revised","")</f>
        <v>#N/A</v>
      </c>
      <c r="Y851" s="7" t="e">
        <f>IF(VLOOKUP($A851,'Concrete Beam Schedule'!$A$2:$Q$2902,Y$2,0)&lt;&gt;I851,"Beam Revised","")</f>
        <v>#N/A</v>
      </c>
      <c r="Z851" s="7" t="e">
        <f>IF(VLOOKUP($A851,'Concrete Beam Schedule'!$A$2:$Q$2902,Z$2,0)&lt;&gt;J851,"Beam Revised","")</f>
        <v>#N/A</v>
      </c>
      <c r="AA851" s="7" t="e">
        <f>IF(VLOOKUP($A851,'Concrete Beam Schedule'!$A$2:$Q$2902,AA$2,0)&lt;&gt;K851,"Beam Revised","")</f>
        <v>#N/A</v>
      </c>
      <c r="AB851" s="7" t="e">
        <f>IF(VLOOKUP($A851,'Concrete Beam Schedule'!$A$2:$Q$2902,AB$2,0)&lt;&gt;L851,"Beam Revised","")</f>
        <v>#N/A</v>
      </c>
      <c r="AC851" s="7" t="e">
        <f>IF(VLOOKUP($A851,'Concrete Beam Schedule'!$A$2:$Q$2902,AC$2,0)&lt;&gt;M851,"Beam Revised","")</f>
        <v>#N/A</v>
      </c>
      <c r="AD851" s="7" t="e">
        <f>IF(VLOOKUP($A851,'Concrete Beam Schedule'!$A$2:$Q$2902,AD$2,0)&lt;&gt;N851,"Beam Revised","")</f>
        <v>#N/A</v>
      </c>
      <c r="AE851" s="7" t="e">
        <f>IF(VLOOKUP($A851,'Concrete Beam Schedule'!$A$2:$Q$2902,AE$2,0)&lt;&gt;O851,"Beam Revised","")</f>
        <v>#N/A</v>
      </c>
    </row>
    <row r="852" spans="17:31" ht="13.2" x14ac:dyDescent="0.25">
      <c r="Q852" s="7">
        <f t="shared" si="13"/>
        <v>0</v>
      </c>
      <c r="R852" s="7" t="e">
        <f>IF(VLOOKUP($A852,'Concrete Beam Schedule'!$A$2:$Q$2902,R$2,0)&lt;&gt;B852,VLOOKUP($A852,'Concrete Beam Schedule'!$A$2:$Q$2902,R$2,0),"")</f>
        <v>#N/A</v>
      </c>
      <c r="S852" s="7" t="e">
        <f>IF(VLOOKUP($A852,'Concrete Beam Schedule'!$A$2:$Q$2902,S$2,0)&lt;&gt;C852,VLOOKUP($A852,'Concrete Beam Schedule'!$A$2:$Q$2902,S$2,0),"")</f>
        <v>#N/A</v>
      </c>
      <c r="T852" s="7" t="e">
        <f>IF(VLOOKUP($A852,'Concrete Beam Schedule'!$A$2:$Q$2902,T$2,0)&lt;&gt;D852,"Beam Revised","")</f>
        <v>#N/A</v>
      </c>
      <c r="U852" s="7" t="e">
        <f>IF(VLOOKUP($A852,'Concrete Beam Schedule'!$A$2:$Q$2902,U$2,0)&lt;&gt;E852,"Beam Revised","")</f>
        <v>#N/A</v>
      </c>
      <c r="V852" s="7" t="e">
        <f>IF(VLOOKUP($A852,'Concrete Beam Schedule'!$A$2:$Q$2902,V$2,0)&lt;&gt;F852,"Beam Revised","")</f>
        <v>#N/A</v>
      </c>
      <c r="W852" s="7" t="e">
        <f>IF(VLOOKUP($A852,'Concrete Beam Schedule'!$A$2:$Q$2902,W$2,0)&lt;&gt;G852,"Beam Revised","")</f>
        <v>#N/A</v>
      </c>
      <c r="X852" s="7" t="e">
        <f>IF(VLOOKUP($A852,'Concrete Beam Schedule'!$A$2:$Q$2902,X$2,0)&lt;&gt;H852,"Beam Revised","")</f>
        <v>#N/A</v>
      </c>
      <c r="Y852" s="7" t="e">
        <f>IF(VLOOKUP($A852,'Concrete Beam Schedule'!$A$2:$Q$2902,Y$2,0)&lt;&gt;I852,"Beam Revised","")</f>
        <v>#N/A</v>
      </c>
      <c r="Z852" s="7" t="e">
        <f>IF(VLOOKUP($A852,'Concrete Beam Schedule'!$A$2:$Q$2902,Z$2,0)&lt;&gt;J852,"Beam Revised","")</f>
        <v>#N/A</v>
      </c>
      <c r="AA852" s="7" t="e">
        <f>IF(VLOOKUP($A852,'Concrete Beam Schedule'!$A$2:$Q$2902,AA$2,0)&lt;&gt;K852,"Beam Revised","")</f>
        <v>#N/A</v>
      </c>
      <c r="AB852" s="7" t="e">
        <f>IF(VLOOKUP($A852,'Concrete Beam Schedule'!$A$2:$Q$2902,AB$2,0)&lt;&gt;L852,"Beam Revised","")</f>
        <v>#N/A</v>
      </c>
      <c r="AC852" s="7" t="e">
        <f>IF(VLOOKUP($A852,'Concrete Beam Schedule'!$A$2:$Q$2902,AC$2,0)&lt;&gt;M852,"Beam Revised","")</f>
        <v>#N/A</v>
      </c>
      <c r="AD852" s="7" t="e">
        <f>IF(VLOOKUP($A852,'Concrete Beam Schedule'!$A$2:$Q$2902,AD$2,0)&lt;&gt;N852,"Beam Revised","")</f>
        <v>#N/A</v>
      </c>
      <c r="AE852" s="7" t="e">
        <f>IF(VLOOKUP($A852,'Concrete Beam Schedule'!$A$2:$Q$2902,AE$2,0)&lt;&gt;O852,"Beam Revised","")</f>
        <v>#N/A</v>
      </c>
    </row>
    <row r="853" spans="17:31" ht="13.2" x14ac:dyDescent="0.25">
      <c r="Q853" s="7">
        <f t="shared" si="13"/>
        <v>0</v>
      </c>
      <c r="R853" s="7" t="e">
        <f>IF(VLOOKUP($A853,'Concrete Beam Schedule'!$A$2:$Q$2902,R$2,0)&lt;&gt;B853,VLOOKUP($A853,'Concrete Beam Schedule'!$A$2:$Q$2902,R$2,0),"")</f>
        <v>#N/A</v>
      </c>
      <c r="S853" s="7" t="e">
        <f>IF(VLOOKUP($A853,'Concrete Beam Schedule'!$A$2:$Q$2902,S$2,0)&lt;&gt;C853,VLOOKUP($A853,'Concrete Beam Schedule'!$A$2:$Q$2902,S$2,0),"")</f>
        <v>#N/A</v>
      </c>
      <c r="T853" s="7" t="e">
        <f>IF(VLOOKUP($A853,'Concrete Beam Schedule'!$A$2:$Q$2902,T$2,0)&lt;&gt;D853,"Beam Revised","")</f>
        <v>#N/A</v>
      </c>
      <c r="U853" s="7" t="e">
        <f>IF(VLOOKUP($A853,'Concrete Beam Schedule'!$A$2:$Q$2902,U$2,0)&lt;&gt;E853,"Beam Revised","")</f>
        <v>#N/A</v>
      </c>
      <c r="V853" s="7" t="e">
        <f>IF(VLOOKUP($A853,'Concrete Beam Schedule'!$A$2:$Q$2902,V$2,0)&lt;&gt;F853,"Beam Revised","")</f>
        <v>#N/A</v>
      </c>
      <c r="W853" s="7" t="e">
        <f>IF(VLOOKUP($A853,'Concrete Beam Schedule'!$A$2:$Q$2902,W$2,0)&lt;&gt;G853,"Beam Revised","")</f>
        <v>#N/A</v>
      </c>
      <c r="X853" s="7" t="e">
        <f>IF(VLOOKUP($A853,'Concrete Beam Schedule'!$A$2:$Q$2902,X$2,0)&lt;&gt;H853,"Beam Revised","")</f>
        <v>#N/A</v>
      </c>
      <c r="Y853" s="7" t="e">
        <f>IF(VLOOKUP($A853,'Concrete Beam Schedule'!$A$2:$Q$2902,Y$2,0)&lt;&gt;I853,"Beam Revised","")</f>
        <v>#N/A</v>
      </c>
      <c r="Z853" s="7" t="e">
        <f>IF(VLOOKUP($A853,'Concrete Beam Schedule'!$A$2:$Q$2902,Z$2,0)&lt;&gt;J853,"Beam Revised","")</f>
        <v>#N/A</v>
      </c>
      <c r="AA853" s="7" t="e">
        <f>IF(VLOOKUP($A853,'Concrete Beam Schedule'!$A$2:$Q$2902,AA$2,0)&lt;&gt;K853,"Beam Revised","")</f>
        <v>#N/A</v>
      </c>
      <c r="AB853" s="7" t="e">
        <f>IF(VLOOKUP($A853,'Concrete Beam Schedule'!$A$2:$Q$2902,AB$2,0)&lt;&gt;L853,"Beam Revised","")</f>
        <v>#N/A</v>
      </c>
      <c r="AC853" s="7" t="e">
        <f>IF(VLOOKUP($A853,'Concrete Beam Schedule'!$A$2:$Q$2902,AC$2,0)&lt;&gt;M853,"Beam Revised","")</f>
        <v>#N/A</v>
      </c>
      <c r="AD853" s="7" t="e">
        <f>IF(VLOOKUP($A853,'Concrete Beam Schedule'!$A$2:$Q$2902,AD$2,0)&lt;&gt;N853,"Beam Revised","")</f>
        <v>#N/A</v>
      </c>
      <c r="AE853" s="7" t="e">
        <f>IF(VLOOKUP($A853,'Concrete Beam Schedule'!$A$2:$Q$2902,AE$2,0)&lt;&gt;O853,"Beam Revised","")</f>
        <v>#N/A</v>
      </c>
    </row>
    <row r="854" spans="17:31" ht="13.2" x14ac:dyDescent="0.25">
      <c r="Q854" s="7">
        <f t="shared" si="13"/>
        <v>0</v>
      </c>
      <c r="R854" s="7" t="e">
        <f>IF(VLOOKUP($A854,'Concrete Beam Schedule'!$A$2:$Q$2902,R$2,0)&lt;&gt;B854,VLOOKUP($A854,'Concrete Beam Schedule'!$A$2:$Q$2902,R$2,0),"")</f>
        <v>#N/A</v>
      </c>
      <c r="S854" s="7" t="e">
        <f>IF(VLOOKUP($A854,'Concrete Beam Schedule'!$A$2:$Q$2902,S$2,0)&lt;&gt;C854,VLOOKUP($A854,'Concrete Beam Schedule'!$A$2:$Q$2902,S$2,0),"")</f>
        <v>#N/A</v>
      </c>
      <c r="T854" s="7" t="e">
        <f>IF(VLOOKUP($A854,'Concrete Beam Schedule'!$A$2:$Q$2902,T$2,0)&lt;&gt;D854,"Beam Revised","")</f>
        <v>#N/A</v>
      </c>
      <c r="U854" s="7" t="e">
        <f>IF(VLOOKUP($A854,'Concrete Beam Schedule'!$A$2:$Q$2902,U$2,0)&lt;&gt;E854,"Beam Revised","")</f>
        <v>#N/A</v>
      </c>
      <c r="V854" s="7" t="e">
        <f>IF(VLOOKUP($A854,'Concrete Beam Schedule'!$A$2:$Q$2902,V$2,0)&lt;&gt;F854,"Beam Revised","")</f>
        <v>#N/A</v>
      </c>
      <c r="W854" s="7" t="e">
        <f>IF(VLOOKUP($A854,'Concrete Beam Schedule'!$A$2:$Q$2902,W$2,0)&lt;&gt;G854,"Beam Revised","")</f>
        <v>#N/A</v>
      </c>
      <c r="X854" s="7" t="e">
        <f>IF(VLOOKUP($A854,'Concrete Beam Schedule'!$A$2:$Q$2902,X$2,0)&lt;&gt;H854,"Beam Revised","")</f>
        <v>#N/A</v>
      </c>
      <c r="Y854" s="7" t="e">
        <f>IF(VLOOKUP($A854,'Concrete Beam Schedule'!$A$2:$Q$2902,Y$2,0)&lt;&gt;I854,"Beam Revised","")</f>
        <v>#N/A</v>
      </c>
      <c r="Z854" s="7" t="e">
        <f>IF(VLOOKUP($A854,'Concrete Beam Schedule'!$A$2:$Q$2902,Z$2,0)&lt;&gt;J854,"Beam Revised","")</f>
        <v>#N/A</v>
      </c>
      <c r="AA854" s="7" t="e">
        <f>IF(VLOOKUP($A854,'Concrete Beam Schedule'!$A$2:$Q$2902,AA$2,0)&lt;&gt;K854,"Beam Revised","")</f>
        <v>#N/A</v>
      </c>
      <c r="AB854" s="7" t="e">
        <f>IF(VLOOKUP($A854,'Concrete Beam Schedule'!$A$2:$Q$2902,AB$2,0)&lt;&gt;L854,"Beam Revised","")</f>
        <v>#N/A</v>
      </c>
      <c r="AC854" s="7" t="e">
        <f>IF(VLOOKUP($A854,'Concrete Beam Schedule'!$A$2:$Q$2902,AC$2,0)&lt;&gt;M854,"Beam Revised","")</f>
        <v>#N/A</v>
      </c>
      <c r="AD854" s="7" t="e">
        <f>IF(VLOOKUP($A854,'Concrete Beam Schedule'!$A$2:$Q$2902,AD$2,0)&lt;&gt;N854,"Beam Revised","")</f>
        <v>#N/A</v>
      </c>
      <c r="AE854" s="7" t="e">
        <f>IF(VLOOKUP($A854,'Concrete Beam Schedule'!$A$2:$Q$2902,AE$2,0)&lt;&gt;O854,"Beam Revised","")</f>
        <v>#N/A</v>
      </c>
    </row>
    <row r="855" spans="17:31" ht="13.2" x14ac:dyDescent="0.25">
      <c r="Q855" s="7">
        <f t="shared" si="13"/>
        <v>0</v>
      </c>
      <c r="R855" s="7" t="e">
        <f>IF(VLOOKUP($A855,'Concrete Beam Schedule'!$A$2:$Q$2902,R$2,0)&lt;&gt;B855,VLOOKUP($A855,'Concrete Beam Schedule'!$A$2:$Q$2902,R$2,0),"")</f>
        <v>#N/A</v>
      </c>
      <c r="S855" s="7" t="e">
        <f>IF(VLOOKUP($A855,'Concrete Beam Schedule'!$A$2:$Q$2902,S$2,0)&lt;&gt;C855,VLOOKUP($A855,'Concrete Beam Schedule'!$A$2:$Q$2902,S$2,0),"")</f>
        <v>#N/A</v>
      </c>
      <c r="T855" s="7" t="e">
        <f>IF(VLOOKUP($A855,'Concrete Beam Schedule'!$A$2:$Q$2902,T$2,0)&lt;&gt;D855,"Beam Revised","")</f>
        <v>#N/A</v>
      </c>
      <c r="U855" s="7" t="e">
        <f>IF(VLOOKUP($A855,'Concrete Beam Schedule'!$A$2:$Q$2902,U$2,0)&lt;&gt;E855,"Beam Revised","")</f>
        <v>#N/A</v>
      </c>
      <c r="V855" s="7" t="e">
        <f>IF(VLOOKUP($A855,'Concrete Beam Schedule'!$A$2:$Q$2902,V$2,0)&lt;&gt;F855,"Beam Revised","")</f>
        <v>#N/A</v>
      </c>
      <c r="W855" s="7" t="e">
        <f>IF(VLOOKUP($A855,'Concrete Beam Schedule'!$A$2:$Q$2902,W$2,0)&lt;&gt;G855,"Beam Revised","")</f>
        <v>#N/A</v>
      </c>
      <c r="X855" s="7" t="e">
        <f>IF(VLOOKUP($A855,'Concrete Beam Schedule'!$A$2:$Q$2902,X$2,0)&lt;&gt;H855,"Beam Revised","")</f>
        <v>#N/A</v>
      </c>
      <c r="Y855" s="7" t="e">
        <f>IF(VLOOKUP($A855,'Concrete Beam Schedule'!$A$2:$Q$2902,Y$2,0)&lt;&gt;I855,"Beam Revised","")</f>
        <v>#N/A</v>
      </c>
      <c r="Z855" s="7" t="e">
        <f>IF(VLOOKUP($A855,'Concrete Beam Schedule'!$A$2:$Q$2902,Z$2,0)&lt;&gt;J855,"Beam Revised","")</f>
        <v>#N/A</v>
      </c>
      <c r="AA855" s="7" t="e">
        <f>IF(VLOOKUP($A855,'Concrete Beam Schedule'!$A$2:$Q$2902,AA$2,0)&lt;&gt;K855,"Beam Revised","")</f>
        <v>#N/A</v>
      </c>
      <c r="AB855" s="7" t="e">
        <f>IF(VLOOKUP($A855,'Concrete Beam Schedule'!$A$2:$Q$2902,AB$2,0)&lt;&gt;L855,"Beam Revised","")</f>
        <v>#N/A</v>
      </c>
      <c r="AC855" s="7" t="e">
        <f>IF(VLOOKUP($A855,'Concrete Beam Schedule'!$A$2:$Q$2902,AC$2,0)&lt;&gt;M855,"Beam Revised","")</f>
        <v>#N/A</v>
      </c>
      <c r="AD855" s="7" t="e">
        <f>IF(VLOOKUP($A855,'Concrete Beam Schedule'!$A$2:$Q$2902,AD$2,0)&lt;&gt;N855,"Beam Revised","")</f>
        <v>#N/A</v>
      </c>
      <c r="AE855" s="7" t="e">
        <f>IF(VLOOKUP($A855,'Concrete Beam Schedule'!$A$2:$Q$2902,AE$2,0)&lt;&gt;O855,"Beam Revised","")</f>
        <v>#N/A</v>
      </c>
    </row>
    <row r="856" spans="17:31" ht="13.2" x14ac:dyDescent="0.25">
      <c r="Q856" s="7">
        <f t="shared" si="13"/>
        <v>0</v>
      </c>
      <c r="R856" s="7" t="e">
        <f>IF(VLOOKUP($A856,'Concrete Beam Schedule'!$A$2:$Q$2902,R$2,0)&lt;&gt;B856,VLOOKUP($A856,'Concrete Beam Schedule'!$A$2:$Q$2902,R$2,0),"")</f>
        <v>#N/A</v>
      </c>
      <c r="S856" s="7" t="e">
        <f>IF(VLOOKUP($A856,'Concrete Beam Schedule'!$A$2:$Q$2902,S$2,0)&lt;&gt;C856,VLOOKUP($A856,'Concrete Beam Schedule'!$A$2:$Q$2902,S$2,0),"")</f>
        <v>#N/A</v>
      </c>
      <c r="T856" s="7" t="e">
        <f>IF(VLOOKUP($A856,'Concrete Beam Schedule'!$A$2:$Q$2902,T$2,0)&lt;&gt;D856,"Beam Revised","")</f>
        <v>#N/A</v>
      </c>
      <c r="U856" s="7" t="e">
        <f>IF(VLOOKUP($A856,'Concrete Beam Schedule'!$A$2:$Q$2902,U$2,0)&lt;&gt;E856,"Beam Revised","")</f>
        <v>#N/A</v>
      </c>
      <c r="V856" s="7" t="e">
        <f>IF(VLOOKUP($A856,'Concrete Beam Schedule'!$A$2:$Q$2902,V$2,0)&lt;&gt;F856,"Beam Revised","")</f>
        <v>#N/A</v>
      </c>
      <c r="W856" s="7" t="e">
        <f>IF(VLOOKUP($A856,'Concrete Beam Schedule'!$A$2:$Q$2902,W$2,0)&lt;&gt;G856,"Beam Revised","")</f>
        <v>#N/A</v>
      </c>
      <c r="X856" s="7" t="e">
        <f>IF(VLOOKUP($A856,'Concrete Beam Schedule'!$A$2:$Q$2902,X$2,0)&lt;&gt;H856,"Beam Revised","")</f>
        <v>#N/A</v>
      </c>
      <c r="Y856" s="7" t="e">
        <f>IF(VLOOKUP($A856,'Concrete Beam Schedule'!$A$2:$Q$2902,Y$2,0)&lt;&gt;I856,"Beam Revised","")</f>
        <v>#N/A</v>
      </c>
      <c r="Z856" s="7" t="e">
        <f>IF(VLOOKUP($A856,'Concrete Beam Schedule'!$A$2:$Q$2902,Z$2,0)&lt;&gt;J856,"Beam Revised","")</f>
        <v>#N/A</v>
      </c>
      <c r="AA856" s="7" t="e">
        <f>IF(VLOOKUP($A856,'Concrete Beam Schedule'!$A$2:$Q$2902,AA$2,0)&lt;&gt;K856,"Beam Revised","")</f>
        <v>#N/A</v>
      </c>
      <c r="AB856" s="7" t="e">
        <f>IF(VLOOKUP($A856,'Concrete Beam Schedule'!$A$2:$Q$2902,AB$2,0)&lt;&gt;L856,"Beam Revised","")</f>
        <v>#N/A</v>
      </c>
      <c r="AC856" s="7" t="e">
        <f>IF(VLOOKUP($A856,'Concrete Beam Schedule'!$A$2:$Q$2902,AC$2,0)&lt;&gt;M856,"Beam Revised","")</f>
        <v>#N/A</v>
      </c>
      <c r="AD856" s="7" t="e">
        <f>IF(VLOOKUP($A856,'Concrete Beam Schedule'!$A$2:$Q$2902,AD$2,0)&lt;&gt;N856,"Beam Revised","")</f>
        <v>#N/A</v>
      </c>
      <c r="AE856" s="7" t="e">
        <f>IF(VLOOKUP($A856,'Concrete Beam Schedule'!$A$2:$Q$2902,AE$2,0)&lt;&gt;O856,"Beam Revised","")</f>
        <v>#N/A</v>
      </c>
    </row>
    <row r="857" spans="17:31" ht="13.2" x14ac:dyDescent="0.25">
      <c r="Q857" s="7">
        <f t="shared" si="13"/>
        <v>0</v>
      </c>
      <c r="R857" s="7" t="e">
        <f>IF(VLOOKUP($A857,'Concrete Beam Schedule'!$A$2:$Q$2902,R$2,0)&lt;&gt;B857,VLOOKUP($A857,'Concrete Beam Schedule'!$A$2:$Q$2902,R$2,0),"")</f>
        <v>#N/A</v>
      </c>
      <c r="S857" s="7" t="e">
        <f>IF(VLOOKUP($A857,'Concrete Beam Schedule'!$A$2:$Q$2902,S$2,0)&lt;&gt;C857,VLOOKUP($A857,'Concrete Beam Schedule'!$A$2:$Q$2902,S$2,0),"")</f>
        <v>#N/A</v>
      </c>
      <c r="T857" s="7" t="e">
        <f>IF(VLOOKUP($A857,'Concrete Beam Schedule'!$A$2:$Q$2902,T$2,0)&lt;&gt;D857,"Beam Revised","")</f>
        <v>#N/A</v>
      </c>
      <c r="U857" s="7" t="e">
        <f>IF(VLOOKUP($A857,'Concrete Beam Schedule'!$A$2:$Q$2902,U$2,0)&lt;&gt;E857,"Beam Revised","")</f>
        <v>#N/A</v>
      </c>
      <c r="V857" s="7" t="e">
        <f>IF(VLOOKUP($A857,'Concrete Beam Schedule'!$A$2:$Q$2902,V$2,0)&lt;&gt;F857,"Beam Revised","")</f>
        <v>#N/A</v>
      </c>
      <c r="W857" s="7" t="e">
        <f>IF(VLOOKUP($A857,'Concrete Beam Schedule'!$A$2:$Q$2902,W$2,0)&lt;&gt;G857,"Beam Revised","")</f>
        <v>#N/A</v>
      </c>
      <c r="X857" s="7" t="e">
        <f>IF(VLOOKUP($A857,'Concrete Beam Schedule'!$A$2:$Q$2902,X$2,0)&lt;&gt;H857,"Beam Revised","")</f>
        <v>#N/A</v>
      </c>
      <c r="Y857" s="7" t="e">
        <f>IF(VLOOKUP($A857,'Concrete Beam Schedule'!$A$2:$Q$2902,Y$2,0)&lt;&gt;I857,"Beam Revised","")</f>
        <v>#N/A</v>
      </c>
      <c r="Z857" s="7" t="e">
        <f>IF(VLOOKUP($A857,'Concrete Beam Schedule'!$A$2:$Q$2902,Z$2,0)&lt;&gt;J857,"Beam Revised","")</f>
        <v>#N/A</v>
      </c>
      <c r="AA857" s="7" t="e">
        <f>IF(VLOOKUP($A857,'Concrete Beam Schedule'!$A$2:$Q$2902,AA$2,0)&lt;&gt;K857,"Beam Revised","")</f>
        <v>#N/A</v>
      </c>
      <c r="AB857" s="7" t="e">
        <f>IF(VLOOKUP($A857,'Concrete Beam Schedule'!$A$2:$Q$2902,AB$2,0)&lt;&gt;L857,"Beam Revised","")</f>
        <v>#N/A</v>
      </c>
      <c r="AC857" s="7" t="e">
        <f>IF(VLOOKUP($A857,'Concrete Beam Schedule'!$A$2:$Q$2902,AC$2,0)&lt;&gt;M857,"Beam Revised","")</f>
        <v>#N/A</v>
      </c>
      <c r="AD857" s="7" t="e">
        <f>IF(VLOOKUP($A857,'Concrete Beam Schedule'!$A$2:$Q$2902,AD$2,0)&lt;&gt;N857,"Beam Revised","")</f>
        <v>#N/A</v>
      </c>
      <c r="AE857" s="7" t="e">
        <f>IF(VLOOKUP($A857,'Concrete Beam Schedule'!$A$2:$Q$2902,AE$2,0)&lt;&gt;O857,"Beam Revised","")</f>
        <v>#N/A</v>
      </c>
    </row>
    <row r="858" spans="17:31" ht="13.2" x14ac:dyDescent="0.25">
      <c r="Q858" s="7">
        <f t="shared" si="13"/>
        <v>0</v>
      </c>
      <c r="R858" s="7" t="e">
        <f>IF(VLOOKUP($A858,'Concrete Beam Schedule'!$A$2:$Q$2902,R$2,0)&lt;&gt;B858,VLOOKUP($A858,'Concrete Beam Schedule'!$A$2:$Q$2902,R$2,0),"")</f>
        <v>#N/A</v>
      </c>
      <c r="S858" s="7" t="e">
        <f>IF(VLOOKUP($A858,'Concrete Beam Schedule'!$A$2:$Q$2902,S$2,0)&lt;&gt;C858,VLOOKUP($A858,'Concrete Beam Schedule'!$A$2:$Q$2902,S$2,0),"")</f>
        <v>#N/A</v>
      </c>
      <c r="T858" s="7" t="e">
        <f>IF(VLOOKUP($A858,'Concrete Beam Schedule'!$A$2:$Q$2902,T$2,0)&lt;&gt;D858,"Beam Revised","")</f>
        <v>#N/A</v>
      </c>
      <c r="U858" s="7" t="e">
        <f>IF(VLOOKUP($A858,'Concrete Beam Schedule'!$A$2:$Q$2902,U$2,0)&lt;&gt;E858,"Beam Revised","")</f>
        <v>#N/A</v>
      </c>
      <c r="V858" s="7" t="e">
        <f>IF(VLOOKUP($A858,'Concrete Beam Schedule'!$A$2:$Q$2902,V$2,0)&lt;&gt;F858,"Beam Revised","")</f>
        <v>#N/A</v>
      </c>
      <c r="W858" s="7" t="e">
        <f>IF(VLOOKUP($A858,'Concrete Beam Schedule'!$A$2:$Q$2902,W$2,0)&lt;&gt;G858,"Beam Revised","")</f>
        <v>#N/A</v>
      </c>
      <c r="X858" s="7" t="e">
        <f>IF(VLOOKUP($A858,'Concrete Beam Schedule'!$A$2:$Q$2902,X$2,0)&lt;&gt;H858,"Beam Revised","")</f>
        <v>#N/A</v>
      </c>
      <c r="Y858" s="7" t="e">
        <f>IF(VLOOKUP($A858,'Concrete Beam Schedule'!$A$2:$Q$2902,Y$2,0)&lt;&gt;I858,"Beam Revised","")</f>
        <v>#N/A</v>
      </c>
      <c r="Z858" s="7" t="e">
        <f>IF(VLOOKUP($A858,'Concrete Beam Schedule'!$A$2:$Q$2902,Z$2,0)&lt;&gt;J858,"Beam Revised","")</f>
        <v>#N/A</v>
      </c>
      <c r="AA858" s="7" t="e">
        <f>IF(VLOOKUP($A858,'Concrete Beam Schedule'!$A$2:$Q$2902,AA$2,0)&lt;&gt;K858,"Beam Revised","")</f>
        <v>#N/A</v>
      </c>
      <c r="AB858" s="7" t="e">
        <f>IF(VLOOKUP($A858,'Concrete Beam Schedule'!$A$2:$Q$2902,AB$2,0)&lt;&gt;L858,"Beam Revised","")</f>
        <v>#N/A</v>
      </c>
      <c r="AC858" s="7" t="e">
        <f>IF(VLOOKUP($A858,'Concrete Beam Schedule'!$A$2:$Q$2902,AC$2,0)&lt;&gt;M858,"Beam Revised","")</f>
        <v>#N/A</v>
      </c>
      <c r="AD858" s="7" t="e">
        <f>IF(VLOOKUP($A858,'Concrete Beam Schedule'!$A$2:$Q$2902,AD$2,0)&lt;&gt;N858,"Beam Revised","")</f>
        <v>#N/A</v>
      </c>
      <c r="AE858" s="7" t="e">
        <f>IF(VLOOKUP($A858,'Concrete Beam Schedule'!$A$2:$Q$2902,AE$2,0)&lt;&gt;O858,"Beam Revised","")</f>
        <v>#N/A</v>
      </c>
    </row>
    <row r="859" spans="17:31" ht="13.2" x14ac:dyDescent="0.25">
      <c r="Q859" s="7">
        <f t="shared" si="13"/>
        <v>0</v>
      </c>
      <c r="R859" s="7" t="e">
        <f>IF(VLOOKUP($A859,'Concrete Beam Schedule'!$A$2:$Q$2902,R$2,0)&lt;&gt;B859,VLOOKUP($A859,'Concrete Beam Schedule'!$A$2:$Q$2902,R$2,0),"")</f>
        <v>#N/A</v>
      </c>
      <c r="S859" s="7" t="e">
        <f>IF(VLOOKUP($A859,'Concrete Beam Schedule'!$A$2:$Q$2902,S$2,0)&lt;&gt;C859,VLOOKUP($A859,'Concrete Beam Schedule'!$A$2:$Q$2902,S$2,0),"")</f>
        <v>#N/A</v>
      </c>
      <c r="T859" s="7" t="e">
        <f>IF(VLOOKUP($A859,'Concrete Beam Schedule'!$A$2:$Q$2902,T$2,0)&lt;&gt;D859,"Beam Revised","")</f>
        <v>#N/A</v>
      </c>
      <c r="U859" s="7" t="e">
        <f>IF(VLOOKUP($A859,'Concrete Beam Schedule'!$A$2:$Q$2902,U$2,0)&lt;&gt;E859,"Beam Revised","")</f>
        <v>#N/A</v>
      </c>
      <c r="V859" s="7" t="e">
        <f>IF(VLOOKUP($A859,'Concrete Beam Schedule'!$A$2:$Q$2902,V$2,0)&lt;&gt;F859,"Beam Revised","")</f>
        <v>#N/A</v>
      </c>
      <c r="W859" s="7" t="e">
        <f>IF(VLOOKUP($A859,'Concrete Beam Schedule'!$A$2:$Q$2902,W$2,0)&lt;&gt;G859,"Beam Revised","")</f>
        <v>#N/A</v>
      </c>
      <c r="X859" s="7" t="e">
        <f>IF(VLOOKUP($A859,'Concrete Beam Schedule'!$A$2:$Q$2902,X$2,0)&lt;&gt;H859,"Beam Revised","")</f>
        <v>#N/A</v>
      </c>
      <c r="Y859" s="7" t="e">
        <f>IF(VLOOKUP($A859,'Concrete Beam Schedule'!$A$2:$Q$2902,Y$2,0)&lt;&gt;I859,"Beam Revised","")</f>
        <v>#N/A</v>
      </c>
      <c r="Z859" s="7" t="e">
        <f>IF(VLOOKUP($A859,'Concrete Beam Schedule'!$A$2:$Q$2902,Z$2,0)&lt;&gt;J859,"Beam Revised","")</f>
        <v>#N/A</v>
      </c>
      <c r="AA859" s="7" t="e">
        <f>IF(VLOOKUP($A859,'Concrete Beam Schedule'!$A$2:$Q$2902,AA$2,0)&lt;&gt;K859,"Beam Revised","")</f>
        <v>#N/A</v>
      </c>
      <c r="AB859" s="7" t="e">
        <f>IF(VLOOKUP($A859,'Concrete Beam Schedule'!$A$2:$Q$2902,AB$2,0)&lt;&gt;L859,"Beam Revised","")</f>
        <v>#N/A</v>
      </c>
      <c r="AC859" s="7" t="e">
        <f>IF(VLOOKUP($A859,'Concrete Beam Schedule'!$A$2:$Q$2902,AC$2,0)&lt;&gt;M859,"Beam Revised","")</f>
        <v>#N/A</v>
      </c>
      <c r="AD859" s="7" t="e">
        <f>IF(VLOOKUP($A859,'Concrete Beam Schedule'!$A$2:$Q$2902,AD$2,0)&lt;&gt;N859,"Beam Revised","")</f>
        <v>#N/A</v>
      </c>
      <c r="AE859" s="7" t="e">
        <f>IF(VLOOKUP($A859,'Concrete Beam Schedule'!$A$2:$Q$2902,AE$2,0)&lt;&gt;O859,"Beam Revised","")</f>
        <v>#N/A</v>
      </c>
    </row>
    <row r="860" spans="17:31" ht="13.2" x14ac:dyDescent="0.25">
      <c r="Q860" s="7">
        <f t="shared" si="13"/>
        <v>0</v>
      </c>
      <c r="R860" s="7" t="e">
        <f>IF(VLOOKUP($A860,'Concrete Beam Schedule'!$A$2:$Q$2902,R$2,0)&lt;&gt;B860,VLOOKUP($A860,'Concrete Beam Schedule'!$A$2:$Q$2902,R$2,0),"")</f>
        <v>#N/A</v>
      </c>
      <c r="S860" s="7" t="e">
        <f>IF(VLOOKUP($A860,'Concrete Beam Schedule'!$A$2:$Q$2902,S$2,0)&lt;&gt;C860,VLOOKUP($A860,'Concrete Beam Schedule'!$A$2:$Q$2902,S$2,0),"")</f>
        <v>#N/A</v>
      </c>
      <c r="T860" s="7" t="e">
        <f>IF(VLOOKUP($A860,'Concrete Beam Schedule'!$A$2:$Q$2902,T$2,0)&lt;&gt;D860,"Beam Revised","")</f>
        <v>#N/A</v>
      </c>
      <c r="U860" s="7" t="e">
        <f>IF(VLOOKUP($A860,'Concrete Beam Schedule'!$A$2:$Q$2902,U$2,0)&lt;&gt;E860,"Beam Revised","")</f>
        <v>#N/A</v>
      </c>
      <c r="V860" s="7" t="e">
        <f>IF(VLOOKUP($A860,'Concrete Beam Schedule'!$A$2:$Q$2902,V$2,0)&lt;&gt;F860,"Beam Revised","")</f>
        <v>#N/A</v>
      </c>
      <c r="W860" s="7" t="e">
        <f>IF(VLOOKUP($A860,'Concrete Beam Schedule'!$A$2:$Q$2902,W$2,0)&lt;&gt;G860,"Beam Revised","")</f>
        <v>#N/A</v>
      </c>
      <c r="X860" s="7" t="e">
        <f>IF(VLOOKUP($A860,'Concrete Beam Schedule'!$A$2:$Q$2902,X$2,0)&lt;&gt;H860,"Beam Revised","")</f>
        <v>#N/A</v>
      </c>
      <c r="Y860" s="7" t="e">
        <f>IF(VLOOKUP($A860,'Concrete Beam Schedule'!$A$2:$Q$2902,Y$2,0)&lt;&gt;I860,"Beam Revised","")</f>
        <v>#N/A</v>
      </c>
      <c r="Z860" s="7" t="e">
        <f>IF(VLOOKUP($A860,'Concrete Beam Schedule'!$A$2:$Q$2902,Z$2,0)&lt;&gt;J860,"Beam Revised","")</f>
        <v>#N/A</v>
      </c>
      <c r="AA860" s="7" t="e">
        <f>IF(VLOOKUP($A860,'Concrete Beam Schedule'!$A$2:$Q$2902,AA$2,0)&lt;&gt;K860,"Beam Revised","")</f>
        <v>#N/A</v>
      </c>
      <c r="AB860" s="7" t="e">
        <f>IF(VLOOKUP($A860,'Concrete Beam Schedule'!$A$2:$Q$2902,AB$2,0)&lt;&gt;L860,"Beam Revised","")</f>
        <v>#N/A</v>
      </c>
      <c r="AC860" s="7" t="e">
        <f>IF(VLOOKUP($A860,'Concrete Beam Schedule'!$A$2:$Q$2902,AC$2,0)&lt;&gt;M860,"Beam Revised","")</f>
        <v>#N/A</v>
      </c>
      <c r="AD860" s="7" t="e">
        <f>IF(VLOOKUP($A860,'Concrete Beam Schedule'!$A$2:$Q$2902,AD$2,0)&lt;&gt;N860,"Beam Revised","")</f>
        <v>#N/A</v>
      </c>
      <c r="AE860" s="7" t="e">
        <f>IF(VLOOKUP($A860,'Concrete Beam Schedule'!$A$2:$Q$2902,AE$2,0)&lt;&gt;O860,"Beam Revised","")</f>
        <v>#N/A</v>
      </c>
    </row>
    <row r="861" spans="17:31" ht="13.2" x14ac:dyDescent="0.25">
      <c r="Q861" s="7">
        <f t="shared" si="13"/>
        <v>0</v>
      </c>
      <c r="R861" s="7" t="e">
        <f>IF(VLOOKUP($A861,'Concrete Beam Schedule'!$A$2:$Q$2902,R$2,0)&lt;&gt;B861,VLOOKUP($A861,'Concrete Beam Schedule'!$A$2:$Q$2902,R$2,0),"")</f>
        <v>#N/A</v>
      </c>
      <c r="S861" s="7" t="e">
        <f>IF(VLOOKUP($A861,'Concrete Beam Schedule'!$A$2:$Q$2902,S$2,0)&lt;&gt;C861,VLOOKUP($A861,'Concrete Beam Schedule'!$A$2:$Q$2902,S$2,0),"")</f>
        <v>#N/A</v>
      </c>
      <c r="T861" s="7" t="e">
        <f>IF(VLOOKUP($A861,'Concrete Beam Schedule'!$A$2:$Q$2902,T$2,0)&lt;&gt;D861,"Beam Revised","")</f>
        <v>#N/A</v>
      </c>
      <c r="U861" s="7" t="e">
        <f>IF(VLOOKUP($A861,'Concrete Beam Schedule'!$A$2:$Q$2902,U$2,0)&lt;&gt;E861,"Beam Revised","")</f>
        <v>#N/A</v>
      </c>
      <c r="V861" s="7" t="e">
        <f>IF(VLOOKUP($A861,'Concrete Beam Schedule'!$A$2:$Q$2902,V$2,0)&lt;&gt;F861,"Beam Revised","")</f>
        <v>#N/A</v>
      </c>
      <c r="W861" s="7" t="e">
        <f>IF(VLOOKUP($A861,'Concrete Beam Schedule'!$A$2:$Q$2902,W$2,0)&lt;&gt;G861,"Beam Revised","")</f>
        <v>#N/A</v>
      </c>
      <c r="X861" s="7" t="e">
        <f>IF(VLOOKUP($A861,'Concrete Beam Schedule'!$A$2:$Q$2902,X$2,0)&lt;&gt;H861,"Beam Revised","")</f>
        <v>#N/A</v>
      </c>
      <c r="Y861" s="7" t="e">
        <f>IF(VLOOKUP($A861,'Concrete Beam Schedule'!$A$2:$Q$2902,Y$2,0)&lt;&gt;I861,"Beam Revised","")</f>
        <v>#N/A</v>
      </c>
      <c r="Z861" s="7" t="e">
        <f>IF(VLOOKUP($A861,'Concrete Beam Schedule'!$A$2:$Q$2902,Z$2,0)&lt;&gt;J861,"Beam Revised","")</f>
        <v>#N/A</v>
      </c>
      <c r="AA861" s="7" t="e">
        <f>IF(VLOOKUP($A861,'Concrete Beam Schedule'!$A$2:$Q$2902,AA$2,0)&lt;&gt;K861,"Beam Revised","")</f>
        <v>#N/A</v>
      </c>
      <c r="AB861" s="7" t="e">
        <f>IF(VLOOKUP($A861,'Concrete Beam Schedule'!$A$2:$Q$2902,AB$2,0)&lt;&gt;L861,"Beam Revised","")</f>
        <v>#N/A</v>
      </c>
      <c r="AC861" s="7" t="e">
        <f>IF(VLOOKUP($A861,'Concrete Beam Schedule'!$A$2:$Q$2902,AC$2,0)&lt;&gt;M861,"Beam Revised","")</f>
        <v>#N/A</v>
      </c>
      <c r="AD861" s="7" t="e">
        <f>IF(VLOOKUP($A861,'Concrete Beam Schedule'!$A$2:$Q$2902,AD$2,0)&lt;&gt;N861,"Beam Revised","")</f>
        <v>#N/A</v>
      </c>
      <c r="AE861" s="7" t="e">
        <f>IF(VLOOKUP($A861,'Concrete Beam Schedule'!$A$2:$Q$2902,AE$2,0)&lt;&gt;O861,"Beam Revised","")</f>
        <v>#N/A</v>
      </c>
    </row>
    <row r="862" spans="17:31" ht="13.2" x14ac:dyDescent="0.25">
      <c r="Q862" s="7">
        <f t="shared" si="13"/>
        <v>0</v>
      </c>
      <c r="R862" s="7" t="e">
        <f>IF(VLOOKUP($A862,'Concrete Beam Schedule'!$A$2:$Q$2902,R$2,0)&lt;&gt;B862,VLOOKUP($A862,'Concrete Beam Schedule'!$A$2:$Q$2902,R$2,0),"")</f>
        <v>#N/A</v>
      </c>
      <c r="S862" s="7" t="e">
        <f>IF(VLOOKUP($A862,'Concrete Beam Schedule'!$A$2:$Q$2902,S$2,0)&lt;&gt;C862,VLOOKUP($A862,'Concrete Beam Schedule'!$A$2:$Q$2902,S$2,0),"")</f>
        <v>#N/A</v>
      </c>
      <c r="T862" s="7" t="e">
        <f>IF(VLOOKUP($A862,'Concrete Beam Schedule'!$A$2:$Q$2902,T$2,0)&lt;&gt;D862,"Beam Revised","")</f>
        <v>#N/A</v>
      </c>
      <c r="U862" s="7" t="e">
        <f>IF(VLOOKUP($A862,'Concrete Beam Schedule'!$A$2:$Q$2902,U$2,0)&lt;&gt;E862,"Beam Revised","")</f>
        <v>#N/A</v>
      </c>
      <c r="V862" s="7" t="e">
        <f>IF(VLOOKUP($A862,'Concrete Beam Schedule'!$A$2:$Q$2902,V$2,0)&lt;&gt;F862,"Beam Revised","")</f>
        <v>#N/A</v>
      </c>
      <c r="W862" s="7" t="e">
        <f>IF(VLOOKUP($A862,'Concrete Beam Schedule'!$A$2:$Q$2902,W$2,0)&lt;&gt;G862,"Beam Revised","")</f>
        <v>#N/A</v>
      </c>
      <c r="X862" s="7" t="e">
        <f>IF(VLOOKUP($A862,'Concrete Beam Schedule'!$A$2:$Q$2902,X$2,0)&lt;&gt;H862,"Beam Revised","")</f>
        <v>#N/A</v>
      </c>
      <c r="Y862" s="7" t="e">
        <f>IF(VLOOKUP($A862,'Concrete Beam Schedule'!$A$2:$Q$2902,Y$2,0)&lt;&gt;I862,"Beam Revised","")</f>
        <v>#N/A</v>
      </c>
      <c r="Z862" s="7" t="e">
        <f>IF(VLOOKUP($A862,'Concrete Beam Schedule'!$A$2:$Q$2902,Z$2,0)&lt;&gt;J862,"Beam Revised","")</f>
        <v>#N/A</v>
      </c>
      <c r="AA862" s="7" t="e">
        <f>IF(VLOOKUP($A862,'Concrete Beam Schedule'!$A$2:$Q$2902,AA$2,0)&lt;&gt;K862,"Beam Revised","")</f>
        <v>#N/A</v>
      </c>
      <c r="AB862" s="7" t="e">
        <f>IF(VLOOKUP($A862,'Concrete Beam Schedule'!$A$2:$Q$2902,AB$2,0)&lt;&gt;L862,"Beam Revised","")</f>
        <v>#N/A</v>
      </c>
      <c r="AC862" s="7" t="e">
        <f>IF(VLOOKUP($A862,'Concrete Beam Schedule'!$A$2:$Q$2902,AC$2,0)&lt;&gt;M862,"Beam Revised","")</f>
        <v>#N/A</v>
      </c>
      <c r="AD862" s="7" t="e">
        <f>IF(VLOOKUP($A862,'Concrete Beam Schedule'!$A$2:$Q$2902,AD$2,0)&lt;&gt;N862,"Beam Revised","")</f>
        <v>#N/A</v>
      </c>
      <c r="AE862" s="7" t="e">
        <f>IF(VLOOKUP($A862,'Concrete Beam Schedule'!$A$2:$Q$2902,AE$2,0)&lt;&gt;O862,"Beam Revised","")</f>
        <v>#N/A</v>
      </c>
    </row>
    <row r="863" spans="17:31" ht="13.2" x14ac:dyDescent="0.25">
      <c r="Q863" s="7">
        <f t="shared" si="13"/>
        <v>0</v>
      </c>
      <c r="R863" s="7" t="e">
        <f>IF(VLOOKUP($A863,'Concrete Beam Schedule'!$A$2:$Q$2902,R$2,0)&lt;&gt;B863,VLOOKUP($A863,'Concrete Beam Schedule'!$A$2:$Q$2902,R$2,0),"")</f>
        <v>#N/A</v>
      </c>
      <c r="S863" s="7" t="e">
        <f>IF(VLOOKUP($A863,'Concrete Beam Schedule'!$A$2:$Q$2902,S$2,0)&lt;&gt;C863,VLOOKUP($A863,'Concrete Beam Schedule'!$A$2:$Q$2902,S$2,0),"")</f>
        <v>#N/A</v>
      </c>
      <c r="T863" s="7" t="e">
        <f>IF(VLOOKUP($A863,'Concrete Beam Schedule'!$A$2:$Q$2902,T$2,0)&lt;&gt;D863,"Beam Revised","")</f>
        <v>#N/A</v>
      </c>
      <c r="U863" s="7" t="e">
        <f>IF(VLOOKUP($A863,'Concrete Beam Schedule'!$A$2:$Q$2902,U$2,0)&lt;&gt;E863,"Beam Revised","")</f>
        <v>#N/A</v>
      </c>
      <c r="V863" s="7" t="e">
        <f>IF(VLOOKUP($A863,'Concrete Beam Schedule'!$A$2:$Q$2902,V$2,0)&lt;&gt;F863,"Beam Revised","")</f>
        <v>#N/A</v>
      </c>
      <c r="W863" s="7" t="e">
        <f>IF(VLOOKUP($A863,'Concrete Beam Schedule'!$A$2:$Q$2902,W$2,0)&lt;&gt;G863,"Beam Revised","")</f>
        <v>#N/A</v>
      </c>
      <c r="X863" s="7" t="e">
        <f>IF(VLOOKUP($A863,'Concrete Beam Schedule'!$A$2:$Q$2902,X$2,0)&lt;&gt;H863,"Beam Revised","")</f>
        <v>#N/A</v>
      </c>
      <c r="Y863" s="7" t="e">
        <f>IF(VLOOKUP($A863,'Concrete Beam Schedule'!$A$2:$Q$2902,Y$2,0)&lt;&gt;I863,"Beam Revised","")</f>
        <v>#N/A</v>
      </c>
      <c r="Z863" s="7" t="e">
        <f>IF(VLOOKUP($A863,'Concrete Beam Schedule'!$A$2:$Q$2902,Z$2,0)&lt;&gt;J863,"Beam Revised","")</f>
        <v>#N/A</v>
      </c>
      <c r="AA863" s="7" t="e">
        <f>IF(VLOOKUP($A863,'Concrete Beam Schedule'!$A$2:$Q$2902,AA$2,0)&lt;&gt;K863,"Beam Revised","")</f>
        <v>#N/A</v>
      </c>
      <c r="AB863" s="7" t="e">
        <f>IF(VLOOKUP($A863,'Concrete Beam Schedule'!$A$2:$Q$2902,AB$2,0)&lt;&gt;L863,"Beam Revised","")</f>
        <v>#N/A</v>
      </c>
      <c r="AC863" s="7" t="e">
        <f>IF(VLOOKUP($A863,'Concrete Beam Schedule'!$A$2:$Q$2902,AC$2,0)&lt;&gt;M863,"Beam Revised","")</f>
        <v>#N/A</v>
      </c>
      <c r="AD863" s="7" t="e">
        <f>IF(VLOOKUP($A863,'Concrete Beam Schedule'!$A$2:$Q$2902,AD$2,0)&lt;&gt;N863,"Beam Revised","")</f>
        <v>#N/A</v>
      </c>
      <c r="AE863" s="7" t="e">
        <f>IF(VLOOKUP($A863,'Concrete Beam Schedule'!$A$2:$Q$2902,AE$2,0)&lt;&gt;O863,"Beam Revised","")</f>
        <v>#N/A</v>
      </c>
    </row>
    <row r="864" spans="17:31" ht="13.2" x14ac:dyDescent="0.25">
      <c r="Q864" s="7">
        <f t="shared" si="13"/>
        <v>0</v>
      </c>
      <c r="R864" s="7" t="e">
        <f>IF(VLOOKUP($A864,'Concrete Beam Schedule'!$A$2:$Q$2902,R$2,0)&lt;&gt;B864,VLOOKUP($A864,'Concrete Beam Schedule'!$A$2:$Q$2902,R$2,0),"")</f>
        <v>#N/A</v>
      </c>
      <c r="S864" s="7" t="e">
        <f>IF(VLOOKUP($A864,'Concrete Beam Schedule'!$A$2:$Q$2902,S$2,0)&lt;&gt;C864,VLOOKUP($A864,'Concrete Beam Schedule'!$A$2:$Q$2902,S$2,0),"")</f>
        <v>#N/A</v>
      </c>
      <c r="T864" s="7" t="e">
        <f>IF(VLOOKUP($A864,'Concrete Beam Schedule'!$A$2:$Q$2902,T$2,0)&lt;&gt;D864,"Beam Revised","")</f>
        <v>#N/A</v>
      </c>
      <c r="U864" s="7" t="e">
        <f>IF(VLOOKUP($A864,'Concrete Beam Schedule'!$A$2:$Q$2902,U$2,0)&lt;&gt;E864,"Beam Revised","")</f>
        <v>#N/A</v>
      </c>
      <c r="V864" s="7" t="e">
        <f>IF(VLOOKUP($A864,'Concrete Beam Schedule'!$A$2:$Q$2902,V$2,0)&lt;&gt;F864,"Beam Revised","")</f>
        <v>#N/A</v>
      </c>
      <c r="W864" s="7" t="e">
        <f>IF(VLOOKUP($A864,'Concrete Beam Schedule'!$A$2:$Q$2902,W$2,0)&lt;&gt;G864,"Beam Revised","")</f>
        <v>#N/A</v>
      </c>
      <c r="X864" s="7" t="e">
        <f>IF(VLOOKUP($A864,'Concrete Beam Schedule'!$A$2:$Q$2902,X$2,0)&lt;&gt;H864,"Beam Revised","")</f>
        <v>#N/A</v>
      </c>
      <c r="Y864" s="7" t="e">
        <f>IF(VLOOKUP($A864,'Concrete Beam Schedule'!$A$2:$Q$2902,Y$2,0)&lt;&gt;I864,"Beam Revised","")</f>
        <v>#N/A</v>
      </c>
      <c r="Z864" s="7" t="e">
        <f>IF(VLOOKUP($A864,'Concrete Beam Schedule'!$A$2:$Q$2902,Z$2,0)&lt;&gt;J864,"Beam Revised","")</f>
        <v>#N/A</v>
      </c>
      <c r="AA864" s="7" t="e">
        <f>IF(VLOOKUP($A864,'Concrete Beam Schedule'!$A$2:$Q$2902,AA$2,0)&lt;&gt;K864,"Beam Revised","")</f>
        <v>#N/A</v>
      </c>
      <c r="AB864" s="7" t="e">
        <f>IF(VLOOKUP($A864,'Concrete Beam Schedule'!$A$2:$Q$2902,AB$2,0)&lt;&gt;L864,"Beam Revised","")</f>
        <v>#N/A</v>
      </c>
      <c r="AC864" s="7" t="e">
        <f>IF(VLOOKUP($A864,'Concrete Beam Schedule'!$A$2:$Q$2902,AC$2,0)&lt;&gt;M864,"Beam Revised","")</f>
        <v>#N/A</v>
      </c>
      <c r="AD864" s="7" t="e">
        <f>IF(VLOOKUP($A864,'Concrete Beam Schedule'!$A$2:$Q$2902,AD$2,0)&lt;&gt;N864,"Beam Revised","")</f>
        <v>#N/A</v>
      </c>
      <c r="AE864" s="7" t="e">
        <f>IF(VLOOKUP($A864,'Concrete Beam Schedule'!$A$2:$Q$2902,AE$2,0)&lt;&gt;O864,"Beam Revised","")</f>
        <v>#N/A</v>
      </c>
    </row>
    <row r="865" spans="17:31" ht="13.2" x14ac:dyDescent="0.25">
      <c r="Q865" s="7">
        <f t="shared" si="13"/>
        <v>0</v>
      </c>
      <c r="R865" s="7" t="e">
        <f>IF(VLOOKUP($A865,'Concrete Beam Schedule'!$A$2:$Q$2902,R$2,0)&lt;&gt;B865,VLOOKUP($A865,'Concrete Beam Schedule'!$A$2:$Q$2902,R$2,0),"")</f>
        <v>#N/A</v>
      </c>
      <c r="S865" s="7" t="e">
        <f>IF(VLOOKUP($A865,'Concrete Beam Schedule'!$A$2:$Q$2902,S$2,0)&lt;&gt;C865,VLOOKUP($A865,'Concrete Beam Schedule'!$A$2:$Q$2902,S$2,0),"")</f>
        <v>#N/A</v>
      </c>
      <c r="T865" s="7" t="e">
        <f>IF(VLOOKUP($A865,'Concrete Beam Schedule'!$A$2:$Q$2902,T$2,0)&lt;&gt;D865,"Beam Revised","")</f>
        <v>#N/A</v>
      </c>
      <c r="U865" s="7" t="e">
        <f>IF(VLOOKUP($A865,'Concrete Beam Schedule'!$A$2:$Q$2902,U$2,0)&lt;&gt;E865,"Beam Revised","")</f>
        <v>#N/A</v>
      </c>
      <c r="V865" s="7" t="e">
        <f>IF(VLOOKUP($A865,'Concrete Beam Schedule'!$A$2:$Q$2902,V$2,0)&lt;&gt;F865,"Beam Revised","")</f>
        <v>#N/A</v>
      </c>
      <c r="W865" s="7" t="e">
        <f>IF(VLOOKUP($A865,'Concrete Beam Schedule'!$A$2:$Q$2902,W$2,0)&lt;&gt;G865,"Beam Revised","")</f>
        <v>#N/A</v>
      </c>
      <c r="X865" s="7" t="e">
        <f>IF(VLOOKUP($A865,'Concrete Beam Schedule'!$A$2:$Q$2902,X$2,0)&lt;&gt;H865,"Beam Revised","")</f>
        <v>#N/A</v>
      </c>
      <c r="Y865" s="7" t="e">
        <f>IF(VLOOKUP($A865,'Concrete Beam Schedule'!$A$2:$Q$2902,Y$2,0)&lt;&gt;I865,"Beam Revised","")</f>
        <v>#N/A</v>
      </c>
      <c r="Z865" s="7" t="e">
        <f>IF(VLOOKUP($A865,'Concrete Beam Schedule'!$A$2:$Q$2902,Z$2,0)&lt;&gt;J865,"Beam Revised","")</f>
        <v>#N/A</v>
      </c>
      <c r="AA865" s="7" t="e">
        <f>IF(VLOOKUP($A865,'Concrete Beam Schedule'!$A$2:$Q$2902,AA$2,0)&lt;&gt;K865,"Beam Revised","")</f>
        <v>#N/A</v>
      </c>
      <c r="AB865" s="7" t="e">
        <f>IF(VLOOKUP($A865,'Concrete Beam Schedule'!$A$2:$Q$2902,AB$2,0)&lt;&gt;L865,"Beam Revised","")</f>
        <v>#N/A</v>
      </c>
      <c r="AC865" s="7" t="e">
        <f>IF(VLOOKUP($A865,'Concrete Beam Schedule'!$A$2:$Q$2902,AC$2,0)&lt;&gt;M865,"Beam Revised","")</f>
        <v>#N/A</v>
      </c>
      <c r="AD865" s="7" t="e">
        <f>IF(VLOOKUP($A865,'Concrete Beam Schedule'!$A$2:$Q$2902,AD$2,0)&lt;&gt;N865,"Beam Revised","")</f>
        <v>#N/A</v>
      </c>
      <c r="AE865" s="7" t="e">
        <f>IF(VLOOKUP($A865,'Concrete Beam Schedule'!$A$2:$Q$2902,AE$2,0)&lt;&gt;O865,"Beam Revised","")</f>
        <v>#N/A</v>
      </c>
    </row>
    <row r="866" spans="17:31" ht="13.2" x14ac:dyDescent="0.25">
      <c r="Q866" s="7">
        <f t="shared" si="13"/>
        <v>0</v>
      </c>
      <c r="R866" s="7" t="e">
        <f>IF(VLOOKUP($A866,'Concrete Beam Schedule'!$A$2:$Q$2902,R$2,0)&lt;&gt;B866,VLOOKUP($A866,'Concrete Beam Schedule'!$A$2:$Q$2902,R$2,0),"")</f>
        <v>#N/A</v>
      </c>
      <c r="S866" s="7" t="e">
        <f>IF(VLOOKUP($A866,'Concrete Beam Schedule'!$A$2:$Q$2902,S$2,0)&lt;&gt;C866,VLOOKUP($A866,'Concrete Beam Schedule'!$A$2:$Q$2902,S$2,0),"")</f>
        <v>#N/A</v>
      </c>
      <c r="T866" s="7" t="e">
        <f>IF(VLOOKUP($A866,'Concrete Beam Schedule'!$A$2:$Q$2902,T$2,0)&lt;&gt;D866,"Beam Revised","")</f>
        <v>#N/A</v>
      </c>
      <c r="U866" s="7" t="e">
        <f>IF(VLOOKUP($A866,'Concrete Beam Schedule'!$A$2:$Q$2902,U$2,0)&lt;&gt;E866,"Beam Revised","")</f>
        <v>#N/A</v>
      </c>
      <c r="V866" s="7" t="e">
        <f>IF(VLOOKUP($A866,'Concrete Beam Schedule'!$A$2:$Q$2902,V$2,0)&lt;&gt;F866,"Beam Revised","")</f>
        <v>#N/A</v>
      </c>
      <c r="W866" s="7" t="e">
        <f>IF(VLOOKUP($A866,'Concrete Beam Schedule'!$A$2:$Q$2902,W$2,0)&lt;&gt;G866,"Beam Revised","")</f>
        <v>#N/A</v>
      </c>
      <c r="X866" s="7" t="e">
        <f>IF(VLOOKUP($A866,'Concrete Beam Schedule'!$A$2:$Q$2902,X$2,0)&lt;&gt;H866,"Beam Revised","")</f>
        <v>#N/A</v>
      </c>
      <c r="Y866" s="7" t="e">
        <f>IF(VLOOKUP($A866,'Concrete Beam Schedule'!$A$2:$Q$2902,Y$2,0)&lt;&gt;I866,"Beam Revised","")</f>
        <v>#N/A</v>
      </c>
      <c r="Z866" s="7" t="e">
        <f>IF(VLOOKUP($A866,'Concrete Beam Schedule'!$A$2:$Q$2902,Z$2,0)&lt;&gt;J866,"Beam Revised","")</f>
        <v>#N/A</v>
      </c>
      <c r="AA866" s="7" t="e">
        <f>IF(VLOOKUP($A866,'Concrete Beam Schedule'!$A$2:$Q$2902,AA$2,0)&lt;&gt;K866,"Beam Revised","")</f>
        <v>#N/A</v>
      </c>
      <c r="AB866" s="7" t="e">
        <f>IF(VLOOKUP($A866,'Concrete Beam Schedule'!$A$2:$Q$2902,AB$2,0)&lt;&gt;L866,"Beam Revised","")</f>
        <v>#N/A</v>
      </c>
      <c r="AC866" s="7" t="e">
        <f>IF(VLOOKUP($A866,'Concrete Beam Schedule'!$A$2:$Q$2902,AC$2,0)&lt;&gt;M866,"Beam Revised","")</f>
        <v>#N/A</v>
      </c>
      <c r="AD866" s="7" t="e">
        <f>IF(VLOOKUP($A866,'Concrete Beam Schedule'!$A$2:$Q$2902,AD$2,0)&lt;&gt;N866,"Beam Revised","")</f>
        <v>#N/A</v>
      </c>
      <c r="AE866" s="7" t="e">
        <f>IF(VLOOKUP($A866,'Concrete Beam Schedule'!$A$2:$Q$2902,AE$2,0)&lt;&gt;O866,"Beam Revised","")</f>
        <v>#N/A</v>
      </c>
    </row>
    <row r="867" spans="17:31" ht="13.2" x14ac:dyDescent="0.25">
      <c r="Q867" s="7">
        <f t="shared" si="13"/>
        <v>0</v>
      </c>
      <c r="R867" s="7" t="e">
        <f>IF(VLOOKUP($A867,'Concrete Beam Schedule'!$A$2:$Q$2902,R$2,0)&lt;&gt;B867,VLOOKUP($A867,'Concrete Beam Schedule'!$A$2:$Q$2902,R$2,0),"")</f>
        <v>#N/A</v>
      </c>
      <c r="S867" s="7" t="e">
        <f>IF(VLOOKUP($A867,'Concrete Beam Schedule'!$A$2:$Q$2902,S$2,0)&lt;&gt;C867,VLOOKUP($A867,'Concrete Beam Schedule'!$A$2:$Q$2902,S$2,0),"")</f>
        <v>#N/A</v>
      </c>
      <c r="T867" s="7" t="e">
        <f>IF(VLOOKUP($A867,'Concrete Beam Schedule'!$A$2:$Q$2902,T$2,0)&lt;&gt;D867,"Beam Revised","")</f>
        <v>#N/A</v>
      </c>
      <c r="U867" s="7" t="e">
        <f>IF(VLOOKUP($A867,'Concrete Beam Schedule'!$A$2:$Q$2902,U$2,0)&lt;&gt;E867,"Beam Revised","")</f>
        <v>#N/A</v>
      </c>
      <c r="V867" s="7" t="e">
        <f>IF(VLOOKUP($A867,'Concrete Beam Schedule'!$A$2:$Q$2902,V$2,0)&lt;&gt;F867,"Beam Revised","")</f>
        <v>#N/A</v>
      </c>
      <c r="W867" s="7" t="e">
        <f>IF(VLOOKUP($A867,'Concrete Beam Schedule'!$A$2:$Q$2902,W$2,0)&lt;&gt;G867,"Beam Revised","")</f>
        <v>#N/A</v>
      </c>
      <c r="X867" s="7" t="e">
        <f>IF(VLOOKUP($A867,'Concrete Beam Schedule'!$A$2:$Q$2902,X$2,0)&lt;&gt;H867,"Beam Revised","")</f>
        <v>#N/A</v>
      </c>
      <c r="Y867" s="7" t="e">
        <f>IF(VLOOKUP($A867,'Concrete Beam Schedule'!$A$2:$Q$2902,Y$2,0)&lt;&gt;I867,"Beam Revised","")</f>
        <v>#N/A</v>
      </c>
      <c r="Z867" s="7" t="e">
        <f>IF(VLOOKUP($A867,'Concrete Beam Schedule'!$A$2:$Q$2902,Z$2,0)&lt;&gt;J867,"Beam Revised","")</f>
        <v>#N/A</v>
      </c>
      <c r="AA867" s="7" t="e">
        <f>IF(VLOOKUP($A867,'Concrete Beam Schedule'!$A$2:$Q$2902,AA$2,0)&lt;&gt;K867,"Beam Revised","")</f>
        <v>#N/A</v>
      </c>
      <c r="AB867" s="7" t="e">
        <f>IF(VLOOKUP($A867,'Concrete Beam Schedule'!$A$2:$Q$2902,AB$2,0)&lt;&gt;L867,"Beam Revised","")</f>
        <v>#N/A</v>
      </c>
      <c r="AC867" s="7" t="e">
        <f>IF(VLOOKUP($A867,'Concrete Beam Schedule'!$A$2:$Q$2902,AC$2,0)&lt;&gt;M867,"Beam Revised","")</f>
        <v>#N/A</v>
      </c>
      <c r="AD867" s="7" t="e">
        <f>IF(VLOOKUP($A867,'Concrete Beam Schedule'!$A$2:$Q$2902,AD$2,0)&lt;&gt;N867,"Beam Revised","")</f>
        <v>#N/A</v>
      </c>
      <c r="AE867" s="7" t="e">
        <f>IF(VLOOKUP($A867,'Concrete Beam Schedule'!$A$2:$Q$2902,AE$2,0)&lt;&gt;O867,"Beam Revised","")</f>
        <v>#N/A</v>
      </c>
    </row>
    <row r="868" spans="17:31" ht="13.2" x14ac:dyDescent="0.25">
      <c r="Q868" s="7">
        <f t="shared" si="13"/>
        <v>0</v>
      </c>
      <c r="R868" s="7" t="e">
        <f>IF(VLOOKUP($A868,'Concrete Beam Schedule'!$A$2:$Q$2902,R$2,0)&lt;&gt;B868,VLOOKUP($A868,'Concrete Beam Schedule'!$A$2:$Q$2902,R$2,0),"")</f>
        <v>#N/A</v>
      </c>
      <c r="S868" s="7" t="e">
        <f>IF(VLOOKUP($A868,'Concrete Beam Schedule'!$A$2:$Q$2902,S$2,0)&lt;&gt;C868,VLOOKUP($A868,'Concrete Beam Schedule'!$A$2:$Q$2902,S$2,0),"")</f>
        <v>#N/A</v>
      </c>
      <c r="T868" s="7" t="e">
        <f>IF(VLOOKUP($A868,'Concrete Beam Schedule'!$A$2:$Q$2902,T$2,0)&lt;&gt;D868,"Beam Revised","")</f>
        <v>#N/A</v>
      </c>
      <c r="U868" s="7" t="e">
        <f>IF(VLOOKUP($A868,'Concrete Beam Schedule'!$A$2:$Q$2902,U$2,0)&lt;&gt;E868,"Beam Revised","")</f>
        <v>#N/A</v>
      </c>
      <c r="V868" s="7" t="e">
        <f>IF(VLOOKUP($A868,'Concrete Beam Schedule'!$A$2:$Q$2902,V$2,0)&lt;&gt;F868,"Beam Revised","")</f>
        <v>#N/A</v>
      </c>
      <c r="W868" s="7" t="e">
        <f>IF(VLOOKUP($A868,'Concrete Beam Schedule'!$A$2:$Q$2902,W$2,0)&lt;&gt;G868,"Beam Revised","")</f>
        <v>#N/A</v>
      </c>
      <c r="X868" s="7" t="e">
        <f>IF(VLOOKUP($A868,'Concrete Beam Schedule'!$A$2:$Q$2902,X$2,0)&lt;&gt;H868,"Beam Revised","")</f>
        <v>#N/A</v>
      </c>
      <c r="Y868" s="7" t="e">
        <f>IF(VLOOKUP($A868,'Concrete Beam Schedule'!$A$2:$Q$2902,Y$2,0)&lt;&gt;I868,"Beam Revised","")</f>
        <v>#N/A</v>
      </c>
      <c r="Z868" s="7" t="e">
        <f>IF(VLOOKUP($A868,'Concrete Beam Schedule'!$A$2:$Q$2902,Z$2,0)&lt;&gt;J868,"Beam Revised","")</f>
        <v>#N/A</v>
      </c>
      <c r="AA868" s="7" t="e">
        <f>IF(VLOOKUP($A868,'Concrete Beam Schedule'!$A$2:$Q$2902,AA$2,0)&lt;&gt;K868,"Beam Revised","")</f>
        <v>#N/A</v>
      </c>
      <c r="AB868" s="7" t="e">
        <f>IF(VLOOKUP($A868,'Concrete Beam Schedule'!$A$2:$Q$2902,AB$2,0)&lt;&gt;L868,"Beam Revised","")</f>
        <v>#N/A</v>
      </c>
      <c r="AC868" s="7" t="e">
        <f>IF(VLOOKUP($A868,'Concrete Beam Schedule'!$A$2:$Q$2902,AC$2,0)&lt;&gt;M868,"Beam Revised","")</f>
        <v>#N/A</v>
      </c>
      <c r="AD868" s="7" t="e">
        <f>IF(VLOOKUP($A868,'Concrete Beam Schedule'!$A$2:$Q$2902,AD$2,0)&lt;&gt;N868,"Beam Revised","")</f>
        <v>#N/A</v>
      </c>
      <c r="AE868" s="7" t="e">
        <f>IF(VLOOKUP($A868,'Concrete Beam Schedule'!$A$2:$Q$2902,AE$2,0)&lt;&gt;O868,"Beam Revised","")</f>
        <v>#N/A</v>
      </c>
    </row>
    <row r="869" spans="17:31" ht="13.2" x14ac:dyDescent="0.25">
      <c r="Q869" s="7">
        <f t="shared" si="13"/>
        <v>0</v>
      </c>
      <c r="R869" s="7" t="e">
        <f>IF(VLOOKUP($A869,'Concrete Beam Schedule'!$A$2:$Q$2902,R$2,0)&lt;&gt;B869,VLOOKUP($A869,'Concrete Beam Schedule'!$A$2:$Q$2902,R$2,0),"")</f>
        <v>#N/A</v>
      </c>
      <c r="S869" s="7" t="e">
        <f>IF(VLOOKUP($A869,'Concrete Beam Schedule'!$A$2:$Q$2902,S$2,0)&lt;&gt;C869,VLOOKUP($A869,'Concrete Beam Schedule'!$A$2:$Q$2902,S$2,0),"")</f>
        <v>#N/A</v>
      </c>
      <c r="T869" s="7" t="e">
        <f>IF(VLOOKUP($A869,'Concrete Beam Schedule'!$A$2:$Q$2902,T$2,0)&lt;&gt;D869,"Beam Revised","")</f>
        <v>#N/A</v>
      </c>
      <c r="U869" s="7" t="e">
        <f>IF(VLOOKUP($A869,'Concrete Beam Schedule'!$A$2:$Q$2902,U$2,0)&lt;&gt;E869,"Beam Revised","")</f>
        <v>#N/A</v>
      </c>
      <c r="V869" s="7" t="e">
        <f>IF(VLOOKUP($A869,'Concrete Beam Schedule'!$A$2:$Q$2902,V$2,0)&lt;&gt;F869,"Beam Revised","")</f>
        <v>#N/A</v>
      </c>
      <c r="W869" s="7" t="e">
        <f>IF(VLOOKUP($A869,'Concrete Beam Schedule'!$A$2:$Q$2902,W$2,0)&lt;&gt;G869,"Beam Revised","")</f>
        <v>#N/A</v>
      </c>
      <c r="X869" s="7" t="e">
        <f>IF(VLOOKUP($A869,'Concrete Beam Schedule'!$A$2:$Q$2902,X$2,0)&lt;&gt;H869,"Beam Revised","")</f>
        <v>#N/A</v>
      </c>
      <c r="Y869" s="7" t="e">
        <f>IF(VLOOKUP($A869,'Concrete Beam Schedule'!$A$2:$Q$2902,Y$2,0)&lt;&gt;I869,"Beam Revised","")</f>
        <v>#N/A</v>
      </c>
      <c r="Z869" s="7" t="e">
        <f>IF(VLOOKUP($A869,'Concrete Beam Schedule'!$A$2:$Q$2902,Z$2,0)&lt;&gt;J869,"Beam Revised","")</f>
        <v>#N/A</v>
      </c>
      <c r="AA869" s="7" t="e">
        <f>IF(VLOOKUP($A869,'Concrete Beam Schedule'!$A$2:$Q$2902,AA$2,0)&lt;&gt;K869,"Beam Revised","")</f>
        <v>#N/A</v>
      </c>
      <c r="AB869" s="7" t="e">
        <f>IF(VLOOKUP($A869,'Concrete Beam Schedule'!$A$2:$Q$2902,AB$2,0)&lt;&gt;L869,"Beam Revised","")</f>
        <v>#N/A</v>
      </c>
      <c r="AC869" s="7" t="e">
        <f>IF(VLOOKUP($A869,'Concrete Beam Schedule'!$A$2:$Q$2902,AC$2,0)&lt;&gt;M869,"Beam Revised","")</f>
        <v>#N/A</v>
      </c>
      <c r="AD869" s="7" t="e">
        <f>IF(VLOOKUP($A869,'Concrete Beam Schedule'!$A$2:$Q$2902,AD$2,0)&lt;&gt;N869,"Beam Revised","")</f>
        <v>#N/A</v>
      </c>
      <c r="AE869" s="7" t="e">
        <f>IF(VLOOKUP($A869,'Concrete Beam Schedule'!$A$2:$Q$2902,AE$2,0)&lt;&gt;O869,"Beam Revised","")</f>
        <v>#N/A</v>
      </c>
    </row>
    <row r="870" spans="17:31" ht="13.2" x14ac:dyDescent="0.25">
      <c r="Q870" s="7">
        <f t="shared" si="13"/>
        <v>0</v>
      </c>
      <c r="R870" s="7" t="e">
        <f>IF(VLOOKUP($A870,'Concrete Beam Schedule'!$A$2:$Q$2902,R$2,0)&lt;&gt;B870,VLOOKUP($A870,'Concrete Beam Schedule'!$A$2:$Q$2902,R$2,0),"")</f>
        <v>#N/A</v>
      </c>
      <c r="S870" s="7" t="e">
        <f>IF(VLOOKUP($A870,'Concrete Beam Schedule'!$A$2:$Q$2902,S$2,0)&lt;&gt;C870,VLOOKUP($A870,'Concrete Beam Schedule'!$A$2:$Q$2902,S$2,0),"")</f>
        <v>#N/A</v>
      </c>
      <c r="T870" s="7" t="e">
        <f>IF(VLOOKUP($A870,'Concrete Beam Schedule'!$A$2:$Q$2902,T$2,0)&lt;&gt;D870,"Beam Revised","")</f>
        <v>#N/A</v>
      </c>
      <c r="U870" s="7" t="e">
        <f>IF(VLOOKUP($A870,'Concrete Beam Schedule'!$A$2:$Q$2902,U$2,0)&lt;&gt;E870,"Beam Revised","")</f>
        <v>#N/A</v>
      </c>
      <c r="V870" s="7" t="e">
        <f>IF(VLOOKUP($A870,'Concrete Beam Schedule'!$A$2:$Q$2902,V$2,0)&lt;&gt;F870,"Beam Revised","")</f>
        <v>#N/A</v>
      </c>
      <c r="W870" s="7" t="e">
        <f>IF(VLOOKUP($A870,'Concrete Beam Schedule'!$A$2:$Q$2902,W$2,0)&lt;&gt;G870,"Beam Revised","")</f>
        <v>#N/A</v>
      </c>
      <c r="X870" s="7" t="e">
        <f>IF(VLOOKUP($A870,'Concrete Beam Schedule'!$A$2:$Q$2902,X$2,0)&lt;&gt;H870,"Beam Revised","")</f>
        <v>#N/A</v>
      </c>
      <c r="Y870" s="7" t="e">
        <f>IF(VLOOKUP($A870,'Concrete Beam Schedule'!$A$2:$Q$2902,Y$2,0)&lt;&gt;I870,"Beam Revised","")</f>
        <v>#N/A</v>
      </c>
      <c r="Z870" s="7" t="e">
        <f>IF(VLOOKUP($A870,'Concrete Beam Schedule'!$A$2:$Q$2902,Z$2,0)&lt;&gt;J870,"Beam Revised","")</f>
        <v>#N/A</v>
      </c>
      <c r="AA870" s="7" t="e">
        <f>IF(VLOOKUP($A870,'Concrete Beam Schedule'!$A$2:$Q$2902,AA$2,0)&lt;&gt;K870,"Beam Revised","")</f>
        <v>#N/A</v>
      </c>
      <c r="AB870" s="7" t="e">
        <f>IF(VLOOKUP($A870,'Concrete Beam Schedule'!$A$2:$Q$2902,AB$2,0)&lt;&gt;L870,"Beam Revised","")</f>
        <v>#N/A</v>
      </c>
      <c r="AC870" s="7" t="e">
        <f>IF(VLOOKUP($A870,'Concrete Beam Schedule'!$A$2:$Q$2902,AC$2,0)&lt;&gt;M870,"Beam Revised","")</f>
        <v>#N/A</v>
      </c>
      <c r="AD870" s="7" t="e">
        <f>IF(VLOOKUP($A870,'Concrete Beam Schedule'!$A$2:$Q$2902,AD$2,0)&lt;&gt;N870,"Beam Revised","")</f>
        <v>#N/A</v>
      </c>
      <c r="AE870" s="7" t="e">
        <f>IF(VLOOKUP($A870,'Concrete Beam Schedule'!$A$2:$Q$2902,AE$2,0)&lt;&gt;O870,"Beam Revised","")</f>
        <v>#N/A</v>
      </c>
    </row>
    <row r="871" spans="17:31" ht="13.2" x14ac:dyDescent="0.25">
      <c r="Q871" s="7">
        <f t="shared" si="13"/>
        <v>0</v>
      </c>
      <c r="R871" s="7" t="e">
        <f>IF(VLOOKUP($A871,'Concrete Beam Schedule'!$A$2:$Q$2902,R$2,0)&lt;&gt;B871,VLOOKUP($A871,'Concrete Beam Schedule'!$A$2:$Q$2902,R$2,0),"")</f>
        <v>#N/A</v>
      </c>
      <c r="S871" s="7" t="e">
        <f>IF(VLOOKUP($A871,'Concrete Beam Schedule'!$A$2:$Q$2902,S$2,0)&lt;&gt;C871,VLOOKUP($A871,'Concrete Beam Schedule'!$A$2:$Q$2902,S$2,0),"")</f>
        <v>#N/A</v>
      </c>
      <c r="T871" s="7" t="e">
        <f>IF(VLOOKUP($A871,'Concrete Beam Schedule'!$A$2:$Q$2902,T$2,0)&lt;&gt;D871,"Beam Revised","")</f>
        <v>#N/A</v>
      </c>
      <c r="U871" s="7" t="e">
        <f>IF(VLOOKUP($A871,'Concrete Beam Schedule'!$A$2:$Q$2902,U$2,0)&lt;&gt;E871,"Beam Revised","")</f>
        <v>#N/A</v>
      </c>
      <c r="V871" s="7" t="e">
        <f>IF(VLOOKUP($A871,'Concrete Beam Schedule'!$A$2:$Q$2902,V$2,0)&lt;&gt;F871,"Beam Revised","")</f>
        <v>#N/A</v>
      </c>
      <c r="W871" s="7" t="e">
        <f>IF(VLOOKUP($A871,'Concrete Beam Schedule'!$A$2:$Q$2902,W$2,0)&lt;&gt;G871,"Beam Revised","")</f>
        <v>#N/A</v>
      </c>
      <c r="X871" s="7" t="e">
        <f>IF(VLOOKUP($A871,'Concrete Beam Schedule'!$A$2:$Q$2902,X$2,0)&lt;&gt;H871,"Beam Revised","")</f>
        <v>#N/A</v>
      </c>
      <c r="Y871" s="7" t="e">
        <f>IF(VLOOKUP($A871,'Concrete Beam Schedule'!$A$2:$Q$2902,Y$2,0)&lt;&gt;I871,"Beam Revised","")</f>
        <v>#N/A</v>
      </c>
      <c r="Z871" s="7" t="e">
        <f>IF(VLOOKUP($A871,'Concrete Beam Schedule'!$A$2:$Q$2902,Z$2,0)&lt;&gt;J871,"Beam Revised","")</f>
        <v>#N/A</v>
      </c>
      <c r="AA871" s="7" t="e">
        <f>IF(VLOOKUP($A871,'Concrete Beam Schedule'!$A$2:$Q$2902,AA$2,0)&lt;&gt;K871,"Beam Revised","")</f>
        <v>#N/A</v>
      </c>
      <c r="AB871" s="7" t="e">
        <f>IF(VLOOKUP($A871,'Concrete Beam Schedule'!$A$2:$Q$2902,AB$2,0)&lt;&gt;L871,"Beam Revised","")</f>
        <v>#N/A</v>
      </c>
      <c r="AC871" s="7" t="e">
        <f>IF(VLOOKUP($A871,'Concrete Beam Schedule'!$A$2:$Q$2902,AC$2,0)&lt;&gt;M871,"Beam Revised","")</f>
        <v>#N/A</v>
      </c>
      <c r="AD871" s="7" t="e">
        <f>IF(VLOOKUP($A871,'Concrete Beam Schedule'!$A$2:$Q$2902,AD$2,0)&lt;&gt;N871,"Beam Revised","")</f>
        <v>#N/A</v>
      </c>
      <c r="AE871" s="7" t="e">
        <f>IF(VLOOKUP($A871,'Concrete Beam Schedule'!$A$2:$Q$2902,AE$2,0)&lt;&gt;O871,"Beam Revised","")</f>
        <v>#N/A</v>
      </c>
    </row>
    <row r="872" spans="17:31" ht="13.2" x14ac:dyDescent="0.25">
      <c r="Q872" s="7">
        <f t="shared" si="13"/>
        <v>0</v>
      </c>
      <c r="R872" s="7" t="e">
        <f>IF(VLOOKUP($A872,'Concrete Beam Schedule'!$A$2:$Q$2902,R$2,0)&lt;&gt;B872,VLOOKUP($A872,'Concrete Beam Schedule'!$A$2:$Q$2902,R$2,0),"")</f>
        <v>#N/A</v>
      </c>
      <c r="S872" s="7" t="e">
        <f>IF(VLOOKUP($A872,'Concrete Beam Schedule'!$A$2:$Q$2902,S$2,0)&lt;&gt;C872,VLOOKUP($A872,'Concrete Beam Schedule'!$A$2:$Q$2902,S$2,0),"")</f>
        <v>#N/A</v>
      </c>
      <c r="T872" s="7" t="e">
        <f>IF(VLOOKUP($A872,'Concrete Beam Schedule'!$A$2:$Q$2902,T$2,0)&lt;&gt;D872,"Beam Revised","")</f>
        <v>#N/A</v>
      </c>
      <c r="U872" s="7" t="e">
        <f>IF(VLOOKUP($A872,'Concrete Beam Schedule'!$A$2:$Q$2902,U$2,0)&lt;&gt;E872,"Beam Revised","")</f>
        <v>#N/A</v>
      </c>
      <c r="V872" s="7" t="e">
        <f>IF(VLOOKUP($A872,'Concrete Beam Schedule'!$A$2:$Q$2902,V$2,0)&lt;&gt;F872,"Beam Revised","")</f>
        <v>#N/A</v>
      </c>
      <c r="W872" s="7" t="e">
        <f>IF(VLOOKUP($A872,'Concrete Beam Schedule'!$A$2:$Q$2902,W$2,0)&lt;&gt;G872,"Beam Revised","")</f>
        <v>#N/A</v>
      </c>
      <c r="X872" s="7" t="e">
        <f>IF(VLOOKUP($A872,'Concrete Beam Schedule'!$A$2:$Q$2902,X$2,0)&lt;&gt;H872,"Beam Revised","")</f>
        <v>#N/A</v>
      </c>
      <c r="Y872" s="7" t="e">
        <f>IF(VLOOKUP($A872,'Concrete Beam Schedule'!$A$2:$Q$2902,Y$2,0)&lt;&gt;I872,"Beam Revised","")</f>
        <v>#N/A</v>
      </c>
      <c r="Z872" s="7" t="e">
        <f>IF(VLOOKUP($A872,'Concrete Beam Schedule'!$A$2:$Q$2902,Z$2,0)&lt;&gt;J872,"Beam Revised","")</f>
        <v>#N/A</v>
      </c>
      <c r="AA872" s="7" t="e">
        <f>IF(VLOOKUP($A872,'Concrete Beam Schedule'!$A$2:$Q$2902,AA$2,0)&lt;&gt;K872,"Beam Revised","")</f>
        <v>#N/A</v>
      </c>
      <c r="AB872" s="7" t="e">
        <f>IF(VLOOKUP($A872,'Concrete Beam Schedule'!$A$2:$Q$2902,AB$2,0)&lt;&gt;L872,"Beam Revised","")</f>
        <v>#N/A</v>
      </c>
      <c r="AC872" s="7" t="e">
        <f>IF(VLOOKUP($A872,'Concrete Beam Schedule'!$A$2:$Q$2902,AC$2,0)&lt;&gt;M872,"Beam Revised","")</f>
        <v>#N/A</v>
      </c>
      <c r="AD872" s="7" t="e">
        <f>IF(VLOOKUP($A872,'Concrete Beam Schedule'!$A$2:$Q$2902,AD$2,0)&lt;&gt;N872,"Beam Revised","")</f>
        <v>#N/A</v>
      </c>
      <c r="AE872" s="7" t="e">
        <f>IF(VLOOKUP($A872,'Concrete Beam Schedule'!$A$2:$Q$2902,AE$2,0)&lt;&gt;O872,"Beam Revised","")</f>
        <v>#N/A</v>
      </c>
    </row>
    <row r="873" spans="17:31" ht="13.2" x14ac:dyDescent="0.25">
      <c r="Q873" s="7">
        <f t="shared" si="13"/>
        <v>0</v>
      </c>
      <c r="R873" s="7" t="e">
        <f>IF(VLOOKUP($A873,'Concrete Beam Schedule'!$A$2:$Q$2902,R$2,0)&lt;&gt;B873,VLOOKUP($A873,'Concrete Beam Schedule'!$A$2:$Q$2902,R$2,0),"")</f>
        <v>#N/A</v>
      </c>
      <c r="S873" s="7" t="e">
        <f>IF(VLOOKUP($A873,'Concrete Beam Schedule'!$A$2:$Q$2902,S$2,0)&lt;&gt;C873,VLOOKUP($A873,'Concrete Beam Schedule'!$A$2:$Q$2902,S$2,0),"")</f>
        <v>#N/A</v>
      </c>
      <c r="T873" s="7" t="e">
        <f>IF(VLOOKUP($A873,'Concrete Beam Schedule'!$A$2:$Q$2902,T$2,0)&lt;&gt;D873,"Beam Revised","")</f>
        <v>#N/A</v>
      </c>
      <c r="U873" s="7" t="e">
        <f>IF(VLOOKUP($A873,'Concrete Beam Schedule'!$A$2:$Q$2902,U$2,0)&lt;&gt;E873,"Beam Revised","")</f>
        <v>#N/A</v>
      </c>
      <c r="V873" s="7" t="e">
        <f>IF(VLOOKUP($A873,'Concrete Beam Schedule'!$A$2:$Q$2902,V$2,0)&lt;&gt;F873,"Beam Revised","")</f>
        <v>#N/A</v>
      </c>
      <c r="W873" s="7" t="e">
        <f>IF(VLOOKUP($A873,'Concrete Beam Schedule'!$A$2:$Q$2902,W$2,0)&lt;&gt;G873,"Beam Revised","")</f>
        <v>#N/A</v>
      </c>
      <c r="X873" s="7" t="e">
        <f>IF(VLOOKUP($A873,'Concrete Beam Schedule'!$A$2:$Q$2902,X$2,0)&lt;&gt;H873,"Beam Revised","")</f>
        <v>#N/A</v>
      </c>
      <c r="Y873" s="7" t="e">
        <f>IF(VLOOKUP($A873,'Concrete Beam Schedule'!$A$2:$Q$2902,Y$2,0)&lt;&gt;I873,"Beam Revised","")</f>
        <v>#N/A</v>
      </c>
      <c r="Z873" s="7" t="e">
        <f>IF(VLOOKUP($A873,'Concrete Beam Schedule'!$A$2:$Q$2902,Z$2,0)&lt;&gt;J873,"Beam Revised","")</f>
        <v>#N/A</v>
      </c>
      <c r="AA873" s="7" t="e">
        <f>IF(VLOOKUP($A873,'Concrete Beam Schedule'!$A$2:$Q$2902,AA$2,0)&lt;&gt;K873,"Beam Revised","")</f>
        <v>#N/A</v>
      </c>
      <c r="AB873" s="7" t="e">
        <f>IF(VLOOKUP($A873,'Concrete Beam Schedule'!$A$2:$Q$2902,AB$2,0)&lt;&gt;L873,"Beam Revised","")</f>
        <v>#N/A</v>
      </c>
      <c r="AC873" s="7" t="e">
        <f>IF(VLOOKUP($A873,'Concrete Beam Schedule'!$A$2:$Q$2902,AC$2,0)&lt;&gt;M873,"Beam Revised","")</f>
        <v>#N/A</v>
      </c>
      <c r="AD873" s="7" t="e">
        <f>IF(VLOOKUP($A873,'Concrete Beam Schedule'!$A$2:$Q$2902,AD$2,0)&lt;&gt;N873,"Beam Revised","")</f>
        <v>#N/A</v>
      </c>
      <c r="AE873" s="7" t="e">
        <f>IF(VLOOKUP($A873,'Concrete Beam Schedule'!$A$2:$Q$2902,AE$2,0)&lt;&gt;O873,"Beam Revised","")</f>
        <v>#N/A</v>
      </c>
    </row>
    <row r="874" spans="17:31" ht="13.2" x14ac:dyDescent="0.25">
      <c r="Q874" s="7">
        <f t="shared" si="13"/>
        <v>0</v>
      </c>
      <c r="R874" s="7" t="e">
        <f>IF(VLOOKUP($A874,'Concrete Beam Schedule'!$A$2:$Q$2902,R$2,0)&lt;&gt;B874,VLOOKUP($A874,'Concrete Beam Schedule'!$A$2:$Q$2902,R$2,0),"")</f>
        <v>#N/A</v>
      </c>
      <c r="S874" s="7" t="e">
        <f>IF(VLOOKUP($A874,'Concrete Beam Schedule'!$A$2:$Q$2902,S$2,0)&lt;&gt;C874,VLOOKUP($A874,'Concrete Beam Schedule'!$A$2:$Q$2902,S$2,0),"")</f>
        <v>#N/A</v>
      </c>
      <c r="T874" s="7" t="e">
        <f>IF(VLOOKUP($A874,'Concrete Beam Schedule'!$A$2:$Q$2902,T$2,0)&lt;&gt;D874,"Beam Revised","")</f>
        <v>#N/A</v>
      </c>
      <c r="U874" s="7" t="e">
        <f>IF(VLOOKUP($A874,'Concrete Beam Schedule'!$A$2:$Q$2902,U$2,0)&lt;&gt;E874,"Beam Revised","")</f>
        <v>#N/A</v>
      </c>
      <c r="V874" s="7" t="e">
        <f>IF(VLOOKUP($A874,'Concrete Beam Schedule'!$A$2:$Q$2902,V$2,0)&lt;&gt;F874,"Beam Revised","")</f>
        <v>#N/A</v>
      </c>
      <c r="W874" s="7" t="e">
        <f>IF(VLOOKUP($A874,'Concrete Beam Schedule'!$A$2:$Q$2902,W$2,0)&lt;&gt;G874,"Beam Revised","")</f>
        <v>#N/A</v>
      </c>
      <c r="X874" s="7" t="e">
        <f>IF(VLOOKUP($A874,'Concrete Beam Schedule'!$A$2:$Q$2902,X$2,0)&lt;&gt;H874,"Beam Revised","")</f>
        <v>#N/A</v>
      </c>
      <c r="Y874" s="7" t="e">
        <f>IF(VLOOKUP($A874,'Concrete Beam Schedule'!$A$2:$Q$2902,Y$2,0)&lt;&gt;I874,"Beam Revised","")</f>
        <v>#N/A</v>
      </c>
      <c r="Z874" s="7" t="e">
        <f>IF(VLOOKUP($A874,'Concrete Beam Schedule'!$A$2:$Q$2902,Z$2,0)&lt;&gt;J874,"Beam Revised","")</f>
        <v>#N/A</v>
      </c>
      <c r="AA874" s="7" t="e">
        <f>IF(VLOOKUP($A874,'Concrete Beam Schedule'!$A$2:$Q$2902,AA$2,0)&lt;&gt;K874,"Beam Revised","")</f>
        <v>#N/A</v>
      </c>
      <c r="AB874" s="7" t="e">
        <f>IF(VLOOKUP($A874,'Concrete Beam Schedule'!$A$2:$Q$2902,AB$2,0)&lt;&gt;L874,"Beam Revised","")</f>
        <v>#N/A</v>
      </c>
      <c r="AC874" s="7" t="e">
        <f>IF(VLOOKUP($A874,'Concrete Beam Schedule'!$A$2:$Q$2902,AC$2,0)&lt;&gt;M874,"Beam Revised","")</f>
        <v>#N/A</v>
      </c>
      <c r="AD874" s="7" t="e">
        <f>IF(VLOOKUP($A874,'Concrete Beam Schedule'!$A$2:$Q$2902,AD$2,0)&lt;&gt;N874,"Beam Revised","")</f>
        <v>#N/A</v>
      </c>
      <c r="AE874" s="7" t="e">
        <f>IF(VLOOKUP($A874,'Concrete Beam Schedule'!$A$2:$Q$2902,AE$2,0)&lt;&gt;O874,"Beam Revised","")</f>
        <v>#N/A</v>
      </c>
    </row>
    <row r="875" spans="17:31" ht="13.2" x14ac:dyDescent="0.25">
      <c r="Q875" s="7">
        <f t="shared" si="13"/>
        <v>0</v>
      </c>
      <c r="R875" s="7" t="e">
        <f>IF(VLOOKUP($A875,'Concrete Beam Schedule'!$A$2:$Q$2902,R$2,0)&lt;&gt;B875,VLOOKUP($A875,'Concrete Beam Schedule'!$A$2:$Q$2902,R$2,0),"")</f>
        <v>#N/A</v>
      </c>
      <c r="S875" s="7" t="e">
        <f>IF(VLOOKUP($A875,'Concrete Beam Schedule'!$A$2:$Q$2902,S$2,0)&lt;&gt;C875,VLOOKUP($A875,'Concrete Beam Schedule'!$A$2:$Q$2902,S$2,0),"")</f>
        <v>#N/A</v>
      </c>
      <c r="T875" s="7" t="e">
        <f>IF(VLOOKUP($A875,'Concrete Beam Schedule'!$A$2:$Q$2902,T$2,0)&lt;&gt;D875,"Beam Revised","")</f>
        <v>#N/A</v>
      </c>
      <c r="U875" s="7" t="e">
        <f>IF(VLOOKUP($A875,'Concrete Beam Schedule'!$A$2:$Q$2902,U$2,0)&lt;&gt;E875,"Beam Revised","")</f>
        <v>#N/A</v>
      </c>
      <c r="V875" s="7" t="e">
        <f>IF(VLOOKUP($A875,'Concrete Beam Schedule'!$A$2:$Q$2902,V$2,0)&lt;&gt;F875,"Beam Revised","")</f>
        <v>#N/A</v>
      </c>
      <c r="W875" s="7" t="e">
        <f>IF(VLOOKUP($A875,'Concrete Beam Schedule'!$A$2:$Q$2902,W$2,0)&lt;&gt;G875,"Beam Revised","")</f>
        <v>#N/A</v>
      </c>
      <c r="X875" s="7" t="e">
        <f>IF(VLOOKUP($A875,'Concrete Beam Schedule'!$A$2:$Q$2902,X$2,0)&lt;&gt;H875,"Beam Revised","")</f>
        <v>#N/A</v>
      </c>
      <c r="Y875" s="7" t="e">
        <f>IF(VLOOKUP($A875,'Concrete Beam Schedule'!$A$2:$Q$2902,Y$2,0)&lt;&gt;I875,"Beam Revised","")</f>
        <v>#N/A</v>
      </c>
      <c r="Z875" s="7" t="e">
        <f>IF(VLOOKUP($A875,'Concrete Beam Schedule'!$A$2:$Q$2902,Z$2,0)&lt;&gt;J875,"Beam Revised","")</f>
        <v>#N/A</v>
      </c>
      <c r="AA875" s="7" t="e">
        <f>IF(VLOOKUP($A875,'Concrete Beam Schedule'!$A$2:$Q$2902,AA$2,0)&lt;&gt;K875,"Beam Revised","")</f>
        <v>#N/A</v>
      </c>
      <c r="AB875" s="7" t="e">
        <f>IF(VLOOKUP($A875,'Concrete Beam Schedule'!$A$2:$Q$2902,AB$2,0)&lt;&gt;L875,"Beam Revised","")</f>
        <v>#N/A</v>
      </c>
      <c r="AC875" s="7" t="e">
        <f>IF(VLOOKUP($A875,'Concrete Beam Schedule'!$A$2:$Q$2902,AC$2,0)&lt;&gt;M875,"Beam Revised","")</f>
        <v>#N/A</v>
      </c>
      <c r="AD875" s="7" t="e">
        <f>IF(VLOOKUP($A875,'Concrete Beam Schedule'!$A$2:$Q$2902,AD$2,0)&lt;&gt;N875,"Beam Revised","")</f>
        <v>#N/A</v>
      </c>
      <c r="AE875" s="7" t="e">
        <f>IF(VLOOKUP($A875,'Concrete Beam Schedule'!$A$2:$Q$2902,AE$2,0)&lt;&gt;O875,"Beam Revised","")</f>
        <v>#N/A</v>
      </c>
    </row>
    <row r="876" spans="17:31" ht="13.2" x14ac:dyDescent="0.25">
      <c r="Q876" s="7">
        <f t="shared" si="13"/>
        <v>0</v>
      </c>
      <c r="R876" s="7" t="e">
        <f>IF(VLOOKUP($A876,'Concrete Beam Schedule'!$A$2:$Q$2902,R$2,0)&lt;&gt;B876,VLOOKUP($A876,'Concrete Beam Schedule'!$A$2:$Q$2902,R$2,0),"")</f>
        <v>#N/A</v>
      </c>
      <c r="S876" s="7" t="e">
        <f>IF(VLOOKUP($A876,'Concrete Beam Schedule'!$A$2:$Q$2902,S$2,0)&lt;&gt;C876,VLOOKUP($A876,'Concrete Beam Schedule'!$A$2:$Q$2902,S$2,0),"")</f>
        <v>#N/A</v>
      </c>
      <c r="T876" s="7" t="e">
        <f>IF(VLOOKUP($A876,'Concrete Beam Schedule'!$A$2:$Q$2902,T$2,0)&lt;&gt;D876,"Beam Revised","")</f>
        <v>#N/A</v>
      </c>
      <c r="U876" s="7" t="e">
        <f>IF(VLOOKUP($A876,'Concrete Beam Schedule'!$A$2:$Q$2902,U$2,0)&lt;&gt;E876,"Beam Revised","")</f>
        <v>#N/A</v>
      </c>
      <c r="V876" s="7" t="e">
        <f>IF(VLOOKUP($A876,'Concrete Beam Schedule'!$A$2:$Q$2902,V$2,0)&lt;&gt;F876,"Beam Revised","")</f>
        <v>#N/A</v>
      </c>
      <c r="W876" s="7" t="e">
        <f>IF(VLOOKUP($A876,'Concrete Beam Schedule'!$A$2:$Q$2902,W$2,0)&lt;&gt;G876,"Beam Revised","")</f>
        <v>#N/A</v>
      </c>
      <c r="X876" s="7" t="e">
        <f>IF(VLOOKUP($A876,'Concrete Beam Schedule'!$A$2:$Q$2902,X$2,0)&lt;&gt;H876,"Beam Revised","")</f>
        <v>#N/A</v>
      </c>
      <c r="Y876" s="7" t="e">
        <f>IF(VLOOKUP($A876,'Concrete Beam Schedule'!$A$2:$Q$2902,Y$2,0)&lt;&gt;I876,"Beam Revised","")</f>
        <v>#N/A</v>
      </c>
      <c r="Z876" s="7" t="e">
        <f>IF(VLOOKUP($A876,'Concrete Beam Schedule'!$A$2:$Q$2902,Z$2,0)&lt;&gt;J876,"Beam Revised","")</f>
        <v>#N/A</v>
      </c>
      <c r="AA876" s="7" t="e">
        <f>IF(VLOOKUP($A876,'Concrete Beam Schedule'!$A$2:$Q$2902,AA$2,0)&lt;&gt;K876,"Beam Revised","")</f>
        <v>#N/A</v>
      </c>
      <c r="AB876" s="7" t="e">
        <f>IF(VLOOKUP($A876,'Concrete Beam Schedule'!$A$2:$Q$2902,AB$2,0)&lt;&gt;L876,"Beam Revised","")</f>
        <v>#N/A</v>
      </c>
      <c r="AC876" s="7" t="e">
        <f>IF(VLOOKUP($A876,'Concrete Beam Schedule'!$A$2:$Q$2902,AC$2,0)&lt;&gt;M876,"Beam Revised","")</f>
        <v>#N/A</v>
      </c>
      <c r="AD876" s="7" t="e">
        <f>IF(VLOOKUP($A876,'Concrete Beam Schedule'!$A$2:$Q$2902,AD$2,0)&lt;&gt;N876,"Beam Revised","")</f>
        <v>#N/A</v>
      </c>
      <c r="AE876" s="7" t="e">
        <f>IF(VLOOKUP($A876,'Concrete Beam Schedule'!$A$2:$Q$2902,AE$2,0)&lt;&gt;O876,"Beam Revised","")</f>
        <v>#N/A</v>
      </c>
    </row>
    <row r="877" spans="17:31" ht="13.2" x14ac:dyDescent="0.25">
      <c r="Q877" s="7">
        <f t="shared" si="13"/>
        <v>0</v>
      </c>
      <c r="R877" s="7" t="e">
        <f>IF(VLOOKUP($A877,'Concrete Beam Schedule'!$A$2:$Q$2902,R$2,0)&lt;&gt;B877,VLOOKUP($A877,'Concrete Beam Schedule'!$A$2:$Q$2902,R$2,0),"")</f>
        <v>#N/A</v>
      </c>
      <c r="S877" s="7" t="e">
        <f>IF(VLOOKUP($A877,'Concrete Beam Schedule'!$A$2:$Q$2902,S$2,0)&lt;&gt;C877,VLOOKUP($A877,'Concrete Beam Schedule'!$A$2:$Q$2902,S$2,0),"")</f>
        <v>#N/A</v>
      </c>
      <c r="T877" s="7" t="e">
        <f>IF(VLOOKUP($A877,'Concrete Beam Schedule'!$A$2:$Q$2902,T$2,0)&lt;&gt;D877,"Beam Revised","")</f>
        <v>#N/A</v>
      </c>
      <c r="U877" s="7" t="e">
        <f>IF(VLOOKUP($A877,'Concrete Beam Schedule'!$A$2:$Q$2902,U$2,0)&lt;&gt;E877,"Beam Revised","")</f>
        <v>#N/A</v>
      </c>
      <c r="V877" s="7" t="e">
        <f>IF(VLOOKUP($A877,'Concrete Beam Schedule'!$A$2:$Q$2902,V$2,0)&lt;&gt;F877,"Beam Revised","")</f>
        <v>#N/A</v>
      </c>
      <c r="W877" s="7" t="e">
        <f>IF(VLOOKUP($A877,'Concrete Beam Schedule'!$A$2:$Q$2902,W$2,0)&lt;&gt;G877,"Beam Revised","")</f>
        <v>#N/A</v>
      </c>
      <c r="X877" s="7" t="e">
        <f>IF(VLOOKUP($A877,'Concrete Beam Schedule'!$A$2:$Q$2902,X$2,0)&lt;&gt;H877,"Beam Revised","")</f>
        <v>#N/A</v>
      </c>
      <c r="Y877" s="7" t="e">
        <f>IF(VLOOKUP($A877,'Concrete Beam Schedule'!$A$2:$Q$2902,Y$2,0)&lt;&gt;I877,"Beam Revised","")</f>
        <v>#N/A</v>
      </c>
      <c r="Z877" s="7" t="e">
        <f>IF(VLOOKUP($A877,'Concrete Beam Schedule'!$A$2:$Q$2902,Z$2,0)&lt;&gt;J877,"Beam Revised","")</f>
        <v>#N/A</v>
      </c>
      <c r="AA877" s="7" t="e">
        <f>IF(VLOOKUP($A877,'Concrete Beam Schedule'!$A$2:$Q$2902,AA$2,0)&lt;&gt;K877,"Beam Revised","")</f>
        <v>#N/A</v>
      </c>
      <c r="AB877" s="7" t="e">
        <f>IF(VLOOKUP($A877,'Concrete Beam Schedule'!$A$2:$Q$2902,AB$2,0)&lt;&gt;L877,"Beam Revised","")</f>
        <v>#N/A</v>
      </c>
      <c r="AC877" s="7" t="e">
        <f>IF(VLOOKUP($A877,'Concrete Beam Schedule'!$A$2:$Q$2902,AC$2,0)&lt;&gt;M877,"Beam Revised","")</f>
        <v>#N/A</v>
      </c>
      <c r="AD877" s="7" t="e">
        <f>IF(VLOOKUP($A877,'Concrete Beam Schedule'!$A$2:$Q$2902,AD$2,0)&lt;&gt;N877,"Beam Revised","")</f>
        <v>#N/A</v>
      </c>
      <c r="AE877" s="7" t="e">
        <f>IF(VLOOKUP($A877,'Concrete Beam Schedule'!$A$2:$Q$2902,AE$2,0)&lt;&gt;O877,"Beam Revised","")</f>
        <v>#N/A</v>
      </c>
    </row>
    <row r="878" spans="17:31" ht="13.2" x14ac:dyDescent="0.25">
      <c r="Q878" s="7">
        <f t="shared" si="13"/>
        <v>0</v>
      </c>
      <c r="R878" s="7" t="e">
        <f>IF(VLOOKUP($A878,'Concrete Beam Schedule'!$A$2:$Q$2902,R$2,0)&lt;&gt;B878,VLOOKUP($A878,'Concrete Beam Schedule'!$A$2:$Q$2902,R$2,0),"")</f>
        <v>#N/A</v>
      </c>
      <c r="S878" s="7" t="e">
        <f>IF(VLOOKUP($A878,'Concrete Beam Schedule'!$A$2:$Q$2902,S$2,0)&lt;&gt;C878,VLOOKUP($A878,'Concrete Beam Schedule'!$A$2:$Q$2902,S$2,0),"")</f>
        <v>#N/A</v>
      </c>
      <c r="T878" s="7" t="e">
        <f>IF(VLOOKUP($A878,'Concrete Beam Schedule'!$A$2:$Q$2902,T$2,0)&lt;&gt;D878,"Beam Revised","")</f>
        <v>#N/A</v>
      </c>
      <c r="U878" s="7" t="e">
        <f>IF(VLOOKUP($A878,'Concrete Beam Schedule'!$A$2:$Q$2902,U$2,0)&lt;&gt;E878,"Beam Revised","")</f>
        <v>#N/A</v>
      </c>
      <c r="V878" s="7" t="e">
        <f>IF(VLOOKUP($A878,'Concrete Beam Schedule'!$A$2:$Q$2902,V$2,0)&lt;&gt;F878,"Beam Revised","")</f>
        <v>#N/A</v>
      </c>
      <c r="W878" s="7" t="e">
        <f>IF(VLOOKUP($A878,'Concrete Beam Schedule'!$A$2:$Q$2902,W$2,0)&lt;&gt;G878,"Beam Revised","")</f>
        <v>#N/A</v>
      </c>
      <c r="X878" s="7" t="e">
        <f>IF(VLOOKUP($A878,'Concrete Beam Schedule'!$A$2:$Q$2902,X$2,0)&lt;&gt;H878,"Beam Revised","")</f>
        <v>#N/A</v>
      </c>
      <c r="Y878" s="7" t="e">
        <f>IF(VLOOKUP($A878,'Concrete Beam Schedule'!$A$2:$Q$2902,Y$2,0)&lt;&gt;I878,"Beam Revised","")</f>
        <v>#N/A</v>
      </c>
      <c r="Z878" s="7" t="e">
        <f>IF(VLOOKUP($A878,'Concrete Beam Schedule'!$A$2:$Q$2902,Z$2,0)&lt;&gt;J878,"Beam Revised","")</f>
        <v>#N/A</v>
      </c>
      <c r="AA878" s="7" t="e">
        <f>IF(VLOOKUP($A878,'Concrete Beam Schedule'!$A$2:$Q$2902,AA$2,0)&lt;&gt;K878,"Beam Revised","")</f>
        <v>#N/A</v>
      </c>
      <c r="AB878" s="7" t="e">
        <f>IF(VLOOKUP($A878,'Concrete Beam Schedule'!$A$2:$Q$2902,AB$2,0)&lt;&gt;L878,"Beam Revised","")</f>
        <v>#N/A</v>
      </c>
      <c r="AC878" s="7" t="e">
        <f>IF(VLOOKUP($A878,'Concrete Beam Schedule'!$A$2:$Q$2902,AC$2,0)&lt;&gt;M878,"Beam Revised","")</f>
        <v>#N/A</v>
      </c>
      <c r="AD878" s="7" t="e">
        <f>IF(VLOOKUP($A878,'Concrete Beam Schedule'!$A$2:$Q$2902,AD$2,0)&lt;&gt;N878,"Beam Revised","")</f>
        <v>#N/A</v>
      </c>
      <c r="AE878" s="7" t="e">
        <f>IF(VLOOKUP($A878,'Concrete Beam Schedule'!$A$2:$Q$2902,AE$2,0)&lt;&gt;O878,"Beam Revised","")</f>
        <v>#N/A</v>
      </c>
    </row>
    <row r="879" spans="17:31" ht="13.2" x14ac:dyDescent="0.25">
      <c r="Q879" s="7">
        <f t="shared" si="13"/>
        <v>0</v>
      </c>
      <c r="R879" s="7" t="e">
        <f>IF(VLOOKUP($A879,'Concrete Beam Schedule'!$A$2:$Q$2902,R$2,0)&lt;&gt;B879,VLOOKUP($A879,'Concrete Beam Schedule'!$A$2:$Q$2902,R$2,0),"")</f>
        <v>#N/A</v>
      </c>
      <c r="S879" s="7" t="e">
        <f>IF(VLOOKUP($A879,'Concrete Beam Schedule'!$A$2:$Q$2902,S$2,0)&lt;&gt;C879,VLOOKUP($A879,'Concrete Beam Schedule'!$A$2:$Q$2902,S$2,0),"")</f>
        <v>#N/A</v>
      </c>
      <c r="T879" s="7" t="e">
        <f>IF(VLOOKUP($A879,'Concrete Beam Schedule'!$A$2:$Q$2902,T$2,0)&lt;&gt;D879,"Beam Revised","")</f>
        <v>#N/A</v>
      </c>
      <c r="U879" s="7" t="e">
        <f>IF(VLOOKUP($A879,'Concrete Beam Schedule'!$A$2:$Q$2902,U$2,0)&lt;&gt;E879,"Beam Revised","")</f>
        <v>#N/A</v>
      </c>
      <c r="V879" s="7" t="e">
        <f>IF(VLOOKUP($A879,'Concrete Beam Schedule'!$A$2:$Q$2902,V$2,0)&lt;&gt;F879,"Beam Revised","")</f>
        <v>#N/A</v>
      </c>
      <c r="W879" s="7" t="e">
        <f>IF(VLOOKUP($A879,'Concrete Beam Schedule'!$A$2:$Q$2902,W$2,0)&lt;&gt;G879,"Beam Revised","")</f>
        <v>#N/A</v>
      </c>
      <c r="X879" s="7" t="e">
        <f>IF(VLOOKUP($A879,'Concrete Beam Schedule'!$A$2:$Q$2902,X$2,0)&lt;&gt;H879,"Beam Revised","")</f>
        <v>#N/A</v>
      </c>
      <c r="Y879" s="7" t="e">
        <f>IF(VLOOKUP($A879,'Concrete Beam Schedule'!$A$2:$Q$2902,Y$2,0)&lt;&gt;I879,"Beam Revised","")</f>
        <v>#N/A</v>
      </c>
      <c r="Z879" s="7" t="e">
        <f>IF(VLOOKUP($A879,'Concrete Beam Schedule'!$A$2:$Q$2902,Z$2,0)&lt;&gt;J879,"Beam Revised","")</f>
        <v>#N/A</v>
      </c>
      <c r="AA879" s="7" t="e">
        <f>IF(VLOOKUP($A879,'Concrete Beam Schedule'!$A$2:$Q$2902,AA$2,0)&lt;&gt;K879,"Beam Revised","")</f>
        <v>#N/A</v>
      </c>
      <c r="AB879" s="7" t="e">
        <f>IF(VLOOKUP($A879,'Concrete Beam Schedule'!$A$2:$Q$2902,AB$2,0)&lt;&gt;L879,"Beam Revised","")</f>
        <v>#N/A</v>
      </c>
      <c r="AC879" s="7" t="e">
        <f>IF(VLOOKUP($A879,'Concrete Beam Schedule'!$A$2:$Q$2902,AC$2,0)&lt;&gt;M879,"Beam Revised","")</f>
        <v>#N/A</v>
      </c>
      <c r="AD879" s="7" t="e">
        <f>IF(VLOOKUP($A879,'Concrete Beam Schedule'!$A$2:$Q$2902,AD$2,0)&lt;&gt;N879,"Beam Revised","")</f>
        <v>#N/A</v>
      </c>
      <c r="AE879" s="7" t="e">
        <f>IF(VLOOKUP($A879,'Concrete Beam Schedule'!$A$2:$Q$2902,AE$2,0)&lt;&gt;O879,"Beam Revised","")</f>
        <v>#N/A</v>
      </c>
    </row>
    <row r="880" spans="17:31" ht="13.2" x14ac:dyDescent="0.25">
      <c r="Q880" s="7">
        <f t="shared" si="13"/>
        <v>0</v>
      </c>
      <c r="R880" s="7" t="e">
        <f>IF(VLOOKUP($A880,'Concrete Beam Schedule'!$A$2:$Q$2902,R$2,0)&lt;&gt;B880,VLOOKUP($A880,'Concrete Beam Schedule'!$A$2:$Q$2902,R$2,0),"")</f>
        <v>#N/A</v>
      </c>
      <c r="S880" s="7" t="e">
        <f>IF(VLOOKUP($A880,'Concrete Beam Schedule'!$A$2:$Q$2902,S$2,0)&lt;&gt;C880,VLOOKUP($A880,'Concrete Beam Schedule'!$A$2:$Q$2902,S$2,0),"")</f>
        <v>#N/A</v>
      </c>
      <c r="T880" s="7" t="e">
        <f>IF(VLOOKUP($A880,'Concrete Beam Schedule'!$A$2:$Q$2902,T$2,0)&lt;&gt;D880,"Beam Revised","")</f>
        <v>#N/A</v>
      </c>
      <c r="U880" s="7" t="e">
        <f>IF(VLOOKUP($A880,'Concrete Beam Schedule'!$A$2:$Q$2902,U$2,0)&lt;&gt;E880,"Beam Revised","")</f>
        <v>#N/A</v>
      </c>
      <c r="V880" s="7" t="e">
        <f>IF(VLOOKUP($A880,'Concrete Beam Schedule'!$A$2:$Q$2902,V$2,0)&lt;&gt;F880,"Beam Revised","")</f>
        <v>#N/A</v>
      </c>
      <c r="W880" s="7" t="e">
        <f>IF(VLOOKUP($A880,'Concrete Beam Schedule'!$A$2:$Q$2902,W$2,0)&lt;&gt;G880,"Beam Revised","")</f>
        <v>#N/A</v>
      </c>
      <c r="X880" s="7" t="e">
        <f>IF(VLOOKUP($A880,'Concrete Beam Schedule'!$A$2:$Q$2902,X$2,0)&lt;&gt;H880,"Beam Revised","")</f>
        <v>#N/A</v>
      </c>
      <c r="Y880" s="7" t="e">
        <f>IF(VLOOKUP($A880,'Concrete Beam Schedule'!$A$2:$Q$2902,Y$2,0)&lt;&gt;I880,"Beam Revised","")</f>
        <v>#N/A</v>
      </c>
      <c r="Z880" s="7" t="e">
        <f>IF(VLOOKUP($A880,'Concrete Beam Schedule'!$A$2:$Q$2902,Z$2,0)&lt;&gt;J880,"Beam Revised","")</f>
        <v>#N/A</v>
      </c>
      <c r="AA880" s="7" t="e">
        <f>IF(VLOOKUP($A880,'Concrete Beam Schedule'!$A$2:$Q$2902,AA$2,0)&lt;&gt;K880,"Beam Revised","")</f>
        <v>#N/A</v>
      </c>
      <c r="AB880" s="7" t="e">
        <f>IF(VLOOKUP($A880,'Concrete Beam Schedule'!$A$2:$Q$2902,AB$2,0)&lt;&gt;L880,"Beam Revised","")</f>
        <v>#N/A</v>
      </c>
      <c r="AC880" s="7" t="e">
        <f>IF(VLOOKUP($A880,'Concrete Beam Schedule'!$A$2:$Q$2902,AC$2,0)&lt;&gt;M880,"Beam Revised","")</f>
        <v>#N/A</v>
      </c>
      <c r="AD880" s="7" t="e">
        <f>IF(VLOOKUP($A880,'Concrete Beam Schedule'!$A$2:$Q$2902,AD$2,0)&lt;&gt;N880,"Beam Revised","")</f>
        <v>#N/A</v>
      </c>
      <c r="AE880" s="7" t="e">
        <f>IF(VLOOKUP($A880,'Concrete Beam Schedule'!$A$2:$Q$2902,AE$2,0)&lt;&gt;O880,"Beam Revised","")</f>
        <v>#N/A</v>
      </c>
    </row>
    <row r="881" spans="17:31" ht="13.2" x14ac:dyDescent="0.25">
      <c r="Q881" s="7">
        <f t="shared" si="13"/>
        <v>0</v>
      </c>
      <c r="R881" s="7" t="e">
        <f>IF(VLOOKUP($A881,'Concrete Beam Schedule'!$A$2:$Q$2902,R$2,0)&lt;&gt;B881,VLOOKUP($A881,'Concrete Beam Schedule'!$A$2:$Q$2902,R$2,0),"")</f>
        <v>#N/A</v>
      </c>
      <c r="S881" s="7" t="e">
        <f>IF(VLOOKUP($A881,'Concrete Beam Schedule'!$A$2:$Q$2902,S$2,0)&lt;&gt;C881,VLOOKUP($A881,'Concrete Beam Schedule'!$A$2:$Q$2902,S$2,0),"")</f>
        <v>#N/A</v>
      </c>
      <c r="T881" s="7" t="e">
        <f>IF(VLOOKUP($A881,'Concrete Beam Schedule'!$A$2:$Q$2902,T$2,0)&lt;&gt;D881,"Beam Revised","")</f>
        <v>#N/A</v>
      </c>
      <c r="U881" s="7" t="e">
        <f>IF(VLOOKUP($A881,'Concrete Beam Schedule'!$A$2:$Q$2902,U$2,0)&lt;&gt;E881,"Beam Revised","")</f>
        <v>#N/A</v>
      </c>
      <c r="V881" s="7" t="e">
        <f>IF(VLOOKUP($A881,'Concrete Beam Schedule'!$A$2:$Q$2902,V$2,0)&lt;&gt;F881,"Beam Revised","")</f>
        <v>#N/A</v>
      </c>
      <c r="W881" s="7" t="e">
        <f>IF(VLOOKUP($A881,'Concrete Beam Schedule'!$A$2:$Q$2902,W$2,0)&lt;&gt;G881,"Beam Revised","")</f>
        <v>#N/A</v>
      </c>
      <c r="X881" s="7" t="e">
        <f>IF(VLOOKUP($A881,'Concrete Beam Schedule'!$A$2:$Q$2902,X$2,0)&lt;&gt;H881,"Beam Revised","")</f>
        <v>#N/A</v>
      </c>
      <c r="Y881" s="7" t="e">
        <f>IF(VLOOKUP($A881,'Concrete Beam Schedule'!$A$2:$Q$2902,Y$2,0)&lt;&gt;I881,"Beam Revised","")</f>
        <v>#N/A</v>
      </c>
      <c r="Z881" s="7" t="e">
        <f>IF(VLOOKUP($A881,'Concrete Beam Schedule'!$A$2:$Q$2902,Z$2,0)&lt;&gt;J881,"Beam Revised","")</f>
        <v>#N/A</v>
      </c>
      <c r="AA881" s="7" t="e">
        <f>IF(VLOOKUP($A881,'Concrete Beam Schedule'!$A$2:$Q$2902,AA$2,0)&lt;&gt;K881,"Beam Revised","")</f>
        <v>#N/A</v>
      </c>
      <c r="AB881" s="7" t="e">
        <f>IF(VLOOKUP($A881,'Concrete Beam Schedule'!$A$2:$Q$2902,AB$2,0)&lt;&gt;L881,"Beam Revised","")</f>
        <v>#N/A</v>
      </c>
      <c r="AC881" s="7" t="e">
        <f>IF(VLOOKUP($A881,'Concrete Beam Schedule'!$A$2:$Q$2902,AC$2,0)&lt;&gt;M881,"Beam Revised","")</f>
        <v>#N/A</v>
      </c>
      <c r="AD881" s="7" t="e">
        <f>IF(VLOOKUP($A881,'Concrete Beam Schedule'!$A$2:$Q$2902,AD$2,0)&lt;&gt;N881,"Beam Revised","")</f>
        <v>#N/A</v>
      </c>
      <c r="AE881" s="7" t="e">
        <f>IF(VLOOKUP($A881,'Concrete Beam Schedule'!$A$2:$Q$2902,AE$2,0)&lt;&gt;O881,"Beam Revised","")</f>
        <v>#N/A</v>
      </c>
    </row>
    <row r="882" spans="17:31" ht="13.2" x14ac:dyDescent="0.25">
      <c r="Q882" s="7">
        <f t="shared" si="13"/>
        <v>0</v>
      </c>
      <c r="R882" s="7" t="e">
        <f>IF(VLOOKUP($A882,'Concrete Beam Schedule'!$A$2:$Q$2902,R$2,0)&lt;&gt;B882,VLOOKUP($A882,'Concrete Beam Schedule'!$A$2:$Q$2902,R$2,0),"")</f>
        <v>#N/A</v>
      </c>
      <c r="S882" s="7" t="e">
        <f>IF(VLOOKUP($A882,'Concrete Beam Schedule'!$A$2:$Q$2902,S$2,0)&lt;&gt;C882,VLOOKUP($A882,'Concrete Beam Schedule'!$A$2:$Q$2902,S$2,0),"")</f>
        <v>#N/A</v>
      </c>
      <c r="T882" s="7" t="e">
        <f>IF(VLOOKUP($A882,'Concrete Beam Schedule'!$A$2:$Q$2902,T$2,0)&lt;&gt;D882,"Beam Revised","")</f>
        <v>#N/A</v>
      </c>
      <c r="U882" s="7" t="e">
        <f>IF(VLOOKUP($A882,'Concrete Beam Schedule'!$A$2:$Q$2902,U$2,0)&lt;&gt;E882,"Beam Revised","")</f>
        <v>#N/A</v>
      </c>
      <c r="V882" s="7" t="e">
        <f>IF(VLOOKUP($A882,'Concrete Beam Schedule'!$A$2:$Q$2902,V$2,0)&lt;&gt;F882,"Beam Revised","")</f>
        <v>#N/A</v>
      </c>
      <c r="W882" s="7" t="e">
        <f>IF(VLOOKUP($A882,'Concrete Beam Schedule'!$A$2:$Q$2902,W$2,0)&lt;&gt;G882,"Beam Revised","")</f>
        <v>#N/A</v>
      </c>
      <c r="X882" s="7" t="e">
        <f>IF(VLOOKUP($A882,'Concrete Beam Schedule'!$A$2:$Q$2902,X$2,0)&lt;&gt;H882,"Beam Revised","")</f>
        <v>#N/A</v>
      </c>
      <c r="Y882" s="7" t="e">
        <f>IF(VLOOKUP($A882,'Concrete Beam Schedule'!$A$2:$Q$2902,Y$2,0)&lt;&gt;I882,"Beam Revised","")</f>
        <v>#N/A</v>
      </c>
      <c r="Z882" s="7" t="e">
        <f>IF(VLOOKUP($A882,'Concrete Beam Schedule'!$A$2:$Q$2902,Z$2,0)&lt;&gt;J882,"Beam Revised","")</f>
        <v>#N/A</v>
      </c>
      <c r="AA882" s="7" t="e">
        <f>IF(VLOOKUP($A882,'Concrete Beam Schedule'!$A$2:$Q$2902,AA$2,0)&lt;&gt;K882,"Beam Revised","")</f>
        <v>#N/A</v>
      </c>
      <c r="AB882" s="7" t="e">
        <f>IF(VLOOKUP($A882,'Concrete Beam Schedule'!$A$2:$Q$2902,AB$2,0)&lt;&gt;L882,"Beam Revised","")</f>
        <v>#N/A</v>
      </c>
      <c r="AC882" s="7" t="e">
        <f>IF(VLOOKUP($A882,'Concrete Beam Schedule'!$A$2:$Q$2902,AC$2,0)&lt;&gt;M882,"Beam Revised","")</f>
        <v>#N/A</v>
      </c>
      <c r="AD882" s="7" t="e">
        <f>IF(VLOOKUP($A882,'Concrete Beam Schedule'!$A$2:$Q$2902,AD$2,0)&lt;&gt;N882,"Beam Revised","")</f>
        <v>#N/A</v>
      </c>
      <c r="AE882" s="7" t="e">
        <f>IF(VLOOKUP($A882,'Concrete Beam Schedule'!$A$2:$Q$2902,AE$2,0)&lt;&gt;O882,"Beam Revised","")</f>
        <v>#N/A</v>
      </c>
    </row>
    <row r="883" spans="17:31" ht="13.2" x14ac:dyDescent="0.25">
      <c r="Q883" s="7">
        <f t="shared" si="13"/>
        <v>0</v>
      </c>
      <c r="R883" s="7" t="e">
        <f>IF(VLOOKUP($A883,'Concrete Beam Schedule'!$A$2:$Q$2902,R$2,0)&lt;&gt;B883,VLOOKUP($A883,'Concrete Beam Schedule'!$A$2:$Q$2902,R$2,0),"")</f>
        <v>#N/A</v>
      </c>
      <c r="S883" s="7" t="e">
        <f>IF(VLOOKUP($A883,'Concrete Beam Schedule'!$A$2:$Q$2902,S$2,0)&lt;&gt;C883,VLOOKUP($A883,'Concrete Beam Schedule'!$A$2:$Q$2902,S$2,0),"")</f>
        <v>#N/A</v>
      </c>
      <c r="T883" s="7" t="e">
        <f>IF(VLOOKUP($A883,'Concrete Beam Schedule'!$A$2:$Q$2902,T$2,0)&lt;&gt;D883,"Beam Revised","")</f>
        <v>#N/A</v>
      </c>
      <c r="U883" s="7" t="e">
        <f>IF(VLOOKUP($A883,'Concrete Beam Schedule'!$A$2:$Q$2902,U$2,0)&lt;&gt;E883,"Beam Revised","")</f>
        <v>#N/A</v>
      </c>
      <c r="V883" s="7" t="e">
        <f>IF(VLOOKUP($A883,'Concrete Beam Schedule'!$A$2:$Q$2902,V$2,0)&lt;&gt;F883,"Beam Revised","")</f>
        <v>#N/A</v>
      </c>
      <c r="W883" s="7" t="e">
        <f>IF(VLOOKUP($A883,'Concrete Beam Schedule'!$A$2:$Q$2902,W$2,0)&lt;&gt;G883,"Beam Revised","")</f>
        <v>#N/A</v>
      </c>
      <c r="X883" s="7" t="e">
        <f>IF(VLOOKUP($A883,'Concrete Beam Schedule'!$A$2:$Q$2902,X$2,0)&lt;&gt;H883,"Beam Revised","")</f>
        <v>#N/A</v>
      </c>
      <c r="Y883" s="7" t="e">
        <f>IF(VLOOKUP($A883,'Concrete Beam Schedule'!$A$2:$Q$2902,Y$2,0)&lt;&gt;I883,"Beam Revised","")</f>
        <v>#N/A</v>
      </c>
      <c r="Z883" s="7" t="e">
        <f>IF(VLOOKUP($A883,'Concrete Beam Schedule'!$A$2:$Q$2902,Z$2,0)&lt;&gt;J883,"Beam Revised","")</f>
        <v>#N/A</v>
      </c>
      <c r="AA883" s="7" t="e">
        <f>IF(VLOOKUP($A883,'Concrete Beam Schedule'!$A$2:$Q$2902,AA$2,0)&lt;&gt;K883,"Beam Revised","")</f>
        <v>#N/A</v>
      </c>
      <c r="AB883" s="7" t="e">
        <f>IF(VLOOKUP($A883,'Concrete Beam Schedule'!$A$2:$Q$2902,AB$2,0)&lt;&gt;L883,"Beam Revised","")</f>
        <v>#N/A</v>
      </c>
      <c r="AC883" s="7" t="e">
        <f>IF(VLOOKUP($A883,'Concrete Beam Schedule'!$A$2:$Q$2902,AC$2,0)&lt;&gt;M883,"Beam Revised","")</f>
        <v>#N/A</v>
      </c>
      <c r="AD883" s="7" t="e">
        <f>IF(VLOOKUP($A883,'Concrete Beam Schedule'!$A$2:$Q$2902,AD$2,0)&lt;&gt;N883,"Beam Revised","")</f>
        <v>#N/A</v>
      </c>
      <c r="AE883" s="7" t="e">
        <f>IF(VLOOKUP($A883,'Concrete Beam Schedule'!$A$2:$Q$2902,AE$2,0)&lt;&gt;O883,"Beam Revised","")</f>
        <v>#N/A</v>
      </c>
    </row>
    <row r="884" spans="17:31" ht="13.2" x14ac:dyDescent="0.25">
      <c r="Q884" s="7">
        <f t="shared" si="13"/>
        <v>0</v>
      </c>
      <c r="R884" s="7" t="e">
        <f>IF(VLOOKUP($A884,'Concrete Beam Schedule'!$A$2:$Q$2902,R$2,0)&lt;&gt;B884,VLOOKUP($A884,'Concrete Beam Schedule'!$A$2:$Q$2902,R$2,0),"")</f>
        <v>#N/A</v>
      </c>
      <c r="S884" s="7" t="e">
        <f>IF(VLOOKUP($A884,'Concrete Beam Schedule'!$A$2:$Q$2902,S$2,0)&lt;&gt;C884,VLOOKUP($A884,'Concrete Beam Schedule'!$A$2:$Q$2902,S$2,0),"")</f>
        <v>#N/A</v>
      </c>
      <c r="T884" s="7" t="e">
        <f>IF(VLOOKUP($A884,'Concrete Beam Schedule'!$A$2:$Q$2902,T$2,0)&lt;&gt;D884,"Beam Revised","")</f>
        <v>#N/A</v>
      </c>
      <c r="U884" s="7" t="e">
        <f>IF(VLOOKUP($A884,'Concrete Beam Schedule'!$A$2:$Q$2902,U$2,0)&lt;&gt;E884,"Beam Revised","")</f>
        <v>#N/A</v>
      </c>
      <c r="V884" s="7" t="e">
        <f>IF(VLOOKUP($A884,'Concrete Beam Schedule'!$A$2:$Q$2902,V$2,0)&lt;&gt;F884,"Beam Revised","")</f>
        <v>#N/A</v>
      </c>
      <c r="W884" s="7" t="e">
        <f>IF(VLOOKUP($A884,'Concrete Beam Schedule'!$A$2:$Q$2902,W$2,0)&lt;&gt;G884,"Beam Revised","")</f>
        <v>#N/A</v>
      </c>
      <c r="X884" s="7" t="e">
        <f>IF(VLOOKUP($A884,'Concrete Beam Schedule'!$A$2:$Q$2902,X$2,0)&lt;&gt;H884,"Beam Revised","")</f>
        <v>#N/A</v>
      </c>
      <c r="Y884" s="7" t="e">
        <f>IF(VLOOKUP($A884,'Concrete Beam Schedule'!$A$2:$Q$2902,Y$2,0)&lt;&gt;I884,"Beam Revised","")</f>
        <v>#N/A</v>
      </c>
      <c r="Z884" s="7" t="e">
        <f>IF(VLOOKUP($A884,'Concrete Beam Schedule'!$A$2:$Q$2902,Z$2,0)&lt;&gt;J884,"Beam Revised","")</f>
        <v>#N/A</v>
      </c>
      <c r="AA884" s="7" t="e">
        <f>IF(VLOOKUP($A884,'Concrete Beam Schedule'!$A$2:$Q$2902,AA$2,0)&lt;&gt;K884,"Beam Revised","")</f>
        <v>#N/A</v>
      </c>
      <c r="AB884" s="7" t="e">
        <f>IF(VLOOKUP($A884,'Concrete Beam Schedule'!$A$2:$Q$2902,AB$2,0)&lt;&gt;L884,"Beam Revised","")</f>
        <v>#N/A</v>
      </c>
      <c r="AC884" s="7" t="e">
        <f>IF(VLOOKUP($A884,'Concrete Beam Schedule'!$A$2:$Q$2902,AC$2,0)&lt;&gt;M884,"Beam Revised","")</f>
        <v>#N/A</v>
      </c>
      <c r="AD884" s="7" t="e">
        <f>IF(VLOOKUP($A884,'Concrete Beam Schedule'!$A$2:$Q$2902,AD$2,0)&lt;&gt;N884,"Beam Revised","")</f>
        <v>#N/A</v>
      </c>
      <c r="AE884" s="7" t="e">
        <f>IF(VLOOKUP($A884,'Concrete Beam Schedule'!$A$2:$Q$2902,AE$2,0)&lt;&gt;O884,"Beam Revised","")</f>
        <v>#N/A</v>
      </c>
    </row>
    <row r="885" spans="17:31" ht="13.2" x14ac:dyDescent="0.25">
      <c r="Q885" s="7">
        <f t="shared" si="13"/>
        <v>0</v>
      </c>
      <c r="R885" s="7" t="e">
        <f>IF(VLOOKUP($A885,'Concrete Beam Schedule'!$A$2:$Q$2902,R$2,0)&lt;&gt;B885,VLOOKUP($A885,'Concrete Beam Schedule'!$A$2:$Q$2902,R$2,0),"")</f>
        <v>#N/A</v>
      </c>
      <c r="S885" s="7" t="e">
        <f>IF(VLOOKUP($A885,'Concrete Beam Schedule'!$A$2:$Q$2902,S$2,0)&lt;&gt;C885,VLOOKUP($A885,'Concrete Beam Schedule'!$A$2:$Q$2902,S$2,0),"")</f>
        <v>#N/A</v>
      </c>
      <c r="T885" s="7" t="e">
        <f>IF(VLOOKUP($A885,'Concrete Beam Schedule'!$A$2:$Q$2902,T$2,0)&lt;&gt;D885,"Beam Revised","")</f>
        <v>#N/A</v>
      </c>
      <c r="U885" s="7" t="e">
        <f>IF(VLOOKUP($A885,'Concrete Beam Schedule'!$A$2:$Q$2902,U$2,0)&lt;&gt;E885,"Beam Revised","")</f>
        <v>#N/A</v>
      </c>
      <c r="V885" s="7" t="e">
        <f>IF(VLOOKUP($A885,'Concrete Beam Schedule'!$A$2:$Q$2902,V$2,0)&lt;&gt;F885,"Beam Revised","")</f>
        <v>#N/A</v>
      </c>
      <c r="W885" s="7" t="e">
        <f>IF(VLOOKUP($A885,'Concrete Beam Schedule'!$A$2:$Q$2902,W$2,0)&lt;&gt;G885,"Beam Revised","")</f>
        <v>#N/A</v>
      </c>
      <c r="X885" s="7" t="e">
        <f>IF(VLOOKUP($A885,'Concrete Beam Schedule'!$A$2:$Q$2902,X$2,0)&lt;&gt;H885,"Beam Revised","")</f>
        <v>#N/A</v>
      </c>
      <c r="Y885" s="7" t="e">
        <f>IF(VLOOKUP($A885,'Concrete Beam Schedule'!$A$2:$Q$2902,Y$2,0)&lt;&gt;I885,"Beam Revised","")</f>
        <v>#N/A</v>
      </c>
      <c r="Z885" s="7" t="e">
        <f>IF(VLOOKUP($A885,'Concrete Beam Schedule'!$A$2:$Q$2902,Z$2,0)&lt;&gt;J885,"Beam Revised","")</f>
        <v>#N/A</v>
      </c>
      <c r="AA885" s="7" t="e">
        <f>IF(VLOOKUP($A885,'Concrete Beam Schedule'!$A$2:$Q$2902,AA$2,0)&lt;&gt;K885,"Beam Revised","")</f>
        <v>#N/A</v>
      </c>
      <c r="AB885" s="7" t="e">
        <f>IF(VLOOKUP($A885,'Concrete Beam Schedule'!$A$2:$Q$2902,AB$2,0)&lt;&gt;L885,"Beam Revised","")</f>
        <v>#N/A</v>
      </c>
      <c r="AC885" s="7" t="e">
        <f>IF(VLOOKUP($A885,'Concrete Beam Schedule'!$A$2:$Q$2902,AC$2,0)&lt;&gt;M885,"Beam Revised","")</f>
        <v>#N/A</v>
      </c>
      <c r="AD885" s="7" t="e">
        <f>IF(VLOOKUP($A885,'Concrete Beam Schedule'!$A$2:$Q$2902,AD$2,0)&lt;&gt;N885,"Beam Revised","")</f>
        <v>#N/A</v>
      </c>
      <c r="AE885" s="7" t="e">
        <f>IF(VLOOKUP($A885,'Concrete Beam Schedule'!$A$2:$Q$2902,AE$2,0)&lt;&gt;O885,"Beam Revised","")</f>
        <v>#N/A</v>
      </c>
    </row>
    <row r="886" spans="17:31" ht="13.2" x14ac:dyDescent="0.25">
      <c r="Q886" s="7">
        <f t="shared" si="13"/>
        <v>0</v>
      </c>
      <c r="R886" s="7" t="e">
        <f>IF(VLOOKUP($A886,'Concrete Beam Schedule'!$A$2:$Q$2902,R$2,0)&lt;&gt;B886,VLOOKUP($A886,'Concrete Beam Schedule'!$A$2:$Q$2902,R$2,0),"")</f>
        <v>#N/A</v>
      </c>
      <c r="S886" s="7" t="e">
        <f>IF(VLOOKUP($A886,'Concrete Beam Schedule'!$A$2:$Q$2902,S$2,0)&lt;&gt;C886,VLOOKUP($A886,'Concrete Beam Schedule'!$A$2:$Q$2902,S$2,0),"")</f>
        <v>#N/A</v>
      </c>
      <c r="T886" s="7" t="e">
        <f>IF(VLOOKUP($A886,'Concrete Beam Schedule'!$A$2:$Q$2902,T$2,0)&lt;&gt;D886,"Beam Revised","")</f>
        <v>#N/A</v>
      </c>
      <c r="U886" s="7" t="e">
        <f>IF(VLOOKUP($A886,'Concrete Beam Schedule'!$A$2:$Q$2902,U$2,0)&lt;&gt;E886,"Beam Revised","")</f>
        <v>#N/A</v>
      </c>
      <c r="V886" s="7" t="e">
        <f>IF(VLOOKUP($A886,'Concrete Beam Schedule'!$A$2:$Q$2902,V$2,0)&lt;&gt;F886,"Beam Revised","")</f>
        <v>#N/A</v>
      </c>
      <c r="W886" s="7" t="e">
        <f>IF(VLOOKUP($A886,'Concrete Beam Schedule'!$A$2:$Q$2902,W$2,0)&lt;&gt;G886,"Beam Revised","")</f>
        <v>#N/A</v>
      </c>
      <c r="X886" s="7" t="e">
        <f>IF(VLOOKUP($A886,'Concrete Beam Schedule'!$A$2:$Q$2902,X$2,0)&lt;&gt;H886,"Beam Revised","")</f>
        <v>#N/A</v>
      </c>
      <c r="Y886" s="7" t="e">
        <f>IF(VLOOKUP($A886,'Concrete Beam Schedule'!$A$2:$Q$2902,Y$2,0)&lt;&gt;I886,"Beam Revised","")</f>
        <v>#N/A</v>
      </c>
      <c r="Z886" s="7" t="e">
        <f>IF(VLOOKUP($A886,'Concrete Beam Schedule'!$A$2:$Q$2902,Z$2,0)&lt;&gt;J886,"Beam Revised","")</f>
        <v>#N/A</v>
      </c>
      <c r="AA886" s="7" t="e">
        <f>IF(VLOOKUP($A886,'Concrete Beam Schedule'!$A$2:$Q$2902,AA$2,0)&lt;&gt;K886,"Beam Revised","")</f>
        <v>#N/A</v>
      </c>
      <c r="AB886" s="7" t="e">
        <f>IF(VLOOKUP($A886,'Concrete Beam Schedule'!$A$2:$Q$2902,AB$2,0)&lt;&gt;L886,"Beam Revised","")</f>
        <v>#N/A</v>
      </c>
      <c r="AC886" s="7" t="e">
        <f>IF(VLOOKUP($A886,'Concrete Beam Schedule'!$A$2:$Q$2902,AC$2,0)&lt;&gt;M886,"Beam Revised","")</f>
        <v>#N/A</v>
      </c>
      <c r="AD886" s="7" t="e">
        <f>IF(VLOOKUP($A886,'Concrete Beam Schedule'!$A$2:$Q$2902,AD$2,0)&lt;&gt;N886,"Beam Revised","")</f>
        <v>#N/A</v>
      </c>
      <c r="AE886" s="7" t="e">
        <f>IF(VLOOKUP($A886,'Concrete Beam Schedule'!$A$2:$Q$2902,AE$2,0)&lt;&gt;O886,"Beam Revised","")</f>
        <v>#N/A</v>
      </c>
    </row>
    <row r="887" spans="17:31" ht="13.2" x14ac:dyDescent="0.25">
      <c r="Q887" s="7">
        <f t="shared" si="13"/>
        <v>0</v>
      </c>
      <c r="R887" s="7" t="e">
        <f>IF(VLOOKUP($A887,'Concrete Beam Schedule'!$A$2:$Q$2902,R$2,0)&lt;&gt;B887,VLOOKUP($A887,'Concrete Beam Schedule'!$A$2:$Q$2902,R$2,0),"")</f>
        <v>#N/A</v>
      </c>
      <c r="S887" s="7" t="e">
        <f>IF(VLOOKUP($A887,'Concrete Beam Schedule'!$A$2:$Q$2902,S$2,0)&lt;&gt;C887,VLOOKUP($A887,'Concrete Beam Schedule'!$A$2:$Q$2902,S$2,0),"")</f>
        <v>#N/A</v>
      </c>
      <c r="T887" s="7" t="e">
        <f>IF(VLOOKUP($A887,'Concrete Beam Schedule'!$A$2:$Q$2902,T$2,0)&lt;&gt;D887,"Beam Revised","")</f>
        <v>#N/A</v>
      </c>
      <c r="U887" s="7" t="e">
        <f>IF(VLOOKUP($A887,'Concrete Beam Schedule'!$A$2:$Q$2902,U$2,0)&lt;&gt;E887,"Beam Revised","")</f>
        <v>#N/A</v>
      </c>
      <c r="V887" s="7" t="e">
        <f>IF(VLOOKUP($A887,'Concrete Beam Schedule'!$A$2:$Q$2902,V$2,0)&lt;&gt;F887,"Beam Revised","")</f>
        <v>#N/A</v>
      </c>
      <c r="W887" s="7" t="e">
        <f>IF(VLOOKUP($A887,'Concrete Beam Schedule'!$A$2:$Q$2902,W$2,0)&lt;&gt;G887,"Beam Revised","")</f>
        <v>#N/A</v>
      </c>
      <c r="X887" s="7" t="e">
        <f>IF(VLOOKUP($A887,'Concrete Beam Schedule'!$A$2:$Q$2902,X$2,0)&lt;&gt;H887,"Beam Revised","")</f>
        <v>#N/A</v>
      </c>
      <c r="Y887" s="7" t="e">
        <f>IF(VLOOKUP($A887,'Concrete Beam Schedule'!$A$2:$Q$2902,Y$2,0)&lt;&gt;I887,"Beam Revised","")</f>
        <v>#N/A</v>
      </c>
      <c r="Z887" s="7" t="e">
        <f>IF(VLOOKUP($A887,'Concrete Beam Schedule'!$A$2:$Q$2902,Z$2,0)&lt;&gt;J887,"Beam Revised","")</f>
        <v>#N/A</v>
      </c>
      <c r="AA887" s="7" t="e">
        <f>IF(VLOOKUP($A887,'Concrete Beam Schedule'!$A$2:$Q$2902,AA$2,0)&lt;&gt;K887,"Beam Revised","")</f>
        <v>#N/A</v>
      </c>
      <c r="AB887" s="7" t="e">
        <f>IF(VLOOKUP($A887,'Concrete Beam Schedule'!$A$2:$Q$2902,AB$2,0)&lt;&gt;L887,"Beam Revised","")</f>
        <v>#N/A</v>
      </c>
      <c r="AC887" s="7" t="e">
        <f>IF(VLOOKUP($A887,'Concrete Beam Schedule'!$A$2:$Q$2902,AC$2,0)&lt;&gt;M887,"Beam Revised","")</f>
        <v>#N/A</v>
      </c>
      <c r="AD887" s="7" t="e">
        <f>IF(VLOOKUP($A887,'Concrete Beam Schedule'!$A$2:$Q$2902,AD$2,0)&lt;&gt;N887,"Beam Revised","")</f>
        <v>#N/A</v>
      </c>
      <c r="AE887" s="7" t="e">
        <f>IF(VLOOKUP($A887,'Concrete Beam Schedule'!$A$2:$Q$2902,AE$2,0)&lt;&gt;O887,"Beam Revised","")</f>
        <v>#N/A</v>
      </c>
    </row>
    <row r="888" spans="17:31" ht="13.2" x14ac:dyDescent="0.25">
      <c r="Q888" s="7">
        <f t="shared" si="13"/>
        <v>0</v>
      </c>
      <c r="R888" s="7" t="e">
        <f>IF(VLOOKUP($A888,'Concrete Beam Schedule'!$A$2:$Q$2902,R$2,0)&lt;&gt;B888,VLOOKUP($A888,'Concrete Beam Schedule'!$A$2:$Q$2902,R$2,0),"")</f>
        <v>#N/A</v>
      </c>
      <c r="S888" s="7" t="e">
        <f>IF(VLOOKUP($A888,'Concrete Beam Schedule'!$A$2:$Q$2902,S$2,0)&lt;&gt;C888,VLOOKUP($A888,'Concrete Beam Schedule'!$A$2:$Q$2902,S$2,0),"")</f>
        <v>#N/A</v>
      </c>
      <c r="T888" s="7" t="e">
        <f>IF(VLOOKUP($A888,'Concrete Beam Schedule'!$A$2:$Q$2902,T$2,0)&lt;&gt;D888,"Beam Revised","")</f>
        <v>#N/A</v>
      </c>
      <c r="U888" s="7" t="e">
        <f>IF(VLOOKUP($A888,'Concrete Beam Schedule'!$A$2:$Q$2902,U$2,0)&lt;&gt;E888,"Beam Revised","")</f>
        <v>#N/A</v>
      </c>
      <c r="V888" s="7" t="e">
        <f>IF(VLOOKUP($A888,'Concrete Beam Schedule'!$A$2:$Q$2902,V$2,0)&lt;&gt;F888,"Beam Revised","")</f>
        <v>#N/A</v>
      </c>
      <c r="W888" s="7" t="e">
        <f>IF(VLOOKUP($A888,'Concrete Beam Schedule'!$A$2:$Q$2902,W$2,0)&lt;&gt;G888,"Beam Revised","")</f>
        <v>#N/A</v>
      </c>
      <c r="X888" s="7" t="e">
        <f>IF(VLOOKUP($A888,'Concrete Beam Schedule'!$A$2:$Q$2902,X$2,0)&lt;&gt;H888,"Beam Revised","")</f>
        <v>#N/A</v>
      </c>
      <c r="Y888" s="7" t="e">
        <f>IF(VLOOKUP($A888,'Concrete Beam Schedule'!$A$2:$Q$2902,Y$2,0)&lt;&gt;I888,"Beam Revised","")</f>
        <v>#N/A</v>
      </c>
      <c r="Z888" s="7" t="e">
        <f>IF(VLOOKUP($A888,'Concrete Beam Schedule'!$A$2:$Q$2902,Z$2,0)&lt;&gt;J888,"Beam Revised","")</f>
        <v>#N/A</v>
      </c>
      <c r="AA888" s="7" t="e">
        <f>IF(VLOOKUP($A888,'Concrete Beam Schedule'!$A$2:$Q$2902,AA$2,0)&lt;&gt;K888,"Beam Revised","")</f>
        <v>#N/A</v>
      </c>
      <c r="AB888" s="7" t="e">
        <f>IF(VLOOKUP($A888,'Concrete Beam Schedule'!$A$2:$Q$2902,AB$2,0)&lt;&gt;L888,"Beam Revised","")</f>
        <v>#N/A</v>
      </c>
      <c r="AC888" s="7" t="e">
        <f>IF(VLOOKUP($A888,'Concrete Beam Schedule'!$A$2:$Q$2902,AC$2,0)&lt;&gt;M888,"Beam Revised","")</f>
        <v>#N/A</v>
      </c>
      <c r="AD888" s="7" t="e">
        <f>IF(VLOOKUP($A888,'Concrete Beam Schedule'!$A$2:$Q$2902,AD$2,0)&lt;&gt;N888,"Beam Revised","")</f>
        <v>#N/A</v>
      </c>
      <c r="AE888" s="7" t="e">
        <f>IF(VLOOKUP($A888,'Concrete Beam Schedule'!$A$2:$Q$2902,AE$2,0)&lt;&gt;O888,"Beam Revised","")</f>
        <v>#N/A</v>
      </c>
    </row>
    <row r="889" spans="17:31" ht="13.2" x14ac:dyDescent="0.25">
      <c r="Q889" s="7">
        <f t="shared" si="13"/>
        <v>0</v>
      </c>
      <c r="R889" s="7" t="e">
        <f>IF(VLOOKUP($A889,'Concrete Beam Schedule'!$A$2:$Q$2902,R$2,0)&lt;&gt;B889,VLOOKUP($A889,'Concrete Beam Schedule'!$A$2:$Q$2902,R$2,0),"")</f>
        <v>#N/A</v>
      </c>
      <c r="S889" s="7" t="e">
        <f>IF(VLOOKUP($A889,'Concrete Beam Schedule'!$A$2:$Q$2902,S$2,0)&lt;&gt;C889,VLOOKUP($A889,'Concrete Beam Schedule'!$A$2:$Q$2902,S$2,0),"")</f>
        <v>#N/A</v>
      </c>
      <c r="T889" s="7" t="e">
        <f>IF(VLOOKUP($A889,'Concrete Beam Schedule'!$A$2:$Q$2902,T$2,0)&lt;&gt;D889,"Beam Revised","")</f>
        <v>#N/A</v>
      </c>
      <c r="U889" s="7" t="e">
        <f>IF(VLOOKUP($A889,'Concrete Beam Schedule'!$A$2:$Q$2902,U$2,0)&lt;&gt;E889,"Beam Revised","")</f>
        <v>#N/A</v>
      </c>
      <c r="V889" s="7" t="e">
        <f>IF(VLOOKUP($A889,'Concrete Beam Schedule'!$A$2:$Q$2902,V$2,0)&lt;&gt;F889,"Beam Revised","")</f>
        <v>#N/A</v>
      </c>
      <c r="W889" s="7" t="e">
        <f>IF(VLOOKUP($A889,'Concrete Beam Schedule'!$A$2:$Q$2902,W$2,0)&lt;&gt;G889,"Beam Revised","")</f>
        <v>#N/A</v>
      </c>
      <c r="X889" s="7" t="e">
        <f>IF(VLOOKUP($A889,'Concrete Beam Schedule'!$A$2:$Q$2902,X$2,0)&lt;&gt;H889,"Beam Revised","")</f>
        <v>#N/A</v>
      </c>
      <c r="Y889" s="7" t="e">
        <f>IF(VLOOKUP($A889,'Concrete Beam Schedule'!$A$2:$Q$2902,Y$2,0)&lt;&gt;I889,"Beam Revised","")</f>
        <v>#N/A</v>
      </c>
      <c r="Z889" s="7" t="e">
        <f>IF(VLOOKUP($A889,'Concrete Beam Schedule'!$A$2:$Q$2902,Z$2,0)&lt;&gt;J889,"Beam Revised","")</f>
        <v>#N/A</v>
      </c>
      <c r="AA889" s="7" t="e">
        <f>IF(VLOOKUP($A889,'Concrete Beam Schedule'!$A$2:$Q$2902,AA$2,0)&lt;&gt;K889,"Beam Revised","")</f>
        <v>#N/A</v>
      </c>
      <c r="AB889" s="7" t="e">
        <f>IF(VLOOKUP($A889,'Concrete Beam Schedule'!$A$2:$Q$2902,AB$2,0)&lt;&gt;L889,"Beam Revised","")</f>
        <v>#N/A</v>
      </c>
      <c r="AC889" s="7" t="e">
        <f>IF(VLOOKUP($A889,'Concrete Beam Schedule'!$A$2:$Q$2902,AC$2,0)&lt;&gt;M889,"Beam Revised","")</f>
        <v>#N/A</v>
      </c>
      <c r="AD889" s="7" t="e">
        <f>IF(VLOOKUP($A889,'Concrete Beam Schedule'!$A$2:$Q$2902,AD$2,0)&lt;&gt;N889,"Beam Revised","")</f>
        <v>#N/A</v>
      </c>
      <c r="AE889" s="7" t="e">
        <f>IF(VLOOKUP($A889,'Concrete Beam Schedule'!$A$2:$Q$2902,AE$2,0)&lt;&gt;O889,"Beam Revised","")</f>
        <v>#N/A</v>
      </c>
    </row>
    <row r="890" spans="17:31" ht="13.2" x14ac:dyDescent="0.25">
      <c r="Q890" s="7">
        <f t="shared" si="13"/>
        <v>0</v>
      </c>
      <c r="R890" s="7" t="e">
        <f>IF(VLOOKUP($A890,'Concrete Beam Schedule'!$A$2:$Q$2902,R$2,0)&lt;&gt;B890,VLOOKUP($A890,'Concrete Beam Schedule'!$A$2:$Q$2902,R$2,0),"")</f>
        <v>#N/A</v>
      </c>
      <c r="S890" s="7" t="e">
        <f>IF(VLOOKUP($A890,'Concrete Beam Schedule'!$A$2:$Q$2902,S$2,0)&lt;&gt;C890,VLOOKUP($A890,'Concrete Beam Schedule'!$A$2:$Q$2902,S$2,0),"")</f>
        <v>#N/A</v>
      </c>
      <c r="T890" s="7" t="e">
        <f>IF(VLOOKUP($A890,'Concrete Beam Schedule'!$A$2:$Q$2902,T$2,0)&lt;&gt;D890,"Beam Revised","")</f>
        <v>#N/A</v>
      </c>
      <c r="U890" s="7" t="e">
        <f>IF(VLOOKUP($A890,'Concrete Beam Schedule'!$A$2:$Q$2902,U$2,0)&lt;&gt;E890,"Beam Revised","")</f>
        <v>#N/A</v>
      </c>
      <c r="V890" s="7" t="e">
        <f>IF(VLOOKUP($A890,'Concrete Beam Schedule'!$A$2:$Q$2902,V$2,0)&lt;&gt;F890,"Beam Revised","")</f>
        <v>#N/A</v>
      </c>
      <c r="W890" s="7" t="e">
        <f>IF(VLOOKUP($A890,'Concrete Beam Schedule'!$A$2:$Q$2902,W$2,0)&lt;&gt;G890,"Beam Revised","")</f>
        <v>#N/A</v>
      </c>
      <c r="X890" s="7" t="e">
        <f>IF(VLOOKUP($A890,'Concrete Beam Schedule'!$A$2:$Q$2902,X$2,0)&lt;&gt;H890,"Beam Revised","")</f>
        <v>#N/A</v>
      </c>
      <c r="Y890" s="7" t="e">
        <f>IF(VLOOKUP($A890,'Concrete Beam Schedule'!$A$2:$Q$2902,Y$2,0)&lt;&gt;I890,"Beam Revised","")</f>
        <v>#N/A</v>
      </c>
      <c r="Z890" s="7" t="e">
        <f>IF(VLOOKUP($A890,'Concrete Beam Schedule'!$A$2:$Q$2902,Z$2,0)&lt;&gt;J890,"Beam Revised","")</f>
        <v>#N/A</v>
      </c>
      <c r="AA890" s="7" t="e">
        <f>IF(VLOOKUP($A890,'Concrete Beam Schedule'!$A$2:$Q$2902,AA$2,0)&lt;&gt;K890,"Beam Revised","")</f>
        <v>#N/A</v>
      </c>
      <c r="AB890" s="7" t="e">
        <f>IF(VLOOKUP($A890,'Concrete Beam Schedule'!$A$2:$Q$2902,AB$2,0)&lt;&gt;L890,"Beam Revised","")</f>
        <v>#N/A</v>
      </c>
      <c r="AC890" s="7" t="e">
        <f>IF(VLOOKUP($A890,'Concrete Beam Schedule'!$A$2:$Q$2902,AC$2,0)&lt;&gt;M890,"Beam Revised","")</f>
        <v>#N/A</v>
      </c>
      <c r="AD890" s="7" t="e">
        <f>IF(VLOOKUP($A890,'Concrete Beam Schedule'!$A$2:$Q$2902,AD$2,0)&lt;&gt;N890,"Beam Revised","")</f>
        <v>#N/A</v>
      </c>
      <c r="AE890" s="7" t="e">
        <f>IF(VLOOKUP($A890,'Concrete Beam Schedule'!$A$2:$Q$2902,AE$2,0)&lt;&gt;O890,"Beam Revised","")</f>
        <v>#N/A</v>
      </c>
    </row>
    <row r="891" spans="17:31" ht="13.2" x14ac:dyDescent="0.25">
      <c r="Q891" s="7">
        <f t="shared" si="13"/>
        <v>0</v>
      </c>
      <c r="R891" s="7" t="e">
        <f>IF(VLOOKUP($A891,'Concrete Beam Schedule'!$A$2:$Q$2902,R$2,0)&lt;&gt;B891,VLOOKUP($A891,'Concrete Beam Schedule'!$A$2:$Q$2902,R$2,0),"")</f>
        <v>#N/A</v>
      </c>
      <c r="S891" s="7" t="e">
        <f>IF(VLOOKUP($A891,'Concrete Beam Schedule'!$A$2:$Q$2902,S$2,0)&lt;&gt;C891,VLOOKUP($A891,'Concrete Beam Schedule'!$A$2:$Q$2902,S$2,0),"")</f>
        <v>#N/A</v>
      </c>
      <c r="T891" s="7" t="e">
        <f>IF(VLOOKUP($A891,'Concrete Beam Schedule'!$A$2:$Q$2902,T$2,0)&lt;&gt;D891,"Beam Revised","")</f>
        <v>#N/A</v>
      </c>
      <c r="U891" s="7" t="e">
        <f>IF(VLOOKUP($A891,'Concrete Beam Schedule'!$A$2:$Q$2902,U$2,0)&lt;&gt;E891,"Beam Revised","")</f>
        <v>#N/A</v>
      </c>
      <c r="V891" s="7" t="e">
        <f>IF(VLOOKUP($A891,'Concrete Beam Schedule'!$A$2:$Q$2902,V$2,0)&lt;&gt;F891,"Beam Revised","")</f>
        <v>#N/A</v>
      </c>
      <c r="W891" s="7" t="e">
        <f>IF(VLOOKUP($A891,'Concrete Beam Schedule'!$A$2:$Q$2902,W$2,0)&lt;&gt;G891,"Beam Revised","")</f>
        <v>#N/A</v>
      </c>
      <c r="X891" s="7" t="e">
        <f>IF(VLOOKUP($A891,'Concrete Beam Schedule'!$A$2:$Q$2902,X$2,0)&lt;&gt;H891,"Beam Revised","")</f>
        <v>#N/A</v>
      </c>
      <c r="Y891" s="7" t="e">
        <f>IF(VLOOKUP($A891,'Concrete Beam Schedule'!$A$2:$Q$2902,Y$2,0)&lt;&gt;I891,"Beam Revised","")</f>
        <v>#N/A</v>
      </c>
      <c r="Z891" s="7" t="e">
        <f>IF(VLOOKUP($A891,'Concrete Beam Schedule'!$A$2:$Q$2902,Z$2,0)&lt;&gt;J891,"Beam Revised","")</f>
        <v>#N/A</v>
      </c>
      <c r="AA891" s="7" t="e">
        <f>IF(VLOOKUP($A891,'Concrete Beam Schedule'!$A$2:$Q$2902,AA$2,0)&lt;&gt;K891,"Beam Revised","")</f>
        <v>#N/A</v>
      </c>
      <c r="AB891" s="7" t="e">
        <f>IF(VLOOKUP($A891,'Concrete Beam Schedule'!$A$2:$Q$2902,AB$2,0)&lt;&gt;L891,"Beam Revised","")</f>
        <v>#N/A</v>
      </c>
      <c r="AC891" s="7" t="e">
        <f>IF(VLOOKUP($A891,'Concrete Beam Schedule'!$A$2:$Q$2902,AC$2,0)&lt;&gt;M891,"Beam Revised","")</f>
        <v>#N/A</v>
      </c>
      <c r="AD891" s="7" t="e">
        <f>IF(VLOOKUP($A891,'Concrete Beam Schedule'!$A$2:$Q$2902,AD$2,0)&lt;&gt;N891,"Beam Revised","")</f>
        <v>#N/A</v>
      </c>
      <c r="AE891" s="7" t="e">
        <f>IF(VLOOKUP($A891,'Concrete Beam Schedule'!$A$2:$Q$2902,AE$2,0)&lt;&gt;O891,"Beam Revised","")</f>
        <v>#N/A</v>
      </c>
    </row>
    <row r="892" spans="17:31" ht="13.2" x14ac:dyDescent="0.25">
      <c r="Q892" s="7">
        <f t="shared" si="13"/>
        <v>0</v>
      </c>
      <c r="R892" s="7" t="e">
        <f>IF(VLOOKUP($A892,'Concrete Beam Schedule'!$A$2:$Q$2902,R$2,0)&lt;&gt;B892,VLOOKUP($A892,'Concrete Beam Schedule'!$A$2:$Q$2902,R$2,0),"")</f>
        <v>#N/A</v>
      </c>
      <c r="S892" s="7" t="e">
        <f>IF(VLOOKUP($A892,'Concrete Beam Schedule'!$A$2:$Q$2902,S$2,0)&lt;&gt;C892,VLOOKUP($A892,'Concrete Beam Schedule'!$A$2:$Q$2902,S$2,0),"")</f>
        <v>#N/A</v>
      </c>
      <c r="T892" s="7" t="e">
        <f>IF(VLOOKUP($A892,'Concrete Beam Schedule'!$A$2:$Q$2902,T$2,0)&lt;&gt;D892,"Beam Revised","")</f>
        <v>#N/A</v>
      </c>
      <c r="U892" s="7" t="e">
        <f>IF(VLOOKUP($A892,'Concrete Beam Schedule'!$A$2:$Q$2902,U$2,0)&lt;&gt;E892,"Beam Revised","")</f>
        <v>#N/A</v>
      </c>
      <c r="V892" s="7" t="e">
        <f>IF(VLOOKUP($A892,'Concrete Beam Schedule'!$A$2:$Q$2902,V$2,0)&lt;&gt;F892,"Beam Revised","")</f>
        <v>#N/A</v>
      </c>
      <c r="W892" s="7" t="e">
        <f>IF(VLOOKUP($A892,'Concrete Beam Schedule'!$A$2:$Q$2902,W$2,0)&lt;&gt;G892,"Beam Revised","")</f>
        <v>#N/A</v>
      </c>
      <c r="X892" s="7" t="e">
        <f>IF(VLOOKUP($A892,'Concrete Beam Schedule'!$A$2:$Q$2902,X$2,0)&lt;&gt;H892,"Beam Revised","")</f>
        <v>#N/A</v>
      </c>
      <c r="Y892" s="7" t="e">
        <f>IF(VLOOKUP($A892,'Concrete Beam Schedule'!$A$2:$Q$2902,Y$2,0)&lt;&gt;I892,"Beam Revised","")</f>
        <v>#N/A</v>
      </c>
      <c r="Z892" s="7" t="e">
        <f>IF(VLOOKUP($A892,'Concrete Beam Schedule'!$A$2:$Q$2902,Z$2,0)&lt;&gt;J892,"Beam Revised","")</f>
        <v>#N/A</v>
      </c>
      <c r="AA892" s="7" t="e">
        <f>IF(VLOOKUP($A892,'Concrete Beam Schedule'!$A$2:$Q$2902,AA$2,0)&lt;&gt;K892,"Beam Revised","")</f>
        <v>#N/A</v>
      </c>
      <c r="AB892" s="7" t="e">
        <f>IF(VLOOKUP($A892,'Concrete Beam Schedule'!$A$2:$Q$2902,AB$2,0)&lt;&gt;L892,"Beam Revised","")</f>
        <v>#N/A</v>
      </c>
      <c r="AC892" s="7" t="e">
        <f>IF(VLOOKUP($A892,'Concrete Beam Schedule'!$A$2:$Q$2902,AC$2,0)&lt;&gt;M892,"Beam Revised","")</f>
        <v>#N/A</v>
      </c>
      <c r="AD892" s="7" t="e">
        <f>IF(VLOOKUP($A892,'Concrete Beam Schedule'!$A$2:$Q$2902,AD$2,0)&lt;&gt;N892,"Beam Revised","")</f>
        <v>#N/A</v>
      </c>
      <c r="AE892" s="7" t="e">
        <f>IF(VLOOKUP($A892,'Concrete Beam Schedule'!$A$2:$Q$2902,AE$2,0)&lt;&gt;O892,"Beam Revised","")</f>
        <v>#N/A</v>
      </c>
    </row>
    <row r="893" spans="17:31" ht="13.2" x14ac:dyDescent="0.25">
      <c r="Q893" s="7">
        <f t="shared" si="13"/>
        <v>0</v>
      </c>
      <c r="R893" s="7" t="e">
        <f>IF(VLOOKUP($A893,'Concrete Beam Schedule'!$A$2:$Q$2902,R$2,0)&lt;&gt;B893,VLOOKUP($A893,'Concrete Beam Schedule'!$A$2:$Q$2902,R$2,0),"")</f>
        <v>#N/A</v>
      </c>
      <c r="S893" s="7" t="e">
        <f>IF(VLOOKUP($A893,'Concrete Beam Schedule'!$A$2:$Q$2902,S$2,0)&lt;&gt;C893,VLOOKUP($A893,'Concrete Beam Schedule'!$A$2:$Q$2902,S$2,0),"")</f>
        <v>#N/A</v>
      </c>
      <c r="T893" s="7" t="e">
        <f>IF(VLOOKUP($A893,'Concrete Beam Schedule'!$A$2:$Q$2902,T$2,0)&lt;&gt;D893,"Beam Revised","")</f>
        <v>#N/A</v>
      </c>
      <c r="U893" s="7" t="e">
        <f>IF(VLOOKUP($A893,'Concrete Beam Schedule'!$A$2:$Q$2902,U$2,0)&lt;&gt;E893,"Beam Revised","")</f>
        <v>#N/A</v>
      </c>
      <c r="V893" s="7" t="e">
        <f>IF(VLOOKUP($A893,'Concrete Beam Schedule'!$A$2:$Q$2902,V$2,0)&lt;&gt;F893,"Beam Revised","")</f>
        <v>#N/A</v>
      </c>
      <c r="W893" s="7" t="e">
        <f>IF(VLOOKUP($A893,'Concrete Beam Schedule'!$A$2:$Q$2902,W$2,0)&lt;&gt;G893,"Beam Revised","")</f>
        <v>#N/A</v>
      </c>
      <c r="X893" s="7" t="e">
        <f>IF(VLOOKUP($A893,'Concrete Beam Schedule'!$A$2:$Q$2902,X$2,0)&lt;&gt;H893,"Beam Revised","")</f>
        <v>#N/A</v>
      </c>
      <c r="Y893" s="7" t="e">
        <f>IF(VLOOKUP($A893,'Concrete Beam Schedule'!$A$2:$Q$2902,Y$2,0)&lt;&gt;I893,"Beam Revised","")</f>
        <v>#N/A</v>
      </c>
      <c r="Z893" s="7" t="e">
        <f>IF(VLOOKUP($A893,'Concrete Beam Schedule'!$A$2:$Q$2902,Z$2,0)&lt;&gt;J893,"Beam Revised","")</f>
        <v>#N/A</v>
      </c>
      <c r="AA893" s="7" t="e">
        <f>IF(VLOOKUP($A893,'Concrete Beam Schedule'!$A$2:$Q$2902,AA$2,0)&lt;&gt;K893,"Beam Revised","")</f>
        <v>#N/A</v>
      </c>
      <c r="AB893" s="7" t="e">
        <f>IF(VLOOKUP($A893,'Concrete Beam Schedule'!$A$2:$Q$2902,AB$2,0)&lt;&gt;L893,"Beam Revised","")</f>
        <v>#N/A</v>
      </c>
      <c r="AC893" s="7" t="e">
        <f>IF(VLOOKUP($A893,'Concrete Beam Schedule'!$A$2:$Q$2902,AC$2,0)&lt;&gt;M893,"Beam Revised","")</f>
        <v>#N/A</v>
      </c>
      <c r="AD893" s="7" t="e">
        <f>IF(VLOOKUP($A893,'Concrete Beam Schedule'!$A$2:$Q$2902,AD$2,0)&lt;&gt;N893,"Beam Revised","")</f>
        <v>#N/A</v>
      </c>
      <c r="AE893" s="7" t="e">
        <f>IF(VLOOKUP($A893,'Concrete Beam Schedule'!$A$2:$Q$2902,AE$2,0)&lt;&gt;O893,"Beam Revised","")</f>
        <v>#N/A</v>
      </c>
    </row>
    <row r="894" spans="17:31" ht="13.2" x14ac:dyDescent="0.25">
      <c r="Q894" s="7">
        <f t="shared" si="13"/>
        <v>0</v>
      </c>
      <c r="R894" s="7" t="e">
        <f>IF(VLOOKUP($A894,'Concrete Beam Schedule'!$A$2:$Q$2902,R$2,0)&lt;&gt;B894,VLOOKUP($A894,'Concrete Beam Schedule'!$A$2:$Q$2902,R$2,0),"")</f>
        <v>#N/A</v>
      </c>
      <c r="S894" s="7" t="e">
        <f>IF(VLOOKUP($A894,'Concrete Beam Schedule'!$A$2:$Q$2902,S$2,0)&lt;&gt;C894,VLOOKUP($A894,'Concrete Beam Schedule'!$A$2:$Q$2902,S$2,0),"")</f>
        <v>#N/A</v>
      </c>
      <c r="T894" s="7" t="e">
        <f>IF(VLOOKUP($A894,'Concrete Beam Schedule'!$A$2:$Q$2902,T$2,0)&lt;&gt;D894,"Beam Revised","")</f>
        <v>#N/A</v>
      </c>
      <c r="U894" s="7" t="e">
        <f>IF(VLOOKUP($A894,'Concrete Beam Schedule'!$A$2:$Q$2902,U$2,0)&lt;&gt;E894,"Beam Revised","")</f>
        <v>#N/A</v>
      </c>
      <c r="V894" s="7" t="e">
        <f>IF(VLOOKUP($A894,'Concrete Beam Schedule'!$A$2:$Q$2902,V$2,0)&lt;&gt;F894,"Beam Revised","")</f>
        <v>#N/A</v>
      </c>
      <c r="W894" s="7" t="e">
        <f>IF(VLOOKUP($A894,'Concrete Beam Schedule'!$A$2:$Q$2902,W$2,0)&lt;&gt;G894,"Beam Revised","")</f>
        <v>#N/A</v>
      </c>
      <c r="X894" s="7" t="e">
        <f>IF(VLOOKUP($A894,'Concrete Beam Schedule'!$A$2:$Q$2902,X$2,0)&lt;&gt;H894,"Beam Revised","")</f>
        <v>#N/A</v>
      </c>
      <c r="Y894" s="7" t="e">
        <f>IF(VLOOKUP($A894,'Concrete Beam Schedule'!$A$2:$Q$2902,Y$2,0)&lt;&gt;I894,"Beam Revised","")</f>
        <v>#N/A</v>
      </c>
      <c r="Z894" s="7" t="e">
        <f>IF(VLOOKUP($A894,'Concrete Beam Schedule'!$A$2:$Q$2902,Z$2,0)&lt;&gt;J894,"Beam Revised","")</f>
        <v>#N/A</v>
      </c>
      <c r="AA894" s="7" t="e">
        <f>IF(VLOOKUP($A894,'Concrete Beam Schedule'!$A$2:$Q$2902,AA$2,0)&lt;&gt;K894,"Beam Revised","")</f>
        <v>#N/A</v>
      </c>
      <c r="AB894" s="7" t="e">
        <f>IF(VLOOKUP($A894,'Concrete Beam Schedule'!$A$2:$Q$2902,AB$2,0)&lt;&gt;L894,"Beam Revised","")</f>
        <v>#N/A</v>
      </c>
      <c r="AC894" s="7" t="e">
        <f>IF(VLOOKUP($A894,'Concrete Beam Schedule'!$A$2:$Q$2902,AC$2,0)&lt;&gt;M894,"Beam Revised","")</f>
        <v>#N/A</v>
      </c>
      <c r="AD894" s="7" t="e">
        <f>IF(VLOOKUP($A894,'Concrete Beam Schedule'!$A$2:$Q$2902,AD$2,0)&lt;&gt;N894,"Beam Revised","")</f>
        <v>#N/A</v>
      </c>
      <c r="AE894" s="7" t="e">
        <f>IF(VLOOKUP($A894,'Concrete Beam Schedule'!$A$2:$Q$2902,AE$2,0)&lt;&gt;O894,"Beam Revised","")</f>
        <v>#N/A</v>
      </c>
    </row>
    <row r="895" spans="17:31" ht="13.2" x14ac:dyDescent="0.25">
      <c r="Q895" s="7">
        <f t="shared" si="13"/>
        <v>0</v>
      </c>
      <c r="R895" s="7" t="e">
        <f>IF(VLOOKUP($A895,'Concrete Beam Schedule'!$A$2:$Q$2902,R$2,0)&lt;&gt;B895,VLOOKUP($A895,'Concrete Beam Schedule'!$A$2:$Q$2902,R$2,0),"")</f>
        <v>#N/A</v>
      </c>
      <c r="S895" s="7" t="e">
        <f>IF(VLOOKUP($A895,'Concrete Beam Schedule'!$A$2:$Q$2902,S$2,0)&lt;&gt;C895,VLOOKUP($A895,'Concrete Beam Schedule'!$A$2:$Q$2902,S$2,0),"")</f>
        <v>#N/A</v>
      </c>
      <c r="T895" s="7" t="e">
        <f>IF(VLOOKUP($A895,'Concrete Beam Schedule'!$A$2:$Q$2902,T$2,0)&lt;&gt;D895,"Beam Revised","")</f>
        <v>#N/A</v>
      </c>
      <c r="U895" s="7" t="e">
        <f>IF(VLOOKUP($A895,'Concrete Beam Schedule'!$A$2:$Q$2902,U$2,0)&lt;&gt;E895,"Beam Revised","")</f>
        <v>#N/A</v>
      </c>
      <c r="V895" s="7" t="e">
        <f>IF(VLOOKUP($A895,'Concrete Beam Schedule'!$A$2:$Q$2902,V$2,0)&lt;&gt;F895,"Beam Revised","")</f>
        <v>#N/A</v>
      </c>
      <c r="W895" s="7" t="e">
        <f>IF(VLOOKUP($A895,'Concrete Beam Schedule'!$A$2:$Q$2902,W$2,0)&lt;&gt;G895,"Beam Revised","")</f>
        <v>#N/A</v>
      </c>
      <c r="X895" s="7" t="e">
        <f>IF(VLOOKUP($A895,'Concrete Beam Schedule'!$A$2:$Q$2902,X$2,0)&lt;&gt;H895,"Beam Revised","")</f>
        <v>#N/A</v>
      </c>
      <c r="Y895" s="7" t="e">
        <f>IF(VLOOKUP($A895,'Concrete Beam Schedule'!$A$2:$Q$2902,Y$2,0)&lt;&gt;I895,"Beam Revised","")</f>
        <v>#N/A</v>
      </c>
      <c r="Z895" s="7" t="e">
        <f>IF(VLOOKUP($A895,'Concrete Beam Schedule'!$A$2:$Q$2902,Z$2,0)&lt;&gt;J895,"Beam Revised","")</f>
        <v>#N/A</v>
      </c>
      <c r="AA895" s="7" t="e">
        <f>IF(VLOOKUP($A895,'Concrete Beam Schedule'!$A$2:$Q$2902,AA$2,0)&lt;&gt;K895,"Beam Revised","")</f>
        <v>#N/A</v>
      </c>
      <c r="AB895" s="7" t="e">
        <f>IF(VLOOKUP($A895,'Concrete Beam Schedule'!$A$2:$Q$2902,AB$2,0)&lt;&gt;L895,"Beam Revised","")</f>
        <v>#N/A</v>
      </c>
      <c r="AC895" s="7" t="e">
        <f>IF(VLOOKUP($A895,'Concrete Beam Schedule'!$A$2:$Q$2902,AC$2,0)&lt;&gt;M895,"Beam Revised","")</f>
        <v>#N/A</v>
      </c>
      <c r="AD895" s="7" t="e">
        <f>IF(VLOOKUP($A895,'Concrete Beam Schedule'!$A$2:$Q$2902,AD$2,0)&lt;&gt;N895,"Beam Revised","")</f>
        <v>#N/A</v>
      </c>
      <c r="AE895" s="7" t="e">
        <f>IF(VLOOKUP($A895,'Concrete Beam Schedule'!$A$2:$Q$2902,AE$2,0)&lt;&gt;O895,"Beam Revised","")</f>
        <v>#N/A</v>
      </c>
    </row>
    <row r="896" spans="17:31" ht="13.2" x14ac:dyDescent="0.25">
      <c r="Q896" s="7">
        <f t="shared" si="13"/>
        <v>0</v>
      </c>
      <c r="R896" s="7" t="e">
        <f>IF(VLOOKUP($A896,'Concrete Beam Schedule'!$A$2:$Q$2902,R$2,0)&lt;&gt;B896,VLOOKUP($A896,'Concrete Beam Schedule'!$A$2:$Q$2902,R$2,0),"")</f>
        <v>#N/A</v>
      </c>
      <c r="S896" s="7" t="e">
        <f>IF(VLOOKUP($A896,'Concrete Beam Schedule'!$A$2:$Q$2902,S$2,0)&lt;&gt;C896,VLOOKUP($A896,'Concrete Beam Schedule'!$A$2:$Q$2902,S$2,0),"")</f>
        <v>#N/A</v>
      </c>
      <c r="T896" s="7" t="e">
        <f>IF(VLOOKUP($A896,'Concrete Beam Schedule'!$A$2:$Q$2902,T$2,0)&lt;&gt;D896,"Beam Revised","")</f>
        <v>#N/A</v>
      </c>
      <c r="U896" s="7" t="e">
        <f>IF(VLOOKUP($A896,'Concrete Beam Schedule'!$A$2:$Q$2902,U$2,0)&lt;&gt;E896,"Beam Revised","")</f>
        <v>#N/A</v>
      </c>
      <c r="V896" s="7" t="e">
        <f>IF(VLOOKUP($A896,'Concrete Beam Schedule'!$A$2:$Q$2902,V$2,0)&lt;&gt;F896,"Beam Revised","")</f>
        <v>#N/A</v>
      </c>
      <c r="W896" s="7" t="e">
        <f>IF(VLOOKUP($A896,'Concrete Beam Schedule'!$A$2:$Q$2902,W$2,0)&lt;&gt;G896,"Beam Revised","")</f>
        <v>#N/A</v>
      </c>
      <c r="X896" s="7" t="e">
        <f>IF(VLOOKUP($A896,'Concrete Beam Schedule'!$A$2:$Q$2902,X$2,0)&lt;&gt;H896,"Beam Revised","")</f>
        <v>#N/A</v>
      </c>
      <c r="Y896" s="7" t="e">
        <f>IF(VLOOKUP($A896,'Concrete Beam Schedule'!$A$2:$Q$2902,Y$2,0)&lt;&gt;I896,"Beam Revised","")</f>
        <v>#N/A</v>
      </c>
      <c r="Z896" s="7" t="e">
        <f>IF(VLOOKUP($A896,'Concrete Beam Schedule'!$A$2:$Q$2902,Z$2,0)&lt;&gt;J896,"Beam Revised","")</f>
        <v>#N/A</v>
      </c>
      <c r="AA896" s="7" t="e">
        <f>IF(VLOOKUP($A896,'Concrete Beam Schedule'!$A$2:$Q$2902,AA$2,0)&lt;&gt;K896,"Beam Revised","")</f>
        <v>#N/A</v>
      </c>
      <c r="AB896" s="7" t="e">
        <f>IF(VLOOKUP($A896,'Concrete Beam Schedule'!$A$2:$Q$2902,AB$2,0)&lt;&gt;L896,"Beam Revised","")</f>
        <v>#N/A</v>
      </c>
      <c r="AC896" s="7" t="e">
        <f>IF(VLOOKUP($A896,'Concrete Beam Schedule'!$A$2:$Q$2902,AC$2,0)&lt;&gt;M896,"Beam Revised","")</f>
        <v>#N/A</v>
      </c>
      <c r="AD896" s="7" t="e">
        <f>IF(VLOOKUP($A896,'Concrete Beam Schedule'!$A$2:$Q$2902,AD$2,0)&lt;&gt;N896,"Beam Revised","")</f>
        <v>#N/A</v>
      </c>
      <c r="AE896" s="7" t="e">
        <f>IF(VLOOKUP($A896,'Concrete Beam Schedule'!$A$2:$Q$2902,AE$2,0)&lt;&gt;O896,"Beam Revised","")</f>
        <v>#N/A</v>
      </c>
    </row>
    <row r="897" spans="17:31" ht="13.2" x14ac:dyDescent="0.25">
      <c r="Q897" s="7">
        <f t="shared" si="13"/>
        <v>0</v>
      </c>
      <c r="R897" s="7" t="e">
        <f>IF(VLOOKUP($A897,'Concrete Beam Schedule'!$A$2:$Q$2902,R$2,0)&lt;&gt;B897,VLOOKUP($A897,'Concrete Beam Schedule'!$A$2:$Q$2902,R$2,0),"")</f>
        <v>#N/A</v>
      </c>
      <c r="S897" s="7" t="e">
        <f>IF(VLOOKUP($A897,'Concrete Beam Schedule'!$A$2:$Q$2902,S$2,0)&lt;&gt;C897,VLOOKUP($A897,'Concrete Beam Schedule'!$A$2:$Q$2902,S$2,0),"")</f>
        <v>#N/A</v>
      </c>
      <c r="T897" s="7" t="e">
        <f>IF(VLOOKUP($A897,'Concrete Beam Schedule'!$A$2:$Q$2902,T$2,0)&lt;&gt;D897,"Beam Revised","")</f>
        <v>#N/A</v>
      </c>
      <c r="U897" s="7" t="e">
        <f>IF(VLOOKUP($A897,'Concrete Beam Schedule'!$A$2:$Q$2902,U$2,0)&lt;&gt;E897,"Beam Revised","")</f>
        <v>#N/A</v>
      </c>
      <c r="V897" s="7" t="e">
        <f>IF(VLOOKUP($A897,'Concrete Beam Schedule'!$A$2:$Q$2902,V$2,0)&lt;&gt;F897,"Beam Revised","")</f>
        <v>#N/A</v>
      </c>
      <c r="W897" s="7" t="e">
        <f>IF(VLOOKUP($A897,'Concrete Beam Schedule'!$A$2:$Q$2902,W$2,0)&lt;&gt;G897,"Beam Revised","")</f>
        <v>#N/A</v>
      </c>
      <c r="X897" s="7" t="e">
        <f>IF(VLOOKUP($A897,'Concrete Beam Schedule'!$A$2:$Q$2902,X$2,0)&lt;&gt;H897,"Beam Revised","")</f>
        <v>#N/A</v>
      </c>
      <c r="Y897" s="7" t="e">
        <f>IF(VLOOKUP($A897,'Concrete Beam Schedule'!$A$2:$Q$2902,Y$2,0)&lt;&gt;I897,"Beam Revised","")</f>
        <v>#N/A</v>
      </c>
      <c r="Z897" s="7" t="e">
        <f>IF(VLOOKUP($A897,'Concrete Beam Schedule'!$A$2:$Q$2902,Z$2,0)&lt;&gt;J897,"Beam Revised","")</f>
        <v>#N/A</v>
      </c>
      <c r="AA897" s="7" t="e">
        <f>IF(VLOOKUP($A897,'Concrete Beam Schedule'!$A$2:$Q$2902,AA$2,0)&lt;&gt;K897,"Beam Revised","")</f>
        <v>#N/A</v>
      </c>
      <c r="AB897" s="7" t="e">
        <f>IF(VLOOKUP($A897,'Concrete Beam Schedule'!$A$2:$Q$2902,AB$2,0)&lt;&gt;L897,"Beam Revised","")</f>
        <v>#N/A</v>
      </c>
      <c r="AC897" s="7" t="e">
        <f>IF(VLOOKUP($A897,'Concrete Beam Schedule'!$A$2:$Q$2902,AC$2,0)&lt;&gt;M897,"Beam Revised","")</f>
        <v>#N/A</v>
      </c>
      <c r="AD897" s="7" t="e">
        <f>IF(VLOOKUP($A897,'Concrete Beam Schedule'!$A$2:$Q$2902,AD$2,0)&lt;&gt;N897,"Beam Revised","")</f>
        <v>#N/A</v>
      </c>
      <c r="AE897" s="7" t="e">
        <f>IF(VLOOKUP($A897,'Concrete Beam Schedule'!$A$2:$Q$2902,AE$2,0)&lt;&gt;O897,"Beam Revised","")</f>
        <v>#N/A</v>
      </c>
    </row>
    <row r="898" spans="17:31" ht="13.2" x14ac:dyDescent="0.25">
      <c r="Q898" s="7">
        <f t="shared" si="13"/>
        <v>0</v>
      </c>
      <c r="R898" s="7" t="e">
        <f>IF(VLOOKUP($A898,'Concrete Beam Schedule'!$A$2:$Q$2902,R$2,0)&lt;&gt;B898,VLOOKUP($A898,'Concrete Beam Schedule'!$A$2:$Q$2902,R$2,0),"")</f>
        <v>#N/A</v>
      </c>
      <c r="S898" s="7" t="e">
        <f>IF(VLOOKUP($A898,'Concrete Beam Schedule'!$A$2:$Q$2902,S$2,0)&lt;&gt;C898,VLOOKUP($A898,'Concrete Beam Schedule'!$A$2:$Q$2902,S$2,0),"")</f>
        <v>#N/A</v>
      </c>
      <c r="T898" s="7" t="e">
        <f>IF(VLOOKUP($A898,'Concrete Beam Schedule'!$A$2:$Q$2902,T$2,0)&lt;&gt;D898,"Beam Revised","")</f>
        <v>#N/A</v>
      </c>
      <c r="U898" s="7" t="e">
        <f>IF(VLOOKUP($A898,'Concrete Beam Schedule'!$A$2:$Q$2902,U$2,0)&lt;&gt;E898,"Beam Revised","")</f>
        <v>#N/A</v>
      </c>
      <c r="V898" s="7" t="e">
        <f>IF(VLOOKUP($A898,'Concrete Beam Schedule'!$A$2:$Q$2902,V$2,0)&lt;&gt;F898,"Beam Revised","")</f>
        <v>#N/A</v>
      </c>
      <c r="W898" s="7" t="e">
        <f>IF(VLOOKUP($A898,'Concrete Beam Schedule'!$A$2:$Q$2902,W$2,0)&lt;&gt;G898,"Beam Revised","")</f>
        <v>#N/A</v>
      </c>
      <c r="X898" s="7" t="e">
        <f>IF(VLOOKUP($A898,'Concrete Beam Schedule'!$A$2:$Q$2902,X$2,0)&lt;&gt;H898,"Beam Revised","")</f>
        <v>#N/A</v>
      </c>
      <c r="Y898" s="7" t="e">
        <f>IF(VLOOKUP($A898,'Concrete Beam Schedule'!$A$2:$Q$2902,Y$2,0)&lt;&gt;I898,"Beam Revised","")</f>
        <v>#N/A</v>
      </c>
      <c r="Z898" s="7" t="e">
        <f>IF(VLOOKUP($A898,'Concrete Beam Schedule'!$A$2:$Q$2902,Z$2,0)&lt;&gt;J898,"Beam Revised","")</f>
        <v>#N/A</v>
      </c>
      <c r="AA898" s="7" t="e">
        <f>IF(VLOOKUP($A898,'Concrete Beam Schedule'!$A$2:$Q$2902,AA$2,0)&lt;&gt;K898,"Beam Revised","")</f>
        <v>#N/A</v>
      </c>
      <c r="AB898" s="7" t="e">
        <f>IF(VLOOKUP($A898,'Concrete Beam Schedule'!$A$2:$Q$2902,AB$2,0)&lt;&gt;L898,"Beam Revised","")</f>
        <v>#N/A</v>
      </c>
      <c r="AC898" s="7" t="e">
        <f>IF(VLOOKUP($A898,'Concrete Beam Schedule'!$A$2:$Q$2902,AC$2,0)&lt;&gt;M898,"Beam Revised","")</f>
        <v>#N/A</v>
      </c>
      <c r="AD898" s="7" t="e">
        <f>IF(VLOOKUP($A898,'Concrete Beam Schedule'!$A$2:$Q$2902,AD$2,0)&lt;&gt;N898,"Beam Revised","")</f>
        <v>#N/A</v>
      </c>
      <c r="AE898" s="7" t="e">
        <f>IF(VLOOKUP($A898,'Concrete Beam Schedule'!$A$2:$Q$2902,AE$2,0)&lt;&gt;O898,"Beam Revised","")</f>
        <v>#N/A</v>
      </c>
    </row>
    <row r="899" spans="17:31" ht="13.2" x14ac:dyDescent="0.25">
      <c r="Q899" s="7">
        <f t="shared" si="13"/>
        <v>0</v>
      </c>
      <c r="R899" s="7" t="e">
        <f>IF(VLOOKUP($A899,'Concrete Beam Schedule'!$A$2:$Q$2902,R$2,0)&lt;&gt;B899,VLOOKUP($A899,'Concrete Beam Schedule'!$A$2:$Q$2902,R$2,0),"")</f>
        <v>#N/A</v>
      </c>
      <c r="S899" s="7" t="e">
        <f>IF(VLOOKUP($A899,'Concrete Beam Schedule'!$A$2:$Q$2902,S$2,0)&lt;&gt;C899,VLOOKUP($A899,'Concrete Beam Schedule'!$A$2:$Q$2902,S$2,0),"")</f>
        <v>#N/A</v>
      </c>
      <c r="T899" s="7" t="e">
        <f>IF(VLOOKUP($A899,'Concrete Beam Schedule'!$A$2:$Q$2902,T$2,0)&lt;&gt;D899,"Beam Revised","")</f>
        <v>#N/A</v>
      </c>
      <c r="U899" s="7" t="e">
        <f>IF(VLOOKUP($A899,'Concrete Beam Schedule'!$A$2:$Q$2902,U$2,0)&lt;&gt;E899,"Beam Revised","")</f>
        <v>#N/A</v>
      </c>
      <c r="V899" s="7" t="e">
        <f>IF(VLOOKUP($A899,'Concrete Beam Schedule'!$A$2:$Q$2902,V$2,0)&lt;&gt;F899,"Beam Revised","")</f>
        <v>#N/A</v>
      </c>
      <c r="W899" s="7" t="e">
        <f>IF(VLOOKUP($A899,'Concrete Beam Schedule'!$A$2:$Q$2902,W$2,0)&lt;&gt;G899,"Beam Revised","")</f>
        <v>#N/A</v>
      </c>
      <c r="X899" s="7" t="e">
        <f>IF(VLOOKUP($A899,'Concrete Beam Schedule'!$A$2:$Q$2902,X$2,0)&lt;&gt;H899,"Beam Revised","")</f>
        <v>#N/A</v>
      </c>
      <c r="Y899" s="7" t="e">
        <f>IF(VLOOKUP($A899,'Concrete Beam Schedule'!$A$2:$Q$2902,Y$2,0)&lt;&gt;I899,"Beam Revised","")</f>
        <v>#N/A</v>
      </c>
      <c r="Z899" s="7" t="e">
        <f>IF(VLOOKUP($A899,'Concrete Beam Schedule'!$A$2:$Q$2902,Z$2,0)&lt;&gt;J899,"Beam Revised","")</f>
        <v>#N/A</v>
      </c>
      <c r="AA899" s="7" t="e">
        <f>IF(VLOOKUP($A899,'Concrete Beam Schedule'!$A$2:$Q$2902,AA$2,0)&lt;&gt;K899,"Beam Revised","")</f>
        <v>#N/A</v>
      </c>
      <c r="AB899" s="7" t="e">
        <f>IF(VLOOKUP($A899,'Concrete Beam Schedule'!$A$2:$Q$2902,AB$2,0)&lt;&gt;L899,"Beam Revised","")</f>
        <v>#N/A</v>
      </c>
      <c r="AC899" s="7" t="e">
        <f>IF(VLOOKUP($A899,'Concrete Beam Schedule'!$A$2:$Q$2902,AC$2,0)&lt;&gt;M899,"Beam Revised","")</f>
        <v>#N/A</v>
      </c>
      <c r="AD899" s="7" t="e">
        <f>IF(VLOOKUP($A899,'Concrete Beam Schedule'!$A$2:$Q$2902,AD$2,0)&lt;&gt;N899,"Beam Revised","")</f>
        <v>#N/A</v>
      </c>
      <c r="AE899" s="7" t="e">
        <f>IF(VLOOKUP($A899,'Concrete Beam Schedule'!$A$2:$Q$2902,AE$2,0)&lt;&gt;O899,"Beam Revised","")</f>
        <v>#N/A</v>
      </c>
    </row>
    <row r="900" spans="17:31" ht="13.2" x14ac:dyDescent="0.25">
      <c r="Q900" s="7">
        <f t="shared" ref="Q900:Q963" si="14">A900</f>
        <v>0</v>
      </c>
      <c r="R900" s="7" t="e">
        <f>IF(VLOOKUP($A900,'Concrete Beam Schedule'!$A$2:$Q$2902,R$2,0)&lt;&gt;B900,VLOOKUP($A900,'Concrete Beam Schedule'!$A$2:$Q$2902,R$2,0),"")</f>
        <v>#N/A</v>
      </c>
      <c r="S900" s="7" t="e">
        <f>IF(VLOOKUP($A900,'Concrete Beam Schedule'!$A$2:$Q$2902,S$2,0)&lt;&gt;C900,VLOOKUP($A900,'Concrete Beam Schedule'!$A$2:$Q$2902,S$2,0),"")</f>
        <v>#N/A</v>
      </c>
      <c r="T900" s="7" t="e">
        <f>IF(VLOOKUP($A900,'Concrete Beam Schedule'!$A$2:$Q$2902,T$2,0)&lt;&gt;D900,"Beam Revised","")</f>
        <v>#N/A</v>
      </c>
      <c r="U900" s="7" t="e">
        <f>IF(VLOOKUP($A900,'Concrete Beam Schedule'!$A$2:$Q$2902,U$2,0)&lt;&gt;E900,"Beam Revised","")</f>
        <v>#N/A</v>
      </c>
      <c r="V900" s="7" t="e">
        <f>IF(VLOOKUP($A900,'Concrete Beam Schedule'!$A$2:$Q$2902,V$2,0)&lt;&gt;F900,"Beam Revised","")</f>
        <v>#N/A</v>
      </c>
      <c r="W900" s="7" t="e">
        <f>IF(VLOOKUP($A900,'Concrete Beam Schedule'!$A$2:$Q$2902,W$2,0)&lt;&gt;G900,"Beam Revised","")</f>
        <v>#N/A</v>
      </c>
      <c r="X900" s="7" t="e">
        <f>IF(VLOOKUP($A900,'Concrete Beam Schedule'!$A$2:$Q$2902,X$2,0)&lt;&gt;H900,"Beam Revised","")</f>
        <v>#N/A</v>
      </c>
      <c r="Y900" s="7" t="e">
        <f>IF(VLOOKUP($A900,'Concrete Beam Schedule'!$A$2:$Q$2902,Y$2,0)&lt;&gt;I900,"Beam Revised","")</f>
        <v>#N/A</v>
      </c>
      <c r="Z900" s="7" t="e">
        <f>IF(VLOOKUP($A900,'Concrete Beam Schedule'!$A$2:$Q$2902,Z$2,0)&lt;&gt;J900,"Beam Revised","")</f>
        <v>#N/A</v>
      </c>
      <c r="AA900" s="7" t="e">
        <f>IF(VLOOKUP($A900,'Concrete Beam Schedule'!$A$2:$Q$2902,AA$2,0)&lt;&gt;K900,"Beam Revised","")</f>
        <v>#N/A</v>
      </c>
      <c r="AB900" s="7" t="e">
        <f>IF(VLOOKUP($A900,'Concrete Beam Schedule'!$A$2:$Q$2902,AB$2,0)&lt;&gt;L900,"Beam Revised","")</f>
        <v>#N/A</v>
      </c>
      <c r="AC900" s="7" t="e">
        <f>IF(VLOOKUP($A900,'Concrete Beam Schedule'!$A$2:$Q$2902,AC$2,0)&lt;&gt;M900,"Beam Revised","")</f>
        <v>#N/A</v>
      </c>
      <c r="AD900" s="7" t="e">
        <f>IF(VLOOKUP($A900,'Concrete Beam Schedule'!$A$2:$Q$2902,AD$2,0)&lt;&gt;N900,"Beam Revised","")</f>
        <v>#N/A</v>
      </c>
      <c r="AE900" s="7" t="e">
        <f>IF(VLOOKUP($A900,'Concrete Beam Schedule'!$A$2:$Q$2902,AE$2,0)&lt;&gt;O900,"Beam Revised","")</f>
        <v>#N/A</v>
      </c>
    </row>
    <row r="901" spans="17:31" ht="13.2" x14ac:dyDescent="0.25">
      <c r="Q901" s="7">
        <f t="shared" si="14"/>
        <v>0</v>
      </c>
      <c r="R901" s="7" t="e">
        <f>IF(VLOOKUP($A901,'Concrete Beam Schedule'!$A$2:$Q$2902,R$2,0)&lt;&gt;B901,VLOOKUP($A901,'Concrete Beam Schedule'!$A$2:$Q$2902,R$2,0),"")</f>
        <v>#N/A</v>
      </c>
      <c r="S901" s="7" t="e">
        <f>IF(VLOOKUP($A901,'Concrete Beam Schedule'!$A$2:$Q$2902,S$2,0)&lt;&gt;C901,VLOOKUP($A901,'Concrete Beam Schedule'!$A$2:$Q$2902,S$2,0),"")</f>
        <v>#N/A</v>
      </c>
      <c r="T901" s="7" t="e">
        <f>IF(VLOOKUP($A901,'Concrete Beam Schedule'!$A$2:$Q$2902,T$2,0)&lt;&gt;D901,"Beam Revised","")</f>
        <v>#N/A</v>
      </c>
      <c r="U901" s="7" t="e">
        <f>IF(VLOOKUP($A901,'Concrete Beam Schedule'!$A$2:$Q$2902,U$2,0)&lt;&gt;E901,"Beam Revised","")</f>
        <v>#N/A</v>
      </c>
      <c r="V901" s="7" t="e">
        <f>IF(VLOOKUP($A901,'Concrete Beam Schedule'!$A$2:$Q$2902,V$2,0)&lt;&gt;F901,"Beam Revised","")</f>
        <v>#N/A</v>
      </c>
      <c r="W901" s="7" t="e">
        <f>IF(VLOOKUP($A901,'Concrete Beam Schedule'!$A$2:$Q$2902,W$2,0)&lt;&gt;G901,"Beam Revised","")</f>
        <v>#N/A</v>
      </c>
      <c r="X901" s="7" t="e">
        <f>IF(VLOOKUP($A901,'Concrete Beam Schedule'!$A$2:$Q$2902,X$2,0)&lt;&gt;H901,"Beam Revised","")</f>
        <v>#N/A</v>
      </c>
      <c r="Y901" s="7" t="e">
        <f>IF(VLOOKUP($A901,'Concrete Beam Schedule'!$A$2:$Q$2902,Y$2,0)&lt;&gt;I901,"Beam Revised","")</f>
        <v>#N/A</v>
      </c>
      <c r="Z901" s="7" t="e">
        <f>IF(VLOOKUP($A901,'Concrete Beam Schedule'!$A$2:$Q$2902,Z$2,0)&lt;&gt;J901,"Beam Revised","")</f>
        <v>#N/A</v>
      </c>
      <c r="AA901" s="7" t="e">
        <f>IF(VLOOKUP($A901,'Concrete Beam Schedule'!$A$2:$Q$2902,AA$2,0)&lt;&gt;K901,"Beam Revised","")</f>
        <v>#N/A</v>
      </c>
      <c r="AB901" s="7" t="e">
        <f>IF(VLOOKUP($A901,'Concrete Beam Schedule'!$A$2:$Q$2902,AB$2,0)&lt;&gt;L901,"Beam Revised","")</f>
        <v>#N/A</v>
      </c>
      <c r="AC901" s="7" t="e">
        <f>IF(VLOOKUP($A901,'Concrete Beam Schedule'!$A$2:$Q$2902,AC$2,0)&lt;&gt;M901,"Beam Revised","")</f>
        <v>#N/A</v>
      </c>
      <c r="AD901" s="7" t="e">
        <f>IF(VLOOKUP($A901,'Concrete Beam Schedule'!$A$2:$Q$2902,AD$2,0)&lt;&gt;N901,"Beam Revised","")</f>
        <v>#N/A</v>
      </c>
      <c r="AE901" s="7" t="e">
        <f>IF(VLOOKUP($A901,'Concrete Beam Schedule'!$A$2:$Q$2902,AE$2,0)&lt;&gt;O901,"Beam Revised","")</f>
        <v>#N/A</v>
      </c>
    </row>
    <row r="902" spans="17:31" ht="13.2" x14ac:dyDescent="0.25">
      <c r="Q902" s="7">
        <f t="shared" si="14"/>
        <v>0</v>
      </c>
      <c r="R902" s="7" t="e">
        <f>IF(VLOOKUP($A902,'Concrete Beam Schedule'!$A$2:$Q$2902,R$2,0)&lt;&gt;B902,VLOOKUP($A902,'Concrete Beam Schedule'!$A$2:$Q$2902,R$2,0),"")</f>
        <v>#N/A</v>
      </c>
      <c r="S902" s="7" t="e">
        <f>IF(VLOOKUP($A902,'Concrete Beam Schedule'!$A$2:$Q$2902,S$2,0)&lt;&gt;C902,VLOOKUP($A902,'Concrete Beam Schedule'!$A$2:$Q$2902,S$2,0),"")</f>
        <v>#N/A</v>
      </c>
      <c r="T902" s="7" t="e">
        <f>IF(VLOOKUP($A902,'Concrete Beam Schedule'!$A$2:$Q$2902,T$2,0)&lt;&gt;D902,"Beam Revised","")</f>
        <v>#N/A</v>
      </c>
      <c r="U902" s="7" t="e">
        <f>IF(VLOOKUP($A902,'Concrete Beam Schedule'!$A$2:$Q$2902,U$2,0)&lt;&gt;E902,"Beam Revised","")</f>
        <v>#N/A</v>
      </c>
      <c r="V902" s="7" t="e">
        <f>IF(VLOOKUP($A902,'Concrete Beam Schedule'!$A$2:$Q$2902,V$2,0)&lt;&gt;F902,"Beam Revised","")</f>
        <v>#N/A</v>
      </c>
      <c r="W902" s="7" t="e">
        <f>IF(VLOOKUP($A902,'Concrete Beam Schedule'!$A$2:$Q$2902,W$2,0)&lt;&gt;G902,"Beam Revised","")</f>
        <v>#N/A</v>
      </c>
      <c r="X902" s="7" t="e">
        <f>IF(VLOOKUP($A902,'Concrete Beam Schedule'!$A$2:$Q$2902,X$2,0)&lt;&gt;H902,"Beam Revised","")</f>
        <v>#N/A</v>
      </c>
      <c r="Y902" s="7" t="e">
        <f>IF(VLOOKUP($A902,'Concrete Beam Schedule'!$A$2:$Q$2902,Y$2,0)&lt;&gt;I902,"Beam Revised","")</f>
        <v>#N/A</v>
      </c>
      <c r="Z902" s="7" t="e">
        <f>IF(VLOOKUP($A902,'Concrete Beam Schedule'!$A$2:$Q$2902,Z$2,0)&lt;&gt;J902,"Beam Revised","")</f>
        <v>#N/A</v>
      </c>
      <c r="AA902" s="7" t="e">
        <f>IF(VLOOKUP($A902,'Concrete Beam Schedule'!$A$2:$Q$2902,AA$2,0)&lt;&gt;K902,"Beam Revised","")</f>
        <v>#N/A</v>
      </c>
      <c r="AB902" s="7" t="e">
        <f>IF(VLOOKUP($A902,'Concrete Beam Schedule'!$A$2:$Q$2902,AB$2,0)&lt;&gt;L902,"Beam Revised","")</f>
        <v>#N/A</v>
      </c>
      <c r="AC902" s="7" t="e">
        <f>IF(VLOOKUP($A902,'Concrete Beam Schedule'!$A$2:$Q$2902,AC$2,0)&lt;&gt;M902,"Beam Revised","")</f>
        <v>#N/A</v>
      </c>
      <c r="AD902" s="7" t="e">
        <f>IF(VLOOKUP($A902,'Concrete Beam Schedule'!$A$2:$Q$2902,AD$2,0)&lt;&gt;N902,"Beam Revised","")</f>
        <v>#N/A</v>
      </c>
      <c r="AE902" s="7" t="e">
        <f>IF(VLOOKUP($A902,'Concrete Beam Schedule'!$A$2:$Q$2902,AE$2,0)&lt;&gt;O902,"Beam Revised","")</f>
        <v>#N/A</v>
      </c>
    </row>
    <row r="903" spans="17:31" ht="13.2" x14ac:dyDescent="0.25">
      <c r="Q903" s="7">
        <f t="shared" si="14"/>
        <v>0</v>
      </c>
      <c r="R903" s="7" t="e">
        <f>IF(VLOOKUP($A903,'Concrete Beam Schedule'!$A$2:$Q$2902,R$2,0)&lt;&gt;B903,VLOOKUP($A903,'Concrete Beam Schedule'!$A$2:$Q$2902,R$2,0),"")</f>
        <v>#N/A</v>
      </c>
      <c r="S903" s="7" t="e">
        <f>IF(VLOOKUP($A903,'Concrete Beam Schedule'!$A$2:$Q$2902,S$2,0)&lt;&gt;C903,VLOOKUP($A903,'Concrete Beam Schedule'!$A$2:$Q$2902,S$2,0),"")</f>
        <v>#N/A</v>
      </c>
      <c r="T903" s="7" t="e">
        <f>IF(VLOOKUP($A903,'Concrete Beam Schedule'!$A$2:$Q$2902,T$2,0)&lt;&gt;D903,"Beam Revised","")</f>
        <v>#N/A</v>
      </c>
      <c r="U903" s="7" t="e">
        <f>IF(VLOOKUP($A903,'Concrete Beam Schedule'!$A$2:$Q$2902,U$2,0)&lt;&gt;E903,"Beam Revised","")</f>
        <v>#N/A</v>
      </c>
      <c r="V903" s="7" t="e">
        <f>IF(VLOOKUP($A903,'Concrete Beam Schedule'!$A$2:$Q$2902,V$2,0)&lt;&gt;F903,"Beam Revised","")</f>
        <v>#N/A</v>
      </c>
      <c r="W903" s="7" t="e">
        <f>IF(VLOOKUP($A903,'Concrete Beam Schedule'!$A$2:$Q$2902,W$2,0)&lt;&gt;G903,"Beam Revised","")</f>
        <v>#N/A</v>
      </c>
      <c r="X903" s="7" t="e">
        <f>IF(VLOOKUP($A903,'Concrete Beam Schedule'!$A$2:$Q$2902,X$2,0)&lt;&gt;H903,"Beam Revised","")</f>
        <v>#N/A</v>
      </c>
      <c r="Y903" s="7" t="e">
        <f>IF(VLOOKUP($A903,'Concrete Beam Schedule'!$A$2:$Q$2902,Y$2,0)&lt;&gt;I903,"Beam Revised","")</f>
        <v>#N/A</v>
      </c>
      <c r="Z903" s="7" t="e">
        <f>IF(VLOOKUP($A903,'Concrete Beam Schedule'!$A$2:$Q$2902,Z$2,0)&lt;&gt;J903,"Beam Revised","")</f>
        <v>#N/A</v>
      </c>
      <c r="AA903" s="7" t="e">
        <f>IF(VLOOKUP($A903,'Concrete Beam Schedule'!$A$2:$Q$2902,AA$2,0)&lt;&gt;K903,"Beam Revised","")</f>
        <v>#N/A</v>
      </c>
      <c r="AB903" s="7" t="e">
        <f>IF(VLOOKUP($A903,'Concrete Beam Schedule'!$A$2:$Q$2902,AB$2,0)&lt;&gt;L903,"Beam Revised","")</f>
        <v>#N/A</v>
      </c>
      <c r="AC903" s="7" t="e">
        <f>IF(VLOOKUP($A903,'Concrete Beam Schedule'!$A$2:$Q$2902,AC$2,0)&lt;&gt;M903,"Beam Revised","")</f>
        <v>#N/A</v>
      </c>
      <c r="AD903" s="7" t="e">
        <f>IF(VLOOKUP($A903,'Concrete Beam Schedule'!$A$2:$Q$2902,AD$2,0)&lt;&gt;N903,"Beam Revised","")</f>
        <v>#N/A</v>
      </c>
      <c r="AE903" s="7" t="e">
        <f>IF(VLOOKUP($A903,'Concrete Beam Schedule'!$A$2:$Q$2902,AE$2,0)&lt;&gt;O903,"Beam Revised","")</f>
        <v>#N/A</v>
      </c>
    </row>
    <row r="904" spans="17:31" ht="13.2" x14ac:dyDescent="0.25">
      <c r="Q904" s="7">
        <f t="shared" si="14"/>
        <v>0</v>
      </c>
      <c r="R904" s="7" t="e">
        <f>IF(VLOOKUP($A904,'Concrete Beam Schedule'!$A$2:$Q$2902,R$2,0)&lt;&gt;B904,VLOOKUP($A904,'Concrete Beam Schedule'!$A$2:$Q$2902,R$2,0),"")</f>
        <v>#N/A</v>
      </c>
      <c r="S904" s="7" t="e">
        <f>IF(VLOOKUP($A904,'Concrete Beam Schedule'!$A$2:$Q$2902,S$2,0)&lt;&gt;C904,VLOOKUP($A904,'Concrete Beam Schedule'!$A$2:$Q$2902,S$2,0),"")</f>
        <v>#N/A</v>
      </c>
      <c r="T904" s="7" t="e">
        <f>IF(VLOOKUP($A904,'Concrete Beam Schedule'!$A$2:$Q$2902,T$2,0)&lt;&gt;D904,"Beam Revised","")</f>
        <v>#N/A</v>
      </c>
      <c r="U904" s="7" t="e">
        <f>IF(VLOOKUP($A904,'Concrete Beam Schedule'!$A$2:$Q$2902,U$2,0)&lt;&gt;E904,"Beam Revised","")</f>
        <v>#N/A</v>
      </c>
      <c r="V904" s="7" t="e">
        <f>IF(VLOOKUP($A904,'Concrete Beam Schedule'!$A$2:$Q$2902,V$2,0)&lt;&gt;F904,"Beam Revised","")</f>
        <v>#N/A</v>
      </c>
      <c r="W904" s="7" t="e">
        <f>IF(VLOOKUP($A904,'Concrete Beam Schedule'!$A$2:$Q$2902,W$2,0)&lt;&gt;G904,"Beam Revised","")</f>
        <v>#N/A</v>
      </c>
      <c r="X904" s="7" t="e">
        <f>IF(VLOOKUP($A904,'Concrete Beam Schedule'!$A$2:$Q$2902,X$2,0)&lt;&gt;H904,"Beam Revised","")</f>
        <v>#N/A</v>
      </c>
      <c r="Y904" s="7" t="e">
        <f>IF(VLOOKUP($A904,'Concrete Beam Schedule'!$A$2:$Q$2902,Y$2,0)&lt;&gt;I904,"Beam Revised","")</f>
        <v>#N/A</v>
      </c>
      <c r="Z904" s="7" t="e">
        <f>IF(VLOOKUP($A904,'Concrete Beam Schedule'!$A$2:$Q$2902,Z$2,0)&lt;&gt;J904,"Beam Revised","")</f>
        <v>#N/A</v>
      </c>
      <c r="AA904" s="7" t="e">
        <f>IF(VLOOKUP($A904,'Concrete Beam Schedule'!$A$2:$Q$2902,AA$2,0)&lt;&gt;K904,"Beam Revised","")</f>
        <v>#N/A</v>
      </c>
      <c r="AB904" s="7" t="e">
        <f>IF(VLOOKUP($A904,'Concrete Beam Schedule'!$A$2:$Q$2902,AB$2,0)&lt;&gt;L904,"Beam Revised","")</f>
        <v>#N/A</v>
      </c>
      <c r="AC904" s="7" t="e">
        <f>IF(VLOOKUP($A904,'Concrete Beam Schedule'!$A$2:$Q$2902,AC$2,0)&lt;&gt;M904,"Beam Revised","")</f>
        <v>#N/A</v>
      </c>
      <c r="AD904" s="7" t="e">
        <f>IF(VLOOKUP($A904,'Concrete Beam Schedule'!$A$2:$Q$2902,AD$2,0)&lt;&gt;N904,"Beam Revised","")</f>
        <v>#N/A</v>
      </c>
      <c r="AE904" s="7" t="e">
        <f>IF(VLOOKUP($A904,'Concrete Beam Schedule'!$A$2:$Q$2902,AE$2,0)&lt;&gt;O904,"Beam Revised","")</f>
        <v>#N/A</v>
      </c>
    </row>
    <row r="905" spans="17:31" ht="13.2" x14ac:dyDescent="0.25">
      <c r="Q905" s="7">
        <f t="shared" si="14"/>
        <v>0</v>
      </c>
      <c r="R905" s="7" t="e">
        <f>IF(VLOOKUP($A905,'Concrete Beam Schedule'!$A$2:$Q$2902,R$2,0)&lt;&gt;B905,VLOOKUP($A905,'Concrete Beam Schedule'!$A$2:$Q$2902,R$2,0),"")</f>
        <v>#N/A</v>
      </c>
      <c r="S905" s="7" t="e">
        <f>IF(VLOOKUP($A905,'Concrete Beam Schedule'!$A$2:$Q$2902,S$2,0)&lt;&gt;C905,VLOOKUP($A905,'Concrete Beam Schedule'!$A$2:$Q$2902,S$2,0),"")</f>
        <v>#N/A</v>
      </c>
      <c r="T905" s="7" t="e">
        <f>IF(VLOOKUP($A905,'Concrete Beam Schedule'!$A$2:$Q$2902,T$2,0)&lt;&gt;D905,"Beam Revised","")</f>
        <v>#N/A</v>
      </c>
      <c r="U905" s="7" t="e">
        <f>IF(VLOOKUP($A905,'Concrete Beam Schedule'!$A$2:$Q$2902,U$2,0)&lt;&gt;E905,"Beam Revised","")</f>
        <v>#N/A</v>
      </c>
      <c r="V905" s="7" t="e">
        <f>IF(VLOOKUP($A905,'Concrete Beam Schedule'!$A$2:$Q$2902,V$2,0)&lt;&gt;F905,"Beam Revised","")</f>
        <v>#N/A</v>
      </c>
      <c r="W905" s="7" t="e">
        <f>IF(VLOOKUP($A905,'Concrete Beam Schedule'!$A$2:$Q$2902,W$2,0)&lt;&gt;G905,"Beam Revised","")</f>
        <v>#N/A</v>
      </c>
      <c r="X905" s="7" t="e">
        <f>IF(VLOOKUP($A905,'Concrete Beam Schedule'!$A$2:$Q$2902,X$2,0)&lt;&gt;H905,"Beam Revised","")</f>
        <v>#N/A</v>
      </c>
      <c r="Y905" s="7" t="e">
        <f>IF(VLOOKUP($A905,'Concrete Beam Schedule'!$A$2:$Q$2902,Y$2,0)&lt;&gt;I905,"Beam Revised","")</f>
        <v>#N/A</v>
      </c>
      <c r="Z905" s="7" t="e">
        <f>IF(VLOOKUP($A905,'Concrete Beam Schedule'!$A$2:$Q$2902,Z$2,0)&lt;&gt;J905,"Beam Revised","")</f>
        <v>#N/A</v>
      </c>
      <c r="AA905" s="7" t="e">
        <f>IF(VLOOKUP($A905,'Concrete Beam Schedule'!$A$2:$Q$2902,AA$2,0)&lt;&gt;K905,"Beam Revised","")</f>
        <v>#N/A</v>
      </c>
      <c r="AB905" s="7" t="e">
        <f>IF(VLOOKUP($A905,'Concrete Beam Schedule'!$A$2:$Q$2902,AB$2,0)&lt;&gt;L905,"Beam Revised","")</f>
        <v>#N/A</v>
      </c>
      <c r="AC905" s="7" t="e">
        <f>IF(VLOOKUP($A905,'Concrete Beam Schedule'!$A$2:$Q$2902,AC$2,0)&lt;&gt;M905,"Beam Revised","")</f>
        <v>#N/A</v>
      </c>
      <c r="AD905" s="7" t="e">
        <f>IF(VLOOKUP($A905,'Concrete Beam Schedule'!$A$2:$Q$2902,AD$2,0)&lt;&gt;N905,"Beam Revised","")</f>
        <v>#N/A</v>
      </c>
      <c r="AE905" s="7" t="e">
        <f>IF(VLOOKUP($A905,'Concrete Beam Schedule'!$A$2:$Q$2902,AE$2,0)&lt;&gt;O905,"Beam Revised","")</f>
        <v>#N/A</v>
      </c>
    </row>
    <row r="906" spans="17:31" ht="13.2" x14ac:dyDescent="0.25">
      <c r="Q906" s="7">
        <f t="shared" si="14"/>
        <v>0</v>
      </c>
      <c r="R906" s="7" t="e">
        <f>IF(VLOOKUP($A906,'Concrete Beam Schedule'!$A$2:$Q$2902,R$2,0)&lt;&gt;B906,VLOOKUP($A906,'Concrete Beam Schedule'!$A$2:$Q$2902,R$2,0),"")</f>
        <v>#N/A</v>
      </c>
      <c r="S906" s="7" t="e">
        <f>IF(VLOOKUP($A906,'Concrete Beam Schedule'!$A$2:$Q$2902,S$2,0)&lt;&gt;C906,VLOOKUP($A906,'Concrete Beam Schedule'!$A$2:$Q$2902,S$2,0),"")</f>
        <v>#N/A</v>
      </c>
      <c r="T906" s="7" t="e">
        <f>IF(VLOOKUP($A906,'Concrete Beam Schedule'!$A$2:$Q$2902,T$2,0)&lt;&gt;D906,"Beam Revised","")</f>
        <v>#N/A</v>
      </c>
      <c r="U906" s="7" t="e">
        <f>IF(VLOOKUP($A906,'Concrete Beam Schedule'!$A$2:$Q$2902,U$2,0)&lt;&gt;E906,"Beam Revised","")</f>
        <v>#N/A</v>
      </c>
      <c r="V906" s="7" t="e">
        <f>IF(VLOOKUP($A906,'Concrete Beam Schedule'!$A$2:$Q$2902,V$2,0)&lt;&gt;F906,"Beam Revised","")</f>
        <v>#N/A</v>
      </c>
      <c r="W906" s="7" t="e">
        <f>IF(VLOOKUP($A906,'Concrete Beam Schedule'!$A$2:$Q$2902,W$2,0)&lt;&gt;G906,"Beam Revised","")</f>
        <v>#N/A</v>
      </c>
      <c r="X906" s="7" t="e">
        <f>IF(VLOOKUP($A906,'Concrete Beam Schedule'!$A$2:$Q$2902,X$2,0)&lt;&gt;H906,"Beam Revised","")</f>
        <v>#N/A</v>
      </c>
      <c r="Y906" s="7" t="e">
        <f>IF(VLOOKUP($A906,'Concrete Beam Schedule'!$A$2:$Q$2902,Y$2,0)&lt;&gt;I906,"Beam Revised","")</f>
        <v>#N/A</v>
      </c>
      <c r="Z906" s="7" t="e">
        <f>IF(VLOOKUP($A906,'Concrete Beam Schedule'!$A$2:$Q$2902,Z$2,0)&lt;&gt;J906,"Beam Revised","")</f>
        <v>#N/A</v>
      </c>
      <c r="AA906" s="7" t="e">
        <f>IF(VLOOKUP($A906,'Concrete Beam Schedule'!$A$2:$Q$2902,AA$2,0)&lt;&gt;K906,"Beam Revised","")</f>
        <v>#N/A</v>
      </c>
      <c r="AB906" s="7" t="e">
        <f>IF(VLOOKUP($A906,'Concrete Beam Schedule'!$A$2:$Q$2902,AB$2,0)&lt;&gt;L906,"Beam Revised","")</f>
        <v>#N/A</v>
      </c>
      <c r="AC906" s="7" t="e">
        <f>IF(VLOOKUP($A906,'Concrete Beam Schedule'!$A$2:$Q$2902,AC$2,0)&lt;&gt;M906,"Beam Revised","")</f>
        <v>#N/A</v>
      </c>
      <c r="AD906" s="7" t="e">
        <f>IF(VLOOKUP($A906,'Concrete Beam Schedule'!$A$2:$Q$2902,AD$2,0)&lt;&gt;N906,"Beam Revised","")</f>
        <v>#N/A</v>
      </c>
      <c r="AE906" s="7" t="e">
        <f>IF(VLOOKUP($A906,'Concrete Beam Schedule'!$A$2:$Q$2902,AE$2,0)&lt;&gt;O906,"Beam Revised","")</f>
        <v>#N/A</v>
      </c>
    </row>
    <row r="907" spans="17:31" ht="13.2" x14ac:dyDescent="0.25">
      <c r="Q907" s="7">
        <f t="shared" si="14"/>
        <v>0</v>
      </c>
      <c r="R907" s="7" t="e">
        <f>IF(VLOOKUP($A907,'Concrete Beam Schedule'!$A$2:$Q$2902,R$2,0)&lt;&gt;B907,VLOOKUP($A907,'Concrete Beam Schedule'!$A$2:$Q$2902,R$2,0),"")</f>
        <v>#N/A</v>
      </c>
      <c r="S907" s="7" t="e">
        <f>IF(VLOOKUP($A907,'Concrete Beam Schedule'!$A$2:$Q$2902,S$2,0)&lt;&gt;C907,VLOOKUP($A907,'Concrete Beam Schedule'!$A$2:$Q$2902,S$2,0),"")</f>
        <v>#N/A</v>
      </c>
      <c r="T907" s="7" t="e">
        <f>IF(VLOOKUP($A907,'Concrete Beam Schedule'!$A$2:$Q$2902,T$2,0)&lt;&gt;D907,"Beam Revised","")</f>
        <v>#N/A</v>
      </c>
      <c r="U907" s="7" t="e">
        <f>IF(VLOOKUP($A907,'Concrete Beam Schedule'!$A$2:$Q$2902,U$2,0)&lt;&gt;E907,"Beam Revised","")</f>
        <v>#N/A</v>
      </c>
      <c r="V907" s="7" t="e">
        <f>IF(VLOOKUP($A907,'Concrete Beam Schedule'!$A$2:$Q$2902,V$2,0)&lt;&gt;F907,"Beam Revised","")</f>
        <v>#N/A</v>
      </c>
      <c r="W907" s="7" t="e">
        <f>IF(VLOOKUP($A907,'Concrete Beam Schedule'!$A$2:$Q$2902,W$2,0)&lt;&gt;G907,"Beam Revised","")</f>
        <v>#N/A</v>
      </c>
      <c r="X907" s="7" t="e">
        <f>IF(VLOOKUP($A907,'Concrete Beam Schedule'!$A$2:$Q$2902,X$2,0)&lt;&gt;H907,"Beam Revised","")</f>
        <v>#N/A</v>
      </c>
      <c r="Y907" s="7" t="e">
        <f>IF(VLOOKUP($A907,'Concrete Beam Schedule'!$A$2:$Q$2902,Y$2,0)&lt;&gt;I907,"Beam Revised","")</f>
        <v>#N/A</v>
      </c>
      <c r="Z907" s="7" t="e">
        <f>IF(VLOOKUP($A907,'Concrete Beam Schedule'!$A$2:$Q$2902,Z$2,0)&lt;&gt;J907,"Beam Revised","")</f>
        <v>#N/A</v>
      </c>
      <c r="AA907" s="7" t="e">
        <f>IF(VLOOKUP($A907,'Concrete Beam Schedule'!$A$2:$Q$2902,AA$2,0)&lt;&gt;K907,"Beam Revised","")</f>
        <v>#N/A</v>
      </c>
      <c r="AB907" s="7" t="e">
        <f>IF(VLOOKUP($A907,'Concrete Beam Schedule'!$A$2:$Q$2902,AB$2,0)&lt;&gt;L907,"Beam Revised","")</f>
        <v>#N/A</v>
      </c>
      <c r="AC907" s="7" t="e">
        <f>IF(VLOOKUP($A907,'Concrete Beam Schedule'!$A$2:$Q$2902,AC$2,0)&lt;&gt;M907,"Beam Revised","")</f>
        <v>#N/A</v>
      </c>
      <c r="AD907" s="7" t="e">
        <f>IF(VLOOKUP($A907,'Concrete Beam Schedule'!$A$2:$Q$2902,AD$2,0)&lt;&gt;N907,"Beam Revised","")</f>
        <v>#N/A</v>
      </c>
      <c r="AE907" s="7" t="e">
        <f>IF(VLOOKUP($A907,'Concrete Beam Schedule'!$A$2:$Q$2902,AE$2,0)&lt;&gt;O907,"Beam Revised","")</f>
        <v>#N/A</v>
      </c>
    </row>
    <row r="908" spans="17:31" ht="13.2" x14ac:dyDescent="0.25">
      <c r="Q908" s="7">
        <f t="shared" si="14"/>
        <v>0</v>
      </c>
      <c r="R908" s="7" t="e">
        <f>IF(VLOOKUP($A908,'Concrete Beam Schedule'!$A$2:$Q$2902,R$2,0)&lt;&gt;B908,VLOOKUP($A908,'Concrete Beam Schedule'!$A$2:$Q$2902,R$2,0),"")</f>
        <v>#N/A</v>
      </c>
      <c r="S908" s="7" t="e">
        <f>IF(VLOOKUP($A908,'Concrete Beam Schedule'!$A$2:$Q$2902,S$2,0)&lt;&gt;C908,VLOOKUP($A908,'Concrete Beam Schedule'!$A$2:$Q$2902,S$2,0),"")</f>
        <v>#N/A</v>
      </c>
      <c r="T908" s="7" t="e">
        <f>IF(VLOOKUP($A908,'Concrete Beam Schedule'!$A$2:$Q$2902,T$2,0)&lt;&gt;D908,"Beam Revised","")</f>
        <v>#N/A</v>
      </c>
      <c r="U908" s="7" t="e">
        <f>IF(VLOOKUP($A908,'Concrete Beam Schedule'!$A$2:$Q$2902,U$2,0)&lt;&gt;E908,"Beam Revised","")</f>
        <v>#N/A</v>
      </c>
      <c r="V908" s="7" t="e">
        <f>IF(VLOOKUP($A908,'Concrete Beam Schedule'!$A$2:$Q$2902,V$2,0)&lt;&gt;F908,"Beam Revised","")</f>
        <v>#N/A</v>
      </c>
      <c r="W908" s="7" t="e">
        <f>IF(VLOOKUP($A908,'Concrete Beam Schedule'!$A$2:$Q$2902,W$2,0)&lt;&gt;G908,"Beam Revised","")</f>
        <v>#N/A</v>
      </c>
      <c r="X908" s="7" t="e">
        <f>IF(VLOOKUP($A908,'Concrete Beam Schedule'!$A$2:$Q$2902,X$2,0)&lt;&gt;H908,"Beam Revised","")</f>
        <v>#N/A</v>
      </c>
      <c r="Y908" s="7" t="e">
        <f>IF(VLOOKUP($A908,'Concrete Beam Schedule'!$A$2:$Q$2902,Y$2,0)&lt;&gt;I908,"Beam Revised","")</f>
        <v>#N/A</v>
      </c>
      <c r="Z908" s="7" t="e">
        <f>IF(VLOOKUP($A908,'Concrete Beam Schedule'!$A$2:$Q$2902,Z$2,0)&lt;&gt;J908,"Beam Revised","")</f>
        <v>#N/A</v>
      </c>
      <c r="AA908" s="7" t="e">
        <f>IF(VLOOKUP($A908,'Concrete Beam Schedule'!$A$2:$Q$2902,AA$2,0)&lt;&gt;K908,"Beam Revised","")</f>
        <v>#N/A</v>
      </c>
      <c r="AB908" s="7" t="e">
        <f>IF(VLOOKUP($A908,'Concrete Beam Schedule'!$A$2:$Q$2902,AB$2,0)&lt;&gt;L908,"Beam Revised","")</f>
        <v>#N/A</v>
      </c>
      <c r="AC908" s="7" t="e">
        <f>IF(VLOOKUP($A908,'Concrete Beam Schedule'!$A$2:$Q$2902,AC$2,0)&lt;&gt;M908,"Beam Revised","")</f>
        <v>#N/A</v>
      </c>
      <c r="AD908" s="7" t="e">
        <f>IF(VLOOKUP($A908,'Concrete Beam Schedule'!$A$2:$Q$2902,AD$2,0)&lt;&gt;N908,"Beam Revised","")</f>
        <v>#N/A</v>
      </c>
      <c r="AE908" s="7" t="e">
        <f>IF(VLOOKUP($A908,'Concrete Beam Schedule'!$A$2:$Q$2902,AE$2,0)&lt;&gt;O908,"Beam Revised","")</f>
        <v>#N/A</v>
      </c>
    </row>
    <row r="909" spans="17:31" ht="13.2" x14ac:dyDescent="0.25">
      <c r="Q909" s="7">
        <f t="shared" si="14"/>
        <v>0</v>
      </c>
      <c r="R909" s="7" t="e">
        <f>IF(VLOOKUP($A909,'Concrete Beam Schedule'!$A$2:$Q$2902,R$2,0)&lt;&gt;B909,VLOOKUP($A909,'Concrete Beam Schedule'!$A$2:$Q$2902,R$2,0),"")</f>
        <v>#N/A</v>
      </c>
      <c r="S909" s="7" t="e">
        <f>IF(VLOOKUP($A909,'Concrete Beam Schedule'!$A$2:$Q$2902,S$2,0)&lt;&gt;C909,VLOOKUP($A909,'Concrete Beam Schedule'!$A$2:$Q$2902,S$2,0),"")</f>
        <v>#N/A</v>
      </c>
      <c r="T909" s="7" t="e">
        <f>IF(VLOOKUP($A909,'Concrete Beam Schedule'!$A$2:$Q$2902,T$2,0)&lt;&gt;D909,"Beam Revised","")</f>
        <v>#N/A</v>
      </c>
      <c r="U909" s="7" t="e">
        <f>IF(VLOOKUP($A909,'Concrete Beam Schedule'!$A$2:$Q$2902,U$2,0)&lt;&gt;E909,"Beam Revised","")</f>
        <v>#N/A</v>
      </c>
      <c r="V909" s="7" t="e">
        <f>IF(VLOOKUP($A909,'Concrete Beam Schedule'!$A$2:$Q$2902,V$2,0)&lt;&gt;F909,"Beam Revised","")</f>
        <v>#N/A</v>
      </c>
      <c r="W909" s="7" t="e">
        <f>IF(VLOOKUP($A909,'Concrete Beam Schedule'!$A$2:$Q$2902,W$2,0)&lt;&gt;G909,"Beam Revised","")</f>
        <v>#N/A</v>
      </c>
      <c r="X909" s="7" t="e">
        <f>IF(VLOOKUP($A909,'Concrete Beam Schedule'!$A$2:$Q$2902,X$2,0)&lt;&gt;H909,"Beam Revised","")</f>
        <v>#N/A</v>
      </c>
      <c r="Y909" s="7" t="e">
        <f>IF(VLOOKUP($A909,'Concrete Beam Schedule'!$A$2:$Q$2902,Y$2,0)&lt;&gt;I909,"Beam Revised","")</f>
        <v>#N/A</v>
      </c>
      <c r="Z909" s="7" t="e">
        <f>IF(VLOOKUP($A909,'Concrete Beam Schedule'!$A$2:$Q$2902,Z$2,0)&lt;&gt;J909,"Beam Revised","")</f>
        <v>#N/A</v>
      </c>
      <c r="AA909" s="7" t="e">
        <f>IF(VLOOKUP($A909,'Concrete Beam Schedule'!$A$2:$Q$2902,AA$2,0)&lt;&gt;K909,"Beam Revised","")</f>
        <v>#N/A</v>
      </c>
      <c r="AB909" s="7" t="e">
        <f>IF(VLOOKUP($A909,'Concrete Beam Schedule'!$A$2:$Q$2902,AB$2,0)&lt;&gt;L909,"Beam Revised","")</f>
        <v>#N/A</v>
      </c>
      <c r="AC909" s="7" t="e">
        <f>IF(VLOOKUP($A909,'Concrete Beam Schedule'!$A$2:$Q$2902,AC$2,0)&lt;&gt;M909,"Beam Revised","")</f>
        <v>#N/A</v>
      </c>
      <c r="AD909" s="7" t="e">
        <f>IF(VLOOKUP($A909,'Concrete Beam Schedule'!$A$2:$Q$2902,AD$2,0)&lt;&gt;N909,"Beam Revised","")</f>
        <v>#N/A</v>
      </c>
      <c r="AE909" s="7" t="e">
        <f>IF(VLOOKUP($A909,'Concrete Beam Schedule'!$A$2:$Q$2902,AE$2,0)&lt;&gt;O909,"Beam Revised","")</f>
        <v>#N/A</v>
      </c>
    </row>
    <row r="910" spans="17:31" ht="13.2" x14ac:dyDescent="0.25">
      <c r="Q910" s="7">
        <f t="shared" si="14"/>
        <v>0</v>
      </c>
      <c r="R910" s="7" t="e">
        <f>IF(VLOOKUP($A910,'Concrete Beam Schedule'!$A$2:$Q$2902,R$2,0)&lt;&gt;B910,VLOOKUP($A910,'Concrete Beam Schedule'!$A$2:$Q$2902,R$2,0),"")</f>
        <v>#N/A</v>
      </c>
      <c r="S910" s="7" t="e">
        <f>IF(VLOOKUP($A910,'Concrete Beam Schedule'!$A$2:$Q$2902,S$2,0)&lt;&gt;C910,VLOOKUP($A910,'Concrete Beam Schedule'!$A$2:$Q$2902,S$2,0),"")</f>
        <v>#N/A</v>
      </c>
      <c r="T910" s="7" t="e">
        <f>IF(VLOOKUP($A910,'Concrete Beam Schedule'!$A$2:$Q$2902,T$2,0)&lt;&gt;D910,"Beam Revised","")</f>
        <v>#N/A</v>
      </c>
      <c r="U910" s="7" t="e">
        <f>IF(VLOOKUP($A910,'Concrete Beam Schedule'!$A$2:$Q$2902,U$2,0)&lt;&gt;E910,"Beam Revised","")</f>
        <v>#N/A</v>
      </c>
      <c r="V910" s="7" t="e">
        <f>IF(VLOOKUP($A910,'Concrete Beam Schedule'!$A$2:$Q$2902,V$2,0)&lt;&gt;F910,"Beam Revised","")</f>
        <v>#N/A</v>
      </c>
      <c r="W910" s="7" t="e">
        <f>IF(VLOOKUP($A910,'Concrete Beam Schedule'!$A$2:$Q$2902,W$2,0)&lt;&gt;G910,"Beam Revised","")</f>
        <v>#N/A</v>
      </c>
      <c r="X910" s="7" t="e">
        <f>IF(VLOOKUP($A910,'Concrete Beam Schedule'!$A$2:$Q$2902,X$2,0)&lt;&gt;H910,"Beam Revised","")</f>
        <v>#N/A</v>
      </c>
      <c r="Y910" s="7" t="e">
        <f>IF(VLOOKUP($A910,'Concrete Beam Schedule'!$A$2:$Q$2902,Y$2,0)&lt;&gt;I910,"Beam Revised","")</f>
        <v>#N/A</v>
      </c>
      <c r="Z910" s="7" t="e">
        <f>IF(VLOOKUP($A910,'Concrete Beam Schedule'!$A$2:$Q$2902,Z$2,0)&lt;&gt;J910,"Beam Revised","")</f>
        <v>#N/A</v>
      </c>
      <c r="AA910" s="7" t="e">
        <f>IF(VLOOKUP($A910,'Concrete Beam Schedule'!$A$2:$Q$2902,AA$2,0)&lt;&gt;K910,"Beam Revised","")</f>
        <v>#N/A</v>
      </c>
      <c r="AB910" s="7" t="e">
        <f>IF(VLOOKUP($A910,'Concrete Beam Schedule'!$A$2:$Q$2902,AB$2,0)&lt;&gt;L910,"Beam Revised","")</f>
        <v>#N/A</v>
      </c>
      <c r="AC910" s="7" t="e">
        <f>IF(VLOOKUP($A910,'Concrete Beam Schedule'!$A$2:$Q$2902,AC$2,0)&lt;&gt;M910,"Beam Revised","")</f>
        <v>#N/A</v>
      </c>
      <c r="AD910" s="7" t="e">
        <f>IF(VLOOKUP($A910,'Concrete Beam Schedule'!$A$2:$Q$2902,AD$2,0)&lt;&gt;N910,"Beam Revised","")</f>
        <v>#N/A</v>
      </c>
      <c r="AE910" s="7" t="e">
        <f>IF(VLOOKUP($A910,'Concrete Beam Schedule'!$A$2:$Q$2902,AE$2,0)&lt;&gt;O910,"Beam Revised","")</f>
        <v>#N/A</v>
      </c>
    </row>
    <row r="911" spans="17:31" ht="13.2" x14ac:dyDescent="0.25">
      <c r="Q911" s="7">
        <f t="shared" si="14"/>
        <v>0</v>
      </c>
      <c r="R911" s="7" t="e">
        <f>IF(VLOOKUP($A911,'Concrete Beam Schedule'!$A$2:$Q$2902,R$2,0)&lt;&gt;B911,VLOOKUP($A911,'Concrete Beam Schedule'!$A$2:$Q$2902,R$2,0),"")</f>
        <v>#N/A</v>
      </c>
      <c r="S911" s="7" t="e">
        <f>IF(VLOOKUP($A911,'Concrete Beam Schedule'!$A$2:$Q$2902,S$2,0)&lt;&gt;C911,VLOOKUP($A911,'Concrete Beam Schedule'!$A$2:$Q$2902,S$2,0),"")</f>
        <v>#N/A</v>
      </c>
      <c r="T911" s="7" t="e">
        <f>IF(VLOOKUP($A911,'Concrete Beam Schedule'!$A$2:$Q$2902,T$2,0)&lt;&gt;D911,"Beam Revised","")</f>
        <v>#N/A</v>
      </c>
      <c r="U911" s="7" t="e">
        <f>IF(VLOOKUP($A911,'Concrete Beam Schedule'!$A$2:$Q$2902,U$2,0)&lt;&gt;E911,"Beam Revised","")</f>
        <v>#N/A</v>
      </c>
      <c r="V911" s="7" t="e">
        <f>IF(VLOOKUP($A911,'Concrete Beam Schedule'!$A$2:$Q$2902,V$2,0)&lt;&gt;F911,"Beam Revised","")</f>
        <v>#N/A</v>
      </c>
      <c r="W911" s="7" t="e">
        <f>IF(VLOOKUP($A911,'Concrete Beam Schedule'!$A$2:$Q$2902,W$2,0)&lt;&gt;G911,"Beam Revised","")</f>
        <v>#N/A</v>
      </c>
      <c r="X911" s="7" t="e">
        <f>IF(VLOOKUP($A911,'Concrete Beam Schedule'!$A$2:$Q$2902,X$2,0)&lt;&gt;H911,"Beam Revised","")</f>
        <v>#N/A</v>
      </c>
      <c r="Y911" s="7" t="e">
        <f>IF(VLOOKUP($A911,'Concrete Beam Schedule'!$A$2:$Q$2902,Y$2,0)&lt;&gt;I911,"Beam Revised","")</f>
        <v>#N/A</v>
      </c>
      <c r="Z911" s="7" t="e">
        <f>IF(VLOOKUP($A911,'Concrete Beam Schedule'!$A$2:$Q$2902,Z$2,0)&lt;&gt;J911,"Beam Revised","")</f>
        <v>#N/A</v>
      </c>
      <c r="AA911" s="7" t="e">
        <f>IF(VLOOKUP($A911,'Concrete Beam Schedule'!$A$2:$Q$2902,AA$2,0)&lt;&gt;K911,"Beam Revised","")</f>
        <v>#N/A</v>
      </c>
      <c r="AB911" s="7" t="e">
        <f>IF(VLOOKUP($A911,'Concrete Beam Schedule'!$A$2:$Q$2902,AB$2,0)&lt;&gt;L911,"Beam Revised","")</f>
        <v>#N/A</v>
      </c>
      <c r="AC911" s="7" t="e">
        <f>IF(VLOOKUP($A911,'Concrete Beam Schedule'!$A$2:$Q$2902,AC$2,0)&lt;&gt;M911,"Beam Revised","")</f>
        <v>#N/A</v>
      </c>
      <c r="AD911" s="7" t="e">
        <f>IF(VLOOKUP($A911,'Concrete Beam Schedule'!$A$2:$Q$2902,AD$2,0)&lt;&gt;N911,"Beam Revised","")</f>
        <v>#N/A</v>
      </c>
      <c r="AE911" s="7" t="e">
        <f>IF(VLOOKUP($A911,'Concrete Beam Schedule'!$A$2:$Q$2902,AE$2,0)&lt;&gt;O911,"Beam Revised","")</f>
        <v>#N/A</v>
      </c>
    </row>
    <row r="912" spans="17:31" ht="13.2" x14ac:dyDescent="0.25">
      <c r="Q912" s="7">
        <f t="shared" si="14"/>
        <v>0</v>
      </c>
      <c r="R912" s="7" t="e">
        <f>IF(VLOOKUP($A912,'Concrete Beam Schedule'!$A$2:$Q$2902,R$2,0)&lt;&gt;B912,VLOOKUP($A912,'Concrete Beam Schedule'!$A$2:$Q$2902,R$2,0),"")</f>
        <v>#N/A</v>
      </c>
      <c r="S912" s="7" t="e">
        <f>IF(VLOOKUP($A912,'Concrete Beam Schedule'!$A$2:$Q$2902,S$2,0)&lt;&gt;C912,VLOOKUP($A912,'Concrete Beam Schedule'!$A$2:$Q$2902,S$2,0),"")</f>
        <v>#N/A</v>
      </c>
      <c r="T912" s="7" t="e">
        <f>IF(VLOOKUP($A912,'Concrete Beam Schedule'!$A$2:$Q$2902,T$2,0)&lt;&gt;D912,"Beam Revised","")</f>
        <v>#N/A</v>
      </c>
      <c r="U912" s="7" t="e">
        <f>IF(VLOOKUP($A912,'Concrete Beam Schedule'!$A$2:$Q$2902,U$2,0)&lt;&gt;E912,"Beam Revised","")</f>
        <v>#N/A</v>
      </c>
      <c r="V912" s="7" t="e">
        <f>IF(VLOOKUP($A912,'Concrete Beam Schedule'!$A$2:$Q$2902,V$2,0)&lt;&gt;F912,"Beam Revised","")</f>
        <v>#N/A</v>
      </c>
      <c r="W912" s="7" t="e">
        <f>IF(VLOOKUP($A912,'Concrete Beam Schedule'!$A$2:$Q$2902,W$2,0)&lt;&gt;G912,"Beam Revised","")</f>
        <v>#N/A</v>
      </c>
      <c r="X912" s="7" t="e">
        <f>IF(VLOOKUP($A912,'Concrete Beam Schedule'!$A$2:$Q$2902,X$2,0)&lt;&gt;H912,"Beam Revised","")</f>
        <v>#N/A</v>
      </c>
      <c r="Y912" s="7" t="e">
        <f>IF(VLOOKUP($A912,'Concrete Beam Schedule'!$A$2:$Q$2902,Y$2,0)&lt;&gt;I912,"Beam Revised","")</f>
        <v>#N/A</v>
      </c>
      <c r="Z912" s="7" t="e">
        <f>IF(VLOOKUP($A912,'Concrete Beam Schedule'!$A$2:$Q$2902,Z$2,0)&lt;&gt;J912,"Beam Revised","")</f>
        <v>#N/A</v>
      </c>
      <c r="AA912" s="7" t="e">
        <f>IF(VLOOKUP($A912,'Concrete Beam Schedule'!$A$2:$Q$2902,AA$2,0)&lt;&gt;K912,"Beam Revised","")</f>
        <v>#N/A</v>
      </c>
      <c r="AB912" s="7" t="e">
        <f>IF(VLOOKUP($A912,'Concrete Beam Schedule'!$A$2:$Q$2902,AB$2,0)&lt;&gt;L912,"Beam Revised","")</f>
        <v>#N/A</v>
      </c>
      <c r="AC912" s="7" t="e">
        <f>IF(VLOOKUP($A912,'Concrete Beam Schedule'!$A$2:$Q$2902,AC$2,0)&lt;&gt;M912,"Beam Revised","")</f>
        <v>#N/A</v>
      </c>
      <c r="AD912" s="7" t="e">
        <f>IF(VLOOKUP($A912,'Concrete Beam Schedule'!$A$2:$Q$2902,AD$2,0)&lt;&gt;N912,"Beam Revised","")</f>
        <v>#N/A</v>
      </c>
      <c r="AE912" s="7" t="e">
        <f>IF(VLOOKUP($A912,'Concrete Beam Schedule'!$A$2:$Q$2902,AE$2,0)&lt;&gt;O912,"Beam Revised","")</f>
        <v>#N/A</v>
      </c>
    </row>
    <row r="913" spans="17:31" ht="13.2" x14ac:dyDescent="0.25">
      <c r="Q913" s="7">
        <f t="shared" si="14"/>
        <v>0</v>
      </c>
      <c r="R913" s="7" t="e">
        <f>IF(VLOOKUP($A913,'Concrete Beam Schedule'!$A$2:$Q$2902,R$2,0)&lt;&gt;B913,VLOOKUP($A913,'Concrete Beam Schedule'!$A$2:$Q$2902,R$2,0),"")</f>
        <v>#N/A</v>
      </c>
      <c r="S913" s="7" t="e">
        <f>IF(VLOOKUP($A913,'Concrete Beam Schedule'!$A$2:$Q$2902,S$2,0)&lt;&gt;C913,VLOOKUP($A913,'Concrete Beam Schedule'!$A$2:$Q$2902,S$2,0),"")</f>
        <v>#N/A</v>
      </c>
      <c r="T913" s="7" t="e">
        <f>IF(VLOOKUP($A913,'Concrete Beam Schedule'!$A$2:$Q$2902,T$2,0)&lt;&gt;D913,"Beam Revised","")</f>
        <v>#N/A</v>
      </c>
      <c r="U913" s="7" t="e">
        <f>IF(VLOOKUP($A913,'Concrete Beam Schedule'!$A$2:$Q$2902,U$2,0)&lt;&gt;E913,"Beam Revised","")</f>
        <v>#N/A</v>
      </c>
      <c r="V913" s="7" t="e">
        <f>IF(VLOOKUP($A913,'Concrete Beam Schedule'!$A$2:$Q$2902,V$2,0)&lt;&gt;F913,"Beam Revised","")</f>
        <v>#N/A</v>
      </c>
      <c r="W913" s="7" t="e">
        <f>IF(VLOOKUP($A913,'Concrete Beam Schedule'!$A$2:$Q$2902,W$2,0)&lt;&gt;G913,"Beam Revised","")</f>
        <v>#N/A</v>
      </c>
      <c r="X913" s="7" t="e">
        <f>IF(VLOOKUP($A913,'Concrete Beam Schedule'!$A$2:$Q$2902,X$2,0)&lt;&gt;H913,"Beam Revised","")</f>
        <v>#N/A</v>
      </c>
      <c r="Y913" s="7" t="e">
        <f>IF(VLOOKUP($A913,'Concrete Beam Schedule'!$A$2:$Q$2902,Y$2,0)&lt;&gt;I913,"Beam Revised","")</f>
        <v>#N/A</v>
      </c>
      <c r="Z913" s="7" t="e">
        <f>IF(VLOOKUP($A913,'Concrete Beam Schedule'!$A$2:$Q$2902,Z$2,0)&lt;&gt;J913,"Beam Revised","")</f>
        <v>#N/A</v>
      </c>
      <c r="AA913" s="7" t="e">
        <f>IF(VLOOKUP($A913,'Concrete Beam Schedule'!$A$2:$Q$2902,AA$2,0)&lt;&gt;K913,"Beam Revised","")</f>
        <v>#N/A</v>
      </c>
      <c r="AB913" s="7" t="e">
        <f>IF(VLOOKUP($A913,'Concrete Beam Schedule'!$A$2:$Q$2902,AB$2,0)&lt;&gt;L913,"Beam Revised","")</f>
        <v>#N/A</v>
      </c>
      <c r="AC913" s="7" t="e">
        <f>IF(VLOOKUP($A913,'Concrete Beam Schedule'!$A$2:$Q$2902,AC$2,0)&lt;&gt;M913,"Beam Revised","")</f>
        <v>#N/A</v>
      </c>
      <c r="AD913" s="7" t="e">
        <f>IF(VLOOKUP($A913,'Concrete Beam Schedule'!$A$2:$Q$2902,AD$2,0)&lt;&gt;N913,"Beam Revised","")</f>
        <v>#N/A</v>
      </c>
      <c r="AE913" s="7" t="e">
        <f>IF(VLOOKUP($A913,'Concrete Beam Schedule'!$A$2:$Q$2902,AE$2,0)&lt;&gt;O913,"Beam Revised","")</f>
        <v>#N/A</v>
      </c>
    </row>
    <row r="914" spans="17:31" ht="13.2" x14ac:dyDescent="0.25">
      <c r="Q914" s="7">
        <f t="shared" si="14"/>
        <v>0</v>
      </c>
      <c r="R914" s="7" t="e">
        <f>IF(VLOOKUP($A914,'Concrete Beam Schedule'!$A$2:$Q$2902,R$2,0)&lt;&gt;B914,VLOOKUP($A914,'Concrete Beam Schedule'!$A$2:$Q$2902,R$2,0),"")</f>
        <v>#N/A</v>
      </c>
      <c r="S914" s="7" t="e">
        <f>IF(VLOOKUP($A914,'Concrete Beam Schedule'!$A$2:$Q$2902,S$2,0)&lt;&gt;C914,VLOOKUP($A914,'Concrete Beam Schedule'!$A$2:$Q$2902,S$2,0),"")</f>
        <v>#N/A</v>
      </c>
      <c r="T914" s="7" t="e">
        <f>IF(VLOOKUP($A914,'Concrete Beam Schedule'!$A$2:$Q$2902,T$2,0)&lt;&gt;D914,"Beam Revised","")</f>
        <v>#N/A</v>
      </c>
      <c r="U914" s="7" t="e">
        <f>IF(VLOOKUP($A914,'Concrete Beam Schedule'!$A$2:$Q$2902,U$2,0)&lt;&gt;E914,"Beam Revised","")</f>
        <v>#N/A</v>
      </c>
      <c r="V914" s="7" t="e">
        <f>IF(VLOOKUP($A914,'Concrete Beam Schedule'!$A$2:$Q$2902,V$2,0)&lt;&gt;F914,"Beam Revised","")</f>
        <v>#N/A</v>
      </c>
      <c r="W914" s="7" t="e">
        <f>IF(VLOOKUP($A914,'Concrete Beam Schedule'!$A$2:$Q$2902,W$2,0)&lt;&gt;G914,"Beam Revised","")</f>
        <v>#N/A</v>
      </c>
      <c r="X914" s="7" t="e">
        <f>IF(VLOOKUP($A914,'Concrete Beam Schedule'!$A$2:$Q$2902,X$2,0)&lt;&gt;H914,"Beam Revised","")</f>
        <v>#N/A</v>
      </c>
      <c r="Y914" s="7" t="e">
        <f>IF(VLOOKUP($A914,'Concrete Beam Schedule'!$A$2:$Q$2902,Y$2,0)&lt;&gt;I914,"Beam Revised","")</f>
        <v>#N/A</v>
      </c>
      <c r="Z914" s="7" t="e">
        <f>IF(VLOOKUP($A914,'Concrete Beam Schedule'!$A$2:$Q$2902,Z$2,0)&lt;&gt;J914,"Beam Revised","")</f>
        <v>#N/A</v>
      </c>
      <c r="AA914" s="7" t="e">
        <f>IF(VLOOKUP($A914,'Concrete Beam Schedule'!$A$2:$Q$2902,AA$2,0)&lt;&gt;K914,"Beam Revised","")</f>
        <v>#N/A</v>
      </c>
      <c r="AB914" s="7" t="e">
        <f>IF(VLOOKUP($A914,'Concrete Beam Schedule'!$A$2:$Q$2902,AB$2,0)&lt;&gt;L914,"Beam Revised","")</f>
        <v>#N/A</v>
      </c>
      <c r="AC914" s="7" t="e">
        <f>IF(VLOOKUP($A914,'Concrete Beam Schedule'!$A$2:$Q$2902,AC$2,0)&lt;&gt;M914,"Beam Revised","")</f>
        <v>#N/A</v>
      </c>
      <c r="AD914" s="7" t="e">
        <f>IF(VLOOKUP($A914,'Concrete Beam Schedule'!$A$2:$Q$2902,AD$2,0)&lt;&gt;N914,"Beam Revised","")</f>
        <v>#N/A</v>
      </c>
      <c r="AE914" s="7" t="e">
        <f>IF(VLOOKUP($A914,'Concrete Beam Schedule'!$A$2:$Q$2902,AE$2,0)&lt;&gt;O914,"Beam Revised","")</f>
        <v>#N/A</v>
      </c>
    </row>
    <row r="915" spans="17:31" ht="13.2" x14ac:dyDescent="0.25">
      <c r="Q915" s="7">
        <f t="shared" si="14"/>
        <v>0</v>
      </c>
      <c r="R915" s="7" t="e">
        <f>IF(VLOOKUP($A915,'Concrete Beam Schedule'!$A$2:$Q$2902,R$2,0)&lt;&gt;B915,VLOOKUP($A915,'Concrete Beam Schedule'!$A$2:$Q$2902,R$2,0),"")</f>
        <v>#N/A</v>
      </c>
      <c r="S915" s="7" t="e">
        <f>IF(VLOOKUP($A915,'Concrete Beam Schedule'!$A$2:$Q$2902,S$2,0)&lt;&gt;C915,VLOOKUP($A915,'Concrete Beam Schedule'!$A$2:$Q$2902,S$2,0),"")</f>
        <v>#N/A</v>
      </c>
      <c r="T915" s="7" t="e">
        <f>IF(VLOOKUP($A915,'Concrete Beam Schedule'!$A$2:$Q$2902,T$2,0)&lt;&gt;D915,"Beam Revised","")</f>
        <v>#N/A</v>
      </c>
      <c r="U915" s="7" t="e">
        <f>IF(VLOOKUP($A915,'Concrete Beam Schedule'!$A$2:$Q$2902,U$2,0)&lt;&gt;E915,"Beam Revised","")</f>
        <v>#N/A</v>
      </c>
      <c r="V915" s="7" t="e">
        <f>IF(VLOOKUP($A915,'Concrete Beam Schedule'!$A$2:$Q$2902,V$2,0)&lt;&gt;F915,"Beam Revised","")</f>
        <v>#N/A</v>
      </c>
      <c r="W915" s="7" t="e">
        <f>IF(VLOOKUP($A915,'Concrete Beam Schedule'!$A$2:$Q$2902,W$2,0)&lt;&gt;G915,"Beam Revised","")</f>
        <v>#N/A</v>
      </c>
      <c r="X915" s="7" t="e">
        <f>IF(VLOOKUP($A915,'Concrete Beam Schedule'!$A$2:$Q$2902,X$2,0)&lt;&gt;H915,"Beam Revised","")</f>
        <v>#N/A</v>
      </c>
      <c r="Y915" s="7" t="e">
        <f>IF(VLOOKUP($A915,'Concrete Beam Schedule'!$A$2:$Q$2902,Y$2,0)&lt;&gt;I915,"Beam Revised","")</f>
        <v>#N/A</v>
      </c>
      <c r="Z915" s="7" t="e">
        <f>IF(VLOOKUP($A915,'Concrete Beam Schedule'!$A$2:$Q$2902,Z$2,0)&lt;&gt;J915,"Beam Revised","")</f>
        <v>#N/A</v>
      </c>
      <c r="AA915" s="7" t="e">
        <f>IF(VLOOKUP($A915,'Concrete Beam Schedule'!$A$2:$Q$2902,AA$2,0)&lt;&gt;K915,"Beam Revised","")</f>
        <v>#N/A</v>
      </c>
      <c r="AB915" s="7" t="e">
        <f>IF(VLOOKUP($A915,'Concrete Beam Schedule'!$A$2:$Q$2902,AB$2,0)&lt;&gt;L915,"Beam Revised","")</f>
        <v>#N/A</v>
      </c>
      <c r="AC915" s="7" t="e">
        <f>IF(VLOOKUP($A915,'Concrete Beam Schedule'!$A$2:$Q$2902,AC$2,0)&lt;&gt;M915,"Beam Revised","")</f>
        <v>#N/A</v>
      </c>
      <c r="AD915" s="7" t="e">
        <f>IF(VLOOKUP($A915,'Concrete Beam Schedule'!$A$2:$Q$2902,AD$2,0)&lt;&gt;N915,"Beam Revised","")</f>
        <v>#N/A</v>
      </c>
      <c r="AE915" s="7" t="e">
        <f>IF(VLOOKUP($A915,'Concrete Beam Schedule'!$A$2:$Q$2902,AE$2,0)&lt;&gt;O915,"Beam Revised","")</f>
        <v>#N/A</v>
      </c>
    </row>
    <row r="916" spans="17:31" ht="13.2" x14ac:dyDescent="0.25">
      <c r="Q916" s="7">
        <f t="shared" si="14"/>
        <v>0</v>
      </c>
      <c r="R916" s="7" t="e">
        <f>IF(VLOOKUP($A916,'Concrete Beam Schedule'!$A$2:$Q$2902,R$2,0)&lt;&gt;B916,VLOOKUP($A916,'Concrete Beam Schedule'!$A$2:$Q$2902,R$2,0),"")</f>
        <v>#N/A</v>
      </c>
      <c r="S916" s="7" t="e">
        <f>IF(VLOOKUP($A916,'Concrete Beam Schedule'!$A$2:$Q$2902,S$2,0)&lt;&gt;C916,VLOOKUP($A916,'Concrete Beam Schedule'!$A$2:$Q$2902,S$2,0),"")</f>
        <v>#N/A</v>
      </c>
      <c r="T916" s="7" t="e">
        <f>IF(VLOOKUP($A916,'Concrete Beam Schedule'!$A$2:$Q$2902,T$2,0)&lt;&gt;D916,"Beam Revised","")</f>
        <v>#N/A</v>
      </c>
      <c r="U916" s="7" t="e">
        <f>IF(VLOOKUP($A916,'Concrete Beam Schedule'!$A$2:$Q$2902,U$2,0)&lt;&gt;E916,"Beam Revised","")</f>
        <v>#N/A</v>
      </c>
      <c r="V916" s="7" t="e">
        <f>IF(VLOOKUP($A916,'Concrete Beam Schedule'!$A$2:$Q$2902,V$2,0)&lt;&gt;F916,"Beam Revised","")</f>
        <v>#N/A</v>
      </c>
      <c r="W916" s="7" t="e">
        <f>IF(VLOOKUP($A916,'Concrete Beam Schedule'!$A$2:$Q$2902,W$2,0)&lt;&gt;G916,"Beam Revised","")</f>
        <v>#N/A</v>
      </c>
      <c r="X916" s="7" t="e">
        <f>IF(VLOOKUP($A916,'Concrete Beam Schedule'!$A$2:$Q$2902,X$2,0)&lt;&gt;H916,"Beam Revised","")</f>
        <v>#N/A</v>
      </c>
      <c r="Y916" s="7" t="e">
        <f>IF(VLOOKUP($A916,'Concrete Beam Schedule'!$A$2:$Q$2902,Y$2,0)&lt;&gt;I916,"Beam Revised","")</f>
        <v>#N/A</v>
      </c>
      <c r="Z916" s="7" t="e">
        <f>IF(VLOOKUP($A916,'Concrete Beam Schedule'!$A$2:$Q$2902,Z$2,0)&lt;&gt;J916,"Beam Revised","")</f>
        <v>#N/A</v>
      </c>
      <c r="AA916" s="7" t="e">
        <f>IF(VLOOKUP($A916,'Concrete Beam Schedule'!$A$2:$Q$2902,AA$2,0)&lt;&gt;K916,"Beam Revised","")</f>
        <v>#N/A</v>
      </c>
      <c r="AB916" s="7" t="e">
        <f>IF(VLOOKUP($A916,'Concrete Beam Schedule'!$A$2:$Q$2902,AB$2,0)&lt;&gt;L916,"Beam Revised","")</f>
        <v>#N/A</v>
      </c>
      <c r="AC916" s="7" t="e">
        <f>IF(VLOOKUP($A916,'Concrete Beam Schedule'!$A$2:$Q$2902,AC$2,0)&lt;&gt;M916,"Beam Revised","")</f>
        <v>#N/A</v>
      </c>
      <c r="AD916" s="7" t="e">
        <f>IF(VLOOKUP($A916,'Concrete Beam Schedule'!$A$2:$Q$2902,AD$2,0)&lt;&gt;N916,"Beam Revised","")</f>
        <v>#N/A</v>
      </c>
      <c r="AE916" s="7" t="e">
        <f>IF(VLOOKUP($A916,'Concrete Beam Schedule'!$A$2:$Q$2902,AE$2,0)&lt;&gt;O916,"Beam Revised","")</f>
        <v>#N/A</v>
      </c>
    </row>
    <row r="917" spans="17:31" ht="13.2" x14ac:dyDescent="0.25">
      <c r="Q917" s="7">
        <f t="shared" si="14"/>
        <v>0</v>
      </c>
      <c r="R917" s="7" t="e">
        <f>IF(VLOOKUP($A917,'Concrete Beam Schedule'!$A$2:$Q$2902,R$2,0)&lt;&gt;B917,VLOOKUP($A917,'Concrete Beam Schedule'!$A$2:$Q$2902,R$2,0),"")</f>
        <v>#N/A</v>
      </c>
      <c r="S917" s="7" t="e">
        <f>IF(VLOOKUP($A917,'Concrete Beam Schedule'!$A$2:$Q$2902,S$2,0)&lt;&gt;C917,VLOOKUP($A917,'Concrete Beam Schedule'!$A$2:$Q$2902,S$2,0),"")</f>
        <v>#N/A</v>
      </c>
      <c r="T917" s="7" t="e">
        <f>IF(VLOOKUP($A917,'Concrete Beam Schedule'!$A$2:$Q$2902,T$2,0)&lt;&gt;D917,"Beam Revised","")</f>
        <v>#N/A</v>
      </c>
      <c r="U917" s="7" t="e">
        <f>IF(VLOOKUP($A917,'Concrete Beam Schedule'!$A$2:$Q$2902,U$2,0)&lt;&gt;E917,"Beam Revised","")</f>
        <v>#N/A</v>
      </c>
      <c r="V917" s="7" t="e">
        <f>IF(VLOOKUP($A917,'Concrete Beam Schedule'!$A$2:$Q$2902,V$2,0)&lt;&gt;F917,"Beam Revised","")</f>
        <v>#N/A</v>
      </c>
      <c r="W917" s="7" t="e">
        <f>IF(VLOOKUP($A917,'Concrete Beam Schedule'!$A$2:$Q$2902,W$2,0)&lt;&gt;G917,"Beam Revised","")</f>
        <v>#N/A</v>
      </c>
      <c r="X917" s="7" t="e">
        <f>IF(VLOOKUP($A917,'Concrete Beam Schedule'!$A$2:$Q$2902,X$2,0)&lt;&gt;H917,"Beam Revised","")</f>
        <v>#N/A</v>
      </c>
      <c r="Y917" s="7" t="e">
        <f>IF(VLOOKUP($A917,'Concrete Beam Schedule'!$A$2:$Q$2902,Y$2,0)&lt;&gt;I917,"Beam Revised","")</f>
        <v>#N/A</v>
      </c>
      <c r="Z917" s="7" t="e">
        <f>IF(VLOOKUP($A917,'Concrete Beam Schedule'!$A$2:$Q$2902,Z$2,0)&lt;&gt;J917,"Beam Revised","")</f>
        <v>#N/A</v>
      </c>
      <c r="AA917" s="7" t="e">
        <f>IF(VLOOKUP($A917,'Concrete Beam Schedule'!$A$2:$Q$2902,AA$2,0)&lt;&gt;K917,"Beam Revised","")</f>
        <v>#N/A</v>
      </c>
      <c r="AB917" s="7" t="e">
        <f>IF(VLOOKUP($A917,'Concrete Beam Schedule'!$A$2:$Q$2902,AB$2,0)&lt;&gt;L917,"Beam Revised","")</f>
        <v>#N/A</v>
      </c>
      <c r="AC917" s="7" t="e">
        <f>IF(VLOOKUP($A917,'Concrete Beam Schedule'!$A$2:$Q$2902,AC$2,0)&lt;&gt;M917,"Beam Revised","")</f>
        <v>#N/A</v>
      </c>
      <c r="AD917" s="7" t="e">
        <f>IF(VLOOKUP($A917,'Concrete Beam Schedule'!$A$2:$Q$2902,AD$2,0)&lt;&gt;N917,"Beam Revised","")</f>
        <v>#N/A</v>
      </c>
      <c r="AE917" s="7" t="e">
        <f>IF(VLOOKUP($A917,'Concrete Beam Schedule'!$A$2:$Q$2902,AE$2,0)&lt;&gt;O917,"Beam Revised","")</f>
        <v>#N/A</v>
      </c>
    </row>
    <row r="918" spans="17:31" ht="13.2" x14ac:dyDescent="0.25">
      <c r="Q918" s="7">
        <f t="shared" si="14"/>
        <v>0</v>
      </c>
      <c r="R918" s="7" t="e">
        <f>IF(VLOOKUP($A918,'Concrete Beam Schedule'!$A$2:$Q$2902,R$2,0)&lt;&gt;B918,VLOOKUP($A918,'Concrete Beam Schedule'!$A$2:$Q$2902,R$2,0),"")</f>
        <v>#N/A</v>
      </c>
      <c r="S918" s="7" t="e">
        <f>IF(VLOOKUP($A918,'Concrete Beam Schedule'!$A$2:$Q$2902,S$2,0)&lt;&gt;C918,VLOOKUP($A918,'Concrete Beam Schedule'!$A$2:$Q$2902,S$2,0),"")</f>
        <v>#N/A</v>
      </c>
      <c r="T918" s="7" t="e">
        <f>IF(VLOOKUP($A918,'Concrete Beam Schedule'!$A$2:$Q$2902,T$2,0)&lt;&gt;D918,"Beam Revised","")</f>
        <v>#N/A</v>
      </c>
      <c r="U918" s="7" t="e">
        <f>IF(VLOOKUP($A918,'Concrete Beam Schedule'!$A$2:$Q$2902,U$2,0)&lt;&gt;E918,"Beam Revised","")</f>
        <v>#N/A</v>
      </c>
      <c r="V918" s="7" t="e">
        <f>IF(VLOOKUP($A918,'Concrete Beam Schedule'!$A$2:$Q$2902,V$2,0)&lt;&gt;F918,"Beam Revised","")</f>
        <v>#N/A</v>
      </c>
      <c r="W918" s="7" t="e">
        <f>IF(VLOOKUP($A918,'Concrete Beam Schedule'!$A$2:$Q$2902,W$2,0)&lt;&gt;G918,"Beam Revised","")</f>
        <v>#N/A</v>
      </c>
      <c r="X918" s="7" t="e">
        <f>IF(VLOOKUP($A918,'Concrete Beam Schedule'!$A$2:$Q$2902,X$2,0)&lt;&gt;H918,"Beam Revised","")</f>
        <v>#N/A</v>
      </c>
      <c r="Y918" s="7" t="e">
        <f>IF(VLOOKUP($A918,'Concrete Beam Schedule'!$A$2:$Q$2902,Y$2,0)&lt;&gt;I918,"Beam Revised","")</f>
        <v>#N/A</v>
      </c>
      <c r="Z918" s="7" t="e">
        <f>IF(VLOOKUP($A918,'Concrete Beam Schedule'!$A$2:$Q$2902,Z$2,0)&lt;&gt;J918,"Beam Revised","")</f>
        <v>#N/A</v>
      </c>
      <c r="AA918" s="7" t="e">
        <f>IF(VLOOKUP($A918,'Concrete Beam Schedule'!$A$2:$Q$2902,AA$2,0)&lt;&gt;K918,"Beam Revised","")</f>
        <v>#N/A</v>
      </c>
      <c r="AB918" s="7" t="e">
        <f>IF(VLOOKUP($A918,'Concrete Beam Schedule'!$A$2:$Q$2902,AB$2,0)&lt;&gt;L918,"Beam Revised","")</f>
        <v>#N/A</v>
      </c>
      <c r="AC918" s="7" t="e">
        <f>IF(VLOOKUP($A918,'Concrete Beam Schedule'!$A$2:$Q$2902,AC$2,0)&lt;&gt;M918,"Beam Revised","")</f>
        <v>#N/A</v>
      </c>
      <c r="AD918" s="7" t="e">
        <f>IF(VLOOKUP($A918,'Concrete Beam Schedule'!$A$2:$Q$2902,AD$2,0)&lt;&gt;N918,"Beam Revised","")</f>
        <v>#N/A</v>
      </c>
      <c r="AE918" s="7" t="e">
        <f>IF(VLOOKUP($A918,'Concrete Beam Schedule'!$A$2:$Q$2902,AE$2,0)&lt;&gt;O918,"Beam Revised","")</f>
        <v>#N/A</v>
      </c>
    </row>
    <row r="919" spans="17:31" ht="13.2" x14ac:dyDescent="0.25">
      <c r="Q919" s="7">
        <f t="shared" si="14"/>
        <v>0</v>
      </c>
      <c r="R919" s="7" t="e">
        <f>IF(VLOOKUP($A919,'Concrete Beam Schedule'!$A$2:$Q$2902,R$2,0)&lt;&gt;B919,VLOOKUP($A919,'Concrete Beam Schedule'!$A$2:$Q$2902,R$2,0),"")</f>
        <v>#N/A</v>
      </c>
      <c r="S919" s="7" t="e">
        <f>IF(VLOOKUP($A919,'Concrete Beam Schedule'!$A$2:$Q$2902,S$2,0)&lt;&gt;C919,VLOOKUP($A919,'Concrete Beam Schedule'!$A$2:$Q$2902,S$2,0),"")</f>
        <v>#N/A</v>
      </c>
      <c r="T919" s="7" t="e">
        <f>IF(VLOOKUP($A919,'Concrete Beam Schedule'!$A$2:$Q$2902,T$2,0)&lt;&gt;D919,"Beam Revised","")</f>
        <v>#N/A</v>
      </c>
      <c r="U919" s="7" t="e">
        <f>IF(VLOOKUP($A919,'Concrete Beam Schedule'!$A$2:$Q$2902,U$2,0)&lt;&gt;E919,"Beam Revised","")</f>
        <v>#N/A</v>
      </c>
      <c r="V919" s="7" t="e">
        <f>IF(VLOOKUP($A919,'Concrete Beam Schedule'!$A$2:$Q$2902,V$2,0)&lt;&gt;F919,"Beam Revised","")</f>
        <v>#N/A</v>
      </c>
      <c r="W919" s="7" t="e">
        <f>IF(VLOOKUP($A919,'Concrete Beam Schedule'!$A$2:$Q$2902,W$2,0)&lt;&gt;G919,"Beam Revised","")</f>
        <v>#N/A</v>
      </c>
      <c r="X919" s="7" t="e">
        <f>IF(VLOOKUP($A919,'Concrete Beam Schedule'!$A$2:$Q$2902,X$2,0)&lt;&gt;H919,"Beam Revised","")</f>
        <v>#N/A</v>
      </c>
      <c r="Y919" s="7" t="e">
        <f>IF(VLOOKUP($A919,'Concrete Beam Schedule'!$A$2:$Q$2902,Y$2,0)&lt;&gt;I919,"Beam Revised","")</f>
        <v>#N/A</v>
      </c>
      <c r="Z919" s="7" t="e">
        <f>IF(VLOOKUP($A919,'Concrete Beam Schedule'!$A$2:$Q$2902,Z$2,0)&lt;&gt;J919,"Beam Revised","")</f>
        <v>#N/A</v>
      </c>
      <c r="AA919" s="7" t="e">
        <f>IF(VLOOKUP($A919,'Concrete Beam Schedule'!$A$2:$Q$2902,AA$2,0)&lt;&gt;K919,"Beam Revised","")</f>
        <v>#N/A</v>
      </c>
      <c r="AB919" s="7" t="e">
        <f>IF(VLOOKUP($A919,'Concrete Beam Schedule'!$A$2:$Q$2902,AB$2,0)&lt;&gt;L919,"Beam Revised","")</f>
        <v>#N/A</v>
      </c>
      <c r="AC919" s="7" t="e">
        <f>IF(VLOOKUP($A919,'Concrete Beam Schedule'!$A$2:$Q$2902,AC$2,0)&lt;&gt;M919,"Beam Revised","")</f>
        <v>#N/A</v>
      </c>
      <c r="AD919" s="7" t="e">
        <f>IF(VLOOKUP($A919,'Concrete Beam Schedule'!$A$2:$Q$2902,AD$2,0)&lt;&gt;N919,"Beam Revised","")</f>
        <v>#N/A</v>
      </c>
      <c r="AE919" s="7" t="e">
        <f>IF(VLOOKUP($A919,'Concrete Beam Schedule'!$A$2:$Q$2902,AE$2,0)&lt;&gt;O919,"Beam Revised","")</f>
        <v>#N/A</v>
      </c>
    </row>
    <row r="920" spans="17:31" ht="13.2" x14ac:dyDescent="0.25">
      <c r="Q920" s="7">
        <f t="shared" si="14"/>
        <v>0</v>
      </c>
      <c r="R920" s="7" t="e">
        <f>IF(VLOOKUP($A920,'Concrete Beam Schedule'!$A$2:$Q$2902,R$2,0)&lt;&gt;B920,VLOOKUP($A920,'Concrete Beam Schedule'!$A$2:$Q$2902,R$2,0),"")</f>
        <v>#N/A</v>
      </c>
      <c r="S920" s="7" t="e">
        <f>IF(VLOOKUP($A920,'Concrete Beam Schedule'!$A$2:$Q$2902,S$2,0)&lt;&gt;C920,VLOOKUP($A920,'Concrete Beam Schedule'!$A$2:$Q$2902,S$2,0),"")</f>
        <v>#N/A</v>
      </c>
      <c r="T920" s="7" t="e">
        <f>IF(VLOOKUP($A920,'Concrete Beam Schedule'!$A$2:$Q$2902,T$2,0)&lt;&gt;D920,"Beam Revised","")</f>
        <v>#N/A</v>
      </c>
      <c r="U920" s="7" t="e">
        <f>IF(VLOOKUP($A920,'Concrete Beam Schedule'!$A$2:$Q$2902,U$2,0)&lt;&gt;E920,"Beam Revised","")</f>
        <v>#N/A</v>
      </c>
      <c r="V920" s="7" t="e">
        <f>IF(VLOOKUP($A920,'Concrete Beam Schedule'!$A$2:$Q$2902,V$2,0)&lt;&gt;F920,"Beam Revised","")</f>
        <v>#N/A</v>
      </c>
      <c r="W920" s="7" t="e">
        <f>IF(VLOOKUP($A920,'Concrete Beam Schedule'!$A$2:$Q$2902,W$2,0)&lt;&gt;G920,"Beam Revised","")</f>
        <v>#N/A</v>
      </c>
      <c r="X920" s="7" t="e">
        <f>IF(VLOOKUP($A920,'Concrete Beam Schedule'!$A$2:$Q$2902,X$2,0)&lt;&gt;H920,"Beam Revised","")</f>
        <v>#N/A</v>
      </c>
      <c r="Y920" s="7" t="e">
        <f>IF(VLOOKUP($A920,'Concrete Beam Schedule'!$A$2:$Q$2902,Y$2,0)&lt;&gt;I920,"Beam Revised","")</f>
        <v>#N/A</v>
      </c>
      <c r="Z920" s="7" t="e">
        <f>IF(VLOOKUP($A920,'Concrete Beam Schedule'!$A$2:$Q$2902,Z$2,0)&lt;&gt;J920,"Beam Revised","")</f>
        <v>#N/A</v>
      </c>
      <c r="AA920" s="7" t="e">
        <f>IF(VLOOKUP($A920,'Concrete Beam Schedule'!$A$2:$Q$2902,AA$2,0)&lt;&gt;K920,"Beam Revised","")</f>
        <v>#N/A</v>
      </c>
      <c r="AB920" s="7" t="e">
        <f>IF(VLOOKUP($A920,'Concrete Beam Schedule'!$A$2:$Q$2902,AB$2,0)&lt;&gt;L920,"Beam Revised","")</f>
        <v>#N/A</v>
      </c>
      <c r="AC920" s="7" t="e">
        <f>IF(VLOOKUP($A920,'Concrete Beam Schedule'!$A$2:$Q$2902,AC$2,0)&lt;&gt;M920,"Beam Revised","")</f>
        <v>#N/A</v>
      </c>
      <c r="AD920" s="7" t="e">
        <f>IF(VLOOKUP($A920,'Concrete Beam Schedule'!$A$2:$Q$2902,AD$2,0)&lt;&gt;N920,"Beam Revised","")</f>
        <v>#N/A</v>
      </c>
      <c r="AE920" s="7" t="e">
        <f>IF(VLOOKUP($A920,'Concrete Beam Schedule'!$A$2:$Q$2902,AE$2,0)&lt;&gt;O920,"Beam Revised","")</f>
        <v>#N/A</v>
      </c>
    </row>
    <row r="921" spans="17:31" ht="13.2" x14ac:dyDescent="0.25">
      <c r="Q921" s="7">
        <f t="shared" si="14"/>
        <v>0</v>
      </c>
      <c r="R921" s="7" t="e">
        <f>IF(VLOOKUP($A921,'Concrete Beam Schedule'!$A$2:$Q$2902,R$2,0)&lt;&gt;B921,VLOOKUP($A921,'Concrete Beam Schedule'!$A$2:$Q$2902,R$2,0),"")</f>
        <v>#N/A</v>
      </c>
      <c r="S921" s="7" t="e">
        <f>IF(VLOOKUP($A921,'Concrete Beam Schedule'!$A$2:$Q$2902,S$2,0)&lt;&gt;C921,VLOOKUP($A921,'Concrete Beam Schedule'!$A$2:$Q$2902,S$2,0),"")</f>
        <v>#N/A</v>
      </c>
      <c r="T921" s="7" t="e">
        <f>IF(VLOOKUP($A921,'Concrete Beam Schedule'!$A$2:$Q$2902,T$2,0)&lt;&gt;D921,"Beam Revised","")</f>
        <v>#N/A</v>
      </c>
      <c r="U921" s="7" t="e">
        <f>IF(VLOOKUP($A921,'Concrete Beam Schedule'!$A$2:$Q$2902,U$2,0)&lt;&gt;E921,"Beam Revised","")</f>
        <v>#N/A</v>
      </c>
      <c r="V921" s="7" t="e">
        <f>IF(VLOOKUP($A921,'Concrete Beam Schedule'!$A$2:$Q$2902,V$2,0)&lt;&gt;F921,"Beam Revised","")</f>
        <v>#N/A</v>
      </c>
      <c r="W921" s="7" t="e">
        <f>IF(VLOOKUP($A921,'Concrete Beam Schedule'!$A$2:$Q$2902,W$2,0)&lt;&gt;G921,"Beam Revised","")</f>
        <v>#N/A</v>
      </c>
      <c r="X921" s="7" t="e">
        <f>IF(VLOOKUP($A921,'Concrete Beam Schedule'!$A$2:$Q$2902,X$2,0)&lt;&gt;H921,"Beam Revised","")</f>
        <v>#N/A</v>
      </c>
      <c r="Y921" s="7" t="e">
        <f>IF(VLOOKUP($A921,'Concrete Beam Schedule'!$A$2:$Q$2902,Y$2,0)&lt;&gt;I921,"Beam Revised","")</f>
        <v>#N/A</v>
      </c>
      <c r="Z921" s="7" t="e">
        <f>IF(VLOOKUP($A921,'Concrete Beam Schedule'!$A$2:$Q$2902,Z$2,0)&lt;&gt;J921,"Beam Revised","")</f>
        <v>#N/A</v>
      </c>
      <c r="AA921" s="7" t="e">
        <f>IF(VLOOKUP($A921,'Concrete Beam Schedule'!$A$2:$Q$2902,AA$2,0)&lt;&gt;K921,"Beam Revised","")</f>
        <v>#N/A</v>
      </c>
      <c r="AB921" s="7" t="e">
        <f>IF(VLOOKUP($A921,'Concrete Beam Schedule'!$A$2:$Q$2902,AB$2,0)&lt;&gt;L921,"Beam Revised","")</f>
        <v>#N/A</v>
      </c>
      <c r="AC921" s="7" t="e">
        <f>IF(VLOOKUP($A921,'Concrete Beam Schedule'!$A$2:$Q$2902,AC$2,0)&lt;&gt;M921,"Beam Revised","")</f>
        <v>#N/A</v>
      </c>
      <c r="AD921" s="7" t="e">
        <f>IF(VLOOKUP($A921,'Concrete Beam Schedule'!$A$2:$Q$2902,AD$2,0)&lt;&gt;N921,"Beam Revised","")</f>
        <v>#N/A</v>
      </c>
      <c r="AE921" s="7" t="e">
        <f>IF(VLOOKUP($A921,'Concrete Beam Schedule'!$A$2:$Q$2902,AE$2,0)&lt;&gt;O921,"Beam Revised","")</f>
        <v>#N/A</v>
      </c>
    </row>
    <row r="922" spans="17:31" ht="13.2" x14ac:dyDescent="0.25">
      <c r="Q922" s="7">
        <f t="shared" si="14"/>
        <v>0</v>
      </c>
      <c r="R922" s="7" t="e">
        <f>IF(VLOOKUP($A922,'Concrete Beam Schedule'!$A$2:$Q$2902,R$2,0)&lt;&gt;B922,VLOOKUP($A922,'Concrete Beam Schedule'!$A$2:$Q$2902,R$2,0),"")</f>
        <v>#N/A</v>
      </c>
      <c r="S922" s="7" t="e">
        <f>IF(VLOOKUP($A922,'Concrete Beam Schedule'!$A$2:$Q$2902,S$2,0)&lt;&gt;C922,VLOOKUP($A922,'Concrete Beam Schedule'!$A$2:$Q$2902,S$2,0),"")</f>
        <v>#N/A</v>
      </c>
      <c r="T922" s="7" t="e">
        <f>IF(VLOOKUP($A922,'Concrete Beam Schedule'!$A$2:$Q$2902,T$2,0)&lt;&gt;D922,"Beam Revised","")</f>
        <v>#N/A</v>
      </c>
      <c r="U922" s="7" t="e">
        <f>IF(VLOOKUP($A922,'Concrete Beam Schedule'!$A$2:$Q$2902,U$2,0)&lt;&gt;E922,"Beam Revised","")</f>
        <v>#N/A</v>
      </c>
      <c r="V922" s="7" t="e">
        <f>IF(VLOOKUP($A922,'Concrete Beam Schedule'!$A$2:$Q$2902,V$2,0)&lt;&gt;F922,"Beam Revised","")</f>
        <v>#N/A</v>
      </c>
      <c r="W922" s="7" t="e">
        <f>IF(VLOOKUP($A922,'Concrete Beam Schedule'!$A$2:$Q$2902,W$2,0)&lt;&gt;G922,"Beam Revised","")</f>
        <v>#N/A</v>
      </c>
      <c r="X922" s="7" t="e">
        <f>IF(VLOOKUP($A922,'Concrete Beam Schedule'!$A$2:$Q$2902,X$2,0)&lt;&gt;H922,"Beam Revised","")</f>
        <v>#N/A</v>
      </c>
      <c r="Y922" s="7" t="e">
        <f>IF(VLOOKUP($A922,'Concrete Beam Schedule'!$A$2:$Q$2902,Y$2,0)&lt;&gt;I922,"Beam Revised","")</f>
        <v>#N/A</v>
      </c>
      <c r="Z922" s="7" t="e">
        <f>IF(VLOOKUP($A922,'Concrete Beam Schedule'!$A$2:$Q$2902,Z$2,0)&lt;&gt;J922,"Beam Revised","")</f>
        <v>#N/A</v>
      </c>
      <c r="AA922" s="7" t="e">
        <f>IF(VLOOKUP($A922,'Concrete Beam Schedule'!$A$2:$Q$2902,AA$2,0)&lt;&gt;K922,"Beam Revised","")</f>
        <v>#N/A</v>
      </c>
      <c r="AB922" s="7" t="e">
        <f>IF(VLOOKUP($A922,'Concrete Beam Schedule'!$A$2:$Q$2902,AB$2,0)&lt;&gt;L922,"Beam Revised","")</f>
        <v>#N/A</v>
      </c>
      <c r="AC922" s="7" t="e">
        <f>IF(VLOOKUP($A922,'Concrete Beam Schedule'!$A$2:$Q$2902,AC$2,0)&lt;&gt;M922,"Beam Revised","")</f>
        <v>#N/A</v>
      </c>
      <c r="AD922" s="7" t="e">
        <f>IF(VLOOKUP($A922,'Concrete Beam Schedule'!$A$2:$Q$2902,AD$2,0)&lt;&gt;N922,"Beam Revised","")</f>
        <v>#N/A</v>
      </c>
      <c r="AE922" s="7" t="e">
        <f>IF(VLOOKUP($A922,'Concrete Beam Schedule'!$A$2:$Q$2902,AE$2,0)&lt;&gt;O922,"Beam Revised","")</f>
        <v>#N/A</v>
      </c>
    </row>
    <row r="923" spans="17:31" ht="13.2" x14ac:dyDescent="0.25">
      <c r="Q923" s="7">
        <f t="shared" si="14"/>
        <v>0</v>
      </c>
      <c r="R923" s="7" t="e">
        <f>IF(VLOOKUP($A923,'Concrete Beam Schedule'!$A$2:$Q$2902,R$2,0)&lt;&gt;B923,VLOOKUP($A923,'Concrete Beam Schedule'!$A$2:$Q$2902,R$2,0),"")</f>
        <v>#N/A</v>
      </c>
      <c r="S923" s="7" t="e">
        <f>IF(VLOOKUP($A923,'Concrete Beam Schedule'!$A$2:$Q$2902,S$2,0)&lt;&gt;C923,VLOOKUP($A923,'Concrete Beam Schedule'!$A$2:$Q$2902,S$2,0),"")</f>
        <v>#N/A</v>
      </c>
      <c r="T923" s="7" t="e">
        <f>IF(VLOOKUP($A923,'Concrete Beam Schedule'!$A$2:$Q$2902,T$2,0)&lt;&gt;D923,"Beam Revised","")</f>
        <v>#N/A</v>
      </c>
      <c r="U923" s="7" t="e">
        <f>IF(VLOOKUP($A923,'Concrete Beam Schedule'!$A$2:$Q$2902,U$2,0)&lt;&gt;E923,"Beam Revised","")</f>
        <v>#N/A</v>
      </c>
      <c r="V923" s="7" t="e">
        <f>IF(VLOOKUP($A923,'Concrete Beam Schedule'!$A$2:$Q$2902,V$2,0)&lt;&gt;F923,"Beam Revised","")</f>
        <v>#N/A</v>
      </c>
      <c r="W923" s="7" t="e">
        <f>IF(VLOOKUP($A923,'Concrete Beam Schedule'!$A$2:$Q$2902,W$2,0)&lt;&gt;G923,"Beam Revised","")</f>
        <v>#N/A</v>
      </c>
      <c r="X923" s="7" t="e">
        <f>IF(VLOOKUP($A923,'Concrete Beam Schedule'!$A$2:$Q$2902,X$2,0)&lt;&gt;H923,"Beam Revised","")</f>
        <v>#N/A</v>
      </c>
      <c r="Y923" s="7" t="e">
        <f>IF(VLOOKUP($A923,'Concrete Beam Schedule'!$A$2:$Q$2902,Y$2,0)&lt;&gt;I923,"Beam Revised","")</f>
        <v>#N/A</v>
      </c>
      <c r="Z923" s="7" t="e">
        <f>IF(VLOOKUP($A923,'Concrete Beam Schedule'!$A$2:$Q$2902,Z$2,0)&lt;&gt;J923,"Beam Revised","")</f>
        <v>#N/A</v>
      </c>
      <c r="AA923" s="7" t="e">
        <f>IF(VLOOKUP($A923,'Concrete Beam Schedule'!$A$2:$Q$2902,AA$2,0)&lt;&gt;K923,"Beam Revised","")</f>
        <v>#N/A</v>
      </c>
      <c r="AB923" s="7" t="e">
        <f>IF(VLOOKUP($A923,'Concrete Beam Schedule'!$A$2:$Q$2902,AB$2,0)&lt;&gt;L923,"Beam Revised","")</f>
        <v>#N/A</v>
      </c>
      <c r="AC923" s="7" t="e">
        <f>IF(VLOOKUP($A923,'Concrete Beam Schedule'!$A$2:$Q$2902,AC$2,0)&lt;&gt;M923,"Beam Revised","")</f>
        <v>#N/A</v>
      </c>
      <c r="AD923" s="7" t="e">
        <f>IF(VLOOKUP($A923,'Concrete Beam Schedule'!$A$2:$Q$2902,AD$2,0)&lt;&gt;N923,"Beam Revised","")</f>
        <v>#N/A</v>
      </c>
      <c r="AE923" s="7" t="e">
        <f>IF(VLOOKUP($A923,'Concrete Beam Schedule'!$A$2:$Q$2902,AE$2,0)&lt;&gt;O923,"Beam Revised","")</f>
        <v>#N/A</v>
      </c>
    </row>
    <row r="924" spans="17:31" ht="13.2" x14ac:dyDescent="0.25">
      <c r="Q924" s="7">
        <f t="shared" si="14"/>
        <v>0</v>
      </c>
      <c r="R924" s="7" t="e">
        <f>IF(VLOOKUP($A924,'Concrete Beam Schedule'!$A$2:$Q$2902,R$2,0)&lt;&gt;B924,VLOOKUP($A924,'Concrete Beam Schedule'!$A$2:$Q$2902,R$2,0),"")</f>
        <v>#N/A</v>
      </c>
      <c r="S924" s="7" t="e">
        <f>IF(VLOOKUP($A924,'Concrete Beam Schedule'!$A$2:$Q$2902,S$2,0)&lt;&gt;C924,VLOOKUP($A924,'Concrete Beam Schedule'!$A$2:$Q$2902,S$2,0),"")</f>
        <v>#N/A</v>
      </c>
      <c r="T924" s="7" t="e">
        <f>IF(VLOOKUP($A924,'Concrete Beam Schedule'!$A$2:$Q$2902,T$2,0)&lt;&gt;D924,"Beam Revised","")</f>
        <v>#N/A</v>
      </c>
      <c r="U924" s="7" t="e">
        <f>IF(VLOOKUP($A924,'Concrete Beam Schedule'!$A$2:$Q$2902,U$2,0)&lt;&gt;E924,"Beam Revised","")</f>
        <v>#N/A</v>
      </c>
      <c r="V924" s="7" t="e">
        <f>IF(VLOOKUP($A924,'Concrete Beam Schedule'!$A$2:$Q$2902,V$2,0)&lt;&gt;F924,"Beam Revised","")</f>
        <v>#N/A</v>
      </c>
      <c r="W924" s="7" t="e">
        <f>IF(VLOOKUP($A924,'Concrete Beam Schedule'!$A$2:$Q$2902,W$2,0)&lt;&gt;G924,"Beam Revised","")</f>
        <v>#N/A</v>
      </c>
      <c r="X924" s="7" t="e">
        <f>IF(VLOOKUP($A924,'Concrete Beam Schedule'!$A$2:$Q$2902,X$2,0)&lt;&gt;H924,"Beam Revised","")</f>
        <v>#N/A</v>
      </c>
      <c r="Y924" s="7" t="e">
        <f>IF(VLOOKUP($A924,'Concrete Beam Schedule'!$A$2:$Q$2902,Y$2,0)&lt;&gt;I924,"Beam Revised","")</f>
        <v>#N/A</v>
      </c>
      <c r="Z924" s="7" t="e">
        <f>IF(VLOOKUP($A924,'Concrete Beam Schedule'!$A$2:$Q$2902,Z$2,0)&lt;&gt;J924,"Beam Revised","")</f>
        <v>#N/A</v>
      </c>
      <c r="AA924" s="7" t="e">
        <f>IF(VLOOKUP($A924,'Concrete Beam Schedule'!$A$2:$Q$2902,AA$2,0)&lt;&gt;K924,"Beam Revised","")</f>
        <v>#N/A</v>
      </c>
      <c r="AB924" s="7" t="e">
        <f>IF(VLOOKUP($A924,'Concrete Beam Schedule'!$A$2:$Q$2902,AB$2,0)&lt;&gt;L924,"Beam Revised","")</f>
        <v>#N/A</v>
      </c>
      <c r="AC924" s="7" t="e">
        <f>IF(VLOOKUP($A924,'Concrete Beam Schedule'!$A$2:$Q$2902,AC$2,0)&lt;&gt;M924,"Beam Revised","")</f>
        <v>#N/A</v>
      </c>
      <c r="AD924" s="7" t="e">
        <f>IF(VLOOKUP($A924,'Concrete Beam Schedule'!$A$2:$Q$2902,AD$2,0)&lt;&gt;N924,"Beam Revised","")</f>
        <v>#N/A</v>
      </c>
      <c r="AE924" s="7" t="e">
        <f>IF(VLOOKUP($A924,'Concrete Beam Schedule'!$A$2:$Q$2902,AE$2,0)&lt;&gt;O924,"Beam Revised","")</f>
        <v>#N/A</v>
      </c>
    </row>
    <row r="925" spans="17:31" ht="13.2" x14ac:dyDescent="0.25">
      <c r="Q925" s="7">
        <f t="shared" si="14"/>
        <v>0</v>
      </c>
      <c r="R925" s="7" t="e">
        <f>IF(VLOOKUP($A925,'Concrete Beam Schedule'!$A$2:$Q$2902,R$2,0)&lt;&gt;B925,VLOOKUP($A925,'Concrete Beam Schedule'!$A$2:$Q$2902,R$2,0),"")</f>
        <v>#N/A</v>
      </c>
      <c r="S925" s="7" t="e">
        <f>IF(VLOOKUP($A925,'Concrete Beam Schedule'!$A$2:$Q$2902,S$2,0)&lt;&gt;C925,VLOOKUP($A925,'Concrete Beam Schedule'!$A$2:$Q$2902,S$2,0),"")</f>
        <v>#N/A</v>
      </c>
      <c r="T925" s="7" t="e">
        <f>IF(VLOOKUP($A925,'Concrete Beam Schedule'!$A$2:$Q$2902,T$2,0)&lt;&gt;D925,"Beam Revised","")</f>
        <v>#N/A</v>
      </c>
      <c r="U925" s="7" t="e">
        <f>IF(VLOOKUP($A925,'Concrete Beam Schedule'!$A$2:$Q$2902,U$2,0)&lt;&gt;E925,"Beam Revised","")</f>
        <v>#N/A</v>
      </c>
      <c r="V925" s="7" t="e">
        <f>IF(VLOOKUP($A925,'Concrete Beam Schedule'!$A$2:$Q$2902,V$2,0)&lt;&gt;F925,"Beam Revised","")</f>
        <v>#N/A</v>
      </c>
      <c r="W925" s="7" t="e">
        <f>IF(VLOOKUP($A925,'Concrete Beam Schedule'!$A$2:$Q$2902,W$2,0)&lt;&gt;G925,"Beam Revised","")</f>
        <v>#N/A</v>
      </c>
      <c r="X925" s="7" t="e">
        <f>IF(VLOOKUP($A925,'Concrete Beam Schedule'!$A$2:$Q$2902,X$2,0)&lt;&gt;H925,"Beam Revised","")</f>
        <v>#N/A</v>
      </c>
      <c r="Y925" s="7" t="e">
        <f>IF(VLOOKUP($A925,'Concrete Beam Schedule'!$A$2:$Q$2902,Y$2,0)&lt;&gt;I925,"Beam Revised","")</f>
        <v>#N/A</v>
      </c>
      <c r="Z925" s="7" t="e">
        <f>IF(VLOOKUP($A925,'Concrete Beam Schedule'!$A$2:$Q$2902,Z$2,0)&lt;&gt;J925,"Beam Revised","")</f>
        <v>#N/A</v>
      </c>
      <c r="AA925" s="7" t="e">
        <f>IF(VLOOKUP($A925,'Concrete Beam Schedule'!$A$2:$Q$2902,AA$2,0)&lt;&gt;K925,"Beam Revised","")</f>
        <v>#N/A</v>
      </c>
      <c r="AB925" s="7" t="e">
        <f>IF(VLOOKUP($A925,'Concrete Beam Schedule'!$A$2:$Q$2902,AB$2,0)&lt;&gt;L925,"Beam Revised","")</f>
        <v>#N/A</v>
      </c>
      <c r="AC925" s="7" t="e">
        <f>IF(VLOOKUP($A925,'Concrete Beam Schedule'!$A$2:$Q$2902,AC$2,0)&lt;&gt;M925,"Beam Revised","")</f>
        <v>#N/A</v>
      </c>
      <c r="AD925" s="7" t="e">
        <f>IF(VLOOKUP($A925,'Concrete Beam Schedule'!$A$2:$Q$2902,AD$2,0)&lt;&gt;N925,"Beam Revised","")</f>
        <v>#N/A</v>
      </c>
      <c r="AE925" s="7" t="e">
        <f>IF(VLOOKUP($A925,'Concrete Beam Schedule'!$A$2:$Q$2902,AE$2,0)&lt;&gt;O925,"Beam Revised","")</f>
        <v>#N/A</v>
      </c>
    </row>
    <row r="926" spans="17:31" ht="13.2" x14ac:dyDescent="0.25">
      <c r="Q926" s="7">
        <f t="shared" si="14"/>
        <v>0</v>
      </c>
      <c r="R926" s="7" t="e">
        <f>IF(VLOOKUP($A926,'Concrete Beam Schedule'!$A$2:$Q$2902,R$2,0)&lt;&gt;B926,VLOOKUP($A926,'Concrete Beam Schedule'!$A$2:$Q$2902,R$2,0),"")</f>
        <v>#N/A</v>
      </c>
      <c r="S926" s="7" t="e">
        <f>IF(VLOOKUP($A926,'Concrete Beam Schedule'!$A$2:$Q$2902,S$2,0)&lt;&gt;C926,VLOOKUP($A926,'Concrete Beam Schedule'!$A$2:$Q$2902,S$2,0),"")</f>
        <v>#N/A</v>
      </c>
      <c r="T926" s="7" t="e">
        <f>IF(VLOOKUP($A926,'Concrete Beam Schedule'!$A$2:$Q$2902,T$2,0)&lt;&gt;D926,"Beam Revised","")</f>
        <v>#N/A</v>
      </c>
      <c r="U926" s="7" t="e">
        <f>IF(VLOOKUP($A926,'Concrete Beam Schedule'!$A$2:$Q$2902,U$2,0)&lt;&gt;E926,"Beam Revised","")</f>
        <v>#N/A</v>
      </c>
      <c r="V926" s="7" t="e">
        <f>IF(VLOOKUP($A926,'Concrete Beam Schedule'!$A$2:$Q$2902,V$2,0)&lt;&gt;F926,"Beam Revised","")</f>
        <v>#N/A</v>
      </c>
      <c r="W926" s="7" t="e">
        <f>IF(VLOOKUP($A926,'Concrete Beam Schedule'!$A$2:$Q$2902,W$2,0)&lt;&gt;G926,"Beam Revised","")</f>
        <v>#N/A</v>
      </c>
      <c r="X926" s="7" t="e">
        <f>IF(VLOOKUP($A926,'Concrete Beam Schedule'!$A$2:$Q$2902,X$2,0)&lt;&gt;H926,"Beam Revised","")</f>
        <v>#N/A</v>
      </c>
      <c r="Y926" s="7" t="e">
        <f>IF(VLOOKUP($A926,'Concrete Beam Schedule'!$A$2:$Q$2902,Y$2,0)&lt;&gt;I926,"Beam Revised","")</f>
        <v>#N/A</v>
      </c>
      <c r="Z926" s="7" t="e">
        <f>IF(VLOOKUP($A926,'Concrete Beam Schedule'!$A$2:$Q$2902,Z$2,0)&lt;&gt;J926,"Beam Revised","")</f>
        <v>#N/A</v>
      </c>
      <c r="AA926" s="7" t="e">
        <f>IF(VLOOKUP($A926,'Concrete Beam Schedule'!$A$2:$Q$2902,AA$2,0)&lt;&gt;K926,"Beam Revised","")</f>
        <v>#N/A</v>
      </c>
      <c r="AB926" s="7" t="e">
        <f>IF(VLOOKUP($A926,'Concrete Beam Schedule'!$A$2:$Q$2902,AB$2,0)&lt;&gt;L926,"Beam Revised","")</f>
        <v>#N/A</v>
      </c>
      <c r="AC926" s="7" t="e">
        <f>IF(VLOOKUP($A926,'Concrete Beam Schedule'!$A$2:$Q$2902,AC$2,0)&lt;&gt;M926,"Beam Revised","")</f>
        <v>#N/A</v>
      </c>
      <c r="AD926" s="7" t="e">
        <f>IF(VLOOKUP($A926,'Concrete Beam Schedule'!$A$2:$Q$2902,AD$2,0)&lt;&gt;N926,"Beam Revised","")</f>
        <v>#N/A</v>
      </c>
      <c r="AE926" s="7" t="e">
        <f>IF(VLOOKUP($A926,'Concrete Beam Schedule'!$A$2:$Q$2902,AE$2,0)&lt;&gt;O926,"Beam Revised","")</f>
        <v>#N/A</v>
      </c>
    </row>
    <row r="927" spans="17:31" ht="13.2" x14ac:dyDescent="0.25">
      <c r="Q927" s="7">
        <f t="shared" si="14"/>
        <v>0</v>
      </c>
      <c r="R927" s="7" t="e">
        <f>IF(VLOOKUP($A927,'Concrete Beam Schedule'!$A$2:$Q$2902,R$2,0)&lt;&gt;B927,VLOOKUP($A927,'Concrete Beam Schedule'!$A$2:$Q$2902,R$2,0),"")</f>
        <v>#N/A</v>
      </c>
      <c r="S927" s="7" t="e">
        <f>IF(VLOOKUP($A927,'Concrete Beam Schedule'!$A$2:$Q$2902,S$2,0)&lt;&gt;C927,VLOOKUP($A927,'Concrete Beam Schedule'!$A$2:$Q$2902,S$2,0),"")</f>
        <v>#N/A</v>
      </c>
      <c r="T927" s="7" t="e">
        <f>IF(VLOOKUP($A927,'Concrete Beam Schedule'!$A$2:$Q$2902,T$2,0)&lt;&gt;D927,"Beam Revised","")</f>
        <v>#N/A</v>
      </c>
      <c r="U927" s="7" t="e">
        <f>IF(VLOOKUP($A927,'Concrete Beam Schedule'!$A$2:$Q$2902,U$2,0)&lt;&gt;E927,"Beam Revised","")</f>
        <v>#N/A</v>
      </c>
      <c r="V927" s="7" t="e">
        <f>IF(VLOOKUP($A927,'Concrete Beam Schedule'!$A$2:$Q$2902,V$2,0)&lt;&gt;F927,"Beam Revised","")</f>
        <v>#N/A</v>
      </c>
      <c r="W927" s="7" t="e">
        <f>IF(VLOOKUP($A927,'Concrete Beam Schedule'!$A$2:$Q$2902,W$2,0)&lt;&gt;G927,"Beam Revised","")</f>
        <v>#N/A</v>
      </c>
      <c r="X927" s="7" t="e">
        <f>IF(VLOOKUP($A927,'Concrete Beam Schedule'!$A$2:$Q$2902,X$2,0)&lt;&gt;H927,"Beam Revised","")</f>
        <v>#N/A</v>
      </c>
      <c r="Y927" s="7" t="e">
        <f>IF(VLOOKUP($A927,'Concrete Beam Schedule'!$A$2:$Q$2902,Y$2,0)&lt;&gt;I927,"Beam Revised","")</f>
        <v>#N/A</v>
      </c>
      <c r="Z927" s="7" t="e">
        <f>IF(VLOOKUP($A927,'Concrete Beam Schedule'!$A$2:$Q$2902,Z$2,0)&lt;&gt;J927,"Beam Revised","")</f>
        <v>#N/A</v>
      </c>
      <c r="AA927" s="7" t="e">
        <f>IF(VLOOKUP($A927,'Concrete Beam Schedule'!$A$2:$Q$2902,AA$2,0)&lt;&gt;K927,"Beam Revised","")</f>
        <v>#N/A</v>
      </c>
      <c r="AB927" s="7" t="e">
        <f>IF(VLOOKUP($A927,'Concrete Beam Schedule'!$A$2:$Q$2902,AB$2,0)&lt;&gt;L927,"Beam Revised","")</f>
        <v>#N/A</v>
      </c>
      <c r="AC927" s="7" t="e">
        <f>IF(VLOOKUP($A927,'Concrete Beam Schedule'!$A$2:$Q$2902,AC$2,0)&lt;&gt;M927,"Beam Revised","")</f>
        <v>#N/A</v>
      </c>
      <c r="AD927" s="7" t="e">
        <f>IF(VLOOKUP($A927,'Concrete Beam Schedule'!$A$2:$Q$2902,AD$2,0)&lt;&gt;N927,"Beam Revised","")</f>
        <v>#N/A</v>
      </c>
      <c r="AE927" s="7" t="e">
        <f>IF(VLOOKUP($A927,'Concrete Beam Schedule'!$A$2:$Q$2902,AE$2,0)&lt;&gt;O927,"Beam Revised","")</f>
        <v>#N/A</v>
      </c>
    </row>
    <row r="928" spans="17:31" ht="13.2" x14ac:dyDescent="0.25">
      <c r="Q928" s="7">
        <f t="shared" si="14"/>
        <v>0</v>
      </c>
      <c r="R928" s="7" t="e">
        <f>IF(VLOOKUP($A928,'Concrete Beam Schedule'!$A$2:$Q$2902,R$2,0)&lt;&gt;B928,VLOOKUP($A928,'Concrete Beam Schedule'!$A$2:$Q$2902,R$2,0),"")</f>
        <v>#N/A</v>
      </c>
      <c r="S928" s="7" t="e">
        <f>IF(VLOOKUP($A928,'Concrete Beam Schedule'!$A$2:$Q$2902,S$2,0)&lt;&gt;C928,VLOOKUP($A928,'Concrete Beam Schedule'!$A$2:$Q$2902,S$2,0),"")</f>
        <v>#N/A</v>
      </c>
      <c r="T928" s="7" t="e">
        <f>IF(VLOOKUP($A928,'Concrete Beam Schedule'!$A$2:$Q$2902,T$2,0)&lt;&gt;D928,"Beam Revised","")</f>
        <v>#N/A</v>
      </c>
      <c r="U928" s="7" t="e">
        <f>IF(VLOOKUP($A928,'Concrete Beam Schedule'!$A$2:$Q$2902,U$2,0)&lt;&gt;E928,"Beam Revised","")</f>
        <v>#N/A</v>
      </c>
      <c r="V928" s="7" t="e">
        <f>IF(VLOOKUP($A928,'Concrete Beam Schedule'!$A$2:$Q$2902,V$2,0)&lt;&gt;F928,"Beam Revised","")</f>
        <v>#N/A</v>
      </c>
      <c r="W928" s="7" t="e">
        <f>IF(VLOOKUP($A928,'Concrete Beam Schedule'!$A$2:$Q$2902,W$2,0)&lt;&gt;G928,"Beam Revised","")</f>
        <v>#N/A</v>
      </c>
      <c r="X928" s="7" t="e">
        <f>IF(VLOOKUP($A928,'Concrete Beam Schedule'!$A$2:$Q$2902,X$2,0)&lt;&gt;H928,"Beam Revised","")</f>
        <v>#N/A</v>
      </c>
      <c r="Y928" s="7" t="e">
        <f>IF(VLOOKUP($A928,'Concrete Beam Schedule'!$A$2:$Q$2902,Y$2,0)&lt;&gt;I928,"Beam Revised","")</f>
        <v>#N/A</v>
      </c>
      <c r="Z928" s="7" t="e">
        <f>IF(VLOOKUP($A928,'Concrete Beam Schedule'!$A$2:$Q$2902,Z$2,0)&lt;&gt;J928,"Beam Revised","")</f>
        <v>#N/A</v>
      </c>
      <c r="AA928" s="7" t="e">
        <f>IF(VLOOKUP($A928,'Concrete Beam Schedule'!$A$2:$Q$2902,AA$2,0)&lt;&gt;K928,"Beam Revised","")</f>
        <v>#N/A</v>
      </c>
      <c r="AB928" s="7" t="e">
        <f>IF(VLOOKUP($A928,'Concrete Beam Schedule'!$A$2:$Q$2902,AB$2,0)&lt;&gt;L928,"Beam Revised","")</f>
        <v>#N/A</v>
      </c>
      <c r="AC928" s="7" t="e">
        <f>IF(VLOOKUP($A928,'Concrete Beam Schedule'!$A$2:$Q$2902,AC$2,0)&lt;&gt;M928,"Beam Revised","")</f>
        <v>#N/A</v>
      </c>
      <c r="AD928" s="7" t="e">
        <f>IF(VLOOKUP($A928,'Concrete Beam Schedule'!$A$2:$Q$2902,AD$2,0)&lt;&gt;N928,"Beam Revised","")</f>
        <v>#N/A</v>
      </c>
      <c r="AE928" s="7" t="e">
        <f>IF(VLOOKUP($A928,'Concrete Beam Schedule'!$A$2:$Q$2902,AE$2,0)&lt;&gt;O928,"Beam Revised","")</f>
        <v>#N/A</v>
      </c>
    </row>
    <row r="929" spans="17:31" ht="13.2" x14ac:dyDescent="0.25">
      <c r="Q929" s="7">
        <f t="shared" si="14"/>
        <v>0</v>
      </c>
      <c r="R929" s="7" t="e">
        <f>IF(VLOOKUP($A929,'Concrete Beam Schedule'!$A$2:$Q$2902,R$2,0)&lt;&gt;B929,VLOOKUP($A929,'Concrete Beam Schedule'!$A$2:$Q$2902,R$2,0),"")</f>
        <v>#N/A</v>
      </c>
      <c r="S929" s="7" t="e">
        <f>IF(VLOOKUP($A929,'Concrete Beam Schedule'!$A$2:$Q$2902,S$2,0)&lt;&gt;C929,VLOOKUP($A929,'Concrete Beam Schedule'!$A$2:$Q$2902,S$2,0),"")</f>
        <v>#N/A</v>
      </c>
      <c r="T929" s="7" t="e">
        <f>IF(VLOOKUP($A929,'Concrete Beam Schedule'!$A$2:$Q$2902,T$2,0)&lt;&gt;D929,"Beam Revised","")</f>
        <v>#N/A</v>
      </c>
      <c r="U929" s="7" t="e">
        <f>IF(VLOOKUP($A929,'Concrete Beam Schedule'!$A$2:$Q$2902,U$2,0)&lt;&gt;E929,"Beam Revised","")</f>
        <v>#N/A</v>
      </c>
      <c r="V929" s="7" t="e">
        <f>IF(VLOOKUP($A929,'Concrete Beam Schedule'!$A$2:$Q$2902,V$2,0)&lt;&gt;F929,"Beam Revised","")</f>
        <v>#N/A</v>
      </c>
      <c r="W929" s="7" t="e">
        <f>IF(VLOOKUP($A929,'Concrete Beam Schedule'!$A$2:$Q$2902,W$2,0)&lt;&gt;G929,"Beam Revised","")</f>
        <v>#N/A</v>
      </c>
      <c r="X929" s="7" t="e">
        <f>IF(VLOOKUP($A929,'Concrete Beam Schedule'!$A$2:$Q$2902,X$2,0)&lt;&gt;H929,"Beam Revised","")</f>
        <v>#N/A</v>
      </c>
      <c r="Y929" s="7" t="e">
        <f>IF(VLOOKUP($A929,'Concrete Beam Schedule'!$A$2:$Q$2902,Y$2,0)&lt;&gt;I929,"Beam Revised","")</f>
        <v>#N/A</v>
      </c>
      <c r="Z929" s="7" t="e">
        <f>IF(VLOOKUP($A929,'Concrete Beam Schedule'!$A$2:$Q$2902,Z$2,0)&lt;&gt;J929,"Beam Revised","")</f>
        <v>#N/A</v>
      </c>
      <c r="AA929" s="7" t="e">
        <f>IF(VLOOKUP($A929,'Concrete Beam Schedule'!$A$2:$Q$2902,AA$2,0)&lt;&gt;K929,"Beam Revised","")</f>
        <v>#N/A</v>
      </c>
      <c r="AB929" s="7" t="e">
        <f>IF(VLOOKUP($A929,'Concrete Beam Schedule'!$A$2:$Q$2902,AB$2,0)&lt;&gt;L929,"Beam Revised","")</f>
        <v>#N/A</v>
      </c>
      <c r="AC929" s="7" t="e">
        <f>IF(VLOOKUP($A929,'Concrete Beam Schedule'!$A$2:$Q$2902,AC$2,0)&lt;&gt;M929,"Beam Revised","")</f>
        <v>#N/A</v>
      </c>
      <c r="AD929" s="7" t="e">
        <f>IF(VLOOKUP($A929,'Concrete Beam Schedule'!$A$2:$Q$2902,AD$2,0)&lt;&gt;N929,"Beam Revised","")</f>
        <v>#N/A</v>
      </c>
      <c r="AE929" s="7" t="e">
        <f>IF(VLOOKUP($A929,'Concrete Beam Schedule'!$A$2:$Q$2902,AE$2,0)&lt;&gt;O929,"Beam Revised","")</f>
        <v>#N/A</v>
      </c>
    </row>
    <row r="930" spans="17:31" ht="13.2" x14ac:dyDescent="0.25">
      <c r="Q930" s="7">
        <f t="shared" si="14"/>
        <v>0</v>
      </c>
      <c r="R930" s="7" t="e">
        <f>IF(VLOOKUP($A930,'Concrete Beam Schedule'!$A$2:$Q$2902,R$2,0)&lt;&gt;B930,VLOOKUP($A930,'Concrete Beam Schedule'!$A$2:$Q$2902,R$2,0),"")</f>
        <v>#N/A</v>
      </c>
      <c r="S930" s="7" t="e">
        <f>IF(VLOOKUP($A930,'Concrete Beam Schedule'!$A$2:$Q$2902,S$2,0)&lt;&gt;C930,VLOOKUP($A930,'Concrete Beam Schedule'!$A$2:$Q$2902,S$2,0),"")</f>
        <v>#N/A</v>
      </c>
      <c r="T930" s="7" t="e">
        <f>IF(VLOOKUP($A930,'Concrete Beam Schedule'!$A$2:$Q$2902,T$2,0)&lt;&gt;D930,"Beam Revised","")</f>
        <v>#N/A</v>
      </c>
      <c r="U930" s="7" t="e">
        <f>IF(VLOOKUP($A930,'Concrete Beam Schedule'!$A$2:$Q$2902,U$2,0)&lt;&gt;E930,"Beam Revised","")</f>
        <v>#N/A</v>
      </c>
      <c r="V930" s="7" t="e">
        <f>IF(VLOOKUP($A930,'Concrete Beam Schedule'!$A$2:$Q$2902,V$2,0)&lt;&gt;F930,"Beam Revised","")</f>
        <v>#N/A</v>
      </c>
      <c r="W930" s="7" t="e">
        <f>IF(VLOOKUP($A930,'Concrete Beam Schedule'!$A$2:$Q$2902,W$2,0)&lt;&gt;G930,"Beam Revised","")</f>
        <v>#N/A</v>
      </c>
      <c r="X930" s="7" t="e">
        <f>IF(VLOOKUP($A930,'Concrete Beam Schedule'!$A$2:$Q$2902,X$2,0)&lt;&gt;H930,"Beam Revised","")</f>
        <v>#N/A</v>
      </c>
      <c r="Y930" s="7" t="e">
        <f>IF(VLOOKUP($A930,'Concrete Beam Schedule'!$A$2:$Q$2902,Y$2,0)&lt;&gt;I930,"Beam Revised","")</f>
        <v>#N/A</v>
      </c>
      <c r="Z930" s="7" t="e">
        <f>IF(VLOOKUP($A930,'Concrete Beam Schedule'!$A$2:$Q$2902,Z$2,0)&lt;&gt;J930,"Beam Revised","")</f>
        <v>#N/A</v>
      </c>
      <c r="AA930" s="7" t="e">
        <f>IF(VLOOKUP($A930,'Concrete Beam Schedule'!$A$2:$Q$2902,AA$2,0)&lt;&gt;K930,"Beam Revised","")</f>
        <v>#N/A</v>
      </c>
      <c r="AB930" s="7" t="e">
        <f>IF(VLOOKUP($A930,'Concrete Beam Schedule'!$A$2:$Q$2902,AB$2,0)&lt;&gt;L930,"Beam Revised","")</f>
        <v>#N/A</v>
      </c>
      <c r="AC930" s="7" t="e">
        <f>IF(VLOOKUP($A930,'Concrete Beam Schedule'!$A$2:$Q$2902,AC$2,0)&lt;&gt;M930,"Beam Revised","")</f>
        <v>#N/A</v>
      </c>
      <c r="AD930" s="7" t="e">
        <f>IF(VLOOKUP($A930,'Concrete Beam Schedule'!$A$2:$Q$2902,AD$2,0)&lt;&gt;N930,"Beam Revised","")</f>
        <v>#N/A</v>
      </c>
      <c r="AE930" s="7" t="e">
        <f>IF(VLOOKUP($A930,'Concrete Beam Schedule'!$A$2:$Q$2902,AE$2,0)&lt;&gt;O930,"Beam Revised","")</f>
        <v>#N/A</v>
      </c>
    </row>
    <row r="931" spans="17:31" ht="13.2" x14ac:dyDescent="0.25">
      <c r="Q931" s="7">
        <f t="shared" si="14"/>
        <v>0</v>
      </c>
      <c r="R931" s="7" t="e">
        <f>IF(VLOOKUP($A931,'Concrete Beam Schedule'!$A$2:$Q$2902,R$2,0)&lt;&gt;B931,VLOOKUP($A931,'Concrete Beam Schedule'!$A$2:$Q$2902,R$2,0),"")</f>
        <v>#N/A</v>
      </c>
      <c r="S931" s="7" t="e">
        <f>IF(VLOOKUP($A931,'Concrete Beam Schedule'!$A$2:$Q$2902,S$2,0)&lt;&gt;C931,VLOOKUP($A931,'Concrete Beam Schedule'!$A$2:$Q$2902,S$2,0),"")</f>
        <v>#N/A</v>
      </c>
      <c r="T931" s="7" t="e">
        <f>IF(VLOOKUP($A931,'Concrete Beam Schedule'!$A$2:$Q$2902,T$2,0)&lt;&gt;D931,"Beam Revised","")</f>
        <v>#N/A</v>
      </c>
      <c r="U931" s="7" t="e">
        <f>IF(VLOOKUP($A931,'Concrete Beam Schedule'!$A$2:$Q$2902,U$2,0)&lt;&gt;E931,"Beam Revised","")</f>
        <v>#N/A</v>
      </c>
      <c r="V931" s="7" t="e">
        <f>IF(VLOOKUP($A931,'Concrete Beam Schedule'!$A$2:$Q$2902,V$2,0)&lt;&gt;F931,"Beam Revised","")</f>
        <v>#N/A</v>
      </c>
      <c r="W931" s="7" t="e">
        <f>IF(VLOOKUP($A931,'Concrete Beam Schedule'!$A$2:$Q$2902,W$2,0)&lt;&gt;G931,"Beam Revised","")</f>
        <v>#N/A</v>
      </c>
      <c r="X931" s="7" t="e">
        <f>IF(VLOOKUP($A931,'Concrete Beam Schedule'!$A$2:$Q$2902,X$2,0)&lt;&gt;H931,"Beam Revised","")</f>
        <v>#N/A</v>
      </c>
      <c r="Y931" s="7" t="e">
        <f>IF(VLOOKUP($A931,'Concrete Beam Schedule'!$A$2:$Q$2902,Y$2,0)&lt;&gt;I931,"Beam Revised","")</f>
        <v>#N/A</v>
      </c>
      <c r="Z931" s="7" t="e">
        <f>IF(VLOOKUP($A931,'Concrete Beam Schedule'!$A$2:$Q$2902,Z$2,0)&lt;&gt;J931,"Beam Revised","")</f>
        <v>#N/A</v>
      </c>
      <c r="AA931" s="7" t="e">
        <f>IF(VLOOKUP($A931,'Concrete Beam Schedule'!$A$2:$Q$2902,AA$2,0)&lt;&gt;K931,"Beam Revised","")</f>
        <v>#N/A</v>
      </c>
      <c r="AB931" s="7" t="e">
        <f>IF(VLOOKUP($A931,'Concrete Beam Schedule'!$A$2:$Q$2902,AB$2,0)&lt;&gt;L931,"Beam Revised","")</f>
        <v>#N/A</v>
      </c>
      <c r="AC931" s="7" t="e">
        <f>IF(VLOOKUP($A931,'Concrete Beam Schedule'!$A$2:$Q$2902,AC$2,0)&lt;&gt;M931,"Beam Revised","")</f>
        <v>#N/A</v>
      </c>
      <c r="AD931" s="7" t="e">
        <f>IF(VLOOKUP($A931,'Concrete Beam Schedule'!$A$2:$Q$2902,AD$2,0)&lt;&gt;N931,"Beam Revised","")</f>
        <v>#N/A</v>
      </c>
      <c r="AE931" s="7" t="e">
        <f>IF(VLOOKUP($A931,'Concrete Beam Schedule'!$A$2:$Q$2902,AE$2,0)&lt;&gt;O931,"Beam Revised","")</f>
        <v>#N/A</v>
      </c>
    </row>
    <row r="932" spans="17:31" ht="13.2" x14ac:dyDescent="0.25">
      <c r="Q932" s="7">
        <f t="shared" si="14"/>
        <v>0</v>
      </c>
      <c r="R932" s="7" t="e">
        <f>IF(VLOOKUP($A932,'Concrete Beam Schedule'!$A$2:$Q$2902,R$2,0)&lt;&gt;B932,VLOOKUP($A932,'Concrete Beam Schedule'!$A$2:$Q$2902,R$2,0),"")</f>
        <v>#N/A</v>
      </c>
      <c r="S932" s="7" t="e">
        <f>IF(VLOOKUP($A932,'Concrete Beam Schedule'!$A$2:$Q$2902,S$2,0)&lt;&gt;C932,VLOOKUP($A932,'Concrete Beam Schedule'!$A$2:$Q$2902,S$2,0),"")</f>
        <v>#N/A</v>
      </c>
      <c r="T932" s="7" t="e">
        <f>IF(VLOOKUP($A932,'Concrete Beam Schedule'!$A$2:$Q$2902,T$2,0)&lt;&gt;D932,"Beam Revised","")</f>
        <v>#N/A</v>
      </c>
      <c r="U932" s="7" t="e">
        <f>IF(VLOOKUP($A932,'Concrete Beam Schedule'!$A$2:$Q$2902,U$2,0)&lt;&gt;E932,"Beam Revised","")</f>
        <v>#N/A</v>
      </c>
      <c r="V932" s="7" t="e">
        <f>IF(VLOOKUP($A932,'Concrete Beam Schedule'!$A$2:$Q$2902,V$2,0)&lt;&gt;F932,"Beam Revised","")</f>
        <v>#N/A</v>
      </c>
      <c r="W932" s="7" t="e">
        <f>IF(VLOOKUP($A932,'Concrete Beam Schedule'!$A$2:$Q$2902,W$2,0)&lt;&gt;G932,"Beam Revised","")</f>
        <v>#N/A</v>
      </c>
      <c r="X932" s="7" t="e">
        <f>IF(VLOOKUP($A932,'Concrete Beam Schedule'!$A$2:$Q$2902,X$2,0)&lt;&gt;H932,"Beam Revised","")</f>
        <v>#N/A</v>
      </c>
      <c r="Y932" s="7" t="e">
        <f>IF(VLOOKUP($A932,'Concrete Beam Schedule'!$A$2:$Q$2902,Y$2,0)&lt;&gt;I932,"Beam Revised","")</f>
        <v>#N/A</v>
      </c>
      <c r="Z932" s="7" t="e">
        <f>IF(VLOOKUP($A932,'Concrete Beam Schedule'!$A$2:$Q$2902,Z$2,0)&lt;&gt;J932,"Beam Revised","")</f>
        <v>#N/A</v>
      </c>
      <c r="AA932" s="7" t="e">
        <f>IF(VLOOKUP($A932,'Concrete Beam Schedule'!$A$2:$Q$2902,AA$2,0)&lt;&gt;K932,"Beam Revised","")</f>
        <v>#N/A</v>
      </c>
      <c r="AB932" s="7" t="e">
        <f>IF(VLOOKUP($A932,'Concrete Beam Schedule'!$A$2:$Q$2902,AB$2,0)&lt;&gt;L932,"Beam Revised","")</f>
        <v>#N/A</v>
      </c>
      <c r="AC932" s="7" t="e">
        <f>IF(VLOOKUP($A932,'Concrete Beam Schedule'!$A$2:$Q$2902,AC$2,0)&lt;&gt;M932,"Beam Revised","")</f>
        <v>#N/A</v>
      </c>
      <c r="AD932" s="7" t="e">
        <f>IF(VLOOKUP($A932,'Concrete Beam Schedule'!$A$2:$Q$2902,AD$2,0)&lt;&gt;N932,"Beam Revised","")</f>
        <v>#N/A</v>
      </c>
      <c r="AE932" s="7" t="e">
        <f>IF(VLOOKUP($A932,'Concrete Beam Schedule'!$A$2:$Q$2902,AE$2,0)&lt;&gt;O932,"Beam Revised","")</f>
        <v>#N/A</v>
      </c>
    </row>
    <row r="933" spans="17:31" ht="13.2" x14ac:dyDescent="0.25">
      <c r="Q933" s="7">
        <f t="shared" si="14"/>
        <v>0</v>
      </c>
      <c r="R933" s="7" t="e">
        <f>IF(VLOOKUP($A933,'Concrete Beam Schedule'!$A$2:$Q$2902,R$2,0)&lt;&gt;B933,VLOOKUP($A933,'Concrete Beam Schedule'!$A$2:$Q$2902,R$2,0),"")</f>
        <v>#N/A</v>
      </c>
      <c r="S933" s="7" t="e">
        <f>IF(VLOOKUP($A933,'Concrete Beam Schedule'!$A$2:$Q$2902,S$2,0)&lt;&gt;C933,VLOOKUP($A933,'Concrete Beam Schedule'!$A$2:$Q$2902,S$2,0),"")</f>
        <v>#N/A</v>
      </c>
      <c r="T933" s="7" t="e">
        <f>IF(VLOOKUP($A933,'Concrete Beam Schedule'!$A$2:$Q$2902,T$2,0)&lt;&gt;D933,"Beam Revised","")</f>
        <v>#N/A</v>
      </c>
      <c r="U933" s="7" t="e">
        <f>IF(VLOOKUP($A933,'Concrete Beam Schedule'!$A$2:$Q$2902,U$2,0)&lt;&gt;E933,"Beam Revised","")</f>
        <v>#N/A</v>
      </c>
      <c r="V933" s="7" t="e">
        <f>IF(VLOOKUP($A933,'Concrete Beam Schedule'!$A$2:$Q$2902,V$2,0)&lt;&gt;F933,"Beam Revised","")</f>
        <v>#N/A</v>
      </c>
      <c r="W933" s="7" t="e">
        <f>IF(VLOOKUP($A933,'Concrete Beam Schedule'!$A$2:$Q$2902,W$2,0)&lt;&gt;G933,"Beam Revised","")</f>
        <v>#N/A</v>
      </c>
      <c r="X933" s="7" t="e">
        <f>IF(VLOOKUP($A933,'Concrete Beam Schedule'!$A$2:$Q$2902,X$2,0)&lt;&gt;H933,"Beam Revised","")</f>
        <v>#N/A</v>
      </c>
      <c r="Y933" s="7" t="e">
        <f>IF(VLOOKUP($A933,'Concrete Beam Schedule'!$A$2:$Q$2902,Y$2,0)&lt;&gt;I933,"Beam Revised","")</f>
        <v>#N/A</v>
      </c>
      <c r="Z933" s="7" t="e">
        <f>IF(VLOOKUP($A933,'Concrete Beam Schedule'!$A$2:$Q$2902,Z$2,0)&lt;&gt;J933,"Beam Revised","")</f>
        <v>#N/A</v>
      </c>
      <c r="AA933" s="7" t="e">
        <f>IF(VLOOKUP($A933,'Concrete Beam Schedule'!$A$2:$Q$2902,AA$2,0)&lt;&gt;K933,"Beam Revised","")</f>
        <v>#N/A</v>
      </c>
      <c r="AB933" s="7" t="e">
        <f>IF(VLOOKUP($A933,'Concrete Beam Schedule'!$A$2:$Q$2902,AB$2,0)&lt;&gt;L933,"Beam Revised","")</f>
        <v>#N/A</v>
      </c>
      <c r="AC933" s="7" t="e">
        <f>IF(VLOOKUP($A933,'Concrete Beam Schedule'!$A$2:$Q$2902,AC$2,0)&lt;&gt;M933,"Beam Revised","")</f>
        <v>#N/A</v>
      </c>
      <c r="AD933" s="7" t="e">
        <f>IF(VLOOKUP($A933,'Concrete Beam Schedule'!$A$2:$Q$2902,AD$2,0)&lt;&gt;N933,"Beam Revised","")</f>
        <v>#N/A</v>
      </c>
      <c r="AE933" s="7" t="e">
        <f>IF(VLOOKUP($A933,'Concrete Beam Schedule'!$A$2:$Q$2902,AE$2,0)&lt;&gt;O933,"Beam Revised","")</f>
        <v>#N/A</v>
      </c>
    </row>
    <row r="934" spans="17:31" ht="13.2" x14ac:dyDescent="0.25">
      <c r="Q934" s="7">
        <f t="shared" si="14"/>
        <v>0</v>
      </c>
      <c r="R934" s="7" t="e">
        <f>IF(VLOOKUP($A934,'Concrete Beam Schedule'!$A$2:$Q$2902,R$2,0)&lt;&gt;B934,VLOOKUP($A934,'Concrete Beam Schedule'!$A$2:$Q$2902,R$2,0),"")</f>
        <v>#N/A</v>
      </c>
      <c r="S934" s="7" t="e">
        <f>IF(VLOOKUP($A934,'Concrete Beam Schedule'!$A$2:$Q$2902,S$2,0)&lt;&gt;C934,VLOOKUP($A934,'Concrete Beam Schedule'!$A$2:$Q$2902,S$2,0),"")</f>
        <v>#N/A</v>
      </c>
      <c r="T934" s="7" t="e">
        <f>IF(VLOOKUP($A934,'Concrete Beam Schedule'!$A$2:$Q$2902,T$2,0)&lt;&gt;D934,"Beam Revised","")</f>
        <v>#N/A</v>
      </c>
      <c r="U934" s="7" t="e">
        <f>IF(VLOOKUP($A934,'Concrete Beam Schedule'!$A$2:$Q$2902,U$2,0)&lt;&gt;E934,"Beam Revised","")</f>
        <v>#N/A</v>
      </c>
      <c r="V934" s="7" t="e">
        <f>IF(VLOOKUP($A934,'Concrete Beam Schedule'!$A$2:$Q$2902,V$2,0)&lt;&gt;F934,"Beam Revised","")</f>
        <v>#N/A</v>
      </c>
      <c r="W934" s="7" t="e">
        <f>IF(VLOOKUP($A934,'Concrete Beam Schedule'!$A$2:$Q$2902,W$2,0)&lt;&gt;G934,"Beam Revised","")</f>
        <v>#N/A</v>
      </c>
      <c r="X934" s="7" t="e">
        <f>IF(VLOOKUP($A934,'Concrete Beam Schedule'!$A$2:$Q$2902,X$2,0)&lt;&gt;H934,"Beam Revised","")</f>
        <v>#N/A</v>
      </c>
      <c r="Y934" s="7" t="e">
        <f>IF(VLOOKUP($A934,'Concrete Beam Schedule'!$A$2:$Q$2902,Y$2,0)&lt;&gt;I934,"Beam Revised","")</f>
        <v>#N/A</v>
      </c>
      <c r="Z934" s="7" t="e">
        <f>IF(VLOOKUP($A934,'Concrete Beam Schedule'!$A$2:$Q$2902,Z$2,0)&lt;&gt;J934,"Beam Revised","")</f>
        <v>#N/A</v>
      </c>
      <c r="AA934" s="7" t="e">
        <f>IF(VLOOKUP($A934,'Concrete Beam Schedule'!$A$2:$Q$2902,AA$2,0)&lt;&gt;K934,"Beam Revised","")</f>
        <v>#N/A</v>
      </c>
      <c r="AB934" s="7" t="e">
        <f>IF(VLOOKUP($A934,'Concrete Beam Schedule'!$A$2:$Q$2902,AB$2,0)&lt;&gt;L934,"Beam Revised","")</f>
        <v>#N/A</v>
      </c>
      <c r="AC934" s="7" t="e">
        <f>IF(VLOOKUP($A934,'Concrete Beam Schedule'!$A$2:$Q$2902,AC$2,0)&lt;&gt;M934,"Beam Revised","")</f>
        <v>#N/A</v>
      </c>
      <c r="AD934" s="7" t="e">
        <f>IF(VLOOKUP($A934,'Concrete Beam Schedule'!$A$2:$Q$2902,AD$2,0)&lt;&gt;N934,"Beam Revised","")</f>
        <v>#N/A</v>
      </c>
      <c r="AE934" s="7" t="e">
        <f>IF(VLOOKUP($A934,'Concrete Beam Schedule'!$A$2:$Q$2902,AE$2,0)&lt;&gt;O934,"Beam Revised","")</f>
        <v>#N/A</v>
      </c>
    </row>
    <row r="935" spans="17:31" ht="13.2" x14ac:dyDescent="0.25">
      <c r="Q935" s="7">
        <f t="shared" si="14"/>
        <v>0</v>
      </c>
      <c r="R935" s="7" t="e">
        <f>IF(VLOOKUP($A935,'Concrete Beam Schedule'!$A$2:$Q$2902,R$2,0)&lt;&gt;B935,VLOOKUP($A935,'Concrete Beam Schedule'!$A$2:$Q$2902,R$2,0),"")</f>
        <v>#N/A</v>
      </c>
      <c r="S935" s="7" t="e">
        <f>IF(VLOOKUP($A935,'Concrete Beam Schedule'!$A$2:$Q$2902,S$2,0)&lt;&gt;C935,VLOOKUP($A935,'Concrete Beam Schedule'!$A$2:$Q$2902,S$2,0),"")</f>
        <v>#N/A</v>
      </c>
      <c r="T935" s="7" t="e">
        <f>IF(VLOOKUP($A935,'Concrete Beam Schedule'!$A$2:$Q$2902,T$2,0)&lt;&gt;D935,"Beam Revised","")</f>
        <v>#N/A</v>
      </c>
      <c r="U935" s="7" t="e">
        <f>IF(VLOOKUP($A935,'Concrete Beam Schedule'!$A$2:$Q$2902,U$2,0)&lt;&gt;E935,"Beam Revised","")</f>
        <v>#N/A</v>
      </c>
      <c r="V935" s="7" t="e">
        <f>IF(VLOOKUP($A935,'Concrete Beam Schedule'!$A$2:$Q$2902,V$2,0)&lt;&gt;F935,"Beam Revised","")</f>
        <v>#N/A</v>
      </c>
      <c r="W935" s="7" t="e">
        <f>IF(VLOOKUP($A935,'Concrete Beam Schedule'!$A$2:$Q$2902,W$2,0)&lt;&gt;G935,"Beam Revised","")</f>
        <v>#N/A</v>
      </c>
      <c r="X935" s="7" t="e">
        <f>IF(VLOOKUP($A935,'Concrete Beam Schedule'!$A$2:$Q$2902,X$2,0)&lt;&gt;H935,"Beam Revised","")</f>
        <v>#N/A</v>
      </c>
      <c r="Y935" s="7" t="e">
        <f>IF(VLOOKUP($A935,'Concrete Beam Schedule'!$A$2:$Q$2902,Y$2,0)&lt;&gt;I935,"Beam Revised","")</f>
        <v>#N/A</v>
      </c>
      <c r="Z935" s="7" t="e">
        <f>IF(VLOOKUP($A935,'Concrete Beam Schedule'!$A$2:$Q$2902,Z$2,0)&lt;&gt;J935,"Beam Revised","")</f>
        <v>#N/A</v>
      </c>
      <c r="AA935" s="7" t="e">
        <f>IF(VLOOKUP($A935,'Concrete Beam Schedule'!$A$2:$Q$2902,AA$2,0)&lt;&gt;K935,"Beam Revised","")</f>
        <v>#N/A</v>
      </c>
      <c r="AB935" s="7" t="e">
        <f>IF(VLOOKUP($A935,'Concrete Beam Schedule'!$A$2:$Q$2902,AB$2,0)&lt;&gt;L935,"Beam Revised","")</f>
        <v>#N/A</v>
      </c>
      <c r="AC935" s="7" t="e">
        <f>IF(VLOOKUP($A935,'Concrete Beam Schedule'!$A$2:$Q$2902,AC$2,0)&lt;&gt;M935,"Beam Revised","")</f>
        <v>#N/A</v>
      </c>
      <c r="AD935" s="7" t="e">
        <f>IF(VLOOKUP($A935,'Concrete Beam Schedule'!$A$2:$Q$2902,AD$2,0)&lt;&gt;N935,"Beam Revised","")</f>
        <v>#N/A</v>
      </c>
      <c r="AE935" s="7" t="e">
        <f>IF(VLOOKUP($A935,'Concrete Beam Schedule'!$A$2:$Q$2902,AE$2,0)&lt;&gt;O935,"Beam Revised","")</f>
        <v>#N/A</v>
      </c>
    </row>
    <row r="936" spans="17:31" ht="13.2" x14ac:dyDescent="0.25">
      <c r="Q936" s="7">
        <f t="shared" si="14"/>
        <v>0</v>
      </c>
      <c r="R936" s="7" t="e">
        <f>IF(VLOOKUP($A936,'Concrete Beam Schedule'!$A$2:$Q$2902,R$2,0)&lt;&gt;B936,VLOOKUP($A936,'Concrete Beam Schedule'!$A$2:$Q$2902,R$2,0),"")</f>
        <v>#N/A</v>
      </c>
      <c r="S936" s="7" t="e">
        <f>IF(VLOOKUP($A936,'Concrete Beam Schedule'!$A$2:$Q$2902,S$2,0)&lt;&gt;C936,VLOOKUP($A936,'Concrete Beam Schedule'!$A$2:$Q$2902,S$2,0),"")</f>
        <v>#N/A</v>
      </c>
      <c r="T936" s="7" t="e">
        <f>IF(VLOOKUP($A936,'Concrete Beam Schedule'!$A$2:$Q$2902,T$2,0)&lt;&gt;D936,"Beam Revised","")</f>
        <v>#N/A</v>
      </c>
      <c r="U936" s="7" t="e">
        <f>IF(VLOOKUP($A936,'Concrete Beam Schedule'!$A$2:$Q$2902,U$2,0)&lt;&gt;E936,"Beam Revised","")</f>
        <v>#N/A</v>
      </c>
      <c r="V936" s="7" t="e">
        <f>IF(VLOOKUP($A936,'Concrete Beam Schedule'!$A$2:$Q$2902,V$2,0)&lt;&gt;F936,"Beam Revised","")</f>
        <v>#N/A</v>
      </c>
      <c r="W936" s="7" t="e">
        <f>IF(VLOOKUP($A936,'Concrete Beam Schedule'!$A$2:$Q$2902,W$2,0)&lt;&gt;G936,"Beam Revised","")</f>
        <v>#N/A</v>
      </c>
      <c r="X936" s="7" t="e">
        <f>IF(VLOOKUP($A936,'Concrete Beam Schedule'!$A$2:$Q$2902,X$2,0)&lt;&gt;H936,"Beam Revised","")</f>
        <v>#N/A</v>
      </c>
      <c r="Y936" s="7" t="e">
        <f>IF(VLOOKUP($A936,'Concrete Beam Schedule'!$A$2:$Q$2902,Y$2,0)&lt;&gt;I936,"Beam Revised","")</f>
        <v>#N/A</v>
      </c>
      <c r="Z936" s="7" t="e">
        <f>IF(VLOOKUP($A936,'Concrete Beam Schedule'!$A$2:$Q$2902,Z$2,0)&lt;&gt;J936,"Beam Revised","")</f>
        <v>#N/A</v>
      </c>
      <c r="AA936" s="7" t="e">
        <f>IF(VLOOKUP($A936,'Concrete Beam Schedule'!$A$2:$Q$2902,AA$2,0)&lt;&gt;K936,"Beam Revised","")</f>
        <v>#N/A</v>
      </c>
      <c r="AB936" s="7" t="e">
        <f>IF(VLOOKUP($A936,'Concrete Beam Schedule'!$A$2:$Q$2902,AB$2,0)&lt;&gt;L936,"Beam Revised","")</f>
        <v>#N/A</v>
      </c>
      <c r="AC936" s="7" t="e">
        <f>IF(VLOOKUP($A936,'Concrete Beam Schedule'!$A$2:$Q$2902,AC$2,0)&lt;&gt;M936,"Beam Revised","")</f>
        <v>#N/A</v>
      </c>
      <c r="AD936" s="7" t="e">
        <f>IF(VLOOKUP($A936,'Concrete Beam Schedule'!$A$2:$Q$2902,AD$2,0)&lt;&gt;N936,"Beam Revised","")</f>
        <v>#N/A</v>
      </c>
      <c r="AE936" s="7" t="e">
        <f>IF(VLOOKUP($A936,'Concrete Beam Schedule'!$A$2:$Q$2902,AE$2,0)&lt;&gt;O936,"Beam Revised","")</f>
        <v>#N/A</v>
      </c>
    </row>
    <row r="937" spans="17:31" ht="13.2" x14ac:dyDescent="0.25">
      <c r="Q937" s="7">
        <f t="shared" si="14"/>
        <v>0</v>
      </c>
      <c r="R937" s="7" t="e">
        <f>IF(VLOOKUP($A937,'Concrete Beam Schedule'!$A$2:$Q$2902,R$2,0)&lt;&gt;B937,VLOOKUP($A937,'Concrete Beam Schedule'!$A$2:$Q$2902,R$2,0),"")</f>
        <v>#N/A</v>
      </c>
      <c r="S937" s="7" t="e">
        <f>IF(VLOOKUP($A937,'Concrete Beam Schedule'!$A$2:$Q$2902,S$2,0)&lt;&gt;C937,VLOOKUP($A937,'Concrete Beam Schedule'!$A$2:$Q$2902,S$2,0),"")</f>
        <v>#N/A</v>
      </c>
      <c r="T937" s="7" t="e">
        <f>IF(VLOOKUP($A937,'Concrete Beam Schedule'!$A$2:$Q$2902,T$2,0)&lt;&gt;D937,"Beam Revised","")</f>
        <v>#N/A</v>
      </c>
      <c r="U937" s="7" t="e">
        <f>IF(VLOOKUP($A937,'Concrete Beam Schedule'!$A$2:$Q$2902,U$2,0)&lt;&gt;E937,"Beam Revised","")</f>
        <v>#N/A</v>
      </c>
      <c r="V937" s="7" t="e">
        <f>IF(VLOOKUP($A937,'Concrete Beam Schedule'!$A$2:$Q$2902,V$2,0)&lt;&gt;F937,"Beam Revised","")</f>
        <v>#N/A</v>
      </c>
      <c r="W937" s="7" t="e">
        <f>IF(VLOOKUP($A937,'Concrete Beam Schedule'!$A$2:$Q$2902,W$2,0)&lt;&gt;G937,"Beam Revised","")</f>
        <v>#N/A</v>
      </c>
      <c r="X937" s="7" t="e">
        <f>IF(VLOOKUP($A937,'Concrete Beam Schedule'!$A$2:$Q$2902,X$2,0)&lt;&gt;H937,"Beam Revised","")</f>
        <v>#N/A</v>
      </c>
      <c r="Y937" s="7" t="e">
        <f>IF(VLOOKUP($A937,'Concrete Beam Schedule'!$A$2:$Q$2902,Y$2,0)&lt;&gt;I937,"Beam Revised","")</f>
        <v>#N/A</v>
      </c>
      <c r="Z937" s="7" t="e">
        <f>IF(VLOOKUP($A937,'Concrete Beam Schedule'!$A$2:$Q$2902,Z$2,0)&lt;&gt;J937,"Beam Revised","")</f>
        <v>#N/A</v>
      </c>
      <c r="AA937" s="7" t="e">
        <f>IF(VLOOKUP($A937,'Concrete Beam Schedule'!$A$2:$Q$2902,AA$2,0)&lt;&gt;K937,"Beam Revised","")</f>
        <v>#N/A</v>
      </c>
      <c r="AB937" s="7" t="e">
        <f>IF(VLOOKUP($A937,'Concrete Beam Schedule'!$A$2:$Q$2902,AB$2,0)&lt;&gt;L937,"Beam Revised","")</f>
        <v>#N/A</v>
      </c>
      <c r="AC937" s="7" t="e">
        <f>IF(VLOOKUP($A937,'Concrete Beam Schedule'!$A$2:$Q$2902,AC$2,0)&lt;&gt;M937,"Beam Revised","")</f>
        <v>#N/A</v>
      </c>
      <c r="AD937" s="7" t="e">
        <f>IF(VLOOKUP($A937,'Concrete Beam Schedule'!$A$2:$Q$2902,AD$2,0)&lt;&gt;N937,"Beam Revised","")</f>
        <v>#N/A</v>
      </c>
      <c r="AE937" s="7" t="e">
        <f>IF(VLOOKUP($A937,'Concrete Beam Schedule'!$A$2:$Q$2902,AE$2,0)&lt;&gt;O937,"Beam Revised","")</f>
        <v>#N/A</v>
      </c>
    </row>
    <row r="938" spans="17:31" ht="13.2" x14ac:dyDescent="0.25">
      <c r="Q938" s="7">
        <f t="shared" si="14"/>
        <v>0</v>
      </c>
      <c r="R938" s="7" t="e">
        <f>IF(VLOOKUP($A938,'Concrete Beam Schedule'!$A$2:$Q$2902,R$2,0)&lt;&gt;B938,VLOOKUP($A938,'Concrete Beam Schedule'!$A$2:$Q$2902,R$2,0),"")</f>
        <v>#N/A</v>
      </c>
      <c r="S938" s="7" t="e">
        <f>IF(VLOOKUP($A938,'Concrete Beam Schedule'!$A$2:$Q$2902,S$2,0)&lt;&gt;C938,VLOOKUP($A938,'Concrete Beam Schedule'!$A$2:$Q$2902,S$2,0),"")</f>
        <v>#N/A</v>
      </c>
      <c r="T938" s="7" t="e">
        <f>IF(VLOOKUP($A938,'Concrete Beam Schedule'!$A$2:$Q$2902,T$2,0)&lt;&gt;D938,"Beam Revised","")</f>
        <v>#N/A</v>
      </c>
      <c r="U938" s="7" t="e">
        <f>IF(VLOOKUP($A938,'Concrete Beam Schedule'!$A$2:$Q$2902,U$2,0)&lt;&gt;E938,"Beam Revised","")</f>
        <v>#N/A</v>
      </c>
      <c r="V938" s="7" t="e">
        <f>IF(VLOOKUP($A938,'Concrete Beam Schedule'!$A$2:$Q$2902,V$2,0)&lt;&gt;F938,"Beam Revised","")</f>
        <v>#N/A</v>
      </c>
      <c r="W938" s="7" t="e">
        <f>IF(VLOOKUP($A938,'Concrete Beam Schedule'!$A$2:$Q$2902,W$2,0)&lt;&gt;G938,"Beam Revised","")</f>
        <v>#N/A</v>
      </c>
      <c r="X938" s="7" t="e">
        <f>IF(VLOOKUP($A938,'Concrete Beam Schedule'!$A$2:$Q$2902,X$2,0)&lt;&gt;H938,"Beam Revised","")</f>
        <v>#N/A</v>
      </c>
      <c r="Y938" s="7" t="e">
        <f>IF(VLOOKUP($A938,'Concrete Beam Schedule'!$A$2:$Q$2902,Y$2,0)&lt;&gt;I938,"Beam Revised","")</f>
        <v>#N/A</v>
      </c>
      <c r="Z938" s="7" t="e">
        <f>IF(VLOOKUP($A938,'Concrete Beam Schedule'!$A$2:$Q$2902,Z$2,0)&lt;&gt;J938,"Beam Revised","")</f>
        <v>#N/A</v>
      </c>
      <c r="AA938" s="7" t="e">
        <f>IF(VLOOKUP($A938,'Concrete Beam Schedule'!$A$2:$Q$2902,AA$2,0)&lt;&gt;K938,"Beam Revised","")</f>
        <v>#N/A</v>
      </c>
      <c r="AB938" s="7" t="e">
        <f>IF(VLOOKUP($A938,'Concrete Beam Schedule'!$A$2:$Q$2902,AB$2,0)&lt;&gt;L938,"Beam Revised","")</f>
        <v>#N/A</v>
      </c>
      <c r="AC938" s="7" t="e">
        <f>IF(VLOOKUP($A938,'Concrete Beam Schedule'!$A$2:$Q$2902,AC$2,0)&lt;&gt;M938,"Beam Revised","")</f>
        <v>#N/A</v>
      </c>
      <c r="AD938" s="7" t="e">
        <f>IF(VLOOKUP($A938,'Concrete Beam Schedule'!$A$2:$Q$2902,AD$2,0)&lt;&gt;N938,"Beam Revised","")</f>
        <v>#N/A</v>
      </c>
      <c r="AE938" s="7" t="e">
        <f>IF(VLOOKUP($A938,'Concrete Beam Schedule'!$A$2:$Q$2902,AE$2,0)&lt;&gt;O938,"Beam Revised","")</f>
        <v>#N/A</v>
      </c>
    </row>
    <row r="939" spans="17:31" ht="13.2" x14ac:dyDescent="0.25">
      <c r="Q939" s="7">
        <f t="shared" si="14"/>
        <v>0</v>
      </c>
      <c r="R939" s="7" t="e">
        <f>IF(VLOOKUP($A939,'Concrete Beam Schedule'!$A$2:$Q$2902,R$2,0)&lt;&gt;B939,VLOOKUP($A939,'Concrete Beam Schedule'!$A$2:$Q$2902,R$2,0),"")</f>
        <v>#N/A</v>
      </c>
      <c r="S939" s="7" t="e">
        <f>IF(VLOOKUP($A939,'Concrete Beam Schedule'!$A$2:$Q$2902,S$2,0)&lt;&gt;C939,VLOOKUP($A939,'Concrete Beam Schedule'!$A$2:$Q$2902,S$2,0),"")</f>
        <v>#N/A</v>
      </c>
      <c r="T939" s="7" t="e">
        <f>IF(VLOOKUP($A939,'Concrete Beam Schedule'!$A$2:$Q$2902,T$2,0)&lt;&gt;D939,"Beam Revised","")</f>
        <v>#N/A</v>
      </c>
      <c r="U939" s="7" t="e">
        <f>IF(VLOOKUP($A939,'Concrete Beam Schedule'!$A$2:$Q$2902,U$2,0)&lt;&gt;E939,"Beam Revised","")</f>
        <v>#N/A</v>
      </c>
      <c r="V939" s="7" t="e">
        <f>IF(VLOOKUP($A939,'Concrete Beam Schedule'!$A$2:$Q$2902,V$2,0)&lt;&gt;F939,"Beam Revised","")</f>
        <v>#N/A</v>
      </c>
      <c r="W939" s="7" t="e">
        <f>IF(VLOOKUP($A939,'Concrete Beam Schedule'!$A$2:$Q$2902,W$2,0)&lt;&gt;G939,"Beam Revised","")</f>
        <v>#N/A</v>
      </c>
      <c r="X939" s="7" t="e">
        <f>IF(VLOOKUP($A939,'Concrete Beam Schedule'!$A$2:$Q$2902,X$2,0)&lt;&gt;H939,"Beam Revised","")</f>
        <v>#N/A</v>
      </c>
      <c r="Y939" s="7" t="e">
        <f>IF(VLOOKUP($A939,'Concrete Beam Schedule'!$A$2:$Q$2902,Y$2,0)&lt;&gt;I939,"Beam Revised","")</f>
        <v>#N/A</v>
      </c>
      <c r="Z939" s="7" t="e">
        <f>IF(VLOOKUP($A939,'Concrete Beam Schedule'!$A$2:$Q$2902,Z$2,0)&lt;&gt;J939,"Beam Revised","")</f>
        <v>#N/A</v>
      </c>
      <c r="AA939" s="7" t="e">
        <f>IF(VLOOKUP($A939,'Concrete Beam Schedule'!$A$2:$Q$2902,AA$2,0)&lt;&gt;K939,"Beam Revised","")</f>
        <v>#N/A</v>
      </c>
      <c r="AB939" s="7" t="e">
        <f>IF(VLOOKUP($A939,'Concrete Beam Schedule'!$A$2:$Q$2902,AB$2,0)&lt;&gt;L939,"Beam Revised","")</f>
        <v>#N/A</v>
      </c>
      <c r="AC939" s="7" t="e">
        <f>IF(VLOOKUP($A939,'Concrete Beam Schedule'!$A$2:$Q$2902,AC$2,0)&lt;&gt;M939,"Beam Revised","")</f>
        <v>#N/A</v>
      </c>
      <c r="AD939" s="7" t="e">
        <f>IF(VLOOKUP($A939,'Concrete Beam Schedule'!$A$2:$Q$2902,AD$2,0)&lt;&gt;N939,"Beam Revised","")</f>
        <v>#N/A</v>
      </c>
      <c r="AE939" s="7" t="e">
        <f>IF(VLOOKUP($A939,'Concrete Beam Schedule'!$A$2:$Q$2902,AE$2,0)&lt;&gt;O939,"Beam Revised","")</f>
        <v>#N/A</v>
      </c>
    </row>
    <row r="940" spans="17:31" ht="13.2" x14ac:dyDescent="0.25">
      <c r="Q940" s="7">
        <f t="shared" si="14"/>
        <v>0</v>
      </c>
      <c r="R940" s="7" t="e">
        <f>IF(VLOOKUP($A940,'Concrete Beam Schedule'!$A$2:$Q$2902,R$2,0)&lt;&gt;B940,VLOOKUP($A940,'Concrete Beam Schedule'!$A$2:$Q$2902,R$2,0),"")</f>
        <v>#N/A</v>
      </c>
      <c r="S940" s="7" t="e">
        <f>IF(VLOOKUP($A940,'Concrete Beam Schedule'!$A$2:$Q$2902,S$2,0)&lt;&gt;C940,VLOOKUP($A940,'Concrete Beam Schedule'!$A$2:$Q$2902,S$2,0),"")</f>
        <v>#N/A</v>
      </c>
      <c r="T940" s="7" t="e">
        <f>IF(VLOOKUP($A940,'Concrete Beam Schedule'!$A$2:$Q$2902,T$2,0)&lt;&gt;D940,"Beam Revised","")</f>
        <v>#N/A</v>
      </c>
      <c r="U940" s="7" t="e">
        <f>IF(VLOOKUP($A940,'Concrete Beam Schedule'!$A$2:$Q$2902,U$2,0)&lt;&gt;E940,"Beam Revised","")</f>
        <v>#N/A</v>
      </c>
      <c r="V940" s="7" t="e">
        <f>IF(VLOOKUP($A940,'Concrete Beam Schedule'!$A$2:$Q$2902,V$2,0)&lt;&gt;F940,"Beam Revised","")</f>
        <v>#N/A</v>
      </c>
      <c r="W940" s="7" t="e">
        <f>IF(VLOOKUP($A940,'Concrete Beam Schedule'!$A$2:$Q$2902,W$2,0)&lt;&gt;G940,"Beam Revised","")</f>
        <v>#N/A</v>
      </c>
      <c r="X940" s="7" t="e">
        <f>IF(VLOOKUP($A940,'Concrete Beam Schedule'!$A$2:$Q$2902,X$2,0)&lt;&gt;H940,"Beam Revised","")</f>
        <v>#N/A</v>
      </c>
      <c r="Y940" s="7" t="e">
        <f>IF(VLOOKUP($A940,'Concrete Beam Schedule'!$A$2:$Q$2902,Y$2,0)&lt;&gt;I940,"Beam Revised","")</f>
        <v>#N/A</v>
      </c>
      <c r="Z940" s="7" t="e">
        <f>IF(VLOOKUP($A940,'Concrete Beam Schedule'!$A$2:$Q$2902,Z$2,0)&lt;&gt;J940,"Beam Revised","")</f>
        <v>#N/A</v>
      </c>
      <c r="AA940" s="7" t="e">
        <f>IF(VLOOKUP($A940,'Concrete Beam Schedule'!$A$2:$Q$2902,AA$2,0)&lt;&gt;K940,"Beam Revised","")</f>
        <v>#N/A</v>
      </c>
      <c r="AB940" s="7" t="e">
        <f>IF(VLOOKUP($A940,'Concrete Beam Schedule'!$A$2:$Q$2902,AB$2,0)&lt;&gt;L940,"Beam Revised","")</f>
        <v>#N/A</v>
      </c>
      <c r="AC940" s="7" t="e">
        <f>IF(VLOOKUP($A940,'Concrete Beam Schedule'!$A$2:$Q$2902,AC$2,0)&lt;&gt;M940,"Beam Revised","")</f>
        <v>#N/A</v>
      </c>
      <c r="AD940" s="7" t="e">
        <f>IF(VLOOKUP($A940,'Concrete Beam Schedule'!$A$2:$Q$2902,AD$2,0)&lt;&gt;N940,"Beam Revised","")</f>
        <v>#N/A</v>
      </c>
      <c r="AE940" s="7" t="e">
        <f>IF(VLOOKUP($A940,'Concrete Beam Schedule'!$A$2:$Q$2902,AE$2,0)&lt;&gt;O940,"Beam Revised","")</f>
        <v>#N/A</v>
      </c>
    </row>
    <row r="941" spans="17:31" ht="13.2" x14ac:dyDescent="0.25">
      <c r="Q941" s="7">
        <f t="shared" si="14"/>
        <v>0</v>
      </c>
      <c r="R941" s="7" t="e">
        <f>IF(VLOOKUP($A941,'Concrete Beam Schedule'!$A$2:$Q$2902,R$2,0)&lt;&gt;B941,VLOOKUP($A941,'Concrete Beam Schedule'!$A$2:$Q$2902,R$2,0),"")</f>
        <v>#N/A</v>
      </c>
      <c r="S941" s="7" t="e">
        <f>IF(VLOOKUP($A941,'Concrete Beam Schedule'!$A$2:$Q$2902,S$2,0)&lt;&gt;C941,VLOOKUP($A941,'Concrete Beam Schedule'!$A$2:$Q$2902,S$2,0),"")</f>
        <v>#N/A</v>
      </c>
      <c r="T941" s="7" t="e">
        <f>IF(VLOOKUP($A941,'Concrete Beam Schedule'!$A$2:$Q$2902,T$2,0)&lt;&gt;D941,"Beam Revised","")</f>
        <v>#N/A</v>
      </c>
      <c r="U941" s="7" t="e">
        <f>IF(VLOOKUP($A941,'Concrete Beam Schedule'!$A$2:$Q$2902,U$2,0)&lt;&gt;E941,"Beam Revised","")</f>
        <v>#N/A</v>
      </c>
      <c r="V941" s="7" t="e">
        <f>IF(VLOOKUP($A941,'Concrete Beam Schedule'!$A$2:$Q$2902,V$2,0)&lt;&gt;F941,"Beam Revised","")</f>
        <v>#N/A</v>
      </c>
      <c r="W941" s="7" t="e">
        <f>IF(VLOOKUP($A941,'Concrete Beam Schedule'!$A$2:$Q$2902,W$2,0)&lt;&gt;G941,"Beam Revised","")</f>
        <v>#N/A</v>
      </c>
      <c r="X941" s="7" t="e">
        <f>IF(VLOOKUP($A941,'Concrete Beam Schedule'!$A$2:$Q$2902,X$2,0)&lt;&gt;H941,"Beam Revised","")</f>
        <v>#N/A</v>
      </c>
      <c r="Y941" s="7" t="e">
        <f>IF(VLOOKUP($A941,'Concrete Beam Schedule'!$A$2:$Q$2902,Y$2,0)&lt;&gt;I941,"Beam Revised","")</f>
        <v>#N/A</v>
      </c>
      <c r="Z941" s="7" t="e">
        <f>IF(VLOOKUP($A941,'Concrete Beam Schedule'!$A$2:$Q$2902,Z$2,0)&lt;&gt;J941,"Beam Revised","")</f>
        <v>#N/A</v>
      </c>
      <c r="AA941" s="7" t="e">
        <f>IF(VLOOKUP($A941,'Concrete Beam Schedule'!$A$2:$Q$2902,AA$2,0)&lt;&gt;K941,"Beam Revised","")</f>
        <v>#N/A</v>
      </c>
      <c r="AB941" s="7" t="e">
        <f>IF(VLOOKUP($A941,'Concrete Beam Schedule'!$A$2:$Q$2902,AB$2,0)&lt;&gt;L941,"Beam Revised","")</f>
        <v>#N/A</v>
      </c>
      <c r="AC941" s="7" t="e">
        <f>IF(VLOOKUP($A941,'Concrete Beam Schedule'!$A$2:$Q$2902,AC$2,0)&lt;&gt;M941,"Beam Revised","")</f>
        <v>#N/A</v>
      </c>
      <c r="AD941" s="7" t="e">
        <f>IF(VLOOKUP($A941,'Concrete Beam Schedule'!$A$2:$Q$2902,AD$2,0)&lt;&gt;N941,"Beam Revised","")</f>
        <v>#N/A</v>
      </c>
      <c r="AE941" s="7" t="e">
        <f>IF(VLOOKUP($A941,'Concrete Beam Schedule'!$A$2:$Q$2902,AE$2,0)&lt;&gt;O941,"Beam Revised","")</f>
        <v>#N/A</v>
      </c>
    </row>
    <row r="942" spans="17:31" ht="13.2" x14ac:dyDescent="0.25">
      <c r="Q942" s="7">
        <f t="shared" si="14"/>
        <v>0</v>
      </c>
      <c r="R942" s="7" t="e">
        <f>IF(VLOOKUP($A942,'Concrete Beam Schedule'!$A$2:$Q$2902,R$2,0)&lt;&gt;B942,VLOOKUP($A942,'Concrete Beam Schedule'!$A$2:$Q$2902,R$2,0),"")</f>
        <v>#N/A</v>
      </c>
      <c r="S942" s="7" t="e">
        <f>IF(VLOOKUP($A942,'Concrete Beam Schedule'!$A$2:$Q$2902,S$2,0)&lt;&gt;C942,VLOOKUP($A942,'Concrete Beam Schedule'!$A$2:$Q$2902,S$2,0),"")</f>
        <v>#N/A</v>
      </c>
      <c r="T942" s="7" t="e">
        <f>IF(VLOOKUP($A942,'Concrete Beam Schedule'!$A$2:$Q$2902,T$2,0)&lt;&gt;D942,"Beam Revised","")</f>
        <v>#N/A</v>
      </c>
      <c r="U942" s="7" t="e">
        <f>IF(VLOOKUP($A942,'Concrete Beam Schedule'!$A$2:$Q$2902,U$2,0)&lt;&gt;E942,"Beam Revised","")</f>
        <v>#N/A</v>
      </c>
      <c r="V942" s="7" t="e">
        <f>IF(VLOOKUP($A942,'Concrete Beam Schedule'!$A$2:$Q$2902,V$2,0)&lt;&gt;F942,"Beam Revised","")</f>
        <v>#N/A</v>
      </c>
      <c r="W942" s="7" t="e">
        <f>IF(VLOOKUP($A942,'Concrete Beam Schedule'!$A$2:$Q$2902,W$2,0)&lt;&gt;G942,"Beam Revised","")</f>
        <v>#N/A</v>
      </c>
      <c r="X942" s="7" t="e">
        <f>IF(VLOOKUP($A942,'Concrete Beam Schedule'!$A$2:$Q$2902,X$2,0)&lt;&gt;H942,"Beam Revised","")</f>
        <v>#N/A</v>
      </c>
      <c r="Y942" s="7" t="e">
        <f>IF(VLOOKUP($A942,'Concrete Beam Schedule'!$A$2:$Q$2902,Y$2,0)&lt;&gt;I942,"Beam Revised","")</f>
        <v>#N/A</v>
      </c>
      <c r="Z942" s="7" t="e">
        <f>IF(VLOOKUP($A942,'Concrete Beam Schedule'!$A$2:$Q$2902,Z$2,0)&lt;&gt;J942,"Beam Revised","")</f>
        <v>#N/A</v>
      </c>
      <c r="AA942" s="7" t="e">
        <f>IF(VLOOKUP($A942,'Concrete Beam Schedule'!$A$2:$Q$2902,AA$2,0)&lt;&gt;K942,"Beam Revised","")</f>
        <v>#N/A</v>
      </c>
      <c r="AB942" s="7" t="e">
        <f>IF(VLOOKUP($A942,'Concrete Beam Schedule'!$A$2:$Q$2902,AB$2,0)&lt;&gt;L942,"Beam Revised","")</f>
        <v>#N/A</v>
      </c>
      <c r="AC942" s="7" t="e">
        <f>IF(VLOOKUP($A942,'Concrete Beam Schedule'!$A$2:$Q$2902,AC$2,0)&lt;&gt;M942,"Beam Revised","")</f>
        <v>#N/A</v>
      </c>
      <c r="AD942" s="7" t="e">
        <f>IF(VLOOKUP($A942,'Concrete Beam Schedule'!$A$2:$Q$2902,AD$2,0)&lt;&gt;N942,"Beam Revised","")</f>
        <v>#N/A</v>
      </c>
      <c r="AE942" s="7" t="e">
        <f>IF(VLOOKUP($A942,'Concrete Beam Schedule'!$A$2:$Q$2902,AE$2,0)&lt;&gt;O942,"Beam Revised","")</f>
        <v>#N/A</v>
      </c>
    </row>
    <row r="943" spans="17:31" ht="13.2" x14ac:dyDescent="0.25">
      <c r="Q943" s="7">
        <f t="shared" si="14"/>
        <v>0</v>
      </c>
      <c r="R943" s="7" t="e">
        <f>IF(VLOOKUP($A943,'Concrete Beam Schedule'!$A$2:$Q$2902,R$2,0)&lt;&gt;B943,VLOOKUP($A943,'Concrete Beam Schedule'!$A$2:$Q$2902,R$2,0),"")</f>
        <v>#N/A</v>
      </c>
      <c r="S943" s="7" t="e">
        <f>IF(VLOOKUP($A943,'Concrete Beam Schedule'!$A$2:$Q$2902,S$2,0)&lt;&gt;C943,VLOOKUP($A943,'Concrete Beam Schedule'!$A$2:$Q$2902,S$2,0),"")</f>
        <v>#N/A</v>
      </c>
      <c r="T943" s="7" t="e">
        <f>IF(VLOOKUP($A943,'Concrete Beam Schedule'!$A$2:$Q$2902,T$2,0)&lt;&gt;D943,"Beam Revised","")</f>
        <v>#N/A</v>
      </c>
      <c r="U943" s="7" t="e">
        <f>IF(VLOOKUP($A943,'Concrete Beam Schedule'!$A$2:$Q$2902,U$2,0)&lt;&gt;E943,"Beam Revised","")</f>
        <v>#N/A</v>
      </c>
      <c r="V943" s="7" t="e">
        <f>IF(VLOOKUP($A943,'Concrete Beam Schedule'!$A$2:$Q$2902,V$2,0)&lt;&gt;F943,"Beam Revised","")</f>
        <v>#N/A</v>
      </c>
      <c r="W943" s="7" t="e">
        <f>IF(VLOOKUP($A943,'Concrete Beam Schedule'!$A$2:$Q$2902,W$2,0)&lt;&gt;G943,"Beam Revised","")</f>
        <v>#N/A</v>
      </c>
      <c r="X943" s="7" t="e">
        <f>IF(VLOOKUP($A943,'Concrete Beam Schedule'!$A$2:$Q$2902,X$2,0)&lt;&gt;H943,"Beam Revised","")</f>
        <v>#N/A</v>
      </c>
      <c r="Y943" s="7" t="e">
        <f>IF(VLOOKUP($A943,'Concrete Beam Schedule'!$A$2:$Q$2902,Y$2,0)&lt;&gt;I943,"Beam Revised","")</f>
        <v>#N/A</v>
      </c>
      <c r="Z943" s="7" t="e">
        <f>IF(VLOOKUP($A943,'Concrete Beam Schedule'!$A$2:$Q$2902,Z$2,0)&lt;&gt;J943,"Beam Revised","")</f>
        <v>#N/A</v>
      </c>
      <c r="AA943" s="7" t="e">
        <f>IF(VLOOKUP($A943,'Concrete Beam Schedule'!$A$2:$Q$2902,AA$2,0)&lt;&gt;K943,"Beam Revised","")</f>
        <v>#N/A</v>
      </c>
      <c r="AB943" s="7" t="e">
        <f>IF(VLOOKUP($A943,'Concrete Beam Schedule'!$A$2:$Q$2902,AB$2,0)&lt;&gt;L943,"Beam Revised","")</f>
        <v>#N/A</v>
      </c>
      <c r="AC943" s="7" t="e">
        <f>IF(VLOOKUP($A943,'Concrete Beam Schedule'!$A$2:$Q$2902,AC$2,0)&lt;&gt;M943,"Beam Revised","")</f>
        <v>#N/A</v>
      </c>
      <c r="AD943" s="7" t="e">
        <f>IF(VLOOKUP($A943,'Concrete Beam Schedule'!$A$2:$Q$2902,AD$2,0)&lt;&gt;N943,"Beam Revised","")</f>
        <v>#N/A</v>
      </c>
      <c r="AE943" s="7" t="e">
        <f>IF(VLOOKUP($A943,'Concrete Beam Schedule'!$A$2:$Q$2902,AE$2,0)&lt;&gt;O943,"Beam Revised","")</f>
        <v>#N/A</v>
      </c>
    </row>
    <row r="944" spans="17:31" ht="13.2" x14ac:dyDescent="0.25">
      <c r="Q944" s="7">
        <f t="shared" si="14"/>
        <v>0</v>
      </c>
      <c r="R944" s="7" t="e">
        <f>IF(VLOOKUP($A944,'Concrete Beam Schedule'!$A$2:$Q$2902,R$2,0)&lt;&gt;B944,VLOOKUP($A944,'Concrete Beam Schedule'!$A$2:$Q$2902,R$2,0),"")</f>
        <v>#N/A</v>
      </c>
      <c r="S944" s="7" t="e">
        <f>IF(VLOOKUP($A944,'Concrete Beam Schedule'!$A$2:$Q$2902,S$2,0)&lt;&gt;C944,VLOOKUP($A944,'Concrete Beam Schedule'!$A$2:$Q$2902,S$2,0),"")</f>
        <v>#N/A</v>
      </c>
      <c r="T944" s="7" t="e">
        <f>IF(VLOOKUP($A944,'Concrete Beam Schedule'!$A$2:$Q$2902,T$2,0)&lt;&gt;D944,"Beam Revised","")</f>
        <v>#N/A</v>
      </c>
      <c r="U944" s="7" t="e">
        <f>IF(VLOOKUP($A944,'Concrete Beam Schedule'!$A$2:$Q$2902,U$2,0)&lt;&gt;E944,"Beam Revised","")</f>
        <v>#N/A</v>
      </c>
      <c r="V944" s="7" t="e">
        <f>IF(VLOOKUP($A944,'Concrete Beam Schedule'!$A$2:$Q$2902,V$2,0)&lt;&gt;F944,"Beam Revised","")</f>
        <v>#N/A</v>
      </c>
      <c r="W944" s="7" t="e">
        <f>IF(VLOOKUP($A944,'Concrete Beam Schedule'!$A$2:$Q$2902,W$2,0)&lt;&gt;G944,"Beam Revised","")</f>
        <v>#N/A</v>
      </c>
      <c r="X944" s="7" t="e">
        <f>IF(VLOOKUP($A944,'Concrete Beam Schedule'!$A$2:$Q$2902,X$2,0)&lt;&gt;H944,"Beam Revised","")</f>
        <v>#N/A</v>
      </c>
      <c r="Y944" s="7" t="e">
        <f>IF(VLOOKUP($A944,'Concrete Beam Schedule'!$A$2:$Q$2902,Y$2,0)&lt;&gt;I944,"Beam Revised","")</f>
        <v>#N/A</v>
      </c>
      <c r="Z944" s="7" t="e">
        <f>IF(VLOOKUP($A944,'Concrete Beam Schedule'!$A$2:$Q$2902,Z$2,0)&lt;&gt;J944,"Beam Revised","")</f>
        <v>#N/A</v>
      </c>
      <c r="AA944" s="7" t="e">
        <f>IF(VLOOKUP($A944,'Concrete Beam Schedule'!$A$2:$Q$2902,AA$2,0)&lt;&gt;K944,"Beam Revised","")</f>
        <v>#N/A</v>
      </c>
      <c r="AB944" s="7" t="e">
        <f>IF(VLOOKUP($A944,'Concrete Beam Schedule'!$A$2:$Q$2902,AB$2,0)&lt;&gt;L944,"Beam Revised","")</f>
        <v>#N/A</v>
      </c>
      <c r="AC944" s="7" t="e">
        <f>IF(VLOOKUP($A944,'Concrete Beam Schedule'!$A$2:$Q$2902,AC$2,0)&lt;&gt;M944,"Beam Revised","")</f>
        <v>#N/A</v>
      </c>
      <c r="AD944" s="7" t="e">
        <f>IF(VLOOKUP($A944,'Concrete Beam Schedule'!$A$2:$Q$2902,AD$2,0)&lt;&gt;N944,"Beam Revised","")</f>
        <v>#N/A</v>
      </c>
      <c r="AE944" s="7" t="e">
        <f>IF(VLOOKUP($A944,'Concrete Beam Schedule'!$A$2:$Q$2902,AE$2,0)&lt;&gt;O944,"Beam Revised","")</f>
        <v>#N/A</v>
      </c>
    </row>
    <row r="945" spans="17:31" ht="13.2" x14ac:dyDescent="0.25">
      <c r="Q945" s="7">
        <f t="shared" si="14"/>
        <v>0</v>
      </c>
      <c r="R945" s="7" t="e">
        <f>IF(VLOOKUP($A945,'Concrete Beam Schedule'!$A$2:$Q$2902,R$2,0)&lt;&gt;B945,VLOOKUP($A945,'Concrete Beam Schedule'!$A$2:$Q$2902,R$2,0),"")</f>
        <v>#N/A</v>
      </c>
      <c r="S945" s="7" t="e">
        <f>IF(VLOOKUP($A945,'Concrete Beam Schedule'!$A$2:$Q$2902,S$2,0)&lt;&gt;C945,VLOOKUP($A945,'Concrete Beam Schedule'!$A$2:$Q$2902,S$2,0),"")</f>
        <v>#N/A</v>
      </c>
      <c r="T945" s="7" t="e">
        <f>IF(VLOOKUP($A945,'Concrete Beam Schedule'!$A$2:$Q$2902,T$2,0)&lt;&gt;D945,"Beam Revised","")</f>
        <v>#N/A</v>
      </c>
      <c r="U945" s="7" t="e">
        <f>IF(VLOOKUP($A945,'Concrete Beam Schedule'!$A$2:$Q$2902,U$2,0)&lt;&gt;E945,"Beam Revised","")</f>
        <v>#N/A</v>
      </c>
      <c r="V945" s="7" t="e">
        <f>IF(VLOOKUP($A945,'Concrete Beam Schedule'!$A$2:$Q$2902,V$2,0)&lt;&gt;F945,"Beam Revised","")</f>
        <v>#N/A</v>
      </c>
      <c r="W945" s="7" t="e">
        <f>IF(VLOOKUP($A945,'Concrete Beam Schedule'!$A$2:$Q$2902,W$2,0)&lt;&gt;G945,"Beam Revised","")</f>
        <v>#N/A</v>
      </c>
      <c r="X945" s="7" t="e">
        <f>IF(VLOOKUP($A945,'Concrete Beam Schedule'!$A$2:$Q$2902,X$2,0)&lt;&gt;H945,"Beam Revised","")</f>
        <v>#N/A</v>
      </c>
      <c r="Y945" s="7" t="e">
        <f>IF(VLOOKUP($A945,'Concrete Beam Schedule'!$A$2:$Q$2902,Y$2,0)&lt;&gt;I945,"Beam Revised","")</f>
        <v>#N/A</v>
      </c>
      <c r="Z945" s="7" t="e">
        <f>IF(VLOOKUP($A945,'Concrete Beam Schedule'!$A$2:$Q$2902,Z$2,0)&lt;&gt;J945,"Beam Revised","")</f>
        <v>#N/A</v>
      </c>
      <c r="AA945" s="7" t="e">
        <f>IF(VLOOKUP($A945,'Concrete Beam Schedule'!$A$2:$Q$2902,AA$2,0)&lt;&gt;K945,"Beam Revised","")</f>
        <v>#N/A</v>
      </c>
      <c r="AB945" s="7" t="e">
        <f>IF(VLOOKUP($A945,'Concrete Beam Schedule'!$A$2:$Q$2902,AB$2,0)&lt;&gt;L945,"Beam Revised","")</f>
        <v>#N/A</v>
      </c>
      <c r="AC945" s="7" t="e">
        <f>IF(VLOOKUP($A945,'Concrete Beam Schedule'!$A$2:$Q$2902,AC$2,0)&lt;&gt;M945,"Beam Revised","")</f>
        <v>#N/A</v>
      </c>
      <c r="AD945" s="7" t="e">
        <f>IF(VLOOKUP($A945,'Concrete Beam Schedule'!$A$2:$Q$2902,AD$2,0)&lt;&gt;N945,"Beam Revised","")</f>
        <v>#N/A</v>
      </c>
      <c r="AE945" s="7" t="e">
        <f>IF(VLOOKUP($A945,'Concrete Beam Schedule'!$A$2:$Q$2902,AE$2,0)&lt;&gt;O945,"Beam Revised","")</f>
        <v>#N/A</v>
      </c>
    </row>
    <row r="946" spans="17:31" ht="13.2" x14ac:dyDescent="0.25">
      <c r="Q946" s="7">
        <f t="shared" si="14"/>
        <v>0</v>
      </c>
      <c r="R946" s="7" t="e">
        <f>IF(VLOOKUP($A946,'Concrete Beam Schedule'!$A$2:$Q$2902,R$2,0)&lt;&gt;B946,VLOOKUP($A946,'Concrete Beam Schedule'!$A$2:$Q$2902,R$2,0),"")</f>
        <v>#N/A</v>
      </c>
      <c r="S946" s="7" t="e">
        <f>IF(VLOOKUP($A946,'Concrete Beam Schedule'!$A$2:$Q$2902,S$2,0)&lt;&gt;C946,VLOOKUP($A946,'Concrete Beam Schedule'!$A$2:$Q$2902,S$2,0),"")</f>
        <v>#N/A</v>
      </c>
      <c r="T946" s="7" t="e">
        <f>IF(VLOOKUP($A946,'Concrete Beam Schedule'!$A$2:$Q$2902,T$2,0)&lt;&gt;D946,"Beam Revised","")</f>
        <v>#N/A</v>
      </c>
      <c r="U946" s="7" t="e">
        <f>IF(VLOOKUP($A946,'Concrete Beam Schedule'!$A$2:$Q$2902,U$2,0)&lt;&gt;E946,"Beam Revised","")</f>
        <v>#N/A</v>
      </c>
      <c r="V946" s="7" t="e">
        <f>IF(VLOOKUP($A946,'Concrete Beam Schedule'!$A$2:$Q$2902,V$2,0)&lt;&gt;F946,"Beam Revised","")</f>
        <v>#N/A</v>
      </c>
      <c r="W946" s="7" t="e">
        <f>IF(VLOOKUP($A946,'Concrete Beam Schedule'!$A$2:$Q$2902,W$2,0)&lt;&gt;G946,"Beam Revised","")</f>
        <v>#N/A</v>
      </c>
      <c r="X946" s="7" t="e">
        <f>IF(VLOOKUP($A946,'Concrete Beam Schedule'!$A$2:$Q$2902,X$2,0)&lt;&gt;H946,"Beam Revised","")</f>
        <v>#N/A</v>
      </c>
      <c r="Y946" s="7" t="e">
        <f>IF(VLOOKUP($A946,'Concrete Beam Schedule'!$A$2:$Q$2902,Y$2,0)&lt;&gt;I946,"Beam Revised","")</f>
        <v>#N/A</v>
      </c>
      <c r="Z946" s="7" t="e">
        <f>IF(VLOOKUP($A946,'Concrete Beam Schedule'!$A$2:$Q$2902,Z$2,0)&lt;&gt;J946,"Beam Revised","")</f>
        <v>#N/A</v>
      </c>
      <c r="AA946" s="7" t="e">
        <f>IF(VLOOKUP($A946,'Concrete Beam Schedule'!$A$2:$Q$2902,AA$2,0)&lt;&gt;K946,"Beam Revised","")</f>
        <v>#N/A</v>
      </c>
      <c r="AB946" s="7" t="e">
        <f>IF(VLOOKUP($A946,'Concrete Beam Schedule'!$A$2:$Q$2902,AB$2,0)&lt;&gt;L946,"Beam Revised","")</f>
        <v>#N/A</v>
      </c>
      <c r="AC946" s="7" t="e">
        <f>IF(VLOOKUP($A946,'Concrete Beam Schedule'!$A$2:$Q$2902,AC$2,0)&lt;&gt;M946,"Beam Revised","")</f>
        <v>#N/A</v>
      </c>
      <c r="AD946" s="7" t="e">
        <f>IF(VLOOKUP($A946,'Concrete Beam Schedule'!$A$2:$Q$2902,AD$2,0)&lt;&gt;N946,"Beam Revised","")</f>
        <v>#N/A</v>
      </c>
      <c r="AE946" s="7" t="e">
        <f>IF(VLOOKUP($A946,'Concrete Beam Schedule'!$A$2:$Q$2902,AE$2,0)&lt;&gt;O946,"Beam Revised","")</f>
        <v>#N/A</v>
      </c>
    </row>
    <row r="947" spans="17:31" ht="13.2" x14ac:dyDescent="0.25">
      <c r="Q947" s="7">
        <f t="shared" si="14"/>
        <v>0</v>
      </c>
      <c r="R947" s="7" t="e">
        <f>IF(VLOOKUP($A947,'Concrete Beam Schedule'!$A$2:$Q$2902,R$2,0)&lt;&gt;B947,VLOOKUP($A947,'Concrete Beam Schedule'!$A$2:$Q$2902,R$2,0),"")</f>
        <v>#N/A</v>
      </c>
      <c r="S947" s="7" t="e">
        <f>IF(VLOOKUP($A947,'Concrete Beam Schedule'!$A$2:$Q$2902,S$2,0)&lt;&gt;C947,VLOOKUP($A947,'Concrete Beam Schedule'!$A$2:$Q$2902,S$2,0),"")</f>
        <v>#N/A</v>
      </c>
      <c r="T947" s="7" t="e">
        <f>IF(VLOOKUP($A947,'Concrete Beam Schedule'!$A$2:$Q$2902,T$2,0)&lt;&gt;D947,"Beam Revised","")</f>
        <v>#N/A</v>
      </c>
      <c r="U947" s="7" t="e">
        <f>IF(VLOOKUP($A947,'Concrete Beam Schedule'!$A$2:$Q$2902,U$2,0)&lt;&gt;E947,"Beam Revised","")</f>
        <v>#N/A</v>
      </c>
      <c r="V947" s="7" t="e">
        <f>IF(VLOOKUP($A947,'Concrete Beam Schedule'!$A$2:$Q$2902,V$2,0)&lt;&gt;F947,"Beam Revised","")</f>
        <v>#N/A</v>
      </c>
      <c r="W947" s="7" t="e">
        <f>IF(VLOOKUP($A947,'Concrete Beam Schedule'!$A$2:$Q$2902,W$2,0)&lt;&gt;G947,"Beam Revised","")</f>
        <v>#N/A</v>
      </c>
      <c r="X947" s="7" t="e">
        <f>IF(VLOOKUP($A947,'Concrete Beam Schedule'!$A$2:$Q$2902,X$2,0)&lt;&gt;H947,"Beam Revised","")</f>
        <v>#N/A</v>
      </c>
      <c r="Y947" s="7" t="e">
        <f>IF(VLOOKUP($A947,'Concrete Beam Schedule'!$A$2:$Q$2902,Y$2,0)&lt;&gt;I947,"Beam Revised","")</f>
        <v>#N/A</v>
      </c>
      <c r="Z947" s="7" t="e">
        <f>IF(VLOOKUP($A947,'Concrete Beam Schedule'!$A$2:$Q$2902,Z$2,0)&lt;&gt;J947,"Beam Revised","")</f>
        <v>#N/A</v>
      </c>
      <c r="AA947" s="7" t="e">
        <f>IF(VLOOKUP($A947,'Concrete Beam Schedule'!$A$2:$Q$2902,AA$2,0)&lt;&gt;K947,"Beam Revised","")</f>
        <v>#N/A</v>
      </c>
      <c r="AB947" s="7" t="e">
        <f>IF(VLOOKUP($A947,'Concrete Beam Schedule'!$A$2:$Q$2902,AB$2,0)&lt;&gt;L947,"Beam Revised","")</f>
        <v>#N/A</v>
      </c>
      <c r="AC947" s="7" t="e">
        <f>IF(VLOOKUP($A947,'Concrete Beam Schedule'!$A$2:$Q$2902,AC$2,0)&lt;&gt;M947,"Beam Revised","")</f>
        <v>#N/A</v>
      </c>
      <c r="AD947" s="7" t="e">
        <f>IF(VLOOKUP($A947,'Concrete Beam Schedule'!$A$2:$Q$2902,AD$2,0)&lt;&gt;N947,"Beam Revised","")</f>
        <v>#N/A</v>
      </c>
      <c r="AE947" s="7" t="e">
        <f>IF(VLOOKUP($A947,'Concrete Beam Schedule'!$A$2:$Q$2902,AE$2,0)&lt;&gt;O947,"Beam Revised","")</f>
        <v>#N/A</v>
      </c>
    </row>
    <row r="948" spans="17:31" ht="13.2" x14ac:dyDescent="0.25">
      <c r="Q948" s="7">
        <f t="shared" si="14"/>
        <v>0</v>
      </c>
      <c r="R948" s="7" t="e">
        <f>IF(VLOOKUP($A948,'Concrete Beam Schedule'!$A$2:$Q$2902,R$2,0)&lt;&gt;B948,VLOOKUP($A948,'Concrete Beam Schedule'!$A$2:$Q$2902,R$2,0),"")</f>
        <v>#N/A</v>
      </c>
      <c r="S948" s="7" t="e">
        <f>IF(VLOOKUP($A948,'Concrete Beam Schedule'!$A$2:$Q$2902,S$2,0)&lt;&gt;C948,VLOOKUP($A948,'Concrete Beam Schedule'!$A$2:$Q$2902,S$2,0),"")</f>
        <v>#N/A</v>
      </c>
      <c r="T948" s="7" t="e">
        <f>IF(VLOOKUP($A948,'Concrete Beam Schedule'!$A$2:$Q$2902,T$2,0)&lt;&gt;D948,"Beam Revised","")</f>
        <v>#N/A</v>
      </c>
      <c r="U948" s="7" t="e">
        <f>IF(VLOOKUP($A948,'Concrete Beam Schedule'!$A$2:$Q$2902,U$2,0)&lt;&gt;E948,"Beam Revised","")</f>
        <v>#N/A</v>
      </c>
      <c r="V948" s="7" t="e">
        <f>IF(VLOOKUP($A948,'Concrete Beam Schedule'!$A$2:$Q$2902,V$2,0)&lt;&gt;F948,"Beam Revised","")</f>
        <v>#N/A</v>
      </c>
      <c r="W948" s="7" t="e">
        <f>IF(VLOOKUP($A948,'Concrete Beam Schedule'!$A$2:$Q$2902,W$2,0)&lt;&gt;G948,"Beam Revised","")</f>
        <v>#N/A</v>
      </c>
      <c r="X948" s="7" t="e">
        <f>IF(VLOOKUP($A948,'Concrete Beam Schedule'!$A$2:$Q$2902,X$2,0)&lt;&gt;H948,"Beam Revised","")</f>
        <v>#N/A</v>
      </c>
      <c r="Y948" s="7" t="e">
        <f>IF(VLOOKUP($A948,'Concrete Beam Schedule'!$A$2:$Q$2902,Y$2,0)&lt;&gt;I948,"Beam Revised","")</f>
        <v>#N/A</v>
      </c>
      <c r="Z948" s="7" t="e">
        <f>IF(VLOOKUP($A948,'Concrete Beam Schedule'!$A$2:$Q$2902,Z$2,0)&lt;&gt;J948,"Beam Revised","")</f>
        <v>#N/A</v>
      </c>
      <c r="AA948" s="7" t="e">
        <f>IF(VLOOKUP($A948,'Concrete Beam Schedule'!$A$2:$Q$2902,AA$2,0)&lt;&gt;K948,"Beam Revised","")</f>
        <v>#N/A</v>
      </c>
      <c r="AB948" s="7" t="e">
        <f>IF(VLOOKUP($A948,'Concrete Beam Schedule'!$A$2:$Q$2902,AB$2,0)&lt;&gt;L948,"Beam Revised","")</f>
        <v>#N/A</v>
      </c>
      <c r="AC948" s="7" t="e">
        <f>IF(VLOOKUP($A948,'Concrete Beam Schedule'!$A$2:$Q$2902,AC$2,0)&lt;&gt;M948,"Beam Revised","")</f>
        <v>#N/A</v>
      </c>
      <c r="AD948" s="7" t="e">
        <f>IF(VLOOKUP($A948,'Concrete Beam Schedule'!$A$2:$Q$2902,AD$2,0)&lt;&gt;N948,"Beam Revised","")</f>
        <v>#N/A</v>
      </c>
      <c r="AE948" s="7" t="e">
        <f>IF(VLOOKUP($A948,'Concrete Beam Schedule'!$A$2:$Q$2902,AE$2,0)&lt;&gt;O948,"Beam Revised","")</f>
        <v>#N/A</v>
      </c>
    </row>
    <row r="949" spans="17:31" ht="13.2" x14ac:dyDescent="0.25">
      <c r="Q949" s="7">
        <f t="shared" si="14"/>
        <v>0</v>
      </c>
      <c r="R949" s="7" t="e">
        <f>IF(VLOOKUP($A949,'Concrete Beam Schedule'!$A$2:$Q$2902,R$2,0)&lt;&gt;B949,VLOOKUP($A949,'Concrete Beam Schedule'!$A$2:$Q$2902,R$2,0),"")</f>
        <v>#N/A</v>
      </c>
      <c r="S949" s="7" t="e">
        <f>IF(VLOOKUP($A949,'Concrete Beam Schedule'!$A$2:$Q$2902,S$2,0)&lt;&gt;C949,VLOOKUP($A949,'Concrete Beam Schedule'!$A$2:$Q$2902,S$2,0),"")</f>
        <v>#N/A</v>
      </c>
      <c r="T949" s="7" t="e">
        <f>IF(VLOOKUP($A949,'Concrete Beam Schedule'!$A$2:$Q$2902,T$2,0)&lt;&gt;D949,"Beam Revised","")</f>
        <v>#N/A</v>
      </c>
      <c r="U949" s="7" t="e">
        <f>IF(VLOOKUP($A949,'Concrete Beam Schedule'!$A$2:$Q$2902,U$2,0)&lt;&gt;E949,"Beam Revised","")</f>
        <v>#N/A</v>
      </c>
      <c r="V949" s="7" t="e">
        <f>IF(VLOOKUP($A949,'Concrete Beam Schedule'!$A$2:$Q$2902,V$2,0)&lt;&gt;F949,"Beam Revised","")</f>
        <v>#N/A</v>
      </c>
      <c r="W949" s="7" t="e">
        <f>IF(VLOOKUP($A949,'Concrete Beam Schedule'!$A$2:$Q$2902,W$2,0)&lt;&gt;G949,"Beam Revised","")</f>
        <v>#N/A</v>
      </c>
      <c r="X949" s="7" t="e">
        <f>IF(VLOOKUP($A949,'Concrete Beam Schedule'!$A$2:$Q$2902,X$2,0)&lt;&gt;H949,"Beam Revised","")</f>
        <v>#N/A</v>
      </c>
      <c r="Y949" s="7" t="e">
        <f>IF(VLOOKUP($A949,'Concrete Beam Schedule'!$A$2:$Q$2902,Y$2,0)&lt;&gt;I949,"Beam Revised","")</f>
        <v>#N/A</v>
      </c>
      <c r="Z949" s="7" t="e">
        <f>IF(VLOOKUP($A949,'Concrete Beam Schedule'!$A$2:$Q$2902,Z$2,0)&lt;&gt;J949,"Beam Revised","")</f>
        <v>#N/A</v>
      </c>
      <c r="AA949" s="7" t="e">
        <f>IF(VLOOKUP($A949,'Concrete Beam Schedule'!$A$2:$Q$2902,AA$2,0)&lt;&gt;K949,"Beam Revised","")</f>
        <v>#N/A</v>
      </c>
      <c r="AB949" s="7" t="e">
        <f>IF(VLOOKUP($A949,'Concrete Beam Schedule'!$A$2:$Q$2902,AB$2,0)&lt;&gt;L949,"Beam Revised","")</f>
        <v>#N/A</v>
      </c>
      <c r="AC949" s="7" t="e">
        <f>IF(VLOOKUP($A949,'Concrete Beam Schedule'!$A$2:$Q$2902,AC$2,0)&lt;&gt;M949,"Beam Revised","")</f>
        <v>#N/A</v>
      </c>
      <c r="AD949" s="7" t="e">
        <f>IF(VLOOKUP($A949,'Concrete Beam Schedule'!$A$2:$Q$2902,AD$2,0)&lt;&gt;N949,"Beam Revised","")</f>
        <v>#N/A</v>
      </c>
      <c r="AE949" s="7" t="e">
        <f>IF(VLOOKUP($A949,'Concrete Beam Schedule'!$A$2:$Q$2902,AE$2,0)&lt;&gt;O949,"Beam Revised","")</f>
        <v>#N/A</v>
      </c>
    </row>
    <row r="950" spans="17:31" ht="13.2" x14ac:dyDescent="0.25">
      <c r="Q950" s="7">
        <f t="shared" si="14"/>
        <v>0</v>
      </c>
      <c r="R950" s="7" t="e">
        <f>IF(VLOOKUP($A950,'Concrete Beam Schedule'!$A$2:$Q$2902,R$2,0)&lt;&gt;B950,VLOOKUP($A950,'Concrete Beam Schedule'!$A$2:$Q$2902,R$2,0),"")</f>
        <v>#N/A</v>
      </c>
      <c r="S950" s="7" t="e">
        <f>IF(VLOOKUP($A950,'Concrete Beam Schedule'!$A$2:$Q$2902,S$2,0)&lt;&gt;C950,VLOOKUP($A950,'Concrete Beam Schedule'!$A$2:$Q$2902,S$2,0),"")</f>
        <v>#N/A</v>
      </c>
      <c r="T950" s="7" t="e">
        <f>IF(VLOOKUP($A950,'Concrete Beam Schedule'!$A$2:$Q$2902,T$2,0)&lt;&gt;D950,"Beam Revised","")</f>
        <v>#N/A</v>
      </c>
      <c r="U950" s="7" t="e">
        <f>IF(VLOOKUP($A950,'Concrete Beam Schedule'!$A$2:$Q$2902,U$2,0)&lt;&gt;E950,"Beam Revised","")</f>
        <v>#N/A</v>
      </c>
      <c r="V950" s="7" t="e">
        <f>IF(VLOOKUP($A950,'Concrete Beam Schedule'!$A$2:$Q$2902,V$2,0)&lt;&gt;F950,"Beam Revised","")</f>
        <v>#N/A</v>
      </c>
      <c r="W950" s="7" t="e">
        <f>IF(VLOOKUP($A950,'Concrete Beam Schedule'!$A$2:$Q$2902,W$2,0)&lt;&gt;G950,"Beam Revised","")</f>
        <v>#N/A</v>
      </c>
      <c r="X950" s="7" t="e">
        <f>IF(VLOOKUP($A950,'Concrete Beam Schedule'!$A$2:$Q$2902,X$2,0)&lt;&gt;H950,"Beam Revised","")</f>
        <v>#N/A</v>
      </c>
      <c r="Y950" s="7" t="e">
        <f>IF(VLOOKUP($A950,'Concrete Beam Schedule'!$A$2:$Q$2902,Y$2,0)&lt;&gt;I950,"Beam Revised","")</f>
        <v>#N/A</v>
      </c>
      <c r="Z950" s="7" t="e">
        <f>IF(VLOOKUP($A950,'Concrete Beam Schedule'!$A$2:$Q$2902,Z$2,0)&lt;&gt;J950,"Beam Revised","")</f>
        <v>#N/A</v>
      </c>
      <c r="AA950" s="7" t="e">
        <f>IF(VLOOKUP($A950,'Concrete Beam Schedule'!$A$2:$Q$2902,AA$2,0)&lt;&gt;K950,"Beam Revised","")</f>
        <v>#N/A</v>
      </c>
      <c r="AB950" s="7" t="e">
        <f>IF(VLOOKUP($A950,'Concrete Beam Schedule'!$A$2:$Q$2902,AB$2,0)&lt;&gt;L950,"Beam Revised","")</f>
        <v>#N/A</v>
      </c>
      <c r="AC950" s="7" t="e">
        <f>IF(VLOOKUP($A950,'Concrete Beam Schedule'!$A$2:$Q$2902,AC$2,0)&lt;&gt;M950,"Beam Revised","")</f>
        <v>#N/A</v>
      </c>
      <c r="AD950" s="7" t="e">
        <f>IF(VLOOKUP($A950,'Concrete Beam Schedule'!$A$2:$Q$2902,AD$2,0)&lt;&gt;N950,"Beam Revised","")</f>
        <v>#N/A</v>
      </c>
      <c r="AE950" s="7" t="e">
        <f>IF(VLOOKUP($A950,'Concrete Beam Schedule'!$A$2:$Q$2902,AE$2,0)&lt;&gt;O950,"Beam Revised","")</f>
        <v>#N/A</v>
      </c>
    </row>
    <row r="951" spans="17:31" ht="13.2" x14ac:dyDescent="0.25">
      <c r="Q951" s="7">
        <f t="shared" si="14"/>
        <v>0</v>
      </c>
      <c r="R951" s="7" t="e">
        <f>IF(VLOOKUP($A951,'Concrete Beam Schedule'!$A$2:$Q$2902,R$2,0)&lt;&gt;B951,VLOOKUP($A951,'Concrete Beam Schedule'!$A$2:$Q$2902,R$2,0),"")</f>
        <v>#N/A</v>
      </c>
      <c r="S951" s="7" t="e">
        <f>IF(VLOOKUP($A951,'Concrete Beam Schedule'!$A$2:$Q$2902,S$2,0)&lt;&gt;C951,VLOOKUP($A951,'Concrete Beam Schedule'!$A$2:$Q$2902,S$2,0),"")</f>
        <v>#N/A</v>
      </c>
      <c r="T951" s="7" t="e">
        <f>IF(VLOOKUP($A951,'Concrete Beam Schedule'!$A$2:$Q$2902,T$2,0)&lt;&gt;D951,"Beam Revised","")</f>
        <v>#N/A</v>
      </c>
      <c r="U951" s="7" t="e">
        <f>IF(VLOOKUP($A951,'Concrete Beam Schedule'!$A$2:$Q$2902,U$2,0)&lt;&gt;E951,"Beam Revised","")</f>
        <v>#N/A</v>
      </c>
      <c r="V951" s="7" t="e">
        <f>IF(VLOOKUP($A951,'Concrete Beam Schedule'!$A$2:$Q$2902,V$2,0)&lt;&gt;F951,"Beam Revised","")</f>
        <v>#N/A</v>
      </c>
      <c r="W951" s="7" t="e">
        <f>IF(VLOOKUP($A951,'Concrete Beam Schedule'!$A$2:$Q$2902,W$2,0)&lt;&gt;G951,"Beam Revised","")</f>
        <v>#N/A</v>
      </c>
      <c r="X951" s="7" t="e">
        <f>IF(VLOOKUP($A951,'Concrete Beam Schedule'!$A$2:$Q$2902,X$2,0)&lt;&gt;H951,"Beam Revised","")</f>
        <v>#N/A</v>
      </c>
      <c r="Y951" s="7" t="e">
        <f>IF(VLOOKUP($A951,'Concrete Beam Schedule'!$A$2:$Q$2902,Y$2,0)&lt;&gt;I951,"Beam Revised","")</f>
        <v>#N/A</v>
      </c>
      <c r="Z951" s="7" t="e">
        <f>IF(VLOOKUP($A951,'Concrete Beam Schedule'!$A$2:$Q$2902,Z$2,0)&lt;&gt;J951,"Beam Revised","")</f>
        <v>#N/A</v>
      </c>
      <c r="AA951" s="7" t="e">
        <f>IF(VLOOKUP($A951,'Concrete Beam Schedule'!$A$2:$Q$2902,AA$2,0)&lt;&gt;K951,"Beam Revised","")</f>
        <v>#N/A</v>
      </c>
      <c r="AB951" s="7" t="e">
        <f>IF(VLOOKUP($A951,'Concrete Beam Schedule'!$A$2:$Q$2902,AB$2,0)&lt;&gt;L951,"Beam Revised","")</f>
        <v>#N/A</v>
      </c>
      <c r="AC951" s="7" t="e">
        <f>IF(VLOOKUP($A951,'Concrete Beam Schedule'!$A$2:$Q$2902,AC$2,0)&lt;&gt;M951,"Beam Revised","")</f>
        <v>#N/A</v>
      </c>
      <c r="AD951" s="7" t="e">
        <f>IF(VLOOKUP($A951,'Concrete Beam Schedule'!$A$2:$Q$2902,AD$2,0)&lt;&gt;N951,"Beam Revised","")</f>
        <v>#N/A</v>
      </c>
      <c r="AE951" s="7" t="e">
        <f>IF(VLOOKUP($A951,'Concrete Beam Schedule'!$A$2:$Q$2902,AE$2,0)&lt;&gt;O951,"Beam Revised","")</f>
        <v>#N/A</v>
      </c>
    </row>
    <row r="952" spans="17:31" ht="13.2" x14ac:dyDescent="0.25">
      <c r="Q952" s="7">
        <f t="shared" si="14"/>
        <v>0</v>
      </c>
      <c r="R952" s="7" t="e">
        <f>IF(VLOOKUP($A952,'Concrete Beam Schedule'!$A$2:$Q$2902,R$2,0)&lt;&gt;B952,VLOOKUP($A952,'Concrete Beam Schedule'!$A$2:$Q$2902,R$2,0),"")</f>
        <v>#N/A</v>
      </c>
      <c r="S952" s="7" t="e">
        <f>IF(VLOOKUP($A952,'Concrete Beam Schedule'!$A$2:$Q$2902,S$2,0)&lt;&gt;C952,VLOOKUP($A952,'Concrete Beam Schedule'!$A$2:$Q$2902,S$2,0),"")</f>
        <v>#N/A</v>
      </c>
      <c r="T952" s="7" t="e">
        <f>IF(VLOOKUP($A952,'Concrete Beam Schedule'!$A$2:$Q$2902,T$2,0)&lt;&gt;D952,"Beam Revised","")</f>
        <v>#N/A</v>
      </c>
      <c r="U952" s="7" t="e">
        <f>IF(VLOOKUP($A952,'Concrete Beam Schedule'!$A$2:$Q$2902,U$2,0)&lt;&gt;E952,"Beam Revised","")</f>
        <v>#N/A</v>
      </c>
      <c r="V952" s="7" t="e">
        <f>IF(VLOOKUP($A952,'Concrete Beam Schedule'!$A$2:$Q$2902,V$2,0)&lt;&gt;F952,"Beam Revised","")</f>
        <v>#N/A</v>
      </c>
      <c r="W952" s="7" t="e">
        <f>IF(VLOOKUP($A952,'Concrete Beam Schedule'!$A$2:$Q$2902,W$2,0)&lt;&gt;G952,"Beam Revised","")</f>
        <v>#N/A</v>
      </c>
      <c r="X952" s="7" t="e">
        <f>IF(VLOOKUP($A952,'Concrete Beam Schedule'!$A$2:$Q$2902,X$2,0)&lt;&gt;H952,"Beam Revised","")</f>
        <v>#N/A</v>
      </c>
      <c r="Y952" s="7" t="e">
        <f>IF(VLOOKUP($A952,'Concrete Beam Schedule'!$A$2:$Q$2902,Y$2,0)&lt;&gt;I952,"Beam Revised","")</f>
        <v>#N/A</v>
      </c>
      <c r="Z952" s="7" t="e">
        <f>IF(VLOOKUP($A952,'Concrete Beam Schedule'!$A$2:$Q$2902,Z$2,0)&lt;&gt;J952,"Beam Revised","")</f>
        <v>#N/A</v>
      </c>
      <c r="AA952" s="7" t="e">
        <f>IF(VLOOKUP($A952,'Concrete Beam Schedule'!$A$2:$Q$2902,AA$2,0)&lt;&gt;K952,"Beam Revised","")</f>
        <v>#N/A</v>
      </c>
      <c r="AB952" s="7" t="e">
        <f>IF(VLOOKUP($A952,'Concrete Beam Schedule'!$A$2:$Q$2902,AB$2,0)&lt;&gt;L952,"Beam Revised","")</f>
        <v>#N/A</v>
      </c>
      <c r="AC952" s="7" t="e">
        <f>IF(VLOOKUP($A952,'Concrete Beam Schedule'!$A$2:$Q$2902,AC$2,0)&lt;&gt;M952,"Beam Revised","")</f>
        <v>#N/A</v>
      </c>
      <c r="AD952" s="7" t="e">
        <f>IF(VLOOKUP($A952,'Concrete Beam Schedule'!$A$2:$Q$2902,AD$2,0)&lt;&gt;N952,"Beam Revised","")</f>
        <v>#N/A</v>
      </c>
      <c r="AE952" s="7" t="e">
        <f>IF(VLOOKUP($A952,'Concrete Beam Schedule'!$A$2:$Q$2902,AE$2,0)&lt;&gt;O952,"Beam Revised","")</f>
        <v>#N/A</v>
      </c>
    </row>
    <row r="953" spans="17:31" ht="13.2" x14ac:dyDescent="0.25">
      <c r="Q953" s="7">
        <f t="shared" si="14"/>
        <v>0</v>
      </c>
      <c r="R953" s="7" t="e">
        <f>IF(VLOOKUP($A953,'Concrete Beam Schedule'!$A$2:$Q$2902,R$2,0)&lt;&gt;B953,VLOOKUP($A953,'Concrete Beam Schedule'!$A$2:$Q$2902,R$2,0),"")</f>
        <v>#N/A</v>
      </c>
      <c r="S953" s="7" t="e">
        <f>IF(VLOOKUP($A953,'Concrete Beam Schedule'!$A$2:$Q$2902,S$2,0)&lt;&gt;C953,VLOOKUP($A953,'Concrete Beam Schedule'!$A$2:$Q$2902,S$2,0),"")</f>
        <v>#N/A</v>
      </c>
      <c r="T953" s="7" t="e">
        <f>IF(VLOOKUP($A953,'Concrete Beam Schedule'!$A$2:$Q$2902,T$2,0)&lt;&gt;D953,"Beam Revised","")</f>
        <v>#N/A</v>
      </c>
      <c r="U953" s="7" t="e">
        <f>IF(VLOOKUP($A953,'Concrete Beam Schedule'!$A$2:$Q$2902,U$2,0)&lt;&gt;E953,"Beam Revised","")</f>
        <v>#N/A</v>
      </c>
      <c r="V953" s="7" t="e">
        <f>IF(VLOOKUP($A953,'Concrete Beam Schedule'!$A$2:$Q$2902,V$2,0)&lt;&gt;F953,"Beam Revised","")</f>
        <v>#N/A</v>
      </c>
      <c r="W953" s="7" t="e">
        <f>IF(VLOOKUP($A953,'Concrete Beam Schedule'!$A$2:$Q$2902,W$2,0)&lt;&gt;G953,"Beam Revised","")</f>
        <v>#N/A</v>
      </c>
      <c r="X953" s="7" t="e">
        <f>IF(VLOOKUP($A953,'Concrete Beam Schedule'!$A$2:$Q$2902,X$2,0)&lt;&gt;H953,"Beam Revised","")</f>
        <v>#N/A</v>
      </c>
      <c r="Y953" s="7" t="e">
        <f>IF(VLOOKUP($A953,'Concrete Beam Schedule'!$A$2:$Q$2902,Y$2,0)&lt;&gt;I953,"Beam Revised","")</f>
        <v>#N/A</v>
      </c>
      <c r="Z953" s="7" t="e">
        <f>IF(VLOOKUP($A953,'Concrete Beam Schedule'!$A$2:$Q$2902,Z$2,0)&lt;&gt;J953,"Beam Revised","")</f>
        <v>#N/A</v>
      </c>
      <c r="AA953" s="7" t="e">
        <f>IF(VLOOKUP($A953,'Concrete Beam Schedule'!$A$2:$Q$2902,AA$2,0)&lt;&gt;K953,"Beam Revised","")</f>
        <v>#N/A</v>
      </c>
      <c r="AB953" s="7" t="e">
        <f>IF(VLOOKUP($A953,'Concrete Beam Schedule'!$A$2:$Q$2902,AB$2,0)&lt;&gt;L953,"Beam Revised","")</f>
        <v>#N/A</v>
      </c>
      <c r="AC953" s="7" t="e">
        <f>IF(VLOOKUP($A953,'Concrete Beam Schedule'!$A$2:$Q$2902,AC$2,0)&lt;&gt;M953,"Beam Revised","")</f>
        <v>#N/A</v>
      </c>
      <c r="AD953" s="7" t="e">
        <f>IF(VLOOKUP($A953,'Concrete Beam Schedule'!$A$2:$Q$2902,AD$2,0)&lt;&gt;N953,"Beam Revised","")</f>
        <v>#N/A</v>
      </c>
      <c r="AE953" s="7" t="e">
        <f>IF(VLOOKUP($A953,'Concrete Beam Schedule'!$A$2:$Q$2902,AE$2,0)&lt;&gt;O953,"Beam Revised","")</f>
        <v>#N/A</v>
      </c>
    </row>
    <row r="954" spans="17:31" ht="13.2" x14ac:dyDescent="0.25">
      <c r="Q954" s="7">
        <f t="shared" si="14"/>
        <v>0</v>
      </c>
      <c r="R954" s="7" t="e">
        <f>IF(VLOOKUP($A954,'Concrete Beam Schedule'!$A$2:$Q$2902,R$2,0)&lt;&gt;B954,VLOOKUP($A954,'Concrete Beam Schedule'!$A$2:$Q$2902,R$2,0),"")</f>
        <v>#N/A</v>
      </c>
      <c r="S954" s="7" t="e">
        <f>IF(VLOOKUP($A954,'Concrete Beam Schedule'!$A$2:$Q$2902,S$2,0)&lt;&gt;C954,VLOOKUP($A954,'Concrete Beam Schedule'!$A$2:$Q$2902,S$2,0),"")</f>
        <v>#N/A</v>
      </c>
      <c r="T954" s="7" t="e">
        <f>IF(VLOOKUP($A954,'Concrete Beam Schedule'!$A$2:$Q$2902,T$2,0)&lt;&gt;D954,"Beam Revised","")</f>
        <v>#N/A</v>
      </c>
      <c r="U954" s="7" t="e">
        <f>IF(VLOOKUP($A954,'Concrete Beam Schedule'!$A$2:$Q$2902,U$2,0)&lt;&gt;E954,"Beam Revised","")</f>
        <v>#N/A</v>
      </c>
      <c r="V954" s="7" t="e">
        <f>IF(VLOOKUP($A954,'Concrete Beam Schedule'!$A$2:$Q$2902,V$2,0)&lt;&gt;F954,"Beam Revised","")</f>
        <v>#N/A</v>
      </c>
      <c r="W954" s="7" t="e">
        <f>IF(VLOOKUP($A954,'Concrete Beam Schedule'!$A$2:$Q$2902,W$2,0)&lt;&gt;G954,"Beam Revised","")</f>
        <v>#N/A</v>
      </c>
      <c r="X954" s="7" t="e">
        <f>IF(VLOOKUP($A954,'Concrete Beam Schedule'!$A$2:$Q$2902,X$2,0)&lt;&gt;H954,"Beam Revised","")</f>
        <v>#N/A</v>
      </c>
      <c r="Y954" s="7" t="e">
        <f>IF(VLOOKUP($A954,'Concrete Beam Schedule'!$A$2:$Q$2902,Y$2,0)&lt;&gt;I954,"Beam Revised","")</f>
        <v>#N/A</v>
      </c>
      <c r="Z954" s="7" t="e">
        <f>IF(VLOOKUP($A954,'Concrete Beam Schedule'!$A$2:$Q$2902,Z$2,0)&lt;&gt;J954,"Beam Revised","")</f>
        <v>#N/A</v>
      </c>
      <c r="AA954" s="7" t="e">
        <f>IF(VLOOKUP($A954,'Concrete Beam Schedule'!$A$2:$Q$2902,AA$2,0)&lt;&gt;K954,"Beam Revised","")</f>
        <v>#N/A</v>
      </c>
      <c r="AB954" s="7" t="e">
        <f>IF(VLOOKUP($A954,'Concrete Beam Schedule'!$A$2:$Q$2902,AB$2,0)&lt;&gt;L954,"Beam Revised","")</f>
        <v>#N/A</v>
      </c>
      <c r="AC954" s="7" t="e">
        <f>IF(VLOOKUP($A954,'Concrete Beam Schedule'!$A$2:$Q$2902,AC$2,0)&lt;&gt;M954,"Beam Revised","")</f>
        <v>#N/A</v>
      </c>
      <c r="AD954" s="7" t="e">
        <f>IF(VLOOKUP($A954,'Concrete Beam Schedule'!$A$2:$Q$2902,AD$2,0)&lt;&gt;N954,"Beam Revised","")</f>
        <v>#N/A</v>
      </c>
      <c r="AE954" s="7" t="e">
        <f>IF(VLOOKUP($A954,'Concrete Beam Schedule'!$A$2:$Q$2902,AE$2,0)&lt;&gt;O954,"Beam Revised","")</f>
        <v>#N/A</v>
      </c>
    </row>
    <row r="955" spans="17:31" ht="13.2" x14ac:dyDescent="0.25">
      <c r="Q955" s="7">
        <f t="shared" si="14"/>
        <v>0</v>
      </c>
      <c r="R955" s="7" t="e">
        <f>IF(VLOOKUP($A955,'Concrete Beam Schedule'!$A$2:$Q$2902,R$2,0)&lt;&gt;B955,VLOOKUP($A955,'Concrete Beam Schedule'!$A$2:$Q$2902,R$2,0),"")</f>
        <v>#N/A</v>
      </c>
      <c r="S955" s="7" t="e">
        <f>IF(VLOOKUP($A955,'Concrete Beam Schedule'!$A$2:$Q$2902,S$2,0)&lt;&gt;C955,VLOOKUP($A955,'Concrete Beam Schedule'!$A$2:$Q$2902,S$2,0),"")</f>
        <v>#N/A</v>
      </c>
      <c r="T955" s="7" t="e">
        <f>IF(VLOOKUP($A955,'Concrete Beam Schedule'!$A$2:$Q$2902,T$2,0)&lt;&gt;D955,"Beam Revised","")</f>
        <v>#N/A</v>
      </c>
      <c r="U955" s="7" t="e">
        <f>IF(VLOOKUP($A955,'Concrete Beam Schedule'!$A$2:$Q$2902,U$2,0)&lt;&gt;E955,"Beam Revised","")</f>
        <v>#N/A</v>
      </c>
      <c r="V955" s="7" t="e">
        <f>IF(VLOOKUP($A955,'Concrete Beam Schedule'!$A$2:$Q$2902,V$2,0)&lt;&gt;F955,"Beam Revised","")</f>
        <v>#N/A</v>
      </c>
      <c r="W955" s="7" t="e">
        <f>IF(VLOOKUP($A955,'Concrete Beam Schedule'!$A$2:$Q$2902,W$2,0)&lt;&gt;G955,"Beam Revised","")</f>
        <v>#N/A</v>
      </c>
      <c r="X955" s="7" t="e">
        <f>IF(VLOOKUP($A955,'Concrete Beam Schedule'!$A$2:$Q$2902,X$2,0)&lt;&gt;H955,"Beam Revised","")</f>
        <v>#N/A</v>
      </c>
      <c r="Y955" s="7" t="e">
        <f>IF(VLOOKUP($A955,'Concrete Beam Schedule'!$A$2:$Q$2902,Y$2,0)&lt;&gt;I955,"Beam Revised","")</f>
        <v>#N/A</v>
      </c>
      <c r="Z955" s="7" t="e">
        <f>IF(VLOOKUP($A955,'Concrete Beam Schedule'!$A$2:$Q$2902,Z$2,0)&lt;&gt;J955,"Beam Revised","")</f>
        <v>#N/A</v>
      </c>
      <c r="AA955" s="7" t="e">
        <f>IF(VLOOKUP($A955,'Concrete Beam Schedule'!$A$2:$Q$2902,AA$2,0)&lt;&gt;K955,"Beam Revised","")</f>
        <v>#N/A</v>
      </c>
      <c r="AB955" s="7" t="e">
        <f>IF(VLOOKUP($A955,'Concrete Beam Schedule'!$A$2:$Q$2902,AB$2,0)&lt;&gt;L955,"Beam Revised","")</f>
        <v>#N/A</v>
      </c>
      <c r="AC955" s="7" t="e">
        <f>IF(VLOOKUP($A955,'Concrete Beam Schedule'!$A$2:$Q$2902,AC$2,0)&lt;&gt;M955,"Beam Revised","")</f>
        <v>#N/A</v>
      </c>
      <c r="AD955" s="7" t="e">
        <f>IF(VLOOKUP($A955,'Concrete Beam Schedule'!$A$2:$Q$2902,AD$2,0)&lt;&gt;N955,"Beam Revised","")</f>
        <v>#N/A</v>
      </c>
      <c r="AE955" s="7" t="e">
        <f>IF(VLOOKUP($A955,'Concrete Beam Schedule'!$A$2:$Q$2902,AE$2,0)&lt;&gt;O955,"Beam Revised","")</f>
        <v>#N/A</v>
      </c>
    </row>
    <row r="956" spans="17:31" ht="13.2" x14ac:dyDescent="0.25">
      <c r="Q956" s="7">
        <f t="shared" si="14"/>
        <v>0</v>
      </c>
      <c r="R956" s="7" t="e">
        <f>IF(VLOOKUP($A956,'Concrete Beam Schedule'!$A$2:$Q$2902,R$2,0)&lt;&gt;B956,VLOOKUP($A956,'Concrete Beam Schedule'!$A$2:$Q$2902,R$2,0),"")</f>
        <v>#N/A</v>
      </c>
      <c r="S956" s="7" t="e">
        <f>IF(VLOOKUP($A956,'Concrete Beam Schedule'!$A$2:$Q$2902,S$2,0)&lt;&gt;C956,VLOOKUP($A956,'Concrete Beam Schedule'!$A$2:$Q$2902,S$2,0),"")</f>
        <v>#N/A</v>
      </c>
      <c r="T956" s="7" t="e">
        <f>IF(VLOOKUP($A956,'Concrete Beam Schedule'!$A$2:$Q$2902,T$2,0)&lt;&gt;D956,"Beam Revised","")</f>
        <v>#N/A</v>
      </c>
      <c r="U956" s="7" t="e">
        <f>IF(VLOOKUP($A956,'Concrete Beam Schedule'!$A$2:$Q$2902,U$2,0)&lt;&gt;E956,"Beam Revised","")</f>
        <v>#N/A</v>
      </c>
      <c r="V956" s="7" t="e">
        <f>IF(VLOOKUP($A956,'Concrete Beam Schedule'!$A$2:$Q$2902,V$2,0)&lt;&gt;F956,"Beam Revised","")</f>
        <v>#N/A</v>
      </c>
      <c r="W956" s="7" t="e">
        <f>IF(VLOOKUP($A956,'Concrete Beam Schedule'!$A$2:$Q$2902,W$2,0)&lt;&gt;G956,"Beam Revised","")</f>
        <v>#N/A</v>
      </c>
      <c r="X956" s="7" t="e">
        <f>IF(VLOOKUP($A956,'Concrete Beam Schedule'!$A$2:$Q$2902,X$2,0)&lt;&gt;H956,"Beam Revised","")</f>
        <v>#N/A</v>
      </c>
      <c r="Y956" s="7" t="e">
        <f>IF(VLOOKUP($A956,'Concrete Beam Schedule'!$A$2:$Q$2902,Y$2,0)&lt;&gt;I956,"Beam Revised","")</f>
        <v>#N/A</v>
      </c>
      <c r="Z956" s="7" t="e">
        <f>IF(VLOOKUP($A956,'Concrete Beam Schedule'!$A$2:$Q$2902,Z$2,0)&lt;&gt;J956,"Beam Revised","")</f>
        <v>#N/A</v>
      </c>
      <c r="AA956" s="7" t="e">
        <f>IF(VLOOKUP($A956,'Concrete Beam Schedule'!$A$2:$Q$2902,AA$2,0)&lt;&gt;K956,"Beam Revised","")</f>
        <v>#N/A</v>
      </c>
      <c r="AB956" s="7" t="e">
        <f>IF(VLOOKUP($A956,'Concrete Beam Schedule'!$A$2:$Q$2902,AB$2,0)&lt;&gt;L956,"Beam Revised","")</f>
        <v>#N/A</v>
      </c>
      <c r="AC956" s="7" t="e">
        <f>IF(VLOOKUP($A956,'Concrete Beam Schedule'!$A$2:$Q$2902,AC$2,0)&lt;&gt;M956,"Beam Revised","")</f>
        <v>#N/A</v>
      </c>
      <c r="AD956" s="7" t="e">
        <f>IF(VLOOKUP($A956,'Concrete Beam Schedule'!$A$2:$Q$2902,AD$2,0)&lt;&gt;N956,"Beam Revised","")</f>
        <v>#N/A</v>
      </c>
      <c r="AE956" s="7" t="e">
        <f>IF(VLOOKUP($A956,'Concrete Beam Schedule'!$A$2:$Q$2902,AE$2,0)&lt;&gt;O956,"Beam Revised","")</f>
        <v>#N/A</v>
      </c>
    </row>
    <row r="957" spans="17:31" ht="13.2" x14ac:dyDescent="0.25">
      <c r="Q957" s="7">
        <f t="shared" si="14"/>
        <v>0</v>
      </c>
      <c r="R957" s="7" t="e">
        <f>IF(VLOOKUP($A957,'Concrete Beam Schedule'!$A$2:$Q$2902,R$2,0)&lt;&gt;B957,VLOOKUP($A957,'Concrete Beam Schedule'!$A$2:$Q$2902,R$2,0),"")</f>
        <v>#N/A</v>
      </c>
      <c r="S957" s="7" t="e">
        <f>IF(VLOOKUP($A957,'Concrete Beam Schedule'!$A$2:$Q$2902,S$2,0)&lt;&gt;C957,VLOOKUP($A957,'Concrete Beam Schedule'!$A$2:$Q$2902,S$2,0),"")</f>
        <v>#N/A</v>
      </c>
      <c r="T957" s="7" t="e">
        <f>IF(VLOOKUP($A957,'Concrete Beam Schedule'!$A$2:$Q$2902,T$2,0)&lt;&gt;D957,"Beam Revised","")</f>
        <v>#N/A</v>
      </c>
      <c r="U957" s="7" t="e">
        <f>IF(VLOOKUP($A957,'Concrete Beam Schedule'!$A$2:$Q$2902,U$2,0)&lt;&gt;E957,"Beam Revised","")</f>
        <v>#N/A</v>
      </c>
      <c r="V957" s="7" t="e">
        <f>IF(VLOOKUP($A957,'Concrete Beam Schedule'!$A$2:$Q$2902,V$2,0)&lt;&gt;F957,"Beam Revised","")</f>
        <v>#N/A</v>
      </c>
      <c r="W957" s="7" t="e">
        <f>IF(VLOOKUP($A957,'Concrete Beam Schedule'!$A$2:$Q$2902,W$2,0)&lt;&gt;G957,"Beam Revised","")</f>
        <v>#N/A</v>
      </c>
      <c r="X957" s="7" t="e">
        <f>IF(VLOOKUP($A957,'Concrete Beam Schedule'!$A$2:$Q$2902,X$2,0)&lt;&gt;H957,"Beam Revised","")</f>
        <v>#N/A</v>
      </c>
      <c r="Y957" s="7" t="e">
        <f>IF(VLOOKUP($A957,'Concrete Beam Schedule'!$A$2:$Q$2902,Y$2,0)&lt;&gt;I957,"Beam Revised","")</f>
        <v>#N/A</v>
      </c>
      <c r="Z957" s="7" t="e">
        <f>IF(VLOOKUP($A957,'Concrete Beam Schedule'!$A$2:$Q$2902,Z$2,0)&lt;&gt;J957,"Beam Revised","")</f>
        <v>#N/A</v>
      </c>
      <c r="AA957" s="7" t="e">
        <f>IF(VLOOKUP($A957,'Concrete Beam Schedule'!$A$2:$Q$2902,AA$2,0)&lt;&gt;K957,"Beam Revised","")</f>
        <v>#N/A</v>
      </c>
      <c r="AB957" s="7" t="e">
        <f>IF(VLOOKUP($A957,'Concrete Beam Schedule'!$A$2:$Q$2902,AB$2,0)&lt;&gt;L957,"Beam Revised","")</f>
        <v>#N/A</v>
      </c>
      <c r="AC957" s="7" t="e">
        <f>IF(VLOOKUP($A957,'Concrete Beam Schedule'!$A$2:$Q$2902,AC$2,0)&lt;&gt;M957,"Beam Revised","")</f>
        <v>#N/A</v>
      </c>
      <c r="AD957" s="7" t="e">
        <f>IF(VLOOKUP($A957,'Concrete Beam Schedule'!$A$2:$Q$2902,AD$2,0)&lt;&gt;N957,"Beam Revised","")</f>
        <v>#N/A</v>
      </c>
      <c r="AE957" s="7" t="e">
        <f>IF(VLOOKUP($A957,'Concrete Beam Schedule'!$A$2:$Q$2902,AE$2,0)&lt;&gt;O957,"Beam Revised","")</f>
        <v>#N/A</v>
      </c>
    </row>
    <row r="958" spans="17:31" ht="13.2" x14ac:dyDescent="0.25">
      <c r="Q958" s="7">
        <f t="shared" si="14"/>
        <v>0</v>
      </c>
      <c r="R958" s="7" t="e">
        <f>IF(VLOOKUP($A958,'Concrete Beam Schedule'!$A$2:$Q$2902,R$2,0)&lt;&gt;B958,VLOOKUP($A958,'Concrete Beam Schedule'!$A$2:$Q$2902,R$2,0),"")</f>
        <v>#N/A</v>
      </c>
      <c r="S958" s="7" t="e">
        <f>IF(VLOOKUP($A958,'Concrete Beam Schedule'!$A$2:$Q$2902,S$2,0)&lt;&gt;C958,VLOOKUP($A958,'Concrete Beam Schedule'!$A$2:$Q$2902,S$2,0),"")</f>
        <v>#N/A</v>
      </c>
      <c r="T958" s="7" t="e">
        <f>IF(VLOOKUP($A958,'Concrete Beam Schedule'!$A$2:$Q$2902,T$2,0)&lt;&gt;D958,"Beam Revised","")</f>
        <v>#N/A</v>
      </c>
      <c r="U958" s="7" t="e">
        <f>IF(VLOOKUP($A958,'Concrete Beam Schedule'!$A$2:$Q$2902,U$2,0)&lt;&gt;E958,"Beam Revised","")</f>
        <v>#N/A</v>
      </c>
      <c r="V958" s="7" t="e">
        <f>IF(VLOOKUP($A958,'Concrete Beam Schedule'!$A$2:$Q$2902,V$2,0)&lt;&gt;F958,"Beam Revised","")</f>
        <v>#N/A</v>
      </c>
      <c r="W958" s="7" t="e">
        <f>IF(VLOOKUP($A958,'Concrete Beam Schedule'!$A$2:$Q$2902,W$2,0)&lt;&gt;G958,"Beam Revised","")</f>
        <v>#N/A</v>
      </c>
      <c r="X958" s="7" t="e">
        <f>IF(VLOOKUP($A958,'Concrete Beam Schedule'!$A$2:$Q$2902,X$2,0)&lt;&gt;H958,"Beam Revised","")</f>
        <v>#N/A</v>
      </c>
      <c r="Y958" s="7" t="e">
        <f>IF(VLOOKUP($A958,'Concrete Beam Schedule'!$A$2:$Q$2902,Y$2,0)&lt;&gt;I958,"Beam Revised","")</f>
        <v>#N/A</v>
      </c>
      <c r="Z958" s="7" t="e">
        <f>IF(VLOOKUP($A958,'Concrete Beam Schedule'!$A$2:$Q$2902,Z$2,0)&lt;&gt;J958,"Beam Revised","")</f>
        <v>#N/A</v>
      </c>
      <c r="AA958" s="7" t="e">
        <f>IF(VLOOKUP($A958,'Concrete Beam Schedule'!$A$2:$Q$2902,AA$2,0)&lt;&gt;K958,"Beam Revised","")</f>
        <v>#N/A</v>
      </c>
      <c r="AB958" s="7" t="e">
        <f>IF(VLOOKUP($A958,'Concrete Beam Schedule'!$A$2:$Q$2902,AB$2,0)&lt;&gt;L958,"Beam Revised","")</f>
        <v>#N/A</v>
      </c>
      <c r="AC958" s="7" t="e">
        <f>IF(VLOOKUP($A958,'Concrete Beam Schedule'!$A$2:$Q$2902,AC$2,0)&lt;&gt;M958,"Beam Revised","")</f>
        <v>#N/A</v>
      </c>
      <c r="AD958" s="7" t="e">
        <f>IF(VLOOKUP($A958,'Concrete Beam Schedule'!$A$2:$Q$2902,AD$2,0)&lt;&gt;N958,"Beam Revised","")</f>
        <v>#N/A</v>
      </c>
      <c r="AE958" s="7" t="e">
        <f>IF(VLOOKUP($A958,'Concrete Beam Schedule'!$A$2:$Q$2902,AE$2,0)&lt;&gt;O958,"Beam Revised","")</f>
        <v>#N/A</v>
      </c>
    </row>
    <row r="959" spans="17:31" ht="13.2" x14ac:dyDescent="0.25">
      <c r="Q959" s="7">
        <f t="shared" si="14"/>
        <v>0</v>
      </c>
      <c r="R959" s="7" t="e">
        <f>IF(VLOOKUP($A959,'Concrete Beam Schedule'!$A$2:$Q$2902,R$2,0)&lt;&gt;B959,VLOOKUP($A959,'Concrete Beam Schedule'!$A$2:$Q$2902,R$2,0),"")</f>
        <v>#N/A</v>
      </c>
      <c r="S959" s="7" t="e">
        <f>IF(VLOOKUP($A959,'Concrete Beam Schedule'!$A$2:$Q$2902,S$2,0)&lt;&gt;C959,VLOOKUP($A959,'Concrete Beam Schedule'!$A$2:$Q$2902,S$2,0),"")</f>
        <v>#N/A</v>
      </c>
      <c r="T959" s="7" t="e">
        <f>IF(VLOOKUP($A959,'Concrete Beam Schedule'!$A$2:$Q$2902,T$2,0)&lt;&gt;D959,"Beam Revised","")</f>
        <v>#N/A</v>
      </c>
      <c r="U959" s="7" t="e">
        <f>IF(VLOOKUP($A959,'Concrete Beam Schedule'!$A$2:$Q$2902,U$2,0)&lt;&gt;E959,"Beam Revised","")</f>
        <v>#N/A</v>
      </c>
      <c r="V959" s="7" t="e">
        <f>IF(VLOOKUP($A959,'Concrete Beam Schedule'!$A$2:$Q$2902,V$2,0)&lt;&gt;F959,"Beam Revised","")</f>
        <v>#N/A</v>
      </c>
      <c r="W959" s="7" t="e">
        <f>IF(VLOOKUP($A959,'Concrete Beam Schedule'!$A$2:$Q$2902,W$2,0)&lt;&gt;G959,"Beam Revised","")</f>
        <v>#N/A</v>
      </c>
      <c r="X959" s="7" t="e">
        <f>IF(VLOOKUP($A959,'Concrete Beam Schedule'!$A$2:$Q$2902,X$2,0)&lt;&gt;H959,"Beam Revised","")</f>
        <v>#N/A</v>
      </c>
      <c r="Y959" s="7" t="e">
        <f>IF(VLOOKUP($A959,'Concrete Beam Schedule'!$A$2:$Q$2902,Y$2,0)&lt;&gt;I959,"Beam Revised","")</f>
        <v>#N/A</v>
      </c>
      <c r="Z959" s="7" t="e">
        <f>IF(VLOOKUP($A959,'Concrete Beam Schedule'!$A$2:$Q$2902,Z$2,0)&lt;&gt;J959,"Beam Revised","")</f>
        <v>#N/A</v>
      </c>
      <c r="AA959" s="7" t="e">
        <f>IF(VLOOKUP($A959,'Concrete Beam Schedule'!$A$2:$Q$2902,AA$2,0)&lt;&gt;K959,"Beam Revised","")</f>
        <v>#N/A</v>
      </c>
      <c r="AB959" s="7" t="e">
        <f>IF(VLOOKUP($A959,'Concrete Beam Schedule'!$A$2:$Q$2902,AB$2,0)&lt;&gt;L959,"Beam Revised","")</f>
        <v>#N/A</v>
      </c>
      <c r="AC959" s="7" t="e">
        <f>IF(VLOOKUP($A959,'Concrete Beam Schedule'!$A$2:$Q$2902,AC$2,0)&lt;&gt;M959,"Beam Revised","")</f>
        <v>#N/A</v>
      </c>
      <c r="AD959" s="7" t="e">
        <f>IF(VLOOKUP($A959,'Concrete Beam Schedule'!$A$2:$Q$2902,AD$2,0)&lt;&gt;N959,"Beam Revised","")</f>
        <v>#N/A</v>
      </c>
      <c r="AE959" s="7" t="e">
        <f>IF(VLOOKUP($A959,'Concrete Beam Schedule'!$A$2:$Q$2902,AE$2,0)&lt;&gt;O959,"Beam Revised","")</f>
        <v>#N/A</v>
      </c>
    </row>
    <row r="960" spans="17:31" ht="13.2" x14ac:dyDescent="0.25">
      <c r="Q960" s="7">
        <f t="shared" si="14"/>
        <v>0</v>
      </c>
      <c r="R960" s="7" t="e">
        <f>IF(VLOOKUP($A960,'Concrete Beam Schedule'!$A$2:$Q$2902,R$2,0)&lt;&gt;B960,VLOOKUP($A960,'Concrete Beam Schedule'!$A$2:$Q$2902,R$2,0),"")</f>
        <v>#N/A</v>
      </c>
      <c r="S960" s="7" t="e">
        <f>IF(VLOOKUP($A960,'Concrete Beam Schedule'!$A$2:$Q$2902,S$2,0)&lt;&gt;C960,VLOOKUP($A960,'Concrete Beam Schedule'!$A$2:$Q$2902,S$2,0),"")</f>
        <v>#N/A</v>
      </c>
      <c r="T960" s="7" t="e">
        <f>IF(VLOOKUP($A960,'Concrete Beam Schedule'!$A$2:$Q$2902,T$2,0)&lt;&gt;D960,"Beam Revised","")</f>
        <v>#N/A</v>
      </c>
      <c r="U960" s="7" t="e">
        <f>IF(VLOOKUP($A960,'Concrete Beam Schedule'!$A$2:$Q$2902,U$2,0)&lt;&gt;E960,"Beam Revised","")</f>
        <v>#N/A</v>
      </c>
      <c r="V960" s="7" t="e">
        <f>IF(VLOOKUP($A960,'Concrete Beam Schedule'!$A$2:$Q$2902,V$2,0)&lt;&gt;F960,"Beam Revised","")</f>
        <v>#N/A</v>
      </c>
      <c r="W960" s="7" t="e">
        <f>IF(VLOOKUP($A960,'Concrete Beam Schedule'!$A$2:$Q$2902,W$2,0)&lt;&gt;G960,"Beam Revised","")</f>
        <v>#N/A</v>
      </c>
      <c r="X960" s="7" t="e">
        <f>IF(VLOOKUP($A960,'Concrete Beam Schedule'!$A$2:$Q$2902,X$2,0)&lt;&gt;H960,"Beam Revised","")</f>
        <v>#N/A</v>
      </c>
      <c r="Y960" s="7" t="e">
        <f>IF(VLOOKUP($A960,'Concrete Beam Schedule'!$A$2:$Q$2902,Y$2,0)&lt;&gt;I960,"Beam Revised","")</f>
        <v>#N/A</v>
      </c>
      <c r="Z960" s="7" t="e">
        <f>IF(VLOOKUP($A960,'Concrete Beam Schedule'!$A$2:$Q$2902,Z$2,0)&lt;&gt;J960,"Beam Revised","")</f>
        <v>#N/A</v>
      </c>
      <c r="AA960" s="7" t="e">
        <f>IF(VLOOKUP($A960,'Concrete Beam Schedule'!$A$2:$Q$2902,AA$2,0)&lt;&gt;K960,"Beam Revised","")</f>
        <v>#N/A</v>
      </c>
      <c r="AB960" s="7" t="e">
        <f>IF(VLOOKUP($A960,'Concrete Beam Schedule'!$A$2:$Q$2902,AB$2,0)&lt;&gt;L960,"Beam Revised","")</f>
        <v>#N/A</v>
      </c>
      <c r="AC960" s="7" t="e">
        <f>IF(VLOOKUP($A960,'Concrete Beam Schedule'!$A$2:$Q$2902,AC$2,0)&lt;&gt;M960,"Beam Revised","")</f>
        <v>#N/A</v>
      </c>
      <c r="AD960" s="7" t="e">
        <f>IF(VLOOKUP($A960,'Concrete Beam Schedule'!$A$2:$Q$2902,AD$2,0)&lt;&gt;N960,"Beam Revised","")</f>
        <v>#N/A</v>
      </c>
      <c r="AE960" s="7" t="e">
        <f>IF(VLOOKUP($A960,'Concrete Beam Schedule'!$A$2:$Q$2902,AE$2,0)&lt;&gt;O960,"Beam Revised","")</f>
        <v>#N/A</v>
      </c>
    </row>
    <row r="961" spans="17:31" ht="13.2" x14ac:dyDescent="0.25">
      <c r="Q961" s="7">
        <f t="shared" si="14"/>
        <v>0</v>
      </c>
      <c r="R961" s="7" t="e">
        <f>IF(VLOOKUP($A961,'Concrete Beam Schedule'!$A$2:$Q$2902,R$2,0)&lt;&gt;B961,VLOOKUP($A961,'Concrete Beam Schedule'!$A$2:$Q$2902,R$2,0),"")</f>
        <v>#N/A</v>
      </c>
      <c r="S961" s="7" t="e">
        <f>IF(VLOOKUP($A961,'Concrete Beam Schedule'!$A$2:$Q$2902,S$2,0)&lt;&gt;C961,VLOOKUP($A961,'Concrete Beam Schedule'!$A$2:$Q$2902,S$2,0),"")</f>
        <v>#N/A</v>
      </c>
      <c r="T961" s="7" t="e">
        <f>IF(VLOOKUP($A961,'Concrete Beam Schedule'!$A$2:$Q$2902,T$2,0)&lt;&gt;D961,"Beam Revised","")</f>
        <v>#N/A</v>
      </c>
      <c r="U961" s="7" t="e">
        <f>IF(VLOOKUP($A961,'Concrete Beam Schedule'!$A$2:$Q$2902,U$2,0)&lt;&gt;E961,"Beam Revised","")</f>
        <v>#N/A</v>
      </c>
      <c r="V961" s="7" t="e">
        <f>IF(VLOOKUP($A961,'Concrete Beam Schedule'!$A$2:$Q$2902,V$2,0)&lt;&gt;F961,"Beam Revised","")</f>
        <v>#N/A</v>
      </c>
      <c r="W961" s="7" t="e">
        <f>IF(VLOOKUP($A961,'Concrete Beam Schedule'!$A$2:$Q$2902,W$2,0)&lt;&gt;G961,"Beam Revised","")</f>
        <v>#N/A</v>
      </c>
      <c r="X961" s="7" t="e">
        <f>IF(VLOOKUP($A961,'Concrete Beam Schedule'!$A$2:$Q$2902,X$2,0)&lt;&gt;H961,"Beam Revised","")</f>
        <v>#N/A</v>
      </c>
      <c r="Y961" s="7" t="e">
        <f>IF(VLOOKUP($A961,'Concrete Beam Schedule'!$A$2:$Q$2902,Y$2,0)&lt;&gt;I961,"Beam Revised","")</f>
        <v>#N/A</v>
      </c>
      <c r="Z961" s="7" t="e">
        <f>IF(VLOOKUP($A961,'Concrete Beam Schedule'!$A$2:$Q$2902,Z$2,0)&lt;&gt;J961,"Beam Revised","")</f>
        <v>#N/A</v>
      </c>
      <c r="AA961" s="7" t="e">
        <f>IF(VLOOKUP($A961,'Concrete Beam Schedule'!$A$2:$Q$2902,AA$2,0)&lt;&gt;K961,"Beam Revised","")</f>
        <v>#N/A</v>
      </c>
      <c r="AB961" s="7" t="e">
        <f>IF(VLOOKUP($A961,'Concrete Beam Schedule'!$A$2:$Q$2902,AB$2,0)&lt;&gt;L961,"Beam Revised","")</f>
        <v>#N/A</v>
      </c>
      <c r="AC961" s="7" t="e">
        <f>IF(VLOOKUP($A961,'Concrete Beam Schedule'!$A$2:$Q$2902,AC$2,0)&lt;&gt;M961,"Beam Revised","")</f>
        <v>#N/A</v>
      </c>
      <c r="AD961" s="7" t="e">
        <f>IF(VLOOKUP($A961,'Concrete Beam Schedule'!$A$2:$Q$2902,AD$2,0)&lt;&gt;N961,"Beam Revised","")</f>
        <v>#N/A</v>
      </c>
      <c r="AE961" s="7" t="e">
        <f>IF(VLOOKUP($A961,'Concrete Beam Schedule'!$A$2:$Q$2902,AE$2,0)&lt;&gt;O961,"Beam Revised","")</f>
        <v>#N/A</v>
      </c>
    </row>
    <row r="962" spans="17:31" ht="13.2" x14ac:dyDescent="0.25">
      <c r="Q962" s="7">
        <f t="shared" si="14"/>
        <v>0</v>
      </c>
      <c r="R962" s="7" t="e">
        <f>IF(VLOOKUP($A962,'Concrete Beam Schedule'!$A$2:$Q$2902,R$2,0)&lt;&gt;B962,VLOOKUP($A962,'Concrete Beam Schedule'!$A$2:$Q$2902,R$2,0),"")</f>
        <v>#N/A</v>
      </c>
      <c r="S962" s="7" t="e">
        <f>IF(VLOOKUP($A962,'Concrete Beam Schedule'!$A$2:$Q$2902,S$2,0)&lt;&gt;C962,VLOOKUP($A962,'Concrete Beam Schedule'!$A$2:$Q$2902,S$2,0),"")</f>
        <v>#N/A</v>
      </c>
      <c r="T962" s="7" t="e">
        <f>IF(VLOOKUP($A962,'Concrete Beam Schedule'!$A$2:$Q$2902,T$2,0)&lt;&gt;D962,"Beam Revised","")</f>
        <v>#N/A</v>
      </c>
      <c r="U962" s="7" t="e">
        <f>IF(VLOOKUP($A962,'Concrete Beam Schedule'!$A$2:$Q$2902,U$2,0)&lt;&gt;E962,"Beam Revised","")</f>
        <v>#N/A</v>
      </c>
      <c r="V962" s="7" t="e">
        <f>IF(VLOOKUP($A962,'Concrete Beam Schedule'!$A$2:$Q$2902,V$2,0)&lt;&gt;F962,"Beam Revised","")</f>
        <v>#N/A</v>
      </c>
      <c r="W962" s="7" t="e">
        <f>IF(VLOOKUP($A962,'Concrete Beam Schedule'!$A$2:$Q$2902,W$2,0)&lt;&gt;G962,"Beam Revised","")</f>
        <v>#N/A</v>
      </c>
      <c r="X962" s="7" t="e">
        <f>IF(VLOOKUP($A962,'Concrete Beam Schedule'!$A$2:$Q$2902,X$2,0)&lt;&gt;H962,"Beam Revised","")</f>
        <v>#N/A</v>
      </c>
      <c r="Y962" s="7" t="e">
        <f>IF(VLOOKUP($A962,'Concrete Beam Schedule'!$A$2:$Q$2902,Y$2,0)&lt;&gt;I962,"Beam Revised","")</f>
        <v>#N/A</v>
      </c>
      <c r="Z962" s="7" t="e">
        <f>IF(VLOOKUP($A962,'Concrete Beam Schedule'!$A$2:$Q$2902,Z$2,0)&lt;&gt;J962,"Beam Revised","")</f>
        <v>#N/A</v>
      </c>
      <c r="AA962" s="7" t="e">
        <f>IF(VLOOKUP($A962,'Concrete Beam Schedule'!$A$2:$Q$2902,AA$2,0)&lt;&gt;K962,"Beam Revised","")</f>
        <v>#N/A</v>
      </c>
      <c r="AB962" s="7" t="e">
        <f>IF(VLOOKUP($A962,'Concrete Beam Schedule'!$A$2:$Q$2902,AB$2,0)&lt;&gt;L962,"Beam Revised","")</f>
        <v>#N/A</v>
      </c>
      <c r="AC962" s="7" t="e">
        <f>IF(VLOOKUP($A962,'Concrete Beam Schedule'!$A$2:$Q$2902,AC$2,0)&lt;&gt;M962,"Beam Revised","")</f>
        <v>#N/A</v>
      </c>
      <c r="AD962" s="7" t="e">
        <f>IF(VLOOKUP($A962,'Concrete Beam Schedule'!$A$2:$Q$2902,AD$2,0)&lt;&gt;N962,"Beam Revised","")</f>
        <v>#N/A</v>
      </c>
      <c r="AE962" s="7" t="e">
        <f>IF(VLOOKUP($A962,'Concrete Beam Schedule'!$A$2:$Q$2902,AE$2,0)&lt;&gt;O962,"Beam Revised","")</f>
        <v>#N/A</v>
      </c>
    </row>
    <row r="963" spans="17:31" ht="13.2" x14ac:dyDescent="0.25">
      <c r="Q963" s="7">
        <f t="shared" si="14"/>
        <v>0</v>
      </c>
      <c r="R963" s="7" t="e">
        <f>IF(VLOOKUP($A963,'Concrete Beam Schedule'!$A$2:$Q$2902,R$2,0)&lt;&gt;B963,VLOOKUP($A963,'Concrete Beam Schedule'!$A$2:$Q$2902,R$2,0),"")</f>
        <v>#N/A</v>
      </c>
      <c r="S963" s="7" t="e">
        <f>IF(VLOOKUP($A963,'Concrete Beam Schedule'!$A$2:$Q$2902,S$2,0)&lt;&gt;C963,VLOOKUP($A963,'Concrete Beam Schedule'!$A$2:$Q$2902,S$2,0),"")</f>
        <v>#N/A</v>
      </c>
      <c r="T963" s="7" t="e">
        <f>IF(VLOOKUP($A963,'Concrete Beam Schedule'!$A$2:$Q$2902,T$2,0)&lt;&gt;D963,"Beam Revised","")</f>
        <v>#N/A</v>
      </c>
      <c r="U963" s="7" t="e">
        <f>IF(VLOOKUP($A963,'Concrete Beam Schedule'!$A$2:$Q$2902,U$2,0)&lt;&gt;E963,"Beam Revised","")</f>
        <v>#N/A</v>
      </c>
      <c r="V963" s="7" t="e">
        <f>IF(VLOOKUP($A963,'Concrete Beam Schedule'!$A$2:$Q$2902,V$2,0)&lt;&gt;F963,"Beam Revised","")</f>
        <v>#N/A</v>
      </c>
      <c r="W963" s="7" t="e">
        <f>IF(VLOOKUP($A963,'Concrete Beam Schedule'!$A$2:$Q$2902,W$2,0)&lt;&gt;G963,"Beam Revised","")</f>
        <v>#N/A</v>
      </c>
      <c r="X963" s="7" t="e">
        <f>IF(VLOOKUP($A963,'Concrete Beam Schedule'!$A$2:$Q$2902,X$2,0)&lt;&gt;H963,"Beam Revised","")</f>
        <v>#N/A</v>
      </c>
      <c r="Y963" s="7" t="e">
        <f>IF(VLOOKUP($A963,'Concrete Beam Schedule'!$A$2:$Q$2902,Y$2,0)&lt;&gt;I963,"Beam Revised","")</f>
        <v>#N/A</v>
      </c>
      <c r="Z963" s="7" t="e">
        <f>IF(VLOOKUP($A963,'Concrete Beam Schedule'!$A$2:$Q$2902,Z$2,0)&lt;&gt;J963,"Beam Revised","")</f>
        <v>#N/A</v>
      </c>
      <c r="AA963" s="7" t="e">
        <f>IF(VLOOKUP($A963,'Concrete Beam Schedule'!$A$2:$Q$2902,AA$2,0)&lt;&gt;K963,"Beam Revised","")</f>
        <v>#N/A</v>
      </c>
      <c r="AB963" s="7" t="e">
        <f>IF(VLOOKUP($A963,'Concrete Beam Schedule'!$A$2:$Q$2902,AB$2,0)&lt;&gt;L963,"Beam Revised","")</f>
        <v>#N/A</v>
      </c>
      <c r="AC963" s="7" t="e">
        <f>IF(VLOOKUP($A963,'Concrete Beam Schedule'!$A$2:$Q$2902,AC$2,0)&lt;&gt;M963,"Beam Revised","")</f>
        <v>#N/A</v>
      </c>
      <c r="AD963" s="7" t="e">
        <f>IF(VLOOKUP($A963,'Concrete Beam Schedule'!$A$2:$Q$2902,AD$2,0)&lt;&gt;N963,"Beam Revised","")</f>
        <v>#N/A</v>
      </c>
      <c r="AE963" s="7" t="e">
        <f>IF(VLOOKUP($A963,'Concrete Beam Schedule'!$A$2:$Q$2902,AE$2,0)&lt;&gt;O963,"Beam Revised","")</f>
        <v>#N/A</v>
      </c>
    </row>
    <row r="964" spans="17:31" ht="13.2" x14ac:dyDescent="0.25">
      <c r="Q964" s="7">
        <f t="shared" ref="Q964:Q1027" si="15">A964</f>
        <v>0</v>
      </c>
      <c r="R964" s="7" t="e">
        <f>IF(VLOOKUP($A964,'Concrete Beam Schedule'!$A$2:$Q$2902,R$2,0)&lt;&gt;B964,VLOOKUP($A964,'Concrete Beam Schedule'!$A$2:$Q$2902,R$2,0),"")</f>
        <v>#N/A</v>
      </c>
      <c r="S964" s="7" t="e">
        <f>IF(VLOOKUP($A964,'Concrete Beam Schedule'!$A$2:$Q$2902,S$2,0)&lt;&gt;C964,VLOOKUP($A964,'Concrete Beam Schedule'!$A$2:$Q$2902,S$2,0),"")</f>
        <v>#N/A</v>
      </c>
      <c r="T964" s="7" t="e">
        <f>IF(VLOOKUP($A964,'Concrete Beam Schedule'!$A$2:$Q$2902,T$2,0)&lt;&gt;D964,"Beam Revised","")</f>
        <v>#N/A</v>
      </c>
      <c r="U964" s="7" t="e">
        <f>IF(VLOOKUP($A964,'Concrete Beam Schedule'!$A$2:$Q$2902,U$2,0)&lt;&gt;E964,"Beam Revised","")</f>
        <v>#N/A</v>
      </c>
      <c r="V964" s="7" t="e">
        <f>IF(VLOOKUP($A964,'Concrete Beam Schedule'!$A$2:$Q$2902,V$2,0)&lt;&gt;F964,"Beam Revised","")</f>
        <v>#N/A</v>
      </c>
      <c r="W964" s="7" t="e">
        <f>IF(VLOOKUP($A964,'Concrete Beam Schedule'!$A$2:$Q$2902,W$2,0)&lt;&gt;G964,"Beam Revised","")</f>
        <v>#N/A</v>
      </c>
      <c r="X964" s="7" t="e">
        <f>IF(VLOOKUP($A964,'Concrete Beam Schedule'!$A$2:$Q$2902,X$2,0)&lt;&gt;H964,"Beam Revised","")</f>
        <v>#N/A</v>
      </c>
      <c r="Y964" s="7" t="e">
        <f>IF(VLOOKUP($A964,'Concrete Beam Schedule'!$A$2:$Q$2902,Y$2,0)&lt;&gt;I964,"Beam Revised","")</f>
        <v>#N/A</v>
      </c>
      <c r="Z964" s="7" t="e">
        <f>IF(VLOOKUP($A964,'Concrete Beam Schedule'!$A$2:$Q$2902,Z$2,0)&lt;&gt;J964,"Beam Revised","")</f>
        <v>#N/A</v>
      </c>
      <c r="AA964" s="7" t="e">
        <f>IF(VLOOKUP($A964,'Concrete Beam Schedule'!$A$2:$Q$2902,AA$2,0)&lt;&gt;K964,"Beam Revised","")</f>
        <v>#N/A</v>
      </c>
      <c r="AB964" s="7" t="e">
        <f>IF(VLOOKUP($A964,'Concrete Beam Schedule'!$A$2:$Q$2902,AB$2,0)&lt;&gt;L964,"Beam Revised","")</f>
        <v>#N/A</v>
      </c>
      <c r="AC964" s="7" t="e">
        <f>IF(VLOOKUP($A964,'Concrete Beam Schedule'!$A$2:$Q$2902,AC$2,0)&lt;&gt;M964,"Beam Revised","")</f>
        <v>#N/A</v>
      </c>
      <c r="AD964" s="7" t="e">
        <f>IF(VLOOKUP($A964,'Concrete Beam Schedule'!$A$2:$Q$2902,AD$2,0)&lt;&gt;N964,"Beam Revised","")</f>
        <v>#N/A</v>
      </c>
      <c r="AE964" s="7" t="e">
        <f>IF(VLOOKUP($A964,'Concrete Beam Schedule'!$A$2:$Q$2902,AE$2,0)&lt;&gt;O964,"Beam Revised","")</f>
        <v>#N/A</v>
      </c>
    </row>
    <row r="965" spans="17:31" ht="13.2" x14ac:dyDescent="0.25">
      <c r="Q965" s="7">
        <f t="shared" si="15"/>
        <v>0</v>
      </c>
      <c r="R965" s="7" t="e">
        <f>IF(VLOOKUP($A965,'Concrete Beam Schedule'!$A$2:$Q$2902,R$2,0)&lt;&gt;B965,VLOOKUP($A965,'Concrete Beam Schedule'!$A$2:$Q$2902,R$2,0),"")</f>
        <v>#N/A</v>
      </c>
      <c r="S965" s="7" t="e">
        <f>IF(VLOOKUP($A965,'Concrete Beam Schedule'!$A$2:$Q$2902,S$2,0)&lt;&gt;C965,VLOOKUP($A965,'Concrete Beam Schedule'!$A$2:$Q$2902,S$2,0),"")</f>
        <v>#N/A</v>
      </c>
      <c r="T965" s="7" t="e">
        <f>IF(VLOOKUP($A965,'Concrete Beam Schedule'!$A$2:$Q$2902,T$2,0)&lt;&gt;D965,"Beam Revised","")</f>
        <v>#N/A</v>
      </c>
      <c r="U965" s="7" t="e">
        <f>IF(VLOOKUP($A965,'Concrete Beam Schedule'!$A$2:$Q$2902,U$2,0)&lt;&gt;E965,"Beam Revised","")</f>
        <v>#N/A</v>
      </c>
      <c r="V965" s="7" t="e">
        <f>IF(VLOOKUP($A965,'Concrete Beam Schedule'!$A$2:$Q$2902,V$2,0)&lt;&gt;F965,"Beam Revised","")</f>
        <v>#N/A</v>
      </c>
      <c r="W965" s="7" t="e">
        <f>IF(VLOOKUP($A965,'Concrete Beam Schedule'!$A$2:$Q$2902,W$2,0)&lt;&gt;G965,"Beam Revised","")</f>
        <v>#N/A</v>
      </c>
      <c r="X965" s="7" t="e">
        <f>IF(VLOOKUP($A965,'Concrete Beam Schedule'!$A$2:$Q$2902,X$2,0)&lt;&gt;H965,"Beam Revised","")</f>
        <v>#N/A</v>
      </c>
      <c r="Y965" s="7" t="e">
        <f>IF(VLOOKUP($A965,'Concrete Beam Schedule'!$A$2:$Q$2902,Y$2,0)&lt;&gt;I965,"Beam Revised","")</f>
        <v>#N/A</v>
      </c>
      <c r="Z965" s="7" t="e">
        <f>IF(VLOOKUP($A965,'Concrete Beam Schedule'!$A$2:$Q$2902,Z$2,0)&lt;&gt;J965,"Beam Revised","")</f>
        <v>#N/A</v>
      </c>
      <c r="AA965" s="7" t="e">
        <f>IF(VLOOKUP($A965,'Concrete Beam Schedule'!$A$2:$Q$2902,AA$2,0)&lt;&gt;K965,"Beam Revised","")</f>
        <v>#N/A</v>
      </c>
      <c r="AB965" s="7" t="e">
        <f>IF(VLOOKUP($A965,'Concrete Beam Schedule'!$A$2:$Q$2902,AB$2,0)&lt;&gt;L965,"Beam Revised","")</f>
        <v>#N/A</v>
      </c>
      <c r="AC965" s="7" t="e">
        <f>IF(VLOOKUP($A965,'Concrete Beam Schedule'!$A$2:$Q$2902,AC$2,0)&lt;&gt;M965,"Beam Revised","")</f>
        <v>#N/A</v>
      </c>
      <c r="AD965" s="7" t="e">
        <f>IF(VLOOKUP($A965,'Concrete Beam Schedule'!$A$2:$Q$2902,AD$2,0)&lt;&gt;N965,"Beam Revised","")</f>
        <v>#N/A</v>
      </c>
      <c r="AE965" s="7" t="e">
        <f>IF(VLOOKUP($A965,'Concrete Beam Schedule'!$A$2:$Q$2902,AE$2,0)&lt;&gt;O965,"Beam Revised","")</f>
        <v>#N/A</v>
      </c>
    </row>
    <row r="966" spans="17:31" ht="13.2" x14ac:dyDescent="0.25">
      <c r="Q966" s="7">
        <f t="shared" si="15"/>
        <v>0</v>
      </c>
      <c r="R966" s="7" t="e">
        <f>IF(VLOOKUP($A966,'Concrete Beam Schedule'!$A$2:$Q$2902,R$2,0)&lt;&gt;B966,VLOOKUP($A966,'Concrete Beam Schedule'!$A$2:$Q$2902,R$2,0),"")</f>
        <v>#N/A</v>
      </c>
      <c r="S966" s="7" t="e">
        <f>IF(VLOOKUP($A966,'Concrete Beam Schedule'!$A$2:$Q$2902,S$2,0)&lt;&gt;C966,VLOOKUP($A966,'Concrete Beam Schedule'!$A$2:$Q$2902,S$2,0),"")</f>
        <v>#N/A</v>
      </c>
      <c r="T966" s="7" t="e">
        <f>IF(VLOOKUP($A966,'Concrete Beam Schedule'!$A$2:$Q$2902,T$2,0)&lt;&gt;D966,"Beam Revised","")</f>
        <v>#N/A</v>
      </c>
      <c r="U966" s="7" t="e">
        <f>IF(VLOOKUP($A966,'Concrete Beam Schedule'!$A$2:$Q$2902,U$2,0)&lt;&gt;E966,"Beam Revised","")</f>
        <v>#N/A</v>
      </c>
      <c r="V966" s="7" t="e">
        <f>IF(VLOOKUP($A966,'Concrete Beam Schedule'!$A$2:$Q$2902,V$2,0)&lt;&gt;F966,"Beam Revised","")</f>
        <v>#N/A</v>
      </c>
      <c r="W966" s="7" t="e">
        <f>IF(VLOOKUP($A966,'Concrete Beam Schedule'!$A$2:$Q$2902,W$2,0)&lt;&gt;G966,"Beam Revised","")</f>
        <v>#N/A</v>
      </c>
      <c r="X966" s="7" t="e">
        <f>IF(VLOOKUP($A966,'Concrete Beam Schedule'!$A$2:$Q$2902,X$2,0)&lt;&gt;H966,"Beam Revised","")</f>
        <v>#N/A</v>
      </c>
      <c r="Y966" s="7" t="e">
        <f>IF(VLOOKUP($A966,'Concrete Beam Schedule'!$A$2:$Q$2902,Y$2,0)&lt;&gt;I966,"Beam Revised","")</f>
        <v>#N/A</v>
      </c>
      <c r="Z966" s="7" t="e">
        <f>IF(VLOOKUP($A966,'Concrete Beam Schedule'!$A$2:$Q$2902,Z$2,0)&lt;&gt;J966,"Beam Revised","")</f>
        <v>#N/A</v>
      </c>
      <c r="AA966" s="7" t="e">
        <f>IF(VLOOKUP($A966,'Concrete Beam Schedule'!$A$2:$Q$2902,AA$2,0)&lt;&gt;K966,"Beam Revised","")</f>
        <v>#N/A</v>
      </c>
      <c r="AB966" s="7" t="e">
        <f>IF(VLOOKUP($A966,'Concrete Beam Schedule'!$A$2:$Q$2902,AB$2,0)&lt;&gt;L966,"Beam Revised","")</f>
        <v>#N/A</v>
      </c>
      <c r="AC966" s="7" t="e">
        <f>IF(VLOOKUP($A966,'Concrete Beam Schedule'!$A$2:$Q$2902,AC$2,0)&lt;&gt;M966,"Beam Revised","")</f>
        <v>#N/A</v>
      </c>
      <c r="AD966" s="7" t="e">
        <f>IF(VLOOKUP($A966,'Concrete Beam Schedule'!$A$2:$Q$2902,AD$2,0)&lt;&gt;N966,"Beam Revised","")</f>
        <v>#N/A</v>
      </c>
      <c r="AE966" s="7" t="e">
        <f>IF(VLOOKUP($A966,'Concrete Beam Schedule'!$A$2:$Q$2902,AE$2,0)&lt;&gt;O966,"Beam Revised","")</f>
        <v>#N/A</v>
      </c>
    </row>
    <row r="967" spans="17:31" ht="13.2" x14ac:dyDescent="0.25">
      <c r="Q967" s="7">
        <f t="shared" si="15"/>
        <v>0</v>
      </c>
      <c r="R967" s="7" t="e">
        <f>IF(VLOOKUP($A967,'Concrete Beam Schedule'!$A$2:$Q$2902,R$2,0)&lt;&gt;B967,VLOOKUP($A967,'Concrete Beam Schedule'!$A$2:$Q$2902,R$2,0),"")</f>
        <v>#N/A</v>
      </c>
      <c r="S967" s="7" t="e">
        <f>IF(VLOOKUP($A967,'Concrete Beam Schedule'!$A$2:$Q$2902,S$2,0)&lt;&gt;C967,VLOOKUP($A967,'Concrete Beam Schedule'!$A$2:$Q$2902,S$2,0),"")</f>
        <v>#N/A</v>
      </c>
      <c r="T967" s="7" t="e">
        <f>IF(VLOOKUP($A967,'Concrete Beam Schedule'!$A$2:$Q$2902,T$2,0)&lt;&gt;D967,"Beam Revised","")</f>
        <v>#N/A</v>
      </c>
      <c r="U967" s="7" t="e">
        <f>IF(VLOOKUP($A967,'Concrete Beam Schedule'!$A$2:$Q$2902,U$2,0)&lt;&gt;E967,"Beam Revised","")</f>
        <v>#N/A</v>
      </c>
      <c r="V967" s="7" t="e">
        <f>IF(VLOOKUP($A967,'Concrete Beam Schedule'!$A$2:$Q$2902,V$2,0)&lt;&gt;F967,"Beam Revised","")</f>
        <v>#N/A</v>
      </c>
      <c r="W967" s="7" t="e">
        <f>IF(VLOOKUP($A967,'Concrete Beam Schedule'!$A$2:$Q$2902,W$2,0)&lt;&gt;G967,"Beam Revised","")</f>
        <v>#N/A</v>
      </c>
      <c r="X967" s="7" t="e">
        <f>IF(VLOOKUP($A967,'Concrete Beam Schedule'!$A$2:$Q$2902,X$2,0)&lt;&gt;H967,"Beam Revised","")</f>
        <v>#N/A</v>
      </c>
      <c r="Y967" s="7" t="e">
        <f>IF(VLOOKUP($A967,'Concrete Beam Schedule'!$A$2:$Q$2902,Y$2,0)&lt;&gt;I967,"Beam Revised","")</f>
        <v>#N/A</v>
      </c>
      <c r="Z967" s="7" t="e">
        <f>IF(VLOOKUP($A967,'Concrete Beam Schedule'!$A$2:$Q$2902,Z$2,0)&lt;&gt;J967,"Beam Revised","")</f>
        <v>#N/A</v>
      </c>
      <c r="AA967" s="7" t="e">
        <f>IF(VLOOKUP($A967,'Concrete Beam Schedule'!$A$2:$Q$2902,AA$2,0)&lt;&gt;K967,"Beam Revised","")</f>
        <v>#N/A</v>
      </c>
      <c r="AB967" s="7" t="e">
        <f>IF(VLOOKUP($A967,'Concrete Beam Schedule'!$A$2:$Q$2902,AB$2,0)&lt;&gt;L967,"Beam Revised","")</f>
        <v>#N/A</v>
      </c>
      <c r="AC967" s="7" t="e">
        <f>IF(VLOOKUP($A967,'Concrete Beam Schedule'!$A$2:$Q$2902,AC$2,0)&lt;&gt;M967,"Beam Revised","")</f>
        <v>#N/A</v>
      </c>
      <c r="AD967" s="7" t="e">
        <f>IF(VLOOKUP($A967,'Concrete Beam Schedule'!$A$2:$Q$2902,AD$2,0)&lt;&gt;N967,"Beam Revised","")</f>
        <v>#N/A</v>
      </c>
      <c r="AE967" s="7" t="e">
        <f>IF(VLOOKUP($A967,'Concrete Beam Schedule'!$A$2:$Q$2902,AE$2,0)&lt;&gt;O967,"Beam Revised","")</f>
        <v>#N/A</v>
      </c>
    </row>
    <row r="968" spans="17:31" ht="13.2" x14ac:dyDescent="0.25">
      <c r="Q968" s="7">
        <f t="shared" si="15"/>
        <v>0</v>
      </c>
      <c r="R968" s="7" t="e">
        <f>IF(VLOOKUP($A968,'Concrete Beam Schedule'!$A$2:$Q$2902,R$2,0)&lt;&gt;B968,VLOOKUP($A968,'Concrete Beam Schedule'!$A$2:$Q$2902,R$2,0),"")</f>
        <v>#N/A</v>
      </c>
      <c r="S968" s="7" t="e">
        <f>IF(VLOOKUP($A968,'Concrete Beam Schedule'!$A$2:$Q$2902,S$2,0)&lt;&gt;C968,VLOOKUP($A968,'Concrete Beam Schedule'!$A$2:$Q$2902,S$2,0),"")</f>
        <v>#N/A</v>
      </c>
      <c r="T968" s="7" t="e">
        <f>IF(VLOOKUP($A968,'Concrete Beam Schedule'!$A$2:$Q$2902,T$2,0)&lt;&gt;D968,"Beam Revised","")</f>
        <v>#N/A</v>
      </c>
      <c r="U968" s="7" t="e">
        <f>IF(VLOOKUP($A968,'Concrete Beam Schedule'!$A$2:$Q$2902,U$2,0)&lt;&gt;E968,"Beam Revised","")</f>
        <v>#N/A</v>
      </c>
      <c r="V968" s="7" t="e">
        <f>IF(VLOOKUP($A968,'Concrete Beam Schedule'!$A$2:$Q$2902,V$2,0)&lt;&gt;F968,"Beam Revised","")</f>
        <v>#N/A</v>
      </c>
      <c r="W968" s="7" t="e">
        <f>IF(VLOOKUP($A968,'Concrete Beam Schedule'!$A$2:$Q$2902,W$2,0)&lt;&gt;G968,"Beam Revised","")</f>
        <v>#N/A</v>
      </c>
      <c r="X968" s="7" t="e">
        <f>IF(VLOOKUP($A968,'Concrete Beam Schedule'!$A$2:$Q$2902,X$2,0)&lt;&gt;H968,"Beam Revised","")</f>
        <v>#N/A</v>
      </c>
      <c r="Y968" s="7" t="e">
        <f>IF(VLOOKUP($A968,'Concrete Beam Schedule'!$A$2:$Q$2902,Y$2,0)&lt;&gt;I968,"Beam Revised","")</f>
        <v>#N/A</v>
      </c>
      <c r="Z968" s="7" t="e">
        <f>IF(VLOOKUP($A968,'Concrete Beam Schedule'!$A$2:$Q$2902,Z$2,0)&lt;&gt;J968,"Beam Revised","")</f>
        <v>#N/A</v>
      </c>
      <c r="AA968" s="7" t="e">
        <f>IF(VLOOKUP($A968,'Concrete Beam Schedule'!$A$2:$Q$2902,AA$2,0)&lt;&gt;K968,"Beam Revised","")</f>
        <v>#N/A</v>
      </c>
      <c r="AB968" s="7" t="e">
        <f>IF(VLOOKUP($A968,'Concrete Beam Schedule'!$A$2:$Q$2902,AB$2,0)&lt;&gt;L968,"Beam Revised","")</f>
        <v>#N/A</v>
      </c>
      <c r="AC968" s="7" t="e">
        <f>IF(VLOOKUP($A968,'Concrete Beam Schedule'!$A$2:$Q$2902,AC$2,0)&lt;&gt;M968,"Beam Revised","")</f>
        <v>#N/A</v>
      </c>
      <c r="AD968" s="7" t="e">
        <f>IF(VLOOKUP($A968,'Concrete Beam Schedule'!$A$2:$Q$2902,AD$2,0)&lt;&gt;N968,"Beam Revised","")</f>
        <v>#N/A</v>
      </c>
      <c r="AE968" s="7" t="e">
        <f>IF(VLOOKUP($A968,'Concrete Beam Schedule'!$A$2:$Q$2902,AE$2,0)&lt;&gt;O968,"Beam Revised","")</f>
        <v>#N/A</v>
      </c>
    </row>
    <row r="969" spans="17:31" ht="13.2" x14ac:dyDescent="0.25">
      <c r="Q969" s="7">
        <f t="shared" si="15"/>
        <v>0</v>
      </c>
      <c r="R969" s="7" t="e">
        <f>IF(VLOOKUP($A969,'Concrete Beam Schedule'!$A$2:$Q$2902,R$2,0)&lt;&gt;B969,VLOOKUP($A969,'Concrete Beam Schedule'!$A$2:$Q$2902,R$2,0),"")</f>
        <v>#N/A</v>
      </c>
      <c r="S969" s="7" t="e">
        <f>IF(VLOOKUP($A969,'Concrete Beam Schedule'!$A$2:$Q$2902,S$2,0)&lt;&gt;C969,VLOOKUP($A969,'Concrete Beam Schedule'!$A$2:$Q$2902,S$2,0),"")</f>
        <v>#N/A</v>
      </c>
      <c r="T969" s="7" t="e">
        <f>IF(VLOOKUP($A969,'Concrete Beam Schedule'!$A$2:$Q$2902,T$2,0)&lt;&gt;D969,"Beam Revised","")</f>
        <v>#N/A</v>
      </c>
      <c r="U969" s="7" t="e">
        <f>IF(VLOOKUP($A969,'Concrete Beam Schedule'!$A$2:$Q$2902,U$2,0)&lt;&gt;E969,"Beam Revised","")</f>
        <v>#N/A</v>
      </c>
      <c r="V969" s="7" t="e">
        <f>IF(VLOOKUP($A969,'Concrete Beam Schedule'!$A$2:$Q$2902,V$2,0)&lt;&gt;F969,"Beam Revised","")</f>
        <v>#N/A</v>
      </c>
      <c r="W969" s="7" t="e">
        <f>IF(VLOOKUP($A969,'Concrete Beam Schedule'!$A$2:$Q$2902,W$2,0)&lt;&gt;G969,"Beam Revised","")</f>
        <v>#N/A</v>
      </c>
      <c r="X969" s="7" t="e">
        <f>IF(VLOOKUP($A969,'Concrete Beam Schedule'!$A$2:$Q$2902,X$2,0)&lt;&gt;H969,"Beam Revised","")</f>
        <v>#N/A</v>
      </c>
      <c r="Y969" s="7" t="e">
        <f>IF(VLOOKUP($A969,'Concrete Beam Schedule'!$A$2:$Q$2902,Y$2,0)&lt;&gt;I969,"Beam Revised","")</f>
        <v>#N/A</v>
      </c>
      <c r="Z969" s="7" t="e">
        <f>IF(VLOOKUP($A969,'Concrete Beam Schedule'!$A$2:$Q$2902,Z$2,0)&lt;&gt;J969,"Beam Revised","")</f>
        <v>#N/A</v>
      </c>
      <c r="AA969" s="7" t="e">
        <f>IF(VLOOKUP($A969,'Concrete Beam Schedule'!$A$2:$Q$2902,AA$2,0)&lt;&gt;K969,"Beam Revised","")</f>
        <v>#N/A</v>
      </c>
      <c r="AB969" s="7" t="e">
        <f>IF(VLOOKUP($A969,'Concrete Beam Schedule'!$A$2:$Q$2902,AB$2,0)&lt;&gt;L969,"Beam Revised","")</f>
        <v>#N/A</v>
      </c>
      <c r="AC969" s="7" t="e">
        <f>IF(VLOOKUP($A969,'Concrete Beam Schedule'!$A$2:$Q$2902,AC$2,0)&lt;&gt;M969,"Beam Revised","")</f>
        <v>#N/A</v>
      </c>
      <c r="AD969" s="7" t="e">
        <f>IF(VLOOKUP($A969,'Concrete Beam Schedule'!$A$2:$Q$2902,AD$2,0)&lt;&gt;N969,"Beam Revised","")</f>
        <v>#N/A</v>
      </c>
      <c r="AE969" s="7" t="e">
        <f>IF(VLOOKUP($A969,'Concrete Beam Schedule'!$A$2:$Q$2902,AE$2,0)&lt;&gt;O969,"Beam Revised","")</f>
        <v>#N/A</v>
      </c>
    </row>
    <row r="970" spans="17:31" ht="13.2" x14ac:dyDescent="0.25">
      <c r="Q970" s="7">
        <f t="shared" si="15"/>
        <v>0</v>
      </c>
      <c r="R970" s="7" t="e">
        <f>IF(VLOOKUP($A970,'Concrete Beam Schedule'!$A$2:$Q$2902,R$2,0)&lt;&gt;B970,VLOOKUP($A970,'Concrete Beam Schedule'!$A$2:$Q$2902,R$2,0),"")</f>
        <v>#N/A</v>
      </c>
      <c r="S970" s="7" t="e">
        <f>IF(VLOOKUP($A970,'Concrete Beam Schedule'!$A$2:$Q$2902,S$2,0)&lt;&gt;C970,VLOOKUP($A970,'Concrete Beam Schedule'!$A$2:$Q$2902,S$2,0),"")</f>
        <v>#N/A</v>
      </c>
      <c r="T970" s="7" t="e">
        <f>IF(VLOOKUP($A970,'Concrete Beam Schedule'!$A$2:$Q$2902,T$2,0)&lt;&gt;D970,"Beam Revised","")</f>
        <v>#N/A</v>
      </c>
      <c r="U970" s="7" t="e">
        <f>IF(VLOOKUP($A970,'Concrete Beam Schedule'!$A$2:$Q$2902,U$2,0)&lt;&gt;E970,"Beam Revised","")</f>
        <v>#N/A</v>
      </c>
      <c r="V970" s="7" t="e">
        <f>IF(VLOOKUP($A970,'Concrete Beam Schedule'!$A$2:$Q$2902,V$2,0)&lt;&gt;F970,"Beam Revised","")</f>
        <v>#N/A</v>
      </c>
      <c r="W970" s="7" t="e">
        <f>IF(VLOOKUP($A970,'Concrete Beam Schedule'!$A$2:$Q$2902,W$2,0)&lt;&gt;G970,"Beam Revised","")</f>
        <v>#N/A</v>
      </c>
      <c r="X970" s="7" t="e">
        <f>IF(VLOOKUP($A970,'Concrete Beam Schedule'!$A$2:$Q$2902,X$2,0)&lt;&gt;H970,"Beam Revised","")</f>
        <v>#N/A</v>
      </c>
      <c r="Y970" s="7" t="e">
        <f>IF(VLOOKUP($A970,'Concrete Beam Schedule'!$A$2:$Q$2902,Y$2,0)&lt;&gt;I970,"Beam Revised","")</f>
        <v>#N/A</v>
      </c>
      <c r="Z970" s="7" t="e">
        <f>IF(VLOOKUP($A970,'Concrete Beam Schedule'!$A$2:$Q$2902,Z$2,0)&lt;&gt;J970,"Beam Revised","")</f>
        <v>#N/A</v>
      </c>
      <c r="AA970" s="7" t="e">
        <f>IF(VLOOKUP($A970,'Concrete Beam Schedule'!$A$2:$Q$2902,AA$2,0)&lt;&gt;K970,"Beam Revised","")</f>
        <v>#N/A</v>
      </c>
      <c r="AB970" s="7" t="e">
        <f>IF(VLOOKUP($A970,'Concrete Beam Schedule'!$A$2:$Q$2902,AB$2,0)&lt;&gt;L970,"Beam Revised","")</f>
        <v>#N/A</v>
      </c>
      <c r="AC970" s="7" t="e">
        <f>IF(VLOOKUP($A970,'Concrete Beam Schedule'!$A$2:$Q$2902,AC$2,0)&lt;&gt;M970,"Beam Revised","")</f>
        <v>#N/A</v>
      </c>
      <c r="AD970" s="7" t="e">
        <f>IF(VLOOKUP($A970,'Concrete Beam Schedule'!$A$2:$Q$2902,AD$2,0)&lt;&gt;N970,"Beam Revised","")</f>
        <v>#N/A</v>
      </c>
      <c r="AE970" s="7" t="e">
        <f>IF(VLOOKUP($A970,'Concrete Beam Schedule'!$A$2:$Q$2902,AE$2,0)&lt;&gt;O970,"Beam Revised","")</f>
        <v>#N/A</v>
      </c>
    </row>
    <row r="971" spans="17:31" ht="13.2" x14ac:dyDescent="0.25">
      <c r="Q971" s="7">
        <f t="shared" si="15"/>
        <v>0</v>
      </c>
      <c r="R971" s="7" t="e">
        <f>IF(VLOOKUP($A971,'Concrete Beam Schedule'!$A$2:$Q$2902,R$2,0)&lt;&gt;B971,VLOOKUP($A971,'Concrete Beam Schedule'!$A$2:$Q$2902,R$2,0),"")</f>
        <v>#N/A</v>
      </c>
      <c r="S971" s="7" t="e">
        <f>IF(VLOOKUP($A971,'Concrete Beam Schedule'!$A$2:$Q$2902,S$2,0)&lt;&gt;C971,VLOOKUP($A971,'Concrete Beam Schedule'!$A$2:$Q$2902,S$2,0),"")</f>
        <v>#N/A</v>
      </c>
      <c r="T971" s="7" t="e">
        <f>IF(VLOOKUP($A971,'Concrete Beam Schedule'!$A$2:$Q$2902,T$2,0)&lt;&gt;D971,"Beam Revised","")</f>
        <v>#N/A</v>
      </c>
      <c r="U971" s="7" t="e">
        <f>IF(VLOOKUP($A971,'Concrete Beam Schedule'!$A$2:$Q$2902,U$2,0)&lt;&gt;E971,"Beam Revised","")</f>
        <v>#N/A</v>
      </c>
      <c r="V971" s="7" t="e">
        <f>IF(VLOOKUP($A971,'Concrete Beam Schedule'!$A$2:$Q$2902,V$2,0)&lt;&gt;F971,"Beam Revised","")</f>
        <v>#N/A</v>
      </c>
      <c r="W971" s="7" t="e">
        <f>IF(VLOOKUP($A971,'Concrete Beam Schedule'!$A$2:$Q$2902,W$2,0)&lt;&gt;G971,"Beam Revised","")</f>
        <v>#N/A</v>
      </c>
      <c r="X971" s="7" t="e">
        <f>IF(VLOOKUP($A971,'Concrete Beam Schedule'!$A$2:$Q$2902,X$2,0)&lt;&gt;H971,"Beam Revised","")</f>
        <v>#N/A</v>
      </c>
      <c r="Y971" s="7" t="e">
        <f>IF(VLOOKUP($A971,'Concrete Beam Schedule'!$A$2:$Q$2902,Y$2,0)&lt;&gt;I971,"Beam Revised","")</f>
        <v>#N/A</v>
      </c>
      <c r="Z971" s="7" t="e">
        <f>IF(VLOOKUP($A971,'Concrete Beam Schedule'!$A$2:$Q$2902,Z$2,0)&lt;&gt;J971,"Beam Revised","")</f>
        <v>#N/A</v>
      </c>
      <c r="AA971" s="7" t="e">
        <f>IF(VLOOKUP($A971,'Concrete Beam Schedule'!$A$2:$Q$2902,AA$2,0)&lt;&gt;K971,"Beam Revised","")</f>
        <v>#N/A</v>
      </c>
      <c r="AB971" s="7" t="e">
        <f>IF(VLOOKUP($A971,'Concrete Beam Schedule'!$A$2:$Q$2902,AB$2,0)&lt;&gt;L971,"Beam Revised","")</f>
        <v>#N/A</v>
      </c>
      <c r="AC971" s="7" t="e">
        <f>IF(VLOOKUP($A971,'Concrete Beam Schedule'!$A$2:$Q$2902,AC$2,0)&lt;&gt;M971,"Beam Revised","")</f>
        <v>#N/A</v>
      </c>
      <c r="AD971" s="7" t="e">
        <f>IF(VLOOKUP($A971,'Concrete Beam Schedule'!$A$2:$Q$2902,AD$2,0)&lt;&gt;N971,"Beam Revised","")</f>
        <v>#N/A</v>
      </c>
      <c r="AE971" s="7" t="e">
        <f>IF(VLOOKUP($A971,'Concrete Beam Schedule'!$A$2:$Q$2902,AE$2,0)&lt;&gt;O971,"Beam Revised","")</f>
        <v>#N/A</v>
      </c>
    </row>
    <row r="972" spans="17:31" ht="13.2" x14ac:dyDescent="0.25">
      <c r="Q972" s="7">
        <f t="shared" si="15"/>
        <v>0</v>
      </c>
      <c r="R972" s="7" t="e">
        <f>IF(VLOOKUP($A972,'Concrete Beam Schedule'!$A$2:$Q$2902,R$2,0)&lt;&gt;B972,VLOOKUP($A972,'Concrete Beam Schedule'!$A$2:$Q$2902,R$2,0),"")</f>
        <v>#N/A</v>
      </c>
      <c r="S972" s="7" t="e">
        <f>IF(VLOOKUP($A972,'Concrete Beam Schedule'!$A$2:$Q$2902,S$2,0)&lt;&gt;C972,VLOOKUP($A972,'Concrete Beam Schedule'!$A$2:$Q$2902,S$2,0),"")</f>
        <v>#N/A</v>
      </c>
      <c r="T972" s="7" t="e">
        <f>IF(VLOOKUP($A972,'Concrete Beam Schedule'!$A$2:$Q$2902,T$2,0)&lt;&gt;D972,"Beam Revised","")</f>
        <v>#N/A</v>
      </c>
      <c r="U972" s="7" t="e">
        <f>IF(VLOOKUP($A972,'Concrete Beam Schedule'!$A$2:$Q$2902,U$2,0)&lt;&gt;E972,"Beam Revised","")</f>
        <v>#N/A</v>
      </c>
      <c r="V972" s="7" t="e">
        <f>IF(VLOOKUP($A972,'Concrete Beam Schedule'!$A$2:$Q$2902,V$2,0)&lt;&gt;F972,"Beam Revised","")</f>
        <v>#N/A</v>
      </c>
      <c r="W972" s="7" t="e">
        <f>IF(VLOOKUP($A972,'Concrete Beam Schedule'!$A$2:$Q$2902,W$2,0)&lt;&gt;G972,"Beam Revised","")</f>
        <v>#N/A</v>
      </c>
      <c r="X972" s="7" t="e">
        <f>IF(VLOOKUP($A972,'Concrete Beam Schedule'!$A$2:$Q$2902,X$2,0)&lt;&gt;H972,"Beam Revised","")</f>
        <v>#N/A</v>
      </c>
      <c r="Y972" s="7" t="e">
        <f>IF(VLOOKUP($A972,'Concrete Beam Schedule'!$A$2:$Q$2902,Y$2,0)&lt;&gt;I972,"Beam Revised","")</f>
        <v>#N/A</v>
      </c>
      <c r="Z972" s="7" t="e">
        <f>IF(VLOOKUP($A972,'Concrete Beam Schedule'!$A$2:$Q$2902,Z$2,0)&lt;&gt;J972,"Beam Revised","")</f>
        <v>#N/A</v>
      </c>
      <c r="AA972" s="7" t="e">
        <f>IF(VLOOKUP($A972,'Concrete Beam Schedule'!$A$2:$Q$2902,AA$2,0)&lt;&gt;K972,"Beam Revised","")</f>
        <v>#N/A</v>
      </c>
      <c r="AB972" s="7" t="e">
        <f>IF(VLOOKUP($A972,'Concrete Beam Schedule'!$A$2:$Q$2902,AB$2,0)&lt;&gt;L972,"Beam Revised","")</f>
        <v>#N/A</v>
      </c>
      <c r="AC972" s="7" t="e">
        <f>IF(VLOOKUP($A972,'Concrete Beam Schedule'!$A$2:$Q$2902,AC$2,0)&lt;&gt;M972,"Beam Revised","")</f>
        <v>#N/A</v>
      </c>
      <c r="AD972" s="7" t="e">
        <f>IF(VLOOKUP($A972,'Concrete Beam Schedule'!$A$2:$Q$2902,AD$2,0)&lt;&gt;N972,"Beam Revised","")</f>
        <v>#N/A</v>
      </c>
      <c r="AE972" s="7" t="e">
        <f>IF(VLOOKUP($A972,'Concrete Beam Schedule'!$A$2:$Q$2902,AE$2,0)&lt;&gt;O972,"Beam Revised","")</f>
        <v>#N/A</v>
      </c>
    </row>
    <row r="973" spans="17:31" ht="13.2" x14ac:dyDescent="0.25">
      <c r="Q973" s="7">
        <f t="shared" si="15"/>
        <v>0</v>
      </c>
      <c r="R973" s="7" t="e">
        <f>IF(VLOOKUP($A973,'Concrete Beam Schedule'!$A$2:$Q$2902,R$2,0)&lt;&gt;B973,VLOOKUP($A973,'Concrete Beam Schedule'!$A$2:$Q$2902,R$2,0),"")</f>
        <v>#N/A</v>
      </c>
      <c r="S973" s="7" t="e">
        <f>IF(VLOOKUP($A973,'Concrete Beam Schedule'!$A$2:$Q$2902,S$2,0)&lt;&gt;C973,VLOOKUP($A973,'Concrete Beam Schedule'!$A$2:$Q$2902,S$2,0),"")</f>
        <v>#N/A</v>
      </c>
      <c r="T973" s="7" t="e">
        <f>IF(VLOOKUP($A973,'Concrete Beam Schedule'!$A$2:$Q$2902,T$2,0)&lt;&gt;D973,"Beam Revised","")</f>
        <v>#N/A</v>
      </c>
      <c r="U973" s="7" t="e">
        <f>IF(VLOOKUP($A973,'Concrete Beam Schedule'!$A$2:$Q$2902,U$2,0)&lt;&gt;E973,"Beam Revised","")</f>
        <v>#N/A</v>
      </c>
      <c r="V973" s="7" t="e">
        <f>IF(VLOOKUP($A973,'Concrete Beam Schedule'!$A$2:$Q$2902,V$2,0)&lt;&gt;F973,"Beam Revised","")</f>
        <v>#N/A</v>
      </c>
      <c r="W973" s="7" t="e">
        <f>IF(VLOOKUP($A973,'Concrete Beam Schedule'!$A$2:$Q$2902,W$2,0)&lt;&gt;G973,"Beam Revised","")</f>
        <v>#N/A</v>
      </c>
      <c r="X973" s="7" t="e">
        <f>IF(VLOOKUP($A973,'Concrete Beam Schedule'!$A$2:$Q$2902,X$2,0)&lt;&gt;H973,"Beam Revised","")</f>
        <v>#N/A</v>
      </c>
      <c r="Y973" s="7" t="e">
        <f>IF(VLOOKUP($A973,'Concrete Beam Schedule'!$A$2:$Q$2902,Y$2,0)&lt;&gt;I973,"Beam Revised","")</f>
        <v>#N/A</v>
      </c>
      <c r="Z973" s="7" t="e">
        <f>IF(VLOOKUP($A973,'Concrete Beam Schedule'!$A$2:$Q$2902,Z$2,0)&lt;&gt;J973,"Beam Revised","")</f>
        <v>#N/A</v>
      </c>
      <c r="AA973" s="7" t="e">
        <f>IF(VLOOKUP($A973,'Concrete Beam Schedule'!$A$2:$Q$2902,AA$2,0)&lt;&gt;K973,"Beam Revised","")</f>
        <v>#N/A</v>
      </c>
      <c r="AB973" s="7" t="e">
        <f>IF(VLOOKUP($A973,'Concrete Beam Schedule'!$A$2:$Q$2902,AB$2,0)&lt;&gt;L973,"Beam Revised","")</f>
        <v>#N/A</v>
      </c>
      <c r="AC973" s="7" t="e">
        <f>IF(VLOOKUP($A973,'Concrete Beam Schedule'!$A$2:$Q$2902,AC$2,0)&lt;&gt;M973,"Beam Revised","")</f>
        <v>#N/A</v>
      </c>
      <c r="AD973" s="7" t="e">
        <f>IF(VLOOKUP($A973,'Concrete Beam Schedule'!$A$2:$Q$2902,AD$2,0)&lt;&gt;N973,"Beam Revised","")</f>
        <v>#N/A</v>
      </c>
      <c r="AE973" s="7" t="e">
        <f>IF(VLOOKUP($A973,'Concrete Beam Schedule'!$A$2:$Q$2902,AE$2,0)&lt;&gt;O973,"Beam Revised","")</f>
        <v>#N/A</v>
      </c>
    </row>
    <row r="974" spans="17:31" ht="13.2" x14ac:dyDescent="0.25">
      <c r="Q974" s="7">
        <f t="shared" si="15"/>
        <v>0</v>
      </c>
      <c r="R974" s="7" t="e">
        <f>IF(VLOOKUP($A974,'Concrete Beam Schedule'!$A$2:$Q$2902,R$2,0)&lt;&gt;B974,VLOOKUP($A974,'Concrete Beam Schedule'!$A$2:$Q$2902,R$2,0),"")</f>
        <v>#N/A</v>
      </c>
      <c r="S974" s="7" t="e">
        <f>IF(VLOOKUP($A974,'Concrete Beam Schedule'!$A$2:$Q$2902,S$2,0)&lt;&gt;C974,VLOOKUP($A974,'Concrete Beam Schedule'!$A$2:$Q$2902,S$2,0),"")</f>
        <v>#N/A</v>
      </c>
      <c r="T974" s="7" t="e">
        <f>IF(VLOOKUP($A974,'Concrete Beam Schedule'!$A$2:$Q$2902,T$2,0)&lt;&gt;D974,"Beam Revised","")</f>
        <v>#N/A</v>
      </c>
      <c r="U974" s="7" t="e">
        <f>IF(VLOOKUP($A974,'Concrete Beam Schedule'!$A$2:$Q$2902,U$2,0)&lt;&gt;E974,"Beam Revised","")</f>
        <v>#N/A</v>
      </c>
      <c r="V974" s="7" t="e">
        <f>IF(VLOOKUP($A974,'Concrete Beam Schedule'!$A$2:$Q$2902,V$2,0)&lt;&gt;F974,"Beam Revised","")</f>
        <v>#N/A</v>
      </c>
      <c r="W974" s="7" t="e">
        <f>IF(VLOOKUP($A974,'Concrete Beam Schedule'!$A$2:$Q$2902,W$2,0)&lt;&gt;G974,"Beam Revised","")</f>
        <v>#N/A</v>
      </c>
      <c r="X974" s="7" t="e">
        <f>IF(VLOOKUP($A974,'Concrete Beam Schedule'!$A$2:$Q$2902,X$2,0)&lt;&gt;H974,"Beam Revised","")</f>
        <v>#N/A</v>
      </c>
      <c r="Y974" s="7" t="e">
        <f>IF(VLOOKUP($A974,'Concrete Beam Schedule'!$A$2:$Q$2902,Y$2,0)&lt;&gt;I974,"Beam Revised","")</f>
        <v>#N/A</v>
      </c>
      <c r="Z974" s="7" t="e">
        <f>IF(VLOOKUP($A974,'Concrete Beam Schedule'!$A$2:$Q$2902,Z$2,0)&lt;&gt;J974,"Beam Revised","")</f>
        <v>#N/A</v>
      </c>
      <c r="AA974" s="7" t="e">
        <f>IF(VLOOKUP($A974,'Concrete Beam Schedule'!$A$2:$Q$2902,AA$2,0)&lt;&gt;K974,"Beam Revised","")</f>
        <v>#N/A</v>
      </c>
      <c r="AB974" s="7" t="e">
        <f>IF(VLOOKUP($A974,'Concrete Beam Schedule'!$A$2:$Q$2902,AB$2,0)&lt;&gt;L974,"Beam Revised","")</f>
        <v>#N/A</v>
      </c>
      <c r="AC974" s="7" t="e">
        <f>IF(VLOOKUP($A974,'Concrete Beam Schedule'!$A$2:$Q$2902,AC$2,0)&lt;&gt;M974,"Beam Revised","")</f>
        <v>#N/A</v>
      </c>
      <c r="AD974" s="7" t="e">
        <f>IF(VLOOKUP($A974,'Concrete Beam Schedule'!$A$2:$Q$2902,AD$2,0)&lt;&gt;N974,"Beam Revised","")</f>
        <v>#N/A</v>
      </c>
      <c r="AE974" s="7" t="e">
        <f>IF(VLOOKUP($A974,'Concrete Beam Schedule'!$A$2:$Q$2902,AE$2,0)&lt;&gt;O974,"Beam Revised","")</f>
        <v>#N/A</v>
      </c>
    </row>
    <row r="975" spans="17:31" ht="13.2" x14ac:dyDescent="0.25">
      <c r="Q975" s="7">
        <f t="shared" si="15"/>
        <v>0</v>
      </c>
      <c r="R975" s="7" t="e">
        <f>IF(VLOOKUP($A975,'Concrete Beam Schedule'!$A$2:$Q$2902,R$2,0)&lt;&gt;B975,VLOOKUP($A975,'Concrete Beam Schedule'!$A$2:$Q$2902,R$2,0),"")</f>
        <v>#N/A</v>
      </c>
      <c r="S975" s="7" t="e">
        <f>IF(VLOOKUP($A975,'Concrete Beam Schedule'!$A$2:$Q$2902,S$2,0)&lt;&gt;C975,VLOOKUP($A975,'Concrete Beam Schedule'!$A$2:$Q$2902,S$2,0),"")</f>
        <v>#N/A</v>
      </c>
      <c r="T975" s="7" t="e">
        <f>IF(VLOOKUP($A975,'Concrete Beam Schedule'!$A$2:$Q$2902,T$2,0)&lt;&gt;D975,"Beam Revised","")</f>
        <v>#N/A</v>
      </c>
      <c r="U975" s="7" t="e">
        <f>IF(VLOOKUP($A975,'Concrete Beam Schedule'!$A$2:$Q$2902,U$2,0)&lt;&gt;E975,"Beam Revised","")</f>
        <v>#N/A</v>
      </c>
      <c r="V975" s="7" t="e">
        <f>IF(VLOOKUP($A975,'Concrete Beam Schedule'!$A$2:$Q$2902,V$2,0)&lt;&gt;F975,"Beam Revised","")</f>
        <v>#N/A</v>
      </c>
      <c r="W975" s="7" t="e">
        <f>IF(VLOOKUP($A975,'Concrete Beam Schedule'!$A$2:$Q$2902,W$2,0)&lt;&gt;G975,"Beam Revised","")</f>
        <v>#N/A</v>
      </c>
      <c r="X975" s="7" t="e">
        <f>IF(VLOOKUP($A975,'Concrete Beam Schedule'!$A$2:$Q$2902,X$2,0)&lt;&gt;H975,"Beam Revised","")</f>
        <v>#N/A</v>
      </c>
      <c r="Y975" s="7" t="e">
        <f>IF(VLOOKUP($A975,'Concrete Beam Schedule'!$A$2:$Q$2902,Y$2,0)&lt;&gt;I975,"Beam Revised","")</f>
        <v>#N/A</v>
      </c>
      <c r="Z975" s="7" t="e">
        <f>IF(VLOOKUP($A975,'Concrete Beam Schedule'!$A$2:$Q$2902,Z$2,0)&lt;&gt;J975,"Beam Revised","")</f>
        <v>#N/A</v>
      </c>
      <c r="AA975" s="7" t="e">
        <f>IF(VLOOKUP($A975,'Concrete Beam Schedule'!$A$2:$Q$2902,AA$2,0)&lt;&gt;K975,"Beam Revised","")</f>
        <v>#N/A</v>
      </c>
      <c r="AB975" s="7" t="e">
        <f>IF(VLOOKUP($A975,'Concrete Beam Schedule'!$A$2:$Q$2902,AB$2,0)&lt;&gt;L975,"Beam Revised","")</f>
        <v>#N/A</v>
      </c>
      <c r="AC975" s="7" t="e">
        <f>IF(VLOOKUP($A975,'Concrete Beam Schedule'!$A$2:$Q$2902,AC$2,0)&lt;&gt;M975,"Beam Revised","")</f>
        <v>#N/A</v>
      </c>
      <c r="AD975" s="7" t="e">
        <f>IF(VLOOKUP($A975,'Concrete Beam Schedule'!$A$2:$Q$2902,AD$2,0)&lt;&gt;N975,"Beam Revised","")</f>
        <v>#N/A</v>
      </c>
      <c r="AE975" s="7" t="e">
        <f>IF(VLOOKUP($A975,'Concrete Beam Schedule'!$A$2:$Q$2902,AE$2,0)&lt;&gt;O975,"Beam Revised","")</f>
        <v>#N/A</v>
      </c>
    </row>
    <row r="976" spans="17:31" ht="13.2" x14ac:dyDescent="0.25">
      <c r="Q976" s="7">
        <f t="shared" si="15"/>
        <v>0</v>
      </c>
      <c r="R976" s="7" t="e">
        <f>IF(VLOOKUP($A976,'Concrete Beam Schedule'!$A$2:$Q$2902,R$2,0)&lt;&gt;B976,VLOOKUP($A976,'Concrete Beam Schedule'!$A$2:$Q$2902,R$2,0),"")</f>
        <v>#N/A</v>
      </c>
      <c r="S976" s="7" t="e">
        <f>IF(VLOOKUP($A976,'Concrete Beam Schedule'!$A$2:$Q$2902,S$2,0)&lt;&gt;C976,VLOOKUP($A976,'Concrete Beam Schedule'!$A$2:$Q$2902,S$2,0),"")</f>
        <v>#N/A</v>
      </c>
      <c r="T976" s="7" t="e">
        <f>IF(VLOOKUP($A976,'Concrete Beam Schedule'!$A$2:$Q$2902,T$2,0)&lt;&gt;D976,"Beam Revised","")</f>
        <v>#N/A</v>
      </c>
      <c r="U976" s="7" t="e">
        <f>IF(VLOOKUP($A976,'Concrete Beam Schedule'!$A$2:$Q$2902,U$2,0)&lt;&gt;E976,"Beam Revised","")</f>
        <v>#N/A</v>
      </c>
      <c r="V976" s="7" t="e">
        <f>IF(VLOOKUP($A976,'Concrete Beam Schedule'!$A$2:$Q$2902,V$2,0)&lt;&gt;F976,"Beam Revised","")</f>
        <v>#N/A</v>
      </c>
      <c r="W976" s="7" t="e">
        <f>IF(VLOOKUP($A976,'Concrete Beam Schedule'!$A$2:$Q$2902,W$2,0)&lt;&gt;G976,"Beam Revised","")</f>
        <v>#N/A</v>
      </c>
      <c r="X976" s="7" t="e">
        <f>IF(VLOOKUP($A976,'Concrete Beam Schedule'!$A$2:$Q$2902,X$2,0)&lt;&gt;H976,"Beam Revised","")</f>
        <v>#N/A</v>
      </c>
      <c r="Y976" s="7" t="e">
        <f>IF(VLOOKUP($A976,'Concrete Beam Schedule'!$A$2:$Q$2902,Y$2,0)&lt;&gt;I976,"Beam Revised","")</f>
        <v>#N/A</v>
      </c>
      <c r="Z976" s="7" t="e">
        <f>IF(VLOOKUP($A976,'Concrete Beam Schedule'!$A$2:$Q$2902,Z$2,0)&lt;&gt;J976,"Beam Revised","")</f>
        <v>#N/A</v>
      </c>
      <c r="AA976" s="7" t="e">
        <f>IF(VLOOKUP($A976,'Concrete Beam Schedule'!$A$2:$Q$2902,AA$2,0)&lt;&gt;K976,"Beam Revised","")</f>
        <v>#N/A</v>
      </c>
      <c r="AB976" s="7" t="e">
        <f>IF(VLOOKUP($A976,'Concrete Beam Schedule'!$A$2:$Q$2902,AB$2,0)&lt;&gt;L976,"Beam Revised","")</f>
        <v>#N/A</v>
      </c>
      <c r="AC976" s="7" t="e">
        <f>IF(VLOOKUP($A976,'Concrete Beam Schedule'!$A$2:$Q$2902,AC$2,0)&lt;&gt;M976,"Beam Revised","")</f>
        <v>#N/A</v>
      </c>
      <c r="AD976" s="7" t="e">
        <f>IF(VLOOKUP($A976,'Concrete Beam Schedule'!$A$2:$Q$2902,AD$2,0)&lt;&gt;N976,"Beam Revised","")</f>
        <v>#N/A</v>
      </c>
      <c r="AE976" s="7" t="e">
        <f>IF(VLOOKUP($A976,'Concrete Beam Schedule'!$A$2:$Q$2902,AE$2,0)&lt;&gt;O976,"Beam Revised","")</f>
        <v>#N/A</v>
      </c>
    </row>
    <row r="977" spans="17:31" ht="13.2" x14ac:dyDescent="0.25">
      <c r="Q977" s="7">
        <f t="shared" si="15"/>
        <v>0</v>
      </c>
      <c r="R977" s="7" t="e">
        <f>IF(VLOOKUP($A977,'Concrete Beam Schedule'!$A$2:$Q$2902,R$2,0)&lt;&gt;B977,VLOOKUP($A977,'Concrete Beam Schedule'!$A$2:$Q$2902,R$2,0),"")</f>
        <v>#N/A</v>
      </c>
      <c r="S977" s="7" t="e">
        <f>IF(VLOOKUP($A977,'Concrete Beam Schedule'!$A$2:$Q$2902,S$2,0)&lt;&gt;C977,VLOOKUP($A977,'Concrete Beam Schedule'!$A$2:$Q$2902,S$2,0),"")</f>
        <v>#N/A</v>
      </c>
      <c r="T977" s="7" t="e">
        <f>IF(VLOOKUP($A977,'Concrete Beam Schedule'!$A$2:$Q$2902,T$2,0)&lt;&gt;D977,"Beam Revised","")</f>
        <v>#N/A</v>
      </c>
      <c r="U977" s="7" t="e">
        <f>IF(VLOOKUP($A977,'Concrete Beam Schedule'!$A$2:$Q$2902,U$2,0)&lt;&gt;E977,"Beam Revised","")</f>
        <v>#N/A</v>
      </c>
      <c r="V977" s="7" t="e">
        <f>IF(VLOOKUP($A977,'Concrete Beam Schedule'!$A$2:$Q$2902,V$2,0)&lt;&gt;F977,"Beam Revised","")</f>
        <v>#N/A</v>
      </c>
      <c r="W977" s="7" t="e">
        <f>IF(VLOOKUP($A977,'Concrete Beam Schedule'!$A$2:$Q$2902,W$2,0)&lt;&gt;G977,"Beam Revised","")</f>
        <v>#N/A</v>
      </c>
      <c r="X977" s="7" t="e">
        <f>IF(VLOOKUP($A977,'Concrete Beam Schedule'!$A$2:$Q$2902,X$2,0)&lt;&gt;H977,"Beam Revised","")</f>
        <v>#N/A</v>
      </c>
      <c r="Y977" s="7" t="e">
        <f>IF(VLOOKUP($A977,'Concrete Beam Schedule'!$A$2:$Q$2902,Y$2,0)&lt;&gt;I977,"Beam Revised","")</f>
        <v>#N/A</v>
      </c>
      <c r="Z977" s="7" t="e">
        <f>IF(VLOOKUP($A977,'Concrete Beam Schedule'!$A$2:$Q$2902,Z$2,0)&lt;&gt;J977,"Beam Revised","")</f>
        <v>#N/A</v>
      </c>
      <c r="AA977" s="7" t="e">
        <f>IF(VLOOKUP($A977,'Concrete Beam Schedule'!$A$2:$Q$2902,AA$2,0)&lt;&gt;K977,"Beam Revised","")</f>
        <v>#N/A</v>
      </c>
      <c r="AB977" s="7" t="e">
        <f>IF(VLOOKUP($A977,'Concrete Beam Schedule'!$A$2:$Q$2902,AB$2,0)&lt;&gt;L977,"Beam Revised","")</f>
        <v>#N/A</v>
      </c>
      <c r="AC977" s="7" t="e">
        <f>IF(VLOOKUP($A977,'Concrete Beam Schedule'!$A$2:$Q$2902,AC$2,0)&lt;&gt;M977,"Beam Revised","")</f>
        <v>#N/A</v>
      </c>
      <c r="AD977" s="7" t="e">
        <f>IF(VLOOKUP($A977,'Concrete Beam Schedule'!$A$2:$Q$2902,AD$2,0)&lt;&gt;N977,"Beam Revised","")</f>
        <v>#N/A</v>
      </c>
      <c r="AE977" s="7" t="e">
        <f>IF(VLOOKUP($A977,'Concrete Beam Schedule'!$A$2:$Q$2902,AE$2,0)&lt;&gt;O977,"Beam Revised","")</f>
        <v>#N/A</v>
      </c>
    </row>
    <row r="978" spans="17:31" ht="13.2" x14ac:dyDescent="0.25">
      <c r="Q978" s="7">
        <f t="shared" si="15"/>
        <v>0</v>
      </c>
      <c r="R978" s="7" t="e">
        <f>IF(VLOOKUP($A978,'Concrete Beam Schedule'!$A$2:$Q$2902,R$2,0)&lt;&gt;B978,VLOOKUP($A978,'Concrete Beam Schedule'!$A$2:$Q$2902,R$2,0),"")</f>
        <v>#N/A</v>
      </c>
      <c r="S978" s="7" t="e">
        <f>IF(VLOOKUP($A978,'Concrete Beam Schedule'!$A$2:$Q$2902,S$2,0)&lt;&gt;C978,VLOOKUP($A978,'Concrete Beam Schedule'!$A$2:$Q$2902,S$2,0),"")</f>
        <v>#N/A</v>
      </c>
      <c r="T978" s="7" t="e">
        <f>IF(VLOOKUP($A978,'Concrete Beam Schedule'!$A$2:$Q$2902,T$2,0)&lt;&gt;D978,"Beam Revised","")</f>
        <v>#N/A</v>
      </c>
      <c r="U978" s="7" t="e">
        <f>IF(VLOOKUP($A978,'Concrete Beam Schedule'!$A$2:$Q$2902,U$2,0)&lt;&gt;E978,"Beam Revised","")</f>
        <v>#N/A</v>
      </c>
      <c r="V978" s="7" t="e">
        <f>IF(VLOOKUP($A978,'Concrete Beam Schedule'!$A$2:$Q$2902,V$2,0)&lt;&gt;F978,"Beam Revised","")</f>
        <v>#N/A</v>
      </c>
      <c r="W978" s="7" t="e">
        <f>IF(VLOOKUP($A978,'Concrete Beam Schedule'!$A$2:$Q$2902,W$2,0)&lt;&gt;G978,"Beam Revised","")</f>
        <v>#N/A</v>
      </c>
      <c r="X978" s="7" t="e">
        <f>IF(VLOOKUP($A978,'Concrete Beam Schedule'!$A$2:$Q$2902,X$2,0)&lt;&gt;H978,"Beam Revised","")</f>
        <v>#N/A</v>
      </c>
      <c r="Y978" s="7" t="e">
        <f>IF(VLOOKUP($A978,'Concrete Beam Schedule'!$A$2:$Q$2902,Y$2,0)&lt;&gt;I978,"Beam Revised","")</f>
        <v>#N/A</v>
      </c>
      <c r="Z978" s="7" t="e">
        <f>IF(VLOOKUP($A978,'Concrete Beam Schedule'!$A$2:$Q$2902,Z$2,0)&lt;&gt;J978,"Beam Revised","")</f>
        <v>#N/A</v>
      </c>
      <c r="AA978" s="7" t="e">
        <f>IF(VLOOKUP($A978,'Concrete Beam Schedule'!$A$2:$Q$2902,AA$2,0)&lt;&gt;K978,"Beam Revised","")</f>
        <v>#N/A</v>
      </c>
      <c r="AB978" s="7" t="e">
        <f>IF(VLOOKUP($A978,'Concrete Beam Schedule'!$A$2:$Q$2902,AB$2,0)&lt;&gt;L978,"Beam Revised","")</f>
        <v>#N/A</v>
      </c>
      <c r="AC978" s="7" t="e">
        <f>IF(VLOOKUP($A978,'Concrete Beam Schedule'!$A$2:$Q$2902,AC$2,0)&lt;&gt;M978,"Beam Revised","")</f>
        <v>#N/A</v>
      </c>
      <c r="AD978" s="7" t="e">
        <f>IF(VLOOKUP($A978,'Concrete Beam Schedule'!$A$2:$Q$2902,AD$2,0)&lt;&gt;N978,"Beam Revised","")</f>
        <v>#N/A</v>
      </c>
      <c r="AE978" s="7" t="e">
        <f>IF(VLOOKUP($A978,'Concrete Beam Schedule'!$A$2:$Q$2902,AE$2,0)&lt;&gt;O978,"Beam Revised","")</f>
        <v>#N/A</v>
      </c>
    </row>
    <row r="979" spans="17:31" ht="13.2" x14ac:dyDescent="0.25">
      <c r="Q979" s="7">
        <f t="shared" si="15"/>
        <v>0</v>
      </c>
      <c r="R979" s="7" t="e">
        <f>IF(VLOOKUP($A979,'Concrete Beam Schedule'!$A$2:$Q$2902,R$2,0)&lt;&gt;B979,VLOOKUP($A979,'Concrete Beam Schedule'!$A$2:$Q$2902,R$2,0),"")</f>
        <v>#N/A</v>
      </c>
      <c r="S979" s="7" t="e">
        <f>IF(VLOOKUP($A979,'Concrete Beam Schedule'!$A$2:$Q$2902,S$2,0)&lt;&gt;C979,VLOOKUP($A979,'Concrete Beam Schedule'!$A$2:$Q$2902,S$2,0),"")</f>
        <v>#N/A</v>
      </c>
      <c r="T979" s="7" t="e">
        <f>IF(VLOOKUP($A979,'Concrete Beam Schedule'!$A$2:$Q$2902,T$2,0)&lt;&gt;D979,"Beam Revised","")</f>
        <v>#N/A</v>
      </c>
      <c r="U979" s="7" t="e">
        <f>IF(VLOOKUP($A979,'Concrete Beam Schedule'!$A$2:$Q$2902,U$2,0)&lt;&gt;E979,"Beam Revised","")</f>
        <v>#N/A</v>
      </c>
      <c r="V979" s="7" t="e">
        <f>IF(VLOOKUP($A979,'Concrete Beam Schedule'!$A$2:$Q$2902,V$2,0)&lt;&gt;F979,"Beam Revised","")</f>
        <v>#N/A</v>
      </c>
      <c r="W979" s="7" t="e">
        <f>IF(VLOOKUP($A979,'Concrete Beam Schedule'!$A$2:$Q$2902,W$2,0)&lt;&gt;G979,"Beam Revised","")</f>
        <v>#N/A</v>
      </c>
      <c r="X979" s="7" t="e">
        <f>IF(VLOOKUP($A979,'Concrete Beam Schedule'!$A$2:$Q$2902,X$2,0)&lt;&gt;H979,"Beam Revised","")</f>
        <v>#N/A</v>
      </c>
      <c r="Y979" s="7" t="e">
        <f>IF(VLOOKUP($A979,'Concrete Beam Schedule'!$A$2:$Q$2902,Y$2,0)&lt;&gt;I979,"Beam Revised","")</f>
        <v>#N/A</v>
      </c>
      <c r="Z979" s="7" t="e">
        <f>IF(VLOOKUP($A979,'Concrete Beam Schedule'!$A$2:$Q$2902,Z$2,0)&lt;&gt;J979,"Beam Revised","")</f>
        <v>#N/A</v>
      </c>
      <c r="AA979" s="7" t="e">
        <f>IF(VLOOKUP($A979,'Concrete Beam Schedule'!$A$2:$Q$2902,AA$2,0)&lt;&gt;K979,"Beam Revised","")</f>
        <v>#N/A</v>
      </c>
      <c r="AB979" s="7" t="e">
        <f>IF(VLOOKUP($A979,'Concrete Beam Schedule'!$A$2:$Q$2902,AB$2,0)&lt;&gt;L979,"Beam Revised","")</f>
        <v>#N/A</v>
      </c>
      <c r="AC979" s="7" t="e">
        <f>IF(VLOOKUP($A979,'Concrete Beam Schedule'!$A$2:$Q$2902,AC$2,0)&lt;&gt;M979,"Beam Revised","")</f>
        <v>#N/A</v>
      </c>
      <c r="AD979" s="7" t="e">
        <f>IF(VLOOKUP($A979,'Concrete Beam Schedule'!$A$2:$Q$2902,AD$2,0)&lt;&gt;N979,"Beam Revised","")</f>
        <v>#N/A</v>
      </c>
      <c r="AE979" s="7" t="e">
        <f>IF(VLOOKUP($A979,'Concrete Beam Schedule'!$A$2:$Q$2902,AE$2,0)&lt;&gt;O979,"Beam Revised","")</f>
        <v>#N/A</v>
      </c>
    </row>
    <row r="980" spans="17:31" ht="13.2" x14ac:dyDescent="0.25">
      <c r="Q980" s="7">
        <f t="shared" si="15"/>
        <v>0</v>
      </c>
      <c r="R980" s="7" t="e">
        <f>IF(VLOOKUP($A980,'Concrete Beam Schedule'!$A$2:$Q$2902,R$2,0)&lt;&gt;B980,VLOOKUP($A980,'Concrete Beam Schedule'!$A$2:$Q$2902,R$2,0),"")</f>
        <v>#N/A</v>
      </c>
      <c r="S980" s="7" t="e">
        <f>IF(VLOOKUP($A980,'Concrete Beam Schedule'!$A$2:$Q$2902,S$2,0)&lt;&gt;C980,VLOOKUP($A980,'Concrete Beam Schedule'!$A$2:$Q$2902,S$2,0),"")</f>
        <v>#N/A</v>
      </c>
      <c r="T980" s="7" t="e">
        <f>IF(VLOOKUP($A980,'Concrete Beam Schedule'!$A$2:$Q$2902,T$2,0)&lt;&gt;D980,"Beam Revised","")</f>
        <v>#N/A</v>
      </c>
      <c r="U980" s="7" t="e">
        <f>IF(VLOOKUP($A980,'Concrete Beam Schedule'!$A$2:$Q$2902,U$2,0)&lt;&gt;E980,"Beam Revised","")</f>
        <v>#N/A</v>
      </c>
      <c r="V980" s="7" t="e">
        <f>IF(VLOOKUP($A980,'Concrete Beam Schedule'!$A$2:$Q$2902,V$2,0)&lt;&gt;F980,"Beam Revised","")</f>
        <v>#N/A</v>
      </c>
      <c r="W980" s="7" t="e">
        <f>IF(VLOOKUP($A980,'Concrete Beam Schedule'!$A$2:$Q$2902,W$2,0)&lt;&gt;G980,"Beam Revised","")</f>
        <v>#N/A</v>
      </c>
      <c r="X980" s="7" t="e">
        <f>IF(VLOOKUP($A980,'Concrete Beam Schedule'!$A$2:$Q$2902,X$2,0)&lt;&gt;H980,"Beam Revised","")</f>
        <v>#N/A</v>
      </c>
      <c r="Y980" s="7" t="e">
        <f>IF(VLOOKUP($A980,'Concrete Beam Schedule'!$A$2:$Q$2902,Y$2,0)&lt;&gt;I980,"Beam Revised","")</f>
        <v>#N/A</v>
      </c>
      <c r="Z980" s="7" t="e">
        <f>IF(VLOOKUP($A980,'Concrete Beam Schedule'!$A$2:$Q$2902,Z$2,0)&lt;&gt;J980,"Beam Revised","")</f>
        <v>#N/A</v>
      </c>
      <c r="AA980" s="7" t="e">
        <f>IF(VLOOKUP($A980,'Concrete Beam Schedule'!$A$2:$Q$2902,AA$2,0)&lt;&gt;K980,"Beam Revised","")</f>
        <v>#N/A</v>
      </c>
      <c r="AB980" s="7" t="e">
        <f>IF(VLOOKUP($A980,'Concrete Beam Schedule'!$A$2:$Q$2902,AB$2,0)&lt;&gt;L980,"Beam Revised","")</f>
        <v>#N/A</v>
      </c>
      <c r="AC980" s="7" t="e">
        <f>IF(VLOOKUP($A980,'Concrete Beam Schedule'!$A$2:$Q$2902,AC$2,0)&lt;&gt;M980,"Beam Revised","")</f>
        <v>#N/A</v>
      </c>
      <c r="AD980" s="7" t="e">
        <f>IF(VLOOKUP($A980,'Concrete Beam Schedule'!$A$2:$Q$2902,AD$2,0)&lt;&gt;N980,"Beam Revised","")</f>
        <v>#N/A</v>
      </c>
      <c r="AE980" s="7" t="e">
        <f>IF(VLOOKUP($A980,'Concrete Beam Schedule'!$A$2:$Q$2902,AE$2,0)&lt;&gt;O980,"Beam Revised","")</f>
        <v>#N/A</v>
      </c>
    </row>
    <row r="981" spans="17:31" ht="13.2" x14ac:dyDescent="0.25">
      <c r="Q981" s="7">
        <f t="shared" si="15"/>
        <v>0</v>
      </c>
      <c r="R981" s="7" t="e">
        <f>IF(VLOOKUP($A981,'Concrete Beam Schedule'!$A$2:$Q$2902,R$2,0)&lt;&gt;B981,VLOOKUP($A981,'Concrete Beam Schedule'!$A$2:$Q$2902,R$2,0),"")</f>
        <v>#N/A</v>
      </c>
      <c r="S981" s="7" t="e">
        <f>IF(VLOOKUP($A981,'Concrete Beam Schedule'!$A$2:$Q$2902,S$2,0)&lt;&gt;C981,VLOOKUP($A981,'Concrete Beam Schedule'!$A$2:$Q$2902,S$2,0),"")</f>
        <v>#N/A</v>
      </c>
      <c r="T981" s="7" t="e">
        <f>IF(VLOOKUP($A981,'Concrete Beam Schedule'!$A$2:$Q$2902,T$2,0)&lt;&gt;D981,"Beam Revised","")</f>
        <v>#N/A</v>
      </c>
      <c r="U981" s="7" t="e">
        <f>IF(VLOOKUP($A981,'Concrete Beam Schedule'!$A$2:$Q$2902,U$2,0)&lt;&gt;E981,"Beam Revised","")</f>
        <v>#N/A</v>
      </c>
      <c r="V981" s="7" t="e">
        <f>IF(VLOOKUP($A981,'Concrete Beam Schedule'!$A$2:$Q$2902,V$2,0)&lt;&gt;F981,"Beam Revised","")</f>
        <v>#N/A</v>
      </c>
      <c r="W981" s="7" t="e">
        <f>IF(VLOOKUP($A981,'Concrete Beam Schedule'!$A$2:$Q$2902,W$2,0)&lt;&gt;G981,"Beam Revised","")</f>
        <v>#N/A</v>
      </c>
      <c r="X981" s="7" t="e">
        <f>IF(VLOOKUP($A981,'Concrete Beam Schedule'!$A$2:$Q$2902,X$2,0)&lt;&gt;H981,"Beam Revised","")</f>
        <v>#N/A</v>
      </c>
      <c r="Y981" s="7" t="e">
        <f>IF(VLOOKUP($A981,'Concrete Beam Schedule'!$A$2:$Q$2902,Y$2,0)&lt;&gt;I981,"Beam Revised","")</f>
        <v>#N/A</v>
      </c>
      <c r="Z981" s="7" t="e">
        <f>IF(VLOOKUP($A981,'Concrete Beam Schedule'!$A$2:$Q$2902,Z$2,0)&lt;&gt;J981,"Beam Revised","")</f>
        <v>#N/A</v>
      </c>
      <c r="AA981" s="7" t="e">
        <f>IF(VLOOKUP($A981,'Concrete Beam Schedule'!$A$2:$Q$2902,AA$2,0)&lt;&gt;K981,"Beam Revised","")</f>
        <v>#N/A</v>
      </c>
      <c r="AB981" s="7" t="e">
        <f>IF(VLOOKUP($A981,'Concrete Beam Schedule'!$A$2:$Q$2902,AB$2,0)&lt;&gt;L981,"Beam Revised","")</f>
        <v>#N/A</v>
      </c>
      <c r="AC981" s="7" t="e">
        <f>IF(VLOOKUP($A981,'Concrete Beam Schedule'!$A$2:$Q$2902,AC$2,0)&lt;&gt;M981,"Beam Revised","")</f>
        <v>#N/A</v>
      </c>
      <c r="AD981" s="7" t="e">
        <f>IF(VLOOKUP($A981,'Concrete Beam Schedule'!$A$2:$Q$2902,AD$2,0)&lt;&gt;N981,"Beam Revised","")</f>
        <v>#N/A</v>
      </c>
      <c r="AE981" s="7" t="e">
        <f>IF(VLOOKUP($A981,'Concrete Beam Schedule'!$A$2:$Q$2902,AE$2,0)&lt;&gt;O981,"Beam Revised","")</f>
        <v>#N/A</v>
      </c>
    </row>
    <row r="982" spans="17:31" ht="13.2" x14ac:dyDescent="0.25">
      <c r="Q982" s="7">
        <f t="shared" si="15"/>
        <v>0</v>
      </c>
      <c r="R982" s="7" t="e">
        <f>IF(VLOOKUP($A982,'Concrete Beam Schedule'!$A$2:$Q$2902,R$2,0)&lt;&gt;B982,VLOOKUP($A982,'Concrete Beam Schedule'!$A$2:$Q$2902,R$2,0),"")</f>
        <v>#N/A</v>
      </c>
      <c r="S982" s="7" t="e">
        <f>IF(VLOOKUP($A982,'Concrete Beam Schedule'!$A$2:$Q$2902,S$2,0)&lt;&gt;C982,VLOOKUP($A982,'Concrete Beam Schedule'!$A$2:$Q$2902,S$2,0),"")</f>
        <v>#N/A</v>
      </c>
      <c r="T982" s="7" t="e">
        <f>IF(VLOOKUP($A982,'Concrete Beam Schedule'!$A$2:$Q$2902,T$2,0)&lt;&gt;D982,"Beam Revised","")</f>
        <v>#N/A</v>
      </c>
      <c r="U982" s="7" t="e">
        <f>IF(VLOOKUP($A982,'Concrete Beam Schedule'!$A$2:$Q$2902,U$2,0)&lt;&gt;E982,"Beam Revised","")</f>
        <v>#N/A</v>
      </c>
      <c r="V982" s="7" t="e">
        <f>IF(VLOOKUP($A982,'Concrete Beam Schedule'!$A$2:$Q$2902,V$2,0)&lt;&gt;F982,"Beam Revised","")</f>
        <v>#N/A</v>
      </c>
      <c r="W982" s="7" t="e">
        <f>IF(VLOOKUP($A982,'Concrete Beam Schedule'!$A$2:$Q$2902,W$2,0)&lt;&gt;G982,"Beam Revised","")</f>
        <v>#N/A</v>
      </c>
      <c r="X982" s="7" t="e">
        <f>IF(VLOOKUP($A982,'Concrete Beam Schedule'!$A$2:$Q$2902,X$2,0)&lt;&gt;H982,"Beam Revised","")</f>
        <v>#N/A</v>
      </c>
      <c r="Y982" s="7" t="e">
        <f>IF(VLOOKUP($A982,'Concrete Beam Schedule'!$A$2:$Q$2902,Y$2,0)&lt;&gt;I982,"Beam Revised","")</f>
        <v>#N/A</v>
      </c>
      <c r="Z982" s="7" t="e">
        <f>IF(VLOOKUP($A982,'Concrete Beam Schedule'!$A$2:$Q$2902,Z$2,0)&lt;&gt;J982,"Beam Revised","")</f>
        <v>#N/A</v>
      </c>
      <c r="AA982" s="7" t="e">
        <f>IF(VLOOKUP($A982,'Concrete Beam Schedule'!$A$2:$Q$2902,AA$2,0)&lt;&gt;K982,"Beam Revised","")</f>
        <v>#N/A</v>
      </c>
      <c r="AB982" s="7" t="e">
        <f>IF(VLOOKUP($A982,'Concrete Beam Schedule'!$A$2:$Q$2902,AB$2,0)&lt;&gt;L982,"Beam Revised","")</f>
        <v>#N/A</v>
      </c>
      <c r="AC982" s="7" t="e">
        <f>IF(VLOOKUP($A982,'Concrete Beam Schedule'!$A$2:$Q$2902,AC$2,0)&lt;&gt;M982,"Beam Revised","")</f>
        <v>#N/A</v>
      </c>
      <c r="AD982" s="7" t="e">
        <f>IF(VLOOKUP($A982,'Concrete Beam Schedule'!$A$2:$Q$2902,AD$2,0)&lt;&gt;N982,"Beam Revised","")</f>
        <v>#N/A</v>
      </c>
      <c r="AE982" s="7" t="e">
        <f>IF(VLOOKUP($A982,'Concrete Beam Schedule'!$A$2:$Q$2902,AE$2,0)&lt;&gt;O982,"Beam Revised","")</f>
        <v>#N/A</v>
      </c>
    </row>
    <row r="983" spans="17:31" ht="13.2" x14ac:dyDescent="0.25">
      <c r="Q983" s="7">
        <f t="shared" si="15"/>
        <v>0</v>
      </c>
      <c r="R983" s="7" t="e">
        <f>IF(VLOOKUP($A983,'Concrete Beam Schedule'!$A$2:$Q$2902,R$2,0)&lt;&gt;B983,VLOOKUP($A983,'Concrete Beam Schedule'!$A$2:$Q$2902,R$2,0),"")</f>
        <v>#N/A</v>
      </c>
      <c r="S983" s="7" t="e">
        <f>IF(VLOOKUP($A983,'Concrete Beam Schedule'!$A$2:$Q$2902,S$2,0)&lt;&gt;C983,VLOOKUP($A983,'Concrete Beam Schedule'!$A$2:$Q$2902,S$2,0),"")</f>
        <v>#N/A</v>
      </c>
      <c r="T983" s="7" t="e">
        <f>IF(VLOOKUP($A983,'Concrete Beam Schedule'!$A$2:$Q$2902,T$2,0)&lt;&gt;D983,"Beam Revised","")</f>
        <v>#N/A</v>
      </c>
      <c r="U983" s="7" t="e">
        <f>IF(VLOOKUP($A983,'Concrete Beam Schedule'!$A$2:$Q$2902,U$2,0)&lt;&gt;E983,"Beam Revised","")</f>
        <v>#N/A</v>
      </c>
      <c r="V983" s="7" t="e">
        <f>IF(VLOOKUP($A983,'Concrete Beam Schedule'!$A$2:$Q$2902,V$2,0)&lt;&gt;F983,"Beam Revised","")</f>
        <v>#N/A</v>
      </c>
      <c r="W983" s="7" t="e">
        <f>IF(VLOOKUP($A983,'Concrete Beam Schedule'!$A$2:$Q$2902,W$2,0)&lt;&gt;G983,"Beam Revised","")</f>
        <v>#N/A</v>
      </c>
      <c r="X983" s="7" t="e">
        <f>IF(VLOOKUP($A983,'Concrete Beam Schedule'!$A$2:$Q$2902,X$2,0)&lt;&gt;H983,"Beam Revised","")</f>
        <v>#N/A</v>
      </c>
      <c r="Y983" s="7" t="e">
        <f>IF(VLOOKUP($A983,'Concrete Beam Schedule'!$A$2:$Q$2902,Y$2,0)&lt;&gt;I983,"Beam Revised","")</f>
        <v>#N/A</v>
      </c>
      <c r="Z983" s="7" t="e">
        <f>IF(VLOOKUP($A983,'Concrete Beam Schedule'!$A$2:$Q$2902,Z$2,0)&lt;&gt;J983,"Beam Revised","")</f>
        <v>#N/A</v>
      </c>
      <c r="AA983" s="7" t="e">
        <f>IF(VLOOKUP($A983,'Concrete Beam Schedule'!$A$2:$Q$2902,AA$2,0)&lt;&gt;K983,"Beam Revised","")</f>
        <v>#N/A</v>
      </c>
      <c r="AB983" s="7" t="e">
        <f>IF(VLOOKUP($A983,'Concrete Beam Schedule'!$A$2:$Q$2902,AB$2,0)&lt;&gt;L983,"Beam Revised","")</f>
        <v>#N/A</v>
      </c>
      <c r="AC983" s="7" t="e">
        <f>IF(VLOOKUP($A983,'Concrete Beam Schedule'!$A$2:$Q$2902,AC$2,0)&lt;&gt;M983,"Beam Revised","")</f>
        <v>#N/A</v>
      </c>
      <c r="AD983" s="7" t="e">
        <f>IF(VLOOKUP($A983,'Concrete Beam Schedule'!$A$2:$Q$2902,AD$2,0)&lt;&gt;N983,"Beam Revised","")</f>
        <v>#N/A</v>
      </c>
      <c r="AE983" s="7" t="e">
        <f>IF(VLOOKUP($A983,'Concrete Beam Schedule'!$A$2:$Q$2902,AE$2,0)&lt;&gt;O983,"Beam Revised","")</f>
        <v>#N/A</v>
      </c>
    </row>
    <row r="984" spans="17:31" ht="13.2" x14ac:dyDescent="0.25">
      <c r="Q984" s="7">
        <f t="shared" si="15"/>
        <v>0</v>
      </c>
      <c r="R984" s="7" t="e">
        <f>IF(VLOOKUP($A984,'Concrete Beam Schedule'!$A$2:$Q$2902,R$2,0)&lt;&gt;B984,VLOOKUP($A984,'Concrete Beam Schedule'!$A$2:$Q$2902,R$2,0),"")</f>
        <v>#N/A</v>
      </c>
      <c r="S984" s="7" t="e">
        <f>IF(VLOOKUP($A984,'Concrete Beam Schedule'!$A$2:$Q$2902,S$2,0)&lt;&gt;C984,VLOOKUP($A984,'Concrete Beam Schedule'!$A$2:$Q$2902,S$2,0),"")</f>
        <v>#N/A</v>
      </c>
      <c r="T984" s="7" t="e">
        <f>IF(VLOOKUP($A984,'Concrete Beam Schedule'!$A$2:$Q$2902,T$2,0)&lt;&gt;D984,"Beam Revised","")</f>
        <v>#N/A</v>
      </c>
      <c r="U984" s="7" t="e">
        <f>IF(VLOOKUP($A984,'Concrete Beam Schedule'!$A$2:$Q$2902,U$2,0)&lt;&gt;E984,"Beam Revised","")</f>
        <v>#N/A</v>
      </c>
      <c r="V984" s="7" t="e">
        <f>IF(VLOOKUP($A984,'Concrete Beam Schedule'!$A$2:$Q$2902,V$2,0)&lt;&gt;F984,"Beam Revised","")</f>
        <v>#N/A</v>
      </c>
      <c r="W984" s="7" t="e">
        <f>IF(VLOOKUP($A984,'Concrete Beam Schedule'!$A$2:$Q$2902,W$2,0)&lt;&gt;G984,"Beam Revised","")</f>
        <v>#N/A</v>
      </c>
      <c r="X984" s="7" t="e">
        <f>IF(VLOOKUP($A984,'Concrete Beam Schedule'!$A$2:$Q$2902,X$2,0)&lt;&gt;H984,"Beam Revised","")</f>
        <v>#N/A</v>
      </c>
      <c r="Y984" s="7" t="e">
        <f>IF(VLOOKUP($A984,'Concrete Beam Schedule'!$A$2:$Q$2902,Y$2,0)&lt;&gt;I984,"Beam Revised","")</f>
        <v>#N/A</v>
      </c>
      <c r="Z984" s="7" t="e">
        <f>IF(VLOOKUP($A984,'Concrete Beam Schedule'!$A$2:$Q$2902,Z$2,0)&lt;&gt;J984,"Beam Revised","")</f>
        <v>#N/A</v>
      </c>
      <c r="AA984" s="7" t="e">
        <f>IF(VLOOKUP($A984,'Concrete Beam Schedule'!$A$2:$Q$2902,AA$2,0)&lt;&gt;K984,"Beam Revised","")</f>
        <v>#N/A</v>
      </c>
      <c r="AB984" s="7" t="e">
        <f>IF(VLOOKUP($A984,'Concrete Beam Schedule'!$A$2:$Q$2902,AB$2,0)&lt;&gt;L984,"Beam Revised","")</f>
        <v>#N/A</v>
      </c>
      <c r="AC984" s="7" t="e">
        <f>IF(VLOOKUP($A984,'Concrete Beam Schedule'!$A$2:$Q$2902,AC$2,0)&lt;&gt;M984,"Beam Revised","")</f>
        <v>#N/A</v>
      </c>
      <c r="AD984" s="7" t="e">
        <f>IF(VLOOKUP($A984,'Concrete Beam Schedule'!$A$2:$Q$2902,AD$2,0)&lt;&gt;N984,"Beam Revised","")</f>
        <v>#N/A</v>
      </c>
      <c r="AE984" s="7" t="e">
        <f>IF(VLOOKUP($A984,'Concrete Beam Schedule'!$A$2:$Q$2902,AE$2,0)&lt;&gt;O984,"Beam Revised","")</f>
        <v>#N/A</v>
      </c>
    </row>
    <row r="985" spans="17:31" ht="13.2" x14ac:dyDescent="0.25">
      <c r="Q985" s="7">
        <f t="shared" si="15"/>
        <v>0</v>
      </c>
      <c r="R985" s="7" t="e">
        <f>IF(VLOOKUP($A985,'Concrete Beam Schedule'!$A$2:$Q$2902,R$2,0)&lt;&gt;B985,VLOOKUP($A985,'Concrete Beam Schedule'!$A$2:$Q$2902,R$2,0),"")</f>
        <v>#N/A</v>
      </c>
      <c r="S985" s="7" t="e">
        <f>IF(VLOOKUP($A985,'Concrete Beam Schedule'!$A$2:$Q$2902,S$2,0)&lt;&gt;C985,VLOOKUP($A985,'Concrete Beam Schedule'!$A$2:$Q$2902,S$2,0),"")</f>
        <v>#N/A</v>
      </c>
      <c r="T985" s="7" t="e">
        <f>IF(VLOOKUP($A985,'Concrete Beam Schedule'!$A$2:$Q$2902,T$2,0)&lt;&gt;D985,"Beam Revised","")</f>
        <v>#N/A</v>
      </c>
      <c r="U985" s="7" t="e">
        <f>IF(VLOOKUP($A985,'Concrete Beam Schedule'!$A$2:$Q$2902,U$2,0)&lt;&gt;E985,"Beam Revised","")</f>
        <v>#N/A</v>
      </c>
      <c r="V985" s="7" t="e">
        <f>IF(VLOOKUP($A985,'Concrete Beam Schedule'!$A$2:$Q$2902,V$2,0)&lt;&gt;F985,"Beam Revised","")</f>
        <v>#N/A</v>
      </c>
      <c r="W985" s="7" t="e">
        <f>IF(VLOOKUP($A985,'Concrete Beam Schedule'!$A$2:$Q$2902,W$2,0)&lt;&gt;G985,"Beam Revised","")</f>
        <v>#N/A</v>
      </c>
      <c r="X985" s="7" t="e">
        <f>IF(VLOOKUP($A985,'Concrete Beam Schedule'!$A$2:$Q$2902,X$2,0)&lt;&gt;H985,"Beam Revised","")</f>
        <v>#N/A</v>
      </c>
      <c r="Y985" s="7" t="e">
        <f>IF(VLOOKUP($A985,'Concrete Beam Schedule'!$A$2:$Q$2902,Y$2,0)&lt;&gt;I985,"Beam Revised","")</f>
        <v>#N/A</v>
      </c>
      <c r="Z985" s="7" t="e">
        <f>IF(VLOOKUP($A985,'Concrete Beam Schedule'!$A$2:$Q$2902,Z$2,0)&lt;&gt;J985,"Beam Revised","")</f>
        <v>#N/A</v>
      </c>
      <c r="AA985" s="7" t="e">
        <f>IF(VLOOKUP($A985,'Concrete Beam Schedule'!$A$2:$Q$2902,AA$2,0)&lt;&gt;K985,"Beam Revised","")</f>
        <v>#N/A</v>
      </c>
      <c r="AB985" s="7" t="e">
        <f>IF(VLOOKUP($A985,'Concrete Beam Schedule'!$A$2:$Q$2902,AB$2,0)&lt;&gt;L985,"Beam Revised","")</f>
        <v>#N/A</v>
      </c>
      <c r="AC985" s="7" t="e">
        <f>IF(VLOOKUP($A985,'Concrete Beam Schedule'!$A$2:$Q$2902,AC$2,0)&lt;&gt;M985,"Beam Revised","")</f>
        <v>#N/A</v>
      </c>
      <c r="AD985" s="7" t="e">
        <f>IF(VLOOKUP($A985,'Concrete Beam Schedule'!$A$2:$Q$2902,AD$2,0)&lt;&gt;N985,"Beam Revised","")</f>
        <v>#N/A</v>
      </c>
      <c r="AE985" s="7" t="e">
        <f>IF(VLOOKUP($A985,'Concrete Beam Schedule'!$A$2:$Q$2902,AE$2,0)&lt;&gt;O985,"Beam Revised","")</f>
        <v>#N/A</v>
      </c>
    </row>
    <row r="986" spans="17:31" ht="13.2" x14ac:dyDescent="0.25">
      <c r="Q986" s="7">
        <f t="shared" si="15"/>
        <v>0</v>
      </c>
      <c r="R986" s="7" t="e">
        <f>IF(VLOOKUP($A986,'Concrete Beam Schedule'!$A$2:$Q$2902,R$2,0)&lt;&gt;B986,VLOOKUP($A986,'Concrete Beam Schedule'!$A$2:$Q$2902,R$2,0),"")</f>
        <v>#N/A</v>
      </c>
      <c r="S986" s="7" t="e">
        <f>IF(VLOOKUP($A986,'Concrete Beam Schedule'!$A$2:$Q$2902,S$2,0)&lt;&gt;C986,VLOOKUP($A986,'Concrete Beam Schedule'!$A$2:$Q$2902,S$2,0),"")</f>
        <v>#N/A</v>
      </c>
      <c r="T986" s="7" t="e">
        <f>IF(VLOOKUP($A986,'Concrete Beam Schedule'!$A$2:$Q$2902,T$2,0)&lt;&gt;D986,"Beam Revised","")</f>
        <v>#N/A</v>
      </c>
      <c r="U986" s="7" t="e">
        <f>IF(VLOOKUP($A986,'Concrete Beam Schedule'!$A$2:$Q$2902,U$2,0)&lt;&gt;E986,"Beam Revised","")</f>
        <v>#N/A</v>
      </c>
      <c r="V986" s="7" t="e">
        <f>IF(VLOOKUP($A986,'Concrete Beam Schedule'!$A$2:$Q$2902,V$2,0)&lt;&gt;F986,"Beam Revised","")</f>
        <v>#N/A</v>
      </c>
      <c r="W986" s="7" t="e">
        <f>IF(VLOOKUP($A986,'Concrete Beam Schedule'!$A$2:$Q$2902,W$2,0)&lt;&gt;G986,"Beam Revised","")</f>
        <v>#N/A</v>
      </c>
      <c r="X986" s="7" t="e">
        <f>IF(VLOOKUP($A986,'Concrete Beam Schedule'!$A$2:$Q$2902,X$2,0)&lt;&gt;H986,"Beam Revised","")</f>
        <v>#N/A</v>
      </c>
      <c r="Y986" s="7" t="e">
        <f>IF(VLOOKUP($A986,'Concrete Beam Schedule'!$A$2:$Q$2902,Y$2,0)&lt;&gt;I986,"Beam Revised","")</f>
        <v>#N/A</v>
      </c>
      <c r="Z986" s="7" t="e">
        <f>IF(VLOOKUP($A986,'Concrete Beam Schedule'!$A$2:$Q$2902,Z$2,0)&lt;&gt;J986,"Beam Revised","")</f>
        <v>#N/A</v>
      </c>
      <c r="AA986" s="7" t="e">
        <f>IF(VLOOKUP($A986,'Concrete Beam Schedule'!$A$2:$Q$2902,AA$2,0)&lt;&gt;K986,"Beam Revised","")</f>
        <v>#N/A</v>
      </c>
      <c r="AB986" s="7" t="e">
        <f>IF(VLOOKUP($A986,'Concrete Beam Schedule'!$A$2:$Q$2902,AB$2,0)&lt;&gt;L986,"Beam Revised","")</f>
        <v>#N/A</v>
      </c>
      <c r="AC986" s="7" t="e">
        <f>IF(VLOOKUP($A986,'Concrete Beam Schedule'!$A$2:$Q$2902,AC$2,0)&lt;&gt;M986,"Beam Revised","")</f>
        <v>#N/A</v>
      </c>
      <c r="AD986" s="7" t="e">
        <f>IF(VLOOKUP($A986,'Concrete Beam Schedule'!$A$2:$Q$2902,AD$2,0)&lt;&gt;N986,"Beam Revised","")</f>
        <v>#N/A</v>
      </c>
      <c r="AE986" s="7" t="e">
        <f>IF(VLOOKUP($A986,'Concrete Beam Schedule'!$A$2:$Q$2902,AE$2,0)&lt;&gt;O986,"Beam Revised","")</f>
        <v>#N/A</v>
      </c>
    </row>
    <row r="987" spans="17:31" ht="13.2" x14ac:dyDescent="0.25">
      <c r="Q987" s="7">
        <f t="shared" si="15"/>
        <v>0</v>
      </c>
      <c r="R987" s="7" t="e">
        <f>IF(VLOOKUP($A987,'Concrete Beam Schedule'!$A$2:$Q$2902,R$2,0)&lt;&gt;B987,VLOOKUP($A987,'Concrete Beam Schedule'!$A$2:$Q$2902,R$2,0),"")</f>
        <v>#N/A</v>
      </c>
      <c r="S987" s="7" t="e">
        <f>IF(VLOOKUP($A987,'Concrete Beam Schedule'!$A$2:$Q$2902,S$2,0)&lt;&gt;C987,VLOOKUP($A987,'Concrete Beam Schedule'!$A$2:$Q$2902,S$2,0),"")</f>
        <v>#N/A</v>
      </c>
      <c r="T987" s="7" t="e">
        <f>IF(VLOOKUP($A987,'Concrete Beam Schedule'!$A$2:$Q$2902,T$2,0)&lt;&gt;D987,"Beam Revised","")</f>
        <v>#N/A</v>
      </c>
      <c r="U987" s="7" t="e">
        <f>IF(VLOOKUP($A987,'Concrete Beam Schedule'!$A$2:$Q$2902,U$2,0)&lt;&gt;E987,"Beam Revised","")</f>
        <v>#N/A</v>
      </c>
      <c r="V987" s="7" t="e">
        <f>IF(VLOOKUP($A987,'Concrete Beam Schedule'!$A$2:$Q$2902,V$2,0)&lt;&gt;F987,"Beam Revised","")</f>
        <v>#N/A</v>
      </c>
      <c r="W987" s="7" t="e">
        <f>IF(VLOOKUP($A987,'Concrete Beam Schedule'!$A$2:$Q$2902,W$2,0)&lt;&gt;G987,"Beam Revised","")</f>
        <v>#N/A</v>
      </c>
      <c r="X987" s="7" t="e">
        <f>IF(VLOOKUP($A987,'Concrete Beam Schedule'!$A$2:$Q$2902,X$2,0)&lt;&gt;H987,"Beam Revised","")</f>
        <v>#N/A</v>
      </c>
      <c r="Y987" s="7" t="e">
        <f>IF(VLOOKUP($A987,'Concrete Beam Schedule'!$A$2:$Q$2902,Y$2,0)&lt;&gt;I987,"Beam Revised","")</f>
        <v>#N/A</v>
      </c>
      <c r="Z987" s="7" t="e">
        <f>IF(VLOOKUP($A987,'Concrete Beam Schedule'!$A$2:$Q$2902,Z$2,0)&lt;&gt;J987,"Beam Revised","")</f>
        <v>#N/A</v>
      </c>
      <c r="AA987" s="7" t="e">
        <f>IF(VLOOKUP($A987,'Concrete Beam Schedule'!$A$2:$Q$2902,AA$2,0)&lt;&gt;K987,"Beam Revised","")</f>
        <v>#N/A</v>
      </c>
      <c r="AB987" s="7" t="e">
        <f>IF(VLOOKUP($A987,'Concrete Beam Schedule'!$A$2:$Q$2902,AB$2,0)&lt;&gt;L987,"Beam Revised","")</f>
        <v>#N/A</v>
      </c>
      <c r="AC987" s="7" t="e">
        <f>IF(VLOOKUP($A987,'Concrete Beam Schedule'!$A$2:$Q$2902,AC$2,0)&lt;&gt;M987,"Beam Revised","")</f>
        <v>#N/A</v>
      </c>
      <c r="AD987" s="7" t="e">
        <f>IF(VLOOKUP($A987,'Concrete Beam Schedule'!$A$2:$Q$2902,AD$2,0)&lt;&gt;N987,"Beam Revised","")</f>
        <v>#N/A</v>
      </c>
      <c r="AE987" s="7" t="e">
        <f>IF(VLOOKUP($A987,'Concrete Beam Schedule'!$A$2:$Q$2902,AE$2,0)&lt;&gt;O987,"Beam Revised","")</f>
        <v>#N/A</v>
      </c>
    </row>
    <row r="988" spans="17:31" ht="13.2" x14ac:dyDescent="0.25">
      <c r="Q988" s="7">
        <f t="shared" si="15"/>
        <v>0</v>
      </c>
      <c r="R988" s="7" t="e">
        <f>IF(VLOOKUP($A988,'Concrete Beam Schedule'!$A$2:$Q$2902,R$2,0)&lt;&gt;B988,VLOOKUP($A988,'Concrete Beam Schedule'!$A$2:$Q$2902,R$2,0),"")</f>
        <v>#N/A</v>
      </c>
      <c r="S988" s="7" t="e">
        <f>IF(VLOOKUP($A988,'Concrete Beam Schedule'!$A$2:$Q$2902,S$2,0)&lt;&gt;C988,VLOOKUP($A988,'Concrete Beam Schedule'!$A$2:$Q$2902,S$2,0),"")</f>
        <v>#N/A</v>
      </c>
      <c r="T988" s="7" t="e">
        <f>IF(VLOOKUP($A988,'Concrete Beam Schedule'!$A$2:$Q$2902,T$2,0)&lt;&gt;D988,"Beam Revised","")</f>
        <v>#N/A</v>
      </c>
      <c r="U988" s="7" t="e">
        <f>IF(VLOOKUP($A988,'Concrete Beam Schedule'!$A$2:$Q$2902,U$2,0)&lt;&gt;E988,"Beam Revised","")</f>
        <v>#N/A</v>
      </c>
      <c r="V988" s="7" t="e">
        <f>IF(VLOOKUP($A988,'Concrete Beam Schedule'!$A$2:$Q$2902,V$2,0)&lt;&gt;F988,"Beam Revised","")</f>
        <v>#N/A</v>
      </c>
      <c r="W988" s="7" t="e">
        <f>IF(VLOOKUP($A988,'Concrete Beam Schedule'!$A$2:$Q$2902,W$2,0)&lt;&gt;G988,"Beam Revised","")</f>
        <v>#N/A</v>
      </c>
      <c r="X988" s="7" t="e">
        <f>IF(VLOOKUP($A988,'Concrete Beam Schedule'!$A$2:$Q$2902,X$2,0)&lt;&gt;H988,"Beam Revised","")</f>
        <v>#N/A</v>
      </c>
      <c r="Y988" s="7" t="e">
        <f>IF(VLOOKUP($A988,'Concrete Beam Schedule'!$A$2:$Q$2902,Y$2,0)&lt;&gt;I988,"Beam Revised","")</f>
        <v>#N/A</v>
      </c>
      <c r="Z988" s="7" t="e">
        <f>IF(VLOOKUP($A988,'Concrete Beam Schedule'!$A$2:$Q$2902,Z$2,0)&lt;&gt;J988,"Beam Revised","")</f>
        <v>#N/A</v>
      </c>
      <c r="AA988" s="7" t="e">
        <f>IF(VLOOKUP($A988,'Concrete Beam Schedule'!$A$2:$Q$2902,AA$2,0)&lt;&gt;K988,"Beam Revised","")</f>
        <v>#N/A</v>
      </c>
      <c r="AB988" s="7" t="e">
        <f>IF(VLOOKUP($A988,'Concrete Beam Schedule'!$A$2:$Q$2902,AB$2,0)&lt;&gt;L988,"Beam Revised","")</f>
        <v>#N/A</v>
      </c>
      <c r="AC988" s="7" t="e">
        <f>IF(VLOOKUP($A988,'Concrete Beam Schedule'!$A$2:$Q$2902,AC$2,0)&lt;&gt;M988,"Beam Revised","")</f>
        <v>#N/A</v>
      </c>
      <c r="AD988" s="7" t="e">
        <f>IF(VLOOKUP($A988,'Concrete Beam Schedule'!$A$2:$Q$2902,AD$2,0)&lt;&gt;N988,"Beam Revised","")</f>
        <v>#N/A</v>
      </c>
      <c r="AE988" s="7" t="e">
        <f>IF(VLOOKUP($A988,'Concrete Beam Schedule'!$A$2:$Q$2902,AE$2,0)&lt;&gt;O988,"Beam Revised","")</f>
        <v>#N/A</v>
      </c>
    </row>
    <row r="989" spans="17:31" ht="13.2" x14ac:dyDescent="0.25">
      <c r="Q989" s="7">
        <f t="shared" si="15"/>
        <v>0</v>
      </c>
      <c r="R989" s="7" t="e">
        <f>IF(VLOOKUP($A989,'Concrete Beam Schedule'!$A$2:$Q$2902,R$2,0)&lt;&gt;B989,VLOOKUP($A989,'Concrete Beam Schedule'!$A$2:$Q$2902,R$2,0),"")</f>
        <v>#N/A</v>
      </c>
      <c r="S989" s="7" t="e">
        <f>IF(VLOOKUP($A989,'Concrete Beam Schedule'!$A$2:$Q$2902,S$2,0)&lt;&gt;C989,VLOOKUP($A989,'Concrete Beam Schedule'!$A$2:$Q$2902,S$2,0),"")</f>
        <v>#N/A</v>
      </c>
      <c r="T989" s="7" t="e">
        <f>IF(VLOOKUP($A989,'Concrete Beam Schedule'!$A$2:$Q$2902,T$2,0)&lt;&gt;D989,"Beam Revised","")</f>
        <v>#N/A</v>
      </c>
      <c r="U989" s="7" t="e">
        <f>IF(VLOOKUP($A989,'Concrete Beam Schedule'!$A$2:$Q$2902,U$2,0)&lt;&gt;E989,"Beam Revised","")</f>
        <v>#N/A</v>
      </c>
      <c r="V989" s="7" t="e">
        <f>IF(VLOOKUP($A989,'Concrete Beam Schedule'!$A$2:$Q$2902,V$2,0)&lt;&gt;F989,"Beam Revised","")</f>
        <v>#N/A</v>
      </c>
      <c r="W989" s="7" t="e">
        <f>IF(VLOOKUP($A989,'Concrete Beam Schedule'!$A$2:$Q$2902,W$2,0)&lt;&gt;G989,"Beam Revised","")</f>
        <v>#N/A</v>
      </c>
      <c r="X989" s="7" t="e">
        <f>IF(VLOOKUP($A989,'Concrete Beam Schedule'!$A$2:$Q$2902,X$2,0)&lt;&gt;H989,"Beam Revised","")</f>
        <v>#N/A</v>
      </c>
      <c r="Y989" s="7" t="e">
        <f>IF(VLOOKUP($A989,'Concrete Beam Schedule'!$A$2:$Q$2902,Y$2,0)&lt;&gt;I989,"Beam Revised","")</f>
        <v>#N/A</v>
      </c>
      <c r="Z989" s="7" t="e">
        <f>IF(VLOOKUP($A989,'Concrete Beam Schedule'!$A$2:$Q$2902,Z$2,0)&lt;&gt;J989,"Beam Revised","")</f>
        <v>#N/A</v>
      </c>
      <c r="AA989" s="7" t="e">
        <f>IF(VLOOKUP($A989,'Concrete Beam Schedule'!$A$2:$Q$2902,AA$2,0)&lt;&gt;K989,"Beam Revised","")</f>
        <v>#N/A</v>
      </c>
      <c r="AB989" s="7" t="e">
        <f>IF(VLOOKUP($A989,'Concrete Beam Schedule'!$A$2:$Q$2902,AB$2,0)&lt;&gt;L989,"Beam Revised","")</f>
        <v>#N/A</v>
      </c>
      <c r="AC989" s="7" t="e">
        <f>IF(VLOOKUP($A989,'Concrete Beam Schedule'!$A$2:$Q$2902,AC$2,0)&lt;&gt;M989,"Beam Revised","")</f>
        <v>#N/A</v>
      </c>
      <c r="AD989" s="7" t="e">
        <f>IF(VLOOKUP($A989,'Concrete Beam Schedule'!$A$2:$Q$2902,AD$2,0)&lt;&gt;N989,"Beam Revised","")</f>
        <v>#N/A</v>
      </c>
      <c r="AE989" s="7" t="e">
        <f>IF(VLOOKUP($A989,'Concrete Beam Schedule'!$A$2:$Q$2902,AE$2,0)&lt;&gt;O989,"Beam Revised","")</f>
        <v>#N/A</v>
      </c>
    </row>
    <row r="990" spans="17:31" ht="13.2" x14ac:dyDescent="0.25">
      <c r="Q990" s="7">
        <f t="shared" si="15"/>
        <v>0</v>
      </c>
      <c r="R990" s="7" t="e">
        <f>IF(VLOOKUP($A990,'Concrete Beam Schedule'!$A$2:$Q$2902,R$2,0)&lt;&gt;B990,VLOOKUP($A990,'Concrete Beam Schedule'!$A$2:$Q$2902,R$2,0),"")</f>
        <v>#N/A</v>
      </c>
      <c r="S990" s="7" t="e">
        <f>IF(VLOOKUP($A990,'Concrete Beam Schedule'!$A$2:$Q$2902,S$2,0)&lt;&gt;C990,VLOOKUP($A990,'Concrete Beam Schedule'!$A$2:$Q$2902,S$2,0),"")</f>
        <v>#N/A</v>
      </c>
      <c r="T990" s="7" t="e">
        <f>IF(VLOOKUP($A990,'Concrete Beam Schedule'!$A$2:$Q$2902,T$2,0)&lt;&gt;D990,"Beam Revised","")</f>
        <v>#N/A</v>
      </c>
      <c r="U990" s="7" t="e">
        <f>IF(VLOOKUP($A990,'Concrete Beam Schedule'!$A$2:$Q$2902,U$2,0)&lt;&gt;E990,"Beam Revised","")</f>
        <v>#N/A</v>
      </c>
      <c r="V990" s="7" t="e">
        <f>IF(VLOOKUP($A990,'Concrete Beam Schedule'!$A$2:$Q$2902,V$2,0)&lt;&gt;F990,"Beam Revised","")</f>
        <v>#N/A</v>
      </c>
      <c r="W990" s="7" t="e">
        <f>IF(VLOOKUP($A990,'Concrete Beam Schedule'!$A$2:$Q$2902,W$2,0)&lt;&gt;G990,"Beam Revised","")</f>
        <v>#N/A</v>
      </c>
      <c r="X990" s="7" t="e">
        <f>IF(VLOOKUP($A990,'Concrete Beam Schedule'!$A$2:$Q$2902,X$2,0)&lt;&gt;H990,"Beam Revised","")</f>
        <v>#N/A</v>
      </c>
      <c r="Y990" s="7" t="e">
        <f>IF(VLOOKUP($A990,'Concrete Beam Schedule'!$A$2:$Q$2902,Y$2,0)&lt;&gt;I990,"Beam Revised","")</f>
        <v>#N/A</v>
      </c>
      <c r="Z990" s="7" t="e">
        <f>IF(VLOOKUP($A990,'Concrete Beam Schedule'!$A$2:$Q$2902,Z$2,0)&lt;&gt;J990,"Beam Revised","")</f>
        <v>#N/A</v>
      </c>
      <c r="AA990" s="7" t="e">
        <f>IF(VLOOKUP($A990,'Concrete Beam Schedule'!$A$2:$Q$2902,AA$2,0)&lt;&gt;K990,"Beam Revised","")</f>
        <v>#N/A</v>
      </c>
      <c r="AB990" s="7" t="e">
        <f>IF(VLOOKUP($A990,'Concrete Beam Schedule'!$A$2:$Q$2902,AB$2,0)&lt;&gt;L990,"Beam Revised","")</f>
        <v>#N/A</v>
      </c>
      <c r="AC990" s="7" t="e">
        <f>IF(VLOOKUP($A990,'Concrete Beam Schedule'!$A$2:$Q$2902,AC$2,0)&lt;&gt;M990,"Beam Revised","")</f>
        <v>#N/A</v>
      </c>
      <c r="AD990" s="7" t="e">
        <f>IF(VLOOKUP($A990,'Concrete Beam Schedule'!$A$2:$Q$2902,AD$2,0)&lt;&gt;N990,"Beam Revised","")</f>
        <v>#N/A</v>
      </c>
      <c r="AE990" s="7" t="e">
        <f>IF(VLOOKUP($A990,'Concrete Beam Schedule'!$A$2:$Q$2902,AE$2,0)&lt;&gt;O990,"Beam Revised","")</f>
        <v>#N/A</v>
      </c>
    </row>
    <row r="991" spans="17:31" ht="13.2" x14ac:dyDescent="0.25">
      <c r="Q991" s="7">
        <f t="shared" si="15"/>
        <v>0</v>
      </c>
      <c r="R991" s="7" t="e">
        <f>IF(VLOOKUP($A991,'Concrete Beam Schedule'!$A$2:$Q$2902,R$2,0)&lt;&gt;B991,VLOOKUP($A991,'Concrete Beam Schedule'!$A$2:$Q$2902,R$2,0),"")</f>
        <v>#N/A</v>
      </c>
      <c r="S991" s="7" t="e">
        <f>IF(VLOOKUP($A991,'Concrete Beam Schedule'!$A$2:$Q$2902,S$2,0)&lt;&gt;C991,VLOOKUP($A991,'Concrete Beam Schedule'!$A$2:$Q$2902,S$2,0),"")</f>
        <v>#N/A</v>
      </c>
      <c r="T991" s="7" t="e">
        <f>IF(VLOOKUP($A991,'Concrete Beam Schedule'!$A$2:$Q$2902,T$2,0)&lt;&gt;D991,"Beam Revised","")</f>
        <v>#N/A</v>
      </c>
      <c r="U991" s="7" t="e">
        <f>IF(VLOOKUP($A991,'Concrete Beam Schedule'!$A$2:$Q$2902,U$2,0)&lt;&gt;E991,"Beam Revised","")</f>
        <v>#N/A</v>
      </c>
      <c r="V991" s="7" t="e">
        <f>IF(VLOOKUP($A991,'Concrete Beam Schedule'!$A$2:$Q$2902,V$2,0)&lt;&gt;F991,"Beam Revised","")</f>
        <v>#N/A</v>
      </c>
      <c r="W991" s="7" t="e">
        <f>IF(VLOOKUP($A991,'Concrete Beam Schedule'!$A$2:$Q$2902,W$2,0)&lt;&gt;G991,"Beam Revised","")</f>
        <v>#N/A</v>
      </c>
      <c r="X991" s="7" t="e">
        <f>IF(VLOOKUP($A991,'Concrete Beam Schedule'!$A$2:$Q$2902,X$2,0)&lt;&gt;H991,"Beam Revised","")</f>
        <v>#N/A</v>
      </c>
      <c r="Y991" s="7" t="e">
        <f>IF(VLOOKUP($A991,'Concrete Beam Schedule'!$A$2:$Q$2902,Y$2,0)&lt;&gt;I991,"Beam Revised","")</f>
        <v>#N/A</v>
      </c>
      <c r="Z991" s="7" t="e">
        <f>IF(VLOOKUP($A991,'Concrete Beam Schedule'!$A$2:$Q$2902,Z$2,0)&lt;&gt;J991,"Beam Revised","")</f>
        <v>#N/A</v>
      </c>
      <c r="AA991" s="7" t="e">
        <f>IF(VLOOKUP($A991,'Concrete Beam Schedule'!$A$2:$Q$2902,AA$2,0)&lt;&gt;K991,"Beam Revised","")</f>
        <v>#N/A</v>
      </c>
      <c r="AB991" s="7" t="e">
        <f>IF(VLOOKUP($A991,'Concrete Beam Schedule'!$A$2:$Q$2902,AB$2,0)&lt;&gt;L991,"Beam Revised","")</f>
        <v>#N/A</v>
      </c>
      <c r="AC991" s="7" t="e">
        <f>IF(VLOOKUP($A991,'Concrete Beam Schedule'!$A$2:$Q$2902,AC$2,0)&lt;&gt;M991,"Beam Revised","")</f>
        <v>#N/A</v>
      </c>
      <c r="AD991" s="7" t="e">
        <f>IF(VLOOKUP($A991,'Concrete Beam Schedule'!$A$2:$Q$2902,AD$2,0)&lt;&gt;N991,"Beam Revised","")</f>
        <v>#N/A</v>
      </c>
      <c r="AE991" s="7" t="e">
        <f>IF(VLOOKUP($A991,'Concrete Beam Schedule'!$A$2:$Q$2902,AE$2,0)&lt;&gt;O991,"Beam Revised","")</f>
        <v>#N/A</v>
      </c>
    </row>
    <row r="992" spans="17:31" ht="13.2" x14ac:dyDescent="0.25">
      <c r="Q992" s="7">
        <f t="shared" si="15"/>
        <v>0</v>
      </c>
      <c r="R992" s="7" t="e">
        <f>IF(VLOOKUP($A992,'Concrete Beam Schedule'!$A$2:$Q$2902,R$2,0)&lt;&gt;B992,VLOOKUP($A992,'Concrete Beam Schedule'!$A$2:$Q$2902,R$2,0),"")</f>
        <v>#N/A</v>
      </c>
      <c r="S992" s="7" t="e">
        <f>IF(VLOOKUP($A992,'Concrete Beam Schedule'!$A$2:$Q$2902,S$2,0)&lt;&gt;C992,VLOOKUP($A992,'Concrete Beam Schedule'!$A$2:$Q$2902,S$2,0),"")</f>
        <v>#N/A</v>
      </c>
      <c r="T992" s="7" t="e">
        <f>IF(VLOOKUP($A992,'Concrete Beam Schedule'!$A$2:$Q$2902,T$2,0)&lt;&gt;D992,"Beam Revised","")</f>
        <v>#N/A</v>
      </c>
      <c r="U992" s="7" t="e">
        <f>IF(VLOOKUP($A992,'Concrete Beam Schedule'!$A$2:$Q$2902,U$2,0)&lt;&gt;E992,"Beam Revised","")</f>
        <v>#N/A</v>
      </c>
      <c r="V992" s="7" t="e">
        <f>IF(VLOOKUP($A992,'Concrete Beam Schedule'!$A$2:$Q$2902,V$2,0)&lt;&gt;F992,"Beam Revised","")</f>
        <v>#N/A</v>
      </c>
      <c r="W992" s="7" t="e">
        <f>IF(VLOOKUP($A992,'Concrete Beam Schedule'!$A$2:$Q$2902,W$2,0)&lt;&gt;G992,"Beam Revised","")</f>
        <v>#N/A</v>
      </c>
      <c r="X992" s="7" t="e">
        <f>IF(VLOOKUP($A992,'Concrete Beam Schedule'!$A$2:$Q$2902,X$2,0)&lt;&gt;H992,"Beam Revised","")</f>
        <v>#N/A</v>
      </c>
      <c r="Y992" s="7" t="e">
        <f>IF(VLOOKUP($A992,'Concrete Beam Schedule'!$A$2:$Q$2902,Y$2,0)&lt;&gt;I992,"Beam Revised","")</f>
        <v>#N/A</v>
      </c>
      <c r="Z992" s="7" t="e">
        <f>IF(VLOOKUP($A992,'Concrete Beam Schedule'!$A$2:$Q$2902,Z$2,0)&lt;&gt;J992,"Beam Revised","")</f>
        <v>#N/A</v>
      </c>
      <c r="AA992" s="7" t="e">
        <f>IF(VLOOKUP($A992,'Concrete Beam Schedule'!$A$2:$Q$2902,AA$2,0)&lt;&gt;K992,"Beam Revised","")</f>
        <v>#N/A</v>
      </c>
      <c r="AB992" s="7" t="e">
        <f>IF(VLOOKUP($A992,'Concrete Beam Schedule'!$A$2:$Q$2902,AB$2,0)&lt;&gt;L992,"Beam Revised","")</f>
        <v>#N/A</v>
      </c>
      <c r="AC992" s="7" t="e">
        <f>IF(VLOOKUP($A992,'Concrete Beam Schedule'!$A$2:$Q$2902,AC$2,0)&lt;&gt;M992,"Beam Revised","")</f>
        <v>#N/A</v>
      </c>
      <c r="AD992" s="7" t="e">
        <f>IF(VLOOKUP($A992,'Concrete Beam Schedule'!$A$2:$Q$2902,AD$2,0)&lt;&gt;N992,"Beam Revised","")</f>
        <v>#N/A</v>
      </c>
      <c r="AE992" s="7" t="e">
        <f>IF(VLOOKUP($A992,'Concrete Beam Schedule'!$A$2:$Q$2902,AE$2,0)&lt;&gt;O992,"Beam Revised","")</f>
        <v>#N/A</v>
      </c>
    </row>
    <row r="993" spans="17:31" ht="13.2" x14ac:dyDescent="0.25">
      <c r="Q993" s="7">
        <f t="shared" si="15"/>
        <v>0</v>
      </c>
      <c r="R993" s="7" t="e">
        <f>IF(VLOOKUP($A993,'Concrete Beam Schedule'!$A$2:$Q$2902,R$2,0)&lt;&gt;B993,VLOOKUP($A993,'Concrete Beam Schedule'!$A$2:$Q$2902,R$2,0),"")</f>
        <v>#N/A</v>
      </c>
      <c r="S993" s="7" t="e">
        <f>IF(VLOOKUP($A993,'Concrete Beam Schedule'!$A$2:$Q$2902,S$2,0)&lt;&gt;C993,VLOOKUP($A993,'Concrete Beam Schedule'!$A$2:$Q$2902,S$2,0),"")</f>
        <v>#N/A</v>
      </c>
      <c r="T993" s="7" t="e">
        <f>IF(VLOOKUP($A993,'Concrete Beam Schedule'!$A$2:$Q$2902,T$2,0)&lt;&gt;D993,"Beam Revised","")</f>
        <v>#N/A</v>
      </c>
      <c r="U993" s="7" t="e">
        <f>IF(VLOOKUP($A993,'Concrete Beam Schedule'!$A$2:$Q$2902,U$2,0)&lt;&gt;E993,"Beam Revised","")</f>
        <v>#N/A</v>
      </c>
      <c r="V993" s="7" t="e">
        <f>IF(VLOOKUP($A993,'Concrete Beam Schedule'!$A$2:$Q$2902,V$2,0)&lt;&gt;F993,"Beam Revised","")</f>
        <v>#N/A</v>
      </c>
      <c r="W993" s="7" t="e">
        <f>IF(VLOOKUP($A993,'Concrete Beam Schedule'!$A$2:$Q$2902,W$2,0)&lt;&gt;G993,"Beam Revised","")</f>
        <v>#N/A</v>
      </c>
      <c r="X993" s="7" t="e">
        <f>IF(VLOOKUP($A993,'Concrete Beam Schedule'!$A$2:$Q$2902,X$2,0)&lt;&gt;H993,"Beam Revised","")</f>
        <v>#N/A</v>
      </c>
      <c r="Y993" s="7" t="e">
        <f>IF(VLOOKUP($A993,'Concrete Beam Schedule'!$A$2:$Q$2902,Y$2,0)&lt;&gt;I993,"Beam Revised","")</f>
        <v>#N/A</v>
      </c>
      <c r="Z993" s="7" t="e">
        <f>IF(VLOOKUP($A993,'Concrete Beam Schedule'!$A$2:$Q$2902,Z$2,0)&lt;&gt;J993,"Beam Revised","")</f>
        <v>#N/A</v>
      </c>
      <c r="AA993" s="7" t="e">
        <f>IF(VLOOKUP($A993,'Concrete Beam Schedule'!$A$2:$Q$2902,AA$2,0)&lt;&gt;K993,"Beam Revised","")</f>
        <v>#N/A</v>
      </c>
      <c r="AB993" s="7" t="e">
        <f>IF(VLOOKUP($A993,'Concrete Beam Schedule'!$A$2:$Q$2902,AB$2,0)&lt;&gt;L993,"Beam Revised","")</f>
        <v>#N/A</v>
      </c>
      <c r="AC993" s="7" t="e">
        <f>IF(VLOOKUP($A993,'Concrete Beam Schedule'!$A$2:$Q$2902,AC$2,0)&lt;&gt;M993,"Beam Revised","")</f>
        <v>#N/A</v>
      </c>
      <c r="AD993" s="7" t="e">
        <f>IF(VLOOKUP($A993,'Concrete Beam Schedule'!$A$2:$Q$2902,AD$2,0)&lt;&gt;N993,"Beam Revised","")</f>
        <v>#N/A</v>
      </c>
      <c r="AE993" s="7" t="e">
        <f>IF(VLOOKUP($A993,'Concrete Beam Schedule'!$A$2:$Q$2902,AE$2,0)&lt;&gt;O993,"Beam Revised","")</f>
        <v>#N/A</v>
      </c>
    </row>
    <row r="994" spans="17:31" ht="13.2" x14ac:dyDescent="0.25">
      <c r="Q994" s="7">
        <f t="shared" si="15"/>
        <v>0</v>
      </c>
      <c r="R994" s="7" t="e">
        <f>IF(VLOOKUP($A994,'Concrete Beam Schedule'!$A$2:$Q$2902,R$2,0)&lt;&gt;B994,VLOOKUP($A994,'Concrete Beam Schedule'!$A$2:$Q$2902,R$2,0),"")</f>
        <v>#N/A</v>
      </c>
      <c r="S994" s="7" t="e">
        <f>IF(VLOOKUP($A994,'Concrete Beam Schedule'!$A$2:$Q$2902,S$2,0)&lt;&gt;C994,VLOOKUP($A994,'Concrete Beam Schedule'!$A$2:$Q$2902,S$2,0),"")</f>
        <v>#N/A</v>
      </c>
      <c r="T994" s="7" t="e">
        <f>IF(VLOOKUP($A994,'Concrete Beam Schedule'!$A$2:$Q$2902,T$2,0)&lt;&gt;D994,"Beam Revised","")</f>
        <v>#N/A</v>
      </c>
      <c r="U994" s="7" t="e">
        <f>IF(VLOOKUP($A994,'Concrete Beam Schedule'!$A$2:$Q$2902,U$2,0)&lt;&gt;E994,"Beam Revised","")</f>
        <v>#N/A</v>
      </c>
      <c r="V994" s="7" t="e">
        <f>IF(VLOOKUP($A994,'Concrete Beam Schedule'!$A$2:$Q$2902,V$2,0)&lt;&gt;F994,"Beam Revised","")</f>
        <v>#N/A</v>
      </c>
      <c r="W994" s="7" t="e">
        <f>IF(VLOOKUP($A994,'Concrete Beam Schedule'!$A$2:$Q$2902,W$2,0)&lt;&gt;G994,"Beam Revised","")</f>
        <v>#N/A</v>
      </c>
      <c r="X994" s="7" t="e">
        <f>IF(VLOOKUP($A994,'Concrete Beam Schedule'!$A$2:$Q$2902,X$2,0)&lt;&gt;H994,"Beam Revised","")</f>
        <v>#N/A</v>
      </c>
      <c r="Y994" s="7" t="e">
        <f>IF(VLOOKUP($A994,'Concrete Beam Schedule'!$A$2:$Q$2902,Y$2,0)&lt;&gt;I994,"Beam Revised","")</f>
        <v>#N/A</v>
      </c>
      <c r="Z994" s="7" t="e">
        <f>IF(VLOOKUP($A994,'Concrete Beam Schedule'!$A$2:$Q$2902,Z$2,0)&lt;&gt;J994,"Beam Revised","")</f>
        <v>#N/A</v>
      </c>
      <c r="AA994" s="7" t="e">
        <f>IF(VLOOKUP($A994,'Concrete Beam Schedule'!$A$2:$Q$2902,AA$2,0)&lt;&gt;K994,"Beam Revised","")</f>
        <v>#N/A</v>
      </c>
      <c r="AB994" s="7" t="e">
        <f>IF(VLOOKUP($A994,'Concrete Beam Schedule'!$A$2:$Q$2902,AB$2,0)&lt;&gt;L994,"Beam Revised","")</f>
        <v>#N/A</v>
      </c>
      <c r="AC994" s="7" t="e">
        <f>IF(VLOOKUP($A994,'Concrete Beam Schedule'!$A$2:$Q$2902,AC$2,0)&lt;&gt;M994,"Beam Revised","")</f>
        <v>#N/A</v>
      </c>
      <c r="AD994" s="7" t="e">
        <f>IF(VLOOKUP($A994,'Concrete Beam Schedule'!$A$2:$Q$2902,AD$2,0)&lt;&gt;N994,"Beam Revised","")</f>
        <v>#N/A</v>
      </c>
      <c r="AE994" s="7" t="e">
        <f>IF(VLOOKUP($A994,'Concrete Beam Schedule'!$A$2:$Q$2902,AE$2,0)&lt;&gt;O994,"Beam Revised","")</f>
        <v>#N/A</v>
      </c>
    </row>
    <row r="995" spans="17:31" ht="13.2" x14ac:dyDescent="0.25">
      <c r="Q995" s="7">
        <f t="shared" si="15"/>
        <v>0</v>
      </c>
      <c r="R995" s="7" t="e">
        <f>IF(VLOOKUP($A995,'Concrete Beam Schedule'!$A$2:$Q$2902,R$2,0)&lt;&gt;B995,VLOOKUP($A995,'Concrete Beam Schedule'!$A$2:$Q$2902,R$2,0),"")</f>
        <v>#N/A</v>
      </c>
      <c r="S995" s="7" t="e">
        <f>IF(VLOOKUP($A995,'Concrete Beam Schedule'!$A$2:$Q$2902,S$2,0)&lt;&gt;C995,VLOOKUP($A995,'Concrete Beam Schedule'!$A$2:$Q$2902,S$2,0),"")</f>
        <v>#N/A</v>
      </c>
      <c r="T995" s="7" t="e">
        <f>IF(VLOOKUP($A995,'Concrete Beam Schedule'!$A$2:$Q$2902,T$2,0)&lt;&gt;D995,"Beam Revised","")</f>
        <v>#N/A</v>
      </c>
      <c r="U995" s="7" t="e">
        <f>IF(VLOOKUP($A995,'Concrete Beam Schedule'!$A$2:$Q$2902,U$2,0)&lt;&gt;E995,"Beam Revised","")</f>
        <v>#N/A</v>
      </c>
      <c r="V995" s="7" t="e">
        <f>IF(VLOOKUP($A995,'Concrete Beam Schedule'!$A$2:$Q$2902,V$2,0)&lt;&gt;F995,"Beam Revised","")</f>
        <v>#N/A</v>
      </c>
      <c r="W995" s="7" t="e">
        <f>IF(VLOOKUP($A995,'Concrete Beam Schedule'!$A$2:$Q$2902,W$2,0)&lt;&gt;G995,"Beam Revised","")</f>
        <v>#N/A</v>
      </c>
      <c r="X995" s="7" t="e">
        <f>IF(VLOOKUP($A995,'Concrete Beam Schedule'!$A$2:$Q$2902,X$2,0)&lt;&gt;H995,"Beam Revised","")</f>
        <v>#N/A</v>
      </c>
      <c r="Y995" s="7" t="e">
        <f>IF(VLOOKUP($A995,'Concrete Beam Schedule'!$A$2:$Q$2902,Y$2,0)&lt;&gt;I995,"Beam Revised","")</f>
        <v>#N/A</v>
      </c>
      <c r="Z995" s="7" t="e">
        <f>IF(VLOOKUP($A995,'Concrete Beam Schedule'!$A$2:$Q$2902,Z$2,0)&lt;&gt;J995,"Beam Revised","")</f>
        <v>#N/A</v>
      </c>
      <c r="AA995" s="7" t="e">
        <f>IF(VLOOKUP($A995,'Concrete Beam Schedule'!$A$2:$Q$2902,AA$2,0)&lt;&gt;K995,"Beam Revised","")</f>
        <v>#N/A</v>
      </c>
      <c r="AB995" s="7" t="e">
        <f>IF(VLOOKUP($A995,'Concrete Beam Schedule'!$A$2:$Q$2902,AB$2,0)&lt;&gt;L995,"Beam Revised","")</f>
        <v>#N/A</v>
      </c>
      <c r="AC995" s="7" t="e">
        <f>IF(VLOOKUP($A995,'Concrete Beam Schedule'!$A$2:$Q$2902,AC$2,0)&lt;&gt;M995,"Beam Revised","")</f>
        <v>#N/A</v>
      </c>
      <c r="AD995" s="7" t="e">
        <f>IF(VLOOKUP($A995,'Concrete Beam Schedule'!$A$2:$Q$2902,AD$2,0)&lt;&gt;N995,"Beam Revised","")</f>
        <v>#N/A</v>
      </c>
      <c r="AE995" s="7" t="e">
        <f>IF(VLOOKUP($A995,'Concrete Beam Schedule'!$A$2:$Q$2902,AE$2,0)&lt;&gt;O995,"Beam Revised","")</f>
        <v>#N/A</v>
      </c>
    </row>
    <row r="996" spans="17:31" ht="13.2" x14ac:dyDescent="0.25">
      <c r="Q996" s="7">
        <f t="shared" si="15"/>
        <v>0</v>
      </c>
      <c r="R996" s="7" t="e">
        <f>IF(VLOOKUP($A996,'Concrete Beam Schedule'!$A$2:$Q$2902,R$2,0)&lt;&gt;B996,VLOOKUP($A996,'Concrete Beam Schedule'!$A$2:$Q$2902,R$2,0),"")</f>
        <v>#N/A</v>
      </c>
      <c r="S996" s="7" t="e">
        <f>IF(VLOOKUP($A996,'Concrete Beam Schedule'!$A$2:$Q$2902,S$2,0)&lt;&gt;C996,VLOOKUP($A996,'Concrete Beam Schedule'!$A$2:$Q$2902,S$2,0),"")</f>
        <v>#N/A</v>
      </c>
      <c r="T996" s="7" t="e">
        <f>IF(VLOOKUP($A996,'Concrete Beam Schedule'!$A$2:$Q$2902,T$2,0)&lt;&gt;D996,"Beam Revised","")</f>
        <v>#N/A</v>
      </c>
      <c r="U996" s="7" t="e">
        <f>IF(VLOOKUP($A996,'Concrete Beam Schedule'!$A$2:$Q$2902,U$2,0)&lt;&gt;E996,"Beam Revised","")</f>
        <v>#N/A</v>
      </c>
      <c r="V996" s="7" t="e">
        <f>IF(VLOOKUP($A996,'Concrete Beam Schedule'!$A$2:$Q$2902,V$2,0)&lt;&gt;F996,"Beam Revised","")</f>
        <v>#N/A</v>
      </c>
      <c r="W996" s="7" t="e">
        <f>IF(VLOOKUP($A996,'Concrete Beam Schedule'!$A$2:$Q$2902,W$2,0)&lt;&gt;G996,"Beam Revised","")</f>
        <v>#N/A</v>
      </c>
      <c r="X996" s="7" t="e">
        <f>IF(VLOOKUP($A996,'Concrete Beam Schedule'!$A$2:$Q$2902,X$2,0)&lt;&gt;H996,"Beam Revised","")</f>
        <v>#N/A</v>
      </c>
      <c r="Y996" s="7" t="e">
        <f>IF(VLOOKUP($A996,'Concrete Beam Schedule'!$A$2:$Q$2902,Y$2,0)&lt;&gt;I996,"Beam Revised","")</f>
        <v>#N/A</v>
      </c>
      <c r="Z996" s="7" t="e">
        <f>IF(VLOOKUP($A996,'Concrete Beam Schedule'!$A$2:$Q$2902,Z$2,0)&lt;&gt;J996,"Beam Revised","")</f>
        <v>#N/A</v>
      </c>
      <c r="AA996" s="7" t="e">
        <f>IF(VLOOKUP($A996,'Concrete Beam Schedule'!$A$2:$Q$2902,AA$2,0)&lt;&gt;K996,"Beam Revised","")</f>
        <v>#N/A</v>
      </c>
      <c r="AB996" s="7" t="e">
        <f>IF(VLOOKUP($A996,'Concrete Beam Schedule'!$A$2:$Q$2902,AB$2,0)&lt;&gt;L996,"Beam Revised","")</f>
        <v>#N/A</v>
      </c>
      <c r="AC996" s="7" t="e">
        <f>IF(VLOOKUP($A996,'Concrete Beam Schedule'!$A$2:$Q$2902,AC$2,0)&lt;&gt;M996,"Beam Revised","")</f>
        <v>#N/A</v>
      </c>
      <c r="AD996" s="7" t="e">
        <f>IF(VLOOKUP($A996,'Concrete Beam Schedule'!$A$2:$Q$2902,AD$2,0)&lt;&gt;N996,"Beam Revised","")</f>
        <v>#N/A</v>
      </c>
      <c r="AE996" s="7" t="e">
        <f>IF(VLOOKUP($A996,'Concrete Beam Schedule'!$A$2:$Q$2902,AE$2,0)&lt;&gt;O996,"Beam Revised","")</f>
        <v>#N/A</v>
      </c>
    </row>
    <row r="997" spans="17:31" ht="13.2" x14ac:dyDescent="0.25">
      <c r="Q997" s="7">
        <f t="shared" si="15"/>
        <v>0</v>
      </c>
      <c r="R997" s="7" t="e">
        <f>IF(VLOOKUP($A997,'Concrete Beam Schedule'!$A$2:$Q$2902,R$2,0)&lt;&gt;B997,VLOOKUP($A997,'Concrete Beam Schedule'!$A$2:$Q$2902,R$2,0),"")</f>
        <v>#N/A</v>
      </c>
      <c r="S997" s="7" t="e">
        <f>IF(VLOOKUP($A997,'Concrete Beam Schedule'!$A$2:$Q$2902,S$2,0)&lt;&gt;C997,VLOOKUP($A997,'Concrete Beam Schedule'!$A$2:$Q$2902,S$2,0),"")</f>
        <v>#N/A</v>
      </c>
      <c r="T997" s="7" t="e">
        <f>IF(VLOOKUP($A997,'Concrete Beam Schedule'!$A$2:$Q$2902,T$2,0)&lt;&gt;D997,"Beam Revised","")</f>
        <v>#N/A</v>
      </c>
      <c r="U997" s="7" t="e">
        <f>IF(VLOOKUP($A997,'Concrete Beam Schedule'!$A$2:$Q$2902,U$2,0)&lt;&gt;E997,"Beam Revised","")</f>
        <v>#N/A</v>
      </c>
      <c r="V997" s="7" t="e">
        <f>IF(VLOOKUP($A997,'Concrete Beam Schedule'!$A$2:$Q$2902,V$2,0)&lt;&gt;F997,"Beam Revised","")</f>
        <v>#N/A</v>
      </c>
      <c r="W997" s="7" t="e">
        <f>IF(VLOOKUP($A997,'Concrete Beam Schedule'!$A$2:$Q$2902,W$2,0)&lt;&gt;G997,"Beam Revised","")</f>
        <v>#N/A</v>
      </c>
      <c r="X997" s="7" t="e">
        <f>IF(VLOOKUP($A997,'Concrete Beam Schedule'!$A$2:$Q$2902,X$2,0)&lt;&gt;H997,"Beam Revised","")</f>
        <v>#N/A</v>
      </c>
      <c r="Y997" s="7" t="e">
        <f>IF(VLOOKUP($A997,'Concrete Beam Schedule'!$A$2:$Q$2902,Y$2,0)&lt;&gt;I997,"Beam Revised","")</f>
        <v>#N/A</v>
      </c>
      <c r="Z997" s="7" t="e">
        <f>IF(VLOOKUP($A997,'Concrete Beam Schedule'!$A$2:$Q$2902,Z$2,0)&lt;&gt;J997,"Beam Revised","")</f>
        <v>#N/A</v>
      </c>
      <c r="AA997" s="7" t="e">
        <f>IF(VLOOKUP($A997,'Concrete Beam Schedule'!$A$2:$Q$2902,AA$2,0)&lt;&gt;K997,"Beam Revised","")</f>
        <v>#N/A</v>
      </c>
      <c r="AB997" s="7" t="e">
        <f>IF(VLOOKUP($A997,'Concrete Beam Schedule'!$A$2:$Q$2902,AB$2,0)&lt;&gt;L997,"Beam Revised","")</f>
        <v>#N/A</v>
      </c>
      <c r="AC997" s="7" t="e">
        <f>IF(VLOOKUP($A997,'Concrete Beam Schedule'!$A$2:$Q$2902,AC$2,0)&lt;&gt;M997,"Beam Revised","")</f>
        <v>#N/A</v>
      </c>
      <c r="AD997" s="7" t="e">
        <f>IF(VLOOKUP($A997,'Concrete Beam Schedule'!$A$2:$Q$2902,AD$2,0)&lt;&gt;N997,"Beam Revised","")</f>
        <v>#N/A</v>
      </c>
      <c r="AE997" s="7" t="e">
        <f>IF(VLOOKUP($A997,'Concrete Beam Schedule'!$A$2:$Q$2902,AE$2,0)&lt;&gt;O997,"Beam Revised","")</f>
        <v>#N/A</v>
      </c>
    </row>
    <row r="998" spans="17:31" ht="13.2" x14ac:dyDescent="0.25">
      <c r="Q998" s="7">
        <f t="shared" si="15"/>
        <v>0</v>
      </c>
      <c r="R998" s="7" t="e">
        <f>IF(VLOOKUP($A998,'Concrete Beam Schedule'!$A$2:$Q$2902,R$2,0)&lt;&gt;B998,VLOOKUP($A998,'Concrete Beam Schedule'!$A$2:$Q$2902,R$2,0),"")</f>
        <v>#N/A</v>
      </c>
      <c r="S998" s="7" t="e">
        <f>IF(VLOOKUP($A998,'Concrete Beam Schedule'!$A$2:$Q$2902,S$2,0)&lt;&gt;C998,VLOOKUP($A998,'Concrete Beam Schedule'!$A$2:$Q$2902,S$2,0),"")</f>
        <v>#N/A</v>
      </c>
      <c r="T998" s="7" t="e">
        <f>IF(VLOOKUP($A998,'Concrete Beam Schedule'!$A$2:$Q$2902,T$2,0)&lt;&gt;D998,"Beam Revised","")</f>
        <v>#N/A</v>
      </c>
      <c r="U998" s="7" t="e">
        <f>IF(VLOOKUP($A998,'Concrete Beam Schedule'!$A$2:$Q$2902,U$2,0)&lt;&gt;E998,"Beam Revised","")</f>
        <v>#N/A</v>
      </c>
      <c r="V998" s="7" t="e">
        <f>IF(VLOOKUP($A998,'Concrete Beam Schedule'!$A$2:$Q$2902,V$2,0)&lt;&gt;F998,"Beam Revised","")</f>
        <v>#N/A</v>
      </c>
      <c r="W998" s="7" t="e">
        <f>IF(VLOOKUP($A998,'Concrete Beam Schedule'!$A$2:$Q$2902,W$2,0)&lt;&gt;G998,"Beam Revised","")</f>
        <v>#N/A</v>
      </c>
      <c r="X998" s="7" t="e">
        <f>IF(VLOOKUP($A998,'Concrete Beam Schedule'!$A$2:$Q$2902,X$2,0)&lt;&gt;H998,"Beam Revised","")</f>
        <v>#N/A</v>
      </c>
      <c r="Y998" s="7" t="e">
        <f>IF(VLOOKUP($A998,'Concrete Beam Schedule'!$A$2:$Q$2902,Y$2,0)&lt;&gt;I998,"Beam Revised","")</f>
        <v>#N/A</v>
      </c>
      <c r="Z998" s="7" t="e">
        <f>IF(VLOOKUP($A998,'Concrete Beam Schedule'!$A$2:$Q$2902,Z$2,0)&lt;&gt;J998,"Beam Revised","")</f>
        <v>#N/A</v>
      </c>
      <c r="AA998" s="7" t="e">
        <f>IF(VLOOKUP($A998,'Concrete Beam Schedule'!$A$2:$Q$2902,AA$2,0)&lt;&gt;K998,"Beam Revised","")</f>
        <v>#N/A</v>
      </c>
      <c r="AB998" s="7" t="e">
        <f>IF(VLOOKUP($A998,'Concrete Beam Schedule'!$A$2:$Q$2902,AB$2,0)&lt;&gt;L998,"Beam Revised","")</f>
        <v>#N/A</v>
      </c>
      <c r="AC998" s="7" t="e">
        <f>IF(VLOOKUP($A998,'Concrete Beam Schedule'!$A$2:$Q$2902,AC$2,0)&lt;&gt;M998,"Beam Revised","")</f>
        <v>#N/A</v>
      </c>
      <c r="AD998" s="7" t="e">
        <f>IF(VLOOKUP($A998,'Concrete Beam Schedule'!$A$2:$Q$2902,AD$2,0)&lt;&gt;N998,"Beam Revised","")</f>
        <v>#N/A</v>
      </c>
      <c r="AE998" s="7" t="e">
        <f>IF(VLOOKUP($A998,'Concrete Beam Schedule'!$A$2:$Q$2902,AE$2,0)&lt;&gt;O998,"Beam Revised","")</f>
        <v>#N/A</v>
      </c>
    </row>
    <row r="999" spans="17:31" ht="13.2" x14ac:dyDescent="0.25">
      <c r="Q999" s="7">
        <f t="shared" si="15"/>
        <v>0</v>
      </c>
      <c r="R999" s="7" t="e">
        <f>IF(VLOOKUP($A999,'Concrete Beam Schedule'!$A$2:$Q$2902,R$2,0)&lt;&gt;B999,VLOOKUP($A999,'Concrete Beam Schedule'!$A$2:$Q$2902,R$2,0),"")</f>
        <v>#N/A</v>
      </c>
      <c r="S999" s="7" t="e">
        <f>IF(VLOOKUP($A999,'Concrete Beam Schedule'!$A$2:$Q$2902,S$2,0)&lt;&gt;C999,VLOOKUP($A999,'Concrete Beam Schedule'!$A$2:$Q$2902,S$2,0),"")</f>
        <v>#N/A</v>
      </c>
      <c r="T999" s="7" t="e">
        <f>IF(VLOOKUP($A999,'Concrete Beam Schedule'!$A$2:$Q$2902,T$2,0)&lt;&gt;D999,"Beam Revised","")</f>
        <v>#N/A</v>
      </c>
      <c r="U999" s="7" t="e">
        <f>IF(VLOOKUP($A999,'Concrete Beam Schedule'!$A$2:$Q$2902,U$2,0)&lt;&gt;E999,"Beam Revised","")</f>
        <v>#N/A</v>
      </c>
      <c r="V999" s="7" t="e">
        <f>IF(VLOOKUP($A999,'Concrete Beam Schedule'!$A$2:$Q$2902,V$2,0)&lt;&gt;F999,"Beam Revised","")</f>
        <v>#N/A</v>
      </c>
      <c r="W999" s="7" t="e">
        <f>IF(VLOOKUP($A999,'Concrete Beam Schedule'!$A$2:$Q$2902,W$2,0)&lt;&gt;G999,"Beam Revised","")</f>
        <v>#N/A</v>
      </c>
      <c r="X999" s="7" t="e">
        <f>IF(VLOOKUP($A999,'Concrete Beam Schedule'!$A$2:$Q$2902,X$2,0)&lt;&gt;H999,"Beam Revised","")</f>
        <v>#N/A</v>
      </c>
      <c r="Y999" s="7" t="e">
        <f>IF(VLOOKUP($A999,'Concrete Beam Schedule'!$A$2:$Q$2902,Y$2,0)&lt;&gt;I999,"Beam Revised","")</f>
        <v>#N/A</v>
      </c>
      <c r="Z999" s="7" t="e">
        <f>IF(VLOOKUP($A999,'Concrete Beam Schedule'!$A$2:$Q$2902,Z$2,0)&lt;&gt;J999,"Beam Revised","")</f>
        <v>#N/A</v>
      </c>
      <c r="AA999" s="7" t="e">
        <f>IF(VLOOKUP($A999,'Concrete Beam Schedule'!$A$2:$Q$2902,AA$2,0)&lt;&gt;K999,"Beam Revised","")</f>
        <v>#N/A</v>
      </c>
      <c r="AB999" s="7" t="e">
        <f>IF(VLOOKUP($A999,'Concrete Beam Schedule'!$A$2:$Q$2902,AB$2,0)&lt;&gt;L999,"Beam Revised","")</f>
        <v>#N/A</v>
      </c>
      <c r="AC999" s="7" t="e">
        <f>IF(VLOOKUP($A999,'Concrete Beam Schedule'!$A$2:$Q$2902,AC$2,0)&lt;&gt;M999,"Beam Revised","")</f>
        <v>#N/A</v>
      </c>
      <c r="AD999" s="7" t="e">
        <f>IF(VLOOKUP($A999,'Concrete Beam Schedule'!$A$2:$Q$2902,AD$2,0)&lt;&gt;N999,"Beam Revised","")</f>
        <v>#N/A</v>
      </c>
      <c r="AE999" s="7" t="e">
        <f>IF(VLOOKUP($A999,'Concrete Beam Schedule'!$A$2:$Q$2902,AE$2,0)&lt;&gt;O999,"Beam Revised","")</f>
        <v>#N/A</v>
      </c>
    </row>
    <row r="1000" spans="17:31" ht="13.2" x14ac:dyDescent="0.25">
      <c r="Q1000" s="7">
        <f t="shared" si="15"/>
        <v>0</v>
      </c>
      <c r="R1000" s="7" t="e">
        <f>IF(VLOOKUP($A1000,'Concrete Beam Schedule'!$A$2:$Q$2902,R$2,0)&lt;&gt;B1000,VLOOKUP($A1000,'Concrete Beam Schedule'!$A$2:$Q$2902,R$2,0),"")</f>
        <v>#N/A</v>
      </c>
      <c r="S1000" s="7" t="e">
        <f>IF(VLOOKUP($A1000,'Concrete Beam Schedule'!$A$2:$Q$2902,S$2,0)&lt;&gt;C1000,VLOOKUP($A1000,'Concrete Beam Schedule'!$A$2:$Q$2902,S$2,0),"")</f>
        <v>#N/A</v>
      </c>
      <c r="T1000" s="7" t="e">
        <f>IF(VLOOKUP($A1000,'Concrete Beam Schedule'!$A$2:$Q$2902,T$2,0)&lt;&gt;D1000,"Beam Revised","")</f>
        <v>#N/A</v>
      </c>
      <c r="U1000" s="7" t="e">
        <f>IF(VLOOKUP($A1000,'Concrete Beam Schedule'!$A$2:$Q$2902,U$2,0)&lt;&gt;E1000,"Beam Revised","")</f>
        <v>#N/A</v>
      </c>
      <c r="V1000" s="7" t="e">
        <f>IF(VLOOKUP($A1000,'Concrete Beam Schedule'!$A$2:$Q$2902,V$2,0)&lt;&gt;F1000,"Beam Revised","")</f>
        <v>#N/A</v>
      </c>
      <c r="W1000" s="7" t="e">
        <f>IF(VLOOKUP($A1000,'Concrete Beam Schedule'!$A$2:$Q$2902,W$2,0)&lt;&gt;G1000,"Beam Revised","")</f>
        <v>#N/A</v>
      </c>
      <c r="X1000" s="7" t="e">
        <f>IF(VLOOKUP($A1000,'Concrete Beam Schedule'!$A$2:$Q$2902,X$2,0)&lt;&gt;H1000,"Beam Revised","")</f>
        <v>#N/A</v>
      </c>
      <c r="Y1000" s="7" t="e">
        <f>IF(VLOOKUP($A1000,'Concrete Beam Schedule'!$A$2:$Q$2902,Y$2,0)&lt;&gt;I1000,"Beam Revised","")</f>
        <v>#N/A</v>
      </c>
      <c r="Z1000" s="7" t="e">
        <f>IF(VLOOKUP($A1000,'Concrete Beam Schedule'!$A$2:$Q$2902,Z$2,0)&lt;&gt;J1000,"Beam Revised","")</f>
        <v>#N/A</v>
      </c>
      <c r="AA1000" s="7" t="e">
        <f>IF(VLOOKUP($A1000,'Concrete Beam Schedule'!$A$2:$Q$2902,AA$2,0)&lt;&gt;K1000,"Beam Revised","")</f>
        <v>#N/A</v>
      </c>
      <c r="AB1000" s="7" t="e">
        <f>IF(VLOOKUP($A1000,'Concrete Beam Schedule'!$A$2:$Q$2902,AB$2,0)&lt;&gt;L1000,"Beam Revised","")</f>
        <v>#N/A</v>
      </c>
      <c r="AC1000" s="7" t="e">
        <f>IF(VLOOKUP($A1000,'Concrete Beam Schedule'!$A$2:$Q$2902,AC$2,0)&lt;&gt;M1000,"Beam Revised","")</f>
        <v>#N/A</v>
      </c>
      <c r="AD1000" s="7" t="e">
        <f>IF(VLOOKUP($A1000,'Concrete Beam Schedule'!$A$2:$Q$2902,AD$2,0)&lt;&gt;N1000,"Beam Revised","")</f>
        <v>#N/A</v>
      </c>
      <c r="AE1000" s="7" t="e">
        <f>IF(VLOOKUP($A1000,'Concrete Beam Schedule'!$A$2:$Q$2902,AE$2,0)&lt;&gt;O1000,"Beam Revised","")</f>
        <v>#N/A</v>
      </c>
    </row>
    <row r="1001" spans="17:31" ht="13.2" x14ac:dyDescent="0.25">
      <c r="Q1001" s="7">
        <f t="shared" si="15"/>
        <v>0</v>
      </c>
      <c r="R1001" s="7" t="e">
        <f>IF(VLOOKUP($A1001,'Concrete Beam Schedule'!$A$2:$Q$2902,R$2,0)&lt;&gt;B1001,VLOOKUP($A1001,'Concrete Beam Schedule'!$A$2:$Q$2902,R$2,0),"")</f>
        <v>#N/A</v>
      </c>
      <c r="S1001" s="7" t="e">
        <f>IF(VLOOKUP($A1001,'Concrete Beam Schedule'!$A$2:$Q$2902,S$2,0)&lt;&gt;C1001,VLOOKUP($A1001,'Concrete Beam Schedule'!$A$2:$Q$2902,S$2,0),"")</f>
        <v>#N/A</v>
      </c>
      <c r="T1001" s="7" t="e">
        <f>IF(VLOOKUP($A1001,'Concrete Beam Schedule'!$A$2:$Q$2902,T$2,0)&lt;&gt;D1001,"Beam Revised","")</f>
        <v>#N/A</v>
      </c>
      <c r="U1001" s="7" t="e">
        <f>IF(VLOOKUP($A1001,'Concrete Beam Schedule'!$A$2:$Q$2902,U$2,0)&lt;&gt;E1001,"Beam Revised","")</f>
        <v>#N/A</v>
      </c>
      <c r="V1001" s="7" t="e">
        <f>IF(VLOOKUP($A1001,'Concrete Beam Schedule'!$A$2:$Q$2902,V$2,0)&lt;&gt;F1001,"Beam Revised","")</f>
        <v>#N/A</v>
      </c>
      <c r="W1001" s="7" t="e">
        <f>IF(VLOOKUP($A1001,'Concrete Beam Schedule'!$A$2:$Q$2902,W$2,0)&lt;&gt;G1001,"Beam Revised","")</f>
        <v>#N/A</v>
      </c>
      <c r="X1001" s="7" t="e">
        <f>IF(VLOOKUP($A1001,'Concrete Beam Schedule'!$A$2:$Q$2902,X$2,0)&lt;&gt;H1001,"Beam Revised","")</f>
        <v>#N/A</v>
      </c>
      <c r="Y1001" s="7" t="e">
        <f>IF(VLOOKUP($A1001,'Concrete Beam Schedule'!$A$2:$Q$2902,Y$2,0)&lt;&gt;I1001,"Beam Revised","")</f>
        <v>#N/A</v>
      </c>
      <c r="Z1001" s="7" t="e">
        <f>IF(VLOOKUP($A1001,'Concrete Beam Schedule'!$A$2:$Q$2902,Z$2,0)&lt;&gt;J1001,"Beam Revised","")</f>
        <v>#N/A</v>
      </c>
      <c r="AA1001" s="7" t="e">
        <f>IF(VLOOKUP($A1001,'Concrete Beam Schedule'!$A$2:$Q$2902,AA$2,0)&lt;&gt;K1001,"Beam Revised","")</f>
        <v>#N/A</v>
      </c>
      <c r="AB1001" s="7" t="e">
        <f>IF(VLOOKUP($A1001,'Concrete Beam Schedule'!$A$2:$Q$2902,AB$2,0)&lt;&gt;L1001,"Beam Revised","")</f>
        <v>#N/A</v>
      </c>
      <c r="AC1001" s="7" t="e">
        <f>IF(VLOOKUP($A1001,'Concrete Beam Schedule'!$A$2:$Q$2902,AC$2,0)&lt;&gt;M1001,"Beam Revised","")</f>
        <v>#N/A</v>
      </c>
      <c r="AD1001" s="7" t="e">
        <f>IF(VLOOKUP($A1001,'Concrete Beam Schedule'!$A$2:$Q$2902,AD$2,0)&lt;&gt;N1001,"Beam Revised","")</f>
        <v>#N/A</v>
      </c>
      <c r="AE1001" s="7" t="e">
        <f>IF(VLOOKUP($A1001,'Concrete Beam Schedule'!$A$2:$Q$2902,AE$2,0)&lt;&gt;O1001,"Beam Revised","")</f>
        <v>#N/A</v>
      </c>
    </row>
    <row r="1002" spans="17:31" ht="13.2" x14ac:dyDescent="0.25">
      <c r="Q1002" s="7">
        <f t="shared" si="15"/>
        <v>0</v>
      </c>
      <c r="R1002" s="7" t="e">
        <f>IF(VLOOKUP($A1002,'Concrete Beam Schedule'!$A$2:$Q$2902,R$2,0)&lt;&gt;B1002,VLOOKUP($A1002,'Concrete Beam Schedule'!$A$2:$Q$2902,R$2,0),"")</f>
        <v>#N/A</v>
      </c>
      <c r="S1002" s="7" t="e">
        <f>IF(VLOOKUP($A1002,'Concrete Beam Schedule'!$A$2:$Q$2902,S$2,0)&lt;&gt;C1002,VLOOKUP($A1002,'Concrete Beam Schedule'!$A$2:$Q$2902,S$2,0),"")</f>
        <v>#N/A</v>
      </c>
      <c r="T1002" s="7" t="e">
        <f>IF(VLOOKUP($A1002,'Concrete Beam Schedule'!$A$2:$Q$2902,T$2,0)&lt;&gt;D1002,"Beam Revised","")</f>
        <v>#N/A</v>
      </c>
      <c r="U1002" s="7" t="e">
        <f>IF(VLOOKUP($A1002,'Concrete Beam Schedule'!$A$2:$Q$2902,U$2,0)&lt;&gt;E1002,"Beam Revised","")</f>
        <v>#N/A</v>
      </c>
      <c r="V1002" s="7" t="e">
        <f>IF(VLOOKUP($A1002,'Concrete Beam Schedule'!$A$2:$Q$2902,V$2,0)&lt;&gt;F1002,"Beam Revised","")</f>
        <v>#N/A</v>
      </c>
      <c r="W1002" s="7" t="e">
        <f>IF(VLOOKUP($A1002,'Concrete Beam Schedule'!$A$2:$Q$2902,W$2,0)&lt;&gt;G1002,"Beam Revised","")</f>
        <v>#N/A</v>
      </c>
      <c r="X1002" s="7" t="e">
        <f>IF(VLOOKUP($A1002,'Concrete Beam Schedule'!$A$2:$Q$2902,X$2,0)&lt;&gt;H1002,"Beam Revised","")</f>
        <v>#N/A</v>
      </c>
      <c r="Y1002" s="7" t="e">
        <f>IF(VLOOKUP($A1002,'Concrete Beam Schedule'!$A$2:$Q$2902,Y$2,0)&lt;&gt;I1002,"Beam Revised","")</f>
        <v>#N/A</v>
      </c>
      <c r="Z1002" s="7" t="e">
        <f>IF(VLOOKUP($A1002,'Concrete Beam Schedule'!$A$2:$Q$2902,Z$2,0)&lt;&gt;J1002,"Beam Revised","")</f>
        <v>#N/A</v>
      </c>
      <c r="AA1002" s="7" t="e">
        <f>IF(VLOOKUP($A1002,'Concrete Beam Schedule'!$A$2:$Q$2902,AA$2,0)&lt;&gt;K1002,"Beam Revised","")</f>
        <v>#N/A</v>
      </c>
      <c r="AB1002" s="7" t="e">
        <f>IF(VLOOKUP($A1002,'Concrete Beam Schedule'!$A$2:$Q$2902,AB$2,0)&lt;&gt;L1002,"Beam Revised","")</f>
        <v>#N/A</v>
      </c>
      <c r="AC1002" s="7" t="e">
        <f>IF(VLOOKUP($A1002,'Concrete Beam Schedule'!$A$2:$Q$2902,AC$2,0)&lt;&gt;M1002,"Beam Revised","")</f>
        <v>#N/A</v>
      </c>
      <c r="AD1002" s="7" t="e">
        <f>IF(VLOOKUP($A1002,'Concrete Beam Schedule'!$A$2:$Q$2902,AD$2,0)&lt;&gt;N1002,"Beam Revised","")</f>
        <v>#N/A</v>
      </c>
      <c r="AE1002" s="7" t="e">
        <f>IF(VLOOKUP($A1002,'Concrete Beam Schedule'!$A$2:$Q$2902,AE$2,0)&lt;&gt;O1002,"Beam Revised","")</f>
        <v>#N/A</v>
      </c>
    </row>
    <row r="1003" spans="17:31" ht="13.2" x14ac:dyDescent="0.25">
      <c r="Q1003" s="7">
        <f t="shared" si="15"/>
        <v>0</v>
      </c>
      <c r="R1003" s="7" t="e">
        <f>IF(VLOOKUP($A1003,'Concrete Beam Schedule'!$A$2:$Q$2902,R$2,0)&lt;&gt;B1003,VLOOKUP($A1003,'Concrete Beam Schedule'!$A$2:$Q$2902,R$2,0),"")</f>
        <v>#N/A</v>
      </c>
      <c r="S1003" s="7" t="e">
        <f>IF(VLOOKUP($A1003,'Concrete Beam Schedule'!$A$2:$Q$2902,S$2,0)&lt;&gt;C1003,VLOOKUP($A1003,'Concrete Beam Schedule'!$A$2:$Q$2902,S$2,0),"")</f>
        <v>#N/A</v>
      </c>
      <c r="T1003" s="7" t="e">
        <f>IF(VLOOKUP($A1003,'Concrete Beam Schedule'!$A$2:$Q$2902,T$2,0)&lt;&gt;D1003,"Beam Revised","")</f>
        <v>#N/A</v>
      </c>
      <c r="U1003" s="7" t="e">
        <f>IF(VLOOKUP($A1003,'Concrete Beam Schedule'!$A$2:$Q$2902,U$2,0)&lt;&gt;E1003,"Beam Revised","")</f>
        <v>#N/A</v>
      </c>
      <c r="V1003" s="7" t="e">
        <f>IF(VLOOKUP($A1003,'Concrete Beam Schedule'!$A$2:$Q$2902,V$2,0)&lt;&gt;F1003,"Beam Revised","")</f>
        <v>#N/A</v>
      </c>
      <c r="W1003" s="7" t="e">
        <f>IF(VLOOKUP($A1003,'Concrete Beam Schedule'!$A$2:$Q$2902,W$2,0)&lt;&gt;G1003,"Beam Revised","")</f>
        <v>#N/A</v>
      </c>
      <c r="X1003" s="7" t="e">
        <f>IF(VLOOKUP($A1003,'Concrete Beam Schedule'!$A$2:$Q$2902,X$2,0)&lt;&gt;H1003,"Beam Revised","")</f>
        <v>#N/A</v>
      </c>
      <c r="Y1003" s="7" t="e">
        <f>IF(VLOOKUP($A1003,'Concrete Beam Schedule'!$A$2:$Q$2902,Y$2,0)&lt;&gt;I1003,"Beam Revised","")</f>
        <v>#N/A</v>
      </c>
      <c r="Z1003" s="7" t="e">
        <f>IF(VLOOKUP($A1003,'Concrete Beam Schedule'!$A$2:$Q$2902,Z$2,0)&lt;&gt;J1003,"Beam Revised","")</f>
        <v>#N/A</v>
      </c>
      <c r="AA1003" s="7" t="e">
        <f>IF(VLOOKUP($A1003,'Concrete Beam Schedule'!$A$2:$Q$2902,AA$2,0)&lt;&gt;K1003,"Beam Revised","")</f>
        <v>#N/A</v>
      </c>
      <c r="AB1003" s="7" t="e">
        <f>IF(VLOOKUP($A1003,'Concrete Beam Schedule'!$A$2:$Q$2902,AB$2,0)&lt;&gt;L1003,"Beam Revised","")</f>
        <v>#N/A</v>
      </c>
      <c r="AC1003" s="7" t="e">
        <f>IF(VLOOKUP($A1003,'Concrete Beam Schedule'!$A$2:$Q$2902,AC$2,0)&lt;&gt;M1003,"Beam Revised","")</f>
        <v>#N/A</v>
      </c>
      <c r="AD1003" s="7" t="e">
        <f>IF(VLOOKUP($A1003,'Concrete Beam Schedule'!$A$2:$Q$2902,AD$2,0)&lt;&gt;N1003,"Beam Revised","")</f>
        <v>#N/A</v>
      </c>
      <c r="AE1003" s="7" t="e">
        <f>IF(VLOOKUP($A1003,'Concrete Beam Schedule'!$A$2:$Q$2902,AE$2,0)&lt;&gt;O1003,"Beam Revised","")</f>
        <v>#N/A</v>
      </c>
    </row>
    <row r="1004" spans="17:31" ht="13.2" x14ac:dyDescent="0.25">
      <c r="Q1004" s="7">
        <f t="shared" si="15"/>
        <v>0</v>
      </c>
      <c r="R1004" s="7" t="e">
        <f>IF(VLOOKUP($A1004,'Concrete Beam Schedule'!$A$2:$Q$2902,R$2,0)&lt;&gt;B1004,VLOOKUP($A1004,'Concrete Beam Schedule'!$A$2:$Q$2902,R$2,0),"")</f>
        <v>#N/A</v>
      </c>
      <c r="S1004" s="7" t="e">
        <f>IF(VLOOKUP($A1004,'Concrete Beam Schedule'!$A$2:$Q$2902,S$2,0)&lt;&gt;C1004,VLOOKUP($A1004,'Concrete Beam Schedule'!$A$2:$Q$2902,S$2,0),"")</f>
        <v>#N/A</v>
      </c>
      <c r="T1004" s="7" t="e">
        <f>IF(VLOOKUP($A1004,'Concrete Beam Schedule'!$A$2:$Q$2902,T$2,0)&lt;&gt;D1004,"Beam Revised","")</f>
        <v>#N/A</v>
      </c>
      <c r="U1004" s="7" t="e">
        <f>IF(VLOOKUP($A1004,'Concrete Beam Schedule'!$A$2:$Q$2902,U$2,0)&lt;&gt;E1004,"Beam Revised","")</f>
        <v>#N/A</v>
      </c>
      <c r="V1004" s="7" t="e">
        <f>IF(VLOOKUP($A1004,'Concrete Beam Schedule'!$A$2:$Q$2902,V$2,0)&lt;&gt;F1004,"Beam Revised","")</f>
        <v>#N/A</v>
      </c>
      <c r="W1004" s="7" t="e">
        <f>IF(VLOOKUP($A1004,'Concrete Beam Schedule'!$A$2:$Q$2902,W$2,0)&lt;&gt;G1004,"Beam Revised","")</f>
        <v>#N/A</v>
      </c>
      <c r="X1004" s="7" t="e">
        <f>IF(VLOOKUP($A1004,'Concrete Beam Schedule'!$A$2:$Q$2902,X$2,0)&lt;&gt;H1004,"Beam Revised","")</f>
        <v>#N/A</v>
      </c>
      <c r="Y1004" s="7" t="e">
        <f>IF(VLOOKUP($A1004,'Concrete Beam Schedule'!$A$2:$Q$2902,Y$2,0)&lt;&gt;I1004,"Beam Revised","")</f>
        <v>#N/A</v>
      </c>
      <c r="Z1004" s="7" t="e">
        <f>IF(VLOOKUP($A1004,'Concrete Beam Schedule'!$A$2:$Q$2902,Z$2,0)&lt;&gt;J1004,"Beam Revised","")</f>
        <v>#N/A</v>
      </c>
      <c r="AA1004" s="7" t="e">
        <f>IF(VLOOKUP($A1004,'Concrete Beam Schedule'!$A$2:$Q$2902,AA$2,0)&lt;&gt;K1004,"Beam Revised","")</f>
        <v>#N/A</v>
      </c>
      <c r="AB1004" s="7" t="e">
        <f>IF(VLOOKUP($A1004,'Concrete Beam Schedule'!$A$2:$Q$2902,AB$2,0)&lt;&gt;L1004,"Beam Revised","")</f>
        <v>#N/A</v>
      </c>
      <c r="AC1004" s="7" t="e">
        <f>IF(VLOOKUP($A1004,'Concrete Beam Schedule'!$A$2:$Q$2902,AC$2,0)&lt;&gt;M1004,"Beam Revised","")</f>
        <v>#N/A</v>
      </c>
      <c r="AD1004" s="7" t="e">
        <f>IF(VLOOKUP($A1004,'Concrete Beam Schedule'!$A$2:$Q$2902,AD$2,0)&lt;&gt;N1004,"Beam Revised","")</f>
        <v>#N/A</v>
      </c>
      <c r="AE1004" s="7" t="e">
        <f>IF(VLOOKUP($A1004,'Concrete Beam Schedule'!$A$2:$Q$2902,AE$2,0)&lt;&gt;O1004,"Beam Revised","")</f>
        <v>#N/A</v>
      </c>
    </row>
    <row r="1005" spans="17:31" ht="13.2" x14ac:dyDescent="0.25">
      <c r="Q1005" s="7">
        <f t="shared" si="15"/>
        <v>0</v>
      </c>
      <c r="R1005" s="7" t="e">
        <f>IF(VLOOKUP($A1005,'Concrete Beam Schedule'!$A$2:$Q$2902,R$2,0)&lt;&gt;B1005,VLOOKUP($A1005,'Concrete Beam Schedule'!$A$2:$Q$2902,R$2,0),"")</f>
        <v>#N/A</v>
      </c>
      <c r="S1005" s="7" t="e">
        <f>IF(VLOOKUP($A1005,'Concrete Beam Schedule'!$A$2:$Q$2902,S$2,0)&lt;&gt;C1005,VLOOKUP($A1005,'Concrete Beam Schedule'!$A$2:$Q$2902,S$2,0),"")</f>
        <v>#N/A</v>
      </c>
      <c r="T1005" s="7" t="e">
        <f>IF(VLOOKUP($A1005,'Concrete Beam Schedule'!$A$2:$Q$2902,T$2,0)&lt;&gt;D1005,"Beam Revised","")</f>
        <v>#N/A</v>
      </c>
      <c r="U1005" s="7" t="e">
        <f>IF(VLOOKUP($A1005,'Concrete Beam Schedule'!$A$2:$Q$2902,U$2,0)&lt;&gt;E1005,"Beam Revised","")</f>
        <v>#N/A</v>
      </c>
      <c r="V1005" s="7" t="e">
        <f>IF(VLOOKUP($A1005,'Concrete Beam Schedule'!$A$2:$Q$2902,V$2,0)&lt;&gt;F1005,"Beam Revised","")</f>
        <v>#N/A</v>
      </c>
      <c r="W1005" s="7" t="e">
        <f>IF(VLOOKUP($A1005,'Concrete Beam Schedule'!$A$2:$Q$2902,W$2,0)&lt;&gt;G1005,"Beam Revised","")</f>
        <v>#N/A</v>
      </c>
      <c r="X1005" s="7" t="e">
        <f>IF(VLOOKUP($A1005,'Concrete Beam Schedule'!$A$2:$Q$2902,X$2,0)&lt;&gt;H1005,"Beam Revised","")</f>
        <v>#N/A</v>
      </c>
      <c r="Y1005" s="7" t="e">
        <f>IF(VLOOKUP($A1005,'Concrete Beam Schedule'!$A$2:$Q$2902,Y$2,0)&lt;&gt;I1005,"Beam Revised","")</f>
        <v>#N/A</v>
      </c>
      <c r="Z1005" s="7" t="e">
        <f>IF(VLOOKUP($A1005,'Concrete Beam Schedule'!$A$2:$Q$2902,Z$2,0)&lt;&gt;J1005,"Beam Revised","")</f>
        <v>#N/A</v>
      </c>
      <c r="AA1005" s="7" t="e">
        <f>IF(VLOOKUP($A1005,'Concrete Beam Schedule'!$A$2:$Q$2902,AA$2,0)&lt;&gt;K1005,"Beam Revised","")</f>
        <v>#N/A</v>
      </c>
      <c r="AB1005" s="7" t="e">
        <f>IF(VLOOKUP($A1005,'Concrete Beam Schedule'!$A$2:$Q$2902,AB$2,0)&lt;&gt;L1005,"Beam Revised","")</f>
        <v>#N/A</v>
      </c>
      <c r="AC1005" s="7" t="e">
        <f>IF(VLOOKUP($A1005,'Concrete Beam Schedule'!$A$2:$Q$2902,AC$2,0)&lt;&gt;M1005,"Beam Revised","")</f>
        <v>#N/A</v>
      </c>
      <c r="AD1005" s="7" t="e">
        <f>IF(VLOOKUP($A1005,'Concrete Beam Schedule'!$A$2:$Q$2902,AD$2,0)&lt;&gt;N1005,"Beam Revised","")</f>
        <v>#N/A</v>
      </c>
      <c r="AE1005" s="7" t="e">
        <f>IF(VLOOKUP($A1005,'Concrete Beam Schedule'!$A$2:$Q$2902,AE$2,0)&lt;&gt;O1005,"Beam Revised","")</f>
        <v>#N/A</v>
      </c>
    </row>
    <row r="1006" spans="17:31" ht="13.2" x14ac:dyDescent="0.25">
      <c r="Q1006" s="7">
        <f t="shared" si="15"/>
        <v>0</v>
      </c>
      <c r="R1006" s="7" t="e">
        <f>IF(VLOOKUP($A1006,'Concrete Beam Schedule'!$A$2:$Q$2902,R$2,0)&lt;&gt;B1006,VLOOKUP($A1006,'Concrete Beam Schedule'!$A$2:$Q$2902,R$2,0),"")</f>
        <v>#N/A</v>
      </c>
      <c r="S1006" s="7" t="e">
        <f>IF(VLOOKUP($A1006,'Concrete Beam Schedule'!$A$2:$Q$2902,S$2,0)&lt;&gt;C1006,VLOOKUP($A1006,'Concrete Beam Schedule'!$A$2:$Q$2902,S$2,0),"")</f>
        <v>#N/A</v>
      </c>
      <c r="T1006" s="7" t="e">
        <f>IF(VLOOKUP($A1006,'Concrete Beam Schedule'!$A$2:$Q$2902,T$2,0)&lt;&gt;D1006,"Beam Revised","")</f>
        <v>#N/A</v>
      </c>
      <c r="U1006" s="7" t="e">
        <f>IF(VLOOKUP($A1006,'Concrete Beam Schedule'!$A$2:$Q$2902,U$2,0)&lt;&gt;E1006,"Beam Revised","")</f>
        <v>#N/A</v>
      </c>
      <c r="V1006" s="7" t="e">
        <f>IF(VLOOKUP($A1006,'Concrete Beam Schedule'!$A$2:$Q$2902,V$2,0)&lt;&gt;F1006,"Beam Revised","")</f>
        <v>#N/A</v>
      </c>
      <c r="W1006" s="7" t="e">
        <f>IF(VLOOKUP($A1006,'Concrete Beam Schedule'!$A$2:$Q$2902,W$2,0)&lt;&gt;G1006,"Beam Revised","")</f>
        <v>#N/A</v>
      </c>
      <c r="X1006" s="7" t="e">
        <f>IF(VLOOKUP($A1006,'Concrete Beam Schedule'!$A$2:$Q$2902,X$2,0)&lt;&gt;H1006,"Beam Revised","")</f>
        <v>#N/A</v>
      </c>
      <c r="Y1006" s="7" t="e">
        <f>IF(VLOOKUP($A1006,'Concrete Beam Schedule'!$A$2:$Q$2902,Y$2,0)&lt;&gt;I1006,"Beam Revised","")</f>
        <v>#N/A</v>
      </c>
      <c r="Z1006" s="7" t="e">
        <f>IF(VLOOKUP($A1006,'Concrete Beam Schedule'!$A$2:$Q$2902,Z$2,0)&lt;&gt;J1006,"Beam Revised","")</f>
        <v>#N/A</v>
      </c>
      <c r="AA1006" s="7" t="e">
        <f>IF(VLOOKUP($A1006,'Concrete Beam Schedule'!$A$2:$Q$2902,AA$2,0)&lt;&gt;K1006,"Beam Revised","")</f>
        <v>#N/A</v>
      </c>
      <c r="AB1006" s="7" t="e">
        <f>IF(VLOOKUP($A1006,'Concrete Beam Schedule'!$A$2:$Q$2902,AB$2,0)&lt;&gt;L1006,"Beam Revised","")</f>
        <v>#N/A</v>
      </c>
      <c r="AC1006" s="7" t="e">
        <f>IF(VLOOKUP($A1006,'Concrete Beam Schedule'!$A$2:$Q$2902,AC$2,0)&lt;&gt;M1006,"Beam Revised","")</f>
        <v>#N/A</v>
      </c>
      <c r="AD1006" s="7" t="e">
        <f>IF(VLOOKUP($A1006,'Concrete Beam Schedule'!$A$2:$Q$2902,AD$2,0)&lt;&gt;N1006,"Beam Revised","")</f>
        <v>#N/A</v>
      </c>
      <c r="AE1006" s="7" t="e">
        <f>IF(VLOOKUP($A1006,'Concrete Beam Schedule'!$A$2:$Q$2902,AE$2,0)&lt;&gt;O1006,"Beam Revised","")</f>
        <v>#N/A</v>
      </c>
    </row>
    <row r="1007" spans="17:31" ht="13.2" x14ac:dyDescent="0.25">
      <c r="Q1007" s="7">
        <f t="shared" si="15"/>
        <v>0</v>
      </c>
      <c r="R1007" s="7" t="e">
        <f>IF(VLOOKUP($A1007,'Concrete Beam Schedule'!$A$2:$Q$2902,R$2,0)&lt;&gt;B1007,VLOOKUP($A1007,'Concrete Beam Schedule'!$A$2:$Q$2902,R$2,0),"")</f>
        <v>#N/A</v>
      </c>
      <c r="S1007" s="7" t="e">
        <f>IF(VLOOKUP($A1007,'Concrete Beam Schedule'!$A$2:$Q$2902,S$2,0)&lt;&gt;C1007,VLOOKUP($A1007,'Concrete Beam Schedule'!$A$2:$Q$2902,S$2,0),"")</f>
        <v>#N/A</v>
      </c>
      <c r="T1007" s="7" t="e">
        <f>IF(VLOOKUP($A1007,'Concrete Beam Schedule'!$A$2:$Q$2902,T$2,0)&lt;&gt;D1007,"Beam Revised","")</f>
        <v>#N/A</v>
      </c>
      <c r="U1007" s="7" t="e">
        <f>IF(VLOOKUP($A1007,'Concrete Beam Schedule'!$A$2:$Q$2902,U$2,0)&lt;&gt;E1007,"Beam Revised","")</f>
        <v>#N/A</v>
      </c>
      <c r="V1007" s="7" t="e">
        <f>IF(VLOOKUP($A1007,'Concrete Beam Schedule'!$A$2:$Q$2902,V$2,0)&lt;&gt;F1007,"Beam Revised","")</f>
        <v>#N/A</v>
      </c>
      <c r="W1007" s="7" t="e">
        <f>IF(VLOOKUP($A1007,'Concrete Beam Schedule'!$A$2:$Q$2902,W$2,0)&lt;&gt;G1007,"Beam Revised","")</f>
        <v>#N/A</v>
      </c>
      <c r="X1007" s="7" t="e">
        <f>IF(VLOOKUP($A1007,'Concrete Beam Schedule'!$A$2:$Q$2902,X$2,0)&lt;&gt;H1007,"Beam Revised","")</f>
        <v>#N/A</v>
      </c>
      <c r="Y1007" s="7" t="e">
        <f>IF(VLOOKUP($A1007,'Concrete Beam Schedule'!$A$2:$Q$2902,Y$2,0)&lt;&gt;I1007,"Beam Revised","")</f>
        <v>#N/A</v>
      </c>
      <c r="Z1007" s="7" t="e">
        <f>IF(VLOOKUP($A1007,'Concrete Beam Schedule'!$A$2:$Q$2902,Z$2,0)&lt;&gt;J1007,"Beam Revised","")</f>
        <v>#N/A</v>
      </c>
      <c r="AA1007" s="7" t="e">
        <f>IF(VLOOKUP($A1007,'Concrete Beam Schedule'!$A$2:$Q$2902,AA$2,0)&lt;&gt;K1007,"Beam Revised","")</f>
        <v>#N/A</v>
      </c>
      <c r="AB1007" s="7" t="e">
        <f>IF(VLOOKUP($A1007,'Concrete Beam Schedule'!$A$2:$Q$2902,AB$2,0)&lt;&gt;L1007,"Beam Revised","")</f>
        <v>#N/A</v>
      </c>
      <c r="AC1007" s="7" t="e">
        <f>IF(VLOOKUP($A1007,'Concrete Beam Schedule'!$A$2:$Q$2902,AC$2,0)&lt;&gt;M1007,"Beam Revised","")</f>
        <v>#N/A</v>
      </c>
      <c r="AD1007" s="7" t="e">
        <f>IF(VLOOKUP($A1007,'Concrete Beam Schedule'!$A$2:$Q$2902,AD$2,0)&lt;&gt;N1007,"Beam Revised","")</f>
        <v>#N/A</v>
      </c>
      <c r="AE1007" s="7" t="e">
        <f>IF(VLOOKUP($A1007,'Concrete Beam Schedule'!$A$2:$Q$2902,AE$2,0)&lt;&gt;O1007,"Beam Revised","")</f>
        <v>#N/A</v>
      </c>
    </row>
    <row r="1008" spans="17:31" ht="13.2" x14ac:dyDescent="0.25">
      <c r="Q1008" s="7">
        <f t="shared" si="15"/>
        <v>0</v>
      </c>
      <c r="R1008" s="7" t="e">
        <f>IF(VLOOKUP($A1008,'Concrete Beam Schedule'!$A$2:$Q$2902,R$2,0)&lt;&gt;B1008,VLOOKUP($A1008,'Concrete Beam Schedule'!$A$2:$Q$2902,R$2,0),"")</f>
        <v>#N/A</v>
      </c>
      <c r="S1008" s="7" t="e">
        <f>IF(VLOOKUP($A1008,'Concrete Beam Schedule'!$A$2:$Q$2902,S$2,0)&lt;&gt;C1008,VLOOKUP($A1008,'Concrete Beam Schedule'!$A$2:$Q$2902,S$2,0),"")</f>
        <v>#N/A</v>
      </c>
      <c r="T1008" s="7" t="e">
        <f>IF(VLOOKUP($A1008,'Concrete Beam Schedule'!$A$2:$Q$2902,T$2,0)&lt;&gt;D1008,"Beam Revised","")</f>
        <v>#N/A</v>
      </c>
      <c r="U1008" s="7" t="e">
        <f>IF(VLOOKUP($A1008,'Concrete Beam Schedule'!$A$2:$Q$2902,U$2,0)&lt;&gt;E1008,"Beam Revised","")</f>
        <v>#N/A</v>
      </c>
      <c r="V1008" s="7" t="e">
        <f>IF(VLOOKUP($A1008,'Concrete Beam Schedule'!$A$2:$Q$2902,V$2,0)&lt;&gt;F1008,"Beam Revised","")</f>
        <v>#N/A</v>
      </c>
      <c r="W1008" s="7" t="e">
        <f>IF(VLOOKUP($A1008,'Concrete Beam Schedule'!$A$2:$Q$2902,W$2,0)&lt;&gt;G1008,"Beam Revised","")</f>
        <v>#N/A</v>
      </c>
      <c r="X1008" s="7" t="e">
        <f>IF(VLOOKUP($A1008,'Concrete Beam Schedule'!$A$2:$Q$2902,X$2,0)&lt;&gt;H1008,"Beam Revised","")</f>
        <v>#N/A</v>
      </c>
      <c r="Y1008" s="7" t="e">
        <f>IF(VLOOKUP($A1008,'Concrete Beam Schedule'!$A$2:$Q$2902,Y$2,0)&lt;&gt;I1008,"Beam Revised","")</f>
        <v>#N/A</v>
      </c>
      <c r="Z1008" s="7" t="e">
        <f>IF(VLOOKUP($A1008,'Concrete Beam Schedule'!$A$2:$Q$2902,Z$2,0)&lt;&gt;J1008,"Beam Revised","")</f>
        <v>#N/A</v>
      </c>
      <c r="AA1008" s="7" t="e">
        <f>IF(VLOOKUP($A1008,'Concrete Beam Schedule'!$A$2:$Q$2902,AA$2,0)&lt;&gt;K1008,"Beam Revised","")</f>
        <v>#N/A</v>
      </c>
      <c r="AB1008" s="7" t="e">
        <f>IF(VLOOKUP($A1008,'Concrete Beam Schedule'!$A$2:$Q$2902,AB$2,0)&lt;&gt;L1008,"Beam Revised","")</f>
        <v>#N/A</v>
      </c>
      <c r="AC1008" s="7" t="e">
        <f>IF(VLOOKUP($A1008,'Concrete Beam Schedule'!$A$2:$Q$2902,AC$2,0)&lt;&gt;M1008,"Beam Revised","")</f>
        <v>#N/A</v>
      </c>
      <c r="AD1008" s="7" t="e">
        <f>IF(VLOOKUP($A1008,'Concrete Beam Schedule'!$A$2:$Q$2902,AD$2,0)&lt;&gt;N1008,"Beam Revised","")</f>
        <v>#N/A</v>
      </c>
      <c r="AE1008" s="7" t="e">
        <f>IF(VLOOKUP($A1008,'Concrete Beam Schedule'!$A$2:$Q$2902,AE$2,0)&lt;&gt;O1008,"Beam Revised","")</f>
        <v>#N/A</v>
      </c>
    </row>
    <row r="1009" spans="17:31" ht="13.2" x14ac:dyDescent="0.25">
      <c r="Q1009" s="7">
        <f t="shared" si="15"/>
        <v>0</v>
      </c>
      <c r="R1009" s="7" t="e">
        <f>IF(VLOOKUP($A1009,'Concrete Beam Schedule'!$A$2:$Q$2902,R$2,0)&lt;&gt;B1009,VLOOKUP($A1009,'Concrete Beam Schedule'!$A$2:$Q$2902,R$2,0),"")</f>
        <v>#N/A</v>
      </c>
      <c r="S1009" s="7" t="e">
        <f>IF(VLOOKUP($A1009,'Concrete Beam Schedule'!$A$2:$Q$2902,S$2,0)&lt;&gt;C1009,VLOOKUP($A1009,'Concrete Beam Schedule'!$A$2:$Q$2902,S$2,0),"")</f>
        <v>#N/A</v>
      </c>
      <c r="T1009" s="7" t="e">
        <f>IF(VLOOKUP($A1009,'Concrete Beam Schedule'!$A$2:$Q$2902,T$2,0)&lt;&gt;D1009,"Beam Revised","")</f>
        <v>#N/A</v>
      </c>
      <c r="U1009" s="7" t="e">
        <f>IF(VLOOKUP($A1009,'Concrete Beam Schedule'!$A$2:$Q$2902,U$2,0)&lt;&gt;E1009,"Beam Revised","")</f>
        <v>#N/A</v>
      </c>
      <c r="V1009" s="7" t="e">
        <f>IF(VLOOKUP($A1009,'Concrete Beam Schedule'!$A$2:$Q$2902,V$2,0)&lt;&gt;F1009,"Beam Revised","")</f>
        <v>#N/A</v>
      </c>
      <c r="W1009" s="7" t="e">
        <f>IF(VLOOKUP($A1009,'Concrete Beam Schedule'!$A$2:$Q$2902,W$2,0)&lt;&gt;G1009,"Beam Revised","")</f>
        <v>#N/A</v>
      </c>
      <c r="X1009" s="7" t="e">
        <f>IF(VLOOKUP($A1009,'Concrete Beam Schedule'!$A$2:$Q$2902,X$2,0)&lt;&gt;H1009,"Beam Revised","")</f>
        <v>#N/A</v>
      </c>
      <c r="Y1009" s="7" t="e">
        <f>IF(VLOOKUP($A1009,'Concrete Beam Schedule'!$A$2:$Q$2902,Y$2,0)&lt;&gt;I1009,"Beam Revised","")</f>
        <v>#N/A</v>
      </c>
      <c r="Z1009" s="7" t="e">
        <f>IF(VLOOKUP($A1009,'Concrete Beam Schedule'!$A$2:$Q$2902,Z$2,0)&lt;&gt;J1009,"Beam Revised","")</f>
        <v>#N/A</v>
      </c>
      <c r="AA1009" s="7" t="e">
        <f>IF(VLOOKUP($A1009,'Concrete Beam Schedule'!$A$2:$Q$2902,AA$2,0)&lt;&gt;K1009,"Beam Revised","")</f>
        <v>#N/A</v>
      </c>
      <c r="AB1009" s="7" t="e">
        <f>IF(VLOOKUP($A1009,'Concrete Beam Schedule'!$A$2:$Q$2902,AB$2,0)&lt;&gt;L1009,"Beam Revised","")</f>
        <v>#N/A</v>
      </c>
      <c r="AC1009" s="7" t="e">
        <f>IF(VLOOKUP($A1009,'Concrete Beam Schedule'!$A$2:$Q$2902,AC$2,0)&lt;&gt;M1009,"Beam Revised","")</f>
        <v>#N/A</v>
      </c>
      <c r="AD1009" s="7" t="e">
        <f>IF(VLOOKUP($A1009,'Concrete Beam Schedule'!$A$2:$Q$2902,AD$2,0)&lt;&gt;N1009,"Beam Revised","")</f>
        <v>#N/A</v>
      </c>
      <c r="AE1009" s="7" t="e">
        <f>IF(VLOOKUP($A1009,'Concrete Beam Schedule'!$A$2:$Q$2902,AE$2,0)&lt;&gt;O1009,"Beam Revised","")</f>
        <v>#N/A</v>
      </c>
    </row>
    <row r="1010" spans="17:31" ht="13.2" x14ac:dyDescent="0.25">
      <c r="Q1010" s="7">
        <f t="shared" si="15"/>
        <v>0</v>
      </c>
      <c r="R1010" s="7" t="e">
        <f>IF(VLOOKUP($A1010,'Concrete Beam Schedule'!$A$2:$Q$2902,R$2,0)&lt;&gt;B1010,VLOOKUP($A1010,'Concrete Beam Schedule'!$A$2:$Q$2902,R$2,0),"")</f>
        <v>#N/A</v>
      </c>
      <c r="S1010" s="7" t="e">
        <f>IF(VLOOKUP($A1010,'Concrete Beam Schedule'!$A$2:$Q$2902,S$2,0)&lt;&gt;C1010,VLOOKUP($A1010,'Concrete Beam Schedule'!$A$2:$Q$2902,S$2,0),"")</f>
        <v>#N/A</v>
      </c>
      <c r="T1010" s="7" t="e">
        <f>IF(VLOOKUP($A1010,'Concrete Beam Schedule'!$A$2:$Q$2902,T$2,0)&lt;&gt;D1010,"Beam Revised","")</f>
        <v>#N/A</v>
      </c>
      <c r="U1010" s="7" t="e">
        <f>IF(VLOOKUP($A1010,'Concrete Beam Schedule'!$A$2:$Q$2902,U$2,0)&lt;&gt;E1010,"Beam Revised","")</f>
        <v>#N/A</v>
      </c>
      <c r="V1010" s="7" t="e">
        <f>IF(VLOOKUP($A1010,'Concrete Beam Schedule'!$A$2:$Q$2902,V$2,0)&lt;&gt;F1010,"Beam Revised","")</f>
        <v>#N/A</v>
      </c>
      <c r="W1010" s="7" t="e">
        <f>IF(VLOOKUP($A1010,'Concrete Beam Schedule'!$A$2:$Q$2902,W$2,0)&lt;&gt;G1010,"Beam Revised","")</f>
        <v>#N/A</v>
      </c>
      <c r="X1010" s="7" t="e">
        <f>IF(VLOOKUP($A1010,'Concrete Beam Schedule'!$A$2:$Q$2902,X$2,0)&lt;&gt;H1010,"Beam Revised","")</f>
        <v>#N/A</v>
      </c>
      <c r="Y1010" s="7" t="e">
        <f>IF(VLOOKUP($A1010,'Concrete Beam Schedule'!$A$2:$Q$2902,Y$2,0)&lt;&gt;I1010,"Beam Revised","")</f>
        <v>#N/A</v>
      </c>
      <c r="Z1010" s="7" t="e">
        <f>IF(VLOOKUP($A1010,'Concrete Beam Schedule'!$A$2:$Q$2902,Z$2,0)&lt;&gt;J1010,"Beam Revised","")</f>
        <v>#N/A</v>
      </c>
      <c r="AA1010" s="7" t="e">
        <f>IF(VLOOKUP($A1010,'Concrete Beam Schedule'!$A$2:$Q$2902,AA$2,0)&lt;&gt;K1010,"Beam Revised","")</f>
        <v>#N/A</v>
      </c>
      <c r="AB1010" s="7" t="e">
        <f>IF(VLOOKUP($A1010,'Concrete Beam Schedule'!$A$2:$Q$2902,AB$2,0)&lt;&gt;L1010,"Beam Revised","")</f>
        <v>#N/A</v>
      </c>
      <c r="AC1010" s="7" t="e">
        <f>IF(VLOOKUP($A1010,'Concrete Beam Schedule'!$A$2:$Q$2902,AC$2,0)&lt;&gt;M1010,"Beam Revised","")</f>
        <v>#N/A</v>
      </c>
      <c r="AD1010" s="7" t="e">
        <f>IF(VLOOKUP($A1010,'Concrete Beam Schedule'!$A$2:$Q$2902,AD$2,0)&lt;&gt;N1010,"Beam Revised","")</f>
        <v>#N/A</v>
      </c>
      <c r="AE1010" s="7" t="e">
        <f>IF(VLOOKUP($A1010,'Concrete Beam Schedule'!$A$2:$Q$2902,AE$2,0)&lt;&gt;O1010,"Beam Revised","")</f>
        <v>#N/A</v>
      </c>
    </row>
    <row r="1011" spans="17:31" ht="13.2" x14ac:dyDescent="0.25">
      <c r="Q1011" s="7">
        <f t="shared" si="15"/>
        <v>0</v>
      </c>
      <c r="R1011" s="7" t="e">
        <f>IF(VLOOKUP($A1011,'Concrete Beam Schedule'!$A$2:$Q$2902,R$2,0)&lt;&gt;B1011,VLOOKUP($A1011,'Concrete Beam Schedule'!$A$2:$Q$2902,R$2,0),"")</f>
        <v>#N/A</v>
      </c>
      <c r="S1011" s="7" t="e">
        <f>IF(VLOOKUP($A1011,'Concrete Beam Schedule'!$A$2:$Q$2902,S$2,0)&lt;&gt;C1011,VLOOKUP($A1011,'Concrete Beam Schedule'!$A$2:$Q$2902,S$2,0),"")</f>
        <v>#N/A</v>
      </c>
      <c r="T1011" s="7" t="e">
        <f>IF(VLOOKUP($A1011,'Concrete Beam Schedule'!$A$2:$Q$2902,T$2,0)&lt;&gt;D1011,"Beam Revised","")</f>
        <v>#N/A</v>
      </c>
      <c r="U1011" s="7" t="e">
        <f>IF(VLOOKUP($A1011,'Concrete Beam Schedule'!$A$2:$Q$2902,U$2,0)&lt;&gt;E1011,"Beam Revised","")</f>
        <v>#N/A</v>
      </c>
      <c r="V1011" s="7" t="e">
        <f>IF(VLOOKUP($A1011,'Concrete Beam Schedule'!$A$2:$Q$2902,V$2,0)&lt;&gt;F1011,"Beam Revised","")</f>
        <v>#N/A</v>
      </c>
      <c r="W1011" s="7" t="e">
        <f>IF(VLOOKUP($A1011,'Concrete Beam Schedule'!$A$2:$Q$2902,W$2,0)&lt;&gt;G1011,"Beam Revised","")</f>
        <v>#N/A</v>
      </c>
      <c r="X1011" s="7" t="e">
        <f>IF(VLOOKUP($A1011,'Concrete Beam Schedule'!$A$2:$Q$2902,X$2,0)&lt;&gt;H1011,"Beam Revised","")</f>
        <v>#N/A</v>
      </c>
      <c r="Y1011" s="7" t="e">
        <f>IF(VLOOKUP($A1011,'Concrete Beam Schedule'!$A$2:$Q$2902,Y$2,0)&lt;&gt;I1011,"Beam Revised","")</f>
        <v>#N/A</v>
      </c>
      <c r="Z1011" s="7" t="e">
        <f>IF(VLOOKUP($A1011,'Concrete Beam Schedule'!$A$2:$Q$2902,Z$2,0)&lt;&gt;J1011,"Beam Revised","")</f>
        <v>#N/A</v>
      </c>
      <c r="AA1011" s="7" t="e">
        <f>IF(VLOOKUP($A1011,'Concrete Beam Schedule'!$A$2:$Q$2902,AA$2,0)&lt;&gt;K1011,"Beam Revised","")</f>
        <v>#N/A</v>
      </c>
      <c r="AB1011" s="7" t="e">
        <f>IF(VLOOKUP($A1011,'Concrete Beam Schedule'!$A$2:$Q$2902,AB$2,0)&lt;&gt;L1011,"Beam Revised","")</f>
        <v>#N/A</v>
      </c>
      <c r="AC1011" s="7" t="e">
        <f>IF(VLOOKUP($A1011,'Concrete Beam Schedule'!$A$2:$Q$2902,AC$2,0)&lt;&gt;M1011,"Beam Revised","")</f>
        <v>#N/A</v>
      </c>
      <c r="AD1011" s="7" t="e">
        <f>IF(VLOOKUP($A1011,'Concrete Beam Schedule'!$A$2:$Q$2902,AD$2,0)&lt;&gt;N1011,"Beam Revised","")</f>
        <v>#N/A</v>
      </c>
      <c r="AE1011" s="7" t="e">
        <f>IF(VLOOKUP($A1011,'Concrete Beam Schedule'!$A$2:$Q$2902,AE$2,0)&lt;&gt;O1011,"Beam Revised","")</f>
        <v>#N/A</v>
      </c>
    </row>
    <row r="1012" spans="17:31" ht="13.2" x14ac:dyDescent="0.25">
      <c r="Q1012" s="7">
        <f t="shared" si="15"/>
        <v>0</v>
      </c>
      <c r="R1012" s="7" t="e">
        <f>IF(VLOOKUP($A1012,'Concrete Beam Schedule'!$A$2:$Q$2902,R$2,0)&lt;&gt;B1012,VLOOKUP($A1012,'Concrete Beam Schedule'!$A$2:$Q$2902,R$2,0),"")</f>
        <v>#N/A</v>
      </c>
      <c r="S1012" s="7" t="e">
        <f>IF(VLOOKUP($A1012,'Concrete Beam Schedule'!$A$2:$Q$2902,S$2,0)&lt;&gt;C1012,VLOOKUP($A1012,'Concrete Beam Schedule'!$A$2:$Q$2902,S$2,0),"")</f>
        <v>#N/A</v>
      </c>
      <c r="T1012" s="7" t="e">
        <f>IF(VLOOKUP($A1012,'Concrete Beam Schedule'!$A$2:$Q$2902,T$2,0)&lt;&gt;D1012,"Beam Revised","")</f>
        <v>#N/A</v>
      </c>
      <c r="U1012" s="7" t="e">
        <f>IF(VLOOKUP($A1012,'Concrete Beam Schedule'!$A$2:$Q$2902,U$2,0)&lt;&gt;E1012,"Beam Revised","")</f>
        <v>#N/A</v>
      </c>
      <c r="V1012" s="7" t="e">
        <f>IF(VLOOKUP($A1012,'Concrete Beam Schedule'!$A$2:$Q$2902,V$2,0)&lt;&gt;F1012,"Beam Revised","")</f>
        <v>#N/A</v>
      </c>
      <c r="W1012" s="7" t="e">
        <f>IF(VLOOKUP($A1012,'Concrete Beam Schedule'!$A$2:$Q$2902,W$2,0)&lt;&gt;G1012,"Beam Revised","")</f>
        <v>#N/A</v>
      </c>
      <c r="X1012" s="7" t="e">
        <f>IF(VLOOKUP($A1012,'Concrete Beam Schedule'!$A$2:$Q$2902,X$2,0)&lt;&gt;H1012,"Beam Revised","")</f>
        <v>#N/A</v>
      </c>
      <c r="Y1012" s="7" t="e">
        <f>IF(VLOOKUP($A1012,'Concrete Beam Schedule'!$A$2:$Q$2902,Y$2,0)&lt;&gt;I1012,"Beam Revised","")</f>
        <v>#N/A</v>
      </c>
      <c r="Z1012" s="7" t="e">
        <f>IF(VLOOKUP($A1012,'Concrete Beam Schedule'!$A$2:$Q$2902,Z$2,0)&lt;&gt;J1012,"Beam Revised","")</f>
        <v>#N/A</v>
      </c>
      <c r="AA1012" s="7" t="e">
        <f>IF(VLOOKUP($A1012,'Concrete Beam Schedule'!$A$2:$Q$2902,AA$2,0)&lt;&gt;K1012,"Beam Revised","")</f>
        <v>#N/A</v>
      </c>
      <c r="AB1012" s="7" t="e">
        <f>IF(VLOOKUP($A1012,'Concrete Beam Schedule'!$A$2:$Q$2902,AB$2,0)&lt;&gt;L1012,"Beam Revised","")</f>
        <v>#N/A</v>
      </c>
      <c r="AC1012" s="7" t="e">
        <f>IF(VLOOKUP($A1012,'Concrete Beam Schedule'!$A$2:$Q$2902,AC$2,0)&lt;&gt;M1012,"Beam Revised","")</f>
        <v>#N/A</v>
      </c>
      <c r="AD1012" s="7" t="e">
        <f>IF(VLOOKUP($A1012,'Concrete Beam Schedule'!$A$2:$Q$2902,AD$2,0)&lt;&gt;N1012,"Beam Revised","")</f>
        <v>#N/A</v>
      </c>
      <c r="AE1012" s="7" t="e">
        <f>IF(VLOOKUP($A1012,'Concrete Beam Schedule'!$A$2:$Q$2902,AE$2,0)&lt;&gt;O1012,"Beam Revised","")</f>
        <v>#N/A</v>
      </c>
    </row>
    <row r="1013" spans="17:31" ht="13.2" x14ac:dyDescent="0.25">
      <c r="Q1013" s="7">
        <f t="shared" si="15"/>
        <v>0</v>
      </c>
      <c r="R1013" s="7" t="e">
        <f>IF(VLOOKUP($A1013,'Concrete Beam Schedule'!$A$2:$Q$2902,R$2,0)&lt;&gt;B1013,VLOOKUP($A1013,'Concrete Beam Schedule'!$A$2:$Q$2902,R$2,0),"")</f>
        <v>#N/A</v>
      </c>
      <c r="S1013" s="7" t="e">
        <f>IF(VLOOKUP($A1013,'Concrete Beam Schedule'!$A$2:$Q$2902,S$2,0)&lt;&gt;C1013,VLOOKUP($A1013,'Concrete Beam Schedule'!$A$2:$Q$2902,S$2,0),"")</f>
        <v>#N/A</v>
      </c>
      <c r="T1013" s="7" t="e">
        <f>IF(VLOOKUP($A1013,'Concrete Beam Schedule'!$A$2:$Q$2902,T$2,0)&lt;&gt;D1013,"Beam Revised","")</f>
        <v>#N/A</v>
      </c>
      <c r="U1013" s="7" t="e">
        <f>IF(VLOOKUP($A1013,'Concrete Beam Schedule'!$A$2:$Q$2902,U$2,0)&lt;&gt;E1013,"Beam Revised","")</f>
        <v>#N/A</v>
      </c>
      <c r="V1013" s="7" t="e">
        <f>IF(VLOOKUP($A1013,'Concrete Beam Schedule'!$A$2:$Q$2902,V$2,0)&lt;&gt;F1013,"Beam Revised","")</f>
        <v>#N/A</v>
      </c>
      <c r="W1013" s="7" t="e">
        <f>IF(VLOOKUP($A1013,'Concrete Beam Schedule'!$A$2:$Q$2902,W$2,0)&lt;&gt;G1013,"Beam Revised","")</f>
        <v>#N/A</v>
      </c>
      <c r="X1013" s="7" t="e">
        <f>IF(VLOOKUP($A1013,'Concrete Beam Schedule'!$A$2:$Q$2902,X$2,0)&lt;&gt;H1013,"Beam Revised","")</f>
        <v>#N/A</v>
      </c>
      <c r="Y1013" s="7" t="e">
        <f>IF(VLOOKUP($A1013,'Concrete Beam Schedule'!$A$2:$Q$2902,Y$2,0)&lt;&gt;I1013,"Beam Revised","")</f>
        <v>#N/A</v>
      </c>
      <c r="Z1013" s="7" t="e">
        <f>IF(VLOOKUP($A1013,'Concrete Beam Schedule'!$A$2:$Q$2902,Z$2,0)&lt;&gt;J1013,"Beam Revised","")</f>
        <v>#N/A</v>
      </c>
      <c r="AA1013" s="7" t="e">
        <f>IF(VLOOKUP($A1013,'Concrete Beam Schedule'!$A$2:$Q$2902,AA$2,0)&lt;&gt;K1013,"Beam Revised","")</f>
        <v>#N/A</v>
      </c>
      <c r="AB1013" s="7" t="e">
        <f>IF(VLOOKUP($A1013,'Concrete Beam Schedule'!$A$2:$Q$2902,AB$2,0)&lt;&gt;L1013,"Beam Revised","")</f>
        <v>#N/A</v>
      </c>
      <c r="AC1013" s="7" t="e">
        <f>IF(VLOOKUP($A1013,'Concrete Beam Schedule'!$A$2:$Q$2902,AC$2,0)&lt;&gt;M1013,"Beam Revised","")</f>
        <v>#N/A</v>
      </c>
      <c r="AD1013" s="7" t="e">
        <f>IF(VLOOKUP($A1013,'Concrete Beam Schedule'!$A$2:$Q$2902,AD$2,0)&lt;&gt;N1013,"Beam Revised","")</f>
        <v>#N/A</v>
      </c>
      <c r="AE1013" s="7" t="e">
        <f>IF(VLOOKUP($A1013,'Concrete Beam Schedule'!$A$2:$Q$2902,AE$2,0)&lt;&gt;O1013,"Beam Revised","")</f>
        <v>#N/A</v>
      </c>
    </row>
    <row r="1014" spans="17:31" ht="13.2" x14ac:dyDescent="0.25">
      <c r="Q1014" s="7">
        <f t="shared" si="15"/>
        <v>0</v>
      </c>
      <c r="R1014" s="7" t="e">
        <f>IF(VLOOKUP($A1014,'Concrete Beam Schedule'!$A$2:$Q$2902,R$2,0)&lt;&gt;B1014,VLOOKUP($A1014,'Concrete Beam Schedule'!$A$2:$Q$2902,R$2,0),"")</f>
        <v>#N/A</v>
      </c>
      <c r="S1014" s="7" t="e">
        <f>IF(VLOOKUP($A1014,'Concrete Beam Schedule'!$A$2:$Q$2902,S$2,0)&lt;&gt;C1014,VLOOKUP($A1014,'Concrete Beam Schedule'!$A$2:$Q$2902,S$2,0),"")</f>
        <v>#N/A</v>
      </c>
      <c r="T1014" s="7" t="e">
        <f>IF(VLOOKUP($A1014,'Concrete Beam Schedule'!$A$2:$Q$2902,T$2,0)&lt;&gt;D1014,"Beam Revised","")</f>
        <v>#N/A</v>
      </c>
      <c r="U1014" s="7" t="e">
        <f>IF(VLOOKUP($A1014,'Concrete Beam Schedule'!$A$2:$Q$2902,U$2,0)&lt;&gt;E1014,"Beam Revised","")</f>
        <v>#N/A</v>
      </c>
      <c r="V1014" s="7" t="e">
        <f>IF(VLOOKUP($A1014,'Concrete Beam Schedule'!$A$2:$Q$2902,V$2,0)&lt;&gt;F1014,"Beam Revised","")</f>
        <v>#N/A</v>
      </c>
      <c r="W1014" s="7" t="e">
        <f>IF(VLOOKUP($A1014,'Concrete Beam Schedule'!$A$2:$Q$2902,W$2,0)&lt;&gt;G1014,"Beam Revised","")</f>
        <v>#N/A</v>
      </c>
      <c r="X1014" s="7" t="e">
        <f>IF(VLOOKUP($A1014,'Concrete Beam Schedule'!$A$2:$Q$2902,X$2,0)&lt;&gt;H1014,"Beam Revised","")</f>
        <v>#N/A</v>
      </c>
      <c r="Y1014" s="7" t="e">
        <f>IF(VLOOKUP($A1014,'Concrete Beam Schedule'!$A$2:$Q$2902,Y$2,0)&lt;&gt;I1014,"Beam Revised","")</f>
        <v>#N/A</v>
      </c>
      <c r="Z1014" s="7" t="e">
        <f>IF(VLOOKUP($A1014,'Concrete Beam Schedule'!$A$2:$Q$2902,Z$2,0)&lt;&gt;J1014,"Beam Revised","")</f>
        <v>#N/A</v>
      </c>
      <c r="AA1014" s="7" t="e">
        <f>IF(VLOOKUP($A1014,'Concrete Beam Schedule'!$A$2:$Q$2902,AA$2,0)&lt;&gt;K1014,"Beam Revised","")</f>
        <v>#N/A</v>
      </c>
      <c r="AB1014" s="7" t="e">
        <f>IF(VLOOKUP($A1014,'Concrete Beam Schedule'!$A$2:$Q$2902,AB$2,0)&lt;&gt;L1014,"Beam Revised","")</f>
        <v>#N/A</v>
      </c>
      <c r="AC1014" s="7" t="e">
        <f>IF(VLOOKUP($A1014,'Concrete Beam Schedule'!$A$2:$Q$2902,AC$2,0)&lt;&gt;M1014,"Beam Revised","")</f>
        <v>#N/A</v>
      </c>
      <c r="AD1014" s="7" t="e">
        <f>IF(VLOOKUP($A1014,'Concrete Beam Schedule'!$A$2:$Q$2902,AD$2,0)&lt;&gt;N1014,"Beam Revised","")</f>
        <v>#N/A</v>
      </c>
      <c r="AE1014" s="7" t="e">
        <f>IF(VLOOKUP($A1014,'Concrete Beam Schedule'!$A$2:$Q$2902,AE$2,0)&lt;&gt;O1014,"Beam Revised","")</f>
        <v>#N/A</v>
      </c>
    </row>
    <row r="1015" spans="17:31" ht="13.2" x14ac:dyDescent="0.25">
      <c r="Q1015" s="7">
        <f t="shared" si="15"/>
        <v>0</v>
      </c>
      <c r="R1015" s="7" t="e">
        <f>IF(VLOOKUP($A1015,'Concrete Beam Schedule'!$A$2:$Q$2902,R$2,0)&lt;&gt;B1015,VLOOKUP($A1015,'Concrete Beam Schedule'!$A$2:$Q$2902,R$2,0),"")</f>
        <v>#N/A</v>
      </c>
      <c r="S1015" s="7" t="e">
        <f>IF(VLOOKUP($A1015,'Concrete Beam Schedule'!$A$2:$Q$2902,S$2,0)&lt;&gt;C1015,VLOOKUP($A1015,'Concrete Beam Schedule'!$A$2:$Q$2902,S$2,0),"")</f>
        <v>#N/A</v>
      </c>
      <c r="T1015" s="7" t="e">
        <f>IF(VLOOKUP($A1015,'Concrete Beam Schedule'!$A$2:$Q$2902,T$2,0)&lt;&gt;D1015,"Beam Revised","")</f>
        <v>#N/A</v>
      </c>
      <c r="U1015" s="7" t="e">
        <f>IF(VLOOKUP($A1015,'Concrete Beam Schedule'!$A$2:$Q$2902,U$2,0)&lt;&gt;E1015,"Beam Revised","")</f>
        <v>#N/A</v>
      </c>
      <c r="V1015" s="7" t="e">
        <f>IF(VLOOKUP($A1015,'Concrete Beam Schedule'!$A$2:$Q$2902,V$2,0)&lt;&gt;F1015,"Beam Revised","")</f>
        <v>#N/A</v>
      </c>
      <c r="W1015" s="7" t="e">
        <f>IF(VLOOKUP($A1015,'Concrete Beam Schedule'!$A$2:$Q$2902,W$2,0)&lt;&gt;G1015,"Beam Revised","")</f>
        <v>#N/A</v>
      </c>
      <c r="X1015" s="7" t="e">
        <f>IF(VLOOKUP($A1015,'Concrete Beam Schedule'!$A$2:$Q$2902,X$2,0)&lt;&gt;H1015,"Beam Revised","")</f>
        <v>#N/A</v>
      </c>
      <c r="Y1015" s="7" t="e">
        <f>IF(VLOOKUP($A1015,'Concrete Beam Schedule'!$A$2:$Q$2902,Y$2,0)&lt;&gt;I1015,"Beam Revised","")</f>
        <v>#N/A</v>
      </c>
      <c r="Z1015" s="7" t="e">
        <f>IF(VLOOKUP($A1015,'Concrete Beam Schedule'!$A$2:$Q$2902,Z$2,0)&lt;&gt;J1015,"Beam Revised","")</f>
        <v>#N/A</v>
      </c>
      <c r="AA1015" s="7" t="e">
        <f>IF(VLOOKUP($A1015,'Concrete Beam Schedule'!$A$2:$Q$2902,AA$2,0)&lt;&gt;K1015,"Beam Revised","")</f>
        <v>#N/A</v>
      </c>
      <c r="AB1015" s="7" t="e">
        <f>IF(VLOOKUP($A1015,'Concrete Beam Schedule'!$A$2:$Q$2902,AB$2,0)&lt;&gt;L1015,"Beam Revised","")</f>
        <v>#N/A</v>
      </c>
      <c r="AC1015" s="7" t="e">
        <f>IF(VLOOKUP($A1015,'Concrete Beam Schedule'!$A$2:$Q$2902,AC$2,0)&lt;&gt;M1015,"Beam Revised","")</f>
        <v>#N/A</v>
      </c>
      <c r="AD1015" s="7" t="e">
        <f>IF(VLOOKUP($A1015,'Concrete Beam Schedule'!$A$2:$Q$2902,AD$2,0)&lt;&gt;N1015,"Beam Revised","")</f>
        <v>#N/A</v>
      </c>
      <c r="AE1015" s="7" t="e">
        <f>IF(VLOOKUP($A1015,'Concrete Beam Schedule'!$A$2:$Q$2902,AE$2,0)&lt;&gt;O1015,"Beam Revised","")</f>
        <v>#N/A</v>
      </c>
    </row>
    <row r="1016" spans="17:31" ht="13.2" x14ac:dyDescent="0.25">
      <c r="Q1016" s="7">
        <f t="shared" si="15"/>
        <v>0</v>
      </c>
      <c r="R1016" s="7" t="e">
        <f>IF(VLOOKUP($A1016,'Concrete Beam Schedule'!$A$2:$Q$2902,R$2,0)&lt;&gt;B1016,VLOOKUP($A1016,'Concrete Beam Schedule'!$A$2:$Q$2902,R$2,0),"")</f>
        <v>#N/A</v>
      </c>
      <c r="S1016" s="7" t="e">
        <f>IF(VLOOKUP($A1016,'Concrete Beam Schedule'!$A$2:$Q$2902,S$2,0)&lt;&gt;C1016,VLOOKUP($A1016,'Concrete Beam Schedule'!$A$2:$Q$2902,S$2,0),"")</f>
        <v>#N/A</v>
      </c>
      <c r="T1016" s="7" t="e">
        <f>IF(VLOOKUP($A1016,'Concrete Beam Schedule'!$A$2:$Q$2902,T$2,0)&lt;&gt;D1016,"Beam Revised","")</f>
        <v>#N/A</v>
      </c>
      <c r="U1016" s="7" t="e">
        <f>IF(VLOOKUP($A1016,'Concrete Beam Schedule'!$A$2:$Q$2902,U$2,0)&lt;&gt;E1016,"Beam Revised","")</f>
        <v>#N/A</v>
      </c>
      <c r="V1016" s="7" t="e">
        <f>IF(VLOOKUP($A1016,'Concrete Beam Schedule'!$A$2:$Q$2902,V$2,0)&lt;&gt;F1016,"Beam Revised","")</f>
        <v>#N/A</v>
      </c>
      <c r="W1016" s="7" t="e">
        <f>IF(VLOOKUP($A1016,'Concrete Beam Schedule'!$A$2:$Q$2902,W$2,0)&lt;&gt;G1016,"Beam Revised","")</f>
        <v>#N/A</v>
      </c>
      <c r="X1016" s="7" t="e">
        <f>IF(VLOOKUP($A1016,'Concrete Beam Schedule'!$A$2:$Q$2902,X$2,0)&lt;&gt;H1016,"Beam Revised","")</f>
        <v>#N/A</v>
      </c>
      <c r="Y1016" s="7" t="e">
        <f>IF(VLOOKUP($A1016,'Concrete Beam Schedule'!$A$2:$Q$2902,Y$2,0)&lt;&gt;I1016,"Beam Revised","")</f>
        <v>#N/A</v>
      </c>
      <c r="Z1016" s="7" t="e">
        <f>IF(VLOOKUP($A1016,'Concrete Beam Schedule'!$A$2:$Q$2902,Z$2,0)&lt;&gt;J1016,"Beam Revised","")</f>
        <v>#N/A</v>
      </c>
      <c r="AA1016" s="7" t="e">
        <f>IF(VLOOKUP($A1016,'Concrete Beam Schedule'!$A$2:$Q$2902,AA$2,0)&lt;&gt;K1016,"Beam Revised","")</f>
        <v>#N/A</v>
      </c>
      <c r="AB1016" s="7" t="e">
        <f>IF(VLOOKUP($A1016,'Concrete Beam Schedule'!$A$2:$Q$2902,AB$2,0)&lt;&gt;L1016,"Beam Revised","")</f>
        <v>#N/A</v>
      </c>
      <c r="AC1016" s="7" t="e">
        <f>IF(VLOOKUP($A1016,'Concrete Beam Schedule'!$A$2:$Q$2902,AC$2,0)&lt;&gt;M1016,"Beam Revised","")</f>
        <v>#N/A</v>
      </c>
      <c r="AD1016" s="7" t="e">
        <f>IF(VLOOKUP($A1016,'Concrete Beam Schedule'!$A$2:$Q$2902,AD$2,0)&lt;&gt;N1016,"Beam Revised","")</f>
        <v>#N/A</v>
      </c>
      <c r="AE1016" s="7" t="e">
        <f>IF(VLOOKUP($A1016,'Concrete Beam Schedule'!$A$2:$Q$2902,AE$2,0)&lt;&gt;O1016,"Beam Revised","")</f>
        <v>#N/A</v>
      </c>
    </row>
    <row r="1017" spans="17:31" ht="13.2" x14ac:dyDescent="0.25">
      <c r="Q1017" s="7">
        <f t="shared" si="15"/>
        <v>0</v>
      </c>
      <c r="R1017" s="7" t="e">
        <f>IF(VLOOKUP($A1017,'Concrete Beam Schedule'!$A$2:$Q$2902,R$2,0)&lt;&gt;B1017,VLOOKUP($A1017,'Concrete Beam Schedule'!$A$2:$Q$2902,R$2,0),"")</f>
        <v>#N/A</v>
      </c>
      <c r="S1017" s="7" t="e">
        <f>IF(VLOOKUP($A1017,'Concrete Beam Schedule'!$A$2:$Q$2902,S$2,0)&lt;&gt;C1017,VLOOKUP($A1017,'Concrete Beam Schedule'!$A$2:$Q$2902,S$2,0),"")</f>
        <v>#N/A</v>
      </c>
      <c r="T1017" s="7" t="e">
        <f>IF(VLOOKUP($A1017,'Concrete Beam Schedule'!$A$2:$Q$2902,T$2,0)&lt;&gt;D1017,"Beam Revised","")</f>
        <v>#N/A</v>
      </c>
      <c r="U1017" s="7" t="e">
        <f>IF(VLOOKUP($A1017,'Concrete Beam Schedule'!$A$2:$Q$2902,U$2,0)&lt;&gt;E1017,"Beam Revised","")</f>
        <v>#N/A</v>
      </c>
      <c r="V1017" s="7" t="e">
        <f>IF(VLOOKUP($A1017,'Concrete Beam Schedule'!$A$2:$Q$2902,V$2,0)&lt;&gt;F1017,"Beam Revised","")</f>
        <v>#N/A</v>
      </c>
      <c r="W1017" s="7" t="e">
        <f>IF(VLOOKUP($A1017,'Concrete Beam Schedule'!$A$2:$Q$2902,W$2,0)&lt;&gt;G1017,"Beam Revised","")</f>
        <v>#N/A</v>
      </c>
      <c r="X1017" s="7" t="e">
        <f>IF(VLOOKUP($A1017,'Concrete Beam Schedule'!$A$2:$Q$2902,X$2,0)&lt;&gt;H1017,"Beam Revised","")</f>
        <v>#N/A</v>
      </c>
      <c r="Y1017" s="7" t="e">
        <f>IF(VLOOKUP($A1017,'Concrete Beam Schedule'!$A$2:$Q$2902,Y$2,0)&lt;&gt;I1017,"Beam Revised","")</f>
        <v>#N/A</v>
      </c>
      <c r="Z1017" s="7" t="e">
        <f>IF(VLOOKUP($A1017,'Concrete Beam Schedule'!$A$2:$Q$2902,Z$2,0)&lt;&gt;J1017,"Beam Revised","")</f>
        <v>#N/A</v>
      </c>
      <c r="AA1017" s="7" t="e">
        <f>IF(VLOOKUP($A1017,'Concrete Beam Schedule'!$A$2:$Q$2902,AA$2,0)&lt;&gt;K1017,"Beam Revised","")</f>
        <v>#N/A</v>
      </c>
      <c r="AB1017" s="7" t="e">
        <f>IF(VLOOKUP($A1017,'Concrete Beam Schedule'!$A$2:$Q$2902,AB$2,0)&lt;&gt;L1017,"Beam Revised","")</f>
        <v>#N/A</v>
      </c>
      <c r="AC1017" s="7" t="e">
        <f>IF(VLOOKUP($A1017,'Concrete Beam Schedule'!$A$2:$Q$2902,AC$2,0)&lt;&gt;M1017,"Beam Revised","")</f>
        <v>#N/A</v>
      </c>
      <c r="AD1017" s="7" t="e">
        <f>IF(VLOOKUP($A1017,'Concrete Beam Schedule'!$A$2:$Q$2902,AD$2,0)&lt;&gt;N1017,"Beam Revised","")</f>
        <v>#N/A</v>
      </c>
      <c r="AE1017" s="7" t="e">
        <f>IF(VLOOKUP($A1017,'Concrete Beam Schedule'!$A$2:$Q$2902,AE$2,0)&lt;&gt;O1017,"Beam Revised","")</f>
        <v>#N/A</v>
      </c>
    </row>
    <row r="1018" spans="17:31" ht="13.2" x14ac:dyDescent="0.25">
      <c r="Q1018" s="7">
        <f t="shared" si="15"/>
        <v>0</v>
      </c>
      <c r="R1018" s="7" t="e">
        <f>IF(VLOOKUP($A1018,'Concrete Beam Schedule'!$A$2:$Q$2902,R$2,0)&lt;&gt;B1018,VLOOKUP($A1018,'Concrete Beam Schedule'!$A$2:$Q$2902,R$2,0),"")</f>
        <v>#N/A</v>
      </c>
      <c r="S1018" s="7" t="e">
        <f>IF(VLOOKUP($A1018,'Concrete Beam Schedule'!$A$2:$Q$2902,S$2,0)&lt;&gt;C1018,VLOOKUP($A1018,'Concrete Beam Schedule'!$A$2:$Q$2902,S$2,0),"")</f>
        <v>#N/A</v>
      </c>
      <c r="T1018" s="7" t="e">
        <f>IF(VLOOKUP($A1018,'Concrete Beam Schedule'!$A$2:$Q$2902,T$2,0)&lt;&gt;D1018,"Beam Revised","")</f>
        <v>#N/A</v>
      </c>
      <c r="U1018" s="7" t="e">
        <f>IF(VLOOKUP($A1018,'Concrete Beam Schedule'!$A$2:$Q$2902,U$2,0)&lt;&gt;E1018,"Beam Revised","")</f>
        <v>#N/A</v>
      </c>
      <c r="V1018" s="7" t="e">
        <f>IF(VLOOKUP($A1018,'Concrete Beam Schedule'!$A$2:$Q$2902,V$2,0)&lt;&gt;F1018,"Beam Revised","")</f>
        <v>#N/A</v>
      </c>
      <c r="W1018" s="7" t="e">
        <f>IF(VLOOKUP($A1018,'Concrete Beam Schedule'!$A$2:$Q$2902,W$2,0)&lt;&gt;G1018,"Beam Revised","")</f>
        <v>#N/A</v>
      </c>
      <c r="X1018" s="7" t="e">
        <f>IF(VLOOKUP($A1018,'Concrete Beam Schedule'!$A$2:$Q$2902,X$2,0)&lt;&gt;H1018,"Beam Revised","")</f>
        <v>#N/A</v>
      </c>
      <c r="Y1018" s="7" t="e">
        <f>IF(VLOOKUP($A1018,'Concrete Beam Schedule'!$A$2:$Q$2902,Y$2,0)&lt;&gt;I1018,"Beam Revised","")</f>
        <v>#N/A</v>
      </c>
      <c r="Z1018" s="7" t="e">
        <f>IF(VLOOKUP($A1018,'Concrete Beam Schedule'!$A$2:$Q$2902,Z$2,0)&lt;&gt;J1018,"Beam Revised","")</f>
        <v>#N/A</v>
      </c>
      <c r="AA1018" s="7" t="e">
        <f>IF(VLOOKUP($A1018,'Concrete Beam Schedule'!$A$2:$Q$2902,AA$2,0)&lt;&gt;K1018,"Beam Revised","")</f>
        <v>#N/A</v>
      </c>
      <c r="AB1018" s="7" t="e">
        <f>IF(VLOOKUP($A1018,'Concrete Beam Schedule'!$A$2:$Q$2902,AB$2,0)&lt;&gt;L1018,"Beam Revised","")</f>
        <v>#N/A</v>
      </c>
      <c r="AC1018" s="7" t="e">
        <f>IF(VLOOKUP($A1018,'Concrete Beam Schedule'!$A$2:$Q$2902,AC$2,0)&lt;&gt;M1018,"Beam Revised","")</f>
        <v>#N/A</v>
      </c>
      <c r="AD1018" s="7" t="e">
        <f>IF(VLOOKUP($A1018,'Concrete Beam Schedule'!$A$2:$Q$2902,AD$2,0)&lt;&gt;N1018,"Beam Revised","")</f>
        <v>#N/A</v>
      </c>
      <c r="AE1018" s="7" t="e">
        <f>IF(VLOOKUP($A1018,'Concrete Beam Schedule'!$A$2:$Q$2902,AE$2,0)&lt;&gt;O1018,"Beam Revised","")</f>
        <v>#N/A</v>
      </c>
    </row>
    <row r="1019" spans="17:31" ht="13.2" x14ac:dyDescent="0.25">
      <c r="Q1019" s="7">
        <f t="shared" si="15"/>
        <v>0</v>
      </c>
      <c r="R1019" s="7" t="e">
        <f>IF(VLOOKUP($A1019,'Concrete Beam Schedule'!$A$2:$Q$2902,R$2,0)&lt;&gt;B1019,VLOOKUP($A1019,'Concrete Beam Schedule'!$A$2:$Q$2902,R$2,0),"")</f>
        <v>#N/A</v>
      </c>
      <c r="S1019" s="7" t="e">
        <f>IF(VLOOKUP($A1019,'Concrete Beam Schedule'!$A$2:$Q$2902,S$2,0)&lt;&gt;C1019,VLOOKUP($A1019,'Concrete Beam Schedule'!$A$2:$Q$2902,S$2,0),"")</f>
        <v>#N/A</v>
      </c>
      <c r="T1019" s="7" t="e">
        <f>IF(VLOOKUP($A1019,'Concrete Beam Schedule'!$A$2:$Q$2902,T$2,0)&lt;&gt;D1019,"Beam Revised","")</f>
        <v>#N/A</v>
      </c>
      <c r="U1019" s="7" t="e">
        <f>IF(VLOOKUP($A1019,'Concrete Beam Schedule'!$A$2:$Q$2902,U$2,0)&lt;&gt;E1019,"Beam Revised","")</f>
        <v>#N/A</v>
      </c>
      <c r="V1019" s="7" t="e">
        <f>IF(VLOOKUP($A1019,'Concrete Beam Schedule'!$A$2:$Q$2902,V$2,0)&lt;&gt;F1019,"Beam Revised","")</f>
        <v>#N/A</v>
      </c>
      <c r="W1019" s="7" t="e">
        <f>IF(VLOOKUP($A1019,'Concrete Beam Schedule'!$A$2:$Q$2902,W$2,0)&lt;&gt;G1019,"Beam Revised","")</f>
        <v>#N/A</v>
      </c>
      <c r="X1019" s="7" t="e">
        <f>IF(VLOOKUP($A1019,'Concrete Beam Schedule'!$A$2:$Q$2902,X$2,0)&lt;&gt;H1019,"Beam Revised","")</f>
        <v>#N/A</v>
      </c>
      <c r="Y1019" s="7" t="e">
        <f>IF(VLOOKUP($A1019,'Concrete Beam Schedule'!$A$2:$Q$2902,Y$2,0)&lt;&gt;I1019,"Beam Revised","")</f>
        <v>#N/A</v>
      </c>
      <c r="Z1019" s="7" t="e">
        <f>IF(VLOOKUP($A1019,'Concrete Beam Schedule'!$A$2:$Q$2902,Z$2,0)&lt;&gt;J1019,"Beam Revised","")</f>
        <v>#N/A</v>
      </c>
      <c r="AA1019" s="7" t="e">
        <f>IF(VLOOKUP($A1019,'Concrete Beam Schedule'!$A$2:$Q$2902,AA$2,0)&lt;&gt;K1019,"Beam Revised","")</f>
        <v>#N/A</v>
      </c>
      <c r="AB1019" s="7" t="e">
        <f>IF(VLOOKUP($A1019,'Concrete Beam Schedule'!$A$2:$Q$2902,AB$2,0)&lt;&gt;L1019,"Beam Revised","")</f>
        <v>#N/A</v>
      </c>
      <c r="AC1019" s="7" t="e">
        <f>IF(VLOOKUP($A1019,'Concrete Beam Schedule'!$A$2:$Q$2902,AC$2,0)&lt;&gt;M1019,"Beam Revised","")</f>
        <v>#N/A</v>
      </c>
      <c r="AD1019" s="7" t="e">
        <f>IF(VLOOKUP($A1019,'Concrete Beam Schedule'!$A$2:$Q$2902,AD$2,0)&lt;&gt;N1019,"Beam Revised","")</f>
        <v>#N/A</v>
      </c>
      <c r="AE1019" s="7" t="e">
        <f>IF(VLOOKUP($A1019,'Concrete Beam Schedule'!$A$2:$Q$2902,AE$2,0)&lt;&gt;O1019,"Beam Revised","")</f>
        <v>#N/A</v>
      </c>
    </row>
    <row r="1020" spans="17:31" ht="13.2" x14ac:dyDescent="0.25">
      <c r="Q1020" s="7">
        <f t="shared" si="15"/>
        <v>0</v>
      </c>
      <c r="R1020" s="7" t="e">
        <f>IF(VLOOKUP($A1020,'Concrete Beam Schedule'!$A$2:$Q$2902,R$2,0)&lt;&gt;B1020,VLOOKUP($A1020,'Concrete Beam Schedule'!$A$2:$Q$2902,R$2,0),"")</f>
        <v>#N/A</v>
      </c>
      <c r="S1020" s="7" t="e">
        <f>IF(VLOOKUP($A1020,'Concrete Beam Schedule'!$A$2:$Q$2902,S$2,0)&lt;&gt;C1020,VLOOKUP($A1020,'Concrete Beam Schedule'!$A$2:$Q$2902,S$2,0),"")</f>
        <v>#N/A</v>
      </c>
      <c r="T1020" s="7" t="e">
        <f>IF(VLOOKUP($A1020,'Concrete Beam Schedule'!$A$2:$Q$2902,T$2,0)&lt;&gt;D1020,"Beam Revised","")</f>
        <v>#N/A</v>
      </c>
      <c r="U1020" s="7" t="e">
        <f>IF(VLOOKUP($A1020,'Concrete Beam Schedule'!$A$2:$Q$2902,U$2,0)&lt;&gt;E1020,"Beam Revised","")</f>
        <v>#N/A</v>
      </c>
      <c r="V1020" s="7" t="e">
        <f>IF(VLOOKUP($A1020,'Concrete Beam Schedule'!$A$2:$Q$2902,V$2,0)&lt;&gt;F1020,"Beam Revised","")</f>
        <v>#N/A</v>
      </c>
      <c r="W1020" s="7" t="e">
        <f>IF(VLOOKUP($A1020,'Concrete Beam Schedule'!$A$2:$Q$2902,W$2,0)&lt;&gt;G1020,"Beam Revised","")</f>
        <v>#N/A</v>
      </c>
      <c r="X1020" s="7" t="e">
        <f>IF(VLOOKUP($A1020,'Concrete Beam Schedule'!$A$2:$Q$2902,X$2,0)&lt;&gt;H1020,"Beam Revised","")</f>
        <v>#N/A</v>
      </c>
      <c r="Y1020" s="7" t="e">
        <f>IF(VLOOKUP($A1020,'Concrete Beam Schedule'!$A$2:$Q$2902,Y$2,0)&lt;&gt;I1020,"Beam Revised","")</f>
        <v>#N/A</v>
      </c>
      <c r="Z1020" s="7" t="e">
        <f>IF(VLOOKUP($A1020,'Concrete Beam Schedule'!$A$2:$Q$2902,Z$2,0)&lt;&gt;J1020,"Beam Revised","")</f>
        <v>#N/A</v>
      </c>
      <c r="AA1020" s="7" t="e">
        <f>IF(VLOOKUP($A1020,'Concrete Beam Schedule'!$A$2:$Q$2902,AA$2,0)&lt;&gt;K1020,"Beam Revised","")</f>
        <v>#N/A</v>
      </c>
      <c r="AB1020" s="7" t="e">
        <f>IF(VLOOKUP($A1020,'Concrete Beam Schedule'!$A$2:$Q$2902,AB$2,0)&lt;&gt;L1020,"Beam Revised","")</f>
        <v>#N/A</v>
      </c>
      <c r="AC1020" s="7" t="e">
        <f>IF(VLOOKUP($A1020,'Concrete Beam Schedule'!$A$2:$Q$2902,AC$2,0)&lt;&gt;M1020,"Beam Revised","")</f>
        <v>#N/A</v>
      </c>
      <c r="AD1020" s="7" t="e">
        <f>IF(VLOOKUP($A1020,'Concrete Beam Schedule'!$A$2:$Q$2902,AD$2,0)&lt;&gt;N1020,"Beam Revised","")</f>
        <v>#N/A</v>
      </c>
      <c r="AE1020" s="7" t="e">
        <f>IF(VLOOKUP($A1020,'Concrete Beam Schedule'!$A$2:$Q$2902,AE$2,0)&lt;&gt;O1020,"Beam Revised","")</f>
        <v>#N/A</v>
      </c>
    </row>
    <row r="1021" spans="17:31" ht="13.2" x14ac:dyDescent="0.25">
      <c r="Q1021" s="7">
        <f t="shared" si="15"/>
        <v>0</v>
      </c>
      <c r="R1021" s="7" t="e">
        <f>IF(VLOOKUP($A1021,'Concrete Beam Schedule'!$A$2:$Q$2902,R$2,0)&lt;&gt;B1021,VLOOKUP($A1021,'Concrete Beam Schedule'!$A$2:$Q$2902,R$2,0),"")</f>
        <v>#N/A</v>
      </c>
      <c r="S1021" s="7" t="e">
        <f>IF(VLOOKUP($A1021,'Concrete Beam Schedule'!$A$2:$Q$2902,S$2,0)&lt;&gt;C1021,VLOOKUP($A1021,'Concrete Beam Schedule'!$A$2:$Q$2902,S$2,0),"")</f>
        <v>#N/A</v>
      </c>
      <c r="T1021" s="7" t="e">
        <f>IF(VLOOKUP($A1021,'Concrete Beam Schedule'!$A$2:$Q$2902,T$2,0)&lt;&gt;D1021,"Beam Revised","")</f>
        <v>#N/A</v>
      </c>
      <c r="U1021" s="7" t="e">
        <f>IF(VLOOKUP($A1021,'Concrete Beam Schedule'!$A$2:$Q$2902,U$2,0)&lt;&gt;E1021,"Beam Revised","")</f>
        <v>#N/A</v>
      </c>
      <c r="V1021" s="7" t="e">
        <f>IF(VLOOKUP($A1021,'Concrete Beam Schedule'!$A$2:$Q$2902,V$2,0)&lt;&gt;F1021,"Beam Revised","")</f>
        <v>#N/A</v>
      </c>
      <c r="W1021" s="7" t="e">
        <f>IF(VLOOKUP($A1021,'Concrete Beam Schedule'!$A$2:$Q$2902,W$2,0)&lt;&gt;G1021,"Beam Revised","")</f>
        <v>#N/A</v>
      </c>
      <c r="X1021" s="7" t="e">
        <f>IF(VLOOKUP($A1021,'Concrete Beam Schedule'!$A$2:$Q$2902,X$2,0)&lt;&gt;H1021,"Beam Revised","")</f>
        <v>#N/A</v>
      </c>
      <c r="Y1021" s="7" t="e">
        <f>IF(VLOOKUP($A1021,'Concrete Beam Schedule'!$A$2:$Q$2902,Y$2,0)&lt;&gt;I1021,"Beam Revised","")</f>
        <v>#N/A</v>
      </c>
      <c r="Z1021" s="7" t="e">
        <f>IF(VLOOKUP($A1021,'Concrete Beam Schedule'!$A$2:$Q$2902,Z$2,0)&lt;&gt;J1021,"Beam Revised","")</f>
        <v>#N/A</v>
      </c>
      <c r="AA1021" s="7" t="e">
        <f>IF(VLOOKUP($A1021,'Concrete Beam Schedule'!$A$2:$Q$2902,AA$2,0)&lt;&gt;K1021,"Beam Revised","")</f>
        <v>#N/A</v>
      </c>
      <c r="AB1021" s="7" t="e">
        <f>IF(VLOOKUP($A1021,'Concrete Beam Schedule'!$A$2:$Q$2902,AB$2,0)&lt;&gt;L1021,"Beam Revised","")</f>
        <v>#N/A</v>
      </c>
      <c r="AC1021" s="7" t="e">
        <f>IF(VLOOKUP($A1021,'Concrete Beam Schedule'!$A$2:$Q$2902,AC$2,0)&lt;&gt;M1021,"Beam Revised","")</f>
        <v>#N/A</v>
      </c>
      <c r="AD1021" s="7" t="e">
        <f>IF(VLOOKUP($A1021,'Concrete Beam Schedule'!$A$2:$Q$2902,AD$2,0)&lt;&gt;N1021,"Beam Revised","")</f>
        <v>#N/A</v>
      </c>
      <c r="AE1021" s="7" t="e">
        <f>IF(VLOOKUP($A1021,'Concrete Beam Schedule'!$A$2:$Q$2902,AE$2,0)&lt;&gt;O1021,"Beam Revised","")</f>
        <v>#N/A</v>
      </c>
    </row>
    <row r="1022" spans="17:31" ht="13.2" x14ac:dyDescent="0.25">
      <c r="Q1022" s="7">
        <f t="shared" si="15"/>
        <v>0</v>
      </c>
      <c r="R1022" s="7" t="e">
        <f>IF(VLOOKUP($A1022,'Concrete Beam Schedule'!$A$2:$Q$2902,R$2,0)&lt;&gt;B1022,VLOOKUP($A1022,'Concrete Beam Schedule'!$A$2:$Q$2902,R$2,0),"")</f>
        <v>#N/A</v>
      </c>
      <c r="S1022" s="7" t="e">
        <f>IF(VLOOKUP($A1022,'Concrete Beam Schedule'!$A$2:$Q$2902,S$2,0)&lt;&gt;C1022,VLOOKUP($A1022,'Concrete Beam Schedule'!$A$2:$Q$2902,S$2,0),"")</f>
        <v>#N/A</v>
      </c>
      <c r="T1022" s="7" t="e">
        <f>IF(VLOOKUP($A1022,'Concrete Beam Schedule'!$A$2:$Q$2902,T$2,0)&lt;&gt;D1022,"Beam Revised","")</f>
        <v>#N/A</v>
      </c>
      <c r="U1022" s="7" t="e">
        <f>IF(VLOOKUP($A1022,'Concrete Beam Schedule'!$A$2:$Q$2902,U$2,0)&lt;&gt;E1022,"Beam Revised","")</f>
        <v>#N/A</v>
      </c>
      <c r="V1022" s="7" t="e">
        <f>IF(VLOOKUP($A1022,'Concrete Beam Schedule'!$A$2:$Q$2902,V$2,0)&lt;&gt;F1022,"Beam Revised","")</f>
        <v>#N/A</v>
      </c>
      <c r="W1022" s="7" t="e">
        <f>IF(VLOOKUP($A1022,'Concrete Beam Schedule'!$A$2:$Q$2902,W$2,0)&lt;&gt;G1022,"Beam Revised","")</f>
        <v>#N/A</v>
      </c>
      <c r="X1022" s="7" t="e">
        <f>IF(VLOOKUP($A1022,'Concrete Beam Schedule'!$A$2:$Q$2902,X$2,0)&lt;&gt;H1022,"Beam Revised","")</f>
        <v>#N/A</v>
      </c>
      <c r="Y1022" s="7" t="e">
        <f>IF(VLOOKUP($A1022,'Concrete Beam Schedule'!$A$2:$Q$2902,Y$2,0)&lt;&gt;I1022,"Beam Revised","")</f>
        <v>#N/A</v>
      </c>
      <c r="Z1022" s="7" t="e">
        <f>IF(VLOOKUP($A1022,'Concrete Beam Schedule'!$A$2:$Q$2902,Z$2,0)&lt;&gt;J1022,"Beam Revised","")</f>
        <v>#N/A</v>
      </c>
      <c r="AA1022" s="7" t="e">
        <f>IF(VLOOKUP($A1022,'Concrete Beam Schedule'!$A$2:$Q$2902,AA$2,0)&lt;&gt;K1022,"Beam Revised","")</f>
        <v>#N/A</v>
      </c>
      <c r="AB1022" s="7" t="e">
        <f>IF(VLOOKUP($A1022,'Concrete Beam Schedule'!$A$2:$Q$2902,AB$2,0)&lt;&gt;L1022,"Beam Revised","")</f>
        <v>#N/A</v>
      </c>
      <c r="AC1022" s="7" t="e">
        <f>IF(VLOOKUP($A1022,'Concrete Beam Schedule'!$A$2:$Q$2902,AC$2,0)&lt;&gt;M1022,"Beam Revised","")</f>
        <v>#N/A</v>
      </c>
      <c r="AD1022" s="7" t="e">
        <f>IF(VLOOKUP($A1022,'Concrete Beam Schedule'!$A$2:$Q$2902,AD$2,0)&lt;&gt;N1022,"Beam Revised","")</f>
        <v>#N/A</v>
      </c>
      <c r="AE1022" s="7" t="e">
        <f>IF(VLOOKUP($A1022,'Concrete Beam Schedule'!$A$2:$Q$2902,AE$2,0)&lt;&gt;O1022,"Beam Revised","")</f>
        <v>#N/A</v>
      </c>
    </row>
    <row r="1023" spans="17:31" ht="13.2" x14ac:dyDescent="0.25">
      <c r="Q1023" s="7">
        <f t="shared" si="15"/>
        <v>0</v>
      </c>
      <c r="R1023" s="7" t="e">
        <f>IF(VLOOKUP($A1023,'Concrete Beam Schedule'!$A$2:$Q$2902,R$2,0)&lt;&gt;B1023,VLOOKUP($A1023,'Concrete Beam Schedule'!$A$2:$Q$2902,R$2,0),"")</f>
        <v>#N/A</v>
      </c>
      <c r="S1023" s="7" t="e">
        <f>IF(VLOOKUP($A1023,'Concrete Beam Schedule'!$A$2:$Q$2902,S$2,0)&lt;&gt;C1023,VLOOKUP($A1023,'Concrete Beam Schedule'!$A$2:$Q$2902,S$2,0),"")</f>
        <v>#N/A</v>
      </c>
      <c r="T1023" s="7" t="e">
        <f>IF(VLOOKUP($A1023,'Concrete Beam Schedule'!$A$2:$Q$2902,T$2,0)&lt;&gt;D1023,"Beam Revised","")</f>
        <v>#N/A</v>
      </c>
      <c r="U1023" s="7" t="e">
        <f>IF(VLOOKUP($A1023,'Concrete Beam Schedule'!$A$2:$Q$2902,U$2,0)&lt;&gt;E1023,"Beam Revised","")</f>
        <v>#N/A</v>
      </c>
      <c r="V1023" s="7" t="e">
        <f>IF(VLOOKUP($A1023,'Concrete Beam Schedule'!$A$2:$Q$2902,V$2,0)&lt;&gt;F1023,"Beam Revised","")</f>
        <v>#N/A</v>
      </c>
      <c r="W1023" s="7" t="e">
        <f>IF(VLOOKUP($A1023,'Concrete Beam Schedule'!$A$2:$Q$2902,W$2,0)&lt;&gt;G1023,"Beam Revised","")</f>
        <v>#N/A</v>
      </c>
      <c r="X1023" s="7" t="e">
        <f>IF(VLOOKUP($A1023,'Concrete Beam Schedule'!$A$2:$Q$2902,X$2,0)&lt;&gt;H1023,"Beam Revised","")</f>
        <v>#N/A</v>
      </c>
      <c r="Y1023" s="7" t="e">
        <f>IF(VLOOKUP($A1023,'Concrete Beam Schedule'!$A$2:$Q$2902,Y$2,0)&lt;&gt;I1023,"Beam Revised","")</f>
        <v>#N/A</v>
      </c>
      <c r="Z1023" s="7" t="e">
        <f>IF(VLOOKUP($A1023,'Concrete Beam Schedule'!$A$2:$Q$2902,Z$2,0)&lt;&gt;J1023,"Beam Revised","")</f>
        <v>#N/A</v>
      </c>
      <c r="AA1023" s="7" t="e">
        <f>IF(VLOOKUP($A1023,'Concrete Beam Schedule'!$A$2:$Q$2902,AA$2,0)&lt;&gt;K1023,"Beam Revised","")</f>
        <v>#N/A</v>
      </c>
      <c r="AB1023" s="7" t="e">
        <f>IF(VLOOKUP($A1023,'Concrete Beam Schedule'!$A$2:$Q$2902,AB$2,0)&lt;&gt;L1023,"Beam Revised","")</f>
        <v>#N/A</v>
      </c>
      <c r="AC1023" s="7" t="e">
        <f>IF(VLOOKUP($A1023,'Concrete Beam Schedule'!$A$2:$Q$2902,AC$2,0)&lt;&gt;M1023,"Beam Revised","")</f>
        <v>#N/A</v>
      </c>
      <c r="AD1023" s="7" t="e">
        <f>IF(VLOOKUP($A1023,'Concrete Beam Schedule'!$A$2:$Q$2902,AD$2,0)&lt;&gt;N1023,"Beam Revised","")</f>
        <v>#N/A</v>
      </c>
      <c r="AE1023" s="7" t="e">
        <f>IF(VLOOKUP($A1023,'Concrete Beam Schedule'!$A$2:$Q$2902,AE$2,0)&lt;&gt;O1023,"Beam Revised","")</f>
        <v>#N/A</v>
      </c>
    </row>
    <row r="1024" spans="17:31" ht="13.2" x14ac:dyDescent="0.25">
      <c r="Q1024" s="7">
        <f t="shared" si="15"/>
        <v>0</v>
      </c>
      <c r="R1024" s="7" t="e">
        <f>IF(VLOOKUP($A1024,'Concrete Beam Schedule'!$A$2:$Q$2902,R$2,0)&lt;&gt;B1024,VLOOKUP($A1024,'Concrete Beam Schedule'!$A$2:$Q$2902,R$2,0),"")</f>
        <v>#N/A</v>
      </c>
      <c r="S1024" s="7" t="e">
        <f>IF(VLOOKUP($A1024,'Concrete Beam Schedule'!$A$2:$Q$2902,S$2,0)&lt;&gt;C1024,VLOOKUP($A1024,'Concrete Beam Schedule'!$A$2:$Q$2902,S$2,0),"")</f>
        <v>#N/A</v>
      </c>
      <c r="T1024" s="7" t="e">
        <f>IF(VLOOKUP($A1024,'Concrete Beam Schedule'!$A$2:$Q$2902,T$2,0)&lt;&gt;D1024,"Beam Revised","")</f>
        <v>#N/A</v>
      </c>
      <c r="U1024" s="7" t="e">
        <f>IF(VLOOKUP($A1024,'Concrete Beam Schedule'!$A$2:$Q$2902,U$2,0)&lt;&gt;E1024,"Beam Revised","")</f>
        <v>#N/A</v>
      </c>
      <c r="V1024" s="7" t="e">
        <f>IF(VLOOKUP($A1024,'Concrete Beam Schedule'!$A$2:$Q$2902,V$2,0)&lt;&gt;F1024,"Beam Revised","")</f>
        <v>#N/A</v>
      </c>
      <c r="W1024" s="7" t="e">
        <f>IF(VLOOKUP($A1024,'Concrete Beam Schedule'!$A$2:$Q$2902,W$2,0)&lt;&gt;G1024,"Beam Revised","")</f>
        <v>#N/A</v>
      </c>
      <c r="X1024" s="7" t="e">
        <f>IF(VLOOKUP($A1024,'Concrete Beam Schedule'!$A$2:$Q$2902,X$2,0)&lt;&gt;H1024,"Beam Revised","")</f>
        <v>#N/A</v>
      </c>
      <c r="Y1024" s="7" t="e">
        <f>IF(VLOOKUP($A1024,'Concrete Beam Schedule'!$A$2:$Q$2902,Y$2,0)&lt;&gt;I1024,"Beam Revised","")</f>
        <v>#N/A</v>
      </c>
      <c r="Z1024" s="7" t="e">
        <f>IF(VLOOKUP($A1024,'Concrete Beam Schedule'!$A$2:$Q$2902,Z$2,0)&lt;&gt;J1024,"Beam Revised","")</f>
        <v>#N/A</v>
      </c>
      <c r="AA1024" s="7" t="e">
        <f>IF(VLOOKUP($A1024,'Concrete Beam Schedule'!$A$2:$Q$2902,AA$2,0)&lt;&gt;K1024,"Beam Revised","")</f>
        <v>#N/A</v>
      </c>
      <c r="AB1024" s="7" t="e">
        <f>IF(VLOOKUP($A1024,'Concrete Beam Schedule'!$A$2:$Q$2902,AB$2,0)&lt;&gt;L1024,"Beam Revised","")</f>
        <v>#N/A</v>
      </c>
      <c r="AC1024" s="7" t="e">
        <f>IF(VLOOKUP($A1024,'Concrete Beam Schedule'!$A$2:$Q$2902,AC$2,0)&lt;&gt;M1024,"Beam Revised","")</f>
        <v>#N/A</v>
      </c>
      <c r="AD1024" s="7" t="e">
        <f>IF(VLOOKUP($A1024,'Concrete Beam Schedule'!$A$2:$Q$2902,AD$2,0)&lt;&gt;N1024,"Beam Revised","")</f>
        <v>#N/A</v>
      </c>
      <c r="AE1024" s="7" t="e">
        <f>IF(VLOOKUP($A1024,'Concrete Beam Schedule'!$A$2:$Q$2902,AE$2,0)&lt;&gt;O1024,"Beam Revised","")</f>
        <v>#N/A</v>
      </c>
    </row>
    <row r="1025" spans="17:31" ht="13.2" x14ac:dyDescent="0.25">
      <c r="Q1025" s="7">
        <f t="shared" si="15"/>
        <v>0</v>
      </c>
      <c r="R1025" s="7" t="e">
        <f>IF(VLOOKUP($A1025,'Concrete Beam Schedule'!$A$2:$Q$2902,R$2,0)&lt;&gt;B1025,VLOOKUP($A1025,'Concrete Beam Schedule'!$A$2:$Q$2902,R$2,0),"")</f>
        <v>#N/A</v>
      </c>
      <c r="S1025" s="7" t="e">
        <f>IF(VLOOKUP($A1025,'Concrete Beam Schedule'!$A$2:$Q$2902,S$2,0)&lt;&gt;C1025,VLOOKUP($A1025,'Concrete Beam Schedule'!$A$2:$Q$2902,S$2,0),"")</f>
        <v>#N/A</v>
      </c>
      <c r="T1025" s="7" t="e">
        <f>IF(VLOOKUP($A1025,'Concrete Beam Schedule'!$A$2:$Q$2902,T$2,0)&lt;&gt;D1025,"Beam Revised","")</f>
        <v>#N/A</v>
      </c>
      <c r="U1025" s="7" t="e">
        <f>IF(VLOOKUP($A1025,'Concrete Beam Schedule'!$A$2:$Q$2902,U$2,0)&lt;&gt;E1025,"Beam Revised","")</f>
        <v>#N/A</v>
      </c>
      <c r="V1025" s="7" t="e">
        <f>IF(VLOOKUP($A1025,'Concrete Beam Schedule'!$A$2:$Q$2902,V$2,0)&lt;&gt;F1025,"Beam Revised","")</f>
        <v>#N/A</v>
      </c>
      <c r="W1025" s="7" t="e">
        <f>IF(VLOOKUP($A1025,'Concrete Beam Schedule'!$A$2:$Q$2902,W$2,0)&lt;&gt;G1025,"Beam Revised","")</f>
        <v>#N/A</v>
      </c>
      <c r="X1025" s="7" t="e">
        <f>IF(VLOOKUP($A1025,'Concrete Beam Schedule'!$A$2:$Q$2902,X$2,0)&lt;&gt;H1025,"Beam Revised","")</f>
        <v>#N/A</v>
      </c>
      <c r="Y1025" s="7" t="e">
        <f>IF(VLOOKUP($A1025,'Concrete Beam Schedule'!$A$2:$Q$2902,Y$2,0)&lt;&gt;I1025,"Beam Revised","")</f>
        <v>#N/A</v>
      </c>
      <c r="Z1025" s="7" t="e">
        <f>IF(VLOOKUP($A1025,'Concrete Beam Schedule'!$A$2:$Q$2902,Z$2,0)&lt;&gt;J1025,"Beam Revised","")</f>
        <v>#N/A</v>
      </c>
      <c r="AA1025" s="7" t="e">
        <f>IF(VLOOKUP($A1025,'Concrete Beam Schedule'!$A$2:$Q$2902,AA$2,0)&lt;&gt;K1025,"Beam Revised","")</f>
        <v>#N/A</v>
      </c>
      <c r="AB1025" s="7" t="e">
        <f>IF(VLOOKUP($A1025,'Concrete Beam Schedule'!$A$2:$Q$2902,AB$2,0)&lt;&gt;L1025,"Beam Revised","")</f>
        <v>#N/A</v>
      </c>
      <c r="AC1025" s="7" t="e">
        <f>IF(VLOOKUP($A1025,'Concrete Beam Schedule'!$A$2:$Q$2902,AC$2,0)&lt;&gt;M1025,"Beam Revised","")</f>
        <v>#N/A</v>
      </c>
      <c r="AD1025" s="7" t="e">
        <f>IF(VLOOKUP($A1025,'Concrete Beam Schedule'!$A$2:$Q$2902,AD$2,0)&lt;&gt;N1025,"Beam Revised","")</f>
        <v>#N/A</v>
      </c>
      <c r="AE1025" s="7" t="e">
        <f>IF(VLOOKUP($A1025,'Concrete Beam Schedule'!$A$2:$Q$2902,AE$2,0)&lt;&gt;O1025,"Beam Revised","")</f>
        <v>#N/A</v>
      </c>
    </row>
    <row r="1026" spans="17:31" ht="13.2" x14ac:dyDescent="0.25">
      <c r="Q1026" s="7">
        <f t="shared" si="15"/>
        <v>0</v>
      </c>
      <c r="R1026" s="7" t="e">
        <f>IF(VLOOKUP($A1026,'Concrete Beam Schedule'!$A$2:$Q$2902,R$2,0)&lt;&gt;B1026,VLOOKUP($A1026,'Concrete Beam Schedule'!$A$2:$Q$2902,R$2,0),"")</f>
        <v>#N/A</v>
      </c>
      <c r="S1026" s="7" t="e">
        <f>IF(VLOOKUP($A1026,'Concrete Beam Schedule'!$A$2:$Q$2902,S$2,0)&lt;&gt;C1026,VLOOKUP($A1026,'Concrete Beam Schedule'!$A$2:$Q$2902,S$2,0),"")</f>
        <v>#N/A</v>
      </c>
      <c r="T1026" s="7" t="e">
        <f>IF(VLOOKUP($A1026,'Concrete Beam Schedule'!$A$2:$Q$2902,T$2,0)&lt;&gt;D1026,"Beam Revised","")</f>
        <v>#N/A</v>
      </c>
      <c r="U1026" s="7" t="e">
        <f>IF(VLOOKUP($A1026,'Concrete Beam Schedule'!$A$2:$Q$2902,U$2,0)&lt;&gt;E1026,"Beam Revised","")</f>
        <v>#N/A</v>
      </c>
      <c r="V1026" s="7" t="e">
        <f>IF(VLOOKUP($A1026,'Concrete Beam Schedule'!$A$2:$Q$2902,V$2,0)&lt;&gt;F1026,"Beam Revised","")</f>
        <v>#N/A</v>
      </c>
      <c r="W1026" s="7" t="e">
        <f>IF(VLOOKUP($A1026,'Concrete Beam Schedule'!$A$2:$Q$2902,W$2,0)&lt;&gt;G1026,"Beam Revised","")</f>
        <v>#N/A</v>
      </c>
      <c r="X1026" s="7" t="e">
        <f>IF(VLOOKUP($A1026,'Concrete Beam Schedule'!$A$2:$Q$2902,X$2,0)&lt;&gt;H1026,"Beam Revised","")</f>
        <v>#N/A</v>
      </c>
      <c r="Y1026" s="7" t="e">
        <f>IF(VLOOKUP($A1026,'Concrete Beam Schedule'!$A$2:$Q$2902,Y$2,0)&lt;&gt;I1026,"Beam Revised","")</f>
        <v>#N/A</v>
      </c>
      <c r="Z1026" s="7" t="e">
        <f>IF(VLOOKUP($A1026,'Concrete Beam Schedule'!$A$2:$Q$2902,Z$2,0)&lt;&gt;J1026,"Beam Revised","")</f>
        <v>#N/A</v>
      </c>
      <c r="AA1026" s="7" t="e">
        <f>IF(VLOOKUP($A1026,'Concrete Beam Schedule'!$A$2:$Q$2902,AA$2,0)&lt;&gt;K1026,"Beam Revised","")</f>
        <v>#N/A</v>
      </c>
      <c r="AB1026" s="7" t="e">
        <f>IF(VLOOKUP($A1026,'Concrete Beam Schedule'!$A$2:$Q$2902,AB$2,0)&lt;&gt;L1026,"Beam Revised","")</f>
        <v>#N/A</v>
      </c>
      <c r="AC1026" s="7" t="e">
        <f>IF(VLOOKUP($A1026,'Concrete Beam Schedule'!$A$2:$Q$2902,AC$2,0)&lt;&gt;M1026,"Beam Revised","")</f>
        <v>#N/A</v>
      </c>
      <c r="AD1026" s="7" t="e">
        <f>IF(VLOOKUP($A1026,'Concrete Beam Schedule'!$A$2:$Q$2902,AD$2,0)&lt;&gt;N1026,"Beam Revised","")</f>
        <v>#N/A</v>
      </c>
      <c r="AE1026" s="7" t="e">
        <f>IF(VLOOKUP($A1026,'Concrete Beam Schedule'!$A$2:$Q$2902,AE$2,0)&lt;&gt;O1026,"Beam Revised","")</f>
        <v>#N/A</v>
      </c>
    </row>
    <row r="1027" spans="17:31" ht="13.2" x14ac:dyDescent="0.25">
      <c r="Q1027" s="7">
        <f t="shared" si="15"/>
        <v>0</v>
      </c>
      <c r="R1027" s="7" t="e">
        <f>IF(VLOOKUP($A1027,'Concrete Beam Schedule'!$A$2:$Q$2902,R$2,0)&lt;&gt;B1027,VLOOKUP($A1027,'Concrete Beam Schedule'!$A$2:$Q$2902,R$2,0),"")</f>
        <v>#N/A</v>
      </c>
      <c r="S1027" s="7" t="e">
        <f>IF(VLOOKUP($A1027,'Concrete Beam Schedule'!$A$2:$Q$2902,S$2,0)&lt;&gt;C1027,VLOOKUP($A1027,'Concrete Beam Schedule'!$A$2:$Q$2902,S$2,0),"")</f>
        <v>#N/A</v>
      </c>
      <c r="T1027" s="7" t="e">
        <f>IF(VLOOKUP($A1027,'Concrete Beam Schedule'!$A$2:$Q$2902,T$2,0)&lt;&gt;D1027,"Beam Revised","")</f>
        <v>#N/A</v>
      </c>
      <c r="U1027" s="7" t="e">
        <f>IF(VLOOKUP($A1027,'Concrete Beam Schedule'!$A$2:$Q$2902,U$2,0)&lt;&gt;E1027,"Beam Revised","")</f>
        <v>#N/A</v>
      </c>
      <c r="V1027" s="7" t="e">
        <f>IF(VLOOKUP($A1027,'Concrete Beam Schedule'!$A$2:$Q$2902,V$2,0)&lt;&gt;F1027,"Beam Revised","")</f>
        <v>#N/A</v>
      </c>
      <c r="W1027" s="7" t="e">
        <f>IF(VLOOKUP($A1027,'Concrete Beam Schedule'!$A$2:$Q$2902,W$2,0)&lt;&gt;G1027,"Beam Revised","")</f>
        <v>#N/A</v>
      </c>
      <c r="X1027" s="7" t="e">
        <f>IF(VLOOKUP($A1027,'Concrete Beam Schedule'!$A$2:$Q$2902,X$2,0)&lt;&gt;H1027,"Beam Revised","")</f>
        <v>#N/A</v>
      </c>
      <c r="Y1027" s="7" t="e">
        <f>IF(VLOOKUP($A1027,'Concrete Beam Schedule'!$A$2:$Q$2902,Y$2,0)&lt;&gt;I1027,"Beam Revised","")</f>
        <v>#N/A</v>
      </c>
      <c r="Z1027" s="7" t="e">
        <f>IF(VLOOKUP($A1027,'Concrete Beam Schedule'!$A$2:$Q$2902,Z$2,0)&lt;&gt;J1027,"Beam Revised","")</f>
        <v>#N/A</v>
      </c>
      <c r="AA1027" s="7" t="e">
        <f>IF(VLOOKUP($A1027,'Concrete Beam Schedule'!$A$2:$Q$2902,AA$2,0)&lt;&gt;K1027,"Beam Revised","")</f>
        <v>#N/A</v>
      </c>
      <c r="AB1027" s="7" t="e">
        <f>IF(VLOOKUP($A1027,'Concrete Beam Schedule'!$A$2:$Q$2902,AB$2,0)&lt;&gt;L1027,"Beam Revised","")</f>
        <v>#N/A</v>
      </c>
      <c r="AC1027" s="7" t="e">
        <f>IF(VLOOKUP($A1027,'Concrete Beam Schedule'!$A$2:$Q$2902,AC$2,0)&lt;&gt;M1027,"Beam Revised","")</f>
        <v>#N/A</v>
      </c>
      <c r="AD1027" s="7" t="e">
        <f>IF(VLOOKUP($A1027,'Concrete Beam Schedule'!$A$2:$Q$2902,AD$2,0)&lt;&gt;N1027,"Beam Revised","")</f>
        <v>#N/A</v>
      </c>
      <c r="AE1027" s="7" t="e">
        <f>IF(VLOOKUP($A1027,'Concrete Beam Schedule'!$A$2:$Q$2902,AE$2,0)&lt;&gt;O1027,"Beam Revised","")</f>
        <v>#N/A</v>
      </c>
    </row>
    <row r="1028" spans="17:31" ht="13.2" x14ac:dyDescent="0.25">
      <c r="Q1028" s="7">
        <f t="shared" ref="Q1028:Q1091" si="16">A1028</f>
        <v>0</v>
      </c>
      <c r="R1028" s="7" t="e">
        <f>IF(VLOOKUP($A1028,'Concrete Beam Schedule'!$A$2:$Q$2902,R$2,0)&lt;&gt;B1028,VLOOKUP($A1028,'Concrete Beam Schedule'!$A$2:$Q$2902,R$2,0),"")</f>
        <v>#N/A</v>
      </c>
      <c r="S1028" s="7" t="e">
        <f>IF(VLOOKUP($A1028,'Concrete Beam Schedule'!$A$2:$Q$2902,S$2,0)&lt;&gt;C1028,VLOOKUP($A1028,'Concrete Beam Schedule'!$A$2:$Q$2902,S$2,0),"")</f>
        <v>#N/A</v>
      </c>
      <c r="T1028" s="7" t="e">
        <f>IF(VLOOKUP($A1028,'Concrete Beam Schedule'!$A$2:$Q$2902,T$2,0)&lt;&gt;D1028,"Beam Revised","")</f>
        <v>#N/A</v>
      </c>
      <c r="U1028" s="7" t="e">
        <f>IF(VLOOKUP($A1028,'Concrete Beam Schedule'!$A$2:$Q$2902,U$2,0)&lt;&gt;E1028,"Beam Revised","")</f>
        <v>#N/A</v>
      </c>
      <c r="V1028" s="7" t="e">
        <f>IF(VLOOKUP($A1028,'Concrete Beam Schedule'!$A$2:$Q$2902,V$2,0)&lt;&gt;F1028,"Beam Revised","")</f>
        <v>#N/A</v>
      </c>
      <c r="W1028" s="7" t="e">
        <f>IF(VLOOKUP($A1028,'Concrete Beam Schedule'!$A$2:$Q$2902,W$2,0)&lt;&gt;G1028,"Beam Revised","")</f>
        <v>#N/A</v>
      </c>
      <c r="X1028" s="7" t="e">
        <f>IF(VLOOKUP($A1028,'Concrete Beam Schedule'!$A$2:$Q$2902,X$2,0)&lt;&gt;H1028,"Beam Revised","")</f>
        <v>#N/A</v>
      </c>
      <c r="Y1028" s="7" t="e">
        <f>IF(VLOOKUP($A1028,'Concrete Beam Schedule'!$A$2:$Q$2902,Y$2,0)&lt;&gt;I1028,"Beam Revised","")</f>
        <v>#N/A</v>
      </c>
      <c r="Z1028" s="7" t="e">
        <f>IF(VLOOKUP($A1028,'Concrete Beam Schedule'!$A$2:$Q$2902,Z$2,0)&lt;&gt;J1028,"Beam Revised","")</f>
        <v>#N/A</v>
      </c>
      <c r="AA1028" s="7" t="e">
        <f>IF(VLOOKUP($A1028,'Concrete Beam Schedule'!$A$2:$Q$2902,AA$2,0)&lt;&gt;K1028,"Beam Revised","")</f>
        <v>#N/A</v>
      </c>
      <c r="AB1028" s="7" t="e">
        <f>IF(VLOOKUP($A1028,'Concrete Beam Schedule'!$A$2:$Q$2902,AB$2,0)&lt;&gt;L1028,"Beam Revised","")</f>
        <v>#N/A</v>
      </c>
      <c r="AC1028" s="7" t="e">
        <f>IF(VLOOKUP($A1028,'Concrete Beam Schedule'!$A$2:$Q$2902,AC$2,0)&lt;&gt;M1028,"Beam Revised","")</f>
        <v>#N/A</v>
      </c>
      <c r="AD1028" s="7" t="e">
        <f>IF(VLOOKUP($A1028,'Concrete Beam Schedule'!$A$2:$Q$2902,AD$2,0)&lt;&gt;N1028,"Beam Revised","")</f>
        <v>#N/A</v>
      </c>
      <c r="AE1028" s="7" t="e">
        <f>IF(VLOOKUP($A1028,'Concrete Beam Schedule'!$A$2:$Q$2902,AE$2,0)&lt;&gt;O1028,"Beam Revised","")</f>
        <v>#N/A</v>
      </c>
    </row>
    <row r="1029" spans="17:31" ht="13.2" x14ac:dyDescent="0.25">
      <c r="Q1029" s="7">
        <f t="shared" si="16"/>
        <v>0</v>
      </c>
      <c r="R1029" s="7" t="e">
        <f>IF(VLOOKUP($A1029,'Concrete Beam Schedule'!$A$2:$Q$2902,R$2,0)&lt;&gt;B1029,VLOOKUP($A1029,'Concrete Beam Schedule'!$A$2:$Q$2902,R$2,0),"")</f>
        <v>#N/A</v>
      </c>
      <c r="S1029" s="7" t="e">
        <f>IF(VLOOKUP($A1029,'Concrete Beam Schedule'!$A$2:$Q$2902,S$2,0)&lt;&gt;C1029,VLOOKUP($A1029,'Concrete Beam Schedule'!$A$2:$Q$2902,S$2,0),"")</f>
        <v>#N/A</v>
      </c>
      <c r="T1029" s="7" t="e">
        <f>IF(VLOOKUP($A1029,'Concrete Beam Schedule'!$A$2:$Q$2902,T$2,0)&lt;&gt;D1029,"Beam Revised","")</f>
        <v>#N/A</v>
      </c>
      <c r="U1029" s="7" t="e">
        <f>IF(VLOOKUP($A1029,'Concrete Beam Schedule'!$A$2:$Q$2902,U$2,0)&lt;&gt;E1029,"Beam Revised","")</f>
        <v>#N/A</v>
      </c>
      <c r="V1029" s="7" t="e">
        <f>IF(VLOOKUP($A1029,'Concrete Beam Schedule'!$A$2:$Q$2902,V$2,0)&lt;&gt;F1029,"Beam Revised","")</f>
        <v>#N/A</v>
      </c>
      <c r="W1029" s="7" t="e">
        <f>IF(VLOOKUP($A1029,'Concrete Beam Schedule'!$A$2:$Q$2902,W$2,0)&lt;&gt;G1029,"Beam Revised","")</f>
        <v>#N/A</v>
      </c>
      <c r="X1029" s="7" t="e">
        <f>IF(VLOOKUP($A1029,'Concrete Beam Schedule'!$A$2:$Q$2902,X$2,0)&lt;&gt;H1029,"Beam Revised","")</f>
        <v>#N/A</v>
      </c>
      <c r="Y1029" s="7" t="e">
        <f>IF(VLOOKUP($A1029,'Concrete Beam Schedule'!$A$2:$Q$2902,Y$2,0)&lt;&gt;I1029,"Beam Revised","")</f>
        <v>#N/A</v>
      </c>
      <c r="Z1029" s="7" t="e">
        <f>IF(VLOOKUP($A1029,'Concrete Beam Schedule'!$A$2:$Q$2902,Z$2,0)&lt;&gt;J1029,"Beam Revised","")</f>
        <v>#N/A</v>
      </c>
      <c r="AA1029" s="7" t="e">
        <f>IF(VLOOKUP($A1029,'Concrete Beam Schedule'!$A$2:$Q$2902,AA$2,0)&lt;&gt;K1029,"Beam Revised","")</f>
        <v>#N/A</v>
      </c>
      <c r="AB1029" s="7" t="e">
        <f>IF(VLOOKUP($A1029,'Concrete Beam Schedule'!$A$2:$Q$2902,AB$2,0)&lt;&gt;L1029,"Beam Revised","")</f>
        <v>#N/A</v>
      </c>
      <c r="AC1029" s="7" t="e">
        <f>IF(VLOOKUP($A1029,'Concrete Beam Schedule'!$A$2:$Q$2902,AC$2,0)&lt;&gt;M1029,"Beam Revised","")</f>
        <v>#N/A</v>
      </c>
      <c r="AD1029" s="7" t="e">
        <f>IF(VLOOKUP($A1029,'Concrete Beam Schedule'!$A$2:$Q$2902,AD$2,0)&lt;&gt;N1029,"Beam Revised","")</f>
        <v>#N/A</v>
      </c>
      <c r="AE1029" s="7" t="e">
        <f>IF(VLOOKUP($A1029,'Concrete Beam Schedule'!$A$2:$Q$2902,AE$2,0)&lt;&gt;O1029,"Beam Revised","")</f>
        <v>#N/A</v>
      </c>
    </row>
    <row r="1030" spans="17:31" ht="13.2" x14ac:dyDescent="0.25">
      <c r="Q1030" s="7">
        <f t="shared" si="16"/>
        <v>0</v>
      </c>
      <c r="R1030" s="7" t="e">
        <f>IF(VLOOKUP($A1030,'Concrete Beam Schedule'!$A$2:$Q$2902,R$2,0)&lt;&gt;B1030,VLOOKUP($A1030,'Concrete Beam Schedule'!$A$2:$Q$2902,R$2,0),"")</f>
        <v>#N/A</v>
      </c>
      <c r="S1030" s="7" t="e">
        <f>IF(VLOOKUP($A1030,'Concrete Beam Schedule'!$A$2:$Q$2902,S$2,0)&lt;&gt;C1030,VLOOKUP($A1030,'Concrete Beam Schedule'!$A$2:$Q$2902,S$2,0),"")</f>
        <v>#N/A</v>
      </c>
      <c r="T1030" s="7" t="e">
        <f>IF(VLOOKUP($A1030,'Concrete Beam Schedule'!$A$2:$Q$2902,T$2,0)&lt;&gt;D1030,"Beam Revised","")</f>
        <v>#N/A</v>
      </c>
      <c r="U1030" s="7" t="e">
        <f>IF(VLOOKUP($A1030,'Concrete Beam Schedule'!$A$2:$Q$2902,U$2,0)&lt;&gt;E1030,"Beam Revised","")</f>
        <v>#N/A</v>
      </c>
      <c r="V1030" s="7" t="e">
        <f>IF(VLOOKUP($A1030,'Concrete Beam Schedule'!$A$2:$Q$2902,V$2,0)&lt;&gt;F1030,"Beam Revised","")</f>
        <v>#N/A</v>
      </c>
      <c r="W1030" s="7" t="e">
        <f>IF(VLOOKUP($A1030,'Concrete Beam Schedule'!$A$2:$Q$2902,W$2,0)&lt;&gt;G1030,"Beam Revised","")</f>
        <v>#N/A</v>
      </c>
      <c r="X1030" s="7" t="e">
        <f>IF(VLOOKUP($A1030,'Concrete Beam Schedule'!$A$2:$Q$2902,X$2,0)&lt;&gt;H1030,"Beam Revised","")</f>
        <v>#N/A</v>
      </c>
      <c r="Y1030" s="7" t="e">
        <f>IF(VLOOKUP($A1030,'Concrete Beam Schedule'!$A$2:$Q$2902,Y$2,0)&lt;&gt;I1030,"Beam Revised","")</f>
        <v>#N/A</v>
      </c>
      <c r="Z1030" s="7" t="e">
        <f>IF(VLOOKUP($A1030,'Concrete Beam Schedule'!$A$2:$Q$2902,Z$2,0)&lt;&gt;J1030,"Beam Revised","")</f>
        <v>#N/A</v>
      </c>
      <c r="AA1030" s="7" t="e">
        <f>IF(VLOOKUP($A1030,'Concrete Beam Schedule'!$A$2:$Q$2902,AA$2,0)&lt;&gt;K1030,"Beam Revised","")</f>
        <v>#N/A</v>
      </c>
      <c r="AB1030" s="7" t="e">
        <f>IF(VLOOKUP($A1030,'Concrete Beam Schedule'!$A$2:$Q$2902,AB$2,0)&lt;&gt;L1030,"Beam Revised","")</f>
        <v>#N/A</v>
      </c>
      <c r="AC1030" s="7" t="e">
        <f>IF(VLOOKUP($A1030,'Concrete Beam Schedule'!$A$2:$Q$2902,AC$2,0)&lt;&gt;M1030,"Beam Revised","")</f>
        <v>#N/A</v>
      </c>
      <c r="AD1030" s="7" t="e">
        <f>IF(VLOOKUP($A1030,'Concrete Beam Schedule'!$A$2:$Q$2902,AD$2,0)&lt;&gt;N1030,"Beam Revised","")</f>
        <v>#N/A</v>
      </c>
      <c r="AE1030" s="7" t="e">
        <f>IF(VLOOKUP($A1030,'Concrete Beam Schedule'!$A$2:$Q$2902,AE$2,0)&lt;&gt;O1030,"Beam Revised","")</f>
        <v>#N/A</v>
      </c>
    </row>
    <row r="1031" spans="17:31" ht="13.2" x14ac:dyDescent="0.25">
      <c r="Q1031" s="7">
        <f t="shared" si="16"/>
        <v>0</v>
      </c>
      <c r="R1031" s="7" t="e">
        <f>IF(VLOOKUP($A1031,'Concrete Beam Schedule'!$A$2:$Q$2902,R$2,0)&lt;&gt;B1031,VLOOKUP($A1031,'Concrete Beam Schedule'!$A$2:$Q$2902,R$2,0),"")</f>
        <v>#N/A</v>
      </c>
      <c r="S1031" s="7" t="e">
        <f>IF(VLOOKUP($A1031,'Concrete Beam Schedule'!$A$2:$Q$2902,S$2,0)&lt;&gt;C1031,VLOOKUP($A1031,'Concrete Beam Schedule'!$A$2:$Q$2902,S$2,0),"")</f>
        <v>#N/A</v>
      </c>
      <c r="T1031" s="7" t="e">
        <f>IF(VLOOKUP($A1031,'Concrete Beam Schedule'!$A$2:$Q$2902,T$2,0)&lt;&gt;D1031,"Beam Revised","")</f>
        <v>#N/A</v>
      </c>
      <c r="U1031" s="7" t="e">
        <f>IF(VLOOKUP($A1031,'Concrete Beam Schedule'!$A$2:$Q$2902,U$2,0)&lt;&gt;E1031,"Beam Revised","")</f>
        <v>#N/A</v>
      </c>
      <c r="V1031" s="7" t="e">
        <f>IF(VLOOKUP($A1031,'Concrete Beam Schedule'!$A$2:$Q$2902,V$2,0)&lt;&gt;F1031,"Beam Revised","")</f>
        <v>#N/A</v>
      </c>
      <c r="W1031" s="7" t="e">
        <f>IF(VLOOKUP($A1031,'Concrete Beam Schedule'!$A$2:$Q$2902,W$2,0)&lt;&gt;G1031,"Beam Revised","")</f>
        <v>#N/A</v>
      </c>
      <c r="X1031" s="7" t="e">
        <f>IF(VLOOKUP($A1031,'Concrete Beam Schedule'!$A$2:$Q$2902,X$2,0)&lt;&gt;H1031,"Beam Revised","")</f>
        <v>#N/A</v>
      </c>
      <c r="Y1031" s="7" t="e">
        <f>IF(VLOOKUP($A1031,'Concrete Beam Schedule'!$A$2:$Q$2902,Y$2,0)&lt;&gt;I1031,"Beam Revised","")</f>
        <v>#N/A</v>
      </c>
      <c r="Z1031" s="7" t="e">
        <f>IF(VLOOKUP($A1031,'Concrete Beam Schedule'!$A$2:$Q$2902,Z$2,0)&lt;&gt;J1031,"Beam Revised","")</f>
        <v>#N/A</v>
      </c>
      <c r="AA1031" s="7" t="e">
        <f>IF(VLOOKUP($A1031,'Concrete Beam Schedule'!$A$2:$Q$2902,AA$2,0)&lt;&gt;K1031,"Beam Revised","")</f>
        <v>#N/A</v>
      </c>
      <c r="AB1031" s="7" t="e">
        <f>IF(VLOOKUP($A1031,'Concrete Beam Schedule'!$A$2:$Q$2902,AB$2,0)&lt;&gt;L1031,"Beam Revised","")</f>
        <v>#N/A</v>
      </c>
      <c r="AC1031" s="7" t="e">
        <f>IF(VLOOKUP($A1031,'Concrete Beam Schedule'!$A$2:$Q$2902,AC$2,0)&lt;&gt;M1031,"Beam Revised","")</f>
        <v>#N/A</v>
      </c>
      <c r="AD1031" s="7" t="e">
        <f>IF(VLOOKUP($A1031,'Concrete Beam Schedule'!$A$2:$Q$2902,AD$2,0)&lt;&gt;N1031,"Beam Revised","")</f>
        <v>#N/A</v>
      </c>
      <c r="AE1031" s="7" t="e">
        <f>IF(VLOOKUP($A1031,'Concrete Beam Schedule'!$A$2:$Q$2902,AE$2,0)&lt;&gt;O1031,"Beam Revised","")</f>
        <v>#N/A</v>
      </c>
    </row>
    <row r="1032" spans="17:31" ht="13.2" x14ac:dyDescent="0.25">
      <c r="Q1032" s="7">
        <f t="shared" si="16"/>
        <v>0</v>
      </c>
      <c r="R1032" s="7" t="e">
        <f>IF(VLOOKUP($A1032,'Concrete Beam Schedule'!$A$2:$Q$2902,R$2,0)&lt;&gt;B1032,VLOOKUP($A1032,'Concrete Beam Schedule'!$A$2:$Q$2902,R$2,0),"")</f>
        <v>#N/A</v>
      </c>
      <c r="S1032" s="7" t="e">
        <f>IF(VLOOKUP($A1032,'Concrete Beam Schedule'!$A$2:$Q$2902,S$2,0)&lt;&gt;C1032,VLOOKUP($A1032,'Concrete Beam Schedule'!$A$2:$Q$2902,S$2,0),"")</f>
        <v>#N/A</v>
      </c>
      <c r="T1032" s="7" t="e">
        <f>IF(VLOOKUP($A1032,'Concrete Beam Schedule'!$A$2:$Q$2902,T$2,0)&lt;&gt;D1032,"Beam Revised","")</f>
        <v>#N/A</v>
      </c>
      <c r="U1032" s="7" t="e">
        <f>IF(VLOOKUP($A1032,'Concrete Beam Schedule'!$A$2:$Q$2902,U$2,0)&lt;&gt;E1032,"Beam Revised","")</f>
        <v>#N/A</v>
      </c>
      <c r="V1032" s="7" t="e">
        <f>IF(VLOOKUP($A1032,'Concrete Beam Schedule'!$A$2:$Q$2902,V$2,0)&lt;&gt;F1032,"Beam Revised","")</f>
        <v>#N/A</v>
      </c>
      <c r="W1032" s="7" t="e">
        <f>IF(VLOOKUP($A1032,'Concrete Beam Schedule'!$A$2:$Q$2902,W$2,0)&lt;&gt;G1032,"Beam Revised","")</f>
        <v>#N/A</v>
      </c>
      <c r="X1032" s="7" t="e">
        <f>IF(VLOOKUP($A1032,'Concrete Beam Schedule'!$A$2:$Q$2902,X$2,0)&lt;&gt;H1032,"Beam Revised","")</f>
        <v>#N/A</v>
      </c>
      <c r="Y1032" s="7" t="e">
        <f>IF(VLOOKUP($A1032,'Concrete Beam Schedule'!$A$2:$Q$2902,Y$2,0)&lt;&gt;I1032,"Beam Revised","")</f>
        <v>#N/A</v>
      </c>
      <c r="Z1032" s="7" t="e">
        <f>IF(VLOOKUP($A1032,'Concrete Beam Schedule'!$A$2:$Q$2902,Z$2,0)&lt;&gt;J1032,"Beam Revised","")</f>
        <v>#N/A</v>
      </c>
      <c r="AA1032" s="7" t="e">
        <f>IF(VLOOKUP($A1032,'Concrete Beam Schedule'!$A$2:$Q$2902,AA$2,0)&lt;&gt;K1032,"Beam Revised","")</f>
        <v>#N/A</v>
      </c>
      <c r="AB1032" s="7" t="e">
        <f>IF(VLOOKUP($A1032,'Concrete Beam Schedule'!$A$2:$Q$2902,AB$2,0)&lt;&gt;L1032,"Beam Revised","")</f>
        <v>#N/A</v>
      </c>
      <c r="AC1032" s="7" t="e">
        <f>IF(VLOOKUP($A1032,'Concrete Beam Schedule'!$A$2:$Q$2902,AC$2,0)&lt;&gt;M1032,"Beam Revised","")</f>
        <v>#N/A</v>
      </c>
      <c r="AD1032" s="7" t="e">
        <f>IF(VLOOKUP($A1032,'Concrete Beam Schedule'!$A$2:$Q$2902,AD$2,0)&lt;&gt;N1032,"Beam Revised","")</f>
        <v>#N/A</v>
      </c>
      <c r="AE1032" s="7" t="e">
        <f>IF(VLOOKUP($A1032,'Concrete Beam Schedule'!$A$2:$Q$2902,AE$2,0)&lt;&gt;O1032,"Beam Revised","")</f>
        <v>#N/A</v>
      </c>
    </row>
    <row r="1033" spans="17:31" ht="13.2" x14ac:dyDescent="0.25">
      <c r="Q1033" s="7">
        <f t="shared" si="16"/>
        <v>0</v>
      </c>
      <c r="R1033" s="7" t="e">
        <f>IF(VLOOKUP($A1033,'Concrete Beam Schedule'!$A$2:$Q$2902,R$2,0)&lt;&gt;B1033,VLOOKUP($A1033,'Concrete Beam Schedule'!$A$2:$Q$2902,R$2,0),"")</f>
        <v>#N/A</v>
      </c>
      <c r="S1033" s="7" t="e">
        <f>IF(VLOOKUP($A1033,'Concrete Beam Schedule'!$A$2:$Q$2902,S$2,0)&lt;&gt;C1033,VLOOKUP($A1033,'Concrete Beam Schedule'!$A$2:$Q$2902,S$2,0),"")</f>
        <v>#N/A</v>
      </c>
      <c r="T1033" s="7" t="e">
        <f>IF(VLOOKUP($A1033,'Concrete Beam Schedule'!$A$2:$Q$2902,T$2,0)&lt;&gt;D1033,"Beam Revised","")</f>
        <v>#N/A</v>
      </c>
      <c r="U1033" s="7" t="e">
        <f>IF(VLOOKUP($A1033,'Concrete Beam Schedule'!$A$2:$Q$2902,U$2,0)&lt;&gt;E1033,"Beam Revised","")</f>
        <v>#N/A</v>
      </c>
      <c r="V1033" s="7" t="e">
        <f>IF(VLOOKUP($A1033,'Concrete Beam Schedule'!$A$2:$Q$2902,V$2,0)&lt;&gt;F1033,"Beam Revised","")</f>
        <v>#N/A</v>
      </c>
      <c r="W1033" s="7" t="e">
        <f>IF(VLOOKUP($A1033,'Concrete Beam Schedule'!$A$2:$Q$2902,W$2,0)&lt;&gt;G1033,"Beam Revised","")</f>
        <v>#N/A</v>
      </c>
      <c r="X1033" s="7" t="e">
        <f>IF(VLOOKUP($A1033,'Concrete Beam Schedule'!$A$2:$Q$2902,X$2,0)&lt;&gt;H1033,"Beam Revised","")</f>
        <v>#N/A</v>
      </c>
      <c r="Y1033" s="7" t="e">
        <f>IF(VLOOKUP($A1033,'Concrete Beam Schedule'!$A$2:$Q$2902,Y$2,0)&lt;&gt;I1033,"Beam Revised","")</f>
        <v>#N/A</v>
      </c>
      <c r="Z1033" s="7" t="e">
        <f>IF(VLOOKUP($A1033,'Concrete Beam Schedule'!$A$2:$Q$2902,Z$2,0)&lt;&gt;J1033,"Beam Revised","")</f>
        <v>#N/A</v>
      </c>
      <c r="AA1033" s="7" t="e">
        <f>IF(VLOOKUP($A1033,'Concrete Beam Schedule'!$A$2:$Q$2902,AA$2,0)&lt;&gt;K1033,"Beam Revised","")</f>
        <v>#N/A</v>
      </c>
      <c r="AB1033" s="7" t="e">
        <f>IF(VLOOKUP($A1033,'Concrete Beam Schedule'!$A$2:$Q$2902,AB$2,0)&lt;&gt;L1033,"Beam Revised","")</f>
        <v>#N/A</v>
      </c>
      <c r="AC1033" s="7" t="e">
        <f>IF(VLOOKUP($A1033,'Concrete Beam Schedule'!$A$2:$Q$2902,AC$2,0)&lt;&gt;M1033,"Beam Revised","")</f>
        <v>#N/A</v>
      </c>
      <c r="AD1033" s="7" t="e">
        <f>IF(VLOOKUP($A1033,'Concrete Beam Schedule'!$A$2:$Q$2902,AD$2,0)&lt;&gt;N1033,"Beam Revised","")</f>
        <v>#N/A</v>
      </c>
      <c r="AE1033" s="7" t="e">
        <f>IF(VLOOKUP($A1033,'Concrete Beam Schedule'!$A$2:$Q$2902,AE$2,0)&lt;&gt;O1033,"Beam Revised","")</f>
        <v>#N/A</v>
      </c>
    </row>
    <row r="1034" spans="17:31" ht="13.2" x14ac:dyDescent="0.25">
      <c r="Q1034" s="7">
        <f t="shared" si="16"/>
        <v>0</v>
      </c>
      <c r="R1034" s="7" t="e">
        <f>IF(VLOOKUP($A1034,'Concrete Beam Schedule'!$A$2:$Q$2902,R$2,0)&lt;&gt;B1034,VLOOKUP($A1034,'Concrete Beam Schedule'!$A$2:$Q$2902,R$2,0),"")</f>
        <v>#N/A</v>
      </c>
      <c r="S1034" s="7" t="e">
        <f>IF(VLOOKUP($A1034,'Concrete Beam Schedule'!$A$2:$Q$2902,S$2,0)&lt;&gt;C1034,VLOOKUP($A1034,'Concrete Beam Schedule'!$A$2:$Q$2902,S$2,0),"")</f>
        <v>#N/A</v>
      </c>
      <c r="T1034" s="7" t="e">
        <f>IF(VLOOKUP($A1034,'Concrete Beam Schedule'!$A$2:$Q$2902,T$2,0)&lt;&gt;D1034,"Beam Revised","")</f>
        <v>#N/A</v>
      </c>
      <c r="U1034" s="7" t="e">
        <f>IF(VLOOKUP($A1034,'Concrete Beam Schedule'!$A$2:$Q$2902,U$2,0)&lt;&gt;E1034,"Beam Revised","")</f>
        <v>#N/A</v>
      </c>
      <c r="V1034" s="7" t="e">
        <f>IF(VLOOKUP($A1034,'Concrete Beam Schedule'!$A$2:$Q$2902,V$2,0)&lt;&gt;F1034,"Beam Revised","")</f>
        <v>#N/A</v>
      </c>
      <c r="W1034" s="7" t="e">
        <f>IF(VLOOKUP($A1034,'Concrete Beam Schedule'!$A$2:$Q$2902,W$2,0)&lt;&gt;G1034,"Beam Revised","")</f>
        <v>#N/A</v>
      </c>
      <c r="X1034" s="7" t="e">
        <f>IF(VLOOKUP($A1034,'Concrete Beam Schedule'!$A$2:$Q$2902,X$2,0)&lt;&gt;H1034,"Beam Revised","")</f>
        <v>#N/A</v>
      </c>
      <c r="Y1034" s="7" t="e">
        <f>IF(VLOOKUP($A1034,'Concrete Beam Schedule'!$A$2:$Q$2902,Y$2,0)&lt;&gt;I1034,"Beam Revised","")</f>
        <v>#N/A</v>
      </c>
      <c r="Z1034" s="7" t="e">
        <f>IF(VLOOKUP($A1034,'Concrete Beam Schedule'!$A$2:$Q$2902,Z$2,0)&lt;&gt;J1034,"Beam Revised","")</f>
        <v>#N/A</v>
      </c>
      <c r="AA1034" s="7" t="e">
        <f>IF(VLOOKUP($A1034,'Concrete Beam Schedule'!$A$2:$Q$2902,AA$2,0)&lt;&gt;K1034,"Beam Revised","")</f>
        <v>#N/A</v>
      </c>
      <c r="AB1034" s="7" t="e">
        <f>IF(VLOOKUP($A1034,'Concrete Beam Schedule'!$A$2:$Q$2902,AB$2,0)&lt;&gt;L1034,"Beam Revised","")</f>
        <v>#N/A</v>
      </c>
      <c r="AC1034" s="7" t="e">
        <f>IF(VLOOKUP($A1034,'Concrete Beam Schedule'!$A$2:$Q$2902,AC$2,0)&lt;&gt;M1034,"Beam Revised","")</f>
        <v>#N/A</v>
      </c>
      <c r="AD1034" s="7" t="e">
        <f>IF(VLOOKUP($A1034,'Concrete Beam Schedule'!$A$2:$Q$2902,AD$2,0)&lt;&gt;N1034,"Beam Revised","")</f>
        <v>#N/A</v>
      </c>
      <c r="AE1034" s="7" t="e">
        <f>IF(VLOOKUP($A1034,'Concrete Beam Schedule'!$A$2:$Q$2902,AE$2,0)&lt;&gt;O1034,"Beam Revised","")</f>
        <v>#N/A</v>
      </c>
    </row>
    <row r="1035" spans="17:31" ht="13.2" x14ac:dyDescent="0.25">
      <c r="Q1035" s="7">
        <f t="shared" si="16"/>
        <v>0</v>
      </c>
      <c r="R1035" s="7" t="e">
        <f>IF(VLOOKUP($A1035,'Concrete Beam Schedule'!$A$2:$Q$2902,R$2,0)&lt;&gt;B1035,VLOOKUP($A1035,'Concrete Beam Schedule'!$A$2:$Q$2902,R$2,0),"")</f>
        <v>#N/A</v>
      </c>
      <c r="S1035" s="7" t="e">
        <f>IF(VLOOKUP($A1035,'Concrete Beam Schedule'!$A$2:$Q$2902,S$2,0)&lt;&gt;C1035,VLOOKUP($A1035,'Concrete Beam Schedule'!$A$2:$Q$2902,S$2,0),"")</f>
        <v>#N/A</v>
      </c>
      <c r="T1035" s="7" t="e">
        <f>IF(VLOOKUP($A1035,'Concrete Beam Schedule'!$A$2:$Q$2902,T$2,0)&lt;&gt;D1035,"Beam Revised","")</f>
        <v>#N/A</v>
      </c>
      <c r="U1035" s="7" t="e">
        <f>IF(VLOOKUP($A1035,'Concrete Beam Schedule'!$A$2:$Q$2902,U$2,0)&lt;&gt;E1035,"Beam Revised","")</f>
        <v>#N/A</v>
      </c>
      <c r="V1035" s="7" t="e">
        <f>IF(VLOOKUP($A1035,'Concrete Beam Schedule'!$A$2:$Q$2902,V$2,0)&lt;&gt;F1035,"Beam Revised","")</f>
        <v>#N/A</v>
      </c>
      <c r="W1035" s="7" t="e">
        <f>IF(VLOOKUP($A1035,'Concrete Beam Schedule'!$A$2:$Q$2902,W$2,0)&lt;&gt;G1035,"Beam Revised","")</f>
        <v>#N/A</v>
      </c>
      <c r="X1035" s="7" t="e">
        <f>IF(VLOOKUP($A1035,'Concrete Beam Schedule'!$A$2:$Q$2902,X$2,0)&lt;&gt;H1035,"Beam Revised","")</f>
        <v>#N/A</v>
      </c>
      <c r="Y1035" s="7" t="e">
        <f>IF(VLOOKUP($A1035,'Concrete Beam Schedule'!$A$2:$Q$2902,Y$2,0)&lt;&gt;I1035,"Beam Revised","")</f>
        <v>#N/A</v>
      </c>
      <c r="Z1035" s="7" t="e">
        <f>IF(VLOOKUP($A1035,'Concrete Beam Schedule'!$A$2:$Q$2902,Z$2,0)&lt;&gt;J1035,"Beam Revised","")</f>
        <v>#N/A</v>
      </c>
      <c r="AA1035" s="7" t="e">
        <f>IF(VLOOKUP($A1035,'Concrete Beam Schedule'!$A$2:$Q$2902,AA$2,0)&lt;&gt;K1035,"Beam Revised","")</f>
        <v>#N/A</v>
      </c>
      <c r="AB1035" s="7" t="e">
        <f>IF(VLOOKUP($A1035,'Concrete Beam Schedule'!$A$2:$Q$2902,AB$2,0)&lt;&gt;L1035,"Beam Revised","")</f>
        <v>#N/A</v>
      </c>
      <c r="AC1035" s="7" t="e">
        <f>IF(VLOOKUP($A1035,'Concrete Beam Schedule'!$A$2:$Q$2902,AC$2,0)&lt;&gt;M1035,"Beam Revised","")</f>
        <v>#N/A</v>
      </c>
      <c r="AD1035" s="7" t="e">
        <f>IF(VLOOKUP($A1035,'Concrete Beam Schedule'!$A$2:$Q$2902,AD$2,0)&lt;&gt;N1035,"Beam Revised","")</f>
        <v>#N/A</v>
      </c>
      <c r="AE1035" s="7" t="e">
        <f>IF(VLOOKUP($A1035,'Concrete Beam Schedule'!$A$2:$Q$2902,AE$2,0)&lt;&gt;O1035,"Beam Revised","")</f>
        <v>#N/A</v>
      </c>
    </row>
    <row r="1036" spans="17:31" ht="13.2" x14ac:dyDescent="0.25">
      <c r="Q1036" s="7">
        <f t="shared" si="16"/>
        <v>0</v>
      </c>
      <c r="R1036" s="7" t="e">
        <f>IF(VLOOKUP($A1036,'Concrete Beam Schedule'!$A$2:$Q$2902,R$2,0)&lt;&gt;B1036,VLOOKUP($A1036,'Concrete Beam Schedule'!$A$2:$Q$2902,R$2,0),"")</f>
        <v>#N/A</v>
      </c>
      <c r="S1036" s="7" t="e">
        <f>IF(VLOOKUP($A1036,'Concrete Beam Schedule'!$A$2:$Q$2902,S$2,0)&lt;&gt;C1036,VLOOKUP($A1036,'Concrete Beam Schedule'!$A$2:$Q$2902,S$2,0),"")</f>
        <v>#N/A</v>
      </c>
      <c r="T1036" s="7" t="e">
        <f>IF(VLOOKUP($A1036,'Concrete Beam Schedule'!$A$2:$Q$2902,T$2,0)&lt;&gt;D1036,"Beam Revised","")</f>
        <v>#N/A</v>
      </c>
      <c r="U1036" s="7" t="e">
        <f>IF(VLOOKUP($A1036,'Concrete Beam Schedule'!$A$2:$Q$2902,U$2,0)&lt;&gt;E1036,"Beam Revised","")</f>
        <v>#N/A</v>
      </c>
      <c r="V1036" s="7" t="e">
        <f>IF(VLOOKUP($A1036,'Concrete Beam Schedule'!$A$2:$Q$2902,V$2,0)&lt;&gt;F1036,"Beam Revised","")</f>
        <v>#N/A</v>
      </c>
      <c r="W1036" s="7" t="e">
        <f>IF(VLOOKUP($A1036,'Concrete Beam Schedule'!$A$2:$Q$2902,W$2,0)&lt;&gt;G1036,"Beam Revised","")</f>
        <v>#N/A</v>
      </c>
      <c r="X1036" s="7" t="e">
        <f>IF(VLOOKUP($A1036,'Concrete Beam Schedule'!$A$2:$Q$2902,X$2,0)&lt;&gt;H1036,"Beam Revised","")</f>
        <v>#N/A</v>
      </c>
      <c r="Y1036" s="7" t="e">
        <f>IF(VLOOKUP($A1036,'Concrete Beam Schedule'!$A$2:$Q$2902,Y$2,0)&lt;&gt;I1036,"Beam Revised","")</f>
        <v>#N/A</v>
      </c>
      <c r="Z1036" s="7" t="e">
        <f>IF(VLOOKUP($A1036,'Concrete Beam Schedule'!$A$2:$Q$2902,Z$2,0)&lt;&gt;J1036,"Beam Revised","")</f>
        <v>#N/A</v>
      </c>
      <c r="AA1036" s="7" t="e">
        <f>IF(VLOOKUP($A1036,'Concrete Beam Schedule'!$A$2:$Q$2902,AA$2,0)&lt;&gt;K1036,"Beam Revised","")</f>
        <v>#N/A</v>
      </c>
      <c r="AB1036" s="7" t="e">
        <f>IF(VLOOKUP($A1036,'Concrete Beam Schedule'!$A$2:$Q$2902,AB$2,0)&lt;&gt;L1036,"Beam Revised","")</f>
        <v>#N/A</v>
      </c>
      <c r="AC1036" s="7" t="e">
        <f>IF(VLOOKUP($A1036,'Concrete Beam Schedule'!$A$2:$Q$2902,AC$2,0)&lt;&gt;M1036,"Beam Revised","")</f>
        <v>#N/A</v>
      </c>
      <c r="AD1036" s="7" t="e">
        <f>IF(VLOOKUP($A1036,'Concrete Beam Schedule'!$A$2:$Q$2902,AD$2,0)&lt;&gt;N1036,"Beam Revised","")</f>
        <v>#N/A</v>
      </c>
      <c r="AE1036" s="7" t="e">
        <f>IF(VLOOKUP($A1036,'Concrete Beam Schedule'!$A$2:$Q$2902,AE$2,0)&lt;&gt;O1036,"Beam Revised","")</f>
        <v>#N/A</v>
      </c>
    </row>
    <row r="1037" spans="17:31" ht="13.2" x14ac:dyDescent="0.25">
      <c r="Q1037" s="7">
        <f t="shared" si="16"/>
        <v>0</v>
      </c>
      <c r="R1037" s="7" t="e">
        <f>IF(VLOOKUP($A1037,'Concrete Beam Schedule'!$A$2:$Q$2902,R$2,0)&lt;&gt;B1037,VLOOKUP($A1037,'Concrete Beam Schedule'!$A$2:$Q$2902,R$2,0),"")</f>
        <v>#N/A</v>
      </c>
      <c r="S1037" s="7" t="e">
        <f>IF(VLOOKUP($A1037,'Concrete Beam Schedule'!$A$2:$Q$2902,S$2,0)&lt;&gt;C1037,VLOOKUP($A1037,'Concrete Beam Schedule'!$A$2:$Q$2902,S$2,0),"")</f>
        <v>#N/A</v>
      </c>
      <c r="T1037" s="7" t="e">
        <f>IF(VLOOKUP($A1037,'Concrete Beam Schedule'!$A$2:$Q$2902,T$2,0)&lt;&gt;D1037,"Beam Revised","")</f>
        <v>#N/A</v>
      </c>
      <c r="U1037" s="7" t="e">
        <f>IF(VLOOKUP($A1037,'Concrete Beam Schedule'!$A$2:$Q$2902,U$2,0)&lt;&gt;E1037,"Beam Revised","")</f>
        <v>#N/A</v>
      </c>
      <c r="V1037" s="7" t="e">
        <f>IF(VLOOKUP($A1037,'Concrete Beam Schedule'!$A$2:$Q$2902,V$2,0)&lt;&gt;F1037,"Beam Revised","")</f>
        <v>#N/A</v>
      </c>
      <c r="W1037" s="7" t="e">
        <f>IF(VLOOKUP($A1037,'Concrete Beam Schedule'!$A$2:$Q$2902,W$2,0)&lt;&gt;G1037,"Beam Revised","")</f>
        <v>#N/A</v>
      </c>
      <c r="X1037" s="7" t="e">
        <f>IF(VLOOKUP($A1037,'Concrete Beam Schedule'!$A$2:$Q$2902,X$2,0)&lt;&gt;H1037,"Beam Revised","")</f>
        <v>#N/A</v>
      </c>
      <c r="Y1037" s="7" t="e">
        <f>IF(VLOOKUP($A1037,'Concrete Beam Schedule'!$A$2:$Q$2902,Y$2,0)&lt;&gt;I1037,"Beam Revised","")</f>
        <v>#N/A</v>
      </c>
      <c r="Z1037" s="7" t="e">
        <f>IF(VLOOKUP($A1037,'Concrete Beam Schedule'!$A$2:$Q$2902,Z$2,0)&lt;&gt;J1037,"Beam Revised","")</f>
        <v>#N/A</v>
      </c>
      <c r="AA1037" s="7" t="e">
        <f>IF(VLOOKUP($A1037,'Concrete Beam Schedule'!$A$2:$Q$2902,AA$2,0)&lt;&gt;K1037,"Beam Revised","")</f>
        <v>#N/A</v>
      </c>
      <c r="AB1037" s="7" t="e">
        <f>IF(VLOOKUP($A1037,'Concrete Beam Schedule'!$A$2:$Q$2902,AB$2,0)&lt;&gt;L1037,"Beam Revised","")</f>
        <v>#N/A</v>
      </c>
      <c r="AC1037" s="7" t="e">
        <f>IF(VLOOKUP($A1037,'Concrete Beam Schedule'!$A$2:$Q$2902,AC$2,0)&lt;&gt;M1037,"Beam Revised","")</f>
        <v>#N/A</v>
      </c>
      <c r="AD1037" s="7" t="e">
        <f>IF(VLOOKUP($A1037,'Concrete Beam Schedule'!$A$2:$Q$2902,AD$2,0)&lt;&gt;N1037,"Beam Revised","")</f>
        <v>#N/A</v>
      </c>
      <c r="AE1037" s="7" t="e">
        <f>IF(VLOOKUP($A1037,'Concrete Beam Schedule'!$A$2:$Q$2902,AE$2,0)&lt;&gt;O1037,"Beam Revised","")</f>
        <v>#N/A</v>
      </c>
    </row>
    <row r="1038" spans="17:31" ht="13.2" x14ac:dyDescent="0.25">
      <c r="Q1038" s="7">
        <f t="shared" si="16"/>
        <v>0</v>
      </c>
      <c r="R1038" s="7" t="e">
        <f>IF(VLOOKUP($A1038,'Concrete Beam Schedule'!$A$2:$Q$2902,R$2,0)&lt;&gt;B1038,VLOOKUP($A1038,'Concrete Beam Schedule'!$A$2:$Q$2902,R$2,0),"")</f>
        <v>#N/A</v>
      </c>
      <c r="S1038" s="7" t="e">
        <f>IF(VLOOKUP($A1038,'Concrete Beam Schedule'!$A$2:$Q$2902,S$2,0)&lt;&gt;C1038,VLOOKUP($A1038,'Concrete Beam Schedule'!$A$2:$Q$2902,S$2,0),"")</f>
        <v>#N/A</v>
      </c>
      <c r="T1038" s="7" t="e">
        <f>IF(VLOOKUP($A1038,'Concrete Beam Schedule'!$A$2:$Q$2902,T$2,0)&lt;&gt;D1038,"Beam Revised","")</f>
        <v>#N/A</v>
      </c>
      <c r="U1038" s="7" t="e">
        <f>IF(VLOOKUP($A1038,'Concrete Beam Schedule'!$A$2:$Q$2902,U$2,0)&lt;&gt;E1038,"Beam Revised","")</f>
        <v>#N/A</v>
      </c>
      <c r="V1038" s="7" t="e">
        <f>IF(VLOOKUP($A1038,'Concrete Beam Schedule'!$A$2:$Q$2902,V$2,0)&lt;&gt;F1038,"Beam Revised","")</f>
        <v>#N/A</v>
      </c>
      <c r="W1038" s="7" t="e">
        <f>IF(VLOOKUP($A1038,'Concrete Beam Schedule'!$A$2:$Q$2902,W$2,0)&lt;&gt;G1038,"Beam Revised","")</f>
        <v>#N/A</v>
      </c>
      <c r="X1038" s="7" t="e">
        <f>IF(VLOOKUP($A1038,'Concrete Beam Schedule'!$A$2:$Q$2902,X$2,0)&lt;&gt;H1038,"Beam Revised","")</f>
        <v>#N/A</v>
      </c>
      <c r="Y1038" s="7" t="e">
        <f>IF(VLOOKUP($A1038,'Concrete Beam Schedule'!$A$2:$Q$2902,Y$2,0)&lt;&gt;I1038,"Beam Revised","")</f>
        <v>#N/A</v>
      </c>
      <c r="Z1038" s="7" t="e">
        <f>IF(VLOOKUP($A1038,'Concrete Beam Schedule'!$A$2:$Q$2902,Z$2,0)&lt;&gt;J1038,"Beam Revised","")</f>
        <v>#N/A</v>
      </c>
      <c r="AA1038" s="7" t="e">
        <f>IF(VLOOKUP($A1038,'Concrete Beam Schedule'!$A$2:$Q$2902,AA$2,0)&lt;&gt;K1038,"Beam Revised","")</f>
        <v>#N/A</v>
      </c>
      <c r="AB1038" s="7" t="e">
        <f>IF(VLOOKUP($A1038,'Concrete Beam Schedule'!$A$2:$Q$2902,AB$2,0)&lt;&gt;L1038,"Beam Revised","")</f>
        <v>#N/A</v>
      </c>
      <c r="AC1038" s="7" t="e">
        <f>IF(VLOOKUP($A1038,'Concrete Beam Schedule'!$A$2:$Q$2902,AC$2,0)&lt;&gt;M1038,"Beam Revised","")</f>
        <v>#N/A</v>
      </c>
      <c r="AD1038" s="7" t="e">
        <f>IF(VLOOKUP($A1038,'Concrete Beam Schedule'!$A$2:$Q$2902,AD$2,0)&lt;&gt;N1038,"Beam Revised","")</f>
        <v>#N/A</v>
      </c>
      <c r="AE1038" s="7" t="e">
        <f>IF(VLOOKUP($A1038,'Concrete Beam Schedule'!$A$2:$Q$2902,AE$2,0)&lt;&gt;O1038,"Beam Revised","")</f>
        <v>#N/A</v>
      </c>
    </row>
    <row r="1039" spans="17:31" ht="13.2" x14ac:dyDescent="0.25">
      <c r="Q1039" s="7">
        <f t="shared" si="16"/>
        <v>0</v>
      </c>
      <c r="R1039" s="7" t="e">
        <f>IF(VLOOKUP($A1039,'Concrete Beam Schedule'!$A$2:$Q$2902,R$2,0)&lt;&gt;B1039,VLOOKUP($A1039,'Concrete Beam Schedule'!$A$2:$Q$2902,R$2,0),"")</f>
        <v>#N/A</v>
      </c>
      <c r="S1039" s="7" t="e">
        <f>IF(VLOOKUP($A1039,'Concrete Beam Schedule'!$A$2:$Q$2902,S$2,0)&lt;&gt;C1039,VLOOKUP($A1039,'Concrete Beam Schedule'!$A$2:$Q$2902,S$2,0),"")</f>
        <v>#N/A</v>
      </c>
      <c r="T1039" s="7" t="e">
        <f>IF(VLOOKUP($A1039,'Concrete Beam Schedule'!$A$2:$Q$2902,T$2,0)&lt;&gt;D1039,"Beam Revised","")</f>
        <v>#N/A</v>
      </c>
      <c r="U1039" s="7" t="e">
        <f>IF(VLOOKUP($A1039,'Concrete Beam Schedule'!$A$2:$Q$2902,U$2,0)&lt;&gt;E1039,"Beam Revised","")</f>
        <v>#N/A</v>
      </c>
      <c r="V1039" s="7" t="e">
        <f>IF(VLOOKUP($A1039,'Concrete Beam Schedule'!$A$2:$Q$2902,V$2,0)&lt;&gt;F1039,"Beam Revised","")</f>
        <v>#N/A</v>
      </c>
      <c r="W1039" s="7" t="e">
        <f>IF(VLOOKUP($A1039,'Concrete Beam Schedule'!$A$2:$Q$2902,W$2,0)&lt;&gt;G1039,"Beam Revised","")</f>
        <v>#N/A</v>
      </c>
      <c r="X1039" s="7" t="e">
        <f>IF(VLOOKUP($A1039,'Concrete Beam Schedule'!$A$2:$Q$2902,X$2,0)&lt;&gt;H1039,"Beam Revised","")</f>
        <v>#N/A</v>
      </c>
      <c r="Y1039" s="7" t="e">
        <f>IF(VLOOKUP($A1039,'Concrete Beam Schedule'!$A$2:$Q$2902,Y$2,0)&lt;&gt;I1039,"Beam Revised","")</f>
        <v>#N/A</v>
      </c>
      <c r="Z1039" s="7" t="e">
        <f>IF(VLOOKUP($A1039,'Concrete Beam Schedule'!$A$2:$Q$2902,Z$2,0)&lt;&gt;J1039,"Beam Revised","")</f>
        <v>#N/A</v>
      </c>
      <c r="AA1039" s="7" t="e">
        <f>IF(VLOOKUP($A1039,'Concrete Beam Schedule'!$A$2:$Q$2902,AA$2,0)&lt;&gt;K1039,"Beam Revised","")</f>
        <v>#N/A</v>
      </c>
      <c r="AB1039" s="7" t="e">
        <f>IF(VLOOKUP($A1039,'Concrete Beam Schedule'!$A$2:$Q$2902,AB$2,0)&lt;&gt;L1039,"Beam Revised","")</f>
        <v>#N/A</v>
      </c>
      <c r="AC1039" s="7" t="e">
        <f>IF(VLOOKUP($A1039,'Concrete Beam Schedule'!$A$2:$Q$2902,AC$2,0)&lt;&gt;M1039,"Beam Revised","")</f>
        <v>#N/A</v>
      </c>
      <c r="AD1039" s="7" t="e">
        <f>IF(VLOOKUP($A1039,'Concrete Beam Schedule'!$A$2:$Q$2902,AD$2,0)&lt;&gt;N1039,"Beam Revised","")</f>
        <v>#N/A</v>
      </c>
      <c r="AE1039" s="7" t="e">
        <f>IF(VLOOKUP($A1039,'Concrete Beam Schedule'!$A$2:$Q$2902,AE$2,0)&lt;&gt;O1039,"Beam Revised","")</f>
        <v>#N/A</v>
      </c>
    </row>
    <row r="1040" spans="17:31" ht="13.2" x14ac:dyDescent="0.25">
      <c r="Q1040" s="7">
        <f t="shared" si="16"/>
        <v>0</v>
      </c>
      <c r="R1040" s="7" t="e">
        <f>IF(VLOOKUP($A1040,'Concrete Beam Schedule'!$A$2:$Q$2902,R$2,0)&lt;&gt;B1040,VLOOKUP($A1040,'Concrete Beam Schedule'!$A$2:$Q$2902,R$2,0),"")</f>
        <v>#N/A</v>
      </c>
      <c r="S1040" s="7" t="e">
        <f>IF(VLOOKUP($A1040,'Concrete Beam Schedule'!$A$2:$Q$2902,S$2,0)&lt;&gt;C1040,VLOOKUP($A1040,'Concrete Beam Schedule'!$A$2:$Q$2902,S$2,0),"")</f>
        <v>#N/A</v>
      </c>
      <c r="T1040" s="7" t="e">
        <f>IF(VLOOKUP($A1040,'Concrete Beam Schedule'!$A$2:$Q$2902,T$2,0)&lt;&gt;D1040,"Beam Revised","")</f>
        <v>#N/A</v>
      </c>
      <c r="U1040" s="7" t="e">
        <f>IF(VLOOKUP($A1040,'Concrete Beam Schedule'!$A$2:$Q$2902,U$2,0)&lt;&gt;E1040,"Beam Revised","")</f>
        <v>#N/A</v>
      </c>
      <c r="V1040" s="7" t="e">
        <f>IF(VLOOKUP($A1040,'Concrete Beam Schedule'!$A$2:$Q$2902,V$2,0)&lt;&gt;F1040,"Beam Revised","")</f>
        <v>#N/A</v>
      </c>
      <c r="W1040" s="7" t="e">
        <f>IF(VLOOKUP($A1040,'Concrete Beam Schedule'!$A$2:$Q$2902,W$2,0)&lt;&gt;G1040,"Beam Revised","")</f>
        <v>#N/A</v>
      </c>
      <c r="X1040" s="7" t="e">
        <f>IF(VLOOKUP($A1040,'Concrete Beam Schedule'!$A$2:$Q$2902,X$2,0)&lt;&gt;H1040,"Beam Revised","")</f>
        <v>#N/A</v>
      </c>
      <c r="Y1040" s="7" t="e">
        <f>IF(VLOOKUP($A1040,'Concrete Beam Schedule'!$A$2:$Q$2902,Y$2,0)&lt;&gt;I1040,"Beam Revised","")</f>
        <v>#N/A</v>
      </c>
      <c r="Z1040" s="7" t="e">
        <f>IF(VLOOKUP($A1040,'Concrete Beam Schedule'!$A$2:$Q$2902,Z$2,0)&lt;&gt;J1040,"Beam Revised","")</f>
        <v>#N/A</v>
      </c>
      <c r="AA1040" s="7" t="e">
        <f>IF(VLOOKUP($A1040,'Concrete Beam Schedule'!$A$2:$Q$2902,AA$2,0)&lt;&gt;K1040,"Beam Revised","")</f>
        <v>#N/A</v>
      </c>
      <c r="AB1040" s="7" t="e">
        <f>IF(VLOOKUP($A1040,'Concrete Beam Schedule'!$A$2:$Q$2902,AB$2,0)&lt;&gt;L1040,"Beam Revised","")</f>
        <v>#N/A</v>
      </c>
      <c r="AC1040" s="7" t="e">
        <f>IF(VLOOKUP($A1040,'Concrete Beam Schedule'!$A$2:$Q$2902,AC$2,0)&lt;&gt;M1040,"Beam Revised","")</f>
        <v>#N/A</v>
      </c>
      <c r="AD1040" s="7" t="e">
        <f>IF(VLOOKUP($A1040,'Concrete Beam Schedule'!$A$2:$Q$2902,AD$2,0)&lt;&gt;N1040,"Beam Revised","")</f>
        <v>#N/A</v>
      </c>
      <c r="AE1040" s="7" t="e">
        <f>IF(VLOOKUP($A1040,'Concrete Beam Schedule'!$A$2:$Q$2902,AE$2,0)&lt;&gt;O1040,"Beam Revised","")</f>
        <v>#N/A</v>
      </c>
    </row>
    <row r="1041" spans="17:31" ht="13.2" x14ac:dyDescent="0.25">
      <c r="Q1041" s="7">
        <f t="shared" si="16"/>
        <v>0</v>
      </c>
      <c r="R1041" s="7" t="e">
        <f>IF(VLOOKUP($A1041,'Concrete Beam Schedule'!$A$2:$Q$2902,R$2,0)&lt;&gt;B1041,VLOOKUP($A1041,'Concrete Beam Schedule'!$A$2:$Q$2902,R$2,0),"")</f>
        <v>#N/A</v>
      </c>
      <c r="S1041" s="7" t="e">
        <f>IF(VLOOKUP($A1041,'Concrete Beam Schedule'!$A$2:$Q$2902,S$2,0)&lt;&gt;C1041,VLOOKUP($A1041,'Concrete Beam Schedule'!$A$2:$Q$2902,S$2,0),"")</f>
        <v>#N/A</v>
      </c>
      <c r="T1041" s="7" t="e">
        <f>IF(VLOOKUP($A1041,'Concrete Beam Schedule'!$A$2:$Q$2902,T$2,0)&lt;&gt;D1041,"Beam Revised","")</f>
        <v>#N/A</v>
      </c>
      <c r="U1041" s="7" t="e">
        <f>IF(VLOOKUP($A1041,'Concrete Beam Schedule'!$A$2:$Q$2902,U$2,0)&lt;&gt;E1041,"Beam Revised","")</f>
        <v>#N/A</v>
      </c>
      <c r="V1041" s="7" t="e">
        <f>IF(VLOOKUP($A1041,'Concrete Beam Schedule'!$A$2:$Q$2902,V$2,0)&lt;&gt;F1041,"Beam Revised","")</f>
        <v>#N/A</v>
      </c>
      <c r="W1041" s="7" t="e">
        <f>IF(VLOOKUP($A1041,'Concrete Beam Schedule'!$A$2:$Q$2902,W$2,0)&lt;&gt;G1041,"Beam Revised","")</f>
        <v>#N/A</v>
      </c>
      <c r="X1041" s="7" t="e">
        <f>IF(VLOOKUP($A1041,'Concrete Beam Schedule'!$A$2:$Q$2902,X$2,0)&lt;&gt;H1041,"Beam Revised","")</f>
        <v>#N/A</v>
      </c>
      <c r="Y1041" s="7" t="e">
        <f>IF(VLOOKUP($A1041,'Concrete Beam Schedule'!$A$2:$Q$2902,Y$2,0)&lt;&gt;I1041,"Beam Revised","")</f>
        <v>#N/A</v>
      </c>
      <c r="Z1041" s="7" t="e">
        <f>IF(VLOOKUP($A1041,'Concrete Beam Schedule'!$A$2:$Q$2902,Z$2,0)&lt;&gt;J1041,"Beam Revised","")</f>
        <v>#N/A</v>
      </c>
      <c r="AA1041" s="7" t="e">
        <f>IF(VLOOKUP($A1041,'Concrete Beam Schedule'!$A$2:$Q$2902,AA$2,0)&lt;&gt;K1041,"Beam Revised","")</f>
        <v>#N/A</v>
      </c>
      <c r="AB1041" s="7" t="e">
        <f>IF(VLOOKUP($A1041,'Concrete Beam Schedule'!$A$2:$Q$2902,AB$2,0)&lt;&gt;L1041,"Beam Revised","")</f>
        <v>#N/A</v>
      </c>
      <c r="AC1041" s="7" t="e">
        <f>IF(VLOOKUP($A1041,'Concrete Beam Schedule'!$A$2:$Q$2902,AC$2,0)&lt;&gt;M1041,"Beam Revised","")</f>
        <v>#N/A</v>
      </c>
      <c r="AD1041" s="7" t="e">
        <f>IF(VLOOKUP($A1041,'Concrete Beam Schedule'!$A$2:$Q$2902,AD$2,0)&lt;&gt;N1041,"Beam Revised","")</f>
        <v>#N/A</v>
      </c>
      <c r="AE1041" s="7" t="e">
        <f>IF(VLOOKUP($A1041,'Concrete Beam Schedule'!$A$2:$Q$2902,AE$2,0)&lt;&gt;O1041,"Beam Revised","")</f>
        <v>#N/A</v>
      </c>
    </row>
    <row r="1042" spans="17:31" ht="13.2" x14ac:dyDescent="0.25">
      <c r="Q1042" s="7">
        <f t="shared" si="16"/>
        <v>0</v>
      </c>
      <c r="R1042" s="7" t="e">
        <f>IF(VLOOKUP($A1042,'Concrete Beam Schedule'!$A$2:$Q$2902,R$2,0)&lt;&gt;B1042,VLOOKUP($A1042,'Concrete Beam Schedule'!$A$2:$Q$2902,R$2,0),"")</f>
        <v>#N/A</v>
      </c>
      <c r="S1042" s="7" t="e">
        <f>IF(VLOOKUP($A1042,'Concrete Beam Schedule'!$A$2:$Q$2902,S$2,0)&lt;&gt;C1042,VLOOKUP($A1042,'Concrete Beam Schedule'!$A$2:$Q$2902,S$2,0),"")</f>
        <v>#N/A</v>
      </c>
      <c r="T1042" s="7" t="e">
        <f>IF(VLOOKUP($A1042,'Concrete Beam Schedule'!$A$2:$Q$2902,T$2,0)&lt;&gt;D1042,"Beam Revised","")</f>
        <v>#N/A</v>
      </c>
      <c r="U1042" s="7" t="e">
        <f>IF(VLOOKUP($A1042,'Concrete Beam Schedule'!$A$2:$Q$2902,U$2,0)&lt;&gt;E1042,"Beam Revised","")</f>
        <v>#N/A</v>
      </c>
      <c r="V1042" s="7" t="e">
        <f>IF(VLOOKUP($A1042,'Concrete Beam Schedule'!$A$2:$Q$2902,V$2,0)&lt;&gt;F1042,"Beam Revised","")</f>
        <v>#N/A</v>
      </c>
      <c r="W1042" s="7" t="e">
        <f>IF(VLOOKUP($A1042,'Concrete Beam Schedule'!$A$2:$Q$2902,W$2,0)&lt;&gt;G1042,"Beam Revised","")</f>
        <v>#N/A</v>
      </c>
      <c r="X1042" s="7" t="e">
        <f>IF(VLOOKUP($A1042,'Concrete Beam Schedule'!$A$2:$Q$2902,X$2,0)&lt;&gt;H1042,"Beam Revised","")</f>
        <v>#N/A</v>
      </c>
      <c r="Y1042" s="7" t="e">
        <f>IF(VLOOKUP($A1042,'Concrete Beam Schedule'!$A$2:$Q$2902,Y$2,0)&lt;&gt;I1042,"Beam Revised","")</f>
        <v>#N/A</v>
      </c>
      <c r="Z1042" s="7" t="e">
        <f>IF(VLOOKUP($A1042,'Concrete Beam Schedule'!$A$2:$Q$2902,Z$2,0)&lt;&gt;J1042,"Beam Revised","")</f>
        <v>#N/A</v>
      </c>
      <c r="AA1042" s="7" t="e">
        <f>IF(VLOOKUP($A1042,'Concrete Beam Schedule'!$A$2:$Q$2902,AA$2,0)&lt;&gt;K1042,"Beam Revised","")</f>
        <v>#N/A</v>
      </c>
      <c r="AB1042" s="7" t="e">
        <f>IF(VLOOKUP($A1042,'Concrete Beam Schedule'!$A$2:$Q$2902,AB$2,0)&lt;&gt;L1042,"Beam Revised","")</f>
        <v>#N/A</v>
      </c>
      <c r="AC1042" s="7" t="e">
        <f>IF(VLOOKUP($A1042,'Concrete Beam Schedule'!$A$2:$Q$2902,AC$2,0)&lt;&gt;M1042,"Beam Revised","")</f>
        <v>#N/A</v>
      </c>
      <c r="AD1042" s="7" t="e">
        <f>IF(VLOOKUP($A1042,'Concrete Beam Schedule'!$A$2:$Q$2902,AD$2,0)&lt;&gt;N1042,"Beam Revised","")</f>
        <v>#N/A</v>
      </c>
      <c r="AE1042" s="7" t="e">
        <f>IF(VLOOKUP($A1042,'Concrete Beam Schedule'!$A$2:$Q$2902,AE$2,0)&lt;&gt;O1042,"Beam Revised","")</f>
        <v>#N/A</v>
      </c>
    </row>
    <row r="1043" spans="17:31" ht="13.2" x14ac:dyDescent="0.25">
      <c r="Q1043" s="7">
        <f t="shared" si="16"/>
        <v>0</v>
      </c>
      <c r="R1043" s="7" t="e">
        <f>IF(VLOOKUP($A1043,'Concrete Beam Schedule'!$A$2:$Q$2902,R$2,0)&lt;&gt;B1043,VLOOKUP($A1043,'Concrete Beam Schedule'!$A$2:$Q$2902,R$2,0),"")</f>
        <v>#N/A</v>
      </c>
      <c r="S1043" s="7" t="e">
        <f>IF(VLOOKUP($A1043,'Concrete Beam Schedule'!$A$2:$Q$2902,S$2,0)&lt;&gt;C1043,VLOOKUP($A1043,'Concrete Beam Schedule'!$A$2:$Q$2902,S$2,0),"")</f>
        <v>#N/A</v>
      </c>
      <c r="T1043" s="7" t="e">
        <f>IF(VLOOKUP($A1043,'Concrete Beam Schedule'!$A$2:$Q$2902,T$2,0)&lt;&gt;D1043,"Beam Revised","")</f>
        <v>#N/A</v>
      </c>
      <c r="U1043" s="7" t="e">
        <f>IF(VLOOKUP($A1043,'Concrete Beam Schedule'!$A$2:$Q$2902,U$2,0)&lt;&gt;E1043,"Beam Revised","")</f>
        <v>#N/A</v>
      </c>
      <c r="V1043" s="7" t="e">
        <f>IF(VLOOKUP($A1043,'Concrete Beam Schedule'!$A$2:$Q$2902,V$2,0)&lt;&gt;F1043,"Beam Revised","")</f>
        <v>#N/A</v>
      </c>
      <c r="W1043" s="7" t="e">
        <f>IF(VLOOKUP($A1043,'Concrete Beam Schedule'!$A$2:$Q$2902,W$2,0)&lt;&gt;G1043,"Beam Revised","")</f>
        <v>#N/A</v>
      </c>
      <c r="X1043" s="7" t="e">
        <f>IF(VLOOKUP($A1043,'Concrete Beam Schedule'!$A$2:$Q$2902,X$2,0)&lt;&gt;H1043,"Beam Revised","")</f>
        <v>#N/A</v>
      </c>
      <c r="Y1043" s="7" t="e">
        <f>IF(VLOOKUP($A1043,'Concrete Beam Schedule'!$A$2:$Q$2902,Y$2,0)&lt;&gt;I1043,"Beam Revised","")</f>
        <v>#N/A</v>
      </c>
      <c r="Z1043" s="7" t="e">
        <f>IF(VLOOKUP($A1043,'Concrete Beam Schedule'!$A$2:$Q$2902,Z$2,0)&lt;&gt;J1043,"Beam Revised","")</f>
        <v>#N/A</v>
      </c>
      <c r="AA1043" s="7" t="e">
        <f>IF(VLOOKUP($A1043,'Concrete Beam Schedule'!$A$2:$Q$2902,AA$2,0)&lt;&gt;K1043,"Beam Revised","")</f>
        <v>#N/A</v>
      </c>
      <c r="AB1043" s="7" t="e">
        <f>IF(VLOOKUP($A1043,'Concrete Beam Schedule'!$A$2:$Q$2902,AB$2,0)&lt;&gt;L1043,"Beam Revised","")</f>
        <v>#N/A</v>
      </c>
      <c r="AC1043" s="7" t="e">
        <f>IF(VLOOKUP($A1043,'Concrete Beam Schedule'!$A$2:$Q$2902,AC$2,0)&lt;&gt;M1043,"Beam Revised","")</f>
        <v>#N/A</v>
      </c>
      <c r="AD1043" s="7" t="e">
        <f>IF(VLOOKUP($A1043,'Concrete Beam Schedule'!$A$2:$Q$2902,AD$2,0)&lt;&gt;N1043,"Beam Revised","")</f>
        <v>#N/A</v>
      </c>
      <c r="AE1043" s="7" t="e">
        <f>IF(VLOOKUP($A1043,'Concrete Beam Schedule'!$A$2:$Q$2902,AE$2,0)&lt;&gt;O1043,"Beam Revised","")</f>
        <v>#N/A</v>
      </c>
    </row>
    <row r="1044" spans="17:31" ht="13.2" x14ac:dyDescent="0.25">
      <c r="Q1044" s="7">
        <f t="shared" si="16"/>
        <v>0</v>
      </c>
      <c r="R1044" s="7" t="e">
        <f>IF(VLOOKUP($A1044,'Concrete Beam Schedule'!$A$2:$Q$2902,R$2,0)&lt;&gt;B1044,VLOOKUP($A1044,'Concrete Beam Schedule'!$A$2:$Q$2902,R$2,0),"")</f>
        <v>#N/A</v>
      </c>
      <c r="S1044" s="7" t="e">
        <f>IF(VLOOKUP($A1044,'Concrete Beam Schedule'!$A$2:$Q$2902,S$2,0)&lt;&gt;C1044,VLOOKUP($A1044,'Concrete Beam Schedule'!$A$2:$Q$2902,S$2,0),"")</f>
        <v>#N/A</v>
      </c>
      <c r="T1044" s="7" t="e">
        <f>IF(VLOOKUP($A1044,'Concrete Beam Schedule'!$A$2:$Q$2902,T$2,0)&lt;&gt;D1044,"Beam Revised","")</f>
        <v>#N/A</v>
      </c>
      <c r="U1044" s="7" t="e">
        <f>IF(VLOOKUP($A1044,'Concrete Beam Schedule'!$A$2:$Q$2902,U$2,0)&lt;&gt;E1044,"Beam Revised","")</f>
        <v>#N/A</v>
      </c>
      <c r="V1044" s="7" t="e">
        <f>IF(VLOOKUP($A1044,'Concrete Beam Schedule'!$A$2:$Q$2902,V$2,0)&lt;&gt;F1044,"Beam Revised","")</f>
        <v>#N/A</v>
      </c>
      <c r="W1044" s="7" t="e">
        <f>IF(VLOOKUP($A1044,'Concrete Beam Schedule'!$A$2:$Q$2902,W$2,0)&lt;&gt;G1044,"Beam Revised","")</f>
        <v>#N/A</v>
      </c>
      <c r="X1044" s="7" t="e">
        <f>IF(VLOOKUP($A1044,'Concrete Beam Schedule'!$A$2:$Q$2902,X$2,0)&lt;&gt;H1044,"Beam Revised","")</f>
        <v>#N/A</v>
      </c>
      <c r="Y1044" s="7" t="e">
        <f>IF(VLOOKUP($A1044,'Concrete Beam Schedule'!$A$2:$Q$2902,Y$2,0)&lt;&gt;I1044,"Beam Revised","")</f>
        <v>#N/A</v>
      </c>
      <c r="Z1044" s="7" t="e">
        <f>IF(VLOOKUP($A1044,'Concrete Beam Schedule'!$A$2:$Q$2902,Z$2,0)&lt;&gt;J1044,"Beam Revised","")</f>
        <v>#N/A</v>
      </c>
      <c r="AA1044" s="7" t="e">
        <f>IF(VLOOKUP($A1044,'Concrete Beam Schedule'!$A$2:$Q$2902,AA$2,0)&lt;&gt;K1044,"Beam Revised","")</f>
        <v>#N/A</v>
      </c>
      <c r="AB1044" s="7" t="e">
        <f>IF(VLOOKUP($A1044,'Concrete Beam Schedule'!$A$2:$Q$2902,AB$2,0)&lt;&gt;L1044,"Beam Revised","")</f>
        <v>#N/A</v>
      </c>
      <c r="AC1044" s="7" t="e">
        <f>IF(VLOOKUP($A1044,'Concrete Beam Schedule'!$A$2:$Q$2902,AC$2,0)&lt;&gt;M1044,"Beam Revised","")</f>
        <v>#N/A</v>
      </c>
      <c r="AD1044" s="7" t="e">
        <f>IF(VLOOKUP($A1044,'Concrete Beam Schedule'!$A$2:$Q$2902,AD$2,0)&lt;&gt;N1044,"Beam Revised","")</f>
        <v>#N/A</v>
      </c>
      <c r="AE1044" s="7" t="e">
        <f>IF(VLOOKUP($A1044,'Concrete Beam Schedule'!$A$2:$Q$2902,AE$2,0)&lt;&gt;O1044,"Beam Revised","")</f>
        <v>#N/A</v>
      </c>
    </row>
    <row r="1045" spans="17:31" ht="13.2" x14ac:dyDescent="0.25">
      <c r="Q1045" s="7">
        <f t="shared" si="16"/>
        <v>0</v>
      </c>
      <c r="R1045" s="7" t="e">
        <f>IF(VLOOKUP($A1045,'Concrete Beam Schedule'!$A$2:$Q$2902,R$2,0)&lt;&gt;B1045,VLOOKUP($A1045,'Concrete Beam Schedule'!$A$2:$Q$2902,R$2,0),"")</f>
        <v>#N/A</v>
      </c>
      <c r="S1045" s="7" t="e">
        <f>IF(VLOOKUP($A1045,'Concrete Beam Schedule'!$A$2:$Q$2902,S$2,0)&lt;&gt;C1045,VLOOKUP($A1045,'Concrete Beam Schedule'!$A$2:$Q$2902,S$2,0),"")</f>
        <v>#N/A</v>
      </c>
      <c r="T1045" s="7" t="e">
        <f>IF(VLOOKUP($A1045,'Concrete Beam Schedule'!$A$2:$Q$2902,T$2,0)&lt;&gt;D1045,"Beam Revised","")</f>
        <v>#N/A</v>
      </c>
      <c r="U1045" s="7" t="e">
        <f>IF(VLOOKUP($A1045,'Concrete Beam Schedule'!$A$2:$Q$2902,U$2,0)&lt;&gt;E1045,"Beam Revised","")</f>
        <v>#N/A</v>
      </c>
      <c r="V1045" s="7" t="e">
        <f>IF(VLOOKUP($A1045,'Concrete Beam Schedule'!$A$2:$Q$2902,V$2,0)&lt;&gt;F1045,"Beam Revised","")</f>
        <v>#N/A</v>
      </c>
      <c r="W1045" s="7" t="e">
        <f>IF(VLOOKUP($A1045,'Concrete Beam Schedule'!$A$2:$Q$2902,W$2,0)&lt;&gt;G1045,"Beam Revised","")</f>
        <v>#N/A</v>
      </c>
      <c r="X1045" s="7" t="e">
        <f>IF(VLOOKUP($A1045,'Concrete Beam Schedule'!$A$2:$Q$2902,X$2,0)&lt;&gt;H1045,"Beam Revised","")</f>
        <v>#N/A</v>
      </c>
      <c r="Y1045" s="7" t="e">
        <f>IF(VLOOKUP($A1045,'Concrete Beam Schedule'!$A$2:$Q$2902,Y$2,0)&lt;&gt;I1045,"Beam Revised","")</f>
        <v>#N/A</v>
      </c>
      <c r="Z1045" s="7" t="e">
        <f>IF(VLOOKUP($A1045,'Concrete Beam Schedule'!$A$2:$Q$2902,Z$2,0)&lt;&gt;J1045,"Beam Revised","")</f>
        <v>#N/A</v>
      </c>
      <c r="AA1045" s="7" t="e">
        <f>IF(VLOOKUP($A1045,'Concrete Beam Schedule'!$A$2:$Q$2902,AA$2,0)&lt;&gt;K1045,"Beam Revised","")</f>
        <v>#N/A</v>
      </c>
      <c r="AB1045" s="7" t="e">
        <f>IF(VLOOKUP($A1045,'Concrete Beam Schedule'!$A$2:$Q$2902,AB$2,0)&lt;&gt;L1045,"Beam Revised","")</f>
        <v>#N/A</v>
      </c>
      <c r="AC1045" s="7" t="e">
        <f>IF(VLOOKUP($A1045,'Concrete Beam Schedule'!$A$2:$Q$2902,AC$2,0)&lt;&gt;M1045,"Beam Revised","")</f>
        <v>#N/A</v>
      </c>
      <c r="AD1045" s="7" t="e">
        <f>IF(VLOOKUP($A1045,'Concrete Beam Schedule'!$A$2:$Q$2902,AD$2,0)&lt;&gt;N1045,"Beam Revised","")</f>
        <v>#N/A</v>
      </c>
      <c r="AE1045" s="7" t="e">
        <f>IF(VLOOKUP($A1045,'Concrete Beam Schedule'!$A$2:$Q$2902,AE$2,0)&lt;&gt;O1045,"Beam Revised","")</f>
        <v>#N/A</v>
      </c>
    </row>
    <row r="1046" spans="17:31" ht="13.2" x14ac:dyDescent="0.25">
      <c r="Q1046" s="7">
        <f t="shared" si="16"/>
        <v>0</v>
      </c>
      <c r="R1046" s="7" t="e">
        <f>IF(VLOOKUP($A1046,'Concrete Beam Schedule'!$A$2:$Q$2902,R$2,0)&lt;&gt;B1046,VLOOKUP($A1046,'Concrete Beam Schedule'!$A$2:$Q$2902,R$2,0),"")</f>
        <v>#N/A</v>
      </c>
      <c r="S1046" s="7" t="e">
        <f>IF(VLOOKUP($A1046,'Concrete Beam Schedule'!$A$2:$Q$2902,S$2,0)&lt;&gt;C1046,VLOOKUP($A1046,'Concrete Beam Schedule'!$A$2:$Q$2902,S$2,0),"")</f>
        <v>#N/A</v>
      </c>
      <c r="T1046" s="7" t="e">
        <f>IF(VLOOKUP($A1046,'Concrete Beam Schedule'!$A$2:$Q$2902,T$2,0)&lt;&gt;D1046,"Beam Revised","")</f>
        <v>#N/A</v>
      </c>
      <c r="U1046" s="7" t="e">
        <f>IF(VLOOKUP($A1046,'Concrete Beam Schedule'!$A$2:$Q$2902,U$2,0)&lt;&gt;E1046,"Beam Revised","")</f>
        <v>#N/A</v>
      </c>
      <c r="V1046" s="7" t="e">
        <f>IF(VLOOKUP($A1046,'Concrete Beam Schedule'!$A$2:$Q$2902,V$2,0)&lt;&gt;F1046,"Beam Revised","")</f>
        <v>#N/A</v>
      </c>
      <c r="W1046" s="7" t="e">
        <f>IF(VLOOKUP($A1046,'Concrete Beam Schedule'!$A$2:$Q$2902,W$2,0)&lt;&gt;G1046,"Beam Revised","")</f>
        <v>#N/A</v>
      </c>
      <c r="X1046" s="7" t="e">
        <f>IF(VLOOKUP($A1046,'Concrete Beam Schedule'!$A$2:$Q$2902,X$2,0)&lt;&gt;H1046,"Beam Revised","")</f>
        <v>#N/A</v>
      </c>
      <c r="Y1046" s="7" t="e">
        <f>IF(VLOOKUP($A1046,'Concrete Beam Schedule'!$A$2:$Q$2902,Y$2,0)&lt;&gt;I1046,"Beam Revised","")</f>
        <v>#N/A</v>
      </c>
      <c r="Z1046" s="7" t="e">
        <f>IF(VLOOKUP($A1046,'Concrete Beam Schedule'!$A$2:$Q$2902,Z$2,0)&lt;&gt;J1046,"Beam Revised","")</f>
        <v>#N/A</v>
      </c>
      <c r="AA1046" s="7" t="e">
        <f>IF(VLOOKUP($A1046,'Concrete Beam Schedule'!$A$2:$Q$2902,AA$2,0)&lt;&gt;K1046,"Beam Revised","")</f>
        <v>#N/A</v>
      </c>
      <c r="AB1046" s="7" t="e">
        <f>IF(VLOOKUP($A1046,'Concrete Beam Schedule'!$A$2:$Q$2902,AB$2,0)&lt;&gt;L1046,"Beam Revised","")</f>
        <v>#N/A</v>
      </c>
      <c r="AC1046" s="7" t="e">
        <f>IF(VLOOKUP($A1046,'Concrete Beam Schedule'!$A$2:$Q$2902,AC$2,0)&lt;&gt;M1046,"Beam Revised","")</f>
        <v>#N/A</v>
      </c>
      <c r="AD1046" s="7" t="e">
        <f>IF(VLOOKUP($A1046,'Concrete Beam Schedule'!$A$2:$Q$2902,AD$2,0)&lt;&gt;N1046,"Beam Revised","")</f>
        <v>#N/A</v>
      </c>
      <c r="AE1046" s="7" t="e">
        <f>IF(VLOOKUP($A1046,'Concrete Beam Schedule'!$A$2:$Q$2902,AE$2,0)&lt;&gt;O1046,"Beam Revised","")</f>
        <v>#N/A</v>
      </c>
    </row>
    <row r="1047" spans="17:31" ht="13.2" x14ac:dyDescent="0.25">
      <c r="Q1047" s="7">
        <f t="shared" si="16"/>
        <v>0</v>
      </c>
      <c r="R1047" s="7" t="e">
        <f>IF(VLOOKUP($A1047,'Concrete Beam Schedule'!$A$2:$Q$2902,R$2,0)&lt;&gt;B1047,VLOOKUP($A1047,'Concrete Beam Schedule'!$A$2:$Q$2902,R$2,0),"")</f>
        <v>#N/A</v>
      </c>
      <c r="S1047" s="7" t="e">
        <f>IF(VLOOKUP($A1047,'Concrete Beam Schedule'!$A$2:$Q$2902,S$2,0)&lt;&gt;C1047,VLOOKUP($A1047,'Concrete Beam Schedule'!$A$2:$Q$2902,S$2,0),"")</f>
        <v>#N/A</v>
      </c>
      <c r="T1047" s="7" t="e">
        <f>IF(VLOOKUP($A1047,'Concrete Beam Schedule'!$A$2:$Q$2902,T$2,0)&lt;&gt;D1047,"Beam Revised","")</f>
        <v>#N/A</v>
      </c>
      <c r="U1047" s="7" t="e">
        <f>IF(VLOOKUP($A1047,'Concrete Beam Schedule'!$A$2:$Q$2902,U$2,0)&lt;&gt;E1047,"Beam Revised","")</f>
        <v>#N/A</v>
      </c>
      <c r="V1047" s="7" t="e">
        <f>IF(VLOOKUP($A1047,'Concrete Beam Schedule'!$A$2:$Q$2902,V$2,0)&lt;&gt;F1047,"Beam Revised","")</f>
        <v>#N/A</v>
      </c>
      <c r="W1047" s="7" t="e">
        <f>IF(VLOOKUP($A1047,'Concrete Beam Schedule'!$A$2:$Q$2902,W$2,0)&lt;&gt;G1047,"Beam Revised","")</f>
        <v>#N/A</v>
      </c>
      <c r="X1047" s="7" t="e">
        <f>IF(VLOOKUP($A1047,'Concrete Beam Schedule'!$A$2:$Q$2902,X$2,0)&lt;&gt;H1047,"Beam Revised","")</f>
        <v>#N/A</v>
      </c>
      <c r="Y1047" s="7" t="e">
        <f>IF(VLOOKUP($A1047,'Concrete Beam Schedule'!$A$2:$Q$2902,Y$2,0)&lt;&gt;I1047,"Beam Revised","")</f>
        <v>#N/A</v>
      </c>
      <c r="Z1047" s="7" t="e">
        <f>IF(VLOOKUP($A1047,'Concrete Beam Schedule'!$A$2:$Q$2902,Z$2,0)&lt;&gt;J1047,"Beam Revised","")</f>
        <v>#N/A</v>
      </c>
      <c r="AA1047" s="7" t="e">
        <f>IF(VLOOKUP($A1047,'Concrete Beam Schedule'!$A$2:$Q$2902,AA$2,0)&lt;&gt;K1047,"Beam Revised","")</f>
        <v>#N/A</v>
      </c>
      <c r="AB1047" s="7" t="e">
        <f>IF(VLOOKUP($A1047,'Concrete Beam Schedule'!$A$2:$Q$2902,AB$2,0)&lt;&gt;L1047,"Beam Revised","")</f>
        <v>#N/A</v>
      </c>
      <c r="AC1047" s="7" t="e">
        <f>IF(VLOOKUP($A1047,'Concrete Beam Schedule'!$A$2:$Q$2902,AC$2,0)&lt;&gt;M1047,"Beam Revised","")</f>
        <v>#N/A</v>
      </c>
      <c r="AD1047" s="7" t="e">
        <f>IF(VLOOKUP($A1047,'Concrete Beam Schedule'!$A$2:$Q$2902,AD$2,0)&lt;&gt;N1047,"Beam Revised","")</f>
        <v>#N/A</v>
      </c>
      <c r="AE1047" s="7" t="e">
        <f>IF(VLOOKUP($A1047,'Concrete Beam Schedule'!$A$2:$Q$2902,AE$2,0)&lt;&gt;O1047,"Beam Revised","")</f>
        <v>#N/A</v>
      </c>
    </row>
    <row r="1048" spans="17:31" ht="13.2" x14ac:dyDescent="0.25">
      <c r="Q1048" s="7">
        <f t="shared" si="16"/>
        <v>0</v>
      </c>
      <c r="R1048" s="7" t="e">
        <f>IF(VLOOKUP($A1048,'Concrete Beam Schedule'!$A$2:$Q$2902,R$2,0)&lt;&gt;B1048,VLOOKUP($A1048,'Concrete Beam Schedule'!$A$2:$Q$2902,R$2,0),"")</f>
        <v>#N/A</v>
      </c>
      <c r="S1048" s="7" t="e">
        <f>IF(VLOOKUP($A1048,'Concrete Beam Schedule'!$A$2:$Q$2902,S$2,0)&lt;&gt;C1048,VLOOKUP($A1048,'Concrete Beam Schedule'!$A$2:$Q$2902,S$2,0),"")</f>
        <v>#N/A</v>
      </c>
      <c r="T1048" s="7" t="e">
        <f>IF(VLOOKUP($A1048,'Concrete Beam Schedule'!$A$2:$Q$2902,T$2,0)&lt;&gt;D1048,"Beam Revised","")</f>
        <v>#N/A</v>
      </c>
      <c r="U1048" s="7" t="e">
        <f>IF(VLOOKUP($A1048,'Concrete Beam Schedule'!$A$2:$Q$2902,U$2,0)&lt;&gt;E1048,"Beam Revised","")</f>
        <v>#N/A</v>
      </c>
      <c r="V1048" s="7" t="e">
        <f>IF(VLOOKUP($A1048,'Concrete Beam Schedule'!$A$2:$Q$2902,V$2,0)&lt;&gt;F1048,"Beam Revised","")</f>
        <v>#N/A</v>
      </c>
      <c r="W1048" s="7" t="e">
        <f>IF(VLOOKUP($A1048,'Concrete Beam Schedule'!$A$2:$Q$2902,W$2,0)&lt;&gt;G1048,"Beam Revised","")</f>
        <v>#N/A</v>
      </c>
      <c r="X1048" s="7" t="e">
        <f>IF(VLOOKUP($A1048,'Concrete Beam Schedule'!$A$2:$Q$2902,X$2,0)&lt;&gt;H1048,"Beam Revised","")</f>
        <v>#N/A</v>
      </c>
      <c r="Y1048" s="7" t="e">
        <f>IF(VLOOKUP($A1048,'Concrete Beam Schedule'!$A$2:$Q$2902,Y$2,0)&lt;&gt;I1048,"Beam Revised","")</f>
        <v>#N/A</v>
      </c>
      <c r="Z1048" s="7" t="e">
        <f>IF(VLOOKUP($A1048,'Concrete Beam Schedule'!$A$2:$Q$2902,Z$2,0)&lt;&gt;J1048,"Beam Revised","")</f>
        <v>#N/A</v>
      </c>
      <c r="AA1048" s="7" t="e">
        <f>IF(VLOOKUP($A1048,'Concrete Beam Schedule'!$A$2:$Q$2902,AA$2,0)&lt;&gt;K1048,"Beam Revised","")</f>
        <v>#N/A</v>
      </c>
      <c r="AB1048" s="7" t="e">
        <f>IF(VLOOKUP($A1048,'Concrete Beam Schedule'!$A$2:$Q$2902,AB$2,0)&lt;&gt;L1048,"Beam Revised","")</f>
        <v>#N/A</v>
      </c>
      <c r="AC1048" s="7" t="e">
        <f>IF(VLOOKUP($A1048,'Concrete Beam Schedule'!$A$2:$Q$2902,AC$2,0)&lt;&gt;M1048,"Beam Revised","")</f>
        <v>#N/A</v>
      </c>
      <c r="AD1048" s="7" t="e">
        <f>IF(VLOOKUP($A1048,'Concrete Beam Schedule'!$A$2:$Q$2902,AD$2,0)&lt;&gt;N1048,"Beam Revised","")</f>
        <v>#N/A</v>
      </c>
      <c r="AE1048" s="7" t="e">
        <f>IF(VLOOKUP($A1048,'Concrete Beam Schedule'!$A$2:$Q$2902,AE$2,0)&lt;&gt;O1048,"Beam Revised","")</f>
        <v>#N/A</v>
      </c>
    </row>
    <row r="1049" spans="17:31" ht="13.2" x14ac:dyDescent="0.25">
      <c r="Q1049" s="7">
        <f t="shared" si="16"/>
        <v>0</v>
      </c>
      <c r="R1049" s="7" t="e">
        <f>IF(VLOOKUP($A1049,'Concrete Beam Schedule'!$A$2:$Q$2902,R$2,0)&lt;&gt;B1049,VLOOKUP($A1049,'Concrete Beam Schedule'!$A$2:$Q$2902,R$2,0),"")</f>
        <v>#N/A</v>
      </c>
      <c r="S1049" s="7" t="e">
        <f>IF(VLOOKUP($A1049,'Concrete Beam Schedule'!$A$2:$Q$2902,S$2,0)&lt;&gt;C1049,VLOOKUP($A1049,'Concrete Beam Schedule'!$A$2:$Q$2902,S$2,0),"")</f>
        <v>#N/A</v>
      </c>
      <c r="T1049" s="7" t="e">
        <f>IF(VLOOKUP($A1049,'Concrete Beam Schedule'!$A$2:$Q$2902,T$2,0)&lt;&gt;D1049,"Beam Revised","")</f>
        <v>#N/A</v>
      </c>
      <c r="U1049" s="7" t="e">
        <f>IF(VLOOKUP($A1049,'Concrete Beam Schedule'!$A$2:$Q$2902,U$2,0)&lt;&gt;E1049,"Beam Revised","")</f>
        <v>#N/A</v>
      </c>
      <c r="V1049" s="7" t="e">
        <f>IF(VLOOKUP($A1049,'Concrete Beam Schedule'!$A$2:$Q$2902,V$2,0)&lt;&gt;F1049,"Beam Revised","")</f>
        <v>#N/A</v>
      </c>
      <c r="W1049" s="7" t="e">
        <f>IF(VLOOKUP($A1049,'Concrete Beam Schedule'!$A$2:$Q$2902,W$2,0)&lt;&gt;G1049,"Beam Revised","")</f>
        <v>#N/A</v>
      </c>
      <c r="X1049" s="7" t="e">
        <f>IF(VLOOKUP($A1049,'Concrete Beam Schedule'!$A$2:$Q$2902,X$2,0)&lt;&gt;H1049,"Beam Revised","")</f>
        <v>#N/A</v>
      </c>
      <c r="Y1049" s="7" t="e">
        <f>IF(VLOOKUP($A1049,'Concrete Beam Schedule'!$A$2:$Q$2902,Y$2,0)&lt;&gt;I1049,"Beam Revised","")</f>
        <v>#N/A</v>
      </c>
      <c r="Z1049" s="7" t="e">
        <f>IF(VLOOKUP($A1049,'Concrete Beam Schedule'!$A$2:$Q$2902,Z$2,0)&lt;&gt;J1049,"Beam Revised","")</f>
        <v>#N/A</v>
      </c>
      <c r="AA1049" s="7" t="e">
        <f>IF(VLOOKUP($A1049,'Concrete Beam Schedule'!$A$2:$Q$2902,AA$2,0)&lt;&gt;K1049,"Beam Revised","")</f>
        <v>#N/A</v>
      </c>
      <c r="AB1049" s="7" t="e">
        <f>IF(VLOOKUP($A1049,'Concrete Beam Schedule'!$A$2:$Q$2902,AB$2,0)&lt;&gt;L1049,"Beam Revised","")</f>
        <v>#N/A</v>
      </c>
      <c r="AC1049" s="7" t="e">
        <f>IF(VLOOKUP($A1049,'Concrete Beam Schedule'!$A$2:$Q$2902,AC$2,0)&lt;&gt;M1049,"Beam Revised","")</f>
        <v>#N/A</v>
      </c>
      <c r="AD1049" s="7" t="e">
        <f>IF(VLOOKUP($A1049,'Concrete Beam Schedule'!$A$2:$Q$2902,AD$2,0)&lt;&gt;N1049,"Beam Revised","")</f>
        <v>#N/A</v>
      </c>
      <c r="AE1049" s="7" t="e">
        <f>IF(VLOOKUP($A1049,'Concrete Beam Schedule'!$A$2:$Q$2902,AE$2,0)&lt;&gt;O1049,"Beam Revised","")</f>
        <v>#N/A</v>
      </c>
    </row>
    <row r="1050" spans="17:31" ht="13.2" x14ac:dyDescent="0.25">
      <c r="Q1050" s="7">
        <f t="shared" si="16"/>
        <v>0</v>
      </c>
      <c r="R1050" s="7" t="e">
        <f>IF(VLOOKUP($A1050,'Concrete Beam Schedule'!$A$2:$Q$2902,R$2,0)&lt;&gt;B1050,VLOOKUP($A1050,'Concrete Beam Schedule'!$A$2:$Q$2902,R$2,0),"")</f>
        <v>#N/A</v>
      </c>
      <c r="S1050" s="7" t="e">
        <f>IF(VLOOKUP($A1050,'Concrete Beam Schedule'!$A$2:$Q$2902,S$2,0)&lt;&gt;C1050,VLOOKUP($A1050,'Concrete Beam Schedule'!$A$2:$Q$2902,S$2,0),"")</f>
        <v>#N/A</v>
      </c>
      <c r="T1050" s="7" t="e">
        <f>IF(VLOOKUP($A1050,'Concrete Beam Schedule'!$A$2:$Q$2902,T$2,0)&lt;&gt;D1050,"Beam Revised","")</f>
        <v>#N/A</v>
      </c>
      <c r="U1050" s="7" t="e">
        <f>IF(VLOOKUP($A1050,'Concrete Beam Schedule'!$A$2:$Q$2902,U$2,0)&lt;&gt;E1050,"Beam Revised","")</f>
        <v>#N/A</v>
      </c>
      <c r="V1050" s="7" t="e">
        <f>IF(VLOOKUP($A1050,'Concrete Beam Schedule'!$A$2:$Q$2902,V$2,0)&lt;&gt;F1050,"Beam Revised","")</f>
        <v>#N/A</v>
      </c>
      <c r="W1050" s="7" t="e">
        <f>IF(VLOOKUP($A1050,'Concrete Beam Schedule'!$A$2:$Q$2902,W$2,0)&lt;&gt;G1050,"Beam Revised","")</f>
        <v>#N/A</v>
      </c>
      <c r="X1050" s="7" t="e">
        <f>IF(VLOOKUP($A1050,'Concrete Beam Schedule'!$A$2:$Q$2902,X$2,0)&lt;&gt;H1050,"Beam Revised","")</f>
        <v>#N/A</v>
      </c>
      <c r="Y1050" s="7" t="e">
        <f>IF(VLOOKUP($A1050,'Concrete Beam Schedule'!$A$2:$Q$2902,Y$2,0)&lt;&gt;I1050,"Beam Revised","")</f>
        <v>#N/A</v>
      </c>
      <c r="Z1050" s="7" t="e">
        <f>IF(VLOOKUP($A1050,'Concrete Beam Schedule'!$A$2:$Q$2902,Z$2,0)&lt;&gt;J1050,"Beam Revised","")</f>
        <v>#N/A</v>
      </c>
      <c r="AA1050" s="7" t="e">
        <f>IF(VLOOKUP($A1050,'Concrete Beam Schedule'!$A$2:$Q$2902,AA$2,0)&lt;&gt;K1050,"Beam Revised","")</f>
        <v>#N/A</v>
      </c>
      <c r="AB1050" s="7" t="e">
        <f>IF(VLOOKUP($A1050,'Concrete Beam Schedule'!$A$2:$Q$2902,AB$2,0)&lt;&gt;L1050,"Beam Revised","")</f>
        <v>#N/A</v>
      </c>
      <c r="AC1050" s="7" t="e">
        <f>IF(VLOOKUP($A1050,'Concrete Beam Schedule'!$A$2:$Q$2902,AC$2,0)&lt;&gt;M1050,"Beam Revised","")</f>
        <v>#N/A</v>
      </c>
      <c r="AD1050" s="7" t="e">
        <f>IF(VLOOKUP($A1050,'Concrete Beam Schedule'!$A$2:$Q$2902,AD$2,0)&lt;&gt;N1050,"Beam Revised","")</f>
        <v>#N/A</v>
      </c>
      <c r="AE1050" s="7" t="e">
        <f>IF(VLOOKUP($A1050,'Concrete Beam Schedule'!$A$2:$Q$2902,AE$2,0)&lt;&gt;O1050,"Beam Revised","")</f>
        <v>#N/A</v>
      </c>
    </row>
    <row r="1051" spans="17:31" ht="13.2" x14ac:dyDescent="0.25">
      <c r="Q1051" s="7">
        <f t="shared" si="16"/>
        <v>0</v>
      </c>
      <c r="R1051" s="7" t="e">
        <f>IF(VLOOKUP($A1051,'Concrete Beam Schedule'!$A$2:$Q$2902,R$2,0)&lt;&gt;B1051,VLOOKUP($A1051,'Concrete Beam Schedule'!$A$2:$Q$2902,R$2,0),"")</f>
        <v>#N/A</v>
      </c>
      <c r="S1051" s="7" t="e">
        <f>IF(VLOOKUP($A1051,'Concrete Beam Schedule'!$A$2:$Q$2902,S$2,0)&lt;&gt;C1051,VLOOKUP($A1051,'Concrete Beam Schedule'!$A$2:$Q$2902,S$2,0),"")</f>
        <v>#N/A</v>
      </c>
      <c r="T1051" s="7" t="e">
        <f>IF(VLOOKUP($A1051,'Concrete Beam Schedule'!$A$2:$Q$2902,T$2,0)&lt;&gt;D1051,"Beam Revised","")</f>
        <v>#N/A</v>
      </c>
      <c r="U1051" s="7" t="e">
        <f>IF(VLOOKUP($A1051,'Concrete Beam Schedule'!$A$2:$Q$2902,U$2,0)&lt;&gt;E1051,"Beam Revised","")</f>
        <v>#N/A</v>
      </c>
      <c r="V1051" s="7" t="e">
        <f>IF(VLOOKUP($A1051,'Concrete Beam Schedule'!$A$2:$Q$2902,V$2,0)&lt;&gt;F1051,"Beam Revised","")</f>
        <v>#N/A</v>
      </c>
      <c r="W1051" s="7" t="e">
        <f>IF(VLOOKUP($A1051,'Concrete Beam Schedule'!$A$2:$Q$2902,W$2,0)&lt;&gt;G1051,"Beam Revised","")</f>
        <v>#N/A</v>
      </c>
      <c r="X1051" s="7" t="e">
        <f>IF(VLOOKUP($A1051,'Concrete Beam Schedule'!$A$2:$Q$2902,X$2,0)&lt;&gt;H1051,"Beam Revised","")</f>
        <v>#N/A</v>
      </c>
      <c r="Y1051" s="7" t="e">
        <f>IF(VLOOKUP($A1051,'Concrete Beam Schedule'!$A$2:$Q$2902,Y$2,0)&lt;&gt;I1051,"Beam Revised","")</f>
        <v>#N/A</v>
      </c>
      <c r="Z1051" s="7" t="e">
        <f>IF(VLOOKUP($A1051,'Concrete Beam Schedule'!$A$2:$Q$2902,Z$2,0)&lt;&gt;J1051,"Beam Revised","")</f>
        <v>#N/A</v>
      </c>
      <c r="AA1051" s="7" t="e">
        <f>IF(VLOOKUP($A1051,'Concrete Beam Schedule'!$A$2:$Q$2902,AA$2,0)&lt;&gt;K1051,"Beam Revised","")</f>
        <v>#N/A</v>
      </c>
      <c r="AB1051" s="7" t="e">
        <f>IF(VLOOKUP($A1051,'Concrete Beam Schedule'!$A$2:$Q$2902,AB$2,0)&lt;&gt;L1051,"Beam Revised","")</f>
        <v>#N/A</v>
      </c>
      <c r="AC1051" s="7" t="e">
        <f>IF(VLOOKUP($A1051,'Concrete Beam Schedule'!$A$2:$Q$2902,AC$2,0)&lt;&gt;M1051,"Beam Revised","")</f>
        <v>#N/A</v>
      </c>
      <c r="AD1051" s="7" t="e">
        <f>IF(VLOOKUP($A1051,'Concrete Beam Schedule'!$A$2:$Q$2902,AD$2,0)&lt;&gt;N1051,"Beam Revised","")</f>
        <v>#N/A</v>
      </c>
      <c r="AE1051" s="7" t="e">
        <f>IF(VLOOKUP($A1051,'Concrete Beam Schedule'!$A$2:$Q$2902,AE$2,0)&lt;&gt;O1051,"Beam Revised","")</f>
        <v>#N/A</v>
      </c>
    </row>
    <row r="1052" spans="17:31" ht="13.2" x14ac:dyDescent="0.25">
      <c r="Q1052" s="7">
        <f t="shared" si="16"/>
        <v>0</v>
      </c>
      <c r="R1052" s="7" t="e">
        <f>IF(VLOOKUP($A1052,'Concrete Beam Schedule'!$A$2:$Q$2902,R$2,0)&lt;&gt;B1052,VLOOKUP($A1052,'Concrete Beam Schedule'!$A$2:$Q$2902,R$2,0),"")</f>
        <v>#N/A</v>
      </c>
      <c r="S1052" s="7" t="e">
        <f>IF(VLOOKUP($A1052,'Concrete Beam Schedule'!$A$2:$Q$2902,S$2,0)&lt;&gt;C1052,VLOOKUP($A1052,'Concrete Beam Schedule'!$A$2:$Q$2902,S$2,0),"")</f>
        <v>#N/A</v>
      </c>
      <c r="T1052" s="7" t="e">
        <f>IF(VLOOKUP($A1052,'Concrete Beam Schedule'!$A$2:$Q$2902,T$2,0)&lt;&gt;D1052,"Beam Revised","")</f>
        <v>#N/A</v>
      </c>
      <c r="U1052" s="7" t="e">
        <f>IF(VLOOKUP($A1052,'Concrete Beam Schedule'!$A$2:$Q$2902,U$2,0)&lt;&gt;E1052,"Beam Revised","")</f>
        <v>#N/A</v>
      </c>
      <c r="V1052" s="7" t="e">
        <f>IF(VLOOKUP($A1052,'Concrete Beam Schedule'!$A$2:$Q$2902,V$2,0)&lt;&gt;F1052,"Beam Revised","")</f>
        <v>#N/A</v>
      </c>
      <c r="W1052" s="7" t="e">
        <f>IF(VLOOKUP($A1052,'Concrete Beam Schedule'!$A$2:$Q$2902,W$2,0)&lt;&gt;G1052,"Beam Revised","")</f>
        <v>#N/A</v>
      </c>
      <c r="X1052" s="7" t="e">
        <f>IF(VLOOKUP($A1052,'Concrete Beam Schedule'!$A$2:$Q$2902,X$2,0)&lt;&gt;H1052,"Beam Revised","")</f>
        <v>#N/A</v>
      </c>
      <c r="Y1052" s="7" t="e">
        <f>IF(VLOOKUP($A1052,'Concrete Beam Schedule'!$A$2:$Q$2902,Y$2,0)&lt;&gt;I1052,"Beam Revised","")</f>
        <v>#N/A</v>
      </c>
      <c r="Z1052" s="7" t="e">
        <f>IF(VLOOKUP($A1052,'Concrete Beam Schedule'!$A$2:$Q$2902,Z$2,0)&lt;&gt;J1052,"Beam Revised","")</f>
        <v>#N/A</v>
      </c>
      <c r="AA1052" s="7" t="e">
        <f>IF(VLOOKUP($A1052,'Concrete Beam Schedule'!$A$2:$Q$2902,AA$2,0)&lt;&gt;K1052,"Beam Revised","")</f>
        <v>#N/A</v>
      </c>
      <c r="AB1052" s="7" t="e">
        <f>IF(VLOOKUP($A1052,'Concrete Beam Schedule'!$A$2:$Q$2902,AB$2,0)&lt;&gt;L1052,"Beam Revised","")</f>
        <v>#N/A</v>
      </c>
      <c r="AC1052" s="7" t="e">
        <f>IF(VLOOKUP($A1052,'Concrete Beam Schedule'!$A$2:$Q$2902,AC$2,0)&lt;&gt;M1052,"Beam Revised","")</f>
        <v>#N/A</v>
      </c>
      <c r="AD1052" s="7" t="e">
        <f>IF(VLOOKUP($A1052,'Concrete Beam Schedule'!$A$2:$Q$2902,AD$2,0)&lt;&gt;N1052,"Beam Revised","")</f>
        <v>#N/A</v>
      </c>
      <c r="AE1052" s="7" t="e">
        <f>IF(VLOOKUP($A1052,'Concrete Beam Schedule'!$A$2:$Q$2902,AE$2,0)&lt;&gt;O1052,"Beam Revised","")</f>
        <v>#N/A</v>
      </c>
    </row>
    <row r="1053" spans="17:31" ht="13.2" x14ac:dyDescent="0.25">
      <c r="Q1053" s="7">
        <f t="shared" si="16"/>
        <v>0</v>
      </c>
      <c r="R1053" s="7" t="e">
        <f>IF(VLOOKUP($A1053,'Concrete Beam Schedule'!$A$2:$Q$2902,R$2,0)&lt;&gt;B1053,VLOOKUP($A1053,'Concrete Beam Schedule'!$A$2:$Q$2902,R$2,0),"")</f>
        <v>#N/A</v>
      </c>
      <c r="S1053" s="7" t="e">
        <f>IF(VLOOKUP($A1053,'Concrete Beam Schedule'!$A$2:$Q$2902,S$2,0)&lt;&gt;C1053,VLOOKUP($A1053,'Concrete Beam Schedule'!$A$2:$Q$2902,S$2,0),"")</f>
        <v>#N/A</v>
      </c>
      <c r="T1053" s="7" t="e">
        <f>IF(VLOOKUP($A1053,'Concrete Beam Schedule'!$A$2:$Q$2902,T$2,0)&lt;&gt;D1053,"Beam Revised","")</f>
        <v>#N/A</v>
      </c>
      <c r="U1053" s="7" t="e">
        <f>IF(VLOOKUP($A1053,'Concrete Beam Schedule'!$A$2:$Q$2902,U$2,0)&lt;&gt;E1053,"Beam Revised","")</f>
        <v>#N/A</v>
      </c>
      <c r="V1053" s="7" t="e">
        <f>IF(VLOOKUP($A1053,'Concrete Beam Schedule'!$A$2:$Q$2902,V$2,0)&lt;&gt;F1053,"Beam Revised","")</f>
        <v>#N/A</v>
      </c>
      <c r="W1053" s="7" t="e">
        <f>IF(VLOOKUP($A1053,'Concrete Beam Schedule'!$A$2:$Q$2902,W$2,0)&lt;&gt;G1053,"Beam Revised","")</f>
        <v>#N/A</v>
      </c>
      <c r="X1053" s="7" t="e">
        <f>IF(VLOOKUP($A1053,'Concrete Beam Schedule'!$A$2:$Q$2902,X$2,0)&lt;&gt;H1053,"Beam Revised","")</f>
        <v>#N/A</v>
      </c>
      <c r="Y1053" s="7" t="e">
        <f>IF(VLOOKUP($A1053,'Concrete Beam Schedule'!$A$2:$Q$2902,Y$2,0)&lt;&gt;I1053,"Beam Revised","")</f>
        <v>#N/A</v>
      </c>
      <c r="Z1053" s="7" t="e">
        <f>IF(VLOOKUP($A1053,'Concrete Beam Schedule'!$A$2:$Q$2902,Z$2,0)&lt;&gt;J1053,"Beam Revised","")</f>
        <v>#N/A</v>
      </c>
      <c r="AA1053" s="7" t="e">
        <f>IF(VLOOKUP($A1053,'Concrete Beam Schedule'!$A$2:$Q$2902,AA$2,0)&lt;&gt;K1053,"Beam Revised","")</f>
        <v>#N/A</v>
      </c>
      <c r="AB1053" s="7" t="e">
        <f>IF(VLOOKUP($A1053,'Concrete Beam Schedule'!$A$2:$Q$2902,AB$2,0)&lt;&gt;L1053,"Beam Revised","")</f>
        <v>#N/A</v>
      </c>
      <c r="AC1053" s="7" t="e">
        <f>IF(VLOOKUP($A1053,'Concrete Beam Schedule'!$A$2:$Q$2902,AC$2,0)&lt;&gt;M1053,"Beam Revised","")</f>
        <v>#N/A</v>
      </c>
      <c r="AD1053" s="7" t="e">
        <f>IF(VLOOKUP($A1053,'Concrete Beam Schedule'!$A$2:$Q$2902,AD$2,0)&lt;&gt;N1053,"Beam Revised","")</f>
        <v>#N/A</v>
      </c>
      <c r="AE1053" s="7" t="e">
        <f>IF(VLOOKUP($A1053,'Concrete Beam Schedule'!$A$2:$Q$2902,AE$2,0)&lt;&gt;O1053,"Beam Revised","")</f>
        <v>#N/A</v>
      </c>
    </row>
    <row r="1054" spans="17:31" ht="13.2" x14ac:dyDescent="0.25">
      <c r="Q1054" s="7">
        <f t="shared" si="16"/>
        <v>0</v>
      </c>
      <c r="R1054" s="7" t="e">
        <f>IF(VLOOKUP($A1054,'Concrete Beam Schedule'!$A$2:$Q$2902,R$2,0)&lt;&gt;B1054,VLOOKUP($A1054,'Concrete Beam Schedule'!$A$2:$Q$2902,R$2,0),"")</f>
        <v>#N/A</v>
      </c>
      <c r="S1054" s="7" t="e">
        <f>IF(VLOOKUP($A1054,'Concrete Beam Schedule'!$A$2:$Q$2902,S$2,0)&lt;&gt;C1054,VLOOKUP($A1054,'Concrete Beam Schedule'!$A$2:$Q$2902,S$2,0),"")</f>
        <v>#N/A</v>
      </c>
      <c r="T1054" s="7" t="e">
        <f>IF(VLOOKUP($A1054,'Concrete Beam Schedule'!$A$2:$Q$2902,T$2,0)&lt;&gt;D1054,"Beam Revised","")</f>
        <v>#N/A</v>
      </c>
      <c r="U1054" s="7" t="e">
        <f>IF(VLOOKUP($A1054,'Concrete Beam Schedule'!$A$2:$Q$2902,U$2,0)&lt;&gt;E1054,"Beam Revised","")</f>
        <v>#N/A</v>
      </c>
      <c r="V1054" s="7" t="e">
        <f>IF(VLOOKUP($A1054,'Concrete Beam Schedule'!$A$2:$Q$2902,V$2,0)&lt;&gt;F1054,"Beam Revised","")</f>
        <v>#N/A</v>
      </c>
      <c r="W1054" s="7" t="e">
        <f>IF(VLOOKUP($A1054,'Concrete Beam Schedule'!$A$2:$Q$2902,W$2,0)&lt;&gt;G1054,"Beam Revised","")</f>
        <v>#N/A</v>
      </c>
      <c r="X1054" s="7" t="e">
        <f>IF(VLOOKUP($A1054,'Concrete Beam Schedule'!$A$2:$Q$2902,X$2,0)&lt;&gt;H1054,"Beam Revised","")</f>
        <v>#N/A</v>
      </c>
      <c r="Y1054" s="7" t="e">
        <f>IF(VLOOKUP($A1054,'Concrete Beam Schedule'!$A$2:$Q$2902,Y$2,0)&lt;&gt;I1054,"Beam Revised","")</f>
        <v>#N/A</v>
      </c>
      <c r="Z1054" s="7" t="e">
        <f>IF(VLOOKUP($A1054,'Concrete Beam Schedule'!$A$2:$Q$2902,Z$2,0)&lt;&gt;J1054,"Beam Revised","")</f>
        <v>#N/A</v>
      </c>
      <c r="AA1054" s="7" t="e">
        <f>IF(VLOOKUP($A1054,'Concrete Beam Schedule'!$A$2:$Q$2902,AA$2,0)&lt;&gt;K1054,"Beam Revised","")</f>
        <v>#N/A</v>
      </c>
      <c r="AB1054" s="7" t="e">
        <f>IF(VLOOKUP($A1054,'Concrete Beam Schedule'!$A$2:$Q$2902,AB$2,0)&lt;&gt;L1054,"Beam Revised","")</f>
        <v>#N/A</v>
      </c>
      <c r="AC1054" s="7" t="e">
        <f>IF(VLOOKUP($A1054,'Concrete Beam Schedule'!$A$2:$Q$2902,AC$2,0)&lt;&gt;M1054,"Beam Revised","")</f>
        <v>#N/A</v>
      </c>
      <c r="AD1054" s="7" t="e">
        <f>IF(VLOOKUP($A1054,'Concrete Beam Schedule'!$A$2:$Q$2902,AD$2,0)&lt;&gt;N1054,"Beam Revised","")</f>
        <v>#N/A</v>
      </c>
      <c r="AE1054" s="7" t="e">
        <f>IF(VLOOKUP($A1054,'Concrete Beam Schedule'!$A$2:$Q$2902,AE$2,0)&lt;&gt;O1054,"Beam Revised","")</f>
        <v>#N/A</v>
      </c>
    </row>
    <row r="1055" spans="17:31" ht="13.2" x14ac:dyDescent="0.25">
      <c r="Q1055" s="7">
        <f t="shared" si="16"/>
        <v>0</v>
      </c>
      <c r="R1055" s="7" t="e">
        <f>IF(VLOOKUP($A1055,'Concrete Beam Schedule'!$A$2:$Q$2902,R$2,0)&lt;&gt;B1055,VLOOKUP($A1055,'Concrete Beam Schedule'!$A$2:$Q$2902,R$2,0),"")</f>
        <v>#N/A</v>
      </c>
      <c r="S1055" s="7" t="e">
        <f>IF(VLOOKUP($A1055,'Concrete Beam Schedule'!$A$2:$Q$2902,S$2,0)&lt;&gt;C1055,VLOOKUP($A1055,'Concrete Beam Schedule'!$A$2:$Q$2902,S$2,0),"")</f>
        <v>#N/A</v>
      </c>
      <c r="T1055" s="7" t="e">
        <f>IF(VLOOKUP($A1055,'Concrete Beam Schedule'!$A$2:$Q$2902,T$2,0)&lt;&gt;D1055,"Beam Revised","")</f>
        <v>#N/A</v>
      </c>
      <c r="U1055" s="7" t="e">
        <f>IF(VLOOKUP($A1055,'Concrete Beam Schedule'!$A$2:$Q$2902,U$2,0)&lt;&gt;E1055,"Beam Revised","")</f>
        <v>#N/A</v>
      </c>
      <c r="V1055" s="7" t="e">
        <f>IF(VLOOKUP($A1055,'Concrete Beam Schedule'!$A$2:$Q$2902,V$2,0)&lt;&gt;F1055,"Beam Revised","")</f>
        <v>#N/A</v>
      </c>
      <c r="W1055" s="7" t="e">
        <f>IF(VLOOKUP($A1055,'Concrete Beam Schedule'!$A$2:$Q$2902,W$2,0)&lt;&gt;G1055,"Beam Revised","")</f>
        <v>#N/A</v>
      </c>
      <c r="X1055" s="7" t="e">
        <f>IF(VLOOKUP($A1055,'Concrete Beam Schedule'!$A$2:$Q$2902,X$2,0)&lt;&gt;H1055,"Beam Revised","")</f>
        <v>#N/A</v>
      </c>
      <c r="Y1055" s="7" t="e">
        <f>IF(VLOOKUP($A1055,'Concrete Beam Schedule'!$A$2:$Q$2902,Y$2,0)&lt;&gt;I1055,"Beam Revised","")</f>
        <v>#N/A</v>
      </c>
      <c r="Z1055" s="7" t="e">
        <f>IF(VLOOKUP($A1055,'Concrete Beam Schedule'!$A$2:$Q$2902,Z$2,0)&lt;&gt;J1055,"Beam Revised","")</f>
        <v>#N/A</v>
      </c>
      <c r="AA1055" s="7" t="e">
        <f>IF(VLOOKUP($A1055,'Concrete Beam Schedule'!$A$2:$Q$2902,AA$2,0)&lt;&gt;K1055,"Beam Revised","")</f>
        <v>#N/A</v>
      </c>
      <c r="AB1055" s="7" t="e">
        <f>IF(VLOOKUP($A1055,'Concrete Beam Schedule'!$A$2:$Q$2902,AB$2,0)&lt;&gt;L1055,"Beam Revised","")</f>
        <v>#N/A</v>
      </c>
      <c r="AC1055" s="7" t="e">
        <f>IF(VLOOKUP($A1055,'Concrete Beam Schedule'!$A$2:$Q$2902,AC$2,0)&lt;&gt;M1055,"Beam Revised","")</f>
        <v>#N/A</v>
      </c>
      <c r="AD1055" s="7" t="e">
        <f>IF(VLOOKUP($A1055,'Concrete Beam Schedule'!$A$2:$Q$2902,AD$2,0)&lt;&gt;N1055,"Beam Revised","")</f>
        <v>#N/A</v>
      </c>
      <c r="AE1055" s="7" t="e">
        <f>IF(VLOOKUP($A1055,'Concrete Beam Schedule'!$A$2:$Q$2902,AE$2,0)&lt;&gt;O1055,"Beam Revised","")</f>
        <v>#N/A</v>
      </c>
    </row>
    <row r="1056" spans="17:31" ht="13.2" x14ac:dyDescent="0.25">
      <c r="Q1056" s="7">
        <f t="shared" si="16"/>
        <v>0</v>
      </c>
      <c r="R1056" s="7" t="e">
        <f>IF(VLOOKUP($A1056,'Concrete Beam Schedule'!$A$2:$Q$2902,R$2,0)&lt;&gt;B1056,VLOOKUP($A1056,'Concrete Beam Schedule'!$A$2:$Q$2902,R$2,0),"")</f>
        <v>#N/A</v>
      </c>
      <c r="S1056" s="7" t="e">
        <f>IF(VLOOKUP($A1056,'Concrete Beam Schedule'!$A$2:$Q$2902,S$2,0)&lt;&gt;C1056,VLOOKUP($A1056,'Concrete Beam Schedule'!$A$2:$Q$2902,S$2,0),"")</f>
        <v>#N/A</v>
      </c>
      <c r="T1056" s="7" t="e">
        <f>IF(VLOOKUP($A1056,'Concrete Beam Schedule'!$A$2:$Q$2902,T$2,0)&lt;&gt;D1056,"Beam Revised","")</f>
        <v>#N/A</v>
      </c>
      <c r="U1056" s="7" t="e">
        <f>IF(VLOOKUP($A1056,'Concrete Beam Schedule'!$A$2:$Q$2902,U$2,0)&lt;&gt;E1056,"Beam Revised","")</f>
        <v>#N/A</v>
      </c>
      <c r="V1056" s="7" t="e">
        <f>IF(VLOOKUP($A1056,'Concrete Beam Schedule'!$A$2:$Q$2902,V$2,0)&lt;&gt;F1056,"Beam Revised","")</f>
        <v>#N/A</v>
      </c>
      <c r="W1056" s="7" t="e">
        <f>IF(VLOOKUP($A1056,'Concrete Beam Schedule'!$A$2:$Q$2902,W$2,0)&lt;&gt;G1056,"Beam Revised","")</f>
        <v>#N/A</v>
      </c>
      <c r="X1056" s="7" t="e">
        <f>IF(VLOOKUP($A1056,'Concrete Beam Schedule'!$A$2:$Q$2902,X$2,0)&lt;&gt;H1056,"Beam Revised","")</f>
        <v>#N/A</v>
      </c>
      <c r="Y1056" s="7" t="e">
        <f>IF(VLOOKUP($A1056,'Concrete Beam Schedule'!$A$2:$Q$2902,Y$2,0)&lt;&gt;I1056,"Beam Revised","")</f>
        <v>#N/A</v>
      </c>
      <c r="Z1056" s="7" t="e">
        <f>IF(VLOOKUP($A1056,'Concrete Beam Schedule'!$A$2:$Q$2902,Z$2,0)&lt;&gt;J1056,"Beam Revised","")</f>
        <v>#N/A</v>
      </c>
      <c r="AA1056" s="7" t="e">
        <f>IF(VLOOKUP($A1056,'Concrete Beam Schedule'!$A$2:$Q$2902,AA$2,0)&lt;&gt;K1056,"Beam Revised","")</f>
        <v>#N/A</v>
      </c>
      <c r="AB1056" s="7" t="e">
        <f>IF(VLOOKUP($A1056,'Concrete Beam Schedule'!$A$2:$Q$2902,AB$2,0)&lt;&gt;L1056,"Beam Revised","")</f>
        <v>#N/A</v>
      </c>
      <c r="AC1056" s="7" t="e">
        <f>IF(VLOOKUP($A1056,'Concrete Beam Schedule'!$A$2:$Q$2902,AC$2,0)&lt;&gt;M1056,"Beam Revised","")</f>
        <v>#N/A</v>
      </c>
      <c r="AD1056" s="7" t="e">
        <f>IF(VLOOKUP($A1056,'Concrete Beam Schedule'!$A$2:$Q$2902,AD$2,0)&lt;&gt;N1056,"Beam Revised","")</f>
        <v>#N/A</v>
      </c>
      <c r="AE1056" s="7" t="e">
        <f>IF(VLOOKUP($A1056,'Concrete Beam Schedule'!$A$2:$Q$2902,AE$2,0)&lt;&gt;O1056,"Beam Revised","")</f>
        <v>#N/A</v>
      </c>
    </row>
    <row r="1057" spans="17:31" ht="13.2" x14ac:dyDescent="0.25">
      <c r="Q1057" s="7">
        <f t="shared" si="16"/>
        <v>0</v>
      </c>
      <c r="R1057" s="7" t="e">
        <f>IF(VLOOKUP($A1057,'Concrete Beam Schedule'!$A$2:$Q$2902,R$2,0)&lt;&gt;B1057,VLOOKUP($A1057,'Concrete Beam Schedule'!$A$2:$Q$2902,R$2,0),"")</f>
        <v>#N/A</v>
      </c>
      <c r="S1057" s="7" t="e">
        <f>IF(VLOOKUP($A1057,'Concrete Beam Schedule'!$A$2:$Q$2902,S$2,0)&lt;&gt;C1057,VLOOKUP($A1057,'Concrete Beam Schedule'!$A$2:$Q$2902,S$2,0),"")</f>
        <v>#N/A</v>
      </c>
      <c r="T1057" s="7" t="e">
        <f>IF(VLOOKUP($A1057,'Concrete Beam Schedule'!$A$2:$Q$2902,T$2,0)&lt;&gt;D1057,"Beam Revised","")</f>
        <v>#N/A</v>
      </c>
      <c r="U1057" s="7" t="e">
        <f>IF(VLOOKUP($A1057,'Concrete Beam Schedule'!$A$2:$Q$2902,U$2,0)&lt;&gt;E1057,"Beam Revised","")</f>
        <v>#N/A</v>
      </c>
      <c r="V1057" s="7" t="e">
        <f>IF(VLOOKUP($A1057,'Concrete Beam Schedule'!$A$2:$Q$2902,V$2,0)&lt;&gt;F1057,"Beam Revised","")</f>
        <v>#N/A</v>
      </c>
      <c r="W1057" s="7" t="e">
        <f>IF(VLOOKUP($A1057,'Concrete Beam Schedule'!$A$2:$Q$2902,W$2,0)&lt;&gt;G1057,"Beam Revised","")</f>
        <v>#N/A</v>
      </c>
      <c r="X1057" s="7" t="e">
        <f>IF(VLOOKUP($A1057,'Concrete Beam Schedule'!$A$2:$Q$2902,X$2,0)&lt;&gt;H1057,"Beam Revised","")</f>
        <v>#N/A</v>
      </c>
      <c r="Y1057" s="7" t="e">
        <f>IF(VLOOKUP($A1057,'Concrete Beam Schedule'!$A$2:$Q$2902,Y$2,0)&lt;&gt;I1057,"Beam Revised","")</f>
        <v>#N/A</v>
      </c>
      <c r="Z1057" s="7" t="e">
        <f>IF(VLOOKUP($A1057,'Concrete Beam Schedule'!$A$2:$Q$2902,Z$2,0)&lt;&gt;J1057,"Beam Revised","")</f>
        <v>#N/A</v>
      </c>
      <c r="AA1057" s="7" t="e">
        <f>IF(VLOOKUP($A1057,'Concrete Beam Schedule'!$A$2:$Q$2902,AA$2,0)&lt;&gt;K1057,"Beam Revised","")</f>
        <v>#N/A</v>
      </c>
      <c r="AB1057" s="7" t="e">
        <f>IF(VLOOKUP($A1057,'Concrete Beam Schedule'!$A$2:$Q$2902,AB$2,0)&lt;&gt;L1057,"Beam Revised","")</f>
        <v>#N/A</v>
      </c>
      <c r="AC1057" s="7" t="e">
        <f>IF(VLOOKUP($A1057,'Concrete Beam Schedule'!$A$2:$Q$2902,AC$2,0)&lt;&gt;M1057,"Beam Revised","")</f>
        <v>#N/A</v>
      </c>
      <c r="AD1057" s="7" t="e">
        <f>IF(VLOOKUP($A1057,'Concrete Beam Schedule'!$A$2:$Q$2902,AD$2,0)&lt;&gt;N1057,"Beam Revised","")</f>
        <v>#N/A</v>
      </c>
      <c r="AE1057" s="7" t="e">
        <f>IF(VLOOKUP($A1057,'Concrete Beam Schedule'!$A$2:$Q$2902,AE$2,0)&lt;&gt;O1057,"Beam Revised","")</f>
        <v>#N/A</v>
      </c>
    </row>
    <row r="1058" spans="17:31" ht="13.2" x14ac:dyDescent="0.25">
      <c r="Q1058" s="7">
        <f t="shared" si="16"/>
        <v>0</v>
      </c>
      <c r="R1058" s="7" t="e">
        <f>IF(VLOOKUP($A1058,'Concrete Beam Schedule'!$A$2:$Q$2902,R$2,0)&lt;&gt;B1058,VLOOKUP($A1058,'Concrete Beam Schedule'!$A$2:$Q$2902,R$2,0),"")</f>
        <v>#N/A</v>
      </c>
      <c r="S1058" s="7" t="e">
        <f>IF(VLOOKUP($A1058,'Concrete Beam Schedule'!$A$2:$Q$2902,S$2,0)&lt;&gt;C1058,VLOOKUP($A1058,'Concrete Beam Schedule'!$A$2:$Q$2902,S$2,0),"")</f>
        <v>#N/A</v>
      </c>
      <c r="T1058" s="7" t="e">
        <f>IF(VLOOKUP($A1058,'Concrete Beam Schedule'!$A$2:$Q$2902,T$2,0)&lt;&gt;D1058,"Beam Revised","")</f>
        <v>#N/A</v>
      </c>
      <c r="U1058" s="7" t="e">
        <f>IF(VLOOKUP($A1058,'Concrete Beam Schedule'!$A$2:$Q$2902,U$2,0)&lt;&gt;E1058,"Beam Revised","")</f>
        <v>#N/A</v>
      </c>
      <c r="V1058" s="7" t="e">
        <f>IF(VLOOKUP($A1058,'Concrete Beam Schedule'!$A$2:$Q$2902,V$2,0)&lt;&gt;F1058,"Beam Revised","")</f>
        <v>#N/A</v>
      </c>
      <c r="W1058" s="7" t="e">
        <f>IF(VLOOKUP($A1058,'Concrete Beam Schedule'!$A$2:$Q$2902,W$2,0)&lt;&gt;G1058,"Beam Revised","")</f>
        <v>#N/A</v>
      </c>
      <c r="X1058" s="7" t="e">
        <f>IF(VLOOKUP($A1058,'Concrete Beam Schedule'!$A$2:$Q$2902,X$2,0)&lt;&gt;H1058,"Beam Revised","")</f>
        <v>#N/A</v>
      </c>
      <c r="Y1058" s="7" t="e">
        <f>IF(VLOOKUP($A1058,'Concrete Beam Schedule'!$A$2:$Q$2902,Y$2,0)&lt;&gt;I1058,"Beam Revised","")</f>
        <v>#N/A</v>
      </c>
      <c r="Z1058" s="7" t="e">
        <f>IF(VLOOKUP($A1058,'Concrete Beam Schedule'!$A$2:$Q$2902,Z$2,0)&lt;&gt;J1058,"Beam Revised","")</f>
        <v>#N/A</v>
      </c>
      <c r="AA1058" s="7" t="e">
        <f>IF(VLOOKUP($A1058,'Concrete Beam Schedule'!$A$2:$Q$2902,AA$2,0)&lt;&gt;K1058,"Beam Revised","")</f>
        <v>#N/A</v>
      </c>
      <c r="AB1058" s="7" t="e">
        <f>IF(VLOOKUP($A1058,'Concrete Beam Schedule'!$A$2:$Q$2902,AB$2,0)&lt;&gt;L1058,"Beam Revised","")</f>
        <v>#N/A</v>
      </c>
      <c r="AC1058" s="7" t="e">
        <f>IF(VLOOKUP($A1058,'Concrete Beam Schedule'!$A$2:$Q$2902,AC$2,0)&lt;&gt;M1058,"Beam Revised","")</f>
        <v>#N/A</v>
      </c>
      <c r="AD1058" s="7" t="e">
        <f>IF(VLOOKUP($A1058,'Concrete Beam Schedule'!$A$2:$Q$2902,AD$2,0)&lt;&gt;N1058,"Beam Revised","")</f>
        <v>#N/A</v>
      </c>
      <c r="AE1058" s="7" t="e">
        <f>IF(VLOOKUP($A1058,'Concrete Beam Schedule'!$A$2:$Q$2902,AE$2,0)&lt;&gt;O1058,"Beam Revised","")</f>
        <v>#N/A</v>
      </c>
    </row>
    <row r="1059" spans="17:31" ht="13.2" x14ac:dyDescent="0.25">
      <c r="Q1059" s="7">
        <f t="shared" si="16"/>
        <v>0</v>
      </c>
      <c r="R1059" s="7" t="e">
        <f>IF(VLOOKUP($A1059,'Concrete Beam Schedule'!$A$2:$Q$2902,R$2,0)&lt;&gt;B1059,VLOOKUP($A1059,'Concrete Beam Schedule'!$A$2:$Q$2902,R$2,0),"")</f>
        <v>#N/A</v>
      </c>
      <c r="S1059" s="7" t="e">
        <f>IF(VLOOKUP($A1059,'Concrete Beam Schedule'!$A$2:$Q$2902,S$2,0)&lt;&gt;C1059,VLOOKUP($A1059,'Concrete Beam Schedule'!$A$2:$Q$2902,S$2,0),"")</f>
        <v>#N/A</v>
      </c>
      <c r="T1059" s="7" t="e">
        <f>IF(VLOOKUP($A1059,'Concrete Beam Schedule'!$A$2:$Q$2902,T$2,0)&lt;&gt;D1059,"Beam Revised","")</f>
        <v>#N/A</v>
      </c>
      <c r="U1059" s="7" t="e">
        <f>IF(VLOOKUP($A1059,'Concrete Beam Schedule'!$A$2:$Q$2902,U$2,0)&lt;&gt;E1059,"Beam Revised","")</f>
        <v>#N/A</v>
      </c>
      <c r="V1059" s="7" t="e">
        <f>IF(VLOOKUP($A1059,'Concrete Beam Schedule'!$A$2:$Q$2902,V$2,0)&lt;&gt;F1059,"Beam Revised","")</f>
        <v>#N/A</v>
      </c>
      <c r="W1059" s="7" t="e">
        <f>IF(VLOOKUP($A1059,'Concrete Beam Schedule'!$A$2:$Q$2902,W$2,0)&lt;&gt;G1059,"Beam Revised","")</f>
        <v>#N/A</v>
      </c>
      <c r="X1059" s="7" t="e">
        <f>IF(VLOOKUP($A1059,'Concrete Beam Schedule'!$A$2:$Q$2902,X$2,0)&lt;&gt;H1059,"Beam Revised","")</f>
        <v>#N/A</v>
      </c>
      <c r="Y1059" s="7" t="e">
        <f>IF(VLOOKUP($A1059,'Concrete Beam Schedule'!$A$2:$Q$2902,Y$2,0)&lt;&gt;I1059,"Beam Revised","")</f>
        <v>#N/A</v>
      </c>
      <c r="Z1059" s="7" t="e">
        <f>IF(VLOOKUP($A1059,'Concrete Beam Schedule'!$A$2:$Q$2902,Z$2,0)&lt;&gt;J1059,"Beam Revised","")</f>
        <v>#N/A</v>
      </c>
      <c r="AA1059" s="7" t="e">
        <f>IF(VLOOKUP($A1059,'Concrete Beam Schedule'!$A$2:$Q$2902,AA$2,0)&lt;&gt;K1059,"Beam Revised","")</f>
        <v>#N/A</v>
      </c>
      <c r="AB1059" s="7" t="e">
        <f>IF(VLOOKUP($A1059,'Concrete Beam Schedule'!$A$2:$Q$2902,AB$2,0)&lt;&gt;L1059,"Beam Revised","")</f>
        <v>#N/A</v>
      </c>
      <c r="AC1059" s="7" t="e">
        <f>IF(VLOOKUP($A1059,'Concrete Beam Schedule'!$A$2:$Q$2902,AC$2,0)&lt;&gt;M1059,"Beam Revised","")</f>
        <v>#N/A</v>
      </c>
      <c r="AD1059" s="7" t="e">
        <f>IF(VLOOKUP($A1059,'Concrete Beam Schedule'!$A$2:$Q$2902,AD$2,0)&lt;&gt;N1059,"Beam Revised","")</f>
        <v>#N/A</v>
      </c>
      <c r="AE1059" s="7" t="e">
        <f>IF(VLOOKUP($A1059,'Concrete Beam Schedule'!$A$2:$Q$2902,AE$2,0)&lt;&gt;O1059,"Beam Revised","")</f>
        <v>#N/A</v>
      </c>
    </row>
    <row r="1060" spans="17:31" ht="13.2" x14ac:dyDescent="0.25">
      <c r="Q1060" s="7">
        <f t="shared" si="16"/>
        <v>0</v>
      </c>
      <c r="R1060" s="7" t="e">
        <f>IF(VLOOKUP($A1060,'Concrete Beam Schedule'!$A$2:$Q$2902,R$2,0)&lt;&gt;B1060,VLOOKUP($A1060,'Concrete Beam Schedule'!$A$2:$Q$2902,R$2,0),"")</f>
        <v>#N/A</v>
      </c>
      <c r="S1060" s="7" t="e">
        <f>IF(VLOOKUP($A1060,'Concrete Beam Schedule'!$A$2:$Q$2902,S$2,0)&lt;&gt;C1060,VLOOKUP($A1060,'Concrete Beam Schedule'!$A$2:$Q$2902,S$2,0),"")</f>
        <v>#N/A</v>
      </c>
      <c r="T1060" s="7" t="e">
        <f>IF(VLOOKUP($A1060,'Concrete Beam Schedule'!$A$2:$Q$2902,T$2,0)&lt;&gt;D1060,"Beam Revised","")</f>
        <v>#N/A</v>
      </c>
      <c r="U1060" s="7" t="e">
        <f>IF(VLOOKUP($A1060,'Concrete Beam Schedule'!$A$2:$Q$2902,U$2,0)&lt;&gt;E1060,"Beam Revised","")</f>
        <v>#N/A</v>
      </c>
      <c r="V1060" s="7" t="e">
        <f>IF(VLOOKUP($A1060,'Concrete Beam Schedule'!$A$2:$Q$2902,V$2,0)&lt;&gt;F1060,"Beam Revised","")</f>
        <v>#N/A</v>
      </c>
      <c r="W1060" s="7" t="e">
        <f>IF(VLOOKUP($A1060,'Concrete Beam Schedule'!$A$2:$Q$2902,W$2,0)&lt;&gt;G1060,"Beam Revised","")</f>
        <v>#N/A</v>
      </c>
      <c r="X1060" s="7" t="e">
        <f>IF(VLOOKUP($A1060,'Concrete Beam Schedule'!$A$2:$Q$2902,X$2,0)&lt;&gt;H1060,"Beam Revised","")</f>
        <v>#N/A</v>
      </c>
      <c r="Y1060" s="7" t="e">
        <f>IF(VLOOKUP($A1060,'Concrete Beam Schedule'!$A$2:$Q$2902,Y$2,0)&lt;&gt;I1060,"Beam Revised","")</f>
        <v>#N/A</v>
      </c>
      <c r="Z1060" s="7" t="e">
        <f>IF(VLOOKUP($A1060,'Concrete Beam Schedule'!$A$2:$Q$2902,Z$2,0)&lt;&gt;J1060,"Beam Revised","")</f>
        <v>#N/A</v>
      </c>
      <c r="AA1060" s="7" t="e">
        <f>IF(VLOOKUP($A1060,'Concrete Beam Schedule'!$A$2:$Q$2902,AA$2,0)&lt;&gt;K1060,"Beam Revised","")</f>
        <v>#N/A</v>
      </c>
      <c r="AB1060" s="7" t="e">
        <f>IF(VLOOKUP($A1060,'Concrete Beam Schedule'!$A$2:$Q$2902,AB$2,0)&lt;&gt;L1060,"Beam Revised","")</f>
        <v>#N/A</v>
      </c>
      <c r="AC1060" s="7" t="e">
        <f>IF(VLOOKUP($A1060,'Concrete Beam Schedule'!$A$2:$Q$2902,AC$2,0)&lt;&gt;M1060,"Beam Revised","")</f>
        <v>#N/A</v>
      </c>
      <c r="AD1060" s="7" t="e">
        <f>IF(VLOOKUP($A1060,'Concrete Beam Schedule'!$A$2:$Q$2902,AD$2,0)&lt;&gt;N1060,"Beam Revised","")</f>
        <v>#N/A</v>
      </c>
      <c r="AE1060" s="7" t="e">
        <f>IF(VLOOKUP($A1060,'Concrete Beam Schedule'!$A$2:$Q$2902,AE$2,0)&lt;&gt;O1060,"Beam Revised","")</f>
        <v>#N/A</v>
      </c>
    </row>
    <row r="1061" spans="17:31" ht="13.2" x14ac:dyDescent="0.25">
      <c r="Q1061" s="7">
        <f t="shared" si="16"/>
        <v>0</v>
      </c>
      <c r="R1061" s="7" t="e">
        <f>IF(VLOOKUP($A1061,'Concrete Beam Schedule'!$A$2:$Q$2902,R$2,0)&lt;&gt;B1061,VLOOKUP($A1061,'Concrete Beam Schedule'!$A$2:$Q$2902,R$2,0),"")</f>
        <v>#N/A</v>
      </c>
      <c r="S1061" s="7" t="e">
        <f>IF(VLOOKUP($A1061,'Concrete Beam Schedule'!$A$2:$Q$2902,S$2,0)&lt;&gt;C1061,VLOOKUP($A1061,'Concrete Beam Schedule'!$A$2:$Q$2902,S$2,0),"")</f>
        <v>#N/A</v>
      </c>
      <c r="T1061" s="7" t="e">
        <f>IF(VLOOKUP($A1061,'Concrete Beam Schedule'!$A$2:$Q$2902,T$2,0)&lt;&gt;D1061,"Beam Revised","")</f>
        <v>#N/A</v>
      </c>
      <c r="U1061" s="7" t="e">
        <f>IF(VLOOKUP($A1061,'Concrete Beam Schedule'!$A$2:$Q$2902,U$2,0)&lt;&gt;E1061,"Beam Revised","")</f>
        <v>#N/A</v>
      </c>
      <c r="V1061" s="7" t="e">
        <f>IF(VLOOKUP($A1061,'Concrete Beam Schedule'!$A$2:$Q$2902,V$2,0)&lt;&gt;F1061,"Beam Revised","")</f>
        <v>#N/A</v>
      </c>
      <c r="W1061" s="7" t="e">
        <f>IF(VLOOKUP($A1061,'Concrete Beam Schedule'!$A$2:$Q$2902,W$2,0)&lt;&gt;G1061,"Beam Revised","")</f>
        <v>#N/A</v>
      </c>
      <c r="X1061" s="7" t="e">
        <f>IF(VLOOKUP($A1061,'Concrete Beam Schedule'!$A$2:$Q$2902,X$2,0)&lt;&gt;H1061,"Beam Revised","")</f>
        <v>#N/A</v>
      </c>
      <c r="Y1061" s="7" t="e">
        <f>IF(VLOOKUP($A1061,'Concrete Beam Schedule'!$A$2:$Q$2902,Y$2,0)&lt;&gt;I1061,"Beam Revised","")</f>
        <v>#N/A</v>
      </c>
      <c r="Z1061" s="7" t="e">
        <f>IF(VLOOKUP($A1061,'Concrete Beam Schedule'!$A$2:$Q$2902,Z$2,0)&lt;&gt;J1061,"Beam Revised","")</f>
        <v>#N/A</v>
      </c>
      <c r="AA1061" s="7" t="e">
        <f>IF(VLOOKUP($A1061,'Concrete Beam Schedule'!$A$2:$Q$2902,AA$2,0)&lt;&gt;K1061,"Beam Revised","")</f>
        <v>#N/A</v>
      </c>
      <c r="AB1061" s="7" t="e">
        <f>IF(VLOOKUP($A1061,'Concrete Beam Schedule'!$A$2:$Q$2902,AB$2,0)&lt;&gt;L1061,"Beam Revised","")</f>
        <v>#N/A</v>
      </c>
      <c r="AC1061" s="7" t="e">
        <f>IF(VLOOKUP($A1061,'Concrete Beam Schedule'!$A$2:$Q$2902,AC$2,0)&lt;&gt;M1061,"Beam Revised","")</f>
        <v>#N/A</v>
      </c>
      <c r="AD1061" s="7" t="e">
        <f>IF(VLOOKUP($A1061,'Concrete Beam Schedule'!$A$2:$Q$2902,AD$2,0)&lt;&gt;N1061,"Beam Revised","")</f>
        <v>#N/A</v>
      </c>
      <c r="AE1061" s="7" t="e">
        <f>IF(VLOOKUP($A1061,'Concrete Beam Schedule'!$A$2:$Q$2902,AE$2,0)&lt;&gt;O1061,"Beam Revised","")</f>
        <v>#N/A</v>
      </c>
    </row>
    <row r="1062" spans="17:31" ht="13.2" x14ac:dyDescent="0.25">
      <c r="Q1062" s="7">
        <f t="shared" si="16"/>
        <v>0</v>
      </c>
      <c r="R1062" s="7" t="e">
        <f>IF(VLOOKUP($A1062,'Concrete Beam Schedule'!$A$2:$Q$2902,R$2,0)&lt;&gt;B1062,VLOOKUP($A1062,'Concrete Beam Schedule'!$A$2:$Q$2902,R$2,0),"")</f>
        <v>#N/A</v>
      </c>
      <c r="S1062" s="7" t="e">
        <f>IF(VLOOKUP($A1062,'Concrete Beam Schedule'!$A$2:$Q$2902,S$2,0)&lt;&gt;C1062,VLOOKUP($A1062,'Concrete Beam Schedule'!$A$2:$Q$2902,S$2,0),"")</f>
        <v>#N/A</v>
      </c>
      <c r="T1062" s="7" t="e">
        <f>IF(VLOOKUP($A1062,'Concrete Beam Schedule'!$A$2:$Q$2902,T$2,0)&lt;&gt;D1062,"Beam Revised","")</f>
        <v>#N/A</v>
      </c>
      <c r="U1062" s="7" t="e">
        <f>IF(VLOOKUP($A1062,'Concrete Beam Schedule'!$A$2:$Q$2902,U$2,0)&lt;&gt;E1062,"Beam Revised","")</f>
        <v>#N/A</v>
      </c>
      <c r="V1062" s="7" t="e">
        <f>IF(VLOOKUP($A1062,'Concrete Beam Schedule'!$A$2:$Q$2902,V$2,0)&lt;&gt;F1062,"Beam Revised","")</f>
        <v>#N/A</v>
      </c>
      <c r="W1062" s="7" t="e">
        <f>IF(VLOOKUP($A1062,'Concrete Beam Schedule'!$A$2:$Q$2902,W$2,0)&lt;&gt;G1062,"Beam Revised","")</f>
        <v>#N/A</v>
      </c>
      <c r="X1062" s="7" t="e">
        <f>IF(VLOOKUP($A1062,'Concrete Beam Schedule'!$A$2:$Q$2902,X$2,0)&lt;&gt;H1062,"Beam Revised","")</f>
        <v>#N/A</v>
      </c>
      <c r="Y1062" s="7" t="e">
        <f>IF(VLOOKUP($A1062,'Concrete Beam Schedule'!$A$2:$Q$2902,Y$2,0)&lt;&gt;I1062,"Beam Revised","")</f>
        <v>#N/A</v>
      </c>
      <c r="Z1062" s="7" t="e">
        <f>IF(VLOOKUP($A1062,'Concrete Beam Schedule'!$A$2:$Q$2902,Z$2,0)&lt;&gt;J1062,"Beam Revised","")</f>
        <v>#N/A</v>
      </c>
      <c r="AA1062" s="7" t="e">
        <f>IF(VLOOKUP($A1062,'Concrete Beam Schedule'!$A$2:$Q$2902,AA$2,0)&lt;&gt;K1062,"Beam Revised","")</f>
        <v>#N/A</v>
      </c>
      <c r="AB1062" s="7" t="e">
        <f>IF(VLOOKUP($A1062,'Concrete Beam Schedule'!$A$2:$Q$2902,AB$2,0)&lt;&gt;L1062,"Beam Revised","")</f>
        <v>#N/A</v>
      </c>
      <c r="AC1062" s="7" t="e">
        <f>IF(VLOOKUP($A1062,'Concrete Beam Schedule'!$A$2:$Q$2902,AC$2,0)&lt;&gt;M1062,"Beam Revised","")</f>
        <v>#N/A</v>
      </c>
      <c r="AD1062" s="7" t="e">
        <f>IF(VLOOKUP($A1062,'Concrete Beam Schedule'!$A$2:$Q$2902,AD$2,0)&lt;&gt;N1062,"Beam Revised","")</f>
        <v>#N/A</v>
      </c>
      <c r="AE1062" s="7" t="e">
        <f>IF(VLOOKUP($A1062,'Concrete Beam Schedule'!$A$2:$Q$2902,AE$2,0)&lt;&gt;O1062,"Beam Revised","")</f>
        <v>#N/A</v>
      </c>
    </row>
    <row r="1063" spans="17:31" ht="13.2" x14ac:dyDescent="0.25">
      <c r="Q1063" s="7">
        <f t="shared" si="16"/>
        <v>0</v>
      </c>
      <c r="R1063" s="7" t="e">
        <f>IF(VLOOKUP($A1063,'Concrete Beam Schedule'!$A$2:$Q$2902,R$2,0)&lt;&gt;B1063,VLOOKUP($A1063,'Concrete Beam Schedule'!$A$2:$Q$2902,R$2,0),"")</f>
        <v>#N/A</v>
      </c>
      <c r="S1063" s="7" t="e">
        <f>IF(VLOOKUP($A1063,'Concrete Beam Schedule'!$A$2:$Q$2902,S$2,0)&lt;&gt;C1063,VLOOKUP($A1063,'Concrete Beam Schedule'!$A$2:$Q$2902,S$2,0),"")</f>
        <v>#N/A</v>
      </c>
      <c r="T1063" s="7" t="e">
        <f>IF(VLOOKUP($A1063,'Concrete Beam Schedule'!$A$2:$Q$2902,T$2,0)&lt;&gt;D1063,"Beam Revised","")</f>
        <v>#N/A</v>
      </c>
      <c r="U1063" s="7" t="e">
        <f>IF(VLOOKUP($A1063,'Concrete Beam Schedule'!$A$2:$Q$2902,U$2,0)&lt;&gt;E1063,"Beam Revised","")</f>
        <v>#N/A</v>
      </c>
      <c r="V1063" s="7" t="e">
        <f>IF(VLOOKUP($A1063,'Concrete Beam Schedule'!$A$2:$Q$2902,V$2,0)&lt;&gt;F1063,"Beam Revised","")</f>
        <v>#N/A</v>
      </c>
      <c r="W1063" s="7" t="e">
        <f>IF(VLOOKUP($A1063,'Concrete Beam Schedule'!$A$2:$Q$2902,W$2,0)&lt;&gt;G1063,"Beam Revised","")</f>
        <v>#N/A</v>
      </c>
      <c r="X1063" s="7" t="e">
        <f>IF(VLOOKUP($A1063,'Concrete Beam Schedule'!$A$2:$Q$2902,X$2,0)&lt;&gt;H1063,"Beam Revised","")</f>
        <v>#N/A</v>
      </c>
      <c r="Y1063" s="7" t="e">
        <f>IF(VLOOKUP($A1063,'Concrete Beam Schedule'!$A$2:$Q$2902,Y$2,0)&lt;&gt;I1063,"Beam Revised","")</f>
        <v>#N/A</v>
      </c>
      <c r="Z1063" s="7" t="e">
        <f>IF(VLOOKUP($A1063,'Concrete Beam Schedule'!$A$2:$Q$2902,Z$2,0)&lt;&gt;J1063,"Beam Revised","")</f>
        <v>#N/A</v>
      </c>
      <c r="AA1063" s="7" t="e">
        <f>IF(VLOOKUP($A1063,'Concrete Beam Schedule'!$A$2:$Q$2902,AA$2,0)&lt;&gt;K1063,"Beam Revised","")</f>
        <v>#N/A</v>
      </c>
      <c r="AB1063" s="7" t="e">
        <f>IF(VLOOKUP($A1063,'Concrete Beam Schedule'!$A$2:$Q$2902,AB$2,0)&lt;&gt;L1063,"Beam Revised","")</f>
        <v>#N/A</v>
      </c>
      <c r="AC1063" s="7" t="e">
        <f>IF(VLOOKUP($A1063,'Concrete Beam Schedule'!$A$2:$Q$2902,AC$2,0)&lt;&gt;M1063,"Beam Revised","")</f>
        <v>#N/A</v>
      </c>
      <c r="AD1063" s="7" t="e">
        <f>IF(VLOOKUP($A1063,'Concrete Beam Schedule'!$A$2:$Q$2902,AD$2,0)&lt;&gt;N1063,"Beam Revised","")</f>
        <v>#N/A</v>
      </c>
      <c r="AE1063" s="7" t="e">
        <f>IF(VLOOKUP($A1063,'Concrete Beam Schedule'!$A$2:$Q$2902,AE$2,0)&lt;&gt;O1063,"Beam Revised","")</f>
        <v>#N/A</v>
      </c>
    </row>
    <row r="1064" spans="17:31" ht="13.2" x14ac:dyDescent="0.25">
      <c r="Q1064" s="7">
        <f t="shared" si="16"/>
        <v>0</v>
      </c>
      <c r="R1064" s="7" t="e">
        <f>IF(VLOOKUP($A1064,'Concrete Beam Schedule'!$A$2:$Q$2902,R$2,0)&lt;&gt;B1064,VLOOKUP($A1064,'Concrete Beam Schedule'!$A$2:$Q$2902,R$2,0),"")</f>
        <v>#N/A</v>
      </c>
      <c r="S1064" s="7" t="e">
        <f>IF(VLOOKUP($A1064,'Concrete Beam Schedule'!$A$2:$Q$2902,S$2,0)&lt;&gt;C1064,VLOOKUP($A1064,'Concrete Beam Schedule'!$A$2:$Q$2902,S$2,0),"")</f>
        <v>#N/A</v>
      </c>
      <c r="T1064" s="7" t="e">
        <f>IF(VLOOKUP($A1064,'Concrete Beam Schedule'!$A$2:$Q$2902,T$2,0)&lt;&gt;D1064,"Beam Revised","")</f>
        <v>#N/A</v>
      </c>
      <c r="U1064" s="7" t="e">
        <f>IF(VLOOKUP($A1064,'Concrete Beam Schedule'!$A$2:$Q$2902,U$2,0)&lt;&gt;E1064,"Beam Revised","")</f>
        <v>#N/A</v>
      </c>
      <c r="V1064" s="7" t="e">
        <f>IF(VLOOKUP($A1064,'Concrete Beam Schedule'!$A$2:$Q$2902,V$2,0)&lt;&gt;F1064,"Beam Revised","")</f>
        <v>#N/A</v>
      </c>
      <c r="W1064" s="7" t="e">
        <f>IF(VLOOKUP($A1064,'Concrete Beam Schedule'!$A$2:$Q$2902,W$2,0)&lt;&gt;G1064,"Beam Revised","")</f>
        <v>#N/A</v>
      </c>
      <c r="X1064" s="7" t="e">
        <f>IF(VLOOKUP($A1064,'Concrete Beam Schedule'!$A$2:$Q$2902,X$2,0)&lt;&gt;H1064,"Beam Revised","")</f>
        <v>#N/A</v>
      </c>
      <c r="Y1064" s="7" t="e">
        <f>IF(VLOOKUP($A1064,'Concrete Beam Schedule'!$A$2:$Q$2902,Y$2,0)&lt;&gt;I1064,"Beam Revised","")</f>
        <v>#N/A</v>
      </c>
      <c r="Z1064" s="7" t="e">
        <f>IF(VLOOKUP($A1064,'Concrete Beam Schedule'!$A$2:$Q$2902,Z$2,0)&lt;&gt;J1064,"Beam Revised","")</f>
        <v>#N/A</v>
      </c>
      <c r="AA1064" s="7" t="e">
        <f>IF(VLOOKUP($A1064,'Concrete Beam Schedule'!$A$2:$Q$2902,AA$2,0)&lt;&gt;K1064,"Beam Revised","")</f>
        <v>#N/A</v>
      </c>
      <c r="AB1064" s="7" t="e">
        <f>IF(VLOOKUP($A1064,'Concrete Beam Schedule'!$A$2:$Q$2902,AB$2,0)&lt;&gt;L1064,"Beam Revised","")</f>
        <v>#N/A</v>
      </c>
      <c r="AC1064" s="7" t="e">
        <f>IF(VLOOKUP($A1064,'Concrete Beam Schedule'!$A$2:$Q$2902,AC$2,0)&lt;&gt;M1064,"Beam Revised","")</f>
        <v>#N/A</v>
      </c>
      <c r="AD1064" s="7" t="e">
        <f>IF(VLOOKUP($A1064,'Concrete Beam Schedule'!$A$2:$Q$2902,AD$2,0)&lt;&gt;N1064,"Beam Revised","")</f>
        <v>#N/A</v>
      </c>
      <c r="AE1064" s="7" t="e">
        <f>IF(VLOOKUP($A1064,'Concrete Beam Schedule'!$A$2:$Q$2902,AE$2,0)&lt;&gt;O1064,"Beam Revised","")</f>
        <v>#N/A</v>
      </c>
    </row>
    <row r="1065" spans="17:31" ht="13.2" x14ac:dyDescent="0.25">
      <c r="Q1065" s="7">
        <f t="shared" si="16"/>
        <v>0</v>
      </c>
      <c r="R1065" s="7" t="e">
        <f>IF(VLOOKUP($A1065,'Concrete Beam Schedule'!$A$2:$Q$2902,R$2,0)&lt;&gt;B1065,VLOOKUP($A1065,'Concrete Beam Schedule'!$A$2:$Q$2902,R$2,0),"")</f>
        <v>#N/A</v>
      </c>
      <c r="S1065" s="7" t="e">
        <f>IF(VLOOKUP($A1065,'Concrete Beam Schedule'!$A$2:$Q$2902,S$2,0)&lt;&gt;C1065,VLOOKUP($A1065,'Concrete Beam Schedule'!$A$2:$Q$2902,S$2,0),"")</f>
        <v>#N/A</v>
      </c>
      <c r="T1065" s="7" t="e">
        <f>IF(VLOOKUP($A1065,'Concrete Beam Schedule'!$A$2:$Q$2902,T$2,0)&lt;&gt;D1065,"Beam Revised","")</f>
        <v>#N/A</v>
      </c>
      <c r="U1065" s="7" t="e">
        <f>IF(VLOOKUP($A1065,'Concrete Beam Schedule'!$A$2:$Q$2902,U$2,0)&lt;&gt;E1065,"Beam Revised","")</f>
        <v>#N/A</v>
      </c>
      <c r="V1065" s="7" t="e">
        <f>IF(VLOOKUP($A1065,'Concrete Beam Schedule'!$A$2:$Q$2902,V$2,0)&lt;&gt;F1065,"Beam Revised","")</f>
        <v>#N/A</v>
      </c>
      <c r="W1065" s="7" t="e">
        <f>IF(VLOOKUP($A1065,'Concrete Beam Schedule'!$A$2:$Q$2902,W$2,0)&lt;&gt;G1065,"Beam Revised","")</f>
        <v>#N/A</v>
      </c>
      <c r="X1065" s="7" t="e">
        <f>IF(VLOOKUP($A1065,'Concrete Beam Schedule'!$A$2:$Q$2902,X$2,0)&lt;&gt;H1065,"Beam Revised","")</f>
        <v>#N/A</v>
      </c>
      <c r="Y1065" s="7" t="e">
        <f>IF(VLOOKUP($A1065,'Concrete Beam Schedule'!$A$2:$Q$2902,Y$2,0)&lt;&gt;I1065,"Beam Revised","")</f>
        <v>#N/A</v>
      </c>
      <c r="Z1065" s="7" t="e">
        <f>IF(VLOOKUP($A1065,'Concrete Beam Schedule'!$A$2:$Q$2902,Z$2,0)&lt;&gt;J1065,"Beam Revised","")</f>
        <v>#N/A</v>
      </c>
      <c r="AA1065" s="7" t="e">
        <f>IF(VLOOKUP($A1065,'Concrete Beam Schedule'!$A$2:$Q$2902,AA$2,0)&lt;&gt;K1065,"Beam Revised","")</f>
        <v>#N/A</v>
      </c>
      <c r="AB1065" s="7" t="e">
        <f>IF(VLOOKUP($A1065,'Concrete Beam Schedule'!$A$2:$Q$2902,AB$2,0)&lt;&gt;L1065,"Beam Revised","")</f>
        <v>#N/A</v>
      </c>
      <c r="AC1065" s="7" t="e">
        <f>IF(VLOOKUP($A1065,'Concrete Beam Schedule'!$A$2:$Q$2902,AC$2,0)&lt;&gt;M1065,"Beam Revised","")</f>
        <v>#N/A</v>
      </c>
      <c r="AD1065" s="7" t="e">
        <f>IF(VLOOKUP($A1065,'Concrete Beam Schedule'!$A$2:$Q$2902,AD$2,0)&lt;&gt;N1065,"Beam Revised","")</f>
        <v>#N/A</v>
      </c>
      <c r="AE1065" s="7" t="e">
        <f>IF(VLOOKUP($A1065,'Concrete Beam Schedule'!$A$2:$Q$2902,AE$2,0)&lt;&gt;O1065,"Beam Revised","")</f>
        <v>#N/A</v>
      </c>
    </row>
    <row r="1066" spans="17:31" ht="13.2" x14ac:dyDescent="0.25">
      <c r="Q1066" s="7">
        <f t="shared" si="16"/>
        <v>0</v>
      </c>
      <c r="R1066" s="7" t="e">
        <f>IF(VLOOKUP($A1066,'Concrete Beam Schedule'!$A$2:$Q$2902,R$2,0)&lt;&gt;B1066,VLOOKUP($A1066,'Concrete Beam Schedule'!$A$2:$Q$2902,R$2,0),"")</f>
        <v>#N/A</v>
      </c>
      <c r="S1066" s="7" t="e">
        <f>IF(VLOOKUP($A1066,'Concrete Beam Schedule'!$A$2:$Q$2902,S$2,0)&lt;&gt;C1066,VLOOKUP($A1066,'Concrete Beam Schedule'!$A$2:$Q$2902,S$2,0),"")</f>
        <v>#N/A</v>
      </c>
      <c r="T1066" s="7" t="e">
        <f>IF(VLOOKUP($A1066,'Concrete Beam Schedule'!$A$2:$Q$2902,T$2,0)&lt;&gt;D1066,"Beam Revised","")</f>
        <v>#N/A</v>
      </c>
      <c r="U1066" s="7" t="e">
        <f>IF(VLOOKUP($A1066,'Concrete Beam Schedule'!$A$2:$Q$2902,U$2,0)&lt;&gt;E1066,"Beam Revised","")</f>
        <v>#N/A</v>
      </c>
      <c r="V1066" s="7" t="e">
        <f>IF(VLOOKUP($A1066,'Concrete Beam Schedule'!$A$2:$Q$2902,V$2,0)&lt;&gt;F1066,"Beam Revised","")</f>
        <v>#N/A</v>
      </c>
      <c r="W1066" s="7" t="e">
        <f>IF(VLOOKUP($A1066,'Concrete Beam Schedule'!$A$2:$Q$2902,W$2,0)&lt;&gt;G1066,"Beam Revised","")</f>
        <v>#N/A</v>
      </c>
      <c r="X1066" s="7" t="e">
        <f>IF(VLOOKUP($A1066,'Concrete Beam Schedule'!$A$2:$Q$2902,X$2,0)&lt;&gt;H1066,"Beam Revised","")</f>
        <v>#N/A</v>
      </c>
      <c r="Y1066" s="7" t="e">
        <f>IF(VLOOKUP($A1066,'Concrete Beam Schedule'!$A$2:$Q$2902,Y$2,0)&lt;&gt;I1066,"Beam Revised","")</f>
        <v>#N/A</v>
      </c>
      <c r="Z1066" s="7" t="e">
        <f>IF(VLOOKUP($A1066,'Concrete Beam Schedule'!$A$2:$Q$2902,Z$2,0)&lt;&gt;J1066,"Beam Revised","")</f>
        <v>#N/A</v>
      </c>
      <c r="AA1066" s="7" t="e">
        <f>IF(VLOOKUP($A1066,'Concrete Beam Schedule'!$A$2:$Q$2902,AA$2,0)&lt;&gt;K1066,"Beam Revised","")</f>
        <v>#N/A</v>
      </c>
      <c r="AB1066" s="7" t="e">
        <f>IF(VLOOKUP($A1066,'Concrete Beam Schedule'!$A$2:$Q$2902,AB$2,0)&lt;&gt;L1066,"Beam Revised","")</f>
        <v>#N/A</v>
      </c>
      <c r="AC1066" s="7" t="e">
        <f>IF(VLOOKUP($A1066,'Concrete Beam Schedule'!$A$2:$Q$2902,AC$2,0)&lt;&gt;M1066,"Beam Revised","")</f>
        <v>#N/A</v>
      </c>
      <c r="AD1066" s="7" t="e">
        <f>IF(VLOOKUP($A1066,'Concrete Beam Schedule'!$A$2:$Q$2902,AD$2,0)&lt;&gt;N1066,"Beam Revised","")</f>
        <v>#N/A</v>
      </c>
      <c r="AE1066" s="7" t="e">
        <f>IF(VLOOKUP($A1066,'Concrete Beam Schedule'!$A$2:$Q$2902,AE$2,0)&lt;&gt;O1066,"Beam Revised","")</f>
        <v>#N/A</v>
      </c>
    </row>
    <row r="1067" spans="17:31" ht="13.2" x14ac:dyDescent="0.25">
      <c r="Q1067" s="7">
        <f t="shared" si="16"/>
        <v>0</v>
      </c>
      <c r="R1067" s="7" t="e">
        <f>IF(VLOOKUP($A1067,'Concrete Beam Schedule'!$A$2:$Q$2902,R$2,0)&lt;&gt;B1067,VLOOKUP($A1067,'Concrete Beam Schedule'!$A$2:$Q$2902,R$2,0),"")</f>
        <v>#N/A</v>
      </c>
      <c r="S1067" s="7" t="e">
        <f>IF(VLOOKUP($A1067,'Concrete Beam Schedule'!$A$2:$Q$2902,S$2,0)&lt;&gt;C1067,VLOOKUP($A1067,'Concrete Beam Schedule'!$A$2:$Q$2902,S$2,0),"")</f>
        <v>#N/A</v>
      </c>
      <c r="T1067" s="7" t="e">
        <f>IF(VLOOKUP($A1067,'Concrete Beam Schedule'!$A$2:$Q$2902,T$2,0)&lt;&gt;D1067,"Beam Revised","")</f>
        <v>#N/A</v>
      </c>
      <c r="U1067" s="7" t="e">
        <f>IF(VLOOKUP($A1067,'Concrete Beam Schedule'!$A$2:$Q$2902,U$2,0)&lt;&gt;E1067,"Beam Revised","")</f>
        <v>#N/A</v>
      </c>
      <c r="V1067" s="7" t="e">
        <f>IF(VLOOKUP($A1067,'Concrete Beam Schedule'!$A$2:$Q$2902,V$2,0)&lt;&gt;F1067,"Beam Revised","")</f>
        <v>#N/A</v>
      </c>
      <c r="W1067" s="7" t="e">
        <f>IF(VLOOKUP($A1067,'Concrete Beam Schedule'!$A$2:$Q$2902,W$2,0)&lt;&gt;G1067,"Beam Revised","")</f>
        <v>#N/A</v>
      </c>
      <c r="X1067" s="7" t="e">
        <f>IF(VLOOKUP($A1067,'Concrete Beam Schedule'!$A$2:$Q$2902,X$2,0)&lt;&gt;H1067,"Beam Revised","")</f>
        <v>#N/A</v>
      </c>
      <c r="Y1067" s="7" t="e">
        <f>IF(VLOOKUP($A1067,'Concrete Beam Schedule'!$A$2:$Q$2902,Y$2,0)&lt;&gt;I1067,"Beam Revised","")</f>
        <v>#N/A</v>
      </c>
      <c r="Z1067" s="7" t="e">
        <f>IF(VLOOKUP($A1067,'Concrete Beam Schedule'!$A$2:$Q$2902,Z$2,0)&lt;&gt;J1067,"Beam Revised","")</f>
        <v>#N/A</v>
      </c>
      <c r="AA1067" s="7" t="e">
        <f>IF(VLOOKUP($A1067,'Concrete Beam Schedule'!$A$2:$Q$2902,AA$2,0)&lt;&gt;K1067,"Beam Revised","")</f>
        <v>#N/A</v>
      </c>
      <c r="AB1067" s="7" t="e">
        <f>IF(VLOOKUP($A1067,'Concrete Beam Schedule'!$A$2:$Q$2902,AB$2,0)&lt;&gt;L1067,"Beam Revised","")</f>
        <v>#N/A</v>
      </c>
      <c r="AC1067" s="7" t="e">
        <f>IF(VLOOKUP($A1067,'Concrete Beam Schedule'!$A$2:$Q$2902,AC$2,0)&lt;&gt;M1067,"Beam Revised","")</f>
        <v>#N/A</v>
      </c>
      <c r="AD1067" s="7" t="e">
        <f>IF(VLOOKUP($A1067,'Concrete Beam Schedule'!$A$2:$Q$2902,AD$2,0)&lt;&gt;N1067,"Beam Revised","")</f>
        <v>#N/A</v>
      </c>
      <c r="AE1067" s="7" t="e">
        <f>IF(VLOOKUP($A1067,'Concrete Beam Schedule'!$A$2:$Q$2902,AE$2,0)&lt;&gt;O1067,"Beam Revised","")</f>
        <v>#N/A</v>
      </c>
    </row>
    <row r="1068" spans="17:31" ht="13.2" x14ac:dyDescent="0.25">
      <c r="Q1068" s="7">
        <f t="shared" si="16"/>
        <v>0</v>
      </c>
      <c r="R1068" s="7" t="e">
        <f>IF(VLOOKUP($A1068,'Concrete Beam Schedule'!$A$2:$Q$2902,R$2,0)&lt;&gt;B1068,VLOOKUP($A1068,'Concrete Beam Schedule'!$A$2:$Q$2902,R$2,0),"")</f>
        <v>#N/A</v>
      </c>
      <c r="S1068" s="7" t="e">
        <f>IF(VLOOKUP($A1068,'Concrete Beam Schedule'!$A$2:$Q$2902,S$2,0)&lt;&gt;C1068,VLOOKUP($A1068,'Concrete Beam Schedule'!$A$2:$Q$2902,S$2,0),"")</f>
        <v>#N/A</v>
      </c>
      <c r="T1068" s="7" t="e">
        <f>IF(VLOOKUP($A1068,'Concrete Beam Schedule'!$A$2:$Q$2902,T$2,0)&lt;&gt;D1068,"Beam Revised","")</f>
        <v>#N/A</v>
      </c>
      <c r="U1068" s="7" t="e">
        <f>IF(VLOOKUP($A1068,'Concrete Beam Schedule'!$A$2:$Q$2902,U$2,0)&lt;&gt;E1068,"Beam Revised","")</f>
        <v>#N/A</v>
      </c>
      <c r="V1068" s="7" t="e">
        <f>IF(VLOOKUP($A1068,'Concrete Beam Schedule'!$A$2:$Q$2902,V$2,0)&lt;&gt;F1068,"Beam Revised","")</f>
        <v>#N/A</v>
      </c>
      <c r="W1068" s="7" t="e">
        <f>IF(VLOOKUP($A1068,'Concrete Beam Schedule'!$A$2:$Q$2902,W$2,0)&lt;&gt;G1068,"Beam Revised","")</f>
        <v>#N/A</v>
      </c>
      <c r="X1068" s="7" t="e">
        <f>IF(VLOOKUP($A1068,'Concrete Beam Schedule'!$A$2:$Q$2902,X$2,0)&lt;&gt;H1068,"Beam Revised","")</f>
        <v>#N/A</v>
      </c>
      <c r="Y1068" s="7" t="e">
        <f>IF(VLOOKUP($A1068,'Concrete Beam Schedule'!$A$2:$Q$2902,Y$2,0)&lt;&gt;I1068,"Beam Revised","")</f>
        <v>#N/A</v>
      </c>
      <c r="Z1068" s="7" t="e">
        <f>IF(VLOOKUP($A1068,'Concrete Beam Schedule'!$A$2:$Q$2902,Z$2,0)&lt;&gt;J1068,"Beam Revised","")</f>
        <v>#N/A</v>
      </c>
      <c r="AA1068" s="7" t="e">
        <f>IF(VLOOKUP($A1068,'Concrete Beam Schedule'!$A$2:$Q$2902,AA$2,0)&lt;&gt;K1068,"Beam Revised","")</f>
        <v>#N/A</v>
      </c>
      <c r="AB1068" s="7" t="e">
        <f>IF(VLOOKUP($A1068,'Concrete Beam Schedule'!$A$2:$Q$2902,AB$2,0)&lt;&gt;L1068,"Beam Revised","")</f>
        <v>#N/A</v>
      </c>
      <c r="AC1068" s="7" t="e">
        <f>IF(VLOOKUP($A1068,'Concrete Beam Schedule'!$A$2:$Q$2902,AC$2,0)&lt;&gt;M1068,"Beam Revised","")</f>
        <v>#N/A</v>
      </c>
      <c r="AD1068" s="7" t="e">
        <f>IF(VLOOKUP($A1068,'Concrete Beam Schedule'!$A$2:$Q$2902,AD$2,0)&lt;&gt;N1068,"Beam Revised","")</f>
        <v>#N/A</v>
      </c>
      <c r="AE1068" s="7" t="e">
        <f>IF(VLOOKUP($A1068,'Concrete Beam Schedule'!$A$2:$Q$2902,AE$2,0)&lt;&gt;O1068,"Beam Revised","")</f>
        <v>#N/A</v>
      </c>
    </row>
    <row r="1069" spans="17:31" ht="13.2" x14ac:dyDescent="0.25">
      <c r="Q1069" s="7">
        <f t="shared" si="16"/>
        <v>0</v>
      </c>
      <c r="R1069" s="7" t="e">
        <f>IF(VLOOKUP($A1069,'Concrete Beam Schedule'!$A$2:$Q$2902,R$2,0)&lt;&gt;B1069,VLOOKUP($A1069,'Concrete Beam Schedule'!$A$2:$Q$2902,R$2,0),"")</f>
        <v>#N/A</v>
      </c>
      <c r="S1069" s="7" t="e">
        <f>IF(VLOOKUP($A1069,'Concrete Beam Schedule'!$A$2:$Q$2902,S$2,0)&lt;&gt;C1069,VLOOKUP($A1069,'Concrete Beam Schedule'!$A$2:$Q$2902,S$2,0),"")</f>
        <v>#N/A</v>
      </c>
      <c r="T1069" s="7" t="e">
        <f>IF(VLOOKUP($A1069,'Concrete Beam Schedule'!$A$2:$Q$2902,T$2,0)&lt;&gt;D1069,"Beam Revised","")</f>
        <v>#N/A</v>
      </c>
      <c r="U1069" s="7" t="e">
        <f>IF(VLOOKUP($A1069,'Concrete Beam Schedule'!$A$2:$Q$2902,U$2,0)&lt;&gt;E1069,"Beam Revised","")</f>
        <v>#N/A</v>
      </c>
      <c r="V1069" s="7" t="e">
        <f>IF(VLOOKUP($A1069,'Concrete Beam Schedule'!$A$2:$Q$2902,V$2,0)&lt;&gt;F1069,"Beam Revised","")</f>
        <v>#N/A</v>
      </c>
      <c r="W1069" s="7" t="e">
        <f>IF(VLOOKUP($A1069,'Concrete Beam Schedule'!$A$2:$Q$2902,W$2,0)&lt;&gt;G1069,"Beam Revised","")</f>
        <v>#N/A</v>
      </c>
      <c r="X1069" s="7" t="e">
        <f>IF(VLOOKUP($A1069,'Concrete Beam Schedule'!$A$2:$Q$2902,X$2,0)&lt;&gt;H1069,"Beam Revised","")</f>
        <v>#N/A</v>
      </c>
      <c r="Y1069" s="7" t="e">
        <f>IF(VLOOKUP($A1069,'Concrete Beam Schedule'!$A$2:$Q$2902,Y$2,0)&lt;&gt;I1069,"Beam Revised","")</f>
        <v>#N/A</v>
      </c>
      <c r="Z1069" s="7" t="e">
        <f>IF(VLOOKUP($A1069,'Concrete Beam Schedule'!$A$2:$Q$2902,Z$2,0)&lt;&gt;J1069,"Beam Revised","")</f>
        <v>#N/A</v>
      </c>
      <c r="AA1069" s="7" t="e">
        <f>IF(VLOOKUP($A1069,'Concrete Beam Schedule'!$A$2:$Q$2902,AA$2,0)&lt;&gt;K1069,"Beam Revised","")</f>
        <v>#N/A</v>
      </c>
      <c r="AB1069" s="7" t="e">
        <f>IF(VLOOKUP($A1069,'Concrete Beam Schedule'!$A$2:$Q$2902,AB$2,0)&lt;&gt;L1069,"Beam Revised","")</f>
        <v>#N/A</v>
      </c>
      <c r="AC1069" s="7" t="e">
        <f>IF(VLOOKUP($A1069,'Concrete Beam Schedule'!$A$2:$Q$2902,AC$2,0)&lt;&gt;M1069,"Beam Revised","")</f>
        <v>#N/A</v>
      </c>
      <c r="AD1069" s="7" t="e">
        <f>IF(VLOOKUP($A1069,'Concrete Beam Schedule'!$A$2:$Q$2902,AD$2,0)&lt;&gt;N1069,"Beam Revised","")</f>
        <v>#N/A</v>
      </c>
      <c r="AE1069" s="7" t="e">
        <f>IF(VLOOKUP($A1069,'Concrete Beam Schedule'!$A$2:$Q$2902,AE$2,0)&lt;&gt;O1069,"Beam Revised","")</f>
        <v>#N/A</v>
      </c>
    </row>
    <row r="1070" spans="17:31" ht="13.2" x14ac:dyDescent="0.25">
      <c r="Q1070" s="7">
        <f t="shared" si="16"/>
        <v>0</v>
      </c>
      <c r="R1070" s="7" t="e">
        <f>IF(VLOOKUP($A1070,'Concrete Beam Schedule'!$A$2:$Q$2902,R$2,0)&lt;&gt;B1070,VLOOKUP($A1070,'Concrete Beam Schedule'!$A$2:$Q$2902,R$2,0),"")</f>
        <v>#N/A</v>
      </c>
      <c r="S1070" s="7" t="e">
        <f>IF(VLOOKUP($A1070,'Concrete Beam Schedule'!$A$2:$Q$2902,S$2,0)&lt;&gt;C1070,VLOOKUP($A1070,'Concrete Beam Schedule'!$A$2:$Q$2902,S$2,0),"")</f>
        <v>#N/A</v>
      </c>
      <c r="T1070" s="7" t="e">
        <f>IF(VLOOKUP($A1070,'Concrete Beam Schedule'!$A$2:$Q$2902,T$2,0)&lt;&gt;D1070,"Beam Revised","")</f>
        <v>#N/A</v>
      </c>
      <c r="U1070" s="7" t="e">
        <f>IF(VLOOKUP($A1070,'Concrete Beam Schedule'!$A$2:$Q$2902,U$2,0)&lt;&gt;E1070,"Beam Revised","")</f>
        <v>#N/A</v>
      </c>
      <c r="V1070" s="7" t="e">
        <f>IF(VLOOKUP($A1070,'Concrete Beam Schedule'!$A$2:$Q$2902,V$2,0)&lt;&gt;F1070,"Beam Revised","")</f>
        <v>#N/A</v>
      </c>
      <c r="W1070" s="7" t="e">
        <f>IF(VLOOKUP($A1070,'Concrete Beam Schedule'!$A$2:$Q$2902,W$2,0)&lt;&gt;G1070,"Beam Revised","")</f>
        <v>#N/A</v>
      </c>
      <c r="X1070" s="7" t="e">
        <f>IF(VLOOKUP($A1070,'Concrete Beam Schedule'!$A$2:$Q$2902,X$2,0)&lt;&gt;H1070,"Beam Revised","")</f>
        <v>#N/A</v>
      </c>
      <c r="Y1070" s="7" t="e">
        <f>IF(VLOOKUP($A1070,'Concrete Beam Schedule'!$A$2:$Q$2902,Y$2,0)&lt;&gt;I1070,"Beam Revised","")</f>
        <v>#N/A</v>
      </c>
      <c r="Z1070" s="7" t="e">
        <f>IF(VLOOKUP($A1070,'Concrete Beam Schedule'!$A$2:$Q$2902,Z$2,0)&lt;&gt;J1070,"Beam Revised","")</f>
        <v>#N/A</v>
      </c>
      <c r="AA1070" s="7" t="e">
        <f>IF(VLOOKUP($A1070,'Concrete Beam Schedule'!$A$2:$Q$2902,AA$2,0)&lt;&gt;K1070,"Beam Revised","")</f>
        <v>#N/A</v>
      </c>
      <c r="AB1070" s="7" t="e">
        <f>IF(VLOOKUP($A1070,'Concrete Beam Schedule'!$A$2:$Q$2902,AB$2,0)&lt;&gt;L1070,"Beam Revised","")</f>
        <v>#N/A</v>
      </c>
      <c r="AC1070" s="7" t="e">
        <f>IF(VLOOKUP($A1070,'Concrete Beam Schedule'!$A$2:$Q$2902,AC$2,0)&lt;&gt;M1070,"Beam Revised","")</f>
        <v>#N/A</v>
      </c>
      <c r="AD1070" s="7" t="e">
        <f>IF(VLOOKUP($A1070,'Concrete Beam Schedule'!$A$2:$Q$2902,AD$2,0)&lt;&gt;N1070,"Beam Revised","")</f>
        <v>#N/A</v>
      </c>
      <c r="AE1070" s="7" t="e">
        <f>IF(VLOOKUP($A1070,'Concrete Beam Schedule'!$A$2:$Q$2902,AE$2,0)&lt;&gt;O1070,"Beam Revised","")</f>
        <v>#N/A</v>
      </c>
    </row>
    <row r="1071" spans="17:31" ht="13.2" x14ac:dyDescent="0.25">
      <c r="Q1071" s="7">
        <f t="shared" si="16"/>
        <v>0</v>
      </c>
      <c r="R1071" s="7" t="e">
        <f>IF(VLOOKUP($A1071,'Concrete Beam Schedule'!$A$2:$Q$2902,R$2,0)&lt;&gt;B1071,VLOOKUP($A1071,'Concrete Beam Schedule'!$A$2:$Q$2902,R$2,0),"")</f>
        <v>#N/A</v>
      </c>
      <c r="S1071" s="7" t="e">
        <f>IF(VLOOKUP($A1071,'Concrete Beam Schedule'!$A$2:$Q$2902,S$2,0)&lt;&gt;C1071,VLOOKUP($A1071,'Concrete Beam Schedule'!$A$2:$Q$2902,S$2,0),"")</f>
        <v>#N/A</v>
      </c>
      <c r="T1071" s="7" t="e">
        <f>IF(VLOOKUP($A1071,'Concrete Beam Schedule'!$A$2:$Q$2902,T$2,0)&lt;&gt;D1071,"Beam Revised","")</f>
        <v>#N/A</v>
      </c>
      <c r="U1071" s="7" t="e">
        <f>IF(VLOOKUP($A1071,'Concrete Beam Schedule'!$A$2:$Q$2902,U$2,0)&lt;&gt;E1071,"Beam Revised","")</f>
        <v>#N/A</v>
      </c>
      <c r="V1071" s="7" t="e">
        <f>IF(VLOOKUP($A1071,'Concrete Beam Schedule'!$A$2:$Q$2902,V$2,0)&lt;&gt;F1071,"Beam Revised","")</f>
        <v>#N/A</v>
      </c>
      <c r="W1071" s="7" t="e">
        <f>IF(VLOOKUP($A1071,'Concrete Beam Schedule'!$A$2:$Q$2902,W$2,0)&lt;&gt;G1071,"Beam Revised","")</f>
        <v>#N/A</v>
      </c>
      <c r="X1071" s="7" t="e">
        <f>IF(VLOOKUP($A1071,'Concrete Beam Schedule'!$A$2:$Q$2902,X$2,0)&lt;&gt;H1071,"Beam Revised","")</f>
        <v>#N/A</v>
      </c>
      <c r="Y1071" s="7" t="e">
        <f>IF(VLOOKUP($A1071,'Concrete Beam Schedule'!$A$2:$Q$2902,Y$2,0)&lt;&gt;I1071,"Beam Revised","")</f>
        <v>#N/A</v>
      </c>
      <c r="Z1071" s="7" t="e">
        <f>IF(VLOOKUP($A1071,'Concrete Beam Schedule'!$A$2:$Q$2902,Z$2,0)&lt;&gt;J1071,"Beam Revised","")</f>
        <v>#N/A</v>
      </c>
      <c r="AA1071" s="7" t="e">
        <f>IF(VLOOKUP($A1071,'Concrete Beam Schedule'!$A$2:$Q$2902,AA$2,0)&lt;&gt;K1071,"Beam Revised","")</f>
        <v>#N/A</v>
      </c>
      <c r="AB1071" s="7" t="e">
        <f>IF(VLOOKUP($A1071,'Concrete Beam Schedule'!$A$2:$Q$2902,AB$2,0)&lt;&gt;L1071,"Beam Revised","")</f>
        <v>#N/A</v>
      </c>
      <c r="AC1071" s="7" t="e">
        <f>IF(VLOOKUP($A1071,'Concrete Beam Schedule'!$A$2:$Q$2902,AC$2,0)&lt;&gt;M1071,"Beam Revised","")</f>
        <v>#N/A</v>
      </c>
      <c r="AD1071" s="7" t="e">
        <f>IF(VLOOKUP($A1071,'Concrete Beam Schedule'!$A$2:$Q$2902,AD$2,0)&lt;&gt;N1071,"Beam Revised","")</f>
        <v>#N/A</v>
      </c>
      <c r="AE1071" s="7" t="e">
        <f>IF(VLOOKUP($A1071,'Concrete Beam Schedule'!$A$2:$Q$2902,AE$2,0)&lt;&gt;O1071,"Beam Revised","")</f>
        <v>#N/A</v>
      </c>
    </row>
    <row r="1072" spans="17:31" ht="13.2" x14ac:dyDescent="0.25">
      <c r="Q1072" s="7">
        <f t="shared" si="16"/>
        <v>0</v>
      </c>
      <c r="R1072" s="7" t="e">
        <f>IF(VLOOKUP($A1072,'Concrete Beam Schedule'!$A$2:$Q$2902,R$2,0)&lt;&gt;B1072,VLOOKUP($A1072,'Concrete Beam Schedule'!$A$2:$Q$2902,R$2,0),"")</f>
        <v>#N/A</v>
      </c>
      <c r="S1072" s="7" t="e">
        <f>IF(VLOOKUP($A1072,'Concrete Beam Schedule'!$A$2:$Q$2902,S$2,0)&lt;&gt;C1072,VLOOKUP($A1072,'Concrete Beam Schedule'!$A$2:$Q$2902,S$2,0),"")</f>
        <v>#N/A</v>
      </c>
      <c r="T1072" s="7" t="e">
        <f>IF(VLOOKUP($A1072,'Concrete Beam Schedule'!$A$2:$Q$2902,T$2,0)&lt;&gt;D1072,"Beam Revised","")</f>
        <v>#N/A</v>
      </c>
      <c r="U1072" s="7" t="e">
        <f>IF(VLOOKUP($A1072,'Concrete Beam Schedule'!$A$2:$Q$2902,U$2,0)&lt;&gt;E1072,"Beam Revised","")</f>
        <v>#N/A</v>
      </c>
      <c r="V1072" s="7" t="e">
        <f>IF(VLOOKUP($A1072,'Concrete Beam Schedule'!$A$2:$Q$2902,V$2,0)&lt;&gt;F1072,"Beam Revised","")</f>
        <v>#N/A</v>
      </c>
      <c r="W1072" s="7" t="e">
        <f>IF(VLOOKUP($A1072,'Concrete Beam Schedule'!$A$2:$Q$2902,W$2,0)&lt;&gt;G1072,"Beam Revised","")</f>
        <v>#N/A</v>
      </c>
      <c r="X1072" s="7" t="e">
        <f>IF(VLOOKUP($A1072,'Concrete Beam Schedule'!$A$2:$Q$2902,X$2,0)&lt;&gt;H1072,"Beam Revised","")</f>
        <v>#N/A</v>
      </c>
      <c r="Y1072" s="7" t="e">
        <f>IF(VLOOKUP($A1072,'Concrete Beam Schedule'!$A$2:$Q$2902,Y$2,0)&lt;&gt;I1072,"Beam Revised","")</f>
        <v>#N/A</v>
      </c>
      <c r="Z1072" s="7" t="e">
        <f>IF(VLOOKUP($A1072,'Concrete Beam Schedule'!$A$2:$Q$2902,Z$2,0)&lt;&gt;J1072,"Beam Revised","")</f>
        <v>#N/A</v>
      </c>
      <c r="AA1072" s="7" t="e">
        <f>IF(VLOOKUP($A1072,'Concrete Beam Schedule'!$A$2:$Q$2902,AA$2,0)&lt;&gt;K1072,"Beam Revised","")</f>
        <v>#N/A</v>
      </c>
      <c r="AB1072" s="7" t="e">
        <f>IF(VLOOKUP($A1072,'Concrete Beam Schedule'!$A$2:$Q$2902,AB$2,0)&lt;&gt;L1072,"Beam Revised","")</f>
        <v>#N/A</v>
      </c>
      <c r="AC1072" s="7" t="e">
        <f>IF(VLOOKUP($A1072,'Concrete Beam Schedule'!$A$2:$Q$2902,AC$2,0)&lt;&gt;M1072,"Beam Revised","")</f>
        <v>#N/A</v>
      </c>
      <c r="AD1072" s="7" t="e">
        <f>IF(VLOOKUP($A1072,'Concrete Beam Schedule'!$A$2:$Q$2902,AD$2,0)&lt;&gt;N1072,"Beam Revised","")</f>
        <v>#N/A</v>
      </c>
      <c r="AE1072" s="7" t="e">
        <f>IF(VLOOKUP($A1072,'Concrete Beam Schedule'!$A$2:$Q$2902,AE$2,0)&lt;&gt;O1072,"Beam Revised","")</f>
        <v>#N/A</v>
      </c>
    </row>
    <row r="1073" spans="17:31" ht="13.2" x14ac:dyDescent="0.25">
      <c r="Q1073" s="7">
        <f t="shared" si="16"/>
        <v>0</v>
      </c>
      <c r="R1073" s="7" t="e">
        <f>IF(VLOOKUP($A1073,'Concrete Beam Schedule'!$A$2:$Q$2902,R$2,0)&lt;&gt;B1073,VLOOKUP($A1073,'Concrete Beam Schedule'!$A$2:$Q$2902,R$2,0),"")</f>
        <v>#N/A</v>
      </c>
      <c r="S1073" s="7" t="e">
        <f>IF(VLOOKUP($A1073,'Concrete Beam Schedule'!$A$2:$Q$2902,S$2,0)&lt;&gt;C1073,VLOOKUP($A1073,'Concrete Beam Schedule'!$A$2:$Q$2902,S$2,0),"")</f>
        <v>#N/A</v>
      </c>
      <c r="T1073" s="7" t="e">
        <f>IF(VLOOKUP($A1073,'Concrete Beam Schedule'!$A$2:$Q$2902,T$2,0)&lt;&gt;D1073,"Beam Revised","")</f>
        <v>#N/A</v>
      </c>
      <c r="U1073" s="7" t="e">
        <f>IF(VLOOKUP($A1073,'Concrete Beam Schedule'!$A$2:$Q$2902,U$2,0)&lt;&gt;E1073,"Beam Revised","")</f>
        <v>#N/A</v>
      </c>
      <c r="V1073" s="7" t="e">
        <f>IF(VLOOKUP($A1073,'Concrete Beam Schedule'!$A$2:$Q$2902,V$2,0)&lt;&gt;F1073,"Beam Revised","")</f>
        <v>#N/A</v>
      </c>
      <c r="W1073" s="7" t="e">
        <f>IF(VLOOKUP($A1073,'Concrete Beam Schedule'!$A$2:$Q$2902,W$2,0)&lt;&gt;G1073,"Beam Revised","")</f>
        <v>#N/A</v>
      </c>
      <c r="X1073" s="7" t="e">
        <f>IF(VLOOKUP($A1073,'Concrete Beam Schedule'!$A$2:$Q$2902,X$2,0)&lt;&gt;H1073,"Beam Revised","")</f>
        <v>#N/A</v>
      </c>
      <c r="Y1073" s="7" t="e">
        <f>IF(VLOOKUP($A1073,'Concrete Beam Schedule'!$A$2:$Q$2902,Y$2,0)&lt;&gt;I1073,"Beam Revised","")</f>
        <v>#N/A</v>
      </c>
      <c r="Z1073" s="7" t="e">
        <f>IF(VLOOKUP($A1073,'Concrete Beam Schedule'!$A$2:$Q$2902,Z$2,0)&lt;&gt;J1073,"Beam Revised","")</f>
        <v>#N/A</v>
      </c>
      <c r="AA1073" s="7" t="e">
        <f>IF(VLOOKUP($A1073,'Concrete Beam Schedule'!$A$2:$Q$2902,AA$2,0)&lt;&gt;K1073,"Beam Revised","")</f>
        <v>#N/A</v>
      </c>
      <c r="AB1073" s="7" t="e">
        <f>IF(VLOOKUP($A1073,'Concrete Beam Schedule'!$A$2:$Q$2902,AB$2,0)&lt;&gt;L1073,"Beam Revised","")</f>
        <v>#N/A</v>
      </c>
      <c r="AC1073" s="7" t="e">
        <f>IF(VLOOKUP($A1073,'Concrete Beam Schedule'!$A$2:$Q$2902,AC$2,0)&lt;&gt;M1073,"Beam Revised","")</f>
        <v>#N/A</v>
      </c>
      <c r="AD1073" s="7" t="e">
        <f>IF(VLOOKUP($A1073,'Concrete Beam Schedule'!$A$2:$Q$2902,AD$2,0)&lt;&gt;N1073,"Beam Revised","")</f>
        <v>#N/A</v>
      </c>
      <c r="AE1073" s="7" t="e">
        <f>IF(VLOOKUP($A1073,'Concrete Beam Schedule'!$A$2:$Q$2902,AE$2,0)&lt;&gt;O1073,"Beam Revised","")</f>
        <v>#N/A</v>
      </c>
    </row>
    <row r="1074" spans="17:31" ht="13.2" x14ac:dyDescent="0.25">
      <c r="Q1074" s="7">
        <f t="shared" si="16"/>
        <v>0</v>
      </c>
      <c r="R1074" s="7" t="e">
        <f>IF(VLOOKUP($A1074,'Concrete Beam Schedule'!$A$2:$Q$2902,R$2,0)&lt;&gt;B1074,VLOOKUP($A1074,'Concrete Beam Schedule'!$A$2:$Q$2902,R$2,0),"")</f>
        <v>#N/A</v>
      </c>
      <c r="S1074" s="7" t="e">
        <f>IF(VLOOKUP($A1074,'Concrete Beam Schedule'!$A$2:$Q$2902,S$2,0)&lt;&gt;C1074,VLOOKUP($A1074,'Concrete Beam Schedule'!$A$2:$Q$2902,S$2,0),"")</f>
        <v>#N/A</v>
      </c>
      <c r="T1074" s="7" t="e">
        <f>IF(VLOOKUP($A1074,'Concrete Beam Schedule'!$A$2:$Q$2902,T$2,0)&lt;&gt;D1074,"Beam Revised","")</f>
        <v>#N/A</v>
      </c>
      <c r="U1074" s="7" t="e">
        <f>IF(VLOOKUP($A1074,'Concrete Beam Schedule'!$A$2:$Q$2902,U$2,0)&lt;&gt;E1074,"Beam Revised","")</f>
        <v>#N/A</v>
      </c>
      <c r="V1074" s="7" t="e">
        <f>IF(VLOOKUP($A1074,'Concrete Beam Schedule'!$A$2:$Q$2902,V$2,0)&lt;&gt;F1074,"Beam Revised","")</f>
        <v>#N/A</v>
      </c>
      <c r="W1074" s="7" t="e">
        <f>IF(VLOOKUP($A1074,'Concrete Beam Schedule'!$A$2:$Q$2902,W$2,0)&lt;&gt;G1074,"Beam Revised","")</f>
        <v>#N/A</v>
      </c>
      <c r="X1074" s="7" t="e">
        <f>IF(VLOOKUP($A1074,'Concrete Beam Schedule'!$A$2:$Q$2902,X$2,0)&lt;&gt;H1074,"Beam Revised","")</f>
        <v>#N/A</v>
      </c>
      <c r="Y1074" s="7" t="e">
        <f>IF(VLOOKUP($A1074,'Concrete Beam Schedule'!$A$2:$Q$2902,Y$2,0)&lt;&gt;I1074,"Beam Revised","")</f>
        <v>#N/A</v>
      </c>
      <c r="Z1074" s="7" t="e">
        <f>IF(VLOOKUP($A1074,'Concrete Beam Schedule'!$A$2:$Q$2902,Z$2,0)&lt;&gt;J1074,"Beam Revised","")</f>
        <v>#N/A</v>
      </c>
      <c r="AA1074" s="7" t="e">
        <f>IF(VLOOKUP($A1074,'Concrete Beam Schedule'!$A$2:$Q$2902,AA$2,0)&lt;&gt;K1074,"Beam Revised","")</f>
        <v>#N/A</v>
      </c>
      <c r="AB1074" s="7" t="e">
        <f>IF(VLOOKUP($A1074,'Concrete Beam Schedule'!$A$2:$Q$2902,AB$2,0)&lt;&gt;L1074,"Beam Revised","")</f>
        <v>#N/A</v>
      </c>
      <c r="AC1074" s="7" t="e">
        <f>IF(VLOOKUP($A1074,'Concrete Beam Schedule'!$A$2:$Q$2902,AC$2,0)&lt;&gt;M1074,"Beam Revised","")</f>
        <v>#N/A</v>
      </c>
      <c r="AD1074" s="7" t="e">
        <f>IF(VLOOKUP($A1074,'Concrete Beam Schedule'!$A$2:$Q$2902,AD$2,0)&lt;&gt;N1074,"Beam Revised","")</f>
        <v>#N/A</v>
      </c>
      <c r="AE1074" s="7" t="e">
        <f>IF(VLOOKUP($A1074,'Concrete Beam Schedule'!$A$2:$Q$2902,AE$2,0)&lt;&gt;O1074,"Beam Revised","")</f>
        <v>#N/A</v>
      </c>
    </row>
    <row r="1075" spans="17:31" ht="13.2" x14ac:dyDescent="0.25">
      <c r="Q1075" s="7">
        <f t="shared" si="16"/>
        <v>0</v>
      </c>
      <c r="R1075" s="7" t="e">
        <f>IF(VLOOKUP($A1075,'Concrete Beam Schedule'!$A$2:$Q$2902,R$2,0)&lt;&gt;B1075,VLOOKUP($A1075,'Concrete Beam Schedule'!$A$2:$Q$2902,R$2,0),"")</f>
        <v>#N/A</v>
      </c>
      <c r="S1075" s="7" t="e">
        <f>IF(VLOOKUP($A1075,'Concrete Beam Schedule'!$A$2:$Q$2902,S$2,0)&lt;&gt;C1075,VLOOKUP($A1075,'Concrete Beam Schedule'!$A$2:$Q$2902,S$2,0),"")</f>
        <v>#N/A</v>
      </c>
      <c r="T1075" s="7" t="e">
        <f>IF(VLOOKUP($A1075,'Concrete Beam Schedule'!$A$2:$Q$2902,T$2,0)&lt;&gt;D1075,"Beam Revised","")</f>
        <v>#N/A</v>
      </c>
      <c r="U1075" s="7" t="e">
        <f>IF(VLOOKUP($A1075,'Concrete Beam Schedule'!$A$2:$Q$2902,U$2,0)&lt;&gt;E1075,"Beam Revised","")</f>
        <v>#N/A</v>
      </c>
      <c r="V1075" s="7" t="e">
        <f>IF(VLOOKUP($A1075,'Concrete Beam Schedule'!$A$2:$Q$2902,V$2,0)&lt;&gt;F1075,"Beam Revised","")</f>
        <v>#N/A</v>
      </c>
      <c r="W1075" s="7" t="e">
        <f>IF(VLOOKUP($A1075,'Concrete Beam Schedule'!$A$2:$Q$2902,W$2,0)&lt;&gt;G1075,"Beam Revised","")</f>
        <v>#N/A</v>
      </c>
      <c r="X1075" s="7" t="e">
        <f>IF(VLOOKUP($A1075,'Concrete Beam Schedule'!$A$2:$Q$2902,X$2,0)&lt;&gt;H1075,"Beam Revised","")</f>
        <v>#N/A</v>
      </c>
      <c r="Y1075" s="7" t="e">
        <f>IF(VLOOKUP($A1075,'Concrete Beam Schedule'!$A$2:$Q$2902,Y$2,0)&lt;&gt;I1075,"Beam Revised","")</f>
        <v>#N/A</v>
      </c>
      <c r="Z1075" s="7" t="e">
        <f>IF(VLOOKUP($A1075,'Concrete Beam Schedule'!$A$2:$Q$2902,Z$2,0)&lt;&gt;J1075,"Beam Revised","")</f>
        <v>#N/A</v>
      </c>
      <c r="AA1075" s="7" t="e">
        <f>IF(VLOOKUP($A1075,'Concrete Beam Schedule'!$A$2:$Q$2902,AA$2,0)&lt;&gt;K1075,"Beam Revised","")</f>
        <v>#N/A</v>
      </c>
      <c r="AB1075" s="7" t="e">
        <f>IF(VLOOKUP($A1075,'Concrete Beam Schedule'!$A$2:$Q$2902,AB$2,0)&lt;&gt;L1075,"Beam Revised","")</f>
        <v>#N/A</v>
      </c>
      <c r="AC1075" s="7" t="e">
        <f>IF(VLOOKUP($A1075,'Concrete Beam Schedule'!$A$2:$Q$2902,AC$2,0)&lt;&gt;M1075,"Beam Revised","")</f>
        <v>#N/A</v>
      </c>
      <c r="AD1075" s="7" t="e">
        <f>IF(VLOOKUP($A1075,'Concrete Beam Schedule'!$A$2:$Q$2902,AD$2,0)&lt;&gt;N1075,"Beam Revised","")</f>
        <v>#N/A</v>
      </c>
      <c r="AE1075" s="7" t="e">
        <f>IF(VLOOKUP($A1075,'Concrete Beam Schedule'!$A$2:$Q$2902,AE$2,0)&lt;&gt;O1075,"Beam Revised","")</f>
        <v>#N/A</v>
      </c>
    </row>
    <row r="1076" spans="17:31" ht="13.2" x14ac:dyDescent="0.25">
      <c r="Q1076" s="7">
        <f t="shared" si="16"/>
        <v>0</v>
      </c>
      <c r="R1076" s="7" t="e">
        <f>IF(VLOOKUP($A1076,'Concrete Beam Schedule'!$A$2:$Q$2902,R$2,0)&lt;&gt;B1076,VLOOKUP($A1076,'Concrete Beam Schedule'!$A$2:$Q$2902,R$2,0),"")</f>
        <v>#N/A</v>
      </c>
      <c r="S1076" s="7" t="e">
        <f>IF(VLOOKUP($A1076,'Concrete Beam Schedule'!$A$2:$Q$2902,S$2,0)&lt;&gt;C1076,VLOOKUP($A1076,'Concrete Beam Schedule'!$A$2:$Q$2902,S$2,0),"")</f>
        <v>#N/A</v>
      </c>
      <c r="T1076" s="7" t="e">
        <f>IF(VLOOKUP($A1076,'Concrete Beam Schedule'!$A$2:$Q$2902,T$2,0)&lt;&gt;D1076,"Beam Revised","")</f>
        <v>#N/A</v>
      </c>
      <c r="U1076" s="7" t="e">
        <f>IF(VLOOKUP($A1076,'Concrete Beam Schedule'!$A$2:$Q$2902,U$2,0)&lt;&gt;E1076,"Beam Revised","")</f>
        <v>#N/A</v>
      </c>
      <c r="V1076" s="7" t="e">
        <f>IF(VLOOKUP($A1076,'Concrete Beam Schedule'!$A$2:$Q$2902,V$2,0)&lt;&gt;F1076,"Beam Revised","")</f>
        <v>#N/A</v>
      </c>
      <c r="W1076" s="7" t="e">
        <f>IF(VLOOKUP($A1076,'Concrete Beam Schedule'!$A$2:$Q$2902,W$2,0)&lt;&gt;G1076,"Beam Revised","")</f>
        <v>#N/A</v>
      </c>
      <c r="X1076" s="7" t="e">
        <f>IF(VLOOKUP($A1076,'Concrete Beam Schedule'!$A$2:$Q$2902,X$2,0)&lt;&gt;H1076,"Beam Revised","")</f>
        <v>#N/A</v>
      </c>
      <c r="Y1076" s="7" t="e">
        <f>IF(VLOOKUP($A1076,'Concrete Beam Schedule'!$A$2:$Q$2902,Y$2,0)&lt;&gt;I1076,"Beam Revised","")</f>
        <v>#N/A</v>
      </c>
      <c r="Z1076" s="7" t="e">
        <f>IF(VLOOKUP($A1076,'Concrete Beam Schedule'!$A$2:$Q$2902,Z$2,0)&lt;&gt;J1076,"Beam Revised","")</f>
        <v>#N/A</v>
      </c>
      <c r="AA1076" s="7" t="e">
        <f>IF(VLOOKUP($A1076,'Concrete Beam Schedule'!$A$2:$Q$2902,AA$2,0)&lt;&gt;K1076,"Beam Revised","")</f>
        <v>#N/A</v>
      </c>
      <c r="AB1076" s="7" t="e">
        <f>IF(VLOOKUP($A1076,'Concrete Beam Schedule'!$A$2:$Q$2902,AB$2,0)&lt;&gt;L1076,"Beam Revised","")</f>
        <v>#N/A</v>
      </c>
      <c r="AC1076" s="7" t="e">
        <f>IF(VLOOKUP($A1076,'Concrete Beam Schedule'!$A$2:$Q$2902,AC$2,0)&lt;&gt;M1076,"Beam Revised","")</f>
        <v>#N/A</v>
      </c>
      <c r="AD1076" s="7" t="e">
        <f>IF(VLOOKUP($A1076,'Concrete Beam Schedule'!$A$2:$Q$2902,AD$2,0)&lt;&gt;N1076,"Beam Revised","")</f>
        <v>#N/A</v>
      </c>
      <c r="AE1076" s="7" t="e">
        <f>IF(VLOOKUP($A1076,'Concrete Beam Schedule'!$A$2:$Q$2902,AE$2,0)&lt;&gt;O1076,"Beam Revised","")</f>
        <v>#N/A</v>
      </c>
    </row>
    <row r="1077" spans="17:31" ht="13.2" x14ac:dyDescent="0.25">
      <c r="Q1077" s="7">
        <f t="shared" si="16"/>
        <v>0</v>
      </c>
      <c r="R1077" s="7" t="e">
        <f>IF(VLOOKUP($A1077,'Concrete Beam Schedule'!$A$2:$Q$2902,R$2,0)&lt;&gt;B1077,VLOOKUP($A1077,'Concrete Beam Schedule'!$A$2:$Q$2902,R$2,0),"")</f>
        <v>#N/A</v>
      </c>
      <c r="S1077" s="7" t="e">
        <f>IF(VLOOKUP($A1077,'Concrete Beam Schedule'!$A$2:$Q$2902,S$2,0)&lt;&gt;C1077,VLOOKUP($A1077,'Concrete Beam Schedule'!$A$2:$Q$2902,S$2,0),"")</f>
        <v>#N/A</v>
      </c>
      <c r="T1077" s="7" t="e">
        <f>IF(VLOOKUP($A1077,'Concrete Beam Schedule'!$A$2:$Q$2902,T$2,0)&lt;&gt;D1077,"Beam Revised","")</f>
        <v>#N/A</v>
      </c>
      <c r="U1077" s="7" t="e">
        <f>IF(VLOOKUP($A1077,'Concrete Beam Schedule'!$A$2:$Q$2902,U$2,0)&lt;&gt;E1077,"Beam Revised","")</f>
        <v>#N/A</v>
      </c>
      <c r="V1077" s="7" t="e">
        <f>IF(VLOOKUP($A1077,'Concrete Beam Schedule'!$A$2:$Q$2902,V$2,0)&lt;&gt;F1077,"Beam Revised","")</f>
        <v>#N/A</v>
      </c>
      <c r="W1077" s="7" t="e">
        <f>IF(VLOOKUP($A1077,'Concrete Beam Schedule'!$A$2:$Q$2902,W$2,0)&lt;&gt;G1077,"Beam Revised","")</f>
        <v>#N/A</v>
      </c>
      <c r="X1077" s="7" t="e">
        <f>IF(VLOOKUP($A1077,'Concrete Beam Schedule'!$A$2:$Q$2902,X$2,0)&lt;&gt;H1077,"Beam Revised","")</f>
        <v>#N/A</v>
      </c>
      <c r="Y1077" s="7" t="e">
        <f>IF(VLOOKUP($A1077,'Concrete Beam Schedule'!$A$2:$Q$2902,Y$2,0)&lt;&gt;I1077,"Beam Revised","")</f>
        <v>#N/A</v>
      </c>
      <c r="Z1077" s="7" t="e">
        <f>IF(VLOOKUP($A1077,'Concrete Beam Schedule'!$A$2:$Q$2902,Z$2,0)&lt;&gt;J1077,"Beam Revised","")</f>
        <v>#N/A</v>
      </c>
      <c r="AA1077" s="7" t="e">
        <f>IF(VLOOKUP($A1077,'Concrete Beam Schedule'!$A$2:$Q$2902,AA$2,0)&lt;&gt;K1077,"Beam Revised","")</f>
        <v>#N/A</v>
      </c>
      <c r="AB1077" s="7" t="e">
        <f>IF(VLOOKUP($A1077,'Concrete Beam Schedule'!$A$2:$Q$2902,AB$2,0)&lt;&gt;L1077,"Beam Revised","")</f>
        <v>#N/A</v>
      </c>
      <c r="AC1077" s="7" t="e">
        <f>IF(VLOOKUP($A1077,'Concrete Beam Schedule'!$A$2:$Q$2902,AC$2,0)&lt;&gt;M1077,"Beam Revised","")</f>
        <v>#N/A</v>
      </c>
      <c r="AD1077" s="7" t="e">
        <f>IF(VLOOKUP($A1077,'Concrete Beam Schedule'!$A$2:$Q$2902,AD$2,0)&lt;&gt;N1077,"Beam Revised","")</f>
        <v>#N/A</v>
      </c>
      <c r="AE1077" s="7" t="e">
        <f>IF(VLOOKUP($A1077,'Concrete Beam Schedule'!$A$2:$Q$2902,AE$2,0)&lt;&gt;O1077,"Beam Revised","")</f>
        <v>#N/A</v>
      </c>
    </row>
    <row r="1078" spans="17:31" ht="13.2" x14ac:dyDescent="0.25">
      <c r="Q1078" s="7">
        <f t="shared" si="16"/>
        <v>0</v>
      </c>
      <c r="R1078" s="7" t="e">
        <f>IF(VLOOKUP($A1078,'Concrete Beam Schedule'!$A$2:$Q$2902,R$2,0)&lt;&gt;B1078,VLOOKUP($A1078,'Concrete Beam Schedule'!$A$2:$Q$2902,R$2,0),"")</f>
        <v>#N/A</v>
      </c>
      <c r="S1078" s="7" t="e">
        <f>IF(VLOOKUP($A1078,'Concrete Beam Schedule'!$A$2:$Q$2902,S$2,0)&lt;&gt;C1078,VLOOKUP($A1078,'Concrete Beam Schedule'!$A$2:$Q$2902,S$2,0),"")</f>
        <v>#N/A</v>
      </c>
      <c r="T1078" s="7" t="e">
        <f>IF(VLOOKUP($A1078,'Concrete Beam Schedule'!$A$2:$Q$2902,T$2,0)&lt;&gt;D1078,"Beam Revised","")</f>
        <v>#N/A</v>
      </c>
      <c r="U1078" s="7" t="e">
        <f>IF(VLOOKUP($A1078,'Concrete Beam Schedule'!$A$2:$Q$2902,U$2,0)&lt;&gt;E1078,"Beam Revised","")</f>
        <v>#N/A</v>
      </c>
      <c r="V1078" s="7" t="e">
        <f>IF(VLOOKUP($A1078,'Concrete Beam Schedule'!$A$2:$Q$2902,V$2,0)&lt;&gt;F1078,"Beam Revised","")</f>
        <v>#N/A</v>
      </c>
      <c r="W1078" s="7" t="e">
        <f>IF(VLOOKUP($A1078,'Concrete Beam Schedule'!$A$2:$Q$2902,W$2,0)&lt;&gt;G1078,"Beam Revised","")</f>
        <v>#N/A</v>
      </c>
      <c r="X1078" s="7" t="e">
        <f>IF(VLOOKUP($A1078,'Concrete Beam Schedule'!$A$2:$Q$2902,X$2,0)&lt;&gt;H1078,"Beam Revised","")</f>
        <v>#N/A</v>
      </c>
      <c r="Y1078" s="7" t="e">
        <f>IF(VLOOKUP($A1078,'Concrete Beam Schedule'!$A$2:$Q$2902,Y$2,0)&lt;&gt;I1078,"Beam Revised","")</f>
        <v>#N/A</v>
      </c>
      <c r="Z1078" s="7" t="e">
        <f>IF(VLOOKUP($A1078,'Concrete Beam Schedule'!$A$2:$Q$2902,Z$2,0)&lt;&gt;J1078,"Beam Revised","")</f>
        <v>#N/A</v>
      </c>
      <c r="AA1078" s="7" t="e">
        <f>IF(VLOOKUP($A1078,'Concrete Beam Schedule'!$A$2:$Q$2902,AA$2,0)&lt;&gt;K1078,"Beam Revised","")</f>
        <v>#N/A</v>
      </c>
      <c r="AB1078" s="7" t="e">
        <f>IF(VLOOKUP($A1078,'Concrete Beam Schedule'!$A$2:$Q$2902,AB$2,0)&lt;&gt;L1078,"Beam Revised","")</f>
        <v>#N/A</v>
      </c>
      <c r="AC1078" s="7" t="e">
        <f>IF(VLOOKUP($A1078,'Concrete Beam Schedule'!$A$2:$Q$2902,AC$2,0)&lt;&gt;M1078,"Beam Revised","")</f>
        <v>#N/A</v>
      </c>
      <c r="AD1078" s="7" t="e">
        <f>IF(VLOOKUP($A1078,'Concrete Beam Schedule'!$A$2:$Q$2902,AD$2,0)&lt;&gt;N1078,"Beam Revised","")</f>
        <v>#N/A</v>
      </c>
      <c r="AE1078" s="7" t="e">
        <f>IF(VLOOKUP($A1078,'Concrete Beam Schedule'!$A$2:$Q$2902,AE$2,0)&lt;&gt;O1078,"Beam Revised","")</f>
        <v>#N/A</v>
      </c>
    </row>
    <row r="1079" spans="17:31" ht="13.2" x14ac:dyDescent="0.25">
      <c r="Q1079" s="7">
        <f t="shared" si="16"/>
        <v>0</v>
      </c>
      <c r="R1079" s="7" t="e">
        <f>IF(VLOOKUP($A1079,'Concrete Beam Schedule'!$A$2:$Q$2902,R$2,0)&lt;&gt;B1079,VLOOKUP($A1079,'Concrete Beam Schedule'!$A$2:$Q$2902,R$2,0),"")</f>
        <v>#N/A</v>
      </c>
      <c r="S1079" s="7" t="e">
        <f>IF(VLOOKUP($A1079,'Concrete Beam Schedule'!$A$2:$Q$2902,S$2,0)&lt;&gt;C1079,VLOOKUP($A1079,'Concrete Beam Schedule'!$A$2:$Q$2902,S$2,0),"")</f>
        <v>#N/A</v>
      </c>
      <c r="T1079" s="7" t="e">
        <f>IF(VLOOKUP($A1079,'Concrete Beam Schedule'!$A$2:$Q$2902,T$2,0)&lt;&gt;D1079,"Beam Revised","")</f>
        <v>#N/A</v>
      </c>
      <c r="U1079" s="7" t="e">
        <f>IF(VLOOKUP($A1079,'Concrete Beam Schedule'!$A$2:$Q$2902,U$2,0)&lt;&gt;E1079,"Beam Revised","")</f>
        <v>#N/A</v>
      </c>
      <c r="V1079" s="7" t="e">
        <f>IF(VLOOKUP($A1079,'Concrete Beam Schedule'!$A$2:$Q$2902,V$2,0)&lt;&gt;F1079,"Beam Revised","")</f>
        <v>#N/A</v>
      </c>
      <c r="W1079" s="7" t="e">
        <f>IF(VLOOKUP($A1079,'Concrete Beam Schedule'!$A$2:$Q$2902,W$2,0)&lt;&gt;G1079,"Beam Revised","")</f>
        <v>#N/A</v>
      </c>
      <c r="X1079" s="7" t="e">
        <f>IF(VLOOKUP($A1079,'Concrete Beam Schedule'!$A$2:$Q$2902,X$2,0)&lt;&gt;H1079,"Beam Revised","")</f>
        <v>#N/A</v>
      </c>
      <c r="Y1079" s="7" t="e">
        <f>IF(VLOOKUP($A1079,'Concrete Beam Schedule'!$A$2:$Q$2902,Y$2,0)&lt;&gt;I1079,"Beam Revised","")</f>
        <v>#N/A</v>
      </c>
      <c r="Z1079" s="7" t="e">
        <f>IF(VLOOKUP($A1079,'Concrete Beam Schedule'!$A$2:$Q$2902,Z$2,0)&lt;&gt;J1079,"Beam Revised","")</f>
        <v>#N/A</v>
      </c>
      <c r="AA1079" s="7" t="e">
        <f>IF(VLOOKUP($A1079,'Concrete Beam Schedule'!$A$2:$Q$2902,AA$2,0)&lt;&gt;K1079,"Beam Revised","")</f>
        <v>#N/A</v>
      </c>
      <c r="AB1079" s="7" t="e">
        <f>IF(VLOOKUP($A1079,'Concrete Beam Schedule'!$A$2:$Q$2902,AB$2,0)&lt;&gt;L1079,"Beam Revised","")</f>
        <v>#N/A</v>
      </c>
      <c r="AC1079" s="7" t="e">
        <f>IF(VLOOKUP($A1079,'Concrete Beam Schedule'!$A$2:$Q$2902,AC$2,0)&lt;&gt;M1079,"Beam Revised","")</f>
        <v>#N/A</v>
      </c>
      <c r="AD1079" s="7" t="e">
        <f>IF(VLOOKUP($A1079,'Concrete Beam Schedule'!$A$2:$Q$2902,AD$2,0)&lt;&gt;N1079,"Beam Revised","")</f>
        <v>#N/A</v>
      </c>
      <c r="AE1079" s="7" t="e">
        <f>IF(VLOOKUP($A1079,'Concrete Beam Schedule'!$A$2:$Q$2902,AE$2,0)&lt;&gt;O1079,"Beam Revised","")</f>
        <v>#N/A</v>
      </c>
    </row>
    <row r="1080" spans="17:31" ht="13.2" x14ac:dyDescent="0.25">
      <c r="Q1080" s="7">
        <f t="shared" si="16"/>
        <v>0</v>
      </c>
      <c r="R1080" s="7" t="e">
        <f>IF(VLOOKUP($A1080,'Concrete Beam Schedule'!$A$2:$Q$2902,R$2,0)&lt;&gt;B1080,VLOOKUP($A1080,'Concrete Beam Schedule'!$A$2:$Q$2902,R$2,0),"")</f>
        <v>#N/A</v>
      </c>
      <c r="S1080" s="7" t="e">
        <f>IF(VLOOKUP($A1080,'Concrete Beam Schedule'!$A$2:$Q$2902,S$2,0)&lt;&gt;C1080,VLOOKUP($A1080,'Concrete Beam Schedule'!$A$2:$Q$2902,S$2,0),"")</f>
        <v>#N/A</v>
      </c>
      <c r="T1080" s="7" t="e">
        <f>IF(VLOOKUP($A1080,'Concrete Beam Schedule'!$A$2:$Q$2902,T$2,0)&lt;&gt;D1080,"Beam Revised","")</f>
        <v>#N/A</v>
      </c>
      <c r="U1080" s="7" t="e">
        <f>IF(VLOOKUP($A1080,'Concrete Beam Schedule'!$A$2:$Q$2902,U$2,0)&lt;&gt;E1080,"Beam Revised","")</f>
        <v>#N/A</v>
      </c>
      <c r="V1080" s="7" t="e">
        <f>IF(VLOOKUP($A1080,'Concrete Beam Schedule'!$A$2:$Q$2902,V$2,0)&lt;&gt;F1080,"Beam Revised","")</f>
        <v>#N/A</v>
      </c>
      <c r="W1080" s="7" t="e">
        <f>IF(VLOOKUP($A1080,'Concrete Beam Schedule'!$A$2:$Q$2902,W$2,0)&lt;&gt;G1080,"Beam Revised","")</f>
        <v>#N/A</v>
      </c>
      <c r="X1080" s="7" t="e">
        <f>IF(VLOOKUP($A1080,'Concrete Beam Schedule'!$A$2:$Q$2902,X$2,0)&lt;&gt;H1080,"Beam Revised","")</f>
        <v>#N/A</v>
      </c>
      <c r="Y1080" s="7" t="e">
        <f>IF(VLOOKUP($A1080,'Concrete Beam Schedule'!$A$2:$Q$2902,Y$2,0)&lt;&gt;I1080,"Beam Revised","")</f>
        <v>#N/A</v>
      </c>
      <c r="Z1080" s="7" t="e">
        <f>IF(VLOOKUP($A1080,'Concrete Beam Schedule'!$A$2:$Q$2902,Z$2,0)&lt;&gt;J1080,"Beam Revised","")</f>
        <v>#N/A</v>
      </c>
      <c r="AA1080" s="7" t="e">
        <f>IF(VLOOKUP($A1080,'Concrete Beam Schedule'!$A$2:$Q$2902,AA$2,0)&lt;&gt;K1080,"Beam Revised","")</f>
        <v>#N/A</v>
      </c>
      <c r="AB1080" s="7" t="e">
        <f>IF(VLOOKUP($A1080,'Concrete Beam Schedule'!$A$2:$Q$2902,AB$2,0)&lt;&gt;L1080,"Beam Revised","")</f>
        <v>#N/A</v>
      </c>
      <c r="AC1080" s="7" t="e">
        <f>IF(VLOOKUP($A1080,'Concrete Beam Schedule'!$A$2:$Q$2902,AC$2,0)&lt;&gt;M1080,"Beam Revised","")</f>
        <v>#N/A</v>
      </c>
      <c r="AD1080" s="7" t="e">
        <f>IF(VLOOKUP($A1080,'Concrete Beam Schedule'!$A$2:$Q$2902,AD$2,0)&lt;&gt;N1080,"Beam Revised","")</f>
        <v>#N/A</v>
      </c>
      <c r="AE1080" s="7" t="e">
        <f>IF(VLOOKUP($A1080,'Concrete Beam Schedule'!$A$2:$Q$2902,AE$2,0)&lt;&gt;O1080,"Beam Revised","")</f>
        <v>#N/A</v>
      </c>
    </row>
    <row r="1081" spans="17:31" ht="13.2" x14ac:dyDescent="0.25">
      <c r="Q1081" s="7">
        <f t="shared" si="16"/>
        <v>0</v>
      </c>
      <c r="R1081" s="7" t="e">
        <f>IF(VLOOKUP($A1081,'Concrete Beam Schedule'!$A$2:$Q$2902,R$2,0)&lt;&gt;B1081,VLOOKUP($A1081,'Concrete Beam Schedule'!$A$2:$Q$2902,R$2,0),"")</f>
        <v>#N/A</v>
      </c>
      <c r="S1081" s="7" t="e">
        <f>IF(VLOOKUP($A1081,'Concrete Beam Schedule'!$A$2:$Q$2902,S$2,0)&lt;&gt;C1081,VLOOKUP($A1081,'Concrete Beam Schedule'!$A$2:$Q$2902,S$2,0),"")</f>
        <v>#N/A</v>
      </c>
      <c r="T1081" s="7" t="e">
        <f>IF(VLOOKUP($A1081,'Concrete Beam Schedule'!$A$2:$Q$2902,T$2,0)&lt;&gt;D1081,"Beam Revised","")</f>
        <v>#N/A</v>
      </c>
      <c r="U1081" s="7" t="e">
        <f>IF(VLOOKUP($A1081,'Concrete Beam Schedule'!$A$2:$Q$2902,U$2,0)&lt;&gt;E1081,"Beam Revised","")</f>
        <v>#N/A</v>
      </c>
      <c r="V1081" s="7" t="e">
        <f>IF(VLOOKUP($A1081,'Concrete Beam Schedule'!$A$2:$Q$2902,V$2,0)&lt;&gt;F1081,"Beam Revised","")</f>
        <v>#N/A</v>
      </c>
      <c r="W1081" s="7" t="e">
        <f>IF(VLOOKUP($A1081,'Concrete Beam Schedule'!$A$2:$Q$2902,W$2,0)&lt;&gt;G1081,"Beam Revised","")</f>
        <v>#N/A</v>
      </c>
      <c r="X1081" s="7" t="e">
        <f>IF(VLOOKUP($A1081,'Concrete Beam Schedule'!$A$2:$Q$2902,X$2,0)&lt;&gt;H1081,"Beam Revised","")</f>
        <v>#N/A</v>
      </c>
      <c r="Y1081" s="7" t="e">
        <f>IF(VLOOKUP($A1081,'Concrete Beam Schedule'!$A$2:$Q$2902,Y$2,0)&lt;&gt;I1081,"Beam Revised","")</f>
        <v>#N/A</v>
      </c>
      <c r="Z1081" s="7" t="e">
        <f>IF(VLOOKUP($A1081,'Concrete Beam Schedule'!$A$2:$Q$2902,Z$2,0)&lt;&gt;J1081,"Beam Revised","")</f>
        <v>#N/A</v>
      </c>
      <c r="AA1081" s="7" t="e">
        <f>IF(VLOOKUP($A1081,'Concrete Beam Schedule'!$A$2:$Q$2902,AA$2,0)&lt;&gt;K1081,"Beam Revised","")</f>
        <v>#N/A</v>
      </c>
      <c r="AB1081" s="7" t="e">
        <f>IF(VLOOKUP($A1081,'Concrete Beam Schedule'!$A$2:$Q$2902,AB$2,0)&lt;&gt;L1081,"Beam Revised","")</f>
        <v>#N/A</v>
      </c>
      <c r="AC1081" s="7" t="e">
        <f>IF(VLOOKUP($A1081,'Concrete Beam Schedule'!$A$2:$Q$2902,AC$2,0)&lt;&gt;M1081,"Beam Revised","")</f>
        <v>#N/A</v>
      </c>
      <c r="AD1081" s="7" t="e">
        <f>IF(VLOOKUP($A1081,'Concrete Beam Schedule'!$A$2:$Q$2902,AD$2,0)&lt;&gt;N1081,"Beam Revised","")</f>
        <v>#N/A</v>
      </c>
      <c r="AE1081" s="7" t="e">
        <f>IF(VLOOKUP($A1081,'Concrete Beam Schedule'!$A$2:$Q$2902,AE$2,0)&lt;&gt;O1081,"Beam Revised","")</f>
        <v>#N/A</v>
      </c>
    </row>
    <row r="1082" spans="17:31" ht="13.2" x14ac:dyDescent="0.25">
      <c r="Q1082" s="7">
        <f t="shared" si="16"/>
        <v>0</v>
      </c>
      <c r="R1082" s="7" t="e">
        <f>IF(VLOOKUP($A1082,'Concrete Beam Schedule'!$A$2:$Q$2902,R$2,0)&lt;&gt;B1082,VLOOKUP($A1082,'Concrete Beam Schedule'!$A$2:$Q$2902,R$2,0),"")</f>
        <v>#N/A</v>
      </c>
      <c r="S1082" s="7" t="e">
        <f>IF(VLOOKUP($A1082,'Concrete Beam Schedule'!$A$2:$Q$2902,S$2,0)&lt;&gt;C1082,VLOOKUP($A1082,'Concrete Beam Schedule'!$A$2:$Q$2902,S$2,0),"")</f>
        <v>#N/A</v>
      </c>
      <c r="T1082" s="7" t="e">
        <f>IF(VLOOKUP($A1082,'Concrete Beam Schedule'!$A$2:$Q$2902,T$2,0)&lt;&gt;D1082,"Beam Revised","")</f>
        <v>#N/A</v>
      </c>
      <c r="U1082" s="7" t="e">
        <f>IF(VLOOKUP($A1082,'Concrete Beam Schedule'!$A$2:$Q$2902,U$2,0)&lt;&gt;E1082,"Beam Revised","")</f>
        <v>#N/A</v>
      </c>
      <c r="V1082" s="7" t="e">
        <f>IF(VLOOKUP($A1082,'Concrete Beam Schedule'!$A$2:$Q$2902,V$2,0)&lt;&gt;F1082,"Beam Revised","")</f>
        <v>#N/A</v>
      </c>
      <c r="W1082" s="7" t="e">
        <f>IF(VLOOKUP($A1082,'Concrete Beam Schedule'!$A$2:$Q$2902,W$2,0)&lt;&gt;G1082,"Beam Revised","")</f>
        <v>#N/A</v>
      </c>
      <c r="X1082" s="7" t="e">
        <f>IF(VLOOKUP($A1082,'Concrete Beam Schedule'!$A$2:$Q$2902,X$2,0)&lt;&gt;H1082,"Beam Revised","")</f>
        <v>#N/A</v>
      </c>
      <c r="Y1082" s="7" t="e">
        <f>IF(VLOOKUP($A1082,'Concrete Beam Schedule'!$A$2:$Q$2902,Y$2,0)&lt;&gt;I1082,"Beam Revised","")</f>
        <v>#N/A</v>
      </c>
      <c r="Z1082" s="7" t="e">
        <f>IF(VLOOKUP($A1082,'Concrete Beam Schedule'!$A$2:$Q$2902,Z$2,0)&lt;&gt;J1082,"Beam Revised","")</f>
        <v>#N/A</v>
      </c>
      <c r="AA1082" s="7" t="e">
        <f>IF(VLOOKUP($A1082,'Concrete Beam Schedule'!$A$2:$Q$2902,AA$2,0)&lt;&gt;K1082,"Beam Revised","")</f>
        <v>#N/A</v>
      </c>
      <c r="AB1082" s="7" t="e">
        <f>IF(VLOOKUP($A1082,'Concrete Beam Schedule'!$A$2:$Q$2902,AB$2,0)&lt;&gt;L1082,"Beam Revised","")</f>
        <v>#N/A</v>
      </c>
      <c r="AC1082" s="7" t="e">
        <f>IF(VLOOKUP($A1082,'Concrete Beam Schedule'!$A$2:$Q$2902,AC$2,0)&lt;&gt;M1082,"Beam Revised","")</f>
        <v>#N/A</v>
      </c>
      <c r="AD1082" s="7" t="e">
        <f>IF(VLOOKUP($A1082,'Concrete Beam Schedule'!$A$2:$Q$2902,AD$2,0)&lt;&gt;N1082,"Beam Revised","")</f>
        <v>#N/A</v>
      </c>
      <c r="AE1082" s="7" t="e">
        <f>IF(VLOOKUP($A1082,'Concrete Beam Schedule'!$A$2:$Q$2902,AE$2,0)&lt;&gt;O1082,"Beam Revised","")</f>
        <v>#N/A</v>
      </c>
    </row>
    <row r="1083" spans="17:31" ht="13.2" x14ac:dyDescent="0.25">
      <c r="Q1083" s="7">
        <f t="shared" si="16"/>
        <v>0</v>
      </c>
      <c r="R1083" s="7" t="e">
        <f>IF(VLOOKUP($A1083,'Concrete Beam Schedule'!$A$2:$Q$2902,R$2,0)&lt;&gt;B1083,VLOOKUP($A1083,'Concrete Beam Schedule'!$A$2:$Q$2902,R$2,0),"")</f>
        <v>#N/A</v>
      </c>
      <c r="S1083" s="7" t="e">
        <f>IF(VLOOKUP($A1083,'Concrete Beam Schedule'!$A$2:$Q$2902,S$2,0)&lt;&gt;C1083,VLOOKUP($A1083,'Concrete Beam Schedule'!$A$2:$Q$2902,S$2,0),"")</f>
        <v>#N/A</v>
      </c>
      <c r="T1083" s="7" t="e">
        <f>IF(VLOOKUP($A1083,'Concrete Beam Schedule'!$A$2:$Q$2902,T$2,0)&lt;&gt;D1083,"Beam Revised","")</f>
        <v>#N/A</v>
      </c>
      <c r="U1083" s="7" t="e">
        <f>IF(VLOOKUP($A1083,'Concrete Beam Schedule'!$A$2:$Q$2902,U$2,0)&lt;&gt;E1083,"Beam Revised","")</f>
        <v>#N/A</v>
      </c>
      <c r="V1083" s="7" t="e">
        <f>IF(VLOOKUP($A1083,'Concrete Beam Schedule'!$A$2:$Q$2902,V$2,0)&lt;&gt;F1083,"Beam Revised","")</f>
        <v>#N/A</v>
      </c>
      <c r="W1083" s="7" t="e">
        <f>IF(VLOOKUP($A1083,'Concrete Beam Schedule'!$A$2:$Q$2902,W$2,0)&lt;&gt;G1083,"Beam Revised","")</f>
        <v>#N/A</v>
      </c>
      <c r="X1083" s="7" t="e">
        <f>IF(VLOOKUP($A1083,'Concrete Beam Schedule'!$A$2:$Q$2902,X$2,0)&lt;&gt;H1083,"Beam Revised","")</f>
        <v>#N/A</v>
      </c>
      <c r="Y1083" s="7" t="e">
        <f>IF(VLOOKUP($A1083,'Concrete Beam Schedule'!$A$2:$Q$2902,Y$2,0)&lt;&gt;I1083,"Beam Revised","")</f>
        <v>#N/A</v>
      </c>
      <c r="Z1083" s="7" t="e">
        <f>IF(VLOOKUP($A1083,'Concrete Beam Schedule'!$A$2:$Q$2902,Z$2,0)&lt;&gt;J1083,"Beam Revised","")</f>
        <v>#N/A</v>
      </c>
      <c r="AA1083" s="7" t="e">
        <f>IF(VLOOKUP($A1083,'Concrete Beam Schedule'!$A$2:$Q$2902,AA$2,0)&lt;&gt;K1083,"Beam Revised","")</f>
        <v>#N/A</v>
      </c>
      <c r="AB1083" s="7" t="e">
        <f>IF(VLOOKUP($A1083,'Concrete Beam Schedule'!$A$2:$Q$2902,AB$2,0)&lt;&gt;L1083,"Beam Revised","")</f>
        <v>#N/A</v>
      </c>
      <c r="AC1083" s="7" t="e">
        <f>IF(VLOOKUP($A1083,'Concrete Beam Schedule'!$A$2:$Q$2902,AC$2,0)&lt;&gt;M1083,"Beam Revised","")</f>
        <v>#N/A</v>
      </c>
      <c r="AD1083" s="7" t="e">
        <f>IF(VLOOKUP($A1083,'Concrete Beam Schedule'!$A$2:$Q$2902,AD$2,0)&lt;&gt;N1083,"Beam Revised","")</f>
        <v>#N/A</v>
      </c>
      <c r="AE1083" s="7" t="e">
        <f>IF(VLOOKUP($A1083,'Concrete Beam Schedule'!$A$2:$Q$2902,AE$2,0)&lt;&gt;O1083,"Beam Revised","")</f>
        <v>#N/A</v>
      </c>
    </row>
    <row r="1084" spans="17:31" ht="13.2" x14ac:dyDescent="0.25">
      <c r="Q1084" s="7">
        <f t="shared" si="16"/>
        <v>0</v>
      </c>
      <c r="R1084" s="7" t="e">
        <f>IF(VLOOKUP($A1084,'Concrete Beam Schedule'!$A$2:$Q$2902,R$2,0)&lt;&gt;B1084,VLOOKUP($A1084,'Concrete Beam Schedule'!$A$2:$Q$2902,R$2,0),"")</f>
        <v>#N/A</v>
      </c>
      <c r="S1084" s="7" t="e">
        <f>IF(VLOOKUP($A1084,'Concrete Beam Schedule'!$A$2:$Q$2902,S$2,0)&lt;&gt;C1084,VLOOKUP($A1084,'Concrete Beam Schedule'!$A$2:$Q$2902,S$2,0),"")</f>
        <v>#N/A</v>
      </c>
      <c r="T1084" s="7" t="e">
        <f>IF(VLOOKUP($A1084,'Concrete Beam Schedule'!$A$2:$Q$2902,T$2,0)&lt;&gt;D1084,"Beam Revised","")</f>
        <v>#N/A</v>
      </c>
      <c r="U1084" s="7" t="e">
        <f>IF(VLOOKUP($A1084,'Concrete Beam Schedule'!$A$2:$Q$2902,U$2,0)&lt;&gt;E1084,"Beam Revised","")</f>
        <v>#N/A</v>
      </c>
      <c r="V1084" s="7" t="e">
        <f>IF(VLOOKUP($A1084,'Concrete Beam Schedule'!$A$2:$Q$2902,V$2,0)&lt;&gt;F1084,"Beam Revised","")</f>
        <v>#N/A</v>
      </c>
      <c r="W1084" s="7" t="e">
        <f>IF(VLOOKUP($A1084,'Concrete Beam Schedule'!$A$2:$Q$2902,W$2,0)&lt;&gt;G1084,"Beam Revised","")</f>
        <v>#N/A</v>
      </c>
      <c r="X1084" s="7" t="e">
        <f>IF(VLOOKUP($A1084,'Concrete Beam Schedule'!$A$2:$Q$2902,X$2,0)&lt;&gt;H1084,"Beam Revised","")</f>
        <v>#N/A</v>
      </c>
      <c r="Y1084" s="7" t="e">
        <f>IF(VLOOKUP($A1084,'Concrete Beam Schedule'!$A$2:$Q$2902,Y$2,0)&lt;&gt;I1084,"Beam Revised","")</f>
        <v>#N/A</v>
      </c>
      <c r="Z1084" s="7" t="e">
        <f>IF(VLOOKUP($A1084,'Concrete Beam Schedule'!$A$2:$Q$2902,Z$2,0)&lt;&gt;J1084,"Beam Revised","")</f>
        <v>#N/A</v>
      </c>
      <c r="AA1084" s="7" t="e">
        <f>IF(VLOOKUP($A1084,'Concrete Beam Schedule'!$A$2:$Q$2902,AA$2,0)&lt;&gt;K1084,"Beam Revised","")</f>
        <v>#N/A</v>
      </c>
      <c r="AB1084" s="7" t="e">
        <f>IF(VLOOKUP($A1084,'Concrete Beam Schedule'!$A$2:$Q$2902,AB$2,0)&lt;&gt;L1084,"Beam Revised","")</f>
        <v>#N/A</v>
      </c>
      <c r="AC1084" s="7" t="e">
        <f>IF(VLOOKUP($A1084,'Concrete Beam Schedule'!$A$2:$Q$2902,AC$2,0)&lt;&gt;M1084,"Beam Revised","")</f>
        <v>#N/A</v>
      </c>
      <c r="AD1084" s="7" t="e">
        <f>IF(VLOOKUP($A1084,'Concrete Beam Schedule'!$A$2:$Q$2902,AD$2,0)&lt;&gt;N1084,"Beam Revised","")</f>
        <v>#N/A</v>
      </c>
      <c r="AE1084" s="7" t="e">
        <f>IF(VLOOKUP($A1084,'Concrete Beam Schedule'!$A$2:$Q$2902,AE$2,0)&lt;&gt;O1084,"Beam Revised","")</f>
        <v>#N/A</v>
      </c>
    </row>
    <row r="1085" spans="17:31" ht="13.2" x14ac:dyDescent="0.25">
      <c r="Q1085" s="7">
        <f t="shared" si="16"/>
        <v>0</v>
      </c>
      <c r="R1085" s="7" t="e">
        <f>IF(VLOOKUP($A1085,'Concrete Beam Schedule'!$A$2:$Q$2902,R$2,0)&lt;&gt;B1085,VLOOKUP($A1085,'Concrete Beam Schedule'!$A$2:$Q$2902,R$2,0),"")</f>
        <v>#N/A</v>
      </c>
      <c r="S1085" s="7" t="e">
        <f>IF(VLOOKUP($A1085,'Concrete Beam Schedule'!$A$2:$Q$2902,S$2,0)&lt;&gt;C1085,VLOOKUP($A1085,'Concrete Beam Schedule'!$A$2:$Q$2902,S$2,0),"")</f>
        <v>#N/A</v>
      </c>
      <c r="T1085" s="7" t="e">
        <f>IF(VLOOKUP($A1085,'Concrete Beam Schedule'!$A$2:$Q$2902,T$2,0)&lt;&gt;D1085,"Beam Revised","")</f>
        <v>#N/A</v>
      </c>
      <c r="U1085" s="7" t="e">
        <f>IF(VLOOKUP($A1085,'Concrete Beam Schedule'!$A$2:$Q$2902,U$2,0)&lt;&gt;E1085,"Beam Revised","")</f>
        <v>#N/A</v>
      </c>
      <c r="V1085" s="7" t="e">
        <f>IF(VLOOKUP($A1085,'Concrete Beam Schedule'!$A$2:$Q$2902,V$2,0)&lt;&gt;F1085,"Beam Revised","")</f>
        <v>#N/A</v>
      </c>
      <c r="W1085" s="7" t="e">
        <f>IF(VLOOKUP($A1085,'Concrete Beam Schedule'!$A$2:$Q$2902,W$2,0)&lt;&gt;G1085,"Beam Revised","")</f>
        <v>#N/A</v>
      </c>
      <c r="X1085" s="7" t="e">
        <f>IF(VLOOKUP($A1085,'Concrete Beam Schedule'!$A$2:$Q$2902,X$2,0)&lt;&gt;H1085,"Beam Revised","")</f>
        <v>#N/A</v>
      </c>
      <c r="Y1085" s="7" t="e">
        <f>IF(VLOOKUP($A1085,'Concrete Beam Schedule'!$A$2:$Q$2902,Y$2,0)&lt;&gt;I1085,"Beam Revised","")</f>
        <v>#N/A</v>
      </c>
      <c r="Z1085" s="7" t="e">
        <f>IF(VLOOKUP($A1085,'Concrete Beam Schedule'!$A$2:$Q$2902,Z$2,0)&lt;&gt;J1085,"Beam Revised","")</f>
        <v>#N/A</v>
      </c>
      <c r="AA1085" s="7" t="e">
        <f>IF(VLOOKUP($A1085,'Concrete Beam Schedule'!$A$2:$Q$2902,AA$2,0)&lt;&gt;K1085,"Beam Revised","")</f>
        <v>#N/A</v>
      </c>
      <c r="AB1085" s="7" t="e">
        <f>IF(VLOOKUP($A1085,'Concrete Beam Schedule'!$A$2:$Q$2902,AB$2,0)&lt;&gt;L1085,"Beam Revised","")</f>
        <v>#N/A</v>
      </c>
      <c r="AC1085" s="7" t="e">
        <f>IF(VLOOKUP($A1085,'Concrete Beam Schedule'!$A$2:$Q$2902,AC$2,0)&lt;&gt;M1085,"Beam Revised","")</f>
        <v>#N/A</v>
      </c>
      <c r="AD1085" s="7" t="e">
        <f>IF(VLOOKUP($A1085,'Concrete Beam Schedule'!$A$2:$Q$2902,AD$2,0)&lt;&gt;N1085,"Beam Revised","")</f>
        <v>#N/A</v>
      </c>
      <c r="AE1085" s="7" t="e">
        <f>IF(VLOOKUP($A1085,'Concrete Beam Schedule'!$A$2:$Q$2902,AE$2,0)&lt;&gt;O1085,"Beam Revised","")</f>
        <v>#N/A</v>
      </c>
    </row>
    <row r="1086" spans="17:31" ht="13.2" x14ac:dyDescent="0.25">
      <c r="Q1086" s="7">
        <f t="shared" si="16"/>
        <v>0</v>
      </c>
      <c r="R1086" s="7" t="e">
        <f>IF(VLOOKUP($A1086,'Concrete Beam Schedule'!$A$2:$Q$2902,R$2,0)&lt;&gt;B1086,VLOOKUP($A1086,'Concrete Beam Schedule'!$A$2:$Q$2902,R$2,0),"")</f>
        <v>#N/A</v>
      </c>
      <c r="S1086" s="7" t="e">
        <f>IF(VLOOKUP($A1086,'Concrete Beam Schedule'!$A$2:$Q$2902,S$2,0)&lt;&gt;C1086,VLOOKUP($A1086,'Concrete Beam Schedule'!$A$2:$Q$2902,S$2,0),"")</f>
        <v>#N/A</v>
      </c>
      <c r="T1086" s="7" t="e">
        <f>IF(VLOOKUP($A1086,'Concrete Beam Schedule'!$A$2:$Q$2902,T$2,0)&lt;&gt;D1086,"Beam Revised","")</f>
        <v>#N/A</v>
      </c>
      <c r="U1086" s="7" t="e">
        <f>IF(VLOOKUP($A1086,'Concrete Beam Schedule'!$A$2:$Q$2902,U$2,0)&lt;&gt;E1086,"Beam Revised","")</f>
        <v>#N/A</v>
      </c>
      <c r="V1086" s="7" t="e">
        <f>IF(VLOOKUP($A1086,'Concrete Beam Schedule'!$A$2:$Q$2902,V$2,0)&lt;&gt;F1086,"Beam Revised","")</f>
        <v>#N/A</v>
      </c>
      <c r="W1086" s="7" t="e">
        <f>IF(VLOOKUP($A1086,'Concrete Beam Schedule'!$A$2:$Q$2902,W$2,0)&lt;&gt;G1086,"Beam Revised","")</f>
        <v>#N/A</v>
      </c>
      <c r="X1086" s="7" t="e">
        <f>IF(VLOOKUP($A1086,'Concrete Beam Schedule'!$A$2:$Q$2902,X$2,0)&lt;&gt;H1086,"Beam Revised","")</f>
        <v>#N/A</v>
      </c>
      <c r="Y1086" s="7" t="e">
        <f>IF(VLOOKUP($A1086,'Concrete Beam Schedule'!$A$2:$Q$2902,Y$2,0)&lt;&gt;I1086,"Beam Revised","")</f>
        <v>#N/A</v>
      </c>
      <c r="Z1086" s="7" t="e">
        <f>IF(VLOOKUP($A1086,'Concrete Beam Schedule'!$A$2:$Q$2902,Z$2,0)&lt;&gt;J1086,"Beam Revised","")</f>
        <v>#N/A</v>
      </c>
      <c r="AA1086" s="7" t="e">
        <f>IF(VLOOKUP($A1086,'Concrete Beam Schedule'!$A$2:$Q$2902,AA$2,0)&lt;&gt;K1086,"Beam Revised","")</f>
        <v>#N/A</v>
      </c>
      <c r="AB1086" s="7" t="e">
        <f>IF(VLOOKUP($A1086,'Concrete Beam Schedule'!$A$2:$Q$2902,AB$2,0)&lt;&gt;L1086,"Beam Revised","")</f>
        <v>#N/A</v>
      </c>
      <c r="AC1086" s="7" t="e">
        <f>IF(VLOOKUP($A1086,'Concrete Beam Schedule'!$A$2:$Q$2902,AC$2,0)&lt;&gt;M1086,"Beam Revised","")</f>
        <v>#N/A</v>
      </c>
      <c r="AD1086" s="7" t="e">
        <f>IF(VLOOKUP($A1086,'Concrete Beam Schedule'!$A$2:$Q$2902,AD$2,0)&lt;&gt;N1086,"Beam Revised","")</f>
        <v>#N/A</v>
      </c>
      <c r="AE1086" s="7" t="e">
        <f>IF(VLOOKUP($A1086,'Concrete Beam Schedule'!$A$2:$Q$2902,AE$2,0)&lt;&gt;O1086,"Beam Revised","")</f>
        <v>#N/A</v>
      </c>
    </row>
    <row r="1087" spans="17:31" ht="13.2" x14ac:dyDescent="0.25">
      <c r="Q1087" s="7">
        <f t="shared" si="16"/>
        <v>0</v>
      </c>
      <c r="R1087" s="7" t="e">
        <f>IF(VLOOKUP($A1087,'Concrete Beam Schedule'!$A$2:$Q$2902,R$2,0)&lt;&gt;B1087,VLOOKUP($A1087,'Concrete Beam Schedule'!$A$2:$Q$2902,R$2,0),"")</f>
        <v>#N/A</v>
      </c>
      <c r="S1087" s="7" t="e">
        <f>IF(VLOOKUP($A1087,'Concrete Beam Schedule'!$A$2:$Q$2902,S$2,0)&lt;&gt;C1087,VLOOKUP($A1087,'Concrete Beam Schedule'!$A$2:$Q$2902,S$2,0),"")</f>
        <v>#N/A</v>
      </c>
      <c r="T1087" s="7" t="e">
        <f>IF(VLOOKUP($A1087,'Concrete Beam Schedule'!$A$2:$Q$2902,T$2,0)&lt;&gt;D1087,"Beam Revised","")</f>
        <v>#N/A</v>
      </c>
      <c r="U1087" s="7" t="e">
        <f>IF(VLOOKUP($A1087,'Concrete Beam Schedule'!$A$2:$Q$2902,U$2,0)&lt;&gt;E1087,"Beam Revised","")</f>
        <v>#N/A</v>
      </c>
      <c r="V1087" s="7" t="e">
        <f>IF(VLOOKUP($A1087,'Concrete Beam Schedule'!$A$2:$Q$2902,V$2,0)&lt;&gt;F1087,"Beam Revised","")</f>
        <v>#N/A</v>
      </c>
      <c r="W1087" s="7" t="e">
        <f>IF(VLOOKUP($A1087,'Concrete Beam Schedule'!$A$2:$Q$2902,W$2,0)&lt;&gt;G1087,"Beam Revised","")</f>
        <v>#N/A</v>
      </c>
      <c r="X1087" s="7" t="e">
        <f>IF(VLOOKUP($A1087,'Concrete Beam Schedule'!$A$2:$Q$2902,X$2,0)&lt;&gt;H1087,"Beam Revised","")</f>
        <v>#N/A</v>
      </c>
      <c r="Y1087" s="7" t="e">
        <f>IF(VLOOKUP($A1087,'Concrete Beam Schedule'!$A$2:$Q$2902,Y$2,0)&lt;&gt;I1087,"Beam Revised","")</f>
        <v>#N/A</v>
      </c>
      <c r="Z1087" s="7" t="e">
        <f>IF(VLOOKUP($A1087,'Concrete Beam Schedule'!$A$2:$Q$2902,Z$2,0)&lt;&gt;J1087,"Beam Revised","")</f>
        <v>#N/A</v>
      </c>
      <c r="AA1087" s="7" t="e">
        <f>IF(VLOOKUP($A1087,'Concrete Beam Schedule'!$A$2:$Q$2902,AA$2,0)&lt;&gt;K1087,"Beam Revised","")</f>
        <v>#N/A</v>
      </c>
      <c r="AB1087" s="7" t="e">
        <f>IF(VLOOKUP($A1087,'Concrete Beam Schedule'!$A$2:$Q$2902,AB$2,0)&lt;&gt;L1087,"Beam Revised","")</f>
        <v>#N/A</v>
      </c>
      <c r="AC1087" s="7" t="e">
        <f>IF(VLOOKUP($A1087,'Concrete Beam Schedule'!$A$2:$Q$2902,AC$2,0)&lt;&gt;M1087,"Beam Revised","")</f>
        <v>#N/A</v>
      </c>
      <c r="AD1087" s="7" t="e">
        <f>IF(VLOOKUP($A1087,'Concrete Beam Schedule'!$A$2:$Q$2902,AD$2,0)&lt;&gt;N1087,"Beam Revised","")</f>
        <v>#N/A</v>
      </c>
      <c r="AE1087" s="7" t="e">
        <f>IF(VLOOKUP($A1087,'Concrete Beam Schedule'!$A$2:$Q$2902,AE$2,0)&lt;&gt;O1087,"Beam Revised","")</f>
        <v>#N/A</v>
      </c>
    </row>
    <row r="1088" spans="17:31" ht="13.2" x14ac:dyDescent="0.25">
      <c r="Q1088" s="7">
        <f t="shared" si="16"/>
        <v>0</v>
      </c>
      <c r="R1088" s="7" t="e">
        <f>IF(VLOOKUP($A1088,'Concrete Beam Schedule'!$A$2:$Q$2902,R$2,0)&lt;&gt;B1088,VLOOKUP($A1088,'Concrete Beam Schedule'!$A$2:$Q$2902,R$2,0),"")</f>
        <v>#N/A</v>
      </c>
      <c r="S1088" s="7" t="e">
        <f>IF(VLOOKUP($A1088,'Concrete Beam Schedule'!$A$2:$Q$2902,S$2,0)&lt;&gt;C1088,VLOOKUP($A1088,'Concrete Beam Schedule'!$A$2:$Q$2902,S$2,0),"")</f>
        <v>#N/A</v>
      </c>
      <c r="T1088" s="7" t="e">
        <f>IF(VLOOKUP($A1088,'Concrete Beam Schedule'!$A$2:$Q$2902,T$2,0)&lt;&gt;D1088,"Beam Revised","")</f>
        <v>#N/A</v>
      </c>
      <c r="U1088" s="7" t="e">
        <f>IF(VLOOKUP($A1088,'Concrete Beam Schedule'!$A$2:$Q$2902,U$2,0)&lt;&gt;E1088,"Beam Revised","")</f>
        <v>#N/A</v>
      </c>
      <c r="V1088" s="7" t="e">
        <f>IF(VLOOKUP($A1088,'Concrete Beam Schedule'!$A$2:$Q$2902,V$2,0)&lt;&gt;F1088,"Beam Revised","")</f>
        <v>#N/A</v>
      </c>
      <c r="W1088" s="7" t="e">
        <f>IF(VLOOKUP($A1088,'Concrete Beam Schedule'!$A$2:$Q$2902,W$2,0)&lt;&gt;G1088,"Beam Revised","")</f>
        <v>#N/A</v>
      </c>
      <c r="X1088" s="7" t="e">
        <f>IF(VLOOKUP($A1088,'Concrete Beam Schedule'!$A$2:$Q$2902,X$2,0)&lt;&gt;H1088,"Beam Revised","")</f>
        <v>#N/A</v>
      </c>
      <c r="Y1088" s="7" t="e">
        <f>IF(VLOOKUP($A1088,'Concrete Beam Schedule'!$A$2:$Q$2902,Y$2,0)&lt;&gt;I1088,"Beam Revised","")</f>
        <v>#N/A</v>
      </c>
      <c r="Z1088" s="7" t="e">
        <f>IF(VLOOKUP($A1088,'Concrete Beam Schedule'!$A$2:$Q$2902,Z$2,0)&lt;&gt;J1088,"Beam Revised","")</f>
        <v>#N/A</v>
      </c>
      <c r="AA1088" s="7" t="e">
        <f>IF(VLOOKUP($A1088,'Concrete Beam Schedule'!$A$2:$Q$2902,AA$2,0)&lt;&gt;K1088,"Beam Revised","")</f>
        <v>#N/A</v>
      </c>
      <c r="AB1088" s="7" t="e">
        <f>IF(VLOOKUP($A1088,'Concrete Beam Schedule'!$A$2:$Q$2902,AB$2,0)&lt;&gt;L1088,"Beam Revised","")</f>
        <v>#N/A</v>
      </c>
      <c r="AC1088" s="7" t="e">
        <f>IF(VLOOKUP($A1088,'Concrete Beam Schedule'!$A$2:$Q$2902,AC$2,0)&lt;&gt;M1088,"Beam Revised","")</f>
        <v>#N/A</v>
      </c>
      <c r="AD1088" s="7" t="e">
        <f>IF(VLOOKUP($A1088,'Concrete Beam Schedule'!$A$2:$Q$2902,AD$2,0)&lt;&gt;N1088,"Beam Revised","")</f>
        <v>#N/A</v>
      </c>
      <c r="AE1088" s="7" t="e">
        <f>IF(VLOOKUP($A1088,'Concrete Beam Schedule'!$A$2:$Q$2902,AE$2,0)&lt;&gt;O1088,"Beam Revised","")</f>
        <v>#N/A</v>
      </c>
    </row>
    <row r="1089" spans="17:31" ht="13.2" x14ac:dyDescent="0.25">
      <c r="Q1089" s="7">
        <f t="shared" si="16"/>
        <v>0</v>
      </c>
      <c r="R1089" s="7" t="e">
        <f>IF(VLOOKUP($A1089,'Concrete Beam Schedule'!$A$2:$Q$2902,R$2,0)&lt;&gt;B1089,VLOOKUP($A1089,'Concrete Beam Schedule'!$A$2:$Q$2902,R$2,0),"")</f>
        <v>#N/A</v>
      </c>
      <c r="S1089" s="7" t="e">
        <f>IF(VLOOKUP($A1089,'Concrete Beam Schedule'!$A$2:$Q$2902,S$2,0)&lt;&gt;C1089,VLOOKUP($A1089,'Concrete Beam Schedule'!$A$2:$Q$2902,S$2,0),"")</f>
        <v>#N/A</v>
      </c>
      <c r="T1089" s="7" t="e">
        <f>IF(VLOOKUP($A1089,'Concrete Beam Schedule'!$A$2:$Q$2902,T$2,0)&lt;&gt;D1089,"Beam Revised","")</f>
        <v>#N/A</v>
      </c>
      <c r="U1089" s="7" t="e">
        <f>IF(VLOOKUP($A1089,'Concrete Beam Schedule'!$A$2:$Q$2902,U$2,0)&lt;&gt;E1089,"Beam Revised","")</f>
        <v>#N/A</v>
      </c>
      <c r="V1089" s="7" t="e">
        <f>IF(VLOOKUP($A1089,'Concrete Beam Schedule'!$A$2:$Q$2902,V$2,0)&lt;&gt;F1089,"Beam Revised","")</f>
        <v>#N/A</v>
      </c>
      <c r="W1089" s="7" t="e">
        <f>IF(VLOOKUP($A1089,'Concrete Beam Schedule'!$A$2:$Q$2902,W$2,0)&lt;&gt;G1089,"Beam Revised","")</f>
        <v>#N/A</v>
      </c>
      <c r="X1089" s="7" t="e">
        <f>IF(VLOOKUP($A1089,'Concrete Beam Schedule'!$A$2:$Q$2902,X$2,0)&lt;&gt;H1089,"Beam Revised","")</f>
        <v>#N/A</v>
      </c>
      <c r="Y1089" s="7" t="e">
        <f>IF(VLOOKUP($A1089,'Concrete Beam Schedule'!$A$2:$Q$2902,Y$2,0)&lt;&gt;I1089,"Beam Revised","")</f>
        <v>#N/A</v>
      </c>
      <c r="Z1089" s="7" t="e">
        <f>IF(VLOOKUP($A1089,'Concrete Beam Schedule'!$A$2:$Q$2902,Z$2,0)&lt;&gt;J1089,"Beam Revised","")</f>
        <v>#N/A</v>
      </c>
      <c r="AA1089" s="7" t="e">
        <f>IF(VLOOKUP($A1089,'Concrete Beam Schedule'!$A$2:$Q$2902,AA$2,0)&lt;&gt;K1089,"Beam Revised","")</f>
        <v>#N/A</v>
      </c>
      <c r="AB1089" s="7" t="e">
        <f>IF(VLOOKUP($A1089,'Concrete Beam Schedule'!$A$2:$Q$2902,AB$2,0)&lt;&gt;L1089,"Beam Revised","")</f>
        <v>#N/A</v>
      </c>
      <c r="AC1089" s="7" t="e">
        <f>IF(VLOOKUP($A1089,'Concrete Beam Schedule'!$A$2:$Q$2902,AC$2,0)&lt;&gt;M1089,"Beam Revised","")</f>
        <v>#N/A</v>
      </c>
      <c r="AD1089" s="7" t="e">
        <f>IF(VLOOKUP($A1089,'Concrete Beam Schedule'!$A$2:$Q$2902,AD$2,0)&lt;&gt;N1089,"Beam Revised","")</f>
        <v>#N/A</v>
      </c>
      <c r="AE1089" s="7" t="e">
        <f>IF(VLOOKUP($A1089,'Concrete Beam Schedule'!$A$2:$Q$2902,AE$2,0)&lt;&gt;O1089,"Beam Revised","")</f>
        <v>#N/A</v>
      </c>
    </row>
    <row r="1090" spans="17:31" ht="13.2" x14ac:dyDescent="0.25">
      <c r="Q1090" s="7">
        <f t="shared" si="16"/>
        <v>0</v>
      </c>
      <c r="R1090" s="7" t="e">
        <f>IF(VLOOKUP($A1090,'Concrete Beam Schedule'!$A$2:$Q$2902,R$2,0)&lt;&gt;B1090,VLOOKUP($A1090,'Concrete Beam Schedule'!$A$2:$Q$2902,R$2,0),"")</f>
        <v>#N/A</v>
      </c>
      <c r="S1090" s="7" t="e">
        <f>IF(VLOOKUP($A1090,'Concrete Beam Schedule'!$A$2:$Q$2902,S$2,0)&lt;&gt;C1090,VLOOKUP($A1090,'Concrete Beam Schedule'!$A$2:$Q$2902,S$2,0),"")</f>
        <v>#N/A</v>
      </c>
      <c r="T1090" s="7" t="e">
        <f>IF(VLOOKUP($A1090,'Concrete Beam Schedule'!$A$2:$Q$2902,T$2,0)&lt;&gt;D1090,"Beam Revised","")</f>
        <v>#N/A</v>
      </c>
      <c r="U1090" s="7" t="e">
        <f>IF(VLOOKUP($A1090,'Concrete Beam Schedule'!$A$2:$Q$2902,U$2,0)&lt;&gt;E1090,"Beam Revised","")</f>
        <v>#N/A</v>
      </c>
      <c r="V1090" s="7" t="e">
        <f>IF(VLOOKUP($A1090,'Concrete Beam Schedule'!$A$2:$Q$2902,V$2,0)&lt;&gt;F1090,"Beam Revised","")</f>
        <v>#N/A</v>
      </c>
      <c r="W1090" s="7" t="e">
        <f>IF(VLOOKUP($A1090,'Concrete Beam Schedule'!$A$2:$Q$2902,W$2,0)&lt;&gt;G1090,"Beam Revised","")</f>
        <v>#N/A</v>
      </c>
      <c r="X1090" s="7" t="e">
        <f>IF(VLOOKUP($A1090,'Concrete Beam Schedule'!$A$2:$Q$2902,X$2,0)&lt;&gt;H1090,"Beam Revised","")</f>
        <v>#N/A</v>
      </c>
      <c r="Y1090" s="7" t="e">
        <f>IF(VLOOKUP($A1090,'Concrete Beam Schedule'!$A$2:$Q$2902,Y$2,0)&lt;&gt;I1090,"Beam Revised","")</f>
        <v>#N/A</v>
      </c>
      <c r="Z1090" s="7" t="e">
        <f>IF(VLOOKUP($A1090,'Concrete Beam Schedule'!$A$2:$Q$2902,Z$2,0)&lt;&gt;J1090,"Beam Revised","")</f>
        <v>#N/A</v>
      </c>
      <c r="AA1090" s="7" t="e">
        <f>IF(VLOOKUP($A1090,'Concrete Beam Schedule'!$A$2:$Q$2902,AA$2,0)&lt;&gt;K1090,"Beam Revised","")</f>
        <v>#N/A</v>
      </c>
      <c r="AB1090" s="7" t="e">
        <f>IF(VLOOKUP($A1090,'Concrete Beam Schedule'!$A$2:$Q$2902,AB$2,0)&lt;&gt;L1090,"Beam Revised","")</f>
        <v>#N/A</v>
      </c>
      <c r="AC1090" s="7" t="e">
        <f>IF(VLOOKUP($A1090,'Concrete Beam Schedule'!$A$2:$Q$2902,AC$2,0)&lt;&gt;M1090,"Beam Revised","")</f>
        <v>#N/A</v>
      </c>
      <c r="AD1090" s="7" t="e">
        <f>IF(VLOOKUP($A1090,'Concrete Beam Schedule'!$A$2:$Q$2902,AD$2,0)&lt;&gt;N1090,"Beam Revised","")</f>
        <v>#N/A</v>
      </c>
      <c r="AE1090" s="7" t="e">
        <f>IF(VLOOKUP($A1090,'Concrete Beam Schedule'!$A$2:$Q$2902,AE$2,0)&lt;&gt;O1090,"Beam Revised","")</f>
        <v>#N/A</v>
      </c>
    </row>
    <row r="1091" spans="17:31" ht="13.2" x14ac:dyDescent="0.25">
      <c r="Q1091" s="7">
        <f t="shared" si="16"/>
        <v>0</v>
      </c>
      <c r="R1091" s="7" t="e">
        <f>IF(VLOOKUP($A1091,'Concrete Beam Schedule'!$A$2:$Q$2902,R$2,0)&lt;&gt;B1091,VLOOKUP($A1091,'Concrete Beam Schedule'!$A$2:$Q$2902,R$2,0),"")</f>
        <v>#N/A</v>
      </c>
      <c r="S1091" s="7" t="e">
        <f>IF(VLOOKUP($A1091,'Concrete Beam Schedule'!$A$2:$Q$2902,S$2,0)&lt;&gt;C1091,VLOOKUP($A1091,'Concrete Beam Schedule'!$A$2:$Q$2902,S$2,0),"")</f>
        <v>#N/A</v>
      </c>
      <c r="T1091" s="7" t="e">
        <f>IF(VLOOKUP($A1091,'Concrete Beam Schedule'!$A$2:$Q$2902,T$2,0)&lt;&gt;D1091,"Beam Revised","")</f>
        <v>#N/A</v>
      </c>
      <c r="U1091" s="7" t="e">
        <f>IF(VLOOKUP($A1091,'Concrete Beam Schedule'!$A$2:$Q$2902,U$2,0)&lt;&gt;E1091,"Beam Revised","")</f>
        <v>#N/A</v>
      </c>
      <c r="V1091" s="7" t="e">
        <f>IF(VLOOKUP($A1091,'Concrete Beam Schedule'!$A$2:$Q$2902,V$2,0)&lt;&gt;F1091,"Beam Revised","")</f>
        <v>#N/A</v>
      </c>
      <c r="W1091" s="7" t="e">
        <f>IF(VLOOKUP($A1091,'Concrete Beam Schedule'!$A$2:$Q$2902,W$2,0)&lt;&gt;G1091,"Beam Revised","")</f>
        <v>#N/A</v>
      </c>
      <c r="X1091" s="7" t="e">
        <f>IF(VLOOKUP($A1091,'Concrete Beam Schedule'!$A$2:$Q$2902,X$2,0)&lt;&gt;H1091,"Beam Revised","")</f>
        <v>#N/A</v>
      </c>
      <c r="Y1091" s="7" t="e">
        <f>IF(VLOOKUP($A1091,'Concrete Beam Schedule'!$A$2:$Q$2902,Y$2,0)&lt;&gt;I1091,"Beam Revised","")</f>
        <v>#N/A</v>
      </c>
      <c r="Z1091" s="7" t="e">
        <f>IF(VLOOKUP($A1091,'Concrete Beam Schedule'!$A$2:$Q$2902,Z$2,0)&lt;&gt;J1091,"Beam Revised","")</f>
        <v>#N/A</v>
      </c>
      <c r="AA1091" s="7" t="e">
        <f>IF(VLOOKUP($A1091,'Concrete Beam Schedule'!$A$2:$Q$2902,AA$2,0)&lt;&gt;K1091,"Beam Revised","")</f>
        <v>#N/A</v>
      </c>
      <c r="AB1091" s="7" t="e">
        <f>IF(VLOOKUP($A1091,'Concrete Beam Schedule'!$A$2:$Q$2902,AB$2,0)&lt;&gt;L1091,"Beam Revised","")</f>
        <v>#N/A</v>
      </c>
      <c r="AC1091" s="7" t="e">
        <f>IF(VLOOKUP($A1091,'Concrete Beam Schedule'!$A$2:$Q$2902,AC$2,0)&lt;&gt;M1091,"Beam Revised","")</f>
        <v>#N/A</v>
      </c>
      <c r="AD1091" s="7" t="e">
        <f>IF(VLOOKUP($A1091,'Concrete Beam Schedule'!$A$2:$Q$2902,AD$2,0)&lt;&gt;N1091,"Beam Revised","")</f>
        <v>#N/A</v>
      </c>
      <c r="AE1091" s="7" t="e">
        <f>IF(VLOOKUP($A1091,'Concrete Beam Schedule'!$A$2:$Q$2902,AE$2,0)&lt;&gt;O1091,"Beam Revised","")</f>
        <v>#N/A</v>
      </c>
    </row>
    <row r="1092" spans="17:31" ht="13.2" x14ac:dyDescent="0.25">
      <c r="Q1092" s="7">
        <f t="shared" ref="Q1092:Q1155" si="17">A1092</f>
        <v>0</v>
      </c>
      <c r="R1092" s="7" t="e">
        <f>IF(VLOOKUP($A1092,'Concrete Beam Schedule'!$A$2:$Q$2902,R$2,0)&lt;&gt;B1092,VLOOKUP($A1092,'Concrete Beam Schedule'!$A$2:$Q$2902,R$2,0),"")</f>
        <v>#N/A</v>
      </c>
      <c r="S1092" s="7" t="e">
        <f>IF(VLOOKUP($A1092,'Concrete Beam Schedule'!$A$2:$Q$2902,S$2,0)&lt;&gt;C1092,VLOOKUP($A1092,'Concrete Beam Schedule'!$A$2:$Q$2902,S$2,0),"")</f>
        <v>#N/A</v>
      </c>
      <c r="T1092" s="7" t="e">
        <f>IF(VLOOKUP($A1092,'Concrete Beam Schedule'!$A$2:$Q$2902,T$2,0)&lt;&gt;D1092,"Beam Revised","")</f>
        <v>#N/A</v>
      </c>
      <c r="U1092" s="7" t="e">
        <f>IF(VLOOKUP($A1092,'Concrete Beam Schedule'!$A$2:$Q$2902,U$2,0)&lt;&gt;E1092,"Beam Revised","")</f>
        <v>#N/A</v>
      </c>
      <c r="V1092" s="7" t="e">
        <f>IF(VLOOKUP($A1092,'Concrete Beam Schedule'!$A$2:$Q$2902,V$2,0)&lt;&gt;F1092,"Beam Revised","")</f>
        <v>#N/A</v>
      </c>
      <c r="W1092" s="7" t="e">
        <f>IF(VLOOKUP($A1092,'Concrete Beam Schedule'!$A$2:$Q$2902,W$2,0)&lt;&gt;G1092,"Beam Revised","")</f>
        <v>#N/A</v>
      </c>
      <c r="X1092" s="7" t="e">
        <f>IF(VLOOKUP($A1092,'Concrete Beam Schedule'!$A$2:$Q$2902,X$2,0)&lt;&gt;H1092,"Beam Revised","")</f>
        <v>#N/A</v>
      </c>
      <c r="Y1092" s="7" t="e">
        <f>IF(VLOOKUP($A1092,'Concrete Beam Schedule'!$A$2:$Q$2902,Y$2,0)&lt;&gt;I1092,"Beam Revised","")</f>
        <v>#N/A</v>
      </c>
      <c r="Z1092" s="7" t="e">
        <f>IF(VLOOKUP($A1092,'Concrete Beam Schedule'!$A$2:$Q$2902,Z$2,0)&lt;&gt;J1092,"Beam Revised","")</f>
        <v>#N/A</v>
      </c>
      <c r="AA1092" s="7" t="e">
        <f>IF(VLOOKUP($A1092,'Concrete Beam Schedule'!$A$2:$Q$2902,AA$2,0)&lt;&gt;K1092,"Beam Revised","")</f>
        <v>#N/A</v>
      </c>
      <c r="AB1092" s="7" t="e">
        <f>IF(VLOOKUP($A1092,'Concrete Beam Schedule'!$A$2:$Q$2902,AB$2,0)&lt;&gt;L1092,"Beam Revised","")</f>
        <v>#N/A</v>
      </c>
      <c r="AC1092" s="7" t="e">
        <f>IF(VLOOKUP($A1092,'Concrete Beam Schedule'!$A$2:$Q$2902,AC$2,0)&lt;&gt;M1092,"Beam Revised","")</f>
        <v>#N/A</v>
      </c>
      <c r="AD1092" s="7" t="e">
        <f>IF(VLOOKUP($A1092,'Concrete Beam Schedule'!$A$2:$Q$2902,AD$2,0)&lt;&gt;N1092,"Beam Revised","")</f>
        <v>#N/A</v>
      </c>
      <c r="AE1092" s="7" t="e">
        <f>IF(VLOOKUP($A1092,'Concrete Beam Schedule'!$A$2:$Q$2902,AE$2,0)&lt;&gt;O1092,"Beam Revised","")</f>
        <v>#N/A</v>
      </c>
    </row>
    <row r="1093" spans="17:31" ht="13.2" x14ac:dyDescent="0.25">
      <c r="Q1093" s="7">
        <f t="shared" si="17"/>
        <v>0</v>
      </c>
      <c r="R1093" s="7" t="e">
        <f>IF(VLOOKUP($A1093,'Concrete Beam Schedule'!$A$2:$Q$2902,R$2,0)&lt;&gt;B1093,VLOOKUP($A1093,'Concrete Beam Schedule'!$A$2:$Q$2902,R$2,0),"")</f>
        <v>#N/A</v>
      </c>
      <c r="S1093" s="7" t="e">
        <f>IF(VLOOKUP($A1093,'Concrete Beam Schedule'!$A$2:$Q$2902,S$2,0)&lt;&gt;C1093,VLOOKUP($A1093,'Concrete Beam Schedule'!$A$2:$Q$2902,S$2,0),"")</f>
        <v>#N/A</v>
      </c>
      <c r="T1093" s="7" t="e">
        <f>IF(VLOOKUP($A1093,'Concrete Beam Schedule'!$A$2:$Q$2902,T$2,0)&lt;&gt;D1093,"Beam Revised","")</f>
        <v>#N/A</v>
      </c>
      <c r="U1093" s="7" t="e">
        <f>IF(VLOOKUP($A1093,'Concrete Beam Schedule'!$A$2:$Q$2902,U$2,0)&lt;&gt;E1093,"Beam Revised","")</f>
        <v>#N/A</v>
      </c>
      <c r="V1093" s="7" t="e">
        <f>IF(VLOOKUP($A1093,'Concrete Beam Schedule'!$A$2:$Q$2902,V$2,0)&lt;&gt;F1093,"Beam Revised","")</f>
        <v>#N/A</v>
      </c>
      <c r="W1093" s="7" t="e">
        <f>IF(VLOOKUP($A1093,'Concrete Beam Schedule'!$A$2:$Q$2902,W$2,0)&lt;&gt;G1093,"Beam Revised","")</f>
        <v>#N/A</v>
      </c>
      <c r="X1093" s="7" t="e">
        <f>IF(VLOOKUP($A1093,'Concrete Beam Schedule'!$A$2:$Q$2902,X$2,0)&lt;&gt;H1093,"Beam Revised","")</f>
        <v>#N/A</v>
      </c>
      <c r="Y1093" s="7" t="e">
        <f>IF(VLOOKUP($A1093,'Concrete Beam Schedule'!$A$2:$Q$2902,Y$2,0)&lt;&gt;I1093,"Beam Revised","")</f>
        <v>#N/A</v>
      </c>
      <c r="Z1093" s="7" t="e">
        <f>IF(VLOOKUP($A1093,'Concrete Beam Schedule'!$A$2:$Q$2902,Z$2,0)&lt;&gt;J1093,"Beam Revised","")</f>
        <v>#N/A</v>
      </c>
      <c r="AA1093" s="7" t="e">
        <f>IF(VLOOKUP($A1093,'Concrete Beam Schedule'!$A$2:$Q$2902,AA$2,0)&lt;&gt;K1093,"Beam Revised","")</f>
        <v>#N/A</v>
      </c>
      <c r="AB1093" s="7" t="e">
        <f>IF(VLOOKUP($A1093,'Concrete Beam Schedule'!$A$2:$Q$2902,AB$2,0)&lt;&gt;L1093,"Beam Revised","")</f>
        <v>#N/A</v>
      </c>
      <c r="AC1093" s="7" t="e">
        <f>IF(VLOOKUP($A1093,'Concrete Beam Schedule'!$A$2:$Q$2902,AC$2,0)&lt;&gt;M1093,"Beam Revised","")</f>
        <v>#N/A</v>
      </c>
      <c r="AD1093" s="7" t="e">
        <f>IF(VLOOKUP($A1093,'Concrete Beam Schedule'!$A$2:$Q$2902,AD$2,0)&lt;&gt;N1093,"Beam Revised","")</f>
        <v>#N/A</v>
      </c>
      <c r="AE1093" s="7" t="e">
        <f>IF(VLOOKUP($A1093,'Concrete Beam Schedule'!$A$2:$Q$2902,AE$2,0)&lt;&gt;O1093,"Beam Revised","")</f>
        <v>#N/A</v>
      </c>
    </row>
    <row r="1094" spans="17:31" ht="13.2" x14ac:dyDescent="0.25">
      <c r="Q1094" s="7">
        <f t="shared" si="17"/>
        <v>0</v>
      </c>
      <c r="R1094" s="7" t="e">
        <f>IF(VLOOKUP($A1094,'Concrete Beam Schedule'!$A$2:$Q$2902,R$2,0)&lt;&gt;B1094,VLOOKUP($A1094,'Concrete Beam Schedule'!$A$2:$Q$2902,R$2,0),"")</f>
        <v>#N/A</v>
      </c>
      <c r="S1094" s="7" t="e">
        <f>IF(VLOOKUP($A1094,'Concrete Beam Schedule'!$A$2:$Q$2902,S$2,0)&lt;&gt;C1094,VLOOKUP($A1094,'Concrete Beam Schedule'!$A$2:$Q$2902,S$2,0),"")</f>
        <v>#N/A</v>
      </c>
      <c r="T1094" s="7" t="e">
        <f>IF(VLOOKUP($A1094,'Concrete Beam Schedule'!$A$2:$Q$2902,T$2,0)&lt;&gt;D1094,"Beam Revised","")</f>
        <v>#N/A</v>
      </c>
      <c r="U1094" s="7" t="e">
        <f>IF(VLOOKUP($A1094,'Concrete Beam Schedule'!$A$2:$Q$2902,U$2,0)&lt;&gt;E1094,"Beam Revised","")</f>
        <v>#N/A</v>
      </c>
      <c r="V1094" s="7" t="e">
        <f>IF(VLOOKUP($A1094,'Concrete Beam Schedule'!$A$2:$Q$2902,V$2,0)&lt;&gt;F1094,"Beam Revised","")</f>
        <v>#N/A</v>
      </c>
      <c r="W1094" s="7" t="e">
        <f>IF(VLOOKUP($A1094,'Concrete Beam Schedule'!$A$2:$Q$2902,W$2,0)&lt;&gt;G1094,"Beam Revised","")</f>
        <v>#N/A</v>
      </c>
      <c r="X1094" s="7" t="e">
        <f>IF(VLOOKUP($A1094,'Concrete Beam Schedule'!$A$2:$Q$2902,X$2,0)&lt;&gt;H1094,"Beam Revised","")</f>
        <v>#N/A</v>
      </c>
      <c r="Y1094" s="7" t="e">
        <f>IF(VLOOKUP($A1094,'Concrete Beam Schedule'!$A$2:$Q$2902,Y$2,0)&lt;&gt;I1094,"Beam Revised","")</f>
        <v>#N/A</v>
      </c>
      <c r="Z1094" s="7" t="e">
        <f>IF(VLOOKUP($A1094,'Concrete Beam Schedule'!$A$2:$Q$2902,Z$2,0)&lt;&gt;J1094,"Beam Revised","")</f>
        <v>#N/A</v>
      </c>
      <c r="AA1094" s="7" t="e">
        <f>IF(VLOOKUP($A1094,'Concrete Beam Schedule'!$A$2:$Q$2902,AA$2,0)&lt;&gt;K1094,"Beam Revised","")</f>
        <v>#N/A</v>
      </c>
      <c r="AB1094" s="7" t="e">
        <f>IF(VLOOKUP($A1094,'Concrete Beam Schedule'!$A$2:$Q$2902,AB$2,0)&lt;&gt;L1094,"Beam Revised","")</f>
        <v>#N/A</v>
      </c>
      <c r="AC1094" s="7" t="e">
        <f>IF(VLOOKUP($A1094,'Concrete Beam Schedule'!$A$2:$Q$2902,AC$2,0)&lt;&gt;M1094,"Beam Revised","")</f>
        <v>#N/A</v>
      </c>
      <c r="AD1094" s="7" t="e">
        <f>IF(VLOOKUP($A1094,'Concrete Beam Schedule'!$A$2:$Q$2902,AD$2,0)&lt;&gt;N1094,"Beam Revised","")</f>
        <v>#N/A</v>
      </c>
      <c r="AE1094" s="7" t="e">
        <f>IF(VLOOKUP($A1094,'Concrete Beam Schedule'!$A$2:$Q$2902,AE$2,0)&lt;&gt;O1094,"Beam Revised","")</f>
        <v>#N/A</v>
      </c>
    </row>
    <row r="1095" spans="17:31" ht="13.2" x14ac:dyDescent="0.25">
      <c r="Q1095" s="7">
        <f t="shared" si="17"/>
        <v>0</v>
      </c>
      <c r="R1095" s="7" t="e">
        <f>IF(VLOOKUP($A1095,'Concrete Beam Schedule'!$A$2:$Q$2902,R$2,0)&lt;&gt;B1095,VLOOKUP($A1095,'Concrete Beam Schedule'!$A$2:$Q$2902,R$2,0),"")</f>
        <v>#N/A</v>
      </c>
      <c r="S1095" s="7" t="e">
        <f>IF(VLOOKUP($A1095,'Concrete Beam Schedule'!$A$2:$Q$2902,S$2,0)&lt;&gt;C1095,VLOOKUP($A1095,'Concrete Beam Schedule'!$A$2:$Q$2902,S$2,0),"")</f>
        <v>#N/A</v>
      </c>
      <c r="T1095" s="7" t="e">
        <f>IF(VLOOKUP($A1095,'Concrete Beam Schedule'!$A$2:$Q$2902,T$2,0)&lt;&gt;D1095,"Beam Revised","")</f>
        <v>#N/A</v>
      </c>
      <c r="U1095" s="7" t="e">
        <f>IF(VLOOKUP($A1095,'Concrete Beam Schedule'!$A$2:$Q$2902,U$2,0)&lt;&gt;E1095,"Beam Revised","")</f>
        <v>#N/A</v>
      </c>
      <c r="V1095" s="7" t="e">
        <f>IF(VLOOKUP($A1095,'Concrete Beam Schedule'!$A$2:$Q$2902,V$2,0)&lt;&gt;F1095,"Beam Revised","")</f>
        <v>#N/A</v>
      </c>
      <c r="W1095" s="7" t="e">
        <f>IF(VLOOKUP($A1095,'Concrete Beam Schedule'!$A$2:$Q$2902,W$2,0)&lt;&gt;G1095,"Beam Revised","")</f>
        <v>#N/A</v>
      </c>
      <c r="X1095" s="7" t="e">
        <f>IF(VLOOKUP($A1095,'Concrete Beam Schedule'!$A$2:$Q$2902,X$2,0)&lt;&gt;H1095,"Beam Revised","")</f>
        <v>#N/A</v>
      </c>
      <c r="Y1095" s="7" t="e">
        <f>IF(VLOOKUP($A1095,'Concrete Beam Schedule'!$A$2:$Q$2902,Y$2,0)&lt;&gt;I1095,"Beam Revised","")</f>
        <v>#N/A</v>
      </c>
      <c r="Z1095" s="7" t="e">
        <f>IF(VLOOKUP($A1095,'Concrete Beam Schedule'!$A$2:$Q$2902,Z$2,0)&lt;&gt;J1095,"Beam Revised","")</f>
        <v>#N/A</v>
      </c>
      <c r="AA1095" s="7" t="e">
        <f>IF(VLOOKUP($A1095,'Concrete Beam Schedule'!$A$2:$Q$2902,AA$2,0)&lt;&gt;K1095,"Beam Revised","")</f>
        <v>#N/A</v>
      </c>
      <c r="AB1095" s="7" t="e">
        <f>IF(VLOOKUP($A1095,'Concrete Beam Schedule'!$A$2:$Q$2902,AB$2,0)&lt;&gt;L1095,"Beam Revised","")</f>
        <v>#N/A</v>
      </c>
      <c r="AC1095" s="7" t="e">
        <f>IF(VLOOKUP($A1095,'Concrete Beam Schedule'!$A$2:$Q$2902,AC$2,0)&lt;&gt;M1095,"Beam Revised","")</f>
        <v>#N/A</v>
      </c>
      <c r="AD1095" s="7" t="e">
        <f>IF(VLOOKUP($A1095,'Concrete Beam Schedule'!$A$2:$Q$2902,AD$2,0)&lt;&gt;N1095,"Beam Revised","")</f>
        <v>#N/A</v>
      </c>
      <c r="AE1095" s="7" t="e">
        <f>IF(VLOOKUP($A1095,'Concrete Beam Schedule'!$A$2:$Q$2902,AE$2,0)&lt;&gt;O1095,"Beam Revised","")</f>
        <v>#N/A</v>
      </c>
    </row>
    <row r="1096" spans="17:31" ht="13.2" x14ac:dyDescent="0.25">
      <c r="Q1096" s="7">
        <f t="shared" si="17"/>
        <v>0</v>
      </c>
      <c r="R1096" s="7" t="e">
        <f>IF(VLOOKUP($A1096,'Concrete Beam Schedule'!$A$2:$Q$2902,R$2,0)&lt;&gt;B1096,VLOOKUP($A1096,'Concrete Beam Schedule'!$A$2:$Q$2902,R$2,0),"")</f>
        <v>#N/A</v>
      </c>
      <c r="S1096" s="7" t="e">
        <f>IF(VLOOKUP($A1096,'Concrete Beam Schedule'!$A$2:$Q$2902,S$2,0)&lt;&gt;C1096,VLOOKUP($A1096,'Concrete Beam Schedule'!$A$2:$Q$2902,S$2,0),"")</f>
        <v>#N/A</v>
      </c>
      <c r="T1096" s="7" t="e">
        <f>IF(VLOOKUP($A1096,'Concrete Beam Schedule'!$A$2:$Q$2902,T$2,0)&lt;&gt;D1096,"Beam Revised","")</f>
        <v>#N/A</v>
      </c>
      <c r="U1096" s="7" t="e">
        <f>IF(VLOOKUP($A1096,'Concrete Beam Schedule'!$A$2:$Q$2902,U$2,0)&lt;&gt;E1096,"Beam Revised","")</f>
        <v>#N/A</v>
      </c>
      <c r="V1096" s="7" t="e">
        <f>IF(VLOOKUP($A1096,'Concrete Beam Schedule'!$A$2:$Q$2902,V$2,0)&lt;&gt;F1096,"Beam Revised","")</f>
        <v>#N/A</v>
      </c>
      <c r="W1096" s="7" t="e">
        <f>IF(VLOOKUP($A1096,'Concrete Beam Schedule'!$A$2:$Q$2902,W$2,0)&lt;&gt;G1096,"Beam Revised","")</f>
        <v>#N/A</v>
      </c>
      <c r="X1096" s="7" t="e">
        <f>IF(VLOOKUP($A1096,'Concrete Beam Schedule'!$A$2:$Q$2902,X$2,0)&lt;&gt;H1096,"Beam Revised","")</f>
        <v>#N/A</v>
      </c>
      <c r="Y1096" s="7" t="e">
        <f>IF(VLOOKUP($A1096,'Concrete Beam Schedule'!$A$2:$Q$2902,Y$2,0)&lt;&gt;I1096,"Beam Revised","")</f>
        <v>#N/A</v>
      </c>
      <c r="Z1096" s="7" t="e">
        <f>IF(VLOOKUP($A1096,'Concrete Beam Schedule'!$A$2:$Q$2902,Z$2,0)&lt;&gt;J1096,"Beam Revised","")</f>
        <v>#N/A</v>
      </c>
      <c r="AA1096" s="7" t="e">
        <f>IF(VLOOKUP($A1096,'Concrete Beam Schedule'!$A$2:$Q$2902,AA$2,0)&lt;&gt;K1096,"Beam Revised","")</f>
        <v>#N/A</v>
      </c>
      <c r="AB1096" s="7" t="e">
        <f>IF(VLOOKUP($A1096,'Concrete Beam Schedule'!$A$2:$Q$2902,AB$2,0)&lt;&gt;L1096,"Beam Revised","")</f>
        <v>#N/A</v>
      </c>
      <c r="AC1096" s="7" t="e">
        <f>IF(VLOOKUP($A1096,'Concrete Beam Schedule'!$A$2:$Q$2902,AC$2,0)&lt;&gt;M1096,"Beam Revised","")</f>
        <v>#N/A</v>
      </c>
      <c r="AD1096" s="7" t="e">
        <f>IF(VLOOKUP($A1096,'Concrete Beam Schedule'!$A$2:$Q$2902,AD$2,0)&lt;&gt;N1096,"Beam Revised","")</f>
        <v>#N/A</v>
      </c>
      <c r="AE1096" s="7" t="e">
        <f>IF(VLOOKUP($A1096,'Concrete Beam Schedule'!$A$2:$Q$2902,AE$2,0)&lt;&gt;O1096,"Beam Revised","")</f>
        <v>#N/A</v>
      </c>
    </row>
    <row r="1097" spans="17:31" ht="13.2" x14ac:dyDescent="0.25">
      <c r="Q1097" s="7">
        <f t="shared" si="17"/>
        <v>0</v>
      </c>
      <c r="R1097" s="7" t="e">
        <f>IF(VLOOKUP($A1097,'Concrete Beam Schedule'!$A$2:$Q$2902,R$2,0)&lt;&gt;B1097,VLOOKUP($A1097,'Concrete Beam Schedule'!$A$2:$Q$2902,R$2,0),"")</f>
        <v>#N/A</v>
      </c>
      <c r="S1097" s="7" t="e">
        <f>IF(VLOOKUP($A1097,'Concrete Beam Schedule'!$A$2:$Q$2902,S$2,0)&lt;&gt;C1097,VLOOKUP($A1097,'Concrete Beam Schedule'!$A$2:$Q$2902,S$2,0),"")</f>
        <v>#N/A</v>
      </c>
      <c r="T1097" s="7" t="e">
        <f>IF(VLOOKUP($A1097,'Concrete Beam Schedule'!$A$2:$Q$2902,T$2,0)&lt;&gt;D1097,"Beam Revised","")</f>
        <v>#N/A</v>
      </c>
      <c r="U1097" s="7" t="e">
        <f>IF(VLOOKUP($A1097,'Concrete Beam Schedule'!$A$2:$Q$2902,U$2,0)&lt;&gt;E1097,"Beam Revised","")</f>
        <v>#N/A</v>
      </c>
      <c r="V1097" s="7" t="e">
        <f>IF(VLOOKUP($A1097,'Concrete Beam Schedule'!$A$2:$Q$2902,V$2,0)&lt;&gt;F1097,"Beam Revised","")</f>
        <v>#N/A</v>
      </c>
      <c r="W1097" s="7" t="e">
        <f>IF(VLOOKUP($A1097,'Concrete Beam Schedule'!$A$2:$Q$2902,W$2,0)&lt;&gt;G1097,"Beam Revised","")</f>
        <v>#N/A</v>
      </c>
      <c r="X1097" s="7" t="e">
        <f>IF(VLOOKUP($A1097,'Concrete Beam Schedule'!$A$2:$Q$2902,X$2,0)&lt;&gt;H1097,"Beam Revised","")</f>
        <v>#N/A</v>
      </c>
      <c r="Y1097" s="7" t="e">
        <f>IF(VLOOKUP($A1097,'Concrete Beam Schedule'!$A$2:$Q$2902,Y$2,0)&lt;&gt;I1097,"Beam Revised","")</f>
        <v>#N/A</v>
      </c>
      <c r="Z1097" s="7" t="e">
        <f>IF(VLOOKUP($A1097,'Concrete Beam Schedule'!$A$2:$Q$2902,Z$2,0)&lt;&gt;J1097,"Beam Revised","")</f>
        <v>#N/A</v>
      </c>
      <c r="AA1097" s="7" t="e">
        <f>IF(VLOOKUP($A1097,'Concrete Beam Schedule'!$A$2:$Q$2902,AA$2,0)&lt;&gt;K1097,"Beam Revised","")</f>
        <v>#N/A</v>
      </c>
      <c r="AB1097" s="7" t="e">
        <f>IF(VLOOKUP($A1097,'Concrete Beam Schedule'!$A$2:$Q$2902,AB$2,0)&lt;&gt;L1097,"Beam Revised","")</f>
        <v>#N/A</v>
      </c>
      <c r="AC1097" s="7" t="e">
        <f>IF(VLOOKUP($A1097,'Concrete Beam Schedule'!$A$2:$Q$2902,AC$2,0)&lt;&gt;M1097,"Beam Revised","")</f>
        <v>#N/A</v>
      </c>
      <c r="AD1097" s="7" t="e">
        <f>IF(VLOOKUP($A1097,'Concrete Beam Schedule'!$A$2:$Q$2902,AD$2,0)&lt;&gt;N1097,"Beam Revised","")</f>
        <v>#N/A</v>
      </c>
      <c r="AE1097" s="7" t="e">
        <f>IF(VLOOKUP($A1097,'Concrete Beam Schedule'!$A$2:$Q$2902,AE$2,0)&lt;&gt;O1097,"Beam Revised","")</f>
        <v>#N/A</v>
      </c>
    </row>
    <row r="1098" spans="17:31" ht="13.2" x14ac:dyDescent="0.25">
      <c r="Q1098" s="7">
        <f t="shared" si="17"/>
        <v>0</v>
      </c>
      <c r="R1098" s="7" t="e">
        <f>IF(VLOOKUP($A1098,'Concrete Beam Schedule'!$A$2:$Q$2902,R$2,0)&lt;&gt;B1098,VLOOKUP($A1098,'Concrete Beam Schedule'!$A$2:$Q$2902,R$2,0),"")</f>
        <v>#N/A</v>
      </c>
      <c r="S1098" s="7" t="e">
        <f>IF(VLOOKUP($A1098,'Concrete Beam Schedule'!$A$2:$Q$2902,S$2,0)&lt;&gt;C1098,VLOOKUP($A1098,'Concrete Beam Schedule'!$A$2:$Q$2902,S$2,0),"")</f>
        <v>#N/A</v>
      </c>
      <c r="T1098" s="7" t="e">
        <f>IF(VLOOKUP($A1098,'Concrete Beam Schedule'!$A$2:$Q$2902,T$2,0)&lt;&gt;D1098,"Beam Revised","")</f>
        <v>#N/A</v>
      </c>
      <c r="U1098" s="7" t="e">
        <f>IF(VLOOKUP($A1098,'Concrete Beam Schedule'!$A$2:$Q$2902,U$2,0)&lt;&gt;E1098,"Beam Revised","")</f>
        <v>#N/A</v>
      </c>
      <c r="V1098" s="7" t="e">
        <f>IF(VLOOKUP($A1098,'Concrete Beam Schedule'!$A$2:$Q$2902,V$2,0)&lt;&gt;F1098,"Beam Revised","")</f>
        <v>#N/A</v>
      </c>
      <c r="W1098" s="7" t="e">
        <f>IF(VLOOKUP($A1098,'Concrete Beam Schedule'!$A$2:$Q$2902,W$2,0)&lt;&gt;G1098,"Beam Revised","")</f>
        <v>#N/A</v>
      </c>
      <c r="X1098" s="7" t="e">
        <f>IF(VLOOKUP($A1098,'Concrete Beam Schedule'!$A$2:$Q$2902,X$2,0)&lt;&gt;H1098,"Beam Revised","")</f>
        <v>#N/A</v>
      </c>
      <c r="Y1098" s="7" t="e">
        <f>IF(VLOOKUP($A1098,'Concrete Beam Schedule'!$A$2:$Q$2902,Y$2,0)&lt;&gt;I1098,"Beam Revised","")</f>
        <v>#N/A</v>
      </c>
      <c r="Z1098" s="7" t="e">
        <f>IF(VLOOKUP($A1098,'Concrete Beam Schedule'!$A$2:$Q$2902,Z$2,0)&lt;&gt;J1098,"Beam Revised","")</f>
        <v>#N/A</v>
      </c>
      <c r="AA1098" s="7" t="e">
        <f>IF(VLOOKUP($A1098,'Concrete Beam Schedule'!$A$2:$Q$2902,AA$2,0)&lt;&gt;K1098,"Beam Revised","")</f>
        <v>#N/A</v>
      </c>
      <c r="AB1098" s="7" t="e">
        <f>IF(VLOOKUP($A1098,'Concrete Beam Schedule'!$A$2:$Q$2902,AB$2,0)&lt;&gt;L1098,"Beam Revised","")</f>
        <v>#N/A</v>
      </c>
      <c r="AC1098" s="7" t="e">
        <f>IF(VLOOKUP($A1098,'Concrete Beam Schedule'!$A$2:$Q$2902,AC$2,0)&lt;&gt;M1098,"Beam Revised","")</f>
        <v>#N/A</v>
      </c>
      <c r="AD1098" s="7" t="e">
        <f>IF(VLOOKUP($A1098,'Concrete Beam Schedule'!$A$2:$Q$2902,AD$2,0)&lt;&gt;N1098,"Beam Revised","")</f>
        <v>#N/A</v>
      </c>
      <c r="AE1098" s="7" t="e">
        <f>IF(VLOOKUP($A1098,'Concrete Beam Schedule'!$A$2:$Q$2902,AE$2,0)&lt;&gt;O1098,"Beam Revised","")</f>
        <v>#N/A</v>
      </c>
    </row>
    <row r="1099" spans="17:31" ht="13.2" x14ac:dyDescent="0.25">
      <c r="Q1099" s="7">
        <f t="shared" si="17"/>
        <v>0</v>
      </c>
      <c r="R1099" s="7" t="e">
        <f>IF(VLOOKUP($A1099,'Concrete Beam Schedule'!$A$2:$Q$2902,R$2,0)&lt;&gt;B1099,VLOOKUP($A1099,'Concrete Beam Schedule'!$A$2:$Q$2902,R$2,0),"")</f>
        <v>#N/A</v>
      </c>
      <c r="S1099" s="7" t="e">
        <f>IF(VLOOKUP($A1099,'Concrete Beam Schedule'!$A$2:$Q$2902,S$2,0)&lt;&gt;C1099,VLOOKUP($A1099,'Concrete Beam Schedule'!$A$2:$Q$2902,S$2,0),"")</f>
        <v>#N/A</v>
      </c>
      <c r="T1099" s="7" t="e">
        <f>IF(VLOOKUP($A1099,'Concrete Beam Schedule'!$A$2:$Q$2902,T$2,0)&lt;&gt;D1099,"Beam Revised","")</f>
        <v>#N/A</v>
      </c>
      <c r="U1099" s="7" t="e">
        <f>IF(VLOOKUP($A1099,'Concrete Beam Schedule'!$A$2:$Q$2902,U$2,0)&lt;&gt;E1099,"Beam Revised","")</f>
        <v>#N/A</v>
      </c>
      <c r="V1099" s="7" t="e">
        <f>IF(VLOOKUP($A1099,'Concrete Beam Schedule'!$A$2:$Q$2902,V$2,0)&lt;&gt;F1099,"Beam Revised","")</f>
        <v>#N/A</v>
      </c>
      <c r="W1099" s="7" t="e">
        <f>IF(VLOOKUP($A1099,'Concrete Beam Schedule'!$A$2:$Q$2902,W$2,0)&lt;&gt;G1099,"Beam Revised","")</f>
        <v>#N/A</v>
      </c>
      <c r="X1099" s="7" t="e">
        <f>IF(VLOOKUP($A1099,'Concrete Beam Schedule'!$A$2:$Q$2902,X$2,0)&lt;&gt;H1099,"Beam Revised","")</f>
        <v>#N/A</v>
      </c>
      <c r="Y1099" s="7" t="e">
        <f>IF(VLOOKUP($A1099,'Concrete Beam Schedule'!$A$2:$Q$2902,Y$2,0)&lt;&gt;I1099,"Beam Revised","")</f>
        <v>#N/A</v>
      </c>
      <c r="Z1099" s="7" t="e">
        <f>IF(VLOOKUP($A1099,'Concrete Beam Schedule'!$A$2:$Q$2902,Z$2,0)&lt;&gt;J1099,"Beam Revised","")</f>
        <v>#N/A</v>
      </c>
      <c r="AA1099" s="7" t="e">
        <f>IF(VLOOKUP($A1099,'Concrete Beam Schedule'!$A$2:$Q$2902,AA$2,0)&lt;&gt;K1099,"Beam Revised","")</f>
        <v>#N/A</v>
      </c>
      <c r="AB1099" s="7" t="e">
        <f>IF(VLOOKUP($A1099,'Concrete Beam Schedule'!$A$2:$Q$2902,AB$2,0)&lt;&gt;L1099,"Beam Revised","")</f>
        <v>#N/A</v>
      </c>
      <c r="AC1099" s="7" t="e">
        <f>IF(VLOOKUP($A1099,'Concrete Beam Schedule'!$A$2:$Q$2902,AC$2,0)&lt;&gt;M1099,"Beam Revised","")</f>
        <v>#N/A</v>
      </c>
      <c r="AD1099" s="7" t="e">
        <f>IF(VLOOKUP($A1099,'Concrete Beam Schedule'!$A$2:$Q$2902,AD$2,0)&lt;&gt;N1099,"Beam Revised","")</f>
        <v>#N/A</v>
      </c>
      <c r="AE1099" s="7" t="e">
        <f>IF(VLOOKUP($A1099,'Concrete Beam Schedule'!$A$2:$Q$2902,AE$2,0)&lt;&gt;O1099,"Beam Revised","")</f>
        <v>#N/A</v>
      </c>
    </row>
    <row r="1100" spans="17:31" ht="13.2" x14ac:dyDescent="0.25">
      <c r="Q1100" s="7">
        <f t="shared" si="17"/>
        <v>0</v>
      </c>
      <c r="R1100" s="7" t="e">
        <f>IF(VLOOKUP($A1100,'Concrete Beam Schedule'!$A$2:$Q$2902,R$2,0)&lt;&gt;B1100,VLOOKUP($A1100,'Concrete Beam Schedule'!$A$2:$Q$2902,R$2,0),"")</f>
        <v>#N/A</v>
      </c>
      <c r="S1100" s="7" t="e">
        <f>IF(VLOOKUP($A1100,'Concrete Beam Schedule'!$A$2:$Q$2902,S$2,0)&lt;&gt;C1100,VLOOKUP($A1100,'Concrete Beam Schedule'!$A$2:$Q$2902,S$2,0),"")</f>
        <v>#N/A</v>
      </c>
      <c r="T1100" s="7" t="e">
        <f>IF(VLOOKUP($A1100,'Concrete Beam Schedule'!$A$2:$Q$2902,T$2,0)&lt;&gt;D1100,"Beam Revised","")</f>
        <v>#N/A</v>
      </c>
      <c r="U1100" s="7" t="e">
        <f>IF(VLOOKUP($A1100,'Concrete Beam Schedule'!$A$2:$Q$2902,U$2,0)&lt;&gt;E1100,"Beam Revised","")</f>
        <v>#N/A</v>
      </c>
      <c r="V1100" s="7" t="e">
        <f>IF(VLOOKUP($A1100,'Concrete Beam Schedule'!$A$2:$Q$2902,V$2,0)&lt;&gt;F1100,"Beam Revised","")</f>
        <v>#N/A</v>
      </c>
      <c r="W1100" s="7" t="e">
        <f>IF(VLOOKUP($A1100,'Concrete Beam Schedule'!$A$2:$Q$2902,W$2,0)&lt;&gt;G1100,"Beam Revised","")</f>
        <v>#N/A</v>
      </c>
      <c r="X1100" s="7" t="e">
        <f>IF(VLOOKUP($A1100,'Concrete Beam Schedule'!$A$2:$Q$2902,X$2,0)&lt;&gt;H1100,"Beam Revised","")</f>
        <v>#N/A</v>
      </c>
      <c r="Y1100" s="7" t="e">
        <f>IF(VLOOKUP($A1100,'Concrete Beam Schedule'!$A$2:$Q$2902,Y$2,0)&lt;&gt;I1100,"Beam Revised","")</f>
        <v>#N/A</v>
      </c>
      <c r="Z1100" s="7" t="e">
        <f>IF(VLOOKUP($A1100,'Concrete Beam Schedule'!$A$2:$Q$2902,Z$2,0)&lt;&gt;J1100,"Beam Revised","")</f>
        <v>#N/A</v>
      </c>
      <c r="AA1100" s="7" t="e">
        <f>IF(VLOOKUP($A1100,'Concrete Beam Schedule'!$A$2:$Q$2902,AA$2,0)&lt;&gt;K1100,"Beam Revised","")</f>
        <v>#N/A</v>
      </c>
      <c r="AB1100" s="7" t="e">
        <f>IF(VLOOKUP($A1100,'Concrete Beam Schedule'!$A$2:$Q$2902,AB$2,0)&lt;&gt;L1100,"Beam Revised","")</f>
        <v>#N/A</v>
      </c>
      <c r="AC1100" s="7" t="e">
        <f>IF(VLOOKUP($A1100,'Concrete Beam Schedule'!$A$2:$Q$2902,AC$2,0)&lt;&gt;M1100,"Beam Revised","")</f>
        <v>#N/A</v>
      </c>
      <c r="AD1100" s="7" t="e">
        <f>IF(VLOOKUP($A1100,'Concrete Beam Schedule'!$A$2:$Q$2902,AD$2,0)&lt;&gt;N1100,"Beam Revised","")</f>
        <v>#N/A</v>
      </c>
      <c r="AE1100" s="7" t="e">
        <f>IF(VLOOKUP($A1100,'Concrete Beam Schedule'!$A$2:$Q$2902,AE$2,0)&lt;&gt;O1100,"Beam Revised","")</f>
        <v>#N/A</v>
      </c>
    </row>
    <row r="1101" spans="17:31" ht="13.2" x14ac:dyDescent="0.25">
      <c r="Q1101" s="7">
        <f t="shared" si="17"/>
        <v>0</v>
      </c>
      <c r="R1101" s="7" t="e">
        <f>IF(VLOOKUP($A1101,'Concrete Beam Schedule'!$A$2:$Q$2902,R$2,0)&lt;&gt;B1101,VLOOKUP($A1101,'Concrete Beam Schedule'!$A$2:$Q$2902,R$2,0),"")</f>
        <v>#N/A</v>
      </c>
      <c r="S1101" s="7" t="e">
        <f>IF(VLOOKUP($A1101,'Concrete Beam Schedule'!$A$2:$Q$2902,S$2,0)&lt;&gt;C1101,VLOOKUP($A1101,'Concrete Beam Schedule'!$A$2:$Q$2902,S$2,0),"")</f>
        <v>#N/A</v>
      </c>
      <c r="T1101" s="7" t="e">
        <f>IF(VLOOKUP($A1101,'Concrete Beam Schedule'!$A$2:$Q$2902,T$2,0)&lt;&gt;D1101,"Beam Revised","")</f>
        <v>#N/A</v>
      </c>
      <c r="U1101" s="7" t="e">
        <f>IF(VLOOKUP($A1101,'Concrete Beam Schedule'!$A$2:$Q$2902,U$2,0)&lt;&gt;E1101,"Beam Revised","")</f>
        <v>#N/A</v>
      </c>
      <c r="V1101" s="7" t="e">
        <f>IF(VLOOKUP($A1101,'Concrete Beam Schedule'!$A$2:$Q$2902,V$2,0)&lt;&gt;F1101,"Beam Revised","")</f>
        <v>#N/A</v>
      </c>
      <c r="W1101" s="7" t="e">
        <f>IF(VLOOKUP($A1101,'Concrete Beam Schedule'!$A$2:$Q$2902,W$2,0)&lt;&gt;G1101,"Beam Revised","")</f>
        <v>#N/A</v>
      </c>
      <c r="X1101" s="7" t="e">
        <f>IF(VLOOKUP($A1101,'Concrete Beam Schedule'!$A$2:$Q$2902,X$2,0)&lt;&gt;H1101,"Beam Revised","")</f>
        <v>#N/A</v>
      </c>
      <c r="Y1101" s="7" t="e">
        <f>IF(VLOOKUP($A1101,'Concrete Beam Schedule'!$A$2:$Q$2902,Y$2,0)&lt;&gt;I1101,"Beam Revised","")</f>
        <v>#N/A</v>
      </c>
      <c r="Z1101" s="7" t="e">
        <f>IF(VLOOKUP($A1101,'Concrete Beam Schedule'!$A$2:$Q$2902,Z$2,0)&lt;&gt;J1101,"Beam Revised","")</f>
        <v>#N/A</v>
      </c>
      <c r="AA1101" s="7" t="e">
        <f>IF(VLOOKUP($A1101,'Concrete Beam Schedule'!$A$2:$Q$2902,AA$2,0)&lt;&gt;K1101,"Beam Revised","")</f>
        <v>#N/A</v>
      </c>
      <c r="AB1101" s="7" t="e">
        <f>IF(VLOOKUP($A1101,'Concrete Beam Schedule'!$A$2:$Q$2902,AB$2,0)&lt;&gt;L1101,"Beam Revised","")</f>
        <v>#N/A</v>
      </c>
      <c r="AC1101" s="7" t="e">
        <f>IF(VLOOKUP($A1101,'Concrete Beam Schedule'!$A$2:$Q$2902,AC$2,0)&lt;&gt;M1101,"Beam Revised","")</f>
        <v>#N/A</v>
      </c>
      <c r="AD1101" s="7" t="e">
        <f>IF(VLOOKUP($A1101,'Concrete Beam Schedule'!$A$2:$Q$2902,AD$2,0)&lt;&gt;N1101,"Beam Revised","")</f>
        <v>#N/A</v>
      </c>
      <c r="AE1101" s="7" t="e">
        <f>IF(VLOOKUP($A1101,'Concrete Beam Schedule'!$A$2:$Q$2902,AE$2,0)&lt;&gt;O1101,"Beam Revised","")</f>
        <v>#N/A</v>
      </c>
    </row>
    <row r="1102" spans="17:31" ht="13.2" x14ac:dyDescent="0.25">
      <c r="Q1102" s="7">
        <f t="shared" si="17"/>
        <v>0</v>
      </c>
      <c r="R1102" s="7" t="e">
        <f>IF(VLOOKUP($A1102,'Concrete Beam Schedule'!$A$2:$Q$2902,R$2,0)&lt;&gt;B1102,VLOOKUP($A1102,'Concrete Beam Schedule'!$A$2:$Q$2902,R$2,0),"")</f>
        <v>#N/A</v>
      </c>
      <c r="S1102" s="7" t="e">
        <f>IF(VLOOKUP($A1102,'Concrete Beam Schedule'!$A$2:$Q$2902,S$2,0)&lt;&gt;C1102,VLOOKUP($A1102,'Concrete Beam Schedule'!$A$2:$Q$2902,S$2,0),"")</f>
        <v>#N/A</v>
      </c>
      <c r="T1102" s="7" t="e">
        <f>IF(VLOOKUP($A1102,'Concrete Beam Schedule'!$A$2:$Q$2902,T$2,0)&lt;&gt;D1102,"Beam Revised","")</f>
        <v>#N/A</v>
      </c>
      <c r="U1102" s="7" t="e">
        <f>IF(VLOOKUP($A1102,'Concrete Beam Schedule'!$A$2:$Q$2902,U$2,0)&lt;&gt;E1102,"Beam Revised","")</f>
        <v>#N/A</v>
      </c>
      <c r="V1102" s="7" t="e">
        <f>IF(VLOOKUP($A1102,'Concrete Beam Schedule'!$A$2:$Q$2902,V$2,0)&lt;&gt;F1102,"Beam Revised","")</f>
        <v>#N/A</v>
      </c>
      <c r="W1102" s="7" t="e">
        <f>IF(VLOOKUP($A1102,'Concrete Beam Schedule'!$A$2:$Q$2902,W$2,0)&lt;&gt;G1102,"Beam Revised","")</f>
        <v>#N/A</v>
      </c>
      <c r="X1102" s="7" t="e">
        <f>IF(VLOOKUP($A1102,'Concrete Beam Schedule'!$A$2:$Q$2902,X$2,0)&lt;&gt;H1102,"Beam Revised","")</f>
        <v>#N/A</v>
      </c>
      <c r="Y1102" s="7" t="e">
        <f>IF(VLOOKUP($A1102,'Concrete Beam Schedule'!$A$2:$Q$2902,Y$2,0)&lt;&gt;I1102,"Beam Revised","")</f>
        <v>#N/A</v>
      </c>
      <c r="Z1102" s="7" t="e">
        <f>IF(VLOOKUP($A1102,'Concrete Beam Schedule'!$A$2:$Q$2902,Z$2,0)&lt;&gt;J1102,"Beam Revised","")</f>
        <v>#N/A</v>
      </c>
      <c r="AA1102" s="7" t="e">
        <f>IF(VLOOKUP($A1102,'Concrete Beam Schedule'!$A$2:$Q$2902,AA$2,0)&lt;&gt;K1102,"Beam Revised","")</f>
        <v>#N/A</v>
      </c>
      <c r="AB1102" s="7" t="e">
        <f>IF(VLOOKUP($A1102,'Concrete Beam Schedule'!$A$2:$Q$2902,AB$2,0)&lt;&gt;L1102,"Beam Revised","")</f>
        <v>#N/A</v>
      </c>
      <c r="AC1102" s="7" t="e">
        <f>IF(VLOOKUP($A1102,'Concrete Beam Schedule'!$A$2:$Q$2902,AC$2,0)&lt;&gt;M1102,"Beam Revised","")</f>
        <v>#N/A</v>
      </c>
      <c r="AD1102" s="7" t="e">
        <f>IF(VLOOKUP($A1102,'Concrete Beam Schedule'!$A$2:$Q$2902,AD$2,0)&lt;&gt;N1102,"Beam Revised","")</f>
        <v>#N/A</v>
      </c>
      <c r="AE1102" s="7" t="e">
        <f>IF(VLOOKUP($A1102,'Concrete Beam Schedule'!$A$2:$Q$2902,AE$2,0)&lt;&gt;O1102,"Beam Revised","")</f>
        <v>#N/A</v>
      </c>
    </row>
    <row r="1103" spans="17:31" ht="13.2" x14ac:dyDescent="0.25">
      <c r="Q1103" s="7">
        <f t="shared" si="17"/>
        <v>0</v>
      </c>
      <c r="R1103" s="7" t="e">
        <f>IF(VLOOKUP($A1103,'Concrete Beam Schedule'!$A$2:$Q$2902,R$2,0)&lt;&gt;B1103,VLOOKUP($A1103,'Concrete Beam Schedule'!$A$2:$Q$2902,R$2,0),"")</f>
        <v>#N/A</v>
      </c>
      <c r="S1103" s="7" t="e">
        <f>IF(VLOOKUP($A1103,'Concrete Beam Schedule'!$A$2:$Q$2902,S$2,0)&lt;&gt;C1103,VLOOKUP($A1103,'Concrete Beam Schedule'!$A$2:$Q$2902,S$2,0),"")</f>
        <v>#N/A</v>
      </c>
      <c r="T1103" s="7" t="e">
        <f>IF(VLOOKUP($A1103,'Concrete Beam Schedule'!$A$2:$Q$2902,T$2,0)&lt;&gt;D1103,"Beam Revised","")</f>
        <v>#N/A</v>
      </c>
      <c r="U1103" s="7" t="e">
        <f>IF(VLOOKUP($A1103,'Concrete Beam Schedule'!$A$2:$Q$2902,U$2,0)&lt;&gt;E1103,"Beam Revised","")</f>
        <v>#N/A</v>
      </c>
      <c r="V1103" s="7" t="e">
        <f>IF(VLOOKUP($A1103,'Concrete Beam Schedule'!$A$2:$Q$2902,V$2,0)&lt;&gt;F1103,"Beam Revised","")</f>
        <v>#N/A</v>
      </c>
      <c r="W1103" s="7" t="e">
        <f>IF(VLOOKUP($A1103,'Concrete Beam Schedule'!$A$2:$Q$2902,W$2,0)&lt;&gt;G1103,"Beam Revised","")</f>
        <v>#N/A</v>
      </c>
      <c r="X1103" s="7" t="e">
        <f>IF(VLOOKUP($A1103,'Concrete Beam Schedule'!$A$2:$Q$2902,X$2,0)&lt;&gt;H1103,"Beam Revised","")</f>
        <v>#N/A</v>
      </c>
      <c r="Y1103" s="7" t="e">
        <f>IF(VLOOKUP($A1103,'Concrete Beam Schedule'!$A$2:$Q$2902,Y$2,0)&lt;&gt;I1103,"Beam Revised","")</f>
        <v>#N/A</v>
      </c>
      <c r="Z1103" s="7" t="e">
        <f>IF(VLOOKUP($A1103,'Concrete Beam Schedule'!$A$2:$Q$2902,Z$2,0)&lt;&gt;J1103,"Beam Revised","")</f>
        <v>#N/A</v>
      </c>
      <c r="AA1103" s="7" t="e">
        <f>IF(VLOOKUP($A1103,'Concrete Beam Schedule'!$A$2:$Q$2902,AA$2,0)&lt;&gt;K1103,"Beam Revised","")</f>
        <v>#N/A</v>
      </c>
      <c r="AB1103" s="7" t="e">
        <f>IF(VLOOKUP($A1103,'Concrete Beam Schedule'!$A$2:$Q$2902,AB$2,0)&lt;&gt;L1103,"Beam Revised","")</f>
        <v>#N/A</v>
      </c>
      <c r="AC1103" s="7" t="e">
        <f>IF(VLOOKUP($A1103,'Concrete Beam Schedule'!$A$2:$Q$2902,AC$2,0)&lt;&gt;M1103,"Beam Revised","")</f>
        <v>#N/A</v>
      </c>
      <c r="AD1103" s="7" t="e">
        <f>IF(VLOOKUP($A1103,'Concrete Beam Schedule'!$A$2:$Q$2902,AD$2,0)&lt;&gt;N1103,"Beam Revised","")</f>
        <v>#N/A</v>
      </c>
      <c r="AE1103" s="7" t="e">
        <f>IF(VLOOKUP($A1103,'Concrete Beam Schedule'!$A$2:$Q$2902,AE$2,0)&lt;&gt;O1103,"Beam Revised","")</f>
        <v>#N/A</v>
      </c>
    </row>
    <row r="1104" spans="17:31" ht="13.2" x14ac:dyDescent="0.25">
      <c r="Q1104" s="7">
        <f t="shared" si="17"/>
        <v>0</v>
      </c>
      <c r="R1104" s="7" t="e">
        <f>IF(VLOOKUP($A1104,'Concrete Beam Schedule'!$A$2:$Q$2902,R$2,0)&lt;&gt;B1104,VLOOKUP($A1104,'Concrete Beam Schedule'!$A$2:$Q$2902,R$2,0),"")</f>
        <v>#N/A</v>
      </c>
      <c r="S1104" s="7" t="e">
        <f>IF(VLOOKUP($A1104,'Concrete Beam Schedule'!$A$2:$Q$2902,S$2,0)&lt;&gt;C1104,VLOOKUP($A1104,'Concrete Beam Schedule'!$A$2:$Q$2902,S$2,0),"")</f>
        <v>#N/A</v>
      </c>
      <c r="T1104" s="7" t="e">
        <f>IF(VLOOKUP($A1104,'Concrete Beam Schedule'!$A$2:$Q$2902,T$2,0)&lt;&gt;D1104,"Beam Revised","")</f>
        <v>#N/A</v>
      </c>
      <c r="U1104" s="7" t="e">
        <f>IF(VLOOKUP($A1104,'Concrete Beam Schedule'!$A$2:$Q$2902,U$2,0)&lt;&gt;E1104,"Beam Revised","")</f>
        <v>#N/A</v>
      </c>
      <c r="V1104" s="7" t="e">
        <f>IF(VLOOKUP($A1104,'Concrete Beam Schedule'!$A$2:$Q$2902,V$2,0)&lt;&gt;F1104,"Beam Revised","")</f>
        <v>#N/A</v>
      </c>
      <c r="W1104" s="7" t="e">
        <f>IF(VLOOKUP($A1104,'Concrete Beam Schedule'!$A$2:$Q$2902,W$2,0)&lt;&gt;G1104,"Beam Revised","")</f>
        <v>#N/A</v>
      </c>
      <c r="X1104" s="7" t="e">
        <f>IF(VLOOKUP($A1104,'Concrete Beam Schedule'!$A$2:$Q$2902,X$2,0)&lt;&gt;H1104,"Beam Revised","")</f>
        <v>#N/A</v>
      </c>
      <c r="Y1104" s="7" t="e">
        <f>IF(VLOOKUP($A1104,'Concrete Beam Schedule'!$A$2:$Q$2902,Y$2,0)&lt;&gt;I1104,"Beam Revised","")</f>
        <v>#N/A</v>
      </c>
      <c r="Z1104" s="7" t="e">
        <f>IF(VLOOKUP($A1104,'Concrete Beam Schedule'!$A$2:$Q$2902,Z$2,0)&lt;&gt;J1104,"Beam Revised","")</f>
        <v>#N/A</v>
      </c>
      <c r="AA1104" s="7" t="e">
        <f>IF(VLOOKUP($A1104,'Concrete Beam Schedule'!$A$2:$Q$2902,AA$2,0)&lt;&gt;K1104,"Beam Revised","")</f>
        <v>#N/A</v>
      </c>
      <c r="AB1104" s="7" t="e">
        <f>IF(VLOOKUP($A1104,'Concrete Beam Schedule'!$A$2:$Q$2902,AB$2,0)&lt;&gt;L1104,"Beam Revised","")</f>
        <v>#N/A</v>
      </c>
      <c r="AC1104" s="7" t="e">
        <f>IF(VLOOKUP($A1104,'Concrete Beam Schedule'!$A$2:$Q$2902,AC$2,0)&lt;&gt;M1104,"Beam Revised","")</f>
        <v>#N/A</v>
      </c>
      <c r="AD1104" s="7" t="e">
        <f>IF(VLOOKUP($A1104,'Concrete Beam Schedule'!$A$2:$Q$2902,AD$2,0)&lt;&gt;N1104,"Beam Revised","")</f>
        <v>#N/A</v>
      </c>
      <c r="AE1104" s="7" t="e">
        <f>IF(VLOOKUP($A1104,'Concrete Beam Schedule'!$A$2:$Q$2902,AE$2,0)&lt;&gt;O1104,"Beam Revised","")</f>
        <v>#N/A</v>
      </c>
    </row>
    <row r="1105" spans="17:31" ht="13.2" x14ac:dyDescent="0.25">
      <c r="Q1105" s="7">
        <f t="shared" si="17"/>
        <v>0</v>
      </c>
      <c r="R1105" s="7" t="e">
        <f>IF(VLOOKUP($A1105,'Concrete Beam Schedule'!$A$2:$Q$2902,R$2,0)&lt;&gt;B1105,VLOOKUP($A1105,'Concrete Beam Schedule'!$A$2:$Q$2902,R$2,0),"")</f>
        <v>#N/A</v>
      </c>
      <c r="S1105" s="7" t="e">
        <f>IF(VLOOKUP($A1105,'Concrete Beam Schedule'!$A$2:$Q$2902,S$2,0)&lt;&gt;C1105,VLOOKUP($A1105,'Concrete Beam Schedule'!$A$2:$Q$2902,S$2,0),"")</f>
        <v>#N/A</v>
      </c>
      <c r="T1105" s="7" t="e">
        <f>IF(VLOOKUP($A1105,'Concrete Beam Schedule'!$A$2:$Q$2902,T$2,0)&lt;&gt;D1105,"Beam Revised","")</f>
        <v>#N/A</v>
      </c>
      <c r="U1105" s="7" t="e">
        <f>IF(VLOOKUP($A1105,'Concrete Beam Schedule'!$A$2:$Q$2902,U$2,0)&lt;&gt;E1105,"Beam Revised","")</f>
        <v>#N/A</v>
      </c>
      <c r="V1105" s="7" t="e">
        <f>IF(VLOOKUP($A1105,'Concrete Beam Schedule'!$A$2:$Q$2902,V$2,0)&lt;&gt;F1105,"Beam Revised","")</f>
        <v>#N/A</v>
      </c>
      <c r="W1105" s="7" t="e">
        <f>IF(VLOOKUP($A1105,'Concrete Beam Schedule'!$A$2:$Q$2902,W$2,0)&lt;&gt;G1105,"Beam Revised","")</f>
        <v>#N/A</v>
      </c>
      <c r="X1105" s="7" t="e">
        <f>IF(VLOOKUP($A1105,'Concrete Beam Schedule'!$A$2:$Q$2902,X$2,0)&lt;&gt;H1105,"Beam Revised","")</f>
        <v>#N/A</v>
      </c>
      <c r="Y1105" s="7" t="e">
        <f>IF(VLOOKUP($A1105,'Concrete Beam Schedule'!$A$2:$Q$2902,Y$2,0)&lt;&gt;I1105,"Beam Revised","")</f>
        <v>#N/A</v>
      </c>
      <c r="Z1105" s="7" t="e">
        <f>IF(VLOOKUP($A1105,'Concrete Beam Schedule'!$A$2:$Q$2902,Z$2,0)&lt;&gt;J1105,"Beam Revised","")</f>
        <v>#N/A</v>
      </c>
      <c r="AA1105" s="7" t="e">
        <f>IF(VLOOKUP($A1105,'Concrete Beam Schedule'!$A$2:$Q$2902,AA$2,0)&lt;&gt;K1105,"Beam Revised","")</f>
        <v>#N/A</v>
      </c>
      <c r="AB1105" s="7" t="e">
        <f>IF(VLOOKUP($A1105,'Concrete Beam Schedule'!$A$2:$Q$2902,AB$2,0)&lt;&gt;L1105,"Beam Revised","")</f>
        <v>#N/A</v>
      </c>
      <c r="AC1105" s="7" t="e">
        <f>IF(VLOOKUP($A1105,'Concrete Beam Schedule'!$A$2:$Q$2902,AC$2,0)&lt;&gt;M1105,"Beam Revised","")</f>
        <v>#N/A</v>
      </c>
      <c r="AD1105" s="7" t="e">
        <f>IF(VLOOKUP($A1105,'Concrete Beam Schedule'!$A$2:$Q$2902,AD$2,0)&lt;&gt;N1105,"Beam Revised","")</f>
        <v>#N/A</v>
      </c>
      <c r="AE1105" s="7" t="e">
        <f>IF(VLOOKUP($A1105,'Concrete Beam Schedule'!$A$2:$Q$2902,AE$2,0)&lt;&gt;O1105,"Beam Revised","")</f>
        <v>#N/A</v>
      </c>
    </row>
    <row r="1106" spans="17:31" ht="13.2" x14ac:dyDescent="0.25">
      <c r="Q1106" s="7">
        <f t="shared" si="17"/>
        <v>0</v>
      </c>
      <c r="R1106" s="7" t="e">
        <f>IF(VLOOKUP($A1106,'Concrete Beam Schedule'!$A$2:$Q$2902,R$2,0)&lt;&gt;B1106,VLOOKUP($A1106,'Concrete Beam Schedule'!$A$2:$Q$2902,R$2,0),"")</f>
        <v>#N/A</v>
      </c>
      <c r="S1106" s="7" t="e">
        <f>IF(VLOOKUP($A1106,'Concrete Beam Schedule'!$A$2:$Q$2902,S$2,0)&lt;&gt;C1106,VLOOKUP($A1106,'Concrete Beam Schedule'!$A$2:$Q$2902,S$2,0),"")</f>
        <v>#N/A</v>
      </c>
      <c r="T1106" s="7" t="e">
        <f>IF(VLOOKUP($A1106,'Concrete Beam Schedule'!$A$2:$Q$2902,T$2,0)&lt;&gt;D1106,"Beam Revised","")</f>
        <v>#N/A</v>
      </c>
      <c r="U1106" s="7" t="e">
        <f>IF(VLOOKUP($A1106,'Concrete Beam Schedule'!$A$2:$Q$2902,U$2,0)&lt;&gt;E1106,"Beam Revised","")</f>
        <v>#N/A</v>
      </c>
      <c r="V1106" s="7" t="e">
        <f>IF(VLOOKUP($A1106,'Concrete Beam Schedule'!$A$2:$Q$2902,V$2,0)&lt;&gt;F1106,"Beam Revised","")</f>
        <v>#N/A</v>
      </c>
      <c r="W1106" s="7" t="e">
        <f>IF(VLOOKUP($A1106,'Concrete Beam Schedule'!$A$2:$Q$2902,W$2,0)&lt;&gt;G1106,"Beam Revised","")</f>
        <v>#N/A</v>
      </c>
      <c r="X1106" s="7" t="e">
        <f>IF(VLOOKUP($A1106,'Concrete Beam Schedule'!$A$2:$Q$2902,X$2,0)&lt;&gt;H1106,"Beam Revised","")</f>
        <v>#N/A</v>
      </c>
      <c r="Y1106" s="7" t="e">
        <f>IF(VLOOKUP($A1106,'Concrete Beam Schedule'!$A$2:$Q$2902,Y$2,0)&lt;&gt;I1106,"Beam Revised","")</f>
        <v>#N/A</v>
      </c>
      <c r="Z1106" s="7" t="e">
        <f>IF(VLOOKUP($A1106,'Concrete Beam Schedule'!$A$2:$Q$2902,Z$2,0)&lt;&gt;J1106,"Beam Revised","")</f>
        <v>#N/A</v>
      </c>
      <c r="AA1106" s="7" t="e">
        <f>IF(VLOOKUP($A1106,'Concrete Beam Schedule'!$A$2:$Q$2902,AA$2,0)&lt;&gt;K1106,"Beam Revised","")</f>
        <v>#N/A</v>
      </c>
      <c r="AB1106" s="7" t="e">
        <f>IF(VLOOKUP($A1106,'Concrete Beam Schedule'!$A$2:$Q$2902,AB$2,0)&lt;&gt;L1106,"Beam Revised","")</f>
        <v>#N/A</v>
      </c>
      <c r="AC1106" s="7" t="e">
        <f>IF(VLOOKUP($A1106,'Concrete Beam Schedule'!$A$2:$Q$2902,AC$2,0)&lt;&gt;M1106,"Beam Revised","")</f>
        <v>#N/A</v>
      </c>
      <c r="AD1106" s="7" t="e">
        <f>IF(VLOOKUP($A1106,'Concrete Beam Schedule'!$A$2:$Q$2902,AD$2,0)&lt;&gt;N1106,"Beam Revised","")</f>
        <v>#N/A</v>
      </c>
      <c r="AE1106" s="7" t="e">
        <f>IF(VLOOKUP($A1106,'Concrete Beam Schedule'!$A$2:$Q$2902,AE$2,0)&lt;&gt;O1106,"Beam Revised","")</f>
        <v>#N/A</v>
      </c>
    </row>
    <row r="1107" spans="17:31" ht="13.2" x14ac:dyDescent="0.25">
      <c r="Q1107" s="7">
        <f t="shared" si="17"/>
        <v>0</v>
      </c>
      <c r="R1107" s="7" t="e">
        <f>IF(VLOOKUP($A1107,'Concrete Beam Schedule'!$A$2:$Q$2902,R$2,0)&lt;&gt;B1107,VLOOKUP($A1107,'Concrete Beam Schedule'!$A$2:$Q$2902,R$2,0),"")</f>
        <v>#N/A</v>
      </c>
      <c r="S1107" s="7" t="e">
        <f>IF(VLOOKUP($A1107,'Concrete Beam Schedule'!$A$2:$Q$2902,S$2,0)&lt;&gt;C1107,VLOOKUP($A1107,'Concrete Beam Schedule'!$A$2:$Q$2902,S$2,0),"")</f>
        <v>#N/A</v>
      </c>
      <c r="T1107" s="7" t="e">
        <f>IF(VLOOKUP($A1107,'Concrete Beam Schedule'!$A$2:$Q$2902,T$2,0)&lt;&gt;D1107,"Beam Revised","")</f>
        <v>#N/A</v>
      </c>
      <c r="U1107" s="7" t="e">
        <f>IF(VLOOKUP($A1107,'Concrete Beam Schedule'!$A$2:$Q$2902,U$2,0)&lt;&gt;E1107,"Beam Revised","")</f>
        <v>#N/A</v>
      </c>
      <c r="V1107" s="7" t="e">
        <f>IF(VLOOKUP($A1107,'Concrete Beam Schedule'!$A$2:$Q$2902,V$2,0)&lt;&gt;F1107,"Beam Revised","")</f>
        <v>#N/A</v>
      </c>
      <c r="W1107" s="7" t="e">
        <f>IF(VLOOKUP($A1107,'Concrete Beam Schedule'!$A$2:$Q$2902,W$2,0)&lt;&gt;G1107,"Beam Revised","")</f>
        <v>#N/A</v>
      </c>
      <c r="X1107" s="7" t="e">
        <f>IF(VLOOKUP($A1107,'Concrete Beam Schedule'!$A$2:$Q$2902,X$2,0)&lt;&gt;H1107,"Beam Revised","")</f>
        <v>#N/A</v>
      </c>
      <c r="Y1107" s="7" t="e">
        <f>IF(VLOOKUP($A1107,'Concrete Beam Schedule'!$A$2:$Q$2902,Y$2,0)&lt;&gt;I1107,"Beam Revised","")</f>
        <v>#N/A</v>
      </c>
      <c r="Z1107" s="7" t="e">
        <f>IF(VLOOKUP($A1107,'Concrete Beam Schedule'!$A$2:$Q$2902,Z$2,0)&lt;&gt;J1107,"Beam Revised","")</f>
        <v>#N/A</v>
      </c>
      <c r="AA1107" s="7" t="e">
        <f>IF(VLOOKUP($A1107,'Concrete Beam Schedule'!$A$2:$Q$2902,AA$2,0)&lt;&gt;K1107,"Beam Revised","")</f>
        <v>#N/A</v>
      </c>
      <c r="AB1107" s="7" t="e">
        <f>IF(VLOOKUP($A1107,'Concrete Beam Schedule'!$A$2:$Q$2902,AB$2,0)&lt;&gt;L1107,"Beam Revised","")</f>
        <v>#N/A</v>
      </c>
      <c r="AC1107" s="7" t="e">
        <f>IF(VLOOKUP($A1107,'Concrete Beam Schedule'!$A$2:$Q$2902,AC$2,0)&lt;&gt;M1107,"Beam Revised","")</f>
        <v>#N/A</v>
      </c>
      <c r="AD1107" s="7" t="e">
        <f>IF(VLOOKUP($A1107,'Concrete Beam Schedule'!$A$2:$Q$2902,AD$2,0)&lt;&gt;N1107,"Beam Revised","")</f>
        <v>#N/A</v>
      </c>
      <c r="AE1107" s="7" t="e">
        <f>IF(VLOOKUP($A1107,'Concrete Beam Schedule'!$A$2:$Q$2902,AE$2,0)&lt;&gt;O1107,"Beam Revised","")</f>
        <v>#N/A</v>
      </c>
    </row>
    <row r="1108" spans="17:31" ht="13.2" x14ac:dyDescent="0.25">
      <c r="Q1108" s="7">
        <f t="shared" si="17"/>
        <v>0</v>
      </c>
      <c r="R1108" s="7" t="e">
        <f>IF(VLOOKUP($A1108,'Concrete Beam Schedule'!$A$2:$Q$2902,R$2,0)&lt;&gt;B1108,VLOOKUP($A1108,'Concrete Beam Schedule'!$A$2:$Q$2902,R$2,0),"")</f>
        <v>#N/A</v>
      </c>
      <c r="S1108" s="7" t="e">
        <f>IF(VLOOKUP($A1108,'Concrete Beam Schedule'!$A$2:$Q$2902,S$2,0)&lt;&gt;C1108,VLOOKUP($A1108,'Concrete Beam Schedule'!$A$2:$Q$2902,S$2,0),"")</f>
        <v>#N/A</v>
      </c>
      <c r="T1108" s="7" t="e">
        <f>IF(VLOOKUP($A1108,'Concrete Beam Schedule'!$A$2:$Q$2902,T$2,0)&lt;&gt;D1108,"Beam Revised","")</f>
        <v>#N/A</v>
      </c>
      <c r="U1108" s="7" t="e">
        <f>IF(VLOOKUP($A1108,'Concrete Beam Schedule'!$A$2:$Q$2902,U$2,0)&lt;&gt;E1108,"Beam Revised","")</f>
        <v>#N/A</v>
      </c>
      <c r="V1108" s="7" t="e">
        <f>IF(VLOOKUP($A1108,'Concrete Beam Schedule'!$A$2:$Q$2902,V$2,0)&lt;&gt;F1108,"Beam Revised","")</f>
        <v>#N/A</v>
      </c>
      <c r="W1108" s="7" t="e">
        <f>IF(VLOOKUP($A1108,'Concrete Beam Schedule'!$A$2:$Q$2902,W$2,0)&lt;&gt;G1108,"Beam Revised","")</f>
        <v>#N/A</v>
      </c>
      <c r="X1108" s="7" t="e">
        <f>IF(VLOOKUP($A1108,'Concrete Beam Schedule'!$A$2:$Q$2902,X$2,0)&lt;&gt;H1108,"Beam Revised","")</f>
        <v>#N/A</v>
      </c>
      <c r="Y1108" s="7" t="e">
        <f>IF(VLOOKUP($A1108,'Concrete Beam Schedule'!$A$2:$Q$2902,Y$2,0)&lt;&gt;I1108,"Beam Revised","")</f>
        <v>#N/A</v>
      </c>
      <c r="Z1108" s="7" t="e">
        <f>IF(VLOOKUP($A1108,'Concrete Beam Schedule'!$A$2:$Q$2902,Z$2,0)&lt;&gt;J1108,"Beam Revised","")</f>
        <v>#N/A</v>
      </c>
      <c r="AA1108" s="7" t="e">
        <f>IF(VLOOKUP($A1108,'Concrete Beam Schedule'!$A$2:$Q$2902,AA$2,0)&lt;&gt;K1108,"Beam Revised","")</f>
        <v>#N/A</v>
      </c>
      <c r="AB1108" s="7" t="e">
        <f>IF(VLOOKUP($A1108,'Concrete Beam Schedule'!$A$2:$Q$2902,AB$2,0)&lt;&gt;L1108,"Beam Revised","")</f>
        <v>#N/A</v>
      </c>
      <c r="AC1108" s="7" t="e">
        <f>IF(VLOOKUP($A1108,'Concrete Beam Schedule'!$A$2:$Q$2902,AC$2,0)&lt;&gt;M1108,"Beam Revised","")</f>
        <v>#N/A</v>
      </c>
      <c r="AD1108" s="7" t="e">
        <f>IF(VLOOKUP($A1108,'Concrete Beam Schedule'!$A$2:$Q$2902,AD$2,0)&lt;&gt;N1108,"Beam Revised","")</f>
        <v>#N/A</v>
      </c>
      <c r="AE1108" s="7" t="e">
        <f>IF(VLOOKUP($A1108,'Concrete Beam Schedule'!$A$2:$Q$2902,AE$2,0)&lt;&gt;O1108,"Beam Revised","")</f>
        <v>#N/A</v>
      </c>
    </row>
    <row r="1109" spans="17:31" ht="13.2" x14ac:dyDescent="0.25">
      <c r="Q1109" s="7">
        <f t="shared" si="17"/>
        <v>0</v>
      </c>
      <c r="R1109" s="7" t="e">
        <f>IF(VLOOKUP($A1109,'Concrete Beam Schedule'!$A$2:$Q$2902,R$2,0)&lt;&gt;B1109,VLOOKUP($A1109,'Concrete Beam Schedule'!$A$2:$Q$2902,R$2,0),"")</f>
        <v>#N/A</v>
      </c>
      <c r="S1109" s="7" t="e">
        <f>IF(VLOOKUP($A1109,'Concrete Beam Schedule'!$A$2:$Q$2902,S$2,0)&lt;&gt;C1109,VLOOKUP($A1109,'Concrete Beam Schedule'!$A$2:$Q$2902,S$2,0),"")</f>
        <v>#N/A</v>
      </c>
      <c r="T1109" s="7" t="e">
        <f>IF(VLOOKUP($A1109,'Concrete Beam Schedule'!$A$2:$Q$2902,T$2,0)&lt;&gt;D1109,"Beam Revised","")</f>
        <v>#N/A</v>
      </c>
      <c r="U1109" s="7" t="e">
        <f>IF(VLOOKUP($A1109,'Concrete Beam Schedule'!$A$2:$Q$2902,U$2,0)&lt;&gt;E1109,"Beam Revised","")</f>
        <v>#N/A</v>
      </c>
      <c r="V1109" s="7" t="e">
        <f>IF(VLOOKUP($A1109,'Concrete Beam Schedule'!$A$2:$Q$2902,V$2,0)&lt;&gt;F1109,"Beam Revised","")</f>
        <v>#N/A</v>
      </c>
      <c r="W1109" s="7" t="e">
        <f>IF(VLOOKUP($A1109,'Concrete Beam Schedule'!$A$2:$Q$2902,W$2,0)&lt;&gt;G1109,"Beam Revised","")</f>
        <v>#N/A</v>
      </c>
      <c r="X1109" s="7" t="e">
        <f>IF(VLOOKUP($A1109,'Concrete Beam Schedule'!$A$2:$Q$2902,X$2,0)&lt;&gt;H1109,"Beam Revised","")</f>
        <v>#N/A</v>
      </c>
      <c r="Y1109" s="7" t="e">
        <f>IF(VLOOKUP($A1109,'Concrete Beam Schedule'!$A$2:$Q$2902,Y$2,0)&lt;&gt;I1109,"Beam Revised","")</f>
        <v>#N/A</v>
      </c>
      <c r="Z1109" s="7" t="e">
        <f>IF(VLOOKUP($A1109,'Concrete Beam Schedule'!$A$2:$Q$2902,Z$2,0)&lt;&gt;J1109,"Beam Revised","")</f>
        <v>#N/A</v>
      </c>
      <c r="AA1109" s="7" t="e">
        <f>IF(VLOOKUP($A1109,'Concrete Beam Schedule'!$A$2:$Q$2902,AA$2,0)&lt;&gt;K1109,"Beam Revised","")</f>
        <v>#N/A</v>
      </c>
      <c r="AB1109" s="7" t="e">
        <f>IF(VLOOKUP($A1109,'Concrete Beam Schedule'!$A$2:$Q$2902,AB$2,0)&lt;&gt;L1109,"Beam Revised","")</f>
        <v>#N/A</v>
      </c>
      <c r="AC1109" s="7" t="e">
        <f>IF(VLOOKUP($A1109,'Concrete Beam Schedule'!$A$2:$Q$2902,AC$2,0)&lt;&gt;M1109,"Beam Revised","")</f>
        <v>#N/A</v>
      </c>
      <c r="AD1109" s="7" t="e">
        <f>IF(VLOOKUP($A1109,'Concrete Beam Schedule'!$A$2:$Q$2902,AD$2,0)&lt;&gt;N1109,"Beam Revised","")</f>
        <v>#N/A</v>
      </c>
      <c r="AE1109" s="7" t="e">
        <f>IF(VLOOKUP($A1109,'Concrete Beam Schedule'!$A$2:$Q$2902,AE$2,0)&lt;&gt;O1109,"Beam Revised","")</f>
        <v>#N/A</v>
      </c>
    </row>
    <row r="1110" spans="17:31" ht="13.2" x14ac:dyDescent="0.25">
      <c r="Q1110" s="7">
        <f t="shared" si="17"/>
        <v>0</v>
      </c>
      <c r="R1110" s="7" t="e">
        <f>IF(VLOOKUP($A1110,'Concrete Beam Schedule'!$A$2:$Q$2902,R$2,0)&lt;&gt;B1110,VLOOKUP($A1110,'Concrete Beam Schedule'!$A$2:$Q$2902,R$2,0),"")</f>
        <v>#N/A</v>
      </c>
      <c r="S1110" s="7" t="e">
        <f>IF(VLOOKUP($A1110,'Concrete Beam Schedule'!$A$2:$Q$2902,S$2,0)&lt;&gt;C1110,VLOOKUP($A1110,'Concrete Beam Schedule'!$A$2:$Q$2902,S$2,0),"")</f>
        <v>#N/A</v>
      </c>
      <c r="T1110" s="7" t="e">
        <f>IF(VLOOKUP($A1110,'Concrete Beam Schedule'!$A$2:$Q$2902,T$2,0)&lt;&gt;D1110,"Beam Revised","")</f>
        <v>#N/A</v>
      </c>
      <c r="U1110" s="7" t="e">
        <f>IF(VLOOKUP($A1110,'Concrete Beam Schedule'!$A$2:$Q$2902,U$2,0)&lt;&gt;E1110,"Beam Revised","")</f>
        <v>#N/A</v>
      </c>
      <c r="V1110" s="7" t="e">
        <f>IF(VLOOKUP($A1110,'Concrete Beam Schedule'!$A$2:$Q$2902,V$2,0)&lt;&gt;F1110,"Beam Revised","")</f>
        <v>#N/A</v>
      </c>
      <c r="W1110" s="7" t="e">
        <f>IF(VLOOKUP($A1110,'Concrete Beam Schedule'!$A$2:$Q$2902,W$2,0)&lt;&gt;G1110,"Beam Revised","")</f>
        <v>#N/A</v>
      </c>
      <c r="X1110" s="7" t="e">
        <f>IF(VLOOKUP($A1110,'Concrete Beam Schedule'!$A$2:$Q$2902,X$2,0)&lt;&gt;H1110,"Beam Revised","")</f>
        <v>#N/A</v>
      </c>
      <c r="Y1110" s="7" t="e">
        <f>IF(VLOOKUP($A1110,'Concrete Beam Schedule'!$A$2:$Q$2902,Y$2,0)&lt;&gt;I1110,"Beam Revised","")</f>
        <v>#N/A</v>
      </c>
      <c r="Z1110" s="7" t="e">
        <f>IF(VLOOKUP($A1110,'Concrete Beam Schedule'!$A$2:$Q$2902,Z$2,0)&lt;&gt;J1110,"Beam Revised","")</f>
        <v>#N/A</v>
      </c>
      <c r="AA1110" s="7" t="e">
        <f>IF(VLOOKUP($A1110,'Concrete Beam Schedule'!$A$2:$Q$2902,AA$2,0)&lt;&gt;K1110,"Beam Revised","")</f>
        <v>#N/A</v>
      </c>
      <c r="AB1110" s="7" t="e">
        <f>IF(VLOOKUP($A1110,'Concrete Beam Schedule'!$A$2:$Q$2902,AB$2,0)&lt;&gt;L1110,"Beam Revised","")</f>
        <v>#N/A</v>
      </c>
      <c r="AC1110" s="7" t="e">
        <f>IF(VLOOKUP($A1110,'Concrete Beam Schedule'!$A$2:$Q$2902,AC$2,0)&lt;&gt;M1110,"Beam Revised","")</f>
        <v>#N/A</v>
      </c>
      <c r="AD1110" s="7" t="e">
        <f>IF(VLOOKUP($A1110,'Concrete Beam Schedule'!$A$2:$Q$2902,AD$2,0)&lt;&gt;N1110,"Beam Revised","")</f>
        <v>#N/A</v>
      </c>
      <c r="AE1110" s="7" t="e">
        <f>IF(VLOOKUP($A1110,'Concrete Beam Schedule'!$A$2:$Q$2902,AE$2,0)&lt;&gt;O1110,"Beam Revised","")</f>
        <v>#N/A</v>
      </c>
    </row>
    <row r="1111" spans="17:31" ht="13.2" x14ac:dyDescent="0.25">
      <c r="Q1111" s="7">
        <f t="shared" si="17"/>
        <v>0</v>
      </c>
      <c r="R1111" s="7" t="e">
        <f>IF(VLOOKUP($A1111,'Concrete Beam Schedule'!$A$2:$Q$2902,R$2,0)&lt;&gt;B1111,VLOOKUP($A1111,'Concrete Beam Schedule'!$A$2:$Q$2902,R$2,0),"")</f>
        <v>#N/A</v>
      </c>
      <c r="S1111" s="7" t="e">
        <f>IF(VLOOKUP($A1111,'Concrete Beam Schedule'!$A$2:$Q$2902,S$2,0)&lt;&gt;C1111,VLOOKUP($A1111,'Concrete Beam Schedule'!$A$2:$Q$2902,S$2,0),"")</f>
        <v>#N/A</v>
      </c>
      <c r="T1111" s="7" t="e">
        <f>IF(VLOOKUP($A1111,'Concrete Beam Schedule'!$A$2:$Q$2902,T$2,0)&lt;&gt;D1111,"Beam Revised","")</f>
        <v>#N/A</v>
      </c>
      <c r="U1111" s="7" t="e">
        <f>IF(VLOOKUP($A1111,'Concrete Beam Schedule'!$A$2:$Q$2902,U$2,0)&lt;&gt;E1111,"Beam Revised","")</f>
        <v>#N/A</v>
      </c>
      <c r="V1111" s="7" t="e">
        <f>IF(VLOOKUP($A1111,'Concrete Beam Schedule'!$A$2:$Q$2902,V$2,0)&lt;&gt;F1111,"Beam Revised","")</f>
        <v>#N/A</v>
      </c>
      <c r="W1111" s="7" t="e">
        <f>IF(VLOOKUP($A1111,'Concrete Beam Schedule'!$A$2:$Q$2902,W$2,0)&lt;&gt;G1111,"Beam Revised","")</f>
        <v>#N/A</v>
      </c>
      <c r="X1111" s="7" t="e">
        <f>IF(VLOOKUP($A1111,'Concrete Beam Schedule'!$A$2:$Q$2902,X$2,0)&lt;&gt;H1111,"Beam Revised","")</f>
        <v>#N/A</v>
      </c>
      <c r="Y1111" s="7" t="e">
        <f>IF(VLOOKUP($A1111,'Concrete Beam Schedule'!$A$2:$Q$2902,Y$2,0)&lt;&gt;I1111,"Beam Revised","")</f>
        <v>#N/A</v>
      </c>
      <c r="Z1111" s="7" t="e">
        <f>IF(VLOOKUP($A1111,'Concrete Beam Schedule'!$A$2:$Q$2902,Z$2,0)&lt;&gt;J1111,"Beam Revised","")</f>
        <v>#N/A</v>
      </c>
      <c r="AA1111" s="7" t="e">
        <f>IF(VLOOKUP($A1111,'Concrete Beam Schedule'!$A$2:$Q$2902,AA$2,0)&lt;&gt;K1111,"Beam Revised","")</f>
        <v>#N/A</v>
      </c>
      <c r="AB1111" s="7" t="e">
        <f>IF(VLOOKUP($A1111,'Concrete Beam Schedule'!$A$2:$Q$2902,AB$2,0)&lt;&gt;L1111,"Beam Revised","")</f>
        <v>#N/A</v>
      </c>
      <c r="AC1111" s="7" t="e">
        <f>IF(VLOOKUP($A1111,'Concrete Beam Schedule'!$A$2:$Q$2902,AC$2,0)&lt;&gt;M1111,"Beam Revised","")</f>
        <v>#N/A</v>
      </c>
      <c r="AD1111" s="7" t="e">
        <f>IF(VLOOKUP($A1111,'Concrete Beam Schedule'!$A$2:$Q$2902,AD$2,0)&lt;&gt;N1111,"Beam Revised","")</f>
        <v>#N/A</v>
      </c>
      <c r="AE1111" s="7" t="e">
        <f>IF(VLOOKUP($A1111,'Concrete Beam Schedule'!$A$2:$Q$2902,AE$2,0)&lt;&gt;O1111,"Beam Revised","")</f>
        <v>#N/A</v>
      </c>
    </row>
    <row r="1112" spans="17:31" ht="13.2" x14ac:dyDescent="0.25">
      <c r="Q1112" s="7">
        <f t="shared" si="17"/>
        <v>0</v>
      </c>
      <c r="R1112" s="7" t="e">
        <f>IF(VLOOKUP($A1112,'Concrete Beam Schedule'!$A$2:$Q$2902,R$2,0)&lt;&gt;B1112,VLOOKUP($A1112,'Concrete Beam Schedule'!$A$2:$Q$2902,R$2,0),"")</f>
        <v>#N/A</v>
      </c>
      <c r="S1112" s="7" t="e">
        <f>IF(VLOOKUP($A1112,'Concrete Beam Schedule'!$A$2:$Q$2902,S$2,0)&lt;&gt;C1112,VLOOKUP($A1112,'Concrete Beam Schedule'!$A$2:$Q$2902,S$2,0),"")</f>
        <v>#N/A</v>
      </c>
      <c r="T1112" s="7" t="e">
        <f>IF(VLOOKUP($A1112,'Concrete Beam Schedule'!$A$2:$Q$2902,T$2,0)&lt;&gt;D1112,"Beam Revised","")</f>
        <v>#N/A</v>
      </c>
      <c r="U1112" s="7" t="e">
        <f>IF(VLOOKUP($A1112,'Concrete Beam Schedule'!$A$2:$Q$2902,U$2,0)&lt;&gt;E1112,"Beam Revised","")</f>
        <v>#N/A</v>
      </c>
      <c r="V1112" s="7" t="e">
        <f>IF(VLOOKUP($A1112,'Concrete Beam Schedule'!$A$2:$Q$2902,V$2,0)&lt;&gt;F1112,"Beam Revised","")</f>
        <v>#N/A</v>
      </c>
      <c r="W1112" s="7" t="e">
        <f>IF(VLOOKUP($A1112,'Concrete Beam Schedule'!$A$2:$Q$2902,W$2,0)&lt;&gt;G1112,"Beam Revised","")</f>
        <v>#N/A</v>
      </c>
      <c r="X1112" s="7" t="e">
        <f>IF(VLOOKUP($A1112,'Concrete Beam Schedule'!$A$2:$Q$2902,X$2,0)&lt;&gt;H1112,"Beam Revised","")</f>
        <v>#N/A</v>
      </c>
      <c r="Y1112" s="7" t="e">
        <f>IF(VLOOKUP($A1112,'Concrete Beam Schedule'!$A$2:$Q$2902,Y$2,0)&lt;&gt;I1112,"Beam Revised","")</f>
        <v>#N/A</v>
      </c>
      <c r="Z1112" s="7" t="e">
        <f>IF(VLOOKUP($A1112,'Concrete Beam Schedule'!$A$2:$Q$2902,Z$2,0)&lt;&gt;J1112,"Beam Revised","")</f>
        <v>#N/A</v>
      </c>
      <c r="AA1112" s="7" t="e">
        <f>IF(VLOOKUP($A1112,'Concrete Beam Schedule'!$A$2:$Q$2902,AA$2,0)&lt;&gt;K1112,"Beam Revised","")</f>
        <v>#N/A</v>
      </c>
      <c r="AB1112" s="7" t="e">
        <f>IF(VLOOKUP($A1112,'Concrete Beam Schedule'!$A$2:$Q$2902,AB$2,0)&lt;&gt;L1112,"Beam Revised","")</f>
        <v>#N/A</v>
      </c>
      <c r="AC1112" s="7" t="e">
        <f>IF(VLOOKUP($A1112,'Concrete Beam Schedule'!$A$2:$Q$2902,AC$2,0)&lt;&gt;M1112,"Beam Revised","")</f>
        <v>#N/A</v>
      </c>
      <c r="AD1112" s="7" t="e">
        <f>IF(VLOOKUP($A1112,'Concrete Beam Schedule'!$A$2:$Q$2902,AD$2,0)&lt;&gt;N1112,"Beam Revised","")</f>
        <v>#N/A</v>
      </c>
      <c r="AE1112" s="7" t="e">
        <f>IF(VLOOKUP($A1112,'Concrete Beam Schedule'!$A$2:$Q$2902,AE$2,0)&lt;&gt;O1112,"Beam Revised","")</f>
        <v>#N/A</v>
      </c>
    </row>
    <row r="1113" spans="17:31" ht="13.2" x14ac:dyDescent="0.25">
      <c r="Q1113" s="7">
        <f t="shared" si="17"/>
        <v>0</v>
      </c>
      <c r="R1113" s="7" t="e">
        <f>IF(VLOOKUP($A1113,'Concrete Beam Schedule'!$A$2:$Q$2902,R$2,0)&lt;&gt;B1113,VLOOKUP($A1113,'Concrete Beam Schedule'!$A$2:$Q$2902,R$2,0),"")</f>
        <v>#N/A</v>
      </c>
      <c r="S1113" s="7" t="e">
        <f>IF(VLOOKUP($A1113,'Concrete Beam Schedule'!$A$2:$Q$2902,S$2,0)&lt;&gt;C1113,VLOOKUP($A1113,'Concrete Beam Schedule'!$A$2:$Q$2902,S$2,0),"")</f>
        <v>#N/A</v>
      </c>
      <c r="T1113" s="7" t="e">
        <f>IF(VLOOKUP($A1113,'Concrete Beam Schedule'!$A$2:$Q$2902,T$2,0)&lt;&gt;D1113,"Beam Revised","")</f>
        <v>#N/A</v>
      </c>
      <c r="U1113" s="7" t="e">
        <f>IF(VLOOKUP($A1113,'Concrete Beam Schedule'!$A$2:$Q$2902,U$2,0)&lt;&gt;E1113,"Beam Revised","")</f>
        <v>#N/A</v>
      </c>
      <c r="V1113" s="7" t="e">
        <f>IF(VLOOKUP($A1113,'Concrete Beam Schedule'!$A$2:$Q$2902,V$2,0)&lt;&gt;F1113,"Beam Revised","")</f>
        <v>#N/A</v>
      </c>
      <c r="W1113" s="7" t="e">
        <f>IF(VLOOKUP($A1113,'Concrete Beam Schedule'!$A$2:$Q$2902,W$2,0)&lt;&gt;G1113,"Beam Revised","")</f>
        <v>#N/A</v>
      </c>
      <c r="X1113" s="7" t="e">
        <f>IF(VLOOKUP($A1113,'Concrete Beam Schedule'!$A$2:$Q$2902,X$2,0)&lt;&gt;H1113,"Beam Revised","")</f>
        <v>#N/A</v>
      </c>
      <c r="Y1113" s="7" t="e">
        <f>IF(VLOOKUP($A1113,'Concrete Beam Schedule'!$A$2:$Q$2902,Y$2,0)&lt;&gt;I1113,"Beam Revised","")</f>
        <v>#N/A</v>
      </c>
      <c r="Z1113" s="7" t="e">
        <f>IF(VLOOKUP($A1113,'Concrete Beam Schedule'!$A$2:$Q$2902,Z$2,0)&lt;&gt;J1113,"Beam Revised","")</f>
        <v>#N/A</v>
      </c>
      <c r="AA1113" s="7" t="e">
        <f>IF(VLOOKUP($A1113,'Concrete Beam Schedule'!$A$2:$Q$2902,AA$2,0)&lt;&gt;K1113,"Beam Revised","")</f>
        <v>#N/A</v>
      </c>
      <c r="AB1113" s="7" t="e">
        <f>IF(VLOOKUP($A1113,'Concrete Beam Schedule'!$A$2:$Q$2902,AB$2,0)&lt;&gt;L1113,"Beam Revised","")</f>
        <v>#N/A</v>
      </c>
      <c r="AC1113" s="7" t="e">
        <f>IF(VLOOKUP($A1113,'Concrete Beam Schedule'!$A$2:$Q$2902,AC$2,0)&lt;&gt;M1113,"Beam Revised","")</f>
        <v>#N/A</v>
      </c>
      <c r="AD1113" s="7" t="e">
        <f>IF(VLOOKUP($A1113,'Concrete Beam Schedule'!$A$2:$Q$2902,AD$2,0)&lt;&gt;N1113,"Beam Revised","")</f>
        <v>#N/A</v>
      </c>
      <c r="AE1113" s="7" t="e">
        <f>IF(VLOOKUP($A1113,'Concrete Beam Schedule'!$A$2:$Q$2902,AE$2,0)&lt;&gt;O1113,"Beam Revised","")</f>
        <v>#N/A</v>
      </c>
    </row>
    <row r="1114" spans="17:31" ht="13.2" x14ac:dyDescent="0.25">
      <c r="Q1114" s="7">
        <f t="shared" si="17"/>
        <v>0</v>
      </c>
      <c r="R1114" s="7" t="e">
        <f>IF(VLOOKUP($A1114,'Concrete Beam Schedule'!$A$2:$Q$2902,R$2,0)&lt;&gt;B1114,VLOOKUP($A1114,'Concrete Beam Schedule'!$A$2:$Q$2902,R$2,0),"")</f>
        <v>#N/A</v>
      </c>
      <c r="S1114" s="7" t="e">
        <f>IF(VLOOKUP($A1114,'Concrete Beam Schedule'!$A$2:$Q$2902,S$2,0)&lt;&gt;C1114,VLOOKUP($A1114,'Concrete Beam Schedule'!$A$2:$Q$2902,S$2,0),"")</f>
        <v>#N/A</v>
      </c>
      <c r="T1114" s="7" t="e">
        <f>IF(VLOOKUP($A1114,'Concrete Beam Schedule'!$A$2:$Q$2902,T$2,0)&lt;&gt;D1114,"Beam Revised","")</f>
        <v>#N/A</v>
      </c>
      <c r="U1114" s="7" t="e">
        <f>IF(VLOOKUP($A1114,'Concrete Beam Schedule'!$A$2:$Q$2902,U$2,0)&lt;&gt;E1114,"Beam Revised","")</f>
        <v>#N/A</v>
      </c>
      <c r="V1114" s="7" t="e">
        <f>IF(VLOOKUP($A1114,'Concrete Beam Schedule'!$A$2:$Q$2902,V$2,0)&lt;&gt;F1114,"Beam Revised","")</f>
        <v>#N/A</v>
      </c>
      <c r="W1114" s="7" t="e">
        <f>IF(VLOOKUP($A1114,'Concrete Beam Schedule'!$A$2:$Q$2902,W$2,0)&lt;&gt;G1114,"Beam Revised","")</f>
        <v>#N/A</v>
      </c>
      <c r="X1114" s="7" t="e">
        <f>IF(VLOOKUP($A1114,'Concrete Beam Schedule'!$A$2:$Q$2902,X$2,0)&lt;&gt;H1114,"Beam Revised","")</f>
        <v>#N/A</v>
      </c>
      <c r="Y1114" s="7" t="e">
        <f>IF(VLOOKUP($A1114,'Concrete Beam Schedule'!$A$2:$Q$2902,Y$2,0)&lt;&gt;I1114,"Beam Revised","")</f>
        <v>#N/A</v>
      </c>
      <c r="Z1114" s="7" t="e">
        <f>IF(VLOOKUP($A1114,'Concrete Beam Schedule'!$A$2:$Q$2902,Z$2,0)&lt;&gt;J1114,"Beam Revised","")</f>
        <v>#N/A</v>
      </c>
      <c r="AA1114" s="7" t="e">
        <f>IF(VLOOKUP($A1114,'Concrete Beam Schedule'!$A$2:$Q$2902,AA$2,0)&lt;&gt;K1114,"Beam Revised","")</f>
        <v>#N/A</v>
      </c>
      <c r="AB1114" s="7" t="e">
        <f>IF(VLOOKUP($A1114,'Concrete Beam Schedule'!$A$2:$Q$2902,AB$2,0)&lt;&gt;L1114,"Beam Revised","")</f>
        <v>#N/A</v>
      </c>
      <c r="AC1114" s="7" t="e">
        <f>IF(VLOOKUP($A1114,'Concrete Beam Schedule'!$A$2:$Q$2902,AC$2,0)&lt;&gt;M1114,"Beam Revised","")</f>
        <v>#N/A</v>
      </c>
      <c r="AD1114" s="7" t="e">
        <f>IF(VLOOKUP($A1114,'Concrete Beam Schedule'!$A$2:$Q$2902,AD$2,0)&lt;&gt;N1114,"Beam Revised","")</f>
        <v>#N/A</v>
      </c>
      <c r="AE1114" s="7" t="e">
        <f>IF(VLOOKUP($A1114,'Concrete Beam Schedule'!$A$2:$Q$2902,AE$2,0)&lt;&gt;O1114,"Beam Revised","")</f>
        <v>#N/A</v>
      </c>
    </row>
    <row r="1115" spans="17:31" ht="13.2" x14ac:dyDescent="0.25">
      <c r="Q1115" s="7">
        <f t="shared" si="17"/>
        <v>0</v>
      </c>
      <c r="R1115" s="7" t="e">
        <f>IF(VLOOKUP($A1115,'Concrete Beam Schedule'!$A$2:$Q$2902,R$2,0)&lt;&gt;B1115,VLOOKUP($A1115,'Concrete Beam Schedule'!$A$2:$Q$2902,R$2,0),"")</f>
        <v>#N/A</v>
      </c>
      <c r="S1115" s="7" t="e">
        <f>IF(VLOOKUP($A1115,'Concrete Beam Schedule'!$A$2:$Q$2902,S$2,0)&lt;&gt;C1115,VLOOKUP($A1115,'Concrete Beam Schedule'!$A$2:$Q$2902,S$2,0),"")</f>
        <v>#N/A</v>
      </c>
      <c r="T1115" s="7" t="e">
        <f>IF(VLOOKUP($A1115,'Concrete Beam Schedule'!$A$2:$Q$2902,T$2,0)&lt;&gt;D1115,"Beam Revised","")</f>
        <v>#N/A</v>
      </c>
      <c r="U1115" s="7" t="e">
        <f>IF(VLOOKUP($A1115,'Concrete Beam Schedule'!$A$2:$Q$2902,U$2,0)&lt;&gt;E1115,"Beam Revised","")</f>
        <v>#N/A</v>
      </c>
      <c r="V1115" s="7" t="e">
        <f>IF(VLOOKUP($A1115,'Concrete Beam Schedule'!$A$2:$Q$2902,V$2,0)&lt;&gt;F1115,"Beam Revised","")</f>
        <v>#N/A</v>
      </c>
      <c r="W1115" s="7" t="e">
        <f>IF(VLOOKUP($A1115,'Concrete Beam Schedule'!$A$2:$Q$2902,W$2,0)&lt;&gt;G1115,"Beam Revised","")</f>
        <v>#N/A</v>
      </c>
      <c r="X1115" s="7" t="e">
        <f>IF(VLOOKUP($A1115,'Concrete Beam Schedule'!$A$2:$Q$2902,X$2,0)&lt;&gt;H1115,"Beam Revised","")</f>
        <v>#N/A</v>
      </c>
      <c r="Y1115" s="7" t="e">
        <f>IF(VLOOKUP($A1115,'Concrete Beam Schedule'!$A$2:$Q$2902,Y$2,0)&lt;&gt;I1115,"Beam Revised","")</f>
        <v>#N/A</v>
      </c>
      <c r="Z1115" s="7" t="e">
        <f>IF(VLOOKUP($A1115,'Concrete Beam Schedule'!$A$2:$Q$2902,Z$2,0)&lt;&gt;J1115,"Beam Revised","")</f>
        <v>#N/A</v>
      </c>
      <c r="AA1115" s="7" t="e">
        <f>IF(VLOOKUP($A1115,'Concrete Beam Schedule'!$A$2:$Q$2902,AA$2,0)&lt;&gt;K1115,"Beam Revised","")</f>
        <v>#N/A</v>
      </c>
      <c r="AB1115" s="7" t="e">
        <f>IF(VLOOKUP($A1115,'Concrete Beam Schedule'!$A$2:$Q$2902,AB$2,0)&lt;&gt;L1115,"Beam Revised","")</f>
        <v>#N/A</v>
      </c>
      <c r="AC1115" s="7" t="e">
        <f>IF(VLOOKUP($A1115,'Concrete Beam Schedule'!$A$2:$Q$2902,AC$2,0)&lt;&gt;M1115,"Beam Revised","")</f>
        <v>#N/A</v>
      </c>
      <c r="AD1115" s="7" t="e">
        <f>IF(VLOOKUP($A1115,'Concrete Beam Schedule'!$A$2:$Q$2902,AD$2,0)&lt;&gt;N1115,"Beam Revised","")</f>
        <v>#N/A</v>
      </c>
      <c r="AE1115" s="7" t="e">
        <f>IF(VLOOKUP($A1115,'Concrete Beam Schedule'!$A$2:$Q$2902,AE$2,0)&lt;&gt;O1115,"Beam Revised","")</f>
        <v>#N/A</v>
      </c>
    </row>
    <row r="1116" spans="17:31" ht="13.2" x14ac:dyDescent="0.25">
      <c r="Q1116" s="7">
        <f t="shared" si="17"/>
        <v>0</v>
      </c>
      <c r="R1116" s="7" t="e">
        <f>IF(VLOOKUP($A1116,'Concrete Beam Schedule'!$A$2:$Q$2902,R$2,0)&lt;&gt;B1116,VLOOKUP($A1116,'Concrete Beam Schedule'!$A$2:$Q$2902,R$2,0),"")</f>
        <v>#N/A</v>
      </c>
      <c r="S1116" s="7" t="e">
        <f>IF(VLOOKUP($A1116,'Concrete Beam Schedule'!$A$2:$Q$2902,S$2,0)&lt;&gt;C1116,VLOOKUP($A1116,'Concrete Beam Schedule'!$A$2:$Q$2902,S$2,0),"")</f>
        <v>#N/A</v>
      </c>
      <c r="T1116" s="7" t="e">
        <f>IF(VLOOKUP($A1116,'Concrete Beam Schedule'!$A$2:$Q$2902,T$2,0)&lt;&gt;D1116,"Beam Revised","")</f>
        <v>#N/A</v>
      </c>
      <c r="U1116" s="7" t="e">
        <f>IF(VLOOKUP($A1116,'Concrete Beam Schedule'!$A$2:$Q$2902,U$2,0)&lt;&gt;E1116,"Beam Revised","")</f>
        <v>#N/A</v>
      </c>
      <c r="V1116" s="7" t="e">
        <f>IF(VLOOKUP($A1116,'Concrete Beam Schedule'!$A$2:$Q$2902,V$2,0)&lt;&gt;F1116,"Beam Revised","")</f>
        <v>#N/A</v>
      </c>
      <c r="W1116" s="7" t="e">
        <f>IF(VLOOKUP($A1116,'Concrete Beam Schedule'!$A$2:$Q$2902,W$2,0)&lt;&gt;G1116,"Beam Revised","")</f>
        <v>#N/A</v>
      </c>
      <c r="X1116" s="7" t="e">
        <f>IF(VLOOKUP($A1116,'Concrete Beam Schedule'!$A$2:$Q$2902,X$2,0)&lt;&gt;H1116,"Beam Revised","")</f>
        <v>#N/A</v>
      </c>
      <c r="Y1116" s="7" t="e">
        <f>IF(VLOOKUP($A1116,'Concrete Beam Schedule'!$A$2:$Q$2902,Y$2,0)&lt;&gt;I1116,"Beam Revised","")</f>
        <v>#N/A</v>
      </c>
      <c r="Z1116" s="7" t="e">
        <f>IF(VLOOKUP($A1116,'Concrete Beam Schedule'!$A$2:$Q$2902,Z$2,0)&lt;&gt;J1116,"Beam Revised","")</f>
        <v>#N/A</v>
      </c>
      <c r="AA1116" s="7" t="e">
        <f>IF(VLOOKUP($A1116,'Concrete Beam Schedule'!$A$2:$Q$2902,AA$2,0)&lt;&gt;K1116,"Beam Revised","")</f>
        <v>#N/A</v>
      </c>
      <c r="AB1116" s="7" t="e">
        <f>IF(VLOOKUP($A1116,'Concrete Beam Schedule'!$A$2:$Q$2902,AB$2,0)&lt;&gt;L1116,"Beam Revised","")</f>
        <v>#N/A</v>
      </c>
      <c r="AC1116" s="7" t="e">
        <f>IF(VLOOKUP($A1116,'Concrete Beam Schedule'!$A$2:$Q$2902,AC$2,0)&lt;&gt;M1116,"Beam Revised","")</f>
        <v>#N/A</v>
      </c>
      <c r="AD1116" s="7" t="e">
        <f>IF(VLOOKUP($A1116,'Concrete Beam Schedule'!$A$2:$Q$2902,AD$2,0)&lt;&gt;N1116,"Beam Revised","")</f>
        <v>#N/A</v>
      </c>
      <c r="AE1116" s="7" t="e">
        <f>IF(VLOOKUP($A1116,'Concrete Beam Schedule'!$A$2:$Q$2902,AE$2,0)&lt;&gt;O1116,"Beam Revised","")</f>
        <v>#N/A</v>
      </c>
    </row>
    <row r="1117" spans="17:31" ht="13.2" x14ac:dyDescent="0.25">
      <c r="Q1117" s="7">
        <f t="shared" si="17"/>
        <v>0</v>
      </c>
      <c r="R1117" s="7" t="e">
        <f>IF(VLOOKUP($A1117,'Concrete Beam Schedule'!$A$2:$Q$2902,R$2,0)&lt;&gt;B1117,VLOOKUP($A1117,'Concrete Beam Schedule'!$A$2:$Q$2902,R$2,0),"")</f>
        <v>#N/A</v>
      </c>
      <c r="S1117" s="7" t="e">
        <f>IF(VLOOKUP($A1117,'Concrete Beam Schedule'!$A$2:$Q$2902,S$2,0)&lt;&gt;C1117,VLOOKUP($A1117,'Concrete Beam Schedule'!$A$2:$Q$2902,S$2,0),"")</f>
        <v>#N/A</v>
      </c>
      <c r="T1117" s="7" t="e">
        <f>IF(VLOOKUP($A1117,'Concrete Beam Schedule'!$A$2:$Q$2902,T$2,0)&lt;&gt;D1117,"Beam Revised","")</f>
        <v>#N/A</v>
      </c>
      <c r="U1117" s="7" t="e">
        <f>IF(VLOOKUP($A1117,'Concrete Beam Schedule'!$A$2:$Q$2902,U$2,0)&lt;&gt;E1117,"Beam Revised","")</f>
        <v>#N/A</v>
      </c>
      <c r="V1117" s="7" t="e">
        <f>IF(VLOOKUP($A1117,'Concrete Beam Schedule'!$A$2:$Q$2902,V$2,0)&lt;&gt;F1117,"Beam Revised","")</f>
        <v>#N/A</v>
      </c>
      <c r="W1117" s="7" t="e">
        <f>IF(VLOOKUP($A1117,'Concrete Beam Schedule'!$A$2:$Q$2902,W$2,0)&lt;&gt;G1117,"Beam Revised","")</f>
        <v>#N/A</v>
      </c>
      <c r="X1117" s="7" t="e">
        <f>IF(VLOOKUP($A1117,'Concrete Beam Schedule'!$A$2:$Q$2902,X$2,0)&lt;&gt;H1117,"Beam Revised","")</f>
        <v>#N/A</v>
      </c>
      <c r="Y1117" s="7" t="e">
        <f>IF(VLOOKUP($A1117,'Concrete Beam Schedule'!$A$2:$Q$2902,Y$2,0)&lt;&gt;I1117,"Beam Revised","")</f>
        <v>#N/A</v>
      </c>
      <c r="Z1117" s="7" t="e">
        <f>IF(VLOOKUP($A1117,'Concrete Beam Schedule'!$A$2:$Q$2902,Z$2,0)&lt;&gt;J1117,"Beam Revised","")</f>
        <v>#N/A</v>
      </c>
      <c r="AA1117" s="7" t="e">
        <f>IF(VLOOKUP($A1117,'Concrete Beam Schedule'!$A$2:$Q$2902,AA$2,0)&lt;&gt;K1117,"Beam Revised","")</f>
        <v>#N/A</v>
      </c>
      <c r="AB1117" s="7" t="e">
        <f>IF(VLOOKUP($A1117,'Concrete Beam Schedule'!$A$2:$Q$2902,AB$2,0)&lt;&gt;L1117,"Beam Revised","")</f>
        <v>#N/A</v>
      </c>
      <c r="AC1117" s="7" t="e">
        <f>IF(VLOOKUP($A1117,'Concrete Beam Schedule'!$A$2:$Q$2902,AC$2,0)&lt;&gt;M1117,"Beam Revised","")</f>
        <v>#N/A</v>
      </c>
      <c r="AD1117" s="7" t="e">
        <f>IF(VLOOKUP($A1117,'Concrete Beam Schedule'!$A$2:$Q$2902,AD$2,0)&lt;&gt;N1117,"Beam Revised","")</f>
        <v>#N/A</v>
      </c>
      <c r="AE1117" s="7" t="e">
        <f>IF(VLOOKUP($A1117,'Concrete Beam Schedule'!$A$2:$Q$2902,AE$2,0)&lt;&gt;O1117,"Beam Revised","")</f>
        <v>#N/A</v>
      </c>
    </row>
    <row r="1118" spans="17:31" ht="13.2" x14ac:dyDescent="0.25">
      <c r="Q1118" s="7">
        <f t="shared" si="17"/>
        <v>0</v>
      </c>
      <c r="R1118" s="7" t="e">
        <f>IF(VLOOKUP($A1118,'Concrete Beam Schedule'!$A$2:$Q$2902,R$2,0)&lt;&gt;B1118,VLOOKUP($A1118,'Concrete Beam Schedule'!$A$2:$Q$2902,R$2,0),"")</f>
        <v>#N/A</v>
      </c>
      <c r="S1118" s="7" t="e">
        <f>IF(VLOOKUP($A1118,'Concrete Beam Schedule'!$A$2:$Q$2902,S$2,0)&lt;&gt;C1118,VLOOKUP($A1118,'Concrete Beam Schedule'!$A$2:$Q$2902,S$2,0),"")</f>
        <v>#N/A</v>
      </c>
      <c r="T1118" s="7" t="e">
        <f>IF(VLOOKUP($A1118,'Concrete Beam Schedule'!$A$2:$Q$2902,T$2,0)&lt;&gt;D1118,"Beam Revised","")</f>
        <v>#N/A</v>
      </c>
      <c r="U1118" s="7" t="e">
        <f>IF(VLOOKUP($A1118,'Concrete Beam Schedule'!$A$2:$Q$2902,U$2,0)&lt;&gt;E1118,"Beam Revised","")</f>
        <v>#N/A</v>
      </c>
      <c r="V1118" s="7" t="e">
        <f>IF(VLOOKUP($A1118,'Concrete Beam Schedule'!$A$2:$Q$2902,V$2,0)&lt;&gt;F1118,"Beam Revised","")</f>
        <v>#N/A</v>
      </c>
      <c r="W1118" s="7" t="e">
        <f>IF(VLOOKUP($A1118,'Concrete Beam Schedule'!$A$2:$Q$2902,W$2,0)&lt;&gt;G1118,"Beam Revised","")</f>
        <v>#N/A</v>
      </c>
      <c r="X1118" s="7" t="e">
        <f>IF(VLOOKUP($A1118,'Concrete Beam Schedule'!$A$2:$Q$2902,X$2,0)&lt;&gt;H1118,"Beam Revised","")</f>
        <v>#N/A</v>
      </c>
      <c r="Y1118" s="7" t="e">
        <f>IF(VLOOKUP($A1118,'Concrete Beam Schedule'!$A$2:$Q$2902,Y$2,0)&lt;&gt;I1118,"Beam Revised","")</f>
        <v>#N/A</v>
      </c>
      <c r="Z1118" s="7" t="e">
        <f>IF(VLOOKUP($A1118,'Concrete Beam Schedule'!$A$2:$Q$2902,Z$2,0)&lt;&gt;J1118,"Beam Revised","")</f>
        <v>#N/A</v>
      </c>
      <c r="AA1118" s="7" t="e">
        <f>IF(VLOOKUP($A1118,'Concrete Beam Schedule'!$A$2:$Q$2902,AA$2,0)&lt;&gt;K1118,"Beam Revised","")</f>
        <v>#N/A</v>
      </c>
      <c r="AB1118" s="7" t="e">
        <f>IF(VLOOKUP($A1118,'Concrete Beam Schedule'!$A$2:$Q$2902,AB$2,0)&lt;&gt;L1118,"Beam Revised","")</f>
        <v>#N/A</v>
      </c>
      <c r="AC1118" s="7" t="e">
        <f>IF(VLOOKUP($A1118,'Concrete Beam Schedule'!$A$2:$Q$2902,AC$2,0)&lt;&gt;M1118,"Beam Revised","")</f>
        <v>#N/A</v>
      </c>
      <c r="AD1118" s="7" t="e">
        <f>IF(VLOOKUP($A1118,'Concrete Beam Schedule'!$A$2:$Q$2902,AD$2,0)&lt;&gt;N1118,"Beam Revised","")</f>
        <v>#N/A</v>
      </c>
      <c r="AE1118" s="7" t="e">
        <f>IF(VLOOKUP($A1118,'Concrete Beam Schedule'!$A$2:$Q$2902,AE$2,0)&lt;&gt;O1118,"Beam Revised","")</f>
        <v>#N/A</v>
      </c>
    </row>
    <row r="1119" spans="17:31" ht="13.2" x14ac:dyDescent="0.25">
      <c r="Q1119" s="7">
        <f t="shared" si="17"/>
        <v>0</v>
      </c>
      <c r="R1119" s="7" t="e">
        <f>IF(VLOOKUP($A1119,'Concrete Beam Schedule'!$A$2:$Q$2902,R$2,0)&lt;&gt;B1119,VLOOKUP($A1119,'Concrete Beam Schedule'!$A$2:$Q$2902,R$2,0),"")</f>
        <v>#N/A</v>
      </c>
      <c r="S1119" s="7" t="e">
        <f>IF(VLOOKUP($A1119,'Concrete Beam Schedule'!$A$2:$Q$2902,S$2,0)&lt;&gt;C1119,VLOOKUP($A1119,'Concrete Beam Schedule'!$A$2:$Q$2902,S$2,0),"")</f>
        <v>#N/A</v>
      </c>
      <c r="T1119" s="7" t="e">
        <f>IF(VLOOKUP($A1119,'Concrete Beam Schedule'!$A$2:$Q$2902,T$2,0)&lt;&gt;D1119,"Beam Revised","")</f>
        <v>#N/A</v>
      </c>
      <c r="U1119" s="7" t="e">
        <f>IF(VLOOKUP($A1119,'Concrete Beam Schedule'!$A$2:$Q$2902,U$2,0)&lt;&gt;E1119,"Beam Revised","")</f>
        <v>#N/A</v>
      </c>
      <c r="V1119" s="7" t="e">
        <f>IF(VLOOKUP($A1119,'Concrete Beam Schedule'!$A$2:$Q$2902,V$2,0)&lt;&gt;F1119,"Beam Revised","")</f>
        <v>#N/A</v>
      </c>
      <c r="W1119" s="7" t="e">
        <f>IF(VLOOKUP($A1119,'Concrete Beam Schedule'!$A$2:$Q$2902,W$2,0)&lt;&gt;G1119,"Beam Revised","")</f>
        <v>#N/A</v>
      </c>
      <c r="X1119" s="7" t="e">
        <f>IF(VLOOKUP($A1119,'Concrete Beam Schedule'!$A$2:$Q$2902,X$2,0)&lt;&gt;H1119,"Beam Revised","")</f>
        <v>#N/A</v>
      </c>
      <c r="Y1119" s="7" t="e">
        <f>IF(VLOOKUP($A1119,'Concrete Beam Schedule'!$A$2:$Q$2902,Y$2,0)&lt;&gt;I1119,"Beam Revised","")</f>
        <v>#N/A</v>
      </c>
      <c r="Z1119" s="7" t="e">
        <f>IF(VLOOKUP($A1119,'Concrete Beam Schedule'!$A$2:$Q$2902,Z$2,0)&lt;&gt;J1119,"Beam Revised","")</f>
        <v>#N/A</v>
      </c>
      <c r="AA1119" s="7" t="e">
        <f>IF(VLOOKUP($A1119,'Concrete Beam Schedule'!$A$2:$Q$2902,AA$2,0)&lt;&gt;K1119,"Beam Revised","")</f>
        <v>#N/A</v>
      </c>
      <c r="AB1119" s="7" t="e">
        <f>IF(VLOOKUP($A1119,'Concrete Beam Schedule'!$A$2:$Q$2902,AB$2,0)&lt;&gt;L1119,"Beam Revised","")</f>
        <v>#N/A</v>
      </c>
      <c r="AC1119" s="7" t="e">
        <f>IF(VLOOKUP($A1119,'Concrete Beam Schedule'!$A$2:$Q$2902,AC$2,0)&lt;&gt;M1119,"Beam Revised","")</f>
        <v>#N/A</v>
      </c>
      <c r="AD1119" s="7" t="e">
        <f>IF(VLOOKUP($A1119,'Concrete Beam Schedule'!$A$2:$Q$2902,AD$2,0)&lt;&gt;N1119,"Beam Revised","")</f>
        <v>#N/A</v>
      </c>
      <c r="AE1119" s="7" t="e">
        <f>IF(VLOOKUP($A1119,'Concrete Beam Schedule'!$A$2:$Q$2902,AE$2,0)&lt;&gt;O1119,"Beam Revised","")</f>
        <v>#N/A</v>
      </c>
    </row>
    <row r="1120" spans="17:31" ht="13.2" x14ac:dyDescent="0.25">
      <c r="Q1120" s="7">
        <f t="shared" si="17"/>
        <v>0</v>
      </c>
      <c r="R1120" s="7" t="e">
        <f>IF(VLOOKUP($A1120,'Concrete Beam Schedule'!$A$2:$Q$2902,R$2,0)&lt;&gt;B1120,VLOOKUP($A1120,'Concrete Beam Schedule'!$A$2:$Q$2902,R$2,0),"")</f>
        <v>#N/A</v>
      </c>
      <c r="S1120" s="7" t="e">
        <f>IF(VLOOKUP($A1120,'Concrete Beam Schedule'!$A$2:$Q$2902,S$2,0)&lt;&gt;C1120,VLOOKUP($A1120,'Concrete Beam Schedule'!$A$2:$Q$2902,S$2,0),"")</f>
        <v>#N/A</v>
      </c>
      <c r="T1120" s="7" t="e">
        <f>IF(VLOOKUP($A1120,'Concrete Beam Schedule'!$A$2:$Q$2902,T$2,0)&lt;&gt;D1120,"Beam Revised","")</f>
        <v>#N/A</v>
      </c>
      <c r="U1120" s="7" t="e">
        <f>IF(VLOOKUP($A1120,'Concrete Beam Schedule'!$A$2:$Q$2902,U$2,0)&lt;&gt;E1120,"Beam Revised","")</f>
        <v>#N/A</v>
      </c>
      <c r="V1120" s="7" t="e">
        <f>IF(VLOOKUP($A1120,'Concrete Beam Schedule'!$A$2:$Q$2902,V$2,0)&lt;&gt;F1120,"Beam Revised","")</f>
        <v>#N/A</v>
      </c>
      <c r="W1120" s="7" t="e">
        <f>IF(VLOOKUP($A1120,'Concrete Beam Schedule'!$A$2:$Q$2902,W$2,0)&lt;&gt;G1120,"Beam Revised","")</f>
        <v>#N/A</v>
      </c>
      <c r="X1120" s="7" t="e">
        <f>IF(VLOOKUP($A1120,'Concrete Beam Schedule'!$A$2:$Q$2902,X$2,0)&lt;&gt;H1120,"Beam Revised","")</f>
        <v>#N/A</v>
      </c>
      <c r="Y1120" s="7" t="e">
        <f>IF(VLOOKUP($A1120,'Concrete Beam Schedule'!$A$2:$Q$2902,Y$2,0)&lt;&gt;I1120,"Beam Revised","")</f>
        <v>#N/A</v>
      </c>
      <c r="Z1120" s="7" t="e">
        <f>IF(VLOOKUP($A1120,'Concrete Beam Schedule'!$A$2:$Q$2902,Z$2,0)&lt;&gt;J1120,"Beam Revised","")</f>
        <v>#N/A</v>
      </c>
      <c r="AA1120" s="7" t="e">
        <f>IF(VLOOKUP($A1120,'Concrete Beam Schedule'!$A$2:$Q$2902,AA$2,0)&lt;&gt;K1120,"Beam Revised","")</f>
        <v>#N/A</v>
      </c>
      <c r="AB1120" s="7" t="e">
        <f>IF(VLOOKUP($A1120,'Concrete Beam Schedule'!$A$2:$Q$2902,AB$2,0)&lt;&gt;L1120,"Beam Revised","")</f>
        <v>#N/A</v>
      </c>
      <c r="AC1120" s="7" t="e">
        <f>IF(VLOOKUP($A1120,'Concrete Beam Schedule'!$A$2:$Q$2902,AC$2,0)&lt;&gt;M1120,"Beam Revised","")</f>
        <v>#N/A</v>
      </c>
      <c r="AD1120" s="7" t="e">
        <f>IF(VLOOKUP($A1120,'Concrete Beam Schedule'!$A$2:$Q$2902,AD$2,0)&lt;&gt;N1120,"Beam Revised","")</f>
        <v>#N/A</v>
      </c>
      <c r="AE1120" s="7" t="e">
        <f>IF(VLOOKUP($A1120,'Concrete Beam Schedule'!$A$2:$Q$2902,AE$2,0)&lt;&gt;O1120,"Beam Revised","")</f>
        <v>#N/A</v>
      </c>
    </row>
    <row r="1121" spans="17:31" ht="13.2" x14ac:dyDescent="0.25">
      <c r="Q1121" s="7">
        <f t="shared" si="17"/>
        <v>0</v>
      </c>
      <c r="R1121" s="7" t="e">
        <f>IF(VLOOKUP($A1121,'Concrete Beam Schedule'!$A$2:$Q$2902,R$2,0)&lt;&gt;B1121,VLOOKUP($A1121,'Concrete Beam Schedule'!$A$2:$Q$2902,R$2,0),"")</f>
        <v>#N/A</v>
      </c>
      <c r="S1121" s="7" t="e">
        <f>IF(VLOOKUP($A1121,'Concrete Beam Schedule'!$A$2:$Q$2902,S$2,0)&lt;&gt;C1121,VLOOKUP($A1121,'Concrete Beam Schedule'!$A$2:$Q$2902,S$2,0),"")</f>
        <v>#N/A</v>
      </c>
      <c r="T1121" s="7" t="e">
        <f>IF(VLOOKUP($A1121,'Concrete Beam Schedule'!$A$2:$Q$2902,T$2,0)&lt;&gt;D1121,"Beam Revised","")</f>
        <v>#N/A</v>
      </c>
      <c r="U1121" s="7" t="e">
        <f>IF(VLOOKUP($A1121,'Concrete Beam Schedule'!$A$2:$Q$2902,U$2,0)&lt;&gt;E1121,"Beam Revised","")</f>
        <v>#N/A</v>
      </c>
      <c r="V1121" s="7" t="e">
        <f>IF(VLOOKUP($A1121,'Concrete Beam Schedule'!$A$2:$Q$2902,V$2,0)&lt;&gt;F1121,"Beam Revised","")</f>
        <v>#N/A</v>
      </c>
      <c r="W1121" s="7" t="e">
        <f>IF(VLOOKUP($A1121,'Concrete Beam Schedule'!$A$2:$Q$2902,W$2,0)&lt;&gt;G1121,"Beam Revised","")</f>
        <v>#N/A</v>
      </c>
      <c r="X1121" s="7" t="e">
        <f>IF(VLOOKUP($A1121,'Concrete Beam Schedule'!$A$2:$Q$2902,X$2,0)&lt;&gt;H1121,"Beam Revised","")</f>
        <v>#N/A</v>
      </c>
      <c r="Y1121" s="7" t="e">
        <f>IF(VLOOKUP($A1121,'Concrete Beam Schedule'!$A$2:$Q$2902,Y$2,0)&lt;&gt;I1121,"Beam Revised","")</f>
        <v>#N/A</v>
      </c>
      <c r="Z1121" s="7" t="e">
        <f>IF(VLOOKUP($A1121,'Concrete Beam Schedule'!$A$2:$Q$2902,Z$2,0)&lt;&gt;J1121,"Beam Revised","")</f>
        <v>#N/A</v>
      </c>
      <c r="AA1121" s="7" t="e">
        <f>IF(VLOOKUP($A1121,'Concrete Beam Schedule'!$A$2:$Q$2902,AA$2,0)&lt;&gt;K1121,"Beam Revised","")</f>
        <v>#N/A</v>
      </c>
      <c r="AB1121" s="7" t="e">
        <f>IF(VLOOKUP($A1121,'Concrete Beam Schedule'!$A$2:$Q$2902,AB$2,0)&lt;&gt;L1121,"Beam Revised","")</f>
        <v>#N/A</v>
      </c>
      <c r="AC1121" s="7" t="e">
        <f>IF(VLOOKUP($A1121,'Concrete Beam Schedule'!$A$2:$Q$2902,AC$2,0)&lt;&gt;M1121,"Beam Revised","")</f>
        <v>#N/A</v>
      </c>
      <c r="AD1121" s="7" t="e">
        <f>IF(VLOOKUP($A1121,'Concrete Beam Schedule'!$A$2:$Q$2902,AD$2,0)&lt;&gt;N1121,"Beam Revised","")</f>
        <v>#N/A</v>
      </c>
      <c r="AE1121" s="7" t="e">
        <f>IF(VLOOKUP($A1121,'Concrete Beam Schedule'!$A$2:$Q$2902,AE$2,0)&lt;&gt;O1121,"Beam Revised","")</f>
        <v>#N/A</v>
      </c>
    </row>
    <row r="1122" spans="17:31" ht="13.2" x14ac:dyDescent="0.25">
      <c r="Q1122" s="7">
        <f t="shared" si="17"/>
        <v>0</v>
      </c>
      <c r="R1122" s="7" t="e">
        <f>IF(VLOOKUP($A1122,'Concrete Beam Schedule'!$A$2:$Q$2902,R$2,0)&lt;&gt;B1122,VLOOKUP($A1122,'Concrete Beam Schedule'!$A$2:$Q$2902,R$2,0),"")</f>
        <v>#N/A</v>
      </c>
      <c r="S1122" s="7" t="e">
        <f>IF(VLOOKUP($A1122,'Concrete Beam Schedule'!$A$2:$Q$2902,S$2,0)&lt;&gt;C1122,VLOOKUP($A1122,'Concrete Beam Schedule'!$A$2:$Q$2902,S$2,0),"")</f>
        <v>#N/A</v>
      </c>
      <c r="T1122" s="7" t="e">
        <f>IF(VLOOKUP($A1122,'Concrete Beam Schedule'!$A$2:$Q$2902,T$2,0)&lt;&gt;D1122,"Beam Revised","")</f>
        <v>#N/A</v>
      </c>
      <c r="U1122" s="7" t="e">
        <f>IF(VLOOKUP($A1122,'Concrete Beam Schedule'!$A$2:$Q$2902,U$2,0)&lt;&gt;E1122,"Beam Revised","")</f>
        <v>#N/A</v>
      </c>
      <c r="V1122" s="7" t="e">
        <f>IF(VLOOKUP($A1122,'Concrete Beam Schedule'!$A$2:$Q$2902,V$2,0)&lt;&gt;F1122,"Beam Revised","")</f>
        <v>#N/A</v>
      </c>
      <c r="W1122" s="7" t="e">
        <f>IF(VLOOKUP($A1122,'Concrete Beam Schedule'!$A$2:$Q$2902,W$2,0)&lt;&gt;G1122,"Beam Revised","")</f>
        <v>#N/A</v>
      </c>
      <c r="X1122" s="7" t="e">
        <f>IF(VLOOKUP($A1122,'Concrete Beam Schedule'!$A$2:$Q$2902,X$2,0)&lt;&gt;H1122,"Beam Revised","")</f>
        <v>#N/A</v>
      </c>
      <c r="Y1122" s="7" t="e">
        <f>IF(VLOOKUP($A1122,'Concrete Beam Schedule'!$A$2:$Q$2902,Y$2,0)&lt;&gt;I1122,"Beam Revised","")</f>
        <v>#N/A</v>
      </c>
      <c r="Z1122" s="7" t="e">
        <f>IF(VLOOKUP($A1122,'Concrete Beam Schedule'!$A$2:$Q$2902,Z$2,0)&lt;&gt;J1122,"Beam Revised","")</f>
        <v>#N/A</v>
      </c>
      <c r="AA1122" s="7" t="e">
        <f>IF(VLOOKUP($A1122,'Concrete Beam Schedule'!$A$2:$Q$2902,AA$2,0)&lt;&gt;K1122,"Beam Revised","")</f>
        <v>#N/A</v>
      </c>
      <c r="AB1122" s="7" t="e">
        <f>IF(VLOOKUP($A1122,'Concrete Beam Schedule'!$A$2:$Q$2902,AB$2,0)&lt;&gt;L1122,"Beam Revised","")</f>
        <v>#N/A</v>
      </c>
      <c r="AC1122" s="7" t="e">
        <f>IF(VLOOKUP($A1122,'Concrete Beam Schedule'!$A$2:$Q$2902,AC$2,0)&lt;&gt;M1122,"Beam Revised","")</f>
        <v>#N/A</v>
      </c>
      <c r="AD1122" s="7" t="e">
        <f>IF(VLOOKUP($A1122,'Concrete Beam Schedule'!$A$2:$Q$2902,AD$2,0)&lt;&gt;N1122,"Beam Revised","")</f>
        <v>#N/A</v>
      </c>
      <c r="AE1122" s="7" t="e">
        <f>IF(VLOOKUP($A1122,'Concrete Beam Schedule'!$A$2:$Q$2902,AE$2,0)&lt;&gt;O1122,"Beam Revised","")</f>
        <v>#N/A</v>
      </c>
    </row>
    <row r="1123" spans="17:31" ht="13.2" x14ac:dyDescent="0.25">
      <c r="Q1123" s="7">
        <f t="shared" si="17"/>
        <v>0</v>
      </c>
      <c r="R1123" s="7" t="e">
        <f>IF(VLOOKUP($A1123,'Concrete Beam Schedule'!$A$2:$Q$2902,R$2,0)&lt;&gt;B1123,VLOOKUP($A1123,'Concrete Beam Schedule'!$A$2:$Q$2902,R$2,0),"")</f>
        <v>#N/A</v>
      </c>
      <c r="S1123" s="7" t="e">
        <f>IF(VLOOKUP($A1123,'Concrete Beam Schedule'!$A$2:$Q$2902,S$2,0)&lt;&gt;C1123,VLOOKUP($A1123,'Concrete Beam Schedule'!$A$2:$Q$2902,S$2,0),"")</f>
        <v>#N/A</v>
      </c>
      <c r="T1123" s="7" t="e">
        <f>IF(VLOOKUP($A1123,'Concrete Beam Schedule'!$A$2:$Q$2902,T$2,0)&lt;&gt;D1123,"Beam Revised","")</f>
        <v>#N/A</v>
      </c>
      <c r="U1123" s="7" t="e">
        <f>IF(VLOOKUP($A1123,'Concrete Beam Schedule'!$A$2:$Q$2902,U$2,0)&lt;&gt;E1123,"Beam Revised","")</f>
        <v>#N/A</v>
      </c>
      <c r="V1123" s="7" t="e">
        <f>IF(VLOOKUP($A1123,'Concrete Beam Schedule'!$A$2:$Q$2902,V$2,0)&lt;&gt;F1123,"Beam Revised","")</f>
        <v>#N/A</v>
      </c>
      <c r="W1123" s="7" t="e">
        <f>IF(VLOOKUP($A1123,'Concrete Beam Schedule'!$A$2:$Q$2902,W$2,0)&lt;&gt;G1123,"Beam Revised","")</f>
        <v>#N/A</v>
      </c>
      <c r="X1123" s="7" t="e">
        <f>IF(VLOOKUP($A1123,'Concrete Beam Schedule'!$A$2:$Q$2902,X$2,0)&lt;&gt;H1123,"Beam Revised","")</f>
        <v>#N/A</v>
      </c>
      <c r="Y1123" s="7" t="e">
        <f>IF(VLOOKUP($A1123,'Concrete Beam Schedule'!$A$2:$Q$2902,Y$2,0)&lt;&gt;I1123,"Beam Revised","")</f>
        <v>#N/A</v>
      </c>
      <c r="Z1123" s="7" t="e">
        <f>IF(VLOOKUP($A1123,'Concrete Beam Schedule'!$A$2:$Q$2902,Z$2,0)&lt;&gt;J1123,"Beam Revised","")</f>
        <v>#N/A</v>
      </c>
      <c r="AA1123" s="7" t="e">
        <f>IF(VLOOKUP($A1123,'Concrete Beam Schedule'!$A$2:$Q$2902,AA$2,0)&lt;&gt;K1123,"Beam Revised","")</f>
        <v>#N/A</v>
      </c>
      <c r="AB1123" s="7" t="e">
        <f>IF(VLOOKUP($A1123,'Concrete Beam Schedule'!$A$2:$Q$2902,AB$2,0)&lt;&gt;L1123,"Beam Revised","")</f>
        <v>#N/A</v>
      </c>
      <c r="AC1123" s="7" t="e">
        <f>IF(VLOOKUP($A1123,'Concrete Beam Schedule'!$A$2:$Q$2902,AC$2,0)&lt;&gt;M1123,"Beam Revised","")</f>
        <v>#N/A</v>
      </c>
      <c r="AD1123" s="7" t="e">
        <f>IF(VLOOKUP($A1123,'Concrete Beam Schedule'!$A$2:$Q$2902,AD$2,0)&lt;&gt;N1123,"Beam Revised","")</f>
        <v>#N/A</v>
      </c>
      <c r="AE1123" s="7" t="e">
        <f>IF(VLOOKUP($A1123,'Concrete Beam Schedule'!$A$2:$Q$2902,AE$2,0)&lt;&gt;O1123,"Beam Revised","")</f>
        <v>#N/A</v>
      </c>
    </row>
    <row r="1124" spans="17:31" ht="13.2" x14ac:dyDescent="0.25">
      <c r="Q1124" s="7">
        <f t="shared" si="17"/>
        <v>0</v>
      </c>
      <c r="R1124" s="7" t="e">
        <f>IF(VLOOKUP($A1124,'Concrete Beam Schedule'!$A$2:$Q$2902,R$2,0)&lt;&gt;B1124,VLOOKUP($A1124,'Concrete Beam Schedule'!$A$2:$Q$2902,R$2,0),"")</f>
        <v>#N/A</v>
      </c>
      <c r="S1124" s="7" t="e">
        <f>IF(VLOOKUP($A1124,'Concrete Beam Schedule'!$A$2:$Q$2902,S$2,0)&lt;&gt;C1124,VLOOKUP($A1124,'Concrete Beam Schedule'!$A$2:$Q$2902,S$2,0),"")</f>
        <v>#N/A</v>
      </c>
      <c r="T1124" s="7" t="e">
        <f>IF(VLOOKUP($A1124,'Concrete Beam Schedule'!$A$2:$Q$2902,T$2,0)&lt;&gt;D1124,"Beam Revised","")</f>
        <v>#N/A</v>
      </c>
      <c r="U1124" s="7" t="e">
        <f>IF(VLOOKUP($A1124,'Concrete Beam Schedule'!$A$2:$Q$2902,U$2,0)&lt;&gt;E1124,"Beam Revised","")</f>
        <v>#N/A</v>
      </c>
      <c r="V1124" s="7" t="e">
        <f>IF(VLOOKUP($A1124,'Concrete Beam Schedule'!$A$2:$Q$2902,V$2,0)&lt;&gt;F1124,"Beam Revised","")</f>
        <v>#N/A</v>
      </c>
      <c r="W1124" s="7" t="e">
        <f>IF(VLOOKUP($A1124,'Concrete Beam Schedule'!$A$2:$Q$2902,W$2,0)&lt;&gt;G1124,"Beam Revised","")</f>
        <v>#N/A</v>
      </c>
      <c r="X1124" s="7" t="e">
        <f>IF(VLOOKUP($A1124,'Concrete Beam Schedule'!$A$2:$Q$2902,X$2,0)&lt;&gt;H1124,"Beam Revised","")</f>
        <v>#N/A</v>
      </c>
      <c r="Y1124" s="7" t="e">
        <f>IF(VLOOKUP($A1124,'Concrete Beam Schedule'!$A$2:$Q$2902,Y$2,0)&lt;&gt;I1124,"Beam Revised","")</f>
        <v>#N/A</v>
      </c>
      <c r="Z1124" s="7" t="e">
        <f>IF(VLOOKUP($A1124,'Concrete Beam Schedule'!$A$2:$Q$2902,Z$2,0)&lt;&gt;J1124,"Beam Revised","")</f>
        <v>#N/A</v>
      </c>
      <c r="AA1124" s="7" t="e">
        <f>IF(VLOOKUP($A1124,'Concrete Beam Schedule'!$A$2:$Q$2902,AA$2,0)&lt;&gt;K1124,"Beam Revised","")</f>
        <v>#N/A</v>
      </c>
      <c r="AB1124" s="7" t="e">
        <f>IF(VLOOKUP($A1124,'Concrete Beam Schedule'!$A$2:$Q$2902,AB$2,0)&lt;&gt;L1124,"Beam Revised","")</f>
        <v>#N/A</v>
      </c>
      <c r="AC1124" s="7" t="e">
        <f>IF(VLOOKUP($A1124,'Concrete Beam Schedule'!$A$2:$Q$2902,AC$2,0)&lt;&gt;M1124,"Beam Revised","")</f>
        <v>#N/A</v>
      </c>
      <c r="AD1124" s="7" t="e">
        <f>IF(VLOOKUP($A1124,'Concrete Beam Schedule'!$A$2:$Q$2902,AD$2,0)&lt;&gt;N1124,"Beam Revised","")</f>
        <v>#N/A</v>
      </c>
      <c r="AE1124" s="7" t="e">
        <f>IF(VLOOKUP($A1124,'Concrete Beam Schedule'!$A$2:$Q$2902,AE$2,0)&lt;&gt;O1124,"Beam Revised","")</f>
        <v>#N/A</v>
      </c>
    </row>
    <row r="1125" spans="17:31" ht="13.2" x14ac:dyDescent="0.25">
      <c r="Q1125" s="7">
        <f t="shared" si="17"/>
        <v>0</v>
      </c>
      <c r="R1125" s="7" t="e">
        <f>IF(VLOOKUP($A1125,'Concrete Beam Schedule'!$A$2:$Q$2902,R$2,0)&lt;&gt;B1125,VLOOKUP($A1125,'Concrete Beam Schedule'!$A$2:$Q$2902,R$2,0),"")</f>
        <v>#N/A</v>
      </c>
      <c r="S1125" s="7" t="e">
        <f>IF(VLOOKUP($A1125,'Concrete Beam Schedule'!$A$2:$Q$2902,S$2,0)&lt;&gt;C1125,VLOOKUP($A1125,'Concrete Beam Schedule'!$A$2:$Q$2902,S$2,0),"")</f>
        <v>#N/A</v>
      </c>
      <c r="T1125" s="7" t="e">
        <f>IF(VLOOKUP($A1125,'Concrete Beam Schedule'!$A$2:$Q$2902,T$2,0)&lt;&gt;D1125,"Beam Revised","")</f>
        <v>#N/A</v>
      </c>
      <c r="U1125" s="7" t="e">
        <f>IF(VLOOKUP($A1125,'Concrete Beam Schedule'!$A$2:$Q$2902,U$2,0)&lt;&gt;E1125,"Beam Revised","")</f>
        <v>#N/A</v>
      </c>
      <c r="V1125" s="7" t="e">
        <f>IF(VLOOKUP($A1125,'Concrete Beam Schedule'!$A$2:$Q$2902,V$2,0)&lt;&gt;F1125,"Beam Revised","")</f>
        <v>#N/A</v>
      </c>
      <c r="W1125" s="7" t="e">
        <f>IF(VLOOKUP($A1125,'Concrete Beam Schedule'!$A$2:$Q$2902,W$2,0)&lt;&gt;G1125,"Beam Revised","")</f>
        <v>#N/A</v>
      </c>
      <c r="X1125" s="7" t="e">
        <f>IF(VLOOKUP($A1125,'Concrete Beam Schedule'!$A$2:$Q$2902,X$2,0)&lt;&gt;H1125,"Beam Revised","")</f>
        <v>#N/A</v>
      </c>
      <c r="Y1125" s="7" t="e">
        <f>IF(VLOOKUP($A1125,'Concrete Beam Schedule'!$A$2:$Q$2902,Y$2,0)&lt;&gt;I1125,"Beam Revised","")</f>
        <v>#N/A</v>
      </c>
      <c r="Z1125" s="7" t="e">
        <f>IF(VLOOKUP($A1125,'Concrete Beam Schedule'!$A$2:$Q$2902,Z$2,0)&lt;&gt;J1125,"Beam Revised","")</f>
        <v>#N/A</v>
      </c>
      <c r="AA1125" s="7" t="e">
        <f>IF(VLOOKUP($A1125,'Concrete Beam Schedule'!$A$2:$Q$2902,AA$2,0)&lt;&gt;K1125,"Beam Revised","")</f>
        <v>#N/A</v>
      </c>
      <c r="AB1125" s="7" t="e">
        <f>IF(VLOOKUP($A1125,'Concrete Beam Schedule'!$A$2:$Q$2902,AB$2,0)&lt;&gt;L1125,"Beam Revised","")</f>
        <v>#N/A</v>
      </c>
      <c r="AC1125" s="7" t="e">
        <f>IF(VLOOKUP($A1125,'Concrete Beam Schedule'!$A$2:$Q$2902,AC$2,0)&lt;&gt;M1125,"Beam Revised","")</f>
        <v>#N/A</v>
      </c>
      <c r="AD1125" s="7" t="e">
        <f>IF(VLOOKUP($A1125,'Concrete Beam Schedule'!$A$2:$Q$2902,AD$2,0)&lt;&gt;N1125,"Beam Revised","")</f>
        <v>#N/A</v>
      </c>
      <c r="AE1125" s="7" t="e">
        <f>IF(VLOOKUP($A1125,'Concrete Beam Schedule'!$A$2:$Q$2902,AE$2,0)&lt;&gt;O1125,"Beam Revised","")</f>
        <v>#N/A</v>
      </c>
    </row>
    <row r="1126" spans="17:31" ht="13.2" x14ac:dyDescent="0.25">
      <c r="Q1126" s="7">
        <f t="shared" si="17"/>
        <v>0</v>
      </c>
      <c r="R1126" s="7" t="e">
        <f>IF(VLOOKUP($A1126,'Concrete Beam Schedule'!$A$2:$Q$2902,R$2,0)&lt;&gt;B1126,VLOOKUP($A1126,'Concrete Beam Schedule'!$A$2:$Q$2902,R$2,0),"")</f>
        <v>#N/A</v>
      </c>
      <c r="S1126" s="7" t="e">
        <f>IF(VLOOKUP($A1126,'Concrete Beam Schedule'!$A$2:$Q$2902,S$2,0)&lt;&gt;C1126,VLOOKUP($A1126,'Concrete Beam Schedule'!$A$2:$Q$2902,S$2,0),"")</f>
        <v>#N/A</v>
      </c>
      <c r="T1126" s="7" t="e">
        <f>IF(VLOOKUP($A1126,'Concrete Beam Schedule'!$A$2:$Q$2902,T$2,0)&lt;&gt;D1126,"Beam Revised","")</f>
        <v>#N/A</v>
      </c>
      <c r="U1126" s="7" t="e">
        <f>IF(VLOOKUP($A1126,'Concrete Beam Schedule'!$A$2:$Q$2902,U$2,0)&lt;&gt;E1126,"Beam Revised","")</f>
        <v>#N/A</v>
      </c>
      <c r="V1126" s="7" t="e">
        <f>IF(VLOOKUP($A1126,'Concrete Beam Schedule'!$A$2:$Q$2902,V$2,0)&lt;&gt;F1126,"Beam Revised","")</f>
        <v>#N/A</v>
      </c>
      <c r="W1126" s="7" t="e">
        <f>IF(VLOOKUP($A1126,'Concrete Beam Schedule'!$A$2:$Q$2902,W$2,0)&lt;&gt;G1126,"Beam Revised","")</f>
        <v>#N/A</v>
      </c>
      <c r="X1126" s="7" t="e">
        <f>IF(VLOOKUP($A1126,'Concrete Beam Schedule'!$A$2:$Q$2902,X$2,0)&lt;&gt;H1126,"Beam Revised","")</f>
        <v>#N/A</v>
      </c>
      <c r="Y1126" s="7" t="e">
        <f>IF(VLOOKUP($A1126,'Concrete Beam Schedule'!$A$2:$Q$2902,Y$2,0)&lt;&gt;I1126,"Beam Revised","")</f>
        <v>#N/A</v>
      </c>
      <c r="Z1126" s="7" t="e">
        <f>IF(VLOOKUP($A1126,'Concrete Beam Schedule'!$A$2:$Q$2902,Z$2,0)&lt;&gt;J1126,"Beam Revised","")</f>
        <v>#N/A</v>
      </c>
      <c r="AA1126" s="7" t="e">
        <f>IF(VLOOKUP($A1126,'Concrete Beam Schedule'!$A$2:$Q$2902,AA$2,0)&lt;&gt;K1126,"Beam Revised","")</f>
        <v>#N/A</v>
      </c>
      <c r="AB1126" s="7" t="e">
        <f>IF(VLOOKUP($A1126,'Concrete Beam Schedule'!$A$2:$Q$2902,AB$2,0)&lt;&gt;L1126,"Beam Revised","")</f>
        <v>#N/A</v>
      </c>
      <c r="AC1126" s="7" t="e">
        <f>IF(VLOOKUP($A1126,'Concrete Beam Schedule'!$A$2:$Q$2902,AC$2,0)&lt;&gt;M1126,"Beam Revised","")</f>
        <v>#N/A</v>
      </c>
      <c r="AD1126" s="7" t="e">
        <f>IF(VLOOKUP($A1126,'Concrete Beam Schedule'!$A$2:$Q$2902,AD$2,0)&lt;&gt;N1126,"Beam Revised","")</f>
        <v>#N/A</v>
      </c>
      <c r="AE1126" s="7" t="e">
        <f>IF(VLOOKUP($A1126,'Concrete Beam Schedule'!$A$2:$Q$2902,AE$2,0)&lt;&gt;O1126,"Beam Revised","")</f>
        <v>#N/A</v>
      </c>
    </row>
    <row r="1127" spans="17:31" ht="13.2" x14ac:dyDescent="0.25">
      <c r="Q1127" s="7">
        <f t="shared" si="17"/>
        <v>0</v>
      </c>
      <c r="R1127" s="7" t="e">
        <f>IF(VLOOKUP($A1127,'Concrete Beam Schedule'!$A$2:$Q$2902,R$2,0)&lt;&gt;B1127,VLOOKUP($A1127,'Concrete Beam Schedule'!$A$2:$Q$2902,R$2,0),"")</f>
        <v>#N/A</v>
      </c>
      <c r="S1127" s="7" t="e">
        <f>IF(VLOOKUP($A1127,'Concrete Beam Schedule'!$A$2:$Q$2902,S$2,0)&lt;&gt;C1127,VLOOKUP($A1127,'Concrete Beam Schedule'!$A$2:$Q$2902,S$2,0),"")</f>
        <v>#N/A</v>
      </c>
      <c r="T1127" s="7" t="e">
        <f>IF(VLOOKUP($A1127,'Concrete Beam Schedule'!$A$2:$Q$2902,T$2,0)&lt;&gt;D1127,"Beam Revised","")</f>
        <v>#N/A</v>
      </c>
      <c r="U1127" s="7" t="e">
        <f>IF(VLOOKUP($A1127,'Concrete Beam Schedule'!$A$2:$Q$2902,U$2,0)&lt;&gt;E1127,"Beam Revised","")</f>
        <v>#N/A</v>
      </c>
      <c r="V1127" s="7" t="e">
        <f>IF(VLOOKUP($A1127,'Concrete Beam Schedule'!$A$2:$Q$2902,V$2,0)&lt;&gt;F1127,"Beam Revised","")</f>
        <v>#N/A</v>
      </c>
      <c r="W1127" s="7" t="e">
        <f>IF(VLOOKUP($A1127,'Concrete Beam Schedule'!$A$2:$Q$2902,W$2,0)&lt;&gt;G1127,"Beam Revised","")</f>
        <v>#N/A</v>
      </c>
      <c r="X1127" s="7" t="e">
        <f>IF(VLOOKUP($A1127,'Concrete Beam Schedule'!$A$2:$Q$2902,X$2,0)&lt;&gt;H1127,"Beam Revised","")</f>
        <v>#N/A</v>
      </c>
      <c r="Y1127" s="7" t="e">
        <f>IF(VLOOKUP($A1127,'Concrete Beam Schedule'!$A$2:$Q$2902,Y$2,0)&lt;&gt;I1127,"Beam Revised","")</f>
        <v>#N/A</v>
      </c>
      <c r="Z1127" s="7" t="e">
        <f>IF(VLOOKUP($A1127,'Concrete Beam Schedule'!$A$2:$Q$2902,Z$2,0)&lt;&gt;J1127,"Beam Revised","")</f>
        <v>#N/A</v>
      </c>
      <c r="AA1127" s="7" t="e">
        <f>IF(VLOOKUP($A1127,'Concrete Beam Schedule'!$A$2:$Q$2902,AA$2,0)&lt;&gt;K1127,"Beam Revised","")</f>
        <v>#N/A</v>
      </c>
      <c r="AB1127" s="7" t="e">
        <f>IF(VLOOKUP($A1127,'Concrete Beam Schedule'!$A$2:$Q$2902,AB$2,0)&lt;&gt;L1127,"Beam Revised","")</f>
        <v>#N/A</v>
      </c>
      <c r="AC1127" s="7" t="e">
        <f>IF(VLOOKUP($A1127,'Concrete Beam Schedule'!$A$2:$Q$2902,AC$2,0)&lt;&gt;M1127,"Beam Revised","")</f>
        <v>#N/A</v>
      </c>
      <c r="AD1127" s="7" t="e">
        <f>IF(VLOOKUP($A1127,'Concrete Beam Schedule'!$A$2:$Q$2902,AD$2,0)&lt;&gt;N1127,"Beam Revised","")</f>
        <v>#N/A</v>
      </c>
      <c r="AE1127" s="7" t="e">
        <f>IF(VLOOKUP($A1127,'Concrete Beam Schedule'!$A$2:$Q$2902,AE$2,0)&lt;&gt;O1127,"Beam Revised","")</f>
        <v>#N/A</v>
      </c>
    </row>
    <row r="1128" spans="17:31" ht="13.2" x14ac:dyDescent="0.25">
      <c r="Q1128" s="7">
        <f t="shared" si="17"/>
        <v>0</v>
      </c>
      <c r="R1128" s="7" t="e">
        <f>IF(VLOOKUP($A1128,'Concrete Beam Schedule'!$A$2:$Q$2902,R$2,0)&lt;&gt;B1128,VLOOKUP($A1128,'Concrete Beam Schedule'!$A$2:$Q$2902,R$2,0),"")</f>
        <v>#N/A</v>
      </c>
      <c r="S1128" s="7" t="e">
        <f>IF(VLOOKUP($A1128,'Concrete Beam Schedule'!$A$2:$Q$2902,S$2,0)&lt;&gt;C1128,VLOOKUP($A1128,'Concrete Beam Schedule'!$A$2:$Q$2902,S$2,0),"")</f>
        <v>#N/A</v>
      </c>
      <c r="T1128" s="7" t="e">
        <f>IF(VLOOKUP($A1128,'Concrete Beam Schedule'!$A$2:$Q$2902,T$2,0)&lt;&gt;D1128,"Beam Revised","")</f>
        <v>#N/A</v>
      </c>
      <c r="U1128" s="7" t="e">
        <f>IF(VLOOKUP($A1128,'Concrete Beam Schedule'!$A$2:$Q$2902,U$2,0)&lt;&gt;E1128,"Beam Revised","")</f>
        <v>#N/A</v>
      </c>
      <c r="V1128" s="7" t="e">
        <f>IF(VLOOKUP($A1128,'Concrete Beam Schedule'!$A$2:$Q$2902,V$2,0)&lt;&gt;F1128,"Beam Revised","")</f>
        <v>#N/A</v>
      </c>
      <c r="W1128" s="7" t="e">
        <f>IF(VLOOKUP($A1128,'Concrete Beam Schedule'!$A$2:$Q$2902,W$2,0)&lt;&gt;G1128,"Beam Revised","")</f>
        <v>#N/A</v>
      </c>
      <c r="X1128" s="7" t="e">
        <f>IF(VLOOKUP($A1128,'Concrete Beam Schedule'!$A$2:$Q$2902,X$2,0)&lt;&gt;H1128,"Beam Revised","")</f>
        <v>#N/A</v>
      </c>
      <c r="Y1128" s="7" t="e">
        <f>IF(VLOOKUP($A1128,'Concrete Beam Schedule'!$A$2:$Q$2902,Y$2,0)&lt;&gt;I1128,"Beam Revised","")</f>
        <v>#N/A</v>
      </c>
      <c r="Z1128" s="7" t="e">
        <f>IF(VLOOKUP($A1128,'Concrete Beam Schedule'!$A$2:$Q$2902,Z$2,0)&lt;&gt;J1128,"Beam Revised","")</f>
        <v>#N/A</v>
      </c>
      <c r="AA1128" s="7" t="e">
        <f>IF(VLOOKUP($A1128,'Concrete Beam Schedule'!$A$2:$Q$2902,AA$2,0)&lt;&gt;K1128,"Beam Revised","")</f>
        <v>#N/A</v>
      </c>
      <c r="AB1128" s="7" t="e">
        <f>IF(VLOOKUP($A1128,'Concrete Beam Schedule'!$A$2:$Q$2902,AB$2,0)&lt;&gt;L1128,"Beam Revised","")</f>
        <v>#N/A</v>
      </c>
      <c r="AC1128" s="7" t="e">
        <f>IF(VLOOKUP($A1128,'Concrete Beam Schedule'!$A$2:$Q$2902,AC$2,0)&lt;&gt;M1128,"Beam Revised","")</f>
        <v>#N/A</v>
      </c>
      <c r="AD1128" s="7" t="e">
        <f>IF(VLOOKUP($A1128,'Concrete Beam Schedule'!$A$2:$Q$2902,AD$2,0)&lt;&gt;N1128,"Beam Revised","")</f>
        <v>#N/A</v>
      </c>
      <c r="AE1128" s="7" t="e">
        <f>IF(VLOOKUP($A1128,'Concrete Beam Schedule'!$A$2:$Q$2902,AE$2,0)&lt;&gt;O1128,"Beam Revised","")</f>
        <v>#N/A</v>
      </c>
    </row>
    <row r="1129" spans="17:31" ht="13.2" x14ac:dyDescent="0.25">
      <c r="Q1129" s="7">
        <f t="shared" si="17"/>
        <v>0</v>
      </c>
      <c r="R1129" s="7" t="e">
        <f>IF(VLOOKUP($A1129,'Concrete Beam Schedule'!$A$2:$Q$2902,R$2,0)&lt;&gt;B1129,VLOOKUP($A1129,'Concrete Beam Schedule'!$A$2:$Q$2902,R$2,0),"")</f>
        <v>#N/A</v>
      </c>
      <c r="S1129" s="7" t="e">
        <f>IF(VLOOKUP($A1129,'Concrete Beam Schedule'!$A$2:$Q$2902,S$2,0)&lt;&gt;C1129,VLOOKUP($A1129,'Concrete Beam Schedule'!$A$2:$Q$2902,S$2,0),"")</f>
        <v>#N/A</v>
      </c>
      <c r="T1129" s="7" t="e">
        <f>IF(VLOOKUP($A1129,'Concrete Beam Schedule'!$A$2:$Q$2902,T$2,0)&lt;&gt;D1129,"Beam Revised","")</f>
        <v>#N/A</v>
      </c>
      <c r="U1129" s="7" t="e">
        <f>IF(VLOOKUP($A1129,'Concrete Beam Schedule'!$A$2:$Q$2902,U$2,0)&lt;&gt;E1129,"Beam Revised","")</f>
        <v>#N/A</v>
      </c>
      <c r="V1129" s="7" t="e">
        <f>IF(VLOOKUP($A1129,'Concrete Beam Schedule'!$A$2:$Q$2902,V$2,0)&lt;&gt;F1129,"Beam Revised","")</f>
        <v>#N/A</v>
      </c>
      <c r="W1129" s="7" t="e">
        <f>IF(VLOOKUP($A1129,'Concrete Beam Schedule'!$A$2:$Q$2902,W$2,0)&lt;&gt;G1129,"Beam Revised","")</f>
        <v>#N/A</v>
      </c>
      <c r="X1129" s="7" t="e">
        <f>IF(VLOOKUP($A1129,'Concrete Beam Schedule'!$A$2:$Q$2902,X$2,0)&lt;&gt;H1129,"Beam Revised","")</f>
        <v>#N/A</v>
      </c>
      <c r="Y1129" s="7" t="e">
        <f>IF(VLOOKUP($A1129,'Concrete Beam Schedule'!$A$2:$Q$2902,Y$2,0)&lt;&gt;I1129,"Beam Revised","")</f>
        <v>#N/A</v>
      </c>
      <c r="Z1129" s="7" t="e">
        <f>IF(VLOOKUP($A1129,'Concrete Beam Schedule'!$A$2:$Q$2902,Z$2,0)&lt;&gt;J1129,"Beam Revised","")</f>
        <v>#N/A</v>
      </c>
      <c r="AA1129" s="7" t="e">
        <f>IF(VLOOKUP($A1129,'Concrete Beam Schedule'!$A$2:$Q$2902,AA$2,0)&lt;&gt;K1129,"Beam Revised","")</f>
        <v>#N/A</v>
      </c>
      <c r="AB1129" s="7" t="e">
        <f>IF(VLOOKUP($A1129,'Concrete Beam Schedule'!$A$2:$Q$2902,AB$2,0)&lt;&gt;L1129,"Beam Revised","")</f>
        <v>#N/A</v>
      </c>
      <c r="AC1129" s="7" t="e">
        <f>IF(VLOOKUP($A1129,'Concrete Beam Schedule'!$A$2:$Q$2902,AC$2,0)&lt;&gt;M1129,"Beam Revised","")</f>
        <v>#N/A</v>
      </c>
      <c r="AD1129" s="7" t="e">
        <f>IF(VLOOKUP($A1129,'Concrete Beam Schedule'!$A$2:$Q$2902,AD$2,0)&lt;&gt;N1129,"Beam Revised","")</f>
        <v>#N/A</v>
      </c>
      <c r="AE1129" s="7" t="e">
        <f>IF(VLOOKUP($A1129,'Concrete Beam Schedule'!$A$2:$Q$2902,AE$2,0)&lt;&gt;O1129,"Beam Revised","")</f>
        <v>#N/A</v>
      </c>
    </row>
    <row r="1130" spans="17:31" ht="13.2" x14ac:dyDescent="0.25">
      <c r="Q1130" s="7">
        <f t="shared" si="17"/>
        <v>0</v>
      </c>
      <c r="R1130" s="7" t="e">
        <f>IF(VLOOKUP($A1130,'Concrete Beam Schedule'!$A$2:$Q$2902,R$2,0)&lt;&gt;B1130,VLOOKUP($A1130,'Concrete Beam Schedule'!$A$2:$Q$2902,R$2,0),"")</f>
        <v>#N/A</v>
      </c>
      <c r="S1130" s="7" t="e">
        <f>IF(VLOOKUP($A1130,'Concrete Beam Schedule'!$A$2:$Q$2902,S$2,0)&lt;&gt;C1130,VLOOKUP($A1130,'Concrete Beam Schedule'!$A$2:$Q$2902,S$2,0),"")</f>
        <v>#N/A</v>
      </c>
      <c r="T1130" s="7" t="e">
        <f>IF(VLOOKUP($A1130,'Concrete Beam Schedule'!$A$2:$Q$2902,T$2,0)&lt;&gt;D1130,"Beam Revised","")</f>
        <v>#N/A</v>
      </c>
      <c r="U1130" s="7" t="e">
        <f>IF(VLOOKUP($A1130,'Concrete Beam Schedule'!$A$2:$Q$2902,U$2,0)&lt;&gt;E1130,"Beam Revised","")</f>
        <v>#N/A</v>
      </c>
      <c r="V1130" s="7" t="e">
        <f>IF(VLOOKUP($A1130,'Concrete Beam Schedule'!$A$2:$Q$2902,V$2,0)&lt;&gt;F1130,"Beam Revised","")</f>
        <v>#N/A</v>
      </c>
      <c r="W1130" s="7" t="e">
        <f>IF(VLOOKUP($A1130,'Concrete Beam Schedule'!$A$2:$Q$2902,W$2,0)&lt;&gt;G1130,"Beam Revised","")</f>
        <v>#N/A</v>
      </c>
      <c r="X1130" s="7" t="e">
        <f>IF(VLOOKUP($A1130,'Concrete Beam Schedule'!$A$2:$Q$2902,X$2,0)&lt;&gt;H1130,"Beam Revised","")</f>
        <v>#N/A</v>
      </c>
      <c r="Y1130" s="7" t="e">
        <f>IF(VLOOKUP($A1130,'Concrete Beam Schedule'!$A$2:$Q$2902,Y$2,0)&lt;&gt;I1130,"Beam Revised","")</f>
        <v>#N/A</v>
      </c>
      <c r="Z1130" s="7" t="e">
        <f>IF(VLOOKUP($A1130,'Concrete Beam Schedule'!$A$2:$Q$2902,Z$2,0)&lt;&gt;J1130,"Beam Revised","")</f>
        <v>#N/A</v>
      </c>
      <c r="AA1130" s="7" t="e">
        <f>IF(VLOOKUP($A1130,'Concrete Beam Schedule'!$A$2:$Q$2902,AA$2,0)&lt;&gt;K1130,"Beam Revised","")</f>
        <v>#N/A</v>
      </c>
      <c r="AB1130" s="7" t="e">
        <f>IF(VLOOKUP($A1130,'Concrete Beam Schedule'!$A$2:$Q$2902,AB$2,0)&lt;&gt;L1130,"Beam Revised","")</f>
        <v>#N/A</v>
      </c>
      <c r="AC1130" s="7" t="e">
        <f>IF(VLOOKUP($A1130,'Concrete Beam Schedule'!$A$2:$Q$2902,AC$2,0)&lt;&gt;M1130,"Beam Revised","")</f>
        <v>#N/A</v>
      </c>
      <c r="AD1130" s="7" t="e">
        <f>IF(VLOOKUP($A1130,'Concrete Beam Schedule'!$A$2:$Q$2902,AD$2,0)&lt;&gt;N1130,"Beam Revised","")</f>
        <v>#N/A</v>
      </c>
      <c r="AE1130" s="7" t="e">
        <f>IF(VLOOKUP($A1130,'Concrete Beam Schedule'!$A$2:$Q$2902,AE$2,0)&lt;&gt;O1130,"Beam Revised","")</f>
        <v>#N/A</v>
      </c>
    </row>
    <row r="1131" spans="17:31" ht="13.2" x14ac:dyDescent="0.25">
      <c r="Q1131" s="7">
        <f t="shared" si="17"/>
        <v>0</v>
      </c>
      <c r="R1131" s="7" t="e">
        <f>IF(VLOOKUP($A1131,'Concrete Beam Schedule'!$A$2:$Q$2902,R$2,0)&lt;&gt;B1131,VLOOKUP($A1131,'Concrete Beam Schedule'!$A$2:$Q$2902,R$2,0),"")</f>
        <v>#N/A</v>
      </c>
      <c r="S1131" s="7" t="e">
        <f>IF(VLOOKUP($A1131,'Concrete Beam Schedule'!$A$2:$Q$2902,S$2,0)&lt;&gt;C1131,VLOOKUP($A1131,'Concrete Beam Schedule'!$A$2:$Q$2902,S$2,0),"")</f>
        <v>#N/A</v>
      </c>
      <c r="T1131" s="7" t="e">
        <f>IF(VLOOKUP($A1131,'Concrete Beam Schedule'!$A$2:$Q$2902,T$2,0)&lt;&gt;D1131,"Beam Revised","")</f>
        <v>#N/A</v>
      </c>
      <c r="U1131" s="7" t="e">
        <f>IF(VLOOKUP($A1131,'Concrete Beam Schedule'!$A$2:$Q$2902,U$2,0)&lt;&gt;E1131,"Beam Revised","")</f>
        <v>#N/A</v>
      </c>
      <c r="V1131" s="7" t="e">
        <f>IF(VLOOKUP($A1131,'Concrete Beam Schedule'!$A$2:$Q$2902,V$2,0)&lt;&gt;F1131,"Beam Revised","")</f>
        <v>#N/A</v>
      </c>
      <c r="W1131" s="7" t="e">
        <f>IF(VLOOKUP($A1131,'Concrete Beam Schedule'!$A$2:$Q$2902,W$2,0)&lt;&gt;G1131,"Beam Revised","")</f>
        <v>#N/A</v>
      </c>
      <c r="X1131" s="7" t="e">
        <f>IF(VLOOKUP($A1131,'Concrete Beam Schedule'!$A$2:$Q$2902,X$2,0)&lt;&gt;H1131,"Beam Revised","")</f>
        <v>#N/A</v>
      </c>
      <c r="Y1131" s="7" t="e">
        <f>IF(VLOOKUP($A1131,'Concrete Beam Schedule'!$A$2:$Q$2902,Y$2,0)&lt;&gt;I1131,"Beam Revised","")</f>
        <v>#N/A</v>
      </c>
      <c r="Z1131" s="7" t="e">
        <f>IF(VLOOKUP($A1131,'Concrete Beam Schedule'!$A$2:$Q$2902,Z$2,0)&lt;&gt;J1131,"Beam Revised","")</f>
        <v>#N/A</v>
      </c>
      <c r="AA1131" s="7" t="e">
        <f>IF(VLOOKUP($A1131,'Concrete Beam Schedule'!$A$2:$Q$2902,AA$2,0)&lt;&gt;K1131,"Beam Revised","")</f>
        <v>#N/A</v>
      </c>
      <c r="AB1131" s="7" t="e">
        <f>IF(VLOOKUP($A1131,'Concrete Beam Schedule'!$A$2:$Q$2902,AB$2,0)&lt;&gt;L1131,"Beam Revised","")</f>
        <v>#N/A</v>
      </c>
      <c r="AC1131" s="7" t="e">
        <f>IF(VLOOKUP($A1131,'Concrete Beam Schedule'!$A$2:$Q$2902,AC$2,0)&lt;&gt;M1131,"Beam Revised","")</f>
        <v>#N/A</v>
      </c>
      <c r="AD1131" s="7" t="e">
        <f>IF(VLOOKUP($A1131,'Concrete Beam Schedule'!$A$2:$Q$2902,AD$2,0)&lt;&gt;N1131,"Beam Revised","")</f>
        <v>#N/A</v>
      </c>
      <c r="AE1131" s="7" t="e">
        <f>IF(VLOOKUP($A1131,'Concrete Beam Schedule'!$A$2:$Q$2902,AE$2,0)&lt;&gt;O1131,"Beam Revised","")</f>
        <v>#N/A</v>
      </c>
    </row>
    <row r="1132" spans="17:31" ht="13.2" x14ac:dyDescent="0.25">
      <c r="Q1132" s="7">
        <f t="shared" si="17"/>
        <v>0</v>
      </c>
      <c r="R1132" s="7" t="e">
        <f>IF(VLOOKUP($A1132,'Concrete Beam Schedule'!$A$2:$Q$2902,R$2,0)&lt;&gt;B1132,VLOOKUP($A1132,'Concrete Beam Schedule'!$A$2:$Q$2902,R$2,0),"")</f>
        <v>#N/A</v>
      </c>
      <c r="S1132" s="7" t="e">
        <f>IF(VLOOKUP($A1132,'Concrete Beam Schedule'!$A$2:$Q$2902,S$2,0)&lt;&gt;C1132,VLOOKUP($A1132,'Concrete Beam Schedule'!$A$2:$Q$2902,S$2,0),"")</f>
        <v>#N/A</v>
      </c>
      <c r="T1132" s="7" t="e">
        <f>IF(VLOOKUP($A1132,'Concrete Beam Schedule'!$A$2:$Q$2902,T$2,0)&lt;&gt;D1132,"Beam Revised","")</f>
        <v>#N/A</v>
      </c>
      <c r="U1132" s="7" t="e">
        <f>IF(VLOOKUP($A1132,'Concrete Beam Schedule'!$A$2:$Q$2902,U$2,0)&lt;&gt;E1132,"Beam Revised","")</f>
        <v>#N/A</v>
      </c>
      <c r="V1132" s="7" t="e">
        <f>IF(VLOOKUP($A1132,'Concrete Beam Schedule'!$A$2:$Q$2902,V$2,0)&lt;&gt;F1132,"Beam Revised","")</f>
        <v>#N/A</v>
      </c>
      <c r="W1132" s="7" t="e">
        <f>IF(VLOOKUP($A1132,'Concrete Beam Schedule'!$A$2:$Q$2902,W$2,0)&lt;&gt;G1132,"Beam Revised","")</f>
        <v>#N/A</v>
      </c>
      <c r="X1132" s="7" t="e">
        <f>IF(VLOOKUP($A1132,'Concrete Beam Schedule'!$A$2:$Q$2902,X$2,0)&lt;&gt;H1132,"Beam Revised","")</f>
        <v>#N/A</v>
      </c>
      <c r="Y1132" s="7" t="e">
        <f>IF(VLOOKUP($A1132,'Concrete Beam Schedule'!$A$2:$Q$2902,Y$2,0)&lt;&gt;I1132,"Beam Revised","")</f>
        <v>#N/A</v>
      </c>
      <c r="Z1132" s="7" t="e">
        <f>IF(VLOOKUP($A1132,'Concrete Beam Schedule'!$A$2:$Q$2902,Z$2,0)&lt;&gt;J1132,"Beam Revised","")</f>
        <v>#N/A</v>
      </c>
      <c r="AA1132" s="7" t="e">
        <f>IF(VLOOKUP($A1132,'Concrete Beam Schedule'!$A$2:$Q$2902,AA$2,0)&lt;&gt;K1132,"Beam Revised","")</f>
        <v>#N/A</v>
      </c>
      <c r="AB1132" s="7" t="e">
        <f>IF(VLOOKUP($A1132,'Concrete Beam Schedule'!$A$2:$Q$2902,AB$2,0)&lt;&gt;L1132,"Beam Revised","")</f>
        <v>#N/A</v>
      </c>
      <c r="AC1132" s="7" t="e">
        <f>IF(VLOOKUP($A1132,'Concrete Beam Schedule'!$A$2:$Q$2902,AC$2,0)&lt;&gt;M1132,"Beam Revised","")</f>
        <v>#N/A</v>
      </c>
      <c r="AD1132" s="7" t="e">
        <f>IF(VLOOKUP($A1132,'Concrete Beam Schedule'!$A$2:$Q$2902,AD$2,0)&lt;&gt;N1132,"Beam Revised","")</f>
        <v>#N/A</v>
      </c>
      <c r="AE1132" s="7" t="e">
        <f>IF(VLOOKUP($A1132,'Concrete Beam Schedule'!$A$2:$Q$2902,AE$2,0)&lt;&gt;O1132,"Beam Revised","")</f>
        <v>#N/A</v>
      </c>
    </row>
    <row r="1133" spans="17:31" ht="13.2" x14ac:dyDescent="0.25">
      <c r="Q1133" s="7">
        <f t="shared" si="17"/>
        <v>0</v>
      </c>
      <c r="R1133" s="7" t="e">
        <f>IF(VLOOKUP($A1133,'Concrete Beam Schedule'!$A$2:$Q$2902,R$2,0)&lt;&gt;B1133,VLOOKUP($A1133,'Concrete Beam Schedule'!$A$2:$Q$2902,R$2,0),"")</f>
        <v>#N/A</v>
      </c>
      <c r="S1133" s="7" t="e">
        <f>IF(VLOOKUP($A1133,'Concrete Beam Schedule'!$A$2:$Q$2902,S$2,0)&lt;&gt;C1133,VLOOKUP($A1133,'Concrete Beam Schedule'!$A$2:$Q$2902,S$2,0),"")</f>
        <v>#N/A</v>
      </c>
      <c r="T1133" s="7" t="e">
        <f>IF(VLOOKUP($A1133,'Concrete Beam Schedule'!$A$2:$Q$2902,T$2,0)&lt;&gt;D1133,"Beam Revised","")</f>
        <v>#N/A</v>
      </c>
      <c r="U1133" s="7" t="e">
        <f>IF(VLOOKUP($A1133,'Concrete Beam Schedule'!$A$2:$Q$2902,U$2,0)&lt;&gt;E1133,"Beam Revised","")</f>
        <v>#N/A</v>
      </c>
      <c r="V1133" s="7" t="e">
        <f>IF(VLOOKUP($A1133,'Concrete Beam Schedule'!$A$2:$Q$2902,V$2,0)&lt;&gt;F1133,"Beam Revised","")</f>
        <v>#N/A</v>
      </c>
      <c r="W1133" s="7" t="e">
        <f>IF(VLOOKUP($A1133,'Concrete Beam Schedule'!$A$2:$Q$2902,W$2,0)&lt;&gt;G1133,"Beam Revised","")</f>
        <v>#N/A</v>
      </c>
      <c r="X1133" s="7" t="e">
        <f>IF(VLOOKUP($A1133,'Concrete Beam Schedule'!$A$2:$Q$2902,X$2,0)&lt;&gt;H1133,"Beam Revised","")</f>
        <v>#N/A</v>
      </c>
      <c r="Y1133" s="7" t="e">
        <f>IF(VLOOKUP($A1133,'Concrete Beam Schedule'!$A$2:$Q$2902,Y$2,0)&lt;&gt;I1133,"Beam Revised","")</f>
        <v>#N/A</v>
      </c>
      <c r="Z1133" s="7" t="e">
        <f>IF(VLOOKUP($A1133,'Concrete Beam Schedule'!$A$2:$Q$2902,Z$2,0)&lt;&gt;J1133,"Beam Revised","")</f>
        <v>#N/A</v>
      </c>
      <c r="AA1133" s="7" t="e">
        <f>IF(VLOOKUP($A1133,'Concrete Beam Schedule'!$A$2:$Q$2902,AA$2,0)&lt;&gt;K1133,"Beam Revised","")</f>
        <v>#N/A</v>
      </c>
      <c r="AB1133" s="7" t="e">
        <f>IF(VLOOKUP($A1133,'Concrete Beam Schedule'!$A$2:$Q$2902,AB$2,0)&lt;&gt;L1133,"Beam Revised","")</f>
        <v>#N/A</v>
      </c>
      <c r="AC1133" s="7" t="e">
        <f>IF(VLOOKUP($A1133,'Concrete Beam Schedule'!$A$2:$Q$2902,AC$2,0)&lt;&gt;M1133,"Beam Revised","")</f>
        <v>#N/A</v>
      </c>
      <c r="AD1133" s="7" t="e">
        <f>IF(VLOOKUP($A1133,'Concrete Beam Schedule'!$A$2:$Q$2902,AD$2,0)&lt;&gt;N1133,"Beam Revised","")</f>
        <v>#N/A</v>
      </c>
      <c r="AE1133" s="7" t="e">
        <f>IF(VLOOKUP($A1133,'Concrete Beam Schedule'!$A$2:$Q$2902,AE$2,0)&lt;&gt;O1133,"Beam Revised","")</f>
        <v>#N/A</v>
      </c>
    </row>
    <row r="1134" spans="17:31" ht="13.2" x14ac:dyDescent="0.25">
      <c r="Q1134" s="7">
        <f t="shared" si="17"/>
        <v>0</v>
      </c>
      <c r="R1134" s="7" t="e">
        <f>IF(VLOOKUP($A1134,'Concrete Beam Schedule'!$A$2:$Q$2902,R$2,0)&lt;&gt;B1134,VLOOKUP($A1134,'Concrete Beam Schedule'!$A$2:$Q$2902,R$2,0),"")</f>
        <v>#N/A</v>
      </c>
      <c r="S1134" s="7" t="e">
        <f>IF(VLOOKUP($A1134,'Concrete Beam Schedule'!$A$2:$Q$2902,S$2,0)&lt;&gt;C1134,VLOOKUP($A1134,'Concrete Beam Schedule'!$A$2:$Q$2902,S$2,0),"")</f>
        <v>#N/A</v>
      </c>
      <c r="T1134" s="7" t="e">
        <f>IF(VLOOKUP($A1134,'Concrete Beam Schedule'!$A$2:$Q$2902,T$2,0)&lt;&gt;D1134,"Beam Revised","")</f>
        <v>#N/A</v>
      </c>
      <c r="U1134" s="7" t="e">
        <f>IF(VLOOKUP($A1134,'Concrete Beam Schedule'!$A$2:$Q$2902,U$2,0)&lt;&gt;E1134,"Beam Revised","")</f>
        <v>#N/A</v>
      </c>
      <c r="V1134" s="7" t="e">
        <f>IF(VLOOKUP($A1134,'Concrete Beam Schedule'!$A$2:$Q$2902,V$2,0)&lt;&gt;F1134,"Beam Revised","")</f>
        <v>#N/A</v>
      </c>
      <c r="W1134" s="7" t="e">
        <f>IF(VLOOKUP($A1134,'Concrete Beam Schedule'!$A$2:$Q$2902,W$2,0)&lt;&gt;G1134,"Beam Revised","")</f>
        <v>#N/A</v>
      </c>
      <c r="X1134" s="7" t="e">
        <f>IF(VLOOKUP($A1134,'Concrete Beam Schedule'!$A$2:$Q$2902,X$2,0)&lt;&gt;H1134,"Beam Revised","")</f>
        <v>#N/A</v>
      </c>
      <c r="Y1134" s="7" t="e">
        <f>IF(VLOOKUP($A1134,'Concrete Beam Schedule'!$A$2:$Q$2902,Y$2,0)&lt;&gt;I1134,"Beam Revised","")</f>
        <v>#N/A</v>
      </c>
      <c r="Z1134" s="7" t="e">
        <f>IF(VLOOKUP($A1134,'Concrete Beam Schedule'!$A$2:$Q$2902,Z$2,0)&lt;&gt;J1134,"Beam Revised","")</f>
        <v>#N/A</v>
      </c>
      <c r="AA1134" s="7" t="e">
        <f>IF(VLOOKUP($A1134,'Concrete Beam Schedule'!$A$2:$Q$2902,AA$2,0)&lt;&gt;K1134,"Beam Revised","")</f>
        <v>#N/A</v>
      </c>
      <c r="AB1134" s="7" t="e">
        <f>IF(VLOOKUP($A1134,'Concrete Beam Schedule'!$A$2:$Q$2902,AB$2,0)&lt;&gt;L1134,"Beam Revised","")</f>
        <v>#N/A</v>
      </c>
      <c r="AC1134" s="7" t="e">
        <f>IF(VLOOKUP($A1134,'Concrete Beam Schedule'!$A$2:$Q$2902,AC$2,0)&lt;&gt;M1134,"Beam Revised","")</f>
        <v>#N/A</v>
      </c>
      <c r="AD1134" s="7" t="e">
        <f>IF(VLOOKUP($A1134,'Concrete Beam Schedule'!$A$2:$Q$2902,AD$2,0)&lt;&gt;N1134,"Beam Revised","")</f>
        <v>#N/A</v>
      </c>
      <c r="AE1134" s="7" t="e">
        <f>IF(VLOOKUP($A1134,'Concrete Beam Schedule'!$A$2:$Q$2902,AE$2,0)&lt;&gt;O1134,"Beam Revised","")</f>
        <v>#N/A</v>
      </c>
    </row>
    <row r="1135" spans="17:31" ht="13.2" x14ac:dyDescent="0.25">
      <c r="Q1135" s="7">
        <f t="shared" si="17"/>
        <v>0</v>
      </c>
      <c r="R1135" s="7" t="e">
        <f>IF(VLOOKUP($A1135,'Concrete Beam Schedule'!$A$2:$Q$2902,R$2,0)&lt;&gt;B1135,VLOOKUP($A1135,'Concrete Beam Schedule'!$A$2:$Q$2902,R$2,0),"")</f>
        <v>#N/A</v>
      </c>
      <c r="S1135" s="7" t="e">
        <f>IF(VLOOKUP($A1135,'Concrete Beam Schedule'!$A$2:$Q$2902,S$2,0)&lt;&gt;C1135,VLOOKUP($A1135,'Concrete Beam Schedule'!$A$2:$Q$2902,S$2,0),"")</f>
        <v>#N/A</v>
      </c>
      <c r="T1135" s="7" t="e">
        <f>IF(VLOOKUP($A1135,'Concrete Beam Schedule'!$A$2:$Q$2902,T$2,0)&lt;&gt;D1135,"Beam Revised","")</f>
        <v>#N/A</v>
      </c>
      <c r="U1135" s="7" t="e">
        <f>IF(VLOOKUP($A1135,'Concrete Beam Schedule'!$A$2:$Q$2902,U$2,0)&lt;&gt;E1135,"Beam Revised","")</f>
        <v>#N/A</v>
      </c>
      <c r="V1135" s="7" t="e">
        <f>IF(VLOOKUP($A1135,'Concrete Beam Schedule'!$A$2:$Q$2902,V$2,0)&lt;&gt;F1135,"Beam Revised","")</f>
        <v>#N/A</v>
      </c>
      <c r="W1135" s="7" t="e">
        <f>IF(VLOOKUP($A1135,'Concrete Beam Schedule'!$A$2:$Q$2902,W$2,0)&lt;&gt;G1135,"Beam Revised","")</f>
        <v>#N/A</v>
      </c>
      <c r="X1135" s="7" t="e">
        <f>IF(VLOOKUP($A1135,'Concrete Beam Schedule'!$A$2:$Q$2902,X$2,0)&lt;&gt;H1135,"Beam Revised","")</f>
        <v>#N/A</v>
      </c>
      <c r="Y1135" s="7" t="e">
        <f>IF(VLOOKUP($A1135,'Concrete Beam Schedule'!$A$2:$Q$2902,Y$2,0)&lt;&gt;I1135,"Beam Revised","")</f>
        <v>#N/A</v>
      </c>
      <c r="Z1135" s="7" t="e">
        <f>IF(VLOOKUP($A1135,'Concrete Beam Schedule'!$A$2:$Q$2902,Z$2,0)&lt;&gt;J1135,"Beam Revised","")</f>
        <v>#N/A</v>
      </c>
      <c r="AA1135" s="7" t="e">
        <f>IF(VLOOKUP($A1135,'Concrete Beam Schedule'!$A$2:$Q$2902,AA$2,0)&lt;&gt;K1135,"Beam Revised","")</f>
        <v>#N/A</v>
      </c>
      <c r="AB1135" s="7" t="e">
        <f>IF(VLOOKUP($A1135,'Concrete Beam Schedule'!$A$2:$Q$2902,AB$2,0)&lt;&gt;L1135,"Beam Revised","")</f>
        <v>#N/A</v>
      </c>
      <c r="AC1135" s="7" t="e">
        <f>IF(VLOOKUP($A1135,'Concrete Beam Schedule'!$A$2:$Q$2902,AC$2,0)&lt;&gt;M1135,"Beam Revised","")</f>
        <v>#N/A</v>
      </c>
      <c r="AD1135" s="7" t="e">
        <f>IF(VLOOKUP($A1135,'Concrete Beam Schedule'!$A$2:$Q$2902,AD$2,0)&lt;&gt;N1135,"Beam Revised","")</f>
        <v>#N/A</v>
      </c>
      <c r="AE1135" s="7" t="e">
        <f>IF(VLOOKUP($A1135,'Concrete Beam Schedule'!$A$2:$Q$2902,AE$2,0)&lt;&gt;O1135,"Beam Revised","")</f>
        <v>#N/A</v>
      </c>
    </row>
    <row r="1136" spans="17:31" ht="13.2" x14ac:dyDescent="0.25">
      <c r="Q1136" s="7">
        <f t="shared" si="17"/>
        <v>0</v>
      </c>
      <c r="R1136" s="7" t="e">
        <f>IF(VLOOKUP($A1136,'Concrete Beam Schedule'!$A$2:$Q$2902,R$2,0)&lt;&gt;B1136,VLOOKUP($A1136,'Concrete Beam Schedule'!$A$2:$Q$2902,R$2,0),"")</f>
        <v>#N/A</v>
      </c>
      <c r="S1136" s="7" t="e">
        <f>IF(VLOOKUP($A1136,'Concrete Beam Schedule'!$A$2:$Q$2902,S$2,0)&lt;&gt;C1136,VLOOKUP($A1136,'Concrete Beam Schedule'!$A$2:$Q$2902,S$2,0),"")</f>
        <v>#N/A</v>
      </c>
      <c r="T1136" s="7" t="e">
        <f>IF(VLOOKUP($A1136,'Concrete Beam Schedule'!$A$2:$Q$2902,T$2,0)&lt;&gt;D1136,"Beam Revised","")</f>
        <v>#N/A</v>
      </c>
      <c r="U1136" s="7" t="e">
        <f>IF(VLOOKUP($A1136,'Concrete Beam Schedule'!$A$2:$Q$2902,U$2,0)&lt;&gt;E1136,"Beam Revised","")</f>
        <v>#N/A</v>
      </c>
      <c r="V1136" s="7" t="e">
        <f>IF(VLOOKUP($A1136,'Concrete Beam Schedule'!$A$2:$Q$2902,V$2,0)&lt;&gt;F1136,"Beam Revised","")</f>
        <v>#N/A</v>
      </c>
      <c r="W1136" s="7" t="e">
        <f>IF(VLOOKUP($A1136,'Concrete Beam Schedule'!$A$2:$Q$2902,W$2,0)&lt;&gt;G1136,"Beam Revised","")</f>
        <v>#N/A</v>
      </c>
      <c r="X1136" s="7" t="e">
        <f>IF(VLOOKUP($A1136,'Concrete Beam Schedule'!$A$2:$Q$2902,X$2,0)&lt;&gt;H1136,"Beam Revised","")</f>
        <v>#N/A</v>
      </c>
      <c r="Y1136" s="7" t="e">
        <f>IF(VLOOKUP($A1136,'Concrete Beam Schedule'!$A$2:$Q$2902,Y$2,0)&lt;&gt;I1136,"Beam Revised","")</f>
        <v>#N/A</v>
      </c>
      <c r="Z1136" s="7" t="e">
        <f>IF(VLOOKUP($A1136,'Concrete Beam Schedule'!$A$2:$Q$2902,Z$2,0)&lt;&gt;J1136,"Beam Revised","")</f>
        <v>#N/A</v>
      </c>
      <c r="AA1136" s="7" t="e">
        <f>IF(VLOOKUP($A1136,'Concrete Beam Schedule'!$A$2:$Q$2902,AA$2,0)&lt;&gt;K1136,"Beam Revised","")</f>
        <v>#N/A</v>
      </c>
      <c r="AB1136" s="7" t="e">
        <f>IF(VLOOKUP($A1136,'Concrete Beam Schedule'!$A$2:$Q$2902,AB$2,0)&lt;&gt;L1136,"Beam Revised","")</f>
        <v>#N/A</v>
      </c>
      <c r="AC1136" s="7" t="e">
        <f>IF(VLOOKUP($A1136,'Concrete Beam Schedule'!$A$2:$Q$2902,AC$2,0)&lt;&gt;M1136,"Beam Revised","")</f>
        <v>#N/A</v>
      </c>
      <c r="AD1136" s="7" t="e">
        <f>IF(VLOOKUP($A1136,'Concrete Beam Schedule'!$A$2:$Q$2902,AD$2,0)&lt;&gt;N1136,"Beam Revised","")</f>
        <v>#N/A</v>
      </c>
      <c r="AE1136" s="7" t="e">
        <f>IF(VLOOKUP($A1136,'Concrete Beam Schedule'!$A$2:$Q$2902,AE$2,0)&lt;&gt;O1136,"Beam Revised","")</f>
        <v>#N/A</v>
      </c>
    </row>
    <row r="1137" spans="17:31" ht="13.2" x14ac:dyDescent="0.25">
      <c r="Q1137" s="7">
        <f t="shared" si="17"/>
        <v>0</v>
      </c>
      <c r="R1137" s="7" t="e">
        <f>IF(VLOOKUP($A1137,'Concrete Beam Schedule'!$A$2:$Q$2902,R$2,0)&lt;&gt;B1137,VLOOKUP($A1137,'Concrete Beam Schedule'!$A$2:$Q$2902,R$2,0),"")</f>
        <v>#N/A</v>
      </c>
      <c r="S1137" s="7" t="e">
        <f>IF(VLOOKUP($A1137,'Concrete Beam Schedule'!$A$2:$Q$2902,S$2,0)&lt;&gt;C1137,VLOOKUP($A1137,'Concrete Beam Schedule'!$A$2:$Q$2902,S$2,0),"")</f>
        <v>#N/A</v>
      </c>
      <c r="T1137" s="7" t="e">
        <f>IF(VLOOKUP($A1137,'Concrete Beam Schedule'!$A$2:$Q$2902,T$2,0)&lt;&gt;D1137,"Beam Revised","")</f>
        <v>#N/A</v>
      </c>
      <c r="U1137" s="7" t="e">
        <f>IF(VLOOKUP($A1137,'Concrete Beam Schedule'!$A$2:$Q$2902,U$2,0)&lt;&gt;E1137,"Beam Revised","")</f>
        <v>#N/A</v>
      </c>
      <c r="V1137" s="7" t="e">
        <f>IF(VLOOKUP($A1137,'Concrete Beam Schedule'!$A$2:$Q$2902,V$2,0)&lt;&gt;F1137,"Beam Revised","")</f>
        <v>#N/A</v>
      </c>
      <c r="W1137" s="7" t="e">
        <f>IF(VLOOKUP($A1137,'Concrete Beam Schedule'!$A$2:$Q$2902,W$2,0)&lt;&gt;G1137,"Beam Revised","")</f>
        <v>#N/A</v>
      </c>
      <c r="X1137" s="7" t="e">
        <f>IF(VLOOKUP($A1137,'Concrete Beam Schedule'!$A$2:$Q$2902,X$2,0)&lt;&gt;H1137,"Beam Revised","")</f>
        <v>#N/A</v>
      </c>
      <c r="Y1137" s="7" t="e">
        <f>IF(VLOOKUP($A1137,'Concrete Beam Schedule'!$A$2:$Q$2902,Y$2,0)&lt;&gt;I1137,"Beam Revised","")</f>
        <v>#N/A</v>
      </c>
      <c r="Z1137" s="7" t="e">
        <f>IF(VLOOKUP($A1137,'Concrete Beam Schedule'!$A$2:$Q$2902,Z$2,0)&lt;&gt;J1137,"Beam Revised","")</f>
        <v>#N/A</v>
      </c>
      <c r="AA1137" s="7" t="e">
        <f>IF(VLOOKUP($A1137,'Concrete Beam Schedule'!$A$2:$Q$2902,AA$2,0)&lt;&gt;K1137,"Beam Revised","")</f>
        <v>#N/A</v>
      </c>
      <c r="AB1137" s="7" t="e">
        <f>IF(VLOOKUP($A1137,'Concrete Beam Schedule'!$A$2:$Q$2902,AB$2,0)&lt;&gt;L1137,"Beam Revised","")</f>
        <v>#N/A</v>
      </c>
      <c r="AC1137" s="7" t="e">
        <f>IF(VLOOKUP($A1137,'Concrete Beam Schedule'!$A$2:$Q$2902,AC$2,0)&lt;&gt;M1137,"Beam Revised","")</f>
        <v>#N/A</v>
      </c>
      <c r="AD1137" s="7" t="e">
        <f>IF(VLOOKUP($A1137,'Concrete Beam Schedule'!$A$2:$Q$2902,AD$2,0)&lt;&gt;N1137,"Beam Revised","")</f>
        <v>#N/A</v>
      </c>
      <c r="AE1137" s="7" t="e">
        <f>IF(VLOOKUP($A1137,'Concrete Beam Schedule'!$A$2:$Q$2902,AE$2,0)&lt;&gt;O1137,"Beam Revised","")</f>
        <v>#N/A</v>
      </c>
    </row>
    <row r="1138" spans="17:31" ht="13.2" x14ac:dyDescent="0.25">
      <c r="Q1138" s="7">
        <f t="shared" si="17"/>
        <v>0</v>
      </c>
      <c r="R1138" s="7" t="e">
        <f>IF(VLOOKUP($A1138,'Concrete Beam Schedule'!$A$2:$Q$2902,R$2,0)&lt;&gt;B1138,VLOOKUP($A1138,'Concrete Beam Schedule'!$A$2:$Q$2902,R$2,0),"")</f>
        <v>#N/A</v>
      </c>
      <c r="S1138" s="7" t="e">
        <f>IF(VLOOKUP($A1138,'Concrete Beam Schedule'!$A$2:$Q$2902,S$2,0)&lt;&gt;C1138,VLOOKUP($A1138,'Concrete Beam Schedule'!$A$2:$Q$2902,S$2,0),"")</f>
        <v>#N/A</v>
      </c>
      <c r="T1138" s="7" t="e">
        <f>IF(VLOOKUP($A1138,'Concrete Beam Schedule'!$A$2:$Q$2902,T$2,0)&lt;&gt;D1138,"Beam Revised","")</f>
        <v>#N/A</v>
      </c>
      <c r="U1138" s="7" t="e">
        <f>IF(VLOOKUP($A1138,'Concrete Beam Schedule'!$A$2:$Q$2902,U$2,0)&lt;&gt;E1138,"Beam Revised","")</f>
        <v>#N/A</v>
      </c>
      <c r="V1138" s="7" t="e">
        <f>IF(VLOOKUP($A1138,'Concrete Beam Schedule'!$A$2:$Q$2902,V$2,0)&lt;&gt;F1138,"Beam Revised","")</f>
        <v>#N/A</v>
      </c>
      <c r="W1138" s="7" t="e">
        <f>IF(VLOOKUP($A1138,'Concrete Beam Schedule'!$A$2:$Q$2902,W$2,0)&lt;&gt;G1138,"Beam Revised","")</f>
        <v>#N/A</v>
      </c>
      <c r="X1138" s="7" t="e">
        <f>IF(VLOOKUP($A1138,'Concrete Beam Schedule'!$A$2:$Q$2902,X$2,0)&lt;&gt;H1138,"Beam Revised","")</f>
        <v>#N/A</v>
      </c>
      <c r="Y1138" s="7" t="e">
        <f>IF(VLOOKUP($A1138,'Concrete Beam Schedule'!$A$2:$Q$2902,Y$2,0)&lt;&gt;I1138,"Beam Revised","")</f>
        <v>#N/A</v>
      </c>
      <c r="Z1138" s="7" t="e">
        <f>IF(VLOOKUP($A1138,'Concrete Beam Schedule'!$A$2:$Q$2902,Z$2,0)&lt;&gt;J1138,"Beam Revised","")</f>
        <v>#N/A</v>
      </c>
      <c r="AA1138" s="7" t="e">
        <f>IF(VLOOKUP($A1138,'Concrete Beam Schedule'!$A$2:$Q$2902,AA$2,0)&lt;&gt;K1138,"Beam Revised","")</f>
        <v>#N/A</v>
      </c>
      <c r="AB1138" s="7" t="e">
        <f>IF(VLOOKUP($A1138,'Concrete Beam Schedule'!$A$2:$Q$2902,AB$2,0)&lt;&gt;L1138,"Beam Revised","")</f>
        <v>#N/A</v>
      </c>
      <c r="AC1138" s="7" t="e">
        <f>IF(VLOOKUP($A1138,'Concrete Beam Schedule'!$A$2:$Q$2902,AC$2,0)&lt;&gt;M1138,"Beam Revised","")</f>
        <v>#N/A</v>
      </c>
      <c r="AD1138" s="7" t="e">
        <f>IF(VLOOKUP($A1138,'Concrete Beam Schedule'!$A$2:$Q$2902,AD$2,0)&lt;&gt;N1138,"Beam Revised","")</f>
        <v>#N/A</v>
      </c>
      <c r="AE1138" s="7" t="e">
        <f>IF(VLOOKUP($A1138,'Concrete Beam Schedule'!$A$2:$Q$2902,AE$2,0)&lt;&gt;O1138,"Beam Revised","")</f>
        <v>#N/A</v>
      </c>
    </row>
    <row r="1139" spans="17:31" ht="13.2" x14ac:dyDescent="0.25">
      <c r="Q1139" s="7">
        <f t="shared" si="17"/>
        <v>0</v>
      </c>
      <c r="R1139" s="7" t="e">
        <f>IF(VLOOKUP($A1139,'Concrete Beam Schedule'!$A$2:$Q$2902,R$2,0)&lt;&gt;B1139,VLOOKUP($A1139,'Concrete Beam Schedule'!$A$2:$Q$2902,R$2,0),"")</f>
        <v>#N/A</v>
      </c>
      <c r="S1139" s="7" t="e">
        <f>IF(VLOOKUP($A1139,'Concrete Beam Schedule'!$A$2:$Q$2902,S$2,0)&lt;&gt;C1139,VLOOKUP($A1139,'Concrete Beam Schedule'!$A$2:$Q$2902,S$2,0),"")</f>
        <v>#N/A</v>
      </c>
      <c r="T1139" s="7" t="e">
        <f>IF(VLOOKUP($A1139,'Concrete Beam Schedule'!$A$2:$Q$2902,T$2,0)&lt;&gt;D1139,"Beam Revised","")</f>
        <v>#N/A</v>
      </c>
      <c r="U1139" s="7" t="e">
        <f>IF(VLOOKUP($A1139,'Concrete Beam Schedule'!$A$2:$Q$2902,U$2,0)&lt;&gt;E1139,"Beam Revised","")</f>
        <v>#N/A</v>
      </c>
      <c r="V1139" s="7" t="e">
        <f>IF(VLOOKUP($A1139,'Concrete Beam Schedule'!$A$2:$Q$2902,V$2,0)&lt;&gt;F1139,"Beam Revised","")</f>
        <v>#N/A</v>
      </c>
      <c r="W1139" s="7" t="e">
        <f>IF(VLOOKUP($A1139,'Concrete Beam Schedule'!$A$2:$Q$2902,W$2,0)&lt;&gt;G1139,"Beam Revised","")</f>
        <v>#N/A</v>
      </c>
      <c r="X1139" s="7" t="e">
        <f>IF(VLOOKUP($A1139,'Concrete Beam Schedule'!$A$2:$Q$2902,X$2,0)&lt;&gt;H1139,"Beam Revised","")</f>
        <v>#N/A</v>
      </c>
      <c r="Y1139" s="7" t="e">
        <f>IF(VLOOKUP($A1139,'Concrete Beam Schedule'!$A$2:$Q$2902,Y$2,0)&lt;&gt;I1139,"Beam Revised","")</f>
        <v>#N/A</v>
      </c>
      <c r="Z1139" s="7" t="e">
        <f>IF(VLOOKUP($A1139,'Concrete Beam Schedule'!$A$2:$Q$2902,Z$2,0)&lt;&gt;J1139,"Beam Revised","")</f>
        <v>#N/A</v>
      </c>
      <c r="AA1139" s="7" t="e">
        <f>IF(VLOOKUP($A1139,'Concrete Beam Schedule'!$A$2:$Q$2902,AA$2,0)&lt;&gt;K1139,"Beam Revised","")</f>
        <v>#N/A</v>
      </c>
      <c r="AB1139" s="7" t="e">
        <f>IF(VLOOKUP($A1139,'Concrete Beam Schedule'!$A$2:$Q$2902,AB$2,0)&lt;&gt;L1139,"Beam Revised","")</f>
        <v>#N/A</v>
      </c>
      <c r="AC1139" s="7" t="e">
        <f>IF(VLOOKUP($A1139,'Concrete Beam Schedule'!$A$2:$Q$2902,AC$2,0)&lt;&gt;M1139,"Beam Revised","")</f>
        <v>#N/A</v>
      </c>
      <c r="AD1139" s="7" t="e">
        <f>IF(VLOOKUP($A1139,'Concrete Beam Schedule'!$A$2:$Q$2902,AD$2,0)&lt;&gt;N1139,"Beam Revised","")</f>
        <v>#N/A</v>
      </c>
      <c r="AE1139" s="7" t="e">
        <f>IF(VLOOKUP($A1139,'Concrete Beam Schedule'!$A$2:$Q$2902,AE$2,0)&lt;&gt;O1139,"Beam Revised","")</f>
        <v>#N/A</v>
      </c>
    </row>
    <row r="1140" spans="17:31" ht="13.2" x14ac:dyDescent="0.25">
      <c r="Q1140" s="7">
        <f t="shared" si="17"/>
        <v>0</v>
      </c>
      <c r="R1140" s="7" t="e">
        <f>IF(VLOOKUP($A1140,'Concrete Beam Schedule'!$A$2:$Q$2902,R$2,0)&lt;&gt;B1140,VLOOKUP($A1140,'Concrete Beam Schedule'!$A$2:$Q$2902,R$2,0),"")</f>
        <v>#N/A</v>
      </c>
      <c r="S1140" s="7" t="e">
        <f>IF(VLOOKUP($A1140,'Concrete Beam Schedule'!$A$2:$Q$2902,S$2,0)&lt;&gt;C1140,VLOOKUP($A1140,'Concrete Beam Schedule'!$A$2:$Q$2902,S$2,0),"")</f>
        <v>#N/A</v>
      </c>
      <c r="T1140" s="7" t="e">
        <f>IF(VLOOKUP($A1140,'Concrete Beam Schedule'!$A$2:$Q$2902,T$2,0)&lt;&gt;D1140,"Beam Revised","")</f>
        <v>#N/A</v>
      </c>
      <c r="U1140" s="7" t="e">
        <f>IF(VLOOKUP($A1140,'Concrete Beam Schedule'!$A$2:$Q$2902,U$2,0)&lt;&gt;E1140,"Beam Revised","")</f>
        <v>#N/A</v>
      </c>
      <c r="V1140" s="7" t="e">
        <f>IF(VLOOKUP($A1140,'Concrete Beam Schedule'!$A$2:$Q$2902,V$2,0)&lt;&gt;F1140,"Beam Revised","")</f>
        <v>#N/A</v>
      </c>
      <c r="W1140" s="7" t="e">
        <f>IF(VLOOKUP($A1140,'Concrete Beam Schedule'!$A$2:$Q$2902,W$2,0)&lt;&gt;G1140,"Beam Revised","")</f>
        <v>#N/A</v>
      </c>
      <c r="X1140" s="7" t="e">
        <f>IF(VLOOKUP($A1140,'Concrete Beam Schedule'!$A$2:$Q$2902,X$2,0)&lt;&gt;H1140,"Beam Revised","")</f>
        <v>#N/A</v>
      </c>
      <c r="Y1140" s="7" t="e">
        <f>IF(VLOOKUP($A1140,'Concrete Beam Schedule'!$A$2:$Q$2902,Y$2,0)&lt;&gt;I1140,"Beam Revised","")</f>
        <v>#N/A</v>
      </c>
      <c r="Z1140" s="7" t="e">
        <f>IF(VLOOKUP($A1140,'Concrete Beam Schedule'!$A$2:$Q$2902,Z$2,0)&lt;&gt;J1140,"Beam Revised","")</f>
        <v>#N/A</v>
      </c>
      <c r="AA1140" s="7" t="e">
        <f>IF(VLOOKUP($A1140,'Concrete Beam Schedule'!$A$2:$Q$2902,AA$2,0)&lt;&gt;K1140,"Beam Revised","")</f>
        <v>#N/A</v>
      </c>
      <c r="AB1140" s="7" t="e">
        <f>IF(VLOOKUP($A1140,'Concrete Beam Schedule'!$A$2:$Q$2902,AB$2,0)&lt;&gt;L1140,"Beam Revised","")</f>
        <v>#N/A</v>
      </c>
      <c r="AC1140" s="7" t="e">
        <f>IF(VLOOKUP($A1140,'Concrete Beam Schedule'!$A$2:$Q$2902,AC$2,0)&lt;&gt;M1140,"Beam Revised","")</f>
        <v>#N/A</v>
      </c>
      <c r="AD1140" s="7" t="e">
        <f>IF(VLOOKUP($A1140,'Concrete Beam Schedule'!$A$2:$Q$2902,AD$2,0)&lt;&gt;N1140,"Beam Revised","")</f>
        <v>#N/A</v>
      </c>
      <c r="AE1140" s="7" t="e">
        <f>IF(VLOOKUP($A1140,'Concrete Beam Schedule'!$A$2:$Q$2902,AE$2,0)&lt;&gt;O1140,"Beam Revised","")</f>
        <v>#N/A</v>
      </c>
    </row>
    <row r="1141" spans="17:31" ht="13.2" x14ac:dyDescent="0.25">
      <c r="Q1141" s="7">
        <f t="shared" si="17"/>
        <v>0</v>
      </c>
      <c r="R1141" s="7" t="e">
        <f>IF(VLOOKUP($A1141,'Concrete Beam Schedule'!$A$2:$Q$2902,R$2,0)&lt;&gt;B1141,VLOOKUP($A1141,'Concrete Beam Schedule'!$A$2:$Q$2902,R$2,0),"")</f>
        <v>#N/A</v>
      </c>
      <c r="S1141" s="7" t="e">
        <f>IF(VLOOKUP($A1141,'Concrete Beam Schedule'!$A$2:$Q$2902,S$2,0)&lt;&gt;C1141,VLOOKUP($A1141,'Concrete Beam Schedule'!$A$2:$Q$2902,S$2,0),"")</f>
        <v>#N/A</v>
      </c>
      <c r="T1141" s="7" t="e">
        <f>IF(VLOOKUP($A1141,'Concrete Beam Schedule'!$A$2:$Q$2902,T$2,0)&lt;&gt;D1141,"Beam Revised","")</f>
        <v>#N/A</v>
      </c>
      <c r="U1141" s="7" t="e">
        <f>IF(VLOOKUP($A1141,'Concrete Beam Schedule'!$A$2:$Q$2902,U$2,0)&lt;&gt;E1141,"Beam Revised","")</f>
        <v>#N/A</v>
      </c>
      <c r="V1141" s="7" t="e">
        <f>IF(VLOOKUP($A1141,'Concrete Beam Schedule'!$A$2:$Q$2902,V$2,0)&lt;&gt;F1141,"Beam Revised","")</f>
        <v>#N/A</v>
      </c>
      <c r="W1141" s="7" t="e">
        <f>IF(VLOOKUP($A1141,'Concrete Beam Schedule'!$A$2:$Q$2902,W$2,0)&lt;&gt;G1141,"Beam Revised","")</f>
        <v>#N/A</v>
      </c>
      <c r="X1141" s="7" t="e">
        <f>IF(VLOOKUP($A1141,'Concrete Beam Schedule'!$A$2:$Q$2902,X$2,0)&lt;&gt;H1141,"Beam Revised","")</f>
        <v>#N/A</v>
      </c>
      <c r="Y1141" s="7" t="e">
        <f>IF(VLOOKUP($A1141,'Concrete Beam Schedule'!$A$2:$Q$2902,Y$2,0)&lt;&gt;I1141,"Beam Revised","")</f>
        <v>#N/A</v>
      </c>
      <c r="Z1141" s="7" t="e">
        <f>IF(VLOOKUP($A1141,'Concrete Beam Schedule'!$A$2:$Q$2902,Z$2,0)&lt;&gt;J1141,"Beam Revised","")</f>
        <v>#N/A</v>
      </c>
      <c r="AA1141" s="7" t="e">
        <f>IF(VLOOKUP($A1141,'Concrete Beam Schedule'!$A$2:$Q$2902,AA$2,0)&lt;&gt;K1141,"Beam Revised","")</f>
        <v>#N/A</v>
      </c>
      <c r="AB1141" s="7" t="e">
        <f>IF(VLOOKUP($A1141,'Concrete Beam Schedule'!$A$2:$Q$2902,AB$2,0)&lt;&gt;L1141,"Beam Revised","")</f>
        <v>#N/A</v>
      </c>
      <c r="AC1141" s="7" t="e">
        <f>IF(VLOOKUP($A1141,'Concrete Beam Schedule'!$A$2:$Q$2902,AC$2,0)&lt;&gt;M1141,"Beam Revised","")</f>
        <v>#N/A</v>
      </c>
      <c r="AD1141" s="7" t="e">
        <f>IF(VLOOKUP($A1141,'Concrete Beam Schedule'!$A$2:$Q$2902,AD$2,0)&lt;&gt;N1141,"Beam Revised","")</f>
        <v>#N/A</v>
      </c>
      <c r="AE1141" s="7" t="e">
        <f>IF(VLOOKUP($A1141,'Concrete Beam Schedule'!$A$2:$Q$2902,AE$2,0)&lt;&gt;O1141,"Beam Revised","")</f>
        <v>#N/A</v>
      </c>
    </row>
    <row r="1142" spans="17:31" ht="13.2" x14ac:dyDescent="0.25">
      <c r="Q1142" s="7">
        <f t="shared" si="17"/>
        <v>0</v>
      </c>
      <c r="R1142" s="7" t="e">
        <f>IF(VLOOKUP($A1142,'Concrete Beam Schedule'!$A$2:$Q$2902,R$2,0)&lt;&gt;B1142,VLOOKUP($A1142,'Concrete Beam Schedule'!$A$2:$Q$2902,R$2,0),"")</f>
        <v>#N/A</v>
      </c>
      <c r="S1142" s="7" t="e">
        <f>IF(VLOOKUP($A1142,'Concrete Beam Schedule'!$A$2:$Q$2902,S$2,0)&lt;&gt;C1142,VLOOKUP($A1142,'Concrete Beam Schedule'!$A$2:$Q$2902,S$2,0),"")</f>
        <v>#N/A</v>
      </c>
      <c r="T1142" s="7" t="e">
        <f>IF(VLOOKUP($A1142,'Concrete Beam Schedule'!$A$2:$Q$2902,T$2,0)&lt;&gt;D1142,"Beam Revised","")</f>
        <v>#N/A</v>
      </c>
      <c r="U1142" s="7" t="e">
        <f>IF(VLOOKUP($A1142,'Concrete Beam Schedule'!$A$2:$Q$2902,U$2,0)&lt;&gt;E1142,"Beam Revised","")</f>
        <v>#N/A</v>
      </c>
      <c r="V1142" s="7" t="e">
        <f>IF(VLOOKUP($A1142,'Concrete Beam Schedule'!$A$2:$Q$2902,V$2,0)&lt;&gt;F1142,"Beam Revised","")</f>
        <v>#N/A</v>
      </c>
      <c r="W1142" s="7" t="e">
        <f>IF(VLOOKUP($A1142,'Concrete Beam Schedule'!$A$2:$Q$2902,W$2,0)&lt;&gt;G1142,"Beam Revised","")</f>
        <v>#N/A</v>
      </c>
      <c r="X1142" s="7" t="e">
        <f>IF(VLOOKUP($A1142,'Concrete Beam Schedule'!$A$2:$Q$2902,X$2,0)&lt;&gt;H1142,"Beam Revised","")</f>
        <v>#N/A</v>
      </c>
      <c r="Y1142" s="7" t="e">
        <f>IF(VLOOKUP($A1142,'Concrete Beam Schedule'!$A$2:$Q$2902,Y$2,0)&lt;&gt;I1142,"Beam Revised","")</f>
        <v>#N/A</v>
      </c>
      <c r="Z1142" s="7" t="e">
        <f>IF(VLOOKUP($A1142,'Concrete Beam Schedule'!$A$2:$Q$2902,Z$2,0)&lt;&gt;J1142,"Beam Revised","")</f>
        <v>#N/A</v>
      </c>
      <c r="AA1142" s="7" t="e">
        <f>IF(VLOOKUP($A1142,'Concrete Beam Schedule'!$A$2:$Q$2902,AA$2,0)&lt;&gt;K1142,"Beam Revised","")</f>
        <v>#N/A</v>
      </c>
      <c r="AB1142" s="7" t="e">
        <f>IF(VLOOKUP($A1142,'Concrete Beam Schedule'!$A$2:$Q$2902,AB$2,0)&lt;&gt;L1142,"Beam Revised","")</f>
        <v>#N/A</v>
      </c>
      <c r="AC1142" s="7" t="e">
        <f>IF(VLOOKUP($A1142,'Concrete Beam Schedule'!$A$2:$Q$2902,AC$2,0)&lt;&gt;M1142,"Beam Revised","")</f>
        <v>#N/A</v>
      </c>
      <c r="AD1142" s="7" t="e">
        <f>IF(VLOOKUP($A1142,'Concrete Beam Schedule'!$A$2:$Q$2902,AD$2,0)&lt;&gt;N1142,"Beam Revised","")</f>
        <v>#N/A</v>
      </c>
      <c r="AE1142" s="7" t="e">
        <f>IF(VLOOKUP($A1142,'Concrete Beam Schedule'!$A$2:$Q$2902,AE$2,0)&lt;&gt;O1142,"Beam Revised","")</f>
        <v>#N/A</v>
      </c>
    </row>
    <row r="1143" spans="17:31" ht="13.2" x14ac:dyDescent="0.25">
      <c r="Q1143" s="7">
        <f t="shared" si="17"/>
        <v>0</v>
      </c>
      <c r="R1143" s="7" t="e">
        <f>IF(VLOOKUP($A1143,'Concrete Beam Schedule'!$A$2:$Q$2902,R$2,0)&lt;&gt;B1143,VLOOKUP($A1143,'Concrete Beam Schedule'!$A$2:$Q$2902,R$2,0),"")</f>
        <v>#N/A</v>
      </c>
      <c r="S1143" s="7" t="e">
        <f>IF(VLOOKUP($A1143,'Concrete Beam Schedule'!$A$2:$Q$2902,S$2,0)&lt;&gt;C1143,VLOOKUP($A1143,'Concrete Beam Schedule'!$A$2:$Q$2902,S$2,0),"")</f>
        <v>#N/A</v>
      </c>
      <c r="T1143" s="7" t="e">
        <f>IF(VLOOKUP($A1143,'Concrete Beam Schedule'!$A$2:$Q$2902,T$2,0)&lt;&gt;D1143,"Beam Revised","")</f>
        <v>#N/A</v>
      </c>
      <c r="U1143" s="7" t="e">
        <f>IF(VLOOKUP($A1143,'Concrete Beam Schedule'!$A$2:$Q$2902,U$2,0)&lt;&gt;E1143,"Beam Revised","")</f>
        <v>#N/A</v>
      </c>
      <c r="V1143" s="7" t="e">
        <f>IF(VLOOKUP($A1143,'Concrete Beam Schedule'!$A$2:$Q$2902,V$2,0)&lt;&gt;F1143,"Beam Revised","")</f>
        <v>#N/A</v>
      </c>
      <c r="W1143" s="7" t="e">
        <f>IF(VLOOKUP($A1143,'Concrete Beam Schedule'!$A$2:$Q$2902,W$2,0)&lt;&gt;G1143,"Beam Revised","")</f>
        <v>#N/A</v>
      </c>
      <c r="X1143" s="7" t="e">
        <f>IF(VLOOKUP($A1143,'Concrete Beam Schedule'!$A$2:$Q$2902,X$2,0)&lt;&gt;H1143,"Beam Revised","")</f>
        <v>#N/A</v>
      </c>
      <c r="Y1143" s="7" t="e">
        <f>IF(VLOOKUP($A1143,'Concrete Beam Schedule'!$A$2:$Q$2902,Y$2,0)&lt;&gt;I1143,"Beam Revised","")</f>
        <v>#N/A</v>
      </c>
      <c r="Z1143" s="7" t="e">
        <f>IF(VLOOKUP($A1143,'Concrete Beam Schedule'!$A$2:$Q$2902,Z$2,0)&lt;&gt;J1143,"Beam Revised","")</f>
        <v>#N/A</v>
      </c>
      <c r="AA1143" s="7" t="e">
        <f>IF(VLOOKUP($A1143,'Concrete Beam Schedule'!$A$2:$Q$2902,AA$2,0)&lt;&gt;K1143,"Beam Revised","")</f>
        <v>#N/A</v>
      </c>
      <c r="AB1143" s="7" t="e">
        <f>IF(VLOOKUP($A1143,'Concrete Beam Schedule'!$A$2:$Q$2902,AB$2,0)&lt;&gt;L1143,"Beam Revised","")</f>
        <v>#N/A</v>
      </c>
      <c r="AC1143" s="7" t="e">
        <f>IF(VLOOKUP($A1143,'Concrete Beam Schedule'!$A$2:$Q$2902,AC$2,0)&lt;&gt;M1143,"Beam Revised","")</f>
        <v>#N/A</v>
      </c>
      <c r="AD1143" s="7" t="e">
        <f>IF(VLOOKUP($A1143,'Concrete Beam Schedule'!$A$2:$Q$2902,AD$2,0)&lt;&gt;N1143,"Beam Revised","")</f>
        <v>#N/A</v>
      </c>
      <c r="AE1143" s="7" t="e">
        <f>IF(VLOOKUP($A1143,'Concrete Beam Schedule'!$A$2:$Q$2902,AE$2,0)&lt;&gt;O1143,"Beam Revised","")</f>
        <v>#N/A</v>
      </c>
    </row>
    <row r="1144" spans="17:31" ht="13.2" x14ac:dyDescent="0.25">
      <c r="Q1144" s="7">
        <f t="shared" si="17"/>
        <v>0</v>
      </c>
      <c r="R1144" s="7" t="e">
        <f>IF(VLOOKUP($A1144,'Concrete Beam Schedule'!$A$2:$Q$2902,R$2,0)&lt;&gt;B1144,VLOOKUP($A1144,'Concrete Beam Schedule'!$A$2:$Q$2902,R$2,0),"")</f>
        <v>#N/A</v>
      </c>
      <c r="S1144" s="7" t="e">
        <f>IF(VLOOKUP($A1144,'Concrete Beam Schedule'!$A$2:$Q$2902,S$2,0)&lt;&gt;C1144,VLOOKUP($A1144,'Concrete Beam Schedule'!$A$2:$Q$2902,S$2,0),"")</f>
        <v>#N/A</v>
      </c>
      <c r="T1144" s="7" t="e">
        <f>IF(VLOOKUP($A1144,'Concrete Beam Schedule'!$A$2:$Q$2902,T$2,0)&lt;&gt;D1144,"Beam Revised","")</f>
        <v>#N/A</v>
      </c>
      <c r="U1144" s="7" t="e">
        <f>IF(VLOOKUP($A1144,'Concrete Beam Schedule'!$A$2:$Q$2902,U$2,0)&lt;&gt;E1144,"Beam Revised","")</f>
        <v>#N/A</v>
      </c>
      <c r="V1144" s="7" t="e">
        <f>IF(VLOOKUP($A1144,'Concrete Beam Schedule'!$A$2:$Q$2902,V$2,0)&lt;&gt;F1144,"Beam Revised","")</f>
        <v>#N/A</v>
      </c>
      <c r="W1144" s="7" t="e">
        <f>IF(VLOOKUP($A1144,'Concrete Beam Schedule'!$A$2:$Q$2902,W$2,0)&lt;&gt;G1144,"Beam Revised","")</f>
        <v>#N/A</v>
      </c>
      <c r="X1144" s="7" t="e">
        <f>IF(VLOOKUP($A1144,'Concrete Beam Schedule'!$A$2:$Q$2902,X$2,0)&lt;&gt;H1144,"Beam Revised","")</f>
        <v>#N/A</v>
      </c>
      <c r="Y1144" s="7" t="e">
        <f>IF(VLOOKUP($A1144,'Concrete Beam Schedule'!$A$2:$Q$2902,Y$2,0)&lt;&gt;I1144,"Beam Revised","")</f>
        <v>#N/A</v>
      </c>
      <c r="Z1144" s="7" t="e">
        <f>IF(VLOOKUP($A1144,'Concrete Beam Schedule'!$A$2:$Q$2902,Z$2,0)&lt;&gt;J1144,"Beam Revised","")</f>
        <v>#N/A</v>
      </c>
      <c r="AA1144" s="7" t="e">
        <f>IF(VLOOKUP($A1144,'Concrete Beam Schedule'!$A$2:$Q$2902,AA$2,0)&lt;&gt;K1144,"Beam Revised","")</f>
        <v>#N/A</v>
      </c>
      <c r="AB1144" s="7" t="e">
        <f>IF(VLOOKUP($A1144,'Concrete Beam Schedule'!$A$2:$Q$2902,AB$2,0)&lt;&gt;L1144,"Beam Revised","")</f>
        <v>#N/A</v>
      </c>
      <c r="AC1144" s="7" t="e">
        <f>IF(VLOOKUP($A1144,'Concrete Beam Schedule'!$A$2:$Q$2902,AC$2,0)&lt;&gt;M1144,"Beam Revised","")</f>
        <v>#N/A</v>
      </c>
      <c r="AD1144" s="7" t="e">
        <f>IF(VLOOKUP($A1144,'Concrete Beam Schedule'!$A$2:$Q$2902,AD$2,0)&lt;&gt;N1144,"Beam Revised","")</f>
        <v>#N/A</v>
      </c>
      <c r="AE1144" s="7" t="e">
        <f>IF(VLOOKUP($A1144,'Concrete Beam Schedule'!$A$2:$Q$2902,AE$2,0)&lt;&gt;O1144,"Beam Revised","")</f>
        <v>#N/A</v>
      </c>
    </row>
    <row r="1145" spans="17:31" ht="13.2" x14ac:dyDescent="0.25">
      <c r="Q1145" s="7">
        <f t="shared" si="17"/>
        <v>0</v>
      </c>
      <c r="R1145" s="7" t="e">
        <f>IF(VLOOKUP($A1145,'Concrete Beam Schedule'!$A$2:$Q$2902,R$2,0)&lt;&gt;B1145,VLOOKUP($A1145,'Concrete Beam Schedule'!$A$2:$Q$2902,R$2,0),"")</f>
        <v>#N/A</v>
      </c>
      <c r="S1145" s="7" t="e">
        <f>IF(VLOOKUP($A1145,'Concrete Beam Schedule'!$A$2:$Q$2902,S$2,0)&lt;&gt;C1145,VLOOKUP($A1145,'Concrete Beam Schedule'!$A$2:$Q$2902,S$2,0),"")</f>
        <v>#N/A</v>
      </c>
      <c r="T1145" s="7" t="e">
        <f>IF(VLOOKUP($A1145,'Concrete Beam Schedule'!$A$2:$Q$2902,T$2,0)&lt;&gt;D1145,"Beam Revised","")</f>
        <v>#N/A</v>
      </c>
      <c r="U1145" s="7" t="e">
        <f>IF(VLOOKUP($A1145,'Concrete Beam Schedule'!$A$2:$Q$2902,U$2,0)&lt;&gt;E1145,"Beam Revised","")</f>
        <v>#N/A</v>
      </c>
      <c r="V1145" s="7" t="e">
        <f>IF(VLOOKUP($A1145,'Concrete Beam Schedule'!$A$2:$Q$2902,V$2,0)&lt;&gt;F1145,"Beam Revised","")</f>
        <v>#N/A</v>
      </c>
      <c r="W1145" s="7" t="e">
        <f>IF(VLOOKUP($A1145,'Concrete Beam Schedule'!$A$2:$Q$2902,W$2,0)&lt;&gt;G1145,"Beam Revised","")</f>
        <v>#N/A</v>
      </c>
      <c r="X1145" s="7" t="e">
        <f>IF(VLOOKUP($A1145,'Concrete Beam Schedule'!$A$2:$Q$2902,X$2,0)&lt;&gt;H1145,"Beam Revised","")</f>
        <v>#N/A</v>
      </c>
      <c r="Y1145" s="7" t="e">
        <f>IF(VLOOKUP($A1145,'Concrete Beam Schedule'!$A$2:$Q$2902,Y$2,0)&lt;&gt;I1145,"Beam Revised","")</f>
        <v>#N/A</v>
      </c>
      <c r="Z1145" s="7" t="e">
        <f>IF(VLOOKUP($A1145,'Concrete Beam Schedule'!$A$2:$Q$2902,Z$2,0)&lt;&gt;J1145,"Beam Revised","")</f>
        <v>#N/A</v>
      </c>
      <c r="AA1145" s="7" t="e">
        <f>IF(VLOOKUP($A1145,'Concrete Beam Schedule'!$A$2:$Q$2902,AA$2,0)&lt;&gt;K1145,"Beam Revised","")</f>
        <v>#N/A</v>
      </c>
      <c r="AB1145" s="7" t="e">
        <f>IF(VLOOKUP($A1145,'Concrete Beam Schedule'!$A$2:$Q$2902,AB$2,0)&lt;&gt;L1145,"Beam Revised","")</f>
        <v>#N/A</v>
      </c>
      <c r="AC1145" s="7" t="e">
        <f>IF(VLOOKUP($A1145,'Concrete Beam Schedule'!$A$2:$Q$2902,AC$2,0)&lt;&gt;M1145,"Beam Revised","")</f>
        <v>#N/A</v>
      </c>
      <c r="AD1145" s="7" t="e">
        <f>IF(VLOOKUP($A1145,'Concrete Beam Schedule'!$A$2:$Q$2902,AD$2,0)&lt;&gt;N1145,"Beam Revised","")</f>
        <v>#N/A</v>
      </c>
      <c r="AE1145" s="7" t="e">
        <f>IF(VLOOKUP($A1145,'Concrete Beam Schedule'!$A$2:$Q$2902,AE$2,0)&lt;&gt;O1145,"Beam Revised","")</f>
        <v>#N/A</v>
      </c>
    </row>
    <row r="1146" spans="17:31" ht="13.2" x14ac:dyDescent="0.25">
      <c r="Q1146" s="7">
        <f t="shared" si="17"/>
        <v>0</v>
      </c>
      <c r="R1146" s="7" t="e">
        <f>IF(VLOOKUP($A1146,'Concrete Beam Schedule'!$A$2:$Q$2902,R$2,0)&lt;&gt;B1146,VLOOKUP($A1146,'Concrete Beam Schedule'!$A$2:$Q$2902,R$2,0),"")</f>
        <v>#N/A</v>
      </c>
      <c r="S1146" s="7" t="e">
        <f>IF(VLOOKUP($A1146,'Concrete Beam Schedule'!$A$2:$Q$2902,S$2,0)&lt;&gt;C1146,VLOOKUP($A1146,'Concrete Beam Schedule'!$A$2:$Q$2902,S$2,0),"")</f>
        <v>#N/A</v>
      </c>
      <c r="T1146" s="7" t="e">
        <f>IF(VLOOKUP($A1146,'Concrete Beam Schedule'!$A$2:$Q$2902,T$2,0)&lt;&gt;D1146,"Beam Revised","")</f>
        <v>#N/A</v>
      </c>
      <c r="U1146" s="7" t="e">
        <f>IF(VLOOKUP($A1146,'Concrete Beam Schedule'!$A$2:$Q$2902,U$2,0)&lt;&gt;E1146,"Beam Revised","")</f>
        <v>#N/A</v>
      </c>
      <c r="V1146" s="7" t="e">
        <f>IF(VLOOKUP($A1146,'Concrete Beam Schedule'!$A$2:$Q$2902,V$2,0)&lt;&gt;F1146,"Beam Revised","")</f>
        <v>#N/A</v>
      </c>
      <c r="W1146" s="7" t="e">
        <f>IF(VLOOKUP($A1146,'Concrete Beam Schedule'!$A$2:$Q$2902,W$2,0)&lt;&gt;G1146,"Beam Revised","")</f>
        <v>#N/A</v>
      </c>
      <c r="X1146" s="7" t="e">
        <f>IF(VLOOKUP($A1146,'Concrete Beam Schedule'!$A$2:$Q$2902,X$2,0)&lt;&gt;H1146,"Beam Revised","")</f>
        <v>#N/A</v>
      </c>
      <c r="Y1146" s="7" t="e">
        <f>IF(VLOOKUP($A1146,'Concrete Beam Schedule'!$A$2:$Q$2902,Y$2,0)&lt;&gt;I1146,"Beam Revised","")</f>
        <v>#N/A</v>
      </c>
      <c r="Z1146" s="7" t="e">
        <f>IF(VLOOKUP($A1146,'Concrete Beam Schedule'!$A$2:$Q$2902,Z$2,0)&lt;&gt;J1146,"Beam Revised","")</f>
        <v>#N/A</v>
      </c>
      <c r="AA1146" s="7" t="e">
        <f>IF(VLOOKUP($A1146,'Concrete Beam Schedule'!$A$2:$Q$2902,AA$2,0)&lt;&gt;K1146,"Beam Revised","")</f>
        <v>#N/A</v>
      </c>
      <c r="AB1146" s="7" t="e">
        <f>IF(VLOOKUP($A1146,'Concrete Beam Schedule'!$A$2:$Q$2902,AB$2,0)&lt;&gt;L1146,"Beam Revised","")</f>
        <v>#N/A</v>
      </c>
      <c r="AC1146" s="7" t="e">
        <f>IF(VLOOKUP($A1146,'Concrete Beam Schedule'!$A$2:$Q$2902,AC$2,0)&lt;&gt;M1146,"Beam Revised","")</f>
        <v>#N/A</v>
      </c>
      <c r="AD1146" s="7" t="e">
        <f>IF(VLOOKUP($A1146,'Concrete Beam Schedule'!$A$2:$Q$2902,AD$2,0)&lt;&gt;N1146,"Beam Revised","")</f>
        <v>#N/A</v>
      </c>
      <c r="AE1146" s="7" t="e">
        <f>IF(VLOOKUP($A1146,'Concrete Beam Schedule'!$A$2:$Q$2902,AE$2,0)&lt;&gt;O1146,"Beam Revised","")</f>
        <v>#N/A</v>
      </c>
    </row>
    <row r="1147" spans="17:31" ht="13.2" x14ac:dyDescent="0.25">
      <c r="Q1147" s="7">
        <f t="shared" si="17"/>
        <v>0</v>
      </c>
      <c r="R1147" s="7" t="e">
        <f>IF(VLOOKUP($A1147,'Concrete Beam Schedule'!$A$2:$Q$2902,R$2,0)&lt;&gt;B1147,VLOOKUP($A1147,'Concrete Beam Schedule'!$A$2:$Q$2902,R$2,0),"")</f>
        <v>#N/A</v>
      </c>
      <c r="S1147" s="7" t="e">
        <f>IF(VLOOKUP($A1147,'Concrete Beam Schedule'!$A$2:$Q$2902,S$2,0)&lt;&gt;C1147,VLOOKUP($A1147,'Concrete Beam Schedule'!$A$2:$Q$2902,S$2,0),"")</f>
        <v>#N/A</v>
      </c>
      <c r="T1147" s="7" t="e">
        <f>IF(VLOOKUP($A1147,'Concrete Beam Schedule'!$A$2:$Q$2902,T$2,0)&lt;&gt;D1147,"Beam Revised","")</f>
        <v>#N/A</v>
      </c>
      <c r="U1147" s="7" t="e">
        <f>IF(VLOOKUP($A1147,'Concrete Beam Schedule'!$A$2:$Q$2902,U$2,0)&lt;&gt;E1147,"Beam Revised","")</f>
        <v>#N/A</v>
      </c>
      <c r="V1147" s="7" t="e">
        <f>IF(VLOOKUP($A1147,'Concrete Beam Schedule'!$A$2:$Q$2902,V$2,0)&lt;&gt;F1147,"Beam Revised","")</f>
        <v>#N/A</v>
      </c>
      <c r="W1147" s="7" t="e">
        <f>IF(VLOOKUP($A1147,'Concrete Beam Schedule'!$A$2:$Q$2902,W$2,0)&lt;&gt;G1147,"Beam Revised","")</f>
        <v>#N/A</v>
      </c>
      <c r="X1147" s="7" t="e">
        <f>IF(VLOOKUP($A1147,'Concrete Beam Schedule'!$A$2:$Q$2902,X$2,0)&lt;&gt;H1147,"Beam Revised","")</f>
        <v>#N/A</v>
      </c>
      <c r="Y1147" s="7" t="e">
        <f>IF(VLOOKUP($A1147,'Concrete Beam Schedule'!$A$2:$Q$2902,Y$2,0)&lt;&gt;I1147,"Beam Revised","")</f>
        <v>#N/A</v>
      </c>
      <c r="Z1147" s="7" t="e">
        <f>IF(VLOOKUP($A1147,'Concrete Beam Schedule'!$A$2:$Q$2902,Z$2,0)&lt;&gt;J1147,"Beam Revised","")</f>
        <v>#N/A</v>
      </c>
      <c r="AA1147" s="7" t="e">
        <f>IF(VLOOKUP($A1147,'Concrete Beam Schedule'!$A$2:$Q$2902,AA$2,0)&lt;&gt;K1147,"Beam Revised","")</f>
        <v>#N/A</v>
      </c>
      <c r="AB1147" s="7" t="e">
        <f>IF(VLOOKUP($A1147,'Concrete Beam Schedule'!$A$2:$Q$2902,AB$2,0)&lt;&gt;L1147,"Beam Revised","")</f>
        <v>#N/A</v>
      </c>
      <c r="AC1147" s="7" t="e">
        <f>IF(VLOOKUP($A1147,'Concrete Beam Schedule'!$A$2:$Q$2902,AC$2,0)&lt;&gt;M1147,"Beam Revised","")</f>
        <v>#N/A</v>
      </c>
      <c r="AD1147" s="7" t="e">
        <f>IF(VLOOKUP($A1147,'Concrete Beam Schedule'!$A$2:$Q$2902,AD$2,0)&lt;&gt;N1147,"Beam Revised","")</f>
        <v>#N/A</v>
      </c>
      <c r="AE1147" s="7" t="e">
        <f>IF(VLOOKUP($A1147,'Concrete Beam Schedule'!$A$2:$Q$2902,AE$2,0)&lt;&gt;O1147,"Beam Revised","")</f>
        <v>#N/A</v>
      </c>
    </row>
    <row r="1148" spans="17:31" ht="13.2" x14ac:dyDescent="0.25">
      <c r="Q1148" s="7">
        <f t="shared" si="17"/>
        <v>0</v>
      </c>
      <c r="R1148" s="7" t="e">
        <f>IF(VLOOKUP($A1148,'Concrete Beam Schedule'!$A$2:$Q$2902,R$2,0)&lt;&gt;B1148,VLOOKUP($A1148,'Concrete Beam Schedule'!$A$2:$Q$2902,R$2,0),"")</f>
        <v>#N/A</v>
      </c>
      <c r="S1148" s="7" t="e">
        <f>IF(VLOOKUP($A1148,'Concrete Beam Schedule'!$A$2:$Q$2902,S$2,0)&lt;&gt;C1148,VLOOKUP($A1148,'Concrete Beam Schedule'!$A$2:$Q$2902,S$2,0),"")</f>
        <v>#N/A</v>
      </c>
      <c r="T1148" s="7" t="e">
        <f>IF(VLOOKUP($A1148,'Concrete Beam Schedule'!$A$2:$Q$2902,T$2,0)&lt;&gt;D1148,"Beam Revised","")</f>
        <v>#N/A</v>
      </c>
      <c r="U1148" s="7" t="e">
        <f>IF(VLOOKUP($A1148,'Concrete Beam Schedule'!$A$2:$Q$2902,U$2,0)&lt;&gt;E1148,"Beam Revised","")</f>
        <v>#N/A</v>
      </c>
      <c r="V1148" s="7" t="e">
        <f>IF(VLOOKUP($A1148,'Concrete Beam Schedule'!$A$2:$Q$2902,V$2,0)&lt;&gt;F1148,"Beam Revised","")</f>
        <v>#N/A</v>
      </c>
      <c r="W1148" s="7" t="e">
        <f>IF(VLOOKUP($A1148,'Concrete Beam Schedule'!$A$2:$Q$2902,W$2,0)&lt;&gt;G1148,"Beam Revised","")</f>
        <v>#N/A</v>
      </c>
      <c r="X1148" s="7" t="e">
        <f>IF(VLOOKUP($A1148,'Concrete Beam Schedule'!$A$2:$Q$2902,X$2,0)&lt;&gt;H1148,"Beam Revised","")</f>
        <v>#N/A</v>
      </c>
      <c r="Y1148" s="7" t="e">
        <f>IF(VLOOKUP($A1148,'Concrete Beam Schedule'!$A$2:$Q$2902,Y$2,0)&lt;&gt;I1148,"Beam Revised","")</f>
        <v>#N/A</v>
      </c>
      <c r="Z1148" s="7" t="e">
        <f>IF(VLOOKUP($A1148,'Concrete Beam Schedule'!$A$2:$Q$2902,Z$2,0)&lt;&gt;J1148,"Beam Revised","")</f>
        <v>#N/A</v>
      </c>
      <c r="AA1148" s="7" t="e">
        <f>IF(VLOOKUP($A1148,'Concrete Beam Schedule'!$A$2:$Q$2902,AA$2,0)&lt;&gt;K1148,"Beam Revised","")</f>
        <v>#N/A</v>
      </c>
      <c r="AB1148" s="7" t="e">
        <f>IF(VLOOKUP($A1148,'Concrete Beam Schedule'!$A$2:$Q$2902,AB$2,0)&lt;&gt;L1148,"Beam Revised","")</f>
        <v>#N/A</v>
      </c>
      <c r="AC1148" s="7" t="e">
        <f>IF(VLOOKUP($A1148,'Concrete Beam Schedule'!$A$2:$Q$2902,AC$2,0)&lt;&gt;M1148,"Beam Revised","")</f>
        <v>#N/A</v>
      </c>
      <c r="AD1148" s="7" t="e">
        <f>IF(VLOOKUP($A1148,'Concrete Beam Schedule'!$A$2:$Q$2902,AD$2,0)&lt;&gt;N1148,"Beam Revised","")</f>
        <v>#N/A</v>
      </c>
      <c r="AE1148" s="7" t="e">
        <f>IF(VLOOKUP($A1148,'Concrete Beam Schedule'!$A$2:$Q$2902,AE$2,0)&lt;&gt;O1148,"Beam Revised","")</f>
        <v>#N/A</v>
      </c>
    </row>
    <row r="1149" spans="17:31" ht="13.2" x14ac:dyDescent="0.25">
      <c r="Q1149" s="7">
        <f t="shared" si="17"/>
        <v>0</v>
      </c>
      <c r="R1149" s="7" t="e">
        <f>IF(VLOOKUP($A1149,'Concrete Beam Schedule'!$A$2:$Q$2902,R$2,0)&lt;&gt;B1149,VLOOKUP($A1149,'Concrete Beam Schedule'!$A$2:$Q$2902,R$2,0),"")</f>
        <v>#N/A</v>
      </c>
      <c r="S1149" s="7" t="e">
        <f>IF(VLOOKUP($A1149,'Concrete Beam Schedule'!$A$2:$Q$2902,S$2,0)&lt;&gt;C1149,VLOOKUP($A1149,'Concrete Beam Schedule'!$A$2:$Q$2902,S$2,0),"")</f>
        <v>#N/A</v>
      </c>
      <c r="T1149" s="7" t="e">
        <f>IF(VLOOKUP($A1149,'Concrete Beam Schedule'!$A$2:$Q$2902,T$2,0)&lt;&gt;D1149,"Beam Revised","")</f>
        <v>#N/A</v>
      </c>
      <c r="U1149" s="7" t="e">
        <f>IF(VLOOKUP($A1149,'Concrete Beam Schedule'!$A$2:$Q$2902,U$2,0)&lt;&gt;E1149,"Beam Revised","")</f>
        <v>#N/A</v>
      </c>
      <c r="V1149" s="7" t="e">
        <f>IF(VLOOKUP($A1149,'Concrete Beam Schedule'!$A$2:$Q$2902,V$2,0)&lt;&gt;F1149,"Beam Revised","")</f>
        <v>#N/A</v>
      </c>
      <c r="W1149" s="7" t="e">
        <f>IF(VLOOKUP($A1149,'Concrete Beam Schedule'!$A$2:$Q$2902,W$2,0)&lt;&gt;G1149,"Beam Revised","")</f>
        <v>#N/A</v>
      </c>
      <c r="X1149" s="7" t="e">
        <f>IF(VLOOKUP($A1149,'Concrete Beam Schedule'!$A$2:$Q$2902,X$2,0)&lt;&gt;H1149,"Beam Revised","")</f>
        <v>#N/A</v>
      </c>
      <c r="Y1149" s="7" t="e">
        <f>IF(VLOOKUP($A1149,'Concrete Beam Schedule'!$A$2:$Q$2902,Y$2,0)&lt;&gt;I1149,"Beam Revised","")</f>
        <v>#N/A</v>
      </c>
      <c r="Z1149" s="7" t="e">
        <f>IF(VLOOKUP($A1149,'Concrete Beam Schedule'!$A$2:$Q$2902,Z$2,0)&lt;&gt;J1149,"Beam Revised","")</f>
        <v>#N/A</v>
      </c>
      <c r="AA1149" s="7" t="e">
        <f>IF(VLOOKUP($A1149,'Concrete Beam Schedule'!$A$2:$Q$2902,AA$2,0)&lt;&gt;K1149,"Beam Revised","")</f>
        <v>#N/A</v>
      </c>
      <c r="AB1149" s="7" t="e">
        <f>IF(VLOOKUP($A1149,'Concrete Beam Schedule'!$A$2:$Q$2902,AB$2,0)&lt;&gt;L1149,"Beam Revised","")</f>
        <v>#N/A</v>
      </c>
      <c r="AC1149" s="7" t="e">
        <f>IF(VLOOKUP($A1149,'Concrete Beam Schedule'!$A$2:$Q$2902,AC$2,0)&lt;&gt;M1149,"Beam Revised","")</f>
        <v>#N/A</v>
      </c>
      <c r="AD1149" s="7" t="e">
        <f>IF(VLOOKUP($A1149,'Concrete Beam Schedule'!$A$2:$Q$2902,AD$2,0)&lt;&gt;N1149,"Beam Revised","")</f>
        <v>#N/A</v>
      </c>
      <c r="AE1149" s="7" t="e">
        <f>IF(VLOOKUP($A1149,'Concrete Beam Schedule'!$A$2:$Q$2902,AE$2,0)&lt;&gt;O1149,"Beam Revised","")</f>
        <v>#N/A</v>
      </c>
    </row>
    <row r="1150" spans="17:31" ht="13.2" x14ac:dyDescent="0.25">
      <c r="Q1150" s="7">
        <f t="shared" si="17"/>
        <v>0</v>
      </c>
      <c r="R1150" s="7" t="e">
        <f>IF(VLOOKUP($A1150,'Concrete Beam Schedule'!$A$2:$Q$2902,R$2,0)&lt;&gt;B1150,VLOOKUP($A1150,'Concrete Beam Schedule'!$A$2:$Q$2902,R$2,0),"")</f>
        <v>#N/A</v>
      </c>
      <c r="S1150" s="7" t="e">
        <f>IF(VLOOKUP($A1150,'Concrete Beam Schedule'!$A$2:$Q$2902,S$2,0)&lt;&gt;C1150,VLOOKUP($A1150,'Concrete Beam Schedule'!$A$2:$Q$2902,S$2,0),"")</f>
        <v>#N/A</v>
      </c>
      <c r="T1150" s="7" t="e">
        <f>IF(VLOOKUP($A1150,'Concrete Beam Schedule'!$A$2:$Q$2902,T$2,0)&lt;&gt;D1150,"Beam Revised","")</f>
        <v>#N/A</v>
      </c>
      <c r="U1150" s="7" t="e">
        <f>IF(VLOOKUP($A1150,'Concrete Beam Schedule'!$A$2:$Q$2902,U$2,0)&lt;&gt;E1150,"Beam Revised","")</f>
        <v>#N/A</v>
      </c>
      <c r="V1150" s="7" t="e">
        <f>IF(VLOOKUP($A1150,'Concrete Beam Schedule'!$A$2:$Q$2902,V$2,0)&lt;&gt;F1150,"Beam Revised","")</f>
        <v>#N/A</v>
      </c>
      <c r="W1150" s="7" t="e">
        <f>IF(VLOOKUP($A1150,'Concrete Beam Schedule'!$A$2:$Q$2902,W$2,0)&lt;&gt;G1150,"Beam Revised","")</f>
        <v>#N/A</v>
      </c>
      <c r="X1150" s="7" t="e">
        <f>IF(VLOOKUP($A1150,'Concrete Beam Schedule'!$A$2:$Q$2902,X$2,0)&lt;&gt;H1150,"Beam Revised","")</f>
        <v>#N/A</v>
      </c>
      <c r="Y1150" s="7" t="e">
        <f>IF(VLOOKUP($A1150,'Concrete Beam Schedule'!$A$2:$Q$2902,Y$2,0)&lt;&gt;I1150,"Beam Revised","")</f>
        <v>#N/A</v>
      </c>
      <c r="Z1150" s="7" t="e">
        <f>IF(VLOOKUP($A1150,'Concrete Beam Schedule'!$A$2:$Q$2902,Z$2,0)&lt;&gt;J1150,"Beam Revised","")</f>
        <v>#N/A</v>
      </c>
      <c r="AA1150" s="7" t="e">
        <f>IF(VLOOKUP($A1150,'Concrete Beam Schedule'!$A$2:$Q$2902,AA$2,0)&lt;&gt;K1150,"Beam Revised","")</f>
        <v>#N/A</v>
      </c>
      <c r="AB1150" s="7" t="e">
        <f>IF(VLOOKUP($A1150,'Concrete Beam Schedule'!$A$2:$Q$2902,AB$2,0)&lt;&gt;L1150,"Beam Revised","")</f>
        <v>#N/A</v>
      </c>
      <c r="AC1150" s="7" t="e">
        <f>IF(VLOOKUP($A1150,'Concrete Beam Schedule'!$A$2:$Q$2902,AC$2,0)&lt;&gt;M1150,"Beam Revised","")</f>
        <v>#N/A</v>
      </c>
      <c r="AD1150" s="7" t="e">
        <f>IF(VLOOKUP($A1150,'Concrete Beam Schedule'!$A$2:$Q$2902,AD$2,0)&lt;&gt;N1150,"Beam Revised","")</f>
        <v>#N/A</v>
      </c>
      <c r="AE1150" s="7" t="e">
        <f>IF(VLOOKUP($A1150,'Concrete Beam Schedule'!$A$2:$Q$2902,AE$2,0)&lt;&gt;O1150,"Beam Revised","")</f>
        <v>#N/A</v>
      </c>
    </row>
    <row r="1151" spans="17:31" ht="13.2" x14ac:dyDescent="0.25">
      <c r="Q1151" s="7">
        <f t="shared" si="17"/>
        <v>0</v>
      </c>
      <c r="R1151" s="7" t="e">
        <f>IF(VLOOKUP($A1151,'Concrete Beam Schedule'!$A$2:$Q$2902,R$2,0)&lt;&gt;B1151,VLOOKUP($A1151,'Concrete Beam Schedule'!$A$2:$Q$2902,R$2,0),"")</f>
        <v>#N/A</v>
      </c>
      <c r="S1151" s="7" t="e">
        <f>IF(VLOOKUP($A1151,'Concrete Beam Schedule'!$A$2:$Q$2902,S$2,0)&lt;&gt;C1151,VLOOKUP($A1151,'Concrete Beam Schedule'!$A$2:$Q$2902,S$2,0),"")</f>
        <v>#N/A</v>
      </c>
      <c r="T1151" s="7" t="e">
        <f>IF(VLOOKUP($A1151,'Concrete Beam Schedule'!$A$2:$Q$2902,T$2,0)&lt;&gt;D1151,"Beam Revised","")</f>
        <v>#N/A</v>
      </c>
      <c r="U1151" s="7" t="e">
        <f>IF(VLOOKUP($A1151,'Concrete Beam Schedule'!$A$2:$Q$2902,U$2,0)&lt;&gt;E1151,"Beam Revised","")</f>
        <v>#N/A</v>
      </c>
      <c r="V1151" s="7" t="e">
        <f>IF(VLOOKUP($A1151,'Concrete Beam Schedule'!$A$2:$Q$2902,V$2,0)&lt;&gt;F1151,"Beam Revised","")</f>
        <v>#N/A</v>
      </c>
      <c r="W1151" s="7" t="e">
        <f>IF(VLOOKUP($A1151,'Concrete Beam Schedule'!$A$2:$Q$2902,W$2,0)&lt;&gt;G1151,"Beam Revised","")</f>
        <v>#N/A</v>
      </c>
      <c r="X1151" s="7" t="e">
        <f>IF(VLOOKUP($A1151,'Concrete Beam Schedule'!$A$2:$Q$2902,X$2,0)&lt;&gt;H1151,"Beam Revised","")</f>
        <v>#N/A</v>
      </c>
      <c r="Y1151" s="7" t="e">
        <f>IF(VLOOKUP($A1151,'Concrete Beam Schedule'!$A$2:$Q$2902,Y$2,0)&lt;&gt;I1151,"Beam Revised","")</f>
        <v>#N/A</v>
      </c>
      <c r="Z1151" s="7" t="e">
        <f>IF(VLOOKUP($A1151,'Concrete Beam Schedule'!$A$2:$Q$2902,Z$2,0)&lt;&gt;J1151,"Beam Revised","")</f>
        <v>#N/A</v>
      </c>
      <c r="AA1151" s="7" t="e">
        <f>IF(VLOOKUP($A1151,'Concrete Beam Schedule'!$A$2:$Q$2902,AA$2,0)&lt;&gt;K1151,"Beam Revised","")</f>
        <v>#N/A</v>
      </c>
      <c r="AB1151" s="7" t="e">
        <f>IF(VLOOKUP($A1151,'Concrete Beam Schedule'!$A$2:$Q$2902,AB$2,0)&lt;&gt;L1151,"Beam Revised","")</f>
        <v>#N/A</v>
      </c>
      <c r="AC1151" s="7" t="e">
        <f>IF(VLOOKUP($A1151,'Concrete Beam Schedule'!$A$2:$Q$2902,AC$2,0)&lt;&gt;M1151,"Beam Revised","")</f>
        <v>#N/A</v>
      </c>
      <c r="AD1151" s="7" t="e">
        <f>IF(VLOOKUP($A1151,'Concrete Beam Schedule'!$A$2:$Q$2902,AD$2,0)&lt;&gt;N1151,"Beam Revised","")</f>
        <v>#N/A</v>
      </c>
      <c r="AE1151" s="7" t="e">
        <f>IF(VLOOKUP($A1151,'Concrete Beam Schedule'!$A$2:$Q$2902,AE$2,0)&lt;&gt;O1151,"Beam Revised","")</f>
        <v>#N/A</v>
      </c>
    </row>
    <row r="1152" spans="17:31" ht="13.2" x14ac:dyDescent="0.25">
      <c r="Q1152" s="7">
        <f t="shared" si="17"/>
        <v>0</v>
      </c>
      <c r="R1152" s="7" t="e">
        <f>IF(VLOOKUP($A1152,'Concrete Beam Schedule'!$A$2:$Q$2902,R$2,0)&lt;&gt;B1152,VLOOKUP($A1152,'Concrete Beam Schedule'!$A$2:$Q$2902,R$2,0),"")</f>
        <v>#N/A</v>
      </c>
      <c r="S1152" s="7" t="e">
        <f>IF(VLOOKUP($A1152,'Concrete Beam Schedule'!$A$2:$Q$2902,S$2,0)&lt;&gt;C1152,VLOOKUP($A1152,'Concrete Beam Schedule'!$A$2:$Q$2902,S$2,0),"")</f>
        <v>#N/A</v>
      </c>
      <c r="T1152" s="7" t="e">
        <f>IF(VLOOKUP($A1152,'Concrete Beam Schedule'!$A$2:$Q$2902,T$2,0)&lt;&gt;D1152,"Beam Revised","")</f>
        <v>#N/A</v>
      </c>
      <c r="U1152" s="7" t="e">
        <f>IF(VLOOKUP($A1152,'Concrete Beam Schedule'!$A$2:$Q$2902,U$2,0)&lt;&gt;E1152,"Beam Revised","")</f>
        <v>#N/A</v>
      </c>
      <c r="V1152" s="7" t="e">
        <f>IF(VLOOKUP($A1152,'Concrete Beam Schedule'!$A$2:$Q$2902,V$2,0)&lt;&gt;F1152,"Beam Revised","")</f>
        <v>#N/A</v>
      </c>
      <c r="W1152" s="7" t="e">
        <f>IF(VLOOKUP($A1152,'Concrete Beam Schedule'!$A$2:$Q$2902,W$2,0)&lt;&gt;G1152,"Beam Revised","")</f>
        <v>#N/A</v>
      </c>
      <c r="X1152" s="7" t="e">
        <f>IF(VLOOKUP($A1152,'Concrete Beam Schedule'!$A$2:$Q$2902,X$2,0)&lt;&gt;H1152,"Beam Revised","")</f>
        <v>#N/A</v>
      </c>
      <c r="Y1152" s="7" t="e">
        <f>IF(VLOOKUP($A1152,'Concrete Beam Schedule'!$A$2:$Q$2902,Y$2,0)&lt;&gt;I1152,"Beam Revised","")</f>
        <v>#N/A</v>
      </c>
      <c r="Z1152" s="7" t="e">
        <f>IF(VLOOKUP($A1152,'Concrete Beam Schedule'!$A$2:$Q$2902,Z$2,0)&lt;&gt;J1152,"Beam Revised","")</f>
        <v>#N/A</v>
      </c>
      <c r="AA1152" s="7" t="e">
        <f>IF(VLOOKUP($A1152,'Concrete Beam Schedule'!$A$2:$Q$2902,AA$2,0)&lt;&gt;K1152,"Beam Revised","")</f>
        <v>#N/A</v>
      </c>
      <c r="AB1152" s="7" t="e">
        <f>IF(VLOOKUP($A1152,'Concrete Beam Schedule'!$A$2:$Q$2902,AB$2,0)&lt;&gt;L1152,"Beam Revised","")</f>
        <v>#N/A</v>
      </c>
      <c r="AC1152" s="7" t="e">
        <f>IF(VLOOKUP($A1152,'Concrete Beam Schedule'!$A$2:$Q$2902,AC$2,0)&lt;&gt;M1152,"Beam Revised","")</f>
        <v>#N/A</v>
      </c>
      <c r="AD1152" s="7" t="e">
        <f>IF(VLOOKUP($A1152,'Concrete Beam Schedule'!$A$2:$Q$2902,AD$2,0)&lt;&gt;N1152,"Beam Revised","")</f>
        <v>#N/A</v>
      </c>
      <c r="AE1152" s="7" t="e">
        <f>IF(VLOOKUP($A1152,'Concrete Beam Schedule'!$A$2:$Q$2902,AE$2,0)&lt;&gt;O1152,"Beam Revised","")</f>
        <v>#N/A</v>
      </c>
    </row>
    <row r="1153" spans="17:31" ht="13.2" x14ac:dyDescent="0.25">
      <c r="Q1153" s="7">
        <f t="shared" si="17"/>
        <v>0</v>
      </c>
      <c r="R1153" s="7" t="e">
        <f>IF(VLOOKUP($A1153,'Concrete Beam Schedule'!$A$2:$Q$2902,R$2,0)&lt;&gt;B1153,VLOOKUP($A1153,'Concrete Beam Schedule'!$A$2:$Q$2902,R$2,0),"")</f>
        <v>#N/A</v>
      </c>
      <c r="S1153" s="7" t="e">
        <f>IF(VLOOKUP($A1153,'Concrete Beam Schedule'!$A$2:$Q$2902,S$2,0)&lt;&gt;C1153,VLOOKUP($A1153,'Concrete Beam Schedule'!$A$2:$Q$2902,S$2,0),"")</f>
        <v>#N/A</v>
      </c>
      <c r="T1153" s="7" t="e">
        <f>IF(VLOOKUP($A1153,'Concrete Beam Schedule'!$A$2:$Q$2902,T$2,0)&lt;&gt;D1153,"Beam Revised","")</f>
        <v>#N/A</v>
      </c>
      <c r="U1153" s="7" t="e">
        <f>IF(VLOOKUP($A1153,'Concrete Beam Schedule'!$A$2:$Q$2902,U$2,0)&lt;&gt;E1153,"Beam Revised","")</f>
        <v>#N/A</v>
      </c>
      <c r="V1153" s="7" t="e">
        <f>IF(VLOOKUP($A1153,'Concrete Beam Schedule'!$A$2:$Q$2902,V$2,0)&lt;&gt;F1153,"Beam Revised","")</f>
        <v>#N/A</v>
      </c>
      <c r="W1153" s="7" t="e">
        <f>IF(VLOOKUP($A1153,'Concrete Beam Schedule'!$A$2:$Q$2902,W$2,0)&lt;&gt;G1153,"Beam Revised","")</f>
        <v>#N/A</v>
      </c>
      <c r="X1153" s="7" t="e">
        <f>IF(VLOOKUP($A1153,'Concrete Beam Schedule'!$A$2:$Q$2902,X$2,0)&lt;&gt;H1153,"Beam Revised","")</f>
        <v>#N/A</v>
      </c>
      <c r="Y1153" s="7" t="e">
        <f>IF(VLOOKUP($A1153,'Concrete Beam Schedule'!$A$2:$Q$2902,Y$2,0)&lt;&gt;I1153,"Beam Revised","")</f>
        <v>#N/A</v>
      </c>
      <c r="Z1153" s="7" t="e">
        <f>IF(VLOOKUP($A1153,'Concrete Beam Schedule'!$A$2:$Q$2902,Z$2,0)&lt;&gt;J1153,"Beam Revised","")</f>
        <v>#N/A</v>
      </c>
      <c r="AA1153" s="7" t="e">
        <f>IF(VLOOKUP($A1153,'Concrete Beam Schedule'!$A$2:$Q$2902,AA$2,0)&lt;&gt;K1153,"Beam Revised","")</f>
        <v>#N/A</v>
      </c>
      <c r="AB1153" s="7" t="e">
        <f>IF(VLOOKUP($A1153,'Concrete Beam Schedule'!$A$2:$Q$2902,AB$2,0)&lt;&gt;L1153,"Beam Revised","")</f>
        <v>#N/A</v>
      </c>
      <c r="AC1153" s="7" t="e">
        <f>IF(VLOOKUP($A1153,'Concrete Beam Schedule'!$A$2:$Q$2902,AC$2,0)&lt;&gt;M1153,"Beam Revised","")</f>
        <v>#N/A</v>
      </c>
      <c r="AD1153" s="7" t="e">
        <f>IF(VLOOKUP($A1153,'Concrete Beam Schedule'!$A$2:$Q$2902,AD$2,0)&lt;&gt;N1153,"Beam Revised","")</f>
        <v>#N/A</v>
      </c>
      <c r="AE1153" s="7" t="e">
        <f>IF(VLOOKUP($A1153,'Concrete Beam Schedule'!$A$2:$Q$2902,AE$2,0)&lt;&gt;O1153,"Beam Revised","")</f>
        <v>#N/A</v>
      </c>
    </row>
    <row r="1154" spans="17:31" ht="13.2" x14ac:dyDescent="0.25">
      <c r="Q1154" s="7">
        <f t="shared" si="17"/>
        <v>0</v>
      </c>
      <c r="R1154" s="7" t="e">
        <f>IF(VLOOKUP($A1154,'Concrete Beam Schedule'!$A$2:$Q$2902,R$2,0)&lt;&gt;B1154,VLOOKUP($A1154,'Concrete Beam Schedule'!$A$2:$Q$2902,R$2,0),"")</f>
        <v>#N/A</v>
      </c>
      <c r="S1154" s="7" t="e">
        <f>IF(VLOOKUP($A1154,'Concrete Beam Schedule'!$A$2:$Q$2902,S$2,0)&lt;&gt;C1154,VLOOKUP($A1154,'Concrete Beam Schedule'!$A$2:$Q$2902,S$2,0),"")</f>
        <v>#N/A</v>
      </c>
      <c r="T1154" s="7" t="e">
        <f>IF(VLOOKUP($A1154,'Concrete Beam Schedule'!$A$2:$Q$2902,T$2,0)&lt;&gt;D1154,"Beam Revised","")</f>
        <v>#N/A</v>
      </c>
      <c r="U1154" s="7" t="e">
        <f>IF(VLOOKUP($A1154,'Concrete Beam Schedule'!$A$2:$Q$2902,U$2,0)&lt;&gt;E1154,"Beam Revised","")</f>
        <v>#N/A</v>
      </c>
      <c r="V1154" s="7" t="e">
        <f>IF(VLOOKUP($A1154,'Concrete Beam Schedule'!$A$2:$Q$2902,V$2,0)&lt;&gt;F1154,"Beam Revised","")</f>
        <v>#N/A</v>
      </c>
      <c r="W1154" s="7" t="e">
        <f>IF(VLOOKUP($A1154,'Concrete Beam Schedule'!$A$2:$Q$2902,W$2,0)&lt;&gt;G1154,"Beam Revised","")</f>
        <v>#N/A</v>
      </c>
      <c r="X1154" s="7" t="e">
        <f>IF(VLOOKUP($A1154,'Concrete Beam Schedule'!$A$2:$Q$2902,X$2,0)&lt;&gt;H1154,"Beam Revised","")</f>
        <v>#N/A</v>
      </c>
      <c r="Y1154" s="7" t="e">
        <f>IF(VLOOKUP($A1154,'Concrete Beam Schedule'!$A$2:$Q$2902,Y$2,0)&lt;&gt;I1154,"Beam Revised","")</f>
        <v>#N/A</v>
      </c>
      <c r="Z1154" s="7" t="e">
        <f>IF(VLOOKUP($A1154,'Concrete Beam Schedule'!$A$2:$Q$2902,Z$2,0)&lt;&gt;J1154,"Beam Revised","")</f>
        <v>#N/A</v>
      </c>
      <c r="AA1154" s="7" t="e">
        <f>IF(VLOOKUP($A1154,'Concrete Beam Schedule'!$A$2:$Q$2902,AA$2,0)&lt;&gt;K1154,"Beam Revised","")</f>
        <v>#N/A</v>
      </c>
      <c r="AB1154" s="7" t="e">
        <f>IF(VLOOKUP($A1154,'Concrete Beam Schedule'!$A$2:$Q$2902,AB$2,0)&lt;&gt;L1154,"Beam Revised","")</f>
        <v>#N/A</v>
      </c>
      <c r="AC1154" s="7" t="e">
        <f>IF(VLOOKUP($A1154,'Concrete Beam Schedule'!$A$2:$Q$2902,AC$2,0)&lt;&gt;M1154,"Beam Revised","")</f>
        <v>#N/A</v>
      </c>
      <c r="AD1154" s="7" t="e">
        <f>IF(VLOOKUP($A1154,'Concrete Beam Schedule'!$A$2:$Q$2902,AD$2,0)&lt;&gt;N1154,"Beam Revised","")</f>
        <v>#N/A</v>
      </c>
      <c r="AE1154" s="7" t="e">
        <f>IF(VLOOKUP($A1154,'Concrete Beam Schedule'!$A$2:$Q$2902,AE$2,0)&lt;&gt;O1154,"Beam Revised","")</f>
        <v>#N/A</v>
      </c>
    </row>
    <row r="1155" spans="17:31" ht="13.2" x14ac:dyDescent="0.25">
      <c r="Q1155" s="7">
        <f t="shared" si="17"/>
        <v>0</v>
      </c>
      <c r="R1155" s="7" t="e">
        <f>IF(VLOOKUP($A1155,'Concrete Beam Schedule'!$A$2:$Q$2902,R$2,0)&lt;&gt;B1155,VLOOKUP($A1155,'Concrete Beam Schedule'!$A$2:$Q$2902,R$2,0),"")</f>
        <v>#N/A</v>
      </c>
      <c r="S1155" s="7" t="e">
        <f>IF(VLOOKUP($A1155,'Concrete Beam Schedule'!$A$2:$Q$2902,S$2,0)&lt;&gt;C1155,VLOOKUP($A1155,'Concrete Beam Schedule'!$A$2:$Q$2902,S$2,0),"")</f>
        <v>#N/A</v>
      </c>
      <c r="T1155" s="7" t="e">
        <f>IF(VLOOKUP($A1155,'Concrete Beam Schedule'!$A$2:$Q$2902,T$2,0)&lt;&gt;D1155,"Beam Revised","")</f>
        <v>#N/A</v>
      </c>
      <c r="U1155" s="7" t="e">
        <f>IF(VLOOKUP($A1155,'Concrete Beam Schedule'!$A$2:$Q$2902,U$2,0)&lt;&gt;E1155,"Beam Revised","")</f>
        <v>#N/A</v>
      </c>
      <c r="V1155" s="7" t="e">
        <f>IF(VLOOKUP($A1155,'Concrete Beam Schedule'!$A$2:$Q$2902,V$2,0)&lt;&gt;F1155,"Beam Revised","")</f>
        <v>#N/A</v>
      </c>
      <c r="W1155" s="7" t="e">
        <f>IF(VLOOKUP($A1155,'Concrete Beam Schedule'!$A$2:$Q$2902,W$2,0)&lt;&gt;G1155,"Beam Revised","")</f>
        <v>#N/A</v>
      </c>
      <c r="X1155" s="7" t="e">
        <f>IF(VLOOKUP($A1155,'Concrete Beam Schedule'!$A$2:$Q$2902,X$2,0)&lt;&gt;H1155,"Beam Revised","")</f>
        <v>#N/A</v>
      </c>
      <c r="Y1155" s="7" t="e">
        <f>IF(VLOOKUP($A1155,'Concrete Beam Schedule'!$A$2:$Q$2902,Y$2,0)&lt;&gt;I1155,"Beam Revised","")</f>
        <v>#N/A</v>
      </c>
      <c r="Z1155" s="7" t="e">
        <f>IF(VLOOKUP($A1155,'Concrete Beam Schedule'!$A$2:$Q$2902,Z$2,0)&lt;&gt;J1155,"Beam Revised","")</f>
        <v>#N/A</v>
      </c>
      <c r="AA1155" s="7" t="e">
        <f>IF(VLOOKUP($A1155,'Concrete Beam Schedule'!$A$2:$Q$2902,AA$2,0)&lt;&gt;K1155,"Beam Revised","")</f>
        <v>#N/A</v>
      </c>
      <c r="AB1155" s="7" t="e">
        <f>IF(VLOOKUP($A1155,'Concrete Beam Schedule'!$A$2:$Q$2902,AB$2,0)&lt;&gt;L1155,"Beam Revised","")</f>
        <v>#N/A</v>
      </c>
      <c r="AC1155" s="7" t="e">
        <f>IF(VLOOKUP($A1155,'Concrete Beam Schedule'!$A$2:$Q$2902,AC$2,0)&lt;&gt;M1155,"Beam Revised","")</f>
        <v>#N/A</v>
      </c>
      <c r="AD1155" s="7" t="e">
        <f>IF(VLOOKUP($A1155,'Concrete Beam Schedule'!$A$2:$Q$2902,AD$2,0)&lt;&gt;N1155,"Beam Revised","")</f>
        <v>#N/A</v>
      </c>
      <c r="AE1155" s="7" t="e">
        <f>IF(VLOOKUP($A1155,'Concrete Beam Schedule'!$A$2:$Q$2902,AE$2,0)&lt;&gt;O1155,"Beam Revised","")</f>
        <v>#N/A</v>
      </c>
    </row>
    <row r="1156" spans="17:31" ht="13.2" x14ac:dyDescent="0.25">
      <c r="Q1156" s="7">
        <f t="shared" ref="Q1156:Q1219" si="18">A1156</f>
        <v>0</v>
      </c>
      <c r="R1156" s="7" t="e">
        <f>IF(VLOOKUP($A1156,'Concrete Beam Schedule'!$A$2:$Q$2902,R$2,0)&lt;&gt;B1156,VLOOKUP($A1156,'Concrete Beam Schedule'!$A$2:$Q$2902,R$2,0),"")</f>
        <v>#N/A</v>
      </c>
      <c r="S1156" s="7" t="e">
        <f>IF(VLOOKUP($A1156,'Concrete Beam Schedule'!$A$2:$Q$2902,S$2,0)&lt;&gt;C1156,VLOOKUP($A1156,'Concrete Beam Schedule'!$A$2:$Q$2902,S$2,0),"")</f>
        <v>#N/A</v>
      </c>
      <c r="T1156" s="7" t="e">
        <f>IF(VLOOKUP($A1156,'Concrete Beam Schedule'!$A$2:$Q$2902,T$2,0)&lt;&gt;D1156,"Beam Revised","")</f>
        <v>#N/A</v>
      </c>
      <c r="U1156" s="7" t="e">
        <f>IF(VLOOKUP($A1156,'Concrete Beam Schedule'!$A$2:$Q$2902,U$2,0)&lt;&gt;E1156,"Beam Revised","")</f>
        <v>#N/A</v>
      </c>
      <c r="V1156" s="7" t="e">
        <f>IF(VLOOKUP($A1156,'Concrete Beam Schedule'!$A$2:$Q$2902,V$2,0)&lt;&gt;F1156,"Beam Revised","")</f>
        <v>#N/A</v>
      </c>
      <c r="W1156" s="7" t="e">
        <f>IF(VLOOKUP($A1156,'Concrete Beam Schedule'!$A$2:$Q$2902,W$2,0)&lt;&gt;G1156,"Beam Revised","")</f>
        <v>#N/A</v>
      </c>
      <c r="X1156" s="7" t="e">
        <f>IF(VLOOKUP($A1156,'Concrete Beam Schedule'!$A$2:$Q$2902,X$2,0)&lt;&gt;H1156,"Beam Revised","")</f>
        <v>#N/A</v>
      </c>
      <c r="Y1156" s="7" t="e">
        <f>IF(VLOOKUP($A1156,'Concrete Beam Schedule'!$A$2:$Q$2902,Y$2,0)&lt;&gt;I1156,"Beam Revised","")</f>
        <v>#N/A</v>
      </c>
      <c r="Z1156" s="7" t="e">
        <f>IF(VLOOKUP($A1156,'Concrete Beam Schedule'!$A$2:$Q$2902,Z$2,0)&lt;&gt;J1156,"Beam Revised","")</f>
        <v>#N/A</v>
      </c>
      <c r="AA1156" s="7" t="e">
        <f>IF(VLOOKUP($A1156,'Concrete Beam Schedule'!$A$2:$Q$2902,AA$2,0)&lt;&gt;K1156,"Beam Revised","")</f>
        <v>#N/A</v>
      </c>
      <c r="AB1156" s="7" t="e">
        <f>IF(VLOOKUP($A1156,'Concrete Beam Schedule'!$A$2:$Q$2902,AB$2,0)&lt;&gt;L1156,"Beam Revised","")</f>
        <v>#N/A</v>
      </c>
      <c r="AC1156" s="7" t="e">
        <f>IF(VLOOKUP($A1156,'Concrete Beam Schedule'!$A$2:$Q$2902,AC$2,0)&lt;&gt;M1156,"Beam Revised","")</f>
        <v>#N/A</v>
      </c>
      <c r="AD1156" s="7" t="e">
        <f>IF(VLOOKUP($A1156,'Concrete Beam Schedule'!$A$2:$Q$2902,AD$2,0)&lt;&gt;N1156,"Beam Revised","")</f>
        <v>#N/A</v>
      </c>
      <c r="AE1156" s="7" t="e">
        <f>IF(VLOOKUP($A1156,'Concrete Beam Schedule'!$A$2:$Q$2902,AE$2,0)&lt;&gt;O1156,"Beam Revised","")</f>
        <v>#N/A</v>
      </c>
    </row>
    <row r="1157" spans="17:31" ht="13.2" x14ac:dyDescent="0.25">
      <c r="Q1157" s="7">
        <f t="shared" si="18"/>
        <v>0</v>
      </c>
      <c r="R1157" s="7" t="e">
        <f>IF(VLOOKUP($A1157,'Concrete Beam Schedule'!$A$2:$Q$2902,R$2,0)&lt;&gt;B1157,VLOOKUP($A1157,'Concrete Beam Schedule'!$A$2:$Q$2902,R$2,0),"")</f>
        <v>#N/A</v>
      </c>
      <c r="S1157" s="7" t="e">
        <f>IF(VLOOKUP($A1157,'Concrete Beam Schedule'!$A$2:$Q$2902,S$2,0)&lt;&gt;C1157,VLOOKUP($A1157,'Concrete Beam Schedule'!$A$2:$Q$2902,S$2,0),"")</f>
        <v>#N/A</v>
      </c>
      <c r="T1157" s="7" t="e">
        <f>IF(VLOOKUP($A1157,'Concrete Beam Schedule'!$A$2:$Q$2902,T$2,0)&lt;&gt;D1157,"Beam Revised","")</f>
        <v>#N/A</v>
      </c>
      <c r="U1157" s="7" t="e">
        <f>IF(VLOOKUP($A1157,'Concrete Beam Schedule'!$A$2:$Q$2902,U$2,0)&lt;&gt;E1157,"Beam Revised","")</f>
        <v>#N/A</v>
      </c>
      <c r="V1157" s="7" t="e">
        <f>IF(VLOOKUP($A1157,'Concrete Beam Schedule'!$A$2:$Q$2902,V$2,0)&lt;&gt;F1157,"Beam Revised","")</f>
        <v>#N/A</v>
      </c>
      <c r="W1157" s="7" t="e">
        <f>IF(VLOOKUP($A1157,'Concrete Beam Schedule'!$A$2:$Q$2902,W$2,0)&lt;&gt;G1157,"Beam Revised","")</f>
        <v>#N/A</v>
      </c>
      <c r="X1157" s="7" t="e">
        <f>IF(VLOOKUP($A1157,'Concrete Beam Schedule'!$A$2:$Q$2902,X$2,0)&lt;&gt;H1157,"Beam Revised","")</f>
        <v>#N/A</v>
      </c>
      <c r="Y1157" s="7" t="e">
        <f>IF(VLOOKUP($A1157,'Concrete Beam Schedule'!$A$2:$Q$2902,Y$2,0)&lt;&gt;I1157,"Beam Revised","")</f>
        <v>#N/A</v>
      </c>
      <c r="Z1157" s="7" t="e">
        <f>IF(VLOOKUP($A1157,'Concrete Beam Schedule'!$A$2:$Q$2902,Z$2,0)&lt;&gt;J1157,"Beam Revised","")</f>
        <v>#N/A</v>
      </c>
      <c r="AA1157" s="7" t="e">
        <f>IF(VLOOKUP($A1157,'Concrete Beam Schedule'!$A$2:$Q$2902,AA$2,0)&lt;&gt;K1157,"Beam Revised","")</f>
        <v>#N/A</v>
      </c>
      <c r="AB1157" s="7" t="e">
        <f>IF(VLOOKUP($A1157,'Concrete Beam Schedule'!$A$2:$Q$2902,AB$2,0)&lt;&gt;L1157,"Beam Revised","")</f>
        <v>#N/A</v>
      </c>
      <c r="AC1157" s="7" t="e">
        <f>IF(VLOOKUP($A1157,'Concrete Beam Schedule'!$A$2:$Q$2902,AC$2,0)&lt;&gt;M1157,"Beam Revised","")</f>
        <v>#N/A</v>
      </c>
      <c r="AD1157" s="7" t="e">
        <f>IF(VLOOKUP($A1157,'Concrete Beam Schedule'!$A$2:$Q$2902,AD$2,0)&lt;&gt;N1157,"Beam Revised","")</f>
        <v>#N/A</v>
      </c>
      <c r="AE1157" s="7" t="e">
        <f>IF(VLOOKUP($A1157,'Concrete Beam Schedule'!$A$2:$Q$2902,AE$2,0)&lt;&gt;O1157,"Beam Revised","")</f>
        <v>#N/A</v>
      </c>
    </row>
    <row r="1158" spans="17:31" ht="13.2" x14ac:dyDescent="0.25">
      <c r="Q1158" s="7">
        <f t="shared" si="18"/>
        <v>0</v>
      </c>
      <c r="R1158" s="7" t="e">
        <f>IF(VLOOKUP($A1158,'Concrete Beam Schedule'!$A$2:$Q$2902,R$2,0)&lt;&gt;B1158,VLOOKUP($A1158,'Concrete Beam Schedule'!$A$2:$Q$2902,R$2,0),"")</f>
        <v>#N/A</v>
      </c>
      <c r="S1158" s="7" t="e">
        <f>IF(VLOOKUP($A1158,'Concrete Beam Schedule'!$A$2:$Q$2902,S$2,0)&lt;&gt;C1158,VLOOKUP($A1158,'Concrete Beam Schedule'!$A$2:$Q$2902,S$2,0),"")</f>
        <v>#N/A</v>
      </c>
      <c r="T1158" s="7" t="e">
        <f>IF(VLOOKUP($A1158,'Concrete Beam Schedule'!$A$2:$Q$2902,T$2,0)&lt;&gt;D1158,"Beam Revised","")</f>
        <v>#N/A</v>
      </c>
      <c r="U1158" s="7" t="e">
        <f>IF(VLOOKUP($A1158,'Concrete Beam Schedule'!$A$2:$Q$2902,U$2,0)&lt;&gt;E1158,"Beam Revised","")</f>
        <v>#N/A</v>
      </c>
      <c r="V1158" s="7" t="e">
        <f>IF(VLOOKUP($A1158,'Concrete Beam Schedule'!$A$2:$Q$2902,V$2,0)&lt;&gt;F1158,"Beam Revised","")</f>
        <v>#N/A</v>
      </c>
      <c r="W1158" s="7" t="e">
        <f>IF(VLOOKUP($A1158,'Concrete Beam Schedule'!$A$2:$Q$2902,W$2,0)&lt;&gt;G1158,"Beam Revised","")</f>
        <v>#N/A</v>
      </c>
      <c r="X1158" s="7" t="e">
        <f>IF(VLOOKUP($A1158,'Concrete Beam Schedule'!$A$2:$Q$2902,X$2,0)&lt;&gt;H1158,"Beam Revised","")</f>
        <v>#N/A</v>
      </c>
      <c r="Y1158" s="7" t="e">
        <f>IF(VLOOKUP($A1158,'Concrete Beam Schedule'!$A$2:$Q$2902,Y$2,0)&lt;&gt;I1158,"Beam Revised","")</f>
        <v>#N/A</v>
      </c>
      <c r="Z1158" s="7" t="e">
        <f>IF(VLOOKUP($A1158,'Concrete Beam Schedule'!$A$2:$Q$2902,Z$2,0)&lt;&gt;J1158,"Beam Revised","")</f>
        <v>#N/A</v>
      </c>
      <c r="AA1158" s="7" t="e">
        <f>IF(VLOOKUP($A1158,'Concrete Beam Schedule'!$A$2:$Q$2902,AA$2,0)&lt;&gt;K1158,"Beam Revised","")</f>
        <v>#N/A</v>
      </c>
      <c r="AB1158" s="7" t="e">
        <f>IF(VLOOKUP($A1158,'Concrete Beam Schedule'!$A$2:$Q$2902,AB$2,0)&lt;&gt;L1158,"Beam Revised","")</f>
        <v>#N/A</v>
      </c>
      <c r="AC1158" s="7" t="e">
        <f>IF(VLOOKUP($A1158,'Concrete Beam Schedule'!$A$2:$Q$2902,AC$2,0)&lt;&gt;M1158,"Beam Revised","")</f>
        <v>#N/A</v>
      </c>
      <c r="AD1158" s="7" t="e">
        <f>IF(VLOOKUP($A1158,'Concrete Beam Schedule'!$A$2:$Q$2902,AD$2,0)&lt;&gt;N1158,"Beam Revised","")</f>
        <v>#N/A</v>
      </c>
      <c r="AE1158" s="7" t="e">
        <f>IF(VLOOKUP($A1158,'Concrete Beam Schedule'!$A$2:$Q$2902,AE$2,0)&lt;&gt;O1158,"Beam Revised","")</f>
        <v>#N/A</v>
      </c>
    </row>
    <row r="1159" spans="17:31" ht="13.2" x14ac:dyDescent="0.25">
      <c r="Q1159" s="7">
        <f t="shared" si="18"/>
        <v>0</v>
      </c>
      <c r="R1159" s="7" t="e">
        <f>IF(VLOOKUP($A1159,'Concrete Beam Schedule'!$A$2:$Q$2902,R$2,0)&lt;&gt;B1159,VLOOKUP($A1159,'Concrete Beam Schedule'!$A$2:$Q$2902,R$2,0),"")</f>
        <v>#N/A</v>
      </c>
      <c r="S1159" s="7" t="e">
        <f>IF(VLOOKUP($A1159,'Concrete Beam Schedule'!$A$2:$Q$2902,S$2,0)&lt;&gt;C1159,VLOOKUP($A1159,'Concrete Beam Schedule'!$A$2:$Q$2902,S$2,0),"")</f>
        <v>#N/A</v>
      </c>
      <c r="T1159" s="7" t="e">
        <f>IF(VLOOKUP($A1159,'Concrete Beam Schedule'!$A$2:$Q$2902,T$2,0)&lt;&gt;D1159,"Beam Revised","")</f>
        <v>#N/A</v>
      </c>
      <c r="U1159" s="7" t="e">
        <f>IF(VLOOKUP($A1159,'Concrete Beam Schedule'!$A$2:$Q$2902,U$2,0)&lt;&gt;E1159,"Beam Revised","")</f>
        <v>#N/A</v>
      </c>
      <c r="V1159" s="7" t="e">
        <f>IF(VLOOKUP($A1159,'Concrete Beam Schedule'!$A$2:$Q$2902,V$2,0)&lt;&gt;F1159,"Beam Revised","")</f>
        <v>#N/A</v>
      </c>
      <c r="W1159" s="7" t="e">
        <f>IF(VLOOKUP($A1159,'Concrete Beam Schedule'!$A$2:$Q$2902,W$2,0)&lt;&gt;G1159,"Beam Revised","")</f>
        <v>#N/A</v>
      </c>
      <c r="X1159" s="7" t="e">
        <f>IF(VLOOKUP($A1159,'Concrete Beam Schedule'!$A$2:$Q$2902,X$2,0)&lt;&gt;H1159,"Beam Revised","")</f>
        <v>#N/A</v>
      </c>
      <c r="Y1159" s="7" t="e">
        <f>IF(VLOOKUP($A1159,'Concrete Beam Schedule'!$A$2:$Q$2902,Y$2,0)&lt;&gt;I1159,"Beam Revised","")</f>
        <v>#N/A</v>
      </c>
      <c r="Z1159" s="7" t="e">
        <f>IF(VLOOKUP($A1159,'Concrete Beam Schedule'!$A$2:$Q$2902,Z$2,0)&lt;&gt;J1159,"Beam Revised","")</f>
        <v>#N/A</v>
      </c>
      <c r="AA1159" s="7" t="e">
        <f>IF(VLOOKUP($A1159,'Concrete Beam Schedule'!$A$2:$Q$2902,AA$2,0)&lt;&gt;K1159,"Beam Revised","")</f>
        <v>#N/A</v>
      </c>
      <c r="AB1159" s="7" t="e">
        <f>IF(VLOOKUP($A1159,'Concrete Beam Schedule'!$A$2:$Q$2902,AB$2,0)&lt;&gt;L1159,"Beam Revised","")</f>
        <v>#N/A</v>
      </c>
      <c r="AC1159" s="7" t="e">
        <f>IF(VLOOKUP($A1159,'Concrete Beam Schedule'!$A$2:$Q$2902,AC$2,0)&lt;&gt;M1159,"Beam Revised","")</f>
        <v>#N/A</v>
      </c>
      <c r="AD1159" s="7" t="e">
        <f>IF(VLOOKUP($A1159,'Concrete Beam Schedule'!$A$2:$Q$2902,AD$2,0)&lt;&gt;N1159,"Beam Revised","")</f>
        <v>#N/A</v>
      </c>
      <c r="AE1159" s="7" t="e">
        <f>IF(VLOOKUP($A1159,'Concrete Beam Schedule'!$A$2:$Q$2902,AE$2,0)&lt;&gt;O1159,"Beam Revised","")</f>
        <v>#N/A</v>
      </c>
    </row>
    <row r="1160" spans="17:31" ht="13.2" x14ac:dyDescent="0.25">
      <c r="Q1160" s="7">
        <f t="shared" si="18"/>
        <v>0</v>
      </c>
      <c r="R1160" s="7" t="e">
        <f>IF(VLOOKUP($A1160,'Concrete Beam Schedule'!$A$2:$Q$2902,R$2,0)&lt;&gt;B1160,VLOOKUP($A1160,'Concrete Beam Schedule'!$A$2:$Q$2902,R$2,0),"")</f>
        <v>#N/A</v>
      </c>
      <c r="S1160" s="7" t="e">
        <f>IF(VLOOKUP($A1160,'Concrete Beam Schedule'!$A$2:$Q$2902,S$2,0)&lt;&gt;C1160,VLOOKUP($A1160,'Concrete Beam Schedule'!$A$2:$Q$2902,S$2,0),"")</f>
        <v>#N/A</v>
      </c>
      <c r="T1160" s="7" t="e">
        <f>IF(VLOOKUP($A1160,'Concrete Beam Schedule'!$A$2:$Q$2902,T$2,0)&lt;&gt;D1160,"Beam Revised","")</f>
        <v>#N/A</v>
      </c>
      <c r="U1160" s="7" t="e">
        <f>IF(VLOOKUP($A1160,'Concrete Beam Schedule'!$A$2:$Q$2902,U$2,0)&lt;&gt;E1160,"Beam Revised","")</f>
        <v>#N/A</v>
      </c>
      <c r="V1160" s="7" t="e">
        <f>IF(VLOOKUP($A1160,'Concrete Beam Schedule'!$A$2:$Q$2902,V$2,0)&lt;&gt;F1160,"Beam Revised","")</f>
        <v>#N/A</v>
      </c>
      <c r="W1160" s="7" t="e">
        <f>IF(VLOOKUP($A1160,'Concrete Beam Schedule'!$A$2:$Q$2902,W$2,0)&lt;&gt;G1160,"Beam Revised","")</f>
        <v>#N/A</v>
      </c>
      <c r="X1160" s="7" t="e">
        <f>IF(VLOOKUP($A1160,'Concrete Beam Schedule'!$A$2:$Q$2902,X$2,0)&lt;&gt;H1160,"Beam Revised","")</f>
        <v>#N/A</v>
      </c>
      <c r="Y1160" s="7" t="e">
        <f>IF(VLOOKUP($A1160,'Concrete Beam Schedule'!$A$2:$Q$2902,Y$2,0)&lt;&gt;I1160,"Beam Revised","")</f>
        <v>#N/A</v>
      </c>
      <c r="Z1160" s="7" t="e">
        <f>IF(VLOOKUP($A1160,'Concrete Beam Schedule'!$A$2:$Q$2902,Z$2,0)&lt;&gt;J1160,"Beam Revised","")</f>
        <v>#N/A</v>
      </c>
      <c r="AA1160" s="7" t="e">
        <f>IF(VLOOKUP($A1160,'Concrete Beam Schedule'!$A$2:$Q$2902,AA$2,0)&lt;&gt;K1160,"Beam Revised","")</f>
        <v>#N/A</v>
      </c>
      <c r="AB1160" s="7" t="e">
        <f>IF(VLOOKUP($A1160,'Concrete Beam Schedule'!$A$2:$Q$2902,AB$2,0)&lt;&gt;L1160,"Beam Revised","")</f>
        <v>#N/A</v>
      </c>
      <c r="AC1160" s="7" t="e">
        <f>IF(VLOOKUP($A1160,'Concrete Beam Schedule'!$A$2:$Q$2902,AC$2,0)&lt;&gt;M1160,"Beam Revised","")</f>
        <v>#N/A</v>
      </c>
      <c r="AD1160" s="7" t="e">
        <f>IF(VLOOKUP($A1160,'Concrete Beam Schedule'!$A$2:$Q$2902,AD$2,0)&lt;&gt;N1160,"Beam Revised","")</f>
        <v>#N/A</v>
      </c>
      <c r="AE1160" s="7" t="e">
        <f>IF(VLOOKUP($A1160,'Concrete Beam Schedule'!$A$2:$Q$2902,AE$2,0)&lt;&gt;O1160,"Beam Revised","")</f>
        <v>#N/A</v>
      </c>
    </row>
    <row r="1161" spans="17:31" ht="13.2" x14ac:dyDescent="0.25">
      <c r="Q1161" s="7">
        <f t="shared" si="18"/>
        <v>0</v>
      </c>
      <c r="R1161" s="7" t="e">
        <f>IF(VLOOKUP($A1161,'Concrete Beam Schedule'!$A$2:$Q$2902,R$2,0)&lt;&gt;B1161,VLOOKUP($A1161,'Concrete Beam Schedule'!$A$2:$Q$2902,R$2,0),"")</f>
        <v>#N/A</v>
      </c>
      <c r="S1161" s="7" t="e">
        <f>IF(VLOOKUP($A1161,'Concrete Beam Schedule'!$A$2:$Q$2902,S$2,0)&lt;&gt;C1161,VLOOKUP($A1161,'Concrete Beam Schedule'!$A$2:$Q$2902,S$2,0),"")</f>
        <v>#N/A</v>
      </c>
      <c r="T1161" s="7" t="e">
        <f>IF(VLOOKUP($A1161,'Concrete Beam Schedule'!$A$2:$Q$2902,T$2,0)&lt;&gt;D1161,"Beam Revised","")</f>
        <v>#N/A</v>
      </c>
      <c r="U1161" s="7" t="e">
        <f>IF(VLOOKUP($A1161,'Concrete Beam Schedule'!$A$2:$Q$2902,U$2,0)&lt;&gt;E1161,"Beam Revised","")</f>
        <v>#N/A</v>
      </c>
      <c r="V1161" s="7" t="e">
        <f>IF(VLOOKUP($A1161,'Concrete Beam Schedule'!$A$2:$Q$2902,V$2,0)&lt;&gt;F1161,"Beam Revised","")</f>
        <v>#N/A</v>
      </c>
      <c r="W1161" s="7" t="e">
        <f>IF(VLOOKUP($A1161,'Concrete Beam Schedule'!$A$2:$Q$2902,W$2,0)&lt;&gt;G1161,"Beam Revised","")</f>
        <v>#N/A</v>
      </c>
      <c r="X1161" s="7" t="e">
        <f>IF(VLOOKUP($A1161,'Concrete Beam Schedule'!$A$2:$Q$2902,X$2,0)&lt;&gt;H1161,"Beam Revised","")</f>
        <v>#N/A</v>
      </c>
      <c r="Y1161" s="7" t="e">
        <f>IF(VLOOKUP($A1161,'Concrete Beam Schedule'!$A$2:$Q$2902,Y$2,0)&lt;&gt;I1161,"Beam Revised","")</f>
        <v>#N/A</v>
      </c>
      <c r="Z1161" s="7" t="e">
        <f>IF(VLOOKUP($A1161,'Concrete Beam Schedule'!$A$2:$Q$2902,Z$2,0)&lt;&gt;J1161,"Beam Revised","")</f>
        <v>#N/A</v>
      </c>
      <c r="AA1161" s="7" t="e">
        <f>IF(VLOOKUP($A1161,'Concrete Beam Schedule'!$A$2:$Q$2902,AA$2,0)&lt;&gt;K1161,"Beam Revised","")</f>
        <v>#N/A</v>
      </c>
      <c r="AB1161" s="7" t="e">
        <f>IF(VLOOKUP($A1161,'Concrete Beam Schedule'!$A$2:$Q$2902,AB$2,0)&lt;&gt;L1161,"Beam Revised","")</f>
        <v>#N/A</v>
      </c>
      <c r="AC1161" s="7" t="e">
        <f>IF(VLOOKUP($A1161,'Concrete Beam Schedule'!$A$2:$Q$2902,AC$2,0)&lt;&gt;M1161,"Beam Revised","")</f>
        <v>#N/A</v>
      </c>
      <c r="AD1161" s="7" t="e">
        <f>IF(VLOOKUP($A1161,'Concrete Beam Schedule'!$A$2:$Q$2902,AD$2,0)&lt;&gt;N1161,"Beam Revised","")</f>
        <v>#N/A</v>
      </c>
      <c r="AE1161" s="7" t="e">
        <f>IF(VLOOKUP($A1161,'Concrete Beam Schedule'!$A$2:$Q$2902,AE$2,0)&lt;&gt;O1161,"Beam Revised","")</f>
        <v>#N/A</v>
      </c>
    </row>
    <row r="1162" spans="17:31" ht="13.2" x14ac:dyDescent="0.25">
      <c r="Q1162" s="7">
        <f t="shared" si="18"/>
        <v>0</v>
      </c>
      <c r="R1162" s="7" t="e">
        <f>IF(VLOOKUP($A1162,'Concrete Beam Schedule'!$A$2:$Q$2902,R$2,0)&lt;&gt;B1162,VLOOKUP($A1162,'Concrete Beam Schedule'!$A$2:$Q$2902,R$2,0),"")</f>
        <v>#N/A</v>
      </c>
      <c r="S1162" s="7" t="e">
        <f>IF(VLOOKUP($A1162,'Concrete Beam Schedule'!$A$2:$Q$2902,S$2,0)&lt;&gt;C1162,VLOOKUP($A1162,'Concrete Beam Schedule'!$A$2:$Q$2902,S$2,0),"")</f>
        <v>#N/A</v>
      </c>
      <c r="T1162" s="7" t="e">
        <f>IF(VLOOKUP($A1162,'Concrete Beam Schedule'!$A$2:$Q$2902,T$2,0)&lt;&gt;D1162,"Beam Revised","")</f>
        <v>#N/A</v>
      </c>
      <c r="U1162" s="7" t="e">
        <f>IF(VLOOKUP($A1162,'Concrete Beam Schedule'!$A$2:$Q$2902,U$2,0)&lt;&gt;E1162,"Beam Revised","")</f>
        <v>#N/A</v>
      </c>
      <c r="V1162" s="7" t="e">
        <f>IF(VLOOKUP($A1162,'Concrete Beam Schedule'!$A$2:$Q$2902,V$2,0)&lt;&gt;F1162,"Beam Revised","")</f>
        <v>#N/A</v>
      </c>
      <c r="W1162" s="7" t="e">
        <f>IF(VLOOKUP($A1162,'Concrete Beam Schedule'!$A$2:$Q$2902,W$2,0)&lt;&gt;G1162,"Beam Revised","")</f>
        <v>#N/A</v>
      </c>
      <c r="X1162" s="7" t="e">
        <f>IF(VLOOKUP($A1162,'Concrete Beam Schedule'!$A$2:$Q$2902,X$2,0)&lt;&gt;H1162,"Beam Revised","")</f>
        <v>#N/A</v>
      </c>
      <c r="Y1162" s="7" t="e">
        <f>IF(VLOOKUP($A1162,'Concrete Beam Schedule'!$A$2:$Q$2902,Y$2,0)&lt;&gt;I1162,"Beam Revised","")</f>
        <v>#N/A</v>
      </c>
      <c r="Z1162" s="7" t="e">
        <f>IF(VLOOKUP($A1162,'Concrete Beam Schedule'!$A$2:$Q$2902,Z$2,0)&lt;&gt;J1162,"Beam Revised","")</f>
        <v>#N/A</v>
      </c>
      <c r="AA1162" s="7" t="e">
        <f>IF(VLOOKUP($A1162,'Concrete Beam Schedule'!$A$2:$Q$2902,AA$2,0)&lt;&gt;K1162,"Beam Revised","")</f>
        <v>#N/A</v>
      </c>
      <c r="AB1162" s="7" t="e">
        <f>IF(VLOOKUP($A1162,'Concrete Beam Schedule'!$A$2:$Q$2902,AB$2,0)&lt;&gt;L1162,"Beam Revised","")</f>
        <v>#N/A</v>
      </c>
      <c r="AC1162" s="7" t="e">
        <f>IF(VLOOKUP($A1162,'Concrete Beam Schedule'!$A$2:$Q$2902,AC$2,0)&lt;&gt;M1162,"Beam Revised","")</f>
        <v>#N/A</v>
      </c>
      <c r="AD1162" s="7" t="e">
        <f>IF(VLOOKUP($A1162,'Concrete Beam Schedule'!$A$2:$Q$2902,AD$2,0)&lt;&gt;N1162,"Beam Revised","")</f>
        <v>#N/A</v>
      </c>
      <c r="AE1162" s="7" t="e">
        <f>IF(VLOOKUP($A1162,'Concrete Beam Schedule'!$A$2:$Q$2902,AE$2,0)&lt;&gt;O1162,"Beam Revised","")</f>
        <v>#N/A</v>
      </c>
    </row>
    <row r="1163" spans="17:31" ht="13.2" x14ac:dyDescent="0.25">
      <c r="Q1163" s="7">
        <f t="shared" si="18"/>
        <v>0</v>
      </c>
      <c r="R1163" s="7" t="e">
        <f>IF(VLOOKUP($A1163,'Concrete Beam Schedule'!$A$2:$Q$2902,R$2,0)&lt;&gt;B1163,VLOOKUP($A1163,'Concrete Beam Schedule'!$A$2:$Q$2902,R$2,0),"")</f>
        <v>#N/A</v>
      </c>
      <c r="S1163" s="7" t="e">
        <f>IF(VLOOKUP($A1163,'Concrete Beam Schedule'!$A$2:$Q$2902,S$2,0)&lt;&gt;C1163,VLOOKUP($A1163,'Concrete Beam Schedule'!$A$2:$Q$2902,S$2,0),"")</f>
        <v>#N/A</v>
      </c>
      <c r="T1163" s="7" t="e">
        <f>IF(VLOOKUP($A1163,'Concrete Beam Schedule'!$A$2:$Q$2902,T$2,0)&lt;&gt;D1163,"Beam Revised","")</f>
        <v>#N/A</v>
      </c>
      <c r="U1163" s="7" t="e">
        <f>IF(VLOOKUP($A1163,'Concrete Beam Schedule'!$A$2:$Q$2902,U$2,0)&lt;&gt;E1163,"Beam Revised","")</f>
        <v>#N/A</v>
      </c>
      <c r="V1163" s="7" t="e">
        <f>IF(VLOOKUP($A1163,'Concrete Beam Schedule'!$A$2:$Q$2902,V$2,0)&lt;&gt;F1163,"Beam Revised","")</f>
        <v>#N/A</v>
      </c>
      <c r="W1163" s="7" t="e">
        <f>IF(VLOOKUP($A1163,'Concrete Beam Schedule'!$A$2:$Q$2902,W$2,0)&lt;&gt;G1163,"Beam Revised","")</f>
        <v>#N/A</v>
      </c>
      <c r="X1163" s="7" t="e">
        <f>IF(VLOOKUP($A1163,'Concrete Beam Schedule'!$A$2:$Q$2902,X$2,0)&lt;&gt;H1163,"Beam Revised","")</f>
        <v>#N/A</v>
      </c>
      <c r="Y1163" s="7" t="e">
        <f>IF(VLOOKUP($A1163,'Concrete Beam Schedule'!$A$2:$Q$2902,Y$2,0)&lt;&gt;I1163,"Beam Revised","")</f>
        <v>#N/A</v>
      </c>
      <c r="Z1163" s="7" t="e">
        <f>IF(VLOOKUP($A1163,'Concrete Beam Schedule'!$A$2:$Q$2902,Z$2,0)&lt;&gt;J1163,"Beam Revised","")</f>
        <v>#N/A</v>
      </c>
      <c r="AA1163" s="7" t="e">
        <f>IF(VLOOKUP($A1163,'Concrete Beam Schedule'!$A$2:$Q$2902,AA$2,0)&lt;&gt;K1163,"Beam Revised","")</f>
        <v>#N/A</v>
      </c>
      <c r="AB1163" s="7" t="e">
        <f>IF(VLOOKUP($A1163,'Concrete Beam Schedule'!$A$2:$Q$2902,AB$2,0)&lt;&gt;L1163,"Beam Revised","")</f>
        <v>#N/A</v>
      </c>
      <c r="AC1163" s="7" t="e">
        <f>IF(VLOOKUP($A1163,'Concrete Beam Schedule'!$A$2:$Q$2902,AC$2,0)&lt;&gt;M1163,"Beam Revised","")</f>
        <v>#N/A</v>
      </c>
      <c r="AD1163" s="7" t="e">
        <f>IF(VLOOKUP($A1163,'Concrete Beam Schedule'!$A$2:$Q$2902,AD$2,0)&lt;&gt;N1163,"Beam Revised","")</f>
        <v>#N/A</v>
      </c>
      <c r="AE1163" s="7" t="e">
        <f>IF(VLOOKUP($A1163,'Concrete Beam Schedule'!$A$2:$Q$2902,AE$2,0)&lt;&gt;O1163,"Beam Revised","")</f>
        <v>#N/A</v>
      </c>
    </row>
    <row r="1164" spans="17:31" ht="13.2" x14ac:dyDescent="0.25">
      <c r="Q1164" s="7">
        <f t="shared" si="18"/>
        <v>0</v>
      </c>
      <c r="R1164" s="7" t="e">
        <f>IF(VLOOKUP($A1164,'Concrete Beam Schedule'!$A$2:$Q$2902,R$2,0)&lt;&gt;B1164,VLOOKUP($A1164,'Concrete Beam Schedule'!$A$2:$Q$2902,R$2,0),"")</f>
        <v>#N/A</v>
      </c>
      <c r="S1164" s="7" t="e">
        <f>IF(VLOOKUP($A1164,'Concrete Beam Schedule'!$A$2:$Q$2902,S$2,0)&lt;&gt;C1164,VLOOKUP($A1164,'Concrete Beam Schedule'!$A$2:$Q$2902,S$2,0),"")</f>
        <v>#N/A</v>
      </c>
      <c r="T1164" s="7" t="e">
        <f>IF(VLOOKUP($A1164,'Concrete Beam Schedule'!$A$2:$Q$2902,T$2,0)&lt;&gt;D1164,"Beam Revised","")</f>
        <v>#N/A</v>
      </c>
      <c r="U1164" s="7" t="e">
        <f>IF(VLOOKUP($A1164,'Concrete Beam Schedule'!$A$2:$Q$2902,U$2,0)&lt;&gt;E1164,"Beam Revised","")</f>
        <v>#N/A</v>
      </c>
      <c r="V1164" s="7" t="e">
        <f>IF(VLOOKUP($A1164,'Concrete Beam Schedule'!$A$2:$Q$2902,V$2,0)&lt;&gt;F1164,"Beam Revised","")</f>
        <v>#N/A</v>
      </c>
      <c r="W1164" s="7" t="e">
        <f>IF(VLOOKUP($A1164,'Concrete Beam Schedule'!$A$2:$Q$2902,W$2,0)&lt;&gt;G1164,"Beam Revised","")</f>
        <v>#N/A</v>
      </c>
      <c r="X1164" s="7" t="e">
        <f>IF(VLOOKUP($A1164,'Concrete Beam Schedule'!$A$2:$Q$2902,X$2,0)&lt;&gt;H1164,"Beam Revised","")</f>
        <v>#N/A</v>
      </c>
      <c r="Y1164" s="7" t="e">
        <f>IF(VLOOKUP($A1164,'Concrete Beam Schedule'!$A$2:$Q$2902,Y$2,0)&lt;&gt;I1164,"Beam Revised","")</f>
        <v>#N/A</v>
      </c>
      <c r="Z1164" s="7" t="e">
        <f>IF(VLOOKUP($A1164,'Concrete Beam Schedule'!$A$2:$Q$2902,Z$2,0)&lt;&gt;J1164,"Beam Revised","")</f>
        <v>#N/A</v>
      </c>
      <c r="AA1164" s="7" t="e">
        <f>IF(VLOOKUP($A1164,'Concrete Beam Schedule'!$A$2:$Q$2902,AA$2,0)&lt;&gt;K1164,"Beam Revised","")</f>
        <v>#N/A</v>
      </c>
      <c r="AB1164" s="7" t="e">
        <f>IF(VLOOKUP($A1164,'Concrete Beam Schedule'!$A$2:$Q$2902,AB$2,0)&lt;&gt;L1164,"Beam Revised","")</f>
        <v>#N/A</v>
      </c>
      <c r="AC1164" s="7" t="e">
        <f>IF(VLOOKUP($A1164,'Concrete Beam Schedule'!$A$2:$Q$2902,AC$2,0)&lt;&gt;M1164,"Beam Revised","")</f>
        <v>#N/A</v>
      </c>
      <c r="AD1164" s="7" t="e">
        <f>IF(VLOOKUP($A1164,'Concrete Beam Schedule'!$A$2:$Q$2902,AD$2,0)&lt;&gt;N1164,"Beam Revised","")</f>
        <v>#N/A</v>
      </c>
      <c r="AE1164" s="7" t="e">
        <f>IF(VLOOKUP($A1164,'Concrete Beam Schedule'!$A$2:$Q$2902,AE$2,0)&lt;&gt;O1164,"Beam Revised","")</f>
        <v>#N/A</v>
      </c>
    </row>
    <row r="1165" spans="17:31" ht="13.2" x14ac:dyDescent="0.25">
      <c r="Q1165" s="7">
        <f t="shared" si="18"/>
        <v>0</v>
      </c>
      <c r="R1165" s="7" t="e">
        <f>IF(VLOOKUP($A1165,'Concrete Beam Schedule'!$A$2:$Q$2902,R$2,0)&lt;&gt;B1165,VLOOKUP($A1165,'Concrete Beam Schedule'!$A$2:$Q$2902,R$2,0),"")</f>
        <v>#N/A</v>
      </c>
      <c r="S1165" s="7" t="e">
        <f>IF(VLOOKUP($A1165,'Concrete Beam Schedule'!$A$2:$Q$2902,S$2,0)&lt;&gt;C1165,VLOOKUP($A1165,'Concrete Beam Schedule'!$A$2:$Q$2902,S$2,0),"")</f>
        <v>#N/A</v>
      </c>
      <c r="T1165" s="7" t="e">
        <f>IF(VLOOKUP($A1165,'Concrete Beam Schedule'!$A$2:$Q$2902,T$2,0)&lt;&gt;D1165,"Beam Revised","")</f>
        <v>#N/A</v>
      </c>
      <c r="U1165" s="7" t="e">
        <f>IF(VLOOKUP($A1165,'Concrete Beam Schedule'!$A$2:$Q$2902,U$2,0)&lt;&gt;E1165,"Beam Revised","")</f>
        <v>#N/A</v>
      </c>
      <c r="V1165" s="7" t="e">
        <f>IF(VLOOKUP($A1165,'Concrete Beam Schedule'!$A$2:$Q$2902,V$2,0)&lt;&gt;F1165,"Beam Revised","")</f>
        <v>#N/A</v>
      </c>
      <c r="W1165" s="7" t="e">
        <f>IF(VLOOKUP($A1165,'Concrete Beam Schedule'!$A$2:$Q$2902,W$2,0)&lt;&gt;G1165,"Beam Revised","")</f>
        <v>#N/A</v>
      </c>
      <c r="X1165" s="7" t="e">
        <f>IF(VLOOKUP($A1165,'Concrete Beam Schedule'!$A$2:$Q$2902,X$2,0)&lt;&gt;H1165,"Beam Revised","")</f>
        <v>#N/A</v>
      </c>
      <c r="Y1165" s="7" t="e">
        <f>IF(VLOOKUP($A1165,'Concrete Beam Schedule'!$A$2:$Q$2902,Y$2,0)&lt;&gt;I1165,"Beam Revised","")</f>
        <v>#N/A</v>
      </c>
      <c r="Z1165" s="7" t="e">
        <f>IF(VLOOKUP($A1165,'Concrete Beam Schedule'!$A$2:$Q$2902,Z$2,0)&lt;&gt;J1165,"Beam Revised","")</f>
        <v>#N/A</v>
      </c>
      <c r="AA1165" s="7" t="e">
        <f>IF(VLOOKUP($A1165,'Concrete Beam Schedule'!$A$2:$Q$2902,AA$2,0)&lt;&gt;K1165,"Beam Revised","")</f>
        <v>#N/A</v>
      </c>
      <c r="AB1165" s="7" t="e">
        <f>IF(VLOOKUP($A1165,'Concrete Beam Schedule'!$A$2:$Q$2902,AB$2,0)&lt;&gt;L1165,"Beam Revised","")</f>
        <v>#N/A</v>
      </c>
      <c r="AC1165" s="7" t="e">
        <f>IF(VLOOKUP($A1165,'Concrete Beam Schedule'!$A$2:$Q$2902,AC$2,0)&lt;&gt;M1165,"Beam Revised","")</f>
        <v>#N/A</v>
      </c>
      <c r="AD1165" s="7" t="e">
        <f>IF(VLOOKUP($A1165,'Concrete Beam Schedule'!$A$2:$Q$2902,AD$2,0)&lt;&gt;N1165,"Beam Revised","")</f>
        <v>#N/A</v>
      </c>
      <c r="AE1165" s="7" t="e">
        <f>IF(VLOOKUP($A1165,'Concrete Beam Schedule'!$A$2:$Q$2902,AE$2,0)&lt;&gt;O1165,"Beam Revised","")</f>
        <v>#N/A</v>
      </c>
    </row>
    <row r="1166" spans="17:31" ht="13.2" x14ac:dyDescent="0.25">
      <c r="Q1166" s="7">
        <f t="shared" si="18"/>
        <v>0</v>
      </c>
      <c r="R1166" s="7" t="e">
        <f>IF(VLOOKUP($A1166,'Concrete Beam Schedule'!$A$2:$Q$2902,R$2,0)&lt;&gt;B1166,VLOOKUP($A1166,'Concrete Beam Schedule'!$A$2:$Q$2902,R$2,0),"")</f>
        <v>#N/A</v>
      </c>
      <c r="S1166" s="7" t="e">
        <f>IF(VLOOKUP($A1166,'Concrete Beam Schedule'!$A$2:$Q$2902,S$2,0)&lt;&gt;C1166,VLOOKUP($A1166,'Concrete Beam Schedule'!$A$2:$Q$2902,S$2,0),"")</f>
        <v>#N/A</v>
      </c>
      <c r="T1166" s="7" t="e">
        <f>IF(VLOOKUP($A1166,'Concrete Beam Schedule'!$A$2:$Q$2902,T$2,0)&lt;&gt;D1166,"Beam Revised","")</f>
        <v>#N/A</v>
      </c>
      <c r="U1166" s="7" t="e">
        <f>IF(VLOOKUP($A1166,'Concrete Beam Schedule'!$A$2:$Q$2902,U$2,0)&lt;&gt;E1166,"Beam Revised","")</f>
        <v>#N/A</v>
      </c>
      <c r="V1166" s="7" t="e">
        <f>IF(VLOOKUP($A1166,'Concrete Beam Schedule'!$A$2:$Q$2902,V$2,0)&lt;&gt;F1166,"Beam Revised","")</f>
        <v>#N/A</v>
      </c>
      <c r="W1166" s="7" t="e">
        <f>IF(VLOOKUP($A1166,'Concrete Beam Schedule'!$A$2:$Q$2902,W$2,0)&lt;&gt;G1166,"Beam Revised","")</f>
        <v>#N/A</v>
      </c>
      <c r="X1166" s="7" t="e">
        <f>IF(VLOOKUP($A1166,'Concrete Beam Schedule'!$A$2:$Q$2902,X$2,0)&lt;&gt;H1166,"Beam Revised","")</f>
        <v>#N/A</v>
      </c>
      <c r="Y1166" s="7" t="e">
        <f>IF(VLOOKUP($A1166,'Concrete Beam Schedule'!$A$2:$Q$2902,Y$2,0)&lt;&gt;I1166,"Beam Revised","")</f>
        <v>#N/A</v>
      </c>
      <c r="Z1166" s="7" t="e">
        <f>IF(VLOOKUP($A1166,'Concrete Beam Schedule'!$A$2:$Q$2902,Z$2,0)&lt;&gt;J1166,"Beam Revised","")</f>
        <v>#N/A</v>
      </c>
      <c r="AA1166" s="7" t="e">
        <f>IF(VLOOKUP($A1166,'Concrete Beam Schedule'!$A$2:$Q$2902,AA$2,0)&lt;&gt;K1166,"Beam Revised","")</f>
        <v>#N/A</v>
      </c>
      <c r="AB1166" s="7" t="e">
        <f>IF(VLOOKUP($A1166,'Concrete Beam Schedule'!$A$2:$Q$2902,AB$2,0)&lt;&gt;L1166,"Beam Revised","")</f>
        <v>#N/A</v>
      </c>
      <c r="AC1166" s="7" t="e">
        <f>IF(VLOOKUP($A1166,'Concrete Beam Schedule'!$A$2:$Q$2902,AC$2,0)&lt;&gt;M1166,"Beam Revised","")</f>
        <v>#N/A</v>
      </c>
      <c r="AD1166" s="7" t="e">
        <f>IF(VLOOKUP($A1166,'Concrete Beam Schedule'!$A$2:$Q$2902,AD$2,0)&lt;&gt;N1166,"Beam Revised","")</f>
        <v>#N/A</v>
      </c>
      <c r="AE1166" s="7" t="e">
        <f>IF(VLOOKUP($A1166,'Concrete Beam Schedule'!$A$2:$Q$2902,AE$2,0)&lt;&gt;O1166,"Beam Revised","")</f>
        <v>#N/A</v>
      </c>
    </row>
    <row r="1167" spans="17:31" ht="13.2" x14ac:dyDescent="0.25">
      <c r="Q1167" s="7">
        <f t="shared" si="18"/>
        <v>0</v>
      </c>
      <c r="R1167" s="7" t="e">
        <f>IF(VLOOKUP($A1167,'Concrete Beam Schedule'!$A$2:$Q$2902,R$2,0)&lt;&gt;B1167,VLOOKUP($A1167,'Concrete Beam Schedule'!$A$2:$Q$2902,R$2,0),"")</f>
        <v>#N/A</v>
      </c>
      <c r="S1167" s="7" t="e">
        <f>IF(VLOOKUP($A1167,'Concrete Beam Schedule'!$A$2:$Q$2902,S$2,0)&lt;&gt;C1167,VLOOKUP($A1167,'Concrete Beam Schedule'!$A$2:$Q$2902,S$2,0),"")</f>
        <v>#N/A</v>
      </c>
      <c r="T1167" s="7" t="e">
        <f>IF(VLOOKUP($A1167,'Concrete Beam Schedule'!$A$2:$Q$2902,T$2,0)&lt;&gt;D1167,"Beam Revised","")</f>
        <v>#N/A</v>
      </c>
      <c r="U1167" s="7" t="e">
        <f>IF(VLOOKUP($A1167,'Concrete Beam Schedule'!$A$2:$Q$2902,U$2,0)&lt;&gt;E1167,"Beam Revised","")</f>
        <v>#N/A</v>
      </c>
      <c r="V1167" s="7" t="e">
        <f>IF(VLOOKUP($A1167,'Concrete Beam Schedule'!$A$2:$Q$2902,V$2,0)&lt;&gt;F1167,"Beam Revised","")</f>
        <v>#N/A</v>
      </c>
      <c r="W1167" s="7" t="e">
        <f>IF(VLOOKUP($A1167,'Concrete Beam Schedule'!$A$2:$Q$2902,W$2,0)&lt;&gt;G1167,"Beam Revised","")</f>
        <v>#N/A</v>
      </c>
      <c r="X1167" s="7" t="e">
        <f>IF(VLOOKUP($A1167,'Concrete Beam Schedule'!$A$2:$Q$2902,X$2,0)&lt;&gt;H1167,"Beam Revised","")</f>
        <v>#N/A</v>
      </c>
      <c r="Y1167" s="7" t="e">
        <f>IF(VLOOKUP($A1167,'Concrete Beam Schedule'!$A$2:$Q$2902,Y$2,0)&lt;&gt;I1167,"Beam Revised","")</f>
        <v>#N/A</v>
      </c>
      <c r="Z1167" s="7" t="e">
        <f>IF(VLOOKUP($A1167,'Concrete Beam Schedule'!$A$2:$Q$2902,Z$2,0)&lt;&gt;J1167,"Beam Revised","")</f>
        <v>#N/A</v>
      </c>
      <c r="AA1167" s="7" t="e">
        <f>IF(VLOOKUP($A1167,'Concrete Beam Schedule'!$A$2:$Q$2902,AA$2,0)&lt;&gt;K1167,"Beam Revised","")</f>
        <v>#N/A</v>
      </c>
      <c r="AB1167" s="7" t="e">
        <f>IF(VLOOKUP($A1167,'Concrete Beam Schedule'!$A$2:$Q$2902,AB$2,0)&lt;&gt;L1167,"Beam Revised","")</f>
        <v>#N/A</v>
      </c>
      <c r="AC1167" s="7" t="e">
        <f>IF(VLOOKUP($A1167,'Concrete Beam Schedule'!$A$2:$Q$2902,AC$2,0)&lt;&gt;M1167,"Beam Revised","")</f>
        <v>#N/A</v>
      </c>
      <c r="AD1167" s="7" t="e">
        <f>IF(VLOOKUP($A1167,'Concrete Beam Schedule'!$A$2:$Q$2902,AD$2,0)&lt;&gt;N1167,"Beam Revised","")</f>
        <v>#N/A</v>
      </c>
      <c r="AE1167" s="7" t="e">
        <f>IF(VLOOKUP($A1167,'Concrete Beam Schedule'!$A$2:$Q$2902,AE$2,0)&lt;&gt;O1167,"Beam Revised","")</f>
        <v>#N/A</v>
      </c>
    </row>
    <row r="1168" spans="17:31" ht="13.2" x14ac:dyDescent="0.25">
      <c r="Q1168" s="7">
        <f t="shared" si="18"/>
        <v>0</v>
      </c>
      <c r="R1168" s="7" t="e">
        <f>IF(VLOOKUP($A1168,'Concrete Beam Schedule'!$A$2:$Q$2902,R$2,0)&lt;&gt;B1168,VLOOKUP($A1168,'Concrete Beam Schedule'!$A$2:$Q$2902,R$2,0),"")</f>
        <v>#N/A</v>
      </c>
      <c r="S1168" s="7" t="e">
        <f>IF(VLOOKUP($A1168,'Concrete Beam Schedule'!$A$2:$Q$2902,S$2,0)&lt;&gt;C1168,VLOOKUP($A1168,'Concrete Beam Schedule'!$A$2:$Q$2902,S$2,0),"")</f>
        <v>#N/A</v>
      </c>
      <c r="T1168" s="7" t="e">
        <f>IF(VLOOKUP($A1168,'Concrete Beam Schedule'!$A$2:$Q$2902,T$2,0)&lt;&gt;D1168,"Beam Revised","")</f>
        <v>#N/A</v>
      </c>
      <c r="U1168" s="7" t="e">
        <f>IF(VLOOKUP($A1168,'Concrete Beam Schedule'!$A$2:$Q$2902,U$2,0)&lt;&gt;E1168,"Beam Revised","")</f>
        <v>#N/A</v>
      </c>
      <c r="V1168" s="7" t="e">
        <f>IF(VLOOKUP($A1168,'Concrete Beam Schedule'!$A$2:$Q$2902,V$2,0)&lt;&gt;F1168,"Beam Revised","")</f>
        <v>#N/A</v>
      </c>
      <c r="W1168" s="7" t="e">
        <f>IF(VLOOKUP($A1168,'Concrete Beam Schedule'!$A$2:$Q$2902,W$2,0)&lt;&gt;G1168,"Beam Revised","")</f>
        <v>#N/A</v>
      </c>
      <c r="X1168" s="7" t="e">
        <f>IF(VLOOKUP($A1168,'Concrete Beam Schedule'!$A$2:$Q$2902,X$2,0)&lt;&gt;H1168,"Beam Revised","")</f>
        <v>#N/A</v>
      </c>
      <c r="Y1168" s="7" t="e">
        <f>IF(VLOOKUP($A1168,'Concrete Beam Schedule'!$A$2:$Q$2902,Y$2,0)&lt;&gt;I1168,"Beam Revised","")</f>
        <v>#N/A</v>
      </c>
      <c r="Z1168" s="7" t="e">
        <f>IF(VLOOKUP($A1168,'Concrete Beam Schedule'!$A$2:$Q$2902,Z$2,0)&lt;&gt;J1168,"Beam Revised","")</f>
        <v>#N/A</v>
      </c>
      <c r="AA1168" s="7" t="e">
        <f>IF(VLOOKUP($A1168,'Concrete Beam Schedule'!$A$2:$Q$2902,AA$2,0)&lt;&gt;K1168,"Beam Revised","")</f>
        <v>#N/A</v>
      </c>
      <c r="AB1168" s="7" t="e">
        <f>IF(VLOOKUP($A1168,'Concrete Beam Schedule'!$A$2:$Q$2902,AB$2,0)&lt;&gt;L1168,"Beam Revised","")</f>
        <v>#N/A</v>
      </c>
      <c r="AC1168" s="7" t="e">
        <f>IF(VLOOKUP($A1168,'Concrete Beam Schedule'!$A$2:$Q$2902,AC$2,0)&lt;&gt;M1168,"Beam Revised","")</f>
        <v>#N/A</v>
      </c>
      <c r="AD1168" s="7" t="e">
        <f>IF(VLOOKUP($A1168,'Concrete Beam Schedule'!$A$2:$Q$2902,AD$2,0)&lt;&gt;N1168,"Beam Revised","")</f>
        <v>#N/A</v>
      </c>
      <c r="AE1168" s="7" t="e">
        <f>IF(VLOOKUP($A1168,'Concrete Beam Schedule'!$A$2:$Q$2902,AE$2,0)&lt;&gt;O1168,"Beam Revised","")</f>
        <v>#N/A</v>
      </c>
    </row>
    <row r="1169" spans="17:31" ht="13.2" x14ac:dyDescent="0.25">
      <c r="Q1169" s="7">
        <f t="shared" si="18"/>
        <v>0</v>
      </c>
      <c r="R1169" s="7" t="e">
        <f>IF(VLOOKUP($A1169,'Concrete Beam Schedule'!$A$2:$Q$2902,R$2,0)&lt;&gt;B1169,VLOOKUP($A1169,'Concrete Beam Schedule'!$A$2:$Q$2902,R$2,0),"")</f>
        <v>#N/A</v>
      </c>
      <c r="S1169" s="7" t="e">
        <f>IF(VLOOKUP($A1169,'Concrete Beam Schedule'!$A$2:$Q$2902,S$2,0)&lt;&gt;C1169,VLOOKUP($A1169,'Concrete Beam Schedule'!$A$2:$Q$2902,S$2,0),"")</f>
        <v>#N/A</v>
      </c>
      <c r="T1169" s="7" t="e">
        <f>IF(VLOOKUP($A1169,'Concrete Beam Schedule'!$A$2:$Q$2902,T$2,0)&lt;&gt;D1169,"Beam Revised","")</f>
        <v>#N/A</v>
      </c>
      <c r="U1169" s="7" t="e">
        <f>IF(VLOOKUP($A1169,'Concrete Beam Schedule'!$A$2:$Q$2902,U$2,0)&lt;&gt;E1169,"Beam Revised","")</f>
        <v>#N/A</v>
      </c>
      <c r="V1169" s="7" t="e">
        <f>IF(VLOOKUP($A1169,'Concrete Beam Schedule'!$A$2:$Q$2902,V$2,0)&lt;&gt;F1169,"Beam Revised","")</f>
        <v>#N/A</v>
      </c>
      <c r="W1169" s="7" t="e">
        <f>IF(VLOOKUP($A1169,'Concrete Beam Schedule'!$A$2:$Q$2902,W$2,0)&lt;&gt;G1169,"Beam Revised","")</f>
        <v>#N/A</v>
      </c>
      <c r="X1169" s="7" t="e">
        <f>IF(VLOOKUP($A1169,'Concrete Beam Schedule'!$A$2:$Q$2902,X$2,0)&lt;&gt;H1169,"Beam Revised","")</f>
        <v>#N/A</v>
      </c>
      <c r="Y1169" s="7" t="e">
        <f>IF(VLOOKUP($A1169,'Concrete Beam Schedule'!$A$2:$Q$2902,Y$2,0)&lt;&gt;I1169,"Beam Revised","")</f>
        <v>#N/A</v>
      </c>
      <c r="Z1169" s="7" t="e">
        <f>IF(VLOOKUP($A1169,'Concrete Beam Schedule'!$A$2:$Q$2902,Z$2,0)&lt;&gt;J1169,"Beam Revised","")</f>
        <v>#N/A</v>
      </c>
      <c r="AA1169" s="7" t="e">
        <f>IF(VLOOKUP($A1169,'Concrete Beam Schedule'!$A$2:$Q$2902,AA$2,0)&lt;&gt;K1169,"Beam Revised","")</f>
        <v>#N/A</v>
      </c>
      <c r="AB1169" s="7" t="e">
        <f>IF(VLOOKUP($A1169,'Concrete Beam Schedule'!$A$2:$Q$2902,AB$2,0)&lt;&gt;L1169,"Beam Revised","")</f>
        <v>#N/A</v>
      </c>
      <c r="AC1169" s="7" t="e">
        <f>IF(VLOOKUP($A1169,'Concrete Beam Schedule'!$A$2:$Q$2902,AC$2,0)&lt;&gt;M1169,"Beam Revised","")</f>
        <v>#N/A</v>
      </c>
      <c r="AD1169" s="7" t="e">
        <f>IF(VLOOKUP($A1169,'Concrete Beam Schedule'!$A$2:$Q$2902,AD$2,0)&lt;&gt;N1169,"Beam Revised","")</f>
        <v>#N/A</v>
      </c>
      <c r="AE1169" s="7" t="e">
        <f>IF(VLOOKUP($A1169,'Concrete Beam Schedule'!$A$2:$Q$2902,AE$2,0)&lt;&gt;O1169,"Beam Revised","")</f>
        <v>#N/A</v>
      </c>
    </row>
    <row r="1170" spans="17:31" ht="13.2" x14ac:dyDescent="0.25">
      <c r="Q1170" s="7">
        <f t="shared" si="18"/>
        <v>0</v>
      </c>
      <c r="R1170" s="7" t="e">
        <f>IF(VLOOKUP($A1170,'Concrete Beam Schedule'!$A$2:$Q$2902,R$2,0)&lt;&gt;B1170,VLOOKUP($A1170,'Concrete Beam Schedule'!$A$2:$Q$2902,R$2,0),"")</f>
        <v>#N/A</v>
      </c>
      <c r="S1170" s="7" t="e">
        <f>IF(VLOOKUP($A1170,'Concrete Beam Schedule'!$A$2:$Q$2902,S$2,0)&lt;&gt;C1170,VLOOKUP($A1170,'Concrete Beam Schedule'!$A$2:$Q$2902,S$2,0),"")</f>
        <v>#N/A</v>
      </c>
      <c r="T1170" s="7" t="e">
        <f>IF(VLOOKUP($A1170,'Concrete Beam Schedule'!$A$2:$Q$2902,T$2,0)&lt;&gt;D1170,"Beam Revised","")</f>
        <v>#N/A</v>
      </c>
      <c r="U1170" s="7" t="e">
        <f>IF(VLOOKUP($A1170,'Concrete Beam Schedule'!$A$2:$Q$2902,U$2,0)&lt;&gt;E1170,"Beam Revised","")</f>
        <v>#N/A</v>
      </c>
      <c r="V1170" s="7" t="e">
        <f>IF(VLOOKUP($A1170,'Concrete Beam Schedule'!$A$2:$Q$2902,V$2,0)&lt;&gt;F1170,"Beam Revised","")</f>
        <v>#N/A</v>
      </c>
      <c r="W1170" s="7" t="e">
        <f>IF(VLOOKUP($A1170,'Concrete Beam Schedule'!$A$2:$Q$2902,W$2,0)&lt;&gt;G1170,"Beam Revised","")</f>
        <v>#N/A</v>
      </c>
      <c r="X1170" s="7" t="e">
        <f>IF(VLOOKUP($A1170,'Concrete Beam Schedule'!$A$2:$Q$2902,X$2,0)&lt;&gt;H1170,"Beam Revised","")</f>
        <v>#N/A</v>
      </c>
      <c r="Y1170" s="7" t="e">
        <f>IF(VLOOKUP($A1170,'Concrete Beam Schedule'!$A$2:$Q$2902,Y$2,0)&lt;&gt;I1170,"Beam Revised","")</f>
        <v>#N/A</v>
      </c>
      <c r="Z1170" s="7" t="e">
        <f>IF(VLOOKUP($A1170,'Concrete Beam Schedule'!$A$2:$Q$2902,Z$2,0)&lt;&gt;J1170,"Beam Revised","")</f>
        <v>#N/A</v>
      </c>
      <c r="AA1170" s="7" t="e">
        <f>IF(VLOOKUP($A1170,'Concrete Beam Schedule'!$A$2:$Q$2902,AA$2,0)&lt;&gt;K1170,"Beam Revised","")</f>
        <v>#N/A</v>
      </c>
      <c r="AB1170" s="7" t="e">
        <f>IF(VLOOKUP($A1170,'Concrete Beam Schedule'!$A$2:$Q$2902,AB$2,0)&lt;&gt;L1170,"Beam Revised","")</f>
        <v>#N/A</v>
      </c>
      <c r="AC1170" s="7" t="e">
        <f>IF(VLOOKUP($A1170,'Concrete Beam Schedule'!$A$2:$Q$2902,AC$2,0)&lt;&gt;M1170,"Beam Revised","")</f>
        <v>#N/A</v>
      </c>
      <c r="AD1170" s="7" t="e">
        <f>IF(VLOOKUP($A1170,'Concrete Beam Schedule'!$A$2:$Q$2902,AD$2,0)&lt;&gt;N1170,"Beam Revised","")</f>
        <v>#N/A</v>
      </c>
      <c r="AE1170" s="7" t="e">
        <f>IF(VLOOKUP($A1170,'Concrete Beam Schedule'!$A$2:$Q$2902,AE$2,0)&lt;&gt;O1170,"Beam Revised","")</f>
        <v>#N/A</v>
      </c>
    </row>
    <row r="1171" spans="17:31" ht="13.2" x14ac:dyDescent="0.25">
      <c r="Q1171" s="7">
        <f t="shared" si="18"/>
        <v>0</v>
      </c>
      <c r="R1171" s="7" t="e">
        <f>IF(VLOOKUP($A1171,'Concrete Beam Schedule'!$A$2:$Q$2902,R$2,0)&lt;&gt;B1171,VLOOKUP($A1171,'Concrete Beam Schedule'!$A$2:$Q$2902,R$2,0),"")</f>
        <v>#N/A</v>
      </c>
      <c r="S1171" s="7" t="e">
        <f>IF(VLOOKUP($A1171,'Concrete Beam Schedule'!$A$2:$Q$2902,S$2,0)&lt;&gt;C1171,VLOOKUP($A1171,'Concrete Beam Schedule'!$A$2:$Q$2902,S$2,0),"")</f>
        <v>#N/A</v>
      </c>
      <c r="T1171" s="7" t="e">
        <f>IF(VLOOKUP($A1171,'Concrete Beam Schedule'!$A$2:$Q$2902,T$2,0)&lt;&gt;D1171,"Beam Revised","")</f>
        <v>#N/A</v>
      </c>
      <c r="U1171" s="7" t="e">
        <f>IF(VLOOKUP($A1171,'Concrete Beam Schedule'!$A$2:$Q$2902,U$2,0)&lt;&gt;E1171,"Beam Revised","")</f>
        <v>#N/A</v>
      </c>
      <c r="V1171" s="7" t="e">
        <f>IF(VLOOKUP($A1171,'Concrete Beam Schedule'!$A$2:$Q$2902,V$2,0)&lt;&gt;F1171,"Beam Revised","")</f>
        <v>#N/A</v>
      </c>
      <c r="W1171" s="7" t="e">
        <f>IF(VLOOKUP($A1171,'Concrete Beam Schedule'!$A$2:$Q$2902,W$2,0)&lt;&gt;G1171,"Beam Revised","")</f>
        <v>#N/A</v>
      </c>
      <c r="X1171" s="7" t="e">
        <f>IF(VLOOKUP($A1171,'Concrete Beam Schedule'!$A$2:$Q$2902,X$2,0)&lt;&gt;H1171,"Beam Revised","")</f>
        <v>#N/A</v>
      </c>
      <c r="Y1171" s="7" t="e">
        <f>IF(VLOOKUP($A1171,'Concrete Beam Schedule'!$A$2:$Q$2902,Y$2,0)&lt;&gt;I1171,"Beam Revised","")</f>
        <v>#N/A</v>
      </c>
      <c r="Z1171" s="7" t="e">
        <f>IF(VLOOKUP($A1171,'Concrete Beam Schedule'!$A$2:$Q$2902,Z$2,0)&lt;&gt;J1171,"Beam Revised","")</f>
        <v>#N/A</v>
      </c>
      <c r="AA1171" s="7" t="e">
        <f>IF(VLOOKUP($A1171,'Concrete Beam Schedule'!$A$2:$Q$2902,AA$2,0)&lt;&gt;K1171,"Beam Revised","")</f>
        <v>#N/A</v>
      </c>
      <c r="AB1171" s="7" t="e">
        <f>IF(VLOOKUP($A1171,'Concrete Beam Schedule'!$A$2:$Q$2902,AB$2,0)&lt;&gt;L1171,"Beam Revised","")</f>
        <v>#N/A</v>
      </c>
      <c r="AC1171" s="7" t="e">
        <f>IF(VLOOKUP($A1171,'Concrete Beam Schedule'!$A$2:$Q$2902,AC$2,0)&lt;&gt;M1171,"Beam Revised","")</f>
        <v>#N/A</v>
      </c>
      <c r="AD1171" s="7" t="e">
        <f>IF(VLOOKUP($A1171,'Concrete Beam Schedule'!$A$2:$Q$2902,AD$2,0)&lt;&gt;N1171,"Beam Revised","")</f>
        <v>#N/A</v>
      </c>
      <c r="AE1171" s="7" t="e">
        <f>IF(VLOOKUP($A1171,'Concrete Beam Schedule'!$A$2:$Q$2902,AE$2,0)&lt;&gt;O1171,"Beam Revised","")</f>
        <v>#N/A</v>
      </c>
    </row>
    <row r="1172" spans="17:31" ht="13.2" x14ac:dyDescent="0.25">
      <c r="Q1172" s="7">
        <f t="shared" si="18"/>
        <v>0</v>
      </c>
      <c r="R1172" s="7" t="e">
        <f>IF(VLOOKUP($A1172,'Concrete Beam Schedule'!$A$2:$Q$2902,R$2,0)&lt;&gt;B1172,VLOOKUP($A1172,'Concrete Beam Schedule'!$A$2:$Q$2902,R$2,0),"")</f>
        <v>#N/A</v>
      </c>
      <c r="S1172" s="7" t="e">
        <f>IF(VLOOKUP($A1172,'Concrete Beam Schedule'!$A$2:$Q$2902,S$2,0)&lt;&gt;C1172,VLOOKUP($A1172,'Concrete Beam Schedule'!$A$2:$Q$2902,S$2,0),"")</f>
        <v>#N/A</v>
      </c>
      <c r="T1172" s="7" t="e">
        <f>IF(VLOOKUP($A1172,'Concrete Beam Schedule'!$A$2:$Q$2902,T$2,0)&lt;&gt;D1172,"Beam Revised","")</f>
        <v>#N/A</v>
      </c>
      <c r="U1172" s="7" t="e">
        <f>IF(VLOOKUP($A1172,'Concrete Beam Schedule'!$A$2:$Q$2902,U$2,0)&lt;&gt;E1172,"Beam Revised","")</f>
        <v>#N/A</v>
      </c>
      <c r="V1172" s="7" t="e">
        <f>IF(VLOOKUP($A1172,'Concrete Beam Schedule'!$A$2:$Q$2902,V$2,0)&lt;&gt;F1172,"Beam Revised","")</f>
        <v>#N/A</v>
      </c>
      <c r="W1172" s="7" t="e">
        <f>IF(VLOOKUP($A1172,'Concrete Beam Schedule'!$A$2:$Q$2902,W$2,0)&lt;&gt;G1172,"Beam Revised","")</f>
        <v>#N/A</v>
      </c>
      <c r="X1172" s="7" t="e">
        <f>IF(VLOOKUP($A1172,'Concrete Beam Schedule'!$A$2:$Q$2902,X$2,0)&lt;&gt;H1172,"Beam Revised","")</f>
        <v>#N/A</v>
      </c>
      <c r="Y1172" s="7" t="e">
        <f>IF(VLOOKUP($A1172,'Concrete Beam Schedule'!$A$2:$Q$2902,Y$2,0)&lt;&gt;I1172,"Beam Revised","")</f>
        <v>#N/A</v>
      </c>
      <c r="Z1172" s="7" t="e">
        <f>IF(VLOOKUP($A1172,'Concrete Beam Schedule'!$A$2:$Q$2902,Z$2,0)&lt;&gt;J1172,"Beam Revised","")</f>
        <v>#N/A</v>
      </c>
      <c r="AA1172" s="7" t="e">
        <f>IF(VLOOKUP($A1172,'Concrete Beam Schedule'!$A$2:$Q$2902,AA$2,0)&lt;&gt;K1172,"Beam Revised","")</f>
        <v>#N/A</v>
      </c>
      <c r="AB1172" s="7" t="e">
        <f>IF(VLOOKUP($A1172,'Concrete Beam Schedule'!$A$2:$Q$2902,AB$2,0)&lt;&gt;L1172,"Beam Revised","")</f>
        <v>#N/A</v>
      </c>
      <c r="AC1172" s="7" t="e">
        <f>IF(VLOOKUP($A1172,'Concrete Beam Schedule'!$A$2:$Q$2902,AC$2,0)&lt;&gt;M1172,"Beam Revised","")</f>
        <v>#N/A</v>
      </c>
      <c r="AD1172" s="7" t="e">
        <f>IF(VLOOKUP($A1172,'Concrete Beam Schedule'!$A$2:$Q$2902,AD$2,0)&lt;&gt;N1172,"Beam Revised","")</f>
        <v>#N/A</v>
      </c>
      <c r="AE1172" s="7" t="e">
        <f>IF(VLOOKUP($A1172,'Concrete Beam Schedule'!$A$2:$Q$2902,AE$2,0)&lt;&gt;O1172,"Beam Revised","")</f>
        <v>#N/A</v>
      </c>
    </row>
    <row r="1173" spans="17:31" ht="13.2" x14ac:dyDescent="0.25">
      <c r="Q1173" s="7">
        <f t="shared" si="18"/>
        <v>0</v>
      </c>
      <c r="R1173" s="7" t="e">
        <f>IF(VLOOKUP($A1173,'Concrete Beam Schedule'!$A$2:$Q$2902,R$2,0)&lt;&gt;B1173,VLOOKUP($A1173,'Concrete Beam Schedule'!$A$2:$Q$2902,R$2,0),"")</f>
        <v>#N/A</v>
      </c>
      <c r="S1173" s="7" t="e">
        <f>IF(VLOOKUP($A1173,'Concrete Beam Schedule'!$A$2:$Q$2902,S$2,0)&lt;&gt;C1173,VLOOKUP($A1173,'Concrete Beam Schedule'!$A$2:$Q$2902,S$2,0),"")</f>
        <v>#N/A</v>
      </c>
      <c r="T1173" s="7" t="e">
        <f>IF(VLOOKUP($A1173,'Concrete Beam Schedule'!$A$2:$Q$2902,T$2,0)&lt;&gt;D1173,"Beam Revised","")</f>
        <v>#N/A</v>
      </c>
      <c r="U1173" s="7" t="e">
        <f>IF(VLOOKUP($A1173,'Concrete Beam Schedule'!$A$2:$Q$2902,U$2,0)&lt;&gt;E1173,"Beam Revised","")</f>
        <v>#N/A</v>
      </c>
      <c r="V1173" s="7" t="e">
        <f>IF(VLOOKUP($A1173,'Concrete Beam Schedule'!$A$2:$Q$2902,V$2,0)&lt;&gt;F1173,"Beam Revised","")</f>
        <v>#N/A</v>
      </c>
      <c r="W1173" s="7" t="e">
        <f>IF(VLOOKUP($A1173,'Concrete Beam Schedule'!$A$2:$Q$2902,W$2,0)&lt;&gt;G1173,"Beam Revised","")</f>
        <v>#N/A</v>
      </c>
      <c r="X1173" s="7" t="e">
        <f>IF(VLOOKUP($A1173,'Concrete Beam Schedule'!$A$2:$Q$2902,X$2,0)&lt;&gt;H1173,"Beam Revised","")</f>
        <v>#N/A</v>
      </c>
      <c r="Y1173" s="7" t="e">
        <f>IF(VLOOKUP($A1173,'Concrete Beam Schedule'!$A$2:$Q$2902,Y$2,0)&lt;&gt;I1173,"Beam Revised","")</f>
        <v>#N/A</v>
      </c>
      <c r="Z1173" s="7" t="e">
        <f>IF(VLOOKUP($A1173,'Concrete Beam Schedule'!$A$2:$Q$2902,Z$2,0)&lt;&gt;J1173,"Beam Revised","")</f>
        <v>#N/A</v>
      </c>
      <c r="AA1173" s="7" t="e">
        <f>IF(VLOOKUP($A1173,'Concrete Beam Schedule'!$A$2:$Q$2902,AA$2,0)&lt;&gt;K1173,"Beam Revised","")</f>
        <v>#N/A</v>
      </c>
      <c r="AB1173" s="7" t="e">
        <f>IF(VLOOKUP($A1173,'Concrete Beam Schedule'!$A$2:$Q$2902,AB$2,0)&lt;&gt;L1173,"Beam Revised","")</f>
        <v>#N/A</v>
      </c>
      <c r="AC1173" s="7" t="e">
        <f>IF(VLOOKUP($A1173,'Concrete Beam Schedule'!$A$2:$Q$2902,AC$2,0)&lt;&gt;M1173,"Beam Revised","")</f>
        <v>#N/A</v>
      </c>
      <c r="AD1173" s="7" t="e">
        <f>IF(VLOOKUP($A1173,'Concrete Beam Schedule'!$A$2:$Q$2902,AD$2,0)&lt;&gt;N1173,"Beam Revised","")</f>
        <v>#N/A</v>
      </c>
      <c r="AE1173" s="7" t="e">
        <f>IF(VLOOKUP($A1173,'Concrete Beam Schedule'!$A$2:$Q$2902,AE$2,0)&lt;&gt;O1173,"Beam Revised","")</f>
        <v>#N/A</v>
      </c>
    </row>
    <row r="1174" spans="17:31" ht="13.2" x14ac:dyDescent="0.25">
      <c r="Q1174" s="7">
        <f t="shared" si="18"/>
        <v>0</v>
      </c>
      <c r="R1174" s="7" t="e">
        <f>IF(VLOOKUP($A1174,'Concrete Beam Schedule'!$A$2:$Q$2902,R$2,0)&lt;&gt;B1174,VLOOKUP($A1174,'Concrete Beam Schedule'!$A$2:$Q$2902,R$2,0),"")</f>
        <v>#N/A</v>
      </c>
      <c r="S1174" s="7" t="e">
        <f>IF(VLOOKUP($A1174,'Concrete Beam Schedule'!$A$2:$Q$2902,S$2,0)&lt;&gt;C1174,VLOOKUP($A1174,'Concrete Beam Schedule'!$A$2:$Q$2902,S$2,0),"")</f>
        <v>#N/A</v>
      </c>
      <c r="T1174" s="7" t="e">
        <f>IF(VLOOKUP($A1174,'Concrete Beam Schedule'!$A$2:$Q$2902,T$2,0)&lt;&gt;D1174,"Beam Revised","")</f>
        <v>#N/A</v>
      </c>
      <c r="U1174" s="7" t="e">
        <f>IF(VLOOKUP($A1174,'Concrete Beam Schedule'!$A$2:$Q$2902,U$2,0)&lt;&gt;E1174,"Beam Revised","")</f>
        <v>#N/A</v>
      </c>
      <c r="V1174" s="7" t="e">
        <f>IF(VLOOKUP($A1174,'Concrete Beam Schedule'!$A$2:$Q$2902,V$2,0)&lt;&gt;F1174,"Beam Revised","")</f>
        <v>#N/A</v>
      </c>
      <c r="W1174" s="7" t="e">
        <f>IF(VLOOKUP($A1174,'Concrete Beam Schedule'!$A$2:$Q$2902,W$2,0)&lt;&gt;G1174,"Beam Revised","")</f>
        <v>#N/A</v>
      </c>
      <c r="X1174" s="7" t="e">
        <f>IF(VLOOKUP($A1174,'Concrete Beam Schedule'!$A$2:$Q$2902,X$2,0)&lt;&gt;H1174,"Beam Revised","")</f>
        <v>#N/A</v>
      </c>
      <c r="Y1174" s="7" t="e">
        <f>IF(VLOOKUP($A1174,'Concrete Beam Schedule'!$A$2:$Q$2902,Y$2,0)&lt;&gt;I1174,"Beam Revised","")</f>
        <v>#N/A</v>
      </c>
      <c r="Z1174" s="7" t="e">
        <f>IF(VLOOKUP($A1174,'Concrete Beam Schedule'!$A$2:$Q$2902,Z$2,0)&lt;&gt;J1174,"Beam Revised","")</f>
        <v>#N/A</v>
      </c>
      <c r="AA1174" s="7" t="e">
        <f>IF(VLOOKUP($A1174,'Concrete Beam Schedule'!$A$2:$Q$2902,AA$2,0)&lt;&gt;K1174,"Beam Revised","")</f>
        <v>#N/A</v>
      </c>
      <c r="AB1174" s="7" t="e">
        <f>IF(VLOOKUP($A1174,'Concrete Beam Schedule'!$A$2:$Q$2902,AB$2,0)&lt;&gt;L1174,"Beam Revised","")</f>
        <v>#N/A</v>
      </c>
      <c r="AC1174" s="7" t="e">
        <f>IF(VLOOKUP($A1174,'Concrete Beam Schedule'!$A$2:$Q$2902,AC$2,0)&lt;&gt;M1174,"Beam Revised","")</f>
        <v>#N/A</v>
      </c>
      <c r="AD1174" s="7" t="e">
        <f>IF(VLOOKUP($A1174,'Concrete Beam Schedule'!$A$2:$Q$2902,AD$2,0)&lt;&gt;N1174,"Beam Revised","")</f>
        <v>#N/A</v>
      </c>
      <c r="AE1174" s="7" t="e">
        <f>IF(VLOOKUP($A1174,'Concrete Beam Schedule'!$A$2:$Q$2902,AE$2,0)&lt;&gt;O1174,"Beam Revised","")</f>
        <v>#N/A</v>
      </c>
    </row>
    <row r="1175" spans="17:31" ht="13.2" x14ac:dyDescent="0.25">
      <c r="Q1175" s="7">
        <f t="shared" si="18"/>
        <v>0</v>
      </c>
      <c r="R1175" s="7" t="e">
        <f>IF(VLOOKUP($A1175,'Concrete Beam Schedule'!$A$2:$Q$2902,R$2,0)&lt;&gt;B1175,VLOOKUP($A1175,'Concrete Beam Schedule'!$A$2:$Q$2902,R$2,0),"")</f>
        <v>#N/A</v>
      </c>
      <c r="S1175" s="7" t="e">
        <f>IF(VLOOKUP($A1175,'Concrete Beam Schedule'!$A$2:$Q$2902,S$2,0)&lt;&gt;C1175,VLOOKUP($A1175,'Concrete Beam Schedule'!$A$2:$Q$2902,S$2,0),"")</f>
        <v>#N/A</v>
      </c>
      <c r="T1175" s="7" t="e">
        <f>IF(VLOOKUP($A1175,'Concrete Beam Schedule'!$A$2:$Q$2902,T$2,0)&lt;&gt;D1175,"Beam Revised","")</f>
        <v>#N/A</v>
      </c>
      <c r="U1175" s="7" t="e">
        <f>IF(VLOOKUP($A1175,'Concrete Beam Schedule'!$A$2:$Q$2902,U$2,0)&lt;&gt;E1175,"Beam Revised","")</f>
        <v>#N/A</v>
      </c>
      <c r="V1175" s="7" t="e">
        <f>IF(VLOOKUP($A1175,'Concrete Beam Schedule'!$A$2:$Q$2902,V$2,0)&lt;&gt;F1175,"Beam Revised","")</f>
        <v>#N/A</v>
      </c>
      <c r="W1175" s="7" t="e">
        <f>IF(VLOOKUP($A1175,'Concrete Beam Schedule'!$A$2:$Q$2902,W$2,0)&lt;&gt;G1175,"Beam Revised","")</f>
        <v>#N/A</v>
      </c>
      <c r="X1175" s="7" t="e">
        <f>IF(VLOOKUP($A1175,'Concrete Beam Schedule'!$A$2:$Q$2902,X$2,0)&lt;&gt;H1175,"Beam Revised","")</f>
        <v>#N/A</v>
      </c>
      <c r="Y1175" s="7" t="e">
        <f>IF(VLOOKUP($A1175,'Concrete Beam Schedule'!$A$2:$Q$2902,Y$2,0)&lt;&gt;I1175,"Beam Revised","")</f>
        <v>#N/A</v>
      </c>
      <c r="Z1175" s="7" t="e">
        <f>IF(VLOOKUP($A1175,'Concrete Beam Schedule'!$A$2:$Q$2902,Z$2,0)&lt;&gt;J1175,"Beam Revised","")</f>
        <v>#N/A</v>
      </c>
      <c r="AA1175" s="7" t="e">
        <f>IF(VLOOKUP($A1175,'Concrete Beam Schedule'!$A$2:$Q$2902,AA$2,0)&lt;&gt;K1175,"Beam Revised","")</f>
        <v>#N/A</v>
      </c>
      <c r="AB1175" s="7" t="e">
        <f>IF(VLOOKUP($A1175,'Concrete Beam Schedule'!$A$2:$Q$2902,AB$2,0)&lt;&gt;L1175,"Beam Revised","")</f>
        <v>#N/A</v>
      </c>
      <c r="AC1175" s="7" t="e">
        <f>IF(VLOOKUP($A1175,'Concrete Beam Schedule'!$A$2:$Q$2902,AC$2,0)&lt;&gt;M1175,"Beam Revised","")</f>
        <v>#N/A</v>
      </c>
      <c r="AD1175" s="7" t="e">
        <f>IF(VLOOKUP($A1175,'Concrete Beam Schedule'!$A$2:$Q$2902,AD$2,0)&lt;&gt;N1175,"Beam Revised","")</f>
        <v>#N/A</v>
      </c>
      <c r="AE1175" s="7" t="e">
        <f>IF(VLOOKUP($A1175,'Concrete Beam Schedule'!$A$2:$Q$2902,AE$2,0)&lt;&gt;O1175,"Beam Revised","")</f>
        <v>#N/A</v>
      </c>
    </row>
    <row r="1176" spans="17:31" ht="13.2" x14ac:dyDescent="0.25">
      <c r="Q1176" s="7">
        <f t="shared" si="18"/>
        <v>0</v>
      </c>
      <c r="R1176" s="7" t="e">
        <f>IF(VLOOKUP($A1176,'Concrete Beam Schedule'!$A$2:$Q$2902,R$2,0)&lt;&gt;B1176,VLOOKUP($A1176,'Concrete Beam Schedule'!$A$2:$Q$2902,R$2,0),"")</f>
        <v>#N/A</v>
      </c>
      <c r="S1176" s="7" t="e">
        <f>IF(VLOOKUP($A1176,'Concrete Beam Schedule'!$A$2:$Q$2902,S$2,0)&lt;&gt;C1176,VLOOKUP($A1176,'Concrete Beam Schedule'!$A$2:$Q$2902,S$2,0),"")</f>
        <v>#N/A</v>
      </c>
      <c r="T1176" s="7" t="e">
        <f>IF(VLOOKUP($A1176,'Concrete Beam Schedule'!$A$2:$Q$2902,T$2,0)&lt;&gt;D1176,"Beam Revised","")</f>
        <v>#N/A</v>
      </c>
      <c r="U1176" s="7" t="e">
        <f>IF(VLOOKUP($A1176,'Concrete Beam Schedule'!$A$2:$Q$2902,U$2,0)&lt;&gt;E1176,"Beam Revised","")</f>
        <v>#N/A</v>
      </c>
      <c r="V1176" s="7" t="e">
        <f>IF(VLOOKUP($A1176,'Concrete Beam Schedule'!$A$2:$Q$2902,V$2,0)&lt;&gt;F1176,"Beam Revised","")</f>
        <v>#N/A</v>
      </c>
      <c r="W1176" s="7" t="e">
        <f>IF(VLOOKUP($A1176,'Concrete Beam Schedule'!$A$2:$Q$2902,W$2,0)&lt;&gt;G1176,"Beam Revised","")</f>
        <v>#N/A</v>
      </c>
      <c r="X1176" s="7" t="e">
        <f>IF(VLOOKUP($A1176,'Concrete Beam Schedule'!$A$2:$Q$2902,X$2,0)&lt;&gt;H1176,"Beam Revised","")</f>
        <v>#N/A</v>
      </c>
      <c r="Y1176" s="7" t="e">
        <f>IF(VLOOKUP($A1176,'Concrete Beam Schedule'!$A$2:$Q$2902,Y$2,0)&lt;&gt;I1176,"Beam Revised","")</f>
        <v>#N/A</v>
      </c>
      <c r="Z1176" s="7" t="e">
        <f>IF(VLOOKUP($A1176,'Concrete Beam Schedule'!$A$2:$Q$2902,Z$2,0)&lt;&gt;J1176,"Beam Revised","")</f>
        <v>#N/A</v>
      </c>
      <c r="AA1176" s="7" t="e">
        <f>IF(VLOOKUP($A1176,'Concrete Beam Schedule'!$A$2:$Q$2902,AA$2,0)&lt;&gt;K1176,"Beam Revised","")</f>
        <v>#N/A</v>
      </c>
      <c r="AB1176" s="7" t="e">
        <f>IF(VLOOKUP($A1176,'Concrete Beam Schedule'!$A$2:$Q$2902,AB$2,0)&lt;&gt;L1176,"Beam Revised","")</f>
        <v>#N/A</v>
      </c>
      <c r="AC1176" s="7" t="e">
        <f>IF(VLOOKUP($A1176,'Concrete Beam Schedule'!$A$2:$Q$2902,AC$2,0)&lt;&gt;M1176,"Beam Revised","")</f>
        <v>#N/A</v>
      </c>
      <c r="AD1176" s="7" t="e">
        <f>IF(VLOOKUP($A1176,'Concrete Beam Schedule'!$A$2:$Q$2902,AD$2,0)&lt;&gt;N1176,"Beam Revised","")</f>
        <v>#N/A</v>
      </c>
      <c r="AE1176" s="7" t="e">
        <f>IF(VLOOKUP($A1176,'Concrete Beam Schedule'!$A$2:$Q$2902,AE$2,0)&lt;&gt;O1176,"Beam Revised","")</f>
        <v>#N/A</v>
      </c>
    </row>
    <row r="1177" spans="17:31" ht="13.2" x14ac:dyDescent="0.25">
      <c r="Q1177" s="7">
        <f t="shared" si="18"/>
        <v>0</v>
      </c>
      <c r="R1177" s="7" t="e">
        <f>IF(VLOOKUP($A1177,'Concrete Beam Schedule'!$A$2:$Q$2902,R$2,0)&lt;&gt;B1177,VLOOKUP($A1177,'Concrete Beam Schedule'!$A$2:$Q$2902,R$2,0),"")</f>
        <v>#N/A</v>
      </c>
      <c r="S1177" s="7" t="e">
        <f>IF(VLOOKUP($A1177,'Concrete Beam Schedule'!$A$2:$Q$2902,S$2,0)&lt;&gt;C1177,VLOOKUP($A1177,'Concrete Beam Schedule'!$A$2:$Q$2902,S$2,0),"")</f>
        <v>#N/A</v>
      </c>
      <c r="T1177" s="7" t="e">
        <f>IF(VLOOKUP($A1177,'Concrete Beam Schedule'!$A$2:$Q$2902,T$2,0)&lt;&gt;D1177,"Beam Revised","")</f>
        <v>#N/A</v>
      </c>
      <c r="U1177" s="7" t="e">
        <f>IF(VLOOKUP($A1177,'Concrete Beam Schedule'!$A$2:$Q$2902,U$2,0)&lt;&gt;E1177,"Beam Revised","")</f>
        <v>#N/A</v>
      </c>
      <c r="V1177" s="7" t="e">
        <f>IF(VLOOKUP($A1177,'Concrete Beam Schedule'!$A$2:$Q$2902,V$2,0)&lt;&gt;F1177,"Beam Revised","")</f>
        <v>#N/A</v>
      </c>
      <c r="W1177" s="7" t="e">
        <f>IF(VLOOKUP($A1177,'Concrete Beam Schedule'!$A$2:$Q$2902,W$2,0)&lt;&gt;G1177,"Beam Revised","")</f>
        <v>#N/A</v>
      </c>
      <c r="X1177" s="7" t="e">
        <f>IF(VLOOKUP($A1177,'Concrete Beam Schedule'!$A$2:$Q$2902,X$2,0)&lt;&gt;H1177,"Beam Revised","")</f>
        <v>#N/A</v>
      </c>
      <c r="Y1177" s="7" t="e">
        <f>IF(VLOOKUP($A1177,'Concrete Beam Schedule'!$A$2:$Q$2902,Y$2,0)&lt;&gt;I1177,"Beam Revised","")</f>
        <v>#N/A</v>
      </c>
      <c r="Z1177" s="7" t="e">
        <f>IF(VLOOKUP($A1177,'Concrete Beam Schedule'!$A$2:$Q$2902,Z$2,0)&lt;&gt;J1177,"Beam Revised","")</f>
        <v>#N/A</v>
      </c>
      <c r="AA1177" s="7" t="e">
        <f>IF(VLOOKUP($A1177,'Concrete Beam Schedule'!$A$2:$Q$2902,AA$2,0)&lt;&gt;K1177,"Beam Revised","")</f>
        <v>#N/A</v>
      </c>
      <c r="AB1177" s="7" t="e">
        <f>IF(VLOOKUP($A1177,'Concrete Beam Schedule'!$A$2:$Q$2902,AB$2,0)&lt;&gt;L1177,"Beam Revised","")</f>
        <v>#N/A</v>
      </c>
      <c r="AC1177" s="7" t="e">
        <f>IF(VLOOKUP($A1177,'Concrete Beam Schedule'!$A$2:$Q$2902,AC$2,0)&lt;&gt;M1177,"Beam Revised","")</f>
        <v>#N/A</v>
      </c>
      <c r="AD1177" s="7" t="e">
        <f>IF(VLOOKUP($A1177,'Concrete Beam Schedule'!$A$2:$Q$2902,AD$2,0)&lt;&gt;N1177,"Beam Revised","")</f>
        <v>#N/A</v>
      </c>
      <c r="AE1177" s="7" t="e">
        <f>IF(VLOOKUP($A1177,'Concrete Beam Schedule'!$A$2:$Q$2902,AE$2,0)&lt;&gt;O1177,"Beam Revised","")</f>
        <v>#N/A</v>
      </c>
    </row>
    <row r="1178" spans="17:31" ht="13.2" x14ac:dyDescent="0.25">
      <c r="Q1178" s="7">
        <f t="shared" si="18"/>
        <v>0</v>
      </c>
      <c r="R1178" s="7" t="e">
        <f>IF(VLOOKUP($A1178,'Concrete Beam Schedule'!$A$2:$Q$2902,R$2,0)&lt;&gt;B1178,VLOOKUP($A1178,'Concrete Beam Schedule'!$A$2:$Q$2902,R$2,0),"")</f>
        <v>#N/A</v>
      </c>
      <c r="S1178" s="7" t="e">
        <f>IF(VLOOKUP($A1178,'Concrete Beam Schedule'!$A$2:$Q$2902,S$2,0)&lt;&gt;C1178,VLOOKUP($A1178,'Concrete Beam Schedule'!$A$2:$Q$2902,S$2,0),"")</f>
        <v>#N/A</v>
      </c>
      <c r="T1178" s="7" t="e">
        <f>IF(VLOOKUP($A1178,'Concrete Beam Schedule'!$A$2:$Q$2902,T$2,0)&lt;&gt;D1178,"Beam Revised","")</f>
        <v>#N/A</v>
      </c>
      <c r="U1178" s="7" t="e">
        <f>IF(VLOOKUP($A1178,'Concrete Beam Schedule'!$A$2:$Q$2902,U$2,0)&lt;&gt;E1178,"Beam Revised","")</f>
        <v>#N/A</v>
      </c>
      <c r="V1178" s="7" t="e">
        <f>IF(VLOOKUP($A1178,'Concrete Beam Schedule'!$A$2:$Q$2902,V$2,0)&lt;&gt;F1178,"Beam Revised","")</f>
        <v>#N/A</v>
      </c>
      <c r="W1178" s="7" t="e">
        <f>IF(VLOOKUP($A1178,'Concrete Beam Schedule'!$A$2:$Q$2902,W$2,0)&lt;&gt;G1178,"Beam Revised","")</f>
        <v>#N/A</v>
      </c>
      <c r="X1178" s="7" t="e">
        <f>IF(VLOOKUP($A1178,'Concrete Beam Schedule'!$A$2:$Q$2902,X$2,0)&lt;&gt;H1178,"Beam Revised","")</f>
        <v>#N/A</v>
      </c>
      <c r="Y1178" s="7" t="e">
        <f>IF(VLOOKUP($A1178,'Concrete Beam Schedule'!$A$2:$Q$2902,Y$2,0)&lt;&gt;I1178,"Beam Revised","")</f>
        <v>#N/A</v>
      </c>
      <c r="Z1178" s="7" t="e">
        <f>IF(VLOOKUP($A1178,'Concrete Beam Schedule'!$A$2:$Q$2902,Z$2,0)&lt;&gt;J1178,"Beam Revised","")</f>
        <v>#N/A</v>
      </c>
      <c r="AA1178" s="7" t="e">
        <f>IF(VLOOKUP($A1178,'Concrete Beam Schedule'!$A$2:$Q$2902,AA$2,0)&lt;&gt;K1178,"Beam Revised","")</f>
        <v>#N/A</v>
      </c>
      <c r="AB1178" s="7" t="e">
        <f>IF(VLOOKUP($A1178,'Concrete Beam Schedule'!$A$2:$Q$2902,AB$2,0)&lt;&gt;L1178,"Beam Revised","")</f>
        <v>#N/A</v>
      </c>
      <c r="AC1178" s="7" t="e">
        <f>IF(VLOOKUP($A1178,'Concrete Beam Schedule'!$A$2:$Q$2902,AC$2,0)&lt;&gt;M1178,"Beam Revised","")</f>
        <v>#N/A</v>
      </c>
      <c r="AD1178" s="7" t="e">
        <f>IF(VLOOKUP($A1178,'Concrete Beam Schedule'!$A$2:$Q$2902,AD$2,0)&lt;&gt;N1178,"Beam Revised","")</f>
        <v>#N/A</v>
      </c>
      <c r="AE1178" s="7" t="e">
        <f>IF(VLOOKUP($A1178,'Concrete Beam Schedule'!$A$2:$Q$2902,AE$2,0)&lt;&gt;O1178,"Beam Revised","")</f>
        <v>#N/A</v>
      </c>
    </row>
    <row r="1179" spans="17:31" ht="13.2" x14ac:dyDescent="0.25">
      <c r="Q1179" s="7">
        <f t="shared" si="18"/>
        <v>0</v>
      </c>
      <c r="R1179" s="7" t="e">
        <f>IF(VLOOKUP($A1179,'Concrete Beam Schedule'!$A$2:$Q$2902,R$2,0)&lt;&gt;B1179,VLOOKUP($A1179,'Concrete Beam Schedule'!$A$2:$Q$2902,R$2,0),"")</f>
        <v>#N/A</v>
      </c>
      <c r="S1179" s="7" t="e">
        <f>IF(VLOOKUP($A1179,'Concrete Beam Schedule'!$A$2:$Q$2902,S$2,0)&lt;&gt;C1179,VLOOKUP($A1179,'Concrete Beam Schedule'!$A$2:$Q$2902,S$2,0),"")</f>
        <v>#N/A</v>
      </c>
      <c r="T1179" s="7" t="e">
        <f>IF(VLOOKUP($A1179,'Concrete Beam Schedule'!$A$2:$Q$2902,T$2,0)&lt;&gt;D1179,"Beam Revised","")</f>
        <v>#N/A</v>
      </c>
      <c r="U1179" s="7" t="e">
        <f>IF(VLOOKUP($A1179,'Concrete Beam Schedule'!$A$2:$Q$2902,U$2,0)&lt;&gt;E1179,"Beam Revised","")</f>
        <v>#N/A</v>
      </c>
      <c r="V1179" s="7" t="e">
        <f>IF(VLOOKUP($A1179,'Concrete Beam Schedule'!$A$2:$Q$2902,V$2,0)&lt;&gt;F1179,"Beam Revised","")</f>
        <v>#N/A</v>
      </c>
      <c r="W1179" s="7" t="e">
        <f>IF(VLOOKUP($A1179,'Concrete Beam Schedule'!$A$2:$Q$2902,W$2,0)&lt;&gt;G1179,"Beam Revised","")</f>
        <v>#N/A</v>
      </c>
      <c r="X1179" s="7" t="e">
        <f>IF(VLOOKUP($A1179,'Concrete Beam Schedule'!$A$2:$Q$2902,X$2,0)&lt;&gt;H1179,"Beam Revised","")</f>
        <v>#N/A</v>
      </c>
      <c r="Y1179" s="7" t="e">
        <f>IF(VLOOKUP($A1179,'Concrete Beam Schedule'!$A$2:$Q$2902,Y$2,0)&lt;&gt;I1179,"Beam Revised","")</f>
        <v>#N/A</v>
      </c>
      <c r="Z1179" s="7" t="e">
        <f>IF(VLOOKUP($A1179,'Concrete Beam Schedule'!$A$2:$Q$2902,Z$2,0)&lt;&gt;J1179,"Beam Revised","")</f>
        <v>#N/A</v>
      </c>
      <c r="AA1179" s="7" t="e">
        <f>IF(VLOOKUP($A1179,'Concrete Beam Schedule'!$A$2:$Q$2902,AA$2,0)&lt;&gt;K1179,"Beam Revised","")</f>
        <v>#N/A</v>
      </c>
      <c r="AB1179" s="7" t="e">
        <f>IF(VLOOKUP($A1179,'Concrete Beam Schedule'!$A$2:$Q$2902,AB$2,0)&lt;&gt;L1179,"Beam Revised","")</f>
        <v>#N/A</v>
      </c>
      <c r="AC1179" s="7" t="e">
        <f>IF(VLOOKUP($A1179,'Concrete Beam Schedule'!$A$2:$Q$2902,AC$2,0)&lt;&gt;M1179,"Beam Revised","")</f>
        <v>#N/A</v>
      </c>
      <c r="AD1179" s="7" t="e">
        <f>IF(VLOOKUP($A1179,'Concrete Beam Schedule'!$A$2:$Q$2902,AD$2,0)&lt;&gt;N1179,"Beam Revised","")</f>
        <v>#N/A</v>
      </c>
      <c r="AE1179" s="7" t="e">
        <f>IF(VLOOKUP($A1179,'Concrete Beam Schedule'!$A$2:$Q$2902,AE$2,0)&lt;&gt;O1179,"Beam Revised","")</f>
        <v>#N/A</v>
      </c>
    </row>
    <row r="1180" spans="17:31" ht="13.2" x14ac:dyDescent="0.25">
      <c r="Q1180" s="7">
        <f t="shared" si="18"/>
        <v>0</v>
      </c>
      <c r="R1180" s="7" t="e">
        <f>IF(VLOOKUP($A1180,'Concrete Beam Schedule'!$A$2:$Q$2902,R$2,0)&lt;&gt;B1180,VLOOKUP($A1180,'Concrete Beam Schedule'!$A$2:$Q$2902,R$2,0),"")</f>
        <v>#N/A</v>
      </c>
      <c r="S1180" s="7" t="e">
        <f>IF(VLOOKUP($A1180,'Concrete Beam Schedule'!$A$2:$Q$2902,S$2,0)&lt;&gt;C1180,VLOOKUP($A1180,'Concrete Beam Schedule'!$A$2:$Q$2902,S$2,0),"")</f>
        <v>#N/A</v>
      </c>
      <c r="T1180" s="7" t="e">
        <f>IF(VLOOKUP($A1180,'Concrete Beam Schedule'!$A$2:$Q$2902,T$2,0)&lt;&gt;D1180,"Beam Revised","")</f>
        <v>#N/A</v>
      </c>
      <c r="U1180" s="7" t="e">
        <f>IF(VLOOKUP($A1180,'Concrete Beam Schedule'!$A$2:$Q$2902,U$2,0)&lt;&gt;E1180,"Beam Revised","")</f>
        <v>#N/A</v>
      </c>
      <c r="V1180" s="7" t="e">
        <f>IF(VLOOKUP($A1180,'Concrete Beam Schedule'!$A$2:$Q$2902,V$2,0)&lt;&gt;F1180,"Beam Revised","")</f>
        <v>#N/A</v>
      </c>
      <c r="W1180" s="7" t="e">
        <f>IF(VLOOKUP($A1180,'Concrete Beam Schedule'!$A$2:$Q$2902,W$2,0)&lt;&gt;G1180,"Beam Revised","")</f>
        <v>#N/A</v>
      </c>
      <c r="X1180" s="7" t="e">
        <f>IF(VLOOKUP($A1180,'Concrete Beam Schedule'!$A$2:$Q$2902,X$2,0)&lt;&gt;H1180,"Beam Revised","")</f>
        <v>#N/A</v>
      </c>
      <c r="Y1180" s="7" t="e">
        <f>IF(VLOOKUP($A1180,'Concrete Beam Schedule'!$A$2:$Q$2902,Y$2,0)&lt;&gt;I1180,"Beam Revised","")</f>
        <v>#N/A</v>
      </c>
      <c r="Z1180" s="7" t="e">
        <f>IF(VLOOKUP($A1180,'Concrete Beam Schedule'!$A$2:$Q$2902,Z$2,0)&lt;&gt;J1180,"Beam Revised","")</f>
        <v>#N/A</v>
      </c>
      <c r="AA1180" s="7" t="e">
        <f>IF(VLOOKUP($A1180,'Concrete Beam Schedule'!$A$2:$Q$2902,AA$2,0)&lt;&gt;K1180,"Beam Revised","")</f>
        <v>#N/A</v>
      </c>
      <c r="AB1180" s="7" t="e">
        <f>IF(VLOOKUP($A1180,'Concrete Beam Schedule'!$A$2:$Q$2902,AB$2,0)&lt;&gt;L1180,"Beam Revised","")</f>
        <v>#N/A</v>
      </c>
      <c r="AC1180" s="7" t="e">
        <f>IF(VLOOKUP($A1180,'Concrete Beam Schedule'!$A$2:$Q$2902,AC$2,0)&lt;&gt;M1180,"Beam Revised","")</f>
        <v>#N/A</v>
      </c>
      <c r="AD1180" s="7" t="e">
        <f>IF(VLOOKUP($A1180,'Concrete Beam Schedule'!$A$2:$Q$2902,AD$2,0)&lt;&gt;N1180,"Beam Revised","")</f>
        <v>#N/A</v>
      </c>
      <c r="AE1180" s="7" t="e">
        <f>IF(VLOOKUP($A1180,'Concrete Beam Schedule'!$A$2:$Q$2902,AE$2,0)&lt;&gt;O1180,"Beam Revised","")</f>
        <v>#N/A</v>
      </c>
    </row>
    <row r="1181" spans="17:31" ht="13.2" x14ac:dyDescent="0.25">
      <c r="Q1181" s="7">
        <f t="shared" si="18"/>
        <v>0</v>
      </c>
      <c r="R1181" s="7" t="e">
        <f>IF(VLOOKUP($A1181,'Concrete Beam Schedule'!$A$2:$Q$2902,R$2,0)&lt;&gt;B1181,VLOOKUP($A1181,'Concrete Beam Schedule'!$A$2:$Q$2902,R$2,0),"")</f>
        <v>#N/A</v>
      </c>
      <c r="S1181" s="7" t="e">
        <f>IF(VLOOKUP($A1181,'Concrete Beam Schedule'!$A$2:$Q$2902,S$2,0)&lt;&gt;C1181,VLOOKUP($A1181,'Concrete Beam Schedule'!$A$2:$Q$2902,S$2,0),"")</f>
        <v>#N/A</v>
      </c>
      <c r="T1181" s="7" t="e">
        <f>IF(VLOOKUP($A1181,'Concrete Beam Schedule'!$A$2:$Q$2902,T$2,0)&lt;&gt;D1181,"Beam Revised","")</f>
        <v>#N/A</v>
      </c>
      <c r="U1181" s="7" t="e">
        <f>IF(VLOOKUP($A1181,'Concrete Beam Schedule'!$A$2:$Q$2902,U$2,0)&lt;&gt;E1181,"Beam Revised","")</f>
        <v>#N/A</v>
      </c>
      <c r="V1181" s="7" t="e">
        <f>IF(VLOOKUP($A1181,'Concrete Beam Schedule'!$A$2:$Q$2902,V$2,0)&lt;&gt;F1181,"Beam Revised","")</f>
        <v>#N/A</v>
      </c>
      <c r="W1181" s="7" t="e">
        <f>IF(VLOOKUP($A1181,'Concrete Beam Schedule'!$A$2:$Q$2902,W$2,0)&lt;&gt;G1181,"Beam Revised","")</f>
        <v>#N/A</v>
      </c>
      <c r="X1181" s="7" t="e">
        <f>IF(VLOOKUP($A1181,'Concrete Beam Schedule'!$A$2:$Q$2902,X$2,0)&lt;&gt;H1181,"Beam Revised","")</f>
        <v>#N/A</v>
      </c>
      <c r="Y1181" s="7" t="e">
        <f>IF(VLOOKUP($A1181,'Concrete Beam Schedule'!$A$2:$Q$2902,Y$2,0)&lt;&gt;I1181,"Beam Revised","")</f>
        <v>#N/A</v>
      </c>
      <c r="Z1181" s="7" t="e">
        <f>IF(VLOOKUP($A1181,'Concrete Beam Schedule'!$A$2:$Q$2902,Z$2,0)&lt;&gt;J1181,"Beam Revised","")</f>
        <v>#N/A</v>
      </c>
      <c r="AA1181" s="7" t="e">
        <f>IF(VLOOKUP($A1181,'Concrete Beam Schedule'!$A$2:$Q$2902,AA$2,0)&lt;&gt;K1181,"Beam Revised","")</f>
        <v>#N/A</v>
      </c>
      <c r="AB1181" s="7" t="e">
        <f>IF(VLOOKUP($A1181,'Concrete Beam Schedule'!$A$2:$Q$2902,AB$2,0)&lt;&gt;L1181,"Beam Revised","")</f>
        <v>#N/A</v>
      </c>
      <c r="AC1181" s="7" t="e">
        <f>IF(VLOOKUP($A1181,'Concrete Beam Schedule'!$A$2:$Q$2902,AC$2,0)&lt;&gt;M1181,"Beam Revised","")</f>
        <v>#N/A</v>
      </c>
      <c r="AD1181" s="7" t="e">
        <f>IF(VLOOKUP($A1181,'Concrete Beam Schedule'!$A$2:$Q$2902,AD$2,0)&lt;&gt;N1181,"Beam Revised","")</f>
        <v>#N/A</v>
      </c>
      <c r="AE1181" s="7" t="e">
        <f>IF(VLOOKUP($A1181,'Concrete Beam Schedule'!$A$2:$Q$2902,AE$2,0)&lt;&gt;O1181,"Beam Revised","")</f>
        <v>#N/A</v>
      </c>
    </row>
    <row r="1182" spans="17:31" ht="13.2" x14ac:dyDescent="0.25">
      <c r="Q1182" s="7">
        <f t="shared" si="18"/>
        <v>0</v>
      </c>
      <c r="R1182" s="7" t="e">
        <f>IF(VLOOKUP($A1182,'Concrete Beam Schedule'!$A$2:$Q$2902,R$2,0)&lt;&gt;B1182,VLOOKUP($A1182,'Concrete Beam Schedule'!$A$2:$Q$2902,R$2,0),"")</f>
        <v>#N/A</v>
      </c>
      <c r="S1182" s="7" t="e">
        <f>IF(VLOOKUP($A1182,'Concrete Beam Schedule'!$A$2:$Q$2902,S$2,0)&lt;&gt;C1182,VLOOKUP($A1182,'Concrete Beam Schedule'!$A$2:$Q$2902,S$2,0),"")</f>
        <v>#N/A</v>
      </c>
      <c r="T1182" s="7" t="e">
        <f>IF(VLOOKUP($A1182,'Concrete Beam Schedule'!$A$2:$Q$2902,T$2,0)&lt;&gt;D1182,"Beam Revised","")</f>
        <v>#N/A</v>
      </c>
      <c r="U1182" s="7" t="e">
        <f>IF(VLOOKUP($A1182,'Concrete Beam Schedule'!$A$2:$Q$2902,U$2,0)&lt;&gt;E1182,"Beam Revised","")</f>
        <v>#N/A</v>
      </c>
      <c r="V1182" s="7" t="e">
        <f>IF(VLOOKUP($A1182,'Concrete Beam Schedule'!$A$2:$Q$2902,V$2,0)&lt;&gt;F1182,"Beam Revised","")</f>
        <v>#N/A</v>
      </c>
      <c r="W1182" s="7" t="e">
        <f>IF(VLOOKUP($A1182,'Concrete Beam Schedule'!$A$2:$Q$2902,W$2,0)&lt;&gt;G1182,"Beam Revised","")</f>
        <v>#N/A</v>
      </c>
      <c r="X1182" s="7" t="e">
        <f>IF(VLOOKUP($A1182,'Concrete Beam Schedule'!$A$2:$Q$2902,X$2,0)&lt;&gt;H1182,"Beam Revised","")</f>
        <v>#N/A</v>
      </c>
      <c r="Y1182" s="7" t="e">
        <f>IF(VLOOKUP($A1182,'Concrete Beam Schedule'!$A$2:$Q$2902,Y$2,0)&lt;&gt;I1182,"Beam Revised","")</f>
        <v>#N/A</v>
      </c>
      <c r="Z1182" s="7" t="e">
        <f>IF(VLOOKUP($A1182,'Concrete Beam Schedule'!$A$2:$Q$2902,Z$2,0)&lt;&gt;J1182,"Beam Revised","")</f>
        <v>#N/A</v>
      </c>
      <c r="AA1182" s="7" t="e">
        <f>IF(VLOOKUP($A1182,'Concrete Beam Schedule'!$A$2:$Q$2902,AA$2,0)&lt;&gt;K1182,"Beam Revised","")</f>
        <v>#N/A</v>
      </c>
      <c r="AB1182" s="7" t="e">
        <f>IF(VLOOKUP($A1182,'Concrete Beam Schedule'!$A$2:$Q$2902,AB$2,0)&lt;&gt;L1182,"Beam Revised","")</f>
        <v>#N/A</v>
      </c>
      <c r="AC1182" s="7" t="e">
        <f>IF(VLOOKUP($A1182,'Concrete Beam Schedule'!$A$2:$Q$2902,AC$2,0)&lt;&gt;M1182,"Beam Revised","")</f>
        <v>#N/A</v>
      </c>
      <c r="AD1182" s="7" t="e">
        <f>IF(VLOOKUP($A1182,'Concrete Beam Schedule'!$A$2:$Q$2902,AD$2,0)&lt;&gt;N1182,"Beam Revised","")</f>
        <v>#N/A</v>
      </c>
      <c r="AE1182" s="7" t="e">
        <f>IF(VLOOKUP($A1182,'Concrete Beam Schedule'!$A$2:$Q$2902,AE$2,0)&lt;&gt;O1182,"Beam Revised","")</f>
        <v>#N/A</v>
      </c>
    </row>
    <row r="1183" spans="17:31" ht="13.2" x14ac:dyDescent="0.25">
      <c r="Q1183" s="7">
        <f t="shared" si="18"/>
        <v>0</v>
      </c>
      <c r="R1183" s="7" t="e">
        <f>IF(VLOOKUP($A1183,'Concrete Beam Schedule'!$A$2:$Q$2902,R$2,0)&lt;&gt;B1183,VLOOKUP($A1183,'Concrete Beam Schedule'!$A$2:$Q$2902,R$2,0),"")</f>
        <v>#N/A</v>
      </c>
      <c r="S1183" s="7" t="e">
        <f>IF(VLOOKUP($A1183,'Concrete Beam Schedule'!$A$2:$Q$2902,S$2,0)&lt;&gt;C1183,VLOOKUP($A1183,'Concrete Beam Schedule'!$A$2:$Q$2902,S$2,0),"")</f>
        <v>#N/A</v>
      </c>
      <c r="T1183" s="7" t="e">
        <f>IF(VLOOKUP($A1183,'Concrete Beam Schedule'!$A$2:$Q$2902,T$2,0)&lt;&gt;D1183,"Beam Revised","")</f>
        <v>#N/A</v>
      </c>
      <c r="U1183" s="7" t="e">
        <f>IF(VLOOKUP($A1183,'Concrete Beam Schedule'!$A$2:$Q$2902,U$2,0)&lt;&gt;E1183,"Beam Revised","")</f>
        <v>#N/A</v>
      </c>
      <c r="V1183" s="7" t="e">
        <f>IF(VLOOKUP($A1183,'Concrete Beam Schedule'!$A$2:$Q$2902,V$2,0)&lt;&gt;F1183,"Beam Revised","")</f>
        <v>#N/A</v>
      </c>
      <c r="W1183" s="7" t="e">
        <f>IF(VLOOKUP($A1183,'Concrete Beam Schedule'!$A$2:$Q$2902,W$2,0)&lt;&gt;G1183,"Beam Revised","")</f>
        <v>#N/A</v>
      </c>
      <c r="X1183" s="7" t="e">
        <f>IF(VLOOKUP($A1183,'Concrete Beam Schedule'!$A$2:$Q$2902,X$2,0)&lt;&gt;H1183,"Beam Revised","")</f>
        <v>#N/A</v>
      </c>
      <c r="Y1183" s="7" t="e">
        <f>IF(VLOOKUP($A1183,'Concrete Beam Schedule'!$A$2:$Q$2902,Y$2,0)&lt;&gt;I1183,"Beam Revised","")</f>
        <v>#N/A</v>
      </c>
      <c r="Z1183" s="7" t="e">
        <f>IF(VLOOKUP($A1183,'Concrete Beam Schedule'!$A$2:$Q$2902,Z$2,0)&lt;&gt;J1183,"Beam Revised","")</f>
        <v>#N/A</v>
      </c>
      <c r="AA1183" s="7" t="e">
        <f>IF(VLOOKUP($A1183,'Concrete Beam Schedule'!$A$2:$Q$2902,AA$2,0)&lt;&gt;K1183,"Beam Revised","")</f>
        <v>#N/A</v>
      </c>
      <c r="AB1183" s="7" t="e">
        <f>IF(VLOOKUP($A1183,'Concrete Beam Schedule'!$A$2:$Q$2902,AB$2,0)&lt;&gt;L1183,"Beam Revised","")</f>
        <v>#N/A</v>
      </c>
      <c r="AC1183" s="7" t="e">
        <f>IF(VLOOKUP($A1183,'Concrete Beam Schedule'!$A$2:$Q$2902,AC$2,0)&lt;&gt;M1183,"Beam Revised","")</f>
        <v>#N/A</v>
      </c>
      <c r="AD1183" s="7" t="e">
        <f>IF(VLOOKUP($A1183,'Concrete Beam Schedule'!$A$2:$Q$2902,AD$2,0)&lt;&gt;N1183,"Beam Revised","")</f>
        <v>#N/A</v>
      </c>
      <c r="AE1183" s="7" t="e">
        <f>IF(VLOOKUP($A1183,'Concrete Beam Schedule'!$A$2:$Q$2902,AE$2,0)&lt;&gt;O1183,"Beam Revised","")</f>
        <v>#N/A</v>
      </c>
    </row>
    <row r="1184" spans="17:31" ht="13.2" x14ac:dyDescent="0.25">
      <c r="Q1184" s="7">
        <f t="shared" si="18"/>
        <v>0</v>
      </c>
      <c r="R1184" s="7" t="e">
        <f>IF(VLOOKUP($A1184,'Concrete Beam Schedule'!$A$2:$Q$2902,R$2,0)&lt;&gt;B1184,VLOOKUP($A1184,'Concrete Beam Schedule'!$A$2:$Q$2902,R$2,0),"")</f>
        <v>#N/A</v>
      </c>
      <c r="S1184" s="7" t="e">
        <f>IF(VLOOKUP($A1184,'Concrete Beam Schedule'!$A$2:$Q$2902,S$2,0)&lt;&gt;C1184,VLOOKUP($A1184,'Concrete Beam Schedule'!$A$2:$Q$2902,S$2,0),"")</f>
        <v>#N/A</v>
      </c>
      <c r="T1184" s="7" t="e">
        <f>IF(VLOOKUP($A1184,'Concrete Beam Schedule'!$A$2:$Q$2902,T$2,0)&lt;&gt;D1184,"Beam Revised","")</f>
        <v>#N/A</v>
      </c>
      <c r="U1184" s="7" t="e">
        <f>IF(VLOOKUP($A1184,'Concrete Beam Schedule'!$A$2:$Q$2902,U$2,0)&lt;&gt;E1184,"Beam Revised","")</f>
        <v>#N/A</v>
      </c>
      <c r="V1184" s="7" t="e">
        <f>IF(VLOOKUP($A1184,'Concrete Beam Schedule'!$A$2:$Q$2902,V$2,0)&lt;&gt;F1184,"Beam Revised","")</f>
        <v>#N/A</v>
      </c>
      <c r="W1184" s="7" t="e">
        <f>IF(VLOOKUP($A1184,'Concrete Beam Schedule'!$A$2:$Q$2902,W$2,0)&lt;&gt;G1184,"Beam Revised","")</f>
        <v>#N/A</v>
      </c>
      <c r="X1184" s="7" t="e">
        <f>IF(VLOOKUP($A1184,'Concrete Beam Schedule'!$A$2:$Q$2902,X$2,0)&lt;&gt;H1184,"Beam Revised","")</f>
        <v>#N/A</v>
      </c>
      <c r="Y1184" s="7" t="e">
        <f>IF(VLOOKUP($A1184,'Concrete Beam Schedule'!$A$2:$Q$2902,Y$2,0)&lt;&gt;I1184,"Beam Revised","")</f>
        <v>#N/A</v>
      </c>
      <c r="Z1184" s="7" t="e">
        <f>IF(VLOOKUP($A1184,'Concrete Beam Schedule'!$A$2:$Q$2902,Z$2,0)&lt;&gt;J1184,"Beam Revised","")</f>
        <v>#N/A</v>
      </c>
      <c r="AA1184" s="7" t="e">
        <f>IF(VLOOKUP($A1184,'Concrete Beam Schedule'!$A$2:$Q$2902,AA$2,0)&lt;&gt;K1184,"Beam Revised","")</f>
        <v>#N/A</v>
      </c>
      <c r="AB1184" s="7" t="e">
        <f>IF(VLOOKUP($A1184,'Concrete Beam Schedule'!$A$2:$Q$2902,AB$2,0)&lt;&gt;L1184,"Beam Revised","")</f>
        <v>#N/A</v>
      </c>
      <c r="AC1184" s="7" t="e">
        <f>IF(VLOOKUP($A1184,'Concrete Beam Schedule'!$A$2:$Q$2902,AC$2,0)&lt;&gt;M1184,"Beam Revised","")</f>
        <v>#N/A</v>
      </c>
      <c r="AD1184" s="7" t="e">
        <f>IF(VLOOKUP($A1184,'Concrete Beam Schedule'!$A$2:$Q$2902,AD$2,0)&lt;&gt;N1184,"Beam Revised","")</f>
        <v>#N/A</v>
      </c>
      <c r="AE1184" s="7" t="e">
        <f>IF(VLOOKUP($A1184,'Concrete Beam Schedule'!$A$2:$Q$2902,AE$2,0)&lt;&gt;O1184,"Beam Revised","")</f>
        <v>#N/A</v>
      </c>
    </row>
    <row r="1185" spans="17:31" ht="13.2" x14ac:dyDescent="0.25">
      <c r="Q1185" s="7">
        <f t="shared" si="18"/>
        <v>0</v>
      </c>
      <c r="R1185" s="7" t="e">
        <f>IF(VLOOKUP($A1185,'Concrete Beam Schedule'!$A$2:$Q$2902,R$2,0)&lt;&gt;B1185,VLOOKUP($A1185,'Concrete Beam Schedule'!$A$2:$Q$2902,R$2,0),"")</f>
        <v>#N/A</v>
      </c>
      <c r="S1185" s="7" t="e">
        <f>IF(VLOOKUP($A1185,'Concrete Beam Schedule'!$A$2:$Q$2902,S$2,0)&lt;&gt;C1185,VLOOKUP($A1185,'Concrete Beam Schedule'!$A$2:$Q$2902,S$2,0),"")</f>
        <v>#N/A</v>
      </c>
      <c r="T1185" s="7" t="e">
        <f>IF(VLOOKUP($A1185,'Concrete Beam Schedule'!$A$2:$Q$2902,T$2,0)&lt;&gt;D1185,"Beam Revised","")</f>
        <v>#N/A</v>
      </c>
      <c r="U1185" s="7" t="e">
        <f>IF(VLOOKUP($A1185,'Concrete Beam Schedule'!$A$2:$Q$2902,U$2,0)&lt;&gt;E1185,"Beam Revised","")</f>
        <v>#N/A</v>
      </c>
      <c r="V1185" s="7" t="e">
        <f>IF(VLOOKUP($A1185,'Concrete Beam Schedule'!$A$2:$Q$2902,V$2,0)&lt;&gt;F1185,"Beam Revised","")</f>
        <v>#N/A</v>
      </c>
      <c r="W1185" s="7" t="e">
        <f>IF(VLOOKUP($A1185,'Concrete Beam Schedule'!$A$2:$Q$2902,W$2,0)&lt;&gt;G1185,"Beam Revised","")</f>
        <v>#N/A</v>
      </c>
      <c r="X1185" s="7" t="e">
        <f>IF(VLOOKUP($A1185,'Concrete Beam Schedule'!$A$2:$Q$2902,X$2,0)&lt;&gt;H1185,"Beam Revised","")</f>
        <v>#N/A</v>
      </c>
      <c r="Y1185" s="7" t="e">
        <f>IF(VLOOKUP($A1185,'Concrete Beam Schedule'!$A$2:$Q$2902,Y$2,0)&lt;&gt;I1185,"Beam Revised","")</f>
        <v>#N/A</v>
      </c>
      <c r="Z1185" s="7" t="e">
        <f>IF(VLOOKUP($A1185,'Concrete Beam Schedule'!$A$2:$Q$2902,Z$2,0)&lt;&gt;J1185,"Beam Revised","")</f>
        <v>#N/A</v>
      </c>
      <c r="AA1185" s="7" t="e">
        <f>IF(VLOOKUP($A1185,'Concrete Beam Schedule'!$A$2:$Q$2902,AA$2,0)&lt;&gt;K1185,"Beam Revised","")</f>
        <v>#N/A</v>
      </c>
      <c r="AB1185" s="7" t="e">
        <f>IF(VLOOKUP($A1185,'Concrete Beam Schedule'!$A$2:$Q$2902,AB$2,0)&lt;&gt;L1185,"Beam Revised","")</f>
        <v>#N/A</v>
      </c>
      <c r="AC1185" s="7" t="e">
        <f>IF(VLOOKUP($A1185,'Concrete Beam Schedule'!$A$2:$Q$2902,AC$2,0)&lt;&gt;M1185,"Beam Revised","")</f>
        <v>#N/A</v>
      </c>
      <c r="AD1185" s="7" t="e">
        <f>IF(VLOOKUP($A1185,'Concrete Beam Schedule'!$A$2:$Q$2902,AD$2,0)&lt;&gt;N1185,"Beam Revised","")</f>
        <v>#N/A</v>
      </c>
      <c r="AE1185" s="7" t="e">
        <f>IF(VLOOKUP($A1185,'Concrete Beam Schedule'!$A$2:$Q$2902,AE$2,0)&lt;&gt;O1185,"Beam Revised","")</f>
        <v>#N/A</v>
      </c>
    </row>
    <row r="1186" spans="17:31" ht="13.2" x14ac:dyDescent="0.25">
      <c r="Q1186" s="7">
        <f t="shared" si="18"/>
        <v>0</v>
      </c>
      <c r="R1186" s="7" t="e">
        <f>IF(VLOOKUP($A1186,'Concrete Beam Schedule'!$A$2:$Q$2902,R$2,0)&lt;&gt;B1186,VLOOKUP($A1186,'Concrete Beam Schedule'!$A$2:$Q$2902,R$2,0),"")</f>
        <v>#N/A</v>
      </c>
      <c r="S1186" s="7" t="e">
        <f>IF(VLOOKUP($A1186,'Concrete Beam Schedule'!$A$2:$Q$2902,S$2,0)&lt;&gt;C1186,VLOOKUP($A1186,'Concrete Beam Schedule'!$A$2:$Q$2902,S$2,0),"")</f>
        <v>#N/A</v>
      </c>
      <c r="T1186" s="7" t="e">
        <f>IF(VLOOKUP($A1186,'Concrete Beam Schedule'!$A$2:$Q$2902,T$2,0)&lt;&gt;D1186,"Beam Revised","")</f>
        <v>#N/A</v>
      </c>
      <c r="U1186" s="7" t="e">
        <f>IF(VLOOKUP($A1186,'Concrete Beam Schedule'!$A$2:$Q$2902,U$2,0)&lt;&gt;E1186,"Beam Revised","")</f>
        <v>#N/A</v>
      </c>
      <c r="V1186" s="7" t="e">
        <f>IF(VLOOKUP($A1186,'Concrete Beam Schedule'!$A$2:$Q$2902,V$2,0)&lt;&gt;F1186,"Beam Revised","")</f>
        <v>#N/A</v>
      </c>
      <c r="W1186" s="7" t="e">
        <f>IF(VLOOKUP($A1186,'Concrete Beam Schedule'!$A$2:$Q$2902,W$2,0)&lt;&gt;G1186,"Beam Revised","")</f>
        <v>#N/A</v>
      </c>
      <c r="X1186" s="7" t="e">
        <f>IF(VLOOKUP($A1186,'Concrete Beam Schedule'!$A$2:$Q$2902,X$2,0)&lt;&gt;H1186,"Beam Revised","")</f>
        <v>#N/A</v>
      </c>
      <c r="Y1186" s="7" t="e">
        <f>IF(VLOOKUP($A1186,'Concrete Beam Schedule'!$A$2:$Q$2902,Y$2,0)&lt;&gt;I1186,"Beam Revised","")</f>
        <v>#N/A</v>
      </c>
      <c r="Z1186" s="7" t="e">
        <f>IF(VLOOKUP($A1186,'Concrete Beam Schedule'!$A$2:$Q$2902,Z$2,0)&lt;&gt;J1186,"Beam Revised","")</f>
        <v>#N/A</v>
      </c>
      <c r="AA1186" s="7" t="e">
        <f>IF(VLOOKUP($A1186,'Concrete Beam Schedule'!$A$2:$Q$2902,AA$2,0)&lt;&gt;K1186,"Beam Revised","")</f>
        <v>#N/A</v>
      </c>
      <c r="AB1186" s="7" t="e">
        <f>IF(VLOOKUP($A1186,'Concrete Beam Schedule'!$A$2:$Q$2902,AB$2,0)&lt;&gt;L1186,"Beam Revised","")</f>
        <v>#N/A</v>
      </c>
      <c r="AC1186" s="7" t="e">
        <f>IF(VLOOKUP($A1186,'Concrete Beam Schedule'!$A$2:$Q$2902,AC$2,0)&lt;&gt;M1186,"Beam Revised","")</f>
        <v>#N/A</v>
      </c>
      <c r="AD1186" s="7" t="e">
        <f>IF(VLOOKUP($A1186,'Concrete Beam Schedule'!$A$2:$Q$2902,AD$2,0)&lt;&gt;N1186,"Beam Revised","")</f>
        <v>#N/A</v>
      </c>
      <c r="AE1186" s="7" t="e">
        <f>IF(VLOOKUP($A1186,'Concrete Beam Schedule'!$A$2:$Q$2902,AE$2,0)&lt;&gt;O1186,"Beam Revised","")</f>
        <v>#N/A</v>
      </c>
    </row>
    <row r="1187" spans="17:31" ht="13.2" x14ac:dyDescent="0.25">
      <c r="Q1187" s="7">
        <f t="shared" si="18"/>
        <v>0</v>
      </c>
      <c r="R1187" s="7" t="e">
        <f>IF(VLOOKUP($A1187,'Concrete Beam Schedule'!$A$2:$Q$2902,R$2,0)&lt;&gt;B1187,VLOOKUP($A1187,'Concrete Beam Schedule'!$A$2:$Q$2902,R$2,0),"")</f>
        <v>#N/A</v>
      </c>
      <c r="S1187" s="7" t="e">
        <f>IF(VLOOKUP($A1187,'Concrete Beam Schedule'!$A$2:$Q$2902,S$2,0)&lt;&gt;C1187,VLOOKUP($A1187,'Concrete Beam Schedule'!$A$2:$Q$2902,S$2,0),"")</f>
        <v>#N/A</v>
      </c>
      <c r="T1187" s="7" t="e">
        <f>IF(VLOOKUP($A1187,'Concrete Beam Schedule'!$A$2:$Q$2902,T$2,0)&lt;&gt;D1187,"Beam Revised","")</f>
        <v>#N/A</v>
      </c>
      <c r="U1187" s="7" t="e">
        <f>IF(VLOOKUP($A1187,'Concrete Beam Schedule'!$A$2:$Q$2902,U$2,0)&lt;&gt;E1187,"Beam Revised","")</f>
        <v>#N/A</v>
      </c>
      <c r="V1187" s="7" t="e">
        <f>IF(VLOOKUP($A1187,'Concrete Beam Schedule'!$A$2:$Q$2902,V$2,0)&lt;&gt;F1187,"Beam Revised","")</f>
        <v>#N/A</v>
      </c>
      <c r="W1187" s="7" t="e">
        <f>IF(VLOOKUP($A1187,'Concrete Beam Schedule'!$A$2:$Q$2902,W$2,0)&lt;&gt;G1187,"Beam Revised","")</f>
        <v>#N/A</v>
      </c>
      <c r="X1187" s="7" t="e">
        <f>IF(VLOOKUP($A1187,'Concrete Beam Schedule'!$A$2:$Q$2902,X$2,0)&lt;&gt;H1187,"Beam Revised","")</f>
        <v>#N/A</v>
      </c>
      <c r="Y1187" s="7" t="e">
        <f>IF(VLOOKUP($A1187,'Concrete Beam Schedule'!$A$2:$Q$2902,Y$2,0)&lt;&gt;I1187,"Beam Revised","")</f>
        <v>#N/A</v>
      </c>
      <c r="Z1187" s="7" t="e">
        <f>IF(VLOOKUP($A1187,'Concrete Beam Schedule'!$A$2:$Q$2902,Z$2,0)&lt;&gt;J1187,"Beam Revised","")</f>
        <v>#N/A</v>
      </c>
      <c r="AA1187" s="7" t="e">
        <f>IF(VLOOKUP($A1187,'Concrete Beam Schedule'!$A$2:$Q$2902,AA$2,0)&lt;&gt;K1187,"Beam Revised","")</f>
        <v>#N/A</v>
      </c>
      <c r="AB1187" s="7" t="e">
        <f>IF(VLOOKUP($A1187,'Concrete Beam Schedule'!$A$2:$Q$2902,AB$2,0)&lt;&gt;L1187,"Beam Revised","")</f>
        <v>#N/A</v>
      </c>
      <c r="AC1187" s="7" t="e">
        <f>IF(VLOOKUP($A1187,'Concrete Beam Schedule'!$A$2:$Q$2902,AC$2,0)&lt;&gt;M1187,"Beam Revised","")</f>
        <v>#N/A</v>
      </c>
      <c r="AD1187" s="7" t="e">
        <f>IF(VLOOKUP($A1187,'Concrete Beam Schedule'!$A$2:$Q$2902,AD$2,0)&lt;&gt;N1187,"Beam Revised","")</f>
        <v>#N/A</v>
      </c>
      <c r="AE1187" s="7" t="e">
        <f>IF(VLOOKUP($A1187,'Concrete Beam Schedule'!$A$2:$Q$2902,AE$2,0)&lt;&gt;O1187,"Beam Revised","")</f>
        <v>#N/A</v>
      </c>
    </row>
    <row r="1188" spans="17:31" ht="13.2" x14ac:dyDescent="0.25">
      <c r="Q1188" s="7">
        <f t="shared" si="18"/>
        <v>0</v>
      </c>
      <c r="R1188" s="7" t="e">
        <f>IF(VLOOKUP($A1188,'Concrete Beam Schedule'!$A$2:$Q$2902,R$2,0)&lt;&gt;B1188,VLOOKUP($A1188,'Concrete Beam Schedule'!$A$2:$Q$2902,R$2,0),"")</f>
        <v>#N/A</v>
      </c>
      <c r="S1188" s="7" t="e">
        <f>IF(VLOOKUP($A1188,'Concrete Beam Schedule'!$A$2:$Q$2902,S$2,0)&lt;&gt;C1188,VLOOKUP($A1188,'Concrete Beam Schedule'!$A$2:$Q$2902,S$2,0),"")</f>
        <v>#N/A</v>
      </c>
      <c r="T1188" s="7" t="e">
        <f>IF(VLOOKUP($A1188,'Concrete Beam Schedule'!$A$2:$Q$2902,T$2,0)&lt;&gt;D1188,"Beam Revised","")</f>
        <v>#N/A</v>
      </c>
      <c r="U1188" s="7" t="e">
        <f>IF(VLOOKUP($A1188,'Concrete Beam Schedule'!$A$2:$Q$2902,U$2,0)&lt;&gt;E1188,"Beam Revised","")</f>
        <v>#N/A</v>
      </c>
      <c r="V1188" s="7" t="e">
        <f>IF(VLOOKUP($A1188,'Concrete Beam Schedule'!$A$2:$Q$2902,V$2,0)&lt;&gt;F1188,"Beam Revised","")</f>
        <v>#N/A</v>
      </c>
      <c r="W1188" s="7" t="e">
        <f>IF(VLOOKUP($A1188,'Concrete Beam Schedule'!$A$2:$Q$2902,W$2,0)&lt;&gt;G1188,"Beam Revised","")</f>
        <v>#N/A</v>
      </c>
      <c r="X1188" s="7" t="e">
        <f>IF(VLOOKUP($A1188,'Concrete Beam Schedule'!$A$2:$Q$2902,X$2,0)&lt;&gt;H1188,"Beam Revised","")</f>
        <v>#N/A</v>
      </c>
      <c r="Y1188" s="7" t="e">
        <f>IF(VLOOKUP($A1188,'Concrete Beam Schedule'!$A$2:$Q$2902,Y$2,0)&lt;&gt;I1188,"Beam Revised","")</f>
        <v>#N/A</v>
      </c>
      <c r="Z1188" s="7" t="e">
        <f>IF(VLOOKUP($A1188,'Concrete Beam Schedule'!$A$2:$Q$2902,Z$2,0)&lt;&gt;J1188,"Beam Revised","")</f>
        <v>#N/A</v>
      </c>
      <c r="AA1188" s="7" t="e">
        <f>IF(VLOOKUP($A1188,'Concrete Beam Schedule'!$A$2:$Q$2902,AA$2,0)&lt;&gt;K1188,"Beam Revised","")</f>
        <v>#N/A</v>
      </c>
      <c r="AB1188" s="7" t="e">
        <f>IF(VLOOKUP($A1188,'Concrete Beam Schedule'!$A$2:$Q$2902,AB$2,0)&lt;&gt;L1188,"Beam Revised","")</f>
        <v>#N/A</v>
      </c>
      <c r="AC1188" s="7" t="e">
        <f>IF(VLOOKUP($A1188,'Concrete Beam Schedule'!$A$2:$Q$2902,AC$2,0)&lt;&gt;M1188,"Beam Revised","")</f>
        <v>#N/A</v>
      </c>
      <c r="AD1188" s="7" t="e">
        <f>IF(VLOOKUP($A1188,'Concrete Beam Schedule'!$A$2:$Q$2902,AD$2,0)&lt;&gt;N1188,"Beam Revised","")</f>
        <v>#N/A</v>
      </c>
      <c r="AE1188" s="7" t="e">
        <f>IF(VLOOKUP($A1188,'Concrete Beam Schedule'!$A$2:$Q$2902,AE$2,0)&lt;&gt;O1188,"Beam Revised","")</f>
        <v>#N/A</v>
      </c>
    </row>
    <row r="1189" spans="17:31" ht="13.2" x14ac:dyDescent="0.25">
      <c r="Q1189" s="7">
        <f t="shared" si="18"/>
        <v>0</v>
      </c>
      <c r="R1189" s="7" t="e">
        <f>IF(VLOOKUP($A1189,'Concrete Beam Schedule'!$A$2:$Q$2902,R$2,0)&lt;&gt;B1189,VLOOKUP($A1189,'Concrete Beam Schedule'!$A$2:$Q$2902,R$2,0),"")</f>
        <v>#N/A</v>
      </c>
      <c r="S1189" s="7" t="e">
        <f>IF(VLOOKUP($A1189,'Concrete Beam Schedule'!$A$2:$Q$2902,S$2,0)&lt;&gt;C1189,VLOOKUP($A1189,'Concrete Beam Schedule'!$A$2:$Q$2902,S$2,0),"")</f>
        <v>#N/A</v>
      </c>
      <c r="T1189" s="7" t="e">
        <f>IF(VLOOKUP($A1189,'Concrete Beam Schedule'!$A$2:$Q$2902,T$2,0)&lt;&gt;D1189,"Beam Revised","")</f>
        <v>#N/A</v>
      </c>
      <c r="U1189" s="7" t="e">
        <f>IF(VLOOKUP($A1189,'Concrete Beam Schedule'!$A$2:$Q$2902,U$2,0)&lt;&gt;E1189,"Beam Revised","")</f>
        <v>#N/A</v>
      </c>
      <c r="V1189" s="7" t="e">
        <f>IF(VLOOKUP($A1189,'Concrete Beam Schedule'!$A$2:$Q$2902,V$2,0)&lt;&gt;F1189,"Beam Revised","")</f>
        <v>#N/A</v>
      </c>
      <c r="W1189" s="7" t="e">
        <f>IF(VLOOKUP($A1189,'Concrete Beam Schedule'!$A$2:$Q$2902,W$2,0)&lt;&gt;G1189,"Beam Revised","")</f>
        <v>#N/A</v>
      </c>
      <c r="X1189" s="7" t="e">
        <f>IF(VLOOKUP($A1189,'Concrete Beam Schedule'!$A$2:$Q$2902,X$2,0)&lt;&gt;H1189,"Beam Revised","")</f>
        <v>#N/A</v>
      </c>
      <c r="Y1189" s="7" t="e">
        <f>IF(VLOOKUP($A1189,'Concrete Beam Schedule'!$A$2:$Q$2902,Y$2,0)&lt;&gt;I1189,"Beam Revised","")</f>
        <v>#N/A</v>
      </c>
      <c r="Z1189" s="7" t="e">
        <f>IF(VLOOKUP($A1189,'Concrete Beam Schedule'!$A$2:$Q$2902,Z$2,0)&lt;&gt;J1189,"Beam Revised","")</f>
        <v>#N/A</v>
      </c>
      <c r="AA1189" s="7" t="e">
        <f>IF(VLOOKUP($A1189,'Concrete Beam Schedule'!$A$2:$Q$2902,AA$2,0)&lt;&gt;K1189,"Beam Revised","")</f>
        <v>#N/A</v>
      </c>
      <c r="AB1189" s="7" t="e">
        <f>IF(VLOOKUP($A1189,'Concrete Beam Schedule'!$A$2:$Q$2902,AB$2,0)&lt;&gt;L1189,"Beam Revised","")</f>
        <v>#N/A</v>
      </c>
      <c r="AC1189" s="7" t="e">
        <f>IF(VLOOKUP($A1189,'Concrete Beam Schedule'!$A$2:$Q$2902,AC$2,0)&lt;&gt;M1189,"Beam Revised","")</f>
        <v>#N/A</v>
      </c>
      <c r="AD1189" s="7" t="e">
        <f>IF(VLOOKUP($A1189,'Concrete Beam Schedule'!$A$2:$Q$2902,AD$2,0)&lt;&gt;N1189,"Beam Revised","")</f>
        <v>#N/A</v>
      </c>
      <c r="AE1189" s="7" t="e">
        <f>IF(VLOOKUP($A1189,'Concrete Beam Schedule'!$A$2:$Q$2902,AE$2,0)&lt;&gt;O1189,"Beam Revised","")</f>
        <v>#N/A</v>
      </c>
    </row>
    <row r="1190" spans="17:31" ht="13.2" x14ac:dyDescent="0.25">
      <c r="Q1190" s="7">
        <f t="shared" si="18"/>
        <v>0</v>
      </c>
      <c r="R1190" s="7" t="e">
        <f>IF(VLOOKUP($A1190,'Concrete Beam Schedule'!$A$2:$Q$2902,R$2,0)&lt;&gt;B1190,VLOOKUP($A1190,'Concrete Beam Schedule'!$A$2:$Q$2902,R$2,0),"")</f>
        <v>#N/A</v>
      </c>
      <c r="S1190" s="7" t="e">
        <f>IF(VLOOKUP($A1190,'Concrete Beam Schedule'!$A$2:$Q$2902,S$2,0)&lt;&gt;C1190,VLOOKUP($A1190,'Concrete Beam Schedule'!$A$2:$Q$2902,S$2,0),"")</f>
        <v>#N/A</v>
      </c>
      <c r="T1190" s="7" t="e">
        <f>IF(VLOOKUP($A1190,'Concrete Beam Schedule'!$A$2:$Q$2902,T$2,0)&lt;&gt;D1190,"Beam Revised","")</f>
        <v>#N/A</v>
      </c>
      <c r="U1190" s="7" t="e">
        <f>IF(VLOOKUP($A1190,'Concrete Beam Schedule'!$A$2:$Q$2902,U$2,0)&lt;&gt;E1190,"Beam Revised","")</f>
        <v>#N/A</v>
      </c>
      <c r="V1190" s="7" t="e">
        <f>IF(VLOOKUP($A1190,'Concrete Beam Schedule'!$A$2:$Q$2902,V$2,0)&lt;&gt;F1190,"Beam Revised","")</f>
        <v>#N/A</v>
      </c>
      <c r="W1190" s="7" t="e">
        <f>IF(VLOOKUP($A1190,'Concrete Beam Schedule'!$A$2:$Q$2902,W$2,0)&lt;&gt;G1190,"Beam Revised","")</f>
        <v>#N/A</v>
      </c>
      <c r="X1190" s="7" t="e">
        <f>IF(VLOOKUP($A1190,'Concrete Beam Schedule'!$A$2:$Q$2902,X$2,0)&lt;&gt;H1190,"Beam Revised","")</f>
        <v>#N/A</v>
      </c>
      <c r="Y1190" s="7" t="e">
        <f>IF(VLOOKUP($A1190,'Concrete Beam Schedule'!$A$2:$Q$2902,Y$2,0)&lt;&gt;I1190,"Beam Revised","")</f>
        <v>#N/A</v>
      </c>
      <c r="Z1190" s="7" t="e">
        <f>IF(VLOOKUP($A1190,'Concrete Beam Schedule'!$A$2:$Q$2902,Z$2,0)&lt;&gt;J1190,"Beam Revised","")</f>
        <v>#N/A</v>
      </c>
      <c r="AA1190" s="7" t="e">
        <f>IF(VLOOKUP($A1190,'Concrete Beam Schedule'!$A$2:$Q$2902,AA$2,0)&lt;&gt;K1190,"Beam Revised","")</f>
        <v>#N/A</v>
      </c>
      <c r="AB1190" s="7" t="e">
        <f>IF(VLOOKUP($A1190,'Concrete Beam Schedule'!$A$2:$Q$2902,AB$2,0)&lt;&gt;L1190,"Beam Revised","")</f>
        <v>#N/A</v>
      </c>
      <c r="AC1190" s="7" t="e">
        <f>IF(VLOOKUP($A1190,'Concrete Beam Schedule'!$A$2:$Q$2902,AC$2,0)&lt;&gt;M1190,"Beam Revised","")</f>
        <v>#N/A</v>
      </c>
      <c r="AD1190" s="7" t="e">
        <f>IF(VLOOKUP($A1190,'Concrete Beam Schedule'!$A$2:$Q$2902,AD$2,0)&lt;&gt;N1190,"Beam Revised","")</f>
        <v>#N/A</v>
      </c>
      <c r="AE1190" s="7" t="e">
        <f>IF(VLOOKUP($A1190,'Concrete Beam Schedule'!$A$2:$Q$2902,AE$2,0)&lt;&gt;O1190,"Beam Revised","")</f>
        <v>#N/A</v>
      </c>
    </row>
    <row r="1191" spans="17:31" ht="13.2" x14ac:dyDescent="0.25">
      <c r="Q1191" s="7">
        <f t="shared" si="18"/>
        <v>0</v>
      </c>
      <c r="R1191" s="7" t="e">
        <f>IF(VLOOKUP($A1191,'Concrete Beam Schedule'!$A$2:$Q$2902,R$2,0)&lt;&gt;B1191,VLOOKUP($A1191,'Concrete Beam Schedule'!$A$2:$Q$2902,R$2,0),"")</f>
        <v>#N/A</v>
      </c>
      <c r="S1191" s="7" t="e">
        <f>IF(VLOOKUP($A1191,'Concrete Beam Schedule'!$A$2:$Q$2902,S$2,0)&lt;&gt;C1191,VLOOKUP($A1191,'Concrete Beam Schedule'!$A$2:$Q$2902,S$2,0),"")</f>
        <v>#N/A</v>
      </c>
      <c r="T1191" s="7" t="e">
        <f>IF(VLOOKUP($A1191,'Concrete Beam Schedule'!$A$2:$Q$2902,T$2,0)&lt;&gt;D1191,"Beam Revised","")</f>
        <v>#N/A</v>
      </c>
      <c r="U1191" s="7" t="e">
        <f>IF(VLOOKUP($A1191,'Concrete Beam Schedule'!$A$2:$Q$2902,U$2,0)&lt;&gt;E1191,"Beam Revised","")</f>
        <v>#N/A</v>
      </c>
      <c r="V1191" s="7" t="e">
        <f>IF(VLOOKUP($A1191,'Concrete Beam Schedule'!$A$2:$Q$2902,V$2,0)&lt;&gt;F1191,"Beam Revised","")</f>
        <v>#N/A</v>
      </c>
      <c r="W1191" s="7" t="e">
        <f>IF(VLOOKUP($A1191,'Concrete Beam Schedule'!$A$2:$Q$2902,W$2,0)&lt;&gt;G1191,"Beam Revised","")</f>
        <v>#N/A</v>
      </c>
      <c r="X1191" s="7" t="e">
        <f>IF(VLOOKUP($A1191,'Concrete Beam Schedule'!$A$2:$Q$2902,X$2,0)&lt;&gt;H1191,"Beam Revised","")</f>
        <v>#N/A</v>
      </c>
      <c r="Y1191" s="7" t="e">
        <f>IF(VLOOKUP($A1191,'Concrete Beam Schedule'!$A$2:$Q$2902,Y$2,0)&lt;&gt;I1191,"Beam Revised","")</f>
        <v>#N/A</v>
      </c>
      <c r="Z1191" s="7" t="e">
        <f>IF(VLOOKUP($A1191,'Concrete Beam Schedule'!$A$2:$Q$2902,Z$2,0)&lt;&gt;J1191,"Beam Revised","")</f>
        <v>#N/A</v>
      </c>
      <c r="AA1191" s="7" t="e">
        <f>IF(VLOOKUP($A1191,'Concrete Beam Schedule'!$A$2:$Q$2902,AA$2,0)&lt;&gt;K1191,"Beam Revised","")</f>
        <v>#N/A</v>
      </c>
      <c r="AB1191" s="7" t="e">
        <f>IF(VLOOKUP($A1191,'Concrete Beam Schedule'!$A$2:$Q$2902,AB$2,0)&lt;&gt;L1191,"Beam Revised","")</f>
        <v>#N/A</v>
      </c>
      <c r="AC1191" s="7" t="e">
        <f>IF(VLOOKUP($A1191,'Concrete Beam Schedule'!$A$2:$Q$2902,AC$2,0)&lt;&gt;M1191,"Beam Revised","")</f>
        <v>#N/A</v>
      </c>
      <c r="AD1191" s="7" t="e">
        <f>IF(VLOOKUP($A1191,'Concrete Beam Schedule'!$A$2:$Q$2902,AD$2,0)&lt;&gt;N1191,"Beam Revised","")</f>
        <v>#N/A</v>
      </c>
      <c r="AE1191" s="7" t="e">
        <f>IF(VLOOKUP($A1191,'Concrete Beam Schedule'!$A$2:$Q$2902,AE$2,0)&lt;&gt;O1191,"Beam Revised","")</f>
        <v>#N/A</v>
      </c>
    </row>
    <row r="1192" spans="17:31" ht="13.2" x14ac:dyDescent="0.25">
      <c r="Q1192" s="7">
        <f t="shared" si="18"/>
        <v>0</v>
      </c>
      <c r="R1192" s="7" t="e">
        <f>IF(VLOOKUP($A1192,'Concrete Beam Schedule'!$A$2:$Q$2902,R$2,0)&lt;&gt;B1192,VLOOKUP($A1192,'Concrete Beam Schedule'!$A$2:$Q$2902,R$2,0),"")</f>
        <v>#N/A</v>
      </c>
      <c r="S1192" s="7" t="e">
        <f>IF(VLOOKUP($A1192,'Concrete Beam Schedule'!$A$2:$Q$2902,S$2,0)&lt;&gt;C1192,VLOOKUP($A1192,'Concrete Beam Schedule'!$A$2:$Q$2902,S$2,0),"")</f>
        <v>#N/A</v>
      </c>
      <c r="T1192" s="7" t="e">
        <f>IF(VLOOKUP($A1192,'Concrete Beam Schedule'!$A$2:$Q$2902,T$2,0)&lt;&gt;D1192,"Beam Revised","")</f>
        <v>#N/A</v>
      </c>
      <c r="U1192" s="7" t="e">
        <f>IF(VLOOKUP($A1192,'Concrete Beam Schedule'!$A$2:$Q$2902,U$2,0)&lt;&gt;E1192,"Beam Revised","")</f>
        <v>#N/A</v>
      </c>
      <c r="V1192" s="7" t="e">
        <f>IF(VLOOKUP($A1192,'Concrete Beam Schedule'!$A$2:$Q$2902,V$2,0)&lt;&gt;F1192,"Beam Revised","")</f>
        <v>#N/A</v>
      </c>
      <c r="W1192" s="7" t="e">
        <f>IF(VLOOKUP($A1192,'Concrete Beam Schedule'!$A$2:$Q$2902,W$2,0)&lt;&gt;G1192,"Beam Revised","")</f>
        <v>#N/A</v>
      </c>
      <c r="X1192" s="7" t="e">
        <f>IF(VLOOKUP($A1192,'Concrete Beam Schedule'!$A$2:$Q$2902,X$2,0)&lt;&gt;H1192,"Beam Revised","")</f>
        <v>#N/A</v>
      </c>
      <c r="Y1192" s="7" t="e">
        <f>IF(VLOOKUP($A1192,'Concrete Beam Schedule'!$A$2:$Q$2902,Y$2,0)&lt;&gt;I1192,"Beam Revised","")</f>
        <v>#N/A</v>
      </c>
      <c r="Z1192" s="7" t="e">
        <f>IF(VLOOKUP($A1192,'Concrete Beam Schedule'!$A$2:$Q$2902,Z$2,0)&lt;&gt;J1192,"Beam Revised","")</f>
        <v>#N/A</v>
      </c>
      <c r="AA1192" s="7" t="e">
        <f>IF(VLOOKUP($A1192,'Concrete Beam Schedule'!$A$2:$Q$2902,AA$2,0)&lt;&gt;K1192,"Beam Revised","")</f>
        <v>#N/A</v>
      </c>
      <c r="AB1192" s="7" t="e">
        <f>IF(VLOOKUP($A1192,'Concrete Beam Schedule'!$A$2:$Q$2902,AB$2,0)&lt;&gt;L1192,"Beam Revised","")</f>
        <v>#N/A</v>
      </c>
      <c r="AC1192" s="7" t="e">
        <f>IF(VLOOKUP($A1192,'Concrete Beam Schedule'!$A$2:$Q$2902,AC$2,0)&lt;&gt;M1192,"Beam Revised","")</f>
        <v>#N/A</v>
      </c>
      <c r="AD1192" s="7" t="e">
        <f>IF(VLOOKUP($A1192,'Concrete Beam Schedule'!$A$2:$Q$2902,AD$2,0)&lt;&gt;N1192,"Beam Revised","")</f>
        <v>#N/A</v>
      </c>
      <c r="AE1192" s="7" t="e">
        <f>IF(VLOOKUP($A1192,'Concrete Beam Schedule'!$A$2:$Q$2902,AE$2,0)&lt;&gt;O1192,"Beam Revised","")</f>
        <v>#N/A</v>
      </c>
    </row>
    <row r="1193" spans="17:31" ht="13.2" x14ac:dyDescent="0.25">
      <c r="Q1193" s="7">
        <f t="shared" si="18"/>
        <v>0</v>
      </c>
      <c r="R1193" s="7" t="e">
        <f>IF(VLOOKUP($A1193,'Concrete Beam Schedule'!$A$2:$Q$2902,R$2,0)&lt;&gt;B1193,VLOOKUP($A1193,'Concrete Beam Schedule'!$A$2:$Q$2902,R$2,0),"")</f>
        <v>#N/A</v>
      </c>
      <c r="S1193" s="7" t="e">
        <f>IF(VLOOKUP($A1193,'Concrete Beam Schedule'!$A$2:$Q$2902,S$2,0)&lt;&gt;C1193,VLOOKUP($A1193,'Concrete Beam Schedule'!$A$2:$Q$2902,S$2,0),"")</f>
        <v>#N/A</v>
      </c>
      <c r="T1193" s="7" t="e">
        <f>IF(VLOOKUP($A1193,'Concrete Beam Schedule'!$A$2:$Q$2902,T$2,0)&lt;&gt;D1193,"Beam Revised","")</f>
        <v>#N/A</v>
      </c>
      <c r="U1193" s="7" t="e">
        <f>IF(VLOOKUP($A1193,'Concrete Beam Schedule'!$A$2:$Q$2902,U$2,0)&lt;&gt;E1193,"Beam Revised","")</f>
        <v>#N/A</v>
      </c>
      <c r="V1193" s="7" t="e">
        <f>IF(VLOOKUP($A1193,'Concrete Beam Schedule'!$A$2:$Q$2902,V$2,0)&lt;&gt;F1193,"Beam Revised","")</f>
        <v>#N/A</v>
      </c>
      <c r="W1193" s="7" t="e">
        <f>IF(VLOOKUP($A1193,'Concrete Beam Schedule'!$A$2:$Q$2902,W$2,0)&lt;&gt;G1193,"Beam Revised","")</f>
        <v>#N/A</v>
      </c>
      <c r="X1193" s="7" t="e">
        <f>IF(VLOOKUP($A1193,'Concrete Beam Schedule'!$A$2:$Q$2902,X$2,0)&lt;&gt;H1193,"Beam Revised","")</f>
        <v>#N/A</v>
      </c>
      <c r="Y1193" s="7" t="e">
        <f>IF(VLOOKUP($A1193,'Concrete Beam Schedule'!$A$2:$Q$2902,Y$2,0)&lt;&gt;I1193,"Beam Revised","")</f>
        <v>#N/A</v>
      </c>
      <c r="Z1193" s="7" t="e">
        <f>IF(VLOOKUP($A1193,'Concrete Beam Schedule'!$A$2:$Q$2902,Z$2,0)&lt;&gt;J1193,"Beam Revised","")</f>
        <v>#N/A</v>
      </c>
      <c r="AA1193" s="7" t="e">
        <f>IF(VLOOKUP($A1193,'Concrete Beam Schedule'!$A$2:$Q$2902,AA$2,0)&lt;&gt;K1193,"Beam Revised","")</f>
        <v>#N/A</v>
      </c>
      <c r="AB1193" s="7" t="e">
        <f>IF(VLOOKUP($A1193,'Concrete Beam Schedule'!$A$2:$Q$2902,AB$2,0)&lt;&gt;L1193,"Beam Revised","")</f>
        <v>#N/A</v>
      </c>
      <c r="AC1193" s="7" t="e">
        <f>IF(VLOOKUP($A1193,'Concrete Beam Schedule'!$A$2:$Q$2902,AC$2,0)&lt;&gt;M1193,"Beam Revised","")</f>
        <v>#N/A</v>
      </c>
      <c r="AD1193" s="7" t="e">
        <f>IF(VLOOKUP($A1193,'Concrete Beam Schedule'!$A$2:$Q$2902,AD$2,0)&lt;&gt;N1193,"Beam Revised","")</f>
        <v>#N/A</v>
      </c>
      <c r="AE1193" s="7" t="e">
        <f>IF(VLOOKUP($A1193,'Concrete Beam Schedule'!$A$2:$Q$2902,AE$2,0)&lt;&gt;O1193,"Beam Revised","")</f>
        <v>#N/A</v>
      </c>
    </row>
    <row r="1194" spans="17:31" ht="13.2" x14ac:dyDescent="0.25">
      <c r="Q1194" s="7">
        <f t="shared" si="18"/>
        <v>0</v>
      </c>
      <c r="R1194" s="7" t="e">
        <f>IF(VLOOKUP($A1194,'Concrete Beam Schedule'!$A$2:$Q$2902,R$2,0)&lt;&gt;B1194,VLOOKUP($A1194,'Concrete Beam Schedule'!$A$2:$Q$2902,R$2,0),"")</f>
        <v>#N/A</v>
      </c>
      <c r="S1194" s="7" t="e">
        <f>IF(VLOOKUP($A1194,'Concrete Beam Schedule'!$A$2:$Q$2902,S$2,0)&lt;&gt;C1194,VLOOKUP($A1194,'Concrete Beam Schedule'!$A$2:$Q$2902,S$2,0),"")</f>
        <v>#N/A</v>
      </c>
      <c r="T1194" s="7" t="e">
        <f>IF(VLOOKUP($A1194,'Concrete Beam Schedule'!$A$2:$Q$2902,T$2,0)&lt;&gt;D1194,"Beam Revised","")</f>
        <v>#N/A</v>
      </c>
      <c r="U1194" s="7" t="e">
        <f>IF(VLOOKUP($A1194,'Concrete Beam Schedule'!$A$2:$Q$2902,U$2,0)&lt;&gt;E1194,"Beam Revised","")</f>
        <v>#N/A</v>
      </c>
      <c r="V1194" s="7" t="e">
        <f>IF(VLOOKUP($A1194,'Concrete Beam Schedule'!$A$2:$Q$2902,V$2,0)&lt;&gt;F1194,"Beam Revised","")</f>
        <v>#N/A</v>
      </c>
      <c r="W1194" s="7" t="e">
        <f>IF(VLOOKUP($A1194,'Concrete Beam Schedule'!$A$2:$Q$2902,W$2,0)&lt;&gt;G1194,"Beam Revised","")</f>
        <v>#N/A</v>
      </c>
      <c r="X1194" s="7" t="e">
        <f>IF(VLOOKUP($A1194,'Concrete Beam Schedule'!$A$2:$Q$2902,X$2,0)&lt;&gt;H1194,"Beam Revised","")</f>
        <v>#N/A</v>
      </c>
      <c r="Y1194" s="7" t="e">
        <f>IF(VLOOKUP($A1194,'Concrete Beam Schedule'!$A$2:$Q$2902,Y$2,0)&lt;&gt;I1194,"Beam Revised","")</f>
        <v>#N/A</v>
      </c>
      <c r="Z1194" s="7" t="e">
        <f>IF(VLOOKUP($A1194,'Concrete Beam Schedule'!$A$2:$Q$2902,Z$2,0)&lt;&gt;J1194,"Beam Revised","")</f>
        <v>#N/A</v>
      </c>
      <c r="AA1194" s="7" t="e">
        <f>IF(VLOOKUP($A1194,'Concrete Beam Schedule'!$A$2:$Q$2902,AA$2,0)&lt;&gt;K1194,"Beam Revised","")</f>
        <v>#N/A</v>
      </c>
      <c r="AB1194" s="7" t="e">
        <f>IF(VLOOKUP($A1194,'Concrete Beam Schedule'!$A$2:$Q$2902,AB$2,0)&lt;&gt;L1194,"Beam Revised","")</f>
        <v>#N/A</v>
      </c>
      <c r="AC1194" s="7" t="e">
        <f>IF(VLOOKUP($A1194,'Concrete Beam Schedule'!$A$2:$Q$2902,AC$2,0)&lt;&gt;M1194,"Beam Revised","")</f>
        <v>#N/A</v>
      </c>
      <c r="AD1194" s="7" t="e">
        <f>IF(VLOOKUP($A1194,'Concrete Beam Schedule'!$A$2:$Q$2902,AD$2,0)&lt;&gt;N1194,"Beam Revised","")</f>
        <v>#N/A</v>
      </c>
      <c r="AE1194" s="7" t="e">
        <f>IF(VLOOKUP($A1194,'Concrete Beam Schedule'!$A$2:$Q$2902,AE$2,0)&lt;&gt;O1194,"Beam Revised","")</f>
        <v>#N/A</v>
      </c>
    </row>
    <row r="1195" spans="17:31" ht="13.2" x14ac:dyDescent="0.25">
      <c r="Q1195" s="7">
        <f t="shared" si="18"/>
        <v>0</v>
      </c>
      <c r="R1195" s="7" t="e">
        <f>IF(VLOOKUP($A1195,'Concrete Beam Schedule'!$A$2:$Q$2902,R$2,0)&lt;&gt;B1195,VLOOKUP($A1195,'Concrete Beam Schedule'!$A$2:$Q$2902,R$2,0),"")</f>
        <v>#N/A</v>
      </c>
      <c r="S1195" s="7" t="e">
        <f>IF(VLOOKUP($A1195,'Concrete Beam Schedule'!$A$2:$Q$2902,S$2,0)&lt;&gt;C1195,VLOOKUP($A1195,'Concrete Beam Schedule'!$A$2:$Q$2902,S$2,0),"")</f>
        <v>#N/A</v>
      </c>
      <c r="T1195" s="7" t="e">
        <f>IF(VLOOKUP($A1195,'Concrete Beam Schedule'!$A$2:$Q$2902,T$2,0)&lt;&gt;D1195,"Beam Revised","")</f>
        <v>#N/A</v>
      </c>
      <c r="U1195" s="7" t="e">
        <f>IF(VLOOKUP($A1195,'Concrete Beam Schedule'!$A$2:$Q$2902,U$2,0)&lt;&gt;E1195,"Beam Revised","")</f>
        <v>#N/A</v>
      </c>
      <c r="V1195" s="7" t="e">
        <f>IF(VLOOKUP($A1195,'Concrete Beam Schedule'!$A$2:$Q$2902,V$2,0)&lt;&gt;F1195,"Beam Revised","")</f>
        <v>#N/A</v>
      </c>
      <c r="W1195" s="7" t="e">
        <f>IF(VLOOKUP($A1195,'Concrete Beam Schedule'!$A$2:$Q$2902,W$2,0)&lt;&gt;G1195,"Beam Revised","")</f>
        <v>#N/A</v>
      </c>
      <c r="X1195" s="7" t="e">
        <f>IF(VLOOKUP($A1195,'Concrete Beam Schedule'!$A$2:$Q$2902,X$2,0)&lt;&gt;H1195,"Beam Revised","")</f>
        <v>#N/A</v>
      </c>
      <c r="Y1195" s="7" t="e">
        <f>IF(VLOOKUP($A1195,'Concrete Beam Schedule'!$A$2:$Q$2902,Y$2,0)&lt;&gt;I1195,"Beam Revised","")</f>
        <v>#N/A</v>
      </c>
      <c r="Z1195" s="7" t="e">
        <f>IF(VLOOKUP($A1195,'Concrete Beam Schedule'!$A$2:$Q$2902,Z$2,0)&lt;&gt;J1195,"Beam Revised","")</f>
        <v>#N/A</v>
      </c>
      <c r="AA1195" s="7" t="e">
        <f>IF(VLOOKUP($A1195,'Concrete Beam Schedule'!$A$2:$Q$2902,AA$2,0)&lt;&gt;K1195,"Beam Revised","")</f>
        <v>#N/A</v>
      </c>
      <c r="AB1195" s="7" t="e">
        <f>IF(VLOOKUP($A1195,'Concrete Beam Schedule'!$A$2:$Q$2902,AB$2,0)&lt;&gt;L1195,"Beam Revised","")</f>
        <v>#N/A</v>
      </c>
      <c r="AC1195" s="7" t="e">
        <f>IF(VLOOKUP($A1195,'Concrete Beam Schedule'!$A$2:$Q$2902,AC$2,0)&lt;&gt;M1195,"Beam Revised","")</f>
        <v>#N/A</v>
      </c>
      <c r="AD1195" s="7" t="e">
        <f>IF(VLOOKUP($A1195,'Concrete Beam Schedule'!$A$2:$Q$2902,AD$2,0)&lt;&gt;N1195,"Beam Revised","")</f>
        <v>#N/A</v>
      </c>
      <c r="AE1195" s="7" t="e">
        <f>IF(VLOOKUP($A1195,'Concrete Beam Schedule'!$A$2:$Q$2902,AE$2,0)&lt;&gt;O1195,"Beam Revised","")</f>
        <v>#N/A</v>
      </c>
    </row>
    <row r="1196" spans="17:31" ht="13.2" x14ac:dyDescent="0.25">
      <c r="Q1196" s="7">
        <f t="shared" si="18"/>
        <v>0</v>
      </c>
      <c r="R1196" s="7" t="e">
        <f>IF(VLOOKUP($A1196,'Concrete Beam Schedule'!$A$2:$Q$2902,R$2,0)&lt;&gt;B1196,VLOOKUP($A1196,'Concrete Beam Schedule'!$A$2:$Q$2902,R$2,0),"")</f>
        <v>#N/A</v>
      </c>
      <c r="S1196" s="7" t="e">
        <f>IF(VLOOKUP($A1196,'Concrete Beam Schedule'!$A$2:$Q$2902,S$2,0)&lt;&gt;C1196,VLOOKUP($A1196,'Concrete Beam Schedule'!$A$2:$Q$2902,S$2,0),"")</f>
        <v>#N/A</v>
      </c>
      <c r="T1196" s="7" t="e">
        <f>IF(VLOOKUP($A1196,'Concrete Beam Schedule'!$A$2:$Q$2902,T$2,0)&lt;&gt;D1196,"Beam Revised","")</f>
        <v>#N/A</v>
      </c>
      <c r="U1196" s="7" t="e">
        <f>IF(VLOOKUP($A1196,'Concrete Beam Schedule'!$A$2:$Q$2902,U$2,0)&lt;&gt;E1196,"Beam Revised","")</f>
        <v>#N/A</v>
      </c>
      <c r="V1196" s="7" t="e">
        <f>IF(VLOOKUP($A1196,'Concrete Beam Schedule'!$A$2:$Q$2902,V$2,0)&lt;&gt;F1196,"Beam Revised","")</f>
        <v>#N/A</v>
      </c>
      <c r="W1196" s="7" t="e">
        <f>IF(VLOOKUP($A1196,'Concrete Beam Schedule'!$A$2:$Q$2902,W$2,0)&lt;&gt;G1196,"Beam Revised","")</f>
        <v>#N/A</v>
      </c>
      <c r="X1196" s="7" t="e">
        <f>IF(VLOOKUP($A1196,'Concrete Beam Schedule'!$A$2:$Q$2902,X$2,0)&lt;&gt;H1196,"Beam Revised","")</f>
        <v>#N/A</v>
      </c>
      <c r="Y1196" s="7" t="e">
        <f>IF(VLOOKUP($A1196,'Concrete Beam Schedule'!$A$2:$Q$2902,Y$2,0)&lt;&gt;I1196,"Beam Revised","")</f>
        <v>#N/A</v>
      </c>
      <c r="Z1196" s="7" t="e">
        <f>IF(VLOOKUP($A1196,'Concrete Beam Schedule'!$A$2:$Q$2902,Z$2,0)&lt;&gt;J1196,"Beam Revised","")</f>
        <v>#N/A</v>
      </c>
      <c r="AA1196" s="7" t="e">
        <f>IF(VLOOKUP($A1196,'Concrete Beam Schedule'!$A$2:$Q$2902,AA$2,0)&lt;&gt;K1196,"Beam Revised","")</f>
        <v>#N/A</v>
      </c>
      <c r="AB1196" s="7" t="e">
        <f>IF(VLOOKUP($A1196,'Concrete Beam Schedule'!$A$2:$Q$2902,AB$2,0)&lt;&gt;L1196,"Beam Revised","")</f>
        <v>#N/A</v>
      </c>
      <c r="AC1196" s="7" t="e">
        <f>IF(VLOOKUP($A1196,'Concrete Beam Schedule'!$A$2:$Q$2902,AC$2,0)&lt;&gt;M1196,"Beam Revised","")</f>
        <v>#N/A</v>
      </c>
      <c r="AD1196" s="7" t="e">
        <f>IF(VLOOKUP($A1196,'Concrete Beam Schedule'!$A$2:$Q$2902,AD$2,0)&lt;&gt;N1196,"Beam Revised","")</f>
        <v>#N/A</v>
      </c>
      <c r="AE1196" s="7" t="e">
        <f>IF(VLOOKUP($A1196,'Concrete Beam Schedule'!$A$2:$Q$2902,AE$2,0)&lt;&gt;O1196,"Beam Revised","")</f>
        <v>#N/A</v>
      </c>
    </row>
    <row r="1197" spans="17:31" ht="13.2" x14ac:dyDescent="0.25">
      <c r="Q1197" s="7">
        <f t="shared" si="18"/>
        <v>0</v>
      </c>
      <c r="R1197" s="7" t="e">
        <f>IF(VLOOKUP($A1197,'Concrete Beam Schedule'!$A$2:$Q$2902,R$2,0)&lt;&gt;B1197,VLOOKUP($A1197,'Concrete Beam Schedule'!$A$2:$Q$2902,R$2,0),"")</f>
        <v>#N/A</v>
      </c>
      <c r="S1197" s="7" t="e">
        <f>IF(VLOOKUP($A1197,'Concrete Beam Schedule'!$A$2:$Q$2902,S$2,0)&lt;&gt;C1197,VLOOKUP($A1197,'Concrete Beam Schedule'!$A$2:$Q$2902,S$2,0),"")</f>
        <v>#N/A</v>
      </c>
      <c r="T1197" s="7" t="e">
        <f>IF(VLOOKUP($A1197,'Concrete Beam Schedule'!$A$2:$Q$2902,T$2,0)&lt;&gt;D1197,"Beam Revised","")</f>
        <v>#N/A</v>
      </c>
      <c r="U1197" s="7" t="e">
        <f>IF(VLOOKUP($A1197,'Concrete Beam Schedule'!$A$2:$Q$2902,U$2,0)&lt;&gt;E1197,"Beam Revised","")</f>
        <v>#N/A</v>
      </c>
      <c r="V1197" s="7" t="e">
        <f>IF(VLOOKUP($A1197,'Concrete Beam Schedule'!$A$2:$Q$2902,V$2,0)&lt;&gt;F1197,"Beam Revised","")</f>
        <v>#N/A</v>
      </c>
      <c r="W1197" s="7" t="e">
        <f>IF(VLOOKUP($A1197,'Concrete Beam Schedule'!$A$2:$Q$2902,W$2,0)&lt;&gt;G1197,"Beam Revised","")</f>
        <v>#N/A</v>
      </c>
      <c r="X1197" s="7" t="e">
        <f>IF(VLOOKUP($A1197,'Concrete Beam Schedule'!$A$2:$Q$2902,X$2,0)&lt;&gt;H1197,"Beam Revised","")</f>
        <v>#N/A</v>
      </c>
      <c r="Y1197" s="7" t="e">
        <f>IF(VLOOKUP($A1197,'Concrete Beam Schedule'!$A$2:$Q$2902,Y$2,0)&lt;&gt;I1197,"Beam Revised","")</f>
        <v>#N/A</v>
      </c>
      <c r="Z1197" s="7" t="e">
        <f>IF(VLOOKUP($A1197,'Concrete Beam Schedule'!$A$2:$Q$2902,Z$2,0)&lt;&gt;J1197,"Beam Revised","")</f>
        <v>#N/A</v>
      </c>
      <c r="AA1197" s="7" t="e">
        <f>IF(VLOOKUP($A1197,'Concrete Beam Schedule'!$A$2:$Q$2902,AA$2,0)&lt;&gt;K1197,"Beam Revised","")</f>
        <v>#N/A</v>
      </c>
      <c r="AB1197" s="7" t="e">
        <f>IF(VLOOKUP($A1197,'Concrete Beam Schedule'!$A$2:$Q$2902,AB$2,0)&lt;&gt;L1197,"Beam Revised","")</f>
        <v>#N/A</v>
      </c>
      <c r="AC1197" s="7" t="e">
        <f>IF(VLOOKUP($A1197,'Concrete Beam Schedule'!$A$2:$Q$2902,AC$2,0)&lt;&gt;M1197,"Beam Revised","")</f>
        <v>#N/A</v>
      </c>
      <c r="AD1197" s="7" t="e">
        <f>IF(VLOOKUP($A1197,'Concrete Beam Schedule'!$A$2:$Q$2902,AD$2,0)&lt;&gt;N1197,"Beam Revised","")</f>
        <v>#N/A</v>
      </c>
      <c r="AE1197" s="7" t="e">
        <f>IF(VLOOKUP($A1197,'Concrete Beam Schedule'!$A$2:$Q$2902,AE$2,0)&lt;&gt;O1197,"Beam Revised","")</f>
        <v>#N/A</v>
      </c>
    </row>
    <row r="1198" spans="17:31" ht="13.2" x14ac:dyDescent="0.25">
      <c r="Q1198" s="7">
        <f t="shared" si="18"/>
        <v>0</v>
      </c>
      <c r="R1198" s="7" t="e">
        <f>IF(VLOOKUP($A1198,'Concrete Beam Schedule'!$A$2:$Q$2902,R$2,0)&lt;&gt;B1198,VLOOKUP($A1198,'Concrete Beam Schedule'!$A$2:$Q$2902,R$2,0),"")</f>
        <v>#N/A</v>
      </c>
      <c r="S1198" s="7" t="e">
        <f>IF(VLOOKUP($A1198,'Concrete Beam Schedule'!$A$2:$Q$2902,S$2,0)&lt;&gt;C1198,VLOOKUP($A1198,'Concrete Beam Schedule'!$A$2:$Q$2902,S$2,0),"")</f>
        <v>#N/A</v>
      </c>
      <c r="T1198" s="7" t="e">
        <f>IF(VLOOKUP($A1198,'Concrete Beam Schedule'!$A$2:$Q$2902,T$2,0)&lt;&gt;D1198,"Beam Revised","")</f>
        <v>#N/A</v>
      </c>
      <c r="U1198" s="7" t="e">
        <f>IF(VLOOKUP($A1198,'Concrete Beam Schedule'!$A$2:$Q$2902,U$2,0)&lt;&gt;E1198,"Beam Revised","")</f>
        <v>#N/A</v>
      </c>
      <c r="V1198" s="7" t="e">
        <f>IF(VLOOKUP($A1198,'Concrete Beam Schedule'!$A$2:$Q$2902,V$2,0)&lt;&gt;F1198,"Beam Revised","")</f>
        <v>#N/A</v>
      </c>
      <c r="W1198" s="7" t="e">
        <f>IF(VLOOKUP($A1198,'Concrete Beam Schedule'!$A$2:$Q$2902,W$2,0)&lt;&gt;G1198,"Beam Revised","")</f>
        <v>#N/A</v>
      </c>
      <c r="X1198" s="7" t="e">
        <f>IF(VLOOKUP($A1198,'Concrete Beam Schedule'!$A$2:$Q$2902,X$2,0)&lt;&gt;H1198,"Beam Revised","")</f>
        <v>#N/A</v>
      </c>
      <c r="Y1198" s="7" t="e">
        <f>IF(VLOOKUP($A1198,'Concrete Beam Schedule'!$A$2:$Q$2902,Y$2,0)&lt;&gt;I1198,"Beam Revised","")</f>
        <v>#N/A</v>
      </c>
      <c r="Z1198" s="7" t="e">
        <f>IF(VLOOKUP($A1198,'Concrete Beam Schedule'!$A$2:$Q$2902,Z$2,0)&lt;&gt;J1198,"Beam Revised","")</f>
        <v>#N/A</v>
      </c>
      <c r="AA1198" s="7" t="e">
        <f>IF(VLOOKUP($A1198,'Concrete Beam Schedule'!$A$2:$Q$2902,AA$2,0)&lt;&gt;K1198,"Beam Revised","")</f>
        <v>#N/A</v>
      </c>
      <c r="AB1198" s="7" t="e">
        <f>IF(VLOOKUP($A1198,'Concrete Beam Schedule'!$A$2:$Q$2902,AB$2,0)&lt;&gt;L1198,"Beam Revised","")</f>
        <v>#N/A</v>
      </c>
      <c r="AC1198" s="7" t="e">
        <f>IF(VLOOKUP($A1198,'Concrete Beam Schedule'!$A$2:$Q$2902,AC$2,0)&lt;&gt;M1198,"Beam Revised","")</f>
        <v>#N/A</v>
      </c>
      <c r="AD1198" s="7" t="e">
        <f>IF(VLOOKUP($A1198,'Concrete Beam Schedule'!$A$2:$Q$2902,AD$2,0)&lt;&gt;N1198,"Beam Revised","")</f>
        <v>#N/A</v>
      </c>
      <c r="AE1198" s="7" t="e">
        <f>IF(VLOOKUP($A1198,'Concrete Beam Schedule'!$A$2:$Q$2902,AE$2,0)&lt;&gt;O1198,"Beam Revised","")</f>
        <v>#N/A</v>
      </c>
    </row>
    <row r="1199" spans="17:31" ht="13.2" x14ac:dyDescent="0.25">
      <c r="Q1199" s="7">
        <f t="shared" si="18"/>
        <v>0</v>
      </c>
      <c r="R1199" s="7" t="e">
        <f>IF(VLOOKUP($A1199,'Concrete Beam Schedule'!$A$2:$Q$2902,R$2,0)&lt;&gt;B1199,VLOOKUP($A1199,'Concrete Beam Schedule'!$A$2:$Q$2902,R$2,0),"")</f>
        <v>#N/A</v>
      </c>
      <c r="S1199" s="7" t="e">
        <f>IF(VLOOKUP($A1199,'Concrete Beam Schedule'!$A$2:$Q$2902,S$2,0)&lt;&gt;C1199,VLOOKUP($A1199,'Concrete Beam Schedule'!$A$2:$Q$2902,S$2,0),"")</f>
        <v>#N/A</v>
      </c>
      <c r="T1199" s="7" t="e">
        <f>IF(VLOOKUP($A1199,'Concrete Beam Schedule'!$A$2:$Q$2902,T$2,0)&lt;&gt;D1199,"Beam Revised","")</f>
        <v>#N/A</v>
      </c>
      <c r="U1199" s="7" t="e">
        <f>IF(VLOOKUP($A1199,'Concrete Beam Schedule'!$A$2:$Q$2902,U$2,0)&lt;&gt;E1199,"Beam Revised","")</f>
        <v>#N/A</v>
      </c>
      <c r="V1199" s="7" t="e">
        <f>IF(VLOOKUP($A1199,'Concrete Beam Schedule'!$A$2:$Q$2902,V$2,0)&lt;&gt;F1199,"Beam Revised","")</f>
        <v>#N/A</v>
      </c>
      <c r="W1199" s="7" t="e">
        <f>IF(VLOOKUP($A1199,'Concrete Beam Schedule'!$A$2:$Q$2902,W$2,0)&lt;&gt;G1199,"Beam Revised","")</f>
        <v>#N/A</v>
      </c>
      <c r="X1199" s="7" t="e">
        <f>IF(VLOOKUP($A1199,'Concrete Beam Schedule'!$A$2:$Q$2902,X$2,0)&lt;&gt;H1199,"Beam Revised","")</f>
        <v>#N/A</v>
      </c>
      <c r="Y1199" s="7" t="e">
        <f>IF(VLOOKUP($A1199,'Concrete Beam Schedule'!$A$2:$Q$2902,Y$2,0)&lt;&gt;I1199,"Beam Revised","")</f>
        <v>#N/A</v>
      </c>
      <c r="Z1199" s="7" t="e">
        <f>IF(VLOOKUP($A1199,'Concrete Beam Schedule'!$A$2:$Q$2902,Z$2,0)&lt;&gt;J1199,"Beam Revised","")</f>
        <v>#N/A</v>
      </c>
      <c r="AA1199" s="7" t="e">
        <f>IF(VLOOKUP($A1199,'Concrete Beam Schedule'!$A$2:$Q$2902,AA$2,0)&lt;&gt;K1199,"Beam Revised","")</f>
        <v>#N/A</v>
      </c>
      <c r="AB1199" s="7" t="e">
        <f>IF(VLOOKUP($A1199,'Concrete Beam Schedule'!$A$2:$Q$2902,AB$2,0)&lt;&gt;L1199,"Beam Revised","")</f>
        <v>#N/A</v>
      </c>
      <c r="AC1199" s="7" t="e">
        <f>IF(VLOOKUP($A1199,'Concrete Beam Schedule'!$A$2:$Q$2902,AC$2,0)&lt;&gt;M1199,"Beam Revised","")</f>
        <v>#N/A</v>
      </c>
      <c r="AD1199" s="7" t="e">
        <f>IF(VLOOKUP($A1199,'Concrete Beam Schedule'!$A$2:$Q$2902,AD$2,0)&lt;&gt;N1199,"Beam Revised","")</f>
        <v>#N/A</v>
      </c>
      <c r="AE1199" s="7" t="e">
        <f>IF(VLOOKUP($A1199,'Concrete Beam Schedule'!$A$2:$Q$2902,AE$2,0)&lt;&gt;O1199,"Beam Revised","")</f>
        <v>#N/A</v>
      </c>
    </row>
    <row r="1200" spans="17:31" ht="13.2" x14ac:dyDescent="0.25">
      <c r="Q1200" s="7">
        <f t="shared" si="18"/>
        <v>0</v>
      </c>
      <c r="R1200" s="7" t="e">
        <f>IF(VLOOKUP($A1200,'Concrete Beam Schedule'!$A$2:$Q$2902,R$2,0)&lt;&gt;B1200,VLOOKUP($A1200,'Concrete Beam Schedule'!$A$2:$Q$2902,R$2,0),"")</f>
        <v>#N/A</v>
      </c>
      <c r="S1200" s="7" t="e">
        <f>IF(VLOOKUP($A1200,'Concrete Beam Schedule'!$A$2:$Q$2902,S$2,0)&lt;&gt;C1200,VLOOKUP($A1200,'Concrete Beam Schedule'!$A$2:$Q$2902,S$2,0),"")</f>
        <v>#N/A</v>
      </c>
      <c r="T1200" s="7" t="e">
        <f>IF(VLOOKUP($A1200,'Concrete Beam Schedule'!$A$2:$Q$2902,T$2,0)&lt;&gt;D1200,"Beam Revised","")</f>
        <v>#N/A</v>
      </c>
      <c r="U1200" s="7" t="e">
        <f>IF(VLOOKUP($A1200,'Concrete Beam Schedule'!$A$2:$Q$2902,U$2,0)&lt;&gt;E1200,"Beam Revised","")</f>
        <v>#N/A</v>
      </c>
      <c r="V1200" s="7" t="e">
        <f>IF(VLOOKUP($A1200,'Concrete Beam Schedule'!$A$2:$Q$2902,V$2,0)&lt;&gt;F1200,"Beam Revised","")</f>
        <v>#N/A</v>
      </c>
      <c r="W1200" s="7" t="e">
        <f>IF(VLOOKUP($A1200,'Concrete Beam Schedule'!$A$2:$Q$2902,W$2,0)&lt;&gt;G1200,"Beam Revised","")</f>
        <v>#N/A</v>
      </c>
      <c r="X1200" s="7" t="e">
        <f>IF(VLOOKUP($A1200,'Concrete Beam Schedule'!$A$2:$Q$2902,X$2,0)&lt;&gt;H1200,"Beam Revised","")</f>
        <v>#N/A</v>
      </c>
      <c r="Y1200" s="7" t="e">
        <f>IF(VLOOKUP($A1200,'Concrete Beam Schedule'!$A$2:$Q$2902,Y$2,0)&lt;&gt;I1200,"Beam Revised","")</f>
        <v>#N/A</v>
      </c>
      <c r="Z1200" s="7" t="e">
        <f>IF(VLOOKUP($A1200,'Concrete Beam Schedule'!$A$2:$Q$2902,Z$2,0)&lt;&gt;J1200,"Beam Revised","")</f>
        <v>#N/A</v>
      </c>
      <c r="AA1200" s="7" t="e">
        <f>IF(VLOOKUP($A1200,'Concrete Beam Schedule'!$A$2:$Q$2902,AA$2,0)&lt;&gt;K1200,"Beam Revised","")</f>
        <v>#N/A</v>
      </c>
      <c r="AB1200" s="7" t="e">
        <f>IF(VLOOKUP($A1200,'Concrete Beam Schedule'!$A$2:$Q$2902,AB$2,0)&lt;&gt;L1200,"Beam Revised","")</f>
        <v>#N/A</v>
      </c>
      <c r="AC1200" s="7" t="e">
        <f>IF(VLOOKUP($A1200,'Concrete Beam Schedule'!$A$2:$Q$2902,AC$2,0)&lt;&gt;M1200,"Beam Revised","")</f>
        <v>#N/A</v>
      </c>
      <c r="AD1200" s="7" t="e">
        <f>IF(VLOOKUP($A1200,'Concrete Beam Schedule'!$A$2:$Q$2902,AD$2,0)&lt;&gt;N1200,"Beam Revised","")</f>
        <v>#N/A</v>
      </c>
      <c r="AE1200" s="7" t="e">
        <f>IF(VLOOKUP($A1200,'Concrete Beam Schedule'!$A$2:$Q$2902,AE$2,0)&lt;&gt;O1200,"Beam Revised","")</f>
        <v>#N/A</v>
      </c>
    </row>
    <row r="1201" spans="17:31" ht="13.2" x14ac:dyDescent="0.25">
      <c r="Q1201" s="7">
        <f t="shared" si="18"/>
        <v>0</v>
      </c>
      <c r="R1201" s="7" t="e">
        <f>IF(VLOOKUP($A1201,'Concrete Beam Schedule'!$A$2:$Q$2902,R$2,0)&lt;&gt;B1201,VLOOKUP($A1201,'Concrete Beam Schedule'!$A$2:$Q$2902,R$2,0),"")</f>
        <v>#N/A</v>
      </c>
      <c r="S1201" s="7" t="e">
        <f>IF(VLOOKUP($A1201,'Concrete Beam Schedule'!$A$2:$Q$2902,S$2,0)&lt;&gt;C1201,VLOOKUP($A1201,'Concrete Beam Schedule'!$A$2:$Q$2902,S$2,0),"")</f>
        <v>#N/A</v>
      </c>
      <c r="T1201" s="7" t="e">
        <f>IF(VLOOKUP($A1201,'Concrete Beam Schedule'!$A$2:$Q$2902,T$2,0)&lt;&gt;D1201,"Beam Revised","")</f>
        <v>#N/A</v>
      </c>
      <c r="U1201" s="7" t="e">
        <f>IF(VLOOKUP($A1201,'Concrete Beam Schedule'!$A$2:$Q$2902,U$2,0)&lt;&gt;E1201,"Beam Revised","")</f>
        <v>#N/A</v>
      </c>
      <c r="V1201" s="7" t="e">
        <f>IF(VLOOKUP($A1201,'Concrete Beam Schedule'!$A$2:$Q$2902,V$2,0)&lt;&gt;F1201,"Beam Revised","")</f>
        <v>#N/A</v>
      </c>
      <c r="W1201" s="7" t="e">
        <f>IF(VLOOKUP($A1201,'Concrete Beam Schedule'!$A$2:$Q$2902,W$2,0)&lt;&gt;G1201,"Beam Revised","")</f>
        <v>#N/A</v>
      </c>
      <c r="X1201" s="7" t="e">
        <f>IF(VLOOKUP($A1201,'Concrete Beam Schedule'!$A$2:$Q$2902,X$2,0)&lt;&gt;H1201,"Beam Revised","")</f>
        <v>#N/A</v>
      </c>
      <c r="Y1201" s="7" t="e">
        <f>IF(VLOOKUP($A1201,'Concrete Beam Schedule'!$A$2:$Q$2902,Y$2,0)&lt;&gt;I1201,"Beam Revised","")</f>
        <v>#N/A</v>
      </c>
      <c r="Z1201" s="7" t="e">
        <f>IF(VLOOKUP($A1201,'Concrete Beam Schedule'!$A$2:$Q$2902,Z$2,0)&lt;&gt;J1201,"Beam Revised","")</f>
        <v>#N/A</v>
      </c>
      <c r="AA1201" s="7" t="e">
        <f>IF(VLOOKUP($A1201,'Concrete Beam Schedule'!$A$2:$Q$2902,AA$2,0)&lt;&gt;K1201,"Beam Revised","")</f>
        <v>#N/A</v>
      </c>
      <c r="AB1201" s="7" t="e">
        <f>IF(VLOOKUP($A1201,'Concrete Beam Schedule'!$A$2:$Q$2902,AB$2,0)&lt;&gt;L1201,"Beam Revised","")</f>
        <v>#N/A</v>
      </c>
      <c r="AC1201" s="7" t="e">
        <f>IF(VLOOKUP($A1201,'Concrete Beam Schedule'!$A$2:$Q$2902,AC$2,0)&lt;&gt;M1201,"Beam Revised","")</f>
        <v>#N/A</v>
      </c>
      <c r="AD1201" s="7" t="e">
        <f>IF(VLOOKUP($A1201,'Concrete Beam Schedule'!$A$2:$Q$2902,AD$2,0)&lt;&gt;N1201,"Beam Revised","")</f>
        <v>#N/A</v>
      </c>
      <c r="AE1201" s="7" t="e">
        <f>IF(VLOOKUP($A1201,'Concrete Beam Schedule'!$A$2:$Q$2902,AE$2,0)&lt;&gt;O1201,"Beam Revised","")</f>
        <v>#N/A</v>
      </c>
    </row>
    <row r="1202" spans="17:31" ht="13.2" x14ac:dyDescent="0.25">
      <c r="Q1202" s="7">
        <f t="shared" si="18"/>
        <v>0</v>
      </c>
      <c r="R1202" s="7" t="e">
        <f>IF(VLOOKUP($A1202,'Concrete Beam Schedule'!$A$2:$Q$2902,R$2,0)&lt;&gt;B1202,VLOOKUP($A1202,'Concrete Beam Schedule'!$A$2:$Q$2902,R$2,0),"")</f>
        <v>#N/A</v>
      </c>
      <c r="S1202" s="7" t="e">
        <f>IF(VLOOKUP($A1202,'Concrete Beam Schedule'!$A$2:$Q$2902,S$2,0)&lt;&gt;C1202,VLOOKUP($A1202,'Concrete Beam Schedule'!$A$2:$Q$2902,S$2,0),"")</f>
        <v>#N/A</v>
      </c>
      <c r="T1202" s="7" t="e">
        <f>IF(VLOOKUP($A1202,'Concrete Beam Schedule'!$A$2:$Q$2902,T$2,0)&lt;&gt;D1202,"Beam Revised","")</f>
        <v>#N/A</v>
      </c>
      <c r="U1202" s="7" t="e">
        <f>IF(VLOOKUP($A1202,'Concrete Beam Schedule'!$A$2:$Q$2902,U$2,0)&lt;&gt;E1202,"Beam Revised","")</f>
        <v>#N/A</v>
      </c>
      <c r="V1202" s="7" t="e">
        <f>IF(VLOOKUP($A1202,'Concrete Beam Schedule'!$A$2:$Q$2902,V$2,0)&lt;&gt;F1202,"Beam Revised","")</f>
        <v>#N/A</v>
      </c>
      <c r="W1202" s="7" t="e">
        <f>IF(VLOOKUP($A1202,'Concrete Beam Schedule'!$A$2:$Q$2902,W$2,0)&lt;&gt;G1202,"Beam Revised","")</f>
        <v>#N/A</v>
      </c>
      <c r="X1202" s="7" t="e">
        <f>IF(VLOOKUP($A1202,'Concrete Beam Schedule'!$A$2:$Q$2902,X$2,0)&lt;&gt;H1202,"Beam Revised","")</f>
        <v>#N/A</v>
      </c>
      <c r="Y1202" s="7" t="e">
        <f>IF(VLOOKUP($A1202,'Concrete Beam Schedule'!$A$2:$Q$2902,Y$2,0)&lt;&gt;I1202,"Beam Revised","")</f>
        <v>#N/A</v>
      </c>
      <c r="Z1202" s="7" t="e">
        <f>IF(VLOOKUP($A1202,'Concrete Beam Schedule'!$A$2:$Q$2902,Z$2,0)&lt;&gt;J1202,"Beam Revised","")</f>
        <v>#N/A</v>
      </c>
      <c r="AA1202" s="7" t="e">
        <f>IF(VLOOKUP($A1202,'Concrete Beam Schedule'!$A$2:$Q$2902,AA$2,0)&lt;&gt;K1202,"Beam Revised","")</f>
        <v>#N/A</v>
      </c>
      <c r="AB1202" s="7" t="e">
        <f>IF(VLOOKUP($A1202,'Concrete Beam Schedule'!$A$2:$Q$2902,AB$2,0)&lt;&gt;L1202,"Beam Revised","")</f>
        <v>#N/A</v>
      </c>
      <c r="AC1202" s="7" t="e">
        <f>IF(VLOOKUP($A1202,'Concrete Beam Schedule'!$A$2:$Q$2902,AC$2,0)&lt;&gt;M1202,"Beam Revised","")</f>
        <v>#N/A</v>
      </c>
      <c r="AD1202" s="7" t="e">
        <f>IF(VLOOKUP($A1202,'Concrete Beam Schedule'!$A$2:$Q$2902,AD$2,0)&lt;&gt;N1202,"Beam Revised","")</f>
        <v>#N/A</v>
      </c>
      <c r="AE1202" s="7" t="e">
        <f>IF(VLOOKUP($A1202,'Concrete Beam Schedule'!$A$2:$Q$2902,AE$2,0)&lt;&gt;O1202,"Beam Revised","")</f>
        <v>#N/A</v>
      </c>
    </row>
    <row r="1203" spans="17:31" ht="13.2" x14ac:dyDescent="0.25">
      <c r="Q1203" s="7">
        <f t="shared" si="18"/>
        <v>0</v>
      </c>
      <c r="R1203" s="7" t="e">
        <f>IF(VLOOKUP($A1203,'Concrete Beam Schedule'!$A$2:$Q$2902,R$2,0)&lt;&gt;B1203,VLOOKUP($A1203,'Concrete Beam Schedule'!$A$2:$Q$2902,R$2,0),"")</f>
        <v>#N/A</v>
      </c>
      <c r="S1203" s="7" t="e">
        <f>IF(VLOOKUP($A1203,'Concrete Beam Schedule'!$A$2:$Q$2902,S$2,0)&lt;&gt;C1203,VLOOKUP($A1203,'Concrete Beam Schedule'!$A$2:$Q$2902,S$2,0),"")</f>
        <v>#N/A</v>
      </c>
      <c r="T1203" s="7" t="e">
        <f>IF(VLOOKUP($A1203,'Concrete Beam Schedule'!$A$2:$Q$2902,T$2,0)&lt;&gt;D1203,"Beam Revised","")</f>
        <v>#N/A</v>
      </c>
      <c r="U1203" s="7" t="e">
        <f>IF(VLOOKUP($A1203,'Concrete Beam Schedule'!$A$2:$Q$2902,U$2,0)&lt;&gt;E1203,"Beam Revised","")</f>
        <v>#N/A</v>
      </c>
      <c r="V1203" s="7" t="e">
        <f>IF(VLOOKUP($A1203,'Concrete Beam Schedule'!$A$2:$Q$2902,V$2,0)&lt;&gt;F1203,"Beam Revised","")</f>
        <v>#N/A</v>
      </c>
      <c r="W1203" s="7" t="e">
        <f>IF(VLOOKUP($A1203,'Concrete Beam Schedule'!$A$2:$Q$2902,W$2,0)&lt;&gt;G1203,"Beam Revised","")</f>
        <v>#N/A</v>
      </c>
      <c r="X1203" s="7" t="e">
        <f>IF(VLOOKUP($A1203,'Concrete Beam Schedule'!$A$2:$Q$2902,X$2,0)&lt;&gt;H1203,"Beam Revised","")</f>
        <v>#N/A</v>
      </c>
      <c r="Y1203" s="7" t="e">
        <f>IF(VLOOKUP($A1203,'Concrete Beam Schedule'!$A$2:$Q$2902,Y$2,0)&lt;&gt;I1203,"Beam Revised","")</f>
        <v>#N/A</v>
      </c>
      <c r="Z1203" s="7" t="e">
        <f>IF(VLOOKUP($A1203,'Concrete Beam Schedule'!$A$2:$Q$2902,Z$2,0)&lt;&gt;J1203,"Beam Revised","")</f>
        <v>#N/A</v>
      </c>
      <c r="AA1203" s="7" t="e">
        <f>IF(VLOOKUP($A1203,'Concrete Beam Schedule'!$A$2:$Q$2902,AA$2,0)&lt;&gt;K1203,"Beam Revised","")</f>
        <v>#N/A</v>
      </c>
      <c r="AB1203" s="7" t="e">
        <f>IF(VLOOKUP($A1203,'Concrete Beam Schedule'!$A$2:$Q$2902,AB$2,0)&lt;&gt;L1203,"Beam Revised","")</f>
        <v>#N/A</v>
      </c>
      <c r="AC1203" s="7" t="e">
        <f>IF(VLOOKUP($A1203,'Concrete Beam Schedule'!$A$2:$Q$2902,AC$2,0)&lt;&gt;M1203,"Beam Revised","")</f>
        <v>#N/A</v>
      </c>
      <c r="AD1203" s="7" t="e">
        <f>IF(VLOOKUP($A1203,'Concrete Beam Schedule'!$A$2:$Q$2902,AD$2,0)&lt;&gt;N1203,"Beam Revised","")</f>
        <v>#N/A</v>
      </c>
      <c r="AE1203" s="7" t="e">
        <f>IF(VLOOKUP($A1203,'Concrete Beam Schedule'!$A$2:$Q$2902,AE$2,0)&lt;&gt;O1203,"Beam Revised","")</f>
        <v>#N/A</v>
      </c>
    </row>
    <row r="1204" spans="17:31" ht="13.2" x14ac:dyDescent="0.25">
      <c r="Q1204" s="7">
        <f t="shared" si="18"/>
        <v>0</v>
      </c>
      <c r="R1204" s="7" t="e">
        <f>IF(VLOOKUP($A1204,'Concrete Beam Schedule'!$A$2:$Q$2902,R$2,0)&lt;&gt;B1204,VLOOKUP($A1204,'Concrete Beam Schedule'!$A$2:$Q$2902,R$2,0),"")</f>
        <v>#N/A</v>
      </c>
      <c r="S1204" s="7" t="e">
        <f>IF(VLOOKUP($A1204,'Concrete Beam Schedule'!$A$2:$Q$2902,S$2,0)&lt;&gt;C1204,VLOOKUP($A1204,'Concrete Beam Schedule'!$A$2:$Q$2902,S$2,0),"")</f>
        <v>#N/A</v>
      </c>
      <c r="T1204" s="7" t="e">
        <f>IF(VLOOKUP($A1204,'Concrete Beam Schedule'!$A$2:$Q$2902,T$2,0)&lt;&gt;D1204,"Beam Revised","")</f>
        <v>#N/A</v>
      </c>
      <c r="U1204" s="7" t="e">
        <f>IF(VLOOKUP($A1204,'Concrete Beam Schedule'!$A$2:$Q$2902,U$2,0)&lt;&gt;E1204,"Beam Revised","")</f>
        <v>#N/A</v>
      </c>
      <c r="V1204" s="7" t="e">
        <f>IF(VLOOKUP($A1204,'Concrete Beam Schedule'!$A$2:$Q$2902,V$2,0)&lt;&gt;F1204,"Beam Revised","")</f>
        <v>#N/A</v>
      </c>
      <c r="W1204" s="7" t="e">
        <f>IF(VLOOKUP($A1204,'Concrete Beam Schedule'!$A$2:$Q$2902,W$2,0)&lt;&gt;G1204,"Beam Revised","")</f>
        <v>#N/A</v>
      </c>
      <c r="X1204" s="7" t="e">
        <f>IF(VLOOKUP($A1204,'Concrete Beam Schedule'!$A$2:$Q$2902,X$2,0)&lt;&gt;H1204,"Beam Revised","")</f>
        <v>#N/A</v>
      </c>
      <c r="Y1204" s="7" t="e">
        <f>IF(VLOOKUP($A1204,'Concrete Beam Schedule'!$A$2:$Q$2902,Y$2,0)&lt;&gt;I1204,"Beam Revised","")</f>
        <v>#N/A</v>
      </c>
      <c r="Z1204" s="7" t="e">
        <f>IF(VLOOKUP($A1204,'Concrete Beam Schedule'!$A$2:$Q$2902,Z$2,0)&lt;&gt;J1204,"Beam Revised","")</f>
        <v>#N/A</v>
      </c>
      <c r="AA1204" s="7" t="e">
        <f>IF(VLOOKUP($A1204,'Concrete Beam Schedule'!$A$2:$Q$2902,AA$2,0)&lt;&gt;K1204,"Beam Revised","")</f>
        <v>#N/A</v>
      </c>
      <c r="AB1204" s="7" t="e">
        <f>IF(VLOOKUP($A1204,'Concrete Beam Schedule'!$A$2:$Q$2902,AB$2,0)&lt;&gt;L1204,"Beam Revised","")</f>
        <v>#N/A</v>
      </c>
      <c r="AC1204" s="7" t="e">
        <f>IF(VLOOKUP($A1204,'Concrete Beam Schedule'!$A$2:$Q$2902,AC$2,0)&lt;&gt;M1204,"Beam Revised","")</f>
        <v>#N/A</v>
      </c>
      <c r="AD1204" s="7" t="e">
        <f>IF(VLOOKUP($A1204,'Concrete Beam Schedule'!$A$2:$Q$2902,AD$2,0)&lt;&gt;N1204,"Beam Revised","")</f>
        <v>#N/A</v>
      </c>
      <c r="AE1204" s="7" t="e">
        <f>IF(VLOOKUP($A1204,'Concrete Beam Schedule'!$A$2:$Q$2902,AE$2,0)&lt;&gt;O1204,"Beam Revised","")</f>
        <v>#N/A</v>
      </c>
    </row>
    <row r="1205" spans="17:31" ht="13.2" x14ac:dyDescent="0.25">
      <c r="Q1205" s="7">
        <f t="shared" si="18"/>
        <v>0</v>
      </c>
      <c r="R1205" s="7" t="e">
        <f>IF(VLOOKUP($A1205,'Concrete Beam Schedule'!$A$2:$Q$2902,R$2,0)&lt;&gt;B1205,VLOOKUP($A1205,'Concrete Beam Schedule'!$A$2:$Q$2902,R$2,0),"")</f>
        <v>#N/A</v>
      </c>
      <c r="S1205" s="7" t="e">
        <f>IF(VLOOKUP($A1205,'Concrete Beam Schedule'!$A$2:$Q$2902,S$2,0)&lt;&gt;C1205,VLOOKUP($A1205,'Concrete Beam Schedule'!$A$2:$Q$2902,S$2,0),"")</f>
        <v>#N/A</v>
      </c>
      <c r="T1205" s="7" t="e">
        <f>IF(VLOOKUP($A1205,'Concrete Beam Schedule'!$A$2:$Q$2902,T$2,0)&lt;&gt;D1205,"Beam Revised","")</f>
        <v>#N/A</v>
      </c>
      <c r="U1205" s="7" t="e">
        <f>IF(VLOOKUP($A1205,'Concrete Beam Schedule'!$A$2:$Q$2902,U$2,0)&lt;&gt;E1205,"Beam Revised","")</f>
        <v>#N/A</v>
      </c>
      <c r="V1205" s="7" t="e">
        <f>IF(VLOOKUP($A1205,'Concrete Beam Schedule'!$A$2:$Q$2902,V$2,0)&lt;&gt;F1205,"Beam Revised","")</f>
        <v>#N/A</v>
      </c>
      <c r="W1205" s="7" t="e">
        <f>IF(VLOOKUP($A1205,'Concrete Beam Schedule'!$A$2:$Q$2902,W$2,0)&lt;&gt;G1205,"Beam Revised","")</f>
        <v>#N/A</v>
      </c>
      <c r="X1205" s="7" t="e">
        <f>IF(VLOOKUP($A1205,'Concrete Beam Schedule'!$A$2:$Q$2902,X$2,0)&lt;&gt;H1205,"Beam Revised","")</f>
        <v>#N/A</v>
      </c>
      <c r="Y1205" s="7" t="e">
        <f>IF(VLOOKUP($A1205,'Concrete Beam Schedule'!$A$2:$Q$2902,Y$2,0)&lt;&gt;I1205,"Beam Revised","")</f>
        <v>#N/A</v>
      </c>
      <c r="Z1205" s="7" t="e">
        <f>IF(VLOOKUP($A1205,'Concrete Beam Schedule'!$A$2:$Q$2902,Z$2,0)&lt;&gt;J1205,"Beam Revised","")</f>
        <v>#N/A</v>
      </c>
      <c r="AA1205" s="7" t="e">
        <f>IF(VLOOKUP($A1205,'Concrete Beam Schedule'!$A$2:$Q$2902,AA$2,0)&lt;&gt;K1205,"Beam Revised","")</f>
        <v>#N/A</v>
      </c>
      <c r="AB1205" s="7" t="e">
        <f>IF(VLOOKUP($A1205,'Concrete Beam Schedule'!$A$2:$Q$2902,AB$2,0)&lt;&gt;L1205,"Beam Revised","")</f>
        <v>#N/A</v>
      </c>
      <c r="AC1205" s="7" t="e">
        <f>IF(VLOOKUP($A1205,'Concrete Beam Schedule'!$A$2:$Q$2902,AC$2,0)&lt;&gt;M1205,"Beam Revised","")</f>
        <v>#N/A</v>
      </c>
      <c r="AD1205" s="7" t="e">
        <f>IF(VLOOKUP($A1205,'Concrete Beam Schedule'!$A$2:$Q$2902,AD$2,0)&lt;&gt;N1205,"Beam Revised","")</f>
        <v>#N/A</v>
      </c>
      <c r="AE1205" s="7" t="e">
        <f>IF(VLOOKUP($A1205,'Concrete Beam Schedule'!$A$2:$Q$2902,AE$2,0)&lt;&gt;O1205,"Beam Revised","")</f>
        <v>#N/A</v>
      </c>
    </row>
    <row r="1206" spans="17:31" ht="13.2" x14ac:dyDescent="0.25">
      <c r="Q1206" s="7">
        <f t="shared" si="18"/>
        <v>0</v>
      </c>
      <c r="R1206" s="7" t="e">
        <f>IF(VLOOKUP($A1206,'Concrete Beam Schedule'!$A$2:$Q$2902,R$2,0)&lt;&gt;B1206,VLOOKUP($A1206,'Concrete Beam Schedule'!$A$2:$Q$2902,R$2,0),"")</f>
        <v>#N/A</v>
      </c>
      <c r="S1206" s="7" t="e">
        <f>IF(VLOOKUP($A1206,'Concrete Beam Schedule'!$A$2:$Q$2902,S$2,0)&lt;&gt;C1206,VLOOKUP($A1206,'Concrete Beam Schedule'!$A$2:$Q$2902,S$2,0),"")</f>
        <v>#N/A</v>
      </c>
      <c r="T1206" s="7" t="e">
        <f>IF(VLOOKUP($A1206,'Concrete Beam Schedule'!$A$2:$Q$2902,T$2,0)&lt;&gt;D1206,"Beam Revised","")</f>
        <v>#N/A</v>
      </c>
      <c r="U1206" s="7" t="e">
        <f>IF(VLOOKUP($A1206,'Concrete Beam Schedule'!$A$2:$Q$2902,U$2,0)&lt;&gt;E1206,"Beam Revised","")</f>
        <v>#N/A</v>
      </c>
      <c r="V1206" s="7" t="e">
        <f>IF(VLOOKUP($A1206,'Concrete Beam Schedule'!$A$2:$Q$2902,V$2,0)&lt;&gt;F1206,"Beam Revised","")</f>
        <v>#N/A</v>
      </c>
      <c r="W1206" s="7" t="e">
        <f>IF(VLOOKUP($A1206,'Concrete Beam Schedule'!$A$2:$Q$2902,W$2,0)&lt;&gt;G1206,"Beam Revised","")</f>
        <v>#N/A</v>
      </c>
      <c r="X1206" s="7" t="e">
        <f>IF(VLOOKUP($A1206,'Concrete Beam Schedule'!$A$2:$Q$2902,X$2,0)&lt;&gt;H1206,"Beam Revised","")</f>
        <v>#N/A</v>
      </c>
      <c r="Y1206" s="7" t="e">
        <f>IF(VLOOKUP($A1206,'Concrete Beam Schedule'!$A$2:$Q$2902,Y$2,0)&lt;&gt;I1206,"Beam Revised","")</f>
        <v>#N/A</v>
      </c>
      <c r="Z1206" s="7" t="e">
        <f>IF(VLOOKUP($A1206,'Concrete Beam Schedule'!$A$2:$Q$2902,Z$2,0)&lt;&gt;J1206,"Beam Revised","")</f>
        <v>#N/A</v>
      </c>
      <c r="AA1206" s="7" t="e">
        <f>IF(VLOOKUP($A1206,'Concrete Beam Schedule'!$A$2:$Q$2902,AA$2,0)&lt;&gt;K1206,"Beam Revised","")</f>
        <v>#N/A</v>
      </c>
      <c r="AB1206" s="7" t="e">
        <f>IF(VLOOKUP($A1206,'Concrete Beam Schedule'!$A$2:$Q$2902,AB$2,0)&lt;&gt;L1206,"Beam Revised","")</f>
        <v>#N/A</v>
      </c>
      <c r="AC1206" s="7" t="e">
        <f>IF(VLOOKUP($A1206,'Concrete Beam Schedule'!$A$2:$Q$2902,AC$2,0)&lt;&gt;M1206,"Beam Revised","")</f>
        <v>#N/A</v>
      </c>
      <c r="AD1206" s="7" t="e">
        <f>IF(VLOOKUP($A1206,'Concrete Beam Schedule'!$A$2:$Q$2902,AD$2,0)&lt;&gt;N1206,"Beam Revised","")</f>
        <v>#N/A</v>
      </c>
      <c r="AE1206" s="7" t="e">
        <f>IF(VLOOKUP($A1206,'Concrete Beam Schedule'!$A$2:$Q$2902,AE$2,0)&lt;&gt;O1206,"Beam Revised","")</f>
        <v>#N/A</v>
      </c>
    </row>
    <row r="1207" spans="17:31" ht="13.2" x14ac:dyDescent="0.25">
      <c r="Q1207" s="7">
        <f t="shared" si="18"/>
        <v>0</v>
      </c>
      <c r="R1207" s="7" t="e">
        <f>IF(VLOOKUP($A1207,'Concrete Beam Schedule'!$A$2:$Q$2902,R$2,0)&lt;&gt;B1207,VLOOKUP($A1207,'Concrete Beam Schedule'!$A$2:$Q$2902,R$2,0),"")</f>
        <v>#N/A</v>
      </c>
      <c r="S1207" s="7" t="e">
        <f>IF(VLOOKUP($A1207,'Concrete Beam Schedule'!$A$2:$Q$2902,S$2,0)&lt;&gt;C1207,VLOOKUP($A1207,'Concrete Beam Schedule'!$A$2:$Q$2902,S$2,0),"")</f>
        <v>#N/A</v>
      </c>
      <c r="T1207" s="7" t="e">
        <f>IF(VLOOKUP($A1207,'Concrete Beam Schedule'!$A$2:$Q$2902,T$2,0)&lt;&gt;D1207,"Beam Revised","")</f>
        <v>#N/A</v>
      </c>
      <c r="U1207" s="7" t="e">
        <f>IF(VLOOKUP($A1207,'Concrete Beam Schedule'!$A$2:$Q$2902,U$2,0)&lt;&gt;E1207,"Beam Revised","")</f>
        <v>#N/A</v>
      </c>
      <c r="V1207" s="7" t="e">
        <f>IF(VLOOKUP($A1207,'Concrete Beam Schedule'!$A$2:$Q$2902,V$2,0)&lt;&gt;F1207,"Beam Revised","")</f>
        <v>#N/A</v>
      </c>
      <c r="W1207" s="7" t="e">
        <f>IF(VLOOKUP($A1207,'Concrete Beam Schedule'!$A$2:$Q$2902,W$2,0)&lt;&gt;G1207,"Beam Revised","")</f>
        <v>#N/A</v>
      </c>
      <c r="X1207" s="7" t="e">
        <f>IF(VLOOKUP($A1207,'Concrete Beam Schedule'!$A$2:$Q$2902,X$2,0)&lt;&gt;H1207,"Beam Revised","")</f>
        <v>#N/A</v>
      </c>
      <c r="Y1207" s="7" t="e">
        <f>IF(VLOOKUP($A1207,'Concrete Beam Schedule'!$A$2:$Q$2902,Y$2,0)&lt;&gt;I1207,"Beam Revised","")</f>
        <v>#N/A</v>
      </c>
      <c r="Z1207" s="7" t="e">
        <f>IF(VLOOKUP($A1207,'Concrete Beam Schedule'!$A$2:$Q$2902,Z$2,0)&lt;&gt;J1207,"Beam Revised","")</f>
        <v>#N/A</v>
      </c>
      <c r="AA1207" s="7" t="e">
        <f>IF(VLOOKUP($A1207,'Concrete Beam Schedule'!$A$2:$Q$2902,AA$2,0)&lt;&gt;K1207,"Beam Revised","")</f>
        <v>#N/A</v>
      </c>
      <c r="AB1207" s="7" t="e">
        <f>IF(VLOOKUP($A1207,'Concrete Beam Schedule'!$A$2:$Q$2902,AB$2,0)&lt;&gt;L1207,"Beam Revised","")</f>
        <v>#N/A</v>
      </c>
      <c r="AC1207" s="7" t="e">
        <f>IF(VLOOKUP($A1207,'Concrete Beam Schedule'!$A$2:$Q$2902,AC$2,0)&lt;&gt;M1207,"Beam Revised","")</f>
        <v>#N/A</v>
      </c>
      <c r="AD1207" s="7" t="e">
        <f>IF(VLOOKUP($A1207,'Concrete Beam Schedule'!$A$2:$Q$2902,AD$2,0)&lt;&gt;N1207,"Beam Revised","")</f>
        <v>#N/A</v>
      </c>
      <c r="AE1207" s="7" t="e">
        <f>IF(VLOOKUP($A1207,'Concrete Beam Schedule'!$A$2:$Q$2902,AE$2,0)&lt;&gt;O1207,"Beam Revised","")</f>
        <v>#N/A</v>
      </c>
    </row>
    <row r="1208" spans="17:31" ht="13.2" x14ac:dyDescent="0.25">
      <c r="Q1208" s="7">
        <f t="shared" si="18"/>
        <v>0</v>
      </c>
      <c r="R1208" s="7" t="e">
        <f>IF(VLOOKUP($A1208,'Concrete Beam Schedule'!$A$2:$Q$2902,R$2,0)&lt;&gt;B1208,VLOOKUP($A1208,'Concrete Beam Schedule'!$A$2:$Q$2902,R$2,0),"")</f>
        <v>#N/A</v>
      </c>
      <c r="S1208" s="7" t="e">
        <f>IF(VLOOKUP($A1208,'Concrete Beam Schedule'!$A$2:$Q$2902,S$2,0)&lt;&gt;C1208,VLOOKUP($A1208,'Concrete Beam Schedule'!$A$2:$Q$2902,S$2,0),"")</f>
        <v>#N/A</v>
      </c>
      <c r="T1208" s="7" t="e">
        <f>IF(VLOOKUP($A1208,'Concrete Beam Schedule'!$A$2:$Q$2902,T$2,0)&lt;&gt;D1208,"Beam Revised","")</f>
        <v>#N/A</v>
      </c>
      <c r="U1208" s="7" t="e">
        <f>IF(VLOOKUP($A1208,'Concrete Beam Schedule'!$A$2:$Q$2902,U$2,0)&lt;&gt;E1208,"Beam Revised","")</f>
        <v>#N/A</v>
      </c>
      <c r="V1208" s="7" t="e">
        <f>IF(VLOOKUP($A1208,'Concrete Beam Schedule'!$A$2:$Q$2902,V$2,0)&lt;&gt;F1208,"Beam Revised","")</f>
        <v>#N/A</v>
      </c>
      <c r="W1208" s="7" t="e">
        <f>IF(VLOOKUP($A1208,'Concrete Beam Schedule'!$A$2:$Q$2902,W$2,0)&lt;&gt;G1208,"Beam Revised","")</f>
        <v>#N/A</v>
      </c>
      <c r="X1208" s="7" t="e">
        <f>IF(VLOOKUP($A1208,'Concrete Beam Schedule'!$A$2:$Q$2902,X$2,0)&lt;&gt;H1208,"Beam Revised","")</f>
        <v>#N/A</v>
      </c>
      <c r="Y1208" s="7" t="e">
        <f>IF(VLOOKUP($A1208,'Concrete Beam Schedule'!$A$2:$Q$2902,Y$2,0)&lt;&gt;I1208,"Beam Revised","")</f>
        <v>#N/A</v>
      </c>
      <c r="Z1208" s="7" t="e">
        <f>IF(VLOOKUP($A1208,'Concrete Beam Schedule'!$A$2:$Q$2902,Z$2,0)&lt;&gt;J1208,"Beam Revised","")</f>
        <v>#N/A</v>
      </c>
      <c r="AA1208" s="7" t="e">
        <f>IF(VLOOKUP($A1208,'Concrete Beam Schedule'!$A$2:$Q$2902,AA$2,0)&lt;&gt;K1208,"Beam Revised","")</f>
        <v>#N/A</v>
      </c>
      <c r="AB1208" s="7" t="e">
        <f>IF(VLOOKUP($A1208,'Concrete Beam Schedule'!$A$2:$Q$2902,AB$2,0)&lt;&gt;L1208,"Beam Revised","")</f>
        <v>#N/A</v>
      </c>
      <c r="AC1208" s="7" t="e">
        <f>IF(VLOOKUP($A1208,'Concrete Beam Schedule'!$A$2:$Q$2902,AC$2,0)&lt;&gt;M1208,"Beam Revised","")</f>
        <v>#N/A</v>
      </c>
      <c r="AD1208" s="7" t="e">
        <f>IF(VLOOKUP($A1208,'Concrete Beam Schedule'!$A$2:$Q$2902,AD$2,0)&lt;&gt;N1208,"Beam Revised","")</f>
        <v>#N/A</v>
      </c>
      <c r="AE1208" s="7" t="e">
        <f>IF(VLOOKUP($A1208,'Concrete Beam Schedule'!$A$2:$Q$2902,AE$2,0)&lt;&gt;O1208,"Beam Revised","")</f>
        <v>#N/A</v>
      </c>
    </row>
    <row r="1209" spans="17:31" ht="13.2" x14ac:dyDescent="0.25">
      <c r="Q1209" s="7">
        <f t="shared" si="18"/>
        <v>0</v>
      </c>
      <c r="R1209" s="7" t="e">
        <f>IF(VLOOKUP($A1209,'Concrete Beam Schedule'!$A$2:$Q$2902,R$2,0)&lt;&gt;B1209,VLOOKUP($A1209,'Concrete Beam Schedule'!$A$2:$Q$2902,R$2,0),"")</f>
        <v>#N/A</v>
      </c>
      <c r="S1209" s="7" t="e">
        <f>IF(VLOOKUP($A1209,'Concrete Beam Schedule'!$A$2:$Q$2902,S$2,0)&lt;&gt;C1209,VLOOKUP($A1209,'Concrete Beam Schedule'!$A$2:$Q$2902,S$2,0),"")</f>
        <v>#N/A</v>
      </c>
      <c r="T1209" s="7" t="e">
        <f>IF(VLOOKUP($A1209,'Concrete Beam Schedule'!$A$2:$Q$2902,T$2,0)&lt;&gt;D1209,"Beam Revised","")</f>
        <v>#N/A</v>
      </c>
      <c r="U1209" s="7" t="e">
        <f>IF(VLOOKUP($A1209,'Concrete Beam Schedule'!$A$2:$Q$2902,U$2,0)&lt;&gt;E1209,"Beam Revised","")</f>
        <v>#N/A</v>
      </c>
      <c r="V1209" s="7" t="e">
        <f>IF(VLOOKUP($A1209,'Concrete Beam Schedule'!$A$2:$Q$2902,V$2,0)&lt;&gt;F1209,"Beam Revised","")</f>
        <v>#N/A</v>
      </c>
      <c r="W1209" s="7" t="e">
        <f>IF(VLOOKUP($A1209,'Concrete Beam Schedule'!$A$2:$Q$2902,W$2,0)&lt;&gt;G1209,"Beam Revised","")</f>
        <v>#N/A</v>
      </c>
      <c r="X1209" s="7" t="e">
        <f>IF(VLOOKUP($A1209,'Concrete Beam Schedule'!$A$2:$Q$2902,X$2,0)&lt;&gt;H1209,"Beam Revised","")</f>
        <v>#N/A</v>
      </c>
      <c r="Y1209" s="7" t="e">
        <f>IF(VLOOKUP($A1209,'Concrete Beam Schedule'!$A$2:$Q$2902,Y$2,0)&lt;&gt;I1209,"Beam Revised","")</f>
        <v>#N/A</v>
      </c>
      <c r="Z1209" s="7" t="e">
        <f>IF(VLOOKUP($A1209,'Concrete Beam Schedule'!$A$2:$Q$2902,Z$2,0)&lt;&gt;J1209,"Beam Revised","")</f>
        <v>#N/A</v>
      </c>
      <c r="AA1209" s="7" t="e">
        <f>IF(VLOOKUP($A1209,'Concrete Beam Schedule'!$A$2:$Q$2902,AA$2,0)&lt;&gt;K1209,"Beam Revised","")</f>
        <v>#N/A</v>
      </c>
      <c r="AB1209" s="7" t="e">
        <f>IF(VLOOKUP($A1209,'Concrete Beam Schedule'!$A$2:$Q$2902,AB$2,0)&lt;&gt;L1209,"Beam Revised","")</f>
        <v>#N/A</v>
      </c>
      <c r="AC1209" s="7" t="e">
        <f>IF(VLOOKUP($A1209,'Concrete Beam Schedule'!$A$2:$Q$2902,AC$2,0)&lt;&gt;M1209,"Beam Revised","")</f>
        <v>#N/A</v>
      </c>
      <c r="AD1209" s="7" t="e">
        <f>IF(VLOOKUP($A1209,'Concrete Beam Schedule'!$A$2:$Q$2902,AD$2,0)&lt;&gt;N1209,"Beam Revised","")</f>
        <v>#N/A</v>
      </c>
      <c r="AE1209" s="7" t="e">
        <f>IF(VLOOKUP($A1209,'Concrete Beam Schedule'!$A$2:$Q$2902,AE$2,0)&lt;&gt;O1209,"Beam Revised","")</f>
        <v>#N/A</v>
      </c>
    </row>
    <row r="1210" spans="17:31" ht="13.2" x14ac:dyDescent="0.25">
      <c r="Q1210" s="7">
        <f t="shared" si="18"/>
        <v>0</v>
      </c>
      <c r="R1210" s="7" t="e">
        <f>IF(VLOOKUP($A1210,'Concrete Beam Schedule'!$A$2:$Q$2902,R$2,0)&lt;&gt;B1210,VLOOKUP($A1210,'Concrete Beam Schedule'!$A$2:$Q$2902,R$2,0),"")</f>
        <v>#N/A</v>
      </c>
      <c r="S1210" s="7" t="e">
        <f>IF(VLOOKUP($A1210,'Concrete Beam Schedule'!$A$2:$Q$2902,S$2,0)&lt;&gt;C1210,VLOOKUP($A1210,'Concrete Beam Schedule'!$A$2:$Q$2902,S$2,0),"")</f>
        <v>#N/A</v>
      </c>
      <c r="T1210" s="7" t="e">
        <f>IF(VLOOKUP($A1210,'Concrete Beam Schedule'!$A$2:$Q$2902,T$2,0)&lt;&gt;D1210,"Beam Revised","")</f>
        <v>#N/A</v>
      </c>
      <c r="U1210" s="7" t="e">
        <f>IF(VLOOKUP($A1210,'Concrete Beam Schedule'!$A$2:$Q$2902,U$2,0)&lt;&gt;E1210,"Beam Revised","")</f>
        <v>#N/A</v>
      </c>
      <c r="V1210" s="7" t="e">
        <f>IF(VLOOKUP($A1210,'Concrete Beam Schedule'!$A$2:$Q$2902,V$2,0)&lt;&gt;F1210,"Beam Revised","")</f>
        <v>#N/A</v>
      </c>
      <c r="W1210" s="7" t="e">
        <f>IF(VLOOKUP($A1210,'Concrete Beam Schedule'!$A$2:$Q$2902,W$2,0)&lt;&gt;G1210,"Beam Revised","")</f>
        <v>#N/A</v>
      </c>
      <c r="X1210" s="7" t="e">
        <f>IF(VLOOKUP($A1210,'Concrete Beam Schedule'!$A$2:$Q$2902,X$2,0)&lt;&gt;H1210,"Beam Revised","")</f>
        <v>#N/A</v>
      </c>
      <c r="Y1210" s="7" t="e">
        <f>IF(VLOOKUP($A1210,'Concrete Beam Schedule'!$A$2:$Q$2902,Y$2,0)&lt;&gt;I1210,"Beam Revised","")</f>
        <v>#N/A</v>
      </c>
      <c r="Z1210" s="7" t="e">
        <f>IF(VLOOKUP($A1210,'Concrete Beam Schedule'!$A$2:$Q$2902,Z$2,0)&lt;&gt;J1210,"Beam Revised","")</f>
        <v>#N/A</v>
      </c>
      <c r="AA1210" s="7" t="e">
        <f>IF(VLOOKUP($A1210,'Concrete Beam Schedule'!$A$2:$Q$2902,AA$2,0)&lt;&gt;K1210,"Beam Revised","")</f>
        <v>#N/A</v>
      </c>
      <c r="AB1210" s="7" t="e">
        <f>IF(VLOOKUP($A1210,'Concrete Beam Schedule'!$A$2:$Q$2902,AB$2,0)&lt;&gt;L1210,"Beam Revised","")</f>
        <v>#N/A</v>
      </c>
      <c r="AC1210" s="7" t="e">
        <f>IF(VLOOKUP($A1210,'Concrete Beam Schedule'!$A$2:$Q$2902,AC$2,0)&lt;&gt;M1210,"Beam Revised","")</f>
        <v>#N/A</v>
      </c>
      <c r="AD1210" s="7" t="e">
        <f>IF(VLOOKUP($A1210,'Concrete Beam Schedule'!$A$2:$Q$2902,AD$2,0)&lt;&gt;N1210,"Beam Revised","")</f>
        <v>#N/A</v>
      </c>
      <c r="AE1210" s="7" t="e">
        <f>IF(VLOOKUP($A1210,'Concrete Beam Schedule'!$A$2:$Q$2902,AE$2,0)&lt;&gt;O1210,"Beam Revised","")</f>
        <v>#N/A</v>
      </c>
    </row>
    <row r="1211" spans="17:31" ht="13.2" x14ac:dyDescent="0.25">
      <c r="Q1211" s="7">
        <f t="shared" si="18"/>
        <v>0</v>
      </c>
      <c r="R1211" s="7" t="e">
        <f>IF(VLOOKUP($A1211,'Concrete Beam Schedule'!$A$2:$Q$2902,R$2,0)&lt;&gt;B1211,VLOOKUP($A1211,'Concrete Beam Schedule'!$A$2:$Q$2902,R$2,0),"")</f>
        <v>#N/A</v>
      </c>
      <c r="S1211" s="7" t="e">
        <f>IF(VLOOKUP($A1211,'Concrete Beam Schedule'!$A$2:$Q$2902,S$2,0)&lt;&gt;C1211,VLOOKUP($A1211,'Concrete Beam Schedule'!$A$2:$Q$2902,S$2,0),"")</f>
        <v>#N/A</v>
      </c>
      <c r="T1211" s="7" t="e">
        <f>IF(VLOOKUP($A1211,'Concrete Beam Schedule'!$A$2:$Q$2902,T$2,0)&lt;&gt;D1211,"Beam Revised","")</f>
        <v>#N/A</v>
      </c>
      <c r="U1211" s="7" t="e">
        <f>IF(VLOOKUP($A1211,'Concrete Beam Schedule'!$A$2:$Q$2902,U$2,0)&lt;&gt;E1211,"Beam Revised","")</f>
        <v>#N/A</v>
      </c>
      <c r="V1211" s="7" t="e">
        <f>IF(VLOOKUP($A1211,'Concrete Beam Schedule'!$A$2:$Q$2902,V$2,0)&lt;&gt;F1211,"Beam Revised","")</f>
        <v>#N/A</v>
      </c>
      <c r="W1211" s="7" t="e">
        <f>IF(VLOOKUP($A1211,'Concrete Beam Schedule'!$A$2:$Q$2902,W$2,0)&lt;&gt;G1211,"Beam Revised","")</f>
        <v>#N/A</v>
      </c>
      <c r="X1211" s="7" t="e">
        <f>IF(VLOOKUP($A1211,'Concrete Beam Schedule'!$A$2:$Q$2902,X$2,0)&lt;&gt;H1211,"Beam Revised","")</f>
        <v>#N/A</v>
      </c>
      <c r="Y1211" s="7" t="e">
        <f>IF(VLOOKUP($A1211,'Concrete Beam Schedule'!$A$2:$Q$2902,Y$2,0)&lt;&gt;I1211,"Beam Revised","")</f>
        <v>#N/A</v>
      </c>
      <c r="Z1211" s="7" t="e">
        <f>IF(VLOOKUP($A1211,'Concrete Beam Schedule'!$A$2:$Q$2902,Z$2,0)&lt;&gt;J1211,"Beam Revised","")</f>
        <v>#N/A</v>
      </c>
      <c r="AA1211" s="7" t="e">
        <f>IF(VLOOKUP($A1211,'Concrete Beam Schedule'!$A$2:$Q$2902,AA$2,0)&lt;&gt;K1211,"Beam Revised","")</f>
        <v>#N/A</v>
      </c>
      <c r="AB1211" s="7" t="e">
        <f>IF(VLOOKUP($A1211,'Concrete Beam Schedule'!$A$2:$Q$2902,AB$2,0)&lt;&gt;L1211,"Beam Revised","")</f>
        <v>#N/A</v>
      </c>
      <c r="AC1211" s="7" t="e">
        <f>IF(VLOOKUP($A1211,'Concrete Beam Schedule'!$A$2:$Q$2902,AC$2,0)&lt;&gt;M1211,"Beam Revised","")</f>
        <v>#N/A</v>
      </c>
      <c r="AD1211" s="7" t="e">
        <f>IF(VLOOKUP($A1211,'Concrete Beam Schedule'!$A$2:$Q$2902,AD$2,0)&lt;&gt;N1211,"Beam Revised","")</f>
        <v>#N/A</v>
      </c>
      <c r="AE1211" s="7" t="e">
        <f>IF(VLOOKUP($A1211,'Concrete Beam Schedule'!$A$2:$Q$2902,AE$2,0)&lt;&gt;O1211,"Beam Revised","")</f>
        <v>#N/A</v>
      </c>
    </row>
    <row r="1212" spans="17:31" ht="13.2" x14ac:dyDescent="0.25">
      <c r="Q1212" s="7">
        <f t="shared" si="18"/>
        <v>0</v>
      </c>
      <c r="R1212" s="7" t="e">
        <f>IF(VLOOKUP($A1212,'Concrete Beam Schedule'!$A$2:$Q$2902,R$2,0)&lt;&gt;B1212,VLOOKUP($A1212,'Concrete Beam Schedule'!$A$2:$Q$2902,R$2,0),"")</f>
        <v>#N/A</v>
      </c>
      <c r="S1212" s="7" t="e">
        <f>IF(VLOOKUP($A1212,'Concrete Beam Schedule'!$A$2:$Q$2902,S$2,0)&lt;&gt;C1212,VLOOKUP($A1212,'Concrete Beam Schedule'!$A$2:$Q$2902,S$2,0),"")</f>
        <v>#N/A</v>
      </c>
      <c r="T1212" s="7" t="e">
        <f>IF(VLOOKUP($A1212,'Concrete Beam Schedule'!$A$2:$Q$2902,T$2,0)&lt;&gt;D1212,"Beam Revised","")</f>
        <v>#N/A</v>
      </c>
      <c r="U1212" s="7" t="e">
        <f>IF(VLOOKUP($A1212,'Concrete Beam Schedule'!$A$2:$Q$2902,U$2,0)&lt;&gt;E1212,"Beam Revised","")</f>
        <v>#N/A</v>
      </c>
      <c r="V1212" s="7" t="e">
        <f>IF(VLOOKUP($A1212,'Concrete Beam Schedule'!$A$2:$Q$2902,V$2,0)&lt;&gt;F1212,"Beam Revised","")</f>
        <v>#N/A</v>
      </c>
      <c r="W1212" s="7" t="e">
        <f>IF(VLOOKUP($A1212,'Concrete Beam Schedule'!$A$2:$Q$2902,W$2,0)&lt;&gt;G1212,"Beam Revised","")</f>
        <v>#N/A</v>
      </c>
      <c r="X1212" s="7" t="e">
        <f>IF(VLOOKUP($A1212,'Concrete Beam Schedule'!$A$2:$Q$2902,X$2,0)&lt;&gt;H1212,"Beam Revised","")</f>
        <v>#N/A</v>
      </c>
      <c r="Y1212" s="7" t="e">
        <f>IF(VLOOKUP($A1212,'Concrete Beam Schedule'!$A$2:$Q$2902,Y$2,0)&lt;&gt;I1212,"Beam Revised","")</f>
        <v>#N/A</v>
      </c>
      <c r="Z1212" s="7" t="e">
        <f>IF(VLOOKUP($A1212,'Concrete Beam Schedule'!$A$2:$Q$2902,Z$2,0)&lt;&gt;J1212,"Beam Revised","")</f>
        <v>#N/A</v>
      </c>
      <c r="AA1212" s="7" t="e">
        <f>IF(VLOOKUP($A1212,'Concrete Beam Schedule'!$A$2:$Q$2902,AA$2,0)&lt;&gt;K1212,"Beam Revised","")</f>
        <v>#N/A</v>
      </c>
      <c r="AB1212" s="7" t="e">
        <f>IF(VLOOKUP($A1212,'Concrete Beam Schedule'!$A$2:$Q$2902,AB$2,0)&lt;&gt;L1212,"Beam Revised","")</f>
        <v>#N/A</v>
      </c>
      <c r="AC1212" s="7" t="e">
        <f>IF(VLOOKUP($A1212,'Concrete Beam Schedule'!$A$2:$Q$2902,AC$2,0)&lt;&gt;M1212,"Beam Revised","")</f>
        <v>#N/A</v>
      </c>
      <c r="AD1212" s="7" t="e">
        <f>IF(VLOOKUP($A1212,'Concrete Beam Schedule'!$A$2:$Q$2902,AD$2,0)&lt;&gt;N1212,"Beam Revised","")</f>
        <v>#N/A</v>
      </c>
      <c r="AE1212" s="7" t="e">
        <f>IF(VLOOKUP($A1212,'Concrete Beam Schedule'!$A$2:$Q$2902,AE$2,0)&lt;&gt;O1212,"Beam Revised","")</f>
        <v>#N/A</v>
      </c>
    </row>
    <row r="1213" spans="17:31" ht="13.2" x14ac:dyDescent="0.25">
      <c r="Q1213" s="7">
        <f t="shared" si="18"/>
        <v>0</v>
      </c>
      <c r="R1213" s="7" t="e">
        <f>IF(VLOOKUP($A1213,'Concrete Beam Schedule'!$A$2:$Q$2902,R$2,0)&lt;&gt;B1213,VLOOKUP($A1213,'Concrete Beam Schedule'!$A$2:$Q$2902,R$2,0),"")</f>
        <v>#N/A</v>
      </c>
      <c r="S1213" s="7" t="e">
        <f>IF(VLOOKUP($A1213,'Concrete Beam Schedule'!$A$2:$Q$2902,S$2,0)&lt;&gt;C1213,VLOOKUP($A1213,'Concrete Beam Schedule'!$A$2:$Q$2902,S$2,0),"")</f>
        <v>#N/A</v>
      </c>
      <c r="T1213" s="7" t="e">
        <f>IF(VLOOKUP($A1213,'Concrete Beam Schedule'!$A$2:$Q$2902,T$2,0)&lt;&gt;D1213,"Beam Revised","")</f>
        <v>#N/A</v>
      </c>
      <c r="U1213" s="7" t="e">
        <f>IF(VLOOKUP($A1213,'Concrete Beam Schedule'!$A$2:$Q$2902,U$2,0)&lt;&gt;E1213,"Beam Revised","")</f>
        <v>#N/A</v>
      </c>
      <c r="V1213" s="7" t="e">
        <f>IF(VLOOKUP($A1213,'Concrete Beam Schedule'!$A$2:$Q$2902,V$2,0)&lt;&gt;F1213,"Beam Revised","")</f>
        <v>#N/A</v>
      </c>
      <c r="W1213" s="7" t="e">
        <f>IF(VLOOKUP($A1213,'Concrete Beam Schedule'!$A$2:$Q$2902,W$2,0)&lt;&gt;G1213,"Beam Revised","")</f>
        <v>#N/A</v>
      </c>
      <c r="X1213" s="7" t="e">
        <f>IF(VLOOKUP($A1213,'Concrete Beam Schedule'!$A$2:$Q$2902,X$2,0)&lt;&gt;H1213,"Beam Revised","")</f>
        <v>#N/A</v>
      </c>
      <c r="Y1213" s="7" t="e">
        <f>IF(VLOOKUP($A1213,'Concrete Beam Schedule'!$A$2:$Q$2902,Y$2,0)&lt;&gt;I1213,"Beam Revised","")</f>
        <v>#N/A</v>
      </c>
      <c r="Z1213" s="7" t="e">
        <f>IF(VLOOKUP($A1213,'Concrete Beam Schedule'!$A$2:$Q$2902,Z$2,0)&lt;&gt;J1213,"Beam Revised","")</f>
        <v>#N/A</v>
      </c>
      <c r="AA1213" s="7" t="e">
        <f>IF(VLOOKUP($A1213,'Concrete Beam Schedule'!$A$2:$Q$2902,AA$2,0)&lt;&gt;K1213,"Beam Revised","")</f>
        <v>#N/A</v>
      </c>
      <c r="AB1213" s="7" t="e">
        <f>IF(VLOOKUP($A1213,'Concrete Beam Schedule'!$A$2:$Q$2902,AB$2,0)&lt;&gt;L1213,"Beam Revised","")</f>
        <v>#N/A</v>
      </c>
      <c r="AC1213" s="7" t="e">
        <f>IF(VLOOKUP($A1213,'Concrete Beam Schedule'!$A$2:$Q$2902,AC$2,0)&lt;&gt;M1213,"Beam Revised","")</f>
        <v>#N/A</v>
      </c>
      <c r="AD1213" s="7" t="e">
        <f>IF(VLOOKUP($A1213,'Concrete Beam Schedule'!$A$2:$Q$2902,AD$2,0)&lt;&gt;N1213,"Beam Revised","")</f>
        <v>#N/A</v>
      </c>
      <c r="AE1213" s="7" t="e">
        <f>IF(VLOOKUP($A1213,'Concrete Beam Schedule'!$A$2:$Q$2902,AE$2,0)&lt;&gt;O1213,"Beam Revised","")</f>
        <v>#N/A</v>
      </c>
    </row>
    <row r="1214" spans="17:31" ht="13.2" x14ac:dyDescent="0.25">
      <c r="Q1214" s="7">
        <f t="shared" si="18"/>
        <v>0</v>
      </c>
      <c r="R1214" s="7" t="e">
        <f>IF(VLOOKUP($A1214,'Concrete Beam Schedule'!$A$2:$Q$2902,R$2,0)&lt;&gt;B1214,VLOOKUP($A1214,'Concrete Beam Schedule'!$A$2:$Q$2902,R$2,0),"")</f>
        <v>#N/A</v>
      </c>
      <c r="S1214" s="7" t="e">
        <f>IF(VLOOKUP($A1214,'Concrete Beam Schedule'!$A$2:$Q$2902,S$2,0)&lt;&gt;C1214,VLOOKUP($A1214,'Concrete Beam Schedule'!$A$2:$Q$2902,S$2,0),"")</f>
        <v>#N/A</v>
      </c>
      <c r="T1214" s="7" t="e">
        <f>IF(VLOOKUP($A1214,'Concrete Beam Schedule'!$A$2:$Q$2902,T$2,0)&lt;&gt;D1214,"Beam Revised","")</f>
        <v>#N/A</v>
      </c>
      <c r="U1214" s="7" t="e">
        <f>IF(VLOOKUP($A1214,'Concrete Beam Schedule'!$A$2:$Q$2902,U$2,0)&lt;&gt;E1214,"Beam Revised","")</f>
        <v>#N/A</v>
      </c>
      <c r="V1214" s="7" t="e">
        <f>IF(VLOOKUP($A1214,'Concrete Beam Schedule'!$A$2:$Q$2902,V$2,0)&lt;&gt;F1214,"Beam Revised","")</f>
        <v>#N/A</v>
      </c>
      <c r="W1214" s="7" t="e">
        <f>IF(VLOOKUP($A1214,'Concrete Beam Schedule'!$A$2:$Q$2902,W$2,0)&lt;&gt;G1214,"Beam Revised","")</f>
        <v>#N/A</v>
      </c>
      <c r="X1214" s="7" t="e">
        <f>IF(VLOOKUP($A1214,'Concrete Beam Schedule'!$A$2:$Q$2902,X$2,0)&lt;&gt;H1214,"Beam Revised","")</f>
        <v>#N/A</v>
      </c>
      <c r="Y1214" s="7" t="e">
        <f>IF(VLOOKUP($A1214,'Concrete Beam Schedule'!$A$2:$Q$2902,Y$2,0)&lt;&gt;I1214,"Beam Revised","")</f>
        <v>#N/A</v>
      </c>
      <c r="Z1214" s="7" t="e">
        <f>IF(VLOOKUP($A1214,'Concrete Beam Schedule'!$A$2:$Q$2902,Z$2,0)&lt;&gt;J1214,"Beam Revised","")</f>
        <v>#N/A</v>
      </c>
      <c r="AA1214" s="7" t="e">
        <f>IF(VLOOKUP($A1214,'Concrete Beam Schedule'!$A$2:$Q$2902,AA$2,0)&lt;&gt;K1214,"Beam Revised","")</f>
        <v>#N/A</v>
      </c>
      <c r="AB1214" s="7" t="e">
        <f>IF(VLOOKUP($A1214,'Concrete Beam Schedule'!$A$2:$Q$2902,AB$2,0)&lt;&gt;L1214,"Beam Revised","")</f>
        <v>#N/A</v>
      </c>
      <c r="AC1214" s="7" t="e">
        <f>IF(VLOOKUP($A1214,'Concrete Beam Schedule'!$A$2:$Q$2902,AC$2,0)&lt;&gt;M1214,"Beam Revised","")</f>
        <v>#N/A</v>
      </c>
      <c r="AD1214" s="7" t="e">
        <f>IF(VLOOKUP($A1214,'Concrete Beam Schedule'!$A$2:$Q$2902,AD$2,0)&lt;&gt;N1214,"Beam Revised","")</f>
        <v>#N/A</v>
      </c>
      <c r="AE1214" s="7" t="e">
        <f>IF(VLOOKUP($A1214,'Concrete Beam Schedule'!$A$2:$Q$2902,AE$2,0)&lt;&gt;O1214,"Beam Revised","")</f>
        <v>#N/A</v>
      </c>
    </row>
    <row r="1215" spans="17:31" ht="13.2" x14ac:dyDescent="0.25">
      <c r="Q1215" s="7">
        <f t="shared" si="18"/>
        <v>0</v>
      </c>
      <c r="R1215" s="7" t="e">
        <f>IF(VLOOKUP($A1215,'Concrete Beam Schedule'!$A$2:$Q$2902,R$2,0)&lt;&gt;B1215,VLOOKUP($A1215,'Concrete Beam Schedule'!$A$2:$Q$2902,R$2,0),"")</f>
        <v>#N/A</v>
      </c>
      <c r="S1215" s="7" t="e">
        <f>IF(VLOOKUP($A1215,'Concrete Beam Schedule'!$A$2:$Q$2902,S$2,0)&lt;&gt;C1215,VLOOKUP($A1215,'Concrete Beam Schedule'!$A$2:$Q$2902,S$2,0),"")</f>
        <v>#N/A</v>
      </c>
      <c r="T1215" s="7" t="e">
        <f>IF(VLOOKUP($A1215,'Concrete Beam Schedule'!$A$2:$Q$2902,T$2,0)&lt;&gt;D1215,"Beam Revised","")</f>
        <v>#N/A</v>
      </c>
      <c r="U1215" s="7" t="e">
        <f>IF(VLOOKUP($A1215,'Concrete Beam Schedule'!$A$2:$Q$2902,U$2,0)&lt;&gt;E1215,"Beam Revised","")</f>
        <v>#N/A</v>
      </c>
      <c r="V1215" s="7" t="e">
        <f>IF(VLOOKUP($A1215,'Concrete Beam Schedule'!$A$2:$Q$2902,V$2,0)&lt;&gt;F1215,"Beam Revised","")</f>
        <v>#N/A</v>
      </c>
      <c r="W1215" s="7" t="e">
        <f>IF(VLOOKUP($A1215,'Concrete Beam Schedule'!$A$2:$Q$2902,W$2,0)&lt;&gt;G1215,"Beam Revised","")</f>
        <v>#N/A</v>
      </c>
      <c r="X1215" s="7" t="e">
        <f>IF(VLOOKUP($A1215,'Concrete Beam Schedule'!$A$2:$Q$2902,X$2,0)&lt;&gt;H1215,"Beam Revised","")</f>
        <v>#N/A</v>
      </c>
      <c r="Y1215" s="7" t="e">
        <f>IF(VLOOKUP($A1215,'Concrete Beam Schedule'!$A$2:$Q$2902,Y$2,0)&lt;&gt;I1215,"Beam Revised","")</f>
        <v>#N/A</v>
      </c>
      <c r="Z1215" s="7" t="e">
        <f>IF(VLOOKUP($A1215,'Concrete Beam Schedule'!$A$2:$Q$2902,Z$2,0)&lt;&gt;J1215,"Beam Revised","")</f>
        <v>#N/A</v>
      </c>
      <c r="AA1215" s="7" t="e">
        <f>IF(VLOOKUP($A1215,'Concrete Beam Schedule'!$A$2:$Q$2902,AA$2,0)&lt;&gt;K1215,"Beam Revised","")</f>
        <v>#N/A</v>
      </c>
      <c r="AB1215" s="7" t="e">
        <f>IF(VLOOKUP($A1215,'Concrete Beam Schedule'!$A$2:$Q$2902,AB$2,0)&lt;&gt;L1215,"Beam Revised","")</f>
        <v>#N/A</v>
      </c>
      <c r="AC1215" s="7" t="e">
        <f>IF(VLOOKUP($A1215,'Concrete Beam Schedule'!$A$2:$Q$2902,AC$2,0)&lt;&gt;M1215,"Beam Revised","")</f>
        <v>#N/A</v>
      </c>
      <c r="AD1215" s="7" t="e">
        <f>IF(VLOOKUP($A1215,'Concrete Beam Schedule'!$A$2:$Q$2902,AD$2,0)&lt;&gt;N1215,"Beam Revised","")</f>
        <v>#N/A</v>
      </c>
      <c r="AE1215" s="7" t="e">
        <f>IF(VLOOKUP($A1215,'Concrete Beam Schedule'!$A$2:$Q$2902,AE$2,0)&lt;&gt;O1215,"Beam Revised","")</f>
        <v>#N/A</v>
      </c>
    </row>
    <row r="1216" spans="17:31" ht="13.2" x14ac:dyDescent="0.25">
      <c r="Q1216" s="7">
        <f t="shared" si="18"/>
        <v>0</v>
      </c>
      <c r="R1216" s="7" t="e">
        <f>IF(VLOOKUP($A1216,'Concrete Beam Schedule'!$A$2:$Q$2902,R$2,0)&lt;&gt;B1216,VLOOKUP($A1216,'Concrete Beam Schedule'!$A$2:$Q$2902,R$2,0),"")</f>
        <v>#N/A</v>
      </c>
      <c r="S1216" s="7" t="e">
        <f>IF(VLOOKUP($A1216,'Concrete Beam Schedule'!$A$2:$Q$2902,S$2,0)&lt;&gt;C1216,VLOOKUP($A1216,'Concrete Beam Schedule'!$A$2:$Q$2902,S$2,0),"")</f>
        <v>#N/A</v>
      </c>
      <c r="T1216" s="7" t="e">
        <f>IF(VLOOKUP($A1216,'Concrete Beam Schedule'!$A$2:$Q$2902,T$2,0)&lt;&gt;D1216,"Beam Revised","")</f>
        <v>#N/A</v>
      </c>
      <c r="U1216" s="7" t="e">
        <f>IF(VLOOKUP($A1216,'Concrete Beam Schedule'!$A$2:$Q$2902,U$2,0)&lt;&gt;E1216,"Beam Revised","")</f>
        <v>#N/A</v>
      </c>
      <c r="V1216" s="7" t="e">
        <f>IF(VLOOKUP($A1216,'Concrete Beam Schedule'!$A$2:$Q$2902,V$2,0)&lt;&gt;F1216,"Beam Revised","")</f>
        <v>#N/A</v>
      </c>
      <c r="W1216" s="7" t="e">
        <f>IF(VLOOKUP($A1216,'Concrete Beam Schedule'!$A$2:$Q$2902,W$2,0)&lt;&gt;G1216,"Beam Revised","")</f>
        <v>#N/A</v>
      </c>
      <c r="X1216" s="7" t="e">
        <f>IF(VLOOKUP($A1216,'Concrete Beam Schedule'!$A$2:$Q$2902,X$2,0)&lt;&gt;H1216,"Beam Revised","")</f>
        <v>#N/A</v>
      </c>
      <c r="Y1216" s="7" t="e">
        <f>IF(VLOOKUP($A1216,'Concrete Beam Schedule'!$A$2:$Q$2902,Y$2,0)&lt;&gt;I1216,"Beam Revised","")</f>
        <v>#N/A</v>
      </c>
      <c r="Z1216" s="7" t="e">
        <f>IF(VLOOKUP($A1216,'Concrete Beam Schedule'!$A$2:$Q$2902,Z$2,0)&lt;&gt;J1216,"Beam Revised","")</f>
        <v>#N/A</v>
      </c>
      <c r="AA1216" s="7" t="e">
        <f>IF(VLOOKUP($A1216,'Concrete Beam Schedule'!$A$2:$Q$2902,AA$2,0)&lt;&gt;K1216,"Beam Revised","")</f>
        <v>#N/A</v>
      </c>
      <c r="AB1216" s="7" t="e">
        <f>IF(VLOOKUP($A1216,'Concrete Beam Schedule'!$A$2:$Q$2902,AB$2,0)&lt;&gt;L1216,"Beam Revised","")</f>
        <v>#N/A</v>
      </c>
      <c r="AC1216" s="7" t="e">
        <f>IF(VLOOKUP($A1216,'Concrete Beam Schedule'!$A$2:$Q$2902,AC$2,0)&lt;&gt;M1216,"Beam Revised","")</f>
        <v>#N/A</v>
      </c>
      <c r="AD1216" s="7" t="e">
        <f>IF(VLOOKUP($A1216,'Concrete Beam Schedule'!$A$2:$Q$2902,AD$2,0)&lt;&gt;N1216,"Beam Revised","")</f>
        <v>#N/A</v>
      </c>
      <c r="AE1216" s="7" t="e">
        <f>IF(VLOOKUP($A1216,'Concrete Beam Schedule'!$A$2:$Q$2902,AE$2,0)&lt;&gt;O1216,"Beam Revised","")</f>
        <v>#N/A</v>
      </c>
    </row>
    <row r="1217" spans="17:31" ht="13.2" x14ac:dyDescent="0.25">
      <c r="Q1217" s="7">
        <f t="shared" si="18"/>
        <v>0</v>
      </c>
      <c r="R1217" s="7" t="e">
        <f>IF(VLOOKUP($A1217,'Concrete Beam Schedule'!$A$2:$Q$2902,R$2,0)&lt;&gt;B1217,VLOOKUP($A1217,'Concrete Beam Schedule'!$A$2:$Q$2902,R$2,0),"")</f>
        <v>#N/A</v>
      </c>
      <c r="S1217" s="7" t="e">
        <f>IF(VLOOKUP($A1217,'Concrete Beam Schedule'!$A$2:$Q$2902,S$2,0)&lt;&gt;C1217,VLOOKUP($A1217,'Concrete Beam Schedule'!$A$2:$Q$2902,S$2,0),"")</f>
        <v>#N/A</v>
      </c>
      <c r="T1217" s="7" t="e">
        <f>IF(VLOOKUP($A1217,'Concrete Beam Schedule'!$A$2:$Q$2902,T$2,0)&lt;&gt;D1217,"Beam Revised","")</f>
        <v>#N/A</v>
      </c>
      <c r="U1217" s="7" t="e">
        <f>IF(VLOOKUP($A1217,'Concrete Beam Schedule'!$A$2:$Q$2902,U$2,0)&lt;&gt;E1217,"Beam Revised","")</f>
        <v>#N/A</v>
      </c>
      <c r="V1217" s="7" t="e">
        <f>IF(VLOOKUP($A1217,'Concrete Beam Schedule'!$A$2:$Q$2902,V$2,0)&lt;&gt;F1217,"Beam Revised","")</f>
        <v>#N/A</v>
      </c>
      <c r="W1217" s="7" t="e">
        <f>IF(VLOOKUP($A1217,'Concrete Beam Schedule'!$A$2:$Q$2902,W$2,0)&lt;&gt;G1217,"Beam Revised","")</f>
        <v>#N/A</v>
      </c>
      <c r="X1217" s="7" t="e">
        <f>IF(VLOOKUP($A1217,'Concrete Beam Schedule'!$A$2:$Q$2902,X$2,0)&lt;&gt;H1217,"Beam Revised","")</f>
        <v>#N/A</v>
      </c>
      <c r="Y1217" s="7" t="e">
        <f>IF(VLOOKUP($A1217,'Concrete Beam Schedule'!$A$2:$Q$2902,Y$2,0)&lt;&gt;I1217,"Beam Revised","")</f>
        <v>#N/A</v>
      </c>
      <c r="Z1217" s="7" t="e">
        <f>IF(VLOOKUP($A1217,'Concrete Beam Schedule'!$A$2:$Q$2902,Z$2,0)&lt;&gt;J1217,"Beam Revised","")</f>
        <v>#N/A</v>
      </c>
      <c r="AA1217" s="7" t="e">
        <f>IF(VLOOKUP($A1217,'Concrete Beam Schedule'!$A$2:$Q$2902,AA$2,0)&lt;&gt;K1217,"Beam Revised","")</f>
        <v>#N/A</v>
      </c>
      <c r="AB1217" s="7" t="e">
        <f>IF(VLOOKUP($A1217,'Concrete Beam Schedule'!$A$2:$Q$2902,AB$2,0)&lt;&gt;L1217,"Beam Revised","")</f>
        <v>#N/A</v>
      </c>
      <c r="AC1217" s="7" t="e">
        <f>IF(VLOOKUP($A1217,'Concrete Beam Schedule'!$A$2:$Q$2902,AC$2,0)&lt;&gt;M1217,"Beam Revised","")</f>
        <v>#N/A</v>
      </c>
      <c r="AD1217" s="7" t="e">
        <f>IF(VLOOKUP($A1217,'Concrete Beam Schedule'!$A$2:$Q$2902,AD$2,0)&lt;&gt;N1217,"Beam Revised","")</f>
        <v>#N/A</v>
      </c>
      <c r="AE1217" s="7" t="e">
        <f>IF(VLOOKUP($A1217,'Concrete Beam Schedule'!$A$2:$Q$2902,AE$2,0)&lt;&gt;O1217,"Beam Revised","")</f>
        <v>#N/A</v>
      </c>
    </row>
    <row r="1218" spans="17:31" ht="13.2" x14ac:dyDescent="0.25">
      <c r="Q1218" s="7">
        <f t="shared" si="18"/>
        <v>0</v>
      </c>
      <c r="R1218" s="7" t="e">
        <f>IF(VLOOKUP($A1218,'Concrete Beam Schedule'!$A$2:$Q$2902,R$2,0)&lt;&gt;B1218,VLOOKUP($A1218,'Concrete Beam Schedule'!$A$2:$Q$2902,R$2,0),"")</f>
        <v>#N/A</v>
      </c>
      <c r="S1218" s="7" t="e">
        <f>IF(VLOOKUP($A1218,'Concrete Beam Schedule'!$A$2:$Q$2902,S$2,0)&lt;&gt;C1218,VLOOKUP($A1218,'Concrete Beam Schedule'!$A$2:$Q$2902,S$2,0),"")</f>
        <v>#N/A</v>
      </c>
      <c r="T1218" s="7" t="e">
        <f>IF(VLOOKUP($A1218,'Concrete Beam Schedule'!$A$2:$Q$2902,T$2,0)&lt;&gt;D1218,"Beam Revised","")</f>
        <v>#N/A</v>
      </c>
      <c r="U1218" s="7" t="e">
        <f>IF(VLOOKUP($A1218,'Concrete Beam Schedule'!$A$2:$Q$2902,U$2,0)&lt;&gt;E1218,"Beam Revised","")</f>
        <v>#N/A</v>
      </c>
      <c r="V1218" s="7" t="e">
        <f>IF(VLOOKUP($A1218,'Concrete Beam Schedule'!$A$2:$Q$2902,V$2,0)&lt;&gt;F1218,"Beam Revised","")</f>
        <v>#N/A</v>
      </c>
      <c r="W1218" s="7" t="e">
        <f>IF(VLOOKUP($A1218,'Concrete Beam Schedule'!$A$2:$Q$2902,W$2,0)&lt;&gt;G1218,"Beam Revised","")</f>
        <v>#N/A</v>
      </c>
      <c r="X1218" s="7" t="e">
        <f>IF(VLOOKUP($A1218,'Concrete Beam Schedule'!$A$2:$Q$2902,X$2,0)&lt;&gt;H1218,"Beam Revised","")</f>
        <v>#N/A</v>
      </c>
      <c r="Y1218" s="7" t="e">
        <f>IF(VLOOKUP($A1218,'Concrete Beam Schedule'!$A$2:$Q$2902,Y$2,0)&lt;&gt;I1218,"Beam Revised","")</f>
        <v>#N/A</v>
      </c>
      <c r="Z1218" s="7" t="e">
        <f>IF(VLOOKUP($A1218,'Concrete Beam Schedule'!$A$2:$Q$2902,Z$2,0)&lt;&gt;J1218,"Beam Revised","")</f>
        <v>#N/A</v>
      </c>
      <c r="AA1218" s="7" t="e">
        <f>IF(VLOOKUP($A1218,'Concrete Beam Schedule'!$A$2:$Q$2902,AA$2,0)&lt;&gt;K1218,"Beam Revised","")</f>
        <v>#N/A</v>
      </c>
      <c r="AB1218" s="7" t="e">
        <f>IF(VLOOKUP($A1218,'Concrete Beam Schedule'!$A$2:$Q$2902,AB$2,0)&lt;&gt;L1218,"Beam Revised","")</f>
        <v>#N/A</v>
      </c>
      <c r="AC1218" s="7" t="e">
        <f>IF(VLOOKUP($A1218,'Concrete Beam Schedule'!$A$2:$Q$2902,AC$2,0)&lt;&gt;M1218,"Beam Revised","")</f>
        <v>#N/A</v>
      </c>
      <c r="AD1218" s="7" t="e">
        <f>IF(VLOOKUP($A1218,'Concrete Beam Schedule'!$A$2:$Q$2902,AD$2,0)&lt;&gt;N1218,"Beam Revised","")</f>
        <v>#N/A</v>
      </c>
      <c r="AE1218" s="7" t="e">
        <f>IF(VLOOKUP($A1218,'Concrete Beam Schedule'!$A$2:$Q$2902,AE$2,0)&lt;&gt;O1218,"Beam Revised","")</f>
        <v>#N/A</v>
      </c>
    </row>
    <row r="1219" spans="17:31" ht="13.2" x14ac:dyDescent="0.25">
      <c r="Q1219" s="7">
        <f t="shared" si="18"/>
        <v>0</v>
      </c>
      <c r="R1219" s="7" t="e">
        <f>IF(VLOOKUP($A1219,'Concrete Beam Schedule'!$A$2:$Q$2902,R$2,0)&lt;&gt;B1219,VLOOKUP($A1219,'Concrete Beam Schedule'!$A$2:$Q$2902,R$2,0),"")</f>
        <v>#N/A</v>
      </c>
      <c r="S1219" s="7" t="e">
        <f>IF(VLOOKUP($A1219,'Concrete Beam Schedule'!$A$2:$Q$2902,S$2,0)&lt;&gt;C1219,VLOOKUP($A1219,'Concrete Beam Schedule'!$A$2:$Q$2902,S$2,0),"")</f>
        <v>#N/A</v>
      </c>
      <c r="T1219" s="7" t="e">
        <f>IF(VLOOKUP($A1219,'Concrete Beam Schedule'!$A$2:$Q$2902,T$2,0)&lt;&gt;D1219,"Beam Revised","")</f>
        <v>#N/A</v>
      </c>
      <c r="U1219" s="7" t="e">
        <f>IF(VLOOKUP($A1219,'Concrete Beam Schedule'!$A$2:$Q$2902,U$2,0)&lt;&gt;E1219,"Beam Revised","")</f>
        <v>#N/A</v>
      </c>
      <c r="V1219" s="7" t="e">
        <f>IF(VLOOKUP($A1219,'Concrete Beam Schedule'!$A$2:$Q$2902,V$2,0)&lt;&gt;F1219,"Beam Revised","")</f>
        <v>#N/A</v>
      </c>
      <c r="W1219" s="7" t="e">
        <f>IF(VLOOKUP($A1219,'Concrete Beam Schedule'!$A$2:$Q$2902,W$2,0)&lt;&gt;G1219,"Beam Revised","")</f>
        <v>#N/A</v>
      </c>
      <c r="X1219" s="7" t="e">
        <f>IF(VLOOKUP($A1219,'Concrete Beam Schedule'!$A$2:$Q$2902,X$2,0)&lt;&gt;H1219,"Beam Revised","")</f>
        <v>#N/A</v>
      </c>
      <c r="Y1219" s="7" t="e">
        <f>IF(VLOOKUP($A1219,'Concrete Beam Schedule'!$A$2:$Q$2902,Y$2,0)&lt;&gt;I1219,"Beam Revised","")</f>
        <v>#N/A</v>
      </c>
      <c r="Z1219" s="7" t="e">
        <f>IF(VLOOKUP($A1219,'Concrete Beam Schedule'!$A$2:$Q$2902,Z$2,0)&lt;&gt;J1219,"Beam Revised","")</f>
        <v>#N/A</v>
      </c>
      <c r="AA1219" s="7" t="e">
        <f>IF(VLOOKUP($A1219,'Concrete Beam Schedule'!$A$2:$Q$2902,AA$2,0)&lt;&gt;K1219,"Beam Revised","")</f>
        <v>#N/A</v>
      </c>
      <c r="AB1219" s="7" t="e">
        <f>IF(VLOOKUP($A1219,'Concrete Beam Schedule'!$A$2:$Q$2902,AB$2,0)&lt;&gt;L1219,"Beam Revised","")</f>
        <v>#N/A</v>
      </c>
      <c r="AC1219" s="7" t="e">
        <f>IF(VLOOKUP($A1219,'Concrete Beam Schedule'!$A$2:$Q$2902,AC$2,0)&lt;&gt;M1219,"Beam Revised","")</f>
        <v>#N/A</v>
      </c>
      <c r="AD1219" s="7" t="e">
        <f>IF(VLOOKUP($A1219,'Concrete Beam Schedule'!$A$2:$Q$2902,AD$2,0)&lt;&gt;N1219,"Beam Revised","")</f>
        <v>#N/A</v>
      </c>
      <c r="AE1219" s="7" t="e">
        <f>IF(VLOOKUP($A1219,'Concrete Beam Schedule'!$A$2:$Q$2902,AE$2,0)&lt;&gt;O1219,"Beam Revised","")</f>
        <v>#N/A</v>
      </c>
    </row>
    <row r="1220" spans="17:31" ht="13.2" x14ac:dyDescent="0.25">
      <c r="Q1220" s="7">
        <f t="shared" ref="Q1220:Q1283" si="19">A1220</f>
        <v>0</v>
      </c>
      <c r="R1220" s="7" t="e">
        <f>IF(VLOOKUP($A1220,'Concrete Beam Schedule'!$A$2:$Q$2902,R$2,0)&lt;&gt;B1220,VLOOKUP($A1220,'Concrete Beam Schedule'!$A$2:$Q$2902,R$2,0),"")</f>
        <v>#N/A</v>
      </c>
      <c r="S1220" s="7" t="e">
        <f>IF(VLOOKUP($A1220,'Concrete Beam Schedule'!$A$2:$Q$2902,S$2,0)&lt;&gt;C1220,VLOOKUP($A1220,'Concrete Beam Schedule'!$A$2:$Q$2902,S$2,0),"")</f>
        <v>#N/A</v>
      </c>
      <c r="T1220" s="7" t="e">
        <f>IF(VLOOKUP($A1220,'Concrete Beam Schedule'!$A$2:$Q$2902,T$2,0)&lt;&gt;D1220,"Beam Revised","")</f>
        <v>#N/A</v>
      </c>
      <c r="U1220" s="7" t="e">
        <f>IF(VLOOKUP($A1220,'Concrete Beam Schedule'!$A$2:$Q$2902,U$2,0)&lt;&gt;E1220,"Beam Revised","")</f>
        <v>#N/A</v>
      </c>
      <c r="V1220" s="7" t="e">
        <f>IF(VLOOKUP($A1220,'Concrete Beam Schedule'!$A$2:$Q$2902,V$2,0)&lt;&gt;F1220,"Beam Revised","")</f>
        <v>#N/A</v>
      </c>
      <c r="W1220" s="7" t="e">
        <f>IF(VLOOKUP($A1220,'Concrete Beam Schedule'!$A$2:$Q$2902,W$2,0)&lt;&gt;G1220,"Beam Revised","")</f>
        <v>#N/A</v>
      </c>
      <c r="X1220" s="7" t="e">
        <f>IF(VLOOKUP($A1220,'Concrete Beam Schedule'!$A$2:$Q$2902,X$2,0)&lt;&gt;H1220,"Beam Revised","")</f>
        <v>#N/A</v>
      </c>
      <c r="Y1220" s="7" t="e">
        <f>IF(VLOOKUP($A1220,'Concrete Beam Schedule'!$A$2:$Q$2902,Y$2,0)&lt;&gt;I1220,"Beam Revised","")</f>
        <v>#N/A</v>
      </c>
      <c r="Z1220" s="7" t="e">
        <f>IF(VLOOKUP($A1220,'Concrete Beam Schedule'!$A$2:$Q$2902,Z$2,0)&lt;&gt;J1220,"Beam Revised","")</f>
        <v>#N/A</v>
      </c>
      <c r="AA1220" s="7" t="e">
        <f>IF(VLOOKUP($A1220,'Concrete Beam Schedule'!$A$2:$Q$2902,AA$2,0)&lt;&gt;K1220,"Beam Revised","")</f>
        <v>#N/A</v>
      </c>
      <c r="AB1220" s="7" t="e">
        <f>IF(VLOOKUP($A1220,'Concrete Beam Schedule'!$A$2:$Q$2902,AB$2,0)&lt;&gt;L1220,"Beam Revised","")</f>
        <v>#N/A</v>
      </c>
      <c r="AC1220" s="7" t="e">
        <f>IF(VLOOKUP($A1220,'Concrete Beam Schedule'!$A$2:$Q$2902,AC$2,0)&lt;&gt;M1220,"Beam Revised","")</f>
        <v>#N/A</v>
      </c>
      <c r="AD1220" s="7" t="e">
        <f>IF(VLOOKUP($A1220,'Concrete Beam Schedule'!$A$2:$Q$2902,AD$2,0)&lt;&gt;N1220,"Beam Revised","")</f>
        <v>#N/A</v>
      </c>
      <c r="AE1220" s="7" t="e">
        <f>IF(VLOOKUP($A1220,'Concrete Beam Schedule'!$A$2:$Q$2902,AE$2,0)&lt;&gt;O1220,"Beam Revised","")</f>
        <v>#N/A</v>
      </c>
    </row>
    <row r="1221" spans="17:31" ht="13.2" x14ac:dyDescent="0.25">
      <c r="Q1221" s="7">
        <f t="shared" si="19"/>
        <v>0</v>
      </c>
      <c r="R1221" s="7" t="e">
        <f>IF(VLOOKUP($A1221,'Concrete Beam Schedule'!$A$2:$Q$2902,R$2,0)&lt;&gt;B1221,VLOOKUP($A1221,'Concrete Beam Schedule'!$A$2:$Q$2902,R$2,0),"")</f>
        <v>#N/A</v>
      </c>
      <c r="S1221" s="7" t="e">
        <f>IF(VLOOKUP($A1221,'Concrete Beam Schedule'!$A$2:$Q$2902,S$2,0)&lt;&gt;C1221,VLOOKUP($A1221,'Concrete Beam Schedule'!$A$2:$Q$2902,S$2,0),"")</f>
        <v>#N/A</v>
      </c>
      <c r="T1221" s="7" t="e">
        <f>IF(VLOOKUP($A1221,'Concrete Beam Schedule'!$A$2:$Q$2902,T$2,0)&lt;&gt;D1221,"Beam Revised","")</f>
        <v>#N/A</v>
      </c>
      <c r="U1221" s="7" t="e">
        <f>IF(VLOOKUP($A1221,'Concrete Beam Schedule'!$A$2:$Q$2902,U$2,0)&lt;&gt;E1221,"Beam Revised","")</f>
        <v>#N/A</v>
      </c>
      <c r="V1221" s="7" t="e">
        <f>IF(VLOOKUP($A1221,'Concrete Beam Schedule'!$A$2:$Q$2902,V$2,0)&lt;&gt;F1221,"Beam Revised","")</f>
        <v>#N/A</v>
      </c>
      <c r="W1221" s="7" t="e">
        <f>IF(VLOOKUP($A1221,'Concrete Beam Schedule'!$A$2:$Q$2902,W$2,0)&lt;&gt;G1221,"Beam Revised","")</f>
        <v>#N/A</v>
      </c>
      <c r="X1221" s="7" t="e">
        <f>IF(VLOOKUP($A1221,'Concrete Beam Schedule'!$A$2:$Q$2902,X$2,0)&lt;&gt;H1221,"Beam Revised","")</f>
        <v>#N/A</v>
      </c>
      <c r="Y1221" s="7" t="e">
        <f>IF(VLOOKUP($A1221,'Concrete Beam Schedule'!$A$2:$Q$2902,Y$2,0)&lt;&gt;I1221,"Beam Revised","")</f>
        <v>#N/A</v>
      </c>
      <c r="Z1221" s="7" t="e">
        <f>IF(VLOOKUP($A1221,'Concrete Beam Schedule'!$A$2:$Q$2902,Z$2,0)&lt;&gt;J1221,"Beam Revised","")</f>
        <v>#N/A</v>
      </c>
      <c r="AA1221" s="7" t="e">
        <f>IF(VLOOKUP($A1221,'Concrete Beam Schedule'!$A$2:$Q$2902,AA$2,0)&lt;&gt;K1221,"Beam Revised","")</f>
        <v>#N/A</v>
      </c>
      <c r="AB1221" s="7" t="e">
        <f>IF(VLOOKUP($A1221,'Concrete Beam Schedule'!$A$2:$Q$2902,AB$2,0)&lt;&gt;L1221,"Beam Revised","")</f>
        <v>#N/A</v>
      </c>
      <c r="AC1221" s="7" t="e">
        <f>IF(VLOOKUP($A1221,'Concrete Beam Schedule'!$A$2:$Q$2902,AC$2,0)&lt;&gt;M1221,"Beam Revised","")</f>
        <v>#N/A</v>
      </c>
      <c r="AD1221" s="7" t="e">
        <f>IF(VLOOKUP($A1221,'Concrete Beam Schedule'!$A$2:$Q$2902,AD$2,0)&lt;&gt;N1221,"Beam Revised","")</f>
        <v>#N/A</v>
      </c>
      <c r="AE1221" s="7" t="e">
        <f>IF(VLOOKUP($A1221,'Concrete Beam Schedule'!$A$2:$Q$2902,AE$2,0)&lt;&gt;O1221,"Beam Revised","")</f>
        <v>#N/A</v>
      </c>
    </row>
    <row r="1222" spans="17:31" ht="13.2" x14ac:dyDescent="0.25">
      <c r="Q1222" s="7">
        <f t="shared" si="19"/>
        <v>0</v>
      </c>
      <c r="R1222" s="7" t="e">
        <f>IF(VLOOKUP($A1222,'Concrete Beam Schedule'!$A$2:$Q$2902,R$2,0)&lt;&gt;B1222,VLOOKUP($A1222,'Concrete Beam Schedule'!$A$2:$Q$2902,R$2,0),"")</f>
        <v>#N/A</v>
      </c>
      <c r="S1222" s="7" t="e">
        <f>IF(VLOOKUP($A1222,'Concrete Beam Schedule'!$A$2:$Q$2902,S$2,0)&lt;&gt;C1222,VLOOKUP($A1222,'Concrete Beam Schedule'!$A$2:$Q$2902,S$2,0),"")</f>
        <v>#N/A</v>
      </c>
      <c r="T1222" s="7" t="e">
        <f>IF(VLOOKUP($A1222,'Concrete Beam Schedule'!$A$2:$Q$2902,T$2,0)&lt;&gt;D1222,"Beam Revised","")</f>
        <v>#N/A</v>
      </c>
      <c r="U1222" s="7" t="e">
        <f>IF(VLOOKUP($A1222,'Concrete Beam Schedule'!$A$2:$Q$2902,U$2,0)&lt;&gt;E1222,"Beam Revised","")</f>
        <v>#N/A</v>
      </c>
      <c r="V1222" s="7" t="e">
        <f>IF(VLOOKUP($A1222,'Concrete Beam Schedule'!$A$2:$Q$2902,V$2,0)&lt;&gt;F1222,"Beam Revised","")</f>
        <v>#N/A</v>
      </c>
      <c r="W1222" s="7" t="e">
        <f>IF(VLOOKUP($A1222,'Concrete Beam Schedule'!$A$2:$Q$2902,W$2,0)&lt;&gt;G1222,"Beam Revised","")</f>
        <v>#N/A</v>
      </c>
      <c r="X1222" s="7" t="e">
        <f>IF(VLOOKUP($A1222,'Concrete Beam Schedule'!$A$2:$Q$2902,X$2,0)&lt;&gt;H1222,"Beam Revised","")</f>
        <v>#N/A</v>
      </c>
      <c r="Y1222" s="7" t="e">
        <f>IF(VLOOKUP($A1222,'Concrete Beam Schedule'!$A$2:$Q$2902,Y$2,0)&lt;&gt;I1222,"Beam Revised","")</f>
        <v>#N/A</v>
      </c>
      <c r="Z1222" s="7" t="e">
        <f>IF(VLOOKUP($A1222,'Concrete Beam Schedule'!$A$2:$Q$2902,Z$2,0)&lt;&gt;J1222,"Beam Revised","")</f>
        <v>#N/A</v>
      </c>
      <c r="AA1222" s="7" t="e">
        <f>IF(VLOOKUP($A1222,'Concrete Beam Schedule'!$A$2:$Q$2902,AA$2,0)&lt;&gt;K1222,"Beam Revised","")</f>
        <v>#N/A</v>
      </c>
      <c r="AB1222" s="7" t="e">
        <f>IF(VLOOKUP($A1222,'Concrete Beam Schedule'!$A$2:$Q$2902,AB$2,0)&lt;&gt;L1222,"Beam Revised","")</f>
        <v>#N/A</v>
      </c>
      <c r="AC1222" s="7" t="e">
        <f>IF(VLOOKUP($A1222,'Concrete Beam Schedule'!$A$2:$Q$2902,AC$2,0)&lt;&gt;M1222,"Beam Revised","")</f>
        <v>#N/A</v>
      </c>
      <c r="AD1222" s="7" t="e">
        <f>IF(VLOOKUP($A1222,'Concrete Beam Schedule'!$A$2:$Q$2902,AD$2,0)&lt;&gt;N1222,"Beam Revised","")</f>
        <v>#N/A</v>
      </c>
      <c r="AE1222" s="7" t="e">
        <f>IF(VLOOKUP($A1222,'Concrete Beam Schedule'!$A$2:$Q$2902,AE$2,0)&lt;&gt;O1222,"Beam Revised","")</f>
        <v>#N/A</v>
      </c>
    </row>
    <row r="1223" spans="17:31" ht="13.2" x14ac:dyDescent="0.25">
      <c r="Q1223" s="7">
        <f t="shared" si="19"/>
        <v>0</v>
      </c>
      <c r="R1223" s="7" t="e">
        <f>IF(VLOOKUP($A1223,'Concrete Beam Schedule'!$A$2:$Q$2902,R$2,0)&lt;&gt;B1223,VLOOKUP($A1223,'Concrete Beam Schedule'!$A$2:$Q$2902,R$2,0),"")</f>
        <v>#N/A</v>
      </c>
      <c r="S1223" s="7" t="e">
        <f>IF(VLOOKUP($A1223,'Concrete Beam Schedule'!$A$2:$Q$2902,S$2,0)&lt;&gt;C1223,VLOOKUP($A1223,'Concrete Beam Schedule'!$A$2:$Q$2902,S$2,0),"")</f>
        <v>#N/A</v>
      </c>
      <c r="T1223" s="7" t="e">
        <f>IF(VLOOKUP($A1223,'Concrete Beam Schedule'!$A$2:$Q$2902,T$2,0)&lt;&gt;D1223,"Beam Revised","")</f>
        <v>#N/A</v>
      </c>
      <c r="U1223" s="7" t="e">
        <f>IF(VLOOKUP($A1223,'Concrete Beam Schedule'!$A$2:$Q$2902,U$2,0)&lt;&gt;E1223,"Beam Revised","")</f>
        <v>#N/A</v>
      </c>
      <c r="V1223" s="7" t="e">
        <f>IF(VLOOKUP($A1223,'Concrete Beam Schedule'!$A$2:$Q$2902,V$2,0)&lt;&gt;F1223,"Beam Revised","")</f>
        <v>#N/A</v>
      </c>
      <c r="W1223" s="7" t="e">
        <f>IF(VLOOKUP($A1223,'Concrete Beam Schedule'!$A$2:$Q$2902,W$2,0)&lt;&gt;G1223,"Beam Revised","")</f>
        <v>#N/A</v>
      </c>
      <c r="X1223" s="7" t="e">
        <f>IF(VLOOKUP($A1223,'Concrete Beam Schedule'!$A$2:$Q$2902,X$2,0)&lt;&gt;H1223,"Beam Revised","")</f>
        <v>#N/A</v>
      </c>
      <c r="Y1223" s="7" t="e">
        <f>IF(VLOOKUP($A1223,'Concrete Beam Schedule'!$A$2:$Q$2902,Y$2,0)&lt;&gt;I1223,"Beam Revised","")</f>
        <v>#N/A</v>
      </c>
      <c r="Z1223" s="7" t="e">
        <f>IF(VLOOKUP($A1223,'Concrete Beam Schedule'!$A$2:$Q$2902,Z$2,0)&lt;&gt;J1223,"Beam Revised","")</f>
        <v>#N/A</v>
      </c>
      <c r="AA1223" s="7" t="e">
        <f>IF(VLOOKUP($A1223,'Concrete Beam Schedule'!$A$2:$Q$2902,AA$2,0)&lt;&gt;K1223,"Beam Revised","")</f>
        <v>#N/A</v>
      </c>
      <c r="AB1223" s="7" t="e">
        <f>IF(VLOOKUP($A1223,'Concrete Beam Schedule'!$A$2:$Q$2902,AB$2,0)&lt;&gt;L1223,"Beam Revised","")</f>
        <v>#N/A</v>
      </c>
      <c r="AC1223" s="7" t="e">
        <f>IF(VLOOKUP($A1223,'Concrete Beam Schedule'!$A$2:$Q$2902,AC$2,0)&lt;&gt;M1223,"Beam Revised","")</f>
        <v>#N/A</v>
      </c>
      <c r="AD1223" s="7" t="e">
        <f>IF(VLOOKUP($A1223,'Concrete Beam Schedule'!$A$2:$Q$2902,AD$2,0)&lt;&gt;N1223,"Beam Revised","")</f>
        <v>#N/A</v>
      </c>
      <c r="AE1223" s="7" t="e">
        <f>IF(VLOOKUP($A1223,'Concrete Beam Schedule'!$A$2:$Q$2902,AE$2,0)&lt;&gt;O1223,"Beam Revised","")</f>
        <v>#N/A</v>
      </c>
    </row>
    <row r="1224" spans="17:31" ht="13.2" x14ac:dyDescent="0.25">
      <c r="Q1224" s="7">
        <f t="shared" si="19"/>
        <v>0</v>
      </c>
      <c r="R1224" s="7" t="e">
        <f>IF(VLOOKUP($A1224,'Concrete Beam Schedule'!$A$2:$Q$2902,R$2,0)&lt;&gt;B1224,VLOOKUP($A1224,'Concrete Beam Schedule'!$A$2:$Q$2902,R$2,0),"")</f>
        <v>#N/A</v>
      </c>
      <c r="S1224" s="7" t="e">
        <f>IF(VLOOKUP($A1224,'Concrete Beam Schedule'!$A$2:$Q$2902,S$2,0)&lt;&gt;C1224,VLOOKUP($A1224,'Concrete Beam Schedule'!$A$2:$Q$2902,S$2,0),"")</f>
        <v>#N/A</v>
      </c>
      <c r="T1224" s="7" t="e">
        <f>IF(VLOOKUP($A1224,'Concrete Beam Schedule'!$A$2:$Q$2902,T$2,0)&lt;&gt;D1224,"Beam Revised","")</f>
        <v>#N/A</v>
      </c>
      <c r="U1224" s="7" t="e">
        <f>IF(VLOOKUP($A1224,'Concrete Beam Schedule'!$A$2:$Q$2902,U$2,0)&lt;&gt;E1224,"Beam Revised","")</f>
        <v>#N/A</v>
      </c>
      <c r="V1224" s="7" t="e">
        <f>IF(VLOOKUP($A1224,'Concrete Beam Schedule'!$A$2:$Q$2902,V$2,0)&lt;&gt;F1224,"Beam Revised","")</f>
        <v>#N/A</v>
      </c>
      <c r="W1224" s="7" t="e">
        <f>IF(VLOOKUP($A1224,'Concrete Beam Schedule'!$A$2:$Q$2902,W$2,0)&lt;&gt;G1224,"Beam Revised","")</f>
        <v>#N/A</v>
      </c>
      <c r="X1224" s="7" t="e">
        <f>IF(VLOOKUP($A1224,'Concrete Beam Schedule'!$A$2:$Q$2902,X$2,0)&lt;&gt;H1224,"Beam Revised","")</f>
        <v>#N/A</v>
      </c>
      <c r="Y1224" s="7" t="e">
        <f>IF(VLOOKUP($A1224,'Concrete Beam Schedule'!$A$2:$Q$2902,Y$2,0)&lt;&gt;I1224,"Beam Revised","")</f>
        <v>#N/A</v>
      </c>
      <c r="Z1224" s="7" t="e">
        <f>IF(VLOOKUP($A1224,'Concrete Beam Schedule'!$A$2:$Q$2902,Z$2,0)&lt;&gt;J1224,"Beam Revised","")</f>
        <v>#N/A</v>
      </c>
      <c r="AA1224" s="7" t="e">
        <f>IF(VLOOKUP($A1224,'Concrete Beam Schedule'!$A$2:$Q$2902,AA$2,0)&lt;&gt;K1224,"Beam Revised","")</f>
        <v>#N/A</v>
      </c>
      <c r="AB1224" s="7" t="e">
        <f>IF(VLOOKUP($A1224,'Concrete Beam Schedule'!$A$2:$Q$2902,AB$2,0)&lt;&gt;L1224,"Beam Revised","")</f>
        <v>#N/A</v>
      </c>
      <c r="AC1224" s="7" t="e">
        <f>IF(VLOOKUP($A1224,'Concrete Beam Schedule'!$A$2:$Q$2902,AC$2,0)&lt;&gt;M1224,"Beam Revised","")</f>
        <v>#N/A</v>
      </c>
      <c r="AD1224" s="7" t="e">
        <f>IF(VLOOKUP($A1224,'Concrete Beam Schedule'!$A$2:$Q$2902,AD$2,0)&lt;&gt;N1224,"Beam Revised","")</f>
        <v>#N/A</v>
      </c>
      <c r="AE1224" s="7" t="e">
        <f>IF(VLOOKUP($A1224,'Concrete Beam Schedule'!$A$2:$Q$2902,AE$2,0)&lt;&gt;O1224,"Beam Revised","")</f>
        <v>#N/A</v>
      </c>
    </row>
    <row r="1225" spans="17:31" ht="13.2" x14ac:dyDescent="0.25">
      <c r="Q1225" s="7">
        <f t="shared" si="19"/>
        <v>0</v>
      </c>
      <c r="R1225" s="7" t="e">
        <f>IF(VLOOKUP($A1225,'Concrete Beam Schedule'!$A$2:$Q$2902,R$2,0)&lt;&gt;B1225,VLOOKUP($A1225,'Concrete Beam Schedule'!$A$2:$Q$2902,R$2,0),"")</f>
        <v>#N/A</v>
      </c>
      <c r="S1225" s="7" t="e">
        <f>IF(VLOOKUP($A1225,'Concrete Beam Schedule'!$A$2:$Q$2902,S$2,0)&lt;&gt;C1225,VLOOKUP($A1225,'Concrete Beam Schedule'!$A$2:$Q$2902,S$2,0),"")</f>
        <v>#N/A</v>
      </c>
      <c r="T1225" s="7" t="e">
        <f>IF(VLOOKUP($A1225,'Concrete Beam Schedule'!$A$2:$Q$2902,T$2,0)&lt;&gt;D1225,"Beam Revised","")</f>
        <v>#N/A</v>
      </c>
      <c r="U1225" s="7" t="e">
        <f>IF(VLOOKUP($A1225,'Concrete Beam Schedule'!$A$2:$Q$2902,U$2,0)&lt;&gt;E1225,"Beam Revised","")</f>
        <v>#N/A</v>
      </c>
      <c r="V1225" s="7" t="e">
        <f>IF(VLOOKUP($A1225,'Concrete Beam Schedule'!$A$2:$Q$2902,V$2,0)&lt;&gt;F1225,"Beam Revised","")</f>
        <v>#N/A</v>
      </c>
      <c r="W1225" s="7" t="e">
        <f>IF(VLOOKUP($A1225,'Concrete Beam Schedule'!$A$2:$Q$2902,W$2,0)&lt;&gt;G1225,"Beam Revised","")</f>
        <v>#N/A</v>
      </c>
      <c r="X1225" s="7" t="e">
        <f>IF(VLOOKUP($A1225,'Concrete Beam Schedule'!$A$2:$Q$2902,X$2,0)&lt;&gt;H1225,"Beam Revised","")</f>
        <v>#N/A</v>
      </c>
      <c r="Y1225" s="7" t="e">
        <f>IF(VLOOKUP($A1225,'Concrete Beam Schedule'!$A$2:$Q$2902,Y$2,0)&lt;&gt;I1225,"Beam Revised","")</f>
        <v>#N/A</v>
      </c>
      <c r="Z1225" s="7" t="e">
        <f>IF(VLOOKUP($A1225,'Concrete Beam Schedule'!$A$2:$Q$2902,Z$2,0)&lt;&gt;J1225,"Beam Revised","")</f>
        <v>#N/A</v>
      </c>
      <c r="AA1225" s="7" t="e">
        <f>IF(VLOOKUP($A1225,'Concrete Beam Schedule'!$A$2:$Q$2902,AA$2,0)&lt;&gt;K1225,"Beam Revised","")</f>
        <v>#N/A</v>
      </c>
      <c r="AB1225" s="7" t="e">
        <f>IF(VLOOKUP($A1225,'Concrete Beam Schedule'!$A$2:$Q$2902,AB$2,0)&lt;&gt;L1225,"Beam Revised","")</f>
        <v>#N/A</v>
      </c>
      <c r="AC1225" s="7" t="e">
        <f>IF(VLOOKUP($A1225,'Concrete Beam Schedule'!$A$2:$Q$2902,AC$2,0)&lt;&gt;M1225,"Beam Revised","")</f>
        <v>#N/A</v>
      </c>
      <c r="AD1225" s="7" t="e">
        <f>IF(VLOOKUP($A1225,'Concrete Beam Schedule'!$A$2:$Q$2902,AD$2,0)&lt;&gt;N1225,"Beam Revised","")</f>
        <v>#N/A</v>
      </c>
      <c r="AE1225" s="7" t="e">
        <f>IF(VLOOKUP($A1225,'Concrete Beam Schedule'!$A$2:$Q$2902,AE$2,0)&lt;&gt;O1225,"Beam Revised","")</f>
        <v>#N/A</v>
      </c>
    </row>
    <row r="1226" spans="17:31" ht="13.2" x14ac:dyDescent="0.25">
      <c r="Q1226" s="7">
        <f t="shared" si="19"/>
        <v>0</v>
      </c>
      <c r="R1226" s="7" t="e">
        <f>IF(VLOOKUP($A1226,'Concrete Beam Schedule'!$A$2:$Q$2902,R$2,0)&lt;&gt;B1226,VLOOKUP($A1226,'Concrete Beam Schedule'!$A$2:$Q$2902,R$2,0),"")</f>
        <v>#N/A</v>
      </c>
      <c r="S1226" s="7" t="e">
        <f>IF(VLOOKUP($A1226,'Concrete Beam Schedule'!$A$2:$Q$2902,S$2,0)&lt;&gt;C1226,VLOOKUP($A1226,'Concrete Beam Schedule'!$A$2:$Q$2902,S$2,0),"")</f>
        <v>#N/A</v>
      </c>
      <c r="T1226" s="7" t="e">
        <f>IF(VLOOKUP($A1226,'Concrete Beam Schedule'!$A$2:$Q$2902,T$2,0)&lt;&gt;D1226,"Beam Revised","")</f>
        <v>#N/A</v>
      </c>
      <c r="U1226" s="7" t="e">
        <f>IF(VLOOKUP($A1226,'Concrete Beam Schedule'!$A$2:$Q$2902,U$2,0)&lt;&gt;E1226,"Beam Revised","")</f>
        <v>#N/A</v>
      </c>
      <c r="V1226" s="7" t="e">
        <f>IF(VLOOKUP($A1226,'Concrete Beam Schedule'!$A$2:$Q$2902,V$2,0)&lt;&gt;F1226,"Beam Revised","")</f>
        <v>#N/A</v>
      </c>
      <c r="W1226" s="7" t="e">
        <f>IF(VLOOKUP($A1226,'Concrete Beam Schedule'!$A$2:$Q$2902,W$2,0)&lt;&gt;G1226,"Beam Revised","")</f>
        <v>#N/A</v>
      </c>
      <c r="X1226" s="7" t="e">
        <f>IF(VLOOKUP($A1226,'Concrete Beam Schedule'!$A$2:$Q$2902,X$2,0)&lt;&gt;H1226,"Beam Revised","")</f>
        <v>#N/A</v>
      </c>
      <c r="Y1226" s="7" t="e">
        <f>IF(VLOOKUP($A1226,'Concrete Beam Schedule'!$A$2:$Q$2902,Y$2,0)&lt;&gt;I1226,"Beam Revised","")</f>
        <v>#N/A</v>
      </c>
      <c r="Z1226" s="7" t="e">
        <f>IF(VLOOKUP($A1226,'Concrete Beam Schedule'!$A$2:$Q$2902,Z$2,0)&lt;&gt;J1226,"Beam Revised","")</f>
        <v>#N/A</v>
      </c>
      <c r="AA1226" s="7" t="e">
        <f>IF(VLOOKUP($A1226,'Concrete Beam Schedule'!$A$2:$Q$2902,AA$2,0)&lt;&gt;K1226,"Beam Revised","")</f>
        <v>#N/A</v>
      </c>
      <c r="AB1226" s="7" t="e">
        <f>IF(VLOOKUP($A1226,'Concrete Beam Schedule'!$A$2:$Q$2902,AB$2,0)&lt;&gt;L1226,"Beam Revised","")</f>
        <v>#N/A</v>
      </c>
      <c r="AC1226" s="7" t="e">
        <f>IF(VLOOKUP($A1226,'Concrete Beam Schedule'!$A$2:$Q$2902,AC$2,0)&lt;&gt;M1226,"Beam Revised","")</f>
        <v>#N/A</v>
      </c>
      <c r="AD1226" s="7" t="e">
        <f>IF(VLOOKUP($A1226,'Concrete Beam Schedule'!$A$2:$Q$2902,AD$2,0)&lt;&gt;N1226,"Beam Revised","")</f>
        <v>#N/A</v>
      </c>
      <c r="AE1226" s="7" t="e">
        <f>IF(VLOOKUP($A1226,'Concrete Beam Schedule'!$A$2:$Q$2902,AE$2,0)&lt;&gt;O1226,"Beam Revised","")</f>
        <v>#N/A</v>
      </c>
    </row>
    <row r="1227" spans="17:31" ht="13.2" x14ac:dyDescent="0.25">
      <c r="Q1227" s="7">
        <f t="shared" si="19"/>
        <v>0</v>
      </c>
      <c r="R1227" s="7" t="e">
        <f>IF(VLOOKUP($A1227,'Concrete Beam Schedule'!$A$2:$Q$2902,R$2,0)&lt;&gt;B1227,VLOOKUP($A1227,'Concrete Beam Schedule'!$A$2:$Q$2902,R$2,0),"")</f>
        <v>#N/A</v>
      </c>
      <c r="S1227" s="7" t="e">
        <f>IF(VLOOKUP($A1227,'Concrete Beam Schedule'!$A$2:$Q$2902,S$2,0)&lt;&gt;C1227,VLOOKUP($A1227,'Concrete Beam Schedule'!$A$2:$Q$2902,S$2,0),"")</f>
        <v>#N/A</v>
      </c>
      <c r="T1227" s="7" t="e">
        <f>IF(VLOOKUP($A1227,'Concrete Beam Schedule'!$A$2:$Q$2902,T$2,0)&lt;&gt;D1227,"Beam Revised","")</f>
        <v>#N/A</v>
      </c>
      <c r="U1227" s="7" t="e">
        <f>IF(VLOOKUP($A1227,'Concrete Beam Schedule'!$A$2:$Q$2902,U$2,0)&lt;&gt;E1227,"Beam Revised","")</f>
        <v>#N/A</v>
      </c>
      <c r="V1227" s="7" t="e">
        <f>IF(VLOOKUP($A1227,'Concrete Beam Schedule'!$A$2:$Q$2902,V$2,0)&lt;&gt;F1227,"Beam Revised","")</f>
        <v>#N/A</v>
      </c>
      <c r="W1227" s="7" t="e">
        <f>IF(VLOOKUP($A1227,'Concrete Beam Schedule'!$A$2:$Q$2902,W$2,0)&lt;&gt;G1227,"Beam Revised","")</f>
        <v>#N/A</v>
      </c>
      <c r="X1227" s="7" t="e">
        <f>IF(VLOOKUP($A1227,'Concrete Beam Schedule'!$A$2:$Q$2902,X$2,0)&lt;&gt;H1227,"Beam Revised","")</f>
        <v>#N/A</v>
      </c>
      <c r="Y1227" s="7" t="e">
        <f>IF(VLOOKUP($A1227,'Concrete Beam Schedule'!$A$2:$Q$2902,Y$2,0)&lt;&gt;I1227,"Beam Revised","")</f>
        <v>#N/A</v>
      </c>
      <c r="Z1227" s="7" t="e">
        <f>IF(VLOOKUP($A1227,'Concrete Beam Schedule'!$A$2:$Q$2902,Z$2,0)&lt;&gt;J1227,"Beam Revised","")</f>
        <v>#N/A</v>
      </c>
      <c r="AA1227" s="7" t="e">
        <f>IF(VLOOKUP($A1227,'Concrete Beam Schedule'!$A$2:$Q$2902,AA$2,0)&lt;&gt;K1227,"Beam Revised","")</f>
        <v>#N/A</v>
      </c>
      <c r="AB1227" s="7" t="e">
        <f>IF(VLOOKUP($A1227,'Concrete Beam Schedule'!$A$2:$Q$2902,AB$2,0)&lt;&gt;L1227,"Beam Revised","")</f>
        <v>#N/A</v>
      </c>
      <c r="AC1227" s="7" t="e">
        <f>IF(VLOOKUP($A1227,'Concrete Beam Schedule'!$A$2:$Q$2902,AC$2,0)&lt;&gt;M1227,"Beam Revised","")</f>
        <v>#N/A</v>
      </c>
      <c r="AD1227" s="7" t="e">
        <f>IF(VLOOKUP($A1227,'Concrete Beam Schedule'!$A$2:$Q$2902,AD$2,0)&lt;&gt;N1227,"Beam Revised","")</f>
        <v>#N/A</v>
      </c>
      <c r="AE1227" s="7" t="e">
        <f>IF(VLOOKUP($A1227,'Concrete Beam Schedule'!$A$2:$Q$2902,AE$2,0)&lt;&gt;O1227,"Beam Revised","")</f>
        <v>#N/A</v>
      </c>
    </row>
    <row r="1228" spans="17:31" ht="13.2" x14ac:dyDescent="0.25">
      <c r="Q1228" s="7">
        <f t="shared" si="19"/>
        <v>0</v>
      </c>
      <c r="R1228" s="7" t="e">
        <f>IF(VLOOKUP($A1228,'Concrete Beam Schedule'!$A$2:$Q$2902,R$2,0)&lt;&gt;B1228,VLOOKUP($A1228,'Concrete Beam Schedule'!$A$2:$Q$2902,R$2,0),"")</f>
        <v>#N/A</v>
      </c>
      <c r="S1228" s="7" t="e">
        <f>IF(VLOOKUP($A1228,'Concrete Beam Schedule'!$A$2:$Q$2902,S$2,0)&lt;&gt;C1228,VLOOKUP($A1228,'Concrete Beam Schedule'!$A$2:$Q$2902,S$2,0),"")</f>
        <v>#N/A</v>
      </c>
      <c r="T1228" s="7" t="e">
        <f>IF(VLOOKUP($A1228,'Concrete Beam Schedule'!$A$2:$Q$2902,T$2,0)&lt;&gt;D1228,"Beam Revised","")</f>
        <v>#N/A</v>
      </c>
      <c r="U1228" s="7" t="e">
        <f>IF(VLOOKUP($A1228,'Concrete Beam Schedule'!$A$2:$Q$2902,U$2,0)&lt;&gt;E1228,"Beam Revised","")</f>
        <v>#N/A</v>
      </c>
      <c r="V1228" s="7" t="e">
        <f>IF(VLOOKUP($A1228,'Concrete Beam Schedule'!$A$2:$Q$2902,V$2,0)&lt;&gt;F1228,"Beam Revised","")</f>
        <v>#N/A</v>
      </c>
      <c r="W1228" s="7" t="e">
        <f>IF(VLOOKUP($A1228,'Concrete Beam Schedule'!$A$2:$Q$2902,W$2,0)&lt;&gt;G1228,"Beam Revised","")</f>
        <v>#N/A</v>
      </c>
      <c r="X1228" s="7" t="e">
        <f>IF(VLOOKUP($A1228,'Concrete Beam Schedule'!$A$2:$Q$2902,X$2,0)&lt;&gt;H1228,"Beam Revised","")</f>
        <v>#N/A</v>
      </c>
      <c r="Y1228" s="7" t="e">
        <f>IF(VLOOKUP($A1228,'Concrete Beam Schedule'!$A$2:$Q$2902,Y$2,0)&lt;&gt;I1228,"Beam Revised","")</f>
        <v>#N/A</v>
      </c>
      <c r="Z1228" s="7" t="e">
        <f>IF(VLOOKUP($A1228,'Concrete Beam Schedule'!$A$2:$Q$2902,Z$2,0)&lt;&gt;J1228,"Beam Revised","")</f>
        <v>#N/A</v>
      </c>
      <c r="AA1228" s="7" t="e">
        <f>IF(VLOOKUP($A1228,'Concrete Beam Schedule'!$A$2:$Q$2902,AA$2,0)&lt;&gt;K1228,"Beam Revised","")</f>
        <v>#N/A</v>
      </c>
      <c r="AB1228" s="7" t="e">
        <f>IF(VLOOKUP($A1228,'Concrete Beam Schedule'!$A$2:$Q$2902,AB$2,0)&lt;&gt;L1228,"Beam Revised","")</f>
        <v>#N/A</v>
      </c>
      <c r="AC1228" s="7" t="e">
        <f>IF(VLOOKUP($A1228,'Concrete Beam Schedule'!$A$2:$Q$2902,AC$2,0)&lt;&gt;M1228,"Beam Revised","")</f>
        <v>#N/A</v>
      </c>
      <c r="AD1228" s="7" t="e">
        <f>IF(VLOOKUP($A1228,'Concrete Beam Schedule'!$A$2:$Q$2902,AD$2,0)&lt;&gt;N1228,"Beam Revised","")</f>
        <v>#N/A</v>
      </c>
      <c r="AE1228" s="7" t="e">
        <f>IF(VLOOKUP($A1228,'Concrete Beam Schedule'!$A$2:$Q$2902,AE$2,0)&lt;&gt;O1228,"Beam Revised","")</f>
        <v>#N/A</v>
      </c>
    </row>
    <row r="1229" spans="17:31" ht="13.2" x14ac:dyDescent="0.25">
      <c r="Q1229" s="7">
        <f t="shared" si="19"/>
        <v>0</v>
      </c>
      <c r="R1229" s="7" t="e">
        <f>IF(VLOOKUP($A1229,'Concrete Beam Schedule'!$A$2:$Q$2902,R$2,0)&lt;&gt;B1229,VLOOKUP($A1229,'Concrete Beam Schedule'!$A$2:$Q$2902,R$2,0),"")</f>
        <v>#N/A</v>
      </c>
      <c r="S1229" s="7" t="e">
        <f>IF(VLOOKUP($A1229,'Concrete Beam Schedule'!$A$2:$Q$2902,S$2,0)&lt;&gt;C1229,VLOOKUP($A1229,'Concrete Beam Schedule'!$A$2:$Q$2902,S$2,0),"")</f>
        <v>#N/A</v>
      </c>
      <c r="T1229" s="7" t="e">
        <f>IF(VLOOKUP($A1229,'Concrete Beam Schedule'!$A$2:$Q$2902,T$2,0)&lt;&gt;D1229,"Beam Revised","")</f>
        <v>#N/A</v>
      </c>
      <c r="U1229" s="7" t="e">
        <f>IF(VLOOKUP($A1229,'Concrete Beam Schedule'!$A$2:$Q$2902,U$2,0)&lt;&gt;E1229,"Beam Revised","")</f>
        <v>#N/A</v>
      </c>
      <c r="V1229" s="7" t="e">
        <f>IF(VLOOKUP($A1229,'Concrete Beam Schedule'!$A$2:$Q$2902,V$2,0)&lt;&gt;F1229,"Beam Revised","")</f>
        <v>#N/A</v>
      </c>
      <c r="W1229" s="7" t="e">
        <f>IF(VLOOKUP($A1229,'Concrete Beam Schedule'!$A$2:$Q$2902,W$2,0)&lt;&gt;G1229,"Beam Revised","")</f>
        <v>#N/A</v>
      </c>
      <c r="X1229" s="7" t="e">
        <f>IF(VLOOKUP($A1229,'Concrete Beam Schedule'!$A$2:$Q$2902,X$2,0)&lt;&gt;H1229,"Beam Revised","")</f>
        <v>#N/A</v>
      </c>
      <c r="Y1229" s="7" t="e">
        <f>IF(VLOOKUP($A1229,'Concrete Beam Schedule'!$A$2:$Q$2902,Y$2,0)&lt;&gt;I1229,"Beam Revised","")</f>
        <v>#N/A</v>
      </c>
      <c r="Z1229" s="7" t="e">
        <f>IF(VLOOKUP($A1229,'Concrete Beam Schedule'!$A$2:$Q$2902,Z$2,0)&lt;&gt;J1229,"Beam Revised","")</f>
        <v>#N/A</v>
      </c>
      <c r="AA1229" s="7" t="e">
        <f>IF(VLOOKUP($A1229,'Concrete Beam Schedule'!$A$2:$Q$2902,AA$2,0)&lt;&gt;K1229,"Beam Revised","")</f>
        <v>#N/A</v>
      </c>
      <c r="AB1229" s="7" t="e">
        <f>IF(VLOOKUP($A1229,'Concrete Beam Schedule'!$A$2:$Q$2902,AB$2,0)&lt;&gt;L1229,"Beam Revised","")</f>
        <v>#N/A</v>
      </c>
      <c r="AC1229" s="7" t="e">
        <f>IF(VLOOKUP($A1229,'Concrete Beam Schedule'!$A$2:$Q$2902,AC$2,0)&lt;&gt;M1229,"Beam Revised","")</f>
        <v>#N/A</v>
      </c>
      <c r="AD1229" s="7" t="e">
        <f>IF(VLOOKUP($A1229,'Concrete Beam Schedule'!$A$2:$Q$2902,AD$2,0)&lt;&gt;N1229,"Beam Revised","")</f>
        <v>#N/A</v>
      </c>
      <c r="AE1229" s="7" t="e">
        <f>IF(VLOOKUP($A1229,'Concrete Beam Schedule'!$A$2:$Q$2902,AE$2,0)&lt;&gt;O1229,"Beam Revised","")</f>
        <v>#N/A</v>
      </c>
    </row>
    <row r="1230" spans="17:31" ht="13.2" x14ac:dyDescent="0.25">
      <c r="Q1230" s="7">
        <f t="shared" si="19"/>
        <v>0</v>
      </c>
      <c r="R1230" s="7" t="e">
        <f>IF(VLOOKUP($A1230,'Concrete Beam Schedule'!$A$2:$Q$2902,R$2,0)&lt;&gt;B1230,VLOOKUP($A1230,'Concrete Beam Schedule'!$A$2:$Q$2902,R$2,0),"")</f>
        <v>#N/A</v>
      </c>
      <c r="S1230" s="7" t="e">
        <f>IF(VLOOKUP($A1230,'Concrete Beam Schedule'!$A$2:$Q$2902,S$2,0)&lt;&gt;C1230,VLOOKUP($A1230,'Concrete Beam Schedule'!$A$2:$Q$2902,S$2,0),"")</f>
        <v>#N/A</v>
      </c>
      <c r="T1230" s="7" t="e">
        <f>IF(VLOOKUP($A1230,'Concrete Beam Schedule'!$A$2:$Q$2902,T$2,0)&lt;&gt;D1230,"Beam Revised","")</f>
        <v>#N/A</v>
      </c>
      <c r="U1230" s="7" t="e">
        <f>IF(VLOOKUP($A1230,'Concrete Beam Schedule'!$A$2:$Q$2902,U$2,0)&lt;&gt;E1230,"Beam Revised","")</f>
        <v>#N/A</v>
      </c>
      <c r="V1230" s="7" t="e">
        <f>IF(VLOOKUP($A1230,'Concrete Beam Schedule'!$A$2:$Q$2902,V$2,0)&lt;&gt;F1230,"Beam Revised","")</f>
        <v>#N/A</v>
      </c>
      <c r="W1230" s="7" t="e">
        <f>IF(VLOOKUP($A1230,'Concrete Beam Schedule'!$A$2:$Q$2902,W$2,0)&lt;&gt;G1230,"Beam Revised","")</f>
        <v>#N/A</v>
      </c>
      <c r="X1230" s="7" t="e">
        <f>IF(VLOOKUP($A1230,'Concrete Beam Schedule'!$A$2:$Q$2902,X$2,0)&lt;&gt;H1230,"Beam Revised","")</f>
        <v>#N/A</v>
      </c>
      <c r="Y1230" s="7" t="e">
        <f>IF(VLOOKUP($A1230,'Concrete Beam Schedule'!$A$2:$Q$2902,Y$2,0)&lt;&gt;I1230,"Beam Revised","")</f>
        <v>#N/A</v>
      </c>
      <c r="Z1230" s="7" t="e">
        <f>IF(VLOOKUP($A1230,'Concrete Beam Schedule'!$A$2:$Q$2902,Z$2,0)&lt;&gt;J1230,"Beam Revised","")</f>
        <v>#N/A</v>
      </c>
      <c r="AA1230" s="7" t="e">
        <f>IF(VLOOKUP($A1230,'Concrete Beam Schedule'!$A$2:$Q$2902,AA$2,0)&lt;&gt;K1230,"Beam Revised","")</f>
        <v>#N/A</v>
      </c>
      <c r="AB1230" s="7" t="e">
        <f>IF(VLOOKUP($A1230,'Concrete Beam Schedule'!$A$2:$Q$2902,AB$2,0)&lt;&gt;L1230,"Beam Revised","")</f>
        <v>#N/A</v>
      </c>
      <c r="AC1230" s="7" t="e">
        <f>IF(VLOOKUP($A1230,'Concrete Beam Schedule'!$A$2:$Q$2902,AC$2,0)&lt;&gt;M1230,"Beam Revised","")</f>
        <v>#N/A</v>
      </c>
      <c r="AD1230" s="7" t="e">
        <f>IF(VLOOKUP($A1230,'Concrete Beam Schedule'!$A$2:$Q$2902,AD$2,0)&lt;&gt;N1230,"Beam Revised","")</f>
        <v>#N/A</v>
      </c>
      <c r="AE1230" s="7" t="e">
        <f>IF(VLOOKUP($A1230,'Concrete Beam Schedule'!$A$2:$Q$2902,AE$2,0)&lt;&gt;O1230,"Beam Revised","")</f>
        <v>#N/A</v>
      </c>
    </row>
    <row r="1231" spans="17:31" ht="13.2" x14ac:dyDescent="0.25">
      <c r="Q1231" s="7">
        <f t="shared" si="19"/>
        <v>0</v>
      </c>
      <c r="R1231" s="7" t="e">
        <f>IF(VLOOKUP($A1231,'Concrete Beam Schedule'!$A$2:$Q$2902,R$2,0)&lt;&gt;B1231,VLOOKUP($A1231,'Concrete Beam Schedule'!$A$2:$Q$2902,R$2,0),"")</f>
        <v>#N/A</v>
      </c>
      <c r="S1231" s="7" t="e">
        <f>IF(VLOOKUP($A1231,'Concrete Beam Schedule'!$A$2:$Q$2902,S$2,0)&lt;&gt;C1231,VLOOKUP($A1231,'Concrete Beam Schedule'!$A$2:$Q$2902,S$2,0),"")</f>
        <v>#N/A</v>
      </c>
      <c r="T1231" s="7" t="e">
        <f>IF(VLOOKUP($A1231,'Concrete Beam Schedule'!$A$2:$Q$2902,T$2,0)&lt;&gt;D1231,"Beam Revised","")</f>
        <v>#N/A</v>
      </c>
      <c r="U1231" s="7" t="e">
        <f>IF(VLOOKUP($A1231,'Concrete Beam Schedule'!$A$2:$Q$2902,U$2,0)&lt;&gt;E1231,"Beam Revised","")</f>
        <v>#N/A</v>
      </c>
      <c r="V1231" s="7" t="e">
        <f>IF(VLOOKUP($A1231,'Concrete Beam Schedule'!$A$2:$Q$2902,V$2,0)&lt;&gt;F1231,"Beam Revised","")</f>
        <v>#N/A</v>
      </c>
      <c r="W1231" s="7" t="e">
        <f>IF(VLOOKUP($A1231,'Concrete Beam Schedule'!$A$2:$Q$2902,W$2,0)&lt;&gt;G1231,"Beam Revised","")</f>
        <v>#N/A</v>
      </c>
      <c r="X1231" s="7" t="e">
        <f>IF(VLOOKUP($A1231,'Concrete Beam Schedule'!$A$2:$Q$2902,X$2,0)&lt;&gt;H1231,"Beam Revised","")</f>
        <v>#N/A</v>
      </c>
      <c r="Y1231" s="7" t="e">
        <f>IF(VLOOKUP($A1231,'Concrete Beam Schedule'!$A$2:$Q$2902,Y$2,0)&lt;&gt;I1231,"Beam Revised","")</f>
        <v>#N/A</v>
      </c>
      <c r="Z1231" s="7" t="e">
        <f>IF(VLOOKUP($A1231,'Concrete Beam Schedule'!$A$2:$Q$2902,Z$2,0)&lt;&gt;J1231,"Beam Revised","")</f>
        <v>#N/A</v>
      </c>
      <c r="AA1231" s="7" t="e">
        <f>IF(VLOOKUP($A1231,'Concrete Beam Schedule'!$A$2:$Q$2902,AA$2,0)&lt;&gt;K1231,"Beam Revised","")</f>
        <v>#N/A</v>
      </c>
      <c r="AB1231" s="7" t="e">
        <f>IF(VLOOKUP($A1231,'Concrete Beam Schedule'!$A$2:$Q$2902,AB$2,0)&lt;&gt;L1231,"Beam Revised","")</f>
        <v>#N/A</v>
      </c>
      <c r="AC1231" s="7" t="e">
        <f>IF(VLOOKUP($A1231,'Concrete Beam Schedule'!$A$2:$Q$2902,AC$2,0)&lt;&gt;M1231,"Beam Revised","")</f>
        <v>#N/A</v>
      </c>
      <c r="AD1231" s="7" t="e">
        <f>IF(VLOOKUP($A1231,'Concrete Beam Schedule'!$A$2:$Q$2902,AD$2,0)&lt;&gt;N1231,"Beam Revised","")</f>
        <v>#N/A</v>
      </c>
      <c r="AE1231" s="7" t="e">
        <f>IF(VLOOKUP($A1231,'Concrete Beam Schedule'!$A$2:$Q$2902,AE$2,0)&lt;&gt;O1231,"Beam Revised","")</f>
        <v>#N/A</v>
      </c>
    </row>
    <row r="1232" spans="17:31" ht="13.2" x14ac:dyDescent="0.25">
      <c r="Q1232" s="7">
        <f t="shared" si="19"/>
        <v>0</v>
      </c>
      <c r="R1232" s="7" t="e">
        <f>IF(VLOOKUP($A1232,'Concrete Beam Schedule'!$A$2:$Q$2902,R$2,0)&lt;&gt;B1232,VLOOKUP($A1232,'Concrete Beam Schedule'!$A$2:$Q$2902,R$2,0),"")</f>
        <v>#N/A</v>
      </c>
      <c r="S1232" s="7" t="e">
        <f>IF(VLOOKUP($A1232,'Concrete Beam Schedule'!$A$2:$Q$2902,S$2,0)&lt;&gt;C1232,VLOOKUP($A1232,'Concrete Beam Schedule'!$A$2:$Q$2902,S$2,0),"")</f>
        <v>#N/A</v>
      </c>
      <c r="T1232" s="7" t="e">
        <f>IF(VLOOKUP($A1232,'Concrete Beam Schedule'!$A$2:$Q$2902,T$2,0)&lt;&gt;D1232,"Beam Revised","")</f>
        <v>#N/A</v>
      </c>
      <c r="U1232" s="7" t="e">
        <f>IF(VLOOKUP($A1232,'Concrete Beam Schedule'!$A$2:$Q$2902,U$2,0)&lt;&gt;E1232,"Beam Revised","")</f>
        <v>#N/A</v>
      </c>
      <c r="V1232" s="7" t="e">
        <f>IF(VLOOKUP($A1232,'Concrete Beam Schedule'!$A$2:$Q$2902,V$2,0)&lt;&gt;F1232,"Beam Revised","")</f>
        <v>#N/A</v>
      </c>
      <c r="W1232" s="7" t="e">
        <f>IF(VLOOKUP($A1232,'Concrete Beam Schedule'!$A$2:$Q$2902,W$2,0)&lt;&gt;G1232,"Beam Revised","")</f>
        <v>#N/A</v>
      </c>
      <c r="X1232" s="7" t="e">
        <f>IF(VLOOKUP($A1232,'Concrete Beam Schedule'!$A$2:$Q$2902,X$2,0)&lt;&gt;H1232,"Beam Revised","")</f>
        <v>#N/A</v>
      </c>
      <c r="Y1232" s="7" t="e">
        <f>IF(VLOOKUP($A1232,'Concrete Beam Schedule'!$A$2:$Q$2902,Y$2,0)&lt;&gt;I1232,"Beam Revised","")</f>
        <v>#N/A</v>
      </c>
      <c r="Z1232" s="7" t="e">
        <f>IF(VLOOKUP($A1232,'Concrete Beam Schedule'!$A$2:$Q$2902,Z$2,0)&lt;&gt;J1232,"Beam Revised","")</f>
        <v>#N/A</v>
      </c>
      <c r="AA1232" s="7" t="e">
        <f>IF(VLOOKUP($A1232,'Concrete Beam Schedule'!$A$2:$Q$2902,AA$2,0)&lt;&gt;K1232,"Beam Revised","")</f>
        <v>#N/A</v>
      </c>
      <c r="AB1232" s="7" t="e">
        <f>IF(VLOOKUP($A1232,'Concrete Beam Schedule'!$A$2:$Q$2902,AB$2,0)&lt;&gt;L1232,"Beam Revised","")</f>
        <v>#N/A</v>
      </c>
      <c r="AC1232" s="7" t="e">
        <f>IF(VLOOKUP($A1232,'Concrete Beam Schedule'!$A$2:$Q$2902,AC$2,0)&lt;&gt;M1232,"Beam Revised","")</f>
        <v>#N/A</v>
      </c>
      <c r="AD1232" s="7" t="e">
        <f>IF(VLOOKUP($A1232,'Concrete Beam Schedule'!$A$2:$Q$2902,AD$2,0)&lt;&gt;N1232,"Beam Revised","")</f>
        <v>#N/A</v>
      </c>
      <c r="AE1232" s="7" t="e">
        <f>IF(VLOOKUP($A1232,'Concrete Beam Schedule'!$A$2:$Q$2902,AE$2,0)&lt;&gt;O1232,"Beam Revised","")</f>
        <v>#N/A</v>
      </c>
    </row>
    <row r="1233" spans="17:31" ht="13.2" x14ac:dyDescent="0.25">
      <c r="Q1233" s="7">
        <f t="shared" si="19"/>
        <v>0</v>
      </c>
      <c r="R1233" s="7" t="e">
        <f>IF(VLOOKUP($A1233,'Concrete Beam Schedule'!$A$2:$Q$2902,R$2,0)&lt;&gt;B1233,VLOOKUP($A1233,'Concrete Beam Schedule'!$A$2:$Q$2902,R$2,0),"")</f>
        <v>#N/A</v>
      </c>
      <c r="S1233" s="7" t="e">
        <f>IF(VLOOKUP($A1233,'Concrete Beam Schedule'!$A$2:$Q$2902,S$2,0)&lt;&gt;C1233,VLOOKUP($A1233,'Concrete Beam Schedule'!$A$2:$Q$2902,S$2,0),"")</f>
        <v>#N/A</v>
      </c>
      <c r="T1233" s="7" t="e">
        <f>IF(VLOOKUP($A1233,'Concrete Beam Schedule'!$A$2:$Q$2902,T$2,0)&lt;&gt;D1233,"Beam Revised","")</f>
        <v>#N/A</v>
      </c>
      <c r="U1233" s="7" t="e">
        <f>IF(VLOOKUP($A1233,'Concrete Beam Schedule'!$A$2:$Q$2902,U$2,0)&lt;&gt;E1233,"Beam Revised","")</f>
        <v>#N/A</v>
      </c>
      <c r="V1233" s="7" t="e">
        <f>IF(VLOOKUP($A1233,'Concrete Beam Schedule'!$A$2:$Q$2902,V$2,0)&lt;&gt;F1233,"Beam Revised","")</f>
        <v>#N/A</v>
      </c>
      <c r="W1233" s="7" t="e">
        <f>IF(VLOOKUP($A1233,'Concrete Beam Schedule'!$A$2:$Q$2902,W$2,0)&lt;&gt;G1233,"Beam Revised","")</f>
        <v>#N/A</v>
      </c>
      <c r="X1233" s="7" t="e">
        <f>IF(VLOOKUP($A1233,'Concrete Beam Schedule'!$A$2:$Q$2902,X$2,0)&lt;&gt;H1233,"Beam Revised","")</f>
        <v>#N/A</v>
      </c>
      <c r="Y1233" s="7" t="e">
        <f>IF(VLOOKUP($A1233,'Concrete Beam Schedule'!$A$2:$Q$2902,Y$2,0)&lt;&gt;I1233,"Beam Revised","")</f>
        <v>#N/A</v>
      </c>
      <c r="Z1233" s="7" t="e">
        <f>IF(VLOOKUP($A1233,'Concrete Beam Schedule'!$A$2:$Q$2902,Z$2,0)&lt;&gt;J1233,"Beam Revised","")</f>
        <v>#N/A</v>
      </c>
      <c r="AA1233" s="7" t="e">
        <f>IF(VLOOKUP($A1233,'Concrete Beam Schedule'!$A$2:$Q$2902,AA$2,0)&lt;&gt;K1233,"Beam Revised","")</f>
        <v>#N/A</v>
      </c>
      <c r="AB1233" s="7" t="e">
        <f>IF(VLOOKUP($A1233,'Concrete Beam Schedule'!$A$2:$Q$2902,AB$2,0)&lt;&gt;L1233,"Beam Revised","")</f>
        <v>#N/A</v>
      </c>
      <c r="AC1233" s="7" t="e">
        <f>IF(VLOOKUP($A1233,'Concrete Beam Schedule'!$A$2:$Q$2902,AC$2,0)&lt;&gt;M1233,"Beam Revised","")</f>
        <v>#N/A</v>
      </c>
      <c r="AD1233" s="7" t="e">
        <f>IF(VLOOKUP($A1233,'Concrete Beam Schedule'!$A$2:$Q$2902,AD$2,0)&lt;&gt;N1233,"Beam Revised","")</f>
        <v>#N/A</v>
      </c>
      <c r="AE1233" s="7" t="e">
        <f>IF(VLOOKUP($A1233,'Concrete Beam Schedule'!$A$2:$Q$2902,AE$2,0)&lt;&gt;O1233,"Beam Revised","")</f>
        <v>#N/A</v>
      </c>
    </row>
    <row r="1234" spans="17:31" ht="13.2" x14ac:dyDescent="0.25">
      <c r="Q1234" s="7">
        <f t="shared" si="19"/>
        <v>0</v>
      </c>
      <c r="R1234" s="7" t="e">
        <f>IF(VLOOKUP($A1234,'Concrete Beam Schedule'!$A$2:$Q$2902,R$2,0)&lt;&gt;B1234,VLOOKUP($A1234,'Concrete Beam Schedule'!$A$2:$Q$2902,R$2,0),"")</f>
        <v>#N/A</v>
      </c>
      <c r="S1234" s="7" t="e">
        <f>IF(VLOOKUP($A1234,'Concrete Beam Schedule'!$A$2:$Q$2902,S$2,0)&lt;&gt;C1234,VLOOKUP($A1234,'Concrete Beam Schedule'!$A$2:$Q$2902,S$2,0),"")</f>
        <v>#N/A</v>
      </c>
      <c r="T1234" s="7" t="e">
        <f>IF(VLOOKUP($A1234,'Concrete Beam Schedule'!$A$2:$Q$2902,T$2,0)&lt;&gt;D1234,"Beam Revised","")</f>
        <v>#N/A</v>
      </c>
      <c r="U1234" s="7" t="e">
        <f>IF(VLOOKUP($A1234,'Concrete Beam Schedule'!$A$2:$Q$2902,U$2,0)&lt;&gt;E1234,"Beam Revised","")</f>
        <v>#N/A</v>
      </c>
      <c r="V1234" s="7" t="e">
        <f>IF(VLOOKUP($A1234,'Concrete Beam Schedule'!$A$2:$Q$2902,V$2,0)&lt;&gt;F1234,"Beam Revised","")</f>
        <v>#N/A</v>
      </c>
      <c r="W1234" s="7" t="e">
        <f>IF(VLOOKUP($A1234,'Concrete Beam Schedule'!$A$2:$Q$2902,W$2,0)&lt;&gt;G1234,"Beam Revised","")</f>
        <v>#N/A</v>
      </c>
      <c r="X1234" s="7" t="e">
        <f>IF(VLOOKUP($A1234,'Concrete Beam Schedule'!$A$2:$Q$2902,X$2,0)&lt;&gt;H1234,"Beam Revised","")</f>
        <v>#N/A</v>
      </c>
      <c r="Y1234" s="7" t="e">
        <f>IF(VLOOKUP($A1234,'Concrete Beam Schedule'!$A$2:$Q$2902,Y$2,0)&lt;&gt;I1234,"Beam Revised","")</f>
        <v>#N/A</v>
      </c>
      <c r="Z1234" s="7" t="e">
        <f>IF(VLOOKUP($A1234,'Concrete Beam Schedule'!$A$2:$Q$2902,Z$2,0)&lt;&gt;J1234,"Beam Revised","")</f>
        <v>#N/A</v>
      </c>
      <c r="AA1234" s="7" t="e">
        <f>IF(VLOOKUP($A1234,'Concrete Beam Schedule'!$A$2:$Q$2902,AA$2,0)&lt;&gt;K1234,"Beam Revised","")</f>
        <v>#N/A</v>
      </c>
      <c r="AB1234" s="7" t="e">
        <f>IF(VLOOKUP($A1234,'Concrete Beam Schedule'!$A$2:$Q$2902,AB$2,0)&lt;&gt;L1234,"Beam Revised","")</f>
        <v>#N/A</v>
      </c>
      <c r="AC1234" s="7" t="e">
        <f>IF(VLOOKUP($A1234,'Concrete Beam Schedule'!$A$2:$Q$2902,AC$2,0)&lt;&gt;M1234,"Beam Revised","")</f>
        <v>#N/A</v>
      </c>
      <c r="AD1234" s="7" t="e">
        <f>IF(VLOOKUP($A1234,'Concrete Beam Schedule'!$A$2:$Q$2902,AD$2,0)&lt;&gt;N1234,"Beam Revised","")</f>
        <v>#N/A</v>
      </c>
      <c r="AE1234" s="7" t="e">
        <f>IF(VLOOKUP($A1234,'Concrete Beam Schedule'!$A$2:$Q$2902,AE$2,0)&lt;&gt;O1234,"Beam Revised","")</f>
        <v>#N/A</v>
      </c>
    </row>
    <row r="1235" spans="17:31" ht="13.2" x14ac:dyDescent="0.25">
      <c r="Q1235" s="7">
        <f t="shared" si="19"/>
        <v>0</v>
      </c>
      <c r="R1235" s="7" t="e">
        <f>IF(VLOOKUP($A1235,'Concrete Beam Schedule'!$A$2:$Q$2902,R$2,0)&lt;&gt;B1235,VLOOKUP($A1235,'Concrete Beam Schedule'!$A$2:$Q$2902,R$2,0),"")</f>
        <v>#N/A</v>
      </c>
      <c r="S1235" s="7" t="e">
        <f>IF(VLOOKUP($A1235,'Concrete Beam Schedule'!$A$2:$Q$2902,S$2,0)&lt;&gt;C1235,VLOOKUP($A1235,'Concrete Beam Schedule'!$A$2:$Q$2902,S$2,0),"")</f>
        <v>#N/A</v>
      </c>
      <c r="T1235" s="7" t="e">
        <f>IF(VLOOKUP($A1235,'Concrete Beam Schedule'!$A$2:$Q$2902,T$2,0)&lt;&gt;D1235,"Beam Revised","")</f>
        <v>#N/A</v>
      </c>
      <c r="U1235" s="7" t="e">
        <f>IF(VLOOKUP($A1235,'Concrete Beam Schedule'!$A$2:$Q$2902,U$2,0)&lt;&gt;E1235,"Beam Revised","")</f>
        <v>#N/A</v>
      </c>
      <c r="V1235" s="7" t="e">
        <f>IF(VLOOKUP($A1235,'Concrete Beam Schedule'!$A$2:$Q$2902,V$2,0)&lt;&gt;F1235,"Beam Revised","")</f>
        <v>#N/A</v>
      </c>
      <c r="W1235" s="7" t="e">
        <f>IF(VLOOKUP($A1235,'Concrete Beam Schedule'!$A$2:$Q$2902,W$2,0)&lt;&gt;G1235,"Beam Revised","")</f>
        <v>#N/A</v>
      </c>
      <c r="X1235" s="7" t="e">
        <f>IF(VLOOKUP($A1235,'Concrete Beam Schedule'!$A$2:$Q$2902,X$2,0)&lt;&gt;H1235,"Beam Revised","")</f>
        <v>#N/A</v>
      </c>
      <c r="Y1235" s="7" t="e">
        <f>IF(VLOOKUP($A1235,'Concrete Beam Schedule'!$A$2:$Q$2902,Y$2,0)&lt;&gt;I1235,"Beam Revised","")</f>
        <v>#N/A</v>
      </c>
      <c r="Z1235" s="7" t="e">
        <f>IF(VLOOKUP($A1235,'Concrete Beam Schedule'!$A$2:$Q$2902,Z$2,0)&lt;&gt;J1235,"Beam Revised","")</f>
        <v>#N/A</v>
      </c>
      <c r="AA1235" s="7" t="e">
        <f>IF(VLOOKUP($A1235,'Concrete Beam Schedule'!$A$2:$Q$2902,AA$2,0)&lt;&gt;K1235,"Beam Revised","")</f>
        <v>#N/A</v>
      </c>
      <c r="AB1235" s="7" t="e">
        <f>IF(VLOOKUP($A1235,'Concrete Beam Schedule'!$A$2:$Q$2902,AB$2,0)&lt;&gt;L1235,"Beam Revised","")</f>
        <v>#N/A</v>
      </c>
      <c r="AC1235" s="7" t="e">
        <f>IF(VLOOKUP($A1235,'Concrete Beam Schedule'!$A$2:$Q$2902,AC$2,0)&lt;&gt;M1235,"Beam Revised","")</f>
        <v>#N/A</v>
      </c>
      <c r="AD1235" s="7" t="e">
        <f>IF(VLOOKUP($A1235,'Concrete Beam Schedule'!$A$2:$Q$2902,AD$2,0)&lt;&gt;N1235,"Beam Revised","")</f>
        <v>#N/A</v>
      </c>
      <c r="AE1235" s="7" t="e">
        <f>IF(VLOOKUP($A1235,'Concrete Beam Schedule'!$A$2:$Q$2902,AE$2,0)&lt;&gt;O1235,"Beam Revised","")</f>
        <v>#N/A</v>
      </c>
    </row>
    <row r="1236" spans="17:31" ht="13.2" x14ac:dyDescent="0.25">
      <c r="Q1236" s="7">
        <f t="shared" si="19"/>
        <v>0</v>
      </c>
      <c r="R1236" s="7" t="e">
        <f>IF(VLOOKUP($A1236,'Concrete Beam Schedule'!$A$2:$Q$2902,R$2,0)&lt;&gt;B1236,VLOOKUP($A1236,'Concrete Beam Schedule'!$A$2:$Q$2902,R$2,0),"")</f>
        <v>#N/A</v>
      </c>
      <c r="S1236" s="7" t="e">
        <f>IF(VLOOKUP($A1236,'Concrete Beam Schedule'!$A$2:$Q$2902,S$2,0)&lt;&gt;C1236,VLOOKUP($A1236,'Concrete Beam Schedule'!$A$2:$Q$2902,S$2,0),"")</f>
        <v>#N/A</v>
      </c>
      <c r="T1236" s="7" t="e">
        <f>IF(VLOOKUP($A1236,'Concrete Beam Schedule'!$A$2:$Q$2902,T$2,0)&lt;&gt;D1236,"Beam Revised","")</f>
        <v>#N/A</v>
      </c>
      <c r="U1236" s="7" t="e">
        <f>IF(VLOOKUP($A1236,'Concrete Beam Schedule'!$A$2:$Q$2902,U$2,0)&lt;&gt;E1236,"Beam Revised","")</f>
        <v>#N/A</v>
      </c>
      <c r="V1236" s="7" t="e">
        <f>IF(VLOOKUP($A1236,'Concrete Beam Schedule'!$A$2:$Q$2902,V$2,0)&lt;&gt;F1236,"Beam Revised","")</f>
        <v>#N/A</v>
      </c>
      <c r="W1236" s="7" t="e">
        <f>IF(VLOOKUP($A1236,'Concrete Beam Schedule'!$A$2:$Q$2902,W$2,0)&lt;&gt;G1236,"Beam Revised","")</f>
        <v>#N/A</v>
      </c>
      <c r="X1236" s="7" t="e">
        <f>IF(VLOOKUP($A1236,'Concrete Beam Schedule'!$A$2:$Q$2902,X$2,0)&lt;&gt;H1236,"Beam Revised","")</f>
        <v>#N/A</v>
      </c>
      <c r="Y1236" s="7" t="e">
        <f>IF(VLOOKUP($A1236,'Concrete Beam Schedule'!$A$2:$Q$2902,Y$2,0)&lt;&gt;I1236,"Beam Revised","")</f>
        <v>#N/A</v>
      </c>
      <c r="Z1236" s="7" t="e">
        <f>IF(VLOOKUP($A1236,'Concrete Beam Schedule'!$A$2:$Q$2902,Z$2,0)&lt;&gt;J1236,"Beam Revised","")</f>
        <v>#N/A</v>
      </c>
      <c r="AA1236" s="7" t="e">
        <f>IF(VLOOKUP($A1236,'Concrete Beam Schedule'!$A$2:$Q$2902,AA$2,0)&lt;&gt;K1236,"Beam Revised","")</f>
        <v>#N/A</v>
      </c>
      <c r="AB1236" s="7" t="e">
        <f>IF(VLOOKUP($A1236,'Concrete Beam Schedule'!$A$2:$Q$2902,AB$2,0)&lt;&gt;L1236,"Beam Revised","")</f>
        <v>#N/A</v>
      </c>
      <c r="AC1236" s="7" t="e">
        <f>IF(VLOOKUP($A1236,'Concrete Beam Schedule'!$A$2:$Q$2902,AC$2,0)&lt;&gt;M1236,"Beam Revised","")</f>
        <v>#N/A</v>
      </c>
      <c r="AD1236" s="7" t="e">
        <f>IF(VLOOKUP($A1236,'Concrete Beam Schedule'!$A$2:$Q$2902,AD$2,0)&lt;&gt;N1236,"Beam Revised","")</f>
        <v>#N/A</v>
      </c>
      <c r="AE1236" s="7" t="e">
        <f>IF(VLOOKUP($A1236,'Concrete Beam Schedule'!$A$2:$Q$2902,AE$2,0)&lt;&gt;O1236,"Beam Revised","")</f>
        <v>#N/A</v>
      </c>
    </row>
    <row r="1237" spans="17:31" ht="13.2" x14ac:dyDescent="0.25">
      <c r="Q1237" s="7">
        <f t="shared" si="19"/>
        <v>0</v>
      </c>
      <c r="R1237" s="7" t="e">
        <f>IF(VLOOKUP($A1237,'Concrete Beam Schedule'!$A$2:$Q$2902,R$2,0)&lt;&gt;B1237,VLOOKUP($A1237,'Concrete Beam Schedule'!$A$2:$Q$2902,R$2,0),"")</f>
        <v>#N/A</v>
      </c>
      <c r="S1237" s="7" t="e">
        <f>IF(VLOOKUP($A1237,'Concrete Beam Schedule'!$A$2:$Q$2902,S$2,0)&lt;&gt;C1237,VLOOKUP($A1237,'Concrete Beam Schedule'!$A$2:$Q$2902,S$2,0),"")</f>
        <v>#N/A</v>
      </c>
      <c r="T1237" s="7" t="e">
        <f>IF(VLOOKUP($A1237,'Concrete Beam Schedule'!$A$2:$Q$2902,T$2,0)&lt;&gt;D1237,"Beam Revised","")</f>
        <v>#N/A</v>
      </c>
      <c r="U1237" s="7" t="e">
        <f>IF(VLOOKUP($A1237,'Concrete Beam Schedule'!$A$2:$Q$2902,U$2,0)&lt;&gt;E1237,"Beam Revised","")</f>
        <v>#N/A</v>
      </c>
      <c r="V1237" s="7" t="e">
        <f>IF(VLOOKUP($A1237,'Concrete Beam Schedule'!$A$2:$Q$2902,V$2,0)&lt;&gt;F1237,"Beam Revised","")</f>
        <v>#N/A</v>
      </c>
      <c r="W1237" s="7" t="e">
        <f>IF(VLOOKUP($A1237,'Concrete Beam Schedule'!$A$2:$Q$2902,W$2,0)&lt;&gt;G1237,"Beam Revised","")</f>
        <v>#N/A</v>
      </c>
      <c r="X1237" s="7" t="e">
        <f>IF(VLOOKUP($A1237,'Concrete Beam Schedule'!$A$2:$Q$2902,X$2,0)&lt;&gt;H1237,"Beam Revised","")</f>
        <v>#N/A</v>
      </c>
      <c r="Y1237" s="7" t="e">
        <f>IF(VLOOKUP($A1237,'Concrete Beam Schedule'!$A$2:$Q$2902,Y$2,0)&lt;&gt;I1237,"Beam Revised","")</f>
        <v>#N/A</v>
      </c>
      <c r="Z1237" s="7" t="e">
        <f>IF(VLOOKUP($A1237,'Concrete Beam Schedule'!$A$2:$Q$2902,Z$2,0)&lt;&gt;J1237,"Beam Revised","")</f>
        <v>#N/A</v>
      </c>
      <c r="AA1237" s="7" t="e">
        <f>IF(VLOOKUP($A1237,'Concrete Beam Schedule'!$A$2:$Q$2902,AA$2,0)&lt;&gt;K1237,"Beam Revised","")</f>
        <v>#N/A</v>
      </c>
      <c r="AB1237" s="7" t="e">
        <f>IF(VLOOKUP($A1237,'Concrete Beam Schedule'!$A$2:$Q$2902,AB$2,0)&lt;&gt;L1237,"Beam Revised","")</f>
        <v>#N/A</v>
      </c>
      <c r="AC1237" s="7" t="e">
        <f>IF(VLOOKUP($A1237,'Concrete Beam Schedule'!$A$2:$Q$2902,AC$2,0)&lt;&gt;M1237,"Beam Revised","")</f>
        <v>#N/A</v>
      </c>
      <c r="AD1237" s="7" t="e">
        <f>IF(VLOOKUP($A1237,'Concrete Beam Schedule'!$A$2:$Q$2902,AD$2,0)&lt;&gt;N1237,"Beam Revised","")</f>
        <v>#N/A</v>
      </c>
      <c r="AE1237" s="7" t="e">
        <f>IF(VLOOKUP($A1237,'Concrete Beam Schedule'!$A$2:$Q$2902,AE$2,0)&lt;&gt;O1237,"Beam Revised","")</f>
        <v>#N/A</v>
      </c>
    </row>
    <row r="1238" spans="17:31" ht="13.2" x14ac:dyDescent="0.25">
      <c r="Q1238" s="7">
        <f t="shared" si="19"/>
        <v>0</v>
      </c>
      <c r="R1238" s="7" t="e">
        <f>IF(VLOOKUP($A1238,'Concrete Beam Schedule'!$A$2:$Q$2902,R$2,0)&lt;&gt;B1238,VLOOKUP($A1238,'Concrete Beam Schedule'!$A$2:$Q$2902,R$2,0),"")</f>
        <v>#N/A</v>
      </c>
      <c r="S1238" s="7" t="e">
        <f>IF(VLOOKUP($A1238,'Concrete Beam Schedule'!$A$2:$Q$2902,S$2,0)&lt;&gt;C1238,VLOOKUP($A1238,'Concrete Beam Schedule'!$A$2:$Q$2902,S$2,0),"")</f>
        <v>#N/A</v>
      </c>
      <c r="T1238" s="7" t="e">
        <f>IF(VLOOKUP($A1238,'Concrete Beam Schedule'!$A$2:$Q$2902,T$2,0)&lt;&gt;D1238,"Beam Revised","")</f>
        <v>#N/A</v>
      </c>
      <c r="U1238" s="7" t="e">
        <f>IF(VLOOKUP($A1238,'Concrete Beam Schedule'!$A$2:$Q$2902,U$2,0)&lt;&gt;E1238,"Beam Revised","")</f>
        <v>#N/A</v>
      </c>
      <c r="V1238" s="7" t="e">
        <f>IF(VLOOKUP($A1238,'Concrete Beam Schedule'!$A$2:$Q$2902,V$2,0)&lt;&gt;F1238,"Beam Revised","")</f>
        <v>#N/A</v>
      </c>
      <c r="W1238" s="7" t="e">
        <f>IF(VLOOKUP($A1238,'Concrete Beam Schedule'!$A$2:$Q$2902,W$2,0)&lt;&gt;G1238,"Beam Revised","")</f>
        <v>#N/A</v>
      </c>
      <c r="X1238" s="7" t="e">
        <f>IF(VLOOKUP($A1238,'Concrete Beam Schedule'!$A$2:$Q$2902,X$2,0)&lt;&gt;H1238,"Beam Revised","")</f>
        <v>#N/A</v>
      </c>
      <c r="Y1238" s="7" t="e">
        <f>IF(VLOOKUP($A1238,'Concrete Beam Schedule'!$A$2:$Q$2902,Y$2,0)&lt;&gt;I1238,"Beam Revised","")</f>
        <v>#N/A</v>
      </c>
      <c r="Z1238" s="7" t="e">
        <f>IF(VLOOKUP($A1238,'Concrete Beam Schedule'!$A$2:$Q$2902,Z$2,0)&lt;&gt;J1238,"Beam Revised","")</f>
        <v>#N/A</v>
      </c>
      <c r="AA1238" s="7" t="e">
        <f>IF(VLOOKUP($A1238,'Concrete Beam Schedule'!$A$2:$Q$2902,AA$2,0)&lt;&gt;K1238,"Beam Revised","")</f>
        <v>#N/A</v>
      </c>
      <c r="AB1238" s="7" t="e">
        <f>IF(VLOOKUP($A1238,'Concrete Beam Schedule'!$A$2:$Q$2902,AB$2,0)&lt;&gt;L1238,"Beam Revised","")</f>
        <v>#N/A</v>
      </c>
      <c r="AC1238" s="7" t="e">
        <f>IF(VLOOKUP($A1238,'Concrete Beam Schedule'!$A$2:$Q$2902,AC$2,0)&lt;&gt;M1238,"Beam Revised","")</f>
        <v>#N/A</v>
      </c>
      <c r="AD1238" s="7" t="e">
        <f>IF(VLOOKUP($A1238,'Concrete Beam Schedule'!$A$2:$Q$2902,AD$2,0)&lt;&gt;N1238,"Beam Revised","")</f>
        <v>#N/A</v>
      </c>
      <c r="AE1238" s="7" t="e">
        <f>IF(VLOOKUP($A1238,'Concrete Beam Schedule'!$A$2:$Q$2902,AE$2,0)&lt;&gt;O1238,"Beam Revised","")</f>
        <v>#N/A</v>
      </c>
    </row>
    <row r="1239" spans="17:31" ht="13.2" x14ac:dyDescent="0.25">
      <c r="Q1239" s="7">
        <f t="shared" si="19"/>
        <v>0</v>
      </c>
      <c r="R1239" s="7" t="e">
        <f>IF(VLOOKUP($A1239,'Concrete Beam Schedule'!$A$2:$Q$2902,R$2,0)&lt;&gt;B1239,VLOOKUP($A1239,'Concrete Beam Schedule'!$A$2:$Q$2902,R$2,0),"")</f>
        <v>#N/A</v>
      </c>
      <c r="S1239" s="7" t="e">
        <f>IF(VLOOKUP($A1239,'Concrete Beam Schedule'!$A$2:$Q$2902,S$2,0)&lt;&gt;C1239,VLOOKUP($A1239,'Concrete Beam Schedule'!$A$2:$Q$2902,S$2,0),"")</f>
        <v>#N/A</v>
      </c>
      <c r="T1239" s="7" t="e">
        <f>IF(VLOOKUP($A1239,'Concrete Beam Schedule'!$A$2:$Q$2902,T$2,0)&lt;&gt;D1239,"Beam Revised","")</f>
        <v>#N/A</v>
      </c>
      <c r="U1239" s="7" t="e">
        <f>IF(VLOOKUP($A1239,'Concrete Beam Schedule'!$A$2:$Q$2902,U$2,0)&lt;&gt;E1239,"Beam Revised","")</f>
        <v>#N/A</v>
      </c>
      <c r="V1239" s="7" t="e">
        <f>IF(VLOOKUP($A1239,'Concrete Beam Schedule'!$A$2:$Q$2902,V$2,0)&lt;&gt;F1239,"Beam Revised","")</f>
        <v>#N/A</v>
      </c>
      <c r="W1239" s="7" t="e">
        <f>IF(VLOOKUP($A1239,'Concrete Beam Schedule'!$A$2:$Q$2902,W$2,0)&lt;&gt;G1239,"Beam Revised","")</f>
        <v>#N/A</v>
      </c>
      <c r="X1239" s="7" t="e">
        <f>IF(VLOOKUP($A1239,'Concrete Beam Schedule'!$A$2:$Q$2902,X$2,0)&lt;&gt;H1239,"Beam Revised","")</f>
        <v>#N/A</v>
      </c>
      <c r="Y1239" s="7" t="e">
        <f>IF(VLOOKUP($A1239,'Concrete Beam Schedule'!$A$2:$Q$2902,Y$2,0)&lt;&gt;I1239,"Beam Revised","")</f>
        <v>#N/A</v>
      </c>
      <c r="Z1239" s="7" t="e">
        <f>IF(VLOOKUP($A1239,'Concrete Beam Schedule'!$A$2:$Q$2902,Z$2,0)&lt;&gt;J1239,"Beam Revised","")</f>
        <v>#N/A</v>
      </c>
      <c r="AA1239" s="7" t="e">
        <f>IF(VLOOKUP($A1239,'Concrete Beam Schedule'!$A$2:$Q$2902,AA$2,0)&lt;&gt;K1239,"Beam Revised","")</f>
        <v>#N/A</v>
      </c>
      <c r="AB1239" s="7" t="e">
        <f>IF(VLOOKUP($A1239,'Concrete Beam Schedule'!$A$2:$Q$2902,AB$2,0)&lt;&gt;L1239,"Beam Revised","")</f>
        <v>#N/A</v>
      </c>
      <c r="AC1239" s="7" t="e">
        <f>IF(VLOOKUP($A1239,'Concrete Beam Schedule'!$A$2:$Q$2902,AC$2,0)&lt;&gt;M1239,"Beam Revised","")</f>
        <v>#N/A</v>
      </c>
      <c r="AD1239" s="7" t="e">
        <f>IF(VLOOKUP($A1239,'Concrete Beam Schedule'!$A$2:$Q$2902,AD$2,0)&lt;&gt;N1239,"Beam Revised","")</f>
        <v>#N/A</v>
      </c>
      <c r="AE1239" s="7" t="e">
        <f>IF(VLOOKUP($A1239,'Concrete Beam Schedule'!$A$2:$Q$2902,AE$2,0)&lt;&gt;O1239,"Beam Revised","")</f>
        <v>#N/A</v>
      </c>
    </row>
    <row r="1240" spans="17:31" ht="13.2" x14ac:dyDescent="0.25">
      <c r="Q1240" s="7">
        <f t="shared" si="19"/>
        <v>0</v>
      </c>
      <c r="R1240" s="7" t="e">
        <f>IF(VLOOKUP($A1240,'Concrete Beam Schedule'!$A$2:$Q$2902,R$2,0)&lt;&gt;B1240,VLOOKUP($A1240,'Concrete Beam Schedule'!$A$2:$Q$2902,R$2,0),"")</f>
        <v>#N/A</v>
      </c>
      <c r="S1240" s="7" t="e">
        <f>IF(VLOOKUP($A1240,'Concrete Beam Schedule'!$A$2:$Q$2902,S$2,0)&lt;&gt;C1240,VLOOKUP($A1240,'Concrete Beam Schedule'!$A$2:$Q$2902,S$2,0),"")</f>
        <v>#N/A</v>
      </c>
      <c r="T1240" s="7" t="e">
        <f>IF(VLOOKUP($A1240,'Concrete Beam Schedule'!$A$2:$Q$2902,T$2,0)&lt;&gt;D1240,"Beam Revised","")</f>
        <v>#N/A</v>
      </c>
      <c r="U1240" s="7" t="e">
        <f>IF(VLOOKUP($A1240,'Concrete Beam Schedule'!$A$2:$Q$2902,U$2,0)&lt;&gt;E1240,"Beam Revised","")</f>
        <v>#N/A</v>
      </c>
      <c r="V1240" s="7" t="e">
        <f>IF(VLOOKUP($A1240,'Concrete Beam Schedule'!$A$2:$Q$2902,V$2,0)&lt;&gt;F1240,"Beam Revised","")</f>
        <v>#N/A</v>
      </c>
      <c r="W1240" s="7" t="e">
        <f>IF(VLOOKUP($A1240,'Concrete Beam Schedule'!$A$2:$Q$2902,W$2,0)&lt;&gt;G1240,"Beam Revised","")</f>
        <v>#N/A</v>
      </c>
      <c r="X1240" s="7" t="e">
        <f>IF(VLOOKUP($A1240,'Concrete Beam Schedule'!$A$2:$Q$2902,X$2,0)&lt;&gt;H1240,"Beam Revised","")</f>
        <v>#N/A</v>
      </c>
      <c r="Y1240" s="7" t="e">
        <f>IF(VLOOKUP($A1240,'Concrete Beam Schedule'!$A$2:$Q$2902,Y$2,0)&lt;&gt;I1240,"Beam Revised","")</f>
        <v>#N/A</v>
      </c>
      <c r="Z1240" s="7" t="e">
        <f>IF(VLOOKUP($A1240,'Concrete Beam Schedule'!$A$2:$Q$2902,Z$2,0)&lt;&gt;J1240,"Beam Revised","")</f>
        <v>#N/A</v>
      </c>
      <c r="AA1240" s="7" t="e">
        <f>IF(VLOOKUP($A1240,'Concrete Beam Schedule'!$A$2:$Q$2902,AA$2,0)&lt;&gt;K1240,"Beam Revised","")</f>
        <v>#N/A</v>
      </c>
      <c r="AB1240" s="7" t="e">
        <f>IF(VLOOKUP($A1240,'Concrete Beam Schedule'!$A$2:$Q$2902,AB$2,0)&lt;&gt;L1240,"Beam Revised","")</f>
        <v>#N/A</v>
      </c>
      <c r="AC1240" s="7" t="e">
        <f>IF(VLOOKUP($A1240,'Concrete Beam Schedule'!$A$2:$Q$2902,AC$2,0)&lt;&gt;M1240,"Beam Revised","")</f>
        <v>#N/A</v>
      </c>
      <c r="AD1240" s="7" t="e">
        <f>IF(VLOOKUP($A1240,'Concrete Beam Schedule'!$A$2:$Q$2902,AD$2,0)&lt;&gt;N1240,"Beam Revised","")</f>
        <v>#N/A</v>
      </c>
      <c r="AE1240" s="7" t="e">
        <f>IF(VLOOKUP($A1240,'Concrete Beam Schedule'!$A$2:$Q$2902,AE$2,0)&lt;&gt;O1240,"Beam Revised","")</f>
        <v>#N/A</v>
      </c>
    </row>
    <row r="1241" spans="17:31" ht="13.2" x14ac:dyDescent="0.25">
      <c r="Q1241" s="7">
        <f t="shared" si="19"/>
        <v>0</v>
      </c>
      <c r="R1241" s="7" t="e">
        <f>IF(VLOOKUP($A1241,'Concrete Beam Schedule'!$A$2:$Q$2902,R$2,0)&lt;&gt;B1241,VLOOKUP($A1241,'Concrete Beam Schedule'!$A$2:$Q$2902,R$2,0),"")</f>
        <v>#N/A</v>
      </c>
      <c r="S1241" s="7" t="e">
        <f>IF(VLOOKUP($A1241,'Concrete Beam Schedule'!$A$2:$Q$2902,S$2,0)&lt;&gt;C1241,VLOOKUP($A1241,'Concrete Beam Schedule'!$A$2:$Q$2902,S$2,0),"")</f>
        <v>#N/A</v>
      </c>
      <c r="T1241" s="7" t="e">
        <f>IF(VLOOKUP($A1241,'Concrete Beam Schedule'!$A$2:$Q$2902,T$2,0)&lt;&gt;D1241,"Beam Revised","")</f>
        <v>#N/A</v>
      </c>
      <c r="U1241" s="7" t="e">
        <f>IF(VLOOKUP($A1241,'Concrete Beam Schedule'!$A$2:$Q$2902,U$2,0)&lt;&gt;E1241,"Beam Revised","")</f>
        <v>#N/A</v>
      </c>
      <c r="V1241" s="7" t="e">
        <f>IF(VLOOKUP($A1241,'Concrete Beam Schedule'!$A$2:$Q$2902,V$2,0)&lt;&gt;F1241,"Beam Revised","")</f>
        <v>#N/A</v>
      </c>
      <c r="W1241" s="7" t="e">
        <f>IF(VLOOKUP($A1241,'Concrete Beam Schedule'!$A$2:$Q$2902,W$2,0)&lt;&gt;G1241,"Beam Revised","")</f>
        <v>#N/A</v>
      </c>
      <c r="X1241" s="7" t="e">
        <f>IF(VLOOKUP($A1241,'Concrete Beam Schedule'!$A$2:$Q$2902,X$2,0)&lt;&gt;H1241,"Beam Revised","")</f>
        <v>#N/A</v>
      </c>
      <c r="Y1241" s="7" t="e">
        <f>IF(VLOOKUP($A1241,'Concrete Beam Schedule'!$A$2:$Q$2902,Y$2,0)&lt;&gt;I1241,"Beam Revised","")</f>
        <v>#N/A</v>
      </c>
      <c r="Z1241" s="7" t="e">
        <f>IF(VLOOKUP($A1241,'Concrete Beam Schedule'!$A$2:$Q$2902,Z$2,0)&lt;&gt;J1241,"Beam Revised","")</f>
        <v>#N/A</v>
      </c>
      <c r="AA1241" s="7" t="e">
        <f>IF(VLOOKUP($A1241,'Concrete Beam Schedule'!$A$2:$Q$2902,AA$2,0)&lt;&gt;K1241,"Beam Revised","")</f>
        <v>#N/A</v>
      </c>
      <c r="AB1241" s="7" t="e">
        <f>IF(VLOOKUP($A1241,'Concrete Beam Schedule'!$A$2:$Q$2902,AB$2,0)&lt;&gt;L1241,"Beam Revised","")</f>
        <v>#N/A</v>
      </c>
      <c r="AC1241" s="7" t="e">
        <f>IF(VLOOKUP($A1241,'Concrete Beam Schedule'!$A$2:$Q$2902,AC$2,0)&lt;&gt;M1241,"Beam Revised","")</f>
        <v>#N/A</v>
      </c>
      <c r="AD1241" s="7" t="e">
        <f>IF(VLOOKUP($A1241,'Concrete Beam Schedule'!$A$2:$Q$2902,AD$2,0)&lt;&gt;N1241,"Beam Revised","")</f>
        <v>#N/A</v>
      </c>
      <c r="AE1241" s="7" t="e">
        <f>IF(VLOOKUP($A1241,'Concrete Beam Schedule'!$A$2:$Q$2902,AE$2,0)&lt;&gt;O1241,"Beam Revised","")</f>
        <v>#N/A</v>
      </c>
    </row>
    <row r="1242" spans="17:31" ht="13.2" x14ac:dyDescent="0.25">
      <c r="Q1242" s="7">
        <f t="shared" si="19"/>
        <v>0</v>
      </c>
      <c r="R1242" s="7" t="e">
        <f>IF(VLOOKUP($A1242,'Concrete Beam Schedule'!$A$2:$Q$2902,R$2,0)&lt;&gt;B1242,VLOOKUP($A1242,'Concrete Beam Schedule'!$A$2:$Q$2902,R$2,0),"")</f>
        <v>#N/A</v>
      </c>
      <c r="S1242" s="7" t="e">
        <f>IF(VLOOKUP($A1242,'Concrete Beam Schedule'!$A$2:$Q$2902,S$2,0)&lt;&gt;C1242,VLOOKUP($A1242,'Concrete Beam Schedule'!$A$2:$Q$2902,S$2,0),"")</f>
        <v>#N/A</v>
      </c>
      <c r="T1242" s="7" t="e">
        <f>IF(VLOOKUP($A1242,'Concrete Beam Schedule'!$A$2:$Q$2902,T$2,0)&lt;&gt;D1242,"Beam Revised","")</f>
        <v>#N/A</v>
      </c>
      <c r="U1242" s="7" t="e">
        <f>IF(VLOOKUP($A1242,'Concrete Beam Schedule'!$A$2:$Q$2902,U$2,0)&lt;&gt;E1242,"Beam Revised","")</f>
        <v>#N/A</v>
      </c>
      <c r="V1242" s="7" t="e">
        <f>IF(VLOOKUP($A1242,'Concrete Beam Schedule'!$A$2:$Q$2902,V$2,0)&lt;&gt;F1242,"Beam Revised","")</f>
        <v>#N/A</v>
      </c>
      <c r="W1242" s="7" t="e">
        <f>IF(VLOOKUP($A1242,'Concrete Beam Schedule'!$A$2:$Q$2902,W$2,0)&lt;&gt;G1242,"Beam Revised","")</f>
        <v>#N/A</v>
      </c>
      <c r="X1242" s="7" t="e">
        <f>IF(VLOOKUP($A1242,'Concrete Beam Schedule'!$A$2:$Q$2902,X$2,0)&lt;&gt;H1242,"Beam Revised","")</f>
        <v>#N/A</v>
      </c>
      <c r="Y1242" s="7" t="e">
        <f>IF(VLOOKUP($A1242,'Concrete Beam Schedule'!$A$2:$Q$2902,Y$2,0)&lt;&gt;I1242,"Beam Revised","")</f>
        <v>#N/A</v>
      </c>
      <c r="Z1242" s="7" t="e">
        <f>IF(VLOOKUP($A1242,'Concrete Beam Schedule'!$A$2:$Q$2902,Z$2,0)&lt;&gt;J1242,"Beam Revised","")</f>
        <v>#N/A</v>
      </c>
      <c r="AA1242" s="7" t="e">
        <f>IF(VLOOKUP($A1242,'Concrete Beam Schedule'!$A$2:$Q$2902,AA$2,0)&lt;&gt;K1242,"Beam Revised","")</f>
        <v>#N/A</v>
      </c>
      <c r="AB1242" s="7" t="e">
        <f>IF(VLOOKUP($A1242,'Concrete Beam Schedule'!$A$2:$Q$2902,AB$2,0)&lt;&gt;L1242,"Beam Revised","")</f>
        <v>#N/A</v>
      </c>
      <c r="AC1242" s="7" t="e">
        <f>IF(VLOOKUP($A1242,'Concrete Beam Schedule'!$A$2:$Q$2902,AC$2,0)&lt;&gt;M1242,"Beam Revised","")</f>
        <v>#N/A</v>
      </c>
      <c r="AD1242" s="7" t="e">
        <f>IF(VLOOKUP($A1242,'Concrete Beam Schedule'!$A$2:$Q$2902,AD$2,0)&lt;&gt;N1242,"Beam Revised","")</f>
        <v>#N/A</v>
      </c>
      <c r="AE1242" s="7" t="e">
        <f>IF(VLOOKUP($A1242,'Concrete Beam Schedule'!$A$2:$Q$2902,AE$2,0)&lt;&gt;O1242,"Beam Revised","")</f>
        <v>#N/A</v>
      </c>
    </row>
    <row r="1243" spans="17:31" ht="13.2" x14ac:dyDescent="0.25">
      <c r="Q1243" s="7">
        <f t="shared" si="19"/>
        <v>0</v>
      </c>
      <c r="R1243" s="7" t="e">
        <f>IF(VLOOKUP($A1243,'Concrete Beam Schedule'!$A$2:$Q$2902,R$2,0)&lt;&gt;B1243,VLOOKUP($A1243,'Concrete Beam Schedule'!$A$2:$Q$2902,R$2,0),"")</f>
        <v>#N/A</v>
      </c>
      <c r="S1243" s="7" t="e">
        <f>IF(VLOOKUP($A1243,'Concrete Beam Schedule'!$A$2:$Q$2902,S$2,0)&lt;&gt;C1243,VLOOKUP($A1243,'Concrete Beam Schedule'!$A$2:$Q$2902,S$2,0),"")</f>
        <v>#N/A</v>
      </c>
      <c r="T1243" s="7" t="e">
        <f>IF(VLOOKUP($A1243,'Concrete Beam Schedule'!$A$2:$Q$2902,T$2,0)&lt;&gt;D1243,"Beam Revised","")</f>
        <v>#N/A</v>
      </c>
      <c r="U1243" s="7" t="e">
        <f>IF(VLOOKUP($A1243,'Concrete Beam Schedule'!$A$2:$Q$2902,U$2,0)&lt;&gt;E1243,"Beam Revised","")</f>
        <v>#N/A</v>
      </c>
      <c r="V1243" s="7" t="e">
        <f>IF(VLOOKUP($A1243,'Concrete Beam Schedule'!$A$2:$Q$2902,V$2,0)&lt;&gt;F1243,"Beam Revised","")</f>
        <v>#N/A</v>
      </c>
      <c r="W1243" s="7" t="e">
        <f>IF(VLOOKUP($A1243,'Concrete Beam Schedule'!$A$2:$Q$2902,W$2,0)&lt;&gt;G1243,"Beam Revised","")</f>
        <v>#N/A</v>
      </c>
      <c r="X1243" s="7" t="e">
        <f>IF(VLOOKUP($A1243,'Concrete Beam Schedule'!$A$2:$Q$2902,X$2,0)&lt;&gt;H1243,"Beam Revised","")</f>
        <v>#N/A</v>
      </c>
      <c r="Y1243" s="7" t="e">
        <f>IF(VLOOKUP($A1243,'Concrete Beam Schedule'!$A$2:$Q$2902,Y$2,0)&lt;&gt;I1243,"Beam Revised","")</f>
        <v>#N/A</v>
      </c>
      <c r="Z1243" s="7" t="e">
        <f>IF(VLOOKUP($A1243,'Concrete Beam Schedule'!$A$2:$Q$2902,Z$2,0)&lt;&gt;J1243,"Beam Revised","")</f>
        <v>#N/A</v>
      </c>
      <c r="AA1243" s="7" t="e">
        <f>IF(VLOOKUP($A1243,'Concrete Beam Schedule'!$A$2:$Q$2902,AA$2,0)&lt;&gt;K1243,"Beam Revised","")</f>
        <v>#N/A</v>
      </c>
      <c r="AB1243" s="7" t="e">
        <f>IF(VLOOKUP($A1243,'Concrete Beam Schedule'!$A$2:$Q$2902,AB$2,0)&lt;&gt;L1243,"Beam Revised","")</f>
        <v>#N/A</v>
      </c>
      <c r="AC1243" s="7" t="e">
        <f>IF(VLOOKUP($A1243,'Concrete Beam Schedule'!$A$2:$Q$2902,AC$2,0)&lt;&gt;M1243,"Beam Revised","")</f>
        <v>#N/A</v>
      </c>
      <c r="AD1243" s="7" t="e">
        <f>IF(VLOOKUP($A1243,'Concrete Beam Schedule'!$A$2:$Q$2902,AD$2,0)&lt;&gt;N1243,"Beam Revised","")</f>
        <v>#N/A</v>
      </c>
      <c r="AE1243" s="7" t="e">
        <f>IF(VLOOKUP($A1243,'Concrete Beam Schedule'!$A$2:$Q$2902,AE$2,0)&lt;&gt;O1243,"Beam Revised","")</f>
        <v>#N/A</v>
      </c>
    </row>
    <row r="1244" spans="17:31" ht="13.2" x14ac:dyDescent="0.25">
      <c r="Q1244" s="7">
        <f t="shared" si="19"/>
        <v>0</v>
      </c>
      <c r="R1244" s="7" t="e">
        <f>IF(VLOOKUP($A1244,'Concrete Beam Schedule'!$A$2:$Q$2902,R$2,0)&lt;&gt;B1244,VLOOKUP($A1244,'Concrete Beam Schedule'!$A$2:$Q$2902,R$2,0),"")</f>
        <v>#N/A</v>
      </c>
      <c r="S1244" s="7" t="e">
        <f>IF(VLOOKUP($A1244,'Concrete Beam Schedule'!$A$2:$Q$2902,S$2,0)&lt;&gt;C1244,VLOOKUP($A1244,'Concrete Beam Schedule'!$A$2:$Q$2902,S$2,0),"")</f>
        <v>#N/A</v>
      </c>
      <c r="T1244" s="7" t="e">
        <f>IF(VLOOKUP($A1244,'Concrete Beam Schedule'!$A$2:$Q$2902,T$2,0)&lt;&gt;D1244,"Beam Revised","")</f>
        <v>#N/A</v>
      </c>
      <c r="U1244" s="7" t="e">
        <f>IF(VLOOKUP($A1244,'Concrete Beam Schedule'!$A$2:$Q$2902,U$2,0)&lt;&gt;E1244,"Beam Revised","")</f>
        <v>#N/A</v>
      </c>
      <c r="V1244" s="7" t="e">
        <f>IF(VLOOKUP($A1244,'Concrete Beam Schedule'!$A$2:$Q$2902,V$2,0)&lt;&gt;F1244,"Beam Revised","")</f>
        <v>#N/A</v>
      </c>
      <c r="W1244" s="7" t="e">
        <f>IF(VLOOKUP($A1244,'Concrete Beam Schedule'!$A$2:$Q$2902,W$2,0)&lt;&gt;G1244,"Beam Revised","")</f>
        <v>#N/A</v>
      </c>
      <c r="X1244" s="7" t="e">
        <f>IF(VLOOKUP($A1244,'Concrete Beam Schedule'!$A$2:$Q$2902,X$2,0)&lt;&gt;H1244,"Beam Revised","")</f>
        <v>#N/A</v>
      </c>
      <c r="Y1244" s="7" t="e">
        <f>IF(VLOOKUP($A1244,'Concrete Beam Schedule'!$A$2:$Q$2902,Y$2,0)&lt;&gt;I1244,"Beam Revised","")</f>
        <v>#N/A</v>
      </c>
      <c r="Z1244" s="7" t="e">
        <f>IF(VLOOKUP($A1244,'Concrete Beam Schedule'!$A$2:$Q$2902,Z$2,0)&lt;&gt;J1244,"Beam Revised","")</f>
        <v>#N/A</v>
      </c>
      <c r="AA1244" s="7" t="e">
        <f>IF(VLOOKUP($A1244,'Concrete Beam Schedule'!$A$2:$Q$2902,AA$2,0)&lt;&gt;K1244,"Beam Revised","")</f>
        <v>#N/A</v>
      </c>
      <c r="AB1244" s="7" t="e">
        <f>IF(VLOOKUP($A1244,'Concrete Beam Schedule'!$A$2:$Q$2902,AB$2,0)&lt;&gt;L1244,"Beam Revised","")</f>
        <v>#N/A</v>
      </c>
      <c r="AC1244" s="7" t="e">
        <f>IF(VLOOKUP($A1244,'Concrete Beam Schedule'!$A$2:$Q$2902,AC$2,0)&lt;&gt;M1244,"Beam Revised","")</f>
        <v>#N/A</v>
      </c>
      <c r="AD1244" s="7" t="e">
        <f>IF(VLOOKUP($A1244,'Concrete Beam Schedule'!$A$2:$Q$2902,AD$2,0)&lt;&gt;N1244,"Beam Revised","")</f>
        <v>#N/A</v>
      </c>
      <c r="AE1244" s="7" t="e">
        <f>IF(VLOOKUP($A1244,'Concrete Beam Schedule'!$A$2:$Q$2902,AE$2,0)&lt;&gt;O1244,"Beam Revised","")</f>
        <v>#N/A</v>
      </c>
    </row>
    <row r="1245" spans="17:31" ht="13.2" x14ac:dyDescent="0.25">
      <c r="Q1245" s="7">
        <f t="shared" si="19"/>
        <v>0</v>
      </c>
      <c r="R1245" s="7" t="e">
        <f>IF(VLOOKUP($A1245,'Concrete Beam Schedule'!$A$2:$Q$2902,R$2,0)&lt;&gt;B1245,VLOOKUP($A1245,'Concrete Beam Schedule'!$A$2:$Q$2902,R$2,0),"")</f>
        <v>#N/A</v>
      </c>
      <c r="S1245" s="7" t="e">
        <f>IF(VLOOKUP($A1245,'Concrete Beam Schedule'!$A$2:$Q$2902,S$2,0)&lt;&gt;C1245,VLOOKUP($A1245,'Concrete Beam Schedule'!$A$2:$Q$2902,S$2,0),"")</f>
        <v>#N/A</v>
      </c>
      <c r="T1245" s="7" t="e">
        <f>IF(VLOOKUP($A1245,'Concrete Beam Schedule'!$A$2:$Q$2902,T$2,0)&lt;&gt;D1245,"Beam Revised","")</f>
        <v>#N/A</v>
      </c>
      <c r="U1245" s="7" t="e">
        <f>IF(VLOOKUP($A1245,'Concrete Beam Schedule'!$A$2:$Q$2902,U$2,0)&lt;&gt;E1245,"Beam Revised","")</f>
        <v>#N/A</v>
      </c>
      <c r="V1245" s="7" t="e">
        <f>IF(VLOOKUP($A1245,'Concrete Beam Schedule'!$A$2:$Q$2902,V$2,0)&lt;&gt;F1245,"Beam Revised","")</f>
        <v>#N/A</v>
      </c>
      <c r="W1245" s="7" t="e">
        <f>IF(VLOOKUP($A1245,'Concrete Beam Schedule'!$A$2:$Q$2902,W$2,0)&lt;&gt;G1245,"Beam Revised","")</f>
        <v>#N/A</v>
      </c>
      <c r="X1245" s="7" t="e">
        <f>IF(VLOOKUP($A1245,'Concrete Beam Schedule'!$A$2:$Q$2902,X$2,0)&lt;&gt;H1245,"Beam Revised","")</f>
        <v>#N/A</v>
      </c>
      <c r="Y1245" s="7" t="e">
        <f>IF(VLOOKUP($A1245,'Concrete Beam Schedule'!$A$2:$Q$2902,Y$2,0)&lt;&gt;I1245,"Beam Revised","")</f>
        <v>#N/A</v>
      </c>
      <c r="Z1245" s="7" t="e">
        <f>IF(VLOOKUP($A1245,'Concrete Beam Schedule'!$A$2:$Q$2902,Z$2,0)&lt;&gt;J1245,"Beam Revised","")</f>
        <v>#N/A</v>
      </c>
      <c r="AA1245" s="7" t="e">
        <f>IF(VLOOKUP($A1245,'Concrete Beam Schedule'!$A$2:$Q$2902,AA$2,0)&lt;&gt;K1245,"Beam Revised","")</f>
        <v>#N/A</v>
      </c>
      <c r="AB1245" s="7" t="e">
        <f>IF(VLOOKUP($A1245,'Concrete Beam Schedule'!$A$2:$Q$2902,AB$2,0)&lt;&gt;L1245,"Beam Revised","")</f>
        <v>#N/A</v>
      </c>
      <c r="AC1245" s="7" t="e">
        <f>IF(VLOOKUP($A1245,'Concrete Beam Schedule'!$A$2:$Q$2902,AC$2,0)&lt;&gt;M1245,"Beam Revised","")</f>
        <v>#N/A</v>
      </c>
      <c r="AD1245" s="7" t="e">
        <f>IF(VLOOKUP($A1245,'Concrete Beam Schedule'!$A$2:$Q$2902,AD$2,0)&lt;&gt;N1245,"Beam Revised","")</f>
        <v>#N/A</v>
      </c>
      <c r="AE1245" s="7" t="e">
        <f>IF(VLOOKUP($A1245,'Concrete Beam Schedule'!$A$2:$Q$2902,AE$2,0)&lt;&gt;O1245,"Beam Revised","")</f>
        <v>#N/A</v>
      </c>
    </row>
    <row r="1246" spans="17:31" ht="13.2" x14ac:dyDescent="0.25">
      <c r="Q1246" s="7">
        <f t="shared" si="19"/>
        <v>0</v>
      </c>
      <c r="R1246" s="7" t="e">
        <f>IF(VLOOKUP($A1246,'Concrete Beam Schedule'!$A$2:$Q$2902,R$2,0)&lt;&gt;B1246,VLOOKUP($A1246,'Concrete Beam Schedule'!$A$2:$Q$2902,R$2,0),"")</f>
        <v>#N/A</v>
      </c>
      <c r="S1246" s="7" t="e">
        <f>IF(VLOOKUP($A1246,'Concrete Beam Schedule'!$A$2:$Q$2902,S$2,0)&lt;&gt;C1246,VLOOKUP($A1246,'Concrete Beam Schedule'!$A$2:$Q$2902,S$2,0),"")</f>
        <v>#N/A</v>
      </c>
      <c r="T1246" s="7" t="e">
        <f>IF(VLOOKUP($A1246,'Concrete Beam Schedule'!$A$2:$Q$2902,T$2,0)&lt;&gt;D1246,"Beam Revised","")</f>
        <v>#N/A</v>
      </c>
      <c r="U1246" s="7" t="e">
        <f>IF(VLOOKUP($A1246,'Concrete Beam Schedule'!$A$2:$Q$2902,U$2,0)&lt;&gt;E1246,"Beam Revised","")</f>
        <v>#N/A</v>
      </c>
      <c r="V1246" s="7" t="e">
        <f>IF(VLOOKUP($A1246,'Concrete Beam Schedule'!$A$2:$Q$2902,V$2,0)&lt;&gt;F1246,"Beam Revised","")</f>
        <v>#N/A</v>
      </c>
      <c r="W1246" s="7" t="e">
        <f>IF(VLOOKUP($A1246,'Concrete Beam Schedule'!$A$2:$Q$2902,W$2,0)&lt;&gt;G1246,"Beam Revised","")</f>
        <v>#N/A</v>
      </c>
      <c r="X1246" s="7" t="e">
        <f>IF(VLOOKUP($A1246,'Concrete Beam Schedule'!$A$2:$Q$2902,X$2,0)&lt;&gt;H1246,"Beam Revised","")</f>
        <v>#N/A</v>
      </c>
      <c r="Y1246" s="7" t="e">
        <f>IF(VLOOKUP($A1246,'Concrete Beam Schedule'!$A$2:$Q$2902,Y$2,0)&lt;&gt;I1246,"Beam Revised","")</f>
        <v>#N/A</v>
      </c>
      <c r="Z1246" s="7" t="e">
        <f>IF(VLOOKUP($A1246,'Concrete Beam Schedule'!$A$2:$Q$2902,Z$2,0)&lt;&gt;J1246,"Beam Revised","")</f>
        <v>#N/A</v>
      </c>
      <c r="AA1246" s="7" t="e">
        <f>IF(VLOOKUP($A1246,'Concrete Beam Schedule'!$A$2:$Q$2902,AA$2,0)&lt;&gt;K1246,"Beam Revised","")</f>
        <v>#N/A</v>
      </c>
      <c r="AB1246" s="7" t="e">
        <f>IF(VLOOKUP($A1246,'Concrete Beam Schedule'!$A$2:$Q$2902,AB$2,0)&lt;&gt;L1246,"Beam Revised","")</f>
        <v>#N/A</v>
      </c>
      <c r="AC1246" s="7" t="e">
        <f>IF(VLOOKUP($A1246,'Concrete Beam Schedule'!$A$2:$Q$2902,AC$2,0)&lt;&gt;M1246,"Beam Revised","")</f>
        <v>#N/A</v>
      </c>
      <c r="AD1246" s="7" t="e">
        <f>IF(VLOOKUP($A1246,'Concrete Beam Schedule'!$A$2:$Q$2902,AD$2,0)&lt;&gt;N1246,"Beam Revised","")</f>
        <v>#N/A</v>
      </c>
      <c r="AE1246" s="7" t="e">
        <f>IF(VLOOKUP($A1246,'Concrete Beam Schedule'!$A$2:$Q$2902,AE$2,0)&lt;&gt;O1246,"Beam Revised","")</f>
        <v>#N/A</v>
      </c>
    </row>
    <row r="1247" spans="17:31" ht="13.2" x14ac:dyDescent="0.25">
      <c r="Q1247" s="7">
        <f t="shared" si="19"/>
        <v>0</v>
      </c>
      <c r="R1247" s="7" t="e">
        <f>IF(VLOOKUP($A1247,'Concrete Beam Schedule'!$A$2:$Q$2902,R$2,0)&lt;&gt;B1247,VLOOKUP($A1247,'Concrete Beam Schedule'!$A$2:$Q$2902,R$2,0),"")</f>
        <v>#N/A</v>
      </c>
      <c r="S1247" s="7" t="e">
        <f>IF(VLOOKUP($A1247,'Concrete Beam Schedule'!$A$2:$Q$2902,S$2,0)&lt;&gt;C1247,VLOOKUP($A1247,'Concrete Beam Schedule'!$A$2:$Q$2902,S$2,0),"")</f>
        <v>#N/A</v>
      </c>
      <c r="T1247" s="7" t="e">
        <f>IF(VLOOKUP($A1247,'Concrete Beam Schedule'!$A$2:$Q$2902,T$2,0)&lt;&gt;D1247,"Beam Revised","")</f>
        <v>#N/A</v>
      </c>
      <c r="U1247" s="7" t="e">
        <f>IF(VLOOKUP($A1247,'Concrete Beam Schedule'!$A$2:$Q$2902,U$2,0)&lt;&gt;E1247,"Beam Revised","")</f>
        <v>#N/A</v>
      </c>
      <c r="V1247" s="7" t="e">
        <f>IF(VLOOKUP($A1247,'Concrete Beam Schedule'!$A$2:$Q$2902,V$2,0)&lt;&gt;F1247,"Beam Revised","")</f>
        <v>#N/A</v>
      </c>
      <c r="W1247" s="7" t="e">
        <f>IF(VLOOKUP($A1247,'Concrete Beam Schedule'!$A$2:$Q$2902,W$2,0)&lt;&gt;G1247,"Beam Revised","")</f>
        <v>#N/A</v>
      </c>
      <c r="X1247" s="7" t="e">
        <f>IF(VLOOKUP($A1247,'Concrete Beam Schedule'!$A$2:$Q$2902,X$2,0)&lt;&gt;H1247,"Beam Revised","")</f>
        <v>#N/A</v>
      </c>
      <c r="Y1247" s="7" t="e">
        <f>IF(VLOOKUP($A1247,'Concrete Beam Schedule'!$A$2:$Q$2902,Y$2,0)&lt;&gt;I1247,"Beam Revised","")</f>
        <v>#N/A</v>
      </c>
      <c r="Z1247" s="7" t="e">
        <f>IF(VLOOKUP($A1247,'Concrete Beam Schedule'!$A$2:$Q$2902,Z$2,0)&lt;&gt;J1247,"Beam Revised","")</f>
        <v>#N/A</v>
      </c>
      <c r="AA1247" s="7" t="e">
        <f>IF(VLOOKUP($A1247,'Concrete Beam Schedule'!$A$2:$Q$2902,AA$2,0)&lt;&gt;K1247,"Beam Revised","")</f>
        <v>#N/A</v>
      </c>
      <c r="AB1247" s="7" t="e">
        <f>IF(VLOOKUP($A1247,'Concrete Beam Schedule'!$A$2:$Q$2902,AB$2,0)&lt;&gt;L1247,"Beam Revised","")</f>
        <v>#N/A</v>
      </c>
      <c r="AC1247" s="7" t="e">
        <f>IF(VLOOKUP($A1247,'Concrete Beam Schedule'!$A$2:$Q$2902,AC$2,0)&lt;&gt;M1247,"Beam Revised","")</f>
        <v>#N/A</v>
      </c>
      <c r="AD1247" s="7" t="e">
        <f>IF(VLOOKUP($A1247,'Concrete Beam Schedule'!$A$2:$Q$2902,AD$2,0)&lt;&gt;N1247,"Beam Revised","")</f>
        <v>#N/A</v>
      </c>
      <c r="AE1247" s="7" t="e">
        <f>IF(VLOOKUP($A1247,'Concrete Beam Schedule'!$A$2:$Q$2902,AE$2,0)&lt;&gt;O1247,"Beam Revised","")</f>
        <v>#N/A</v>
      </c>
    </row>
    <row r="1248" spans="17:31" ht="13.2" x14ac:dyDescent="0.25">
      <c r="Q1248" s="7">
        <f t="shared" si="19"/>
        <v>0</v>
      </c>
      <c r="R1248" s="7" t="e">
        <f>IF(VLOOKUP($A1248,'Concrete Beam Schedule'!$A$2:$Q$2902,R$2,0)&lt;&gt;B1248,VLOOKUP($A1248,'Concrete Beam Schedule'!$A$2:$Q$2902,R$2,0),"")</f>
        <v>#N/A</v>
      </c>
      <c r="S1248" s="7" t="e">
        <f>IF(VLOOKUP($A1248,'Concrete Beam Schedule'!$A$2:$Q$2902,S$2,0)&lt;&gt;C1248,VLOOKUP($A1248,'Concrete Beam Schedule'!$A$2:$Q$2902,S$2,0),"")</f>
        <v>#N/A</v>
      </c>
      <c r="T1248" s="7" t="e">
        <f>IF(VLOOKUP($A1248,'Concrete Beam Schedule'!$A$2:$Q$2902,T$2,0)&lt;&gt;D1248,"Beam Revised","")</f>
        <v>#N/A</v>
      </c>
      <c r="U1248" s="7" t="e">
        <f>IF(VLOOKUP($A1248,'Concrete Beam Schedule'!$A$2:$Q$2902,U$2,0)&lt;&gt;E1248,"Beam Revised","")</f>
        <v>#N/A</v>
      </c>
      <c r="V1248" s="7" t="e">
        <f>IF(VLOOKUP($A1248,'Concrete Beam Schedule'!$A$2:$Q$2902,V$2,0)&lt;&gt;F1248,"Beam Revised","")</f>
        <v>#N/A</v>
      </c>
      <c r="W1248" s="7" t="e">
        <f>IF(VLOOKUP($A1248,'Concrete Beam Schedule'!$A$2:$Q$2902,W$2,0)&lt;&gt;G1248,"Beam Revised","")</f>
        <v>#N/A</v>
      </c>
      <c r="X1248" s="7" t="e">
        <f>IF(VLOOKUP($A1248,'Concrete Beam Schedule'!$A$2:$Q$2902,X$2,0)&lt;&gt;H1248,"Beam Revised","")</f>
        <v>#N/A</v>
      </c>
      <c r="Y1248" s="7" t="e">
        <f>IF(VLOOKUP($A1248,'Concrete Beam Schedule'!$A$2:$Q$2902,Y$2,0)&lt;&gt;I1248,"Beam Revised","")</f>
        <v>#N/A</v>
      </c>
      <c r="Z1248" s="7" t="e">
        <f>IF(VLOOKUP($A1248,'Concrete Beam Schedule'!$A$2:$Q$2902,Z$2,0)&lt;&gt;J1248,"Beam Revised","")</f>
        <v>#N/A</v>
      </c>
      <c r="AA1248" s="7" t="e">
        <f>IF(VLOOKUP($A1248,'Concrete Beam Schedule'!$A$2:$Q$2902,AA$2,0)&lt;&gt;K1248,"Beam Revised","")</f>
        <v>#N/A</v>
      </c>
      <c r="AB1248" s="7" t="e">
        <f>IF(VLOOKUP($A1248,'Concrete Beam Schedule'!$A$2:$Q$2902,AB$2,0)&lt;&gt;L1248,"Beam Revised","")</f>
        <v>#N/A</v>
      </c>
      <c r="AC1248" s="7" t="e">
        <f>IF(VLOOKUP($A1248,'Concrete Beam Schedule'!$A$2:$Q$2902,AC$2,0)&lt;&gt;M1248,"Beam Revised","")</f>
        <v>#N/A</v>
      </c>
      <c r="AD1248" s="7" t="e">
        <f>IF(VLOOKUP($A1248,'Concrete Beam Schedule'!$A$2:$Q$2902,AD$2,0)&lt;&gt;N1248,"Beam Revised","")</f>
        <v>#N/A</v>
      </c>
      <c r="AE1248" s="7" t="e">
        <f>IF(VLOOKUP($A1248,'Concrete Beam Schedule'!$A$2:$Q$2902,AE$2,0)&lt;&gt;O1248,"Beam Revised","")</f>
        <v>#N/A</v>
      </c>
    </row>
    <row r="1249" spans="17:31" ht="13.2" x14ac:dyDescent="0.25">
      <c r="Q1249" s="7">
        <f t="shared" si="19"/>
        <v>0</v>
      </c>
      <c r="R1249" s="7" t="e">
        <f>IF(VLOOKUP($A1249,'Concrete Beam Schedule'!$A$2:$Q$2902,R$2,0)&lt;&gt;B1249,VLOOKUP($A1249,'Concrete Beam Schedule'!$A$2:$Q$2902,R$2,0),"")</f>
        <v>#N/A</v>
      </c>
      <c r="S1249" s="7" t="e">
        <f>IF(VLOOKUP($A1249,'Concrete Beam Schedule'!$A$2:$Q$2902,S$2,0)&lt;&gt;C1249,VLOOKUP($A1249,'Concrete Beam Schedule'!$A$2:$Q$2902,S$2,0),"")</f>
        <v>#N/A</v>
      </c>
      <c r="T1249" s="7" t="e">
        <f>IF(VLOOKUP($A1249,'Concrete Beam Schedule'!$A$2:$Q$2902,T$2,0)&lt;&gt;D1249,"Beam Revised","")</f>
        <v>#N/A</v>
      </c>
      <c r="U1249" s="7" t="e">
        <f>IF(VLOOKUP($A1249,'Concrete Beam Schedule'!$A$2:$Q$2902,U$2,0)&lt;&gt;E1249,"Beam Revised","")</f>
        <v>#N/A</v>
      </c>
      <c r="V1249" s="7" t="e">
        <f>IF(VLOOKUP($A1249,'Concrete Beam Schedule'!$A$2:$Q$2902,V$2,0)&lt;&gt;F1249,"Beam Revised","")</f>
        <v>#N/A</v>
      </c>
      <c r="W1249" s="7" t="e">
        <f>IF(VLOOKUP($A1249,'Concrete Beam Schedule'!$A$2:$Q$2902,W$2,0)&lt;&gt;G1249,"Beam Revised","")</f>
        <v>#N/A</v>
      </c>
      <c r="X1249" s="7" t="e">
        <f>IF(VLOOKUP($A1249,'Concrete Beam Schedule'!$A$2:$Q$2902,X$2,0)&lt;&gt;H1249,"Beam Revised","")</f>
        <v>#N/A</v>
      </c>
      <c r="Y1249" s="7" t="e">
        <f>IF(VLOOKUP($A1249,'Concrete Beam Schedule'!$A$2:$Q$2902,Y$2,0)&lt;&gt;I1249,"Beam Revised","")</f>
        <v>#N/A</v>
      </c>
      <c r="Z1249" s="7" t="e">
        <f>IF(VLOOKUP($A1249,'Concrete Beam Schedule'!$A$2:$Q$2902,Z$2,0)&lt;&gt;J1249,"Beam Revised","")</f>
        <v>#N/A</v>
      </c>
      <c r="AA1249" s="7" t="e">
        <f>IF(VLOOKUP($A1249,'Concrete Beam Schedule'!$A$2:$Q$2902,AA$2,0)&lt;&gt;K1249,"Beam Revised","")</f>
        <v>#N/A</v>
      </c>
      <c r="AB1249" s="7" t="e">
        <f>IF(VLOOKUP($A1249,'Concrete Beam Schedule'!$A$2:$Q$2902,AB$2,0)&lt;&gt;L1249,"Beam Revised","")</f>
        <v>#N/A</v>
      </c>
      <c r="AC1249" s="7" t="e">
        <f>IF(VLOOKUP($A1249,'Concrete Beam Schedule'!$A$2:$Q$2902,AC$2,0)&lt;&gt;M1249,"Beam Revised","")</f>
        <v>#N/A</v>
      </c>
      <c r="AD1249" s="7" t="e">
        <f>IF(VLOOKUP($A1249,'Concrete Beam Schedule'!$A$2:$Q$2902,AD$2,0)&lt;&gt;N1249,"Beam Revised","")</f>
        <v>#N/A</v>
      </c>
      <c r="AE1249" s="7" t="e">
        <f>IF(VLOOKUP($A1249,'Concrete Beam Schedule'!$A$2:$Q$2902,AE$2,0)&lt;&gt;O1249,"Beam Revised","")</f>
        <v>#N/A</v>
      </c>
    </row>
    <row r="1250" spans="17:31" ht="13.2" x14ac:dyDescent="0.25">
      <c r="Q1250" s="7">
        <f t="shared" si="19"/>
        <v>0</v>
      </c>
      <c r="R1250" s="7" t="e">
        <f>IF(VLOOKUP($A1250,'Concrete Beam Schedule'!$A$2:$Q$2902,R$2,0)&lt;&gt;B1250,VLOOKUP($A1250,'Concrete Beam Schedule'!$A$2:$Q$2902,R$2,0),"")</f>
        <v>#N/A</v>
      </c>
      <c r="S1250" s="7" t="e">
        <f>IF(VLOOKUP($A1250,'Concrete Beam Schedule'!$A$2:$Q$2902,S$2,0)&lt;&gt;C1250,VLOOKUP($A1250,'Concrete Beam Schedule'!$A$2:$Q$2902,S$2,0),"")</f>
        <v>#N/A</v>
      </c>
      <c r="T1250" s="7" t="e">
        <f>IF(VLOOKUP($A1250,'Concrete Beam Schedule'!$A$2:$Q$2902,T$2,0)&lt;&gt;D1250,"Beam Revised","")</f>
        <v>#N/A</v>
      </c>
      <c r="U1250" s="7" t="e">
        <f>IF(VLOOKUP($A1250,'Concrete Beam Schedule'!$A$2:$Q$2902,U$2,0)&lt;&gt;E1250,"Beam Revised","")</f>
        <v>#N/A</v>
      </c>
      <c r="V1250" s="7" t="e">
        <f>IF(VLOOKUP($A1250,'Concrete Beam Schedule'!$A$2:$Q$2902,V$2,0)&lt;&gt;F1250,"Beam Revised","")</f>
        <v>#N/A</v>
      </c>
      <c r="W1250" s="7" t="e">
        <f>IF(VLOOKUP($A1250,'Concrete Beam Schedule'!$A$2:$Q$2902,W$2,0)&lt;&gt;G1250,"Beam Revised","")</f>
        <v>#N/A</v>
      </c>
      <c r="X1250" s="7" t="e">
        <f>IF(VLOOKUP($A1250,'Concrete Beam Schedule'!$A$2:$Q$2902,X$2,0)&lt;&gt;H1250,"Beam Revised","")</f>
        <v>#N/A</v>
      </c>
      <c r="Y1250" s="7" t="e">
        <f>IF(VLOOKUP($A1250,'Concrete Beam Schedule'!$A$2:$Q$2902,Y$2,0)&lt;&gt;I1250,"Beam Revised","")</f>
        <v>#N/A</v>
      </c>
      <c r="Z1250" s="7" t="e">
        <f>IF(VLOOKUP($A1250,'Concrete Beam Schedule'!$A$2:$Q$2902,Z$2,0)&lt;&gt;J1250,"Beam Revised","")</f>
        <v>#N/A</v>
      </c>
      <c r="AA1250" s="7" t="e">
        <f>IF(VLOOKUP($A1250,'Concrete Beam Schedule'!$A$2:$Q$2902,AA$2,0)&lt;&gt;K1250,"Beam Revised","")</f>
        <v>#N/A</v>
      </c>
      <c r="AB1250" s="7" t="e">
        <f>IF(VLOOKUP($A1250,'Concrete Beam Schedule'!$A$2:$Q$2902,AB$2,0)&lt;&gt;L1250,"Beam Revised","")</f>
        <v>#N/A</v>
      </c>
      <c r="AC1250" s="7" t="e">
        <f>IF(VLOOKUP($A1250,'Concrete Beam Schedule'!$A$2:$Q$2902,AC$2,0)&lt;&gt;M1250,"Beam Revised","")</f>
        <v>#N/A</v>
      </c>
      <c r="AD1250" s="7" t="e">
        <f>IF(VLOOKUP($A1250,'Concrete Beam Schedule'!$A$2:$Q$2902,AD$2,0)&lt;&gt;N1250,"Beam Revised","")</f>
        <v>#N/A</v>
      </c>
      <c r="AE1250" s="7" t="e">
        <f>IF(VLOOKUP($A1250,'Concrete Beam Schedule'!$A$2:$Q$2902,AE$2,0)&lt;&gt;O1250,"Beam Revised","")</f>
        <v>#N/A</v>
      </c>
    </row>
    <row r="1251" spans="17:31" ht="13.2" x14ac:dyDescent="0.25">
      <c r="Q1251" s="7">
        <f t="shared" si="19"/>
        <v>0</v>
      </c>
      <c r="R1251" s="7" t="e">
        <f>IF(VLOOKUP($A1251,'Concrete Beam Schedule'!$A$2:$Q$2902,R$2,0)&lt;&gt;B1251,VLOOKUP($A1251,'Concrete Beam Schedule'!$A$2:$Q$2902,R$2,0),"")</f>
        <v>#N/A</v>
      </c>
      <c r="S1251" s="7" t="e">
        <f>IF(VLOOKUP($A1251,'Concrete Beam Schedule'!$A$2:$Q$2902,S$2,0)&lt;&gt;C1251,VLOOKUP($A1251,'Concrete Beam Schedule'!$A$2:$Q$2902,S$2,0),"")</f>
        <v>#N/A</v>
      </c>
      <c r="T1251" s="7" t="e">
        <f>IF(VLOOKUP($A1251,'Concrete Beam Schedule'!$A$2:$Q$2902,T$2,0)&lt;&gt;D1251,"Beam Revised","")</f>
        <v>#N/A</v>
      </c>
      <c r="U1251" s="7" t="e">
        <f>IF(VLOOKUP($A1251,'Concrete Beam Schedule'!$A$2:$Q$2902,U$2,0)&lt;&gt;E1251,"Beam Revised","")</f>
        <v>#N/A</v>
      </c>
      <c r="V1251" s="7" t="e">
        <f>IF(VLOOKUP($A1251,'Concrete Beam Schedule'!$A$2:$Q$2902,V$2,0)&lt;&gt;F1251,"Beam Revised","")</f>
        <v>#N/A</v>
      </c>
      <c r="W1251" s="7" t="e">
        <f>IF(VLOOKUP($A1251,'Concrete Beam Schedule'!$A$2:$Q$2902,W$2,0)&lt;&gt;G1251,"Beam Revised","")</f>
        <v>#N/A</v>
      </c>
      <c r="X1251" s="7" t="e">
        <f>IF(VLOOKUP($A1251,'Concrete Beam Schedule'!$A$2:$Q$2902,X$2,0)&lt;&gt;H1251,"Beam Revised","")</f>
        <v>#N/A</v>
      </c>
      <c r="Y1251" s="7" t="e">
        <f>IF(VLOOKUP($A1251,'Concrete Beam Schedule'!$A$2:$Q$2902,Y$2,0)&lt;&gt;I1251,"Beam Revised","")</f>
        <v>#N/A</v>
      </c>
      <c r="Z1251" s="7" t="e">
        <f>IF(VLOOKUP($A1251,'Concrete Beam Schedule'!$A$2:$Q$2902,Z$2,0)&lt;&gt;J1251,"Beam Revised","")</f>
        <v>#N/A</v>
      </c>
      <c r="AA1251" s="7" t="e">
        <f>IF(VLOOKUP($A1251,'Concrete Beam Schedule'!$A$2:$Q$2902,AA$2,0)&lt;&gt;K1251,"Beam Revised","")</f>
        <v>#N/A</v>
      </c>
      <c r="AB1251" s="7" t="e">
        <f>IF(VLOOKUP($A1251,'Concrete Beam Schedule'!$A$2:$Q$2902,AB$2,0)&lt;&gt;L1251,"Beam Revised","")</f>
        <v>#N/A</v>
      </c>
      <c r="AC1251" s="7" t="e">
        <f>IF(VLOOKUP($A1251,'Concrete Beam Schedule'!$A$2:$Q$2902,AC$2,0)&lt;&gt;M1251,"Beam Revised","")</f>
        <v>#N/A</v>
      </c>
      <c r="AD1251" s="7" t="e">
        <f>IF(VLOOKUP($A1251,'Concrete Beam Schedule'!$A$2:$Q$2902,AD$2,0)&lt;&gt;N1251,"Beam Revised","")</f>
        <v>#N/A</v>
      </c>
      <c r="AE1251" s="7" t="e">
        <f>IF(VLOOKUP($A1251,'Concrete Beam Schedule'!$A$2:$Q$2902,AE$2,0)&lt;&gt;O1251,"Beam Revised","")</f>
        <v>#N/A</v>
      </c>
    </row>
    <row r="1252" spans="17:31" ht="13.2" x14ac:dyDescent="0.25">
      <c r="Q1252" s="7">
        <f t="shared" si="19"/>
        <v>0</v>
      </c>
      <c r="R1252" s="7" t="e">
        <f>IF(VLOOKUP($A1252,'Concrete Beam Schedule'!$A$2:$Q$2902,R$2,0)&lt;&gt;B1252,VLOOKUP($A1252,'Concrete Beam Schedule'!$A$2:$Q$2902,R$2,0),"")</f>
        <v>#N/A</v>
      </c>
      <c r="S1252" s="7" t="e">
        <f>IF(VLOOKUP($A1252,'Concrete Beam Schedule'!$A$2:$Q$2902,S$2,0)&lt;&gt;C1252,VLOOKUP($A1252,'Concrete Beam Schedule'!$A$2:$Q$2902,S$2,0),"")</f>
        <v>#N/A</v>
      </c>
      <c r="T1252" s="7" t="e">
        <f>IF(VLOOKUP($A1252,'Concrete Beam Schedule'!$A$2:$Q$2902,T$2,0)&lt;&gt;D1252,"Beam Revised","")</f>
        <v>#N/A</v>
      </c>
      <c r="U1252" s="7" t="e">
        <f>IF(VLOOKUP($A1252,'Concrete Beam Schedule'!$A$2:$Q$2902,U$2,0)&lt;&gt;E1252,"Beam Revised","")</f>
        <v>#N/A</v>
      </c>
      <c r="V1252" s="7" t="e">
        <f>IF(VLOOKUP($A1252,'Concrete Beam Schedule'!$A$2:$Q$2902,V$2,0)&lt;&gt;F1252,"Beam Revised","")</f>
        <v>#N/A</v>
      </c>
      <c r="W1252" s="7" t="e">
        <f>IF(VLOOKUP($A1252,'Concrete Beam Schedule'!$A$2:$Q$2902,W$2,0)&lt;&gt;G1252,"Beam Revised","")</f>
        <v>#N/A</v>
      </c>
      <c r="X1252" s="7" t="e">
        <f>IF(VLOOKUP($A1252,'Concrete Beam Schedule'!$A$2:$Q$2902,X$2,0)&lt;&gt;H1252,"Beam Revised","")</f>
        <v>#N/A</v>
      </c>
      <c r="Y1252" s="7" t="e">
        <f>IF(VLOOKUP($A1252,'Concrete Beam Schedule'!$A$2:$Q$2902,Y$2,0)&lt;&gt;I1252,"Beam Revised","")</f>
        <v>#N/A</v>
      </c>
      <c r="Z1252" s="7" t="e">
        <f>IF(VLOOKUP($A1252,'Concrete Beam Schedule'!$A$2:$Q$2902,Z$2,0)&lt;&gt;J1252,"Beam Revised","")</f>
        <v>#N/A</v>
      </c>
      <c r="AA1252" s="7" t="e">
        <f>IF(VLOOKUP($A1252,'Concrete Beam Schedule'!$A$2:$Q$2902,AA$2,0)&lt;&gt;K1252,"Beam Revised","")</f>
        <v>#N/A</v>
      </c>
      <c r="AB1252" s="7" t="e">
        <f>IF(VLOOKUP($A1252,'Concrete Beam Schedule'!$A$2:$Q$2902,AB$2,0)&lt;&gt;L1252,"Beam Revised","")</f>
        <v>#N/A</v>
      </c>
      <c r="AC1252" s="7" t="e">
        <f>IF(VLOOKUP($A1252,'Concrete Beam Schedule'!$A$2:$Q$2902,AC$2,0)&lt;&gt;M1252,"Beam Revised","")</f>
        <v>#N/A</v>
      </c>
      <c r="AD1252" s="7" t="e">
        <f>IF(VLOOKUP($A1252,'Concrete Beam Schedule'!$A$2:$Q$2902,AD$2,0)&lt;&gt;N1252,"Beam Revised","")</f>
        <v>#N/A</v>
      </c>
      <c r="AE1252" s="7" t="e">
        <f>IF(VLOOKUP($A1252,'Concrete Beam Schedule'!$A$2:$Q$2902,AE$2,0)&lt;&gt;O1252,"Beam Revised","")</f>
        <v>#N/A</v>
      </c>
    </row>
    <row r="1253" spans="17:31" ht="13.2" x14ac:dyDescent="0.25">
      <c r="Q1253" s="7">
        <f t="shared" si="19"/>
        <v>0</v>
      </c>
      <c r="R1253" s="7" t="e">
        <f>IF(VLOOKUP($A1253,'Concrete Beam Schedule'!$A$2:$Q$2902,R$2,0)&lt;&gt;B1253,VLOOKUP($A1253,'Concrete Beam Schedule'!$A$2:$Q$2902,R$2,0),"")</f>
        <v>#N/A</v>
      </c>
      <c r="S1253" s="7" t="e">
        <f>IF(VLOOKUP($A1253,'Concrete Beam Schedule'!$A$2:$Q$2902,S$2,0)&lt;&gt;C1253,VLOOKUP($A1253,'Concrete Beam Schedule'!$A$2:$Q$2902,S$2,0),"")</f>
        <v>#N/A</v>
      </c>
      <c r="T1253" s="7" t="e">
        <f>IF(VLOOKUP($A1253,'Concrete Beam Schedule'!$A$2:$Q$2902,T$2,0)&lt;&gt;D1253,"Beam Revised","")</f>
        <v>#N/A</v>
      </c>
      <c r="U1253" s="7" t="e">
        <f>IF(VLOOKUP($A1253,'Concrete Beam Schedule'!$A$2:$Q$2902,U$2,0)&lt;&gt;E1253,"Beam Revised","")</f>
        <v>#N/A</v>
      </c>
      <c r="V1253" s="7" t="e">
        <f>IF(VLOOKUP($A1253,'Concrete Beam Schedule'!$A$2:$Q$2902,V$2,0)&lt;&gt;F1253,"Beam Revised","")</f>
        <v>#N/A</v>
      </c>
      <c r="W1253" s="7" t="e">
        <f>IF(VLOOKUP($A1253,'Concrete Beam Schedule'!$A$2:$Q$2902,W$2,0)&lt;&gt;G1253,"Beam Revised","")</f>
        <v>#N/A</v>
      </c>
      <c r="X1253" s="7" t="e">
        <f>IF(VLOOKUP($A1253,'Concrete Beam Schedule'!$A$2:$Q$2902,X$2,0)&lt;&gt;H1253,"Beam Revised","")</f>
        <v>#N/A</v>
      </c>
      <c r="Y1253" s="7" t="e">
        <f>IF(VLOOKUP($A1253,'Concrete Beam Schedule'!$A$2:$Q$2902,Y$2,0)&lt;&gt;I1253,"Beam Revised","")</f>
        <v>#N/A</v>
      </c>
      <c r="Z1253" s="7" t="e">
        <f>IF(VLOOKUP($A1253,'Concrete Beam Schedule'!$A$2:$Q$2902,Z$2,0)&lt;&gt;J1253,"Beam Revised","")</f>
        <v>#N/A</v>
      </c>
      <c r="AA1253" s="7" t="e">
        <f>IF(VLOOKUP($A1253,'Concrete Beam Schedule'!$A$2:$Q$2902,AA$2,0)&lt;&gt;K1253,"Beam Revised","")</f>
        <v>#N/A</v>
      </c>
      <c r="AB1253" s="7" t="e">
        <f>IF(VLOOKUP($A1253,'Concrete Beam Schedule'!$A$2:$Q$2902,AB$2,0)&lt;&gt;L1253,"Beam Revised","")</f>
        <v>#N/A</v>
      </c>
      <c r="AC1253" s="7" t="e">
        <f>IF(VLOOKUP($A1253,'Concrete Beam Schedule'!$A$2:$Q$2902,AC$2,0)&lt;&gt;M1253,"Beam Revised","")</f>
        <v>#N/A</v>
      </c>
      <c r="AD1253" s="7" t="e">
        <f>IF(VLOOKUP($A1253,'Concrete Beam Schedule'!$A$2:$Q$2902,AD$2,0)&lt;&gt;N1253,"Beam Revised","")</f>
        <v>#N/A</v>
      </c>
      <c r="AE1253" s="7" t="e">
        <f>IF(VLOOKUP($A1253,'Concrete Beam Schedule'!$A$2:$Q$2902,AE$2,0)&lt;&gt;O1253,"Beam Revised","")</f>
        <v>#N/A</v>
      </c>
    </row>
    <row r="1254" spans="17:31" ht="13.2" x14ac:dyDescent="0.25">
      <c r="Q1254" s="7">
        <f t="shared" si="19"/>
        <v>0</v>
      </c>
      <c r="R1254" s="7" t="e">
        <f>IF(VLOOKUP($A1254,'Concrete Beam Schedule'!$A$2:$Q$2902,R$2,0)&lt;&gt;B1254,VLOOKUP($A1254,'Concrete Beam Schedule'!$A$2:$Q$2902,R$2,0),"")</f>
        <v>#N/A</v>
      </c>
      <c r="S1254" s="7" t="e">
        <f>IF(VLOOKUP($A1254,'Concrete Beam Schedule'!$A$2:$Q$2902,S$2,0)&lt;&gt;C1254,VLOOKUP($A1254,'Concrete Beam Schedule'!$A$2:$Q$2902,S$2,0),"")</f>
        <v>#N/A</v>
      </c>
      <c r="T1254" s="7" t="e">
        <f>IF(VLOOKUP($A1254,'Concrete Beam Schedule'!$A$2:$Q$2902,T$2,0)&lt;&gt;D1254,"Beam Revised","")</f>
        <v>#N/A</v>
      </c>
      <c r="U1254" s="7" t="e">
        <f>IF(VLOOKUP($A1254,'Concrete Beam Schedule'!$A$2:$Q$2902,U$2,0)&lt;&gt;E1254,"Beam Revised","")</f>
        <v>#N/A</v>
      </c>
      <c r="V1254" s="7" t="e">
        <f>IF(VLOOKUP($A1254,'Concrete Beam Schedule'!$A$2:$Q$2902,V$2,0)&lt;&gt;F1254,"Beam Revised","")</f>
        <v>#N/A</v>
      </c>
      <c r="W1254" s="7" t="e">
        <f>IF(VLOOKUP($A1254,'Concrete Beam Schedule'!$A$2:$Q$2902,W$2,0)&lt;&gt;G1254,"Beam Revised","")</f>
        <v>#N/A</v>
      </c>
      <c r="X1254" s="7" t="e">
        <f>IF(VLOOKUP($A1254,'Concrete Beam Schedule'!$A$2:$Q$2902,X$2,0)&lt;&gt;H1254,"Beam Revised","")</f>
        <v>#N/A</v>
      </c>
      <c r="Y1254" s="7" t="e">
        <f>IF(VLOOKUP($A1254,'Concrete Beam Schedule'!$A$2:$Q$2902,Y$2,0)&lt;&gt;I1254,"Beam Revised","")</f>
        <v>#N/A</v>
      </c>
      <c r="Z1254" s="7" t="e">
        <f>IF(VLOOKUP($A1254,'Concrete Beam Schedule'!$A$2:$Q$2902,Z$2,0)&lt;&gt;J1254,"Beam Revised","")</f>
        <v>#N/A</v>
      </c>
      <c r="AA1254" s="7" t="e">
        <f>IF(VLOOKUP($A1254,'Concrete Beam Schedule'!$A$2:$Q$2902,AA$2,0)&lt;&gt;K1254,"Beam Revised","")</f>
        <v>#N/A</v>
      </c>
      <c r="AB1254" s="7" t="e">
        <f>IF(VLOOKUP($A1254,'Concrete Beam Schedule'!$A$2:$Q$2902,AB$2,0)&lt;&gt;L1254,"Beam Revised","")</f>
        <v>#N/A</v>
      </c>
      <c r="AC1254" s="7" t="e">
        <f>IF(VLOOKUP($A1254,'Concrete Beam Schedule'!$A$2:$Q$2902,AC$2,0)&lt;&gt;M1254,"Beam Revised","")</f>
        <v>#N/A</v>
      </c>
      <c r="AD1254" s="7" t="e">
        <f>IF(VLOOKUP($A1254,'Concrete Beam Schedule'!$A$2:$Q$2902,AD$2,0)&lt;&gt;N1254,"Beam Revised","")</f>
        <v>#N/A</v>
      </c>
      <c r="AE1254" s="7" t="e">
        <f>IF(VLOOKUP($A1254,'Concrete Beam Schedule'!$A$2:$Q$2902,AE$2,0)&lt;&gt;O1254,"Beam Revised","")</f>
        <v>#N/A</v>
      </c>
    </row>
    <row r="1255" spans="17:31" ht="13.2" x14ac:dyDescent="0.25">
      <c r="Q1255" s="7">
        <f t="shared" si="19"/>
        <v>0</v>
      </c>
      <c r="R1255" s="7" t="e">
        <f>IF(VLOOKUP($A1255,'Concrete Beam Schedule'!$A$2:$Q$2902,R$2,0)&lt;&gt;B1255,VLOOKUP($A1255,'Concrete Beam Schedule'!$A$2:$Q$2902,R$2,0),"")</f>
        <v>#N/A</v>
      </c>
      <c r="S1255" s="7" t="e">
        <f>IF(VLOOKUP($A1255,'Concrete Beam Schedule'!$A$2:$Q$2902,S$2,0)&lt;&gt;C1255,VLOOKUP($A1255,'Concrete Beam Schedule'!$A$2:$Q$2902,S$2,0),"")</f>
        <v>#N/A</v>
      </c>
      <c r="T1255" s="7" t="e">
        <f>IF(VLOOKUP($A1255,'Concrete Beam Schedule'!$A$2:$Q$2902,T$2,0)&lt;&gt;D1255,"Beam Revised","")</f>
        <v>#N/A</v>
      </c>
      <c r="U1255" s="7" t="e">
        <f>IF(VLOOKUP($A1255,'Concrete Beam Schedule'!$A$2:$Q$2902,U$2,0)&lt;&gt;E1255,"Beam Revised","")</f>
        <v>#N/A</v>
      </c>
      <c r="V1255" s="7" t="e">
        <f>IF(VLOOKUP($A1255,'Concrete Beam Schedule'!$A$2:$Q$2902,V$2,0)&lt;&gt;F1255,"Beam Revised","")</f>
        <v>#N/A</v>
      </c>
      <c r="W1255" s="7" t="e">
        <f>IF(VLOOKUP($A1255,'Concrete Beam Schedule'!$A$2:$Q$2902,W$2,0)&lt;&gt;G1255,"Beam Revised","")</f>
        <v>#N/A</v>
      </c>
      <c r="X1255" s="7" t="e">
        <f>IF(VLOOKUP($A1255,'Concrete Beam Schedule'!$A$2:$Q$2902,X$2,0)&lt;&gt;H1255,"Beam Revised","")</f>
        <v>#N/A</v>
      </c>
      <c r="Y1255" s="7" t="e">
        <f>IF(VLOOKUP($A1255,'Concrete Beam Schedule'!$A$2:$Q$2902,Y$2,0)&lt;&gt;I1255,"Beam Revised","")</f>
        <v>#N/A</v>
      </c>
      <c r="Z1255" s="7" t="e">
        <f>IF(VLOOKUP($A1255,'Concrete Beam Schedule'!$A$2:$Q$2902,Z$2,0)&lt;&gt;J1255,"Beam Revised","")</f>
        <v>#N/A</v>
      </c>
      <c r="AA1255" s="7" t="e">
        <f>IF(VLOOKUP($A1255,'Concrete Beam Schedule'!$A$2:$Q$2902,AA$2,0)&lt;&gt;K1255,"Beam Revised","")</f>
        <v>#N/A</v>
      </c>
      <c r="AB1255" s="7" t="e">
        <f>IF(VLOOKUP($A1255,'Concrete Beam Schedule'!$A$2:$Q$2902,AB$2,0)&lt;&gt;L1255,"Beam Revised","")</f>
        <v>#N/A</v>
      </c>
      <c r="AC1255" s="7" t="e">
        <f>IF(VLOOKUP($A1255,'Concrete Beam Schedule'!$A$2:$Q$2902,AC$2,0)&lt;&gt;M1255,"Beam Revised","")</f>
        <v>#N/A</v>
      </c>
      <c r="AD1255" s="7" t="e">
        <f>IF(VLOOKUP($A1255,'Concrete Beam Schedule'!$A$2:$Q$2902,AD$2,0)&lt;&gt;N1255,"Beam Revised","")</f>
        <v>#N/A</v>
      </c>
      <c r="AE1255" s="7" t="e">
        <f>IF(VLOOKUP($A1255,'Concrete Beam Schedule'!$A$2:$Q$2902,AE$2,0)&lt;&gt;O1255,"Beam Revised","")</f>
        <v>#N/A</v>
      </c>
    </row>
    <row r="1256" spans="17:31" ht="13.2" x14ac:dyDescent="0.25">
      <c r="Q1256" s="7">
        <f t="shared" si="19"/>
        <v>0</v>
      </c>
      <c r="R1256" s="7" t="e">
        <f>IF(VLOOKUP($A1256,'Concrete Beam Schedule'!$A$2:$Q$2902,R$2,0)&lt;&gt;B1256,VLOOKUP($A1256,'Concrete Beam Schedule'!$A$2:$Q$2902,R$2,0),"")</f>
        <v>#N/A</v>
      </c>
      <c r="S1256" s="7" t="e">
        <f>IF(VLOOKUP($A1256,'Concrete Beam Schedule'!$A$2:$Q$2902,S$2,0)&lt;&gt;C1256,VLOOKUP($A1256,'Concrete Beam Schedule'!$A$2:$Q$2902,S$2,0),"")</f>
        <v>#N/A</v>
      </c>
      <c r="T1256" s="7" t="e">
        <f>IF(VLOOKUP($A1256,'Concrete Beam Schedule'!$A$2:$Q$2902,T$2,0)&lt;&gt;D1256,"Beam Revised","")</f>
        <v>#N/A</v>
      </c>
      <c r="U1256" s="7" t="e">
        <f>IF(VLOOKUP($A1256,'Concrete Beam Schedule'!$A$2:$Q$2902,U$2,0)&lt;&gt;E1256,"Beam Revised","")</f>
        <v>#N/A</v>
      </c>
      <c r="V1256" s="7" t="e">
        <f>IF(VLOOKUP($A1256,'Concrete Beam Schedule'!$A$2:$Q$2902,V$2,0)&lt;&gt;F1256,"Beam Revised","")</f>
        <v>#N/A</v>
      </c>
      <c r="W1256" s="7" t="e">
        <f>IF(VLOOKUP($A1256,'Concrete Beam Schedule'!$A$2:$Q$2902,W$2,0)&lt;&gt;G1256,"Beam Revised","")</f>
        <v>#N/A</v>
      </c>
      <c r="X1256" s="7" t="e">
        <f>IF(VLOOKUP($A1256,'Concrete Beam Schedule'!$A$2:$Q$2902,X$2,0)&lt;&gt;H1256,"Beam Revised","")</f>
        <v>#N/A</v>
      </c>
      <c r="Y1256" s="7" t="e">
        <f>IF(VLOOKUP($A1256,'Concrete Beam Schedule'!$A$2:$Q$2902,Y$2,0)&lt;&gt;I1256,"Beam Revised","")</f>
        <v>#N/A</v>
      </c>
      <c r="Z1256" s="7" t="e">
        <f>IF(VLOOKUP($A1256,'Concrete Beam Schedule'!$A$2:$Q$2902,Z$2,0)&lt;&gt;J1256,"Beam Revised","")</f>
        <v>#N/A</v>
      </c>
      <c r="AA1256" s="7" t="e">
        <f>IF(VLOOKUP($A1256,'Concrete Beam Schedule'!$A$2:$Q$2902,AA$2,0)&lt;&gt;K1256,"Beam Revised","")</f>
        <v>#N/A</v>
      </c>
      <c r="AB1256" s="7" t="e">
        <f>IF(VLOOKUP($A1256,'Concrete Beam Schedule'!$A$2:$Q$2902,AB$2,0)&lt;&gt;L1256,"Beam Revised","")</f>
        <v>#N/A</v>
      </c>
      <c r="AC1256" s="7" t="e">
        <f>IF(VLOOKUP($A1256,'Concrete Beam Schedule'!$A$2:$Q$2902,AC$2,0)&lt;&gt;M1256,"Beam Revised","")</f>
        <v>#N/A</v>
      </c>
      <c r="AD1256" s="7" t="e">
        <f>IF(VLOOKUP($A1256,'Concrete Beam Schedule'!$A$2:$Q$2902,AD$2,0)&lt;&gt;N1256,"Beam Revised","")</f>
        <v>#N/A</v>
      </c>
      <c r="AE1256" s="7" t="e">
        <f>IF(VLOOKUP($A1256,'Concrete Beam Schedule'!$A$2:$Q$2902,AE$2,0)&lt;&gt;O1256,"Beam Revised","")</f>
        <v>#N/A</v>
      </c>
    </row>
    <row r="1257" spans="17:31" ht="13.2" x14ac:dyDescent="0.25">
      <c r="Q1257" s="7">
        <f t="shared" si="19"/>
        <v>0</v>
      </c>
      <c r="R1257" s="7" t="e">
        <f>IF(VLOOKUP($A1257,'Concrete Beam Schedule'!$A$2:$Q$2902,R$2,0)&lt;&gt;B1257,VLOOKUP($A1257,'Concrete Beam Schedule'!$A$2:$Q$2902,R$2,0),"")</f>
        <v>#N/A</v>
      </c>
      <c r="S1257" s="7" t="e">
        <f>IF(VLOOKUP($A1257,'Concrete Beam Schedule'!$A$2:$Q$2902,S$2,0)&lt;&gt;C1257,VLOOKUP($A1257,'Concrete Beam Schedule'!$A$2:$Q$2902,S$2,0),"")</f>
        <v>#N/A</v>
      </c>
      <c r="T1257" s="7" t="e">
        <f>IF(VLOOKUP($A1257,'Concrete Beam Schedule'!$A$2:$Q$2902,T$2,0)&lt;&gt;D1257,"Beam Revised","")</f>
        <v>#N/A</v>
      </c>
      <c r="U1257" s="7" t="e">
        <f>IF(VLOOKUP($A1257,'Concrete Beam Schedule'!$A$2:$Q$2902,U$2,0)&lt;&gt;E1257,"Beam Revised","")</f>
        <v>#N/A</v>
      </c>
      <c r="V1257" s="7" t="e">
        <f>IF(VLOOKUP($A1257,'Concrete Beam Schedule'!$A$2:$Q$2902,V$2,0)&lt;&gt;F1257,"Beam Revised","")</f>
        <v>#N/A</v>
      </c>
      <c r="W1257" s="7" t="e">
        <f>IF(VLOOKUP($A1257,'Concrete Beam Schedule'!$A$2:$Q$2902,W$2,0)&lt;&gt;G1257,"Beam Revised","")</f>
        <v>#N/A</v>
      </c>
      <c r="X1257" s="7" t="e">
        <f>IF(VLOOKUP($A1257,'Concrete Beam Schedule'!$A$2:$Q$2902,X$2,0)&lt;&gt;H1257,"Beam Revised","")</f>
        <v>#N/A</v>
      </c>
      <c r="Y1257" s="7" t="e">
        <f>IF(VLOOKUP($A1257,'Concrete Beam Schedule'!$A$2:$Q$2902,Y$2,0)&lt;&gt;I1257,"Beam Revised","")</f>
        <v>#N/A</v>
      </c>
      <c r="Z1257" s="7" t="e">
        <f>IF(VLOOKUP($A1257,'Concrete Beam Schedule'!$A$2:$Q$2902,Z$2,0)&lt;&gt;J1257,"Beam Revised","")</f>
        <v>#N/A</v>
      </c>
      <c r="AA1257" s="7" t="e">
        <f>IF(VLOOKUP($A1257,'Concrete Beam Schedule'!$A$2:$Q$2902,AA$2,0)&lt;&gt;K1257,"Beam Revised","")</f>
        <v>#N/A</v>
      </c>
      <c r="AB1257" s="7" t="e">
        <f>IF(VLOOKUP($A1257,'Concrete Beam Schedule'!$A$2:$Q$2902,AB$2,0)&lt;&gt;L1257,"Beam Revised","")</f>
        <v>#N/A</v>
      </c>
      <c r="AC1257" s="7" t="e">
        <f>IF(VLOOKUP($A1257,'Concrete Beam Schedule'!$A$2:$Q$2902,AC$2,0)&lt;&gt;M1257,"Beam Revised","")</f>
        <v>#N/A</v>
      </c>
      <c r="AD1257" s="7" t="e">
        <f>IF(VLOOKUP($A1257,'Concrete Beam Schedule'!$A$2:$Q$2902,AD$2,0)&lt;&gt;N1257,"Beam Revised","")</f>
        <v>#N/A</v>
      </c>
      <c r="AE1257" s="7" t="e">
        <f>IF(VLOOKUP($A1257,'Concrete Beam Schedule'!$A$2:$Q$2902,AE$2,0)&lt;&gt;O1257,"Beam Revised","")</f>
        <v>#N/A</v>
      </c>
    </row>
    <row r="1258" spans="17:31" ht="13.2" x14ac:dyDescent="0.25">
      <c r="Q1258" s="7">
        <f t="shared" si="19"/>
        <v>0</v>
      </c>
      <c r="R1258" s="7" t="e">
        <f>IF(VLOOKUP($A1258,'Concrete Beam Schedule'!$A$2:$Q$2902,R$2,0)&lt;&gt;B1258,VLOOKUP($A1258,'Concrete Beam Schedule'!$A$2:$Q$2902,R$2,0),"")</f>
        <v>#N/A</v>
      </c>
      <c r="S1258" s="7" t="e">
        <f>IF(VLOOKUP($A1258,'Concrete Beam Schedule'!$A$2:$Q$2902,S$2,0)&lt;&gt;C1258,VLOOKUP($A1258,'Concrete Beam Schedule'!$A$2:$Q$2902,S$2,0),"")</f>
        <v>#N/A</v>
      </c>
      <c r="T1258" s="7" t="e">
        <f>IF(VLOOKUP($A1258,'Concrete Beam Schedule'!$A$2:$Q$2902,T$2,0)&lt;&gt;D1258,"Beam Revised","")</f>
        <v>#N/A</v>
      </c>
      <c r="U1258" s="7" t="e">
        <f>IF(VLOOKUP($A1258,'Concrete Beam Schedule'!$A$2:$Q$2902,U$2,0)&lt;&gt;E1258,"Beam Revised","")</f>
        <v>#N/A</v>
      </c>
      <c r="V1258" s="7" t="e">
        <f>IF(VLOOKUP($A1258,'Concrete Beam Schedule'!$A$2:$Q$2902,V$2,0)&lt;&gt;F1258,"Beam Revised","")</f>
        <v>#N/A</v>
      </c>
      <c r="W1258" s="7" t="e">
        <f>IF(VLOOKUP($A1258,'Concrete Beam Schedule'!$A$2:$Q$2902,W$2,0)&lt;&gt;G1258,"Beam Revised","")</f>
        <v>#N/A</v>
      </c>
      <c r="X1258" s="7" t="e">
        <f>IF(VLOOKUP($A1258,'Concrete Beam Schedule'!$A$2:$Q$2902,X$2,0)&lt;&gt;H1258,"Beam Revised","")</f>
        <v>#N/A</v>
      </c>
      <c r="Y1258" s="7" t="e">
        <f>IF(VLOOKUP($A1258,'Concrete Beam Schedule'!$A$2:$Q$2902,Y$2,0)&lt;&gt;I1258,"Beam Revised","")</f>
        <v>#N/A</v>
      </c>
      <c r="Z1258" s="7" t="e">
        <f>IF(VLOOKUP($A1258,'Concrete Beam Schedule'!$A$2:$Q$2902,Z$2,0)&lt;&gt;J1258,"Beam Revised","")</f>
        <v>#N/A</v>
      </c>
      <c r="AA1258" s="7" t="e">
        <f>IF(VLOOKUP($A1258,'Concrete Beam Schedule'!$A$2:$Q$2902,AA$2,0)&lt;&gt;K1258,"Beam Revised","")</f>
        <v>#N/A</v>
      </c>
      <c r="AB1258" s="7" t="e">
        <f>IF(VLOOKUP($A1258,'Concrete Beam Schedule'!$A$2:$Q$2902,AB$2,0)&lt;&gt;L1258,"Beam Revised","")</f>
        <v>#N/A</v>
      </c>
      <c r="AC1258" s="7" t="e">
        <f>IF(VLOOKUP($A1258,'Concrete Beam Schedule'!$A$2:$Q$2902,AC$2,0)&lt;&gt;M1258,"Beam Revised","")</f>
        <v>#N/A</v>
      </c>
      <c r="AD1258" s="7" t="e">
        <f>IF(VLOOKUP($A1258,'Concrete Beam Schedule'!$A$2:$Q$2902,AD$2,0)&lt;&gt;N1258,"Beam Revised","")</f>
        <v>#N/A</v>
      </c>
      <c r="AE1258" s="7" t="e">
        <f>IF(VLOOKUP($A1258,'Concrete Beam Schedule'!$A$2:$Q$2902,AE$2,0)&lt;&gt;O1258,"Beam Revised","")</f>
        <v>#N/A</v>
      </c>
    </row>
    <row r="1259" spans="17:31" ht="13.2" x14ac:dyDescent="0.25">
      <c r="Q1259" s="7">
        <f t="shared" si="19"/>
        <v>0</v>
      </c>
      <c r="R1259" s="7" t="e">
        <f>IF(VLOOKUP($A1259,'Concrete Beam Schedule'!$A$2:$Q$2902,R$2,0)&lt;&gt;B1259,VLOOKUP($A1259,'Concrete Beam Schedule'!$A$2:$Q$2902,R$2,0),"")</f>
        <v>#N/A</v>
      </c>
      <c r="S1259" s="7" t="e">
        <f>IF(VLOOKUP($A1259,'Concrete Beam Schedule'!$A$2:$Q$2902,S$2,0)&lt;&gt;C1259,VLOOKUP($A1259,'Concrete Beam Schedule'!$A$2:$Q$2902,S$2,0),"")</f>
        <v>#N/A</v>
      </c>
      <c r="T1259" s="7" t="e">
        <f>IF(VLOOKUP($A1259,'Concrete Beam Schedule'!$A$2:$Q$2902,T$2,0)&lt;&gt;D1259,"Beam Revised","")</f>
        <v>#N/A</v>
      </c>
      <c r="U1259" s="7" t="e">
        <f>IF(VLOOKUP($A1259,'Concrete Beam Schedule'!$A$2:$Q$2902,U$2,0)&lt;&gt;E1259,"Beam Revised","")</f>
        <v>#N/A</v>
      </c>
      <c r="V1259" s="7" t="e">
        <f>IF(VLOOKUP($A1259,'Concrete Beam Schedule'!$A$2:$Q$2902,V$2,0)&lt;&gt;F1259,"Beam Revised","")</f>
        <v>#N/A</v>
      </c>
      <c r="W1259" s="7" t="e">
        <f>IF(VLOOKUP($A1259,'Concrete Beam Schedule'!$A$2:$Q$2902,W$2,0)&lt;&gt;G1259,"Beam Revised","")</f>
        <v>#N/A</v>
      </c>
      <c r="X1259" s="7" t="e">
        <f>IF(VLOOKUP($A1259,'Concrete Beam Schedule'!$A$2:$Q$2902,X$2,0)&lt;&gt;H1259,"Beam Revised","")</f>
        <v>#N/A</v>
      </c>
      <c r="Y1259" s="7" t="e">
        <f>IF(VLOOKUP($A1259,'Concrete Beam Schedule'!$A$2:$Q$2902,Y$2,0)&lt;&gt;I1259,"Beam Revised","")</f>
        <v>#N/A</v>
      </c>
      <c r="Z1259" s="7" t="e">
        <f>IF(VLOOKUP($A1259,'Concrete Beam Schedule'!$A$2:$Q$2902,Z$2,0)&lt;&gt;J1259,"Beam Revised","")</f>
        <v>#N/A</v>
      </c>
      <c r="AA1259" s="7" t="e">
        <f>IF(VLOOKUP($A1259,'Concrete Beam Schedule'!$A$2:$Q$2902,AA$2,0)&lt;&gt;K1259,"Beam Revised","")</f>
        <v>#N/A</v>
      </c>
      <c r="AB1259" s="7" t="e">
        <f>IF(VLOOKUP($A1259,'Concrete Beam Schedule'!$A$2:$Q$2902,AB$2,0)&lt;&gt;L1259,"Beam Revised","")</f>
        <v>#N/A</v>
      </c>
      <c r="AC1259" s="7" t="e">
        <f>IF(VLOOKUP($A1259,'Concrete Beam Schedule'!$A$2:$Q$2902,AC$2,0)&lt;&gt;M1259,"Beam Revised","")</f>
        <v>#N/A</v>
      </c>
      <c r="AD1259" s="7" t="e">
        <f>IF(VLOOKUP($A1259,'Concrete Beam Schedule'!$A$2:$Q$2902,AD$2,0)&lt;&gt;N1259,"Beam Revised","")</f>
        <v>#N/A</v>
      </c>
      <c r="AE1259" s="7" t="e">
        <f>IF(VLOOKUP($A1259,'Concrete Beam Schedule'!$A$2:$Q$2902,AE$2,0)&lt;&gt;O1259,"Beam Revised","")</f>
        <v>#N/A</v>
      </c>
    </row>
    <row r="1260" spans="17:31" ht="13.2" x14ac:dyDescent="0.25">
      <c r="Q1260" s="7">
        <f t="shared" si="19"/>
        <v>0</v>
      </c>
      <c r="R1260" s="7" t="e">
        <f>IF(VLOOKUP($A1260,'Concrete Beam Schedule'!$A$2:$Q$2902,R$2,0)&lt;&gt;B1260,VLOOKUP($A1260,'Concrete Beam Schedule'!$A$2:$Q$2902,R$2,0),"")</f>
        <v>#N/A</v>
      </c>
      <c r="S1260" s="7" t="e">
        <f>IF(VLOOKUP($A1260,'Concrete Beam Schedule'!$A$2:$Q$2902,S$2,0)&lt;&gt;C1260,VLOOKUP($A1260,'Concrete Beam Schedule'!$A$2:$Q$2902,S$2,0),"")</f>
        <v>#N/A</v>
      </c>
      <c r="T1260" s="7" t="e">
        <f>IF(VLOOKUP($A1260,'Concrete Beam Schedule'!$A$2:$Q$2902,T$2,0)&lt;&gt;D1260,"Beam Revised","")</f>
        <v>#N/A</v>
      </c>
      <c r="U1260" s="7" t="e">
        <f>IF(VLOOKUP($A1260,'Concrete Beam Schedule'!$A$2:$Q$2902,U$2,0)&lt;&gt;E1260,"Beam Revised","")</f>
        <v>#N/A</v>
      </c>
      <c r="V1260" s="7" t="e">
        <f>IF(VLOOKUP($A1260,'Concrete Beam Schedule'!$A$2:$Q$2902,V$2,0)&lt;&gt;F1260,"Beam Revised","")</f>
        <v>#N/A</v>
      </c>
      <c r="W1260" s="7" t="e">
        <f>IF(VLOOKUP($A1260,'Concrete Beam Schedule'!$A$2:$Q$2902,W$2,0)&lt;&gt;G1260,"Beam Revised","")</f>
        <v>#N/A</v>
      </c>
      <c r="X1260" s="7" t="e">
        <f>IF(VLOOKUP($A1260,'Concrete Beam Schedule'!$A$2:$Q$2902,X$2,0)&lt;&gt;H1260,"Beam Revised","")</f>
        <v>#N/A</v>
      </c>
      <c r="Y1260" s="7" t="e">
        <f>IF(VLOOKUP($A1260,'Concrete Beam Schedule'!$A$2:$Q$2902,Y$2,0)&lt;&gt;I1260,"Beam Revised","")</f>
        <v>#N/A</v>
      </c>
      <c r="Z1260" s="7" t="e">
        <f>IF(VLOOKUP($A1260,'Concrete Beam Schedule'!$A$2:$Q$2902,Z$2,0)&lt;&gt;J1260,"Beam Revised","")</f>
        <v>#N/A</v>
      </c>
      <c r="AA1260" s="7" t="e">
        <f>IF(VLOOKUP($A1260,'Concrete Beam Schedule'!$A$2:$Q$2902,AA$2,0)&lt;&gt;K1260,"Beam Revised","")</f>
        <v>#N/A</v>
      </c>
      <c r="AB1260" s="7" t="e">
        <f>IF(VLOOKUP($A1260,'Concrete Beam Schedule'!$A$2:$Q$2902,AB$2,0)&lt;&gt;L1260,"Beam Revised","")</f>
        <v>#N/A</v>
      </c>
      <c r="AC1260" s="7" t="e">
        <f>IF(VLOOKUP($A1260,'Concrete Beam Schedule'!$A$2:$Q$2902,AC$2,0)&lt;&gt;M1260,"Beam Revised","")</f>
        <v>#N/A</v>
      </c>
      <c r="AD1260" s="7" t="e">
        <f>IF(VLOOKUP($A1260,'Concrete Beam Schedule'!$A$2:$Q$2902,AD$2,0)&lt;&gt;N1260,"Beam Revised","")</f>
        <v>#N/A</v>
      </c>
      <c r="AE1260" s="7" t="e">
        <f>IF(VLOOKUP($A1260,'Concrete Beam Schedule'!$A$2:$Q$2902,AE$2,0)&lt;&gt;O1260,"Beam Revised","")</f>
        <v>#N/A</v>
      </c>
    </row>
    <row r="1261" spans="17:31" ht="13.2" x14ac:dyDescent="0.25">
      <c r="Q1261" s="7">
        <f t="shared" si="19"/>
        <v>0</v>
      </c>
      <c r="R1261" s="7" t="e">
        <f>IF(VLOOKUP($A1261,'Concrete Beam Schedule'!$A$2:$Q$2902,R$2,0)&lt;&gt;B1261,VLOOKUP($A1261,'Concrete Beam Schedule'!$A$2:$Q$2902,R$2,0),"")</f>
        <v>#N/A</v>
      </c>
      <c r="S1261" s="7" t="e">
        <f>IF(VLOOKUP($A1261,'Concrete Beam Schedule'!$A$2:$Q$2902,S$2,0)&lt;&gt;C1261,VLOOKUP($A1261,'Concrete Beam Schedule'!$A$2:$Q$2902,S$2,0),"")</f>
        <v>#N/A</v>
      </c>
      <c r="T1261" s="7" t="e">
        <f>IF(VLOOKUP($A1261,'Concrete Beam Schedule'!$A$2:$Q$2902,T$2,0)&lt;&gt;D1261,"Beam Revised","")</f>
        <v>#N/A</v>
      </c>
      <c r="U1261" s="7" t="e">
        <f>IF(VLOOKUP($A1261,'Concrete Beam Schedule'!$A$2:$Q$2902,U$2,0)&lt;&gt;E1261,"Beam Revised","")</f>
        <v>#N/A</v>
      </c>
      <c r="V1261" s="7" t="e">
        <f>IF(VLOOKUP($A1261,'Concrete Beam Schedule'!$A$2:$Q$2902,V$2,0)&lt;&gt;F1261,"Beam Revised","")</f>
        <v>#N/A</v>
      </c>
      <c r="W1261" s="7" t="e">
        <f>IF(VLOOKUP($A1261,'Concrete Beam Schedule'!$A$2:$Q$2902,W$2,0)&lt;&gt;G1261,"Beam Revised","")</f>
        <v>#N/A</v>
      </c>
      <c r="X1261" s="7" t="e">
        <f>IF(VLOOKUP($A1261,'Concrete Beam Schedule'!$A$2:$Q$2902,X$2,0)&lt;&gt;H1261,"Beam Revised","")</f>
        <v>#N/A</v>
      </c>
      <c r="Y1261" s="7" t="e">
        <f>IF(VLOOKUP($A1261,'Concrete Beam Schedule'!$A$2:$Q$2902,Y$2,0)&lt;&gt;I1261,"Beam Revised","")</f>
        <v>#N/A</v>
      </c>
      <c r="Z1261" s="7" t="e">
        <f>IF(VLOOKUP($A1261,'Concrete Beam Schedule'!$A$2:$Q$2902,Z$2,0)&lt;&gt;J1261,"Beam Revised","")</f>
        <v>#N/A</v>
      </c>
      <c r="AA1261" s="7" t="e">
        <f>IF(VLOOKUP($A1261,'Concrete Beam Schedule'!$A$2:$Q$2902,AA$2,0)&lt;&gt;K1261,"Beam Revised","")</f>
        <v>#N/A</v>
      </c>
      <c r="AB1261" s="7" t="e">
        <f>IF(VLOOKUP($A1261,'Concrete Beam Schedule'!$A$2:$Q$2902,AB$2,0)&lt;&gt;L1261,"Beam Revised","")</f>
        <v>#N/A</v>
      </c>
      <c r="AC1261" s="7" t="e">
        <f>IF(VLOOKUP($A1261,'Concrete Beam Schedule'!$A$2:$Q$2902,AC$2,0)&lt;&gt;M1261,"Beam Revised","")</f>
        <v>#N/A</v>
      </c>
      <c r="AD1261" s="7" t="e">
        <f>IF(VLOOKUP($A1261,'Concrete Beam Schedule'!$A$2:$Q$2902,AD$2,0)&lt;&gt;N1261,"Beam Revised","")</f>
        <v>#N/A</v>
      </c>
      <c r="AE1261" s="7" t="e">
        <f>IF(VLOOKUP($A1261,'Concrete Beam Schedule'!$A$2:$Q$2902,AE$2,0)&lt;&gt;O1261,"Beam Revised","")</f>
        <v>#N/A</v>
      </c>
    </row>
    <row r="1262" spans="17:31" ht="13.2" x14ac:dyDescent="0.25">
      <c r="Q1262" s="7">
        <f t="shared" si="19"/>
        <v>0</v>
      </c>
      <c r="R1262" s="7" t="e">
        <f>IF(VLOOKUP($A1262,'Concrete Beam Schedule'!$A$2:$Q$2902,R$2,0)&lt;&gt;B1262,VLOOKUP($A1262,'Concrete Beam Schedule'!$A$2:$Q$2902,R$2,0),"")</f>
        <v>#N/A</v>
      </c>
      <c r="S1262" s="7" t="e">
        <f>IF(VLOOKUP($A1262,'Concrete Beam Schedule'!$A$2:$Q$2902,S$2,0)&lt;&gt;C1262,VLOOKUP($A1262,'Concrete Beam Schedule'!$A$2:$Q$2902,S$2,0),"")</f>
        <v>#N/A</v>
      </c>
      <c r="T1262" s="7" t="e">
        <f>IF(VLOOKUP($A1262,'Concrete Beam Schedule'!$A$2:$Q$2902,T$2,0)&lt;&gt;D1262,"Beam Revised","")</f>
        <v>#N/A</v>
      </c>
      <c r="U1262" s="7" t="e">
        <f>IF(VLOOKUP($A1262,'Concrete Beam Schedule'!$A$2:$Q$2902,U$2,0)&lt;&gt;E1262,"Beam Revised","")</f>
        <v>#N/A</v>
      </c>
      <c r="V1262" s="7" t="e">
        <f>IF(VLOOKUP($A1262,'Concrete Beam Schedule'!$A$2:$Q$2902,V$2,0)&lt;&gt;F1262,"Beam Revised","")</f>
        <v>#N/A</v>
      </c>
      <c r="W1262" s="7" t="e">
        <f>IF(VLOOKUP($A1262,'Concrete Beam Schedule'!$A$2:$Q$2902,W$2,0)&lt;&gt;G1262,"Beam Revised","")</f>
        <v>#N/A</v>
      </c>
      <c r="X1262" s="7" t="e">
        <f>IF(VLOOKUP($A1262,'Concrete Beam Schedule'!$A$2:$Q$2902,X$2,0)&lt;&gt;H1262,"Beam Revised","")</f>
        <v>#N/A</v>
      </c>
      <c r="Y1262" s="7" t="e">
        <f>IF(VLOOKUP($A1262,'Concrete Beam Schedule'!$A$2:$Q$2902,Y$2,0)&lt;&gt;I1262,"Beam Revised","")</f>
        <v>#N/A</v>
      </c>
      <c r="Z1262" s="7" t="e">
        <f>IF(VLOOKUP($A1262,'Concrete Beam Schedule'!$A$2:$Q$2902,Z$2,0)&lt;&gt;J1262,"Beam Revised","")</f>
        <v>#N/A</v>
      </c>
      <c r="AA1262" s="7" t="e">
        <f>IF(VLOOKUP($A1262,'Concrete Beam Schedule'!$A$2:$Q$2902,AA$2,0)&lt;&gt;K1262,"Beam Revised","")</f>
        <v>#N/A</v>
      </c>
      <c r="AB1262" s="7" t="e">
        <f>IF(VLOOKUP($A1262,'Concrete Beam Schedule'!$A$2:$Q$2902,AB$2,0)&lt;&gt;L1262,"Beam Revised","")</f>
        <v>#N/A</v>
      </c>
      <c r="AC1262" s="7" t="e">
        <f>IF(VLOOKUP($A1262,'Concrete Beam Schedule'!$A$2:$Q$2902,AC$2,0)&lt;&gt;M1262,"Beam Revised","")</f>
        <v>#N/A</v>
      </c>
      <c r="AD1262" s="7" t="e">
        <f>IF(VLOOKUP($A1262,'Concrete Beam Schedule'!$A$2:$Q$2902,AD$2,0)&lt;&gt;N1262,"Beam Revised","")</f>
        <v>#N/A</v>
      </c>
      <c r="AE1262" s="7" t="e">
        <f>IF(VLOOKUP($A1262,'Concrete Beam Schedule'!$A$2:$Q$2902,AE$2,0)&lt;&gt;O1262,"Beam Revised","")</f>
        <v>#N/A</v>
      </c>
    </row>
    <row r="1263" spans="17:31" ht="13.2" x14ac:dyDescent="0.25">
      <c r="Q1263" s="7">
        <f t="shared" si="19"/>
        <v>0</v>
      </c>
      <c r="R1263" s="7" t="e">
        <f>IF(VLOOKUP($A1263,'Concrete Beam Schedule'!$A$2:$Q$2902,R$2,0)&lt;&gt;B1263,VLOOKUP($A1263,'Concrete Beam Schedule'!$A$2:$Q$2902,R$2,0),"")</f>
        <v>#N/A</v>
      </c>
      <c r="S1263" s="7" t="e">
        <f>IF(VLOOKUP($A1263,'Concrete Beam Schedule'!$A$2:$Q$2902,S$2,0)&lt;&gt;C1263,VLOOKUP($A1263,'Concrete Beam Schedule'!$A$2:$Q$2902,S$2,0),"")</f>
        <v>#N/A</v>
      </c>
      <c r="T1263" s="7" t="e">
        <f>IF(VLOOKUP($A1263,'Concrete Beam Schedule'!$A$2:$Q$2902,T$2,0)&lt;&gt;D1263,"Beam Revised","")</f>
        <v>#N/A</v>
      </c>
      <c r="U1263" s="7" t="e">
        <f>IF(VLOOKUP($A1263,'Concrete Beam Schedule'!$A$2:$Q$2902,U$2,0)&lt;&gt;E1263,"Beam Revised","")</f>
        <v>#N/A</v>
      </c>
      <c r="V1263" s="7" t="e">
        <f>IF(VLOOKUP($A1263,'Concrete Beam Schedule'!$A$2:$Q$2902,V$2,0)&lt;&gt;F1263,"Beam Revised","")</f>
        <v>#N/A</v>
      </c>
      <c r="W1263" s="7" t="e">
        <f>IF(VLOOKUP($A1263,'Concrete Beam Schedule'!$A$2:$Q$2902,W$2,0)&lt;&gt;G1263,"Beam Revised","")</f>
        <v>#N/A</v>
      </c>
      <c r="X1263" s="7" t="e">
        <f>IF(VLOOKUP($A1263,'Concrete Beam Schedule'!$A$2:$Q$2902,X$2,0)&lt;&gt;H1263,"Beam Revised","")</f>
        <v>#N/A</v>
      </c>
      <c r="Y1263" s="7" t="e">
        <f>IF(VLOOKUP($A1263,'Concrete Beam Schedule'!$A$2:$Q$2902,Y$2,0)&lt;&gt;I1263,"Beam Revised","")</f>
        <v>#N/A</v>
      </c>
      <c r="Z1263" s="7" t="e">
        <f>IF(VLOOKUP($A1263,'Concrete Beam Schedule'!$A$2:$Q$2902,Z$2,0)&lt;&gt;J1263,"Beam Revised","")</f>
        <v>#N/A</v>
      </c>
      <c r="AA1263" s="7" t="e">
        <f>IF(VLOOKUP($A1263,'Concrete Beam Schedule'!$A$2:$Q$2902,AA$2,0)&lt;&gt;K1263,"Beam Revised","")</f>
        <v>#N/A</v>
      </c>
      <c r="AB1263" s="7" t="e">
        <f>IF(VLOOKUP($A1263,'Concrete Beam Schedule'!$A$2:$Q$2902,AB$2,0)&lt;&gt;L1263,"Beam Revised","")</f>
        <v>#N/A</v>
      </c>
      <c r="AC1263" s="7" t="e">
        <f>IF(VLOOKUP($A1263,'Concrete Beam Schedule'!$A$2:$Q$2902,AC$2,0)&lt;&gt;M1263,"Beam Revised","")</f>
        <v>#N/A</v>
      </c>
      <c r="AD1263" s="7" t="e">
        <f>IF(VLOOKUP($A1263,'Concrete Beam Schedule'!$A$2:$Q$2902,AD$2,0)&lt;&gt;N1263,"Beam Revised","")</f>
        <v>#N/A</v>
      </c>
      <c r="AE1263" s="7" t="e">
        <f>IF(VLOOKUP($A1263,'Concrete Beam Schedule'!$A$2:$Q$2902,AE$2,0)&lt;&gt;O1263,"Beam Revised","")</f>
        <v>#N/A</v>
      </c>
    </row>
    <row r="1264" spans="17:31" ht="13.2" x14ac:dyDescent="0.25">
      <c r="Q1264" s="7">
        <f t="shared" si="19"/>
        <v>0</v>
      </c>
      <c r="R1264" s="7" t="e">
        <f>IF(VLOOKUP($A1264,'Concrete Beam Schedule'!$A$2:$Q$2902,R$2,0)&lt;&gt;B1264,VLOOKUP($A1264,'Concrete Beam Schedule'!$A$2:$Q$2902,R$2,0),"")</f>
        <v>#N/A</v>
      </c>
      <c r="S1264" s="7" t="e">
        <f>IF(VLOOKUP($A1264,'Concrete Beam Schedule'!$A$2:$Q$2902,S$2,0)&lt;&gt;C1264,VLOOKUP($A1264,'Concrete Beam Schedule'!$A$2:$Q$2902,S$2,0),"")</f>
        <v>#N/A</v>
      </c>
      <c r="T1264" s="7" t="e">
        <f>IF(VLOOKUP($A1264,'Concrete Beam Schedule'!$A$2:$Q$2902,T$2,0)&lt;&gt;D1264,"Beam Revised","")</f>
        <v>#N/A</v>
      </c>
      <c r="U1264" s="7" t="e">
        <f>IF(VLOOKUP($A1264,'Concrete Beam Schedule'!$A$2:$Q$2902,U$2,0)&lt;&gt;E1264,"Beam Revised","")</f>
        <v>#N/A</v>
      </c>
      <c r="V1264" s="7" t="e">
        <f>IF(VLOOKUP($A1264,'Concrete Beam Schedule'!$A$2:$Q$2902,V$2,0)&lt;&gt;F1264,"Beam Revised","")</f>
        <v>#N/A</v>
      </c>
      <c r="W1264" s="7" t="e">
        <f>IF(VLOOKUP($A1264,'Concrete Beam Schedule'!$A$2:$Q$2902,W$2,0)&lt;&gt;G1264,"Beam Revised","")</f>
        <v>#N/A</v>
      </c>
      <c r="X1264" s="7" t="e">
        <f>IF(VLOOKUP($A1264,'Concrete Beam Schedule'!$A$2:$Q$2902,X$2,0)&lt;&gt;H1264,"Beam Revised","")</f>
        <v>#N/A</v>
      </c>
      <c r="Y1264" s="7" t="e">
        <f>IF(VLOOKUP($A1264,'Concrete Beam Schedule'!$A$2:$Q$2902,Y$2,0)&lt;&gt;I1264,"Beam Revised","")</f>
        <v>#N/A</v>
      </c>
      <c r="Z1264" s="7" t="e">
        <f>IF(VLOOKUP($A1264,'Concrete Beam Schedule'!$A$2:$Q$2902,Z$2,0)&lt;&gt;J1264,"Beam Revised","")</f>
        <v>#N/A</v>
      </c>
      <c r="AA1264" s="7" t="e">
        <f>IF(VLOOKUP($A1264,'Concrete Beam Schedule'!$A$2:$Q$2902,AA$2,0)&lt;&gt;K1264,"Beam Revised","")</f>
        <v>#N/A</v>
      </c>
      <c r="AB1264" s="7" t="e">
        <f>IF(VLOOKUP($A1264,'Concrete Beam Schedule'!$A$2:$Q$2902,AB$2,0)&lt;&gt;L1264,"Beam Revised","")</f>
        <v>#N/A</v>
      </c>
      <c r="AC1264" s="7" t="e">
        <f>IF(VLOOKUP($A1264,'Concrete Beam Schedule'!$A$2:$Q$2902,AC$2,0)&lt;&gt;M1264,"Beam Revised","")</f>
        <v>#N/A</v>
      </c>
      <c r="AD1264" s="7" t="e">
        <f>IF(VLOOKUP($A1264,'Concrete Beam Schedule'!$A$2:$Q$2902,AD$2,0)&lt;&gt;N1264,"Beam Revised","")</f>
        <v>#N/A</v>
      </c>
      <c r="AE1264" s="7" t="e">
        <f>IF(VLOOKUP($A1264,'Concrete Beam Schedule'!$A$2:$Q$2902,AE$2,0)&lt;&gt;O1264,"Beam Revised","")</f>
        <v>#N/A</v>
      </c>
    </row>
    <row r="1265" spans="17:31" ht="13.2" x14ac:dyDescent="0.25">
      <c r="Q1265" s="7">
        <f t="shared" si="19"/>
        <v>0</v>
      </c>
      <c r="R1265" s="7" t="e">
        <f>IF(VLOOKUP($A1265,'Concrete Beam Schedule'!$A$2:$Q$2902,R$2,0)&lt;&gt;B1265,VLOOKUP($A1265,'Concrete Beam Schedule'!$A$2:$Q$2902,R$2,0),"")</f>
        <v>#N/A</v>
      </c>
      <c r="S1265" s="7" t="e">
        <f>IF(VLOOKUP($A1265,'Concrete Beam Schedule'!$A$2:$Q$2902,S$2,0)&lt;&gt;C1265,VLOOKUP($A1265,'Concrete Beam Schedule'!$A$2:$Q$2902,S$2,0),"")</f>
        <v>#N/A</v>
      </c>
      <c r="T1265" s="7" t="e">
        <f>IF(VLOOKUP($A1265,'Concrete Beam Schedule'!$A$2:$Q$2902,T$2,0)&lt;&gt;D1265,"Beam Revised","")</f>
        <v>#N/A</v>
      </c>
      <c r="U1265" s="7" t="e">
        <f>IF(VLOOKUP($A1265,'Concrete Beam Schedule'!$A$2:$Q$2902,U$2,0)&lt;&gt;E1265,"Beam Revised","")</f>
        <v>#N/A</v>
      </c>
      <c r="V1265" s="7" t="e">
        <f>IF(VLOOKUP($A1265,'Concrete Beam Schedule'!$A$2:$Q$2902,V$2,0)&lt;&gt;F1265,"Beam Revised","")</f>
        <v>#N/A</v>
      </c>
      <c r="W1265" s="7" t="e">
        <f>IF(VLOOKUP($A1265,'Concrete Beam Schedule'!$A$2:$Q$2902,W$2,0)&lt;&gt;G1265,"Beam Revised","")</f>
        <v>#N/A</v>
      </c>
      <c r="X1265" s="7" t="e">
        <f>IF(VLOOKUP($A1265,'Concrete Beam Schedule'!$A$2:$Q$2902,X$2,0)&lt;&gt;H1265,"Beam Revised","")</f>
        <v>#N/A</v>
      </c>
      <c r="Y1265" s="7" t="e">
        <f>IF(VLOOKUP($A1265,'Concrete Beam Schedule'!$A$2:$Q$2902,Y$2,0)&lt;&gt;I1265,"Beam Revised","")</f>
        <v>#N/A</v>
      </c>
      <c r="Z1265" s="7" t="e">
        <f>IF(VLOOKUP($A1265,'Concrete Beam Schedule'!$A$2:$Q$2902,Z$2,0)&lt;&gt;J1265,"Beam Revised","")</f>
        <v>#N/A</v>
      </c>
      <c r="AA1265" s="7" t="e">
        <f>IF(VLOOKUP($A1265,'Concrete Beam Schedule'!$A$2:$Q$2902,AA$2,0)&lt;&gt;K1265,"Beam Revised","")</f>
        <v>#N/A</v>
      </c>
      <c r="AB1265" s="7" t="e">
        <f>IF(VLOOKUP($A1265,'Concrete Beam Schedule'!$A$2:$Q$2902,AB$2,0)&lt;&gt;L1265,"Beam Revised","")</f>
        <v>#N/A</v>
      </c>
      <c r="AC1265" s="7" t="e">
        <f>IF(VLOOKUP($A1265,'Concrete Beam Schedule'!$A$2:$Q$2902,AC$2,0)&lt;&gt;M1265,"Beam Revised","")</f>
        <v>#N/A</v>
      </c>
      <c r="AD1265" s="7" t="e">
        <f>IF(VLOOKUP($A1265,'Concrete Beam Schedule'!$A$2:$Q$2902,AD$2,0)&lt;&gt;N1265,"Beam Revised","")</f>
        <v>#N/A</v>
      </c>
      <c r="AE1265" s="7" t="e">
        <f>IF(VLOOKUP($A1265,'Concrete Beam Schedule'!$A$2:$Q$2902,AE$2,0)&lt;&gt;O1265,"Beam Revised","")</f>
        <v>#N/A</v>
      </c>
    </row>
    <row r="1266" spans="17:31" ht="13.2" x14ac:dyDescent="0.25">
      <c r="Q1266" s="7">
        <f t="shared" si="19"/>
        <v>0</v>
      </c>
      <c r="R1266" s="7" t="e">
        <f>IF(VLOOKUP($A1266,'Concrete Beam Schedule'!$A$2:$Q$2902,R$2,0)&lt;&gt;B1266,VLOOKUP($A1266,'Concrete Beam Schedule'!$A$2:$Q$2902,R$2,0),"")</f>
        <v>#N/A</v>
      </c>
      <c r="S1266" s="7" t="e">
        <f>IF(VLOOKUP($A1266,'Concrete Beam Schedule'!$A$2:$Q$2902,S$2,0)&lt;&gt;C1266,VLOOKUP($A1266,'Concrete Beam Schedule'!$A$2:$Q$2902,S$2,0),"")</f>
        <v>#N/A</v>
      </c>
      <c r="T1266" s="7" t="e">
        <f>IF(VLOOKUP($A1266,'Concrete Beam Schedule'!$A$2:$Q$2902,T$2,0)&lt;&gt;D1266,"Beam Revised","")</f>
        <v>#N/A</v>
      </c>
      <c r="U1266" s="7" t="e">
        <f>IF(VLOOKUP($A1266,'Concrete Beam Schedule'!$A$2:$Q$2902,U$2,0)&lt;&gt;E1266,"Beam Revised","")</f>
        <v>#N/A</v>
      </c>
      <c r="V1266" s="7" t="e">
        <f>IF(VLOOKUP($A1266,'Concrete Beam Schedule'!$A$2:$Q$2902,V$2,0)&lt;&gt;F1266,"Beam Revised","")</f>
        <v>#N/A</v>
      </c>
      <c r="W1266" s="7" t="e">
        <f>IF(VLOOKUP($A1266,'Concrete Beam Schedule'!$A$2:$Q$2902,W$2,0)&lt;&gt;G1266,"Beam Revised","")</f>
        <v>#N/A</v>
      </c>
      <c r="X1266" s="7" t="e">
        <f>IF(VLOOKUP($A1266,'Concrete Beam Schedule'!$A$2:$Q$2902,X$2,0)&lt;&gt;H1266,"Beam Revised","")</f>
        <v>#N/A</v>
      </c>
      <c r="Y1266" s="7" t="e">
        <f>IF(VLOOKUP($A1266,'Concrete Beam Schedule'!$A$2:$Q$2902,Y$2,0)&lt;&gt;I1266,"Beam Revised","")</f>
        <v>#N/A</v>
      </c>
      <c r="Z1266" s="7" t="e">
        <f>IF(VLOOKUP($A1266,'Concrete Beam Schedule'!$A$2:$Q$2902,Z$2,0)&lt;&gt;J1266,"Beam Revised","")</f>
        <v>#N/A</v>
      </c>
      <c r="AA1266" s="7" t="e">
        <f>IF(VLOOKUP($A1266,'Concrete Beam Schedule'!$A$2:$Q$2902,AA$2,0)&lt;&gt;K1266,"Beam Revised","")</f>
        <v>#N/A</v>
      </c>
      <c r="AB1266" s="7" t="e">
        <f>IF(VLOOKUP($A1266,'Concrete Beam Schedule'!$A$2:$Q$2902,AB$2,0)&lt;&gt;L1266,"Beam Revised","")</f>
        <v>#N/A</v>
      </c>
      <c r="AC1266" s="7" t="e">
        <f>IF(VLOOKUP($A1266,'Concrete Beam Schedule'!$A$2:$Q$2902,AC$2,0)&lt;&gt;M1266,"Beam Revised","")</f>
        <v>#N/A</v>
      </c>
      <c r="AD1266" s="7" t="e">
        <f>IF(VLOOKUP($A1266,'Concrete Beam Schedule'!$A$2:$Q$2902,AD$2,0)&lt;&gt;N1266,"Beam Revised","")</f>
        <v>#N/A</v>
      </c>
      <c r="AE1266" s="7" t="e">
        <f>IF(VLOOKUP($A1266,'Concrete Beam Schedule'!$A$2:$Q$2902,AE$2,0)&lt;&gt;O1266,"Beam Revised","")</f>
        <v>#N/A</v>
      </c>
    </row>
    <row r="1267" spans="17:31" ht="13.2" x14ac:dyDescent="0.25">
      <c r="Q1267" s="7">
        <f t="shared" si="19"/>
        <v>0</v>
      </c>
      <c r="R1267" s="7" t="e">
        <f>IF(VLOOKUP($A1267,'Concrete Beam Schedule'!$A$2:$Q$2902,R$2,0)&lt;&gt;B1267,VLOOKUP($A1267,'Concrete Beam Schedule'!$A$2:$Q$2902,R$2,0),"")</f>
        <v>#N/A</v>
      </c>
      <c r="S1267" s="7" t="e">
        <f>IF(VLOOKUP($A1267,'Concrete Beam Schedule'!$A$2:$Q$2902,S$2,0)&lt;&gt;C1267,VLOOKUP($A1267,'Concrete Beam Schedule'!$A$2:$Q$2902,S$2,0),"")</f>
        <v>#N/A</v>
      </c>
      <c r="T1267" s="7" t="e">
        <f>IF(VLOOKUP($A1267,'Concrete Beam Schedule'!$A$2:$Q$2902,T$2,0)&lt;&gt;D1267,"Beam Revised","")</f>
        <v>#N/A</v>
      </c>
      <c r="U1267" s="7" t="e">
        <f>IF(VLOOKUP($A1267,'Concrete Beam Schedule'!$A$2:$Q$2902,U$2,0)&lt;&gt;E1267,"Beam Revised","")</f>
        <v>#N/A</v>
      </c>
      <c r="V1267" s="7" t="e">
        <f>IF(VLOOKUP($A1267,'Concrete Beam Schedule'!$A$2:$Q$2902,V$2,0)&lt;&gt;F1267,"Beam Revised","")</f>
        <v>#N/A</v>
      </c>
      <c r="W1267" s="7" t="e">
        <f>IF(VLOOKUP($A1267,'Concrete Beam Schedule'!$A$2:$Q$2902,W$2,0)&lt;&gt;G1267,"Beam Revised","")</f>
        <v>#N/A</v>
      </c>
      <c r="X1267" s="7" t="e">
        <f>IF(VLOOKUP($A1267,'Concrete Beam Schedule'!$A$2:$Q$2902,X$2,0)&lt;&gt;H1267,"Beam Revised","")</f>
        <v>#N/A</v>
      </c>
      <c r="Y1267" s="7" t="e">
        <f>IF(VLOOKUP($A1267,'Concrete Beam Schedule'!$A$2:$Q$2902,Y$2,0)&lt;&gt;I1267,"Beam Revised","")</f>
        <v>#N/A</v>
      </c>
      <c r="Z1267" s="7" t="e">
        <f>IF(VLOOKUP($A1267,'Concrete Beam Schedule'!$A$2:$Q$2902,Z$2,0)&lt;&gt;J1267,"Beam Revised","")</f>
        <v>#N/A</v>
      </c>
      <c r="AA1267" s="7" t="e">
        <f>IF(VLOOKUP($A1267,'Concrete Beam Schedule'!$A$2:$Q$2902,AA$2,0)&lt;&gt;K1267,"Beam Revised","")</f>
        <v>#N/A</v>
      </c>
      <c r="AB1267" s="7" t="e">
        <f>IF(VLOOKUP($A1267,'Concrete Beam Schedule'!$A$2:$Q$2902,AB$2,0)&lt;&gt;L1267,"Beam Revised","")</f>
        <v>#N/A</v>
      </c>
      <c r="AC1267" s="7" t="e">
        <f>IF(VLOOKUP($A1267,'Concrete Beam Schedule'!$A$2:$Q$2902,AC$2,0)&lt;&gt;M1267,"Beam Revised","")</f>
        <v>#N/A</v>
      </c>
      <c r="AD1267" s="7" t="e">
        <f>IF(VLOOKUP($A1267,'Concrete Beam Schedule'!$A$2:$Q$2902,AD$2,0)&lt;&gt;N1267,"Beam Revised","")</f>
        <v>#N/A</v>
      </c>
      <c r="AE1267" s="7" t="e">
        <f>IF(VLOOKUP($A1267,'Concrete Beam Schedule'!$A$2:$Q$2902,AE$2,0)&lt;&gt;O1267,"Beam Revised","")</f>
        <v>#N/A</v>
      </c>
    </row>
    <row r="1268" spans="17:31" ht="13.2" x14ac:dyDescent="0.25">
      <c r="Q1268" s="7">
        <f t="shared" si="19"/>
        <v>0</v>
      </c>
      <c r="R1268" s="7" t="e">
        <f>IF(VLOOKUP($A1268,'Concrete Beam Schedule'!$A$2:$Q$2902,R$2,0)&lt;&gt;B1268,VLOOKUP($A1268,'Concrete Beam Schedule'!$A$2:$Q$2902,R$2,0),"")</f>
        <v>#N/A</v>
      </c>
      <c r="S1268" s="7" t="e">
        <f>IF(VLOOKUP($A1268,'Concrete Beam Schedule'!$A$2:$Q$2902,S$2,0)&lt;&gt;C1268,VLOOKUP($A1268,'Concrete Beam Schedule'!$A$2:$Q$2902,S$2,0),"")</f>
        <v>#N/A</v>
      </c>
      <c r="T1268" s="7" t="e">
        <f>IF(VLOOKUP($A1268,'Concrete Beam Schedule'!$A$2:$Q$2902,T$2,0)&lt;&gt;D1268,"Beam Revised","")</f>
        <v>#N/A</v>
      </c>
      <c r="U1268" s="7" t="e">
        <f>IF(VLOOKUP($A1268,'Concrete Beam Schedule'!$A$2:$Q$2902,U$2,0)&lt;&gt;E1268,"Beam Revised","")</f>
        <v>#N/A</v>
      </c>
      <c r="V1268" s="7" t="e">
        <f>IF(VLOOKUP($A1268,'Concrete Beam Schedule'!$A$2:$Q$2902,V$2,0)&lt;&gt;F1268,"Beam Revised","")</f>
        <v>#N/A</v>
      </c>
      <c r="W1268" s="7" t="e">
        <f>IF(VLOOKUP($A1268,'Concrete Beam Schedule'!$A$2:$Q$2902,W$2,0)&lt;&gt;G1268,"Beam Revised","")</f>
        <v>#N/A</v>
      </c>
      <c r="X1268" s="7" t="e">
        <f>IF(VLOOKUP($A1268,'Concrete Beam Schedule'!$A$2:$Q$2902,X$2,0)&lt;&gt;H1268,"Beam Revised","")</f>
        <v>#N/A</v>
      </c>
      <c r="Y1268" s="7" t="e">
        <f>IF(VLOOKUP($A1268,'Concrete Beam Schedule'!$A$2:$Q$2902,Y$2,0)&lt;&gt;I1268,"Beam Revised","")</f>
        <v>#N/A</v>
      </c>
      <c r="Z1268" s="7" t="e">
        <f>IF(VLOOKUP($A1268,'Concrete Beam Schedule'!$A$2:$Q$2902,Z$2,0)&lt;&gt;J1268,"Beam Revised","")</f>
        <v>#N/A</v>
      </c>
      <c r="AA1268" s="7" t="e">
        <f>IF(VLOOKUP($A1268,'Concrete Beam Schedule'!$A$2:$Q$2902,AA$2,0)&lt;&gt;K1268,"Beam Revised","")</f>
        <v>#N/A</v>
      </c>
      <c r="AB1268" s="7" t="e">
        <f>IF(VLOOKUP($A1268,'Concrete Beam Schedule'!$A$2:$Q$2902,AB$2,0)&lt;&gt;L1268,"Beam Revised","")</f>
        <v>#N/A</v>
      </c>
      <c r="AC1268" s="7" t="e">
        <f>IF(VLOOKUP($A1268,'Concrete Beam Schedule'!$A$2:$Q$2902,AC$2,0)&lt;&gt;M1268,"Beam Revised","")</f>
        <v>#N/A</v>
      </c>
      <c r="AD1268" s="7" t="e">
        <f>IF(VLOOKUP($A1268,'Concrete Beam Schedule'!$A$2:$Q$2902,AD$2,0)&lt;&gt;N1268,"Beam Revised","")</f>
        <v>#N/A</v>
      </c>
      <c r="AE1268" s="7" t="e">
        <f>IF(VLOOKUP($A1268,'Concrete Beam Schedule'!$A$2:$Q$2902,AE$2,0)&lt;&gt;O1268,"Beam Revised","")</f>
        <v>#N/A</v>
      </c>
    </row>
    <row r="1269" spans="17:31" ht="13.2" x14ac:dyDescent="0.25">
      <c r="Q1269" s="7">
        <f t="shared" si="19"/>
        <v>0</v>
      </c>
      <c r="R1269" s="7" t="e">
        <f>IF(VLOOKUP($A1269,'Concrete Beam Schedule'!$A$2:$Q$2902,R$2,0)&lt;&gt;B1269,VLOOKUP($A1269,'Concrete Beam Schedule'!$A$2:$Q$2902,R$2,0),"")</f>
        <v>#N/A</v>
      </c>
      <c r="S1269" s="7" t="e">
        <f>IF(VLOOKUP($A1269,'Concrete Beam Schedule'!$A$2:$Q$2902,S$2,0)&lt;&gt;C1269,VLOOKUP($A1269,'Concrete Beam Schedule'!$A$2:$Q$2902,S$2,0),"")</f>
        <v>#N/A</v>
      </c>
      <c r="T1269" s="7" t="e">
        <f>IF(VLOOKUP($A1269,'Concrete Beam Schedule'!$A$2:$Q$2902,T$2,0)&lt;&gt;D1269,"Beam Revised","")</f>
        <v>#N/A</v>
      </c>
      <c r="U1269" s="7" t="e">
        <f>IF(VLOOKUP($A1269,'Concrete Beam Schedule'!$A$2:$Q$2902,U$2,0)&lt;&gt;E1269,"Beam Revised","")</f>
        <v>#N/A</v>
      </c>
      <c r="V1269" s="7" t="e">
        <f>IF(VLOOKUP($A1269,'Concrete Beam Schedule'!$A$2:$Q$2902,V$2,0)&lt;&gt;F1269,"Beam Revised","")</f>
        <v>#N/A</v>
      </c>
      <c r="W1269" s="7" t="e">
        <f>IF(VLOOKUP($A1269,'Concrete Beam Schedule'!$A$2:$Q$2902,W$2,0)&lt;&gt;G1269,"Beam Revised","")</f>
        <v>#N/A</v>
      </c>
      <c r="X1269" s="7" t="e">
        <f>IF(VLOOKUP($A1269,'Concrete Beam Schedule'!$A$2:$Q$2902,X$2,0)&lt;&gt;H1269,"Beam Revised","")</f>
        <v>#N/A</v>
      </c>
      <c r="Y1269" s="7" t="e">
        <f>IF(VLOOKUP($A1269,'Concrete Beam Schedule'!$A$2:$Q$2902,Y$2,0)&lt;&gt;I1269,"Beam Revised","")</f>
        <v>#N/A</v>
      </c>
      <c r="Z1269" s="7" t="e">
        <f>IF(VLOOKUP($A1269,'Concrete Beam Schedule'!$A$2:$Q$2902,Z$2,0)&lt;&gt;J1269,"Beam Revised","")</f>
        <v>#N/A</v>
      </c>
      <c r="AA1269" s="7" t="e">
        <f>IF(VLOOKUP($A1269,'Concrete Beam Schedule'!$A$2:$Q$2902,AA$2,0)&lt;&gt;K1269,"Beam Revised","")</f>
        <v>#N/A</v>
      </c>
      <c r="AB1269" s="7" t="e">
        <f>IF(VLOOKUP($A1269,'Concrete Beam Schedule'!$A$2:$Q$2902,AB$2,0)&lt;&gt;L1269,"Beam Revised","")</f>
        <v>#N/A</v>
      </c>
      <c r="AC1269" s="7" t="e">
        <f>IF(VLOOKUP($A1269,'Concrete Beam Schedule'!$A$2:$Q$2902,AC$2,0)&lt;&gt;M1269,"Beam Revised","")</f>
        <v>#N/A</v>
      </c>
      <c r="AD1269" s="7" t="e">
        <f>IF(VLOOKUP($A1269,'Concrete Beam Schedule'!$A$2:$Q$2902,AD$2,0)&lt;&gt;N1269,"Beam Revised","")</f>
        <v>#N/A</v>
      </c>
      <c r="AE1269" s="7" t="e">
        <f>IF(VLOOKUP($A1269,'Concrete Beam Schedule'!$A$2:$Q$2902,AE$2,0)&lt;&gt;O1269,"Beam Revised","")</f>
        <v>#N/A</v>
      </c>
    </row>
    <row r="1270" spans="17:31" ht="13.2" x14ac:dyDescent="0.25">
      <c r="Q1270" s="7">
        <f t="shared" si="19"/>
        <v>0</v>
      </c>
      <c r="R1270" s="7" t="e">
        <f>IF(VLOOKUP($A1270,'Concrete Beam Schedule'!$A$2:$Q$2902,R$2,0)&lt;&gt;B1270,VLOOKUP($A1270,'Concrete Beam Schedule'!$A$2:$Q$2902,R$2,0),"")</f>
        <v>#N/A</v>
      </c>
      <c r="S1270" s="7" t="e">
        <f>IF(VLOOKUP($A1270,'Concrete Beam Schedule'!$A$2:$Q$2902,S$2,0)&lt;&gt;C1270,VLOOKUP($A1270,'Concrete Beam Schedule'!$A$2:$Q$2902,S$2,0),"")</f>
        <v>#N/A</v>
      </c>
      <c r="T1270" s="7" t="e">
        <f>IF(VLOOKUP($A1270,'Concrete Beam Schedule'!$A$2:$Q$2902,T$2,0)&lt;&gt;D1270,"Beam Revised","")</f>
        <v>#N/A</v>
      </c>
      <c r="U1270" s="7" t="e">
        <f>IF(VLOOKUP($A1270,'Concrete Beam Schedule'!$A$2:$Q$2902,U$2,0)&lt;&gt;E1270,"Beam Revised","")</f>
        <v>#N/A</v>
      </c>
      <c r="V1270" s="7" t="e">
        <f>IF(VLOOKUP($A1270,'Concrete Beam Schedule'!$A$2:$Q$2902,V$2,0)&lt;&gt;F1270,"Beam Revised","")</f>
        <v>#N/A</v>
      </c>
      <c r="W1270" s="7" t="e">
        <f>IF(VLOOKUP($A1270,'Concrete Beam Schedule'!$A$2:$Q$2902,W$2,0)&lt;&gt;G1270,"Beam Revised","")</f>
        <v>#N/A</v>
      </c>
      <c r="X1270" s="7" t="e">
        <f>IF(VLOOKUP($A1270,'Concrete Beam Schedule'!$A$2:$Q$2902,X$2,0)&lt;&gt;H1270,"Beam Revised","")</f>
        <v>#N/A</v>
      </c>
      <c r="Y1270" s="7" t="e">
        <f>IF(VLOOKUP($A1270,'Concrete Beam Schedule'!$A$2:$Q$2902,Y$2,0)&lt;&gt;I1270,"Beam Revised","")</f>
        <v>#N/A</v>
      </c>
      <c r="Z1270" s="7" t="e">
        <f>IF(VLOOKUP($A1270,'Concrete Beam Schedule'!$A$2:$Q$2902,Z$2,0)&lt;&gt;J1270,"Beam Revised","")</f>
        <v>#N/A</v>
      </c>
      <c r="AA1270" s="7" t="e">
        <f>IF(VLOOKUP($A1270,'Concrete Beam Schedule'!$A$2:$Q$2902,AA$2,0)&lt;&gt;K1270,"Beam Revised","")</f>
        <v>#N/A</v>
      </c>
      <c r="AB1270" s="7" t="e">
        <f>IF(VLOOKUP($A1270,'Concrete Beam Schedule'!$A$2:$Q$2902,AB$2,0)&lt;&gt;L1270,"Beam Revised","")</f>
        <v>#N/A</v>
      </c>
      <c r="AC1270" s="7" t="e">
        <f>IF(VLOOKUP($A1270,'Concrete Beam Schedule'!$A$2:$Q$2902,AC$2,0)&lt;&gt;M1270,"Beam Revised","")</f>
        <v>#N/A</v>
      </c>
      <c r="AD1270" s="7" t="e">
        <f>IF(VLOOKUP($A1270,'Concrete Beam Schedule'!$A$2:$Q$2902,AD$2,0)&lt;&gt;N1270,"Beam Revised","")</f>
        <v>#N/A</v>
      </c>
      <c r="AE1270" s="7" t="e">
        <f>IF(VLOOKUP($A1270,'Concrete Beam Schedule'!$A$2:$Q$2902,AE$2,0)&lt;&gt;O1270,"Beam Revised","")</f>
        <v>#N/A</v>
      </c>
    </row>
    <row r="1271" spans="17:31" ht="13.2" x14ac:dyDescent="0.25">
      <c r="Q1271" s="7">
        <f t="shared" si="19"/>
        <v>0</v>
      </c>
      <c r="R1271" s="7" t="e">
        <f>IF(VLOOKUP($A1271,'Concrete Beam Schedule'!$A$2:$Q$2902,R$2,0)&lt;&gt;B1271,VLOOKUP($A1271,'Concrete Beam Schedule'!$A$2:$Q$2902,R$2,0),"")</f>
        <v>#N/A</v>
      </c>
      <c r="S1271" s="7" t="e">
        <f>IF(VLOOKUP($A1271,'Concrete Beam Schedule'!$A$2:$Q$2902,S$2,0)&lt;&gt;C1271,VLOOKUP($A1271,'Concrete Beam Schedule'!$A$2:$Q$2902,S$2,0),"")</f>
        <v>#N/A</v>
      </c>
      <c r="T1271" s="7" t="e">
        <f>IF(VLOOKUP($A1271,'Concrete Beam Schedule'!$A$2:$Q$2902,T$2,0)&lt;&gt;D1271,"Beam Revised","")</f>
        <v>#N/A</v>
      </c>
      <c r="U1271" s="7" t="e">
        <f>IF(VLOOKUP($A1271,'Concrete Beam Schedule'!$A$2:$Q$2902,U$2,0)&lt;&gt;E1271,"Beam Revised","")</f>
        <v>#N/A</v>
      </c>
      <c r="V1271" s="7" t="e">
        <f>IF(VLOOKUP($A1271,'Concrete Beam Schedule'!$A$2:$Q$2902,V$2,0)&lt;&gt;F1271,"Beam Revised","")</f>
        <v>#N/A</v>
      </c>
      <c r="W1271" s="7" t="e">
        <f>IF(VLOOKUP($A1271,'Concrete Beam Schedule'!$A$2:$Q$2902,W$2,0)&lt;&gt;G1271,"Beam Revised","")</f>
        <v>#N/A</v>
      </c>
      <c r="X1271" s="7" t="e">
        <f>IF(VLOOKUP($A1271,'Concrete Beam Schedule'!$A$2:$Q$2902,X$2,0)&lt;&gt;H1271,"Beam Revised","")</f>
        <v>#N/A</v>
      </c>
      <c r="Y1271" s="7" t="e">
        <f>IF(VLOOKUP($A1271,'Concrete Beam Schedule'!$A$2:$Q$2902,Y$2,0)&lt;&gt;I1271,"Beam Revised","")</f>
        <v>#N/A</v>
      </c>
      <c r="Z1271" s="7" t="e">
        <f>IF(VLOOKUP($A1271,'Concrete Beam Schedule'!$A$2:$Q$2902,Z$2,0)&lt;&gt;J1271,"Beam Revised","")</f>
        <v>#N/A</v>
      </c>
      <c r="AA1271" s="7" t="e">
        <f>IF(VLOOKUP($A1271,'Concrete Beam Schedule'!$A$2:$Q$2902,AA$2,0)&lt;&gt;K1271,"Beam Revised","")</f>
        <v>#N/A</v>
      </c>
      <c r="AB1271" s="7" t="e">
        <f>IF(VLOOKUP($A1271,'Concrete Beam Schedule'!$A$2:$Q$2902,AB$2,0)&lt;&gt;L1271,"Beam Revised","")</f>
        <v>#N/A</v>
      </c>
      <c r="AC1271" s="7" t="e">
        <f>IF(VLOOKUP($A1271,'Concrete Beam Schedule'!$A$2:$Q$2902,AC$2,0)&lt;&gt;M1271,"Beam Revised","")</f>
        <v>#N/A</v>
      </c>
      <c r="AD1271" s="7" t="e">
        <f>IF(VLOOKUP($A1271,'Concrete Beam Schedule'!$A$2:$Q$2902,AD$2,0)&lt;&gt;N1271,"Beam Revised","")</f>
        <v>#N/A</v>
      </c>
      <c r="AE1271" s="7" t="e">
        <f>IF(VLOOKUP($A1271,'Concrete Beam Schedule'!$A$2:$Q$2902,AE$2,0)&lt;&gt;O1271,"Beam Revised","")</f>
        <v>#N/A</v>
      </c>
    </row>
    <row r="1272" spans="17:31" ht="13.2" x14ac:dyDescent="0.25">
      <c r="Q1272" s="7">
        <f t="shared" si="19"/>
        <v>0</v>
      </c>
      <c r="R1272" s="7" t="e">
        <f>IF(VLOOKUP($A1272,'Concrete Beam Schedule'!$A$2:$Q$2902,R$2,0)&lt;&gt;B1272,VLOOKUP($A1272,'Concrete Beam Schedule'!$A$2:$Q$2902,R$2,0),"")</f>
        <v>#N/A</v>
      </c>
      <c r="S1272" s="7" t="e">
        <f>IF(VLOOKUP($A1272,'Concrete Beam Schedule'!$A$2:$Q$2902,S$2,0)&lt;&gt;C1272,VLOOKUP($A1272,'Concrete Beam Schedule'!$A$2:$Q$2902,S$2,0),"")</f>
        <v>#N/A</v>
      </c>
      <c r="T1272" s="7" t="e">
        <f>IF(VLOOKUP($A1272,'Concrete Beam Schedule'!$A$2:$Q$2902,T$2,0)&lt;&gt;D1272,"Beam Revised","")</f>
        <v>#N/A</v>
      </c>
      <c r="U1272" s="7" t="e">
        <f>IF(VLOOKUP($A1272,'Concrete Beam Schedule'!$A$2:$Q$2902,U$2,0)&lt;&gt;E1272,"Beam Revised","")</f>
        <v>#N/A</v>
      </c>
      <c r="V1272" s="7" t="e">
        <f>IF(VLOOKUP($A1272,'Concrete Beam Schedule'!$A$2:$Q$2902,V$2,0)&lt;&gt;F1272,"Beam Revised","")</f>
        <v>#N/A</v>
      </c>
      <c r="W1272" s="7" t="e">
        <f>IF(VLOOKUP($A1272,'Concrete Beam Schedule'!$A$2:$Q$2902,W$2,0)&lt;&gt;G1272,"Beam Revised","")</f>
        <v>#N/A</v>
      </c>
      <c r="X1272" s="7" t="e">
        <f>IF(VLOOKUP($A1272,'Concrete Beam Schedule'!$A$2:$Q$2902,X$2,0)&lt;&gt;H1272,"Beam Revised","")</f>
        <v>#N/A</v>
      </c>
      <c r="Y1272" s="7" t="e">
        <f>IF(VLOOKUP($A1272,'Concrete Beam Schedule'!$A$2:$Q$2902,Y$2,0)&lt;&gt;I1272,"Beam Revised","")</f>
        <v>#N/A</v>
      </c>
      <c r="Z1272" s="7" t="e">
        <f>IF(VLOOKUP($A1272,'Concrete Beam Schedule'!$A$2:$Q$2902,Z$2,0)&lt;&gt;J1272,"Beam Revised","")</f>
        <v>#N/A</v>
      </c>
      <c r="AA1272" s="7" t="e">
        <f>IF(VLOOKUP($A1272,'Concrete Beam Schedule'!$A$2:$Q$2902,AA$2,0)&lt;&gt;K1272,"Beam Revised","")</f>
        <v>#N/A</v>
      </c>
      <c r="AB1272" s="7" t="e">
        <f>IF(VLOOKUP($A1272,'Concrete Beam Schedule'!$A$2:$Q$2902,AB$2,0)&lt;&gt;L1272,"Beam Revised","")</f>
        <v>#N/A</v>
      </c>
      <c r="AC1272" s="7" t="e">
        <f>IF(VLOOKUP($A1272,'Concrete Beam Schedule'!$A$2:$Q$2902,AC$2,0)&lt;&gt;M1272,"Beam Revised","")</f>
        <v>#N/A</v>
      </c>
      <c r="AD1272" s="7" t="e">
        <f>IF(VLOOKUP($A1272,'Concrete Beam Schedule'!$A$2:$Q$2902,AD$2,0)&lt;&gt;N1272,"Beam Revised","")</f>
        <v>#N/A</v>
      </c>
      <c r="AE1272" s="7" t="e">
        <f>IF(VLOOKUP($A1272,'Concrete Beam Schedule'!$A$2:$Q$2902,AE$2,0)&lt;&gt;O1272,"Beam Revised","")</f>
        <v>#N/A</v>
      </c>
    </row>
    <row r="1273" spans="17:31" ht="13.2" x14ac:dyDescent="0.25">
      <c r="Q1273" s="7">
        <f t="shared" si="19"/>
        <v>0</v>
      </c>
      <c r="R1273" s="7" t="e">
        <f>IF(VLOOKUP($A1273,'Concrete Beam Schedule'!$A$2:$Q$2902,R$2,0)&lt;&gt;B1273,VLOOKUP($A1273,'Concrete Beam Schedule'!$A$2:$Q$2902,R$2,0),"")</f>
        <v>#N/A</v>
      </c>
      <c r="S1273" s="7" t="e">
        <f>IF(VLOOKUP($A1273,'Concrete Beam Schedule'!$A$2:$Q$2902,S$2,0)&lt;&gt;C1273,VLOOKUP($A1273,'Concrete Beam Schedule'!$A$2:$Q$2902,S$2,0),"")</f>
        <v>#N/A</v>
      </c>
      <c r="T1273" s="7" t="e">
        <f>IF(VLOOKUP($A1273,'Concrete Beam Schedule'!$A$2:$Q$2902,T$2,0)&lt;&gt;D1273,"Beam Revised","")</f>
        <v>#N/A</v>
      </c>
      <c r="U1273" s="7" t="e">
        <f>IF(VLOOKUP($A1273,'Concrete Beam Schedule'!$A$2:$Q$2902,U$2,0)&lt;&gt;E1273,"Beam Revised","")</f>
        <v>#N/A</v>
      </c>
      <c r="V1273" s="7" t="e">
        <f>IF(VLOOKUP($A1273,'Concrete Beam Schedule'!$A$2:$Q$2902,V$2,0)&lt;&gt;F1273,"Beam Revised","")</f>
        <v>#N/A</v>
      </c>
      <c r="W1273" s="7" t="e">
        <f>IF(VLOOKUP($A1273,'Concrete Beam Schedule'!$A$2:$Q$2902,W$2,0)&lt;&gt;G1273,"Beam Revised","")</f>
        <v>#N/A</v>
      </c>
      <c r="X1273" s="7" t="e">
        <f>IF(VLOOKUP($A1273,'Concrete Beam Schedule'!$A$2:$Q$2902,X$2,0)&lt;&gt;H1273,"Beam Revised","")</f>
        <v>#N/A</v>
      </c>
      <c r="Y1273" s="7" t="e">
        <f>IF(VLOOKUP($A1273,'Concrete Beam Schedule'!$A$2:$Q$2902,Y$2,0)&lt;&gt;I1273,"Beam Revised","")</f>
        <v>#N/A</v>
      </c>
      <c r="Z1273" s="7" t="e">
        <f>IF(VLOOKUP($A1273,'Concrete Beam Schedule'!$A$2:$Q$2902,Z$2,0)&lt;&gt;J1273,"Beam Revised","")</f>
        <v>#N/A</v>
      </c>
      <c r="AA1273" s="7" t="e">
        <f>IF(VLOOKUP($A1273,'Concrete Beam Schedule'!$A$2:$Q$2902,AA$2,0)&lt;&gt;K1273,"Beam Revised","")</f>
        <v>#N/A</v>
      </c>
      <c r="AB1273" s="7" t="e">
        <f>IF(VLOOKUP($A1273,'Concrete Beam Schedule'!$A$2:$Q$2902,AB$2,0)&lt;&gt;L1273,"Beam Revised","")</f>
        <v>#N/A</v>
      </c>
      <c r="AC1273" s="7" t="e">
        <f>IF(VLOOKUP($A1273,'Concrete Beam Schedule'!$A$2:$Q$2902,AC$2,0)&lt;&gt;M1273,"Beam Revised","")</f>
        <v>#N/A</v>
      </c>
      <c r="AD1273" s="7" t="e">
        <f>IF(VLOOKUP($A1273,'Concrete Beam Schedule'!$A$2:$Q$2902,AD$2,0)&lt;&gt;N1273,"Beam Revised","")</f>
        <v>#N/A</v>
      </c>
      <c r="AE1273" s="7" t="e">
        <f>IF(VLOOKUP($A1273,'Concrete Beam Schedule'!$A$2:$Q$2902,AE$2,0)&lt;&gt;O1273,"Beam Revised","")</f>
        <v>#N/A</v>
      </c>
    </row>
    <row r="1274" spans="17:31" ht="13.2" x14ac:dyDescent="0.25">
      <c r="Q1274" s="7">
        <f t="shared" si="19"/>
        <v>0</v>
      </c>
      <c r="R1274" s="7" t="e">
        <f>IF(VLOOKUP($A1274,'Concrete Beam Schedule'!$A$2:$Q$2902,R$2,0)&lt;&gt;B1274,VLOOKUP($A1274,'Concrete Beam Schedule'!$A$2:$Q$2902,R$2,0),"")</f>
        <v>#N/A</v>
      </c>
      <c r="S1274" s="7" t="e">
        <f>IF(VLOOKUP($A1274,'Concrete Beam Schedule'!$A$2:$Q$2902,S$2,0)&lt;&gt;C1274,VLOOKUP($A1274,'Concrete Beam Schedule'!$A$2:$Q$2902,S$2,0),"")</f>
        <v>#N/A</v>
      </c>
      <c r="T1274" s="7" t="e">
        <f>IF(VLOOKUP($A1274,'Concrete Beam Schedule'!$A$2:$Q$2902,T$2,0)&lt;&gt;D1274,"Beam Revised","")</f>
        <v>#N/A</v>
      </c>
      <c r="U1274" s="7" t="e">
        <f>IF(VLOOKUP($A1274,'Concrete Beam Schedule'!$A$2:$Q$2902,U$2,0)&lt;&gt;E1274,"Beam Revised","")</f>
        <v>#N/A</v>
      </c>
      <c r="V1274" s="7" t="e">
        <f>IF(VLOOKUP($A1274,'Concrete Beam Schedule'!$A$2:$Q$2902,V$2,0)&lt;&gt;F1274,"Beam Revised","")</f>
        <v>#N/A</v>
      </c>
      <c r="W1274" s="7" t="e">
        <f>IF(VLOOKUP($A1274,'Concrete Beam Schedule'!$A$2:$Q$2902,W$2,0)&lt;&gt;G1274,"Beam Revised","")</f>
        <v>#N/A</v>
      </c>
      <c r="X1274" s="7" t="e">
        <f>IF(VLOOKUP($A1274,'Concrete Beam Schedule'!$A$2:$Q$2902,X$2,0)&lt;&gt;H1274,"Beam Revised","")</f>
        <v>#N/A</v>
      </c>
      <c r="Y1274" s="7" t="e">
        <f>IF(VLOOKUP($A1274,'Concrete Beam Schedule'!$A$2:$Q$2902,Y$2,0)&lt;&gt;I1274,"Beam Revised","")</f>
        <v>#N/A</v>
      </c>
      <c r="Z1274" s="7" t="e">
        <f>IF(VLOOKUP($A1274,'Concrete Beam Schedule'!$A$2:$Q$2902,Z$2,0)&lt;&gt;J1274,"Beam Revised","")</f>
        <v>#N/A</v>
      </c>
      <c r="AA1274" s="7" t="e">
        <f>IF(VLOOKUP($A1274,'Concrete Beam Schedule'!$A$2:$Q$2902,AA$2,0)&lt;&gt;K1274,"Beam Revised","")</f>
        <v>#N/A</v>
      </c>
      <c r="AB1274" s="7" t="e">
        <f>IF(VLOOKUP($A1274,'Concrete Beam Schedule'!$A$2:$Q$2902,AB$2,0)&lt;&gt;L1274,"Beam Revised","")</f>
        <v>#N/A</v>
      </c>
      <c r="AC1274" s="7" t="e">
        <f>IF(VLOOKUP($A1274,'Concrete Beam Schedule'!$A$2:$Q$2902,AC$2,0)&lt;&gt;M1274,"Beam Revised","")</f>
        <v>#N/A</v>
      </c>
      <c r="AD1274" s="7" t="e">
        <f>IF(VLOOKUP($A1274,'Concrete Beam Schedule'!$A$2:$Q$2902,AD$2,0)&lt;&gt;N1274,"Beam Revised","")</f>
        <v>#N/A</v>
      </c>
      <c r="AE1274" s="7" t="e">
        <f>IF(VLOOKUP($A1274,'Concrete Beam Schedule'!$A$2:$Q$2902,AE$2,0)&lt;&gt;O1274,"Beam Revised","")</f>
        <v>#N/A</v>
      </c>
    </row>
    <row r="1275" spans="17:31" ht="13.2" x14ac:dyDescent="0.25">
      <c r="Q1275" s="7">
        <f t="shared" si="19"/>
        <v>0</v>
      </c>
      <c r="R1275" s="7" t="e">
        <f>IF(VLOOKUP($A1275,'Concrete Beam Schedule'!$A$2:$Q$2902,R$2,0)&lt;&gt;B1275,VLOOKUP($A1275,'Concrete Beam Schedule'!$A$2:$Q$2902,R$2,0),"")</f>
        <v>#N/A</v>
      </c>
      <c r="S1275" s="7" t="e">
        <f>IF(VLOOKUP($A1275,'Concrete Beam Schedule'!$A$2:$Q$2902,S$2,0)&lt;&gt;C1275,VLOOKUP($A1275,'Concrete Beam Schedule'!$A$2:$Q$2902,S$2,0),"")</f>
        <v>#N/A</v>
      </c>
      <c r="T1275" s="7" t="e">
        <f>IF(VLOOKUP($A1275,'Concrete Beam Schedule'!$A$2:$Q$2902,T$2,0)&lt;&gt;D1275,"Beam Revised","")</f>
        <v>#N/A</v>
      </c>
      <c r="U1275" s="7" t="e">
        <f>IF(VLOOKUP($A1275,'Concrete Beam Schedule'!$A$2:$Q$2902,U$2,0)&lt;&gt;E1275,"Beam Revised","")</f>
        <v>#N/A</v>
      </c>
      <c r="V1275" s="7" t="e">
        <f>IF(VLOOKUP($A1275,'Concrete Beam Schedule'!$A$2:$Q$2902,V$2,0)&lt;&gt;F1275,"Beam Revised","")</f>
        <v>#N/A</v>
      </c>
      <c r="W1275" s="7" t="e">
        <f>IF(VLOOKUP($A1275,'Concrete Beam Schedule'!$A$2:$Q$2902,W$2,0)&lt;&gt;G1275,"Beam Revised","")</f>
        <v>#N/A</v>
      </c>
      <c r="X1275" s="7" t="e">
        <f>IF(VLOOKUP($A1275,'Concrete Beam Schedule'!$A$2:$Q$2902,X$2,0)&lt;&gt;H1275,"Beam Revised","")</f>
        <v>#N/A</v>
      </c>
      <c r="Y1275" s="7" t="e">
        <f>IF(VLOOKUP($A1275,'Concrete Beam Schedule'!$A$2:$Q$2902,Y$2,0)&lt;&gt;I1275,"Beam Revised","")</f>
        <v>#N/A</v>
      </c>
      <c r="Z1275" s="7" t="e">
        <f>IF(VLOOKUP($A1275,'Concrete Beam Schedule'!$A$2:$Q$2902,Z$2,0)&lt;&gt;J1275,"Beam Revised","")</f>
        <v>#N/A</v>
      </c>
      <c r="AA1275" s="7" t="e">
        <f>IF(VLOOKUP($A1275,'Concrete Beam Schedule'!$A$2:$Q$2902,AA$2,0)&lt;&gt;K1275,"Beam Revised","")</f>
        <v>#N/A</v>
      </c>
      <c r="AB1275" s="7" t="e">
        <f>IF(VLOOKUP($A1275,'Concrete Beam Schedule'!$A$2:$Q$2902,AB$2,0)&lt;&gt;L1275,"Beam Revised","")</f>
        <v>#N/A</v>
      </c>
      <c r="AC1275" s="7" t="e">
        <f>IF(VLOOKUP($A1275,'Concrete Beam Schedule'!$A$2:$Q$2902,AC$2,0)&lt;&gt;M1275,"Beam Revised","")</f>
        <v>#N/A</v>
      </c>
      <c r="AD1275" s="7" t="e">
        <f>IF(VLOOKUP($A1275,'Concrete Beam Schedule'!$A$2:$Q$2902,AD$2,0)&lt;&gt;N1275,"Beam Revised","")</f>
        <v>#N/A</v>
      </c>
      <c r="AE1275" s="7" t="e">
        <f>IF(VLOOKUP($A1275,'Concrete Beam Schedule'!$A$2:$Q$2902,AE$2,0)&lt;&gt;O1275,"Beam Revised","")</f>
        <v>#N/A</v>
      </c>
    </row>
    <row r="1276" spans="17:31" ht="13.2" x14ac:dyDescent="0.25">
      <c r="Q1276" s="7">
        <f t="shared" si="19"/>
        <v>0</v>
      </c>
      <c r="R1276" s="7" t="e">
        <f>IF(VLOOKUP($A1276,'Concrete Beam Schedule'!$A$2:$Q$2902,R$2,0)&lt;&gt;B1276,VLOOKUP($A1276,'Concrete Beam Schedule'!$A$2:$Q$2902,R$2,0),"")</f>
        <v>#N/A</v>
      </c>
      <c r="S1276" s="7" t="e">
        <f>IF(VLOOKUP($A1276,'Concrete Beam Schedule'!$A$2:$Q$2902,S$2,0)&lt;&gt;C1276,VLOOKUP($A1276,'Concrete Beam Schedule'!$A$2:$Q$2902,S$2,0),"")</f>
        <v>#N/A</v>
      </c>
      <c r="T1276" s="7" t="e">
        <f>IF(VLOOKUP($A1276,'Concrete Beam Schedule'!$A$2:$Q$2902,T$2,0)&lt;&gt;D1276,"Beam Revised","")</f>
        <v>#N/A</v>
      </c>
      <c r="U1276" s="7" t="e">
        <f>IF(VLOOKUP($A1276,'Concrete Beam Schedule'!$A$2:$Q$2902,U$2,0)&lt;&gt;E1276,"Beam Revised","")</f>
        <v>#N/A</v>
      </c>
      <c r="V1276" s="7" t="e">
        <f>IF(VLOOKUP($A1276,'Concrete Beam Schedule'!$A$2:$Q$2902,V$2,0)&lt;&gt;F1276,"Beam Revised","")</f>
        <v>#N/A</v>
      </c>
      <c r="W1276" s="7" t="e">
        <f>IF(VLOOKUP($A1276,'Concrete Beam Schedule'!$A$2:$Q$2902,W$2,0)&lt;&gt;G1276,"Beam Revised","")</f>
        <v>#N/A</v>
      </c>
      <c r="X1276" s="7" t="e">
        <f>IF(VLOOKUP($A1276,'Concrete Beam Schedule'!$A$2:$Q$2902,X$2,0)&lt;&gt;H1276,"Beam Revised","")</f>
        <v>#N/A</v>
      </c>
      <c r="Y1276" s="7" t="e">
        <f>IF(VLOOKUP($A1276,'Concrete Beam Schedule'!$A$2:$Q$2902,Y$2,0)&lt;&gt;I1276,"Beam Revised","")</f>
        <v>#N/A</v>
      </c>
      <c r="Z1276" s="7" t="e">
        <f>IF(VLOOKUP($A1276,'Concrete Beam Schedule'!$A$2:$Q$2902,Z$2,0)&lt;&gt;J1276,"Beam Revised","")</f>
        <v>#N/A</v>
      </c>
      <c r="AA1276" s="7" t="e">
        <f>IF(VLOOKUP($A1276,'Concrete Beam Schedule'!$A$2:$Q$2902,AA$2,0)&lt;&gt;K1276,"Beam Revised","")</f>
        <v>#N/A</v>
      </c>
      <c r="AB1276" s="7" t="e">
        <f>IF(VLOOKUP($A1276,'Concrete Beam Schedule'!$A$2:$Q$2902,AB$2,0)&lt;&gt;L1276,"Beam Revised","")</f>
        <v>#N/A</v>
      </c>
      <c r="AC1276" s="7" t="e">
        <f>IF(VLOOKUP($A1276,'Concrete Beam Schedule'!$A$2:$Q$2902,AC$2,0)&lt;&gt;M1276,"Beam Revised","")</f>
        <v>#N/A</v>
      </c>
      <c r="AD1276" s="7" t="e">
        <f>IF(VLOOKUP($A1276,'Concrete Beam Schedule'!$A$2:$Q$2902,AD$2,0)&lt;&gt;N1276,"Beam Revised","")</f>
        <v>#N/A</v>
      </c>
      <c r="AE1276" s="7" t="e">
        <f>IF(VLOOKUP($A1276,'Concrete Beam Schedule'!$A$2:$Q$2902,AE$2,0)&lt;&gt;O1276,"Beam Revised","")</f>
        <v>#N/A</v>
      </c>
    </row>
    <row r="1277" spans="17:31" ht="13.2" x14ac:dyDescent="0.25">
      <c r="Q1277" s="7">
        <f t="shared" si="19"/>
        <v>0</v>
      </c>
      <c r="R1277" s="7" t="e">
        <f>IF(VLOOKUP($A1277,'Concrete Beam Schedule'!$A$2:$Q$2902,R$2,0)&lt;&gt;B1277,VLOOKUP($A1277,'Concrete Beam Schedule'!$A$2:$Q$2902,R$2,0),"")</f>
        <v>#N/A</v>
      </c>
      <c r="S1277" s="7" t="e">
        <f>IF(VLOOKUP($A1277,'Concrete Beam Schedule'!$A$2:$Q$2902,S$2,0)&lt;&gt;C1277,VLOOKUP($A1277,'Concrete Beam Schedule'!$A$2:$Q$2902,S$2,0),"")</f>
        <v>#N/A</v>
      </c>
      <c r="T1277" s="7" t="e">
        <f>IF(VLOOKUP($A1277,'Concrete Beam Schedule'!$A$2:$Q$2902,T$2,0)&lt;&gt;D1277,"Beam Revised","")</f>
        <v>#N/A</v>
      </c>
      <c r="U1277" s="7" t="e">
        <f>IF(VLOOKUP($A1277,'Concrete Beam Schedule'!$A$2:$Q$2902,U$2,0)&lt;&gt;E1277,"Beam Revised","")</f>
        <v>#N/A</v>
      </c>
      <c r="V1277" s="7" t="e">
        <f>IF(VLOOKUP($A1277,'Concrete Beam Schedule'!$A$2:$Q$2902,V$2,0)&lt;&gt;F1277,"Beam Revised","")</f>
        <v>#N/A</v>
      </c>
      <c r="W1277" s="7" t="e">
        <f>IF(VLOOKUP($A1277,'Concrete Beam Schedule'!$A$2:$Q$2902,W$2,0)&lt;&gt;G1277,"Beam Revised","")</f>
        <v>#N/A</v>
      </c>
      <c r="X1277" s="7" t="e">
        <f>IF(VLOOKUP($A1277,'Concrete Beam Schedule'!$A$2:$Q$2902,X$2,0)&lt;&gt;H1277,"Beam Revised","")</f>
        <v>#N/A</v>
      </c>
      <c r="Y1277" s="7" t="e">
        <f>IF(VLOOKUP($A1277,'Concrete Beam Schedule'!$A$2:$Q$2902,Y$2,0)&lt;&gt;I1277,"Beam Revised","")</f>
        <v>#N/A</v>
      </c>
      <c r="Z1277" s="7" t="e">
        <f>IF(VLOOKUP($A1277,'Concrete Beam Schedule'!$A$2:$Q$2902,Z$2,0)&lt;&gt;J1277,"Beam Revised","")</f>
        <v>#N/A</v>
      </c>
      <c r="AA1277" s="7" t="e">
        <f>IF(VLOOKUP($A1277,'Concrete Beam Schedule'!$A$2:$Q$2902,AA$2,0)&lt;&gt;K1277,"Beam Revised","")</f>
        <v>#N/A</v>
      </c>
      <c r="AB1277" s="7" t="e">
        <f>IF(VLOOKUP($A1277,'Concrete Beam Schedule'!$A$2:$Q$2902,AB$2,0)&lt;&gt;L1277,"Beam Revised","")</f>
        <v>#N/A</v>
      </c>
      <c r="AC1277" s="7" t="e">
        <f>IF(VLOOKUP($A1277,'Concrete Beam Schedule'!$A$2:$Q$2902,AC$2,0)&lt;&gt;M1277,"Beam Revised","")</f>
        <v>#N/A</v>
      </c>
      <c r="AD1277" s="7" t="e">
        <f>IF(VLOOKUP($A1277,'Concrete Beam Schedule'!$A$2:$Q$2902,AD$2,0)&lt;&gt;N1277,"Beam Revised","")</f>
        <v>#N/A</v>
      </c>
      <c r="AE1277" s="7" t="e">
        <f>IF(VLOOKUP($A1277,'Concrete Beam Schedule'!$A$2:$Q$2902,AE$2,0)&lt;&gt;O1277,"Beam Revised","")</f>
        <v>#N/A</v>
      </c>
    </row>
    <row r="1278" spans="17:31" ht="13.2" x14ac:dyDescent="0.25">
      <c r="Q1278" s="7">
        <f t="shared" si="19"/>
        <v>0</v>
      </c>
      <c r="R1278" s="7" t="e">
        <f>IF(VLOOKUP($A1278,'Concrete Beam Schedule'!$A$2:$Q$2902,R$2,0)&lt;&gt;B1278,VLOOKUP($A1278,'Concrete Beam Schedule'!$A$2:$Q$2902,R$2,0),"")</f>
        <v>#N/A</v>
      </c>
      <c r="S1278" s="7" t="e">
        <f>IF(VLOOKUP($A1278,'Concrete Beam Schedule'!$A$2:$Q$2902,S$2,0)&lt;&gt;C1278,VLOOKUP($A1278,'Concrete Beam Schedule'!$A$2:$Q$2902,S$2,0),"")</f>
        <v>#N/A</v>
      </c>
      <c r="T1278" s="7" t="e">
        <f>IF(VLOOKUP($A1278,'Concrete Beam Schedule'!$A$2:$Q$2902,T$2,0)&lt;&gt;D1278,"Beam Revised","")</f>
        <v>#N/A</v>
      </c>
      <c r="U1278" s="7" t="e">
        <f>IF(VLOOKUP($A1278,'Concrete Beam Schedule'!$A$2:$Q$2902,U$2,0)&lt;&gt;E1278,"Beam Revised","")</f>
        <v>#N/A</v>
      </c>
      <c r="V1278" s="7" t="e">
        <f>IF(VLOOKUP($A1278,'Concrete Beam Schedule'!$A$2:$Q$2902,V$2,0)&lt;&gt;F1278,"Beam Revised","")</f>
        <v>#N/A</v>
      </c>
      <c r="W1278" s="7" t="e">
        <f>IF(VLOOKUP($A1278,'Concrete Beam Schedule'!$A$2:$Q$2902,W$2,0)&lt;&gt;G1278,"Beam Revised","")</f>
        <v>#N/A</v>
      </c>
      <c r="X1278" s="7" t="e">
        <f>IF(VLOOKUP($A1278,'Concrete Beam Schedule'!$A$2:$Q$2902,X$2,0)&lt;&gt;H1278,"Beam Revised","")</f>
        <v>#N/A</v>
      </c>
      <c r="Y1278" s="7" t="e">
        <f>IF(VLOOKUP($A1278,'Concrete Beam Schedule'!$A$2:$Q$2902,Y$2,0)&lt;&gt;I1278,"Beam Revised","")</f>
        <v>#N/A</v>
      </c>
      <c r="Z1278" s="7" t="e">
        <f>IF(VLOOKUP($A1278,'Concrete Beam Schedule'!$A$2:$Q$2902,Z$2,0)&lt;&gt;J1278,"Beam Revised","")</f>
        <v>#N/A</v>
      </c>
      <c r="AA1278" s="7" t="e">
        <f>IF(VLOOKUP($A1278,'Concrete Beam Schedule'!$A$2:$Q$2902,AA$2,0)&lt;&gt;K1278,"Beam Revised","")</f>
        <v>#N/A</v>
      </c>
      <c r="AB1278" s="7" t="e">
        <f>IF(VLOOKUP($A1278,'Concrete Beam Schedule'!$A$2:$Q$2902,AB$2,0)&lt;&gt;L1278,"Beam Revised","")</f>
        <v>#N/A</v>
      </c>
      <c r="AC1278" s="7" t="e">
        <f>IF(VLOOKUP($A1278,'Concrete Beam Schedule'!$A$2:$Q$2902,AC$2,0)&lt;&gt;M1278,"Beam Revised","")</f>
        <v>#N/A</v>
      </c>
      <c r="AD1278" s="7" t="e">
        <f>IF(VLOOKUP($A1278,'Concrete Beam Schedule'!$A$2:$Q$2902,AD$2,0)&lt;&gt;N1278,"Beam Revised","")</f>
        <v>#N/A</v>
      </c>
      <c r="AE1278" s="7" t="e">
        <f>IF(VLOOKUP($A1278,'Concrete Beam Schedule'!$A$2:$Q$2902,AE$2,0)&lt;&gt;O1278,"Beam Revised","")</f>
        <v>#N/A</v>
      </c>
    </row>
    <row r="1279" spans="17:31" ht="13.2" x14ac:dyDescent="0.25">
      <c r="Q1279" s="7">
        <f t="shared" si="19"/>
        <v>0</v>
      </c>
      <c r="R1279" s="7" t="e">
        <f>IF(VLOOKUP($A1279,'Concrete Beam Schedule'!$A$2:$Q$2902,R$2,0)&lt;&gt;B1279,VLOOKUP($A1279,'Concrete Beam Schedule'!$A$2:$Q$2902,R$2,0),"")</f>
        <v>#N/A</v>
      </c>
      <c r="S1279" s="7" t="e">
        <f>IF(VLOOKUP($A1279,'Concrete Beam Schedule'!$A$2:$Q$2902,S$2,0)&lt;&gt;C1279,VLOOKUP($A1279,'Concrete Beam Schedule'!$A$2:$Q$2902,S$2,0),"")</f>
        <v>#N/A</v>
      </c>
      <c r="T1279" s="7" t="e">
        <f>IF(VLOOKUP($A1279,'Concrete Beam Schedule'!$A$2:$Q$2902,T$2,0)&lt;&gt;D1279,"Beam Revised","")</f>
        <v>#N/A</v>
      </c>
      <c r="U1279" s="7" t="e">
        <f>IF(VLOOKUP($A1279,'Concrete Beam Schedule'!$A$2:$Q$2902,U$2,0)&lt;&gt;E1279,"Beam Revised","")</f>
        <v>#N/A</v>
      </c>
      <c r="V1279" s="7" t="e">
        <f>IF(VLOOKUP($A1279,'Concrete Beam Schedule'!$A$2:$Q$2902,V$2,0)&lt;&gt;F1279,"Beam Revised","")</f>
        <v>#N/A</v>
      </c>
      <c r="W1279" s="7" t="e">
        <f>IF(VLOOKUP($A1279,'Concrete Beam Schedule'!$A$2:$Q$2902,W$2,0)&lt;&gt;G1279,"Beam Revised","")</f>
        <v>#N/A</v>
      </c>
      <c r="X1279" s="7" t="e">
        <f>IF(VLOOKUP($A1279,'Concrete Beam Schedule'!$A$2:$Q$2902,X$2,0)&lt;&gt;H1279,"Beam Revised","")</f>
        <v>#N/A</v>
      </c>
      <c r="Y1279" s="7" t="e">
        <f>IF(VLOOKUP($A1279,'Concrete Beam Schedule'!$A$2:$Q$2902,Y$2,0)&lt;&gt;I1279,"Beam Revised","")</f>
        <v>#N/A</v>
      </c>
      <c r="Z1279" s="7" t="e">
        <f>IF(VLOOKUP($A1279,'Concrete Beam Schedule'!$A$2:$Q$2902,Z$2,0)&lt;&gt;J1279,"Beam Revised","")</f>
        <v>#N/A</v>
      </c>
      <c r="AA1279" s="7" t="e">
        <f>IF(VLOOKUP($A1279,'Concrete Beam Schedule'!$A$2:$Q$2902,AA$2,0)&lt;&gt;K1279,"Beam Revised","")</f>
        <v>#N/A</v>
      </c>
      <c r="AB1279" s="7" t="e">
        <f>IF(VLOOKUP($A1279,'Concrete Beam Schedule'!$A$2:$Q$2902,AB$2,0)&lt;&gt;L1279,"Beam Revised","")</f>
        <v>#N/A</v>
      </c>
      <c r="AC1279" s="7" t="e">
        <f>IF(VLOOKUP($A1279,'Concrete Beam Schedule'!$A$2:$Q$2902,AC$2,0)&lt;&gt;M1279,"Beam Revised","")</f>
        <v>#N/A</v>
      </c>
      <c r="AD1279" s="7" t="e">
        <f>IF(VLOOKUP($A1279,'Concrete Beam Schedule'!$A$2:$Q$2902,AD$2,0)&lt;&gt;N1279,"Beam Revised","")</f>
        <v>#N/A</v>
      </c>
      <c r="AE1279" s="7" t="e">
        <f>IF(VLOOKUP($A1279,'Concrete Beam Schedule'!$A$2:$Q$2902,AE$2,0)&lt;&gt;O1279,"Beam Revised","")</f>
        <v>#N/A</v>
      </c>
    </row>
    <row r="1280" spans="17:31" ht="13.2" x14ac:dyDescent="0.25">
      <c r="Q1280" s="7">
        <f t="shared" si="19"/>
        <v>0</v>
      </c>
      <c r="R1280" s="7" t="e">
        <f>IF(VLOOKUP($A1280,'Concrete Beam Schedule'!$A$2:$Q$2902,R$2,0)&lt;&gt;B1280,VLOOKUP($A1280,'Concrete Beam Schedule'!$A$2:$Q$2902,R$2,0),"")</f>
        <v>#N/A</v>
      </c>
      <c r="S1280" s="7" t="e">
        <f>IF(VLOOKUP($A1280,'Concrete Beam Schedule'!$A$2:$Q$2902,S$2,0)&lt;&gt;C1280,VLOOKUP($A1280,'Concrete Beam Schedule'!$A$2:$Q$2902,S$2,0),"")</f>
        <v>#N/A</v>
      </c>
      <c r="T1280" s="7" t="e">
        <f>IF(VLOOKUP($A1280,'Concrete Beam Schedule'!$A$2:$Q$2902,T$2,0)&lt;&gt;D1280,"Beam Revised","")</f>
        <v>#N/A</v>
      </c>
      <c r="U1280" s="7" t="e">
        <f>IF(VLOOKUP($A1280,'Concrete Beam Schedule'!$A$2:$Q$2902,U$2,0)&lt;&gt;E1280,"Beam Revised","")</f>
        <v>#N/A</v>
      </c>
      <c r="V1280" s="7" t="e">
        <f>IF(VLOOKUP($A1280,'Concrete Beam Schedule'!$A$2:$Q$2902,V$2,0)&lt;&gt;F1280,"Beam Revised","")</f>
        <v>#N/A</v>
      </c>
      <c r="W1280" s="7" t="e">
        <f>IF(VLOOKUP($A1280,'Concrete Beam Schedule'!$A$2:$Q$2902,W$2,0)&lt;&gt;G1280,"Beam Revised","")</f>
        <v>#N/A</v>
      </c>
      <c r="X1280" s="7" t="e">
        <f>IF(VLOOKUP($A1280,'Concrete Beam Schedule'!$A$2:$Q$2902,X$2,0)&lt;&gt;H1280,"Beam Revised","")</f>
        <v>#N/A</v>
      </c>
      <c r="Y1280" s="7" t="e">
        <f>IF(VLOOKUP($A1280,'Concrete Beam Schedule'!$A$2:$Q$2902,Y$2,0)&lt;&gt;I1280,"Beam Revised","")</f>
        <v>#N/A</v>
      </c>
      <c r="Z1280" s="7" t="e">
        <f>IF(VLOOKUP($A1280,'Concrete Beam Schedule'!$A$2:$Q$2902,Z$2,0)&lt;&gt;J1280,"Beam Revised","")</f>
        <v>#N/A</v>
      </c>
      <c r="AA1280" s="7" t="e">
        <f>IF(VLOOKUP($A1280,'Concrete Beam Schedule'!$A$2:$Q$2902,AA$2,0)&lt;&gt;K1280,"Beam Revised","")</f>
        <v>#N/A</v>
      </c>
      <c r="AB1280" s="7" t="e">
        <f>IF(VLOOKUP($A1280,'Concrete Beam Schedule'!$A$2:$Q$2902,AB$2,0)&lt;&gt;L1280,"Beam Revised","")</f>
        <v>#N/A</v>
      </c>
      <c r="AC1280" s="7" t="e">
        <f>IF(VLOOKUP($A1280,'Concrete Beam Schedule'!$A$2:$Q$2902,AC$2,0)&lt;&gt;M1280,"Beam Revised","")</f>
        <v>#N/A</v>
      </c>
      <c r="AD1280" s="7" t="e">
        <f>IF(VLOOKUP($A1280,'Concrete Beam Schedule'!$A$2:$Q$2902,AD$2,0)&lt;&gt;N1280,"Beam Revised","")</f>
        <v>#N/A</v>
      </c>
      <c r="AE1280" s="7" t="e">
        <f>IF(VLOOKUP($A1280,'Concrete Beam Schedule'!$A$2:$Q$2902,AE$2,0)&lt;&gt;O1280,"Beam Revised","")</f>
        <v>#N/A</v>
      </c>
    </row>
    <row r="1281" spans="17:31" ht="13.2" x14ac:dyDescent="0.25">
      <c r="Q1281" s="7">
        <f t="shared" si="19"/>
        <v>0</v>
      </c>
      <c r="R1281" s="7" t="e">
        <f>IF(VLOOKUP($A1281,'Concrete Beam Schedule'!$A$2:$Q$2902,R$2,0)&lt;&gt;B1281,VLOOKUP($A1281,'Concrete Beam Schedule'!$A$2:$Q$2902,R$2,0),"")</f>
        <v>#N/A</v>
      </c>
      <c r="S1281" s="7" t="e">
        <f>IF(VLOOKUP($A1281,'Concrete Beam Schedule'!$A$2:$Q$2902,S$2,0)&lt;&gt;C1281,VLOOKUP($A1281,'Concrete Beam Schedule'!$A$2:$Q$2902,S$2,0),"")</f>
        <v>#N/A</v>
      </c>
      <c r="T1281" s="7" t="e">
        <f>IF(VLOOKUP($A1281,'Concrete Beam Schedule'!$A$2:$Q$2902,T$2,0)&lt;&gt;D1281,"Beam Revised","")</f>
        <v>#N/A</v>
      </c>
      <c r="U1281" s="7" t="e">
        <f>IF(VLOOKUP($A1281,'Concrete Beam Schedule'!$A$2:$Q$2902,U$2,0)&lt;&gt;E1281,"Beam Revised","")</f>
        <v>#N/A</v>
      </c>
      <c r="V1281" s="7" t="e">
        <f>IF(VLOOKUP($A1281,'Concrete Beam Schedule'!$A$2:$Q$2902,V$2,0)&lt;&gt;F1281,"Beam Revised","")</f>
        <v>#N/A</v>
      </c>
      <c r="W1281" s="7" t="e">
        <f>IF(VLOOKUP($A1281,'Concrete Beam Schedule'!$A$2:$Q$2902,W$2,0)&lt;&gt;G1281,"Beam Revised","")</f>
        <v>#N/A</v>
      </c>
      <c r="X1281" s="7" t="e">
        <f>IF(VLOOKUP($A1281,'Concrete Beam Schedule'!$A$2:$Q$2902,X$2,0)&lt;&gt;H1281,"Beam Revised","")</f>
        <v>#N/A</v>
      </c>
      <c r="Y1281" s="7" t="e">
        <f>IF(VLOOKUP($A1281,'Concrete Beam Schedule'!$A$2:$Q$2902,Y$2,0)&lt;&gt;I1281,"Beam Revised","")</f>
        <v>#N/A</v>
      </c>
      <c r="Z1281" s="7" t="e">
        <f>IF(VLOOKUP($A1281,'Concrete Beam Schedule'!$A$2:$Q$2902,Z$2,0)&lt;&gt;J1281,"Beam Revised","")</f>
        <v>#N/A</v>
      </c>
      <c r="AA1281" s="7" t="e">
        <f>IF(VLOOKUP($A1281,'Concrete Beam Schedule'!$A$2:$Q$2902,AA$2,0)&lt;&gt;K1281,"Beam Revised","")</f>
        <v>#N/A</v>
      </c>
      <c r="AB1281" s="7" t="e">
        <f>IF(VLOOKUP($A1281,'Concrete Beam Schedule'!$A$2:$Q$2902,AB$2,0)&lt;&gt;L1281,"Beam Revised","")</f>
        <v>#N/A</v>
      </c>
      <c r="AC1281" s="7" t="e">
        <f>IF(VLOOKUP($A1281,'Concrete Beam Schedule'!$A$2:$Q$2902,AC$2,0)&lt;&gt;M1281,"Beam Revised","")</f>
        <v>#N/A</v>
      </c>
      <c r="AD1281" s="7" t="e">
        <f>IF(VLOOKUP($A1281,'Concrete Beam Schedule'!$A$2:$Q$2902,AD$2,0)&lt;&gt;N1281,"Beam Revised","")</f>
        <v>#N/A</v>
      </c>
      <c r="AE1281" s="7" t="e">
        <f>IF(VLOOKUP($A1281,'Concrete Beam Schedule'!$A$2:$Q$2902,AE$2,0)&lt;&gt;O1281,"Beam Revised","")</f>
        <v>#N/A</v>
      </c>
    </row>
    <row r="1282" spans="17:31" ht="13.2" x14ac:dyDescent="0.25">
      <c r="Q1282" s="7">
        <f t="shared" si="19"/>
        <v>0</v>
      </c>
      <c r="R1282" s="7" t="e">
        <f>IF(VLOOKUP($A1282,'Concrete Beam Schedule'!$A$2:$Q$2902,R$2,0)&lt;&gt;B1282,VLOOKUP($A1282,'Concrete Beam Schedule'!$A$2:$Q$2902,R$2,0),"")</f>
        <v>#N/A</v>
      </c>
      <c r="S1282" s="7" t="e">
        <f>IF(VLOOKUP($A1282,'Concrete Beam Schedule'!$A$2:$Q$2902,S$2,0)&lt;&gt;C1282,VLOOKUP($A1282,'Concrete Beam Schedule'!$A$2:$Q$2902,S$2,0),"")</f>
        <v>#N/A</v>
      </c>
      <c r="T1282" s="7" t="e">
        <f>IF(VLOOKUP($A1282,'Concrete Beam Schedule'!$A$2:$Q$2902,T$2,0)&lt;&gt;D1282,"Beam Revised","")</f>
        <v>#N/A</v>
      </c>
      <c r="U1282" s="7" t="e">
        <f>IF(VLOOKUP($A1282,'Concrete Beam Schedule'!$A$2:$Q$2902,U$2,0)&lt;&gt;E1282,"Beam Revised","")</f>
        <v>#N/A</v>
      </c>
      <c r="V1282" s="7" t="e">
        <f>IF(VLOOKUP($A1282,'Concrete Beam Schedule'!$A$2:$Q$2902,V$2,0)&lt;&gt;F1282,"Beam Revised","")</f>
        <v>#N/A</v>
      </c>
      <c r="W1282" s="7" t="e">
        <f>IF(VLOOKUP($A1282,'Concrete Beam Schedule'!$A$2:$Q$2902,W$2,0)&lt;&gt;G1282,"Beam Revised","")</f>
        <v>#N/A</v>
      </c>
      <c r="X1282" s="7" t="e">
        <f>IF(VLOOKUP($A1282,'Concrete Beam Schedule'!$A$2:$Q$2902,X$2,0)&lt;&gt;H1282,"Beam Revised","")</f>
        <v>#N/A</v>
      </c>
      <c r="Y1282" s="7" t="e">
        <f>IF(VLOOKUP($A1282,'Concrete Beam Schedule'!$A$2:$Q$2902,Y$2,0)&lt;&gt;I1282,"Beam Revised","")</f>
        <v>#N/A</v>
      </c>
      <c r="Z1282" s="7" t="e">
        <f>IF(VLOOKUP($A1282,'Concrete Beam Schedule'!$A$2:$Q$2902,Z$2,0)&lt;&gt;J1282,"Beam Revised","")</f>
        <v>#N/A</v>
      </c>
      <c r="AA1282" s="7" t="e">
        <f>IF(VLOOKUP($A1282,'Concrete Beam Schedule'!$A$2:$Q$2902,AA$2,0)&lt;&gt;K1282,"Beam Revised","")</f>
        <v>#N/A</v>
      </c>
      <c r="AB1282" s="7" t="e">
        <f>IF(VLOOKUP($A1282,'Concrete Beam Schedule'!$A$2:$Q$2902,AB$2,0)&lt;&gt;L1282,"Beam Revised","")</f>
        <v>#N/A</v>
      </c>
      <c r="AC1282" s="7" t="e">
        <f>IF(VLOOKUP($A1282,'Concrete Beam Schedule'!$A$2:$Q$2902,AC$2,0)&lt;&gt;M1282,"Beam Revised","")</f>
        <v>#N/A</v>
      </c>
      <c r="AD1282" s="7" t="e">
        <f>IF(VLOOKUP($A1282,'Concrete Beam Schedule'!$A$2:$Q$2902,AD$2,0)&lt;&gt;N1282,"Beam Revised","")</f>
        <v>#N/A</v>
      </c>
      <c r="AE1282" s="7" t="e">
        <f>IF(VLOOKUP($A1282,'Concrete Beam Schedule'!$A$2:$Q$2902,AE$2,0)&lt;&gt;O1282,"Beam Revised","")</f>
        <v>#N/A</v>
      </c>
    </row>
    <row r="1283" spans="17:31" ht="13.2" x14ac:dyDescent="0.25">
      <c r="Q1283" s="7">
        <f t="shared" si="19"/>
        <v>0</v>
      </c>
      <c r="R1283" s="7" t="e">
        <f>IF(VLOOKUP($A1283,'Concrete Beam Schedule'!$A$2:$Q$2902,R$2,0)&lt;&gt;B1283,VLOOKUP($A1283,'Concrete Beam Schedule'!$A$2:$Q$2902,R$2,0),"")</f>
        <v>#N/A</v>
      </c>
      <c r="S1283" s="7" t="e">
        <f>IF(VLOOKUP($A1283,'Concrete Beam Schedule'!$A$2:$Q$2902,S$2,0)&lt;&gt;C1283,VLOOKUP($A1283,'Concrete Beam Schedule'!$A$2:$Q$2902,S$2,0),"")</f>
        <v>#N/A</v>
      </c>
      <c r="T1283" s="7" t="e">
        <f>IF(VLOOKUP($A1283,'Concrete Beam Schedule'!$A$2:$Q$2902,T$2,0)&lt;&gt;D1283,"Beam Revised","")</f>
        <v>#N/A</v>
      </c>
      <c r="U1283" s="7" t="e">
        <f>IF(VLOOKUP($A1283,'Concrete Beam Schedule'!$A$2:$Q$2902,U$2,0)&lt;&gt;E1283,"Beam Revised","")</f>
        <v>#N/A</v>
      </c>
      <c r="V1283" s="7" t="e">
        <f>IF(VLOOKUP($A1283,'Concrete Beam Schedule'!$A$2:$Q$2902,V$2,0)&lt;&gt;F1283,"Beam Revised","")</f>
        <v>#N/A</v>
      </c>
      <c r="W1283" s="7" t="e">
        <f>IF(VLOOKUP($A1283,'Concrete Beam Schedule'!$A$2:$Q$2902,W$2,0)&lt;&gt;G1283,"Beam Revised","")</f>
        <v>#N/A</v>
      </c>
      <c r="X1283" s="7" t="e">
        <f>IF(VLOOKUP($A1283,'Concrete Beam Schedule'!$A$2:$Q$2902,X$2,0)&lt;&gt;H1283,"Beam Revised","")</f>
        <v>#N/A</v>
      </c>
      <c r="Y1283" s="7" t="e">
        <f>IF(VLOOKUP($A1283,'Concrete Beam Schedule'!$A$2:$Q$2902,Y$2,0)&lt;&gt;I1283,"Beam Revised","")</f>
        <v>#N/A</v>
      </c>
      <c r="Z1283" s="7" t="e">
        <f>IF(VLOOKUP($A1283,'Concrete Beam Schedule'!$A$2:$Q$2902,Z$2,0)&lt;&gt;J1283,"Beam Revised","")</f>
        <v>#N/A</v>
      </c>
      <c r="AA1283" s="7" t="e">
        <f>IF(VLOOKUP($A1283,'Concrete Beam Schedule'!$A$2:$Q$2902,AA$2,0)&lt;&gt;K1283,"Beam Revised","")</f>
        <v>#N/A</v>
      </c>
      <c r="AB1283" s="7" t="e">
        <f>IF(VLOOKUP($A1283,'Concrete Beam Schedule'!$A$2:$Q$2902,AB$2,0)&lt;&gt;L1283,"Beam Revised","")</f>
        <v>#N/A</v>
      </c>
      <c r="AC1283" s="7" t="e">
        <f>IF(VLOOKUP($A1283,'Concrete Beam Schedule'!$A$2:$Q$2902,AC$2,0)&lt;&gt;M1283,"Beam Revised","")</f>
        <v>#N/A</v>
      </c>
      <c r="AD1283" s="7" t="e">
        <f>IF(VLOOKUP($A1283,'Concrete Beam Schedule'!$A$2:$Q$2902,AD$2,0)&lt;&gt;N1283,"Beam Revised","")</f>
        <v>#N/A</v>
      </c>
      <c r="AE1283" s="7" t="e">
        <f>IF(VLOOKUP($A1283,'Concrete Beam Schedule'!$A$2:$Q$2902,AE$2,0)&lt;&gt;O1283,"Beam Revised","")</f>
        <v>#N/A</v>
      </c>
    </row>
    <row r="1284" spans="17:31" ht="13.2" x14ac:dyDescent="0.25">
      <c r="Q1284" s="7">
        <f t="shared" ref="Q1284:Q1347" si="20">A1284</f>
        <v>0</v>
      </c>
      <c r="R1284" s="7" t="e">
        <f>IF(VLOOKUP($A1284,'Concrete Beam Schedule'!$A$2:$Q$2902,R$2,0)&lt;&gt;B1284,VLOOKUP($A1284,'Concrete Beam Schedule'!$A$2:$Q$2902,R$2,0),"")</f>
        <v>#N/A</v>
      </c>
      <c r="S1284" s="7" t="e">
        <f>IF(VLOOKUP($A1284,'Concrete Beam Schedule'!$A$2:$Q$2902,S$2,0)&lt;&gt;C1284,VLOOKUP($A1284,'Concrete Beam Schedule'!$A$2:$Q$2902,S$2,0),"")</f>
        <v>#N/A</v>
      </c>
      <c r="T1284" s="7" t="e">
        <f>IF(VLOOKUP($A1284,'Concrete Beam Schedule'!$A$2:$Q$2902,T$2,0)&lt;&gt;D1284,"Beam Revised","")</f>
        <v>#N/A</v>
      </c>
      <c r="U1284" s="7" t="e">
        <f>IF(VLOOKUP($A1284,'Concrete Beam Schedule'!$A$2:$Q$2902,U$2,0)&lt;&gt;E1284,"Beam Revised","")</f>
        <v>#N/A</v>
      </c>
      <c r="V1284" s="7" t="e">
        <f>IF(VLOOKUP($A1284,'Concrete Beam Schedule'!$A$2:$Q$2902,V$2,0)&lt;&gt;F1284,"Beam Revised","")</f>
        <v>#N/A</v>
      </c>
      <c r="W1284" s="7" t="e">
        <f>IF(VLOOKUP($A1284,'Concrete Beam Schedule'!$A$2:$Q$2902,W$2,0)&lt;&gt;G1284,"Beam Revised","")</f>
        <v>#N/A</v>
      </c>
      <c r="X1284" s="7" t="e">
        <f>IF(VLOOKUP($A1284,'Concrete Beam Schedule'!$A$2:$Q$2902,X$2,0)&lt;&gt;H1284,"Beam Revised","")</f>
        <v>#N/A</v>
      </c>
      <c r="Y1284" s="7" t="e">
        <f>IF(VLOOKUP($A1284,'Concrete Beam Schedule'!$A$2:$Q$2902,Y$2,0)&lt;&gt;I1284,"Beam Revised","")</f>
        <v>#N/A</v>
      </c>
      <c r="Z1284" s="7" t="e">
        <f>IF(VLOOKUP($A1284,'Concrete Beam Schedule'!$A$2:$Q$2902,Z$2,0)&lt;&gt;J1284,"Beam Revised","")</f>
        <v>#N/A</v>
      </c>
      <c r="AA1284" s="7" t="e">
        <f>IF(VLOOKUP($A1284,'Concrete Beam Schedule'!$A$2:$Q$2902,AA$2,0)&lt;&gt;K1284,"Beam Revised","")</f>
        <v>#N/A</v>
      </c>
      <c r="AB1284" s="7" t="e">
        <f>IF(VLOOKUP($A1284,'Concrete Beam Schedule'!$A$2:$Q$2902,AB$2,0)&lt;&gt;L1284,"Beam Revised","")</f>
        <v>#N/A</v>
      </c>
      <c r="AC1284" s="7" t="e">
        <f>IF(VLOOKUP($A1284,'Concrete Beam Schedule'!$A$2:$Q$2902,AC$2,0)&lt;&gt;M1284,"Beam Revised","")</f>
        <v>#N/A</v>
      </c>
      <c r="AD1284" s="7" t="e">
        <f>IF(VLOOKUP($A1284,'Concrete Beam Schedule'!$A$2:$Q$2902,AD$2,0)&lt;&gt;N1284,"Beam Revised","")</f>
        <v>#N/A</v>
      </c>
      <c r="AE1284" s="7" t="e">
        <f>IF(VLOOKUP($A1284,'Concrete Beam Schedule'!$A$2:$Q$2902,AE$2,0)&lt;&gt;O1284,"Beam Revised","")</f>
        <v>#N/A</v>
      </c>
    </row>
    <row r="1285" spans="17:31" ht="13.2" x14ac:dyDescent="0.25">
      <c r="Q1285" s="7">
        <f t="shared" si="20"/>
        <v>0</v>
      </c>
      <c r="R1285" s="7" t="e">
        <f>IF(VLOOKUP($A1285,'Concrete Beam Schedule'!$A$2:$Q$2902,R$2,0)&lt;&gt;B1285,VLOOKUP($A1285,'Concrete Beam Schedule'!$A$2:$Q$2902,R$2,0),"")</f>
        <v>#N/A</v>
      </c>
      <c r="S1285" s="7" t="e">
        <f>IF(VLOOKUP($A1285,'Concrete Beam Schedule'!$A$2:$Q$2902,S$2,0)&lt;&gt;C1285,VLOOKUP($A1285,'Concrete Beam Schedule'!$A$2:$Q$2902,S$2,0),"")</f>
        <v>#N/A</v>
      </c>
      <c r="T1285" s="7" t="e">
        <f>IF(VLOOKUP($A1285,'Concrete Beam Schedule'!$A$2:$Q$2902,T$2,0)&lt;&gt;D1285,"Beam Revised","")</f>
        <v>#N/A</v>
      </c>
      <c r="U1285" s="7" t="e">
        <f>IF(VLOOKUP($A1285,'Concrete Beam Schedule'!$A$2:$Q$2902,U$2,0)&lt;&gt;E1285,"Beam Revised","")</f>
        <v>#N/A</v>
      </c>
      <c r="V1285" s="7" t="e">
        <f>IF(VLOOKUP($A1285,'Concrete Beam Schedule'!$A$2:$Q$2902,V$2,0)&lt;&gt;F1285,"Beam Revised","")</f>
        <v>#N/A</v>
      </c>
      <c r="W1285" s="7" t="e">
        <f>IF(VLOOKUP($A1285,'Concrete Beam Schedule'!$A$2:$Q$2902,W$2,0)&lt;&gt;G1285,"Beam Revised","")</f>
        <v>#N/A</v>
      </c>
      <c r="X1285" s="7" t="e">
        <f>IF(VLOOKUP($A1285,'Concrete Beam Schedule'!$A$2:$Q$2902,X$2,0)&lt;&gt;H1285,"Beam Revised","")</f>
        <v>#N/A</v>
      </c>
      <c r="Y1285" s="7" t="e">
        <f>IF(VLOOKUP($A1285,'Concrete Beam Schedule'!$A$2:$Q$2902,Y$2,0)&lt;&gt;I1285,"Beam Revised","")</f>
        <v>#N/A</v>
      </c>
      <c r="Z1285" s="7" t="e">
        <f>IF(VLOOKUP($A1285,'Concrete Beam Schedule'!$A$2:$Q$2902,Z$2,0)&lt;&gt;J1285,"Beam Revised","")</f>
        <v>#N/A</v>
      </c>
      <c r="AA1285" s="7" t="e">
        <f>IF(VLOOKUP($A1285,'Concrete Beam Schedule'!$A$2:$Q$2902,AA$2,0)&lt;&gt;K1285,"Beam Revised","")</f>
        <v>#N/A</v>
      </c>
      <c r="AB1285" s="7" t="e">
        <f>IF(VLOOKUP($A1285,'Concrete Beam Schedule'!$A$2:$Q$2902,AB$2,0)&lt;&gt;L1285,"Beam Revised","")</f>
        <v>#N/A</v>
      </c>
      <c r="AC1285" s="7" t="e">
        <f>IF(VLOOKUP($A1285,'Concrete Beam Schedule'!$A$2:$Q$2902,AC$2,0)&lt;&gt;M1285,"Beam Revised","")</f>
        <v>#N/A</v>
      </c>
      <c r="AD1285" s="7" t="e">
        <f>IF(VLOOKUP($A1285,'Concrete Beam Schedule'!$A$2:$Q$2902,AD$2,0)&lt;&gt;N1285,"Beam Revised","")</f>
        <v>#N/A</v>
      </c>
      <c r="AE1285" s="7" t="e">
        <f>IF(VLOOKUP($A1285,'Concrete Beam Schedule'!$A$2:$Q$2902,AE$2,0)&lt;&gt;O1285,"Beam Revised","")</f>
        <v>#N/A</v>
      </c>
    </row>
    <row r="1286" spans="17:31" ht="13.2" x14ac:dyDescent="0.25">
      <c r="Q1286" s="7">
        <f t="shared" si="20"/>
        <v>0</v>
      </c>
      <c r="R1286" s="7" t="e">
        <f>IF(VLOOKUP($A1286,'Concrete Beam Schedule'!$A$2:$Q$2902,R$2,0)&lt;&gt;B1286,VLOOKUP($A1286,'Concrete Beam Schedule'!$A$2:$Q$2902,R$2,0),"")</f>
        <v>#N/A</v>
      </c>
      <c r="S1286" s="7" t="e">
        <f>IF(VLOOKUP($A1286,'Concrete Beam Schedule'!$A$2:$Q$2902,S$2,0)&lt;&gt;C1286,VLOOKUP($A1286,'Concrete Beam Schedule'!$A$2:$Q$2902,S$2,0),"")</f>
        <v>#N/A</v>
      </c>
      <c r="T1286" s="7" t="e">
        <f>IF(VLOOKUP($A1286,'Concrete Beam Schedule'!$A$2:$Q$2902,T$2,0)&lt;&gt;D1286,"Beam Revised","")</f>
        <v>#N/A</v>
      </c>
      <c r="U1286" s="7" t="e">
        <f>IF(VLOOKUP($A1286,'Concrete Beam Schedule'!$A$2:$Q$2902,U$2,0)&lt;&gt;E1286,"Beam Revised","")</f>
        <v>#N/A</v>
      </c>
      <c r="V1286" s="7" t="e">
        <f>IF(VLOOKUP($A1286,'Concrete Beam Schedule'!$A$2:$Q$2902,V$2,0)&lt;&gt;F1286,"Beam Revised","")</f>
        <v>#N/A</v>
      </c>
      <c r="W1286" s="7" t="e">
        <f>IF(VLOOKUP($A1286,'Concrete Beam Schedule'!$A$2:$Q$2902,W$2,0)&lt;&gt;G1286,"Beam Revised","")</f>
        <v>#N/A</v>
      </c>
      <c r="X1286" s="7" t="e">
        <f>IF(VLOOKUP($A1286,'Concrete Beam Schedule'!$A$2:$Q$2902,X$2,0)&lt;&gt;H1286,"Beam Revised","")</f>
        <v>#N/A</v>
      </c>
      <c r="Y1286" s="7" t="e">
        <f>IF(VLOOKUP($A1286,'Concrete Beam Schedule'!$A$2:$Q$2902,Y$2,0)&lt;&gt;I1286,"Beam Revised","")</f>
        <v>#N/A</v>
      </c>
      <c r="Z1286" s="7" t="e">
        <f>IF(VLOOKUP($A1286,'Concrete Beam Schedule'!$A$2:$Q$2902,Z$2,0)&lt;&gt;J1286,"Beam Revised","")</f>
        <v>#N/A</v>
      </c>
      <c r="AA1286" s="7" t="e">
        <f>IF(VLOOKUP($A1286,'Concrete Beam Schedule'!$A$2:$Q$2902,AA$2,0)&lt;&gt;K1286,"Beam Revised","")</f>
        <v>#N/A</v>
      </c>
      <c r="AB1286" s="7" t="e">
        <f>IF(VLOOKUP($A1286,'Concrete Beam Schedule'!$A$2:$Q$2902,AB$2,0)&lt;&gt;L1286,"Beam Revised","")</f>
        <v>#N/A</v>
      </c>
      <c r="AC1286" s="7" t="e">
        <f>IF(VLOOKUP($A1286,'Concrete Beam Schedule'!$A$2:$Q$2902,AC$2,0)&lt;&gt;M1286,"Beam Revised","")</f>
        <v>#N/A</v>
      </c>
      <c r="AD1286" s="7" t="e">
        <f>IF(VLOOKUP($A1286,'Concrete Beam Schedule'!$A$2:$Q$2902,AD$2,0)&lt;&gt;N1286,"Beam Revised","")</f>
        <v>#N/A</v>
      </c>
      <c r="AE1286" s="7" t="e">
        <f>IF(VLOOKUP($A1286,'Concrete Beam Schedule'!$A$2:$Q$2902,AE$2,0)&lt;&gt;O1286,"Beam Revised","")</f>
        <v>#N/A</v>
      </c>
    </row>
    <row r="1287" spans="17:31" ht="13.2" x14ac:dyDescent="0.25">
      <c r="Q1287" s="7">
        <f t="shared" si="20"/>
        <v>0</v>
      </c>
      <c r="R1287" s="7" t="e">
        <f>IF(VLOOKUP($A1287,'Concrete Beam Schedule'!$A$2:$Q$2902,R$2,0)&lt;&gt;B1287,VLOOKUP($A1287,'Concrete Beam Schedule'!$A$2:$Q$2902,R$2,0),"")</f>
        <v>#N/A</v>
      </c>
      <c r="S1287" s="7" t="e">
        <f>IF(VLOOKUP($A1287,'Concrete Beam Schedule'!$A$2:$Q$2902,S$2,0)&lt;&gt;C1287,VLOOKUP($A1287,'Concrete Beam Schedule'!$A$2:$Q$2902,S$2,0),"")</f>
        <v>#N/A</v>
      </c>
      <c r="T1287" s="7" t="e">
        <f>IF(VLOOKUP($A1287,'Concrete Beam Schedule'!$A$2:$Q$2902,T$2,0)&lt;&gt;D1287,"Beam Revised","")</f>
        <v>#N/A</v>
      </c>
      <c r="U1287" s="7" t="e">
        <f>IF(VLOOKUP($A1287,'Concrete Beam Schedule'!$A$2:$Q$2902,U$2,0)&lt;&gt;E1287,"Beam Revised","")</f>
        <v>#N/A</v>
      </c>
      <c r="V1287" s="7" t="e">
        <f>IF(VLOOKUP($A1287,'Concrete Beam Schedule'!$A$2:$Q$2902,V$2,0)&lt;&gt;F1287,"Beam Revised","")</f>
        <v>#N/A</v>
      </c>
      <c r="W1287" s="7" t="e">
        <f>IF(VLOOKUP($A1287,'Concrete Beam Schedule'!$A$2:$Q$2902,W$2,0)&lt;&gt;G1287,"Beam Revised","")</f>
        <v>#N/A</v>
      </c>
      <c r="X1287" s="7" t="e">
        <f>IF(VLOOKUP($A1287,'Concrete Beam Schedule'!$A$2:$Q$2902,X$2,0)&lt;&gt;H1287,"Beam Revised","")</f>
        <v>#N/A</v>
      </c>
      <c r="Y1287" s="7" t="e">
        <f>IF(VLOOKUP($A1287,'Concrete Beam Schedule'!$A$2:$Q$2902,Y$2,0)&lt;&gt;I1287,"Beam Revised","")</f>
        <v>#N/A</v>
      </c>
      <c r="Z1287" s="7" t="e">
        <f>IF(VLOOKUP($A1287,'Concrete Beam Schedule'!$A$2:$Q$2902,Z$2,0)&lt;&gt;J1287,"Beam Revised","")</f>
        <v>#N/A</v>
      </c>
      <c r="AA1287" s="7" t="e">
        <f>IF(VLOOKUP($A1287,'Concrete Beam Schedule'!$A$2:$Q$2902,AA$2,0)&lt;&gt;K1287,"Beam Revised","")</f>
        <v>#N/A</v>
      </c>
      <c r="AB1287" s="7" t="e">
        <f>IF(VLOOKUP($A1287,'Concrete Beam Schedule'!$A$2:$Q$2902,AB$2,0)&lt;&gt;L1287,"Beam Revised","")</f>
        <v>#N/A</v>
      </c>
      <c r="AC1287" s="7" t="e">
        <f>IF(VLOOKUP($A1287,'Concrete Beam Schedule'!$A$2:$Q$2902,AC$2,0)&lt;&gt;M1287,"Beam Revised","")</f>
        <v>#N/A</v>
      </c>
      <c r="AD1287" s="7" t="e">
        <f>IF(VLOOKUP($A1287,'Concrete Beam Schedule'!$A$2:$Q$2902,AD$2,0)&lt;&gt;N1287,"Beam Revised","")</f>
        <v>#N/A</v>
      </c>
      <c r="AE1287" s="7" t="e">
        <f>IF(VLOOKUP($A1287,'Concrete Beam Schedule'!$A$2:$Q$2902,AE$2,0)&lt;&gt;O1287,"Beam Revised","")</f>
        <v>#N/A</v>
      </c>
    </row>
    <row r="1288" spans="17:31" ht="13.2" x14ac:dyDescent="0.25">
      <c r="Q1288" s="7">
        <f t="shared" si="20"/>
        <v>0</v>
      </c>
      <c r="R1288" s="7" t="e">
        <f>IF(VLOOKUP($A1288,'Concrete Beam Schedule'!$A$2:$Q$2902,R$2,0)&lt;&gt;B1288,VLOOKUP($A1288,'Concrete Beam Schedule'!$A$2:$Q$2902,R$2,0),"")</f>
        <v>#N/A</v>
      </c>
      <c r="S1288" s="7" t="e">
        <f>IF(VLOOKUP($A1288,'Concrete Beam Schedule'!$A$2:$Q$2902,S$2,0)&lt;&gt;C1288,VLOOKUP($A1288,'Concrete Beam Schedule'!$A$2:$Q$2902,S$2,0),"")</f>
        <v>#N/A</v>
      </c>
      <c r="T1288" s="7" t="e">
        <f>IF(VLOOKUP($A1288,'Concrete Beam Schedule'!$A$2:$Q$2902,T$2,0)&lt;&gt;D1288,"Beam Revised","")</f>
        <v>#N/A</v>
      </c>
      <c r="U1288" s="7" t="e">
        <f>IF(VLOOKUP($A1288,'Concrete Beam Schedule'!$A$2:$Q$2902,U$2,0)&lt;&gt;E1288,"Beam Revised","")</f>
        <v>#N/A</v>
      </c>
      <c r="V1288" s="7" t="e">
        <f>IF(VLOOKUP($A1288,'Concrete Beam Schedule'!$A$2:$Q$2902,V$2,0)&lt;&gt;F1288,"Beam Revised","")</f>
        <v>#N/A</v>
      </c>
      <c r="W1288" s="7" t="e">
        <f>IF(VLOOKUP($A1288,'Concrete Beam Schedule'!$A$2:$Q$2902,W$2,0)&lt;&gt;G1288,"Beam Revised","")</f>
        <v>#N/A</v>
      </c>
      <c r="X1288" s="7" t="e">
        <f>IF(VLOOKUP($A1288,'Concrete Beam Schedule'!$A$2:$Q$2902,X$2,0)&lt;&gt;H1288,"Beam Revised","")</f>
        <v>#N/A</v>
      </c>
      <c r="Y1288" s="7" t="e">
        <f>IF(VLOOKUP($A1288,'Concrete Beam Schedule'!$A$2:$Q$2902,Y$2,0)&lt;&gt;I1288,"Beam Revised","")</f>
        <v>#N/A</v>
      </c>
      <c r="Z1288" s="7" t="e">
        <f>IF(VLOOKUP($A1288,'Concrete Beam Schedule'!$A$2:$Q$2902,Z$2,0)&lt;&gt;J1288,"Beam Revised","")</f>
        <v>#N/A</v>
      </c>
      <c r="AA1288" s="7" t="e">
        <f>IF(VLOOKUP($A1288,'Concrete Beam Schedule'!$A$2:$Q$2902,AA$2,0)&lt;&gt;K1288,"Beam Revised","")</f>
        <v>#N/A</v>
      </c>
      <c r="AB1288" s="7" t="e">
        <f>IF(VLOOKUP($A1288,'Concrete Beam Schedule'!$A$2:$Q$2902,AB$2,0)&lt;&gt;L1288,"Beam Revised","")</f>
        <v>#N/A</v>
      </c>
      <c r="AC1288" s="7" t="e">
        <f>IF(VLOOKUP($A1288,'Concrete Beam Schedule'!$A$2:$Q$2902,AC$2,0)&lt;&gt;M1288,"Beam Revised","")</f>
        <v>#N/A</v>
      </c>
      <c r="AD1288" s="7" t="e">
        <f>IF(VLOOKUP($A1288,'Concrete Beam Schedule'!$A$2:$Q$2902,AD$2,0)&lt;&gt;N1288,"Beam Revised","")</f>
        <v>#N/A</v>
      </c>
      <c r="AE1288" s="7" t="e">
        <f>IF(VLOOKUP($A1288,'Concrete Beam Schedule'!$A$2:$Q$2902,AE$2,0)&lt;&gt;O1288,"Beam Revised","")</f>
        <v>#N/A</v>
      </c>
    </row>
    <row r="1289" spans="17:31" ht="13.2" x14ac:dyDescent="0.25">
      <c r="Q1289" s="7">
        <f t="shared" si="20"/>
        <v>0</v>
      </c>
      <c r="R1289" s="7" t="e">
        <f>IF(VLOOKUP($A1289,'Concrete Beam Schedule'!$A$2:$Q$2902,R$2,0)&lt;&gt;B1289,VLOOKUP($A1289,'Concrete Beam Schedule'!$A$2:$Q$2902,R$2,0),"")</f>
        <v>#N/A</v>
      </c>
      <c r="S1289" s="7" t="e">
        <f>IF(VLOOKUP($A1289,'Concrete Beam Schedule'!$A$2:$Q$2902,S$2,0)&lt;&gt;C1289,VLOOKUP($A1289,'Concrete Beam Schedule'!$A$2:$Q$2902,S$2,0),"")</f>
        <v>#N/A</v>
      </c>
      <c r="T1289" s="7" t="e">
        <f>IF(VLOOKUP($A1289,'Concrete Beam Schedule'!$A$2:$Q$2902,T$2,0)&lt;&gt;D1289,"Beam Revised","")</f>
        <v>#N/A</v>
      </c>
      <c r="U1289" s="7" t="e">
        <f>IF(VLOOKUP($A1289,'Concrete Beam Schedule'!$A$2:$Q$2902,U$2,0)&lt;&gt;E1289,"Beam Revised","")</f>
        <v>#N/A</v>
      </c>
      <c r="V1289" s="7" t="e">
        <f>IF(VLOOKUP($A1289,'Concrete Beam Schedule'!$A$2:$Q$2902,V$2,0)&lt;&gt;F1289,"Beam Revised","")</f>
        <v>#N/A</v>
      </c>
      <c r="W1289" s="7" t="e">
        <f>IF(VLOOKUP($A1289,'Concrete Beam Schedule'!$A$2:$Q$2902,W$2,0)&lt;&gt;G1289,"Beam Revised","")</f>
        <v>#N/A</v>
      </c>
      <c r="X1289" s="7" t="e">
        <f>IF(VLOOKUP($A1289,'Concrete Beam Schedule'!$A$2:$Q$2902,X$2,0)&lt;&gt;H1289,"Beam Revised","")</f>
        <v>#N/A</v>
      </c>
      <c r="Y1289" s="7" t="e">
        <f>IF(VLOOKUP($A1289,'Concrete Beam Schedule'!$A$2:$Q$2902,Y$2,0)&lt;&gt;I1289,"Beam Revised","")</f>
        <v>#N/A</v>
      </c>
      <c r="Z1289" s="7" t="e">
        <f>IF(VLOOKUP($A1289,'Concrete Beam Schedule'!$A$2:$Q$2902,Z$2,0)&lt;&gt;J1289,"Beam Revised","")</f>
        <v>#N/A</v>
      </c>
      <c r="AA1289" s="7" t="e">
        <f>IF(VLOOKUP($A1289,'Concrete Beam Schedule'!$A$2:$Q$2902,AA$2,0)&lt;&gt;K1289,"Beam Revised","")</f>
        <v>#N/A</v>
      </c>
      <c r="AB1289" s="7" t="e">
        <f>IF(VLOOKUP($A1289,'Concrete Beam Schedule'!$A$2:$Q$2902,AB$2,0)&lt;&gt;L1289,"Beam Revised","")</f>
        <v>#N/A</v>
      </c>
      <c r="AC1289" s="7" t="e">
        <f>IF(VLOOKUP($A1289,'Concrete Beam Schedule'!$A$2:$Q$2902,AC$2,0)&lt;&gt;M1289,"Beam Revised","")</f>
        <v>#N/A</v>
      </c>
      <c r="AD1289" s="7" t="e">
        <f>IF(VLOOKUP($A1289,'Concrete Beam Schedule'!$A$2:$Q$2902,AD$2,0)&lt;&gt;N1289,"Beam Revised","")</f>
        <v>#N/A</v>
      </c>
      <c r="AE1289" s="7" t="e">
        <f>IF(VLOOKUP($A1289,'Concrete Beam Schedule'!$A$2:$Q$2902,AE$2,0)&lt;&gt;O1289,"Beam Revised","")</f>
        <v>#N/A</v>
      </c>
    </row>
    <row r="1290" spans="17:31" ht="13.2" x14ac:dyDescent="0.25">
      <c r="Q1290" s="7">
        <f t="shared" si="20"/>
        <v>0</v>
      </c>
      <c r="R1290" s="7" t="e">
        <f>IF(VLOOKUP($A1290,'Concrete Beam Schedule'!$A$2:$Q$2902,R$2,0)&lt;&gt;B1290,VLOOKUP($A1290,'Concrete Beam Schedule'!$A$2:$Q$2902,R$2,0),"")</f>
        <v>#N/A</v>
      </c>
      <c r="S1290" s="7" t="e">
        <f>IF(VLOOKUP($A1290,'Concrete Beam Schedule'!$A$2:$Q$2902,S$2,0)&lt;&gt;C1290,VLOOKUP($A1290,'Concrete Beam Schedule'!$A$2:$Q$2902,S$2,0),"")</f>
        <v>#N/A</v>
      </c>
      <c r="T1290" s="7" t="e">
        <f>IF(VLOOKUP($A1290,'Concrete Beam Schedule'!$A$2:$Q$2902,T$2,0)&lt;&gt;D1290,"Beam Revised","")</f>
        <v>#N/A</v>
      </c>
      <c r="U1290" s="7" t="e">
        <f>IF(VLOOKUP($A1290,'Concrete Beam Schedule'!$A$2:$Q$2902,U$2,0)&lt;&gt;E1290,"Beam Revised","")</f>
        <v>#N/A</v>
      </c>
      <c r="V1290" s="7" t="e">
        <f>IF(VLOOKUP($A1290,'Concrete Beam Schedule'!$A$2:$Q$2902,V$2,0)&lt;&gt;F1290,"Beam Revised","")</f>
        <v>#N/A</v>
      </c>
      <c r="W1290" s="7" t="e">
        <f>IF(VLOOKUP($A1290,'Concrete Beam Schedule'!$A$2:$Q$2902,W$2,0)&lt;&gt;G1290,"Beam Revised","")</f>
        <v>#N/A</v>
      </c>
      <c r="X1290" s="7" t="e">
        <f>IF(VLOOKUP($A1290,'Concrete Beam Schedule'!$A$2:$Q$2902,X$2,0)&lt;&gt;H1290,"Beam Revised","")</f>
        <v>#N/A</v>
      </c>
      <c r="Y1290" s="7" t="e">
        <f>IF(VLOOKUP($A1290,'Concrete Beam Schedule'!$A$2:$Q$2902,Y$2,0)&lt;&gt;I1290,"Beam Revised","")</f>
        <v>#N/A</v>
      </c>
      <c r="Z1290" s="7" t="e">
        <f>IF(VLOOKUP($A1290,'Concrete Beam Schedule'!$A$2:$Q$2902,Z$2,0)&lt;&gt;J1290,"Beam Revised","")</f>
        <v>#N/A</v>
      </c>
      <c r="AA1290" s="7" t="e">
        <f>IF(VLOOKUP($A1290,'Concrete Beam Schedule'!$A$2:$Q$2902,AA$2,0)&lt;&gt;K1290,"Beam Revised","")</f>
        <v>#N/A</v>
      </c>
      <c r="AB1290" s="7" t="e">
        <f>IF(VLOOKUP($A1290,'Concrete Beam Schedule'!$A$2:$Q$2902,AB$2,0)&lt;&gt;L1290,"Beam Revised","")</f>
        <v>#N/A</v>
      </c>
      <c r="AC1290" s="7" t="e">
        <f>IF(VLOOKUP($A1290,'Concrete Beam Schedule'!$A$2:$Q$2902,AC$2,0)&lt;&gt;M1290,"Beam Revised","")</f>
        <v>#N/A</v>
      </c>
      <c r="AD1290" s="7" t="e">
        <f>IF(VLOOKUP($A1290,'Concrete Beam Schedule'!$A$2:$Q$2902,AD$2,0)&lt;&gt;N1290,"Beam Revised","")</f>
        <v>#N/A</v>
      </c>
      <c r="AE1290" s="7" t="e">
        <f>IF(VLOOKUP($A1290,'Concrete Beam Schedule'!$A$2:$Q$2902,AE$2,0)&lt;&gt;O1290,"Beam Revised","")</f>
        <v>#N/A</v>
      </c>
    </row>
    <row r="1291" spans="17:31" ht="13.2" x14ac:dyDescent="0.25">
      <c r="Q1291" s="7">
        <f t="shared" si="20"/>
        <v>0</v>
      </c>
      <c r="R1291" s="7" t="e">
        <f>IF(VLOOKUP($A1291,'Concrete Beam Schedule'!$A$2:$Q$2902,R$2,0)&lt;&gt;B1291,VLOOKUP($A1291,'Concrete Beam Schedule'!$A$2:$Q$2902,R$2,0),"")</f>
        <v>#N/A</v>
      </c>
      <c r="S1291" s="7" t="e">
        <f>IF(VLOOKUP($A1291,'Concrete Beam Schedule'!$A$2:$Q$2902,S$2,0)&lt;&gt;C1291,VLOOKUP($A1291,'Concrete Beam Schedule'!$A$2:$Q$2902,S$2,0),"")</f>
        <v>#N/A</v>
      </c>
      <c r="T1291" s="7" t="e">
        <f>IF(VLOOKUP($A1291,'Concrete Beam Schedule'!$A$2:$Q$2902,T$2,0)&lt;&gt;D1291,"Beam Revised","")</f>
        <v>#N/A</v>
      </c>
      <c r="U1291" s="7" t="e">
        <f>IF(VLOOKUP($A1291,'Concrete Beam Schedule'!$A$2:$Q$2902,U$2,0)&lt;&gt;E1291,"Beam Revised","")</f>
        <v>#N/A</v>
      </c>
      <c r="V1291" s="7" t="e">
        <f>IF(VLOOKUP($A1291,'Concrete Beam Schedule'!$A$2:$Q$2902,V$2,0)&lt;&gt;F1291,"Beam Revised","")</f>
        <v>#N/A</v>
      </c>
      <c r="W1291" s="7" t="e">
        <f>IF(VLOOKUP($A1291,'Concrete Beam Schedule'!$A$2:$Q$2902,W$2,0)&lt;&gt;G1291,"Beam Revised","")</f>
        <v>#N/A</v>
      </c>
      <c r="X1291" s="7" t="e">
        <f>IF(VLOOKUP($A1291,'Concrete Beam Schedule'!$A$2:$Q$2902,X$2,0)&lt;&gt;H1291,"Beam Revised","")</f>
        <v>#N/A</v>
      </c>
      <c r="Y1291" s="7" t="e">
        <f>IF(VLOOKUP($A1291,'Concrete Beam Schedule'!$A$2:$Q$2902,Y$2,0)&lt;&gt;I1291,"Beam Revised","")</f>
        <v>#N/A</v>
      </c>
      <c r="Z1291" s="7" t="e">
        <f>IF(VLOOKUP($A1291,'Concrete Beam Schedule'!$A$2:$Q$2902,Z$2,0)&lt;&gt;J1291,"Beam Revised","")</f>
        <v>#N/A</v>
      </c>
      <c r="AA1291" s="7" t="e">
        <f>IF(VLOOKUP($A1291,'Concrete Beam Schedule'!$A$2:$Q$2902,AA$2,0)&lt;&gt;K1291,"Beam Revised","")</f>
        <v>#N/A</v>
      </c>
      <c r="AB1291" s="7" t="e">
        <f>IF(VLOOKUP($A1291,'Concrete Beam Schedule'!$A$2:$Q$2902,AB$2,0)&lt;&gt;L1291,"Beam Revised","")</f>
        <v>#N/A</v>
      </c>
      <c r="AC1291" s="7" t="e">
        <f>IF(VLOOKUP($A1291,'Concrete Beam Schedule'!$A$2:$Q$2902,AC$2,0)&lt;&gt;M1291,"Beam Revised","")</f>
        <v>#N/A</v>
      </c>
      <c r="AD1291" s="7" t="e">
        <f>IF(VLOOKUP($A1291,'Concrete Beam Schedule'!$A$2:$Q$2902,AD$2,0)&lt;&gt;N1291,"Beam Revised","")</f>
        <v>#N/A</v>
      </c>
      <c r="AE1291" s="7" t="e">
        <f>IF(VLOOKUP($A1291,'Concrete Beam Schedule'!$A$2:$Q$2902,AE$2,0)&lt;&gt;O1291,"Beam Revised","")</f>
        <v>#N/A</v>
      </c>
    </row>
    <row r="1292" spans="17:31" ht="13.2" x14ac:dyDescent="0.25">
      <c r="Q1292" s="7">
        <f t="shared" si="20"/>
        <v>0</v>
      </c>
      <c r="R1292" s="7" t="e">
        <f>IF(VLOOKUP($A1292,'Concrete Beam Schedule'!$A$2:$Q$2902,R$2,0)&lt;&gt;B1292,VLOOKUP($A1292,'Concrete Beam Schedule'!$A$2:$Q$2902,R$2,0),"")</f>
        <v>#N/A</v>
      </c>
      <c r="S1292" s="7" t="e">
        <f>IF(VLOOKUP($A1292,'Concrete Beam Schedule'!$A$2:$Q$2902,S$2,0)&lt;&gt;C1292,VLOOKUP($A1292,'Concrete Beam Schedule'!$A$2:$Q$2902,S$2,0),"")</f>
        <v>#N/A</v>
      </c>
      <c r="T1292" s="7" t="e">
        <f>IF(VLOOKUP($A1292,'Concrete Beam Schedule'!$A$2:$Q$2902,T$2,0)&lt;&gt;D1292,"Beam Revised","")</f>
        <v>#N/A</v>
      </c>
      <c r="U1292" s="7" t="e">
        <f>IF(VLOOKUP($A1292,'Concrete Beam Schedule'!$A$2:$Q$2902,U$2,0)&lt;&gt;E1292,"Beam Revised","")</f>
        <v>#N/A</v>
      </c>
      <c r="V1292" s="7" t="e">
        <f>IF(VLOOKUP($A1292,'Concrete Beam Schedule'!$A$2:$Q$2902,V$2,0)&lt;&gt;F1292,"Beam Revised","")</f>
        <v>#N/A</v>
      </c>
      <c r="W1292" s="7" t="e">
        <f>IF(VLOOKUP($A1292,'Concrete Beam Schedule'!$A$2:$Q$2902,W$2,0)&lt;&gt;G1292,"Beam Revised","")</f>
        <v>#N/A</v>
      </c>
      <c r="X1292" s="7" t="e">
        <f>IF(VLOOKUP($A1292,'Concrete Beam Schedule'!$A$2:$Q$2902,X$2,0)&lt;&gt;H1292,"Beam Revised","")</f>
        <v>#N/A</v>
      </c>
      <c r="Y1292" s="7" t="e">
        <f>IF(VLOOKUP($A1292,'Concrete Beam Schedule'!$A$2:$Q$2902,Y$2,0)&lt;&gt;I1292,"Beam Revised","")</f>
        <v>#N/A</v>
      </c>
      <c r="Z1292" s="7" t="e">
        <f>IF(VLOOKUP($A1292,'Concrete Beam Schedule'!$A$2:$Q$2902,Z$2,0)&lt;&gt;J1292,"Beam Revised","")</f>
        <v>#N/A</v>
      </c>
      <c r="AA1292" s="7" t="e">
        <f>IF(VLOOKUP($A1292,'Concrete Beam Schedule'!$A$2:$Q$2902,AA$2,0)&lt;&gt;K1292,"Beam Revised","")</f>
        <v>#N/A</v>
      </c>
      <c r="AB1292" s="7" t="e">
        <f>IF(VLOOKUP($A1292,'Concrete Beam Schedule'!$A$2:$Q$2902,AB$2,0)&lt;&gt;L1292,"Beam Revised","")</f>
        <v>#N/A</v>
      </c>
      <c r="AC1292" s="7" t="e">
        <f>IF(VLOOKUP($A1292,'Concrete Beam Schedule'!$A$2:$Q$2902,AC$2,0)&lt;&gt;M1292,"Beam Revised","")</f>
        <v>#N/A</v>
      </c>
      <c r="AD1292" s="7" t="e">
        <f>IF(VLOOKUP($A1292,'Concrete Beam Schedule'!$A$2:$Q$2902,AD$2,0)&lt;&gt;N1292,"Beam Revised","")</f>
        <v>#N/A</v>
      </c>
      <c r="AE1292" s="7" t="e">
        <f>IF(VLOOKUP($A1292,'Concrete Beam Schedule'!$A$2:$Q$2902,AE$2,0)&lt;&gt;O1292,"Beam Revised","")</f>
        <v>#N/A</v>
      </c>
    </row>
    <row r="1293" spans="17:31" ht="13.2" x14ac:dyDescent="0.25">
      <c r="Q1293" s="7">
        <f t="shared" si="20"/>
        <v>0</v>
      </c>
      <c r="R1293" s="7" t="e">
        <f>IF(VLOOKUP($A1293,'Concrete Beam Schedule'!$A$2:$Q$2902,R$2,0)&lt;&gt;B1293,VLOOKUP($A1293,'Concrete Beam Schedule'!$A$2:$Q$2902,R$2,0),"")</f>
        <v>#N/A</v>
      </c>
      <c r="S1293" s="7" t="e">
        <f>IF(VLOOKUP($A1293,'Concrete Beam Schedule'!$A$2:$Q$2902,S$2,0)&lt;&gt;C1293,VLOOKUP($A1293,'Concrete Beam Schedule'!$A$2:$Q$2902,S$2,0),"")</f>
        <v>#N/A</v>
      </c>
      <c r="T1293" s="7" t="e">
        <f>IF(VLOOKUP($A1293,'Concrete Beam Schedule'!$A$2:$Q$2902,T$2,0)&lt;&gt;D1293,"Beam Revised","")</f>
        <v>#N/A</v>
      </c>
      <c r="U1293" s="7" t="e">
        <f>IF(VLOOKUP($A1293,'Concrete Beam Schedule'!$A$2:$Q$2902,U$2,0)&lt;&gt;E1293,"Beam Revised","")</f>
        <v>#N/A</v>
      </c>
      <c r="V1293" s="7" t="e">
        <f>IF(VLOOKUP($A1293,'Concrete Beam Schedule'!$A$2:$Q$2902,V$2,0)&lt;&gt;F1293,"Beam Revised","")</f>
        <v>#N/A</v>
      </c>
      <c r="W1293" s="7" t="e">
        <f>IF(VLOOKUP($A1293,'Concrete Beam Schedule'!$A$2:$Q$2902,W$2,0)&lt;&gt;G1293,"Beam Revised","")</f>
        <v>#N/A</v>
      </c>
      <c r="X1293" s="7" t="e">
        <f>IF(VLOOKUP($A1293,'Concrete Beam Schedule'!$A$2:$Q$2902,X$2,0)&lt;&gt;H1293,"Beam Revised","")</f>
        <v>#N/A</v>
      </c>
      <c r="Y1293" s="7" t="e">
        <f>IF(VLOOKUP($A1293,'Concrete Beam Schedule'!$A$2:$Q$2902,Y$2,0)&lt;&gt;I1293,"Beam Revised","")</f>
        <v>#N/A</v>
      </c>
      <c r="Z1293" s="7" t="e">
        <f>IF(VLOOKUP($A1293,'Concrete Beam Schedule'!$A$2:$Q$2902,Z$2,0)&lt;&gt;J1293,"Beam Revised","")</f>
        <v>#N/A</v>
      </c>
      <c r="AA1293" s="7" t="e">
        <f>IF(VLOOKUP($A1293,'Concrete Beam Schedule'!$A$2:$Q$2902,AA$2,0)&lt;&gt;K1293,"Beam Revised","")</f>
        <v>#N/A</v>
      </c>
      <c r="AB1293" s="7" t="e">
        <f>IF(VLOOKUP($A1293,'Concrete Beam Schedule'!$A$2:$Q$2902,AB$2,0)&lt;&gt;L1293,"Beam Revised","")</f>
        <v>#N/A</v>
      </c>
      <c r="AC1293" s="7" t="e">
        <f>IF(VLOOKUP($A1293,'Concrete Beam Schedule'!$A$2:$Q$2902,AC$2,0)&lt;&gt;M1293,"Beam Revised","")</f>
        <v>#N/A</v>
      </c>
      <c r="AD1293" s="7" t="e">
        <f>IF(VLOOKUP($A1293,'Concrete Beam Schedule'!$A$2:$Q$2902,AD$2,0)&lt;&gt;N1293,"Beam Revised","")</f>
        <v>#N/A</v>
      </c>
      <c r="AE1293" s="7" t="e">
        <f>IF(VLOOKUP($A1293,'Concrete Beam Schedule'!$A$2:$Q$2902,AE$2,0)&lt;&gt;O1293,"Beam Revised","")</f>
        <v>#N/A</v>
      </c>
    </row>
    <row r="1294" spans="17:31" ht="13.2" x14ac:dyDescent="0.25">
      <c r="Q1294" s="7">
        <f t="shared" si="20"/>
        <v>0</v>
      </c>
      <c r="R1294" s="7" t="e">
        <f>IF(VLOOKUP($A1294,'Concrete Beam Schedule'!$A$2:$Q$2902,R$2,0)&lt;&gt;B1294,VLOOKUP($A1294,'Concrete Beam Schedule'!$A$2:$Q$2902,R$2,0),"")</f>
        <v>#N/A</v>
      </c>
      <c r="S1294" s="7" t="e">
        <f>IF(VLOOKUP($A1294,'Concrete Beam Schedule'!$A$2:$Q$2902,S$2,0)&lt;&gt;C1294,VLOOKUP($A1294,'Concrete Beam Schedule'!$A$2:$Q$2902,S$2,0),"")</f>
        <v>#N/A</v>
      </c>
      <c r="T1294" s="7" t="e">
        <f>IF(VLOOKUP($A1294,'Concrete Beam Schedule'!$A$2:$Q$2902,T$2,0)&lt;&gt;D1294,"Beam Revised","")</f>
        <v>#N/A</v>
      </c>
      <c r="U1294" s="7" t="e">
        <f>IF(VLOOKUP($A1294,'Concrete Beam Schedule'!$A$2:$Q$2902,U$2,0)&lt;&gt;E1294,"Beam Revised","")</f>
        <v>#N/A</v>
      </c>
      <c r="V1294" s="7" t="e">
        <f>IF(VLOOKUP($A1294,'Concrete Beam Schedule'!$A$2:$Q$2902,V$2,0)&lt;&gt;F1294,"Beam Revised","")</f>
        <v>#N/A</v>
      </c>
      <c r="W1294" s="7" t="e">
        <f>IF(VLOOKUP($A1294,'Concrete Beam Schedule'!$A$2:$Q$2902,W$2,0)&lt;&gt;G1294,"Beam Revised","")</f>
        <v>#N/A</v>
      </c>
      <c r="X1294" s="7" t="e">
        <f>IF(VLOOKUP($A1294,'Concrete Beam Schedule'!$A$2:$Q$2902,X$2,0)&lt;&gt;H1294,"Beam Revised","")</f>
        <v>#N/A</v>
      </c>
      <c r="Y1294" s="7" t="e">
        <f>IF(VLOOKUP($A1294,'Concrete Beam Schedule'!$A$2:$Q$2902,Y$2,0)&lt;&gt;I1294,"Beam Revised","")</f>
        <v>#N/A</v>
      </c>
      <c r="Z1294" s="7" t="e">
        <f>IF(VLOOKUP($A1294,'Concrete Beam Schedule'!$A$2:$Q$2902,Z$2,0)&lt;&gt;J1294,"Beam Revised","")</f>
        <v>#N/A</v>
      </c>
      <c r="AA1294" s="7" t="e">
        <f>IF(VLOOKUP($A1294,'Concrete Beam Schedule'!$A$2:$Q$2902,AA$2,0)&lt;&gt;K1294,"Beam Revised","")</f>
        <v>#N/A</v>
      </c>
      <c r="AB1294" s="7" t="e">
        <f>IF(VLOOKUP($A1294,'Concrete Beam Schedule'!$A$2:$Q$2902,AB$2,0)&lt;&gt;L1294,"Beam Revised","")</f>
        <v>#N/A</v>
      </c>
      <c r="AC1294" s="7" t="e">
        <f>IF(VLOOKUP($A1294,'Concrete Beam Schedule'!$A$2:$Q$2902,AC$2,0)&lt;&gt;M1294,"Beam Revised","")</f>
        <v>#N/A</v>
      </c>
      <c r="AD1294" s="7" t="e">
        <f>IF(VLOOKUP($A1294,'Concrete Beam Schedule'!$A$2:$Q$2902,AD$2,0)&lt;&gt;N1294,"Beam Revised","")</f>
        <v>#N/A</v>
      </c>
      <c r="AE1294" s="7" t="e">
        <f>IF(VLOOKUP($A1294,'Concrete Beam Schedule'!$A$2:$Q$2902,AE$2,0)&lt;&gt;O1294,"Beam Revised","")</f>
        <v>#N/A</v>
      </c>
    </row>
    <row r="1295" spans="17:31" ht="13.2" x14ac:dyDescent="0.25">
      <c r="Q1295" s="7">
        <f t="shared" si="20"/>
        <v>0</v>
      </c>
      <c r="R1295" s="7" t="e">
        <f>IF(VLOOKUP($A1295,'Concrete Beam Schedule'!$A$2:$Q$2902,R$2,0)&lt;&gt;B1295,VLOOKUP($A1295,'Concrete Beam Schedule'!$A$2:$Q$2902,R$2,0),"")</f>
        <v>#N/A</v>
      </c>
      <c r="S1295" s="7" t="e">
        <f>IF(VLOOKUP($A1295,'Concrete Beam Schedule'!$A$2:$Q$2902,S$2,0)&lt;&gt;C1295,VLOOKUP($A1295,'Concrete Beam Schedule'!$A$2:$Q$2902,S$2,0),"")</f>
        <v>#N/A</v>
      </c>
      <c r="T1295" s="7" t="e">
        <f>IF(VLOOKUP($A1295,'Concrete Beam Schedule'!$A$2:$Q$2902,T$2,0)&lt;&gt;D1295,"Beam Revised","")</f>
        <v>#N/A</v>
      </c>
      <c r="U1295" s="7" t="e">
        <f>IF(VLOOKUP($A1295,'Concrete Beam Schedule'!$A$2:$Q$2902,U$2,0)&lt;&gt;E1295,"Beam Revised","")</f>
        <v>#N/A</v>
      </c>
      <c r="V1295" s="7" t="e">
        <f>IF(VLOOKUP($A1295,'Concrete Beam Schedule'!$A$2:$Q$2902,V$2,0)&lt;&gt;F1295,"Beam Revised","")</f>
        <v>#N/A</v>
      </c>
      <c r="W1295" s="7" t="e">
        <f>IF(VLOOKUP($A1295,'Concrete Beam Schedule'!$A$2:$Q$2902,W$2,0)&lt;&gt;G1295,"Beam Revised","")</f>
        <v>#N/A</v>
      </c>
      <c r="X1295" s="7" t="e">
        <f>IF(VLOOKUP($A1295,'Concrete Beam Schedule'!$A$2:$Q$2902,X$2,0)&lt;&gt;H1295,"Beam Revised","")</f>
        <v>#N/A</v>
      </c>
      <c r="Y1295" s="7" t="e">
        <f>IF(VLOOKUP($A1295,'Concrete Beam Schedule'!$A$2:$Q$2902,Y$2,0)&lt;&gt;I1295,"Beam Revised","")</f>
        <v>#N/A</v>
      </c>
      <c r="Z1295" s="7" t="e">
        <f>IF(VLOOKUP($A1295,'Concrete Beam Schedule'!$A$2:$Q$2902,Z$2,0)&lt;&gt;J1295,"Beam Revised","")</f>
        <v>#N/A</v>
      </c>
      <c r="AA1295" s="7" t="e">
        <f>IF(VLOOKUP($A1295,'Concrete Beam Schedule'!$A$2:$Q$2902,AA$2,0)&lt;&gt;K1295,"Beam Revised","")</f>
        <v>#N/A</v>
      </c>
      <c r="AB1295" s="7" t="e">
        <f>IF(VLOOKUP($A1295,'Concrete Beam Schedule'!$A$2:$Q$2902,AB$2,0)&lt;&gt;L1295,"Beam Revised","")</f>
        <v>#N/A</v>
      </c>
      <c r="AC1295" s="7" t="e">
        <f>IF(VLOOKUP($A1295,'Concrete Beam Schedule'!$A$2:$Q$2902,AC$2,0)&lt;&gt;M1295,"Beam Revised","")</f>
        <v>#N/A</v>
      </c>
      <c r="AD1295" s="7" t="e">
        <f>IF(VLOOKUP($A1295,'Concrete Beam Schedule'!$A$2:$Q$2902,AD$2,0)&lt;&gt;N1295,"Beam Revised","")</f>
        <v>#N/A</v>
      </c>
      <c r="AE1295" s="7" t="e">
        <f>IF(VLOOKUP($A1295,'Concrete Beam Schedule'!$A$2:$Q$2902,AE$2,0)&lt;&gt;O1295,"Beam Revised","")</f>
        <v>#N/A</v>
      </c>
    </row>
    <row r="1296" spans="17:31" ht="13.2" x14ac:dyDescent="0.25">
      <c r="Q1296" s="7">
        <f t="shared" si="20"/>
        <v>0</v>
      </c>
      <c r="R1296" s="7" t="e">
        <f>IF(VLOOKUP($A1296,'Concrete Beam Schedule'!$A$2:$Q$2902,R$2,0)&lt;&gt;B1296,VLOOKUP($A1296,'Concrete Beam Schedule'!$A$2:$Q$2902,R$2,0),"")</f>
        <v>#N/A</v>
      </c>
      <c r="S1296" s="7" t="e">
        <f>IF(VLOOKUP($A1296,'Concrete Beam Schedule'!$A$2:$Q$2902,S$2,0)&lt;&gt;C1296,VLOOKUP($A1296,'Concrete Beam Schedule'!$A$2:$Q$2902,S$2,0),"")</f>
        <v>#N/A</v>
      </c>
      <c r="T1296" s="7" t="e">
        <f>IF(VLOOKUP($A1296,'Concrete Beam Schedule'!$A$2:$Q$2902,T$2,0)&lt;&gt;D1296,"Beam Revised","")</f>
        <v>#N/A</v>
      </c>
      <c r="U1296" s="7" t="e">
        <f>IF(VLOOKUP($A1296,'Concrete Beam Schedule'!$A$2:$Q$2902,U$2,0)&lt;&gt;E1296,"Beam Revised","")</f>
        <v>#N/A</v>
      </c>
      <c r="V1296" s="7" t="e">
        <f>IF(VLOOKUP($A1296,'Concrete Beam Schedule'!$A$2:$Q$2902,V$2,0)&lt;&gt;F1296,"Beam Revised","")</f>
        <v>#N/A</v>
      </c>
      <c r="W1296" s="7" t="e">
        <f>IF(VLOOKUP($A1296,'Concrete Beam Schedule'!$A$2:$Q$2902,W$2,0)&lt;&gt;G1296,"Beam Revised","")</f>
        <v>#N/A</v>
      </c>
      <c r="X1296" s="7" t="e">
        <f>IF(VLOOKUP($A1296,'Concrete Beam Schedule'!$A$2:$Q$2902,X$2,0)&lt;&gt;H1296,"Beam Revised","")</f>
        <v>#N/A</v>
      </c>
      <c r="Y1296" s="7" t="e">
        <f>IF(VLOOKUP($A1296,'Concrete Beam Schedule'!$A$2:$Q$2902,Y$2,0)&lt;&gt;I1296,"Beam Revised","")</f>
        <v>#N/A</v>
      </c>
      <c r="Z1296" s="7" t="e">
        <f>IF(VLOOKUP($A1296,'Concrete Beam Schedule'!$A$2:$Q$2902,Z$2,0)&lt;&gt;J1296,"Beam Revised","")</f>
        <v>#N/A</v>
      </c>
      <c r="AA1296" s="7" t="e">
        <f>IF(VLOOKUP($A1296,'Concrete Beam Schedule'!$A$2:$Q$2902,AA$2,0)&lt;&gt;K1296,"Beam Revised","")</f>
        <v>#N/A</v>
      </c>
      <c r="AB1296" s="7" t="e">
        <f>IF(VLOOKUP($A1296,'Concrete Beam Schedule'!$A$2:$Q$2902,AB$2,0)&lt;&gt;L1296,"Beam Revised","")</f>
        <v>#N/A</v>
      </c>
      <c r="AC1296" s="7" t="e">
        <f>IF(VLOOKUP($A1296,'Concrete Beam Schedule'!$A$2:$Q$2902,AC$2,0)&lt;&gt;M1296,"Beam Revised","")</f>
        <v>#N/A</v>
      </c>
      <c r="AD1296" s="7" t="e">
        <f>IF(VLOOKUP($A1296,'Concrete Beam Schedule'!$A$2:$Q$2902,AD$2,0)&lt;&gt;N1296,"Beam Revised","")</f>
        <v>#N/A</v>
      </c>
      <c r="AE1296" s="7" t="e">
        <f>IF(VLOOKUP($A1296,'Concrete Beam Schedule'!$A$2:$Q$2902,AE$2,0)&lt;&gt;O1296,"Beam Revised","")</f>
        <v>#N/A</v>
      </c>
    </row>
    <row r="1297" spans="17:31" ht="13.2" x14ac:dyDescent="0.25">
      <c r="Q1297" s="7">
        <f t="shared" si="20"/>
        <v>0</v>
      </c>
      <c r="R1297" s="7" t="e">
        <f>IF(VLOOKUP($A1297,'Concrete Beam Schedule'!$A$2:$Q$2902,R$2,0)&lt;&gt;B1297,VLOOKUP($A1297,'Concrete Beam Schedule'!$A$2:$Q$2902,R$2,0),"")</f>
        <v>#N/A</v>
      </c>
      <c r="S1297" s="7" t="e">
        <f>IF(VLOOKUP($A1297,'Concrete Beam Schedule'!$A$2:$Q$2902,S$2,0)&lt;&gt;C1297,VLOOKUP($A1297,'Concrete Beam Schedule'!$A$2:$Q$2902,S$2,0),"")</f>
        <v>#N/A</v>
      </c>
      <c r="T1297" s="7" t="e">
        <f>IF(VLOOKUP($A1297,'Concrete Beam Schedule'!$A$2:$Q$2902,T$2,0)&lt;&gt;D1297,"Beam Revised","")</f>
        <v>#N/A</v>
      </c>
      <c r="U1297" s="7" t="e">
        <f>IF(VLOOKUP($A1297,'Concrete Beam Schedule'!$A$2:$Q$2902,U$2,0)&lt;&gt;E1297,"Beam Revised","")</f>
        <v>#N/A</v>
      </c>
      <c r="V1297" s="7" t="e">
        <f>IF(VLOOKUP($A1297,'Concrete Beam Schedule'!$A$2:$Q$2902,V$2,0)&lt;&gt;F1297,"Beam Revised","")</f>
        <v>#N/A</v>
      </c>
      <c r="W1297" s="7" t="e">
        <f>IF(VLOOKUP($A1297,'Concrete Beam Schedule'!$A$2:$Q$2902,W$2,0)&lt;&gt;G1297,"Beam Revised","")</f>
        <v>#N/A</v>
      </c>
      <c r="X1297" s="7" t="e">
        <f>IF(VLOOKUP($A1297,'Concrete Beam Schedule'!$A$2:$Q$2902,X$2,0)&lt;&gt;H1297,"Beam Revised","")</f>
        <v>#N/A</v>
      </c>
      <c r="Y1297" s="7" t="e">
        <f>IF(VLOOKUP($A1297,'Concrete Beam Schedule'!$A$2:$Q$2902,Y$2,0)&lt;&gt;I1297,"Beam Revised","")</f>
        <v>#N/A</v>
      </c>
      <c r="Z1297" s="7" t="e">
        <f>IF(VLOOKUP($A1297,'Concrete Beam Schedule'!$A$2:$Q$2902,Z$2,0)&lt;&gt;J1297,"Beam Revised","")</f>
        <v>#N/A</v>
      </c>
      <c r="AA1297" s="7" t="e">
        <f>IF(VLOOKUP($A1297,'Concrete Beam Schedule'!$A$2:$Q$2902,AA$2,0)&lt;&gt;K1297,"Beam Revised","")</f>
        <v>#N/A</v>
      </c>
      <c r="AB1297" s="7" t="e">
        <f>IF(VLOOKUP($A1297,'Concrete Beam Schedule'!$A$2:$Q$2902,AB$2,0)&lt;&gt;L1297,"Beam Revised","")</f>
        <v>#N/A</v>
      </c>
      <c r="AC1297" s="7" t="e">
        <f>IF(VLOOKUP($A1297,'Concrete Beam Schedule'!$A$2:$Q$2902,AC$2,0)&lt;&gt;M1297,"Beam Revised","")</f>
        <v>#N/A</v>
      </c>
      <c r="AD1297" s="7" t="e">
        <f>IF(VLOOKUP($A1297,'Concrete Beam Schedule'!$A$2:$Q$2902,AD$2,0)&lt;&gt;N1297,"Beam Revised","")</f>
        <v>#N/A</v>
      </c>
      <c r="AE1297" s="7" t="e">
        <f>IF(VLOOKUP($A1297,'Concrete Beam Schedule'!$A$2:$Q$2902,AE$2,0)&lt;&gt;O1297,"Beam Revised","")</f>
        <v>#N/A</v>
      </c>
    </row>
    <row r="1298" spans="17:31" ht="13.2" x14ac:dyDescent="0.25">
      <c r="Q1298" s="7">
        <f t="shared" si="20"/>
        <v>0</v>
      </c>
      <c r="R1298" s="7" t="e">
        <f>IF(VLOOKUP($A1298,'Concrete Beam Schedule'!$A$2:$Q$2902,R$2,0)&lt;&gt;B1298,VLOOKUP($A1298,'Concrete Beam Schedule'!$A$2:$Q$2902,R$2,0),"")</f>
        <v>#N/A</v>
      </c>
      <c r="S1298" s="7" t="e">
        <f>IF(VLOOKUP($A1298,'Concrete Beam Schedule'!$A$2:$Q$2902,S$2,0)&lt;&gt;C1298,VLOOKUP($A1298,'Concrete Beam Schedule'!$A$2:$Q$2902,S$2,0),"")</f>
        <v>#N/A</v>
      </c>
      <c r="T1298" s="7" t="e">
        <f>IF(VLOOKUP($A1298,'Concrete Beam Schedule'!$A$2:$Q$2902,T$2,0)&lt;&gt;D1298,"Beam Revised","")</f>
        <v>#N/A</v>
      </c>
      <c r="U1298" s="7" t="e">
        <f>IF(VLOOKUP($A1298,'Concrete Beam Schedule'!$A$2:$Q$2902,U$2,0)&lt;&gt;E1298,"Beam Revised","")</f>
        <v>#N/A</v>
      </c>
      <c r="V1298" s="7" t="e">
        <f>IF(VLOOKUP($A1298,'Concrete Beam Schedule'!$A$2:$Q$2902,V$2,0)&lt;&gt;F1298,"Beam Revised","")</f>
        <v>#N/A</v>
      </c>
      <c r="W1298" s="7" t="e">
        <f>IF(VLOOKUP($A1298,'Concrete Beam Schedule'!$A$2:$Q$2902,W$2,0)&lt;&gt;G1298,"Beam Revised","")</f>
        <v>#N/A</v>
      </c>
      <c r="X1298" s="7" t="e">
        <f>IF(VLOOKUP($A1298,'Concrete Beam Schedule'!$A$2:$Q$2902,X$2,0)&lt;&gt;H1298,"Beam Revised","")</f>
        <v>#N/A</v>
      </c>
      <c r="Y1298" s="7" t="e">
        <f>IF(VLOOKUP($A1298,'Concrete Beam Schedule'!$A$2:$Q$2902,Y$2,0)&lt;&gt;I1298,"Beam Revised","")</f>
        <v>#N/A</v>
      </c>
      <c r="Z1298" s="7" t="e">
        <f>IF(VLOOKUP($A1298,'Concrete Beam Schedule'!$A$2:$Q$2902,Z$2,0)&lt;&gt;J1298,"Beam Revised","")</f>
        <v>#N/A</v>
      </c>
      <c r="AA1298" s="7" t="e">
        <f>IF(VLOOKUP($A1298,'Concrete Beam Schedule'!$A$2:$Q$2902,AA$2,0)&lt;&gt;K1298,"Beam Revised","")</f>
        <v>#N/A</v>
      </c>
      <c r="AB1298" s="7" t="e">
        <f>IF(VLOOKUP($A1298,'Concrete Beam Schedule'!$A$2:$Q$2902,AB$2,0)&lt;&gt;L1298,"Beam Revised","")</f>
        <v>#N/A</v>
      </c>
      <c r="AC1298" s="7" t="e">
        <f>IF(VLOOKUP($A1298,'Concrete Beam Schedule'!$A$2:$Q$2902,AC$2,0)&lt;&gt;M1298,"Beam Revised","")</f>
        <v>#N/A</v>
      </c>
      <c r="AD1298" s="7" t="e">
        <f>IF(VLOOKUP($A1298,'Concrete Beam Schedule'!$A$2:$Q$2902,AD$2,0)&lt;&gt;N1298,"Beam Revised","")</f>
        <v>#N/A</v>
      </c>
      <c r="AE1298" s="7" t="e">
        <f>IF(VLOOKUP($A1298,'Concrete Beam Schedule'!$A$2:$Q$2902,AE$2,0)&lt;&gt;O1298,"Beam Revised","")</f>
        <v>#N/A</v>
      </c>
    </row>
    <row r="1299" spans="17:31" ht="13.2" x14ac:dyDescent="0.25">
      <c r="Q1299" s="7">
        <f t="shared" si="20"/>
        <v>0</v>
      </c>
      <c r="R1299" s="7" t="e">
        <f>IF(VLOOKUP($A1299,'Concrete Beam Schedule'!$A$2:$Q$2902,R$2,0)&lt;&gt;B1299,VLOOKUP($A1299,'Concrete Beam Schedule'!$A$2:$Q$2902,R$2,0),"")</f>
        <v>#N/A</v>
      </c>
      <c r="S1299" s="7" t="e">
        <f>IF(VLOOKUP($A1299,'Concrete Beam Schedule'!$A$2:$Q$2902,S$2,0)&lt;&gt;C1299,VLOOKUP($A1299,'Concrete Beam Schedule'!$A$2:$Q$2902,S$2,0),"")</f>
        <v>#N/A</v>
      </c>
      <c r="T1299" s="7" t="e">
        <f>IF(VLOOKUP($A1299,'Concrete Beam Schedule'!$A$2:$Q$2902,T$2,0)&lt;&gt;D1299,"Beam Revised","")</f>
        <v>#N/A</v>
      </c>
      <c r="U1299" s="7" t="e">
        <f>IF(VLOOKUP($A1299,'Concrete Beam Schedule'!$A$2:$Q$2902,U$2,0)&lt;&gt;E1299,"Beam Revised","")</f>
        <v>#N/A</v>
      </c>
      <c r="V1299" s="7" t="e">
        <f>IF(VLOOKUP($A1299,'Concrete Beam Schedule'!$A$2:$Q$2902,V$2,0)&lt;&gt;F1299,"Beam Revised","")</f>
        <v>#N/A</v>
      </c>
      <c r="W1299" s="7" t="e">
        <f>IF(VLOOKUP($A1299,'Concrete Beam Schedule'!$A$2:$Q$2902,W$2,0)&lt;&gt;G1299,"Beam Revised","")</f>
        <v>#N/A</v>
      </c>
      <c r="X1299" s="7" t="e">
        <f>IF(VLOOKUP($A1299,'Concrete Beam Schedule'!$A$2:$Q$2902,X$2,0)&lt;&gt;H1299,"Beam Revised","")</f>
        <v>#N/A</v>
      </c>
      <c r="Y1299" s="7" t="e">
        <f>IF(VLOOKUP($A1299,'Concrete Beam Schedule'!$A$2:$Q$2902,Y$2,0)&lt;&gt;I1299,"Beam Revised","")</f>
        <v>#N/A</v>
      </c>
      <c r="Z1299" s="7" t="e">
        <f>IF(VLOOKUP($A1299,'Concrete Beam Schedule'!$A$2:$Q$2902,Z$2,0)&lt;&gt;J1299,"Beam Revised","")</f>
        <v>#N/A</v>
      </c>
      <c r="AA1299" s="7" t="e">
        <f>IF(VLOOKUP($A1299,'Concrete Beam Schedule'!$A$2:$Q$2902,AA$2,0)&lt;&gt;K1299,"Beam Revised","")</f>
        <v>#N/A</v>
      </c>
      <c r="AB1299" s="7" t="e">
        <f>IF(VLOOKUP($A1299,'Concrete Beam Schedule'!$A$2:$Q$2902,AB$2,0)&lt;&gt;L1299,"Beam Revised","")</f>
        <v>#N/A</v>
      </c>
      <c r="AC1299" s="7" t="e">
        <f>IF(VLOOKUP($A1299,'Concrete Beam Schedule'!$A$2:$Q$2902,AC$2,0)&lt;&gt;M1299,"Beam Revised","")</f>
        <v>#N/A</v>
      </c>
      <c r="AD1299" s="7" t="e">
        <f>IF(VLOOKUP($A1299,'Concrete Beam Schedule'!$A$2:$Q$2902,AD$2,0)&lt;&gt;N1299,"Beam Revised","")</f>
        <v>#N/A</v>
      </c>
      <c r="AE1299" s="7" t="e">
        <f>IF(VLOOKUP($A1299,'Concrete Beam Schedule'!$A$2:$Q$2902,AE$2,0)&lt;&gt;O1299,"Beam Revised","")</f>
        <v>#N/A</v>
      </c>
    </row>
    <row r="1300" spans="17:31" ht="13.2" x14ac:dyDescent="0.25">
      <c r="Q1300" s="7">
        <f t="shared" si="20"/>
        <v>0</v>
      </c>
      <c r="R1300" s="7" t="e">
        <f>IF(VLOOKUP($A1300,'Concrete Beam Schedule'!$A$2:$Q$2902,R$2,0)&lt;&gt;B1300,VLOOKUP($A1300,'Concrete Beam Schedule'!$A$2:$Q$2902,R$2,0),"")</f>
        <v>#N/A</v>
      </c>
      <c r="S1300" s="7" t="e">
        <f>IF(VLOOKUP($A1300,'Concrete Beam Schedule'!$A$2:$Q$2902,S$2,0)&lt;&gt;C1300,VLOOKUP($A1300,'Concrete Beam Schedule'!$A$2:$Q$2902,S$2,0),"")</f>
        <v>#N/A</v>
      </c>
      <c r="T1300" s="7" t="e">
        <f>IF(VLOOKUP($A1300,'Concrete Beam Schedule'!$A$2:$Q$2902,T$2,0)&lt;&gt;D1300,"Beam Revised","")</f>
        <v>#N/A</v>
      </c>
      <c r="U1300" s="7" t="e">
        <f>IF(VLOOKUP($A1300,'Concrete Beam Schedule'!$A$2:$Q$2902,U$2,0)&lt;&gt;E1300,"Beam Revised","")</f>
        <v>#N/A</v>
      </c>
      <c r="V1300" s="7" t="e">
        <f>IF(VLOOKUP($A1300,'Concrete Beam Schedule'!$A$2:$Q$2902,V$2,0)&lt;&gt;F1300,"Beam Revised","")</f>
        <v>#N/A</v>
      </c>
      <c r="W1300" s="7" t="e">
        <f>IF(VLOOKUP($A1300,'Concrete Beam Schedule'!$A$2:$Q$2902,W$2,0)&lt;&gt;G1300,"Beam Revised","")</f>
        <v>#N/A</v>
      </c>
      <c r="X1300" s="7" t="e">
        <f>IF(VLOOKUP($A1300,'Concrete Beam Schedule'!$A$2:$Q$2902,X$2,0)&lt;&gt;H1300,"Beam Revised","")</f>
        <v>#N/A</v>
      </c>
      <c r="Y1300" s="7" t="e">
        <f>IF(VLOOKUP($A1300,'Concrete Beam Schedule'!$A$2:$Q$2902,Y$2,0)&lt;&gt;I1300,"Beam Revised","")</f>
        <v>#N/A</v>
      </c>
      <c r="Z1300" s="7" t="e">
        <f>IF(VLOOKUP($A1300,'Concrete Beam Schedule'!$A$2:$Q$2902,Z$2,0)&lt;&gt;J1300,"Beam Revised","")</f>
        <v>#N/A</v>
      </c>
      <c r="AA1300" s="7" t="e">
        <f>IF(VLOOKUP($A1300,'Concrete Beam Schedule'!$A$2:$Q$2902,AA$2,0)&lt;&gt;K1300,"Beam Revised","")</f>
        <v>#N/A</v>
      </c>
      <c r="AB1300" s="7" t="e">
        <f>IF(VLOOKUP($A1300,'Concrete Beam Schedule'!$A$2:$Q$2902,AB$2,0)&lt;&gt;L1300,"Beam Revised","")</f>
        <v>#N/A</v>
      </c>
      <c r="AC1300" s="7" t="e">
        <f>IF(VLOOKUP($A1300,'Concrete Beam Schedule'!$A$2:$Q$2902,AC$2,0)&lt;&gt;M1300,"Beam Revised","")</f>
        <v>#N/A</v>
      </c>
      <c r="AD1300" s="7" t="e">
        <f>IF(VLOOKUP($A1300,'Concrete Beam Schedule'!$A$2:$Q$2902,AD$2,0)&lt;&gt;N1300,"Beam Revised","")</f>
        <v>#N/A</v>
      </c>
      <c r="AE1300" s="7" t="e">
        <f>IF(VLOOKUP($A1300,'Concrete Beam Schedule'!$A$2:$Q$2902,AE$2,0)&lt;&gt;O1300,"Beam Revised","")</f>
        <v>#N/A</v>
      </c>
    </row>
    <row r="1301" spans="17:31" ht="13.2" x14ac:dyDescent="0.25">
      <c r="Q1301" s="7">
        <f t="shared" si="20"/>
        <v>0</v>
      </c>
      <c r="R1301" s="7" t="e">
        <f>IF(VLOOKUP($A1301,'Concrete Beam Schedule'!$A$2:$Q$2902,R$2,0)&lt;&gt;B1301,VLOOKUP($A1301,'Concrete Beam Schedule'!$A$2:$Q$2902,R$2,0),"")</f>
        <v>#N/A</v>
      </c>
      <c r="S1301" s="7" t="e">
        <f>IF(VLOOKUP($A1301,'Concrete Beam Schedule'!$A$2:$Q$2902,S$2,0)&lt;&gt;C1301,VLOOKUP($A1301,'Concrete Beam Schedule'!$A$2:$Q$2902,S$2,0),"")</f>
        <v>#N/A</v>
      </c>
      <c r="T1301" s="7" t="e">
        <f>IF(VLOOKUP($A1301,'Concrete Beam Schedule'!$A$2:$Q$2902,T$2,0)&lt;&gt;D1301,"Beam Revised","")</f>
        <v>#N/A</v>
      </c>
      <c r="U1301" s="7" t="e">
        <f>IF(VLOOKUP($A1301,'Concrete Beam Schedule'!$A$2:$Q$2902,U$2,0)&lt;&gt;E1301,"Beam Revised","")</f>
        <v>#N/A</v>
      </c>
      <c r="V1301" s="7" t="e">
        <f>IF(VLOOKUP($A1301,'Concrete Beam Schedule'!$A$2:$Q$2902,V$2,0)&lt;&gt;F1301,"Beam Revised","")</f>
        <v>#N/A</v>
      </c>
      <c r="W1301" s="7" t="e">
        <f>IF(VLOOKUP($A1301,'Concrete Beam Schedule'!$A$2:$Q$2902,W$2,0)&lt;&gt;G1301,"Beam Revised","")</f>
        <v>#N/A</v>
      </c>
      <c r="X1301" s="7" t="e">
        <f>IF(VLOOKUP($A1301,'Concrete Beam Schedule'!$A$2:$Q$2902,X$2,0)&lt;&gt;H1301,"Beam Revised","")</f>
        <v>#N/A</v>
      </c>
      <c r="Y1301" s="7" t="e">
        <f>IF(VLOOKUP($A1301,'Concrete Beam Schedule'!$A$2:$Q$2902,Y$2,0)&lt;&gt;I1301,"Beam Revised","")</f>
        <v>#N/A</v>
      </c>
      <c r="Z1301" s="7" t="e">
        <f>IF(VLOOKUP($A1301,'Concrete Beam Schedule'!$A$2:$Q$2902,Z$2,0)&lt;&gt;J1301,"Beam Revised","")</f>
        <v>#N/A</v>
      </c>
      <c r="AA1301" s="7" t="e">
        <f>IF(VLOOKUP($A1301,'Concrete Beam Schedule'!$A$2:$Q$2902,AA$2,0)&lt;&gt;K1301,"Beam Revised","")</f>
        <v>#N/A</v>
      </c>
      <c r="AB1301" s="7" t="e">
        <f>IF(VLOOKUP($A1301,'Concrete Beam Schedule'!$A$2:$Q$2902,AB$2,0)&lt;&gt;L1301,"Beam Revised","")</f>
        <v>#N/A</v>
      </c>
      <c r="AC1301" s="7" t="e">
        <f>IF(VLOOKUP($A1301,'Concrete Beam Schedule'!$A$2:$Q$2902,AC$2,0)&lt;&gt;M1301,"Beam Revised","")</f>
        <v>#N/A</v>
      </c>
      <c r="AD1301" s="7" t="e">
        <f>IF(VLOOKUP($A1301,'Concrete Beam Schedule'!$A$2:$Q$2902,AD$2,0)&lt;&gt;N1301,"Beam Revised","")</f>
        <v>#N/A</v>
      </c>
      <c r="AE1301" s="7" t="e">
        <f>IF(VLOOKUP($A1301,'Concrete Beam Schedule'!$A$2:$Q$2902,AE$2,0)&lt;&gt;O1301,"Beam Revised","")</f>
        <v>#N/A</v>
      </c>
    </row>
    <row r="1302" spans="17:31" ht="13.2" x14ac:dyDescent="0.25">
      <c r="Q1302" s="7">
        <f t="shared" si="20"/>
        <v>0</v>
      </c>
      <c r="R1302" s="7" t="e">
        <f>IF(VLOOKUP($A1302,'Concrete Beam Schedule'!$A$2:$Q$2902,R$2,0)&lt;&gt;B1302,VLOOKUP($A1302,'Concrete Beam Schedule'!$A$2:$Q$2902,R$2,0),"")</f>
        <v>#N/A</v>
      </c>
      <c r="S1302" s="7" t="e">
        <f>IF(VLOOKUP($A1302,'Concrete Beam Schedule'!$A$2:$Q$2902,S$2,0)&lt;&gt;C1302,VLOOKUP($A1302,'Concrete Beam Schedule'!$A$2:$Q$2902,S$2,0),"")</f>
        <v>#N/A</v>
      </c>
      <c r="T1302" s="7" t="e">
        <f>IF(VLOOKUP($A1302,'Concrete Beam Schedule'!$A$2:$Q$2902,T$2,0)&lt;&gt;D1302,"Beam Revised","")</f>
        <v>#N/A</v>
      </c>
      <c r="U1302" s="7" t="e">
        <f>IF(VLOOKUP($A1302,'Concrete Beam Schedule'!$A$2:$Q$2902,U$2,0)&lt;&gt;E1302,"Beam Revised","")</f>
        <v>#N/A</v>
      </c>
      <c r="V1302" s="7" t="e">
        <f>IF(VLOOKUP($A1302,'Concrete Beam Schedule'!$A$2:$Q$2902,V$2,0)&lt;&gt;F1302,"Beam Revised","")</f>
        <v>#N/A</v>
      </c>
      <c r="W1302" s="7" t="e">
        <f>IF(VLOOKUP($A1302,'Concrete Beam Schedule'!$A$2:$Q$2902,W$2,0)&lt;&gt;G1302,"Beam Revised","")</f>
        <v>#N/A</v>
      </c>
      <c r="X1302" s="7" t="e">
        <f>IF(VLOOKUP($A1302,'Concrete Beam Schedule'!$A$2:$Q$2902,X$2,0)&lt;&gt;H1302,"Beam Revised","")</f>
        <v>#N/A</v>
      </c>
      <c r="Y1302" s="7" t="e">
        <f>IF(VLOOKUP($A1302,'Concrete Beam Schedule'!$A$2:$Q$2902,Y$2,0)&lt;&gt;I1302,"Beam Revised","")</f>
        <v>#N/A</v>
      </c>
      <c r="Z1302" s="7" t="e">
        <f>IF(VLOOKUP($A1302,'Concrete Beam Schedule'!$A$2:$Q$2902,Z$2,0)&lt;&gt;J1302,"Beam Revised","")</f>
        <v>#N/A</v>
      </c>
      <c r="AA1302" s="7" t="e">
        <f>IF(VLOOKUP($A1302,'Concrete Beam Schedule'!$A$2:$Q$2902,AA$2,0)&lt;&gt;K1302,"Beam Revised","")</f>
        <v>#N/A</v>
      </c>
      <c r="AB1302" s="7" t="e">
        <f>IF(VLOOKUP($A1302,'Concrete Beam Schedule'!$A$2:$Q$2902,AB$2,0)&lt;&gt;L1302,"Beam Revised","")</f>
        <v>#N/A</v>
      </c>
      <c r="AC1302" s="7" t="e">
        <f>IF(VLOOKUP($A1302,'Concrete Beam Schedule'!$A$2:$Q$2902,AC$2,0)&lt;&gt;M1302,"Beam Revised","")</f>
        <v>#N/A</v>
      </c>
      <c r="AD1302" s="7" t="e">
        <f>IF(VLOOKUP($A1302,'Concrete Beam Schedule'!$A$2:$Q$2902,AD$2,0)&lt;&gt;N1302,"Beam Revised","")</f>
        <v>#N/A</v>
      </c>
      <c r="AE1302" s="7" t="e">
        <f>IF(VLOOKUP($A1302,'Concrete Beam Schedule'!$A$2:$Q$2902,AE$2,0)&lt;&gt;O1302,"Beam Revised","")</f>
        <v>#N/A</v>
      </c>
    </row>
    <row r="1303" spans="17:31" ht="13.2" x14ac:dyDescent="0.25">
      <c r="Q1303" s="7">
        <f t="shared" si="20"/>
        <v>0</v>
      </c>
      <c r="R1303" s="7" t="e">
        <f>IF(VLOOKUP($A1303,'Concrete Beam Schedule'!$A$2:$Q$2902,R$2,0)&lt;&gt;B1303,VLOOKUP($A1303,'Concrete Beam Schedule'!$A$2:$Q$2902,R$2,0),"")</f>
        <v>#N/A</v>
      </c>
      <c r="S1303" s="7" t="e">
        <f>IF(VLOOKUP($A1303,'Concrete Beam Schedule'!$A$2:$Q$2902,S$2,0)&lt;&gt;C1303,VLOOKUP($A1303,'Concrete Beam Schedule'!$A$2:$Q$2902,S$2,0),"")</f>
        <v>#N/A</v>
      </c>
      <c r="T1303" s="7" t="e">
        <f>IF(VLOOKUP($A1303,'Concrete Beam Schedule'!$A$2:$Q$2902,T$2,0)&lt;&gt;D1303,"Beam Revised","")</f>
        <v>#N/A</v>
      </c>
      <c r="U1303" s="7" t="e">
        <f>IF(VLOOKUP($A1303,'Concrete Beam Schedule'!$A$2:$Q$2902,U$2,0)&lt;&gt;E1303,"Beam Revised","")</f>
        <v>#N/A</v>
      </c>
      <c r="V1303" s="7" t="e">
        <f>IF(VLOOKUP($A1303,'Concrete Beam Schedule'!$A$2:$Q$2902,V$2,0)&lt;&gt;F1303,"Beam Revised","")</f>
        <v>#N/A</v>
      </c>
      <c r="W1303" s="7" t="e">
        <f>IF(VLOOKUP($A1303,'Concrete Beam Schedule'!$A$2:$Q$2902,W$2,0)&lt;&gt;G1303,"Beam Revised","")</f>
        <v>#N/A</v>
      </c>
      <c r="X1303" s="7" t="e">
        <f>IF(VLOOKUP($A1303,'Concrete Beam Schedule'!$A$2:$Q$2902,X$2,0)&lt;&gt;H1303,"Beam Revised","")</f>
        <v>#N/A</v>
      </c>
      <c r="Y1303" s="7" t="e">
        <f>IF(VLOOKUP($A1303,'Concrete Beam Schedule'!$A$2:$Q$2902,Y$2,0)&lt;&gt;I1303,"Beam Revised","")</f>
        <v>#N/A</v>
      </c>
      <c r="Z1303" s="7" t="e">
        <f>IF(VLOOKUP($A1303,'Concrete Beam Schedule'!$A$2:$Q$2902,Z$2,0)&lt;&gt;J1303,"Beam Revised","")</f>
        <v>#N/A</v>
      </c>
      <c r="AA1303" s="7" t="e">
        <f>IF(VLOOKUP($A1303,'Concrete Beam Schedule'!$A$2:$Q$2902,AA$2,0)&lt;&gt;K1303,"Beam Revised","")</f>
        <v>#N/A</v>
      </c>
      <c r="AB1303" s="7" t="e">
        <f>IF(VLOOKUP($A1303,'Concrete Beam Schedule'!$A$2:$Q$2902,AB$2,0)&lt;&gt;L1303,"Beam Revised","")</f>
        <v>#N/A</v>
      </c>
      <c r="AC1303" s="7" t="e">
        <f>IF(VLOOKUP($A1303,'Concrete Beam Schedule'!$A$2:$Q$2902,AC$2,0)&lt;&gt;M1303,"Beam Revised","")</f>
        <v>#N/A</v>
      </c>
      <c r="AD1303" s="7" t="e">
        <f>IF(VLOOKUP($A1303,'Concrete Beam Schedule'!$A$2:$Q$2902,AD$2,0)&lt;&gt;N1303,"Beam Revised","")</f>
        <v>#N/A</v>
      </c>
      <c r="AE1303" s="7" t="e">
        <f>IF(VLOOKUP($A1303,'Concrete Beam Schedule'!$A$2:$Q$2902,AE$2,0)&lt;&gt;O1303,"Beam Revised","")</f>
        <v>#N/A</v>
      </c>
    </row>
    <row r="1304" spans="17:31" ht="13.2" x14ac:dyDescent="0.25">
      <c r="Q1304" s="7">
        <f t="shared" si="20"/>
        <v>0</v>
      </c>
      <c r="R1304" s="7" t="e">
        <f>IF(VLOOKUP($A1304,'Concrete Beam Schedule'!$A$2:$Q$2902,R$2,0)&lt;&gt;B1304,VLOOKUP($A1304,'Concrete Beam Schedule'!$A$2:$Q$2902,R$2,0),"")</f>
        <v>#N/A</v>
      </c>
      <c r="S1304" s="7" t="e">
        <f>IF(VLOOKUP($A1304,'Concrete Beam Schedule'!$A$2:$Q$2902,S$2,0)&lt;&gt;C1304,VLOOKUP($A1304,'Concrete Beam Schedule'!$A$2:$Q$2902,S$2,0),"")</f>
        <v>#N/A</v>
      </c>
      <c r="T1304" s="7" t="e">
        <f>IF(VLOOKUP($A1304,'Concrete Beam Schedule'!$A$2:$Q$2902,T$2,0)&lt;&gt;D1304,"Beam Revised","")</f>
        <v>#N/A</v>
      </c>
      <c r="U1304" s="7" t="e">
        <f>IF(VLOOKUP($A1304,'Concrete Beam Schedule'!$A$2:$Q$2902,U$2,0)&lt;&gt;E1304,"Beam Revised","")</f>
        <v>#N/A</v>
      </c>
      <c r="V1304" s="7" t="e">
        <f>IF(VLOOKUP($A1304,'Concrete Beam Schedule'!$A$2:$Q$2902,V$2,0)&lt;&gt;F1304,"Beam Revised","")</f>
        <v>#N/A</v>
      </c>
      <c r="W1304" s="7" t="e">
        <f>IF(VLOOKUP($A1304,'Concrete Beam Schedule'!$A$2:$Q$2902,W$2,0)&lt;&gt;G1304,"Beam Revised","")</f>
        <v>#N/A</v>
      </c>
      <c r="X1304" s="7" t="e">
        <f>IF(VLOOKUP($A1304,'Concrete Beam Schedule'!$A$2:$Q$2902,X$2,0)&lt;&gt;H1304,"Beam Revised","")</f>
        <v>#N/A</v>
      </c>
      <c r="Y1304" s="7" t="e">
        <f>IF(VLOOKUP($A1304,'Concrete Beam Schedule'!$A$2:$Q$2902,Y$2,0)&lt;&gt;I1304,"Beam Revised","")</f>
        <v>#N/A</v>
      </c>
      <c r="Z1304" s="7" t="e">
        <f>IF(VLOOKUP($A1304,'Concrete Beam Schedule'!$A$2:$Q$2902,Z$2,0)&lt;&gt;J1304,"Beam Revised","")</f>
        <v>#N/A</v>
      </c>
      <c r="AA1304" s="7" t="e">
        <f>IF(VLOOKUP($A1304,'Concrete Beam Schedule'!$A$2:$Q$2902,AA$2,0)&lt;&gt;K1304,"Beam Revised","")</f>
        <v>#N/A</v>
      </c>
      <c r="AB1304" s="7" t="e">
        <f>IF(VLOOKUP($A1304,'Concrete Beam Schedule'!$A$2:$Q$2902,AB$2,0)&lt;&gt;L1304,"Beam Revised","")</f>
        <v>#N/A</v>
      </c>
      <c r="AC1304" s="7" t="e">
        <f>IF(VLOOKUP($A1304,'Concrete Beam Schedule'!$A$2:$Q$2902,AC$2,0)&lt;&gt;M1304,"Beam Revised","")</f>
        <v>#N/A</v>
      </c>
      <c r="AD1304" s="7" t="e">
        <f>IF(VLOOKUP($A1304,'Concrete Beam Schedule'!$A$2:$Q$2902,AD$2,0)&lt;&gt;N1304,"Beam Revised","")</f>
        <v>#N/A</v>
      </c>
      <c r="AE1304" s="7" t="e">
        <f>IF(VLOOKUP($A1304,'Concrete Beam Schedule'!$A$2:$Q$2902,AE$2,0)&lt;&gt;O1304,"Beam Revised","")</f>
        <v>#N/A</v>
      </c>
    </row>
    <row r="1305" spans="17:31" ht="13.2" x14ac:dyDescent="0.25">
      <c r="Q1305" s="7">
        <f t="shared" si="20"/>
        <v>0</v>
      </c>
      <c r="R1305" s="7" t="e">
        <f>IF(VLOOKUP($A1305,'Concrete Beam Schedule'!$A$2:$Q$2902,R$2,0)&lt;&gt;B1305,VLOOKUP($A1305,'Concrete Beam Schedule'!$A$2:$Q$2902,R$2,0),"")</f>
        <v>#N/A</v>
      </c>
      <c r="S1305" s="7" t="e">
        <f>IF(VLOOKUP($A1305,'Concrete Beam Schedule'!$A$2:$Q$2902,S$2,0)&lt;&gt;C1305,VLOOKUP($A1305,'Concrete Beam Schedule'!$A$2:$Q$2902,S$2,0),"")</f>
        <v>#N/A</v>
      </c>
      <c r="T1305" s="7" t="e">
        <f>IF(VLOOKUP($A1305,'Concrete Beam Schedule'!$A$2:$Q$2902,T$2,0)&lt;&gt;D1305,"Beam Revised","")</f>
        <v>#N/A</v>
      </c>
      <c r="U1305" s="7" t="e">
        <f>IF(VLOOKUP($A1305,'Concrete Beam Schedule'!$A$2:$Q$2902,U$2,0)&lt;&gt;E1305,"Beam Revised","")</f>
        <v>#N/A</v>
      </c>
      <c r="V1305" s="7" t="e">
        <f>IF(VLOOKUP($A1305,'Concrete Beam Schedule'!$A$2:$Q$2902,V$2,0)&lt;&gt;F1305,"Beam Revised","")</f>
        <v>#N/A</v>
      </c>
      <c r="W1305" s="7" t="e">
        <f>IF(VLOOKUP($A1305,'Concrete Beam Schedule'!$A$2:$Q$2902,W$2,0)&lt;&gt;G1305,"Beam Revised","")</f>
        <v>#N/A</v>
      </c>
      <c r="X1305" s="7" t="e">
        <f>IF(VLOOKUP($A1305,'Concrete Beam Schedule'!$A$2:$Q$2902,X$2,0)&lt;&gt;H1305,"Beam Revised","")</f>
        <v>#N/A</v>
      </c>
      <c r="Y1305" s="7" t="e">
        <f>IF(VLOOKUP($A1305,'Concrete Beam Schedule'!$A$2:$Q$2902,Y$2,0)&lt;&gt;I1305,"Beam Revised","")</f>
        <v>#N/A</v>
      </c>
      <c r="Z1305" s="7" t="e">
        <f>IF(VLOOKUP($A1305,'Concrete Beam Schedule'!$A$2:$Q$2902,Z$2,0)&lt;&gt;J1305,"Beam Revised","")</f>
        <v>#N/A</v>
      </c>
      <c r="AA1305" s="7" t="e">
        <f>IF(VLOOKUP($A1305,'Concrete Beam Schedule'!$A$2:$Q$2902,AA$2,0)&lt;&gt;K1305,"Beam Revised","")</f>
        <v>#N/A</v>
      </c>
      <c r="AB1305" s="7" t="e">
        <f>IF(VLOOKUP($A1305,'Concrete Beam Schedule'!$A$2:$Q$2902,AB$2,0)&lt;&gt;L1305,"Beam Revised","")</f>
        <v>#N/A</v>
      </c>
      <c r="AC1305" s="7" t="e">
        <f>IF(VLOOKUP($A1305,'Concrete Beam Schedule'!$A$2:$Q$2902,AC$2,0)&lt;&gt;M1305,"Beam Revised","")</f>
        <v>#N/A</v>
      </c>
      <c r="AD1305" s="7" t="e">
        <f>IF(VLOOKUP($A1305,'Concrete Beam Schedule'!$A$2:$Q$2902,AD$2,0)&lt;&gt;N1305,"Beam Revised","")</f>
        <v>#N/A</v>
      </c>
      <c r="AE1305" s="7" t="e">
        <f>IF(VLOOKUP($A1305,'Concrete Beam Schedule'!$A$2:$Q$2902,AE$2,0)&lt;&gt;O1305,"Beam Revised","")</f>
        <v>#N/A</v>
      </c>
    </row>
    <row r="1306" spans="17:31" ht="13.2" x14ac:dyDescent="0.25">
      <c r="Q1306" s="7">
        <f t="shared" si="20"/>
        <v>0</v>
      </c>
      <c r="R1306" s="7" t="e">
        <f>IF(VLOOKUP($A1306,'Concrete Beam Schedule'!$A$2:$Q$2902,R$2,0)&lt;&gt;B1306,VLOOKUP($A1306,'Concrete Beam Schedule'!$A$2:$Q$2902,R$2,0),"")</f>
        <v>#N/A</v>
      </c>
      <c r="S1306" s="7" t="e">
        <f>IF(VLOOKUP($A1306,'Concrete Beam Schedule'!$A$2:$Q$2902,S$2,0)&lt;&gt;C1306,VLOOKUP($A1306,'Concrete Beam Schedule'!$A$2:$Q$2902,S$2,0),"")</f>
        <v>#N/A</v>
      </c>
      <c r="T1306" s="7" t="e">
        <f>IF(VLOOKUP($A1306,'Concrete Beam Schedule'!$A$2:$Q$2902,T$2,0)&lt;&gt;D1306,"Beam Revised","")</f>
        <v>#N/A</v>
      </c>
      <c r="U1306" s="7" t="e">
        <f>IF(VLOOKUP($A1306,'Concrete Beam Schedule'!$A$2:$Q$2902,U$2,0)&lt;&gt;E1306,"Beam Revised","")</f>
        <v>#N/A</v>
      </c>
      <c r="V1306" s="7" t="e">
        <f>IF(VLOOKUP($A1306,'Concrete Beam Schedule'!$A$2:$Q$2902,V$2,0)&lt;&gt;F1306,"Beam Revised","")</f>
        <v>#N/A</v>
      </c>
      <c r="W1306" s="7" t="e">
        <f>IF(VLOOKUP($A1306,'Concrete Beam Schedule'!$A$2:$Q$2902,W$2,0)&lt;&gt;G1306,"Beam Revised","")</f>
        <v>#N/A</v>
      </c>
      <c r="X1306" s="7" t="e">
        <f>IF(VLOOKUP($A1306,'Concrete Beam Schedule'!$A$2:$Q$2902,X$2,0)&lt;&gt;H1306,"Beam Revised","")</f>
        <v>#N/A</v>
      </c>
      <c r="Y1306" s="7" t="e">
        <f>IF(VLOOKUP($A1306,'Concrete Beam Schedule'!$A$2:$Q$2902,Y$2,0)&lt;&gt;I1306,"Beam Revised","")</f>
        <v>#N/A</v>
      </c>
      <c r="Z1306" s="7" t="e">
        <f>IF(VLOOKUP($A1306,'Concrete Beam Schedule'!$A$2:$Q$2902,Z$2,0)&lt;&gt;J1306,"Beam Revised","")</f>
        <v>#N/A</v>
      </c>
      <c r="AA1306" s="7" t="e">
        <f>IF(VLOOKUP($A1306,'Concrete Beam Schedule'!$A$2:$Q$2902,AA$2,0)&lt;&gt;K1306,"Beam Revised","")</f>
        <v>#N/A</v>
      </c>
      <c r="AB1306" s="7" t="e">
        <f>IF(VLOOKUP($A1306,'Concrete Beam Schedule'!$A$2:$Q$2902,AB$2,0)&lt;&gt;L1306,"Beam Revised","")</f>
        <v>#N/A</v>
      </c>
      <c r="AC1306" s="7" t="e">
        <f>IF(VLOOKUP($A1306,'Concrete Beam Schedule'!$A$2:$Q$2902,AC$2,0)&lt;&gt;M1306,"Beam Revised","")</f>
        <v>#N/A</v>
      </c>
      <c r="AD1306" s="7" t="e">
        <f>IF(VLOOKUP($A1306,'Concrete Beam Schedule'!$A$2:$Q$2902,AD$2,0)&lt;&gt;N1306,"Beam Revised","")</f>
        <v>#N/A</v>
      </c>
      <c r="AE1306" s="7" t="e">
        <f>IF(VLOOKUP($A1306,'Concrete Beam Schedule'!$A$2:$Q$2902,AE$2,0)&lt;&gt;O1306,"Beam Revised","")</f>
        <v>#N/A</v>
      </c>
    </row>
    <row r="1307" spans="17:31" ht="13.2" x14ac:dyDescent="0.25">
      <c r="Q1307" s="7">
        <f t="shared" si="20"/>
        <v>0</v>
      </c>
      <c r="R1307" s="7" t="e">
        <f>IF(VLOOKUP($A1307,'Concrete Beam Schedule'!$A$2:$Q$2902,R$2,0)&lt;&gt;B1307,VLOOKUP($A1307,'Concrete Beam Schedule'!$A$2:$Q$2902,R$2,0),"")</f>
        <v>#N/A</v>
      </c>
      <c r="S1307" s="7" t="e">
        <f>IF(VLOOKUP($A1307,'Concrete Beam Schedule'!$A$2:$Q$2902,S$2,0)&lt;&gt;C1307,VLOOKUP($A1307,'Concrete Beam Schedule'!$A$2:$Q$2902,S$2,0),"")</f>
        <v>#N/A</v>
      </c>
      <c r="T1307" s="7" t="e">
        <f>IF(VLOOKUP($A1307,'Concrete Beam Schedule'!$A$2:$Q$2902,T$2,0)&lt;&gt;D1307,"Beam Revised","")</f>
        <v>#N/A</v>
      </c>
      <c r="U1307" s="7" t="e">
        <f>IF(VLOOKUP($A1307,'Concrete Beam Schedule'!$A$2:$Q$2902,U$2,0)&lt;&gt;E1307,"Beam Revised","")</f>
        <v>#N/A</v>
      </c>
      <c r="V1307" s="7" t="e">
        <f>IF(VLOOKUP($A1307,'Concrete Beam Schedule'!$A$2:$Q$2902,V$2,0)&lt;&gt;F1307,"Beam Revised","")</f>
        <v>#N/A</v>
      </c>
      <c r="W1307" s="7" t="e">
        <f>IF(VLOOKUP($A1307,'Concrete Beam Schedule'!$A$2:$Q$2902,W$2,0)&lt;&gt;G1307,"Beam Revised","")</f>
        <v>#N/A</v>
      </c>
      <c r="X1307" s="7" t="e">
        <f>IF(VLOOKUP($A1307,'Concrete Beam Schedule'!$A$2:$Q$2902,X$2,0)&lt;&gt;H1307,"Beam Revised","")</f>
        <v>#N/A</v>
      </c>
      <c r="Y1307" s="7" t="e">
        <f>IF(VLOOKUP($A1307,'Concrete Beam Schedule'!$A$2:$Q$2902,Y$2,0)&lt;&gt;I1307,"Beam Revised","")</f>
        <v>#N/A</v>
      </c>
      <c r="Z1307" s="7" t="e">
        <f>IF(VLOOKUP($A1307,'Concrete Beam Schedule'!$A$2:$Q$2902,Z$2,0)&lt;&gt;J1307,"Beam Revised","")</f>
        <v>#N/A</v>
      </c>
      <c r="AA1307" s="7" t="e">
        <f>IF(VLOOKUP($A1307,'Concrete Beam Schedule'!$A$2:$Q$2902,AA$2,0)&lt;&gt;K1307,"Beam Revised","")</f>
        <v>#N/A</v>
      </c>
      <c r="AB1307" s="7" t="e">
        <f>IF(VLOOKUP($A1307,'Concrete Beam Schedule'!$A$2:$Q$2902,AB$2,0)&lt;&gt;L1307,"Beam Revised","")</f>
        <v>#N/A</v>
      </c>
      <c r="AC1307" s="7" t="e">
        <f>IF(VLOOKUP($A1307,'Concrete Beam Schedule'!$A$2:$Q$2902,AC$2,0)&lt;&gt;M1307,"Beam Revised","")</f>
        <v>#N/A</v>
      </c>
      <c r="AD1307" s="7" t="e">
        <f>IF(VLOOKUP($A1307,'Concrete Beam Schedule'!$A$2:$Q$2902,AD$2,0)&lt;&gt;N1307,"Beam Revised","")</f>
        <v>#N/A</v>
      </c>
      <c r="AE1307" s="7" t="e">
        <f>IF(VLOOKUP($A1307,'Concrete Beam Schedule'!$A$2:$Q$2902,AE$2,0)&lt;&gt;O1307,"Beam Revised","")</f>
        <v>#N/A</v>
      </c>
    </row>
    <row r="1308" spans="17:31" ht="13.2" x14ac:dyDescent="0.25">
      <c r="Q1308" s="7">
        <f t="shared" si="20"/>
        <v>0</v>
      </c>
      <c r="R1308" s="7" t="e">
        <f>IF(VLOOKUP($A1308,'Concrete Beam Schedule'!$A$2:$Q$2902,R$2,0)&lt;&gt;B1308,VLOOKUP($A1308,'Concrete Beam Schedule'!$A$2:$Q$2902,R$2,0),"")</f>
        <v>#N/A</v>
      </c>
      <c r="S1308" s="7" t="e">
        <f>IF(VLOOKUP($A1308,'Concrete Beam Schedule'!$A$2:$Q$2902,S$2,0)&lt;&gt;C1308,VLOOKUP($A1308,'Concrete Beam Schedule'!$A$2:$Q$2902,S$2,0),"")</f>
        <v>#N/A</v>
      </c>
      <c r="T1308" s="7" t="e">
        <f>IF(VLOOKUP($A1308,'Concrete Beam Schedule'!$A$2:$Q$2902,T$2,0)&lt;&gt;D1308,"Beam Revised","")</f>
        <v>#N/A</v>
      </c>
      <c r="U1308" s="7" t="e">
        <f>IF(VLOOKUP($A1308,'Concrete Beam Schedule'!$A$2:$Q$2902,U$2,0)&lt;&gt;E1308,"Beam Revised","")</f>
        <v>#N/A</v>
      </c>
      <c r="V1308" s="7" t="e">
        <f>IF(VLOOKUP($A1308,'Concrete Beam Schedule'!$A$2:$Q$2902,V$2,0)&lt;&gt;F1308,"Beam Revised","")</f>
        <v>#N/A</v>
      </c>
      <c r="W1308" s="7" t="e">
        <f>IF(VLOOKUP($A1308,'Concrete Beam Schedule'!$A$2:$Q$2902,W$2,0)&lt;&gt;G1308,"Beam Revised","")</f>
        <v>#N/A</v>
      </c>
      <c r="X1308" s="7" t="e">
        <f>IF(VLOOKUP($A1308,'Concrete Beam Schedule'!$A$2:$Q$2902,X$2,0)&lt;&gt;H1308,"Beam Revised","")</f>
        <v>#N/A</v>
      </c>
      <c r="Y1308" s="7" t="e">
        <f>IF(VLOOKUP($A1308,'Concrete Beam Schedule'!$A$2:$Q$2902,Y$2,0)&lt;&gt;I1308,"Beam Revised","")</f>
        <v>#N/A</v>
      </c>
      <c r="Z1308" s="7" t="e">
        <f>IF(VLOOKUP($A1308,'Concrete Beam Schedule'!$A$2:$Q$2902,Z$2,0)&lt;&gt;J1308,"Beam Revised","")</f>
        <v>#N/A</v>
      </c>
      <c r="AA1308" s="7" t="e">
        <f>IF(VLOOKUP($A1308,'Concrete Beam Schedule'!$A$2:$Q$2902,AA$2,0)&lt;&gt;K1308,"Beam Revised","")</f>
        <v>#N/A</v>
      </c>
      <c r="AB1308" s="7" t="e">
        <f>IF(VLOOKUP($A1308,'Concrete Beam Schedule'!$A$2:$Q$2902,AB$2,0)&lt;&gt;L1308,"Beam Revised","")</f>
        <v>#N/A</v>
      </c>
      <c r="AC1308" s="7" t="e">
        <f>IF(VLOOKUP($A1308,'Concrete Beam Schedule'!$A$2:$Q$2902,AC$2,0)&lt;&gt;M1308,"Beam Revised","")</f>
        <v>#N/A</v>
      </c>
      <c r="AD1308" s="7" t="e">
        <f>IF(VLOOKUP($A1308,'Concrete Beam Schedule'!$A$2:$Q$2902,AD$2,0)&lt;&gt;N1308,"Beam Revised","")</f>
        <v>#N/A</v>
      </c>
      <c r="AE1308" s="7" t="e">
        <f>IF(VLOOKUP($A1308,'Concrete Beam Schedule'!$A$2:$Q$2902,AE$2,0)&lt;&gt;O1308,"Beam Revised","")</f>
        <v>#N/A</v>
      </c>
    </row>
    <row r="1309" spans="17:31" ht="13.2" x14ac:dyDescent="0.25">
      <c r="Q1309" s="7">
        <f t="shared" si="20"/>
        <v>0</v>
      </c>
      <c r="R1309" s="7" t="e">
        <f>IF(VLOOKUP($A1309,'Concrete Beam Schedule'!$A$2:$Q$2902,R$2,0)&lt;&gt;B1309,VLOOKUP($A1309,'Concrete Beam Schedule'!$A$2:$Q$2902,R$2,0),"")</f>
        <v>#N/A</v>
      </c>
      <c r="S1309" s="7" t="e">
        <f>IF(VLOOKUP($A1309,'Concrete Beam Schedule'!$A$2:$Q$2902,S$2,0)&lt;&gt;C1309,VLOOKUP($A1309,'Concrete Beam Schedule'!$A$2:$Q$2902,S$2,0),"")</f>
        <v>#N/A</v>
      </c>
      <c r="T1309" s="7" t="e">
        <f>IF(VLOOKUP($A1309,'Concrete Beam Schedule'!$A$2:$Q$2902,T$2,0)&lt;&gt;D1309,"Beam Revised","")</f>
        <v>#N/A</v>
      </c>
      <c r="U1309" s="7" t="e">
        <f>IF(VLOOKUP($A1309,'Concrete Beam Schedule'!$A$2:$Q$2902,U$2,0)&lt;&gt;E1309,"Beam Revised","")</f>
        <v>#N/A</v>
      </c>
      <c r="V1309" s="7" t="e">
        <f>IF(VLOOKUP($A1309,'Concrete Beam Schedule'!$A$2:$Q$2902,V$2,0)&lt;&gt;F1309,"Beam Revised","")</f>
        <v>#N/A</v>
      </c>
      <c r="W1309" s="7" t="e">
        <f>IF(VLOOKUP($A1309,'Concrete Beam Schedule'!$A$2:$Q$2902,W$2,0)&lt;&gt;G1309,"Beam Revised","")</f>
        <v>#N/A</v>
      </c>
      <c r="X1309" s="7" t="e">
        <f>IF(VLOOKUP($A1309,'Concrete Beam Schedule'!$A$2:$Q$2902,X$2,0)&lt;&gt;H1309,"Beam Revised","")</f>
        <v>#N/A</v>
      </c>
      <c r="Y1309" s="7" t="e">
        <f>IF(VLOOKUP($A1309,'Concrete Beam Schedule'!$A$2:$Q$2902,Y$2,0)&lt;&gt;I1309,"Beam Revised","")</f>
        <v>#N/A</v>
      </c>
      <c r="Z1309" s="7" t="e">
        <f>IF(VLOOKUP($A1309,'Concrete Beam Schedule'!$A$2:$Q$2902,Z$2,0)&lt;&gt;J1309,"Beam Revised","")</f>
        <v>#N/A</v>
      </c>
      <c r="AA1309" s="7" t="e">
        <f>IF(VLOOKUP($A1309,'Concrete Beam Schedule'!$A$2:$Q$2902,AA$2,0)&lt;&gt;K1309,"Beam Revised","")</f>
        <v>#N/A</v>
      </c>
      <c r="AB1309" s="7" t="e">
        <f>IF(VLOOKUP($A1309,'Concrete Beam Schedule'!$A$2:$Q$2902,AB$2,0)&lt;&gt;L1309,"Beam Revised","")</f>
        <v>#N/A</v>
      </c>
      <c r="AC1309" s="7" t="e">
        <f>IF(VLOOKUP($A1309,'Concrete Beam Schedule'!$A$2:$Q$2902,AC$2,0)&lt;&gt;M1309,"Beam Revised","")</f>
        <v>#N/A</v>
      </c>
      <c r="AD1309" s="7" t="e">
        <f>IF(VLOOKUP($A1309,'Concrete Beam Schedule'!$A$2:$Q$2902,AD$2,0)&lt;&gt;N1309,"Beam Revised","")</f>
        <v>#N/A</v>
      </c>
      <c r="AE1309" s="7" t="e">
        <f>IF(VLOOKUP($A1309,'Concrete Beam Schedule'!$A$2:$Q$2902,AE$2,0)&lt;&gt;O1309,"Beam Revised","")</f>
        <v>#N/A</v>
      </c>
    </row>
    <row r="1310" spans="17:31" ht="13.2" x14ac:dyDescent="0.25">
      <c r="Q1310" s="7">
        <f t="shared" si="20"/>
        <v>0</v>
      </c>
      <c r="R1310" s="7" t="e">
        <f>IF(VLOOKUP($A1310,'Concrete Beam Schedule'!$A$2:$Q$2902,R$2,0)&lt;&gt;B1310,VLOOKUP($A1310,'Concrete Beam Schedule'!$A$2:$Q$2902,R$2,0),"")</f>
        <v>#N/A</v>
      </c>
      <c r="S1310" s="7" t="e">
        <f>IF(VLOOKUP($A1310,'Concrete Beam Schedule'!$A$2:$Q$2902,S$2,0)&lt;&gt;C1310,VLOOKUP($A1310,'Concrete Beam Schedule'!$A$2:$Q$2902,S$2,0),"")</f>
        <v>#N/A</v>
      </c>
      <c r="T1310" s="7" t="e">
        <f>IF(VLOOKUP($A1310,'Concrete Beam Schedule'!$A$2:$Q$2902,T$2,0)&lt;&gt;D1310,"Beam Revised","")</f>
        <v>#N/A</v>
      </c>
      <c r="U1310" s="7" t="e">
        <f>IF(VLOOKUP($A1310,'Concrete Beam Schedule'!$A$2:$Q$2902,U$2,0)&lt;&gt;E1310,"Beam Revised","")</f>
        <v>#N/A</v>
      </c>
      <c r="V1310" s="7" t="e">
        <f>IF(VLOOKUP($A1310,'Concrete Beam Schedule'!$A$2:$Q$2902,V$2,0)&lt;&gt;F1310,"Beam Revised","")</f>
        <v>#N/A</v>
      </c>
      <c r="W1310" s="7" t="e">
        <f>IF(VLOOKUP($A1310,'Concrete Beam Schedule'!$A$2:$Q$2902,W$2,0)&lt;&gt;G1310,"Beam Revised","")</f>
        <v>#N/A</v>
      </c>
      <c r="X1310" s="7" t="e">
        <f>IF(VLOOKUP($A1310,'Concrete Beam Schedule'!$A$2:$Q$2902,X$2,0)&lt;&gt;H1310,"Beam Revised","")</f>
        <v>#N/A</v>
      </c>
      <c r="Y1310" s="7" t="e">
        <f>IF(VLOOKUP($A1310,'Concrete Beam Schedule'!$A$2:$Q$2902,Y$2,0)&lt;&gt;I1310,"Beam Revised","")</f>
        <v>#N/A</v>
      </c>
      <c r="Z1310" s="7" t="e">
        <f>IF(VLOOKUP($A1310,'Concrete Beam Schedule'!$A$2:$Q$2902,Z$2,0)&lt;&gt;J1310,"Beam Revised","")</f>
        <v>#N/A</v>
      </c>
      <c r="AA1310" s="7" t="e">
        <f>IF(VLOOKUP($A1310,'Concrete Beam Schedule'!$A$2:$Q$2902,AA$2,0)&lt;&gt;K1310,"Beam Revised","")</f>
        <v>#N/A</v>
      </c>
      <c r="AB1310" s="7" t="e">
        <f>IF(VLOOKUP($A1310,'Concrete Beam Schedule'!$A$2:$Q$2902,AB$2,0)&lt;&gt;L1310,"Beam Revised","")</f>
        <v>#N/A</v>
      </c>
      <c r="AC1310" s="7" t="e">
        <f>IF(VLOOKUP($A1310,'Concrete Beam Schedule'!$A$2:$Q$2902,AC$2,0)&lt;&gt;M1310,"Beam Revised","")</f>
        <v>#N/A</v>
      </c>
      <c r="AD1310" s="7" t="e">
        <f>IF(VLOOKUP($A1310,'Concrete Beam Schedule'!$A$2:$Q$2902,AD$2,0)&lt;&gt;N1310,"Beam Revised","")</f>
        <v>#N/A</v>
      </c>
      <c r="AE1310" s="7" t="e">
        <f>IF(VLOOKUP($A1310,'Concrete Beam Schedule'!$A$2:$Q$2902,AE$2,0)&lt;&gt;O1310,"Beam Revised","")</f>
        <v>#N/A</v>
      </c>
    </row>
    <row r="1311" spans="17:31" ht="13.2" x14ac:dyDescent="0.25">
      <c r="Q1311" s="7">
        <f t="shared" si="20"/>
        <v>0</v>
      </c>
      <c r="R1311" s="7" t="e">
        <f>IF(VLOOKUP($A1311,'Concrete Beam Schedule'!$A$2:$Q$2902,R$2,0)&lt;&gt;B1311,VLOOKUP($A1311,'Concrete Beam Schedule'!$A$2:$Q$2902,R$2,0),"")</f>
        <v>#N/A</v>
      </c>
      <c r="S1311" s="7" t="e">
        <f>IF(VLOOKUP($A1311,'Concrete Beam Schedule'!$A$2:$Q$2902,S$2,0)&lt;&gt;C1311,VLOOKUP($A1311,'Concrete Beam Schedule'!$A$2:$Q$2902,S$2,0),"")</f>
        <v>#N/A</v>
      </c>
      <c r="T1311" s="7" t="e">
        <f>IF(VLOOKUP($A1311,'Concrete Beam Schedule'!$A$2:$Q$2902,T$2,0)&lt;&gt;D1311,"Beam Revised","")</f>
        <v>#N/A</v>
      </c>
      <c r="U1311" s="7" t="e">
        <f>IF(VLOOKUP($A1311,'Concrete Beam Schedule'!$A$2:$Q$2902,U$2,0)&lt;&gt;E1311,"Beam Revised","")</f>
        <v>#N/A</v>
      </c>
      <c r="V1311" s="7" t="e">
        <f>IF(VLOOKUP($A1311,'Concrete Beam Schedule'!$A$2:$Q$2902,V$2,0)&lt;&gt;F1311,"Beam Revised","")</f>
        <v>#N/A</v>
      </c>
      <c r="W1311" s="7" t="e">
        <f>IF(VLOOKUP($A1311,'Concrete Beam Schedule'!$A$2:$Q$2902,W$2,0)&lt;&gt;G1311,"Beam Revised","")</f>
        <v>#N/A</v>
      </c>
      <c r="X1311" s="7" t="e">
        <f>IF(VLOOKUP($A1311,'Concrete Beam Schedule'!$A$2:$Q$2902,X$2,0)&lt;&gt;H1311,"Beam Revised","")</f>
        <v>#N/A</v>
      </c>
      <c r="Y1311" s="7" t="e">
        <f>IF(VLOOKUP($A1311,'Concrete Beam Schedule'!$A$2:$Q$2902,Y$2,0)&lt;&gt;I1311,"Beam Revised","")</f>
        <v>#N/A</v>
      </c>
      <c r="Z1311" s="7" t="e">
        <f>IF(VLOOKUP($A1311,'Concrete Beam Schedule'!$A$2:$Q$2902,Z$2,0)&lt;&gt;J1311,"Beam Revised","")</f>
        <v>#N/A</v>
      </c>
      <c r="AA1311" s="7" t="e">
        <f>IF(VLOOKUP($A1311,'Concrete Beam Schedule'!$A$2:$Q$2902,AA$2,0)&lt;&gt;K1311,"Beam Revised","")</f>
        <v>#N/A</v>
      </c>
      <c r="AB1311" s="7" t="e">
        <f>IF(VLOOKUP($A1311,'Concrete Beam Schedule'!$A$2:$Q$2902,AB$2,0)&lt;&gt;L1311,"Beam Revised","")</f>
        <v>#N/A</v>
      </c>
      <c r="AC1311" s="7" t="e">
        <f>IF(VLOOKUP($A1311,'Concrete Beam Schedule'!$A$2:$Q$2902,AC$2,0)&lt;&gt;M1311,"Beam Revised","")</f>
        <v>#N/A</v>
      </c>
      <c r="AD1311" s="7" t="e">
        <f>IF(VLOOKUP($A1311,'Concrete Beam Schedule'!$A$2:$Q$2902,AD$2,0)&lt;&gt;N1311,"Beam Revised","")</f>
        <v>#N/A</v>
      </c>
      <c r="AE1311" s="7" t="e">
        <f>IF(VLOOKUP($A1311,'Concrete Beam Schedule'!$A$2:$Q$2902,AE$2,0)&lt;&gt;O1311,"Beam Revised","")</f>
        <v>#N/A</v>
      </c>
    </row>
    <row r="1312" spans="17:31" ht="13.2" x14ac:dyDescent="0.25">
      <c r="Q1312" s="7">
        <f t="shared" si="20"/>
        <v>0</v>
      </c>
      <c r="R1312" s="7" t="e">
        <f>IF(VLOOKUP($A1312,'Concrete Beam Schedule'!$A$2:$Q$2902,R$2,0)&lt;&gt;B1312,VLOOKUP($A1312,'Concrete Beam Schedule'!$A$2:$Q$2902,R$2,0),"")</f>
        <v>#N/A</v>
      </c>
      <c r="S1312" s="7" t="e">
        <f>IF(VLOOKUP($A1312,'Concrete Beam Schedule'!$A$2:$Q$2902,S$2,0)&lt;&gt;C1312,VLOOKUP($A1312,'Concrete Beam Schedule'!$A$2:$Q$2902,S$2,0),"")</f>
        <v>#N/A</v>
      </c>
      <c r="T1312" s="7" t="e">
        <f>IF(VLOOKUP($A1312,'Concrete Beam Schedule'!$A$2:$Q$2902,T$2,0)&lt;&gt;D1312,"Beam Revised","")</f>
        <v>#N/A</v>
      </c>
      <c r="U1312" s="7" t="e">
        <f>IF(VLOOKUP($A1312,'Concrete Beam Schedule'!$A$2:$Q$2902,U$2,0)&lt;&gt;E1312,"Beam Revised","")</f>
        <v>#N/A</v>
      </c>
      <c r="V1312" s="7" t="e">
        <f>IF(VLOOKUP($A1312,'Concrete Beam Schedule'!$A$2:$Q$2902,V$2,0)&lt;&gt;F1312,"Beam Revised","")</f>
        <v>#N/A</v>
      </c>
      <c r="W1312" s="7" t="e">
        <f>IF(VLOOKUP($A1312,'Concrete Beam Schedule'!$A$2:$Q$2902,W$2,0)&lt;&gt;G1312,"Beam Revised","")</f>
        <v>#N/A</v>
      </c>
      <c r="X1312" s="7" t="e">
        <f>IF(VLOOKUP($A1312,'Concrete Beam Schedule'!$A$2:$Q$2902,X$2,0)&lt;&gt;H1312,"Beam Revised","")</f>
        <v>#N/A</v>
      </c>
      <c r="Y1312" s="7" t="e">
        <f>IF(VLOOKUP($A1312,'Concrete Beam Schedule'!$A$2:$Q$2902,Y$2,0)&lt;&gt;I1312,"Beam Revised","")</f>
        <v>#N/A</v>
      </c>
      <c r="Z1312" s="7" t="e">
        <f>IF(VLOOKUP($A1312,'Concrete Beam Schedule'!$A$2:$Q$2902,Z$2,0)&lt;&gt;J1312,"Beam Revised","")</f>
        <v>#N/A</v>
      </c>
      <c r="AA1312" s="7" t="e">
        <f>IF(VLOOKUP($A1312,'Concrete Beam Schedule'!$A$2:$Q$2902,AA$2,0)&lt;&gt;K1312,"Beam Revised","")</f>
        <v>#N/A</v>
      </c>
      <c r="AB1312" s="7" t="e">
        <f>IF(VLOOKUP($A1312,'Concrete Beam Schedule'!$A$2:$Q$2902,AB$2,0)&lt;&gt;L1312,"Beam Revised","")</f>
        <v>#N/A</v>
      </c>
      <c r="AC1312" s="7" t="e">
        <f>IF(VLOOKUP($A1312,'Concrete Beam Schedule'!$A$2:$Q$2902,AC$2,0)&lt;&gt;M1312,"Beam Revised","")</f>
        <v>#N/A</v>
      </c>
      <c r="AD1312" s="7" t="e">
        <f>IF(VLOOKUP($A1312,'Concrete Beam Schedule'!$A$2:$Q$2902,AD$2,0)&lt;&gt;N1312,"Beam Revised","")</f>
        <v>#N/A</v>
      </c>
      <c r="AE1312" s="7" t="e">
        <f>IF(VLOOKUP($A1312,'Concrete Beam Schedule'!$A$2:$Q$2902,AE$2,0)&lt;&gt;O1312,"Beam Revised","")</f>
        <v>#N/A</v>
      </c>
    </row>
    <row r="1313" spans="17:31" ht="13.2" x14ac:dyDescent="0.25">
      <c r="Q1313" s="7">
        <f t="shared" si="20"/>
        <v>0</v>
      </c>
      <c r="R1313" s="7" t="e">
        <f>IF(VLOOKUP($A1313,'Concrete Beam Schedule'!$A$2:$Q$2902,R$2,0)&lt;&gt;B1313,VLOOKUP($A1313,'Concrete Beam Schedule'!$A$2:$Q$2902,R$2,0),"")</f>
        <v>#N/A</v>
      </c>
      <c r="S1313" s="7" t="e">
        <f>IF(VLOOKUP($A1313,'Concrete Beam Schedule'!$A$2:$Q$2902,S$2,0)&lt;&gt;C1313,VLOOKUP($A1313,'Concrete Beam Schedule'!$A$2:$Q$2902,S$2,0),"")</f>
        <v>#N/A</v>
      </c>
      <c r="T1313" s="7" t="e">
        <f>IF(VLOOKUP($A1313,'Concrete Beam Schedule'!$A$2:$Q$2902,T$2,0)&lt;&gt;D1313,"Beam Revised","")</f>
        <v>#N/A</v>
      </c>
      <c r="U1313" s="7" t="e">
        <f>IF(VLOOKUP($A1313,'Concrete Beam Schedule'!$A$2:$Q$2902,U$2,0)&lt;&gt;E1313,"Beam Revised","")</f>
        <v>#N/A</v>
      </c>
      <c r="V1313" s="7" t="e">
        <f>IF(VLOOKUP($A1313,'Concrete Beam Schedule'!$A$2:$Q$2902,V$2,0)&lt;&gt;F1313,"Beam Revised","")</f>
        <v>#N/A</v>
      </c>
      <c r="W1313" s="7" t="e">
        <f>IF(VLOOKUP($A1313,'Concrete Beam Schedule'!$A$2:$Q$2902,W$2,0)&lt;&gt;G1313,"Beam Revised","")</f>
        <v>#N/A</v>
      </c>
      <c r="X1313" s="7" t="e">
        <f>IF(VLOOKUP($A1313,'Concrete Beam Schedule'!$A$2:$Q$2902,X$2,0)&lt;&gt;H1313,"Beam Revised","")</f>
        <v>#N/A</v>
      </c>
      <c r="Y1313" s="7" t="e">
        <f>IF(VLOOKUP($A1313,'Concrete Beam Schedule'!$A$2:$Q$2902,Y$2,0)&lt;&gt;I1313,"Beam Revised","")</f>
        <v>#N/A</v>
      </c>
      <c r="Z1313" s="7" t="e">
        <f>IF(VLOOKUP($A1313,'Concrete Beam Schedule'!$A$2:$Q$2902,Z$2,0)&lt;&gt;J1313,"Beam Revised","")</f>
        <v>#N/A</v>
      </c>
      <c r="AA1313" s="7" t="e">
        <f>IF(VLOOKUP($A1313,'Concrete Beam Schedule'!$A$2:$Q$2902,AA$2,0)&lt;&gt;K1313,"Beam Revised","")</f>
        <v>#N/A</v>
      </c>
      <c r="AB1313" s="7" t="e">
        <f>IF(VLOOKUP($A1313,'Concrete Beam Schedule'!$A$2:$Q$2902,AB$2,0)&lt;&gt;L1313,"Beam Revised","")</f>
        <v>#N/A</v>
      </c>
      <c r="AC1313" s="7" t="e">
        <f>IF(VLOOKUP($A1313,'Concrete Beam Schedule'!$A$2:$Q$2902,AC$2,0)&lt;&gt;M1313,"Beam Revised","")</f>
        <v>#N/A</v>
      </c>
      <c r="AD1313" s="7" t="e">
        <f>IF(VLOOKUP($A1313,'Concrete Beam Schedule'!$A$2:$Q$2902,AD$2,0)&lt;&gt;N1313,"Beam Revised","")</f>
        <v>#N/A</v>
      </c>
      <c r="AE1313" s="7" t="e">
        <f>IF(VLOOKUP($A1313,'Concrete Beam Schedule'!$A$2:$Q$2902,AE$2,0)&lt;&gt;O1313,"Beam Revised","")</f>
        <v>#N/A</v>
      </c>
    </row>
    <row r="1314" spans="17:31" ht="13.2" x14ac:dyDescent="0.25">
      <c r="Q1314" s="7">
        <f t="shared" si="20"/>
        <v>0</v>
      </c>
      <c r="R1314" s="7" t="e">
        <f>IF(VLOOKUP($A1314,'Concrete Beam Schedule'!$A$2:$Q$2902,R$2,0)&lt;&gt;B1314,VLOOKUP($A1314,'Concrete Beam Schedule'!$A$2:$Q$2902,R$2,0),"")</f>
        <v>#N/A</v>
      </c>
      <c r="S1314" s="7" t="e">
        <f>IF(VLOOKUP($A1314,'Concrete Beam Schedule'!$A$2:$Q$2902,S$2,0)&lt;&gt;C1314,VLOOKUP($A1314,'Concrete Beam Schedule'!$A$2:$Q$2902,S$2,0),"")</f>
        <v>#N/A</v>
      </c>
      <c r="T1314" s="7" t="e">
        <f>IF(VLOOKUP($A1314,'Concrete Beam Schedule'!$A$2:$Q$2902,T$2,0)&lt;&gt;D1314,"Beam Revised","")</f>
        <v>#N/A</v>
      </c>
      <c r="U1314" s="7" t="e">
        <f>IF(VLOOKUP($A1314,'Concrete Beam Schedule'!$A$2:$Q$2902,U$2,0)&lt;&gt;E1314,"Beam Revised","")</f>
        <v>#N/A</v>
      </c>
      <c r="V1314" s="7" t="e">
        <f>IF(VLOOKUP($A1314,'Concrete Beam Schedule'!$A$2:$Q$2902,V$2,0)&lt;&gt;F1314,"Beam Revised","")</f>
        <v>#N/A</v>
      </c>
      <c r="W1314" s="7" t="e">
        <f>IF(VLOOKUP($A1314,'Concrete Beam Schedule'!$A$2:$Q$2902,W$2,0)&lt;&gt;G1314,"Beam Revised","")</f>
        <v>#N/A</v>
      </c>
      <c r="X1314" s="7" t="e">
        <f>IF(VLOOKUP($A1314,'Concrete Beam Schedule'!$A$2:$Q$2902,X$2,0)&lt;&gt;H1314,"Beam Revised","")</f>
        <v>#N/A</v>
      </c>
      <c r="Y1314" s="7" t="e">
        <f>IF(VLOOKUP($A1314,'Concrete Beam Schedule'!$A$2:$Q$2902,Y$2,0)&lt;&gt;I1314,"Beam Revised","")</f>
        <v>#N/A</v>
      </c>
      <c r="Z1314" s="7" t="e">
        <f>IF(VLOOKUP($A1314,'Concrete Beam Schedule'!$A$2:$Q$2902,Z$2,0)&lt;&gt;J1314,"Beam Revised","")</f>
        <v>#N/A</v>
      </c>
      <c r="AA1314" s="7" t="e">
        <f>IF(VLOOKUP($A1314,'Concrete Beam Schedule'!$A$2:$Q$2902,AA$2,0)&lt;&gt;K1314,"Beam Revised","")</f>
        <v>#N/A</v>
      </c>
      <c r="AB1314" s="7" t="e">
        <f>IF(VLOOKUP($A1314,'Concrete Beam Schedule'!$A$2:$Q$2902,AB$2,0)&lt;&gt;L1314,"Beam Revised","")</f>
        <v>#N/A</v>
      </c>
      <c r="AC1314" s="7" t="e">
        <f>IF(VLOOKUP($A1314,'Concrete Beam Schedule'!$A$2:$Q$2902,AC$2,0)&lt;&gt;M1314,"Beam Revised","")</f>
        <v>#N/A</v>
      </c>
      <c r="AD1314" s="7" t="e">
        <f>IF(VLOOKUP($A1314,'Concrete Beam Schedule'!$A$2:$Q$2902,AD$2,0)&lt;&gt;N1314,"Beam Revised","")</f>
        <v>#N/A</v>
      </c>
      <c r="AE1314" s="7" t="e">
        <f>IF(VLOOKUP($A1314,'Concrete Beam Schedule'!$A$2:$Q$2902,AE$2,0)&lt;&gt;O1314,"Beam Revised","")</f>
        <v>#N/A</v>
      </c>
    </row>
    <row r="1315" spans="17:31" ht="13.2" x14ac:dyDescent="0.25">
      <c r="Q1315" s="7">
        <f t="shared" si="20"/>
        <v>0</v>
      </c>
      <c r="R1315" s="7" t="e">
        <f>IF(VLOOKUP($A1315,'Concrete Beam Schedule'!$A$2:$Q$2902,R$2,0)&lt;&gt;B1315,VLOOKUP($A1315,'Concrete Beam Schedule'!$A$2:$Q$2902,R$2,0),"")</f>
        <v>#N/A</v>
      </c>
      <c r="S1315" s="7" t="e">
        <f>IF(VLOOKUP($A1315,'Concrete Beam Schedule'!$A$2:$Q$2902,S$2,0)&lt;&gt;C1315,VLOOKUP($A1315,'Concrete Beam Schedule'!$A$2:$Q$2902,S$2,0),"")</f>
        <v>#N/A</v>
      </c>
      <c r="T1315" s="7" t="e">
        <f>IF(VLOOKUP($A1315,'Concrete Beam Schedule'!$A$2:$Q$2902,T$2,0)&lt;&gt;D1315,"Beam Revised","")</f>
        <v>#N/A</v>
      </c>
      <c r="U1315" s="7" t="e">
        <f>IF(VLOOKUP($A1315,'Concrete Beam Schedule'!$A$2:$Q$2902,U$2,0)&lt;&gt;E1315,"Beam Revised","")</f>
        <v>#N/A</v>
      </c>
      <c r="V1315" s="7" t="e">
        <f>IF(VLOOKUP($A1315,'Concrete Beam Schedule'!$A$2:$Q$2902,V$2,0)&lt;&gt;F1315,"Beam Revised","")</f>
        <v>#N/A</v>
      </c>
      <c r="W1315" s="7" t="e">
        <f>IF(VLOOKUP($A1315,'Concrete Beam Schedule'!$A$2:$Q$2902,W$2,0)&lt;&gt;G1315,"Beam Revised","")</f>
        <v>#N/A</v>
      </c>
      <c r="X1315" s="7" t="e">
        <f>IF(VLOOKUP($A1315,'Concrete Beam Schedule'!$A$2:$Q$2902,X$2,0)&lt;&gt;H1315,"Beam Revised","")</f>
        <v>#N/A</v>
      </c>
      <c r="Y1315" s="7" t="e">
        <f>IF(VLOOKUP($A1315,'Concrete Beam Schedule'!$A$2:$Q$2902,Y$2,0)&lt;&gt;I1315,"Beam Revised","")</f>
        <v>#N/A</v>
      </c>
      <c r="Z1315" s="7" t="e">
        <f>IF(VLOOKUP($A1315,'Concrete Beam Schedule'!$A$2:$Q$2902,Z$2,0)&lt;&gt;J1315,"Beam Revised","")</f>
        <v>#N/A</v>
      </c>
      <c r="AA1315" s="7" t="e">
        <f>IF(VLOOKUP($A1315,'Concrete Beam Schedule'!$A$2:$Q$2902,AA$2,0)&lt;&gt;K1315,"Beam Revised","")</f>
        <v>#N/A</v>
      </c>
      <c r="AB1315" s="7" t="e">
        <f>IF(VLOOKUP($A1315,'Concrete Beam Schedule'!$A$2:$Q$2902,AB$2,0)&lt;&gt;L1315,"Beam Revised","")</f>
        <v>#N/A</v>
      </c>
      <c r="AC1315" s="7" t="e">
        <f>IF(VLOOKUP($A1315,'Concrete Beam Schedule'!$A$2:$Q$2902,AC$2,0)&lt;&gt;M1315,"Beam Revised","")</f>
        <v>#N/A</v>
      </c>
      <c r="AD1315" s="7" t="e">
        <f>IF(VLOOKUP($A1315,'Concrete Beam Schedule'!$A$2:$Q$2902,AD$2,0)&lt;&gt;N1315,"Beam Revised","")</f>
        <v>#N/A</v>
      </c>
      <c r="AE1315" s="7" t="e">
        <f>IF(VLOOKUP($A1315,'Concrete Beam Schedule'!$A$2:$Q$2902,AE$2,0)&lt;&gt;O1315,"Beam Revised","")</f>
        <v>#N/A</v>
      </c>
    </row>
    <row r="1316" spans="17:31" ht="13.2" x14ac:dyDescent="0.25">
      <c r="Q1316" s="7">
        <f t="shared" si="20"/>
        <v>0</v>
      </c>
      <c r="R1316" s="7" t="e">
        <f>IF(VLOOKUP($A1316,'Concrete Beam Schedule'!$A$2:$Q$2902,R$2,0)&lt;&gt;B1316,VLOOKUP($A1316,'Concrete Beam Schedule'!$A$2:$Q$2902,R$2,0),"")</f>
        <v>#N/A</v>
      </c>
      <c r="S1316" s="7" t="e">
        <f>IF(VLOOKUP($A1316,'Concrete Beam Schedule'!$A$2:$Q$2902,S$2,0)&lt;&gt;C1316,VLOOKUP($A1316,'Concrete Beam Schedule'!$A$2:$Q$2902,S$2,0),"")</f>
        <v>#N/A</v>
      </c>
      <c r="T1316" s="7" t="e">
        <f>IF(VLOOKUP($A1316,'Concrete Beam Schedule'!$A$2:$Q$2902,T$2,0)&lt;&gt;D1316,"Beam Revised","")</f>
        <v>#N/A</v>
      </c>
      <c r="U1316" s="7" t="e">
        <f>IF(VLOOKUP($A1316,'Concrete Beam Schedule'!$A$2:$Q$2902,U$2,0)&lt;&gt;E1316,"Beam Revised","")</f>
        <v>#N/A</v>
      </c>
      <c r="V1316" s="7" t="e">
        <f>IF(VLOOKUP($A1316,'Concrete Beam Schedule'!$A$2:$Q$2902,V$2,0)&lt;&gt;F1316,"Beam Revised","")</f>
        <v>#N/A</v>
      </c>
      <c r="W1316" s="7" t="e">
        <f>IF(VLOOKUP($A1316,'Concrete Beam Schedule'!$A$2:$Q$2902,W$2,0)&lt;&gt;G1316,"Beam Revised","")</f>
        <v>#N/A</v>
      </c>
      <c r="X1316" s="7" t="e">
        <f>IF(VLOOKUP($A1316,'Concrete Beam Schedule'!$A$2:$Q$2902,X$2,0)&lt;&gt;H1316,"Beam Revised","")</f>
        <v>#N/A</v>
      </c>
      <c r="Y1316" s="7" t="e">
        <f>IF(VLOOKUP($A1316,'Concrete Beam Schedule'!$A$2:$Q$2902,Y$2,0)&lt;&gt;I1316,"Beam Revised","")</f>
        <v>#N/A</v>
      </c>
      <c r="Z1316" s="7" t="e">
        <f>IF(VLOOKUP($A1316,'Concrete Beam Schedule'!$A$2:$Q$2902,Z$2,0)&lt;&gt;J1316,"Beam Revised","")</f>
        <v>#N/A</v>
      </c>
      <c r="AA1316" s="7" t="e">
        <f>IF(VLOOKUP($A1316,'Concrete Beam Schedule'!$A$2:$Q$2902,AA$2,0)&lt;&gt;K1316,"Beam Revised","")</f>
        <v>#N/A</v>
      </c>
      <c r="AB1316" s="7" t="e">
        <f>IF(VLOOKUP($A1316,'Concrete Beam Schedule'!$A$2:$Q$2902,AB$2,0)&lt;&gt;L1316,"Beam Revised","")</f>
        <v>#N/A</v>
      </c>
      <c r="AC1316" s="7" t="e">
        <f>IF(VLOOKUP($A1316,'Concrete Beam Schedule'!$A$2:$Q$2902,AC$2,0)&lt;&gt;M1316,"Beam Revised","")</f>
        <v>#N/A</v>
      </c>
      <c r="AD1316" s="7" t="e">
        <f>IF(VLOOKUP($A1316,'Concrete Beam Schedule'!$A$2:$Q$2902,AD$2,0)&lt;&gt;N1316,"Beam Revised","")</f>
        <v>#N/A</v>
      </c>
      <c r="AE1316" s="7" t="e">
        <f>IF(VLOOKUP($A1316,'Concrete Beam Schedule'!$A$2:$Q$2902,AE$2,0)&lt;&gt;O1316,"Beam Revised","")</f>
        <v>#N/A</v>
      </c>
    </row>
    <row r="1317" spans="17:31" ht="13.2" x14ac:dyDescent="0.25">
      <c r="Q1317" s="7">
        <f t="shared" si="20"/>
        <v>0</v>
      </c>
      <c r="R1317" s="7" t="e">
        <f>IF(VLOOKUP($A1317,'Concrete Beam Schedule'!$A$2:$Q$2902,R$2,0)&lt;&gt;B1317,VLOOKUP($A1317,'Concrete Beam Schedule'!$A$2:$Q$2902,R$2,0),"")</f>
        <v>#N/A</v>
      </c>
      <c r="S1317" s="7" t="e">
        <f>IF(VLOOKUP($A1317,'Concrete Beam Schedule'!$A$2:$Q$2902,S$2,0)&lt;&gt;C1317,VLOOKUP($A1317,'Concrete Beam Schedule'!$A$2:$Q$2902,S$2,0),"")</f>
        <v>#N/A</v>
      </c>
      <c r="T1317" s="7" t="e">
        <f>IF(VLOOKUP($A1317,'Concrete Beam Schedule'!$A$2:$Q$2902,T$2,0)&lt;&gt;D1317,"Beam Revised","")</f>
        <v>#N/A</v>
      </c>
      <c r="U1317" s="7" t="e">
        <f>IF(VLOOKUP($A1317,'Concrete Beam Schedule'!$A$2:$Q$2902,U$2,0)&lt;&gt;E1317,"Beam Revised","")</f>
        <v>#N/A</v>
      </c>
      <c r="V1317" s="7" t="e">
        <f>IF(VLOOKUP($A1317,'Concrete Beam Schedule'!$A$2:$Q$2902,V$2,0)&lt;&gt;F1317,"Beam Revised","")</f>
        <v>#N/A</v>
      </c>
      <c r="W1317" s="7" t="e">
        <f>IF(VLOOKUP($A1317,'Concrete Beam Schedule'!$A$2:$Q$2902,W$2,0)&lt;&gt;G1317,"Beam Revised","")</f>
        <v>#N/A</v>
      </c>
      <c r="X1317" s="7" t="e">
        <f>IF(VLOOKUP($A1317,'Concrete Beam Schedule'!$A$2:$Q$2902,X$2,0)&lt;&gt;H1317,"Beam Revised","")</f>
        <v>#N/A</v>
      </c>
      <c r="Y1317" s="7" t="e">
        <f>IF(VLOOKUP($A1317,'Concrete Beam Schedule'!$A$2:$Q$2902,Y$2,0)&lt;&gt;I1317,"Beam Revised","")</f>
        <v>#N/A</v>
      </c>
      <c r="Z1317" s="7" t="e">
        <f>IF(VLOOKUP($A1317,'Concrete Beam Schedule'!$A$2:$Q$2902,Z$2,0)&lt;&gt;J1317,"Beam Revised","")</f>
        <v>#N/A</v>
      </c>
      <c r="AA1317" s="7" t="e">
        <f>IF(VLOOKUP($A1317,'Concrete Beam Schedule'!$A$2:$Q$2902,AA$2,0)&lt;&gt;K1317,"Beam Revised","")</f>
        <v>#N/A</v>
      </c>
      <c r="AB1317" s="7" t="e">
        <f>IF(VLOOKUP($A1317,'Concrete Beam Schedule'!$A$2:$Q$2902,AB$2,0)&lt;&gt;L1317,"Beam Revised","")</f>
        <v>#N/A</v>
      </c>
      <c r="AC1317" s="7" t="e">
        <f>IF(VLOOKUP($A1317,'Concrete Beam Schedule'!$A$2:$Q$2902,AC$2,0)&lt;&gt;M1317,"Beam Revised","")</f>
        <v>#N/A</v>
      </c>
      <c r="AD1317" s="7" t="e">
        <f>IF(VLOOKUP($A1317,'Concrete Beam Schedule'!$A$2:$Q$2902,AD$2,0)&lt;&gt;N1317,"Beam Revised","")</f>
        <v>#N/A</v>
      </c>
      <c r="AE1317" s="7" t="e">
        <f>IF(VLOOKUP($A1317,'Concrete Beam Schedule'!$A$2:$Q$2902,AE$2,0)&lt;&gt;O1317,"Beam Revised","")</f>
        <v>#N/A</v>
      </c>
    </row>
    <row r="1318" spans="17:31" ht="13.2" x14ac:dyDescent="0.25">
      <c r="Q1318" s="7">
        <f t="shared" si="20"/>
        <v>0</v>
      </c>
      <c r="R1318" s="7" t="e">
        <f>IF(VLOOKUP($A1318,'Concrete Beam Schedule'!$A$2:$Q$2902,R$2,0)&lt;&gt;B1318,VLOOKUP($A1318,'Concrete Beam Schedule'!$A$2:$Q$2902,R$2,0),"")</f>
        <v>#N/A</v>
      </c>
      <c r="S1318" s="7" t="e">
        <f>IF(VLOOKUP($A1318,'Concrete Beam Schedule'!$A$2:$Q$2902,S$2,0)&lt;&gt;C1318,VLOOKUP($A1318,'Concrete Beam Schedule'!$A$2:$Q$2902,S$2,0),"")</f>
        <v>#N/A</v>
      </c>
      <c r="T1318" s="7" t="e">
        <f>IF(VLOOKUP($A1318,'Concrete Beam Schedule'!$A$2:$Q$2902,T$2,0)&lt;&gt;D1318,"Beam Revised","")</f>
        <v>#N/A</v>
      </c>
      <c r="U1318" s="7" t="e">
        <f>IF(VLOOKUP($A1318,'Concrete Beam Schedule'!$A$2:$Q$2902,U$2,0)&lt;&gt;E1318,"Beam Revised","")</f>
        <v>#N/A</v>
      </c>
      <c r="V1318" s="7" t="e">
        <f>IF(VLOOKUP($A1318,'Concrete Beam Schedule'!$A$2:$Q$2902,V$2,0)&lt;&gt;F1318,"Beam Revised","")</f>
        <v>#N/A</v>
      </c>
      <c r="W1318" s="7" t="e">
        <f>IF(VLOOKUP($A1318,'Concrete Beam Schedule'!$A$2:$Q$2902,W$2,0)&lt;&gt;G1318,"Beam Revised","")</f>
        <v>#N/A</v>
      </c>
      <c r="X1318" s="7" t="e">
        <f>IF(VLOOKUP($A1318,'Concrete Beam Schedule'!$A$2:$Q$2902,X$2,0)&lt;&gt;H1318,"Beam Revised","")</f>
        <v>#N/A</v>
      </c>
      <c r="Y1318" s="7" t="e">
        <f>IF(VLOOKUP($A1318,'Concrete Beam Schedule'!$A$2:$Q$2902,Y$2,0)&lt;&gt;I1318,"Beam Revised","")</f>
        <v>#N/A</v>
      </c>
      <c r="Z1318" s="7" t="e">
        <f>IF(VLOOKUP($A1318,'Concrete Beam Schedule'!$A$2:$Q$2902,Z$2,0)&lt;&gt;J1318,"Beam Revised","")</f>
        <v>#N/A</v>
      </c>
      <c r="AA1318" s="7" t="e">
        <f>IF(VLOOKUP($A1318,'Concrete Beam Schedule'!$A$2:$Q$2902,AA$2,0)&lt;&gt;K1318,"Beam Revised","")</f>
        <v>#N/A</v>
      </c>
      <c r="AB1318" s="7" t="e">
        <f>IF(VLOOKUP($A1318,'Concrete Beam Schedule'!$A$2:$Q$2902,AB$2,0)&lt;&gt;L1318,"Beam Revised","")</f>
        <v>#N/A</v>
      </c>
      <c r="AC1318" s="7" t="e">
        <f>IF(VLOOKUP($A1318,'Concrete Beam Schedule'!$A$2:$Q$2902,AC$2,0)&lt;&gt;M1318,"Beam Revised","")</f>
        <v>#N/A</v>
      </c>
      <c r="AD1318" s="7" t="e">
        <f>IF(VLOOKUP($A1318,'Concrete Beam Schedule'!$A$2:$Q$2902,AD$2,0)&lt;&gt;N1318,"Beam Revised","")</f>
        <v>#N/A</v>
      </c>
      <c r="AE1318" s="7" t="e">
        <f>IF(VLOOKUP($A1318,'Concrete Beam Schedule'!$A$2:$Q$2902,AE$2,0)&lt;&gt;O1318,"Beam Revised","")</f>
        <v>#N/A</v>
      </c>
    </row>
    <row r="1319" spans="17:31" ht="13.2" x14ac:dyDescent="0.25">
      <c r="Q1319" s="7">
        <f t="shared" si="20"/>
        <v>0</v>
      </c>
      <c r="R1319" s="7" t="e">
        <f>IF(VLOOKUP($A1319,'Concrete Beam Schedule'!$A$2:$Q$2902,R$2,0)&lt;&gt;B1319,VLOOKUP($A1319,'Concrete Beam Schedule'!$A$2:$Q$2902,R$2,0),"")</f>
        <v>#N/A</v>
      </c>
      <c r="S1319" s="7" t="e">
        <f>IF(VLOOKUP($A1319,'Concrete Beam Schedule'!$A$2:$Q$2902,S$2,0)&lt;&gt;C1319,VLOOKUP($A1319,'Concrete Beam Schedule'!$A$2:$Q$2902,S$2,0),"")</f>
        <v>#N/A</v>
      </c>
      <c r="T1319" s="7" t="e">
        <f>IF(VLOOKUP($A1319,'Concrete Beam Schedule'!$A$2:$Q$2902,T$2,0)&lt;&gt;D1319,"Beam Revised","")</f>
        <v>#N/A</v>
      </c>
      <c r="U1319" s="7" t="e">
        <f>IF(VLOOKUP($A1319,'Concrete Beam Schedule'!$A$2:$Q$2902,U$2,0)&lt;&gt;E1319,"Beam Revised","")</f>
        <v>#N/A</v>
      </c>
      <c r="V1319" s="7" t="e">
        <f>IF(VLOOKUP($A1319,'Concrete Beam Schedule'!$A$2:$Q$2902,V$2,0)&lt;&gt;F1319,"Beam Revised","")</f>
        <v>#N/A</v>
      </c>
      <c r="W1319" s="7" t="e">
        <f>IF(VLOOKUP($A1319,'Concrete Beam Schedule'!$A$2:$Q$2902,W$2,0)&lt;&gt;G1319,"Beam Revised","")</f>
        <v>#N/A</v>
      </c>
      <c r="X1319" s="7" t="e">
        <f>IF(VLOOKUP($A1319,'Concrete Beam Schedule'!$A$2:$Q$2902,X$2,0)&lt;&gt;H1319,"Beam Revised","")</f>
        <v>#N/A</v>
      </c>
      <c r="Y1319" s="7" t="e">
        <f>IF(VLOOKUP($A1319,'Concrete Beam Schedule'!$A$2:$Q$2902,Y$2,0)&lt;&gt;I1319,"Beam Revised","")</f>
        <v>#N/A</v>
      </c>
      <c r="Z1319" s="7" t="e">
        <f>IF(VLOOKUP($A1319,'Concrete Beam Schedule'!$A$2:$Q$2902,Z$2,0)&lt;&gt;J1319,"Beam Revised","")</f>
        <v>#N/A</v>
      </c>
      <c r="AA1319" s="7" t="e">
        <f>IF(VLOOKUP($A1319,'Concrete Beam Schedule'!$A$2:$Q$2902,AA$2,0)&lt;&gt;K1319,"Beam Revised","")</f>
        <v>#N/A</v>
      </c>
      <c r="AB1319" s="7" t="e">
        <f>IF(VLOOKUP($A1319,'Concrete Beam Schedule'!$A$2:$Q$2902,AB$2,0)&lt;&gt;L1319,"Beam Revised","")</f>
        <v>#N/A</v>
      </c>
      <c r="AC1319" s="7" t="e">
        <f>IF(VLOOKUP($A1319,'Concrete Beam Schedule'!$A$2:$Q$2902,AC$2,0)&lt;&gt;M1319,"Beam Revised","")</f>
        <v>#N/A</v>
      </c>
      <c r="AD1319" s="7" t="e">
        <f>IF(VLOOKUP($A1319,'Concrete Beam Schedule'!$A$2:$Q$2902,AD$2,0)&lt;&gt;N1319,"Beam Revised","")</f>
        <v>#N/A</v>
      </c>
      <c r="AE1319" s="7" t="e">
        <f>IF(VLOOKUP($A1319,'Concrete Beam Schedule'!$A$2:$Q$2902,AE$2,0)&lt;&gt;O1319,"Beam Revised","")</f>
        <v>#N/A</v>
      </c>
    </row>
    <row r="1320" spans="17:31" ht="13.2" x14ac:dyDescent="0.25">
      <c r="Q1320" s="7">
        <f t="shared" si="20"/>
        <v>0</v>
      </c>
      <c r="R1320" s="7" t="e">
        <f>IF(VLOOKUP($A1320,'Concrete Beam Schedule'!$A$2:$Q$2902,R$2,0)&lt;&gt;B1320,VLOOKUP($A1320,'Concrete Beam Schedule'!$A$2:$Q$2902,R$2,0),"")</f>
        <v>#N/A</v>
      </c>
      <c r="S1320" s="7" t="e">
        <f>IF(VLOOKUP($A1320,'Concrete Beam Schedule'!$A$2:$Q$2902,S$2,0)&lt;&gt;C1320,VLOOKUP($A1320,'Concrete Beam Schedule'!$A$2:$Q$2902,S$2,0),"")</f>
        <v>#N/A</v>
      </c>
      <c r="T1320" s="7" t="e">
        <f>IF(VLOOKUP($A1320,'Concrete Beam Schedule'!$A$2:$Q$2902,T$2,0)&lt;&gt;D1320,"Beam Revised","")</f>
        <v>#N/A</v>
      </c>
      <c r="U1320" s="7" t="e">
        <f>IF(VLOOKUP($A1320,'Concrete Beam Schedule'!$A$2:$Q$2902,U$2,0)&lt;&gt;E1320,"Beam Revised","")</f>
        <v>#N/A</v>
      </c>
      <c r="V1320" s="7" t="e">
        <f>IF(VLOOKUP($A1320,'Concrete Beam Schedule'!$A$2:$Q$2902,V$2,0)&lt;&gt;F1320,"Beam Revised","")</f>
        <v>#N/A</v>
      </c>
      <c r="W1320" s="7" t="e">
        <f>IF(VLOOKUP($A1320,'Concrete Beam Schedule'!$A$2:$Q$2902,W$2,0)&lt;&gt;G1320,"Beam Revised","")</f>
        <v>#N/A</v>
      </c>
      <c r="X1320" s="7" t="e">
        <f>IF(VLOOKUP($A1320,'Concrete Beam Schedule'!$A$2:$Q$2902,X$2,0)&lt;&gt;H1320,"Beam Revised","")</f>
        <v>#N/A</v>
      </c>
      <c r="Y1320" s="7" t="e">
        <f>IF(VLOOKUP($A1320,'Concrete Beam Schedule'!$A$2:$Q$2902,Y$2,0)&lt;&gt;I1320,"Beam Revised","")</f>
        <v>#N/A</v>
      </c>
      <c r="Z1320" s="7" t="e">
        <f>IF(VLOOKUP($A1320,'Concrete Beam Schedule'!$A$2:$Q$2902,Z$2,0)&lt;&gt;J1320,"Beam Revised","")</f>
        <v>#N/A</v>
      </c>
      <c r="AA1320" s="7" t="e">
        <f>IF(VLOOKUP($A1320,'Concrete Beam Schedule'!$A$2:$Q$2902,AA$2,0)&lt;&gt;K1320,"Beam Revised","")</f>
        <v>#N/A</v>
      </c>
      <c r="AB1320" s="7" t="e">
        <f>IF(VLOOKUP($A1320,'Concrete Beam Schedule'!$A$2:$Q$2902,AB$2,0)&lt;&gt;L1320,"Beam Revised","")</f>
        <v>#N/A</v>
      </c>
      <c r="AC1320" s="7" t="e">
        <f>IF(VLOOKUP($A1320,'Concrete Beam Schedule'!$A$2:$Q$2902,AC$2,0)&lt;&gt;M1320,"Beam Revised","")</f>
        <v>#N/A</v>
      </c>
      <c r="AD1320" s="7" t="e">
        <f>IF(VLOOKUP($A1320,'Concrete Beam Schedule'!$A$2:$Q$2902,AD$2,0)&lt;&gt;N1320,"Beam Revised","")</f>
        <v>#N/A</v>
      </c>
      <c r="AE1320" s="7" t="e">
        <f>IF(VLOOKUP($A1320,'Concrete Beam Schedule'!$A$2:$Q$2902,AE$2,0)&lt;&gt;O1320,"Beam Revised","")</f>
        <v>#N/A</v>
      </c>
    </row>
    <row r="1321" spans="17:31" ht="13.2" x14ac:dyDescent="0.25">
      <c r="Q1321" s="7">
        <f t="shared" si="20"/>
        <v>0</v>
      </c>
      <c r="R1321" s="7" t="e">
        <f>IF(VLOOKUP($A1321,'Concrete Beam Schedule'!$A$2:$Q$2902,R$2,0)&lt;&gt;B1321,VLOOKUP($A1321,'Concrete Beam Schedule'!$A$2:$Q$2902,R$2,0),"")</f>
        <v>#N/A</v>
      </c>
      <c r="S1321" s="7" t="e">
        <f>IF(VLOOKUP($A1321,'Concrete Beam Schedule'!$A$2:$Q$2902,S$2,0)&lt;&gt;C1321,VLOOKUP($A1321,'Concrete Beam Schedule'!$A$2:$Q$2902,S$2,0),"")</f>
        <v>#N/A</v>
      </c>
      <c r="T1321" s="7" t="e">
        <f>IF(VLOOKUP($A1321,'Concrete Beam Schedule'!$A$2:$Q$2902,T$2,0)&lt;&gt;D1321,"Beam Revised","")</f>
        <v>#N/A</v>
      </c>
      <c r="U1321" s="7" t="e">
        <f>IF(VLOOKUP($A1321,'Concrete Beam Schedule'!$A$2:$Q$2902,U$2,0)&lt;&gt;E1321,"Beam Revised","")</f>
        <v>#N/A</v>
      </c>
      <c r="V1321" s="7" t="e">
        <f>IF(VLOOKUP($A1321,'Concrete Beam Schedule'!$A$2:$Q$2902,V$2,0)&lt;&gt;F1321,"Beam Revised","")</f>
        <v>#N/A</v>
      </c>
      <c r="W1321" s="7" t="e">
        <f>IF(VLOOKUP($A1321,'Concrete Beam Schedule'!$A$2:$Q$2902,W$2,0)&lt;&gt;G1321,"Beam Revised","")</f>
        <v>#N/A</v>
      </c>
      <c r="X1321" s="7" t="e">
        <f>IF(VLOOKUP($A1321,'Concrete Beam Schedule'!$A$2:$Q$2902,X$2,0)&lt;&gt;H1321,"Beam Revised","")</f>
        <v>#N/A</v>
      </c>
      <c r="Y1321" s="7" t="e">
        <f>IF(VLOOKUP($A1321,'Concrete Beam Schedule'!$A$2:$Q$2902,Y$2,0)&lt;&gt;I1321,"Beam Revised","")</f>
        <v>#N/A</v>
      </c>
      <c r="Z1321" s="7" t="e">
        <f>IF(VLOOKUP($A1321,'Concrete Beam Schedule'!$A$2:$Q$2902,Z$2,0)&lt;&gt;J1321,"Beam Revised","")</f>
        <v>#N/A</v>
      </c>
      <c r="AA1321" s="7" t="e">
        <f>IF(VLOOKUP($A1321,'Concrete Beam Schedule'!$A$2:$Q$2902,AA$2,0)&lt;&gt;K1321,"Beam Revised","")</f>
        <v>#N/A</v>
      </c>
      <c r="AB1321" s="7" t="e">
        <f>IF(VLOOKUP($A1321,'Concrete Beam Schedule'!$A$2:$Q$2902,AB$2,0)&lt;&gt;L1321,"Beam Revised","")</f>
        <v>#N/A</v>
      </c>
      <c r="AC1321" s="7" t="e">
        <f>IF(VLOOKUP($A1321,'Concrete Beam Schedule'!$A$2:$Q$2902,AC$2,0)&lt;&gt;M1321,"Beam Revised","")</f>
        <v>#N/A</v>
      </c>
      <c r="AD1321" s="7" t="e">
        <f>IF(VLOOKUP($A1321,'Concrete Beam Schedule'!$A$2:$Q$2902,AD$2,0)&lt;&gt;N1321,"Beam Revised","")</f>
        <v>#N/A</v>
      </c>
      <c r="AE1321" s="7" t="e">
        <f>IF(VLOOKUP($A1321,'Concrete Beam Schedule'!$A$2:$Q$2902,AE$2,0)&lt;&gt;O1321,"Beam Revised","")</f>
        <v>#N/A</v>
      </c>
    </row>
    <row r="1322" spans="17:31" ht="13.2" x14ac:dyDescent="0.25">
      <c r="Q1322" s="7">
        <f t="shared" si="20"/>
        <v>0</v>
      </c>
      <c r="R1322" s="7" t="e">
        <f>IF(VLOOKUP($A1322,'Concrete Beam Schedule'!$A$2:$Q$2902,R$2,0)&lt;&gt;B1322,VLOOKUP($A1322,'Concrete Beam Schedule'!$A$2:$Q$2902,R$2,0),"")</f>
        <v>#N/A</v>
      </c>
      <c r="S1322" s="7" t="e">
        <f>IF(VLOOKUP($A1322,'Concrete Beam Schedule'!$A$2:$Q$2902,S$2,0)&lt;&gt;C1322,VLOOKUP($A1322,'Concrete Beam Schedule'!$A$2:$Q$2902,S$2,0),"")</f>
        <v>#N/A</v>
      </c>
      <c r="T1322" s="7" t="e">
        <f>IF(VLOOKUP($A1322,'Concrete Beam Schedule'!$A$2:$Q$2902,T$2,0)&lt;&gt;D1322,"Beam Revised","")</f>
        <v>#N/A</v>
      </c>
      <c r="U1322" s="7" t="e">
        <f>IF(VLOOKUP($A1322,'Concrete Beam Schedule'!$A$2:$Q$2902,U$2,0)&lt;&gt;E1322,"Beam Revised","")</f>
        <v>#N/A</v>
      </c>
      <c r="V1322" s="7" t="e">
        <f>IF(VLOOKUP($A1322,'Concrete Beam Schedule'!$A$2:$Q$2902,V$2,0)&lt;&gt;F1322,"Beam Revised","")</f>
        <v>#N/A</v>
      </c>
      <c r="W1322" s="7" t="e">
        <f>IF(VLOOKUP($A1322,'Concrete Beam Schedule'!$A$2:$Q$2902,W$2,0)&lt;&gt;G1322,"Beam Revised","")</f>
        <v>#N/A</v>
      </c>
      <c r="X1322" s="7" t="e">
        <f>IF(VLOOKUP($A1322,'Concrete Beam Schedule'!$A$2:$Q$2902,X$2,0)&lt;&gt;H1322,"Beam Revised","")</f>
        <v>#N/A</v>
      </c>
      <c r="Y1322" s="7" t="e">
        <f>IF(VLOOKUP($A1322,'Concrete Beam Schedule'!$A$2:$Q$2902,Y$2,0)&lt;&gt;I1322,"Beam Revised","")</f>
        <v>#N/A</v>
      </c>
      <c r="Z1322" s="7" t="e">
        <f>IF(VLOOKUP($A1322,'Concrete Beam Schedule'!$A$2:$Q$2902,Z$2,0)&lt;&gt;J1322,"Beam Revised","")</f>
        <v>#N/A</v>
      </c>
      <c r="AA1322" s="7" t="e">
        <f>IF(VLOOKUP($A1322,'Concrete Beam Schedule'!$A$2:$Q$2902,AA$2,0)&lt;&gt;K1322,"Beam Revised","")</f>
        <v>#N/A</v>
      </c>
      <c r="AB1322" s="7" t="e">
        <f>IF(VLOOKUP($A1322,'Concrete Beam Schedule'!$A$2:$Q$2902,AB$2,0)&lt;&gt;L1322,"Beam Revised","")</f>
        <v>#N/A</v>
      </c>
      <c r="AC1322" s="7" t="e">
        <f>IF(VLOOKUP($A1322,'Concrete Beam Schedule'!$A$2:$Q$2902,AC$2,0)&lt;&gt;M1322,"Beam Revised","")</f>
        <v>#N/A</v>
      </c>
      <c r="AD1322" s="7" t="e">
        <f>IF(VLOOKUP($A1322,'Concrete Beam Schedule'!$A$2:$Q$2902,AD$2,0)&lt;&gt;N1322,"Beam Revised","")</f>
        <v>#N/A</v>
      </c>
      <c r="AE1322" s="7" t="e">
        <f>IF(VLOOKUP($A1322,'Concrete Beam Schedule'!$A$2:$Q$2902,AE$2,0)&lt;&gt;O1322,"Beam Revised","")</f>
        <v>#N/A</v>
      </c>
    </row>
    <row r="1323" spans="17:31" ht="13.2" x14ac:dyDescent="0.25">
      <c r="Q1323" s="7">
        <f t="shared" si="20"/>
        <v>0</v>
      </c>
      <c r="R1323" s="7" t="e">
        <f>IF(VLOOKUP($A1323,'Concrete Beam Schedule'!$A$2:$Q$2902,R$2,0)&lt;&gt;B1323,VLOOKUP($A1323,'Concrete Beam Schedule'!$A$2:$Q$2902,R$2,0),"")</f>
        <v>#N/A</v>
      </c>
      <c r="S1323" s="7" t="e">
        <f>IF(VLOOKUP($A1323,'Concrete Beam Schedule'!$A$2:$Q$2902,S$2,0)&lt;&gt;C1323,VLOOKUP($A1323,'Concrete Beam Schedule'!$A$2:$Q$2902,S$2,0),"")</f>
        <v>#N/A</v>
      </c>
      <c r="T1323" s="7" t="e">
        <f>IF(VLOOKUP($A1323,'Concrete Beam Schedule'!$A$2:$Q$2902,T$2,0)&lt;&gt;D1323,"Beam Revised","")</f>
        <v>#N/A</v>
      </c>
      <c r="U1323" s="7" t="e">
        <f>IF(VLOOKUP($A1323,'Concrete Beam Schedule'!$A$2:$Q$2902,U$2,0)&lt;&gt;E1323,"Beam Revised","")</f>
        <v>#N/A</v>
      </c>
      <c r="V1323" s="7" t="e">
        <f>IF(VLOOKUP($A1323,'Concrete Beam Schedule'!$A$2:$Q$2902,V$2,0)&lt;&gt;F1323,"Beam Revised","")</f>
        <v>#N/A</v>
      </c>
      <c r="W1323" s="7" t="e">
        <f>IF(VLOOKUP($A1323,'Concrete Beam Schedule'!$A$2:$Q$2902,W$2,0)&lt;&gt;G1323,"Beam Revised","")</f>
        <v>#N/A</v>
      </c>
      <c r="X1323" s="7" t="e">
        <f>IF(VLOOKUP($A1323,'Concrete Beam Schedule'!$A$2:$Q$2902,X$2,0)&lt;&gt;H1323,"Beam Revised","")</f>
        <v>#N/A</v>
      </c>
      <c r="Y1323" s="7" t="e">
        <f>IF(VLOOKUP($A1323,'Concrete Beam Schedule'!$A$2:$Q$2902,Y$2,0)&lt;&gt;I1323,"Beam Revised","")</f>
        <v>#N/A</v>
      </c>
      <c r="Z1323" s="7" t="e">
        <f>IF(VLOOKUP($A1323,'Concrete Beam Schedule'!$A$2:$Q$2902,Z$2,0)&lt;&gt;J1323,"Beam Revised","")</f>
        <v>#N/A</v>
      </c>
      <c r="AA1323" s="7" t="e">
        <f>IF(VLOOKUP($A1323,'Concrete Beam Schedule'!$A$2:$Q$2902,AA$2,0)&lt;&gt;K1323,"Beam Revised","")</f>
        <v>#N/A</v>
      </c>
      <c r="AB1323" s="7" t="e">
        <f>IF(VLOOKUP($A1323,'Concrete Beam Schedule'!$A$2:$Q$2902,AB$2,0)&lt;&gt;L1323,"Beam Revised","")</f>
        <v>#N/A</v>
      </c>
      <c r="AC1323" s="7" t="e">
        <f>IF(VLOOKUP($A1323,'Concrete Beam Schedule'!$A$2:$Q$2902,AC$2,0)&lt;&gt;M1323,"Beam Revised","")</f>
        <v>#N/A</v>
      </c>
      <c r="AD1323" s="7" t="e">
        <f>IF(VLOOKUP($A1323,'Concrete Beam Schedule'!$A$2:$Q$2902,AD$2,0)&lt;&gt;N1323,"Beam Revised","")</f>
        <v>#N/A</v>
      </c>
      <c r="AE1323" s="7" t="e">
        <f>IF(VLOOKUP($A1323,'Concrete Beam Schedule'!$A$2:$Q$2902,AE$2,0)&lt;&gt;O1323,"Beam Revised","")</f>
        <v>#N/A</v>
      </c>
    </row>
    <row r="1324" spans="17:31" ht="13.2" x14ac:dyDescent="0.25">
      <c r="Q1324" s="7">
        <f t="shared" si="20"/>
        <v>0</v>
      </c>
      <c r="R1324" s="7" t="e">
        <f>IF(VLOOKUP($A1324,'Concrete Beam Schedule'!$A$2:$Q$2902,R$2,0)&lt;&gt;B1324,VLOOKUP($A1324,'Concrete Beam Schedule'!$A$2:$Q$2902,R$2,0),"")</f>
        <v>#N/A</v>
      </c>
      <c r="S1324" s="7" t="e">
        <f>IF(VLOOKUP($A1324,'Concrete Beam Schedule'!$A$2:$Q$2902,S$2,0)&lt;&gt;C1324,VLOOKUP($A1324,'Concrete Beam Schedule'!$A$2:$Q$2902,S$2,0),"")</f>
        <v>#N/A</v>
      </c>
      <c r="T1324" s="7" t="e">
        <f>IF(VLOOKUP($A1324,'Concrete Beam Schedule'!$A$2:$Q$2902,T$2,0)&lt;&gt;D1324,"Beam Revised","")</f>
        <v>#N/A</v>
      </c>
      <c r="U1324" s="7" t="e">
        <f>IF(VLOOKUP($A1324,'Concrete Beam Schedule'!$A$2:$Q$2902,U$2,0)&lt;&gt;E1324,"Beam Revised","")</f>
        <v>#N/A</v>
      </c>
      <c r="V1324" s="7" t="e">
        <f>IF(VLOOKUP($A1324,'Concrete Beam Schedule'!$A$2:$Q$2902,V$2,0)&lt;&gt;F1324,"Beam Revised","")</f>
        <v>#N/A</v>
      </c>
      <c r="W1324" s="7" t="e">
        <f>IF(VLOOKUP($A1324,'Concrete Beam Schedule'!$A$2:$Q$2902,W$2,0)&lt;&gt;G1324,"Beam Revised","")</f>
        <v>#N/A</v>
      </c>
      <c r="X1324" s="7" t="e">
        <f>IF(VLOOKUP($A1324,'Concrete Beam Schedule'!$A$2:$Q$2902,X$2,0)&lt;&gt;H1324,"Beam Revised","")</f>
        <v>#N/A</v>
      </c>
      <c r="Y1324" s="7" t="e">
        <f>IF(VLOOKUP($A1324,'Concrete Beam Schedule'!$A$2:$Q$2902,Y$2,0)&lt;&gt;I1324,"Beam Revised","")</f>
        <v>#N/A</v>
      </c>
      <c r="Z1324" s="7" t="e">
        <f>IF(VLOOKUP($A1324,'Concrete Beam Schedule'!$A$2:$Q$2902,Z$2,0)&lt;&gt;J1324,"Beam Revised","")</f>
        <v>#N/A</v>
      </c>
      <c r="AA1324" s="7" t="e">
        <f>IF(VLOOKUP($A1324,'Concrete Beam Schedule'!$A$2:$Q$2902,AA$2,0)&lt;&gt;K1324,"Beam Revised","")</f>
        <v>#N/A</v>
      </c>
      <c r="AB1324" s="7" t="e">
        <f>IF(VLOOKUP($A1324,'Concrete Beam Schedule'!$A$2:$Q$2902,AB$2,0)&lt;&gt;L1324,"Beam Revised","")</f>
        <v>#N/A</v>
      </c>
      <c r="AC1324" s="7" t="e">
        <f>IF(VLOOKUP($A1324,'Concrete Beam Schedule'!$A$2:$Q$2902,AC$2,0)&lt;&gt;M1324,"Beam Revised","")</f>
        <v>#N/A</v>
      </c>
      <c r="AD1324" s="7" t="e">
        <f>IF(VLOOKUP($A1324,'Concrete Beam Schedule'!$A$2:$Q$2902,AD$2,0)&lt;&gt;N1324,"Beam Revised","")</f>
        <v>#N/A</v>
      </c>
      <c r="AE1324" s="7" t="e">
        <f>IF(VLOOKUP($A1324,'Concrete Beam Schedule'!$A$2:$Q$2902,AE$2,0)&lt;&gt;O1324,"Beam Revised","")</f>
        <v>#N/A</v>
      </c>
    </row>
    <row r="1325" spans="17:31" ht="13.2" x14ac:dyDescent="0.25">
      <c r="Q1325" s="7">
        <f t="shared" si="20"/>
        <v>0</v>
      </c>
      <c r="R1325" s="7" t="e">
        <f>IF(VLOOKUP($A1325,'Concrete Beam Schedule'!$A$2:$Q$2902,R$2,0)&lt;&gt;B1325,VLOOKUP($A1325,'Concrete Beam Schedule'!$A$2:$Q$2902,R$2,0),"")</f>
        <v>#N/A</v>
      </c>
      <c r="S1325" s="7" t="e">
        <f>IF(VLOOKUP($A1325,'Concrete Beam Schedule'!$A$2:$Q$2902,S$2,0)&lt;&gt;C1325,VLOOKUP($A1325,'Concrete Beam Schedule'!$A$2:$Q$2902,S$2,0),"")</f>
        <v>#N/A</v>
      </c>
      <c r="T1325" s="7" t="e">
        <f>IF(VLOOKUP($A1325,'Concrete Beam Schedule'!$A$2:$Q$2902,T$2,0)&lt;&gt;D1325,"Beam Revised","")</f>
        <v>#N/A</v>
      </c>
      <c r="U1325" s="7" t="e">
        <f>IF(VLOOKUP($A1325,'Concrete Beam Schedule'!$A$2:$Q$2902,U$2,0)&lt;&gt;E1325,"Beam Revised","")</f>
        <v>#N/A</v>
      </c>
      <c r="V1325" s="7" t="e">
        <f>IF(VLOOKUP($A1325,'Concrete Beam Schedule'!$A$2:$Q$2902,V$2,0)&lt;&gt;F1325,"Beam Revised","")</f>
        <v>#N/A</v>
      </c>
      <c r="W1325" s="7" t="e">
        <f>IF(VLOOKUP($A1325,'Concrete Beam Schedule'!$A$2:$Q$2902,W$2,0)&lt;&gt;G1325,"Beam Revised","")</f>
        <v>#N/A</v>
      </c>
      <c r="X1325" s="7" t="e">
        <f>IF(VLOOKUP($A1325,'Concrete Beam Schedule'!$A$2:$Q$2902,X$2,0)&lt;&gt;H1325,"Beam Revised","")</f>
        <v>#N/A</v>
      </c>
      <c r="Y1325" s="7" t="e">
        <f>IF(VLOOKUP($A1325,'Concrete Beam Schedule'!$A$2:$Q$2902,Y$2,0)&lt;&gt;I1325,"Beam Revised","")</f>
        <v>#N/A</v>
      </c>
      <c r="Z1325" s="7" t="e">
        <f>IF(VLOOKUP($A1325,'Concrete Beam Schedule'!$A$2:$Q$2902,Z$2,0)&lt;&gt;J1325,"Beam Revised","")</f>
        <v>#N/A</v>
      </c>
      <c r="AA1325" s="7" t="e">
        <f>IF(VLOOKUP($A1325,'Concrete Beam Schedule'!$A$2:$Q$2902,AA$2,0)&lt;&gt;K1325,"Beam Revised","")</f>
        <v>#N/A</v>
      </c>
      <c r="AB1325" s="7" t="e">
        <f>IF(VLOOKUP($A1325,'Concrete Beam Schedule'!$A$2:$Q$2902,AB$2,0)&lt;&gt;L1325,"Beam Revised","")</f>
        <v>#N/A</v>
      </c>
      <c r="AC1325" s="7" t="e">
        <f>IF(VLOOKUP($A1325,'Concrete Beam Schedule'!$A$2:$Q$2902,AC$2,0)&lt;&gt;M1325,"Beam Revised","")</f>
        <v>#N/A</v>
      </c>
      <c r="AD1325" s="7" t="e">
        <f>IF(VLOOKUP($A1325,'Concrete Beam Schedule'!$A$2:$Q$2902,AD$2,0)&lt;&gt;N1325,"Beam Revised","")</f>
        <v>#N/A</v>
      </c>
      <c r="AE1325" s="7" t="e">
        <f>IF(VLOOKUP($A1325,'Concrete Beam Schedule'!$A$2:$Q$2902,AE$2,0)&lt;&gt;O1325,"Beam Revised","")</f>
        <v>#N/A</v>
      </c>
    </row>
    <row r="1326" spans="17:31" ht="13.2" x14ac:dyDescent="0.25">
      <c r="Q1326" s="7">
        <f t="shared" si="20"/>
        <v>0</v>
      </c>
      <c r="R1326" s="7" t="e">
        <f>IF(VLOOKUP($A1326,'Concrete Beam Schedule'!$A$2:$Q$2902,R$2,0)&lt;&gt;B1326,VLOOKUP($A1326,'Concrete Beam Schedule'!$A$2:$Q$2902,R$2,0),"")</f>
        <v>#N/A</v>
      </c>
      <c r="S1326" s="7" t="e">
        <f>IF(VLOOKUP($A1326,'Concrete Beam Schedule'!$A$2:$Q$2902,S$2,0)&lt;&gt;C1326,VLOOKUP($A1326,'Concrete Beam Schedule'!$A$2:$Q$2902,S$2,0),"")</f>
        <v>#N/A</v>
      </c>
      <c r="T1326" s="7" t="e">
        <f>IF(VLOOKUP($A1326,'Concrete Beam Schedule'!$A$2:$Q$2902,T$2,0)&lt;&gt;D1326,"Beam Revised","")</f>
        <v>#N/A</v>
      </c>
      <c r="U1326" s="7" t="e">
        <f>IF(VLOOKUP($A1326,'Concrete Beam Schedule'!$A$2:$Q$2902,U$2,0)&lt;&gt;E1326,"Beam Revised","")</f>
        <v>#N/A</v>
      </c>
      <c r="V1326" s="7" t="e">
        <f>IF(VLOOKUP($A1326,'Concrete Beam Schedule'!$A$2:$Q$2902,V$2,0)&lt;&gt;F1326,"Beam Revised","")</f>
        <v>#N/A</v>
      </c>
      <c r="W1326" s="7" t="e">
        <f>IF(VLOOKUP($A1326,'Concrete Beam Schedule'!$A$2:$Q$2902,W$2,0)&lt;&gt;G1326,"Beam Revised","")</f>
        <v>#N/A</v>
      </c>
      <c r="X1326" s="7" t="e">
        <f>IF(VLOOKUP($A1326,'Concrete Beam Schedule'!$A$2:$Q$2902,X$2,0)&lt;&gt;H1326,"Beam Revised","")</f>
        <v>#N/A</v>
      </c>
      <c r="Y1326" s="7" t="e">
        <f>IF(VLOOKUP($A1326,'Concrete Beam Schedule'!$A$2:$Q$2902,Y$2,0)&lt;&gt;I1326,"Beam Revised","")</f>
        <v>#N/A</v>
      </c>
      <c r="Z1326" s="7" t="e">
        <f>IF(VLOOKUP($A1326,'Concrete Beam Schedule'!$A$2:$Q$2902,Z$2,0)&lt;&gt;J1326,"Beam Revised","")</f>
        <v>#N/A</v>
      </c>
      <c r="AA1326" s="7" t="e">
        <f>IF(VLOOKUP($A1326,'Concrete Beam Schedule'!$A$2:$Q$2902,AA$2,0)&lt;&gt;K1326,"Beam Revised","")</f>
        <v>#N/A</v>
      </c>
      <c r="AB1326" s="7" t="e">
        <f>IF(VLOOKUP($A1326,'Concrete Beam Schedule'!$A$2:$Q$2902,AB$2,0)&lt;&gt;L1326,"Beam Revised","")</f>
        <v>#N/A</v>
      </c>
      <c r="AC1326" s="7" t="e">
        <f>IF(VLOOKUP($A1326,'Concrete Beam Schedule'!$A$2:$Q$2902,AC$2,0)&lt;&gt;M1326,"Beam Revised","")</f>
        <v>#N/A</v>
      </c>
      <c r="AD1326" s="7" t="e">
        <f>IF(VLOOKUP($A1326,'Concrete Beam Schedule'!$A$2:$Q$2902,AD$2,0)&lt;&gt;N1326,"Beam Revised","")</f>
        <v>#N/A</v>
      </c>
      <c r="AE1326" s="7" t="e">
        <f>IF(VLOOKUP($A1326,'Concrete Beam Schedule'!$A$2:$Q$2902,AE$2,0)&lt;&gt;O1326,"Beam Revised","")</f>
        <v>#N/A</v>
      </c>
    </row>
    <row r="1327" spans="17:31" ht="13.2" x14ac:dyDescent="0.25">
      <c r="Q1327" s="7">
        <f t="shared" si="20"/>
        <v>0</v>
      </c>
      <c r="R1327" s="7" t="e">
        <f>IF(VLOOKUP($A1327,'Concrete Beam Schedule'!$A$2:$Q$2902,R$2,0)&lt;&gt;B1327,VLOOKUP($A1327,'Concrete Beam Schedule'!$A$2:$Q$2902,R$2,0),"")</f>
        <v>#N/A</v>
      </c>
      <c r="S1327" s="7" t="e">
        <f>IF(VLOOKUP($A1327,'Concrete Beam Schedule'!$A$2:$Q$2902,S$2,0)&lt;&gt;C1327,VLOOKUP($A1327,'Concrete Beam Schedule'!$A$2:$Q$2902,S$2,0),"")</f>
        <v>#N/A</v>
      </c>
      <c r="T1327" s="7" t="e">
        <f>IF(VLOOKUP($A1327,'Concrete Beam Schedule'!$A$2:$Q$2902,T$2,0)&lt;&gt;D1327,"Beam Revised","")</f>
        <v>#N/A</v>
      </c>
      <c r="U1327" s="7" t="e">
        <f>IF(VLOOKUP($A1327,'Concrete Beam Schedule'!$A$2:$Q$2902,U$2,0)&lt;&gt;E1327,"Beam Revised","")</f>
        <v>#N/A</v>
      </c>
      <c r="V1327" s="7" t="e">
        <f>IF(VLOOKUP($A1327,'Concrete Beam Schedule'!$A$2:$Q$2902,V$2,0)&lt;&gt;F1327,"Beam Revised","")</f>
        <v>#N/A</v>
      </c>
      <c r="W1327" s="7" t="e">
        <f>IF(VLOOKUP($A1327,'Concrete Beam Schedule'!$A$2:$Q$2902,W$2,0)&lt;&gt;G1327,"Beam Revised","")</f>
        <v>#N/A</v>
      </c>
      <c r="X1327" s="7" t="e">
        <f>IF(VLOOKUP($A1327,'Concrete Beam Schedule'!$A$2:$Q$2902,X$2,0)&lt;&gt;H1327,"Beam Revised","")</f>
        <v>#N/A</v>
      </c>
      <c r="Y1327" s="7" t="e">
        <f>IF(VLOOKUP($A1327,'Concrete Beam Schedule'!$A$2:$Q$2902,Y$2,0)&lt;&gt;I1327,"Beam Revised","")</f>
        <v>#N/A</v>
      </c>
      <c r="Z1327" s="7" t="e">
        <f>IF(VLOOKUP($A1327,'Concrete Beam Schedule'!$A$2:$Q$2902,Z$2,0)&lt;&gt;J1327,"Beam Revised","")</f>
        <v>#N/A</v>
      </c>
      <c r="AA1327" s="7" t="e">
        <f>IF(VLOOKUP($A1327,'Concrete Beam Schedule'!$A$2:$Q$2902,AA$2,0)&lt;&gt;K1327,"Beam Revised","")</f>
        <v>#N/A</v>
      </c>
      <c r="AB1327" s="7" t="e">
        <f>IF(VLOOKUP($A1327,'Concrete Beam Schedule'!$A$2:$Q$2902,AB$2,0)&lt;&gt;L1327,"Beam Revised","")</f>
        <v>#N/A</v>
      </c>
      <c r="AC1327" s="7" t="e">
        <f>IF(VLOOKUP($A1327,'Concrete Beam Schedule'!$A$2:$Q$2902,AC$2,0)&lt;&gt;M1327,"Beam Revised","")</f>
        <v>#N/A</v>
      </c>
      <c r="AD1327" s="7" t="e">
        <f>IF(VLOOKUP($A1327,'Concrete Beam Schedule'!$A$2:$Q$2902,AD$2,0)&lt;&gt;N1327,"Beam Revised","")</f>
        <v>#N/A</v>
      </c>
      <c r="AE1327" s="7" t="e">
        <f>IF(VLOOKUP($A1327,'Concrete Beam Schedule'!$A$2:$Q$2902,AE$2,0)&lt;&gt;O1327,"Beam Revised","")</f>
        <v>#N/A</v>
      </c>
    </row>
    <row r="1328" spans="17:31" ht="13.2" x14ac:dyDescent="0.25">
      <c r="Q1328" s="7">
        <f t="shared" si="20"/>
        <v>0</v>
      </c>
      <c r="R1328" s="7" t="e">
        <f>IF(VLOOKUP($A1328,'Concrete Beam Schedule'!$A$2:$Q$2902,R$2,0)&lt;&gt;B1328,VLOOKUP($A1328,'Concrete Beam Schedule'!$A$2:$Q$2902,R$2,0),"")</f>
        <v>#N/A</v>
      </c>
      <c r="S1328" s="7" t="e">
        <f>IF(VLOOKUP($A1328,'Concrete Beam Schedule'!$A$2:$Q$2902,S$2,0)&lt;&gt;C1328,VLOOKUP($A1328,'Concrete Beam Schedule'!$A$2:$Q$2902,S$2,0),"")</f>
        <v>#N/A</v>
      </c>
      <c r="T1328" s="7" t="e">
        <f>IF(VLOOKUP($A1328,'Concrete Beam Schedule'!$A$2:$Q$2902,T$2,0)&lt;&gt;D1328,"Beam Revised","")</f>
        <v>#N/A</v>
      </c>
      <c r="U1328" s="7" t="e">
        <f>IF(VLOOKUP($A1328,'Concrete Beam Schedule'!$A$2:$Q$2902,U$2,0)&lt;&gt;E1328,"Beam Revised","")</f>
        <v>#N/A</v>
      </c>
      <c r="V1328" s="7" t="e">
        <f>IF(VLOOKUP($A1328,'Concrete Beam Schedule'!$A$2:$Q$2902,V$2,0)&lt;&gt;F1328,"Beam Revised","")</f>
        <v>#N/A</v>
      </c>
      <c r="W1328" s="7" t="e">
        <f>IF(VLOOKUP($A1328,'Concrete Beam Schedule'!$A$2:$Q$2902,W$2,0)&lt;&gt;G1328,"Beam Revised","")</f>
        <v>#N/A</v>
      </c>
      <c r="X1328" s="7" t="e">
        <f>IF(VLOOKUP($A1328,'Concrete Beam Schedule'!$A$2:$Q$2902,X$2,0)&lt;&gt;H1328,"Beam Revised","")</f>
        <v>#N/A</v>
      </c>
      <c r="Y1328" s="7" t="e">
        <f>IF(VLOOKUP($A1328,'Concrete Beam Schedule'!$A$2:$Q$2902,Y$2,0)&lt;&gt;I1328,"Beam Revised","")</f>
        <v>#N/A</v>
      </c>
      <c r="Z1328" s="7" t="e">
        <f>IF(VLOOKUP($A1328,'Concrete Beam Schedule'!$A$2:$Q$2902,Z$2,0)&lt;&gt;J1328,"Beam Revised","")</f>
        <v>#N/A</v>
      </c>
      <c r="AA1328" s="7" t="e">
        <f>IF(VLOOKUP($A1328,'Concrete Beam Schedule'!$A$2:$Q$2902,AA$2,0)&lt;&gt;K1328,"Beam Revised","")</f>
        <v>#N/A</v>
      </c>
      <c r="AB1328" s="7" t="e">
        <f>IF(VLOOKUP($A1328,'Concrete Beam Schedule'!$A$2:$Q$2902,AB$2,0)&lt;&gt;L1328,"Beam Revised","")</f>
        <v>#N/A</v>
      </c>
      <c r="AC1328" s="7" t="e">
        <f>IF(VLOOKUP($A1328,'Concrete Beam Schedule'!$A$2:$Q$2902,AC$2,0)&lt;&gt;M1328,"Beam Revised","")</f>
        <v>#N/A</v>
      </c>
      <c r="AD1328" s="7" t="e">
        <f>IF(VLOOKUP($A1328,'Concrete Beam Schedule'!$A$2:$Q$2902,AD$2,0)&lt;&gt;N1328,"Beam Revised","")</f>
        <v>#N/A</v>
      </c>
      <c r="AE1328" s="7" t="e">
        <f>IF(VLOOKUP($A1328,'Concrete Beam Schedule'!$A$2:$Q$2902,AE$2,0)&lt;&gt;O1328,"Beam Revised","")</f>
        <v>#N/A</v>
      </c>
    </row>
    <row r="1329" spans="17:31" ht="13.2" x14ac:dyDescent="0.25">
      <c r="Q1329" s="7">
        <f t="shared" si="20"/>
        <v>0</v>
      </c>
      <c r="R1329" s="7" t="e">
        <f>IF(VLOOKUP($A1329,'Concrete Beam Schedule'!$A$2:$Q$2902,R$2,0)&lt;&gt;B1329,VLOOKUP($A1329,'Concrete Beam Schedule'!$A$2:$Q$2902,R$2,0),"")</f>
        <v>#N/A</v>
      </c>
      <c r="S1329" s="7" t="e">
        <f>IF(VLOOKUP($A1329,'Concrete Beam Schedule'!$A$2:$Q$2902,S$2,0)&lt;&gt;C1329,VLOOKUP($A1329,'Concrete Beam Schedule'!$A$2:$Q$2902,S$2,0),"")</f>
        <v>#N/A</v>
      </c>
      <c r="T1329" s="7" t="e">
        <f>IF(VLOOKUP($A1329,'Concrete Beam Schedule'!$A$2:$Q$2902,T$2,0)&lt;&gt;D1329,"Beam Revised","")</f>
        <v>#N/A</v>
      </c>
      <c r="U1329" s="7" t="e">
        <f>IF(VLOOKUP($A1329,'Concrete Beam Schedule'!$A$2:$Q$2902,U$2,0)&lt;&gt;E1329,"Beam Revised","")</f>
        <v>#N/A</v>
      </c>
      <c r="V1329" s="7" t="e">
        <f>IF(VLOOKUP($A1329,'Concrete Beam Schedule'!$A$2:$Q$2902,V$2,0)&lt;&gt;F1329,"Beam Revised","")</f>
        <v>#N/A</v>
      </c>
      <c r="W1329" s="7" t="e">
        <f>IF(VLOOKUP($A1329,'Concrete Beam Schedule'!$A$2:$Q$2902,W$2,0)&lt;&gt;G1329,"Beam Revised","")</f>
        <v>#N/A</v>
      </c>
      <c r="X1329" s="7" t="e">
        <f>IF(VLOOKUP($A1329,'Concrete Beam Schedule'!$A$2:$Q$2902,X$2,0)&lt;&gt;H1329,"Beam Revised","")</f>
        <v>#N/A</v>
      </c>
      <c r="Y1329" s="7" t="e">
        <f>IF(VLOOKUP($A1329,'Concrete Beam Schedule'!$A$2:$Q$2902,Y$2,0)&lt;&gt;I1329,"Beam Revised","")</f>
        <v>#N/A</v>
      </c>
      <c r="Z1329" s="7" t="e">
        <f>IF(VLOOKUP($A1329,'Concrete Beam Schedule'!$A$2:$Q$2902,Z$2,0)&lt;&gt;J1329,"Beam Revised","")</f>
        <v>#N/A</v>
      </c>
      <c r="AA1329" s="7" t="e">
        <f>IF(VLOOKUP($A1329,'Concrete Beam Schedule'!$A$2:$Q$2902,AA$2,0)&lt;&gt;K1329,"Beam Revised","")</f>
        <v>#N/A</v>
      </c>
      <c r="AB1329" s="7" t="e">
        <f>IF(VLOOKUP($A1329,'Concrete Beam Schedule'!$A$2:$Q$2902,AB$2,0)&lt;&gt;L1329,"Beam Revised","")</f>
        <v>#N/A</v>
      </c>
      <c r="AC1329" s="7" t="e">
        <f>IF(VLOOKUP($A1329,'Concrete Beam Schedule'!$A$2:$Q$2902,AC$2,0)&lt;&gt;M1329,"Beam Revised","")</f>
        <v>#N/A</v>
      </c>
      <c r="AD1329" s="7" t="e">
        <f>IF(VLOOKUP($A1329,'Concrete Beam Schedule'!$A$2:$Q$2902,AD$2,0)&lt;&gt;N1329,"Beam Revised","")</f>
        <v>#N/A</v>
      </c>
      <c r="AE1329" s="7" t="e">
        <f>IF(VLOOKUP($A1329,'Concrete Beam Schedule'!$A$2:$Q$2902,AE$2,0)&lt;&gt;O1329,"Beam Revised","")</f>
        <v>#N/A</v>
      </c>
    </row>
    <row r="1330" spans="17:31" ht="13.2" x14ac:dyDescent="0.25">
      <c r="Q1330" s="7">
        <f t="shared" si="20"/>
        <v>0</v>
      </c>
      <c r="R1330" s="7" t="e">
        <f>IF(VLOOKUP($A1330,'Concrete Beam Schedule'!$A$2:$Q$2902,R$2,0)&lt;&gt;B1330,VLOOKUP($A1330,'Concrete Beam Schedule'!$A$2:$Q$2902,R$2,0),"")</f>
        <v>#N/A</v>
      </c>
      <c r="S1330" s="7" t="e">
        <f>IF(VLOOKUP($A1330,'Concrete Beam Schedule'!$A$2:$Q$2902,S$2,0)&lt;&gt;C1330,VLOOKUP($A1330,'Concrete Beam Schedule'!$A$2:$Q$2902,S$2,0),"")</f>
        <v>#N/A</v>
      </c>
      <c r="T1330" s="7" t="e">
        <f>IF(VLOOKUP($A1330,'Concrete Beam Schedule'!$A$2:$Q$2902,T$2,0)&lt;&gt;D1330,"Beam Revised","")</f>
        <v>#N/A</v>
      </c>
      <c r="U1330" s="7" t="e">
        <f>IF(VLOOKUP($A1330,'Concrete Beam Schedule'!$A$2:$Q$2902,U$2,0)&lt;&gt;E1330,"Beam Revised","")</f>
        <v>#N/A</v>
      </c>
      <c r="V1330" s="7" t="e">
        <f>IF(VLOOKUP($A1330,'Concrete Beam Schedule'!$A$2:$Q$2902,V$2,0)&lt;&gt;F1330,"Beam Revised","")</f>
        <v>#N/A</v>
      </c>
      <c r="W1330" s="7" t="e">
        <f>IF(VLOOKUP($A1330,'Concrete Beam Schedule'!$A$2:$Q$2902,W$2,0)&lt;&gt;G1330,"Beam Revised","")</f>
        <v>#N/A</v>
      </c>
      <c r="X1330" s="7" t="e">
        <f>IF(VLOOKUP($A1330,'Concrete Beam Schedule'!$A$2:$Q$2902,X$2,0)&lt;&gt;H1330,"Beam Revised","")</f>
        <v>#N/A</v>
      </c>
      <c r="Y1330" s="7" t="e">
        <f>IF(VLOOKUP($A1330,'Concrete Beam Schedule'!$A$2:$Q$2902,Y$2,0)&lt;&gt;I1330,"Beam Revised","")</f>
        <v>#N/A</v>
      </c>
      <c r="Z1330" s="7" t="e">
        <f>IF(VLOOKUP($A1330,'Concrete Beam Schedule'!$A$2:$Q$2902,Z$2,0)&lt;&gt;J1330,"Beam Revised","")</f>
        <v>#N/A</v>
      </c>
      <c r="AA1330" s="7" t="e">
        <f>IF(VLOOKUP($A1330,'Concrete Beam Schedule'!$A$2:$Q$2902,AA$2,0)&lt;&gt;K1330,"Beam Revised","")</f>
        <v>#N/A</v>
      </c>
      <c r="AB1330" s="7" t="e">
        <f>IF(VLOOKUP($A1330,'Concrete Beam Schedule'!$A$2:$Q$2902,AB$2,0)&lt;&gt;L1330,"Beam Revised","")</f>
        <v>#N/A</v>
      </c>
      <c r="AC1330" s="7" t="e">
        <f>IF(VLOOKUP($A1330,'Concrete Beam Schedule'!$A$2:$Q$2902,AC$2,0)&lt;&gt;M1330,"Beam Revised","")</f>
        <v>#N/A</v>
      </c>
      <c r="AD1330" s="7" t="e">
        <f>IF(VLOOKUP($A1330,'Concrete Beam Schedule'!$A$2:$Q$2902,AD$2,0)&lt;&gt;N1330,"Beam Revised","")</f>
        <v>#N/A</v>
      </c>
      <c r="AE1330" s="7" t="e">
        <f>IF(VLOOKUP($A1330,'Concrete Beam Schedule'!$A$2:$Q$2902,AE$2,0)&lt;&gt;O1330,"Beam Revised","")</f>
        <v>#N/A</v>
      </c>
    </row>
    <row r="1331" spans="17:31" ht="13.2" x14ac:dyDescent="0.25">
      <c r="Q1331" s="7">
        <f t="shared" si="20"/>
        <v>0</v>
      </c>
      <c r="R1331" s="7" t="e">
        <f>IF(VLOOKUP($A1331,'Concrete Beam Schedule'!$A$2:$Q$2902,R$2,0)&lt;&gt;B1331,VLOOKUP($A1331,'Concrete Beam Schedule'!$A$2:$Q$2902,R$2,0),"")</f>
        <v>#N/A</v>
      </c>
      <c r="S1331" s="7" t="e">
        <f>IF(VLOOKUP($A1331,'Concrete Beam Schedule'!$A$2:$Q$2902,S$2,0)&lt;&gt;C1331,VLOOKUP($A1331,'Concrete Beam Schedule'!$A$2:$Q$2902,S$2,0),"")</f>
        <v>#N/A</v>
      </c>
      <c r="T1331" s="7" t="e">
        <f>IF(VLOOKUP($A1331,'Concrete Beam Schedule'!$A$2:$Q$2902,T$2,0)&lt;&gt;D1331,"Beam Revised","")</f>
        <v>#N/A</v>
      </c>
      <c r="U1331" s="7" t="e">
        <f>IF(VLOOKUP($A1331,'Concrete Beam Schedule'!$A$2:$Q$2902,U$2,0)&lt;&gt;E1331,"Beam Revised","")</f>
        <v>#N/A</v>
      </c>
      <c r="V1331" s="7" t="e">
        <f>IF(VLOOKUP($A1331,'Concrete Beam Schedule'!$A$2:$Q$2902,V$2,0)&lt;&gt;F1331,"Beam Revised","")</f>
        <v>#N/A</v>
      </c>
      <c r="W1331" s="7" t="e">
        <f>IF(VLOOKUP($A1331,'Concrete Beam Schedule'!$A$2:$Q$2902,W$2,0)&lt;&gt;G1331,"Beam Revised","")</f>
        <v>#N/A</v>
      </c>
      <c r="X1331" s="7" t="e">
        <f>IF(VLOOKUP($A1331,'Concrete Beam Schedule'!$A$2:$Q$2902,X$2,0)&lt;&gt;H1331,"Beam Revised","")</f>
        <v>#N/A</v>
      </c>
      <c r="Y1331" s="7" t="e">
        <f>IF(VLOOKUP($A1331,'Concrete Beam Schedule'!$A$2:$Q$2902,Y$2,0)&lt;&gt;I1331,"Beam Revised","")</f>
        <v>#N/A</v>
      </c>
      <c r="Z1331" s="7" t="e">
        <f>IF(VLOOKUP($A1331,'Concrete Beam Schedule'!$A$2:$Q$2902,Z$2,0)&lt;&gt;J1331,"Beam Revised","")</f>
        <v>#N/A</v>
      </c>
      <c r="AA1331" s="7" t="e">
        <f>IF(VLOOKUP($A1331,'Concrete Beam Schedule'!$A$2:$Q$2902,AA$2,0)&lt;&gt;K1331,"Beam Revised","")</f>
        <v>#N/A</v>
      </c>
      <c r="AB1331" s="7" t="e">
        <f>IF(VLOOKUP($A1331,'Concrete Beam Schedule'!$A$2:$Q$2902,AB$2,0)&lt;&gt;L1331,"Beam Revised","")</f>
        <v>#N/A</v>
      </c>
      <c r="AC1331" s="7" t="e">
        <f>IF(VLOOKUP($A1331,'Concrete Beam Schedule'!$A$2:$Q$2902,AC$2,0)&lt;&gt;M1331,"Beam Revised","")</f>
        <v>#N/A</v>
      </c>
      <c r="AD1331" s="7" t="e">
        <f>IF(VLOOKUP($A1331,'Concrete Beam Schedule'!$A$2:$Q$2902,AD$2,0)&lt;&gt;N1331,"Beam Revised","")</f>
        <v>#N/A</v>
      </c>
      <c r="AE1331" s="7" t="e">
        <f>IF(VLOOKUP($A1331,'Concrete Beam Schedule'!$A$2:$Q$2902,AE$2,0)&lt;&gt;O1331,"Beam Revised","")</f>
        <v>#N/A</v>
      </c>
    </row>
    <row r="1332" spans="17:31" ht="13.2" x14ac:dyDescent="0.25">
      <c r="Q1332" s="7">
        <f t="shared" si="20"/>
        <v>0</v>
      </c>
      <c r="R1332" s="7" t="e">
        <f>IF(VLOOKUP($A1332,'Concrete Beam Schedule'!$A$2:$Q$2902,R$2,0)&lt;&gt;B1332,VLOOKUP($A1332,'Concrete Beam Schedule'!$A$2:$Q$2902,R$2,0),"")</f>
        <v>#N/A</v>
      </c>
      <c r="S1332" s="7" t="e">
        <f>IF(VLOOKUP($A1332,'Concrete Beam Schedule'!$A$2:$Q$2902,S$2,0)&lt;&gt;C1332,VLOOKUP($A1332,'Concrete Beam Schedule'!$A$2:$Q$2902,S$2,0),"")</f>
        <v>#N/A</v>
      </c>
      <c r="T1332" s="7" t="e">
        <f>IF(VLOOKUP($A1332,'Concrete Beam Schedule'!$A$2:$Q$2902,T$2,0)&lt;&gt;D1332,"Beam Revised","")</f>
        <v>#N/A</v>
      </c>
      <c r="U1332" s="7" t="e">
        <f>IF(VLOOKUP($A1332,'Concrete Beam Schedule'!$A$2:$Q$2902,U$2,0)&lt;&gt;E1332,"Beam Revised","")</f>
        <v>#N/A</v>
      </c>
      <c r="V1332" s="7" t="e">
        <f>IF(VLOOKUP($A1332,'Concrete Beam Schedule'!$A$2:$Q$2902,V$2,0)&lt;&gt;F1332,"Beam Revised","")</f>
        <v>#N/A</v>
      </c>
      <c r="W1332" s="7" t="e">
        <f>IF(VLOOKUP($A1332,'Concrete Beam Schedule'!$A$2:$Q$2902,W$2,0)&lt;&gt;G1332,"Beam Revised","")</f>
        <v>#N/A</v>
      </c>
      <c r="X1332" s="7" t="e">
        <f>IF(VLOOKUP($A1332,'Concrete Beam Schedule'!$A$2:$Q$2902,X$2,0)&lt;&gt;H1332,"Beam Revised","")</f>
        <v>#N/A</v>
      </c>
      <c r="Y1332" s="7" t="e">
        <f>IF(VLOOKUP($A1332,'Concrete Beam Schedule'!$A$2:$Q$2902,Y$2,0)&lt;&gt;I1332,"Beam Revised","")</f>
        <v>#N/A</v>
      </c>
      <c r="Z1332" s="7" t="e">
        <f>IF(VLOOKUP($A1332,'Concrete Beam Schedule'!$A$2:$Q$2902,Z$2,0)&lt;&gt;J1332,"Beam Revised","")</f>
        <v>#N/A</v>
      </c>
      <c r="AA1332" s="7" t="e">
        <f>IF(VLOOKUP($A1332,'Concrete Beam Schedule'!$A$2:$Q$2902,AA$2,0)&lt;&gt;K1332,"Beam Revised","")</f>
        <v>#N/A</v>
      </c>
      <c r="AB1332" s="7" t="e">
        <f>IF(VLOOKUP($A1332,'Concrete Beam Schedule'!$A$2:$Q$2902,AB$2,0)&lt;&gt;L1332,"Beam Revised","")</f>
        <v>#N/A</v>
      </c>
      <c r="AC1332" s="7" t="e">
        <f>IF(VLOOKUP($A1332,'Concrete Beam Schedule'!$A$2:$Q$2902,AC$2,0)&lt;&gt;M1332,"Beam Revised","")</f>
        <v>#N/A</v>
      </c>
      <c r="AD1332" s="7" t="e">
        <f>IF(VLOOKUP($A1332,'Concrete Beam Schedule'!$A$2:$Q$2902,AD$2,0)&lt;&gt;N1332,"Beam Revised","")</f>
        <v>#N/A</v>
      </c>
      <c r="AE1332" s="7" t="e">
        <f>IF(VLOOKUP($A1332,'Concrete Beam Schedule'!$A$2:$Q$2902,AE$2,0)&lt;&gt;O1332,"Beam Revised","")</f>
        <v>#N/A</v>
      </c>
    </row>
    <row r="1333" spans="17:31" ht="13.2" x14ac:dyDescent="0.25">
      <c r="Q1333" s="7">
        <f t="shared" si="20"/>
        <v>0</v>
      </c>
      <c r="R1333" s="7" t="e">
        <f>IF(VLOOKUP($A1333,'Concrete Beam Schedule'!$A$2:$Q$2902,R$2,0)&lt;&gt;B1333,VLOOKUP($A1333,'Concrete Beam Schedule'!$A$2:$Q$2902,R$2,0),"")</f>
        <v>#N/A</v>
      </c>
      <c r="S1333" s="7" t="e">
        <f>IF(VLOOKUP($A1333,'Concrete Beam Schedule'!$A$2:$Q$2902,S$2,0)&lt;&gt;C1333,VLOOKUP($A1333,'Concrete Beam Schedule'!$A$2:$Q$2902,S$2,0),"")</f>
        <v>#N/A</v>
      </c>
      <c r="T1333" s="7" t="e">
        <f>IF(VLOOKUP($A1333,'Concrete Beam Schedule'!$A$2:$Q$2902,T$2,0)&lt;&gt;D1333,"Beam Revised","")</f>
        <v>#N/A</v>
      </c>
      <c r="U1333" s="7" t="e">
        <f>IF(VLOOKUP($A1333,'Concrete Beam Schedule'!$A$2:$Q$2902,U$2,0)&lt;&gt;E1333,"Beam Revised","")</f>
        <v>#N/A</v>
      </c>
      <c r="V1333" s="7" t="e">
        <f>IF(VLOOKUP($A1333,'Concrete Beam Schedule'!$A$2:$Q$2902,V$2,0)&lt;&gt;F1333,"Beam Revised","")</f>
        <v>#N/A</v>
      </c>
      <c r="W1333" s="7" t="e">
        <f>IF(VLOOKUP($A1333,'Concrete Beam Schedule'!$A$2:$Q$2902,W$2,0)&lt;&gt;G1333,"Beam Revised","")</f>
        <v>#N/A</v>
      </c>
      <c r="X1333" s="7" t="e">
        <f>IF(VLOOKUP($A1333,'Concrete Beam Schedule'!$A$2:$Q$2902,X$2,0)&lt;&gt;H1333,"Beam Revised","")</f>
        <v>#N/A</v>
      </c>
      <c r="Y1333" s="7" t="e">
        <f>IF(VLOOKUP($A1333,'Concrete Beam Schedule'!$A$2:$Q$2902,Y$2,0)&lt;&gt;I1333,"Beam Revised","")</f>
        <v>#N/A</v>
      </c>
      <c r="Z1333" s="7" t="e">
        <f>IF(VLOOKUP($A1333,'Concrete Beam Schedule'!$A$2:$Q$2902,Z$2,0)&lt;&gt;J1333,"Beam Revised","")</f>
        <v>#N/A</v>
      </c>
      <c r="AA1333" s="7" t="e">
        <f>IF(VLOOKUP($A1333,'Concrete Beam Schedule'!$A$2:$Q$2902,AA$2,0)&lt;&gt;K1333,"Beam Revised","")</f>
        <v>#N/A</v>
      </c>
      <c r="AB1333" s="7" t="e">
        <f>IF(VLOOKUP($A1333,'Concrete Beam Schedule'!$A$2:$Q$2902,AB$2,0)&lt;&gt;L1333,"Beam Revised","")</f>
        <v>#N/A</v>
      </c>
      <c r="AC1333" s="7" t="e">
        <f>IF(VLOOKUP($A1333,'Concrete Beam Schedule'!$A$2:$Q$2902,AC$2,0)&lt;&gt;M1333,"Beam Revised","")</f>
        <v>#N/A</v>
      </c>
      <c r="AD1333" s="7" t="e">
        <f>IF(VLOOKUP($A1333,'Concrete Beam Schedule'!$A$2:$Q$2902,AD$2,0)&lt;&gt;N1333,"Beam Revised","")</f>
        <v>#N/A</v>
      </c>
      <c r="AE1333" s="7" t="e">
        <f>IF(VLOOKUP($A1333,'Concrete Beam Schedule'!$A$2:$Q$2902,AE$2,0)&lt;&gt;O1333,"Beam Revised","")</f>
        <v>#N/A</v>
      </c>
    </row>
    <row r="1334" spans="17:31" ht="13.2" x14ac:dyDescent="0.25">
      <c r="Q1334" s="7">
        <f t="shared" si="20"/>
        <v>0</v>
      </c>
      <c r="R1334" s="7" t="e">
        <f>IF(VLOOKUP($A1334,'Concrete Beam Schedule'!$A$2:$Q$2902,R$2,0)&lt;&gt;B1334,VLOOKUP($A1334,'Concrete Beam Schedule'!$A$2:$Q$2902,R$2,0),"")</f>
        <v>#N/A</v>
      </c>
      <c r="S1334" s="7" t="e">
        <f>IF(VLOOKUP($A1334,'Concrete Beam Schedule'!$A$2:$Q$2902,S$2,0)&lt;&gt;C1334,VLOOKUP($A1334,'Concrete Beam Schedule'!$A$2:$Q$2902,S$2,0),"")</f>
        <v>#N/A</v>
      </c>
      <c r="T1334" s="7" t="e">
        <f>IF(VLOOKUP($A1334,'Concrete Beam Schedule'!$A$2:$Q$2902,T$2,0)&lt;&gt;D1334,"Beam Revised","")</f>
        <v>#N/A</v>
      </c>
      <c r="U1334" s="7" t="e">
        <f>IF(VLOOKUP($A1334,'Concrete Beam Schedule'!$A$2:$Q$2902,U$2,0)&lt;&gt;E1334,"Beam Revised","")</f>
        <v>#N/A</v>
      </c>
      <c r="V1334" s="7" t="e">
        <f>IF(VLOOKUP($A1334,'Concrete Beam Schedule'!$A$2:$Q$2902,V$2,0)&lt;&gt;F1334,"Beam Revised","")</f>
        <v>#N/A</v>
      </c>
      <c r="W1334" s="7" t="e">
        <f>IF(VLOOKUP($A1334,'Concrete Beam Schedule'!$A$2:$Q$2902,W$2,0)&lt;&gt;G1334,"Beam Revised","")</f>
        <v>#N/A</v>
      </c>
      <c r="X1334" s="7" t="e">
        <f>IF(VLOOKUP($A1334,'Concrete Beam Schedule'!$A$2:$Q$2902,X$2,0)&lt;&gt;H1334,"Beam Revised","")</f>
        <v>#N/A</v>
      </c>
      <c r="Y1334" s="7" t="e">
        <f>IF(VLOOKUP($A1334,'Concrete Beam Schedule'!$A$2:$Q$2902,Y$2,0)&lt;&gt;I1334,"Beam Revised","")</f>
        <v>#N/A</v>
      </c>
      <c r="Z1334" s="7" t="e">
        <f>IF(VLOOKUP($A1334,'Concrete Beam Schedule'!$A$2:$Q$2902,Z$2,0)&lt;&gt;J1334,"Beam Revised","")</f>
        <v>#N/A</v>
      </c>
      <c r="AA1334" s="7" t="e">
        <f>IF(VLOOKUP($A1334,'Concrete Beam Schedule'!$A$2:$Q$2902,AA$2,0)&lt;&gt;K1334,"Beam Revised","")</f>
        <v>#N/A</v>
      </c>
      <c r="AB1334" s="7" t="e">
        <f>IF(VLOOKUP($A1334,'Concrete Beam Schedule'!$A$2:$Q$2902,AB$2,0)&lt;&gt;L1334,"Beam Revised","")</f>
        <v>#N/A</v>
      </c>
      <c r="AC1334" s="7" t="e">
        <f>IF(VLOOKUP($A1334,'Concrete Beam Schedule'!$A$2:$Q$2902,AC$2,0)&lt;&gt;M1334,"Beam Revised","")</f>
        <v>#N/A</v>
      </c>
      <c r="AD1334" s="7" t="e">
        <f>IF(VLOOKUP($A1334,'Concrete Beam Schedule'!$A$2:$Q$2902,AD$2,0)&lt;&gt;N1334,"Beam Revised","")</f>
        <v>#N/A</v>
      </c>
      <c r="AE1334" s="7" t="e">
        <f>IF(VLOOKUP($A1334,'Concrete Beam Schedule'!$A$2:$Q$2902,AE$2,0)&lt;&gt;O1334,"Beam Revised","")</f>
        <v>#N/A</v>
      </c>
    </row>
    <row r="1335" spans="17:31" ht="13.2" x14ac:dyDescent="0.25">
      <c r="Q1335" s="7">
        <f t="shared" si="20"/>
        <v>0</v>
      </c>
      <c r="R1335" s="7" t="e">
        <f>IF(VLOOKUP($A1335,'Concrete Beam Schedule'!$A$2:$Q$2902,R$2,0)&lt;&gt;B1335,VLOOKUP($A1335,'Concrete Beam Schedule'!$A$2:$Q$2902,R$2,0),"")</f>
        <v>#N/A</v>
      </c>
      <c r="S1335" s="7" t="e">
        <f>IF(VLOOKUP($A1335,'Concrete Beam Schedule'!$A$2:$Q$2902,S$2,0)&lt;&gt;C1335,VLOOKUP($A1335,'Concrete Beam Schedule'!$A$2:$Q$2902,S$2,0),"")</f>
        <v>#N/A</v>
      </c>
      <c r="T1335" s="7" t="e">
        <f>IF(VLOOKUP($A1335,'Concrete Beam Schedule'!$A$2:$Q$2902,T$2,0)&lt;&gt;D1335,"Beam Revised","")</f>
        <v>#N/A</v>
      </c>
      <c r="U1335" s="7" t="e">
        <f>IF(VLOOKUP($A1335,'Concrete Beam Schedule'!$A$2:$Q$2902,U$2,0)&lt;&gt;E1335,"Beam Revised","")</f>
        <v>#N/A</v>
      </c>
      <c r="V1335" s="7" t="e">
        <f>IF(VLOOKUP($A1335,'Concrete Beam Schedule'!$A$2:$Q$2902,V$2,0)&lt;&gt;F1335,"Beam Revised","")</f>
        <v>#N/A</v>
      </c>
      <c r="W1335" s="7" t="e">
        <f>IF(VLOOKUP($A1335,'Concrete Beam Schedule'!$A$2:$Q$2902,W$2,0)&lt;&gt;G1335,"Beam Revised","")</f>
        <v>#N/A</v>
      </c>
      <c r="X1335" s="7" t="e">
        <f>IF(VLOOKUP($A1335,'Concrete Beam Schedule'!$A$2:$Q$2902,X$2,0)&lt;&gt;H1335,"Beam Revised","")</f>
        <v>#N/A</v>
      </c>
      <c r="Y1335" s="7" t="e">
        <f>IF(VLOOKUP($A1335,'Concrete Beam Schedule'!$A$2:$Q$2902,Y$2,0)&lt;&gt;I1335,"Beam Revised","")</f>
        <v>#N/A</v>
      </c>
      <c r="Z1335" s="7" t="e">
        <f>IF(VLOOKUP($A1335,'Concrete Beam Schedule'!$A$2:$Q$2902,Z$2,0)&lt;&gt;J1335,"Beam Revised","")</f>
        <v>#N/A</v>
      </c>
      <c r="AA1335" s="7" t="e">
        <f>IF(VLOOKUP($A1335,'Concrete Beam Schedule'!$A$2:$Q$2902,AA$2,0)&lt;&gt;K1335,"Beam Revised","")</f>
        <v>#N/A</v>
      </c>
      <c r="AB1335" s="7" t="e">
        <f>IF(VLOOKUP($A1335,'Concrete Beam Schedule'!$A$2:$Q$2902,AB$2,0)&lt;&gt;L1335,"Beam Revised","")</f>
        <v>#N/A</v>
      </c>
      <c r="AC1335" s="7" t="e">
        <f>IF(VLOOKUP($A1335,'Concrete Beam Schedule'!$A$2:$Q$2902,AC$2,0)&lt;&gt;M1335,"Beam Revised","")</f>
        <v>#N/A</v>
      </c>
      <c r="AD1335" s="7" t="e">
        <f>IF(VLOOKUP($A1335,'Concrete Beam Schedule'!$A$2:$Q$2902,AD$2,0)&lt;&gt;N1335,"Beam Revised","")</f>
        <v>#N/A</v>
      </c>
      <c r="AE1335" s="7" t="e">
        <f>IF(VLOOKUP($A1335,'Concrete Beam Schedule'!$A$2:$Q$2902,AE$2,0)&lt;&gt;O1335,"Beam Revised","")</f>
        <v>#N/A</v>
      </c>
    </row>
    <row r="1336" spans="17:31" ht="13.2" x14ac:dyDescent="0.25">
      <c r="Q1336" s="7">
        <f t="shared" si="20"/>
        <v>0</v>
      </c>
      <c r="R1336" s="7" t="e">
        <f>IF(VLOOKUP($A1336,'Concrete Beam Schedule'!$A$2:$Q$2902,R$2,0)&lt;&gt;B1336,VLOOKUP($A1336,'Concrete Beam Schedule'!$A$2:$Q$2902,R$2,0),"")</f>
        <v>#N/A</v>
      </c>
      <c r="S1336" s="7" t="e">
        <f>IF(VLOOKUP($A1336,'Concrete Beam Schedule'!$A$2:$Q$2902,S$2,0)&lt;&gt;C1336,VLOOKUP($A1336,'Concrete Beam Schedule'!$A$2:$Q$2902,S$2,0),"")</f>
        <v>#N/A</v>
      </c>
      <c r="T1336" s="7" t="e">
        <f>IF(VLOOKUP($A1336,'Concrete Beam Schedule'!$A$2:$Q$2902,T$2,0)&lt;&gt;D1336,"Beam Revised","")</f>
        <v>#N/A</v>
      </c>
      <c r="U1336" s="7" t="e">
        <f>IF(VLOOKUP($A1336,'Concrete Beam Schedule'!$A$2:$Q$2902,U$2,0)&lt;&gt;E1336,"Beam Revised","")</f>
        <v>#N/A</v>
      </c>
      <c r="V1336" s="7" t="e">
        <f>IF(VLOOKUP($A1336,'Concrete Beam Schedule'!$A$2:$Q$2902,V$2,0)&lt;&gt;F1336,"Beam Revised","")</f>
        <v>#N/A</v>
      </c>
      <c r="W1336" s="7" t="e">
        <f>IF(VLOOKUP($A1336,'Concrete Beam Schedule'!$A$2:$Q$2902,W$2,0)&lt;&gt;G1336,"Beam Revised","")</f>
        <v>#N/A</v>
      </c>
      <c r="X1336" s="7" t="e">
        <f>IF(VLOOKUP($A1336,'Concrete Beam Schedule'!$A$2:$Q$2902,X$2,0)&lt;&gt;H1336,"Beam Revised","")</f>
        <v>#N/A</v>
      </c>
      <c r="Y1336" s="7" t="e">
        <f>IF(VLOOKUP($A1336,'Concrete Beam Schedule'!$A$2:$Q$2902,Y$2,0)&lt;&gt;I1336,"Beam Revised","")</f>
        <v>#N/A</v>
      </c>
      <c r="Z1336" s="7" t="e">
        <f>IF(VLOOKUP($A1336,'Concrete Beam Schedule'!$A$2:$Q$2902,Z$2,0)&lt;&gt;J1336,"Beam Revised","")</f>
        <v>#N/A</v>
      </c>
      <c r="AA1336" s="7" t="e">
        <f>IF(VLOOKUP($A1336,'Concrete Beam Schedule'!$A$2:$Q$2902,AA$2,0)&lt;&gt;K1336,"Beam Revised","")</f>
        <v>#N/A</v>
      </c>
      <c r="AB1336" s="7" t="e">
        <f>IF(VLOOKUP($A1336,'Concrete Beam Schedule'!$A$2:$Q$2902,AB$2,0)&lt;&gt;L1336,"Beam Revised","")</f>
        <v>#N/A</v>
      </c>
      <c r="AC1336" s="7" t="e">
        <f>IF(VLOOKUP($A1336,'Concrete Beam Schedule'!$A$2:$Q$2902,AC$2,0)&lt;&gt;M1336,"Beam Revised","")</f>
        <v>#N/A</v>
      </c>
      <c r="AD1336" s="7" t="e">
        <f>IF(VLOOKUP($A1336,'Concrete Beam Schedule'!$A$2:$Q$2902,AD$2,0)&lt;&gt;N1336,"Beam Revised","")</f>
        <v>#N/A</v>
      </c>
      <c r="AE1336" s="7" t="e">
        <f>IF(VLOOKUP($A1336,'Concrete Beam Schedule'!$A$2:$Q$2902,AE$2,0)&lt;&gt;O1336,"Beam Revised","")</f>
        <v>#N/A</v>
      </c>
    </row>
    <row r="1337" spans="17:31" ht="13.2" x14ac:dyDescent="0.25">
      <c r="Q1337" s="7">
        <f t="shared" si="20"/>
        <v>0</v>
      </c>
      <c r="R1337" s="7" t="e">
        <f>IF(VLOOKUP($A1337,'Concrete Beam Schedule'!$A$2:$Q$2902,R$2,0)&lt;&gt;B1337,VLOOKUP($A1337,'Concrete Beam Schedule'!$A$2:$Q$2902,R$2,0),"")</f>
        <v>#N/A</v>
      </c>
      <c r="S1337" s="7" t="e">
        <f>IF(VLOOKUP($A1337,'Concrete Beam Schedule'!$A$2:$Q$2902,S$2,0)&lt;&gt;C1337,VLOOKUP($A1337,'Concrete Beam Schedule'!$A$2:$Q$2902,S$2,0),"")</f>
        <v>#N/A</v>
      </c>
      <c r="T1337" s="7" t="e">
        <f>IF(VLOOKUP($A1337,'Concrete Beam Schedule'!$A$2:$Q$2902,T$2,0)&lt;&gt;D1337,"Beam Revised","")</f>
        <v>#N/A</v>
      </c>
      <c r="U1337" s="7" t="e">
        <f>IF(VLOOKUP($A1337,'Concrete Beam Schedule'!$A$2:$Q$2902,U$2,0)&lt;&gt;E1337,"Beam Revised","")</f>
        <v>#N/A</v>
      </c>
      <c r="V1337" s="7" t="e">
        <f>IF(VLOOKUP($A1337,'Concrete Beam Schedule'!$A$2:$Q$2902,V$2,0)&lt;&gt;F1337,"Beam Revised","")</f>
        <v>#N/A</v>
      </c>
      <c r="W1337" s="7" t="e">
        <f>IF(VLOOKUP($A1337,'Concrete Beam Schedule'!$A$2:$Q$2902,W$2,0)&lt;&gt;G1337,"Beam Revised","")</f>
        <v>#N/A</v>
      </c>
      <c r="X1337" s="7" t="e">
        <f>IF(VLOOKUP($A1337,'Concrete Beam Schedule'!$A$2:$Q$2902,X$2,0)&lt;&gt;H1337,"Beam Revised","")</f>
        <v>#N/A</v>
      </c>
      <c r="Y1337" s="7" t="e">
        <f>IF(VLOOKUP($A1337,'Concrete Beam Schedule'!$A$2:$Q$2902,Y$2,0)&lt;&gt;I1337,"Beam Revised","")</f>
        <v>#N/A</v>
      </c>
      <c r="Z1337" s="7" t="e">
        <f>IF(VLOOKUP($A1337,'Concrete Beam Schedule'!$A$2:$Q$2902,Z$2,0)&lt;&gt;J1337,"Beam Revised","")</f>
        <v>#N/A</v>
      </c>
      <c r="AA1337" s="7" t="e">
        <f>IF(VLOOKUP($A1337,'Concrete Beam Schedule'!$A$2:$Q$2902,AA$2,0)&lt;&gt;K1337,"Beam Revised","")</f>
        <v>#N/A</v>
      </c>
      <c r="AB1337" s="7" t="e">
        <f>IF(VLOOKUP($A1337,'Concrete Beam Schedule'!$A$2:$Q$2902,AB$2,0)&lt;&gt;L1337,"Beam Revised","")</f>
        <v>#N/A</v>
      </c>
      <c r="AC1337" s="7" t="e">
        <f>IF(VLOOKUP($A1337,'Concrete Beam Schedule'!$A$2:$Q$2902,AC$2,0)&lt;&gt;M1337,"Beam Revised","")</f>
        <v>#N/A</v>
      </c>
      <c r="AD1337" s="7" t="e">
        <f>IF(VLOOKUP($A1337,'Concrete Beam Schedule'!$A$2:$Q$2902,AD$2,0)&lt;&gt;N1337,"Beam Revised","")</f>
        <v>#N/A</v>
      </c>
      <c r="AE1337" s="7" t="e">
        <f>IF(VLOOKUP($A1337,'Concrete Beam Schedule'!$A$2:$Q$2902,AE$2,0)&lt;&gt;O1337,"Beam Revised","")</f>
        <v>#N/A</v>
      </c>
    </row>
    <row r="1338" spans="17:31" ht="13.2" x14ac:dyDescent="0.25">
      <c r="Q1338" s="7">
        <f t="shared" si="20"/>
        <v>0</v>
      </c>
      <c r="R1338" s="7" t="e">
        <f>IF(VLOOKUP($A1338,'Concrete Beam Schedule'!$A$2:$Q$2902,R$2,0)&lt;&gt;B1338,VLOOKUP($A1338,'Concrete Beam Schedule'!$A$2:$Q$2902,R$2,0),"")</f>
        <v>#N/A</v>
      </c>
      <c r="S1338" s="7" t="e">
        <f>IF(VLOOKUP($A1338,'Concrete Beam Schedule'!$A$2:$Q$2902,S$2,0)&lt;&gt;C1338,VLOOKUP($A1338,'Concrete Beam Schedule'!$A$2:$Q$2902,S$2,0),"")</f>
        <v>#N/A</v>
      </c>
      <c r="T1338" s="7" t="e">
        <f>IF(VLOOKUP($A1338,'Concrete Beam Schedule'!$A$2:$Q$2902,T$2,0)&lt;&gt;D1338,"Beam Revised","")</f>
        <v>#N/A</v>
      </c>
      <c r="U1338" s="7" t="e">
        <f>IF(VLOOKUP($A1338,'Concrete Beam Schedule'!$A$2:$Q$2902,U$2,0)&lt;&gt;E1338,"Beam Revised","")</f>
        <v>#N/A</v>
      </c>
      <c r="V1338" s="7" t="e">
        <f>IF(VLOOKUP($A1338,'Concrete Beam Schedule'!$A$2:$Q$2902,V$2,0)&lt;&gt;F1338,"Beam Revised","")</f>
        <v>#N/A</v>
      </c>
      <c r="W1338" s="7" t="e">
        <f>IF(VLOOKUP($A1338,'Concrete Beam Schedule'!$A$2:$Q$2902,W$2,0)&lt;&gt;G1338,"Beam Revised","")</f>
        <v>#N/A</v>
      </c>
      <c r="X1338" s="7" t="e">
        <f>IF(VLOOKUP($A1338,'Concrete Beam Schedule'!$A$2:$Q$2902,X$2,0)&lt;&gt;H1338,"Beam Revised","")</f>
        <v>#N/A</v>
      </c>
      <c r="Y1338" s="7" t="e">
        <f>IF(VLOOKUP($A1338,'Concrete Beam Schedule'!$A$2:$Q$2902,Y$2,0)&lt;&gt;I1338,"Beam Revised","")</f>
        <v>#N/A</v>
      </c>
      <c r="Z1338" s="7" t="e">
        <f>IF(VLOOKUP($A1338,'Concrete Beam Schedule'!$A$2:$Q$2902,Z$2,0)&lt;&gt;J1338,"Beam Revised","")</f>
        <v>#N/A</v>
      </c>
      <c r="AA1338" s="7" t="e">
        <f>IF(VLOOKUP($A1338,'Concrete Beam Schedule'!$A$2:$Q$2902,AA$2,0)&lt;&gt;K1338,"Beam Revised","")</f>
        <v>#N/A</v>
      </c>
      <c r="AB1338" s="7" t="e">
        <f>IF(VLOOKUP($A1338,'Concrete Beam Schedule'!$A$2:$Q$2902,AB$2,0)&lt;&gt;L1338,"Beam Revised","")</f>
        <v>#N/A</v>
      </c>
      <c r="AC1338" s="7" t="e">
        <f>IF(VLOOKUP($A1338,'Concrete Beam Schedule'!$A$2:$Q$2902,AC$2,0)&lt;&gt;M1338,"Beam Revised","")</f>
        <v>#N/A</v>
      </c>
      <c r="AD1338" s="7" t="e">
        <f>IF(VLOOKUP($A1338,'Concrete Beam Schedule'!$A$2:$Q$2902,AD$2,0)&lt;&gt;N1338,"Beam Revised","")</f>
        <v>#N/A</v>
      </c>
      <c r="AE1338" s="7" t="e">
        <f>IF(VLOOKUP($A1338,'Concrete Beam Schedule'!$A$2:$Q$2902,AE$2,0)&lt;&gt;O1338,"Beam Revised","")</f>
        <v>#N/A</v>
      </c>
    </row>
    <row r="1339" spans="17:31" ht="13.2" x14ac:dyDescent="0.25">
      <c r="Q1339" s="7">
        <f t="shared" si="20"/>
        <v>0</v>
      </c>
      <c r="R1339" s="7" t="e">
        <f>IF(VLOOKUP($A1339,'Concrete Beam Schedule'!$A$2:$Q$2902,R$2,0)&lt;&gt;B1339,VLOOKUP($A1339,'Concrete Beam Schedule'!$A$2:$Q$2902,R$2,0),"")</f>
        <v>#N/A</v>
      </c>
      <c r="S1339" s="7" t="e">
        <f>IF(VLOOKUP($A1339,'Concrete Beam Schedule'!$A$2:$Q$2902,S$2,0)&lt;&gt;C1339,VLOOKUP($A1339,'Concrete Beam Schedule'!$A$2:$Q$2902,S$2,0),"")</f>
        <v>#N/A</v>
      </c>
      <c r="T1339" s="7" t="e">
        <f>IF(VLOOKUP($A1339,'Concrete Beam Schedule'!$A$2:$Q$2902,T$2,0)&lt;&gt;D1339,"Beam Revised","")</f>
        <v>#N/A</v>
      </c>
      <c r="U1339" s="7" t="e">
        <f>IF(VLOOKUP($A1339,'Concrete Beam Schedule'!$A$2:$Q$2902,U$2,0)&lt;&gt;E1339,"Beam Revised","")</f>
        <v>#N/A</v>
      </c>
      <c r="V1339" s="7" t="e">
        <f>IF(VLOOKUP($A1339,'Concrete Beam Schedule'!$A$2:$Q$2902,V$2,0)&lt;&gt;F1339,"Beam Revised","")</f>
        <v>#N/A</v>
      </c>
      <c r="W1339" s="7" t="e">
        <f>IF(VLOOKUP($A1339,'Concrete Beam Schedule'!$A$2:$Q$2902,W$2,0)&lt;&gt;G1339,"Beam Revised","")</f>
        <v>#N/A</v>
      </c>
      <c r="X1339" s="7" t="e">
        <f>IF(VLOOKUP($A1339,'Concrete Beam Schedule'!$A$2:$Q$2902,X$2,0)&lt;&gt;H1339,"Beam Revised","")</f>
        <v>#N/A</v>
      </c>
      <c r="Y1339" s="7" t="e">
        <f>IF(VLOOKUP($A1339,'Concrete Beam Schedule'!$A$2:$Q$2902,Y$2,0)&lt;&gt;I1339,"Beam Revised","")</f>
        <v>#N/A</v>
      </c>
      <c r="Z1339" s="7" t="e">
        <f>IF(VLOOKUP($A1339,'Concrete Beam Schedule'!$A$2:$Q$2902,Z$2,0)&lt;&gt;J1339,"Beam Revised","")</f>
        <v>#N/A</v>
      </c>
      <c r="AA1339" s="7" t="e">
        <f>IF(VLOOKUP($A1339,'Concrete Beam Schedule'!$A$2:$Q$2902,AA$2,0)&lt;&gt;K1339,"Beam Revised","")</f>
        <v>#N/A</v>
      </c>
      <c r="AB1339" s="7" t="e">
        <f>IF(VLOOKUP($A1339,'Concrete Beam Schedule'!$A$2:$Q$2902,AB$2,0)&lt;&gt;L1339,"Beam Revised","")</f>
        <v>#N/A</v>
      </c>
      <c r="AC1339" s="7" t="e">
        <f>IF(VLOOKUP($A1339,'Concrete Beam Schedule'!$A$2:$Q$2902,AC$2,0)&lt;&gt;M1339,"Beam Revised","")</f>
        <v>#N/A</v>
      </c>
      <c r="AD1339" s="7" t="e">
        <f>IF(VLOOKUP($A1339,'Concrete Beam Schedule'!$A$2:$Q$2902,AD$2,0)&lt;&gt;N1339,"Beam Revised","")</f>
        <v>#N/A</v>
      </c>
      <c r="AE1339" s="7" t="e">
        <f>IF(VLOOKUP($A1339,'Concrete Beam Schedule'!$A$2:$Q$2902,AE$2,0)&lt;&gt;O1339,"Beam Revised","")</f>
        <v>#N/A</v>
      </c>
    </row>
    <row r="1340" spans="17:31" ht="13.2" x14ac:dyDescent="0.25">
      <c r="Q1340" s="7">
        <f t="shared" si="20"/>
        <v>0</v>
      </c>
      <c r="R1340" s="7" t="e">
        <f>IF(VLOOKUP($A1340,'Concrete Beam Schedule'!$A$2:$Q$2902,R$2,0)&lt;&gt;B1340,VLOOKUP($A1340,'Concrete Beam Schedule'!$A$2:$Q$2902,R$2,0),"")</f>
        <v>#N/A</v>
      </c>
      <c r="S1340" s="7" t="e">
        <f>IF(VLOOKUP($A1340,'Concrete Beam Schedule'!$A$2:$Q$2902,S$2,0)&lt;&gt;C1340,VLOOKUP($A1340,'Concrete Beam Schedule'!$A$2:$Q$2902,S$2,0),"")</f>
        <v>#N/A</v>
      </c>
      <c r="T1340" s="7" t="e">
        <f>IF(VLOOKUP($A1340,'Concrete Beam Schedule'!$A$2:$Q$2902,T$2,0)&lt;&gt;D1340,"Beam Revised","")</f>
        <v>#N/A</v>
      </c>
      <c r="U1340" s="7" t="e">
        <f>IF(VLOOKUP($A1340,'Concrete Beam Schedule'!$A$2:$Q$2902,U$2,0)&lt;&gt;E1340,"Beam Revised","")</f>
        <v>#N/A</v>
      </c>
      <c r="V1340" s="7" t="e">
        <f>IF(VLOOKUP($A1340,'Concrete Beam Schedule'!$A$2:$Q$2902,V$2,0)&lt;&gt;F1340,"Beam Revised","")</f>
        <v>#N/A</v>
      </c>
      <c r="W1340" s="7" t="e">
        <f>IF(VLOOKUP($A1340,'Concrete Beam Schedule'!$A$2:$Q$2902,W$2,0)&lt;&gt;G1340,"Beam Revised","")</f>
        <v>#N/A</v>
      </c>
      <c r="X1340" s="7" t="e">
        <f>IF(VLOOKUP($A1340,'Concrete Beam Schedule'!$A$2:$Q$2902,X$2,0)&lt;&gt;H1340,"Beam Revised","")</f>
        <v>#N/A</v>
      </c>
      <c r="Y1340" s="7" t="e">
        <f>IF(VLOOKUP($A1340,'Concrete Beam Schedule'!$A$2:$Q$2902,Y$2,0)&lt;&gt;I1340,"Beam Revised","")</f>
        <v>#N/A</v>
      </c>
      <c r="Z1340" s="7" t="e">
        <f>IF(VLOOKUP($A1340,'Concrete Beam Schedule'!$A$2:$Q$2902,Z$2,0)&lt;&gt;J1340,"Beam Revised","")</f>
        <v>#N/A</v>
      </c>
      <c r="AA1340" s="7" t="e">
        <f>IF(VLOOKUP($A1340,'Concrete Beam Schedule'!$A$2:$Q$2902,AA$2,0)&lt;&gt;K1340,"Beam Revised","")</f>
        <v>#N/A</v>
      </c>
      <c r="AB1340" s="7" t="e">
        <f>IF(VLOOKUP($A1340,'Concrete Beam Schedule'!$A$2:$Q$2902,AB$2,0)&lt;&gt;L1340,"Beam Revised","")</f>
        <v>#N/A</v>
      </c>
      <c r="AC1340" s="7" t="e">
        <f>IF(VLOOKUP($A1340,'Concrete Beam Schedule'!$A$2:$Q$2902,AC$2,0)&lt;&gt;M1340,"Beam Revised","")</f>
        <v>#N/A</v>
      </c>
      <c r="AD1340" s="7" t="e">
        <f>IF(VLOOKUP($A1340,'Concrete Beam Schedule'!$A$2:$Q$2902,AD$2,0)&lt;&gt;N1340,"Beam Revised","")</f>
        <v>#N/A</v>
      </c>
      <c r="AE1340" s="7" t="e">
        <f>IF(VLOOKUP($A1340,'Concrete Beam Schedule'!$A$2:$Q$2902,AE$2,0)&lt;&gt;O1340,"Beam Revised","")</f>
        <v>#N/A</v>
      </c>
    </row>
    <row r="1341" spans="17:31" ht="13.2" x14ac:dyDescent="0.25">
      <c r="Q1341" s="7">
        <f t="shared" si="20"/>
        <v>0</v>
      </c>
      <c r="R1341" s="7" t="e">
        <f>IF(VLOOKUP($A1341,'Concrete Beam Schedule'!$A$2:$Q$2902,R$2,0)&lt;&gt;B1341,VLOOKUP($A1341,'Concrete Beam Schedule'!$A$2:$Q$2902,R$2,0),"")</f>
        <v>#N/A</v>
      </c>
      <c r="S1341" s="7" t="e">
        <f>IF(VLOOKUP($A1341,'Concrete Beam Schedule'!$A$2:$Q$2902,S$2,0)&lt;&gt;C1341,VLOOKUP($A1341,'Concrete Beam Schedule'!$A$2:$Q$2902,S$2,0),"")</f>
        <v>#N/A</v>
      </c>
      <c r="T1341" s="7" t="e">
        <f>IF(VLOOKUP($A1341,'Concrete Beam Schedule'!$A$2:$Q$2902,T$2,0)&lt;&gt;D1341,"Beam Revised","")</f>
        <v>#N/A</v>
      </c>
      <c r="U1341" s="7" t="e">
        <f>IF(VLOOKUP($A1341,'Concrete Beam Schedule'!$A$2:$Q$2902,U$2,0)&lt;&gt;E1341,"Beam Revised","")</f>
        <v>#N/A</v>
      </c>
      <c r="V1341" s="7" t="e">
        <f>IF(VLOOKUP($A1341,'Concrete Beam Schedule'!$A$2:$Q$2902,V$2,0)&lt;&gt;F1341,"Beam Revised","")</f>
        <v>#N/A</v>
      </c>
      <c r="W1341" s="7" t="e">
        <f>IF(VLOOKUP($A1341,'Concrete Beam Schedule'!$A$2:$Q$2902,W$2,0)&lt;&gt;G1341,"Beam Revised","")</f>
        <v>#N/A</v>
      </c>
      <c r="X1341" s="7" t="e">
        <f>IF(VLOOKUP($A1341,'Concrete Beam Schedule'!$A$2:$Q$2902,X$2,0)&lt;&gt;H1341,"Beam Revised","")</f>
        <v>#N/A</v>
      </c>
      <c r="Y1341" s="7" t="e">
        <f>IF(VLOOKUP($A1341,'Concrete Beam Schedule'!$A$2:$Q$2902,Y$2,0)&lt;&gt;I1341,"Beam Revised","")</f>
        <v>#N/A</v>
      </c>
      <c r="Z1341" s="7" t="e">
        <f>IF(VLOOKUP($A1341,'Concrete Beam Schedule'!$A$2:$Q$2902,Z$2,0)&lt;&gt;J1341,"Beam Revised","")</f>
        <v>#N/A</v>
      </c>
      <c r="AA1341" s="7" t="e">
        <f>IF(VLOOKUP($A1341,'Concrete Beam Schedule'!$A$2:$Q$2902,AA$2,0)&lt;&gt;K1341,"Beam Revised","")</f>
        <v>#N/A</v>
      </c>
      <c r="AB1341" s="7" t="e">
        <f>IF(VLOOKUP($A1341,'Concrete Beam Schedule'!$A$2:$Q$2902,AB$2,0)&lt;&gt;L1341,"Beam Revised","")</f>
        <v>#N/A</v>
      </c>
      <c r="AC1341" s="7" t="e">
        <f>IF(VLOOKUP($A1341,'Concrete Beam Schedule'!$A$2:$Q$2902,AC$2,0)&lt;&gt;M1341,"Beam Revised","")</f>
        <v>#N/A</v>
      </c>
      <c r="AD1341" s="7" t="e">
        <f>IF(VLOOKUP($A1341,'Concrete Beam Schedule'!$A$2:$Q$2902,AD$2,0)&lt;&gt;N1341,"Beam Revised","")</f>
        <v>#N/A</v>
      </c>
      <c r="AE1341" s="7" t="e">
        <f>IF(VLOOKUP($A1341,'Concrete Beam Schedule'!$A$2:$Q$2902,AE$2,0)&lt;&gt;O1341,"Beam Revised","")</f>
        <v>#N/A</v>
      </c>
    </row>
    <row r="1342" spans="17:31" ht="13.2" x14ac:dyDescent="0.25">
      <c r="Q1342" s="7">
        <f t="shared" si="20"/>
        <v>0</v>
      </c>
      <c r="R1342" s="7" t="e">
        <f>IF(VLOOKUP($A1342,'Concrete Beam Schedule'!$A$2:$Q$2902,R$2,0)&lt;&gt;B1342,VLOOKUP($A1342,'Concrete Beam Schedule'!$A$2:$Q$2902,R$2,0),"")</f>
        <v>#N/A</v>
      </c>
      <c r="S1342" s="7" t="e">
        <f>IF(VLOOKUP($A1342,'Concrete Beam Schedule'!$A$2:$Q$2902,S$2,0)&lt;&gt;C1342,VLOOKUP($A1342,'Concrete Beam Schedule'!$A$2:$Q$2902,S$2,0),"")</f>
        <v>#N/A</v>
      </c>
      <c r="T1342" s="7" t="e">
        <f>IF(VLOOKUP($A1342,'Concrete Beam Schedule'!$A$2:$Q$2902,T$2,0)&lt;&gt;D1342,"Beam Revised","")</f>
        <v>#N/A</v>
      </c>
      <c r="U1342" s="7" t="e">
        <f>IF(VLOOKUP($A1342,'Concrete Beam Schedule'!$A$2:$Q$2902,U$2,0)&lt;&gt;E1342,"Beam Revised","")</f>
        <v>#N/A</v>
      </c>
      <c r="V1342" s="7" t="e">
        <f>IF(VLOOKUP($A1342,'Concrete Beam Schedule'!$A$2:$Q$2902,V$2,0)&lt;&gt;F1342,"Beam Revised","")</f>
        <v>#N/A</v>
      </c>
      <c r="W1342" s="7" t="e">
        <f>IF(VLOOKUP($A1342,'Concrete Beam Schedule'!$A$2:$Q$2902,W$2,0)&lt;&gt;G1342,"Beam Revised","")</f>
        <v>#N/A</v>
      </c>
      <c r="X1342" s="7" t="e">
        <f>IF(VLOOKUP($A1342,'Concrete Beam Schedule'!$A$2:$Q$2902,X$2,0)&lt;&gt;H1342,"Beam Revised","")</f>
        <v>#N/A</v>
      </c>
      <c r="Y1342" s="7" t="e">
        <f>IF(VLOOKUP($A1342,'Concrete Beam Schedule'!$A$2:$Q$2902,Y$2,0)&lt;&gt;I1342,"Beam Revised","")</f>
        <v>#N/A</v>
      </c>
      <c r="Z1342" s="7" t="e">
        <f>IF(VLOOKUP($A1342,'Concrete Beam Schedule'!$A$2:$Q$2902,Z$2,0)&lt;&gt;J1342,"Beam Revised","")</f>
        <v>#N/A</v>
      </c>
      <c r="AA1342" s="7" t="e">
        <f>IF(VLOOKUP($A1342,'Concrete Beam Schedule'!$A$2:$Q$2902,AA$2,0)&lt;&gt;K1342,"Beam Revised","")</f>
        <v>#N/A</v>
      </c>
      <c r="AB1342" s="7" t="e">
        <f>IF(VLOOKUP($A1342,'Concrete Beam Schedule'!$A$2:$Q$2902,AB$2,0)&lt;&gt;L1342,"Beam Revised","")</f>
        <v>#N/A</v>
      </c>
      <c r="AC1342" s="7" t="e">
        <f>IF(VLOOKUP($A1342,'Concrete Beam Schedule'!$A$2:$Q$2902,AC$2,0)&lt;&gt;M1342,"Beam Revised","")</f>
        <v>#N/A</v>
      </c>
      <c r="AD1342" s="7" t="e">
        <f>IF(VLOOKUP($A1342,'Concrete Beam Schedule'!$A$2:$Q$2902,AD$2,0)&lt;&gt;N1342,"Beam Revised","")</f>
        <v>#N/A</v>
      </c>
      <c r="AE1342" s="7" t="e">
        <f>IF(VLOOKUP($A1342,'Concrete Beam Schedule'!$A$2:$Q$2902,AE$2,0)&lt;&gt;O1342,"Beam Revised","")</f>
        <v>#N/A</v>
      </c>
    </row>
    <row r="1343" spans="17:31" ht="13.2" x14ac:dyDescent="0.25">
      <c r="Q1343" s="7">
        <f t="shared" si="20"/>
        <v>0</v>
      </c>
      <c r="R1343" s="7" t="e">
        <f>IF(VLOOKUP($A1343,'Concrete Beam Schedule'!$A$2:$Q$2902,R$2,0)&lt;&gt;B1343,VLOOKUP($A1343,'Concrete Beam Schedule'!$A$2:$Q$2902,R$2,0),"")</f>
        <v>#N/A</v>
      </c>
      <c r="S1343" s="7" t="e">
        <f>IF(VLOOKUP($A1343,'Concrete Beam Schedule'!$A$2:$Q$2902,S$2,0)&lt;&gt;C1343,VLOOKUP($A1343,'Concrete Beam Schedule'!$A$2:$Q$2902,S$2,0),"")</f>
        <v>#N/A</v>
      </c>
      <c r="T1343" s="7" t="e">
        <f>IF(VLOOKUP($A1343,'Concrete Beam Schedule'!$A$2:$Q$2902,T$2,0)&lt;&gt;D1343,"Beam Revised","")</f>
        <v>#N/A</v>
      </c>
      <c r="U1343" s="7" t="e">
        <f>IF(VLOOKUP($A1343,'Concrete Beam Schedule'!$A$2:$Q$2902,U$2,0)&lt;&gt;E1343,"Beam Revised","")</f>
        <v>#N/A</v>
      </c>
      <c r="V1343" s="7" t="e">
        <f>IF(VLOOKUP($A1343,'Concrete Beam Schedule'!$A$2:$Q$2902,V$2,0)&lt;&gt;F1343,"Beam Revised","")</f>
        <v>#N/A</v>
      </c>
      <c r="W1343" s="7" t="e">
        <f>IF(VLOOKUP($A1343,'Concrete Beam Schedule'!$A$2:$Q$2902,W$2,0)&lt;&gt;G1343,"Beam Revised","")</f>
        <v>#N/A</v>
      </c>
      <c r="X1343" s="7" t="e">
        <f>IF(VLOOKUP($A1343,'Concrete Beam Schedule'!$A$2:$Q$2902,X$2,0)&lt;&gt;H1343,"Beam Revised","")</f>
        <v>#N/A</v>
      </c>
      <c r="Y1343" s="7" t="e">
        <f>IF(VLOOKUP($A1343,'Concrete Beam Schedule'!$A$2:$Q$2902,Y$2,0)&lt;&gt;I1343,"Beam Revised","")</f>
        <v>#N/A</v>
      </c>
      <c r="Z1343" s="7" t="e">
        <f>IF(VLOOKUP($A1343,'Concrete Beam Schedule'!$A$2:$Q$2902,Z$2,0)&lt;&gt;J1343,"Beam Revised","")</f>
        <v>#N/A</v>
      </c>
      <c r="AA1343" s="7" t="e">
        <f>IF(VLOOKUP($A1343,'Concrete Beam Schedule'!$A$2:$Q$2902,AA$2,0)&lt;&gt;K1343,"Beam Revised","")</f>
        <v>#N/A</v>
      </c>
      <c r="AB1343" s="7" t="e">
        <f>IF(VLOOKUP($A1343,'Concrete Beam Schedule'!$A$2:$Q$2902,AB$2,0)&lt;&gt;L1343,"Beam Revised","")</f>
        <v>#N/A</v>
      </c>
      <c r="AC1343" s="7" t="e">
        <f>IF(VLOOKUP($A1343,'Concrete Beam Schedule'!$A$2:$Q$2902,AC$2,0)&lt;&gt;M1343,"Beam Revised","")</f>
        <v>#N/A</v>
      </c>
      <c r="AD1343" s="7" t="e">
        <f>IF(VLOOKUP($A1343,'Concrete Beam Schedule'!$A$2:$Q$2902,AD$2,0)&lt;&gt;N1343,"Beam Revised","")</f>
        <v>#N/A</v>
      </c>
      <c r="AE1343" s="7" t="e">
        <f>IF(VLOOKUP($A1343,'Concrete Beam Schedule'!$A$2:$Q$2902,AE$2,0)&lt;&gt;O1343,"Beam Revised","")</f>
        <v>#N/A</v>
      </c>
    </row>
    <row r="1344" spans="17:31" ht="13.2" x14ac:dyDescent="0.25">
      <c r="Q1344" s="7">
        <f t="shared" si="20"/>
        <v>0</v>
      </c>
      <c r="R1344" s="7" t="e">
        <f>IF(VLOOKUP($A1344,'Concrete Beam Schedule'!$A$2:$Q$2902,R$2,0)&lt;&gt;B1344,VLOOKUP($A1344,'Concrete Beam Schedule'!$A$2:$Q$2902,R$2,0),"")</f>
        <v>#N/A</v>
      </c>
      <c r="S1344" s="7" t="e">
        <f>IF(VLOOKUP($A1344,'Concrete Beam Schedule'!$A$2:$Q$2902,S$2,0)&lt;&gt;C1344,VLOOKUP($A1344,'Concrete Beam Schedule'!$A$2:$Q$2902,S$2,0),"")</f>
        <v>#N/A</v>
      </c>
      <c r="T1344" s="7" t="e">
        <f>IF(VLOOKUP($A1344,'Concrete Beam Schedule'!$A$2:$Q$2902,T$2,0)&lt;&gt;D1344,"Beam Revised","")</f>
        <v>#N/A</v>
      </c>
      <c r="U1344" s="7" t="e">
        <f>IF(VLOOKUP($A1344,'Concrete Beam Schedule'!$A$2:$Q$2902,U$2,0)&lt;&gt;E1344,"Beam Revised","")</f>
        <v>#N/A</v>
      </c>
      <c r="V1344" s="7" t="e">
        <f>IF(VLOOKUP($A1344,'Concrete Beam Schedule'!$A$2:$Q$2902,V$2,0)&lt;&gt;F1344,"Beam Revised","")</f>
        <v>#N/A</v>
      </c>
      <c r="W1344" s="7" t="e">
        <f>IF(VLOOKUP($A1344,'Concrete Beam Schedule'!$A$2:$Q$2902,W$2,0)&lt;&gt;G1344,"Beam Revised","")</f>
        <v>#N/A</v>
      </c>
      <c r="X1344" s="7" t="e">
        <f>IF(VLOOKUP($A1344,'Concrete Beam Schedule'!$A$2:$Q$2902,X$2,0)&lt;&gt;H1344,"Beam Revised","")</f>
        <v>#N/A</v>
      </c>
      <c r="Y1344" s="7" t="e">
        <f>IF(VLOOKUP($A1344,'Concrete Beam Schedule'!$A$2:$Q$2902,Y$2,0)&lt;&gt;I1344,"Beam Revised","")</f>
        <v>#N/A</v>
      </c>
      <c r="Z1344" s="7" t="e">
        <f>IF(VLOOKUP($A1344,'Concrete Beam Schedule'!$A$2:$Q$2902,Z$2,0)&lt;&gt;J1344,"Beam Revised","")</f>
        <v>#N/A</v>
      </c>
      <c r="AA1344" s="7" t="e">
        <f>IF(VLOOKUP($A1344,'Concrete Beam Schedule'!$A$2:$Q$2902,AA$2,0)&lt;&gt;K1344,"Beam Revised","")</f>
        <v>#N/A</v>
      </c>
      <c r="AB1344" s="7" t="e">
        <f>IF(VLOOKUP($A1344,'Concrete Beam Schedule'!$A$2:$Q$2902,AB$2,0)&lt;&gt;L1344,"Beam Revised","")</f>
        <v>#N/A</v>
      </c>
      <c r="AC1344" s="7" t="e">
        <f>IF(VLOOKUP($A1344,'Concrete Beam Schedule'!$A$2:$Q$2902,AC$2,0)&lt;&gt;M1344,"Beam Revised","")</f>
        <v>#N/A</v>
      </c>
      <c r="AD1344" s="7" t="e">
        <f>IF(VLOOKUP($A1344,'Concrete Beam Schedule'!$A$2:$Q$2902,AD$2,0)&lt;&gt;N1344,"Beam Revised","")</f>
        <v>#N/A</v>
      </c>
      <c r="AE1344" s="7" t="e">
        <f>IF(VLOOKUP($A1344,'Concrete Beam Schedule'!$A$2:$Q$2902,AE$2,0)&lt;&gt;O1344,"Beam Revised","")</f>
        <v>#N/A</v>
      </c>
    </row>
    <row r="1345" spans="17:31" ht="13.2" x14ac:dyDescent="0.25">
      <c r="Q1345" s="7">
        <f t="shared" si="20"/>
        <v>0</v>
      </c>
      <c r="R1345" s="7" t="e">
        <f>IF(VLOOKUP($A1345,'Concrete Beam Schedule'!$A$2:$Q$2902,R$2,0)&lt;&gt;B1345,VLOOKUP($A1345,'Concrete Beam Schedule'!$A$2:$Q$2902,R$2,0),"")</f>
        <v>#N/A</v>
      </c>
      <c r="S1345" s="7" t="e">
        <f>IF(VLOOKUP($A1345,'Concrete Beam Schedule'!$A$2:$Q$2902,S$2,0)&lt;&gt;C1345,VLOOKUP($A1345,'Concrete Beam Schedule'!$A$2:$Q$2902,S$2,0),"")</f>
        <v>#N/A</v>
      </c>
      <c r="T1345" s="7" t="e">
        <f>IF(VLOOKUP($A1345,'Concrete Beam Schedule'!$A$2:$Q$2902,T$2,0)&lt;&gt;D1345,"Beam Revised","")</f>
        <v>#N/A</v>
      </c>
      <c r="U1345" s="7" t="e">
        <f>IF(VLOOKUP($A1345,'Concrete Beam Schedule'!$A$2:$Q$2902,U$2,0)&lt;&gt;E1345,"Beam Revised","")</f>
        <v>#N/A</v>
      </c>
      <c r="V1345" s="7" t="e">
        <f>IF(VLOOKUP($A1345,'Concrete Beam Schedule'!$A$2:$Q$2902,V$2,0)&lt;&gt;F1345,"Beam Revised","")</f>
        <v>#N/A</v>
      </c>
      <c r="W1345" s="7" t="e">
        <f>IF(VLOOKUP($A1345,'Concrete Beam Schedule'!$A$2:$Q$2902,W$2,0)&lt;&gt;G1345,"Beam Revised","")</f>
        <v>#N/A</v>
      </c>
      <c r="X1345" s="7" t="e">
        <f>IF(VLOOKUP($A1345,'Concrete Beam Schedule'!$A$2:$Q$2902,X$2,0)&lt;&gt;H1345,"Beam Revised","")</f>
        <v>#N/A</v>
      </c>
      <c r="Y1345" s="7" t="e">
        <f>IF(VLOOKUP($A1345,'Concrete Beam Schedule'!$A$2:$Q$2902,Y$2,0)&lt;&gt;I1345,"Beam Revised","")</f>
        <v>#N/A</v>
      </c>
      <c r="Z1345" s="7" t="e">
        <f>IF(VLOOKUP($A1345,'Concrete Beam Schedule'!$A$2:$Q$2902,Z$2,0)&lt;&gt;J1345,"Beam Revised","")</f>
        <v>#N/A</v>
      </c>
      <c r="AA1345" s="7" t="e">
        <f>IF(VLOOKUP($A1345,'Concrete Beam Schedule'!$A$2:$Q$2902,AA$2,0)&lt;&gt;K1345,"Beam Revised","")</f>
        <v>#N/A</v>
      </c>
      <c r="AB1345" s="7" t="e">
        <f>IF(VLOOKUP($A1345,'Concrete Beam Schedule'!$A$2:$Q$2902,AB$2,0)&lt;&gt;L1345,"Beam Revised","")</f>
        <v>#N/A</v>
      </c>
      <c r="AC1345" s="7" t="e">
        <f>IF(VLOOKUP($A1345,'Concrete Beam Schedule'!$A$2:$Q$2902,AC$2,0)&lt;&gt;M1345,"Beam Revised","")</f>
        <v>#N/A</v>
      </c>
      <c r="AD1345" s="7" t="e">
        <f>IF(VLOOKUP($A1345,'Concrete Beam Schedule'!$A$2:$Q$2902,AD$2,0)&lt;&gt;N1345,"Beam Revised","")</f>
        <v>#N/A</v>
      </c>
      <c r="AE1345" s="7" t="e">
        <f>IF(VLOOKUP($A1345,'Concrete Beam Schedule'!$A$2:$Q$2902,AE$2,0)&lt;&gt;O1345,"Beam Revised","")</f>
        <v>#N/A</v>
      </c>
    </row>
    <row r="1346" spans="17:31" ht="13.2" x14ac:dyDescent="0.25">
      <c r="Q1346" s="7">
        <f t="shared" si="20"/>
        <v>0</v>
      </c>
      <c r="R1346" s="7" t="e">
        <f>IF(VLOOKUP($A1346,'Concrete Beam Schedule'!$A$2:$Q$2902,R$2,0)&lt;&gt;B1346,VLOOKUP($A1346,'Concrete Beam Schedule'!$A$2:$Q$2902,R$2,0),"")</f>
        <v>#N/A</v>
      </c>
      <c r="S1346" s="7" t="e">
        <f>IF(VLOOKUP($A1346,'Concrete Beam Schedule'!$A$2:$Q$2902,S$2,0)&lt;&gt;C1346,VLOOKUP($A1346,'Concrete Beam Schedule'!$A$2:$Q$2902,S$2,0),"")</f>
        <v>#N/A</v>
      </c>
      <c r="T1346" s="7" t="e">
        <f>IF(VLOOKUP($A1346,'Concrete Beam Schedule'!$A$2:$Q$2902,T$2,0)&lt;&gt;D1346,"Beam Revised","")</f>
        <v>#N/A</v>
      </c>
      <c r="U1346" s="7" t="e">
        <f>IF(VLOOKUP($A1346,'Concrete Beam Schedule'!$A$2:$Q$2902,U$2,0)&lt;&gt;E1346,"Beam Revised","")</f>
        <v>#N/A</v>
      </c>
      <c r="V1346" s="7" t="e">
        <f>IF(VLOOKUP($A1346,'Concrete Beam Schedule'!$A$2:$Q$2902,V$2,0)&lt;&gt;F1346,"Beam Revised","")</f>
        <v>#N/A</v>
      </c>
      <c r="W1346" s="7" t="e">
        <f>IF(VLOOKUP($A1346,'Concrete Beam Schedule'!$A$2:$Q$2902,W$2,0)&lt;&gt;G1346,"Beam Revised","")</f>
        <v>#N/A</v>
      </c>
      <c r="X1346" s="7" t="e">
        <f>IF(VLOOKUP($A1346,'Concrete Beam Schedule'!$A$2:$Q$2902,X$2,0)&lt;&gt;H1346,"Beam Revised","")</f>
        <v>#N/A</v>
      </c>
      <c r="Y1346" s="7" t="e">
        <f>IF(VLOOKUP($A1346,'Concrete Beam Schedule'!$A$2:$Q$2902,Y$2,0)&lt;&gt;I1346,"Beam Revised","")</f>
        <v>#N/A</v>
      </c>
      <c r="Z1346" s="7" t="e">
        <f>IF(VLOOKUP($A1346,'Concrete Beam Schedule'!$A$2:$Q$2902,Z$2,0)&lt;&gt;J1346,"Beam Revised","")</f>
        <v>#N/A</v>
      </c>
      <c r="AA1346" s="7" t="e">
        <f>IF(VLOOKUP($A1346,'Concrete Beam Schedule'!$A$2:$Q$2902,AA$2,0)&lt;&gt;K1346,"Beam Revised","")</f>
        <v>#N/A</v>
      </c>
      <c r="AB1346" s="7" t="e">
        <f>IF(VLOOKUP($A1346,'Concrete Beam Schedule'!$A$2:$Q$2902,AB$2,0)&lt;&gt;L1346,"Beam Revised","")</f>
        <v>#N/A</v>
      </c>
      <c r="AC1346" s="7" t="e">
        <f>IF(VLOOKUP($A1346,'Concrete Beam Schedule'!$A$2:$Q$2902,AC$2,0)&lt;&gt;M1346,"Beam Revised","")</f>
        <v>#N/A</v>
      </c>
      <c r="AD1346" s="7" t="e">
        <f>IF(VLOOKUP($A1346,'Concrete Beam Schedule'!$A$2:$Q$2902,AD$2,0)&lt;&gt;N1346,"Beam Revised","")</f>
        <v>#N/A</v>
      </c>
      <c r="AE1346" s="7" t="e">
        <f>IF(VLOOKUP($A1346,'Concrete Beam Schedule'!$A$2:$Q$2902,AE$2,0)&lt;&gt;O1346,"Beam Revised","")</f>
        <v>#N/A</v>
      </c>
    </row>
    <row r="1347" spans="17:31" ht="20.100000000000001" customHeight="1" x14ac:dyDescent="0.25">
      <c r="Q1347" s="7">
        <f t="shared" si="20"/>
        <v>0</v>
      </c>
      <c r="R1347" s="7" t="e">
        <f>IF(VLOOKUP($A1347,'Concrete Beam Schedule'!$A$2:$Q$2902,R$2,0)&lt;&gt;B1347,VLOOKUP($A1347,'Concrete Beam Schedule'!$A$2:$Q$2902,R$2,0),"")</f>
        <v>#N/A</v>
      </c>
      <c r="S1347" s="7" t="e">
        <f>IF(VLOOKUP($A1347,'Concrete Beam Schedule'!$A$2:$Q$2902,S$2,0)&lt;&gt;C1347,VLOOKUP($A1347,'Concrete Beam Schedule'!$A$2:$Q$2902,S$2,0),"")</f>
        <v>#N/A</v>
      </c>
      <c r="T1347" s="7" t="e">
        <f>IF(VLOOKUP($A1347,'Concrete Beam Schedule'!$A$2:$Q$2902,T$2,0)&lt;&gt;D1347,"Beam Revised","")</f>
        <v>#N/A</v>
      </c>
      <c r="U1347" s="7" t="e">
        <f>IF(VLOOKUP($A1347,'Concrete Beam Schedule'!$A$2:$Q$2902,U$2,0)&lt;&gt;E1347,"Beam Revised","")</f>
        <v>#N/A</v>
      </c>
      <c r="V1347" s="7" t="e">
        <f>IF(VLOOKUP($A1347,'Concrete Beam Schedule'!$A$2:$Q$2902,V$2,0)&lt;&gt;F1347,"Beam Revised","")</f>
        <v>#N/A</v>
      </c>
      <c r="W1347" s="7" t="e">
        <f>IF(VLOOKUP($A1347,'Concrete Beam Schedule'!$A$2:$Q$2902,W$2,0)&lt;&gt;G1347,"Beam Revised","")</f>
        <v>#N/A</v>
      </c>
      <c r="X1347" s="7" t="e">
        <f>IF(VLOOKUP($A1347,'Concrete Beam Schedule'!$A$2:$Q$2902,X$2,0)&lt;&gt;H1347,"Beam Revised","")</f>
        <v>#N/A</v>
      </c>
      <c r="Y1347" s="7" t="e">
        <f>IF(VLOOKUP($A1347,'Concrete Beam Schedule'!$A$2:$Q$2902,Y$2,0)&lt;&gt;I1347,"Beam Revised","")</f>
        <v>#N/A</v>
      </c>
      <c r="Z1347" s="7" t="e">
        <f>IF(VLOOKUP($A1347,'Concrete Beam Schedule'!$A$2:$Q$2902,Z$2,0)&lt;&gt;J1347,"Beam Revised","")</f>
        <v>#N/A</v>
      </c>
      <c r="AA1347" s="7" t="e">
        <f>IF(VLOOKUP($A1347,'Concrete Beam Schedule'!$A$2:$Q$2902,AA$2,0)&lt;&gt;K1347,"Beam Revised","")</f>
        <v>#N/A</v>
      </c>
      <c r="AB1347" s="7" t="e">
        <f>IF(VLOOKUP($A1347,'Concrete Beam Schedule'!$A$2:$Q$2902,AB$2,0)&lt;&gt;L1347,"Beam Revised","")</f>
        <v>#N/A</v>
      </c>
      <c r="AC1347" s="7" t="e">
        <f>IF(VLOOKUP($A1347,'Concrete Beam Schedule'!$A$2:$Q$2902,AC$2,0)&lt;&gt;M1347,"Beam Revised","")</f>
        <v>#N/A</v>
      </c>
      <c r="AD1347" s="7" t="e">
        <f>IF(VLOOKUP($A1347,'Concrete Beam Schedule'!$A$2:$Q$2902,AD$2,0)&lt;&gt;N1347,"Beam Revised","")</f>
        <v>#N/A</v>
      </c>
      <c r="AE1347" s="7" t="e">
        <f>IF(VLOOKUP($A1347,'Concrete Beam Schedule'!$A$2:$Q$2902,AE$2,0)&lt;&gt;O1347,"Beam Revised","")</f>
        <v>#N/A</v>
      </c>
    </row>
    <row r="1348" spans="17:31" ht="20.100000000000001" customHeight="1" x14ac:dyDescent="0.25">
      <c r="Q1348" s="7">
        <f t="shared" ref="Q1348:Q1411" si="21">A1348</f>
        <v>0</v>
      </c>
      <c r="R1348" s="7" t="e">
        <f>IF(VLOOKUP($A1348,'Concrete Beam Schedule'!$A$2:$Q$2902,R$2,0)&lt;&gt;B1348,VLOOKUP($A1348,'Concrete Beam Schedule'!$A$2:$Q$2902,R$2,0),"")</f>
        <v>#N/A</v>
      </c>
      <c r="S1348" s="7" t="e">
        <f>IF(VLOOKUP($A1348,'Concrete Beam Schedule'!$A$2:$Q$2902,S$2,0)&lt;&gt;C1348,VLOOKUP($A1348,'Concrete Beam Schedule'!$A$2:$Q$2902,S$2,0),"")</f>
        <v>#N/A</v>
      </c>
      <c r="T1348" s="7" t="e">
        <f>IF(VLOOKUP($A1348,'Concrete Beam Schedule'!$A$2:$Q$2902,T$2,0)&lt;&gt;D1348,"Beam Revised","")</f>
        <v>#N/A</v>
      </c>
      <c r="U1348" s="7" t="e">
        <f>IF(VLOOKUP($A1348,'Concrete Beam Schedule'!$A$2:$Q$2902,U$2,0)&lt;&gt;E1348,"Beam Revised","")</f>
        <v>#N/A</v>
      </c>
      <c r="V1348" s="7" t="e">
        <f>IF(VLOOKUP($A1348,'Concrete Beam Schedule'!$A$2:$Q$2902,V$2,0)&lt;&gt;F1348,"Beam Revised","")</f>
        <v>#N/A</v>
      </c>
      <c r="W1348" s="7" t="e">
        <f>IF(VLOOKUP($A1348,'Concrete Beam Schedule'!$A$2:$Q$2902,W$2,0)&lt;&gt;G1348,"Beam Revised","")</f>
        <v>#N/A</v>
      </c>
      <c r="X1348" s="7" t="e">
        <f>IF(VLOOKUP($A1348,'Concrete Beam Schedule'!$A$2:$Q$2902,X$2,0)&lt;&gt;H1348,"Beam Revised","")</f>
        <v>#N/A</v>
      </c>
      <c r="Y1348" s="7" t="e">
        <f>IF(VLOOKUP($A1348,'Concrete Beam Schedule'!$A$2:$Q$2902,Y$2,0)&lt;&gt;I1348,"Beam Revised","")</f>
        <v>#N/A</v>
      </c>
      <c r="Z1348" s="7" t="e">
        <f>IF(VLOOKUP($A1348,'Concrete Beam Schedule'!$A$2:$Q$2902,Z$2,0)&lt;&gt;J1348,"Beam Revised","")</f>
        <v>#N/A</v>
      </c>
      <c r="AA1348" s="7" t="e">
        <f>IF(VLOOKUP($A1348,'Concrete Beam Schedule'!$A$2:$Q$2902,AA$2,0)&lt;&gt;K1348,"Beam Revised","")</f>
        <v>#N/A</v>
      </c>
      <c r="AB1348" s="7" t="e">
        <f>IF(VLOOKUP($A1348,'Concrete Beam Schedule'!$A$2:$Q$2902,AB$2,0)&lt;&gt;L1348,"Beam Revised","")</f>
        <v>#N/A</v>
      </c>
      <c r="AC1348" s="7" t="e">
        <f>IF(VLOOKUP($A1348,'Concrete Beam Schedule'!$A$2:$Q$2902,AC$2,0)&lt;&gt;M1348,"Beam Revised","")</f>
        <v>#N/A</v>
      </c>
      <c r="AD1348" s="7" t="e">
        <f>IF(VLOOKUP($A1348,'Concrete Beam Schedule'!$A$2:$Q$2902,AD$2,0)&lt;&gt;N1348,"Beam Revised","")</f>
        <v>#N/A</v>
      </c>
      <c r="AE1348" s="7" t="e">
        <f>IF(VLOOKUP($A1348,'Concrete Beam Schedule'!$A$2:$Q$2902,AE$2,0)&lt;&gt;O1348,"Beam Revised","")</f>
        <v>#N/A</v>
      </c>
    </row>
    <row r="1349" spans="17:31" ht="20.100000000000001" customHeight="1" x14ac:dyDescent="0.25">
      <c r="Q1349" s="7">
        <f t="shared" si="21"/>
        <v>0</v>
      </c>
      <c r="R1349" s="7" t="e">
        <f>IF(VLOOKUP($A1349,'Concrete Beam Schedule'!$A$2:$Q$2902,R$2,0)&lt;&gt;B1349,VLOOKUP($A1349,'Concrete Beam Schedule'!$A$2:$Q$2902,R$2,0),"")</f>
        <v>#N/A</v>
      </c>
      <c r="S1349" s="7" t="e">
        <f>IF(VLOOKUP($A1349,'Concrete Beam Schedule'!$A$2:$Q$2902,S$2,0)&lt;&gt;C1349,VLOOKUP($A1349,'Concrete Beam Schedule'!$A$2:$Q$2902,S$2,0),"")</f>
        <v>#N/A</v>
      </c>
      <c r="T1349" s="7" t="e">
        <f>IF(VLOOKUP($A1349,'Concrete Beam Schedule'!$A$2:$Q$2902,T$2,0)&lt;&gt;D1349,"Beam Revised","")</f>
        <v>#N/A</v>
      </c>
      <c r="U1349" s="7" t="e">
        <f>IF(VLOOKUP($A1349,'Concrete Beam Schedule'!$A$2:$Q$2902,U$2,0)&lt;&gt;E1349,"Beam Revised","")</f>
        <v>#N/A</v>
      </c>
      <c r="V1349" s="7" t="e">
        <f>IF(VLOOKUP($A1349,'Concrete Beam Schedule'!$A$2:$Q$2902,V$2,0)&lt;&gt;F1349,"Beam Revised","")</f>
        <v>#N/A</v>
      </c>
      <c r="W1349" s="7" t="e">
        <f>IF(VLOOKUP($A1349,'Concrete Beam Schedule'!$A$2:$Q$2902,W$2,0)&lt;&gt;G1349,"Beam Revised","")</f>
        <v>#N/A</v>
      </c>
      <c r="X1349" s="7" t="e">
        <f>IF(VLOOKUP($A1349,'Concrete Beam Schedule'!$A$2:$Q$2902,X$2,0)&lt;&gt;H1349,"Beam Revised","")</f>
        <v>#N/A</v>
      </c>
      <c r="Y1349" s="7" t="e">
        <f>IF(VLOOKUP($A1349,'Concrete Beam Schedule'!$A$2:$Q$2902,Y$2,0)&lt;&gt;I1349,"Beam Revised","")</f>
        <v>#N/A</v>
      </c>
      <c r="Z1349" s="7" t="e">
        <f>IF(VLOOKUP($A1349,'Concrete Beam Schedule'!$A$2:$Q$2902,Z$2,0)&lt;&gt;J1349,"Beam Revised","")</f>
        <v>#N/A</v>
      </c>
      <c r="AA1349" s="7" t="e">
        <f>IF(VLOOKUP($A1349,'Concrete Beam Schedule'!$A$2:$Q$2902,AA$2,0)&lt;&gt;K1349,"Beam Revised","")</f>
        <v>#N/A</v>
      </c>
      <c r="AB1349" s="7" t="e">
        <f>IF(VLOOKUP($A1349,'Concrete Beam Schedule'!$A$2:$Q$2902,AB$2,0)&lt;&gt;L1349,"Beam Revised","")</f>
        <v>#N/A</v>
      </c>
      <c r="AC1349" s="7" t="e">
        <f>IF(VLOOKUP($A1349,'Concrete Beam Schedule'!$A$2:$Q$2902,AC$2,0)&lt;&gt;M1349,"Beam Revised","")</f>
        <v>#N/A</v>
      </c>
      <c r="AD1349" s="7" t="e">
        <f>IF(VLOOKUP($A1349,'Concrete Beam Schedule'!$A$2:$Q$2902,AD$2,0)&lt;&gt;N1349,"Beam Revised","")</f>
        <v>#N/A</v>
      </c>
      <c r="AE1349" s="7" t="e">
        <f>IF(VLOOKUP($A1349,'Concrete Beam Schedule'!$A$2:$Q$2902,AE$2,0)&lt;&gt;O1349,"Beam Revised","")</f>
        <v>#N/A</v>
      </c>
    </row>
    <row r="1350" spans="17:31" ht="20.100000000000001" customHeight="1" x14ac:dyDescent="0.25">
      <c r="Q1350" s="7">
        <f t="shared" si="21"/>
        <v>0</v>
      </c>
      <c r="R1350" s="7" t="e">
        <f>IF(VLOOKUP($A1350,'Concrete Beam Schedule'!$A$2:$Q$2902,R$2,0)&lt;&gt;B1350,VLOOKUP($A1350,'Concrete Beam Schedule'!$A$2:$Q$2902,R$2,0),"")</f>
        <v>#N/A</v>
      </c>
      <c r="S1350" s="7" t="e">
        <f>IF(VLOOKUP($A1350,'Concrete Beam Schedule'!$A$2:$Q$2902,S$2,0)&lt;&gt;C1350,VLOOKUP($A1350,'Concrete Beam Schedule'!$A$2:$Q$2902,S$2,0),"")</f>
        <v>#N/A</v>
      </c>
      <c r="T1350" s="7" t="e">
        <f>IF(VLOOKUP($A1350,'Concrete Beam Schedule'!$A$2:$Q$2902,T$2,0)&lt;&gt;D1350,"Beam Revised","")</f>
        <v>#N/A</v>
      </c>
      <c r="U1350" s="7" t="e">
        <f>IF(VLOOKUP($A1350,'Concrete Beam Schedule'!$A$2:$Q$2902,U$2,0)&lt;&gt;E1350,"Beam Revised","")</f>
        <v>#N/A</v>
      </c>
      <c r="V1350" s="7" t="e">
        <f>IF(VLOOKUP($A1350,'Concrete Beam Schedule'!$A$2:$Q$2902,V$2,0)&lt;&gt;F1350,"Beam Revised","")</f>
        <v>#N/A</v>
      </c>
      <c r="W1350" s="7" t="e">
        <f>IF(VLOOKUP($A1350,'Concrete Beam Schedule'!$A$2:$Q$2902,W$2,0)&lt;&gt;G1350,"Beam Revised","")</f>
        <v>#N/A</v>
      </c>
      <c r="X1350" s="7" t="e">
        <f>IF(VLOOKUP($A1350,'Concrete Beam Schedule'!$A$2:$Q$2902,X$2,0)&lt;&gt;H1350,"Beam Revised","")</f>
        <v>#N/A</v>
      </c>
      <c r="Y1350" s="7" t="e">
        <f>IF(VLOOKUP($A1350,'Concrete Beam Schedule'!$A$2:$Q$2902,Y$2,0)&lt;&gt;I1350,"Beam Revised","")</f>
        <v>#N/A</v>
      </c>
      <c r="Z1350" s="7" t="e">
        <f>IF(VLOOKUP($A1350,'Concrete Beam Schedule'!$A$2:$Q$2902,Z$2,0)&lt;&gt;J1350,"Beam Revised","")</f>
        <v>#N/A</v>
      </c>
      <c r="AA1350" s="7" t="e">
        <f>IF(VLOOKUP($A1350,'Concrete Beam Schedule'!$A$2:$Q$2902,AA$2,0)&lt;&gt;K1350,"Beam Revised","")</f>
        <v>#N/A</v>
      </c>
      <c r="AB1350" s="7" t="e">
        <f>IF(VLOOKUP($A1350,'Concrete Beam Schedule'!$A$2:$Q$2902,AB$2,0)&lt;&gt;L1350,"Beam Revised","")</f>
        <v>#N/A</v>
      </c>
      <c r="AC1350" s="7" t="e">
        <f>IF(VLOOKUP($A1350,'Concrete Beam Schedule'!$A$2:$Q$2902,AC$2,0)&lt;&gt;M1350,"Beam Revised","")</f>
        <v>#N/A</v>
      </c>
      <c r="AD1350" s="7" t="e">
        <f>IF(VLOOKUP($A1350,'Concrete Beam Schedule'!$A$2:$Q$2902,AD$2,0)&lt;&gt;N1350,"Beam Revised","")</f>
        <v>#N/A</v>
      </c>
      <c r="AE1350" s="7" t="e">
        <f>IF(VLOOKUP($A1350,'Concrete Beam Schedule'!$A$2:$Q$2902,AE$2,0)&lt;&gt;O1350,"Beam Revised","")</f>
        <v>#N/A</v>
      </c>
    </row>
    <row r="1351" spans="17:31" ht="20.100000000000001" customHeight="1" x14ac:dyDescent="0.25">
      <c r="Q1351" s="7">
        <f t="shared" si="21"/>
        <v>0</v>
      </c>
      <c r="R1351" s="7" t="e">
        <f>IF(VLOOKUP($A1351,'Concrete Beam Schedule'!$A$2:$Q$2902,R$2,0)&lt;&gt;B1351,VLOOKUP($A1351,'Concrete Beam Schedule'!$A$2:$Q$2902,R$2,0),"")</f>
        <v>#N/A</v>
      </c>
      <c r="S1351" s="7" t="e">
        <f>IF(VLOOKUP($A1351,'Concrete Beam Schedule'!$A$2:$Q$2902,S$2,0)&lt;&gt;C1351,VLOOKUP($A1351,'Concrete Beam Schedule'!$A$2:$Q$2902,S$2,0),"")</f>
        <v>#N/A</v>
      </c>
      <c r="T1351" s="7" t="e">
        <f>IF(VLOOKUP($A1351,'Concrete Beam Schedule'!$A$2:$Q$2902,T$2,0)&lt;&gt;D1351,"Beam Revised","")</f>
        <v>#N/A</v>
      </c>
      <c r="U1351" s="7" t="e">
        <f>IF(VLOOKUP($A1351,'Concrete Beam Schedule'!$A$2:$Q$2902,U$2,0)&lt;&gt;E1351,"Beam Revised","")</f>
        <v>#N/A</v>
      </c>
      <c r="V1351" s="7" t="e">
        <f>IF(VLOOKUP($A1351,'Concrete Beam Schedule'!$A$2:$Q$2902,V$2,0)&lt;&gt;F1351,"Beam Revised","")</f>
        <v>#N/A</v>
      </c>
      <c r="W1351" s="7" t="e">
        <f>IF(VLOOKUP($A1351,'Concrete Beam Schedule'!$A$2:$Q$2902,W$2,0)&lt;&gt;G1351,"Beam Revised","")</f>
        <v>#N/A</v>
      </c>
      <c r="X1351" s="7" t="e">
        <f>IF(VLOOKUP($A1351,'Concrete Beam Schedule'!$A$2:$Q$2902,X$2,0)&lt;&gt;H1351,"Beam Revised","")</f>
        <v>#N/A</v>
      </c>
      <c r="Y1351" s="7" t="e">
        <f>IF(VLOOKUP($A1351,'Concrete Beam Schedule'!$A$2:$Q$2902,Y$2,0)&lt;&gt;I1351,"Beam Revised","")</f>
        <v>#N/A</v>
      </c>
      <c r="Z1351" s="7" t="e">
        <f>IF(VLOOKUP($A1351,'Concrete Beam Schedule'!$A$2:$Q$2902,Z$2,0)&lt;&gt;J1351,"Beam Revised","")</f>
        <v>#N/A</v>
      </c>
      <c r="AA1351" s="7" t="e">
        <f>IF(VLOOKUP($A1351,'Concrete Beam Schedule'!$A$2:$Q$2902,AA$2,0)&lt;&gt;K1351,"Beam Revised","")</f>
        <v>#N/A</v>
      </c>
      <c r="AB1351" s="7" t="e">
        <f>IF(VLOOKUP($A1351,'Concrete Beam Schedule'!$A$2:$Q$2902,AB$2,0)&lt;&gt;L1351,"Beam Revised","")</f>
        <v>#N/A</v>
      </c>
      <c r="AC1351" s="7" t="e">
        <f>IF(VLOOKUP($A1351,'Concrete Beam Schedule'!$A$2:$Q$2902,AC$2,0)&lt;&gt;M1351,"Beam Revised","")</f>
        <v>#N/A</v>
      </c>
      <c r="AD1351" s="7" t="e">
        <f>IF(VLOOKUP($A1351,'Concrete Beam Schedule'!$A$2:$Q$2902,AD$2,0)&lt;&gt;N1351,"Beam Revised","")</f>
        <v>#N/A</v>
      </c>
      <c r="AE1351" s="7" t="e">
        <f>IF(VLOOKUP($A1351,'Concrete Beam Schedule'!$A$2:$Q$2902,AE$2,0)&lt;&gt;O1351,"Beam Revised","")</f>
        <v>#N/A</v>
      </c>
    </row>
    <row r="1352" spans="17:31" ht="20.100000000000001" customHeight="1" x14ac:dyDescent="0.25">
      <c r="Q1352" s="7">
        <f t="shared" si="21"/>
        <v>0</v>
      </c>
      <c r="R1352" s="7" t="e">
        <f>IF(VLOOKUP($A1352,'Concrete Beam Schedule'!$A$2:$Q$2902,R$2,0)&lt;&gt;B1352,VLOOKUP($A1352,'Concrete Beam Schedule'!$A$2:$Q$2902,R$2,0),"")</f>
        <v>#N/A</v>
      </c>
      <c r="S1352" s="7" t="e">
        <f>IF(VLOOKUP($A1352,'Concrete Beam Schedule'!$A$2:$Q$2902,S$2,0)&lt;&gt;C1352,VLOOKUP($A1352,'Concrete Beam Schedule'!$A$2:$Q$2902,S$2,0),"")</f>
        <v>#N/A</v>
      </c>
      <c r="T1352" s="7" t="e">
        <f>IF(VLOOKUP($A1352,'Concrete Beam Schedule'!$A$2:$Q$2902,T$2,0)&lt;&gt;D1352,"Beam Revised","")</f>
        <v>#N/A</v>
      </c>
      <c r="U1352" s="7" t="e">
        <f>IF(VLOOKUP($A1352,'Concrete Beam Schedule'!$A$2:$Q$2902,U$2,0)&lt;&gt;E1352,"Beam Revised","")</f>
        <v>#N/A</v>
      </c>
      <c r="V1352" s="7" t="e">
        <f>IF(VLOOKUP($A1352,'Concrete Beam Schedule'!$A$2:$Q$2902,V$2,0)&lt;&gt;F1352,"Beam Revised","")</f>
        <v>#N/A</v>
      </c>
      <c r="W1352" s="7" t="e">
        <f>IF(VLOOKUP($A1352,'Concrete Beam Schedule'!$A$2:$Q$2902,W$2,0)&lt;&gt;G1352,"Beam Revised","")</f>
        <v>#N/A</v>
      </c>
      <c r="X1352" s="7" t="e">
        <f>IF(VLOOKUP($A1352,'Concrete Beam Schedule'!$A$2:$Q$2902,X$2,0)&lt;&gt;H1352,"Beam Revised","")</f>
        <v>#N/A</v>
      </c>
      <c r="Y1352" s="7" t="e">
        <f>IF(VLOOKUP($A1352,'Concrete Beam Schedule'!$A$2:$Q$2902,Y$2,0)&lt;&gt;I1352,"Beam Revised","")</f>
        <v>#N/A</v>
      </c>
      <c r="Z1352" s="7" t="e">
        <f>IF(VLOOKUP($A1352,'Concrete Beam Schedule'!$A$2:$Q$2902,Z$2,0)&lt;&gt;J1352,"Beam Revised","")</f>
        <v>#N/A</v>
      </c>
      <c r="AA1352" s="7" t="e">
        <f>IF(VLOOKUP($A1352,'Concrete Beam Schedule'!$A$2:$Q$2902,AA$2,0)&lt;&gt;K1352,"Beam Revised","")</f>
        <v>#N/A</v>
      </c>
      <c r="AB1352" s="7" t="e">
        <f>IF(VLOOKUP($A1352,'Concrete Beam Schedule'!$A$2:$Q$2902,AB$2,0)&lt;&gt;L1352,"Beam Revised","")</f>
        <v>#N/A</v>
      </c>
      <c r="AC1352" s="7" t="e">
        <f>IF(VLOOKUP($A1352,'Concrete Beam Schedule'!$A$2:$Q$2902,AC$2,0)&lt;&gt;M1352,"Beam Revised","")</f>
        <v>#N/A</v>
      </c>
      <c r="AD1352" s="7" t="e">
        <f>IF(VLOOKUP($A1352,'Concrete Beam Schedule'!$A$2:$Q$2902,AD$2,0)&lt;&gt;N1352,"Beam Revised","")</f>
        <v>#N/A</v>
      </c>
      <c r="AE1352" s="7" t="e">
        <f>IF(VLOOKUP($A1352,'Concrete Beam Schedule'!$A$2:$Q$2902,AE$2,0)&lt;&gt;O1352,"Beam Revised","")</f>
        <v>#N/A</v>
      </c>
    </row>
    <row r="1353" spans="17:31" ht="20.100000000000001" customHeight="1" x14ac:dyDescent="0.25">
      <c r="Q1353" s="7">
        <f t="shared" si="21"/>
        <v>0</v>
      </c>
      <c r="R1353" s="7" t="e">
        <f>IF(VLOOKUP($A1353,'Concrete Beam Schedule'!$A$2:$Q$2902,R$2,0)&lt;&gt;B1353,VLOOKUP($A1353,'Concrete Beam Schedule'!$A$2:$Q$2902,R$2,0),"")</f>
        <v>#N/A</v>
      </c>
      <c r="S1353" s="7" t="e">
        <f>IF(VLOOKUP($A1353,'Concrete Beam Schedule'!$A$2:$Q$2902,S$2,0)&lt;&gt;C1353,VLOOKUP($A1353,'Concrete Beam Schedule'!$A$2:$Q$2902,S$2,0),"")</f>
        <v>#N/A</v>
      </c>
      <c r="T1353" s="7" t="e">
        <f>IF(VLOOKUP($A1353,'Concrete Beam Schedule'!$A$2:$Q$2902,T$2,0)&lt;&gt;D1353,"Beam Revised","")</f>
        <v>#N/A</v>
      </c>
      <c r="U1353" s="7" t="e">
        <f>IF(VLOOKUP($A1353,'Concrete Beam Schedule'!$A$2:$Q$2902,U$2,0)&lt;&gt;E1353,"Beam Revised","")</f>
        <v>#N/A</v>
      </c>
      <c r="V1353" s="7" t="e">
        <f>IF(VLOOKUP($A1353,'Concrete Beam Schedule'!$A$2:$Q$2902,V$2,0)&lt;&gt;F1353,"Beam Revised","")</f>
        <v>#N/A</v>
      </c>
      <c r="W1353" s="7" t="e">
        <f>IF(VLOOKUP($A1353,'Concrete Beam Schedule'!$A$2:$Q$2902,W$2,0)&lt;&gt;G1353,"Beam Revised","")</f>
        <v>#N/A</v>
      </c>
      <c r="X1353" s="7" t="e">
        <f>IF(VLOOKUP($A1353,'Concrete Beam Schedule'!$A$2:$Q$2902,X$2,0)&lt;&gt;H1353,"Beam Revised","")</f>
        <v>#N/A</v>
      </c>
      <c r="Y1353" s="7" t="e">
        <f>IF(VLOOKUP($A1353,'Concrete Beam Schedule'!$A$2:$Q$2902,Y$2,0)&lt;&gt;I1353,"Beam Revised","")</f>
        <v>#N/A</v>
      </c>
      <c r="Z1353" s="7" t="e">
        <f>IF(VLOOKUP($A1353,'Concrete Beam Schedule'!$A$2:$Q$2902,Z$2,0)&lt;&gt;J1353,"Beam Revised","")</f>
        <v>#N/A</v>
      </c>
      <c r="AA1353" s="7" t="e">
        <f>IF(VLOOKUP($A1353,'Concrete Beam Schedule'!$A$2:$Q$2902,AA$2,0)&lt;&gt;K1353,"Beam Revised","")</f>
        <v>#N/A</v>
      </c>
      <c r="AB1353" s="7" t="e">
        <f>IF(VLOOKUP($A1353,'Concrete Beam Schedule'!$A$2:$Q$2902,AB$2,0)&lt;&gt;L1353,"Beam Revised","")</f>
        <v>#N/A</v>
      </c>
      <c r="AC1353" s="7" t="e">
        <f>IF(VLOOKUP($A1353,'Concrete Beam Schedule'!$A$2:$Q$2902,AC$2,0)&lt;&gt;M1353,"Beam Revised","")</f>
        <v>#N/A</v>
      </c>
      <c r="AD1353" s="7" t="e">
        <f>IF(VLOOKUP($A1353,'Concrete Beam Schedule'!$A$2:$Q$2902,AD$2,0)&lt;&gt;N1353,"Beam Revised","")</f>
        <v>#N/A</v>
      </c>
      <c r="AE1353" s="7" t="e">
        <f>IF(VLOOKUP($A1353,'Concrete Beam Schedule'!$A$2:$Q$2902,AE$2,0)&lt;&gt;O1353,"Beam Revised","")</f>
        <v>#N/A</v>
      </c>
    </row>
    <row r="1354" spans="17:31" ht="20.100000000000001" customHeight="1" x14ac:dyDescent="0.25">
      <c r="Q1354" s="7">
        <f t="shared" si="21"/>
        <v>0</v>
      </c>
      <c r="R1354" s="7" t="e">
        <f>IF(VLOOKUP($A1354,'Concrete Beam Schedule'!$A$2:$Q$2902,R$2,0)&lt;&gt;B1354,VLOOKUP($A1354,'Concrete Beam Schedule'!$A$2:$Q$2902,R$2,0),"")</f>
        <v>#N/A</v>
      </c>
      <c r="S1354" s="7" t="e">
        <f>IF(VLOOKUP($A1354,'Concrete Beam Schedule'!$A$2:$Q$2902,S$2,0)&lt;&gt;C1354,VLOOKUP($A1354,'Concrete Beam Schedule'!$A$2:$Q$2902,S$2,0),"")</f>
        <v>#N/A</v>
      </c>
      <c r="T1354" s="7" t="e">
        <f>IF(VLOOKUP($A1354,'Concrete Beam Schedule'!$A$2:$Q$2902,T$2,0)&lt;&gt;D1354,"Beam Revised","")</f>
        <v>#N/A</v>
      </c>
      <c r="U1354" s="7" t="e">
        <f>IF(VLOOKUP($A1354,'Concrete Beam Schedule'!$A$2:$Q$2902,U$2,0)&lt;&gt;E1354,"Beam Revised","")</f>
        <v>#N/A</v>
      </c>
      <c r="V1354" s="7" t="e">
        <f>IF(VLOOKUP($A1354,'Concrete Beam Schedule'!$A$2:$Q$2902,V$2,0)&lt;&gt;F1354,"Beam Revised","")</f>
        <v>#N/A</v>
      </c>
      <c r="W1354" s="7" t="e">
        <f>IF(VLOOKUP($A1354,'Concrete Beam Schedule'!$A$2:$Q$2902,W$2,0)&lt;&gt;G1354,"Beam Revised","")</f>
        <v>#N/A</v>
      </c>
      <c r="X1354" s="7" t="e">
        <f>IF(VLOOKUP($A1354,'Concrete Beam Schedule'!$A$2:$Q$2902,X$2,0)&lt;&gt;H1354,"Beam Revised","")</f>
        <v>#N/A</v>
      </c>
      <c r="Y1354" s="7" t="e">
        <f>IF(VLOOKUP($A1354,'Concrete Beam Schedule'!$A$2:$Q$2902,Y$2,0)&lt;&gt;I1354,"Beam Revised","")</f>
        <v>#N/A</v>
      </c>
      <c r="Z1354" s="7" t="e">
        <f>IF(VLOOKUP($A1354,'Concrete Beam Schedule'!$A$2:$Q$2902,Z$2,0)&lt;&gt;J1354,"Beam Revised","")</f>
        <v>#N/A</v>
      </c>
      <c r="AA1354" s="7" t="e">
        <f>IF(VLOOKUP($A1354,'Concrete Beam Schedule'!$A$2:$Q$2902,AA$2,0)&lt;&gt;K1354,"Beam Revised","")</f>
        <v>#N/A</v>
      </c>
      <c r="AB1354" s="7" t="e">
        <f>IF(VLOOKUP($A1354,'Concrete Beam Schedule'!$A$2:$Q$2902,AB$2,0)&lt;&gt;L1354,"Beam Revised","")</f>
        <v>#N/A</v>
      </c>
      <c r="AC1354" s="7" t="e">
        <f>IF(VLOOKUP($A1354,'Concrete Beam Schedule'!$A$2:$Q$2902,AC$2,0)&lt;&gt;M1354,"Beam Revised","")</f>
        <v>#N/A</v>
      </c>
      <c r="AD1354" s="7" t="e">
        <f>IF(VLOOKUP($A1354,'Concrete Beam Schedule'!$A$2:$Q$2902,AD$2,0)&lt;&gt;N1354,"Beam Revised","")</f>
        <v>#N/A</v>
      </c>
      <c r="AE1354" s="7" t="e">
        <f>IF(VLOOKUP($A1354,'Concrete Beam Schedule'!$A$2:$Q$2902,AE$2,0)&lt;&gt;O1354,"Beam Revised","")</f>
        <v>#N/A</v>
      </c>
    </row>
    <row r="1355" spans="17:31" ht="20.100000000000001" customHeight="1" x14ac:dyDescent="0.25">
      <c r="Q1355" s="7">
        <f t="shared" si="21"/>
        <v>0</v>
      </c>
      <c r="R1355" s="7" t="e">
        <f>IF(VLOOKUP($A1355,'Concrete Beam Schedule'!$A$2:$Q$2902,R$2,0)&lt;&gt;B1355,VLOOKUP($A1355,'Concrete Beam Schedule'!$A$2:$Q$2902,R$2,0),"")</f>
        <v>#N/A</v>
      </c>
      <c r="S1355" s="7" t="e">
        <f>IF(VLOOKUP($A1355,'Concrete Beam Schedule'!$A$2:$Q$2902,S$2,0)&lt;&gt;C1355,VLOOKUP($A1355,'Concrete Beam Schedule'!$A$2:$Q$2902,S$2,0),"")</f>
        <v>#N/A</v>
      </c>
      <c r="T1355" s="7" t="e">
        <f>IF(VLOOKUP($A1355,'Concrete Beam Schedule'!$A$2:$Q$2902,T$2,0)&lt;&gt;D1355,"Beam Revised","")</f>
        <v>#N/A</v>
      </c>
      <c r="U1355" s="7" t="e">
        <f>IF(VLOOKUP($A1355,'Concrete Beam Schedule'!$A$2:$Q$2902,U$2,0)&lt;&gt;E1355,"Beam Revised","")</f>
        <v>#N/A</v>
      </c>
      <c r="V1355" s="7" t="e">
        <f>IF(VLOOKUP($A1355,'Concrete Beam Schedule'!$A$2:$Q$2902,V$2,0)&lt;&gt;F1355,"Beam Revised","")</f>
        <v>#N/A</v>
      </c>
      <c r="W1355" s="7" t="e">
        <f>IF(VLOOKUP($A1355,'Concrete Beam Schedule'!$A$2:$Q$2902,W$2,0)&lt;&gt;G1355,"Beam Revised","")</f>
        <v>#N/A</v>
      </c>
      <c r="X1355" s="7" t="e">
        <f>IF(VLOOKUP($A1355,'Concrete Beam Schedule'!$A$2:$Q$2902,X$2,0)&lt;&gt;H1355,"Beam Revised","")</f>
        <v>#N/A</v>
      </c>
      <c r="Y1355" s="7" t="e">
        <f>IF(VLOOKUP($A1355,'Concrete Beam Schedule'!$A$2:$Q$2902,Y$2,0)&lt;&gt;I1355,"Beam Revised","")</f>
        <v>#N/A</v>
      </c>
      <c r="Z1355" s="7" t="e">
        <f>IF(VLOOKUP($A1355,'Concrete Beam Schedule'!$A$2:$Q$2902,Z$2,0)&lt;&gt;J1355,"Beam Revised","")</f>
        <v>#N/A</v>
      </c>
      <c r="AA1355" s="7" t="e">
        <f>IF(VLOOKUP($A1355,'Concrete Beam Schedule'!$A$2:$Q$2902,AA$2,0)&lt;&gt;K1355,"Beam Revised","")</f>
        <v>#N/A</v>
      </c>
      <c r="AB1355" s="7" t="e">
        <f>IF(VLOOKUP($A1355,'Concrete Beam Schedule'!$A$2:$Q$2902,AB$2,0)&lt;&gt;L1355,"Beam Revised","")</f>
        <v>#N/A</v>
      </c>
      <c r="AC1355" s="7" t="e">
        <f>IF(VLOOKUP($A1355,'Concrete Beam Schedule'!$A$2:$Q$2902,AC$2,0)&lt;&gt;M1355,"Beam Revised","")</f>
        <v>#N/A</v>
      </c>
      <c r="AD1355" s="7" t="e">
        <f>IF(VLOOKUP($A1355,'Concrete Beam Schedule'!$A$2:$Q$2902,AD$2,0)&lt;&gt;N1355,"Beam Revised","")</f>
        <v>#N/A</v>
      </c>
      <c r="AE1355" s="7" t="e">
        <f>IF(VLOOKUP($A1355,'Concrete Beam Schedule'!$A$2:$Q$2902,AE$2,0)&lt;&gt;O1355,"Beam Revised","")</f>
        <v>#N/A</v>
      </c>
    </row>
    <row r="1356" spans="17:31" ht="20.100000000000001" customHeight="1" x14ac:dyDescent="0.25">
      <c r="Q1356" s="7">
        <f t="shared" si="21"/>
        <v>0</v>
      </c>
      <c r="R1356" s="7" t="e">
        <f>IF(VLOOKUP($A1356,'Concrete Beam Schedule'!$A$2:$Q$2902,R$2,0)&lt;&gt;B1356,VLOOKUP($A1356,'Concrete Beam Schedule'!$A$2:$Q$2902,R$2,0),"")</f>
        <v>#N/A</v>
      </c>
      <c r="S1356" s="7" t="e">
        <f>IF(VLOOKUP($A1356,'Concrete Beam Schedule'!$A$2:$Q$2902,S$2,0)&lt;&gt;C1356,VLOOKUP($A1356,'Concrete Beam Schedule'!$A$2:$Q$2902,S$2,0),"")</f>
        <v>#N/A</v>
      </c>
      <c r="T1356" s="7" t="e">
        <f>IF(VLOOKUP($A1356,'Concrete Beam Schedule'!$A$2:$Q$2902,T$2,0)&lt;&gt;D1356,"Beam Revised","")</f>
        <v>#N/A</v>
      </c>
      <c r="U1356" s="7" t="e">
        <f>IF(VLOOKUP($A1356,'Concrete Beam Schedule'!$A$2:$Q$2902,U$2,0)&lt;&gt;E1356,"Beam Revised","")</f>
        <v>#N/A</v>
      </c>
      <c r="V1356" s="7" t="e">
        <f>IF(VLOOKUP($A1356,'Concrete Beam Schedule'!$A$2:$Q$2902,V$2,0)&lt;&gt;F1356,"Beam Revised","")</f>
        <v>#N/A</v>
      </c>
      <c r="W1356" s="7" t="e">
        <f>IF(VLOOKUP($A1356,'Concrete Beam Schedule'!$A$2:$Q$2902,W$2,0)&lt;&gt;G1356,"Beam Revised","")</f>
        <v>#N/A</v>
      </c>
      <c r="X1356" s="7" t="e">
        <f>IF(VLOOKUP($A1356,'Concrete Beam Schedule'!$A$2:$Q$2902,X$2,0)&lt;&gt;H1356,"Beam Revised","")</f>
        <v>#N/A</v>
      </c>
      <c r="Y1356" s="7" t="e">
        <f>IF(VLOOKUP($A1356,'Concrete Beam Schedule'!$A$2:$Q$2902,Y$2,0)&lt;&gt;I1356,"Beam Revised","")</f>
        <v>#N/A</v>
      </c>
      <c r="Z1356" s="7" t="e">
        <f>IF(VLOOKUP($A1356,'Concrete Beam Schedule'!$A$2:$Q$2902,Z$2,0)&lt;&gt;J1356,"Beam Revised","")</f>
        <v>#N/A</v>
      </c>
      <c r="AA1356" s="7" t="e">
        <f>IF(VLOOKUP($A1356,'Concrete Beam Schedule'!$A$2:$Q$2902,AA$2,0)&lt;&gt;K1356,"Beam Revised","")</f>
        <v>#N/A</v>
      </c>
      <c r="AB1356" s="7" t="e">
        <f>IF(VLOOKUP($A1356,'Concrete Beam Schedule'!$A$2:$Q$2902,AB$2,0)&lt;&gt;L1356,"Beam Revised","")</f>
        <v>#N/A</v>
      </c>
      <c r="AC1356" s="7" t="e">
        <f>IF(VLOOKUP($A1356,'Concrete Beam Schedule'!$A$2:$Q$2902,AC$2,0)&lt;&gt;M1356,"Beam Revised","")</f>
        <v>#N/A</v>
      </c>
      <c r="AD1356" s="7" t="e">
        <f>IF(VLOOKUP($A1356,'Concrete Beam Schedule'!$A$2:$Q$2902,AD$2,0)&lt;&gt;N1356,"Beam Revised","")</f>
        <v>#N/A</v>
      </c>
      <c r="AE1356" s="7" t="e">
        <f>IF(VLOOKUP($A1356,'Concrete Beam Schedule'!$A$2:$Q$2902,AE$2,0)&lt;&gt;O1356,"Beam Revised","")</f>
        <v>#N/A</v>
      </c>
    </row>
    <row r="1357" spans="17:31" ht="20.100000000000001" customHeight="1" x14ac:dyDescent="0.25">
      <c r="Q1357" s="7">
        <f t="shared" si="21"/>
        <v>0</v>
      </c>
      <c r="R1357" s="7" t="e">
        <f>IF(VLOOKUP($A1357,'Concrete Beam Schedule'!$A$2:$Q$2902,R$2,0)&lt;&gt;B1357,VLOOKUP($A1357,'Concrete Beam Schedule'!$A$2:$Q$2902,R$2,0),"")</f>
        <v>#N/A</v>
      </c>
      <c r="S1357" s="7" t="e">
        <f>IF(VLOOKUP($A1357,'Concrete Beam Schedule'!$A$2:$Q$2902,S$2,0)&lt;&gt;C1357,VLOOKUP($A1357,'Concrete Beam Schedule'!$A$2:$Q$2902,S$2,0),"")</f>
        <v>#N/A</v>
      </c>
      <c r="T1357" s="7" t="e">
        <f>IF(VLOOKUP($A1357,'Concrete Beam Schedule'!$A$2:$Q$2902,T$2,0)&lt;&gt;D1357,"Beam Revised","")</f>
        <v>#N/A</v>
      </c>
      <c r="U1357" s="7" t="e">
        <f>IF(VLOOKUP($A1357,'Concrete Beam Schedule'!$A$2:$Q$2902,U$2,0)&lt;&gt;E1357,"Beam Revised","")</f>
        <v>#N/A</v>
      </c>
      <c r="V1357" s="7" t="e">
        <f>IF(VLOOKUP($A1357,'Concrete Beam Schedule'!$A$2:$Q$2902,V$2,0)&lt;&gt;F1357,"Beam Revised","")</f>
        <v>#N/A</v>
      </c>
      <c r="W1357" s="7" t="e">
        <f>IF(VLOOKUP($A1357,'Concrete Beam Schedule'!$A$2:$Q$2902,W$2,0)&lt;&gt;G1357,"Beam Revised","")</f>
        <v>#N/A</v>
      </c>
      <c r="X1357" s="7" t="e">
        <f>IF(VLOOKUP($A1357,'Concrete Beam Schedule'!$A$2:$Q$2902,X$2,0)&lt;&gt;H1357,"Beam Revised","")</f>
        <v>#N/A</v>
      </c>
      <c r="Y1357" s="7" t="e">
        <f>IF(VLOOKUP($A1357,'Concrete Beam Schedule'!$A$2:$Q$2902,Y$2,0)&lt;&gt;I1357,"Beam Revised","")</f>
        <v>#N/A</v>
      </c>
      <c r="Z1357" s="7" t="e">
        <f>IF(VLOOKUP($A1357,'Concrete Beam Schedule'!$A$2:$Q$2902,Z$2,0)&lt;&gt;J1357,"Beam Revised","")</f>
        <v>#N/A</v>
      </c>
      <c r="AA1357" s="7" t="e">
        <f>IF(VLOOKUP($A1357,'Concrete Beam Schedule'!$A$2:$Q$2902,AA$2,0)&lt;&gt;K1357,"Beam Revised","")</f>
        <v>#N/A</v>
      </c>
      <c r="AB1357" s="7" t="e">
        <f>IF(VLOOKUP($A1357,'Concrete Beam Schedule'!$A$2:$Q$2902,AB$2,0)&lt;&gt;L1357,"Beam Revised","")</f>
        <v>#N/A</v>
      </c>
      <c r="AC1357" s="7" t="e">
        <f>IF(VLOOKUP($A1357,'Concrete Beam Schedule'!$A$2:$Q$2902,AC$2,0)&lt;&gt;M1357,"Beam Revised","")</f>
        <v>#N/A</v>
      </c>
      <c r="AD1357" s="7" t="e">
        <f>IF(VLOOKUP($A1357,'Concrete Beam Schedule'!$A$2:$Q$2902,AD$2,0)&lt;&gt;N1357,"Beam Revised","")</f>
        <v>#N/A</v>
      </c>
      <c r="AE1357" s="7" t="e">
        <f>IF(VLOOKUP($A1357,'Concrete Beam Schedule'!$A$2:$Q$2902,AE$2,0)&lt;&gt;O1357,"Beam Revised","")</f>
        <v>#N/A</v>
      </c>
    </row>
    <row r="1358" spans="17:31" ht="20.100000000000001" customHeight="1" x14ac:dyDescent="0.25">
      <c r="Q1358" s="7">
        <f t="shared" si="21"/>
        <v>0</v>
      </c>
      <c r="R1358" s="7" t="e">
        <f>IF(VLOOKUP($A1358,'Concrete Beam Schedule'!$A$2:$Q$2902,R$2,0)&lt;&gt;B1358,VLOOKUP($A1358,'Concrete Beam Schedule'!$A$2:$Q$2902,R$2,0),"")</f>
        <v>#N/A</v>
      </c>
      <c r="S1358" s="7" t="e">
        <f>IF(VLOOKUP($A1358,'Concrete Beam Schedule'!$A$2:$Q$2902,S$2,0)&lt;&gt;C1358,VLOOKUP($A1358,'Concrete Beam Schedule'!$A$2:$Q$2902,S$2,0),"")</f>
        <v>#N/A</v>
      </c>
      <c r="T1358" s="7" t="e">
        <f>IF(VLOOKUP($A1358,'Concrete Beam Schedule'!$A$2:$Q$2902,T$2,0)&lt;&gt;D1358,"Beam Revised","")</f>
        <v>#N/A</v>
      </c>
      <c r="U1358" s="7" t="e">
        <f>IF(VLOOKUP($A1358,'Concrete Beam Schedule'!$A$2:$Q$2902,U$2,0)&lt;&gt;E1358,"Beam Revised","")</f>
        <v>#N/A</v>
      </c>
      <c r="V1358" s="7" t="e">
        <f>IF(VLOOKUP($A1358,'Concrete Beam Schedule'!$A$2:$Q$2902,V$2,0)&lt;&gt;F1358,"Beam Revised","")</f>
        <v>#N/A</v>
      </c>
      <c r="W1358" s="7" t="e">
        <f>IF(VLOOKUP($A1358,'Concrete Beam Schedule'!$A$2:$Q$2902,W$2,0)&lt;&gt;G1358,"Beam Revised","")</f>
        <v>#N/A</v>
      </c>
      <c r="X1358" s="7" t="e">
        <f>IF(VLOOKUP($A1358,'Concrete Beam Schedule'!$A$2:$Q$2902,X$2,0)&lt;&gt;H1358,"Beam Revised","")</f>
        <v>#N/A</v>
      </c>
      <c r="Y1358" s="7" t="e">
        <f>IF(VLOOKUP($A1358,'Concrete Beam Schedule'!$A$2:$Q$2902,Y$2,0)&lt;&gt;I1358,"Beam Revised","")</f>
        <v>#N/A</v>
      </c>
      <c r="Z1358" s="7" t="e">
        <f>IF(VLOOKUP($A1358,'Concrete Beam Schedule'!$A$2:$Q$2902,Z$2,0)&lt;&gt;J1358,"Beam Revised","")</f>
        <v>#N/A</v>
      </c>
      <c r="AA1358" s="7" t="e">
        <f>IF(VLOOKUP($A1358,'Concrete Beam Schedule'!$A$2:$Q$2902,AA$2,0)&lt;&gt;K1358,"Beam Revised","")</f>
        <v>#N/A</v>
      </c>
      <c r="AB1358" s="7" t="e">
        <f>IF(VLOOKUP($A1358,'Concrete Beam Schedule'!$A$2:$Q$2902,AB$2,0)&lt;&gt;L1358,"Beam Revised","")</f>
        <v>#N/A</v>
      </c>
      <c r="AC1358" s="7" t="e">
        <f>IF(VLOOKUP($A1358,'Concrete Beam Schedule'!$A$2:$Q$2902,AC$2,0)&lt;&gt;M1358,"Beam Revised","")</f>
        <v>#N/A</v>
      </c>
      <c r="AD1358" s="7" t="e">
        <f>IF(VLOOKUP($A1358,'Concrete Beam Schedule'!$A$2:$Q$2902,AD$2,0)&lt;&gt;N1358,"Beam Revised","")</f>
        <v>#N/A</v>
      </c>
      <c r="AE1358" s="7" t="e">
        <f>IF(VLOOKUP($A1358,'Concrete Beam Schedule'!$A$2:$Q$2902,AE$2,0)&lt;&gt;O1358,"Beam Revised","")</f>
        <v>#N/A</v>
      </c>
    </row>
    <row r="1359" spans="17:31" ht="20.100000000000001" customHeight="1" x14ac:dyDescent="0.25">
      <c r="Q1359" s="7">
        <f t="shared" si="21"/>
        <v>0</v>
      </c>
      <c r="R1359" s="7" t="e">
        <f>IF(VLOOKUP($A1359,'Concrete Beam Schedule'!$A$2:$Q$2902,R$2,0)&lt;&gt;B1359,VLOOKUP($A1359,'Concrete Beam Schedule'!$A$2:$Q$2902,R$2,0),"")</f>
        <v>#N/A</v>
      </c>
      <c r="S1359" s="7" t="e">
        <f>IF(VLOOKUP($A1359,'Concrete Beam Schedule'!$A$2:$Q$2902,S$2,0)&lt;&gt;C1359,VLOOKUP($A1359,'Concrete Beam Schedule'!$A$2:$Q$2902,S$2,0),"")</f>
        <v>#N/A</v>
      </c>
      <c r="T1359" s="7" t="e">
        <f>IF(VLOOKUP($A1359,'Concrete Beam Schedule'!$A$2:$Q$2902,T$2,0)&lt;&gt;D1359,"Beam Revised","")</f>
        <v>#N/A</v>
      </c>
      <c r="U1359" s="7" t="e">
        <f>IF(VLOOKUP($A1359,'Concrete Beam Schedule'!$A$2:$Q$2902,U$2,0)&lt;&gt;E1359,"Beam Revised","")</f>
        <v>#N/A</v>
      </c>
      <c r="V1359" s="7" t="e">
        <f>IF(VLOOKUP($A1359,'Concrete Beam Schedule'!$A$2:$Q$2902,V$2,0)&lt;&gt;F1359,"Beam Revised","")</f>
        <v>#N/A</v>
      </c>
      <c r="W1359" s="7" t="e">
        <f>IF(VLOOKUP($A1359,'Concrete Beam Schedule'!$A$2:$Q$2902,W$2,0)&lt;&gt;G1359,"Beam Revised","")</f>
        <v>#N/A</v>
      </c>
      <c r="X1359" s="7" t="e">
        <f>IF(VLOOKUP($A1359,'Concrete Beam Schedule'!$A$2:$Q$2902,X$2,0)&lt;&gt;H1359,"Beam Revised","")</f>
        <v>#N/A</v>
      </c>
      <c r="Y1359" s="7" t="e">
        <f>IF(VLOOKUP($A1359,'Concrete Beam Schedule'!$A$2:$Q$2902,Y$2,0)&lt;&gt;I1359,"Beam Revised","")</f>
        <v>#N/A</v>
      </c>
      <c r="Z1359" s="7" t="e">
        <f>IF(VLOOKUP($A1359,'Concrete Beam Schedule'!$A$2:$Q$2902,Z$2,0)&lt;&gt;J1359,"Beam Revised","")</f>
        <v>#N/A</v>
      </c>
      <c r="AA1359" s="7" t="e">
        <f>IF(VLOOKUP($A1359,'Concrete Beam Schedule'!$A$2:$Q$2902,AA$2,0)&lt;&gt;K1359,"Beam Revised","")</f>
        <v>#N/A</v>
      </c>
      <c r="AB1359" s="7" t="e">
        <f>IF(VLOOKUP($A1359,'Concrete Beam Schedule'!$A$2:$Q$2902,AB$2,0)&lt;&gt;L1359,"Beam Revised","")</f>
        <v>#N/A</v>
      </c>
      <c r="AC1359" s="7" t="e">
        <f>IF(VLOOKUP($A1359,'Concrete Beam Schedule'!$A$2:$Q$2902,AC$2,0)&lt;&gt;M1359,"Beam Revised","")</f>
        <v>#N/A</v>
      </c>
      <c r="AD1359" s="7" t="e">
        <f>IF(VLOOKUP($A1359,'Concrete Beam Schedule'!$A$2:$Q$2902,AD$2,0)&lt;&gt;N1359,"Beam Revised","")</f>
        <v>#N/A</v>
      </c>
      <c r="AE1359" s="7" t="e">
        <f>IF(VLOOKUP($A1359,'Concrete Beam Schedule'!$A$2:$Q$2902,AE$2,0)&lt;&gt;O1359,"Beam Revised","")</f>
        <v>#N/A</v>
      </c>
    </row>
    <row r="1360" spans="17:31" ht="20.100000000000001" customHeight="1" x14ac:dyDescent="0.25">
      <c r="Q1360" s="7">
        <f t="shared" si="21"/>
        <v>0</v>
      </c>
      <c r="R1360" s="7" t="e">
        <f>IF(VLOOKUP($A1360,'Concrete Beam Schedule'!$A$2:$Q$2902,R$2,0)&lt;&gt;B1360,VLOOKUP($A1360,'Concrete Beam Schedule'!$A$2:$Q$2902,R$2,0),"")</f>
        <v>#N/A</v>
      </c>
      <c r="S1360" s="7" t="e">
        <f>IF(VLOOKUP($A1360,'Concrete Beam Schedule'!$A$2:$Q$2902,S$2,0)&lt;&gt;C1360,VLOOKUP($A1360,'Concrete Beam Schedule'!$A$2:$Q$2902,S$2,0),"")</f>
        <v>#N/A</v>
      </c>
      <c r="T1360" s="7" t="e">
        <f>IF(VLOOKUP($A1360,'Concrete Beam Schedule'!$A$2:$Q$2902,T$2,0)&lt;&gt;D1360,"Beam Revised","")</f>
        <v>#N/A</v>
      </c>
      <c r="U1360" s="7" t="e">
        <f>IF(VLOOKUP($A1360,'Concrete Beam Schedule'!$A$2:$Q$2902,U$2,0)&lt;&gt;E1360,"Beam Revised","")</f>
        <v>#N/A</v>
      </c>
      <c r="V1360" s="7" t="e">
        <f>IF(VLOOKUP($A1360,'Concrete Beam Schedule'!$A$2:$Q$2902,V$2,0)&lt;&gt;F1360,"Beam Revised","")</f>
        <v>#N/A</v>
      </c>
      <c r="W1360" s="7" t="e">
        <f>IF(VLOOKUP($A1360,'Concrete Beam Schedule'!$A$2:$Q$2902,W$2,0)&lt;&gt;G1360,"Beam Revised","")</f>
        <v>#N/A</v>
      </c>
      <c r="X1360" s="7" t="e">
        <f>IF(VLOOKUP($A1360,'Concrete Beam Schedule'!$A$2:$Q$2902,X$2,0)&lt;&gt;H1360,"Beam Revised","")</f>
        <v>#N/A</v>
      </c>
      <c r="Y1360" s="7" t="e">
        <f>IF(VLOOKUP($A1360,'Concrete Beam Schedule'!$A$2:$Q$2902,Y$2,0)&lt;&gt;I1360,"Beam Revised","")</f>
        <v>#N/A</v>
      </c>
      <c r="Z1360" s="7" t="e">
        <f>IF(VLOOKUP($A1360,'Concrete Beam Schedule'!$A$2:$Q$2902,Z$2,0)&lt;&gt;J1360,"Beam Revised","")</f>
        <v>#N/A</v>
      </c>
      <c r="AA1360" s="7" t="e">
        <f>IF(VLOOKUP($A1360,'Concrete Beam Schedule'!$A$2:$Q$2902,AA$2,0)&lt;&gt;K1360,"Beam Revised","")</f>
        <v>#N/A</v>
      </c>
      <c r="AB1360" s="7" t="e">
        <f>IF(VLOOKUP($A1360,'Concrete Beam Schedule'!$A$2:$Q$2902,AB$2,0)&lt;&gt;L1360,"Beam Revised","")</f>
        <v>#N/A</v>
      </c>
      <c r="AC1360" s="7" t="e">
        <f>IF(VLOOKUP($A1360,'Concrete Beam Schedule'!$A$2:$Q$2902,AC$2,0)&lt;&gt;M1360,"Beam Revised","")</f>
        <v>#N/A</v>
      </c>
      <c r="AD1360" s="7" t="e">
        <f>IF(VLOOKUP($A1360,'Concrete Beam Schedule'!$A$2:$Q$2902,AD$2,0)&lt;&gt;N1360,"Beam Revised","")</f>
        <v>#N/A</v>
      </c>
      <c r="AE1360" s="7" t="e">
        <f>IF(VLOOKUP($A1360,'Concrete Beam Schedule'!$A$2:$Q$2902,AE$2,0)&lt;&gt;O1360,"Beam Revised","")</f>
        <v>#N/A</v>
      </c>
    </row>
    <row r="1361" spans="17:31" ht="20.100000000000001" customHeight="1" x14ac:dyDescent="0.25">
      <c r="Q1361" s="7">
        <f t="shared" si="21"/>
        <v>0</v>
      </c>
      <c r="R1361" s="7" t="e">
        <f>IF(VLOOKUP($A1361,'Concrete Beam Schedule'!$A$2:$Q$2902,R$2,0)&lt;&gt;B1361,VLOOKUP($A1361,'Concrete Beam Schedule'!$A$2:$Q$2902,R$2,0),"")</f>
        <v>#N/A</v>
      </c>
      <c r="S1361" s="7" t="e">
        <f>IF(VLOOKUP($A1361,'Concrete Beam Schedule'!$A$2:$Q$2902,S$2,0)&lt;&gt;C1361,VLOOKUP($A1361,'Concrete Beam Schedule'!$A$2:$Q$2902,S$2,0),"")</f>
        <v>#N/A</v>
      </c>
      <c r="T1361" s="7" t="e">
        <f>IF(VLOOKUP($A1361,'Concrete Beam Schedule'!$A$2:$Q$2902,T$2,0)&lt;&gt;D1361,"Beam Revised","")</f>
        <v>#N/A</v>
      </c>
      <c r="U1361" s="7" t="e">
        <f>IF(VLOOKUP($A1361,'Concrete Beam Schedule'!$A$2:$Q$2902,U$2,0)&lt;&gt;E1361,"Beam Revised","")</f>
        <v>#N/A</v>
      </c>
      <c r="V1361" s="7" t="e">
        <f>IF(VLOOKUP($A1361,'Concrete Beam Schedule'!$A$2:$Q$2902,V$2,0)&lt;&gt;F1361,"Beam Revised","")</f>
        <v>#N/A</v>
      </c>
      <c r="W1361" s="7" t="e">
        <f>IF(VLOOKUP($A1361,'Concrete Beam Schedule'!$A$2:$Q$2902,W$2,0)&lt;&gt;G1361,"Beam Revised","")</f>
        <v>#N/A</v>
      </c>
      <c r="X1361" s="7" t="e">
        <f>IF(VLOOKUP($A1361,'Concrete Beam Schedule'!$A$2:$Q$2902,X$2,0)&lt;&gt;H1361,"Beam Revised","")</f>
        <v>#N/A</v>
      </c>
      <c r="Y1361" s="7" t="e">
        <f>IF(VLOOKUP($A1361,'Concrete Beam Schedule'!$A$2:$Q$2902,Y$2,0)&lt;&gt;I1361,"Beam Revised","")</f>
        <v>#N/A</v>
      </c>
      <c r="Z1361" s="7" t="e">
        <f>IF(VLOOKUP($A1361,'Concrete Beam Schedule'!$A$2:$Q$2902,Z$2,0)&lt;&gt;J1361,"Beam Revised","")</f>
        <v>#N/A</v>
      </c>
      <c r="AA1361" s="7" t="e">
        <f>IF(VLOOKUP($A1361,'Concrete Beam Schedule'!$A$2:$Q$2902,AA$2,0)&lt;&gt;K1361,"Beam Revised","")</f>
        <v>#N/A</v>
      </c>
      <c r="AB1361" s="7" t="e">
        <f>IF(VLOOKUP($A1361,'Concrete Beam Schedule'!$A$2:$Q$2902,AB$2,0)&lt;&gt;L1361,"Beam Revised","")</f>
        <v>#N/A</v>
      </c>
      <c r="AC1361" s="7" t="e">
        <f>IF(VLOOKUP($A1361,'Concrete Beam Schedule'!$A$2:$Q$2902,AC$2,0)&lt;&gt;M1361,"Beam Revised","")</f>
        <v>#N/A</v>
      </c>
      <c r="AD1361" s="7" t="e">
        <f>IF(VLOOKUP($A1361,'Concrete Beam Schedule'!$A$2:$Q$2902,AD$2,0)&lt;&gt;N1361,"Beam Revised","")</f>
        <v>#N/A</v>
      </c>
      <c r="AE1361" s="7" t="e">
        <f>IF(VLOOKUP($A1361,'Concrete Beam Schedule'!$A$2:$Q$2902,AE$2,0)&lt;&gt;O1361,"Beam Revised","")</f>
        <v>#N/A</v>
      </c>
    </row>
    <row r="1362" spans="17:31" ht="20.100000000000001" customHeight="1" x14ac:dyDescent="0.25">
      <c r="Q1362" s="7">
        <f t="shared" si="21"/>
        <v>0</v>
      </c>
      <c r="R1362" s="7" t="e">
        <f>IF(VLOOKUP($A1362,'Concrete Beam Schedule'!$A$2:$Q$2902,R$2,0)&lt;&gt;B1362,VLOOKUP($A1362,'Concrete Beam Schedule'!$A$2:$Q$2902,R$2,0),"")</f>
        <v>#N/A</v>
      </c>
      <c r="S1362" s="7" t="e">
        <f>IF(VLOOKUP($A1362,'Concrete Beam Schedule'!$A$2:$Q$2902,S$2,0)&lt;&gt;C1362,VLOOKUP($A1362,'Concrete Beam Schedule'!$A$2:$Q$2902,S$2,0),"")</f>
        <v>#N/A</v>
      </c>
      <c r="T1362" s="7" t="e">
        <f>IF(VLOOKUP($A1362,'Concrete Beam Schedule'!$A$2:$Q$2902,T$2,0)&lt;&gt;D1362,"Beam Revised","")</f>
        <v>#N/A</v>
      </c>
      <c r="U1362" s="7" t="e">
        <f>IF(VLOOKUP($A1362,'Concrete Beam Schedule'!$A$2:$Q$2902,U$2,0)&lt;&gt;E1362,"Beam Revised","")</f>
        <v>#N/A</v>
      </c>
      <c r="V1362" s="7" t="e">
        <f>IF(VLOOKUP($A1362,'Concrete Beam Schedule'!$A$2:$Q$2902,V$2,0)&lt;&gt;F1362,"Beam Revised","")</f>
        <v>#N/A</v>
      </c>
      <c r="W1362" s="7" t="e">
        <f>IF(VLOOKUP($A1362,'Concrete Beam Schedule'!$A$2:$Q$2902,W$2,0)&lt;&gt;G1362,"Beam Revised","")</f>
        <v>#N/A</v>
      </c>
      <c r="X1362" s="7" t="e">
        <f>IF(VLOOKUP($A1362,'Concrete Beam Schedule'!$A$2:$Q$2902,X$2,0)&lt;&gt;H1362,"Beam Revised","")</f>
        <v>#N/A</v>
      </c>
      <c r="Y1362" s="7" t="e">
        <f>IF(VLOOKUP($A1362,'Concrete Beam Schedule'!$A$2:$Q$2902,Y$2,0)&lt;&gt;I1362,"Beam Revised","")</f>
        <v>#N/A</v>
      </c>
      <c r="Z1362" s="7" t="e">
        <f>IF(VLOOKUP($A1362,'Concrete Beam Schedule'!$A$2:$Q$2902,Z$2,0)&lt;&gt;J1362,"Beam Revised","")</f>
        <v>#N/A</v>
      </c>
      <c r="AA1362" s="7" t="e">
        <f>IF(VLOOKUP($A1362,'Concrete Beam Schedule'!$A$2:$Q$2902,AA$2,0)&lt;&gt;K1362,"Beam Revised","")</f>
        <v>#N/A</v>
      </c>
      <c r="AB1362" s="7" t="e">
        <f>IF(VLOOKUP($A1362,'Concrete Beam Schedule'!$A$2:$Q$2902,AB$2,0)&lt;&gt;L1362,"Beam Revised","")</f>
        <v>#N/A</v>
      </c>
      <c r="AC1362" s="7" t="e">
        <f>IF(VLOOKUP($A1362,'Concrete Beam Schedule'!$A$2:$Q$2902,AC$2,0)&lt;&gt;M1362,"Beam Revised","")</f>
        <v>#N/A</v>
      </c>
      <c r="AD1362" s="7" t="e">
        <f>IF(VLOOKUP($A1362,'Concrete Beam Schedule'!$A$2:$Q$2902,AD$2,0)&lt;&gt;N1362,"Beam Revised","")</f>
        <v>#N/A</v>
      </c>
      <c r="AE1362" s="7" t="e">
        <f>IF(VLOOKUP($A1362,'Concrete Beam Schedule'!$A$2:$Q$2902,AE$2,0)&lt;&gt;O1362,"Beam Revised","")</f>
        <v>#N/A</v>
      </c>
    </row>
    <row r="1363" spans="17:31" ht="20.100000000000001" customHeight="1" x14ac:dyDescent="0.25">
      <c r="Q1363" s="7">
        <f t="shared" si="21"/>
        <v>0</v>
      </c>
      <c r="R1363" s="7" t="e">
        <f>IF(VLOOKUP($A1363,'Concrete Beam Schedule'!$A$2:$Q$2902,R$2,0)&lt;&gt;B1363,VLOOKUP($A1363,'Concrete Beam Schedule'!$A$2:$Q$2902,R$2,0),"")</f>
        <v>#N/A</v>
      </c>
      <c r="S1363" s="7" t="e">
        <f>IF(VLOOKUP($A1363,'Concrete Beam Schedule'!$A$2:$Q$2902,S$2,0)&lt;&gt;C1363,VLOOKUP($A1363,'Concrete Beam Schedule'!$A$2:$Q$2902,S$2,0),"")</f>
        <v>#N/A</v>
      </c>
      <c r="T1363" s="7" t="e">
        <f>IF(VLOOKUP($A1363,'Concrete Beam Schedule'!$A$2:$Q$2902,T$2,0)&lt;&gt;D1363,"Beam Revised","")</f>
        <v>#N/A</v>
      </c>
      <c r="U1363" s="7" t="e">
        <f>IF(VLOOKUP($A1363,'Concrete Beam Schedule'!$A$2:$Q$2902,U$2,0)&lt;&gt;E1363,"Beam Revised","")</f>
        <v>#N/A</v>
      </c>
      <c r="V1363" s="7" t="e">
        <f>IF(VLOOKUP($A1363,'Concrete Beam Schedule'!$A$2:$Q$2902,V$2,0)&lt;&gt;F1363,"Beam Revised","")</f>
        <v>#N/A</v>
      </c>
      <c r="W1363" s="7" t="e">
        <f>IF(VLOOKUP($A1363,'Concrete Beam Schedule'!$A$2:$Q$2902,W$2,0)&lt;&gt;G1363,"Beam Revised","")</f>
        <v>#N/A</v>
      </c>
      <c r="X1363" s="7" t="e">
        <f>IF(VLOOKUP($A1363,'Concrete Beam Schedule'!$A$2:$Q$2902,X$2,0)&lt;&gt;H1363,"Beam Revised","")</f>
        <v>#N/A</v>
      </c>
      <c r="Y1363" s="7" t="e">
        <f>IF(VLOOKUP($A1363,'Concrete Beam Schedule'!$A$2:$Q$2902,Y$2,0)&lt;&gt;I1363,"Beam Revised","")</f>
        <v>#N/A</v>
      </c>
      <c r="Z1363" s="7" t="e">
        <f>IF(VLOOKUP($A1363,'Concrete Beam Schedule'!$A$2:$Q$2902,Z$2,0)&lt;&gt;J1363,"Beam Revised","")</f>
        <v>#N/A</v>
      </c>
      <c r="AA1363" s="7" t="e">
        <f>IF(VLOOKUP($A1363,'Concrete Beam Schedule'!$A$2:$Q$2902,AA$2,0)&lt;&gt;K1363,"Beam Revised","")</f>
        <v>#N/A</v>
      </c>
      <c r="AB1363" s="7" t="e">
        <f>IF(VLOOKUP($A1363,'Concrete Beam Schedule'!$A$2:$Q$2902,AB$2,0)&lt;&gt;L1363,"Beam Revised","")</f>
        <v>#N/A</v>
      </c>
      <c r="AC1363" s="7" t="e">
        <f>IF(VLOOKUP($A1363,'Concrete Beam Schedule'!$A$2:$Q$2902,AC$2,0)&lt;&gt;M1363,"Beam Revised","")</f>
        <v>#N/A</v>
      </c>
      <c r="AD1363" s="7" t="e">
        <f>IF(VLOOKUP($A1363,'Concrete Beam Schedule'!$A$2:$Q$2902,AD$2,0)&lt;&gt;N1363,"Beam Revised","")</f>
        <v>#N/A</v>
      </c>
      <c r="AE1363" s="7" t="e">
        <f>IF(VLOOKUP($A1363,'Concrete Beam Schedule'!$A$2:$Q$2902,AE$2,0)&lt;&gt;O1363,"Beam Revised","")</f>
        <v>#N/A</v>
      </c>
    </row>
    <row r="1364" spans="17:31" ht="20.100000000000001" customHeight="1" x14ac:dyDescent="0.25">
      <c r="Q1364" s="7">
        <f t="shared" si="21"/>
        <v>0</v>
      </c>
      <c r="R1364" s="7" t="e">
        <f>IF(VLOOKUP($A1364,'Concrete Beam Schedule'!$A$2:$Q$2902,R$2,0)&lt;&gt;B1364,VLOOKUP($A1364,'Concrete Beam Schedule'!$A$2:$Q$2902,R$2,0),"")</f>
        <v>#N/A</v>
      </c>
      <c r="S1364" s="7" t="e">
        <f>IF(VLOOKUP($A1364,'Concrete Beam Schedule'!$A$2:$Q$2902,S$2,0)&lt;&gt;C1364,VLOOKUP($A1364,'Concrete Beam Schedule'!$A$2:$Q$2902,S$2,0),"")</f>
        <v>#N/A</v>
      </c>
      <c r="T1364" s="7" t="e">
        <f>IF(VLOOKUP($A1364,'Concrete Beam Schedule'!$A$2:$Q$2902,T$2,0)&lt;&gt;D1364,"Beam Revised","")</f>
        <v>#N/A</v>
      </c>
      <c r="U1364" s="7" t="e">
        <f>IF(VLOOKUP($A1364,'Concrete Beam Schedule'!$A$2:$Q$2902,U$2,0)&lt;&gt;E1364,"Beam Revised","")</f>
        <v>#N/A</v>
      </c>
      <c r="V1364" s="7" t="e">
        <f>IF(VLOOKUP($A1364,'Concrete Beam Schedule'!$A$2:$Q$2902,V$2,0)&lt;&gt;F1364,"Beam Revised","")</f>
        <v>#N/A</v>
      </c>
      <c r="W1364" s="7" t="e">
        <f>IF(VLOOKUP($A1364,'Concrete Beam Schedule'!$A$2:$Q$2902,W$2,0)&lt;&gt;G1364,"Beam Revised","")</f>
        <v>#N/A</v>
      </c>
      <c r="X1364" s="7" t="e">
        <f>IF(VLOOKUP($A1364,'Concrete Beam Schedule'!$A$2:$Q$2902,X$2,0)&lt;&gt;H1364,"Beam Revised","")</f>
        <v>#N/A</v>
      </c>
      <c r="Y1364" s="7" t="e">
        <f>IF(VLOOKUP($A1364,'Concrete Beam Schedule'!$A$2:$Q$2902,Y$2,0)&lt;&gt;I1364,"Beam Revised","")</f>
        <v>#N/A</v>
      </c>
      <c r="Z1364" s="7" t="e">
        <f>IF(VLOOKUP($A1364,'Concrete Beam Schedule'!$A$2:$Q$2902,Z$2,0)&lt;&gt;J1364,"Beam Revised","")</f>
        <v>#N/A</v>
      </c>
      <c r="AA1364" s="7" t="e">
        <f>IF(VLOOKUP($A1364,'Concrete Beam Schedule'!$A$2:$Q$2902,AA$2,0)&lt;&gt;K1364,"Beam Revised","")</f>
        <v>#N/A</v>
      </c>
      <c r="AB1364" s="7" t="e">
        <f>IF(VLOOKUP($A1364,'Concrete Beam Schedule'!$A$2:$Q$2902,AB$2,0)&lt;&gt;L1364,"Beam Revised","")</f>
        <v>#N/A</v>
      </c>
      <c r="AC1364" s="7" t="e">
        <f>IF(VLOOKUP($A1364,'Concrete Beam Schedule'!$A$2:$Q$2902,AC$2,0)&lt;&gt;M1364,"Beam Revised","")</f>
        <v>#N/A</v>
      </c>
      <c r="AD1364" s="7" t="e">
        <f>IF(VLOOKUP($A1364,'Concrete Beam Schedule'!$A$2:$Q$2902,AD$2,0)&lt;&gt;N1364,"Beam Revised","")</f>
        <v>#N/A</v>
      </c>
      <c r="AE1364" s="7" t="e">
        <f>IF(VLOOKUP($A1364,'Concrete Beam Schedule'!$A$2:$Q$2902,AE$2,0)&lt;&gt;O1364,"Beam Revised","")</f>
        <v>#N/A</v>
      </c>
    </row>
    <row r="1365" spans="17:31" ht="20.100000000000001" customHeight="1" x14ac:dyDescent="0.25">
      <c r="Q1365" s="7">
        <f t="shared" si="21"/>
        <v>0</v>
      </c>
      <c r="R1365" s="7" t="e">
        <f>IF(VLOOKUP($A1365,'Concrete Beam Schedule'!$A$2:$Q$2902,R$2,0)&lt;&gt;B1365,VLOOKUP($A1365,'Concrete Beam Schedule'!$A$2:$Q$2902,R$2,0),"")</f>
        <v>#N/A</v>
      </c>
      <c r="S1365" s="7" t="e">
        <f>IF(VLOOKUP($A1365,'Concrete Beam Schedule'!$A$2:$Q$2902,S$2,0)&lt;&gt;C1365,VLOOKUP($A1365,'Concrete Beam Schedule'!$A$2:$Q$2902,S$2,0),"")</f>
        <v>#N/A</v>
      </c>
      <c r="T1365" s="7" t="e">
        <f>IF(VLOOKUP($A1365,'Concrete Beam Schedule'!$A$2:$Q$2902,T$2,0)&lt;&gt;D1365,"Beam Revised","")</f>
        <v>#N/A</v>
      </c>
      <c r="U1365" s="7" t="e">
        <f>IF(VLOOKUP($A1365,'Concrete Beam Schedule'!$A$2:$Q$2902,U$2,0)&lt;&gt;E1365,"Beam Revised","")</f>
        <v>#N/A</v>
      </c>
      <c r="V1365" s="7" t="e">
        <f>IF(VLOOKUP($A1365,'Concrete Beam Schedule'!$A$2:$Q$2902,V$2,0)&lt;&gt;F1365,"Beam Revised","")</f>
        <v>#N/A</v>
      </c>
      <c r="W1365" s="7" t="e">
        <f>IF(VLOOKUP($A1365,'Concrete Beam Schedule'!$A$2:$Q$2902,W$2,0)&lt;&gt;G1365,"Beam Revised","")</f>
        <v>#N/A</v>
      </c>
      <c r="X1365" s="7" t="e">
        <f>IF(VLOOKUP($A1365,'Concrete Beam Schedule'!$A$2:$Q$2902,X$2,0)&lt;&gt;H1365,"Beam Revised","")</f>
        <v>#N/A</v>
      </c>
      <c r="Y1365" s="7" t="e">
        <f>IF(VLOOKUP($A1365,'Concrete Beam Schedule'!$A$2:$Q$2902,Y$2,0)&lt;&gt;I1365,"Beam Revised","")</f>
        <v>#N/A</v>
      </c>
      <c r="Z1365" s="7" t="e">
        <f>IF(VLOOKUP($A1365,'Concrete Beam Schedule'!$A$2:$Q$2902,Z$2,0)&lt;&gt;J1365,"Beam Revised","")</f>
        <v>#N/A</v>
      </c>
      <c r="AA1365" s="7" t="e">
        <f>IF(VLOOKUP($A1365,'Concrete Beam Schedule'!$A$2:$Q$2902,AA$2,0)&lt;&gt;K1365,"Beam Revised","")</f>
        <v>#N/A</v>
      </c>
      <c r="AB1365" s="7" t="e">
        <f>IF(VLOOKUP($A1365,'Concrete Beam Schedule'!$A$2:$Q$2902,AB$2,0)&lt;&gt;L1365,"Beam Revised","")</f>
        <v>#N/A</v>
      </c>
      <c r="AC1365" s="7" t="e">
        <f>IF(VLOOKUP($A1365,'Concrete Beam Schedule'!$A$2:$Q$2902,AC$2,0)&lt;&gt;M1365,"Beam Revised","")</f>
        <v>#N/A</v>
      </c>
      <c r="AD1365" s="7" t="e">
        <f>IF(VLOOKUP($A1365,'Concrete Beam Schedule'!$A$2:$Q$2902,AD$2,0)&lt;&gt;N1365,"Beam Revised","")</f>
        <v>#N/A</v>
      </c>
      <c r="AE1365" s="7" t="e">
        <f>IF(VLOOKUP($A1365,'Concrete Beam Schedule'!$A$2:$Q$2902,AE$2,0)&lt;&gt;O1365,"Beam Revised","")</f>
        <v>#N/A</v>
      </c>
    </row>
    <row r="1366" spans="17:31" ht="20.100000000000001" customHeight="1" x14ac:dyDescent="0.25">
      <c r="Q1366" s="7">
        <f t="shared" si="21"/>
        <v>0</v>
      </c>
      <c r="R1366" s="7" t="e">
        <f>IF(VLOOKUP($A1366,'Concrete Beam Schedule'!$A$2:$Q$2902,R$2,0)&lt;&gt;B1366,VLOOKUP($A1366,'Concrete Beam Schedule'!$A$2:$Q$2902,R$2,0),"")</f>
        <v>#N/A</v>
      </c>
      <c r="S1366" s="7" t="e">
        <f>IF(VLOOKUP($A1366,'Concrete Beam Schedule'!$A$2:$Q$2902,S$2,0)&lt;&gt;C1366,VLOOKUP($A1366,'Concrete Beam Schedule'!$A$2:$Q$2902,S$2,0),"")</f>
        <v>#N/A</v>
      </c>
      <c r="T1366" s="7" t="e">
        <f>IF(VLOOKUP($A1366,'Concrete Beam Schedule'!$A$2:$Q$2902,T$2,0)&lt;&gt;D1366,"Beam Revised","")</f>
        <v>#N/A</v>
      </c>
      <c r="U1366" s="7" t="e">
        <f>IF(VLOOKUP($A1366,'Concrete Beam Schedule'!$A$2:$Q$2902,U$2,0)&lt;&gt;E1366,"Beam Revised","")</f>
        <v>#N/A</v>
      </c>
      <c r="V1366" s="7" t="e">
        <f>IF(VLOOKUP($A1366,'Concrete Beam Schedule'!$A$2:$Q$2902,V$2,0)&lt;&gt;F1366,"Beam Revised","")</f>
        <v>#N/A</v>
      </c>
      <c r="W1366" s="7" t="e">
        <f>IF(VLOOKUP($A1366,'Concrete Beam Schedule'!$A$2:$Q$2902,W$2,0)&lt;&gt;G1366,"Beam Revised","")</f>
        <v>#N/A</v>
      </c>
      <c r="X1366" s="7" t="e">
        <f>IF(VLOOKUP($A1366,'Concrete Beam Schedule'!$A$2:$Q$2902,X$2,0)&lt;&gt;H1366,"Beam Revised","")</f>
        <v>#N/A</v>
      </c>
      <c r="Y1366" s="7" t="e">
        <f>IF(VLOOKUP($A1366,'Concrete Beam Schedule'!$A$2:$Q$2902,Y$2,0)&lt;&gt;I1366,"Beam Revised","")</f>
        <v>#N/A</v>
      </c>
      <c r="Z1366" s="7" t="e">
        <f>IF(VLOOKUP($A1366,'Concrete Beam Schedule'!$A$2:$Q$2902,Z$2,0)&lt;&gt;J1366,"Beam Revised","")</f>
        <v>#N/A</v>
      </c>
      <c r="AA1366" s="7" t="e">
        <f>IF(VLOOKUP($A1366,'Concrete Beam Schedule'!$A$2:$Q$2902,AA$2,0)&lt;&gt;K1366,"Beam Revised","")</f>
        <v>#N/A</v>
      </c>
      <c r="AB1366" s="7" t="e">
        <f>IF(VLOOKUP($A1366,'Concrete Beam Schedule'!$A$2:$Q$2902,AB$2,0)&lt;&gt;L1366,"Beam Revised","")</f>
        <v>#N/A</v>
      </c>
      <c r="AC1366" s="7" t="e">
        <f>IF(VLOOKUP($A1366,'Concrete Beam Schedule'!$A$2:$Q$2902,AC$2,0)&lt;&gt;M1366,"Beam Revised","")</f>
        <v>#N/A</v>
      </c>
      <c r="AD1366" s="7" t="e">
        <f>IF(VLOOKUP($A1366,'Concrete Beam Schedule'!$A$2:$Q$2902,AD$2,0)&lt;&gt;N1366,"Beam Revised","")</f>
        <v>#N/A</v>
      </c>
      <c r="AE1366" s="7" t="e">
        <f>IF(VLOOKUP($A1366,'Concrete Beam Schedule'!$A$2:$Q$2902,AE$2,0)&lt;&gt;O1366,"Beam Revised","")</f>
        <v>#N/A</v>
      </c>
    </row>
    <row r="1367" spans="17:31" ht="20.100000000000001" customHeight="1" x14ac:dyDescent="0.25">
      <c r="Q1367" s="7">
        <f t="shared" si="21"/>
        <v>0</v>
      </c>
      <c r="R1367" s="7" t="e">
        <f>IF(VLOOKUP($A1367,'Concrete Beam Schedule'!$A$2:$Q$2902,R$2,0)&lt;&gt;B1367,VLOOKUP($A1367,'Concrete Beam Schedule'!$A$2:$Q$2902,R$2,0),"")</f>
        <v>#N/A</v>
      </c>
      <c r="S1367" s="7" t="e">
        <f>IF(VLOOKUP($A1367,'Concrete Beam Schedule'!$A$2:$Q$2902,S$2,0)&lt;&gt;C1367,VLOOKUP($A1367,'Concrete Beam Schedule'!$A$2:$Q$2902,S$2,0),"")</f>
        <v>#N/A</v>
      </c>
      <c r="T1367" s="7" t="e">
        <f>IF(VLOOKUP($A1367,'Concrete Beam Schedule'!$A$2:$Q$2902,T$2,0)&lt;&gt;D1367,"Beam Revised","")</f>
        <v>#N/A</v>
      </c>
      <c r="U1367" s="7" t="e">
        <f>IF(VLOOKUP($A1367,'Concrete Beam Schedule'!$A$2:$Q$2902,U$2,0)&lt;&gt;E1367,"Beam Revised","")</f>
        <v>#N/A</v>
      </c>
      <c r="V1367" s="7" t="e">
        <f>IF(VLOOKUP($A1367,'Concrete Beam Schedule'!$A$2:$Q$2902,V$2,0)&lt;&gt;F1367,"Beam Revised","")</f>
        <v>#N/A</v>
      </c>
      <c r="W1367" s="7" t="e">
        <f>IF(VLOOKUP($A1367,'Concrete Beam Schedule'!$A$2:$Q$2902,W$2,0)&lt;&gt;G1367,"Beam Revised","")</f>
        <v>#N/A</v>
      </c>
      <c r="X1367" s="7" t="e">
        <f>IF(VLOOKUP($A1367,'Concrete Beam Schedule'!$A$2:$Q$2902,X$2,0)&lt;&gt;H1367,"Beam Revised","")</f>
        <v>#N/A</v>
      </c>
      <c r="Y1367" s="7" t="e">
        <f>IF(VLOOKUP($A1367,'Concrete Beam Schedule'!$A$2:$Q$2902,Y$2,0)&lt;&gt;I1367,"Beam Revised","")</f>
        <v>#N/A</v>
      </c>
      <c r="Z1367" s="7" t="e">
        <f>IF(VLOOKUP($A1367,'Concrete Beam Schedule'!$A$2:$Q$2902,Z$2,0)&lt;&gt;J1367,"Beam Revised","")</f>
        <v>#N/A</v>
      </c>
      <c r="AA1367" s="7" t="e">
        <f>IF(VLOOKUP($A1367,'Concrete Beam Schedule'!$A$2:$Q$2902,AA$2,0)&lt;&gt;K1367,"Beam Revised","")</f>
        <v>#N/A</v>
      </c>
      <c r="AB1367" s="7" t="e">
        <f>IF(VLOOKUP($A1367,'Concrete Beam Schedule'!$A$2:$Q$2902,AB$2,0)&lt;&gt;L1367,"Beam Revised","")</f>
        <v>#N/A</v>
      </c>
      <c r="AC1367" s="7" t="e">
        <f>IF(VLOOKUP($A1367,'Concrete Beam Schedule'!$A$2:$Q$2902,AC$2,0)&lt;&gt;M1367,"Beam Revised","")</f>
        <v>#N/A</v>
      </c>
      <c r="AD1367" s="7" t="e">
        <f>IF(VLOOKUP($A1367,'Concrete Beam Schedule'!$A$2:$Q$2902,AD$2,0)&lt;&gt;N1367,"Beam Revised","")</f>
        <v>#N/A</v>
      </c>
      <c r="AE1367" s="7" t="e">
        <f>IF(VLOOKUP($A1367,'Concrete Beam Schedule'!$A$2:$Q$2902,AE$2,0)&lt;&gt;O1367,"Beam Revised","")</f>
        <v>#N/A</v>
      </c>
    </row>
    <row r="1368" spans="17:31" ht="20.100000000000001" customHeight="1" x14ac:dyDescent="0.25">
      <c r="Q1368" s="7">
        <f t="shared" si="21"/>
        <v>0</v>
      </c>
      <c r="R1368" s="7" t="e">
        <f>IF(VLOOKUP($A1368,'Concrete Beam Schedule'!$A$2:$Q$2902,R$2,0)&lt;&gt;B1368,VLOOKUP($A1368,'Concrete Beam Schedule'!$A$2:$Q$2902,R$2,0),"")</f>
        <v>#N/A</v>
      </c>
      <c r="S1368" s="7" t="e">
        <f>IF(VLOOKUP($A1368,'Concrete Beam Schedule'!$A$2:$Q$2902,S$2,0)&lt;&gt;C1368,VLOOKUP($A1368,'Concrete Beam Schedule'!$A$2:$Q$2902,S$2,0),"")</f>
        <v>#N/A</v>
      </c>
      <c r="T1368" s="7" t="e">
        <f>IF(VLOOKUP($A1368,'Concrete Beam Schedule'!$A$2:$Q$2902,T$2,0)&lt;&gt;D1368,"Beam Revised","")</f>
        <v>#N/A</v>
      </c>
      <c r="U1368" s="7" t="e">
        <f>IF(VLOOKUP($A1368,'Concrete Beam Schedule'!$A$2:$Q$2902,U$2,0)&lt;&gt;E1368,"Beam Revised","")</f>
        <v>#N/A</v>
      </c>
      <c r="V1368" s="7" t="e">
        <f>IF(VLOOKUP($A1368,'Concrete Beam Schedule'!$A$2:$Q$2902,V$2,0)&lt;&gt;F1368,"Beam Revised","")</f>
        <v>#N/A</v>
      </c>
      <c r="W1368" s="7" t="e">
        <f>IF(VLOOKUP($A1368,'Concrete Beam Schedule'!$A$2:$Q$2902,W$2,0)&lt;&gt;G1368,"Beam Revised","")</f>
        <v>#N/A</v>
      </c>
      <c r="X1368" s="7" t="e">
        <f>IF(VLOOKUP($A1368,'Concrete Beam Schedule'!$A$2:$Q$2902,X$2,0)&lt;&gt;H1368,"Beam Revised","")</f>
        <v>#N/A</v>
      </c>
      <c r="Y1368" s="7" t="e">
        <f>IF(VLOOKUP($A1368,'Concrete Beam Schedule'!$A$2:$Q$2902,Y$2,0)&lt;&gt;I1368,"Beam Revised","")</f>
        <v>#N/A</v>
      </c>
      <c r="Z1368" s="7" t="e">
        <f>IF(VLOOKUP($A1368,'Concrete Beam Schedule'!$A$2:$Q$2902,Z$2,0)&lt;&gt;J1368,"Beam Revised","")</f>
        <v>#N/A</v>
      </c>
      <c r="AA1368" s="7" t="e">
        <f>IF(VLOOKUP($A1368,'Concrete Beam Schedule'!$A$2:$Q$2902,AA$2,0)&lt;&gt;K1368,"Beam Revised","")</f>
        <v>#N/A</v>
      </c>
      <c r="AB1368" s="7" t="e">
        <f>IF(VLOOKUP($A1368,'Concrete Beam Schedule'!$A$2:$Q$2902,AB$2,0)&lt;&gt;L1368,"Beam Revised","")</f>
        <v>#N/A</v>
      </c>
      <c r="AC1368" s="7" t="e">
        <f>IF(VLOOKUP($A1368,'Concrete Beam Schedule'!$A$2:$Q$2902,AC$2,0)&lt;&gt;M1368,"Beam Revised","")</f>
        <v>#N/A</v>
      </c>
      <c r="AD1368" s="7" t="e">
        <f>IF(VLOOKUP($A1368,'Concrete Beam Schedule'!$A$2:$Q$2902,AD$2,0)&lt;&gt;N1368,"Beam Revised","")</f>
        <v>#N/A</v>
      </c>
      <c r="AE1368" s="7" t="e">
        <f>IF(VLOOKUP($A1368,'Concrete Beam Schedule'!$A$2:$Q$2902,AE$2,0)&lt;&gt;O1368,"Beam Revised","")</f>
        <v>#N/A</v>
      </c>
    </row>
    <row r="1369" spans="17:31" ht="20.100000000000001" customHeight="1" x14ac:dyDescent="0.25">
      <c r="Q1369" s="7">
        <f t="shared" si="21"/>
        <v>0</v>
      </c>
      <c r="R1369" s="7" t="e">
        <f>IF(VLOOKUP($A1369,'Concrete Beam Schedule'!$A$2:$Q$2902,R$2,0)&lt;&gt;B1369,VLOOKUP($A1369,'Concrete Beam Schedule'!$A$2:$Q$2902,R$2,0),"")</f>
        <v>#N/A</v>
      </c>
      <c r="S1369" s="7" t="e">
        <f>IF(VLOOKUP($A1369,'Concrete Beam Schedule'!$A$2:$Q$2902,S$2,0)&lt;&gt;C1369,VLOOKUP($A1369,'Concrete Beam Schedule'!$A$2:$Q$2902,S$2,0),"")</f>
        <v>#N/A</v>
      </c>
      <c r="T1369" s="7" t="e">
        <f>IF(VLOOKUP($A1369,'Concrete Beam Schedule'!$A$2:$Q$2902,T$2,0)&lt;&gt;D1369,"Beam Revised","")</f>
        <v>#N/A</v>
      </c>
      <c r="U1369" s="7" t="e">
        <f>IF(VLOOKUP($A1369,'Concrete Beam Schedule'!$A$2:$Q$2902,U$2,0)&lt;&gt;E1369,"Beam Revised","")</f>
        <v>#N/A</v>
      </c>
      <c r="V1369" s="7" t="e">
        <f>IF(VLOOKUP($A1369,'Concrete Beam Schedule'!$A$2:$Q$2902,V$2,0)&lt;&gt;F1369,"Beam Revised","")</f>
        <v>#N/A</v>
      </c>
      <c r="W1369" s="7" t="e">
        <f>IF(VLOOKUP($A1369,'Concrete Beam Schedule'!$A$2:$Q$2902,W$2,0)&lt;&gt;G1369,"Beam Revised","")</f>
        <v>#N/A</v>
      </c>
      <c r="X1369" s="7" t="e">
        <f>IF(VLOOKUP($A1369,'Concrete Beam Schedule'!$A$2:$Q$2902,X$2,0)&lt;&gt;H1369,"Beam Revised","")</f>
        <v>#N/A</v>
      </c>
      <c r="Y1369" s="7" t="e">
        <f>IF(VLOOKUP($A1369,'Concrete Beam Schedule'!$A$2:$Q$2902,Y$2,0)&lt;&gt;I1369,"Beam Revised","")</f>
        <v>#N/A</v>
      </c>
      <c r="Z1369" s="7" t="e">
        <f>IF(VLOOKUP($A1369,'Concrete Beam Schedule'!$A$2:$Q$2902,Z$2,0)&lt;&gt;J1369,"Beam Revised","")</f>
        <v>#N/A</v>
      </c>
      <c r="AA1369" s="7" t="e">
        <f>IF(VLOOKUP($A1369,'Concrete Beam Schedule'!$A$2:$Q$2902,AA$2,0)&lt;&gt;K1369,"Beam Revised","")</f>
        <v>#N/A</v>
      </c>
      <c r="AB1369" s="7" t="e">
        <f>IF(VLOOKUP($A1369,'Concrete Beam Schedule'!$A$2:$Q$2902,AB$2,0)&lt;&gt;L1369,"Beam Revised","")</f>
        <v>#N/A</v>
      </c>
      <c r="AC1369" s="7" t="e">
        <f>IF(VLOOKUP($A1369,'Concrete Beam Schedule'!$A$2:$Q$2902,AC$2,0)&lt;&gt;M1369,"Beam Revised","")</f>
        <v>#N/A</v>
      </c>
      <c r="AD1369" s="7" t="e">
        <f>IF(VLOOKUP($A1369,'Concrete Beam Schedule'!$A$2:$Q$2902,AD$2,0)&lt;&gt;N1369,"Beam Revised","")</f>
        <v>#N/A</v>
      </c>
      <c r="AE1369" s="7" t="e">
        <f>IF(VLOOKUP($A1369,'Concrete Beam Schedule'!$A$2:$Q$2902,AE$2,0)&lt;&gt;O1369,"Beam Revised","")</f>
        <v>#N/A</v>
      </c>
    </row>
    <row r="1370" spans="17:31" ht="20.100000000000001" customHeight="1" x14ac:dyDescent="0.25">
      <c r="Q1370" s="7">
        <f t="shared" si="21"/>
        <v>0</v>
      </c>
      <c r="R1370" s="7" t="e">
        <f>IF(VLOOKUP($A1370,'Concrete Beam Schedule'!$A$2:$Q$2902,R$2,0)&lt;&gt;B1370,VLOOKUP($A1370,'Concrete Beam Schedule'!$A$2:$Q$2902,R$2,0),"")</f>
        <v>#N/A</v>
      </c>
      <c r="S1370" s="7" t="e">
        <f>IF(VLOOKUP($A1370,'Concrete Beam Schedule'!$A$2:$Q$2902,S$2,0)&lt;&gt;C1370,VLOOKUP($A1370,'Concrete Beam Schedule'!$A$2:$Q$2902,S$2,0),"")</f>
        <v>#N/A</v>
      </c>
      <c r="T1370" s="7" t="e">
        <f>IF(VLOOKUP($A1370,'Concrete Beam Schedule'!$A$2:$Q$2902,T$2,0)&lt;&gt;D1370,"Beam Revised","")</f>
        <v>#N/A</v>
      </c>
      <c r="U1370" s="7" t="e">
        <f>IF(VLOOKUP($A1370,'Concrete Beam Schedule'!$A$2:$Q$2902,U$2,0)&lt;&gt;E1370,"Beam Revised","")</f>
        <v>#N/A</v>
      </c>
      <c r="V1370" s="7" t="e">
        <f>IF(VLOOKUP($A1370,'Concrete Beam Schedule'!$A$2:$Q$2902,V$2,0)&lt;&gt;F1370,"Beam Revised","")</f>
        <v>#N/A</v>
      </c>
      <c r="W1370" s="7" t="e">
        <f>IF(VLOOKUP($A1370,'Concrete Beam Schedule'!$A$2:$Q$2902,W$2,0)&lt;&gt;G1370,"Beam Revised","")</f>
        <v>#N/A</v>
      </c>
      <c r="X1370" s="7" t="e">
        <f>IF(VLOOKUP($A1370,'Concrete Beam Schedule'!$A$2:$Q$2902,X$2,0)&lt;&gt;H1370,"Beam Revised","")</f>
        <v>#N/A</v>
      </c>
      <c r="Y1370" s="7" t="e">
        <f>IF(VLOOKUP($A1370,'Concrete Beam Schedule'!$A$2:$Q$2902,Y$2,0)&lt;&gt;I1370,"Beam Revised","")</f>
        <v>#N/A</v>
      </c>
      <c r="Z1370" s="7" t="e">
        <f>IF(VLOOKUP($A1370,'Concrete Beam Schedule'!$A$2:$Q$2902,Z$2,0)&lt;&gt;J1370,"Beam Revised","")</f>
        <v>#N/A</v>
      </c>
      <c r="AA1370" s="7" t="e">
        <f>IF(VLOOKUP($A1370,'Concrete Beam Schedule'!$A$2:$Q$2902,AA$2,0)&lt;&gt;K1370,"Beam Revised","")</f>
        <v>#N/A</v>
      </c>
      <c r="AB1370" s="7" t="e">
        <f>IF(VLOOKUP($A1370,'Concrete Beam Schedule'!$A$2:$Q$2902,AB$2,0)&lt;&gt;L1370,"Beam Revised","")</f>
        <v>#N/A</v>
      </c>
      <c r="AC1370" s="7" t="e">
        <f>IF(VLOOKUP($A1370,'Concrete Beam Schedule'!$A$2:$Q$2902,AC$2,0)&lt;&gt;M1370,"Beam Revised","")</f>
        <v>#N/A</v>
      </c>
      <c r="AD1370" s="7" t="e">
        <f>IF(VLOOKUP($A1370,'Concrete Beam Schedule'!$A$2:$Q$2902,AD$2,0)&lt;&gt;N1370,"Beam Revised","")</f>
        <v>#N/A</v>
      </c>
      <c r="AE1370" s="7" t="e">
        <f>IF(VLOOKUP($A1370,'Concrete Beam Schedule'!$A$2:$Q$2902,AE$2,0)&lt;&gt;O1370,"Beam Revised","")</f>
        <v>#N/A</v>
      </c>
    </row>
    <row r="1371" spans="17:31" ht="20.100000000000001" customHeight="1" x14ac:dyDescent="0.25">
      <c r="Q1371" s="7">
        <f t="shared" si="21"/>
        <v>0</v>
      </c>
      <c r="R1371" s="7" t="e">
        <f>IF(VLOOKUP($A1371,'Concrete Beam Schedule'!$A$2:$Q$2902,R$2,0)&lt;&gt;B1371,VLOOKUP($A1371,'Concrete Beam Schedule'!$A$2:$Q$2902,R$2,0),"")</f>
        <v>#N/A</v>
      </c>
      <c r="S1371" s="7" t="e">
        <f>IF(VLOOKUP($A1371,'Concrete Beam Schedule'!$A$2:$Q$2902,S$2,0)&lt;&gt;C1371,VLOOKUP($A1371,'Concrete Beam Schedule'!$A$2:$Q$2902,S$2,0),"")</f>
        <v>#N/A</v>
      </c>
      <c r="T1371" s="7" t="e">
        <f>IF(VLOOKUP($A1371,'Concrete Beam Schedule'!$A$2:$Q$2902,T$2,0)&lt;&gt;D1371,"Beam Revised","")</f>
        <v>#N/A</v>
      </c>
      <c r="U1371" s="7" t="e">
        <f>IF(VLOOKUP($A1371,'Concrete Beam Schedule'!$A$2:$Q$2902,U$2,0)&lt;&gt;E1371,"Beam Revised","")</f>
        <v>#N/A</v>
      </c>
      <c r="V1371" s="7" t="e">
        <f>IF(VLOOKUP($A1371,'Concrete Beam Schedule'!$A$2:$Q$2902,V$2,0)&lt;&gt;F1371,"Beam Revised","")</f>
        <v>#N/A</v>
      </c>
      <c r="W1371" s="7" t="e">
        <f>IF(VLOOKUP($A1371,'Concrete Beam Schedule'!$A$2:$Q$2902,W$2,0)&lt;&gt;G1371,"Beam Revised","")</f>
        <v>#N/A</v>
      </c>
      <c r="X1371" s="7" t="e">
        <f>IF(VLOOKUP($A1371,'Concrete Beam Schedule'!$A$2:$Q$2902,X$2,0)&lt;&gt;H1371,"Beam Revised","")</f>
        <v>#N/A</v>
      </c>
      <c r="Y1371" s="7" t="e">
        <f>IF(VLOOKUP($A1371,'Concrete Beam Schedule'!$A$2:$Q$2902,Y$2,0)&lt;&gt;I1371,"Beam Revised","")</f>
        <v>#N/A</v>
      </c>
      <c r="Z1371" s="7" t="e">
        <f>IF(VLOOKUP($A1371,'Concrete Beam Schedule'!$A$2:$Q$2902,Z$2,0)&lt;&gt;J1371,"Beam Revised","")</f>
        <v>#N/A</v>
      </c>
      <c r="AA1371" s="7" t="e">
        <f>IF(VLOOKUP($A1371,'Concrete Beam Schedule'!$A$2:$Q$2902,AA$2,0)&lt;&gt;K1371,"Beam Revised","")</f>
        <v>#N/A</v>
      </c>
      <c r="AB1371" s="7" t="e">
        <f>IF(VLOOKUP($A1371,'Concrete Beam Schedule'!$A$2:$Q$2902,AB$2,0)&lt;&gt;L1371,"Beam Revised","")</f>
        <v>#N/A</v>
      </c>
      <c r="AC1371" s="7" t="e">
        <f>IF(VLOOKUP($A1371,'Concrete Beam Schedule'!$A$2:$Q$2902,AC$2,0)&lt;&gt;M1371,"Beam Revised","")</f>
        <v>#N/A</v>
      </c>
      <c r="AD1371" s="7" t="e">
        <f>IF(VLOOKUP($A1371,'Concrete Beam Schedule'!$A$2:$Q$2902,AD$2,0)&lt;&gt;N1371,"Beam Revised","")</f>
        <v>#N/A</v>
      </c>
      <c r="AE1371" s="7" t="e">
        <f>IF(VLOOKUP($A1371,'Concrete Beam Schedule'!$A$2:$Q$2902,AE$2,0)&lt;&gt;O1371,"Beam Revised","")</f>
        <v>#N/A</v>
      </c>
    </row>
    <row r="1372" spans="17:31" ht="20.100000000000001" customHeight="1" x14ac:dyDescent="0.25">
      <c r="Q1372" s="7">
        <f t="shared" si="21"/>
        <v>0</v>
      </c>
      <c r="R1372" s="7" t="e">
        <f>IF(VLOOKUP($A1372,'Concrete Beam Schedule'!$A$2:$Q$2902,R$2,0)&lt;&gt;B1372,VLOOKUP($A1372,'Concrete Beam Schedule'!$A$2:$Q$2902,R$2,0),"")</f>
        <v>#N/A</v>
      </c>
      <c r="S1372" s="7" t="e">
        <f>IF(VLOOKUP($A1372,'Concrete Beam Schedule'!$A$2:$Q$2902,S$2,0)&lt;&gt;C1372,VLOOKUP($A1372,'Concrete Beam Schedule'!$A$2:$Q$2902,S$2,0),"")</f>
        <v>#N/A</v>
      </c>
      <c r="T1372" s="7" t="e">
        <f>IF(VLOOKUP($A1372,'Concrete Beam Schedule'!$A$2:$Q$2902,T$2,0)&lt;&gt;D1372,"Beam Revised","")</f>
        <v>#N/A</v>
      </c>
      <c r="U1372" s="7" t="e">
        <f>IF(VLOOKUP($A1372,'Concrete Beam Schedule'!$A$2:$Q$2902,U$2,0)&lt;&gt;E1372,"Beam Revised","")</f>
        <v>#N/A</v>
      </c>
      <c r="V1372" s="7" t="e">
        <f>IF(VLOOKUP($A1372,'Concrete Beam Schedule'!$A$2:$Q$2902,V$2,0)&lt;&gt;F1372,"Beam Revised","")</f>
        <v>#N/A</v>
      </c>
      <c r="W1372" s="7" t="e">
        <f>IF(VLOOKUP($A1372,'Concrete Beam Schedule'!$A$2:$Q$2902,W$2,0)&lt;&gt;G1372,"Beam Revised","")</f>
        <v>#N/A</v>
      </c>
      <c r="X1372" s="7" t="e">
        <f>IF(VLOOKUP($A1372,'Concrete Beam Schedule'!$A$2:$Q$2902,X$2,0)&lt;&gt;H1372,"Beam Revised","")</f>
        <v>#N/A</v>
      </c>
      <c r="Y1372" s="7" t="e">
        <f>IF(VLOOKUP($A1372,'Concrete Beam Schedule'!$A$2:$Q$2902,Y$2,0)&lt;&gt;I1372,"Beam Revised","")</f>
        <v>#N/A</v>
      </c>
      <c r="Z1372" s="7" t="e">
        <f>IF(VLOOKUP($A1372,'Concrete Beam Schedule'!$A$2:$Q$2902,Z$2,0)&lt;&gt;J1372,"Beam Revised","")</f>
        <v>#N/A</v>
      </c>
      <c r="AA1372" s="7" t="e">
        <f>IF(VLOOKUP($A1372,'Concrete Beam Schedule'!$A$2:$Q$2902,AA$2,0)&lt;&gt;K1372,"Beam Revised","")</f>
        <v>#N/A</v>
      </c>
      <c r="AB1372" s="7" t="e">
        <f>IF(VLOOKUP($A1372,'Concrete Beam Schedule'!$A$2:$Q$2902,AB$2,0)&lt;&gt;L1372,"Beam Revised","")</f>
        <v>#N/A</v>
      </c>
      <c r="AC1372" s="7" t="e">
        <f>IF(VLOOKUP($A1372,'Concrete Beam Schedule'!$A$2:$Q$2902,AC$2,0)&lt;&gt;M1372,"Beam Revised","")</f>
        <v>#N/A</v>
      </c>
      <c r="AD1372" s="7" t="e">
        <f>IF(VLOOKUP($A1372,'Concrete Beam Schedule'!$A$2:$Q$2902,AD$2,0)&lt;&gt;N1372,"Beam Revised","")</f>
        <v>#N/A</v>
      </c>
      <c r="AE1372" s="7" t="e">
        <f>IF(VLOOKUP($A1372,'Concrete Beam Schedule'!$A$2:$Q$2902,AE$2,0)&lt;&gt;O1372,"Beam Revised","")</f>
        <v>#N/A</v>
      </c>
    </row>
    <row r="1373" spans="17:31" ht="20.100000000000001" customHeight="1" x14ac:dyDescent="0.25">
      <c r="Q1373" s="7">
        <f t="shared" si="21"/>
        <v>0</v>
      </c>
      <c r="R1373" s="7" t="e">
        <f>IF(VLOOKUP($A1373,'Concrete Beam Schedule'!$A$2:$Q$2902,R$2,0)&lt;&gt;B1373,VLOOKUP($A1373,'Concrete Beam Schedule'!$A$2:$Q$2902,R$2,0),"")</f>
        <v>#N/A</v>
      </c>
      <c r="S1373" s="7" t="e">
        <f>IF(VLOOKUP($A1373,'Concrete Beam Schedule'!$A$2:$Q$2902,S$2,0)&lt;&gt;C1373,VLOOKUP($A1373,'Concrete Beam Schedule'!$A$2:$Q$2902,S$2,0),"")</f>
        <v>#N/A</v>
      </c>
      <c r="T1373" s="7" t="e">
        <f>IF(VLOOKUP($A1373,'Concrete Beam Schedule'!$A$2:$Q$2902,T$2,0)&lt;&gt;D1373,"Beam Revised","")</f>
        <v>#N/A</v>
      </c>
      <c r="U1373" s="7" t="e">
        <f>IF(VLOOKUP($A1373,'Concrete Beam Schedule'!$A$2:$Q$2902,U$2,0)&lt;&gt;E1373,"Beam Revised","")</f>
        <v>#N/A</v>
      </c>
      <c r="V1373" s="7" t="e">
        <f>IF(VLOOKUP($A1373,'Concrete Beam Schedule'!$A$2:$Q$2902,V$2,0)&lt;&gt;F1373,"Beam Revised","")</f>
        <v>#N/A</v>
      </c>
      <c r="W1373" s="7" t="e">
        <f>IF(VLOOKUP($A1373,'Concrete Beam Schedule'!$A$2:$Q$2902,W$2,0)&lt;&gt;G1373,"Beam Revised","")</f>
        <v>#N/A</v>
      </c>
      <c r="X1373" s="7" t="e">
        <f>IF(VLOOKUP($A1373,'Concrete Beam Schedule'!$A$2:$Q$2902,X$2,0)&lt;&gt;H1373,"Beam Revised","")</f>
        <v>#N/A</v>
      </c>
      <c r="Y1373" s="7" t="e">
        <f>IF(VLOOKUP($A1373,'Concrete Beam Schedule'!$A$2:$Q$2902,Y$2,0)&lt;&gt;I1373,"Beam Revised","")</f>
        <v>#N/A</v>
      </c>
      <c r="Z1373" s="7" t="e">
        <f>IF(VLOOKUP($A1373,'Concrete Beam Schedule'!$A$2:$Q$2902,Z$2,0)&lt;&gt;J1373,"Beam Revised","")</f>
        <v>#N/A</v>
      </c>
      <c r="AA1373" s="7" t="e">
        <f>IF(VLOOKUP($A1373,'Concrete Beam Schedule'!$A$2:$Q$2902,AA$2,0)&lt;&gt;K1373,"Beam Revised","")</f>
        <v>#N/A</v>
      </c>
      <c r="AB1373" s="7" t="e">
        <f>IF(VLOOKUP($A1373,'Concrete Beam Schedule'!$A$2:$Q$2902,AB$2,0)&lt;&gt;L1373,"Beam Revised","")</f>
        <v>#N/A</v>
      </c>
      <c r="AC1373" s="7" t="e">
        <f>IF(VLOOKUP($A1373,'Concrete Beam Schedule'!$A$2:$Q$2902,AC$2,0)&lt;&gt;M1373,"Beam Revised","")</f>
        <v>#N/A</v>
      </c>
      <c r="AD1373" s="7" t="e">
        <f>IF(VLOOKUP($A1373,'Concrete Beam Schedule'!$A$2:$Q$2902,AD$2,0)&lt;&gt;N1373,"Beam Revised","")</f>
        <v>#N/A</v>
      </c>
      <c r="AE1373" s="7" t="e">
        <f>IF(VLOOKUP($A1373,'Concrete Beam Schedule'!$A$2:$Q$2902,AE$2,0)&lt;&gt;O1373,"Beam Revised","")</f>
        <v>#N/A</v>
      </c>
    </row>
    <row r="1374" spans="17:31" ht="20.100000000000001" customHeight="1" x14ac:dyDescent="0.25">
      <c r="Q1374" s="7">
        <f t="shared" si="21"/>
        <v>0</v>
      </c>
      <c r="R1374" s="7" t="e">
        <f>IF(VLOOKUP($A1374,'Concrete Beam Schedule'!$A$2:$Q$2902,R$2,0)&lt;&gt;B1374,VLOOKUP($A1374,'Concrete Beam Schedule'!$A$2:$Q$2902,R$2,0),"")</f>
        <v>#N/A</v>
      </c>
      <c r="S1374" s="7" t="e">
        <f>IF(VLOOKUP($A1374,'Concrete Beam Schedule'!$A$2:$Q$2902,S$2,0)&lt;&gt;C1374,VLOOKUP($A1374,'Concrete Beam Schedule'!$A$2:$Q$2902,S$2,0),"")</f>
        <v>#N/A</v>
      </c>
      <c r="T1374" s="7" t="e">
        <f>IF(VLOOKUP($A1374,'Concrete Beam Schedule'!$A$2:$Q$2902,T$2,0)&lt;&gt;D1374,"Beam Revised","")</f>
        <v>#N/A</v>
      </c>
      <c r="U1374" s="7" t="e">
        <f>IF(VLOOKUP($A1374,'Concrete Beam Schedule'!$A$2:$Q$2902,U$2,0)&lt;&gt;E1374,"Beam Revised","")</f>
        <v>#N/A</v>
      </c>
      <c r="V1374" s="7" t="e">
        <f>IF(VLOOKUP($A1374,'Concrete Beam Schedule'!$A$2:$Q$2902,V$2,0)&lt;&gt;F1374,"Beam Revised","")</f>
        <v>#N/A</v>
      </c>
      <c r="W1374" s="7" t="e">
        <f>IF(VLOOKUP($A1374,'Concrete Beam Schedule'!$A$2:$Q$2902,W$2,0)&lt;&gt;G1374,"Beam Revised","")</f>
        <v>#N/A</v>
      </c>
      <c r="X1374" s="7" t="e">
        <f>IF(VLOOKUP($A1374,'Concrete Beam Schedule'!$A$2:$Q$2902,X$2,0)&lt;&gt;H1374,"Beam Revised","")</f>
        <v>#N/A</v>
      </c>
      <c r="Y1374" s="7" t="e">
        <f>IF(VLOOKUP($A1374,'Concrete Beam Schedule'!$A$2:$Q$2902,Y$2,0)&lt;&gt;I1374,"Beam Revised","")</f>
        <v>#N/A</v>
      </c>
      <c r="Z1374" s="7" t="e">
        <f>IF(VLOOKUP($A1374,'Concrete Beam Schedule'!$A$2:$Q$2902,Z$2,0)&lt;&gt;J1374,"Beam Revised","")</f>
        <v>#N/A</v>
      </c>
      <c r="AA1374" s="7" t="e">
        <f>IF(VLOOKUP($A1374,'Concrete Beam Schedule'!$A$2:$Q$2902,AA$2,0)&lt;&gt;K1374,"Beam Revised","")</f>
        <v>#N/A</v>
      </c>
      <c r="AB1374" s="7" t="e">
        <f>IF(VLOOKUP($A1374,'Concrete Beam Schedule'!$A$2:$Q$2902,AB$2,0)&lt;&gt;L1374,"Beam Revised","")</f>
        <v>#N/A</v>
      </c>
      <c r="AC1374" s="7" t="e">
        <f>IF(VLOOKUP($A1374,'Concrete Beam Schedule'!$A$2:$Q$2902,AC$2,0)&lt;&gt;M1374,"Beam Revised","")</f>
        <v>#N/A</v>
      </c>
      <c r="AD1374" s="7" t="e">
        <f>IF(VLOOKUP($A1374,'Concrete Beam Schedule'!$A$2:$Q$2902,AD$2,0)&lt;&gt;N1374,"Beam Revised","")</f>
        <v>#N/A</v>
      </c>
      <c r="AE1374" s="7" t="e">
        <f>IF(VLOOKUP($A1374,'Concrete Beam Schedule'!$A$2:$Q$2902,AE$2,0)&lt;&gt;O1374,"Beam Revised","")</f>
        <v>#N/A</v>
      </c>
    </row>
    <row r="1375" spans="17:31" ht="20.100000000000001" customHeight="1" x14ac:dyDescent="0.25">
      <c r="Q1375" s="7">
        <f t="shared" si="21"/>
        <v>0</v>
      </c>
      <c r="R1375" s="7" t="e">
        <f>IF(VLOOKUP($A1375,'Concrete Beam Schedule'!$A$2:$Q$2902,R$2,0)&lt;&gt;B1375,VLOOKUP($A1375,'Concrete Beam Schedule'!$A$2:$Q$2902,R$2,0),"")</f>
        <v>#N/A</v>
      </c>
      <c r="S1375" s="7" t="e">
        <f>IF(VLOOKUP($A1375,'Concrete Beam Schedule'!$A$2:$Q$2902,S$2,0)&lt;&gt;C1375,VLOOKUP($A1375,'Concrete Beam Schedule'!$A$2:$Q$2902,S$2,0),"")</f>
        <v>#N/A</v>
      </c>
      <c r="T1375" s="7" t="e">
        <f>IF(VLOOKUP($A1375,'Concrete Beam Schedule'!$A$2:$Q$2902,T$2,0)&lt;&gt;D1375,"Beam Revised","")</f>
        <v>#N/A</v>
      </c>
      <c r="U1375" s="7" t="e">
        <f>IF(VLOOKUP($A1375,'Concrete Beam Schedule'!$A$2:$Q$2902,U$2,0)&lt;&gt;E1375,"Beam Revised","")</f>
        <v>#N/A</v>
      </c>
      <c r="V1375" s="7" t="e">
        <f>IF(VLOOKUP($A1375,'Concrete Beam Schedule'!$A$2:$Q$2902,V$2,0)&lt;&gt;F1375,"Beam Revised","")</f>
        <v>#N/A</v>
      </c>
      <c r="W1375" s="7" t="e">
        <f>IF(VLOOKUP($A1375,'Concrete Beam Schedule'!$A$2:$Q$2902,W$2,0)&lt;&gt;G1375,"Beam Revised","")</f>
        <v>#N/A</v>
      </c>
      <c r="X1375" s="7" t="e">
        <f>IF(VLOOKUP($A1375,'Concrete Beam Schedule'!$A$2:$Q$2902,X$2,0)&lt;&gt;H1375,"Beam Revised","")</f>
        <v>#N/A</v>
      </c>
      <c r="Y1375" s="7" t="e">
        <f>IF(VLOOKUP($A1375,'Concrete Beam Schedule'!$A$2:$Q$2902,Y$2,0)&lt;&gt;I1375,"Beam Revised","")</f>
        <v>#N/A</v>
      </c>
      <c r="Z1375" s="7" t="e">
        <f>IF(VLOOKUP($A1375,'Concrete Beam Schedule'!$A$2:$Q$2902,Z$2,0)&lt;&gt;J1375,"Beam Revised","")</f>
        <v>#N/A</v>
      </c>
      <c r="AA1375" s="7" t="e">
        <f>IF(VLOOKUP($A1375,'Concrete Beam Schedule'!$A$2:$Q$2902,AA$2,0)&lt;&gt;K1375,"Beam Revised","")</f>
        <v>#N/A</v>
      </c>
      <c r="AB1375" s="7" t="e">
        <f>IF(VLOOKUP($A1375,'Concrete Beam Schedule'!$A$2:$Q$2902,AB$2,0)&lt;&gt;L1375,"Beam Revised","")</f>
        <v>#N/A</v>
      </c>
      <c r="AC1375" s="7" t="e">
        <f>IF(VLOOKUP($A1375,'Concrete Beam Schedule'!$A$2:$Q$2902,AC$2,0)&lt;&gt;M1375,"Beam Revised","")</f>
        <v>#N/A</v>
      </c>
      <c r="AD1375" s="7" t="e">
        <f>IF(VLOOKUP($A1375,'Concrete Beam Schedule'!$A$2:$Q$2902,AD$2,0)&lt;&gt;N1375,"Beam Revised","")</f>
        <v>#N/A</v>
      </c>
      <c r="AE1375" s="7" t="e">
        <f>IF(VLOOKUP($A1375,'Concrete Beam Schedule'!$A$2:$Q$2902,AE$2,0)&lt;&gt;O1375,"Beam Revised","")</f>
        <v>#N/A</v>
      </c>
    </row>
    <row r="1376" spans="17:31" ht="20.100000000000001" customHeight="1" x14ac:dyDescent="0.25">
      <c r="Q1376" s="7">
        <f t="shared" si="21"/>
        <v>0</v>
      </c>
      <c r="R1376" s="7" t="e">
        <f>IF(VLOOKUP($A1376,'Concrete Beam Schedule'!$A$2:$Q$2902,R$2,0)&lt;&gt;B1376,VLOOKUP($A1376,'Concrete Beam Schedule'!$A$2:$Q$2902,R$2,0),"")</f>
        <v>#N/A</v>
      </c>
      <c r="S1376" s="7" t="e">
        <f>IF(VLOOKUP($A1376,'Concrete Beam Schedule'!$A$2:$Q$2902,S$2,0)&lt;&gt;C1376,VLOOKUP($A1376,'Concrete Beam Schedule'!$A$2:$Q$2902,S$2,0),"")</f>
        <v>#N/A</v>
      </c>
      <c r="T1376" s="7" t="e">
        <f>IF(VLOOKUP($A1376,'Concrete Beam Schedule'!$A$2:$Q$2902,T$2,0)&lt;&gt;D1376,"Beam Revised","")</f>
        <v>#N/A</v>
      </c>
      <c r="U1376" s="7" t="e">
        <f>IF(VLOOKUP($A1376,'Concrete Beam Schedule'!$A$2:$Q$2902,U$2,0)&lt;&gt;E1376,"Beam Revised","")</f>
        <v>#N/A</v>
      </c>
      <c r="V1376" s="7" t="e">
        <f>IF(VLOOKUP($A1376,'Concrete Beam Schedule'!$A$2:$Q$2902,V$2,0)&lt;&gt;F1376,"Beam Revised","")</f>
        <v>#N/A</v>
      </c>
      <c r="W1376" s="7" t="e">
        <f>IF(VLOOKUP($A1376,'Concrete Beam Schedule'!$A$2:$Q$2902,W$2,0)&lt;&gt;G1376,"Beam Revised","")</f>
        <v>#N/A</v>
      </c>
      <c r="X1376" s="7" t="e">
        <f>IF(VLOOKUP($A1376,'Concrete Beam Schedule'!$A$2:$Q$2902,X$2,0)&lt;&gt;H1376,"Beam Revised","")</f>
        <v>#N/A</v>
      </c>
      <c r="Y1376" s="7" t="e">
        <f>IF(VLOOKUP($A1376,'Concrete Beam Schedule'!$A$2:$Q$2902,Y$2,0)&lt;&gt;I1376,"Beam Revised","")</f>
        <v>#N/A</v>
      </c>
      <c r="Z1376" s="7" t="e">
        <f>IF(VLOOKUP($A1376,'Concrete Beam Schedule'!$A$2:$Q$2902,Z$2,0)&lt;&gt;J1376,"Beam Revised","")</f>
        <v>#N/A</v>
      </c>
      <c r="AA1376" s="7" t="e">
        <f>IF(VLOOKUP($A1376,'Concrete Beam Schedule'!$A$2:$Q$2902,AA$2,0)&lt;&gt;K1376,"Beam Revised","")</f>
        <v>#N/A</v>
      </c>
      <c r="AB1376" s="7" t="e">
        <f>IF(VLOOKUP($A1376,'Concrete Beam Schedule'!$A$2:$Q$2902,AB$2,0)&lt;&gt;L1376,"Beam Revised","")</f>
        <v>#N/A</v>
      </c>
      <c r="AC1376" s="7" t="e">
        <f>IF(VLOOKUP($A1376,'Concrete Beam Schedule'!$A$2:$Q$2902,AC$2,0)&lt;&gt;M1376,"Beam Revised","")</f>
        <v>#N/A</v>
      </c>
      <c r="AD1376" s="7" t="e">
        <f>IF(VLOOKUP($A1376,'Concrete Beam Schedule'!$A$2:$Q$2902,AD$2,0)&lt;&gt;N1376,"Beam Revised","")</f>
        <v>#N/A</v>
      </c>
      <c r="AE1376" s="7" t="e">
        <f>IF(VLOOKUP($A1376,'Concrete Beam Schedule'!$A$2:$Q$2902,AE$2,0)&lt;&gt;O1376,"Beam Revised","")</f>
        <v>#N/A</v>
      </c>
    </row>
    <row r="1377" spans="17:31" ht="20.100000000000001" customHeight="1" x14ac:dyDescent="0.25">
      <c r="Q1377" s="7">
        <f t="shared" si="21"/>
        <v>0</v>
      </c>
      <c r="R1377" s="7" t="e">
        <f>IF(VLOOKUP($A1377,'Concrete Beam Schedule'!$A$2:$Q$2902,R$2,0)&lt;&gt;B1377,VLOOKUP($A1377,'Concrete Beam Schedule'!$A$2:$Q$2902,R$2,0),"")</f>
        <v>#N/A</v>
      </c>
      <c r="S1377" s="7" t="e">
        <f>IF(VLOOKUP($A1377,'Concrete Beam Schedule'!$A$2:$Q$2902,S$2,0)&lt;&gt;C1377,VLOOKUP($A1377,'Concrete Beam Schedule'!$A$2:$Q$2902,S$2,0),"")</f>
        <v>#N/A</v>
      </c>
      <c r="T1377" s="7" t="e">
        <f>IF(VLOOKUP($A1377,'Concrete Beam Schedule'!$A$2:$Q$2902,T$2,0)&lt;&gt;D1377,"Beam Revised","")</f>
        <v>#N/A</v>
      </c>
      <c r="U1377" s="7" t="e">
        <f>IF(VLOOKUP($A1377,'Concrete Beam Schedule'!$A$2:$Q$2902,U$2,0)&lt;&gt;E1377,"Beam Revised","")</f>
        <v>#N/A</v>
      </c>
      <c r="V1377" s="7" t="e">
        <f>IF(VLOOKUP($A1377,'Concrete Beam Schedule'!$A$2:$Q$2902,V$2,0)&lt;&gt;F1377,"Beam Revised","")</f>
        <v>#N/A</v>
      </c>
      <c r="W1377" s="7" t="e">
        <f>IF(VLOOKUP($A1377,'Concrete Beam Schedule'!$A$2:$Q$2902,W$2,0)&lt;&gt;G1377,"Beam Revised","")</f>
        <v>#N/A</v>
      </c>
      <c r="X1377" s="7" t="e">
        <f>IF(VLOOKUP($A1377,'Concrete Beam Schedule'!$A$2:$Q$2902,X$2,0)&lt;&gt;H1377,"Beam Revised","")</f>
        <v>#N/A</v>
      </c>
      <c r="Y1377" s="7" t="e">
        <f>IF(VLOOKUP($A1377,'Concrete Beam Schedule'!$A$2:$Q$2902,Y$2,0)&lt;&gt;I1377,"Beam Revised","")</f>
        <v>#N/A</v>
      </c>
      <c r="Z1377" s="7" t="e">
        <f>IF(VLOOKUP($A1377,'Concrete Beam Schedule'!$A$2:$Q$2902,Z$2,0)&lt;&gt;J1377,"Beam Revised","")</f>
        <v>#N/A</v>
      </c>
      <c r="AA1377" s="7" t="e">
        <f>IF(VLOOKUP($A1377,'Concrete Beam Schedule'!$A$2:$Q$2902,AA$2,0)&lt;&gt;K1377,"Beam Revised","")</f>
        <v>#N/A</v>
      </c>
      <c r="AB1377" s="7" t="e">
        <f>IF(VLOOKUP($A1377,'Concrete Beam Schedule'!$A$2:$Q$2902,AB$2,0)&lt;&gt;L1377,"Beam Revised","")</f>
        <v>#N/A</v>
      </c>
      <c r="AC1377" s="7" t="e">
        <f>IF(VLOOKUP($A1377,'Concrete Beam Schedule'!$A$2:$Q$2902,AC$2,0)&lt;&gt;M1377,"Beam Revised","")</f>
        <v>#N/A</v>
      </c>
      <c r="AD1377" s="7" t="e">
        <f>IF(VLOOKUP($A1377,'Concrete Beam Schedule'!$A$2:$Q$2902,AD$2,0)&lt;&gt;N1377,"Beam Revised","")</f>
        <v>#N/A</v>
      </c>
      <c r="AE1377" s="7" t="e">
        <f>IF(VLOOKUP($A1377,'Concrete Beam Schedule'!$A$2:$Q$2902,AE$2,0)&lt;&gt;O1377,"Beam Revised","")</f>
        <v>#N/A</v>
      </c>
    </row>
    <row r="1378" spans="17:31" ht="20.100000000000001" customHeight="1" x14ac:dyDescent="0.25">
      <c r="Q1378" s="7">
        <f t="shared" si="21"/>
        <v>0</v>
      </c>
      <c r="R1378" s="7" t="e">
        <f>IF(VLOOKUP($A1378,'Concrete Beam Schedule'!$A$2:$Q$2902,R$2,0)&lt;&gt;B1378,VLOOKUP($A1378,'Concrete Beam Schedule'!$A$2:$Q$2902,R$2,0),"")</f>
        <v>#N/A</v>
      </c>
      <c r="S1378" s="7" t="e">
        <f>IF(VLOOKUP($A1378,'Concrete Beam Schedule'!$A$2:$Q$2902,S$2,0)&lt;&gt;C1378,VLOOKUP($A1378,'Concrete Beam Schedule'!$A$2:$Q$2902,S$2,0),"")</f>
        <v>#N/A</v>
      </c>
      <c r="T1378" s="7" t="e">
        <f>IF(VLOOKUP($A1378,'Concrete Beam Schedule'!$A$2:$Q$2902,T$2,0)&lt;&gt;D1378,"Beam Revised","")</f>
        <v>#N/A</v>
      </c>
      <c r="U1378" s="7" t="e">
        <f>IF(VLOOKUP($A1378,'Concrete Beam Schedule'!$A$2:$Q$2902,U$2,0)&lt;&gt;E1378,"Beam Revised","")</f>
        <v>#N/A</v>
      </c>
      <c r="V1378" s="7" t="e">
        <f>IF(VLOOKUP($A1378,'Concrete Beam Schedule'!$A$2:$Q$2902,V$2,0)&lt;&gt;F1378,"Beam Revised","")</f>
        <v>#N/A</v>
      </c>
      <c r="W1378" s="7" t="e">
        <f>IF(VLOOKUP($A1378,'Concrete Beam Schedule'!$A$2:$Q$2902,W$2,0)&lt;&gt;G1378,"Beam Revised","")</f>
        <v>#N/A</v>
      </c>
      <c r="X1378" s="7" t="e">
        <f>IF(VLOOKUP($A1378,'Concrete Beam Schedule'!$A$2:$Q$2902,X$2,0)&lt;&gt;H1378,"Beam Revised","")</f>
        <v>#N/A</v>
      </c>
      <c r="Y1378" s="7" t="e">
        <f>IF(VLOOKUP($A1378,'Concrete Beam Schedule'!$A$2:$Q$2902,Y$2,0)&lt;&gt;I1378,"Beam Revised","")</f>
        <v>#N/A</v>
      </c>
      <c r="Z1378" s="7" t="e">
        <f>IF(VLOOKUP($A1378,'Concrete Beam Schedule'!$A$2:$Q$2902,Z$2,0)&lt;&gt;J1378,"Beam Revised","")</f>
        <v>#N/A</v>
      </c>
      <c r="AA1378" s="7" t="e">
        <f>IF(VLOOKUP($A1378,'Concrete Beam Schedule'!$A$2:$Q$2902,AA$2,0)&lt;&gt;K1378,"Beam Revised","")</f>
        <v>#N/A</v>
      </c>
      <c r="AB1378" s="7" t="e">
        <f>IF(VLOOKUP($A1378,'Concrete Beam Schedule'!$A$2:$Q$2902,AB$2,0)&lt;&gt;L1378,"Beam Revised","")</f>
        <v>#N/A</v>
      </c>
      <c r="AC1378" s="7" t="e">
        <f>IF(VLOOKUP($A1378,'Concrete Beam Schedule'!$A$2:$Q$2902,AC$2,0)&lt;&gt;M1378,"Beam Revised","")</f>
        <v>#N/A</v>
      </c>
      <c r="AD1378" s="7" t="e">
        <f>IF(VLOOKUP($A1378,'Concrete Beam Schedule'!$A$2:$Q$2902,AD$2,0)&lt;&gt;N1378,"Beam Revised","")</f>
        <v>#N/A</v>
      </c>
      <c r="AE1378" s="7" t="e">
        <f>IF(VLOOKUP($A1378,'Concrete Beam Schedule'!$A$2:$Q$2902,AE$2,0)&lt;&gt;O1378,"Beam Revised","")</f>
        <v>#N/A</v>
      </c>
    </row>
    <row r="1379" spans="17:31" ht="20.100000000000001" customHeight="1" x14ac:dyDescent="0.25">
      <c r="Q1379" s="7">
        <f t="shared" si="21"/>
        <v>0</v>
      </c>
      <c r="R1379" s="7" t="e">
        <f>IF(VLOOKUP($A1379,'Concrete Beam Schedule'!$A$2:$Q$2902,R$2,0)&lt;&gt;B1379,VLOOKUP($A1379,'Concrete Beam Schedule'!$A$2:$Q$2902,R$2,0),"")</f>
        <v>#N/A</v>
      </c>
      <c r="S1379" s="7" t="e">
        <f>IF(VLOOKUP($A1379,'Concrete Beam Schedule'!$A$2:$Q$2902,S$2,0)&lt;&gt;C1379,VLOOKUP($A1379,'Concrete Beam Schedule'!$A$2:$Q$2902,S$2,0),"")</f>
        <v>#N/A</v>
      </c>
      <c r="T1379" s="7" t="e">
        <f>IF(VLOOKUP($A1379,'Concrete Beam Schedule'!$A$2:$Q$2902,T$2,0)&lt;&gt;D1379,"Beam Revised","")</f>
        <v>#N/A</v>
      </c>
      <c r="U1379" s="7" t="e">
        <f>IF(VLOOKUP($A1379,'Concrete Beam Schedule'!$A$2:$Q$2902,U$2,0)&lt;&gt;E1379,"Beam Revised","")</f>
        <v>#N/A</v>
      </c>
      <c r="V1379" s="7" t="e">
        <f>IF(VLOOKUP($A1379,'Concrete Beam Schedule'!$A$2:$Q$2902,V$2,0)&lt;&gt;F1379,"Beam Revised","")</f>
        <v>#N/A</v>
      </c>
      <c r="W1379" s="7" t="e">
        <f>IF(VLOOKUP($A1379,'Concrete Beam Schedule'!$A$2:$Q$2902,W$2,0)&lt;&gt;G1379,"Beam Revised","")</f>
        <v>#N/A</v>
      </c>
      <c r="X1379" s="7" t="e">
        <f>IF(VLOOKUP($A1379,'Concrete Beam Schedule'!$A$2:$Q$2902,X$2,0)&lt;&gt;H1379,"Beam Revised","")</f>
        <v>#N/A</v>
      </c>
      <c r="Y1379" s="7" t="e">
        <f>IF(VLOOKUP($A1379,'Concrete Beam Schedule'!$A$2:$Q$2902,Y$2,0)&lt;&gt;I1379,"Beam Revised","")</f>
        <v>#N/A</v>
      </c>
      <c r="Z1379" s="7" t="e">
        <f>IF(VLOOKUP($A1379,'Concrete Beam Schedule'!$A$2:$Q$2902,Z$2,0)&lt;&gt;J1379,"Beam Revised","")</f>
        <v>#N/A</v>
      </c>
      <c r="AA1379" s="7" t="e">
        <f>IF(VLOOKUP($A1379,'Concrete Beam Schedule'!$A$2:$Q$2902,AA$2,0)&lt;&gt;K1379,"Beam Revised","")</f>
        <v>#N/A</v>
      </c>
      <c r="AB1379" s="7" t="e">
        <f>IF(VLOOKUP($A1379,'Concrete Beam Schedule'!$A$2:$Q$2902,AB$2,0)&lt;&gt;L1379,"Beam Revised","")</f>
        <v>#N/A</v>
      </c>
      <c r="AC1379" s="7" t="e">
        <f>IF(VLOOKUP($A1379,'Concrete Beam Schedule'!$A$2:$Q$2902,AC$2,0)&lt;&gt;M1379,"Beam Revised","")</f>
        <v>#N/A</v>
      </c>
      <c r="AD1379" s="7" t="e">
        <f>IF(VLOOKUP($A1379,'Concrete Beam Schedule'!$A$2:$Q$2902,AD$2,0)&lt;&gt;N1379,"Beam Revised","")</f>
        <v>#N/A</v>
      </c>
      <c r="AE1379" s="7" t="e">
        <f>IF(VLOOKUP($A1379,'Concrete Beam Schedule'!$A$2:$Q$2902,AE$2,0)&lt;&gt;O1379,"Beam Revised","")</f>
        <v>#N/A</v>
      </c>
    </row>
    <row r="1380" spans="17:31" ht="20.100000000000001" customHeight="1" x14ac:dyDescent="0.25">
      <c r="Q1380" s="7">
        <f t="shared" si="21"/>
        <v>0</v>
      </c>
      <c r="R1380" s="7" t="e">
        <f>IF(VLOOKUP($A1380,'Concrete Beam Schedule'!$A$2:$Q$2902,R$2,0)&lt;&gt;B1380,VLOOKUP($A1380,'Concrete Beam Schedule'!$A$2:$Q$2902,R$2,0),"")</f>
        <v>#N/A</v>
      </c>
      <c r="S1380" s="7" t="e">
        <f>IF(VLOOKUP($A1380,'Concrete Beam Schedule'!$A$2:$Q$2902,S$2,0)&lt;&gt;C1380,VLOOKUP($A1380,'Concrete Beam Schedule'!$A$2:$Q$2902,S$2,0),"")</f>
        <v>#N/A</v>
      </c>
      <c r="T1380" s="7" t="e">
        <f>IF(VLOOKUP($A1380,'Concrete Beam Schedule'!$A$2:$Q$2902,T$2,0)&lt;&gt;D1380,"Beam Revised","")</f>
        <v>#N/A</v>
      </c>
      <c r="U1380" s="7" t="e">
        <f>IF(VLOOKUP($A1380,'Concrete Beam Schedule'!$A$2:$Q$2902,U$2,0)&lt;&gt;E1380,"Beam Revised","")</f>
        <v>#N/A</v>
      </c>
      <c r="V1380" s="7" t="e">
        <f>IF(VLOOKUP($A1380,'Concrete Beam Schedule'!$A$2:$Q$2902,V$2,0)&lt;&gt;F1380,"Beam Revised","")</f>
        <v>#N/A</v>
      </c>
      <c r="W1380" s="7" t="e">
        <f>IF(VLOOKUP($A1380,'Concrete Beam Schedule'!$A$2:$Q$2902,W$2,0)&lt;&gt;G1380,"Beam Revised","")</f>
        <v>#N/A</v>
      </c>
      <c r="X1380" s="7" t="e">
        <f>IF(VLOOKUP($A1380,'Concrete Beam Schedule'!$A$2:$Q$2902,X$2,0)&lt;&gt;H1380,"Beam Revised","")</f>
        <v>#N/A</v>
      </c>
      <c r="Y1380" s="7" t="e">
        <f>IF(VLOOKUP($A1380,'Concrete Beam Schedule'!$A$2:$Q$2902,Y$2,0)&lt;&gt;I1380,"Beam Revised","")</f>
        <v>#N/A</v>
      </c>
      <c r="Z1380" s="7" t="e">
        <f>IF(VLOOKUP($A1380,'Concrete Beam Schedule'!$A$2:$Q$2902,Z$2,0)&lt;&gt;J1380,"Beam Revised","")</f>
        <v>#N/A</v>
      </c>
      <c r="AA1380" s="7" t="e">
        <f>IF(VLOOKUP($A1380,'Concrete Beam Schedule'!$A$2:$Q$2902,AA$2,0)&lt;&gt;K1380,"Beam Revised","")</f>
        <v>#N/A</v>
      </c>
      <c r="AB1380" s="7" t="e">
        <f>IF(VLOOKUP($A1380,'Concrete Beam Schedule'!$A$2:$Q$2902,AB$2,0)&lt;&gt;L1380,"Beam Revised","")</f>
        <v>#N/A</v>
      </c>
      <c r="AC1380" s="7" t="e">
        <f>IF(VLOOKUP($A1380,'Concrete Beam Schedule'!$A$2:$Q$2902,AC$2,0)&lt;&gt;M1380,"Beam Revised","")</f>
        <v>#N/A</v>
      </c>
      <c r="AD1380" s="7" t="e">
        <f>IF(VLOOKUP($A1380,'Concrete Beam Schedule'!$A$2:$Q$2902,AD$2,0)&lt;&gt;N1380,"Beam Revised","")</f>
        <v>#N/A</v>
      </c>
      <c r="AE1380" s="7" t="e">
        <f>IF(VLOOKUP($A1380,'Concrete Beam Schedule'!$A$2:$Q$2902,AE$2,0)&lt;&gt;O1380,"Beam Revised","")</f>
        <v>#N/A</v>
      </c>
    </row>
    <row r="1381" spans="17:31" ht="20.100000000000001" customHeight="1" x14ac:dyDescent="0.25">
      <c r="Q1381" s="7">
        <f t="shared" si="21"/>
        <v>0</v>
      </c>
      <c r="R1381" s="7" t="e">
        <f>IF(VLOOKUP($A1381,'Concrete Beam Schedule'!$A$2:$Q$2902,R$2,0)&lt;&gt;B1381,VLOOKUP($A1381,'Concrete Beam Schedule'!$A$2:$Q$2902,R$2,0),"")</f>
        <v>#N/A</v>
      </c>
      <c r="S1381" s="7" t="e">
        <f>IF(VLOOKUP($A1381,'Concrete Beam Schedule'!$A$2:$Q$2902,S$2,0)&lt;&gt;C1381,VLOOKUP($A1381,'Concrete Beam Schedule'!$A$2:$Q$2902,S$2,0),"")</f>
        <v>#N/A</v>
      </c>
      <c r="T1381" s="7" t="e">
        <f>IF(VLOOKUP($A1381,'Concrete Beam Schedule'!$A$2:$Q$2902,T$2,0)&lt;&gt;D1381,"Beam Revised","")</f>
        <v>#N/A</v>
      </c>
      <c r="U1381" s="7" t="e">
        <f>IF(VLOOKUP($A1381,'Concrete Beam Schedule'!$A$2:$Q$2902,U$2,0)&lt;&gt;E1381,"Beam Revised","")</f>
        <v>#N/A</v>
      </c>
      <c r="V1381" s="7" t="e">
        <f>IF(VLOOKUP($A1381,'Concrete Beam Schedule'!$A$2:$Q$2902,V$2,0)&lt;&gt;F1381,"Beam Revised","")</f>
        <v>#N/A</v>
      </c>
      <c r="W1381" s="7" t="e">
        <f>IF(VLOOKUP($A1381,'Concrete Beam Schedule'!$A$2:$Q$2902,W$2,0)&lt;&gt;G1381,"Beam Revised","")</f>
        <v>#N/A</v>
      </c>
      <c r="X1381" s="7" t="e">
        <f>IF(VLOOKUP($A1381,'Concrete Beam Schedule'!$A$2:$Q$2902,X$2,0)&lt;&gt;H1381,"Beam Revised","")</f>
        <v>#N/A</v>
      </c>
      <c r="Y1381" s="7" t="e">
        <f>IF(VLOOKUP($A1381,'Concrete Beam Schedule'!$A$2:$Q$2902,Y$2,0)&lt;&gt;I1381,"Beam Revised","")</f>
        <v>#N/A</v>
      </c>
      <c r="Z1381" s="7" t="e">
        <f>IF(VLOOKUP($A1381,'Concrete Beam Schedule'!$A$2:$Q$2902,Z$2,0)&lt;&gt;J1381,"Beam Revised","")</f>
        <v>#N/A</v>
      </c>
      <c r="AA1381" s="7" t="e">
        <f>IF(VLOOKUP($A1381,'Concrete Beam Schedule'!$A$2:$Q$2902,AA$2,0)&lt;&gt;K1381,"Beam Revised","")</f>
        <v>#N/A</v>
      </c>
      <c r="AB1381" s="7" t="e">
        <f>IF(VLOOKUP($A1381,'Concrete Beam Schedule'!$A$2:$Q$2902,AB$2,0)&lt;&gt;L1381,"Beam Revised","")</f>
        <v>#N/A</v>
      </c>
      <c r="AC1381" s="7" t="e">
        <f>IF(VLOOKUP($A1381,'Concrete Beam Schedule'!$A$2:$Q$2902,AC$2,0)&lt;&gt;M1381,"Beam Revised","")</f>
        <v>#N/A</v>
      </c>
      <c r="AD1381" s="7" t="e">
        <f>IF(VLOOKUP($A1381,'Concrete Beam Schedule'!$A$2:$Q$2902,AD$2,0)&lt;&gt;N1381,"Beam Revised","")</f>
        <v>#N/A</v>
      </c>
      <c r="AE1381" s="7" t="e">
        <f>IF(VLOOKUP($A1381,'Concrete Beam Schedule'!$A$2:$Q$2902,AE$2,0)&lt;&gt;O1381,"Beam Revised","")</f>
        <v>#N/A</v>
      </c>
    </row>
    <row r="1382" spans="17:31" ht="20.100000000000001" customHeight="1" x14ac:dyDescent="0.25">
      <c r="Q1382" s="7">
        <f t="shared" si="21"/>
        <v>0</v>
      </c>
      <c r="R1382" s="7" t="e">
        <f>IF(VLOOKUP($A1382,'Concrete Beam Schedule'!$A$2:$Q$2902,R$2,0)&lt;&gt;B1382,VLOOKUP($A1382,'Concrete Beam Schedule'!$A$2:$Q$2902,R$2,0),"")</f>
        <v>#N/A</v>
      </c>
      <c r="S1382" s="7" t="e">
        <f>IF(VLOOKUP($A1382,'Concrete Beam Schedule'!$A$2:$Q$2902,S$2,0)&lt;&gt;C1382,VLOOKUP($A1382,'Concrete Beam Schedule'!$A$2:$Q$2902,S$2,0),"")</f>
        <v>#N/A</v>
      </c>
      <c r="T1382" s="7" t="e">
        <f>IF(VLOOKUP($A1382,'Concrete Beam Schedule'!$A$2:$Q$2902,T$2,0)&lt;&gt;D1382,"Beam Revised","")</f>
        <v>#N/A</v>
      </c>
      <c r="U1382" s="7" t="e">
        <f>IF(VLOOKUP($A1382,'Concrete Beam Schedule'!$A$2:$Q$2902,U$2,0)&lt;&gt;E1382,"Beam Revised","")</f>
        <v>#N/A</v>
      </c>
      <c r="V1382" s="7" t="e">
        <f>IF(VLOOKUP($A1382,'Concrete Beam Schedule'!$A$2:$Q$2902,V$2,0)&lt;&gt;F1382,"Beam Revised","")</f>
        <v>#N/A</v>
      </c>
      <c r="W1382" s="7" t="e">
        <f>IF(VLOOKUP($A1382,'Concrete Beam Schedule'!$A$2:$Q$2902,W$2,0)&lt;&gt;G1382,"Beam Revised","")</f>
        <v>#N/A</v>
      </c>
      <c r="X1382" s="7" t="e">
        <f>IF(VLOOKUP($A1382,'Concrete Beam Schedule'!$A$2:$Q$2902,X$2,0)&lt;&gt;H1382,"Beam Revised","")</f>
        <v>#N/A</v>
      </c>
      <c r="Y1382" s="7" t="e">
        <f>IF(VLOOKUP($A1382,'Concrete Beam Schedule'!$A$2:$Q$2902,Y$2,0)&lt;&gt;I1382,"Beam Revised","")</f>
        <v>#N/A</v>
      </c>
      <c r="Z1382" s="7" t="e">
        <f>IF(VLOOKUP($A1382,'Concrete Beam Schedule'!$A$2:$Q$2902,Z$2,0)&lt;&gt;J1382,"Beam Revised","")</f>
        <v>#N/A</v>
      </c>
      <c r="AA1382" s="7" t="e">
        <f>IF(VLOOKUP($A1382,'Concrete Beam Schedule'!$A$2:$Q$2902,AA$2,0)&lt;&gt;K1382,"Beam Revised","")</f>
        <v>#N/A</v>
      </c>
      <c r="AB1382" s="7" t="e">
        <f>IF(VLOOKUP($A1382,'Concrete Beam Schedule'!$A$2:$Q$2902,AB$2,0)&lt;&gt;L1382,"Beam Revised","")</f>
        <v>#N/A</v>
      </c>
      <c r="AC1382" s="7" t="e">
        <f>IF(VLOOKUP($A1382,'Concrete Beam Schedule'!$A$2:$Q$2902,AC$2,0)&lt;&gt;M1382,"Beam Revised","")</f>
        <v>#N/A</v>
      </c>
      <c r="AD1382" s="7" t="e">
        <f>IF(VLOOKUP($A1382,'Concrete Beam Schedule'!$A$2:$Q$2902,AD$2,0)&lt;&gt;N1382,"Beam Revised","")</f>
        <v>#N/A</v>
      </c>
      <c r="AE1382" s="7" t="e">
        <f>IF(VLOOKUP($A1382,'Concrete Beam Schedule'!$A$2:$Q$2902,AE$2,0)&lt;&gt;O1382,"Beam Revised","")</f>
        <v>#N/A</v>
      </c>
    </row>
    <row r="1383" spans="17:31" ht="20.100000000000001" customHeight="1" x14ac:dyDescent="0.25">
      <c r="Q1383" s="7">
        <f t="shared" si="21"/>
        <v>0</v>
      </c>
      <c r="R1383" s="7" t="e">
        <f>IF(VLOOKUP($A1383,'Concrete Beam Schedule'!$A$2:$Q$2902,R$2,0)&lt;&gt;B1383,VLOOKUP($A1383,'Concrete Beam Schedule'!$A$2:$Q$2902,R$2,0),"")</f>
        <v>#N/A</v>
      </c>
      <c r="S1383" s="7" t="e">
        <f>IF(VLOOKUP($A1383,'Concrete Beam Schedule'!$A$2:$Q$2902,S$2,0)&lt;&gt;C1383,VLOOKUP($A1383,'Concrete Beam Schedule'!$A$2:$Q$2902,S$2,0),"")</f>
        <v>#N/A</v>
      </c>
      <c r="T1383" s="7" t="e">
        <f>IF(VLOOKUP($A1383,'Concrete Beam Schedule'!$A$2:$Q$2902,T$2,0)&lt;&gt;D1383,"Beam Revised","")</f>
        <v>#N/A</v>
      </c>
      <c r="U1383" s="7" t="e">
        <f>IF(VLOOKUP($A1383,'Concrete Beam Schedule'!$A$2:$Q$2902,U$2,0)&lt;&gt;E1383,"Beam Revised","")</f>
        <v>#N/A</v>
      </c>
      <c r="V1383" s="7" t="e">
        <f>IF(VLOOKUP($A1383,'Concrete Beam Schedule'!$A$2:$Q$2902,V$2,0)&lt;&gt;F1383,"Beam Revised","")</f>
        <v>#N/A</v>
      </c>
      <c r="W1383" s="7" t="e">
        <f>IF(VLOOKUP($A1383,'Concrete Beam Schedule'!$A$2:$Q$2902,W$2,0)&lt;&gt;G1383,"Beam Revised","")</f>
        <v>#N/A</v>
      </c>
      <c r="X1383" s="7" t="e">
        <f>IF(VLOOKUP($A1383,'Concrete Beam Schedule'!$A$2:$Q$2902,X$2,0)&lt;&gt;H1383,"Beam Revised","")</f>
        <v>#N/A</v>
      </c>
      <c r="Y1383" s="7" t="e">
        <f>IF(VLOOKUP($A1383,'Concrete Beam Schedule'!$A$2:$Q$2902,Y$2,0)&lt;&gt;I1383,"Beam Revised","")</f>
        <v>#N/A</v>
      </c>
      <c r="Z1383" s="7" t="e">
        <f>IF(VLOOKUP($A1383,'Concrete Beam Schedule'!$A$2:$Q$2902,Z$2,0)&lt;&gt;J1383,"Beam Revised","")</f>
        <v>#N/A</v>
      </c>
      <c r="AA1383" s="7" t="e">
        <f>IF(VLOOKUP($A1383,'Concrete Beam Schedule'!$A$2:$Q$2902,AA$2,0)&lt;&gt;K1383,"Beam Revised","")</f>
        <v>#N/A</v>
      </c>
      <c r="AB1383" s="7" t="e">
        <f>IF(VLOOKUP($A1383,'Concrete Beam Schedule'!$A$2:$Q$2902,AB$2,0)&lt;&gt;L1383,"Beam Revised","")</f>
        <v>#N/A</v>
      </c>
      <c r="AC1383" s="7" t="e">
        <f>IF(VLOOKUP($A1383,'Concrete Beam Schedule'!$A$2:$Q$2902,AC$2,0)&lt;&gt;M1383,"Beam Revised","")</f>
        <v>#N/A</v>
      </c>
      <c r="AD1383" s="7" t="e">
        <f>IF(VLOOKUP($A1383,'Concrete Beam Schedule'!$A$2:$Q$2902,AD$2,0)&lt;&gt;N1383,"Beam Revised","")</f>
        <v>#N/A</v>
      </c>
      <c r="AE1383" s="7" t="e">
        <f>IF(VLOOKUP($A1383,'Concrete Beam Schedule'!$A$2:$Q$2902,AE$2,0)&lt;&gt;O1383,"Beam Revised","")</f>
        <v>#N/A</v>
      </c>
    </row>
    <row r="1384" spans="17:31" ht="20.100000000000001" customHeight="1" x14ac:dyDescent="0.25">
      <c r="Q1384" s="7">
        <f t="shared" si="21"/>
        <v>0</v>
      </c>
      <c r="R1384" s="7" t="e">
        <f>IF(VLOOKUP($A1384,'Concrete Beam Schedule'!$A$2:$Q$2902,R$2,0)&lt;&gt;B1384,VLOOKUP($A1384,'Concrete Beam Schedule'!$A$2:$Q$2902,R$2,0),"")</f>
        <v>#N/A</v>
      </c>
      <c r="S1384" s="7" t="e">
        <f>IF(VLOOKUP($A1384,'Concrete Beam Schedule'!$A$2:$Q$2902,S$2,0)&lt;&gt;C1384,VLOOKUP($A1384,'Concrete Beam Schedule'!$A$2:$Q$2902,S$2,0),"")</f>
        <v>#N/A</v>
      </c>
      <c r="T1384" s="7" t="e">
        <f>IF(VLOOKUP($A1384,'Concrete Beam Schedule'!$A$2:$Q$2902,T$2,0)&lt;&gt;D1384,"Beam Revised","")</f>
        <v>#N/A</v>
      </c>
      <c r="U1384" s="7" t="e">
        <f>IF(VLOOKUP($A1384,'Concrete Beam Schedule'!$A$2:$Q$2902,U$2,0)&lt;&gt;E1384,"Beam Revised","")</f>
        <v>#N/A</v>
      </c>
      <c r="V1384" s="7" t="e">
        <f>IF(VLOOKUP($A1384,'Concrete Beam Schedule'!$A$2:$Q$2902,V$2,0)&lt;&gt;F1384,"Beam Revised","")</f>
        <v>#N/A</v>
      </c>
      <c r="W1384" s="7" t="e">
        <f>IF(VLOOKUP($A1384,'Concrete Beam Schedule'!$A$2:$Q$2902,W$2,0)&lt;&gt;G1384,"Beam Revised","")</f>
        <v>#N/A</v>
      </c>
      <c r="X1384" s="7" t="e">
        <f>IF(VLOOKUP($A1384,'Concrete Beam Schedule'!$A$2:$Q$2902,X$2,0)&lt;&gt;H1384,"Beam Revised","")</f>
        <v>#N/A</v>
      </c>
      <c r="Y1384" s="7" t="e">
        <f>IF(VLOOKUP($A1384,'Concrete Beam Schedule'!$A$2:$Q$2902,Y$2,0)&lt;&gt;I1384,"Beam Revised","")</f>
        <v>#N/A</v>
      </c>
      <c r="Z1384" s="7" t="e">
        <f>IF(VLOOKUP($A1384,'Concrete Beam Schedule'!$A$2:$Q$2902,Z$2,0)&lt;&gt;J1384,"Beam Revised","")</f>
        <v>#N/A</v>
      </c>
      <c r="AA1384" s="7" t="e">
        <f>IF(VLOOKUP($A1384,'Concrete Beam Schedule'!$A$2:$Q$2902,AA$2,0)&lt;&gt;K1384,"Beam Revised","")</f>
        <v>#N/A</v>
      </c>
      <c r="AB1384" s="7" t="e">
        <f>IF(VLOOKUP($A1384,'Concrete Beam Schedule'!$A$2:$Q$2902,AB$2,0)&lt;&gt;L1384,"Beam Revised","")</f>
        <v>#N/A</v>
      </c>
      <c r="AC1384" s="7" t="e">
        <f>IF(VLOOKUP($A1384,'Concrete Beam Schedule'!$A$2:$Q$2902,AC$2,0)&lt;&gt;M1384,"Beam Revised","")</f>
        <v>#N/A</v>
      </c>
      <c r="AD1384" s="7" t="e">
        <f>IF(VLOOKUP($A1384,'Concrete Beam Schedule'!$A$2:$Q$2902,AD$2,0)&lt;&gt;N1384,"Beam Revised","")</f>
        <v>#N/A</v>
      </c>
      <c r="AE1384" s="7" t="e">
        <f>IF(VLOOKUP($A1384,'Concrete Beam Schedule'!$A$2:$Q$2902,AE$2,0)&lt;&gt;O1384,"Beam Revised","")</f>
        <v>#N/A</v>
      </c>
    </row>
    <row r="1385" spans="17:31" ht="20.100000000000001" customHeight="1" x14ac:dyDescent="0.25">
      <c r="Q1385" s="7">
        <f t="shared" si="21"/>
        <v>0</v>
      </c>
      <c r="R1385" s="7" t="e">
        <f>IF(VLOOKUP($A1385,'Concrete Beam Schedule'!$A$2:$Q$2902,R$2,0)&lt;&gt;B1385,VLOOKUP($A1385,'Concrete Beam Schedule'!$A$2:$Q$2902,R$2,0),"")</f>
        <v>#N/A</v>
      </c>
      <c r="S1385" s="7" t="e">
        <f>IF(VLOOKUP($A1385,'Concrete Beam Schedule'!$A$2:$Q$2902,S$2,0)&lt;&gt;C1385,VLOOKUP($A1385,'Concrete Beam Schedule'!$A$2:$Q$2902,S$2,0),"")</f>
        <v>#N/A</v>
      </c>
      <c r="T1385" s="7" t="e">
        <f>IF(VLOOKUP($A1385,'Concrete Beam Schedule'!$A$2:$Q$2902,T$2,0)&lt;&gt;D1385,"Beam Revised","")</f>
        <v>#N/A</v>
      </c>
      <c r="U1385" s="7" t="e">
        <f>IF(VLOOKUP($A1385,'Concrete Beam Schedule'!$A$2:$Q$2902,U$2,0)&lt;&gt;E1385,"Beam Revised","")</f>
        <v>#N/A</v>
      </c>
      <c r="V1385" s="7" t="e">
        <f>IF(VLOOKUP($A1385,'Concrete Beam Schedule'!$A$2:$Q$2902,V$2,0)&lt;&gt;F1385,"Beam Revised","")</f>
        <v>#N/A</v>
      </c>
      <c r="W1385" s="7" t="e">
        <f>IF(VLOOKUP($A1385,'Concrete Beam Schedule'!$A$2:$Q$2902,W$2,0)&lt;&gt;G1385,"Beam Revised","")</f>
        <v>#N/A</v>
      </c>
      <c r="X1385" s="7" t="e">
        <f>IF(VLOOKUP($A1385,'Concrete Beam Schedule'!$A$2:$Q$2902,X$2,0)&lt;&gt;H1385,"Beam Revised","")</f>
        <v>#N/A</v>
      </c>
      <c r="Y1385" s="7" t="e">
        <f>IF(VLOOKUP($A1385,'Concrete Beam Schedule'!$A$2:$Q$2902,Y$2,0)&lt;&gt;I1385,"Beam Revised","")</f>
        <v>#N/A</v>
      </c>
      <c r="Z1385" s="7" t="e">
        <f>IF(VLOOKUP($A1385,'Concrete Beam Schedule'!$A$2:$Q$2902,Z$2,0)&lt;&gt;J1385,"Beam Revised","")</f>
        <v>#N/A</v>
      </c>
      <c r="AA1385" s="7" t="e">
        <f>IF(VLOOKUP($A1385,'Concrete Beam Schedule'!$A$2:$Q$2902,AA$2,0)&lt;&gt;K1385,"Beam Revised","")</f>
        <v>#N/A</v>
      </c>
      <c r="AB1385" s="7" t="e">
        <f>IF(VLOOKUP($A1385,'Concrete Beam Schedule'!$A$2:$Q$2902,AB$2,0)&lt;&gt;L1385,"Beam Revised","")</f>
        <v>#N/A</v>
      </c>
      <c r="AC1385" s="7" t="e">
        <f>IF(VLOOKUP($A1385,'Concrete Beam Schedule'!$A$2:$Q$2902,AC$2,0)&lt;&gt;M1385,"Beam Revised","")</f>
        <v>#N/A</v>
      </c>
      <c r="AD1385" s="7" t="e">
        <f>IF(VLOOKUP($A1385,'Concrete Beam Schedule'!$A$2:$Q$2902,AD$2,0)&lt;&gt;N1385,"Beam Revised","")</f>
        <v>#N/A</v>
      </c>
      <c r="AE1385" s="7" t="e">
        <f>IF(VLOOKUP($A1385,'Concrete Beam Schedule'!$A$2:$Q$2902,AE$2,0)&lt;&gt;O1385,"Beam Revised","")</f>
        <v>#N/A</v>
      </c>
    </row>
    <row r="1386" spans="17:31" ht="20.100000000000001" customHeight="1" x14ac:dyDescent="0.25">
      <c r="Q1386" s="7">
        <f t="shared" si="21"/>
        <v>0</v>
      </c>
      <c r="R1386" s="7" t="e">
        <f>IF(VLOOKUP($A1386,'Concrete Beam Schedule'!$A$2:$Q$2902,R$2,0)&lt;&gt;B1386,VLOOKUP($A1386,'Concrete Beam Schedule'!$A$2:$Q$2902,R$2,0),"")</f>
        <v>#N/A</v>
      </c>
      <c r="S1386" s="7" t="e">
        <f>IF(VLOOKUP($A1386,'Concrete Beam Schedule'!$A$2:$Q$2902,S$2,0)&lt;&gt;C1386,VLOOKUP($A1386,'Concrete Beam Schedule'!$A$2:$Q$2902,S$2,0),"")</f>
        <v>#N/A</v>
      </c>
      <c r="T1386" s="7" t="e">
        <f>IF(VLOOKUP($A1386,'Concrete Beam Schedule'!$A$2:$Q$2902,T$2,0)&lt;&gt;D1386,"Beam Revised","")</f>
        <v>#N/A</v>
      </c>
      <c r="U1386" s="7" t="e">
        <f>IF(VLOOKUP($A1386,'Concrete Beam Schedule'!$A$2:$Q$2902,U$2,0)&lt;&gt;E1386,"Beam Revised","")</f>
        <v>#N/A</v>
      </c>
      <c r="V1386" s="7" t="e">
        <f>IF(VLOOKUP($A1386,'Concrete Beam Schedule'!$A$2:$Q$2902,V$2,0)&lt;&gt;F1386,"Beam Revised","")</f>
        <v>#N/A</v>
      </c>
      <c r="W1386" s="7" t="e">
        <f>IF(VLOOKUP($A1386,'Concrete Beam Schedule'!$A$2:$Q$2902,W$2,0)&lt;&gt;G1386,"Beam Revised","")</f>
        <v>#N/A</v>
      </c>
      <c r="X1386" s="7" t="e">
        <f>IF(VLOOKUP($A1386,'Concrete Beam Schedule'!$A$2:$Q$2902,X$2,0)&lt;&gt;H1386,"Beam Revised","")</f>
        <v>#N/A</v>
      </c>
      <c r="Y1386" s="7" t="e">
        <f>IF(VLOOKUP($A1386,'Concrete Beam Schedule'!$A$2:$Q$2902,Y$2,0)&lt;&gt;I1386,"Beam Revised","")</f>
        <v>#N/A</v>
      </c>
      <c r="Z1386" s="7" t="e">
        <f>IF(VLOOKUP($A1386,'Concrete Beam Schedule'!$A$2:$Q$2902,Z$2,0)&lt;&gt;J1386,"Beam Revised","")</f>
        <v>#N/A</v>
      </c>
      <c r="AA1386" s="7" t="e">
        <f>IF(VLOOKUP($A1386,'Concrete Beam Schedule'!$A$2:$Q$2902,AA$2,0)&lt;&gt;K1386,"Beam Revised","")</f>
        <v>#N/A</v>
      </c>
      <c r="AB1386" s="7" t="e">
        <f>IF(VLOOKUP($A1386,'Concrete Beam Schedule'!$A$2:$Q$2902,AB$2,0)&lt;&gt;L1386,"Beam Revised","")</f>
        <v>#N/A</v>
      </c>
      <c r="AC1386" s="7" t="e">
        <f>IF(VLOOKUP($A1386,'Concrete Beam Schedule'!$A$2:$Q$2902,AC$2,0)&lt;&gt;M1386,"Beam Revised","")</f>
        <v>#N/A</v>
      </c>
      <c r="AD1386" s="7" t="e">
        <f>IF(VLOOKUP($A1386,'Concrete Beam Schedule'!$A$2:$Q$2902,AD$2,0)&lt;&gt;N1386,"Beam Revised","")</f>
        <v>#N/A</v>
      </c>
      <c r="AE1386" s="7" t="e">
        <f>IF(VLOOKUP($A1386,'Concrete Beam Schedule'!$A$2:$Q$2902,AE$2,0)&lt;&gt;O1386,"Beam Revised","")</f>
        <v>#N/A</v>
      </c>
    </row>
    <row r="1387" spans="17:31" ht="20.100000000000001" customHeight="1" x14ac:dyDescent="0.25">
      <c r="Q1387" s="7">
        <f t="shared" si="21"/>
        <v>0</v>
      </c>
      <c r="R1387" s="7" t="e">
        <f>IF(VLOOKUP($A1387,'Concrete Beam Schedule'!$A$2:$Q$2902,R$2,0)&lt;&gt;B1387,VLOOKUP($A1387,'Concrete Beam Schedule'!$A$2:$Q$2902,R$2,0),"")</f>
        <v>#N/A</v>
      </c>
      <c r="S1387" s="7" t="e">
        <f>IF(VLOOKUP($A1387,'Concrete Beam Schedule'!$A$2:$Q$2902,S$2,0)&lt;&gt;C1387,VLOOKUP($A1387,'Concrete Beam Schedule'!$A$2:$Q$2902,S$2,0),"")</f>
        <v>#N/A</v>
      </c>
      <c r="T1387" s="7" t="e">
        <f>IF(VLOOKUP($A1387,'Concrete Beam Schedule'!$A$2:$Q$2902,T$2,0)&lt;&gt;D1387,"Beam Revised","")</f>
        <v>#N/A</v>
      </c>
      <c r="U1387" s="7" t="e">
        <f>IF(VLOOKUP($A1387,'Concrete Beam Schedule'!$A$2:$Q$2902,U$2,0)&lt;&gt;E1387,"Beam Revised","")</f>
        <v>#N/A</v>
      </c>
      <c r="V1387" s="7" t="e">
        <f>IF(VLOOKUP($A1387,'Concrete Beam Schedule'!$A$2:$Q$2902,V$2,0)&lt;&gt;F1387,"Beam Revised","")</f>
        <v>#N/A</v>
      </c>
      <c r="W1387" s="7" t="e">
        <f>IF(VLOOKUP($A1387,'Concrete Beam Schedule'!$A$2:$Q$2902,W$2,0)&lt;&gt;G1387,"Beam Revised","")</f>
        <v>#N/A</v>
      </c>
      <c r="X1387" s="7" t="e">
        <f>IF(VLOOKUP($A1387,'Concrete Beam Schedule'!$A$2:$Q$2902,X$2,0)&lt;&gt;H1387,"Beam Revised","")</f>
        <v>#N/A</v>
      </c>
      <c r="Y1387" s="7" t="e">
        <f>IF(VLOOKUP($A1387,'Concrete Beam Schedule'!$A$2:$Q$2902,Y$2,0)&lt;&gt;I1387,"Beam Revised","")</f>
        <v>#N/A</v>
      </c>
      <c r="Z1387" s="7" t="e">
        <f>IF(VLOOKUP($A1387,'Concrete Beam Schedule'!$A$2:$Q$2902,Z$2,0)&lt;&gt;J1387,"Beam Revised","")</f>
        <v>#N/A</v>
      </c>
      <c r="AA1387" s="7" t="e">
        <f>IF(VLOOKUP($A1387,'Concrete Beam Schedule'!$A$2:$Q$2902,AA$2,0)&lt;&gt;K1387,"Beam Revised","")</f>
        <v>#N/A</v>
      </c>
      <c r="AB1387" s="7" t="e">
        <f>IF(VLOOKUP($A1387,'Concrete Beam Schedule'!$A$2:$Q$2902,AB$2,0)&lt;&gt;L1387,"Beam Revised","")</f>
        <v>#N/A</v>
      </c>
      <c r="AC1387" s="7" t="e">
        <f>IF(VLOOKUP($A1387,'Concrete Beam Schedule'!$A$2:$Q$2902,AC$2,0)&lt;&gt;M1387,"Beam Revised","")</f>
        <v>#N/A</v>
      </c>
      <c r="AD1387" s="7" t="e">
        <f>IF(VLOOKUP($A1387,'Concrete Beam Schedule'!$A$2:$Q$2902,AD$2,0)&lt;&gt;N1387,"Beam Revised","")</f>
        <v>#N/A</v>
      </c>
      <c r="AE1387" s="7" t="e">
        <f>IF(VLOOKUP($A1387,'Concrete Beam Schedule'!$A$2:$Q$2902,AE$2,0)&lt;&gt;O1387,"Beam Revised","")</f>
        <v>#N/A</v>
      </c>
    </row>
    <row r="1388" spans="17:31" ht="20.100000000000001" customHeight="1" x14ac:dyDescent="0.25">
      <c r="Q1388" s="7">
        <f t="shared" si="21"/>
        <v>0</v>
      </c>
      <c r="R1388" s="7" t="e">
        <f>IF(VLOOKUP($A1388,'Concrete Beam Schedule'!$A$2:$Q$2902,R$2,0)&lt;&gt;B1388,VLOOKUP($A1388,'Concrete Beam Schedule'!$A$2:$Q$2902,R$2,0),"")</f>
        <v>#N/A</v>
      </c>
      <c r="S1388" s="7" t="e">
        <f>IF(VLOOKUP($A1388,'Concrete Beam Schedule'!$A$2:$Q$2902,S$2,0)&lt;&gt;C1388,VLOOKUP($A1388,'Concrete Beam Schedule'!$A$2:$Q$2902,S$2,0),"")</f>
        <v>#N/A</v>
      </c>
      <c r="T1388" s="7" t="e">
        <f>IF(VLOOKUP($A1388,'Concrete Beam Schedule'!$A$2:$Q$2902,T$2,0)&lt;&gt;D1388,"Beam Revised","")</f>
        <v>#N/A</v>
      </c>
      <c r="U1388" s="7" t="e">
        <f>IF(VLOOKUP($A1388,'Concrete Beam Schedule'!$A$2:$Q$2902,U$2,0)&lt;&gt;E1388,"Beam Revised","")</f>
        <v>#N/A</v>
      </c>
      <c r="V1388" s="7" t="e">
        <f>IF(VLOOKUP($A1388,'Concrete Beam Schedule'!$A$2:$Q$2902,V$2,0)&lt;&gt;F1388,"Beam Revised","")</f>
        <v>#N/A</v>
      </c>
      <c r="W1388" s="7" t="e">
        <f>IF(VLOOKUP($A1388,'Concrete Beam Schedule'!$A$2:$Q$2902,W$2,0)&lt;&gt;G1388,"Beam Revised","")</f>
        <v>#N/A</v>
      </c>
      <c r="X1388" s="7" t="e">
        <f>IF(VLOOKUP($A1388,'Concrete Beam Schedule'!$A$2:$Q$2902,X$2,0)&lt;&gt;H1388,"Beam Revised","")</f>
        <v>#N/A</v>
      </c>
      <c r="Y1388" s="7" t="e">
        <f>IF(VLOOKUP($A1388,'Concrete Beam Schedule'!$A$2:$Q$2902,Y$2,0)&lt;&gt;I1388,"Beam Revised","")</f>
        <v>#N/A</v>
      </c>
      <c r="Z1388" s="7" t="e">
        <f>IF(VLOOKUP($A1388,'Concrete Beam Schedule'!$A$2:$Q$2902,Z$2,0)&lt;&gt;J1388,"Beam Revised","")</f>
        <v>#N/A</v>
      </c>
      <c r="AA1388" s="7" t="e">
        <f>IF(VLOOKUP($A1388,'Concrete Beam Schedule'!$A$2:$Q$2902,AA$2,0)&lt;&gt;K1388,"Beam Revised","")</f>
        <v>#N/A</v>
      </c>
      <c r="AB1388" s="7" t="e">
        <f>IF(VLOOKUP($A1388,'Concrete Beam Schedule'!$A$2:$Q$2902,AB$2,0)&lt;&gt;L1388,"Beam Revised","")</f>
        <v>#N/A</v>
      </c>
      <c r="AC1388" s="7" t="e">
        <f>IF(VLOOKUP($A1388,'Concrete Beam Schedule'!$A$2:$Q$2902,AC$2,0)&lt;&gt;M1388,"Beam Revised","")</f>
        <v>#N/A</v>
      </c>
      <c r="AD1388" s="7" t="e">
        <f>IF(VLOOKUP($A1388,'Concrete Beam Schedule'!$A$2:$Q$2902,AD$2,0)&lt;&gt;N1388,"Beam Revised","")</f>
        <v>#N/A</v>
      </c>
      <c r="AE1388" s="7" t="e">
        <f>IF(VLOOKUP($A1388,'Concrete Beam Schedule'!$A$2:$Q$2902,AE$2,0)&lt;&gt;O1388,"Beam Revised","")</f>
        <v>#N/A</v>
      </c>
    </row>
    <row r="1389" spans="17:31" ht="20.100000000000001" customHeight="1" x14ac:dyDescent="0.25">
      <c r="Q1389" s="7">
        <f t="shared" si="21"/>
        <v>0</v>
      </c>
      <c r="R1389" s="7" t="e">
        <f>IF(VLOOKUP($A1389,'Concrete Beam Schedule'!$A$2:$Q$2902,R$2,0)&lt;&gt;B1389,VLOOKUP($A1389,'Concrete Beam Schedule'!$A$2:$Q$2902,R$2,0),"")</f>
        <v>#N/A</v>
      </c>
      <c r="S1389" s="7" t="e">
        <f>IF(VLOOKUP($A1389,'Concrete Beam Schedule'!$A$2:$Q$2902,S$2,0)&lt;&gt;C1389,VLOOKUP($A1389,'Concrete Beam Schedule'!$A$2:$Q$2902,S$2,0),"")</f>
        <v>#N/A</v>
      </c>
      <c r="T1389" s="7" t="e">
        <f>IF(VLOOKUP($A1389,'Concrete Beam Schedule'!$A$2:$Q$2902,T$2,0)&lt;&gt;D1389,"Beam Revised","")</f>
        <v>#N/A</v>
      </c>
      <c r="U1389" s="7" t="e">
        <f>IF(VLOOKUP($A1389,'Concrete Beam Schedule'!$A$2:$Q$2902,U$2,0)&lt;&gt;E1389,"Beam Revised","")</f>
        <v>#N/A</v>
      </c>
      <c r="V1389" s="7" t="e">
        <f>IF(VLOOKUP($A1389,'Concrete Beam Schedule'!$A$2:$Q$2902,V$2,0)&lt;&gt;F1389,"Beam Revised","")</f>
        <v>#N/A</v>
      </c>
      <c r="W1389" s="7" t="e">
        <f>IF(VLOOKUP($A1389,'Concrete Beam Schedule'!$A$2:$Q$2902,W$2,0)&lt;&gt;G1389,"Beam Revised","")</f>
        <v>#N/A</v>
      </c>
      <c r="X1389" s="7" t="e">
        <f>IF(VLOOKUP($A1389,'Concrete Beam Schedule'!$A$2:$Q$2902,X$2,0)&lt;&gt;H1389,"Beam Revised","")</f>
        <v>#N/A</v>
      </c>
      <c r="Y1389" s="7" t="e">
        <f>IF(VLOOKUP($A1389,'Concrete Beam Schedule'!$A$2:$Q$2902,Y$2,0)&lt;&gt;I1389,"Beam Revised","")</f>
        <v>#N/A</v>
      </c>
      <c r="Z1389" s="7" t="e">
        <f>IF(VLOOKUP($A1389,'Concrete Beam Schedule'!$A$2:$Q$2902,Z$2,0)&lt;&gt;J1389,"Beam Revised","")</f>
        <v>#N/A</v>
      </c>
      <c r="AA1389" s="7" t="e">
        <f>IF(VLOOKUP($A1389,'Concrete Beam Schedule'!$A$2:$Q$2902,AA$2,0)&lt;&gt;K1389,"Beam Revised","")</f>
        <v>#N/A</v>
      </c>
      <c r="AB1389" s="7" t="e">
        <f>IF(VLOOKUP($A1389,'Concrete Beam Schedule'!$A$2:$Q$2902,AB$2,0)&lt;&gt;L1389,"Beam Revised","")</f>
        <v>#N/A</v>
      </c>
      <c r="AC1389" s="7" t="e">
        <f>IF(VLOOKUP($A1389,'Concrete Beam Schedule'!$A$2:$Q$2902,AC$2,0)&lt;&gt;M1389,"Beam Revised","")</f>
        <v>#N/A</v>
      </c>
      <c r="AD1389" s="7" t="e">
        <f>IF(VLOOKUP($A1389,'Concrete Beam Schedule'!$A$2:$Q$2902,AD$2,0)&lt;&gt;N1389,"Beam Revised","")</f>
        <v>#N/A</v>
      </c>
      <c r="AE1389" s="7" t="e">
        <f>IF(VLOOKUP($A1389,'Concrete Beam Schedule'!$A$2:$Q$2902,AE$2,0)&lt;&gt;O1389,"Beam Revised","")</f>
        <v>#N/A</v>
      </c>
    </row>
    <row r="1390" spans="17:31" ht="20.100000000000001" customHeight="1" x14ac:dyDescent="0.25">
      <c r="Q1390" s="7">
        <f t="shared" si="21"/>
        <v>0</v>
      </c>
      <c r="R1390" s="7" t="e">
        <f>IF(VLOOKUP($A1390,'Concrete Beam Schedule'!$A$2:$Q$2902,R$2,0)&lt;&gt;B1390,VLOOKUP($A1390,'Concrete Beam Schedule'!$A$2:$Q$2902,R$2,0),"")</f>
        <v>#N/A</v>
      </c>
      <c r="S1390" s="7" t="e">
        <f>IF(VLOOKUP($A1390,'Concrete Beam Schedule'!$A$2:$Q$2902,S$2,0)&lt;&gt;C1390,VLOOKUP($A1390,'Concrete Beam Schedule'!$A$2:$Q$2902,S$2,0),"")</f>
        <v>#N/A</v>
      </c>
      <c r="T1390" s="7" t="e">
        <f>IF(VLOOKUP($A1390,'Concrete Beam Schedule'!$A$2:$Q$2902,T$2,0)&lt;&gt;D1390,"Beam Revised","")</f>
        <v>#N/A</v>
      </c>
      <c r="U1390" s="7" t="e">
        <f>IF(VLOOKUP($A1390,'Concrete Beam Schedule'!$A$2:$Q$2902,U$2,0)&lt;&gt;E1390,"Beam Revised","")</f>
        <v>#N/A</v>
      </c>
      <c r="V1390" s="7" t="e">
        <f>IF(VLOOKUP($A1390,'Concrete Beam Schedule'!$A$2:$Q$2902,V$2,0)&lt;&gt;F1390,"Beam Revised","")</f>
        <v>#N/A</v>
      </c>
      <c r="W1390" s="7" t="e">
        <f>IF(VLOOKUP($A1390,'Concrete Beam Schedule'!$A$2:$Q$2902,W$2,0)&lt;&gt;G1390,"Beam Revised","")</f>
        <v>#N/A</v>
      </c>
      <c r="X1390" s="7" t="e">
        <f>IF(VLOOKUP($A1390,'Concrete Beam Schedule'!$A$2:$Q$2902,X$2,0)&lt;&gt;H1390,"Beam Revised","")</f>
        <v>#N/A</v>
      </c>
      <c r="Y1390" s="7" t="e">
        <f>IF(VLOOKUP($A1390,'Concrete Beam Schedule'!$A$2:$Q$2902,Y$2,0)&lt;&gt;I1390,"Beam Revised","")</f>
        <v>#N/A</v>
      </c>
      <c r="Z1390" s="7" t="e">
        <f>IF(VLOOKUP($A1390,'Concrete Beam Schedule'!$A$2:$Q$2902,Z$2,0)&lt;&gt;J1390,"Beam Revised","")</f>
        <v>#N/A</v>
      </c>
      <c r="AA1390" s="7" t="e">
        <f>IF(VLOOKUP($A1390,'Concrete Beam Schedule'!$A$2:$Q$2902,AA$2,0)&lt;&gt;K1390,"Beam Revised","")</f>
        <v>#N/A</v>
      </c>
      <c r="AB1390" s="7" t="e">
        <f>IF(VLOOKUP($A1390,'Concrete Beam Schedule'!$A$2:$Q$2902,AB$2,0)&lt;&gt;L1390,"Beam Revised","")</f>
        <v>#N/A</v>
      </c>
      <c r="AC1390" s="7" t="e">
        <f>IF(VLOOKUP($A1390,'Concrete Beam Schedule'!$A$2:$Q$2902,AC$2,0)&lt;&gt;M1390,"Beam Revised","")</f>
        <v>#N/A</v>
      </c>
      <c r="AD1390" s="7" t="e">
        <f>IF(VLOOKUP($A1390,'Concrete Beam Schedule'!$A$2:$Q$2902,AD$2,0)&lt;&gt;N1390,"Beam Revised","")</f>
        <v>#N/A</v>
      </c>
      <c r="AE1390" s="7" t="e">
        <f>IF(VLOOKUP($A1390,'Concrete Beam Schedule'!$A$2:$Q$2902,AE$2,0)&lt;&gt;O1390,"Beam Revised","")</f>
        <v>#N/A</v>
      </c>
    </row>
    <row r="1391" spans="17:31" ht="20.100000000000001" customHeight="1" x14ac:dyDescent="0.25">
      <c r="Q1391" s="7">
        <f t="shared" si="21"/>
        <v>0</v>
      </c>
      <c r="R1391" s="7" t="e">
        <f>IF(VLOOKUP($A1391,'Concrete Beam Schedule'!$A$2:$Q$2902,R$2,0)&lt;&gt;B1391,VLOOKUP($A1391,'Concrete Beam Schedule'!$A$2:$Q$2902,R$2,0),"")</f>
        <v>#N/A</v>
      </c>
      <c r="S1391" s="7" t="e">
        <f>IF(VLOOKUP($A1391,'Concrete Beam Schedule'!$A$2:$Q$2902,S$2,0)&lt;&gt;C1391,VLOOKUP($A1391,'Concrete Beam Schedule'!$A$2:$Q$2902,S$2,0),"")</f>
        <v>#N/A</v>
      </c>
      <c r="T1391" s="7" t="e">
        <f>IF(VLOOKUP($A1391,'Concrete Beam Schedule'!$A$2:$Q$2902,T$2,0)&lt;&gt;D1391,"Beam Revised","")</f>
        <v>#N/A</v>
      </c>
      <c r="U1391" s="7" t="e">
        <f>IF(VLOOKUP($A1391,'Concrete Beam Schedule'!$A$2:$Q$2902,U$2,0)&lt;&gt;E1391,"Beam Revised","")</f>
        <v>#N/A</v>
      </c>
      <c r="V1391" s="7" t="e">
        <f>IF(VLOOKUP($A1391,'Concrete Beam Schedule'!$A$2:$Q$2902,V$2,0)&lt;&gt;F1391,"Beam Revised","")</f>
        <v>#N/A</v>
      </c>
      <c r="W1391" s="7" t="e">
        <f>IF(VLOOKUP($A1391,'Concrete Beam Schedule'!$A$2:$Q$2902,W$2,0)&lt;&gt;G1391,"Beam Revised","")</f>
        <v>#N/A</v>
      </c>
      <c r="X1391" s="7" t="e">
        <f>IF(VLOOKUP($A1391,'Concrete Beam Schedule'!$A$2:$Q$2902,X$2,0)&lt;&gt;H1391,"Beam Revised","")</f>
        <v>#N/A</v>
      </c>
      <c r="Y1391" s="7" t="e">
        <f>IF(VLOOKUP($A1391,'Concrete Beam Schedule'!$A$2:$Q$2902,Y$2,0)&lt;&gt;I1391,"Beam Revised","")</f>
        <v>#N/A</v>
      </c>
      <c r="Z1391" s="7" t="e">
        <f>IF(VLOOKUP($A1391,'Concrete Beam Schedule'!$A$2:$Q$2902,Z$2,0)&lt;&gt;J1391,"Beam Revised","")</f>
        <v>#N/A</v>
      </c>
      <c r="AA1391" s="7" t="e">
        <f>IF(VLOOKUP($A1391,'Concrete Beam Schedule'!$A$2:$Q$2902,AA$2,0)&lt;&gt;K1391,"Beam Revised","")</f>
        <v>#N/A</v>
      </c>
      <c r="AB1391" s="7" t="e">
        <f>IF(VLOOKUP($A1391,'Concrete Beam Schedule'!$A$2:$Q$2902,AB$2,0)&lt;&gt;L1391,"Beam Revised","")</f>
        <v>#N/A</v>
      </c>
      <c r="AC1391" s="7" t="e">
        <f>IF(VLOOKUP($A1391,'Concrete Beam Schedule'!$A$2:$Q$2902,AC$2,0)&lt;&gt;M1391,"Beam Revised","")</f>
        <v>#N/A</v>
      </c>
      <c r="AD1391" s="7" t="e">
        <f>IF(VLOOKUP($A1391,'Concrete Beam Schedule'!$A$2:$Q$2902,AD$2,0)&lt;&gt;N1391,"Beam Revised","")</f>
        <v>#N/A</v>
      </c>
      <c r="AE1391" s="7" t="e">
        <f>IF(VLOOKUP($A1391,'Concrete Beam Schedule'!$A$2:$Q$2902,AE$2,0)&lt;&gt;O1391,"Beam Revised","")</f>
        <v>#N/A</v>
      </c>
    </row>
    <row r="1392" spans="17:31" ht="20.100000000000001" customHeight="1" x14ac:dyDescent="0.25">
      <c r="Q1392" s="7">
        <f t="shared" si="21"/>
        <v>0</v>
      </c>
      <c r="R1392" s="7" t="e">
        <f>IF(VLOOKUP($A1392,'Concrete Beam Schedule'!$A$2:$Q$2902,R$2,0)&lt;&gt;B1392,VLOOKUP($A1392,'Concrete Beam Schedule'!$A$2:$Q$2902,R$2,0),"")</f>
        <v>#N/A</v>
      </c>
      <c r="S1392" s="7" t="e">
        <f>IF(VLOOKUP($A1392,'Concrete Beam Schedule'!$A$2:$Q$2902,S$2,0)&lt;&gt;C1392,VLOOKUP($A1392,'Concrete Beam Schedule'!$A$2:$Q$2902,S$2,0),"")</f>
        <v>#N/A</v>
      </c>
      <c r="T1392" s="7" t="e">
        <f>IF(VLOOKUP($A1392,'Concrete Beam Schedule'!$A$2:$Q$2902,T$2,0)&lt;&gt;D1392,"Beam Revised","")</f>
        <v>#N/A</v>
      </c>
      <c r="U1392" s="7" t="e">
        <f>IF(VLOOKUP($A1392,'Concrete Beam Schedule'!$A$2:$Q$2902,U$2,0)&lt;&gt;E1392,"Beam Revised","")</f>
        <v>#N/A</v>
      </c>
      <c r="V1392" s="7" t="e">
        <f>IF(VLOOKUP($A1392,'Concrete Beam Schedule'!$A$2:$Q$2902,V$2,0)&lt;&gt;F1392,"Beam Revised","")</f>
        <v>#N/A</v>
      </c>
      <c r="W1392" s="7" t="e">
        <f>IF(VLOOKUP($A1392,'Concrete Beam Schedule'!$A$2:$Q$2902,W$2,0)&lt;&gt;G1392,"Beam Revised","")</f>
        <v>#N/A</v>
      </c>
      <c r="X1392" s="7" t="e">
        <f>IF(VLOOKUP($A1392,'Concrete Beam Schedule'!$A$2:$Q$2902,X$2,0)&lt;&gt;H1392,"Beam Revised","")</f>
        <v>#N/A</v>
      </c>
      <c r="Y1392" s="7" t="e">
        <f>IF(VLOOKUP($A1392,'Concrete Beam Schedule'!$A$2:$Q$2902,Y$2,0)&lt;&gt;I1392,"Beam Revised","")</f>
        <v>#N/A</v>
      </c>
      <c r="Z1392" s="7" t="e">
        <f>IF(VLOOKUP($A1392,'Concrete Beam Schedule'!$A$2:$Q$2902,Z$2,0)&lt;&gt;J1392,"Beam Revised","")</f>
        <v>#N/A</v>
      </c>
      <c r="AA1392" s="7" t="e">
        <f>IF(VLOOKUP($A1392,'Concrete Beam Schedule'!$A$2:$Q$2902,AA$2,0)&lt;&gt;K1392,"Beam Revised","")</f>
        <v>#N/A</v>
      </c>
      <c r="AB1392" s="7" t="e">
        <f>IF(VLOOKUP($A1392,'Concrete Beam Schedule'!$A$2:$Q$2902,AB$2,0)&lt;&gt;L1392,"Beam Revised","")</f>
        <v>#N/A</v>
      </c>
      <c r="AC1392" s="7" t="e">
        <f>IF(VLOOKUP($A1392,'Concrete Beam Schedule'!$A$2:$Q$2902,AC$2,0)&lt;&gt;M1392,"Beam Revised","")</f>
        <v>#N/A</v>
      </c>
      <c r="AD1392" s="7" t="e">
        <f>IF(VLOOKUP($A1392,'Concrete Beam Schedule'!$A$2:$Q$2902,AD$2,0)&lt;&gt;N1392,"Beam Revised","")</f>
        <v>#N/A</v>
      </c>
      <c r="AE1392" s="7" t="e">
        <f>IF(VLOOKUP($A1392,'Concrete Beam Schedule'!$A$2:$Q$2902,AE$2,0)&lt;&gt;O1392,"Beam Revised","")</f>
        <v>#N/A</v>
      </c>
    </row>
    <row r="1393" spans="17:31" ht="20.100000000000001" customHeight="1" x14ac:dyDescent="0.25">
      <c r="Q1393" s="7">
        <f t="shared" si="21"/>
        <v>0</v>
      </c>
      <c r="R1393" s="7" t="e">
        <f>IF(VLOOKUP($A1393,'Concrete Beam Schedule'!$A$2:$Q$2902,R$2,0)&lt;&gt;B1393,VLOOKUP($A1393,'Concrete Beam Schedule'!$A$2:$Q$2902,R$2,0),"")</f>
        <v>#N/A</v>
      </c>
      <c r="S1393" s="7" t="e">
        <f>IF(VLOOKUP($A1393,'Concrete Beam Schedule'!$A$2:$Q$2902,S$2,0)&lt;&gt;C1393,VLOOKUP($A1393,'Concrete Beam Schedule'!$A$2:$Q$2902,S$2,0),"")</f>
        <v>#N/A</v>
      </c>
      <c r="T1393" s="7" t="e">
        <f>IF(VLOOKUP($A1393,'Concrete Beam Schedule'!$A$2:$Q$2902,T$2,0)&lt;&gt;D1393,"Beam Revised","")</f>
        <v>#N/A</v>
      </c>
      <c r="U1393" s="7" t="e">
        <f>IF(VLOOKUP($A1393,'Concrete Beam Schedule'!$A$2:$Q$2902,U$2,0)&lt;&gt;E1393,"Beam Revised","")</f>
        <v>#N/A</v>
      </c>
      <c r="V1393" s="7" t="e">
        <f>IF(VLOOKUP($A1393,'Concrete Beam Schedule'!$A$2:$Q$2902,V$2,0)&lt;&gt;F1393,"Beam Revised","")</f>
        <v>#N/A</v>
      </c>
      <c r="W1393" s="7" t="e">
        <f>IF(VLOOKUP($A1393,'Concrete Beam Schedule'!$A$2:$Q$2902,W$2,0)&lt;&gt;G1393,"Beam Revised","")</f>
        <v>#N/A</v>
      </c>
      <c r="X1393" s="7" t="e">
        <f>IF(VLOOKUP($A1393,'Concrete Beam Schedule'!$A$2:$Q$2902,X$2,0)&lt;&gt;H1393,"Beam Revised","")</f>
        <v>#N/A</v>
      </c>
      <c r="Y1393" s="7" t="e">
        <f>IF(VLOOKUP($A1393,'Concrete Beam Schedule'!$A$2:$Q$2902,Y$2,0)&lt;&gt;I1393,"Beam Revised","")</f>
        <v>#N/A</v>
      </c>
      <c r="Z1393" s="7" t="e">
        <f>IF(VLOOKUP($A1393,'Concrete Beam Schedule'!$A$2:$Q$2902,Z$2,0)&lt;&gt;J1393,"Beam Revised","")</f>
        <v>#N/A</v>
      </c>
      <c r="AA1393" s="7" t="e">
        <f>IF(VLOOKUP($A1393,'Concrete Beam Schedule'!$A$2:$Q$2902,AA$2,0)&lt;&gt;K1393,"Beam Revised","")</f>
        <v>#N/A</v>
      </c>
      <c r="AB1393" s="7" t="e">
        <f>IF(VLOOKUP($A1393,'Concrete Beam Schedule'!$A$2:$Q$2902,AB$2,0)&lt;&gt;L1393,"Beam Revised","")</f>
        <v>#N/A</v>
      </c>
      <c r="AC1393" s="7" t="e">
        <f>IF(VLOOKUP($A1393,'Concrete Beam Schedule'!$A$2:$Q$2902,AC$2,0)&lt;&gt;M1393,"Beam Revised","")</f>
        <v>#N/A</v>
      </c>
      <c r="AD1393" s="7" t="e">
        <f>IF(VLOOKUP($A1393,'Concrete Beam Schedule'!$A$2:$Q$2902,AD$2,0)&lt;&gt;N1393,"Beam Revised","")</f>
        <v>#N/A</v>
      </c>
      <c r="AE1393" s="7" t="e">
        <f>IF(VLOOKUP($A1393,'Concrete Beam Schedule'!$A$2:$Q$2902,AE$2,0)&lt;&gt;O1393,"Beam Revised","")</f>
        <v>#N/A</v>
      </c>
    </row>
    <row r="1394" spans="17:31" ht="20.100000000000001" customHeight="1" x14ac:dyDescent="0.25">
      <c r="Q1394" s="7">
        <f t="shared" si="21"/>
        <v>0</v>
      </c>
      <c r="R1394" s="7" t="e">
        <f>IF(VLOOKUP($A1394,'Concrete Beam Schedule'!$A$2:$Q$2902,R$2,0)&lt;&gt;B1394,VLOOKUP($A1394,'Concrete Beam Schedule'!$A$2:$Q$2902,R$2,0),"")</f>
        <v>#N/A</v>
      </c>
      <c r="S1394" s="7" t="e">
        <f>IF(VLOOKUP($A1394,'Concrete Beam Schedule'!$A$2:$Q$2902,S$2,0)&lt;&gt;C1394,VLOOKUP($A1394,'Concrete Beam Schedule'!$A$2:$Q$2902,S$2,0),"")</f>
        <v>#N/A</v>
      </c>
      <c r="T1394" s="7" t="e">
        <f>IF(VLOOKUP($A1394,'Concrete Beam Schedule'!$A$2:$Q$2902,T$2,0)&lt;&gt;D1394,"Beam Revised","")</f>
        <v>#N/A</v>
      </c>
      <c r="U1394" s="7" t="e">
        <f>IF(VLOOKUP($A1394,'Concrete Beam Schedule'!$A$2:$Q$2902,U$2,0)&lt;&gt;E1394,"Beam Revised","")</f>
        <v>#N/A</v>
      </c>
      <c r="V1394" s="7" t="e">
        <f>IF(VLOOKUP($A1394,'Concrete Beam Schedule'!$A$2:$Q$2902,V$2,0)&lt;&gt;F1394,"Beam Revised","")</f>
        <v>#N/A</v>
      </c>
      <c r="W1394" s="7" t="e">
        <f>IF(VLOOKUP($A1394,'Concrete Beam Schedule'!$A$2:$Q$2902,W$2,0)&lt;&gt;G1394,"Beam Revised","")</f>
        <v>#N/A</v>
      </c>
      <c r="X1394" s="7" t="e">
        <f>IF(VLOOKUP($A1394,'Concrete Beam Schedule'!$A$2:$Q$2902,X$2,0)&lt;&gt;H1394,"Beam Revised","")</f>
        <v>#N/A</v>
      </c>
      <c r="Y1394" s="7" t="e">
        <f>IF(VLOOKUP($A1394,'Concrete Beam Schedule'!$A$2:$Q$2902,Y$2,0)&lt;&gt;I1394,"Beam Revised","")</f>
        <v>#N/A</v>
      </c>
      <c r="Z1394" s="7" t="e">
        <f>IF(VLOOKUP($A1394,'Concrete Beam Schedule'!$A$2:$Q$2902,Z$2,0)&lt;&gt;J1394,"Beam Revised","")</f>
        <v>#N/A</v>
      </c>
      <c r="AA1394" s="7" t="e">
        <f>IF(VLOOKUP($A1394,'Concrete Beam Schedule'!$A$2:$Q$2902,AA$2,0)&lt;&gt;K1394,"Beam Revised","")</f>
        <v>#N/A</v>
      </c>
      <c r="AB1394" s="7" t="e">
        <f>IF(VLOOKUP($A1394,'Concrete Beam Schedule'!$A$2:$Q$2902,AB$2,0)&lt;&gt;L1394,"Beam Revised","")</f>
        <v>#N/A</v>
      </c>
      <c r="AC1394" s="7" t="e">
        <f>IF(VLOOKUP($A1394,'Concrete Beam Schedule'!$A$2:$Q$2902,AC$2,0)&lt;&gt;M1394,"Beam Revised","")</f>
        <v>#N/A</v>
      </c>
      <c r="AD1394" s="7" t="e">
        <f>IF(VLOOKUP($A1394,'Concrete Beam Schedule'!$A$2:$Q$2902,AD$2,0)&lt;&gt;N1394,"Beam Revised","")</f>
        <v>#N/A</v>
      </c>
      <c r="AE1394" s="7" t="e">
        <f>IF(VLOOKUP($A1394,'Concrete Beam Schedule'!$A$2:$Q$2902,AE$2,0)&lt;&gt;O1394,"Beam Revised","")</f>
        <v>#N/A</v>
      </c>
    </row>
    <row r="1395" spans="17:31" ht="20.100000000000001" customHeight="1" x14ac:dyDescent="0.25">
      <c r="Q1395" s="7">
        <f t="shared" si="21"/>
        <v>0</v>
      </c>
      <c r="R1395" s="7" t="e">
        <f>IF(VLOOKUP($A1395,'Concrete Beam Schedule'!$A$2:$Q$2902,R$2,0)&lt;&gt;B1395,VLOOKUP($A1395,'Concrete Beam Schedule'!$A$2:$Q$2902,R$2,0),"")</f>
        <v>#N/A</v>
      </c>
      <c r="S1395" s="7" t="e">
        <f>IF(VLOOKUP($A1395,'Concrete Beam Schedule'!$A$2:$Q$2902,S$2,0)&lt;&gt;C1395,VLOOKUP($A1395,'Concrete Beam Schedule'!$A$2:$Q$2902,S$2,0),"")</f>
        <v>#N/A</v>
      </c>
      <c r="T1395" s="7" t="e">
        <f>IF(VLOOKUP($A1395,'Concrete Beam Schedule'!$A$2:$Q$2902,T$2,0)&lt;&gt;D1395,"Beam Revised","")</f>
        <v>#N/A</v>
      </c>
      <c r="U1395" s="7" t="e">
        <f>IF(VLOOKUP($A1395,'Concrete Beam Schedule'!$A$2:$Q$2902,U$2,0)&lt;&gt;E1395,"Beam Revised","")</f>
        <v>#N/A</v>
      </c>
      <c r="V1395" s="7" t="e">
        <f>IF(VLOOKUP($A1395,'Concrete Beam Schedule'!$A$2:$Q$2902,V$2,0)&lt;&gt;F1395,"Beam Revised","")</f>
        <v>#N/A</v>
      </c>
      <c r="W1395" s="7" t="e">
        <f>IF(VLOOKUP($A1395,'Concrete Beam Schedule'!$A$2:$Q$2902,W$2,0)&lt;&gt;G1395,"Beam Revised","")</f>
        <v>#N/A</v>
      </c>
      <c r="X1395" s="7" t="e">
        <f>IF(VLOOKUP($A1395,'Concrete Beam Schedule'!$A$2:$Q$2902,X$2,0)&lt;&gt;H1395,"Beam Revised","")</f>
        <v>#N/A</v>
      </c>
      <c r="Y1395" s="7" t="e">
        <f>IF(VLOOKUP($A1395,'Concrete Beam Schedule'!$A$2:$Q$2902,Y$2,0)&lt;&gt;I1395,"Beam Revised","")</f>
        <v>#N/A</v>
      </c>
      <c r="Z1395" s="7" t="e">
        <f>IF(VLOOKUP($A1395,'Concrete Beam Schedule'!$A$2:$Q$2902,Z$2,0)&lt;&gt;J1395,"Beam Revised","")</f>
        <v>#N/A</v>
      </c>
      <c r="AA1395" s="7" t="e">
        <f>IF(VLOOKUP($A1395,'Concrete Beam Schedule'!$A$2:$Q$2902,AA$2,0)&lt;&gt;K1395,"Beam Revised","")</f>
        <v>#N/A</v>
      </c>
      <c r="AB1395" s="7" t="e">
        <f>IF(VLOOKUP($A1395,'Concrete Beam Schedule'!$A$2:$Q$2902,AB$2,0)&lt;&gt;L1395,"Beam Revised","")</f>
        <v>#N/A</v>
      </c>
      <c r="AC1395" s="7" t="e">
        <f>IF(VLOOKUP($A1395,'Concrete Beam Schedule'!$A$2:$Q$2902,AC$2,0)&lt;&gt;M1395,"Beam Revised","")</f>
        <v>#N/A</v>
      </c>
      <c r="AD1395" s="7" t="e">
        <f>IF(VLOOKUP($A1395,'Concrete Beam Schedule'!$A$2:$Q$2902,AD$2,0)&lt;&gt;N1395,"Beam Revised","")</f>
        <v>#N/A</v>
      </c>
      <c r="AE1395" s="7" t="e">
        <f>IF(VLOOKUP($A1395,'Concrete Beam Schedule'!$A$2:$Q$2902,AE$2,0)&lt;&gt;O1395,"Beam Revised","")</f>
        <v>#N/A</v>
      </c>
    </row>
    <row r="1396" spans="17:31" ht="20.100000000000001" customHeight="1" x14ac:dyDescent="0.25">
      <c r="Q1396" s="7">
        <f t="shared" si="21"/>
        <v>0</v>
      </c>
      <c r="R1396" s="7" t="e">
        <f>IF(VLOOKUP($A1396,'Concrete Beam Schedule'!$A$2:$Q$2902,R$2,0)&lt;&gt;B1396,VLOOKUP($A1396,'Concrete Beam Schedule'!$A$2:$Q$2902,R$2,0),"")</f>
        <v>#N/A</v>
      </c>
      <c r="S1396" s="7" t="e">
        <f>IF(VLOOKUP($A1396,'Concrete Beam Schedule'!$A$2:$Q$2902,S$2,0)&lt;&gt;C1396,VLOOKUP($A1396,'Concrete Beam Schedule'!$A$2:$Q$2902,S$2,0),"")</f>
        <v>#N/A</v>
      </c>
      <c r="T1396" s="7" t="e">
        <f>IF(VLOOKUP($A1396,'Concrete Beam Schedule'!$A$2:$Q$2902,T$2,0)&lt;&gt;D1396,"Beam Revised","")</f>
        <v>#N/A</v>
      </c>
      <c r="U1396" s="7" t="e">
        <f>IF(VLOOKUP($A1396,'Concrete Beam Schedule'!$A$2:$Q$2902,U$2,0)&lt;&gt;E1396,"Beam Revised","")</f>
        <v>#N/A</v>
      </c>
      <c r="V1396" s="7" t="e">
        <f>IF(VLOOKUP($A1396,'Concrete Beam Schedule'!$A$2:$Q$2902,V$2,0)&lt;&gt;F1396,"Beam Revised","")</f>
        <v>#N/A</v>
      </c>
      <c r="W1396" s="7" t="e">
        <f>IF(VLOOKUP($A1396,'Concrete Beam Schedule'!$A$2:$Q$2902,W$2,0)&lt;&gt;G1396,"Beam Revised","")</f>
        <v>#N/A</v>
      </c>
      <c r="X1396" s="7" t="e">
        <f>IF(VLOOKUP($A1396,'Concrete Beam Schedule'!$A$2:$Q$2902,X$2,0)&lt;&gt;H1396,"Beam Revised","")</f>
        <v>#N/A</v>
      </c>
      <c r="Y1396" s="7" t="e">
        <f>IF(VLOOKUP($A1396,'Concrete Beam Schedule'!$A$2:$Q$2902,Y$2,0)&lt;&gt;I1396,"Beam Revised","")</f>
        <v>#N/A</v>
      </c>
      <c r="Z1396" s="7" t="e">
        <f>IF(VLOOKUP($A1396,'Concrete Beam Schedule'!$A$2:$Q$2902,Z$2,0)&lt;&gt;J1396,"Beam Revised","")</f>
        <v>#N/A</v>
      </c>
      <c r="AA1396" s="7" t="e">
        <f>IF(VLOOKUP($A1396,'Concrete Beam Schedule'!$A$2:$Q$2902,AA$2,0)&lt;&gt;K1396,"Beam Revised","")</f>
        <v>#N/A</v>
      </c>
      <c r="AB1396" s="7" t="e">
        <f>IF(VLOOKUP($A1396,'Concrete Beam Schedule'!$A$2:$Q$2902,AB$2,0)&lt;&gt;L1396,"Beam Revised","")</f>
        <v>#N/A</v>
      </c>
      <c r="AC1396" s="7" t="e">
        <f>IF(VLOOKUP($A1396,'Concrete Beam Schedule'!$A$2:$Q$2902,AC$2,0)&lt;&gt;M1396,"Beam Revised","")</f>
        <v>#N/A</v>
      </c>
      <c r="AD1396" s="7" t="e">
        <f>IF(VLOOKUP($A1396,'Concrete Beam Schedule'!$A$2:$Q$2902,AD$2,0)&lt;&gt;N1396,"Beam Revised","")</f>
        <v>#N/A</v>
      </c>
      <c r="AE1396" s="7" t="e">
        <f>IF(VLOOKUP($A1396,'Concrete Beam Schedule'!$A$2:$Q$2902,AE$2,0)&lt;&gt;O1396,"Beam Revised","")</f>
        <v>#N/A</v>
      </c>
    </row>
    <row r="1397" spans="17:31" ht="20.100000000000001" customHeight="1" x14ac:dyDescent="0.25">
      <c r="Q1397" s="7">
        <f t="shared" si="21"/>
        <v>0</v>
      </c>
      <c r="R1397" s="7" t="e">
        <f>IF(VLOOKUP($A1397,'Concrete Beam Schedule'!$A$2:$Q$2902,R$2,0)&lt;&gt;B1397,VLOOKUP($A1397,'Concrete Beam Schedule'!$A$2:$Q$2902,R$2,0),"")</f>
        <v>#N/A</v>
      </c>
      <c r="S1397" s="7" t="e">
        <f>IF(VLOOKUP($A1397,'Concrete Beam Schedule'!$A$2:$Q$2902,S$2,0)&lt;&gt;C1397,VLOOKUP($A1397,'Concrete Beam Schedule'!$A$2:$Q$2902,S$2,0),"")</f>
        <v>#N/A</v>
      </c>
      <c r="T1397" s="7" t="e">
        <f>IF(VLOOKUP($A1397,'Concrete Beam Schedule'!$A$2:$Q$2902,T$2,0)&lt;&gt;D1397,"Beam Revised","")</f>
        <v>#N/A</v>
      </c>
      <c r="U1397" s="7" t="e">
        <f>IF(VLOOKUP($A1397,'Concrete Beam Schedule'!$A$2:$Q$2902,U$2,0)&lt;&gt;E1397,"Beam Revised","")</f>
        <v>#N/A</v>
      </c>
      <c r="V1397" s="7" t="e">
        <f>IF(VLOOKUP($A1397,'Concrete Beam Schedule'!$A$2:$Q$2902,V$2,0)&lt;&gt;F1397,"Beam Revised","")</f>
        <v>#N/A</v>
      </c>
      <c r="W1397" s="7" t="e">
        <f>IF(VLOOKUP($A1397,'Concrete Beam Schedule'!$A$2:$Q$2902,W$2,0)&lt;&gt;G1397,"Beam Revised","")</f>
        <v>#N/A</v>
      </c>
      <c r="X1397" s="7" t="e">
        <f>IF(VLOOKUP($A1397,'Concrete Beam Schedule'!$A$2:$Q$2902,X$2,0)&lt;&gt;H1397,"Beam Revised","")</f>
        <v>#N/A</v>
      </c>
      <c r="Y1397" s="7" t="e">
        <f>IF(VLOOKUP($A1397,'Concrete Beam Schedule'!$A$2:$Q$2902,Y$2,0)&lt;&gt;I1397,"Beam Revised","")</f>
        <v>#N/A</v>
      </c>
      <c r="Z1397" s="7" t="e">
        <f>IF(VLOOKUP($A1397,'Concrete Beam Schedule'!$A$2:$Q$2902,Z$2,0)&lt;&gt;J1397,"Beam Revised","")</f>
        <v>#N/A</v>
      </c>
      <c r="AA1397" s="7" t="e">
        <f>IF(VLOOKUP($A1397,'Concrete Beam Schedule'!$A$2:$Q$2902,AA$2,0)&lt;&gt;K1397,"Beam Revised","")</f>
        <v>#N/A</v>
      </c>
      <c r="AB1397" s="7" t="e">
        <f>IF(VLOOKUP($A1397,'Concrete Beam Schedule'!$A$2:$Q$2902,AB$2,0)&lt;&gt;L1397,"Beam Revised","")</f>
        <v>#N/A</v>
      </c>
      <c r="AC1397" s="7" t="e">
        <f>IF(VLOOKUP($A1397,'Concrete Beam Schedule'!$A$2:$Q$2902,AC$2,0)&lt;&gt;M1397,"Beam Revised","")</f>
        <v>#N/A</v>
      </c>
      <c r="AD1397" s="7" t="e">
        <f>IF(VLOOKUP($A1397,'Concrete Beam Schedule'!$A$2:$Q$2902,AD$2,0)&lt;&gt;N1397,"Beam Revised","")</f>
        <v>#N/A</v>
      </c>
      <c r="AE1397" s="7" t="e">
        <f>IF(VLOOKUP($A1397,'Concrete Beam Schedule'!$A$2:$Q$2902,AE$2,0)&lt;&gt;O1397,"Beam Revised","")</f>
        <v>#N/A</v>
      </c>
    </row>
    <row r="1398" spans="17:31" ht="20.100000000000001" customHeight="1" x14ac:dyDescent="0.25">
      <c r="Q1398" s="7">
        <f t="shared" si="21"/>
        <v>0</v>
      </c>
      <c r="R1398" s="7" t="e">
        <f>IF(VLOOKUP($A1398,'Concrete Beam Schedule'!$A$2:$Q$2902,R$2,0)&lt;&gt;B1398,VLOOKUP($A1398,'Concrete Beam Schedule'!$A$2:$Q$2902,R$2,0),"")</f>
        <v>#N/A</v>
      </c>
      <c r="S1398" s="7" t="e">
        <f>IF(VLOOKUP($A1398,'Concrete Beam Schedule'!$A$2:$Q$2902,S$2,0)&lt;&gt;C1398,VLOOKUP($A1398,'Concrete Beam Schedule'!$A$2:$Q$2902,S$2,0),"")</f>
        <v>#N/A</v>
      </c>
      <c r="T1398" s="7" t="e">
        <f>IF(VLOOKUP($A1398,'Concrete Beam Schedule'!$A$2:$Q$2902,T$2,0)&lt;&gt;D1398,"Beam Revised","")</f>
        <v>#N/A</v>
      </c>
      <c r="U1398" s="7" t="e">
        <f>IF(VLOOKUP($A1398,'Concrete Beam Schedule'!$A$2:$Q$2902,U$2,0)&lt;&gt;E1398,"Beam Revised","")</f>
        <v>#N/A</v>
      </c>
      <c r="V1398" s="7" t="e">
        <f>IF(VLOOKUP($A1398,'Concrete Beam Schedule'!$A$2:$Q$2902,V$2,0)&lt;&gt;F1398,"Beam Revised","")</f>
        <v>#N/A</v>
      </c>
      <c r="W1398" s="7" t="e">
        <f>IF(VLOOKUP($A1398,'Concrete Beam Schedule'!$A$2:$Q$2902,W$2,0)&lt;&gt;G1398,"Beam Revised","")</f>
        <v>#N/A</v>
      </c>
      <c r="X1398" s="7" t="e">
        <f>IF(VLOOKUP($A1398,'Concrete Beam Schedule'!$A$2:$Q$2902,X$2,0)&lt;&gt;H1398,"Beam Revised","")</f>
        <v>#N/A</v>
      </c>
      <c r="Y1398" s="7" t="e">
        <f>IF(VLOOKUP($A1398,'Concrete Beam Schedule'!$A$2:$Q$2902,Y$2,0)&lt;&gt;I1398,"Beam Revised","")</f>
        <v>#N/A</v>
      </c>
      <c r="Z1398" s="7" t="e">
        <f>IF(VLOOKUP($A1398,'Concrete Beam Schedule'!$A$2:$Q$2902,Z$2,0)&lt;&gt;J1398,"Beam Revised","")</f>
        <v>#N/A</v>
      </c>
      <c r="AA1398" s="7" t="e">
        <f>IF(VLOOKUP($A1398,'Concrete Beam Schedule'!$A$2:$Q$2902,AA$2,0)&lt;&gt;K1398,"Beam Revised","")</f>
        <v>#N/A</v>
      </c>
      <c r="AB1398" s="7" t="e">
        <f>IF(VLOOKUP($A1398,'Concrete Beam Schedule'!$A$2:$Q$2902,AB$2,0)&lt;&gt;L1398,"Beam Revised","")</f>
        <v>#N/A</v>
      </c>
      <c r="AC1398" s="7" t="e">
        <f>IF(VLOOKUP($A1398,'Concrete Beam Schedule'!$A$2:$Q$2902,AC$2,0)&lt;&gt;M1398,"Beam Revised","")</f>
        <v>#N/A</v>
      </c>
      <c r="AD1398" s="7" t="e">
        <f>IF(VLOOKUP($A1398,'Concrete Beam Schedule'!$A$2:$Q$2902,AD$2,0)&lt;&gt;N1398,"Beam Revised","")</f>
        <v>#N/A</v>
      </c>
      <c r="AE1398" s="7" t="e">
        <f>IF(VLOOKUP($A1398,'Concrete Beam Schedule'!$A$2:$Q$2902,AE$2,0)&lt;&gt;O1398,"Beam Revised","")</f>
        <v>#N/A</v>
      </c>
    </row>
    <row r="1399" spans="17:31" ht="20.100000000000001" customHeight="1" x14ac:dyDescent="0.25">
      <c r="Q1399" s="7">
        <f t="shared" si="21"/>
        <v>0</v>
      </c>
      <c r="R1399" s="7" t="e">
        <f>IF(VLOOKUP($A1399,'Concrete Beam Schedule'!$A$2:$Q$2902,R$2,0)&lt;&gt;B1399,VLOOKUP($A1399,'Concrete Beam Schedule'!$A$2:$Q$2902,R$2,0),"")</f>
        <v>#N/A</v>
      </c>
      <c r="S1399" s="7" t="e">
        <f>IF(VLOOKUP($A1399,'Concrete Beam Schedule'!$A$2:$Q$2902,S$2,0)&lt;&gt;C1399,VLOOKUP($A1399,'Concrete Beam Schedule'!$A$2:$Q$2902,S$2,0),"")</f>
        <v>#N/A</v>
      </c>
      <c r="T1399" s="7" t="e">
        <f>IF(VLOOKUP($A1399,'Concrete Beam Schedule'!$A$2:$Q$2902,T$2,0)&lt;&gt;D1399,"Beam Revised","")</f>
        <v>#N/A</v>
      </c>
      <c r="U1399" s="7" t="e">
        <f>IF(VLOOKUP($A1399,'Concrete Beam Schedule'!$A$2:$Q$2902,U$2,0)&lt;&gt;E1399,"Beam Revised","")</f>
        <v>#N/A</v>
      </c>
      <c r="V1399" s="7" t="e">
        <f>IF(VLOOKUP($A1399,'Concrete Beam Schedule'!$A$2:$Q$2902,V$2,0)&lt;&gt;F1399,"Beam Revised","")</f>
        <v>#N/A</v>
      </c>
      <c r="W1399" s="7" t="e">
        <f>IF(VLOOKUP($A1399,'Concrete Beam Schedule'!$A$2:$Q$2902,W$2,0)&lt;&gt;G1399,"Beam Revised","")</f>
        <v>#N/A</v>
      </c>
      <c r="X1399" s="7" t="e">
        <f>IF(VLOOKUP($A1399,'Concrete Beam Schedule'!$A$2:$Q$2902,X$2,0)&lt;&gt;H1399,"Beam Revised","")</f>
        <v>#N/A</v>
      </c>
      <c r="Y1399" s="7" t="e">
        <f>IF(VLOOKUP($A1399,'Concrete Beam Schedule'!$A$2:$Q$2902,Y$2,0)&lt;&gt;I1399,"Beam Revised","")</f>
        <v>#N/A</v>
      </c>
      <c r="Z1399" s="7" t="e">
        <f>IF(VLOOKUP($A1399,'Concrete Beam Schedule'!$A$2:$Q$2902,Z$2,0)&lt;&gt;J1399,"Beam Revised","")</f>
        <v>#N/A</v>
      </c>
      <c r="AA1399" s="7" t="e">
        <f>IF(VLOOKUP($A1399,'Concrete Beam Schedule'!$A$2:$Q$2902,AA$2,0)&lt;&gt;K1399,"Beam Revised","")</f>
        <v>#N/A</v>
      </c>
      <c r="AB1399" s="7" t="e">
        <f>IF(VLOOKUP($A1399,'Concrete Beam Schedule'!$A$2:$Q$2902,AB$2,0)&lt;&gt;L1399,"Beam Revised","")</f>
        <v>#N/A</v>
      </c>
      <c r="AC1399" s="7" t="e">
        <f>IF(VLOOKUP($A1399,'Concrete Beam Schedule'!$A$2:$Q$2902,AC$2,0)&lt;&gt;M1399,"Beam Revised","")</f>
        <v>#N/A</v>
      </c>
      <c r="AD1399" s="7" t="e">
        <f>IF(VLOOKUP($A1399,'Concrete Beam Schedule'!$A$2:$Q$2902,AD$2,0)&lt;&gt;N1399,"Beam Revised","")</f>
        <v>#N/A</v>
      </c>
      <c r="AE1399" s="7" t="e">
        <f>IF(VLOOKUP($A1399,'Concrete Beam Schedule'!$A$2:$Q$2902,AE$2,0)&lt;&gt;O1399,"Beam Revised","")</f>
        <v>#N/A</v>
      </c>
    </row>
    <row r="1400" spans="17:31" ht="20.100000000000001" customHeight="1" x14ac:dyDescent="0.25">
      <c r="Q1400" s="7">
        <f t="shared" si="21"/>
        <v>0</v>
      </c>
      <c r="R1400" s="7" t="e">
        <f>IF(VLOOKUP($A1400,'Concrete Beam Schedule'!$A$2:$Q$2902,R$2,0)&lt;&gt;B1400,VLOOKUP($A1400,'Concrete Beam Schedule'!$A$2:$Q$2902,R$2,0),"")</f>
        <v>#N/A</v>
      </c>
      <c r="S1400" s="7" t="e">
        <f>IF(VLOOKUP($A1400,'Concrete Beam Schedule'!$A$2:$Q$2902,S$2,0)&lt;&gt;C1400,VLOOKUP($A1400,'Concrete Beam Schedule'!$A$2:$Q$2902,S$2,0),"")</f>
        <v>#N/A</v>
      </c>
      <c r="T1400" s="7" t="e">
        <f>IF(VLOOKUP($A1400,'Concrete Beam Schedule'!$A$2:$Q$2902,T$2,0)&lt;&gt;D1400,"Beam Revised","")</f>
        <v>#N/A</v>
      </c>
      <c r="U1400" s="7" t="e">
        <f>IF(VLOOKUP($A1400,'Concrete Beam Schedule'!$A$2:$Q$2902,U$2,0)&lt;&gt;E1400,"Beam Revised","")</f>
        <v>#N/A</v>
      </c>
      <c r="V1400" s="7" t="e">
        <f>IF(VLOOKUP($A1400,'Concrete Beam Schedule'!$A$2:$Q$2902,V$2,0)&lt;&gt;F1400,"Beam Revised","")</f>
        <v>#N/A</v>
      </c>
      <c r="W1400" s="7" t="e">
        <f>IF(VLOOKUP($A1400,'Concrete Beam Schedule'!$A$2:$Q$2902,W$2,0)&lt;&gt;G1400,"Beam Revised","")</f>
        <v>#N/A</v>
      </c>
      <c r="X1400" s="7" t="e">
        <f>IF(VLOOKUP($A1400,'Concrete Beam Schedule'!$A$2:$Q$2902,X$2,0)&lt;&gt;H1400,"Beam Revised","")</f>
        <v>#N/A</v>
      </c>
      <c r="Y1400" s="7" t="e">
        <f>IF(VLOOKUP($A1400,'Concrete Beam Schedule'!$A$2:$Q$2902,Y$2,0)&lt;&gt;I1400,"Beam Revised","")</f>
        <v>#N/A</v>
      </c>
      <c r="Z1400" s="7" t="e">
        <f>IF(VLOOKUP($A1400,'Concrete Beam Schedule'!$A$2:$Q$2902,Z$2,0)&lt;&gt;J1400,"Beam Revised","")</f>
        <v>#N/A</v>
      </c>
      <c r="AA1400" s="7" t="e">
        <f>IF(VLOOKUP($A1400,'Concrete Beam Schedule'!$A$2:$Q$2902,AA$2,0)&lt;&gt;K1400,"Beam Revised","")</f>
        <v>#N/A</v>
      </c>
      <c r="AB1400" s="7" t="e">
        <f>IF(VLOOKUP($A1400,'Concrete Beam Schedule'!$A$2:$Q$2902,AB$2,0)&lt;&gt;L1400,"Beam Revised","")</f>
        <v>#N/A</v>
      </c>
      <c r="AC1400" s="7" t="e">
        <f>IF(VLOOKUP($A1400,'Concrete Beam Schedule'!$A$2:$Q$2902,AC$2,0)&lt;&gt;M1400,"Beam Revised","")</f>
        <v>#N/A</v>
      </c>
      <c r="AD1400" s="7" t="e">
        <f>IF(VLOOKUP($A1400,'Concrete Beam Schedule'!$A$2:$Q$2902,AD$2,0)&lt;&gt;N1400,"Beam Revised","")</f>
        <v>#N/A</v>
      </c>
      <c r="AE1400" s="7" t="e">
        <f>IF(VLOOKUP($A1400,'Concrete Beam Schedule'!$A$2:$Q$2902,AE$2,0)&lt;&gt;O1400,"Beam Revised","")</f>
        <v>#N/A</v>
      </c>
    </row>
    <row r="1401" spans="17:31" ht="20.100000000000001" customHeight="1" x14ac:dyDescent="0.25">
      <c r="Q1401" s="7">
        <f t="shared" si="21"/>
        <v>0</v>
      </c>
      <c r="R1401" s="7" t="e">
        <f>IF(VLOOKUP($A1401,'Concrete Beam Schedule'!$A$2:$Q$2902,R$2,0)&lt;&gt;B1401,VLOOKUP($A1401,'Concrete Beam Schedule'!$A$2:$Q$2902,R$2,0),"")</f>
        <v>#N/A</v>
      </c>
      <c r="S1401" s="7" t="e">
        <f>IF(VLOOKUP($A1401,'Concrete Beam Schedule'!$A$2:$Q$2902,S$2,0)&lt;&gt;C1401,VLOOKUP($A1401,'Concrete Beam Schedule'!$A$2:$Q$2902,S$2,0),"")</f>
        <v>#N/A</v>
      </c>
      <c r="T1401" s="7" t="e">
        <f>IF(VLOOKUP($A1401,'Concrete Beam Schedule'!$A$2:$Q$2902,T$2,0)&lt;&gt;D1401,"Beam Revised","")</f>
        <v>#N/A</v>
      </c>
      <c r="U1401" s="7" t="e">
        <f>IF(VLOOKUP($A1401,'Concrete Beam Schedule'!$A$2:$Q$2902,U$2,0)&lt;&gt;E1401,"Beam Revised","")</f>
        <v>#N/A</v>
      </c>
      <c r="V1401" s="7" t="e">
        <f>IF(VLOOKUP($A1401,'Concrete Beam Schedule'!$A$2:$Q$2902,V$2,0)&lt;&gt;F1401,"Beam Revised","")</f>
        <v>#N/A</v>
      </c>
      <c r="W1401" s="7" t="e">
        <f>IF(VLOOKUP($A1401,'Concrete Beam Schedule'!$A$2:$Q$2902,W$2,0)&lt;&gt;G1401,"Beam Revised","")</f>
        <v>#N/A</v>
      </c>
      <c r="X1401" s="7" t="e">
        <f>IF(VLOOKUP($A1401,'Concrete Beam Schedule'!$A$2:$Q$2902,X$2,0)&lt;&gt;H1401,"Beam Revised","")</f>
        <v>#N/A</v>
      </c>
      <c r="Y1401" s="7" t="e">
        <f>IF(VLOOKUP($A1401,'Concrete Beam Schedule'!$A$2:$Q$2902,Y$2,0)&lt;&gt;I1401,"Beam Revised","")</f>
        <v>#N/A</v>
      </c>
      <c r="Z1401" s="7" t="e">
        <f>IF(VLOOKUP($A1401,'Concrete Beam Schedule'!$A$2:$Q$2902,Z$2,0)&lt;&gt;J1401,"Beam Revised","")</f>
        <v>#N/A</v>
      </c>
      <c r="AA1401" s="7" t="e">
        <f>IF(VLOOKUP($A1401,'Concrete Beam Schedule'!$A$2:$Q$2902,AA$2,0)&lt;&gt;K1401,"Beam Revised","")</f>
        <v>#N/A</v>
      </c>
      <c r="AB1401" s="7" t="e">
        <f>IF(VLOOKUP($A1401,'Concrete Beam Schedule'!$A$2:$Q$2902,AB$2,0)&lt;&gt;L1401,"Beam Revised","")</f>
        <v>#N/A</v>
      </c>
      <c r="AC1401" s="7" t="e">
        <f>IF(VLOOKUP($A1401,'Concrete Beam Schedule'!$A$2:$Q$2902,AC$2,0)&lt;&gt;M1401,"Beam Revised","")</f>
        <v>#N/A</v>
      </c>
      <c r="AD1401" s="7" t="e">
        <f>IF(VLOOKUP($A1401,'Concrete Beam Schedule'!$A$2:$Q$2902,AD$2,0)&lt;&gt;N1401,"Beam Revised","")</f>
        <v>#N/A</v>
      </c>
      <c r="AE1401" s="7" t="e">
        <f>IF(VLOOKUP($A1401,'Concrete Beam Schedule'!$A$2:$Q$2902,AE$2,0)&lt;&gt;O1401,"Beam Revised","")</f>
        <v>#N/A</v>
      </c>
    </row>
    <row r="1402" spans="17:31" ht="20.100000000000001" customHeight="1" x14ac:dyDescent="0.25">
      <c r="Q1402" s="7">
        <f t="shared" si="21"/>
        <v>0</v>
      </c>
      <c r="R1402" s="7" t="e">
        <f>IF(VLOOKUP($A1402,'Concrete Beam Schedule'!$A$2:$Q$2902,R$2,0)&lt;&gt;B1402,VLOOKUP($A1402,'Concrete Beam Schedule'!$A$2:$Q$2902,R$2,0),"")</f>
        <v>#N/A</v>
      </c>
      <c r="S1402" s="7" t="e">
        <f>IF(VLOOKUP($A1402,'Concrete Beam Schedule'!$A$2:$Q$2902,S$2,0)&lt;&gt;C1402,VLOOKUP($A1402,'Concrete Beam Schedule'!$A$2:$Q$2902,S$2,0),"")</f>
        <v>#N/A</v>
      </c>
      <c r="T1402" s="7" t="e">
        <f>IF(VLOOKUP($A1402,'Concrete Beam Schedule'!$A$2:$Q$2902,T$2,0)&lt;&gt;D1402,"Beam Revised","")</f>
        <v>#N/A</v>
      </c>
      <c r="U1402" s="7" t="e">
        <f>IF(VLOOKUP($A1402,'Concrete Beam Schedule'!$A$2:$Q$2902,U$2,0)&lt;&gt;E1402,"Beam Revised","")</f>
        <v>#N/A</v>
      </c>
      <c r="V1402" s="7" t="e">
        <f>IF(VLOOKUP($A1402,'Concrete Beam Schedule'!$A$2:$Q$2902,V$2,0)&lt;&gt;F1402,"Beam Revised","")</f>
        <v>#N/A</v>
      </c>
      <c r="W1402" s="7" t="e">
        <f>IF(VLOOKUP($A1402,'Concrete Beam Schedule'!$A$2:$Q$2902,W$2,0)&lt;&gt;G1402,"Beam Revised","")</f>
        <v>#N/A</v>
      </c>
      <c r="X1402" s="7" t="e">
        <f>IF(VLOOKUP($A1402,'Concrete Beam Schedule'!$A$2:$Q$2902,X$2,0)&lt;&gt;H1402,"Beam Revised","")</f>
        <v>#N/A</v>
      </c>
      <c r="Y1402" s="7" t="e">
        <f>IF(VLOOKUP($A1402,'Concrete Beam Schedule'!$A$2:$Q$2902,Y$2,0)&lt;&gt;I1402,"Beam Revised","")</f>
        <v>#N/A</v>
      </c>
      <c r="Z1402" s="7" t="e">
        <f>IF(VLOOKUP($A1402,'Concrete Beam Schedule'!$A$2:$Q$2902,Z$2,0)&lt;&gt;J1402,"Beam Revised","")</f>
        <v>#N/A</v>
      </c>
      <c r="AA1402" s="7" t="e">
        <f>IF(VLOOKUP($A1402,'Concrete Beam Schedule'!$A$2:$Q$2902,AA$2,0)&lt;&gt;K1402,"Beam Revised","")</f>
        <v>#N/A</v>
      </c>
      <c r="AB1402" s="7" t="e">
        <f>IF(VLOOKUP($A1402,'Concrete Beam Schedule'!$A$2:$Q$2902,AB$2,0)&lt;&gt;L1402,"Beam Revised","")</f>
        <v>#N/A</v>
      </c>
      <c r="AC1402" s="7" t="e">
        <f>IF(VLOOKUP($A1402,'Concrete Beam Schedule'!$A$2:$Q$2902,AC$2,0)&lt;&gt;M1402,"Beam Revised","")</f>
        <v>#N/A</v>
      </c>
      <c r="AD1402" s="7" t="e">
        <f>IF(VLOOKUP($A1402,'Concrete Beam Schedule'!$A$2:$Q$2902,AD$2,0)&lt;&gt;N1402,"Beam Revised","")</f>
        <v>#N/A</v>
      </c>
      <c r="AE1402" s="7" t="e">
        <f>IF(VLOOKUP($A1402,'Concrete Beam Schedule'!$A$2:$Q$2902,AE$2,0)&lt;&gt;O1402,"Beam Revised","")</f>
        <v>#N/A</v>
      </c>
    </row>
    <row r="1403" spans="17:31" ht="20.100000000000001" customHeight="1" x14ac:dyDescent="0.25">
      <c r="Q1403" s="7">
        <f t="shared" si="21"/>
        <v>0</v>
      </c>
      <c r="R1403" s="7" t="e">
        <f>IF(VLOOKUP($A1403,'Concrete Beam Schedule'!$A$2:$Q$2902,R$2,0)&lt;&gt;B1403,VLOOKUP($A1403,'Concrete Beam Schedule'!$A$2:$Q$2902,R$2,0),"")</f>
        <v>#N/A</v>
      </c>
      <c r="S1403" s="7" t="e">
        <f>IF(VLOOKUP($A1403,'Concrete Beam Schedule'!$A$2:$Q$2902,S$2,0)&lt;&gt;C1403,VLOOKUP($A1403,'Concrete Beam Schedule'!$A$2:$Q$2902,S$2,0),"")</f>
        <v>#N/A</v>
      </c>
      <c r="T1403" s="7" t="e">
        <f>IF(VLOOKUP($A1403,'Concrete Beam Schedule'!$A$2:$Q$2902,T$2,0)&lt;&gt;D1403,"Beam Revised","")</f>
        <v>#N/A</v>
      </c>
      <c r="U1403" s="7" t="e">
        <f>IF(VLOOKUP($A1403,'Concrete Beam Schedule'!$A$2:$Q$2902,U$2,0)&lt;&gt;E1403,"Beam Revised","")</f>
        <v>#N/A</v>
      </c>
      <c r="V1403" s="7" t="e">
        <f>IF(VLOOKUP($A1403,'Concrete Beam Schedule'!$A$2:$Q$2902,V$2,0)&lt;&gt;F1403,"Beam Revised","")</f>
        <v>#N/A</v>
      </c>
      <c r="W1403" s="7" t="e">
        <f>IF(VLOOKUP($A1403,'Concrete Beam Schedule'!$A$2:$Q$2902,W$2,0)&lt;&gt;G1403,"Beam Revised","")</f>
        <v>#N/A</v>
      </c>
      <c r="X1403" s="7" t="e">
        <f>IF(VLOOKUP($A1403,'Concrete Beam Schedule'!$A$2:$Q$2902,X$2,0)&lt;&gt;H1403,"Beam Revised","")</f>
        <v>#N/A</v>
      </c>
      <c r="Y1403" s="7" t="e">
        <f>IF(VLOOKUP($A1403,'Concrete Beam Schedule'!$A$2:$Q$2902,Y$2,0)&lt;&gt;I1403,"Beam Revised","")</f>
        <v>#N/A</v>
      </c>
      <c r="Z1403" s="7" t="e">
        <f>IF(VLOOKUP($A1403,'Concrete Beam Schedule'!$A$2:$Q$2902,Z$2,0)&lt;&gt;J1403,"Beam Revised","")</f>
        <v>#N/A</v>
      </c>
      <c r="AA1403" s="7" t="e">
        <f>IF(VLOOKUP($A1403,'Concrete Beam Schedule'!$A$2:$Q$2902,AA$2,0)&lt;&gt;K1403,"Beam Revised","")</f>
        <v>#N/A</v>
      </c>
      <c r="AB1403" s="7" t="e">
        <f>IF(VLOOKUP($A1403,'Concrete Beam Schedule'!$A$2:$Q$2902,AB$2,0)&lt;&gt;L1403,"Beam Revised","")</f>
        <v>#N/A</v>
      </c>
      <c r="AC1403" s="7" t="e">
        <f>IF(VLOOKUP($A1403,'Concrete Beam Schedule'!$A$2:$Q$2902,AC$2,0)&lt;&gt;M1403,"Beam Revised","")</f>
        <v>#N/A</v>
      </c>
      <c r="AD1403" s="7" t="e">
        <f>IF(VLOOKUP($A1403,'Concrete Beam Schedule'!$A$2:$Q$2902,AD$2,0)&lt;&gt;N1403,"Beam Revised","")</f>
        <v>#N/A</v>
      </c>
      <c r="AE1403" s="7" t="e">
        <f>IF(VLOOKUP($A1403,'Concrete Beam Schedule'!$A$2:$Q$2902,AE$2,0)&lt;&gt;O1403,"Beam Revised","")</f>
        <v>#N/A</v>
      </c>
    </row>
    <row r="1404" spans="17:31" ht="20.100000000000001" customHeight="1" x14ac:dyDescent="0.25">
      <c r="Q1404" s="7">
        <f t="shared" si="21"/>
        <v>0</v>
      </c>
      <c r="R1404" s="7" t="e">
        <f>IF(VLOOKUP($A1404,'Concrete Beam Schedule'!$A$2:$Q$2902,R$2,0)&lt;&gt;B1404,VLOOKUP($A1404,'Concrete Beam Schedule'!$A$2:$Q$2902,R$2,0),"")</f>
        <v>#N/A</v>
      </c>
      <c r="S1404" s="7" t="e">
        <f>IF(VLOOKUP($A1404,'Concrete Beam Schedule'!$A$2:$Q$2902,S$2,0)&lt;&gt;C1404,VLOOKUP($A1404,'Concrete Beam Schedule'!$A$2:$Q$2902,S$2,0),"")</f>
        <v>#N/A</v>
      </c>
      <c r="T1404" s="7" t="e">
        <f>IF(VLOOKUP($A1404,'Concrete Beam Schedule'!$A$2:$Q$2902,T$2,0)&lt;&gt;D1404,"Beam Revised","")</f>
        <v>#N/A</v>
      </c>
      <c r="U1404" s="7" t="e">
        <f>IF(VLOOKUP($A1404,'Concrete Beam Schedule'!$A$2:$Q$2902,U$2,0)&lt;&gt;E1404,"Beam Revised","")</f>
        <v>#N/A</v>
      </c>
      <c r="V1404" s="7" t="e">
        <f>IF(VLOOKUP($A1404,'Concrete Beam Schedule'!$A$2:$Q$2902,V$2,0)&lt;&gt;F1404,"Beam Revised","")</f>
        <v>#N/A</v>
      </c>
      <c r="W1404" s="7" t="e">
        <f>IF(VLOOKUP($A1404,'Concrete Beam Schedule'!$A$2:$Q$2902,W$2,0)&lt;&gt;G1404,"Beam Revised","")</f>
        <v>#N/A</v>
      </c>
      <c r="X1404" s="7" t="e">
        <f>IF(VLOOKUP($A1404,'Concrete Beam Schedule'!$A$2:$Q$2902,X$2,0)&lt;&gt;H1404,"Beam Revised","")</f>
        <v>#N/A</v>
      </c>
      <c r="Y1404" s="7" t="e">
        <f>IF(VLOOKUP($A1404,'Concrete Beam Schedule'!$A$2:$Q$2902,Y$2,0)&lt;&gt;I1404,"Beam Revised","")</f>
        <v>#N/A</v>
      </c>
      <c r="Z1404" s="7" t="e">
        <f>IF(VLOOKUP($A1404,'Concrete Beam Schedule'!$A$2:$Q$2902,Z$2,0)&lt;&gt;J1404,"Beam Revised","")</f>
        <v>#N/A</v>
      </c>
      <c r="AA1404" s="7" t="e">
        <f>IF(VLOOKUP($A1404,'Concrete Beam Schedule'!$A$2:$Q$2902,AA$2,0)&lt;&gt;K1404,"Beam Revised","")</f>
        <v>#N/A</v>
      </c>
      <c r="AB1404" s="7" t="e">
        <f>IF(VLOOKUP($A1404,'Concrete Beam Schedule'!$A$2:$Q$2902,AB$2,0)&lt;&gt;L1404,"Beam Revised","")</f>
        <v>#N/A</v>
      </c>
      <c r="AC1404" s="7" t="e">
        <f>IF(VLOOKUP($A1404,'Concrete Beam Schedule'!$A$2:$Q$2902,AC$2,0)&lt;&gt;M1404,"Beam Revised","")</f>
        <v>#N/A</v>
      </c>
      <c r="AD1404" s="7" t="e">
        <f>IF(VLOOKUP($A1404,'Concrete Beam Schedule'!$A$2:$Q$2902,AD$2,0)&lt;&gt;N1404,"Beam Revised","")</f>
        <v>#N/A</v>
      </c>
      <c r="AE1404" s="7" t="e">
        <f>IF(VLOOKUP($A1404,'Concrete Beam Schedule'!$A$2:$Q$2902,AE$2,0)&lt;&gt;O1404,"Beam Revised","")</f>
        <v>#N/A</v>
      </c>
    </row>
    <row r="1405" spans="17:31" ht="20.100000000000001" customHeight="1" x14ac:dyDescent="0.25">
      <c r="Q1405" s="7">
        <f t="shared" si="21"/>
        <v>0</v>
      </c>
      <c r="R1405" s="7" t="e">
        <f>IF(VLOOKUP($A1405,'Concrete Beam Schedule'!$A$2:$Q$2902,R$2,0)&lt;&gt;B1405,VLOOKUP($A1405,'Concrete Beam Schedule'!$A$2:$Q$2902,R$2,0),"")</f>
        <v>#N/A</v>
      </c>
      <c r="S1405" s="7" t="e">
        <f>IF(VLOOKUP($A1405,'Concrete Beam Schedule'!$A$2:$Q$2902,S$2,0)&lt;&gt;C1405,VLOOKUP($A1405,'Concrete Beam Schedule'!$A$2:$Q$2902,S$2,0),"")</f>
        <v>#N/A</v>
      </c>
      <c r="T1405" s="7" t="e">
        <f>IF(VLOOKUP($A1405,'Concrete Beam Schedule'!$A$2:$Q$2902,T$2,0)&lt;&gt;D1405,"Beam Revised","")</f>
        <v>#N/A</v>
      </c>
      <c r="U1405" s="7" t="e">
        <f>IF(VLOOKUP($A1405,'Concrete Beam Schedule'!$A$2:$Q$2902,U$2,0)&lt;&gt;E1405,"Beam Revised","")</f>
        <v>#N/A</v>
      </c>
      <c r="V1405" s="7" t="e">
        <f>IF(VLOOKUP($A1405,'Concrete Beam Schedule'!$A$2:$Q$2902,V$2,0)&lt;&gt;F1405,"Beam Revised","")</f>
        <v>#N/A</v>
      </c>
      <c r="W1405" s="7" t="e">
        <f>IF(VLOOKUP($A1405,'Concrete Beam Schedule'!$A$2:$Q$2902,W$2,0)&lt;&gt;G1405,"Beam Revised","")</f>
        <v>#N/A</v>
      </c>
      <c r="X1405" s="7" t="e">
        <f>IF(VLOOKUP($A1405,'Concrete Beam Schedule'!$A$2:$Q$2902,X$2,0)&lt;&gt;H1405,"Beam Revised","")</f>
        <v>#N/A</v>
      </c>
      <c r="Y1405" s="7" t="e">
        <f>IF(VLOOKUP($A1405,'Concrete Beam Schedule'!$A$2:$Q$2902,Y$2,0)&lt;&gt;I1405,"Beam Revised","")</f>
        <v>#N/A</v>
      </c>
      <c r="Z1405" s="7" t="e">
        <f>IF(VLOOKUP($A1405,'Concrete Beam Schedule'!$A$2:$Q$2902,Z$2,0)&lt;&gt;J1405,"Beam Revised","")</f>
        <v>#N/A</v>
      </c>
      <c r="AA1405" s="7" t="e">
        <f>IF(VLOOKUP($A1405,'Concrete Beam Schedule'!$A$2:$Q$2902,AA$2,0)&lt;&gt;K1405,"Beam Revised","")</f>
        <v>#N/A</v>
      </c>
      <c r="AB1405" s="7" t="e">
        <f>IF(VLOOKUP($A1405,'Concrete Beam Schedule'!$A$2:$Q$2902,AB$2,0)&lt;&gt;L1405,"Beam Revised","")</f>
        <v>#N/A</v>
      </c>
      <c r="AC1405" s="7" t="e">
        <f>IF(VLOOKUP($A1405,'Concrete Beam Schedule'!$A$2:$Q$2902,AC$2,0)&lt;&gt;M1405,"Beam Revised","")</f>
        <v>#N/A</v>
      </c>
      <c r="AD1405" s="7" t="e">
        <f>IF(VLOOKUP($A1405,'Concrete Beam Schedule'!$A$2:$Q$2902,AD$2,0)&lt;&gt;N1405,"Beam Revised","")</f>
        <v>#N/A</v>
      </c>
      <c r="AE1405" s="7" t="e">
        <f>IF(VLOOKUP($A1405,'Concrete Beam Schedule'!$A$2:$Q$2902,AE$2,0)&lt;&gt;O1405,"Beam Revised","")</f>
        <v>#N/A</v>
      </c>
    </row>
    <row r="1406" spans="17:31" ht="20.100000000000001" customHeight="1" x14ac:dyDescent="0.25">
      <c r="Q1406" s="7">
        <f t="shared" si="21"/>
        <v>0</v>
      </c>
      <c r="R1406" s="7" t="e">
        <f>IF(VLOOKUP($A1406,'Concrete Beam Schedule'!$A$2:$Q$2902,R$2,0)&lt;&gt;B1406,VLOOKUP($A1406,'Concrete Beam Schedule'!$A$2:$Q$2902,R$2,0),"")</f>
        <v>#N/A</v>
      </c>
      <c r="S1406" s="7" t="e">
        <f>IF(VLOOKUP($A1406,'Concrete Beam Schedule'!$A$2:$Q$2902,S$2,0)&lt;&gt;C1406,VLOOKUP($A1406,'Concrete Beam Schedule'!$A$2:$Q$2902,S$2,0),"")</f>
        <v>#N/A</v>
      </c>
      <c r="T1406" s="7" t="e">
        <f>IF(VLOOKUP($A1406,'Concrete Beam Schedule'!$A$2:$Q$2902,T$2,0)&lt;&gt;D1406,"Beam Revised","")</f>
        <v>#N/A</v>
      </c>
      <c r="U1406" s="7" t="e">
        <f>IF(VLOOKUP($A1406,'Concrete Beam Schedule'!$A$2:$Q$2902,U$2,0)&lt;&gt;E1406,"Beam Revised","")</f>
        <v>#N/A</v>
      </c>
      <c r="V1406" s="7" t="e">
        <f>IF(VLOOKUP($A1406,'Concrete Beam Schedule'!$A$2:$Q$2902,V$2,0)&lt;&gt;F1406,"Beam Revised","")</f>
        <v>#N/A</v>
      </c>
      <c r="W1406" s="7" t="e">
        <f>IF(VLOOKUP($A1406,'Concrete Beam Schedule'!$A$2:$Q$2902,W$2,0)&lt;&gt;G1406,"Beam Revised","")</f>
        <v>#N/A</v>
      </c>
      <c r="X1406" s="7" t="e">
        <f>IF(VLOOKUP($A1406,'Concrete Beam Schedule'!$A$2:$Q$2902,X$2,0)&lt;&gt;H1406,"Beam Revised","")</f>
        <v>#N/A</v>
      </c>
      <c r="Y1406" s="7" t="e">
        <f>IF(VLOOKUP($A1406,'Concrete Beam Schedule'!$A$2:$Q$2902,Y$2,0)&lt;&gt;I1406,"Beam Revised","")</f>
        <v>#N/A</v>
      </c>
      <c r="Z1406" s="7" t="e">
        <f>IF(VLOOKUP($A1406,'Concrete Beam Schedule'!$A$2:$Q$2902,Z$2,0)&lt;&gt;J1406,"Beam Revised","")</f>
        <v>#N/A</v>
      </c>
      <c r="AA1406" s="7" t="e">
        <f>IF(VLOOKUP($A1406,'Concrete Beam Schedule'!$A$2:$Q$2902,AA$2,0)&lt;&gt;K1406,"Beam Revised","")</f>
        <v>#N/A</v>
      </c>
      <c r="AB1406" s="7" t="e">
        <f>IF(VLOOKUP($A1406,'Concrete Beam Schedule'!$A$2:$Q$2902,AB$2,0)&lt;&gt;L1406,"Beam Revised","")</f>
        <v>#N/A</v>
      </c>
      <c r="AC1406" s="7" t="e">
        <f>IF(VLOOKUP($A1406,'Concrete Beam Schedule'!$A$2:$Q$2902,AC$2,0)&lt;&gt;M1406,"Beam Revised","")</f>
        <v>#N/A</v>
      </c>
      <c r="AD1406" s="7" t="e">
        <f>IF(VLOOKUP($A1406,'Concrete Beam Schedule'!$A$2:$Q$2902,AD$2,0)&lt;&gt;N1406,"Beam Revised","")</f>
        <v>#N/A</v>
      </c>
      <c r="AE1406" s="7" t="e">
        <f>IF(VLOOKUP($A1406,'Concrete Beam Schedule'!$A$2:$Q$2902,AE$2,0)&lt;&gt;O1406,"Beam Revised","")</f>
        <v>#N/A</v>
      </c>
    </row>
    <row r="1407" spans="17:31" ht="20.100000000000001" customHeight="1" x14ac:dyDescent="0.25">
      <c r="Q1407" s="7">
        <f t="shared" si="21"/>
        <v>0</v>
      </c>
      <c r="R1407" s="7" t="e">
        <f>IF(VLOOKUP($A1407,'Concrete Beam Schedule'!$A$2:$Q$2902,R$2,0)&lt;&gt;B1407,VLOOKUP($A1407,'Concrete Beam Schedule'!$A$2:$Q$2902,R$2,0),"")</f>
        <v>#N/A</v>
      </c>
      <c r="S1407" s="7" t="e">
        <f>IF(VLOOKUP($A1407,'Concrete Beam Schedule'!$A$2:$Q$2902,S$2,0)&lt;&gt;C1407,VLOOKUP($A1407,'Concrete Beam Schedule'!$A$2:$Q$2902,S$2,0),"")</f>
        <v>#N/A</v>
      </c>
      <c r="T1407" s="7" t="e">
        <f>IF(VLOOKUP($A1407,'Concrete Beam Schedule'!$A$2:$Q$2902,T$2,0)&lt;&gt;D1407,"Beam Revised","")</f>
        <v>#N/A</v>
      </c>
      <c r="U1407" s="7" t="e">
        <f>IF(VLOOKUP($A1407,'Concrete Beam Schedule'!$A$2:$Q$2902,U$2,0)&lt;&gt;E1407,"Beam Revised","")</f>
        <v>#N/A</v>
      </c>
      <c r="V1407" s="7" t="e">
        <f>IF(VLOOKUP($A1407,'Concrete Beam Schedule'!$A$2:$Q$2902,V$2,0)&lt;&gt;F1407,"Beam Revised","")</f>
        <v>#N/A</v>
      </c>
      <c r="W1407" s="7" t="e">
        <f>IF(VLOOKUP($A1407,'Concrete Beam Schedule'!$A$2:$Q$2902,W$2,0)&lt;&gt;G1407,"Beam Revised","")</f>
        <v>#N/A</v>
      </c>
      <c r="X1407" s="7" t="e">
        <f>IF(VLOOKUP($A1407,'Concrete Beam Schedule'!$A$2:$Q$2902,X$2,0)&lt;&gt;H1407,"Beam Revised","")</f>
        <v>#N/A</v>
      </c>
      <c r="Y1407" s="7" t="e">
        <f>IF(VLOOKUP($A1407,'Concrete Beam Schedule'!$A$2:$Q$2902,Y$2,0)&lt;&gt;I1407,"Beam Revised","")</f>
        <v>#N/A</v>
      </c>
      <c r="Z1407" s="7" t="e">
        <f>IF(VLOOKUP($A1407,'Concrete Beam Schedule'!$A$2:$Q$2902,Z$2,0)&lt;&gt;J1407,"Beam Revised","")</f>
        <v>#N/A</v>
      </c>
      <c r="AA1407" s="7" t="e">
        <f>IF(VLOOKUP($A1407,'Concrete Beam Schedule'!$A$2:$Q$2902,AA$2,0)&lt;&gt;K1407,"Beam Revised","")</f>
        <v>#N/A</v>
      </c>
      <c r="AB1407" s="7" t="e">
        <f>IF(VLOOKUP($A1407,'Concrete Beam Schedule'!$A$2:$Q$2902,AB$2,0)&lt;&gt;L1407,"Beam Revised","")</f>
        <v>#N/A</v>
      </c>
      <c r="AC1407" s="7" t="e">
        <f>IF(VLOOKUP($A1407,'Concrete Beam Schedule'!$A$2:$Q$2902,AC$2,0)&lt;&gt;M1407,"Beam Revised","")</f>
        <v>#N/A</v>
      </c>
      <c r="AD1407" s="7" t="e">
        <f>IF(VLOOKUP($A1407,'Concrete Beam Schedule'!$A$2:$Q$2902,AD$2,0)&lt;&gt;N1407,"Beam Revised","")</f>
        <v>#N/A</v>
      </c>
      <c r="AE1407" s="7" t="e">
        <f>IF(VLOOKUP($A1407,'Concrete Beam Schedule'!$A$2:$Q$2902,AE$2,0)&lt;&gt;O1407,"Beam Revised","")</f>
        <v>#N/A</v>
      </c>
    </row>
    <row r="1408" spans="17:31" ht="20.100000000000001" customHeight="1" x14ac:dyDescent="0.25">
      <c r="Q1408" s="7">
        <f t="shared" si="21"/>
        <v>0</v>
      </c>
      <c r="R1408" s="7" t="e">
        <f>IF(VLOOKUP($A1408,'Concrete Beam Schedule'!$A$2:$Q$2902,R$2,0)&lt;&gt;B1408,VLOOKUP($A1408,'Concrete Beam Schedule'!$A$2:$Q$2902,R$2,0),"")</f>
        <v>#N/A</v>
      </c>
      <c r="S1408" s="7" t="e">
        <f>IF(VLOOKUP($A1408,'Concrete Beam Schedule'!$A$2:$Q$2902,S$2,0)&lt;&gt;C1408,VLOOKUP($A1408,'Concrete Beam Schedule'!$A$2:$Q$2902,S$2,0),"")</f>
        <v>#N/A</v>
      </c>
      <c r="T1408" s="7" t="e">
        <f>IF(VLOOKUP($A1408,'Concrete Beam Schedule'!$A$2:$Q$2902,T$2,0)&lt;&gt;D1408,"Beam Revised","")</f>
        <v>#N/A</v>
      </c>
      <c r="U1408" s="7" t="e">
        <f>IF(VLOOKUP($A1408,'Concrete Beam Schedule'!$A$2:$Q$2902,U$2,0)&lt;&gt;E1408,"Beam Revised","")</f>
        <v>#N/A</v>
      </c>
      <c r="V1408" s="7" t="e">
        <f>IF(VLOOKUP($A1408,'Concrete Beam Schedule'!$A$2:$Q$2902,V$2,0)&lt;&gt;F1408,"Beam Revised","")</f>
        <v>#N/A</v>
      </c>
      <c r="W1408" s="7" t="e">
        <f>IF(VLOOKUP($A1408,'Concrete Beam Schedule'!$A$2:$Q$2902,W$2,0)&lt;&gt;G1408,"Beam Revised","")</f>
        <v>#N/A</v>
      </c>
      <c r="X1408" s="7" t="e">
        <f>IF(VLOOKUP($A1408,'Concrete Beam Schedule'!$A$2:$Q$2902,X$2,0)&lt;&gt;H1408,"Beam Revised","")</f>
        <v>#N/A</v>
      </c>
      <c r="Y1408" s="7" t="e">
        <f>IF(VLOOKUP($A1408,'Concrete Beam Schedule'!$A$2:$Q$2902,Y$2,0)&lt;&gt;I1408,"Beam Revised","")</f>
        <v>#N/A</v>
      </c>
      <c r="Z1408" s="7" t="e">
        <f>IF(VLOOKUP($A1408,'Concrete Beam Schedule'!$A$2:$Q$2902,Z$2,0)&lt;&gt;J1408,"Beam Revised","")</f>
        <v>#N/A</v>
      </c>
      <c r="AA1408" s="7" t="e">
        <f>IF(VLOOKUP($A1408,'Concrete Beam Schedule'!$A$2:$Q$2902,AA$2,0)&lt;&gt;K1408,"Beam Revised","")</f>
        <v>#N/A</v>
      </c>
      <c r="AB1408" s="7" t="e">
        <f>IF(VLOOKUP($A1408,'Concrete Beam Schedule'!$A$2:$Q$2902,AB$2,0)&lt;&gt;L1408,"Beam Revised","")</f>
        <v>#N/A</v>
      </c>
      <c r="AC1408" s="7" t="e">
        <f>IF(VLOOKUP($A1408,'Concrete Beam Schedule'!$A$2:$Q$2902,AC$2,0)&lt;&gt;M1408,"Beam Revised","")</f>
        <v>#N/A</v>
      </c>
      <c r="AD1408" s="7" t="e">
        <f>IF(VLOOKUP($A1408,'Concrete Beam Schedule'!$A$2:$Q$2902,AD$2,0)&lt;&gt;N1408,"Beam Revised","")</f>
        <v>#N/A</v>
      </c>
      <c r="AE1408" s="7" t="e">
        <f>IF(VLOOKUP($A1408,'Concrete Beam Schedule'!$A$2:$Q$2902,AE$2,0)&lt;&gt;O1408,"Beam Revised","")</f>
        <v>#N/A</v>
      </c>
    </row>
    <row r="1409" spans="17:31" ht="20.100000000000001" customHeight="1" x14ac:dyDescent="0.25">
      <c r="Q1409" s="7">
        <f t="shared" si="21"/>
        <v>0</v>
      </c>
      <c r="R1409" s="7" t="e">
        <f>IF(VLOOKUP($A1409,'Concrete Beam Schedule'!$A$2:$Q$2902,R$2,0)&lt;&gt;B1409,VLOOKUP($A1409,'Concrete Beam Schedule'!$A$2:$Q$2902,R$2,0),"")</f>
        <v>#N/A</v>
      </c>
      <c r="S1409" s="7" t="e">
        <f>IF(VLOOKUP($A1409,'Concrete Beam Schedule'!$A$2:$Q$2902,S$2,0)&lt;&gt;C1409,VLOOKUP($A1409,'Concrete Beam Schedule'!$A$2:$Q$2902,S$2,0),"")</f>
        <v>#N/A</v>
      </c>
      <c r="T1409" s="7" t="e">
        <f>IF(VLOOKUP($A1409,'Concrete Beam Schedule'!$A$2:$Q$2902,T$2,0)&lt;&gt;D1409,"Beam Revised","")</f>
        <v>#N/A</v>
      </c>
      <c r="U1409" s="7" t="e">
        <f>IF(VLOOKUP($A1409,'Concrete Beam Schedule'!$A$2:$Q$2902,U$2,0)&lt;&gt;E1409,"Beam Revised","")</f>
        <v>#N/A</v>
      </c>
      <c r="V1409" s="7" t="e">
        <f>IF(VLOOKUP($A1409,'Concrete Beam Schedule'!$A$2:$Q$2902,V$2,0)&lt;&gt;F1409,"Beam Revised","")</f>
        <v>#N/A</v>
      </c>
      <c r="W1409" s="7" t="e">
        <f>IF(VLOOKUP($A1409,'Concrete Beam Schedule'!$A$2:$Q$2902,W$2,0)&lt;&gt;G1409,"Beam Revised","")</f>
        <v>#N/A</v>
      </c>
      <c r="X1409" s="7" t="e">
        <f>IF(VLOOKUP($A1409,'Concrete Beam Schedule'!$A$2:$Q$2902,X$2,0)&lt;&gt;H1409,"Beam Revised","")</f>
        <v>#N/A</v>
      </c>
      <c r="Y1409" s="7" t="e">
        <f>IF(VLOOKUP($A1409,'Concrete Beam Schedule'!$A$2:$Q$2902,Y$2,0)&lt;&gt;I1409,"Beam Revised","")</f>
        <v>#N/A</v>
      </c>
      <c r="Z1409" s="7" t="e">
        <f>IF(VLOOKUP($A1409,'Concrete Beam Schedule'!$A$2:$Q$2902,Z$2,0)&lt;&gt;J1409,"Beam Revised","")</f>
        <v>#N/A</v>
      </c>
      <c r="AA1409" s="7" t="e">
        <f>IF(VLOOKUP($A1409,'Concrete Beam Schedule'!$A$2:$Q$2902,AA$2,0)&lt;&gt;K1409,"Beam Revised","")</f>
        <v>#N/A</v>
      </c>
      <c r="AB1409" s="7" t="e">
        <f>IF(VLOOKUP($A1409,'Concrete Beam Schedule'!$A$2:$Q$2902,AB$2,0)&lt;&gt;L1409,"Beam Revised","")</f>
        <v>#N/A</v>
      </c>
      <c r="AC1409" s="7" t="e">
        <f>IF(VLOOKUP($A1409,'Concrete Beam Schedule'!$A$2:$Q$2902,AC$2,0)&lt;&gt;M1409,"Beam Revised","")</f>
        <v>#N/A</v>
      </c>
      <c r="AD1409" s="7" t="e">
        <f>IF(VLOOKUP($A1409,'Concrete Beam Schedule'!$A$2:$Q$2902,AD$2,0)&lt;&gt;N1409,"Beam Revised","")</f>
        <v>#N/A</v>
      </c>
      <c r="AE1409" s="7" t="e">
        <f>IF(VLOOKUP($A1409,'Concrete Beam Schedule'!$A$2:$Q$2902,AE$2,0)&lt;&gt;O1409,"Beam Revised","")</f>
        <v>#N/A</v>
      </c>
    </row>
    <row r="1410" spans="17:31" ht="20.100000000000001" customHeight="1" x14ac:dyDescent="0.25">
      <c r="Q1410" s="7">
        <f t="shared" si="21"/>
        <v>0</v>
      </c>
      <c r="R1410" s="7" t="e">
        <f>IF(VLOOKUP($A1410,'Concrete Beam Schedule'!$A$2:$Q$2902,R$2,0)&lt;&gt;B1410,VLOOKUP($A1410,'Concrete Beam Schedule'!$A$2:$Q$2902,R$2,0),"")</f>
        <v>#N/A</v>
      </c>
      <c r="S1410" s="7" t="e">
        <f>IF(VLOOKUP($A1410,'Concrete Beam Schedule'!$A$2:$Q$2902,S$2,0)&lt;&gt;C1410,VLOOKUP($A1410,'Concrete Beam Schedule'!$A$2:$Q$2902,S$2,0),"")</f>
        <v>#N/A</v>
      </c>
      <c r="T1410" s="7" t="e">
        <f>IF(VLOOKUP($A1410,'Concrete Beam Schedule'!$A$2:$Q$2902,T$2,0)&lt;&gt;D1410,"Beam Revised","")</f>
        <v>#N/A</v>
      </c>
      <c r="U1410" s="7" t="e">
        <f>IF(VLOOKUP($A1410,'Concrete Beam Schedule'!$A$2:$Q$2902,U$2,0)&lt;&gt;E1410,"Beam Revised","")</f>
        <v>#N/A</v>
      </c>
      <c r="V1410" s="7" t="e">
        <f>IF(VLOOKUP($A1410,'Concrete Beam Schedule'!$A$2:$Q$2902,V$2,0)&lt;&gt;F1410,"Beam Revised","")</f>
        <v>#N/A</v>
      </c>
      <c r="W1410" s="7" t="e">
        <f>IF(VLOOKUP($A1410,'Concrete Beam Schedule'!$A$2:$Q$2902,W$2,0)&lt;&gt;G1410,"Beam Revised","")</f>
        <v>#N/A</v>
      </c>
      <c r="X1410" s="7" t="e">
        <f>IF(VLOOKUP($A1410,'Concrete Beam Schedule'!$A$2:$Q$2902,X$2,0)&lt;&gt;H1410,"Beam Revised","")</f>
        <v>#N/A</v>
      </c>
      <c r="Y1410" s="7" t="e">
        <f>IF(VLOOKUP($A1410,'Concrete Beam Schedule'!$A$2:$Q$2902,Y$2,0)&lt;&gt;I1410,"Beam Revised","")</f>
        <v>#N/A</v>
      </c>
      <c r="Z1410" s="7" t="e">
        <f>IF(VLOOKUP($A1410,'Concrete Beam Schedule'!$A$2:$Q$2902,Z$2,0)&lt;&gt;J1410,"Beam Revised","")</f>
        <v>#N/A</v>
      </c>
      <c r="AA1410" s="7" t="e">
        <f>IF(VLOOKUP($A1410,'Concrete Beam Schedule'!$A$2:$Q$2902,AA$2,0)&lt;&gt;K1410,"Beam Revised","")</f>
        <v>#N/A</v>
      </c>
      <c r="AB1410" s="7" t="e">
        <f>IF(VLOOKUP($A1410,'Concrete Beam Schedule'!$A$2:$Q$2902,AB$2,0)&lt;&gt;L1410,"Beam Revised","")</f>
        <v>#N/A</v>
      </c>
      <c r="AC1410" s="7" t="e">
        <f>IF(VLOOKUP($A1410,'Concrete Beam Schedule'!$A$2:$Q$2902,AC$2,0)&lt;&gt;M1410,"Beam Revised","")</f>
        <v>#N/A</v>
      </c>
      <c r="AD1410" s="7" t="e">
        <f>IF(VLOOKUP($A1410,'Concrete Beam Schedule'!$A$2:$Q$2902,AD$2,0)&lt;&gt;N1410,"Beam Revised","")</f>
        <v>#N/A</v>
      </c>
      <c r="AE1410" s="7" t="e">
        <f>IF(VLOOKUP($A1410,'Concrete Beam Schedule'!$A$2:$Q$2902,AE$2,0)&lt;&gt;O1410,"Beam Revised","")</f>
        <v>#N/A</v>
      </c>
    </row>
    <row r="1411" spans="17:31" ht="20.100000000000001" customHeight="1" x14ac:dyDescent="0.25">
      <c r="Q1411" s="7">
        <f t="shared" si="21"/>
        <v>0</v>
      </c>
      <c r="R1411" s="7" t="e">
        <f>IF(VLOOKUP($A1411,'Concrete Beam Schedule'!$A$2:$Q$2902,R$2,0)&lt;&gt;B1411,VLOOKUP($A1411,'Concrete Beam Schedule'!$A$2:$Q$2902,R$2,0),"")</f>
        <v>#N/A</v>
      </c>
      <c r="S1411" s="7" t="e">
        <f>IF(VLOOKUP($A1411,'Concrete Beam Schedule'!$A$2:$Q$2902,S$2,0)&lt;&gt;C1411,VLOOKUP($A1411,'Concrete Beam Schedule'!$A$2:$Q$2902,S$2,0),"")</f>
        <v>#N/A</v>
      </c>
      <c r="T1411" s="7" t="e">
        <f>IF(VLOOKUP($A1411,'Concrete Beam Schedule'!$A$2:$Q$2902,T$2,0)&lt;&gt;D1411,"Beam Revised","")</f>
        <v>#N/A</v>
      </c>
      <c r="U1411" s="7" t="e">
        <f>IF(VLOOKUP($A1411,'Concrete Beam Schedule'!$A$2:$Q$2902,U$2,0)&lt;&gt;E1411,"Beam Revised","")</f>
        <v>#N/A</v>
      </c>
      <c r="V1411" s="7" t="e">
        <f>IF(VLOOKUP($A1411,'Concrete Beam Schedule'!$A$2:$Q$2902,V$2,0)&lt;&gt;F1411,"Beam Revised","")</f>
        <v>#N/A</v>
      </c>
      <c r="W1411" s="7" t="e">
        <f>IF(VLOOKUP($A1411,'Concrete Beam Schedule'!$A$2:$Q$2902,W$2,0)&lt;&gt;G1411,"Beam Revised","")</f>
        <v>#N/A</v>
      </c>
      <c r="X1411" s="7" t="e">
        <f>IF(VLOOKUP($A1411,'Concrete Beam Schedule'!$A$2:$Q$2902,X$2,0)&lt;&gt;H1411,"Beam Revised","")</f>
        <v>#N/A</v>
      </c>
      <c r="Y1411" s="7" t="e">
        <f>IF(VLOOKUP($A1411,'Concrete Beam Schedule'!$A$2:$Q$2902,Y$2,0)&lt;&gt;I1411,"Beam Revised","")</f>
        <v>#N/A</v>
      </c>
      <c r="Z1411" s="7" t="e">
        <f>IF(VLOOKUP($A1411,'Concrete Beam Schedule'!$A$2:$Q$2902,Z$2,0)&lt;&gt;J1411,"Beam Revised","")</f>
        <v>#N/A</v>
      </c>
      <c r="AA1411" s="7" t="e">
        <f>IF(VLOOKUP($A1411,'Concrete Beam Schedule'!$A$2:$Q$2902,AA$2,0)&lt;&gt;K1411,"Beam Revised","")</f>
        <v>#N/A</v>
      </c>
      <c r="AB1411" s="7" t="e">
        <f>IF(VLOOKUP($A1411,'Concrete Beam Schedule'!$A$2:$Q$2902,AB$2,0)&lt;&gt;L1411,"Beam Revised","")</f>
        <v>#N/A</v>
      </c>
      <c r="AC1411" s="7" t="e">
        <f>IF(VLOOKUP($A1411,'Concrete Beam Schedule'!$A$2:$Q$2902,AC$2,0)&lt;&gt;M1411,"Beam Revised","")</f>
        <v>#N/A</v>
      </c>
      <c r="AD1411" s="7" t="e">
        <f>IF(VLOOKUP($A1411,'Concrete Beam Schedule'!$A$2:$Q$2902,AD$2,0)&lt;&gt;N1411,"Beam Revised","")</f>
        <v>#N/A</v>
      </c>
      <c r="AE1411" s="7" t="e">
        <f>IF(VLOOKUP($A1411,'Concrete Beam Schedule'!$A$2:$Q$2902,AE$2,0)&lt;&gt;O1411,"Beam Revised","")</f>
        <v>#N/A</v>
      </c>
    </row>
    <row r="1412" spans="17:31" ht="20.100000000000001" customHeight="1" x14ac:dyDescent="0.25">
      <c r="Q1412" s="7">
        <f t="shared" ref="Q1412:Q1475" si="22">A1412</f>
        <v>0</v>
      </c>
      <c r="R1412" s="7" t="e">
        <f>IF(VLOOKUP($A1412,'Concrete Beam Schedule'!$A$2:$Q$2902,R$2,0)&lt;&gt;B1412,VLOOKUP($A1412,'Concrete Beam Schedule'!$A$2:$Q$2902,R$2,0),"")</f>
        <v>#N/A</v>
      </c>
      <c r="S1412" s="7" t="e">
        <f>IF(VLOOKUP($A1412,'Concrete Beam Schedule'!$A$2:$Q$2902,S$2,0)&lt;&gt;C1412,VLOOKUP($A1412,'Concrete Beam Schedule'!$A$2:$Q$2902,S$2,0),"")</f>
        <v>#N/A</v>
      </c>
      <c r="T1412" s="7" t="e">
        <f>IF(VLOOKUP($A1412,'Concrete Beam Schedule'!$A$2:$Q$2902,T$2,0)&lt;&gt;D1412,"Beam Revised","")</f>
        <v>#N/A</v>
      </c>
      <c r="U1412" s="7" t="e">
        <f>IF(VLOOKUP($A1412,'Concrete Beam Schedule'!$A$2:$Q$2902,U$2,0)&lt;&gt;E1412,"Beam Revised","")</f>
        <v>#N/A</v>
      </c>
      <c r="V1412" s="7" t="e">
        <f>IF(VLOOKUP($A1412,'Concrete Beam Schedule'!$A$2:$Q$2902,V$2,0)&lt;&gt;F1412,"Beam Revised","")</f>
        <v>#N/A</v>
      </c>
      <c r="W1412" s="7" t="e">
        <f>IF(VLOOKUP($A1412,'Concrete Beam Schedule'!$A$2:$Q$2902,W$2,0)&lt;&gt;G1412,"Beam Revised","")</f>
        <v>#N/A</v>
      </c>
      <c r="X1412" s="7" t="e">
        <f>IF(VLOOKUP($A1412,'Concrete Beam Schedule'!$A$2:$Q$2902,X$2,0)&lt;&gt;H1412,"Beam Revised","")</f>
        <v>#N/A</v>
      </c>
      <c r="Y1412" s="7" t="e">
        <f>IF(VLOOKUP($A1412,'Concrete Beam Schedule'!$A$2:$Q$2902,Y$2,0)&lt;&gt;I1412,"Beam Revised","")</f>
        <v>#N/A</v>
      </c>
      <c r="Z1412" s="7" t="e">
        <f>IF(VLOOKUP($A1412,'Concrete Beam Schedule'!$A$2:$Q$2902,Z$2,0)&lt;&gt;J1412,"Beam Revised","")</f>
        <v>#N/A</v>
      </c>
      <c r="AA1412" s="7" t="e">
        <f>IF(VLOOKUP($A1412,'Concrete Beam Schedule'!$A$2:$Q$2902,AA$2,0)&lt;&gt;K1412,"Beam Revised","")</f>
        <v>#N/A</v>
      </c>
      <c r="AB1412" s="7" t="e">
        <f>IF(VLOOKUP($A1412,'Concrete Beam Schedule'!$A$2:$Q$2902,AB$2,0)&lt;&gt;L1412,"Beam Revised","")</f>
        <v>#N/A</v>
      </c>
      <c r="AC1412" s="7" t="e">
        <f>IF(VLOOKUP($A1412,'Concrete Beam Schedule'!$A$2:$Q$2902,AC$2,0)&lt;&gt;M1412,"Beam Revised","")</f>
        <v>#N/A</v>
      </c>
      <c r="AD1412" s="7" t="e">
        <f>IF(VLOOKUP($A1412,'Concrete Beam Schedule'!$A$2:$Q$2902,AD$2,0)&lt;&gt;N1412,"Beam Revised","")</f>
        <v>#N/A</v>
      </c>
      <c r="AE1412" s="7" t="e">
        <f>IF(VLOOKUP($A1412,'Concrete Beam Schedule'!$A$2:$Q$2902,AE$2,0)&lt;&gt;O1412,"Beam Revised","")</f>
        <v>#N/A</v>
      </c>
    </row>
    <row r="1413" spans="17:31" ht="20.100000000000001" customHeight="1" x14ac:dyDescent="0.25">
      <c r="Q1413" s="7">
        <f t="shared" si="22"/>
        <v>0</v>
      </c>
      <c r="R1413" s="7" t="e">
        <f>IF(VLOOKUP($A1413,'Concrete Beam Schedule'!$A$2:$Q$2902,R$2,0)&lt;&gt;B1413,VLOOKUP($A1413,'Concrete Beam Schedule'!$A$2:$Q$2902,R$2,0),"")</f>
        <v>#N/A</v>
      </c>
      <c r="S1413" s="7" t="e">
        <f>IF(VLOOKUP($A1413,'Concrete Beam Schedule'!$A$2:$Q$2902,S$2,0)&lt;&gt;C1413,VLOOKUP($A1413,'Concrete Beam Schedule'!$A$2:$Q$2902,S$2,0),"")</f>
        <v>#N/A</v>
      </c>
      <c r="T1413" s="7" t="e">
        <f>IF(VLOOKUP($A1413,'Concrete Beam Schedule'!$A$2:$Q$2902,T$2,0)&lt;&gt;D1413,"Beam Revised","")</f>
        <v>#N/A</v>
      </c>
      <c r="U1413" s="7" t="e">
        <f>IF(VLOOKUP($A1413,'Concrete Beam Schedule'!$A$2:$Q$2902,U$2,0)&lt;&gt;E1413,"Beam Revised","")</f>
        <v>#N/A</v>
      </c>
      <c r="V1413" s="7" t="e">
        <f>IF(VLOOKUP($A1413,'Concrete Beam Schedule'!$A$2:$Q$2902,V$2,0)&lt;&gt;F1413,"Beam Revised","")</f>
        <v>#N/A</v>
      </c>
      <c r="W1413" s="7" t="e">
        <f>IF(VLOOKUP($A1413,'Concrete Beam Schedule'!$A$2:$Q$2902,W$2,0)&lt;&gt;G1413,"Beam Revised","")</f>
        <v>#N/A</v>
      </c>
      <c r="X1413" s="7" t="e">
        <f>IF(VLOOKUP($A1413,'Concrete Beam Schedule'!$A$2:$Q$2902,X$2,0)&lt;&gt;H1413,"Beam Revised","")</f>
        <v>#N/A</v>
      </c>
      <c r="Y1413" s="7" t="e">
        <f>IF(VLOOKUP($A1413,'Concrete Beam Schedule'!$A$2:$Q$2902,Y$2,0)&lt;&gt;I1413,"Beam Revised","")</f>
        <v>#N/A</v>
      </c>
      <c r="Z1413" s="7" t="e">
        <f>IF(VLOOKUP($A1413,'Concrete Beam Schedule'!$A$2:$Q$2902,Z$2,0)&lt;&gt;J1413,"Beam Revised","")</f>
        <v>#N/A</v>
      </c>
      <c r="AA1413" s="7" t="e">
        <f>IF(VLOOKUP($A1413,'Concrete Beam Schedule'!$A$2:$Q$2902,AA$2,0)&lt;&gt;K1413,"Beam Revised","")</f>
        <v>#N/A</v>
      </c>
      <c r="AB1413" s="7" t="e">
        <f>IF(VLOOKUP($A1413,'Concrete Beam Schedule'!$A$2:$Q$2902,AB$2,0)&lt;&gt;L1413,"Beam Revised","")</f>
        <v>#N/A</v>
      </c>
      <c r="AC1413" s="7" t="e">
        <f>IF(VLOOKUP($A1413,'Concrete Beam Schedule'!$A$2:$Q$2902,AC$2,0)&lt;&gt;M1413,"Beam Revised","")</f>
        <v>#N/A</v>
      </c>
      <c r="AD1413" s="7" t="e">
        <f>IF(VLOOKUP($A1413,'Concrete Beam Schedule'!$A$2:$Q$2902,AD$2,0)&lt;&gt;N1413,"Beam Revised","")</f>
        <v>#N/A</v>
      </c>
      <c r="AE1413" s="7" t="e">
        <f>IF(VLOOKUP($A1413,'Concrete Beam Schedule'!$A$2:$Q$2902,AE$2,0)&lt;&gt;O1413,"Beam Revised","")</f>
        <v>#N/A</v>
      </c>
    </row>
    <row r="1414" spans="17:31" ht="20.100000000000001" customHeight="1" x14ac:dyDescent="0.25">
      <c r="Q1414" s="7">
        <f t="shared" si="22"/>
        <v>0</v>
      </c>
      <c r="R1414" s="7" t="e">
        <f>IF(VLOOKUP($A1414,'Concrete Beam Schedule'!$A$2:$Q$2902,R$2,0)&lt;&gt;B1414,VLOOKUP($A1414,'Concrete Beam Schedule'!$A$2:$Q$2902,R$2,0),"")</f>
        <v>#N/A</v>
      </c>
      <c r="S1414" s="7" t="e">
        <f>IF(VLOOKUP($A1414,'Concrete Beam Schedule'!$A$2:$Q$2902,S$2,0)&lt;&gt;C1414,VLOOKUP($A1414,'Concrete Beam Schedule'!$A$2:$Q$2902,S$2,0),"")</f>
        <v>#N/A</v>
      </c>
      <c r="T1414" s="7" t="e">
        <f>IF(VLOOKUP($A1414,'Concrete Beam Schedule'!$A$2:$Q$2902,T$2,0)&lt;&gt;D1414,"Beam Revised","")</f>
        <v>#N/A</v>
      </c>
      <c r="U1414" s="7" t="e">
        <f>IF(VLOOKUP($A1414,'Concrete Beam Schedule'!$A$2:$Q$2902,U$2,0)&lt;&gt;E1414,"Beam Revised","")</f>
        <v>#N/A</v>
      </c>
      <c r="V1414" s="7" t="e">
        <f>IF(VLOOKUP($A1414,'Concrete Beam Schedule'!$A$2:$Q$2902,V$2,0)&lt;&gt;F1414,"Beam Revised","")</f>
        <v>#N/A</v>
      </c>
      <c r="W1414" s="7" t="e">
        <f>IF(VLOOKUP($A1414,'Concrete Beam Schedule'!$A$2:$Q$2902,W$2,0)&lt;&gt;G1414,"Beam Revised","")</f>
        <v>#N/A</v>
      </c>
      <c r="X1414" s="7" t="e">
        <f>IF(VLOOKUP($A1414,'Concrete Beam Schedule'!$A$2:$Q$2902,X$2,0)&lt;&gt;H1414,"Beam Revised","")</f>
        <v>#N/A</v>
      </c>
      <c r="Y1414" s="7" t="e">
        <f>IF(VLOOKUP($A1414,'Concrete Beam Schedule'!$A$2:$Q$2902,Y$2,0)&lt;&gt;I1414,"Beam Revised","")</f>
        <v>#N/A</v>
      </c>
      <c r="Z1414" s="7" t="e">
        <f>IF(VLOOKUP($A1414,'Concrete Beam Schedule'!$A$2:$Q$2902,Z$2,0)&lt;&gt;J1414,"Beam Revised","")</f>
        <v>#N/A</v>
      </c>
      <c r="AA1414" s="7" t="e">
        <f>IF(VLOOKUP($A1414,'Concrete Beam Schedule'!$A$2:$Q$2902,AA$2,0)&lt;&gt;K1414,"Beam Revised","")</f>
        <v>#N/A</v>
      </c>
      <c r="AB1414" s="7" t="e">
        <f>IF(VLOOKUP($A1414,'Concrete Beam Schedule'!$A$2:$Q$2902,AB$2,0)&lt;&gt;L1414,"Beam Revised","")</f>
        <v>#N/A</v>
      </c>
      <c r="AC1414" s="7" t="e">
        <f>IF(VLOOKUP($A1414,'Concrete Beam Schedule'!$A$2:$Q$2902,AC$2,0)&lt;&gt;M1414,"Beam Revised","")</f>
        <v>#N/A</v>
      </c>
      <c r="AD1414" s="7" t="e">
        <f>IF(VLOOKUP($A1414,'Concrete Beam Schedule'!$A$2:$Q$2902,AD$2,0)&lt;&gt;N1414,"Beam Revised","")</f>
        <v>#N/A</v>
      </c>
      <c r="AE1414" s="7" t="e">
        <f>IF(VLOOKUP($A1414,'Concrete Beam Schedule'!$A$2:$Q$2902,AE$2,0)&lt;&gt;O1414,"Beam Revised","")</f>
        <v>#N/A</v>
      </c>
    </row>
    <row r="1415" spans="17:31" ht="20.100000000000001" customHeight="1" x14ac:dyDescent="0.25">
      <c r="Q1415" s="7">
        <f t="shared" si="22"/>
        <v>0</v>
      </c>
      <c r="R1415" s="7" t="e">
        <f>IF(VLOOKUP($A1415,'Concrete Beam Schedule'!$A$2:$Q$2902,R$2,0)&lt;&gt;B1415,VLOOKUP($A1415,'Concrete Beam Schedule'!$A$2:$Q$2902,R$2,0),"")</f>
        <v>#N/A</v>
      </c>
      <c r="S1415" s="7" t="e">
        <f>IF(VLOOKUP($A1415,'Concrete Beam Schedule'!$A$2:$Q$2902,S$2,0)&lt;&gt;C1415,VLOOKUP($A1415,'Concrete Beam Schedule'!$A$2:$Q$2902,S$2,0),"")</f>
        <v>#N/A</v>
      </c>
      <c r="T1415" s="7" t="e">
        <f>IF(VLOOKUP($A1415,'Concrete Beam Schedule'!$A$2:$Q$2902,T$2,0)&lt;&gt;D1415,"Beam Revised","")</f>
        <v>#N/A</v>
      </c>
      <c r="U1415" s="7" t="e">
        <f>IF(VLOOKUP($A1415,'Concrete Beam Schedule'!$A$2:$Q$2902,U$2,0)&lt;&gt;E1415,"Beam Revised","")</f>
        <v>#N/A</v>
      </c>
      <c r="V1415" s="7" t="e">
        <f>IF(VLOOKUP($A1415,'Concrete Beam Schedule'!$A$2:$Q$2902,V$2,0)&lt;&gt;F1415,"Beam Revised","")</f>
        <v>#N/A</v>
      </c>
      <c r="W1415" s="7" t="e">
        <f>IF(VLOOKUP($A1415,'Concrete Beam Schedule'!$A$2:$Q$2902,W$2,0)&lt;&gt;G1415,"Beam Revised","")</f>
        <v>#N/A</v>
      </c>
      <c r="X1415" s="7" t="e">
        <f>IF(VLOOKUP($A1415,'Concrete Beam Schedule'!$A$2:$Q$2902,X$2,0)&lt;&gt;H1415,"Beam Revised","")</f>
        <v>#N/A</v>
      </c>
      <c r="Y1415" s="7" t="e">
        <f>IF(VLOOKUP($A1415,'Concrete Beam Schedule'!$A$2:$Q$2902,Y$2,0)&lt;&gt;I1415,"Beam Revised","")</f>
        <v>#N/A</v>
      </c>
      <c r="Z1415" s="7" t="e">
        <f>IF(VLOOKUP($A1415,'Concrete Beam Schedule'!$A$2:$Q$2902,Z$2,0)&lt;&gt;J1415,"Beam Revised","")</f>
        <v>#N/A</v>
      </c>
      <c r="AA1415" s="7" t="e">
        <f>IF(VLOOKUP($A1415,'Concrete Beam Schedule'!$A$2:$Q$2902,AA$2,0)&lt;&gt;K1415,"Beam Revised","")</f>
        <v>#N/A</v>
      </c>
      <c r="AB1415" s="7" t="e">
        <f>IF(VLOOKUP($A1415,'Concrete Beam Schedule'!$A$2:$Q$2902,AB$2,0)&lt;&gt;L1415,"Beam Revised","")</f>
        <v>#N/A</v>
      </c>
      <c r="AC1415" s="7" t="e">
        <f>IF(VLOOKUP($A1415,'Concrete Beam Schedule'!$A$2:$Q$2902,AC$2,0)&lt;&gt;M1415,"Beam Revised","")</f>
        <v>#N/A</v>
      </c>
      <c r="AD1415" s="7" t="e">
        <f>IF(VLOOKUP($A1415,'Concrete Beam Schedule'!$A$2:$Q$2902,AD$2,0)&lt;&gt;N1415,"Beam Revised","")</f>
        <v>#N/A</v>
      </c>
      <c r="AE1415" s="7" t="e">
        <f>IF(VLOOKUP($A1415,'Concrete Beam Schedule'!$A$2:$Q$2902,AE$2,0)&lt;&gt;O1415,"Beam Revised","")</f>
        <v>#N/A</v>
      </c>
    </row>
    <row r="1416" spans="17:31" ht="20.100000000000001" customHeight="1" x14ac:dyDescent="0.25">
      <c r="Q1416" s="7">
        <f t="shared" si="22"/>
        <v>0</v>
      </c>
      <c r="R1416" s="7" t="e">
        <f>IF(VLOOKUP($A1416,'Concrete Beam Schedule'!$A$2:$Q$2902,R$2,0)&lt;&gt;B1416,VLOOKUP($A1416,'Concrete Beam Schedule'!$A$2:$Q$2902,R$2,0),"")</f>
        <v>#N/A</v>
      </c>
      <c r="S1416" s="7" t="e">
        <f>IF(VLOOKUP($A1416,'Concrete Beam Schedule'!$A$2:$Q$2902,S$2,0)&lt;&gt;C1416,VLOOKUP($A1416,'Concrete Beam Schedule'!$A$2:$Q$2902,S$2,0),"")</f>
        <v>#N/A</v>
      </c>
      <c r="T1416" s="7" t="e">
        <f>IF(VLOOKUP($A1416,'Concrete Beam Schedule'!$A$2:$Q$2902,T$2,0)&lt;&gt;D1416,"Beam Revised","")</f>
        <v>#N/A</v>
      </c>
      <c r="U1416" s="7" t="e">
        <f>IF(VLOOKUP($A1416,'Concrete Beam Schedule'!$A$2:$Q$2902,U$2,0)&lt;&gt;E1416,"Beam Revised","")</f>
        <v>#N/A</v>
      </c>
      <c r="V1416" s="7" t="e">
        <f>IF(VLOOKUP($A1416,'Concrete Beam Schedule'!$A$2:$Q$2902,V$2,0)&lt;&gt;F1416,"Beam Revised","")</f>
        <v>#N/A</v>
      </c>
      <c r="W1416" s="7" t="e">
        <f>IF(VLOOKUP($A1416,'Concrete Beam Schedule'!$A$2:$Q$2902,W$2,0)&lt;&gt;G1416,"Beam Revised","")</f>
        <v>#N/A</v>
      </c>
      <c r="X1416" s="7" t="e">
        <f>IF(VLOOKUP($A1416,'Concrete Beam Schedule'!$A$2:$Q$2902,X$2,0)&lt;&gt;H1416,"Beam Revised","")</f>
        <v>#N/A</v>
      </c>
      <c r="Y1416" s="7" t="e">
        <f>IF(VLOOKUP($A1416,'Concrete Beam Schedule'!$A$2:$Q$2902,Y$2,0)&lt;&gt;I1416,"Beam Revised","")</f>
        <v>#N/A</v>
      </c>
      <c r="Z1416" s="7" t="e">
        <f>IF(VLOOKUP($A1416,'Concrete Beam Schedule'!$A$2:$Q$2902,Z$2,0)&lt;&gt;J1416,"Beam Revised","")</f>
        <v>#N/A</v>
      </c>
      <c r="AA1416" s="7" t="e">
        <f>IF(VLOOKUP($A1416,'Concrete Beam Schedule'!$A$2:$Q$2902,AA$2,0)&lt;&gt;K1416,"Beam Revised","")</f>
        <v>#N/A</v>
      </c>
      <c r="AB1416" s="7" t="e">
        <f>IF(VLOOKUP($A1416,'Concrete Beam Schedule'!$A$2:$Q$2902,AB$2,0)&lt;&gt;L1416,"Beam Revised","")</f>
        <v>#N/A</v>
      </c>
      <c r="AC1416" s="7" t="e">
        <f>IF(VLOOKUP($A1416,'Concrete Beam Schedule'!$A$2:$Q$2902,AC$2,0)&lt;&gt;M1416,"Beam Revised","")</f>
        <v>#N/A</v>
      </c>
      <c r="AD1416" s="7" t="e">
        <f>IF(VLOOKUP($A1416,'Concrete Beam Schedule'!$A$2:$Q$2902,AD$2,0)&lt;&gt;N1416,"Beam Revised","")</f>
        <v>#N/A</v>
      </c>
      <c r="AE1416" s="7" t="e">
        <f>IF(VLOOKUP($A1416,'Concrete Beam Schedule'!$A$2:$Q$2902,AE$2,0)&lt;&gt;O1416,"Beam Revised","")</f>
        <v>#N/A</v>
      </c>
    </row>
    <row r="1417" spans="17:31" ht="20.100000000000001" customHeight="1" x14ac:dyDescent="0.25">
      <c r="Q1417" s="7">
        <f t="shared" si="22"/>
        <v>0</v>
      </c>
      <c r="R1417" s="7" t="e">
        <f>IF(VLOOKUP($A1417,'Concrete Beam Schedule'!$A$2:$Q$2902,R$2,0)&lt;&gt;B1417,VLOOKUP($A1417,'Concrete Beam Schedule'!$A$2:$Q$2902,R$2,0),"")</f>
        <v>#N/A</v>
      </c>
      <c r="S1417" s="7" t="e">
        <f>IF(VLOOKUP($A1417,'Concrete Beam Schedule'!$A$2:$Q$2902,S$2,0)&lt;&gt;C1417,VLOOKUP($A1417,'Concrete Beam Schedule'!$A$2:$Q$2902,S$2,0),"")</f>
        <v>#N/A</v>
      </c>
      <c r="T1417" s="7" t="e">
        <f>IF(VLOOKUP($A1417,'Concrete Beam Schedule'!$A$2:$Q$2902,T$2,0)&lt;&gt;D1417,"Beam Revised","")</f>
        <v>#N/A</v>
      </c>
      <c r="U1417" s="7" t="e">
        <f>IF(VLOOKUP($A1417,'Concrete Beam Schedule'!$A$2:$Q$2902,U$2,0)&lt;&gt;E1417,"Beam Revised","")</f>
        <v>#N/A</v>
      </c>
      <c r="V1417" s="7" t="e">
        <f>IF(VLOOKUP($A1417,'Concrete Beam Schedule'!$A$2:$Q$2902,V$2,0)&lt;&gt;F1417,"Beam Revised","")</f>
        <v>#N/A</v>
      </c>
      <c r="W1417" s="7" t="e">
        <f>IF(VLOOKUP($A1417,'Concrete Beam Schedule'!$A$2:$Q$2902,W$2,0)&lt;&gt;G1417,"Beam Revised","")</f>
        <v>#N/A</v>
      </c>
      <c r="X1417" s="7" t="e">
        <f>IF(VLOOKUP($A1417,'Concrete Beam Schedule'!$A$2:$Q$2902,X$2,0)&lt;&gt;H1417,"Beam Revised","")</f>
        <v>#N/A</v>
      </c>
      <c r="Y1417" s="7" t="e">
        <f>IF(VLOOKUP($A1417,'Concrete Beam Schedule'!$A$2:$Q$2902,Y$2,0)&lt;&gt;I1417,"Beam Revised","")</f>
        <v>#N/A</v>
      </c>
      <c r="Z1417" s="7" t="e">
        <f>IF(VLOOKUP($A1417,'Concrete Beam Schedule'!$A$2:$Q$2902,Z$2,0)&lt;&gt;J1417,"Beam Revised","")</f>
        <v>#N/A</v>
      </c>
      <c r="AA1417" s="7" t="e">
        <f>IF(VLOOKUP($A1417,'Concrete Beam Schedule'!$A$2:$Q$2902,AA$2,0)&lt;&gt;K1417,"Beam Revised","")</f>
        <v>#N/A</v>
      </c>
      <c r="AB1417" s="7" t="e">
        <f>IF(VLOOKUP($A1417,'Concrete Beam Schedule'!$A$2:$Q$2902,AB$2,0)&lt;&gt;L1417,"Beam Revised","")</f>
        <v>#N/A</v>
      </c>
      <c r="AC1417" s="7" t="e">
        <f>IF(VLOOKUP($A1417,'Concrete Beam Schedule'!$A$2:$Q$2902,AC$2,0)&lt;&gt;M1417,"Beam Revised","")</f>
        <v>#N/A</v>
      </c>
      <c r="AD1417" s="7" t="e">
        <f>IF(VLOOKUP($A1417,'Concrete Beam Schedule'!$A$2:$Q$2902,AD$2,0)&lt;&gt;N1417,"Beam Revised","")</f>
        <v>#N/A</v>
      </c>
      <c r="AE1417" s="7" t="e">
        <f>IF(VLOOKUP($A1417,'Concrete Beam Schedule'!$A$2:$Q$2902,AE$2,0)&lt;&gt;O1417,"Beam Revised","")</f>
        <v>#N/A</v>
      </c>
    </row>
    <row r="1418" spans="17:31" ht="20.100000000000001" customHeight="1" x14ac:dyDescent="0.25">
      <c r="Q1418" s="7">
        <f t="shared" si="22"/>
        <v>0</v>
      </c>
      <c r="R1418" s="7" t="e">
        <f>IF(VLOOKUP($A1418,'Concrete Beam Schedule'!$A$2:$Q$2902,R$2,0)&lt;&gt;B1418,VLOOKUP($A1418,'Concrete Beam Schedule'!$A$2:$Q$2902,R$2,0),"")</f>
        <v>#N/A</v>
      </c>
      <c r="S1418" s="7" t="e">
        <f>IF(VLOOKUP($A1418,'Concrete Beam Schedule'!$A$2:$Q$2902,S$2,0)&lt;&gt;C1418,VLOOKUP($A1418,'Concrete Beam Schedule'!$A$2:$Q$2902,S$2,0),"")</f>
        <v>#N/A</v>
      </c>
      <c r="T1418" s="7" t="e">
        <f>IF(VLOOKUP($A1418,'Concrete Beam Schedule'!$A$2:$Q$2902,T$2,0)&lt;&gt;D1418,"Beam Revised","")</f>
        <v>#N/A</v>
      </c>
      <c r="U1418" s="7" t="e">
        <f>IF(VLOOKUP($A1418,'Concrete Beam Schedule'!$A$2:$Q$2902,U$2,0)&lt;&gt;E1418,"Beam Revised","")</f>
        <v>#N/A</v>
      </c>
      <c r="V1418" s="7" t="e">
        <f>IF(VLOOKUP($A1418,'Concrete Beam Schedule'!$A$2:$Q$2902,V$2,0)&lt;&gt;F1418,"Beam Revised","")</f>
        <v>#N/A</v>
      </c>
      <c r="W1418" s="7" t="e">
        <f>IF(VLOOKUP($A1418,'Concrete Beam Schedule'!$A$2:$Q$2902,W$2,0)&lt;&gt;G1418,"Beam Revised","")</f>
        <v>#N/A</v>
      </c>
      <c r="X1418" s="7" t="e">
        <f>IF(VLOOKUP($A1418,'Concrete Beam Schedule'!$A$2:$Q$2902,X$2,0)&lt;&gt;H1418,"Beam Revised","")</f>
        <v>#N/A</v>
      </c>
      <c r="Y1418" s="7" t="e">
        <f>IF(VLOOKUP($A1418,'Concrete Beam Schedule'!$A$2:$Q$2902,Y$2,0)&lt;&gt;I1418,"Beam Revised","")</f>
        <v>#N/A</v>
      </c>
      <c r="Z1418" s="7" t="e">
        <f>IF(VLOOKUP($A1418,'Concrete Beam Schedule'!$A$2:$Q$2902,Z$2,0)&lt;&gt;J1418,"Beam Revised","")</f>
        <v>#N/A</v>
      </c>
      <c r="AA1418" s="7" t="e">
        <f>IF(VLOOKUP($A1418,'Concrete Beam Schedule'!$A$2:$Q$2902,AA$2,0)&lt;&gt;K1418,"Beam Revised","")</f>
        <v>#N/A</v>
      </c>
      <c r="AB1418" s="7" t="e">
        <f>IF(VLOOKUP($A1418,'Concrete Beam Schedule'!$A$2:$Q$2902,AB$2,0)&lt;&gt;L1418,"Beam Revised","")</f>
        <v>#N/A</v>
      </c>
      <c r="AC1418" s="7" t="e">
        <f>IF(VLOOKUP($A1418,'Concrete Beam Schedule'!$A$2:$Q$2902,AC$2,0)&lt;&gt;M1418,"Beam Revised","")</f>
        <v>#N/A</v>
      </c>
      <c r="AD1418" s="7" t="e">
        <f>IF(VLOOKUP($A1418,'Concrete Beam Schedule'!$A$2:$Q$2902,AD$2,0)&lt;&gt;N1418,"Beam Revised","")</f>
        <v>#N/A</v>
      </c>
      <c r="AE1418" s="7" t="e">
        <f>IF(VLOOKUP($A1418,'Concrete Beam Schedule'!$A$2:$Q$2902,AE$2,0)&lt;&gt;O1418,"Beam Revised","")</f>
        <v>#N/A</v>
      </c>
    </row>
    <row r="1419" spans="17:31" ht="20.100000000000001" customHeight="1" x14ac:dyDescent="0.25">
      <c r="Q1419" s="7">
        <f t="shared" si="22"/>
        <v>0</v>
      </c>
      <c r="R1419" s="7" t="e">
        <f>IF(VLOOKUP($A1419,'Concrete Beam Schedule'!$A$2:$Q$2902,R$2,0)&lt;&gt;B1419,VLOOKUP($A1419,'Concrete Beam Schedule'!$A$2:$Q$2902,R$2,0),"")</f>
        <v>#N/A</v>
      </c>
      <c r="S1419" s="7" t="e">
        <f>IF(VLOOKUP($A1419,'Concrete Beam Schedule'!$A$2:$Q$2902,S$2,0)&lt;&gt;C1419,VLOOKUP($A1419,'Concrete Beam Schedule'!$A$2:$Q$2902,S$2,0),"")</f>
        <v>#N/A</v>
      </c>
      <c r="T1419" s="7" t="e">
        <f>IF(VLOOKUP($A1419,'Concrete Beam Schedule'!$A$2:$Q$2902,T$2,0)&lt;&gt;D1419,"Beam Revised","")</f>
        <v>#N/A</v>
      </c>
      <c r="U1419" s="7" t="e">
        <f>IF(VLOOKUP($A1419,'Concrete Beam Schedule'!$A$2:$Q$2902,U$2,0)&lt;&gt;E1419,"Beam Revised","")</f>
        <v>#N/A</v>
      </c>
      <c r="V1419" s="7" t="e">
        <f>IF(VLOOKUP($A1419,'Concrete Beam Schedule'!$A$2:$Q$2902,V$2,0)&lt;&gt;F1419,"Beam Revised","")</f>
        <v>#N/A</v>
      </c>
      <c r="W1419" s="7" t="e">
        <f>IF(VLOOKUP($A1419,'Concrete Beam Schedule'!$A$2:$Q$2902,W$2,0)&lt;&gt;G1419,"Beam Revised","")</f>
        <v>#N/A</v>
      </c>
      <c r="X1419" s="7" t="e">
        <f>IF(VLOOKUP($A1419,'Concrete Beam Schedule'!$A$2:$Q$2902,X$2,0)&lt;&gt;H1419,"Beam Revised","")</f>
        <v>#N/A</v>
      </c>
      <c r="Y1419" s="7" t="e">
        <f>IF(VLOOKUP($A1419,'Concrete Beam Schedule'!$A$2:$Q$2902,Y$2,0)&lt;&gt;I1419,"Beam Revised","")</f>
        <v>#N/A</v>
      </c>
      <c r="Z1419" s="7" t="e">
        <f>IF(VLOOKUP($A1419,'Concrete Beam Schedule'!$A$2:$Q$2902,Z$2,0)&lt;&gt;J1419,"Beam Revised","")</f>
        <v>#N/A</v>
      </c>
      <c r="AA1419" s="7" t="e">
        <f>IF(VLOOKUP($A1419,'Concrete Beam Schedule'!$A$2:$Q$2902,AA$2,0)&lt;&gt;K1419,"Beam Revised","")</f>
        <v>#N/A</v>
      </c>
      <c r="AB1419" s="7" t="e">
        <f>IF(VLOOKUP($A1419,'Concrete Beam Schedule'!$A$2:$Q$2902,AB$2,0)&lt;&gt;L1419,"Beam Revised","")</f>
        <v>#N/A</v>
      </c>
      <c r="AC1419" s="7" t="e">
        <f>IF(VLOOKUP($A1419,'Concrete Beam Schedule'!$A$2:$Q$2902,AC$2,0)&lt;&gt;M1419,"Beam Revised","")</f>
        <v>#N/A</v>
      </c>
      <c r="AD1419" s="7" t="e">
        <f>IF(VLOOKUP($A1419,'Concrete Beam Schedule'!$A$2:$Q$2902,AD$2,0)&lt;&gt;N1419,"Beam Revised","")</f>
        <v>#N/A</v>
      </c>
      <c r="AE1419" s="7" t="e">
        <f>IF(VLOOKUP($A1419,'Concrete Beam Schedule'!$A$2:$Q$2902,AE$2,0)&lt;&gt;O1419,"Beam Revised","")</f>
        <v>#N/A</v>
      </c>
    </row>
    <row r="1420" spans="17:31" ht="20.100000000000001" customHeight="1" x14ac:dyDescent="0.25">
      <c r="Q1420" s="7">
        <f t="shared" si="22"/>
        <v>0</v>
      </c>
      <c r="R1420" s="7" t="e">
        <f>IF(VLOOKUP($A1420,'Concrete Beam Schedule'!$A$2:$Q$2902,R$2,0)&lt;&gt;B1420,VLOOKUP($A1420,'Concrete Beam Schedule'!$A$2:$Q$2902,R$2,0),"")</f>
        <v>#N/A</v>
      </c>
      <c r="S1420" s="7" t="e">
        <f>IF(VLOOKUP($A1420,'Concrete Beam Schedule'!$A$2:$Q$2902,S$2,0)&lt;&gt;C1420,VLOOKUP($A1420,'Concrete Beam Schedule'!$A$2:$Q$2902,S$2,0),"")</f>
        <v>#N/A</v>
      </c>
      <c r="T1420" s="7" t="e">
        <f>IF(VLOOKUP($A1420,'Concrete Beam Schedule'!$A$2:$Q$2902,T$2,0)&lt;&gt;D1420,"Beam Revised","")</f>
        <v>#N/A</v>
      </c>
      <c r="U1420" s="7" t="e">
        <f>IF(VLOOKUP($A1420,'Concrete Beam Schedule'!$A$2:$Q$2902,U$2,0)&lt;&gt;E1420,"Beam Revised","")</f>
        <v>#N/A</v>
      </c>
      <c r="V1420" s="7" t="e">
        <f>IF(VLOOKUP($A1420,'Concrete Beam Schedule'!$A$2:$Q$2902,V$2,0)&lt;&gt;F1420,"Beam Revised","")</f>
        <v>#N/A</v>
      </c>
      <c r="W1420" s="7" t="e">
        <f>IF(VLOOKUP($A1420,'Concrete Beam Schedule'!$A$2:$Q$2902,W$2,0)&lt;&gt;G1420,"Beam Revised","")</f>
        <v>#N/A</v>
      </c>
      <c r="X1420" s="7" t="e">
        <f>IF(VLOOKUP($A1420,'Concrete Beam Schedule'!$A$2:$Q$2902,X$2,0)&lt;&gt;H1420,"Beam Revised","")</f>
        <v>#N/A</v>
      </c>
      <c r="Y1420" s="7" t="e">
        <f>IF(VLOOKUP($A1420,'Concrete Beam Schedule'!$A$2:$Q$2902,Y$2,0)&lt;&gt;I1420,"Beam Revised","")</f>
        <v>#N/A</v>
      </c>
      <c r="Z1420" s="7" t="e">
        <f>IF(VLOOKUP($A1420,'Concrete Beam Schedule'!$A$2:$Q$2902,Z$2,0)&lt;&gt;J1420,"Beam Revised","")</f>
        <v>#N/A</v>
      </c>
      <c r="AA1420" s="7" t="e">
        <f>IF(VLOOKUP($A1420,'Concrete Beam Schedule'!$A$2:$Q$2902,AA$2,0)&lt;&gt;K1420,"Beam Revised","")</f>
        <v>#N/A</v>
      </c>
      <c r="AB1420" s="7" t="e">
        <f>IF(VLOOKUP($A1420,'Concrete Beam Schedule'!$A$2:$Q$2902,AB$2,0)&lt;&gt;L1420,"Beam Revised","")</f>
        <v>#N/A</v>
      </c>
      <c r="AC1420" s="7" t="e">
        <f>IF(VLOOKUP($A1420,'Concrete Beam Schedule'!$A$2:$Q$2902,AC$2,0)&lt;&gt;M1420,"Beam Revised","")</f>
        <v>#N/A</v>
      </c>
      <c r="AD1420" s="7" t="e">
        <f>IF(VLOOKUP($A1420,'Concrete Beam Schedule'!$A$2:$Q$2902,AD$2,0)&lt;&gt;N1420,"Beam Revised","")</f>
        <v>#N/A</v>
      </c>
      <c r="AE1420" s="7" t="e">
        <f>IF(VLOOKUP($A1420,'Concrete Beam Schedule'!$A$2:$Q$2902,AE$2,0)&lt;&gt;O1420,"Beam Revised","")</f>
        <v>#N/A</v>
      </c>
    </row>
    <row r="1421" spans="17:31" ht="20.100000000000001" customHeight="1" x14ac:dyDescent="0.25">
      <c r="Q1421" s="7">
        <f t="shared" si="22"/>
        <v>0</v>
      </c>
      <c r="R1421" s="7" t="e">
        <f>IF(VLOOKUP($A1421,'Concrete Beam Schedule'!$A$2:$Q$2902,R$2,0)&lt;&gt;B1421,VLOOKUP($A1421,'Concrete Beam Schedule'!$A$2:$Q$2902,R$2,0),"")</f>
        <v>#N/A</v>
      </c>
      <c r="S1421" s="7" t="e">
        <f>IF(VLOOKUP($A1421,'Concrete Beam Schedule'!$A$2:$Q$2902,S$2,0)&lt;&gt;C1421,VLOOKUP($A1421,'Concrete Beam Schedule'!$A$2:$Q$2902,S$2,0),"")</f>
        <v>#N/A</v>
      </c>
      <c r="T1421" s="7" t="e">
        <f>IF(VLOOKUP($A1421,'Concrete Beam Schedule'!$A$2:$Q$2902,T$2,0)&lt;&gt;D1421,"Beam Revised","")</f>
        <v>#N/A</v>
      </c>
      <c r="U1421" s="7" t="e">
        <f>IF(VLOOKUP($A1421,'Concrete Beam Schedule'!$A$2:$Q$2902,U$2,0)&lt;&gt;E1421,"Beam Revised","")</f>
        <v>#N/A</v>
      </c>
      <c r="V1421" s="7" t="e">
        <f>IF(VLOOKUP($A1421,'Concrete Beam Schedule'!$A$2:$Q$2902,V$2,0)&lt;&gt;F1421,"Beam Revised","")</f>
        <v>#N/A</v>
      </c>
      <c r="W1421" s="7" t="e">
        <f>IF(VLOOKUP($A1421,'Concrete Beam Schedule'!$A$2:$Q$2902,W$2,0)&lt;&gt;G1421,"Beam Revised","")</f>
        <v>#N/A</v>
      </c>
      <c r="X1421" s="7" t="e">
        <f>IF(VLOOKUP($A1421,'Concrete Beam Schedule'!$A$2:$Q$2902,X$2,0)&lt;&gt;H1421,"Beam Revised","")</f>
        <v>#N/A</v>
      </c>
      <c r="Y1421" s="7" t="e">
        <f>IF(VLOOKUP($A1421,'Concrete Beam Schedule'!$A$2:$Q$2902,Y$2,0)&lt;&gt;I1421,"Beam Revised","")</f>
        <v>#N/A</v>
      </c>
      <c r="Z1421" s="7" t="e">
        <f>IF(VLOOKUP($A1421,'Concrete Beam Schedule'!$A$2:$Q$2902,Z$2,0)&lt;&gt;J1421,"Beam Revised","")</f>
        <v>#N/A</v>
      </c>
      <c r="AA1421" s="7" t="e">
        <f>IF(VLOOKUP($A1421,'Concrete Beam Schedule'!$A$2:$Q$2902,AA$2,0)&lt;&gt;K1421,"Beam Revised","")</f>
        <v>#N/A</v>
      </c>
      <c r="AB1421" s="7" t="e">
        <f>IF(VLOOKUP($A1421,'Concrete Beam Schedule'!$A$2:$Q$2902,AB$2,0)&lt;&gt;L1421,"Beam Revised","")</f>
        <v>#N/A</v>
      </c>
      <c r="AC1421" s="7" t="e">
        <f>IF(VLOOKUP($A1421,'Concrete Beam Schedule'!$A$2:$Q$2902,AC$2,0)&lt;&gt;M1421,"Beam Revised","")</f>
        <v>#N/A</v>
      </c>
      <c r="AD1421" s="7" t="e">
        <f>IF(VLOOKUP($A1421,'Concrete Beam Schedule'!$A$2:$Q$2902,AD$2,0)&lt;&gt;N1421,"Beam Revised","")</f>
        <v>#N/A</v>
      </c>
      <c r="AE1421" s="7" t="e">
        <f>IF(VLOOKUP($A1421,'Concrete Beam Schedule'!$A$2:$Q$2902,AE$2,0)&lt;&gt;O1421,"Beam Revised","")</f>
        <v>#N/A</v>
      </c>
    </row>
    <row r="1422" spans="17:31" ht="20.100000000000001" customHeight="1" x14ac:dyDescent="0.25">
      <c r="Q1422" s="7">
        <f t="shared" si="22"/>
        <v>0</v>
      </c>
      <c r="R1422" s="7" t="e">
        <f>IF(VLOOKUP($A1422,'Concrete Beam Schedule'!$A$2:$Q$2902,R$2,0)&lt;&gt;B1422,VLOOKUP($A1422,'Concrete Beam Schedule'!$A$2:$Q$2902,R$2,0),"")</f>
        <v>#N/A</v>
      </c>
      <c r="S1422" s="7" t="e">
        <f>IF(VLOOKUP($A1422,'Concrete Beam Schedule'!$A$2:$Q$2902,S$2,0)&lt;&gt;C1422,VLOOKUP($A1422,'Concrete Beam Schedule'!$A$2:$Q$2902,S$2,0),"")</f>
        <v>#N/A</v>
      </c>
      <c r="T1422" s="7" t="e">
        <f>IF(VLOOKUP($A1422,'Concrete Beam Schedule'!$A$2:$Q$2902,T$2,0)&lt;&gt;D1422,"Beam Revised","")</f>
        <v>#N/A</v>
      </c>
      <c r="U1422" s="7" t="e">
        <f>IF(VLOOKUP($A1422,'Concrete Beam Schedule'!$A$2:$Q$2902,U$2,0)&lt;&gt;E1422,"Beam Revised","")</f>
        <v>#N/A</v>
      </c>
      <c r="V1422" s="7" t="e">
        <f>IF(VLOOKUP($A1422,'Concrete Beam Schedule'!$A$2:$Q$2902,V$2,0)&lt;&gt;F1422,"Beam Revised","")</f>
        <v>#N/A</v>
      </c>
      <c r="W1422" s="7" t="e">
        <f>IF(VLOOKUP($A1422,'Concrete Beam Schedule'!$A$2:$Q$2902,W$2,0)&lt;&gt;G1422,"Beam Revised","")</f>
        <v>#N/A</v>
      </c>
      <c r="X1422" s="7" t="e">
        <f>IF(VLOOKUP($A1422,'Concrete Beam Schedule'!$A$2:$Q$2902,X$2,0)&lt;&gt;H1422,"Beam Revised","")</f>
        <v>#N/A</v>
      </c>
      <c r="Y1422" s="7" t="e">
        <f>IF(VLOOKUP($A1422,'Concrete Beam Schedule'!$A$2:$Q$2902,Y$2,0)&lt;&gt;I1422,"Beam Revised","")</f>
        <v>#N/A</v>
      </c>
      <c r="Z1422" s="7" t="e">
        <f>IF(VLOOKUP($A1422,'Concrete Beam Schedule'!$A$2:$Q$2902,Z$2,0)&lt;&gt;J1422,"Beam Revised","")</f>
        <v>#N/A</v>
      </c>
      <c r="AA1422" s="7" t="e">
        <f>IF(VLOOKUP($A1422,'Concrete Beam Schedule'!$A$2:$Q$2902,AA$2,0)&lt;&gt;K1422,"Beam Revised","")</f>
        <v>#N/A</v>
      </c>
      <c r="AB1422" s="7" t="e">
        <f>IF(VLOOKUP($A1422,'Concrete Beam Schedule'!$A$2:$Q$2902,AB$2,0)&lt;&gt;L1422,"Beam Revised","")</f>
        <v>#N/A</v>
      </c>
      <c r="AC1422" s="7" t="e">
        <f>IF(VLOOKUP($A1422,'Concrete Beam Schedule'!$A$2:$Q$2902,AC$2,0)&lt;&gt;M1422,"Beam Revised","")</f>
        <v>#N/A</v>
      </c>
      <c r="AD1422" s="7" t="e">
        <f>IF(VLOOKUP($A1422,'Concrete Beam Schedule'!$A$2:$Q$2902,AD$2,0)&lt;&gt;N1422,"Beam Revised","")</f>
        <v>#N/A</v>
      </c>
      <c r="AE1422" s="7" t="e">
        <f>IF(VLOOKUP($A1422,'Concrete Beam Schedule'!$A$2:$Q$2902,AE$2,0)&lt;&gt;O1422,"Beam Revised","")</f>
        <v>#N/A</v>
      </c>
    </row>
    <row r="1423" spans="17:31" ht="20.100000000000001" customHeight="1" x14ac:dyDescent="0.25">
      <c r="Q1423" s="7">
        <f t="shared" si="22"/>
        <v>0</v>
      </c>
      <c r="R1423" s="7" t="e">
        <f>IF(VLOOKUP($A1423,'Concrete Beam Schedule'!$A$2:$Q$2902,R$2,0)&lt;&gt;B1423,VLOOKUP($A1423,'Concrete Beam Schedule'!$A$2:$Q$2902,R$2,0),"")</f>
        <v>#N/A</v>
      </c>
      <c r="S1423" s="7" t="e">
        <f>IF(VLOOKUP($A1423,'Concrete Beam Schedule'!$A$2:$Q$2902,S$2,0)&lt;&gt;C1423,VLOOKUP($A1423,'Concrete Beam Schedule'!$A$2:$Q$2902,S$2,0),"")</f>
        <v>#N/A</v>
      </c>
      <c r="T1423" s="7" t="e">
        <f>IF(VLOOKUP($A1423,'Concrete Beam Schedule'!$A$2:$Q$2902,T$2,0)&lt;&gt;D1423,"Beam Revised","")</f>
        <v>#N/A</v>
      </c>
      <c r="U1423" s="7" t="e">
        <f>IF(VLOOKUP($A1423,'Concrete Beam Schedule'!$A$2:$Q$2902,U$2,0)&lt;&gt;E1423,"Beam Revised","")</f>
        <v>#N/A</v>
      </c>
      <c r="V1423" s="7" t="e">
        <f>IF(VLOOKUP($A1423,'Concrete Beam Schedule'!$A$2:$Q$2902,V$2,0)&lt;&gt;F1423,"Beam Revised","")</f>
        <v>#N/A</v>
      </c>
      <c r="W1423" s="7" t="e">
        <f>IF(VLOOKUP($A1423,'Concrete Beam Schedule'!$A$2:$Q$2902,W$2,0)&lt;&gt;G1423,"Beam Revised","")</f>
        <v>#N/A</v>
      </c>
      <c r="X1423" s="7" t="e">
        <f>IF(VLOOKUP($A1423,'Concrete Beam Schedule'!$A$2:$Q$2902,X$2,0)&lt;&gt;H1423,"Beam Revised","")</f>
        <v>#N/A</v>
      </c>
      <c r="Y1423" s="7" t="e">
        <f>IF(VLOOKUP($A1423,'Concrete Beam Schedule'!$A$2:$Q$2902,Y$2,0)&lt;&gt;I1423,"Beam Revised","")</f>
        <v>#N/A</v>
      </c>
      <c r="Z1423" s="7" t="e">
        <f>IF(VLOOKUP($A1423,'Concrete Beam Schedule'!$A$2:$Q$2902,Z$2,0)&lt;&gt;J1423,"Beam Revised","")</f>
        <v>#N/A</v>
      </c>
      <c r="AA1423" s="7" t="e">
        <f>IF(VLOOKUP($A1423,'Concrete Beam Schedule'!$A$2:$Q$2902,AA$2,0)&lt;&gt;K1423,"Beam Revised","")</f>
        <v>#N/A</v>
      </c>
      <c r="AB1423" s="7" t="e">
        <f>IF(VLOOKUP($A1423,'Concrete Beam Schedule'!$A$2:$Q$2902,AB$2,0)&lt;&gt;L1423,"Beam Revised","")</f>
        <v>#N/A</v>
      </c>
      <c r="AC1423" s="7" t="e">
        <f>IF(VLOOKUP($A1423,'Concrete Beam Schedule'!$A$2:$Q$2902,AC$2,0)&lt;&gt;M1423,"Beam Revised","")</f>
        <v>#N/A</v>
      </c>
      <c r="AD1423" s="7" t="e">
        <f>IF(VLOOKUP($A1423,'Concrete Beam Schedule'!$A$2:$Q$2902,AD$2,0)&lt;&gt;N1423,"Beam Revised","")</f>
        <v>#N/A</v>
      </c>
      <c r="AE1423" s="7" t="e">
        <f>IF(VLOOKUP($A1423,'Concrete Beam Schedule'!$A$2:$Q$2902,AE$2,0)&lt;&gt;O1423,"Beam Revised","")</f>
        <v>#N/A</v>
      </c>
    </row>
    <row r="1424" spans="17:31" ht="20.100000000000001" customHeight="1" x14ac:dyDescent="0.25">
      <c r="Q1424" s="7">
        <f t="shared" si="22"/>
        <v>0</v>
      </c>
      <c r="R1424" s="7" t="e">
        <f>IF(VLOOKUP($A1424,'Concrete Beam Schedule'!$A$2:$Q$2902,R$2,0)&lt;&gt;B1424,VLOOKUP($A1424,'Concrete Beam Schedule'!$A$2:$Q$2902,R$2,0),"")</f>
        <v>#N/A</v>
      </c>
      <c r="S1424" s="7" t="e">
        <f>IF(VLOOKUP($A1424,'Concrete Beam Schedule'!$A$2:$Q$2902,S$2,0)&lt;&gt;C1424,VLOOKUP($A1424,'Concrete Beam Schedule'!$A$2:$Q$2902,S$2,0),"")</f>
        <v>#N/A</v>
      </c>
      <c r="T1424" s="7" t="e">
        <f>IF(VLOOKUP($A1424,'Concrete Beam Schedule'!$A$2:$Q$2902,T$2,0)&lt;&gt;D1424,"Beam Revised","")</f>
        <v>#N/A</v>
      </c>
      <c r="U1424" s="7" t="e">
        <f>IF(VLOOKUP($A1424,'Concrete Beam Schedule'!$A$2:$Q$2902,U$2,0)&lt;&gt;E1424,"Beam Revised","")</f>
        <v>#N/A</v>
      </c>
      <c r="V1424" s="7" t="e">
        <f>IF(VLOOKUP($A1424,'Concrete Beam Schedule'!$A$2:$Q$2902,V$2,0)&lt;&gt;F1424,"Beam Revised","")</f>
        <v>#N/A</v>
      </c>
      <c r="W1424" s="7" t="e">
        <f>IF(VLOOKUP($A1424,'Concrete Beam Schedule'!$A$2:$Q$2902,W$2,0)&lt;&gt;G1424,"Beam Revised","")</f>
        <v>#N/A</v>
      </c>
      <c r="X1424" s="7" t="e">
        <f>IF(VLOOKUP($A1424,'Concrete Beam Schedule'!$A$2:$Q$2902,X$2,0)&lt;&gt;H1424,"Beam Revised","")</f>
        <v>#N/A</v>
      </c>
      <c r="Y1424" s="7" t="e">
        <f>IF(VLOOKUP($A1424,'Concrete Beam Schedule'!$A$2:$Q$2902,Y$2,0)&lt;&gt;I1424,"Beam Revised","")</f>
        <v>#N/A</v>
      </c>
      <c r="Z1424" s="7" t="e">
        <f>IF(VLOOKUP($A1424,'Concrete Beam Schedule'!$A$2:$Q$2902,Z$2,0)&lt;&gt;J1424,"Beam Revised","")</f>
        <v>#N/A</v>
      </c>
      <c r="AA1424" s="7" t="e">
        <f>IF(VLOOKUP($A1424,'Concrete Beam Schedule'!$A$2:$Q$2902,AA$2,0)&lt;&gt;K1424,"Beam Revised","")</f>
        <v>#N/A</v>
      </c>
      <c r="AB1424" s="7" t="e">
        <f>IF(VLOOKUP($A1424,'Concrete Beam Schedule'!$A$2:$Q$2902,AB$2,0)&lt;&gt;L1424,"Beam Revised","")</f>
        <v>#N/A</v>
      </c>
      <c r="AC1424" s="7" t="e">
        <f>IF(VLOOKUP($A1424,'Concrete Beam Schedule'!$A$2:$Q$2902,AC$2,0)&lt;&gt;M1424,"Beam Revised","")</f>
        <v>#N/A</v>
      </c>
      <c r="AD1424" s="7" t="e">
        <f>IF(VLOOKUP($A1424,'Concrete Beam Schedule'!$A$2:$Q$2902,AD$2,0)&lt;&gt;N1424,"Beam Revised","")</f>
        <v>#N/A</v>
      </c>
      <c r="AE1424" s="7" t="e">
        <f>IF(VLOOKUP($A1424,'Concrete Beam Schedule'!$A$2:$Q$2902,AE$2,0)&lt;&gt;O1424,"Beam Revised","")</f>
        <v>#N/A</v>
      </c>
    </row>
    <row r="1425" spans="17:31" ht="20.100000000000001" customHeight="1" x14ac:dyDescent="0.25">
      <c r="Q1425" s="7">
        <f t="shared" si="22"/>
        <v>0</v>
      </c>
      <c r="R1425" s="7" t="e">
        <f>IF(VLOOKUP($A1425,'Concrete Beam Schedule'!$A$2:$Q$2902,R$2,0)&lt;&gt;B1425,VLOOKUP($A1425,'Concrete Beam Schedule'!$A$2:$Q$2902,R$2,0),"")</f>
        <v>#N/A</v>
      </c>
      <c r="S1425" s="7" t="e">
        <f>IF(VLOOKUP($A1425,'Concrete Beam Schedule'!$A$2:$Q$2902,S$2,0)&lt;&gt;C1425,VLOOKUP($A1425,'Concrete Beam Schedule'!$A$2:$Q$2902,S$2,0),"")</f>
        <v>#N/A</v>
      </c>
      <c r="T1425" s="7" t="e">
        <f>IF(VLOOKUP($A1425,'Concrete Beam Schedule'!$A$2:$Q$2902,T$2,0)&lt;&gt;D1425,"Beam Revised","")</f>
        <v>#N/A</v>
      </c>
      <c r="U1425" s="7" t="e">
        <f>IF(VLOOKUP($A1425,'Concrete Beam Schedule'!$A$2:$Q$2902,U$2,0)&lt;&gt;E1425,"Beam Revised","")</f>
        <v>#N/A</v>
      </c>
      <c r="V1425" s="7" t="e">
        <f>IF(VLOOKUP($A1425,'Concrete Beam Schedule'!$A$2:$Q$2902,V$2,0)&lt;&gt;F1425,"Beam Revised","")</f>
        <v>#N/A</v>
      </c>
      <c r="W1425" s="7" t="e">
        <f>IF(VLOOKUP($A1425,'Concrete Beam Schedule'!$A$2:$Q$2902,W$2,0)&lt;&gt;G1425,"Beam Revised","")</f>
        <v>#N/A</v>
      </c>
      <c r="X1425" s="7" t="e">
        <f>IF(VLOOKUP($A1425,'Concrete Beam Schedule'!$A$2:$Q$2902,X$2,0)&lt;&gt;H1425,"Beam Revised","")</f>
        <v>#N/A</v>
      </c>
      <c r="Y1425" s="7" t="e">
        <f>IF(VLOOKUP($A1425,'Concrete Beam Schedule'!$A$2:$Q$2902,Y$2,0)&lt;&gt;I1425,"Beam Revised","")</f>
        <v>#N/A</v>
      </c>
      <c r="Z1425" s="7" t="e">
        <f>IF(VLOOKUP($A1425,'Concrete Beam Schedule'!$A$2:$Q$2902,Z$2,0)&lt;&gt;J1425,"Beam Revised","")</f>
        <v>#N/A</v>
      </c>
      <c r="AA1425" s="7" t="e">
        <f>IF(VLOOKUP($A1425,'Concrete Beam Schedule'!$A$2:$Q$2902,AA$2,0)&lt;&gt;K1425,"Beam Revised","")</f>
        <v>#N/A</v>
      </c>
      <c r="AB1425" s="7" t="e">
        <f>IF(VLOOKUP($A1425,'Concrete Beam Schedule'!$A$2:$Q$2902,AB$2,0)&lt;&gt;L1425,"Beam Revised","")</f>
        <v>#N/A</v>
      </c>
      <c r="AC1425" s="7" t="e">
        <f>IF(VLOOKUP($A1425,'Concrete Beam Schedule'!$A$2:$Q$2902,AC$2,0)&lt;&gt;M1425,"Beam Revised","")</f>
        <v>#N/A</v>
      </c>
      <c r="AD1425" s="7" t="e">
        <f>IF(VLOOKUP($A1425,'Concrete Beam Schedule'!$A$2:$Q$2902,AD$2,0)&lt;&gt;N1425,"Beam Revised","")</f>
        <v>#N/A</v>
      </c>
      <c r="AE1425" s="7" t="e">
        <f>IF(VLOOKUP($A1425,'Concrete Beam Schedule'!$A$2:$Q$2902,AE$2,0)&lt;&gt;O1425,"Beam Revised","")</f>
        <v>#N/A</v>
      </c>
    </row>
    <row r="1426" spans="17:31" ht="20.100000000000001" customHeight="1" x14ac:dyDescent="0.25">
      <c r="Q1426" s="7">
        <f t="shared" si="22"/>
        <v>0</v>
      </c>
      <c r="R1426" s="7" t="e">
        <f>IF(VLOOKUP($A1426,'Concrete Beam Schedule'!$A$2:$Q$2902,R$2,0)&lt;&gt;B1426,VLOOKUP($A1426,'Concrete Beam Schedule'!$A$2:$Q$2902,R$2,0),"")</f>
        <v>#N/A</v>
      </c>
      <c r="S1426" s="7" t="e">
        <f>IF(VLOOKUP($A1426,'Concrete Beam Schedule'!$A$2:$Q$2902,S$2,0)&lt;&gt;C1426,VLOOKUP($A1426,'Concrete Beam Schedule'!$A$2:$Q$2902,S$2,0),"")</f>
        <v>#N/A</v>
      </c>
      <c r="T1426" s="7" t="e">
        <f>IF(VLOOKUP($A1426,'Concrete Beam Schedule'!$A$2:$Q$2902,T$2,0)&lt;&gt;D1426,"Beam Revised","")</f>
        <v>#N/A</v>
      </c>
      <c r="U1426" s="7" t="e">
        <f>IF(VLOOKUP($A1426,'Concrete Beam Schedule'!$A$2:$Q$2902,U$2,0)&lt;&gt;E1426,"Beam Revised","")</f>
        <v>#N/A</v>
      </c>
      <c r="V1426" s="7" t="e">
        <f>IF(VLOOKUP($A1426,'Concrete Beam Schedule'!$A$2:$Q$2902,V$2,0)&lt;&gt;F1426,"Beam Revised","")</f>
        <v>#N/A</v>
      </c>
      <c r="W1426" s="7" t="e">
        <f>IF(VLOOKUP($A1426,'Concrete Beam Schedule'!$A$2:$Q$2902,W$2,0)&lt;&gt;G1426,"Beam Revised","")</f>
        <v>#N/A</v>
      </c>
      <c r="X1426" s="7" t="e">
        <f>IF(VLOOKUP($A1426,'Concrete Beam Schedule'!$A$2:$Q$2902,X$2,0)&lt;&gt;H1426,"Beam Revised","")</f>
        <v>#N/A</v>
      </c>
      <c r="Y1426" s="7" t="e">
        <f>IF(VLOOKUP($A1426,'Concrete Beam Schedule'!$A$2:$Q$2902,Y$2,0)&lt;&gt;I1426,"Beam Revised","")</f>
        <v>#N/A</v>
      </c>
      <c r="Z1426" s="7" t="e">
        <f>IF(VLOOKUP($A1426,'Concrete Beam Schedule'!$A$2:$Q$2902,Z$2,0)&lt;&gt;J1426,"Beam Revised","")</f>
        <v>#N/A</v>
      </c>
      <c r="AA1426" s="7" t="e">
        <f>IF(VLOOKUP($A1426,'Concrete Beam Schedule'!$A$2:$Q$2902,AA$2,0)&lt;&gt;K1426,"Beam Revised","")</f>
        <v>#N/A</v>
      </c>
      <c r="AB1426" s="7" t="e">
        <f>IF(VLOOKUP($A1426,'Concrete Beam Schedule'!$A$2:$Q$2902,AB$2,0)&lt;&gt;L1426,"Beam Revised","")</f>
        <v>#N/A</v>
      </c>
      <c r="AC1426" s="7" t="e">
        <f>IF(VLOOKUP($A1426,'Concrete Beam Schedule'!$A$2:$Q$2902,AC$2,0)&lt;&gt;M1426,"Beam Revised","")</f>
        <v>#N/A</v>
      </c>
      <c r="AD1426" s="7" t="e">
        <f>IF(VLOOKUP($A1426,'Concrete Beam Schedule'!$A$2:$Q$2902,AD$2,0)&lt;&gt;N1426,"Beam Revised","")</f>
        <v>#N/A</v>
      </c>
      <c r="AE1426" s="7" t="e">
        <f>IF(VLOOKUP($A1426,'Concrete Beam Schedule'!$A$2:$Q$2902,AE$2,0)&lt;&gt;O1426,"Beam Revised","")</f>
        <v>#N/A</v>
      </c>
    </row>
    <row r="1427" spans="17:31" ht="20.100000000000001" customHeight="1" x14ac:dyDescent="0.25">
      <c r="Q1427" s="7">
        <f t="shared" si="22"/>
        <v>0</v>
      </c>
      <c r="R1427" s="7" t="e">
        <f>IF(VLOOKUP($A1427,'Concrete Beam Schedule'!$A$2:$Q$2902,R$2,0)&lt;&gt;B1427,VLOOKUP($A1427,'Concrete Beam Schedule'!$A$2:$Q$2902,R$2,0),"")</f>
        <v>#N/A</v>
      </c>
      <c r="S1427" s="7" t="e">
        <f>IF(VLOOKUP($A1427,'Concrete Beam Schedule'!$A$2:$Q$2902,S$2,0)&lt;&gt;C1427,VLOOKUP($A1427,'Concrete Beam Schedule'!$A$2:$Q$2902,S$2,0),"")</f>
        <v>#N/A</v>
      </c>
      <c r="T1427" s="7" t="e">
        <f>IF(VLOOKUP($A1427,'Concrete Beam Schedule'!$A$2:$Q$2902,T$2,0)&lt;&gt;D1427,"Beam Revised","")</f>
        <v>#N/A</v>
      </c>
      <c r="U1427" s="7" t="e">
        <f>IF(VLOOKUP($A1427,'Concrete Beam Schedule'!$A$2:$Q$2902,U$2,0)&lt;&gt;E1427,"Beam Revised","")</f>
        <v>#N/A</v>
      </c>
      <c r="V1427" s="7" t="e">
        <f>IF(VLOOKUP($A1427,'Concrete Beam Schedule'!$A$2:$Q$2902,V$2,0)&lt;&gt;F1427,"Beam Revised","")</f>
        <v>#N/A</v>
      </c>
      <c r="W1427" s="7" t="e">
        <f>IF(VLOOKUP($A1427,'Concrete Beam Schedule'!$A$2:$Q$2902,W$2,0)&lt;&gt;G1427,"Beam Revised","")</f>
        <v>#N/A</v>
      </c>
      <c r="X1427" s="7" t="e">
        <f>IF(VLOOKUP($A1427,'Concrete Beam Schedule'!$A$2:$Q$2902,X$2,0)&lt;&gt;H1427,"Beam Revised","")</f>
        <v>#N/A</v>
      </c>
      <c r="Y1427" s="7" t="e">
        <f>IF(VLOOKUP($A1427,'Concrete Beam Schedule'!$A$2:$Q$2902,Y$2,0)&lt;&gt;I1427,"Beam Revised","")</f>
        <v>#N/A</v>
      </c>
      <c r="Z1427" s="7" t="e">
        <f>IF(VLOOKUP($A1427,'Concrete Beam Schedule'!$A$2:$Q$2902,Z$2,0)&lt;&gt;J1427,"Beam Revised","")</f>
        <v>#N/A</v>
      </c>
      <c r="AA1427" s="7" t="e">
        <f>IF(VLOOKUP($A1427,'Concrete Beam Schedule'!$A$2:$Q$2902,AA$2,0)&lt;&gt;K1427,"Beam Revised","")</f>
        <v>#N/A</v>
      </c>
      <c r="AB1427" s="7" t="e">
        <f>IF(VLOOKUP($A1427,'Concrete Beam Schedule'!$A$2:$Q$2902,AB$2,0)&lt;&gt;L1427,"Beam Revised","")</f>
        <v>#N/A</v>
      </c>
      <c r="AC1427" s="7" t="e">
        <f>IF(VLOOKUP($A1427,'Concrete Beam Schedule'!$A$2:$Q$2902,AC$2,0)&lt;&gt;M1427,"Beam Revised","")</f>
        <v>#N/A</v>
      </c>
      <c r="AD1427" s="7" t="e">
        <f>IF(VLOOKUP($A1427,'Concrete Beam Schedule'!$A$2:$Q$2902,AD$2,0)&lt;&gt;N1427,"Beam Revised","")</f>
        <v>#N/A</v>
      </c>
      <c r="AE1427" s="7" t="e">
        <f>IF(VLOOKUP($A1427,'Concrete Beam Schedule'!$A$2:$Q$2902,AE$2,0)&lt;&gt;O1427,"Beam Revised","")</f>
        <v>#N/A</v>
      </c>
    </row>
    <row r="1428" spans="17:31" ht="20.100000000000001" customHeight="1" x14ac:dyDescent="0.25">
      <c r="Q1428" s="7">
        <f t="shared" si="22"/>
        <v>0</v>
      </c>
      <c r="R1428" s="7" t="e">
        <f>IF(VLOOKUP($A1428,'Concrete Beam Schedule'!$A$2:$Q$2902,R$2,0)&lt;&gt;B1428,VLOOKUP($A1428,'Concrete Beam Schedule'!$A$2:$Q$2902,R$2,0),"")</f>
        <v>#N/A</v>
      </c>
      <c r="S1428" s="7" t="e">
        <f>IF(VLOOKUP($A1428,'Concrete Beam Schedule'!$A$2:$Q$2902,S$2,0)&lt;&gt;C1428,VLOOKUP($A1428,'Concrete Beam Schedule'!$A$2:$Q$2902,S$2,0),"")</f>
        <v>#N/A</v>
      </c>
      <c r="T1428" s="7" t="e">
        <f>IF(VLOOKUP($A1428,'Concrete Beam Schedule'!$A$2:$Q$2902,T$2,0)&lt;&gt;D1428,"Beam Revised","")</f>
        <v>#N/A</v>
      </c>
      <c r="U1428" s="7" t="e">
        <f>IF(VLOOKUP($A1428,'Concrete Beam Schedule'!$A$2:$Q$2902,U$2,0)&lt;&gt;E1428,"Beam Revised","")</f>
        <v>#N/A</v>
      </c>
      <c r="V1428" s="7" t="e">
        <f>IF(VLOOKUP($A1428,'Concrete Beam Schedule'!$A$2:$Q$2902,V$2,0)&lt;&gt;F1428,"Beam Revised","")</f>
        <v>#N/A</v>
      </c>
      <c r="W1428" s="7" t="e">
        <f>IF(VLOOKUP($A1428,'Concrete Beam Schedule'!$A$2:$Q$2902,W$2,0)&lt;&gt;G1428,"Beam Revised","")</f>
        <v>#N/A</v>
      </c>
      <c r="X1428" s="7" t="e">
        <f>IF(VLOOKUP($A1428,'Concrete Beam Schedule'!$A$2:$Q$2902,X$2,0)&lt;&gt;H1428,"Beam Revised","")</f>
        <v>#N/A</v>
      </c>
      <c r="Y1428" s="7" t="e">
        <f>IF(VLOOKUP($A1428,'Concrete Beam Schedule'!$A$2:$Q$2902,Y$2,0)&lt;&gt;I1428,"Beam Revised","")</f>
        <v>#N/A</v>
      </c>
      <c r="Z1428" s="7" t="e">
        <f>IF(VLOOKUP($A1428,'Concrete Beam Schedule'!$A$2:$Q$2902,Z$2,0)&lt;&gt;J1428,"Beam Revised","")</f>
        <v>#N/A</v>
      </c>
      <c r="AA1428" s="7" t="e">
        <f>IF(VLOOKUP($A1428,'Concrete Beam Schedule'!$A$2:$Q$2902,AA$2,0)&lt;&gt;K1428,"Beam Revised","")</f>
        <v>#N/A</v>
      </c>
      <c r="AB1428" s="7" t="e">
        <f>IF(VLOOKUP($A1428,'Concrete Beam Schedule'!$A$2:$Q$2902,AB$2,0)&lt;&gt;L1428,"Beam Revised","")</f>
        <v>#N/A</v>
      </c>
      <c r="AC1428" s="7" t="e">
        <f>IF(VLOOKUP($A1428,'Concrete Beam Schedule'!$A$2:$Q$2902,AC$2,0)&lt;&gt;M1428,"Beam Revised","")</f>
        <v>#N/A</v>
      </c>
      <c r="AD1428" s="7" t="e">
        <f>IF(VLOOKUP($A1428,'Concrete Beam Schedule'!$A$2:$Q$2902,AD$2,0)&lt;&gt;N1428,"Beam Revised","")</f>
        <v>#N/A</v>
      </c>
      <c r="AE1428" s="7" t="e">
        <f>IF(VLOOKUP($A1428,'Concrete Beam Schedule'!$A$2:$Q$2902,AE$2,0)&lt;&gt;O1428,"Beam Revised","")</f>
        <v>#N/A</v>
      </c>
    </row>
    <row r="1429" spans="17:31" ht="20.100000000000001" customHeight="1" x14ac:dyDescent="0.25">
      <c r="Q1429" s="7">
        <f t="shared" si="22"/>
        <v>0</v>
      </c>
      <c r="R1429" s="7" t="e">
        <f>IF(VLOOKUP($A1429,'Concrete Beam Schedule'!$A$2:$Q$2902,R$2,0)&lt;&gt;B1429,VLOOKUP($A1429,'Concrete Beam Schedule'!$A$2:$Q$2902,R$2,0),"")</f>
        <v>#N/A</v>
      </c>
      <c r="S1429" s="7" t="e">
        <f>IF(VLOOKUP($A1429,'Concrete Beam Schedule'!$A$2:$Q$2902,S$2,0)&lt;&gt;C1429,VLOOKUP($A1429,'Concrete Beam Schedule'!$A$2:$Q$2902,S$2,0),"")</f>
        <v>#N/A</v>
      </c>
      <c r="T1429" s="7" t="e">
        <f>IF(VLOOKUP($A1429,'Concrete Beam Schedule'!$A$2:$Q$2902,T$2,0)&lt;&gt;D1429,"Beam Revised","")</f>
        <v>#N/A</v>
      </c>
      <c r="U1429" s="7" t="e">
        <f>IF(VLOOKUP($A1429,'Concrete Beam Schedule'!$A$2:$Q$2902,U$2,0)&lt;&gt;E1429,"Beam Revised","")</f>
        <v>#N/A</v>
      </c>
      <c r="V1429" s="7" t="e">
        <f>IF(VLOOKUP($A1429,'Concrete Beam Schedule'!$A$2:$Q$2902,V$2,0)&lt;&gt;F1429,"Beam Revised","")</f>
        <v>#N/A</v>
      </c>
      <c r="W1429" s="7" t="e">
        <f>IF(VLOOKUP($A1429,'Concrete Beam Schedule'!$A$2:$Q$2902,W$2,0)&lt;&gt;G1429,"Beam Revised","")</f>
        <v>#N/A</v>
      </c>
      <c r="X1429" s="7" t="e">
        <f>IF(VLOOKUP($A1429,'Concrete Beam Schedule'!$A$2:$Q$2902,X$2,0)&lt;&gt;H1429,"Beam Revised","")</f>
        <v>#N/A</v>
      </c>
      <c r="Y1429" s="7" t="e">
        <f>IF(VLOOKUP($A1429,'Concrete Beam Schedule'!$A$2:$Q$2902,Y$2,0)&lt;&gt;I1429,"Beam Revised","")</f>
        <v>#N/A</v>
      </c>
      <c r="Z1429" s="7" t="e">
        <f>IF(VLOOKUP($A1429,'Concrete Beam Schedule'!$A$2:$Q$2902,Z$2,0)&lt;&gt;J1429,"Beam Revised","")</f>
        <v>#N/A</v>
      </c>
      <c r="AA1429" s="7" t="e">
        <f>IF(VLOOKUP($A1429,'Concrete Beam Schedule'!$A$2:$Q$2902,AA$2,0)&lt;&gt;K1429,"Beam Revised","")</f>
        <v>#N/A</v>
      </c>
      <c r="AB1429" s="7" t="e">
        <f>IF(VLOOKUP($A1429,'Concrete Beam Schedule'!$A$2:$Q$2902,AB$2,0)&lt;&gt;L1429,"Beam Revised","")</f>
        <v>#N/A</v>
      </c>
      <c r="AC1429" s="7" t="e">
        <f>IF(VLOOKUP($A1429,'Concrete Beam Schedule'!$A$2:$Q$2902,AC$2,0)&lt;&gt;M1429,"Beam Revised","")</f>
        <v>#N/A</v>
      </c>
      <c r="AD1429" s="7" t="e">
        <f>IF(VLOOKUP($A1429,'Concrete Beam Schedule'!$A$2:$Q$2902,AD$2,0)&lt;&gt;N1429,"Beam Revised","")</f>
        <v>#N/A</v>
      </c>
      <c r="AE1429" s="7" t="e">
        <f>IF(VLOOKUP($A1429,'Concrete Beam Schedule'!$A$2:$Q$2902,AE$2,0)&lt;&gt;O1429,"Beam Revised","")</f>
        <v>#N/A</v>
      </c>
    </row>
    <row r="1430" spans="17:31" ht="20.100000000000001" customHeight="1" x14ac:dyDescent="0.25">
      <c r="Q1430" s="7">
        <f t="shared" si="22"/>
        <v>0</v>
      </c>
      <c r="R1430" s="7" t="e">
        <f>IF(VLOOKUP($A1430,'Concrete Beam Schedule'!$A$2:$Q$2902,R$2,0)&lt;&gt;B1430,VLOOKUP($A1430,'Concrete Beam Schedule'!$A$2:$Q$2902,R$2,0),"")</f>
        <v>#N/A</v>
      </c>
      <c r="S1430" s="7" t="e">
        <f>IF(VLOOKUP($A1430,'Concrete Beam Schedule'!$A$2:$Q$2902,S$2,0)&lt;&gt;C1430,VLOOKUP($A1430,'Concrete Beam Schedule'!$A$2:$Q$2902,S$2,0),"")</f>
        <v>#N/A</v>
      </c>
      <c r="T1430" s="7" t="e">
        <f>IF(VLOOKUP($A1430,'Concrete Beam Schedule'!$A$2:$Q$2902,T$2,0)&lt;&gt;D1430,"Beam Revised","")</f>
        <v>#N/A</v>
      </c>
      <c r="U1430" s="7" t="e">
        <f>IF(VLOOKUP($A1430,'Concrete Beam Schedule'!$A$2:$Q$2902,U$2,0)&lt;&gt;E1430,"Beam Revised","")</f>
        <v>#N/A</v>
      </c>
      <c r="V1430" s="7" t="e">
        <f>IF(VLOOKUP($A1430,'Concrete Beam Schedule'!$A$2:$Q$2902,V$2,0)&lt;&gt;F1430,"Beam Revised","")</f>
        <v>#N/A</v>
      </c>
      <c r="W1430" s="7" t="e">
        <f>IF(VLOOKUP($A1430,'Concrete Beam Schedule'!$A$2:$Q$2902,W$2,0)&lt;&gt;G1430,"Beam Revised","")</f>
        <v>#N/A</v>
      </c>
      <c r="X1430" s="7" t="e">
        <f>IF(VLOOKUP($A1430,'Concrete Beam Schedule'!$A$2:$Q$2902,X$2,0)&lt;&gt;H1430,"Beam Revised","")</f>
        <v>#N/A</v>
      </c>
      <c r="Y1430" s="7" t="e">
        <f>IF(VLOOKUP($A1430,'Concrete Beam Schedule'!$A$2:$Q$2902,Y$2,0)&lt;&gt;I1430,"Beam Revised","")</f>
        <v>#N/A</v>
      </c>
      <c r="Z1430" s="7" t="e">
        <f>IF(VLOOKUP($A1430,'Concrete Beam Schedule'!$A$2:$Q$2902,Z$2,0)&lt;&gt;J1430,"Beam Revised","")</f>
        <v>#N/A</v>
      </c>
      <c r="AA1430" s="7" t="e">
        <f>IF(VLOOKUP($A1430,'Concrete Beam Schedule'!$A$2:$Q$2902,AA$2,0)&lt;&gt;K1430,"Beam Revised","")</f>
        <v>#N/A</v>
      </c>
      <c r="AB1430" s="7" t="e">
        <f>IF(VLOOKUP($A1430,'Concrete Beam Schedule'!$A$2:$Q$2902,AB$2,0)&lt;&gt;L1430,"Beam Revised","")</f>
        <v>#N/A</v>
      </c>
      <c r="AC1430" s="7" t="e">
        <f>IF(VLOOKUP($A1430,'Concrete Beam Schedule'!$A$2:$Q$2902,AC$2,0)&lt;&gt;M1430,"Beam Revised","")</f>
        <v>#N/A</v>
      </c>
      <c r="AD1430" s="7" t="e">
        <f>IF(VLOOKUP($A1430,'Concrete Beam Schedule'!$A$2:$Q$2902,AD$2,0)&lt;&gt;N1430,"Beam Revised","")</f>
        <v>#N/A</v>
      </c>
      <c r="AE1430" s="7" t="e">
        <f>IF(VLOOKUP($A1430,'Concrete Beam Schedule'!$A$2:$Q$2902,AE$2,0)&lt;&gt;O1430,"Beam Revised","")</f>
        <v>#N/A</v>
      </c>
    </row>
    <row r="1431" spans="17:31" ht="20.100000000000001" customHeight="1" x14ac:dyDescent="0.25">
      <c r="Q1431" s="7">
        <f t="shared" si="22"/>
        <v>0</v>
      </c>
      <c r="R1431" s="7" t="e">
        <f>IF(VLOOKUP($A1431,'Concrete Beam Schedule'!$A$2:$Q$2902,R$2,0)&lt;&gt;B1431,VLOOKUP($A1431,'Concrete Beam Schedule'!$A$2:$Q$2902,R$2,0),"")</f>
        <v>#N/A</v>
      </c>
      <c r="S1431" s="7" t="e">
        <f>IF(VLOOKUP($A1431,'Concrete Beam Schedule'!$A$2:$Q$2902,S$2,0)&lt;&gt;C1431,VLOOKUP($A1431,'Concrete Beam Schedule'!$A$2:$Q$2902,S$2,0),"")</f>
        <v>#N/A</v>
      </c>
      <c r="T1431" s="7" t="e">
        <f>IF(VLOOKUP($A1431,'Concrete Beam Schedule'!$A$2:$Q$2902,T$2,0)&lt;&gt;D1431,"Beam Revised","")</f>
        <v>#N/A</v>
      </c>
      <c r="U1431" s="7" t="e">
        <f>IF(VLOOKUP($A1431,'Concrete Beam Schedule'!$A$2:$Q$2902,U$2,0)&lt;&gt;E1431,"Beam Revised","")</f>
        <v>#N/A</v>
      </c>
      <c r="V1431" s="7" t="e">
        <f>IF(VLOOKUP($A1431,'Concrete Beam Schedule'!$A$2:$Q$2902,V$2,0)&lt;&gt;F1431,"Beam Revised","")</f>
        <v>#N/A</v>
      </c>
      <c r="W1431" s="7" t="e">
        <f>IF(VLOOKUP($A1431,'Concrete Beam Schedule'!$A$2:$Q$2902,W$2,0)&lt;&gt;G1431,"Beam Revised","")</f>
        <v>#N/A</v>
      </c>
      <c r="X1431" s="7" t="e">
        <f>IF(VLOOKUP($A1431,'Concrete Beam Schedule'!$A$2:$Q$2902,X$2,0)&lt;&gt;H1431,"Beam Revised","")</f>
        <v>#N/A</v>
      </c>
      <c r="Y1431" s="7" t="e">
        <f>IF(VLOOKUP($A1431,'Concrete Beam Schedule'!$A$2:$Q$2902,Y$2,0)&lt;&gt;I1431,"Beam Revised","")</f>
        <v>#N/A</v>
      </c>
      <c r="Z1431" s="7" t="e">
        <f>IF(VLOOKUP($A1431,'Concrete Beam Schedule'!$A$2:$Q$2902,Z$2,0)&lt;&gt;J1431,"Beam Revised","")</f>
        <v>#N/A</v>
      </c>
      <c r="AA1431" s="7" t="e">
        <f>IF(VLOOKUP($A1431,'Concrete Beam Schedule'!$A$2:$Q$2902,AA$2,0)&lt;&gt;K1431,"Beam Revised","")</f>
        <v>#N/A</v>
      </c>
      <c r="AB1431" s="7" t="e">
        <f>IF(VLOOKUP($A1431,'Concrete Beam Schedule'!$A$2:$Q$2902,AB$2,0)&lt;&gt;L1431,"Beam Revised","")</f>
        <v>#N/A</v>
      </c>
      <c r="AC1431" s="7" t="e">
        <f>IF(VLOOKUP($A1431,'Concrete Beam Schedule'!$A$2:$Q$2902,AC$2,0)&lt;&gt;M1431,"Beam Revised","")</f>
        <v>#N/A</v>
      </c>
      <c r="AD1431" s="7" t="e">
        <f>IF(VLOOKUP($A1431,'Concrete Beam Schedule'!$A$2:$Q$2902,AD$2,0)&lt;&gt;N1431,"Beam Revised","")</f>
        <v>#N/A</v>
      </c>
      <c r="AE1431" s="7" t="e">
        <f>IF(VLOOKUP($A1431,'Concrete Beam Schedule'!$A$2:$Q$2902,AE$2,0)&lt;&gt;O1431,"Beam Revised","")</f>
        <v>#N/A</v>
      </c>
    </row>
    <row r="1432" spans="17:31" ht="20.100000000000001" customHeight="1" x14ac:dyDescent="0.25">
      <c r="Q1432" s="7">
        <f t="shared" si="22"/>
        <v>0</v>
      </c>
      <c r="R1432" s="7" t="e">
        <f>IF(VLOOKUP($A1432,'Concrete Beam Schedule'!$A$2:$Q$2902,R$2,0)&lt;&gt;B1432,VLOOKUP($A1432,'Concrete Beam Schedule'!$A$2:$Q$2902,R$2,0),"")</f>
        <v>#N/A</v>
      </c>
      <c r="S1432" s="7" t="e">
        <f>IF(VLOOKUP($A1432,'Concrete Beam Schedule'!$A$2:$Q$2902,S$2,0)&lt;&gt;C1432,VLOOKUP($A1432,'Concrete Beam Schedule'!$A$2:$Q$2902,S$2,0),"")</f>
        <v>#N/A</v>
      </c>
      <c r="T1432" s="7" t="e">
        <f>IF(VLOOKUP($A1432,'Concrete Beam Schedule'!$A$2:$Q$2902,T$2,0)&lt;&gt;D1432,"Beam Revised","")</f>
        <v>#N/A</v>
      </c>
      <c r="U1432" s="7" t="e">
        <f>IF(VLOOKUP($A1432,'Concrete Beam Schedule'!$A$2:$Q$2902,U$2,0)&lt;&gt;E1432,"Beam Revised","")</f>
        <v>#N/A</v>
      </c>
      <c r="V1432" s="7" t="e">
        <f>IF(VLOOKUP($A1432,'Concrete Beam Schedule'!$A$2:$Q$2902,V$2,0)&lt;&gt;F1432,"Beam Revised","")</f>
        <v>#N/A</v>
      </c>
      <c r="W1432" s="7" t="e">
        <f>IF(VLOOKUP($A1432,'Concrete Beam Schedule'!$A$2:$Q$2902,W$2,0)&lt;&gt;G1432,"Beam Revised","")</f>
        <v>#N/A</v>
      </c>
      <c r="X1432" s="7" t="e">
        <f>IF(VLOOKUP($A1432,'Concrete Beam Schedule'!$A$2:$Q$2902,X$2,0)&lt;&gt;H1432,"Beam Revised","")</f>
        <v>#N/A</v>
      </c>
      <c r="Y1432" s="7" t="e">
        <f>IF(VLOOKUP($A1432,'Concrete Beam Schedule'!$A$2:$Q$2902,Y$2,0)&lt;&gt;I1432,"Beam Revised","")</f>
        <v>#N/A</v>
      </c>
      <c r="Z1432" s="7" t="e">
        <f>IF(VLOOKUP($A1432,'Concrete Beam Schedule'!$A$2:$Q$2902,Z$2,0)&lt;&gt;J1432,"Beam Revised","")</f>
        <v>#N/A</v>
      </c>
      <c r="AA1432" s="7" t="e">
        <f>IF(VLOOKUP($A1432,'Concrete Beam Schedule'!$A$2:$Q$2902,AA$2,0)&lt;&gt;K1432,"Beam Revised","")</f>
        <v>#N/A</v>
      </c>
      <c r="AB1432" s="7" t="e">
        <f>IF(VLOOKUP($A1432,'Concrete Beam Schedule'!$A$2:$Q$2902,AB$2,0)&lt;&gt;L1432,"Beam Revised","")</f>
        <v>#N/A</v>
      </c>
      <c r="AC1432" s="7" t="e">
        <f>IF(VLOOKUP($A1432,'Concrete Beam Schedule'!$A$2:$Q$2902,AC$2,0)&lt;&gt;M1432,"Beam Revised","")</f>
        <v>#N/A</v>
      </c>
      <c r="AD1432" s="7" t="e">
        <f>IF(VLOOKUP($A1432,'Concrete Beam Schedule'!$A$2:$Q$2902,AD$2,0)&lt;&gt;N1432,"Beam Revised","")</f>
        <v>#N/A</v>
      </c>
      <c r="AE1432" s="7" t="e">
        <f>IF(VLOOKUP($A1432,'Concrete Beam Schedule'!$A$2:$Q$2902,AE$2,0)&lt;&gt;O1432,"Beam Revised","")</f>
        <v>#N/A</v>
      </c>
    </row>
    <row r="1433" spans="17:31" ht="20.100000000000001" customHeight="1" x14ac:dyDescent="0.25">
      <c r="Q1433" s="7">
        <f t="shared" si="22"/>
        <v>0</v>
      </c>
      <c r="R1433" s="7" t="e">
        <f>IF(VLOOKUP($A1433,'Concrete Beam Schedule'!$A$2:$Q$2902,R$2,0)&lt;&gt;B1433,VLOOKUP($A1433,'Concrete Beam Schedule'!$A$2:$Q$2902,R$2,0),"")</f>
        <v>#N/A</v>
      </c>
      <c r="S1433" s="7" t="e">
        <f>IF(VLOOKUP($A1433,'Concrete Beam Schedule'!$A$2:$Q$2902,S$2,0)&lt;&gt;C1433,VLOOKUP($A1433,'Concrete Beam Schedule'!$A$2:$Q$2902,S$2,0),"")</f>
        <v>#N/A</v>
      </c>
      <c r="T1433" s="7" t="e">
        <f>IF(VLOOKUP($A1433,'Concrete Beam Schedule'!$A$2:$Q$2902,T$2,0)&lt;&gt;D1433,"Beam Revised","")</f>
        <v>#N/A</v>
      </c>
      <c r="U1433" s="7" t="e">
        <f>IF(VLOOKUP($A1433,'Concrete Beam Schedule'!$A$2:$Q$2902,U$2,0)&lt;&gt;E1433,"Beam Revised","")</f>
        <v>#N/A</v>
      </c>
      <c r="V1433" s="7" t="e">
        <f>IF(VLOOKUP($A1433,'Concrete Beam Schedule'!$A$2:$Q$2902,V$2,0)&lt;&gt;F1433,"Beam Revised","")</f>
        <v>#N/A</v>
      </c>
      <c r="W1433" s="7" t="e">
        <f>IF(VLOOKUP($A1433,'Concrete Beam Schedule'!$A$2:$Q$2902,W$2,0)&lt;&gt;G1433,"Beam Revised","")</f>
        <v>#N/A</v>
      </c>
      <c r="X1433" s="7" t="e">
        <f>IF(VLOOKUP($A1433,'Concrete Beam Schedule'!$A$2:$Q$2902,X$2,0)&lt;&gt;H1433,"Beam Revised","")</f>
        <v>#N/A</v>
      </c>
      <c r="Y1433" s="7" t="e">
        <f>IF(VLOOKUP($A1433,'Concrete Beam Schedule'!$A$2:$Q$2902,Y$2,0)&lt;&gt;I1433,"Beam Revised","")</f>
        <v>#N/A</v>
      </c>
      <c r="Z1433" s="7" t="e">
        <f>IF(VLOOKUP($A1433,'Concrete Beam Schedule'!$A$2:$Q$2902,Z$2,0)&lt;&gt;J1433,"Beam Revised","")</f>
        <v>#N/A</v>
      </c>
      <c r="AA1433" s="7" t="e">
        <f>IF(VLOOKUP($A1433,'Concrete Beam Schedule'!$A$2:$Q$2902,AA$2,0)&lt;&gt;K1433,"Beam Revised","")</f>
        <v>#N/A</v>
      </c>
      <c r="AB1433" s="7" t="e">
        <f>IF(VLOOKUP($A1433,'Concrete Beam Schedule'!$A$2:$Q$2902,AB$2,0)&lt;&gt;L1433,"Beam Revised","")</f>
        <v>#N/A</v>
      </c>
      <c r="AC1433" s="7" t="e">
        <f>IF(VLOOKUP($A1433,'Concrete Beam Schedule'!$A$2:$Q$2902,AC$2,0)&lt;&gt;M1433,"Beam Revised","")</f>
        <v>#N/A</v>
      </c>
      <c r="AD1433" s="7" t="e">
        <f>IF(VLOOKUP($A1433,'Concrete Beam Schedule'!$A$2:$Q$2902,AD$2,0)&lt;&gt;N1433,"Beam Revised","")</f>
        <v>#N/A</v>
      </c>
      <c r="AE1433" s="7" t="e">
        <f>IF(VLOOKUP($A1433,'Concrete Beam Schedule'!$A$2:$Q$2902,AE$2,0)&lt;&gt;O1433,"Beam Revised","")</f>
        <v>#N/A</v>
      </c>
    </row>
    <row r="1434" spans="17:31" ht="20.100000000000001" customHeight="1" x14ac:dyDescent="0.25">
      <c r="Q1434" s="7">
        <f t="shared" si="22"/>
        <v>0</v>
      </c>
      <c r="R1434" s="7" t="e">
        <f>IF(VLOOKUP($A1434,'Concrete Beam Schedule'!$A$2:$Q$2902,R$2,0)&lt;&gt;B1434,VLOOKUP($A1434,'Concrete Beam Schedule'!$A$2:$Q$2902,R$2,0),"")</f>
        <v>#N/A</v>
      </c>
      <c r="S1434" s="7" t="e">
        <f>IF(VLOOKUP($A1434,'Concrete Beam Schedule'!$A$2:$Q$2902,S$2,0)&lt;&gt;C1434,VLOOKUP($A1434,'Concrete Beam Schedule'!$A$2:$Q$2902,S$2,0),"")</f>
        <v>#N/A</v>
      </c>
      <c r="T1434" s="7" t="e">
        <f>IF(VLOOKUP($A1434,'Concrete Beam Schedule'!$A$2:$Q$2902,T$2,0)&lt;&gt;D1434,"Beam Revised","")</f>
        <v>#N/A</v>
      </c>
      <c r="U1434" s="7" t="e">
        <f>IF(VLOOKUP($A1434,'Concrete Beam Schedule'!$A$2:$Q$2902,U$2,0)&lt;&gt;E1434,"Beam Revised","")</f>
        <v>#N/A</v>
      </c>
      <c r="V1434" s="7" t="e">
        <f>IF(VLOOKUP($A1434,'Concrete Beam Schedule'!$A$2:$Q$2902,V$2,0)&lt;&gt;F1434,"Beam Revised","")</f>
        <v>#N/A</v>
      </c>
      <c r="W1434" s="7" t="e">
        <f>IF(VLOOKUP($A1434,'Concrete Beam Schedule'!$A$2:$Q$2902,W$2,0)&lt;&gt;G1434,"Beam Revised","")</f>
        <v>#N/A</v>
      </c>
      <c r="X1434" s="7" t="e">
        <f>IF(VLOOKUP($A1434,'Concrete Beam Schedule'!$A$2:$Q$2902,X$2,0)&lt;&gt;H1434,"Beam Revised","")</f>
        <v>#N/A</v>
      </c>
      <c r="Y1434" s="7" t="e">
        <f>IF(VLOOKUP($A1434,'Concrete Beam Schedule'!$A$2:$Q$2902,Y$2,0)&lt;&gt;I1434,"Beam Revised","")</f>
        <v>#N/A</v>
      </c>
      <c r="Z1434" s="7" t="e">
        <f>IF(VLOOKUP($A1434,'Concrete Beam Schedule'!$A$2:$Q$2902,Z$2,0)&lt;&gt;J1434,"Beam Revised","")</f>
        <v>#N/A</v>
      </c>
      <c r="AA1434" s="7" t="e">
        <f>IF(VLOOKUP($A1434,'Concrete Beam Schedule'!$A$2:$Q$2902,AA$2,0)&lt;&gt;K1434,"Beam Revised","")</f>
        <v>#N/A</v>
      </c>
      <c r="AB1434" s="7" t="e">
        <f>IF(VLOOKUP($A1434,'Concrete Beam Schedule'!$A$2:$Q$2902,AB$2,0)&lt;&gt;L1434,"Beam Revised","")</f>
        <v>#N/A</v>
      </c>
      <c r="AC1434" s="7" t="e">
        <f>IF(VLOOKUP($A1434,'Concrete Beam Schedule'!$A$2:$Q$2902,AC$2,0)&lt;&gt;M1434,"Beam Revised","")</f>
        <v>#N/A</v>
      </c>
      <c r="AD1434" s="7" t="e">
        <f>IF(VLOOKUP($A1434,'Concrete Beam Schedule'!$A$2:$Q$2902,AD$2,0)&lt;&gt;N1434,"Beam Revised","")</f>
        <v>#N/A</v>
      </c>
      <c r="AE1434" s="7" t="e">
        <f>IF(VLOOKUP($A1434,'Concrete Beam Schedule'!$A$2:$Q$2902,AE$2,0)&lt;&gt;O1434,"Beam Revised","")</f>
        <v>#N/A</v>
      </c>
    </row>
    <row r="1435" spans="17:31" ht="20.100000000000001" customHeight="1" x14ac:dyDescent="0.25">
      <c r="Q1435" s="7">
        <f t="shared" si="22"/>
        <v>0</v>
      </c>
      <c r="R1435" s="7" t="e">
        <f>IF(VLOOKUP($A1435,'Concrete Beam Schedule'!$A$2:$Q$2902,R$2,0)&lt;&gt;B1435,VLOOKUP($A1435,'Concrete Beam Schedule'!$A$2:$Q$2902,R$2,0),"")</f>
        <v>#N/A</v>
      </c>
      <c r="S1435" s="7" t="e">
        <f>IF(VLOOKUP($A1435,'Concrete Beam Schedule'!$A$2:$Q$2902,S$2,0)&lt;&gt;C1435,VLOOKUP($A1435,'Concrete Beam Schedule'!$A$2:$Q$2902,S$2,0),"")</f>
        <v>#N/A</v>
      </c>
      <c r="T1435" s="7" t="e">
        <f>IF(VLOOKUP($A1435,'Concrete Beam Schedule'!$A$2:$Q$2902,T$2,0)&lt;&gt;D1435,"Beam Revised","")</f>
        <v>#N/A</v>
      </c>
      <c r="U1435" s="7" t="e">
        <f>IF(VLOOKUP($A1435,'Concrete Beam Schedule'!$A$2:$Q$2902,U$2,0)&lt;&gt;E1435,"Beam Revised","")</f>
        <v>#N/A</v>
      </c>
      <c r="V1435" s="7" t="e">
        <f>IF(VLOOKUP($A1435,'Concrete Beam Schedule'!$A$2:$Q$2902,V$2,0)&lt;&gt;F1435,"Beam Revised","")</f>
        <v>#N/A</v>
      </c>
      <c r="W1435" s="7" t="e">
        <f>IF(VLOOKUP($A1435,'Concrete Beam Schedule'!$A$2:$Q$2902,W$2,0)&lt;&gt;G1435,"Beam Revised","")</f>
        <v>#N/A</v>
      </c>
      <c r="X1435" s="7" t="e">
        <f>IF(VLOOKUP($A1435,'Concrete Beam Schedule'!$A$2:$Q$2902,X$2,0)&lt;&gt;H1435,"Beam Revised","")</f>
        <v>#N/A</v>
      </c>
      <c r="Y1435" s="7" t="e">
        <f>IF(VLOOKUP($A1435,'Concrete Beam Schedule'!$A$2:$Q$2902,Y$2,0)&lt;&gt;I1435,"Beam Revised","")</f>
        <v>#N/A</v>
      </c>
      <c r="Z1435" s="7" t="e">
        <f>IF(VLOOKUP($A1435,'Concrete Beam Schedule'!$A$2:$Q$2902,Z$2,0)&lt;&gt;J1435,"Beam Revised","")</f>
        <v>#N/A</v>
      </c>
      <c r="AA1435" s="7" t="e">
        <f>IF(VLOOKUP($A1435,'Concrete Beam Schedule'!$A$2:$Q$2902,AA$2,0)&lt;&gt;K1435,"Beam Revised","")</f>
        <v>#N/A</v>
      </c>
      <c r="AB1435" s="7" t="e">
        <f>IF(VLOOKUP($A1435,'Concrete Beam Schedule'!$A$2:$Q$2902,AB$2,0)&lt;&gt;L1435,"Beam Revised","")</f>
        <v>#N/A</v>
      </c>
      <c r="AC1435" s="7" t="e">
        <f>IF(VLOOKUP($A1435,'Concrete Beam Schedule'!$A$2:$Q$2902,AC$2,0)&lt;&gt;M1435,"Beam Revised","")</f>
        <v>#N/A</v>
      </c>
      <c r="AD1435" s="7" t="e">
        <f>IF(VLOOKUP($A1435,'Concrete Beam Schedule'!$A$2:$Q$2902,AD$2,0)&lt;&gt;N1435,"Beam Revised","")</f>
        <v>#N/A</v>
      </c>
      <c r="AE1435" s="7" t="e">
        <f>IF(VLOOKUP($A1435,'Concrete Beam Schedule'!$A$2:$Q$2902,AE$2,0)&lt;&gt;O1435,"Beam Revised","")</f>
        <v>#N/A</v>
      </c>
    </row>
    <row r="1436" spans="17:31" ht="20.100000000000001" customHeight="1" x14ac:dyDescent="0.25">
      <c r="Q1436" s="7">
        <f t="shared" si="22"/>
        <v>0</v>
      </c>
      <c r="R1436" s="7" t="e">
        <f>IF(VLOOKUP($A1436,'Concrete Beam Schedule'!$A$2:$Q$2902,R$2,0)&lt;&gt;B1436,VLOOKUP($A1436,'Concrete Beam Schedule'!$A$2:$Q$2902,R$2,0),"")</f>
        <v>#N/A</v>
      </c>
      <c r="S1436" s="7" t="e">
        <f>IF(VLOOKUP($A1436,'Concrete Beam Schedule'!$A$2:$Q$2902,S$2,0)&lt;&gt;C1436,VLOOKUP($A1436,'Concrete Beam Schedule'!$A$2:$Q$2902,S$2,0),"")</f>
        <v>#N/A</v>
      </c>
      <c r="T1436" s="7" t="e">
        <f>IF(VLOOKUP($A1436,'Concrete Beam Schedule'!$A$2:$Q$2902,T$2,0)&lt;&gt;D1436,"Beam Revised","")</f>
        <v>#N/A</v>
      </c>
      <c r="U1436" s="7" t="e">
        <f>IF(VLOOKUP($A1436,'Concrete Beam Schedule'!$A$2:$Q$2902,U$2,0)&lt;&gt;E1436,"Beam Revised","")</f>
        <v>#N/A</v>
      </c>
      <c r="V1436" s="7" t="e">
        <f>IF(VLOOKUP($A1436,'Concrete Beam Schedule'!$A$2:$Q$2902,V$2,0)&lt;&gt;F1436,"Beam Revised","")</f>
        <v>#N/A</v>
      </c>
      <c r="W1436" s="7" t="e">
        <f>IF(VLOOKUP($A1436,'Concrete Beam Schedule'!$A$2:$Q$2902,W$2,0)&lt;&gt;G1436,"Beam Revised","")</f>
        <v>#N/A</v>
      </c>
      <c r="X1436" s="7" t="e">
        <f>IF(VLOOKUP($A1436,'Concrete Beam Schedule'!$A$2:$Q$2902,X$2,0)&lt;&gt;H1436,"Beam Revised","")</f>
        <v>#N/A</v>
      </c>
      <c r="Y1436" s="7" t="e">
        <f>IF(VLOOKUP($A1436,'Concrete Beam Schedule'!$A$2:$Q$2902,Y$2,0)&lt;&gt;I1436,"Beam Revised","")</f>
        <v>#N/A</v>
      </c>
      <c r="Z1436" s="7" t="e">
        <f>IF(VLOOKUP($A1436,'Concrete Beam Schedule'!$A$2:$Q$2902,Z$2,0)&lt;&gt;J1436,"Beam Revised","")</f>
        <v>#N/A</v>
      </c>
      <c r="AA1436" s="7" t="e">
        <f>IF(VLOOKUP($A1436,'Concrete Beam Schedule'!$A$2:$Q$2902,AA$2,0)&lt;&gt;K1436,"Beam Revised","")</f>
        <v>#N/A</v>
      </c>
      <c r="AB1436" s="7" t="e">
        <f>IF(VLOOKUP($A1436,'Concrete Beam Schedule'!$A$2:$Q$2902,AB$2,0)&lt;&gt;L1436,"Beam Revised","")</f>
        <v>#N/A</v>
      </c>
      <c r="AC1436" s="7" t="e">
        <f>IF(VLOOKUP($A1436,'Concrete Beam Schedule'!$A$2:$Q$2902,AC$2,0)&lt;&gt;M1436,"Beam Revised","")</f>
        <v>#N/A</v>
      </c>
      <c r="AD1436" s="7" t="e">
        <f>IF(VLOOKUP($A1436,'Concrete Beam Schedule'!$A$2:$Q$2902,AD$2,0)&lt;&gt;N1436,"Beam Revised","")</f>
        <v>#N/A</v>
      </c>
      <c r="AE1436" s="7" t="e">
        <f>IF(VLOOKUP($A1436,'Concrete Beam Schedule'!$A$2:$Q$2902,AE$2,0)&lt;&gt;O1436,"Beam Revised","")</f>
        <v>#N/A</v>
      </c>
    </row>
    <row r="1437" spans="17:31" ht="20.100000000000001" customHeight="1" x14ac:dyDescent="0.25">
      <c r="Q1437" s="7">
        <f t="shared" si="22"/>
        <v>0</v>
      </c>
      <c r="R1437" s="7" t="e">
        <f>IF(VLOOKUP($A1437,'Concrete Beam Schedule'!$A$2:$Q$2902,R$2,0)&lt;&gt;B1437,VLOOKUP($A1437,'Concrete Beam Schedule'!$A$2:$Q$2902,R$2,0),"")</f>
        <v>#N/A</v>
      </c>
      <c r="S1437" s="7" t="e">
        <f>IF(VLOOKUP($A1437,'Concrete Beam Schedule'!$A$2:$Q$2902,S$2,0)&lt;&gt;C1437,VLOOKUP($A1437,'Concrete Beam Schedule'!$A$2:$Q$2902,S$2,0),"")</f>
        <v>#N/A</v>
      </c>
      <c r="T1437" s="7" t="e">
        <f>IF(VLOOKUP($A1437,'Concrete Beam Schedule'!$A$2:$Q$2902,T$2,0)&lt;&gt;D1437,"Beam Revised","")</f>
        <v>#N/A</v>
      </c>
      <c r="U1437" s="7" t="e">
        <f>IF(VLOOKUP($A1437,'Concrete Beam Schedule'!$A$2:$Q$2902,U$2,0)&lt;&gt;E1437,"Beam Revised","")</f>
        <v>#N/A</v>
      </c>
      <c r="V1437" s="7" t="e">
        <f>IF(VLOOKUP($A1437,'Concrete Beam Schedule'!$A$2:$Q$2902,V$2,0)&lt;&gt;F1437,"Beam Revised","")</f>
        <v>#N/A</v>
      </c>
      <c r="W1437" s="7" t="e">
        <f>IF(VLOOKUP($A1437,'Concrete Beam Schedule'!$A$2:$Q$2902,W$2,0)&lt;&gt;G1437,"Beam Revised","")</f>
        <v>#N/A</v>
      </c>
      <c r="X1437" s="7" t="e">
        <f>IF(VLOOKUP($A1437,'Concrete Beam Schedule'!$A$2:$Q$2902,X$2,0)&lt;&gt;H1437,"Beam Revised","")</f>
        <v>#N/A</v>
      </c>
      <c r="Y1437" s="7" t="e">
        <f>IF(VLOOKUP($A1437,'Concrete Beam Schedule'!$A$2:$Q$2902,Y$2,0)&lt;&gt;I1437,"Beam Revised","")</f>
        <v>#N/A</v>
      </c>
      <c r="Z1437" s="7" t="e">
        <f>IF(VLOOKUP($A1437,'Concrete Beam Schedule'!$A$2:$Q$2902,Z$2,0)&lt;&gt;J1437,"Beam Revised","")</f>
        <v>#N/A</v>
      </c>
      <c r="AA1437" s="7" t="e">
        <f>IF(VLOOKUP($A1437,'Concrete Beam Schedule'!$A$2:$Q$2902,AA$2,0)&lt;&gt;K1437,"Beam Revised","")</f>
        <v>#N/A</v>
      </c>
      <c r="AB1437" s="7" t="e">
        <f>IF(VLOOKUP($A1437,'Concrete Beam Schedule'!$A$2:$Q$2902,AB$2,0)&lt;&gt;L1437,"Beam Revised","")</f>
        <v>#N/A</v>
      </c>
      <c r="AC1437" s="7" t="e">
        <f>IF(VLOOKUP($A1437,'Concrete Beam Schedule'!$A$2:$Q$2902,AC$2,0)&lt;&gt;M1437,"Beam Revised","")</f>
        <v>#N/A</v>
      </c>
      <c r="AD1437" s="7" t="e">
        <f>IF(VLOOKUP($A1437,'Concrete Beam Schedule'!$A$2:$Q$2902,AD$2,0)&lt;&gt;N1437,"Beam Revised","")</f>
        <v>#N/A</v>
      </c>
      <c r="AE1437" s="7" t="e">
        <f>IF(VLOOKUP($A1437,'Concrete Beam Schedule'!$A$2:$Q$2902,AE$2,0)&lt;&gt;O1437,"Beam Revised","")</f>
        <v>#N/A</v>
      </c>
    </row>
    <row r="1438" spans="17:31" ht="20.100000000000001" customHeight="1" x14ac:dyDescent="0.25">
      <c r="Q1438" s="7">
        <f t="shared" si="22"/>
        <v>0</v>
      </c>
      <c r="R1438" s="7" t="e">
        <f>IF(VLOOKUP($A1438,'Concrete Beam Schedule'!$A$2:$Q$2902,R$2,0)&lt;&gt;B1438,VLOOKUP($A1438,'Concrete Beam Schedule'!$A$2:$Q$2902,R$2,0),"")</f>
        <v>#N/A</v>
      </c>
      <c r="S1438" s="7" t="e">
        <f>IF(VLOOKUP($A1438,'Concrete Beam Schedule'!$A$2:$Q$2902,S$2,0)&lt;&gt;C1438,VLOOKUP($A1438,'Concrete Beam Schedule'!$A$2:$Q$2902,S$2,0),"")</f>
        <v>#N/A</v>
      </c>
      <c r="T1438" s="7" t="e">
        <f>IF(VLOOKUP($A1438,'Concrete Beam Schedule'!$A$2:$Q$2902,T$2,0)&lt;&gt;D1438,"Beam Revised","")</f>
        <v>#N/A</v>
      </c>
      <c r="U1438" s="7" t="e">
        <f>IF(VLOOKUP($A1438,'Concrete Beam Schedule'!$A$2:$Q$2902,U$2,0)&lt;&gt;E1438,"Beam Revised","")</f>
        <v>#N/A</v>
      </c>
      <c r="V1438" s="7" t="e">
        <f>IF(VLOOKUP($A1438,'Concrete Beam Schedule'!$A$2:$Q$2902,V$2,0)&lt;&gt;F1438,"Beam Revised","")</f>
        <v>#N/A</v>
      </c>
      <c r="W1438" s="7" t="e">
        <f>IF(VLOOKUP($A1438,'Concrete Beam Schedule'!$A$2:$Q$2902,W$2,0)&lt;&gt;G1438,"Beam Revised","")</f>
        <v>#N/A</v>
      </c>
      <c r="X1438" s="7" t="e">
        <f>IF(VLOOKUP($A1438,'Concrete Beam Schedule'!$A$2:$Q$2902,X$2,0)&lt;&gt;H1438,"Beam Revised","")</f>
        <v>#N/A</v>
      </c>
      <c r="Y1438" s="7" t="e">
        <f>IF(VLOOKUP($A1438,'Concrete Beam Schedule'!$A$2:$Q$2902,Y$2,0)&lt;&gt;I1438,"Beam Revised","")</f>
        <v>#N/A</v>
      </c>
      <c r="Z1438" s="7" t="e">
        <f>IF(VLOOKUP($A1438,'Concrete Beam Schedule'!$A$2:$Q$2902,Z$2,0)&lt;&gt;J1438,"Beam Revised","")</f>
        <v>#N/A</v>
      </c>
      <c r="AA1438" s="7" t="e">
        <f>IF(VLOOKUP($A1438,'Concrete Beam Schedule'!$A$2:$Q$2902,AA$2,0)&lt;&gt;K1438,"Beam Revised","")</f>
        <v>#N/A</v>
      </c>
      <c r="AB1438" s="7" t="e">
        <f>IF(VLOOKUP($A1438,'Concrete Beam Schedule'!$A$2:$Q$2902,AB$2,0)&lt;&gt;L1438,"Beam Revised","")</f>
        <v>#N/A</v>
      </c>
      <c r="AC1438" s="7" t="e">
        <f>IF(VLOOKUP($A1438,'Concrete Beam Schedule'!$A$2:$Q$2902,AC$2,0)&lt;&gt;M1438,"Beam Revised","")</f>
        <v>#N/A</v>
      </c>
      <c r="AD1438" s="7" t="e">
        <f>IF(VLOOKUP($A1438,'Concrete Beam Schedule'!$A$2:$Q$2902,AD$2,0)&lt;&gt;N1438,"Beam Revised","")</f>
        <v>#N/A</v>
      </c>
      <c r="AE1438" s="7" t="e">
        <f>IF(VLOOKUP($A1438,'Concrete Beam Schedule'!$A$2:$Q$2902,AE$2,0)&lt;&gt;O1438,"Beam Revised","")</f>
        <v>#N/A</v>
      </c>
    </row>
    <row r="1439" spans="17:31" ht="20.100000000000001" customHeight="1" x14ac:dyDescent="0.25">
      <c r="Q1439" s="7">
        <f t="shared" si="22"/>
        <v>0</v>
      </c>
      <c r="R1439" s="7" t="e">
        <f>IF(VLOOKUP($A1439,'Concrete Beam Schedule'!$A$2:$Q$2902,R$2,0)&lt;&gt;B1439,VLOOKUP($A1439,'Concrete Beam Schedule'!$A$2:$Q$2902,R$2,0),"")</f>
        <v>#N/A</v>
      </c>
      <c r="S1439" s="7" t="e">
        <f>IF(VLOOKUP($A1439,'Concrete Beam Schedule'!$A$2:$Q$2902,S$2,0)&lt;&gt;C1439,VLOOKUP($A1439,'Concrete Beam Schedule'!$A$2:$Q$2902,S$2,0),"")</f>
        <v>#N/A</v>
      </c>
      <c r="T1439" s="7" t="e">
        <f>IF(VLOOKUP($A1439,'Concrete Beam Schedule'!$A$2:$Q$2902,T$2,0)&lt;&gt;D1439,"Beam Revised","")</f>
        <v>#N/A</v>
      </c>
      <c r="U1439" s="7" t="e">
        <f>IF(VLOOKUP($A1439,'Concrete Beam Schedule'!$A$2:$Q$2902,U$2,0)&lt;&gt;E1439,"Beam Revised","")</f>
        <v>#N/A</v>
      </c>
      <c r="V1439" s="7" t="e">
        <f>IF(VLOOKUP($A1439,'Concrete Beam Schedule'!$A$2:$Q$2902,V$2,0)&lt;&gt;F1439,"Beam Revised","")</f>
        <v>#N/A</v>
      </c>
      <c r="W1439" s="7" t="e">
        <f>IF(VLOOKUP($A1439,'Concrete Beam Schedule'!$A$2:$Q$2902,W$2,0)&lt;&gt;G1439,"Beam Revised","")</f>
        <v>#N/A</v>
      </c>
      <c r="X1439" s="7" t="e">
        <f>IF(VLOOKUP($A1439,'Concrete Beam Schedule'!$A$2:$Q$2902,X$2,0)&lt;&gt;H1439,"Beam Revised","")</f>
        <v>#N/A</v>
      </c>
      <c r="Y1439" s="7" t="e">
        <f>IF(VLOOKUP($A1439,'Concrete Beam Schedule'!$A$2:$Q$2902,Y$2,0)&lt;&gt;I1439,"Beam Revised","")</f>
        <v>#N/A</v>
      </c>
      <c r="Z1439" s="7" t="e">
        <f>IF(VLOOKUP($A1439,'Concrete Beam Schedule'!$A$2:$Q$2902,Z$2,0)&lt;&gt;J1439,"Beam Revised","")</f>
        <v>#N/A</v>
      </c>
      <c r="AA1439" s="7" t="e">
        <f>IF(VLOOKUP($A1439,'Concrete Beam Schedule'!$A$2:$Q$2902,AA$2,0)&lt;&gt;K1439,"Beam Revised","")</f>
        <v>#N/A</v>
      </c>
      <c r="AB1439" s="7" t="e">
        <f>IF(VLOOKUP($A1439,'Concrete Beam Schedule'!$A$2:$Q$2902,AB$2,0)&lt;&gt;L1439,"Beam Revised","")</f>
        <v>#N/A</v>
      </c>
      <c r="AC1439" s="7" t="e">
        <f>IF(VLOOKUP($A1439,'Concrete Beam Schedule'!$A$2:$Q$2902,AC$2,0)&lt;&gt;M1439,"Beam Revised","")</f>
        <v>#N/A</v>
      </c>
      <c r="AD1439" s="7" t="e">
        <f>IF(VLOOKUP($A1439,'Concrete Beam Schedule'!$A$2:$Q$2902,AD$2,0)&lt;&gt;N1439,"Beam Revised","")</f>
        <v>#N/A</v>
      </c>
      <c r="AE1439" s="7" t="e">
        <f>IF(VLOOKUP($A1439,'Concrete Beam Schedule'!$A$2:$Q$2902,AE$2,0)&lt;&gt;O1439,"Beam Revised","")</f>
        <v>#N/A</v>
      </c>
    </row>
    <row r="1440" spans="17:31" ht="20.100000000000001" customHeight="1" x14ac:dyDescent="0.25">
      <c r="Q1440" s="7">
        <f t="shared" si="22"/>
        <v>0</v>
      </c>
      <c r="R1440" s="7" t="e">
        <f>IF(VLOOKUP($A1440,'Concrete Beam Schedule'!$A$2:$Q$2902,R$2,0)&lt;&gt;B1440,VLOOKUP($A1440,'Concrete Beam Schedule'!$A$2:$Q$2902,R$2,0),"")</f>
        <v>#N/A</v>
      </c>
      <c r="S1440" s="7" t="e">
        <f>IF(VLOOKUP($A1440,'Concrete Beam Schedule'!$A$2:$Q$2902,S$2,0)&lt;&gt;C1440,VLOOKUP($A1440,'Concrete Beam Schedule'!$A$2:$Q$2902,S$2,0),"")</f>
        <v>#N/A</v>
      </c>
      <c r="T1440" s="7" t="e">
        <f>IF(VLOOKUP($A1440,'Concrete Beam Schedule'!$A$2:$Q$2902,T$2,0)&lt;&gt;D1440,"Beam Revised","")</f>
        <v>#N/A</v>
      </c>
      <c r="U1440" s="7" t="e">
        <f>IF(VLOOKUP($A1440,'Concrete Beam Schedule'!$A$2:$Q$2902,U$2,0)&lt;&gt;E1440,"Beam Revised","")</f>
        <v>#N/A</v>
      </c>
      <c r="V1440" s="7" t="e">
        <f>IF(VLOOKUP($A1440,'Concrete Beam Schedule'!$A$2:$Q$2902,V$2,0)&lt;&gt;F1440,"Beam Revised","")</f>
        <v>#N/A</v>
      </c>
      <c r="W1440" s="7" t="e">
        <f>IF(VLOOKUP($A1440,'Concrete Beam Schedule'!$A$2:$Q$2902,W$2,0)&lt;&gt;G1440,"Beam Revised","")</f>
        <v>#N/A</v>
      </c>
      <c r="X1440" s="7" t="e">
        <f>IF(VLOOKUP($A1440,'Concrete Beam Schedule'!$A$2:$Q$2902,X$2,0)&lt;&gt;H1440,"Beam Revised","")</f>
        <v>#N/A</v>
      </c>
      <c r="Y1440" s="7" t="e">
        <f>IF(VLOOKUP($A1440,'Concrete Beam Schedule'!$A$2:$Q$2902,Y$2,0)&lt;&gt;I1440,"Beam Revised","")</f>
        <v>#N/A</v>
      </c>
      <c r="Z1440" s="7" t="e">
        <f>IF(VLOOKUP($A1440,'Concrete Beam Schedule'!$A$2:$Q$2902,Z$2,0)&lt;&gt;J1440,"Beam Revised","")</f>
        <v>#N/A</v>
      </c>
      <c r="AA1440" s="7" t="e">
        <f>IF(VLOOKUP($A1440,'Concrete Beam Schedule'!$A$2:$Q$2902,AA$2,0)&lt;&gt;K1440,"Beam Revised","")</f>
        <v>#N/A</v>
      </c>
      <c r="AB1440" s="7" t="e">
        <f>IF(VLOOKUP($A1440,'Concrete Beam Schedule'!$A$2:$Q$2902,AB$2,0)&lt;&gt;L1440,"Beam Revised","")</f>
        <v>#N/A</v>
      </c>
      <c r="AC1440" s="7" t="e">
        <f>IF(VLOOKUP($A1440,'Concrete Beam Schedule'!$A$2:$Q$2902,AC$2,0)&lt;&gt;M1440,"Beam Revised","")</f>
        <v>#N/A</v>
      </c>
      <c r="AD1440" s="7" t="e">
        <f>IF(VLOOKUP($A1440,'Concrete Beam Schedule'!$A$2:$Q$2902,AD$2,0)&lt;&gt;N1440,"Beam Revised","")</f>
        <v>#N/A</v>
      </c>
      <c r="AE1440" s="7" t="e">
        <f>IF(VLOOKUP($A1440,'Concrete Beam Schedule'!$A$2:$Q$2902,AE$2,0)&lt;&gt;O1440,"Beam Revised","")</f>
        <v>#N/A</v>
      </c>
    </row>
    <row r="1441" spans="17:31" ht="20.100000000000001" customHeight="1" x14ac:dyDescent="0.25">
      <c r="Q1441" s="7">
        <f t="shared" si="22"/>
        <v>0</v>
      </c>
      <c r="R1441" s="7" t="e">
        <f>IF(VLOOKUP($A1441,'Concrete Beam Schedule'!$A$2:$Q$2902,R$2,0)&lt;&gt;B1441,VLOOKUP($A1441,'Concrete Beam Schedule'!$A$2:$Q$2902,R$2,0),"")</f>
        <v>#N/A</v>
      </c>
      <c r="S1441" s="7" t="e">
        <f>IF(VLOOKUP($A1441,'Concrete Beam Schedule'!$A$2:$Q$2902,S$2,0)&lt;&gt;C1441,VLOOKUP($A1441,'Concrete Beam Schedule'!$A$2:$Q$2902,S$2,0),"")</f>
        <v>#N/A</v>
      </c>
      <c r="T1441" s="7" t="e">
        <f>IF(VLOOKUP($A1441,'Concrete Beam Schedule'!$A$2:$Q$2902,T$2,0)&lt;&gt;D1441,"Beam Revised","")</f>
        <v>#N/A</v>
      </c>
      <c r="U1441" s="7" t="e">
        <f>IF(VLOOKUP($A1441,'Concrete Beam Schedule'!$A$2:$Q$2902,U$2,0)&lt;&gt;E1441,"Beam Revised","")</f>
        <v>#N/A</v>
      </c>
      <c r="V1441" s="7" t="e">
        <f>IF(VLOOKUP($A1441,'Concrete Beam Schedule'!$A$2:$Q$2902,V$2,0)&lt;&gt;F1441,"Beam Revised","")</f>
        <v>#N/A</v>
      </c>
      <c r="W1441" s="7" t="e">
        <f>IF(VLOOKUP($A1441,'Concrete Beam Schedule'!$A$2:$Q$2902,W$2,0)&lt;&gt;G1441,"Beam Revised","")</f>
        <v>#N/A</v>
      </c>
      <c r="X1441" s="7" t="e">
        <f>IF(VLOOKUP($A1441,'Concrete Beam Schedule'!$A$2:$Q$2902,X$2,0)&lt;&gt;H1441,"Beam Revised","")</f>
        <v>#N/A</v>
      </c>
      <c r="Y1441" s="7" t="e">
        <f>IF(VLOOKUP($A1441,'Concrete Beam Schedule'!$A$2:$Q$2902,Y$2,0)&lt;&gt;I1441,"Beam Revised","")</f>
        <v>#N/A</v>
      </c>
      <c r="Z1441" s="7" t="e">
        <f>IF(VLOOKUP($A1441,'Concrete Beam Schedule'!$A$2:$Q$2902,Z$2,0)&lt;&gt;J1441,"Beam Revised","")</f>
        <v>#N/A</v>
      </c>
      <c r="AA1441" s="7" t="e">
        <f>IF(VLOOKUP($A1441,'Concrete Beam Schedule'!$A$2:$Q$2902,AA$2,0)&lt;&gt;K1441,"Beam Revised","")</f>
        <v>#N/A</v>
      </c>
      <c r="AB1441" s="7" t="e">
        <f>IF(VLOOKUP($A1441,'Concrete Beam Schedule'!$A$2:$Q$2902,AB$2,0)&lt;&gt;L1441,"Beam Revised","")</f>
        <v>#N/A</v>
      </c>
      <c r="AC1441" s="7" t="e">
        <f>IF(VLOOKUP($A1441,'Concrete Beam Schedule'!$A$2:$Q$2902,AC$2,0)&lt;&gt;M1441,"Beam Revised","")</f>
        <v>#N/A</v>
      </c>
      <c r="AD1441" s="7" t="e">
        <f>IF(VLOOKUP($A1441,'Concrete Beam Schedule'!$A$2:$Q$2902,AD$2,0)&lt;&gt;N1441,"Beam Revised","")</f>
        <v>#N/A</v>
      </c>
      <c r="AE1441" s="7" t="e">
        <f>IF(VLOOKUP($A1441,'Concrete Beam Schedule'!$A$2:$Q$2902,AE$2,0)&lt;&gt;O1441,"Beam Revised","")</f>
        <v>#N/A</v>
      </c>
    </row>
    <row r="1442" spans="17:31" ht="20.100000000000001" customHeight="1" x14ac:dyDescent="0.25">
      <c r="Q1442" s="7">
        <f t="shared" si="22"/>
        <v>0</v>
      </c>
      <c r="R1442" s="7" t="e">
        <f>IF(VLOOKUP($A1442,'Concrete Beam Schedule'!$A$2:$Q$2902,R$2,0)&lt;&gt;B1442,VLOOKUP($A1442,'Concrete Beam Schedule'!$A$2:$Q$2902,R$2,0),"")</f>
        <v>#N/A</v>
      </c>
      <c r="S1442" s="7" t="e">
        <f>IF(VLOOKUP($A1442,'Concrete Beam Schedule'!$A$2:$Q$2902,S$2,0)&lt;&gt;C1442,VLOOKUP($A1442,'Concrete Beam Schedule'!$A$2:$Q$2902,S$2,0),"")</f>
        <v>#N/A</v>
      </c>
      <c r="T1442" s="7" t="e">
        <f>IF(VLOOKUP($A1442,'Concrete Beam Schedule'!$A$2:$Q$2902,T$2,0)&lt;&gt;D1442,"Beam Revised","")</f>
        <v>#N/A</v>
      </c>
      <c r="U1442" s="7" t="e">
        <f>IF(VLOOKUP($A1442,'Concrete Beam Schedule'!$A$2:$Q$2902,U$2,0)&lt;&gt;E1442,"Beam Revised","")</f>
        <v>#N/A</v>
      </c>
      <c r="V1442" s="7" t="e">
        <f>IF(VLOOKUP($A1442,'Concrete Beam Schedule'!$A$2:$Q$2902,V$2,0)&lt;&gt;F1442,"Beam Revised","")</f>
        <v>#N/A</v>
      </c>
      <c r="W1442" s="7" t="e">
        <f>IF(VLOOKUP($A1442,'Concrete Beam Schedule'!$A$2:$Q$2902,W$2,0)&lt;&gt;G1442,"Beam Revised","")</f>
        <v>#N/A</v>
      </c>
      <c r="X1442" s="7" t="e">
        <f>IF(VLOOKUP($A1442,'Concrete Beam Schedule'!$A$2:$Q$2902,X$2,0)&lt;&gt;H1442,"Beam Revised","")</f>
        <v>#N/A</v>
      </c>
      <c r="Y1442" s="7" t="e">
        <f>IF(VLOOKUP($A1442,'Concrete Beam Schedule'!$A$2:$Q$2902,Y$2,0)&lt;&gt;I1442,"Beam Revised","")</f>
        <v>#N/A</v>
      </c>
      <c r="Z1442" s="7" t="e">
        <f>IF(VLOOKUP($A1442,'Concrete Beam Schedule'!$A$2:$Q$2902,Z$2,0)&lt;&gt;J1442,"Beam Revised","")</f>
        <v>#N/A</v>
      </c>
      <c r="AA1442" s="7" t="e">
        <f>IF(VLOOKUP($A1442,'Concrete Beam Schedule'!$A$2:$Q$2902,AA$2,0)&lt;&gt;K1442,"Beam Revised","")</f>
        <v>#N/A</v>
      </c>
      <c r="AB1442" s="7" t="e">
        <f>IF(VLOOKUP($A1442,'Concrete Beam Schedule'!$A$2:$Q$2902,AB$2,0)&lt;&gt;L1442,"Beam Revised","")</f>
        <v>#N/A</v>
      </c>
      <c r="AC1442" s="7" t="e">
        <f>IF(VLOOKUP($A1442,'Concrete Beam Schedule'!$A$2:$Q$2902,AC$2,0)&lt;&gt;M1442,"Beam Revised","")</f>
        <v>#N/A</v>
      </c>
      <c r="AD1442" s="7" t="e">
        <f>IF(VLOOKUP($A1442,'Concrete Beam Schedule'!$A$2:$Q$2902,AD$2,0)&lt;&gt;N1442,"Beam Revised","")</f>
        <v>#N/A</v>
      </c>
      <c r="AE1442" s="7" t="e">
        <f>IF(VLOOKUP($A1442,'Concrete Beam Schedule'!$A$2:$Q$2902,AE$2,0)&lt;&gt;O1442,"Beam Revised","")</f>
        <v>#N/A</v>
      </c>
    </row>
    <row r="1443" spans="17:31" ht="20.100000000000001" customHeight="1" x14ac:dyDescent="0.25">
      <c r="Q1443" s="7">
        <f t="shared" si="22"/>
        <v>0</v>
      </c>
      <c r="R1443" s="7" t="e">
        <f>IF(VLOOKUP($A1443,'Concrete Beam Schedule'!$A$2:$Q$2902,R$2,0)&lt;&gt;B1443,VLOOKUP($A1443,'Concrete Beam Schedule'!$A$2:$Q$2902,R$2,0),"")</f>
        <v>#N/A</v>
      </c>
      <c r="S1443" s="7" t="e">
        <f>IF(VLOOKUP($A1443,'Concrete Beam Schedule'!$A$2:$Q$2902,S$2,0)&lt;&gt;C1443,VLOOKUP($A1443,'Concrete Beam Schedule'!$A$2:$Q$2902,S$2,0),"")</f>
        <v>#N/A</v>
      </c>
      <c r="T1443" s="7" t="e">
        <f>IF(VLOOKUP($A1443,'Concrete Beam Schedule'!$A$2:$Q$2902,T$2,0)&lt;&gt;D1443,"Beam Revised","")</f>
        <v>#N/A</v>
      </c>
      <c r="U1443" s="7" t="e">
        <f>IF(VLOOKUP($A1443,'Concrete Beam Schedule'!$A$2:$Q$2902,U$2,0)&lt;&gt;E1443,"Beam Revised","")</f>
        <v>#N/A</v>
      </c>
      <c r="V1443" s="7" t="e">
        <f>IF(VLOOKUP($A1443,'Concrete Beam Schedule'!$A$2:$Q$2902,V$2,0)&lt;&gt;F1443,"Beam Revised","")</f>
        <v>#N/A</v>
      </c>
      <c r="W1443" s="7" t="e">
        <f>IF(VLOOKUP($A1443,'Concrete Beam Schedule'!$A$2:$Q$2902,W$2,0)&lt;&gt;G1443,"Beam Revised","")</f>
        <v>#N/A</v>
      </c>
      <c r="X1443" s="7" t="e">
        <f>IF(VLOOKUP($A1443,'Concrete Beam Schedule'!$A$2:$Q$2902,X$2,0)&lt;&gt;H1443,"Beam Revised","")</f>
        <v>#N/A</v>
      </c>
      <c r="Y1443" s="7" t="e">
        <f>IF(VLOOKUP($A1443,'Concrete Beam Schedule'!$A$2:$Q$2902,Y$2,0)&lt;&gt;I1443,"Beam Revised","")</f>
        <v>#N/A</v>
      </c>
      <c r="Z1443" s="7" t="e">
        <f>IF(VLOOKUP($A1443,'Concrete Beam Schedule'!$A$2:$Q$2902,Z$2,0)&lt;&gt;J1443,"Beam Revised","")</f>
        <v>#N/A</v>
      </c>
      <c r="AA1443" s="7" t="e">
        <f>IF(VLOOKUP($A1443,'Concrete Beam Schedule'!$A$2:$Q$2902,AA$2,0)&lt;&gt;K1443,"Beam Revised","")</f>
        <v>#N/A</v>
      </c>
      <c r="AB1443" s="7" t="e">
        <f>IF(VLOOKUP($A1443,'Concrete Beam Schedule'!$A$2:$Q$2902,AB$2,0)&lt;&gt;L1443,"Beam Revised","")</f>
        <v>#N/A</v>
      </c>
      <c r="AC1443" s="7" t="e">
        <f>IF(VLOOKUP($A1443,'Concrete Beam Schedule'!$A$2:$Q$2902,AC$2,0)&lt;&gt;M1443,"Beam Revised","")</f>
        <v>#N/A</v>
      </c>
      <c r="AD1443" s="7" t="e">
        <f>IF(VLOOKUP($A1443,'Concrete Beam Schedule'!$A$2:$Q$2902,AD$2,0)&lt;&gt;N1443,"Beam Revised","")</f>
        <v>#N/A</v>
      </c>
      <c r="AE1443" s="7" t="e">
        <f>IF(VLOOKUP($A1443,'Concrete Beam Schedule'!$A$2:$Q$2902,AE$2,0)&lt;&gt;O1443,"Beam Revised","")</f>
        <v>#N/A</v>
      </c>
    </row>
    <row r="1444" spans="17:31" ht="20.100000000000001" customHeight="1" x14ac:dyDescent="0.25">
      <c r="Q1444" s="7">
        <f t="shared" si="22"/>
        <v>0</v>
      </c>
      <c r="R1444" s="7" t="e">
        <f>IF(VLOOKUP($A1444,'Concrete Beam Schedule'!$A$2:$Q$2902,R$2,0)&lt;&gt;B1444,VLOOKUP($A1444,'Concrete Beam Schedule'!$A$2:$Q$2902,R$2,0),"")</f>
        <v>#N/A</v>
      </c>
      <c r="S1444" s="7" t="e">
        <f>IF(VLOOKUP($A1444,'Concrete Beam Schedule'!$A$2:$Q$2902,S$2,0)&lt;&gt;C1444,VLOOKUP($A1444,'Concrete Beam Schedule'!$A$2:$Q$2902,S$2,0),"")</f>
        <v>#N/A</v>
      </c>
      <c r="T1444" s="7" t="e">
        <f>IF(VLOOKUP($A1444,'Concrete Beam Schedule'!$A$2:$Q$2902,T$2,0)&lt;&gt;D1444,"Beam Revised","")</f>
        <v>#N/A</v>
      </c>
      <c r="U1444" s="7" t="e">
        <f>IF(VLOOKUP($A1444,'Concrete Beam Schedule'!$A$2:$Q$2902,U$2,0)&lt;&gt;E1444,"Beam Revised","")</f>
        <v>#N/A</v>
      </c>
      <c r="V1444" s="7" t="e">
        <f>IF(VLOOKUP($A1444,'Concrete Beam Schedule'!$A$2:$Q$2902,V$2,0)&lt;&gt;F1444,"Beam Revised","")</f>
        <v>#N/A</v>
      </c>
      <c r="W1444" s="7" t="e">
        <f>IF(VLOOKUP($A1444,'Concrete Beam Schedule'!$A$2:$Q$2902,W$2,0)&lt;&gt;G1444,"Beam Revised","")</f>
        <v>#N/A</v>
      </c>
      <c r="X1444" s="7" t="e">
        <f>IF(VLOOKUP($A1444,'Concrete Beam Schedule'!$A$2:$Q$2902,X$2,0)&lt;&gt;H1444,"Beam Revised","")</f>
        <v>#N/A</v>
      </c>
      <c r="Y1444" s="7" t="e">
        <f>IF(VLOOKUP($A1444,'Concrete Beam Schedule'!$A$2:$Q$2902,Y$2,0)&lt;&gt;I1444,"Beam Revised","")</f>
        <v>#N/A</v>
      </c>
      <c r="Z1444" s="7" t="e">
        <f>IF(VLOOKUP($A1444,'Concrete Beam Schedule'!$A$2:$Q$2902,Z$2,0)&lt;&gt;J1444,"Beam Revised","")</f>
        <v>#N/A</v>
      </c>
      <c r="AA1444" s="7" t="e">
        <f>IF(VLOOKUP($A1444,'Concrete Beam Schedule'!$A$2:$Q$2902,AA$2,0)&lt;&gt;K1444,"Beam Revised","")</f>
        <v>#N/A</v>
      </c>
      <c r="AB1444" s="7" t="e">
        <f>IF(VLOOKUP($A1444,'Concrete Beam Schedule'!$A$2:$Q$2902,AB$2,0)&lt;&gt;L1444,"Beam Revised","")</f>
        <v>#N/A</v>
      </c>
      <c r="AC1444" s="7" t="e">
        <f>IF(VLOOKUP($A1444,'Concrete Beam Schedule'!$A$2:$Q$2902,AC$2,0)&lt;&gt;M1444,"Beam Revised","")</f>
        <v>#N/A</v>
      </c>
      <c r="AD1444" s="7" t="e">
        <f>IF(VLOOKUP($A1444,'Concrete Beam Schedule'!$A$2:$Q$2902,AD$2,0)&lt;&gt;N1444,"Beam Revised","")</f>
        <v>#N/A</v>
      </c>
      <c r="AE1444" s="7" t="e">
        <f>IF(VLOOKUP($A1444,'Concrete Beam Schedule'!$A$2:$Q$2902,AE$2,0)&lt;&gt;O1444,"Beam Revised","")</f>
        <v>#N/A</v>
      </c>
    </row>
    <row r="1445" spans="17:31" ht="20.100000000000001" customHeight="1" x14ac:dyDescent="0.25">
      <c r="Q1445" s="7">
        <f t="shared" si="22"/>
        <v>0</v>
      </c>
      <c r="R1445" s="7" t="e">
        <f>IF(VLOOKUP($A1445,'Concrete Beam Schedule'!$A$2:$Q$2902,R$2,0)&lt;&gt;B1445,VLOOKUP($A1445,'Concrete Beam Schedule'!$A$2:$Q$2902,R$2,0),"")</f>
        <v>#N/A</v>
      </c>
      <c r="S1445" s="7" t="e">
        <f>IF(VLOOKUP($A1445,'Concrete Beam Schedule'!$A$2:$Q$2902,S$2,0)&lt;&gt;C1445,VLOOKUP($A1445,'Concrete Beam Schedule'!$A$2:$Q$2902,S$2,0),"")</f>
        <v>#N/A</v>
      </c>
      <c r="T1445" s="7" t="e">
        <f>IF(VLOOKUP($A1445,'Concrete Beam Schedule'!$A$2:$Q$2902,T$2,0)&lt;&gt;D1445,"Beam Revised","")</f>
        <v>#N/A</v>
      </c>
      <c r="U1445" s="7" t="e">
        <f>IF(VLOOKUP($A1445,'Concrete Beam Schedule'!$A$2:$Q$2902,U$2,0)&lt;&gt;E1445,"Beam Revised","")</f>
        <v>#N/A</v>
      </c>
      <c r="V1445" s="7" t="e">
        <f>IF(VLOOKUP($A1445,'Concrete Beam Schedule'!$A$2:$Q$2902,V$2,0)&lt;&gt;F1445,"Beam Revised","")</f>
        <v>#N/A</v>
      </c>
      <c r="W1445" s="7" t="e">
        <f>IF(VLOOKUP($A1445,'Concrete Beam Schedule'!$A$2:$Q$2902,W$2,0)&lt;&gt;G1445,"Beam Revised","")</f>
        <v>#N/A</v>
      </c>
      <c r="X1445" s="7" t="e">
        <f>IF(VLOOKUP($A1445,'Concrete Beam Schedule'!$A$2:$Q$2902,X$2,0)&lt;&gt;H1445,"Beam Revised","")</f>
        <v>#N/A</v>
      </c>
      <c r="Y1445" s="7" t="e">
        <f>IF(VLOOKUP($A1445,'Concrete Beam Schedule'!$A$2:$Q$2902,Y$2,0)&lt;&gt;I1445,"Beam Revised","")</f>
        <v>#N/A</v>
      </c>
      <c r="Z1445" s="7" t="e">
        <f>IF(VLOOKUP($A1445,'Concrete Beam Schedule'!$A$2:$Q$2902,Z$2,0)&lt;&gt;J1445,"Beam Revised","")</f>
        <v>#N/A</v>
      </c>
      <c r="AA1445" s="7" t="e">
        <f>IF(VLOOKUP($A1445,'Concrete Beam Schedule'!$A$2:$Q$2902,AA$2,0)&lt;&gt;K1445,"Beam Revised","")</f>
        <v>#N/A</v>
      </c>
      <c r="AB1445" s="7" t="e">
        <f>IF(VLOOKUP($A1445,'Concrete Beam Schedule'!$A$2:$Q$2902,AB$2,0)&lt;&gt;L1445,"Beam Revised","")</f>
        <v>#N/A</v>
      </c>
      <c r="AC1445" s="7" t="e">
        <f>IF(VLOOKUP($A1445,'Concrete Beam Schedule'!$A$2:$Q$2902,AC$2,0)&lt;&gt;M1445,"Beam Revised","")</f>
        <v>#N/A</v>
      </c>
      <c r="AD1445" s="7" t="e">
        <f>IF(VLOOKUP($A1445,'Concrete Beam Schedule'!$A$2:$Q$2902,AD$2,0)&lt;&gt;N1445,"Beam Revised","")</f>
        <v>#N/A</v>
      </c>
      <c r="AE1445" s="7" t="e">
        <f>IF(VLOOKUP($A1445,'Concrete Beam Schedule'!$A$2:$Q$2902,AE$2,0)&lt;&gt;O1445,"Beam Revised","")</f>
        <v>#N/A</v>
      </c>
    </row>
    <row r="1446" spans="17:31" ht="20.100000000000001" customHeight="1" x14ac:dyDescent="0.25">
      <c r="Q1446" s="7">
        <f t="shared" si="22"/>
        <v>0</v>
      </c>
      <c r="R1446" s="7" t="e">
        <f>IF(VLOOKUP($A1446,'Concrete Beam Schedule'!$A$2:$Q$2902,R$2,0)&lt;&gt;B1446,VLOOKUP($A1446,'Concrete Beam Schedule'!$A$2:$Q$2902,R$2,0),"")</f>
        <v>#N/A</v>
      </c>
      <c r="S1446" s="7" t="e">
        <f>IF(VLOOKUP($A1446,'Concrete Beam Schedule'!$A$2:$Q$2902,S$2,0)&lt;&gt;C1446,VLOOKUP($A1446,'Concrete Beam Schedule'!$A$2:$Q$2902,S$2,0),"")</f>
        <v>#N/A</v>
      </c>
      <c r="T1446" s="7" t="e">
        <f>IF(VLOOKUP($A1446,'Concrete Beam Schedule'!$A$2:$Q$2902,T$2,0)&lt;&gt;D1446,"Beam Revised","")</f>
        <v>#N/A</v>
      </c>
      <c r="U1446" s="7" t="e">
        <f>IF(VLOOKUP($A1446,'Concrete Beam Schedule'!$A$2:$Q$2902,U$2,0)&lt;&gt;E1446,"Beam Revised","")</f>
        <v>#N/A</v>
      </c>
      <c r="V1446" s="7" t="e">
        <f>IF(VLOOKUP($A1446,'Concrete Beam Schedule'!$A$2:$Q$2902,V$2,0)&lt;&gt;F1446,"Beam Revised","")</f>
        <v>#N/A</v>
      </c>
      <c r="W1446" s="7" t="e">
        <f>IF(VLOOKUP($A1446,'Concrete Beam Schedule'!$A$2:$Q$2902,W$2,0)&lt;&gt;G1446,"Beam Revised","")</f>
        <v>#N/A</v>
      </c>
      <c r="X1446" s="7" t="e">
        <f>IF(VLOOKUP($A1446,'Concrete Beam Schedule'!$A$2:$Q$2902,X$2,0)&lt;&gt;H1446,"Beam Revised","")</f>
        <v>#N/A</v>
      </c>
      <c r="Y1446" s="7" t="e">
        <f>IF(VLOOKUP($A1446,'Concrete Beam Schedule'!$A$2:$Q$2902,Y$2,0)&lt;&gt;I1446,"Beam Revised","")</f>
        <v>#N/A</v>
      </c>
      <c r="Z1446" s="7" t="e">
        <f>IF(VLOOKUP($A1446,'Concrete Beam Schedule'!$A$2:$Q$2902,Z$2,0)&lt;&gt;J1446,"Beam Revised","")</f>
        <v>#N/A</v>
      </c>
      <c r="AA1446" s="7" t="e">
        <f>IF(VLOOKUP($A1446,'Concrete Beam Schedule'!$A$2:$Q$2902,AA$2,0)&lt;&gt;K1446,"Beam Revised","")</f>
        <v>#N/A</v>
      </c>
      <c r="AB1446" s="7" t="e">
        <f>IF(VLOOKUP($A1446,'Concrete Beam Schedule'!$A$2:$Q$2902,AB$2,0)&lt;&gt;L1446,"Beam Revised","")</f>
        <v>#N/A</v>
      </c>
      <c r="AC1446" s="7" t="e">
        <f>IF(VLOOKUP($A1446,'Concrete Beam Schedule'!$A$2:$Q$2902,AC$2,0)&lt;&gt;M1446,"Beam Revised","")</f>
        <v>#N/A</v>
      </c>
      <c r="AD1446" s="7" t="e">
        <f>IF(VLOOKUP($A1446,'Concrete Beam Schedule'!$A$2:$Q$2902,AD$2,0)&lt;&gt;N1446,"Beam Revised","")</f>
        <v>#N/A</v>
      </c>
      <c r="AE1446" s="7" t="e">
        <f>IF(VLOOKUP($A1446,'Concrete Beam Schedule'!$A$2:$Q$2902,AE$2,0)&lt;&gt;O1446,"Beam Revised","")</f>
        <v>#N/A</v>
      </c>
    </row>
    <row r="1447" spans="17:31" ht="20.100000000000001" customHeight="1" x14ac:dyDescent="0.25">
      <c r="Q1447" s="7">
        <f t="shared" si="22"/>
        <v>0</v>
      </c>
      <c r="R1447" s="7" t="e">
        <f>IF(VLOOKUP($A1447,'Concrete Beam Schedule'!$A$2:$Q$2902,R$2,0)&lt;&gt;B1447,VLOOKUP($A1447,'Concrete Beam Schedule'!$A$2:$Q$2902,R$2,0),"")</f>
        <v>#N/A</v>
      </c>
      <c r="S1447" s="7" t="e">
        <f>IF(VLOOKUP($A1447,'Concrete Beam Schedule'!$A$2:$Q$2902,S$2,0)&lt;&gt;C1447,VLOOKUP($A1447,'Concrete Beam Schedule'!$A$2:$Q$2902,S$2,0),"")</f>
        <v>#N/A</v>
      </c>
      <c r="T1447" s="7" t="e">
        <f>IF(VLOOKUP($A1447,'Concrete Beam Schedule'!$A$2:$Q$2902,T$2,0)&lt;&gt;D1447,"Beam Revised","")</f>
        <v>#N/A</v>
      </c>
      <c r="U1447" s="7" t="e">
        <f>IF(VLOOKUP($A1447,'Concrete Beam Schedule'!$A$2:$Q$2902,U$2,0)&lt;&gt;E1447,"Beam Revised","")</f>
        <v>#N/A</v>
      </c>
      <c r="V1447" s="7" t="e">
        <f>IF(VLOOKUP($A1447,'Concrete Beam Schedule'!$A$2:$Q$2902,V$2,0)&lt;&gt;F1447,"Beam Revised","")</f>
        <v>#N/A</v>
      </c>
      <c r="W1447" s="7" t="e">
        <f>IF(VLOOKUP($A1447,'Concrete Beam Schedule'!$A$2:$Q$2902,W$2,0)&lt;&gt;G1447,"Beam Revised","")</f>
        <v>#N/A</v>
      </c>
      <c r="X1447" s="7" t="e">
        <f>IF(VLOOKUP($A1447,'Concrete Beam Schedule'!$A$2:$Q$2902,X$2,0)&lt;&gt;H1447,"Beam Revised","")</f>
        <v>#N/A</v>
      </c>
      <c r="Y1447" s="7" t="e">
        <f>IF(VLOOKUP($A1447,'Concrete Beam Schedule'!$A$2:$Q$2902,Y$2,0)&lt;&gt;I1447,"Beam Revised","")</f>
        <v>#N/A</v>
      </c>
      <c r="Z1447" s="7" t="e">
        <f>IF(VLOOKUP($A1447,'Concrete Beam Schedule'!$A$2:$Q$2902,Z$2,0)&lt;&gt;J1447,"Beam Revised","")</f>
        <v>#N/A</v>
      </c>
      <c r="AA1447" s="7" t="e">
        <f>IF(VLOOKUP($A1447,'Concrete Beam Schedule'!$A$2:$Q$2902,AA$2,0)&lt;&gt;K1447,"Beam Revised","")</f>
        <v>#N/A</v>
      </c>
      <c r="AB1447" s="7" t="e">
        <f>IF(VLOOKUP($A1447,'Concrete Beam Schedule'!$A$2:$Q$2902,AB$2,0)&lt;&gt;L1447,"Beam Revised","")</f>
        <v>#N/A</v>
      </c>
      <c r="AC1447" s="7" t="e">
        <f>IF(VLOOKUP($A1447,'Concrete Beam Schedule'!$A$2:$Q$2902,AC$2,0)&lt;&gt;M1447,"Beam Revised","")</f>
        <v>#N/A</v>
      </c>
      <c r="AD1447" s="7" t="e">
        <f>IF(VLOOKUP($A1447,'Concrete Beam Schedule'!$A$2:$Q$2902,AD$2,0)&lt;&gt;N1447,"Beam Revised","")</f>
        <v>#N/A</v>
      </c>
      <c r="AE1447" s="7" t="e">
        <f>IF(VLOOKUP($A1447,'Concrete Beam Schedule'!$A$2:$Q$2902,AE$2,0)&lt;&gt;O1447,"Beam Revised","")</f>
        <v>#N/A</v>
      </c>
    </row>
    <row r="1448" spans="17:31" ht="20.100000000000001" customHeight="1" x14ac:dyDescent="0.25">
      <c r="Q1448" s="7">
        <f t="shared" si="22"/>
        <v>0</v>
      </c>
      <c r="R1448" s="7" t="e">
        <f>IF(VLOOKUP($A1448,'Concrete Beam Schedule'!$A$2:$Q$2902,R$2,0)&lt;&gt;B1448,VLOOKUP($A1448,'Concrete Beam Schedule'!$A$2:$Q$2902,R$2,0),"")</f>
        <v>#N/A</v>
      </c>
      <c r="S1448" s="7" t="e">
        <f>IF(VLOOKUP($A1448,'Concrete Beam Schedule'!$A$2:$Q$2902,S$2,0)&lt;&gt;C1448,VLOOKUP($A1448,'Concrete Beam Schedule'!$A$2:$Q$2902,S$2,0),"")</f>
        <v>#N/A</v>
      </c>
      <c r="T1448" s="7" t="e">
        <f>IF(VLOOKUP($A1448,'Concrete Beam Schedule'!$A$2:$Q$2902,T$2,0)&lt;&gt;D1448,"Beam Revised","")</f>
        <v>#N/A</v>
      </c>
      <c r="U1448" s="7" t="e">
        <f>IF(VLOOKUP($A1448,'Concrete Beam Schedule'!$A$2:$Q$2902,U$2,0)&lt;&gt;E1448,"Beam Revised","")</f>
        <v>#N/A</v>
      </c>
      <c r="V1448" s="7" t="e">
        <f>IF(VLOOKUP($A1448,'Concrete Beam Schedule'!$A$2:$Q$2902,V$2,0)&lt;&gt;F1448,"Beam Revised","")</f>
        <v>#N/A</v>
      </c>
      <c r="W1448" s="7" t="e">
        <f>IF(VLOOKUP($A1448,'Concrete Beam Schedule'!$A$2:$Q$2902,W$2,0)&lt;&gt;G1448,"Beam Revised","")</f>
        <v>#N/A</v>
      </c>
      <c r="X1448" s="7" t="e">
        <f>IF(VLOOKUP($A1448,'Concrete Beam Schedule'!$A$2:$Q$2902,X$2,0)&lt;&gt;H1448,"Beam Revised","")</f>
        <v>#N/A</v>
      </c>
      <c r="Y1448" s="7" t="e">
        <f>IF(VLOOKUP($A1448,'Concrete Beam Schedule'!$A$2:$Q$2902,Y$2,0)&lt;&gt;I1448,"Beam Revised","")</f>
        <v>#N/A</v>
      </c>
      <c r="Z1448" s="7" t="e">
        <f>IF(VLOOKUP($A1448,'Concrete Beam Schedule'!$A$2:$Q$2902,Z$2,0)&lt;&gt;J1448,"Beam Revised","")</f>
        <v>#N/A</v>
      </c>
      <c r="AA1448" s="7" t="e">
        <f>IF(VLOOKUP($A1448,'Concrete Beam Schedule'!$A$2:$Q$2902,AA$2,0)&lt;&gt;K1448,"Beam Revised","")</f>
        <v>#N/A</v>
      </c>
      <c r="AB1448" s="7" t="e">
        <f>IF(VLOOKUP($A1448,'Concrete Beam Schedule'!$A$2:$Q$2902,AB$2,0)&lt;&gt;L1448,"Beam Revised","")</f>
        <v>#N/A</v>
      </c>
      <c r="AC1448" s="7" t="e">
        <f>IF(VLOOKUP($A1448,'Concrete Beam Schedule'!$A$2:$Q$2902,AC$2,0)&lt;&gt;M1448,"Beam Revised","")</f>
        <v>#N/A</v>
      </c>
      <c r="AD1448" s="7" t="e">
        <f>IF(VLOOKUP($A1448,'Concrete Beam Schedule'!$A$2:$Q$2902,AD$2,0)&lt;&gt;N1448,"Beam Revised","")</f>
        <v>#N/A</v>
      </c>
      <c r="AE1448" s="7" t="e">
        <f>IF(VLOOKUP($A1448,'Concrete Beam Schedule'!$A$2:$Q$2902,AE$2,0)&lt;&gt;O1448,"Beam Revised","")</f>
        <v>#N/A</v>
      </c>
    </row>
    <row r="1449" spans="17:31" ht="20.100000000000001" customHeight="1" x14ac:dyDescent="0.25">
      <c r="Q1449" s="7">
        <f t="shared" si="22"/>
        <v>0</v>
      </c>
      <c r="R1449" s="7" t="e">
        <f>IF(VLOOKUP($A1449,'Concrete Beam Schedule'!$A$2:$Q$2902,R$2,0)&lt;&gt;B1449,VLOOKUP($A1449,'Concrete Beam Schedule'!$A$2:$Q$2902,R$2,0),"")</f>
        <v>#N/A</v>
      </c>
      <c r="S1449" s="7" t="e">
        <f>IF(VLOOKUP($A1449,'Concrete Beam Schedule'!$A$2:$Q$2902,S$2,0)&lt;&gt;C1449,VLOOKUP($A1449,'Concrete Beam Schedule'!$A$2:$Q$2902,S$2,0),"")</f>
        <v>#N/A</v>
      </c>
      <c r="T1449" s="7" t="e">
        <f>IF(VLOOKUP($A1449,'Concrete Beam Schedule'!$A$2:$Q$2902,T$2,0)&lt;&gt;D1449,"Beam Revised","")</f>
        <v>#N/A</v>
      </c>
      <c r="U1449" s="7" t="e">
        <f>IF(VLOOKUP($A1449,'Concrete Beam Schedule'!$A$2:$Q$2902,U$2,0)&lt;&gt;E1449,"Beam Revised","")</f>
        <v>#N/A</v>
      </c>
      <c r="V1449" s="7" t="e">
        <f>IF(VLOOKUP($A1449,'Concrete Beam Schedule'!$A$2:$Q$2902,V$2,0)&lt;&gt;F1449,"Beam Revised","")</f>
        <v>#N/A</v>
      </c>
      <c r="W1449" s="7" t="e">
        <f>IF(VLOOKUP($A1449,'Concrete Beam Schedule'!$A$2:$Q$2902,W$2,0)&lt;&gt;G1449,"Beam Revised","")</f>
        <v>#N/A</v>
      </c>
      <c r="X1449" s="7" t="e">
        <f>IF(VLOOKUP($A1449,'Concrete Beam Schedule'!$A$2:$Q$2902,X$2,0)&lt;&gt;H1449,"Beam Revised","")</f>
        <v>#N/A</v>
      </c>
      <c r="Y1449" s="7" t="e">
        <f>IF(VLOOKUP($A1449,'Concrete Beam Schedule'!$A$2:$Q$2902,Y$2,0)&lt;&gt;I1449,"Beam Revised","")</f>
        <v>#N/A</v>
      </c>
      <c r="Z1449" s="7" t="e">
        <f>IF(VLOOKUP($A1449,'Concrete Beam Schedule'!$A$2:$Q$2902,Z$2,0)&lt;&gt;J1449,"Beam Revised","")</f>
        <v>#N/A</v>
      </c>
      <c r="AA1449" s="7" t="e">
        <f>IF(VLOOKUP($A1449,'Concrete Beam Schedule'!$A$2:$Q$2902,AA$2,0)&lt;&gt;K1449,"Beam Revised","")</f>
        <v>#N/A</v>
      </c>
      <c r="AB1449" s="7" t="e">
        <f>IF(VLOOKUP($A1449,'Concrete Beam Schedule'!$A$2:$Q$2902,AB$2,0)&lt;&gt;L1449,"Beam Revised","")</f>
        <v>#N/A</v>
      </c>
      <c r="AC1449" s="7" t="e">
        <f>IF(VLOOKUP($A1449,'Concrete Beam Schedule'!$A$2:$Q$2902,AC$2,0)&lt;&gt;M1449,"Beam Revised","")</f>
        <v>#N/A</v>
      </c>
      <c r="AD1449" s="7" t="e">
        <f>IF(VLOOKUP($A1449,'Concrete Beam Schedule'!$A$2:$Q$2902,AD$2,0)&lt;&gt;N1449,"Beam Revised","")</f>
        <v>#N/A</v>
      </c>
      <c r="AE1449" s="7" t="e">
        <f>IF(VLOOKUP($A1449,'Concrete Beam Schedule'!$A$2:$Q$2902,AE$2,0)&lt;&gt;O1449,"Beam Revised","")</f>
        <v>#N/A</v>
      </c>
    </row>
    <row r="1450" spans="17:31" ht="20.100000000000001" customHeight="1" x14ac:dyDescent="0.25">
      <c r="Q1450" s="7">
        <f t="shared" si="22"/>
        <v>0</v>
      </c>
      <c r="R1450" s="7" t="e">
        <f>IF(VLOOKUP($A1450,'Concrete Beam Schedule'!$A$2:$Q$2902,R$2,0)&lt;&gt;B1450,VLOOKUP($A1450,'Concrete Beam Schedule'!$A$2:$Q$2902,R$2,0),"")</f>
        <v>#N/A</v>
      </c>
      <c r="S1450" s="7" t="e">
        <f>IF(VLOOKUP($A1450,'Concrete Beam Schedule'!$A$2:$Q$2902,S$2,0)&lt;&gt;C1450,VLOOKUP($A1450,'Concrete Beam Schedule'!$A$2:$Q$2902,S$2,0),"")</f>
        <v>#N/A</v>
      </c>
      <c r="T1450" s="7" t="e">
        <f>IF(VLOOKUP($A1450,'Concrete Beam Schedule'!$A$2:$Q$2902,T$2,0)&lt;&gt;D1450,"Beam Revised","")</f>
        <v>#N/A</v>
      </c>
      <c r="U1450" s="7" t="e">
        <f>IF(VLOOKUP($A1450,'Concrete Beam Schedule'!$A$2:$Q$2902,U$2,0)&lt;&gt;E1450,"Beam Revised","")</f>
        <v>#N/A</v>
      </c>
      <c r="V1450" s="7" t="e">
        <f>IF(VLOOKUP($A1450,'Concrete Beam Schedule'!$A$2:$Q$2902,V$2,0)&lt;&gt;F1450,"Beam Revised","")</f>
        <v>#N/A</v>
      </c>
      <c r="W1450" s="7" t="e">
        <f>IF(VLOOKUP($A1450,'Concrete Beam Schedule'!$A$2:$Q$2902,W$2,0)&lt;&gt;G1450,"Beam Revised","")</f>
        <v>#N/A</v>
      </c>
      <c r="X1450" s="7" t="e">
        <f>IF(VLOOKUP($A1450,'Concrete Beam Schedule'!$A$2:$Q$2902,X$2,0)&lt;&gt;H1450,"Beam Revised","")</f>
        <v>#N/A</v>
      </c>
      <c r="Y1450" s="7" t="e">
        <f>IF(VLOOKUP($A1450,'Concrete Beam Schedule'!$A$2:$Q$2902,Y$2,0)&lt;&gt;I1450,"Beam Revised","")</f>
        <v>#N/A</v>
      </c>
      <c r="Z1450" s="7" t="e">
        <f>IF(VLOOKUP($A1450,'Concrete Beam Schedule'!$A$2:$Q$2902,Z$2,0)&lt;&gt;J1450,"Beam Revised","")</f>
        <v>#N/A</v>
      </c>
      <c r="AA1450" s="7" t="e">
        <f>IF(VLOOKUP($A1450,'Concrete Beam Schedule'!$A$2:$Q$2902,AA$2,0)&lt;&gt;K1450,"Beam Revised","")</f>
        <v>#N/A</v>
      </c>
      <c r="AB1450" s="7" t="e">
        <f>IF(VLOOKUP($A1450,'Concrete Beam Schedule'!$A$2:$Q$2902,AB$2,0)&lt;&gt;L1450,"Beam Revised","")</f>
        <v>#N/A</v>
      </c>
      <c r="AC1450" s="7" t="e">
        <f>IF(VLOOKUP($A1450,'Concrete Beam Schedule'!$A$2:$Q$2902,AC$2,0)&lt;&gt;M1450,"Beam Revised","")</f>
        <v>#N/A</v>
      </c>
      <c r="AD1450" s="7" t="e">
        <f>IF(VLOOKUP($A1450,'Concrete Beam Schedule'!$A$2:$Q$2902,AD$2,0)&lt;&gt;N1450,"Beam Revised","")</f>
        <v>#N/A</v>
      </c>
      <c r="AE1450" s="7" t="e">
        <f>IF(VLOOKUP($A1450,'Concrete Beam Schedule'!$A$2:$Q$2902,AE$2,0)&lt;&gt;O1450,"Beam Revised","")</f>
        <v>#N/A</v>
      </c>
    </row>
    <row r="1451" spans="17:31" ht="20.100000000000001" customHeight="1" x14ac:dyDescent="0.25">
      <c r="Q1451" s="7">
        <f t="shared" si="22"/>
        <v>0</v>
      </c>
      <c r="R1451" s="7" t="e">
        <f>IF(VLOOKUP($A1451,'Concrete Beam Schedule'!$A$2:$Q$2902,R$2,0)&lt;&gt;B1451,VLOOKUP($A1451,'Concrete Beam Schedule'!$A$2:$Q$2902,R$2,0),"")</f>
        <v>#N/A</v>
      </c>
      <c r="S1451" s="7" t="e">
        <f>IF(VLOOKUP($A1451,'Concrete Beam Schedule'!$A$2:$Q$2902,S$2,0)&lt;&gt;C1451,VLOOKUP($A1451,'Concrete Beam Schedule'!$A$2:$Q$2902,S$2,0),"")</f>
        <v>#N/A</v>
      </c>
      <c r="T1451" s="7" t="e">
        <f>IF(VLOOKUP($A1451,'Concrete Beam Schedule'!$A$2:$Q$2902,T$2,0)&lt;&gt;D1451,"Beam Revised","")</f>
        <v>#N/A</v>
      </c>
      <c r="U1451" s="7" t="e">
        <f>IF(VLOOKUP($A1451,'Concrete Beam Schedule'!$A$2:$Q$2902,U$2,0)&lt;&gt;E1451,"Beam Revised","")</f>
        <v>#N/A</v>
      </c>
      <c r="V1451" s="7" t="e">
        <f>IF(VLOOKUP($A1451,'Concrete Beam Schedule'!$A$2:$Q$2902,V$2,0)&lt;&gt;F1451,"Beam Revised","")</f>
        <v>#N/A</v>
      </c>
      <c r="W1451" s="7" t="e">
        <f>IF(VLOOKUP($A1451,'Concrete Beam Schedule'!$A$2:$Q$2902,W$2,0)&lt;&gt;G1451,"Beam Revised","")</f>
        <v>#N/A</v>
      </c>
      <c r="X1451" s="7" t="e">
        <f>IF(VLOOKUP($A1451,'Concrete Beam Schedule'!$A$2:$Q$2902,X$2,0)&lt;&gt;H1451,"Beam Revised","")</f>
        <v>#N/A</v>
      </c>
      <c r="Y1451" s="7" t="e">
        <f>IF(VLOOKUP($A1451,'Concrete Beam Schedule'!$A$2:$Q$2902,Y$2,0)&lt;&gt;I1451,"Beam Revised","")</f>
        <v>#N/A</v>
      </c>
      <c r="Z1451" s="7" t="e">
        <f>IF(VLOOKUP($A1451,'Concrete Beam Schedule'!$A$2:$Q$2902,Z$2,0)&lt;&gt;J1451,"Beam Revised","")</f>
        <v>#N/A</v>
      </c>
      <c r="AA1451" s="7" t="e">
        <f>IF(VLOOKUP($A1451,'Concrete Beam Schedule'!$A$2:$Q$2902,AA$2,0)&lt;&gt;K1451,"Beam Revised","")</f>
        <v>#N/A</v>
      </c>
      <c r="AB1451" s="7" t="e">
        <f>IF(VLOOKUP($A1451,'Concrete Beam Schedule'!$A$2:$Q$2902,AB$2,0)&lt;&gt;L1451,"Beam Revised","")</f>
        <v>#N/A</v>
      </c>
      <c r="AC1451" s="7" t="e">
        <f>IF(VLOOKUP($A1451,'Concrete Beam Schedule'!$A$2:$Q$2902,AC$2,0)&lt;&gt;M1451,"Beam Revised","")</f>
        <v>#N/A</v>
      </c>
      <c r="AD1451" s="7" t="e">
        <f>IF(VLOOKUP($A1451,'Concrete Beam Schedule'!$A$2:$Q$2902,AD$2,0)&lt;&gt;N1451,"Beam Revised","")</f>
        <v>#N/A</v>
      </c>
      <c r="AE1451" s="7" t="e">
        <f>IF(VLOOKUP($A1451,'Concrete Beam Schedule'!$A$2:$Q$2902,AE$2,0)&lt;&gt;O1451,"Beam Revised","")</f>
        <v>#N/A</v>
      </c>
    </row>
    <row r="1452" spans="17:31" ht="20.100000000000001" customHeight="1" x14ac:dyDescent="0.25">
      <c r="Q1452" s="7">
        <f t="shared" si="22"/>
        <v>0</v>
      </c>
      <c r="R1452" s="7" t="e">
        <f>IF(VLOOKUP($A1452,'Concrete Beam Schedule'!$A$2:$Q$2902,R$2,0)&lt;&gt;B1452,VLOOKUP($A1452,'Concrete Beam Schedule'!$A$2:$Q$2902,R$2,0),"")</f>
        <v>#N/A</v>
      </c>
      <c r="S1452" s="7" t="e">
        <f>IF(VLOOKUP($A1452,'Concrete Beam Schedule'!$A$2:$Q$2902,S$2,0)&lt;&gt;C1452,VLOOKUP($A1452,'Concrete Beam Schedule'!$A$2:$Q$2902,S$2,0),"")</f>
        <v>#N/A</v>
      </c>
      <c r="T1452" s="7" t="e">
        <f>IF(VLOOKUP($A1452,'Concrete Beam Schedule'!$A$2:$Q$2902,T$2,0)&lt;&gt;D1452,"Beam Revised","")</f>
        <v>#N/A</v>
      </c>
      <c r="U1452" s="7" t="e">
        <f>IF(VLOOKUP($A1452,'Concrete Beam Schedule'!$A$2:$Q$2902,U$2,0)&lt;&gt;E1452,"Beam Revised","")</f>
        <v>#N/A</v>
      </c>
      <c r="V1452" s="7" t="e">
        <f>IF(VLOOKUP($A1452,'Concrete Beam Schedule'!$A$2:$Q$2902,V$2,0)&lt;&gt;F1452,"Beam Revised","")</f>
        <v>#N/A</v>
      </c>
      <c r="W1452" s="7" t="e">
        <f>IF(VLOOKUP($A1452,'Concrete Beam Schedule'!$A$2:$Q$2902,W$2,0)&lt;&gt;G1452,"Beam Revised","")</f>
        <v>#N/A</v>
      </c>
      <c r="X1452" s="7" t="e">
        <f>IF(VLOOKUP($A1452,'Concrete Beam Schedule'!$A$2:$Q$2902,X$2,0)&lt;&gt;H1452,"Beam Revised","")</f>
        <v>#N/A</v>
      </c>
      <c r="Y1452" s="7" t="e">
        <f>IF(VLOOKUP($A1452,'Concrete Beam Schedule'!$A$2:$Q$2902,Y$2,0)&lt;&gt;I1452,"Beam Revised","")</f>
        <v>#N/A</v>
      </c>
      <c r="Z1452" s="7" t="e">
        <f>IF(VLOOKUP($A1452,'Concrete Beam Schedule'!$A$2:$Q$2902,Z$2,0)&lt;&gt;J1452,"Beam Revised","")</f>
        <v>#N/A</v>
      </c>
      <c r="AA1452" s="7" t="e">
        <f>IF(VLOOKUP($A1452,'Concrete Beam Schedule'!$A$2:$Q$2902,AA$2,0)&lt;&gt;K1452,"Beam Revised","")</f>
        <v>#N/A</v>
      </c>
      <c r="AB1452" s="7" t="e">
        <f>IF(VLOOKUP($A1452,'Concrete Beam Schedule'!$A$2:$Q$2902,AB$2,0)&lt;&gt;L1452,"Beam Revised","")</f>
        <v>#N/A</v>
      </c>
      <c r="AC1452" s="7" t="e">
        <f>IF(VLOOKUP($A1452,'Concrete Beam Schedule'!$A$2:$Q$2902,AC$2,0)&lt;&gt;M1452,"Beam Revised","")</f>
        <v>#N/A</v>
      </c>
      <c r="AD1452" s="7" t="e">
        <f>IF(VLOOKUP($A1452,'Concrete Beam Schedule'!$A$2:$Q$2902,AD$2,0)&lt;&gt;N1452,"Beam Revised","")</f>
        <v>#N/A</v>
      </c>
      <c r="AE1452" s="7" t="e">
        <f>IF(VLOOKUP($A1452,'Concrete Beam Schedule'!$A$2:$Q$2902,AE$2,0)&lt;&gt;O1452,"Beam Revised","")</f>
        <v>#N/A</v>
      </c>
    </row>
    <row r="1453" spans="17:31" ht="20.100000000000001" customHeight="1" x14ac:dyDescent="0.25">
      <c r="Q1453" s="7">
        <f t="shared" si="22"/>
        <v>0</v>
      </c>
      <c r="R1453" s="7" t="e">
        <f>IF(VLOOKUP($A1453,'Concrete Beam Schedule'!$A$2:$Q$2902,R$2,0)&lt;&gt;B1453,VLOOKUP($A1453,'Concrete Beam Schedule'!$A$2:$Q$2902,R$2,0),"")</f>
        <v>#N/A</v>
      </c>
      <c r="S1453" s="7" t="e">
        <f>IF(VLOOKUP($A1453,'Concrete Beam Schedule'!$A$2:$Q$2902,S$2,0)&lt;&gt;C1453,VLOOKUP($A1453,'Concrete Beam Schedule'!$A$2:$Q$2902,S$2,0),"")</f>
        <v>#N/A</v>
      </c>
      <c r="T1453" s="7" t="e">
        <f>IF(VLOOKUP($A1453,'Concrete Beam Schedule'!$A$2:$Q$2902,T$2,0)&lt;&gt;D1453,"Beam Revised","")</f>
        <v>#N/A</v>
      </c>
      <c r="U1453" s="7" t="e">
        <f>IF(VLOOKUP($A1453,'Concrete Beam Schedule'!$A$2:$Q$2902,U$2,0)&lt;&gt;E1453,"Beam Revised","")</f>
        <v>#N/A</v>
      </c>
      <c r="V1453" s="7" t="e">
        <f>IF(VLOOKUP($A1453,'Concrete Beam Schedule'!$A$2:$Q$2902,V$2,0)&lt;&gt;F1453,"Beam Revised","")</f>
        <v>#N/A</v>
      </c>
      <c r="W1453" s="7" t="e">
        <f>IF(VLOOKUP($A1453,'Concrete Beam Schedule'!$A$2:$Q$2902,W$2,0)&lt;&gt;G1453,"Beam Revised","")</f>
        <v>#N/A</v>
      </c>
      <c r="X1453" s="7" t="e">
        <f>IF(VLOOKUP($A1453,'Concrete Beam Schedule'!$A$2:$Q$2902,X$2,0)&lt;&gt;H1453,"Beam Revised","")</f>
        <v>#N/A</v>
      </c>
      <c r="Y1453" s="7" t="e">
        <f>IF(VLOOKUP($A1453,'Concrete Beam Schedule'!$A$2:$Q$2902,Y$2,0)&lt;&gt;I1453,"Beam Revised","")</f>
        <v>#N/A</v>
      </c>
      <c r="Z1453" s="7" t="e">
        <f>IF(VLOOKUP($A1453,'Concrete Beam Schedule'!$A$2:$Q$2902,Z$2,0)&lt;&gt;J1453,"Beam Revised","")</f>
        <v>#N/A</v>
      </c>
      <c r="AA1453" s="7" t="e">
        <f>IF(VLOOKUP($A1453,'Concrete Beam Schedule'!$A$2:$Q$2902,AA$2,0)&lt;&gt;K1453,"Beam Revised","")</f>
        <v>#N/A</v>
      </c>
      <c r="AB1453" s="7" t="e">
        <f>IF(VLOOKUP($A1453,'Concrete Beam Schedule'!$A$2:$Q$2902,AB$2,0)&lt;&gt;L1453,"Beam Revised","")</f>
        <v>#N/A</v>
      </c>
      <c r="AC1453" s="7" t="e">
        <f>IF(VLOOKUP($A1453,'Concrete Beam Schedule'!$A$2:$Q$2902,AC$2,0)&lt;&gt;M1453,"Beam Revised","")</f>
        <v>#N/A</v>
      </c>
      <c r="AD1453" s="7" t="e">
        <f>IF(VLOOKUP($A1453,'Concrete Beam Schedule'!$A$2:$Q$2902,AD$2,0)&lt;&gt;N1453,"Beam Revised","")</f>
        <v>#N/A</v>
      </c>
      <c r="AE1453" s="7" t="e">
        <f>IF(VLOOKUP($A1453,'Concrete Beam Schedule'!$A$2:$Q$2902,AE$2,0)&lt;&gt;O1453,"Beam Revised","")</f>
        <v>#N/A</v>
      </c>
    </row>
    <row r="1454" spans="17:31" ht="20.100000000000001" customHeight="1" x14ac:dyDescent="0.25">
      <c r="Q1454" s="7">
        <f t="shared" si="22"/>
        <v>0</v>
      </c>
      <c r="R1454" s="7" t="e">
        <f>IF(VLOOKUP($A1454,'Concrete Beam Schedule'!$A$2:$Q$2902,R$2,0)&lt;&gt;B1454,VLOOKUP($A1454,'Concrete Beam Schedule'!$A$2:$Q$2902,R$2,0),"")</f>
        <v>#N/A</v>
      </c>
      <c r="S1454" s="7" t="e">
        <f>IF(VLOOKUP($A1454,'Concrete Beam Schedule'!$A$2:$Q$2902,S$2,0)&lt;&gt;C1454,VLOOKUP($A1454,'Concrete Beam Schedule'!$A$2:$Q$2902,S$2,0),"")</f>
        <v>#N/A</v>
      </c>
      <c r="T1454" s="7" t="e">
        <f>IF(VLOOKUP($A1454,'Concrete Beam Schedule'!$A$2:$Q$2902,T$2,0)&lt;&gt;D1454,"Beam Revised","")</f>
        <v>#N/A</v>
      </c>
      <c r="U1454" s="7" t="e">
        <f>IF(VLOOKUP($A1454,'Concrete Beam Schedule'!$A$2:$Q$2902,U$2,0)&lt;&gt;E1454,"Beam Revised","")</f>
        <v>#N/A</v>
      </c>
      <c r="V1454" s="7" t="e">
        <f>IF(VLOOKUP($A1454,'Concrete Beam Schedule'!$A$2:$Q$2902,V$2,0)&lt;&gt;F1454,"Beam Revised","")</f>
        <v>#N/A</v>
      </c>
      <c r="W1454" s="7" t="e">
        <f>IF(VLOOKUP($A1454,'Concrete Beam Schedule'!$A$2:$Q$2902,W$2,0)&lt;&gt;G1454,"Beam Revised","")</f>
        <v>#N/A</v>
      </c>
      <c r="X1454" s="7" t="e">
        <f>IF(VLOOKUP($A1454,'Concrete Beam Schedule'!$A$2:$Q$2902,X$2,0)&lt;&gt;H1454,"Beam Revised","")</f>
        <v>#N/A</v>
      </c>
      <c r="Y1454" s="7" t="e">
        <f>IF(VLOOKUP($A1454,'Concrete Beam Schedule'!$A$2:$Q$2902,Y$2,0)&lt;&gt;I1454,"Beam Revised","")</f>
        <v>#N/A</v>
      </c>
      <c r="Z1454" s="7" t="e">
        <f>IF(VLOOKUP($A1454,'Concrete Beam Schedule'!$A$2:$Q$2902,Z$2,0)&lt;&gt;J1454,"Beam Revised","")</f>
        <v>#N/A</v>
      </c>
      <c r="AA1454" s="7" t="e">
        <f>IF(VLOOKUP($A1454,'Concrete Beam Schedule'!$A$2:$Q$2902,AA$2,0)&lt;&gt;K1454,"Beam Revised","")</f>
        <v>#N/A</v>
      </c>
      <c r="AB1454" s="7" t="e">
        <f>IF(VLOOKUP($A1454,'Concrete Beam Schedule'!$A$2:$Q$2902,AB$2,0)&lt;&gt;L1454,"Beam Revised","")</f>
        <v>#N/A</v>
      </c>
      <c r="AC1454" s="7" t="e">
        <f>IF(VLOOKUP($A1454,'Concrete Beam Schedule'!$A$2:$Q$2902,AC$2,0)&lt;&gt;M1454,"Beam Revised","")</f>
        <v>#N/A</v>
      </c>
      <c r="AD1454" s="7" t="e">
        <f>IF(VLOOKUP($A1454,'Concrete Beam Schedule'!$A$2:$Q$2902,AD$2,0)&lt;&gt;N1454,"Beam Revised","")</f>
        <v>#N/A</v>
      </c>
      <c r="AE1454" s="7" t="e">
        <f>IF(VLOOKUP($A1454,'Concrete Beam Schedule'!$A$2:$Q$2902,AE$2,0)&lt;&gt;O1454,"Beam Revised","")</f>
        <v>#N/A</v>
      </c>
    </row>
    <row r="1455" spans="17:31" ht="20.100000000000001" customHeight="1" x14ac:dyDescent="0.25">
      <c r="Q1455" s="7">
        <f t="shared" si="22"/>
        <v>0</v>
      </c>
      <c r="R1455" s="7" t="e">
        <f>IF(VLOOKUP($A1455,'Concrete Beam Schedule'!$A$2:$Q$2902,R$2,0)&lt;&gt;B1455,VLOOKUP($A1455,'Concrete Beam Schedule'!$A$2:$Q$2902,R$2,0),"")</f>
        <v>#N/A</v>
      </c>
      <c r="S1455" s="7" t="e">
        <f>IF(VLOOKUP($A1455,'Concrete Beam Schedule'!$A$2:$Q$2902,S$2,0)&lt;&gt;C1455,VLOOKUP($A1455,'Concrete Beam Schedule'!$A$2:$Q$2902,S$2,0),"")</f>
        <v>#N/A</v>
      </c>
      <c r="T1455" s="7" t="e">
        <f>IF(VLOOKUP($A1455,'Concrete Beam Schedule'!$A$2:$Q$2902,T$2,0)&lt;&gt;D1455,"Beam Revised","")</f>
        <v>#N/A</v>
      </c>
      <c r="U1455" s="7" t="e">
        <f>IF(VLOOKUP($A1455,'Concrete Beam Schedule'!$A$2:$Q$2902,U$2,0)&lt;&gt;E1455,"Beam Revised","")</f>
        <v>#N/A</v>
      </c>
      <c r="V1455" s="7" t="e">
        <f>IF(VLOOKUP($A1455,'Concrete Beam Schedule'!$A$2:$Q$2902,V$2,0)&lt;&gt;F1455,"Beam Revised","")</f>
        <v>#N/A</v>
      </c>
      <c r="W1455" s="7" t="e">
        <f>IF(VLOOKUP($A1455,'Concrete Beam Schedule'!$A$2:$Q$2902,W$2,0)&lt;&gt;G1455,"Beam Revised","")</f>
        <v>#N/A</v>
      </c>
      <c r="X1455" s="7" t="e">
        <f>IF(VLOOKUP($A1455,'Concrete Beam Schedule'!$A$2:$Q$2902,X$2,0)&lt;&gt;H1455,"Beam Revised","")</f>
        <v>#N/A</v>
      </c>
      <c r="Y1455" s="7" t="e">
        <f>IF(VLOOKUP($A1455,'Concrete Beam Schedule'!$A$2:$Q$2902,Y$2,0)&lt;&gt;I1455,"Beam Revised","")</f>
        <v>#N/A</v>
      </c>
      <c r="Z1455" s="7" t="e">
        <f>IF(VLOOKUP($A1455,'Concrete Beam Schedule'!$A$2:$Q$2902,Z$2,0)&lt;&gt;J1455,"Beam Revised","")</f>
        <v>#N/A</v>
      </c>
      <c r="AA1455" s="7" t="e">
        <f>IF(VLOOKUP($A1455,'Concrete Beam Schedule'!$A$2:$Q$2902,AA$2,0)&lt;&gt;K1455,"Beam Revised","")</f>
        <v>#N/A</v>
      </c>
      <c r="AB1455" s="7" t="e">
        <f>IF(VLOOKUP($A1455,'Concrete Beam Schedule'!$A$2:$Q$2902,AB$2,0)&lt;&gt;L1455,"Beam Revised","")</f>
        <v>#N/A</v>
      </c>
      <c r="AC1455" s="7" t="e">
        <f>IF(VLOOKUP($A1455,'Concrete Beam Schedule'!$A$2:$Q$2902,AC$2,0)&lt;&gt;M1455,"Beam Revised","")</f>
        <v>#N/A</v>
      </c>
      <c r="AD1455" s="7" t="e">
        <f>IF(VLOOKUP($A1455,'Concrete Beam Schedule'!$A$2:$Q$2902,AD$2,0)&lt;&gt;N1455,"Beam Revised","")</f>
        <v>#N/A</v>
      </c>
      <c r="AE1455" s="7" t="e">
        <f>IF(VLOOKUP($A1455,'Concrete Beam Schedule'!$A$2:$Q$2902,AE$2,0)&lt;&gt;O1455,"Beam Revised","")</f>
        <v>#N/A</v>
      </c>
    </row>
    <row r="1456" spans="17:31" ht="20.100000000000001" customHeight="1" x14ac:dyDescent="0.25">
      <c r="Q1456" s="7">
        <f t="shared" si="22"/>
        <v>0</v>
      </c>
      <c r="R1456" s="7" t="e">
        <f>IF(VLOOKUP($A1456,'Concrete Beam Schedule'!$A$2:$Q$2902,R$2,0)&lt;&gt;B1456,VLOOKUP($A1456,'Concrete Beam Schedule'!$A$2:$Q$2902,R$2,0),"")</f>
        <v>#N/A</v>
      </c>
      <c r="S1456" s="7" t="e">
        <f>IF(VLOOKUP($A1456,'Concrete Beam Schedule'!$A$2:$Q$2902,S$2,0)&lt;&gt;C1456,VLOOKUP($A1456,'Concrete Beam Schedule'!$A$2:$Q$2902,S$2,0),"")</f>
        <v>#N/A</v>
      </c>
      <c r="T1456" s="7" t="e">
        <f>IF(VLOOKUP($A1456,'Concrete Beam Schedule'!$A$2:$Q$2902,T$2,0)&lt;&gt;D1456,"Beam Revised","")</f>
        <v>#N/A</v>
      </c>
      <c r="U1456" s="7" t="e">
        <f>IF(VLOOKUP($A1456,'Concrete Beam Schedule'!$A$2:$Q$2902,U$2,0)&lt;&gt;E1456,"Beam Revised","")</f>
        <v>#N/A</v>
      </c>
      <c r="V1456" s="7" t="e">
        <f>IF(VLOOKUP($A1456,'Concrete Beam Schedule'!$A$2:$Q$2902,V$2,0)&lt;&gt;F1456,"Beam Revised","")</f>
        <v>#N/A</v>
      </c>
      <c r="W1456" s="7" t="e">
        <f>IF(VLOOKUP($A1456,'Concrete Beam Schedule'!$A$2:$Q$2902,W$2,0)&lt;&gt;G1456,"Beam Revised","")</f>
        <v>#N/A</v>
      </c>
      <c r="X1456" s="7" t="e">
        <f>IF(VLOOKUP($A1456,'Concrete Beam Schedule'!$A$2:$Q$2902,X$2,0)&lt;&gt;H1456,"Beam Revised","")</f>
        <v>#N/A</v>
      </c>
      <c r="Y1456" s="7" t="e">
        <f>IF(VLOOKUP($A1456,'Concrete Beam Schedule'!$A$2:$Q$2902,Y$2,0)&lt;&gt;I1456,"Beam Revised","")</f>
        <v>#N/A</v>
      </c>
      <c r="Z1456" s="7" t="e">
        <f>IF(VLOOKUP($A1456,'Concrete Beam Schedule'!$A$2:$Q$2902,Z$2,0)&lt;&gt;J1456,"Beam Revised","")</f>
        <v>#N/A</v>
      </c>
      <c r="AA1456" s="7" t="e">
        <f>IF(VLOOKUP($A1456,'Concrete Beam Schedule'!$A$2:$Q$2902,AA$2,0)&lt;&gt;K1456,"Beam Revised","")</f>
        <v>#N/A</v>
      </c>
      <c r="AB1456" s="7" t="e">
        <f>IF(VLOOKUP($A1456,'Concrete Beam Schedule'!$A$2:$Q$2902,AB$2,0)&lt;&gt;L1456,"Beam Revised","")</f>
        <v>#N/A</v>
      </c>
      <c r="AC1456" s="7" t="e">
        <f>IF(VLOOKUP($A1456,'Concrete Beam Schedule'!$A$2:$Q$2902,AC$2,0)&lt;&gt;M1456,"Beam Revised","")</f>
        <v>#N/A</v>
      </c>
      <c r="AD1456" s="7" t="e">
        <f>IF(VLOOKUP($A1456,'Concrete Beam Schedule'!$A$2:$Q$2902,AD$2,0)&lt;&gt;N1456,"Beam Revised","")</f>
        <v>#N/A</v>
      </c>
      <c r="AE1456" s="7" t="e">
        <f>IF(VLOOKUP($A1456,'Concrete Beam Schedule'!$A$2:$Q$2902,AE$2,0)&lt;&gt;O1456,"Beam Revised","")</f>
        <v>#N/A</v>
      </c>
    </row>
    <row r="1457" spans="17:31" ht="20.100000000000001" customHeight="1" x14ac:dyDescent="0.25">
      <c r="Q1457" s="7">
        <f t="shared" si="22"/>
        <v>0</v>
      </c>
      <c r="R1457" s="7" t="e">
        <f>IF(VLOOKUP($A1457,'Concrete Beam Schedule'!$A$2:$Q$2902,R$2,0)&lt;&gt;B1457,VLOOKUP($A1457,'Concrete Beam Schedule'!$A$2:$Q$2902,R$2,0),"")</f>
        <v>#N/A</v>
      </c>
      <c r="S1457" s="7" t="e">
        <f>IF(VLOOKUP($A1457,'Concrete Beam Schedule'!$A$2:$Q$2902,S$2,0)&lt;&gt;C1457,VLOOKUP($A1457,'Concrete Beam Schedule'!$A$2:$Q$2902,S$2,0),"")</f>
        <v>#N/A</v>
      </c>
      <c r="T1457" s="7" t="e">
        <f>IF(VLOOKUP($A1457,'Concrete Beam Schedule'!$A$2:$Q$2902,T$2,0)&lt;&gt;D1457,"Beam Revised","")</f>
        <v>#N/A</v>
      </c>
      <c r="U1457" s="7" t="e">
        <f>IF(VLOOKUP($A1457,'Concrete Beam Schedule'!$A$2:$Q$2902,U$2,0)&lt;&gt;E1457,"Beam Revised","")</f>
        <v>#N/A</v>
      </c>
      <c r="V1457" s="7" t="e">
        <f>IF(VLOOKUP($A1457,'Concrete Beam Schedule'!$A$2:$Q$2902,V$2,0)&lt;&gt;F1457,"Beam Revised","")</f>
        <v>#N/A</v>
      </c>
      <c r="W1457" s="7" t="e">
        <f>IF(VLOOKUP($A1457,'Concrete Beam Schedule'!$A$2:$Q$2902,W$2,0)&lt;&gt;G1457,"Beam Revised","")</f>
        <v>#N/A</v>
      </c>
      <c r="X1457" s="7" t="e">
        <f>IF(VLOOKUP($A1457,'Concrete Beam Schedule'!$A$2:$Q$2902,X$2,0)&lt;&gt;H1457,"Beam Revised","")</f>
        <v>#N/A</v>
      </c>
      <c r="Y1457" s="7" t="e">
        <f>IF(VLOOKUP($A1457,'Concrete Beam Schedule'!$A$2:$Q$2902,Y$2,0)&lt;&gt;I1457,"Beam Revised","")</f>
        <v>#N/A</v>
      </c>
      <c r="Z1457" s="7" t="e">
        <f>IF(VLOOKUP($A1457,'Concrete Beam Schedule'!$A$2:$Q$2902,Z$2,0)&lt;&gt;J1457,"Beam Revised","")</f>
        <v>#N/A</v>
      </c>
      <c r="AA1457" s="7" t="e">
        <f>IF(VLOOKUP($A1457,'Concrete Beam Schedule'!$A$2:$Q$2902,AA$2,0)&lt;&gt;K1457,"Beam Revised","")</f>
        <v>#N/A</v>
      </c>
      <c r="AB1457" s="7" t="e">
        <f>IF(VLOOKUP($A1457,'Concrete Beam Schedule'!$A$2:$Q$2902,AB$2,0)&lt;&gt;L1457,"Beam Revised","")</f>
        <v>#N/A</v>
      </c>
      <c r="AC1457" s="7" t="e">
        <f>IF(VLOOKUP($A1457,'Concrete Beam Schedule'!$A$2:$Q$2902,AC$2,0)&lt;&gt;M1457,"Beam Revised","")</f>
        <v>#N/A</v>
      </c>
      <c r="AD1457" s="7" t="e">
        <f>IF(VLOOKUP($A1457,'Concrete Beam Schedule'!$A$2:$Q$2902,AD$2,0)&lt;&gt;N1457,"Beam Revised","")</f>
        <v>#N/A</v>
      </c>
      <c r="AE1457" s="7" t="e">
        <f>IF(VLOOKUP($A1457,'Concrete Beam Schedule'!$A$2:$Q$2902,AE$2,0)&lt;&gt;O1457,"Beam Revised","")</f>
        <v>#N/A</v>
      </c>
    </row>
    <row r="1458" spans="17:31" ht="20.100000000000001" customHeight="1" x14ac:dyDescent="0.25">
      <c r="Q1458" s="7">
        <f t="shared" si="22"/>
        <v>0</v>
      </c>
      <c r="R1458" s="7" t="e">
        <f>IF(VLOOKUP($A1458,'Concrete Beam Schedule'!$A$2:$Q$2902,R$2,0)&lt;&gt;B1458,VLOOKUP($A1458,'Concrete Beam Schedule'!$A$2:$Q$2902,R$2,0),"")</f>
        <v>#N/A</v>
      </c>
      <c r="S1458" s="7" t="e">
        <f>IF(VLOOKUP($A1458,'Concrete Beam Schedule'!$A$2:$Q$2902,S$2,0)&lt;&gt;C1458,VLOOKUP($A1458,'Concrete Beam Schedule'!$A$2:$Q$2902,S$2,0),"")</f>
        <v>#N/A</v>
      </c>
      <c r="T1458" s="7" t="e">
        <f>IF(VLOOKUP($A1458,'Concrete Beam Schedule'!$A$2:$Q$2902,T$2,0)&lt;&gt;D1458,"Beam Revised","")</f>
        <v>#N/A</v>
      </c>
      <c r="U1458" s="7" t="e">
        <f>IF(VLOOKUP($A1458,'Concrete Beam Schedule'!$A$2:$Q$2902,U$2,0)&lt;&gt;E1458,"Beam Revised","")</f>
        <v>#N/A</v>
      </c>
      <c r="V1458" s="7" t="e">
        <f>IF(VLOOKUP($A1458,'Concrete Beam Schedule'!$A$2:$Q$2902,V$2,0)&lt;&gt;F1458,"Beam Revised","")</f>
        <v>#N/A</v>
      </c>
      <c r="W1458" s="7" t="e">
        <f>IF(VLOOKUP($A1458,'Concrete Beam Schedule'!$A$2:$Q$2902,W$2,0)&lt;&gt;G1458,"Beam Revised","")</f>
        <v>#N/A</v>
      </c>
      <c r="X1458" s="7" t="e">
        <f>IF(VLOOKUP($A1458,'Concrete Beam Schedule'!$A$2:$Q$2902,X$2,0)&lt;&gt;H1458,"Beam Revised","")</f>
        <v>#N/A</v>
      </c>
      <c r="Y1458" s="7" t="e">
        <f>IF(VLOOKUP($A1458,'Concrete Beam Schedule'!$A$2:$Q$2902,Y$2,0)&lt;&gt;I1458,"Beam Revised","")</f>
        <v>#N/A</v>
      </c>
      <c r="Z1458" s="7" t="e">
        <f>IF(VLOOKUP($A1458,'Concrete Beam Schedule'!$A$2:$Q$2902,Z$2,0)&lt;&gt;J1458,"Beam Revised","")</f>
        <v>#N/A</v>
      </c>
      <c r="AA1458" s="7" t="e">
        <f>IF(VLOOKUP($A1458,'Concrete Beam Schedule'!$A$2:$Q$2902,AA$2,0)&lt;&gt;K1458,"Beam Revised","")</f>
        <v>#N/A</v>
      </c>
      <c r="AB1458" s="7" t="e">
        <f>IF(VLOOKUP($A1458,'Concrete Beam Schedule'!$A$2:$Q$2902,AB$2,0)&lt;&gt;L1458,"Beam Revised","")</f>
        <v>#N/A</v>
      </c>
      <c r="AC1458" s="7" t="e">
        <f>IF(VLOOKUP($A1458,'Concrete Beam Schedule'!$A$2:$Q$2902,AC$2,0)&lt;&gt;M1458,"Beam Revised","")</f>
        <v>#N/A</v>
      </c>
      <c r="AD1458" s="7" t="e">
        <f>IF(VLOOKUP($A1458,'Concrete Beam Schedule'!$A$2:$Q$2902,AD$2,0)&lt;&gt;N1458,"Beam Revised","")</f>
        <v>#N/A</v>
      </c>
      <c r="AE1458" s="7" t="e">
        <f>IF(VLOOKUP($A1458,'Concrete Beam Schedule'!$A$2:$Q$2902,AE$2,0)&lt;&gt;O1458,"Beam Revised","")</f>
        <v>#N/A</v>
      </c>
    </row>
    <row r="1459" spans="17:31" ht="20.100000000000001" customHeight="1" x14ac:dyDescent="0.25">
      <c r="Q1459" s="7">
        <f t="shared" si="22"/>
        <v>0</v>
      </c>
      <c r="R1459" s="7" t="e">
        <f>IF(VLOOKUP($A1459,'Concrete Beam Schedule'!$A$2:$Q$2902,R$2,0)&lt;&gt;B1459,VLOOKUP($A1459,'Concrete Beam Schedule'!$A$2:$Q$2902,R$2,0),"")</f>
        <v>#N/A</v>
      </c>
      <c r="S1459" s="7" t="e">
        <f>IF(VLOOKUP($A1459,'Concrete Beam Schedule'!$A$2:$Q$2902,S$2,0)&lt;&gt;C1459,VLOOKUP($A1459,'Concrete Beam Schedule'!$A$2:$Q$2902,S$2,0),"")</f>
        <v>#N/A</v>
      </c>
      <c r="T1459" s="7" t="e">
        <f>IF(VLOOKUP($A1459,'Concrete Beam Schedule'!$A$2:$Q$2902,T$2,0)&lt;&gt;D1459,"Beam Revised","")</f>
        <v>#N/A</v>
      </c>
      <c r="U1459" s="7" t="e">
        <f>IF(VLOOKUP($A1459,'Concrete Beam Schedule'!$A$2:$Q$2902,U$2,0)&lt;&gt;E1459,"Beam Revised","")</f>
        <v>#N/A</v>
      </c>
      <c r="V1459" s="7" t="e">
        <f>IF(VLOOKUP($A1459,'Concrete Beam Schedule'!$A$2:$Q$2902,V$2,0)&lt;&gt;F1459,"Beam Revised","")</f>
        <v>#N/A</v>
      </c>
      <c r="W1459" s="7" t="e">
        <f>IF(VLOOKUP($A1459,'Concrete Beam Schedule'!$A$2:$Q$2902,W$2,0)&lt;&gt;G1459,"Beam Revised","")</f>
        <v>#N/A</v>
      </c>
      <c r="X1459" s="7" t="e">
        <f>IF(VLOOKUP($A1459,'Concrete Beam Schedule'!$A$2:$Q$2902,X$2,0)&lt;&gt;H1459,"Beam Revised","")</f>
        <v>#N/A</v>
      </c>
      <c r="Y1459" s="7" t="e">
        <f>IF(VLOOKUP($A1459,'Concrete Beam Schedule'!$A$2:$Q$2902,Y$2,0)&lt;&gt;I1459,"Beam Revised","")</f>
        <v>#N/A</v>
      </c>
      <c r="Z1459" s="7" t="e">
        <f>IF(VLOOKUP($A1459,'Concrete Beam Schedule'!$A$2:$Q$2902,Z$2,0)&lt;&gt;J1459,"Beam Revised","")</f>
        <v>#N/A</v>
      </c>
      <c r="AA1459" s="7" t="e">
        <f>IF(VLOOKUP($A1459,'Concrete Beam Schedule'!$A$2:$Q$2902,AA$2,0)&lt;&gt;K1459,"Beam Revised","")</f>
        <v>#N/A</v>
      </c>
      <c r="AB1459" s="7" t="e">
        <f>IF(VLOOKUP($A1459,'Concrete Beam Schedule'!$A$2:$Q$2902,AB$2,0)&lt;&gt;L1459,"Beam Revised","")</f>
        <v>#N/A</v>
      </c>
      <c r="AC1459" s="7" t="e">
        <f>IF(VLOOKUP($A1459,'Concrete Beam Schedule'!$A$2:$Q$2902,AC$2,0)&lt;&gt;M1459,"Beam Revised","")</f>
        <v>#N/A</v>
      </c>
      <c r="AD1459" s="7" t="e">
        <f>IF(VLOOKUP($A1459,'Concrete Beam Schedule'!$A$2:$Q$2902,AD$2,0)&lt;&gt;N1459,"Beam Revised","")</f>
        <v>#N/A</v>
      </c>
      <c r="AE1459" s="7" t="e">
        <f>IF(VLOOKUP($A1459,'Concrete Beam Schedule'!$A$2:$Q$2902,AE$2,0)&lt;&gt;O1459,"Beam Revised","")</f>
        <v>#N/A</v>
      </c>
    </row>
    <row r="1460" spans="17:31" ht="20.100000000000001" customHeight="1" x14ac:dyDescent="0.25">
      <c r="Q1460" s="7">
        <f t="shared" si="22"/>
        <v>0</v>
      </c>
      <c r="R1460" s="7" t="e">
        <f>IF(VLOOKUP($A1460,'Concrete Beam Schedule'!$A$2:$Q$2902,R$2,0)&lt;&gt;B1460,VLOOKUP($A1460,'Concrete Beam Schedule'!$A$2:$Q$2902,R$2,0),"")</f>
        <v>#N/A</v>
      </c>
      <c r="S1460" s="7" t="e">
        <f>IF(VLOOKUP($A1460,'Concrete Beam Schedule'!$A$2:$Q$2902,S$2,0)&lt;&gt;C1460,VLOOKUP($A1460,'Concrete Beam Schedule'!$A$2:$Q$2902,S$2,0),"")</f>
        <v>#N/A</v>
      </c>
      <c r="T1460" s="7" t="e">
        <f>IF(VLOOKUP($A1460,'Concrete Beam Schedule'!$A$2:$Q$2902,T$2,0)&lt;&gt;D1460,"Beam Revised","")</f>
        <v>#N/A</v>
      </c>
      <c r="U1460" s="7" t="e">
        <f>IF(VLOOKUP($A1460,'Concrete Beam Schedule'!$A$2:$Q$2902,U$2,0)&lt;&gt;E1460,"Beam Revised","")</f>
        <v>#N/A</v>
      </c>
      <c r="V1460" s="7" t="e">
        <f>IF(VLOOKUP($A1460,'Concrete Beam Schedule'!$A$2:$Q$2902,V$2,0)&lt;&gt;F1460,"Beam Revised","")</f>
        <v>#N/A</v>
      </c>
      <c r="W1460" s="7" t="e">
        <f>IF(VLOOKUP($A1460,'Concrete Beam Schedule'!$A$2:$Q$2902,W$2,0)&lt;&gt;G1460,"Beam Revised","")</f>
        <v>#N/A</v>
      </c>
      <c r="X1460" s="7" t="e">
        <f>IF(VLOOKUP($A1460,'Concrete Beam Schedule'!$A$2:$Q$2902,X$2,0)&lt;&gt;H1460,"Beam Revised","")</f>
        <v>#N/A</v>
      </c>
      <c r="Y1460" s="7" t="e">
        <f>IF(VLOOKUP($A1460,'Concrete Beam Schedule'!$A$2:$Q$2902,Y$2,0)&lt;&gt;I1460,"Beam Revised","")</f>
        <v>#N/A</v>
      </c>
      <c r="Z1460" s="7" t="e">
        <f>IF(VLOOKUP($A1460,'Concrete Beam Schedule'!$A$2:$Q$2902,Z$2,0)&lt;&gt;J1460,"Beam Revised","")</f>
        <v>#N/A</v>
      </c>
      <c r="AA1460" s="7" t="e">
        <f>IF(VLOOKUP($A1460,'Concrete Beam Schedule'!$A$2:$Q$2902,AA$2,0)&lt;&gt;K1460,"Beam Revised","")</f>
        <v>#N/A</v>
      </c>
      <c r="AB1460" s="7" t="e">
        <f>IF(VLOOKUP($A1460,'Concrete Beam Schedule'!$A$2:$Q$2902,AB$2,0)&lt;&gt;L1460,"Beam Revised","")</f>
        <v>#N/A</v>
      </c>
      <c r="AC1460" s="7" t="e">
        <f>IF(VLOOKUP($A1460,'Concrete Beam Schedule'!$A$2:$Q$2902,AC$2,0)&lt;&gt;M1460,"Beam Revised","")</f>
        <v>#N/A</v>
      </c>
      <c r="AD1460" s="7" t="e">
        <f>IF(VLOOKUP($A1460,'Concrete Beam Schedule'!$A$2:$Q$2902,AD$2,0)&lt;&gt;N1460,"Beam Revised","")</f>
        <v>#N/A</v>
      </c>
      <c r="AE1460" s="7" t="e">
        <f>IF(VLOOKUP($A1460,'Concrete Beam Schedule'!$A$2:$Q$2902,AE$2,0)&lt;&gt;O1460,"Beam Revised","")</f>
        <v>#N/A</v>
      </c>
    </row>
    <row r="1461" spans="17:31" ht="20.100000000000001" customHeight="1" x14ac:dyDescent="0.25">
      <c r="Q1461" s="7">
        <f t="shared" si="22"/>
        <v>0</v>
      </c>
      <c r="R1461" s="7" t="e">
        <f>IF(VLOOKUP($A1461,'Concrete Beam Schedule'!$A$2:$Q$2902,R$2,0)&lt;&gt;B1461,VLOOKUP($A1461,'Concrete Beam Schedule'!$A$2:$Q$2902,R$2,0),"")</f>
        <v>#N/A</v>
      </c>
      <c r="S1461" s="7" t="e">
        <f>IF(VLOOKUP($A1461,'Concrete Beam Schedule'!$A$2:$Q$2902,S$2,0)&lt;&gt;C1461,VLOOKUP($A1461,'Concrete Beam Schedule'!$A$2:$Q$2902,S$2,0),"")</f>
        <v>#N/A</v>
      </c>
      <c r="T1461" s="7" t="e">
        <f>IF(VLOOKUP($A1461,'Concrete Beam Schedule'!$A$2:$Q$2902,T$2,0)&lt;&gt;D1461,"Beam Revised","")</f>
        <v>#N/A</v>
      </c>
      <c r="U1461" s="7" t="e">
        <f>IF(VLOOKUP($A1461,'Concrete Beam Schedule'!$A$2:$Q$2902,U$2,0)&lt;&gt;E1461,"Beam Revised","")</f>
        <v>#N/A</v>
      </c>
      <c r="V1461" s="7" t="e">
        <f>IF(VLOOKUP($A1461,'Concrete Beam Schedule'!$A$2:$Q$2902,V$2,0)&lt;&gt;F1461,"Beam Revised","")</f>
        <v>#N/A</v>
      </c>
      <c r="W1461" s="7" t="e">
        <f>IF(VLOOKUP($A1461,'Concrete Beam Schedule'!$A$2:$Q$2902,W$2,0)&lt;&gt;G1461,"Beam Revised","")</f>
        <v>#N/A</v>
      </c>
      <c r="X1461" s="7" t="e">
        <f>IF(VLOOKUP($A1461,'Concrete Beam Schedule'!$A$2:$Q$2902,X$2,0)&lt;&gt;H1461,"Beam Revised","")</f>
        <v>#N/A</v>
      </c>
      <c r="Y1461" s="7" t="e">
        <f>IF(VLOOKUP($A1461,'Concrete Beam Schedule'!$A$2:$Q$2902,Y$2,0)&lt;&gt;I1461,"Beam Revised","")</f>
        <v>#N/A</v>
      </c>
      <c r="Z1461" s="7" t="e">
        <f>IF(VLOOKUP($A1461,'Concrete Beam Schedule'!$A$2:$Q$2902,Z$2,0)&lt;&gt;J1461,"Beam Revised","")</f>
        <v>#N/A</v>
      </c>
      <c r="AA1461" s="7" t="e">
        <f>IF(VLOOKUP($A1461,'Concrete Beam Schedule'!$A$2:$Q$2902,AA$2,0)&lt;&gt;K1461,"Beam Revised","")</f>
        <v>#N/A</v>
      </c>
      <c r="AB1461" s="7" t="e">
        <f>IF(VLOOKUP($A1461,'Concrete Beam Schedule'!$A$2:$Q$2902,AB$2,0)&lt;&gt;L1461,"Beam Revised","")</f>
        <v>#N/A</v>
      </c>
      <c r="AC1461" s="7" t="e">
        <f>IF(VLOOKUP($A1461,'Concrete Beam Schedule'!$A$2:$Q$2902,AC$2,0)&lt;&gt;M1461,"Beam Revised","")</f>
        <v>#N/A</v>
      </c>
      <c r="AD1461" s="7" t="e">
        <f>IF(VLOOKUP($A1461,'Concrete Beam Schedule'!$A$2:$Q$2902,AD$2,0)&lt;&gt;N1461,"Beam Revised","")</f>
        <v>#N/A</v>
      </c>
      <c r="AE1461" s="7" t="e">
        <f>IF(VLOOKUP($A1461,'Concrete Beam Schedule'!$A$2:$Q$2902,AE$2,0)&lt;&gt;O1461,"Beam Revised","")</f>
        <v>#N/A</v>
      </c>
    </row>
    <row r="1462" spans="17:31" ht="20.100000000000001" customHeight="1" x14ac:dyDescent="0.25">
      <c r="Q1462" s="7">
        <f t="shared" si="22"/>
        <v>0</v>
      </c>
      <c r="R1462" s="7" t="e">
        <f>IF(VLOOKUP($A1462,'Concrete Beam Schedule'!$A$2:$Q$2902,R$2,0)&lt;&gt;B1462,VLOOKUP($A1462,'Concrete Beam Schedule'!$A$2:$Q$2902,R$2,0),"")</f>
        <v>#N/A</v>
      </c>
      <c r="S1462" s="7" t="e">
        <f>IF(VLOOKUP($A1462,'Concrete Beam Schedule'!$A$2:$Q$2902,S$2,0)&lt;&gt;C1462,VLOOKUP($A1462,'Concrete Beam Schedule'!$A$2:$Q$2902,S$2,0),"")</f>
        <v>#N/A</v>
      </c>
      <c r="T1462" s="7" t="e">
        <f>IF(VLOOKUP($A1462,'Concrete Beam Schedule'!$A$2:$Q$2902,T$2,0)&lt;&gt;D1462,"Beam Revised","")</f>
        <v>#N/A</v>
      </c>
      <c r="U1462" s="7" t="e">
        <f>IF(VLOOKUP($A1462,'Concrete Beam Schedule'!$A$2:$Q$2902,U$2,0)&lt;&gt;E1462,"Beam Revised","")</f>
        <v>#N/A</v>
      </c>
      <c r="V1462" s="7" t="e">
        <f>IF(VLOOKUP($A1462,'Concrete Beam Schedule'!$A$2:$Q$2902,V$2,0)&lt;&gt;F1462,"Beam Revised","")</f>
        <v>#N/A</v>
      </c>
      <c r="W1462" s="7" t="e">
        <f>IF(VLOOKUP($A1462,'Concrete Beam Schedule'!$A$2:$Q$2902,W$2,0)&lt;&gt;G1462,"Beam Revised","")</f>
        <v>#N/A</v>
      </c>
      <c r="X1462" s="7" t="e">
        <f>IF(VLOOKUP($A1462,'Concrete Beam Schedule'!$A$2:$Q$2902,X$2,0)&lt;&gt;H1462,"Beam Revised","")</f>
        <v>#N/A</v>
      </c>
      <c r="Y1462" s="7" t="e">
        <f>IF(VLOOKUP($A1462,'Concrete Beam Schedule'!$A$2:$Q$2902,Y$2,0)&lt;&gt;I1462,"Beam Revised","")</f>
        <v>#N/A</v>
      </c>
      <c r="Z1462" s="7" t="e">
        <f>IF(VLOOKUP($A1462,'Concrete Beam Schedule'!$A$2:$Q$2902,Z$2,0)&lt;&gt;J1462,"Beam Revised","")</f>
        <v>#N/A</v>
      </c>
      <c r="AA1462" s="7" t="e">
        <f>IF(VLOOKUP($A1462,'Concrete Beam Schedule'!$A$2:$Q$2902,AA$2,0)&lt;&gt;K1462,"Beam Revised","")</f>
        <v>#N/A</v>
      </c>
      <c r="AB1462" s="7" t="e">
        <f>IF(VLOOKUP($A1462,'Concrete Beam Schedule'!$A$2:$Q$2902,AB$2,0)&lt;&gt;L1462,"Beam Revised","")</f>
        <v>#N/A</v>
      </c>
      <c r="AC1462" s="7" t="e">
        <f>IF(VLOOKUP($A1462,'Concrete Beam Schedule'!$A$2:$Q$2902,AC$2,0)&lt;&gt;M1462,"Beam Revised","")</f>
        <v>#N/A</v>
      </c>
      <c r="AD1462" s="7" t="e">
        <f>IF(VLOOKUP($A1462,'Concrete Beam Schedule'!$A$2:$Q$2902,AD$2,0)&lt;&gt;N1462,"Beam Revised","")</f>
        <v>#N/A</v>
      </c>
      <c r="AE1462" s="7" t="e">
        <f>IF(VLOOKUP($A1462,'Concrete Beam Schedule'!$A$2:$Q$2902,AE$2,0)&lt;&gt;O1462,"Beam Revised","")</f>
        <v>#N/A</v>
      </c>
    </row>
    <row r="1463" spans="17:31" ht="20.100000000000001" customHeight="1" x14ac:dyDescent="0.25">
      <c r="Q1463" s="7">
        <f t="shared" si="22"/>
        <v>0</v>
      </c>
      <c r="R1463" s="7" t="e">
        <f>IF(VLOOKUP($A1463,'Concrete Beam Schedule'!$A$2:$Q$2902,R$2,0)&lt;&gt;B1463,VLOOKUP($A1463,'Concrete Beam Schedule'!$A$2:$Q$2902,R$2,0),"")</f>
        <v>#N/A</v>
      </c>
      <c r="S1463" s="7" t="e">
        <f>IF(VLOOKUP($A1463,'Concrete Beam Schedule'!$A$2:$Q$2902,S$2,0)&lt;&gt;C1463,VLOOKUP($A1463,'Concrete Beam Schedule'!$A$2:$Q$2902,S$2,0),"")</f>
        <v>#N/A</v>
      </c>
      <c r="T1463" s="7" t="e">
        <f>IF(VLOOKUP($A1463,'Concrete Beam Schedule'!$A$2:$Q$2902,T$2,0)&lt;&gt;D1463,"Beam Revised","")</f>
        <v>#N/A</v>
      </c>
      <c r="U1463" s="7" t="e">
        <f>IF(VLOOKUP($A1463,'Concrete Beam Schedule'!$A$2:$Q$2902,U$2,0)&lt;&gt;E1463,"Beam Revised","")</f>
        <v>#N/A</v>
      </c>
      <c r="V1463" s="7" t="e">
        <f>IF(VLOOKUP($A1463,'Concrete Beam Schedule'!$A$2:$Q$2902,V$2,0)&lt;&gt;F1463,"Beam Revised","")</f>
        <v>#N/A</v>
      </c>
      <c r="W1463" s="7" t="e">
        <f>IF(VLOOKUP($A1463,'Concrete Beam Schedule'!$A$2:$Q$2902,W$2,0)&lt;&gt;G1463,"Beam Revised","")</f>
        <v>#N/A</v>
      </c>
      <c r="X1463" s="7" t="e">
        <f>IF(VLOOKUP($A1463,'Concrete Beam Schedule'!$A$2:$Q$2902,X$2,0)&lt;&gt;H1463,"Beam Revised","")</f>
        <v>#N/A</v>
      </c>
      <c r="Y1463" s="7" t="e">
        <f>IF(VLOOKUP($A1463,'Concrete Beam Schedule'!$A$2:$Q$2902,Y$2,0)&lt;&gt;I1463,"Beam Revised","")</f>
        <v>#N/A</v>
      </c>
      <c r="Z1463" s="7" t="e">
        <f>IF(VLOOKUP($A1463,'Concrete Beam Schedule'!$A$2:$Q$2902,Z$2,0)&lt;&gt;J1463,"Beam Revised","")</f>
        <v>#N/A</v>
      </c>
      <c r="AA1463" s="7" t="e">
        <f>IF(VLOOKUP($A1463,'Concrete Beam Schedule'!$A$2:$Q$2902,AA$2,0)&lt;&gt;K1463,"Beam Revised","")</f>
        <v>#N/A</v>
      </c>
      <c r="AB1463" s="7" t="e">
        <f>IF(VLOOKUP($A1463,'Concrete Beam Schedule'!$A$2:$Q$2902,AB$2,0)&lt;&gt;L1463,"Beam Revised","")</f>
        <v>#N/A</v>
      </c>
      <c r="AC1463" s="7" t="e">
        <f>IF(VLOOKUP($A1463,'Concrete Beam Schedule'!$A$2:$Q$2902,AC$2,0)&lt;&gt;M1463,"Beam Revised","")</f>
        <v>#N/A</v>
      </c>
      <c r="AD1463" s="7" t="e">
        <f>IF(VLOOKUP($A1463,'Concrete Beam Schedule'!$A$2:$Q$2902,AD$2,0)&lt;&gt;N1463,"Beam Revised","")</f>
        <v>#N/A</v>
      </c>
      <c r="AE1463" s="7" t="e">
        <f>IF(VLOOKUP($A1463,'Concrete Beam Schedule'!$A$2:$Q$2902,AE$2,0)&lt;&gt;O1463,"Beam Revised","")</f>
        <v>#N/A</v>
      </c>
    </row>
    <row r="1464" spans="17:31" ht="20.100000000000001" customHeight="1" x14ac:dyDescent="0.25">
      <c r="Q1464" s="7">
        <f t="shared" si="22"/>
        <v>0</v>
      </c>
      <c r="R1464" s="7" t="e">
        <f>IF(VLOOKUP($A1464,'Concrete Beam Schedule'!$A$2:$Q$2902,R$2,0)&lt;&gt;B1464,VLOOKUP($A1464,'Concrete Beam Schedule'!$A$2:$Q$2902,R$2,0),"")</f>
        <v>#N/A</v>
      </c>
      <c r="S1464" s="7" t="e">
        <f>IF(VLOOKUP($A1464,'Concrete Beam Schedule'!$A$2:$Q$2902,S$2,0)&lt;&gt;C1464,VLOOKUP($A1464,'Concrete Beam Schedule'!$A$2:$Q$2902,S$2,0),"")</f>
        <v>#N/A</v>
      </c>
      <c r="T1464" s="7" t="e">
        <f>IF(VLOOKUP($A1464,'Concrete Beam Schedule'!$A$2:$Q$2902,T$2,0)&lt;&gt;D1464,"Beam Revised","")</f>
        <v>#N/A</v>
      </c>
      <c r="U1464" s="7" t="e">
        <f>IF(VLOOKUP($A1464,'Concrete Beam Schedule'!$A$2:$Q$2902,U$2,0)&lt;&gt;E1464,"Beam Revised","")</f>
        <v>#N/A</v>
      </c>
      <c r="V1464" s="7" t="e">
        <f>IF(VLOOKUP($A1464,'Concrete Beam Schedule'!$A$2:$Q$2902,V$2,0)&lt;&gt;F1464,"Beam Revised","")</f>
        <v>#N/A</v>
      </c>
      <c r="W1464" s="7" t="e">
        <f>IF(VLOOKUP($A1464,'Concrete Beam Schedule'!$A$2:$Q$2902,W$2,0)&lt;&gt;G1464,"Beam Revised","")</f>
        <v>#N/A</v>
      </c>
      <c r="X1464" s="7" t="e">
        <f>IF(VLOOKUP($A1464,'Concrete Beam Schedule'!$A$2:$Q$2902,X$2,0)&lt;&gt;H1464,"Beam Revised","")</f>
        <v>#N/A</v>
      </c>
      <c r="Y1464" s="7" t="e">
        <f>IF(VLOOKUP($A1464,'Concrete Beam Schedule'!$A$2:$Q$2902,Y$2,0)&lt;&gt;I1464,"Beam Revised","")</f>
        <v>#N/A</v>
      </c>
      <c r="Z1464" s="7" t="e">
        <f>IF(VLOOKUP($A1464,'Concrete Beam Schedule'!$A$2:$Q$2902,Z$2,0)&lt;&gt;J1464,"Beam Revised","")</f>
        <v>#N/A</v>
      </c>
      <c r="AA1464" s="7" t="e">
        <f>IF(VLOOKUP($A1464,'Concrete Beam Schedule'!$A$2:$Q$2902,AA$2,0)&lt;&gt;K1464,"Beam Revised","")</f>
        <v>#N/A</v>
      </c>
      <c r="AB1464" s="7" t="e">
        <f>IF(VLOOKUP($A1464,'Concrete Beam Schedule'!$A$2:$Q$2902,AB$2,0)&lt;&gt;L1464,"Beam Revised","")</f>
        <v>#N/A</v>
      </c>
      <c r="AC1464" s="7" t="e">
        <f>IF(VLOOKUP($A1464,'Concrete Beam Schedule'!$A$2:$Q$2902,AC$2,0)&lt;&gt;M1464,"Beam Revised","")</f>
        <v>#N/A</v>
      </c>
      <c r="AD1464" s="7" t="e">
        <f>IF(VLOOKUP($A1464,'Concrete Beam Schedule'!$A$2:$Q$2902,AD$2,0)&lt;&gt;N1464,"Beam Revised","")</f>
        <v>#N/A</v>
      </c>
      <c r="AE1464" s="7" t="e">
        <f>IF(VLOOKUP($A1464,'Concrete Beam Schedule'!$A$2:$Q$2902,AE$2,0)&lt;&gt;O1464,"Beam Revised","")</f>
        <v>#N/A</v>
      </c>
    </row>
    <row r="1465" spans="17:31" ht="20.100000000000001" customHeight="1" x14ac:dyDescent="0.25">
      <c r="Q1465" s="7">
        <f t="shared" si="22"/>
        <v>0</v>
      </c>
      <c r="R1465" s="7" t="e">
        <f>IF(VLOOKUP($A1465,'Concrete Beam Schedule'!$A$2:$Q$2902,R$2,0)&lt;&gt;B1465,VLOOKUP($A1465,'Concrete Beam Schedule'!$A$2:$Q$2902,R$2,0),"")</f>
        <v>#N/A</v>
      </c>
      <c r="S1465" s="7" t="e">
        <f>IF(VLOOKUP($A1465,'Concrete Beam Schedule'!$A$2:$Q$2902,S$2,0)&lt;&gt;C1465,VLOOKUP($A1465,'Concrete Beam Schedule'!$A$2:$Q$2902,S$2,0),"")</f>
        <v>#N/A</v>
      </c>
      <c r="T1465" s="7" t="e">
        <f>IF(VLOOKUP($A1465,'Concrete Beam Schedule'!$A$2:$Q$2902,T$2,0)&lt;&gt;D1465,"Beam Revised","")</f>
        <v>#N/A</v>
      </c>
      <c r="U1465" s="7" t="e">
        <f>IF(VLOOKUP($A1465,'Concrete Beam Schedule'!$A$2:$Q$2902,U$2,0)&lt;&gt;E1465,"Beam Revised","")</f>
        <v>#N/A</v>
      </c>
      <c r="V1465" s="7" t="e">
        <f>IF(VLOOKUP($A1465,'Concrete Beam Schedule'!$A$2:$Q$2902,V$2,0)&lt;&gt;F1465,"Beam Revised","")</f>
        <v>#N/A</v>
      </c>
      <c r="W1465" s="7" t="e">
        <f>IF(VLOOKUP($A1465,'Concrete Beam Schedule'!$A$2:$Q$2902,W$2,0)&lt;&gt;G1465,"Beam Revised","")</f>
        <v>#N/A</v>
      </c>
      <c r="X1465" s="7" t="e">
        <f>IF(VLOOKUP($A1465,'Concrete Beam Schedule'!$A$2:$Q$2902,X$2,0)&lt;&gt;H1465,"Beam Revised","")</f>
        <v>#N/A</v>
      </c>
      <c r="Y1465" s="7" t="e">
        <f>IF(VLOOKUP($A1465,'Concrete Beam Schedule'!$A$2:$Q$2902,Y$2,0)&lt;&gt;I1465,"Beam Revised","")</f>
        <v>#N/A</v>
      </c>
      <c r="Z1465" s="7" t="e">
        <f>IF(VLOOKUP($A1465,'Concrete Beam Schedule'!$A$2:$Q$2902,Z$2,0)&lt;&gt;J1465,"Beam Revised","")</f>
        <v>#N/A</v>
      </c>
      <c r="AA1465" s="7" t="e">
        <f>IF(VLOOKUP($A1465,'Concrete Beam Schedule'!$A$2:$Q$2902,AA$2,0)&lt;&gt;K1465,"Beam Revised","")</f>
        <v>#N/A</v>
      </c>
      <c r="AB1465" s="7" t="e">
        <f>IF(VLOOKUP($A1465,'Concrete Beam Schedule'!$A$2:$Q$2902,AB$2,0)&lt;&gt;L1465,"Beam Revised","")</f>
        <v>#N/A</v>
      </c>
      <c r="AC1465" s="7" t="e">
        <f>IF(VLOOKUP($A1465,'Concrete Beam Schedule'!$A$2:$Q$2902,AC$2,0)&lt;&gt;M1465,"Beam Revised","")</f>
        <v>#N/A</v>
      </c>
      <c r="AD1465" s="7" t="e">
        <f>IF(VLOOKUP($A1465,'Concrete Beam Schedule'!$A$2:$Q$2902,AD$2,0)&lt;&gt;N1465,"Beam Revised","")</f>
        <v>#N/A</v>
      </c>
      <c r="AE1465" s="7" t="e">
        <f>IF(VLOOKUP($A1465,'Concrete Beam Schedule'!$A$2:$Q$2902,AE$2,0)&lt;&gt;O1465,"Beam Revised","")</f>
        <v>#N/A</v>
      </c>
    </row>
    <row r="1466" spans="17:31" ht="20.100000000000001" customHeight="1" x14ac:dyDescent="0.25">
      <c r="Q1466" s="7">
        <f t="shared" si="22"/>
        <v>0</v>
      </c>
      <c r="R1466" s="7" t="e">
        <f>IF(VLOOKUP($A1466,'Concrete Beam Schedule'!$A$2:$Q$2902,R$2,0)&lt;&gt;B1466,VLOOKUP($A1466,'Concrete Beam Schedule'!$A$2:$Q$2902,R$2,0),"")</f>
        <v>#N/A</v>
      </c>
      <c r="S1466" s="7" t="e">
        <f>IF(VLOOKUP($A1466,'Concrete Beam Schedule'!$A$2:$Q$2902,S$2,0)&lt;&gt;C1466,VLOOKUP($A1466,'Concrete Beam Schedule'!$A$2:$Q$2902,S$2,0),"")</f>
        <v>#N/A</v>
      </c>
      <c r="T1466" s="7" t="e">
        <f>IF(VLOOKUP($A1466,'Concrete Beam Schedule'!$A$2:$Q$2902,T$2,0)&lt;&gt;D1466,"Beam Revised","")</f>
        <v>#N/A</v>
      </c>
      <c r="U1466" s="7" t="e">
        <f>IF(VLOOKUP($A1466,'Concrete Beam Schedule'!$A$2:$Q$2902,U$2,0)&lt;&gt;E1466,"Beam Revised","")</f>
        <v>#N/A</v>
      </c>
      <c r="V1466" s="7" t="e">
        <f>IF(VLOOKUP($A1466,'Concrete Beam Schedule'!$A$2:$Q$2902,V$2,0)&lt;&gt;F1466,"Beam Revised","")</f>
        <v>#N/A</v>
      </c>
      <c r="W1466" s="7" t="e">
        <f>IF(VLOOKUP($A1466,'Concrete Beam Schedule'!$A$2:$Q$2902,W$2,0)&lt;&gt;G1466,"Beam Revised","")</f>
        <v>#N/A</v>
      </c>
      <c r="X1466" s="7" t="e">
        <f>IF(VLOOKUP($A1466,'Concrete Beam Schedule'!$A$2:$Q$2902,X$2,0)&lt;&gt;H1466,"Beam Revised","")</f>
        <v>#N/A</v>
      </c>
      <c r="Y1466" s="7" t="e">
        <f>IF(VLOOKUP($A1466,'Concrete Beam Schedule'!$A$2:$Q$2902,Y$2,0)&lt;&gt;I1466,"Beam Revised","")</f>
        <v>#N/A</v>
      </c>
      <c r="Z1466" s="7" t="e">
        <f>IF(VLOOKUP($A1466,'Concrete Beam Schedule'!$A$2:$Q$2902,Z$2,0)&lt;&gt;J1466,"Beam Revised","")</f>
        <v>#N/A</v>
      </c>
      <c r="AA1466" s="7" t="e">
        <f>IF(VLOOKUP($A1466,'Concrete Beam Schedule'!$A$2:$Q$2902,AA$2,0)&lt;&gt;K1466,"Beam Revised","")</f>
        <v>#N/A</v>
      </c>
      <c r="AB1466" s="7" t="e">
        <f>IF(VLOOKUP($A1466,'Concrete Beam Schedule'!$A$2:$Q$2902,AB$2,0)&lt;&gt;L1466,"Beam Revised","")</f>
        <v>#N/A</v>
      </c>
      <c r="AC1466" s="7" t="e">
        <f>IF(VLOOKUP($A1466,'Concrete Beam Schedule'!$A$2:$Q$2902,AC$2,0)&lt;&gt;M1466,"Beam Revised","")</f>
        <v>#N/A</v>
      </c>
      <c r="AD1466" s="7" t="e">
        <f>IF(VLOOKUP($A1466,'Concrete Beam Schedule'!$A$2:$Q$2902,AD$2,0)&lt;&gt;N1466,"Beam Revised","")</f>
        <v>#N/A</v>
      </c>
      <c r="AE1466" s="7" t="e">
        <f>IF(VLOOKUP($A1466,'Concrete Beam Schedule'!$A$2:$Q$2902,AE$2,0)&lt;&gt;O1466,"Beam Revised","")</f>
        <v>#N/A</v>
      </c>
    </row>
    <row r="1467" spans="17:31" ht="20.100000000000001" customHeight="1" x14ac:dyDescent="0.25">
      <c r="Q1467" s="7">
        <f t="shared" si="22"/>
        <v>0</v>
      </c>
      <c r="R1467" s="7" t="e">
        <f>IF(VLOOKUP($A1467,'Concrete Beam Schedule'!$A$2:$Q$2902,R$2,0)&lt;&gt;B1467,VLOOKUP($A1467,'Concrete Beam Schedule'!$A$2:$Q$2902,R$2,0),"")</f>
        <v>#N/A</v>
      </c>
      <c r="S1467" s="7" t="e">
        <f>IF(VLOOKUP($A1467,'Concrete Beam Schedule'!$A$2:$Q$2902,S$2,0)&lt;&gt;C1467,VLOOKUP($A1467,'Concrete Beam Schedule'!$A$2:$Q$2902,S$2,0),"")</f>
        <v>#N/A</v>
      </c>
      <c r="T1467" s="7" t="e">
        <f>IF(VLOOKUP($A1467,'Concrete Beam Schedule'!$A$2:$Q$2902,T$2,0)&lt;&gt;D1467,"Beam Revised","")</f>
        <v>#N/A</v>
      </c>
      <c r="U1467" s="7" t="e">
        <f>IF(VLOOKUP($A1467,'Concrete Beam Schedule'!$A$2:$Q$2902,U$2,0)&lt;&gt;E1467,"Beam Revised","")</f>
        <v>#N/A</v>
      </c>
      <c r="V1467" s="7" t="e">
        <f>IF(VLOOKUP($A1467,'Concrete Beam Schedule'!$A$2:$Q$2902,V$2,0)&lt;&gt;F1467,"Beam Revised","")</f>
        <v>#N/A</v>
      </c>
      <c r="W1467" s="7" t="e">
        <f>IF(VLOOKUP($A1467,'Concrete Beam Schedule'!$A$2:$Q$2902,W$2,0)&lt;&gt;G1467,"Beam Revised","")</f>
        <v>#N/A</v>
      </c>
      <c r="X1467" s="7" t="e">
        <f>IF(VLOOKUP($A1467,'Concrete Beam Schedule'!$A$2:$Q$2902,X$2,0)&lt;&gt;H1467,"Beam Revised","")</f>
        <v>#N/A</v>
      </c>
      <c r="Y1467" s="7" t="e">
        <f>IF(VLOOKUP($A1467,'Concrete Beam Schedule'!$A$2:$Q$2902,Y$2,0)&lt;&gt;I1467,"Beam Revised","")</f>
        <v>#N/A</v>
      </c>
      <c r="Z1467" s="7" t="e">
        <f>IF(VLOOKUP($A1467,'Concrete Beam Schedule'!$A$2:$Q$2902,Z$2,0)&lt;&gt;J1467,"Beam Revised","")</f>
        <v>#N/A</v>
      </c>
      <c r="AA1467" s="7" t="e">
        <f>IF(VLOOKUP($A1467,'Concrete Beam Schedule'!$A$2:$Q$2902,AA$2,0)&lt;&gt;K1467,"Beam Revised","")</f>
        <v>#N/A</v>
      </c>
      <c r="AB1467" s="7" t="e">
        <f>IF(VLOOKUP($A1467,'Concrete Beam Schedule'!$A$2:$Q$2902,AB$2,0)&lt;&gt;L1467,"Beam Revised","")</f>
        <v>#N/A</v>
      </c>
      <c r="AC1467" s="7" t="e">
        <f>IF(VLOOKUP($A1467,'Concrete Beam Schedule'!$A$2:$Q$2902,AC$2,0)&lt;&gt;M1467,"Beam Revised","")</f>
        <v>#N/A</v>
      </c>
      <c r="AD1467" s="7" t="e">
        <f>IF(VLOOKUP($A1467,'Concrete Beam Schedule'!$A$2:$Q$2902,AD$2,0)&lt;&gt;N1467,"Beam Revised","")</f>
        <v>#N/A</v>
      </c>
      <c r="AE1467" s="7" t="e">
        <f>IF(VLOOKUP($A1467,'Concrete Beam Schedule'!$A$2:$Q$2902,AE$2,0)&lt;&gt;O1467,"Beam Revised","")</f>
        <v>#N/A</v>
      </c>
    </row>
    <row r="1468" spans="17:31" ht="20.100000000000001" customHeight="1" x14ac:dyDescent="0.25">
      <c r="Q1468" s="7">
        <f t="shared" si="22"/>
        <v>0</v>
      </c>
      <c r="R1468" s="7" t="e">
        <f>IF(VLOOKUP($A1468,'Concrete Beam Schedule'!$A$2:$Q$2902,R$2,0)&lt;&gt;B1468,VLOOKUP($A1468,'Concrete Beam Schedule'!$A$2:$Q$2902,R$2,0),"")</f>
        <v>#N/A</v>
      </c>
      <c r="S1468" s="7" t="e">
        <f>IF(VLOOKUP($A1468,'Concrete Beam Schedule'!$A$2:$Q$2902,S$2,0)&lt;&gt;C1468,VLOOKUP($A1468,'Concrete Beam Schedule'!$A$2:$Q$2902,S$2,0),"")</f>
        <v>#N/A</v>
      </c>
      <c r="T1468" s="7" t="e">
        <f>IF(VLOOKUP($A1468,'Concrete Beam Schedule'!$A$2:$Q$2902,T$2,0)&lt;&gt;D1468,"Beam Revised","")</f>
        <v>#N/A</v>
      </c>
      <c r="U1468" s="7" t="e">
        <f>IF(VLOOKUP($A1468,'Concrete Beam Schedule'!$A$2:$Q$2902,U$2,0)&lt;&gt;E1468,"Beam Revised","")</f>
        <v>#N/A</v>
      </c>
      <c r="V1468" s="7" t="e">
        <f>IF(VLOOKUP($A1468,'Concrete Beam Schedule'!$A$2:$Q$2902,V$2,0)&lt;&gt;F1468,"Beam Revised","")</f>
        <v>#N/A</v>
      </c>
      <c r="W1468" s="7" t="e">
        <f>IF(VLOOKUP($A1468,'Concrete Beam Schedule'!$A$2:$Q$2902,W$2,0)&lt;&gt;G1468,"Beam Revised","")</f>
        <v>#N/A</v>
      </c>
      <c r="X1468" s="7" t="e">
        <f>IF(VLOOKUP($A1468,'Concrete Beam Schedule'!$A$2:$Q$2902,X$2,0)&lt;&gt;H1468,"Beam Revised","")</f>
        <v>#N/A</v>
      </c>
      <c r="Y1468" s="7" t="e">
        <f>IF(VLOOKUP($A1468,'Concrete Beam Schedule'!$A$2:$Q$2902,Y$2,0)&lt;&gt;I1468,"Beam Revised","")</f>
        <v>#N/A</v>
      </c>
      <c r="Z1468" s="7" t="e">
        <f>IF(VLOOKUP($A1468,'Concrete Beam Schedule'!$A$2:$Q$2902,Z$2,0)&lt;&gt;J1468,"Beam Revised","")</f>
        <v>#N/A</v>
      </c>
      <c r="AA1468" s="7" t="e">
        <f>IF(VLOOKUP($A1468,'Concrete Beam Schedule'!$A$2:$Q$2902,AA$2,0)&lt;&gt;K1468,"Beam Revised","")</f>
        <v>#N/A</v>
      </c>
      <c r="AB1468" s="7" t="e">
        <f>IF(VLOOKUP($A1468,'Concrete Beam Schedule'!$A$2:$Q$2902,AB$2,0)&lt;&gt;L1468,"Beam Revised","")</f>
        <v>#N/A</v>
      </c>
      <c r="AC1468" s="7" t="e">
        <f>IF(VLOOKUP($A1468,'Concrete Beam Schedule'!$A$2:$Q$2902,AC$2,0)&lt;&gt;M1468,"Beam Revised","")</f>
        <v>#N/A</v>
      </c>
      <c r="AD1468" s="7" t="e">
        <f>IF(VLOOKUP($A1468,'Concrete Beam Schedule'!$A$2:$Q$2902,AD$2,0)&lt;&gt;N1468,"Beam Revised","")</f>
        <v>#N/A</v>
      </c>
      <c r="AE1468" s="7" t="e">
        <f>IF(VLOOKUP($A1468,'Concrete Beam Schedule'!$A$2:$Q$2902,AE$2,0)&lt;&gt;O1468,"Beam Revised","")</f>
        <v>#N/A</v>
      </c>
    </row>
    <row r="1469" spans="17:31" ht="20.100000000000001" customHeight="1" x14ac:dyDescent="0.25">
      <c r="Q1469" s="7">
        <f t="shared" si="22"/>
        <v>0</v>
      </c>
      <c r="R1469" s="7" t="e">
        <f>IF(VLOOKUP($A1469,'Concrete Beam Schedule'!$A$2:$Q$2902,R$2,0)&lt;&gt;B1469,VLOOKUP($A1469,'Concrete Beam Schedule'!$A$2:$Q$2902,R$2,0),"")</f>
        <v>#N/A</v>
      </c>
      <c r="S1469" s="7" t="e">
        <f>IF(VLOOKUP($A1469,'Concrete Beam Schedule'!$A$2:$Q$2902,S$2,0)&lt;&gt;C1469,VLOOKUP($A1469,'Concrete Beam Schedule'!$A$2:$Q$2902,S$2,0),"")</f>
        <v>#N/A</v>
      </c>
      <c r="T1469" s="7" t="e">
        <f>IF(VLOOKUP($A1469,'Concrete Beam Schedule'!$A$2:$Q$2902,T$2,0)&lt;&gt;D1469,"Beam Revised","")</f>
        <v>#N/A</v>
      </c>
      <c r="U1469" s="7" t="e">
        <f>IF(VLOOKUP($A1469,'Concrete Beam Schedule'!$A$2:$Q$2902,U$2,0)&lt;&gt;E1469,"Beam Revised","")</f>
        <v>#N/A</v>
      </c>
      <c r="V1469" s="7" t="e">
        <f>IF(VLOOKUP($A1469,'Concrete Beam Schedule'!$A$2:$Q$2902,V$2,0)&lt;&gt;F1469,"Beam Revised","")</f>
        <v>#N/A</v>
      </c>
      <c r="W1469" s="7" t="e">
        <f>IF(VLOOKUP($A1469,'Concrete Beam Schedule'!$A$2:$Q$2902,W$2,0)&lt;&gt;G1469,"Beam Revised","")</f>
        <v>#N/A</v>
      </c>
      <c r="X1469" s="7" t="e">
        <f>IF(VLOOKUP($A1469,'Concrete Beam Schedule'!$A$2:$Q$2902,X$2,0)&lt;&gt;H1469,"Beam Revised","")</f>
        <v>#N/A</v>
      </c>
      <c r="Y1469" s="7" t="e">
        <f>IF(VLOOKUP($A1469,'Concrete Beam Schedule'!$A$2:$Q$2902,Y$2,0)&lt;&gt;I1469,"Beam Revised","")</f>
        <v>#N/A</v>
      </c>
      <c r="Z1469" s="7" t="e">
        <f>IF(VLOOKUP($A1469,'Concrete Beam Schedule'!$A$2:$Q$2902,Z$2,0)&lt;&gt;J1469,"Beam Revised","")</f>
        <v>#N/A</v>
      </c>
      <c r="AA1469" s="7" t="e">
        <f>IF(VLOOKUP($A1469,'Concrete Beam Schedule'!$A$2:$Q$2902,AA$2,0)&lt;&gt;K1469,"Beam Revised","")</f>
        <v>#N/A</v>
      </c>
      <c r="AB1469" s="7" t="e">
        <f>IF(VLOOKUP($A1469,'Concrete Beam Schedule'!$A$2:$Q$2902,AB$2,0)&lt;&gt;L1469,"Beam Revised","")</f>
        <v>#N/A</v>
      </c>
      <c r="AC1469" s="7" t="e">
        <f>IF(VLOOKUP($A1469,'Concrete Beam Schedule'!$A$2:$Q$2902,AC$2,0)&lt;&gt;M1469,"Beam Revised","")</f>
        <v>#N/A</v>
      </c>
      <c r="AD1469" s="7" t="e">
        <f>IF(VLOOKUP($A1469,'Concrete Beam Schedule'!$A$2:$Q$2902,AD$2,0)&lt;&gt;N1469,"Beam Revised","")</f>
        <v>#N/A</v>
      </c>
      <c r="AE1469" s="7" t="e">
        <f>IF(VLOOKUP($A1469,'Concrete Beam Schedule'!$A$2:$Q$2902,AE$2,0)&lt;&gt;O1469,"Beam Revised","")</f>
        <v>#N/A</v>
      </c>
    </row>
    <row r="1470" spans="17:31" ht="20.100000000000001" customHeight="1" x14ac:dyDescent="0.25">
      <c r="Q1470" s="7">
        <f t="shared" si="22"/>
        <v>0</v>
      </c>
      <c r="R1470" s="7" t="e">
        <f>IF(VLOOKUP($A1470,'Concrete Beam Schedule'!$A$2:$Q$2902,R$2,0)&lt;&gt;B1470,VLOOKUP($A1470,'Concrete Beam Schedule'!$A$2:$Q$2902,R$2,0),"")</f>
        <v>#N/A</v>
      </c>
      <c r="S1470" s="7" t="e">
        <f>IF(VLOOKUP($A1470,'Concrete Beam Schedule'!$A$2:$Q$2902,S$2,0)&lt;&gt;C1470,VLOOKUP($A1470,'Concrete Beam Schedule'!$A$2:$Q$2902,S$2,0),"")</f>
        <v>#N/A</v>
      </c>
      <c r="T1470" s="7" t="e">
        <f>IF(VLOOKUP($A1470,'Concrete Beam Schedule'!$A$2:$Q$2902,T$2,0)&lt;&gt;D1470,"Beam Revised","")</f>
        <v>#N/A</v>
      </c>
      <c r="U1470" s="7" t="e">
        <f>IF(VLOOKUP($A1470,'Concrete Beam Schedule'!$A$2:$Q$2902,U$2,0)&lt;&gt;E1470,"Beam Revised","")</f>
        <v>#N/A</v>
      </c>
      <c r="V1470" s="7" t="e">
        <f>IF(VLOOKUP($A1470,'Concrete Beam Schedule'!$A$2:$Q$2902,V$2,0)&lt;&gt;F1470,"Beam Revised","")</f>
        <v>#N/A</v>
      </c>
      <c r="W1470" s="7" t="e">
        <f>IF(VLOOKUP($A1470,'Concrete Beam Schedule'!$A$2:$Q$2902,W$2,0)&lt;&gt;G1470,"Beam Revised","")</f>
        <v>#N/A</v>
      </c>
      <c r="X1470" s="7" t="e">
        <f>IF(VLOOKUP($A1470,'Concrete Beam Schedule'!$A$2:$Q$2902,X$2,0)&lt;&gt;H1470,"Beam Revised","")</f>
        <v>#N/A</v>
      </c>
      <c r="Y1470" s="7" t="e">
        <f>IF(VLOOKUP($A1470,'Concrete Beam Schedule'!$A$2:$Q$2902,Y$2,0)&lt;&gt;I1470,"Beam Revised","")</f>
        <v>#N/A</v>
      </c>
      <c r="Z1470" s="7" t="e">
        <f>IF(VLOOKUP($A1470,'Concrete Beam Schedule'!$A$2:$Q$2902,Z$2,0)&lt;&gt;J1470,"Beam Revised","")</f>
        <v>#N/A</v>
      </c>
      <c r="AA1470" s="7" t="e">
        <f>IF(VLOOKUP($A1470,'Concrete Beam Schedule'!$A$2:$Q$2902,AA$2,0)&lt;&gt;K1470,"Beam Revised","")</f>
        <v>#N/A</v>
      </c>
      <c r="AB1470" s="7" t="e">
        <f>IF(VLOOKUP($A1470,'Concrete Beam Schedule'!$A$2:$Q$2902,AB$2,0)&lt;&gt;L1470,"Beam Revised","")</f>
        <v>#N/A</v>
      </c>
      <c r="AC1470" s="7" t="e">
        <f>IF(VLOOKUP($A1470,'Concrete Beam Schedule'!$A$2:$Q$2902,AC$2,0)&lt;&gt;M1470,"Beam Revised","")</f>
        <v>#N/A</v>
      </c>
      <c r="AD1470" s="7" t="e">
        <f>IF(VLOOKUP($A1470,'Concrete Beam Schedule'!$A$2:$Q$2902,AD$2,0)&lt;&gt;N1470,"Beam Revised","")</f>
        <v>#N/A</v>
      </c>
      <c r="AE1470" s="7" t="e">
        <f>IF(VLOOKUP($A1470,'Concrete Beam Schedule'!$A$2:$Q$2902,AE$2,0)&lt;&gt;O1470,"Beam Revised","")</f>
        <v>#N/A</v>
      </c>
    </row>
    <row r="1471" spans="17:31" ht="20.100000000000001" customHeight="1" x14ac:dyDescent="0.25">
      <c r="Q1471" s="7">
        <f t="shared" si="22"/>
        <v>0</v>
      </c>
      <c r="R1471" s="7" t="e">
        <f>IF(VLOOKUP($A1471,'Concrete Beam Schedule'!$A$2:$Q$2902,R$2,0)&lt;&gt;B1471,VLOOKUP($A1471,'Concrete Beam Schedule'!$A$2:$Q$2902,R$2,0),"")</f>
        <v>#N/A</v>
      </c>
      <c r="S1471" s="7" t="e">
        <f>IF(VLOOKUP($A1471,'Concrete Beam Schedule'!$A$2:$Q$2902,S$2,0)&lt;&gt;C1471,VLOOKUP($A1471,'Concrete Beam Schedule'!$A$2:$Q$2902,S$2,0),"")</f>
        <v>#N/A</v>
      </c>
      <c r="T1471" s="7" t="e">
        <f>IF(VLOOKUP($A1471,'Concrete Beam Schedule'!$A$2:$Q$2902,T$2,0)&lt;&gt;D1471,"Beam Revised","")</f>
        <v>#N/A</v>
      </c>
      <c r="U1471" s="7" t="e">
        <f>IF(VLOOKUP($A1471,'Concrete Beam Schedule'!$A$2:$Q$2902,U$2,0)&lt;&gt;E1471,"Beam Revised","")</f>
        <v>#N/A</v>
      </c>
      <c r="V1471" s="7" t="e">
        <f>IF(VLOOKUP($A1471,'Concrete Beam Schedule'!$A$2:$Q$2902,V$2,0)&lt;&gt;F1471,"Beam Revised","")</f>
        <v>#N/A</v>
      </c>
      <c r="W1471" s="7" t="e">
        <f>IF(VLOOKUP($A1471,'Concrete Beam Schedule'!$A$2:$Q$2902,W$2,0)&lt;&gt;G1471,"Beam Revised","")</f>
        <v>#N/A</v>
      </c>
      <c r="X1471" s="7" t="e">
        <f>IF(VLOOKUP($A1471,'Concrete Beam Schedule'!$A$2:$Q$2902,X$2,0)&lt;&gt;H1471,"Beam Revised","")</f>
        <v>#N/A</v>
      </c>
      <c r="Y1471" s="7" t="e">
        <f>IF(VLOOKUP($A1471,'Concrete Beam Schedule'!$A$2:$Q$2902,Y$2,0)&lt;&gt;I1471,"Beam Revised","")</f>
        <v>#N/A</v>
      </c>
      <c r="Z1471" s="7" t="e">
        <f>IF(VLOOKUP($A1471,'Concrete Beam Schedule'!$A$2:$Q$2902,Z$2,0)&lt;&gt;J1471,"Beam Revised","")</f>
        <v>#N/A</v>
      </c>
      <c r="AA1471" s="7" t="e">
        <f>IF(VLOOKUP($A1471,'Concrete Beam Schedule'!$A$2:$Q$2902,AA$2,0)&lt;&gt;K1471,"Beam Revised","")</f>
        <v>#N/A</v>
      </c>
      <c r="AB1471" s="7" t="e">
        <f>IF(VLOOKUP($A1471,'Concrete Beam Schedule'!$A$2:$Q$2902,AB$2,0)&lt;&gt;L1471,"Beam Revised","")</f>
        <v>#N/A</v>
      </c>
      <c r="AC1471" s="7" t="e">
        <f>IF(VLOOKUP($A1471,'Concrete Beam Schedule'!$A$2:$Q$2902,AC$2,0)&lt;&gt;M1471,"Beam Revised","")</f>
        <v>#N/A</v>
      </c>
      <c r="AD1471" s="7" t="e">
        <f>IF(VLOOKUP($A1471,'Concrete Beam Schedule'!$A$2:$Q$2902,AD$2,0)&lt;&gt;N1471,"Beam Revised","")</f>
        <v>#N/A</v>
      </c>
      <c r="AE1471" s="7" t="e">
        <f>IF(VLOOKUP($A1471,'Concrete Beam Schedule'!$A$2:$Q$2902,AE$2,0)&lt;&gt;O1471,"Beam Revised","")</f>
        <v>#N/A</v>
      </c>
    </row>
    <row r="1472" spans="17:31" ht="20.100000000000001" customHeight="1" x14ac:dyDescent="0.25">
      <c r="Q1472" s="7">
        <f t="shared" si="22"/>
        <v>0</v>
      </c>
      <c r="R1472" s="7" t="e">
        <f>IF(VLOOKUP($A1472,'Concrete Beam Schedule'!$A$2:$Q$2902,R$2,0)&lt;&gt;B1472,VLOOKUP($A1472,'Concrete Beam Schedule'!$A$2:$Q$2902,R$2,0),"")</f>
        <v>#N/A</v>
      </c>
      <c r="S1472" s="7" t="e">
        <f>IF(VLOOKUP($A1472,'Concrete Beam Schedule'!$A$2:$Q$2902,S$2,0)&lt;&gt;C1472,VLOOKUP($A1472,'Concrete Beam Schedule'!$A$2:$Q$2902,S$2,0),"")</f>
        <v>#N/A</v>
      </c>
      <c r="T1472" s="7" t="e">
        <f>IF(VLOOKUP($A1472,'Concrete Beam Schedule'!$A$2:$Q$2902,T$2,0)&lt;&gt;D1472,"Beam Revised","")</f>
        <v>#N/A</v>
      </c>
      <c r="U1472" s="7" t="e">
        <f>IF(VLOOKUP($A1472,'Concrete Beam Schedule'!$A$2:$Q$2902,U$2,0)&lt;&gt;E1472,"Beam Revised","")</f>
        <v>#N/A</v>
      </c>
      <c r="V1472" s="7" t="e">
        <f>IF(VLOOKUP($A1472,'Concrete Beam Schedule'!$A$2:$Q$2902,V$2,0)&lt;&gt;F1472,"Beam Revised","")</f>
        <v>#N/A</v>
      </c>
      <c r="W1472" s="7" t="e">
        <f>IF(VLOOKUP($A1472,'Concrete Beam Schedule'!$A$2:$Q$2902,W$2,0)&lt;&gt;G1472,"Beam Revised","")</f>
        <v>#N/A</v>
      </c>
      <c r="X1472" s="7" t="e">
        <f>IF(VLOOKUP($A1472,'Concrete Beam Schedule'!$A$2:$Q$2902,X$2,0)&lt;&gt;H1472,"Beam Revised","")</f>
        <v>#N/A</v>
      </c>
      <c r="Y1472" s="7" t="e">
        <f>IF(VLOOKUP($A1472,'Concrete Beam Schedule'!$A$2:$Q$2902,Y$2,0)&lt;&gt;I1472,"Beam Revised","")</f>
        <v>#N/A</v>
      </c>
      <c r="Z1472" s="7" t="e">
        <f>IF(VLOOKUP($A1472,'Concrete Beam Schedule'!$A$2:$Q$2902,Z$2,0)&lt;&gt;J1472,"Beam Revised","")</f>
        <v>#N/A</v>
      </c>
      <c r="AA1472" s="7" t="e">
        <f>IF(VLOOKUP($A1472,'Concrete Beam Schedule'!$A$2:$Q$2902,AA$2,0)&lt;&gt;K1472,"Beam Revised","")</f>
        <v>#N/A</v>
      </c>
      <c r="AB1472" s="7" t="e">
        <f>IF(VLOOKUP($A1472,'Concrete Beam Schedule'!$A$2:$Q$2902,AB$2,0)&lt;&gt;L1472,"Beam Revised","")</f>
        <v>#N/A</v>
      </c>
      <c r="AC1472" s="7" t="e">
        <f>IF(VLOOKUP($A1472,'Concrete Beam Schedule'!$A$2:$Q$2902,AC$2,0)&lt;&gt;M1472,"Beam Revised","")</f>
        <v>#N/A</v>
      </c>
      <c r="AD1472" s="7" t="e">
        <f>IF(VLOOKUP($A1472,'Concrete Beam Schedule'!$A$2:$Q$2902,AD$2,0)&lt;&gt;N1472,"Beam Revised","")</f>
        <v>#N/A</v>
      </c>
      <c r="AE1472" s="7" t="e">
        <f>IF(VLOOKUP($A1472,'Concrete Beam Schedule'!$A$2:$Q$2902,AE$2,0)&lt;&gt;O1472,"Beam Revised","")</f>
        <v>#N/A</v>
      </c>
    </row>
    <row r="1473" spans="17:31" ht="20.100000000000001" customHeight="1" x14ac:dyDescent="0.25">
      <c r="Q1473" s="7">
        <f t="shared" si="22"/>
        <v>0</v>
      </c>
      <c r="R1473" s="7" t="e">
        <f>IF(VLOOKUP($A1473,'Concrete Beam Schedule'!$A$2:$Q$2902,R$2,0)&lt;&gt;B1473,VLOOKUP($A1473,'Concrete Beam Schedule'!$A$2:$Q$2902,R$2,0),"")</f>
        <v>#N/A</v>
      </c>
      <c r="S1473" s="7" t="e">
        <f>IF(VLOOKUP($A1473,'Concrete Beam Schedule'!$A$2:$Q$2902,S$2,0)&lt;&gt;C1473,VLOOKUP($A1473,'Concrete Beam Schedule'!$A$2:$Q$2902,S$2,0),"")</f>
        <v>#N/A</v>
      </c>
      <c r="T1473" s="7" t="e">
        <f>IF(VLOOKUP($A1473,'Concrete Beam Schedule'!$A$2:$Q$2902,T$2,0)&lt;&gt;D1473,"Beam Revised","")</f>
        <v>#N/A</v>
      </c>
      <c r="U1473" s="7" t="e">
        <f>IF(VLOOKUP($A1473,'Concrete Beam Schedule'!$A$2:$Q$2902,U$2,0)&lt;&gt;E1473,"Beam Revised","")</f>
        <v>#N/A</v>
      </c>
      <c r="V1473" s="7" t="e">
        <f>IF(VLOOKUP($A1473,'Concrete Beam Schedule'!$A$2:$Q$2902,V$2,0)&lt;&gt;F1473,"Beam Revised","")</f>
        <v>#N/A</v>
      </c>
      <c r="W1473" s="7" t="e">
        <f>IF(VLOOKUP($A1473,'Concrete Beam Schedule'!$A$2:$Q$2902,W$2,0)&lt;&gt;G1473,"Beam Revised","")</f>
        <v>#N/A</v>
      </c>
      <c r="X1473" s="7" t="e">
        <f>IF(VLOOKUP($A1473,'Concrete Beam Schedule'!$A$2:$Q$2902,X$2,0)&lt;&gt;H1473,"Beam Revised","")</f>
        <v>#N/A</v>
      </c>
      <c r="Y1473" s="7" t="e">
        <f>IF(VLOOKUP($A1473,'Concrete Beam Schedule'!$A$2:$Q$2902,Y$2,0)&lt;&gt;I1473,"Beam Revised","")</f>
        <v>#N/A</v>
      </c>
      <c r="Z1473" s="7" t="e">
        <f>IF(VLOOKUP($A1473,'Concrete Beam Schedule'!$A$2:$Q$2902,Z$2,0)&lt;&gt;J1473,"Beam Revised","")</f>
        <v>#N/A</v>
      </c>
      <c r="AA1473" s="7" t="e">
        <f>IF(VLOOKUP($A1473,'Concrete Beam Schedule'!$A$2:$Q$2902,AA$2,0)&lt;&gt;K1473,"Beam Revised","")</f>
        <v>#N/A</v>
      </c>
      <c r="AB1473" s="7" t="e">
        <f>IF(VLOOKUP($A1473,'Concrete Beam Schedule'!$A$2:$Q$2902,AB$2,0)&lt;&gt;L1473,"Beam Revised","")</f>
        <v>#N/A</v>
      </c>
      <c r="AC1473" s="7" t="e">
        <f>IF(VLOOKUP($A1473,'Concrete Beam Schedule'!$A$2:$Q$2902,AC$2,0)&lt;&gt;M1473,"Beam Revised","")</f>
        <v>#N/A</v>
      </c>
      <c r="AD1473" s="7" t="e">
        <f>IF(VLOOKUP($A1473,'Concrete Beam Schedule'!$A$2:$Q$2902,AD$2,0)&lt;&gt;N1473,"Beam Revised","")</f>
        <v>#N/A</v>
      </c>
      <c r="AE1473" s="7" t="e">
        <f>IF(VLOOKUP($A1473,'Concrete Beam Schedule'!$A$2:$Q$2902,AE$2,0)&lt;&gt;O1473,"Beam Revised","")</f>
        <v>#N/A</v>
      </c>
    </row>
    <row r="1474" spans="17:31" ht="20.100000000000001" customHeight="1" x14ac:dyDescent="0.25">
      <c r="Q1474" s="7">
        <f t="shared" si="22"/>
        <v>0</v>
      </c>
      <c r="R1474" s="7" t="e">
        <f>IF(VLOOKUP($A1474,'Concrete Beam Schedule'!$A$2:$Q$2902,R$2,0)&lt;&gt;B1474,VLOOKUP($A1474,'Concrete Beam Schedule'!$A$2:$Q$2902,R$2,0),"")</f>
        <v>#N/A</v>
      </c>
      <c r="S1474" s="7" t="e">
        <f>IF(VLOOKUP($A1474,'Concrete Beam Schedule'!$A$2:$Q$2902,S$2,0)&lt;&gt;C1474,VLOOKUP($A1474,'Concrete Beam Schedule'!$A$2:$Q$2902,S$2,0),"")</f>
        <v>#N/A</v>
      </c>
      <c r="T1474" s="7" t="e">
        <f>IF(VLOOKUP($A1474,'Concrete Beam Schedule'!$A$2:$Q$2902,T$2,0)&lt;&gt;D1474,"Beam Revised","")</f>
        <v>#N/A</v>
      </c>
      <c r="U1474" s="7" t="e">
        <f>IF(VLOOKUP($A1474,'Concrete Beam Schedule'!$A$2:$Q$2902,U$2,0)&lt;&gt;E1474,"Beam Revised","")</f>
        <v>#N/A</v>
      </c>
      <c r="V1474" s="7" t="e">
        <f>IF(VLOOKUP($A1474,'Concrete Beam Schedule'!$A$2:$Q$2902,V$2,0)&lt;&gt;F1474,"Beam Revised","")</f>
        <v>#N/A</v>
      </c>
      <c r="W1474" s="7" t="e">
        <f>IF(VLOOKUP($A1474,'Concrete Beam Schedule'!$A$2:$Q$2902,W$2,0)&lt;&gt;G1474,"Beam Revised","")</f>
        <v>#N/A</v>
      </c>
      <c r="X1474" s="7" t="e">
        <f>IF(VLOOKUP($A1474,'Concrete Beam Schedule'!$A$2:$Q$2902,X$2,0)&lt;&gt;H1474,"Beam Revised","")</f>
        <v>#N/A</v>
      </c>
      <c r="Y1474" s="7" t="e">
        <f>IF(VLOOKUP($A1474,'Concrete Beam Schedule'!$A$2:$Q$2902,Y$2,0)&lt;&gt;I1474,"Beam Revised","")</f>
        <v>#N/A</v>
      </c>
      <c r="Z1474" s="7" t="e">
        <f>IF(VLOOKUP($A1474,'Concrete Beam Schedule'!$A$2:$Q$2902,Z$2,0)&lt;&gt;J1474,"Beam Revised","")</f>
        <v>#N/A</v>
      </c>
      <c r="AA1474" s="7" t="e">
        <f>IF(VLOOKUP($A1474,'Concrete Beam Schedule'!$A$2:$Q$2902,AA$2,0)&lt;&gt;K1474,"Beam Revised","")</f>
        <v>#N/A</v>
      </c>
      <c r="AB1474" s="7" t="e">
        <f>IF(VLOOKUP($A1474,'Concrete Beam Schedule'!$A$2:$Q$2902,AB$2,0)&lt;&gt;L1474,"Beam Revised","")</f>
        <v>#N/A</v>
      </c>
      <c r="AC1474" s="7" t="e">
        <f>IF(VLOOKUP($A1474,'Concrete Beam Schedule'!$A$2:$Q$2902,AC$2,0)&lt;&gt;M1474,"Beam Revised","")</f>
        <v>#N/A</v>
      </c>
      <c r="AD1474" s="7" t="e">
        <f>IF(VLOOKUP($A1474,'Concrete Beam Schedule'!$A$2:$Q$2902,AD$2,0)&lt;&gt;N1474,"Beam Revised","")</f>
        <v>#N/A</v>
      </c>
      <c r="AE1474" s="7" t="e">
        <f>IF(VLOOKUP($A1474,'Concrete Beam Schedule'!$A$2:$Q$2902,AE$2,0)&lt;&gt;O1474,"Beam Revised","")</f>
        <v>#N/A</v>
      </c>
    </row>
    <row r="1475" spans="17:31" ht="20.100000000000001" customHeight="1" x14ac:dyDescent="0.25">
      <c r="Q1475" s="7">
        <f t="shared" si="22"/>
        <v>0</v>
      </c>
      <c r="R1475" s="7" t="e">
        <f>IF(VLOOKUP($A1475,'Concrete Beam Schedule'!$A$2:$Q$2902,R$2,0)&lt;&gt;B1475,VLOOKUP($A1475,'Concrete Beam Schedule'!$A$2:$Q$2902,R$2,0),"")</f>
        <v>#N/A</v>
      </c>
      <c r="S1475" s="7" t="e">
        <f>IF(VLOOKUP($A1475,'Concrete Beam Schedule'!$A$2:$Q$2902,S$2,0)&lt;&gt;C1475,VLOOKUP($A1475,'Concrete Beam Schedule'!$A$2:$Q$2902,S$2,0),"")</f>
        <v>#N/A</v>
      </c>
      <c r="T1475" s="7" t="e">
        <f>IF(VLOOKUP($A1475,'Concrete Beam Schedule'!$A$2:$Q$2902,T$2,0)&lt;&gt;D1475,"Beam Revised","")</f>
        <v>#N/A</v>
      </c>
      <c r="U1475" s="7" t="e">
        <f>IF(VLOOKUP($A1475,'Concrete Beam Schedule'!$A$2:$Q$2902,U$2,0)&lt;&gt;E1475,"Beam Revised","")</f>
        <v>#N/A</v>
      </c>
      <c r="V1475" s="7" t="e">
        <f>IF(VLOOKUP($A1475,'Concrete Beam Schedule'!$A$2:$Q$2902,V$2,0)&lt;&gt;F1475,"Beam Revised","")</f>
        <v>#N/A</v>
      </c>
      <c r="W1475" s="7" t="e">
        <f>IF(VLOOKUP($A1475,'Concrete Beam Schedule'!$A$2:$Q$2902,W$2,0)&lt;&gt;G1475,"Beam Revised","")</f>
        <v>#N/A</v>
      </c>
      <c r="X1475" s="7" t="e">
        <f>IF(VLOOKUP($A1475,'Concrete Beam Schedule'!$A$2:$Q$2902,X$2,0)&lt;&gt;H1475,"Beam Revised","")</f>
        <v>#N/A</v>
      </c>
      <c r="Y1475" s="7" t="e">
        <f>IF(VLOOKUP($A1475,'Concrete Beam Schedule'!$A$2:$Q$2902,Y$2,0)&lt;&gt;I1475,"Beam Revised","")</f>
        <v>#N/A</v>
      </c>
      <c r="Z1475" s="7" t="e">
        <f>IF(VLOOKUP($A1475,'Concrete Beam Schedule'!$A$2:$Q$2902,Z$2,0)&lt;&gt;J1475,"Beam Revised","")</f>
        <v>#N/A</v>
      </c>
      <c r="AA1475" s="7" t="e">
        <f>IF(VLOOKUP($A1475,'Concrete Beam Schedule'!$A$2:$Q$2902,AA$2,0)&lt;&gt;K1475,"Beam Revised","")</f>
        <v>#N/A</v>
      </c>
      <c r="AB1475" s="7" t="e">
        <f>IF(VLOOKUP($A1475,'Concrete Beam Schedule'!$A$2:$Q$2902,AB$2,0)&lt;&gt;L1475,"Beam Revised","")</f>
        <v>#N/A</v>
      </c>
      <c r="AC1475" s="7" t="e">
        <f>IF(VLOOKUP($A1475,'Concrete Beam Schedule'!$A$2:$Q$2902,AC$2,0)&lt;&gt;M1475,"Beam Revised","")</f>
        <v>#N/A</v>
      </c>
      <c r="AD1475" s="7" t="e">
        <f>IF(VLOOKUP($A1475,'Concrete Beam Schedule'!$A$2:$Q$2902,AD$2,0)&lt;&gt;N1475,"Beam Revised","")</f>
        <v>#N/A</v>
      </c>
      <c r="AE1475" s="7" t="e">
        <f>IF(VLOOKUP($A1475,'Concrete Beam Schedule'!$A$2:$Q$2902,AE$2,0)&lt;&gt;O1475,"Beam Revised","")</f>
        <v>#N/A</v>
      </c>
    </row>
    <row r="1476" spans="17:31" ht="20.100000000000001" customHeight="1" x14ac:dyDescent="0.25">
      <c r="Q1476" s="7">
        <f t="shared" ref="Q1476:Q1539" si="23">A1476</f>
        <v>0</v>
      </c>
      <c r="R1476" s="7" t="e">
        <f>IF(VLOOKUP($A1476,'Concrete Beam Schedule'!$A$2:$Q$2902,R$2,0)&lt;&gt;B1476,VLOOKUP($A1476,'Concrete Beam Schedule'!$A$2:$Q$2902,R$2,0),"")</f>
        <v>#N/A</v>
      </c>
      <c r="S1476" s="7" t="e">
        <f>IF(VLOOKUP($A1476,'Concrete Beam Schedule'!$A$2:$Q$2902,S$2,0)&lt;&gt;C1476,VLOOKUP($A1476,'Concrete Beam Schedule'!$A$2:$Q$2902,S$2,0),"")</f>
        <v>#N/A</v>
      </c>
      <c r="T1476" s="7" t="e">
        <f>IF(VLOOKUP($A1476,'Concrete Beam Schedule'!$A$2:$Q$2902,T$2,0)&lt;&gt;D1476,"Beam Revised","")</f>
        <v>#N/A</v>
      </c>
      <c r="U1476" s="7" t="e">
        <f>IF(VLOOKUP($A1476,'Concrete Beam Schedule'!$A$2:$Q$2902,U$2,0)&lt;&gt;E1476,"Beam Revised","")</f>
        <v>#N/A</v>
      </c>
      <c r="V1476" s="7" t="e">
        <f>IF(VLOOKUP($A1476,'Concrete Beam Schedule'!$A$2:$Q$2902,V$2,0)&lt;&gt;F1476,"Beam Revised","")</f>
        <v>#N/A</v>
      </c>
      <c r="W1476" s="7" t="e">
        <f>IF(VLOOKUP($A1476,'Concrete Beam Schedule'!$A$2:$Q$2902,W$2,0)&lt;&gt;G1476,"Beam Revised","")</f>
        <v>#N/A</v>
      </c>
      <c r="X1476" s="7" t="e">
        <f>IF(VLOOKUP($A1476,'Concrete Beam Schedule'!$A$2:$Q$2902,X$2,0)&lt;&gt;H1476,"Beam Revised","")</f>
        <v>#N/A</v>
      </c>
      <c r="Y1476" s="7" t="e">
        <f>IF(VLOOKUP($A1476,'Concrete Beam Schedule'!$A$2:$Q$2902,Y$2,0)&lt;&gt;I1476,"Beam Revised","")</f>
        <v>#N/A</v>
      </c>
      <c r="Z1476" s="7" t="e">
        <f>IF(VLOOKUP($A1476,'Concrete Beam Schedule'!$A$2:$Q$2902,Z$2,0)&lt;&gt;J1476,"Beam Revised","")</f>
        <v>#N/A</v>
      </c>
      <c r="AA1476" s="7" t="e">
        <f>IF(VLOOKUP($A1476,'Concrete Beam Schedule'!$A$2:$Q$2902,AA$2,0)&lt;&gt;K1476,"Beam Revised","")</f>
        <v>#N/A</v>
      </c>
      <c r="AB1476" s="7" t="e">
        <f>IF(VLOOKUP($A1476,'Concrete Beam Schedule'!$A$2:$Q$2902,AB$2,0)&lt;&gt;L1476,"Beam Revised","")</f>
        <v>#N/A</v>
      </c>
      <c r="AC1476" s="7" t="e">
        <f>IF(VLOOKUP($A1476,'Concrete Beam Schedule'!$A$2:$Q$2902,AC$2,0)&lt;&gt;M1476,"Beam Revised","")</f>
        <v>#N/A</v>
      </c>
      <c r="AD1476" s="7" t="e">
        <f>IF(VLOOKUP($A1476,'Concrete Beam Schedule'!$A$2:$Q$2902,AD$2,0)&lt;&gt;N1476,"Beam Revised","")</f>
        <v>#N/A</v>
      </c>
      <c r="AE1476" s="7" t="e">
        <f>IF(VLOOKUP($A1476,'Concrete Beam Schedule'!$A$2:$Q$2902,AE$2,0)&lt;&gt;O1476,"Beam Revised","")</f>
        <v>#N/A</v>
      </c>
    </row>
    <row r="1477" spans="17:31" ht="20.100000000000001" customHeight="1" x14ac:dyDescent="0.25">
      <c r="Q1477" s="7">
        <f t="shared" si="23"/>
        <v>0</v>
      </c>
      <c r="R1477" s="7" t="e">
        <f>IF(VLOOKUP($A1477,'Concrete Beam Schedule'!$A$2:$Q$2902,R$2,0)&lt;&gt;B1477,VLOOKUP($A1477,'Concrete Beam Schedule'!$A$2:$Q$2902,R$2,0),"")</f>
        <v>#N/A</v>
      </c>
      <c r="S1477" s="7" t="e">
        <f>IF(VLOOKUP($A1477,'Concrete Beam Schedule'!$A$2:$Q$2902,S$2,0)&lt;&gt;C1477,VLOOKUP($A1477,'Concrete Beam Schedule'!$A$2:$Q$2902,S$2,0),"")</f>
        <v>#N/A</v>
      </c>
      <c r="T1477" s="7" t="e">
        <f>IF(VLOOKUP($A1477,'Concrete Beam Schedule'!$A$2:$Q$2902,T$2,0)&lt;&gt;D1477,"Beam Revised","")</f>
        <v>#N/A</v>
      </c>
      <c r="U1477" s="7" t="e">
        <f>IF(VLOOKUP($A1477,'Concrete Beam Schedule'!$A$2:$Q$2902,U$2,0)&lt;&gt;E1477,"Beam Revised","")</f>
        <v>#N/A</v>
      </c>
      <c r="V1477" s="7" t="e">
        <f>IF(VLOOKUP($A1477,'Concrete Beam Schedule'!$A$2:$Q$2902,V$2,0)&lt;&gt;F1477,"Beam Revised","")</f>
        <v>#N/A</v>
      </c>
      <c r="W1477" s="7" t="e">
        <f>IF(VLOOKUP($A1477,'Concrete Beam Schedule'!$A$2:$Q$2902,W$2,0)&lt;&gt;G1477,"Beam Revised","")</f>
        <v>#N/A</v>
      </c>
      <c r="X1477" s="7" t="e">
        <f>IF(VLOOKUP($A1477,'Concrete Beam Schedule'!$A$2:$Q$2902,X$2,0)&lt;&gt;H1477,"Beam Revised","")</f>
        <v>#N/A</v>
      </c>
      <c r="Y1477" s="7" t="e">
        <f>IF(VLOOKUP($A1477,'Concrete Beam Schedule'!$A$2:$Q$2902,Y$2,0)&lt;&gt;I1477,"Beam Revised","")</f>
        <v>#N/A</v>
      </c>
      <c r="Z1477" s="7" t="e">
        <f>IF(VLOOKUP($A1477,'Concrete Beam Schedule'!$A$2:$Q$2902,Z$2,0)&lt;&gt;J1477,"Beam Revised","")</f>
        <v>#N/A</v>
      </c>
      <c r="AA1477" s="7" t="e">
        <f>IF(VLOOKUP($A1477,'Concrete Beam Schedule'!$A$2:$Q$2902,AA$2,0)&lt;&gt;K1477,"Beam Revised","")</f>
        <v>#N/A</v>
      </c>
      <c r="AB1477" s="7" t="e">
        <f>IF(VLOOKUP($A1477,'Concrete Beam Schedule'!$A$2:$Q$2902,AB$2,0)&lt;&gt;L1477,"Beam Revised","")</f>
        <v>#N/A</v>
      </c>
      <c r="AC1477" s="7" t="e">
        <f>IF(VLOOKUP($A1477,'Concrete Beam Schedule'!$A$2:$Q$2902,AC$2,0)&lt;&gt;M1477,"Beam Revised","")</f>
        <v>#N/A</v>
      </c>
      <c r="AD1477" s="7" t="e">
        <f>IF(VLOOKUP($A1477,'Concrete Beam Schedule'!$A$2:$Q$2902,AD$2,0)&lt;&gt;N1477,"Beam Revised","")</f>
        <v>#N/A</v>
      </c>
      <c r="AE1477" s="7" t="e">
        <f>IF(VLOOKUP($A1477,'Concrete Beam Schedule'!$A$2:$Q$2902,AE$2,0)&lt;&gt;O1477,"Beam Revised","")</f>
        <v>#N/A</v>
      </c>
    </row>
    <row r="1478" spans="17:31" ht="20.100000000000001" customHeight="1" x14ac:dyDescent="0.25">
      <c r="Q1478" s="7">
        <f t="shared" si="23"/>
        <v>0</v>
      </c>
      <c r="R1478" s="7" t="e">
        <f>IF(VLOOKUP($A1478,'Concrete Beam Schedule'!$A$2:$Q$2902,R$2,0)&lt;&gt;B1478,VLOOKUP($A1478,'Concrete Beam Schedule'!$A$2:$Q$2902,R$2,0),"")</f>
        <v>#N/A</v>
      </c>
      <c r="S1478" s="7" t="e">
        <f>IF(VLOOKUP($A1478,'Concrete Beam Schedule'!$A$2:$Q$2902,S$2,0)&lt;&gt;C1478,VLOOKUP($A1478,'Concrete Beam Schedule'!$A$2:$Q$2902,S$2,0),"")</f>
        <v>#N/A</v>
      </c>
      <c r="T1478" s="7" t="e">
        <f>IF(VLOOKUP($A1478,'Concrete Beam Schedule'!$A$2:$Q$2902,T$2,0)&lt;&gt;D1478,"Beam Revised","")</f>
        <v>#N/A</v>
      </c>
      <c r="U1478" s="7" t="e">
        <f>IF(VLOOKUP($A1478,'Concrete Beam Schedule'!$A$2:$Q$2902,U$2,0)&lt;&gt;E1478,"Beam Revised","")</f>
        <v>#N/A</v>
      </c>
      <c r="V1478" s="7" t="e">
        <f>IF(VLOOKUP($A1478,'Concrete Beam Schedule'!$A$2:$Q$2902,V$2,0)&lt;&gt;F1478,"Beam Revised","")</f>
        <v>#N/A</v>
      </c>
      <c r="W1478" s="7" t="e">
        <f>IF(VLOOKUP($A1478,'Concrete Beam Schedule'!$A$2:$Q$2902,W$2,0)&lt;&gt;G1478,"Beam Revised","")</f>
        <v>#N/A</v>
      </c>
      <c r="X1478" s="7" t="e">
        <f>IF(VLOOKUP($A1478,'Concrete Beam Schedule'!$A$2:$Q$2902,X$2,0)&lt;&gt;H1478,"Beam Revised","")</f>
        <v>#N/A</v>
      </c>
      <c r="Y1478" s="7" t="e">
        <f>IF(VLOOKUP($A1478,'Concrete Beam Schedule'!$A$2:$Q$2902,Y$2,0)&lt;&gt;I1478,"Beam Revised","")</f>
        <v>#N/A</v>
      </c>
      <c r="Z1478" s="7" t="e">
        <f>IF(VLOOKUP($A1478,'Concrete Beam Schedule'!$A$2:$Q$2902,Z$2,0)&lt;&gt;J1478,"Beam Revised","")</f>
        <v>#N/A</v>
      </c>
      <c r="AA1478" s="7" t="e">
        <f>IF(VLOOKUP($A1478,'Concrete Beam Schedule'!$A$2:$Q$2902,AA$2,0)&lt;&gt;K1478,"Beam Revised","")</f>
        <v>#N/A</v>
      </c>
      <c r="AB1478" s="7" t="e">
        <f>IF(VLOOKUP($A1478,'Concrete Beam Schedule'!$A$2:$Q$2902,AB$2,0)&lt;&gt;L1478,"Beam Revised","")</f>
        <v>#N/A</v>
      </c>
      <c r="AC1478" s="7" t="e">
        <f>IF(VLOOKUP($A1478,'Concrete Beam Schedule'!$A$2:$Q$2902,AC$2,0)&lt;&gt;M1478,"Beam Revised","")</f>
        <v>#N/A</v>
      </c>
      <c r="AD1478" s="7" t="e">
        <f>IF(VLOOKUP($A1478,'Concrete Beam Schedule'!$A$2:$Q$2902,AD$2,0)&lt;&gt;N1478,"Beam Revised","")</f>
        <v>#N/A</v>
      </c>
      <c r="AE1478" s="7" t="e">
        <f>IF(VLOOKUP($A1478,'Concrete Beam Schedule'!$A$2:$Q$2902,AE$2,0)&lt;&gt;O1478,"Beam Revised","")</f>
        <v>#N/A</v>
      </c>
    </row>
    <row r="1479" spans="17:31" ht="20.100000000000001" customHeight="1" x14ac:dyDescent="0.25">
      <c r="Q1479" s="7">
        <f t="shared" si="23"/>
        <v>0</v>
      </c>
      <c r="R1479" s="7" t="e">
        <f>IF(VLOOKUP($A1479,'Concrete Beam Schedule'!$A$2:$Q$2902,R$2,0)&lt;&gt;B1479,VLOOKUP($A1479,'Concrete Beam Schedule'!$A$2:$Q$2902,R$2,0),"")</f>
        <v>#N/A</v>
      </c>
      <c r="S1479" s="7" t="e">
        <f>IF(VLOOKUP($A1479,'Concrete Beam Schedule'!$A$2:$Q$2902,S$2,0)&lt;&gt;C1479,VLOOKUP($A1479,'Concrete Beam Schedule'!$A$2:$Q$2902,S$2,0),"")</f>
        <v>#N/A</v>
      </c>
      <c r="T1479" s="7" t="e">
        <f>IF(VLOOKUP($A1479,'Concrete Beam Schedule'!$A$2:$Q$2902,T$2,0)&lt;&gt;D1479,"Beam Revised","")</f>
        <v>#N/A</v>
      </c>
      <c r="U1479" s="7" t="e">
        <f>IF(VLOOKUP($A1479,'Concrete Beam Schedule'!$A$2:$Q$2902,U$2,0)&lt;&gt;E1479,"Beam Revised","")</f>
        <v>#N/A</v>
      </c>
      <c r="V1479" s="7" t="e">
        <f>IF(VLOOKUP($A1479,'Concrete Beam Schedule'!$A$2:$Q$2902,V$2,0)&lt;&gt;F1479,"Beam Revised","")</f>
        <v>#N/A</v>
      </c>
      <c r="W1479" s="7" t="e">
        <f>IF(VLOOKUP($A1479,'Concrete Beam Schedule'!$A$2:$Q$2902,W$2,0)&lt;&gt;G1479,"Beam Revised","")</f>
        <v>#N/A</v>
      </c>
      <c r="X1479" s="7" t="e">
        <f>IF(VLOOKUP($A1479,'Concrete Beam Schedule'!$A$2:$Q$2902,X$2,0)&lt;&gt;H1479,"Beam Revised","")</f>
        <v>#N/A</v>
      </c>
      <c r="Y1479" s="7" t="e">
        <f>IF(VLOOKUP($A1479,'Concrete Beam Schedule'!$A$2:$Q$2902,Y$2,0)&lt;&gt;I1479,"Beam Revised","")</f>
        <v>#N/A</v>
      </c>
      <c r="Z1479" s="7" t="e">
        <f>IF(VLOOKUP($A1479,'Concrete Beam Schedule'!$A$2:$Q$2902,Z$2,0)&lt;&gt;J1479,"Beam Revised","")</f>
        <v>#N/A</v>
      </c>
      <c r="AA1479" s="7" t="e">
        <f>IF(VLOOKUP($A1479,'Concrete Beam Schedule'!$A$2:$Q$2902,AA$2,0)&lt;&gt;K1479,"Beam Revised","")</f>
        <v>#N/A</v>
      </c>
      <c r="AB1479" s="7" t="e">
        <f>IF(VLOOKUP($A1479,'Concrete Beam Schedule'!$A$2:$Q$2902,AB$2,0)&lt;&gt;L1479,"Beam Revised","")</f>
        <v>#N/A</v>
      </c>
      <c r="AC1479" s="7" t="e">
        <f>IF(VLOOKUP($A1479,'Concrete Beam Schedule'!$A$2:$Q$2902,AC$2,0)&lt;&gt;M1479,"Beam Revised","")</f>
        <v>#N/A</v>
      </c>
      <c r="AD1479" s="7" t="e">
        <f>IF(VLOOKUP($A1479,'Concrete Beam Schedule'!$A$2:$Q$2902,AD$2,0)&lt;&gt;N1479,"Beam Revised","")</f>
        <v>#N/A</v>
      </c>
      <c r="AE1479" s="7" t="e">
        <f>IF(VLOOKUP($A1479,'Concrete Beam Schedule'!$A$2:$Q$2902,AE$2,0)&lt;&gt;O1479,"Beam Revised","")</f>
        <v>#N/A</v>
      </c>
    </row>
    <row r="1480" spans="17:31" ht="20.100000000000001" customHeight="1" x14ac:dyDescent="0.25">
      <c r="Q1480" s="7">
        <f t="shared" si="23"/>
        <v>0</v>
      </c>
      <c r="R1480" s="7" t="e">
        <f>IF(VLOOKUP($A1480,'Concrete Beam Schedule'!$A$2:$Q$2902,R$2,0)&lt;&gt;B1480,VLOOKUP($A1480,'Concrete Beam Schedule'!$A$2:$Q$2902,R$2,0),"")</f>
        <v>#N/A</v>
      </c>
      <c r="S1480" s="7" t="e">
        <f>IF(VLOOKUP($A1480,'Concrete Beam Schedule'!$A$2:$Q$2902,S$2,0)&lt;&gt;C1480,VLOOKUP($A1480,'Concrete Beam Schedule'!$A$2:$Q$2902,S$2,0),"")</f>
        <v>#N/A</v>
      </c>
      <c r="T1480" s="7" t="e">
        <f>IF(VLOOKUP($A1480,'Concrete Beam Schedule'!$A$2:$Q$2902,T$2,0)&lt;&gt;D1480,"Beam Revised","")</f>
        <v>#N/A</v>
      </c>
      <c r="U1480" s="7" t="e">
        <f>IF(VLOOKUP($A1480,'Concrete Beam Schedule'!$A$2:$Q$2902,U$2,0)&lt;&gt;E1480,"Beam Revised","")</f>
        <v>#N/A</v>
      </c>
      <c r="V1480" s="7" t="e">
        <f>IF(VLOOKUP($A1480,'Concrete Beam Schedule'!$A$2:$Q$2902,V$2,0)&lt;&gt;F1480,"Beam Revised","")</f>
        <v>#N/A</v>
      </c>
      <c r="W1480" s="7" t="e">
        <f>IF(VLOOKUP($A1480,'Concrete Beam Schedule'!$A$2:$Q$2902,W$2,0)&lt;&gt;G1480,"Beam Revised","")</f>
        <v>#N/A</v>
      </c>
      <c r="X1480" s="7" t="e">
        <f>IF(VLOOKUP($A1480,'Concrete Beam Schedule'!$A$2:$Q$2902,X$2,0)&lt;&gt;H1480,"Beam Revised","")</f>
        <v>#N/A</v>
      </c>
      <c r="Y1480" s="7" t="e">
        <f>IF(VLOOKUP($A1480,'Concrete Beam Schedule'!$A$2:$Q$2902,Y$2,0)&lt;&gt;I1480,"Beam Revised","")</f>
        <v>#N/A</v>
      </c>
      <c r="Z1480" s="7" t="e">
        <f>IF(VLOOKUP($A1480,'Concrete Beam Schedule'!$A$2:$Q$2902,Z$2,0)&lt;&gt;J1480,"Beam Revised","")</f>
        <v>#N/A</v>
      </c>
      <c r="AA1480" s="7" t="e">
        <f>IF(VLOOKUP($A1480,'Concrete Beam Schedule'!$A$2:$Q$2902,AA$2,0)&lt;&gt;K1480,"Beam Revised","")</f>
        <v>#N/A</v>
      </c>
      <c r="AB1480" s="7" t="e">
        <f>IF(VLOOKUP($A1480,'Concrete Beam Schedule'!$A$2:$Q$2902,AB$2,0)&lt;&gt;L1480,"Beam Revised","")</f>
        <v>#N/A</v>
      </c>
      <c r="AC1480" s="7" t="e">
        <f>IF(VLOOKUP($A1480,'Concrete Beam Schedule'!$A$2:$Q$2902,AC$2,0)&lt;&gt;M1480,"Beam Revised","")</f>
        <v>#N/A</v>
      </c>
      <c r="AD1480" s="7" t="e">
        <f>IF(VLOOKUP($A1480,'Concrete Beam Schedule'!$A$2:$Q$2902,AD$2,0)&lt;&gt;N1480,"Beam Revised","")</f>
        <v>#N/A</v>
      </c>
      <c r="AE1480" s="7" t="e">
        <f>IF(VLOOKUP($A1480,'Concrete Beam Schedule'!$A$2:$Q$2902,AE$2,0)&lt;&gt;O1480,"Beam Revised","")</f>
        <v>#N/A</v>
      </c>
    </row>
    <row r="1481" spans="17:31" ht="20.100000000000001" customHeight="1" x14ac:dyDescent="0.25">
      <c r="Q1481" s="7">
        <f t="shared" si="23"/>
        <v>0</v>
      </c>
      <c r="R1481" s="7" t="e">
        <f>IF(VLOOKUP($A1481,'Concrete Beam Schedule'!$A$2:$Q$2902,R$2,0)&lt;&gt;B1481,VLOOKUP($A1481,'Concrete Beam Schedule'!$A$2:$Q$2902,R$2,0),"")</f>
        <v>#N/A</v>
      </c>
      <c r="S1481" s="7" t="e">
        <f>IF(VLOOKUP($A1481,'Concrete Beam Schedule'!$A$2:$Q$2902,S$2,0)&lt;&gt;C1481,VLOOKUP($A1481,'Concrete Beam Schedule'!$A$2:$Q$2902,S$2,0),"")</f>
        <v>#N/A</v>
      </c>
      <c r="T1481" s="7" t="e">
        <f>IF(VLOOKUP($A1481,'Concrete Beam Schedule'!$A$2:$Q$2902,T$2,0)&lt;&gt;D1481,"Beam Revised","")</f>
        <v>#N/A</v>
      </c>
      <c r="U1481" s="7" t="e">
        <f>IF(VLOOKUP($A1481,'Concrete Beam Schedule'!$A$2:$Q$2902,U$2,0)&lt;&gt;E1481,"Beam Revised","")</f>
        <v>#N/A</v>
      </c>
      <c r="V1481" s="7" t="e">
        <f>IF(VLOOKUP($A1481,'Concrete Beam Schedule'!$A$2:$Q$2902,V$2,0)&lt;&gt;F1481,"Beam Revised","")</f>
        <v>#N/A</v>
      </c>
      <c r="W1481" s="7" t="e">
        <f>IF(VLOOKUP($A1481,'Concrete Beam Schedule'!$A$2:$Q$2902,W$2,0)&lt;&gt;G1481,"Beam Revised","")</f>
        <v>#N/A</v>
      </c>
      <c r="X1481" s="7" t="e">
        <f>IF(VLOOKUP($A1481,'Concrete Beam Schedule'!$A$2:$Q$2902,X$2,0)&lt;&gt;H1481,"Beam Revised","")</f>
        <v>#N/A</v>
      </c>
      <c r="Y1481" s="7" t="e">
        <f>IF(VLOOKUP($A1481,'Concrete Beam Schedule'!$A$2:$Q$2902,Y$2,0)&lt;&gt;I1481,"Beam Revised","")</f>
        <v>#N/A</v>
      </c>
      <c r="Z1481" s="7" t="e">
        <f>IF(VLOOKUP($A1481,'Concrete Beam Schedule'!$A$2:$Q$2902,Z$2,0)&lt;&gt;J1481,"Beam Revised","")</f>
        <v>#N/A</v>
      </c>
      <c r="AA1481" s="7" t="e">
        <f>IF(VLOOKUP($A1481,'Concrete Beam Schedule'!$A$2:$Q$2902,AA$2,0)&lt;&gt;K1481,"Beam Revised","")</f>
        <v>#N/A</v>
      </c>
      <c r="AB1481" s="7" t="e">
        <f>IF(VLOOKUP($A1481,'Concrete Beam Schedule'!$A$2:$Q$2902,AB$2,0)&lt;&gt;L1481,"Beam Revised","")</f>
        <v>#N/A</v>
      </c>
      <c r="AC1481" s="7" t="e">
        <f>IF(VLOOKUP($A1481,'Concrete Beam Schedule'!$A$2:$Q$2902,AC$2,0)&lt;&gt;M1481,"Beam Revised","")</f>
        <v>#N/A</v>
      </c>
      <c r="AD1481" s="7" t="e">
        <f>IF(VLOOKUP($A1481,'Concrete Beam Schedule'!$A$2:$Q$2902,AD$2,0)&lt;&gt;N1481,"Beam Revised","")</f>
        <v>#N/A</v>
      </c>
      <c r="AE1481" s="7" t="e">
        <f>IF(VLOOKUP($A1481,'Concrete Beam Schedule'!$A$2:$Q$2902,AE$2,0)&lt;&gt;O1481,"Beam Revised","")</f>
        <v>#N/A</v>
      </c>
    </row>
    <row r="1482" spans="17:31" ht="20.100000000000001" customHeight="1" x14ac:dyDescent="0.25">
      <c r="Q1482" s="7">
        <f t="shared" si="23"/>
        <v>0</v>
      </c>
      <c r="R1482" s="7" t="e">
        <f>IF(VLOOKUP($A1482,'Concrete Beam Schedule'!$A$2:$Q$2902,R$2,0)&lt;&gt;B1482,VLOOKUP($A1482,'Concrete Beam Schedule'!$A$2:$Q$2902,R$2,0),"")</f>
        <v>#N/A</v>
      </c>
      <c r="S1482" s="7" t="e">
        <f>IF(VLOOKUP($A1482,'Concrete Beam Schedule'!$A$2:$Q$2902,S$2,0)&lt;&gt;C1482,VLOOKUP($A1482,'Concrete Beam Schedule'!$A$2:$Q$2902,S$2,0),"")</f>
        <v>#N/A</v>
      </c>
      <c r="T1482" s="7" t="e">
        <f>IF(VLOOKUP($A1482,'Concrete Beam Schedule'!$A$2:$Q$2902,T$2,0)&lt;&gt;D1482,"Beam Revised","")</f>
        <v>#N/A</v>
      </c>
      <c r="U1482" s="7" t="e">
        <f>IF(VLOOKUP($A1482,'Concrete Beam Schedule'!$A$2:$Q$2902,U$2,0)&lt;&gt;E1482,"Beam Revised","")</f>
        <v>#N/A</v>
      </c>
      <c r="V1482" s="7" t="e">
        <f>IF(VLOOKUP($A1482,'Concrete Beam Schedule'!$A$2:$Q$2902,V$2,0)&lt;&gt;F1482,"Beam Revised","")</f>
        <v>#N/A</v>
      </c>
      <c r="W1482" s="7" t="e">
        <f>IF(VLOOKUP($A1482,'Concrete Beam Schedule'!$A$2:$Q$2902,W$2,0)&lt;&gt;G1482,"Beam Revised","")</f>
        <v>#N/A</v>
      </c>
      <c r="X1482" s="7" t="e">
        <f>IF(VLOOKUP($A1482,'Concrete Beam Schedule'!$A$2:$Q$2902,X$2,0)&lt;&gt;H1482,"Beam Revised","")</f>
        <v>#N/A</v>
      </c>
      <c r="Y1482" s="7" t="e">
        <f>IF(VLOOKUP($A1482,'Concrete Beam Schedule'!$A$2:$Q$2902,Y$2,0)&lt;&gt;I1482,"Beam Revised","")</f>
        <v>#N/A</v>
      </c>
      <c r="Z1482" s="7" t="e">
        <f>IF(VLOOKUP($A1482,'Concrete Beam Schedule'!$A$2:$Q$2902,Z$2,0)&lt;&gt;J1482,"Beam Revised","")</f>
        <v>#N/A</v>
      </c>
      <c r="AA1482" s="7" t="e">
        <f>IF(VLOOKUP($A1482,'Concrete Beam Schedule'!$A$2:$Q$2902,AA$2,0)&lt;&gt;K1482,"Beam Revised","")</f>
        <v>#N/A</v>
      </c>
      <c r="AB1482" s="7" t="e">
        <f>IF(VLOOKUP($A1482,'Concrete Beam Schedule'!$A$2:$Q$2902,AB$2,0)&lt;&gt;L1482,"Beam Revised","")</f>
        <v>#N/A</v>
      </c>
      <c r="AC1482" s="7" t="e">
        <f>IF(VLOOKUP($A1482,'Concrete Beam Schedule'!$A$2:$Q$2902,AC$2,0)&lt;&gt;M1482,"Beam Revised","")</f>
        <v>#N/A</v>
      </c>
      <c r="AD1482" s="7" t="e">
        <f>IF(VLOOKUP($A1482,'Concrete Beam Schedule'!$A$2:$Q$2902,AD$2,0)&lt;&gt;N1482,"Beam Revised","")</f>
        <v>#N/A</v>
      </c>
      <c r="AE1482" s="7" t="e">
        <f>IF(VLOOKUP($A1482,'Concrete Beam Schedule'!$A$2:$Q$2902,AE$2,0)&lt;&gt;O1482,"Beam Revised","")</f>
        <v>#N/A</v>
      </c>
    </row>
    <row r="1483" spans="17:31" ht="20.100000000000001" customHeight="1" x14ac:dyDescent="0.25">
      <c r="Q1483" s="7">
        <f t="shared" si="23"/>
        <v>0</v>
      </c>
      <c r="R1483" s="7" t="e">
        <f>IF(VLOOKUP($A1483,'Concrete Beam Schedule'!$A$2:$Q$2902,R$2,0)&lt;&gt;B1483,VLOOKUP($A1483,'Concrete Beam Schedule'!$A$2:$Q$2902,R$2,0),"")</f>
        <v>#N/A</v>
      </c>
      <c r="S1483" s="7" t="e">
        <f>IF(VLOOKUP($A1483,'Concrete Beam Schedule'!$A$2:$Q$2902,S$2,0)&lt;&gt;C1483,VLOOKUP($A1483,'Concrete Beam Schedule'!$A$2:$Q$2902,S$2,0),"")</f>
        <v>#N/A</v>
      </c>
      <c r="T1483" s="7" t="e">
        <f>IF(VLOOKUP($A1483,'Concrete Beam Schedule'!$A$2:$Q$2902,T$2,0)&lt;&gt;D1483,"Beam Revised","")</f>
        <v>#N/A</v>
      </c>
      <c r="U1483" s="7" t="e">
        <f>IF(VLOOKUP($A1483,'Concrete Beam Schedule'!$A$2:$Q$2902,U$2,0)&lt;&gt;E1483,"Beam Revised","")</f>
        <v>#N/A</v>
      </c>
      <c r="V1483" s="7" t="e">
        <f>IF(VLOOKUP($A1483,'Concrete Beam Schedule'!$A$2:$Q$2902,V$2,0)&lt;&gt;F1483,"Beam Revised","")</f>
        <v>#N/A</v>
      </c>
      <c r="W1483" s="7" t="e">
        <f>IF(VLOOKUP($A1483,'Concrete Beam Schedule'!$A$2:$Q$2902,W$2,0)&lt;&gt;G1483,"Beam Revised","")</f>
        <v>#N/A</v>
      </c>
      <c r="X1483" s="7" t="e">
        <f>IF(VLOOKUP($A1483,'Concrete Beam Schedule'!$A$2:$Q$2902,X$2,0)&lt;&gt;H1483,"Beam Revised","")</f>
        <v>#N/A</v>
      </c>
      <c r="Y1483" s="7" t="e">
        <f>IF(VLOOKUP($A1483,'Concrete Beam Schedule'!$A$2:$Q$2902,Y$2,0)&lt;&gt;I1483,"Beam Revised","")</f>
        <v>#N/A</v>
      </c>
      <c r="Z1483" s="7" t="e">
        <f>IF(VLOOKUP($A1483,'Concrete Beam Schedule'!$A$2:$Q$2902,Z$2,0)&lt;&gt;J1483,"Beam Revised","")</f>
        <v>#N/A</v>
      </c>
      <c r="AA1483" s="7" t="e">
        <f>IF(VLOOKUP($A1483,'Concrete Beam Schedule'!$A$2:$Q$2902,AA$2,0)&lt;&gt;K1483,"Beam Revised","")</f>
        <v>#N/A</v>
      </c>
      <c r="AB1483" s="7" t="e">
        <f>IF(VLOOKUP($A1483,'Concrete Beam Schedule'!$A$2:$Q$2902,AB$2,0)&lt;&gt;L1483,"Beam Revised","")</f>
        <v>#N/A</v>
      </c>
      <c r="AC1483" s="7" t="e">
        <f>IF(VLOOKUP($A1483,'Concrete Beam Schedule'!$A$2:$Q$2902,AC$2,0)&lt;&gt;M1483,"Beam Revised","")</f>
        <v>#N/A</v>
      </c>
      <c r="AD1483" s="7" t="e">
        <f>IF(VLOOKUP($A1483,'Concrete Beam Schedule'!$A$2:$Q$2902,AD$2,0)&lt;&gt;N1483,"Beam Revised","")</f>
        <v>#N/A</v>
      </c>
      <c r="AE1483" s="7" t="e">
        <f>IF(VLOOKUP($A1483,'Concrete Beam Schedule'!$A$2:$Q$2902,AE$2,0)&lt;&gt;O1483,"Beam Revised","")</f>
        <v>#N/A</v>
      </c>
    </row>
    <row r="1484" spans="17:31" ht="20.100000000000001" customHeight="1" x14ac:dyDescent="0.25">
      <c r="Q1484" s="7">
        <f t="shared" si="23"/>
        <v>0</v>
      </c>
      <c r="R1484" s="7" t="e">
        <f>IF(VLOOKUP($A1484,'Concrete Beam Schedule'!$A$2:$Q$2902,R$2,0)&lt;&gt;B1484,VLOOKUP($A1484,'Concrete Beam Schedule'!$A$2:$Q$2902,R$2,0),"")</f>
        <v>#N/A</v>
      </c>
      <c r="S1484" s="7" t="e">
        <f>IF(VLOOKUP($A1484,'Concrete Beam Schedule'!$A$2:$Q$2902,S$2,0)&lt;&gt;C1484,VLOOKUP($A1484,'Concrete Beam Schedule'!$A$2:$Q$2902,S$2,0),"")</f>
        <v>#N/A</v>
      </c>
      <c r="T1484" s="7" t="e">
        <f>IF(VLOOKUP($A1484,'Concrete Beam Schedule'!$A$2:$Q$2902,T$2,0)&lt;&gt;D1484,"Beam Revised","")</f>
        <v>#N/A</v>
      </c>
      <c r="U1484" s="7" t="e">
        <f>IF(VLOOKUP($A1484,'Concrete Beam Schedule'!$A$2:$Q$2902,U$2,0)&lt;&gt;E1484,"Beam Revised","")</f>
        <v>#N/A</v>
      </c>
      <c r="V1484" s="7" t="e">
        <f>IF(VLOOKUP($A1484,'Concrete Beam Schedule'!$A$2:$Q$2902,V$2,0)&lt;&gt;F1484,"Beam Revised","")</f>
        <v>#N/A</v>
      </c>
      <c r="W1484" s="7" t="e">
        <f>IF(VLOOKUP($A1484,'Concrete Beam Schedule'!$A$2:$Q$2902,W$2,0)&lt;&gt;G1484,"Beam Revised","")</f>
        <v>#N/A</v>
      </c>
      <c r="X1484" s="7" t="e">
        <f>IF(VLOOKUP($A1484,'Concrete Beam Schedule'!$A$2:$Q$2902,X$2,0)&lt;&gt;H1484,"Beam Revised","")</f>
        <v>#N/A</v>
      </c>
      <c r="Y1484" s="7" t="e">
        <f>IF(VLOOKUP($A1484,'Concrete Beam Schedule'!$A$2:$Q$2902,Y$2,0)&lt;&gt;I1484,"Beam Revised","")</f>
        <v>#N/A</v>
      </c>
      <c r="Z1484" s="7" t="e">
        <f>IF(VLOOKUP($A1484,'Concrete Beam Schedule'!$A$2:$Q$2902,Z$2,0)&lt;&gt;J1484,"Beam Revised","")</f>
        <v>#N/A</v>
      </c>
      <c r="AA1484" s="7" t="e">
        <f>IF(VLOOKUP($A1484,'Concrete Beam Schedule'!$A$2:$Q$2902,AA$2,0)&lt;&gt;K1484,"Beam Revised","")</f>
        <v>#N/A</v>
      </c>
      <c r="AB1484" s="7" t="e">
        <f>IF(VLOOKUP($A1484,'Concrete Beam Schedule'!$A$2:$Q$2902,AB$2,0)&lt;&gt;L1484,"Beam Revised","")</f>
        <v>#N/A</v>
      </c>
      <c r="AC1484" s="7" t="e">
        <f>IF(VLOOKUP($A1484,'Concrete Beam Schedule'!$A$2:$Q$2902,AC$2,0)&lt;&gt;M1484,"Beam Revised","")</f>
        <v>#N/A</v>
      </c>
      <c r="AD1484" s="7" t="e">
        <f>IF(VLOOKUP($A1484,'Concrete Beam Schedule'!$A$2:$Q$2902,AD$2,0)&lt;&gt;N1484,"Beam Revised","")</f>
        <v>#N/A</v>
      </c>
      <c r="AE1484" s="7" t="e">
        <f>IF(VLOOKUP($A1484,'Concrete Beam Schedule'!$A$2:$Q$2902,AE$2,0)&lt;&gt;O1484,"Beam Revised","")</f>
        <v>#N/A</v>
      </c>
    </row>
    <row r="1485" spans="17:31" ht="20.100000000000001" customHeight="1" x14ac:dyDescent="0.25">
      <c r="Q1485" s="7">
        <f t="shared" si="23"/>
        <v>0</v>
      </c>
      <c r="R1485" s="7" t="e">
        <f>IF(VLOOKUP($A1485,'Concrete Beam Schedule'!$A$2:$Q$2902,R$2,0)&lt;&gt;B1485,VLOOKUP($A1485,'Concrete Beam Schedule'!$A$2:$Q$2902,R$2,0),"")</f>
        <v>#N/A</v>
      </c>
      <c r="S1485" s="7" t="e">
        <f>IF(VLOOKUP($A1485,'Concrete Beam Schedule'!$A$2:$Q$2902,S$2,0)&lt;&gt;C1485,VLOOKUP($A1485,'Concrete Beam Schedule'!$A$2:$Q$2902,S$2,0),"")</f>
        <v>#N/A</v>
      </c>
      <c r="T1485" s="7" t="e">
        <f>IF(VLOOKUP($A1485,'Concrete Beam Schedule'!$A$2:$Q$2902,T$2,0)&lt;&gt;D1485,"Beam Revised","")</f>
        <v>#N/A</v>
      </c>
      <c r="U1485" s="7" t="e">
        <f>IF(VLOOKUP($A1485,'Concrete Beam Schedule'!$A$2:$Q$2902,U$2,0)&lt;&gt;E1485,"Beam Revised","")</f>
        <v>#N/A</v>
      </c>
      <c r="V1485" s="7" t="e">
        <f>IF(VLOOKUP($A1485,'Concrete Beam Schedule'!$A$2:$Q$2902,V$2,0)&lt;&gt;F1485,"Beam Revised","")</f>
        <v>#N/A</v>
      </c>
      <c r="W1485" s="7" t="e">
        <f>IF(VLOOKUP($A1485,'Concrete Beam Schedule'!$A$2:$Q$2902,W$2,0)&lt;&gt;G1485,"Beam Revised","")</f>
        <v>#N/A</v>
      </c>
      <c r="X1485" s="7" t="e">
        <f>IF(VLOOKUP($A1485,'Concrete Beam Schedule'!$A$2:$Q$2902,X$2,0)&lt;&gt;H1485,"Beam Revised","")</f>
        <v>#N/A</v>
      </c>
      <c r="Y1485" s="7" t="e">
        <f>IF(VLOOKUP($A1485,'Concrete Beam Schedule'!$A$2:$Q$2902,Y$2,0)&lt;&gt;I1485,"Beam Revised","")</f>
        <v>#N/A</v>
      </c>
      <c r="Z1485" s="7" t="e">
        <f>IF(VLOOKUP($A1485,'Concrete Beam Schedule'!$A$2:$Q$2902,Z$2,0)&lt;&gt;J1485,"Beam Revised","")</f>
        <v>#N/A</v>
      </c>
      <c r="AA1485" s="7" t="e">
        <f>IF(VLOOKUP($A1485,'Concrete Beam Schedule'!$A$2:$Q$2902,AA$2,0)&lt;&gt;K1485,"Beam Revised","")</f>
        <v>#N/A</v>
      </c>
      <c r="AB1485" s="7" t="e">
        <f>IF(VLOOKUP($A1485,'Concrete Beam Schedule'!$A$2:$Q$2902,AB$2,0)&lt;&gt;L1485,"Beam Revised","")</f>
        <v>#N/A</v>
      </c>
      <c r="AC1485" s="7" t="e">
        <f>IF(VLOOKUP($A1485,'Concrete Beam Schedule'!$A$2:$Q$2902,AC$2,0)&lt;&gt;M1485,"Beam Revised","")</f>
        <v>#N/A</v>
      </c>
      <c r="AD1485" s="7" t="e">
        <f>IF(VLOOKUP($A1485,'Concrete Beam Schedule'!$A$2:$Q$2902,AD$2,0)&lt;&gt;N1485,"Beam Revised","")</f>
        <v>#N/A</v>
      </c>
      <c r="AE1485" s="7" t="e">
        <f>IF(VLOOKUP($A1485,'Concrete Beam Schedule'!$A$2:$Q$2902,AE$2,0)&lt;&gt;O1485,"Beam Revised","")</f>
        <v>#N/A</v>
      </c>
    </row>
    <row r="1486" spans="17:31" ht="20.100000000000001" customHeight="1" x14ac:dyDescent="0.25">
      <c r="Q1486" s="7">
        <f t="shared" si="23"/>
        <v>0</v>
      </c>
      <c r="R1486" s="7" t="e">
        <f>IF(VLOOKUP($A1486,'Concrete Beam Schedule'!$A$2:$Q$2902,R$2,0)&lt;&gt;B1486,VLOOKUP($A1486,'Concrete Beam Schedule'!$A$2:$Q$2902,R$2,0),"")</f>
        <v>#N/A</v>
      </c>
      <c r="S1486" s="7" t="e">
        <f>IF(VLOOKUP($A1486,'Concrete Beam Schedule'!$A$2:$Q$2902,S$2,0)&lt;&gt;C1486,VLOOKUP($A1486,'Concrete Beam Schedule'!$A$2:$Q$2902,S$2,0),"")</f>
        <v>#N/A</v>
      </c>
      <c r="T1486" s="7" t="e">
        <f>IF(VLOOKUP($A1486,'Concrete Beam Schedule'!$A$2:$Q$2902,T$2,0)&lt;&gt;D1486,"Beam Revised","")</f>
        <v>#N/A</v>
      </c>
      <c r="U1486" s="7" t="e">
        <f>IF(VLOOKUP($A1486,'Concrete Beam Schedule'!$A$2:$Q$2902,U$2,0)&lt;&gt;E1486,"Beam Revised","")</f>
        <v>#N/A</v>
      </c>
      <c r="V1486" s="7" t="e">
        <f>IF(VLOOKUP($A1486,'Concrete Beam Schedule'!$A$2:$Q$2902,V$2,0)&lt;&gt;F1486,"Beam Revised","")</f>
        <v>#N/A</v>
      </c>
      <c r="W1486" s="7" t="e">
        <f>IF(VLOOKUP($A1486,'Concrete Beam Schedule'!$A$2:$Q$2902,W$2,0)&lt;&gt;G1486,"Beam Revised","")</f>
        <v>#N/A</v>
      </c>
      <c r="X1486" s="7" t="e">
        <f>IF(VLOOKUP($A1486,'Concrete Beam Schedule'!$A$2:$Q$2902,X$2,0)&lt;&gt;H1486,"Beam Revised","")</f>
        <v>#N/A</v>
      </c>
      <c r="Y1486" s="7" t="e">
        <f>IF(VLOOKUP($A1486,'Concrete Beam Schedule'!$A$2:$Q$2902,Y$2,0)&lt;&gt;I1486,"Beam Revised","")</f>
        <v>#N/A</v>
      </c>
      <c r="Z1486" s="7" t="e">
        <f>IF(VLOOKUP($A1486,'Concrete Beam Schedule'!$A$2:$Q$2902,Z$2,0)&lt;&gt;J1486,"Beam Revised","")</f>
        <v>#N/A</v>
      </c>
      <c r="AA1486" s="7" t="e">
        <f>IF(VLOOKUP($A1486,'Concrete Beam Schedule'!$A$2:$Q$2902,AA$2,0)&lt;&gt;K1486,"Beam Revised","")</f>
        <v>#N/A</v>
      </c>
      <c r="AB1486" s="7" t="e">
        <f>IF(VLOOKUP($A1486,'Concrete Beam Schedule'!$A$2:$Q$2902,AB$2,0)&lt;&gt;L1486,"Beam Revised","")</f>
        <v>#N/A</v>
      </c>
      <c r="AC1486" s="7" t="e">
        <f>IF(VLOOKUP($A1486,'Concrete Beam Schedule'!$A$2:$Q$2902,AC$2,0)&lt;&gt;M1486,"Beam Revised","")</f>
        <v>#N/A</v>
      </c>
      <c r="AD1486" s="7" t="e">
        <f>IF(VLOOKUP($A1486,'Concrete Beam Schedule'!$A$2:$Q$2902,AD$2,0)&lt;&gt;N1486,"Beam Revised","")</f>
        <v>#N/A</v>
      </c>
      <c r="AE1486" s="7" t="e">
        <f>IF(VLOOKUP($A1486,'Concrete Beam Schedule'!$A$2:$Q$2902,AE$2,0)&lt;&gt;O1486,"Beam Revised","")</f>
        <v>#N/A</v>
      </c>
    </row>
    <row r="1487" spans="17:31" ht="20.100000000000001" customHeight="1" x14ac:dyDescent="0.25">
      <c r="Q1487" s="7">
        <f t="shared" si="23"/>
        <v>0</v>
      </c>
      <c r="R1487" s="7" t="e">
        <f>IF(VLOOKUP($A1487,'Concrete Beam Schedule'!$A$2:$Q$2902,R$2,0)&lt;&gt;B1487,VLOOKUP($A1487,'Concrete Beam Schedule'!$A$2:$Q$2902,R$2,0),"")</f>
        <v>#N/A</v>
      </c>
      <c r="S1487" s="7" t="e">
        <f>IF(VLOOKUP($A1487,'Concrete Beam Schedule'!$A$2:$Q$2902,S$2,0)&lt;&gt;C1487,VLOOKUP($A1487,'Concrete Beam Schedule'!$A$2:$Q$2902,S$2,0),"")</f>
        <v>#N/A</v>
      </c>
      <c r="T1487" s="7" t="e">
        <f>IF(VLOOKUP($A1487,'Concrete Beam Schedule'!$A$2:$Q$2902,T$2,0)&lt;&gt;D1487,"Beam Revised","")</f>
        <v>#N/A</v>
      </c>
      <c r="U1487" s="7" t="e">
        <f>IF(VLOOKUP($A1487,'Concrete Beam Schedule'!$A$2:$Q$2902,U$2,0)&lt;&gt;E1487,"Beam Revised","")</f>
        <v>#N/A</v>
      </c>
      <c r="V1487" s="7" t="e">
        <f>IF(VLOOKUP($A1487,'Concrete Beam Schedule'!$A$2:$Q$2902,V$2,0)&lt;&gt;F1487,"Beam Revised","")</f>
        <v>#N/A</v>
      </c>
      <c r="W1487" s="7" t="e">
        <f>IF(VLOOKUP($A1487,'Concrete Beam Schedule'!$A$2:$Q$2902,W$2,0)&lt;&gt;G1487,"Beam Revised","")</f>
        <v>#N/A</v>
      </c>
      <c r="X1487" s="7" t="e">
        <f>IF(VLOOKUP($A1487,'Concrete Beam Schedule'!$A$2:$Q$2902,X$2,0)&lt;&gt;H1487,"Beam Revised","")</f>
        <v>#N/A</v>
      </c>
      <c r="Y1487" s="7" t="e">
        <f>IF(VLOOKUP($A1487,'Concrete Beam Schedule'!$A$2:$Q$2902,Y$2,0)&lt;&gt;I1487,"Beam Revised","")</f>
        <v>#N/A</v>
      </c>
      <c r="Z1487" s="7" t="e">
        <f>IF(VLOOKUP($A1487,'Concrete Beam Schedule'!$A$2:$Q$2902,Z$2,0)&lt;&gt;J1487,"Beam Revised","")</f>
        <v>#N/A</v>
      </c>
      <c r="AA1487" s="7" t="e">
        <f>IF(VLOOKUP($A1487,'Concrete Beam Schedule'!$A$2:$Q$2902,AA$2,0)&lt;&gt;K1487,"Beam Revised","")</f>
        <v>#N/A</v>
      </c>
      <c r="AB1487" s="7" t="e">
        <f>IF(VLOOKUP($A1487,'Concrete Beam Schedule'!$A$2:$Q$2902,AB$2,0)&lt;&gt;L1487,"Beam Revised","")</f>
        <v>#N/A</v>
      </c>
      <c r="AC1487" s="7" t="e">
        <f>IF(VLOOKUP($A1487,'Concrete Beam Schedule'!$A$2:$Q$2902,AC$2,0)&lt;&gt;M1487,"Beam Revised","")</f>
        <v>#N/A</v>
      </c>
      <c r="AD1487" s="7" t="e">
        <f>IF(VLOOKUP($A1487,'Concrete Beam Schedule'!$A$2:$Q$2902,AD$2,0)&lt;&gt;N1487,"Beam Revised","")</f>
        <v>#N/A</v>
      </c>
      <c r="AE1487" s="7" t="e">
        <f>IF(VLOOKUP($A1487,'Concrete Beam Schedule'!$A$2:$Q$2902,AE$2,0)&lt;&gt;O1487,"Beam Revised","")</f>
        <v>#N/A</v>
      </c>
    </row>
    <row r="1488" spans="17:31" ht="20.100000000000001" customHeight="1" x14ac:dyDescent="0.25">
      <c r="Q1488" s="7">
        <f t="shared" si="23"/>
        <v>0</v>
      </c>
      <c r="R1488" s="7" t="e">
        <f>IF(VLOOKUP($A1488,'Concrete Beam Schedule'!$A$2:$Q$2902,R$2,0)&lt;&gt;B1488,VLOOKUP($A1488,'Concrete Beam Schedule'!$A$2:$Q$2902,R$2,0),"")</f>
        <v>#N/A</v>
      </c>
      <c r="S1488" s="7" t="e">
        <f>IF(VLOOKUP($A1488,'Concrete Beam Schedule'!$A$2:$Q$2902,S$2,0)&lt;&gt;C1488,VLOOKUP($A1488,'Concrete Beam Schedule'!$A$2:$Q$2902,S$2,0),"")</f>
        <v>#N/A</v>
      </c>
      <c r="T1488" s="7" t="e">
        <f>IF(VLOOKUP($A1488,'Concrete Beam Schedule'!$A$2:$Q$2902,T$2,0)&lt;&gt;D1488,"Beam Revised","")</f>
        <v>#N/A</v>
      </c>
      <c r="U1488" s="7" t="e">
        <f>IF(VLOOKUP($A1488,'Concrete Beam Schedule'!$A$2:$Q$2902,U$2,0)&lt;&gt;E1488,"Beam Revised","")</f>
        <v>#N/A</v>
      </c>
      <c r="V1488" s="7" t="e">
        <f>IF(VLOOKUP($A1488,'Concrete Beam Schedule'!$A$2:$Q$2902,V$2,0)&lt;&gt;F1488,"Beam Revised","")</f>
        <v>#N/A</v>
      </c>
      <c r="W1488" s="7" t="e">
        <f>IF(VLOOKUP($A1488,'Concrete Beam Schedule'!$A$2:$Q$2902,W$2,0)&lt;&gt;G1488,"Beam Revised","")</f>
        <v>#N/A</v>
      </c>
      <c r="X1488" s="7" t="e">
        <f>IF(VLOOKUP($A1488,'Concrete Beam Schedule'!$A$2:$Q$2902,X$2,0)&lt;&gt;H1488,"Beam Revised","")</f>
        <v>#N/A</v>
      </c>
      <c r="Y1488" s="7" t="e">
        <f>IF(VLOOKUP($A1488,'Concrete Beam Schedule'!$A$2:$Q$2902,Y$2,0)&lt;&gt;I1488,"Beam Revised","")</f>
        <v>#N/A</v>
      </c>
      <c r="Z1488" s="7" t="e">
        <f>IF(VLOOKUP($A1488,'Concrete Beam Schedule'!$A$2:$Q$2902,Z$2,0)&lt;&gt;J1488,"Beam Revised","")</f>
        <v>#N/A</v>
      </c>
      <c r="AA1488" s="7" t="e">
        <f>IF(VLOOKUP($A1488,'Concrete Beam Schedule'!$A$2:$Q$2902,AA$2,0)&lt;&gt;K1488,"Beam Revised","")</f>
        <v>#N/A</v>
      </c>
      <c r="AB1488" s="7" t="e">
        <f>IF(VLOOKUP($A1488,'Concrete Beam Schedule'!$A$2:$Q$2902,AB$2,0)&lt;&gt;L1488,"Beam Revised","")</f>
        <v>#N/A</v>
      </c>
      <c r="AC1488" s="7" t="e">
        <f>IF(VLOOKUP($A1488,'Concrete Beam Schedule'!$A$2:$Q$2902,AC$2,0)&lt;&gt;M1488,"Beam Revised","")</f>
        <v>#N/A</v>
      </c>
      <c r="AD1488" s="7" t="e">
        <f>IF(VLOOKUP($A1488,'Concrete Beam Schedule'!$A$2:$Q$2902,AD$2,0)&lt;&gt;N1488,"Beam Revised","")</f>
        <v>#N/A</v>
      </c>
      <c r="AE1488" s="7" t="e">
        <f>IF(VLOOKUP($A1488,'Concrete Beam Schedule'!$A$2:$Q$2902,AE$2,0)&lt;&gt;O1488,"Beam Revised","")</f>
        <v>#N/A</v>
      </c>
    </row>
    <row r="1489" spans="17:31" ht="20.100000000000001" customHeight="1" x14ac:dyDescent="0.25">
      <c r="Q1489" s="7">
        <f t="shared" si="23"/>
        <v>0</v>
      </c>
      <c r="R1489" s="7" t="e">
        <f>IF(VLOOKUP($A1489,'Concrete Beam Schedule'!$A$2:$Q$2902,R$2,0)&lt;&gt;B1489,VLOOKUP($A1489,'Concrete Beam Schedule'!$A$2:$Q$2902,R$2,0),"")</f>
        <v>#N/A</v>
      </c>
      <c r="S1489" s="7" t="e">
        <f>IF(VLOOKUP($A1489,'Concrete Beam Schedule'!$A$2:$Q$2902,S$2,0)&lt;&gt;C1489,VLOOKUP($A1489,'Concrete Beam Schedule'!$A$2:$Q$2902,S$2,0),"")</f>
        <v>#N/A</v>
      </c>
      <c r="T1489" s="7" t="e">
        <f>IF(VLOOKUP($A1489,'Concrete Beam Schedule'!$A$2:$Q$2902,T$2,0)&lt;&gt;D1489,"Beam Revised","")</f>
        <v>#N/A</v>
      </c>
      <c r="U1489" s="7" t="e">
        <f>IF(VLOOKUP($A1489,'Concrete Beam Schedule'!$A$2:$Q$2902,U$2,0)&lt;&gt;E1489,"Beam Revised","")</f>
        <v>#N/A</v>
      </c>
      <c r="V1489" s="7" t="e">
        <f>IF(VLOOKUP($A1489,'Concrete Beam Schedule'!$A$2:$Q$2902,V$2,0)&lt;&gt;F1489,"Beam Revised","")</f>
        <v>#N/A</v>
      </c>
      <c r="W1489" s="7" t="e">
        <f>IF(VLOOKUP($A1489,'Concrete Beam Schedule'!$A$2:$Q$2902,W$2,0)&lt;&gt;G1489,"Beam Revised","")</f>
        <v>#N/A</v>
      </c>
      <c r="X1489" s="7" t="e">
        <f>IF(VLOOKUP($A1489,'Concrete Beam Schedule'!$A$2:$Q$2902,X$2,0)&lt;&gt;H1489,"Beam Revised","")</f>
        <v>#N/A</v>
      </c>
      <c r="Y1489" s="7" t="e">
        <f>IF(VLOOKUP($A1489,'Concrete Beam Schedule'!$A$2:$Q$2902,Y$2,0)&lt;&gt;I1489,"Beam Revised","")</f>
        <v>#N/A</v>
      </c>
      <c r="Z1489" s="7" t="e">
        <f>IF(VLOOKUP($A1489,'Concrete Beam Schedule'!$A$2:$Q$2902,Z$2,0)&lt;&gt;J1489,"Beam Revised","")</f>
        <v>#N/A</v>
      </c>
      <c r="AA1489" s="7" t="e">
        <f>IF(VLOOKUP($A1489,'Concrete Beam Schedule'!$A$2:$Q$2902,AA$2,0)&lt;&gt;K1489,"Beam Revised","")</f>
        <v>#N/A</v>
      </c>
      <c r="AB1489" s="7" t="e">
        <f>IF(VLOOKUP($A1489,'Concrete Beam Schedule'!$A$2:$Q$2902,AB$2,0)&lt;&gt;L1489,"Beam Revised","")</f>
        <v>#N/A</v>
      </c>
      <c r="AC1489" s="7" t="e">
        <f>IF(VLOOKUP($A1489,'Concrete Beam Schedule'!$A$2:$Q$2902,AC$2,0)&lt;&gt;M1489,"Beam Revised","")</f>
        <v>#N/A</v>
      </c>
      <c r="AD1489" s="7" t="e">
        <f>IF(VLOOKUP($A1489,'Concrete Beam Schedule'!$A$2:$Q$2902,AD$2,0)&lt;&gt;N1489,"Beam Revised","")</f>
        <v>#N/A</v>
      </c>
      <c r="AE1489" s="7" t="e">
        <f>IF(VLOOKUP($A1489,'Concrete Beam Schedule'!$A$2:$Q$2902,AE$2,0)&lt;&gt;O1489,"Beam Revised","")</f>
        <v>#N/A</v>
      </c>
    </row>
    <row r="1490" spans="17:31" ht="20.100000000000001" customHeight="1" x14ac:dyDescent="0.25">
      <c r="Q1490" s="7">
        <f t="shared" si="23"/>
        <v>0</v>
      </c>
      <c r="R1490" s="7" t="e">
        <f>IF(VLOOKUP($A1490,'Concrete Beam Schedule'!$A$2:$Q$2902,R$2,0)&lt;&gt;B1490,VLOOKUP($A1490,'Concrete Beam Schedule'!$A$2:$Q$2902,R$2,0),"")</f>
        <v>#N/A</v>
      </c>
      <c r="S1490" s="7" t="e">
        <f>IF(VLOOKUP($A1490,'Concrete Beam Schedule'!$A$2:$Q$2902,S$2,0)&lt;&gt;C1490,VLOOKUP($A1490,'Concrete Beam Schedule'!$A$2:$Q$2902,S$2,0),"")</f>
        <v>#N/A</v>
      </c>
      <c r="T1490" s="7" t="e">
        <f>IF(VLOOKUP($A1490,'Concrete Beam Schedule'!$A$2:$Q$2902,T$2,0)&lt;&gt;D1490,"Beam Revised","")</f>
        <v>#N/A</v>
      </c>
      <c r="U1490" s="7" t="e">
        <f>IF(VLOOKUP($A1490,'Concrete Beam Schedule'!$A$2:$Q$2902,U$2,0)&lt;&gt;E1490,"Beam Revised","")</f>
        <v>#N/A</v>
      </c>
      <c r="V1490" s="7" t="e">
        <f>IF(VLOOKUP($A1490,'Concrete Beam Schedule'!$A$2:$Q$2902,V$2,0)&lt;&gt;F1490,"Beam Revised","")</f>
        <v>#N/A</v>
      </c>
      <c r="W1490" s="7" t="e">
        <f>IF(VLOOKUP($A1490,'Concrete Beam Schedule'!$A$2:$Q$2902,W$2,0)&lt;&gt;G1490,"Beam Revised","")</f>
        <v>#N/A</v>
      </c>
      <c r="X1490" s="7" t="e">
        <f>IF(VLOOKUP($A1490,'Concrete Beam Schedule'!$A$2:$Q$2902,X$2,0)&lt;&gt;H1490,"Beam Revised","")</f>
        <v>#N/A</v>
      </c>
      <c r="Y1490" s="7" t="e">
        <f>IF(VLOOKUP($A1490,'Concrete Beam Schedule'!$A$2:$Q$2902,Y$2,0)&lt;&gt;I1490,"Beam Revised","")</f>
        <v>#N/A</v>
      </c>
      <c r="Z1490" s="7" t="e">
        <f>IF(VLOOKUP($A1490,'Concrete Beam Schedule'!$A$2:$Q$2902,Z$2,0)&lt;&gt;J1490,"Beam Revised","")</f>
        <v>#N/A</v>
      </c>
      <c r="AA1490" s="7" t="e">
        <f>IF(VLOOKUP($A1490,'Concrete Beam Schedule'!$A$2:$Q$2902,AA$2,0)&lt;&gt;K1490,"Beam Revised","")</f>
        <v>#N/A</v>
      </c>
      <c r="AB1490" s="7" t="e">
        <f>IF(VLOOKUP($A1490,'Concrete Beam Schedule'!$A$2:$Q$2902,AB$2,0)&lt;&gt;L1490,"Beam Revised","")</f>
        <v>#N/A</v>
      </c>
      <c r="AC1490" s="7" t="e">
        <f>IF(VLOOKUP($A1490,'Concrete Beam Schedule'!$A$2:$Q$2902,AC$2,0)&lt;&gt;M1490,"Beam Revised","")</f>
        <v>#N/A</v>
      </c>
      <c r="AD1490" s="7" t="e">
        <f>IF(VLOOKUP($A1490,'Concrete Beam Schedule'!$A$2:$Q$2902,AD$2,0)&lt;&gt;N1490,"Beam Revised","")</f>
        <v>#N/A</v>
      </c>
      <c r="AE1490" s="7" t="e">
        <f>IF(VLOOKUP($A1490,'Concrete Beam Schedule'!$A$2:$Q$2902,AE$2,0)&lt;&gt;O1490,"Beam Revised","")</f>
        <v>#N/A</v>
      </c>
    </row>
    <row r="1491" spans="17:31" ht="20.100000000000001" customHeight="1" x14ac:dyDescent="0.25">
      <c r="Q1491" s="7">
        <f t="shared" si="23"/>
        <v>0</v>
      </c>
      <c r="R1491" s="7" t="e">
        <f>IF(VLOOKUP($A1491,'Concrete Beam Schedule'!$A$2:$Q$2902,R$2,0)&lt;&gt;B1491,VLOOKUP($A1491,'Concrete Beam Schedule'!$A$2:$Q$2902,R$2,0),"")</f>
        <v>#N/A</v>
      </c>
      <c r="S1491" s="7" t="e">
        <f>IF(VLOOKUP($A1491,'Concrete Beam Schedule'!$A$2:$Q$2902,S$2,0)&lt;&gt;C1491,VLOOKUP($A1491,'Concrete Beam Schedule'!$A$2:$Q$2902,S$2,0),"")</f>
        <v>#N/A</v>
      </c>
      <c r="T1491" s="7" t="e">
        <f>IF(VLOOKUP($A1491,'Concrete Beam Schedule'!$A$2:$Q$2902,T$2,0)&lt;&gt;D1491,"Beam Revised","")</f>
        <v>#N/A</v>
      </c>
      <c r="U1491" s="7" t="e">
        <f>IF(VLOOKUP($A1491,'Concrete Beam Schedule'!$A$2:$Q$2902,U$2,0)&lt;&gt;E1491,"Beam Revised","")</f>
        <v>#N/A</v>
      </c>
      <c r="V1491" s="7" t="e">
        <f>IF(VLOOKUP($A1491,'Concrete Beam Schedule'!$A$2:$Q$2902,V$2,0)&lt;&gt;F1491,"Beam Revised","")</f>
        <v>#N/A</v>
      </c>
      <c r="W1491" s="7" t="e">
        <f>IF(VLOOKUP($A1491,'Concrete Beam Schedule'!$A$2:$Q$2902,W$2,0)&lt;&gt;G1491,"Beam Revised","")</f>
        <v>#N/A</v>
      </c>
      <c r="X1491" s="7" t="e">
        <f>IF(VLOOKUP($A1491,'Concrete Beam Schedule'!$A$2:$Q$2902,X$2,0)&lt;&gt;H1491,"Beam Revised","")</f>
        <v>#N/A</v>
      </c>
      <c r="Y1491" s="7" t="e">
        <f>IF(VLOOKUP($A1491,'Concrete Beam Schedule'!$A$2:$Q$2902,Y$2,0)&lt;&gt;I1491,"Beam Revised","")</f>
        <v>#N/A</v>
      </c>
      <c r="Z1491" s="7" t="e">
        <f>IF(VLOOKUP($A1491,'Concrete Beam Schedule'!$A$2:$Q$2902,Z$2,0)&lt;&gt;J1491,"Beam Revised","")</f>
        <v>#N/A</v>
      </c>
      <c r="AA1491" s="7" t="e">
        <f>IF(VLOOKUP($A1491,'Concrete Beam Schedule'!$A$2:$Q$2902,AA$2,0)&lt;&gt;K1491,"Beam Revised","")</f>
        <v>#N/A</v>
      </c>
      <c r="AB1491" s="7" t="e">
        <f>IF(VLOOKUP($A1491,'Concrete Beam Schedule'!$A$2:$Q$2902,AB$2,0)&lt;&gt;L1491,"Beam Revised","")</f>
        <v>#N/A</v>
      </c>
      <c r="AC1491" s="7" t="e">
        <f>IF(VLOOKUP($A1491,'Concrete Beam Schedule'!$A$2:$Q$2902,AC$2,0)&lt;&gt;M1491,"Beam Revised","")</f>
        <v>#N/A</v>
      </c>
      <c r="AD1491" s="7" t="e">
        <f>IF(VLOOKUP($A1491,'Concrete Beam Schedule'!$A$2:$Q$2902,AD$2,0)&lt;&gt;N1491,"Beam Revised","")</f>
        <v>#N/A</v>
      </c>
      <c r="AE1491" s="7" t="e">
        <f>IF(VLOOKUP($A1491,'Concrete Beam Schedule'!$A$2:$Q$2902,AE$2,0)&lt;&gt;O1491,"Beam Revised","")</f>
        <v>#N/A</v>
      </c>
    </row>
    <row r="1492" spans="17:31" ht="20.100000000000001" customHeight="1" x14ac:dyDescent="0.25">
      <c r="Q1492" s="7">
        <f t="shared" si="23"/>
        <v>0</v>
      </c>
      <c r="R1492" s="7" t="e">
        <f>IF(VLOOKUP($A1492,'Concrete Beam Schedule'!$A$2:$Q$2902,R$2,0)&lt;&gt;B1492,VLOOKUP($A1492,'Concrete Beam Schedule'!$A$2:$Q$2902,R$2,0),"")</f>
        <v>#N/A</v>
      </c>
      <c r="S1492" s="7" t="e">
        <f>IF(VLOOKUP($A1492,'Concrete Beam Schedule'!$A$2:$Q$2902,S$2,0)&lt;&gt;C1492,VLOOKUP($A1492,'Concrete Beam Schedule'!$A$2:$Q$2902,S$2,0),"")</f>
        <v>#N/A</v>
      </c>
      <c r="T1492" s="7" t="e">
        <f>IF(VLOOKUP($A1492,'Concrete Beam Schedule'!$A$2:$Q$2902,T$2,0)&lt;&gt;D1492,"Beam Revised","")</f>
        <v>#N/A</v>
      </c>
      <c r="U1492" s="7" t="e">
        <f>IF(VLOOKUP($A1492,'Concrete Beam Schedule'!$A$2:$Q$2902,U$2,0)&lt;&gt;E1492,"Beam Revised","")</f>
        <v>#N/A</v>
      </c>
      <c r="V1492" s="7" t="e">
        <f>IF(VLOOKUP($A1492,'Concrete Beam Schedule'!$A$2:$Q$2902,V$2,0)&lt;&gt;F1492,"Beam Revised","")</f>
        <v>#N/A</v>
      </c>
      <c r="W1492" s="7" t="e">
        <f>IF(VLOOKUP($A1492,'Concrete Beam Schedule'!$A$2:$Q$2902,W$2,0)&lt;&gt;G1492,"Beam Revised","")</f>
        <v>#N/A</v>
      </c>
      <c r="X1492" s="7" t="e">
        <f>IF(VLOOKUP($A1492,'Concrete Beam Schedule'!$A$2:$Q$2902,X$2,0)&lt;&gt;H1492,"Beam Revised","")</f>
        <v>#N/A</v>
      </c>
      <c r="Y1492" s="7" t="e">
        <f>IF(VLOOKUP($A1492,'Concrete Beam Schedule'!$A$2:$Q$2902,Y$2,0)&lt;&gt;I1492,"Beam Revised","")</f>
        <v>#N/A</v>
      </c>
      <c r="Z1492" s="7" t="e">
        <f>IF(VLOOKUP($A1492,'Concrete Beam Schedule'!$A$2:$Q$2902,Z$2,0)&lt;&gt;J1492,"Beam Revised","")</f>
        <v>#N/A</v>
      </c>
      <c r="AA1492" s="7" t="e">
        <f>IF(VLOOKUP($A1492,'Concrete Beam Schedule'!$A$2:$Q$2902,AA$2,0)&lt;&gt;K1492,"Beam Revised","")</f>
        <v>#N/A</v>
      </c>
      <c r="AB1492" s="7" t="e">
        <f>IF(VLOOKUP($A1492,'Concrete Beam Schedule'!$A$2:$Q$2902,AB$2,0)&lt;&gt;L1492,"Beam Revised","")</f>
        <v>#N/A</v>
      </c>
      <c r="AC1492" s="7" t="e">
        <f>IF(VLOOKUP($A1492,'Concrete Beam Schedule'!$A$2:$Q$2902,AC$2,0)&lt;&gt;M1492,"Beam Revised","")</f>
        <v>#N/A</v>
      </c>
      <c r="AD1492" s="7" t="e">
        <f>IF(VLOOKUP($A1492,'Concrete Beam Schedule'!$A$2:$Q$2902,AD$2,0)&lt;&gt;N1492,"Beam Revised","")</f>
        <v>#N/A</v>
      </c>
      <c r="AE1492" s="7" t="e">
        <f>IF(VLOOKUP($A1492,'Concrete Beam Schedule'!$A$2:$Q$2902,AE$2,0)&lt;&gt;O1492,"Beam Revised","")</f>
        <v>#N/A</v>
      </c>
    </row>
    <row r="1493" spans="17:31" ht="20.100000000000001" customHeight="1" x14ac:dyDescent="0.25">
      <c r="Q1493" s="7">
        <f t="shared" si="23"/>
        <v>0</v>
      </c>
      <c r="R1493" s="7" t="e">
        <f>IF(VLOOKUP($A1493,'Concrete Beam Schedule'!$A$2:$Q$2902,R$2,0)&lt;&gt;B1493,VLOOKUP($A1493,'Concrete Beam Schedule'!$A$2:$Q$2902,R$2,0),"")</f>
        <v>#N/A</v>
      </c>
      <c r="S1493" s="7" t="e">
        <f>IF(VLOOKUP($A1493,'Concrete Beam Schedule'!$A$2:$Q$2902,S$2,0)&lt;&gt;C1493,VLOOKUP($A1493,'Concrete Beam Schedule'!$A$2:$Q$2902,S$2,0),"")</f>
        <v>#N/A</v>
      </c>
      <c r="T1493" s="7" t="e">
        <f>IF(VLOOKUP($A1493,'Concrete Beam Schedule'!$A$2:$Q$2902,T$2,0)&lt;&gt;D1493,"Beam Revised","")</f>
        <v>#N/A</v>
      </c>
      <c r="U1493" s="7" t="e">
        <f>IF(VLOOKUP($A1493,'Concrete Beam Schedule'!$A$2:$Q$2902,U$2,0)&lt;&gt;E1493,"Beam Revised","")</f>
        <v>#N/A</v>
      </c>
      <c r="V1493" s="7" t="e">
        <f>IF(VLOOKUP($A1493,'Concrete Beam Schedule'!$A$2:$Q$2902,V$2,0)&lt;&gt;F1493,"Beam Revised","")</f>
        <v>#N/A</v>
      </c>
      <c r="W1493" s="7" t="e">
        <f>IF(VLOOKUP($A1493,'Concrete Beam Schedule'!$A$2:$Q$2902,W$2,0)&lt;&gt;G1493,"Beam Revised","")</f>
        <v>#N/A</v>
      </c>
      <c r="X1493" s="7" t="e">
        <f>IF(VLOOKUP($A1493,'Concrete Beam Schedule'!$A$2:$Q$2902,X$2,0)&lt;&gt;H1493,"Beam Revised","")</f>
        <v>#N/A</v>
      </c>
      <c r="Y1493" s="7" t="e">
        <f>IF(VLOOKUP($A1493,'Concrete Beam Schedule'!$A$2:$Q$2902,Y$2,0)&lt;&gt;I1493,"Beam Revised","")</f>
        <v>#N/A</v>
      </c>
      <c r="Z1493" s="7" t="e">
        <f>IF(VLOOKUP($A1493,'Concrete Beam Schedule'!$A$2:$Q$2902,Z$2,0)&lt;&gt;J1493,"Beam Revised","")</f>
        <v>#N/A</v>
      </c>
      <c r="AA1493" s="7" t="e">
        <f>IF(VLOOKUP($A1493,'Concrete Beam Schedule'!$A$2:$Q$2902,AA$2,0)&lt;&gt;K1493,"Beam Revised","")</f>
        <v>#N/A</v>
      </c>
      <c r="AB1493" s="7" t="e">
        <f>IF(VLOOKUP($A1493,'Concrete Beam Schedule'!$A$2:$Q$2902,AB$2,0)&lt;&gt;L1493,"Beam Revised","")</f>
        <v>#N/A</v>
      </c>
      <c r="AC1493" s="7" t="e">
        <f>IF(VLOOKUP($A1493,'Concrete Beam Schedule'!$A$2:$Q$2902,AC$2,0)&lt;&gt;M1493,"Beam Revised","")</f>
        <v>#N/A</v>
      </c>
      <c r="AD1493" s="7" t="e">
        <f>IF(VLOOKUP($A1493,'Concrete Beam Schedule'!$A$2:$Q$2902,AD$2,0)&lt;&gt;N1493,"Beam Revised","")</f>
        <v>#N/A</v>
      </c>
      <c r="AE1493" s="7" t="e">
        <f>IF(VLOOKUP($A1493,'Concrete Beam Schedule'!$A$2:$Q$2902,AE$2,0)&lt;&gt;O1493,"Beam Revised","")</f>
        <v>#N/A</v>
      </c>
    </row>
    <row r="1494" spans="17:31" ht="20.100000000000001" customHeight="1" x14ac:dyDescent="0.25">
      <c r="Q1494" s="7">
        <f t="shared" si="23"/>
        <v>0</v>
      </c>
      <c r="R1494" s="7" t="e">
        <f>IF(VLOOKUP($A1494,'Concrete Beam Schedule'!$A$2:$Q$2902,R$2,0)&lt;&gt;B1494,VLOOKUP($A1494,'Concrete Beam Schedule'!$A$2:$Q$2902,R$2,0),"")</f>
        <v>#N/A</v>
      </c>
      <c r="S1494" s="7" t="e">
        <f>IF(VLOOKUP($A1494,'Concrete Beam Schedule'!$A$2:$Q$2902,S$2,0)&lt;&gt;C1494,VLOOKUP($A1494,'Concrete Beam Schedule'!$A$2:$Q$2902,S$2,0),"")</f>
        <v>#N/A</v>
      </c>
      <c r="T1494" s="7" t="e">
        <f>IF(VLOOKUP($A1494,'Concrete Beam Schedule'!$A$2:$Q$2902,T$2,0)&lt;&gt;D1494,"Beam Revised","")</f>
        <v>#N/A</v>
      </c>
      <c r="U1494" s="7" t="e">
        <f>IF(VLOOKUP($A1494,'Concrete Beam Schedule'!$A$2:$Q$2902,U$2,0)&lt;&gt;E1494,"Beam Revised","")</f>
        <v>#N/A</v>
      </c>
      <c r="V1494" s="7" t="e">
        <f>IF(VLOOKUP($A1494,'Concrete Beam Schedule'!$A$2:$Q$2902,V$2,0)&lt;&gt;F1494,"Beam Revised","")</f>
        <v>#N/A</v>
      </c>
      <c r="W1494" s="7" t="e">
        <f>IF(VLOOKUP($A1494,'Concrete Beam Schedule'!$A$2:$Q$2902,W$2,0)&lt;&gt;G1494,"Beam Revised","")</f>
        <v>#N/A</v>
      </c>
      <c r="X1494" s="7" t="e">
        <f>IF(VLOOKUP($A1494,'Concrete Beam Schedule'!$A$2:$Q$2902,X$2,0)&lt;&gt;H1494,"Beam Revised","")</f>
        <v>#N/A</v>
      </c>
      <c r="Y1494" s="7" t="e">
        <f>IF(VLOOKUP($A1494,'Concrete Beam Schedule'!$A$2:$Q$2902,Y$2,0)&lt;&gt;I1494,"Beam Revised","")</f>
        <v>#N/A</v>
      </c>
      <c r="Z1494" s="7" t="e">
        <f>IF(VLOOKUP($A1494,'Concrete Beam Schedule'!$A$2:$Q$2902,Z$2,0)&lt;&gt;J1494,"Beam Revised","")</f>
        <v>#N/A</v>
      </c>
      <c r="AA1494" s="7" t="e">
        <f>IF(VLOOKUP($A1494,'Concrete Beam Schedule'!$A$2:$Q$2902,AA$2,0)&lt;&gt;K1494,"Beam Revised","")</f>
        <v>#N/A</v>
      </c>
      <c r="AB1494" s="7" t="e">
        <f>IF(VLOOKUP($A1494,'Concrete Beam Schedule'!$A$2:$Q$2902,AB$2,0)&lt;&gt;L1494,"Beam Revised","")</f>
        <v>#N/A</v>
      </c>
      <c r="AC1494" s="7" t="e">
        <f>IF(VLOOKUP($A1494,'Concrete Beam Schedule'!$A$2:$Q$2902,AC$2,0)&lt;&gt;M1494,"Beam Revised","")</f>
        <v>#N/A</v>
      </c>
      <c r="AD1494" s="7" t="e">
        <f>IF(VLOOKUP($A1494,'Concrete Beam Schedule'!$A$2:$Q$2902,AD$2,0)&lt;&gt;N1494,"Beam Revised","")</f>
        <v>#N/A</v>
      </c>
      <c r="AE1494" s="7" t="e">
        <f>IF(VLOOKUP($A1494,'Concrete Beam Schedule'!$A$2:$Q$2902,AE$2,0)&lt;&gt;O1494,"Beam Revised","")</f>
        <v>#N/A</v>
      </c>
    </row>
    <row r="1495" spans="17:31" ht="20.100000000000001" customHeight="1" x14ac:dyDescent="0.25">
      <c r="Q1495" s="7">
        <f t="shared" si="23"/>
        <v>0</v>
      </c>
      <c r="R1495" s="7" t="e">
        <f>IF(VLOOKUP($A1495,'Concrete Beam Schedule'!$A$2:$Q$2902,R$2,0)&lt;&gt;B1495,VLOOKUP($A1495,'Concrete Beam Schedule'!$A$2:$Q$2902,R$2,0),"")</f>
        <v>#N/A</v>
      </c>
      <c r="S1495" s="7" t="e">
        <f>IF(VLOOKUP($A1495,'Concrete Beam Schedule'!$A$2:$Q$2902,S$2,0)&lt;&gt;C1495,VLOOKUP($A1495,'Concrete Beam Schedule'!$A$2:$Q$2902,S$2,0),"")</f>
        <v>#N/A</v>
      </c>
      <c r="T1495" s="7" t="e">
        <f>IF(VLOOKUP($A1495,'Concrete Beam Schedule'!$A$2:$Q$2902,T$2,0)&lt;&gt;D1495,"Beam Revised","")</f>
        <v>#N/A</v>
      </c>
      <c r="U1495" s="7" t="e">
        <f>IF(VLOOKUP($A1495,'Concrete Beam Schedule'!$A$2:$Q$2902,U$2,0)&lt;&gt;E1495,"Beam Revised","")</f>
        <v>#N/A</v>
      </c>
      <c r="V1495" s="7" t="e">
        <f>IF(VLOOKUP($A1495,'Concrete Beam Schedule'!$A$2:$Q$2902,V$2,0)&lt;&gt;F1495,"Beam Revised","")</f>
        <v>#N/A</v>
      </c>
      <c r="W1495" s="7" t="e">
        <f>IF(VLOOKUP($A1495,'Concrete Beam Schedule'!$A$2:$Q$2902,W$2,0)&lt;&gt;G1495,"Beam Revised","")</f>
        <v>#N/A</v>
      </c>
      <c r="X1495" s="7" t="e">
        <f>IF(VLOOKUP($A1495,'Concrete Beam Schedule'!$A$2:$Q$2902,X$2,0)&lt;&gt;H1495,"Beam Revised","")</f>
        <v>#N/A</v>
      </c>
      <c r="Y1495" s="7" t="e">
        <f>IF(VLOOKUP($A1495,'Concrete Beam Schedule'!$A$2:$Q$2902,Y$2,0)&lt;&gt;I1495,"Beam Revised","")</f>
        <v>#N/A</v>
      </c>
      <c r="Z1495" s="7" t="e">
        <f>IF(VLOOKUP($A1495,'Concrete Beam Schedule'!$A$2:$Q$2902,Z$2,0)&lt;&gt;J1495,"Beam Revised","")</f>
        <v>#N/A</v>
      </c>
      <c r="AA1495" s="7" t="e">
        <f>IF(VLOOKUP($A1495,'Concrete Beam Schedule'!$A$2:$Q$2902,AA$2,0)&lt;&gt;K1495,"Beam Revised","")</f>
        <v>#N/A</v>
      </c>
      <c r="AB1495" s="7" t="e">
        <f>IF(VLOOKUP($A1495,'Concrete Beam Schedule'!$A$2:$Q$2902,AB$2,0)&lt;&gt;L1495,"Beam Revised","")</f>
        <v>#N/A</v>
      </c>
      <c r="AC1495" s="7" t="e">
        <f>IF(VLOOKUP($A1495,'Concrete Beam Schedule'!$A$2:$Q$2902,AC$2,0)&lt;&gt;M1495,"Beam Revised","")</f>
        <v>#N/A</v>
      </c>
      <c r="AD1495" s="7" t="e">
        <f>IF(VLOOKUP($A1495,'Concrete Beam Schedule'!$A$2:$Q$2902,AD$2,0)&lt;&gt;N1495,"Beam Revised","")</f>
        <v>#N/A</v>
      </c>
      <c r="AE1495" s="7" t="e">
        <f>IF(VLOOKUP($A1495,'Concrete Beam Schedule'!$A$2:$Q$2902,AE$2,0)&lt;&gt;O1495,"Beam Revised","")</f>
        <v>#N/A</v>
      </c>
    </row>
    <row r="1496" spans="17:31" ht="20.100000000000001" customHeight="1" x14ac:dyDescent="0.25">
      <c r="Q1496" s="7">
        <f t="shared" si="23"/>
        <v>0</v>
      </c>
      <c r="R1496" s="7" t="e">
        <f>IF(VLOOKUP($A1496,'Concrete Beam Schedule'!$A$2:$Q$2902,R$2,0)&lt;&gt;B1496,VLOOKUP($A1496,'Concrete Beam Schedule'!$A$2:$Q$2902,R$2,0),"")</f>
        <v>#N/A</v>
      </c>
      <c r="S1496" s="7" t="e">
        <f>IF(VLOOKUP($A1496,'Concrete Beam Schedule'!$A$2:$Q$2902,S$2,0)&lt;&gt;C1496,VLOOKUP($A1496,'Concrete Beam Schedule'!$A$2:$Q$2902,S$2,0),"")</f>
        <v>#N/A</v>
      </c>
      <c r="T1496" s="7" t="e">
        <f>IF(VLOOKUP($A1496,'Concrete Beam Schedule'!$A$2:$Q$2902,T$2,0)&lt;&gt;D1496,"Beam Revised","")</f>
        <v>#N/A</v>
      </c>
      <c r="U1496" s="7" t="e">
        <f>IF(VLOOKUP($A1496,'Concrete Beam Schedule'!$A$2:$Q$2902,U$2,0)&lt;&gt;E1496,"Beam Revised","")</f>
        <v>#N/A</v>
      </c>
      <c r="V1496" s="7" t="e">
        <f>IF(VLOOKUP($A1496,'Concrete Beam Schedule'!$A$2:$Q$2902,V$2,0)&lt;&gt;F1496,"Beam Revised","")</f>
        <v>#N/A</v>
      </c>
      <c r="W1496" s="7" t="e">
        <f>IF(VLOOKUP($A1496,'Concrete Beam Schedule'!$A$2:$Q$2902,W$2,0)&lt;&gt;G1496,"Beam Revised","")</f>
        <v>#N/A</v>
      </c>
      <c r="X1496" s="7" t="e">
        <f>IF(VLOOKUP($A1496,'Concrete Beam Schedule'!$A$2:$Q$2902,X$2,0)&lt;&gt;H1496,"Beam Revised","")</f>
        <v>#N/A</v>
      </c>
      <c r="Y1496" s="7" t="e">
        <f>IF(VLOOKUP($A1496,'Concrete Beam Schedule'!$A$2:$Q$2902,Y$2,0)&lt;&gt;I1496,"Beam Revised","")</f>
        <v>#N/A</v>
      </c>
      <c r="Z1496" s="7" t="e">
        <f>IF(VLOOKUP($A1496,'Concrete Beam Schedule'!$A$2:$Q$2902,Z$2,0)&lt;&gt;J1496,"Beam Revised","")</f>
        <v>#N/A</v>
      </c>
      <c r="AA1496" s="7" t="e">
        <f>IF(VLOOKUP($A1496,'Concrete Beam Schedule'!$A$2:$Q$2902,AA$2,0)&lt;&gt;K1496,"Beam Revised","")</f>
        <v>#N/A</v>
      </c>
      <c r="AB1496" s="7" t="e">
        <f>IF(VLOOKUP($A1496,'Concrete Beam Schedule'!$A$2:$Q$2902,AB$2,0)&lt;&gt;L1496,"Beam Revised","")</f>
        <v>#N/A</v>
      </c>
      <c r="AC1496" s="7" t="e">
        <f>IF(VLOOKUP($A1496,'Concrete Beam Schedule'!$A$2:$Q$2902,AC$2,0)&lt;&gt;M1496,"Beam Revised","")</f>
        <v>#N/A</v>
      </c>
      <c r="AD1496" s="7" t="e">
        <f>IF(VLOOKUP($A1496,'Concrete Beam Schedule'!$A$2:$Q$2902,AD$2,0)&lt;&gt;N1496,"Beam Revised","")</f>
        <v>#N/A</v>
      </c>
      <c r="AE1496" s="7" t="e">
        <f>IF(VLOOKUP($A1496,'Concrete Beam Schedule'!$A$2:$Q$2902,AE$2,0)&lt;&gt;O1496,"Beam Revised","")</f>
        <v>#N/A</v>
      </c>
    </row>
    <row r="1497" spans="17:31" ht="20.100000000000001" customHeight="1" x14ac:dyDescent="0.25">
      <c r="Q1497" s="7">
        <f t="shared" si="23"/>
        <v>0</v>
      </c>
      <c r="R1497" s="7" t="e">
        <f>IF(VLOOKUP($A1497,'Concrete Beam Schedule'!$A$2:$Q$2902,R$2,0)&lt;&gt;B1497,VLOOKUP($A1497,'Concrete Beam Schedule'!$A$2:$Q$2902,R$2,0),"")</f>
        <v>#N/A</v>
      </c>
      <c r="S1497" s="7" t="e">
        <f>IF(VLOOKUP($A1497,'Concrete Beam Schedule'!$A$2:$Q$2902,S$2,0)&lt;&gt;C1497,VLOOKUP($A1497,'Concrete Beam Schedule'!$A$2:$Q$2902,S$2,0),"")</f>
        <v>#N/A</v>
      </c>
      <c r="T1497" s="7" t="e">
        <f>IF(VLOOKUP($A1497,'Concrete Beam Schedule'!$A$2:$Q$2902,T$2,0)&lt;&gt;D1497,"Beam Revised","")</f>
        <v>#N/A</v>
      </c>
      <c r="U1497" s="7" t="e">
        <f>IF(VLOOKUP($A1497,'Concrete Beam Schedule'!$A$2:$Q$2902,U$2,0)&lt;&gt;E1497,"Beam Revised","")</f>
        <v>#N/A</v>
      </c>
      <c r="V1497" s="7" t="e">
        <f>IF(VLOOKUP($A1497,'Concrete Beam Schedule'!$A$2:$Q$2902,V$2,0)&lt;&gt;F1497,"Beam Revised","")</f>
        <v>#N/A</v>
      </c>
      <c r="W1497" s="7" t="e">
        <f>IF(VLOOKUP($A1497,'Concrete Beam Schedule'!$A$2:$Q$2902,W$2,0)&lt;&gt;G1497,"Beam Revised","")</f>
        <v>#N/A</v>
      </c>
      <c r="X1497" s="7" t="e">
        <f>IF(VLOOKUP($A1497,'Concrete Beam Schedule'!$A$2:$Q$2902,X$2,0)&lt;&gt;H1497,"Beam Revised","")</f>
        <v>#N/A</v>
      </c>
      <c r="Y1497" s="7" t="e">
        <f>IF(VLOOKUP($A1497,'Concrete Beam Schedule'!$A$2:$Q$2902,Y$2,0)&lt;&gt;I1497,"Beam Revised","")</f>
        <v>#N/A</v>
      </c>
      <c r="Z1497" s="7" t="e">
        <f>IF(VLOOKUP($A1497,'Concrete Beam Schedule'!$A$2:$Q$2902,Z$2,0)&lt;&gt;J1497,"Beam Revised","")</f>
        <v>#N/A</v>
      </c>
      <c r="AA1497" s="7" t="e">
        <f>IF(VLOOKUP($A1497,'Concrete Beam Schedule'!$A$2:$Q$2902,AA$2,0)&lt;&gt;K1497,"Beam Revised","")</f>
        <v>#N/A</v>
      </c>
      <c r="AB1497" s="7" t="e">
        <f>IF(VLOOKUP($A1497,'Concrete Beam Schedule'!$A$2:$Q$2902,AB$2,0)&lt;&gt;L1497,"Beam Revised","")</f>
        <v>#N/A</v>
      </c>
      <c r="AC1497" s="7" t="e">
        <f>IF(VLOOKUP($A1497,'Concrete Beam Schedule'!$A$2:$Q$2902,AC$2,0)&lt;&gt;M1497,"Beam Revised","")</f>
        <v>#N/A</v>
      </c>
      <c r="AD1497" s="7" t="e">
        <f>IF(VLOOKUP($A1497,'Concrete Beam Schedule'!$A$2:$Q$2902,AD$2,0)&lt;&gt;N1497,"Beam Revised","")</f>
        <v>#N/A</v>
      </c>
      <c r="AE1497" s="7" t="e">
        <f>IF(VLOOKUP($A1497,'Concrete Beam Schedule'!$A$2:$Q$2902,AE$2,0)&lt;&gt;O1497,"Beam Revised","")</f>
        <v>#N/A</v>
      </c>
    </row>
    <row r="1498" spans="17:31" ht="20.100000000000001" customHeight="1" x14ac:dyDescent="0.25">
      <c r="Q1498" s="7">
        <f t="shared" si="23"/>
        <v>0</v>
      </c>
      <c r="R1498" s="7" t="e">
        <f>IF(VLOOKUP($A1498,'Concrete Beam Schedule'!$A$2:$Q$2902,R$2,0)&lt;&gt;B1498,VLOOKUP($A1498,'Concrete Beam Schedule'!$A$2:$Q$2902,R$2,0),"")</f>
        <v>#N/A</v>
      </c>
      <c r="S1498" s="7" t="e">
        <f>IF(VLOOKUP($A1498,'Concrete Beam Schedule'!$A$2:$Q$2902,S$2,0)&lt;&gt;C1498,VLOOKUP($A1498,'Concrete Beam Schedule'!$A$2:$Q$2902,S$2,0),"")</f>
        <v>#N/A</v>
      </c>
      <c r="T1498" s="7" t="e">
        <f>IF(VLOOKUP($A1498,'Concrete Beam Schedule'!$A$2:$Q$2902,T$2,0)&lt;&gt;D1498,"Beam Revised","")</f>
        <v>#N/A</v>
      </c>
      <c r="U1498" s="7" t="e">
        <f>IF(VLOOKUP($A1498,'Concrete Beam Schedule'!$A$2:$Q$2902,U$2,0)&lt;&gt;E1498,"Beam Revised","")</f>
        <v>#N/A</v>
      </c>
      <c r="V1498" s="7" t="e">
        <f>IF(VLOOKUP($A1498,'Concrete Beam Schedule'!$A$2:$Q$2902,V$2,0)&lt;&gt;F1498,"Beam Revised","")</f>
        <v>#N/A</v>
      </c>
      <c r="W1498" s="7" t="e">
        <f>IF(VLOOKUP($A1498,'Concrete Beam Schedule'!$A$2:$Q$2902,W$2,0)&lt;&gt;G1498,"Beam Revised","")</f>
        <v>#N/A</v>
      </c>
      <c r="X1498" s="7" t="e">
        <f>IF(VLOOKUP($A1498,'Concrete Beam Schedule'!$A$2:$Q$2902,X$2,0)&lt;&gt;H1498,"Beam Revised","")</f>
        <v>#N/A</v>
      </c>
      <c r="Y1498" s="7" t="e">
        <f>IF(VLOOKUP($A1498,'Concrete Beam Schedule'!$A$2:$Q$2902,Y$2,0)&lt;&gt;I1498,"Beam Revised","")</f>
        <v>#N/A</v>
      </c>
      <c r="Z1498" s="7" t="e">
        <f>IF(VLOOKUP($A1498,'Concrete Beam Schedule'!$A$2:$Q$2902,Z$2,0)&lt;&gt;J1498,"Beam Revised","")</f>
        <v>#N/A</v>
      </c>
      <c r="AA1498" s="7" t="e">
        <f>IF(VLOOKUP($A1498,'Concrete Beam Schedule'!$A$2:$Q$2902,AA$2,0)&lt;&gt;K1498,"Beam Revised","")</f>
        <v>#N/A</v>
      </c>
      <c r="AB1498" s="7" t="e">
        <f>IF(VLOOKUP($A1498,'Concrete Beam Schedule'!$A$2:$Q$2902,AB$2,0)&lt;&gt;L1498,"Beam Revised","")</f>
        <v>#N/A</v>
      </c>
      <c r="AC1498" s="7" t="e">
        <f>IF(VLOOKUP($A1498,'Concrete Beam Schedule'!$A$2:$Q$2902,AC$2,0)&lt;&gt;M1498,"Beam Revised","")</f>
        <v>#N/A</v>
      </c>
      <c r="AD1498" s="7" t="e">
        <f>IF(VLOOKUP($A1498,'Concrete Beam Schedule'!$A$2:$Q$2902,AD$2,0)&lt;&gt;N1498,"Beam Revised","")</f>
        <v>#N/A</v>
      </c>
      <c r="AE1498" s="7" t="e">
        <f>IF(VLOOKUP($A1498,'Concrete Beam Schedule'!$A$2:$Q$2902,AE$2,0)&lt;&gt;O1498,"Beam Revised","")</f>
        <v>#N/A</v>
      </c>
    </row>
    <row r="1499" spans="17:31" ht="20.100000000000001" customHeight="1" x14ac:dyDescent="0.25">
      <c r="Q1499" s="7">
        <f t="shared" si="23"/>
        <v>0</v>
      </c>
      <c r="R1499" s="7" t="e">
        <f>IF(VLOOKUP($A1499,'Concrete Beam Schedule'!$A$2:$Q$2902,R$2,0)&lt;&gt;B1499,VLOOKUP($A1499,'Concrete Beam Schedule'!$A$2:$Q$2902,R$2,0),"")</f>
        <v>#N/A</v>
      </c>
      <c r="S1499" s="7" t="e">
        <f>IF(VLOOKUP($A1499,'Concrete Beam Schedule'!$A$2:$Q$2902,S$2,0)&lt;&gt;C1499,VLOOKUP($A1499,'Concrete Beam Schedule'!$A$2:$Q$2902,S$2,0),"")</f>
        <v>#N/A</v>
      </c>
      <c r="T1499" s="7" t="e">
        <f>IF(VLOOKUP($A1499,'Concrete Beam Schedule'!$A$2:$Q$2902,T$2,0)&lt;&gt;D1499,"Beam Revised","")</f>
        <v>#N/A</v>
      </c>
      <c r="U1499" s="7" t="e">
        <f>IF(VLOOKUP($A1499,'Concrete Beam Schedule'!$A$2:$Q$2902,U$2,0)&lt;&gt;E1499,"Beam Revised","")</f>
        <v>#N/A</v>
      </c>
      <c r="V1499" s="7" t="e">
        <f>IF(VLOOKUP($A1499,'Concrete Beam Schedule'!$A$2:$Q$2902,V$2,0)&lt;&gt;F1499,"Beam Revised","")</f>
        <v>#N/A</v>
      </c>
      <c r="W1499" s="7" t="e">
        <f>IF(VLOOKUP($A1499,'Concrete Beam Schedule'!$A$2:$Q$2902,W$2,0)&lt;&gt;G1499,"Beam Revised","")</f>
        <v>#N/A</v>
      </c>
      <c r="X1499" s="7" t="e">
        <f>IF(VLOOKUP($A1499,'Concrete Beam Schedule'!$A$2:$Q$2902,X$2,0)&lt;&gt;H1499,"Beam Revised","")</f>
        <v>#N/A</v>
      </c>
      <c r="Y1499" s="7" t="e">
        <f>IF(VLOOKUP($A1499,'Concrete Beam Schedule'!$A$2:$Q$2902,Y$2,0)&lt;&gt;I1499,"Beam Revised","")</f>
        <v>#N/A</v>
      </c>
      <c r="Z1499" s="7" t="e">
        <f>IF(VLOOKUP($A1499,'Concrete Beam Schedule'!$A$2:$Q$2902,Z$2,0)&lt;&gt;J1499,"Beam Revised","")</f>
        <v>#N/A</v>
      </c>
      <c r="AA1499" s="7" t="e">
        <f>IF(VLOOKUP($A1499,'Concrete Beam Schedule'!$A$2:$Q$2902,AA$2,0)&lt;&gt;K1499,"Beam Revised","")</f>
        <v>#N/A</v>
      </c>
      <c r="AB1499" s="7" t="e">
        <f>IF(VLOOKUP($A1499,'Concrete Beam Schedule'!$A$2:$Q$2902,AB$2,0)&lt;&gt;L1499,"Beam Revised","")</f>
        <v>#N/A</v>
      </c>
      <c r="AC1499" s="7" t="e">
        <f>IF(VLOOKUP($A1499,'Concrete Beam Schedule'!$A$2:$Q$2902,AC$2,0)&lt;&gt;M1499,"Beam Revised","")</f>
        <v>#N/A</v>
      </c>
      <c r="AD1499" s="7" t="e">
        <f>IF(VLOOKUP($A1499,'Concrete Beam Schedule'!$A$2:$Q$2902,AD$2,0)&lt;&gt;N1499,"Beam Revised","")</f>
        <v>#N/A</v>
      </c>
      <c r="AE1499" s="7" t="e">
        <f>IF(VLOOKUP($A1499,'Concrete Beam Schedule'!$A$2:$Q$2902,AE$2,0)&lt;&gt;O1499,"Beam Revised","")</f>
        <v>#N/A</v>
      </c>
    </row>
    <row r="1500" spans="17:31" ht="20.100000000000001" customHeight="1" x14ac:dyDescent="0.25">
      <c r="Q1500" s="7">
        <f t="shared" si="23"/>
        <v>0</v>
      </c>
      <c r="R1500" s="7" t="e">
        <f>IF(VLOOKUP($A1500,'Concrete Beam Schedule'!$A$2:$Q$2902,R$2,0)&lt;&gt;B1500,VLOOKUP($A1500,'Concrete Beam Schedule'!$A$2:$Q$2902,R$2,0),"")</f>
        <v>#N/A</v>
      </c>
      <c r="S1500" s="7" t="e">
        <f>IF(VLOOKUP($A1500,'Concrete Beam Schedule'!$A$2:$Q$2902,S$2,0)&lt;&gt;C1500,VLOOKUP($A1500,'Concrete Beam Schedule'!$A$2:$Q$2902,S$2,0),"")</f>
        <v>#N/A</v>
      </c>
      <c r="T1500" s="7" t="e">
        <f>IF(VLOOKUP($A1500,'Concrete Beam Schedule'!$A$2:$Q$2902,T$2,0)&lt;&gt;D1500,"Beam Revised","")</f>
        <v>#N/A</v>
      </c>
      <c r="U1500" s="7" t="e">
        <f>IF(VLOOKUP($A1500,'Concrete Beam Schedule'!$A$2:$Q$2902,U$2,0)&lt;&gt;E1500,"Beam Revised","")</f>
        <v>#N/A</v>
      </c>
      <c r="V1500" s="7" t="e">
        <f>IF(VLOOKUP($A1500,'Concrete Beam Schedule'!$A$2:$Q$2902,V$2,0)&lt;&gt;F1500,"Beam Revised","")</f>
        <v>#N/A</v>
      </c>
      <c r="W1500" s="7" t="e">
        <f>IF(VLOOKUP($A1500,'Concrete Beam Schedule'!$A$2:$Q$2902,W$2,0)&lt;&gt;G1500,"Beam Revised","")</f>
        <v>#N/A</v>
      </c>
      <c r="X1500" s="7" t="e">
        <f>IF(VLOOKUP($A1500,'Concrete Beam Schedule'!$A$2:$Q$2902,X$2,0)&lt;&gt;H1500,"Beam Revised","")</f>
        <v>#N/A</v>
      </c>
      <c r="Y1500" s="7" t="e">
        <f>IF(VLOOKUP($A1500,'Concrete Beam Schedule'!$A$2:$Q$2902,Y$2,0)&lt;&gt;I1500,"Beam Revised","")</f>
        <v>#N/A</v>
      </c>
      <c r="Z1500" s="7" t="e">
        <f>IF(VLOOKUP($A1500,'Concrete Beam Schedule'!$A$2:$Q$2902,Z$2,0)&lt;&gt;J1500,"Beam Revised","")</f>
        <v>#N/A</v>
      </c>
      <c r="AA1500" s="7" t="e">
        <f>IF(VLOOKUP($A1500,'Concrete Beam Schedule'!$A$2:$Q$2902,AA$2,0)&lt;&gt;K1500,"Beam Revised","")</f>
        <v>#N/A</v>
      </c>
      <c r="AB1500" s="7" t="e">
        <f>IF(VLOOKUP($A1500,'Concrete Beam Schedule'!$A$2:$Q$2902,AB$2,0)&lt;&gt;L1500,"Beam Revised","")</f>
        <v>#N/A</v>
      </c>
      <c r="AC1500" s="7" t="e">
        <f>IF(VLOOKUP($A1500,'Concrete Beam Schedule'!$A$2:$Q$2902,AC$2,0)&lt;&gt;M1500,"Beam Revised","")</f>
        <v>#N/A</v>
      </c>
      <c r="AD1500" s="7" t="e">
        <f>IF(VLOOKUP($A1500,'Concrete Beam Schedule'!$A$2:$Q$2902,AD$2,0)&lt;&gt;N1500,"Beam Revised","")</f>
        <v>#N/A</v>
      </c>
      <c r="AE1500" s="7" t="e">
        <f>IF(VLOOKUP($A1500,'Concrete Beam Schedule'!$A$2:$Q$2902,AE$2,0)&lt;&gt;O1500,"Beam Revised","")</f>
        <v>#N/A</v>
      </c>
    </row>
    <row r="1501" spans="17:31" ht="20.100000000000001" customHeight="1" x14ac:dyDescent="0.25">
      <c r="Q1501" s="7">
        <f t="shared" si="23"/>
        <v>0</v>
      </c>
      <c r="R1501" s="7" t="e">
        <f>IF(VLOOKUP($A1501,'Concrete Beam Schedule'!$A$2:$Q$2902,R$2,0)&lt;&gt;B1501,VLOOKUP($A1501,'Concrete Beam Schedule'!$A$2:$Q$2902,R$2,0),"")</f>
        <v>#N/A</v>
      </c>
      <c r="S1501" s="7" t="e">
        <f>IF(VLOOKUP($A1501,'Concrete Beam Schedule'!$A$2:$Q$2902,S$2,0)&lt;&gt;C1501,VLOOKUP($A1501,'Concrete Beam Schedule'!$A$2:$Q$2902,S$2,0),"")</f>
        <v>#N/A</v>
      </c>
      <c r="T1501" s="7" t="e">
        <f>IF(VLOOKUP($A1501,'Concrete Beam Schedule'!$A$2:$Q$2902,T$2,0)&lt;&gt;D1501,"Beam Revised","")</f>
        <v>#N/A</v>
      </c>
      <c r="U1501" s="7" t="e">
        <f>IF(VLOOKUP($A1501,'Concrete Beam Schedule'!$A$2:$Q$2902,U$2,0)&lt;&gt;E1501,"Beam Revised","")</f>
        <v>#N/A</v>
      </c>
      <c r="V1501" s="7" t="e">
        <f>IF(VLOOKUP($A1501,'Concrete Beam Schedule'!$A$2:$Q$2902,V$2,0)&lt;&gt;F1501,"Beam Revised","")</f>
        <v>#N/A</v>
      </c>
      <c r="W1501" s="7" t="e">
        <f>IF(VLOOKUP($A1501,'Concrete Beam Schedule'!$A$2:$Q$2902,W$2,0)&lt;&gt;G1501,"Beam Revised","")</f>
        <v>#N/A</v>
      </c>
      <c r="X1501" s="7" t="e">
        <f>IF(VLOOKUP($A1501,'Concrete Beam Schedule'!$A$2:$Q$2902,X$2,0)&lt;&gt;H1501,"Beam Revised","")</f>
        <v>#N/A</v>
      </c>
      <c r="Y1501" s="7" t="e">
        <f>IF(VLOOKUP($A1501,'Concrete Beam Schedule'!$A$2:$Q$2902,Y$2,0)&lt;&gt;I1501,"Beam Revised","")</f>
        <v>#N/A</v>
      </c>
      <c r="Z1501" s="7" t="e">
        <f>IF(VLOOKUP($A1501,'Concrete Beam Schedule'!$A$2:$Q$2902,Z$2,0)&lt;&gt;J1501,"Beam Revised","")</f>
        <v>#N/A</v>
      </c>
      <c r="AA1501" s="7" t="e">
        <f>IF(VLOOKUP($A1501,'Concrete Beam Schedule'!$A$2:$Q$2902,AA$2,0)&lt;&gt;K1501,"Beam Revised","")</f>
        <v>#N/A</v>
      </c>
      <c r="AB1501" s="7" t="e">
        <f>IF(VLOOKUP($A1501,'Concrete Beam Schedule'!$A$2:$Q$2902,AB$2,0)&lt;&gt;L1501,"Beam Revised","")</f>
        <v>#N/A</v>
      </c>
      <c r="AC1501" s="7" t="e">
        <f>IF(VLOOKUP($A1501,'Concrete Beam Schedule'!$A$2:$Q$2902,AC$2,0)&lt;&gt;M1501,"Beam Revised","")</f>
        <v>#N/A</v>
      </c>
      <c r="AD1501" s="7" t="e">
        <f>IF(VLOOKUP($A1501,'Concrete Beam Schedule'!$A$2:$Q$2902,AD$2,0)&lt;&gt;N1501,"Beam Revised","")</f>
        <v>#N/A</v>
      </c>
      <c r="AE1501" s="7" t="e">
        <f>IF(VLOOKUP($A1501,'Concrete Beam Schedule'!$A$2:$Q$2902,AE$2,0)&lt;&gt;O1501,"Beam Revised","")</f>
        <v>#N/A</v>
      </c>
    </row>
    <row r="1502" spans="17:31" ht="20.100000000000001" customHeight="1" x14ac:dyDescent="0.25">
      <c r="Q1502" s="7">
        <f t="shared" si="23"/>
        <v>0</v>
      </c>
      <c r="R1502" s="7" t="e">
        <f>IF(VLOOKUP($A1502,'Concrete Beam Schedule'!$A$2:$Q$2902,R$2,0)&lt;&gt;B1502,VLOOKUP($A1502,'Concrete Beam Schedule'!$A$2:$Q$2902,R$2,0),"")</f>
        <v>#N/A</v>
      </c>
      <c r="S1502" s="7" t="e">
        <f>IF(VLOOKUP($A1502,'Concrete Beam Schedule'!$A$2:$Q$2902,S$2,0)&lt;&gt;C1502,VLOOKUP($A1502,'Concrete Beam Schedule'!$A$2:$Q$2902,S$2,0),"")</f>
        <v>#N/A</v>
      </c>
      <c r="T1502" s="7" t="e">
        <f>IF(VLOOKUP($A1502,'Concrete Beam Schedule'!$A$2:$Q$2902,T$2,0)&lt;&gt;D1502,"Beam Revised","")</f>
        <v>#N/A</v>
      </c>
      <c r="U1502" s="7" t="e">
        <f>IF(VLOOKUP($A1502,'Concrete Beam Schedule'!$A$2:$Q$2902,U$2,0)&lt;&gt;E1502,"Beam Revised","")</f>
        <v>#N/A</v>
      </c>
      <c r="V1502" s="7" t="e">
        <f>IF(VLOOKUP($A1502,'Concrete Beam Schedule'!$A$2:$Q$2902,V$2,0)&lt;&gt;F1502,"Beam Revised","")</f>
        <v>#N/A</v>
      </c>
      <c r="W1502" s="7" t="e">
        <f>IF(VLOOKUP($A1502,'Concrete Beam Schedule'!$A$2:$Q$2902,W$2,0)&lt;&gt;G1502,"Beam Revised","")</f>
        <v>#N/A</v>
      </c>
      <c r="X1502" s="7" t="e">
        <f>IF(VLOOKUP($A1502,'Concrete Beam Schedule'!$A$2:$Q$2902,X$2,0)&lt;&gt;H1502,"Beam Revised","")</f>
        <v>#N/A</v>
      </c>
      <c r="Y1502" s="7" t="e">
        <f>IF(VLOOKUP($A1502,'Concrete Beam Schedule'!$A$2:$Q$2902,Y$2,0)&lt;&gt;I1502,"Beam Revised","")</f>
        <v>#N/A</v>
      </c>
      <c r="Z1502" s="7" t="e">
        <f>IF(VLOOKUP($A1502,'Concrete Beam Schedule'!$A$2:$Q$2902,Z$2,0)&lt;&gt;J1502,"Beam Revised","")</f>
        <v>#N/A</v>
      </c>
      <c r="AA1502" s="7" t="e">
        <f>IF(VLOOKUP($A1502,'Concrete Beam Schedule'!$A$2:$Q$2902,AA$2,0)&lt;&gt;K1502,"Beam Revised","")</f>
        <v>#N/A</v>
      </c>
      <c r="AB1502" s="7" t="e">
        <f>IF(VLOOKUP($A1502,'Concrete Beam Schedule'!$A$2:$Q$2902,AB$2,0)&lt;&gt;L1502,"Beam Revised","")</f>
        <v>#N/A</v>
      </c>
      <c r="AC1502" s="7" t="e">
        <f>IF(VLOOKUP($A1502,'Concrete Beam Schedule'!$A$2:$Q$2902,AC$2,0)&lt;&gt;M1502,"Beam Revised","")</f>
        <v>#N/A</v>
      </c>
      <c r="AD1502" s="7" t="e">
        <f>IF(VLOOKUP($A1502,'Concrete Beam Schedule'!$A$2:$Q$2902,AD$2,0)&lt;&gt;N1502,"Beam Revised","")</f>
        <v>#N/A</v>
      </c>
      <c r="AE1502" s="7" t="e">
        <f>IF(VLOOKUP($A1502,'Concrete Beam Schedule'!$A$2:$Q$2902,AE$2,0)&lt;&gt;O1502,"Beam Revised","")</f>
        <v>#N/A</v>
      </c>
    </row>
    <row r="1503" spans="17:31" ht="20.100000000000001" customHeight="1" x14ac:dyDescent="0.25">
      <c r="Q1503" s="7">
        <f t="shared" si="23"/>
        <v>0</v>
      </c>
      <c r="R1503" s="7" t="e">
        <f>IF(VLOOKUP($A1503,'Concrete Beam Schedule'!$A$2:$Q$2902,R$2,0)&lt;&gt;B1503,VLOOKUP($A1503,'Concrete Beam Schedule'!$A$2:$Q$2902,R$2,0),"")</f>
        <v>#N/A</v>
      </c>
      <c r="S1503" s="7" t="e">
        <f>IF(VLOOKUP($A1503,'Concrete Beam Schedule'!$A$2:$Q$2902,S$2,0)&lt;&gt;C1503,VLOOKUP($A1503,'Concrete Beam Schedule'!$A$2:$Q$2902,S$2,0),"")</f>
        <v>#N/A</v>
      </c>
      <c r="T1503" s="7" t="e">
        <f>IF(VLOOKUP($A1503,'Concrete Beam Schedule'!$A$2:$Q$2902,T$2,0)&lt;&gt;D1503,"Beam Revised","")</f>
        <v>#N/A</v>
      </c>
      <c r="U1503" s="7" t="e">
        <f>IF(VLOOKUP($A1503,'Concrete Beam Schedule'!$A$2:$Q$2902,U$2,0)&lt;&gt;E1503,"Beam Revised","")</f>
        <v>#N/A</v>
      </c>
      <c r="V1503" s="7" t="e">
        <f>IF(VLOOKUP($A1503,'Concrete Beam Schedule'!$A$2:$Q$2902,V$2,0)&lt;&gt;F1503,"Beam Revised","")</f>
        <v>#N/A</v>
      </c>
      <c r="W1503" s="7" t="e">
        <f>IF(VLOOKUP($A1503,'Concrete Beam Schedule'!$A$2:$Q$2902,W$2,0)&lt;&gt;G1503,"Beam Revised","")</f>
        <v>#N/A</v>
      </c>
      <c r="X1503" s="7" t="e">
        <f>IF(VLOOKUP($A1503,'Concrete Beam Schedule'!$A$2:$Q$2902,X$2,0)&lt;&gt;H1503,"Beam Revised","")</f>
        <v>#N/A</v>
      </c>
      <c r="Y1503" s="7" t="e">
        <f>IF(VLOOKUP($A1503,'Concrete Beam Schedule'!$A$2:$Q$2902,Y$2,0)&lt;&gt;I1503,"Beam Revised","")</f>
        <v>#N/A</v>
      </c>
      <c r="Z1503" s="7" t="e">
        <f>IF(VLOOKUP($A1503,'Concrete Beam Schedule'!$A$2:$Q$2902,Z$2,0)&lt;&gt;J1503,"Beam Revised","")</f>
        <v>#N/A</v>
      </c>
      <c r="AA1503" s="7" t="e">
        <f>IF(VLOOKUP($A1503,'Concrete Beam Schedule'!$A$2:$Q$2902,AA$2,0)&lt;&gt;K1503,"Beam Revised","")</f>
        <v>#N/A</v>
      </c>
      <c r="AB1503" s="7" t="e">
        <f>IF(VLOOKUP($A1503,'Concrete Beam Schedule'!$A$2:$Q$2902,AB$2,0)&lt;&gt;L1503,"Beam Revised","")</f>
        <v>#N/A</v>
      </c>
      <c r="AC1503" s="7" t="e">
        <f>IF(VLOOKUP($A1503,'Concrete Beam Schedule'!$A$2:$Q$2902,AC$2,0)&lt;&gt;M1503,"Beam Revised","")</f>
        <v>#N/A</v>
      </c>
      <c r="AD1503" s="7" t="e">
        <f>IF(VLOOKUP($A1503,'Concrete Beam Schedule'!$A$2:$Q$2902,AD$2,0)&lt;&gt;N1503,"Beam Revised","")</f>
        <v>#N/A</v>
      </c>
      <c r="AE1503" s="7" t="e">
        <f>IF(VLOOKUP($A1503,'Concrete Beam Schedule'!$A$2:$Q$2902,AE$2,0)&lt;&gt;O1503,"Beam Revised","")</f>
        <v>#N/A</v>
      </c>
    </row>
    <row r="1504" spans="17:31" ht="20.100000000000001" customHeight="1" x14ac:dyDescent="0.25">
      <c r="Q1504" s="7">
        <f t="shared" si="23"/>
        <v>0</v>
      </c>
      <c r="R1504" s="7" t="e">
        <f>IF(VLOOKUP($A1504,'Concrete Beam Schedule'!$A$2:$Q$2902,R$2,0)&lt;&gt;B1504,VLOOKUP($A1504,'Concrete Beam Schedule'!$A$2:$Q$2902,R$2,0),"")</f>
        <v>#N/A</v>
      </c>
      <c r="S1504" s="7" t="e">
        <f>IF(VLOOKUP($A1504,'Concrete Beam Schedule'!$A$2:$Q$2902,S$2,0)&lt;&gt;C1504,VLOOKUP($A1504,'Concrete Beam Schedule'!$A$2:$Q$2902,S$2,0),"")</f>
        <v>#N/A</v>
      </c>
      <c r="T1504" s="7" t="e">
        <f>IF(VLOOKUP($A1504,'Concrete Beam Schedule'!$A$2:$Q$2902,T$2,0)&lt;&gt;D1504,"Beam Revised","")</f>
        <v>#N/A</v>
      </c>
      <c r="U1504" s="7" t="e">
        <f>IF(VLOOKUP($A1504,'Concrete Beam Schedule'!$A$2:$Q$2902,U$2,0)&lt;&gt;E1504,"Beam Revised","")</f>
        <v>#N/A</v>
      </c>
      <c r="V1504" s="7" t="e">
        <f>IF(VLOOKUP($A1504,'Concrete Beam Schedule'!$A$2:$Q$2902,V$2,0)&lt;&gt;F1504,"Beam Revised","")</f>
        <v>#N/A</v>
      </c>
      <c r="W1504" s="7" t="e">
        <f>IF(VLOOKUP($A1504,'Concrete Beam Schedule'!$A$2:$Q$2902,W$2,0)&lt;&gt;G1504,"Beam Revised","")</f>
        <v>#N/A</v>
      </c>
      <c r="X1504" s="7" t="e">
        <f>IF(VLOOKUP($A1504,'Concrete Beam Schedule'!$A$2:$Q$2902,X$2,0)&lt;&gt;H1504,"Beam Revised","")</f>
        <v>#N/A</v>
      </c>
      <c r="Y1504" s="7" t="e">
        <f>IF(VLOOKUP($A1504,'Concrete Beam Schedule'!$A$2:$Q$2902,Y$2,0)&lt;&gt;I1504,"Beam Revised","")</f>
        <v>#N/A</v>
      </c>
      <c r="Z1504" s="7" t="e">
        <f>IF(VLOOKUP($A1504,'Concrete Beam Schedule'!$A$2:$Q$2902,Z$2,0)&lt;&gt;J1504,"Beam Revised","")</f>
        <v>#N/A</v>
      </c>
      <c r="AA1504" s="7" t="e">
        <f>IF(VLOOKUP($A1504,'Concrete Beam Schedule'!$A$2:$Q$2902,AA$2,0)&lt;&gt;K1504,"Beam Revised","")</f>
        <v>#N/A</v>
      </c>
      <c r="AB1504" s="7" t="e">
        <f>IF(VLOOKUP($A1504,'Concrete Beam Schedule'!$A$2:$Q$2902,AB$2,0)&lt;&gt;L1504,"Beam Revised","")</f>
        <v>#N/A</v>
      </c>
      <c r="AC1504" s="7" t="e">
        <f>IF(VLOOKUP($A1504,'Concrete Beam Schedule'!$A$2:$Q$2902,AC$2,0)&lt;&gt;M1504,"Beam Revised","")</f>
        <v>#N/A</v>
      </c>
      <c r="AD1504" s="7" t="e">
        <f>IF(VLOOKUP($A1504,'Concrete Beam Schedule'!$A$2:$Q$2902,AD$2,0)&lt;&gt;N1504,"Beam Revised","")</f>
        <v>#N/A</v>
      </c>
      <c r="AE1504" s="7" t="e">
        <f>IF(VLOOKUP($A1504,'Concrete Beam Schedule'!$A$2:$Q$2902,AE$2,0)&lt;&gt;O1504,"Beam Revised","")</f>
        <v>#N/A</v>
      </c>
    </row>
    <row r="1505" spans="17:31" ht="20.100000000000001" customHeight="1" x14ac:dyDescent="0.25">
      <c r="Q1505" s="7">
        <f t="shared" si="23"/>
        <v>0</v>
      </c>
      <c r="R1505" s="7" t="e">
        <f>IF(VLOOKUP($A1505,'Concrete Beam Schedule'!$A$2:$Q$2902,R$2,0)&lt;&gt;B1505,VLOOKUP($A1505,'Concrete Beam Schedule'!$A$2:$Q$2902,R$2,0),"")</f>
        <v>#N/A</v>
      </c>
      <c r="S1505" s="7" t="e">
        <f>IF(VLOOKUP($A1505,'Concrete Beam Schedule'!$A$2:$Q$2902,S$2,0)&lt;&gt;C1505,VLOOKUP($A1505,'Concrete Beam Schedule'!$A$2:$Q$2902,S$2,0),"")</f>
        <v>#N/A</v>
      </c>
      <c r="T1505" s="7" t="e">
        <f>IF(VLOOKUP($A1505,'Concrete Beam Schedule'!$A$2:$Q$2902,T$2,0)&lt;&gt;D1505,"Beam Revised","")</f>
        <v>#N/A</v>
      </c>
      <c r="U1505" s="7" t="e">
        <f>IF(VLOOKUP($A1505,'Concrete Beam Schedule'!$A$2:$Q$2902,U$2,0)&lt;&gt;E1505,"Beam Revised","")</f>
        <v>#N/A</v>
      </c>
      <c r="V1505" s="7" t="e">
        <f>IF(VLOOKUP($A1505,'Concrete Beam Schedule'!$A$2:$Q$2902,V$2,0)&lt;&gt;F1505,"Beam Revised","")</f>
        <v>#N/A</v>
      </c>
      <c r="W1505" s="7" t="e">
        <f>IF(VLOOKUP($A1505,'Concrete Beam Schedule'!$A$2:$Q$2902,W$2,0)&lt;&gt;G1505,"Beam Revised","")</f>
        <v>#N/A</v>
      </c>
      <c r="X1505" s="7" t="e">
        <f>IF(VLOOKUP($A1505,'Concrete Beam Schedule'!$A$2:$Q$2902,X$2,0)&lt;&gt;H1505,"Beam Revised","")</f>
        <v>#N/A</v>
      </c>
      <c r="Y1505" s="7" t="e">
        <f>IF(VLOOKUP($A1505,'Concrete Beam Schedule'!$A$2:$Q$2902,Y$2,0)&lt;&gt;I1505,"Beam Revised","")</f>
        <v>#N/A</v>
      </c>
      <c r="Z1505" s="7" t="e">
        <f>IF(VLOOKUP($A1505,'Concrete Beam Schedule'!$A$2:$Q$2902,Z$2,0)&lt;&gt;J1505,"Beam Revised","")</f>
        <v>#N/A</v>
      </c>
      <c r="AA1505" s="7" t="e">
        <f>IF(VLOOKUP($A1505,'Concrete Beam Schedule'!$A$2:$Q$2902,AA$2,0)&lt;&gt;K1505,"Beam Revised","")</f>
        <v>#N/A</v>
      </c>
      <c r="AB1505" s="7" t="e">
        <f>IF(VLOOKUP($A1505,'Concrete Beam Schedule'!$A$2:$Q$2902,AB$2,0)&lt;&gt;L1505,"Beam Revised","")</f>
        <v>#N/A</v>
      </c>
      <c r="AC1505" s="7" t="e">
        <f>IF(VLOOKUP($A1505,'Concrete Beam Schedule'!$A$2:$Q$2902,AC$2,0)&lt;&gt;M1505,"Beam Revised","")</f>
        <v>#N/A</v>
      </c>
      <c r="AD1505" s="7" t="e">
        <f>IF(VLOOKUP($A1505,'Concrete Beam Schedule'!$A$2:$Q$2902,AD$2,0)&lt;&gt;N1505,"Beam Revised","")</f>
        <v>#N/A</v>
      </c>
      <c r="AE1505" s="7" t="e">
        <f>IF(VLOOKUP($A1505,'Concrete Beam Schedule'!$A$2:$Q$2902,AE$2,0)&lt;&gt;O1505,"Beam Revised","")</f>
        <v>#N/A</v>
      </c>
    </row>
    <row r="1506" spans="17:31" ht="20.100000000000001" customHeight="1" x14ac:dyDescent="0.25">
      <c r="Q1506" s="7">
        <f t="shared" si="23"/>
        <v>0</v>
      </c>
      <c r="R1506" s="7" t="e">
        <f>IF(VLOOKUP($A1506,'Concrete Beam Schedule'!$A$2:$Q$2902,R$2,0)&lt;&gt;B1506,VLOOKUP($A1506,'Concrete Beam Schedule'!$A$2:$Q$2902,R$2,0),"")</f>
        <v>#N/A</v>
      </c>
      <c r="S1506" s="7" t="e">
        <f>IF(VLOOKUP($A1506,'Concrete Beam Schedule'!$A$2:$Q$2902,S$2,0)&lt;&gt;C1506,VLOOKUP($A1506,'Concrete Beam Schedule'!$A$2:$Q$2902,S$2,0),"")</f>
        <v>#N/A</v>
      </c>
      <c r="T1506" s="7" t="e">
        <f>IF(VLOOKUP($A1506,'Concrete Beam Schedule'!$A$2:$Q$2902,T$2,0)&lt;&gt;D1506,"Beam Revised","")</f>
        <v>#N/A</v>
      </c>
      <c r="U1506" s="7" t="e">
        <f>IF(VLOOKUP($A1506,'Concrete Beam Schedule'!$A$2:$Q$2902,U$2,0)&lt;&gt;E1506,"Beam Revised","")</f>
        <v>#N/A</v>
      </c>
      <c r="V1506" s="7" t="e">
        <f>IF(VLOOKUP($A1506,'Concrete Beam Schedule'!$A$2:$Q$2902,V$2,0)&lt;&gt;F1506,"Beam Revised","")</f>
        <v>#N/A</v>
      </c>
      <c r="W1506" s="7" t="e">
        <f>IF(VLOOKUP($A1506,'Concrete Beam Schedule'!$A$2:$Q$2902,W$2,0)&lt;&gt;G1506,"Beam Revised","")</f>
        <v>#N/A</v>
      </c>
      <c r="X1506" s="7" t="e">
        <f>IF(VLOOKUP($A1506,'Concrete Beam Schedule'!$A$2:$Q$2902,X$2,0)&lt;&gt;H1506,"Beam Revised","")</f>
        <v>#N/A</v>
      </c>
      <c r="Y1506" s="7" t="e">
        <f>IF(VLOOKUP($A1506,'Concrete Beam Schedule'!$A$2:$Q$2902,Y$2,0)&lt;&gt;I1506,"Beam Revised","")</f>
        <v>#N/A</v>
      </c>
      <c r="Z1506" s="7" t="e">
        <f>IF(VLOOKUP($A1506,'Concrete Beam Schedule'!$A$2:$Q$2902,Z$2,0)&lt;&gt;J1506,"Beam Revised","")</f>
        <v>#N/A</v>
      </c>
      <c r="AA1506" s="7" t="e">
        <f>IF(VLOOKUP($A1506,'Concrete Beam Schedule'!$A$2:$Q$2902,AA$2,0)&lt;&gt;K1506,"Beam Revised","")</f>
        <v>#N/A</v>
      </c>
      <c r="AB1506" s="7" t="e">
        <f>IF(VLOOKUP($A1506,'Concrete Beam Schedule'!$A$2:$Q$2902,AB$2,0)&lt;&gt;L1506,"Beam Revised","")</f>
        <v>#N/A</v>
      </c>
      <c r="AC1506" s="7" t="e">
        <f>IF(VLOOKUP($A1506,'Concrete Beam Schedule'!$A$2:$Q$2902,AC$2,0)&lt;&gt;M1506,"Beam Revised","")</f>
        <v>#N/A</v>
      </c>
      <c r="AD1506" s="7" t="e">
        <f>IF(VLOOKUP($A1506,'Concrete Beam Schedule'!$A$2:$Q$2902,AD$2,0)&lt;&gt;N1506,"Beam Revised","")</f>
        <v>#N/A</v>
      </c>
      <c r="AE1506" s="7" t="e">
        <f>IF(VLOOKUP($A1506,'Concrete Beam Schedule'!$A$2:$Q$2902,AE$2,0)&lt;&gt;O1506,"Beam Revised","")</f>
        <v>#N/A</v>
      </c>
    </row>
    <row r="1507" spans="17:31" ht="20.100000000000001" customHeight="1" x14ac:dyDescent="0.25">
      <c r="Q1507" s="7">
        <f t="shared" si="23"/>
        <v>0</v>
      </c>
      <c r="R1507" s="7" t="e">
        <f>IF(VLOOKUP($A1507,'Concrete Beam Schedule'!$A$2:$Q$2902,R$2,0)&lt;&gt;B1507,VLOOKUP($A1507,'Concrete Beam Schedule'!$A$2:$Q$2902,R$2,0),"")</f>
        <v>#N/A</v>
      </c>
      <c r="S1507" s="7" t="e">
        <f>IF(VLOOKUP($A1507,'Concrete Beam Schedule'!$A$2:$Q$2902,S$2,0)&lt;&gt;C1507,VLOOKUP($A1507,'Concrete Beam Schedule'!$A$2:$Q$2902,S$2,0),"")</f>
        <v>#N/A</v>
      </c>
      <c r="T1507" s="7" t="e">
        <f>IF(VLOOKUP($A1507,'Concrete Beam Schedule'!$A$2:$Q$2902,T$2,0)&lt;&gt;D1507,"Beam Revised","")</f>
        <v>#N/A</v>
      </c>
      <c r="U1507" s="7" t="e">
        <f>IF(VLOOKUP($A1507,'Concrete Beam Schedule'!$A$2:$Q$2902,U$2,0)&lt;&gt;E1507,"Beam Revised","")</f>
        <v>#N/A</v>
      </c>
      <c r="V1507" s="7" t="e">
        <f>IF(VLOOKUP($A1507,'Concrete Beam Schedule'!$A$2:$Q$2902,V$2,0)&lt;&gt;F1507,"Beam Revised","")</f>
        <v>#N/A</v>
      </c>
      <c r="W1507" s="7" t="e">
        <f>IF(VLOOKUP($A1507,'Concrete Beam Schedule'!$A$2:$Q$2902,W$2,0)&lt;&gt;G1507,"Beam Revised","")</f>
        <v>#N/A</v>
      </c>
      <c r="X1507" s="7" t="e">
        <f>IF(VLOOKUP($A1507,'Concrete Beam Schedule'!$A$2:$Q$2902,X$2,0)&lt;&gt;H1507,"Beam Revised","")</f>
        <v>#N/A</v>
      </c>
      <c r="Y1507" s="7" t="e">
        <f>IF(VLOOKUP($A1507,'Concrete Beam Schedule'!$A$2:$Q$2902,Y$2,0)&lt;&gt;I1507,"Beam Revised","")</f>
        <v>#N/A</v>
      </c>
      <c r="Z1507" s="7" t="e">
        <f>IF(VLOOKUP($A1507,'Concrete Beam Schedule'!$A$2:$Q$2902,Z$2,0)&lt;&gt;J1507,"Beam Revised","")</f>
        <v>#N/A</v>
      </c>
      <c r="AA1507" s="7" t="e">
        <f>IF(VLOOKUP($A1507,'Concrete Beam Schedule'!$A$2:$Q$2902,AA$2,0)&lt;&gt;K1507,"Beam Revised","")</f>
        <v>#N/A</v>
      </c>
      <c r="AB1507" s="7" t="e">
        <f>IF(VLOOKUP($A1507,'Concrete Beam Schedule'!$A$2:$Q$2902,AB$2,0)&lt;&gt;L1507,"Beam Revised","")</f>
        <v>#N/A</v>
      </c>
      <c r="AC1507" s="7" t="e">
        <f>IF(VLOOKUP($A1507,'Concrete Beam Schedule'!$A$2:$Q$2902,AC$2,0)&lt;&gt;M1507,"Beam Revised","")</f>
        <v>#N/A</v>
      </c>
      <c r="AD1507" s="7" t="e">
        <f>IF(VLOOKUP($A1507,'Concrete Beam Schedule'!$A$2:$Q$2902,AD$2,0)&lt;&gt;N1507,"Beam Revised","")</f>
        <v>#N/A</v>
      </c>
      <c r="AE1507" s="7" t="e">
        <f>IF(VLOOKUP($A1507,'Concrete Beam Schedule'!$A$2:$Q$2902,AE$2,0)&lt;&gt;O1507,"Beam Revised","")</f>
        <v>#N/A</v>
      </c>
    </row>
    <row r="1508" spans="17:31" ht="20.100000000000001" customHeight="1" x14ac:dyDescent="0.25">
      <c r="Q1508" s="7">
        <f t="shared" si="23"/>
        <v>0</v>
      </c>
      <c r="R1508" s="7" t="e">
        <f>IF(VLOOKUP($A1508,'Concrete Beam Schedule'!$A$2:$Q$2902,R$2,0)&lt;&gt;B1508,VLOOKUP($A1508,'Concrete Beam Schedule'!$A$2:$Q$2902,R$2,0),"")</f>
        <v>#N/A</v>
      </c>
      <c r="S1508" s="7" t="e">
        <f>IF(VLOOKUP($A1508,'Concrete Beam Schedule'!$A$2:$Q$2902,S$2,0)&lt;&gt;C1508,VLOOKUP($A1508,'Concrete Beam Schedule'!$A$2:$Q$2902,S$2,0),"")</f>
        <v>#N/A</v>
      </c>
      <c r="T1508" s="7" t="e">
        <f>IF(VLOOKUP($A1508,'Concrete Beam Schedule'!$A$2:$Q$2902,T$2,0)&lt;&gt;D1508,"Beam Revised","")</f>
        <v>#N/A</v>
      </c>
      <c r="U1508" s="7" t="e">
        <f>IF(VLOOKUP($A1508,'Concrete Beam Schedule'!$A$2:$Q$2902,U$2,0)&lt;&gt;E1508,"Beam Revised","")</f>
        <v>#N/A</v>
      </c>
      <c r="V1508" s="7" t="e">
        <f>IF(VLOOKUP($A1508,'Concrete Beam Schedule'!$A$2:$Q$2902,V$2,0)&lt;&gt;F1508,"Beam Revised","")</f>
        <v>#N/A</v>
      </c>
      <c r="W1508" s="7" t="e">
        <f>IF(VLOOKUP($A1508,'Concrete Beam Schedule'!$A$2:$Q$2902,W$2,0)&lt;&gt;G1508,"Beam Revised","")</f>
        <v>#N/A</v>
      </c>
      <c r="X1508" s="7" t="e">
        <f>IF(VLOOKUP($A1508,'Concrete Beam Schedule'!$A$2:$Q$2902,X$2,0)&lt;&gt;H1508,"Beam Revised","")</f>
        <v>#N/A</v>
      </c>
      <c r="Y1508" s="7" t="e">
        <f>IF(VLOOKUP($A1508,'Concrete Beam Schedule'!$A$2:$Q$2902,Y$2,0)&lt;&gt;I1508,"Beam Revised","")</f>
        <v>#N/A</v>
      </c>
      <c r="Z1508" s="7" t="e">
        <f>IF(VLOOKUP($A1508,'Concrete Beam Schedule'!$A$2:$Q$2902,Z$2,0)&lt;&gt;J1508,"Beam Revised","")</f>
        <v>#N/A</v>
      </c>
      <c r="AA1508" s="7" t="e">
        <f>IF(VLOOKUP($A1508,'Concrete Beam Schedule'!$A$2:$Q$2902,AA$2,0)&lt;&gt;K1508,"Beam Revised","")</f>
        <v>#N/A</v>
      </c>
      <c r="AB1508" s="7" t="e">
        <f>IF(VLOOKUP($A1508,'Concrete Beam Schedule'!$A$2:$Q$2902,AB$2,0)&lt;&gt;L1508,"Beam Revised","")</f>
        <v>#N/A</v>
      </c>
      <c r="AC1508" s="7" t="e">
        <f>IF(VLOOKUP($A1508,'Concrete Beam Schedule'!$A$2:$Q$2902,AC$2,0)&lt;&gt;M1508,"Beam Revised","")</f>
        <v>#N/A</v>
      </c>
      <c r="AD1508" s="7" t="e">
        <f>IF(VLOOKUP($A1508,'Concrete Beam Schedule'!$A$2:$Q$2902,AD$2,0)&lt;&gt;N1508,"Beam Revised","")</f>
        <v>#N/A</v>
      </c>
      <c r="AE1508" s="7" t="e">
        <f>IF(VLOOKUP($A1508,'Concrete Beam Schedule'!$A$2:$Q$2902,AE$2,0)&lt;&gt;O1508,"Beam Revised","")</f>
        <v>#N/A</v>
      </c>
    </row>
    <row r="1509" spans="17:31" ht="20.100000000000001" customHeight="1" x14ac:dyDescent="0.25">
      <c r="Q1509" s="7">
        <f t="shared" si="23"/>
        <v>0</v>
      </c>
      <c r="R1509" s="7" t="e">
        <f>IF(VLOOKUP($A1509,'Concrete Beam Schedule'!$A$2:$Q$2902,R$2,0)&lt;&gt;B1509,VLOOKUP($A1509,'Concrete Beam Schedule'!$A$2:$Q$2902,R$2,0),"")</f>
        <v>#N/A</v>
      </c>
      <c r="S1509" s="7" t="e">
        <f>IF(VLOOKUP($A1509,'Concrete Beam Schedule'!$A$2:$Q$2902,S$2,0)&lt;&gt;C1509,VLOOKUP($A1509,'Concrete Beam Schedule'!$A$2:$Q$2902,S$2,0),"")</f>
        <v>#N/A</v>
      </c>
      <c r="T1509" s="7" t="e">
        <f>IF(VLOOKUP($A1509,'Concrete Beam Schedule'!$A$2:$Q$2902,T$2,0)&lt;&gt;D1509,"Beam Revised","")</f>
        <v>#N/A</v>
      </c>
      <c r="U1509" s="7" t="e">
        <f>IF(VLOOKUP($A1509,'Concrete Beam Schedule'!$A$2:$Q$2902,U$2,0)&lt;&gt;E1509,"Beam Revised","")</f>
        <v>#N/A</v>
      </c>
      <c r="V1509" s="7" t="e">
        <f>IF(VLOOKUP($A1509,'Concrete Beam Schedule'!$A$2:$Q$2902,V$2,0)&lt;&gt;F1509,"Beam Revised","")</f>
        <v>#N/A</v>
      </c>
      <c r="W1509" s="7" t="e">
        <f>IF(VLOOKUP($A1509,'Concrete Beam Schedule'!$A$2:$Q$2902,W$2,0)&lt;&gt;G1509,"Beam Revised","")</f>
        <v>#N/A</v>
      </c>
      <c r="X1509" s="7" t="e">
        <f>IF(VLOOKUP($A1509,'Concrete Beam Schedule'!$A$2:$Q$2902,X$2,0)&lt;&gt;H1509,"Beam Revised","")</f>
        <v>#N/A</v>
      </c>
      <c r="Y1509" s="7" t="e">
        <f>IF(VLOOKUP($A1509,'Concrete Beam Schedule'!$A$2:$Q$2902,Y$2,0)&lt;&gt;I1509,"Beam Revised","")</f>
        <v>#N/A</v>
      </c>
      <c r="Z1509" s="7" t="e">
        <f>IF(VLOOKUP($A1509,'Concrete Beam Schedule'!$A$2:$Q$2902,Z$2,0)&lt;&gt;J1509,"Beam Revised","")</f>
        <v>#N/A</v>
      </c>
      <c r="AA1509" s="7" t="e">
        <f>IF(VLOOKUP($A1509,'Concrete Beam Schedule'!$A$2:$Q$2902,AA$2,0)&lt;&gt;K1509,"Beam Revised","")</f>
        <v>#N/A</v>
      </c>
      <c r="AB1509" s="7" t="e">
        <f>IF(VLOOKUP($A1509,'Concrete Beam Schedule'!$A$2:$Q$2902,AB$2,0)&lt;&gt;L1509,"Beam Revised","")</f>
        <v>#N/A</v>
      </c>
      <c r="AC1509" s="7" t="e">
        <f>IF(VLOOKUP($A1509,'Concrete Beam Schedule'!$A$2:$Q$2902,AC$2,0)&lt;&gt;M1509,"Beam Revised","")</f>
        <v>#N/A</v>
      </c>
      <c r="AD1509" s="7" t="e">
        <f>IF(VLOOKUP($A1509,'Concrete Beam Schedule'!$A$2:$Q$2902,AD$2,0)&lt;&gt;N1509,"Beam Revised","")</f>
        <v>#N/A</v>
      </c>
      <c r="AE1509" s="7" t="e">
        <f>IF(VLOOKUP($A1509,'Concrete Beam Schedule'!$A$2:$Q$2902,AE$2,0)&lt;&gt;O1509,"Beam Revised","")</f>
        <v>#N/A</v>
      </c>
    </row>
    <row r="1510" spans="17:31" ht="20.100000000000001" customHeight="1" x14ac:dyDescent="0.25">
      <c r="Q1510" s="7">
        <f t="shared" si="23"/>
        <v>0</v>
      </c>
      <c r="R1510" s="7" t="e">
        <f>IF(VLOOKUP($A1510,'Concrete Beam Schedule'!$A$2:$Q$2902,R$2,0)&lt;&gt;B1510,VLOOKUP($A1510,'Concrete Beam Schedule'!$A$2:$Q$2902,R$2,0),"")</f>
        <v>#N/A</v>
      </c>
      <c r="S1510" s="7" t="e">
        <f>IF(VLOOKUP($A1510,'Concrete Beam Schedule'!$A$2:$Q$2902,S$2,0)&lt;&gt;C1510,VLOOKUP($A1510,'Concrete Beam Schedule'!$A$2:$Q$2902,S$2,0),"")</f>
        <v>#N/A</v>
      </c>
      <c r="T1510" s="7" t="e">
        <f>IF(VLOOKUP($A1510,'Concrete Beam Schedule'!$A$2:$Q$2902,T$2,0)&lt;&gt;D1510,"Beam Revised","")</f>
        <v>#N/A</v>
      </c>
      <c r="U1510" s="7" t="e">
        <f>IF(VLOOKUP($A1510,'Concrete Beam Schedule'!$A$2:$Q$2902,U$2,0)&lt;&gt;E1510,"Beam Revised","")</f>
        <v>#N/A</v>
      </c>
      <c r="V1510" s="7" t="e">
        <f>IF(VLOOKUP($A1510,'Concrete Beam Schedule'!$A$2:$Q$2902,V$2,0)&lt;&gt;F1510,"Beam Revised","")</f>
        <v>#N/A</v>
      </c>
      <c r="W1510" s="7" t="e">
        <f>IF(VLOOKUP($A1510,'Concrete Beam Schedule'!$A$2:$Q$2902,W$2,0)&lt;&gt;G1510,"Beam Revised","")</f>
        <v>#N/A</v>
      </c>
      <c r="X1510" s="7" t="e">
        <f>IF(VLOOKUP($A1510,'Concrete Beam Schedule'!$A$2:$Q$2902,X$2,0)&lt;&gt;H1510,"Beam Revised","")</f>
        <v>#N/A</v>
      </c>
      <c r="Y1510" s="7" t="e">
        <f>IF(VLOOKUP($A1510,'Concrete Beam Schedule'!$A$2:$Q$2902,Y$2,0)&lt;&gt;I1510,"Beam Revised","")</f>
        <v>#N/A</v>
      </c>
      <c r="Z1510" s="7" t="e">
        <f>IF(VLOOKUP($A1510,'Concrete Beam Schedule'!$A$2:$Q$2902,Z$2,0)&lt;&gt;J1510,"Beam Revised","")</f>
        <v>#N/A</v>
      </c>
      <c r="AA1510" s="7" t="e">
        <f>IF(VLOOKUP($A1510,'Concrete Beam Schedule'!$A$2:$Q$2902,AA$2,0)&lt;&gt;K1510,"Beam Revised","")</f>
        <v>#N/A</v>
      </c>
      <c r="AB1510" s="7" t="e">
        <f>IF(VLOOKUP($A1510,'Concrete Beam Schedule'!$A$2:$Q$2902,AB$2,0)&lt;&gt;L1510,"Beam Revised","")</f>
        <v>#N/A</v>
      </c>
      <c r="AC1510" s="7" t="e">
        <f>IF(VLOOKUP($A1510,'Concrete Beam Schedule'!$A$2:$Q$2902,AC$2,0)&lt;&gt;M1510,"Beam Revised","")</f>
        <v>#N/A</v>
      </c>
      <c r="AD1510" s="7" t="e">
        <f>IF(VLOOKUP($A1510,'Concrete Beam Schedule'!$A$2:$Q$2902,AD$2,0)&lt;&gt;N1510,"Beam Revised","")</f>
        <v>#N/A</v>
      </c>
      <c r="AE1510" s="7" t="e">
        <f>IF(VLOOKUP($A1510,'Concrete Beam Schedule'!$A$2:$Q$2902,AE$2,0)&lt;&gt;O1510,"Beam Revised","")</f>
        <v>#N/A</v>
      </c>
    </row>
    <row r="1511" spans="17:31" ht="20.100000000000001" customHeight="1" x14ac:dyDescent="0.25">
      <c r="Q1511" s="7">
        <f t="shared" si="23"/>
        <v>0</v>
      </c>
      <c r="R1511" s="7" t="e">
        <f>IF(VLOOKUP($A1511,'Concrete Beam Schedule'!$A$2:$Q$2902,R$2,0)&lt;&gt;B1511,VLOOKUP($A1511,'Concrete Beam Schedule'!$A$2:$Q$2902,R$2,0),"")</f>
        <v>#N/A</v>
      </c>
      <c r="S1511" s="7" t="e">
        <f>IF(VLOOKUP($A1511,'Concrete Beam Schedule'!$A$2:$Q$2902,S$2,0)&lt;&gt;C1511,VLOOKUP($A1511,'Concrete Beam Schedule'!$A$2:$Q$2902,S$2,0),"")</f>
        <v>#N/A</v>
      </c>
      <c r="T1511" s="7" t="e">
        <f>IF(VLOOKUP($A1511,'Concrete Beam Schedule'!$A$2:$Q$2902,T$2,0)&lt;&gt;D1511,"Beam Revised","")</f>
        <v>#N/A</v>
      </c>
      <c r="U1511" s="7" t="e">
        <f>IF(VLOOKUP($A1511,'Concrete Beam Schedule'!$A$2:$Q$2902,U$2,0)&lt;&gt;E1511,"Beam Revised","")</f>
        <v>#N/A</v>
      </c>
      <c r="V1511" s="7" t="e">
        <f>IF(VLOOKUP($A1511,'Concrete Beam Schedule'!$A$2:$Q$2902,V$2,0)&lt;&gt;F1511,"Beam Revised","")</f>
        <v>#N/A</v>
      </c>
      <c r="W1511" s="7" t="e">
        <f>IF(VLOOKUP($A1511,'Concrete Beam Schedule'!$A$2:$Q$2902,W$2,0)&lt;&gt;G1511,"Beam Revised","")</f>
        <v>#N/A</v>
      </c>
      <c r="X1511" s="7" t="e">
        <f>IF(VLOOKUP($A1511,'Concrete Beam Schedule'!$A$2:$Q$2902,X$2,0)&lt;&gt;H1511,"Beam Revised","")</f>
        <v>#N/A</v>
      </c>
      <c r="Y1511" s="7" t="e">
        <f>IF(VLOOKUP($A1511,'Concrete Beam Schedule'!$A$2:$Q$2902,Y$2,0)&lt;&gt;I1511,"Beam Revised","")</f>
        <v>#N/A</v>
      </c>
      <c r="Z1511" s="7" t="e">
        <f>IF(VLOOKUP($A1511,'Concrete Beam Schedule'!$A$2:$Q$2902,Z$2,0)&lt;&gt;J1511,"Beam Revised","")</f>
        <v>#N/A</v>
      </c>
      <c r="AA1511" s="7" t="e">
        <f>IF(VLOOKUP($A1511,'Concrete Beam Schedule'!$A$2:$Q$2902,AA$2,0)&lt;&gt;K1511,"Beam Revised","")</f>
        <v>#N/A</v>
      </c>
      <c r="AB1511" s="7" t="e">
        <f>IF(VLOOKUP($A1511,'Concrete Beam Schedule'!$A$2:$Q$2902,AB$2,0)&lt;&gt;L1511,"Beam Revised","")</f>
        <v>#N/A</v>
      </c>
      <c r="AC1511" s="7" t="e">
        <f>IF(VLOOKUP($A1511,'Concrete Beam Schedule'!$A$2:$Q$2902,AC$2,0)&lt;&gt;M1511,"Beam Revised","")</f>
        <v>#N/A</v>
      </c>
      <c r="AD1511" s="7" t="e">
        <f>IF(VLOOKUP($A1511,'Concrete Beam Schedule'!$A$2:$Q$2902,AD$2,0)&lt;&gt;N1511,"Beam Revised","")</f>
        <v>#N/A</v>
      </c>
      <c r="AE1511" s="7" t="e">
        <f>IF(VLOOKUP($A1511,'Concrete Beam Schedule'!$A$2:$Q$2902,AE$2,0)&lt;&gt;O1511,"Beam Revised","")</f>
        <v>#N/A</v>
      </c>
    </row>
    <row r="1512" spans="17:31" ht="20.100000000000001" customHeight="1" x14ac:dyDescent="0.25">
      <c r="Q1512" s="7">
        <f t="shared" si="23"/>
        <v>0</v>
      </c>
      <c r="R1512" s="7" t="e">
        <f>IF(VLOOKUP($A1512,'Concrete Beam Schedule'!$A$2:$Q$2902,R$2,0)&lt;&gt;B1512,VLOOKUP($A1512,'Concrete Beam Schedule'!$A$2:$Q$2902,R$2,0),"")</f>
        <v>#N/A</v>
      </c>
      <c r="S1512" s="7" t="e">
        <f>IF(VLOOKUP($A1512,'Concrete Beam Schedule'!$A$2:$Q$2902,S$2,0)&lt;&gt;C1512,VLOOKUP($A1512,'Concrete Beam Schedule'!$A$2:$Q$2902,S$2,0),"")</f>
        <v>#N/A</v>
      </c>
      <c r="T1512" s="7" t="e">
        <f>IF(VLOOKUP($A1512,'Concrete Beam Schedule'!$A$2:$Q$2902,T$2,0)&lt;&gt;D1512,"Beam Revised","")</f>
        <v>#N/A</v>
      </c>
      <c r="U1512" s="7" t="e">
        <f>IF(VLOOKUP($A1512,'Concrete Beam Schedule'!$A$2:$Q$2902,U$2,0)&lt;&gt;E1512,"Beam Revised","")</f>
        <v>#N/A</v>
      </c>
      <c r="V1512" s="7" t="e">
        <f>IF(VLOOKUP($A1512,'Concrete Beam Schedule'!$A$2:$Q$2902,V$2,0)&lt;&gt;F1512,"Beam Revised","")</f>
        <v>#N/A</v>
      </c>
      <c r="W1512" s="7" t="e">
        <f>IF(VLOOKUP($A1512,'Concrete Beam Schedule'!$A$2:$Q$2902,W$2,0)&lt;&gt;G1512,"Beam Revised","")</f>
        <v>#N/A</v>
      </c>
      <c r="X1512" s="7" t="e">
        <f>IF(VLOOKUP($A1512,'Concrete Beam Schedule'!$A$2:$Q$2902,X$2,0)&lt;&gt;H1512,"Beam Revised","")</f>
        <v>#N/A</v>
      </c>
      <c r="Y1512" s="7" t="e">
        <f>IF(VLOOKUP($A1512,'Concrete Beam Schedule'!$A$2:$Q$2902,Y$2,0)&lt;&gt;I1512,"Beam Revised","")</f>
        <v>#N/A</v>
      </c>
      <c r="Z1512" s="7" t="e">
        <f>IF(VLOOKUP($A1512,'Concrete Beam Schedule'!$A$2:$Q$2902,Z$2,0)&lt;&gt;J1512,"Beam Revised","")</f>
        <v>#N/A</v>
      </c>
      <c r="AA1512" s="7" t="e">
        <f>IF(VLOOKUP($A1512,'Concrete Beam Schedule'!$A$2:$Q$2902,AA$2,0)&lt;&gt;K1512,"Beam Revised","")</f>
        <v>#N/A</v>
      </c>
      <c r="AB1512" s="7" t="e">
        <f>IF(VLOOKUP($A1512,'Concrete Beam Schedule'!$A$2:$Q$2902,AB$2,0)&lt;&gt;L1512,"Beam Revised","")</f>
        <v>#N/A</v>
      </c>
      <c r="AC1512" s="7" t="e">
        <f>IF(VLOOKUP($A1512,'Concrete Beam Schedule'!$A$2:$Q$2902,AC$2,0)&lt;&gt;M1512,"Beam Revised","")</f>
        <v>#N/A</v>
      </c>
      <c r="AD1512" s="7" t="e">
        <f>IF(VLOOKUP($A1512,'Concrete Beam Schedule'!$A$2:$Q$2902,AD$2,0)&lt;&gt;N1512,"Beam Revised","")</f>
        <v>#N/A</v>
      </c>
      <c r="AE1512" s="7" t="e">
        <f>IF(VLOOKUP($A1512,'Concrete Beam Schedule'!$A$2:$Q$2902,AE$2,0)&lt;&gt;O1512,"Beam Revised","")</f>
        <v>#N/A</v>
      </c>
    </row>
    <row r="1513" spans="17:31" ht="20.100000000000001" customHeight="1" x14ac:dyDescent="0.25">
      <c r="Q1513" s="7">
        <f t="shared" si="23"/>
        <v>0</v>
      </c>
      <c r="R1513" s="7" t="e">
        <f>IF(VLOOKUP($A1513,'Concrete Beam Schedule'!$A$2:$Q$2902,R$2,0)&lt;&gt;B1513,VLOOKUP($A1513,'Concrete Beam Schedule'!$A$2:$Q$2902,R$2,0),"")</f>
        <v>#N/A</v>
      </c>
      <c r="S1513" s="7" t="e">
        <f>IF(VLOOKUP($A1513,'Concrete Beam Schedule'!$A$2:$Q$2902,S$2,0)&lt;&gt;C1513,VLOOKUP($A1513,'Concrete Beam Schedule'!$A$2:$Q$2902,S$2,0),"")</f>
        <v>#N/A</v>
      </c>
      <c r="T1513" s="7" t="e">
        <f>IF(VLOOKUP($A1513,'Concrete Beam Schedule'!$A$2:$Q$2902,T$2,0)&lt;&gt;D1513,"Beam Revised","")</f>
        <v>#N/A</v>
      </c>
      <c r="U1513" s="7" t="e">
        <f>IF(VLOOKUP($A1513,'Concrete Beam Schedule'!$A$2:$Q$2902,U$2,0)&lt;&gt;E1513,"Beam Revised","")</f>
        <v>#N/A</v>
      </c>
      <c r="V1513" s="7" t="e">
        <f>IF(VLOOKUP($A1513,'Concrete Beam Schedule'!$A$2:$Q$2902,V$2,0)&lt;&gt;F1513,"Beam Revised","")</f>
        <v>#N/A</v>
      </c>
      <c r="W1513" s="7" t="e">
        <f>IF(VLOOKUP($A1513,'Concrete Beam Schedule'!$A$2:$Q$2902,W$2,0)&lt;&gt;G1513,"Beam Revised","")</f>
        <v>#N/A</v>
      </c>
      <c r="X1513" s="7" t="e">
        <f>IF(VLOOKUP($A1513,'Concrete Beam Schedule'!$A$2:$Q$2902,X$2,0)&lt;&gt;H1513,"Beam Revised","")</f>
        <v>#N/A</v>
      </c>
      <c r="Y1513" s="7" t="e">
        <f>IF(VLOOKUP($A1513,'Concrete Beam Schedule'!$A$2:$Q$2902,Y$2,0)&lt;&gt;I1513,"Beam Revised","")</f>
        <v>#N/A</v>
      </c>
      <c r="Z1513" s="7" t="e">
        <f>IF(VLOOKUP($A1513,'Concrete Beam Schedule'!$A$2:$Q$2902,Z$2,0)&lt;&gt;J1513,"Beam Revised","")</f>
        <v>#N/A</v>
      </c>
      <c r="AA1513" s="7" t="e">
        <f>IF(VLOOKUP($A1513,'Concrete Beam Schedule'!$A$2:$Q$2902,AA$2,0)&lt;&gt;K1513,"Beam Revised","")</f>
        <v>#N/A</v>
      </c>
      <c r="AB1513" s="7" t="e">
        <f>IF(VLOOKUP($A1513,'Concrete Beam Schedule'!$A$2:$Q$2902,AB$2,0)&lt;&gt;L1513,"Beam Revised","")</f>
        <v>#N/A</v>
      </c>
      <c r="AC1513" s="7" t="e">
        <f>IF(VLOOKUP($A1513,'Concrete Beam Schedule'!$A$2:$Q$2902,AC$2,0)&lt;&gt;M1513,"Beam Revised","")</f>
        <v>#N/A</v>
      </c>
      <c r="AD1513" s="7" t="e">
        <f>IF(VLOOKUP($A1513,'Concrete Beam Schedule'!$A$2:$Q$2902,AD$2,0)&lt;&gt;N1513,"Beam Revised","")</f>
        <v>#N/A</v>
      </c>
      <c r="AE1513" s="7" t="e">
        <f>IF(VLOOKUP($A1513,'Concrete Beam Schedule'!$A$2:$Q$2902,AE$2,0)&lt;&gt;O1513,"Beam Revised","")</f>
        <v>#N/A</v>
      </c>
    </row>
    <row r="1514" spans="17:31" ht="20.100000000000001" customHeight="1" x14ac:dyDescent="0.25">
      <c r="Q1514" s="7">
        <f t="shared" si="23"/>
        <v>0</v>
      </c>
      <c r="R1514" s="7" t="e">
        <f>IF(VLOOKUP($A1514,'Concrete Beam Schedule'!$A$2:$Q$2902,R$2,0)&lt;&gt;B1514,VLOOKUP($A1514,'Concrete Beam Schedule'!$A$2:$Q$2902,R$2,0),"")</f>
        <v>#N/A</v>
      </c>
      <c r="S1514" s="7" t="e">
        <f>IF(VLOOKUP($A1514,'Concrete Beam Schedule'!$A$2:$Q$2902,S$2,0)&lt;&gt;C1514,VLOOKUP($A1514,'Concrete Beam Schedule'!$A$2:$Q$2902,S$2,0),"")</f>
        <v>#N/A</v>
      </c>
      <c r="T1514" s="7" t="e">
        <f>IF(VLOOKUP($A1514,'Concrete Beam Schedule'!$A$2:$Q$2902,T$2,0)&lt;&gt;D1514,"Beam Revised","")</f>
        <v>#N/A</v>
      </c>
      <c r="U1514" s="7" t="e">
        <f>IF(VLOOKUP($A1514,'Concrete Beam Schedule'!$A$2:$Q$2902,U$2,0)&lt;&gt;E1514,"Beam Revised","")</f>
        <v>#N/A</v>
      </c>
      <c r="V1514" s="7" t="e">
        <f>IF(VLOOKUP($A1514,'Concrete Beam Schedule'!$A$2:$Q$2902,V$2,0)&lt;&gt;F1514,"Beam Revised","")</f>
        <v>#N/A</v>
      </c>
      <c r="W1514" s="7" t="e">
        <f>IF(VLOOKUP($A1514,'Concrete Beam Schedule'!$A$2:$Q$2902,W$2,0)&lt;&gt;G1514,"Beam Revised","")</f>
        <v>#N/A</v>
      </c>
      <c r="X1514" s="7" t="e">
        <f>IF(VLOOKUP($A1514,'Concrete Beam Schedule'!$A$2:$Q$2902,X$2,0)&lt;&gt;H1514,"Beam Revised","")</f>
        <v>#N/A</v>
      </c>
      <c r="Y1514" s="7" t="e">
        <f>IF(VLOOKUP($A1514,'Concrete Beam Schedule'!$A$2:$Q$2902,Y$2,0)&lt;&gt;I1514,"Beam Revised","")</f>
        <v>#N/A</v>
      </c>
      <c r="Z1514" s="7" t="e">
        <f>IF(VLOOKUP($A1514,'Concrete Beam Schedule'!$A$2:$Q$2902,Z$2,0)&lt;&gt;J1514,"Beam Revised","")</f>
        <v>#N/A</v>
      </c>
      <c r="AA1514" s="7" t="e">
        <f>IF(VLOOKUP($A1514,'Concrete Beam Schedule'!$A$2:$Q$2902,AA$2,0)&lt;&gt;K1514,"Beam Revised","")</f>
        <v>#N/A</v>
      </c>
      <c r="AB1514" s="7" t="e">
        <f>IF(VLOOKUP($A1514,'Concrete Beam Schedule'!$A$2:$Q$2902,AB$2,0)&lt;&gt;L1514,"Beam Revised","")</f>
        <v>#N/A</v>
      </c>
      <c r="AC1514" s="7" t="e">
        <f>IF(VLOOKUP($A1514,'Concrete Beam Schedule'!$A$2:$Q$2902,AC$2,0)&lt;&gt;M1514,"Beam Revised","")</f>
        <v>#N/A</v>
      </c>
      <c r="AD1514" s="7" t="e">
        <f>IF(VLOOKUP($A1514,'Concrete Beam Schedule'!$A$2:$Q$2902,AD$2,0)&lt;&gt;N1514,"Beam Revised","")</f>
        <v>#N/A</v>
      </c>
      <c r="AE1514" s="7" t="e">
        <f>IF(VLOOKUP($A1514,'Concrete Beam Schedule'!$A$2:$Q$2902,AE$2,0)&lt;&gt;O1514,"Beam Revised","")</f>
        <v>#N/A</v>
      </c>
    </row>
    <row r="1515" spans="17:31" ht="20.100000000000001" customHeight="1" x14ac:dyDescent="0.25">
      <c r="Q1515" s="7">
        <f t="shared" si="23"/>
        <v>0</v>
      </c>
      <c r="R1515" s="7" t="e">
        <f>IF(VLOOKUP($A1515,'Concrete Beam Schedule'!$A$2:$Q$2902,R$2,0)&lt;&gt;B1515,VLOOKUP($A1515,'Concrete Beam Schedule'!$A$2:$Q$2902,R$2,0),"")</f>
        <v>#N/A</v>
      </c>
      <c r="S1515" s="7" t="e">
        <f>IF(VLOOKUP($A1515,'Concrete Beam Schedule'!$A$2:$Q$2902,S$2,0)&lt;&gt;C1515,VLOOKUP($A1515,'Concrete Beam Schedule'!$A$2:$Q$2902,S$2,0),"")</f>
        <v>#N/A</v>
      </c>
      <c r="T1515" s="7" t="e">
        <f>IF(VLOOKUP($A1515,'Concrete Beam Schedule'!$A$2:$Q$2902,T$2,0)&lt;&gt;D1515,"Beam Revised","")</f>
        <v>#N/A</v>
      </c>
      <c r="U1515" s="7" t="e">
        <f>IF(VLOOKUP($A1515,'Concrete Beam Schedule'!$A$2:$Q$2902,U$2,0)&lt;&gt;E1515,"Beam Revised","")</f>
        <v>#N/A</v>
      </c>
      <c r="V1515" s="7" t="e">
        <f>IF(VLOOKUP($A1515,'Concrete Beam Schedule'!$A$2:$Q$2902,V$2,0)&lt;&gt;F1515,"Beam Revised","")</f>
        <v>#N/A</v>
      </c>
      <c r="W1515" s="7" t="e">
        <f>IF(VLOOKUP($A1515,'Concrete Beam Schedule'!$A$2:$Q$2902,W$2,0)&lt;&gt;G1515,"Beam Revised","")</f>
        <v>#N/A</v>
      </c>
      <c r="X1515" s="7" t="e">
        <f>IF(VLOOKUP($A1515,'Concrete Beam Schedule'!$A$2:$Q$2902,X$2,0)&lt;&gt;H1515,"Beam Revised","")</f>
        <v>#N/A</v>
      </c>
      <c r="Y1515" s="7" t="e">
        <f>IF(VLOOKUP($A1515,'Concrete Beam Schedule'!$A$2:$Q$2902,Y$2,0)&lt;&gt;I1515,"Beam Revised","")</f>
        <v>#N/A</v>
      </c>
      <c r="Z1515" s="7" t="e">
        <f>IF(VLOOKUP($A1515,'Concrete Beam Schedule'!$A$2:$Q$2902,Z$2,0)&lt;&gt;J1515,"Beam Revised","")</f>
        <v>#N/A</v>
      </c>
      <c r="AA1515" s="7" t="e">
        <f>IF(VLOOKUP($A1515,'Concrete Beam Schedule'!$A$2:$Q$2902,AA$2,0)&lt;&gt;K1515,"Beam Revised","")</f>
        <v>#N/A</v>
      </c>
      <c r="AB1515" s="7" t="e">
        <f>IF(VLOOKUP($A1515,'Concrete Beam Schedule'!$A$2:$Q$2902,AB$2,0)&lt;&gt;L1515,"Beam Revised","")</f>
        <v>#N/A</v>
      </c>
      <c r="AC1515" s="7" t="e">
        <f>IF(VLOOKUP($A1515,'Concrete Beam Schedule'!$A$2:$Q$2902,AC$2,0)&lt;&gt;M1515,"Beam Revised","")</f>
        <v>#N/A</v>
      </c>
      <c r="AD1515" s="7" t="e">
        <f>IF(VLOOKUP($A1515,'Concrete Beam Schedule'!$A$2:$Q$2902,AD$2,0)&lt;&gt;N1515,"Beam Revised","")</f>
        <v>#N/A</v>
      </c>
      <c r="AE1515" s="7" t="e">
        <f>IF(VLOOKUP($A1515,'Concrete Beam Schedule'!$A$2:$Q$2902,AE$2,0)&lt;&gt;O1515,"Beam Revised","")</f>
        <v>#N/A</v>
      </c>
    </row>
    <row r="1516" spans="17:31" ht="20.100000000000001" customHeight="1" x14ac:dyDescent="0.25">
      <c r="Q1516" s="7">
        <f t="shared" si="23"/>
        <v>0</v>
      </c>
      <c r="R1516" s="7" t="e">
        <f>IF(VLOOKUP($A1516,'Concrete Beam Schedule'!$A$2:$Q$2902,R$2,0)&lt;&gt;B1516,VLOOKUP($A1516,'Concrete Beam Schedule'!$A$2:$Q$2902,R$2,0),"")</f>
        <v>#N/A</v>
      </c>
      <c r="S1516" s="7" t="e">
        <f>IF(VLOOKUP($A1516,'Concrete Beam Schedule'!$A$2:$Q$2902,S$2,0)&lt;&gt;C1516,VLOOKUP($A1516,'Concrete Beam Schedule'!$A$2:$Q$2902,S$2,0),"")</f>
        <v>#N/A</v>
      </c>
      <c r="T1516" s="7" t="e">
        <f>IF(VLOOKUP($A1516,'Concrete Beam Schedule'!$A$2:$Q$2902,T$2,0)&lt;&gt;D1516,"Beam Revised","")</f>
        <v>#N/A</v>
      </c>
      <c r="U1516" s="7" t="e">
        <f>IF(VLOOKUP($A1516,'Concrete Beam Schedule'!$A$2:$Q$2902,U$2,0)&lt;&gt;E1516,"Beam Revised","")</f>
        <v>#N/A</v>
      </c>
      <c r="V1516" s="7" t="e">
        <f>IF(VLOOKUP($A1516,'Concrete Beam Schedule'!$A$2:$Q$2902,V$2,0)&lt;&gt;F1516,"Beam Revised","")</f>
        <v>#N/A</v>
      </c>
      <c r="W1516" s="7" t="e">
        <f>IF(VLOOKUP($A1516,'Concrete Beam Schedule'!$A$2:$Q$2902,W$2,0)&lt;&gt;G1516,"Beam Revised","")</f>
        <v>#N/A</v>
      </c>
      <c r="X1516" s="7" t="e">
        <f>IF(VLOOKUP($A1516,'Concrete Beam Schedule'!$A$2:$Q$2902,X$2,0)&lt;&gt;H1516,"Beam Revised","")</f>
        <v>#N/A</v>
      </c>
      <c r="Y1516" s="7" t="e">
        <f>IF(VLOOKUP($A1516,'Concrete Beam Schedule'!$A$2:$Q$2902,Y$2,0)&lt;&gt;I1516,"Beam Revised","")</f>
        <v>#N/A</v>
      </c>
      <c r="Z1516" s="7" t="e">
        <f>IF(VLOOKUP($A1516,'Concrete Beam Schedule'!$A$2:$Q$2902,Z$2,0)&lt;&gt;J1516,"Beam Revised","")</f>
        <v>#N/A</v>
      </c>
      <c r="AA1516" s="7" t="e">
        <f>IF(VLOOKUP($A1516,'Concrete Beam Schedule'!$A$2:$Q$2902,AA$2,0)&lt;&gt;K1516,"Beam Revised","")</f>
        <v>#N/A</v>
      </c>
      <c r="AB1516" s="7" t="e">
        <f>IF(VLOOKUP($A1516,'Concrete Beam Schedule'!$A$2:$Q$2902,AB$2,0)&lt;&gt;L1516,"Beam Revised","")</f>
        <v>#N/A</v>
      </c>
      <c r="AC1516" s="7" t="e">
        <f>IF(VLOOKUP($A1516,'Concrete Beam Schedule'!$A$2:$Q$2902,AC$2,0)&lt;&gt;M1516,"Beam Revised","")</f>
        <v>#N/A</v>
      </c>
      <c r="AD1516" s="7" t="e">
        <f>IF(VLOOKUP($A1516,'Concrete Beam Schedule'!$A$2:$Q$2902,AD$2,0)&lt;&gt;N1516,"Beam Revised","")</f>
        <v>#N/A</v>
      </c>
      <c r="AE1516" s="7" t="e">
        <f>IF(VLOOKUP($A1516,'Concrete Beam Schedule'!$A$2:$Q$2902,AE$2,0)&lt;&gt;O1516,"Beam Revised","")</f>
        <v>#N/A</v>
      </c>
    </row>
    <row r="1517" spans="17:31" ht="20.100000000000001" customHeight="1" x14ac:dyDescent="0.25">
      <c r="Q1517" s="7">
        <f t="shared" si="23"/>
        <v>0</v>
      </c>
      <c r="R1517" s="7" t="e">
        <f>IF(VLOOKUP($A1517,'Concrete Beam Schedule'!$A$2:$Q$2902,R$2,0)&lt;&gt;B1517,VLOOKUP($A1517,'Concrete Beam Schedule'!$A$2:$Q$2902,R$2,0),"")</f>
        <v>#N/A</v>
      </c>
      <c r="S1517" s="7" t="e">
        <f>IF(VLOOKUP($A1517,'Concrete Beam Schedule'!$A$2:$Q$2902,S$2,0)&lt;&gt;C1517,VLOOKUP($A1517,'Concrete Beam Schedule'!$A$2:$Q$2902,S$2,0),"")</f>
        <v>#N/A</v>
      </c>
      <c r="T1517" s="7" t="e">
        <f>IF(VLOOKUP($A1517,'Concrete Beam Schedule'!$A$2:$Q$2902,T$2,0)&lt;&gt;D1517,"Beam Revised","")</f>
        <v>#N/A</v>
      </c>
      <c r="U1517" s="7" t="e">
        <f>IF(VLOOKUP($A1517,'Concrete Beam Schedule'!$A$2:$Q$2902,U$2,0)&lt;&gt;E1517,"Beam Revised","")</f>
        <v>#N/A</v>
      </c>
      <c r="V1517" s="7" t="e">
        <f>IF(VLOOKUP($A1517,'Concrete Beam Schedule'!$A$2:$Q$2902,V$2,0)&lt;&gt;F1517,"Beam Revised","")</f>
        <v>#N/A</v>
      </c>
      <c r="W1517" s="7" t="e">
        <f>IF(VLOOKUP($A1517,'Concrete Beam Schedule'!$A$2:$Q$2902,W$2,0)&lt;&gt;G1517,"Beam Revised","")</f>
        <v>#N/A</v>
      </c>
      <c r="X1517" s="7" t="e">
        <f>IF(VLOOKUP($A1517,'Concrete Beam Schedule'!$A$2:$Q$2902,X$2,0)&lt;&gt;H1517,"Beam Revised","")</f>
        <v>#N/A</v>
      </c>
      <c r="Y1517" s="7" t="e">
        <f>IF(VLOOKUP($A1517,'Concrete Beam Schedule'!$A$2:$Q$2902,Y$2,0)&lt;&gt;I1517,"Beam Revised","")</f>
        <v>#N/A</v>
      </c>
      <c r="Z1517" s="7" t="e">
        <f>IF(VLOOKUP($A1517,'Concrete Beam Schedule'!$A$2:$Q$2902,Z$2,0)&lt;&gt;J1517,"Beam Revised","")</f>
        <v>#N/A</v>
      </c>
      <c r="AA1517" s="7" t="e">
        <f>IF(VLOOKUP($A1517,'Concrete Beam Schedule'!$A$2:$Q$2902,AA$2,0)&lt;&gt;K1517,"Beam Revised","")</f>
        <v>#N/A</v>
      </c>
      <c r="AB1517" s="7" t="e">
        <f>IF(VLOOKUP($A1517,'Concrete Beam Schedule'!$A$2:$Q$2902,AB$2,0)&lt;&gt;L1517,"Beam Revised","")</f>
        <v>#N/A</v>
      </c>
      <c r="AC1517" s="7" t="e">
        <f>IF(VLOOKUP($A1517,'Concrete Beam Schedule'!$A$2:$Q$2902,AC$2,0)&lt;&gt;M1517,"Beam Revised","")</f>
        <v>#N/A</v>
      </c>
      <c r="AD1517" s="7" t="e">
        <f>IF(VLOOKUP($A1517,'Concrete Beam Schedule'!$A$2:$Q$2902,AD$2,0)&lt;&gt;N1517,"Beam Revised","")</f>
        <v>#N/A</v>
      </c>
      <c r="AE1517" s="7" t="e">
        <f>IF(VLOOKUP($A1517,'Concrete Beam Schedule'!$A$2:$Q$2902,AE$2,0)&lt;&gt;O1517,"Beam Revised","")</f>
        <v>#N/A</v>
      </c>
    </row>
    <row r="1518" spans="17:31" ht="20.100000000000001" customHeight="1" x14ac:dyDescent="0.25">
      <c r="Q1518" s="7">
        <f t="shared" si="23"/>
        <v>0</v>
      </c>
      <c r="R1518" s="7" t="e">
        <f>IF(VLOOKUP($A1518,'Concrete Beam Schedule'!$A$2:$Q$2902,R$2,0)&lt;&gt;B1518,VLOOKUP($A1518,'Concrete Beam Schedule'!$A$2:$Q$2902,R$2,0),"")</f>
        <v>#N/A</v>
      </c>
      <c r="S1518" s="7" t="e">
        <f>IF(VLOOKUP($A1518,'Concrete Beam Schedule'!$A$2:$Q$2902,S$2,0)&lt;&gt;C1518,VLOOKUP($A1518,'Concrete Beam Schedule'!$A$2:$Q$2902,S$2,0),"")</f>
        <v>#N/A</v>
      </c>
      <c r="T1518" s="7" t="e">
        <f>IF(VLOOKUP($A1518,'Concrete Beam Schedule'!$A$2:$Q$2902,T$2,0)&lt;&gt;D1518,"Beam Revised","")</f>
        <v>#N/A</v>
      </c>
      <c r="U1518" s="7" t="e">
        <f>IF(VLOOKUP($A1518,'Concrete Beam Schedule'!$A$2:$Q$2902,U$2,0)&lt;&gt;E1518,"Beam Revised","")</f>
        <v>#N/A</v>
      </c>
      <c r="V1518" s="7" t="e">
        <f>IF(VLOOKUP($A1518,'Concrete Beam Schedule'!$A$2:$Q$2902,V$2,0)&lt;&gt;F1518,"Beam Revised","")</f>
        <v>#N/A</v>
      </c>
      <c r="W1518" s="7" t="e">
        <f>IF(VLOOKUP($A1518,'Concrete Beam Schedule'!$A$2:$Q$2902,W$2,0)&lt;&gt;G1518,"Beam Revised","")</f>
        <v>#N/A</v>
      </c>
      <c r="X1518" s="7" t="e">
        <f>IF(VLOOKUP($A1518,'Concrete Beam Schedule'!$A$2:$Q$2902,X$2,0)&lt;&gt;H1518,"Beam Revised","")</f>
        <v>#N/A</v>
      </c>
      <c r="Y1518" s="7" t="e">
        <f>IF(VLOOKUP($A1518,'Concrete Beam Schedule'!$A$2:$Q$2902,Y$2,0)&lt;&gt;I1518,"Beam Revised","")</f>
        <v>#N/A</v>
      </c>
      <c r="Z1518" s="7" t="e">
        <f>IF(VLOOKUP($A1518,'Concrete Beam Schedule'!$A$2:$Q$2902,Z$2,0)&lt;&gt;J1518,"Beam Revised","")</f>
        <v>#N/A</v>
      </c>
      <c r="AA1518" s="7" t="e">
        <f>IF(VLOOKUP($A1518,'Concrete Beam Schedule'!$A$2:$Q$2902,AA$2,0)&lt;&gt;K1518,"Beam Revised","")</f>
        <v>#N/A</v>
      </c>
      <c r="AB1518" s="7" t="e">
        <f>IF(VLOOKUP($A1518,'Concrete Beam Schedule'!$A$2:$Q$2902,AB$2,0)&lt;&gt;L1518,"Beam Revised","")</f>
        <v>#N/A</v>
      </c>
      <c r="AC1518" s="7" t="e">
        <f>IF(VLOOKUP($A1518,'Concrete Beam Schedule'!$A$2:$Q$2902,AC$2,0)&lt;&gt;M1518,"Beam Revised","")</f>
        <v>#N/A</v>
      </c>
      <c r="AD1518" s="7" t="e">
        <f>IF(VLOOKUP($A1518,'Concrete Beam Schedule'!$A$2:$Q$2902,AD$2,0)&lt;&gt;N1518,"Beam Revised","")</f>
        <v>#N/A</v>
      </c>
      <c r="AE1518" s="7" t="e">
        <f>IF(VLOOKUP($A1518,'Concrete Beam Schedule'!$A$2:$Q$2902,AE$2,0)&lt;&gt;O1518,"Beam Revised","")</f>
        <v>#N/A</v>
      </c>
    </row>
    <row r="1519" spans="17:31" ht="20.100000000000001" customHeight="1" x14ac:dyDescent="0.25">
      <c r="Q1519" s="7">
        <f t="shared" si="23"/>
        <v>0</v>
      </c>
      <c r="R1519" s="7" t="e">
        <f>IF(VLOOKUP($A1519,'Concrete Beam Schedule'!$A$2:$Q$2902,R$2,0)&lt;&gt;B1519,VLOOKUP($A1519,'Concrete Beam Schedule'!$A$2:$Q$2902,R$2,0),"")</f>
        <v>#N/A</v>
      </c>
      <c r="S1519" s="7" t="e">
        <f>IF(VLOOKUP($A1519,'Concrete Beam Schedule'!$A$2:$Q$2902,S$2,0)&lt;&gt;C1519,VLOOKUP($A1519,'Concrete Beam Schedule'!$A$2:$Q$2902,S$2,0),"")</f>
        <v>#N/A</v>
      </c>
      <c r="T1519" s="7" t="e">
        <f>IF(VLOOKUP($A1519,'Concrete Beam Schedule'!$A$2:$Q$2902,T$2,0)&lt;&gt;D1519,"Beam Revised","")</f>
        <v>#N/A</v>
      </c>
      <c r="U1519" s="7" t="e">
        <f>IF(VLOOKUP($A1519,'Concrete Beam Schedule'!$A$2:$Q$2902,U$2,0)&lt;&gt;E1519,"Beam Revised","")</f>
        <v>#N/A</v>
      </c>
      <c r="V1519" s="7" t="e">
        <f>IF(VLOOKUP($A1519,'Concrete Beam Schedule'!$A$2:$Q$2902,V$2,0)&lt;&gt;F1519,"Beam Revised","")</f>
        <v>#N/A</v>
      </c>
      <c r="W1519" s="7" t="e">
        <f>IF(VLOOKUP($A1519,'Concrete Beam Schedule'!$A$2:$Q$2902,W$2,0)&lt;&gt;G1519,"Beam Revised","")</f>
        <v>#N/A</v>
      </c>
      <c r="X1519" s="7" t="e">
        <f>IF(VLOOKUP($A1519,'Concrete Beam Schedule'!$A$2:$Q$2902,X$2,0)&lt;&gt;H1519,"Beam Revised","")</f>
        <v>#N/A</v>
      </c>
      <c r="Y1519" s="7" t="e">
        <f>IF(VLOOKUP($A1519,'Concrete Beam Schedule'!$A$2:$Q$2902,Y$2,0)&lt;&gt;I1519,"Beam Revised","")</f>
        <v>#N/A</v>
      </c>
      <c r="Z1519" s="7" t="e">
        <f>IF(VLOOKUP($A1519,'Concrete Beam Schedule'!$A$2:$Q$2902,Z$2,0)&lt;&gt;J1519,"Beam Revised","")</f>
        <v>#N/A</v>
      </c>
      <c r="AA1519" s="7" t="e">
        <f>IF(VLOOKUP($A1519,'Concrete Beam Schedule'!$A$2:$Q$2902,AA$2,0)&lt;&gt;K1519,"Beam Revised","")</f>
        <v>#N/A</v>
      </c>
      <c r="AB1519" s="7" t="e">
        <f>IF(VLOOKUP($A1519,'Concrete Beam Schedule'!$A$2:$Q$2902,AB$2,0)&lt;&gt;L1519,"Beam Revised","")</f>
        <v>#N/A</v>
      </c>
      <c r="AC1519" s="7" t="e">
        <f>IF(VLOOKUP($A1519,'Concrete Beam Schedule'!$A$2:$Q$2902,AC$2,0)&lt;&gt;M1519,"Beam Revised","")</f>
        <v>#N/A</v>
      </c>
      <c r="AD1519" s="7" t="e">
        <f>IF(VLOOKUP($A1519,'Concrete Beam Schedule'!$A$2:$Q$2902,AD$2,0)&lt;&gt;N1519,"Beam Revised","")</f>
        <v>#N/A</v>
      </c>
      <c r="AE1519" s="7" t="e">
        <f>IF(VLOOKUP($A1519,'Concrete Beam Schedule'!$A$2:$Q$2902,AE$2,0)&lt;&gt;O1519,"Beam Revised","")</f>
        <v>#N/A</v>
      </c>
    </row>
    <row r="1520" spans="17:31" ht="20.100000000000001" customHeight="1" x14ac:dyDescent="0.25">
      <c r="Q1520" s="7">
        <f t="shared" si="23"/>
        <v>0</v>
      </c>
      <c r="R1520" s="7" t="e">
        <f>IF(VLOOKUP($A1520,'Concrete Beam Schedule'!$A$2:$Q$2902,R$2,0)&lt;&gt;B1520,VLOOKUP($A1520,'Concrete Beam Schedule'!$A$2:$Q$2902,R$2,0),"")</f>
        <v>#N/A</v>
      </c>
      <c r="S1520" s="7" t="e">
        <f>IF(VLOOKUP($A1520,'Concrete Beam Schedule'!$A$2:$Q$2902,S$2,0)&lt;&gt;C1520,VLOOKUP($A1520,'Concrete Beam Schedule'!$A$2:$Q$2902,S$2,0),"")</f>
        <v>#N/A</v>
      </c>
      <c r="T1520" s="7" t="e">
        <f>IF(VLOOKUP($A1520,'Concrete Beam Schedule'!$A$2:$Q$2902,T$2,0)&lt;&gt;D1520,"Beam Revised","")</f>
        <v>#N/A</v>
      </c>
      <c r="U1520" s="7" t="e">
        <f>IF(VLOOKUP($A1520,'Concrete Beam Schedule'!$A$2:$Q$2902,U$2,0)&lt;&gt;E1520,"Beam Revised","")</f>
        <v>#N/A</v>
      </c>
      <c r="V1520" s="7" t="e">
        <f>IF(VLOOKUP($A1520,'Concrete Beam Schedule'!$A$2:$Q$2902,V$2,0)&lt;&gt;F1520,"Beam Revised","")</f>
        <v>#N/A</v>
      </c>
      <c r="W1520" s="7" t="e">
        <f>IF(VLOOKUP($A1520,'Concrete Beam Schedule'!$A$2:$Q$2902,W$2,0)&lt;&gt;G1520,"Beam Revised","")</f>
        <v>#N/A</v>
      </c>
      <c r="X1520" s="7" t="e">
        <f>IF(VLOOKUP($A1520,'Concrete Beam Schedule'!$A$2:$Q$2902,X$2,0)&lt;&gt;H1520,"Beam Revised","")</f>
        <v>#N/A</v>
      </c>
      <c r="Y1520" s="7" t="e">
        <f>IF(VLOOKUP($A1520,'Concrete Beam Schedule'!$A$2:$Q$2902,Y$2,0)&lt;&gt;I1520,"Beam Revised","")</f>
        <v>#N/A</v>
      </c>
      <c r="Z1520" s="7" t="e">
        <f>IF(VLOOKUP($A1520,'Concrete Beam Schedule'!$A$2:$Q$2902,Z$2,0)&lt;&gt;J1520,"Beam Revised","")</f>
        <v>#N/A</v>
      </c>
      <c r="AA1520" s="7" t="e">
        <f>IF(VLOOKUP($A1520,'Concrete Beam Schedule'!$A$2:$Q$2902,AA$2,0)&lt;&gt;K1520,"Beam Revised","")</f>
        <v>#N/A</v>
      </c>
      <c r="AB1520" s="7" t="e">
        <f>IF(VLOOKUP($A1520,'Concrete Beam Schedule'!$A$2:$Q$2902,AB$2,0)&lt;&gt;L1520,"Beam Revised","")</f>
        <v>#N/A</v>
      </c>
      <c r="AC1520" s="7" t="e">
        <f>IF(VLOOKUP($A1520,'Concrete Beam Schedule'!$A$2:$Q$2902,AC$2,0)&lt;&gt;M1520,"Beam Revised","")</f>
        <v>#N/A</v>
      </c>
      <c r="AD1520" s="7" t="e">
        <f>IF(VLOOKUP($A1520,'Concrete Beam Schedule'!$A$2:$Q$2902,AD$2,0)&lt;&gt;N1520,"Beam Revised","")</f>
        <v>#N/A</v>
      </c>
      <c r="AE1520" s="7" t="e">
        <f>IF(VLOOKUP($A1520,'Concrete Beam Schedule'!$A$2:$Q$2902,AE$2,0)&lt;&gt;O1520,"Beam Revised","")</f>
        <v>#N/A</v>
      </c>
    </row>
    <row r="1521" spans="17:31" ht="20.100000000000001" customHeight="1" x14ac:dyDescent="0.25">
      <c r="Q1521" s="7">
        <f t="shared" si="23"/>
        <v>0</v>
      </c>
      <c r="R1521" s="7" t="e">
        <f>IF(VLOOKUP($A1521,'Concrete Beam Schedule'!$A$2:$Q$2902,R$2,0)&lt;&gt;B1521,VLOOKUP($A1521,'Concrete Beam Schedule'!$A$2:$Q$2902,R$2,0),"")</f>
        <v>#N/A</v>
      </c>
      <c r="S1521" s="7" t="e">
        <f>IF(VLOOKUP($A1521,'Concrete Beam Schedule'!$A$2:$Q$2902,S$2,0)&lt;&gt;C1521,VLOOKUP($A1521,'Concrete Beam Schedule'!$A$2:$Q$2902,S$2,0),"")</f>
        <v>#N/A</v>
      </c>
      <c r="T1521" s="7" t="e">
        <f>IF(VLOOKUP($A1521,'Concrete Beam Schedule'!$A$2:$Q$2902,T$2,0)&lt;&gt;D1521,"Beam Revised","")</f>
        <v>#N/A</v>
      </c>
      <c r="U1521" s="7" t="e">
        <f>IF(VLOOKUP($A1521,'Concrete Beam Schedule'!$A$2:$Q$2902,U$2,0)&lt;&gt;E1521,"Beam Revised","")</f>
        <v>#N/A</v>
      </c>
      <c r="V1521" s="7" t="e">
        <f>IF(VLOOKUP($A1521,'Concrete Beam Schedule'!$A$2:$Q$2902,V$2,0)&lt;&gt;F1521,"Beam Revised","")</f>
        <v>#N/A</v>
      </c>
      <c r="W1521" s="7" t="e">
        <f>IF(VLOOKUP($A1521,'Concrete Beam Schedule'!$A$2:$Q$2902,W$2,0)&lt;&gt;G1521,"Beam Revised","")</f>
        <v>#N/A</v>
      </c>
      <c r="X1521" s="7" t="e">
        <f>IF(VLOOKUP($A1521,'Concrete Beam Schedule'!$A$2:$Q$2902,X$2,0)&lt;&gt;H1521,"Beam Revised","")</f>
        <v>#N/A</v>
      </c>
      <c r="Y1521" s="7" t="e">
        <f>IF(VLOOKUP($A1521,'Concrete Beam Schedule'!$A$2:$Q$2902,Y$2,0)&lt;&gt;I1521,"Beam Revised","")</f>
        <v>#N/A</v>
      </c>
      <c r="Z1521" s="7" t="e">
        <f>IF(VLOOKUP($A1521,'Concrete Beam Schedule'!$A$2:$Q$2902,Z$2,0)&lt;&gt;J1521,"Beam Revised","")</f>
        <v>#N/A</v>
      </c>
      <c r="AA1521" s="7" t="e">
        <f>IF(VLOOKUP($A1521,'Concrete Beam Schedule'!$A$2:$Q$2902,AA$2,0)&lt;&gt;K1521,"Beam Revised","")</f>
        <v>#N/A</v>
      </c>
      <c r="AB1521" s="7" t="e">
        <f>IF(VLOOKUP($A1521,'Concrete Beam Schedule'!$A$2:$Q$2902,AB$2,0)&lt;&gt;L1521,"Beam Revised","")</f>
        <v>#N/A</v>
      </c>
      <c r="AC1521" s="7" t="e">
        <f>IF(VLOOKUP($A1521,'Concrete Beam Schedule'!$A$2:$Q$2902,AC$2,0)&lt;&gt;M1521,"Beam Revised","")</f>
        <v>#N/A</v>
      </c>
      <c r="AD1521" s="7" t="e">
        <f>IF(VLOOKUP($A1521,'Concrete Beam Schedule'!$A$2:$Q$2902,AD$2,0)&lt;&gt;N1521,"Beam Revised","")</f>
        <v>#N/A</v>
      </c>
      <c r="AE1521" s="7" t="e">
        <f>IF(VLOOKUP($A1521,'Concrete Beam Schedule'!$A$2:$Q$2902,AE$2,0)&lt;&gt;O1521,"Beam Revised","")</f>
        <v>#N/A</v>
      </c>
    </row>
    <row r="1522" spans="17:31" ht="20.100000000000001" customHeight="1" x14ac:dyDescent="0.25">
      <c r="Q1522" s="7">
        <f t="shared" si="23"/>
        <v>0</v>
      </c>
      <c r="R1522" s="7" t="e">
        <f>IF(VLOOKUP($A1522,'Concrete Beam Schedule'!$A$2:$Q$2902,R$2,0)&lt;&gt;B1522,VLOOKUP($A1522,'Concrete Beam Schedule'!$A$2:$Q$2902,R$2,0),"")</f>
        <v>#N/A</v>
      </c>
      <c r="S1522" s="7" t="e">
        <f>IF(VLOOKUP($A1522,'Concrete Beam Schedule'!$A$2:$Q$2902,S$2,0)&lt;&gt;C1522,VLOOKUP($A1522,'Concrete Beam Schedule'!$A$2:$Q$2902,S$2,0),"")</f>
        <v>#N/A</v>
      </c>
      <c r="T1522" s="7" t="e">
        <f>IF(VLOOKUP($A1522,'Concrete Beam Schedule'!$A$2:$Q$2902,T$2,0)&lt;&gt;D1522,"Beam Revised","")</f>
        <v>#N/A</v>
      </c>
      <c r="U1522" s="7" t="e">
        <f>IF(VLOOKUP($A1522,'Concrete Beam Schedule'!$A$2:$Q$2902,U$2,0)&lt;&gt;E1522,"Beam Revised","")</f>
        <v>#N/A</v>
      </c>
      <c r="V1522" s="7" t="e">
        <f>IF(VLOOKUP($A1522,'Concrete Beam Schedule'!$A$2:$Q$2902,V$2,0)&lt;&gt;F1522,"Beam Revised","")</f>
        <v>#N/A</v>
      </c>
      <c r="W1522" s="7" t="e">
        <f>IF(VLOOKUP($A1522,'Concrete Beam Schedule'!$A$2:$Q$2902,W$2,0)&lt;&gt;G1522,"Beam Revised","")</f>
        <v>#N/A</v>
      </c>
      <c r="X1522" s="7" t="e">
        <f>IF(VLOOKUP($A1522,'Concrete Beam Schedule'!$A$2:$Q$2902,X$2,0)&lt;&gt;H1522,"Beam Revised","")</f>
        <v>#N/A</v>
      </c>
      <c r="Y1522" s="7" t="e">
        <f>IF(VLOOKUP($A1522,'Concrete Beam Schedule'!$A$2:$Q$2902,Y$2,0)&lt;&gt;I1522,"Beam Revised","")</f>
        <v>#N/A</v>
      </c>
      <c r="Z1522" s="7" t="e">
        <f>IF(VLOOKUP($A1522,'Concrete Beam Schedule'!$A$2:$Q$2902,Z$2,0)&lt;&gt;J1522,"Beam Revised","")</f>
        <v>#N/A</v>
      </c>
      <c r="AA1522" s="7" t="e">
        <f>IF(VLOOKUP($A1522,'Concrete Beam Schedule'!$A$2:$Q$2902,AA$2,0)&lt;&gt;K1522,"Beam Revised","")</f>
        <v>#N/A</v>
      </c>
      <c r="AB1522" s="7" t="e">
        <f>IF(VLOOKUP($A1522,'Concrete Beam Schedule'!$A$2:$Q$2902,AB$2,0)&lt;&gt;L1522,"Beam Revised","")</f>
        <v>#N/A</v>
      </c>
      <c r="AC1522" s="7" t="e">
        <f>IF(VLOOKUP($A1522,'Concrete Beam Schedule'!$A$2:$Q$2902,AC$2,0)&lt;&gt;M1522,"Beam Revised","")</f>
        <v>#N/A</v>
      </c>
      <c r="AD1522" s="7" t="e">
        <f>IF(VLOOKUP($A1522,'Concrete Beam Schedule'!$A$2:$Q$2902,AD$2,0)&lt;&gt;N1522,"Beam Revised","")</f>
        <v>#N/A</v>
      </c>
      <c r="AE1522" s="7" t="e">
        <f>IF(VLOOKUP($A1522,'Concrete Beam Schedule'!$A$2:$Q$2902,AE$2,0)&lt;&gt;O1522,"Beam Revised","")</f>
        <v>#N/A</v>
      </c>
    </row>
    <row r="1523" spans="17:31" ht="20.100000000000001" customHeight="1" x14ac:dyDescent="0.25">
      <c r="Q1523" s="7">
        <f t="shared" si="23"/>
        <v>0</v>
      </c>
      <c r="R1523" s="7" t="e">
        <f>IF(VLOOKUP($A1523,'Concrete Beam Schedule'!$A$2:$Q$2902,R$2,0)&lt;&gt;B1523,VLOOKUP($A1523,'Concrete Beam Schedule'!$A$2:$Q$2902,R$2,0),"")</f>
        <v>#N/A</v>
      </c>
      <c r="S1523" s="7" t="e">
        <f>IF(VLOOKUP($A1523,'Concrete Beam Schedule'!$A$2:$Q$2902,S$2,0)&lt;&gt;C1523,VLOOKUP($A1523,'Concrete Beam Schedule'!$A$2:$Q$2902,S$2,0),"")</f>
        <v>#N/A</v>
      </c>
      <c r="T1523" s="7" t="e">
        <f>IF(VLOOKUP($A1523,'Concrete Beam Schedule'!$A$2:$Q$2902,T$2,0)&lt;&gt;D1523,"Beam Revised","")</f>
        <v>#N/A</v>
      </c>
      <c r="U1523" s="7" t="e">
        <f>IF(VLOOKUP($A1523,'Concrete Beam Schedule'!$A$2:$Q$2902,U$2,0)&lt;&gt;E1523,"Beam Revised","")</f>
        <v>#N/A</v>
      </c>
      <c r="V1523" s="7" t="e">
        <f>IF(VLOOKUP($A1523,'Concrete Beam Schedule'!$A$2:$Q$2902,V$2,0)&lt;&gt;F1523,"Beam Revised","")</f>
        <v>#N/A</v>
      </c>
      <c r="W1523" s="7" t="e">
        <f>IF(VLOOKUP($A1523,'Concrete Beam Schedule'!$A$2:$Q$2902,W$2,0)&lt;&gt;G1523,"Beam Revised","")</f>
        <v>#N/A</v>
      </c>
      <c r="X1523" s="7" t="e">
        <f>IF(VLOOKUP($A1523,'Concrete Beam Schedule'!$A$2:$Q$2902,X$2,0)&lt;&gt;H1523,"Beam Revised","")</f>
        <v>#N/A</v>
      </c>
      <c r="Y1523" s="7" t="e">
        <f>IF(VLOOKUP($A1523,'Concrete Beam Schedule'!$A$2:$Q$2902,Y$2,0)&lt;&gt;I1523,"Beam Revised","")</f>
        <v>#N/A</v>
      </c>
      <c r="Z1523" s="7" t="e">
        <f>IF(VLOOKUP($A1523,'Concrete Beam Schedule'!$A$2:$Q$2902,Z$2,0)&lt;&gt;J1523,"Beam Revised","")</f>
        <v>#N/A</v>
      </c>
      <c r="AA1523" s="7" t="e">
        <f>IF(VLOOKUP($A1523,'Concrete Beam Schedule'!$A$2:$Q$2902,AA$2,0)&lt;&gt;K1523,"Beam Revised","")</f>
        <v>#N/A</v>
      </c>
      <c r="AB1523" s="7" t="e">
        <f>IF(VLOOKUP($A1523,'Concrete Beam Schedule'!$A$2:$Q$2902,AB$2,0)&lt;&gt;L1523,"Beam Revised","")</f>
        <v>#N/A</v>
      </c>
      <c r="AC1523" s="7" t="e">
        <f>IF(VLOOKUP($A1523,'Concrete Beam Schedule'!$A$2:$Q$2902,AC$2,0)&lt;&gt;M1523,"Beam Revised","")</f>
        <v>#N/A</v>
      </c>
      <c r="AD1523" s="7" t="e">
        <f>IF(VLOOKUP($A1523,'Concrete Beam Schedule'!$A$2:$Q$2902,AD$2,0)&lt;&gt;N1523,"Beam Revised","")</f>
        <v>#N/A</v>
      </c>
      <c r="AE1523" s="7" t="e">
        <f>IF(VLOOKUP($A1523,'Concrete Beam Schedule'!$A$2:$Q$2902,AE$2,0)&lt;&gt;O1523,"Beam Revised","")</f>
        <v>#N/A</v>
      </c>
    </row>
    <row r="1524" spans="17:31" ht="20.100000000000001" customHeight="1" x14ac:dyDescent="0.25">
      <c r="Q1524" s="7">
        <f t="shared" si="23"/>
        <v>0</v>
      </c>
      <c r="R1524" s="7" t="e">
        <f>IF(VLOOKUP($A1524,'Concrete Beam Schedule'!$A$2:$Q$2902,R$2,0)&lt;&gt;B1524,VLOOKUP($A1524,'Concrete Beam Schedule'!$A$2:$Q$2902,R$2,0),"")</f>
        <v>#N/A</v>
      </c>
      <c r="S1524" s="7" t="e">
        <f>IF(VLOOKUP($A1524,'Concrete Beam Schedule'!$A$2:$Q$2902,S$2,0)&lt;&gt;C1524,VLOOKUP($A1524,'Concrete Beam Schedule'!$A$2:$Q$2902,S$2,0),"")</f>
        <v>#N/A</v>
      </c>
      <c r="T1524" s="7" t="e">
        <f>IF(VLOOKUP($A1524,'Concrete Beam Schedule'!$A$2:$Q$2902,T$2,0)&lt;&gt;D1524,"Beam Revised","")</f>
        <v>#N/A</v>
      </c>
      <c r="U1524" s="7" t="e">
        <f>IF(VLOOKUP($A1524,'Concrete Beam Schedule'!$A$2:$Q$2902,U$2,0)&lt;&gt;E1524,"Beam Revised","")</f>
        <v>#N/A</v>
      </c>
      <c r="V1524" s="7" t="e">
        <f>IF(VLOOKUP($A1524,'Concrete Beam Schedule'!$A$2:$Q$2902,V$2,0)&lt;&gt;F1524,"Beam Revised","")</f>
        <v>#N/A</v>
      </c>
      <c r="W1524" s="7" t="e">
        <f>IF(VLOOKUP($A1524,'Concrete Beam Schedule'!$A$2:$Q$2902,W$2,0)&lt;&gt;G1524,"Beam Revised","")</f>
        <v>#N/A</v>
      </c>
      <c r="X1524" s="7" t="e">
        <f>IF(VLOOKUP($A1524,'Concrete Beam Schedule'!$A$2:$Q$2902,X$2,0)&lt;&gt;H1524,"Beam Revised","")</f>
        <v>#N/A</v>
      </c>
      <c r="Y1524" s="7" t="e">
        <f>IF(VLOOKUP($A1524,'Concrete Beam Schedule'!$A$2:$Q$2902,Y$2,0)&lt;&gt;I1524,"Beam Revised","")</f>
        <v>#N/A</v>
      </c>
      <c r="Z1524" s="7" t="e">
        <f>IF(VLOOKUP($A1524,'Concrete Beam Schedule'!$A$2:$Q$2902,Z$2,0)&lt;&gt;J1524,"Beam Revised","")</f>
        <v>#N/A</v>
      </c>
      <c r="AA1524" s="7" t="e">
        <f>IF(VLOOKUP($A1524,'Concrete Beam Schedule'!$A$2:$Q$2902,AA$2,0)&lt;&gt;K1524,"Beam Revised","")</f>
        <v>#N/A</v>
      </c>
      <c r="AB1524" s="7" t="e">
        <f>IF(VLOOKUP($A1524,'Concrete Beam Schedule'!$A$2:$Q$2902,AB$2,0)&lt;&gt;L1524,"Beam Revised","")</f>
        <v>#N/A</v>
      </c>
      <c r="AC1524" s="7" t="e">
        <f>IF(VLOOKUP($A1524,'Concrete Beam Schedule'!$A$2:$Q$2902,AC$2,0)&lt;&gt;M1524,"Beam Revised","")</f>
        <v>#N/A</v>
      </c>
      <c r="AD1524" s="7" t="e">
        <f>IF(VLOOKUP($A1524,'Concrete Beam Schedule'!$A$2:$Q$2902,AD$2,0)&lt;&gt;N1524,"Beam Revised","")</f>
        <v>#N/A</v>
      </c>
      <c r="AE1524" s="7" t="e">
        <f>IF(VLOOKUP($A1524,'Concrete Beam Schedule'!$A$2:$Q$2902,AE$2,0)&lt;&gt;O1524,"Beam Revised","")</f>
        <v>#N/A</v>
      </c>
    </row>
    <row r="1525" spans="17:31" ht="20.100000000000001" customHeight="1" x14ac:dyDescent="0.25">
      <c r="Q1525" s="7">
        <f t="shared" si="23"/>
        <v>0</v>
      </c>
      <c r="R1525" s="7" t="e">
        <f>IF(VLOOKUP($A1525,'Concrete Beam Schedule'!$A$2:$Q$2902,R$2,0)&lt;&gt;B1525,VLOOKUP($A1525,'Concrete Beam Schedule'!$A$2:$Q$2902,R$2,0),"")</f>
        <v>#N/A</v>
      </c>
      <c r="S1525" s="7" t="e">
        <f>IF(VLOOKUP($A1525,'Concrete Beam Schedule'!$A$2:$Q$2902,S$2,0)&lt;&gt;C1525,VLOOKUP($A1525,'Concrete Beam Schedule'!$A$2:$Q$2902,S$2,0),"")</f>
        <v>#N/A</v>
      </c>
      <c r="T1525" s="7" t="e">
        <f>IF(VLOOKUP($A1525,'Concrete Beam Schedule'!$A$2:$Q$2902,T$2,0)&lt;&gt;D1525,"Beam Revised","")</f>
        <v>#N/A</v>
      </c>
      <c r="U1525" s="7" t="e">
        <f>IF(VLOOKUP($A1525,'Concrete Beam Schedule'!$A$2:$Q$2902,U$2,0)&lt;&gt;E1525,"Beam Revised","")</f>
        <v>#N/A</v>
      </c>
      <c r="V1525" s="7" t="e">
        <f>IF(VLOOKUP($A1525,'Concrete Beam Schedule'!$A$2:$Q$2902,V$2,0)&lt;&gt;F1525,"Beam Revised","")</f>
        <v>#N/A</v>
      </c>
      <c r="W1525" s="7" t="e">
        <f>IF(VLOOKUP($A1525,'Concrete Beam Schedule'!$A$2:$Q$2902,W$2,0)&lt;&gt;G1525,"Beam Revised","")</f>
        <v>#N/A</v>
      </c>
      <c r="X1525" s="7" t="e">
        <f>IF(VLOOKUP($A1525,'Concrete Beam Schedule'!$A$2:$Q$2902,X$2,0)&lt;&gt;H1525,"Beam Revised","")</f>
        <v>#N/A</v>
      </c>
      <c r="Y1525" s="7" t="e">
        <f>IF(VLOOKUP($A1525,'Concrete Beam Schedule'!$A$2:$Q$2902,Y$2,0)&lt;&gt;I1525,"Beam Revised","")</f>
        <v>#N/A</v>
      </c>
      <c r="Z1525" s="7" t="e">
        <f>IF(VLOOKUP($A1525,'Concrete Beam Schedule'!$A$2:$Q$2902,Z$2,0)&lt;&gt;J1525,"Beam Revised","")</f>
        <v>#N/A</v>
      </c>
      <c r="AA1525" s="7" t="e">
        <f>IF(VLOOKUP($A1525,'Concrete Beam Schedule'!$A$2:$Q$2902,AA$2,0)&lt;&gt;K1525,"Beam Revised","")</f>
        <v>#N/A</v>
      </c>
      <c r="AB1525" s="7" t="e">
        <f>IF(VLOOKUP($A1525,'Concrete Beam Schedule'!$A$2:$Q$2902,AB$2,0)&lt;&gt;L1525,"Beam Revised","")</f>
        <v>#N/A</v>
      </c>
      <c r="AC1525" s="7" t="e">
        <f>IF(VLOOKUP($A1525,'Concrete Beam Schedule'!$A$2:$Q$2902,AC$2,0)&lt;&gt;M1525,"Beam Revised","")</f>
        <v>#N/A</v>
      </c>
      <c r="AD1525" s="7" t="e">
        <f>IF(VLOOKUP($A1525,'Concrete Beam Schedule'!$A$2:$Q$2902,AD$2,0)&lt;&gt;N1525,"Beam Revised","")</f>
        <v>#N/A</v>
      </c>
      <c r="AE1525" s="7" t="e">
        <f>IF(VLOOKUP($A1525,'Concrete Beam Schedule'!$A$2:$Q$2902,AE$2,0)&lt;&gt;O1525,"Beam Revised","")</f>
        <v>#N/A</v>
      </c>
    </row>
    <row r="1526" spans="17:31" ht="20.100000000000001" customHeight="1" x14ac:dyDescent="0.25">
      <c r="Q1526" s="7">
        <f t="shared" si="23"/>
        <v>0</v>
      </c>
      <c r="R1526" s="7" t="e">
        <f>IF(VLOOKUP($A1526,'Concrete Beam Schedule'!$A$2:$Q$2902,R$2,0)&lt;&gt;B1526,VLOOKUP($A1526,'Concrete Beam Schedule'!$A$2:$Q$2902,R$2,0),"")</f>
        <v>#N/A</v>
      </c>
      <c r="S1526" s="7" t="e">
        <f>IF(VLOOKUP($A1526,'Concrete Beam Schedule'!$A$2:$Q$2902,S$2,0)&lt;&gt;C1526,VLOOKUP($A1526,'Concrete Beam Schedule'!$A$2:$Q$2902,S$2,0),"")</f>
        <v>#N/A</v>
      </c>
      <c r="T1526" s="7" t="e">
        <f>IF(VLOOKUP($A1526,'Concrete Beam Schedule'!$A$2:$Q$2902,T$2,0)&lt;&gt;D1526,"Beam Revised","")</f>
        <v>#N/A</v>
      </c>
      <c r="U1526" s="7" t="e">
        <f>IF(VLOOKUP($A1526,'Concrete Beam Schedule'!$A$2:$Q$2902,U$2,0)&lt;&gt;E1526,"Beam Revised","")</f>
        <v>#N/A</v>
      </c>
      <c r="V1526" s="7" t="e">
        <f>IF(VLOOKUP($A1526,'Concrete Beam Schedule'!$A$2:$Q$2902,V$2,0)&lt;&gt;F1526,"Beam Revised","")</f>
        <v>#N/A</v>
      </c>
      <c r="W1526" s="7" t="e">
        <f>IF(VLOOKUP($A1526,'Concrete Beam Schedule'!$A$2:$Q$2902,W$2,0)&lt;&gt;G1526,"Beam Revised","")</f>
        <v>#N/A</v>
      </c>
      <c r="X1526" s="7" t="e">
        <f>IF(VLOOKUP($A1526,'Concrete Beam Schedule'!$A$2:$Q$2902,X$2,0)&lt;&gt;H1526,"Beam Revised","")</f>
        <v>#N/A</v>
      </c>
      <c r="Y1526" s="7" t="e">
        <f>IF(VLOOKUP($A1526,'Concrete Beam Schedule'!$A$2:$Q$2902,Y$2,0)&lt;&gt;I1526,"Beam Revised","")</f>
        <v>#N/A</v>
      </c>
      <c r="Z1526" s="7" t="e">
        <f>IF(VLOOKUP($A1526,'Concrete Beam Schedule'!$A$2:$Q$2902,Z$2,0)&lt;&gt;J1526,"Beam Revised","")</f>
        <v>#N/A</v>
      </c>
      <c r="AA1526" s="7" t="e">
        <f>IF(VLOOKUP($A1526,'Concrete Beam Schedule'!$A$2:$Q$2902,AA$2,0)&lt;&gt;K1526,"Beam Revised","")</f>
        <v>#N/A</v>
      </c>
      <c r="AB1526" s="7" t="e">
        <f>IF(VLOOKUP($A1526,'Concrete Beam Schedule'!$A$2:$Q$2902,AB$2,0)&lt;&gt;L1526,"Beam Revised","")</f>
        <v>#N/A</v>
      </c>
      <c r="AC1526" s="7" t="e">
        <f>IF(VLOOKUP($A1526,'Concrete Beam Schedule'!$A$2:$Q$2902,AC$2,0)&lt;&gt;M1526,"Beam Revised","")</f>
        <v>#N/A</v>
      </c>
      <c r="AD1526" s="7" t="e">
        <f>IF(VLOOKUP($A1526,'Concrete Beam Schedule'!$A$2:$Q$2902,AD$2,0)&lt;&gt;N1526,"Beam Revised","")</f>
        <v>#N/A</v>
      </c>
      <c r="AE1526" s="7" t="e">
        <f>IF(VLOOKUP($A1526,'Concrete Beam Schedule'!$A$2:$Q$2902,AE$2,0)&lt;&gt;O1526,"Beam Revised","")</f>
        <v>#N/A</v>
      </c>
    </row>
    <row r="1527" spans="17:31" ht="20.100000000000001" customHeight="1" x14ac:dyDescent="0.25">
      <c r="Q1527" s="7">
        <f t="shared" si="23"/>
        <v>0</v>
      </c>
      <c r="R1527" s="7" t="e">
        <f>IF(VLOOKUP($A1527,'Concrete Beam Schedule'!$A$2:$Q$2902,R$2,0)&lt;&gt;B1527,VLOOKUP($A1527,'Concrete Beam Schedule'!$A$2:$Q$2902,R$2,0),"")</f>
        <v>#N/A</v>
      </c>
      <c r="S1527" s="7" t="e">
        <f>IF(VLOOKUP($A1527,'Concrete Beam Schedule'!$A$2:$Q$2902,S$2,0)&lt;&gt;C1527,VLOOKUP($A1527,'Concrete Beam Schedule'!$A$2:$Q$2902,S$2,0),"")</f>
        <v>#N/A</v>
      </c>
      <c r="T1527" s="7" t="e">
        <f>IF(VLOOKUP($A1527,'Concrete Beam Schedule'!$A$2:$Q$2902,T$2,0)&lt;&gt;D1527,"Beam Revised","")</f>
        <v>#N/A</v>
      </c>
      <c r="U1527" s="7" t="e">
        <f>IF(VLOOKUP($A1527,'Concrete Beam Schedule'!$A$2:$Q$2902,U$2,0)&lt;&gt;E1527,"Beam Revised","")</f>
        <v>#N/A</v>
      </c>
      <c r="V1527" s="7" t="e">
        <f>IF(VLOOKUP($A1527,'Concrete Beam Schedule'!$A$2:$Q$2902,V$2,0)&lt;&gt;F1527,"Beam Revised","")</f>
        <v>#N/A</v>
      </c>
      <c r="W1527" s="7" t="e">
        <f>IF(VLOOKUP($A1527,'Concrete Beam Schedule'!$A$2:$Q$2902,W$2,0)&lt;&gt;G1527,"Beam Revised","")</f>
        <v>#N/A</v>
      </c>
      <c r="X1527" s="7" t="e">
        <f>IF(VLOOKUP($A1527,'Concrete Beam Schedule'!$A$2:$Q$2902,X$2,0)&lt;&gt;H1527,"Beam Revised","")</f>
        <v>#N/A</v>
      </c>
      <c r="Y1527" s="7" t="e">
        <f>IF(VLOOKUP($A1527,'Concrete Beam Schedule'!$A$2:$Q$2902,Y$2,0)&lt;&gt;I1527,"Beam Revised","")</f>
        <v>#N/A</v>
      </c>
      <c r="Z1527" s="7" t="e">
        <f>IF(VLOOKUP($A1527,'Concrete Beam Schedule'!$A$2:$Q$2902,Z$2,0)&lt;&gt;J1527,"Beam Revised","")</f>
        <v>#N/A</v>
      </c>
      <c r="AA1527" s="7" t="e">
        <f>IF(VLOOKUP($A1527,'Concrete Beam Schedule'!$A$2:$Q$2902,AA$2,0)&lt;&gt;K1527,"Beam Revised","")</f>
        <v>#N/A</v>
      </c>
      <c r="AB1527" s="7" t="e">
        <f>IF(VLOOKUP($A1527,'Concrete Beam Schedule'!$A$2:$Q$2902,AB$2,0)&lt;&gt;L1527,"Beam Revised","")</f>
        <v>#N/A</v>
      </c>
      <c r="AC1527" s="7" t="e">
        <f>IF(VLOOKUP($A1527,'Concrete Beam Schedule'!$A$2:$Q$2902,AC$2,0)&lt;&gt;M1527,"Beam Revised","")</f>
        <v>#N/A</v>
      </c>
      <c r="AD1527" s="7" t="e">
        <f>IF(VLOOKUP($A1527,'Concrete Beam Schedule'!$A$2:$Q$2902,AD$2,0)&lt;&gt;N1527,"Beam Revised","")</f>
        <v>#N/A</v>
      </c>
      <c r="AE1527" s="7" t="e">
        <f>IF(VLOOKUP($A1527,'Concrete Beam Schedule'!$A$2:$Q$2902,AE$2,0)&lt;&gt;O1527,"Beam Revised","")</f>
        <v>#N/A</v>
      </c>
    </row>
    <row r="1528" spans="17:31" ht="20.100000000000001" customHeight="1" x14ac:dyDescent="0.25">
      <c r="Q1528" s="7">
        <f t="shared" si="23"/>
        <v>0</v>
      </c>
      <c r="R1528" s="7" t="e">
        <f>IF(VLOOKUP($A1528,'Concrete Beam Schedule'!$A$2:$Q$2902,R$2,0)&lt;&gt;B1528,VLOOKUP($A1528,'Concrete Beam Schedule'!$A$2:$Q$2902,R$2,0),"")</f>
        <v>#N/A</v>
      </c>
      <c r="S1528" s="7" t="e">
        <f>IF(VLOOKUP($A1528,'Concrete Beam Schedule'!$A$2:$Q$2902,S$2,0)&lt;&gt;C1528,VLOOKUP($A1528,'Concrete Beam Schedule'!$A$2:$Q$2902,S$2,0),"")</f>
        <v>#N/A</v>
      </c>
      <c r="T1528" s="7" t="e">
        <f>IF(VLOOKUP($A1528,'Concrete Beam Schedule'!$A$2:$Q$2902,T$2,0)&lt;&gt;D1528,"Beam Revised","")</f>
        <v>#N/A</v>
      </c>
      <c r="U1528" s="7" t="e">
        <f>IF(VLOOKUP($A1528,'Concrete Beam Schedule'!$A$2:$Q$2902,U$2,0)&lt;&gt;E1528,"Beam Revised","")</f>
        <v>#N/A</v>
      </c>
      <c r="V1528" s="7" t="e">
        <f>IF(VLOOKUP($A1528,'Concrete Beam Schedule'!$A$2:$Q$2902,V$2,0)&lt;&gt;F1528,"Beam Revised","")</f>
        <v>#N/A</v>
      </c>
      <c r="W1528" s="7" t="e">
        <f>IF(VLOOKUP($A1528,'Concrete Beam Schedule'!$A$2:$Q$2902,W$2,0)&lt;&gt;G1528,"Beam Revised","")</f>
        <v>#N/A</v>
      </c>
      <c r="X1528" s="7" t="e">
        <f>IF(VLOOKUP($A1528,'Concrete Beam Schedule'!$A$2:$Q$2902,X$2,0)&lt;&gt;H1528,"Beam Revised","")</f>
        <v>#N/A</v>
      </c>
      <c r="Y1528" s="7" t="e">
        <f>IF(VLOOKUP($A1528,'Concrete Beam Schedule'!$A$2:$Q$2902,Y$2,0)&lt;&gt;I1528,"Beam Revised","")</f>
        <v>#N/A</v>
      </c>
      <c r="Z1528" s="7" t="e">
        <f>IF(VLOOKUP($A1528,'Concrete Beam Schedule'!$A$2:$Q$2902,Z$2,0)&lt;&gt;J1528,"Beam Revised","")</f>
        <v>#N/A</v>
      </c>
      <c r="AA1528" s="7" t="e">
        <f>IF(VLOOKUP($A1528,'Concrete Beam Schedule'!$A$2:$Q$2902,AA$2,0)&lt;&gt;K1528,"Beam Revised","")</f>
        <v>#N/A</v>
      </c>
      <c r="AB1528" s="7" t="e">
        <f>IF(VLOOKUP($A1528,'Concrete Beam Schedule'!$A$2:$Q$2902,AB$2,0)&lt;&gt;L1528,"Beam Revised","")</f>
        <v>#N/A</v>
      </c>
      <c r="AC1528" s="7" t="e">
        <f>IF(VLOOKUP($A1528,'Concrete Beam Schedule'!$A$2:$Q$2902,AC$2,0)&lt;&gt;M1528,"Beam Revised","")</f>
        <v>#N/A</v>
      </c>
      <c r="AD1528" s="7" t="e">
        <f>IF(VLOOKUP($A1528,'Concrete Beam Schedule'!$A$2:$Q$2902,AD$2,0)&lt;&gt;N1528,"Beam Revised","")</f>
        <v>#N/A</v>
      </c>
      <c r="AE1528" s="7" t="e">
        <f>IF(VLOOKUP($A1528,'Concrete Beam Schedule'!$A$2:$Q$2902,AE$2,0)&lt;&gt;O1528,"Beam Revised","")</f>
        <v>#N/A</v>
      </c>
    </row>
    <row r="1529" spans="17:31" ht="20.100000000000001" customHeight="1" x14ac:dyDescent="0.25">
      <c r="Q1529" s="7">
        <f t="shared" si="23"/>
        <v>0</v>
      </c>
      <c r="R1529" s="7" t="e">
        <f>IF(VLOOKUP($A1529,'Concrete Beam Schedule'!$A$2:$Q$2902,R$2,0)&lt;&gt;B1529,VLOOKUP($A1529,'Concrete Beam Schedule'!$A$2:$Q$2902,R$2,0),"")</f>
        <v>#N/A</v>
      </c>
      <c r="S1529" s="7" t="e">
        <f>IF(VLOOKUP($A1529,'Concrete Beam Schedule'!$A$2:$Q$2902,S$2,0)&lt;&gt;C1529,VLOOKUP($A1529,'Concrete Beam Schedule'!$A$2:$Q$2902,S$2,0),"")</f>
        <v>#N/A</v>
      </c>
      <c r="T1529" s="7" t="e">
        <f>IF(VLOOKUP($A1529,'Concrete Beam Schedule'!$A$2:$Q$2902,T$2,0)&lt;&gt;D1529,"Beam Revised","")</f>
        <v>#N/A</v>
      </c>
      <c r="U1529" s="7" t="e">
        <f>IF(VLOOKUP($A1529,'Concrete Beam Schedule'!$A$2:$Q$2902,U$2,0)&lt;&gt;E1529,"Beam Revised","")</f>
        <v>#N/A</v>
      </c>
      <c r="V1529" s="7" t="e">
        <f>IF(VLOOKUP($A1529,'Concrete Beam Schedule'!$A$2:$Q$2902,V$2,0)&lt;&gt;F1529,"Beam Revised","")</f>
        <v>#N/A</v>
      </c>
      <c r="W1529" s="7" t="e">
        <f>IF(VLOOKUP($A1529,'Concrete Beam Schedule'!$A$2:$Q$2902,W$2,0)&lt;&gt;G1529,"Beam Revised","")</f>
        <v>#N/A</v>
      </c>
      <c r="X1529" s="7" t="e">
        <f>IF(VLOOKUP($A1529,'Concrete Beam Schedule'!$A$2:$Q$2902,X$2,0)&lt;&gt;H1529,"Beam Revised","")</f>
        <v>#N/A</v>
      </c>
      <c r="Y1529" s="7" t="e">
        <f>IF(VLOOKUP($A1529,'Concrete Beam Schedule'!$A$2:$Q$2902,Y$2,0)&lt;&gt;I1529,"Beam Revised","")</f>
        <v>#N/A</v>
      </c>
      <c r="Z1529" s="7" t="e">
        <f>IF(VLOOKUP($A1529,'Concrete Beam Schedule'!$A$2:$Q$2902,Z$2,0)&lt;&gt;J1529,"Beam Revised","")</f>
        <v>#N/A</v>
      </c>
      <c r="AA1529" s="7" t="e">
        <f>IF(VLOOKUP($A1529,'Concrete Beam Schedule'!$A$2:$Q$2902,AA$2,0)&lt;&gt;K1529,"Beam Revised","")</f>
        <v>#N/A</v>
      </c>
      <c r="AB1529" s="7" t="e">
        <f>IF(VLOOKUP($A1529,'Concrete Beam Schedule'!$A$2:$Q$2902,AB$2,0)&lt;&gt;L1529,"Beam Revised","")</f>
        <v>#N/A</v>
      </c>
      <c r="AC1529" s="7" t="e">
        <f>IF(VLOOKUP($A1529,'Concrete Beam Schedule'!$A$2:$Q$2902,AC$2,0)&lt;&gt;M1529,"Beam Revised","")</f>
        <v>#N/A</v>
      </c>
      <c r="AD1529" s="7" t="e">
        <f>IF(VLOOKUP($A1529,'Concrete Beam Schedule'!$A$2:$Q$2902,AD$2,0)&lt;&gt;N1529,"Beam Revised","")</f>
        <v>#N/A</v>
      </c>
      <c r="AE1529" s="7" t="e">
        <f>IF(VLOOKUP($A1529,'Concrete Beam Schedule'!$A$2:$Q$2902,AE$2,0)&lt;&gt;O1529,"Beam Revised","")</f>
        <v>#N/A</v>
      </c>
    </row>
    <row r="1530" spans="17:31" ht="20.100000000000001" customHeight="1" x14ac:dyDescent="0.25">
      <c r="Q1530" s="7">
        <f t="shared" si="23"/>
        <v>0</v>
      </c>
      <c r="R1530" s="7" t="e">
        <f>IF(VLOOKUP($A1530,'Concrete Beam Schedule'!$A$2:$Q$2902,R$2,0)&lt;&gt;B1530,VLOOKUP($A1530,'Concrete Beam Schedule'!$A$2:$Q$2902,R$2,0),"")</f>
        <v>#N/A</v>
      </c>
      <c r="S1530" s="7" t="e">
        <f>IF(VLOOKUP($A1530,'Concrete Beam Schedule'!$A$2:$Q$2902,S$2,0)&lt;&gt;C1530,VLOOKUP($A1530,'Concrete Beam Schedule'!$A$2:$Q$2902,S$2,0),"")</f>
        <v>#N/A</v>
      </c>
      <c r="T1530" s="7" t="e">
        <f>IF(VLOOKUP($A1530,'Concrete Beam Schedule'!$A$2:$Q$2902,T$2,0)&lt;&gt;D1530,"Beam Revised","")</f>
        <v>#N/A</v>
      </c>
      <c r="U1530" s="7" t="e">
        <f>IF(VLOOKUP($A1530,'Concrete Beam Schedule'!$A$2:$Q$2902,U$2,0)&lt;&gt;E1530,"Beam Revised","")</f>
        <v>#N/A</v>
      </c>
      <c r="V1530" s="7" t="e">
        <f>IF(VLOOKUP($A1530,'Concrete Beam Schedule'!$A$2:$Q$2902,V$2,0)&lt;&gt;F1530,"Beam Revised","")</f>
        <v>#N/A</v>
      </c>
      <c r="W1530" s="7" t="e">
        <f>IF(VLOOKUP($A1530,'Concrete Beam Schedule'!$A$2:$Q$2902,W$2,0)&lt;&gt;G1530,"Beam Revised","")</f>
        <v>#N/A</v>
      </c>
      <c r="X1530" s="7" t="e">
        <f>IF(VLOOKUP($A1530,'Concrete Beam Schedule'!$A$2:$Q$2902,X$2,0)&lt;&gt;H1530,"Beam Revised","")</f>
        <v>#N/A</v>
      </c>
      <c r="Y1530" s="7" t="e">
        <f>IF(VLOOKUP($A1530,'Concrete Beam Schedule'!$A$2:$Q$2902,Y$2,0)&lt;&gt;I1530,"Beam Revised","")</f>
        <v>#N/A</v>
      </c>
      <c r="Z1530" s="7" t="e">
        <f>IF(VLOOKUP($A1530,'Concrete Beam Schedule'!$A$2:$Q$2902,Z$2,0)&lt;&gt;J1530,"Beam Revised","")</f>
        <v>#N/A</v>
      </c>
      <c r="AA1530" s="7" t="e">
        <f>IF(VLOOKUP($A1530,'Concrete Beam Schedule'!$A$2:$Q$2902,AA$2,0)&lt;&gt;K1530,"Beam Revised","")</f>
        <v>#N/A</v>
      </c>
      <c r="AB1530" s="7" t="e">
        <f>IF(VLOOKUP($A1530,'Concrete Beam Schedule'!$A$2:$Q$2902,AB$2,0)&lt;&gt;L1530,"Beam Revised","")</f>
        <v>#N/A</v>
      </c>
      <c r="AC1530" s="7" t="e">
        <f>IF(VLOOKUP($A1530,'Concrete Beam Schedule'!$A$2:$Q$2902,AC$2,0)&lt;&gt;M1530,"Beam Revised","")</f>
        <v>#N/A</v>
      </c>
      <c r="AD1530" s="7" t="e">
        <f>IF(VLOOKUP($A1530,'Concrete Beam Schedule'!$A$2:$Q$2902,AD$2,0)&lt;&gt;N1530,"Beam Revised","")</f>
        <v>#N/A</v>
      </c>
      <c r="AE1530" s="7" t="e">
        <f>IF(VLOOKUP($A1530,'Concrete Beam Schedule'!$A$2:$Q$2902,AE$2,0)&lt;&gt;O1530,"Beam Revised","")</f>
        <v>#N/A</v>
      </c>
    </row>
    <row r="1531" spans="17:31" ht="20.100000000000001" customHeight="1" x14ac:dyDescent="0.25">
      <c r="Q1531" s="7">
        <f t="shared" si="23"/>
        <v>0</v>
      </c>
      <c r="R1531" s="7" t="e">
        <f>IF(VLOOKUP($A1531,'Concrete Beam Schedule'!$A$2:$Q$2902,R$2,0)&lt;&gt;B1531,VLOOKUP($A1531,'Concrete Beam Schedule'!$A$2:$Q$2902,R$2,0),"")</f>
        <v>#N/A</v>
      </c>
      <c r="S1531" s="7" t="e">
        <f>IF(VLOOKUP($A1531,'Concrete Beam Schedule'!$A$2:$Q$2902,S$2,0)&lt;&gt;C1531,VLOOKUP($A1531,'Concrete Beam Schedule'!$A$2:$Q$2902,S$2,0),"")</f>
        <v>#N/A</v>
      </c>
      <c r="T1531" s="7" t="e">
        <f>IF(VLOOKUP($A1531,'Concrete Beam Schedule'!$A$2:$Q$2902,T$2,0)&lt;&gt;D1531,"Beam Revised","")</f>
        <v>#N/A</v>
      </c>
      <c r="U1531" s="7" t="e">
        <f>IF(VLOOKUP($A1531,'Concrete Beam Schedule'!$A$2:$Q$2902,U$2,0)&lt;&gt;E1531,"Beam Revised","")</f>
        <v>#N/A</v>
      </c>
      <c r="V1531" s="7" t="e">
        <f>IF(VLOOKUP($A1531,'Concrete Beam Schedule'!$A$2:$Q$2902,V$2,0)&lt;&gt;F1531,"Beam Revised","")</f>
        <v>#N/A</v>
      </c>
      <c r="W1531" s="7" t="e">
        <f>IF(VLOOKUP($A1531,'Concrete Beam Schedule'!$A$2:$Q$2902,W$2,0)&lt;&gt;G1531,"Beam Revised","")</f>
        <v>#N/A</v>
      </c>
      <c r="X1531" s="7" t="e">
        <f>IF(VLOOKUP($A1531,'Concrete Beam Schedule'!$A$2:$Q$2902,X$2,0)&lt;&gt;H1531,"Beam Revised","")</f>
        <v>#N/A</v>
      </c>
      <c r="Y1531" s="7" t="e">
        <f>IF(VLOOKUP($A1531,'Concrete Beam Schedule'!$A$2:$Q$2902,Y$2,0)&lt;&gt;I1531,"Beam Revised","")</f>
        <v>#N/A</v>
      </c>
      <c r="Z1531" s="7" t="e">
        <f>IF(VLOOKUP($A1531,'Concrete Beam Schedule'!$A$2:$Q$2902,Z$2,0)&lt;&gt;J1531,"Beam Revised","")</f>
        <v>#N/A</v>
      </c>
      <c r="AA1531" s="7" t="e">
        <f>IF(VLOOKUP($A1531,'Concrete Beam Schedule'!$A$2:$Q$2902,AA$2,0)&lt;&gt;K1531,"Beam Revised","")</f>
        <v>#N/A</v>
      </c>
      <c r="AB1531" s="7" t="e">
        <f>IF(VLOOKUP($A1531,'Concrete Beam Schedule'!$A$2:$Q$2902,AB$2,0)&lt;&gt;L1531,"Beam Revised","")</f>
        <v>#N/A</v>
      </c>
      <c r="AC1531" s="7" t="e">
        <f>IF(VLOOKUP($A1531,'Concrete Beam Schedule'!$A$2:$Q$2902,AC$2,0)&lt;&gt;M1531,"Beam Revised","")</f>
        <v>#N/A</v>
      </c>
      <c r="AD1531" s="7" t="e">
        <f>IF(VLOOKUP($A1531,'Concrete Beam Schedule'!$A$2:$Q$2902,AD$2,0)&lt;&gt;N1531,"Beam Revised","")</f>
        <v>#N/A</v>
      </c>
      <c r="AE1531" s="7" t="e">
        <f>IF(VLOOKUP($A1531,'Concrete Beam Schedule'!$A$2:$Q$2902,AE$2,0)&lt;&gt;O1531,"Beam Revised","")</f>
        <v>#N/A</v>
      </c>
    </row>
    <row r="1532" spans="17:31" ht="20.100000000000001" customHeight="1" x14ac:dyDescent="0.25">
      <c r="Q1532" s="7">
        <f t="shared" si="23"/>
        <v>0</v>
      </c>
      <c r="R1532" s="7" t="e">
        <f>IF(VLOOKUP($A1532,'Concrete Beam Schedule'!$A$2:$Q$2902,R$2,0)&lt;&gt;B1532,VLOOKUP($A1532,'Concrete Beam Schedule'!$A$2:$Q$2902,R$2,0),"")</f>
        <v>#N/A</v>
      </c>
      <c r="S1532" s="7" t="e">
        <f>IF(VLOOKUP($A1532,'Concrete Beam Schedule'!$A$2:$Q$2902,S$2,0)&lt;&gt;C1532,VLOOKUP($A1532,'Concrete Beam Schedule'!$A$2:$Q$2902,S$2,0),"")</f>
        <v>#N/A</v>
      </c>
      <c r="T1532" s="7" t="e">
        <f>IF(VLOOKUP($A1532,'Concrete Beam Schedule'!$A$2:$Q$2902,T$2,0)&lt;&gt;D1532,"Beam Revised","")</f>
        <v>#N/A</v>
      </c>
      <c r="U1532" s="7" t="e">
        <f>IF(VLOOKUP($A1532,'Concrete Beam Schedule'!$A$2:$Q$2902,U$2,0)&lt;&gt;E1532,"Beam Revised","")</f>
        <v>#N/A</v>
      </c>
      <c r="V1532" s="7" t="e">
        <f>IF(VLOOKUP($A1532,'Concrete Beam Schedule'!$A$2:$Q$2902,V$2,0)&lt;&gt;F1532,"Beam Revised","")</f>
        <v>#N/A</v>
      </c>
      <c r="W1532" s="7" t="e">
        <f>IF(VLOOKUP($A1532,'Concrete Beam Schedule'!$A$2:$Q$2902,W$2,0)&lt;&gt;G1532,"Beam Revised","")</f>
        <v>#N/A</v>
      </c>
      <c r="X1532" s="7" t="e">
        <f>IF(VLOOKUP($A1532,'Concrete Beam Schedule'!$A$2:$Q$2902,X$2,0)&lt;&gt;H1532,"Beam Revised","")</f>
        <v>#N/A</v>
      </c>
      <c r="Y1532" s="7" t="e">
        <f>IF(VLOOKUP($A1532,'Concrete Beam Schedule'!$A$2:$Q$2902,Y$2,0)&lt;&gt;I1532,"Beam Revised","")</f>
        <v>#N/A</v>
      </c>
      <c r="Z1532" s="7" t="e">
        <f>IF(VLOOKUP($A1532,'Concrete Beam Schedule'!$A$2:$Q$2902,Z$2,0)&lt;&gt;J1532,"Beam Revised","")</f>
        <v>#N/A</v>
      </c>
      <c r="AA1532" s="7" t="e">
        <f>IF(VLOOKUP($A1532,'Concrete Beam Schedule'!$A$2:$Q$2902,AA$2,0)&lt;&gt;K1532,"Beam Revised","")</f>
        <v>#N/A</v>
      </c>
      <c r="AB1532" s="7" t="e">
        <f>IF(VLOOKUP($A1532,'Concrete Beam Schedule'!$A$2:$Q$2902,AB$2,0)&lt;&gt;L1532,"Beam Revised","")</f>
        <v>#N/A</v>
      </c>
      <c r="AC1532" s="7" t="e">
        <f>IF(VLOOKUP($A1532,'Concrete Beam Schedule'!$A$2:$Q$2902,AC$2,0)&lt;&gt;M1532,"Beam Revised","")</f>
        <v>#N/A</v>
      </c>
      <c r="AD1532" s="7" t="e">
        <f>IF(VLOOKUP($A1532,'Concrete Beam Schedule'!$A$2:$Q$2902,AD$2,0)&lt;&gt;N1532,"Beam Revised","")</f>
        <v>#N/A</v>
      </c>
      <c r="AE1532" s="7" t="e">
        <f>IF(VLOOKUP($A1532,'Concrete Beam Schedule'!$A$2:$Q$2902,AE$2,0)&lt;&gt;O1532,"Beam Revised","")</f>
        <v>#N/A</v>
      </c>
    </row>
    <row r="1533" spans="17:31" ht="20.100000000000001" customHeight="1" x14ac:dyDescent="0.25">
      <c r="Q1533" s="7">
        <f t="shared" si="23"/>
        <v>0</v>
      </c>
      <c r="R1533" s="7" t="e">
        <f>IF(VLOOKUP($A1533,'Concrete Beam Schedule'!$A$2:$Q$2902,R$2,0)&lt;&gt;B1533,VLOOKUP($A1533,'Concrete Beam Schedule'!$A$2:$Q$2902,R$2,0),"")</f>
        <v>#N/A</v>
      </c>
      <c r="S1533" s="7" t="e">
        <f>IF(VLOOKUP($A1533,'Concrete Beam Schedule'!$A$2:$Q$2902,S$2,0)&lt;&gt;C1533,VLOOKUP($A1533,'Concrete Beam Schedule'!$A$2:$Q$2902,S$2,0),"")</f>
        <v>#N/A</v>
      </c>
      <c r="T1533" s="7" t="e">
        <f>IF(VLOOKUP($A1533,'Concrete Beam Schedule'!$A$2:$Q$2902,T$2,0)&lt;&gt;D1533,"Beam Revised","")</f>
        <v>#N/A</v>
      </c>
      <c r="U1533" s="7" t="e">
        <f>IF(VLOOKUP($A1533,'Concrete Beam Schedule'!$A$2:$Q$2902,U$2,0)&lt;&gt;E1533,"Beam Revised","")</f>
        <v>#N/A</v>
      </c>
      <c r="V1533" s="7" t="e">
        <f>IF(VLOOKUP($A1533,'Concrete Beam Schedule'!$A$2:$Q$2902,V$2,0)&lt;&gt;F1533,"Beam Revised","")</f>
        <v>#N/A</v>
      </c>
      <c r="W1533" s="7" t="e">
        <f>IF(VLOOKUP($A1533,'Concrete Beam Schedule'!$A$2:$Q$2902,W$2,0)&lt;&gt;G1533,"Beam Revised","")</f>
        <v>#N/A</v>
      </c>
      <c r="X1533" s="7" t="e">
        <f>IF(VLOOKUP($A1533,'Concrete Beam Schedule'!$A$2:$Q$2902,X$2,0)&lt;&gt;H1533,"Beam Revised","")</f>
        <v>#N/A</v>
      </c>
      <c r="Y1533" s="7" t="e">
        <f>IF(VLOOKUP($A1533,'Concrete Beam Schedule'!$A$2:$Q$2902,Y$2,0)&lt;&gt;I1533,"Beam Revised","")</f>
        <v>#N/A</v>
      </c>
      <c r="Z1533" s="7" t="e">
        <f>IF(VLOOKUP($A1533,'Concrete Beam Schedule'!$A$2:$Q$2902,Z$2,0)&lt;&gt;J1533,"Beam Revised","")</f>
        <v>#N/A</v>
      </c>
      <c r="AA1533" s="7" t="e">
        <f>IF(VLOOKUP($A1533,'Concrete Beam Schedule'!$A$2:$Q$2902,AA$2,0)&lt;&gt;K1533,"Beam Revised","")</f>
        <v>#N/A</v>
      </c>
      <c r="AB1533" s="7" t="e">
        <f>IF(VLOOKUP($A1533,'Concrete Beam Schedule'!$A$2:$Q$2902,AB$2,0)&lt;&gt;L1533,"Beam Revised","")</f>
        <v>#N/A</v>
      </c>
      <c r="AC1533" s="7" t="e">
        <f>IF(VLOOKUP($A1533,'Concrete Beam Schedule'!$A$2:$Q$2902,AC$2,0)&lt;&gt;M1533,"Beam Revised","")</f>
        <v>#N/A</v>
      </c>
      <c r="AD1533" s="7" t="e">
        <f>IF(VLOOKUP($A1533,'Concrete Beam Schedule'!$A$2:$Q$2902,AD$2,0)&lt;&gt;N1533,"Beam Revised","")</f>
        <v>#N/A</v>
      </c>
      <c r="AE1533" s="7" t="e">
        <f>IF(VLOOKUP($A1533,'Concrete Beam Schedule'!$A$2:$Q$2902,AE$2,0)&lt;&gt;O1533,"Beam Revised","")</f>
        <v>#N/A</v>
      </c>
    </row>
    <row r="1534" spans="17:31" ht="20.100000000000001" customHeight="1" x14ac:dyDescent="0.25">
      <c r="Q1534" s="7">
        <f t="shared" si="23"/>
        <v>0</v>
      </c>
      <c r="R1534" s="7" t="e">
        <f>IF(VLOOKUP($A1534,'Concrete Beam Schedule'!$A$2:$Q$2902,R$2,0)&lt;&gt;B1534,VLOOKUP($A1534,'Concrete Beam Schedule'!$A$2:$Q$2902,R$2,0),"")</f>
        <v>#N/A</v>
      </c>
      <c r="S1534" s="7" t="e">
        <f>IF(VLOOKUP($A1534,'Concrete Beam Schedule'!$A$2:$Q$2902,S$2,0)&lt;&gt;C1534,VLOOKUP($A1534,'Concrete Beam Schedule'!$A$2:$Q$2902,S$2,0),"")</f>
        <v>#N/A</v>
      </c>
      <c r="T1534" s="7" t="e">
        <f>IF(VLOOKUP($A1534,'Concrete Beam Schedule'!$A$2:$Q$2902,T$2,0)&lt;&gt;D1534,"Beam Revised","")</f>
        <v>#N/A</v>
      </c>
      <c r="U1534" s="7" t="e">
        <f>IF(VLOOKUP($A1534,'Concrete Beam Schedule'!$A$2:$Q$2902,U$2,0)&lt;&gt;E1534,"Beam Revised","")</f>
        <v>#N/A</v>
      </c>
      <c r="V1534" s="7" t="e">
        <f>IF(VLOOKUP($A1534,'Concrete Beam Schedule'!$A$2:$Q$2902,V$2,0)&lt;&gt;F1534,"Beam Revised","")</f>
        <v>#N/A</v>
      </c>
      <c r="W1534" s="7" t="e">
        <f>IF(VLOOKUP($A1534,'Concrete Beam Schedule'!$A$2:$Q$2902,W$2,0)&lt;&gt;G1534,"Beam Revised","")</f>
        <v>#N/A</v>
      </c>
      <c r="X1534" s="7" t="e">
        <f>IF(VLOOKUP($A1534,'Concrete Beam Schedule'!$A$2:$Q$2902,X$2,0)&lt;&gt;H1534,"Beam Revised","")</f>
        <v>#N/A</v>
      </c>
      <c r="Y1534" s="7" t="e">
        <f>IF(VLOOKUP($A1534,'Concrete Beam Schedule'!$A$2:$Q$2902,Y$2,0)&lt;&gt;I1534,"Beam Revised","")</f>
        <v>#N/A</v>
      </c>
      <c r="Z1534" s="7" t="e">
        <f>IF(VLOOKUP($A1534,'Concrete Beam Schedule'!$A$2:$Q$2902,Z$2,0)&lt;&gt;J1534,"Beam Revised","")</f>
        <v>#N/A</v>
      </c>
      <c r="AA1534" s="7" t="e">
        <f>IF(VLOOKUP($A1534,'Concrete Beam Schedule'!$A$2:$Q$2902,AA$2,0)&lt;&gt;K1534,"Beam Revised","")</f>
        <v>#N/A</v>
      </c>
      <c r="AB1534" s="7" t="e">
        <f>IF(VLOOKUP($A1534,'Concrete Beam Schedule'!$A$2:$Q$2902,AB$2,0)&lt;&gt;L1534,"Beam Revised","")</f>
        <v>#N/A</v>
      </c>
      <c r="AC1534" s="7" t="e">
        <f>IF(VLOOKUP($A1534,'Concrete Beam Schedule'!$A$2:$Q$2902,AC$2,0)&lt;&gt;M1534,"Beam Revised","")</f>
        <v>#N/A</v>
      </c>
      <c r="AD1534" s="7" t="e">
        <f>IF(VLOOKUP($A1534,'Concrete Beam Schedule'!$A$2:$Q$2902,AD$2,0)&lt;&gt;N1534,"Beam Revised","")</f>
        <v>#N/A</v>
      </c>
      <c r="AE1534" s="7" t="e">
        <f>IF(VLOOKUP($A1534,'Concrete Beam Schedule'!$A$2:$Q$2902,AE$2,0)&lt;&gt;O1534,"Beam Revised","")</f>
        <v>#N/A</v>
      </c>
    </row>
    <row r="1535" spans="17:31" ht="20.100000000000001" customHeight="1" x14ac:dyDescent="0.25">
      <c r="Q1535" s="7">
        <f t="shared" si="23"/>
        <v>0</v>
      </c>
      <c r="R1535" s="7" t="e">
        <f>IF(VLOOKUP($A1535,'Concrete Beam Schedule'!$A$2:$Q$2902,R$2,0)&lt;&gt;B1535,VLOOKUP($A1535,'Concrete Beam Schedule'!$A$2:$Q$2902,R$2,0),"")</f>
        <v>#N/A</v>
      </c>
      <c r="S1535" s="7" t="e">
        <f>IF(VLOOKUP($A1535,'Concrete Beam Schedule'!$A$2:$Q$2902,S$2,0)&lt;&gt;C1535,VLOOKUP($A1535,'Concrete Beam Schedule'!$A$2:$Q$2902,S$2,0),"")</f>
        <v>#N/A</v>
      </c>
      <c r="T1535" s="7" t="e">
        <f>IF(VLOOKUP($A1535,'Concrete Beam Schedule'!$A$2:$Q$2902,T$2,0)&lt;&gt;D1535,"Beam Revised","")</f>
        <v>#N/A</v>
      </c>
      <c r="U1535" s="7" t="e">
        <f>IF(VLOOKUP($A1535,'Concrete Beam Schedule'!$A$2:$Q$2902,U$2,0)&lt;&gt;E1535,"Beam Revised","")</f>
        <v>#N/A</v>
      </c>
      <c r="V1535" s="7" t="e">
        <f>IF(VLOOKUP($A1535,'Concrete Beam Schedule'!$A$2:$Q$2902,V$2,0)&lt;&gt;F1535,"Beam Revised","")</f>
        <v>#N/A</v>
      </c>
      <c r="W1535" s="7" t="e">
        <f>IF(VLOOKUP($A1535,'Concrete Beam Schedule'!$A$2:$Q$2902,W$2,0)&lt;&gt;G1535,"Beam Revised","")</f>
        <v>#N/A</v>
      </c>
      <c r="X1535" s="7" t="e">
        <f>IF(VLOOKUP($A1535,'Concrete Beam Schedule'!$A$2:$Q$2902,X$2,0)&lt;&gt;H1535,"Beam Revised","")</f>
        <v>#N/A</v>
      </c>
      <c r="Y1535" s="7" t="e">
        <f>IF(VLOOKUP($A1535,'Concrete Beam Schedule'!$A$2:$Q$2902,Y$2,0)&lt;&gt;I1535,"Beam Revised","")</f>
        <v>#N/A</v>
      </c>
      <c r="Z1535" s="7" t="e">
        <f>IF(VLOOKUP($A1535,'Concrete Beam Schedule'!$A$2:$Q$2902,Z$2,0)&lt;&gt;J1535,"Beam Revised","")</f>
        <v>#N/A</v>
      </c>
      <c r="AA1535" s="7" t="e">
        <f>IF(VLOOKUP($A1535,'Concrete Beam Schedule'!$A$2:$Q$2902,AA$2,0)&lt;&gt;K1535,"Beam Revised","")</f>
        <v>#N/A</v>
      </c>
      <c r="AB1535" s="7" t="e">
        <f>IF(VLOOKUP($A1535,'Concrete Beam Schedule'!$A$2:$Q$2902,AB$2,0)&lt;&gt;L1535,"Beam Revised","")</f>
        <v>#N/A</v>
      </c>
      <c r="AC1535" s="7" t="e">
        <f>IF(VLOOKUP($A1535,'Concrete Beam Schedule'!$A$2:$Q$2902,AC$2,0)&lt;&gt;M1535,"Beam Revised","")</f>
        <v>#N/A</v>
      </c>
      <c r="AD1535" s="7" t="e">
        <f>IF(VLOOKUP($A1535,'Concrete Beam Schedule'!$A$2:$Q$2902,AD$2,0)&lt;&gt;N1535,"Beam Revised","")</f>
        <v>#N/A</v>
      </c>
      <c r="AE1535" s="7" t="e">
        <f>IF(VLOOKUP($A1535,'Concrete Beam Schedule'!$A$2:$Q$2902,AE$2,0)&lt;&gt;O1535,"Beam Revised","")</f>
        <v>#N/A</v>
      </c>
    </row>
    <row r="1536" spans="17:31" ht="20.100000000000001" customHeight="1" x14ac:dyDescent="0.25">
      <c r="Q1536" s="7">
        <f t="shared" si="23"/>
        <v>0</v>
      </c>
      <c r="R1536" s="7" t="e">
        <f>IF(VLOOKUP($A1536,'Concrete Beam Schedule'!$A$2:$Q$2902,R$2,0)&lt;&gt;B1536,VLOOKUP($A1536,'Concrete Beam Schedule'!$A$2:$Q$2902,R$2,0),"")</f>
        <v>#N/A</v>
      </c>
      <c r="S1536" s="7" t="e">
        <f>IF(VLOOKUP($A1536,'Concrete Beam Schedule'!$A$2:$Q$2902,S$2,0)&lt;&gt;C1536,VLOOKUP($A1536,'Concrete Beam Schedule'!$A$2:$Q$2902,S$2,0),"")</f>
        <v>#N/A</v>
      </c>
      <c r="T1536" s="7" t="e">
        <f>IF(VLOOKUP($A1536,'Concrete Beam Schedule'!$A$2:$Q$2902,T$2,0)&lt;&gt;D1536,"Beam Revised","")</f>
        <v>#N/A</v>
      </c>
      <c r="U1536" s="7" t="e">
        <f>IF(VLOOKUP($A1536,'Concrete Beam Schedule'!$A$2:$Q$2902,U$2,0)&lt;&gt;E1536,"Beam Revised","")</f>
        <v>#N/A</v>
      </c>
      <c r="V1536" s="7" t="e">
        <f>IF(VLOOKUP($A1536,'Concrete Beam Schedule'!$A$2:$Q$2902,V$2,0)&lt;&gt;F1536,"Beam Revised","")</f>
        <v>#N/A</v>
      </c>
      <c r="W1536" s="7" t="e">
        <f>IF(VLOOKUP($A1536,'Concrete Beam Schedule'!$A$2:$Q$2902,W$2,0)&lt;&gt;G1536,"Beam Revised","")</f>
        <v>#N/A</v>
      </c>
      <c r="X1536" s="7" t="e">
        <f>IF(VLOOKUP($A1536,'Concrete Beam Schedule'!$A$2:$Q$2902,X$2,0)&lt;&gt;H1536,"Beam Revised","")</f>
        <v>#N/A</v>
      </c>
      <c r="Y1536" s="7" t="e">
        <f>IF(VLOOKUP($A1536,'Concrete Beam Schedule'!$A$2:$Q$2902,Y$2,0)&lt;&gt;I1536,"Beam Revised","")</f>
        <v>#N/A</v>
      </c>
      <c r="Z1536" s="7" t="e">
        <f>IF(VLOOKUP($A1536,'Concrete Beam Schedule'!$A$2:$Q$2902,Z$2,0)&lt;&gt;J1536,"Beam Revised","")</f>
        <v>#N/A</v>
      </c>
      <c r="AA1536" s="7" t="e">
        <f>IF(VLOOKUP($A1536,'Concrete Beam Schedule'!$A$2:$Q$2902,AA$2,0)&lt;&gt;K1536,"Beam Revised","")</f>
        <v>#N/A</v>
      </c>
      <c r="AB1536" s="7" t="e">
        <f>IF(VLOOKUP($A1536,'Concrete Beam Schedule'!$A$2:$Q$2902,AB$2,0)&lt;&gt;L1536,"Beam Revised","")</f>
        <v>#N/A</v>
      </c>
      <c r="AC1536" s="7" t="e">
        <f>IF(VLOOKUP($A1536,'Concrete Beam Schedule'!$A$2:$Q$2902,AC$2,0)&lt;&gt;M1536,"Beam Revised","")</f>
        <v>#N/A</v>
      </c>
      <c r="AD1536" s="7" t="e">
        <f>IF(VLOOKUP($A1536,'Concrete Beam Schedule'!$A$2:$Q$2902,AD$2,0)&lt;&gt;N1536,"Beam Revised","")</f>
        <v>#N/A</v>
      </c>
      <c r="AE1536" s="7" t="e">
        <f>IF(VLOOKUP($A1536,'Concrete Beam Schedule'!$A$2:$Q$2902,AE$2,0)&lt;&gt;O1536,"Beam Revised","")</f>
        <v>#N/A</v>
      </c>
    </row>
    <row r="1537" spans="17:31" ht="20.100000000000001" customHeight="1" x14ac:dyDescent="0.25">
      <c r="Q1537" s="7">
        <f t="shared" si="23"/>
        <v>0</v>
      </c>
      <c r="R1537" s="7" t="e">
        <f>IF(VLOOKUP($A1537,'Concrete Beam Schedule'!$A$2:$Q$2902,R$2,0)&lt;&gt;B1537,VLOOKUP($A1537,'Concrete Beam Schedule'!$A$2:$Q$2902,R$2,0),"")</f>
        <v>#N/A</v>
      </c>
      <c r="S1537" s="7" t="e">
        <f>IF(VLOOKUP($A1537,'Concrete Beam Schedule'!$A$2:$Q$2902,S$2,0)&lt;&gt;C1537,VLOOKUP($A1537,'Concrete Beam Schedule'!$A$2:$Q$2902,S$2,0),"")</f>
        <v>#N/A</v>
      </c>
      <c r="T1537" s="7" t="e">
        <f>IF(VLOOKUP($A1537,'Concrete Beam Schedule'!$A$2:$Q$2902,T$2,0)&lt;&gt;D1537,"Beam Revised","")</f>
        <v>#N/A</v>
      </c>
      <c r="U1537" s="7" t="e">
        <f>IF(VLOOKUP($A1537,'Concrete Beam Schedule'!$A$2:$Q$2902,U$2,0)&lt;&gt;E1537,"Beam Revised","")</f>
        <v>#N/A</v>
      </c>
      <c r="V1537" s="7" t="e">
        <f>IF(VLOOKUP($A1537,'Concrete Beam Schedule'!$A$2:$Q$2902,V$2,0)&lt;&gt;F1537,"Beam Revised","")</f>
        <v>#N/A</v>
      </c>
      <c r="W1537" s="7" t="e">
        <f>IF(VLOOKUP($A1537,'Concrete Beam Schedule'!$A$2:$Q$2902,W$2,0)&lt;&gt;G1537,"Beam Revised","")</f>
        <v>#N/A</v>
      </c>
      <c r="X1537" s="7" t="e">
        <f>IF(VLOOKUP($A1537,'Concrete Beam Schedule'!$A$2:$Q$2902,X$2,0)&lt;&gt;H1537,"Beam Revised","")</f>
        <v>#N/A</v>
      </c>
      <c r="Y1537" s="7" t="e">
        <f>IF(VLOOKUP($A1537,'Concrete Beam Schedule'!$A$2:$Q$2902,Y$2,0)&lt;&gt;I1537,"Beam Revised","")</f>
        <v>#N/A</v>
      </c>
      <c r="Z1537" s="7" t="e">
        <f>IF(VLOOKUP($A1537,'Concrete Beam Schedule'!$A$2:$Q$2902,Z$2,0)&lt;&gt;J1537,"Beam Revised","")</f>
        <v>#N/A</v>
      </c>
      <c r="AA1537" s="7" t="e">
        <f>IF(VLOOKUP($A1537,'Concrete Beam Schedule'!$A$2:$Q$2902,AA$2,0)&lt;&gt;K1537,"Beam Revised","")</f>
        <v>#N/A</v>
      </c>
      <c r="AB1537" s="7" t="e">
        <f>IF(VLOOKUP($A1537,'Concrete Beam Schedule'!$A$2:$Q$2902,AB$2,0)&lt;&gt;L1537,"Beam Revised","")</f>
        <v>#N/A</v>
      </c>
      <c r="AC1537" s="7" t="e">
        <f>IF(VLOOKUP($A1537,'Concrete Beam Schedule'!$A$2:$Q$2902,AC$2,0)&lt;&gt;M1537,"Beam Revised","")</f>
        <v>#N/A</v>
      </c>
      <c r="AD1537" s="7" t="e">
        <f>IF(VLOOKUP($A1537,'Concrete Beam Schedule'!$A$2:$Q$2902,AD$2,0)&lt;&gt;N1537,"Beam Revised","")</f>
        <v>#N/A</v>
      </c>
      <c r="AE1537" s="7" t="e">
        <f>IF(VLOOKUP($A1537,'Concrete Beam Schedule'!$A$2:$Q$2902,AE$2,0)&lt;&gt;O1537,"Beam Revised","")</f>
        <v>#N/A</v>
      </c>
    </row>
    <row r="1538" spans="17:31" ht="20.100000000000001" customHeight="1" x14ac:dyDescent="0.25">
      <c r="Q1538" s="7">
        <f t="shared" si="23"/>
        <v>0</v>
      </c>
      <c r="R1538" s="7" t="e">
        <f>IF(VLOOKUP($A1538,'Concrete Beam Schedule'!$A$2:$Q$2902,R$2,0)&lt;&gt;B1538,VLOOKUP($A1538,'Concrete Beam Schedule'!$A$2:$Q$2902,R$2,0),"")</f>
        <v>#N/A</v>
      </c>
      <c r="S1538" s="7" t="e">
        <f>IF(VLOOKUP($A1538,'Concrete Beam Schedule'!$A$2:$Q$2902,S$2,0)&lt;&gt;C1538,VLOOKUP($A1538,'Concrete Beam Schedule'!$A$2:$Q$2902,S$2,0),"")</f>
        <v>#N/A</v>
      </c>
      <c r="T1538" s="7" t="e">
        <f>IF(VLOOKUP($A1538,'Concrete Beam Schedule'!$A$2:$Q$2902,T$2,0)&lt;&gt;D1538,"Beam Revised","")</f>
        <v>#N/A</v>
      </c>
      <c r="U1538" s="7" t="e">
        <f>IF(VLOOKUP($A1538,'Concrete Beam Schedule'!$A$2:$Q$2902,U$2,0)&lt;&gt;E1538,"Beam Revised","")</f>
        <v>#N/A</v>
      </c>
      <c r="V1538" s="7" t="e">
        <f>IF(VLOOKUP($A1538,'Concrete Beam Schedule'!$A$2:$Q$2902,V$2,0)&lt;&gt;F1538,"Beam Revised","")</f>
        <v>#N/A</v>
      </c>
      <c r="W1538" s="7" t="e">
        <f>IF(VLOOKUP($A1538,'Concrete Beam Schedule'!$A$2:$Q$2902,W$2,0)&lt;&gt;G1538,"Beam Revised","")</f>
        <v>#N/A</v>
      </c>
      <c r="X1538" s="7" t="e">
        <f>IF(VLOOKUP($A1538,'Concrete Beam Schedule'!$A$2:$Q$2902,X$2,0)&lt;&gt;H1538,"Beam Revised","")</f>
        <v>#N/A</v>
      </c>
      <c r="Y1538" s="7" t="e">
        <f>IF(VLOOKUP($A1538,'Concrete Beam Schedule'!$A$2:$Q$2902,Y$2,0)&lt;&gt;I1538,"Beam Revised","")</f>
        <v>#N/A</v>
      </c>
      <c r="Z1538" s="7" t="e">
        <f>IF(VLOOKUP($A1538,'Concrete Beam Schedule'!$A$2:$Q$2902,Z$2,0)&lt;&gt;J1538,"Beam Revised","")</f>
        <v>#N/A</v>
      </c>
      <c r="AA1538" s="7" t="e">
        <f>IF(VLOOKUP($A1538,'Concrete Beam Schedule'!$A$2:$Q$2902,AA$2,0)&lt;&gt;K1538,"Beam Revised","")</f>
        <v>#N/A</v>
      </c>
      <c r="AB1538" s="7" t="e">
        <f>IF(VLOOKUP($A1538,'Concrete Beam Schedule'!$A$2:$Q$2902,AB$2,0)&lt;&gt;L1538,"Beam Revised","")</f>
        <v>#N/A</v>
      </c>
      <c r="AC1538" s="7" t="e">
        <f>IF(VLOOKUP($A1538,'Concrete Beam Schedule'!$A$2:$Q$2902,AC$2,0)&lt;&gt;M1538,"Beam Revised","")</f>
        <v>#N/A</v>
      </c>
      <c r="AD1538" s="7" t="e">
        <f>IF(VLOOKUP($A1538,'Concrete Beam Schedule'!$A$2:$Q$2902,AD$2,0)&lt;&gt;N1538,"Beam Revised","")</f>
        <v>#N/A</v>
      </c>
      <c r="AE1538" s="7" t="e">
        <f>IF(VLOOKUP($A1538,'Concrete Beam Schedule'!$A$2:$Q$2902,AE$2,0)&lt;&gt;O1538,"Beam Revised","")</f>
        <v>#N/A</v>
      </c>
    </row>
    <row r="1539" spans="17:31" ht="20.100000000000001" customHeight="1" x14ac:dyDescent="0.25">
      <c r="Q1539" s="7">
        <f t="shared" si="23"/>
        <v>0</v>
      </c>
      <c r="R1539" s="7" t="e">
        <f>IF(VLOOKUP($A1539,'Concrete Beam Schedule'!$A$2:$Q$2902,R$2,0)&lt;&gt;B1539,VLOOKUP($A1539,'Concrete Beam Schedule'!$A$2:$Q$2902,R$2,0),"")</f>
        <v>#N/A</v>
      </c>
      <c r="S1539" s="7" t="e">
        <f>IF(VLOOKUP($A1539,'Concrete Beam Schedule'!$A$2:$Q$2902,S$2,0)&lt;&gt;C1539,VLOOKUP($A1539,'Concrete Beam Schedule'!$A$2:$Q$2902,S$2,0),"")</f>
        <v>#N/A</v>
      </c>
      <c r="T1539" s="7" t="e">
        <f>IF(VLOOKUP($A1539,'Concrete Beam Schedule'!$A$2:$Q$2902,T$2,0)&lt;&gt;D1539,"Beam Revised","")</f>
        <v>#N/A</v>
      </c>
      <c r="U1539" s="7" t="e">
        <f>IF(VLOOKUP($A1539,'Concrete Beam Schedule'!$A$2:$Q$2902,U$2,0)&lt;&gt;E1539,"Beam Revised","")</f>
        <v>#N/A</v>
      </c>
      <c r="V1539" s="7" t="e">
        <f>IF(VLOOKUP($A1539,'Concrete Beam Schedule'!$A$2:$Q$2902,V$2,0)&lt;&gt;F1539,"Beam Revised","")</f>
        <v>#N/A</v>
      </c>
      <c r="W1539" s="7" t="e">
        <f>IF(VLOOKUP($A1539,'Concrete Beam Schedule'!$A$2:$Q$2902,W$2,0)&lt;&gt;G1539,"Beam Revised","")</f>
        <v>#N/A</v>
      </c>
      <c r="X1539" s="7" t="e">
        <f>IF(VLOOKUP($A1539,'Concrete Beam Schedule'!$A$2:$Q$2902,X$2,0)&lt;&gt;H1539,"Beam Revised","")</f>
        <v>#N/A</v>
      </c>
      <c r="Y1539" s="7" t="e">
        <f>IF(VLOOKUP($A1539,'Concrete Beam Schedule'!$A$2:$Q$2902,Y$2,0)&lt;&gt;I1539,"Beam Revised","")</f>
        <v>#N/A</v>
      </c>
      <c r="Z1539" s="7" t="e">
        <f>IF(VLOOKUP($A1539,'Concrete Beam Schedule'!$A$2:$Q$2902,Z$2,0)&lt;&gt;J1539,"Beam Revised","")</f>
        <v>#N/A</v>
      </c>
      <c r="AA1539" s="7" t="e">
        <f>IF(VLOOKUP($A1539,'Concrete Beam Schedule'!$A$2:$Q$2902,AA$2,0)&lt;&gt;K1539,"Beam Revised","")</f>
        <v>#N/A</v>
      </c>
      <c r="AB1539" s="7" t="e">
        <f>IF(VLOOKUP($A1539,'Concrete Beam Schedule'!$A$2:$Q$2902,AB$2,0)&lt;&gt;L1539,"Beam Revised","")</f>
        <v>#N/A</v>
      </c>
      <c r="AC1539" s="7" t="e">
        <f>IF(VLOOKUP($A1539,'Concrete Beam Schedule'!$A$2:$Q$2902,AC$2,0)&lt;&gt;M1539,"Beam Revised","")</f>
        <v>#N/A</v>
      </c>
      <c r="AD1539" s="7" t="e">
        <f>IF(VLOOKUP($A1539,'Concrete Beam Schedule'!$A$2:$Q$2902,AD$2,0)&lt;&gt;N1539,"Beam Revised","")</f>
        <v>#N/A</v>
      </c>
      <c r="AE1539" s="7" t="e">
        <f>IF(VLOOKUP($A1539,'Concrete Beam Schedule'!$A$2:$Q$2902,AE$2,0)&lt;&gt;O1539,"Beam Revised","")</f>
        <v>#N/A</v>
      </c>
    </row>
    <row r="1540" spans="17:31" ht="20.100000000000001" customHeight="1" x14ac:dyDescent="0.25">
      <c r="Q1540" s="7">
        <f t="shared" ref="Q1540:Q1603" si="24">A1540</f>
        <v>0</v>
      </c>
      <c r="R1540" s="7" t="e">
        <f>IF(VLOOKUP($A1540,'Concrete Beam Schedule'!$A$2:$Q$2902,R$2,0)&lt;&gt;B1540,VLOOKUP($A1540,'Concrete Beam Schedule'!$A$2:$Q$2902,R$2,0),"")</f>
        <v>#N/A</v>
      </c>
      <c r="S1540" s="7" t="e">
        <f>IF(VLOOKUP($A1540,'Concrete Beam Schedule'!$A$2:$Q$2902,S$2,0)&lt;&gt;C1540,VLOOKUP($A1540,'Concrete Beam Schedule'!$A$2:$Q$2902,S$2,0),"")</f>
        <v>#N/A</v>
      </c>
      <c r="T1540" s="7" t="e">
        <f>IF(VLOOKUP($A1540,'Concrete Beam Schedule'!$A$2:$Q$2902,T$2,0)&lt;&gt;D1540,"Beam Revised","")</f>
        <v>#N/A</v>
      </c>
      <c r="U1540" s="7" t="e">
        <f>IF(VLOOKUP($A1540,'Concrete Beam Schedule'!$A$2:$Q$2902,U$2,0)&lt;&gt;E1540,"Beam Revised","")</f>
        <v>#N/A</v>
      </c>
      <c r="V1540" s="7" t="e">
        <f>IF(VLOOKUP($A1540,'Concrete Beam Schedule'!$A$2:$Q$2902,V$2,0)&lt;&gt;F1540,"Beam Revised","")</f>
        <v>#N/A</v>
      </c>
      <c r="W1540" s="7" t="e">
        <f>IF(VLOOKUP($A1540,'Concrete Beam Schedule'!$A$2:$Q$2902,W$2,0)&lt;&gt;G1540,"Beam Revised","")</f>
        <v>#N/A</v>
      </c>
      <c r="X1540" s="7" t="e">
        <f>IF(VLOOKUP($A1540,'Concrete Beam Schedule'!$A$2:$Q$2902,X$2,0)&lt;&gt;H1540,"Beam Revised","")</f>
        <v>#N/A</v>
      </c>
      <c r="Y1540" s="7" t="e">
        <f>IF(VLOOKUP($A1540,'Concrete Beam Schedule'!$A$2:$Q$2902,Y$2,0)&lt;&gt;I1540,"Beam Revised","")</f>
        <v>#N/A</v>
      </c>
      <c r="Z1540" s="7" t="e">
        <f>IF(VLOOKUP($A1540,'Concrete Beam Schedule'!$A$2:$Q$2902,Z$2,0)&lt;&gt;J1540,"Beam Revised","")</f>
        <v>#N/A</v>
      </c>
      <c r="AA1540" s="7" t="e">
        <f>IF(VLOOKUP($A1540,'Concrete Beam Schedule'!$A$2:$Q$2902,AA$2,0)&lt;&gt;K1540,"Beam Revised","")</f>
        <v>#N/A</v>
      </c>
      <c r="AB1540" s="7" t="e">
        <f>IF(VLOOKUP($A1540,'Concrete Beam Schedule'!$A$2:$Q$2902,AB$2,0)&lt;&gt;L1540,"Beam Revised","")</f>
        <v>#N/A</v>
      </c>
      <c r="AC1540" s="7" t="e">
        <f>IF(VLOOKUP($A1540,'Concrete Beam Schedule'!$A$2:$Q$2902,AC$2,0)&lt;&gt;M1540,"Beam Revised","")</f>
        <v>#N/A</v>
      </c>
      <c r="AD1540" s="7" t="e">
        <f>IF(VLOOKUP($A1540,'Concrete Beam Schedule'!$A$2:$Q$2902,AD$2,0)&lt;&gt;N1540,"Beam Revised","")</f>
        <v>#N/A</v>
      </c>
      <c r="AE1540" s="7" t="e">
        <f>IF(VLOOKUP($A1540,'Concrete Beam Schedule'!$A$2:$Q$2902,AE$2,0)&lt;&gt;O1540,"Beam Revised","")</f>
        <v>#N/A</v>
      </c>
    </row>
    <row r="1541" spans="17:31" ht="20.100000000000001" customHeight="1" x14ac:dyDescent="0.25">
      <c r="Q1541" s="7">
        <f t="shared" si="24"/>
        <v>0</v>
      </c>
      <c r="R1541" s="7" t="e">
        <f>IF(VLOOKUP($A1541,'Concrete Beam Schedule'!$A$2:$Q$2902,R$2,0)&lt;&gt;B1541,VLOOKUP($A1541,'Concrete Beam Schedule'!$A$2:$Q$2902,R$2,0),"")</f>
        <v>#N/A</v>
      </c>
      <c r="S1541" s="7" t="e">
        <f>IF(VLOOKUP($A1541,'Concrete Beam Schedule'!$A$2:$Q$2902,S$2,0)&lt;&gt;C1541,VLOOKUP($A1541,'Concrete Beam Schedule'!$A$2:$Q$2902,S$2,0),"")</f>
        <v>#N/A</v>
      </c>
      <c r="T1541" s="7" t="e">
        <f>IF(VLOOKUP($A1541,'Concrete Beam Schedule'!$A$2:$Q$2902,T$2,0)&lt;&gt;D1541,"Beam Revised","")</f>
        <v>#N/A</v>
      </c>
      <c r="U1541" s="7" t="e">
        <f>IF(VLOOKUP($A1541,'Concrete Beam Schedule'!$A$2:$Q$2902,U$2,0)&lt;&gt;E1541,"Beam Revised","")</f>
        <v>#N/A</v>
      </c>
      <c r="V1541" s="7" t="e">
        <f>IF(VLOOKUP($A1541,'Concrete Beam Schedule'!$A$2:$Q$2902,V$2,0)&lt;&gt;F1541,"Beam Revised","")</f>
        <v>#N/A</v>
      </c>
      <c r="W1541" s="7" t="e">
        <f>IF(VLOOKUP($A1541,'Concrete Beam Schedule'!$A$2:$Q$2902,W$2,0)&lt;&gt;G1541,"Beam Revised","")</f>
        <v>#N/A</v>
      </c>
      <c r="X1541" s="7" t="e">
        <f>IF(VLOOKUP($A1541,'Concrete Beam Schedule'!$A$2:$Q$2902,X$2,0)&lt;&gt;H1541,"Beam Revised","")</f>
        <v>#N/A</v>
      </c>
      <c r="Y1541" s="7" t="e">
        <f>IF(VLOOKUP($A1541,'Concrete Beam Schedule'!$A$2:$Q$2902,Y$2,0)&lt;&gt;I1541,"Beam Revised","")</f>
        <v>#N/A</v>
      </c>
      <c r="Z1541" s="7" t="e">
        <f>IF(VLOOKUP($A1541,'Concrete Beam Schedule'!$A$2:$Q$2902,Z$2,0)&lt;&gt;J1541,"Beam Revised","")</f>
        <v>#N/A</v>
      </c>
      <c r="AA1541" s="7" t="e">
        <f>IF(VLOOKUP($A1541,'Concrete Beam Schedule'!$A$2:$Q$2902,AA$2,0)&lt;&gt;K1541,"Beam Revised","")</f>
        <v>#N/A</v>
      </c>
      <c r="AB1541" s="7" t="e">
        <f>IF(VLOOKUP($A1541,'Concrete Beam Schedule'!$A$2:$Q$2902,AB$2,0)&lt;&gt;L1541,"Beam Revised","")</f>
        <v>#N/A</v>
      </c>
      <c r="AC1541" s="7" t="e">
        <f>IF(VLOOKUP($A1541,'Concrete Beam Schedule'!$A$2:$Q$2902,AC$2,0)&lt;&gt;M1541,"Beam Revised","")</f>
        <v>#N/A</v>
      </c>
      <c r="AD1541" s="7" t="e">
        <f>IF(VLOOKUP($A1541,'Concrete Beam Schedule'!$A$2:$Q$2902,AD$2,0)&lt;&gt;N1541,"Beam Revised","")</f>
        <v>#N/A</v>
      </c>
      <c r="AE1541" s="7" t="e">
        <f>IF(VLOOKUP($A1541,'Concrete Beam Schedule'!$A$2:$Q$2902,AE$2,0)&lt;&gt;O1541,"Beam Revised","")</f>
        <v>#N/A</v>
      </c>
    </row>
    <row r="1542" spans="17:31" ht="20.100000000000001" customHeight="1" x14ac:dyDescent="0.25">
      <c r="Q1542" s="7">
        <f t="shared" si="24"/>
        <v>0</v>
      </c>
      <c r="R1542" s="7" t="e">
        <f>IF(VLOOKUP($A1542,'Concrete Beam Schedule'!$A$2:$Q$2902,R$2,0)&lt;&gt;B1542,VLOOKUP($A1542,'Concrete Beam Schedule'!$A$2:$Q$2902,R$2,0),"")</f>
        <v>#N/A</v>
      </c>
      <c r="S1542" s="7" t="e">
        <f>IF(VLOOKUP($A1542,'Concrete Beam Schedule'!$A$2:$Q$2902,S$2,0)&lt;&gt;C1542,VLOOKUP($A1542,'Concrete Beam Schedule'!$A$2:$Q$2902,S$2,0),"")</f>
        <v>#N/A</v>
      </c>
      <c r="T1542" s="7" t="e">
        <f>IF(VLOOKUP($A1542,'Concrete Beam Schedule'!$A$2:$Q$2902,T$2,0)&lt;&gt;D1542,"Beam Revised","")</f>
        <v>#N/A</v>
      </c>
      <c r="U1542" s="7" t="e">
        <f>IF(VLOOKUP($A1542,'Concrete Beam Schedule'!$A$2:$Q$2902,U$2,0)&lt;&gt;E1542,"Beam Revised","")</f>
        <v>#N/A</v>
      </c>
      <c r="V1542" s="7" t="e">
        <f>IF(VLOOKUP($A1542,'Concrete Beam Schedule'!$A$2:$Q$2902,V$2,0)&lt;&gt;F1542,"Beam Revised","")</f>
        <v>#N/A</v>
      </c>
      <c r="W1542" s="7" t="e">
        <f>IF(VLOOKUP($A1542,'Concrete Beam Schedule'!$A$2:$Q$2902,W$2,0)&lt;&gt;G1542,"Beam Revised","")</f>
        <v>#N/A</v>
      </c>
      <c r="X1542" s="7" t="e">
        <f>IF(VLOOKUP($A1542,'Concrete Beam Schedule'!$A$2:$Q$2902,X$2,0)&lt;&gt;H1542,"Beam Revised","")</f>
        <v>#N/A</v>
      </c>
      <c r="Y1542" s="7" t="e">
        <f>IF(VLOOKUP($A1542,'Concrete Beam Schedule'!$A$2:$Q$2902,Y$2,0)&lt;&gt;I1542,"Beam Revised","")</f>
        <v>#N/A</v>
      </c>
      <c r="Z1542" s="7" t="e">
        <f>IF(VLOOKUP($A1542,'Concrete Beam Schedule'!$A$2:$Q$2902,Z$2,0)&lt;&gt;J1542,"Beam Revised","")</f>
        <v>#N/A</v>
      </c>
      <c r="AA1542" s="7" t="e">
        <f>IF(VLOOKUP($A1542,'Concrete Beam Schedule'!$A$2:$Q$2902,AA$2,0)&lt;&gt;K1542,"Beam Revised","")</f>
        <v>#N/A</v>
      </c>
      <c r="AB1542" s="7" t="e">
        <f>IF(VLOOKUP($A1542,'Concrete Beam Schedule'!$A$2:$Q$2902,AB$2,0)&lt;&gt;L1542,"Beam Revised","")</f>
        <v>#N/A</v>
      </c>
      <c r="AC1542" s="7" t="e">
        <f>IF(VLOOKUP($A1542,'Concrete Beam Schedule'!$A$2:$Q$2902,AC$2,0)&lt;&gt;M1542,"Beam Revised","")</f>
        <v>#N/A</v>
      </c>
      <c r="AD1542" s="7" t="e">
        <f>IF(VLOOKUP($A1542,'Concrete Beam Schedule'!$A$2:$Q$2902,AD$2,0)&lt;&gt;N1542,"Beam Revised","")</f>
        <v>#N/A</v>
      </c>
      <c r="AE1542" s="7" t="e">
        <f>IF(VLOOKUP($A1542,'Concrete Beam Schedule'!$A$2:$Q$2902,AE$2,0)&lt;&gt;O1542,"Beam Revised","")</f>
        <v>#N/A</v>
      </c>
    </row>
    <row r="1543" spans="17:31" ht="20.100000000000001" customHeight="1" x14ac:dyDescent="0.25">
      <c r="Q1543" s="7">
        <f t="shared" si="24"/>
        <v>0</v>
      </c>
      <c r="R1543" s="7" t="e">
        <f>IF(VLOOKUP($A1543,'Concrete Beam Schedule'!$A$2:$Q$2902,R$2,0)&lt;&gt;B1543,VLOOKUP($A1543,'Concrete Beam Schedule'!$A$2:$Q$2902,R$2,0),"")</f>
        <v>#N/A</v>
      </c>
      <c r="S1543" s="7" t="e">
        <f>IF(VLOOKUP($A1543,'Concrete Beam Schedule'!$A$2:$Q$2902,S$2,0)&lt;&gt;C1543,VLOOKUP($A1543,'Concrete Beam Schedule'!$A$2:$Q$2902,S$2,0),"")</f>
        <v>#N/A</v>
      </c>
      <c r="T1543" s="7" t="e">
        <f>IF(VLOOKUP($A1543,'Concrete Beam Schedule'!$A$2:$Q$2902,T$2,0)&lt;&gt;D1543,"Beam Revised","")</f>
        <v>#N/A</v>
      </c>
      <c r="U1543" s="7" t="e">
        <f>IF(VLOOKUP($A1543,'Concrete Beam Schedule'!$A$2:$Q$2902,U$2,0)&lt;&gt;E1543,"Beam Revised","")</f>
        <v>#N/A</v>
      </c>
      <c r="V1543" s="7" t="e">
        <f>IF(VLOOKUP($A1543,'Concrete Beam Schedule'!$A$2:$Q$2902,V$2,0)&lt;&gt;F1543,"Beam Revised","")</f>
        <v>#N/A</v>
      </c>
      <c r="W1543" s="7" t="e">
        <f>IF(VLOOKUP($A1543,'Concrete Beam Schedule'!$A$2:$Q$2902,W$2,0)&lt;&gt;G1543,"Beam Revised","")</f>
        <v>#N/A</v>
      </c>
      <c r="X1543" s="7" t="e">
        <f>IF(VLOOKUP($A1543,'Concrete Beam Schedule'!$A$2:$Q$2902,X$2,0)&lt;&gt;H1543,"Beam Revised","")</f>
        <v>#N/A</v>
      </c>
      <c r="Y1543" s="7" t="e">
        <f>IF(VLOOKUP($A1543,'Concrete Beam Schedule'!$A$2:$Q$2902,Y$2,0)&lt;&gt;I1543,"Beam Revised","")</f>
        <v>#N/A</v>
      </c>
      <c r="Z1543" s="7" t="e">
        <f>IF(VLOOKUP($A1543,'Concrete Beam Schedule'!$A$2:$Q$2902,Z$2,0)&lt;&gt;J1543,"Beam Revised","")</f>
        <v>#N/A</v>
      </c>
      <c r="AA1543" s="7" t="e">
        <f>IF(VLOOKUP($A1543,'Concrete Beam Schedule'!$A$2:$Q$2902,AA$2,0)&lt;&gt;K1543,"Beam Revised","")</f>
        <v>#N/A</v>
      </c>
      <c r="AB1543" s="7" t="e">
        <f>IF(VLOOKUP($A1543,'Concrete Beam Schedule'!$A$2:$Q$2902,AB$2,0)&lt;&gt;L1543,"Beam Revised","")</f>
        <v>#N/A</v>
      </c>
      <c r="AC1543" s="7" t="e">
        <f>IF(VLOOKUP($A1543,'Concrete Beam Schedule'!$A$2:$Q$2902,AC$2,0)&lt;&gt;M1543,"Beam Revised","")</f>
        <v>#N/A</v>
      </c>
      <c r="AD1543" s="7" t="e">
        <f>IF(VLOOKUP($A1543,'Concrete Beam Schedule'!$A$2:$Q$2902,AD$2,0)&lt;&gt;N1543,"Beam Revised","")</f>
        <v>#N/A</v>
      </c>
      <c r="AE1543" s="7" t="e">
        <f>IF(VLOOKUP($A1543,'Concrete Beam Schedule'!$A$2:$Q$2902,AE$2,0)&lt;&gt;O1543,"Beam Revised","")</f>
        <v>#N/A</v>
      </c>
    </row>
    <row r="1544" spans="17:31" ht="20.100000000000001" customHeight="1" x14ac:dyDescent="0.25">
      <c r="Q1544" s="7">
        <f t="shared" si="24"/>
        <v>0</v>
      </c>
      <c r="R1544" s="7" t="e">
        <f>IF(VLOOKUP($A1544,'Concrete Beam Schedule'!$A$2:$Q$2902,R$2,0)&lt;&gt;B1544,VLOOKUP($A1544,'Concrete Beam Schedule'!$A$2:$Q$2902,R$2,0),"")</f>
        <v>#N/A</v>
      </c>
      <c r="S1544" s="7" t="e">
        <f>IF(VLOOKUP($A1544,'Concrete Beam Schedule'!$A$2:$Q$2902,S$2,0)&lt;&gt;C1544,VLOOKUP($A1544,'Concrete Beam Schedule'!$A$2:$Q$2902,S$2,0),"")</f>
        <v>#N/A</v>
      </c>
      <c r="T1544" s="7" t="e">
        <f>IF(VLOOKUP($A1544,'Concrete Beam Schedule'!$A$2:$Q$2902,T$2,0)&lt;&gt;D1544,"Beam Revised","")</f>
        <v>#N/A</v>
      </c>
      <c r="U1544" s="7" t="e">
        <f>IF(VLOOKUP($A1544,'Concrete Beam Schedule'!$A$2:$Q$2902,U$2,0)&lt;&gt;E1544,"Beam Revised","")</f>
        <v>#N/A</v>
      </c>
      <c r="V1544" s="7" t="e">
        <f>IF(VLOOKUP($A1544,'Concrete Beam Schedule'!$A$2:$Q$2902,V$2,0)&lt;&gt;F1544,"Beam Revised","")</f>
        <v>#N/A</v>
      </c>
      <c r="W1544" s="7" t="e">
        <f>IF(VLOOKUP($A1544,'Concrete Beam Schedule'!$A$2:$Q$2902,W$2,0)&lt;&gt;G1544,"Beam Revised","")</f>
        <v>#N/A</v>
      </c>
      <c r="X1544" s="7" t="e">
        <f>IF(VLOOKUP($A1544,'Concrete Beam Schedule'!$A$2:$Q$2902,X$2,0)&lt;&gt;H1544,"Beam Revised","")</f>
        <v>#N/A</v>
      </c>
      <c r="Y1544" s="7" t="e">
        <f>IF(VLOOKUP($A1544,'Concrete Beam Schedule'!$A$2:$Q$2902,Y$2,0)&lt;&gt;I1544,"Beam Revised","")</f>
        <v>#N/A</v>
      </c>
      <c r="Z1544" s="7" t="e">
        <f>IF(VLOOKUP($A1544,'Concrete Beam Schedule'!$A$2:$Q$2902,Z$2,0)&lt;&gt;J1544,"Beam Revised","")</f>
        <v>#N/A</v>
      </c>
      <c r="AA1544" s="7" t="e">
        <f>IF(VLOOKUP($A1544,'Concrete Beam Schedule'!$A$2:$Q$2902,AA$2,0)&lt;&gt;K1544,"Beam Revised","")</f>
        <v>#N/A</v>
      </c>
      <c r="AB1544" s="7" t="e">
        <f>IF(VLOOKUP($A1544,'Concrete Beam Schedule'!$A$2:$Q$2902,AB$2,0)&lt;&gt;L1544,"Beam Revised","")</f>
        <v>#N/A</v>
      </c>
      <c r="AC1544" s="7" t="e">
        <f>IF(VLOOKUP($A1544,'Concrete Beam Schedule'!$A$2:$Q$2902,AC$2,0)&lt;&gt;M1544,"Beam Revised","")</f>
        <v>#N/A</v>
      </c>
      <c r="AD1544" s="7" t="e">
        <f>IF(VLOOKUP($A1544,'Concrete Beam Schedule'!$A$2:$Q$2902,AD$2,0)&lt;&gt;N1544,"Beam Revised","")</f>
        <v>#N/A</v>
      </c>
      <c r="AE1544" s="7" t="e">
        <f>IF(VLOOKUP($A1544,'Concrete Beam Schedule'!$A$2:$Q$2902,AE$2,0)&lt;&gt;O1544,"Beam Revised","")</f>
        <v>#N/A</v>
      </c>
    </row>
    <row r="1545" spans="17:31" ht="20.100000000000001" customHeight="1" x14ac:dyDescent="0.25">
      <c r="Q1545" s="7">
        <f t="shared" si="24"/>
        <v>0</v>
      </c>
      <c r="R1545" s="7" t="e">
        <f>IF(VLOOKUP($A1545,'Concrete Beam Schedule'!$A$2:$Q$2902,R$2,0)&lt;&gt;B1545,VLOOKUP($A1545,'Concrete Beam Schedule'!$A$2:$Q$2902,R$2,0),"")</f>
        <v>#N/A</v>
      </c>
      <c r="S1545" s="7" t="e">
        <f>IF(VLOOKUP($A1545,'Concrete Beam Schedule'!$A$2:$Q$2902,S$2,0)&lt;&gt;C1545,VLOOKUP($A1545,'Concrete Beam Schedule'!$A$2:$Q$2902,S$2,0),"")</f>
        <v>#N/A</v>
      </c>
      <c r="T1545" s="7" t="e">
        <f>IF(VLOOKUP($A1545,'Concrete Beam Schedule'!$A$2:$Q$2902,T$2,0)&lt;&gt;D1545,"Beam Revised","")</f>
        <v>#N/A</v>
      </c>
      <c r="U1545" s="7" t="e">
        <f>IF(VLOOKUP($A1545,'Concrete Beam Schedule'!$A$2:$Q$2902,U$2,0)&lt;&gt;E1545,"Beam Revised","")</f>
        <v>#N/A</v>
      </c>
      <c r="V1545" s="7" t="e">
        <f>IF(VLOOKUP($A1545,'Concrete Beam Schedule'!$A$2:$Q$2902,V$2,0)&lt;&gt;F1545,"Beam Revised","")</f>
        <v>#N/A</v>
      </c>
      <c r="W1545" s="7" t="e">
        <f>IF(VLOOKUP($A1545,'Concrete Beam Schedule'!$A$2:$Q$2902,W$2,0)&lt;&gt;G1545,"Beam Revised","")</f>
        <v>#N/A</v>
      </c>
      <c r="X1545" s="7" t="e">
        <f>IF(VLOOKUP($A1545,'Concrete Beam Schedule'!$A$2:$Q$2902,X$2,0)&lt;&gt;H1545,"Beam Revised","")</f>
        <v>#N/A</v>
      </c>
      <c r="Y1545" s="7" t="e">
        <f>IF(VLOOKUP($A1545,'Concrete Beam Schedule'!$A$2:$Q$2902,Y$2,0)&lt;&gt;I1545,"Beam Revised","")</f>
        <v>#N/A</v>
      </c>
      <c r="Z1545" s="7" t="e">
        <f>IF(VLOOKUP($A1545,'Concrete Beam Schedule'!$A$2:$Q$2902,Z$2,0)&lt;&gt;J1545,"Beam Revised","")</f>
        <v>#N/A</v>
      </c>
      <c r="AA1545" s="7" t="e">
        <f>IF(VLOOKUP($A1545,'Concrete Beam Schedule'!$A$2:$Q$2902,AA$2,0)&lt;&gt;K1545,"Beam Revised","")</f>
        <v>#N/A</v>
      </c>
      <c r="AB1545" s="7" t="e">
        <f>IF(VLOOKUP($A1545,'Concrete Beam Schedule'!$A$2:$Q$2902,AB$2,0)&lt;&gt;L1545,"Beam Revised","")</f>
        <v>#N/A</v>
      </c>
      <c r="AC1545" s="7" t="e">
        <f>IF(VLOOKUP($A1545,'Concrete Beam Schedule'!$A$2:$Q$2902,AC$2,0)&lt;&gt;M1545,"Beam Revised","")</f>
        <v>#N/A</v>
      </c>
      <c r="AD1545" s="7" t="e">
        <f>IF(VLOOKUP($A1545,'Concrete Beam Schedule'!$A$2:$Q$2902,AD$2,0)&lt;&gt;N1545,"Beam Revised","")</f>
        <v>#N/A</v>
      </c>
      <c r="AE1545" s="7" t="e">
        <f>IF(VLOOKUP($A1545,'Concrete Beam Schedule'!$A$2:$Q$2902,AE$2,0)&lt;&gt;O1545,"Beam Revised","")</f>
        <v>#N/A</v>
      </c>
    </row>
    <row r="1546" spans="17:31" ht="20.100000000000001" customHeight="1" x14ac:dyDescent="0.25">
      <c r="Q1546" s="7">
        <f t="shared" si="24"/>
        <v>0</v>
      </c>
      <c r="R1546" s="7" t="e">
        <f>IF(VLOOKUP($A1546,'Concrete Beam Schedule'!$A$2:$Q$2902,R$2,0)&lt;&gt;B1546,VLOOKUP($A1546,'Concrete Beam Schedule'!$A$2:$Q$2902,R$2,0),"")</f>
        <v>#N/A</v>
      </c>
      <c r="S1546" s="7" t="e">
        <f>IF(VLOOKUP($A1546,'Concrete Beam Schedule'!$A$2:$Q$2902,S$2,0)&lt;&gt;C1546,VLOOKUP($A1546,'Concrete Beam Schedule'!$A$2:$Q$2902,S$2,0),"")</f>
        <v>#N/A</v>
      </c>
      <c r="T1546" s="7" t="e">
        <f>IF(VLOOKUP($A1546,'Concrete Beam Schedule'!$A$2:$Q$2902,T$2,0)&lt;&gt;D1546,"Beam Revised","")</f>
        <v>#N/A</v>
      </c>
      <c r="U1546" s="7" t="e">
        <f>IF(VLOOKUP($A1546,'Concrete Beam Schedule'!$A$2:$Q$2902,U$2,0)&lt;&gt;E1546,"Beam Revised","")</f>
        <v>#N/A</v>
      </c>
      <c r="V1546" s="7" t="e">
        <f>IF(VLOOKUP($A1546,'Concrete Beam Schedule'!$A$2:$Q$2902,V$2,0)&lt;&gt;F1546,"Beam Revised","")</f>
        <v>#N/A</v>
      </c>
      <c r="W1546" s="7" t="e">
        <f>IF(VLOOKUP($A1546,'Concrete Beam Schedule'!$A$2:$Q$2902,W$2,0)&lt;&gt;G1546,"Beam Revised","")</f>
        <v>#N/A</v>
      </c>
      <c r="X1546" s="7" t="e">
        <f>IF(VLOOKUP($A1546,'Concrete Beam Schedule'!$A$2:$Q$2902,X$2,0)&lt;&gt;H1546,"Beam Revised","")</f>
        <v>#N/A</v>
      </c>
      <c r="Y1546" s="7" t="e">
        <f>IF(VLOOKUP($A1546,'Concrete Beam Schedule'!$A$2:$Q$2902,Y$2,0)&lt;&gt;I1546,"Beam Revised","")</f>
        <v>#N/A</v>
      </c>
      <c r="Z1546" s="7" t="e">
        <f>IF(VLOOKUP($A1546,'Concrete Beam Schedule'!$A$2:$Q$2902,Z$2,0)&lt;&gt;J1546,"Beam Revised","")</f>
        <v>#N/A</v>
      </c>
      <c r="AA1546" s="7" t="e">
        <f>IF(VLOOKUP($A1546,'Concrete Beam Schedule'!$A$2:$Q$2902,AA$2,0)&lt;&gt;K1546,"Beam Revised","")</f>
        <v>#N/A</v>
      </c>
      <c r="AB1546" s="7" t="e">
        <f>IF(VLOOKUP($A1546,'Concrete Beam Schedule'!$A$2:$Q$2902,AB$2,0)&lt;&gt;L1546,"Beam Revised","")</f>
        <v>#N/A</v>
      </c>
      <c r="AC1546" s="7" t="e">
        <f>IF(VLOOKUP($A1546,'Concrete Beam Schedule'!$A$2:$Q$2902,AC$2,0)&lt;&gt;M1546,"Beam Revised","")</f>
        <v>#N/A</v>
      </c>
      <c r="AD1546" s="7" t="e">
        <f>IF(VLOOKUP($A1546,'Concrete Beam Schedule'!$A$2:$Q$2902,AD$2,0)&lt;&gt;N1546,"Beam Revised","")</f>
        <v>#N/A</v>
      </c>
      <c r="AE1546" s="7" t="e">
        <f>IF(VLOOKUP($A1546,'Concrete Beam Schedule'!$A$2:$Q$2902,AE$2,0)&lt;&gt;O1546,"Beam Revised","")</f>
        <v>#N/A</v>
      </c>
    </row>
    <row r="1547" spans="17:31" ht="20.100000000000001" customHeight="1" x14ac:dyDescent="0.25">
      <c r="Q1547" s="7">
        <f t="shared" si="24"/>
        <v>0</v>
      </c>
      <c r="R1547" s="7" t="e">
        <f>IF(VLOOKUP($A1547,'Concrete Beam Schedule'!$A$2:$Q$2902,R$2,0)&lt;&gt;B1547,VLOOKUP($A1547,'Concrete Beam Schedule'!$A$2:$Q$2902,R$2,0),"")</f>
        <v>#N/A</v>
      </c>
      <c r="S1547" s="7" t="e">
        <f>IF(VLOOKUP($A1547,'Concrete Beam Schedule'!$A$2:$Q$2902,S$2,0)&lt;&gt;C1547,VLOOKUP($A1547,'Concrete Beam Schedule'!$A$2:$Q$2902,S$2,0),"")</f>
        <v>#N/A</v>
      </c>
      <c r="T1547" s="7" t="e">
        <f>IF(VLOOKUP($A1547,'Concrete Beam Schedule'!$A$2:$Q$2902,T$2,0)&lt;&gt;D1547,"Beam Revised","")</f>
        <v>#N/A</v>
      </c>
      <c r="U1547" s="7" t="e">
        <f>IF(VLOOKUP($A1547,'Concrete Beam Schedule'!$A$2:$Q$2902,U$2,0)&lt;&gt;E1547,"Beam Revised","")</f>
        <v>#N/A</v>
      </c>
      <c r="V1547" s="7" t="e">
        <f>IF(VLOOKUP($A1547,'Concrete Beam Schedule'!$A$2:$Q$2902,V$2,0)&lt;&gt;F1547,"Beam Revised","")</f>
        <v>#N/A</v>
      </c>
      <c r="W1547" s="7" t="e">
        <f>IF(VLOOKUP($A1547,'Concrete Beam Schedule'!$A$2:$Q$2902,W$2,0)&lt;&gt;G1547,"Beam Revised","")</f>
        <v>#N/A</v>
      </c>
      <c r="X1547" s="7" t="e">
        <f>IF(VLOOKUP($A1547,'Concrete Beam Schedule'!$A$2:$Q$2902,X$2,0)&lt;&gt;H1547,"Beam Revised","")</f>
        <v>#N/A</v>
      </c>
      <c r="Y1547" s="7" t="e">
        <f>IF(VLOOKUP($A1547,'Concrete Beam Schedule'!$A$2:$Q$2902,Y$2,0)&lt;&gt;I1547,"Beam Revised","")</f>
        <v>#N/A</v>
      </c>
      <c r="Z1547" s="7" t="e">
        <f>IF(VLOOKUP($A1547,'Concrete Beam Schedule'!$A$2:$Q$2902,Z$2,0)&lt;&gt;J1547,"Beam Revised","")</f>
        <v>#N/A</v>
      </c>
      <c r="AA1547" s="7" t="e">
        <f>IF(VLOOKUP($A1547,'Concrete Beam Schedule'!$A$2:$Q$2902,AA$2,0)&lt;&gt;K1547,"Beam Revised","")</f>
        <v>#N/A</v>
      </c>
      <c r="AB1547" s="7" t="e">
        <f>IF(VLOOKUP($A1547,'Concrete Beam Schedule'!$A$2:$Q$2902,AB$2,0)&lt;&gt;L1547,"Beam Revised","")</f>
        <v>#N/A</v>
      </c>
      <c r="AC1547" s="7" t="e">
        <f>IF(VLOOKUP($A1547,'Concrete Beam Schedule'!$A$2:$Q$2902,AC$2,0)&lt;&gt;M1547,"Beam Revised","")</f>
        <v>#N/A</v>
      </c>
      <c r="AD1547" s="7" t="e">
        <f>IF(VLOOKUP($A1547,'Concrete Beam Schedule'!$A$2:$Q$2902,AD$2,0)&lt;&gt;N1547,"Beam Revised","")</f>
        <v>#N/A</v>
      </c>
      <c r="AE1547" s="7" t="e">
        <f>IF(VLOOKUP($A1547,'Concrete Beam Schedule'!$A$2:$Q$2902,AE$2,0)&lt;&gt;O1547,"Beam Revised","")</f>
        <v>#N/A</v>
      </c>
    </row>
    <row r="1548" spans="17:31" ht="20.100000000000001" customHeight="1" x14ac:dyDescent="0.25">
      <c r="Q1548" s="7">
        <f t="shared" si="24"/>
        <v>0</v>
      </c>
      <c r="R1548" s="7" t="e">
        <f>IF(VLOOKUP($A1548,'Concrete Beam Schedule'!$A$2:$Q$2902,R$2,0)&lt;&gt;B1548,VLOOKUP($A1548,'Concrete Beam Schedule'!$A$2:$Q$2902,R$2,0),"")</f>
        <v>#N/A</v>
      </c>
      <c r="S1548" s="7" t="e">
        <f>IF(VLOOKUP($A1548,'Concrete Beam Schedule'!$A$2:$Q$2902,S$2,0)&lt;&gt;C1548,VLOOKUP($A1548,'Concrete Beam Schedule'!$A$2:$Q$2902,S$2,0),"")</f>
        <v>#N/A</v>
      </c>
      <c r="T1548" s="7" t="e">
        <f>IF(VLOOKUP($A1548,'Concrete Beam Schedule'!$A$2:$Q$2902,T$2,0)&lt;&gt;D1548,"Beam Revised","")</f>
        <v>#N/A</v>
      </c>
      <c r="U1548" s="7" t="e">
        <f>IF(VLOOKUP($A1548,'Concrete Beam Schedule'!$A$2:$Q$2902,U$2,0)&lt;&gt;E1548,"Beam Revised","")</f>
        <v>#N/A</v>
      </c>
      <c r="V1548" s="7" t="e">
        <f>IF(VLOOKUP($A1548,'Concrete Beam Schedule'!$A$2:$Q$2902,V$2,0)&lt;&gt;F1548,"Beam Revised","")</f>
        <v>#N/A</v>
      </c>
      <c r="W1548" s="7" t="e">
        <f>IF(VLOOKUP($A1548,'Concrete Beam Schedule'!$A$2:$Q$2902,W$2,0)&lt;&gt;G1548,"Beam Revised","")</f>
        <v>#N/A</v>
      </c>
      <c r="X1548" s="7" t="e">
        <f>IF(VLOOKUP($A1548,'Concrete Beam Schedule'!$A$2:$Q$2902,X$2,0)&lt;&gt;H1548,"Beam Revised","")</f>
        <v>#N/A</v>
      </c>
      <c r="Y1548" s="7" t="e">
        <f>IF(VLOOKUP($A1548,'Concrete Beam Schedule'!$A$2:$Q$2902,Y$2,0)&lt;&gt;I1548,"Beam Revised","")</f>
        <v>#N/A</v>
      </c>
      <c r="Z1548" s="7" t="e">
        <f>IF(VLOOKUP($A1548,'Concrete Beam Schedule'!$A$2:$Q$2902,Z$2,0)&lt;&gt;J1548,"Beam Revised","")</f>
        <v>#N/A</v>
      </c>
      <c r="AA1548" s="7" t="e">
        <f>IF(VLOOKUP($A1548,'Concrete Beam Schedule'!$A$2:$Q$2902,AA$2,0)&lt;&gt;K1548,"Beam Revised","")</f>
        <v>#N/A</v>
      </c>
      <c r="AB1548" s="7" t="e">
        <f>IF(VLOOKUP($A1548,'Concrete Beam Schedule'!$A$2:$Q$2902,AB$2,0)&lt;&gt;L1548,"Beam Revised","")</f>
        <v>#N/A</v>
      </c>
      <c r="AC1548" s="7" t="e">
        <f>IF(VLOOKUP($A1548,'Concrete Beam Schedule'!$A$2:$Q$2902,AC$2,0)&lt;&gt;M1548,"Beam Revised","")</f>
        <v>#N/A</v>
      </c>
      <c r="AD1548" s="7" t="e">
        <f>IF(VLOOKUP($A1548,'Concrete Beam Schedule'!$A$2:$Q$2902,AD$2,0)&lt;&gt;N1548,"Beam Revised","")</f>
        <v>#N/A</v>
      </c>
      <c r="AE1548" s="7" t="e">
        <f>IF(VLOOKUP($A1548,'Concrete Beam Schedule'!$A$2:$Q$2902,AE$2,0)&lt;&gt;O1548,"Beam Revised","")</f>
        <v>#N/A</v>
      </c>
    </row>
    <row r="1549" spans="17:31" ht="20.100000000000001" customHeight="1" x14ac:dyDescent="0.25">
      <c r="Q1549" s="7">
        <f t="shared" si="24"/>
        <v>0</v>
      </c>
      <c r="R1549" s="7" t="e">
        <f>IF(VLOOKUP($A1549,'Concrete Beam Schedule'!$A$2:$Q$2902,R$2,0)&lt;&gt;B1549,VLOOKUP($A1549,'Concrete Beam Schedule'!$A$2:$Q$2902,R$2,0),"")</f>
        <v>#N/A</v>
      </c>
      <c r="S1549" s="7" t="e">
        <f>IF(VLOOKUP($A1549,'Concrete Beam Schedule'!$A$2:$Q$2902,S$2,0)&lt;&gt;C1549,VLOOKUP($A1549,'Concrete Beam Schedule'!$A$2:$Q$2902,S$2,0),"")</f>
        <v>#N/A</v>
      </c>
      <c r="T1549" s="7" t="e">
        <f>IF(VLOOKUP($A1549,'Concrete Beam Schedule'!$A$2:$Q$2902,T$2,0)&lt;&gt;D1549,"Beam Revised","")</f>
        <v>#N/A</v>
      </c>
      <c r="U1549" s="7" t="e">
        <f>IF(VLOOKUP($A1549,'Concrete Beam Schedule'!$A$2:$Q$2902,U$2,0)&lt;&gt;E1549,"Beam Revised","")</f>
        <v>#N/A</v>
      </c>
      <c r="V1549" s="7" t="e">
        <f>IF(VLOOKUP($A1549,'Concrete Beam Schedule'!$A$2:$Q$2902,V$2,0)&lt;&gt;F1549,"Beam Revised","")</f>
        <v>#N/A</v>
      </c>
      <c r="W1549" s="7" t="e">
        <f>IF(VLOOKUP($A1549,'Concrete Beam Schedule'!$A$2:$Q$2902,W$2,0)&lt;&gt;G1549,"Beam Revised","")</f>
        <v>#N/A</v>
      </c>
      <c r="X1549" s="7" t="e">
        <f>IF(VLOOKUP($A1549,'Concrete Beam Schedule'!$A$2:$Q$2902,X$2,0)&lt;&gt;H1549,"Beam Revised","")</f>
        <v>#N/A</v>
      </c>
      <c r="Y1549" s="7" t="e">
        <f>IF(VLOOKUP($A1549,'Concrete Beam Schedule'!$A$2:$Q$2902,Y$2,0)&lt;&gt;I1549,"Beam Revised","")</f>
        <v>#N/A</v>
      </c>
      <c r="Z1549" s="7" t="e">
        <f>IF(VLOOKUP($A1549,'Concrete Beam Schedule'!$A$2:$Q$2902,Z$2,0)&lt;&gt;J1549,"Beam Revised","")</f>
        <v>#N/A</v>
      </c>
      <c r="AA1549" s="7" t="e">
        <f>IF(VLOOKUP($A1549,'Concrete Beam Schedule'!$A$2:$Q$2902,AA$2,0)&lt;&gt;K1549,"Beam Revised","")</f>
        <v>#N/A</v>
      </c>
      <c r="AB1549" s="7" t="e">
        <f>IF(VLOOKUP($A1549,'Concrete Beam Schedule'!$A$2:$Q$2902,AB$2,0)&lt;&gt;L1549,"Beam Revised","")</f>
        <v>#N/A</v>
      </c>
      <c r="AC1549" s="7" t="e">
        <f>IF(VLOOKUP($A1549,'Concrete Beam Schedule'!$A$2:$Q$2902,AC$2,0)&lt;&gt;M1549,"Beam Revised","")</f>
        <v>#N/A</v>
      </c>
      <c r="AD1549" s="7" t="e">
        <f>IF(VLOOKUP($A1549,'Concrete Beam Schedule'!$A$2:$Q$2902,AD$2,0)&lt;&gt;N1549,"Beam Revised","")</f>
        <v>#N/A</v>
      </c>
      <c r="AE1549" s="7" t="e">
        <f>IF(VLOOKUP($A1549,'Concrete Beam Schedule'!$A$2:$Q$2902,AE$2,0)&lt;&gt;O1549,"Beam Revised","")</f>
        <v>#N/A</v>
      </c>
    </row>
    <row r="1550" spans="17:31" ht="20.100000000000001" customHeight="1" x14ac:dyDescent="0.25">
      <c r="Q1550" s="7">
        <f t="shared" si="24"/>
        <v>0</v>
      </c>
      <c r="R1550" s="7" t="e">
        <f>IF(VLOOKUP($A1550,'Concrete Beam Schedule'!$A$2:$Q$2902,R$2,0)&lt;&gt;B1550,VLOOKUP($A1550,'Concrete Beam Schedule'!$A$2:$Q$2902,R$2,0),"")</f>
        <v>#N/A</v>
      </c>
      <c r="S1550" s="7" t="e">
        <f>IF(VLOOKUP($A1550,'Concrete Beam Schedule'!$A$2:$Q$2902,S$2,0)&lt;&gt;C1550,VLOOKUP($A1550,'Concrete Beam Schedule'!$A$2:$Q$2902,S$2,0),"")</f>
        <v>#N/A</v>
      </c>
      <c r="T1550" s="7" t="e">
        <f>IF(VLOOKUP($A1550,'Concrete Beam Schedule'!$A$2:$Q$2902,T$2,0)&lt;&gt;D1550,"Beam Revised","")</f>
        <v>#N/A</v>
      </c>
      <c r="U1550" s="7" t="e">
        <f>IF(VLOOKUP($A1550,'Concrete Beam Schedule'!$A$2:$Q$2902,U$2,0)&lt;&gt;E1550,"Beam Revised","")</f>
        <v>#N/A</v>
      </c>
      <c r="V1550" s="7" t="e">
        <f>IF(VLOOKUP($A1550,'Concrete Beam Schedule'!$A$2:$Q$2902,V$2,0)&lt;&gt;F1550,"Beam Revised","")</f>
        <v>#N/A</v>
      </c>
      <c r="W1550" s="7" t="e">
        <f>IF(VLOOKUP($A1550,'Concrete Beam Schedule'!$A$2:$Q$2902,W$2,0)&lt;&gt;G1550,"Beam Revised","")</f>
        <v>#N/A</v>
      </c>
      <c r="X1550" s="7" t="e">
        <f>IF(VLOOKUP($A1550,'Concrete Beam Schedule'!$A$2:$Q$2902,X$2,0)&lt;&gt;H1550,"Beam Revised","")</f>
        <v>#N/A</v>
      </c>
      <c r="Y1550" s="7" t="e">
        <f>IF(VLOOKUP($A1550,'Concrete Beam Schedule'!$A$2:$Q$2902,Y$2,0)&lt;&gt;I1550,"Beam Revised","")</f>
        <v>#N/A</v>
      </c>
      <c r="Z1550" s="7" t="e">
        <f>IF(VLOOKUP($A1550,'Concrete Beam Schedule'!$A$2:$Q$2902,Z$2,0)&lt;&gt;J1550,"Beam Revised","")</f>
        <v>#N/A</v>
      </c>
      <c r="AA1550" s="7" t="e">
        <f>IF(VLOOKUP($A1550,'Concrete Beam Schedule'!$A$2:$Q$2902,AA$2,0)&lt;&gt;K1550,"Beam Revised","")</f>
        <v>#N/A</v>
      </c>
      <c r="AB1550" s="7" t="e">
        <f>IF(VLOOKUP($A1550,'Concrete Beam Schedule'!$A$2:$Q$2902,AB$2,0)&lt;&gt;L1550,"Beam Revised","")</f>
        <v>#N/A</v>
      </c>
      <c r="AC1550" s="7" t="e">
        <f>IF(VLOOKUP($A1550,'Concrete Beam Schedule'!$A$2:$Q$2902,AC$2,0)&lt;&gt;M1550,"Beam Revised","")</f>
        <v>#N/A</v>
      </c>
      <c r="AD1550" s="7" t="e">
        <f>IF(VLOOKUP($A1550,'Concrete Beam Schedule'!$A$2:$Q$2902,AD$2,0)&lt;&gt;N1550,"Beam Revised","")</f>
        <v>#N/A</v>
      </c>
      <c r="AE1550" s="7" t="e">
        <f>IF(VLOOKUP($A1550,'Concrete Beam Schedule'!$A$2:$Q$2902,AE$2,0)&lt;&gt;O1550,"Beam Revised","")</f>
        <v>#N/A</v>
      </c>
    </row>
    <row r="1551" spans="17:31" ht="20.100000000000001" customHeight="1" x14ac:dyDescent="0.25">
      <c r="Q1551" s="7">
        <f t="shared" si="24"/>
        <v>0</v>
      </c>
      <c r="R1551" s="7" t="e">
        <f>IF(VLOOKUP($A1551,'Concrete Beam Schedule'!$A$2:$Q$2902,R$2,0)&lt;&gt;B1551,VLOOKUP($A1551,'Concrete Beam Schedule'!$A$2:$Q$2902,R$2,0),"")</f>
        <v>#N/A</v>
      </c>
      <c r="S1551" s="7" t="e">
        <f>IF(VLOOKUP($A1551,'Concrete Beam Schedule'!$A$2:$Q$2902,S$2,0)&lt;&gt;C1551,VLOOKUP($A1551,'Concrete Beam Schedule'!$A$2:$Q$2902,S$2,0),"")</f>
        <v>#N/A</v>
      </c>
      <c r="T1551" s="7" t="e">
        <f>IF(VLOOKUP($A1551,'Concrete Beam Schedule'!$A$2:$Q$2902,T$2,0)&lt;&gt;D1551,"Beam Revised","")</f>
        <v>#N/A</v>
      </c>
      <c r="U1551" s="7" t="e">
        <f>IF(VLOOKUP($A1551,'Concrete Beam Schedule'!$A$2:$Q$2902,U$2,0)&lt;&gt;E1551,"Beam Revised","")</f>
        <v>#N/A</v>
      </c>
      <c r="V1551" s="7" t="e">
        <f>IF(VLOOKUP($A1551,'Concrete Beam Schedule'!$A$2:$Q$2902,V$2,0)&lt;&gt;F1551,"Beam Revised","")</f>
        <v>#N/A</v>
      </c>
      <c r="W1551" s="7" t="e">
        <f>IF(VLOOKUP($A1551,'Concrete Beam Schedule'!$A$2:$Q$2902,W$2,0)&lt;&gt;G1551,"Beam Revised","")</f>
        <v>#N/A</v>
      </c>
      <c r="X1551" s="7" t="e">
        <f>IF(VLOOKUP($A1551,'Concrete Beam Schedule'!$A$2:$Q$2902,X$2,0)&lt;&gt;H1551,"Beam Revised","")</f>
        <v>#N/A</v>
      </c>
      <c r="Y1551" s="7" t="e">
        <f>IF(VLOOKUP($A1551,'Concrete Beam Schedule'!$A$2:$Q$2902,Y$2,0)&lt;&gt;I1551,"Beam Revised","")</f>
        <v>#N/A</v>
      </c>
      <c r="Z1551" s="7" t="e">
        <f>IF(VLOOKUP($A1551,'Concrete Beam Schedule'!$A$2:$Q$2902,Z$2,0)&lt;&gt;J1551,"Beam Revised","")</f>
        <v>#N/A</v>
      </c>
      <c r="AA1551" s="7" t="e">
        <f>IF(VLOOKUP($A1551,'Concrete Beam Schedule'!$A$2:$Q$2902,AA$2,0)&lt;&gt;K1551,"Beam Revised","")</f>
        <v>#N/A</v>
      </c>
      <c r="AB1551" s="7" t="e">
        <f>IF(VLOOKUP($A1551,'Concrete Beam Schedule'!$A$2:$Q$2902,AB$2,0)&lt;&gt;L1551,"Beam Revised","")</f>
        <v>#N/A</v>
      </c>
      <c r="AC1551" s="7" t="e">
        <f>IF(VLOOKUP($A1551,'Concrete Beam Schedule'!$A$2:$Q$2902,AC$2,0)&lt;&gt;M1551,"Beam Revised","")</f>
        <v>#N/A</v>
      </c>
      <c r="AD1551" s="7" t="e">
        <f>IF(VLOOKUP($A1551,'Concrete Beam Schedule'!$A$2:$Q$2902,AD$2,0)&lt;&gt;N1551,"Beam Revised","")</f>
        <v>#N/A</v>
      </c>
      <c r="AE1551" s="7" t="e">
        <f>IF(VLOOKUP($A1551,'Concrete Beam Schedule'!$A$2:$Q$2902,AE$2,0)&lt;&gt;O1551,"Beam Revised","")</f>
        <v>#N/A</v>
      </c>
    </row>
    <row r="1552" spans="17:31" ht="20.100000000000001" customHeight="1" x14ac:dyDescent="0.25">
      <c r="Q1552" s="7">
        <f t="shared" si="24"/>
        <v>0</v>
      </c>
      <c r="R1552" s="7" t="e">
        <f>IF(VLOOKUP($A1552,'Concrete Beam Schedule'!$A$2:$Q$2902,R$2,0)&lt;&gt;B1552,VLOOKUP($A1552,'Concrete Beam Schedule'!$A$2:$Q$2902,R$2,0),"")</f>
        <v>#N/A</v>
      </c>
      <c r="S1552" s="7" t="e">
        <f>IF(VLOOKUP($A1552,'Concrete Beam Schedule'!$A$2:$Q$2902,S$2,0)&lt;&gt;C1552,VLOOKUP($A1552,'Concrete Beam Schedule'!$A$2:$Q$2902,S$2,0),"")</f>
        <v>#N/A</v>
      </c>
      <c r="T1552" s="7" t="e">
        <f>IF(VLOOKUP($A1552,'Concrete Beam Schedule'!$A$2:$Q$2902,T$2,0)&lt;&gt;D1552,"Beam Revised","")</f>
        <v>#N/A</v>
      </c>
      <c r="U1552" s="7" t="e">
        <f>IF(VLOOKUP($A1552,'Concrete Beam Schedule'!$A$2:$Q$2902,U$2,0)&lt;&gt;E1552,"Beam Revised","")</f>
        <v>#N/A</v>
      </c>
      <c r="V1552" s="7" t="e">
        <f>IF(VLOOKUP($A1552,'Concrete Beam Schedule'!$A$2:$Q$2902,V$2,0)&lt;&gt;F1552,"Beam Revised","")</f>
        <v>#N/A</v>
      </c>
      <c r="W1552" s="7" t="e">
        <f>IF(VLOOKUP($A1552,'Concrete Beam Schedule'!$A$2:$Q$2902,W$2,0)&lt;&gt;G1552,"Beam Revised","")</f>
        <v>#N/A</v>
      </c>
      <c r="X1552" s="7" t="e">
        <f>IF(VLOOKUP($A1552,'Concrete Beam Schedule'!$A$2:$Q$2902,X$2,0)&lt;&gt;H1552,"Beam Revised","")</f>
        <v>#N/A</v>
      </c>
      <c r="Y1552" s="7" t="e">
        <f>IF(VLOOKUP($A1552,'Concrete Beam Schedule'!$A$2:$Q$2902,Y$2,0)&lt;&gt;I1552,"Beam Revised","")</f>
        <v>#N/A</v>
      </c>
      <c r="Z1552" s="7" t="e">
        <f>IF(VLOOKUP($A1552,'Concrete Beam Schedule'!$A$2:$Q$2902,Z$2,0)&lt;&gt;J1552,"Beam Revised","")</f>
        <v>#N/A</v>
      </c>
      <c r="AA1552" s="7" t="e">
        <f>IF(VLOOKUP($A1552,'Concrete Beam Schedule'!$A$2:$Q$2902,AA$2,0)&lt;&gt;K1552,"Beam Revised","")</f>
        <v>#N/A</v>
      </c>
      <c r="AB1552" s="7" t="e">
        <f>IF(VLOOKUP($A1552,'Concrete Beam Schedule'!$A$2:$Q$2902,AB$2,0)&lt;&gt;L1552,"Beam Revised","")</f>
        <v>#N/A</v>
      </c>
      <c r="AC1552" s="7" t="e">
        <f>IF(VLOOKUP($A1552,'Concrete Beam Schedule'!$A$2:$Q$2902,AC$2,0)&lt;&gt;M1552,"Beam Revised","")</f>
        <v>#N/A</v>
      </c>
      <c r="AD1552" s="7" t="e">
        <f>IF(VLOOKUP($A1552,'Concrete Beam Schedule'!$A$2:$Q$2902,AD$2,0)&lt;&gt;N1552,"Beam Revised","")</f>
        <v>#N/A</v>
      </c>
      <c r="AE1552" s="7" t="e">
        <f>IF(VLOOKUP($A1552,'Concrete Beam Schedule'!$A$2:$Q$2902,AE$2,0)&lt;&gt;O1552,"Beam Revised","")</f>
        <v>#N/A</v>
      </c>
    </row>
    <row r="1553" spans="17:31" ht="20.100000000000001" customHeight="1" x14ac:dyDescent="0.25">
      <c r="Q1553" s="7">
        <f t="shared" si="24"/>
        <v>0</v>
      </c>
      <c r="R1553" s="7" t="e">
        <f>IF(VLOOKUP($A1553,'Concrete Beam Schedule'!$A$2:$Q$2902,R$2,0)&lt;&gt;B1553,VLOOKUP($A1553,'Concrete Beam Schedule'!$A$2:$Q$2902,R$2,0),"")</f>
        <v>#N/A</v>
      </c>
      <c r="S1553" s="7" t="e">
        <f>IF(VLOOKUP($A1553,'Concrete Beam Schedule'!$A$2:$Q$2902,S$2,0)&lt;&gt;C1553,VLOOKUP($A1553,'Concrete Beam Schedule'!$A$2:$Q$2902,S$2,0),"")</f>
        <v>#N/A</v>
      </c>
      <c r="T1553" s="7" t="e">
        <f>IF(VLOOKUP($A1553,'Concrete Beam Schedule'!$A$2:$Q$2902,T$2,0)&lt;&gt;D1553,"Beam Revised","")</f>
        <v>#N/A</v>
      </c>
      <c r="U1553" s="7" t="e">
        <f>IF(VLOOKUP($A1553,'Concrete Beam Schedule'!$A$2:$Q$2902,U$2,0)&lt;&gt;E1553,"Beam Revised","")</f>
        <v>#N/A</v>
      </c>
      <c r="V1553" s="7" t="e">
        <f>IF(VLOOKUP($A1553,'Concrete Beam Schedule'!$A$2:$Q$2902,V$2,0)&lt;&gt;F1553,"Beam Revised","")</f>
        <v>#N/A</v>
      </c>
      <c r="W1553" s="7" t="e">
        <f>IF(VLOOKUP($A1553,'Concrete Beam Schedule'!$A$2:$Q$2902,W$2,0)&lt;&gt;G1553,"Beam Revised","")</f>
        <v>#N/A</v>
      </c>
      <c r="X1553" s="7" t="e">
        <f>IF(VLOOKUP($A1553,'Concrete Beam Schedule'!$A$2:$Q$2902,X$2,0)&lt;&gt;H1553,"Beam Revised","")</f>
        <v>#N/A</v>
      </c>
      <c r="Y1553" s="7" t="e">
        <f>IF(VLOOKUP($A1553,'Concrete Beam Schedule'!$A$2:$Q$2902,Y$2,0)&lt;&gt;I1553,"Beam Revised","")</f>
        <v>#N/A</v>
      </c>
      <c r="Z1553" s="7" t="e">
        <f>IF(VLOOKUP($A1553,'Concrete Beam Schedule'!$A$2:$Q$2902,Z$2,0)&lt;&gt;J1553,"Beam Revised","")</f>
        <v>#N/A</v>
      </c>
      <c r="AA1553" s="7" t="e">
        <f>IF(VLOOKUP($A1553,'Concrete Beam Schedule'!$A$2:$Q$2902,AA$2,0)&lt;&gt;K1553,"Beam Revised","")</f>
        <v>#N/A</v>
      </c>
      <c r="AB1553" s="7" t="e">
        <f>IF(VLOOKUP($A1553,'Concrete Beam Schedule'!$A$2:$Q$2902,AB$2,0)&lt;&gt;L1553,"Beam Revised","")</f>
        <v>#N/A</v>
      </c>
      <c r="AC1553" s="7" t="e">
        <f>IF(VLOOKUP($A1553,'Concrete Beam Schedule'!$A$2:$Q$2902,AC$2,0)&lt;&gt;M1553,"Beam Revised","")</f>
        <v>#N/A</v>
      </c>
      <c r="AD1553" s="7" t="e">
        <f>IF(VLOOKUP($A1553,'Concrete Beam Schedule'!$A$2:$Q$2902,AD$2,0)&lt;&gt;N1553,"Beam Revised","")</f>
        <v>#N/A</v>
      </c>
      <c r="AE1553" s="7" t="e">
        <f>IF(VLOOKUP($A1553,'Concrete Beam Schedule'!$A$2:$Q$2902,AE$2,0)&lt;&gt;O1553,"Beam Revised","")</f>
        <v>#N/A</v>
      </c>
    </row>
    <row r="1554" spans="17:31" ht="20.100000000000001" customHeight="1" x14ac:dyDescent="0.25">
      <c r="Q1554" s="7">
        <f t="shared" si="24"/>
        <v>0</v>
      </c>
      <c r="R1554" s="7" t="e">
        <f>IF(VLOOKUP($A1554,'Concrete Beam Schedule'!$A$2:$Q$2902,R$2,0)&lt;&gt;B1554,VLOOKUP($A1554,'Concrete Beam Schedule'!$A$2:$Q$2902,R$2,0),"")</f>
        <v>#N/A</v>
      </c>
      <c r="S1554" s="7" t="e">
        <f>IF(VLOOKUP($A1554,'Concrete Beam Schedule'!$A$2:$Q$2902,S$2,0)&lt;&gt;C1554,VLOOKUP($A1554,'Concrete Beam Schedule'!$A$2:$Q$2902,S$2,0),"")</f>
        <v>#N/A</v>
      </c>
      <c r="T1554" s="7" t="e">
        <f>IF(VLOOKUP($A1554,'Concrete Beam Schedule'!$A$2:$Q$2902,T$2,0)&lt;&gt;D1554,"Beam Revised","")</f>
        <v>#N/A</v>
      </c>
      <c r="U1554" s="7" t="e">
        <f>IF(VLOOKUP($A1554,'Concrete Beam Schedule'!$A$2:$Q$2902,U$2,0)&lt;&gt;E1554,"Beam Revised","")</f>
        <v>#N/A</v>
      </c>
      <c r="V1554" s="7" t="e">
        <f>IF(VLOOKUP($A1554,'Concrete Beam Schedule'!$A$2:$Q$2902,V$2,0)&lt;&gt;F1554,"Beam Revised","")</f>
        <v>#N/A</v>
      </c>
      <c r="W1554" s="7" t="e">
        <f>IF(VLOOKUP($A1554,'Concrete Beam Schedule'!$A$2:$Q$2902,W$2,0)&lt;&gt;G1554,"Beam Revised","")</f>
        <v>#N/A</v>
      </c>
      <c r="X1554" s="7" t="e">
        <f>IF(VLOOKUP($A1554,'Concrete Beam Schedule'!$A$2:$Q$2902,X$2,0)&lt;&gt;H1554,"Beam Revised","")</f>
        <v>#N/A</v>
      </c>
      <c r="Y1554" s="7" t="e">
        <f>IF(VLOOKUP($A1554,'Concrete Beam Schedule'!$A$2:$Q$2902,Y$2,0)&lt;&gt;I1554,"Beam Revised","")</f>
        <v>#N/A</v>
      </c>
      <c r="Z1554" s="7" t="e">
        <f>IF(VLOOKUP($A1554,'Concrete Beam Schedule'!$A$2:$Q$2902,Z$2,0)&lt;&gt;J1554,"Beam Revised","")</f>
        <v>#N/A</v>
      </c>
      <c r="AA1554" s="7" t="e">
        <f>IF(VLOOKUP($A1554,'Concrete Beam Schedule'!$A$2:$Q$2902,AA$2,0)&lt;&gt;K1554,"Beam Revised","")</f>
        <v>#N/A</v>
      </c>
      <c r="AB1554" s="7" t="e">
        <f>IF(VLOOKUP($A1554,'Concrete Beam Schedule'!$A$2:$Q$2902,AB$2,0)&lt;&gt;L1554,"Beam Revised","")</f>
        <v>#N/A</v>
      </c>
      <c r="AC1554" s="7" t="e">
        <f>IF(VLOOKUP($A1554,'Concrete Beam Schedule'!$A$2:$Q$2902,AC$2,0)&lt;&gt;M1554,"Beam Revised","")</f>
        <v>#N/A</v>
      </c>
      <c r="AD1554" s="7" t="e">
        <f>IF(VLOOKUP($A1554,'Concrete Beam Schedule'!$A$2:$Q$2902,AD$2,0)&lt;&gt;N1554,"Beam Revised","")</f>
        <v>#N/A</v>
      </c>
      <c r="AE1554" s="7" t="e">
        <f>IF(VLOOKUP($A1554,'Concrete Beam Schedule'!$A$2:$Q$2902,AE$2,0)&lt;&gt;O1554,"Beam Revised","")</f>
        <v>#N/A</v>
      </c>
    </row>
    <row r="1555" spans="17:31" ht="20.100000000000001" customHeight="1" x14ac:dyDescent="0.25">
      <c r="Q1555" s="7">
        <f t="shared" si="24"/>
        <v>0</v>
      </c>
      <c r="R1555" s="7" t="e">
        <f>IF(VLOOKUP($A1555,'Concrete Beam Schedule'!$A$2:$Q$2902,R$2,0)&lt;&gt;B1555,VLOOKUP($A1555,'Concrete Beam Schedule'!$A$2:$Q$2902,R$2,0),"")</f>
        <v>#N/A</v>
      </c>
      <c r="S1555" s="7" t="e">
        <f>IF(VLOOKUP($A1555,'Concrete Beam Schedule'!$A$2:$Q$2902,S$2,0)&lt;&gt;C1555,VLOOKUP($A1555,'Concrete Beam Schedule'!$A$2:$Q$2902,S$2,0),"")</f>
        <v>#N/A</v>
      </c>
      <c r="T1555" s="7" t="e">
        <f>IF(VLOOKUP($A1555,'Concrete Beam Schedule'!$A$2:$Q$2902,T$2,0)&lt;&gt;D1555,"Beam Revised","")</f>
        <v>#N/A</v>
      </c>
      <c r="U1555" s="7" t="e">
        <f>IF(VLOOKUP($A1555,'Concrete Beam Schedule'!$A$2:$Q$2902,U$2,0)&lt;&gt;E1555,"Beam Revised","")</f>
        <v>#N/A</v>
      </c>
      <c r="V1555" s="7" t="e">
        <f>IF(VLOOKUP($A1555,'Concrete Beam Schedule'!$A$2:$Q$2902,V$2,0)&lt;&gt;F1555,"Beam Revised","")</f>
        <v>#N/A</v>
      </c>
      <c r="W1555" s="7" t="e">
        <f>IF(VLOOKUP($A1555,'Concrete Beam Schedule'!$A$2:$Q$2902,W$2,0)&lt;&gt;G1555,"Beam Revised","")</f>
        <v>#N/A</v>
      </c>
      <c r="X1555" s="7" t="e">
        <f>IF(VLOOKUP($A1555,'Concrete Beam Schedule'!$A$2:$Q$2902,X$2,0)&lt;&gt;H1555,"Beam Revised","")</f>
        <v>#N/A</v>
      </c>
      <c r="Y1555" s="7" t="e">
        <f>IF(VLOOKUP($A1555,'Concrete Beam Schedule'!$A$2:$Q$2902,Y$2,0)&lt;&gt;I1555,"Beam Revised","")</f>
        <v>#N/A</v>
      </c>
      <c r="Z1555" s="7" t="e">
        <f>IF(VLOOKUP($A1555,'Concrete Beam Schedule'!$A$2:$Q$2902,Z$2,0)&lt;&gt;J1555,"Beam Revised","")</f>
        <v>#N/A</v>
      </c>
      <c r="AA1555" s="7" t="e">
        <f>IF(VLOOKUP($A1555,'Concrete Beam Schedule'!$A$2:$Q$2902,AA$2,0)&lt;&gt;K1555,"Beam Revised","")</f>
        <v>#N/A</v>
      </c>
      <c r="AB1555" s="7" t="e">
        <f>IF(VLOOKUP($A1555,'Concrete Beam Schedule'!$A$2:$Q$2902,AB$2,0)&lt;&gt;L1555,"Beam Revised","")</f>
        <v>#N/A</v>
      </c>
      <c r="AC1555" s="7" t="e">
        <f>IF(VLOOKUP($A1555,'Concrete Beam Schedule'!$A$2:$Q$2902,AC$2,0)&lt;&gt;M1555,"Beam Revised","")</f>
        <v>#N/A</v>
      </c>
      <c r="AD1555" s="7" t="e">
        <f>IF(VLOOKUP($A1555,'Concrete Beam Schedule'!$A$2:$Q$2902,AD$2,0)&lt;&gt;N1555,"Beam Revised","")</f>
        <v>#N/A</v>
      </c>
      <c r="AE1555" s="7" t="e">
        <f>IF(VLOOKUP($A1555,'Concrete Beam Schedule'!$A$2:$Q$2902,AE$2,0)&lt;&gt;O1555,"Beam Revised","")</f>
        <v>#N/A</v>
      </c>
    </row>
    <row r="1556" spans="17:31" ht="20.100000000000001" customHeight="1" x14ac:dyDescent="0.25">
      <c r="Q1556" s="7">
        <f t="shared" si="24"/>
        <v>0</v>
      </c>
      <c r="R1556" s="7" t="e">
        <f>IF(VLOOKUP($A1556,'Concrete Beam Schedule'!$A$2:$Q$2902,R$2,0)&lt;&gt;B1556,VLOOKUP($A1556,'Concrete Beam Schedule'!$A$2:$Q$2902,R$2,0),"")</f>
        <v>#N/A</v>
      </c>
      <c r="S1556" s="7" t="e">
        <f>IF(VLOOKUP($A1556,'Concrete Beam Schedule'!$A$2:$Q$2902,S$2,0)&lt;&gt;C1556,VLOOKUP($A1556,'Concrete Beam Schedule'!$A$2:$Q$2902,S$2,0),"")</f>
        <v>#N/A</v>
      </c>
      <c r="T1556" s="7" t="e">
        <f>IF(VLOOKUP($A1556,'Concrete Beam Schedule'!$A$2:$Q$2902,T$2,0)&lt;&gt;D1556,"Beam Revised","")</f>
        <v>#N/A</v>
      </c>
      <c r="U1556" s="7" t="e">
        <f>IF(VLOOKUP($A1556,'Concrete Beam Schedule'!$A$2:$Q$2902,U$2,0)&lt;&gt;E1556,"Beam Revised","")</f>
        <v>#N/A</v>
      </c>
      <c r="V1556" s="7" t="e">
        <f>IF(VLOOKUP($A1556,'Concrete Beam Schedule'!$A$2:$Q$2902,V$2,0)&lt;&gt;F1556,"Beam Revised","")</f>
        <v>#N/A</v>
      </c>
      <c r="W1556" s="7" t="e">
        <f>IF(VLOOKUP($A1556,'Concrete Beam Schedule'!$A$2:$Q$2902,W$2,0)&lt;&gt;G1556,"Beam Revised","")</f>
        <v>#N/A</v>
      </c>
      <c r="X1556" s="7" t="e">
        <f>IF(VLOOKUP($A1556,'Concrete Beam Schedule'!$A$2:$Q$2902,X$2,0)&lt;&gt;H1556,"Beam Revised","")</f>
        <v>#N/A</v>
      </c>
      <c r="Y1556" s="7" t="e">
        <f>IF(VLOOKUP($A1556,'Concrete Beam Schedule'!$A$2:$Q$2902,Y$2,0)&lt;&gt;I1556,"Beam Revised","")</f>
        <v>#N/A</v>
      </c>
      <c r="Z1556" s="7" t="e">
        <f>IF(VLOOKUP($A1556,'Concrete Beam Schedule'!$A$2:$Q$2902,Z$2,0)&lt;&gt;J1556,"Beam Revised","")</f>
        <v>#N/A</v>
      </c>
      <c r="AA1556" s="7" t="e">
        <f>IF(VLOOKUP($A1556,'Concrete Beam Schedule'!$A$2:$Q$2902,AA$2,0)&lt;&gt;K1556,"Beam Revised","")</f>
        <v>#N/A</v>
      </c>
      <c r="AB1556" s="7" t="e">
        <f>IF(VLOOKUP($A1556,'Concrete Beam Schedule'!$A$2:$Q$2902,AB$2,0)&lt;&gt;L1556,"Beam Revised","")</f>
        <v>#N/A</v>
      </c>
      <c r="AC1556" s="7" t="e">
        <f>IF(VLOOKUP($A1556,'Concrete Beam Schedule'!$A$2:$Q$2902,AC$2,0)&lt;&gt;M1556,"Beam Revised","")</f>
        <v>#N/A</v>
      </c>
      <c r="AD1556" s="7" t="e">
        <f>IF(VLOOKUP($A1556,'Concrete Beam Schedule'!$A$2:$Q$2902,AD$2,0)&lt;&gt;N1556,"Beam Revised","")</f>
        <v>#N/A</v>
      </c>
      <c r="AE1556" s="7" t="e">
        <f>IF(VLOOKUP($A1556,'Concrete Beam Schedule'!$A$2:$Q$2902,AE$2,0)&lt;&gt;O1556,"Beam Revised","")</f>
        <v>#N/A</v>
      </c>
    </row>
    <row r="1557" spans="17:31" ht="20.100000000000001" customHeight="1" x14ac:dyDescent="0.25">
      <c r="Q1557" s="7">
        <f t="shared" si="24"/>
        <v>0</v>
      </c>
      <c r="R1557" s="7" t="e">
        <f>IF(VLOOKUP($A1557,'Concrete Beam Schedule'!$A$2:$Q$2902,R$2,0)&lt;&gt;B1557,VLOOKUP($A1557,'Concrete Beam Schedule'!$A$2:$Q$2902,R$2,0),"")</f>
        <v>#N/A</v>
      </c>
      <c r="S1557" s="7" t="e">
        <f>IF(VLOOKUP($A1557,'Concrete Beam Schedule'!$A$2:$Q$2902,S$2,0)&lt;&gt;C1557,VLOOKUP($A1557,'Concrete Beam Schedule'!$A$2:$Q$2902,S$2,0),"")</f>
        <v>#N/A</v>
      </c>
      <c r="T1557" s="7" t="e">
        <f>IF(VLOOKUP($A1557,'Concrete Beam Schedule'!$A$2:$Q$2902,T$2,0)&lt;&gt;D1557,"Beam Revised","")</f>
        <v>#N/A</v>
      </c>
      <c r="U1557" s="7" t="e">
        <f>IF(VLOOKUP($A1557,'Concrete Beam Schedule'!$A$2:$Q$2902,U$2,0)&lt;&gt;E1557,"Beam Revised","")</f>
        <v>#N/A</v>
      </c>
      <c r="V1557" s="7" t="e">
        <f>IF(VLOOKUP($A1557,'Concrete Beam Schedule'!$A$2:$Q$2902,V$2,0)&lt;&gt;F1557,"Beam Revised","")</f>
        <v>#N/A</v>
      </c>
      <c r="W1557" s="7" t="e">
        <f>IF(VLOOKUP($A1557,'Concrete Beam Schedule'!$A$2:$Q$2902,W$2,0)&lt;&gt;G1557,"Beam Revised","")</f>
        <v>#N/A</v>
      </c>
      <c r="X1557" s="7" t="e">
        <f>IF(VLOOKUP($A1557,'Concrete Beam Schedule'!$A$2:$Q$2902,X$2,0)&lt;&gt;H1557,"Beam Revised","")</f>
        <v>#N/A</v>
      </c>
      <c r="Y1557" s="7" t="e">
        <f>IF(VLOOKUP($A1557,'Concrete Beam Schedule'!$A$2:$Q$2902,Y$2,0)&lt;&gt;I1557,"Beam Revised","")</f>
        <v>#N/A</v>
      </c>
      <c r="Z1557" s="7" t="e">
        <f>IF(VLOOKUP($A1557,'Concrete Beam Schedule'!$A$2:$Q$2902,Z$2,0)&lt;&gt;J1557,"Beam Revised","")</f>
        <v>#N/A</v>
      </c>
      <c r="AA1557" s="7" t="e">
        <f>IF(VLOOKUP($A1557,'Concrete Beam Schedule'!$A$2:$Q$2902,AA$2,0)&lt;&gt;K1557,"Beam Revised","")</f>
        <v>#N/A</v>
      </c>
      <c r="AB1557" s="7" t="e">
        <f>IF(VLOOKUP($A1557,'Concrete Beam Schedule'!$A$2:$Q$2902,AB$2,0)&lt;&gt;L1557,"Beam Revised","")</f>
        <v>#N/A</v>
      </c>
      <c r="AC1557" s="7" t="e">
        <f>IF(VLOOKUP($A1557,'Concrete Beam Schedule'!$A$2:$Q$2902,AC$2,0)&lt;&gt;M1557,"Beam Revised","")</f>
        <v>#N/A</v>
      </c>
      <c r="AD1557" s="7" t="e">
        <f>IF(VLOOKUP($A1557,'Concrete Beam Schedule'!$A$2:$Q$2902,AD$2,0)&lt;&gt;N1557,"Beam Revised","")</f>
        <v>#N/A</v>
      </c>
      <c r="AE1557" s="7" t="e">
        <f>IF(VLOOKUP($A1557,'Concrete Beam Schedule'!$A$2:$Q$2902,AE$2,0)&lt;&gt;O1557,"Beam Revised","")</f>
        <v>#N/A</v>
      </c>
    </row>
    <row r="1558" spans="17:31" ht="20.100000000000001" customHeight="1" x14ac:dyDescent="0.25">
      <c r="Q1558" s="7">
        <f t="shared" si="24"/>
        <v>0</v>
      </c>
      <c r="R1558" s="7" t="e">
        <f>IF(VLOOKUP($A1558,'Concrete Beam Schedule'!$A$2:$Q$2902,R$2,0)&lt;&gt;B1558,VLOOKUP($A1558,'Concrete Beam Schedule'!$A$2:$Q$2902,R$2,0),"")</f>
        <v>#N/A</v>
      </c>
      <c r="S1558" s="7" t="e">
        <f>IF(VLOOKUP($A1558,'Concrete Beam Schedule'!$A$2:$Q$2902,S$2,0)&lt;&gt;C1558,VLOOKUP($A1558,'Concrete Beam Schedule'!$A$2:$Q$2902,S$2,0),"")</f>
        <v>#N/A</v>
      </c>
      <c r="T1558" s="7" t="e">
        <f>IF(VLOOKUP($A1558,'Concrete Beam Schedule'!$A$2:$Q$2902,T$2,0)&lt;&gt;D1558,"Beam Revised","")</f>
        <v>#N/A</v>
      </c>
      <c r="U1558" s="7" t="e">
        <f>IF(VLOOKUP($A1558,'Concrete Beam Schedule'!$A$2:$Q$2902,U$2,0)&lt;&gt;E1558,"Beam Revised","")</f>
        <v>#N/A</v>
      </c>
      <c r="V1558" s="7" t="e">
        <f>IF(VLOOKUP($A1558,'Concrete Beam Schedule'!$A$2:$Q$2902,V$2,0)&lt;&gt;F1558,"Beam Revised","")</f>
        <v>#N/A</v>
      </c>
      <c r="W1558" s="7" t="e">
        <f>IF(VLOOKUP($A1558,'Concrete Beam Schedule'!$A$2:$Q$2902,W$2,0)&lt;&gt;G1558,"Beam Revised","")</f>
        <v>#N/A</v>
      </c>
      <c r="X1558" s="7" t="e">
        <f>IF(VLOOKUP($A1558,'Concrete Beam Schedule'!$A$2:$Q$2902,X$2,0)&lt;&gt;H1558,"Beam Revised","")</f>
        <v>#N/A</v>
      </c>
      <c r="Y1558" s="7" t="e">
        <f>IF(VLOOKUP($A1558,'Concrete Beam Schedule'!$A$2:$Q$2902,Y$2,0)&lt;&gt;I1558,"Beam Revised","")</f>
        <v>#N/A</v>
      </c>
      <c r="Z1558" s="7" t="e">
        <f>IF(VLOOKUP($A1558,'Concrete Beam Schedule'!$A$2:$Q$2902,Z$2,0)&lt;&gt;J1558,"Beam Revised","")</f>
        <v>#N/A</v>
      </c>
      <c r="AA1558" s="7" t="e">
        <f>IF(VLOOKUP($A1558,'Concrete Beam Schedule'!$A$2:$Q$2902,AA$2,0)&lt;&gt;K1558,"Beam Revised","")</f>
        <v>#N/A</v>
      </c>
      <c r="AB1558" s="7" t="e">
        <f>IF(VLOOKUP($A1558,'Concrete Beam Schedule'!$A$2:$Q$2902,AB$2,0)&lt;&gt;L1558,"Beam Revised","")</f>
        <v>#N/A</v>
      </c>
      <c r="AC1558" s="7" t="e">
        <f>IF(VLOOKUP($A1558,'Concrete Beam Schedule'!$A$2:$Q$2902,AC$2,0)&lt;&gt;M1558,"Beam Revised","")</f>
        <v>#N/A</v>
      </c>
      <c r="AD1558" s="7" t="e">
        <f>IF(VLOOKUP($A1558,'Concrete Beam Schedule'!$A$2:$Q$2902,AD$2,0)&lt;&gt;N1558,"Beam Revised","")</f>
        <v>#N/A</v>
      </c>
      <c r="AE1558" s="7" t="e">
        <f>IF(VLOOKUP($A1558,'Concrete Beam Schedule'!$A$2:$Q$2902,AE$2,0)&lt;&gt;O1558,"Beam Revised","")</f>
        <v>#N/A</v>
      </c>
    </row>
    <row r="1559" spans="17:31" ht="20.100000000000001" customHeight="1" x14ac:dyDescent="0.25">
      <c r="Q1559" s="7">
        <f t="shared" si="24"/>
        <v>0</v>
      </c>
      <c r="R1559" s="7" t="e">
        <f>IF(VLOOKUP($A1559,'Concrete Beam Schedule'!$A$2:$Q$2902,R$2,0)&lt;&gt;B1559,VLOOKUP($A1559,'Concrete Beam Schedule'!$A$2:$Q$2902,R$2,0),"")</f>
        <v>#N/A</v>
      </c>
      <c r="S1559" s="7" t="e">
        <f>IF(VLOOKUP($A1559,'Concrete Beam Schedule'!$A$2:$Q$2902,S$2,0)&lt;&gt;C1559,VLOOKUP($A1559,'Concrete Beam Schedule'!$A$2:$Q$2902,S$2,0),"")</f>
        <v>#N/A</v>
      </c>
      <c r="T1559" s="7" t="e">
        <f>IF(VLOOKUP($A1559,'Concrete Beam Schedule'!$A$2:$Q$2902,T$2,0)&lt;&gt;D1559,"Beam Revised","")</f>
        <v>#N/A</v>
      </c>
      <c r="U1559" s="7" t="e">
        <f>IF(VLOOKUP($A1559,'Concrete Beam Schedule'!$A$2:$Q$2902,U$2,0)&lt;&gt;E1559,"Beam Revised","")</f>
        <v>#N/A</v>
      </c>
      <c r="V1559" s="7" t="e">
        <f>IF(VLOOKUP($A1559,'Concrete Beam Schedule'!$A$2:$Q$2902,V$2,0)&lt;&gt;F1559,"Beam Revised","")</f>
        <v>#N/A</v>
      </c>
      <c r="W1559" s="7" t="e">
        <f>IF(VLOOKUP($A1559,'Concrete Beam Schedule'!$A$2:$Q$2902,W$2,0)&lt;&gt;G1559,"Beam Revised","")</f>
        <v>#N/A</v>
      </c>
      <c r="X1559" s="7" t="e">
        <f>IF(VLOOKUP($A1559,'Concrete Beam Schedule'!$A$2:$Q$2902,X$2,0)&lt;&gt;H1559,"Beam Revised","")</f>
        <v>#N/A</v>
      </c>
      <c r="Y1559" s="7" t="e">
        <f>IF(VLOOKUP($A1559,'Concrete Beam Schedule'!$A$2:$Q$2902,Y$2,0)&lt;&gt;I1559,"Beam Revised","")</f>
        <v>#N/A</v>
      </c>
      <c r="Z1559" s="7" t="e">
        <f>IF(VLOOKUP($A1559,'Concrete Beam Schedule'!$A$2:$Q$2902,Z$2,0)&lt;&gt;J1559,"Beam Revised","")</f>
        <v>#N/A</v>
      </c>
      <c r="AA1559" s="7" t="e">
        <f>IF(VLOOKUP($A1559,'Concrete Beam Schedule'!$A$2:$Q$2902,AA$2,0)&lt;&gt;K1559,"Beam Revised","")</f>
        <v>#N/A</v>
      </c>
      <c r="AB1559" s="7" t="e">
        <f>IF(VLOOKUP($A1559,'Concrete Beam Schedule'!$A$2:$Q$2902,AB$2,0)&lt;&gt;L1559,"Beam Revised","")</f>
        <v>#N/A</v>
      </c>
      <c r="AC1559" s="7" t="e">
        <f>IF(VLOOKUP($A1559,'Concrete Beam Schedule'!$A$2:$Q$2902,AC$2,0)&lt;&gt;M1559,"Beam Revised","")</f>
        <v>#N/A</v>
      </c>
      <c r="AD1559" s="7" t="e">
        <f>IF(VLOOKUP($A1559,'Concrete Beam Schedule'!$A$2:$Q$2902,AD$2,0)&lt;&gt;N1559,"Beam Revised","")</f>
        <v>#N/A</v>
      </c>
      <c r="AE1559" s="7" t="e">
        <f>IF(VLOOKUP($A1559,'Concrete Beam Schedule'!$A$2:$Q$2902,AE$2,0)&lt;&gt;O1559,"Beam Revised","")</f>
        <v>#N/A</v>
      </c>
    </row>
    <row r="1560" spans="17:31" ht="20.100000000000001" customHeight="1" x14ac:dyDescent="0.25">
      <c r="Q1560" s="7">
        <f t="shared" si="24"/>
        <v>0</v>
      </c>
      <c r="R1560" s="7" t="e">
        <f>IF(VLOOKUP($A1560,'Concrete Beam Schedule'!$A$2:$Q$2902,R$2,0)&lt;&gt;B1560,VLOOKUP($A1560,'Concrete Beam Schedule'!$A$2:$Q$2902,R$2,0),"")</f>
        <v>#N/A</v>
      </c>
      <c r="S1560" s="7" t="e">
        <f>IF(VLOOKUP($A1560,'Concrete Beam Schedule'!$A$2:$Q$2902,S$2,0)&lt;&gt;C1560,VLOOKUP($A1560,'Concrete Beam Schedule'!$A$2:$Q$2902,S$2,0),"")</f>
        <v>#N/A</v>
      </c>
      <c r="T1560" s="7" t="e">
        <f>IF(VLOOKUP($A1560,'Concrete Beam Schedule'!$A$2:$Q$2902,T$2,0)&lt;&gt;D1560,"Beam Revised","")</f>
        <v>#N/A</v>
      </c>
      <c r="U1560" s="7" t="e">
        <f>IF(VLOOKUP($A1560,'Concrete Beam Schedule'!$A$2:$Q$2902,U$2,0)&lt;&gt;E1560,"Beam Revised","")</f>
        <v>#N/A</v>
      </c>
      <c r="V1560" s="7" t="e">
        <f>IF(VLOOKUP($A1560,'Concrete Beam Schedule'!$A$2:$Q$2902,V$2,0)&lt;&gt;F1560,"Beam Revised","")</f>
        <v>#N/A</v>
      </c>
      <c r="W1560" s="7" t="e">
        <f>IF(VLOOKUP($A1560,'Concrete Beam Schedule'!$A$2:$Q$2902,W$2,0)&lt;&gt;G1560,"Beam Revised","")</f>
        <v>#N/A</v>
      </c>
      <c r="X1560" s="7" t="e">
        <f>IF(VLOOKUP($A1560,'Concrete Beam Schedule'!$A$2:$Q$2902,X$2,0)&lt;&gt;H1560,"Beam Revised","")</f>
        <v>#N/A</v>
      </c>
      <c r="Y1560" s="7" t="e">
        <f>IF(VLOOKUP($A1560,'Concrete Beam Schedule'!$A$2:$Q$2902,Y$2,0)&lt;&gt;I1560,"Beam Revised","")</f>
        <v>#N/A</v>
      </c>
      <c r="Z1560" s="7" t="e">
        <f>IF(VLOOKUP($A1560,'Concrete Beam Schedule'!$A$2:$Q$2902,Z$2,0)&lt;&gt;J1560,"Beam Revised","")</f>
        <v>#N/A</v>
      </c>
      <c r="AA1560" s="7" t="e">
        <f>IF(VLOOKUP($A1560,'Concrete Beam Schedule'!$A$2:$Q$2902,AA$2,0)&lt;&gt;K1560,"Beam Revised","")</f>
        <v>#N/A</v>
      </c>
      <c r="AB1560" s="7" t="e">
        <f>IF(VLOOKUP($A1560,'Concrete Beam Schedule'!$A$2:$Q$2902,AB$2,0)&lt;&gt;L1560,"Beam Revised","")</f>
        <v>#N/A</v>
      </c>
      <c r="AC1560" s="7" t="e">
        <f>IF(VLOOKUP($A1560,'Concrete Beam Schedule'!$A$2:$Q$2902,AC$2,0)&lt;&gt;M1560,"Beam Revised","")</f>
        <v>#N/A</v>
      </c>
      <c r="AD1560" s="7" t="e">
        <f>IF(VLOOKUP($A1560,'Concrete Beam Schedule'!$A$2:$Q$2902,AD$2,0)&lt;&gt;N1560,"Beam Revised","")</f>
        <v>#N/A</v>
      </c>
      <c r="AE1560" s="7" t="e">
        <f>IF(VLOOKUP($A1560,'Concrete Beam Schedule'!$A$2:$Q$2902,AE$2,0)&lt;&gt;O1560,"Beam Revised","")</f>
        <v>#N/A</v>
      </c>
    </row>
    <row r="1561" spans="17:31" ht="20.100000000000001" customHeight="1" x14ac:dyDescent="0.25">
      <c r="Q1561" s="7">
        <f t="shared" si="24"/>
        <v>0</v>
      </c>
      <c r="R1561" s="7" t="e">
        <f>IF(VLOOKUP($A1561,'Concrete Beam Schedule'!$A$2:$Q$2902,R$2,0)&lt;&gt;B1561,VLOOKUP($A1561,'Concrete Beam Schedule'!$A$2:$Q$2902,R$2,0),"")</f>
        <v>#N/A</v>
      </c>
      <c r="S1561" s="7" t="e">
        <f>IF(VLOOKUP($A1561,'Concrete Beam Schedule'!$A$2:$Q$2902,S$2,0)&lt;&gt;C1561,VLOOKUP($A1561,'Concrete Beam Schedule'!$A$2:$Q$2902,S$2,0),"")</f>
        <v>#N/A</v>
      </c>
      <c r="T1561" s="7" t="e">
        <f>IF(VLOOKUP($A1561,'Concrete Beam Schedule'!$A$2:$Q$2902,T$2,0)&lt;&gt;D1561,"Beam Revised","")</f>
        <v>#N/A</v>
      </c>
      <c r="U1561" s="7" t="e">
        <f>IF(VLOOKUP($A1561,'Concrete Beam Schedule'!$A$2:$Q$2902,U$2,0)&lt;&gt;E1561,"Beam Revised","")</f>
        <v>#N/A</v>
      </c>
      <c r="V1561" s="7" t="e">
        <f>IF(VLOOKUP($A1561,'Concrete Beam Schedule'!$A$2:$Q$2902,V$2,0)&lt;&gt;F1561,"Beam Revised","")</f>
        <v>#N/A</v>
      </c>
      <c r="W1561" s="7" t="e">
        <f>IF(VLOOKUP($A1561,'Concrete Beam Schedule'!$A$2:$Q$2902,W$2,0)&lt;&gt;G1561,"Beam Revised","")</f>
        <v>#N/A</v>
      </c>
      <c r="X1561" s="7" t="e">
        <f>IF(VLOOKUP($A1561,'Concrete Beam Schedule'!$A$2:$Q$2902,X$2,0)&lt;&gt;H1561,"Beam Revised","")</f>
        <v>#N/A</v>
      </c>
      <c r="Y1561" s="7" t="e">
        <f>IF(VLOOKUP($A1561,'Concrete Beam Schedule'!$A$2:$Q$2902,Y$2,0)&lt;&gt;I1561,"Beam Revised","")</f>
        <v>#N/A</v>
      </c>
      <c r="Z1561" s="7" t="e">
        <f>IF(VLOOKUP($A1561,'Concrete Beam Schedule'!$A$2:$Q$2902,Z$2,0)&lt;&gt;J1561,"Beam Revised","")</f>
        <v>#N/A</v>
      </c>
      <c r="AA1561" s="7" t="e">
        <f>IF(VLOOKUP($A1561,'Concrete Beam Schedule'!$A$2:$Q$2902,AA$2,0)&lt;&gt;K1561,"Beam Revised","")</f>
        <v>#N/A</v>
      </c>
      <c r="AB1561" s="7" t="e">
        <f>IF(VLOOKUP($A1561,'Concrete Beam Schedule'!$A$2:$Q$2902,AB$2,0)&lt;&gt;L1561,"Beam Revised","")</f>
        <v>#N/A</v>
      </c>
      <c r="AC1561" s="7" t="e">
        <f>IF(VLOOKUP($A1561,'Concrete Beam Schedule'!$A$2:$Q$2902,AC$2,0)&lt;&gt;M1561,"Beam Revised","")</f>
        <v>#N/A</v>
      </c>
      <c r="AD1561" s="7" t="e">
        <f>IF(VLOOKUP($A1561,'Concrete Beam Schedule'!$A$2:$Q$2902,AD$2,0)&lt;&gt;N1561,"Beam Revised","")</f>
        <v>#N/A</v>
      </c>
      <c r="AE1561" s="7" t="e">
        <f>IF(VLOOKUP($A1561,'Concrete Beam Schedule'!$A$2:$Q$2902,AE$2,0)&lt;&gt;O1561,"Beam Revised","")</f>
        <v>#N/A</v>
      </c>
    </row>
    <row r="1562" spans="17:31" ht="20.100000000000001" customHeight="1" x14ac:dyDescent="0.25">
      <c r="Q1562" s="7">
        <f t="shared" si="24"/>
        <v>0</v>
      </c>
      <c r="R1562" s="7" t="e">
        <f>IF(VLOOKUP($A1562,'Concrete Beam Schedule'!$A$2:$Q$2902,R$2,0)&lt;&gt;B1562,VLOOKUP($A1562,'Concrete Beam Schedule'!$A$2:$Q$2902,R$2,0),"")</f>
        <v>#N/A</v>
      </c>
      <c r="S1562" s="7" t="e">
        <f>IF(VLOOKUP($A1562,'Concrete Beam Schedule'!$A$2:$Q$2902,S$2,0)&lt;&gt;C1562,VLOOKUP($A1562,'Concrete Beam Schedule'!$A$2:$Q$2902,S$2,0),"")</f>
        <v>#N/A</v>
      </c>
      <c r="T1562" s="7" t="e">
        <f>IF(VLOOKUP($A1562,'Concrete Beam Schedule'!$A$2:$Q$2902,T$2,0)&lt;&gt;D1562,"Beam Revised","")</f>
        <v>#N/A</v>
      </c>
      <c r="U1562" s="7" t="e">
        <f>IF(VLOOKUP($A1562,'Concrete Beam Schedule'!$A$2:$Q$2902,U$2,0)&lt;&gt;E1562,"Beam Revised","")</f>
        <v>#N/A</v>
      </c>
      <c r="V1562" s="7" t="e">
        <f>IF(VLOOKUP($A1562,'Concrete Beam Schedule'!$A$2:$Q$2902,V$2,0)&lt;&gt;F1562,"Beam Revised","")</f>
        <v>#N/A</v>
      </c>
      <c r="W1562" s="7" t="e">
        <f>IF(VLOOKUP($A1562,'Concrete Beam Schedule'!$A$2:$Q$2902,W$2,0)&lt;&gt;G1562,"Beam Revised","")</f>
        <v>#N/A</v>
      </c>
      <c r="X1562" s="7" t="e">
        <f>IF(VLOOKUP($A1562,'Concrete Beam Schedule'!$A$2:$Q$2902,X$2,0)&lt;&gt;H1562,"Beam Revised","")</f>
        <v>#N/A</v>
      </c>
      <c r="Y1562" s="7" t="e">
        <f>IF(VLOOKUP($A1562,'Concrete Beam Schedule'!$A$2:$Q$2902,Y$2,0)&lt;&gt;I1562,"Beam Revised","")</f>
        <v>#N/A</v>
      </c>
      <c r="Z1562" s="7" t="e">
        <f>IF(VLOOKUP($A1562,'Concrete Beam Schedule'!$A$2:$Q$2902,Z$2,0)&lt;&gt;J1562,"Beam Revised","")</f>
        <v>#N/A</v>
      </c>
      <c r="AA1562" s="7" t="e">
        <f>IF(VLOOKUP($A1562,'Concrete Beam Schedule'!$A$2:$Q$2902,AA$2,0)&lt;&gt;K1562,"Beam Revised","")</f>
        <v>#N/A</v>
      </c>
      <c r="AB1562" s="7" t="e">
        <f>IF(VLOOKUP($A1562,'Concrete Beam Schedule'!$A$2:$Q$2902,AB$2,0)&lt;&gt;L1562,"Beam Revised","")</f>
        <v>#N/A</v>
      </c>
      <c r="AC1562" s="7" t="e">
        <f>IF(VLOOKUP($A1562,'Concrete Beam Schedule'!$A$2:$Q$2902,AC$2,0)&lt;&gt;M1562,"Beam Revised","")</f>
        <v>#N/A</v>
      </c>
      <c r="AD1562" s="7" t="e">
        <f>IF(VLOOKUP($A1562,'Concrete Beam Schedule'!$A$2:$Q$2902,AD$2,0)&lt;&gt;N1562,"Beam Revised","")</f>
        <v>#N/A</v>
      </c>
      <c r="AE1562" s="7" t="e">
        <f>IF(VLOOKUP($A1562,'Concrete Beam Schedule'!$A$2:$Q$2902,AE$2,0)&lt;&gt;O1562,"Beam Revised","")</f>
        <v>#N/A</v>
      </c>
    </row>
    <row r="1563" spans="17:31" ht="20.100000000000001" customHeight="1" x14ac:dyDescent="0.25">
      <c r="Q1563" s="7">
        <f t="shared" si="24"/>
        <v>0</v>
      </c>
      <c r="R1563" s="7" t="e">
        <f>IF(VLOOKUP($A1563,'Concrete Beam Schedule'!$A$2:$Q$2902,R$2,0)&lt;&gt;B1563,VLOOKUP($A1563,'Concrete Beam Schedule'!$A$2:$Q$2902,R$2,0),"")</f>
        <v>#N/A</v>
      </c>
      <c r="S1563" s="7" t="e">
        <f>IF(VLOOKUP($A1563,'Concrete Beam Schedule'!$A$2:$Q$2902,S$2,0)&lt;&gt;C1563,VLOOKUP($A1563,'Concrete Beam Schedule'!$A$2:$Q$2902,S$2,0),"")</f>
        <v>#N/A</v>
      </c>
      <c r="T1563" s="7" t="e">
        <f>IF(VLOOKUP($A1563,'Concrete Beam Schedule'!$A$2:$Q$2902,T$2,0)&lt;&gt;D1563,"Beam Revised","")</f>
        <v>#N/A</v>
      </c>
      <c r="U1563" s="7" t="e">
        <f>IF(VLOOKUP($A1563,'Concrete Beam Schedule'!$A$2:$Q$2902,U$2,0)&lt;&gt;E1563,"Beam Revised","")</f>
        <v>#N/A</v>
      </c>
      <c r="V1563" s="7" t="e">
        <f>IF(VLOOKUP($A1563,'Concrete Beam Schedule'!$A$2:$Q$2902,V$2,0)&lt;&gt;F1563,"Beam Revised","")</f>
        <v>#N/A</v>
      </c>
      <c r="W1563" s="7" t="e">
        <f>IF(VLOOKUP($A1563,'Concrete Beam Schedule'!$A$2:$Q$2902,W$2,0)&lt;&gt;G1563,"Beam Revised","")</f>
        <v>#N/A</v>
      </c>
      <c r="X1563" s="7" t="e">
        <f>IF(VLOOKUP($A1563,'Concrete Beam Schedule'!$A$2:$Q$2902,X$2,0)&lt;&gt;H1563,"Beam Revised","")</f>
        <v>#N/A</v>
      </c>
      <c r="Y1563" s="7" t="e">
        <f>IF(VLOOKUP($A1563,'Concrete Beam Schedule'!$A$2:$Q$2902,Y$2,0)&lt;&gt;I1563,"Beam Revised","")</f>
        <v>#N/A</v>
      </c>
      <c r="Z1563" s="7" t="e">
        <f>IF(VLOOKUP($A1563,'Concrete Beam Schedule'!$A$2:$Q$2902,Z$2,0)&lt;&gt;J1563,"Beam Revised","")</f>
        <v>#N/A</v>
      </c>
      <c r="AA1563" s="7" t="e">
        <f>IF(VLOOKUP($A1563,'Concrete Beam Schedule'!$A$2:$Q$2902,AA$2,0)&lt;&gt;K1563,"Beam Revised","")</f>
        <v>#N/A</v>
      </c>
      <c r="AB1563" s="7" t="e">
        <f>IF(VLOOKUP($A1563,'Concrete Beam Schedule'!$A$2:$Q$2902,AB$2,0)&lt;&gt;L1563,"Beam Revised","")</f>
        <v>#N/A</v>
      </c>
      <c r="AC1563" s="7" t="e">
        <f>IF(VLOOKUP($A1563,'Concrete Beam Schedule'!$A$2:$Q$2902,AC$2,0)&lt;&gt;M1563,"Beam Revised","")</f>
        <v>#N/A</v>
      </c>
      <c r="AD1563" s="7" t="e">
        <f>IF(VLOOKUP($A1563,'Concrete Beam Schedule'!$A$2:$Q$2902,AD$2,0)&lt;&gt;N1563,"Beam Revised","")</f>
        <v>#N/A</v>
      </c>
      <c r="AE1563" s="7" t="e">
        <f>IF(VLOOKUP($A1563,'Concrete Beam Schedule'!$A$2:$Q$2902,AE$2,0)&lt;&gt;O1563,"Beam Revised","")</f>
        <v>#N/A</v>
      </c>
    </row>
    <row r="1564" spans="17:31" ht="20.100000000000001" customHeight="1" x14ac:dyDescent="0.25">
      <c r="Q1564" s="7">
        <f t="shared" si="24"/>
        <v>0</v>
      </c>
      <c r="R1564" s="7" t="e">
        <f>IF(VLOOKUP($A1564,'Concrete Beam Schedule'!$A$2:$Q$2902,R$2,0)&lt;&gt;B1564,VLOOKUP($A1564,'Concrete Beam Schedule'!$A$2:$Q$2902,R$2,0),"")</f>
        <v>#N/A</v>
      </c>
      <c r="S1564" s="7" t="e">
        <f>IF(VLOOKUP($A1564,'Concrete Beam Schedule'!$A$2:$Q$2902,S$2,0)&lt;&gt;C1564,VLOOKUP($A1564,'Concrete Beam Schedule'!$A$2:$Q$2902,S$2,0),"")</f>
        <v>#N/A</v>
      </c>
      <c r="T1564" s="7" t="e">
        <f>IF(VLOOKUP($A1564,'Concrete Beam Schedule'!$A$2:$Q$2902,T$2,0)&lt;&gt;D1564,"Beam Revised","")</f>
        <v>#N/A</v>
      </c>
      <c r="U1564" s="7" t="e">
        <f>IF(VLOOKUP($A1564,'Concrete Beam Schedule'!$A$2:$Q$2902,U$2,0)&lt;&gt;E1564,"Beam Revised","")</f>
        <v>#N/A</v>
      </c>
      <c r="V1564" s="7" t="e">
        <f>IF(VLOOKUP($A1564,'Concrete Beam Schedule'!$A$2:$Q$2902,V$2,0)&lt;&gt;F1564,"Beam Revised","")</f>
        <v>#N/A</v>
      </c>
      <c r="W1564" s="7" t="e">
        <f>IF(VLOOKUP($A1564,'Concrete Beam Schedule'!$A$2:$Q$2902,W$2,0)&lt;&gt;G1564,"Beam Revised","")</f>
        <v>#N/A</v>
      </c>
      <c r="X1564" s="7" t="e">
        <f>IF(VLOOKUP($A1564,'Concrete Beam Schedule'!$A$2:$Q$2902,X$2,0)&lt;&gt;H1564,"Beam Revised","")</f>
        <v>#N/A</v>
      </c>
      <c r="Y1564" s="7" t="e">
        <f>IF(VLOOKUP($A1564,'Concrete Beam Schedule'!$A$2:$Q$2902,Y$2,0)&lt;&gt;I1564,"Beam Revised","")</f>
        <v>#N/A</v>
      </c>
      <c r="Z1564" s="7" t="e">
        <f>IF(VLOOKUP($A1564,'Concrete Beam Schedule'!$A$2:$Q$2902,Z$2,0)&lt;&gt;J1564,"Beam Revised","")</f>
        <v>#N/A</v>
      </c>
      <c r="AA1564" s="7" t="e">
        <f>IF(VLOOKUP($A1564,'Concrete Beam Schedule'!$A$2:$Q$2902,AA$2,0)&lt;&gt;K1564,"Beam Revised","")</f>
        <v>#N/A</v>
      </c>
      <c r="AB1564" s="7" t="e">
        <f>IF(VLOOKUP($A1564,'Concrete Beam Schedule'!$A$2:$Q$2902,AB$2,0)&lt;&gt;L1564,"Beam Revised","")</f>
        <v>#N/A</v>
      </c>
      <c r="AC1564" s="7" t="e">
        <f>IF(VLOOKUP($A1564,'Concrete Beam Schedule'!$A$2:$Q$2902,AC$2,0)&lt;&gt;M1564,"Beam Revised","")</f>
        <v>#N/A</v>
      </c>
      <c r="AD1564" s="7" t="e">
        <f>IF(VLOOKUP($A1564,'Concrete Beam Schedule'!$A$2:$Q$2902,AD$2,0)&lt;&gt;N1564,"Beam Revised","")</f>
        <v>#N/A</v>
      </c>
      <c r="AE1564" s="7" t="e">
        <f>IF(VLOOKUP($A1564,'Concrete Beam Schedule'!$A$2:$Q$2902,AE$2,0)&lt;&gt;O1564,"Beam Revised","")</f>
        <v>#N/A</v>
      </c>
    </row>
    <row r="1565" spans="17:31" ht="20.100000000000001" customHeight="1" x14ac:dyDescent="0.25">
      <c r="Q1565" s="7">
        <f t="shared" si="24"/>
        <v>0</v>
      </c>
      <c r="R1565" s="7" t="e">
        <f>IF(VLOOKUP($A1565,'Concrete Beam Schedule'!$A$2:$Q$2902,R$2,0)&lt;&gt;B1565,VLOOKUP($A1565,'Concrete Beam Schedule'!$A$2:$Q$2902,R$2,0),"")</f>
        <v>#N/A</v>
      </c>
      <c r="S1565" s="7" t="e">
        <f>IF(VLOOKUP($A1565,'Concrete Beam Schedule'!$A$2:$Q$2902,S$2,0)&lt;&gt;C1565,VLOOKUP($A1565,'Concrete Beam Schedule'!$A$2:$Q$2902,S$2,0),"")</f>
        <v>#N/A</v>
      </c>
      <c r="T1565" s="7" t="e">
        <f>IF(VLOOKUP($A1565,'Concrete Beam Schedule'!$A$2:$Q$2902,T$2,0)&lt;&gt;D1565,"Beam Revised","")</f>
        <v>#N/A</v>
      </c>
      <c r="U1565" s="7" t="e">
        <f>IF(VLOOKUP($A1565,'Concrete Beam Schedule'!$A$2:$Q$2902,U$2,0)&lt;&gt;E1565,"Beam Revised","")</f>
        <v>#N/A</v>
      </c>
      <c r="V1565" s="7" t="e">
        <f>IF(VLOOKUP($A1565,'Concrete Beam Schedule'!$A$2:$Q$2902,V$2,0)&lt;&gt;F1565,"Beam Revised","")</f>
        <v>#N/A</v>
      </c>
      <c r="W1565" s="7" t="e">
        <f>IF(VLOOKUP($A1565,'Concrete Beam Schedule'!$A$2:$Q$2902,W$2,0)&lt;&gt;G1565,"Beam Revised","")</f>
        <v>#N/A</v>
      </c>
      <c r="X1565" s="7" t="e">
        <f>IF(VLOOKUP($A1565,'Concrete Beam Schedule'!$A$2:$Q$2902,X$2,0)&lt;&gt;H1565,"Beam Revised","")</f>
        <v>#N/A</v>
      </c>
      <c r="Y1565" s="7" t="e">
        <f>IF(VLOOKUP($A1565,'Concrete Beam Schedule'!$A$2:$Q$2902,Y$2,0)&lt;&gt;I1565,"Beam Revised","")</f>
        <v>#N/A</v>
      </c>
      <c r="Z1565" s="7" t="e">
        <f>IF(VLOOKUP($A1565,'Concrete Beam Schedule'!$A$2:$Q$2902,Z$2,0)&lt;&gt;J1565,"Beam Revised","")</f>
        <v>#N/A</v>
      </c>
      <c r="AA1565" s="7" t="e">
        <f>IF(VLOOKUP($A1565,'Concrete Beam Schedule'!$A$2:$Q$2902,AA$2,0)&lt;&gt;K1565,"Beam Revised","")</f>
        <v>#N/A</v>
      </c>
      <c r="AB1565" s="7" t="e">
        <f>IF(VLOOKUP($A1565,'Concrete Beam Schedule'!$A$2:$Q$2902,AB$2,0)&lt;&gt;L1565,"Beam Revised","")</f>
        <v>#N/A</v>
      </c>
      <c r="AC1565" s="7" t="e">
        <f>IF(VLOOKUP($A1565,'Concrete Beam Schedule'!$A$2:$Q$2902,AC$2,0)&lt;&gt;M1565,"Beam Revised","")</f>
        <v>#N/A</v>
      </c>
      <c r="AD1565" s="7" t="e">
        <f>IF(VLOOKUP($A1565,'Concrete Beam Schedule'!$A$2:$Q$2902,AD$2,0)&lt;&gt;N1565,"Beam Revised","")</f>
        <v>#N/A</v>
      </c>
      <c r="AE1565" s="7" t="e">
        <f>IF(VLOOKUP($A1565,'Concrete Beam Schedule'!$A$2:$Q$2902,AE$2,0)&lt;&gt;O1565,"Beam Revised","")</f>
        <v>#N/A</v>
      </c>
    </row>
    <row r="1566" spans="17:31" ht="20.100000000000001" customHeight="1" x14ac:dyDescent="0.25">
      <c r="Q1566" s="7">
        <f t="shared" si="24"/>
        <v>0</v>
      </c>
      <c r="R1566" s="7" t="e">
        <f>IF(VLOOKUP($A1566,'Concrete Beam Schedule'!$A$2:$Q$2902,R$2,0)&lt;&gt;B1566,VLOOKUP($A1566,'Concrete Beam Schedule'!$A$2:$Q$2902,R$2,0),"")</f>
        <v>#N/A</v>
      </c>
      <c r="S1566" s="7" t="e">
        <f>IF(VLOOKUP($A1566,'Concrete Beam Schedule'!$A$2:$Q$2902,S$2,0)&lt;&gt;C1566,VLOOKUP($A1566,'Concrete Beam Schedule'!$A$2:$Q$2902,S$2,0),"")</f>
        <v>#N/A</v>
      </c>
      <c r="T1566" s="7" t="e">
        <f>IF(VLOOKUP($A1566,'Concrete Beam Schedule'!$A$2:$Q$2902,T$2,0)&lt;&gt;D1566,"Beam Revised","")</f>
        <v>#N/A</v>
      </c>
      <c r="U1566" s="7" t="e">
        <f>IF(VLOOKUP($A1566,'Concrete Beam Schedule'!$A$2:$Q$2902,U$2,0)&lt;&gt;E1566,"Beam Revised","")</f>
        <v>#N/A</v>
      </c>
      <c r="V1566" s="7" t="e">
        <f>IF(VLOOKUP($A1566,'Concrete Beam Schedule'!$A$2:$Q$2902,V$2,0)&lt;&gt;F1566,"Beam Revised","")</f>
        <v>#N/A</v>
      </c>
      <c r="W1566" s="7" t="e">
        <f>IF(VLOOKUP($A1566,'Concrete Beam Schedule'!$A$2:$Q$2902,W$2,0)&lt;&gt;G1566,"Beam Revised","")</f>
        <v>#N/A</v>
      </c>
      <c r="X1566" s="7" t="e">
        <f>IF(VLOOKUP($A1566,'Concrete Beam Schedule'!$A$2:$Q$2902,X$2,0)&lt;&gt;H1566,"Beam Revised","")</f>
        <v>#N/A</v>
      </c>
      <c r="Y1566" s="7" t="e">
        <f>IF(VLOOKUP($A1566,'Concrete Beam Schedule'!$A$2:$Q$2902,Y$2,0)&lt;&gt;I1566,"Beam Revised","")</f>
        <v>#N/A</v>
      </c>
      <c r="Z1566" s="7" t="e">
        <f>IF(VLOOKUP($A1566,'Concrete Beam Schedule'!$A$2:$Q$2902,Z$2,0)&lt;&gt;J1566,"Beam Revised","")</f>
        <v>#N/A</v>
      </c>
      <c r="AA1566" s="7" t="e">
        <f>IF(VLOOKUP($A1566,'Concrete Beam Schedule'!$A$2:$Q$2902,AA$2,0)&lt;&gt;K1566,"Beam Revised","")</f>
        <v>#N/A</v>
      </c>
      <c r="AB1566" s="7" t="e">
        <f>IF(VLOOKUP($A1566,'Concrete Beam Schedule'!$A$2:$Q$2902,AB$2,0)&lt;&gt;L1566,"Beam Revised","")</f>
        <v>#N/A</v>
      </c>
      <c r="AC1566" s="7" t="e">
        <f>IF(VLOOKUP($A1566,'Concrete Beam Schedule'!$A$2:$Q$2902,AC$2,0)&lt;&gt;M1566,"Beam Revised","")</f>
        <v>#N/A</v>
      </c>
      <c r="AD1566" s="7" t="e">
        <f>IF(VLOOKUP($A1566,'Concrete Beam Schedule'!$A$2:$Q$2902,AD$2,0)&lt;&gt;N1566,"Beam Revised","")</f>
        <v>#N/A</v>
      </c>
      <c r="AE1566" s="7" t="e">
        <f>IF(VLOOKUP($A1566,'Concrete Beam Schedule'!$A$2:$Q$2902,AE$2,0)&lt;&gt;O1566,"Beam Revised","")</f>
        <v>#N/A</v>
      </c>
    </row>
    <row r="1567" spans="17:31" ht="20.100000000000001" customHeight="1" x14ac:dyDescent="0.25">
      <c r="Q1567" s="7">
        <f t="shared" si="24"/>
        <v>0</v>
      </c>
      <c r="R1567" s="7" t="e">
        <f>IF(VLOOKUP($A1567,'Concrete Beam Schedule'!$A$2:$Q$2902,R$2,0)&lt;&gt;B1567,VLOOKUP($A1567,'Concrete Beam Schedule'!$A$2:$Q$2902,R$2,0),"")</f>
        <v>#N/A</v>
      </c>
      <c r="S1567" s="7" t="e">
        <f>IF(VLOOKUP($A1567,'Concrete Beam Schedule'!$A$2:$Q$2902,S$2,0)&lt;&gt;C1567,VLOOKUP($A1567,'Concrete Beam Schedule'!$A$2:$Q$2902,S$2,0),"")</f>
        <v>#N/A</v>
      </c>
      <c r="T1567" s="7" t="e">
        <f>IF(VLOOKUP($A1567,'Concrete Beam Schedule'!$A$2:$Q$2902,T$2,0)&lt;&gt;D1567,"Beam Revised","")</f>
        <v>#N/A</v>
      </c>
      <c r="U1567" s="7" t="e">
        <f>IF(VLOOKUP($A1567,'Concrete Beam Schedule'!$A$2:$Q$2902,U$2,0)&lt;&gt;E1567,"Beam Revised","")</f>
        <v>#N/A</v>
      </c>
      <c r="V1567" s="7" t="e">
        <f>IF(VLOOKUP($A1567,'Concrete Beam Schedule'!$A$2:$Q$2902,V$2,0)&lt;&gt;F1567,"Beam Revised","")</f>
        <v>#N/A</v>
      </c>
      <c r="W1567" s="7" t="e">
        <f>IF(VLOOKUP($A1567,'Concrete Beam Schedule'!$A$2:$Q$2902,W$2,0)&lt;&gt;G1567,"Beam Revised","")</f>
        <v>#N/A</v>
      </c>
      <c r="X1567" s="7" t="e">
        <f>IF(VLOOKUP($A1567,'Concrete Beam Schedule'!$A$2:$Q$2902,X$2,0)&lt;&gt;H1567,"Beam Revised","")</f>
        <v>#N/A</v>
      </c>
      <c r="Y1567" s="7" t="e">
        <f>IF(VLOOKUP($A1567,'Concrete Beam Schedule'!$A$2:$Q$2902,Y$2,0)&lt;&gt;I1567,"Beam Revised","")</f>
        <v>#N/A</v>
      </c>
      <c r="Z1567" s="7" t="e">
        <f>IF(VLOOKUP($A1567,'Concrete Beam Schedule'!$A$2:$Q$2902,Z$2,0)&lt;&gt;J1567,"Beam Revised","")</f>
        <v>#N/A</v>
      </c>
      <c r="AA1567" s="7" t="e">
        <f>IF(VLOOKUP($A1567,'Concrete Beam Schedule'!$A$2:$Q$2902,AA$2,0)&lt;&gt;K1567,"Beam Revised","")</f>
        <v>#N/A</v>
      </c>
      <c r="AB1567" s="7" t="e">
        <f>IF(VLOOKUP($A1567,'Concrete Beam Schedule'!$A$2:$Q$2902,AB$2,0)&lt;&gt;L1567,"Beam Revised","")</f>
        <v>#N/A</v>
      </c>
      <c r="AC1567" s="7" t="e">
        <f>IF(VLOOKUP($A1567,'Concrete Beam Schedule'!$A$2:$Q$2902,AC$2,0)&lt;&gt;M1567,"Beam Revised","")</f>
        <v>#N/A</v>
      </c>
      <c r="AD1567" s="7" t="e">
        <f>IF(VLOOKUP($A1567,'Concrete Beam Schedule'!$A$2:$Q$2902,AD$2,0)&lt;&gt;N1567,"Beam Revised","")</f>
        <v>#N/A</v>
      </c>
      <c r="AE1567" s="7" t="e">
        <f>IF(VLOOKUP($A1567,'Concrete Beam Schedule'!$A$2:$Q$2902,AE$2,0)&lt;&gt;O1567,"Beam Revised","")</f>
        <v>#N/A</v>
      </c>
    </row>
    <row r="1568" spans="17:31" ht="20.100000000000001" customHeight="1" x14ac:dyDescent="0.25">
      <c r="Q1568" s="7">
        <f t="shared" si="24"/>
        <v>0</v>
      </c>
      <c r="R1568" s="7" t="e">
        <f>IF(VLOOKUP($A1568,'Concrete Beam Schedule'!$A$2:$Q$2902,R$2,0)&lt;&gt;B1568,VLOOKUP($A1568,'Concrete Beam Schedule'!$A$2:$Q$2902,R$2,0),"")</f>
        <v>#N/A</v>
      </c>
      <c r="S1568" s="7" t="e">
        <f>IF(VLOOKUP($A1568,'Concrete Beam Schedule'!$A$2:$Q$2902,S$2,0)&lt;&gt;C1568,VLOOKUP($A1568,'Concrete Beam Schedule'!$A$2:$Q$2902,S$2,0),"")</f>
        <v>#N/A</v>
      </c>
      <c r="T1568" s="7" t="e">
        <f>IF(VLOOKUP($A1568,'Concrete Beam Schedule'!$A$2:$Q$2902,T$2,0)&lt;&gt;D1568,"Beam Revised","")</f>
        <v>#N/A</v>
      </c>
      <c r="U1568" s="7" t="e">
        <f>IF(VLOOKUP($A1568,'Concrete Beam Schedule'!$A$2:$Q$2902,U$2,0)&lt;&gt;E1568,"Beam Revised","")</f>
        <v>#N/A</v>
      </c>
      <c r="V1568" s="7" t="e">
        <f>IF(VLOOKUP($A1568,'Concrete Beam Schedule'!$A$2:$Q$2902,V$2,0)&lt;&gt;F1568,"Beam Revised","")</f>
        <v>#N/A</v>
      </c>
      <c r="W1568" s="7" t="e">
        <f>IF(VLOOKUP($A1568,'Concrete Beam Schedule'!$A$2:$Q$2902,W$2,0)&lt;&gt;G1568,"Beam Revised","")</f>
        <v>#N/A</v>
      </c>
      <c r="X1568" s="7" t="e">
        <f>IF(VLOOKUP($A1568,'Concrete Beam Schedule'!$A$2:$Q$2902,X$2,0)&lt;&gt;H1568,"Beam Revised","")</f>
        <v>#N/A</v>
      </c>
      <c r="Y1568" s="7" t="e">
        <f>IF(VLOOKUP($A1568,'Concrete Beam Schedule'!$A$2:$Q$2902,Y$2,0)&lt;&gt;I1568,"Beam Revised","")</f>
        <v>#N/A</v>
      </c>
      <c r="Z1568" s="7" t="e">
        <f>IF(VLOOKUP($A1568,'Concrete Beam Schedule'!$A$2:$Q$2902,Z$2,0)&lt;&gt;J1568,"Beam Revised","")</f>
        <v>#N/A</v>
      </c>
      <c r="AA1568" s="7" t="e">
        <f>IF(VLOOKUP($A1568,'Concrete Beam Schedule'!$A$2:$Q$2902,AA$2,0)&lt;&gt;K1568,"Beam Revised","")</f>
        <v>#N/A</v>
      </c>
      <c r="AB1568" s="7" t="e">
        <f>IF(VLOOKUP($A1568,'Concrete Beam Schedule'!$A$2:$Q$2902,AB$2,0)&lt;&gt;L1568,"Beam Revised","")</f>
        <v>#N/A</v>
      </c>
      <c r="AC1568" s="7" t="e">
        <f>IF(VLOOKUP($A1568,'Concrete Beam Schedule'!$A$2:$Q$2902,AC$2,0)&lt;&gt;M1568,"Beam Revised","")</f>
        <v>#N/A</v>
      </c>
      <c r="AD1568" s="7" t="e">
        <f>IF(VLOOKUP($A1568,'Concrete Beam Schedule'!$A$2:$Q$2902,AD$2,0)&lt;&gt;N1568,"Beam Revised","")</f>
        <v>#N/A</v>
      </c>
      <c r="AE1568" s="7" t="e">
        <f>IF(VLOOKUP($A1568,'Concrete Beam Schedule'!$A$2:$Q$2902,AE$2,0)&lt;&gt;O1568,"Beam Revised","")</f>
        <v>#N/A</v>
      </c>
    </row>
    <row r="1569" spans="17:31" ht="20.100000000000001" customHeight="1" x14ac:dyDescent="0.25">
      <c r="Q1569" s="7">
        <f t="shared" si="24"/>
        <v>0</v>
      </c>
      <c r="R1569" s="7" t="e">
        <f>IF(VLOOKUP($A1569,'Concrete Beam Schedule'!$A$2:$Q$2902,R$2,0)&lt;&gt;B1569,VLOOKUP($A1569,'Concrete Beam Schedule'!$A$2:$Q$2902,R$2,0),"")</f>
        <v>#N/A</v>
      </c>
      <c r="S1569" s="7" t="e">
        <f>IF(VLOOKUP($A1569,'Concrete Beam Schedule'!$A$2:$Q$2902,S$2,0)&lt;&gt;C1569,VLOOKUP($A1569,'Concrete Beam Schedule'!$A$2:$Q$2902,S$2,0),"")</f>
        <v>#N/A</v>
      </c>
      <c r="T1569" s="7" t="e">
        <f>IF(VLOOKUP($A1569,'Concrete Beam Schedule'!$A$2:$Q$2902,T$2,0)&lt;&gt;D1569,"Beam Revised","")</f>
        <v>#N/A</v>
      </c>
      <c r="U1569" s="7" t="e">
        <f>IF(VLOOKUP($A1569,'Concrete Beam Schedule'!$A$2:$Q$2902,U$2,0)&lt;&gt;E1569,"Beam Revised","")</f>
        <v>#N/A</v>
      </c>
      <c r="V1569" s="7" t="e">
        <f>IF(VLOOKUP($A1569,'Concrete Beam Schedule'!$A$2:$Q$2902,V$2,0)&lt;&gt;F1569,"Beam Revised","")</f>
        <v>#N/A</v>
      </c>
      <c r="W1569" s="7" t="e">
        <f>IF(VLOOKUP($A1569,'Concrete Beam Schedule'!$A$2:$Q$2902,W$2,0)&lt;&gt;G1569,"Beam Revised","")</f>
        <v>#N/A</v>
      </c>
      <c r="X1569" s="7" t="e">
        <f>IF(VLOOKUP($A1569,'Concrete Beam Schedule'!$A$2:$Q$2902,X$2,0)&lt;&gt;H1569,"Beam Revised","")</f>
        <v>#N/A</v>
      </c>
      <c r="Y1569" s="7" t="e">
        <f>IF(VLOOKUP($A1569,'Concrete Beam Schedule'!$A$2:$Q$2902,Y$2,0)&lt;&gt;I1569,"Beam Revised","")</f>
        <v>#N/A</v>
      </c>
      <c r="Z1569" s="7" t="e">
        <f>IF(VLOOKUP($A1569,'Concrete Beam Schedule'!$A$2:$Q$2902,Z$2,0)&lt;&gt;J1569,"Beam Revised","")</f>
        <v>#N/A</v>
      </c>
      <c r="AA1569" s="7" t="e">
        <f>IF(VLOOKUP($A1569,'Concrete Beam Schedule'!$A$2:$Q$2902,AA$2,0)&lt;&gt;K1569,"Beam Revised","")</f>
        <v>#N/A</v>
      </c>
      <c r="AB1569" s="7" t="e">
        <f>IF(VLOOKUP($A1569,'Concrete Beam Schedule'!$A$2:$Q$2902,AB$2,0)&lt;&gt;L1569,"Beam Revised","")</f>
        <v>#N/A</v>
      </c>
      <c r="AC1569" s="7" t="e">
        <f>IF(VLOOKUP($A1569,'Concrete Beam Schedule'!$A$2:$Q$2902,AC$2,0)&lt;&gt;M1569,"Beam Revised","")</f>
        <v>#N/A</v>
      </c>
      <c r="AD1569" s="7" t="e">
        <f>IF(VLOOKUP($A1569,'Concrete Beam Schedule'!$A$2:$Q$2902,AD$2,0)&lt;&gt;N1569,"Beam Revised","")</f>
        <v>#N/A</v>
      </c>
      <c r="AE1569" s="7" t="e">
        <f>IF(VLOOKUP($A1569,'Concrete Beam Schedule'!$A$2:$Q$2902,AE$2,0)&lt;&gt;O1569,"Beam Revised","")</f>
        <v>#N/A</v>
      </c>
    </row>
    <row r="1570" spans="17:31" ht="20.100000000000001" customHeight="1" x14ac:dyDescent="0.25">
      <c r="Q1570" s="7">
        <f t="shared" si="24"/>
        <v>0</v>
      </c>
      <c r="R1570" s="7" t="e">
        <f>IF(VLOOKUP($A1570,'Concrete Beam Schedule'!$A$2:$Q$2902,R$2,0)&lt;&gt;B1570,VLOOKUP($A1570,'Concrete Beam Schedule'!$A$2:$Q$2902,R$2,0),"")</f>
        <v>#N/A</v>
      </c>
      <c r="S1570" s="7" t="e">
        <f>IF(VLOOKUP($A1570,'Concrete Beam Schedule'!$A$2:$Q$2902,S$2,0)&lt;&gt;C1570,VLOOKUP($A1570,'Concrete Beam Schedule'!$A$2:$Q$2902,S$2,0),"")</f>
        <v>#N/A</v>
      </c>
      <c r="T1570" s="7" t="e">
        <f>IF(VLOOKUP($A1570,'Concrete Beam Schedule'!$A$2:$Q$2902,T$2,0)&lt;&gt;D1570,"Beam Revised","")</f>
        <v>#N/A</v>
      </c>
      <c r="U1570" s="7" t="e">
        <f>IF(VLOOKUP($A1570,'Concrete Beam Schedule'!$A$2:$Q$2902,U$2,0)&lt;&gt;E1570,"Beam Revised","")</f>
        <v>#N/A</v>
      </c>
      <c r="V1570" s="7" t="e">
        <f>IF(VLOOKUP($A1570,'Concrete Beam Schedule'!$A$2:$Q$2902,V$2,0)&lt;&gt;F1570,"Beam Revised","")</f>
        <v>#N/A</v>
      </c>
      <c r="W1570" s="7" t="e">
        <f>IF(VLOOKUP($A1570,'Concrete Beam Schedule'!$A$2:$Q$2902,W$2,0)&lt;&gt;G1570,"Beam Revised","")</f>
        <v>#N/A</v>
      </c>
      <c r="X1570" s="7" t="e">
        <f>IF(VLOOKUP($A1570,'Concrete Beam Schedule'!$A$2:$Q$2902,X$2,0)&lt;&gt;H1570,"Beam Revised","")</f>
        <v>#N/A</v>
      </c>
      <c r="Y1570" s="7" t="e">
        <f>IF(VLOOKUP($A1570,'Concrete Beam Schedule'!$A$2:$Q$2902,Y$2,0)&lt;&gt;I1570,"Beam Revised","")</f>
        <v>#N/A</v>
      </c>
      <c r="Z1570" s="7" t="e">
        <f>IF(VLOOKUP($A1570,'Concrete Beam Schedule'!$A$2:$Q$2902,Z$2,0)&lt;&gt;J1570,"Beam Revised","")</f>
        <v>#N/A</v>
      </c>
      <c r="AA1570" s="7" t="e">
        <f>IF(VLOOKUP($A1570,'Concrete Beam Schedule'!$A$2:$Q$2902,AA$2,0)&lt;&gt;K1570,"Beam Revised","")</f>
        <v>#N/A</v>
      </c>
      <c r="AB1570" s="7" t="e">
        <f>IF(VLOOKUP($A1570,'Concrete Beam Schedule'!$A$2:$Q$2902,AB$2,0)&lt;&gt;L1570,"Beam Revised","")</f>
        <v>#N/A</v>
      </c>
      <c r="AC1570" s="7" t="e">
        <f>IF(VLOOKUP($A1570,'Concrete Beam Schedule'!$A$2:$Q$2902,AC$2,0)&lt;&gt;M1570,"Beam Revised","")</f>
        <v>#N/A</v>
      </c>
      <c r="AD1570" s="7" t="e">
        <f>IF(VLOOKUP($A1570,'Concrete Beam Schedule'!$A$2:$Q$2902,AD$2,0)&lt;&gt;N1570,"Beam Revised","")</f>
        <v>#N/A</v>
      </c>
      <c r="AE1570" s="7" t="e">
        <f>IF(VLOOKUP($A1570,'Concrete Beam Schedule'!$A$2:$Q$2902,AE$2,0)&lt;&gt;O1570,"Beam Revised","")</f>
        <v>#N/A</v>
      </c>
    </row>
    <row r="1571" spans="17:31" ht="20.100000000000001" customHeight="1" x14ac:dyDescent="0.25">
      <c r="Q1571" s="7">
        <f t="shared" si="24"/>
        <v>0</v>
      </c>
      <c r="R1571" s="7" t="e">
        <f>IF(VLOOKUP($A1571,'Concrete Beam Schedule'!$A$2:$Q$2902,R$2,0)&lt;&gt;B1571,VLOOKUP($A1571,'Concrete Beam Schedule'!$A$2:$Q$2902,R$2,0),"")</f>
        <v>#N/A</v>
      </c>
      <c r="S1571" s="7" t="e">
        <f>IF(VLOOKUP($A1571,'Concrete Beam Schedule'!$A$2:$Q$2902,S$2,0)&lt;&gt;C1571,VLOOKUP($A1571,'Concrete Beam Schedule'!$A$2:$Q$2902,S$2,0),"")</f>
        <v>#N/A</v>
      </c>
      <c r="T1571" s="7" t="e">
        <f>IF(VLOOKUP($A1571,'Concrete Beam Schedule'!$A$2:$Q$2902,T$2,0)&lt;&gt;D1571,"Beam Revised","")</f>
        <v>#N/A</v>
      </c>
      <c r="U1571" s="7" t="e">
        <f>IF(VLOOKUP($A1571,'Concrete Beam Schedule'!$A$2:$Q$2902,U$2,0)&lt;&gt;E1571,"Beam Revised","")</f>
        <v>#N/A</v>
      </c>
      <c r="V1571" s="7" t="e">
        <f>IF(VLOOKUP($A1571,'Concrete Beam Schedule'!$A$2:$Q$2902,V$2,0)&lt;&gt;F1571,"Beam Revised","")</f>
        <v>#N/A</v>
      </c>
      <c r="W1571" s="7" t="e">
        <f>IF(VLOOKUP($A1571,'Concrete Beam Schedule'!$A$2:$Q$2902,W$2,0)&lt;&gt;G1571,"Beam Revised","")</f>
        <v>#N/A</v>
      </c>
      <c r="X1571" s="7" t="e">
        <f>IF(VLOOKUP($A1571,'Concrete Beam Schedule'!$A$2:$Q$2902,X$2,0)&lt;&gt;H1571,"Beam Revised","")</f>
        <v>#N/A</v>
      </c>
      <c r="Y1571" s="7" t="e">
        <f>IF(VLOOKUP($A1571,'Concrete Beam Schedule'!$A$2:$Q$2902,Y$2,0)&lt;&gt;I1571,"Beam Revised","")</f>
        <v>#N/A</v>
      </c>
      <c r="Z1571" s="7" t="e">
        <f>IF(VLOOKUP($A1571,'Concrete Beam Schedule'!$A$2:$Q$2902,Z$2,0)&lt;&gt;J1571,"Beam Revised","")</f>
        <v>#N/A</v>
      </c>
      <c r="AA1571" s="7" t="e">
        <f>IF(VLOOKUP($A1571,'Concrete Beam Schedule'!$A$2:$Q$2902,AA$2,0)&lt;&gt;K1571,"Beam Revised","")</f>
        <v>#N/A</v>
      </c>
      <c r="AB1571" s="7" t="e">
        <f>IF(VLOOKUP($A1571,'Concrete Beam Schedule'!$A$2:$Q$2902,AB$2,0)&lt;&gt;L1571,"Beam Revised","")</f>
        <v>#N/A</v>
      </c>
      <c r="AC1571" s="7" t="e">
        <f>IF(VLOOKUP($A1571,'Concrete Beam Schedule'!$A$2:$Q$2902,AC$2,0)&lt;&gt;M1571,"Beam Revised","")</f>
        <v>#N/A</v>
      </c>
      <c r="AD1571" s="7" t="e">
        <f>IF(VLOOKUP($A1571,'Concrete Beam Schedule'!$A$2:$Q$2902,AD$2,0)&lt;&gt;N1571,"Beam Revised","")</f>
        <v>#N/A</v>
      </c>
      <c r="AE1571" s="7" t="e">
        <f>IF(VLOOKUP($A1571,'Concrete Beam Schedule'!$A$2:$Q$2902,AE$2,0)&lt;&gt;O1571,"Beam Revised","")</f>
        <v>#N/A</v>
      </c>
    </row>
    <row r="1572" spans="17:31" ht="20.100000000000001" customHeight="1" x14ac:dyDescent="0.25">
      <c r="Q1572" s="7">
        <f t="shared" si="24"/>
        <v>0</v>
      </c>
      <c r="R1572" s="7" t="e">
        <f>IF(VLOOKUP($A1572,'Concrete Beam Schedule'!$A$2:$Q$2902,R$2,0)&lt;&gt;B1572,VLOOKUP($A1572,'Concrete Beam Schedule'!$A$2:$Q$2902,R$2,0),"")</f>
        <v>#N/A</v>
      </c>
      <c r="S1572" s="7" t="e">
        <f>IF(VLOOKUP($A1572,'Concrete Beam Schedule'!$A$2:$Q$2902,S$2,0)&lt;&gt;C1572,VLOOKUP($A1572,'Concrete Beam Schedule'!$A$2:$Q$2902,S$2,0),"")</f>
        <v>#N/A</v>
      </c>
      <c r="T1572" s="7" t="e">
        <f>IF(VLOOKUP($A1572,'Concrete Beam Schedule'!$A$2:$Q$2902,T$2,0)&lt;&gt;D1572,"Beam Revised","")</f>
        <v>#N/A</v>
      </c>
      <c r="U1572" s="7" t="e">
        <f>IF(VLOOKUP($A1572,'Concrete Beam Schedule'!$A$2:$Q$2902,U$2,0)&lt;&gt;E1572,"Beam Revised","")</f>
        <v>#N/A</v>
      </c>
      <c r="V1572" s="7" t="e">
        <f>IF(VLOOKUP($A1572,'Concrete Beam Schedule'!$A$2:$Q$2902,V$2,0)&lt;&gt;F1572,"Beam Revised","")</f>
        <v>#N/A</v>
      </c>
      <c r="W1572" s="7" t="e">
        <f>IF(VLOOKUP($A1572,'Concrete Beam Schedule'!$A$2:$Q$2902,W$2,0)&lt;&gt;G1572,"Beam Revised","")</f>
        <v>#N/A</v>
      </c>
      <c r="X1572" s="7" t="e">
        <f>IF(VLOOKUP($A1572,'Concrete Beam Schedule'!$A$2:$Q$2902,X$2,0)&lt;&gt;H1572,"Beam Revised","")</f>
        <v>#N/A</v>
      </c>
      <c r="Y1572" s="7" t="e">
        <f>IF(VLOOKUP($A1572,'Concrete Beam Schedule'!$A$2:$Q$2902,Y$2,0)&lt;&gt;I1572,"Beam Revised","")</f>
        <v>#N/A</v>
      </c>
      <c r="Z1572" s="7" t="e">
        <f>IF(VLOOKUP($A1572,'Concrete Beam Schedule'!$A$2:$Q$2902,Z$2,0)&lt;&gt;J1572,"Beam Revised","")</f>
        <v>#N/A</v>
      </c>
      <c r="AA1572" s="7" t="e">
        <f>IF(VLOOKUP($A1572,'Concrete Beam Schedule'!$A$2:$Q$2902,AA$2,0)&lt;&gt;K1572,"Beam Revised","")</f>
        <v>#N/A</v>
      </c>
      <c r="AB1572" s="7" t="e">
        <f>IF(VLOOKUP($A1572,'Concrete Beam Schedule'!$A$2:$Q$2902,AB$2,0)&lt;&gt;L1572,"Beam Revised","")</f>
        <v>#N/A</v>
      </c>
      <c r="AC1572" s="7" t="e">
        <f>IF(VLOOKUP($A1572,'Concrete Beam Schedule'!$A$2:$Q$2902,AC$2,0)&lt;&gt;M1572,"Beam Revised","")</f>
        <v>#N/A</v>
      </c>
      <c r="AD1572" s="7" t="e">
        <f>IF(VLOOKUP($A1572,'Concrete Beam Schedule'!$A$2:$Q$2902,AD$2,0)&lt;&gt;N1572,"Beam Revised","")</f>
        <v>#N/A</v>
      </c>
      <c r="AE1572" s="7" t="e">
        <f>IF(VLOOKUP($A1572,'Concrete Beam Schedule'!$A$2:$Q$2902,AE$2,0)&lt;&gt;O1572,"Beam Revised","")</f>
        <v>#N/A</v>
      </c>
    </row>
    <row r="1573" spans="17:31" ht="20.100000000000001" customHeight="1" x14ac:dyDescent="0.25">
      <c r="Q1573" s="7">
        <f t="shared" si="24"/>
        <v>0</v>
      </c>
      <c r="R1573" s="7" t="e">
        <f>IF(VLOOKUP($A1573,'Concrete Beam Schedule'!$A$2:$Q$2902,R$2,0)&lt;&gt;B1573,VLOOKUP($A1573,'Concrete Beam Schedule'!$A$2:$Q$2902,R$2,0),"")</f>
        <v>#N/A</v>
      </c>
      <c r="S1573" s="7" t="e">
        <f>IF(VLOOKUP($A1573,'Concrete Beam Schedule'!$A$2:$Q$2902,S$2,0)&lt;&gt;C1573,VLOOKUP($A1573,'Concrete Beam Schedule'!$A$2:$Q$2902,S$2,0),"")</f>
        <v>#N/A</v>
      </c>
      <c r="T1573" s="7" t="e">
        <f>IF(VLOOKUP($A1573,'Concrete Beam Schedule'!$A$2:$Q$2902,T$2,0)&lt;&gt;D1573,"Beam Revised","")</f>
        <v>#N/A</v>
      </c>
      <c r="U1573" s="7" t="e">
        <f>IF(VLOOKUP($A1573,'Concrete Beam Schedule'!$A$2:$Q$2902,U$2,0)&lt;&gt;E1573,"Beam Revised","")</f>
        <v>#N/A</v>
      </c>
      <c r="V1573" s="7" t="e">
        <f>IF(VLOOKUP($A1573,'Concrete Beam Schedule'!$A$2:$Q$2902,V$2,0)&lt;&gt;F1573,"Beam Revised","")</f>
        <v>#N/A</v>
      </c>
      <c r="W1573" s="7" t="e">
        <f>IF(VLOOKUP($A1573,'Concrete Beam Schedule'!$A$2:$Q$2902,W$2,0)&lt;&gt;G1573,"Beam Revised","")</f>
        <v>#N/A</v>
      </c>
      <c r="X1573" s="7" t="e">
        <f>IF(VLOOKUP($A1573,'Concrete Beam Schedule'!$A$2:$Q$2902,X$2,0)&lt;&gt;H1573,"Beam Revised","")</f>
        <v>#N/A</v>
      </c>
      <c r="Y1573" s="7" t="e">
        <f>IF(VLOOKUP($A1573,'Concrete Beam Schedule'!$A$2:$Q$2902,Y$2,0)&lt;&gt;I1573,"Beam Revised","")</f>
        <v>#N/A</v>
      </c>
      <c r="Z1573" s="7" t="e">
        <f>IF(VLOOKUP($A1573,'Concrete Beam Schedule'!$A$2:$Q$2902,Z$2,0)&lt;&gt;J1573,"Beam Revised","")</f>
        <v>#N/A</v>
      </c>
      <c r="AA1573" s="7" t="e">
        <f>IF(VLOOKUP($A1573,'Concrete Beam Schedule'!$A$2:$Q$2902,AA$2,0)&lt;&gt;K1573,"Beam Revised","")</f>
        <v>#N/A</v>
      </c>
      <c r="AB1573" s="7" t="e">
        <f>IF(VLOOKUP($A1573,'Concrete Beam Schedule'!$A$2:$Q$2902,AB$2,0)&lt;&gt;L1573,"Beam Revised","")</f>
        <v>#N/A</v>
      </c>
      <c r="AC1573" s="7" t="e">
        <f>IF(VLOOKUP($A1573,'Concrete Beam Schedule'!$A$2:$Q$2902,AC$2,0)&lt;&gt;M1573,"Beam Revised","")</f>
        <v>#N/A</v>
      </c>
      <c r="AD1573" s="7" t="e">
        <f>IF(VLOOKUP($A1573,'Concrete Beam Schedule'!$A$2:$Q$2902,AD$2,0)&lt;&gt;N1573,"Beam Revised","")</f>
        <v>#N/A</v>
      </c>
      <c r="AE1573" s="7" t="e">
        <f>IF(VLOOKUP($A1573,'Concrete Beam Schedule'!$A$2:$Q$2902,AE$2,0)&lt;&gt;O1573,"Beam Revised","")</f>
        <v>#N/A</v>
      </c>
    </row>
    <row r="1574" spans="17:31" ht="20.100000000000001" customHeight="1" x14ac:dyDescent="0.25">
      <c r="Q1574" s="7">
        <f t="shared" si="24"/>
        <v>0</v>
      </c>
      <c r="R1574" s="7" t="e">
        <f>IF(VLOOKUP($A1574,'Concrete Beam Schedule'!$A$2:$Q$2902,R$2,0)&lt;&gt;B1574,VLOOKUP($A1574,'Concrete Beam Schedule'!$A$2:$Q$2902,R$2,0),"")</f>
        <v>#N/A</v>
      </c>
      <c r="S1574" s="7" t="e">
        <f>IF(VLOOKUP($A1574,'Concrete Beam Schedule'!$A$2:$Q$2902,S$2,0)&lt;&gt;C1574,VLOOKUP($A1574,'Concrete Beam Schedule'!$A$2:$Q$2902,S$2,0),"")</f>
        <v>#N/A</v>
      </c>
      <c r="T1574" s="7" t="e">
        <f>IF(VLOOKUP($A1574,'Concrete Beam Schedule'!$A$2:$Q$2902,T$2,0)&lt;&gt;D1574,"Beam Revised","")</f>
        <v>#N/A</v>
      </c>
      <c r="U1574" s="7" t="e">
        <f>IF(VLOOKUP($A1574,'Concrete Beam Schedule'!$A$2:$Q$2902,U$2,0)&lt;&gt;E1574,"Beam Revised","")</f>
        <v>#N/A</v>
      </c>
      <c r="V1574" s="7" t="e">
        <f>IF(VLOOKUP($A1574,'Concrete Beam Schedule'!$A$2:$Q$2902,V$2,0)&lt;&gt;F1574,"Beam Revised","")</f>
        <v>#N/A</v>
      </c>
      <c r="W1574" s="7" t="e">
        <f>IF(VLOOKUP($A1574,'Concrete Beam Schedule'!$A$2:$Q$2902,W$2,0)&lt;&gt;G1574,"Beam Revised","")</f>
        <v>#N/A</v>
      </c>
      <c r="X1574" s="7" t="e">
        <f>IF(VLOOKUP($A1574,'Concrete Beam Schedule'!$A$2:$Q$2902,X$2,0)&lt;&gt;H1574,"Beam Revised","")</f>
        <v>#N/A</v>
      </c>
      <c r="Y1574" s="7" t="e">
        <f>IF(VLOOKUP($A1574,'Concrete Beam Schedule'!$A$2:$Q$2902,Y$2,0)&lt;&gt;I1574,"Beam Revised","")</f>
        <v>#N/A</v>
      </c>
      <c r="Z1574" s="7" t="e">
        <f>IF(VLOOKUP($A1574,'Concrete Beam Schedule'!$A$2:$Q$2902,Z$2,0)&lt;&gt;J1574,"Beam Revised","")</f>
        <v>#N/A</v>
      </c>
      <c r="AA1574" s="7" t="e">
        <f>IF(VLOOKUP($A1574,'Concrete Beam Schedule'!$A$2:$Q$2902,AA$2,0)&lt;&gt;K1574,"Beam Revised","")</f>
        <v>#N/A</v>
      </c>
      <c r="AB1574" s="7" t="e">
        <f>IF(VLOOKUP($A1574,'Concrete Beam Schedule'!$A$2:$Q$2902,AB$2,0)&lt;&gt;L1574,"Beam Revised","")</f>
        <v>#N/A</v>
      </c>
      <c r="AC1574" s="7" t="e">
        <f>IF(VLOOKUP($A1574,'Concrete Beam Schedule'!$A$2:$Q$2902,AC$2,0)&lt;&gt;M1574,"Beam Revised","")</f>
        <v>#N/A</v>
      </c>
      <c r="AD1574" s="7" t="e">
        <f>IF(VLOOKUP($A1574,'Concrete Beam Schedule'!$A$2:$Q$2902,AD$2,0)&lt;&gt;N1574,"Beam Revised","")</f>
        <v>#N/A</v>
      </c>
      <c r="AE1574" s="7" t="e">
        <f>IF(VLOOKUP($A1574,'Concrete Beam Schedule'!$A$2:$Q$2902,AE$2,0)&lt;&gt;O1574,"Beam Revised","")</f>
        <v>#N/A</v>
      </c>
    </row>
    <row r="1575" spans="17:31" ht="20.100000000000001" customHeight="1" x14ac:dyDescent="0.25">
      <c r="Q1575" s="7">
        <f t="shared" si="24"/>
        <v>0</v>
      </c>
      <c r="R1575" s="7" t="e">
        <f>IF(VLOOKUP($A1575,'Concrete Beam Schedule'!$A$2:$Q$2902,R$2,0)&lt;&gt;B1575,VLOOKUP($A1575,'Concrete Beam Schedule'!$A$2:$Q$2902,R$2,0),"")</f>
        <v>#N/A</v>
      </c>
      <c r="S1575" s="7" t="e">
        <f>IF(VLOOKUP($A1575,'Concrete Beam Schedule'!$A$2:$Q$2902,S$2,0)&lt;&gt;C1575,VLOOKUP($A1575,'Concrete Beam Schedule'!$A$2:$Q$2902,S$2,0),"")</f>
        <v>#N/A</v>
      </c>
      <c r="T1575" s="7" t="e">
        <f>IF(VLOOKUP($A1575,'Concrete Beam Schedule'!$A$2:$Q$2902,T$2,0)&lt;&gt;D1575,"Beam Revised","")</f>
        <v>#N/A</v>
      </c>
      <c r="U1575" s="7" t="e">
        <f>IF(VLOOKUP($A1575,'Concrete Beam Schedule'!$A$2:$Q$2902,U$2,0)&lt;&gt;E1575,"Beam Revised","")</f>
        <v>#N/A</v>
      </c>
      <c r="V1575" s="7" t="e">
        <f>IF(VLOOKUP($A1575,'Concrete Beam Schedule'!$A$2:$Q$2902,V$2,0)&lt;&gt;F1575,"Beam Revised","")</f>
        <v>#N/A</v>
      </c>
      <c r="W1575" s="7" t="e">
        <f>IF(VLOOKUP($A1575,'Concrete Beam Schedule'!$A$2:$Q$2902,W$2,0)&lt;&gt;G1575,"Beam Revised","")</f>
        <v>#N/A</v>
      </c>
      <c r="X1575" s="7" t="e">
        <f>IF(VLOOKUP($A1575,'Concrete Beam Schedule'!$A$2:$Q$2902,X$2,0)&lt;&gt;H1575,"Beam Revised","")</f>
        <v>#N/A</v>
      </c>
      <c r="Y1575" s="7" t="e">
        <f>IF(VLOOKUP($A1575,'Concrete Beam Schedule'!$A$2:$Q$2902,Y$2,0)&lt;&gt;I1575,"Beam Revised","")</f>
        <v>#N/A</v>
      </c>
      <c r="Z1575" s="7" t="e">
        <f>IF(VLOOKUP($A1575,'Concrete Beam Schedule'!$A$2:$Q$2902,Z$2,0)&lt;&gt;J1575,"Beam Revised","")</f>
        <v>#N/A</v>
      </c>
      <c r="AA1575" s="7" t="e">
        <f>IF(VLOOKUP($A1575,'Concrete Beam Schedule'!$A$2:$Q$2902,AA$2,0)&lt;&gt;K1575,"Beam Revised","")</f>
        <v>#N/A</v>
      </c>
      <c r="AB1575" s="7" t="e">
        <f>IF(VLOOKUP($A1575,'Concrete Beam Schedule'!$A$2:$Q$2902,AB$2,0)&lt;&gt;L1575,"Beam Revised","")</f>
        <v>#N/A</v>
      </c>
      <c r="AC1575" s="7" t="e">
        <f>IF(VLOOKUP($A1575,'Concrete Beam Schedule'!$A$2:$Q$2902,AC$2,0)&lt;&gt;M1575,"Beam Revised","")</f>
        <v>#N/A</v>
      </c>
      <c r="AD1575" s="7" t="e">
        <f>IF(VLOOKUP($A1575,'Concrete Beam Schedule'!$A$2:$Q$2902,AD$2,0)&lt;&gt;N1575,"Beam Revised","")</f>
        <v>#N/A</v>
      </c>
      <c r="AE1575" s="7" t="e">
        <f>IF(VLOOKUP($A1575,'Concrete Beam Schedule'!$A$2:$Q$2902,AE$2,0)&lt;&gt;O1575,"Beam Revised","")</f>
        <v>#N/A</v>
      </c>
    </row>
    <row r="1576" spans="17:31" ht="20.100000000000001" customHeight="1" x14ac:dyDescent="0.25">
      <c r="Q1576" s="7">
        <f t="shared" si="24"/>
        <v>0</v>
      </c>
      <c r="R1576" s="7" t="e">
        <f>IF(VLOOKUP($A1576,'Concrete Beam Schedule'!$A$2:$Q$2902,R$2,0)&lt;&gt;B1576,VLOOKUP($A1576,'Concrete Beam Schedule'!$A$2:$Q$2902,R$2,0),"")</f>
        <v>#N/A</v>
      </c>
      <c r="S1576" s="7" t="e">
        <f>IF(VLOOKUP($A1576,'Concrete Beam Schedule'!$A$2:$Q$2902,S$2,0)&lt;&gt;C1576,VLOOKUP($A1576,'Concrete Beam Schedule'!$A$2:$Q$2902,S$2,0),"")</f>
        <v>#N/A</v>
      </c>
      <c r="T1576" s="7" t="e">
        <f>IF(VLOOKUP($A1576,'Concrete Beam Schedule'!$A$2:$Q$2902,T$2,0)&lt;&gt;D1576,"Beam Revised","")</f>
        <v>#N/A</v>
      </c>
      <c r="U1576" s="7" t="e">
        <f>IF(VLOOKUP($A1576,'Concrete Beam Schedule'!$A$2:$Q$2902,U$2,0)&lt;&gt;E1576,"Beam Revised","")</f>
        <v>#N/A</v>
      </c>
      <c r="V1576" s="7" t="e">
        <f>IF(VLOOKUP($A1576,'Concrete Beam Schedule'!$A$2:$Q$2902,V$2,0)&lt;&gt;F1576,"Beam Revised","")</f>
        <v>#N/A</v>
      </c>
      <c r="W1576" s="7" t="e">
        <f>IF(VLOOKUP($A1576,'Concrete Beam Schedule'!$A$2:$Q$2902,W$2,0)&lt;&gt;G1576,"Beam Revised","")</f>
        <v>#N/A</v>
      </c>
      <c r="X1576" s="7" t="e">
        <f>IF(VLOOKUP($A1576,'Concrete Beam Schedule'!$A$2:$Q$2902,X$2,0)&lt;&gt;H1576,"Beam Revised","")</f>
        <v>#N/A</v>
      </c>
      <c r="Y1576" s="7" t="e">
        <f>IF(VLOOKUP($A1576,'Concrete Beam Schedule'!$A$2:$Q$2902,Y$2,0)&lt;&gt;I1576,"Beam Revised","")</f>
        <v>#N/A</v>
      </c>
      <c r="Z1576" s="7" t="e">
        <f>IF(VLOOKUP($A1576,'Concrete Beam Schedule'!$A$2:$Q$2902,Z$2,0)&lt;&gt;J1576,"Beam Revised","")</f>
        <v>#N/A</v>
      </c>
      <c r="AA1576" s="7" t="e">
        <f>IF(VLOOKUP($A1576,'Concrete Beam Schedule'!$A$2:$Q$2902,AA$2,0)&lt;&gt;K1576,"Beam Revised","")</f>
        <v>#N/A</v>
      </c>
      <c r="AB1576" s="7" t="e">
        <f>IF(VLOOKUP($A1576,'Concrete Beam Schedule'!$A$2:$Q$2902,AB$2,0)&lt;&gt;L1576,"Beam Revised","")</f>
        <v>#N/A</v>
      </c>
      <c r="AC1576" s="7" t="e">
        <f>IF(VLOOKUP($A1576,'Concrete Beam Schedule'!$A$2:$Q$2902,AC$2,0)&lt;&gt;M1576,"Beam Revised","")</f>
        <v>#N/A</v>
      </c>
      <c r="AD1576" s="7" t="e">
        <f>IF(VLOOKUP($A1576,'Concrete Beam Schedule'!$A$2:$Q$2902,AD$2,0)&lt;&gt;N1576,"Beam Revised","")</f>
        <v>#N/A</v>
      </c>
      <c r="AE1576" s="7" t="e">
        <f>IF(VLOOKUP($A1576,'Concrete Beam Schedule'!$A$2:$Q$2902,AE$2,0)&lt;&gt;O1576,"Beam Revised","")</f>
        <v>#N/A</v>
      </c>
    </row>
    <row r="1577" spans="17:31" ht="20.100000000000001" customHeight="1" x14ac:dyDescent="0.25">
      <c r="Q1577" s="7">
        <f t="shared" si="24"/>
        <v>0</v>
      </c>
      <c r="R1577" s="7" t="e">
        <f>IF(VLOOKUP($A1577,'Concrete Beam Schedule'!$A$2:$Q$2902,R$2,0)&lt;&gt;B1577,VLOOKUP($A1577,'Concrete Beam Schedule'!$A$2:$Q$2902,R$2,0),"")</f>
        <v>#N/A</v>
      </c>
      <c r="S1577" s="7" t="e">
        <f>IF(VLOOKUP($A1577,'Concrete Beam Schedule'!$A$2:$Q$2902,S$2,0)&lt;&gt;C1577,VLOOKUP($A1577,'Concrete Beam Schedule'!$A$2:$Q$2902,S$2,0),"")</f>
        <v>#N/A</v>
      </c>
      <c r="T1577" s="7" t="e">
        <f>IF(VLOOKUP($A1577,'Concrete Beam Schedule'!$A$2:$Q$2902,T$2,0)&lt;&gt;D1577,"Beam Revised","")</f>
        <v>#N/A</v>
      </c>
      <c r="U1577" s="7" t="e">
        <f>IF(VLOOKUP($A1577,'Concrete Beam Schedule'!$A$2:$Q$2902,U$2,0)&lt;&gt;E1577,"Beam Revised","")</f>
        <v>#N/A</v>
      </c>
      <c r="V1577" s="7" t="e">
        <f>IF(VLOOKUP($A1577,'Concrete Beam Schedule'!$A$2:$Q$2902,V$2,0)&lt;&gt;F1577,"Beam Revised","")</f>
        <v>#N/A</v>
      </c>
      <c r="W1577" s="7" t="e">
        <f>IF(VLOOKUP($A1577,'Concrete Beam Schedule'!$A$2:$Q$2902,W$2,0)&lt;&gt;G1577,"Beam Revised","")</f>
        <v>#N/A</v>
      </c>
      <c r="X1577" s="7" t="e">
        <f>IF(VLOOKUP($A1577,'Concrete Beam Schedule'!$A$2:$Q$2902,X$2,0)&lt;&gt;H1577,"Beam Revised","")</f>
        <v>#N/A</v>
      </c>
      <c r="Y1577" s="7" t="e">
        <f>IF(VLOOKUP($A1577,'Concrete Beam Schedule'!$A$2:$Q$2902,Y$2,0)&lt;&gt;I1577,"Beam Revised","")</f>
        <v>#N/A</v>
      </c>
      <c r="Z1577" s="7" t="e">
        <f>IF(VLOOKUP($A1577,'Concrete Beam Schedule'!$A$2:$Q$2902,Z$2,0)&lt;&gt;J1577,"Beam Revised","")</f>
        <v>#N/A</v>
      </c>
      <c r="AA1577" s="7" t="e">
        <f>IF(VLOOKUP($A1577,'Concrete Beam Schedule'!$A$2:$Q$2902,AA$2,0)&lt;&gt;K1577,"Beam Revised","")</f>
        <v>#N/A</v>
      </c>
      <c r="AB1577" s="7" t="e">
        <f>IF(VLOOKUP($A1577,'Concrete Beam Schedule'!$A$2:$Q$2902,AB$2,0)&lt;&gt;L1577,"Beam Revised","")</f>
        <v>#N/A</v>
      </c>
      <c r="AC1577" s="7" t="e">
        <f>IF(VLOOKUP($A1577,'Concrete Beam Schedule'!$A$2:$Q$2902,AC$2,0)&lt;&gt;M1577,"Beam Revised","")</f>
        <v>#N/A</v>
      </c>
      <c r="AD1577" s="7" t="e">
        <f>IF(VLOOKUP($A1577,'Concrete Beam Schedule'!$A$2:$Q$2902,AD$2,0)&lt;&gt;N1577,"Beam Revised","")</f>
        <v>#N/A</v>
      </c>
      <c r="AE1577" s="7" t="e">
        <f>IF(VLOOKUP($A1577,'Concrete Beam Schedule'!$A$2:$Q$2902,AE$2,0)&lt;&gt;O1577,"Beam Revised","")</f>
        <v>#N/A</v>
      </c>
    </row>
    <row r="1578" spans="17:31" ht="20.100000000000001" customHeight="1" x14ac:dyDescent="0.25">
      <c r="Q1578" s="7">
        <f t="shared" si="24"/>
        <v>0</v>
      </c>
      <c r="R1578" s="7" t="e">
        <f>IF(VLOOKUP($A1578,'Concrete Beam Schedule'!$A$2:$Q$2902,R$2,0)&lt;&gt;B1578,VLOOKUP($A1578,'Concrete Beam Schedule'!$A$2:$Q$2902,R$2,0),"")</f>
        <v>#N/A</v>
      </c>
      <c r="S1578" s="7" t="e">
        <f>IF(VLOOKUP($A1578,'Concrete Beam Schedule'!$A$2:$Q$2902,S$2,0)&lt;&gt;C1578,VLOOKUP($A1578,'Concrete Beam Schedule'!$A$2:$Q$2902,S$2,0),"")</f>
        <v>#N/A</v>
      </c>
      <c r="T1578" s="7" t="e">
        <f>IF(VLOOKUP($A1578,'Concrete Beam Schedule'!$A$2:$Q$2902,T$2,0)&lt;&gt;D1578,"Beam Revised","")</f>
        <v>#N/A</v>
      </c>
      <c r="U1578" s="7" t="e">
        <f>IF(VLOOKUP($A1578,'Concrete Beam Schedule'!$A$2:$Q$2902,U$2,0)&lt;&gt;E1578,"Beam Revised","")</f>
        <v>#N/A</v>
      </c>
      <c r="V1578" s="7" t="e">
        <f>IF(VLOOKUP($A1578,'Concrete Beam Schedule'!$A$2:$Q$2902,V$2,0)&lt;&gt;F1578,"Beam Revised","")</f>
        <v>#N/A</v>
      </c>
      <c r="W1578" s="7" t="e">
        <f>IF(VLOOKUP($A1578,'Concrete Beam Schedule'!$A$2:$Q$2902,W$2,0)&lt;&gt;G1578,"Beam Revised","")</f>
        <v>#N/A</v>
      </c>
      <c r="X1578" s="7" t="e">
        <f>IF(VLOOKUP($A1578,'Concrete Beam Schedule'!$A$2:$Q$2902,X$2,0)&lt;&gt;H1578,"Beam Revised","")</f>
        <v>#N/A</v>
      </c>
      <c r="Y1578" s="7" t="e">
        <f>IF(VLOOKUP($A1578,'Concrete Beam Schedule'!$A$2:$Q$2902,Y$2,0)&lt;&gt;I1578,"Beam Revised","")</f>
        <v>#N/A</v>
      </c>
      <c r="Z1578" s="7" t="e">
        <f>IF(VLOOKUP($A1578,'Concrete Beam Schedule'!$A$2:$Q$2902,Z$2,0)&lt;&gt;J1578,"Beam Revised","")</f>
        <v>#N/A</v>
      </c>
      <c r="AA1578" s="7" t="e">
        <f>IF(VLOOKUP($A1578,'Concrete Beam Schedule'!$A$2:$Q$2902,AA$2,0)&lt;&gt;K1578,"Beam Revised","")</f>
        <v>#N/A</v>
      </c>
      <c r="AB1578" s="7" t="e">
        <f>IF(VLOOKUP($A1578,'Concrete Beam Schedule'!$A$2:$Q$2902,AB$2,0)&lt;&gt;L1578,"Beam Revised","")</f>
        <v>#N/A</v>
      </c>
      <c r="AC1578" s="7" t="e">
        <f>IF(VLOOKUP($A1578,'Concrete Beam Schedule'!$A$2:$Q$2902,AC$2,0)&lt;&gt;M1578,"Beam Revised","")</f>
        <v>#N/A</v>
      </c>
      <c r="AD1578" s="7" t="e">
        <f>IF(VLOOKUP($A1578,'Concrete Beam Schedule'!$A$2:$Q$2902,AD$2,0)&lt;&gt;N1578,"Beam Revised","")</f>
        <v>#N/A</v>
      </c>
      <c r="AE1578" s="7" t="e">
        <f>IF(VLOOKUP($A1578,'Concrete Beam Schedule'!$A$2:$Q$2902,AE$2,0)&lt;&gt;O1578,"Beam Revised","")</f>
        <v>#N/A</v>
      </c>
    </row>
    <row r="1579" spans="17:31" ht="20.100000000000001" customHeight="1" x14ac:dyDescent="0.25">
      <c r="Q1579" s="7">
        <f t="shared" si="24"/>
        <v>0</v>
      </c>
      <c r="R1579" s="7" t="e">
        <f>IF(VLOOKUP($A1579,'Concrete Beam Schedule'!$A$2:$Q$2902,R$2,0)&lt;&gt;B1579,VLOOKUP($A1579,'Concrete Beam Schedule'!$A$2:$Q$2902,R$2,0),"")</f>
        <v>#N/A</v>
      </c>
      <c r="S1579" s="7" t="e">
        <f>IF(VLOOKUP($A1579,'Concrete Beam Schedule'!$A$2:$Q$2902,S$2,0)&lt;&gt;C1579,VLOOKUP($A1579,'Concrete Beam Schedule'!$A$2:$Q$2902,S$2,0),"")</f>
        <v>#N/A</v>
      </c>
      <c r="T1579" s="7" t="e">
        <f>IF(VLOOKUP($A1579,'Concrete Beam Schedule'!$A$2:$Q$2902,T$2,0)&lt;&gt;D1579,"Beam Revised","")</f>
        <v>#N/A</v>
      </c>
      <c r="U1579" s="7" t="e">
        <f>IF(VLOOKUP($A1579,'Concrete Beam Schedule'!$A$2:$Q$2902,U$2,0)&lt;&gt;E1579,"Beam Revised","")</f>
        <v>#N/A</v>
      </c>
      <c r="V1579" s="7" t="e">
        <f>IF(VLOOKUP($A1579,'Concrete Beam Schedule'!$A$2:$Q$2902,V$2,0)&lt;&gt;F1579,"Beam Revised","")</f>
        <v>#N/A</v>
      </c>
      <c r="W1579" s="7" t="e">
        <f>IF(VLOOKUP($A1579,'Concrete Beam Schedule'!$A$2:$Q$2902,W$2,0)&lt;&gt;G1579,"Beam Revised","")</f>
        <v>#N/A</v>
      </c>
      <c r="X1579" s="7" t="e">
        <f>IF(VLOOKUP($A1579,'Concrete Beam Schedule'!$A$2:$Q$2902,X$2,0)&lt;&gt;H1579,"Beam Revised","")</f>
        <v>#N/A</v>
      </c>
      <c r="Y1579" s="7" t="e">
        <f>IF(VLOOKUP($A1579,'Concrete Beam Schedule'!$A$2:$Q$2902,Y$2,0)&lt;&gt;I1579,"Beam Revised","")</f>
        <v>#N/A</v>
      </c>
      <c r="Z1579" s="7" t="e">
        <f>IF(VLOOKUP($A1579,'Concrete Beam Schedule'!$A$2:$Q$2902,Z$2,0)&lt;&gt;J1579,"Beam Revised","")</f>
        <v>#N/A</v>
      </c>
      <c r="AA1579" s="7" t="e">
        <f>IF(VLOOKUP($A1579,'Concrete Beam Schedule'!$A$2:$Q$2902,AA$2,0)&lt;&gt;K1579,"Beam Revised","")</f>
        <v>#N/A</v>
      </c>
      <c r="AB1579" s="7" t="e">
        <f>IF(VLOOKUP($A1579,'Concrete Beam Schedule'!$A$2:$Q$2902,AB$2,0)&lt;&gt;L1579,"Beam Revised","")</f>
        <v>#N/A</v>
      </c>
      <c r="AC1579" s="7" t="e">
        <f>IF(VLOOKUP($A1579,'Concrete Beam Schedule'!$A$2:$Q$2902,AC$2,0)&lt;&gt;M1579,"Beam Revised","")</f>
        <v>#N/A</v>
      </c>
      <c r="AD1579" s="7" t="e">
        <f>IF(VLOOKUP($A1579,'Concrete Beam Schedule'!$A$2:$Q$2902,AD$2,0)&lt;&gt;N1579,"Beam Revised","")</f>
        <v>#N/A</v>
      </c>
      <c r="AE1579" s="7" t="e">
        <f>IF(VLOOKUP($A1579,'Concrete Beam Schedule'!$A$2:$Q$2902,AE$2,0)&lt;&gt;O1579,"Beam Revised","")</f>
        <v>#N/A</v>
      </c>
    </row>
    <row r="1580" spans="17:31" ht="20.100000000000001" customHeight="1" x14ac:dyDescent="0.25">
      <c r="Q1580" s="7">
        <f t="shared" si="24"/>
        <v>0</v>
      </c>
      <c r="R1580" s="7" t="e">
        <f>IF(VLOOKUP($A1580,'Concrete Beam Schedule'!$A$2:$Q$2902,R$2,0)&lt;&gt;B1580,VLOOKUP($A1580,'Concrete Beam Schedule'!$A$2:$Q$2902,R$2,0),"")</f>
        <v>#N/A</v>
      </c>
      <c r="S1580" s="7" t="e">
        <f>IF(VLOOKUP($A1580,'Concrete Beam Schedule'!$A$2:$Q$2902,S$2,0)&lt;&gt;C1580,VLOOKUP($A1580,'Concrete Beam Schedule'!$A$2:$Q$2902,S$2,0),"")</f>
        <v>#N/A</v>
      </c>
      <c r="T1580" s="7" t="e">
        <f>IF(VLOOKUP($A1580,'Concrete Beam Schedule'!$A$2:$Q$2902,T$2,0)&lt;&gt;D1580,"Beam Revised","")</f>
        <v>#N/A</v>
      </c>
      <c r="U1580" s="7" t="e">
        <f>IF(VLOOKUP($A1580,'Concrete Beam Schedule'!$A$2:$Q$2902,U$2,0)&lt;&gt;E1580,"Beam Revised","")</f>
        <v>#N/A</v>
      </c>
      <c r="V1580" s="7" t="e">
        <f>IF(VLOOKUP($A1580,'Concrete Beam Schedule'!$A$2:$Q$2902,V$2,0)&lt;&gt;F1580,"Beam Revised","")</f>
        <v>#N/A</v>
      </c>
      <c r="W1580" s="7" t="e">
        <f>IF(VLOOKUP($A1580,'Concrete Beam Schedule'!$A$2:$Q$2902,W$2,0)&lt;&gt;G1580,"Beam Revised","")</f>
        <v>#N/A</v>
      </c>
      <c r="X1580" s="7" t="e">
        <f>IF(VLOOKUP($A1580,'Concrete Beam Schedule'!$A$2:$Q$2902,X$2,0)&lt;&gt;H1580,"Beam Revised","")</f>
        <v>#N/A</v>
      </c>
      <c r="Y1580" s="7" t="e">
        <f>IF(VLOOKUP($A1580,'Concrete Beam Schedule'!$A$2:$Q$2902,Y$2,0)&lt;&gt;I1580,"Beam Revised","")</f>
        <v>#N/A</v>
      </c>
      <c r="Z1580" s="7" t="e">
        <f>IF(VLOOKUP($A1580,'Concrete Beam Schedule'!$A$2:$Q$2902,Z$2,0)&lt;&gt;J1580,"Beam Revised","")</f>
        <v>#N/A</v>
      </c>
      <c r="AA1580" s="7" t="e">
        <f>IF(VLOOKUP($A1580,'Concrete Beam Schedule'!$A$2:$Q$2902,AA$2,0)&lt;&gt;K1580,"Beam Revised","")</f>
        <v>#N/A</v>
      </c>
      <c r="AB1580" s="7" t="e">
        <f>IF(VLOOKUP($A1580,'Concrete Beam Schedule'!$A$2:$Q$2902,AB$2,0)&lt;&gt;L1580,"Beam Revised","")</f>
        <v>#N/A</v>
      </c>
      <c r="AC1580" s="7" t="e">
        <f>IF(VLOOKUP($A1580,'Concrete Beam Schedule'!$A$2:$Q$2902,AC$2,0)&lt;&gt;M1580,"Beam Revised","")</f>
        <v>#N/A</v>
      </c>
      <c r="AD1580" s="7" t="e">
        <f>IF(VLOOKUP($A1580,'Concrete Beam Schedule'!$A$2:$Q$2902,AD$2,0)&lt;&gt;N1580,"Beam Revised","")</f>
        <v>#N/A</v>
      </c>
      <c r="AE1580" s="7" t="e">
        <f>IF(VLOOKUP($A1580,'Concrete Beam Schedule'!$A$2:$Q$2902,AE$2,0)&lt;&gt;O1580,"Beam Revised","")</f>
        <v>#N/A</v>
      </c>
    </row>
    <row r="1581" spans="17:31" ht="20.100000000000001" customHeight="1" x14ac:dyDescent="0.25">
      <c r="Q1581" s="7">
        <f t="shared" si="24"/>
        <v>0</v>
      </c>
      <c r="R1581" s="7" t="e">
        <f>IF(VLOOKUP($A1581,'Concrete Beam Schedule'!$A$2:$Q$2902,R$2,0)&lt;&gt;B1581,VLOOKUP($A1581,'Concrete Beam Schedule'!$A$2:$Q$2902,R$2,0),"")</f>
        <v>#N/A</v>
      </c>
      <c r="S1581" s="7" t="e">
        <f>IF(VLOOKUP($A1581,'Concrete Beam Schedule'!$A$2:$Q$2902,S$2,0)&lt;&gt;C1581,VLOOKUP($A1581,'Concrete Beam Schedule'!$A$2:$Q$2902,S$2,0),"")</f>
        <v>#N/A</v>
      </c>
      <c r="T1581" s="7" t="e">
        <f>IF(VLOOKUP($A1581,'Concrete Beam Schedule'!$A$2:$Q$2902,T$2,0)&lt;&gt;D1581,"Beam Revised","")</f>
        <v>#N/A</v>
      </c>
      <c r="U1581" s="7" t="e">
        <f>IF(VLOOKUP($A1581,'Concrete Beam Schedule'!$A$2:$Q$2902,U$2,0)&lt;&gt;E1581,"Beam Revised","")</f>
        <v>#N/A</v>
      </c>
      <c r="V1581" s="7" t="e">
        <f>IF(VLOOKUP($A1581,'Concrete Beam Schedule'!$A$2:$Q$2902,V$2,0)&lt;&gt;F1581,"Beam Revised","")</f>
        <v>#N/A</v>
      </c>
      <c r="W1581" s="7" t="e">
        <f>IF(VLOOKUP($A1581,'Concrete Beam Schedule'!$A$2:$Q$2902,W$2,0)&lt;&gt;G1581,"Beam Revised","")</f>
        <v>#N/A</v>
      </c>
      <c r="X1581" s="7" t="e">
        <f>IF(VLOOKUP($A1581,'Concrete Beam Schedule'!$A$2:$Q$2902,X$2,0)&lt;&gt;H1581,"Beam Revised","")</f>
        <v>#N/A</v>
      </c>
      <c r="Y1581" s="7" t="e">
        <f>IF(VLOOKUP($A1581,'Concrete Beam Schedule'!$A$2:$Q$2902,Y$2,0)&lt;&gt;I1581,"Beam Revised","")</f>
        <v>#N/A</v>
      </c>
      <c r="Z1581" s="7" t="e">
        <f>IF(VLOOKUP($A1581,'Concrete Beam Schedule'!$A$2:$Q$2902,Z$2,0)&lt;&gt;J1581,"Beam Revised","")</f>
        <v>#N/A</v>
      </c>
      <c r="AA1581" s="7" t="e">
        <f>IF(VLOOKUP($A1581,'Concrete Beam Schedule'!$A$2:$Q$2902,AA$2,0)&lt;&gt;K1581,"Beam Revised","")</f>
        <v>#N/A</v>
      </c>
      <c r="AB1581" s="7" t="e">
        <f>IF(VLOOKUP($A1581,'Concrete Beam Schedule'!$A$2:$Q$2902,AB$2,0)&lt;&gt;L1581,"Beam Revised","")</f>
        <v>#N/A</v>
      </c>
      <c r="AC1581" s="7" t="e">
        <f>IF(VLOOKUP($A1581,'Concrete Beam Schedule'!$A$2:$Q$2902,AC$2,0)&lt;&gt;M1581,"Beam Revised","")</f>
        <v>#N/A</v>
      </c>
      <c r="AD1581" s="7" t="e">
        <f>IF(VLOOKUP($A1581,'Concrete Beam Schedule'!$A$2:$Q$2902,AD$2,0)&lt;&gt;N1581,"Beam Revised","")</f>
        <v>#N/A</v>
      </c>
      <c r="AE1581" s="7" t="e">
        <f>IF(VLOOKUP($A1581,'Concrete Beam Schedule'!$A$2:$Q$2902,AE$2,0)&lt;&gt;O1581,"Beam Revised","")</f>
        <v>#N/A</v>
      </c>
    </row>
    <row r="1582" spans="17:31" ht="20.100000000000001" customHeight="1" x14ac:dyDescent="0.25">
      <c r="Q1582" s="7">
        <f t="shared" si="24"/>
        <v>0</v>
      </c>
      <c r="R1582" s="7" t="e">
        <f>IF(VLOOKUP($A1582,'Concrete Beam Schedule'!$A$2:$Q$2902,R$2,0)&lt;&gt;B1582,VLOOKUP($A1582,'Concrete Beam Schedule'!$A$2:$Q$2902,R$2,0),"")</f>
        <v>#N/A</v>
      </c>
      <c r="S1582" s="7" t="e">
        <f>IF(VLOOKUP($A1582,'Concrete Beam Schedule'!$A$2:$Q$2902,S$2,0)&lt;&gt;C1582,VLOOKUP($A1582,'Concrete Beam Schedule'!$A$2:$Q$2902,S$2,0),"")</f>
        <v>#N/A</v>
      </c>
      <c r="T1582" s="7" t="e">
        <f>IF(VLOOKUP($A1582,'Concrete Beam Schedule'!$A$2:$Q$2902,T$2,0)&lt;&gt;D1582,"Beam Revised","")</f>
        <v>#N/A</v>
      </c>
      <c r="U1582" s="7" t="e">
        <f>IF(VLOOKUP($A1582,'Concrete Beam Schedule'!$A$2:$Q$2902,U$2,0)&lt;&gt;E1582,"Beam Revised","")</f>
        <v>#N/A</v>
      </c>
      <c r="V1582" s="7" t="e">
        <f>IF(VLOOKUP($A1582,'Concrete Beam Schedule'!$A$2:$Q$2902,V$2,0)&lt;&gt;F1582,"Beam Revised","")</f>
        <v>#N/A</v>
      </c>
      <c r="W1582" s="7" t="e">
        <f>IF(VLOOKUP($A1582,'Concrete Beam Schedule'!$A$2:$Q$2902,W$2,0)&lt;&gt;G1582,"Beam Revised","")</f>
        <v>#N/A</v>
      </c>
      <c r="X1582" s="7" t="e">
        <f>IF(VLOOKUP($A1582,'Concrete Beam Schedule'!$A$2:$Q$2902,X$2,0)&lt;&gt;H1582,"Beam Revised","")</f>
        <v>#N/A</v>
      </c>
      <c r="Y1582" s="7" t="e">
        <f>IF(VLOOKUP($A1582,'Concrete Beam Schedule'!$A$2:$Q$2902,Y$2,0)&lt;&gt;I1582,"Beam Revised","")</f>
        <v>#N/A</v>
      </c>
      <c r="Z1582" s="7" t="e">
        <f>IF(VLOOKUP($A1582,'Concrete Beam Schedule'!$A$2:$Q$2902,Z$2,0)&lt;&gt;J1582,"Beam Revised","")</f>
        <v>#N/A</v>
      </c>
      <c r="AA1582" s="7" t="e">
        <f>IF(VLOOKUP($A1582,'Concrete Beam Schedule'!$A$2:$Q$2902,AA$2,0)&lt;&gt;K1582,"Beam Revised","")</f>
        <v>#N/A</v>
      </c>
      <c r="AB1582" s="7" t="e">
        <f>IF(VLOOKUP($A1582,'Concrete Beam Schedule'!$A$2:$Q$2902,AB$2,0)&lt;&gt;L1582,"Beam Revised","")</f>
        <v>#N/A</v>
      </c>
      <c r="AC1582" s="7" t="e">
        <f>IF(VLOOKUP($A1582,'Concrete Beam Schedule'!$A$2:$Q$2902,AC$2,0)&lt;&gt;M1582,"Beam Revised","")</f>
        <v>#N/A</v>
      </c>
      <c r="AD1582" s="7" t="e">
        <f>IF(VLOOKUP($A1582,'Concrete Beam Schedule'!$A$2:$Q$2902,AD$2,0)&lt;&gt;N1582,"Beam Revised","")</f>
        <v>#N/A</v>
      </c>
      <c r="AE1582" s="7" t="e">
        <f>IF(VLOOKUP($A1582,'Concrete Beam Schedule'!$A$2:$Q$2902,AE$2,0)&lt;&gt;O1582,"Beam Revised","")</f>
        <v>#N/A</v>
      </c>
    </row>
    <row r="1583" spans="17:31" ht="20.100000000000001" customHeight="1" x14ac:dyDescent="0.25">
      <c r="Q1583" s="7">
        <f t="shared" si="24"/>
        <v>0</v>
      </c>
      <c r="R1583" s="7" t="e">
        <f>IF(VLOOKUP($A1583,'Concrete Beam Schedule'!$A$2:$Q$2902,R$2,0)&lt;&gt;B1583,VLOOKUP($A1583,'Concrete Beam Schedule'!$A$2:$Q$2902,R$2,0),"")</f>
        <v>#N/A</v>
      </c>
      <c r="S1583" s="7" t="e">
        <f>IF(VLOOKUP($A1583,'Concrete Beam Schedule'!$A$2:$Q$2902,S$2,0)&lt;&gt;C1583,VLOOKUP($A1583,'Concrete Beam Schedule'!$A$2:$Q$2902,S$2,0),"")</f>
        <v>#N/A</v>
      </c>
      <c r="T1583" s="7" t="e">
        <f>IF(VLOOKUP($A1583,'Concrete Beam Schedule'!$A$2:$Q$2902,T$2,0)&lt;&gt;D1583,"Beam Revised","")</f>
        <v>#N/A</v>
      </c>
      <c r="U1583" s="7" t="e">
        <f>IF(VLOOKUP($A1583,'Concrete Beam Schedule'!$A$2:$Q$2902,U$2,0)&lt;&gt;E1583,"Beam Revised","")</f>
        <v>#N/A</v>
      </c>
      <c r="V1583" s="7" t="e">
        <f>IF(VLOOKUP($A1583,'Concrete Beam Schedule'!$A$2:$Q$2902,V$2,0)&lt;&gt;F1583,"Beam Revised","")</f>
        <v>#N/A</v>
      </c>
      <c r="W1583" s="7" t="e">
        <f>IF(VLOOKUP($A1583,'Concrete Beam Schedule'!$A$2:$Q$2902,W$2,0)&lt;&gt;G1583,"Beam Revised","")</f>
        <v>#N/A</v>
      </c>
      <c r="X1583" s="7" t="e">
        <f>IF(VLOOKUP($A1583,'Concrete Beam Schedule'!$A$2:$Q$2902,X$2,0)&lt;&gt;H1583,"Beam Revised","")</f>
        <v>#N/A</v>
      </c>
      <c r="Y1583" s="7" t="e">
        <f>IF(VLOOKUP($A1583,'Concrete Beam Schedule'!$A$2:$Q$2902,Y$2,0)&lt;&gt;I1583,"Beam Revised","")</f>
        <v>#N/A</v>
      </c>
      <c r="Z1583" s="7" t="e">
        <f>IF(VLOOKUP($A1583,'Concrete Beam Schedule'!$A$2:$Q$2902,Z$2,0)&lt;&gt;J1583,"Beam Revised","")</f>
        <v>#N/A</v>
      </c>
      <c r="AA1583" s="7" t="e">
        <f>IF(VLOOKUP($A1583,'Concrete Beam Schedule'!$A$2:$Q$2902,AA$2,0)&lt;&gt;K1583,"Beam Revised","")</f>
        <v>#N/A</v>
      </c>
      <c r="AB1583" s="7" t="e">
        <f>IF(VLOOKUP($A1583,'Concrete Beam Schedule'!$A$2:$Q$2902,AB$2,0)&lt;&gt;L1583,"Beam Revised","")</f>
        <v>#N/A</v>
      </c>
      <c r="AC1583" s="7" t="e">
        <f>IF(VLOOKUP($A1583,'Concrete Beam Schedule'!$A$2:$Q$2902,AC$2,0)&lt;&gt;M1583,"Beam Revised","")</f>
        <v>#N/A</v>
      </c>
      <c r="AD1583" s="7" t="e">
        <f>IF(VLOOKUP($A1583,'Concrete Beam Schedule'!$A$2:$Q$2902,AD$2,0)&lt;&gt;N1583,"Beam Revised","")</f>
        <v>#N/A</v>
      </c>
      <c r="AE1583" s="7" t="e">
        <f>IF(VLOOKUP($A1583,'Concrete Beam Schedule'!$A$2:$Q$2902,AE$2,0)&lt;&gt;O1583,"Beam Revised","")</f>
        <v>#N/A</v>
      </c>
    </row>
    <row r="1584" spans="17:31" ht="20.100000000000001" customHeight="1" x14ac:dyDescent="0.25">
      <c r="Q1584" s="7">
        <f t="shared" si="24"/>
        <v>0</v>
      </c>
      <c r="R1584" s="7" t="e">
        <f>IF(VLOOKUP($A1584,'Concrete Beam Schedule'!$A$2:$Q$2902,R$2,0)&lt;&gt;B1584,VLOOKUP($A1584,'Concrete Beam Schedule'!$A$2:$Q$2902,R$2,0),"")</f>
        <v>#N/A</v>
      </c>
      <c r="S1584" s="7" t="e">
        <f>IF(VLOOKUP($A1584,'Concrete Beam Schedule'!$A$2:$Q$2902,S$2,0)&lt;&gt;C1584,VLOOKUP($A1584,'Concrete Beam Schedule'!$A$2:$Q$2902,S$2,0),"")</f>
        <v>#N/A</v>
      </c>
      <c r="T1584" s="7" t="e">
        <f>IF(VLOOKUP($A1584,'Concrete Beam Schedule'!$A$2:$Q$2902,T$2,0)&lt;&gt;D1584,"Beam Revised","")</f>
        <v>#N/A</v>
      </c>
      <c r="U1584" s="7" t="e">
        <f>IF(VLOOKUP($A1584,'Concrete Beam Schedule'!$A$2:$Q$2902,U$2,0)&lt;&gt;E1584,"Beam Revised","")</f>
        <v>#N/A</v>
      </c>
      <c r="V1584" s="7" t="e">
        <f>IF(VLOOKUP($A1584,'Concrete Beam Schedule'!$A$2:$Q$2902,V$2,0)&lt;&gt;F1584,"Beam Revised","")</f>
        <v>#N/A</v>
      </c>
      <c r="W1584" s="7" t="e">
        <f>IF(VLOOKUP($A1584,'Concrete Beam Schedule'!$A$2:$Q$2902,W$2,0)&lt;&gt;G1584,"Beam Revised","")</f>
        <v>#N/A</v>
      </c>
      <c r="X1584" s="7" t="e">
        <f>IF(VLOOKUP($A1584,'Concrete Beam Schedule'!$A$2:$Q$2902,X$2,0)&lt;&gt;H1584,"Beam Revised","")</f>
        <v>#N/A</v>
      </c>
      <c r="Y1584" s="7" t="e">
        <f>IF(VLOOKUP($A1584,'Concrete Beam Schedule'!$A$2:$Q$2902,Y$2,0)&lt;&gt;I1584,"Beam Revised","")</f>
        <v>#N/A</v>
      </c>
      <c r="Z1584" s="7" t="e">
        <f>IF(VLOOKUP($A1584,'Concrete Beam Schedule'!$A$2:$Q$2902,Z$2,0)&lt;&gt;J1584,"Beam Revised","")</f>
        <v>#N/A</v>
      </c>
      <c r="AA1584" s="7" t="e">
        <f>IF(VLOOKUP($A1584,'Concrete Beam Schedule'!$A$2:$Q$2902,AA$2,0)&lt;&gt;K1584,"Beam Revised","")</f>
        <v>#N/A</v>
      </c>
      <c r="AB1584" s="7" t="e">
        <f>IF(VLOOKUP($A1584,'Concrete Beam Schedule'!$A$2:$Q$2902,AB$2,0)&lt;&gt;L1584,"Beam Revised","")</f>
        <v>#N/A</v>
      </c>
      <c r="AC1584" s="7" t="e">
        <f>IF(VLOOKUP($A1584,'Concrete Beam Schedule'!$A$2:$Q$2902,AC$2,0)&lt;&gt;M1584,"Beam Revised","")</f>
        <v>#N/A</v>
      </c>
      <c r="AD1584" s="7" t="e">
        <f>IF(VLOOKUP($A1584,'Concrete Beam Schedule'!$A$2:$Q$2902,AD$2,0)&lt;&gt;N1584,"Beam Revised","")</f>
        <v>#N/A</v>
      </c>
      <c r="AE1584" s="7" t="e">
        <f>IF(VLOOKUP($A1584,'Concrete Beam Schedule'!$A$2:$Q$2902,AE$2,0)&lt;&gt;O1584,"Beam Revised","")</f>
        <v>#N/A</v>
      </c>
    </row>
    <row r="1585" spans="17:31" ht="20.100000000000001" customHeight="1" x14ac:dyDescent="0.25">
      <c r="Q1585" s="7">
        <f t="shared" si="24"/>
        <v>0</v>
      </c>
      <c r="R1585" s="7" t="e">
        <f>IF(VLOOKUP($A1585,'Concrete Beam Schedule'!$A$2:$Q$2902,R$2,0)&lt;&gt;B1585,VLOOKUP($A1585,'Concrete Beam Schedule'!$A$2:$Q$2902,R$2,0),"")</f>
        <v>#N/A</v>
      </c>
      <c r="S1585" s="7" t="e">
        <f>IF(VLOOKUP($A1585,'Concrete Beam Schedule'!$A$2:$Q$2902,S$2,0)&lt;&gt;C1585,VLOOKUP($A1585,'Concrete Beam Schedule'!$A$2:$Q$2902,S$2,0),"")</f>
        <v>#N/A</v>
      </c>
      <c r="T1585" s="7" t="e">
        <f>IF(VLOOKUP($A1585,'Concrete Beam Schedule'!$A$2:$Q$2902,T$2,0)&lt;&gt;D1585,"Beam Revised","")</f>
        <v>#N/A</v>
      </c>
      <c r="U1585" s="7" t="e">
        <f>IF(VLOOKUP($A1585,'Concrete Beam Schedule'!$A$2:$Q$2902,U$2,0)&lt;&gt;E1585,"Beam Revised","")</f>
        <v>#N/A</v>
      </c>
      <c r="V1585" s="7" t="e">
        <f>IF(VLOOKUP($A1585,'Concrete Beam Schedule'!$A$2:$Q$2902,V$2,0)&lt;&gt;F1585,"Beam Revised","")</f>
        <v>#N/A</v>
      </c>
      <c r="W1585" s="7" t="e">
        <f>IF(VLOOKUP($A1585,'Concrete Beam Schedule'!$A$2:$Q$2902,W$2,0)&lt;&gt;G1585,"Beam Revised","")</f>
        <v>#N/A</v>
      </c>
      <c r="X1585" s="7" t="e">
        <f>IF(VLOOKUP($A1585,'Concrete Beam Schedule'!$A$2:$Q$2902,X$2,0)&lt;&gt;H1585,"Beam Revised","")</f>
        <v>#N/A</v>
      </c>
      <c r="Y1585" s="7" t="e">
        <f>IF(VLOOKUP($A1585,'Concrete Beam Schedule'!$A$2:$Q$2902,Y$2,0)&lt;&gt;I1585,"Beam Revised","")</f>
        <v>#N/A</v>
      </c>
      <c r="Z1585" s="7" t="e">
        <f>IF(VLOOKUP($A1585,'Concrete Beam Schedule'!$A$2:$Q$2902,Z$2,0)&lt;&gt;J1585,"Beam Revised","")</f>
        <v>#N/A</v>
      </c>
      <c r="AA1585" s="7" t="e">
        <f>IF(VLOOKUP($A1585,'Concrete Beam Schedule'!$A$2:$Q$2902,AA$2,0)&lt;&gt;K1585,"Beam Revised","")</f>
        <v>#N/A</v>
      </c>
      <c r="AB1585" s="7" t="e">
        <f>IF(VLOOKUP($A1585,'Concrete Beam Schedule'!$A$2:$Q$2902,AB$2,0)&lt;&gt;L1585,"Beam Revised","")</f>
        <v>#N/A</v>
      </c>
      <c r="AC1585" s="7" t="e">
        <f>IF(VLOOKUP($A1585,'Concrete Beam Schedule'!$A$2:$Q$2902,AC$2,0)&lt;&gt;M1585,"Beam Revised","")</f>
        <v>#N/A</v>
      </c>
      <c r="AD1585" s="7" t="e">
        <f>IF(VLOOKUP($A1585,'Concrete Beam Schedule'!$A$2:$Q$2902,AD$2,0)&lt;&gt;N1585,"Beam Revised","")</f>
        <v>#N/A</v>
      </c>
      <c r="AE1585" s="7" t="e">
        <f>IF(VLOOKUP($A1585,'Concrete Beam Schedule'!$A$2:$Q$2902,AE$2,0)&lt;&gt;O1585,"Beam Revised","")</f>
        <v>#N/A</v>
      </c>
    </row>
    <row r="1586" spans="17:31" ht="20.100000000000001" customHeight="1" x14ac:dyDescent="0.25">
      <c r="Q1586" s="7">
        <f t="shared" si="24"/>
        <v>0</v>
      </c>
      <c r="R1586" s="7" t="e">
        <f>IF(VLOOKUP($A1586,'Concrete Beam Schedule'!$A$2:$Q$2902,R$2,0)&lt;&gt;B1586,VLOOKUP($A1586,'Concrete Beam Schedule'!$A$2:$Q$2902,R$2,0),"")</f>
        <v>#N/A</v>
      </c>
      <c r="S1586" s="7" t="e">
        <f>IF(VLOOKUP($A1586,'Concrete Beam Schedule'!$A$2:$Q$2902,S$2,0)&lt;&gt;C1586,VLOOKUP($A1586,'Concrete Beam Schedule'!$A$2:$Q$2902,S$2,0),"")</f>
        <v>#N/A</v>
      </c>
      <c r="T1586" s="7" t="e">
        <f>IF(VLOOKUP($A1586,'Concrete Beam Schedule'!$A$2:$Q$2902,T$2,0)&lt;&gt;D1586,"Beam Revised","")</f>
        <v>#N/A</v>
      </c>
      <c r="U1586" s="7" t="e">
        <f>IF(VLOOKUP($A1586,'Concrete Beam Schedule'!$A$2:$Q$2902,U$2,0)&lt;&gt;E1586,"Beam Revised","")</f>
        <v>#N/A</v>
      </c>
      <c r="V1586" s="7" t="e">
        <f>IF(VLOOKUP($A1586,'Concrete Beam Schedule'!$A$2:$Q$2902,V$2,0)&lt;&gt;F1586,"Beam Revised","")</f>
        <v>#N/A</v>
      </c>
      <c r="W1586" s="7" t="e">
        <f>IF(VLOOKUP($A1586,'Concrete Beam Schedule'!$A$2:$Q$2902,W$2,0)&lt;&gt;G1586,"Beam Revised","")</f>
        <v>#N/A</v>
      </c>
      <c r="X1586" s="7" t="e">
        <f>IF(VLOOKUP($A1586,'Concrete Beam Schedule'!$A$2:$Q$2902,X$2,0)&lt;&gt;H1586,"Beam Revised","")</f>
        <v>#N/A</v>
      </c>
      <c r="Y1586" s="7" t="e">
        <f>IF(VLOOKUP($A1586,'Concrete Beam Schedule'!$A$2:$Q$2902,Y$2,0)&lt;&gt;I1586,"Beam Revised","")</f>
        <v>#N/A</v>
      </c>
      <c r="Z1586" s="7" t="e">
        <f>IF(VLOOKUP($A1586,'Concrete Beam Schedule'!$A$2:$Q$2902,Z$2,0)&lt;&gt;J1586,"Beam Revised","")</f>
        <v>#N/A</v>
      </c>
      <c r="AA1586" s="7" t="e">
        <f>IF(VLOOKUP($A1586,'Concrete Beam Schedule'!$A$2:$Q$2902,AA$2,0)&lt;&gt;K1586,"Beam Revised","")</f>
        <v>#N/A</v>
      </c>
      <c r="AB1586" s="7" t="e">
        <f>IF(VLOOKUP($A1586,'Concrete Beam Schedule'!$A$2:$Q$2902,AB$2,0)&lt;&gt;L1586,"Beam Revised","")</f>
        <v>#N/A</v>
      </c>
      <c r="AC1586" s="7" t="e">
        <f>IF(VLOOKUP($A1586,'Concrete Beam Schedule'!$A$2:$Q$2902,AC$2,0)&lt;&gt;M1586,"Beam Revised","")</f>
        <v>#N/A</v>
      </c>
      <c r="AD1586" s="7" t="e">
        <f>IF(VLOOKUP($A1586,'Concrete Beam Schedule'!$A$2:$Q$2902,AD$2,0)&lt;&gt;N1586,"Beam Revised","")</f>
        <v>#N/A</v>
      </c>
      <c r="AE1586" s="7" t="e">
        <f>IF(VLOOKUP($A1586,'Concrete Beam Schedule'!$A$2:$Q$2902,AE$2,0)&lt;&gt;O1586,"Beam Revised","")</f>
        <v>#N/A</v>
      </c>
    </row>
    <row r="1587" spans="17:31" ht="20.100000000000001" customHeight="1" x14ac:dyDescent="0.25">
      <c r="Q1587" s="7">
        <f t="shared" si="24"/>
        <v>0</v>
      </c>
      <c r="R1587" s="7" t="e">
        <f>IF(VLOOKUP($A1587,'Concrete Beam Schedule'!$A$2:$Q$2902,R$2,0)&lt;&gt;B1587,VLOOKUP($A1587,'Concrete Beam Schedule'!$A$2:$Q$2902,R$2,0),"")</f>
        <v>#N/A</v>
      </c>
      <c r="S1587" s="7" t="e">
        <f>IF(VLOOKUP($A1587,'Concrete Beam Schedule'!$A$2:$Q$2902,S$2,0)&lt;&gt;C1587,VLOOKUP($A1587,'Concrete Beam Schedule'!$A$2:$Q$2902,S$2,0),"")</f>
        <v>#N/A</v>
      </c>
      <c r="T1587" s="7" t="e">
        <f>IF(VLOOKUP($A1587,'Concrete Beam Schedule'!$A$2:$Q$2902,T$2,0)&lt;&gt;D1587,"Beam Revised","")</f>
        <v>#N/A</v>
      </c>
      <c r="U1587" s="7" t="e">
        <f>IF(VLOOKUP($A1587,'Concrete Beam Schedule'!$A$2:$Q$2902,U$2,0)&lt;&gt;E1587,"Beam Revised","")</f>
        <v>#N/A</v>
      </c>
      <c r="V1587" s="7" t="e">
        <f>IF(VLOOKUP($A1587,'Concrete Beam Schedule'!$A$2:$Q$2902,V$2,0)&lt;&gt;F1587,"Beam Revised","")</f>
        <v>#N/A</v>
      </c>
      <c r="W1587" s="7" t="e">
        <f>IF(VLOOKUP($A1587,'Concrete Beam Schedule'!$A$2:$Q$2902,W$2,0)&lt;&gt;G1587,"Beam Revised","")</f>
        <v>#N/A</v>
      </c>
      <c r="X1587" s="7" t="e">
        <f>IF(VLOOKUP($A1587,'Concrete Beam Schedule'!$A$2:$Q$2902,X$2,0)&lt;&gt;H1587,"Beam Revised","")</f>
        <v>#N/A</v>
      </c>
      <c r="Y1587" s="7" t="e">
        <f>IF(VLOOKUP($A1587,'Concrete Beam Schedule'!$A$2:$Q$2902,Y$2,0)&lt;&gt;I1587,"Beam Revised","")</f>
        <v>#N/A</v>
      </c>
      <c r="Z1587" s="7" t="e">
        <f>IF(VLOOKUP($A1587,'Concrete Beam Schedule'!$A$2:$Q$2902,Z$2,0)&lt;&gt;J1587,"Beam Revised","")</f>
        <v>#N/A</v>
      </c>
      <c r="AA1587" s="7" t="e">
        <f>IF(VLOOKUP($A1587,'Concrete Beam Schedule'!$A$2:$Q$2902,AA$2,0)&lt;&gt;K1587,"Beam Revised","")</f>
        <v>#N/A</v>
      </c>
      <c r="AB1587" s="7" t="e">
        <f>IF(VLOOKUP($A1587,'Concrete Beam Schedule'!$A$2:$Q$2902,AB$2,0)&lt;&gt;L1587,"Beam Revised","")</f>
        <v>#N/A</v>
      </c>
      <c r="AC1587" s="7" t="e">
        <f>IF(VLOOKUP($A1587,'Concrete Beam Schedule'!$A$2:$Q$2902,AC$2,0)&lt;&gt;M1587,"Beam Revised","")</f>
        <v>#N/A</v>
      </c>
      <c r="AD1587" s="7" t="e">
        <f>IF(VLOOKUP($A1587,'Concrete Beam Schedule'!$A$2:$Q$2902,AD$2,0)&lt;&gt;N1587,"Beam Revised","")</f>
        <v>#N/A</v>
      </c>
      <c r="AE1587" s="7" t="e">
        <f>IF(VLOOKUP($A1587,'Concrete Beam Schedule'!$A$2:$Q$2902,AE$2,0)&lt;&gt;O1587,"Beam Revised","")</f>
        <v>#N/A</v>
      </c>
    </row>
    <row r="1588" spans="17:31" ht="20.100000000000001" customHeight="1" x14ac:dyDescent="0.25">
      <c r="Q1588" s="7">
        <f t="shared" si="24"/>
        <v>0</v>
      </c>
      <c r="R1588" s="7" t="e">
        <f>IF(VLOOKUP($A1588,'Concrete Beam Schedule'!$A$2:$Q$2902,R$2,0)&lt;&gt;B1588,VLOOKUP($A1588,'Concrete Beam Schedule'!$A$2:$Q$2902,R$2,0),"")</f>
        <v>#N/A</v>
      </c>
      <c r="S1588" s="7" t="e">
        <f>IF(VLOOKUP($A1588,'Concrete Beam Schedule'!$A$2:$Q$2902,S$2,0)&lt;&gt;C1588,VLOOKUP($A1588,'Concrete Beam Schedule'!$A$2:$Q$2902,S$2,0),"")</f>
        <v>#N/A</v>
      </c>
      <c r="T1588" s="7" t="e">
        <f>IF(VLOOKUP($A1588,'Concrete Beam Schedule'!$A$2:$Q$2902,T$2,0)&lt;&gt;D1588,"Beam Revised","")</f>
        <v>#N/A</v>
      </c>
      <c r="U1588" s="7" t="e">
        <f>IF(VLOOKUP($A1588,'Concrete Beam Schedule'!$A$2:$Q$2902,U$2,0)&lt;&gt;E1588,"Beam Revised","")</f>
        <v>#N/A</v>
      </c>
      <c r="V1588" s="7" t="e">
        <f>IF(VLOOKUP($A1588,'Concrete Beam Schedule'!$A$2:$Q$2902,V$2,0)&lt;&gt;F1588,"Beam Revised","")</f>
        <v>#N/A</v>
      </c>
      <c r="W1588" s="7" t="e">
        <f>IF(VLOOKUP($A1588,'Concrete Beam Schedule'!$A$2:$Q$2902,W$2,0)&lt;&gt;G1588,"Beam Revised","")</f>
        <v>#N/A</v>
      </c>
      <c r="X1588" s="7" t="e">
        <f>IF(VLOOKUP($A1588,'Concrete Beam Schedule'!$A$2:$Q$2902,X$2,0)&lt;&gt;H1588,"Beam Revised","")</f>
        <v>#N/A</v>
      </c>
      <c r="Y1588" s="7" t="e">
        <f>IF(VLOOKUP($A1588,'Concrete Beam Schedule'!$A$2:$Q$2902,Y$2,0)&lt;&gt;I1588,"Beam Revised","")</f>
        <v>#N/A</v>
      </c>
      <c r="Z1588" s="7" t="e">
        <f>IF(VLOOKUP($A1588,'Concrete Beam Schedule'!$A$2:$Q$2902,Z$2,0)&lt;&gt;J1588,"Beam Revised","")</f>
        <v>#N/A</v>
      </c>
      <c r="AA1588" s="7" t="e">
        <f>IF(VLOOKUP($A1588,'Concrete Beam Schedule'!$A$2:$Q$2902,AA$2,0)&lt;&gt;K1588,"Beam Revised","")</f>
        <v>#N/A</v>
      </c>
      <c r="AB1588" s="7" t="e">
        <f>IF(VLOOKUP($A1588,'Concrete Beam Schedule'!$A$2:$Q$2902,AB$2,0)&lt;&gt;L1588,"Beam Revised","")</f>
        <v>#N/A</v>
      </c>
      <c r="AC1588" s="7" t="e">
        <f>IF(VLOOKUP($A1588,'Concrete Beam Schedule'!$A$2:$Q$2902,AC$2,0)&lt;&gt;M1588,"Beam Revised","")</f>
        <v>#N/A</v>
      </c>
      <c r="AD1588" s="7" t="e">
        <f>IF(VLOOKUP($A1588,'Concrete Beam Schedule'!$A$2:$Q$2902,AD$2,0)&lt;&gt;N1588,"Beam Revised","")</f>
        <v>#N/A</v>
      </c>
      <c r="AE1588" s="7" t="e">
        <f>IF(VLOOKUP($A1588,'Concrete Beam Schedule'!$A$2:$Q$2902,AE$2,0)&lt;&gt;O1588,"Beam Revised","")</f>
        <v>#N/A</v>
      </c>
    </row>
    <row r="1589" spans="17:31" ht="20.100000000000001" customHeight="1" x14ac:dyDescent="0.25">
      <c r="Q1589" s="7">
        <f t="shared" si="24"/>
        <v>0</v>
      </c>
      <c r="R1589" s="7" t="e">
        <f>IF(VLOOKUP($A1589,'Concrete Beam Schedule'!$A$2:$Q$2902,R$2,0)&lt;&gt;B1589,VLOOKUP($A1589,'Concrete Beam Schedule'!$A$2:$Q$2902,R$2,0),"")</f>
        <v>#N/A</v>
      </c>
      <c r="S1589" s="7" t="e">
        <f>IF(VLOOKUP($A1589,'Concrete Beam Schedule'!$A$2:$Q$2902,S$2,0)&lt;&gt;C1589,VLOOKUP($A1589,'Concrete Beam Schedule'!$A$2:$Q$2902,S$2,0),"")</f>
        <v>#N/A</v>
      </c>
      <c r="T1589" s="7" t="e">
        <f>IF(VLOOKUP($A1589,'Concrete Beam Schedule'!$A$2:$Q$2902,T$2,0)&lt;&gt;D1589,"Beam Revised","")</f>
        <v>#N/A</v>
      </c>
      <c r="U1589" s="7" t="e">
        <f>IF(VLOOKUP($A1589,'Concrete Beam Schedule'!$A$2:$Q$2902,U$2,0)&lt;&gt;E1589,"Beam Revised","")</f>
        <v>#N/A</v>
      </c>
      <c r="V1589" s="7" t="e">
        <f>IF(VLOOKUP($A1589,'Concrete Beam Schedule'!$A$2:$Q$2902,V$2,0)&lt;&gt;F1589,"Beam Revised","")</f>
        <v>#N/A</v>
      </c>
      <c r="W1589" s="7" t="e">
        <f>IF(VLOOKUP($A1589,'Concrete Beam Schedule'!$A$2:$Q$2902,W$2,0)&lt;&gt;G1589,"Beam Revised","")</f>
        <v>#N/A</v>
      </c>
      <c r="X1589" s="7" t="e">
        <f>IF(VLOOKUP($A1589,'Concrete Beam Schedule'!$A$2:$Q$2902,X$2,0)&lt;&gt;H1589,"Beam Revised","")</f>
        <v>#N/A</v>
      </c>
      <c r="Y1589" s="7" t="e">
        <f>IF(VLOOKUP($A1589,'Concrete Beam Schedule'!$A$2:$Q$2902,Y$2,0)&lt;&gt;I1589,"Beam Revised","")</f>
        <v>#N/A</v>
      </c>
      <c r="Z1589" s="7" t="e">
        <f>IF(VLOOKUP($A1589,'Concrete Beam Schedule'!$A$2:$Q$2902,Z$2,0)&lt;&gt;J1589,"Beam Revised","")</f>
        <v>#N/A</v>
      </c>
      <c r="AA1589" s="7" t="e">
        <f>IF(VLOOKUP($A1589,'Concrete Beam Schedule'!$A$2:$Q$2902,AA$2,0)&lt;&gt;K1589,"Beam Revised","")</f>
        <v>#N/A</v>
      </c>
      <c r="AB1589" s="7" t="e">
        <f>IF(VLOOKUP($A1589,'Concrete Beam Schedule'!$A$2:$Q$2902,AB$2,0)&lt;&gt;L1589,"Beam Revised","")</f>
        <v>#N/A</v>
      </c>
      <c r="AC1589" s="7" t="e">
        <f>IF(VLOOKUP($A1589,'Concrete Beam Schedule'!$A$2:$Q$2902,AC$2,0)&lt;&gt;M1589,"Beam Revised","")</f>
        <v>#N/A</v>
      </c>
      <c r="AD1589" s="7" t="e">
        <f>IF(VLOOKUP($A1589,'Concrete Beam Schedule'!$A$2:$Q$2902,AD$2,0)&lt;&gt;N1589,"Beam Revised","")</f>
        <v>#N/A</v>
      </c>
      <c r="AE1589" s="7" t="e">
        <f>IF(VLOOKUP($A1589,'Concrete Beam Schedule'!$A$2:$Q$2902,AE$2,0)&lt;&gt;O1589,"Beam Revised","")</f>
        <v>#N/A</v>
      </c>
    </row>
    <row r="1590" spans="17:31" ht="20.100000000000001" customHeight="1" x14ac:dyDescent="0.25">
      <c r="Q1590" s="7">
        <f t="shared" si="24"/>
        <v>0</v>
      </c>
      <c r="R1590" s="7" t="e">
        <f>IF(VLOOKUP($A1590,'Concrete Beam Schedule'!$A$2:$Q$2902,R$2,0)&lt;&gt;B1590,VLOOKUP($A1590,'Concrete Beam Schedule'!$A$2:$Q$2902,R$2,0),"")</f>
        <v>#N/A</v>
      </c>
      <c r="S1590" s="7" t="e">
        <f>IF(VLOOKUP($A1590,'Concrete Beam Schedule'!$A$2:$Q$2902,S$2,0)&lt;&gt;C1590,VLOOKUP($A1590,'Concrete Beam Schedule'!$A$2:$Q$2902,S$2,0),"")</f>
        <v>#N/A</v>
      </c>
      <c r="T1590" s="7" t="e">
        <f>IF(VLOOKUP($A1590,'Concrete Beam Schedule'!$A$2:$Q$2902,T$2,0)&lt;&gt;D1590,"Beam Revised","")</f>
        <v>#N/A</v>
      </c>
      <c r="U1590" s="7" t="e">
        <f>IF(VLOOKUP($A1590,'Concrete Beam Schedule'!$A$2:$Q$2902,U$2,0)&lt;&gt;E1590,"Beam Revised","")</f>
        <v>#N/A</v>
      </c>
      <c r="V1590" s="7" t="e">
        <f>IF(VLOOKUP($A1590,'Concrete Beam Schedule'!$A$2:$Q$2902,V$2,0)&lt;&gt;F1590,"Beam Revised","")</f>
        <v>#N/A</v>
      </c>
      <c r="W1590" s="7" t="e">
        <f>IF(VLOOKUP($A1590,'Concrete Beam Schedule'!$A$2:$Q$2902,W$2,0)&lt;&gt;G1590,"Beam Revised","")</f>
        <v>#N/A</v>
      </c>
      <c r="X1590" s="7" t="e">
        <f>IF(VLOOKUP($A1590,'Concrete Beam Schedule'!$A$2:$Q$2902,X$2,0)&lt;&gt;H1590,"Beam Revised","")</f>
        <v>#N/A</v>
      </c>
      <c r="Y1590" s="7" t="e">
        <f>IF(VLOOKUP($A1590,'Concrete Beam Schedule'!$A$2:$Q$2902,Y$2,0)&lt;&gt;I1590,"Beam Revised","")</f>
        <v>#N/A</v>
      </c>
      <c r="Z1590" s="7" t="e">
        <f>IF(VLOOKUP($A1590,'Concrete Beam Schedule'!$A$2:$Q$2902,Z$2,0)&lt;&gt;J1590,"Beam Revised","")</f>
        <v>#N/A</v>
      </c>
      <c r="AA1590" s="7" t="e">
        <f>IF(VLOOKUP($A1590,'Concrete Beam Schedule'!$A$2:$Q$2902,AA$2,0)&lt;&gt;K1590,"Beam Revised","")</f>
        <v>#N/A</v>
      </c>
      <c r="AB1590" s="7" t="e">
        <f>IF(VLOOKUP($A1590,'Concrete Beam Schedule'!$A$2:$Q$2902,AB$2,0)&lt;&gt;L1590,"Beam Revised","")</f>
        <v>#N/A</v>
      </c>
      <c r="AC1590" s="7" t="e">
        <f>IF(VLOOKUP($A1590,'Concrete Beam Schedule'!$A$2:$Q$2902,AC$2,0)&lt;&gt;M1590,"Beam Revised","")</f>
        <v>#N/A</v>
      </c>
      <c r="AD1590" s="7" t="e">
        <f>IF(VLOOKUP($A1590,'Concrete Beam Schedule'!$A$2:$Q$2902,AD$2,0)&lt;&gt;N1590,"Beam Revised","")</f>
        <v>#N/A</v>
      </c>
      <c r="AE1590" s="7" t="e">
        <f>IF(VLOOKUP($A1590,'Concrete Beam Schedule'!$A$2:$Q$2902,AE$2,0)&lt;&gt;O1590,"Beam Revised","")</f>
        <v>#N/A</v>
      </c>
    </row>
    <row r="1591" spans="17:31" ht="20.100000000000001" customHeight="1" x14ac:dyDescent="0.25">
      <c r="Q1591" s="7">
        <f t="shared" si="24"/>
        <v>0</v>
      </c>
      <c r="R1591" s="7" t="e">
        <f>IF(VLOOKUP($A1591,'Concrete Beam Schedule'!$A$2:$Q$2902,R$2,0)&lt;&gt;B1591,VLOOKUP($A1591,'Concrete Beam Schedule'!$A$2:$Q$2902,R$2,0),"")</f>
        <v>#N/A</v>
      </c>
      <c r="S1591" s="7" t="e">
        <f>IF(VLOOKUP($A1591,'Concrete Beam Schedule'!$A$2:$Q$2902,S$2,0)&lt;&gt;C1591,VLOOKUP($A1591,'Concrete Beam Schedule'!$A$2:$Q$2902,S$2,0),"")</f>
        <v>#N/A</v>
      </c>
      <c r="T1591" s="7" t="e">
        <f>IF(VLOOKUP($A1591,'Concrete Beam Schedule'!$A$2:$Q$2902,T$2,0)&lt;&gt;D1591,"Beam Revised","")</f>
        <v>#N/A</v>
      </c>
      <c r="U1591" s="7" t="e">
        <f>IF(VLOOKUP($A1591,'Concrete Beam Schedule'!$A$2:$Q$2902,U$2,0)&lt;&gt;E1591,"Beam Revised","")</f>
        <v>#N/A</v>
      </c>
      <c r="V1591" s="7" t="e">
        <f>IF(VLOOKUP($A1591,'Concrete Beam Schedule'!$A$2:$Q$2902,V$2,0)&lt;&gt;F1591,"Beam Revised","")</f>
        <v>#N/A</v>
      </c>
      <c r="W1591" s="7" t="e">
        <f>IF(VLOOKUP($A1591,'Concrete Beam Schedule'!$A$2:$Q$2902,W$2,0)&lt;&gt;G1591,"Beam Revised","")</f>
        <v>#N/A</v>
      </c>
      <c r="X1591" s="7" t="e">
        <f>IF(VLOOKUP($A1591,'Concrete Beam Schedule'!$A$2:$Q$2902,X$2,0)&lt;&gt;H1591,"Beam Revised","")</f>
        <v>#N/A</v>
      </c>
      <c r="Y1591" s="7" t="e">
        <f>IF(VLOOKUP($A1591,'Concrete Beam Schedule'!$A$2:$Q$2902,Y$2,0)&lt;&gt;I1591,"Beam Revised","")</f>
        <v>#N/A</v>
      </c>
      <c r="Z1591" s="7" t="e">
        <f>IF(VLOOKUP($A1591,'Concrete Beam Schedule'!$A$2:$Q$2902,Z$2,0)&lt;&gt;J1591,"Beam Revised","")</f>
        <v>#N/A</v>
      </c>
      <c r="AA1591" s="7" t="e">
        <f>IF(VLOOKUP($A1591,'Concrete Beam Schedule'!$A$2:$Q$2902,AA$2,0)&lt;&gt;K1591,"Beam Revised","")</f>
        <v>#N/A</v>
      </c>
      <c r="AB1591" s="7" t="e">
        <f>IF(VLOOKUP($A1591,'Concrete Beam Schedule'!$A$2:$Q$2902,AB$2,0)&lt;&gt;L1591,"Beam Revised","")</f>
        <v>#N/A</v>
      </c>
      <c r="AC1591" s="7" t="e">
        <f>IF(VLOOKUP($A1591,'Concrete Beam Schedule'!$A$2:$Q$2902,AC$2,0)&lt;&gt;M1591,"Beam Revised","")</f>
        <v>#N/A</v>
      </c>
      <c r="AD1591" s="7" t="e">
        <f>IF(VLOOKUP($A1591,'Concrete Beam Schedule'!$A$2:$Q$2902,AD$2,0)&lt;&gt;N1591,"Beam Revised","")</f>
        <v>#N/A</v>
      </c>
      <c r="AE1591" s="7" t="e">
        <f>IF(VLOOKUP($A1591,'Concrete Beam Schedule'!$A$2:$Q$2902,AE$2,0)&lt;&gt;O1591,"Beam Revised","")</f>
        <v>#N/A</v>
      </c>
    </row>
    <row r="1592" spans="17:31" ht="20.100000000000001" customHeight="1" x14ac:dyDescent="0.25">
      <c r="Q1592" s="7">
        <f t="shared" si="24"/>
        <v>0</v>
      </c>
      <c r="R1592" s="7" t="e">
        <f>IF(VLOOKUP($A1592,'Concrete Beam Schedule'!$A$2:$Q$2902,R$2,0)&lt;&gt;B1592,VLOOKUP($A1592,'Concrete Beam Schedule'!$A$2:$Q$2902,R$2,0),"")</f>
        <v>#N/A</v>
      </c>
      <c r="S1592" s="7" t="e">
        <f>IF(VLOOKUP($A1592,'Concrete Beam Schedule'!$A$2:$Q$2902,S$2,0)&lt;&gt;C1592,VLOOKUP($A1592,'Concrete Beam Schedule'!$A$2:$Q$2902,S$2,0),"")</f>
        <v>#N/A</v>
      </c>
      <c r="T1592" s="7" t="e">
        <f>IF(VLOOKUP($A1592,'Concrete Beam Schedule'!$A$2:$Q$2902,T$2,0)&lt;&gt;D1592,"Beam Revised","")</f>
        <v>#N/A</v>
      </c>
      <c r="U1592" s="7" t="e">
        <f>IF(VLOOKUP($A1592,'Concrete Beam Schedule'!$A$2:$Q$2902,U$2,0)&lt;&gt;E1592,"Beam Revised","")</f>
        <v>#N/A</v>
      </c>
      <c r="V1592" s="7" t="e">
        <f>IF(VLOOKUP($A1592,'Concrete Beam Schedule'!$A$2:$Q$2902,V$2,0)&lt;&gt;F1592,"Beam Revised","")</f>
        <v>#N/A</v>
      </c>
      <c r="W1592" s="7" t="e">
        <f>IF(VLOOKUP($A1592,'Concrete Beam Schedule'!$A$2:$Q$2902,W$2,0)&lt;&gt;G1592,"Beam Revised","")</f>
        <v>#N/A</v>
      </c>
      <c r="X1592" s="7" t="e">
        <f>IF(VLOOKUP($A1592,'Concrete Beam Schedule'!$A$2:$Q$2902,X$2,0)&lt;&gt;H1592,"Beam Revised","")</f>
        <v>#N/A</v>
      </c>
      <c r="Y1592" s="7" t="e">
        <f>IF(VLOOKUP($A1592,'Concrete Beam Schedule'!$A$2:$Q$2902,Y$2,0)&lt;&gt;I1592,"Beam Revised","")</f>
        <v>#N/A</v>
      </c>
      <c r="Z1592" s="7" t="e">
        <f>IF(VLOOKUP($A1592,'Concrete Beam Schedule'!$A$2:$Q$2902,Z$2,0)&lt;&gt;J1592,"Beam Revised","")</f>
        <v>#N/A</v>
      </c>
      <c r="AA1592" s="7" t="e">
        <f>IF(VLOOKUP($A1592,'Concrete Beam Schedule'!$A$2:$Q$2902,AA$2,0)&lt;&gt;K1592,"Beam Revised","")</f>
        <v>#N/A</v>
      </c>
      <c r="AB1592" s="7" t="e">
        <f>IF(VLOOKUP($A1592,'Concrete Beam Schedule'!$A$2:$Q$2902,AB$2,0)&lt;&gt;L1592,"Beam Revised","")</f>
        <v>#N/A</v>
      </c>
      <c r="AC1592" s="7" t="e">
        <f>IF(VLOOKUP($A1592,'Concrete Beam Schedule'!$A$2:$Q$2902,AC$2,0)&lt;&gt;M1592,"Beam Revised","")</f>
        <v>#N/A</v>
      </c>
      <c r="AD1592" s="7" t="e">
        <f>IF(VLOOKUP($A1592,'Concrete Beam Schedule'!$A$2:$Q$2902,AD$2,0)&lt;&gt;N1592,"Beam Revised","")</f>
        <v>#N/A</v>
      </c>
      <c r="AE1592" s="7" t="e">
        <f>IF(VLOOKUP($A1592,'Concrete Beam Schedule'!$A$2:$Q$2902,AE$2,0)&lt;&gt;O1592,"Beam Revised","")</f>
        <v>#N/A</v>
      </c>
    </row>
    <row r="1593" spans="17:31" ht="20.100000000000001" customHeight="1" x14ac:dyDescent="0.25">
      <c r="Q1593" s="7">
        <f t="shared" si="24"/>
        <v>0</v>
      </c>
      <c r="R1593" s="7" t="e">
        <f>IF(VLOOKUP($A1593,'Concrete Beam Schedule'!$A$2:$Q$2902,R$2,0)&lt;&gt;B1593,VLOOKUP($A1593,'Concrete Beam Schedule'!$A$2:$Q$2902,R$2,0),"")</f>
        <v>#N/A</v>
      </c>
      <c r="S1593" s="7" t="e">
        <f>IF(VLOOKUP($A1593,'Concrete Beam Schedule'!$A$2:$Q$2902,S$2,0)&lt;&gt;C1593,VLOOKUP($A1593,'Concrete Beam Schedule'!$A$2:$Q$2902,S$2,0),"")</f>
        <v>#N/A</v>
      </c>
      <c r="T1593" s="7" t="e">
        <f>IF(VLOOKUP($A1593,'Concrete Beam Schedule'!$A$2:$Q$2902,T$2,0)&lt;&gt;D1593,"Beam Revised","")</f>
        <v>#N/A</v>
      </c>
      <c r="U1593" s="7" t="e">
        <f>IF(VLOOKUP($A1593,'Concrete Beam Schedule'!$A$2:$Q$2902,U$2,0)&lt;&gt;E1593,"Beam Revised","")</f>
        <v>#N/A</v>
      </c>
      <c r="V1593" s="7" t="e">
        <f>IF(VLOOKUP($A1593,'Concrete Beam Schedule'!$A$2:$Q$2902,V$2,0)&lt;&gt;F1593,"Beam Revised","")</f>
        <v>#N/A</v>
      </c>
      <c r="W1593" s="7" t="e">
        <f>IF(VLOOKUP($A1593,'Concrete Beam Schedule'!$A$2:$Q$2902,W$2,0)&lt;&gt;G1593,"Beam Revised","")</f>
        <v>#N/A</v>
      </c>
      <c r="X1593" s="7" t="e">
        <f>IF(VLOOKUP($A1593,'Concrete Beam Schedule'!$A$2:$Q$2902,X$2,0)&lt;&gt;H1593,"Beam Revised","")</f>
        <v>#N/A</v>
      </c>
      <c r="Y1593" s="7" t="e">
        <f>IF(VLOOKUP($A1593,'Concrete Beam Schedule'!$A$2:$Q$2902,Y$2,0)&lt;&gt;I1593,"Beam Revised","")</f>
        <v>#N/A</v>
      </c>
      <c r="Z1593" s="7" t="e">
        <f>IF(VLOOKUP($A1593,'Concrete Beam Schedule'!$A$2:$Q$2902,Z$2,0)&lt;&gt;J1593,"Beam Revised","")</f>
        <v>#N/A</v>
      </c>
      <c r="AA1593" s="7" t="e">
        <f>IF(VLOOKUP($A1593,'Concrete Beam Schedule'!$A$2:$Q$2902,AA$2,0)&lt;&gt;K1593,"Beam Revised","")</f>
        <v>#N/A</v>
      </c>
      <c r="AB1593" s="7" t="e">
        <f>IF(VLOOKUP($A1593,'Concrete Beam Schedule'!$A$2:$Q$2902,AB$2,0)&lt;&gt;L1593,"Beam Revised","")</f>
        <v>#N/A</v>
      </c>
      <c r="AC1593" s="7" t="e">
        <f>IF(VLOOKUP($A1593,'Concrete Beam Schedule'!$A$2:$Q$2902,AC$2,0)&lt;&gt;M1593,"Beam Revised","")</f>
        <v>#N/A</v>
      </c>
      <c r="AD1593" s="7" t="e">
        <f>IF(VLOOKUP($A1593,'Concrete Beam Schedule'!$A$2:$Q$2902,AD$2,0)&lt;&gt;N1593,"Beam Revised","")</f>
        <v>#N/A</v>
      </c>
      <c r="AE1593" s="7" t="e">
        <f>IF(VLOOKUP($A1593,'Concrete Beam Schedule'!$A$2:$Q$2902,AE$2,0)&lt;&gt;O1593,"Beam Revised","")</f>
        <v>#N/A</v>
      </c>
    </row>
    <row r="1594" spans="17:31" ht="20.100000000000001" customHeight="1" x14ac:dyDescent="0.25">
      <c r="Q1594" s="7">
        <f t="shared" si="24"/>
        <v>0</v>
      </c>
      <c r="R1594" s="7" t="e">
        <f>IF(VLOOKUP($A1594,'Concrete Beam Schedule'!$A$2:$Q$2902,R$2,0)&lt;&gt;B1594,VLOOKUP($A1594,'Concrete Beam Schedule'!$A$2:$Q$2902,R$2,0),"")</f>
        <v>#N/A</v>
      </c>
      <c r="S1594" s="7" t="e">
        <f>IF(VLOOKUP($A1594,'Concrete Beam Schedule'!$A$2:$Q$2902,S$2,0)&lt;&gt;C1594,VLOOKUP($A1594,'Concrete Beam Schedule'!$A$2:$Q$2902,S$2,0),"")</f>
        <v>#N/A</v>
      </c>
      <c r="T1594" s="7" t="e">
        <f>IF(VLOOKUP($A1594,'Concrete Beam Schedule'!$A$2:$Q$2902,T$2,0)&lt;&gt;D1594,"Beam Revised","")</f>
        <v>#N/A</v>
      </c>
      <c r="U1594" s="7" t="e">
        <f>IF(VLOOKUP($A1594,'Concrete Beam Schedule'!$A$2:$Q$2902,U$2,0)&lt;&gt;E1594,"Beam Revised","")</f>
        <v>#N/A</v>
      </c>
      <c r="V1594" s="7" t="e">
        <f>IF(VLOOKUP($A1594,'Concrete Beam Schedule'!$A$2:$Q$2902,V$2,0)&lt;&gt;F1594,"Beam Revised","")</f>
        <v>#N/A</v>
      </c>
      <c r="W1594" s="7" t="e">
        <f>IF(VLOOKUP($A1594,'Concrete Beam Schedule'!$A$2:$Q$2902,W$2,0)&lt;&gt;G1594,"Beam Revised","")</f>
        <v>#N/A</v>
      </c>
      <c r="X1594" s="7" t="e">
        <f>IF(VLOOKUP($A1594,'Concrete Beam Schedule'!$A$2:$Q$2902,X$2,0)&lt;&gt;H1594,"Beam Revised","")</f>
        <v>#N/A</v>
      </c>
      <c r="Y1594" s="7" t="e">
        <f>IF(VLOOKUP($A1594,'Concrete Beam Schedule'!$A$2:$Q$2902,Y$2,0)&lt;&gt;I1594,"Beam Revised","")</f>
        <v>#N/A</v>
      </c>
      <c r="Z1594" s="7" t="e">
        <f>IF(VLOOKUP($A1594,'Concrete Beam Schedule'!$A$2:$Q$2902,Z$2,0)&lt;&gt;J1594,"Beam Revised","")</f>
        <v>#N/A</v>
      </c>
      <c r="AA1594" s="7" t="e">
        <f>IF(VLOOKUP($A1594,'Concrete Beam Schedule'!$A$2:$Q$2902,AA$2,0)&lt;&gt;K1594,"Beam Revised","")</f>
        <v>#N/A</v>
      </c>
      <c r="AB1594" s="7" t="e">
        <f>IF(VLOOKUP($A1594,'Concrete Beam Schedule'!$A$2:$Q$2902,AB$2,0)&lt;&gt;L1594,"Beam Revised","")</f>
        <v>#N/A</v>
      </c>
      <c r="AC1594" s="7" t="e">
        <f>IF(VLOOKUP($A1594,'Concrete Beam Schedule'!$A$2:$Q$2902,AC$2,0)&lt;&gt;M1594,"Beam Revised","")</f>
        <v>#N/A</v>
      </c>
      <c r="AD1594" s="7" t="e">
        <f>IF(VLOOKUP($A1594,'Concrete Beam Schedule'!$A$2:$Q$2902,AD$2,0)&lt;&gt;N1594,"Beam Revised","")</f>
        <v>#N/A</v>
      </c>
      <c r="AE1594" s="7" t="e">
        <f>IF(VLOOKUP($A1594,'Concrete Beam Schedule'!$A$2:$Q$2902,AE$2,0)&lt;&gt;O1594,"Beam Revised","")</f>
        <v>#N/A</v>
      </c>
    </row>
    <row r="1595" spans="17:31" ht="20.100000000000001" customHeight="1" x14ac:dyDescent="0.25">
      <c r="Q1595" s="7">
        <f t="shared" si="24"/>
        <v>0</v>
      </c>
      <c r="R1595" s="7" t="e">
        <f>IF(VLOOKUP($A1595,'Concrete Beam Schedule'!$A$2:$Q$2902,R$2,0)&lt;&gt;B1595,VLOOKUP($A1595,'Concrete Beam Schedule'!$A$2:$Q$2902,R$2,0),"")</f>
        <v>#N/A</v>
      </c>
      <c r="S1595" s="7" t="e">
        <f>IF(VLOOKUP($A1595,'Concrete Beam Schedule'!$A$2:$Q$2902,S$2,0)&lt;&gt;C1595,VLOOKUP($A1595,'Concrete Beam Schedule'!$A$2:$Q$2902,S$2,0),"")</f>
        <v>#N/A</v>
      </c>
      <c r="T1595" s="7" t="e">
        <f>IF(VLOOKUP($A1595,'Concrete Beam Schedule'!$A$2:$Q$2902,T$2,0)&lt;&gt;D1595,"Beam Revised","")</f>
        <v>#N/A</v>
      </c>
      <c r="U1595" s="7" t="e">
        <f>IF(VLOOKUP($A1595,'Concrete Beam Schedule'!$A$2:$Q$2902,U$2,0)&lt;&gt;E1595,"Beam Revised","")</f>
        <v>#N/A</v>
      </c>
      <c r="V1595" s="7" t="e">
        <f>IF(VLOOKUP($A1595,'Concrete Beam Schedule'!$A$2:$Q$2902,V$2,0)&lt;&gt;F1595,"Beam Revised","")</f>
        <v>#N/A</v>
      </c>
      <c r="W1595" s="7" t="e">
        <f>IF(VLOOKUP($A1595,'Concrete Beam Schedule'!$A$2:$Q$2902,W$2,0)&lt;&gt;G1595,"Beam Revised","")</f>
        <v>#N/A</v>
      </c>
      <c r="X1595" s="7" t="e">
        <f>IF(VLOOKUP($A1595,'Concrete Beam Schedule'!$A$2:$Q$2902,X$2,0)&lt;&gt;H1595,"Beam Revised","")</f>
        <v>#N/A</v>
      </c>
      <c r="Y1595" s="7" t="e">
        <f>IF(VLOOKUP($A1595,'Concrete Beam Schedule'!$A$2:$Q$2902,Y$2,0)&lt;&gt;I1595,"Beam Revised","")</f>
        <v>#N/A</v>
      </c>
      <c r="Z1595" s="7" t="e">
        <f>IF(VLOOKUP($A1595,'Concrete Beam Schedule'!$A$2:$Q$2902,Z$2,0)&lt;&gt;J1595,"Beam Revised","")</f>
        <v>#N/A</v>
      </c>
      <c r="AA1595" s="7" t="e">
        <f>IF(VLOOKUP($A1595,'Concrete Beam Schedule'!$A$2:$Q$2902,AA$2,0)&lt;&gt;K1595,"Beam Revised","")</f>
        <v>#N/A</v>
      </c>
      <c r="AB1595" s="7" t="e">
        <f>IF(VLOOKUP($A1595,'Concrete Beam Schedule'!$A$2:$Q$2902,AB$2,0)&lt;&gt;L1595,"Beam Revised","")</f>
        <v>#N/A</v>
      </c>
      <c r="AC1595" s="7" t="e">
        <f>IF(VLOOKUP($A1595,'Concrete Beam Schedule'!$A$2:$Q$2902,AC$2,0)&lt;&gt;M1595,"Beam Revised","")</f>
        <v>#N/A</v>
      </c>
      <c r="AD1595" s="7" t="e">
        <f>IF(VLOOKUP($A1595,'Concrete Beam Schedule'!$A$2:$Q$2902,AD$2,0)&lt;&gt;N1595,"Beam Revised","")</f>
        <v>#N/A</v>
      </c>
      <c r="AE1595" s="7" t="e">
        <f>IF(VLOOKUP($A1595,'Concrete Beam Schedule'!$A$2:$Q$2902,AE$2,0)&lt;&gt;O1595,"Beam Revised","")</f>
        <v>#N/A</v>
      </c>
    </row>
    <row r="1596" spans="17:31" ht="20.100000000000001" customHeight="1" x14ac:dyDescent="0.25">
      <c r="Q1596" s="7">
        <f t="shared" si="24"/>
        <v>0</v>
      </c>
      <c r="R1596" s="7" t="e">
        <f>IF(VLOOKUP($A1596,'Concrete Beam Schedule'!$A$2:$Q$2902,R$2,0)&lt;&gt;B1596,VLOOKUP($A1596,'Concrete Beam Schedule'!$A$2:$Q$2902,R$2,0),"")</f>
        <v>#N/A</v>
      </c>
      <c r="S1596" s="7" t="e">
        <f>IF(VLOOKUP($A1596,'Concrete Beam Schedule'!$A$2:$Q$2902,S$2,0)&lt;&gt;C1596,VLOOKUP($A1596,'Concrete Beam Schedule'!$A$2:$Q$2902,S$2,0),"")</f>
        <v>#N/A</v>
      </c>
      <c r="T1596" s="7" t="e">
        <f>IF(VLOOKUP($A1596,'Concrete Beam Schedule'!$A$2:$Q$2902,T$2,0)&lt;&gt;D1596,"Beam Revised","")</f>
        <v>#N/A</v>
      </c>
      <c r="U1596" s="7" t="e">
        <f>IF(VLOOKUP($A1596,'Concrete Beam Schedule'!$A$2:$Q$2902,U$2,0)&lt;&gt;E1596,"Beam Revised","")</f>
        <v>#N/A</v>
      </c>
      <c r="V1596" s="7" t="e">
        <f>IF(VLOOKUP($A1596,'Concrete Beam Schedule'!$A$2:$Q$2902,V$2,0)&lt;&gt;F1596,"Beam Revised","")</f>
        <v>#N/A</v>
      </c>
      <c r="W1596" s="7" t="e">
        <f>IF(VLOOKUP($A1596,'Concrete Beam Schedule'!$A$2:$Q$2902,W$2,0)&lt;&gt;G1596,"Beam Revised","")</f>
        <v>#N/A</v>
      </c>
      <c r="X1596" s="7" t="e">
        <f>IF(VLOOKUP($A1596,'Concrete Beam Schedule'!$A$2:$Q$2902,X$2,0)&lt;&gt;H1596,"Beam Revised","")</f>
        <v>#N/A</v>
      </c>
      <c r="Y1596" s="7" t="e">
        <f>IF(VLOOKUP($A1596,'Concrete Beam Schedule'!$A$2:$Q$2902,Y$2,0)&lt;&gt;I1596,"Beam Revised","")</f>
        <v>#N/A</v>
      </c>
      <c r="Z1596" s="7" t="e">
        <f>IF(VLOOKUP($A1596,'Concrete Beam Schedule'!$A$2:$Q$2902,Z$2,0)&lt;&gt;J1596,"Beam Revised","")</f>
        <v>#N/A</v>
      </c>
      <c r="AA1596" s="7" t="e">
        <f>IF(VLOOKUP($A1596,'Concrete Beam Schedule'!$A$2:$Q$2902,AA$2,0)&lt;&gt;K1596,"Beam Revised","")</f>
        <v>#N/A</v>
      </c>
      <c r="AB1596" s="7" t="e">
        <f>IF(VLOOKUP($A1596,'Concrete Beam Schedule'!$A$2:$Q$2902,AB$2,0)&lt;&gt;L1596,"Beam Revised","")</f>
        <v>#N/A</v>
      </c>
      <c r="AC1596" s="7" t="e">
        <f>IF(VLOOKUP($A1596,'Concrete Beam Schedule'!$A$2:$Q$2902,AC$2,0)&lt;&gt;M1596,"Beam Revised","")</f>
        <v>#N/A</v>
      </c>
      <c r="AD1596" s="7" t="e">
        <f>IF(VLOOKUP($A1596,'Concrete Beam Schedule'!$A$2:$Q$2902,AD$2,0)&lt;&gt;N1596,"Beam Revised","")</f>
        <v>#N/A</v>
      </c>
      <c r="AE1596" s="7" t="e">
        <f>IF(VLOOKUP($A1596,'Concrete Beam Schedule'!$A$2:$Q$2902,AE$2,0)&lt;&gt;O1596,"Beam Revised","")</f>
        <v>#N/A</v>
      </c>
    </row>
    <row r="1597" spans="17:31" ht="20.100000000000001" customHeight="1" x14ac:dyDescent="0.25">
      <c r="Q1597" s="7">
        <f t="shared" si="24"/>
        <v>0</v>
      </c>
      <c r="R1597" s="7" t="e">
        <f>IF(VLOOKUP($A1597,'Concrete Beam Schedule'!$A$2:$Q$2902,R$2,0)&lt;&gt;B1597,VLOOKUP($A1597,'Concrete Beam Schedule'!$A$2:$Q$2902,R$2,0),"")</f>
        <v>#N/A</v>
      </c>
      <c r="S1597" s="7" t="e">
        <f>IF(VLOOKUP($A1597,'Concrete Beam Schedule'!$A$2:$Q$2902,S$2,0)&lt;&gt;C1597,VLOOKUP($A1597,'Concrete Beam Schedule'!$A$2:$Q$2902,S$2,0),"")</f>
        <v>#N/A</v>
      </c>
      <c r="T1597" s="7" t="e">
        <f>IF(VLOOKUP($A1597,'Concrete Beam Schedule'!$A$2:$Q$2902,T$2,0)&lt;&gt;D1597,"Beam Revised","")</f>
        <v>#N/A</v>
      </c>
      <c r="U1597" s="7" t="e">
        <f>IF(VLOOKUP($A1597,'Concrete Beam Schedule'!$A$2:$Q$2902,U$2,0)&lt;&gt;E1597,"Beam Revised","")</f>
        <v>#N/A</v>
      </c>
      <c r="V1597" s="7" t="e">
        <f>IF(VLOOKUP($A1597,'Concrete Beam Schedule'!$A$2:$Q$2902,V$2,0)&lt;&gt;F1597,"Beam Revised","")</f>
        <v>#N/A</v>
      </c>
      <c r="W1597" s="7" t="e">
        <f>IF(VLOOKUP($A1597,'Concrete Beam Schedule'!$A$2:$Q$2902,W$2,0)&lt;&gt;G1597,"Beam Revised","")</f>
        <v>#N/A</v>
      </c>
      <c r="X1597" s="7" t="e">
        <f>IF(VLOOKUP($A1597,'Concrete Beam Schedule'!$A$2:$Q$2902,X$2,0)&lt;&gt;H1597,"Beam Revised","")</f>
        <v>#N/A</v>
      </c>
      <c r="Y1597" s="7" t="e">
        <f>IF(VLOOKUP($A1597,'Concrete Beam Schedule'!$A$2:$Q$2902,Y$2,0)&lt;&gt;I1597,"Beam Revised","")</f>
        <v>#N/A</v>
      </c>
      <c r="Z1597" s="7" t="e">
        <f>IF(VLOOKUP($A1597,'Concrete Beam Schedule'!$A$2:$Q$2902,Z$2,0)&lt;&gt;J1597,"Beam Revised","")</f>
        <v>#N/A</v>
      </c>
      <c r="AA1597" s="7" t="e">
        <f>IF(VLOOKUP($A1597,'Concrete Beam Schedule'!$A$2:$Q$2902,AA$2,0)&lt;&gt;K1597,"Beam Revised","")</f>
        <v>#N/A</v>
      </c>
      <c r="AB1597" s="7" t="e">
        <f>IF(VLOOKUP($A1597,'Concrete Beam Schedule'!$A$2:$Q$2902,AB$2,0)&lt;&gt;L1597,"Beam Revised","")</f>
        <v>#N/A</v>
      </c>
      <c r="AC1597" s="7" t="e">
        <f>IF(VLOOKUP($A1597,'Concrete Beam Schedule'!$A$2:$Q$2902,AC$2,0)&lt;&gt;M1597,"Beam Revised","")</f>
        <v>#N/A</v>
      </c>
      <c r="AD1597" s="7" t="e">
        <f>IF(VLOOKUP($A1597,'Concrete Beam Schedule'!$A$2:$Q$2902,AD$2,0)&lt;&gt;N1597,"Beam Revised","")</f>
        <v>#N/A</v>
      </c>
      <c r="AE1597" s="7" t="e">
        <f>IF(VLOOKUP($A1597,'Concrete Beam Schedule'!$A$2:$Q$2902,AE$2,0)&lt;&gt;O1597,"Beam Revised","")</f>
        <v>#N/A</v>
      </c>
    </row>
    <row r="1598" spans="17:31" ht="20.100000000000001" customHeight="1" x14ac:dyDescent="0.25">
      <c r="Q1598" s="7">
        <f t="shared" si="24"/>
        <v>0</v>
      </c>
      <c r="R1598" s="7" t="e">
        <f>IF(VLOOKUP($A1598,'Concrete Beam Schedule'!$A$2:$Q$2902,R$2,0)&lt;&gt;B1598,VLOOKUP($A1598,'Concrete Beam Schedule'!$A$2:$Q$2902,R$2,0),"")</f>
        <v>#N/A</v>
      </c>
      <c r="S1598" s="7" t="e">
        <f>IF(VLOOKUP($A1598,'Concrete Beam Schedule'!$A$2:$Q$2902,S$2,0)&lt;&gt;C1598,VLOOKUP($A1598,'Concrete Beam Schedule'!$A$2:$Q$2902,S$2,0),"")</f>
        <v>#N/A</v>
      </c>
      <c r="T1598" s="7" t="e">
        <f>IF(VLOOKUP($A1598,'Concrete Beam Schedule'!$A$2:$Q$2902,T$2,0)&lt;&gt;D1598,"Beam Revised","")</f>
        <v>#N/A</v>
      </c>
      <c r="U1598" s="7" t="e">
        <f>IF(VLOOKUP($A1598,'Concrete Beam Schedule'!$A$2:$Q$2902,U$2,0)&lt;&gt;E1598,"Beam Revised","")</f>
        <v>#N/A</v>
      </c>
      <c r="V1598" s="7" t="e">
        <f>IF(VLOOKUP($A1598,'Concrete Beam Schedule'!$A$2:$Q$2902,V$2,0)&lt;&gt;F1598,"Beam Revised","")</f>
        <v>#N/A</v>
      </c>
      <c r="W1598" s="7" t="e">
        <f>IF(VLOOKUP($A1598,'Concrete Beam Schedule'!$A$2:$Q$2902,W$2,0)&lt;&gt;G1598,"Beam Revised","")</f>
        <v>#N/A</v>
      </c>
      <c r="X1598" s="7" t="e">
        <f>IF(VLOOKUP($A1598,'Concrete Beam Schedule'!$A$2:$Q$2902,X$2,0)&lt;&gt;H1598,"Beam Revised","")</f>
        <v>#N/A</v>
      </c>
      <c r="Y1598" s="7" t="e">
        <f>IF(VLOOKUP($A1598,'Concrete Beam Schedule'!$A$2:$Q$2902,Y$2,0)&lt;&gt;I1598,"Beam Revised","")</f>
        <v>#N/A</v>
      </c>
      <c r="Z1598" s="7" t="e">
        <f>IF(VLOOKUP($A1598,'Concrete Beam Schedule'!$A$2:$Q$2902,Z$2,0)&lt;&gt;J1598,"Beam Revised","")</f>
        <v>#N/A</v>
      </c>
      <c r="AA1598" s="7" t="e">
        <f>IF(VLOOKUP($A1598,'Concrete Beam Schedule'!$A$2:$Q$2902,AA$2,0)&lt;&gt;K1598,"Beam Revised","")</f>
        <v>#N/A</v>
      </c>
      <c r="AB1598" s="7" t="e">
        <f>IF(VLOOKUP($A1598,'Concrete Beam Schedule'!$A$2:$Q$2902,AB$2,0)&lt;&gt;L1598,"Beam Revised","")</f>
        <v>#N/A</v>
      </c>
      <c r="AC1598" s="7" t="e">
        <f>IF(VLOOKUP($A1598,'Concrete Beam Schedule'!$A$2:$Q$2902,AC$2,0)&lt;&gt;M1598,"Beam Revised","")</f>
        <v>#N/A</v>
      </c>
      <c r="AD1598" s="7" t="e">
        <f>IF(VLOOKUP($A1598,'Concrete Beam Schedule'!$A$2:$Q$2902,AD$2,0)&lt;&gt;N1598,"Beam Revised","")</f>
        <v>#N/A</v>
      </c>
      <c r="AE1598" s="7" t="e">
        <f>IF(VLOOKUP($A1598,'Concrete Beam Schedule'!$A$2:$Q$2902,AE$2,0)&lt;&gt;O1598,"Beam Revised","")</f>
        <v>#N/A</v>
      </c>
    </row>
    <row r="1599" spans="17:31" ht="20.100000000000001" customHeight="1" x14ac:dyDescent="0.25">
      <c r="Q1599" s="7">
        <f t="shared" si="24"/>
        <v>0</v>
      </c>
      <c r="R1599" s="7" t="e">
        <f>IF(VLOOKUP($A1599,'Concrete Beam Schedule'!$A$2:$Q$2902,R$2,0)&lt;&gt;B1599,VLOOKUP($A1599,'Concrete Beam Schedule'!$A$2:$Q$2902,R$2,0),"")</f>
        <v>#N/A</v>
      </c>
      <c r="S1599" s="7" t="e">
        <f>IF(VLOOKUP($A1599,'Concrete Beam Schedule'!$A$2:$Q$2902,S$2,0)&lt;&gt;C1599,VLOOKUP($A1599,'Concrete Beam Schedule'!$A$2:$Q$2902,S$2,0),"")</f>
        <v>#N/A</v>
      </c>
      <c r="T1599" s="7" t="e">
        <f>IF(VLOOKUP($A1599,'Concrete Beam Schedule'!$A$2:$Q$2902,T$2,0)&lt;&gt;D1599,"Beam Revised","")</f>
        <v>#N/A</v>
      </c>
      <c r="U1599" s="7" t="e">
        <f>IF(VLOOKUP($A1599,'Concrete Beam Schedule'!$A$2:$Q$2902,U$2,0)&lt;&gt;E1599,"Beam Revised","")</f>
        <v>#N/A</v>
      </c>
      <c r="V1599" s="7" t="e">
        <f>IF(VLOOKUP($A1599,'Concrete Beam Schedule'!$A$2:$Q$2902,V$2,0)&lt;&gt;F1599,"Beam Revised","")</f>
        <v>#N/A</v>
      </c>
      <c r="W1599" s="7" t="e">
        <f>IF(VLOOKUP($A1599,'Concrete Beam Schedule'!$A$2:$Q$2902,W$2,0)&lt;&gt;G1599,"Beam Revised","")</f>
        <v>#N/A</v>
      </c>
      <c r="X1599" s="7" t="e">
        <f>IF(VLOOKUP($A1599,'Concrete Beam Schedule'!$A$2:$Q$2902,X$2,0)&lt;&gt;H1599,"Beam Revised","")</f>
        <v>#N/A</v>
      </c>
      <c r="Y1599" s="7" t="e">
        <f>IF(VLOOKUP($A1599,'Concrete Beam Schedule'!$A$2:$Q$2902,Y$2,0)&lt;&gt;I1599,"Beam Revised","")</f>
        <v>#N/A</v>
      </c>
      <c r="Z1599" s="7" t="e">
        <f>IF(VLOOKUP($A1599,'Concrete Beam Schedule'!$A$2:$Q$2902,Z$2,0)&lt;&gt;J1599,"Beam Revised","")</f>
        <v>#N/A</v>
      </c>
      <c r="AA1599" s="7" t="e">
        <f>IF(VLOOKUP($A1599,'Concrete Beam Schedule'!$A$2:$Q$2902,AA$2,0)&lt;&gt;K1599,"Beam Revised","")</f>
        <v>#N/A</v>
      </c>
      <c r="AB1599" s="7" t="e">
        <f>IF(VLOOKUP($A1599,'Concrete Beam Schedule'!$A$2:$Q$2902,AB$2,0)&lt;&gt;L1599,"Beam Revised","")</f>
        <v>#N/A</v>
      </c>
      <c r="AC1599" s="7" t="e">
        <f>IF(VLOOKUP($A1599,'Concrete Beam Schedule'!$A$2:$Q$2902,AC$2,0)&lt;&gt;M1599,"Beam Revised","")</f>
        <v>#N/A</v>
      </c>
      <c r="AD1599" s="7" t="e">
        <f>IF(VLOOKUP($A1599,'Concrete Beam Schedule'!$A$2:$Q$2902,AD$2,0)&lt;&gt;N1599,"Beam Revised","")</f>
        <v>#N/A</v>
      </c>
      <c r="AE1599" s="7" t="e">
        <f>IF(VLOOKUP($A1599,'Concrete Beam Schedule'!$A$2:$Q$2902,AE$2,0)&lt;&gt;O1599,"Beam Revised","")</f>
        <v>#N/A</v>
      </c>
    </row>
    <row r="1600" spans="17:31" ht="20.100000000000001" customHeight="1" x14ac:dyDescent="0.25">
      <c r="Q1600" s="7">
        <f t="shared" si="24"/>
        <v>0</v>
      </c>
      <c r="R1600" s="7" t="e">
        <f>IF(VLOOKUP($A1600,'Concrete Beam Schedule'!$A$2:$Q$2902,R$2,0)&lt;&gt;B1600,VLOOKUP($A1600,'Concrete Beam Schedule'!$A$2:$Q$2902,R$2,0),"")</f>
        <v>#N/A</v>
      </c>
      <c r="S1600" s="7" t="e">
        <f>IF(VLOOKUP($A1600,'Concrete Beam Schedule'!$A$2:$Q$2902,S$2,0)&lt;&gt;C1600,VLOOKUP($A1600,'Concrete Beam Schedule'!$A$2:$Q$2902,S$2,0),"")</f>
        <v>#N/A</v>
      </c>
      <c r="T1600" s="7" t="e">
        <f>IF(VLOOKUP($A1600,'Concrete Beam Schedule'!$A$2:$Q$2902,T$2,0)&lt;&gt;D1600,"Beam Revised","")</f>
        <v>#N/A</v>
      </c>
      <c r="U1600" s="7" t="e">
        <f>IF(VLOOKUP($A1600,'Concrete Beam Schedule'!$A$2:$Q$2902,U$2,0)&lt;&gt;E1600,"Beam Revised","")</f>
        <v>#N/A</v>
      </c>
      <c r="V1600" s="7" t="e">
        <f>IF(VLOOKUP($A1600,'Concrete Beam Schedule'!$A$2:$Q$2902,V$2,0)&lt;&gt;F1600,"Beam Revised","")</f>
        <v>#N/A</v>
      </c>
      <c r="W1600" s="7" t="e">
        <f>IF(VLOOKUP($A1600,'Concrete Beam Schedule'!$A$2:$Q$2902,W$2,0)&lt;&gt;G1600,"Beam Revised","")</f>
        <v>#N/A</v>
      </c>
      <c r="X1600" s="7" t="e">
        <f>IF(VLOOKUP($A1600,'Concrete Beam Schedule'!$A$2:$Q$2902,X$2,0)&lt;&gt;H1600,"Beam Revised","")</f>
        <v>#N/A</v>
      </c>
      <c r="Y1600" s="7" t="e">
        <f>IF(VLOOKUP($A1600,'Concrete Beam Schedule'!$A$2:$Q$2902,Y$2,0)&lt;&gt;I1600,"Beam Revised","")</f>
        <v>#N/A</v>
      </c>
      <c r="Z1600" s="7" t="e">
        <f>IF(VLOOKUP($A1600,'Concrete Beam Schedule'!$A$2:$Q$2902,Z$2,0)&lt;&gt;J1600,"Beam Revised","")</f>
        <v>#N/A</v>
      </c>
      <c r="AA1600" s="7" t="e">
        <f>IF(VLOOKUP($A1600,'Concrete Beam Schedule'!$A$2:$Q$2902,AA$2,0)&lt;&gt;K1600,"Beam Revised","")</f>
        <v>#N/A</v>
      </c>
      <c r="AB1600" s="7" t="e">
        <f>IF(VLOOKUP($A1600,'Concrete Beam Schedule'!$A$2:$Q$2902,AB$2,0)&lt;&gt;L1600,"Beam Revised","")</f>
        <v>#N/A</v>
      </c>
      <c r="AC1600" s="7" t="e">
        <f>IF(VLOOKUP($A1600,'Concrete Beam Schedule'!$A$2:$Q$2902,AC$2,0)&lt;&gt;M1600,"Beam Revised","")</f>
        <v>#N/A</v>
      </c>
      <c r="AD1600" s="7" t="e">
        <f>IF(VLOOKUP($A1600,'Concrete Beam Schedule'!$A$2:$Q$2902,AD$2,0)&lt;&gt;N1600,"Beam Revised","")</f>
        <v>#N/A</v>
      </c>
      <c r="AE1600" s="7" t="e">
        <f>IF(VLOOKUP($A1600,'Concrete Beam Schedule'!$A$2:$Q$2902,AE$2,0)&lt;&gt;O1600,"Beam Revised","")</f>
        <v>#N/A</v>
      </c>
    </row>
    <row r="1601" spans="17:31" ht="20.100000000000001" customHeight="1" x14ac:dyDescent="0.25">
      <c r="Q1601" s="7">
        <f t="shared" si="24"/>
        <v>0</v>
      </c>
      <c r="R1601" s="7" t="e">
        <f>IF(VLOOKUP($A1601,'Concrete Beam Schedule'!$A$2:$Q$2902,R$2,0)&lt;&gt;B1601,VLOOKUP($A1601,'Concrete Beam Schedule'!$A$2:$Q$2902,R$2,0),"")</f>
        <v>#N/A</v>
      </c>
      <c r="S1601" s="7" t="e">
        <f>IF(VLOOKUP($A1601,'Concrete Beam Schedule'!$A$2:$Q$2902,S$2,0)&lt;&gt;C1601,VLOOKUP($A1601,'Concrete Beam Schedule'!$A$2:$Q$2902,S$2,0),"")</f>
        <v>#N/A</v>
      </c>
      <c r="T1601" s="7" t="e">
        <f>IF(VLOOKUP($A1601,'Concrete Beam Schedule'!$A$2:$Q$2902,T$2,0)&lt;&gt;D1601,"Beam Revised","")</f>
        <v>#N/A</v>
      </c>
      <c r="U1601" s="7" t="e">
        <f>IF(VLOOKUP($A1601,'Concrete Beam Schedule'!$A$2:$Q$2902,U$2,0)&lt;&gt;E1601,"Beam Revised","")</f>
        <v>#N/A</v>
      </c>
      <c r="V1601" s="7" t="e">
        <f>IF(VLOOKUP($A1601,'Concrete Beam Schedule'!$A$2:$Q$2902,V$2,0)&lt;&gt;F1601,"Beam Revised","")</f>
        <v>#N/A</v>
      </c>
      <c r="W1601" s="7" t="e">
        <f>IF(VLOOKUP($A1601,'Concrete Beam Schedule'!$A$2:$Q$2902,W$2,0)&lt;&gt;G1601,"Beam Revised","")</f>
        <v>#N/A</v>
      </c>
      <c r="X1601" s="7" t="e">
        <f>IF(VLOOKUP($A1601,'Concrete Beam Schedule'!$A$2:$Q$2902,X$2,0)&lt;&gt;H1601,"Beam Revised","")</f>
        <v>#N/A</v>
      </c>
      <c r="Y1601" s="7" t="e">
        <f>IF(VLOOKUP($A1601,'Concrete Beam Schedule'!$A$2:$Q$2902,Y$2,0)&lt;&gt;I1601,"Beam Revised","")</f>
        <v>#N/A</v>
      </c>
      <c r="Z1601" s="7" t="e">
        <f>IF(VLOOKUP($A1601,'Concrete Beam Schedule'!$A$2:$Q$2902,Z$2,0)&lt;&gt;J1601,"Beam Revised","")</f>
        <v>#N/A</v>
      </c>
      <c r="AA1601" s="7" t="e">
        <f>IF(VLOOKUP($A1601,'Concrete Beam Schedule'!$A$2:$Q$2902,AA$2,0)&lt;&gt;K1601,"Beam Revised","")</f>
        <v>#N/A</v>
      </c>
      <c r="AB1601" s="7" t="e">
        <f>IF(VLOOKUP($A1601,'Concrete Beam Schedule'!$A$2:$Q$2902,AB$2,0)&lt;&gt;L1601,"Beam Revised","")</f>
        <v>#N/A</v>
      </c>
      <c r="AC1601" s="7" t="e">
        <f>IF(VLOOKUP($A1601,'Concrete Beam Schedule'!$A$2:$Q$2902,AC$2,0)&lt;&gt;M1601,"Beam Revised","")</f>
        <v>#N/A</v>
      </c>
      <c r="AD1601" s="7" t="e">
        <f>IF(VLOOKUP($A1601,'Concrete Beam Schedule'!$A$2:$Q$2902,AD$2,0)&lt;&gt;N1601,"Beam Revised","")</f>
        <v>#N/A</v>
      </c>
      <c r="AE1601" s="7" t="e">
        <f>IF(VLOOKUP($A1601,'Concrete Beam Schedule'!$A$2:$Q$2902,AE$2,0)&lt;&gt;O1601,"Beam Revised","")</f>
        <v>#N/A</v>
      </c>
    </row>
    <row r="1602" spans="17:31" ht="20.100000000000001" customHeight="1" x14ac:dyDescent="0.25">
      <c r="Q1602" s="7">
        <f t="shared" si="24"/>
        <v>0</v>
      </c>
      <c r="R1602" s="7" t="e">
        <f>IF(VLOOKUP($A1602,'Concrete Beam Schedule'!$A$2:$Q$2902,R$2,0)&lt;&gt;B1602,VLOOKUP($A1602,'Concrete Beam Schedule'!$A$2:$Q$2902,R$2,0),"")</f>
        <v>#N/A</v>
      </c>
      <c r="S1602" s="7" t="e">
        <f>IF(VLOOKUP($A1602,'Concrete Beam Schedule'!$A$2:$Q$2902,S$2,0)&lt;&gt;C1602,VLOOKUP($A1602,'Concrete Beam Schedule'!$A$2:$Q$2902,S$2,0),"")</f>
        <v>#N/A</v>
      </c>
      <c r="T1602" s="7" t="e">
        <f>IF(VLOOKUP($A1602,'Concrete Beam Schedule'!$A$2:$Q$2902,T$2,0)&lt;&gt;D1602,"Beam Revised","")</f>
        <v>#N/A</v>
      </c>
      <c r="U1602" s="7" t="e">
        <f>IF(VLOOKUP($A1602,'Concrete Beam Schedule'!$A$2:$Q$2902,U$2,0)&lt;&gt;E1602,"Beam Revised","")</f>
        <v>#N/A</v>
      </c>
      <c r="V1602" s="7" t="e">
        <f>IF(VLOOKUP($A1602,'Concrete Beam Schedule'!$A$2:$Q$2902,V$2,0)&lt;&gt;F1602,"Beam Revised","")</f>
        <v>#N/A</v>
      </c>
      <c r="W1602" s="7" t="e">
        <f>IF(VLOOKUP($A1602,'Concrete Beam Schedule'!$A$2:$Q$2902,W$2,0)&lt;&gt;G1602,"Beam Revised","")</f>
        <v>#N/A</v>
      </c>
      <c r="X1602" s="7" t="e">
        <f>IF(VLOOKUP($A1602,'Concrete Beam Schedule'!$A$2:$Q$2902,X$2,0)&lt;&gt;H1602,"Beam Revised","")</f>
        <v>#N/A</v>
      </c>
      <c r="Y1602" s="7" t="e">
        <f>IF(VLOOKUP($A1602,'Concrete Beam Schedule'!$A$2:$Q$2902,Y$2,0)&lt;&gt;I1602,"Beam Revised","")</f>
        <v>#N/A</v>
      </c>
      <c r="Z1602" s="7" t="e">
        <f>IF(VLOOKUP($A1602,'Concrete Beam Schedule'!$A$2:$Q$2902,Z$2,0)&lt;&gt;J1602,"Beam Revised","")</f>
        <v>#N/A</v>
      </c>
      <c r="AA1602" s="7" t="e">
        <f>IF(VLOOKUP($A1602,'Concrete Beam Schedule'!$A$2:$Q$2902,AA$2,0)&lt;&gt;K1602,"Beam Revised","")</f>
        <v>#N/A</v>
      </c>
      <c r="AB1602" s="7" t="e">
        <f>IF(VLOOKUP($A1602,'Concrete Beam Schedule'!$A$2:$Q$2902,AB$2,0)&lt;&gt;L1602,"Beam Revised","")</f>
        <v>#N/A</v>
      </c>
      <c r="AC1602" s="7" t="e">
        <f>IF(VLOOKUP($A1602,'Concrete Beam Schedule'!$A$2:$Q$2902,AC$2,0)&lt;&gt;M1602,"Beam Revised","")</f>
        <v>#N/A</v>
      </c>
      <c r="AD1602" s="7" t="e">
        <f>IF(VLOOKUP($A1602,'Concrete Beam Schedule'!$A$2:$Q$2902,AD$2,0)&lt;&gt;N1602,"Beam Revised","")</f>
        <v>#N/A</v>
      </c>
      <c r="AE1602" s="7" t="e">
        <f>IF(VLOOKUP($A1602,'Concrete Beam Schedule'!$A$2:$Q$2902,AE$2,0)&lt;&gt;O1602,"Beam Revised","")</f>
        <v>#N/A</v>
      </c>
    </row>
    <row r="1603" spans="17:31" ht="20.100000000000001" customHeight="1" x14ac:dyDescent="0.25">
      <c r="Q1603" s="7">
        <f t="shared" si="24"/>
        <v>0</v>
      </c>
      <c r="R1603" s="7" t="e">
        <f>IF(VLOOKUP($A1603,'Concrete Beam Schedule'!$A$2:$Q$2902,R$2,0)&lt;&gt;B1603,VLOOKUP($A1603,'Concrete Beam Schedule'!$A$2:$Q$2902,R$2,0),"")</f>
        <v>#N/A</v>
      </c>
      <c r="S1603" s="7" t="e">
        <f>IF(VLOOKUP($A1603,'Concrete Beam Schedule'!$A$2:$Q$2902,S$2,0)&lt;&gt;C1603,VLOOKUP($A1603,'Concrete Beam Schedule'!$A$2:$Q$2902,S$2,0),"")</f>
        <v>#N/A</v>
      </c>
      <c r="T1603" s="7" t="e">
        <f>IF(VLOOKUP($A1603,'Concrete Beam Schedule'!$A$2:$Q$2902,T$2,0)&lt;&gt;D1603,"Beam Revised","")</f>
        <v>#N/A</v>
      </c>
      <c r="U1603" s="7" t="e">
        <f>IF(VLOOKUP($A1603,'Concrete Beam Schedule'!$A$2:$Q$2902,U$2,0)&lt;&gt;E1603,"Beam Revised","")</f>
        <v>#N/A</v>
      </c>
      <c r="V1603" s="7" t="e">
        <f>IF(VLOOKUP($A1603,'Concrete Beam Schedule'!$A$2:$Q$2902,V$2,0)&lt;&gt;F1603,"Beam Revised","")</f>
        <v>#N/A</v>
      </c>
      <c r="W1603" s="7" t="e">
        <f>IF(VLOOKUP($A1603,'Concrete Beam Schedule'!$A$2:$Q$2902,W$2,0)&lt;&gt;G1603,"Beam Revised","")</f>
        <v>#N/A</v>
      </c>
      <c r="X1603" s="7" t="e">
        <f>IF(VLOOKUP($A1603,'Concrete Beam Schedule'!$A$2:$Q$2902,X$2,0)&lt;&gt;H1603,"Beam Revised","")</f>
        <v>#N/A</v>
      </c>
      <c r="Y1603" s="7" t="e">
        <f>IF(VLOOKUP($A1603,'Concrete Beam Schedule'!$A$2:$Q$2902,Y$2,0)&lt;&gt;I1603,"Beam Revised","")</f>
        <v>#N/A</v>
      </c>
      <c r="Z1603" s="7" t="e">
        <f>IF(VLOOKUP($A1603,'Concrete Beam Schedule'!$A$2:$Q$2902,Z$2,0)&lt;&gt;J1603,"Beam Revised","")</f>
        <v>#N/A</v>
      </c>
      <c r="AA1603" s="7" t="e">
        <f>IF(VLOOKUP($A1603,'Concrete Beam Schedule'!$A$2:$Q$2902,AA$2,0)&lt;&gt;K1603,"Beam Revised","")</f>
        <v>#N/A</v>
      </c>
      <c r="AB1603" s="7" t="e">
        <f>IF(VLOOKUP($A1603,'Concrete Beam Schedule'!$A$2:$Q$2902,AB$2,0)&lt;&gt;L1603,"Beam Revised","")</f>
        <v>#N/A</v>
      </c>
      <c r="AC1603" s="7" t="e">
        <f>IF(VLOOKUP($A1603,'Concrete Beam Schedule'!$A$2:$Q$2902,AC$2,0)&lt;&gt;M1603,"Beam Revised","")</f>
        <v>#N/A</v>
      </c>
      <c r="AD1603" s="7" t="e">
        <f>IF(VLOOKUP($A1603,'Concrete Beam Schedule'!$A$2:$Q$2902,AD$2,0)&lt;&gt;N1603,"Beam Revised","")</f>
        <v>#N/A</v>
      </c>
      <c r="AE1603" s="7" t="e">
        <f>IF(VLOOKUP($A1603,'Concrete Beam Schedule'!$A$2:$Q$2902,AE$2,0)&lt;&gt;O1603,"Beam Revised","")</f>
        <v>#N/A</v>
      </c>
    </row>
    <row r="1604" spans="17:31" ht="20.100000000000001" customHeight="1" x14ac:dyDescent="0.25">
      <c r="Q1604" s="7">
        <f t="shared" ref="Q1604:Q1667" si="25">A1604</f>
        <v>0</v>
      </c>
      <c r="R1604" s="7" t="e">
        <f>IF(VLOOKUP($A1604,'Concrete Beam Schedule'!$A$2:$Q$2902,R$2,0)&lt;&gt;B1604,VLOOKUP($A1604,'Concrete Beam Schedule'!$A$2:$Q$2902,R$2,0),"")</f>
        <v>#N/A</v>
      </c>
      <c r="S1604" s="7" t="e">
        <f>IF(VLOOKUP($A1604,'Concrete Beam Schedule'!$A$2:$Q$2902,S$2,0)&lt;&gt;C1604,VLOOKUP($A1604,'Concrete Beam Schedule'!$A$2:$Q$2902,S$2,0),"")</f>
        <v>#N/A</v>
      </c>
      <c r="T1604" s="7" t="e">
        <f>IF(VLOOKUP($A1604,'Concrete Beam Schedule'!$A$2:$Q$2902,T$2,0)&lt;&gt;D1604,"Beam Revised","")</f>
        <v>#N/A</v>
      </c>
      <c r="U1604" s="7" t="e">
        <f>IF(VLOOKUP($A1604,'Concrete Beam Schedule'!$A$2:$Q$2902,U$2,0)&lt;&gt;E1604,"Beam Revised","")</f>
        <v>#N/A</v>
      </c>
      <c r="V1604" s="7" t="e">
        <f>IF(VLOOKUP($A1604,'Concrete Beam Schedule'!$A$2:$Q$2902,V$2,0)&lt;&gt;F1604,"Beam Revised","")</f>
        <v>#N/A</v>
      </c>
      <c r="W1604" s="7" t="e">
        <f>IF(VLOOKUP($A1604,'Concrete Beam Schedule'!$A$2:$Q$2902,W$2,0)&lt;&gt;G1604,"Beam Revised","")</f>
        <v>#N/A</v>
      </c>
      <c r="X1604" s="7" t="e">
        <f>IF(VLOOKUP($A1604,'Concrete Beam Schedule'!$A$2:$Q$2902,X$2,0)&lt;&gt;H1604,"Beam Revised","")</f>
        <v>#N/A</v>
      </c>
      <c r="Y1604" s="7" t="e">
        <f>IF(VLOOKUP($A1604,'Concrete Beam Schedule'!$A$2:$Q$2902,Y$2,0)&lt;&gt;I1604,"Beam Revised","")</f>
        <v>#N/A</v>
      </c>
      <c r="Z1604" s="7" t="e">
        <f>IF(VLOOKUP($A1604,'Concrete Beam Schedule'!$A$2:$Q$2902,Z$2,0)&lt;&gt;J1604,"Beam Revised","")</f>
        <v>#N/A</v>
      </c>
      <c r="AA1604" s="7" t="e">
        <f>IF(VLOOKUP($A1604,'Concrete Beam Schedule'!$A$2:$Q$2902,AA$2,0)&lt;&gt;K1604,"Beam Revised","")</f>
        <v>#N/A</v>
      </c>
      <c r="AB1604" s="7" t="e">
        <f>IF(VLOOKUP($A1604,'Concrete Beam Schedule'!$A$2:$Q$2902,AB$2,0)&lt;&gt;L1604,"Beam Revised","")</f>
        <v>#N/A</v>
      </c>
      <c r="AC1604" s="7" t="e">
        <f>IF(VLOOKUP($A1604,'Concrete Beam Schedule'!$A$2:$Q$2902,AC$2,0)&lt;&gt;M1604,"Beam Revised","")</f>
        <v>#N/A</v>
      </c>
      <c r="AD1604" s="7" t="e">
        <f>IF(VLOOKUP($A1604,'Concrete Beam Schedule'!$A$2:$Q$2902,AD$2,0)&lt;&gt;N1604,"Beam Revised","")</f>
        <v>#N/A</v>
      </c>
      <c r="AE1604" s="7" t="e">
        <f>IF(VLOOKUP($A1604,'Concrete Beam Schedule'!$A$2:$Q$2902,AE$2,0)&lt;&gt;O1604,"Beam Revised","")</f>
        <v>#N/A</v>
      </c>
    </row>
    <row r="1605" spans="17:31" ht="20.100000000000001" customHeight="1" x14ac:dyDescent="0.25">
      <c r="Q1605" s="7">
        <f t="shared" si="25"/>
        <v>0</v>
      </c>
      <c r="R1605" s="7" t="e">
        <f>IF(VLOOKUP($A1605,'Concrete Beam Schedule'!$A$2:$Q$2902,R$2,0)&lt;&gt;B1605,VLOOKUP($A1605,'Concrete Beam Schedule'!$A$2:$Q$2902,R$2,0),"")</f>
        <v>#N/A</v>
      </c>
      <c r="S1605" s="7" t="e">
        <f>IF(VLOOKUP($A1605,'Concrete Beam Schedule'!$A$2:$Q$2902,S$2,0)&lt;&gt;C1605,VLOOKUP($A1605,'Concrete Beam Schedule'!$A$2:$Q$2902,S$2,0),"")</f>
        <v>#N/A</v>
      </c>
      <c r="T1605" s="7" t="e">
        <f>IF(VLOOKUP($A1605,'Concrete Beam Schedule'!$A$2:$Q$2902,T$2,0)&lt;&gt;D1605,"Beam Revised","")</f>
        <v>#N/A</v>
      </c>
      <c r="U1605" s="7" t="e">
        <f>IF(VLOOKUP($A1605,'Concrete Beam Schedule'!$A$2:$Q$2902,U$2,0)&lt;&gt;E1605,"Beam Revised","")</f>
        <v>#N/A</v>
      </c>
      <c r="V1605" s="7" t="e">
        <f>IF(VLOOKUP($A1605,'Concrete Beam Schedule'!$A$2:$Q$2902,V$2,0)&lt;&gt;F1605,"Beam Revised","")</f>
        <v>#N/A</v>
      </c>
      <c r="W1605" s="7" t="e">
        <f>IF(VLOOKUP($A1605,'Concrete Beam Schedule'!$A$2:$Q$2902,W$2,0)&lt;&gt;G1605,"Beam Revised","")</f>
        <v>#N/A</v>
      </c>
      <c r="X1605" s="7" t="e">
        <f>IF(VLOOKUP($A1605,'Concrete Beam Schedule'!$A$2:$Q$2902,X$2,0)&lt;&gt;H1605,"Beam Revised","")</f>
        <v>#N/A</v>
      </c>
      <c r="Y1605" s="7" t="e">
        <f>IF(VLOOKUP($A1605,'Concrete Beam Schedule'!$A$2:$Q$2902,Y$2,0)&lt;&gt;I1605,"Beam Revised","")</f>
        <v>#N/A</v>
      </c>
      <c r="Z1605" s="7" t="e">
        <f>IF(VLOOKUP($A1605,'Concrete Beam Schedule'!$A$2:$Q$2902,Z$2,0)&lt;&gt;J1605,"Beam Revised","")</f>
        <v>#N/A</v>
      </c>
      <c r="AA1605" s="7" t="e">
        <f>IF(VLOOKUP($A1605,'Concrete Beam Schedule'!$A$2:$Q$2902,AA$2,0)&lt;&gt;K1605,"Beam Revised","")</f>
        <v>#N/A</v>
      </c>
      <c r="AB1605" s="7" t="e">
        <f>IF(VLOOKUP($A1605,'Concrete Beam Schedule'!$A$2:$Q$2902,AB$2,0)&lt;&gt;L1605,"Beam Revised","")</f>
        <v>#N/A</v>
      </c>
      <c r="AC1605" s="7" t="e">
        <f>IF(VLOOKUP($A1605,'Concrete Beam Schedule'!$A$2:$Q$2902,AC$2,0)&lt;&gt;M1605,"Beam Revised","")</f>
        <v>#N/A</v>
      </c>
      <c r="AD1605" s="7" t="e">
        <f>IF(VLOOKUP($A1605,'Concrete Beam Schedule'!$A$2:$Q$2902,AD$2,0)&lt;&gt;N1605,"Beam Revised","")</f>
        <v>#N/A</v>
      </c>
      <c r="AE1605" s="7" t="e">
        <f>IF(VLOOKUP($A1605,'Concrete Beam Schedule'!$A$2:$Q$2902,AE$2,0)&lt;&gt;O1605,"Beam Revised","")</f>
        <v>#N/A</v>
      </c>
    </row>
    <row r="1606" spans="17:31" ht="20.100000000000001" customHeight="1" x14ac:dyDescent="0.25">
      <c r="Q1606" s="7">
        <f t="shared" si="25"/>
        <v>0</v>
      </c>
      <c r="R1606" s="7" t="e">
        <f>IF(VLOOKUP($A1606,'Concrete Beam Schedule'!$A$2:$Q$2902,R$2,0)&lt;&gt;B1606,VLOOKUP($A1606,'Concrete Beam Schedule'!$A$2:$Q$2902,R$2,0),"")</f>
        <v>#N/A</v>
      </c>
      <c r="S1606" s="7" t="e">
        <f>IF(VLOOKUP($A1606,'Concrete Beam Schedule'!$A$2:$Q$2902,S$2,0)&lt;&gt;C1606,VLOOKUP($A1606,'Concrete Beam Schedule'!$A$2:$Q$2902,S$2,0),"")</f>
        <v>#N/A</v>
      </c>
      <c r="T1606" s="7" t="e">
        <f>IF(VLOOKUP($A1606,'Concrete Beam Schedule'!$A$2:$Q$2902,T$2,0)&lt;&gt;D1606,"Beam Revised","")</f>
        <v>#N/A</v>
      </c>
      <c r="U1606" s="7" t="e">
        <f>IF(VLOOKUP($A1606,'Concrete Beam Schedule'!$A$2:$Q$2902,U$2,0)&lt;&gt;E1606,"Beam Revised","")</f>
        <v>#N/A</v>
      </c>
      <c r="V1606" s="7" t="e">
        <f>IF(VLOOKUP($A1606,'Concrete Beam Schedule'!$A$2:$Q$2902,V$2,0)&lt;&gt;F1606,"Beam Revised","")</f>
        <v>#N/A</v>
      </c>
      <c r="W1606" s="7" t="e">
        <f>IF(VLOOKUP($A1606,'Concrete Beam Schedule'!$A$2:$Q$2902,W$2,0)&lt;&gt;G1606,"Beam Revised","")</f>
        <v>#N/A</v>
      </c>
      <c r="X1606" s="7" t="e">
        <f>IF(VLOOKUP($A1606,'Concrete Beam Schedule'!$A$2:$Q$2902,X$2,0)&lt;&gt;H1606,"Beam Revised","")</f>
        <v>#N/A</v>
      </c>
      <c r="Y1606" s="7" t="e">
        <f>IF(VLOOKUP($A1606,'Concrete Beam Schedule'!$A$2:$Q$2902,Y$2,0)&lt;&gt;I1606,"Beam Revised","")</f>
        <v>#N/A</v>
      </c>
      <c r="Z1606" s="7" t="e">
        <f>IF(VLOOKUP($A1606,'Concrete Beam Schedule'!$A$2:$Q$2902,Z$2,0)&lt;&gt;J1606,"Beam Revised","")</f>
        <v>#N/A</v>
      </c>
      <c r="AA1606" s="7" t="e">
        <f>IF(VLOOKUP($A1606,'Concrete Beam Schedule'!$A$2:$Q$2902,AA$2,0)&lt;&gt;K1606,"Beam Revised","")</f>
        <v>#N/A</v>
      </c>
      <c r="AB1606" s="7" t="e">
        <f>IF(VLOOKUP($A1606,'Concrete Beam Schedule'!$A$2:$Q$2902,AB$2,0)&lt;&gt;L1606,"Beam Revised","")</f>
        <v>#N/A</v>
      </c>
      <c r="AC1606" s="7" t="e">
        <f>IF(VLOOKUP($A1606,'Concrete Beam Schedule'!$A$2:$Q$2902,AC$2,0)&lt;&gt;M1606,"Beam Revised","")</f>
        <v>#N/A</v>
      </c>
      <c r="AD1606" s="7" t="e">
        <f>IF(VLOOKUP($A1606,'Concrete Beam Schedule'!$A$2:$Q$2902,AD$2,0)&lt;&gt;N1606,"Beam Revised","")</f>
        <v>#N/A</v>
      </c>
      <c r="AE1606" s="7" t="e">
        <f>IF(VLOOKUP($A1606,'Concrete Beam Schedule'!$A$2:$Q$2902,AE$2,0)&lt;&gt;O1606,"Beam Revised","")</f>
        <v>#N/A</v>
      </c>
    </row>
    <row r="1607" spans="17:31" ht="20.100000000000001" customHeight="1" x14ac:dyDescent="0.25">
      <c r="Q1607" s="7">
        <f t="shared" si="25"/>
        <v>0</v>
      </c>
      <c r="R1607" s="7" t="e">
        <f>IF(VLOOKUP($A1607,'Concrete Beam Schedule'!$A$2:$Q$2902,R$2,0)&lt;&gt;B1607,VLOOKUP($A1607,'Concrete Beam Schedule'!$A$2:$Q$2902,R$2,0),"")</f>
        <v>#N/A</v>
      </c>
      <c r="S1607" s="7" t="e">
        <f>IF(VLOOKUP($A1607,'Concrete Beam Schedule'!$A$2:$Q$2902,S$2,0)&lt;&gt;C1607,VLOOKUP($A1607,'Concrete Beam Schedule'!$A$2:$Q$2902,S$2,0),"")</f>
        <v>#N/A</v>
      </c>
      <c r="T1607" s="7" t="e">
        <f>IF(VLOOKUP($A1607,'Concrete Beam Schedule'!$A$2:$Q$2902,T$2,0)&lt;&gt;D1607,"Beam Revised","")</f>
        <v>#N/A</v>
      </c>
      <c r="U1607" s="7" t="e">
        <f>IF(VLOOKUP($A1607,'Concrete Beam Schedule'!$A$2:$Q$2902,U$2,0)&lt;&gt;E1607,"Beam Revised","")</f>
        <v>#N/A</v>
      </c>
      <c r="V1607" s="7" t="e">
        <f>IF(VLOOKUP($A1607,'Concrete Beam Schedule'!$A$2:$Q$2902,V$2,0)&lt;&gt;F1607,"Beam Revised","")</f>
        <v>#N/A</v>
      </c>
      <c r="W1607" s="7" t="e">
        <f>IF(VLOOKUP($A1607,'Concrete Beam Schedule'!$A$2:$Q$2902,W$2,0)&lt;&gt;G1607,"Beam Revised","")</f>
        <v>#N/A</v>
      </c>
      <c r="X1607" s="7" t="e">
        <f>IF(VLOOKUP($A1607,'Concrete Beam Schedule'!$A$2:$Q$2902,X$2,0)&lt;&gt;H1607,"Beam Revised","")</f>
        <v>#N/A</v>
      </c>
      <c r="Y1607" s="7" t="e">
        <f>IF(VLOOKUP($A1607,'Concrete Beam Schedule'!$A$2:$Q$2902,Y$2,0)&lt;&gt;I1607,"Beam Revised","")</f>
        <v>#N/A</v>
      </c>
      <c r="Z1607" s="7" t="e">
        <f>IF(VLOOKUP($A1607,'Concrete Beam Schedule'!$A$2:$Q$2902,Z$2,0)&lt;&gt;J1607,"Beam Revised","")</f>
        <v>#N/A</v>
      </c>
      <c r="AA1607" s="7" t="e">
        <f>IF(VLOOKUP($A1607,'Concrete Beam Schedule'!$A$2:$Q$2902,AA$2,0)&lt;&gt;K1607,"Beam Revised","")</f>
        <v>#N/A</v>
      </c>
      <c r="AB1607" s="7" t="e">
        <f>IF(VLOOKUP($A1607,'Concrete Beam Schedule'!$A$2:$Q$2902,AB$2,0)&lt;&gt;L1607,"Beam Revised","")</f>
        <v>#N/A</v>
      </c>
      <c r="AC1607" s="7" t="e">
        <f>IF(VLOOKUP($A1607,'Concrete Beam Schedule'!$A$2:$Q$2902,AC$2,0)&lt;&gt;M1607,"Beam Revised","")</f>
        <v>#N/A</v>
      </c>
      <c r="AD1607" s="7" t="e">
        <f>IF(VLOOKUP($A1607,'Concrete Beam Schedule'!$A$2:$Q$2902,AD$2,0)&lt;&gt;N1607,"Beam Revised","")</f>
        <v>#N/A</v>
      </c>
      <c r="AE1607" s="7" t="e">
        <f>IF(VLOOKUP($A1607,'Concrete Beam Schedule'!$A$2:$Q$2902,AE$2,0)&lt;&gt;O1607,"Beam Revised","")</f>
        <v>#N/A</v>
      </c>
    </row>
    <row r="1608" spans="17:31" ht="20.100000000000001" customHeight="1" x14ac:dyDescent="0.25">
      <c r="Q1608" s="7">
        <f t="shared" si="25"/>
        <v>0</v>
      </c>
      <c r="R1608" s="7" t="e">
        <f>IF(VLOOKUP($A1608,'Concrete Beam Schedule'!$A$2:$Q$2902,R$2,0)&lt;&gt;B1608,VLOOKUP($A1608,'Concrete Beam Schedule'!$A$2:$Q$2902,R$2,0),"")</f>
        <v>#N/A</v>
      </c>
      <c r="S1608" s="7" t="e">
        <f>IF(VLOOKUP($A1608,'Concrete Beam Schedule'!$A$2:$Q$2902,S$2,0)&lt;&gt;C1608,VLOOKUP($A1608,'Concrete Beam Schedule'!$A$2:$Q$2902,S$2,0),"")</f>
        <v>#N/A</v>
      </c>
      <c r="T1608" s="7" t="e">
        <f>IF(VLOOKUP($A1608,'Concrete Beam Schedule'!$A$2:$Q$2902,T$2,0)&lt;&gt;D1608,"Beam Revised","")</f>
        <v>#N/A</v>
      </c>
      <c r="U1608" s="7" t="e">
        <f>IF(VLOOKUP($A1608,'Concrete Beam Schedule'!$A$2:$Q$2902,U$2,0)&lt;&gt;E1608,"Beam Revised","")</f>
        <v>#N/A</v>
      </c>
      <c r="V1608" s="7" t="e">
        <f>IF(VLOOKUP($A1608,'Concrete Beam Schedule'!$A$2:$Q$2902,V$2,0)&lt;&gt;F1608,"Beam Revised","")</f>
        <v>#N/A</v>
      </c>
      <c r="W1608" s="7" t="e">
        <f>IF(VLOOKUP($A1608,'Concrete Beam Schedule'!$A$2:$Q$2902,W$2,0)&lt;&gt;G1608,"Beam Revised","")</f>
        <v>#N/A</v>
      </c>
      <c r="X1608" s="7" t="e">
        <f>IF(VLOOKUP($A1608,'Concrete Beam Schedule'!$A$2:$Q$2902,X$2,0)&lt;&gt;H1608,"Beam Revised","")</f>
        <v>#N/A</v>
      </c>
      <c r="Y1608" s="7" t="e">
        <f>IF(VLOOKUP($A1608,'Concrete Beam Schedule'!$A$2:$Q$2902,Y$2,0)&lt;&gt;I1608,"Beam Revised","")</f>
        <v>#N/A</v>
      </c>
      <c r="Z1608" s="7" t="e">
        <f>IF(VLOOKUP($A1608,'Concrete Beam Schedule'!$A$2:$Q$2902,Z$2,0)&lt;&gt;J1608,"Beam Revised","")</f>
        <v>#N/A</v>
      </c>
      <c r="AA1608" s="7" t="e">
        <f>IF(VLOOKUP($A1608,'Concrete Beam Schedule'!$A$2:$Q$2902,AA$2,0)&lt;&gt;K1608,"Beam Revised","")</f>
        <v>#N/A</v>
      </c>
      <c r="AB1608" s="7" t="e">
        <f>IF(VLOOKUP($A1608,'Concrete Beam Schedule'!$A$2:$Q$2902,AB$2,0)&lt;&gt;L1608,"Beam Revised","")</f>
        <v>#N/A</v>
      </c>
      <c r="AC1608" s="7" t="e">
        <f>IF(VLOOKUP($A1608,'Concrete Beam Schedule'!$A$2:$Q$2902,AC$2,0)&lt;&gt;M1608,"Beam Revised","")</f>
        <v>#N/A</v>
      </c>
      <c r="AD1608" s="7" t="e">
        <f>IF(VLOOKUP($A1608,'Concrete Beam Schedule'!$A$2:$Q$2902,AD$2,0)&lt;&gt;N1608,"Beam Revised","")</f>
        <v>#N/A</v>
      </c>
      <c r="AE1608" s="7" t="e">
        <f>IF(VLOOKUP($A1608,'Concrete Beam Schedule'!$A$2:$Q$2902,AE$2,0)&lt;&gt;O1608,"Beam Revised","")</f>
        <v>#N/A</v>
      </c>
    </row>
    <row r="1609" spans="17:31" ht="20.100000000000001" customHeight="1" x14ac:dyDescent="0.25">
      <c r="Q1609" s="7">
        <f t="shared" si="25"/>
        <v>0</v>
      </c>
      <c r="R1609" s="7" t="e">
        <f>IF(VLOOKUP($A1609,'Concrete Beam Schedule'!$A$2:$Q$2902,R$2,0)&lt;&gt;B1609,VLOOKUP($A1609,'Concrete Beam Schedule'!$A$2:$Q$2902,R$2,0),"")</f>
        <v>#N/A</v>
      </c>
      <c r="S1609" s="7" t="e">
        <f>IF(VLOOKUP($A1609,'Concrete Beam Schedule'!$A$2:$Q$2902,S$2,0)&lt;&gt;C1609,VLOOKUP($A1609,'Concrete Beam Schedule'!$A$2:$Q$2902,S$2,0),"")</f>
        <v>#N/A</v>
      </c>
      <c r="T1609" s="7" t="e">
        <f>IF(VLOOKUP($A1609,'Concrete Beam Schedule'!$A$2:$Q$2902,T$2,0)&lt;&gt;D1609,"Beam Revised","")</f>
        <v>#N/A</v>
      </c>
      <c r="U1609" s="7" t="e">
        <f>IF(VLOOKUP($A1609,'Concrete Beam Schedule'!$A$2:$Q$2902,U$2,0)&lt;&gt;E1609,"Beam Revised","")</f>
        <v>#N/A</v>
      </c>
      <c r="V1609" s="7" t="e">
        <f>IF(VLOOKUP($A1609,'Concrete Beam Schedule'!$A$2:$Q$2902,V$2,0)&lt;&gt;F1609,"Beam Revised","")</f>
        <v>#N/A</v>
      </c>
      <c r="W1609" s="7" t="e">
        <f>IF(VLOOKUP($A1609,'Concrete Beam Schedule'!$A$2:$Q$2902,W$2,0)&lt;&gt;G1609,"Beam Revised","")</f>
        <v>#N/A</v>
      </c>
      <c r="X1609" s="7" t="e">
        <f>IF(VLOOKUP($A1609,'Concrete Beam Schedule'!$A$2:$Q$2902,X$2,0)&lt;&gt;H1609,"Beam Revised","")</f>
        <v>#N/A</v>
      </c>
      <c r="Y1609" s="7" t="e">
        <f>IF(VLOOKUP($A1609,'Concrete Beam Schedule'!$A$2:$Q$2902,Y$2,0)&lt;&gt;I1609,"Beam Revised","")</f>
        <v>#N/A</v>
      </c>
      <c r="Z1609" s="7" t="e">
        <f>IF(VLOOKUP($A1609,'Concrete Beam Schedule'!$A$2:$Q$2902,Z$2,0)&lt;&gt;J1609,"Beam Revised","")</f>
        <v>#N/A</v>
      </c>
      <c r="AA1609" s="7" t="e">
        <f>IF(VLOOKUP($A1609,'Concrete Beam Schedule'!$A$2:$Q$2902,AA$2,0)&lt;&gt;K1609,"Beam Revised","")</f>
        <v>#N/A</v>
      </c>
      <c r="AB1609" s="7" t="e">
        <f>IF(VLOOKUP($A1609,'Concrete Beam Schedule'!$A$2:$Q$2902,AB$2,0)&lt;&gt;L1609,"Beam Revised","")</f>
        <v>#N/A</v>
      </c>
      <c r="AC1609" s="7" t="e">
        <f>IF(VLOOKUP($A1609,'Concrete Beam Schedule'!$A$2:$Q$2902,AC$2,0)&lt;&gt;M1609,"Beam Revised","")</f>
        <v>#N/A</v>
      </c>
      <c r="AD1609" s="7" t="e">
        <f>IF(VLOOKUP($A1609,'Concrete Beam Schedule'!$A$2:$Q$2902,AD$2,0)&lt;&gt;N1609,"Beam Revised","")</f>
        <v>#N/A</v>
      </c>
      <c r="AE1609" s="7" t="e">
        <f>IF(VLOOKUP($A1609,'Concrete Beam Schedule'!$A$2:$Q$2902,AE$2,0)&lt;&gt;O1609,"Beam Revised","")</f>
        <v>#N/A</v>
      </c>
    </row>
    <row r="1610" spans="17:31" ht="20.100000000000001" customHeight="1" x14ac:dyDescent="0.25">
      <c r="Q1610" s="7">
        <f t="shared" si="25"/>
        <v>0</v>
      </c>
      <c r="R1610" s="7" t="e">
        <f>IF(VLOOKUP($A1610,'Concrete Beam Schedule'!$A$2:$Q$2902,R$2,0)&lt;&gt;B1610,VLOOKUP($A1610,'Concrete Beam Schedule'!$A$2:$Q$2902,R$2,0),"")</f>
        <v>#N/A</v>
      </c>
      <c r="S1610" s="7" t="e">
        <f>IF(VLOOKUP($A1610,'Concrete Beam Schedule'!$A$2:$Q$2902,S$2,0)&lt;&gt;C1610,VLOOKUP($A1610,'Concrete Beam Schedule'!$A$2:$Q$2902,S$2,0),"")</f>
        <v>#N/A</v>
      </c>
      <c r="T1610" s="7" t="e">
        <f>IF(VLOOKUP($A1610,'Concrete Beam Schedule'!$A$2:$Q$2902,T$2,0)&lt;&gt;D1610,"Beam Revised","")</f>
        <v>#N/A</v>
      </c>
      <c r="U1610" s="7" t="e">
        <f>IF(VLOOKUP($A1610,'Concrete Beam Schedule'!$A$2:$Q$2902,U$2,0)&lt;&gt;E1610,"Beam Revised","")</f>
        <v>#N/A</v>
      </c>
      <c r="V1610" s="7" t="e">
        <f>IF(VLOOKUP($A1610,'Concrete Beam Schedule'!$A$2:$Q$2902,V$2,0)&lt;&gt;F1610,"Beam Revised","")</f>
        <v>#N/A</v>
      </c>
      <c r="W1610" s="7" t="e">
        <f>IF(VLOOKUP($A1610,'Concrete Beam Schedule'!$A$2:$Q$2902,W$2,0)&lt;&gt;G1610,"Beam Revised","")</f>
        <v>#N/A</v>
      </c>
      <c r="X1610" s="7" t="e">
        <f>IF(VLOOKUP($A1610,'Concrete Beam Schedule'!$A$2:$Q$2902,X$2,0)&lt;&gt;H1610,"Beam Revised","")</f>
        <v>#N/A</v>
      </c>
      <c r="Y1610" s="7" t="e">
        <f>IF(VLOOKUP($A1610,'Concrete Beam Schedule'!$A$2:$Q$2902,Y$2,0)&lt;&gt;I1610,"Beam Revised","")</f>
        <v>#N/A</v>
      </c>
      <c r="Z1610" s="7" t="e">
        <f>IF(VLOOKUP($A1610,'Concrete Beam Schedule'!$A$2:$Q$2902,Z$2,0)&lt;&gt;J1610,"Beam Revised","")</f>
        <v>#N/A</v>
      </c>
      <c r="AA1610" s="7" t="e">
        <f>IF(VLOOKUP($A1610,'Concrete Beam Schedule'!$A$2:$Q$2902,AA$2,0)&lt;&gt;K1610,"Beam Revised","")</f>
        <v>#N/A</v>
      </c>
      <c r="AB1610" s="7" t="e">
        <f>IF(VLOOKUP($A1610,'Concrete Beam Schedule'!$A$2:$Q$2902,AB$2,0)&lt;&gt;L1610,"Beam Revised","")</f>
        <v>#N/A</v>
      </c>
      <c r="AC1610" s="7" t="e">
        <f>IF(VLOOKUP($A1610,'Concrete Beam Schedule'!$A$2:$Q$2902,AC$2,0)&lt;&gt;M1610,"Beam Revised","")</f>
        <v>#N/A</v>
      </c>
      <c r="AD1610" s="7" t="e">
        <f>IF(VLOOKUP($A1610,'Concrete Beam Schedule'!$A$2:$Q$2902,AD$2,0)&lt;&gt;N1610,"Beam Revised","")</f>
        <v>#N/A</v>
      </c>
      <c r="AE1610" s="7" t="e">
        <f>IF(VLOOKUP($A1610,'Concrete Beam Schedule'!$A$2:$Q$2902,AE$2,0)&lt;&gt;O1610,"Beam Revised","")</f>
        <v>#N/A</v>
      </c>
    </row>
    <row r="1611" spans="17:31" ht="20.100000000000001" customHeight="1" x14ac:dyDescent="0.25">
      <c r="Q1611" s="7">
        <f t="shared" si="25"/>
        <v>0</v>
      </c>
      <c r="R1611" s="7" t="e">
        <f>IF(VLOOKUP($A1611,'Concrete Beam Schedule'!$A$2:$Q$2902,R$2,0)&lt;&gt;B1611,VLOOKUP($A1611,'Concrete Beam Schedule'!$A$2:$Q$2902,R$2,0),"")</f>
        <v>#N/A</v>
      </c>
      <c r="S1611" s="7" t="e">
        <f>IF(VLOOKUP($A1611,'Concrete Beam Schedule'!$A$2:$Q$2902,S$2,0)&lt;&gt;C1611,VLOOKUP($A1611,'Concrete Beam Schedule'!$A$2:$Q$2902,S$2,0),"")</f>
        <v>#N/A</v>
      </c>
      <c r="T1611" s="7" t="e">
        <f>IF(VLOOKUP($A1611,'Concrete Beam Schedule'!$A$2:$Q$2902,T$2,0)&lt;&gt;D1611,"Beam Revised","")</f>
        <v>#N/A</v>
      </c>
      <c r="U1611" s="7" t="e">
        <f>IF(VLOOKUP($A1611,'Concrete Beam Schedule'!$A$2:$Q$2902,U$2,0)&lt;&gt;E1611,"Beam Revised","")</f>
        <v>#N/A</v>
      </c>
      <c r="V1611" s="7" t="e">
        <f>IF(VLOOKUP($A1611,'Concrete Beam Schedule'!$A$2:$Q$2902,V$2,0)&lt;&gt;F1611,"Beam Revised","")</f>
        <v>#N/A</v>
      </c>
      <c r="W1611" s="7" t="e">
        <f>IF(VLOOKUP($A1611,'Concrete Beam Schedule'!$A$2:$Q$2902,W$2,0)&lt;&gt;G1611,"Beam Revised","")</f>
        <v>#N/A</v>
      </c>
      <c r="X1611" s="7" t="e">
        <f>IF(VLOOKUP($A1611,'Concrete Beam Schedule'!$A$2:$Q$2902,X$2,0)&lt;&gt;H1611,"Beam Revised","")</f>
        <v>#N/A</v>
      </c>
      <c r="Y1611" s="7" t="e">
        <f>IF(VLOOKUP($A1611,'Concrete Beam Schedule'!$A$2:$Q$2902,Y$2,0)&lt;&gt;I1611,"Beam Revised","")</f>
        <v>#N/A</v>
      </c>
      <c r="Z1611" s="7" t="e">
        <f>IF(VLOOKUP($A1611,'Concrete Beam Schedule'!$A$2:$Q$2902,Z$2,0)&lt;&gt;J1611,"Beam Revised","")</f>
        <v>#N/A</v>
      </c>
      <c r="AA1611" s="7" t="e">
        <f>IF(VLOOKUP($A1611,'Concrete Beam Schedule'!$A$2:$Q$2902,AA$2,0)&lt;&gt;K1611,"Beam Revised","")</f>
        <v>#N/A</v>
      </c>
      <c r="AB1611" s="7" t="e">
        <f>IF(VLOOKUP($A1611,'Concrete Beam Schedule'!$A$2:$Q$2902,AB$2,0)&lt;&gt;L1611,"Beam Revised","")</f>
        <v>#N/A</v>
      </c>
      <c r="AC1611" s="7" t="e">
        <f>IF(VLOOKUP($A1611,'Concrete Beam Schedule'!$A$2:$Q$2902,AC$2,0)&lt;&gt;M1611,"Beam Revised","")</f>
        <v>#N/A</v>
      </c>
      <c r="AD1611" s="7" t="e">
        <f>IF(VLOOKUP($A1611,'Concrete Beam Schedule'!$A$2:$Q$2902,AD$2,0)&lt;&gt;N1611,"Beam Revised","")</f>
        <v>#N/A</v>
      </c>
      <c r="AE1611" s="7" t="e">
        <f>IF(VLOOKUP($A1611,'Concrete Beam Schedule'!$A$2:$Q$2902,AE$2,0)&lt;&gt;O1611,"Beam Revised","")</f>
        <v>#N/A</v>
      </c>
    </row>
    <row r="1612" spans="17:31" ht="20.100000000000001" customHeight="1" x14ac:dyDescent="0.25">
      <c r="Q1612" s="7">
        <f t="shared" si="25"/>
        <v>0</v>
      </c>
      <c r="R1612" s="7" t="e">
        <f>IF(VLOOKUP($A1612,'Concrete Beam Schedule'!$A$2:$Q$2902,R$2,0)&lt;&gt;B1612,VLOOKUP($A1612,'Concrete Beam Schedule'!$A$2:$Q$2902,R$2,0),"")</f>
        <v>#N/A</v>
      </c>
      <c r="S1612" s="7" t="e">
        <f>IF(VLOOKUP($A1612,'Concrete Beam Schedule'!$A$2:$Q$2902,S$2,0)&lt;&gt;C1612,VLOOKUP($A1612,'Concrete Beam Schedule'!$A$2:$Q$2902,S$2,0),"")</f>
        <v>#N/A</v>
      </c>
      <c r="T1612" s="7" t="e">
        <f>IF(VLOOKUP($A1612,'Concrete Beam Schedule'!$A$2:$Q$2902,T$2,0)&lt;&gt;D1612,"Beam Revised","")</f>
        <v>#N/A</v>
      </c>
      <c r="U1612" s="7" t="e">
        <f>IF(VLOOKUP($A1612,'Concrete Beam Schedule'!$A$2:$Q$2902,U$2,0)&lt;&gt;E1612,"Beam Revised","")</f>
        <v>#N/A</v>
      </c>
      <c r="V1612" s="7" t="e">
        <f>IF(VLOOKUP($A1612,'Concrete Beam Schedule'!$A$2:$Q$2902,V$2,0)&lt;&gt;F1612,"Beam Revised","")</f>
        <v>#N/A</v>
      </c>
      <c r="W1612" s="7" t="e">
        <f>IF(VLOOKUP($A1612,'Concrete Beam Schedule'!$A$2:$Q$2902,W$2,0)&lt;&gt;G1612,"Beam Revised","")</f>
        <v>#N/A</v>
      </c>
      <c r="X1612" s="7" t="e">
        <f>IF(VLOOKUP($A1612,'Concrete Beam Schedule'!$A$2:$Q$2902,X$2,0)&lt;&gt;H1612,"Beam Revised","")</f>
        <v>#N/A</v>
      </c>
      <c r="Y1612" s="7" t="e">
        <f>IF(VLOOKUP($A1612,'Concrete Beam Schedule'!$A$2:$Q$2902,Y$2,0)&lt;&gt;I1612,"Beam Revised","")</f>
        <v>#N/A</v>
      </c>
      <c r="Z1612" s="7" t="e">
        <f>IF(VLOOKUP($A1612,'Concrete Beam Schedule'!$A$2:$Q$2902,Z$2,0)&lt;&gt;J1612,"Beam Revised","")</f>
        <v>#N/A</v>
      </c>
      <c r="AA1612" s="7" t="e">
        <f>IF(VLOOKUP($A1612,'Concrete Beam Schedule'!$A$2:$Q$2902,AA$2,0)&lt;&gt;K1612,"Beam Revised","")</f>
        <v>#N/A</v>
      </c>
      <c r="AB1612" s="7" t="e">
        <f>IF(VLOOKUP($A1612,'Concrete Beam Schedule'!$A$2:$Q$2902,AB$2,0)&lt;&gt;L1612,"Beam Revised","")</f>
        <v>#N/A</v>
      </c>
      <c r="AC1612" s="7" t="e">
        <f>IF(VLOOKUP($A1612,'Concrete Beam Schedule'!$A$2:$Q$2902,AC$2,0)&lt;&gt;M1612,"Beam Revised","")</f>
        <v>#N/A</v>
      </c>
      <c r="AD1612" s="7" t="e">
        <f>IF(VLOOKUP($A1612,'Concrete Beam Schedule'!$A$2:$Q$2902,AD$2,0)&lt;&gt;N1612,"Beam Revised","")</f>
        <v>#N/A</v>
      </c>
      <c r="AE1612" s="7" t="e">
        <f>IF(VLOOKUP($A1612,'Concrete Beam Schedule'!$A$2:$Q$2902,AE$2,0)&lt;&gt;O1612,"Beam Revised","")</f>
        <v>#N/A</v>
      </c>
    </row>
    <row r="1613" spans="17:31" ht="20.100000000000001" customHeight="1" x14ac:dyDescent="0.25">
      <c r="Q1613" s="7">
        <f t="shared" si="25"/>
        <v>0</v>
      </c>
      <c r="R1613" s="7" t="e">
        <f>IF(VLOOKUP($A1613,'Concrete Beam Schedule'!$A$2:$Q$2902,R$2,0)&lt;&gt;B1613,VLOOKUP($A1613,'Concrete Beam Schedule'!$A$2:$Q$2902,R$2,0),"")</f>
        <v>#N/A</v>
      </c>
      <c r="S1613" s="7" t="e">
        <f>IF(VLOOKUP($A1613,'Concrete Beam Schedule'!$A$2:$Q$2902,S$2,0)&lt;&gt;C1613,VLOOKUP($A1613,'Concrete Beam Schedule'!$A$2:$Q$2902,S$2,0),"")</f>
        <v>#N/A</v>
      </c>
      <c r="T1613" s="7" t="e">
        <f>IF(VLOOKUP($A1613,'Concrete Beam Schedule'!$A$2:$Q$2902,T$2,0)&lt;&gt;D1613,"Beam Revised","")</f>
        <v>#N/A</v>
      </c>
      <c r="U1613" s="7" t="e">
        <f>IF(VLOOKUP($A1613,'Concrete Beam Schedule'!$A$2:$Q$2902,U$2,0)&lt;&gt;E1613,"Beam Revised","")</f>
        <v>#N/A</v>
      </c>
      <c r="V1613" s="7" t="e">
        <f>IF(VLOOKUP($A1613,'Concrete Beam Schedule'!$A$2:$Q$2902,V$2,0)&lt;&gt;F1613,"Beam Revised","")</f>
        <v>#N/A</v>
      </c>
      <c r="W1613" s="7" t="e">
        <f>IF(VLOOKUP($A1613,'Concrete Beam Schedule'!$A$2:$Q$2902,W$2,0)&lt;&gt;G1613,"Beam Revised","")</f>
        <v>#N/A</v>
      </c>
      <c r="X1613" s="7" t="e">
        <f>IF(VLOOKUP($A1613,'Concrete Beam Schedule'!$A$2:$Q$2902,X$2,0)&lt;&gt;H1613,"Beam Revised","")</f>
        <v>#N/A</v>
      </c>
      <c r="Y1613" s="7" t="e">
        <f>IF(VLOOKUP($A1613,'Concrete Beam Schedule'!$A$2:$Q$2902,Y$2,0)&lt;&gt;I1613,"Beam Revised","")</f>
        <v>#N/A</v>
      </c>
      <c r="Z1613" s="7" t="e">
        <f>IF(VLOOKUP($A1613,'Concrete Beam Schedule'!$A$2:$Q$2902,Z$2,0)&lt;&gt;J1613,"Beam Revised","")</f>
        <v>#N/A</v>
      </c>
      <c r="AA1613" s="7" t="e">
        <f>IF(VLOOKUP($A1613,'Concrete Beam Schedule'!$A$2:$Q$2902,AA$2,0)&lt;&gt;K1613,"Beam Revised","")</f>
        <v>#N/A</v>
      </c>
      <c r="AB1613" s="7" t="e">
        <f>IF(VLOOKUP($A1613,'Concrete Beam Schedule'!$A$2:$Q$2902,AB$2,0)&lt;&gt;L1613,"Beam Revised","")</f>
        <v>#N/A</v>
      </c>
      <c r="AC1613" s="7" t="e">
        <f>IF(VLOOKUP($A1613,'Concrete Beam Schedule'!$A$2:$Q$2902,AC$2,0)&lt;&gt;M1613,"Beam Revised","")</f>
        <v>#N/A</v>
      </c>
      <c r="AD1613" s="7" t="e">
        <f>IF(VLOOKUP($A1613,'Concrete Beam Schedule'!$A$2:$Q$2902,AD$2,0)&lt;&gt;N1613,"Beam Revised","")</f>
        <v>#N/A</v>
      </c>
      <c r="AE1613" s="7" t="e">
        <f>IF(VLOOKUP($A1613,'Concrete Beam Schedule'!$A$2:$Q$2902,AE$2,0)&lt;&gt;O1613,"Beam Revised","")</f>
        <v>#N/A</v>
      </c>
    </row>
    <row r="1614" spans="17:31" ht="20.100000000000001" customHeight="1" x14ac:dyDescent="0.25">
      <c r="Q1614" s="7">
        <f t="shared" si="25"/>
        <v>0</v>
      </c>
      <c r="R1614" s="7" t="e">
        <f>IF(VLOOKUP($A1614,'Concrete Beam Schedule'!$A$2:$Q$2902,R$2,0)&lt;&gt;B1614,VLOOKUP($A1614,'Concrete Beam Schedule'!$A$2:$Q$2902,R$2,0),"")</f>
        <v>#N/A</v>
      </c>
      <c r="S1614" s="7" t="e">
        <f>IF(VLOOKUP($A1614,'Concrete Beam Schedule'!$A$2:$Q$2902,S$2,0)&lt;&gt;C1614,VLOOKUP($A1614,'Concrete Beam Schedule'!$A$2:$Q$2902,S$2,0),"")</f>
        <v>#N/A</v>
      </c>
      <c r="T1614" s="7" t="e">
        <f>IF(VLOOKUP($A1614,'Concrete Beam Schedule'!$A$2:$Q$2902,T$2,0)&lt;&gt;D1614,"Beam Revised","")</f>
        <v>#N/A</v>
      </c>
      <c r="U1614" s="7" t="e">
        <f>IF(VLOOKUP($A1614,'Concrete Beam Schedule'!$A$2:$Q$2902,U$2,0)&lt;&gt;E1614,"Beam Revised","")</f>
        <v>#N/A</v>
      </c>
      <c r="V1614" s="7" t="e">
        <f>IF(VLOOKUP($A1614,'Concrete Beam Schedule'!$A$2:$Q$2902,V$2,0)&lt;&gt;F1614,"Beam Revised","")</f>
        <v>#N/A</v>
      </c>
      <c r="W1614" s="7" t="e">
        <f>IF(VLOOKUP($A1614,'Concrete Beam Schedule'!$A$2:$Q$2902,W$2,0)&lt;&gt;G1614,"Beam Revised","")</f>
        <v>#N/A</v>
      </c>
      <c r="X1614" s="7" t="e">
        <f>IF(VLOOKUP($A1614,'Concrete Beam Schedule'!$A$2:$Q$2902,X$2,0)&lt;&gt;H1614,"Beam Revised","")</f>
        <v>#N/A</v>
      </c>
      <c r="Y1614" s="7" t="e">
        <f>IF(VLOOKUP($A1614,'Concrete Beam Schedule'!$A$2:$Q$2902,Y$2,0)&lt;&gt;I1614,"Beam Revised","")</f>
        <v>#N/A</v>
      </c>
      <c r="Z1614" s="7" t="e">
        <f>IF(VLOOKUP($A1614,'Concrete Beam Schedule'!$A$2:$Q$2902,Z$2,0)&lt;&gt;J1614,"Beam Revised","")</f>
        <v>#N/A</v>
      </c>
      <c r="AA1614" s="7" t="e">
        <f>IF(VLOOKUP($A1614,'Concrete Beam Schedule'!$A$2:$Q$2902,AA$2,0)&lt;&gt;K1614,"Beam Revised","")</f>
        <v>#N/A</v>
      </c>
      <c r="AB1614" s="7" t="e">
        <f>IF(VLOOKUP($A1614,'Concrete Beam Schedule'!$A$2:$Q$2902,AB$2,0)&lt;&gt;L1614,"Beam Revised","")</f>
        <v>#N/A</v>
      </c>
      <c r="AC1614" s="7" t="e">
        <f>IF(VLOOKUP($A1614,'Concrete Beam Schedule'!$A$2:$Q$2902,AC$2,0)&lt;&gt;M1614,"Beam Revised","")</f>
        <v>#N/A</v>
      </c>
      <c r="AD1614" s="7" t="e">
        <f>IF(VLOOKUP($A1614,'Concrete Beam Schedule'!$A$2:$Q$2902,AD$2,0)&lt;&gt;N1614,"Beam Revised","")</f>
        <v>#N/A</v>
      </c>
      <c r="AE1614" s="7" t="e">
        <f>IF(VLOOKUP($A1614,'Concrete Beam Schedule'!$A$2:$Q$2902,AE$2,0)&lt;&gt;O1614,"Beam Revised","")</f>
        <v>#N/A</v>
      </c>
    </row>
    <row r="1615" spans="17:31" ht="20.100000000000001" customHeight="1" x14ac:dyDescent="0.25">
      <c r="Q1615" s="7">
        <f t="shared" si="25"/>
        <v>0</v>
      </c>
      <c r="R1615" s="7" t="e">
        <f>IF(VLOOKUP($A1615,'Concrete Beam Schedule'!$A$2:$Q$2902,R$2,0)&lt;&gt;B1615,VLOOKUP($A1615,'Concrete Beam Schedule'!$A$2:$Q$2902,R$2,0),"")</f>
        <v>#N/A</v>
      </c>
      <c r="S1615" s="7" t="e">
        <f>IF(VLOOKUP($A1615,'Concrete Beam Schedule'!$A$2:$Q$2902,S$2,0)&lt;&gt;C1615,VLOOKUP($A1615,'Concrete Beam Schedule'!$A$2:$Q$2902,S$2,0),"")</f>
        <v>#N/A</v>
      </c>
      <c r="T1615" s="7" t="e">
        <f>IF(VLOOKUP($A1615,'Concrete Beam Schedule'!$A$2:$Q$2902,T$2,0)&lt;&gt;D1615,"Beam Revised","")</f>
        <v>#N/A</v>
      </c>
      <c r="U1615" s="7" t="e">
        <f>IF(VLOOKUP($A1615,'Concrete Beam Schedule'!$A$2:$Q$2902,U$2,0)&lt;&gt;E1615,"Beam Revised","")</f>
        <v>#N/A</v>
      </c>
      <c r="V1615" s="7" t="e">
        <f>IF(VLOOKUP($A1615,'Concrete Beam Schedule'!$A$2:$Q$2902,V$2,0)&lt;&gt;F1615,"Beam Revised","")</f>
        <v>#N/A</v>
      </c>
      <c r="W1615" s="7" t="e">
        <f>IF(VLOOKUP($A1615,'Concrete Beam Schedule'!$A$2:$Q$2902,W$2,0)&lt;&gt;G1615,"Beam Revised","")</f>
        <v>#N/A</v>
      </c>
      <c r="X1615" s="7" t="e">
        <f>IF(VLOOKUP($A1615,'Concrete Beam Schedule'!$A$2:$Q$2902,X$2,0)&lt;&gt;H1615,"Beam Revised","")</f>
        <v>#N/A</v>
      </c>
      <c r="Y1615" s="7" t="e">
        <f>IF(VLOOKUP($A1615,'Concrete Beam Schedule'!$A$2:$Q$2902,Y$2,0)&lt;&gt;I1615,"Beam Revised","")</f>
        <v>#N/A</v>
      </c>
      <c r="Z1615" s="7" t="e">
        <f>IF(VLOOKUP($A1615,'Concrete Beam Schedule'!$A$2:$Q$2902,Z$2,0)&lt;&gt;J1615,"Beam Revised","")</f>
        <v>#N/A</v>
      </c>
      <c r="AA1615" s="7" t="e">
        <f>IF(VLOOKUP($A1615,'Concrete Beam Schedule'!$A$2:$Q$2902,AA$2,0)&lt;&gt;K1615,"Beam Revised","")</f>
        <v>#N/A</v>
      </c>
      <c r="AB1615" s="7" t="e">
        <f>IF(VLOOKUP($A1615,'Concrete Beam Schedule'!$A$2:$Q$2902,AB$2,0)&lt;&gt;L1615,"Beam Revised","")</f>
        <v>#N/A</v>
      </c>
      <c r="AC1615" s="7" t="e">
        <f>IF(VLOOKUP($A1615,'Concrete Beam Schedule'!$A$2:$Q$2902,AC$2,0)&lt;&gt;M1615,"Beam Revised","")</f>
        <v>#N/A</v>
      </c>
      <c r="AD1615" s="7" t="e">
        <f>IF(VLOOKUP($A1615,'Concrete Beam Schedule'!$A$2:$Q$2902,AD$2,0)&lt;&gt;N1615,"Beam Revised","")</f>
        <v>#N/A</v>
      </c>
      <c r="AE1615" s="7" t="e">
        <f>IF(VLOOKUP($A1615,'Concrete Beam Schedule'!$A$2:$Q$2902,AE$2,0)&lt;&gt;O1615,"Beam Revised","")</f>
        <v>#N/A</v>
      </c>
    </row>
    <row r="1616" spans="17:31" ht="20.100000000000001" customHeight="1" x14ac:dyDescent="0.25">
      <c r="Q1616" s="7">
        <f t="shared" si="25"/>
        <v>0</v>
      </c>
      <c r="R1616" s="7" t="e">
        <f>IF(VLOOKUP($A1616,'Concrete Beam Schedule'!$A$2:$Q$2902,R$2,0)&lt;&gt;B1616,VLOOKUP($A1616,'Concrete Beam Schedule'!$A$2:$Q$2902,R$2,0),"")</f>
        <v>#N/A</v>
      </c>
      <c r="S1616" s="7" t="e">
        <f>IF(VLOOKUP($A1616,'Concrete Beam Schedule'!$A$2:$Q$2902,S$2,0)&lt;&gt;C1616,VLOOKUP($A1616,'Concrete Beam Schedule'!$A$2:$Q$2902,S$2,0),"")</f>
        <v>#N/A</v>
      </c>
      <c r="T1616" s="7" t="e">
        <f>IF(VLOOKUP($A1616,'Concrete Beam Schedule'!$A$2:$Q$2902,T$2,0)&lt;&gt;D1616,"Beam Revised","")</f>
        <v>#N/A</v>
      </c>
      <c r="U1616" s="7" t="e">
        <f>IF(VLOOKUP($A1616,'Concrete Beam Schedule'!$A$2:$Q$2902,U$2,0)&lt;&gt;E1616,"Beam Revised","")</f>
        <v>#N/A</v>
      </c>
      <c r="V1616" s="7" t="e">
        <f>IF(VLOOKUP($A1616,'Concrete Beam Schedule'!$A$2:$Q$2902,V$2,0)&lt;&gt;F1616,"Beam Revised","")</f>
        <v>#N/A</v>
      </c>
      <c r="W1616" s="7" t="e">
        <f>IF(VLOOKUP($A1616,'Concrete Beam Schedule'!$A$2:$Q$2902,W$2,0)&lt;&gt;G1616,"Beam Revised","")</f>
        <v>#N/A</v>
      </c>
      <c r="X1616" s="7" t="e">
        <f>IF(VLOOKUP($A1616,'Concrete Beam Schedule'!$A$2:$Q$2902,X$2,0)&lt;&gt;H1616,"Beam Revised","")</f>
        <v>#N/A</v>
      </c>
      <c r="Y1616" s="7" t="e">
        <f>IF(VLOOKUP($A1616,'Concrete Beam Schedule'!$A$2:$Q$2902,Y$2,0)&lt;&gt;I1616,"Beam Revised","")</f>
        <v>#N/A</v>
      </c>
      <c r="Z1616" s="7" t="e">
        <f>IF(VLOOKUP($A1616,'Concrete Beam Schedule'!$A$2:$Q$2902,Z$2,0)&lt;&gt;J1616,"Beam Revised","")</f>
        <v>#N/A</v>
      </c>
      <c r="AA1616" s="7" t="e">
        <f>IF(VLOOKUP($A1616,'Concrete Beam Schedule'!$A$2:$Q$2902,AA$2,0)&lt;&gt;K1616,"Beam Revised","")</f>
        <v>#N/A</v>
      </c>
      <c r="AB1616" s="7" t="e">
        <f>IF(VLOOKUP($A1616,'Concrete Beam Schedule'!$A$2:$Q$2902,AB$2,0)&lt;&gt;L1616,"Beam Revised","")</f>
        <v>#N/A</v>
      </c>
      <c r="AC1616" s="7" t="e">
        <f>IF(VLOOKUP($A1616,'Concrete Beam Schedule'!$A$2:$Q$2902,AC$2,0)&lt;&gt;M1616,"Beam Revised","")</f>
        <v>#N/A</v>
      </c>
      <c r="AD1616" s="7" t="e">
        <f>IF(VLOOKUP($A1616,'Concrete Beam Schedule'!$A$2:$Q$2902,AD$2,0)&lt;&gt;N1616,"Beam Revised","")</f>
        <v>#N/A</v>
      </c>
      <c r="AE1616" s="7" t="e">
        <f>IF(VLOOKUP($A1616,'Concrete Beam Schedule'!$A$2:$Q$2902,AE$2,0)&lt;&gt;O1616,"Beam Revised","")</f>
        <v>#N/A</v>
      </c>
    </row>
    <row r="1617" spans="17:31" ht="20.100000000000001" customHeight="1" x14ac:dyDescent="0.25">
      <c r="Q1617" s="7">
        <f t="shared" si="25"/>
        <v>0</v>
      </c>
      <c r="R1617" s="7" t="e">
        <f>IF(VLOOKUP($A1617,'Concrete Beam Schedule'!$A$2:$Q$2902,R$2,0)&lt;&gt;B1617,VLOOKUP($A1617,'Concrete Beam Schedule'!$A$2:$Q$2902,R$2,0),"")</f>
        <v>#N/A</v>
      </c>
      <c r="S1617" s="7" t="e">
        <f>IF(VLOOKUP($A1617,'Concrete Beam Schedule'!$A$2:$Q$2902,S$2,0)&lt;&gt;C1617,VLOOKUP($A1617,'Concrete Beam Schedule'!$A$2:$Q$2902,S$2,0),"")</f>
        <v>#N/A</v>
      </c>
      <c r="T1617" s="7" t="e">
        <f>IF(VLOOKUP($A1617,'Concrete Beam Schedule'!$A$2:$Q$2902,T$2,0)&lt;&gt;D1617,"Beam Revised","")</f>
        <v>#N/A</v>
      </c>
      <c r="U1617" s="7" t="e">
        <f>IF(VLOOKUP($A1617,'Concrete Beam Schedule'!$A$2:$Q$2902,U$2,0)&lt;&gt;E1617,"Beam Revised","")</f>
        <v>#N/A</v>
      </c>
      <c r="V1617" s="7" t="e">
        <f>IF(VLOOKUP($A1617,'Concrete Beam Schedule'!$A$2:$Q$2902,V$2,0)&lt;&gt;F1617,"Beam Revised","")</f>
        <v>#N/A</v>
      </c>
      <c r="W1617" s="7" t="e">
        <f>IF(VLOOKUP($A1617,'Concrete Beam Schedule'!$A$2:$Q$2902,W$2,0)&lt;&gt;G1617,"Beam Revised","")</f>
        <v>#N/A</v>
      </c>
      <c r="X1617" s="7" t="e">
        <f>IF(VLOOKUP($A1617,'Concrete Beam Schedule'!$A$2:$Q$2902,X$2,0)&lt;&gt;H1617,"Beam Revised","")</f>
        <v>#N/A</v>
      </c>
      <c r="Y1617" s="7" t="e">
        <f>IF(VLOOKUP($A1617,'Concrete Beam Schedule'!$A$2:$Q$2902,Y$2,0)&lt;&gt;I1617,"Beam Revised","")</f>
        <v>#N/A</v>
      </c>
      <c r="Z1617" s="7" t="e">
        <f>IF(VLOOKUP($A1617,'Concrete Beam Schedule'!$A$2:$Q$2902,Z$2,0)&lt;&gt;J1617,"Beam Revised","")</f>
        <v>#N/A</v>
      </c>
      <c r="AA1617" s="7" t="e">
        <f>IF(VLOOKUP($A1617,'Concrete Beam Schedule'!$A$2:$Q$2902,AA$2,0)&lt;&gt;K1617,"Beam Revised","")</f>
        <v>#N/A</v>
      </c>
      <c r="AB1617" s="7" t="e">
        <f>IF(VLOOKUP($A1617,'Concrete Beam Schedule'!$A$2:$Q$2902,AB$2,0)&lt;&gt;L1617,"Beam Revised","")</f>
        <v>#N/A</v>
      </c>
      <c r="AC1617" s="7" t="e">
        <f>IF(VLOOKUP($A1617,'Concrete Beam Schedule'!$A$2:$Q$2902,AC$2,0)&lt;&gt;M1617,"Beam Revised","")</f>
        <v>#N/A</v>
      </c>
      <c r="AD1617" s="7" t="e">
        <f>IF(VLOOKUP($A1617,'Concrete Beam Schedule'!$A$2:$Q$2902,AD$2,0)&lt;&gt;N1617,"Beam Revised","")</f>
        <v>#N/A</v>
      </c>
      <c r="AE1617" s="7" t="e">
        <f>IF(VLOOKUP($A1617,'Concrete Beam Schedule'!$A$2:$Q$2902,AE$2,0)&lt;&gt;O1617,"Beam Revised","")</f>
        <v>#N/A</v>
      </c>
    </row>
    <row r="1618" spans="17:31" ht="20.100000000000001" customHeight="1" x14ac:dyDescent="0.25">
      <c r="Q1618" s="7">
        <f t="shared" si="25"/>
        <v>0</v>
      </c>
      <c r="R1618" s="7" t="e">
        <f>IF(VLOOKUP($A1618,'Concrete Beam Schedule'!$A$2:$Q$2902,R$2,0)&lt;&gt;B1618,VLOOKUP($A1618,'Concrete Beam Schedule'!$A$2:$Q$2902,R$2,0),"")</f>
        <v>#N/A</v>
      </c>
      <c r="S1618" s="7" t="e">
        <f>IF(VLOOKUP($A1618,'Concrete Beam Schedule'!$A$2:$Q$2902,S$2,0)&lt;&gt;C1618,VLOOKUP($A1618,'Concrete Beam Schedule'!$A$2:$Q$2902,S$2,0),"")</f>
        <v>#N/A</v>
      </c>
      <c r="T1618" s="7" t="e">
        <f>IF(VLOOKUP($A1618,'Concrete Beam Schedule'!$A$2:$Q$2902,T$2,0)&lt;&gt;D1618,"Beam Revised","")</f>
        <v>#N/A</v>
      </c>
      <c r="U1618" s="7" t="e">
        <f>IF(VLOOKUP($A1618,'Concrete Beam Schedule'!$A$2:$Q$2902,U$2,0)&lt;&gt;E1618,"Beam Revised","")</f>
        <v>#N/A</v>
      </c>
      <c r="V1618" s="7" t="e">
        <f>IF(VLOOKUP($A1618,'Concrete Beam Schedule'!$A$2:$Q$2902,V$2,0)&lt;&gt;F1618,"Beam Revised","")</f>
        <v>#N/A</v>
      </c>
      <c r="W1618" s="7" t="e">
        <f>IF(VLOOKUP($A1618,'Concrete Beam Schedule'!$A$2:$Q$2902,W$2,0)&lt;&gt;G1618,"Beam Revised","")</f>
        <v>#N/A</v>
      </c>
      <c r="X1618" s="7" t="e">
        <f>IF(VLOOKUP($A1618,'Concrete Beam Schedule'!$A$2:$Q$2902,X$2,0)&lt;&gt;H1618,"Beam Revised","")</f>
        <v>#N/A</v>
      </c>
      <c r="Y1618" s="7" t="e">
        <f>IF(VLOOKUP($A1618,'Concrete Beam Schedule'!$A$2:$Q$2902,Y$2,0)&lt;&gt;I1618,"Beam Revised","")</f>
        <v>#N/A</v>
      </c>
      <c r="Z1618" s="7" t="e">
        <f>IF(VLOOKUP($A1618,'Concrete Beam Schedule'!$A$2:$Q$2902,Z$2,0)&lt;&gt;J1618,"Beam Revised","")</f>
        <v>#N/A</v>
      </c>
      <c r="AA1618" s="7" t="e">
        <f>IF(VLOOKUP($A1618,'Concrete Beam Schedule'!$A$2:$Q$2902,AA$2,0)&lt;&gt;K1618,"Beam Revised","")</f>
        <v>#N/A</v>
      </c>
      <c r="AB1618" s="7" t="e">
        <f>IF(VLOOKUP($A1618,'Concrete Beam Schedule'!$A$2:$Q$2902,AB$2,0)&lt;&gt;L1618,"Beam Revised","")</f>
        <v>#N/A</v>
      </c>
      <c r="AC1618" s="7" t="e">
        <f>IF(VLOOKUP($A1618,'Concrete Beam Schedule'!$A$2:$Q$2902,AC$2,0)&lt;&gt;M1618,"Beam Revised","")</f>
        <v>#N/A</v>
      </c>
      <c r="AD1618" s="7" t="e">
        <f>IF(VLOOKUP($A1618,'Concrete Beam Schedule'!$A$2:$Q$2902,AD$2,0)&lt;&gt;N1618,"Beam Revised","")</f>
        <v>#N/A</v>
      </c>
      <c r="AE1618" s="7" t="e">
        <f>IF(VLOOKUP($A1618,'Concrete Beam Schedule'!$A$2:$Q$2902,AE$2,0)&lt;&gt;O1618,"Beam Revised","")</f>
        <v>#N/A</v>
      </c>
    </row>
    <row r="1619" spans="17:31" ht="20.100000000000001" customHeight="1" x14ac:dyDescent="0.25">
      <c r="Q1619" s="7">
        <f t="shared" si="25"/>
        <v>0</v>
      </c>
      <c r="R1619" s="7" t="e">
        <f>IF(VLOOKUP($A1619,'Concrete Beam Schedule'!$A$2:$Q$2902,R$2,0)&lt;&gt;B1619,VLOOKUP($A1619,'Concrete Beam Schedule'!$A$2:$Q$2902,R$2,0),"")</f>
        <v>#N/A</v>
      </c>
      <c r="S1619" s="7" t="e">
        <f>IF(VLOOKUP($A1619,'Concrete Beam Schedule'!$A$2:$Q$2902,S$2,0)&lt;&gt;C1619,VLOOKUP($A1619,'Concrete Beam Schedule'!$A$2:$Q$2902,S$2,0),"")</f>
        <v>#N/A</v>
      </c>
      <c r="T1619" s="7" t="e">
        <f>IF(VLOOKUP($A1619,'Concrete Beam Schedule'!$A$2:$Q$2902,T$2,0)&lt;&gt;D1619,"Beam Revised","")</f>
        <v>#N/A</v>
      </c>
      <c r="U1619" s="7" t="e">
        <f>IF(VLOOKUP($A1619,'Concrete Beam Schedule'!$A$2:$Q$2902,U$2,0)&lt;&gt;E1619,"Beam Revised","")</f>
        <v>#N/A</v>
      </c>
      <c r="V1619" s="7" t="e">
        <f>IF(VLOOKUP($A1619,'Concrete Beam Schedule'!$A$2:$Q$2902,V$2,0)&lt;&gt;F1619,"Beam Revised","")</f>
        <v>#N/A</v>
      </c>
      <c r="W1619" s="7" t="e">
        <f>IF(VLOOKUP($A1619,'Concrete Beam Schedule'!$A$2:$Q$2902,W$2,0)&lt;&gt;G1619,"Beam Revised","")</f>
        <v>#N/A</v>
      </c>
      <c r="X1619" s="7" t="e">
        <f>IF(VLOOKUP($A1619,'Concrete Beam Schedule'!$A$2:$Q$2902,X$2,0)&lt;&gt;H1619,"Beam Revised","")</f>
        <v>#N/A</v>
      </c>
      <c r="Y1619" s="7" t="e">
        <f>IF(VLOOKUP($A1619,'Concrete Beam Schedule'!$A$2:$Q$2902,Y$2,0)&lt;&gt;I1619,"Beam Revised","")</f>
        <v>#N/A</v>
      </c>
      <c r="Z1619" s="7" t="e">
        <f>IF(VLOOKUP($A1619,'Concrete Beam Schedule'!$A$2:$Q$2902,Z$2,0)&lt;&gt;J1619,"Beam Revised","")</f>
        <v>#N/A</v>
      </c>
      <c r="AA1619" s="7" t="e">
        <f>IF(VLOOKUP($A1619,'Concrete Beam Schedule'!$A$2:$Q$2902,AA$2,0)&lt;&gt;K1619,"Beam Revised","")</f>
        <v>#N/A</v>
      </c>
      <c r="AB1619" s="7" t="e">
        <f>IF(VLOOKUP($A1619,'Concrete Beam Schedule'!$A$2:$Q$2902,AB$2,0)&lt;&gt;L1619,"Beam Revised","")</f>
        <v>#N/A</v>
      </c>
      <c r="AC1619" s="7" t="e">
        <f>IF(VLOOKUP($A1619,'Concrete Beam Schedule'!$A$2:$Q$2902,AC$2,0)&lt;&gt;M1619,"Beam Revised","")</f>
        <v>#N/A</v>
      </c>
      <c r="AD1619" s="7" t="e">
        <f>IF(VLOOKUP($A1619,'Concrete Beam Schedule'!$A$2:$Q$2902,AD$2,0)&lt;&gt;N1619,"Beam Revised","")</f>
        <v>#N/A</v>
      </c>
      <c r="AE1619" s="7" t="e">
        <f>IF(VLOOKUP($A1619,'Concrete Beam Schedule'!$A$2:$Q$2902,AE$2,0)&lt;&gt;O1619,"Beam Revised","")</f>
        <v>#N/A</v>
      </c>
    </row>
    <row r="1620" spans="17:31" ht="20.100000000000001" customHeight="1" x14ac:dyDescent="0.25">
      <c r="Q1620" s="7">
        <f t="shared" si="25"/>
        <v>0</v>
      </c>
      <c r="R1620" s="7" t="e">
        <f>IF(VLOOKUP($A1620,'Concrete Beam Schedule'!$A$2:$Q$2902,R$2,0)&lt;&gt;B1620,VLOOKUP($A1620,'Concrete Beam Schedule'!$A$2:$Q$2902,R$2,0),"")</f>
        <v>#N/A</v>
      </c>
      <c r="S1620" s="7" t="e">
        <f>IF(VLOOKUP($A1620,'Concrete Beam Schedule'!$A$2:$Q$2902,S$2,0)&lt;&gt;C1620,VLOOKUP($A1620,'Concrete Beam Schedule'!$A$2:$Q$2902,S$2,0),"")</f>
        <v>#N/A</v>
      </c>
      <c r="T1620" s="7" t="e">
        <f>IF(VLOOKUP($A1620,'Concrete Beam Schedule'!$A$2:$Q$2902,T$2,0)&lt;&gt;D1620,"Beam Revised","")</f>
        <v>#N/A</v>
      </c>
      <c r="U1620" s="7" t="e">
        <f>IF(VLOOKUP($A1620,'Concrete Beam Schedule'!$A$2:$Q$2902,U$2,0)&lt;&gt;E1620,"Beam Revised","")</f>
        <v>#N/A</v>
      </c>
      <c r="V1620" s="7" t="e">
        <f>IF(VLOOKUP($A1620,'Concrete Beam Schedule'!$A$2:$Q$2902,V$2,0)&lt;&gt;F1620,"Beam Revised","")</f>
        <v>#N/A</v>
      </c>
      <c r="W1620" s="7" t="e">
        <f>IF(VLOOKUP($A1620,'Concrete Beam Schedule'!$A$2:$Q$2902,W$2,0)&lt;&gt;G1620,"Beam Revised","")</f>
        <v>#N/A</v>
      </c>
      <c r="X1620" s="7" t="e">
        <f>IF(VLOOKUP($A1620,'Concrete Beam Schedule'!$A$2:$Q$2902,X$2,0)&lt;&gt;H1620,"Beam Revised","")</f>
        <v>#N/A</v>
      </c>
      <c r="Y1620" s="7" t="e">
        <f>IF(VLOOKUP($A1620,'Concrete Beam Schedule'!$A$2:$Q$2902,Y$2,0)&lt;&gt;I1620,"Beam Revised","")</f>
        <v>#N/A</v>
      </c>
      <c r="Z1620" s="7" t="e">
        <f>IF(VLOOKUP($A1620,'Concrete Beam Schedule'!$A$2:$Q$2902,Z$2,0)&lt;&gt;J1620,"Beam Revised","")</f>
        <v>#N/A</v>
      </c>
      <c r="AA1620" s="7" t="e">
        <f>IF(VLOOKUP($A1620,'Concrete Beam Schedule'!$A$2:$Q$2902,AA$2,0)&lt;&gt;K1620,"Beam Revised","")</f>
        <v>#N/A</v>
      </c>
      <c r="AB1620" s="7" t="e">
        <f>IF(VLOOKUP($A1620,'Concrete Beam Schedule'!$A$2:$Q$2902,AB$2,0)&lt;&gt;L1620,"Beam Revised","")</f>
        <v>#N/A</v>
      </c>
      <c r="AC1620" s="7" t="e">
        <f>IF(VLOOKUP($A1620,'Concrete Beam Schedule'!$A$2:$Q$2902,AC$2,0)&lt;&gt;M1620,"Beam Revised","")</f>
        <v>#N/A</v>
      </c>
      <c r="AD1620" s="7" t="e">
        <f>IF(VLOOKUP($A1620,'Concrete Beam Schedule'!$A$2:$Q$2902,AD$2,0)&lt;&gt;N1620,"Beam Revised","")</f>
        <v>#N/A</v>
      </c>
      <c r="AE1620" s="7" t="e">
        <f>IF(VLOOKUP($A1620,'Concrete Beam Schedule'!$A$2:$Q$2902,AE$2,0)&lt;&gt;O1620,"Beam Revised","")</f>
        <v>#N/A</v>
      </c>
    </row>
    <row r="1621" spans="17:31" ht="20.100000000000001" customHeight="1" x14ac:dyDescent="0.25">
      <c r="Q1621" s="7">
        <f t="shared" si="25"/>
        <v>0</v>
      </c>
      <c r="R1621" s="7" t="e">
        <f>IF(VLOOKUP($A1621,'Concrete Beam Schedule'!$A$2:$Q$2902,R$2,0)&lt;&gt;B1621,VLOOKUP($A1621,'Concrete Beam Schedule'!$A$2:$Q$2902,R$2,0),"")</f>
        <v>#N/A</v>
      </c>
      <c r="S1621" s="7" t="e">
        <f>IF(VLOOKUP($A1621,'Concrete Beam Schedule'!$A$2:$Q$2902,S$2,0)&lt;&gt;C1621,VLOOKUP($A1621,'Concrete Beam Schedule'!$A$2:$Q$2902,S$2,0),"")</f>
        <v>#N/A</v>
      </c>
      <c r="T1621" s="7" t="e">
        <f>IF(VLOOKUP($A1621,'Concrete Beam Schedule'!$A$2:$Q$2902,T$2,0)&lt;&gt;D1621,"Beam Revised","")</f>
        <v>#N/A</v>
      </c>
      <c r="U1621" s="7" t="e">
        <f>IF(VLOOKUP($A1621,'Concrete Beam Schedule'!$A$2:$Q$2902,U$2,0)&lt;&gt;E1621,"Beam Revised","")</f>
        <v>#N/A</v>
      </c>
      <c r="V1621" s="7" t="e">
        <f>IF(VLOOKUP($A1621,'Concrete Beam Schedule'!$A$2:$Q$2902,V$2,0)&lt;&gt;F1621,"Beam Revised","")</f>
        <v>#N/A</v>
      </c>
      <c r="W1621" s="7" t="e">
        <f>IF(VLOOKUP($A1621,'Concrete Beam Schedule'!$A$2:$Q$2902,W$2,0)&lt;&gt;G1621,"Beam Revised","")</f>
        <v>#N/A</v>
      </c>
      <c r="X1621" s="7" t="e">
        <f>IF(VLOOKUP($A1621,'Concrete Beam Schedule'!$A$2:$Q$2902,X$2,0)&lt;&gt;H1621,"Beam Revised","")</f>
        <v>#N/A</v>
      </c>
      <c r="Y1621" s="7" t="e">
        <f>IF(VLOOKUP($A1621,'Concrete Beam Schedule'!$A$2:$Q$2902,Y$2,0)&lt;&gt;I1621,"Beam Revised","")</f>
        <v>#N/A</v>
      </c>
      <c r="Z1621" s="7" t="e">
        <f>IF(VLOOKUP($A1621,'Concrete Beam Schedule'!$A$2:$Q$2902,Z$2,0)&lt;&gt;J1621,"Beam Revised","")</f>
        <v>#N/A</v>
      </c>
      <c r="AA1621" s="7" t="e">
        <f>IF(VLOOKUP($A1621,'Concrete Beam Schedule'!$A$2:$Q$2902,AA$2,0)&lt;&gt;K1621,"Beam Revised","")</f>
        <v>#N/A</v>
      </c>
      <c r="AB1621" s="7" t="e">
        <f>IF(VLOOKUP($A1621,'Concrete Beam Schedule'!$A$2:$Q$2902,AB$2,0)&lt;&gt;L1621,"Beam Revised","")</f>
        <v>#N/A</v>
      </c>
      <c r="AC1621" s="7" t="e">
        <f>IF(VLOOKUP($A1621,'Concrete Beam Schedule'!$A$2:$Q$2902,AC$2,0)&lt;&gt;M1621,"Beam Revised","")</f>
        <v>#N/A</v>
      </c>
      <c r="AD1621" s="7" t="e">
        <f>IF(VLOOKUP($A1621,'Concrete Beam Schedule'!$A$2:$Q$2902,AD$2,0)&lt;&gt;N1621,"Beam Revised","")</f>
        <v>#N/A</v>
      </c>
      <c r="AE1621" s="7" t="e">
        <f>IF(VLOOKUP($A1621,'Concrete Beam Schedule'!$A$2:$Q$2902,AE$2,0)&lt;&gt;O1621,"Beam Revised","")</f>
        <v>#N/A</v>
      </c>
    </row>
    <row r="1622" spans="17:31" ht="20.100000000000001" customHeight="1" x14ac:dyDescent="0.25">
      <c r="Q1622" s="7">
        <f t="shared" si="25"/>
        <v>0</v>
      </c>
      <c r="R1622" s="7" t="e">
        <f>IF(VLOOKUP($A1622,'Concrete Beam Schedule'!$A$2:$Q$2902,R$2,0)&lt;&gt;B1622,VLOOKUP($A1622,'Concrete Beam Schedule'!$A$2:$Q$2902,R$2,0),"")</f>
        <v>#N/A</v>
      </c>
      <c r="S1622" s="7" t="e">
        <f>IF(VLOOKUP($A1622,'Concrete Beam Schedule'!$A$2:$Q$2902,S$2,0)&lt;&gt;C1622,VLOOKUP($A1622,'Concrete Beam Schedule'!$A$2:$Q$2902,S$2,0),"")</f>
        <v>#N/A</v>
      </c>
      <c r="T1622" s="7" t="e">
        <f>IF(VLOOKUP($A1622,'Concrete Beam Schedule'!$A$2:$Q$2902,T$2,0)&lt;&gt;D1622,"Beam Revised","")</f>
        <v>#N/A</v>
      </c>
      <c r="U1622" s="7" t="e">
        <f>IF(VLOOKUP($A1622,'Concrete Beam Schedule'!$A$2:$Q$2902,U$2,0)&lt;&gt;E1622,"Beam Revised","")</f>
        <v>#N/A</v>
      </c>
      <c r="V1622" s="7" t="e">
        <f>IF(VLOOKUP($A1622,'Concrete Beam Schedule'!$A$2:$Q$2902,V$2,0)&lt;&gt;F1622,"Beam Revised","")</f>
        <v>#N/A</v>
      </c>
      <c r="W1622" s="7" t="e">
        <f>IF(VLOOKUP($A1622,'Concrete Beam Schedule'!$A$2:$Q$2902,W$2,0)&lt;&gt;G1622,"Beam Revised","")</f>
        <v>#N/A</v>
      </c>
      <c r="X1622" s="7" t="e">
        <f>IF(VLOOKUP($A1622,'Concrete Beam Schedule'!$A$2:$Q$2902,X$2,0)&lt;&gt;H1622,"Beam Revised","")</f>
        <v>#N/A</v>
      </c>
      <c r="Y1622" s="7" t="e">
        <f>IF(VLOOKUP($A1622,'Concrete Beam Schedule'!$A$2:$Q$2902,Y$2,0)&lt;&gt;I1622,"Beam Revised","")</f>
        <v>#N/A</v>
      </c>
      <c r="Z1622" s="7" t="e">
        <f>IF(VLOOKUP($A1622,'Concrete Beam Schedule'!$A$2:$Q$2902,Z$2,0)&lt;&gt;J1622,"Beam Revised","")</f>
        <v>#N/A</v>
      </c>
      <c r="AA1622" s="7" t="e">
        <f>IF(VLOOKUP($A1622,'Concrete Beam Schedule'!$A$2:$Q$2902,AA$2,0)&lt;&gt;K1622,"Beam Revised","")</f>
        <v>#N/A</v>
      </c>
      <c r="AB1622" s="7" t="e">
        <f>IF(VLOOKUP($A1622,'Concrete Beam Schedule'!$A$2:$Q$2902,AB$2,0)&lt;&gt;L1622,"Beam Revised","")</f>
        <v>#N/A</v>
      </c>
      <c r="AC1622" s="7" t="e">
        <f>IF(VLOOKUP($A1622,'Concrete Beam Schedule'!$A$2:$Q$2902,AC$2,0)&lt;&gt;M1622,"Beam Revised","")</f>
        <v>#N/A</v>
      </c>
      <c r="AD1622" s="7" t="e">
        <f>IF(VLOOKUP($A1622,'Concrete Beam Schedule'!$A$2:$Q$2902,AD$2,0)&lt;&gt;N1622,"Beam Revised","")</f>
        <v>#N/A</v>
      </c>
      <c r="AE1622" s="7" t="e">
        <f>IF(VLOOKUP($A1622,'Concrete Beam Schedule'!$A$2:$Q$2902,AE$2,0)&lt;&gt;O1622,"Beam Revised","")</f>
        <v>#N/A</v>
      </c>
    </row>
    <row r="1623" spans="17:31" ht="20.100000000000001" customHeight="1" x14ac:dyDescent="0.25">
      <c r="Q1623" s="7">
        <f t="shared" si="25"/>
        <v>0</v>
      </c>
      <c r="R1623" s="7" t="e">
        <f>IF(VLOOKUP($A1623,'Concrete Beam Schedule'!$A$2:$Q$2902,R$2,0)&lt;&gt;B1623,VLOOKUP($A1623,'Concrete Beam Schedule'!$A$2:$Q$2902,R$2,0),"")</f>
        <v>#N/A</v>
      </c>
      <c r="S1623" s="7" t="e">
        <f>IF(VLOOKUP($A1623,'Concrete Beam Schedule'!$A$2:$Q$2902,S$2,0)&lt;&gt;C1623,VLOOKUP($A1623,'Concrete Beam Schedule'!$A$2:$Q$2902,S$2,0),"")</f>
        <v>#N/A</v>
      </c>
      <c r="T1623" s="7" t="e">
        <f>IF(VLOOKUP($A1623,'Concrete Beam Schedule'!$A$2:$Q$2902,T$2,0)&lt;&gt;D1623,"Beam Revised","")</f>
        <v>#N/A</v>
      </c>
      <c r="U1623" s="7" t="e">
        <f>IF(VLOOKUP($A1623,'Concrete Beam Schedule'!$A$2:$Q$2902,U$2,0)&lt;&gt;E1623,"Beam Revised","")</f>
        <v>#N/A</v>
      </c>
      <c r="V1623" s="7" t="e">
        <f>IF(VLOOKUP($A1623,'Concrete Beam Schedule'!$A$2:$Q$2902,V$2,0)&lt;&gt;F1623,"Beam Revised","")</f>
        <v>#N/A</v>
      </c>
      <c r="W1623" s="7" t="e">
        <f>IF(VLOOKUP($A1623,'Concrete Beam Schedule'!$A$2:$Q$2902,W$2,0)&lt;&gt;G1623,"Beam Revised","")</f>
        <v>#N/A</v>
      </c>
      <c r="X1623" s="7" t="e">
        <f>IF(VLOOKUP($A1623,'Concrete Beam Schedule'!$A$2:$Q$2902,X$2,0)&lt;&gt;H1623,"Beam Revised","")</f>
        <v>#N/A</v>
      </c>
      <c r="Y1623" s="7" t="e">
        <f>IF(VLOOKUP($A1623,'Concrete Beam Schedule'!$A$2:$Q$2902,Y$2,0)&lt;&gt;I1623,"Beam Revised","")</f>
        <v>#N/A</v>
      </c>
      <c r="Z1623" s="7" t="e">
        <f>IF(VLOOKUP($A1623,'Concrete Beam Schedule'!$A$2:$Q$2902,Z$2,0)&lt;&gt;J1623,"Beam Revised","")</f>
        <v>#N/A</v>
      </c>
      <c r="AA1623" s="7" t="e">
        <f>IF(VLOOKUP($A1623,'Concrete Beam Schedule'!$A$2:$Q$2902,AA$2,0)&lt;&gt;K1623,"Beam Revised","")</f>
        <v>#N/A</v>
      </c>
      <c r="AB1623" s="7" t="e">
        <f>IF(VLOOKUP($A1623,'Concrete Beam Schedule'!$A$2:$Q$2902,AB$2,0)&lt;&gt;L1623,"Beam Revised","")</f>
        <v>#N/A</v>
      </c>
      <c r="AC1623" s="7" t="e">
        <f>IF(VLOOKUP($A1623,'Concrete Beam Schedule'!$A$2:$Q$2902,AC$2,0)&lt;&gt;M1623,"Beam Revised","")</f>
        <v>#N/A</v>
      </c>
      <c r="AD1623" s="7" t="e">
        <f>IF(VLOOKUP($A1623,'Concrete Beam Schedule'!$A$2:$Q$2902,AD$2,0)&lt;&gt;N1623,"Beam Revised","")</f>
        <v>#N/A</v>
      </c>
      <c r="AE1623" s="7" t="e">
        <f>IF(VLOOKUP($A1623,'Concrete Beam Schedule'!$A$2:$Q$2902,AE$2,0)&lt;&gt;O1623,"Beam Revised","")</f>
        <v>#N/A</v>
      </c>
    </row>
    <row r="1624" spans="17:31" ht="20.100000000000001" customHeight="1" x14ac:dyDescent="0.25">
      <c r="Q1624" s="7">
        <f t="shared" si="25"/>
        <v>0</v>
      </c>
      <c r="R1624" s="7" t="e">
        <f>IF(VLOOKUP($A1624,'Concrete Beam Schedule'!$A$2:$Q$2902,R$2,0)&lt;&gt;B1624,VLOOKUP($A1624,'Concrete Beam Schedule'!$A$2:$Q$2902,R$2,0),"")</f>
        <v>#N/A</v>
      </c>
      <c r="S1624" s="7" t="e">
        <f>IF(VLOOKUP($A1624,'Concrete Beam Schedule'!$A$2:$Q$2902,S$2,0)&lt;&gt;C1624,VLOOKUP($A1624,'Concrete Beam Schedule'!$A$2:$Q$2902,S$2,0),"")</f>
        <v>#N/A</v>
      </c>
      <c r="T1624" s="7" t="e">
        <f>IF(VLOOKUP($A1624,'Concrete Beam Schedule'!$A$2:$Q$2902,T$2,0)&lt;&gt;D1624,"Beam Revised","")</f>
        <v>#N/A</v>
      </c>
      <c r="U1624" s="7" t="e">
        <f>IF(VLOOKUP($A1624,'Concrete Beam Schedule'!$A$2:$Q$2902,U$2,0)&lt;&gt;E1624,"Beam Revised","")</f>
        <v>#N/A</v>
      </c>
      <c r="V1624" s="7" t="e">
        <f>IF(VLOOKUP($A1624,'Concrete Beam Schedule'!$A$2:$Q$2902,V$2,0)&lt;&gt;F1624,"Beam Revised","")</f>
        <v>#N/A</v>
      </c>
      <c r="W1624" s="7" t="e">
        <f>IF(VLOOKUP($A1624,'Concrete Beam Schedule'!$A$2:$Q$2902,W$2,0)&lt;&gt;G1624,"Beam Revised","")</f>
        <v>#N/A</v>
      </c>
      <c r="X1624" s="7" t="e">
        <f>IF(VLOOKUP($A1624,'Concrete Beam Schedule'!$A$2:$Q$2902,X$2,0)&lt;&gt;H1624,"Beam Revised","")</f>
        <v>#N/A</v>
      </c>
      <c r="Y1624" s="7" t="e">
        <f>IF(VLOOKUP($A1624,'Concrete Beam Schedule'!$A$2:$Q$2902,Y$2,0)&lt;&gt;I1624,"Beam Revised","")</f>
        <v>#N/A</v>
      </c>
      <c r="Z1624" s="7" t="e">
        <f>IF(VLOOKUP($A1624,'Concrete Beam Schedule'!$A$2:$Q$2902,Z$2,0)&lt;&gt;J1624,"Beam Revised","")</f>
        <v>#N/A</v>
      </c>
      <c r="AA1624" s="7" t="e">
        <f>IF(VLOOKUP($A1624,'Concrete Beam Schedule'!$A$2:$Q$2902,AA$2,0)&lt;&gt;K1624,"Beam Revised","")</f>
        <v>#N/A</v>
      </c>
      <c r="AB1624" s="7" t="e">
        <f>IF(VLOOKUP($A1624,'Concrete Beam Schedule'!$A$2:$Q$2902,AB$2,0)&lt;&gt;L1624,"Beam Revised","")</f>
        <v>#N/A</v>
      </c>
      <c r="AC1624" s="7" t="e">
        <f>IF(VLOOKUP($A1624,'Concrete Beam Schedule'!$A$2:$Q$2902,AC$2,0)&lt;&gt;M1624,"Beam Revised","")</f>
        <v>#N/A</v>
      </c>
      <c r="AD1624" s="7" t="e">
        <f>IF(VLOOKUP($A1624,'Concrete Beam Schedule'!$A$2:$Q$2902,AD$2,0)&lt;&gt;N1624,"Beam Revised","")</f>
        <v>#N/A</v>
      </c>
      <c r="AE1624" s="7" t="e">
        <f>IF(VLOOKUP($A1624,'Concrete Beam Schedule'!$A$2:$Q$2902,AE$2,0)&lt;&gt;O1624,"Beam Revised","")</f>
        <v>#N/A</v>
      </c>
    </row>
    <row r="1625" spans="17:31" ht="20.100000000000001" customHeight="1" x14ac:dyDescent="0.25">
      <c r="Q1625" s="7">
        <f t="shared" si="25"/>
        <v>0</v>
      </c>
      <c r="R1625" s="7" t="e">
        <f>IF(VLOOKUP($A1625,'Concrete Beam Schedule'!$A$2:$Q$2902,R$2,0)&lt;&gt;B1625,VLOOKUP($A1625,'Concrete Beam Schedule'!$A$2:$Q$2902,R$2,0),"")</f>
        <v>#N/A</v>
      </c>
      <c r="S1625" s="7" t="e">
        <f>IF(VLOOKUP($A1625,'Concrete Beam Schedule'!$A$2:$Q$2902,S$2,0)&lt;&gt;C1625,VLOOKUP($A1625,'Concrete Beam Schedule'!$A$2:$Q$2902,S$2,0),"")</f>
        <v>#N/A</v>
      </c>
      <c r="T1625" s="7" t="e">
        <f>IF(VLOOKUP($A1625,'Concrete Beam Schedule'!$A$2:$Q$2902,T$2,0)&lt;&gt;D1625,"Beam Revised","")</f>
        <v>#N/A</v>
      </c>
      <c r="U1625" s="7" t="e">
        <f>IF(VLOOKUP($A1625,'Concrete Beam Schedule'!$A$2:$Q$2902,U$2,0)&lt;&gt;E1625,"Beam Revised","")</f>
        <v>#N/A</v>
      </c>
      <c r="V1625" s="7" t="e">
        <f>IF(VLOOKUP($A1625,'Concrete Beam Schedule'!$A$2:$Q$2902,V$2,0)&lt;&gt;F1625,"Beam Revised","")</f>
        <v>#N/A</v>
      </c>
      <c r="W1625" s="7" t="e">
        <f>IF(VLOOKUP($A1625,'Concrete Beam Schedule'!$A$2:$Q$2902,W$2,0)&lt;&gt;G1625,"Beam Revised","")</f>
        <v>#N/A</v>
      </c>
      <c r="X1625" s="7" t="e">
        <f>IF(VLOOKUP($A1625,'Concrete Beam Schedule'!$A$2:$Q$2902,X$2,0)&lt;&gt;H1625,"Beam Revised","")</f>
        <v>#N/A</v>
      </c>
      <c r="Y1625" s="7" t="e">
        <f>IF(VLOOKUP($A1625,'Concrete Beam Schedule'!$A$2:$Q$2902,Y$2,0)&lt;&gt;I1625,"Beam Revised","")</f>
        <v>#N/A</v>
      </c>
      <c r="Z1625" s="7" t="e">
        <f>IF(VLOOKUP($A1625,'Concrete Beam Schedule'!$A$2:$Q$2902,Z$2,0)&lt;&gt;J1625,"Beam Revised","")</f>
        <v>#N/A</v>
      </c>
      <c r="AA1625" s="7" t="e">
        <f>IF(VLOOKUP($A1625,'Concrete Beam Schedule'!$A$2:$Q$2902,AA$2,0)&lt;&gt;K1625,"Beam Revised","")</f>
        <v>#N/A</v>
      </c>
      <c r="AB1625" s="7" t="e">
        <f>IF(VLOOKUP($A1625,'Concrete Beam Schedule'!$A$2:$Q$2902,AB$2,0)&lt;&gt;L1625,"Beam Revised","")</f>
        <v>#N/A</v>
      </c>
      <c r="AC1625" s="7" t="e">
        <f>IF(VLOOKUP($A1625,'Concrete Beam Schedule'!$A$2:$Q$2902,AC$2,0)&lt;&gt;M1625,"Beam Revised","")</f>
        <v>#N/A</v>
      </c>
      <c r="AD1625" s="7" t="e">
        <f>IF(VLOOKUP($A1625,'Concrete Beam Schedule'!$A$2:$Q$2902,AD$2,0)&lt;&gt;N1625,"Beam Revised","")</f>
        <v>#N/A</v>
      </c>
      <c r="AE1625" s="7" t="e">
        <f>IF(VLOOKUP($A1625,'Concrete Beam Schedule'!$A$2:$Q$2902,AE$2,0)&lt;&gt;O1625,"Beam Revised","")</f>
        <v>#N/A</v>
      </c>
    </row>
    <row r="1626" spans="17:31" ht="20.100000000000001" customHeight="1" x14ac:dyDescent="0.25">
      <c r="Q1626" s="7">
        <f t="shared" si="25"/>
        <v>0</v>
      </c>
      <c r="R1626" s="7" t="e">
        <f>IF(VLOOKUP($A1626,'Concrete Beam Schedule'!$A$2:$Q$2902,R$2,0)&lt;&gt;B1626,VLOOKUP($A1626,'Concrete Beam Schedule'!$A$2:$Q$2902,R$2,0),"")</f>
        <v>#N/A</v>
      </c>
      <c r="S1626" s="7" t="e">
        <f>IF(VLOOKUP($A1626,'Concrete Beam Schedule'!$A$2:$Q$2902,S$2,0)&lt;&gt;C1626,VLOOKUP($A1626,'Concrete Beam Schedule'!$A$2:$Q$2902,S$2,0),"")</f>
        <v>#N/A</v>
      </c>
      <c r="T1626" s="7" t="e">
        <f>IF(VLOOKUP($A1626,'Concrete Beam Schedule'!$A$2:$Q$2902,T$2,0)&lt;&gt;D1626,"Beam Revised","")</f>
        <v>#N/A</v>
      </c>
      <c r="U1626" s="7" t="e">
        <f>IF(VLOOKUP($A1626,'Concrete Beam Schedule'!$A$2:$Q$2902,U$2,0)&lt;&gt;E1626,"Beam Revised","")</f>
        <v>#N/A</v>
      </c>
      <c r="V1626" s="7" t="e">
        <f>IF(VLOOKUP($A1626,'Concrete Beam Schedule'!$A$2:$Q$2902,V$2,0)&lt;&gt;F1626,"Beam Revised","")</f>
        <v>#N/A</v>
      </c>
      <c r="W1626" s="7" t="e">
        <f>IF(VLOOKUP($A1626,'Concrete Beam Schedule'!$A$2:$Q$2902,W$2,0)&lt;&gt;G1626,"Beam Revised","")</f>
        <v>#N/A</v>
      </c>
      <c r="X1626" s="7" t="e">
        <f>IF(VLOOKUP($A1626,'Concrete Beam Schedule'!$A$2:$Q$2902,X$2,0)&lt;&gt;H1626,"Beam Revised","")</f>
        <v>#N/A</v>
      </c>
      <c r="Y1626" s="7" t="e">
        <f>IF(VLOOKUP($A1626,'Concrete Beam Schedule'!$A$2:$Q$2902,Y$2,0)&lt;&gt;I1626,"Beam Revised","")</f>
        <v>#N/A</v>
      </c>
      <c r="Z1626" s="7" t="e">
        <f>IF(VLOOKUP($A1626,'Concrete Beam Schedule'!$A$2:$Q$2902,Z$2,0)&lt;&gt;J1626,"Beam Revised","")</f>
        <v>#N/A</v>
      </c>
      <c r="AA1626" s="7" t="e">
        <f>IF(VLOOKUP($A1626,'Concrete Beam Schedule'!$A$2:$Q$2902,AA$2,0)&lt;&gt;K1626,"Beam Revised","")</f>
        <v>#N/A</v>
      </c>
      <c r="AB1626" s="7" t="e">
        <f>IF(VLOOKUP($A1626,'Concrete Beam Schedule'!$A$2:$Q$2902,AB$2,0)&lt;&gt;L1626,"Beam Revised","")</f>
        <v>#N/A</v>
      </c>
      <c r="AC1626" s="7" t="e">
        <f>IF(VLOOKUP($A1626,'Concrete Beam Schedule'!$A$2:$Q$2902,AC$2,0)&lt;&gt;M1626,"Beam Revised","")</f>
        <v>#N/A</v>
      </c>
      <c r="AD1626" s="7" t="e">
        <f>IF(VLOOKUP($A1626,'Concrete Beam Schedule'!$A$2:$Q$2902,AD$2,0)&lt;&gt;N1626,"Beam Revised","")</f>
        <v>#N/A</v>
      </c>
      <c r="AE1626" s="7" t="e">
        <f>IF(VLOOKUP($A1626,'Concrete Beam Schedule'!$A$2:$Q$2902,AE$2,0)&lt;&gt;O1626,"Beam Revised","")</f>
        <v>#N/A</v>
      </c>
    </row>
    <row r="1627" spans="17:31" ht="20.100000000000001" customHeight="1" x14ac:dyDescent="0.25">
      <c r="Q1627" s="7">
        <f t="shared" si="25"/>
        <v>0</v>
      </c>
      <c r="R1627" s="7" t="e">
        <f>IF(VLOOKUP($A1627,'Concrete Beam Schedule'!$A$2:$Q$2902,R$2,0)&lt;&gt;B1627,VLOOKUP($A1627,'Concrete Beam Schedule'!$A$2:$Q$2902,R$2,0),"")</f>
        <v>#N/A</v>
      </c>
      <c r="S1627" s="7" t="e">
        <f>IF(VLOOKUP($A1627,'Concrete Beam Schedule'!$A$2:$Q$2902,S$2,0)&lt;&gt;C1627,VLOOKUP($A1627,'Concrete Beam Schedule'!$A$2:$Q$2902,S$2,0),"")</f>
        <v>#N/A</v>
      </c>
      <c r="T1627" s="7" t="e">
        <f>IF(VLOOKUP($A1627,'Concrete Beam Schedule'!$A$2:$Q$2902,T$2,0)&lt;&gt;D1627,"Beam Revised","")</f>
        <v>#N/A</v>
      </c>
      <c r="U1627" s="7" t="e">
        <f>IF(VLOOKUP($A1627,'Concrete Beam Schedule'!$A$2:$Q$2902,U$2,0)&lt;&gt;E1627,"Beam Revised","")</f>
        <v>#N/A</v>
      </c>
      <c r="V1627" s="7" t="e">
        <f>IF(VLOOKUP($A1627,'Concrete Beam Schedule'!$A$2:$Q$2902,V$2,0)&lt;&gt;F1627,"Beam Revised","")</f>
        <v>#N/A</v>
      </c>
      <c r="W1627" s="7" t="e">
        <f>IF(VLOOKUP($A1627,'Concrete Beam Schedule'!$A$2:$Q$2902,W$2,0)&lt;&gt;G1627,"Beam Revised","")</f>
        <v>#N/A</v>
      </c>
      <c r="X1627" s="7" t="e">
        <f>IF(VLOOKUP($A1627,'Concrete Beam Schedule'!$A$2:$Q$2902,X$2,0)&lt;&gt;H1627,"Beam Revised","")</f>
        <v>#N/A</v>
      </c>
      <c r="Y1627" s="7" t="e">
        <f>IF(VLOOKUP($A1627,'Concrete Beam Schedule'!$A$2:$Q$2902,Y$2,0)&lt;&gt;I1627,"Beam Revised","")</f>
        <v>#N/A</v>
      </c>
      <c r="Z1627" s="7" t="e">
        <f>IF(VLOOKUP($A1627,'Concrete Beam Schedule'!$A$2:$Q$2902,Z$2,0)&lt;&gt;J1627,"Beam Revised","")</f>
        <v>#N/A</v>
      </c>
      <c r="AA1627" s="7" t="e">
        <f>IF(VLOOKUP($A1627,'Concrete Beam Schedule'!$A$2:$Q$2902,AA$2,0)&lt;&gt;K1627,"Beam Revised","")</f>
        <v>#N/A</v>
      </c>
      <c r="AB1627" s="7" t="e">
        <f>IF(VLOOKUP($A1627,'Concrete Beam Schedule'!$A$2:$Q$2902,AB$2,0)&lt;&gt;L1627,"Beam Revised","")</f>
        <v>#N/A</v>
      </c>
      <c r="AC1627" s="7" t="e">
        <f>IF(VLOOKUP($A1627,'Concrete Beam Schedule'!$A$2:$Q$2902,AC$2,0)&lt;&gt;M1627,"Beam Revised","")</f>
        <v>#N/A</v>
      </c>
      <c r="AD1627" s="7" t="e">
        <f>IF(VLOOKUP($A1627,'Concrete Beam Schedule'!$A$2:$Q$2902,AD$2,0)&lt;&gt;N1627,"Beam Revised","")</f>
        <v>#N/A</v>
      </c>
      <c r="AE1627" s="7" t="e">
        <f>IF(VLOOKUP($A1627,'Concrete Beam Schedule'!$A$2:$Q$2902,AE$2,0)&lt;&gt;O1627,"Beam Revised","")</f>
        <v>#N/A</v>
      </c>
    </row>
    <row r="1628" spans="17:31" ht="20.100000000000001" customHeight="1" x14ac:dyDescent="0.25">
      <c r="Q1628" s="7">
        <f t="shared" si="25"/>
        <v>0</v>
      </c>
      <c r="R1628" s="7" t="e">
        <f>IF(VLOOKUP($A1628,'Concrete Beam Schedule'!$A$2:$Q$2902,R$2,0)&lt;&gt;B1628,VLOOKUP($A1628,'Concrete Beam Schedule'!$A$2:$Q$2902,R$2,0),"")</f>
        <v>#N/A</v>
      </c>
      <c r="S1628" s="7" t="e">
        <f>IF(VLOOKUP($A1628,'Concrete Beam Schedule'!$A$2:$Q$2902,S$2,0)&lt;&gt;C1628,VLOOKUP($A1628,'Concrete Beam Schedule'!$A$2:$Q$2902,S$2,0),"")</f>
        <v>#N/A</v>
      </c>
      <c r="T1628" s="7" t="e">
        <f>IF(VLOOKUP($A1628,'Concrete Beam Schedule'!$A$2:$Q$2902,T$2,0)&lt;&gt;D1628,"Beam Revised","")</f>
        <v>#N/A</v>
      </c>
      <c r="U1628" s="7" t="e">
        <f>IF(VLOOKUP($A1628,'Concrete Beam Schedule'!$A$2:$Q$2902,U$2,0)&lt;&gt;E1628,"Beam Revised","")</f>
        <v>#N/A</v>
      </c>
      <c r="V1628" s="7" t="e">
        <f>IF(VLOOKUP($A1628,'Concrete Beam Schedule'!$A$2:$Q$2902,V$2,0)&lt;&gt;F1628,"Beam Revised","")</f>
        <v>#N/A</v>
      </c>
      <c r="W1628" s="7" t="e">
        <f>IF(VLOOKUP($A1628,'Concrete Beam Schedule'!$A$2:$Q$2902,W$2,0)&lt;&gt;G1628,"Beam Revised","")</f>
        <v>#N/A</v>
      </c>
      <c r="X1628" s="7" t="e">
        <f>IF(VLOOKUP($A1628,'Concrete Beam Schedule'!$A$2:$Q$2902,X$2,0)&lt;&gt;H1628,"Beam Revised","")</f>
        <v>#N/A</v>
      </c>
      <c r="Y1628" s="7" t="e">
        <f>IF(VLOOKUP($A1628,'Concrete Beam Schedule'!$A$2:$Q$2902,Y$2,0)&lt;&gt;I1628,"Beam Revised","")</f>
        <v>#N/A</v>
      </c>
      <c r="Z1628" s="7" t="e">
        <f>IF(VLOOKUP($A1628,'Concrete Beam Schedule'!$A$2:$Q$2902,Z$2,0)&lt;&gt;J1628,"Beam Revised","")</f>
        <v>#N/A</v>
      </c>
      <c r="AA1628" s="7" t="e">
        <f>IF(VLOOKUP($A1628,'Concrete Beam Schedule'!$A$2:$Q$2902,AA$2,0)&lt;&gt;K1628,"Beam Revised","")</f>
        <v>#N/A</v>
      </c>
      <c r="AB1628" s="7" t="e">
        <f>IF(VLOOKUP($A1628,'Concrete Beam Schedule'!$A$2:$Q$2902,AB$2,0)&lt;&gt;L1628,"Beam Revised","")</f>
        <v>#N/A</v>
      </c>
      <c r="AC1628" s="7" t="e">
        <f>IF(VLOOKUP($A1628,'Concrete Beam Schedule'!$A$2:$Q$2902,AC$2,0)&lt;&gt;M1628,"Beam Revised","")</f>
        <v>#N/A</v>
      </c>
      <c r="AD1628" s="7" t="e">
        <f>IF(VLOOKUP($A1628,'Concrete Beam Schedule'!$A$2:$Q$2902,AD$2,0)&lt;&gt;N1628,"Beam Revised","")</f>
        <v>#N/A</v>
      </c>
      <c r="AE1628" s="7" t="e">
        <f>IF(VLOOKUP($A1628,'Concrete Beam Schedule'!$A$2:$Q$2902,AE$2,0)&lt;&gt;O1628,"Beam Revised","")</f>
        <v>#N/A</v>
      </c>
    </row>
    <row r="1629" spans="17:31" ht="20.100000000000001" customHeight="1" x14ac:dyDescent="0.25">
      <c r="Q1629" s="7">
        <f t="shared" si="25"/>
        <v>0</v>
      </c>
      <c r="R1629" s="7" t="e">
        <f>IF(VLOOKUP($A1629,'Concrete Beam Schedule'!$A$2:$Q$2902,R$2,0)&lt;&gt;B1629,VLOOKUP($A1629,'Concrete Beam Schedule'!$A$2:$Q$2902,R$2,0),"")</f>
        <v>#N/A</v>
      </c>
      <c r="S1629" s="7" t="e">
        <f>IF(VLOOKUP($A1629,'Concrete Beam Schedule'!$A$2:$Q$2902,S$2,0)&lt;&gt;C1629,VLOOKUP($A1629,'Concrete Beam Schedule'!$A$2:$Q$2902,S$2,0),"")</f>
        <v>#N/A</v>
      </c>
      <c r="T1629" s="7" t="e">
        <f>IF(VLOOKUP($A1629,'Concrete Beam Schedule'!$A$2:$Q$2902,T$2,0)&lt;&gt;D1629,"Beam Revised","")</f>
        <v>#N/A</v>
      </c>
      <c r="U1629" s="7" t="e">
        <f>IF(VLOOKUP($A1629,'Concrete Beam Schedule'!$A$2:$Q$2902,U$2,0)&lt;&gt;E1629,"Beam Revised","")</f>
        <v>#N/A</v>
      </c>
      <c r="V1629" s="7" t="e">
        <f>IF(VLOOKUP($A1629,'Concrete Beam Schedule'!$A$2:$Q$2902,V$2,0)&lt;&gt;F1629,"Beam Revised","")</f>
        <v>#N/A</v>
      </c>
      <c r="W1629" s="7" t="e">
        <f>IF(VLOOKUP($A1629,'Concrete Beam Schedule'!$A$2:$Q$2902,W$2,0)&lt;&gt;G1629,"Beam Revised","")</f>
        <v>#N/A</v>
      </c>
      <c r="X1629" s="7" t="e">
        <f>IF(VLOOKUP($A1629,'Concrete Beam Schedule'!$A$2:$Q$2902,X$2,0)&lt;&gt;H1629,"Beam Revised","")</f>
        <v>#N/A</v>
      </c>
      <c r="Y1629" s="7" t="e">
        <f>IF(VLOOKUP($A1629,'Concrete Beam Schedule'!$A$2:$Q$2902,Y$2,0)&lt;&gt;I1629,"Beam Revised","")</f>
        <v>#N/A</v>
      </c>
      <c r="Z1629" s="7" t="e">
        <f>IF(VLOOKUP($A1629,'Concrete Beam Schedule'!$A$2:$Q$2902,Z$2,0)&lt;&gt;J1629,"Beam Revised","")</f>
        <v>#N/A</v>
      </c>
      <c r="AA1629" s="7" t="e">
        <f>IF(VLOOKUP($A1629,'Concrete Beam Schedule'!$A$2:$Q$2902,AA$2,0)&lt;&gt;K1629,"Beam Revised","")</f>
        <v>#N/A</v>
      </c>
      <c r="AB1629" s="7" t="e">
        <f>IF(VLOOKUP($A1629,'Concrete Beam Schedule'!$A$2:$Q$2902,AB$2,0)&lt;&gt;L1629,"Beam Revised","")</f>
        <v>#N/A</v>
      </c>
      <c r="AC1629" s="7" t="e">
        <f>IF(VLOOKUP($A1629,'Concrete Beam Schedule'!$A$2:$Q$2902,AC$2,0)&lt;&gt;M1629,"Beam Revised","")</f>
        <v>#N/A</v>
      </c>
      <c r="AD1629" s="7" t="e">
        <f>IF(VLOOKUP($A1629,'Concrete Beam Schedule'!$A$2:$Q$2902,AD$2,0)&lt;&gt;N1629,"Beam Revised","")</f>
        <v>#N/A</v>
      </c>
      <c r="AE1629" s="7" t="e">
        <f>IF(VLOOKUP($A1629,'Concrete Beam Schedule'!$A$2:$Q$2902,AE$2,0)&lt;&gt;O1629,"Beam Revised","")</f>
        <v>#N/A</v>
      </c>
    </row>
    <row r="1630" spans="17:31" ht="20.100000000000001" customHeight="1" x14ac:dyDescent="0.25">
      <c r="Q1630" s="7">
        <f t="shared" si="25"/>
        <v>0</v>
      </c>
      <c r="R1630" s="7" t="e">
        <f>IF(VLOOKUP($A1630,'Concrete Beam Schedule'!$A$2:$Q$2902,R$2,0)&lt;&gt;B1630,VLOOKUP($A1630,'Concrete Beam Schedule'!$A$2:$Q$2902,R$2,0),"")</f>
        <v>#N/A</v>
      </c>
      <c r="S1630" s="7" t="e">
        <f>IF(VLOOKUP($A1630,'Concrete Beam Schedule'!$A$2:$Q$2902,S$2,0)&lt;&gt;C1630,VLOOKUP($A1630,'Concrete Beam Schedule'!$A$2:$Q$2902,S$2,0),"")</f>
        <v>#N/A</v>
      </c>
      <c r="T1630" s="7" t="e">
        <f>IF(VLOOKUP($A1630,'Concrete Beam Schedule'!$A$2:$Q$2902,T$2,0)&lt;&gt;D1630,"Beam Revised","")</f>
        <v>#N/A</v>
      </c>
      <c r="U1630" s="7" t="e">
        <f>IF(VLOOKUP($A1630,'Concrete Beam Schedule'!$A$2:$Q$2902,U$2,0)&lt;&gt;E1630,"Beam Revised","")</f>
        <v>#N/A</v>
      </c>
      <c r="V1630" s="7" t="e">
        <f>IF(VLOOKUP($A1630,'Concrete Beam Schedule'!$A$2:$Q$2902,V$2,0)&lt;&gt;F1630,"Beam Revised","")</f>
        <v>#N/A</v>
      </c>
      <c r="W1630" s="7" t="e">
        <f>IF(VLOOKUP($A1630,'Concrete Beam Schedule'!$A$2:$Q$2902,W$2,0)&lt;&gt;G1630,"Beam Revised","")</f>
        <v>#N/A</v>
      </c>
      <c r="X1630" s="7" t="e">
        <f>IF(VLOOKUP($A1630,'Concrete Beam Schedule'!$A$2:$Q$2902,X$2,0)&lt;&gt;H1630,"Beam Revised","")</f>
        <v>#N/A</v>
      </c>
      <c r="Y1630" s="7" t="e">
        <f>IF(VLOOKUP($A1630,'Concrete Beam Schedule'!$A$2:$Q$2902,Y$2,0)&lt;&gt;I1630,"Beam Revised","")</f>
        <v>#N/A</v>
      </c>
      <c r="Z1630" s="7" t="e">
        <f>IF(VLOOKUP($A1630,'Concrete Beam Schedule'!$A$2:$Q$2902,Z$2,0)&lt;&gt;J1630,"Beam Revised","")</f>
        <v>#N/A</v>
      </c>
      <c r="AA1630" s="7" t="e">
        <f>IF(VLOOKUP($A1630,'Concrete Beam Schedule'!$A$2:$Q$2902,AA$2,0)&lt;&gt;K1630,"Beam Revised","")</f>
        <v>#N/A</v>
      </c>
      <c r="AB1630" s="7" t="e">
        <f>IF(VLOOKUP($A1630,'Concrete Beam Schedule'!$A$2:$Q$2902,AB$2,0)&lt;&gt;L1630,"Beam Revised","")</f>
        <v>#N/A</v>
      </c>
      <c r="AC1630" s="7" t="e">
        <f>IF(VLOOKUP($A1630,'Concrete Beam Schedule'!$A$2:$Q$2902,AC$2,0)&lt;&gt;M1630,"Beam Revised","")</f>
        <v>#N/A</v>
      </c>
      <c r="AD1630" s="7" t="e">
        <f>IF(VLOOKUP($A1630,'Concrete Beam Schedule'!$A$2:$Q$2902,AD$2,0)&lt;&gt;N1630,"Beam Revised","")</f>
        <v>#N/A</v>
      </c>
      <c r="AE1630" s="7" t="e">
        <f>IF(VLOOKUP($A1630,'Concrete Beam Schedule'!$A$2:$Q$2902,AE$2,0)&lt;&gt;O1630,"Beam Revised","")</f>
        <v>#N/A</v>
      </c>
    </row>
    <row r="1631" spans="17:31" ht="20.100000000000001" customHeight="1" x14ac:dyDescent="0.25">
      <c r="Q1631" s="7">
        <f t="shared" si="25"/>
        <v>0</v>
      </c>
      <c r="R1631" s="7" t="e">
        <f>IF(VLOOKUP($A1631,'Concrete Beam Schedule'!$A$2:$Q$2902,R$2,0)&lt;&gt;B1631,VLOOKUP($A1631,'Concrete Beam Schedule'!$A$2:$Q$2902,R$2,0),"")</f>
        <v>#N/A</v>
      </c>
      <c r="S1631" s="7" t="e">
        <f>IF(VLOOKUP($A1631,'Concrete Beam Schedule'!$A$2:$Q$2902,S$2,0)&lt;&gt;C1631,VLOOKUP($A1631,'Concrete Beam Schedule'!$A$2:$Q$2902,S$2,0),"")</f>
        <v>#N/A</v>
      </c>
      <c r="T1631" s="7" t="e">
        <f>IF(VLOOKUP($A1631,'Concrete Beam Schedule'!$A$2:$Q$2902,T$2,0)&lt;&gt;D1631,"Beam Revised","")</f>
        <v>#N/A</v>
      </c>
      <c r="U1631" s="7" t="e">
        <f>IF(VLOOKUP($A1631,'Concrete Beam Schedule'!$A$2:$Q$2902,U$2,0)&lt;&gt;E1631,"Beam Revised","")</f>
        <v>#N/A</v>
      </c>
      <c r="V1631" s="7" t="e">
        <f>IF(VLOOKUP($A1631,'Concrete Beam Schedule'!$A$2:$Q$2902,V$2,0)&lt;&gt;F1631,"Beam Revised","")</f>
        <v>#N/A</v>
      </c>
      <c r="W1631" s="7" t="e">
        <f>IF(VLOOKUP($A1631,'Concrete Beam Schedule'!$A$2:$Q$2902,W$2,0)&lt;&gt;G1631,"Beam Revised","")</f>
        <v>#N/A</v>
      </c>
      <c r="X1631" s="7" t="e">
        <f>IF(VLOOKUP($A1631,'Concrete Beam Schedule'!$A$2:$Q$2902,X$2,0)&lt;&gt;H1631,"Beam Revised","")</f>
        <v>#N/A</v>
      </c>
      <c r="Y1631" s="7" t="e">
        <f>IF(VLOOKUP($A1631,'Concrete Beam Schedule'!$A$2:$Q$2902,Y$2,0)&lt;&gt;I1631,"Beam Revised","")</f>
        <v>#N/A</v>
      </c>
      <c r="Z1631" s="7" t="e">
        <f>IF(VLOOKUP($A1631,'Concrete Beam Schedule'!$A$2:$Q$2902,Z$2,0)&lt;&gt;J1631,"Beam Revised","")</f>
        <v>#N/A</v>
      </c>
      <c r="AA1631" s="7" t="e">
        <f>IF(VLOOKUP($A1631,'Concrete Beam Schedule'!$A$2:$Q$2902,AA$2,0)&lt;&gt;K1631,"Beam Revised","")</f>
        <v>#N/A</v>
      </c>
      <c r="AB1631" s="7" t="e">
        <f>IF(VLOOKUP($A1631,'Concrete Beam Schedule'!$A$2:$Q$2902,AB$2,0)&lt;&gt;L1631,"Beam Revised","")</f>
        <v>#N/A</v>
      </c>
      <c r="AC1631" s="7" t="e">
        <f>IF(VLOOKUP($A1631,'Concrete Beam Schedule'!$A$2:$Q$2902,AC$2,0)&lt;&gt;M1631,"Beam Revised","")</f>
        <v>#N/A</v>
      </c>
      <c r="AD1631" s="7" t="e">
        <f>IF(VLOOKUP($A1631,'Concrete Beam Schedule'!$A$2:$Q$2902,AD$2,0)&lt;&gt;N1631,"Beam Revised","")</f>
        <v>#N/A</v>
      </c>
      <c r="AE1631" s="7" t="e">
        <f>IF(VLOOKUP($A1631,'Concrete Beam Schedule'!$A$2:$Q$2902,AE$2,0)&lt;&gt;O1631,"Beam Revised","")</f>
        <v>#N/A</v>
      </c>
    </row>
    <row r="1632" spans="17:31" ht="20.100000000000001" customHeight="1" x14ac:dyDescent="0.25">
      <c r="Q1632" s="7">
        <f t="shared" si="25"/>
        <v>0</v>
      </c>
      <c r="R1632" s="7" t="e">
        <f>IF(VLOOKUP($A1632,'Concrete Beam Schedule'!$A$2:$Q$2902,R$2,0)&lt;&gt;B1632,VLOOKUP($A1632,'Concrete Beam Schedule'!$A$2:$Q$2902,R$2,0),"")</f>
        <v>#N/A</v>
      </c>
      <c r="S1632" s="7" t="e">
        <f>IF(VLOOKUP($A1632,'Concrete Beam Schedule'!$A$2:$Q$2902,S$2,0)&lt;&gt;C1632,VLOOKUP($A1632,'Concrete Beam Schedule'!$A$2:$Q$2902,S$2,0),"")</f>
        <v>#N/A</v>
      </c>
      <c r="T1632" s="7" t="e">
        <f>IF(VLOOKUP($A1632,'Concrete Beam Schedule'!$A$2:$Q$2902,T$2,0)&lt;&gt;D1632,"Beam Revised","")</f>
        <v>#N/A</v>
      </c>
      <c r="U1632" s="7" t="e">
        <f>IF(VLOOKUP($A1632,'Concrete Beam Schedule'!$A$2:$Q$2902,U$2,0)&lt;&gt;E1632,"Beam Revised","")</f>
        <v>#N/A</v>
      </c>
      <c r="V1632" s="7" t="e">
        <f>IF(VLOOKUP($A1632,'Concrete Beam Schedule'!$A$2:$Q$2902,V$2,0)&lt;&gt;F1632,"Beam Revised","")</f>
        <v>#N/A</v>
      </c>
      <c r="W1632" s="7" t="e">
        <f>IF(VLOOKUP($A1632,'Concrete Beam Schedule'!$A$2:$Q$2902,W$2,0)&lt;&gt;G1632,"Beam Revised","")</f>
        <v>#N/A</v>
      </c>
      <c r="X1632" s="7" t="e">
        <f>IF(VLOOKUP($A1632,'Concrete Beam Schedule'!$A$2:$Q$2902,X$2,0)&lt;&gt;H1632,"Beam Revised","")</f>
        <v>#N/A</v>
      </c>
      <c r="Y1632" s="7" t="e">
        <f>IF(VLOOKUP($A1632,'Concrete Beam Schedule'!$A$2:$Q$2902,Y$2,0)&lt;&gt;I1632,"Beam Revised","")</f>
        <v>#N/A</v>
      </c>
      <c r="Z1632" s="7" t="e">
        <f>IF(VLOOKUP($A1632,'Concrete Beam Schedule'!$A$2:$Q$2902,Z$2,0)&lt;&gt;J1632,"Beam Revised","")</f>
        <v>#N/A</v>
      </c>
      <c r="AA1632" s="7" t="e">
        <f>IF(VLOOKUP($A1632,'Concrete Beam Schedule'!$A$2:$Q$2902,AA$2,0)&lt;&gt;K1632,"Beam Revised","")</f>
        <v>#N/A</v>
      </c>
      <c r="AB1632" s="7" t="e">
        <f>IF(VLOOKUP($A1632,'Concrete Beam Schedule'!$A$2:$Q$2902,AB$2,0)&lt;&gt;L1632,"Beam Revised","")</f>
        <v>#N/A</v>
      </c>
      <c r="AC1632" s="7" t="e">
        <f>IF(VLOOKUP($A1632,'Concrete Beam Schedule'!$A$2:$Q$2902,AC$2,0)&lt;&gt;M1632,"Beam Revised","")</f>
        <v>#N/A</v>
      </c>
      <c r="AD1632" s="7" t="e">
        <f>IF(VLOOKUP($A1632,'Concrete Beam Schedule'!$A$2:$Q$2902,AD$2,0)&lt;&gt;N1632,"Beam Revised","")</f>
        <v>#N/A</v>
      </c>
      <c r="AE1632" s="7" t="e">
        <f>IF(VLOOKUP($A1632,'Concrete Beam Schedule'!$A$2:$Q$2902,AE$2,0)&lt;&gt;O1632,"Beam Revised","")</f>
        <v>#N/A</v>
      </c>
    </row>
    <row r="1633" spans="17:31" ht="20.100000000000001" customHeight="1" x14ac:dyDescent="0.25">
      <c r="Q1633" s="7">
        <f t="shared" si="25"/>
        <v>0</v>
      </c>
      <c r="R1633" s="7" t="e">
        <f>IF(VLOOKUP($A1633,'Concrete Beam Schedule'!$A$2:$Q$2902,R$2,0)&lt;&gt;B1633,VLOOKUP($A1633,'Concrete Beam Schedule'!$A$2:$Q$2902,R$2,0),"")</f>
        <v>#N/A</v>
      </c>
      <c r="S1633" s="7" t="e">
        <f>IF(VLOOKUP($A1633,'Concrete Beam Schedule'!$A$2:$Q$2902,S$2,0)&lt;&gt;C1633,VLOOKUP($A1633,'Concrete Beam Schedule'!$A$2:$Q$2902,S$2,0),"")</f>
        <v>#N/A</v>
      </c>
      <c r="T1633" s="7" t="e">
        <f>IF(VLOOKUP($A1633,'Concrete Beam Schedule'!$A$2:$Q$2902,T$2,0)&lt;&gt;D1633,"Beam Revised","")</f>
        <v>#N/A</v>
      </c>
      <c r="U1633" s="7" t="e">
        <f>IF(VLOOKUP($A1633,'Concrete Beam Schedule'!$A$2:$Q$2902,U$2,0)&lt;&gt;E1633,"Beam Revised","")</f>
        <v>#N/A</v>
      </c>
      <c r="V1633" s="7" t="e">
        <f>IF(VLOOKUP($A1633,'Concrete Beam Schedule'!$A$2:$Q$2902,V$2,0)&lt;&gt;F1633,"Beam Revised","")</f>
        <v>#N/A</v>
      </c>
      <c r="W1633" s="7" t="e">
        <f>IF(VLOOKUP($A1633,'Concrete Beam Schedule'!$A$2:$Q$2902,W$2,0)&lt;&gt;G1633,"Beam Revised","")</f>
        <v>#N/A</v>
      </c>
      <c r="X1633" s="7" t="e">
        <f>IF(VLOOKUP($A1633,'Concrete Beam Schedule'!$A$2:$Q$2902,X$2,0)&lt;&gt;H1633,"Beam Revised","")</f>
        <v>#N/A</v>
      </c>
      <c r="Y1633" s="7" t="e">
        <f>IF(VLOOKUP($A1633,'Concrete Beam Schedule'!$A$2:$Q$2902,Y$2,0)&lt;&gt;I1633,"Beam Revised","")</f>
        <v>#N/A</v>
      </c>
      <c r="Z1633" s="7" t="e">
        <f>IF(VLOOKUP($A1633,'Concrete Beam Schedule'!$A$2:$Q$2902,Z$2,0)&lt;&gt;J1633,"Beam Revised","")</f>
        <v>#N/A</v>
      </c>
      <c r="AA1633" s="7" t="e">
        <f>IF(VLOOKUP($A1633,'Concrete Beam Schedule'!$A$2:$Q$2902,AA$2,0)&lt;&gt;K1633,"Beam Revised","")</f>
        <v>#N/A</v>
      </c>
      <c r="AB1633" s="7" t="e">
        <f>IF(VLOOKUP($A1633,'Concrete Beam Schedule'!$A$2:$Q$2902,AB$2,0)&lt;&gt;L1633,"Beam Revised","")</f>
        <v>#N/A</v>
      </c>
      <c r="AC1633" s="7" t="e">
        <f>IF(VLOOKUP($A1633,'Concrete Beam Schedule'!$A$2:$Q$2902,AC$2,0)&lt;&gt;M1633,"Beam Revised","")</f>
        <v>#N/A</v>
      </c>
      <c r="AD1633" s="7" t="e">
        <f>IF(VLOOKUP($A1633,'Concrete Beam Schedule'!$A$2:$Q$2902,AD$2,0)&lt;&gt;N1633,"Beam Revised","")</f>
        <v>#N/A</v>
      </c>
      <c r="AE1633" s="7" t="e">
        <f>IF(VLOOKUP($A1633,'Concrete Beam Schedule'!$A$2:$Q$2902,AE$2,0)&lt;&gt;O1633,"Beam Revised","")</f>
        <v>#N/A</v>
      </c>
    </row>
    <row r="1634" spans="17:31" ht="20.100000000000001" customHeight="1" x14ac:dyDescent="0.25">
      <c r="Q1634" s="7">
        <f t="shared" si="25"/>
        <v>0</v>
      </c>
      <c r="R1634" s="7" t="e">
        <f>IF(VLOOKUP($A1634,'Concrete Beam Schedule'!$A$2:$Q$2902,R$2,0)&lt;&gt;B1634,VLOOKUP($A1634,'Concrete Beam Schedule'!$A$2:$Q$2902,R$2,0),"")</f>
        <v>#N/A</v>
      </c>
      <c r="S1634" s="7" t="e">
        <f>IF(VLOOKUP($A1634,'Concrete Beam Schedule'!$A$2:$Q$2902,S$2,0)&lt;&gt;C1634,VLOOKUP($A1634,'Concrete Beam Schedule'!$A$2:$Q$2902,S$2,0),"")</f>
        <v>#N/A</v>
      </c>
      <c r="T1634" s="7" t="e">
        <f>IF(VLOOKUP($A1634,'Concrete Beam Schedule'!$A$2:$Q$2902,T$2,0)&lt;&gt;D1634,"Beam Revised","")</f>
        <v>#N/A</v>
      </c>
      <c r="U1634" s="7" t="e">
        <f>IF(VLOOKUP($A1634,'Concrete Beam Schedule'!$A$2:$Q$2902,U$2,0)&lt;&gt;E1634,"Beam Revised","")</f>
        <v>#N/A</v>
      </c>
      <c r="V1634" s="7" t="e">
        <f>IF(VLOOKUP($A1634,'Concrete Beam Schedule'!$A$2:$Q$2902,V$2,0)&lt;&gt;F1634,"Beam Revised","")</f>
        <v>#N/A</v>
      </c>
      <c r="W1634" s="7" t="e">
        <f>IF(VLOOKUP($A1634,'Concrete Beam Schedule'!$A$2:$Q$2902,W$2,0)&lt;&gt;G1634,"Beam Revised","")</f>
        <v>#N/A</v>
      </c>
      <c r="X1634" s="7" t="e">
        <f>IF(VLOOKUP($A1634,'Concrete Beam Schedule'!$A$2:$Q$2902,X$2,0)&lt;&gt;H1634,"Beam Revised","")</f>
        <v>#N/A</v>
      </c>
      <c r="Y1634" s="7" t="e">
        <f>IF(VLOOKUP($A1634,'Concrete Beam Schedule'!$A$2:$Q$2902,Y$2,0)&lt;&gt;I1634,"Beam Revised","")</f>
        <v>#N/A</v>
      </c>
      <c r="Z1634" s="7" t="e">
        <f>IF(VLOOKUP($A1634,'Concrete Beam Schedule'!$A$2:$Q$2902,Z$2,0)&lt;&gt;J1634,"Beam Revised","")</f>
        <v>#N/A</v>
      </c>
      <c r="AA1634" s="7" t="e">
        <f>IF(VLOOKUP($A1634,'Concrete Beam Schedule'!$A$2:$Q$2902,AA$2,0)&lt;&gt;K1634,"Beam Revised","")</f>
        <v>#N/A</v>
      </c>
      <c r="AB1634" s="7" t="e">
        <f>IF(VLOOKUP($A1634,'Concrete Beam Schedule'!$A$2:$Q$2902,AB$2,0)&lt;&gt;L1634,"Beam Revised","")</f>
        <v>#N/A</v>
      </c>
      <c r="AC1634" s="7" t="e">
        <f>IF(VLOOKUP($A1634,'Concrete Beam Schedule'!$A$2:$Q$2902,AC$2,0)&lt;&gt;M1634,"Beam Revised","")</f>
        <v>#N/A</v>
      </c>
      <c r="AD1634" s="7" t="e">
        <f>IF(VLOOKUP($A1634,'Concrete Beam Schedule'!$A$2:$Q$2902,AD$2,0)&lt;&gt;N1634,"Beam Revised","")</f>
        <v>#N/A</v>
      </c>
      <c r="AE1634" s="7" t="e">
        <f>IF(VLOOKUP($A1634,'Concrete Beam Schedule'!$A$2:$Q$2902,AE$2,0)&lt;&gt;O1634,"Beam Revised","")</f>
        <v>#N/A</v>
      </c>
    </row>
    <row r="1635" spans="17:31" ht="20.100000000000001" customHeight="1" x14ac:dyDescent="0.25">
      <c r="Q1635" s="7">
        <f t="shared" si="25"/>
        <v>0</v>
      </c>
      <c r="R1635" s="7" t="e">
        <f>IF(VLOOKUP($A1635,'Concrete Beam Schedule'!$A$2:$Q$2902,R$2,0)&lt;&gt;B1635,VLOOKUP($A1635,'Concrete Beam Schedule'!$A$2:$Q$2902,R$2,0),"")</f>
        <v>#N/A</v>
      </c>
      <c r="S1635" s="7" t="e">
        <f>IF(VLOOKUP($A1635,'Concrete Beam Schedule'!$A$2:$Q$2902,S$2,0)&lt;&gt;C1635,VLOOKUP($A1635,'Concrete Beam Schedule'!$A$2:$Q$2902,S$2,0),"")</f>
        <v>#N/A</v>
      </c>
      <c r="T1635" s="7" t="e">
        <f>IF(VLOOKUP($A1635,'Concrete Beam Schedule'!$A$2:$Q$2902,T$2,0)&lt;&gt;D1635,"Beam Revised","")</f>
        <v>#N/A</v>
      </c>
      <c r="U1635" s="7" t="e">
        <f>IF(VLOOKUP($A1635,'Concrete Beam Schedule'!$A$2:$Q$2902,U$2,0)&lt;&gt;E1635,"Beam Revised","")</f>
        <v>#N/A</v>
      </c>
      <c r="V1635" s="7" t="e">
        <f>IF(VLOOKUP($A1635,'Concrete Beam Schedule'!$A$2:$Q$2902,V$2,0)&lt;&gt;F1635,"Beam Revised","")</f>
        <v>#N/A</v>
      </c>
      <c r="W1635" s="7" t="e">
        <f>IF(VLOOKUP($A1635,'Concrete Beam Schedule'!$A$2:$Q$2902,W$2,0)&lt;&gt;G1635,"Beam Revised","")</f>
        <v>#N/A</v>
      </c>
      <c r="X1635" s="7" t="e">
        <f>IF(VLOOKUP($A1635,'Concrete Beam Schedule'!$A$2:$Q$2902,X$2,0)&lt;&gt;H1635,"Beam Revised","")</f>
        <v>#N/A</v>
      </c>
      <c r="Y1635" s="7" t="e">
        <f>IF(VLOOKUP($A1635,'Concrete Beam Schedule'!$A$2:$Q$2902,Y$2,0)&lt;&gt;I1635,"Beam Revised","")</f>
        <v>#N/A</v>
      </c>
      <c r="Z1635" s="7" t="e">
        <f>IF(VLOOKUP($A1635,'Concrete Beam Schedule'!$A$2:$Q$2902,Z$2,0)&lt;&gt;J1635,"Beam Revised","")</f>
        <v>#N/A</v>
      </c>
      <c r="AA1635" s="7" t="e">
        <f>IF(VLOOKUP($A1635,'Concrete Beam Schedule'!$A$2:$Q$2902,AA$2,0)&lt;&gt;K1635,"Beam Revised","")</f>
        <v>#N/A</v>
      </c>
      <c r="AB1635" s="7" t="e">
        <f>IF(VLOOKUP($A1635,'Concrete Beam Schedule'!$A$2:$Q$2902,AB$2,0)&lt;&gt;L1635,"Beam Revised","")</f>
        <v>#N/A</v>
      </c>
      <c r="AC1635" s="7" t="e">
        <f>IF(VLOOKUP($A1635,'Concrete Beam Schedule'!$A$2:$Q$2902,AC$2,0)&lt;&gt;M1635,"Beam Revised","")</f>
        <v>#N/A</v>
      </c>
      <c r="AD1635" s="7" t="e">
        <f>IF(VLOOKUP($A1635,'Concrete Beam Schedule'!$A$2:$Q$2902,AD$2,0)&lt;&gt;N1635,"Beam Revised","")</f>
        <v>#N/A</v>
      </c>
      <c r="AE1635" s="7" t="e">
        <f>IF(VLOOKUP($A1635,'Concrete Beam Schedule'!$A$2:$Q$2902,AE$2,0)&lt;&gt;O1635,"Beam Revised","")</f>
        <v>#N/A</v>
      </c>
    </row>
    <row r="1636" spans="17:31" ht="20.100000000000001" customHeight="1" x14ac:dyDescent="0.25">
      <c r="Q1636" s="7">
        <f t="shared" si="25"/>
        <v>0</v>
      </c>
      <c r="R1636" s="7" t="e">
        <f>IF(VLOOKUP($A1636,'Concrete Beam Schedule'!$A$2:$Q$2902,R$2,0)&lt;&gt;B1636,VLOOKUP($A1636,'Concrete Beam Schedule'!$A$2:$Q$2902,R$2,0),"")</f>
        <v>#N/A</v>
      </c>
      <c r="S1636" s="7" t="e">
        <f>IF(VLOOKUP($A1636,'Concrete Beam Schedule'!$A$2:$Q$2902,S$2,0)&lt;&gt;C1636,VLOOKUP($A1636,'Concrete Beam Schedule'!$A$2:$Q$2902,S$2,0),"")</f>
        <v>#N/A</v>
      </c>
      <c r="T1636" s="7" t="e">
        <f>IF(VLOOKUP($A1636,'Concrete Beam Schedule'!$A$2:$Q$2902,T$2,0)&lt;&gt;D1636,"Beam Revised","")</f>
        <v>#N/A</v>
      </c>
      <c r="U1636" s="7" t="e">
        <f>IF(VLOOKUP($A1636,'Concrete Beam Schedule'!$A$2:$Q$2902,U$2,0)&lt;&gt;E1636,"Beam Revised","")</f>
        <v>#N/A</v>
      </c>
      <c r="V1636" s="7" t="e">
        <f>IF(VLOOKUP($A1636,'Concrete Beam Schedule'!$A$2:$Q$2902,V$2,0)&lt;&gt;F1636,"Beam Revised","")</f>
        <v>#N/A</v>
      </c>
      <c r="W1636" s="7" t="e">
        <f>IF(VLOOKUP($A1636,'Concrete Beam Schedule'!$A$2:$Q$2902,W$2,0)&lt;&gt;G1636,"Beam Revised","")</f>
        <v>#N/A</v>
      </c>
      <c r="X1636" s="7" t="e">
        <f>IF(VLOOKUP($A1636,'Concrete Beam Schedule'!$A$2:$Q$2902,X$2,0)&lt;&gt;H1636,"Beam Revised","")</f>
        <v>#N/A</v>
      </c>
      <c r="Y1636" s="7" t="e">
        <f>IF(VLOOKUP($A1636,'Concrete Beam Schedule'!$A$2:$Q$2902,Y$2,0)&lt;&gt;I1636,"Beam Revised","")</f>
        <v>#N/A</v>
      </c>
      <c r="Z1636" s="7" t="e">
        <f>IF(VLOOKUP($A1636,'Concrete Beam Schedule'!$A$2:$Q$2902,Z$2,0)&lt;&gt;J1636,"Beam Revised","")</f>
        <v>#N/A</v>
      </c>
      <c r="AA1636" s="7" t="e">
        <f>IF(VLOOKUP($A1636,'Concrete Beam Schedule'!$A$2:$Q$2902,AA$2,0)&lt;&gt;K1636,"Beam Revised","")</f>
        <v>#N/A</v>
      </c>
      <c r="AB1636" s="7" t="e">
        <f>IF(VLOOKUP($A1636,'Concrete Beam Schedule'!$A$2:$Q$2902,AB$2,0)&lt;&gt;L1636,"Beam Revised","")</f>
        <v>#N/A</v>
      </c>
      <c r="AC1636" s="7" t="e">
        <f>IF(VLOOKUP($A1636,'Concrete Beam Schedule'!$A$2:$Q$2902,AC$2,0)&lt;&gt;M1636,"Beam Revised","")</f>
        <v>#N/A</v>
      </c>
      <c r="AD1636" s="7" t="e">
        <f>IF(VLOOKUP($A1636,'Concrete Beam Schedule'!$A$2:$Q$2902,AD$2,0)&lt;&gt;N1636,"Beam Revised","")</f>
        <v>#N/A</v>
      </c>
      <c r="AE1636" s="7" t="e">
        <f>IF(VLOOKUP($A1636,'Concrete Beam Schedule'!$A$2:$Q$2902,AE$2,0)&lt;&gt;O1636,"Beam Revised","")</f>
        <v>#N/A</v>
      </c>
    </row>
    <row r="1637" spans="17:31" ht="20.100000000000001" customHeight="1" x14ac:dyDescent="0.25">
      <c r="Q1637" s="7">
        <f t="shared" si="25"/>
        <v>0</v>
      </c>
      <c r="R1637" s="7" t="e">
        <f>IF(VLOOKUP($A1637,'Concrete Beam Schedule'!$A$2:$Q$2902,R$2,0)&lt;&gt;B1637,VLOOKUP($A1637,'Concrete Beam Schedule'!$A$2:$Q$2902,R$2,0),"")</f>
        <v>#N/A</v>
      </c>
      <c r="S1637" s="7" t="e">
        <f>IF(VLOOKUP($A1637,'Concrete Beam Schedule'!$A$2:$Q$2902,S$2,0)&lt;&gt;C1637,VLOOKUP($A1637,'Concrete Beam Schedule'!$A$2:$Q$2902,S$2,0),"")</f>
        <v>#N/A</v>
      </c>
      <c r="T1637" s="7" t="e">
        <f>IF(VLOOKUP($A1637,'Concrete Beam Schedule'!$A$2:$Q$2902,T$2,0)&lt;&gt;D1637,"Beam Revised","")</f>
        <v>#N/A</v>
      </c>
      <c r="U1637" s="7" t="e">
        <f>IF(VLOOKUP($A1637,'Concrete Beam Schedule'!$A$2:$Q$2902,U$2,0)&lt;&gt;E1637,"Beam Revised","")</f>
        <v>#N/A</v>
      </c>
      <c r="V1637" s="7" t="e">
        <f>IF(VLOOKUP($A1637,'Concrete Beam Schedule'!$A$2:$Q$2902,V$2,0)&lt;&gt;F1637,"Beam Revised","")</f>
        <v>#N/A</v>
      </c>
      <c r="W1637" s="7" t="e">
        <f>IF(VLOOKUP($A1637,'Concrete Beam Schedule'!$A$2:$Q$2902,W$2,0)&lt;&gt;G1637,"Beam Revised","")</f>
        <v>#N/A</v>
      </c>
      <c r="X1637" s="7" t="e">
        <f>IF(VLOOKUP($A1637,'Concrete Beam Schedule'!$A$2:$Q$2902,X$2,0)&lt;&gt;H1637,"Beam Revised","")</f>
        <v>#N/A</v>
      </c>
      <c r="Y1637" s="7" t="e">
        <f>IF(VLOOKUP($A1637,'Concrete Beam Schedule'!$A$2:$Q$2902,Y$2,0)&lt;&gt;I1637,"Beam Revised","")</f>
        <v>#N/A</v>
      </c>
      <c r="Z1637" s="7" t="e">
        <f>IF(VLOOKUP($A1637,'Concrete Beam Schedule'!$A$2:$Q$2902,Z$2,0)&lt;&gt;J1637,"Beam Revised","")</f>
        <v>#N/A</v>
      </c>
      <c r="AA1637" s="7" t="e">
        <f>IF(VLOOKUP($A1637,'Concrete Beam Schedule'!$A$2:$Q$2902,AA$2,0)&lt;&gt;K1637,"Beam Revised","")</f>
        <v>#N/A</v>
      </c>
      <c r="AB1637" s="7" t="e">
        <f>IF(VLOOKUP($A1637,'Concrete Beam Schedule'!$A$2:$Q$2902,AB$2,0)&lt;&gt;L1637,"Beam Revised","")</f>
        <v>#N/A</v>
      </c>
      <c r="AC1637" s="7" t="e">
        <f>IF(VLOOKUP($A1637,'Concrete Beam Schedule'!$A$2:$Q$2902,AC$2,0)&lt;&gt;M1637,"Beam Revised","")</f>
        <v>#N/A</v>
      </c>
      <c r="AD1637" s="7" t="e">
        <f>IF(VLOOKUP($A1637,'Concrete Beam Schedule'!$A$2:$Q$2902,AD$2,0)&lt;&gt;N1637,"Beam Revised","")</f>
        <v>#N/A</v>
      </c>
      <c r="AE1637" s="7" t="e">
        <f>IF(VLOOKUP($A1637,'Concrete Beam Schedule'!$A$2:$Q$2902,AE$2,0)&lt;&gt;O1637,"Beam Revised","")</f>
        <v>#N/A</v>
      </c>
    </row>
    <row r="1638" spans="17:31" ht="20.100000000000001" customHeight="1" x14ac:dyDescent="0.25">
      <c r="Q1638" s="7">
        <f t="shared" si="25"/>
        <v>0</v>
      </c>
      <c r="R1638" s="7" t="e">
        <f>IF(VLOOKUP($A1638,'Concrete Beam Schedule'!$A$2:$Q$2902,R$2,0)&lt;&gt;B1638,VLOOKUP($A1638,'Concrete Beam Schedule'!$A$2:$Q$2902,R$2,0),"")</f>
        <v>#N/A</v>
      </c>
      <c r="S1638" s="7" t="e">
        <f>IF(VLOOKUP($A1638,'Concrete Beam Schedule'!$A$2:$Q$2902,S$2,0)&lt;&gt;C1638,VLOOKUP($A1638,'Concrete Beam Schedule'!$A$2:$Q$2902,S$2,0),"")</f>
        <v>#N/A</v>
      </c>
      <c r="T1638" s="7" t="e">
        <f>IF(VLOOKUP($A1638,'Concrete Beam Schedule'!$A$2:$Q$2902,T$2,0)&lt;&gt;D1638,"Beam Revised","")</f>
        <v>#N/A</v>
      </c>
      <c r="U1638" s="7" t="e">
        <f>IF(VLOOKUP($A1638,'Concrete Beam Schedule'!$A$2:$Q$2902,U$2,0)&lt;&gt;E1638,"Beam Revised","")</f>
        <v>#N/A</v>
      </c>
      <c r="V1638" s="7" t="e">
        <f>IF(VLOOKUP($A1638,'Concrete Beam Schedule'!$A$2:$Q$2902,V$2,0)&lt;&gt;F1638,"Beam Revised","")</f>
        <v>#N/A</v>
      </c>
      <c r="W1638" s="7" t="e">
        <f>IF(VLOOKUP($A1638,'Concrete Beam Schedule'!$A$2:$Q$2902,W$2,0)&lt;&gt;G1638,"Beam Revised","")</f>
        <v>#N/A</v>
      </c>
      <c r="X1638" s="7" t="e">
        <f>IF(VLOOKUP($A1638,'Concrete Beam Schedule'!$A$2:$Q$2902,X$2,0)&lt;&gt;H1638,"Beam Revised","")</f>
        <v>#N/A</v>
      </c>
      <c r="Y1638" s="7" t="e">
        <f>IF(VLOOKUP($A1638,'Concrete Beam Schedule'!$A$2:$Q$2902,Y$2,0)&lt;&gt;I1638,"Beam Revised","")</f>
        <v>#N/A</v>
      </c>
      <c r="Z1638" s="7" t="e">
        <f>IF(VLOOKUP($A1638,'Concrete Beam Schedule'!$A$2:$Q$2902,Z$2,0)&lt;&gt;J1638,"Beam Revised","")</f>
        <v>#N/A</v>
      </c>
      <c r="AA1638" s="7" t="e">
        <f>IF(VLOOKUP($A1638,'Concrete Beam Schedule'!$A$2:$Q$2902,AA$2,0)&lt;&gt;K1638,"Beam Revised","")</f>
        <v>#N/A</v>
      </c>
      <c r="AB1638" s="7" t="e">
        <f>IF(VLOOKUP($A1638,'Concrete Beam Schedule'!$A$2:$Q$2902,AB$2,0)&lt;&gt;L1638,"Beam Revised","")</f>
        <v>#N/A</v>
      </c>
      <c r="AC1638" s="7" t="e">
        <f>IF(VLOOKUP($A1638,'Concrete Beam Schedule'!$A$2:$Q$2902,AC$2,0)&lt;&gt;M1638,"Beam Revised","")</f>
        <v>#N/A</v>
      </c>
      <c r="AD1638" s="7" t="e">
        <f>IF(VLOOKUP($A1638,'Concrete Beam Schedule'!$A$2:$Q$2902,AD$2,0)&lt;&gt;N1638,"Beam Revised","")</f>
        <v>#N/A</v>
      </c>
      <c r="AE1638" s="7" t="e">
        <f>IF(VLOOKUP($A1638,'Concrete Beam Schedule'!$A$2:$Q$2902,AE$2,0)&lt;&gt;O1638,"Beam Revised","")</f>
        <v>#N/A</v>
      </c>
    </row>
    <row r="1639" spans="17:31" ht="20.100000000000001" customHeight="1" x14ac:dyDescent="0.25">
      <c r="Q1639" s="7">
        <f t="shared" si="25"/>
        <v>0</v>
      </c>
      <c r="R1639" s="7" t="e">
        <f>IF(VLOOKUP($A1639,'Concrete Beam Schedule'!$A$2:$Q$2902,R$2,0)&lt;&gt;B1639,VLOOKUP($A1639,'Concrete Beam Schedule'!$A$2:$Q$2902,R$2,0),"")</f>
        <v>#N/A</v>
      </c>
      <c r="S1639" s="7" t="e">
        <f>IF(VLOOKUP($A1639,'Concrete Beam Schedule'!$A$2:$Q$2902,S$2,0)&lt;&gt;C1639,VLOOKUP($A1639,'Concrete Beam Schedule'!$A$2:$Q$2902,S$2,0),"")</f>
        <v>#N/A</v>
      </c>
      <c r="T1639" s="7" t="e">
        <f>IF(VLOOKUP($A1639,'Concrete Beam Schedule'!$A$2:$Q$2902,T$2,0)&lt;&gt;D1639,"Beam Revised","")</f>
        <v>#N/A</v>
      </c>
      <c r="U1639" s="7" t="e">
        <f>IF(VLOOKUP($A1639,'Concrete Beam Schedule'!$A$2:$Q$2902,U$2,0)&lt;&gt;E1639,"Beam Revised","")</f>
        <v>#N/A</v>
      </c>
      <c r="V1639" s="7" t="e">
        <f>IF(VLOOKUP($A1639,'Concrete Beam Schedule'!$A$2:$Q$2902,V$2,0)&lt;&gt;F1639,"Beam Revised","")</f>
        <v>#N/A</v>
      </c>
      <c r="W1639" s="7" t="e">
        <f>IF(VLOOKUP($A1639,'Concrete Beam Schedule'!$A$2:$Q$2902,W$2,0)&lt;&gt;G1639,"Beam Revised","")</f>
        <v>#N/A</v>
      </c>
      <c r="X1639" s="7" t="e">
        <f>IF(VLOOKUP($A1639,'Concrete Beam Schedule'!$A$2:$Q$2902,X$2,0)&lt;&gt;H1639,"Beam Revised","")</f>
        <v>#N/A</v>
      </c>
      <c r="Y1639" s="7" t="e">
        <f>IF(VLOOKUP($A1639,'Concrete Beam Schedule'!$A$2:$Q$2902,Y$2,0)&lt;&gt;I1639,"Beam Revised","")</f>
        <v>#N/A</v>
      </c>
      <c r="Z1639" s="7" t="e">
        <f>IF(VLOOKUP($A1639,'Concrete Beam Schedule'!$A$2:$Q$2902,Z$2,0)&lt;&gt;J1639,"Beam Revised","")</f>
        <v>#N/A</v>
      </c>
      <c r="AA1639" s="7" t="e">
        <f>IF(VLOOKUP($A1639,'Concrete Beam Schedule'!$A$2:$Q$2902,AA$2,0)&lt;&gt;K1639,"Beam Revised","")</f>
        <v>#N/A</v>
      </c>
      <c r="AB1639" s="7" t="e">
        <f>IF(VLOOKUP($A1639,'Concrete Beam Schedule'!$A$2:$Q$2902,AB$2,0)&lt;&gt;L1639,"Beam Revised","")</f>
        <v>#N/A</v>
      </c>
      <c r="AC1639" s="7" t="e">
        <f>IF(VLOOKUP($A1639,'Concrete Beam Schedule'!$A$2:$Q$2902,AC$2,0)&lt;&gt;M1639,"Beam Revised","")</f>
        <v>#N/A</v>
      </c>
      <c r="AD1639" s="7" t="e">
        <f>IF(VLOOKUP($A1639,'Concrete Beam Schedule'!$A$2:$Q$2902,AD$2,0)&lt;&gt;N1639,"Beam Revised","")</f>
        <v>#N/A</v>
      </c>
      <c r="AE1639" s="7" t="e">
        <f>IF(VLOOKUP($A1639,'Concrete Beam Schedule'!$A$2:$Q$2902,AE$2,0)&lt;&gt;O1639,"Beam Revised","")</f>
        <v>#N/A</v>
      </c>
    </row>
    <row r="1640" spans="17:31" ht="20.100000000000001" customHeight="1" x14ac:dyDescent="0.25">
      <c r="Q1640" s="7">
        <f t="shared" si="25"/>
        <v>0</v>
      </c>
      <c r="R1640" s="7" t="e">
        <f>IF(VLOOKUP($A1640,'Concrete Beam Schedule'!$A$2:$Q$2902,R$2,0)&lt;&gt;B1640,VLOOKUP($A1640,'Concrete Beam Schedule'!$A$2:$Q$2902,R$2,0),"")</f>
        <v>#N/A</v>
      </c>
      <c r="S1640" s="7" t="e">
        <f>IF(VLOOKUP($A1640,'Concrete Beam Schedule'!$A$2:$Q$2902,S$2,0)&lt;&gt;C1640,VLOOKUP($A1640,'Concrete Beam Schedule'!$A$2:$Q$2902,S$2,0),"")</f>
        <v>#N/A</v>
      </c>
      <c r="T1640" s="7" t="e">
        <f>IF(VLOOKUP($A1640,'Concrete Beam Schedule'!$A$2:$Q$2902,T$2,0)&lt;&gt;D1640,"Beam Revised","")</f>
        <v>#N/A</v>
      </c>
      <c r="U1640" s="7" t="e">
        <f>IF(VLOOKUP($A1640,'Concrete Beam Schedule'!$A$2:$Q$2902,U$2,0)&lt;&gt;E1640,"Beam Revised","")</f>
        <v>#N/A</v>
      </c>
      <c r="V1640" s="7" t="e">
        <f>IF(VLOOKUP($A1640,'Concrete Beam Schedule'!$A$2:$Q$2902,V$2,0)&lt;&gt;F1640,"Beam Revised","")</f>
        <v>#N/A</v>
      </c>
      <c r="W1640" s="7" t="e">
        <f>IF(VLOOKUP($A1640,'Concrete Beam Schedule'!$A$2:$Q$2902,W$2,0)&lt;&gt;G1640,"Beam Revised","")</f>
        <v>#N/A</v>
      </c>
      <c r="X1640" s="7" t="e">
        <f>IF(VLOOKUP($A1640,'Concrete Beam Schedule'!$A$2:$Q$2902,X$2,0)&lt;&gt;H1640,"Beam Revised","")</f>
        <v>#N/A</v>
      </c>
      <c r="Y1640" s="7" t="e">
        <f>IF(VLOOKUP($A1640,'Concrete Beam Schedule'!$A$2:$Q$2902,Y$2,0)&lt;&gt;I1640,"Beam Revised","")</f>
        <v>#N/A</v>
      </c>
      <c r="Z1640" s="7" t="e">
        <f>IF(VLOOKUP($A1640,'Concrete Beam Schedule'!$A$2:$Q$2902,Z$2,0)&lt;&gt;J1640,"Beam Revised","")</f>
        <v>#N/A</v>
      </c>
      <c r="AA1640" s="7" t="e">
        <f>IF(VLOOKUP($A1640,'Concrete Beam Schedule'!$A$2:$Q$2902,AA$2,0)&lt;&gt;K1640,"Beam Revised","")</f>
        <v>#N/A</v>
      </c>
      <c r="AB1640" s="7" t="e">
        <f>IF(VLOOKUP($A1640,'Concrete Beam Schedule'!$A$2:$Q$2902,AB$2,0)&lt;&gt;L1640,"Beam Revised","")</f>
        <v>#N/A</v>
      </c>
      <c r="AC1640" s="7" t="e">
        <f>IF(VLOOKUP($A1640,'Concrete Beam Schedule'!$A$2:$Q$2902,AC$2,0)&lt;&gt;M1640,"Beam Revised","")</f>
        <v>#N/A</v>
      </c>
      <c r="AD1640" s="7" t="e">
        <f>IF(VLOOKUP($A1640,'Concrete Beam Schedule'!$A$2:$Q$2902,AD$2,0)&lt;&gt;N1640,"Beam Revised","")</f>
        <v>#N/A</v>
      </c>
      <c r="AE1640" s="7" t="e">
        <f>IF(VLOOKUP($A1640,'Concrete Beam Schedule'!$A$2:$Q$2902,AE$2,0)&lt;&gt;O1640,"Beam Revised","")</f>
        <v>#N/A</v>
      </c>
    </row>
    <row r="1641" spans="17:31" ht="20.100000000000001" customHeight="1" x14ac:dyDescent="0.25">
      <c r="Q1641" s="7">
        <f t="shared" si="25"/>
        <v>0</v>
      </c>
      <c r="R1641" s="7" t="e">
        <f>IF(VLOOKUP($A1641,'Concrete Beam Schedule'!$A$2:$Q$2902,R$2,0)&lt;&gt;B1641,VLOOKUP($A1641,'Concrete Beam Schedule'!$A$2:$Q$2902,R$2,0),"")</f>
        <v>#N/A</v>
      </c>
      <c r="S1641" s="7" t="e">
        <f>IF(VLOOKUP($A1641,'Concrete Beam Schedule'!$A$2:$Q$2902,S$2,0)&lt;&gt;C1641,VLOOKUP($A1641,'Concrete Beam Schedule'!$A$2:$Q$2902,S$2,0),"")</f>
        <v>#N/A</v>
      </c>
      <c r="T1641" s="7" t="e">
        <f>IF(VLOOKUP($A1641,'Concrete Beam Schedule'!$A$2:$Q$2902,T$2,0)&lt;&gt;D1641,"Beam Revised","")</f>
        <v>#N/A</v>
      </c>
      <c r="U1641" s="7" t="e">
        <f>IF(VLOOKUP($A1641,'Concrete Beam Schedule'!$A$2:$Q$2902,U$2,0)&lt;&gt;E1641,"Beam Revised","")</f>
        <v>#N/A</v>
      </c>
      <c r="V1641" s="7" t="e">
        <f>IF(VLOOKUP($A1641,'Concrete Beam Schedule'!$A$2:$Q$2902,V$2,0)&lt;&gt;F1641,"Beam Revised","")</f>
        <v>#N/A</v>
      </c>
      <c r="W1641" s="7" t="e">
        <f>IF(VLOOKUP($A1641,'Concrete Beam Schedule'!$A$2:$Q$2902,W$2,0)&lt;&gt;G1641,"Beam Revised","")</f>
        <v>#N/A</v>
      </c>
      <c r="X1641" s="7" t="e">
        <f>IF(VLOOKUP($A1641,'Concrete Beam Schedule'!$A$2:$Q$2902,X$2,0)&lt;&gt;H1641,"Beam Revised","")</f>
        <v>#N/A</v>
      </c>
      <c r="Y1641" s="7" t="e">
        <f>IF(VLOOKUP($A1641,'Concrete Beam Schedule'!$A$2:$Q$2902,Y$2,0)&lt;&gt;I1641,"Beam Revised","")</f>
        <v>#N/A</v>
      </c>
      <c r="Z1641" s="7" t="e">
        <f>IF(VLOOKUP($A1641,'Concrete Beam Schedule'!$A$2:$Q$2902,Z$2,0)&lt;&gt;J1641,"Beam Revised","")</f>
        <v>#N/A</v>
      </c>
      <c r="AA1641" s="7" t="e">
        <f>IF(VLOOKUP($A1641,'Concrete Beam Schedule'!$A$2:$Q$2902,AA$2,0)&lt;&gt;K1641,"Beam Revised","")</f>
        <v>#N/A</v>
      </c>
      <c r="AB1641" s="7" t="e">
        <f>IF(VLOOKUP($A1641,'Concrete Beam Schedule'!$A$2:$Q$2902,AB$2,0)&lt;&gt;L1641,"Beam Revised","")</f>
        <v>#N/A</v>
      </c>
      <c r="AC1641" s="7" t="e">
        <f>IF(VLOOKUP($A1641,'Concrete Beam Schedule'!$A$2:$Q$2902,AC$2,0)&lt;&gt;M1641,"Beam Revised","")</f>
        <v>#N/A</v>
      </c>
      <c r="AD1641" s="7" t="e">
        <f>IF(VLOOKUP($A1641,'Concrete Beam Schedule'!$A$2:$Q$2902,AD$2,0)&lt;&gt;N1641,"Beam Revised","")</f>
        <v>#N/A</v>
      </c>
      <c r="AE1641" s="7" t="e">
        <f>IF(VLOOKUP($A1641,'Concrete Beam Schedule'!$A$2:$Q$2902,AE$2,0)&lt;&gt;O1641,"Beam Revised","")</f>
        <v>#N/A</v>
      </c>
    </row>
    <row r="1642" spans="17:31" ht="20.100000000000001" customHeight="1" x14ac:dyDescent="0.25">
      <c r="Q1642" s="7">
        <f t="shared" si="25"/>
        <v>0</v>
      </c>
      <c r="R1642" s="7" t="e">
        <f>IF(VLOOKUP($A1642,'Concrete Beam Schedule'!$A$2:$Q$2902,R$2,0)&lt;&gt;B1642,VLOOKUP($A1642,'Concrete Beam Schedule'!$A$2:$Q$2902,R$2,0),"")</f>
        <v>#N/A</v>
      </c>
      <c r="S1642" s="7" t="e">
        <f>IF(VLOOKUP($A1642,'Concrete Beam Schedule'!$A$2:$Q$2902,S$2,0)&lt;&gt;C1642,VLOOKUP($A1642,'Concrete Beam Schedule'!$A$2:$Q$2902,S$2,0),"")</f>
        <v>#N/A</v>
      </c>
      <c r="T1642" s="7" t="e">
        <f>IF(VLOOKUP($A1642,'Concrete Beam Schedule'!$A$2:$Q$2902,T$2,0)&lt;&gt;D1642,"Beam Revised","")</f>
        <v>#N/A</v>
      </c>
      <c r="U1642" s="7" t="e">
        <f>IF(VLOOKUP($A1642,'Concrete Beam Schedule'!$A$2:$Q$2902,U$2,0)&lt;&gt;E1642,"Beam Revised","")</f>
        <v>#N/A</v>
      </c>
      <c r="V1642" s="7" t="e">
        <f>IF(VLOOKUP($A1642,'Concrete Beam Schedule'!$A$2:$Q$2902,V$2,0)&lt;&gt;F1642,"Beam Revised","")</f>
        <v>#N/A</v>
      </c>
      <c r="W1642" s="7" t="e">
        <f>IF(VLOOKUP($A1642,'Concrete Beam Schedule'!$A$2:$Q$2902,W$2,0)&lt;&gt;G1642,"Beam Revised","")</f>
        <v>#N/A</v>
      </c>
      <c r="X1642" s="7" t="e">
        <f>IF(VLOOKUP($A1642,'Concrete Beam Schedule'!$A$2:$Q$2902,X$2,0)&lt;&gt;H1642,"Beam Revised","")</f>
        <v>#N/A</v>
      </c>
      <c r="Y1642" s="7" t="e">
        <f>IF(VLOOKUP($A1642,'Concrete Beam Schedule'!$A$2:$Q$2902,Y$2,0)&lt;&gt;I1642,"Beam Revised","")</f>
        <v>#N/A</v>
      </c>
      <c r="Z1642" s="7" t="e">
        <f>IF(VLOOKUP($A1642,'Concrete Beam Schedule'!$A$2:$Q$2902,Z$2,0)&lt;&gt;J1642,"Beam Revised","")</f>
        <v>#N/A</v>
      </c>
      <c r="AA1642" s="7" t="e">
        <f>IF(VLOOKUP($A1642,'Concrete Beam Schedule'!$A$2:$Q$2902,AA$2,0)&lt;&gt;K1642,"Beam Revised","")</f>
        <v>#N/A</v>
      </c>
      <c r="AB1642" s="7" t="e">
        <f>IF(VLOOKUP($A1642,'Concrete Beam Schedule'!$A$2:$Q$2902,AB$2,0)&lt;&gt;L1642,"Beam Revised","")</f>
        <v>#N/A</v>
      </c>
      <c r="AC1642" s="7" t="e">
        <f>IF(VLOOKUP($A1642,'Concrete Beam Schedule'!$A$2:$Q$2902,AC$2,0)&lt;&gt;M1642,"Beam Revised","")</f>
        <v>#N/A</v>
      </c>
      <c r="AD1642" s="7" t="e">
        <f>IF(VLOOKUP($A1642,'Concrete Beam Schedule'!$A$2:$Q$2902,AD$2,0)&lt;&gt;N1642,"Beam Revised","")</f>
        <v>#N/A</v>
      </c>
      <c r="AE1642" s="7" t="e">
        <f>IF(VLOOKUP($A1642,'Concrete Beam Schedule'!$A$2:$Q$2902,AE$2,0)&lt;&gt;O1642,"Beam Revised","")</f>
        <v>#N/A</v>
      </c>
    </row>
    <row r="1643" spans="17:31" ht="20.100000000000001" customHeight="1" x14ac:dyDescent="0.25">
      <c r="Q1643" s="7">
        <f t="shared" si="25"/>
        <v>0</v>
      </c>
      <c r="R1643" s="7" t="e">
        <f>IF(VLOOKUP($A1643,'Concrete Beam Schedule'!$A$2:$Q$2902,R$2,0)&lt;&gt;B1643,VLOOKUP($A1643,'Concrete Beam Schedule'!$A$2:$Q$2902,R$2,0),"")</f>
        <v>#N/A</v>
      </c>
      <c r="S1643" s="7" t="e">
        <f>IF(VLOOKUP($A1643,'Concrete Beam Schedule'!$A$2:$Q$2902,S$2,0)&lt;&gt;C1643,VLOOKUP($A1643,'Concrete Beam Schedule'!$A$2:$Q$2902,S$2,0),"")</f>
        <v>#N/A</v>
      </c>
      <c r="T1643" s="7" t="e">
        <f>IF(VLOOKUP($A1643,'Concrete Beam Schedule'!$A$2:$Q$2902,T$2,0)&lt;&gt;D1643,"Beam Revised","")</f>
        <v>#N/A</v>
      </c>
      <c r="U1643" s="7" t="e">
        <f>IF(VLOOKUP($A1643,'Concrete Beam Schedule'!$A$2:$Q$2902,U$2,0)&lt;&gt;E1643,"Beam Revised","")</f>
        <v>#N/A</v>
      </c>
      <c r="V1643" s="7" t="e">
        <f>IF(VLOOKUP($A1643,'Concrete Beam Schedule'!$A$2:$Q$2902,V$2,0)&lt;&gt;F1643,"Beam Revised","")</f>
        <v>#N/A</v>
      </c>
      <c r="W1643" s="7" t="e">
        <f>IF(VLOOKUP($A1643,'Concrete Beam Schedule'!$A$2:$Q$2902,W$2,0)&lt;&gt;G1643,"Beam Revised","")</f>
        <v>#N/A</v>
      </c>
      <c r="X1643" s="7" t="e">
        <f>IF(VLOOKUP($A1643,'Concrete Beam Schedule'!$A$2:$Q$2902,X$2,0)&lt;&gt;H1643,"Beam Revised","")</f>
        <v>#N/A</v>
      </c>
      <c r="Y1643" s="7" t="e">
        <f>IF(VLOOKUP($A1643,'Concrete Beam Schedule'!$A$2:$Q$2902,Y$2,0)&lt;&gt;I1643,"Beam Revised","")</f>
        <v>#N/A</v>
      </c>
      <c r="Z1643" s="7" t="e">
        <f>IF(VLOOKUP($A1643,'Concrete Beam Schedule'!$A$2:$Q$2902,Z$2,0)&lt;&gt;J1643,"Beam Revised","")</f>
        <v>#N/A</v>
      </c>
      <c r="AA1643" s="7" t="e">
        <f>IF(VLOOKUP($A1643,'Concrete Beam Schedule'!$A$2:$Q$2902,AA$2,0)&lt;&gt;K1643,"Beam Revised","")</f>
        <v>#N/A</v>
      </c>
      <c r="AB1643" s="7" t="e">
        <f>IF(VLOOKUP($A1643,'Concrete Beam Schedule'!$A$2:$Q$2902,AB$2,0)&lt;&gt;L1643,"Beam Revised","")</f>
        <v>#N/A</v>
      </c>
      <c r="AC1643" s="7" t="e">
        <f>IF(VLOOKUP($A1643,'Concrete Beam Schedule'!$A$2:$Q$2902,AC$2,0)&lt;&gt;M1643,"Beam Revised","")</f>
        <v>#N/A</v>
      </c>
      <c r="AD1643" s="7" t="e">
        <f>IF(VLOOKUP($A1643,'Concrete Beam Schedule'!$A$2:$Q$2902,AD$2,0)&lt;&gt;N1643,"Beam Revised","")</f>
        <v>#N/A</v>
      </c>
      <c r="AE1643" s="7" t="e">
        <f>IF(VLOOKUP($A1643,'Concrete Beam Schedule'!$A$2:$Q$2902,AE$2,0)&lt;&gt;O1643,"Beam Revised","")</f>
        <v>#N/A</v>
      </c>
    </row>
    <row r="1644" spans="17:31" ht="20.100000000000001" customHeight="1" x14ac:dyDescent="0.25">
      <c r="Q1644" s="7">
        <f t="shared" si="25"/>
        <v>0</v>
      </c>
      <c r="R1644" s="7" t="e">
        <f>IF(VLOOKUP($A1644,'Concrete Beam Schedule'!$A$2:$Q$2902,R$2,0)&lt;&gt;B1644,VLOOKUP($A1644,'Concrete Beam Schedule'!$A$2:$Q$2902,R$2,0),"")</f>
        <v>#N/A</v>
      </c>
      <c r="S1644" s="7" t="e">
        <f>IF(VLOOKUP($A1644,'Concrete Beam Schedule'!$A$2:$Q$2902,S$2,0)&lt;&gt;C1644,VLOOKUP($A1644,'Concrete Beam Schedule'!$A$2:$Q$2902,S$2,0),"")</f>
        <v>#N/A</v>
      </c>
      <c r="T1644" s="7" t="e">
        <f>IF(VLOOKUP($A1644,'Concrete Beam Schedule'!$A$2:$Q$2902,T$2,0)&lt;&gt;D1644,"Beam Revised","")</f>
        <v>#N/A</v>
      </c>
      <c r="U1644" s="7" t="e">
        <f>IF(VLOOKUP($A1644,'Concrete Beam Schedule'!$A$2:$Q$2902,U$2,0)&lt;&gt;E1644,"Beam Revised","")</f>
        <v>#N/A</v>
      </c>
      <c r="V1644" s="7" t="e">
        <f>IF(VLOOKUP($A1644,'Concrete Beam Schedule'!$A$2:$Q$2902,V$2,0)&lt;&gt;F1644,"Beam Revised","")</f>
        <v>#N/A</v>
      </c>
      <c r="W1644" s="7" t="e">
        <f>IF(VLOOKUP($A1644,'Concrete Beam Schedule'!$A$2:$Q$2902,W$2,0)&lt;&gt;G1644,"Beam Revised","")</f>
        <v>#N/A</v>
      </c>
      <c r="X1644" s="7" t="e">
        <f>IF(VLOOKUP($A1644,'Concrete Beam Schedule'!$A$2:$Q$2902,X$2,0)&lt;&gt;H1644,"Beam Revised","")</f>
        <v>#N/A</v>
      </c>
      <c r="Y1644" s="7" t="e">
        <f>IF(VLOOKUP($A1644,'Concrete Beam Schedule'!$A$2:$Q$2902,Y$2,0)&lt;&gt;I1644,"Beam Revised","")</f>
        <v>#N/A</v>
      </c>
      <c r="Z1644" s="7" t="e">
        <f>IF(VLOOKUP($A1644,'Concrete Beam Schedule'!$A$2:$Q$2902,Z$2,0)&lt;&gt;J1644,"Beam Revised","")</f>
        <v>#N/A</v>
      </c>
      <c r="AA1644" s="7" t="e">
        <f>IF(VLOOKUP($A1644,'Concrete Beam Schedule'!$A$2:$Q$2902,AA$2,0)&lt;&gt;K1644,"Beam Revised","")</f>
        <v>#N/A</v>
      </c>
      <c r="AB1644" s="7" t="e">
        <f>IF(VLOOKUP($A1644,'Concrete Beam Schedule'!$A$2:$Q$2902,AB$2,0)&lt;&gt;L1644,"Beam Revised","")</f>
        <v>#N/A</v>
      </c>
      <c r="AC1644" s="7" t="e">
        <f>IF(VLOOKUP($A1644,'Concrete Beam Schedule'!$A$2:$Q$2902,AC$2,0)&lt;&gt;M1644,"Beam Revised","")</f>
        <v>#N/A</v>
      </c>
      <c r="AD1644" s="7" t="e">
        <f>IF(VLOOKUP($A1644,'Concrete Beam Schedule'!$A$2:$Q$2902,AD$2,0)&lt;&gt;N1644,"Beam Revised","")</f>
        <v>#N/A</v>
      </c>
      <c r="AE1644" s="7" t="e">
        <f>IF(VLOOKUP($A1644,'Concrete Beam Schedule'!$A$2:$Q$2902,AE$2,0)&lt;&gt;O1644,"Beam Revised","")</f>
        <v>#N/A</v>
      </c>
    </row>
    <row r="1645" spans="17:31" ht="20.100000000000001" customHeight="1" x14ac:dyDescent="0.25">
      <c r="Q1645" s="7">
        <f t="shared" si="25"/>
        <v>0</v>
      </c>
      <c r="R1645" s="7" t="e">
        <f>IF(VLOOKUP($A1645,'Concrete Beam Schedule'!$A$2:$Q$2902,R$2,0)&lt;&gt;B1645,VLOOKUP($A1645,'Concrete Beam Schedule'!$A$2:$Q$2902,R$2,0),"")</f>
        <v>#N/A</v>
      </c>
      <c r="S1645" s="7" t="e">
        <f>IF(VLOOKUP($A1645,'Concrete Beam Schedule'!$A$2:$Q$2902,S$2,0)&lt;&gt;C1645,VLOOKUP($A1645,'Concrete Beam Schedule'!$A$2:$Q$2902,S$2,0),"")</f>
        <v>#N/A</v>
      </c>
      <c r="T1645" s="7" t="e">
        <f>IF(VLOOKUP($A1645,'Concrete Beam Schedule'!$A$2:$Q$2902,T$2,0)&lt;&gt;D1645,"Beam Revised","")</f>
        <v>#N/A</v>
      </c>
      <c r="U1645" s="7" t="e">
        <f>IF(VLOOKUP($A1645,'Concrete Beam Schedule'!$A$2:$Q$2902,U$2,0)&lt;&gt;E1645,"Beam Revised","")</f>
        <v>#N/A</v>
      </c>
      <c r="V1645" s="7" t="e">
        <f>IF(VLOOKUP($A1645,'Concrete Beam Schedule'!$A$2:$Q$2902,V$2,0)&lt;&gt;F1645,"Beam Revised","")</f>
        <v>#N/A</v>
      </c>
      <c r="W1645" s="7" t="e">
        <f>IF(VLOOKUP($A1645,'Concrete Beam Schedule'!$A$2:$Q$2902,W$2,0)&lt;&gt;G1645,"Beam Revised","")</f>
        <v>#N/A</v>
      </c>
      <c r="X1645" s="7" t="e">
        <f>IF(VLOOKUP($A1645,'Concrete Beam Schedule'!$A$2:$Q$2902,X$2,0)&lt;&gt;H1645,"Beam Revised","")</f>
        <v>#N/A</v>
      </c>
      <c r="Y1645" s="7" t="e">
        <f>IF(VLOOKUP($A1645,'Concrete Beam Schedule'!$A$2:$Q$2902,Y$2,0)&lt;&gt;I1645,"Beam Revised","")</f>
        <v>#N/A</v>
      </c>
      <c r="Z1645" s="7" t="e">
        <f>IF(VLOOKUP($A1645,'Concrete Beam Schedule'!$A$2:$Q$2902,Z$2,0)&lt;&gt;J1645,"Beam Revised","")</f>
        <v>#N/A</v>
      </c>
      <c r="AA1645" s="7" t="e">
        <f>IF(VLOOKUP($A1645,'Concrete Beam Schedule'!$A$2:$Q$2902,AA$2,0)&lt;&gt;K1645,"Beam Revised","")</f>
        <v>#N/A</v>
      </c>
      <c r="AB1645" s="7" t="e">
        <f>IF(VLOOKUP($A1645,'Concrete Beam Schedule'!$A$2:$Q$2902,AB$2,0)&lt;&gt;L1645,"Beam Revised","")</f>
        <v>#N/A</v>
      </c>
      <c r="AC1645" s="7" t="e">
        <f>IF(VLOOKUP($A1645,'Concrete Beam Schedule'!$A$2:$Q$2902,AC$2,0)&lt;&gt;M1645,"Beam Revised","")</f>
        <v>#N/A</v>
      </c>
      <c r="AD1645" s="7" t="e">
        <f>IF(VLOOKUP($A1645,'Concrete Beam Schedule'!$A$2:$Q$2902,AD$2,0)&lt;&gt;N1645,"Beam Revised","")</f>
        <v>#N/A</v>
      </c>
      <c r="AE1645" s="7" t="e">
        <f>IF(VLOOKUP($A1645,'Concrete Beam Schedule'!$A$2:$Q$2902,AE$2,0)&lt;&gt;O1645,"Beam Revised","")</f>
        <v>#N/A</v>
      </c>
    </row>
    <row r="1646" spans="17:31" ht="20.100000000000001" customHeight="1" x14ac:dyDescent="0.25">
      <c r="Q1646" s="7">
        <f t="shared" si="25"/>
        <v>0</v>
      </c>
      <c r="R1646" s="7" t="e">
        <f>IF(VLOOKUP($A1646,'Concrete Beam Schedule'!$A$2:$Q$2902,R$2,0)&lt;&gt;B1646,VLOOKUP($A1646,'Concrete Beam Schedule'!$A$2:$Q$2902,R$2,0),"")</f>
        <v>#N/A</v>
      </c>
      <c r="S1646" s="7" t="e">
        <f>IF(VLOOKUP($A1646,'Concrete Beam Schedule'!$A$2:$Q$2902,S$2,0)&lt;&gt;C1646,VLOOKUP($A1646,'Concrete Beam Schedule'!$A$2:$Q$2902,S$2,0),"")</f>
        <v>#N/A</v>
      </c>
      <c r="T1646" s="7" t="e">
        <f>IF(VLOOKUP($A1646,'Concrete Beam Schedule'!$A$2:$Q$2902,T$2,0)&lt;&gt;D1646,"Beam Revised","")</f>
        <v>#N/A</v>
      </c>
      <c r="U1646" s="7" t="e">
        <f>IF(VLOOKUP($A1646,'Concrete Beam Schedule'!$A$2:$Q$2902,U$2,0)&lt;&gt;E1646,"Beam Revised","")</f>
        <v>#N/A</v>
      </c>
      <c r="V1646" s="7" t="e">
        <f>IF(VLOOKUP($A1646,'Concrete Beam Schedule'!$A$2:$Q$2902,V$2,0)&lt;&gt;F1646,"Beam Revised","")</f>
        <v>#N/A</v>
      </c>
      <c r="W1646" s="7" t="e">
        <f>IF(VLOOKUP($A1646,'Concrete Beam Schedule'!$A$2:$Q$2902,W$2,0)&lt;&gt;G1646,"Beam Revised","")</f>
        <v>#N/A</v>
      </c>
      <c r="X1646" s="7" t="e">
        <f>IF(VLOOKUP($A1646,'Concrete Beam Schedule'!$A$2:$Q$2902,X$2,0)&lt;&gt;H1646,"Beam Revised","")</f>
        <v>#N/A</v>
      </c>
      <c r="Y1646" s="7" t="e">
        <f>IF(VLOOKUP($A1646,'Concrete Beam Schedule'!$A$2:$Q$2902,Y$2,0)&lt;&gt;I1646,"Beam Revised","")</f>
        <v>#N/A</v>
      </c>
      <c r="Z1646" s="7" t="e">
        <f>IF(VLOOKUP($A1646,'Concrete Beam Schedule'!$A$2:$Q$2902,Z$2,0)&lt;&gt;J1646,"Beam Revised","")</f>
        <v>#N/A</v>
      </c>
      <c r="AA1646" s="7" t="e">
        <f>IF(VLOOKUP($A1646,'Concrete Beam Schedule'!$A$2:$Q$2902,AA$2,0)&lt;&gt;K1646,"Beam Revised","")</f>
        <v>#N/A</v>
      </c>
      <c r="AB1646" s="7" t="e">
        <f>IF(VLOOKUP($A1646,'Concrete Beam Schedule'!$A$2:$Q$2902,AB$2,0)&lt;&gt;L1646,"Beam Revised","")</f>
        <v>#N/A</v>
      </c>
      <c r="AC1646" s="7" t="e">
        <f>IF(VLOOKUP($A1646,'Concrete Beam Schedule'!$A$2:$Q$2902,AC$2,0)&lt;&gt;M1646,"Beam Revised","")</f>
        <v>#N/A</v>
      </c>
      <c r="AD1646" s="7" t="e">
        <f>IF(VLOOKUP($A1646,'Concrete Beam Schedule'!$A$2:$Q$2902,AD$2,0)&lt;&gt;N1646,"Beam Revised","")</f>
        <v>#N/A</v>
      </c>
      <c r="AE1646" s="7" t="e">
        <f>IF(VLOOKUP($A1646,'Concrete Beam Schedule'!$A$2:$Q$2902,AE$2,0)&lt;&gt;O1646,"Beam Revised","")</f>
        <v>#N/A</v>
      </c>
    </row>
    <row r="1647" spans="17:31" ht="20.100000000000001" customHeight="1" x14ac:dyDescent="0.25">
      <c r="Q1647" s="7">
        <f t="shared" si="25"/>
        <v>0</v>
      </c>
      <c r="R1647" s="7" t="e">
        <f>IF(VLOOKUP($A1647,'Concrete Beam Schedule'!$A$2:$Q$2902,R$2,0)&lt;&gt;B1647,VLOOKUP($A1647,'Concrete Beam Schedule'!$A$2:$Q$2902,R$2,0),"")</f>
        <v>#N/A</v>
      </c>
      <c r="S1647" s="7" t="e">
        <f>IF(VLOOKUP($A1647,'Concrete Beam Schedule'!$A$2:$Q$2902,S$2,0)&lt;&gt;C1647,VLOOKUP($A1647,'Concrete Beam Schedule'!$A$2:$Q$2902,S$2,0),"")</f>
        <v>#N/A</v>
      </c>
      <c r="T1647" s="7" t="e">
        <f>IF(VLOOKUP($A1647,'Concrete Beam Schedule'!$A$2:$Q$2902,T$2,0)&lt;&gt;D1647,"Beam Revised","")</f>
        <v>#N/A</v>
      </c>
      <c r="U1647" s="7" t="e">
        <f>IF(VLOOKUP($A1647,'Concrete Beam Schedule'!$A$2:$Q$2902,U$2,0)&lt;&gt;E1647,"Beam Revised","")</f>
        <v>#N/A</v>
      </c>
      <c r="V1647" s="7" t="e">
        <f>IF(VLOOKUP($A1647,'Concrete Beam Schedule'!$A$2:$Q$2902,V$2,0)&lt;&gt;F1647,"Beam Revised","")</f>
        <v>#N/A</v>
      </c>
      <c r="W1647" s="7" t="e">
        <f>IF(VLOOKUP($A1647,'Concrete Beam Schedule'!$A$2:$Q$2902,W$2,0)&lt;&gt;G1647,"Beam Revised","")</f>
        <v>#N/A</v>
      </c>
      <c r="X1647" s="7" t="e">
        <f>IF(VLOOKUP($A1647,'Concrete Beam Schedule'!$A$2:$Q$2902,X$2,0)&lt;&gt;H1647,"Beam Revised","")</f>
        <v>#N/A</v>
      </c>
      <c r="Y1647" s="7" t="e">
        <f>IF(VLOOKUP($A1647,'Concrete Beam Schedule'!$A$2:$Q$2902,Y$2,0)&lt;&gt;I1647,"Beam Revised","")</f>
        <v>#N/A</v>
      </c>
      <c r="Z1647" s="7" t="e">
        <f>IF(VLOOKUP($A1647,'Concrete Beam Schedule'!$A$2:$Q$2902,Z$2,0)&lt;&gt;J1647,"Beam Revised","")</f>
        <v>#N/A</v>
      </c>
      <c r="AA1647" s="7" t="e">
        <f>IF(VLOOKUP($A1647,'Concrete Beam Schedule'!$A$2:$Q$2902,AA$2,0)&lt;&gt;K1647,"Beam Revised","")</f>
        <v>#N/A</v>
      </c>
      <c r="AB1647" s="7" t="e">
        <f>IF(VLOOKUP($A1647,'Concrete Beam Schedule'!$A$2:$Q$2902,AB$2,0)&lt;&gt;L1647,"Beam Revised","")</f>
        <v>#N/A</v>
      </c>
      <c r="AC1647" s="7" t="e">
        <f>IF(VLOOKUP($A1647,'Concrete Beam Schedule'!$A$2:$Q$2902,AC$2,0)&lt;&gt;M1647,"Beam Revised","")</f>
        <v>#N/A</v>
      </c>
      <c r="AD1647" s="7" t="e">
        <f>IF(VLOOKUP($A1647,'Concrete Beam Schedule'!$A$2:$Q$2902,AD$2,0)&lt;&gt;N1647,"Beam Revised","")</f>
        <v>#N/A</v>
      </c>
      <c r="AE1647" s="7" t="e">
        <f>IF(VLOOKUP($A1647,'Concrete Beam Schedule'!$A$2:$Q$2902,AE$2,0)&lt;&gt;O1647,"Beam Revised","")</f>
        <v>#N/A</v>
      </c>
    </row>
    <row r="1648" spans="17:31" ht="20.100000000000001" customHeight="1" x14ac:dyDescent="0.25">
      <c r="Q1648" s="7">
        <f t="shared" si="25"/>
        <v>0</v>
      </c>
      <c r="R1648" s="7" t="e">
        <f>IF(VLOOKUP($A1648,'Concrete Beam Schedule'!$A$2:$Q$2902,R$2,0)&lt;&gt;B1648,VLOOKUP($A1648,'Concrete Beam Schedule'!$A$2:$Q$2902,R$2,0),"")</f>
        <v>#N/A</v>
      </c>
      <c r="S1648" s="7" t="e">
        <f>IF(VLOOKUP($A1648,'Concrete Beam Schedule'!$A$2:$Q$2902,S$2,0)&lt;&gt;C1648,VLOOKUP($A1648,'Concrete Beam Schedule'!$A$2:$Q$2902,S$2,0),"")</f>
        <v>#N/A</v>
      </c>
      <c r="T1648" s="7" t="e">
        <f>IF(VLOOKUP($A1648,'Concrete Beam Schedule'!$A$2:$Q$2902,T$2,0)&lt;&gt;D1648,"Beam Revised","")</f>
        <v>#N/A</v>
      </c>
      <c r="U1648" s="7" t="e">
        <f>IF(VLOOKUP($A1648,'Concrete Beam Schedule'!$A$2:$Q$2902,U$2,0)&lt;&gt;E1648,"Beam Revised","")</f>
        <v>#N/A</v>
      </c>
      <c r="V1648" s="7" t="e">
        <f>IF(VLOOKUP($A1648,'Concrete Beam Schedule'!$A$2:$Q$2902,V$2,0)&lt;&gt;F1648,"Beam Revised","")</f>
        <v>#N/A</v>
      </c>
      <c r="W1648" s="7" t="e">
        <f>IF(VLOOKUP($A1648,'Concrete Beam Schedule'!$A$2:$Q$2902,W$2,0)&lt;&gt;G1648,"Beam Revised","")</f>
        <v>#N/A</v>
      </c>
      <c r="X1648" s="7" t="e">
        <f>IF(VLOOKUP($A1648,'Concrete Beam Schedule'!$A$2:$Q$2902,X$2,0)&lt;&gt;H1648,"Beam Revised","")</f>
        <v>#N/A</v>
      </c>
      <c r="Y1648" s="7" t="e">
        <f>IF(VLOOKUP($A1648,'Concrete Beam Schedule'!$A$2:$Q$2902,Y$2,0)&lt;&gt;I1648,"Beam Revised","")</f>
        <v>#N/A</v>
      </c>
      <c r="Z1648" s="7" t="e">
        <f>IF(VLOOKUP($A1648,'Concrete Beam Schedule'!$A$2:$Q$2902,Z$2,0)&lt;&gt;J1648,"Beam Revised","")</f>
        <v>#N/A</v>
      </c>
      <c r="AA1648" s="7" t="e">
        <f>IF(VLOOKUP($A1648,'Concrete Beam Schedule'!$A$2:$Q$2902,AA$2,0)&lt;&gt;K1648,"Beam Revised","")</f>
        <v>#N/A</v>
      </c>
      <c r="AB1648" s="7" t="e">
        <f>IF(VLOOKUP($A1648,'Concrete Beam Schedule'!$A$2:$Q$2902,AB$2,0)&lt;&gt;L1648,"Beam Revised","")</f>
        <v>#N/A</v>
      </c>
      <c r="AC1648" s="7" t="e">
        <f>IF(VLOOKUP($A1648,'Concrete Beam Schedule'!$A$2:$Q$2902,AC$2,0)&lt;&gt;M1648,"Beam Revised","")</f>
        <v>#N/A</v>
      </c>
      <c r="AD1648" s="7" t="e">
        <f>IF(VLOOKUP($A1648,'Concrete Beam Schedule'!$A$2:$Q$2902,AD$2,0)&lt;&gt;N1648,"Beam Revised","")</f>
        <v>#N/A</v>
      </c>
      <c r="AE1648" s="7" t="e">
        <f>IF(VLOOKUP($A1648,'Concrete Beam Schedule'!$A$2:$Q$2902,AE$2,0)&lt;&gt;O1648,"Beam Revised","")</f>
        <v>#N/A</v>
      </c>
    </row>
    <row r="1649" spans="17:31" ht="20.100000000000001" customHeight="1" x14ac:dyDescent="0.25">
      <c r="Q1649" s="7">
        <f t="shared" si="25"/>
        <v>0</v>
      </c>
      <c r="R1649" s="7" t="e">
        <f>IF(VLOOKUP($A1649,'Concrete Beam Schedule'!$A$2:$Q$2902,R$2,0)&lt;&gt;B1649,VLOOKUP($A1649,'Concrete Beam Schedule'!$A$2:$Q$2902,R$2,0),"")</f>
        <v>#N/A</v>
      </c>
      <c r="S1649" s="7" t="e">
        <f>IF(VLOOKUP($A1649,'Concrete Beam Schedule'!$A$2:$Q$2902,S$2,0)&lt;&gt;C1649,VLOOKUP($A1649,'Concrete Beam Schedule'!$A$2:$Q$2902,S$2,0),"")</f>
        <v>#N/A</v>
      </c>
      <c r="T1649" s="7" t="e">
        <f>IF(VLOOKUP($A1649,'Concrete Beam Schedule'!$A$2:$Q$2902,T$2,0)&lt;&gt;D1649,"Beam Revised","")</f>
        <v>#N/A</v>
      </c>
      <c r="U1649" s="7" t="e">
        <f>IF(VLOOKUP($A1649,'Concrete Beam Schedule'!$A$2:$Q$2902,U$2,0)&lt;&gt;E1649,"Beam Revised","")</f>
        <v>#N/A</v>
      </c>
      <c r="V1649" s="7" t="e">
        <f>IF(VLOOKUP($A1649,'Concrete Beam Schedule'!$A$2:$Q$2902,V$2,0)&lt;&gt;F1649,"Beam Revised","")</f>
        <v>#N/A</v>
      </c>
      <c r="W1649" s="7" t="e">
        <f>IF(VLOOKUP($A1649,'Concrete Beam Schedule'!$A$2:$Q$2902,W$2,0)&lt;&gt;G1649,"Beam Revised","")</f>
        <v>#N/A</v>
      </c>
      <c r="X1649" s="7" t="e">
        <f>IF(VLOOKUP($A1649,'Concrete Beam Schedule'!$A$2:$Q$2902,X$2,0)&lt;&gt;H1649,"Beam Revised","")</f>
        <v>#N/A</v>
      </c>
      <c r="Y1649" s="7" t="e">
        <f>IF(VLOOKUP($A1649,'Concrete Beam Schedule'!$A$2:$Q$2902,Y$2,0)&lt;&gt;I1649,"Beam Revised","")</f>
        <v>#N/A</v>
      </c>
      <c r="Z1649" s="7" t="e">
        <f>IF(VLOOKUP($A1649,'Concrete Beam Schedule'!$A$2:$Q$2902,Z$2,0)&lt;&gt;J1649,"Beam Revised","")</f>
        <v>#N/A</v>
      </c>
      <c r="AA1649" s="7" t="e">
        <f>IF(VLOOKUP($A1649,'Concrete Beam Schedule'!$A$2:$Q$2902,AA$2,0)&lt;&gt;K1649,"Beam Revised","")</f>
        <v>#N/A</v>
      </c>
      <c r="AB1649" s="7" t="e">
        <f>IF(VLOOKUP($A1649,'Concrete Beam Schedule'!$A$2:$Q$2902,AB$2,0)&lt;&gt;L1649,"Beam Revised","")</f>
        <v>#N/A</v>
      </c>
      <c r="AC1649" s="7" t="e">
        <f>IF(VLOOKUP($A1649,'Concrete Beam Schedule'!$A$2:$Q$2902,AC$2,0)&lt;&gt;M1649,"Beam Revised","")</f>
        <v>#N/A</v>
      </c>
      <c r="AD1649" s="7" t="e">
        <f>IF(VLOOKUP($A1649,'Concrete Beam Schedule'!$A$2:$Q$2902,AD$2,0)&lt;&gt;N1649,"Beam Revised","")</f>
        <v>#N/A</v>
      </c>
      <c r="AE1649" s="7" t="e">
        <f>IF(VLOOKUP($A1649,'Concrete Beam Schedule'!$A$2:$Q$2902,AE$2,0)&lt;&gt;O1649,"Beam Revised","")</f>
        <v>#N/A</v>
      </c>
    </row>
    <row r="1650" spans="17:31" ht="20.100000000000001" customHeight="1" x14ac:dyDescent="0.25">
      <c r="Q1650" s="7">
        <f t="shared" si="25"/>
        <v>0</v>
      </c>
      <c r="R1650" s="7" t="e">
        <f>IF(VLOOKUP($A1650,'Concrete Beam Schedule'!$A$2:$Q$2902,R$2,0)&lt;&gt;B1650,VLOOKUP($A1650,'Concrete Beam Schedule'!$A$2:$Q$2902,R$2,0),"")</f>
        <v>#N/A</v>
      </c>
      <c r="S1650" s="7" t="e">
        <f>IF(VLOOKUP($A1650,'Concrete Beam Schedule'!$A$2:$Q$2902,S$2,0)&lt;&gt;C1650,VLOOKUP($A1650,'Concrete Beam Schedule'!$A$2:$Q$2902,S$2,0),"")</f>
        <v>#N/A</v>
      </c>
      <c r="T1650" s="7" t="e">
        <f>IF(VLOOKUP($A1650,'Concrete Beam Schedule'!$A$2:$Q$2902,T$2,0)&lt;&gt;D1650,"Beam Revised","")</f>
        <v>#N/A</v>
      </c>
      <c r="U1650" s="7" t="e">
        <f>IF(VLOOKUP($A1650,'Concrete Beam Schedule'!$A$2:$Q$2902,U$2,0)&lt;&gt;E1650,"Beam Revised","")</f>
        <v>#N/A</v>
      </c>
      <c r="V1650" s="7" t="e">
        <f>IF(VLOOKUP($A1650,'Concrete Beam Schedule'!$A$2:$Q$2902,V$2,0)&lt;&gt;F1650,"Beam Revised","")</f>
        <v>#N/A</v>
      </c>
      <c r="W1650" s="7" t="e">
        <f>IF(VLOOKUP($A1650,'Concrete Beam Schedule'!$A$2:$Q$2902,W$2,0)&lt;&gt;G1650,"Beam Revised","")</f>
        <v>#N/A</v>
      </c>
      <c r="X1650" s="7" t="e">
        <f>IF(VLOOKUP($A1650,'Concrete Beam Schedule'!$A$2:$Q$2902,X$2,0)&lt;&gt;H1650,"Beam Revised","")</f>
        <v>#N/A</v>
      </c>
      <c r="Y1650" s="7" t="e">
        <f>IF(VLOOKUP($A1650,'Concrete Beam Schedule'!$A$2:$Q$2902,Y$2,0)&lt;&gt;I1650,"Beam Revised","")</f>
        <v>#N/A</v>
      </c>
      <c r="Z1650" s="7" t="e">
        <f>IF(VLOOKUP($A1650,'Concrete Beam Schedule'!$A$2:$Q$2902,Z$2,0)&lt;&gt;J1650,"Beam Revised","")</f>
        <v>#N/A</v>
      </c>
      <c r="AA1650" s="7" t="e">
        <f>IF(VLOOKUP($A1650,'Concrete Beam Schedule'!$A$2:$Q$2902,AA$2,0)&lt;&gt;K1650,"Beam Revised","")</f>
        <v>#N/A</v>
      </c>
      <c r="AB1650" s="7" t="e">
        <f>IF(VLOOKUP($A1650,'Concrete Beam Schedule'!$A$2:$Q$2902,AB$2,0)&lt;&gt;L1650,"Beam Revised","")</f>
        <v>#N/A</v>
      </c>
      <c r="AC1650" s="7" t="e">
        <f>IF(VLOOKUP($A1650,'Concrete Beam Schedule'!$A$2:$Q$2902,AC$2,0)&lt;&gt;M1650,"Beam Revised","")</f>
        <v>#N/A</v>
      </c>
      <c r="AD1650" s="7" t="e">
        <f>IF(VLOOKUP($A1650,'Concrete Beam Schedule'!$A$2:$Q$2902,AD$2,0)&lt;&gt;N1650,"Beam Revised","")</f>
        <v>#N/A</v>
      </c>
      <c r="AE1650" s="7" t="e">
        <f>IF(VLOOKUP($A1650,'Concrete Beam Schedule'!$A$2:$Q$2902,AE$2,0)&lt;&gt;O1650,"Beam Revised","")</f>
        <v>#N/A</v>
      </c>
    </row>
    <row r="1651" spans="17:31" ht="20.100000000000001" customHeight="1" x14ac:dyDescent="0.25">
      <c r="Q1651" s="7">
        <f t="shared" si="25"/>
        <v>0</v>
      </c>
      <c r="R1651" s="7" t="e">
        <f>IF(VLOOKUP($A1651,'Concrete Beam Schedule'!$A$2:$Q$2902,R$2,0)&lt;&gt;B1651,VLOOKUP($A1651,'Concrete Beam Schedule'!$A$2:$Q$2902,R$2,0),"")</f>
        <v>#N/A</v>
      </c>
      <c r="S1651" s="7" t="e">
        <f>IF(VLOOKUP($A1651,'Concrete Beam Schedule'!$A$2:$Q$2902,S$2,0)&lt;&gt;C1651,VLOOKUP($A1651,'Concrete Beam Schedule'!$A$2:$Q$2902,S$2,0),"")</f>
        <v>#N/A</v>
      </c>
      <c r="T1651" s="7" t="e">
        <f>IF(VLOOKUP($A1651,'Concrete Beam Schedule'!$A$2:$Q$2902,T$2,0)&lt;&gt;D1651,"Beam Revised","")</f>
        <v>#N/A</v>
      </c>
      <c r="U1651" s="7" t="e">
        <f>IF(VLOOKUP($A1651,'Concrete Beam Schedule'!$A$2:$Q$2902,U$2,0)&lt;&gt;E1651,"Beam Revised","")</f>
        <v>#N/A</v>
      </c>
      <c r="V1651" s="7" t="e">
        <f>IF(VLOOKUP($A1651,'Concrete Beam Schedule'!$A$2:$Q$2902,V$2,0)&lt;&gt;F1651,"Beam Revised","")</f>
        <v>#N/A</v>
      </c>
      <c r="W1651" s="7" t="e">
        <f>IF(VLOOKUP($A1651,'Concrete Beam Schedule'!$A$2:$Q$2902,W$2,0)&lt;&gt;G1651,"Beam Revised","")</f>
        <v>#N/A</v>
      </c>
      <c r="X1651" s="7" t="e">
        <f>IF(VLOOKUP($A1651,'Concrete Beam Schedule'!$A$2:$Q$2902,X$2,0)&lt;&gt;H1651,"Beam Revised","")</f>
        <v>#N/A</v>
      </c>
      <c r="Y1651" s="7" t="e">
        <f>IF(VLOOKUP($A1651,'Concrete Beam Schedule'!$A$2:$Q$2902,Y$2,0)&lt;&gt;I1651,"Beam Revised","")</f>
        <v>#N/A</v>
      </c>
      <c r="Z1651" s="7" t="e">
        <f>IF(VLOOKUP($A1651,'Concrete Beam Schedule'!$A$2:$Q$2902,Z$2,0)&lt;&gt;J1651,"Beam Revised","")</f>
        <v>#N/A</v>
      </c>
      <c r="AA1651" s="7" t="e">
        <f>IF(VLOOKUP($A1651,'Concrete Beam Schedule'!$A$2:$Q$2902,AA$2,0)&lt;&gt;K1651,"Beam Revised","")</f>
        <v>#N/A</v>
      </c>
      <c r="AB1651" s="7" t="e">
        <f>IF(VLOOKUP($A1651,'Concrete Beam Schedule'!$A$2:$Q$2902,AB$2,0)&lt;&gt;L1651,"Beam Revised","")</f>
        <v>#N/A</v>
      </c>
      <c r="AC1651" s="7" t="e">
        <f>IF(VLOOKUP($A1651,'Concrete Beam Schedule'!$A$2:$Q$2902,AC$2,0)&lt;&gt;M1651,"Beam Revised","")</f>
        <v>#N/A</v>
      </c>
      <c r="AD1651" s="7" t="e">
        <f>IF(VLOOKUP($A1651,'Concrete Beam Schedule'!$A$2:$Q$2902,AD$2,0)&lt;&gt;N1651,"Beam Revised","")</f>
        <v>#N/A</v>
      </c>
      <c r="AE1651" s="7" t="e">
        <f>IF(VLOOKUP($A1651,'Concrete Beam Schedule'!$A$2:$Q$2902,AE$2,0)&lt;&gt;O1651,"Beam Revised","")</f>
        <v>#N/A</v>
      </c>
    </row>
    <row r="1652" spans="17:31" ht="20.100000000000001" customHeight="1" x14ac:dyDescent="0.25">
      <c r="Q1652" s="7">
        <f t="shared" si="25"/>
        <v>0</v>
      </c>
      <c r="R1652" s="7" t="e">
        <f>IF(VLOOKUP($A1652,'Concrete Beam Schedule'!$A$2:$Q$2902,R$2,0)&lt;&gt;B1652,VLOOKUP($A1652,'Concrete Beam Schedule'!$A$2:$Q$2902,R$2,0),"")</f>
        <v>#N/A</v>
      </c>
      <c r="S1652" s="7" t="e">
        <f>IF(VLOOKUP($A1652,'Concrete Beam Schedule'!$A$2:$Q$2902,S$2,0)&lt;&gt;C1652,VLOOKUP($A1652,'Concrete Beam Schedule'!$A$2:$Q$2902,S$2,0),"")</f>
        <v>#N/A</v>
      </c>
      <c r="T1652" s="7" t="e">
        <f>IF(VLOOKUP($A1652,'Concrete Beam Schedule'!$A$2:$Q$2902,T$2,0)&lt;&gt;D1652,"Beam Revised","")</f>
        <v>#N/A</v>
      </c>
      <c r="U1652" s="7" t="e">
        <f>IF(VLOOKUP($A1652,'Concrete Beam Schedule'!$A$2:$Q$2902,U$2,0)&lt;&gt;E1652,"Beam Revised","")</f>
        <v>#N/A</v>
      </c>
      <c r="V1652" s="7" t="e">
        <f>IF(VLOOKUP($A1652,'Concrete Beam Schedule'!$A$2:$Q$2902,V$2,0)&lt;&gt;F1652,"Beam Revised","")</f>
        <v>#N/A</v>
      </c>
      <c r="W1652" s="7" t="e">
        <f>IF(VLOOKUP($A1652,'Concrete Beam Schedule'!$A$2:$Q$2902,W$2,0)&lt;&gt;G1652,"Beam Revised","")</f>
        <v>#N/A</v>
      </c>
      <c r="X1652" s="7" t="e">
        <f>IF(VLOOKUP($A1652,'Concrete Beam Schedule'!$A$2:$Q$2902,X$2,0)&lt;&gt;H1652,"Beam Revised","")</f>
        <v>#N/A</v>
      </c>
      <c r="Y1652" s="7" t="e">
        <f>IF(VLOOKUP($A1652,'Concrete Beam Schedule'!$A$2:$Q$2902,Y$2,0)&lt;&gt;I1652,"Beam Revised","")</f>
        <v>#N/A</v>
      </c>
      <c r="Z1652" s="7" t="e">
        <f>IF(VLOOKUP($A1652,'Concrete Beam Schedule'!$A$2:$Q$2902,Z$2,0)&lt;&gt;J1652,"Beam Revised","")</f>
        <v>#N/A</v>
      </c>
      <c r="AA1652" s="7" t="e">
        <f>IF(VLOOKUP($A1652,'Concrete Beam Schedule'!$A$2:$Q$2902,AA$2,0)&lt;&gt;K1652,"Beam Revised","")</f>
        <v>#N/A</v>
      </c>
      <c r="AB1652" s="7" t="e">
        <f>IF(VLOOKUP($A1652,'Concrete Beam Schedule'!$A$2:$Q$2902,AB$2,0)&lt;&gt;L1652,"Beam Revised","")</f>
        <v>#N/A</v>
      </c>
      <c r="AC1652" s="7" t="e">
        <f>IF(VLOOKUP($A1652,'Concrete Beam Schedule'!$A$2:$Q$2902,AC$2,0)&lt;&gt;M1652,"Beam Revised","")</f>
        <v>#N/A</v>
      </c>
      <c r="AD1652" s="7" t="e">
        <f>IF(VLOOKUP($A1652,'Concrete Beam Schedule'!$A$2:$Q$2902,AD$2,0)&lt;&gt;N1652,"Beam Revised","")</f>
        <v>#N/A</v>
      </c>
      <c r="AE1652" s="7" t="e">
        <f>IF(VLOOKUP($A1652,'Concrete Beam Schedule'!$A$2:$Q$2902,AE$2,0)&lt;&gt;O1652,"Beam Revised","")</f>
        <v>#N/A</v>
      </c>
    </row>
    <row r="1653" spans="17:31" ht="20.100000000000001" customHeight="1" x14ac:dyDescent="0.25">
      <c r="Q1653" s="7">
        <f t="shared" si="25"/>
        <v>0</v>
      </c>
      <c r="R1653" s="7" t="e">
        <f>IF(VLOOKUP($A1653,'Concrete Beam Schedule'!$A$2:$Q$2902,R$2,0)&lt;&gt;B1653,VLOOKUP($A1653,'Concrete Beam Schedule'!$A$2:$Q$2902,R$2,0),"")</f>
        <v>#N/A</v>
      </c>
      <c r="S1653" s="7" t="e">
        <f>IF(VLOOKUP($A1653,'Concrete Beam Schedule'!$A$2:$Q$2902,S$2,0)&lt;&gt;C1653,VLOOKUP($A1653,'Concrete Beam Schedule'!$A$2:$Q$2902,S$2,0),"")</f>
        <v>#N/A</v>
      </c>
      <c r="T1653" s="7" t="e">
        <f>IF(VLOOKUP($A1653,'Concrete Beam Schedule'!$A$2:$Q$2902,T$2,0)&lt;&gt;D1653,"Beam Revised","")</f>
        <v>#N/A</v>
      </c>
      <c r="U1653" s="7" t="e">
        <f>IF(VLOOKUP($A1653,'Concrete Beam Schedule'!$A$2:$Q$2902,U$2,0)&lt;&gt;E1653,"Beam Revised","")</f>
        <v>#N/A</v>
      </c>
      <c r="V1653" s="7" t="e">
        <f>IF(VLOOKUP($A1653,'Concrete Beam Schedule'!$A$2:$Q$2902,V$2,0)&lt;&gt;F1653,"Beam Revised","")</f>
        <v>#N/A</v>
      </c>
      <c r="W1653" s="7" t="e">
        <f>IF(VLOOKUP($A1653,'Concrete Beam Schedule'!$A$2:$Q$2902,W$2,0)&lt;&gt;G1653,"Beam Revised","")</f>
        <v>#N/A</v>
      </c>
      <c r="X1653" s="7" t="e">
        <f>IF(VLOOKUP($A1653,'Concrete Beam Schedule'!$A$2:$Q$2902,X$2,0)&lt;&gt;H1653,"Beam Revised","")</f>
        <v>#N/A</v>
      </c>
      <c r="Y1653" s="7" t="e">
        <f>IF(VLOOKUP($A1653,'Concrete Beam Schedule'!$A$2:$Q$2902,Y$2,0)&lt;&gt;I1653,"Beam Revised","")</f>
        <v>#N/A</v>
      </c>
      <c r="Z1653" s="7" t="e">
        <f>IF(VLOOKUP($A1653,'Concrete Beam Schedule'!$A$2:$Q$2902,Z$2,0)&lt;&gt;J1653,"Beam Revised","")</f>
        <v>#N/A</v>
      </c>
      <c r="AA1653" s="7" t="e">
        <f>IF(VLOOKUP($A1653,'Concrete Beam Schedule'!$A$2:$Q$2902,AA$2,0)&lt;&gt;K1653,"Beam Revised","")</f>
        <v>#N/A</v>
      </c>
      <c r="AB1653" s="7" t="e">
        <f>IF(VLOOKUP($A1653,'Concrete Beam Schedule'!$A$2:$Q$2902,AB$2,0)&lt;&gt;L1653,"Beam Revised","")</f>
        <v>#N/A</v>
      </c>
      <c r="AC1653" s="7" t="e">
        <f>IF(VLOOKUP($A1653,'Concrete Beam Schedule'!$A$2:$Q$2902,AC$2,0)&lt;&gt;M1653,"Beam Revised","")</f>
        <v>#N/A</v>
      </c>
      <c r="AD1653" s="7" t="e">
        <f>IF(VLOOKUP($A1653,'Concrete Beam Schedule'!$A$2:$Q$2902,AD$2,0)&lt;&gt;N1653,"Beam Revised","")</f>
        <v>#N/A</v>
      </c>
      <c r="AE1653" s="7" t="e">
        <f>IF(VLOOKUP($A1653,'Concrete Beam Schedule'!$A$2:$Q$2902,AE$2,0)&lt;&gt;O1653,"Beam Revised","")</f>
        <v>#N/A</v>
      </c>
    </row>
    <row r="1654" spans="17:31" ht="20.100000000000001" customHeight="1" x14ac:dyDescent="0.25">
      <c r="Q1654" s="7">
        <f t="shared" si="25"/>
        <v>0</v>
      </c>
      <c r="R1654" s="7" t="e">
        <f>IF(VLOOKUP($A1654,'Concrete Beam Schedule'!$A$2:$Q$2902,R$2,0)&lt;&gt;B1654,VLOOKUP($A1654,'Concrete Beam Schedule'!$A$2:$Q$2902,R$2,0),"")</f>
        <v>#N/A</v>
      </c>
      <c r="S1654" s="7" t="e">
        <f>IF(VLOOKUP($A1654,'Concrete Beam Schedule'!$A$2:$Q$2902,S$2,0)&lt;&gt;C1654,VLOOKUP($A1654,'Concrete Beam Schedule'!$A$2:$Q$2902,S$2,0),"")</f>
        <v>#N/A</v>
      </c>
      <c r="T1654" s="7" t="e">
        <f>IF(VLOOKUP($A1654,'Concrete Beam Schedule'!$A$2:$Q$2902,T$2,0)&lt;&gt;D1654,"Beam Revised","")</f>
        <v>#N/A</v>
      </c>
      <c r="U1654" s="7" t="e">
        <f>IF(VLOOKUP($A1654,'Concrete Beam Schedule'!$A$2:$Q$2902,U$2,0)&lt;&gt;E1654,"Beam Revised","")</f>
        <v>#N/A</v>
      </c>
      <c r="V1654" s="7" t="e">
        <f>IF(VLOOKUP($A1654,'Concrete Beam Schedule'!$A$2:$Q$2902,V$2,0)&lt;&gt;F1654,"Beam Revised","")</f>
        <v>#N/A</v>
      </c>
      <c r="W1654" s="7" t="e">
        <f>IF(VLOOKUP($A1654,'Concrete Beam Schedule'!$A$2:$Q$2902,W$2,0)&lt;&gt;G1654,"Beam Revised","")</f>
        <v>#N/A</v>
      </c>
      <c r="X1654" s="7" t="e">
        <f>IF(VLOOKUP($A1654,'Concrete Beam Schedule'!$A$2:$Q$2902,X$2,0)&lt;&gt;H1654,"Beam Revised","")</f>
        <v>#N/A</v>
      </c>
      <c r="Y1654" s="7" t="e">
        <f>IF(VLOOKUP($A1654,'Concrete Beam Schedule'!$A$2:$Q$2902,Y$2,0)&lt;&gt;I1654,"Beam Revised","")</f>
        <v>#N/A</v>
      </c>
      <c r="Z1654" s="7" t="e">
        <f>IF(VLOOKUP($A1654,'Concrete Beam Schedule'!$A$2:$Q$2902,Z$2,0)&lt;&gt;J1654,"Beam Revised","")</f>
        <v>#N/A</v>
      </c>
      <c r="AA1654" s="7" t="e">
        <f>IF(VLOOKUP($A1654,'Concrete Beam Schedule'!$A$2:$Q$2902,AA$2,0)&lt;&gt;K1654,"Beam Revised","")</f>
        <v>#N/A</v>
      </c>
      <c r="AB1654" s="7" t="e">
        <f>IF(VLOOKUP($A1654,'Concrete Beam Schedule'!$A$2:$Q$2902,AB$2,0)&lt;&gt;L1654,"Beam Revised","")</f>
        <v>#N/A</v>
      </c>
      <c r="AC1654" s="7" t="e">
        <f>IF(VLOOKUP($A1654,'Concrete Beam Schedule'!$A$2:$Q$2902,AC$2,0)&lt;&gt;M1654,"Beam Revised","")</f>
        <v>#N/A</v>
      </c>
      <c r="AD1654" s="7" t="e">
        <f>IF(VLOOKUP($A1654,'Concrete Beam Schedule'!$A$2:$Q$2902,AD$2,0)&lt;&gt;N1654,"Beam Revised","")</f>
        <v>#N/A</v>
      </c>
      <c r="AE1654" s="7" t="e">
        <f>IF(VLOOKUP($A1654,'Concrete Beam Schedule'!$A$2:$Q$2902,AE$2,0)&lt;&gt;O1654,"Beam Revised","")</f>
        <v>#N/A</v>
      </c>
    </row>
    <row r="1655" spans="17:31" ht="20.100000000000001" customHeight="1" x14ac:dyDescent="0.25">
      <c r="Q1655" s="7">
        <f t="shared" si="25"/>
        <v>0</v>
      </c>
      <c r="R1655" s="7" t="e">
        <f>IF(VLOOKUP($A1655,'Concrete Beam Schedule'!$A$2:$Q$2902,R$2,0)&lt;&gt;B1655,VLOOKUP($A1655,'Concrete Beam Schedule'!$A$2:$Q$2902,R$2,0),"")</f>
        <v>#N/A</v>
      </c>
      <c r="S1655" s="7" t="e">
        <f>IF(VLOOKUP($A1655,'Concrete Beam Schedule'!$A$2:$Q$2902,S$2,0)&lt;&gt;C1655,VLOOKUP($A1655,'Concrete Beam Schedule'!$A$2:$Q$2902,S$2,0),"")</f>
        <v>#N/A</v>
      </c>
      <c r="T1655" s="7" t="e">
        <f>IF(VLOOKUP($A1655,'Concrete Beam Schedule'!$A$2:$Q$2902,T$2,0)&lt;&gt;D1655,"Beam Revised","")</f>
        <v>#N/A</v>
      </c>
      <c r="U1655" s="7" t="e">
        <f>IF(VLOOKUP($A1655,'Concrete Beam Schedule'!$A$2:$Q$2902,U$2,0)&lt;&gt;E1655,"Beam Revised","")</f>
        <v>#N/A</v>
      </c>
      <c r="V1655" s="7" t="e">
        <f>IF(VLOOKUP($A1655,'Concrete Beam Schedule'!$A$2:$Q$2902,V$2,0)&lt;&gt;F1655,"Beam Revised","")</f>
        <v>#N/A</v>
      </c>
      <c r="W1655" s="7" t="e">
        <f>IF(VLOOKUP($A1655,'Concrete Beam Schedule'!$A$2:$Q$2902,W$2,0)&lt;&gt;G1655,"Beam Revised","")</f>
        <v>#N/A</v>
      </c>
      <c r="X1655" s="7" t="e">
        <f>IF(VLOOKUP($A1655,'Concrete Beam Schedule'!$A$2:$Q$2902,X$2,0)&lt;&gt;H1655,"Beam Revised","")</f>
        <v>#N/A</v>
      </c>
      <c r="Y1655" s="7" t="e">
        <f>IF(VLOOKUP($A1655,'Concrete Beam Schedule'!$A$2:$Q$2902,Y$2,0)&lt;&gt;I1655,"Beam Revised","")</f>
        <v>#N/A</v>
      </c>
      <c r="Z1655" s="7" t="e">
        <f>IF(VLOOKUP($A1655,'Concrete Beam Schedule'!$A$2:$Q$2902,Z$2,0)&lt;&gt;J1655,"Beam Revised","")</f>
        <v>#N/A</v>
      </c>
      <c r="AA1655" s="7" t="e">
        <f>IF(VLOOKUP($A1655,'Concrete Beam Schedule'!$A$2:$Q$2902,AA$2,0)&lt;&gt;K1655,"Beam Revised","")</f>
        <v>#N/A</v>
      </c>
      <c r="AB1655" s="7" t="e">
        <f>IF(VLOOKUP($A1655,'Concrete Beam Schedule'!$A$2:$Q$2902,AB$2,0)&lt;&gt;L1655,"Beam Revised","")</f>
        <v>#N/A</v>
      </c>
      <c r="AC1655" s="7" t="e">
        <f>IF(VLOOKUP($A1655,'Concrete Beam Schedule'!$A$2:$Q$2902,AC$2,0)&lt;&gt;M1655,"Beam Revised","")</f>
        <v>#N/A</v>
      </c>
      <c r="AD1655" s="7" t="e">
        <f>IF(VLOOKUP($A1655,'Concrete Beam Schedule'!$A$2:$Q$2902,AD$2,0)&lt;&gt;N1655,"Beam Revised","")</f>
        <v>#N/A</v>
      </c>
      <c r="AE1655" s="7" t="e">
        <f>IF(VLOOKUP($A1655,'Concrete Beam Schedule'!$A$2:$Q$2902,AE$2,0)&lt;&gt;O1655,"Beam Revised","")</f>
        <v>#N/A</v>
      </c>
    </row>
    <row r="1656" spans="17:31" ht="20.100000000000001" customHeight="1" x14ac:dyDescent="0.25">
      <c r="Q1656" s="7">
        <f t="shared" si="25"/>
        <v>0</v>
      </c>
      <c r="R1656" s="7" t="e">
        <f>IF(VLOOKUP($A1656,'Concrete Beam Schedule'!$A$2:$Q$2902,R$2,0)&lt;&gt;B1656,VLOOKUP($A1656,'Concrete Beam Schedule'!$A$2:$Q$2902,R$2,0),"")</f>
        <v>#N/A</v>
      </c>
      <c r="S1656" s="7" t="e">
        <f>IF(VLOOKUP($A1656,'Concrete Beam Schedule'!$A$2:$Q$2902,S$2,0)&lt;&gt;C1656,VLOOKUP($A1656,'Concrete Beam Schedule'!$A$2:$Q$2902,S$2,0),"")</f>
        <v>#N/A</v>
      </c>
      <c r="T1656" s="7" t="e">
        <f>IF(VLOOKUP($A1656,'Concrete Beam Schedule'!$A$2:$Q$2902,T$2,0)&lt;&gt;D1656,"Beam Revised","")</f>
        <v>#N/A</v>
      </c>
      <c r="U1656" s="7" t="e">
        <f>IF(VLOOKUP($A1656,'Concrete Beam Schedule'!$A$2:$Q$2902,U$2,0)&lt;&gt;E1656,"Beam Revised","")</f>
        <v>#N/A</v>
      </c>
      <c r="V1656" s="7" t="e">
        <f>IF(VLOOKUP($A1656,'Concrete Beam Schedule'!$A$2:$Q$2902,V$2,0)&lt;&gt;F1656,"Beam Revised","")</f>
        <v>#N/A</v>
      </c>
      <c r="W1656" s="7" t="e">
        <f>IF(VLOOKUP($A1656,'Concrete Beam Schedule'!$A$2:$Q$2902,W$2,0)&lt;&gt;G1656,"Beam Revised","")</f>
        <v>#N/A</v>
      </c>
      <c r="X1656" s="7" t="e">
        <f>IF(VLOOKUP($A1656,'Concrete Beam Schedule'!$A$2:$Q$2902,X$2,0)&lt;&gt;H1656,"Beam Revised","")</f>
        <v>#N/A</v>
      </c>
      <c r="Y1656" s="7" t="e">
        <f>IF(VLOOKUP($A1656,'Concrete Beam Schedule'!$A$2:$Q$2902,Y$2,0)&lt;&gt;I1656,"Beam Revised","")</f>
        <v>#N/A</v>
      </c>
      <c r="Z1656" s="7" t="e">
        <f>IF(VLOOKUP($A1656,'Concrete Beam Schedule'!$A$2:$Q$2902,Z$2,0)&lt;&gt;J1656,"Beam Revised","")</f>
        <v>#N/A</v>
      </c>
      <c r="AA1656" s="7" t="e">
        <f>IF(VLOOKUP($A1656,'Concrete Beam Schedule'!$A$2:$Q$2902,AA$2,0)&lt;&gt;K1656,"Beam Revised","")</f>
        <v>#N/A</v>
      </c>
      <c r="AB1656" s="7" t="e">
        <f>IF(VLOOKUP($A1656,'Concrete Beam Schedule'!$A$2:$Q$2902,AB$2,0)&lt;&gt;L1656,"Beam Revised","")</f>
        <v>#N/A</v>
      </c>
      <c r="AC1656" s="7" t="e">
        <f>IF(VLOOKUP($A1656,'Concrete Beam Schedule'!$A$2:$Q$2902,AC$2,0)&lt;&gt;M1656,"Beam Revised","")</f>
        <v>#N/A</v>
      </c>
      <c r="AD1656" s="7" t="e">
        <f>IF(VLOOKUP($A1656,'Concrete Beam Schedule'!$A$2:$Q$2902,AD$2,0)&lt;&gt;N1656,"Beam Revised","")</f>
        <v>#N/A</v>
      </c>
      <c r="AE1656" s="7" t="e">
        <f>IF(VLOOKUP($A1656,'Concrete Beam Schedule'!$A$2:$Q$2902,AE$2,0)&lt;&gt;O1656,"Beam Revised","")</f>
        <v>#N/A</v>
      </c>
    </row>
    <row r="1657" spans="17:31" ht="20.100000000000001" customHeight="1" x14ac:dyDescent="0.25">
      <c r="Q1657" s="7">
        <f t="shared" si="25"/>
        <v>0</v>
      </c>
      <c r="R1657" s="7" t="e">
        <f>IF(VLOOKUP($A1657,'Concrete Beam Schedule'!$A$2:$Q$2902,R$2,0)&lt;&gt;B1657,VLOOKUP($A1657,'Concrete Beam Schedule'!$A$2:$Q$2902,R$2,0),"")</f>
        <v>#N/A</v>
      </c>
      <c r="S1657" s="7" t="e">
        <f>IF(VLOOKUP($A1657,'Concrete Beam Schedule'!$A$2:$Q$2902,S$2,0)&lt;&gt;C1657,VLOOKUP($A1657,'Concrete Beam Schedule'!$A$2:$Q$2902,S$2,0),"")</f>
        <v>#N/A</v>
      </c>
      <c r="T1657" s="7" t="e">
        <f>IF(VLOOKUP($A1657,'Concrete Beam Schedule'!$A$2:$Q$2902,T$2,0)&lt;&gt;D1657,"Beam Revised","")</f>
        <v>#N/A</v>
      </c>
      <c r="U1657" s="7" t="e">
        <f>IF(VLOOKUP($A1657,'Concrete Beam Schedule'!$A$2:$Q$2902,U$2,0)&lt;&gt;E1657,"Beam Revised","")</f>
        <v>#N/A</v>
      </c>
      <c r="V1657" s="7" t="e">
        <f>IF(VLOOKUP($A1657,'Concrete Beam Schedule'!$A$2:$Q$2902,V$2,0)&lt;&gt;F1657,"Beam Revised","")</f>
        <v>#N/A</v>
      </c>
      <c r="W1657" s="7" t="e">
        <f>IF(VLOOKUP($A1657,'Concrete Beam Schedule'!$A$2:$Q$2902,W$2,0)&lt;&gt;G1657,"Beam Revised","")</f>
        <v>#N/A</v>
      </c>
      <c r="X1657" s="7" t="e">
        <f>IF(VLOOKUP($A1657,'Concrete Beam Schedule'!$A$2:$Q$2902,X$2,0)&lt;&gt;H1657,"Beam Revised","")</f>
        <v>#N/A</v>
      </c>
      <c r="Y1657" s="7" t="e">
        <f>IF(VLOOKUP($A1657,'Concrete Beam Schedule'!$A$2:$Q$2902,Y$2,0)&lt;&gt;I1657,"Beam Revised","")</f>
        <v>#N/A</v>
      </c>
      <c r="Z1657" s="7" t="e">
        <f>IF(VLOOKUP($A1657,'Concrete Beam Schedule'!$A$2:$Q$2902,Z$2,0)&lt;&gt;J1657,"Beam Revised","")</f>
        <v>#N/A</v>
      </c>
      <c r="AA1657" s="7" t="e">
        <f>IF(VLOOKUP($A1657,'Concrete Beam Schedule'!$A$2:$Q$2902,AA$2,0)&lt;&gt;K1657,"Beam Revised","")</f>
        <v>#N/A</v>
      </c>
      <c r="AB1657" s="7" t="e">
        <f>IF(VLOOKUP($A1657,'Concrete Beam Schedule'!$A$2:$Q$2902,AB$2,0)&lt;&gt;L1657,"Beam Revised","")</f>
        <v>#N/A</v>
      </c>
      <c r="AC1657" s="7" t="e">
        <f>IF(VLOOKUP($A1657,'Concrete Beam Schedule'!$A$2:$Q$2902,AC$2,0)&lt;&gt;M1657,"Beam Revised","")</f>
        <v>#N/A</v>
      </c>
      <c r="AD1657" s="7" t="e">
        <f>IF(VLOOKUP($A1657,'Concrete Beam Schedule'!$A$2:$Q$2902,AD$2,0)&lt;&gt;N1657,"Beam Revised","")</f>
        <v>#N/A</v>
      </c>
      <c r="AE1657" s="7" t="e">
        <f>IF(VLOOKUP($A1657,'Concrete Beam Schedule'!$A$2:$Q$2902,AE$2,0)&lt;&gt;O1657,"Beam Revised","")</f>
        <v>#N/A</v>
      </c>
    </row>
    <row r="1658" spans="17:31" ht="20.100000000000001" customHeight="1" x14ac:dyDescent="0.25">
      <c r="Q1658" s="7">
        <f t="shared" si="25"/>
        <v>0</v>
      </c>
      <c r="R1658" s="7" t="e">
        <f>IF(VLOOKUP($A1658,'Concrete Beam Schedule'!$A$2:$Q$2902,R$2,0)&lt;&gt;B1658,VLOOKUP($A1658,'Concrete Beam Schedule'!$A$2:$Q$2902,R$2,0),"")</f>
        <v>#N/A</v>
      </c>
      <c r="S1658" s="7" t="e">
        <f>IF(VLOOKUP($A1658,'Concrete Beam Schedule'!$A$2:$Q$2902,S$2,0)&lt;&gt;C1658,VLOOKUP($A1658,'Concrete Beam Schedule'!$A$2:$Q$2902,S$2,0),"")</f>
        <v>#N/A</v>
      </c>
      <c r="T1658" s="7" t="e">
        <f>IF(VLOOKUP($A1658,'Concrete Beam Schedule'!$A$2:$Q$2902,T$2,0)&lt;&gt;D1658,"Beam Revised","")</f>
        <v>#N/A</v>
      </c>
      <c r="U1658" s="7" t="e">
        <f>IF(VLOOKUP($A1658,'Concrete Beam Schedule'!$A$2:$Q$2902,U$2,0)&lt;&gt;E1658,"Beam Revised","")</f>
        <v>#N/A</v>
      </c>
      <c r="V1658" s="7" t="e">
        <f>IF(VLOOKUP($A1658,'Concrete Beam Schedule'!$A$2:$Q$2902,V$2,0)&lt;&gt;F1658,"Beam Revised","")</f>
        <v>#N/A</v>
      </c>
      <c r="W1658" s="7" t="e">
        <f>IF(VLOOKUP($A1658,'Concrete Beam Schedule'!$A$2:$Q$2902,W$2,0)&lt;&gt;G1658,"Beam Revised","")</f>
        <v>#N/A</v>
      </c>
      <c r="X1658" s="7" t="e">
        <f>IF(VLOOKUP($A1658,'Concrete Beam Schedule'!$A$2:$Q$2902,X$2,0)&lt;&gt;H1658,"Beam Revised","")</f>
        <v>#N/A</v>
      </c>
      <c r="Y1658" s="7" t="e">
        <f>IF(VLOOKUP($A1658,'Concrete Beam Schedule'!$A$2:$Q$2902,Y$2,0)&lt;&gt;I1658,"Beam Revised","")</f>
        <v>#N/A</v>
      </c>
      <c r="Z1658" s="7" t="e">
        <f>IF(VLOOKUP($A1658,'Concrete Beam Schedule'!$A$2:$Q$2902,Z$2,0)&lt;&gt;J1658,"Beam Revised","")</f>
        <v>#N/A</v>
      </c>
      <c r="AA1658" s="7" t="e">
        <f>IF(VLOOKUP($A1658,'Concrete Beam Schedule'!$A$2:$Q$2902,AA$2,0)&lt;&gt;K1658,"Beam Revised","")</f>
        <v>#N/A</v>
      </c>
      <c r="AB1658" s="7" t="e">
        <f>IF(VLOOKUP($A1658,'Concrete Beam Schedule'!$A$2:$Q$2902,AB$2,0)&lt;&gt;L1658,"Beam Revised","")</f>
        <v>#N/A</v>
      </c>
      <c r="AC1658" s="7" t="e">
        <f>IF(VLOOKUP($A1658,'Concrete Beam Schedule'!$A$2:$Q$2902,AC$2,0)&lt;&gt;M1658,"Beam Revised","")</f>
        <v>#N/A</v>
      </c>
      <c r="AD1658" s="7" t="e">
        <f>IF(VLOOKUP($A1658,'Concrete Beam Schedule'!$A$2:$Q$2902,AD$2,0)&lt;&gt;N1658,"Beam Revised","")</f>
        <v>#N/A</v>
      </c>
      <c r="AE1658" s="7" t="e">
        <f>IF(VLOOKUP($A1658,'Concrete Beam Schedule'!$A$2:$Q$2902,AE$2,0)&lt;&gt;O1658,"Beam Revised","")</f>
        <v>#N/A</v>
      </c>
    </row>
    <row r="1659" spans="17:31" ht="20.100000000000001" customHeight="1" x14ac:dyDescent="0.25">
      <c r="Q1659" s="7">
        <f t="shared" si="25"/>
        <v>0</v>
      </c>
      <c r="R1659" s="7" t="e">
        <f>IF(VLOOKUP($A1659,'Concrete Beam Schedule'!$A$2:$Q$2902,R$2,0)&lt;&gt;B1659,VLOOKUP($A1659,'Concrete Beam Schedule'!$A$2:$Q$2902,R$2,0),"")</f>
        <v>#N/A</v>
      </c>
      <c r="S1659" s="7" t="e">
        <f>IF(VLOOKUP($A1659,'Concrete Beam Schedule'!$A$2:$Q$2902,S$2,0)&lt;&gt;C1659,VLOOKUP($A1659,'Concrete Beam Schedule'!$A$2:$Q$2902,S$2,0),"")</f>
        <v>#N/A</v>
      </c>
      <c r="T1659" s="7" t="e">
        <f>IF(VLOOKUP($A1659,'Concrete Beam Schedule'!$A$2:$Q$2902,T$2,0)&lt;&gt;D1659,"Beam Revised","")</f>
        <v>#N/A</v>
      </c>
      <c r="U1659" s="7" t="e">
        <f>IF(VLOOKUP($A1659,'Concrete Beam Schedule'!$A$2:$Q$2902,U$2,0)&lt;&gt;E1659,"Beam Revised","")</f>
        <v>#N/A</v>
      </c>
      <c r="V1659" s="7" t="e">
        <f>IF(VLOOKUP($A1659,'Concrete Beam Schedule'!$A$2:$Q$2902,V$2,0)&lt;&gt;F1659,"Beam Revised","")</f>
        <v>#N/A</v>
      </c>
      <c r="W1659" s="7" t="e">
        <f>IF(VLOOKUP($A1659,'Concrete Beam Schedule'!$A$2:$Q$2902,W$2,0)&lt;&gt;G1659,"Beam Revised","")</f>
        <v>#N/A</v>
      </c>
      <c r="X1659" s="7" t="e">
        <f>IF(VLOOKUP($A1659,'Concrete Beam Schedule'!$A$2:$Q$2902,X$2,0)&lt;&gt;H1659,"Beam Revised","")</f>
        <v>#N/A</v>
      </c>
      <c r="Y1659" s="7" t="e">
        <f>IF(VLOOKUP($A1659,'Concrete Beam Schedule'!$A$2:$Q$2902,Y$2,0)&lt;&gt;I1659,"Beam Revised","")</f>
        <v>#N/A</v>
      </c>
      <c r="Z1659" s="7" t="e">
        <f>IF(VLOOKUP($A1659,'Concrete Beam Schedule'!$A$2:$Q$2902,Z$2,0)&lt;&gt;J1659,"Beam Revised","")</f>
        <v>#N/A</v>
      </c>
      <c r="AA1659" s="7" t="e">
        <f>IF(VLOOKUP($A1659,'Concrete Beam Schedule'!$A$2:$Q$2902,AA$2,0)&lt;&gt;K1659,"Beam Revised","")</f>
        <v>#N/A</v>
      </c>
      <c r="AB1659" s="7" t="e">
        <f>IF(VLOOKUP($A1659,'Concrete Beam Schedule'!$A$2:$Q$2902,AB$2,0)&lt;&gt;L1659,"Beam Revised","")</f>
        <v>#N/A</v>
      </c>
      <c r="AC1659" s="7" t="e">
        <f>IF(VLOOKUP($A1659,'Concrete Beam Schedule'!$A$2:$Q$2902,AC$2,0)&lt;&gt;M1659,"Beam Revised","")</f>
        <v>#N/A</v>
      </c>
      <c r="AD1659" s="7" t="e">
        <f>IF(VLOOKUP($A1659,'Concrete Beam Schedule'!$A$2:$Q$2902,AD$2,0)&lt;&gt;N1659,"Beam Revised","")</f>
        <v>#N/A</v>
      </c>
      <c r="AE1659" s="7" t="e">
        <f>IF(VLOOKUP($A1659,'Concrete Beam Schedule'!$A$2:$Q$2902,AE$2,0)&lt;&gt;O1659,"Beam Revised","")</f>
        <v>#N/A</v>
      </c>
    </row>
    <row r="1660" spans="17:31" ht="20.100000000000001" customHeight="1" x14ac:dyDescent="0.25">
      <c r="Q1660" s="7">
        <f t="shared" si="25"/>
        <v>0</v>
      </c>
      <c r="R1660" s="7" t="e">
        <f>IF(VLOOKUP($A1660,'Concrete Beam Schedule'!$A$2:$Q$2902,R$2,0)&lt;&gt;B1660,VLOOKUP($A1660,'Concrete Beam Schedule'!$A$2:$Q$2902,R$2,0),"")</f>
        <v>#N/A</v>
      </c>
      <c r="S1660" s="7" t="e">
        <f>IF(VLOOKUP($A1660,'Concrete Beam Schedule'!$A$2:$Q$2902,S$2,0)&lt;&gt;C1660,VLOOKUP($A1660,'Concrete Beam Schedule'!$A$2:$Q$2902,S$2,0),"")</f>
        <v>#N/A</v>
      </c>
      <c r="T1660" s="7" t="e">
        <f>IF(VLOOKUP($A1660,'Concrete Beam Schedule'!$A$2:$Q$2902,T$2,0)&lt;&gt;D1660,"Beam Revised","")</f>
        <v>#N/A</v>
      </c>
      <c r="U1660" s="7" t="e">
        <f>IF(VLOOKUP($A1660,'Concrete Beam Schedule'!$A$2:$Q$2902,U$2,0)&lt;&gt;E1660,"Beam Revised","")</f>
        <v>#N/A</v>
      </c>
      <c r="V1660" s="7" t="e">
        <f>IF(VLOOKUP($A1660,'Concrete Beam Schedule'!$A$2:$Q$2902,V$2,0)&lt;&gt;F1660,"Beam Revised","")</f>
        <v>#N/A</v>
      </c>
      <c r="W1660" s="7" t="e">
        <f>IF(VLOOKUP($A1660,'Concrete Beam Schedule'!$A$2:$Q$2902,W$2,0)&lt;&gt;G1660,"Beam Revised","")</f>
        <v>#N/A</v>
      </c>
      <c r="X1660" s="7" t="e">
        <f>IF(VLOOKUP($A1660,'Concrete Beam Schedule'!$A$2:$Q$2902,X$2,0)&lt;&gt;H1660,"Beam Revised","")</f>
        <v>#N/A</v>
      </c>
      <c r="Y1660" s="7" t="e">
        <f>IF(VLOOKUP($A1660,'Concrete Beam Schedule'!$A$2:$Q$2902,Y$2,0)&lt;&gt;I1660,"Beam Revised","")</f>
        <v>#N/A</v>
      </c>
      <c r="Z1660" s="7" t="e">
        <f>IF(VLOOKUP($A1660,'Concrete Beam Schedule'!$A$2:$Q$2902,Z$2,0)&lt;&gt;J1660,"Beam Revised","")</f>
        <v>#N/A</v>
      </c>
      <c r="AA1660" s="7" t="e">
        <f>IF(VLOOKUP($A1660,'Concrete Beam Schedule'!$A$2:$Q$2902,AA$2,0)&lt;&gt;K1660,"Beam Revised","")</f>
        <v>#N/A</v>
      </c>
      <c r="AB1660" s="7" t="e">
        <f>IF(VLOOKUP($A1660,'Concrete Beam Schedule'!$A$2:$Q$2902,AB$2,0)&lt;&gt;L1660,"Beam Revised","")</f>
        <v>#N/A</v>
      </c>
      <c r="AC1660" s="7" t="e">
        <f>IF(VLOOKUP($A1660,'Concrete Beam Schedule'!$A$2:$Q$2902,AC$2,0)&lt;&gt;M1660,"Beam Revised","")</f>
        <v>#N/A</v>
      </c>
      <c r="AD1660" s="7" t="e">
        <f>IF(VLOOKUP($A1660,'Concrete Beam Schedule'!$A$2:$Q$2902,AD$2,0)&lt;&gt;N1660,"Beam Revised","")</f>
        <v>#N/A</v>
      </c>
      <c r="AE1660" s="7" t="e">
        <f>IF(VLOOKUP($A1660,'Concrete Beam Schedule'!$A$2:$Q$2902,AE$2,0)&lt;&gt;O1660,"Beam Revised","")</f>
        <v>#N/A</v>
      </c>
    </row>
    <row r="1661" spans="17:31" ht="20.100000000000001" customHeight="1" x14ac:dyDescent="0.25">
      <c r="Q1661" s="7">
        <f t="shared" si="25"/>
        <v>0</v>
      </c>
      <c r="R1661" s="7" t="e">
        <f>IF(VLOOKUP($A1661,'Concrete Beam Schedule'!$A$2:$Q$2902,R$2,0)&lt;&gt;B1661,VLOOKUP($A1661,'Concrete Beam Schedule'!$A$2:$Q$2902,R$2,0),"")</f>
        <v>#N/A</v>
      </c>
      <c r="S1661" s="7" t="e">
        <f>IF(VLOOKUP($A1661,'Concrete Beam Schedule'!$A$2:$Q$2902,S$2,0)&lt;&gt;C1661,VLOOKUP($A1661,'Concrete Beam Schedule'!$A$2:$Q$2902,S$2,0),"")</f>
        <v>#N/A</v>
      </c>
      <c r="T1661" s="7" t="e">
        <f>IF(VLOOKUP($A1661,'Concrete Beam Schedule'!$A$2:$Q$2902,T$2,0)&lt;&gt;D1661,"Beam Revised","")</f>
        <v>#N/A</v>
      </c>
      <c r="U1661" s="7" t="e">
        <f>IF(VLOOKUP($A1661,'Concrete Beam Schedule'!$A$2:$Q$2902,U$2,0)&lt;&gt;E1661,"Beam Revised","")</f>
        <v>#N/A</v>
      </c>
      <c r="V1661" s="7" t="e">
        <f>IF(VLOOKUP($A1661,'Concrete Beam Schedule'!$A$2:$Q$2902,V$2,0)&lt;&gt;F1661,"Beam Revised","")</f>
        <v>#N/A</v>
      </c>
      <c r="W1661" s="7" t="e">
        <f>IF(VLOOKUP($A1661,'Concrete Beam Schedule'!$A$2:$Q$2902,W$2,0)&lt;&gt;G1661,"Beam Revised","")</f>
        <v>#N/A</v>
      </c>
      <c r="X1661" s="7" t="e">
        <f>IF(VLOOKUP($A1661,'Concrete Beam Schedule'!$A$2:$Q$2902,X$2,0)&lt;&gt;H1661,"Beam Revised","")</f>
        <v>#N/A</v>
      </c>
      <c r="Y1661" s="7" t="e">
        <f>IF(VLOOKUP($A1661,'Concrete Beam Schedule'!$A$2:$Q$2902,Y$2,0)&lt;&gt;I1661,"Beam Revised","")</f>
        <v>#N/A</v>
      </c>
      <c r="Z1661" s="7" t="e">
        <f>IF(VLOOKUP($A1661,'Concrete Beam Schedule'!$A$2:$Q$2902,Z$2,0)&lt;&gt;J1661,"Beam Revised","")</f>
        <v>#N/A</v>
      </c>
      <c r="AA1661" s="7" t="e">
        <f>IF(VLOOKUP($A1661,'Concrete Beam Schedule'!$A$2:$Q$2902,AA$2,0)&lt;&gt;K1661,"Beam Revised","")</f>
        <v>#N/A</v>
      </c>
      <c r="AB1661" s="7" t="e">
        <f>IF(VLOOKUP($A1661,'Concrete Beam Schedule'!$A$2:$Q$2902,AB$2,0)&lt;&gt;L1661,"Beam Revised","")</f>
        <v>#N/A</v>
      </c>
      <c r="AC1661" s="7" t="e">
        <f>IF(VLOOKUP($A1661,'Concrete Beam Schedule'!$A$2:$Q$2902,AC$2,0)&lt;&gt;M1661,"Beam Revised","")</f>
        <v>#N/A</v>
      </c>
      <c r="AD1661" s="7" t="e">
        <f>IF(VLOOKUP($A1661,'Concrete Beam Schedule'!$A$2:$Q$2902,AD$2,0)&lt;&gt;N1661,"Beam Revised","")</f>
        <v>#N/A</v>
      </c>
      <c r="AE1661" s="7" t="e">
        <f>IF(VLOOKUP($A1661,'Concrete Beam Schedule'!$A$2:$Q$2902,AE$2,0)&lt;&gt;O1661,"Beam Revised","")</f>
        <v>#N/A</v>
      </c>
    </row>
    <row r="1662" spans="17:31" ht="20.100000000000001" customHeight="1" x14ac:dyDescent="0.25">
      <c r="Q1662" s="7">
        <f t="shared" si="25"/>
        <v>0</v>
      </c>
      <c r="R1662" s="7" t="e">
        <f>IF(VLOOKUP($A1662,'Concrete Beam Schedule'!$A$2:$Q$2902,R$2,0)&lt;&gt;B1662,VLOOKUP($A1662,'Concrete Beam Schedule'!$A$2:$Q$2902,R$2,0),"")</f>
        <v>#N/A</v>
      </c>
      <c r="S1662" s="7" t="e">
        <f>IF(VLOOKUP($A1662,'Concrete Beam Schedule'!$A$2:$Q$2902,S$2,0)&lt;&gt;C1662,VLOOKUP($A1662,'Concrete Beam Schedule'!$A$2:$Q$2902,S$2,0),"")</f>
        <v>#N/A</v>
      </c>
      <c r="T1662" s="7" t="e">
        <f>IF(VLOOKUP($A1662,'Concrete Beam Schedule'!$A$2:$Q$2902,T$2,0)&lt;&gt;D1662,"Beam Revised","")</f>
        <v>#N/A</v>
      </c>
      <c r="U1662" s="7" t="e">
        <f>IF(VLOOKUP($A1662,'Concrete Beam Schedule'!$A$2:$Q$2902,U$2,0)&lt;&gt;E1662,"Beam Revised","")</f>
        <v>#N/A</v>
      </c>
      <c r="V1662" s="7" t="e">
        <f>IF(VLOOKUP($A1662,'Concrete Beam Schedule'!$A$2:$Q$2902,V$2,0)&lt;&gt;F1662,"Beam Revised","")</f>
        <v>#N/A</v>
      </c>
      <c r="W1662" s="7" t="e">
        <f>IF(VLOOKUP($A1662,'Concrete Beam Schedule'!$A$2:$Q$2902,W$2,0)&lt;&gt;G1662,"Beam Revised","")</f>
        <v>#N/A</v>
      </c>
      <c r="X1662" s="7" t="e">
        <f>IF(VLOOKUP($A1662,'Concrete Beam Schedule'!$A$2:$Q$2902,X$2,0)&lt;&gt;H1662,"Beam Revised","")</f>
        <v>#N/A</v>
      </c>
      <c r="Y1662" s="7" t="e">
        <f>IF(VLOOKUP($A1662,'Concrete Beam Schedule'!$A$2:$Q$2902,Y$2,0)&lt;&gt;I1662,"Beam Revised","")</f>
        <v>#N/A</v>
      </c>
      <c r="Z1662" s="7" t="e">
        <f>IF(VLOOKUP($A1662,'Concrete Beam Schedule'!$A$2:$Q$2902,Z$2,0)&lt;&gt;J1662,"Beam Revised","")</f>
        <v>#N/A</v>
      </c>
      <c r="AA1662" s="7" t="e">
        <f>IF(VLOOKUP($A1662,'Concrete Beam Schedule'!$A$2:$Q$2902,AA$2,0)&lt;&gt;K1662,"Beam Revised","")</f>
        <v>#N/A</v>
      </c>
      <c r="AB1662" s="7" t="e">
        <f>IF(VLOOKUP($A1662,'Concrete Beam Schedule'!$A$2:$Q$2902,AB$2,0)&lt;&gt;L1662,"Beam Revised","")</f>
        <v>#N/A</v>
      </c>
      <c r="AC1662" s="7" t="e">
        <f>IF(VLOOKUP($A1662,'Concrete Beam Schedule'!$A$2:$Q$2902,AC$2,0)&lt;&gt;M1662,"Beam Revised","")</f>
        <v>#N/A</v>
      </c>
      <c r="AD1662" s="7" t="e">
        <f>IF(VLOOKUP($A1662,'Concrete Beam Schedule'!$A$2:$Q$2902,AD$2,0)&lt;&gt;N1662,"Beam Revised","")</f>
        <v>#N/A</v>
      </c>
      <c r="AE1662" s="7" t="e">
        <f>IF(VLOOKUP($A1662,'Concrete Beam Schedule'!$A$2:$Q$2902,AE$2,0)&lt;&gt;O1662,"Beam Revised","")</f>
        <v>#N/A</v>
      </c>
    </row>
    <row r="1663" spans="17:31" ht="20.100000000000001" customHeight="1" x14ac:dyDescent="0.25">
      <c r="Q1663" s="7">
        <f t="shared" si="25"/>
        <v>0</v>
      </c>
      <c r="R1663" s="7" t="e">
        <f>IF(VLOOKUP($A1663,'Concrete Beam Schedule'!$A$2:$Q$2902,R$2,0)&lt;&gt;B1663,VLOOKUP($A1663,'Concrete Beam Schedule'!$A$2:$Q$2902,R$2,0),"")</f>
        <v>#N/A</v>
      </c>
      <c r="S1663" s="7" t="e">
        <f>IF(VLOOKUP($A1663,'Concrete Beam Schedule'!$A$2:$Q$2902,S$2,0)&lt;&gt;C1663,VLOOKUP($A1663,'Concrete Beam Schedule'!$A$2:$Q$2902,S$2,0),"")</f>
        <v>#N/A</v>
      </c>
      <c r="T1663" s="7" t="e">
        <f>IF(VLOOKUP($A1663,'Concrete Beam Schedule'!$A$2:$Q$2902,T$2,0)&lt;&gt;D1663,"Beam Revised","")</f>
        <v>#N/A</v>
      </c>
      <c r="U1663" s="7" t="e">
        <f>IF(VLOOKUP($A1663,'Concrete Beam Schedule'!$A$2:$Q$2902,U$2,0)&lt;&gt;E1663,"Beam Revised","")</f>
        <v>#N/A</v>
      </c>
      <c r="V1663" s="7" t="e">
        <f>IF(VLOOKUP($A1663,'Concrete Beam Schedule'!$A$2:$Q$2902,V$2,0)&lt;&gt;F1663,"Beam Revised","")</f>
        <v>#N/A</v>
      </c>
      <c r="W1663" s="7" t="e">
        <f>IF(VLOOKUP($A1663,'Concrete Beam Schedule'!$A$2:$Q$2902,W$2,0)&lt;&gt;G1663,"Beam Revised","")</f>
        <v>#N/A</v>
      </c>
      <c r="X1663" s="7" t="e">
        <f>IF(VLOOKUP($A1663,'Concrete Beam Schedule'!$A$2:$Q$2902,X$2,0)&lt;&gt;H1663,"Beam Revised","")</f>
        <v>#N/A</v>
      </c>
      <c r="Y1663" s="7" t="e">
        <f>IF(VLOOKUP($A1663,'Concrete Beam Schedule'!$A$2:$Q$2902,Y$2,0)&lt;&gt;I1663,"Beam Revised","")</f>
        <v>#N/A</v>
      </c>
      <c r="Z1663" s="7" t="e">
        <f>IF(VLOOKUP($A1663,'Concrete Beam Schedule'!$A$2:$Q$2902,Z$2,0)&lt;&gt;J1663,"Beam Revised","")</f>
        <v>#N/A</v>
      </c>
      <c r="AA1663" s="7" t="e">
        <f>IF(VLOOKUP($A1663,'Concrete Beam Schedule'!$A$2:$Q$2902,AA$2,0)&lt;&gt;K1663,"Beam Revised","")</f>
        <v>#N/A</v>
      </c>
      <c r="AB1663" s="7" t="e">
        <f>IF(VLOOKUP($A1663,'Concrete Beam Schedule'!$A$2:$Q$2902,AB$2,0)&lt;&gt;L1663,"Beam Revised","")</f>
        <v>#N/A</v>
      </c>
      <c r="AC1663" s="7" t="e">
        <f>IF(VLOOKUP($A1663,'Concrete Beam Schedule'!$A$2:$Q$2902,AC$2,0)&lt;&gt;M1663,"Beam Revised","")</f>
        <v>#N/A</v>
      </c>
      <c r="AD1663" s="7" t="e">
        <f>IF(VLOOKUP($A1663,'Concrete Beam Schedule'!$A$2:$Q$2902,AD$2,0)&lt;&gt;N1663,"Beam Revised","")</f>
        <v>#N/A</v>
      </c>
      <c r="AE1663" s="7" t="e">
        <f>IF(VLOOKUP($A1663,'Concrete Beam Schedule'!$A$2:$Q$2902,AE$2,0)&lt;&gt;O1663,"Beam Revised","")</f>
        <v>#N/A</v>
      </c>
    </row>
    <row r="1664" spans="17:31" ht="20.100000000000001" customHeight="1" x14ac:dyDescent="0.25">
      <c r="Q1664" s="7">
        <f t="shared" si="25"/>
        <v>0</v>
      </c>
      <c r="R1664" s="7" t="e">
        <f>IF(VLOOKUP($A1664,'Concrete Beam Schedule'!$A$2:$Q$2902,R$2,0)&lt;&gt;B1664,VLOOKUP($A1664,'Concrete Beam Schedule'!$A$2:$Q$2902,R$2,0),"")</f>
        <v>#N/A</v>
      </c>
      <c r="S1664" s="7" t="e">
        <f>IF(VLOOKUP($A1664,'Concrete Beam Schedule'!$A$2:$Q$2902,S$2,0)&lt;&gt;C1664,VLOOKUP($A1664,'Concrete Beam Schedule'!$A$2:$Q$2902,S$2,0),"")</f>
        <v>#N/A</v>
      </c>
      <c r="T1664" s="7" t="e">
        <f>IF(VLOOKUP($A1664,'Concrete Beam Schedule'!$A$2:$Q$2902,T$2,0)&lt;&gt;D1664,"Beam Revised","")</f>
        <v>#N/A</v>
      </c>
      <c r="U1664" s="7" t="e">
        <f>IF(VLOOKUP($A1664,'Concrete Beam Schedule'!$A$2:$Q$2902,U$2,0)&lt;&gt;E1664,"Beam Revised","")</f>
        <v>#N/A</v>
      </c>
      <c r="V1664" s="7" t="e">
        <f>IF(VLOOKUP($A1664,'Concrete Beam Schedule'!$A$2:$Q$2902,V$2,0)&lt;&gt;F1664,"Beam Revised","")</f>
        <v>#N/A</v>
      </c>
      <c r="W1664" s="7" t="e">
        <f>IF(VLOOKUP($A1664,'Concrete Beam Schedule'!$A$2:$Q$2902,W$2,0)&lt;&gt;G1664,"Beam Revised","")</f>
        <v>#N/A</v>
      </c>
      <c r="X1664" s="7" t="e">
        <f>IF(VLOOKUP($A1664,'Concrete Beam Schedule'!$A$2:$Q$2902,X$2,0)&lt;&gt;H1664,"Beam Revised","")</f>
        <v>#N/A</v>
      </c>
      <c r="Y1664" s="7" t="e">
        <f>IF(VLOOKUP($A1664,'Concrete Beam Schedule'!$A$2:$Q$2902,Y$2,0)&lt;&gt;I1664,"Beam Revised","")</f>
        <v>#N/A</v>
      </c>
      <c r="Z1664" s="7" t="e">
        <f>IF(VLOOKUP($A1664,'Concrete Beam Schedule'!$A$2:$Q$2902,Z$2,0)&lt;&gt;J1664,"Beam Revised","")</f>
        <v>#N/A</v>
      </c>
      <c r="AA1664" s="7" t="e">
        <f>IF(VLOOKUP($A1664,'Concrete Beam Schedule'!$A$2:$Q$2902,AA$2,0)&lt;&gt;K1664,"Beam Revised","")</f>
        <v>#N/A</v>
      </c>
      <c r="AB1664" s="7" t="e">
        <f>IF(VLOOKUP($A1664,'Concrete Beam Schedule'!$A$2:$Q$2902,AB$2,0)&lt;&gt;L1664,"Beam Revised","")</f>
        <v>#N/A</v>
      </c>
      <c r="AC1664" s="7" t="e">
        <f>IF(VLOOKUP($A1664,'Concrete Beam Schedule'!$A$2:$Q$2902,AC$2,0)&lt;&gt;M1664,"Beam Revised","")</f>
        <v>#N/A</v>
      </c>
      <c r="AD1664" s="7" t="e">
        <f>IF(VLOOKUP($A1664,'Concrete Beam Schedule'!$A$2:$Q$2902,AD$2,0)&lt;&gt;N1664,"Beam Revised","")</f>
        <v>#N/A</v>
      </c>
      <c r="AE1664" s="7" t="e">
        <f>IF(VLOOKUP($A1664,'Concrete Beam Schedule'!$A$2:$Q$2902,AE$2,0)&lt;&gt;O1664,"Beam Revised","")</f>
        <v>#N/A</v>
      </c>
    </row>
    <row r="1665" spans="17:31" ht="20.100000000000001" customHeight="1" x14ac:dyDescent="0.25">
      <c r="Q1665" s="7">
        <f t="shared" si="25"/>
        <v>0</v>
      </c>
      <c r="R1665" s="7" t="e">
        <f>IF(VLOOKUP($A1665,'Concrete Beam Schedule'!$A$2:$Q$2902,R$2,0)&lt;&gt;B1665,VLOOKUP($A1665,'Concrete Beam Schedule'!$A$2:$Q$2902,R$2,0),"")</f>
        <v>#N/A</v>
      </c>
      <c r="S1665" s="7" t="e">
        <f>IF(VLOOKUP($A1665,'Concrete Beam Schedule'!$A$2:$Q$2902,S$2,0)&lt;&gt;C1665,VLOOKUP($A1665,'Concrete Beam Schedule'!$A$2:$Q$2902,S$2,0),"")</f>
        <v>#N/A</v>
      </c>
      <c r="T1665" s="7" t="e">
        <f>IF(VLOOKUP($A1665,'Concrete Beam Schedule'!$A$2:$Q$2902,T$2,0)&lt;&gt;D1665,"Beam Revised","")</f>
        <v>#N/A</v>
      </c>
      <c r="U1665" s="7" t="e">
        <f>IF(VLOOKUP($A1665,'Concrete Beam Schedule'!$A$2:$Q$2902,U$2,0)&lt;&gt;E1665,"Beam Revised","")</f>
        <v>#N/A</v>
      </c>
      <c r="V1665" s="7" t="e">
        <f>IF(VLOOKUP($A1665,'Concrete Beam Schedule'!$A$2:$Q$2902,V$2,0)&lt;&gt;F1665,"Beam Revised","")</f>
        <v>#N/A</v>
      </c>
      <c r="W1665" s="7" t="e">
        <f>IF(VLOOKUP($A1665,'Concrete Beam Schedule'!$A$2:$Q$2902,W$2,0)&lt;&gt;G1665,"Beam Revised","")</f>
        <v>#N/A</v>
      </c>
      <c r="X1665" s="7" t="e">
        <f>IF(VLOOKUP($A1665,'Concrete Beam Schedule'!$A$2:$Q$2902,X$2,0)&lt;&gt;H1665,"Beam Revised","")</f>
        <v>#N/A</v>
      </c>
      <c r="Y1665" s="7" t="e">
        <f>IF(VLOOKUP($A1665,'Concrete Beam Schedule'!$A$2:$Q$2902,Y$2,0)&lt;&gt;I1665,"Beam Revised","")</f>
        <v>#N/A</v>
      </c>
      <c r="Z1665" s="7" t="e">
        <f>IF(VLOOKUP($A1665,'Concrete Beam Schedule'!$A$2:$Q$2902,Z$2,0)&lt;&gt;J1665,"Beam Revised","")</f>
        <v>#N/A</v>
      </c>
      <c r="AA1665" s="7" t="e">
        <f>IF(VLOOKUP($A1665,'Concrete Beam Schedule'!$A$2:$Q$2902,AA$2,0)&lt;&gt;K1665,"Beam Revised","")</f>
        <v>#N/A</v>
      </c>
      <c r="AB1665" s="7" t="e">
        <f>IF(VLOOKUP($A1665,'Concrete Beam Schedule'!$A$2:$Q$2902,AB$2,0)&lt;&gt;L1665,"Beam Revised","")</f>
        <v>#N/A</v>
      </c>
      <c r="AC1665" s="7" t="e">
        <f>IF(VLOOKUP($A1665,'Concrete Beam Schedule'!$A$2:$Q$2902,AC$2,0)&lt;&gt;M1665,"Beam Revised","")</f>
        <v>#N/A</v>
      </c>
      <c r="AD1665" s="7" t="e">
        <f>IF(VLOOKUP($A1665,'Concrete Beam Schedule'!$A$2:$Q$2902,AD$2,0)&lt;&gt;N1665,"Beam Revised","")</f>
        <v>#N/A</v>
      </c>
      <c r="AE1665" s="7" t="e">
        <f>IF(VLOOKUP($A1665,'Concrete Beam Schedule'!$A$2:$Q$2902,AE$2,0)&lt;&gt;O1665,"Beam Revised","")</f>
        <v>#N/A</v>
      </c>
    </row>
    <row r="1666" spans="17:31" ht="20.100000000000001" customHeight="1" x14ac:dyDescent="0.25">
      <c r="Q1666" s="7">
        <f t="shared" si="25"/>
        <v>0</v>
      </c>
      <c r="R1666" s="7" t="e">
        <f>IF(VLOOKUP($A1666,'Concrete Beam Schedule'!$A$2:$Q$2902,R$2,0)&lt;&gt;B1666,VLOOKUP($A1666,'Concrete Beam Schedule'!$A$2:$Q$2902,R$2,0),"")</f>
        <v>#N/A</v>
      </c>
      <c r="S1666" s="7" t="e">
        <f>IF(VLOOKUP($A1666,'Concrete Beam Schedule'!$A$2:$Q$2902,S$2,0)&lt;&gt;C1666,VLOOKUP($A1666,'Concrete Beam Schedule'!$A$2:$Q$2902,S$2,0),"")</f>
        <v>#N/A</v>
      </c>
      <c r="T1666" s="7" t="e">
        <f>IF(VLOOKUP($A1666,'Concrete Beam Schedule'!$A$2:$Q$2902,T$2,0)&lt;&gt;D1666,"Beam Revised","")</f>
        <v>#N/A</v>
      </c>
      <c r="U1666" s="7" t="e">
        <f>IF(VLOOKUP($A1666,'Concrete Beam Schedule'!$A$2:$Q$2902,U$2,0)&lt;&gt;E1666,"Beam Revised","")</f>
        <v>#N/A</v>
      </c>
      <c r="V1666" s="7" t="e">
        <f>IF(VLOOKUP($A1666,'Concrete Beam Schedule'!$A$2:$Q$2902,V$2,0)&lt;&gt;F1666,"Beam Revised","")</f>
        <v>#N/A</v>
      </c>
      <c r="W1666" s="7" t="e">
        <f>IF(VLOOKUP($A1666,'Concrete Beam Schedule'!$A$2:$Q$2902,W$2,0)&lt;&gt;G1666,"Beam Revised","")</f>
        <v>#N/A</v>
      </c>
      <c r="X1666" s="7" t="e">
        <f>IF(VLOOKUP($A1666,'Concrete Beam Schedule'!$A$2:$Q$2902,X$2,0)&lt;&gt;H1666,"Beam Revised","")</f>
        <v>#N/A</v>
      </c>
      <c r="Y1666" s="7" t="e">
        <f>IF(VLOOKUP($A1666,'Concrete Beam Schedule'!$A$2:$Q$2902,Y$2,0)&lt;&gt;I1666,"Beam Revised","")</f>
        <v>#N/A</v>
      </c>
      <c r="Z1666" s="7" t="e">
        <f>IF(VLOOKUP($A1666,'Concrete Beam Schedule'!$A$2:$Q$2902,Z$2,0)&lt;&gt;J1666,"Beam Revised","")</f>
        <v>#N/A</v>
      </c>
      <c r="AA1666" s="7" t="e">
        <f>IF(VLOOKUP($A1666,'Concrete Beam Schedule'!$A$2:$Q$2902,AA$2,0)&lt;&gt;K1666,"Beam Revised","")</f>
        <v>#N/A</v>
      </c>
      <c r="AB1666" s="7" t="e">
        <f>IF(VLOOKUP($A1666,'Concrete Beam Schedule'!$A$2:$Q$2902,AB$2,0)&lt;&gt;L1666,"Beam Revised","")</f>
        <v>#N/A</v>
      </c>
      <c r="AC1666" s="7" t="e">
        <f>IF(VLOOKUP($A1666,'Concrete Beam Schedule'!$A$2:$Q$2902,AC$2,0)&lt;&gt;M1666,"Beam Revised","")</f>
        <v>#N/A</v>
      </c>
      <c r="AD1666" s="7" t="e">
        <f>IF(VLOOKUP($A1666,'Concrete Beam Schedule'!$A$2:$Q$2902,AD$2,0)&lt;&gt;N1666,"Beam Revised","")</f>
        <v>#N/A</v>
      </c>
      <c r="AE1666" s="7" t="e">
        <f>IF(VLOOKUP($A1666,'Concrete Beam Schedule'!$A$2:$Q$2902,AE$2,0)&lt;&gt;O1666,"Beam Revised","")</f>
        <v>#N/A</v>
      </c>
    </row>
    <row r="1667" spans="17:31" ht="20.100000000000001" customHeight="1" x14ac:dyDescent="0.25">
      <c r="Q1667" s="7">
        <f t="shared" si="25"/>
        <v>0</v>
      </c>
      <c r="R1667" s="7" t="e">
        <f>IF(VLOOKUP($A1667,'Concrete Beam Schedule'!$A$2:$Q$2902,R$2,0)&lt;&gt;B1667,VLOOKUP($A1667,'Concrete Beam Schedule'!$A$2:$Q$2902,R$2,0),"")</f>
        <v>#N/A</v>
      </c>
      <c r="S1667" s="7" t="e">
        <f>IF(VLOOKUP($A1667,'Concrete Beam Schedule'!$A$2:$Q$2902,S$2,0)&lt;&gt;C1667,VLOOKUP($A1667,'Concrete Beam Schedule'!$A$2:$Q$2902,S$2,0),"")</f>
        <v>#N/A</v>
      </c>
      <c r="T1667" s="7" t="e">
        <f>IF(VLOOKUP($A1667,'Concrete Beam Schedule'!$A$2:$Q$2902,T$2,0)&lt;&gt;D1667,"Beam Revised","")</f>
        <v>#N/A</v>
      </c>
      <c r="U1667" s="7" t="e">
        <f>IF(VLOOKUP($A1667,'Concrete Beam Schedule'!$A$2:$Q$2902,U$2,0)&lt;&gt;E1667,"Beam Revised","")</f>
        <v>#N/A</v>
      </c>
      <c r="V1667" s="7" t="e">
        <f>IF(VLOOKUP($A1667,'Concrete Beam Schedule'!$A$2:$Q$2902,V$2,0)&lt;&gt;F1667,"Beam Revised","")</f>
        <v>#N/A</v>
      </c>
      <c r="W1667" s="7" t="e">
        <f>IF(VLOOKUP($A1667,'Concrete Beam Schedule'!$A$2:$Q$2902,W$2,0)&lt;&gt;G1667,"Beam Revised","")</f>
        <v>#N/A</v>
      </c>
      <c r="X1667" s="7" t="e">
        <f>IF(VLOOKUP($A1667,'Concrete Beam Schedule'!$A$2:$Q$2902,X$2,0)&lt;&gt;H1667,"Beam Revised","")</f>
        <v>#N/A</v>
      </c>
      <c r="Y1667" s="7" t="e">
        <f>IF(VLOOKUP($A1667,'Concrete Beam Schedule'!$A$2:$Q$2902,Y$2,0)&lt;&gt;I1667,"Beam Revised","")</f>
        <v>#N/A</v>
      </c>
      <c r="Z1667" s="7" t="e">
        <f>IF(VLOOKUP($A1667,'Concrete Beam Schedule'!$A$2:$Q$2902,Z$2,0)&lt;&gt;J1667,"Beam Revised","")</f>
        <v>#N/A</v>
      </c>
      <c r="AA1667" s="7" t="e">
        <f>IF(VLOOKUP($A1667,'Concrete Beam Schedule'!$A$2:$Q$2902,AA$2,0)&lt;&gt;K1667,"Beam Revised","")</f>
        <v>#N/A</v>
      </c>
      <c r="AB1667" s="7" t="e">
        <f>IF(VLOOKUP($A1667,'Concrete Beam Schedule'!$A$2:$Q$2902,AB$2,0)&lt;&gt;L1667,"Beam Revised","")</f>
        <v>#N/A</v>
      </c>
      <c r="AC1667" s="7" t="e">
        <f>IF(VLOOKUP($A1667,'Concrete Beam Schedule'!$A$2:$Q$2902,AC$2,0)&lt;&gt;M1667,"Beam Revised","")</f>
        <v>#N/A</v>
      </c>
      <c r="AD1667" s="7" t="e">
        <f>IF(VLOOKUP($A1667,'Concrete Beam Schedule'!$A$2:$Q$2902,AD$2,0)&lt;&gt;N1667,"Beam Revised","")</f>
        <v>#N/A</v>
      </c>
      <c r="AE1667" s="7" t="e">
        <f>IF(VLOOKUP($A1667,'Concrete Beam Schedule'!$A$2:$Q$2902,AE$2,0)&lt;&gt;O1667,"Beam Revised","")</f>
        <v>#N/A</v>
      </c>
    </row>
    <row r="1668" spans="17:31" ht="20.100000000000001" customHeight="1" x14ac:dyDescent="0.25">
      <c r="Q1668" s="7">
        <f t="shared" ref="Q1668:Q1731" si="26">A1668</f>
        <v>0</v>
      </c>
      <c r="R1668" s="7" t="e">
        <f>IF(VLOOKUP($A1668,'Concrete Beam Schedule'!$A$2:$Q$2902,R$2,0)&lt;&gt;B1668,VLOOKUP($A1668,'Concrete Beam Schedule'!$A$2:$Q$2902,R$2,0),"")</f>
        <v>#N/A</v>
      </c>
      <c r="S1668" s="7" t="e">
        <f>IF(VLOOKUP($A1668,'Concrete Beam Schedule'!$A$2:$Q$2902,S$2,0)&lt;&gt;C1668,VLOOKUP($A1668,'Concrete Beam Schedule'!$A$2:$Q$2902,S$2,0),"")</f>
        <v>#N/A</v>
      </c>
      <c r="T1668" s="7" t="e">
        <f>IF(VLOOKUP($A1668,'Concrete Beam Schedule'!$A$2:$Q$2902,T$2,0)&lt;&gt;D1668,"Beam Revised","")</f>
        <v>#N/A</v>
      </c>
      <c r="U1668" s="7" t="e">
        <f>IF(VLOOKUP($A1668,'Concrete Beam Schedule'!$A$2:$Q$2902,U$2,0)&lt;&gt;E1668,"Beam Revised","")</f>
        <v>#N/A</v>
      </c>
      <c r="V1668" s="7" t="e">
        <f>IF(VLOOKUP($A1668,'Concrete Beam Schedule'!$A$2:$Q$2902,V$2,0)&lt;&gt;F1668,"Beam Revised","")</f>
        <v>#N/A</v>
      </c>
      <c r="W1668" s="7" t="e">
        <f>IF(VLOOKUP($A1668,'Concrete Beam Schedule'!$A$2:$Q$2902,W$2,0)&lt;&gt;G1668,"Beam Revised","")</f>
        <v>#N/A</v>
      </c>
      <c r="X1668" s="7" t="e">
        <f>IF(VLOOKUP($A1668,'Concrete Beam Schedule'!$A$2:$Q$2902,X$2,0)&lt;&gt;H1668,"Beam Revised","")</f>
        <v>#N/A</v>
      </c>
      <c r="Y1668" s="7" t="e">
        <f>IF(VLOOKUP($A1668,'Concrete Beam Schedule'!$A$2:$Q$2902,Y$2,0)&lt;&gt;I1668,"Beam Revised","")</f>
        <v>#N/A</v>
      </c>
      <c r="Z1668" s="7" t="e">
        <f>IF(VLOOKUP($A1668,'Concrete Beam Schedule'!$A$2:$Q$2902,Z$2,0)&lt;&gt;J1668,"Beam Revised","")</f>
        <v>#N/A</v>
      </c>
      <c r="AA1668" s="7" t="e">
        <f>IF(VLOOKUP($A1668,'Concrete Beam Schedule'!$A$2:$Q$2902,AA$2,0)&lt;&gt;K1668,"Beam Revised","")</f>
        <v>#N/A</v>
      </c>
      <c r="AB1668" s="7" t="e">
        <f>IF(VLOOKUP($A1668,'Concrete Beam Schedule'!$A$2:$Q$2902,AB$2,0)&lt;&gt;L1668,"Beam Revised","")</f>
        <v>#N/A</v>
      </c>
      <c r="AC1668" s="7" t="e">
        <f>IF(VLOOKUP($A1668,'Concrete Beam Schedule'!$A$2:$Q$2902,AC$2,0)&lt;&gt;M1668,"Beam Revised","")</f>
        <v>#N/A</v>
      </c>
      <c r="AD1668" s="7" t="e">
        <f>IF(VLOOKUP($A1668,'Concrete Beam Schedule'!$A$2:$Q$2902,AD$2,0)&lt;&gt;N1668,"Beam Revised","")</f>
        <v>#N/A</v>
      </c>
      <c r="AE1668" s="7" t="e">
        <f>IF(VLOOKUP($A1668,'Concrete Beam Schedule'!$A$2:$Q$2902,AE$2,0)&lt;&gt;O1668,"Beam Revised","")</f>
        <v>#N/A</v>
      </c>
    </row>
    <row r="1669" spans="17:31" ht="20.100000000000001" customHeight="1" x14ac:dyDescent="0.25">
      <c r="Q1669" s="7">
        <f t="shared" si="26"/>
        <v>0</v>
      </c>
      <c r="R1669" s="7" t="e">
        <f>IF(VLOOKUP($A1669,'Concrete Beam Schedule'!$A$2:$Q$2902,R$2,0)&lt;&gt;B1669,VLOOKUP($A1669,'Concrete Beam Schedule'!$A$2:$Q$2902,R$2,0),"")</f>
        <v>#N/A</v>
      </c>
      <c r="S1669" s="7" t="e">
        <f>IF(VLOOKUP($A1669,'Concrete Beam Schedule'!$A$2:$Q$2902,S$2,0)&lt;&gt;C1669,VLOOKUP($A1669,'Concrete Beam Schedule'!$A$2:$Q$2902,S$2,0),"")</f>
        <v>#N/A</v>
      </c>
      <c r="T1669" s="7" t="e">
        <f>IF(VLOOKUP($A1669,'Concrete Beam Schedule'!$A$2:$Q$2902,T$2,0)&lt;&gt;D1669,"Beam Revised","")</f>
        <v>#N/A</v>
      </c>
      <c r="U1669" s="7" t="e">
        <f>IF(VLOOKUP($A1669,'Concrete Beam Schedule'!$A$2:$Q$2902,U$2,0)&lt;&gt;E1669,"Beam Revised","")</f>
        <v>#N/A</v>
      </c>
      <c r="V1669" s="7" t="e">
        <f>IF(VLOOKUP($A1669,'Concrete Beam Schedule'!$A$2:$Q$2902,V$2,0)&lt;&gt;F1669,"Beam Revised","")</f>
        <v>#N/A</v>
      </c>
      <c r="W1669" s="7" t="e">
        <f>IF(VLOOKUP($A1669,'Concrete Beam Schedule'!$A$2:$Q$2902,W$2,0)&lt;&gt;G1669,"Beam Revised","")</f>
        <v>#N/A</v>
      </c>
      <c r="X1669" s="7" t="e">
        <f>IF(VLOOKUP($A1669,'Concrete Beam Schedule'!$A$2:$Q$2902,X$2,0)&lt;&gt;H1669,"Beam Revised","")</f>
        <v>#N/A</v>
      </c>
      <c r="Y1669" s="7" t="e">
        <f>IF(VLOOKUP($A1669,'Concrete Beam Schedule'!$A$2:$Q$2902,Y$2,0)&lt;&gt;I1669,"Beam Revised","")</f>
        <v>#N/A</v>
      </c>
      <c r="Z1669" s="7" t="e">
        <f>IF(VLOOKUP($A1669,'Concrete Beam Schedule'!$A$2:$Q$2902,Z$2,0)&lt;&gt;J1669,"Beam Revised","")</f>
        <v>#N/A</v>
      </c>
      <c r="AA1669" s="7" t="e">
        <f>IF(VLOOKUP($A1669,'Concrete Beam Schedule'!$A$2:$Q$2902,AA$2,0)&lt;&gt;K1669,"Beam Revised","")</f>
        <v>#N/A</v>
      </c>
      <c r="AB1669" s="7" t="e">
        <f>IF(VLOOKUP($A1669,'Concrete Beam Schedule'!$A$2:$Q$2902,AB$2,0)&lt;&gt;L1669,"Beam Revised","")</f>
        <v>#N/A</v>
      </c>
      <c r="AC1669" s="7" t="e">
        <f>IF(VLOOKUP($A1669,'Concrete Beam Schedule'!$A$2:$Q$2902,AC$2,0)&lt;&gt;M1669,"Beam Revised","")</f>
        <v>#N/A</v>
      </c>
      <c r="AD1669" s="7" t="e">
        <f>IF(VLOOKUP($A1669,'Concrete Beam Schedule'!$A$2:$Q$2902,AD$2,0)&lt;&gt;N1669,"Beam Revised","")</f>
        <v>#N/A</v>
      </c>
      <c r="AE1669" s="7" t="e">
        <f>IF(VLOOKUP($A1669,'Concrete Beam Schedule'!$A$2:$Q$2902,AE$2,0)&lt;&gt;O1669,"Beam Revised","")</f>
        <v>#N/A</v>
      </c>
    </row>
    <row r="1670" spans="17:31" ht="20.100000000000001" customHeight="1" x14ac:dyDescent="0.25">
      <c r="Q1670" s="7">
        <f t="shared" si="26"/>
        <v>0</v>
      </c>
      <c r="R1670" s="7" t="e">
        <f>IF(VLOOKUP($A1670,'Concrete Beam Schedule'!$A$2:$Q$2902,R$2,0)&lt;&gt;B1670,VLOOKUP($A1670,'Concrete Beam Schedule'!$A$2:$Q$2902,R$2,0),"")</f>
        <v>#N/A</v>
      </c>
      <c r="S1670" s="7" t="e">
        <f>IF(VLOOKUP($A1670,'Concrete Beam Schedule'!$A$2:$Q$2902,S$2,0)&lt;&gt;C1670,VLOOKUP($A1670,'Concrete Beam Schedule'!$A$2:$Q$2902,S$2,0),"")</f>
        <v>#N/A</v>
      </c>
      <c r="T1670" s="7" t="e">
        <f>IF(VLOOKUP($A1670,'Concrete Beam Schedule'!$A$2:$Q$2902,T$2,0)&lt;&gt;D1670,"Beam Revised","")</f>
        <v>#N/A</v>
      </c>
      <c r="U1670" s="7" t="e">
        <f>IF(VLOOKUP($A1670,'Concrete Beam Schedule'!$A$2:$Q$2902,U$2,0)&lt;&gt;E1670,"Beam Revised","")</f>
        <v>#N/A</v>
      </c>
      <c r="V1670" s="7" t="e">
        <f>IF(VLOOKUP($A1670,'Concrete Beam Schedule'!$A$2:$Q$2902,V$2,0)&lt;&gt;F1670,"Beam Revised","")</f>
        <v>#N/A</v>
      </c>
      <c r="W1670" s="7" t="e">
        <f>IF(VLOOKUP($A1670,'Concrete Beam Schedule'!$A$2:$Q$2902,W$2,0)&lt;&gt;G1670,"Beam Revised","")</f>
        <v>#N/A</v>
      </c>
      <c r="X1670" s="7" t="e">
        <f>IF(VLOOKUP($A1670,'Concrete Beam Schedule'!$A$2:$Q$2902,X$2,0)&lt;&gt;H1670,"Beam Revised","")</f>
        <v>#N/A</v>
      </c>
      <c r="Y1670" s="7" t="e">
        <f>IF(VLOOKUP($A1670,'Concrete Beam Schedule'!$A$2:$Q$2902,Y$2,0)&lt;&gt;I1670,"Beam Revised","")</f>
        <v>#N/A</v>
      </c>
      <c r="Z1670" s="7" t="e">
        <f>IF(VLOOKUP($A1670,'Concrete Beam Schedule'!$A$2:$Q$2902,Z$2,0)&lt;&gt;J1670,"Beam Revised","")</f>
        <v>#N/A</v>
      </c>
      <c r="AA1670" s="7" t="e">
        <f>IF(VLOOKUP($A1670,'Concrete Beam Schedule'!$A$2:$Q$2902,AA$2,0)&lt;&gt;K1670,"Beam Revised","")</f>
        <v>#N/A</v>
      </c>
      <c r="AB1670" s="7" t="e">
        <f>IF(VLOOKUP($A1670,'Concrete Beam Schedule'!$A$2:$Q$2902,AB$2,0)&lt;&gt;L1670,"Beam Revised","")</f>
        <v>#N/A</v>
      </c>
      <c r="AC1670" s="7" t="e">
        <f>IF(VLOOKUP($A1670,'Concrete Beam Schedule'!$A$2:$Q$2902,AC$2,0)&lt;&gt;M1670,"Beam Revised","")</f>
        <v>#N/A</v>
      </c>
      <c r="AD1670" s="7" t="e">
        <f>IF(VLOOKUP($A1670,'Concrete Beam Schedule'!$A$2:$Q$2902,AD$2,0)&lt;&gt;N1670,"Beam Revised","")</f>
        <v>#N/A</v>
      </c>
      <c r="AE1670" s="7" t="e">
        <f>IF(VLOOKUP($A1670,'Concrete Beam Schedule'!$A$2:$Q$2902,AE$2,0)&lt;&gt;O1670,"Beam Revised","")</f>
        <v>#N/A</v>
      </c>
    </row>
    <row r="1671" spans="17:31" ht="20.100000000000001" customHeight="1" x14ac:dyDescent="0.25">
      <c r="Q1671" s="7">
        <f t="shared" si="26"/>
        <v>0</v>
      </c>
      <c r="R1671" s="7" t="e">
        <f>IF(VLOOKUP($A1671,'Concrete Beam Schedule'!$A$2:$Q$2902,R$2,0)&lt;&gt;B1671,VLOOKUP($A1671,'Concrete Beam Schedule'!$A$2:$Q$2902,R$2,0),"")</f>
        <v>#N/A</v>
      </c>
      <c r="S1671" s="7" t="e">
        <f>IF(VLOOKUP($A1671,'Concrete Beam Schedule'!$A$2:$Q$2902,S$2,0)&lt;&gt;C1671,VLOOKUP($A1671,'Concrete Beam Schedule'!$A$2:$Q$2902,S$2,0),"")</f>
        <v>#N/A</v>
      </c>
      <c r="T1671" s="7" t="e">
        <f>IF(VLOOKUP($A1671,'Concrete Beam Schedule'!$A$2:$Q$2902,T$2,0)&lt;&gt;D1671,"Beam Revised","")</f>
        <v>#N/A</v>
      </c>
      <c r="U1671" s="7" t="e">
        <f>IF(VLOOKUP($A1671,'Concrete Beam Schedule'!$A$2:$Q$2902,U$2,0)&lt;&gt;E1671,"Beam Revised","")</f>
        <v>#N/A</v>
      </c>
      <c r="V1671" s="7" t="e">
        <f>IF(VLOOKUP($A1671,'Concrete Beam Schedule'!$A$2:$Q$2902,V$2,0)&lt;&gt;F1671,"Beam Revised","")</f>
        <v>#N/A</v>
      </c>
      <c r="W1671" s="7" t="e">
        <f>IF(VLOOKUP($A1671,'Concrete Beam Schedule'!$A$2:$Q$2902,W$2,0)&lt;&gt;G1671,"Beam Revised","")</f>
        <v>#N/A</v>
      </c>
      <c r="X1671" s="7" t="e">
        <f>IF(VLOOKUP($A1671,'Concrete Beam Schedule'!$A$2:$Q$2902,X$2,0)&lt;&gt;H1671,"Beam Revised","")</f>
        <v>#N/A</v>
      </c>
      <c r="Y1671" s="7" t="e">
        <f>IF(VLOOKUP($A1671,'Concrete Beam Schedule'!$A$2:$Q$2902,Y$2,0)&lt;&gt;I1671,"Beam Revised","")</f>
        <v>#N/A</v>
      </c>
      <c r="Z1671" s="7" t="e">
        <f>IF(VLOOKUP($A1671,'Concrete Beam Schedule'!$A$2:$Q$2902,Z$2,0)&lt;&gt;J1671,"Beam Revised","")</f>
        <v>#N/A</v>
      </c>
      <c r="AA1671" s="7" t="e">
        <f>IF(VLOOKUP($A1671,'Concrete Beam Schedule'!$A$2:$Q$2902,AA$2,0)&lt;&gt;K1671,"Beam Revised","")</f>
        <v>#N/A</v>
      </c>
      <c r="AB1671" s="7" t="e">
        <f>IF(VLOOKUP($A1671,'Concrete Beam Schedule'!$A$2:$Q$2902,AB$2,0)&lt;&gt;L1671,"Beam Revised","")</f>
        <v>#N/A</v>
      </c>
      <c r="AC1671" s="7" t="e">
        <f>IF(VLOOKUP($A1671,'Concrete Beam Schedule'!$A$2:$Q$2902,AC$2,0)&lt;&gt;M1671,"Beam Revised","")</f>
        <v>#N/A</v>
      </c>
      <c r="AD1671" s="7" t="e">
        <f>IF(VLOOKUP($A1671,'Concrete Beam Schedule'!$A$2:$Q$2902,AD$2,0)&lt;&gt;N1671,"Beam Revised","")</f>
        <v>#N/A</v>
      </c>
      <c r="AE1671" s="7" t="e">
        <f>IF(VLOOKUP($A1671,'Concrete Beam Schedule'!$A$2:$Q$2902,AE$2,0)&lt;&gt;O1671,"Beam Revised","")</f>
        <v>#N/A</v>
      </c>
    </row>
    <row r="1672" spans="17:31" ht="20.100000000000001" customHeight="1" x14ac:dyDescent="0.25">
      <c r="Q1672" s="7">
        <f t="shared" si="26"/>
        <v>0</v>
      </c>
      <c r="R1672" s="7" t="e">
        <f>IF(VLOOKUP($A1672,'Concrete Beam Schedule'!$A$2:$Q$2902,R$2,0)&lt;&gt;B1672,VLOOKUP($A1672,'Concrete Beam Schedule'!$A$2:$Q$2902,R$2,0),"")</f>
        <v>#N/A</v>
      </c>
      <c r="S1672" s="7" t="e">
        <f>IF(VLOOKUP($A1672,'Concrete Beam Schedule'!$A$2:$Q$2902,S$2,0)&lt;&gt;C1672,VLOOKUP($A1672,'Concrete Beam Schedule'!$A$2:$Q$2902,S$2,0),"")</f>
        <v>#N/A</v>
      </c>
      <c r="T1672" s="7" t="e">
        <f>IF(VLOOKUP($A1672,'Concrete Beam Schedule'!$A$2:$Q$2902,T$2,0)&lt;&gt;D1672,"Beam Revised","")</f>
        <v>#N/A</v>
      </c>
      <c r="U1672" s="7" t="e">
        <f>IF(VLOOKUP($A1672,'Concrete Beam Schedule'!$A$2:$Q$2902,U$2,0)&lt;&gt;E1672,"Beam Revised","")</f>
        <v>#N/A</v>
      </c>
      <c r="V1672" s="7" t="e">
        <f>IF(VLOOKUP($A1672,'Concrete Beam Schedule'!$A$2:$Q$2902,V$2,0)&lt;&gt;F1672,"Beam Revised","")</f>
        <v>#N/A</v>
      </c>
      <c r="W1672" s="7" t="e">
        <f>IF(VLOOKUP($A1672,'Concrete Beam Schedule'!$A$2:$Q$2902,W$2,0)&lt;&gt;G1672,"Beam Revised","")</f>
        <v>#N/A</v>
      </c>
      <c r="X1672" s="7" t="e">
        <f>IF(VLOOKUP($A1672,'Concrete Beam Schedule'!$A$2:$Q$2902,X$2,0)&lt;&gt;H1672,"Beam Revised","")</f>
        <v>#N/A</v>
      </c>
      <c r="Y1672" s="7" t="e">
        <f>IF(VLOOKUP($A1672,'Concrete Beam Schedule'!$A$2:$Q$2902,Y$2,0)&lt;&gt;I1672,"Beam Revised","")</f>
        <v>#N/A</v>
      </c>
      <c r="Z1672" s="7" t="e">
        <f>IF(VLOOKUP($A1672,'Concrete Beam Schedule'!$A$2:$Q$2902,Z$2,0)&lt;&gt;J1672,"Beam Revised","")</f>
        <v>#N/A</v>
      </c>
      <c r="AA1672" s="7" t="e">
        <f>IF(VLOOKUP($A1672,'Concrete Beam Schedule'!$A$2:$Q$2902,AA$2,0)&lt;&gt;K1672,"Beam Revised","")</f>
        <v>#N/A</v>
      </c>
      <c r="AB1672" s="7" t="e">
        <f>IF(VLOOKUP($A1672,'Concrete Beam Schedule'!$A$2:$Q$2902,AB$2,0)&lt;&gt;L1672,"Beam Revised","")</f>
        <v>#N/A</v>
      </c>
      <c r="AC1672" s="7" t="e">
        <f>IF(VLOOKUP($A1672,'Concrete Beam Schedule'!$A$2:$Q$2902,AC$2,0)&lt;&gt;M1672,"Beam Revised","")</f>
        <v>#N/A</v>
      </c>
      <c r="AD1672" s="7" t="e">
        <f>IF(VLOOKUP($A1672,'Concrete Beam Schedule'!$A$2:$Q$2902,AD$2,0)&lt;&gt;N1672,"Beam Revised","")</f>
        <v>#N/A</v>
      </c>
      <c r="AE1672" s="7" t="e">
        <f>IF(VLOOKUP($A1672,'Concrete Beam Schedule'!$A$2:$Q$2902,AE$2,0)&lt;&gt;O1672,"Beam Revised","")</f>
        <v>#N/A</v>
      </c>
    </row>
    <row r="1673" spans="17:31" ht="20.100000000000001" customHeight="1" x14ac:dyDescent="0.25">
      <c r="Q1673" s="7">
        <f t="shared" si="26"/>
        <v>0</v>
      </c>
      <c r="R1673" s="7" t="e">
        <f>IF(VLOOKUP($A1673,'Concrete Beam Schedule'!$A$2:$Q$2902,R$2,0)&lt;&gt;B1673,VLOOKUP($A1673,'Concrete Beam Schedule'!$A$2:$Q$2902,R$2,0),"")</f>
        <v>#N/A</v>
      </c>
      <c r="S1673" s="7" t="e">
        <f>IF(VLOOKUP($A1673,'Concrete Beam Schedule'!$A$2:$Q$2902,S$2,0)&lt;&gt;C1673,VLOOKUP($A1673,'Concrete Beam Schedule'!$A$2:$Q$2902,S$2,0),"")</f>
        <v>#N/A</v>
      </c>
      <c r="T1673" s="7" t="e">
        <f>IF(VLOOKUP($A1673,'Concrete Beam Schedule'!$A$2:$Q$2902,T$2,0)&lt;&gt;D1673,"Beam Revised","")</f>
        <v>#N/A</v>
      </c>
      <c r="U1673" s="7" t="e">
        <f>IF(VLOOKUP($A1673,'Concrete Beam Schedule'!$A$2:$Q$2902,U$2,0)&lt;&gt;E1673,"Beam Revised","")</f>
        <v>#N/A</v>
      </c>
      <c r="V1673" s="7" t="e">
        <f>IF(VLOOKUP($A1673,'Concrete Beam Schedule'!$A$2:$Q$2902,V$2,0)&lt;&gt;F1673,"Beam Revised","")</f>
        <v>#N/A</v>
      </c>
      <c r="W1673" s="7" t="e">
        <f>IF(VLOOKUP($A1673,'Concrete Beam Schedule'!$A$2:$Q$2902,W$2,0)&lt;&gt;G1673,"Beam Revised","")</f>
        <v>#N/A</v>
      </c>
      <c r="X1673" s="7" t="e">
        <f>IF(VLOOKUP($A1673,'Concrete Beam Schedule'!$A$2:$Q$2902,X$2,0)&lt;&gt;H1673,"Beam Revised","")</f>
        <v>#N/A</v>
      </c>
      <c r="Y1673" s="7" t="e">
        <f>IF(VLOOKUP($A1673,'Concrete Beam Schedule'!$A$2:$Q$2902,Y$2,0)&lt;&gt;I1673,"Beam Revised","")</f>
        <v>#N/A</v>
      </c>
      <c r="Z1673" s="7" t="e">
        <f>IF(VLOOKUP($A1673,'Concrete Beam Schedule'!$A$2:$Q$2902,Z$2,0)&lt;&gt;J1673,"Beam Revised","")</f>
        <v>#N/A</v>
      </c>
      <c r="AA1673" s="7" t="e">
        <f>IF(VLOOKUP($A1673,'Concrete Beam Schedule'!$A$2:$Q$2902,AA$2,0)&lt;&gt;K1673,"Beam Revised","")</f>
        <v>#N/A</v>
      </c>
      <c r="AB1673" s="7" t="e">
        <f>IF(VLOOKUP($A1673,'Concrete Beam Schedule'!$A$2:$Q$2902,AB$2,0)&lt;&gt;L1673,"Beam Revised","")</f>
        <v>#N/A</v>
      </c>
      <c r="AC1673" s="7" t="e">
        <f>IF(VLOOKUP($A1673,'Concrete Beam Schedule'!$A$2:$Q$2902,AC$2,0)&lt;&gt;M1673,"Beam Revised","")</f>
        <v>#N/A</v>
      </c>
      <c r="AD1673" s="7" t="e">
        <f>IF(VLOOKUP($A1673,'Concrete Beam Schedule'!$A$2:$Q$2902,AD$2,0)&lt;&gt;N1673,"Beam Revised","")</f>
        <v>#N/A</v>
      </c>
      <c r="AE1673" s="7" t="e">
        <f>IF(VLOOKUP($A1673,'Concrete Beam Schedule'!$A$2:$Q$2902,AE$2,0)&lt;&gt;O1673,"Beam Revised","")</f>
        <v>#N/A</v>
      </c>
    </row>
    <row r="1674" spans="17:31" ht="20.100000000000001" customHeight="1" x14ac:dyDescent="0.25">
      <c r="Q1674" s="7">
        <f t="shared" si="26"/>
        <v>0</v>
      </c>
      <c r="R1674" s="7" t="e">
        <f>IF(VLOOKUP($A1674,'Concrete Beam Schedule'!$A$2:$Q$2902,R$2,0)&lt;&gt;B1674,VLOOKUP($A1674,'Concrete Beam Schedule'!$A$2:$Q$2902,R$2,0),"")</f>
        <v>#N/A</v>
      </c>
      <c r="S1674" s="7" t="e">
        <f>IF(VLOOKUP($A1674,'Concrete Beam Schedule'!$A$2:$Q$2902,S$2,0)&lt;&gt;C1674,VLOOKUP($A1674,'Concrete Beam Schedule'!$A$2:$Q$2902,S$2,0),"")</f>
        <v>#N/A</v>
      </c>
      <c r="T1674" s="7" t="e">
        <f>IF(VLOOKUP($A1674,'Concrete Beam Schedule'!$A$2:$Q$2902,T$2,0)&lt;&gt;D1674,"Beam Revised","")</f>
        <v>#N/A</v>
      </c>
      <c r="U1674" s="7" t="e">
        <f>IF(VLOOKUP($A1674,'Concrete Beam Schedule'!$A$2:$Q$2902,U$2,0)&lt;&gt;E1674,"Beam Revised","")</f>
        <v>#N/A</v>
      </c>
      <c r="V1674" s="7" t="e">
        <f>IF(VLOOKUP($A1674,'Concrete Beam Schedule'!$A$2:$Q$2902,V$2,0)&lt;&gt;F1674,"Beam Revised","")</f>
        <v>#N/A</v>
      </c>
      <c r="W1674" s="7" t="e">
        <f>IF(VLOOKUP($A1674,'Concrete Beam Schedule'!$A$2:$Q$2902,W$2,0)&lt;&gt;G1674,"Beam Revised","")</f>
        <v>#N/A</v>
      </c>
      <c r="X1674" s="7" t="e">
        <f>IF(VLOOKUP($A1674,'Concrete Beam Schedule'!$A$2:$Q$2902,X$2,0)&lt;&gt;H1674,"Beam Revised","")</f>
        <v>#N/A</v>
      </c>
      <c r="Y1674" s="7" t="e">
        <f>IF(VLOOKUP($A1674,'Concrete Beam Schedule'!$A$2:$Q$2902,Y$2,0)&lt;&gt;I1674,"Beam Revised","")</f>
        <v>#N/A</v>
      </c>
      <c r="Z1674" s="7" t="e">
        <f>IF(VLOOKUP($A1674,'Concrete Beam Schedule'!$A$2:$Q$2902,Z$2,0)&lt;&gt;J1674,"Beam Revised","")</f>
        <v>#N/A</v>
      </c>
      <c r="AA1674" s="7" t="e">
        <f>IF(VLOOKUP($A1674,'Concrete Beam Schedule'!$A$2:$Q$2902,AA$2,0)&lt;&gt;K1674,"Beam Revised","")</f>
        <v>#N/A</v>
      </c>
      <c r="AB1674" s="7" t="e">
        <f>IF(VLOOKUP($A1674,'Concrete Beam Schedule'!$A$2:$Q$2902,AB$2,0)&lt;&gt;L1674,"Beam Revised","")</f>
        <v>#N/A</v>
      </c>
      <c r="AC1674" s="7" t="e">
        <f>IF(VLOOKUP($A1674,'Concrete Beam Schedule'!$A$2:$Q$2902,AC$2,0)&lt;&gt;M1674,"Beam Revised","")</f>
        <v>#N/A</v>
      </c>
      <c r="AD1674" s="7" t="e">
        <f>IF(VLOOKUP($A1674,'Concrete Beam Schedule'!$A$2:$Q$2902,AD$2,0)&lt;&gt;N1674,"Beam Revised","")</f>
        <v>#N/A</v>
      </c>
      <c r="AE1674" s="7" t="e">
        <f>IF(VLOOKUP($A1674,'Concrete Beam Schedule'!$A$2:$Q$2902,AE$2,0)&lt;&gt;O1674,"Beam Revised","")</f>
        <v>#N/A</v>
      </c>
    </row>
    <row r="1675" spans="17:31" ht="20.100000000000001" customHeight="1" x14ac:dyDescent="0.25">
      <c r="Q1675" s="7">
        <f t="shared" si="26"/>
        <v>0</v>
      </c>
      <c r="R1675" s="7" t="e">
        <f>IF(VLOOKUP($A1675,'Concrete Beam Schedule'!$A$2:$Q$2902,R$2,0)&lt;&gt;B1675,VLOOKUP($A1675,'Concrete Beam Schedule'!$A$2:$Q$2902,R$2,0),"")</f>
        <v>#N/A</v>
      </c>
      <c r="S1675" s="7" t="e">
        <f>IF(VLOOKUP($A1675,'Concrete Beam Schedule'!$A$2:$Q$2902,S$2,0)&lt;&gt;C1675,VLOOKUP($A1675,'Concrete Beam Schedule'!$A$2:$Q$2902,S$2,0),"")</f>
        <v>#N/A</v>
      </c>
      <c r="T1675" s="7" t="e">
        <f>IF(VLOOKUP($A1675,'Concrete Beam Schedule'!$A$2:$Q$2902,T$2,0)&lt;&gt;D1675,"Beam Revised","")</f>
        <v>#N/A</v>
      </c>
      <c r="U1675" s="7" t="e">
        <f>IF(VLOOKUP($A1675,'Concrete Beam Schedule'!$A$2:$Q$2902,U$2,0)&lt;&gt;E1675,"Beam Revised","")</f>
        <v>#N/A</v>
      </c>
      <c r="V1675" s="7" t="e">
        <f>IF(VLOOKUP($A1675,'Concrete Beam Schedule'!$A$2:$Q$2902,V$2,0)&lt;&gt;F1675,"Beam Revised","")</f>
        <v>#N/A</v>
      </c>
      <c r="W1675" s="7" t="e">
        <f>IF(VLOOKUP($A1675,'Concrete Beam Schedule'!$A$2:$Q$2902,W$2,0)&lt;&gt;G1675,"Beam Revised","")</f>
        <v>#N/A</v>
      </c>
      <c r="X1675" s="7" t="e">
        <f>IF(VLOOKUP($A1675,'Concrete Beam Schedule'!$A$2:$Q$2902,X$2,0)&lt;&gt;H1675,"Beam Revised","")</f>
        <v>#N/A</v>
      </c>
      <c r="Y1675" s="7" t="e">
        <f>IF(VLOOKUP($A1675,'Concrete Beam Schedule'!$A$2:$Q$2902,Y$2,0)&lt;&gt;I1675,"Beam Revised","")</f>
        <v>#N/A</v>
      </c>
      <c r="Z1675" s="7" t="e">
        <f>IF(VLOOKUP($A1675,'Concrete Beam Schedule'!$A$2:$Q$2902,Z$2,0)&lt;&gt;J1675,"Beam Revised","")</f>
        <v>#N/A</v>
      </c>
      <c r="AA1675" s="7" t="e">
        <f>IF(VLOOKUP($A1675,'Concrete Beam Schedule'!$A$2:$Q$2902,AA$2,0)&lt;&gt;K1675,"Beam Revised","")</f>
        <v>#N/A</v>
      </c>
      <c r="AB1675" s="7" t="e">
        <f>IF(VLOOKUP($A1675,'Concrete Beam Schedule'!$A$2:$Q$2902,AB$2,0)&lt;&gt;L1675,"Beam Revised","")</f>
        <v>#N/A</v>
      </c>
      <c r="AC1675" s="7" t="e">
        <f>IF(VLOOKUP($A1675,'Concrete Beam Schedule'!$A$2:$Q$2902,AC$2,0)&lt;&gt;M1675,"Beam Revised","")</f>
        <v>#N/A</v>
      </c>
      <c r="AD1675" s="7" t="e">
        <f>IF(VLOOKUP($A1675,'Concrete Beam Schedule'!$A$2:$Q$2902,AD$2,0)&lt;&gt;N1675,"Beam Revised","")</f>
        <v>#N/A</v>
      </c>
      <c r="AE1675" s="7" t="e">
        <f>IF(VLOOKUP($A1675,'Concrete Beam Schedule'!$A$2:$Q$2902,AE$2,0)&lt;&gt;O1675,"Beam Revised","")</f>
        <v>#N/A</v>
      </c>
    </row>
    <row r="1676" spans="17:31" ht="20.100000000000001" customHeight="1" x14ac:dyDescent="0.25">
      <c r="Q1676" s="7">
        <f t="shared" si="26"/>
        <v>0</v>
      </c>
      <c r="R1676" s="7" t="e">
        <f>IF(VLOOKUP($A1676,'Concrete Beam Schedule'!$A$2:$Q$2902,R$2,0)&lt;&gt;B1676,VLOOKUP($A1676,'Concrete Beam Schedule'!$A$2:$Q$2902,R$2,0),"")</f>
        <v>#N/A</v>
      </c>
      <c r="S1676" s="7" t="e">
        <f>IF(VLOOKUP($A1676,'Concrete Beam Schedule'!$A$2:$Q$2902,S$2,0)&lt;&gt;C1676,VLOOKUP($A1676,'Concrete Beam Schedule'!$A$2:$Q$2902,S$2,0),"")</f>
        <v>#N/A</v>
      </c>
      <c r="T1676" s="7" t="e">
        <f>IF(VLOOKUP($A1676,'Concrete Beam Schedule'!$A$2:$Q$2902,T$2,0)&lt;&gt;D1676,"Beam Revised","")</f>
        <v>#N/A</v>
      </c>
      <c r="U1676" s="7" t="e">
        <f>IF(VLOOKUP($A1676,'Concrete Beam Schedule'!$A$2:$Q$2902,U$2,0)&lt;&gt;E1676,"Beam Revised","")</f>
        <v>#N/A</v>
      </c>
      <c r="V1676" s="7" t="e">
        <f>IF(VLOOKUP($A1676,'Concrete Beam Schedule'!$A$2:$Q$2902,V$2,0)&lt;&gt;F1676,"Beam Revised","")</f>
        <v>#N/A</v>
      </c>
      <c r="W1676" s="7" t="e">
        <f>IF(VLOOKUP($A1676,'Concrete Beam Schedule'!$A$2:$Q$2902,W$2,0)&lt;&gt;G1676,"Beam Revised","")</f>
        <v>#N/A</v>
      </c>
      <c r="X1676" s="7" t="e">
        <f>IF(VLOOKUP($A1676,'Concrete Beam Schedule'!$A$2:$Q$2902,X$2,0)&lt;&gt;H1676,"Beam Revised","")</f>
        <v>#N/A</v>
      </c>
      <c r="Y1676" s="7" t="e">
        <f>IF(VLOOKUP($A1676,'Concrete Beam Schedule'!$A$2:$Q$2902,Y$2,0)&lt;&gt;I1676,"Beam Revised","")</f>
        <v>#N/A</v>
      </c>
      <c r="Z1676" s="7" t="e">
        <f>IF(VLOOKUP($A1676,'Concrete Beam Schedule'!$A$2:$Q$2902,Z$2,0)&lt;&gt;J1676,"Beam Revised","")</f>
        <v>#N/A</v>
      </c>
      <c r="AA1676" s="7" t="e">
        <f>IF(VLOOKUP($A1676,'Concrete Beam Schedule'!$A$2:$Q$2902,AA$2,0)&lt;&gt;K1676,"Beam Revised","")</f>
        <v>#N/A</v>
      </c>
      <c r="AB1676" s="7" t="e">
        <f>IF(VLOOKUP($A1676,'Concrete Beam Schedule'!$A$2:$Q$2902,AB$2,0)&lt;&gt;L1676,"Beam Revised","")</f>
        <v>#N/A</v>
      </c>
      <c r="AC1676" s="7" t="e">
        <f>IF(VLOOKUP($A1676,'Concrete Beam Schedule'!$A$2:$Q$2902,AC$2,0)&lt;&gt;M1676,"Beam Revised","")</f>
        <v>#N/A</v>
      </c>
      <c r="AD1676" s="7" t="e">
        <f>IF(VLOOKUP($A1676,'Concrete Beam Schedule'!$A$2:$Q$2902,AD$2,0)&lt;&gt;N1676,"Beam Revised","")</f>
        <v>#N/A</v>
      </c>
      <c r="AE1676" s="7" t="e">
        <f>IF(VLOOKUP($A1676,'Concrete Beam Schedule'!$A$2:$Q$2902,AE$2,0)&lt;&gt;O1676,"Beam Revised","")</f>
        <v>#N/A</v>
      </c>
    </row>
    <row r="1677" spans="17:31" ht="20.100000000000001" customHeight="1" x14ac:dyDescent="0.25">
      <c r="Q1677" s="7">
        <f t="shared" si="26"/>
        <v>0</v>
      </c>
      <c r="R1677" s="7" t="e">
        <f>IF(VLOOKUP($A1677,'Concrete Beam Schedule'!$A$2:$Q$2902,R$2,0)&lt;&gt;B1677,VLOOKUP($A1677,'Concrete Beam Schedule'!$A$2:$Q$2902,R$2,0),"")</f>
        <v>#N/A</v>
      </c>
      <c r="S1677" s="7" t="e">
        <f>IF(VLOOKUP($A1677,'Concrete Beam Schedule'!$A$2:$Q$2902,S$2,0)&lt;&gt;C1677,VLOOKUP($A1677,'Concrete Beam Schedule'!$A$2:$Q$2902,S$2,0),"")</f>
        <v>#N/A</v>
      </c>
      <c r="T1677" s="7" t="e">
        <f>IF(VLOOKUP($A1677,'Concrete Beam Schedule'!$A$2:$Q$2902,T$2,0)&lt;&gt;D1677,"Beam Revised","")</f>
        <v>#N/A</v>
      </c>
      <c r="U1677" s="7" t="e">
        <f>IF(VLOOKUP($A1677,'Concrete Beam Schedule'!$A$2:$Q$2902,U$2,0)&lt;&gt;E1677,"Beam Revised","")</f>
        <v>#N/A</v>
      </c>
      <c r="V1677" s="7" t="e">
        <f>IF(VLOOKUP($A1677,'Concrete Beam Schedule'!$A$2:$Q$2902,V$2,0)&lt;&gt;F1677,"Beam Revised","")</f>
        <v>#N/A</v>
      </c>
      <c r="W1677" s="7" t="e">
        <f>IF(VLOOKUP($A1677,'Concrete Beam Schedule'!$A$2:$Q$2902,W$2,0)&lt;&gt;G1677,"Beam Revised","")</f>
        <v>#N/A</v>
      </c>
      <c r="X1677" s="7" t="e">
        <f>IF(VLOOKUP($A1677,'Concrete Beam Schedule'!$A$2:$Q$2902,X$2,0)&lt;&gt;H1677,"Beam Revised","")</f>
        <v>#N/A</v>
      </c>
      <c r="Y1677" s="7" t="e">
        <f>IF(VLOOKUP($A1677,'Concrete Beam Schedule'!$A$2:$Q$2902,Y$2,0)&lt;&gt;I1677,"Beam Revised","")</f>
        <v>#N/A</v>
      </c>
      <c r="Z1677" s="7" t="e">
        <f>IF(VLOOKUP($A1677,'Concrete Beam Schedule'!$A$2:$Q$2902,Z$2,0)&lt;&gt;J1677,"Beam Revised","")</f>
        <v>#N/A</v>
      </c>
      <c r="AA1677" s="7" t="e">
        <f>IF(VLOOKUP($A1677,'Concrete Beam Schedule'!$A$2:$Q$2902,AA$2,0)&lt;&gt;K1677,"Beam Revised","")</f>
        <v>#N/A</v>
      </c>
      <c r="AB1677" s="7" t="e">
        <f>IF(VLOOKUP($A1677,'Concrete Beam Schedule'!$A$2:$Q$2902,AB$2,0)&lt;&gt;L1677,"Beam Revised","")</f>
        <v>#N/A</v>
      </c>
      <c r="AC1677" s="7" t="e">
        <f>IF(VLOOKUP($A1677,'Concrete Beam Schedule'!$A$2:$Q$2902,AC$2,0)&lt;&gt;M1677,"Beam Revised","")</f>
        <v>#N/A</v>
      </c>
      <c r="AD1677" s="7" t="e">
        <f>IF(VLOOKUP($A1677,'Concrete Beam Schedule'!$A$2:$Q$2902,AD$2,0)&lt;&gt;N1677,"Beam Revised","")</f>
        <v>#N/A</v>
      </c>
      <c r="AE1677" s="7" t="e">
        <f>IF(VLOOKUP($A1677,'Concrete Beam Schedule'!$A$2:$Q$2902,AE$2,0)&lt;&gt;O1677,"Beam Revised","")</f>
        <v>#N/A</v>
      </c>
    </row>
    <row r="1678" spans="17:31" ht="20.100000000000001" customHeight="1" x14ac:dyDescent="0.25">
      <c r="Q1678" s="7">
        <f t="shared" si="26"/>
        <v>0</v>
      </c>
      <c r="R1678" s="7" t="e">
        <f>IF(VLOOKUP($A1678,'Concrete Beam Schedule'!$A$2:$Q$2902,R$2,0)&lt;&gt;B1678,VLOOKUP($A1678,'Concrete Beam Schedule'!$A$2:$Q$2902,R$2,0),"")</f>
        <v>#N/A</v>
      </c>
      <c r="S1678" s="7" t="e">
        <f>IF(VLOOKUP($A1678,'Concrete Beam Schedule'!$A$2:$Q$2902,S$2,0)&lt;&gt;C1678,VLOOKUP($A1678,'Concrete Beam Schedule'!$A$2:$Q$2902,S$2,0),"")</f>
        <v>#N/A</v>
      </c>
      <c r="T1678" s="7" t="e">
        <f>IF(VLOOKUP($A1678,'Concrete Beam Schedule'!$A$2:$Q$2902,T$2,0)&lt;&gt;D1678,"Beam Revised","")</f>
        <v>#N/A</v>
      </c>
      <c r="U1678" s="7" t="e">
        <f>IF(VLOOKUP($A1678,'Concrete Beam Schedule'!$A$2:$Q$2902,U$2,0)&lt;&gt;E1678,"Beam Revised","")</f>
        <v>#N/A</v>
      </c>
      <c r="V1678" s="7" t="e">
        <f>IF(VLOOKUP($A1678,'Concrete Beam Schedule'!$A$2:$Q$2902,V$2,0)&lt;&gt;F1678,"Beam Revised","")</f>
        <v>#N/A</v>
      </c>
      <c r="W1678" s="7" t="e">
        <f>IF(VLOOKUP($A1678,'Concrete Beam Schedule'!$A$2:$Q$2902,W$2,0)&lt;&gt;G1678,"Beam Revised","")</f>
        <v>#N/A</v>
      </c>
      <c r="X1678" s="7" t="e">
        <f>IF(VLOOKUP($A1678,'Concrete Beam Schedule'!$A$2:$Q$2902,X$2,0)&lt;&gt;H1678,"Beam Revised","")</f>
        <v>#N/A</v>
      </c>
      <c r="Y1678" s="7" t="e">
        <f>IF(VLOOKUP($A1678,'Concrete Beam Schedule'!$A$2:$Q$2902,Y$2,0)&lt;&gt;I1678,"Beam Revised","")</f>
        <v>#N/A</v>
      </c>
      <c r="Z1678" s="7" t="e">
        <f>IF(VLOOKUP($A1678,'Concrete Beam Schedule'!$A$2:$Q$2902,Z$2,0)&lt;&gt;J1678,"Beam Revised","")</f>
        <v>#N/A</v>
      </c>
      <c r="AA1678" s="7" t="e">
        <f>IF(VLOOKUP($A1678,'Concrete Beam Schedule'!$A$2:$Q$2902,AA$2,0)&lt;&gt;K1678,"Beam Revised","")</f>
        <v>#N/A</v>
      </c>
      <c r="AB1678" s="7" t="e">
        <f>IF(VLOOKUP($A1678,'Concrete Beam Schedule'!$A$2:$Q$2902,AB$2,0)&lt;&gt;L1678,"Beam Revised","")</f>
        <v>#N/A</v>
      </c>
      <c r="AC1678" s="7" t="e">
        <f>IF(VLOOKUP($A1678,'Concrete Beam Schedule'!$A$2:$Q$2902,AC$2,0)&lt;&gt;M1678,"Beam Revised","")</f>
        <v>#N/A</v>
      </c>
      <c r="AD1678" s="7" t="e">
        <f>IF(VLOOKUP($A1678,'Concrete Beam Schedule'!$A$2:$Q$2902,AD$2,0)&lt;&gt;N1678,"Beam Revised","")</f>
        <v>#N/A</v>
      </c>
      <c r="AE1678" s="7" t="e">
        <f>IF(VLOOKUP($A1678,'Concrete Beam Schedule'!$A$2:$Q$2902,AE$2,0)&lt;&gt;O1678,"Beam Revised","")</f>
        <v>#N/A</v>
      </c>
    </row>
    <row r="1679" spans="17:31" ht="20.100000000000001" customHeight="1" x14ac:dyDescent="0.25">
      <c r="Q1679" s="7">
        <f t="shared" si="26"/>
        <v>0</v>
      </c>
      <c r="R1679" s="7" t="e">
        <f>IF(VLOOKUP($A1679,'Concrete Beam Schedule'!$A$2:$Q$2902,R$2,0)&lt;&gt;B1679,VLOOKUP($A1679,'Concrete Beam Schedule'!$A$2:$Q$2902,R$2,0),"")</f>
        <v>#N/A</v>
      </c>
      <c r="S1679" s="7" t="e">
        <f>IF(VLOOKUP($A1679,'Concrete Beam Schedule'!$A$2:$Q$2902,S$2,0)&lt;&gt;C1679,VLOOKUP($A1679,'Concrete Beam Schedule'!$A$2:$Q$2902,S$2,0),"")</f>
        <v>#N/A</v>
      </c>
      <c r="T1679" s="7" t="e">
        <f>IF(VLOOKUP($A1679,'Concrete Beam Schedule'!$A$2:$Q$2902,T$2,0)&lt;&gt;D1679,"Beam Revised","")</f>
        <v>#N/A</v>
      </c>
      <c r="U1679" s="7" t="e">
        <f>IF(VLOOKUP($A1679,'Concrete Beam Schedule'!$A$2:$Q$2902,U$2,0)&lt;&gt;E1679,"Beam Revised","")</f>
        <v>#N/A</v>
      </c>
      <c r="V1679" s="7" t="e">
        <f>IF(VLOOKUP($A1679,'Concrete Beam Schedule'!$A$2:$Q$2902,V$2,0)&lt;&gt;F1679,"Beam Revised","")</f>
        <v>#N/A</v>
      </c>
      <c r="W1679" s="7" t="e">
        <f>IF(VLOOKUP($A1679,'Concrete Beam Schedule'!$A$2:$Q$2902,W$2,0)&lt;&gt;G1679,"Beam Revised","")</f>
        <v>#N/A</v>
      </c>
      <c r="X1679" s="7" t="e">
        <f>IF(VLOOKUP($A1679,'Concrete Beam Schedule'!$A$2:$Q$2902,X$2,0)&lt;&gt;H1679,"Beam Revised","")</f>
        <v>#N/A</v>
      </c>
      <c r="Y1679" s="7" t="e">
        <f>IF(VLOOKUP($A1679,'Concrete Beam Schedule'!$A$2:$Q$2902,Y$2,0)&lt;&gt;I1679,"Beam Revised","")</f>
        <v>#N/A</v>
      </c>
      <c r="Z1679" s="7" t="e">
        <f>IF(VLOOKUP($A1679,'Concrete Beam Schedule'!$A$2:$Q$2902,Z$2,0)&lt;&gt;J1679,"Beam Revised","")</f>
        <v>#N/A</v>
      </c>
      <c r="AA1679" s="7" t="e">
        <f>IF(VLOOKUP($A1679,'Concrete Beam Schedule'!$A$2:$Q$2902,AA$2,0)&lt;&gt;K1679,"Beam Revised","")</f>
        <v>#N/A</v>
      </c>
      <c r="AB1679" s="7" t="e">
        <f>IF(VLOOKUP($A1679,'Concrete Beam Schedule'!$A$2:$Q$2902,AB$2,0)&lt;&gt;L1679,"Beam Revised","")</f>
        <v>#N/A</v>
      </c>
      <c r="AC1679" s="7" t="e">
        <f>IF(VLOOKUP($A1679,'Concrete Beam Schedule'!$A$2:$Q$2902,AC$2,0)&lt;&gt;M1679,"Beam Revised","")</f>
        <v>#N/A</v>
      </c>
      <c r="AD1679" s="7" t="e">
        <f>IF(VLOOKUP($A1679,'Concrete Beam Schedule'!$A$2:$Q$2902,AD$2,0)&lt;&gt;N1679,"Beam Revised","")</f>
        <v>#N/A</v>
      </c>
      <c r="AE1679" s="7" t="e">
        <f>IF(VLOOKUP($A1679,'Concrete Beam Schedule'!$A$2:$Q$2902,AE$2,0)&lt;&gt;O1679,"Beam Revised","")</f>
        <v>#N/A</v>
      </c>
    </row>
    <row r="1680" spans="17:31" ht="20.100000000000001" customHeight="1" x14ac:dyDescent="0.25">
      <c r="Q1680" s="7">
        <f t="shared" si="26"/>
        <v>0</v>
      </c>
      <c r="R1680" s="7" t="e">
        <f>IF(VLOOKUP($A1680,'Concrete Beam Schedule'!$A$2:$Q$2902,R$2,0)&lt;&gt;B1680,VLOOKUP($A1680,'Concrete Beam Schedule'!$A$2:$Q$2902,R$2,0),"")</f>
        <v>#N/A</v>
      </c>
      <c r="S1680" s="7" t="e">
        <f>IF(VLOOKUP($A1680,'Concrete Beam Schedule'!$A$2:$Q$2902,S$2,0)&lt;&gt;C1680,VLOOKUP($A1680,'Concrete Beam Schedule'!$A$2:$Q$2902,S$2,0),"")</f>
        <v>#N/A</v>
      </c>
      <c r="T1680" s="7" t="e">
        <f>IF(VLOOKUP($A1680,'Concrete Beam Schedule'!$A$2:$Q$2902,T$2,0)&lt;&gt;D1680,"Beam Revised","")</f>
        <v>#N/A</v>
      </c>
      <c r="U1680" s="7" t="e">
        <f>IF(VLOOKUP($A1680,'Concrete Beam Schedule'!$A$2:$Q$2902,U$2,0)&lt;&gt;E1680,"Beam Revised","")</f>
        <v>#N/A</v>
      </c>
      <c r="V1680" s="7" t="e">
        <f>IF(VLOOKUP($A1680,'Concrete Beam Schedule'!$A$2:$Q$2902,V$2,0)&lt;&gt;F1680,"Beam Revised","")</f>
        <v>#N/A</v>
      </c>
      <c r="W1680" s="7" t="e">
        <f>IF(VLOOKUP($A1680,'Concrete Beam Schedule'!$A$2:$Q$2902,W$2,0)&lt;&gt;G1680,"Beam Revised","")</f>
        <v>#N/A</v>
      </c>
      <c r="X1680" s="7" t="e">
        <f>IF(VLOOKUP($A1680,'Concrete Beam Schedule'!$A$2:$Q$2902,X$2,0)&lt;&gt;H1680,"Beam Revised","")</f>
        <v>#N/A</v>
      </c>
      <c r="Y1680" s="7" t="e">
        <f>IF(VLOOKUP($A1680,'Concrete Beam Schedule'!$A$2:$Q$2902,Y$2,0)&lt;&gt;I1680,"Beam Revised","")</f>
        <v>#N/A</v>
      </c>
      <c r="Z1680" s="7" t="e">
        <f>IF(VLOOKUP($A1680,'Concrete Beam Schedule'!$A$2:$Q$2902,Z$2,0)&lt;&gt;J1680,"Beam Revised","")</f>
        <v>#N/A</v>
      </c>
      <c r="AA1680" s="7" t="e">
        <f>IF(VLOOKUP($A1680,'Concrete Beam Schedule'!$A$2:$Q$2902,AA$2,0)&lt;&gt;K1680,"Beam Revised","")</f>
        <v>#N/A</v>
      </c>
      <c r="AB1680" s="7" t="e">
        <f>IF(VLOOKUP($A1680,'Concrete Beam Schedule'!$A$2:$Q$2902,AB$2,0)&lt;&gt;L1680,"Beam Revised","")</f>
        <v>#N/A</v>
      </c>
      <c r="AC1680" s="7" t="e">
        <f>IF(VLOOKUP($A1680,'Concrete Beam Schedule'!$A$2:$Q$2902,AC$2,0)&lt;&gt;M1680,"Beam Revised","")</f>
        <v>#N/A</v>
      </c>
      <c r="AD1680" s="7" t="e">
        <f>IF(VLOOKUP($A1680,'Concrete Beam Schedule'!$A$2:$Q$2902,AD$2,0)&lt;&gt;N1680,"Beam Revised","")</f>
        <v>#N/A</v>
      </c>
      <c r="AE1680" s="7" t="e">
        <f>IF(VLOOKUP($A1680,'Concrete Beam Schedule'!$A$2:$Q$2902,AE$2,0)&lt;&gt;O1680,"Beam Revised","")</f>
        <v>#N/A</v>
      </c>
    </row>
    <row r="1681" spans="17:31" ht="20.100000000000001" customHeight="1" x14ac:dyDescent="0.25">
      <c r="Q1681" s="7">
        <f t="shared" si="26"/>
        <v>0</v>
      </c>
      <c r="R1681" s="7" t="e">
        <f>IF(VLOOKUP($A1681,'Concrete Beam Schedule'!$A$2:$Q$2902,R$2,0)&lt;&gt;B1681,VLOOKUP($A1681,'Concrete Beam Schedule'!$A$2:$Q$2902,R$2,0),"")</f>
        <v>#N/A</v>
      </c>
      <c r="S1681" s="7" t="e">
        <f>IF(VLOOKUP($A1681,'Concrete Beam Schedule'!$A$2:$Q$2902,S$2,0)&lt;&gt;C1681,VLOOKUP($A1681,'Concrete Beam Schedule'!$A$2:$Q$2902,S$2,0),"")</f>
        <v>#N/A</v>
      </c>
      <c r="T1681" s="7" t="e">
        <f>IF(VLOOKUP($A1681,'Concrete Beam Schedule'!$A$2:$Q$2902,T$2,0)&lt;&gt;D1681,"Beam Revised","")</f>
        <v>#N/A</v>
      </c>
      <c r="U1681" s="7" t="e">
        <f>IF(VLOOKUP($A1681,'Concrete Beam Schedule'!$A$2:$Q$2902,U$2,0)&lt;&gt;E1681,"Beam Revised","")</f>
        <v>#N/A</v>
      </c>
      <c r="V1681" s="7" t="e">
        <f>IF(VLOOKUP($A1681,'Concrete Beam Schedule'!$A$2:$Q$2902,V$2,0)&lt;&gt;F1681,"Beam Revised","")</f>
        <v>#N/A</v>
      </c>
      <c r="W1681" s="7" t="e">
        <f>IF(VLOOKUP($A1681,'Concrete Beam Schedule'!$A$2:$Q$2902,W$2,0)&lt;&gt;G1681,"Beam Revised","")</f>
        <v>#N/A</v>
      </c>
      <c r="X1681" s="7" t="e">
        <f>IF(VLOOKUP($A1681,'Concrete Beam Schedule'!$A$2:$Q$2902,X$2,0)&lt;&gt;H1681,"Beam Revised","")</f>
        <v>#N/A</v>
      </c>
      <c r="Y1681" s="7" t="e">
        <f>IF(VLOOKUP($A1681,'Concrete Beam Schedule'!$A$2:$Q$2902,Y$2,0)&lt;&gt;I1681,"Beam Revised","")</f>
        <v>#N/A</v>
      </c>
      <c r="Z1681" s="7" t="e">
        <f>IF(VLOOKUP($A1681,'Concrete Beam Schedule'!$A$2:$Q$2902,Z$2,0)&lt;&gt;J1681,"Beam Revised","")</f>
        <v>#N/A</v>
      </c>
      <c r="AA1681" s="7" t="e">
        <f>IF(VLOOKUP($A1681,'Concrete Beam Schedule'!$A$2:$Q$2902,AA$2,0)&lt;&gt;K1681,"Beam Revised","")</f>
        <v>#N/A</v>
      </c>
      <c r="AB1681" s="7" t="e">
        <f>IF(VLOOKUP($A1681,'Concrete Beam Schedule'!$A$2:$Q$2902,AB$2,0)&lt;&gt;L1681,"Beam Revised","")</f>
        <v>#N/A</v>
      </c>
      <c r="AC1681" s="7" t="e">
        <f>IF(VLOOKUP($A1681,'Concrete Beam Schedule'!$A$2:$Q$2902,AC$2,0)&lt;&gt;M1681,"Beam Revised","")</f>
        <v>#N/A</v>
      </c>
      <c r="AD1681" s="7" t="e">
        <f>IF(VLOOKUP($A1681,'Concrete Beam Schedule'!$A$2:$Q$2902,AD$2,0)&lt;&gt;N1681,"Beam Revised","")</f>
        <v>#N/A</v>
      </c>
      <c r="AE1681" s="7" t="e">
        <f>IF(VLOOKUP($A1681,'Concrete Beam Schedule'!$A$2:$Q$2902,AE$2,0)&lt;&gt;O1681,"Beam Revised","")</f>
        <v>#N/A</v>
      </c>
    </row>
    <row r="1682" spans="17:31" ht="20.100000000000001" customHeight="1" x14ac:dyDescent="0.25">
      <c r="Q1682" s="7">
        <f t="shared" si="26"/>
        <v>0</v>
      </c>
      <c r="R1682" s="7" t="e">
        <f>IF(VLOOKUP($A1682,'Concrete Beam Schedule'!$A$2:$Q$2902,R$2,0)&lt;&gt;B1682,VLOOKUP($A1682,'Concrete Beam Schedule'!$A$2:$Q$2902,R$2,0),"")</f>
        <v>#N/A</v>
      </c>
      <c r="S1682" s="7" t="e">
        <f>IF(VLOOKUP($A1682,'Concrete Beam Schedule'!$A$2:$Q$2902,S$2,0)&lt;&gt;C1682,VLOOKUP($A1682,'Concrete Beam Schedule'!$A$2:$Q$2902,S$2,0),"")</f>
        <v>#N/A</v>
      </c>
      <c r="T1682" s="7" t="e">
        <f>IF(VLOOKUP($A1682,'Concrete Beam Schedule'!$A$2:$Q$2902,T$2,0)&lt;&gt;D1682,"Beam Revised","")</f>
        <v>#N/A</v>
      </c>
      <c r="U1682" s="7" t="e">
        <f>IF(VLOOKUP($A1682,'Concrete Beam Schedule'!$A$2:$Q$2902,U$2,0)&lt;&gt;E1682,"Beam Revised","")</f>
        <v>#N/A</v>
      </c>
      <c r="V1682" s="7" t="e">
        <f>IF(VLOOKUP($A1682,'Concrete Beam Schedule'!$A$2:$Q$2902,V$2,0)&lt;&gt;F1682,"Beam Revised","")</f>
        <v>#N/A</v>
      </c>
      <c r="W1682" s="7" t="e">
        <f>IF(VLOOKUP($A1682,'Concrete Beam Schedule'!$A$2:$Q$2902,W$2,0)&lt;&gt;G1682,"Beam Revised","")</f>
        <v>#N/A</v>
      </c>
      <c r="X1682" s="7" t="e">
        <f>IF(VLOOKUP($A1682,'Concrete Beam Schedule'!$A$2:$Q$2902,X$2,0)&lt;&gt;H1682,"Beam Revised","")</f>
        <v>#N/A</v>
      </c>
      <c r="Y1682" s="7" t="e">
        <f>IF(VLOOKUP($A1682,'Concrete Beam Schedule'!$A$2:$Q$2902,Y$2,0)&lt;&gt;I1682,"Beam Revised","")</f>
        <v>#N/A</v>
      </c>
      <c r="Z1682" s="7" t="e">
        <f>IF(VLOOKUP($A1682,'Concrete Beam Schedule'!$A$2:$Q$2902,Z$2,0)&lt;&gt;J1682,"Beam Revised","")</f>
        <v>#N/A</v>
      </c>
      <c r="AA1682" s="7" t="e">
        <f>IF(VLOOKUP($A1682,'Concrete Beam Schedule'!$A$2:$Q$2902,AA$2,0)&lt;&gt;K1682,"Beam Revised","")</f>
        <v>#N/A</v>
      </c>
      <c r="AB1682" s="7" t="e">
        <f>IF(VLOOKUP($A1682,'Concrete Beam Schedule'!$A$2:$Q$2902,AB$2,0)&lt;&gt;L1682,"Beam Revised","")</f>
        <v>#N/A</v>
      </c>
      <c r="AC1682" s="7" t="e">
        <f>IF(VLOOKUP($A1682,'Concrete Beam Schedule'!$A$2:$Q$2902,AC$2,0)&lt;&gt;M1682,"Beam Revised","")</f>
        <v>#N/A</v>
      </c>
      <c r="AD1682" s="7" t="e">
        <f>IF(VLOOKUP($A1682,'Concrete Beam Schedule'!$A$2:$Q$2902,AD$2,0)&lt;&gt;N1682,"Beam Revised","")</f>
        <v>#N/A</v>
      </c>
      <c r="AE1682" s="7" t="e">
        <f>IF(VLOOKUP($A1682,'Concrete Beam Schedule'!$A$2:$Q$2902,AE$2,0)&lt;&gt;O1682,"Beam Revised","")</f>
        <v>#N/A</v>
      </c>
    </row>
    <row r="1683" spans="17:31" ht="20.100000000000001" customHeight="1" x14ac:dyDescent="0.25">
      <c r="Q1683" s="7">
        <f t="shared" si="26"/>
        <v>0</v>
      </c>
      <c r="R1683" s="7" t="e">
        <f>IF(VLOOKUP($A1683,'Concrete Beam Schedule'!$A$2:$Q$2902,R$2,0)&lt;&gt;B1683,VLOOKUP($A1683,'Concrete Beam Schedule'!$A$2:$Q$2902,R$2,0),"")</f>
        <v>#N/A</v>
      </c>
      <c r="S1683" s="7" t="e">
        <f>IF(VLOOKUP($A1683,'Concrete Beam Schedule'!$A$2:$Q$2902,S$2,0)&lt;&gt;C1683,VLOOKUP($A1683,'Concrete Beam Schedule'!$A$2:$Q$2902,S$2,0),"")</f>
        <v>#N/A</v>
      </c>
      <c r="T1683" s="7" t="e">
        <f>IF(VLOOKUP($A1683,'Concrete Beam Schedule'!$A$2:$Q$2902,T$2,0)&lt;&gt;D1683,"Beam Revised","")</f>
        <v>#N/A</v>
      </c>
      <c r="U1683" s="7" t="e">
        <f>IF(VLOOKUP($A1683,'Concrete Beam Schedule'!$A$2:$Q$2902,U$2,0)&lt;&gt;E1683,"Beam Revised","")</f>
        <v>#N/A</v>
      </c>
      <c r="V1683" s="7" t="e">
        <f>IF(VLOOKUP($A1683,'Concrete Beam Schedule'!$A$2:$Q$2902,V$2,0)&lt;&gt;F1683,"Beam Revised","")</f>
        <v>#N/A</v>
      </c>
      <c r="W1683" s="7" t="e">
        <f>IF(VLOOKUP($A1683,'Concrete Beam Schedule'!$A$2:$Q$2902,W$2,0)&lt;&gt;G1683,"Beam Revised","")</f>
        <v>#N/A</v>
      </c>
      <c r="X1683" s="7" t="e">
        <f>IF(VLOOKUP($A1683,'Concrete Beam Schedule'!$A$2:$Q$2902,X$2,0)&lt;&gt;H1683,"Beam Revised","")</f>
        <v>#N/A</v>
      </c>
      <c r="Y1683" s="7" t="e">
        <f>IF(VLOOKUP($A1683,'Concrete Beam Schedule'!$A$2:$Q$2902,Y$2,0)&lt;&gt;I1683,"Beam Revised","")</f>
        <v>#N/A</v>
      </c>
      <c r="Z1683" s="7" t="e">
        <f>IF(VLOOKUP($A1683,'Concrete Beam Schedule'!$A$2:$Q$2902,Z$2,0)&lt;&gt;J1683,"Beam Revised","")</f>
        <v>#N/A</v>
      </c>
      <c r="AA1683" s="7" t="e">
        <f>IF(VLOOKUP($A1683,'Concrete Beam Schedule'!$A$2:$Q$2902,AA$2,0)&lt;&gt;K1683,"Beam Revised","")</f>
        <v>#N/A</v>
      </c>
      <c r="AB1683" s="7" t="e">
        <f>IF(VLOOKUP($A1683,'Concrete Beam Schedule'!$A$2:$Q$2902,AB$2,0)&lt;&gt;L1683,"Beam Revised","")</f>
        <v>#N/A</v>
      </c>
      <c r="AC1683" s="7" t="e">
        <f>IF(VLOOKUP($A1683,'Concrete Beam Schedule'!$A$2:$Q$2902,AC$2,0)&lt;&gt;M1683,"Beam Revised","")</f>
        <v>#N/A</v>
      </c>
      <c r="AD1683" s="7" t="e">
        <f>IF(VLOOKUP($A1683,'Concrete Beam Schedule'!$A$2:$Q$2902,AD$2,0)&lt;&gt;N1683,"Beam Revised","")</f>
        <v>#N/A</v>
      </c>
      <c r="AE1683" s="7" t="e">
        <f>IF(VLOOKUP($A1683,'Concrete Beam Schedule'!$A$2:$Q$2902,AE$2,0)&lt;&gt;O1683,"Beam Revised","")</f>
        <v>#N/A</v>
      </c>
    </row>
    <row r="1684" spans="17:31" ht="20.100000000000001" customHeight="1" x14ac:dyDescent="0.25">
      <c r="Q1684" s="7">
        <f t="shared" si="26"/>
        <v>0</v>
      </c>
      <c r="R1684" s="7" t="e">
        <f>IF(VLOOKUP($A1684,'Concrete Beam Schedule'!$A$2:$Q$2902,R$2,0)&lt;&gt;B1684,VLOOKUP($A1684,'Concrete Beam Schedule'!$A$2:$Q$2902,R$2,0),"")</f>
        <v>#N/A</v>
      </c>
      <c r="S1684" s="7" t="e">
        <f>IF(VLOOKUP($A1684,'Concrete Beam Schedule'!$A$2:$Q$2902,S$2,0)&lt;&gt;C1684,VLOOKUP($A1684,'Concrete Beam Schedule'!$A$2:$Q$2902,S$2,0),"")</f>
        <v>#N/A</v>
      </c>
      <c r="T1684" s="7" t="e">
        <f>IF(VLOOKUP($A1684,'Concrete Beam Schedule'!$A$2:$Q$2902,T$2,0)&lt;&gt;D1684,"Beam Revised","")</f>
        <v>#N/A</v>
      </c>
      <c r="U1684" s="7" t="e">
        <f>IF(VLOOKUP($A1684,'Concrete Beam Schedule'!$A$2:$Q$2902,U$2,0)&lt;&gt;E1684,"Beam Revised","")</f>
        <v>#N/A</v>
      </c>
      <c r="V1684" s="7" t="e">
        <f>IF(VLOOKUP($A1684,'Concrete Beam Schedule'!$A$2:$Q$2902,V$2,0)&lt;&gt;F1684,"Beam Revised","")</f>
        <v>#N/A</v>
      </c>
      <c r="W1684" s="7" t="e">
        <f>IF(VLOOKUP($A1684,'Concrete Beam Schedule'!$A$2:$Q$2902,W$2,0)&lt;&gt;G1684,"Beam Revised","")</f>
        <v>#N/A</v>
      </c>
      <c r="X1684" s="7" t="e">
        <f>IF(VLOOKUP($A1684,'Concrete Beam Schedule'!$A$2:$Q$2902,X$2,0)&lt;&gt;H1684,"Beam Revised","")</f>
        <v>#N/A</v>
      </c>
      <c r="Y1684" s="7" t="e">
        <f>IF(VLOOKUP($A1684,'Concrete Beam Schedule'!$A$2:$Q$2902,Y$2,0)&lt;&gt;I1684,"Beam Revised","")</f>
        <v>#N/A</v>
      </c>
      <c r="Z1684" s="7" t="e">
        <f>IF(VLOOKUP($A1684,'Concrete Beam Schedule'!$A$2:$Q$2902,Z$2,0)&lt;&gt;J1684,"Beam Revised","")</f>
        <v>#N/A</v>
      </c>
      <c r="AA1684" s="7" t="e">
        <f>IF(VLOOKUP($A1684,'Concrete Beam Schedule'!$A$2:$Q$2902,AA$2,0)&lt;&gt;K1684,"Beam Revised","")</f>
        <v>#N/A</v>
      </c>
      <c r="AB1684" s="7" t="e">
        <f>IF(VLOOKUP($A1684,'Concrete Beam Schedule'!$A$2:$Q$2902,AB$2,0)&lt;&gt;L1684,"Beam Revised","")</f>
        <v>#N/A</v>
      </c>
      <c r="AC1684" s="7" t="e">
        <f>IF(VLOOKUP($A1684,'Concrete Beam Schedule'!$A$2:$Q$2902,AC$2,0)&lt;&gt;M1684,"Beam Revised","")</f>
        <v>#N/A</v>
      </c>
      <c r="AD1684" s="7" t="e">
        <f>IF(VLOOKUP($A1684,'Concrete Beam Schedule'!$A$2:$Q$2902,AD$2,0)&lt;&gt;N1684,"Beam Revised","")</f>
        <v>#N/A</v>
      </c>
      <c r="AE1684" s="7" t="e">
        <f>IF(VLOOKUP($A1684,'Concrete Beam Schedule'!$A$2:$Q$2902,AE$2,0)&lt;&gt;O1684,"Beam Revised","")</f>
        <v>#N/A</v>
      </c>
    </row>
    <row r="1685" spans="17:31" ht="20.100000000000001" customHeight="1" x14ac:dyDescent="0.25">
      <c r="Q1685" s="7">
        <f t="shared" si="26"/>
        <v>0</v>
      </c>
      <c r="R1685" s="7" t="e">
        <f>IF(VLOOKUP($A1685,'Concrete Beam Schedule'!$A$2:$Q$2902,R$2,0)&lt;&gt;B1685,VLOOKUP($A1685,'Concrete Beam Schedule'!$A$2:$Q$2902,R$2,0),"")</f>
        <v>#N/A</v>
      </c>
      <c r="S1685" s="7" t="e">
        <f>IF(VLOOKUP($A1685,'Concrete Beam Schedule'!$A$2:$Q$2902,S$2,0)&lt;&gt;C1685,VLOOKUP($A1685,'Concrete Beam Schedule'!$A$2:$Q$2902,S$2,0),"")</f>
        <v>#N/A</v>
      </c>
      <c r="T1685" s="7" t="e">
        <f>IF(VLOOKUP($A1685,'Concrete Beam Schedule'!$A$2:$Q$2902,T$2,0)&lt;&gt;D1685,"Beam Revised","")</f>
        <v>#N/A</v>
      </c>
      <c r="U1685" s="7" t="e">
        <f>IF(VLOOKUP($A1685,'Concrete Beam Schedule'!$A$2:$Q$2902,U$2,0)&lt;&gt;E1685,"Beam Revised","")</f>
        <v>#N/A</v>
      </c>
      <c r="V1685" s="7" t="e">
        <f>IF(VLOOKUP($A1685,'Concrete Beam Schedule'!$A$2:$Q$2902,V$2,0)&lt;&gt;F1685,"Beam Revised","")</f>
        <v>#N/A</v>
      </c>
      <c r="W1685" s="7" t="e">
        <f>IF(VLOOKUP($A1685,'Concrete Beam Schedule'!$A$2:$Q$2902,W$2,0)&lt;&gt;G1685,"Beam Revised","")</f>
        <v>#N/A</v>
      </c>
      <c r="X1685" s="7" t="e">
        <f>IF(VLOOKUP($A1685,'Concrete Beam Schedule'!$A$2:$Q$2902,X$2,0)&lt;&gt;H1685,"Beam Revised","")</f>
        <v>#N/A</v>
      </c>
      <c r="Y1685" s="7" t="e">
        <f>IF(VLOOKUP($A1685,'Concrete Beam Schedule'!$A$2:$Q$2902,Y$2,0)&lt;&gt;I1685,"Beam Revised","")</f>
        <v>#N/A</v>
      </c>
      <c r="Z1685" s="7" t="e">
        <f>IF(VLOOKUP($A1685,'Concrete Beam Schedule'!$A$2:$Q$2902,Z$2,0)&lt;&gt;J1685,"Beam Revised","")</f>
        <v>#N/A</v>
      </c>
      <c r="AA1685" s="7" t="e">
        <f>IF(VLOOKUP($A1685,'Concrete Beam Schedule'!$A$2:$Q$2902,AA$2,0)&lt;&gt;K1685,"Beam Revised","")</f>
        <v>#N/A</v>
      </c>
      <c r="AB1685" s="7" t="e">
        <f>IF(VLOOKUP($A1685,'Concrete Beam Schedule'!$A$2:$Q$2902,AB$2,0)&lt;&gt;L1685,"Beam Revised","")</f>
        <v>#N/A</v>
      </c>
      <c r="AC1685" s="7" t="e">
        <f>IF(VLOOKUP($A1685,'Concrete Beam Schedule'!$A$2:$Q$2902,AC$2,0)&lt;&gt;M1685,"Beam Revised","")</f>
        <v>#N/A</v>
      </c>
      <c r="AD1685" s="7" t="e">
        <f>IF(VLOOKUP($A1685,'Concrete Beam Schedule'!$A$2:$Q$2902,AD$2,0)&lt;&gt;N1685,"Beam Revised","")</f>
        <v>#N/A</v>
      </c>
      <c r="AE1685" s="7" t="e">
        <f>IF(VLOOKUP($A1685,'Concrete Beam Schedule'!$A$2:$Q$2902,AE$2,0)&lt;&gt;O1685,"Beam Revised","")</f>
        <v>#N/A</v>
      </c>
    </row>
    <row r="1686" spans="17:31" ht="20.100000000000001" customHeight="1" x14ac:dyDescent="0.25">
      <c r="Q1686" s="7">
        <f t="shared" si="26"/>
        <v>0</v>
      </c>
      <c r="R1686" s="7" t="e">
        <f>IF(VLOOKUP($A1686,'Concrete Beam Schedule'!$A$2:$Q$2902,R$2,0)&lt;&gt;B1686,VLOOKUP($A1686,'Concrete Beam Schedule'!$A$2:$Q$2902,R$2,0),"")</f>
        <v>#N/A</v>
      </c>
      <c r="S1686" s="7" t="e">
        <f>IF(VLOOKUP($A1686,'Concrete Beam Schedule'!$A$2:$Q$2902,S$2,0)&lt;&gt;C1686,VLOOKUP($A1686,'Concrete Beam Schedule'!$A$2:$Q$2902,S$2,0),"")</f>
        <v>#N/A</v>
      </c>
      <c r="T1686" s="7" t="e">
        <f>IF(VLOOKUP($A1686,'Concrete Beam Schedule'!$A$2:$Q$2902,T$2,0)&lt;&gt;D1686,"Beam Revised","")</f>
        <v>#N/A</v>
      </c>
      <c r="U1686" s="7" t="e">
        <f>IF(VLOOKUP($A1686,'Concrete Beam Schedule'!$A$2:$Q$2902,U$2,0)&lt;&gt;E1686,"Beam Revised","")</f>
        <v>#N/A</v>
      </c>
      <c r="V1686" s="7" t="e">
        <f>IF(VLOOKUP($A1686,'Concrete Beam Schedule'!$A$2:$Q$2902,V$2,0)&lt;&gt;F1686,"Beam Revised","")</f>
        <v>#N/A</v>
      </c>
      <c r="W1686" s="7" t="e">
        <f>IF(VLOOKUP($A1686,'Concrete Beam Schedule'!$A$2:$Q$2902,W$2,0)&lt;&gt;G1686,"Beam Revised","")</f>
        <v>#N/A</v>
      </c>
      <c r="X1686" s="7" t="e">
        <f>IF(VLOOKUP($A1686,'Concrete Beam Schedule'!$A$2:$Q$2902,X$2,0)&lt;&gt;H1686,"Beam Revised","")</f>
        <v>#N/A</v>
      </c>
      <c r="Y1686" s="7" t="e">
        <f>IF(VLOOKUP($A1686,'Concrete Beam Schedule'!$A$2:$Q$2902,Y$2,0)&lt;&gt;I1686,"Beam Revised","")</f>
        <v>#N/A</v>
      </c>
      <c r="Z1686" s="7" t="e">
        <f>IF(VLOOKUP($A1686,'Concrete Beam Schedule'!$A$2:$Q$2902,Z$2,0)&lt;&gt;J1686,"Beam Revised","")</f>
        <v>#N/A</v>
      </c>
      <c r="AA1686" s="7" t="e">
        <f>IF(VLOOKUP($A1686,'Concrete Beam Schedule'!$A$2:$Q$2902,AA$2,0)&lt;&gt;K1686,"Beam Revised","")</f>
        <v>#N/A</v>
      </c>
      <c r="AB1686" s="7" t="e">
        <f>IF(VLOOKUP($A1686,'Concrete Beam Schedule'!$A$2:$Q$2902,AB$2,0)&lt;&gt;L1686,"Beam Revised","")</f>
        <v>#N/A</v>
      </c>
      <c r="AC1686" s="7" t="e">
        <f>IF(VLOOKUP($A1686,'Concrete Beam Schedule'!$A$2:$Q$2902,AC$2,0)&lt;&gt;M1686,"Beam Revised","")</f>
        <v>#N/A</v>
      </c>
      <c r="AD1686" s="7" t="e">
        <f>IF(VLOOKUP($A1686,'Concrete Beam Schedule'!$A$2:$Q$2902,AD$2,0)&lt;&gt;N1686,"Beam Revised","")</f>
        <v>#N/A</v>
      </c>
      <c r="AE1686" s="7" t="e">
        <f>IF(VLOOKUP($A1686,'Concrete Beam Schedule'!$A$2:$Q$2902,AE$2,0)&lt;&gt;O1686,"Beam Revised","")</f>
        <v>#N/A</v>
      </c>
    </row>
    <row r="1687" spans="17:31" ht="20.100000000000001" customHeight="1" x14ac:dyDescent="0.25">
      <c r="Q1687" s="7">
        <f t="shared" si="26"/>
        <v>0</v>
      </c>
      <c r="R1687" s="7" t="e">
        <f>IF(VLOOKUP($A1687,'Concrete Beam Schedule'!$A$2:$Q$2902,R$2,0)&lt;&gt;B1687,VLOOKUP($A1687,'Concrete Beam Schedule'!$A$2:$Q$2902,R$2,0),"")</f>
        <v>#N/A</v>
      </c>
      <c r="S1687" s="7" t="e">
        <f>IF(VLOOKUP($A1687,'Concrete Beam Schedule'!$A$2:$Q$2902,S$2,0)&lt;&gt;C1687,VLOOKUP($A1687,'Concrete Beam Schedule'!$A$2:$Q$2902,S$2,0),"")</f>
        <v>#N/A</v>
      </c>
      <c r="T1687" s="7" t="e">
        <f>IF(VLOOKUP($A1687,'Concrete Beam Schedule'!$A$2:$Q$2902,T$2,0)&lt;&gt;D1687,"Beam Revised","")</f>
        <v>#N/A</v>
      </c>
      <c r="U1687" s="7" t="e">
        <f>IF(VLOOKUP($A1687,'Concrete Beam Schedule'!$A$2:$Q$2902,U$2,0)&lt;&gt;E1687,"Beam Revised","")</f>
        <v>#N/A</v>
      </c>
      <c r="V1687" s="7" t="e">
        <f>IF(VLOOKUP($A1687,'Concrete Beam Schedule'!$A$2:$Q$2902,V$2,0)&lt;&gt;F1687,"Beam Revised","")</f>
        <v>#N/A</v>
      </c>
      <c r="W1687" s="7" t="e">
        <f>IF(VLOOKUP($A1687,'Concrete Beam Schedule'!$A$2:$Q$2902,W$2,0)&lt;&gt;G1687,"Beam Revised","")</f>
        <v>#N/A</v>
      </c>
      <c r="X1687" s="7" t="e">
        <f>IF(VLOOKUP($A1687,'Concrete Beam Schedule'!$A$2:$Q$2902,X$2,0)&lt;&gt;H1687,"Beam Revised","")</f>
        <v>#N/A</v>
      </c>
      <c r="Y1687" s="7" t="e">
        <f>IF(VLOOKUP($A1687,'Concrete Beam Schedule'!$A$2:$Q$2902,Y$2,0)&lt;&gt;I1687,"Beam Revised","")</f>
        <v>#N/A</v>
      </c>
      <c r="Z1687" s="7" t="e">
        <f>IF(VLOOKUP($A1687,'Concrete Beam Schedule'!$A$2:$Q$2902,Z$2,0)&lt;&gt;J1687,"Beam Revised","")</f>
        <v>#N/A</v>
      </c>
      <c r="AA1687" s="7" t="e">
        <f>IF(VLOOKUP($A1687,'Concrete Beam Schedule'!$A$2:$Q$2902,AA$2,0)&lt;&gt;K1687,"Beam Revised","")</f>
        <v>#N/A</v>
      </c>
      <c r="AB1687" s="7" t="e">
        <f>IF(VLOOKUP($A1687,'Concrete Beam Schedule'!$A$2:$Q$2902,AB$2,0)&lt;&gt;L1687,"Beam Revised","")</f>
        <v>#N/A</v>
      </c>
      <c r="AC1687" s="7" t="e">
        <f>IF(VLOOKUP($A1687,'Concrete Beam Schedule'!$A$2:$Q$2902,AC$2,0)&lt;&gt;M1687,"Beam Revised","")</f>
        <v>#N/A</v>
      </c>
      <c r="AD1687" s="7" t="e">
        <f>IF(VLOOKUP($A1687,'Concrete Beam Schedule'!$A$2:$Q$2902,AD$2,0)&lt;&gt;N1687,"Beam Revised","")</f>
        <v>#N/A</v>
      </c>
      <c r="AE1687" s="7" t="e">
        <f>IF(VLOOKUP($A1687,'Concrete Beam Schedule'!$A$2:$Q$2902,AE$2,0)&lt;&gt;O1687,"Beam Revised","")</f>
        <v>#N/A</v>
      </c>
    </row>
    <row r="1688" spans="17:31" ht="20.100000000000001" customHeight="1" x14ac:dyDescent="0.25">
      <c r="Q1688" s="7">
        <f t="shared" si="26"/>
        <v>0</v>
      </c>
      <c r="R1688" s="7" t="e">
        <f>IF(VLOOKUP($A1688,'Concrete Beam Schedule'!$A$2:$Q$2902,R$2,0)&lt;&gt;B1688,VLOOKUP($A1688,'Concrete Beam Schedule'!$A$2:$Q$2902,R$2,0),"")</f>
        <v>#N/A</v>
      </c>
      <c r="S1688" s="7" t="e">
        <f>IF(VLOOKUP($A1688,'Concrete Beam Schedule'!$A$2:$Q$2902,S$2,0)&lt;&gt;C1688,VLOOKUP($A1688,'Concrete Beam Schedule'!$A$2:$Q$2902,S$2,0),"")</f>
        <v>#N/A</v>
      </c>
      <c r="T1688" s="7" t="e">
        <f>IF(VLOOKUP($A1688,'Concrete Beam Schedule'!$A$2:$Q$2902,T$2,0)&lt;&gt;D1688,"Beam Revised","")</f>
        <v>#N/A</v>
      </c>
      <c r="U1688" s="7" t="e">
        <f>IF(VLOOKUP($A1688,'Concrete Beam Schedule'!$A$2:$Q$2902,U$2,0)&lt;&gt;E1688,"Beam Revised","")</f>
        <v>#N/A</v>
      </c>
      <c r="V1688" s="7" t="e">
        <f>IF(VLOOKUP($A1688,'Concrete Beam Schedule'!$A$2:$Q$2902,V$2,0)&lt;&gt;F1688,"Beam Revised","")</f>
        <v>#N/A</v>
      </c>
      <c r="W1688" s="7" t="e">
        <f>IF(VLOOKUP($A1688,'Concrete Beam Schedule'!$A$2:$Q$2902,W$2,0)&lt;&gt;G1688,"Beam Revised","")</f>
        <v>#N/A</v>
      </c>
      <c r="X1688" s="7" t="e">
        <f>IF(VLOOKUP($A1688,'Concrete Beam Schedule'!$A$2:$Q$2902,X$2,0)&lt;&gt;H1688,"Beam Revised","")</f>
        <v>#N/A</v>
      </c>
      <c r="Y1688" s="7" t="e">
        <f>IF(VLOOKUP($A1688,'Concrete Beam Schedule'!$A$2:$Q$2902,Y$2,0)&lt;&gt;I1688,"Beam Revised","")</f>
        <v>#N/A</v>
      </c>
      <c r="Z1688" s="7" t="e">
        <f>IF(VLOOKUP($A1688,'Concrete Beam Schedule'!$A$2:$Q$2902,Z$2,0)&lt;&gt;J1688,"Beam Revised","")</f>
        <v>#N/A</v>
      </c>
      <c r="AA1688" s="7" t="e">
        <f>IF(VLOOKUP($A1688,'Concrete Beam Schedule'!$A$2:$Q$2902,AA$2,0)&lt;&gt;K1688,"Beam Revised","")</f>
        <v>#N/A</v>
      </c>
      <c r="AB1688" s="7" t="e">
        <f>IF(VLOOKUP($A1688,'Concrete Beam Schedule'!$A$2:$Q$2902,AB$2,0)&lt;&gt;L1688,"Beam Revised","")</f>
        <v>#N/A</v>
      </c>
      <c r="AC1688" s="7" t="e">
        <f>IF(VLOOKUP($A1688,'Concrete Beam Schedule'!$A$2:$Q$2902,AC$2,0)&lt;&gt;M1688,"Beam Revised","")</f>
        <v>#N/A</v>
      </c>
      <c r="AD1688" s="7" t="e">
        <f>IF(VLOOKUP($A1688,'Concrete Beam Schedule'!$A$2:$Q$2902,AD$2,0)&lt;&gt;N1688,"Beam Revised","")</f>
        <v>#N/A</v>
      </c>
      <c r="AE1688" s="7" t="e">
        <f>IF(VLOOKUP($A1688,'Concrete Beam Schedule'!$A$2:$Q$2902,AE$2,0)&lt;&gt;O1688,"Beam Revised","")</f>
        <v>#N/A</v>
      </c>
    </row>
    <row r="1689" spans="17:31" ht="20.100000000000001" customHeight="1" x14ac:dyDescent="0.25">
      <c r="Q1689" s="7">
        <f t="shared" si="26"/>
        <v>0</v>
      </c>
      <c r="R1689" s="7" t="e">
        <f>IF(VLOOKUP($A1689,'Concrete Beam Schedule'!$A$2:$Q$2902,R$2,0)&lt;&gt;B1689,VLOOKUP($A1689,'Concrete Beam Schedule'!$A$2:$Q$2902,R$2,0),"")</f>
        <v>#N/A</v>
      </c>
      <c r="S1689" s="7" t="e">
        <f>IF(VLOOKUP($A1689,'Concrete Beam Schedule'!$A$2:$Q$2902,S$2,0)&lt;&gt;C1689,VLOOKUP($A1689,'Concrete Beam Schedule'!$A$2:$Q$2902,S$2,0),"")</f>
        <v>#N/A</v>
      </c>
      <c r="T1689" s="7" t="e">
        <f>IF(VLOOKUP($A1689,'Concrete Beam Schedule'!$A$2:$Q$2902,T$2,0)&lt;&gt;D1689,"Beam Revised","")</f>
        <v>#N/A</v>
      </c>
      <c r="U1689" s="7" t="e">
        <f>IF(VLOOKUP($A1689,'Concrete Beam Schedule'!$A$2:$Q$2902,U$2,0)&lt;&gt;E1689,"Beam Revised","")</f>
        <v>#N/A</v>
      </c>
      <c r="V1689" s="7" t="e">
        <f>IF(VLOOKUP($A1689,'Concrete Beam Schedule'!$A$2:$Q$2902,V$2,0)&lt;&gt;F1689,"Beam Revised","")</f>
        <v>#N/A</v>
      </c>
      <c r="W1689" s="7" t="e">
        <f>IF(VLOOKUP($A1689,'Concrete Beam Schedule'!$A$2:$Q$2902,W$2,0)&lt;&gt;G1689,"Beam Revised","")</f>
        <v>#N/A</v>
      </c>
      <c r="X1689" s="7" t="e">
        <f>IF(VLOOKUP($A1689,'Concrete Beam Schedule'!$A$2:$Q$2902,X$2,0)&lt;&gt;H1689,"Beam Revised","")</f>
        <v>#N/A</v>
      </c>
      <c r="Y1689" s="7" t="e">
        <f>IF(VLOOKUP($A1689,'Concrete Beam Schedule'!$A$2:$Q$2902,Y$2,0)&lt;&gt;I1689,"Beam Revised","")</f>
        <v>#N/A</v>
      </c>
      <c r="Z1689" s="7" t="e">
        <f>IF(VLOOKUP($A1689,'Concrete Beam Schedule'!$A$2:$Q$2902,Z$2,0)&lt;&gt;J1689,"Beam Revised","")</f>
        <v>#N/A</v>
      </c>
      <c r="AA1689" s="7" t="e">
        <f>IF(VLOOKUP($A1689,'Concrete Beam Schedule'!$A$2:$Q$2902,AA$2,0)&lt;&gt;K1689,"Beam Revised","")</f>
        <v>#N/A</v>
      </c>
      <c r="AB1689" s="7" t="e">
        <f>IF(VLOOKUP($A1689,'Concrete Beam Schedule'!$A$2:$Q$2902,AB$2,0)&lt;&gt;L1689,"Beam Revised","")</f>
        <v>#N/A</v>
      </c>
      <c r="AC1689" s="7" t="e">
        <f>IF(VLOOKUP($A1689,'Concrete Beam Schedule'!$A$2:$Q$2902,AC$2,0)&lt;&gt;M1689,"Beam Revised","")</f>
        <v>#N/A</v>
      </c>
      <c r="AD1689" s="7" t="e">
        <f>IF(VLOOKUP($A1689,'Concrete Beam Schedule'!$A$2:$Q$2902,AD$2,0)&lt;&gt;N1689,"Beam Revised","")</f>
        <v>#N/A</v>
      </c>
      <c r="AE1689" s="7" t="e">
        <f>IF(VLOOKUP($A1689,'Concrete Beam Schedule'!$A$2:$Q$2902,AE$2,0)&lt;&gt;O1689,"Beam Revised","")</f>
        <v>#N/A</v>
      </c>
    </row>
    <row r="1690" spans="17:31" ht="20.100000000000001" customHeight="1" x14ac:dyDescent="0.25">
      <c r="Q1690" s="7">
        <f t="shared" si="26"/>
        <v>0</v>
      </c>
      <c r="R1690" s="7" t="e">
        <f>IF(VLOOKUP($A1690,'Concrete Beam Schedule'!$A$2:$Q$2902,R$2,0)&lt;&gt;B1690,VLOOKUP($A1690,'Concrete Beam Schedule'!$A$2:$Q$2902,R$2,0),"")</f>
        <v>#N/A</v>
      </c>
      <c r="S1690" s="7" t="e">
        <f>IF(VLOOKUP($A1690,'Concrete Beam Schedule'!$A$2:$Q$2902,S$2,0)&lt;&gt;C1690,VLOOKUP($A1690,'Concrete Beam Schedule'!$A$2:$Q$2902,S$2,0),"")</f>
        <v>#N/A</v>
      </c>
      <c r="T1690" s="7" t="e">
        <f>IF(VLOOKUP($A1690,'Concrete Beam Schedule'!$A$2:$Q$2902,T$2,0)&lt;&gt;D1690,"Beam Revised","")</f>
        <v>#N/A</v>
      </c>
      <c r="U1690" s="7" t="e">
        <f>IF(VLOOKUP($A1690,'Concrete Beam Schedule'!$A$2:$Q$2902,U$2,0)&lt;&gt;E1690,"Beam Revised","")</f>
        <v>#N/A</v>
      </c>
      <c r="V1690" s="7" t="e">
        <f>IF(VLOOKUP($A1690,'Concrete Beam Schedule'!$A$2:$Q$2902,V$2,0)&lt;&gt;F1690,"Beam Revised","")</f>
        <v>#N/A</v>
      </c>
      <c r="W1690" s="7" t="e">
        <f>IF(VLOOKUP($A1690,'Concrete Beam Schedule'!$A$2:$Q$2902,W$2,0)&lt;&gt;G1690,"Beam Revised","")</f>
        <v>#N/A</v>
      </c>
      <c r="X1690" s="7" t="e">
        <f>IF(VLOOKUP($A1690,'Concrete Beam Schedule'!$A$2:$Q$2902,X$2,0)&lt;&gt;H1690,"Beam Revised","")</f>
        <v>#N/A</v>
      </c>
      <c r="Y1690" s="7" t="e">
        <f>IF(VLOOKUP($A1690,'Concrete Beam Schedule'!$A$2:$Q$2902,Y$2,0)&lt;&gt;I1690,"Beam Revised","")</f>
        <v>#N/A</v>
      </c>
      <c r="Z1690" s="7" t="e">
        <f>IF(VLOOKUP($A1690,'Concrete Beam Schedule'!$A$2:$Q$2902,Z$2,0)&lt;&gt;J1690,"Beam Revised","")</f>
        <v>#N/A</v>
      </c>
      <c r="AA1690" s="7" t="e">
        <f>IF(VLOOKUP($A1690,'Concrete Beam Schedule'!$A$2:$Q$2902,AA$2,0)&lt;&gt;K1690,"Beam Revised","")</f>
        <v>#N/A</v>
      </c>
      <c r="AB1690" s="7" t="e">
        <f>IF(VLOOKUP($A1690,'Concrete Beam Schedule'!$A$2:$Q$2902,AB$2,0)&lt;&gt;L1690,"Beam Revised","")</f>
        <v>#N/A</v>
      </c>
      <c r="AC1690" s="7" t="e">
        <f>IF(VLOOKUP($A1690,'Concrete Beam Schedule'!$A$2:$Q$2902,AC$2,0)&lt;&gt;M1690,"Beam Revised","")</f>
        <v>#N/A</v>
      </c>
      <c r="AD1690" s="7" t="e">
        <f>IF(VLOOKUP($A1690,'Concrete Beam Schedule'!$A$2:$Q$2902,AD$2,0)&lt;&gt;N1690,"Beam Revised","")</f>
        <v>#N/A</v>
      </c>
      <c r="AE1690" s="7" t="e">
        <f>IF(VLOOKUP($A1690,'Concrete Beam Schedule'!$A$2:$Q$2902,AE$2,0)&lt;&gt;O1690,"Beam Revised","")</f>
        <v>#N/A</v>
      </c>
    </row>
    <row r="1691" spans="17:31" ht="20.100000000000001" customHeight="1" x14ac:dyDescent="0.25">
      <c r="Q1691" s="7">
        <f t="shared" si="26"/>
        <v>0</v>
      </c>
      <c r="R1691" s="7" t="e">
        <f>IF(VLOOKUP($A1691,'Concrete Beam Schedule'!$A$2:$Q$2902,R$2,0)&lt;&gt;B1691,VLOOKUP($A1691,'Concrete Beam Schedule'!$A$2:$Q$2902,R$2,0),"")</f>
        <v>#N/A</v>
      </c>
      <c r="S1691" s="7" t="e">
        <f>IF(VLOOKUP($A1691,'Concrete Beam Schedule'!$A$2:$Q$2902,S$2,0)&lt;&gt;C1691,VLOOKUP($A1691,'Concrete Beam Schedule'!$A$2:$Q$2902,S$2,0),"")</f>
        <v>#N/A</v>
      </c>
      <c r="T1691" s="7" t="e">
        <f>IF(VLOOKUP($A1691,'Concrete Beam Schedule'!$A$2:$Q$2902,T$2,0)&lt;&gt;D1691,"Beam Revised","")</f>
        <v>#N/A</v>
      </c>
      <c r="U1691" s="7" t="e">
        <f>IF(VLOOKUP($A1691,'Concrete Beam Schedule'!$A$2:$Q$2902,U$2,0)&lt;&gt;E1691,"Beam Revised","")</f>
        <v>#N/A</v>
      </c>
      <c r="V1691" s="7" t="e">
        <f>IF(VLOOKUP($A1691,'Concrete Beam Schedule'!$A$2:$Q$2902,V$2,0)&lt;&gt;F1691,"Beam Revised","")</f>
        <v>#N/A</v>
      </c>
      <c r="W1691" s="7" t="e">
        <f>IF(VLOOKUP($A1691,'Concrete Beam Schedule'!$A$2:$Q$2902,W$2,0)&lt;&gt;G1691,"Beam Revised","")</f>
        <v>#N/A</v>
      </c>
      <c r="X1691" s="7" t="e">
        <f>IF(VLOOKUP($A1691,'Concrete Beam Schedule'!$A$2:$Q$2902,X$2,0)&lt;&gt;H1691,"Beam Revised","")</f>
        <v>#N/A</v>
      </c>
      <c r="Y1691" s="7" t="e">
        <f>IF(VLOOKUP($A1691,'Concrete Beam Schedule'!$A$2:$Q$2902,Y$2,0)&lt;&gt;I1691,"Beam Revised","")</f>
        <v>#N/A</v>
      </c>
      <c r="Z1691" s="7" t="e">
        <f>IF(VLOOKUP($A1691,'Concrete Beam Schedule'!$A$2:$Q$2902,Z$2,0)&lt;&gt;J1691,"Beam Revised","")</f>
        <v>#N/A</v>
      </c>
      <c r="AA1691" s="7" t="e">
        <f>IF(VLOOKUP($A1691,'Concrete Beam Schedule'!$A$2:$Q$2902,AA$2,0)&lt;&gt;K1691,"Beam Revised","")</f>
        <v>#N/A</v>
      </c>
      <c r="AB1691" s="7" t="e">
        <f>IF(VLOOKUP($A1691,'Concrete Beam Schedule'!$A$2:$Q$2902,AB$2,0)&lt;&gt;L1691,"Beam Revised","")</f>
        <v>#N/A</v>
      </c>
      <c r="AC1691" s="7" t="e">
        <f>IF(VLOOKUP($A1691,'Concrete Beam Schedule'!$A$2:$Q$2902,AC$2,0)&lt;&gt;M1691,"Beam Revised","")</f>
        <v>#N/A</v>
      </c>
      <c r="AD1691" s="7" t="e">
        <f>IF(VLOOKUP($A1691,'Concrete Beam Schedule'!$A$2:$Q$2902,AD$2,0)&lt;&gt;N1691,"Beam Revised","")</f>
        <v>#N/A</v>
      </c>
      <c r="AE1691" s="7" t="e">
        <f>IF(VLOOKUP($A1691,'Concrete Beam Schedule'!$A$2:$Q$2902,AE$2,0)&lt;&gt;O1691,"Beam Revised","")</f>
        <v>#N/A</v>
      </c>
    </row>
    <row r="1692" spans="17:31" ht="20.100000000000001" customHeight="1" x14ac:dyDescent="0.25">
      <c r="Q1692" s="7">
        <f t="shared" si="26"/>
        <v>0</v>
      </c>
      <c r="R1692" s="7" t="e">
        <f>IF(VLOOKUP($A1692,'Concrete Beam Schedule'!$A$2:$Q$2902,R$2,0)&lt;&gt;B1692,VLOOKUP($A1692,'Concrete Beam Schedule'!$A$2:$Q$2902,R$2,0),"")</f>
        <v>#N/A</v>
      </c>
      <c r="S1692" s="7" t="e">
        <f>IF(VLOOKUP($A1692,'Concrete Beam Schedule'!$A$2:$Q$2902,S$2,0)&lt;&gt;C1692,VLOOKUP($A1692,'Concrete Beam Schedule'!$A$2:$Q$2902,S$2,0),"")</f>
        <v>#N/A</v>
      </c>
      <c r="T1692" s="7" t="e">
        <f>IF(VLOOKUP($A1692,'Concrete Beam Schedule'!$A$2:$Q$2902,T$2,0)&lt;&gt;D1692,"Beam Revised","")</f>
        <v>#N/A</v>
      </c>
      <c r="U1692" s="7" t="e">
        <f>IF(VLOOKUP($A1692,'Concrete Beam Schedule'!$A$2:$Q$2902,U$2,0)&lt;&gt;E1692,"Beam Revised","")</f>
        <v>#N/A</v>
      </c>
      <c r="V1692" s="7" t="e">
        <f>IF(VLOOKUP($A1692,'Concrete Beam Schedule'!$A$2:$Q$2902,V$2,0)&lt;&gt;F1692,"Beam Revised","")</f>
        <v>#N/A</v>
      </c>
      <c r="W1692" s="7" t="e">
        <f>IF(VLOOKUP($A1692,'Concrete Beam Schedule'!$A$2:$Q$2902,W$2,0)&lt;&gt;G1692,"Beam Revised","")</f>
        <v>#N/A</v>
      </c>
      <c r="X1692" s="7" t="e">
        <f>IF(VLOOKUP($A1692,'Concrete Beam Schedule'!$A$2:$Q$2902,X$2,0)&lt;&gt;H1692,"Beam Revised","")</f>
        <v>#N/A</v>
      </c>
      <c r="Y1692" s="7" t="e">
        <f>IF(VLOOKUP($A1692,'Concrete Beam Schedule'!$A$2:$Q$2902,Y$2,0)&lt;&gt;I1692,"Beam Revised","")</f>
        <v>#N/A</v>
      </c>
      <c r="Z1692" s="7" t="e">
        <f>IF(VLOOKUP($A1692,'Concrete Beam Schedule'!$A$2:$Q$2902,Z$2,0)&lt;&gt;J1692,"Beam Revised","")</f>
        <v>#N/A</v>
      </c>
      <c r="AA1692" s="7" t="e">
        <f>IF(VLOOKUP($A1692,'Concrete Beam Schedule'!$A$2:$Q$2902,AA$2,0)&lt;&gt;K1692,"Beam Revised","")</f>
        <v>#N/A</v>
      </c>
      <c r="AB1692" s="7" t="e">
        <f>IF(VLOOKUP($A1692,'Concrete Beam Schedule'!$A$2:$Q$2902,AB$2,0)&lt;&gt;L1692,"Beam Revised","")</f>
        <v>#N/A</v>
      </c>
      <c r="AC1692" s="7" t="e">
        <f>IF(VLOOKUP($A1692,'Concrete Beam Schedule'!$A$2:$Q$2902,AC$2,0)&lt;&gt;M1692,"Beam Revised","")</f>
        <v>#N/A</v>
      </c>
      <c r="AD1692" s="7" t="e">
        <f>IF(VLOOKUP($A1692,'Concrete Beam Schedule'!$A$2:$Q$2902,AD$2,0)&lt;&gt;N1692,"Beam Revised","")</f>
        <v>#N/A</v>
      </c>
      <c r="AE1692" s="7" t="e">
        <f>IF(VLOOKUP($A1692,'Concrete Beam Schedule'!$A$2:$Q$2902,AE$2,0)&lt;&gt;O1692,"Beam Revised","")</f>
        <v>#N/A</v>
      </c>
    </row>
    <row r="1693" spans="17:31" ht="20.100000000000001" customHeight="1" x14ac:dyDescent="0.25">
      <c r="Q1693" s="7">
        <f t="shared" si="26"/>
        <v>0</v>
      </c>
      <c r="R1693" s="7" t="e">
        <f>IF(VLOOKUP($A1693,'Concrete Beam Schedule'!$A$2:$Q$2902,R$2,0)&lt;&gt;B1693,VLOOKUP($A1693,'Concrete Beam Schedule'!$A$2:$Q$2902,R$2,0),"")</f>
        <v>#N/A</v>
      </c>
      <c r="S1693" s="7" t="e">
        <f>IF(VLOOKUP($A1693,'Concrete Beam Schedule'!$A$2:$Q$2902,S$2,0)&lt;&gt;C1693,VLOOKUP($A1693,'Concrete Beam Schedule'!$A$2:$Q$2902,S$2,0),"")</f>
        <v>#N/A</v>
      </c>
      <c r="T1693" s="7" t="e">
        <f>IF(VLOOKUP($A1693,'Concrete Beam Schedule'!$A$2:$Q$2902,T$2,0)&lt;&gt;D1693,"Beam Revised","")</f>
        <v>#N/A</v>
      </c>
      <c r="U1693" s="7" t="e">
        <f>IF(VLOOKUP($A1693,'Concrete Beam Schedule'!$A$2:$Q$2902,U$2,0)&lt;&gt;E1693,"Beam Revised","")</f>
        <v>#N/A</v>
      </c>
      <c r="V1693" s="7" t="e">
        <f>IF(VLOOKUP($A1693,'Concrete Beam Schedule'!$A$2:$Q$2902,V$2,0)&lt;&gt;F1693,"Beam Revised","")</f>
        <v>#N/A</v>
      </c>
      <c r="W1693" s="7" t="e">
        <f>IF(VLOOKUP($A1693,'Concrete Beam Schedule'!$A$2:$Q$2902,W$2,0)&lt;&gt;G1693,"Beam Revised","")</f>
        <v>#N/A</v>
      </c>
      <c r="X1693" s="7" t="e">
        <f>IF(VLOOKUP($A1693,'Concrete Beam Schedule'!$A$2:$Q$2902,X$2,0)&lt;&gt;H1693,"Beam Revised","")</f>
        <v>#N/A</v>
      </c>
      <c r="Y1693" s="7" t="e">
        <f>IF(VLOOKUP($A1693,'Concrete Beam Schedule'!$A$2:$Q$2902,Y$2,0)&lt;&gt;I1693,"Beam Revised","")</f>
        <v>#N/A</v>
      </c>
      <c r="Z1693" s="7" t="e">
        <f>IF(VLOOKUP($A1693,'Concrete Beam Schedule'!$A$2:$Q$2902,Z$2,0)&lt;&gt;J1693,"Beam Revised","")</f>
        <v>#N/A</v>
      </c>
      <c r="AA1693" s="7" t="e">
        <f>IF(VLOOKUP($A1693,'Concrete Beam Schedule'!$A$2:$Q$2902,AA$2,0)&lt;&gt;K1693,"Beam Revised","")</f>
        <v>#N/A</v>
      </c>
      <c r="AB1693" s="7" t="e">
        <f>IF(VLOOKUP($A1693,'Concrete Beam Schedule'!$A$2:$Q$2902,AB$2,0)&lt;&gt;L1693,"Beam Revised","")</f>
        <v>#N/A</v>
      </c>
      <c r="AC1693" s="7" t="e">
        <f>IF(VLOOKUP($A1693,'Concrete Beam Schedule'!$A$2:$Q$2902,AC$2,0)&lt;&gt;M1693,"Beam Revised","")</f>
        <v>#N/A</v>
      </c>
      <c r="AD1693" s="7" t="e">
        <f>IF(VLOOKUP($A1693,'Concrete Beam Schedule'!$A$2:$Q$2902,AD$2,0)&lt;&gt;N1693,"Beam Revised","")</f>
        <v>#N/A</v>
      </c>
      <c r="AE1693" s="7" t="e">
        <f>IF(VLOOKUP($A1693,'Concrete Beam Schedule'!$A$2:$Q$2902,AE$2,0)&lt;&gt;O1693,"Beam Revised","")</f>
        <v>#N/A</v>
      </c>
    </row>
    <row r="1694" spans="17:31" ht="20.100000000000001" customHeight="1" x14ac:dyDescent="0.25">
      <c r="Q1694" s="7">
        <f t="shared" si="26"/>
        <v>0</v>
      </c>
      <c r="R1694" s="7" t="e">
        <f>IF(VLOOKUP($A1694,'Concrete Beam Schedule'!$A$2:$Q$2902,R$2,0)&lt;&gt;B1694,VLOOKUP($A1694,'Concrete Beam Schedule'!$A$2:$Q$2902,R$2,0),"")</f>
        <v>#N/A</v>
      </c>
      <c r="S1694" s="7" t="e">
        <f>IF(VLOOKUP($A1694,'Concrete Beam Schedule'!$A$2:$Q$2902,S$2,0)&lt;&gt;C1694,VLOOKUP($A1694,'Concrete Beam Schedule'!$A$2:$Q$2902,S$2,0),"")</f>
        <v>#N/A</v>
      </c>
      <c r="T1694" s="7" t="e">
        <f>IF(VLOOKUP($A1694,'Concrete Beam Schedule'!$A$2:$Q$2902,T$2,0)&lt;&gt;D1694,"Beam Revised","")</f>
        <v>#N/A</v>
      </c>
      <c r="U1694" s="7" t="e">
        <f>IF(VLOOKUP($A1694,'Concrete Beam Schedule'!$A$2:$Q$2902,U$2,0)&lt;&gt;E1694,"Beam Revised","")</f>
        <v>#N/A</v>
      </c>
      <c r="V1694" s="7" t="e">
        <f>IF(VLOOKUP($A1694,'Concrete Beam Schedule'!$A$2:$Q$2902,V$2,0)&lt;&gt;F1694,"Beam Revised","")</f>
        <v>#N/A</v>
      </c>
      <c r="W1694" s="7" t="e">
        <f>IF(VLOOKUP($A1694,'Concrete Beam Schedule'!$A$2:$Q$2902,W$2,0)&lt;&gt;G1694,"Beam Revised","")</f>
        <v>#N/A</v>
      </c>
      <c r="X1694" s="7" t="e">
        <f>IF(VLOOKUP($A1694,'Concrete Beam Schedule'!$A$2:$Q$2902,X$2,0)&lt;&gt;H1694,"Beam Revised","")</f>
        <v>#N/A</v>
      </c>
      <c r="Y1694" s="7" t="e">
        <f>IF(VLOOKUP($A1694,'Concrete Beam Schedule'!$A$2:$Q$2902,Y$2,0)&lt;&gt;I1694,"Beam Revised","")</f>
        <v>#N/A</v>
      </c>
      <c r="Z1694" s="7" t="e">
        <f>IF(VLOOKUP($A1694,'Concrete Beam Schedule'!$A$2:$Q$2902,Z$2,0)&lt;&gt;J1694,"Beam Revised","")</f>
        <v>#N/A</v>
      </c>
      <c r="AA1694" s="7" t="e">
        <f>IF(VLOOKUP($A1694,'Concrete Beam Schedule'!$A$2:$Q$2902,AA$2,0)&lt;&gt;K1694,"Beam Revised","")</f>
        <v>#N/A</v>
      </c>
      <c r="AB1694" s="7" t="e">
        <f>IF(VLOOKUP($A1694,'Concrete Beam Schedule'!$A$2:$Q$2902,AB$2,0)&lt;&gt;L1694,"Beam Revised","")</f>
        <v>#N/A</v>
      </c>
      <c r="AC1694" s="7" t="e">
        <f>IF(VLOOKUP($A1694,'Concrete Beam Schedule'!$A$2:$Q$2902,AC$2,0)&lt;&gt;M1694,"Beam Revised","")</f>
        <v>#N/A</v>
      </c>
      <c r="AD1694" s="7" t="e">
        <f>IF(VLOOKUP($A1694,'Concrete Beam Schedule'!$A$2:$Q$2902,AD$2,0)&lt;&gt;N1694,"Beam Revised","")</f>
        <v>#N/A</v>
      </c>
      <c r="AE1694" s="7" t="e">
        <f>IF(VLOOKUP($A1694,'Concrete Beam Schedule'!$A$2:$Q$2902,AE$2,0)&lt;&gt;O1694,"Beam Revised","")</f>
        <v>#N/A</v>
      </c>
    </row>
    <row r="1695" spans="17:31" ht="20.100000000000001" customHeight="1" x14ac:dyDescent="0.25">
      <c r="Q1695" s="7">
        <f t="shared" si="26"/>
        <v>0</v>
      </c>
      <c r="R1695" s="7" t="e">
        <f>IF(VLOOKUP($A1695,'Concrete Beam Schedule'!$A$2:$Q$2902,R$2,0)&lt;&gt;B1695,VLOOKUP($A1695,'Concrete Beam Schedule'!$A$2:$Q$2902,R$2,0),"")</f>
        <v>#N/A</v>
      </c>
      <c r="S1695" s="7" t="e">
        <f>IF(VLOOKUP($A1695,'Concrete Beam Schedule'!$A$2:$Q$2902,S$2,0)&lt;&gt;C1695,VLOOKUP($A1695,'Concrete Beam Schedule'!$A$2:$Q$2902,S$2,0),"")</f>
        <v>#N/A</v>
      </c>
      <c r="T1695" s="7" t="e">
        <f>IF(VLOOKUP($A1695,'Concrete Beam Schedule'!$A$2:$Q$2902,T$2,0)&lt;&gt;D1695,"Beam Revised","")</f>
        <v>#N/A</v>
      </c>
      <c r="U1695" s="7" t="e">
        <f>IF(VLOOKUP($A1695,'Concrete Beam Schedule'!$A$2:$Q$2902,U$2,0)&lt;&gt;E1695,"Beam Revised","")</f>
        <v>#N/A</v>
      </c>
      <c r="V1695" s="7" t="e">
        <f>IF(VLOOKUP($A1695,'Concrete Beam Schedule'!$A$2:$Q$2902,V$2,0)&lt;&gt;F1695,"Beam Revised","")</f>
        <v>#N/A</v>
      </c>
      <c r="W1695" s="7" t="e">
        <f>IF(VLOOKUP($A1695,'Concrete Beam Schedule'!$A$2:$Q$2902,W$2,0)&lt;&gt;G1695,"Beam Revised","")</f>
        <v>#N/A</v>
      </c>
      <c r="X1695" s="7" t="e">
        <f>IF(VLOOKUP($A1695,'Concrete Beam Schedule'!$A$2:$Q$2902,X$2,0)&lt;&gt;H1695,"Beam Revised","")</f>
        <v>#N/A</v>
      </c>
      <c r="Y1695" s="7" t="e">
        <f>IF(VLOOKUP($A1695,'Concrete Beam Schedule'!$A$2:$Q$2902,Y$2,0)&lt;&gt;I1695,"Beam Revised","")</f>
        <v>#N/A</v>
      </c>
      <c r="Z1695" s="7" t="e">
        <f>IF(VLOOKUP($A1695,'Concrete Beam Schedule'!$A$2:$Q$2902,Z$2,0)&lt;&gt;J1695,"Beam Revised","")</f>
        <v>#N/A</v>
      </c>
      <c r="AA1695" s="7" t="e">
        <f>IF(VLOOKUP($A1695,'Concrete Beam Schedule'!$A$2:$Q$2902,AA$2,0)&lt;&gt;K1695,"Beam Revised","")</f>
        <v>#N/A</v>
      </c>
      <c r="AB1695" s="7" t="e">
        <f>IF(VLOOKUP($A1695,'Concrete Beam Schedule'!$A$2:$Q$2902,AB$2,0)&lt;&gt;L1695,"Beam Revised","")</f>
        <v>#N/A</v>
      </c>
      <c r="AC1695" s="7" t="e">
        <f>IF(VLOOKUP($A1695,'Concrete Beam Schedule'!$A$2:$Q$2902,AC$2,0)&lt;&gt;M1695,"Beam Revised","")</f>
        <v>#N/A</v>
      </c>
      <c r="AD1695" s="7" t="e">
        <f>IF(VLOOKUP($A1695,'Concrete Beam Schedule'!$A$2:$Q$2902,AD$2,0)&lt;&gt;N1695,"Beam Revised","")</f>
        <v>#N/A</v>
      </c>
      <c r="AE1695" s="7" t="e">
        <f>IF(VLOOKUP($A1695,'Concrete Beam Schedule'!$A$2:$Q$2902,AE$2,0)&lt;&gt;O1695,"Beam Revised","")</f>
        <v>#N/A</v>
      </c>
    </row>
    <row r="1696" spans="17:31" ht="20.100000000000001" customHeight="1" x14ac:dyDescent="0.25">
      <c r="Q1696" s="7">
        <f t="shared" si="26"/>
        <v>0</v>
      </c>
      <c r="R1696" s="7" t="e">
        <f>IF(VLOOKUP($A1696,'Concrete Beam Schedule'!$A$2:$Q$2902,R$2,0)&lt;&gt;B1696,VLOOKUP($A1696,'Concrete Beam Schedule'!$A$2:$Q$2902,R$2,0),"")</f>
        <v>#N/A</v>
      </c>
      <c r="S1696" s="7" t="e">
        <f>IF(VLOOKUP($A1696,'Concrete Beam Schedule'!$A$2:$Q$2902,S$2,0)&lt;&gt;C1696,VLOOKUP($A1696,'Concrete Beam Schedule'!$A$2:$Q$2902,S$2,0),"")</f>
        <v>#N/A</v>
      </c>
      <c r="T1696" s="7" t="e">
        <f>IF(VLOOKUP($A1696,'Concrete Beam Schedule'!$A$2:$Q$2902,T$2,0)&lt;&gt;D1696,"Beam Revised","")</f>
        <v>#N/A</v>
      </c>
      <c r="U1696" s="7" t="e">
        <f>IF(VLOOKUP($A1696,'Concrete Beam Schedule'!$A$2:$Q$2902,U$2,0)&lt;&gt;E1696,"Beam Revised","")</f>
        <v>#N/A</v>
      </c>
      <c r="V1696" s="7" t="e">
        <f>IF(VLOOKUP($A1696,'Concrete Beam Schedule'!$A$2:$Q$2902,V$2,0)&lt;&gt;F1696,"Beam Revised","")</f>
        <v>#N/A</v>
      </c>
      <c r="W1696" s="7" t="e">
        <f>IF(VLOOKUP($A1696,'Concrete Beam Schedule'!$A$2:$Q$2902,W$2,0)&lt;&gt;G1696,"Beam Revised","")</f>
        <v>#N/A</v>
      </c>
      <c r="X1696" s="7" t="e">
        <f>IF(VLOOKUP($A1696,'Concrete Beam Schedule'!$A$2:$Q$2902,X$2,0)&lt;&gt;H1696,"Beam Revised","")</f>
        <v>#N/A</v>
      </c>
      <c r="Y1696" s="7" t="e">
        <f>IF(VLOOKUP($A1696,'Concrete Beam Schedule'!$A$2:$Q$2902,Y$2,0)&lt;&gt;I1696,"Beam Revised","")</f>
        <v>#N/A</v>
      </c>
      <c r="Z1696" s="7" t="e">
        <f>IF(VLOOKUP($A1696,'Concrete Beam Schedule'!$A$2:$Q$2902,Z$2,0)&lt;&gt;J1696,"Beam Revised","")</f>
        <v>#N/A</v>
      </c>
      <c r="AA1696" s="7" t="e">
        <f>IF(VLOOKUP($A1696,'Concrete Beam Schedule'!$A$2:$Q$2902,AA$2,0)&lt;&gt;K1696,"Beam Revised","")</f>
        <v>#N/A</v>
      </c>
      <c r="AB1696" s="7" t="e">
        <f>IF(VLOOKUP($A1696,'Concrete Beam Schedule'!$A$2:$Q$2902,AB$2,0)&lt;&gt;L1696,"Beam Revised","")</f>
        <v>#N/A</v>
      </c>
      <c r="AC1696" s="7" t="e">
        <f>IF(VLOOKUP($A1696,'Concrete Beam Schedule'!$A$2:$Q$2902,AC$2,0)&lt;&gt;M1696,"Beam Revised","")</f>
        <v>#N/A</v>
      </c>
      <c r="AD1696" s="7" t="e">
        <f>IF(VLOOKUP($A1696,'Concrete Beam Schedule'!$A$2:$Q$2902,AD$2,0)&lt;&gt;N1696,"Beam Revised","")</f>
        <v>#N/A</v>
      </c>
      <c r="AE1696" s="7" t="e">
        <f>IF(VLOOKUP($A1696,'Concrete Beam Schedule'!$A$2:$Q$2902,AE$2,0)&lt;&gt;O1696,"Beam Revised","")</f>
        <v>#N/A</v>
      </c>
    </row>
    <row r="1697" spans="17:31" ht="20.100000000000001" customHeight="1" x14ac:dyDescent="0.25">
      <c r="Q1697" s="7">
        <f t="shared" si="26"/>
        <v>0</v>
      </c>
      <c r="R1697" s="7" t="e">
        <f>IF(VLOOKUP($A1697,'Concrete Beam Schedule'!$A$2:$Q$2902,R$2,0)&lt;&gt;B1697,VLOOKUP($A1697,'Concrete Beam Schedule'!$A$2:$Q$2902,R$2,0),"")</f>
        <v>#N/A</v>
      </c>
      <c r="S1697" s="7" t="e">
        <f>IF(VLOOKUP($A1697,'Concrete Beam Schedule'!$A$2:$Q$2902,S$2,0)&lt;&gt;C1697,VLOOKUP($A1697,'Concrete Beam Schedule'!$A$2:$Q$2902,S$2,0),"")</f>
        <v>#N/A</v>
      </c>
      <c r="T1697" s="7" t="e">
        <f>IF(VLOOKUP($A1697,'Concrete Beam Schedule'!$A$2:$Q$2902,T$2,0)&lt;&gt;D1697,"Beam Revised","")</f>
        <v>#N/A</v>
      </c>
      <c r="U1697" s="7" t="e">
        <f>IF(VLOOKUP($A1697,'Concrete Beam Schedule'!$A$2:$Q$2902,U$2,0)&lt;&gt;E1697,"Beam Revised","")</f>
        <v>#N/A</v>
      </c>
      <c r="V1697" s="7" t="e">
        <f>IF(VLOOKUP($A1697,'Concrete Beam Schedule'!$A$2:$Q$2902,V$2,0)&lt;&gt;F1697,"Beam Revised","")</f>
        <v>#N/A</v>
      </c>
      <c r="W1697" s="7" t="e">
        <f>IF(VLOOKUP($A1697,'Concrete Beam Schedule'!$A$2:$Q$2902,W$2,0)&lt;&gt;G1697,"Beam Revised","")</f>
        <v>#N/A</v>
      </c>
      <c r="X1697" s="7" t="e">
        <f>IF(VLOOKUP($A1697,'Concrete Beam Schedule'!$A$2:$Q$2902,X$2,0)&lt;&gt;H1697,"Beam Revised","")</f>
        <v>#N/A</v>
      </c>
      <c r="Y1697" s="7" t="e">
        <f>IF(VLOOKUP($A1697,'Concrete Beam Schedule'!$A$2:$Q$2902,Y$2,0)&lt;&gt;I1697,"Beam Revised","")</f>
        <v>#N/A</v>
      </c>
      <c r="Z1697" s="7" t="e">
        <f>IF(VLOOKUP($A1697,'Concrete Beam Schedule'!$A$2:$Q$2902,Z$2,0)&lt;&gt;J1697,"Beam Revised","")</f>
        <v>#N/A</v>
      </c>
      <c r="AA1697" s="7" t="e">
        <f>IF(VLOOKUP($A1697,'Concrete Beam Schedule'!$A$2:$Q$2902,AA$2,0)&lt;&gt;K1697,"Beam Revised","")</f>
        <v>#N/A</v>
      </c>
      <c r="AB1697" s="7" t="e">
        <f>IF(VLOOKUP($A1697,'Concrete Beam Schedule'!$A$2:$Q$2902,AB$2,0)&lt;&gt;L1697,"Beam Revised","")</f>
        <v>#N/A</v>
      </c>
      <c r="AC1697" s="7" t="e">
        <f>IF(VLOOKUP($A1697,'Concrete Beam Schedule'!$A$2:$Q$2902,AC$2,0)&lt;&gt;M1697,"Beam Revised","")</f>
        <v>#N/A</v>
      </c>
      <c r="AD1697" s="7" t="e">
        <f>IF(VLOOKUP($A1697,'Concrete Beam Schedule'!$A$2:$Q$2902,AD$2,0)&lt;&gt;N1697,"Beam Revised","")</f>
        <v>#N/A</v>
      </c>
      <c r="AE1697" s="7" t="e">
        <f>IF(VLOOKUP($A1697,'Concrete Beam Schedule'!$A$2:$Q$2902,AE$2,0)&lt;&gt;O1697,"Beam Revised","")</f>
        <v>#N/A</v>
      </c>
    </row>
    <row r="1698" spans="17:31" ht="20.100000000000001" customHeight="1" x14ac:dyDescent="0.25">
      <c r="Q1698" s="7">
        <f t="shared" si="26"/>
        <v>0</v>
      </c>
      <c r="R1698" s="7" t="e">
        <f>IF(VLOOKUP($A1698,'Concrete Beam Schedule'!$A$2:$Q$2902,R$2,0)&lt;&gt;B1698,VLOOKUP($A1698,'Concrete Beam Schedule'!$A$2:$Q$2902,R$2,0),"")</f>
        <v>#N/A</v>
      </c>
      <c r="S1698" s="7" t="e">
        <f>IF(VLOOKUP($A1698,'Concrete Beam Schedule'!$A$2:$Q$2902,S$2,0)&lt;&gt;C1698,VLOOKUP($A1698,'Concrete Beam Schedule'!$A$2:$Q$2902,S$2,0),"")</f>
        <v>#N/A</v>
      </c>
      <c r="T1698" s="7" t="e">
        <f>IF(VLOOKUP($A1698,'Concrete Beam Schedule'!$A$2:$Q$2902,T$2,0)&lt;&gt;D1698,"Beam Revised","")</f>
        <v>#N/A</v>
      </c>
      <c r="U1698" s="7" t="e">
        <f>IF(VLOOKUP($A1698,'Concrete Beam Schedule'!$A$2:$Q$2902,U$2,0)&lt;&gt;E1698,"Beam Revised","")</f>
        <v>#N/A</v>
      </c>
      <c r="V1698" s="7" t="e">
        <f>IF(VLOOKUP($A1698,'Concrete Beam Schedule'!$A$2:$Q$2902,V$2,0)&lt;&gt;F1698,"Beam Revised","")</f>
        <v>#N/A</v>
      </c>
      <c r="W1698" s="7" t="e">
        <f>IF(VLOOKUP($A1698,'Concrete Beam Schedule'!$A$2:$Q$2902,W$2,0)&lt;&gt;G1698,"Beam Revised","")</f>
        <v>#N/A</v>
      </c>
      <c r="X1698" s="7" t="e">
        <f>IF(VLOOKUP($A1698,'Concrete Beam Schedule'!$A$2:$Q$2902,X$2,0)&lt;&gt;H1698,"Beam Revised","")</f>
        <v>#N/A</v>
      </c>
      <c r="Y1698" s="7" t="e">
        <f>IF(VLOOKUP($A1698,'Concrete Beam Schedule'!$A$2:$Q$2902,Y$2,0)&lt;&gt;I1698,"Beam Revised","")</f>
        <v>#N/A</v>
      </c>
      <c r="Z1698" s="7" t="e">
        <f>IF(VLOOKUP($A1698,'Concrete Beam Schedule'!$A$2:$Q$2902,Z$2,0)&lt;&gt;J1698,"Beam Revised","")</f>
        <v>#N/A</v>
      </c>
      <c r="AA1698" s="7" t="e">
        <f>IF(VLOOKUP($A1698,'Concrete Beam Schedule'!$A$2:$Q$2902,AA$2,0)&lt;&gt;K1698,"Beam Revised","")</f>
        <v>#N/A</v>
      </c>
      <c r="AB1698" s="7" t="e">
        <f>IF(VLOOKUP($A1698,'Concrete Beam Schedule'!$A$2:$Q$2902,AB$2,0)&lt;&gt;L1698,"Beam Revised","")</f>
        <v>#N/A</v>
      </c>
      <c r="AC1698" s="7" t="e">
        <f>IF(VLOOKUP($A1698,'Concrete Beam Schedule'!$A$2:$Q$2902,AC$2,0)&lt;&gt;M1698,"Beam Revised","")</f>
        <v>#N/A</v>
      </c>
      <c r="AD1698" s="7" t="e">
        <f>IF(VLOOKUP($A1698,'Concrete Beam Schedule'!$A$2:$Q$2902,AD$2,0)&lt;&gt;N1698,"Beam Revised","")</f>
        <v>#N/A</v>
      </c>
      <c r="AE1698" s="7" t="e">
        <f>IF(VLOOKUP($A1698,'Concrete Beam Schedule'!$A$2:$Q$2902,AE$2,0)&lt;&gt;O1698,"Beam Revised","")</f>
        <v>#N/A</v>
      </c>
    </row>
    <row r="1699" spans="17:31" ht="20.100000000000001" customHeight="1" x14ac:dyDescent="0.25">
      <c r="Q1699" s="7">
        <f t="shared" si="26"/>
        <v>0</v>
      </c>
      <c r="R1699" s="7" t="e">
        <f>IF(VLOOKUP($A1699,'Concrete Beam Schedule'!$A$2:$Q$2902,R$2,0)&lt;&gt;B1699,VLOOKUP($A1699,'Concrete Beam Schedule'!$A$2:$Q$2902,R$2,0),"")</f>
        <v>#N/A</v>
      </c>
      <c r="S1699" s="7" t="e">
        <f>IF(VLOOKUP($A1699,'Concrete Beam Schedule'!$A$2:$Q$2902,S$2,0)&lt;&gt;C1699,VLOOKUP($A1699,'Concrete Beam Schedule'!$A$2:$Q$2902,S$2,0),"")</f>
        <v>#N/A</v>
      </c>
      <c r="T1699" s="7" t="e">
        <f>IF(VLOOKUP($A1699,'Concrete Beam Schedule'!$A$2:$Q$2902,T$2,0)&lt;&gt;D1699,"Beam Revised","")</f>
        <v>#N/A</v>
      </c>
      <c r="U1699" s="7" t="e">
        <f>IF(VLOOKUP($A1699,'Concrete Beam Schedule'!$A$2:$Q$2902,U$2,0)&lt;&gt;E1699,"Beam Revised","")</f>
        <v>#N/A</v>
      </c>
      <c r="V1699" s="7" t="e">
        <f>IF(VLOOKUP($A1699,'Concrete Beam Schedule'!$A$2:$Q$2902,V$2,0)&lt;&gt;F1699,"Beam Revised","")</f>
        <v>#N/A</v>
      </c>
      <c r="W1699" s="7" t="e">
        <f>IF(VLOOKUP($A1699,'Concrete Beam Schedule'!$A$2:$Q$2902,W$2,0)&lt;&gt;G1699,"Beam Revised","")</f>
        <v>#N/A</v>
      </c>
      <c r="X1699" s="7" t="e">
        <f>IF(VLOOKUP($A1699,'Concrete Beam Schedule'!$A$2:$Q$2902,X$2,0)&lt;&gt;H1699,"Beam Revised","")</f>
        <v>#N/A</v>
      </c>
      <c r="Y1699" s="7" t="e">
        <f>IF(VLOOKUP($A1699,'Concrete Beam Schedule'!$A$2:$Q$2902,Y$2,0)&lt;&gt;I1699,"Beam Revised","")</f>
        <v>#N/A</v>
      </c>
      <c r="Z1699" s="7" t="e">
        <f>IF(VLOOKUP($A1699,'Concrete Beam Schedule'!$A$2:$Q$2902,Z$2,0)&lt;&gt;J1699,"Beam Revised","")</f>
        <v>#N/A</v>
      </c>
      <c r="AA1699" s="7" t="e">
        <f>IF(VLOOKUP($A1699,'Concrete Beam Schedule'!$A$2:$Q$2902,AA$2,0)&lt;&gt;K1699,"Beam Revised","")</f>
        <v>#N/A</v>
      </c>
      <c r="AB1699" s="7" t="e">
        <f>IF(VLOOKUP($A1699,'Concrete Beam Schedule'!$A$2:$Q$2902,AB$2,0)&lt;&gt;L1699,"Beam Revised","")</f>
        <v>#N/A</v>
      </c>
      <c r="AC1699" s="7" t="e">
        <f>IF(VLOOKUP($A1699,'Concrete Beam Schedule'!$A$2:$Q$2902,AC$2,0)&lt;&gt;M1699,"Beam Revised","")</f>
        <v>#N/A</v>
      </c>
      <c r="AD1699" s="7" t="e">
        <f>IF(VLOOKUP($A1699,'Concrete Beam Schedule'!$A$2:$Q$2902,AD$2,0)&lt;&gt;N1699,"Beam Revised","")</f>
        <v>#N/A</v>
      </c>
      <c r="AE1699" s="7" t="e">
        <f>IF(VLOOKUP($A1699,'Concrete Beam Schedule'!$A$2:$Q$2902,AE$2,0)&lt;&gt;O1699,"Beam Revised","")</f>
        <v>#N/A</v>
      </c>
    </row>
    <row r="1700" spans="17:31" ht="20.100000000000001" customHeight="1" x14ac:dyDescent="0.25">
      <c r="Q1700" s="7">
        <f t="shared" si="26"/>
        <v>0</v>
      </c>
      <c r="R1700" s="7" t="e">
        <f>IF(VLOOKUP($A1700,'Concrete Beam Schedule'!$A$2:$Q$2902,R$2,0)&lt;&gt;B1700,VLOOKUP($A1700,'Concrete Beam Schedule'!$A$2:$Q$2902,R$2,0),"")</f>
        <v>#N/A</v>
      </c>
      <c r="S1700" s="7" t="e">
        <f>IF(VLOOKUP($A1700,'Concrete Beam Schedule'!$A$2:$Q$2902,S$2,0)&lt;&gt;C1700,VLOOKUP($A1700,'Concrete Beam Schedule'!$A$2:$Q$2902,S$2,0),"")</f>
        <v>#N/A</v>
      </c>
      <c r="T1700" s="7" t="e">
        <f>IF(VLOOKUP($A1700,'Concrete Beam Schedule'!$A$2:$Q$2902,T$2,0)&lt;&gt;D1700,"Beam Revised","")</f>
        <v>#N/A</v>
      </c>
      <c r="U1700" s="7" t="e">
        <f>IF(VLOOKUP($A1700,'Concrete Beam Schedule'!$A$2:$Q$2902,U$2,0)&lt;&gt;E1700,"Beam Revised","")</f>
        <v>#N/A</v>
      </c>
      <c r="V1700" s="7" t="e">
        <f>IF(VLOOKUP($A1700,'Concrete Beam Schedule'!$A$2:$Q$2902,V$2,0)&lt;&gt;F1700,"Beam Revised","")</f>
        <v>#N/A</v>
      </c>
      <c r="W1700" s="7" t="e">
        <f>IF(VLOOKUP($A1700,'Concrete Beam Schedule'!$A$2:$Q$2902,W$2,0)&lt;&gt;G1700,"Beam Revised","")</f>
        <v>#N/A</v>
      </c>
      <c r="X1700" s="7" t="e">
        <f>IF(VLOOKUP($A1700,'Concrete Beam Schedule'!$A$2:$Q$2902,X$2,0)&lt;&gt;H1700,"Beam Revised","")</f>
        <v>#N/A</v>
      </c>
      <c r="Y1700" s="7" t="e">
        <f>IF(VLOOKUP($A1700,'Concrete Beam Schedule'!$A$2:$Q$2902,Y$2,0)&lt;&gt;I1700,"Beam Revised","")</f>
        <v>#N/A</v>
      </c>
      <c r="Z1700" s="7" t="e">
        <f>IF(VLOOKUP($A1700,'Concrete Beam Schedule'!$A$2:$Q$2902,Z$2,0)&lt;&gt;J1700,"Beam Revised","")</f>
        <v>#N/A</v>
      </c>
      <c r="AA1700" s="7" t="e">
        <f>IF(VLOOKUP($A1700,'Concrete Beam Schedule'!$A$2:$Q$2902,AA$2,0)&lt;&gt;K1700,"Beam Revised","")</f>
        <v>#N/A</v>
      </c>
      <c r="AB1700" s="7" t="e">
        <f>IF(VLOOKUP($A1700,'Concrete Beam Schedule'!$A$2:$Q$2902,AB$2,0)&lt;&gt;L1700,"Beam Revised","")</f>
        <v>#N/A</v>
      </c>
      <c r="AC1700" s="7" t="e">
        <f>IF(VLOOKUP($A1700,'Concrete Beam Schedule'!$A$2:$Q$2902,AC$2,0)&lt;&gt;M1700,"Beam Revised","")</f>
        <v>#N/A</v>
      </c>
      <c r="AD1700" s="7" t="e">
        <f>IF(VLOOKUP($A1700,'Concrete Beam Schedule'!$A$2:$Q$2902,AD$2,0)&lt;&gt;N1700,"Beam Revised","")</f>
        <v>#N/A</v>
      </c>
      <c r="AE1700" s="7" t="e">
        <f>IF(VLOOKUP($A1700,'Concrete Beam Schedule'!$A$2:$Q$2902,AE$2,0)&lt;&gt;O1700,"Beam Revised","")</f>
        <v>#N/A</v>
      </c>
    </row>
    <row r="1701" spans="17:31" ht="20.100000000000001" customHeight="1" x14ac:dyDescent="0.25">
      <c r="Q1701" s="7">
        <f t="shared" si="26"/>
        <v>0</v>
      </c>
      <c r="R1701" s="7" t="e">
        <f>IF(VLOOKUP($A1701,'Concrete Beam Schedule'!$A$2:$Q$2902,R$2,0)&lt;&gt;B1701,VLOOKUP($A1701,'Concrete Beam Schedule'!$A$2:$Q$2902,R$2,0),"")</f>
        <v>#N/A</v>
      </c>
      <c r="S1701" s="7" t="e">
        <f>IF(VLOOKUP($A1701,'Concrete Beam Schedule'!$A$2:$Q$2902,S$2,0)&lt;&gt;C1701,VLOOKUP($A1701,'Concrete Beam Schedule'!$A$2:$Q$2902,S$2,0),"")</f>
        <v>#N/A</v>
      </c>
      <c r="T1701" s="7" t="e">
        <f>IF(VLOOKUP($A1701,'Concrete Beam Schedule'!$A$2:$Q$2902,T$2,0)&lt;&gt;D1701,"Beam Revised","")</f>
        <v>#N/A</v>
      </c>
      <c r="U1701" s="7" t="e">
        <f>IF(VLOOKUP($A1701,'Concrete Beam Schedule'!$A$2:$Q$2902,U$2,0)&lt;&gt;E1701,"Beam Revised","")</f>
        <v>#N/A</v>
      </c>
      <c r="V1701" s="7" t="e">
        <f>IF(VLOOKUP($A1701,'Concrete Beam Schedule'!$A$2:$Q$2902,V$2,0)&lt;&gt;F1701,"Beam Revised","")</f>
        <v>#N/A</v>
      </c>
      <c r="W1701" s="7" t="e">
        <f>IF(VLOOKUP($A1701,'Concrete Beam Schedule'!$A$2:$Q$2902,W$2,0)&lt;&gt;G1701,"Beam Revised","")</f>
        <v>#N/A</v>
      </c>
      <c r="X1701" s="7" t="e">
        <f>IF(VLOOKUP($A1701,'Concrete Beam Schedule'!$A$2:$Q$2902,X$2,0)&lt;&gt;H1701,"Beam Revised","")</f>
        <v>#N/A</v>
      </c>
      <c r="Y1701" s="7" t="e">
        <f>IF(VLOOKUP($A1701,'Concrete Beam Schedule'!$A$2:$Q$2902,Y$2,0)&lt;&gt;I1701,"Beam Revised","")</f>
        <v>#N/A</v>
      </c>
      <c r="Z1701" s="7" t="e">
        <f>IF(VLOOKUP($A1701,'Concrete Beam Schedule'!$A$2:$Q$2902,Z$2,0)&lt;&gt;J1701,"Beam Revised","")</f>
        <v>#N/A</v>
      </c>
      <c r="AA1701" s="7" t="e">
        <f>IF(VLOOKUP($A1701,'Concrete Beam Schedule'!$A$2:$Q$2902,AA$2,0)&lt;&gt;K1701,"Beam Revised","")</f>
        <v>#N/A</v>
      </c>
      <c r="AB1701" s="7" t="e">
        <f>IF(VLOOKUP($A1701,'Concrete Beam Schedule'!$A$2:$Q$2902,AB$2,0)&lt;&gt;L1701,"Beam Revised","")</f>
        <v>#N/A</v>
      </c>
      <c r="AC1701" s="7" t="e">
        <f>IF(VLOOKUP($A1701,'Concrete Beam Schedule'!$A$2:$Q$2902,AC$2,0)&lt;&gt;M1701,"Beam Revised","")</f>
        <v>#N/A</v>
      </c>
      <c r="AD1701" s="7" t="e">
        <f>IF(VLOOKUP($A1701,'Concrete Beam Schedule'!$A$2:$Q$2902,AD$2,0)&lt;&gt;N1701,"Beam Revised","")</f>
        <v>#N/A</v>
      </c>
      <c r="AE1701" s="7" t="e">
        <f>IF(VLOOKUP($A1701,'Concrete Beam Schedule'!$A$2:$Q$2902,AE$2,0)&lt;&gt;O1701,"Beam Revised","")</f>
        <v>#N/A</v>
      </c>
    </row>
    <row r="1702" spans="17:31" ht="20.100000000000001" customHeight="1" x14ac:dyDescent="0.25">
      <c r="Q1702" s="7">
        <f t="shared" si="26"/>
        <v>0</v>
      </c>
      <c r="R1702" s="7" t="e">
        <f>IF(VLOOKUP($A1702,'Concrete Beam Schedule'!$A$2:$Q$2902,R$2,0)&lt;&gt;B1702,VLOOKUP($A1702,'Concrete Beam Schedule'!$A$2:$Q$2902,R$2,0),"")</f>
        <v>#N/A</v>
      </c>
      <c r="S1702" s="7" t="e">
        <f>IF(VLOOKUP($A1702,'Concrete Beam Schedule'!$A$2:$Q$2902,S$2,0)&lt;&gt;C1702,VLOOKUP($A1702,'Concrete Beam Schedule'!$A$2:$Q$2902,S$2,0),"")</f>
        <v>#N/A</v>
      </c>
      <c r="T1702" s="7" t="e">
        <f>IF(VLOOKUP($A1702,'Concrete Beam Schedule'!$A$2:$Q$2902,T$2,0)&lt;&gt;D1702,"Beam Revised","")</f>
        <v>#N/A</v>
      </c>
      <c r="U1702" s="7" t="e">
        <f>IF(VLOOKUP($A1702,'Concrete Beam Schedule'!$A$2:$Q$2902,U$2,0)&lt;&gt;E1702,"Beam Revised","")</f>
        <v>#N/A</v>
      </c>
      <c r="V1702" s="7" t="e">
        <f>IF(VLOOKUP($A1702,'Concrete Beam Schedule'!$A$2:$Q$2902,V$2,0)&lt;&gt;F1702,"Beam Revised","")</f>
        <v>#N/A</v>
      </c>
      <c r="W1702" s="7" t="e">
        <f>IF(VLOOKUP($A1702,'Concrete Beam Schedule'!$A$2:$Q$2902,W$2,0)&lt;&gt;G1702,"Beam Revised","")</f>
        <v>#N/A</v>
      </c>
      <c r="X1702" s="7" t="e">
        <f>IF(VLOOKUP($A1702,'Concrete Beam Schedule'!$A$2:$Q$2902,X$2,0)&lt;&gt;H1702,"Beam Revised","")</f>
        <v>#N/A</v>
      </c>
      <c r="Y1702" s="7" t="e">
        <f>IF(VLOOKUP($A1702,'Concrete Beam Schedule'!$A$2:$Q$2902,Y$2,0)&lt;&gt;I1702,"Beam Revised","")</f>
        <v>#N/A</v>
      </c>
      <c r="Z1702" s="7" t="e">
        <f>IF(VLOOKUP($A1702,'Concrete Beam Schedule'!$A$2:$Q$2902,Z$2,0)&lt;&gt;J1702,"Beam Revised","")</f>
        <v>#N/A</v>
      </c>
      <c r="AA1702" s="7" t="e">
        <f>IF(VLOOKUP($A1702,'Concrete Beam Schedule'!$A$2:$Q$2902,AA$2,0)&lt;&gt;K1702,"Beam Revised","")</f>
        <v>#N/A</v>
      </c>
      <c r="AB1702" s="7" t="e">
        <f>IF(VLOOKUP($A1702,'Concrete Beam Schedule'!$A$2:$Q$2902,AB$2,0)&lt;&gt;L1702,"Beam Revised","")</f>
        <v>#N/A</v>
      </c>
      <c r="AC1702" s="7" t="e">
        <f>IF(VLOOKUP($A1702,'Concrete Beam Schedule'!$A$2:$Q$2902,AC$2,0)&lt;&gt;M1702,"Beam Revised","")</f>
        <v>#N/A</v>
      </c>
      <c r="AD1702" s="7" t="e">
        <f>IF(VLOOKUP($A1702,'Concrete Beam Schedule'!$A$2:$Q$2902,AD$2,0)&lt;&gt;N1702,"Beam Revised","")</f>
        <v>#N/A</v>
      </c>
      <c r="AE1702" s="7" t="e">
        <f>IF(VLOOKUP($A1702,'Concrete Beam Schedule'!$A$2:$Q$2902,AE$2,0)&lt;&gt;O1702,"Beam Revised","")</f>
        <v>#N/A</v>
      </c>
    </row>
    <row r="1703" spans="17:31" ht="20.100000000000001" customHeight="1" x14ac:dyDescent="0.25">
      <c r="Q1703" s="7">
        <f t="shared" si="26"/>
        <v>0</v>
      </c>
      <c r="R1703" s="7" t="e">
        <f>IF(VLOOKUP($A1703,'Concrete Beam Schedule'!$A$2:$Q$2902,R$2,0)&lt;&gt;B1703,VLOOKUP($A1703,'Concrete Beam Schedule'!$A$2:$Q$2902,R$2,0),"")</f>
        <v>#N/A</v>
      </c>
      <c r="S1703" s="7" t="e">
        <f>IF(VLOOKUP($A1703,'Concrete Beam Schedule'!$A$2:$Q$2902,S$2,0)&lt;&gt;C1703,VLOOKUP($A1703,'Concrete Beam Schedule'!$A$2:$Q$2902,S$2,0),"")</f>
        <v>#N/A</v>
      </c>
      <c r="T1703" s="7" t="e">
        <f>IF(VLOOKUP($A1703,'Concrete Beam Schedule'!$A$2:$Q$2902,T$2,0)&lt;&gt;D1703,"Beam Revised","")</f>
        <v>#N/A</v>
      </c>
      <c r="U1703" s="7" t="e">
        <f>IF(VLOOKUP($A1703,'Concrete Beam Schedule'!$A$2:$Q$2902,U$2,0)&lt;&gt;E1703,"Beam Revised","")</f>
        <v>#N/A</v>
      </c>
      <c r="V1703" s="7" t="e">
        <f>IF(VLOOKUP($A1703,'Concrete Beam Schedule'!$A$2:$Q$2902,V$2,0)&lt;&gt;F1703,"Beam Revised","")</f>
        <v>#N/A</v>
      </c>
      <c r="W1703" s="7" t="e">
        <f>IF(VLOOKUP($A1703,'Concrete Beam Schedule'!$A$2:$Q$2902,W$2,0)&lt;&gt;G1703,"Beam Revised","")</f>
        <v>#N/A</v>
      </c>
      <c r="X1703" s="7" t="e">
        <f>IF(VLOOKUP($A1703,'Concrete Beam Schedule'!$A$2:$Q$2902,X$2,0)&lt;&gt;H1703,"Beam Revised","")</f>
        <v>#N/A</v>
      </c>
      <c r="Y1703" s="7" t="e">
        <f>IF(VLOOKUP($A1703,'Concrete Beam Schedule'!$A$2:$Q$2902,Y$2,0)&lt;&gt;I1703,"Beam Revised","")</f>
        <v>#N/A</v>
      </c>
      <c r="Z1703" s="7" t="e">
        <f>IF(VLOOKUP($A1703,'Concrete Beam Schedule'!$A$2:$Q$2902,Z$2,0)&lt;&gt;J1703,"Beam Revised","")</f>
        <v>#N/A</v>
      </c>
      <c r="AA1703" s="7" t="e">
        <f>IF(VLOOKUP($A1703,'Concrete Beam Schedule'!$A$2:$Q$2902,AA$2,0)&lt;&gt;K1703,"Beam Revised","")</f>
        <v>#N/A</v>
      </c>
      <c r="AB1703" s="7" t="e">
        <f>IF(VLOOKUP($A1703,'Concrete Beam Schedule'!$A$2:$Q$2902,AB$2,0)&lt;&gt;L1703,"Beam Revised","")</f>
        <v>#N/A</v>
      </c>
      <c r="AC1703" s="7" t="e">
        <f>IF(VLOOKUP($A1703,'Concrete Beam Schedule'!$A$2:$Q$2902,AC$2,0)&lt;&gt;M1703,"Beam Revised","")</f>
        <v>#N/A</v>
      </c>
      <c r="AD1703" s="7" t="e">
        <f>IF(VLOOKUP($A1703,'Concrete Beam Schedule'!$A$2:$Q$2902,AD$2,0)&lt;&gt;N1703,"Beam Revised","")</f>
        <v>#N/A</v>
      </c>
      <c r="AE1703" s="7" t="e">
        <f>IF(VLOOKUP($A1703,'Concrete Beam Schedule'!$A$2:$Q$2902,AE$2,0)&lt;&gt;O1703,"Beam Revised","")</f>
        <v>#N/A</v>
      </c>
    </row>
    <row r="1704" spans="17:31" ht="20.100000000000001" customHeight="1" x14ac:dyDescent="0.25">
      <c r="Q1704" s="7">
        <f t="shared" si="26"/>
        <v>0</v>
      </c>
      <c r="R1704" s="7" t="e">
        <f>IF(VLOOKUP($A1704,'Concrete Beam Schedule'!$A$2:$Q$2902,R$2,0)&lt;&gt;B1704,VLOOKUP($A1704,'Concrete Beam Schedule'!$A$2:$Q$2902,R$2,0),"")</f>
        <v>#N/A</v>
      </c>
      <c r="S1704" s="7" t="e">
        <f>IF(VLOOKUP($A1704,'Concrete Beam Schedule'!$A$2:$Q$2902,S$2,0)&lt;&gt;C1704,VLOOKUP($A1704,'Concrete Beam Schedule'!$A$2:$Q$2902,S$2,0),"")</f>
        <v>#N/A</v>
      </c>
      <c r="T1704" s="7" t="e">
        <f>IF(VLOOKUP($A1704,'Concrete Beam Schedule'!$A$2:$Q$2902,T$2,0)&lt;&gt;D1704,"Beam Revised","")</f>
        <v>#N/A</v>
      </c>
      <c r="U1704" s="7" t="e">
        <f>IF(VLOOKUP($A1704,'Concrete Beam Schedule'!$A$2:$Q$2902,U$2,0)&lt;&gt;E1704,"Beam Revised","")</f>
        <v>#N/A</v>
      </c>
      <c r="V1704" s="7" t="e">
        <f>IF(VLOOKUP($A1704,'Concrete Beam Schedule'!$A$2:$Q$2902,V$2,0)&lt;&gt;F1704,"Beam Revised","")</f>
        <v>#N/A</v>
      </c>
      <c r="W1704" s="7" t="e">
        <f>IF(VLOOKUP($A1704,'Concrete Beam Schedule'!$A$2:$Q$2902,W$2,0)&lt;&gt;G1704,"Beam Revised","")</f>
        <v>#N/A</v>
      </c>
      <c r="X1704" s="7" t="e">
        <f>IF(VLOOKUP($A1704,'Concrete Beam Schedule'!$A$2:$Q$2902,X$2,0)&lt;&gt;H1704,"Beam Revised","")</f>
        <v>#N/A</v>
      </c>
      <c r="Y1704" s="7" t="e">
        <f>IF(VLOOKUP($A1704,'Concrete Beam Schedule'!$A$2:$Q$2902,Y$2,0)&lt;&gt;I1704,"Beam Revised","")</f>
        <v>#N/A</v>
      </c>
      <c r="Z1704" s="7" t="e">
        <f>IF(VLOOKUP($A1704,'Concrete Beam Schedule'!$A$2:$Q$2902,Z$2,0)&lt;&gt;J1704,"Beam Revised","")</f>
        <v>#N/A</v>
      </c>
      <c r="AA1704" s="7" t="e">
        <f>IF(VLOOKUP($A1704,'Concrete Beam Schedule'!$A$2:$Q$2902,AA$2,0)&lt;&gt;K1704,"Beam Revised","")</f>
        <v>#N/A</v>
      </c>
      <c r="AB1704" s="7" t="e">
        <f>IF(VLOOKUP($A1704,'Concrete Beam Schedule'!$A$2:$Q$2902,AB$2,0)&lt;&gt;L1704,"Beam Revised","")</f>
        <v>#N/A</v>
      </c>
      <c r="AC1704" s="7" t="e">
        <f>IF(VLOOKUP($A1704,'Concrete Beam Schedule'!$A$2:$Q$2902,AC$2,0)&lt;&gt;M1704,"Beam Revised","")</f>
        <v>#N/A</v>
      </c>
      <c r="AD1704" s="7" t="e">
        <f>IF(VLOOKUP($A1704,'Concrete Beam Schedule'!$A$2:$Q$2902,AD$2,0)&lt;&gt;N1704,"Beam Revised","")</f>
        <v>#N/A</v>
      </c>
      <c r="AE1704" s="7" t="e">
        <f>IF(VLOOKUP($A1704,'Concrete Beam Schedule'!$A$2:$Q$2902,AE$2,0)&lt;&gt;O1704,"Beam Revised","")</f>
        <v>#N/A</v>
      </c>
    </row>
    <row r="1705" spans="17:31" ht="20.100000000000001" customHeight="1" x14ac:dyDescent="0.25">
      <c r="Q1705" s="7">
        <f t="shared" si="26"/>
        <v>0</v>
      </c>
      <c r="R1705" s="7" t="e">
        <f>IF(VLOOKUP($A1705,'Concrete Beam Schedule'!$A$2:$Q$2902,R$2,0)&lt;&gt;B1705,VLOOKUP($A1705,'Concrete Beam Schedule'!$A$2:$Q$2902,R$2,0),"")</f>
        <v>#N/A</v>
      </c>
      <c r="S1705" s="7" t="e">
        <f>IF(VLOOKUP($A1705,'Concrete Beam Schedule'!$A$2:$Q$2902,S$2,0)&lt;&gt;C1705,VLOOKUP($A1705,'Concrete Beam Schedule'!$A$2:$Q$2902,S$2,0),"")</f>
        <v>#N/A</v>
      </c>
      <c r="T1705" s="7" t="e">
        <f>IF(VLOOKUP($A1705,'Concrete Beam Schedule'!$A$2:$Q$2902,T$2,0)&lt;&gt;D1705,"Beam Revised","")</f>
        <v>#N/A</v>
      </c>
      <c r="U1705" s="7" t="e">
        <f>IF(VLOOKUP($A1705,'Concrete Beam Schedule'!$A$2:$Q$2902,U$2,0)&lt;&gt;E1705,"Beam Revised","")</f>
        <v>#N/A</v>
      </c>
      <c r="V1705" s="7" t="e">
        <f>IF(VLOOKUP($A1705,'Concrete Beam Schedule'!$A$2:$Q$2902,V$2,0)&lt;&gt;F1705,"Beam Revised","")</f>
        <v>#N/A</v>
      </c>
      <c r="W1705" s="7" t="e">
        <f>IF(VLOOKUP($A1705,'Concrete Beam Schedule'!$A$2:$Q$2902,W$2,0)&lt;&gt;G1705,"Beam Revised","")</f>
        <v>#N/A</v>
      </c>
      <c r="X1705" s="7" t="e">
        <f>IF(VLOOKUP($A1705,'Concrete Beam Schedule'!$A$2:$Q$2902,X$2,0)&lt;&gt;H1705,"Beam Revised","")</f>
        <v>#N/A</v>
      </c>
      <c r="Y1705" s="7" t="e">
        <f>IF(VLOOKUP($A1705,'Concrete Beam Schedule'!$A$2:$Q$2902,Y$2,0)&lt;&gt;I1705,"Beam Revised","")</f>
        <v>#N/A</v>
      </c>
      <c r="Z1705" s="7" t="e">
        <f>IF(VLOOKUP($A1705,'Concrete Beam Schedule'!$A$2:$Q$2902,Z$2,0)&lt;&gt;J1705,"Beam Revised","")</f>
        <v>#N/A</v>
      </c>
      <c r="AA1705" s="7" t="e">
        <f>IF(VLOOKUP($A1705,'Concrete Beam Schedule'!$A$2:$Q$2902,AA$2,0)&lt;&gt;K1705,"Beam Revised","")</f>
        <v>#N/A</v>
      </c>
      <c r="AB1705" s="7" t="e">
        <f>IF(VLOOKUP($A1705,'Concrete Beam Schedule'!$A$2:$Q$2902,AB$2,0)&lt;&gt;L1705,"Beam Revised","")</f>
        <v>#N/A</v>
      </c>
      <c r="AC1705" s="7" t="e">
        <f>IF(VLOOKUP($A1705,'Concrete Beam Schedule'!$A$2:$Q$2902,AC$2,0)&lt;&gt;M1705,"Beam Revised","")</f>
        <v>#N/A</v>
      </c>
      <c r="AD1705" s="7" t="e">
        <f>IF(VLOOKUP($A1705,'Concrete Beam Schedule'!$A$2:$Q$2902,AD$2,0)&lt;&gt;N1705,"Beam Revised","")</f>
        <v>#N/A</v>
      </c>
      <c r="AE1705" s="7" t="e">
        <f>IF(VLOOKUP($A1705,'Concrete Beam Schedule'!$A$2:$Q$2902,AE$2,0)&lt;&gt;O1705,"Beam Revised","")</f>
        <v>#N/A</v>
      </c>
    </row>
    <row r="1706" spans="17:31" ht="20.100000000000001" customHeight="1" x14ac:dyDescent="0.25">
      <c r="Q1706" s="7">
        <f t="shared" si="26"/>
        <v>0</v>
      </c>
      <c r="R1706" s="7" t="e">
        <f>IF(VLOOKUP($A1706,'Concrete Beam Schedule'!$A$2:$Q$2902,R$2,0)&lt;&gt;B1706,VLOOKUP($A1706,'Concrete Beam Schedule'!$A$2:$Q$2902,R$2,0),"")</f>
        <v>#N/A</v>
      </c>
      <c r="S1706" s="7" t="e">
        <f>IF(VLOOKUP($A1706,'Concrete Beam Schedule'!$A$2:$Q$2902,S$2,0)&lt;&gt;C1706,VLOOKUP($A1706,'Concrete Beam Schedule'!$A$2:$Q$2902,S$2,0),"")</f>
        <v>#N/A</v>
      </c>
      <c r="T1706" s="7" t="e">
        <f>IF(VLOOKUP($A1706,'Concrete Beam Schedule'!$A$2:$Q$2902,T$2,0)&lt;&gt;D1706,"Beam Revised","")</f>
        <v>#N/A</v>
      </c>
      <c r="U1706" s="7" t="e">
        <f>IF(VLOOKUP($A1706,'Concrete Beam Schedule'!$A$2:$Q$2902,U$2,0)&lt;&gt;E1706,"Beam Revised","")</f>
        <v>#N/A</v>
      </c>
      <c r="V1706" s="7" t="e">
        <f>IF(VLOOKUP($A1706,'Concrete Beam Schedule'!$A$2:$Q$2902,V$2,0)&lt;&gt;F1706,"Beam Revised","")</f>
        <v>#N/A</v>
      </c>
      <c r="W1706" s="7" t="e">
        <f>IF(VLOOKUP($A1706,'Concrete Beam Schedule'!$A$2:$Q$2902,W$2,0)&lt;&gt;G1706,"Beam Revised","")</f>
        <v>#N/A</v>
      </c>
      <c r="X1706" s="7" t="e">
        <f>IF(VLOOKUP($A1706,'Concrete Beam Schedule'!$A$2:$Q$2902,X$2,0)&lt;&gt;H1706,"Beam Revised","")</f>
        <v>#N/A</v>
      </c>
      <c r="Y1706" s="7" t="e">
        <f>IF(VLOOKUP($A1706,'Concrete Beam Schedule'!$A$2:$Q$2902,Y$2,0)&lt;&gt;I1706,"Beam Revised","")</f>
        <v>#N/A</v>
      </c>
      <c r="Z1706" s="7" t="e">
        <f>IF(VLOOKUP($A1706,'Concrete Beam Schedule'!$A$2:$Q$2902,Z$2,0)&lt;&gt;J1706,"Beam Revised","")</f>
        <v>#N/A</v>
      </c>
      <c r="AA1706" s="7" t="e">
        <f>IF(VLOOKUP($A1706,'Concrete Beam Schedule'!$A$2:$Q$2902,AA$2,0)&lt;&gt;K1706,"Beam Revised","")</f>
        <v>#N/A</v>
      </c>
      <c r="AB1706" s="7" t="e">
        <f>IF(VLOOKUP($A1706,'Concrete Beam Schedule'!$A$2:$Q$2902,AB$2,0)&lt;&gt;L1706,"Beam Revised","")</f>
        <v>#N/A</v>
      </c>
      <c r="AC1706" s="7" t="e">
        <f>IF(VLOOKUP($A1706,'Concrete Beam Schedule'!$A$2:$Q$2902,AC$2,0)&lt;&gt;M1706,"Beam Revised","")</f>
        <v>#N/A</v>
      </c>
      <c r="AD1706" s="7" t="e">
        <f>IF(VLOOKUP($A1706,'Concrete Beam Schedule'!$A$2:$Q$2902,AD$2,0)&lt;&gt;N1706,"Beam Revised","")</f>
        <v>#N/A</v>
      </c>
      <c r="AE1706" s="7" t="e">
        <f>IF(VLOOKUP($A1706,'Concrete Beam Schedule'!$A$2:$Q$2902,AE$2,0)&lt;&gt;O1706,"Beam Revised","")</f>
        <v>#N/A</v>
      </c>
    </row>
    <row r="1707" spans="17:31" ht="20.100000000000001" customHeight="1" x14ac:dyDescent="0.25">
      <c r="Q1707" s="7">
        <f t="shared" si="26"/>
        <v>0</v>
      </c>
      <c r="R1707" s="7" t="e">
        <f>IF(VLOOKUP($A1707,'Concrete Beam Schedule'!$A$2:$Q$2902,R$2,0)&lt;&gt;B1707,VLOOKUP($A1707,'Concrete Beam Schedule'!$A$2:$Q$2902,R$2,0),"")</f>
        <v>#N/A</v>
      </c>
      <c r="S1707" s="7" t="e">
        <f>IF(VLOOKUP($A1707,'Concrete Beam Schedule'!$A$2:$Q$2902,S$2,0)&lt;&gt;C1707,VLOOKUP($A1707,'Concrete Beam Schedule'!$A$2:$Q$2902,S$2,0),"")</f>
        <v>#N/A</v>
      </c>
      <c r="T1707" s="7" t="e">
        <f>IF(VLOOKUP($A1707,'Concrete Beam Schedule'!$A$2:$Q$2902,T$2,0)&lt;&gt;D1707,"Beam Revised","")</f>
        <v>#N/A</v>
      </c>
      <c r="U1707" s="7" t="e">
        <f>IF(VLOOKUP($A1707,'Concrete Beam Schedule'!$A$2:$Q$2902,U$2,0)&lt;&gt;E1707,"Beam Revised","")</f>
        <v>#N/A</v>
      </c>
      <c r="V1707" s="7" t="e">
        <f>IF(VLOOKUP($A1707,'Concrete Beam Schedule'!$A$2:$Q$2902,V$2,0)&lt;&gt;F1707,"Beam Revised","")</f>
        <v>#N/A</v>
      </c>
      <c r="W1707" s="7" t="e">
        <f>IF(VLOOKUP($A1707,'Concrete Beam Schedule'!$A$2:$Q$2902,W$2,0)&lt;&gt;G1707,"Beam Revised","")</f>
        <v>#N/A</v>
      </c>
      <c r="X1707" s="7" t="e">
        <f>IF(VLOOKUP($A1707,'Concrete Beam Schedule'!$A$2:$Q$2902,X$2,0)&lt;&gt;H1707,"Beam Revised","")</f>
        <v>#N/A</v>
      </c>
      <c r="Y1707" s="7" t="e">
        <f>IF(VLOOKUP($A1707,'Concrete Beam Schedule'!$A$2:$Q$2902,Y$2,0)&lt;&gt;I1707,"Beam Revised","")</f>
        <v>#N/A</v>
      </c>
      <c r="Z1707" s="7" t="e">
        <f>IF(VLOOKUP($A1707,'Concrete Beam Schedule'!$A$2:$Q$2902,Z$2,0)&lt;&gt;J1707,"Beam Revised","")</f>
        <v>#N/A</v>
      </c>
      <c r="AA1707" s="7" t="e">
        <f>IF(VLOOKUP($A1707,'Concrete Beam Schedule'!$A$2:$Q$2902,AA$2,0)&lt;&gt;K1707,"Beam Revised","")</f>
        <v>#N/A</v>
      </c>
      <c r="AB1707" s="7" t="e">
        <f>IF(VLOOKUP($A1707,'Concrete Beam Schedule'!$A$2:$Q$2902,AB$2,0)&lt;&gt;L1707,"Beam Revised","")</f>
        <v>#N/A</v>
      </c>
      <c r="AC1707" s="7" t="e">
        <f>IF(VLOOKUP($A1707,'Concrete Beam Schedule'!$A$2:$Q$2902,AC$2,0)&lt;&gt;M1707,"Beam Revised","")</f>
        <v>#N/A</v>
      </c>
      <c r="AD1707" s="7" t="e">
        <f>IF(VLOOKUP($A1707,'Concrete Beam Schedule'!$A$2:$Q$2902,AD$2,0)&lt;&gt;N1707,"Beam Revised","")</f>
        <v>#N/A</v>
      </c>
      <c r="AE1707" s="7" t="e">
        <f>IF(VLOOKUP($A1707,'Concrete Beam Schedule'!$A$2:$Q$2902,AE$2,0)&lt;&gt;O1707,"Beam Revised","")</f>
        <v>#N/A</v>
      </c>
    </row>
    <row r="1708" spans="17:31" ht="20.100000000000001" customHeight="1" x14ac:dyDescent="0.25">
      <c r="Q1708" s="7">
        <f t="shared" si="26"/>
        <v>0</v>
      </c>
      <c r="R1708" s="7" t="e">
        <f>IF(VLOOKUP($A1708,'Concrete Beam Schedule'!$A$2:$Q$2902,R$2,0)&lt;&gt;B1708,VLOOKUP($A1708,'Concrete Beam Schedule'!$A$2:$Q$2902,R$2,0),"")</f>
        <v>#N/A</v>
      </c>
      <c r="S1708" s="7" t="e">
        <f>IF(VLOOKUP($A1708,'Concrete Beam Schedule'!$A$2:$Q$2902,S$2,0)&lt;&gt;C1708,VLOOKUP($A1708,'Concrete Beam Schedule'!$A$2:$Q$2902,S$2,0),"")</f>
        <v>#N/A</v>
      </c>
      <c r="T1708" s="7" t="e">
        <f>IF(VLOOKUP($A1708,'Concrete Beam Schedule'!$A$2:$Q$2902,T$2,0)&lt;&gt;D1708,"Beam Revised","")</f>
        <v>#N/A</v>
      </c>
      <c r="U1708" s="7" t="e">
        <f>IF(VLOOKUP($A1708,'Concrete Beam Schedule'!$A$2:$Q$2902,U$2,0)&lt;&gt;E1708,"Beam Revised","")</f>
        <v>#N/A</v>
      </c>
      <c r="V1708" s="7" t="e">
        <f>IF(VLOOKUP($A1708,'Concrete Beam Schedule'!$A$2:$Q$2902,V$2,0)&lt;&gt;F1708,"Beam Revised","")</f>
        <v>#N/A</v>
      </c>
      <c r="W1708" s="7" t="e">
        <f>IF(VLOOKUP($A1708,'Concrete Beam Schedule'!$A$2:$Q$2902,W$2,0)&lt;&gt;G1708,"Beam Revised","")</f>
        <v>#N/A</v>
      </c>
      <c r="X1708" s="7" t="e">
        <f>IF(VLOOKUP($A1708,'Concrete Beam Schedule'!$A$2:$Q$2902,X$2,0)&lt;&gt;H1708,"Beam Revised","")</f>
        <v>#N/A</v>
      </c>
      <c r="Y1708" s="7" t="e">
        <f>IF(VLOOKUP($A1708,'Concrete Beam Schedule'!$A$2:$Q$2902,Y$2,0)&lt;&gt;I1708,"Beam Revised","")</f>
        <v>#N/A</v>
      </c>
      <c r="Z1708" s="7" t="e">
        <f>IF(VLOOKUP($A1708,'Concrete Beam Schedule'!$A$2:$Q$2902,Z$2,0)&lt;&gt;J1708,"Beam Revised","")</f>
        <v>#N/A</v>
      </c>
      <c r="AA1708" s="7" t="e">
        <f>IF(VLOOKUP($A1708,'Concrete Beam Schedule'!$A$2:$Q$2902,AA$2,0)&lt;&gt;K1708,"Beam Revised","")</f>
        <v>#N/A</v>
      </c>
      <c r="AB1708" s="7" t="e">
        <f>IF(VLOOKUP($A1708,'Concrete Beam Schedule'!$A$2:$Q$2902,AB$2,0)&lt;&gt;L1708,"Beam Revised","")</f>
        <v>#N/A</v>
      </c>
      <c r="AC1708" s="7" t="e">
        <f>IF(VLOOKUP($A1708,'Concrete Beam Schedule'!$A$2:$Q$2902,AC$2,0)&lt;&gt;M1708,"Beam Revised","")</f>
        <v>#N/A</v>
      </c>
      <c r="AD1708" s="7" t="e">
        <f>IF(VLOOKUP($A1708,'Concrete Beam Schedule'!$A$2:$Q$2902,AD$2,0)&lt;&gt;N1708,"Beam Revised","")</f>
        <v>#N/A</v>
      </c>
      <c r="AE1708" s="7" t="e">
        <f>IF(VLOOKUP($A1708,'Concrete Beam Schedule'!$A$2:$Q$2902,AE$2,0)&lt;&gt;O1708,"Beam Revised","")</f>
        <v>#N/A</v>
      </c>
    </row>
    <row r="1709" spans="17:31" ht="20.100000000000001" customHeight="1" x14ac:dyDescent="0.25">
      <c r="Q1709" s="7">
        <f t="shared" si="26"/>
        <v>0</v>
      </c>
      <c r="R1709" s="7" t="e">
        <f>IF(VLOOKUP($A1709,'Concrete Beam Schedule'!$A$2:$Q$2902,R$2,0)&lt;&gt;B1709,VLOOKUP($A1709,'Concrete Beam Schedule'!$A$2:$Q$2902,R$2,0),"")</f>
        <v>#N/A</v>
      </c>
      <c r="S1709" s="7" t="e">
        <f>IF(VLOOKUP($A1709,'Concrete Beam Schedule'!$A$2:$Q$2902,S$2,0)&lt;&gt;C1709,VLOOKUP($A1709,'Concrete Beam Schedule'!$A$2:$Q$2902,S$2,0),"")</f>
        <v>#N/A</v>
      </c>
      <c r="T1709" s="7" t="e">
        <f>IF(VLOOKUP($A1709,'Concrete Beam Schedule'!$A$2:$Q$2902,T$2,0)&lt;&gt;D1709,"Beam Revised","")</f>
        <v>#N/A</v>
      </c>
      <c r="U1709" s="7" t="e">
        <f>IF(VLOOKUP($A1709,'Concrete Beam Schedule'!$A$2:$Q$2902,U$2,0)&lt;&gt;E1709,"Beam Revised","")</f>
        <v>#N/A</v>
      </c>
      <c r="V1709" s="7" t="e">
        <f>IF(VLOOKUP($A1709,'Concrete Beam Schedule'!$A$2:$Q$2902,V$2,0)&lt;&gt;F1709,"Beam Revised","")</f>
        <v>#N/A</v>
      </c>
      <c r="W1709" s="7" t="e">
        <f>IF(VLOOKUP($A1709,'Concrete Beam Schedule'!$A$2:$Q$2902,W$2,0)&lt;&gt;G1709,"Beam Revised","")</f>
        <v>#N/A</v>
      </c>
      <c r="X1709" s="7" t="e">
        <f>IF(VLOOKUP($A1709,'Concrete Beam Schedule'!$A$2:$Q$2902,X$2,0)&lt;&gt;H1709,"Beam Revised","")</f>
        <v>#N/A</v>
      </c>
      <c r="Y1709" s="7" t="e">
        <f>IF(VLOOKUP($A1709,'Concrete Beam Schedule'!$A$2:$Q$2902,Y$2,0)&lt;&gt;I1709,"Beam Revised","")</f>
        <v>#N/A</v>
      </c>
      <c r="Z1709" s="7" t="e">
        <f>IF(VLOOKUP($A1709,'Concrete Beam Schedule'!$A$2:$Q$2902,Z$2,0)&lt;&gt;J1709,"Beam Revised","")</f>
        <v>#N/A</v>
      </c>
      <c r="AA1709" s="7" t="e">
        <f>IF(VLOOKUP($A1709,'Concrete Beam Schedule'!$A$2:$Q$2902,AA$2,0)&lt;&gt;K1709,"Beam Revised","")</f>
        <v>#N/A</v>
      </c>
      <c r="AB1709" s="7" t="e">
        <f>IF(VLOOKUP($A1709,'Concrete Beam Schedule'!$A$2:$Q$2902,AB$2,0)&lt;&gt;L1709,"Beam Revised","")</f>
        <v>#N/A</v>
      </c>
      <c r="AC1709" s="7" t="e">
        <f>IF(VLOOKUP($A1709,'Concrete Beam Schedule'!$A$2:$Q$2902,AC$2,0)&lt;&gt;M1709,"Beam Revised","")</f>
        <v>#N/A</v>
      </c>
      <c r="AD1709" s="7" t="e">
        <f>IF(VLOOKUP($A1709,'Concrete Beam Schedule'!$A$2:$Q$2902,AD$2,0)&lt;&gt;N1709,"Beam Revised","")</f>
        <v>#N/A</v>
      </c>
      <c r="AE1709" s="7" t="e">
        <f>IF(VLOOKUP($A1709,'Concrete Beam Schedule'!$A$2:$Q$2902,AE$2,0)&lt;&gt;O1709,"Beam Revised","")</f>
        <v>#N/A</v>
      </c>
    </row>
    <row r="1710" spans="17:31" ht="20.100000000000001" customHeight="1" x14ac:dyDescent="0.25">
      <c r="Q1710" s="7">
        <f t="shared" si="26"/>
        <v>0</v>
      </c>
      <c r="R1710" s="7" t="e">
        <f>IF(VLOOKUP($A1710,'Concrete Beam Schedule'!$A$2:$Q$2902,R$2,0)&lt;&gt;B1710,VLOOKUP($A1710,'Concrete Beam Schedule'!$A$2:$Q$2902,R$2,0),"")</f>
        <v>#N/A</v>
      </c>
      <c r="S1710" s="7" t="e">
        <f>IF(VLOOKUP($A1710,'Concrete Beam Schedule'!$A$2:$Q$2902,S$2,0)&lt;&gt;C1710,VLOOKUP($A1710,'Concrete Beam Schedule'!$A$2:$Q$2902,S$2,0),"")</f>
        <v>#N/A</v>
      </c>
      <c r="T1710" s="7" t="e">
        <f>IF(VLOOKUP($A1710,'Concrete Beam Schedule'!$A$2:$Q$2902,T$2,0)&lt;&gt;D1710,"Beam Revised","")</f>
        <v>#N/A</v>
      </c>
      <c r="U1710" s="7" t="e">
        <f>IF(VLOOKUP($A1710,'Concrete Beam Schedule'!$A$2:$Q$2902,U$2,0)&lt;&gt;E1710,"Beam Revised","")</f>
        <v>#N/A</v>
      </c>
      <c r="V1710" s="7" t="e">
        <f>IF(VLOOKUP($A1710,'Concrete Beam Schedule'!$A$2:$Q$2902,V$2,0)&lt;&gt;F1710,"Beam Revised","")</f>
        <v>#N/A</v>
      </c>
      <c r="W1710" s="7" t="e">
        <f>IF(VLOOKUP($A1710,'Concrete Beam Schedule'!$A$2:$Q$2902,W$2,0)&lt;&gt;G1710,"Beam Revised","")</f>
        <v>#N/A</v>
      </c>
      <c r="X1710" s="7" t="e">
        <f>IF(VLOOKUP($A1710,'Concrete Beam Schedule'!$A$2:$Q$2902,X$2,0)&lt;&gt;H1710,"Beam Revised","")</f>
        <v>#N/A</v>
      </c>
      <c r="Y1710" s="7" t="e">
        <f>IF(VLOOKUP($A1710,'Concrete Beam Schedule'!$A$2:$Q$2902,Y$2,0)&lt;&gt;I1710,"Beam Revised","")</f>
        <v>#N/A</v>
      </c>
      <c r="Z1710" s="7" t="e">
        <f>IF(VLOOKUP($A1710,'Concrete Beam Schedule'!$A$2:$Q$2902,Z$2,0)&lt;&gt;J1710,"Beam Revised","")</f>
        <v>#N/A</v>
      </c>
      <c r="AA1710" s="7" t="e">
        <f>IF(VLOOKUP($A1710,'Concrete Beam Schedule'!$A$2:$Q$2902,AA$2,0)&lt;&gt;K1710,"Beam Revised","")</f>
        <v>#N/A</v>
      </c>
      <c r="AB1710" s="7" t="e">
        <f>IF(VLOOKUP($A1710,'Concrete Beam Schedule'!$A$2:$Q$2902,AB$2,0)&lt;&gt;L1710,"Beam Revised","")</f>
        <v>#N/A</v>
      </c>
      <c r="AC1710" s="7" t="e">
        <f>IF(VLOOKUP($A1710,'Concrete Beam Schedule'!$A$2:$Q$2902,AC$2,0)&lt;&gt;M1710,"Beam Revised","")</f>
        <v>#N/A</v>
      </c>
      <c r="AD1710" s="7" t="e">
        <f>IF(VLOOKUP($A1710,'Concrete Beam Schedule'!$A$2:$Q$2902,AD$2,0)&lt;&gt;N1710,"Beam Revised","")</f>
        <v>#N/A</v>
      </c>
      <c r="AE1710" s="7" t="e">
        <f>IF(VLOOKUP($A1710,'Concrete Beam Schedule'!$A$2:$Q$2902,AE$2,0)&lt;&gt;O1710,"Beam Revised","")</f>
        <v>#N/A</v>
      </c>
    </row>
    <row r="1711" spans="17:31" ht="20.100000000000001" customHeight="1" x14ac:dyDescent="0.25">
      <c r="Q1711" s="7">
        <f t="shared" si="26"/>
        <v>0</v>
      </c>
      <c r="R1711" s="7" t="e">
        <f>IF(VLOOKUP($A1711,'Concrete Beam Schedule'!$A$2:$Q$2902,R$2,0)&lt;&gt;B1711,VLOOKUP($A1711,'Concrete Beam Schedule'!$A$2:$Q$2902,R$2,0),"")</f>
        <v>#N/A</v>
      </c>
      <c r="S1711" s="7" t="e">
        <f>IF(VLOOKUP($A1711,'Concrete Beam Schedule'!$A$2:$Q$2902,S$2,0)&lt;&gt;C1711,VLOOKUP($A1711,'Concrete Beam Schedule'!$A$2:$Q$2902,S$2,0),"")</f>
        <v>#N/A</v>
      </c>
      <c r="T1711" s="7" t="e">
        <f>IF(VLOOKUP($A1711,'Concrete Beam Schedule'!$A$2:$Q$2902,T$2,0)&lt;&gt;D1711,"Beam Revised","")</f>
        <v>#N/A</v>
      </c>
      <c r="U1711" s="7" t="e">
        <f>IF(VLOOKUP($A1711,'Concrete Beam Schedule'!$A$2:$Q$2902,U$2,0)&lt;&gt;E1711,"Beam Revised","")</f>
        <v>#N/A</v>
      </c>
      <c r="V1711" s="7" t="e">
        <f>IF(VLOOKUP($A1711,'Concrete Beam Schedule'!$A$2:$Q$2902,V$2,0)&lt;&gt;F1711,"Beam Revised","")</f>
        <v>#N/A</v>
      </c>
      <c r="W1711" s="7" t="e">
        <f>IF(VLOOKUP($A1711,'Concrete Beam Schedule'!$A$2:$Q$2902,W$2,0)&lt;&gt;G1711,"Beam Revised","")</f>
        <v>#N/A</v>
      </c>
      <c r="X1711" s="7" t="e">
        <f>IF(VLOOKUP($A1711,'Concrete Beam Schedule'!$A$2:$Q$2902,X$2,0)&lt;&gt;H1711,"Beam Revised","")</f>
        <v>#N/A</v>
      </c>
      <c r="Y1711" s="7" t="e">
        <f>IF(VLOOKUP($A1711,'Concrete Beam Schedule'!$A$2:$Q$2902,Y$2,0)&lt;&gt;I1711,"Beam Revised","")</f>
        <v>#N/A</v>
      </c>
      <c r="Z1711" s="7" t="e">
        <f>IF(VLOOKUP($A1711,'Concrete Beam Schedule'!$A$2:$Q$2902,Z$2,0)&lt;&gt;J1711,"Beam Revised","")</f>
        <v>#N/A</v>
      </c>
      <c r="AA1711" s="7" t="e">
        <f>IF(VLOOKUP($A1711,'Concrete Beam Schedule'!$A$2:$Q$2902,AA$2,0)&lt;&gt;K1711,"Beam Revised","")</f>
        <v>#N/A</v>
      </c>
      <c r="AB1711" s="7" t="e">
        <f>IF(VLOOKUP($A1711,'Concrete Beam Schedule'!$A$2:$Q$2902,AB$2,0)&lt;&gt;L1711,"Beam Revised","")</f>
        <v>#N/A</v>
      </c>
      <c r="AC1711" s="7" t="e">
        <f>IF(VLOOKUP($A1711,'Concrete Beam Schedule'!$A$2:$Q$2902,AC$2,0)&lt;&gt;M1711,"Beam Revised","")</f>
        <v>#N/A</v>
      </c>
      <c r="AD1711" s="7" t="e">
        <f>IF(VLOOKUP($A1711,'Concrete Beam Schedule'!$A$2:$Q$2902,AD$2,0)&lt;&gt;N1711,"Beam Revised","")</f>
        <v>#N/A</v>
      </c>
      <c r="AE1711" s="7" t="e">
        <f>IF(VLOOKUP($A1711,'Concrete Beam Schedule'!$A$2:$Q$2902,AE$2,0)&lt;&gt;O1711,"Beam Revised","")</f>
        <v>#N/A</v>
      </c>
    </row>
    <row r="1712" spans="17:31" ht="20.100000000000001" customHeight="1" x14ac:dyDescent="0.25">
      <c r="Q1712" s="7">
        <f t="shared" si="26"/>
        <v>0</v>
      </c>
      <c r="R1712" s="7" t="e">
        <f>IF(VLOOKUP($A1712,'Concrete Beam Schedule'!$A$2:$Q$2902,R$2,0)&lt;&gt;B1712,VLOOKUP($A1712,'Concrete Beam Schedule'!$A$2:$Q$2902,R$2,0),"")</f>
        <v>#N/A</v>
      </c>
      <c r="S1712" s="7" t="e">
        <f>IF(VLOOKUP($A1712,'Concrete Beam Schedule'!$A$2:$Q$2902,S$2,0)&lt;&gt;C1712,VLOOKUP($A1712,'Concrete Beam Schedule'!$A$2:$Q$2902,S$2,0),"")</f>
        <v>#N/A</v>
      </c>
      <c r="T1712" s="7" t="e">
        <f>IF(VLOOKUP($A1712,'Concrete Beam Schedule'!$A$2:$Q$2902,T$2,0)&lt;&gt;D1712,"Beam Revised","")</f>
        <v>#N/A</v>
      </c>
      <c r="U1712" s="7" t="e">
        <f>IF(VLOOKUP($A1712,'Concrete Beam Schedule'!$A$2:$Q$2902,U$2,0)&lt;&gt;E1712,"Beam Revised","")</f>
        <v>#N/A</v>
      </c>
      <c r="V1712" s="7" t="e">
        <f>IF(VLOOKUP($A1712,'Concrete Beam Schedule'!$A$2:$Q$2902,V$2,0)&lt;&gt;F1712,"Beam Revised","")</f>
        <v>#N/A</v>
      </c>
      <c r="W1712" s="7" t="e">
        <f>IF(VLOOKUP($A1712,'Concrete Beam Schedule'!$A$2:$Q$2902,W$2,0)&lt;&gt;G1712,"Beam Revised","")</f>
        <v>#N/A</v>
      </c>
      <c r="X1712" s="7" t="e">
        <f>IF(VLOOKUP($A1712,'Concrete Beam Schedule'!$A$2:$Q$2902,X$2,0)&lt;&gt;H1712,"Beam Revised","")</f>
        <v>#N/A</v>
      </c>
      <c r="Y1712" s="7" t="e">
        <f>IF(VLOOKUP($A1712,'Concrete Beam Schedule'!$A$2:$Q$2902,Y$2,0)&lt;&gt;I1712,"Beam Revised","")</f>
        <v>#N/A</v>
      </c>
      <c r="Z1712" s="7" t="e">
        <f>IF(VLOOKUP($A1712,'Concrete Beam Schedule'!$A$2:$Q$2902,Z$2,0)&lt;&gt;J1712,"Beam Revised","")</f>
        <v>#N/A</v>
      </c>
      <c r="AA1712" s="7" t="e">
        <f>IF(VLOOKUP($A1712,'Concrete Beam Schedule'!$A$2:$Q$2902,AA$2,0)&lt;&gt;K1712,"Beam Revised","")</f>
        <v>#N/A</v>
      </c>
      <c r="AB1712" s="7" t="e">
        <f>IF(VLOOKUP($A1712,'Concrete Beam Schedule'!$A$2:$Q$2902,AB$2,0)&lt;&gt;L1712,"Beam Revised","")</f>
        <v>#N/A</v>
      </c>
      <c r="AC1712" s="7" t="e">
        <f>IF(VLOOKUP($A1712,'Concrete Beam Schedule'!$A$2:$Q$2902,AC$2,0)&lt;&gt;M1712,"Beam Revised","")</f>
        <v>#N/A</v>
      </c>
      <c r="AD1712" s="7" t="e">
        <f>IF(VLOOKUP($A1712,'Concrete Beam Schedule'!$A$2:$Q$2902,AD$2,0)&lt;&gt;N1712,"Beam Revised","")</f>
        <v>#N/A</v>
      </c>
      <c r="AE1712" s="7" t="e">
        <f>IF(VLOOKUP($A1712,'Concrete Beam Schedule'!$A$2:$Q$2902,AE$2,0)&lt;&gt;O1712,"Beam Revised","")</f>
        <v>#N/A</v>
      </c>
    </row>
    <row r="1713" spans="17:31" ht="20.100000000000001" customHeight="1" x14ac:dyDescent="0.25">
      <c r="Q1713" s="7">
        <f t="shared" si="26"/>
        <v>0</v>
      </c>
      <c r="R1713" s="7" t="e">
        <f>IF(VLOOKUP($A1713,'Concrete Beam Schedule'!$A$2:$Q$2902,R$2,0)&lt;&gt;B1713,VLOOKUP($A1713,'Concrete Beam Schedule'!$A$2:$Q$2902,R$2,0),"")</f>
        <v>#N/A</v>
      </c>
      <c r="S1713" s="7" t="e">
        <f>IF(VLOOKUP($A1713,'Concrete Beam Schedule'!$A$2:$Q$2902,S$2,0)&lt;&gt;C1713,VLOOKUP($A1713,'Concrete Beam Schedule'!$A$2:$Q$2902,S$2,0),"")</f>
        <v>#N/A</v>
      </c>
      <c r="T1713" s="7" t="e">
        <f>IF(VLOOKUP($A1713,'Concrete Beam Schedule'!$A$2:$Q$2902,T$2,0)&lt;&gt;D1713,"Beam Revised","")</f>
        <v>#N/A</v>
      </c>
      <c r="U1713" s="7" t="e">
        <f>IF(VLOOKUP($A1713,'Concrete Beam Schedule'!$A$2:$Q$2902,U$2,0)&lt;&gt;E1713,"Beam Revised","")</f>
        <v>#N/A</v>
      </c>
      <c r="V1713" s="7" t="e">
        <f>IF(VLOOKUP($A1713,'Concrete Beam Schedule'!$A$2:$Q$2902,V$2,0)&lt;&gt;F1713,"Beam Revised","")</f>
        <v>#N/A</v>
      </c>
      <c r="W1713" s="7" t="e">
        <f>IF(VLOOKUP($A1713,'Concrete Beam Schedule'!$A$2:$Q$2902,W$2,0)&lt;&gt;G1713,"Beam Revised","")</f>
        <v>#N/A</v>
      </c>
      <c r="X1713" s="7" t="e">
        <f>IF(VLOOKUP($A1713,'Concrete Beam Schedule'!$A$2:$Q$2902,X$2,0)&lt;&gt;H1713,"Beam Revised","")</f>
        <v>#N/A</v>
      </c>
      <c r="Y1713" s="7" t="e">
        <f>IF(VLOOKUP($A1713,'Concrete Beam Schedule'!$A$2:$Q$2902,Y$2,0)&lt;&gt;I1713,"Beam Revised","")</f>
        <v>#N/A</v>
      </c>
      <c r="Z1713" s="7" t="e">
        <f>IF(VLOOKUP($A1713,'Concrete Beam Schedule'!$A$2:$Q$2902,Z$2,0)&lt;&gt;J1713,"Beam Revised","")</f>
        <v>#N/A</v>
      </c>
      <c r="AA1713" s="7" t="e">
        <f>IF(VLOOKUP($A1713,'Concrete Beam Schedule'!$A$2:$Q$2902,AA$2,0)&lt;&gt;K1713,"Beam Revised","")</f>
        <v>#N/A</v>
      </c>
      <c r="AB1713" s="7" t="e">
        <f>IF(VLOOKUP($A1713,'Concrete Beam Schedule'!$A$2:$Q$2902,AB$2,0)&lt;&gt;L1713,"Beam Revised","")</f>
        <v>#N/A</v>
      </c>
      <c r="AC1713" s="7" t="e">
        <f>IF(VLOOKUP($A1713,'Concrete Beam Schedule'!$A$2:$Q$2902,AC$2,0)&lt;&gt;M1713,"Beam Revised","")</f>
        <v>#N/A</v>
      </c>
      <c r="AD1713" s="7" t="e">
        <f>IF(VLOOKUP($A1713,'Concrete Beam Schedule'!$A$2:$Q$2902,AD$2,0)&lt;&gt;N1713,"Beam Revised","")</f>
        <v>#N/A</v>
      </c>
      <c r="AE1713" s="7" t="e">
        <f>IF(VLOOKUP($A1713,'Concrete Beam Schedule'!$A$2:$Q$2902,AE$2,0)&lt;&gt;O1713,"Beam Revised","")</f>
        <v>#N/A</v>
      </c>
    </row>
    <row r="1714" spans="17:31" ht="20.100000000000001" customHeight="1" x14ac:dyDescent="0.25">
      <c r="Q1714" s="7">
        <f t="shared" si="26"/>
        <v>0</v>
      </c>
      <c r="R1714" s="7" t="e">
        <f>IF(VLOOKUP($A1714,'Concrete Beam Schedule'!$A$2:$Q$2902,R$2,0)&lt;&gt;B1714,VLOOKUP($A1714,'Concrete Beam Schedule'!$A$2:$Q$2902,R$2,0),"")</f>
        <v>#N/A</v>
      </c>
      <c r="S1714" s="7" t="e">
        <f>IF(VLOOKUP($A1714,'Concrete Beam Schedule'!$A$2:$Q$2902,S$2,0)&lt;&gt;C1714,VLOOKUP($A1714,'Concrete Beam Schedule'!$A$2:$Q$2902,S$2,0),"")</f>
        <v>#N/A</v>
      </c>
      <c r="T1714" s="7" t="e">
        <f>IF(VLOOKUP($A1714,'Concrete Beam Schedule'!$A$2:$Q$2902,T$2,0)&lt;&gt;D1714,"Beam Revised","")</f>
        <v>#N/A</v>
      </c>
      <c r="U1714" s="7" t="e">
        <f>IF(VLOOKUP($A1714,'Concrete Beam Schedule'!$A$2:$Q$2902,U$2,0)&lt;&gt;E1714,"Beam Revised","")</f>
        <v>#N/A</v>
      </c>
      <c r="V1714" s="7" t="e">
        <f>IF(VLOOKUP($A1714,'Concrete Beam Schedule'!$A$2:$Q$2902,V$2,0)&lt;&gt;F1714,"Beam Revised","")</f>
        <v>#N/A</v>
      </c>
      <c r="W1714" s="7" t="e">
        <f>IF(VLOOKUP($A1714,'Concrete Beam Schedule'!$A$2:$Q$2902,W$2,0)&lt;&gt;G1714,"Beam Revised","")</f>
        <v>#N/A</v>
      </c>
      <c r="X1714" s="7" t="e">
        <f>IF(VLOOKUP($A1714,'Concrete Beam Schedule'!$A$2:$Q$2902,X$2,0)&lt;&gt;H1714,"Beam Revised","")</f>
        <v>#N/A</v>
      </c>
      <c r="Y1714" s="7" t="e">
        <f>IF(VLOOKUP($A1714,'Concrete Beam Schedule'!$A$2:$Q$2902,Y$2,0)&lt;&gt;I1714,"Beam Revised","")</f>
        <v>#N/A</v>
      </c>
      <c r="Z1714" s="7" t="e">
        <f>IF(VLOOKUP($A1714,'Concrete Beam Schedule'!$A$2:$Q$2902,Z$2,0)&lt;&gt;J1714,"Beam Revised","")</f>
        <v>#N/A</v>
      </c>
      <c r="AA1714" s="7" t="e">
        <f>IF(VLOOKUP($A1714,'Concrete Beam Schedule'!$A$2:$Q$2902,AA$2,0)&lt;&gt;K1714,"Beam Revised","")</f>
        <v>#N/A</v>
      </c>
      <c r="AB1714" s="7" t="e">
        <f>IF(VLOOKUP($A1714,'Concrete Beam Schedule'!$A$2:$Q$2902,AB$2,0)&lt;&gt;L1714,"Beam Revised","")</f>
        <v>#N/A</v>
      </c>
      <c r="AC1714" s="7" t="e">
        <f>IF(VLOOKUP($A1714,'Concrete Beam Schedule'!$A$2:$Q$2902,AC$2,0)&lt;&gt;M1714,"Beam Revised","")</f>
        <v>#N/A</v>
      </c>
      <c r="AD1714" s="7" t="e">
        <f>IF(VLOOKUP($A1714,'Concrete Beam Schedule'!$A$2:$Q$2902,AD$2,0)&lt;&gt;N1714,"Beam Revised","")</f>
        <v>#N/A</v>
      </c>
      <c r="AE1714" s="7" t="e">
        <f>IF(VLOOKUP($A1714,'Concrete Beam Schedule'!$A$2:$Q$2902,AE$2,0)&lt;&gt;O1714,"Beam Revised","")</f>
        <v>#N/A</v>
      </c>
    </row>
    <row r="1715" spans="17:31" ht="20.100000000000001" customHeight="1" x14ac:dyDescent="0.25">
      <c r="Q1715" s="7">
        <f t="shared" si="26"/>
        <v>0</v>
      </c>
      <c r="R1715" s="7" t="e">
        <f>IF(VLOOKUP($A1715,'Concrete Beam Schedule'!$A$2:$Q$2902,R$2,0)&lt;&gt;B1715,VLOOKUP($A1715,'Concrete Beam Schedule'!$A$2:$Q$2902,R$2,0),"")</f>
        <v>#N/A</v>
      </c>
      <c r="S1715" s="7" t="e">
        <f>IF(VLOOKUP($A1715,'Concrete Beam Schedule'!$A$2:$Q$2902,S$2,0)&lt;&gt;C1715,VLOOKUP($A1715,'Concrete Beam Schedule'!$A$2:$Q$2902,S$2,0),"")</f>
        <v>#N/A</v>
      </c>
      <c r="T1715" s="7" t="e">
        <f>IF(VLOOKUP($A1715,'Concrete Beam Schedule'!$A$2:$Q$2902,T$2,0)&lt;&gt;D1715,"Beam Revised","")</f>
        <v>#N/A</v>
      </c>
      <c r="U1715" s="7" t="e">
        <f>IF(VLOOKUP($A1715,'Concrete Beam Schedule'!$A$2:$Q$2902,U$2,0)&lt;&gt;E1715,"Beam Revised","")</f>
        <v>#N/A</v>
      </c>
      <c r="V1715" s="7" t="e">
        <f>IF(VLOOKUP($A1715,'Concrete Beam Schedule'!$A$2:$Q$2902,V$2,0)&lt;&gt;F1715,"Beam Revised","")</f>
        <v>#N/A</v>
      </c>
      <c r="W1715" s="7" t="e">
        <f>IF(VLOOKUP($A1715,'Concrete Beam Schedule'!$A$2:$Q$2902,W$2,0)&lt;&gt;G1715,"Beam Revised","")</f>
        <v>#N/A</v>
      </c>
      <c r="X1715" s="7" t="e">
        <f>IF(VLOOKUP($A1715,'Concrete Beam Schedule'!$A$2:$Q$2902,X$2,0)&lt;&gt;H1715,"Beam Revised","")</f>
        <v>#N/A</v>
      </c>
      <c r="Y1715" s="7" t="e">
        <f>IF(VLOOKUP($A1715,'Concrete Beam Schedule'!$A$2:$Q$2902,Y$2,0)&lt;&gt;I1715,"Beam Revised","")</f>
        <v>#N/A</v>
      </c>
      <c r="Z1715" s="7" t="e">
        <f>IF(VLOOKUP($A1715,'Concrete Beam Schedule'!$A$2:$Q$2902,Z$2,0)&lt;&gt;J1715,"Beam Revised","")</f>
        <v>#N/A</v>
      </c>
      <c r="AA1715" s="7" t="e">
        <f>IF(VLOOKUP($A1715,'Concrete Beam Schedule'!$A$2:$Q$2902,AA$2,0)&lt;&gt;K1715,"Beam Revised","")</f>
        <v>#N/A</v>
      </c>
      <c r="AB1715" s="7" t="e">
        <f>IF(VLOOKUP($A1715,'Concrete Beam Schedule'!$A$2:$Q$2902,AB$2,0)&lt;&gt;L1715,"Beam Revised","")</f>
        <v>#N/A</v>
      </c>
      <c r="AC1715" s="7" t="e">
        <f>IF(VLOOKUP($A1715,'Concrete Beam Schedule'!$A$2:$Q$2902,AC$2,0)&lt;&gt;M1715,"Beam Revised","")</f>
        <v>#N/A</v>
      </c>
      <c r="AD1715" s="7" t="e">
        <f>IF(VLOOKUP($A1715,'Concrete Beam Schedule'!$A$2:$Q$2902,AD$2,0)&lt;&gt;N1715,"Beam Revised","")</f>
        <v>#N/A</v>
      </c>
      <c r="AE1715" s="7" t="e">
        <f>IF(VLOOKUP($A1715,'Concrete Beam Schedule'!$A$2:$Q$2902,AE$2,0)&lt;&gt;O1715,"Beam Revised","")</f>
        <v>#N/A</v>
      </c>
    </row>
    <row r="1716" spans="17:31" ht="20.100000000000001" customHeight="1" x14ac:dyDescent="0.25">
      <c r="Q1716" s="7">
        <f t="shared" si="26"/>
        <v>0</v>
      </c>
      <c r="R1716" s="7" t="e">
        <f>IF(VLOOKUP($A1716,'Concrete Beam Schedule'!$A$2:$Q$2902,R$2,0)&lt;&gt;B1716,VLOOKUP($A1716,'Concrete Beam Schedule'!$A$2:$Q$2902,R$2,0),"")</f>
        <v>#N/A</v>
      </c>
      <c r="S1716" s="7" t="e">
        <f>IF(VLOOKUP($A1716,'Concrete Beam Schedule'!$A$2:$Q$2902,S$2,0)&lt;&gt;C1716,VLOOKUP($A1716,'Concrete Beam Schedule'!$A$2:$Q$2902,S$2,0),"")</f>
        <v>#N/A</v>
      </c>
      <c r="T1716" s="7" t="e">
        <f>IF(VLOOKUP($A1716,'Concrete Beam Schedule'!$A$2:$Q$2902,T$2,0)&lt;&gt;D1716,"Beam Revised","")</f>
        <v>#N/A</v>
      </c>
      <c r="U1716" s="7" t="e">
        <f>IF(VLOOKUP($A1716,'Concrete Beam Schedule'!$A$2:$Q$2902,U$2,0)&lt;&gt;E1716,"Beam Revised","")</f>
        <v>#N/A</v>
      </c>
      <c r="V1716" s="7" t="e">
        <f>IF(VLOOKUP($A1716,'Concrete Beam Schedule'!$A$2:$Q$2902,V$2,0)&lt;&gt;F1716,"Beam Revised","")</f>
        <v>#N/A</v>
      </c>
      <c r="W1716" s="7" t="e">
        <f>IF(VLOOKUP($A1716,'Concrete Beam Schedule'!$A$2:$Q$2902,W$2,0)&lt;&gt;G1716,"Beam Revised","")</f>
        <v>#N/A</v>
      </c>
      <c r="X1716" s="7" t="e">
        <f>IF(VLOOKUP($A1716,'Concrete Beam Schedule'!$A$2:$Q$2902,X$2,0)&lt;&gt;H1716,"Beam Revised","")</f>
        <v>#N/A</v>
      </c>
      <c r="Y1716" s="7" t="e">
        <f>IF(VLOOKUP($A1716,'Concrete Beam Schedule'!$A$2:$Q$2902,Y$2,0)&lt;&gt;I1716,"Beam Revised","")</f>
        <v>#N/A</v>
      </c>
      <c r="Z1716" s="7" t="e">
        <f>IF(VLOOKUP($A1716,'Concrete Beam Schedule'!$A$2:$Q$2902,Z$2,0)&lt;&gt;J1716,"Beam Revised","")</f>
        <v>#N/A</v>
      </c>
      <c r="AA1716" s="7" t="e">
        <f>IF(VLOOKUP($A1716,'Concrete Beam Schedule'!$A$2:$Q$2902,AA$2,0)&lt;&gt;K1716,"Beam Revised","")</f>
        <v>#N/A</v>
      </c>
      <c r="AB1716" s="7" t="e">
        <f>IF(VLOOKUP($A1716,'Concrete Beam Schedule'!$A$2:$Q$2902,AB$2,0)&lt;&gt;L1716,"Beam Revised","")</f>
        <v>#N/A</v>
      </c>
      <c r="AC1716" s="7" t="e">
        <f>IF(VLOOKUP($A1716,'Concrete Beam Schedule'!$A$2:$Q$2902,AC$2,0)&lt;&gt;M1716,"Beam Revised","")</f>
        <v>#N/A</v>
      </c>
      <c r="AD1716" s="7" t="e">
        <f>IF(VLOOKUP($A1716,'Concrete Beam Schedule'!$A$2:$Q$2902,AD$2,0)&lt;&gt;N1716,"Beam Revised","")</f>
        <v>#N/A</v>
      </c>
      <c r="AE1716" s="7" t="e">
        <f>IF(VLOOKUP($A1716,'Concrete Beam Schedule'!$A$2:$Q$2902,AE$2,0)&lt;&gt;O1716,"Beam Revised","")</f>
        <v>#N/A</v>
      </c>
    </row>
    <row r="1717" spans="17:31" ht="20.100000000000001" customHeight="1" x14ac:dyDescent="0.25">
      <c r="Q1717" s="7">
        <f t="shared" si="26"/>
        <v>0</v>
      </c>
      <c r="R1717" s="7" t="e">
        <f>IF(VLOOKUP($A1717,'Concrete Beam Schedule'!$A$2:$Q$2902,R$2,0)&lt;&gt;B1717,VLOOKUP($A1717,'Concrete Beam Schedule'!$A$2:$Q$2902,R$2,0),"")</f>
        <v>#N/A</v>
      </c>
      <c r="S1717" s="7" t="e">
        <f>IF(VLOOKUP($A1717,'Concrete Beam Schedule'!$A$2:$Q$2902,S$2,0)&lt;&gt;C1717,VLOOKUP($A1717,'Concrete Beam Schedule'!$A$2:$Q$2902,S$2,0),"")</f>
        <v>#N/A</v>
      </c>
      <c r="T1717" s="7" t="e">
        <f>IF(VLOOKUP($A1717,'Concrete Beam Schedule'!$A$2:$Q$2902,T$2,0)&lt;&gt;D1717,"Beam Revised","")</f>
        <v>#N/A</v>
      </c>
      <c r="U1717" s="7" t="e">
        <f>IF(VLOOKUP($A1717,'Concrete Beam Schedule'!$A$2:$Q$2902,U$2,0)&lt;&gt;E1717,"Beam Revised","")</f>
        <v>#N/A</v>
      </c>
      <c r="V1717" s="7" t="e">
        <f>IF(VLOOKUP($A1717,'Concrete Beam Schedule'!$A$2:$Q$2902,V$2,0)&lt;&gt;F1717,"Beam Revised","")</f>
        <v>#N/A</v>
      </c>
      <c r="W1717" s="7" t="e">
        <f>IF(VLOOKUP($A1717,'Concrete Beam Schedule'!$A$2:$Q$2902,W$2,0)&lt;&gt;G1717,"Beam Revised","")</f>
        <v>#N/A</v>
      </c>
      <c r="X1717" s="7" t="e">
        <f>IF(VLOOKUP($A1717,'Concrete Beam Schedule'!$A$2:$Q$2902,X$2,0)&lt;&gt;H1717,"Beam Revised","")</f>
        <v>#N/A</v>
      </c>
      <c r="Y1717" s="7" t="e">
        <f>IF(VLOOKUP($A1717,'Concrete Beam Schedule'!$A$2:$Q$2902,Y$2,0)&lt;&gt;I1717,"Beam Revised","")</f>
        <v>#N/A</v>
      </c>
      <c r="Z1717" s="7" t="e">
        <f>IF(VLOOKUP($A1717,'Concrete Beam Schedule'!$A$2:$Q$2902,Z$2,0)&lt;&gt;J1717,"Beam Revised","")</f>
        <v>#N/A</v>
      </c>
      <c r="AA1717" s="7" t="e">
        <f>IF(VLOOKUP($A1717,'Concrete Beam Schedule'!$A$2:$Q$2902,AA$2,0)&lt;&gt;K1717,"Beam Revised","")</f>
        <v>#N/A</v>
      </c>
      <c r="AB1717" s="7" t="e">
        <f>IF(VLOOKUP($A1717,'Concrete Beam Schedule'!$A$2:$Q$2902,AB$2,0)&lt;&gt;L1717,"Beam Revised","")</f>
        <v>#N/A</v>
      </c>
      <c r="AC1717" s="7" t="e">
        <f>IF(VLOOKUP($A1717,'Concrete Beam Schedule'!$A$2:$Q$2902,AC$2,0)&lt;&gt;M1717,"Beam Revised","")</f>
        <v>#N/A</v>
      </c>
      <c r="AD1717" s="7" t="e">
        <f>IF(VLOOKUP($A1717,'Concrete Beam Schedule'!$A$2:$Q$2902,AD$2,0)&lt;&gt;N1717,"Beam Revised","")</f>
        <v>#N/A</v>
      </c>
      <c r="AE1717" s="7" t="e">
        <f>IF(VLOOKUP($A1717,'Concrete Beam Schedule'!$A$2:$Q$2902,AE$2,0)&lt;&gt;O1717,"Beam Revised","")</f>
        <v>#N/A</v>
      </c>
    </row>
    <row r="1718" spans="17:31" ht="20.100000000000001" customHeight="1" x14ac:dyDescent="0.25">
      <c r="Q1718" s="7">
        <f t="shared" si="26"/>
        <v>0</v>
      </c>
      <c r="R1718" s="7" t="e">
        <f>IF(VLOOKUP($A1718,'Concrete Beam Schedule'!$A$2:$Q$2902,R$2,0)&lt;&gt;B1718,VLOOKUP($A1718,'Concrete Beam Schedule'!$A$2:$Q$2902,R$2,0),"")</f>
        <v>#N/A</v>
      </c>
      <c r="S1718" s="7" t="e">
        <f>IF(VLOOKUP($A1718,'Concrete Beam Schedule'!$A$2:$Q$2902,S$2,0)&lt;&gt;C1718,VLOOKUP($A1718,'Concrete Beam Schedule'!$A$2:$Q$2902,S$2,0),"")</f>
        <v>#N/A</v>
      </c>
      <c r="T1718" s="7" t="e">
        <f>IF(VLOOKUP($A1718,'Concrete Beam Schedule'!$A$2:$Q$2902,T$2,0)&lt;&gt;D1718,"Beam Revised","")</f>
        <v>#N/A</v>
      </c>
      <c r="U1718" s="7" t="e">
        <f>IF(VLOOKUP($A1718,'Concrete Beam Schedule'!$A$2:$Q$2902,U$2,0)&lt;&gt;E1718,"Beam Revised","")</f>
        <v>#N/A</v>
      </c>
      <c r="V1718" s="7" t="e">
        <f>IF(VLOOKUP($A1718,'Concrete Beam Schedule'!$A$2:$Q$2902,V$2,0)&lt;&gt;F1718,"Beam Revised","")</f>
        <v>#N/A</v>
      </c>
      <c r="W1718" s="7" t="e">
        <f>IF(VLOOKUP($A1718,'Concrete Beam Schedule'!$A$2:$Q$2902,W$2,0)&lt;&gt;G1718,"Beam Revised","")</f>
        <v>#N/A</v>
      </c>
      <c r="X1718" s="7" t="e">
        <f>IF(VLOOKUP($A1718,'Concrete Beam Schedule'!$A$2:$Q$2902,X$2,0)&lt;&gt;H1718,"Beam Revised","")</f>
        <v>#N/A</v>
      </c>
      <c r="Y1718" s="7" t="e">
        <f>IF(VLOOKUP($A1718,'Concrete Beam Schedule'!$A$2:$Q$2902,Y$2,0)&lt;&gt;I1718,"Beam Revised","")</f>
        <v>#N/A</v>
      </c>
      <c r="Z1718" s="7" t="e">
        <f>IF(VLOOKUP($A1718,'Concrete Beam Schedule'!$A$2:$Q$2902,Z$2,0)&lt;&gt;J1718,"Beam Revised","")</f>
        <v>#N/A</v>
      </c>
      <c r="AA1718" s="7" t="e">
        <f>IF(VLOOKUP($A1718,'Concrete Beam Schedule'!$A$2:$Q$2902,AA$2,0)&lt;&gt;K1718,"Beam Revised","")</f>
        <v>#N/A</v>
      </c>
      <c r="AB1718" s="7" t="e">
        <f>IF(VLOOKUP($A1718,'Concrete Beam Schedule'!$A$2:$Q$2902,AB$2,0)&lt;&gt;L1718,"Beam Revised","")</f>
        <v>#N/A</v>
      </c>
      <c r="AC1718" s="7" t="e">
        <f>IF(VLOOKUP($A1718,'Concrete Beam Schedule'!$A$2:$Q$2902,AC$2,0)&lt;&gt;M1718,"Beam Revised","")</f>
        <v>#N/A</v>
      </c>
      <c r="AD1718" s="7" t="e">
        <f>IF(VLOOKUP($A1718,'Concrete Beam Schedule'!$A$2:$Q$2902,AD$2,0)&lt;&gt;N1718,"Beam Revised","")</f>
        <v>#N/A</v>
      </c>
      <c r="AE1718" s="7" t="e">
        <f>IF(VLOOKUP($A1718,'Concrete Beam Schedule'!$A$2:$Q$2902,AE$2,0)&lt;&gt;O1718,"Beam Revised","")</f>
        <v>#N/A</v>
      </c>
    </row>
    <row r="1719" spans="17:31" ht="20.100000000000001" customHeight="1" x14ac:dyDescent="0.25">
      <c r="Q1719" s="7">
        <f t="shared" si="26"/>
        <v>0</v>
      </c>
      <c r="R1719" s="7" t="e">
        <f>IF(VLOOKUP($A1719,'Concrete Beam Schedule'!$A$2:$Q$2902,R$2,0)&lt;&gt;B1719,VLOOKUP($A1719,'Concrete Beam Schedule'!$A$2:$Q$2902,R$2,0),"")</f>
        <v>#N/A</v>
      </c>
      <c r="S1719" s="7" t="e">
        <f>IF(VLOOKUP($A1719,'Concrete Beam Schedule'!$A$2:$Q$2902,S$2,0)&lt;&gt;C1719,VLOOKUP($A1719,'Concrete Beam Schedule'!$A$2:$Q$2902,S$2,0),"")</f>
        <v>#N/A</v>
      </c>
      <c r="T1719" s="7" t="e">
        <f>IF(VLOOKUP($A1719,'Concrete Beam Schedule'!$A$2:$Q$2902,T$2,0)&lt;&gt;D1719,"Beam Revised","")</f>
        <v>#N/A</v>
      </c>
      <c r="U1719" s="7" t="e">
        <f>IF(VLOOKUP($A1719,'Concrete Beam Schedule'!$A$2:$Q$2902,U$2,0)&lt;&gt;E1719,"Beam Revised","")</f>
        <v>#N/A</v>
      </c>
      <c r="V1719" s="7" t="e">
        <f>IF(VLOOKUP($A1719,'Concrete Beam Schedule'!$A$2:$Q$2902,V$2,0)&lt;&gt;F1719,"Beam Revised","")</f>
        <v>#N/A</v>
      </c>
      <c r="W1719" s="7" t="e">
        <f>IF(VLOOKUP($A1719,'Concrete Beam Schedule'!$A$2:$Q$2902,W$2,0)&lt;&gt;G1719,"Beam Revised","")</f>
        <v>#N/A</v>
      </c>
      <c r="X1719" s="7" t="e">
        <f>IF(VLOOKUP($A1719,'Concrete Beam Schedule'!$A$2:$Q$2902,X$2,0)&lt;&gt;H1719,"Beam Revised","")</f>
        <v>#N/A</v>
      </c>
      <c r="Y1719" s="7" t="e">
        <f>IF(VLOOKUP($A1719,'Concrete Beam Schedule'!$A$2:$Q$2902,Y$2,0)&lt;&gt;I1719,"Beam Revised","")</f>
        <v>#N/A</v>
      </c>
      <c r="Z1719" s="7" t="e">
        <f>IF(VLOOKUP($A1719,'Concrete Beam Schedule'!$A$2:$Q$2902,Z$2,0)&lt;&gt;J1719,"Beam Revised","")</f>
        <v>#N/A</v>
      </c>
      <c r="AA1719" s="7" t="e">
        <f>IF(VLOOKUP($A1719,'Concrete Beam Schedule'!$A$2:$Q$2902,AA$2,0)&lt;&gt;K1719,"Beam Revised","")</f>
        <v>#N/A</v>
      </c>
      <c r="AB1719" s="7" t="e">
        <f>IF(VLOOKUP($A1719,'Concrete Beam Schedule'!$A$2:$Q$2902,AB$2,0)&lt;&gt;L1719,"Beam Revised","")</f>
        <v>#N/A</v>
      </c>
      <c r="AC1719" s="7" t="e">
        <f>IF(VLOOKUP($A1719,'Concrete Beam Schedule'!$A$2:$Q$2902,AC$2,0)&lt;&gt;M1719,"Beam Revised","")</f>
        <v>#N/A</v>
      </c>
      <c r="AD1719" s="7" t="e">
        <f>IF(VLOOKUP($A1719,'Concrete Beam Schedule'!$A$2:$Q$2902,AD$2,0)&lt;&gt;N1719,"Beam Revised","")</f>
        <v>#N/A</v>
      </c>
      <c r="AE1719" s="7" t="e">
        <f>IF(VLOOKUP($A1719,'Concrete Beam Schedule'!$A$2:$Q$2902,AE$2,0)&lt;&gt;O1719,"Beam Revised","")</f>
        <v>#N/A</v>
      </c>
    </row>
    <row r="1720" spans="17:31" ht="20.100000000000001" customHeight="1" x14ac:dyDescent="0.25">
      <c r="Q1720" s="7">
        <f t="shared" si="26"/>
        <v>0</v>
      </c>
      <c r="R1720" s="7" t="e">
        <f>IF(VLOOKUP($A1720,'Concrete Beam Schedule'!$A$2:$Q$2902,R$2,0)&lt;&gt;B1720,VLOOKUP($A1720,'Concrete Beam Schedule'!$A$2:$Q$2902,R$2,0),"")</f>
        <v>#N/A</v>
      </c>
      <c r="S1720" s="7" t="e">
        <f>IF(VLOOKUP($A1720,'Concrete Beam Schedule'!$A$2:$Q$2902,S$2,0)&lt;&gt;C1720,VLOOKUP($A1720,'Concrete Beam Schedule'!$A$2:$Q$2902,S$2,0),"")</f>
        <v>#N/A</v>
      </c>
      <c r="T1720" s="7" t="e">
        <f>IF(VLOOKUP($A1720,'Concrete Beam Schedule'!$A$2:$Q$2902,T$2,0)&lt;&gt;D1720,"Beam Revised","")</f>
        <v>#N/A</v>
      </c>
      <c r="U1720" s="7" t="e">
        <f>IF(VLOOKUP($A1720,'Concrete Beam Schedule'!$A$2:$Q$2902,U$2,0)&lt;&gt;E1720,"Beam Revised","")</f>
        <v>#N/A</v>
      </c>
      <c r="V1720" s="7" t="e">
        <f>IF(VLOOKUP($A1720,'Concrete Beam Schedule'!$A$2:$Q$2902,V$2,0)&lt;&gt;F1720,"Beam Revised","")</f>
        <v>#N/A</v>
      </c>
      <c r="W1720" s="7" t="e">
        <f>IF(VLOOKUP($A1720,'Concrete Beam Schedule'!$A$2:$Q$2902,W$2,0)&lt;&gt;G1720,"Beam Revised","")</f>
        <v>#N/A</v>
      </c>
      <c r="X1720" s="7" t="e">
        <f>IF(VLOOKUP($A1720,'Concrete Beam Schedule'!$A$2:$Q$2902,X$2,0)&lt;&gt;H1720,"Beam Revised","")</f>
        <v>#N/A</v>
      </c>
      <c r="Y1720" s="7" t="e">
        <f>IF(VLOOKUP($A1720,'Concrete Beam Schedule'!$A$2:$Q$2902,Y$2,0)&lt;&gt;I1720,"Beam Revised","")</f>
        <v>#N/A</v>
      </c>
      <c r="Z1720" s="7" t="e">
        <f>IF(VLOOKUP($A1720,'Concrete Beam Schedule'!$A$2:$Q$2902,Z$2,0)&lt;&gt;J1720,"Beam Revised","")</f>
        <v>#N/A</v>
      </c>
      <c r="AA1720" s="7" t="e">
        <f>IF(VLOOKUP($A1720,'Concrete Beam Schedule'!$A$2:$Q$2902,AA$2,0)&lt;&gt;K1720,"Beam Revised","")</f>
        <v>#N/A</v>
      </c>
      <c r="AB1720" s="7" t="e">
        <f>IF(VLOOKUP($A1720,'Concrete Beam Schedule'!$A$2:$Q$2902,AB$2,0)&lt;&gt;L1720,"Beam Revised","")</f>
        <v>#N/A</v>
      </c>
      <c r="AC1720" s="7" t="e">
        <f>IF(VLOOKUP($A1720,'Concrete Beam Schedule'!$A$2:$Q$2902,AC$2,0)&lt;&gt;M1720,"Beam Revised","")</f>
        <v>#N/A</v>
      </c>
      <c r="AD1720" s="7" t="e">
        <f>IF(VLOOKUP($A1720,'Concrete Beam Schedule'!$A$2:$Q$2902,AD$2,0)&lt;&gt;N1720,"Beam Revised","")</f>
        <v>#N/A</v>
      </c>
      <c r="AE1720" s="7" t="e">
        <f>IF(VLOOKUP($A1720,'Concrete Beam Schedule'!$A$2:$Q$2902,AE$2,0)&lt;&gt;O1720,"Beam Revised","")</f>
        <v>#N/A</v>
      </c>
    </row>
    <row r="1721" spans="17:31" ht="20.100000000000001" customHeight="1" x14ac:dyDescent="0.25">
      <c r="Q1721" s="7">
        <f t="shared" si="26"/>
        <v>0</v>
      </c>
      <c r="R1721" s="7" t="e">
        <f>IF(VLOOKUP($A1721,'Concrete Beam Schedule'!$A$2:$Q$2902,R$2,0)&lt;&gt;B1721,VLOOKUP($A1721,'Concrete Beam Schedule'!$A$2:$Q$2902,R$2,0),"")</f>
        <v>#N/A</v>
      </c>
      <c r="S1721" s="7" t="e">
        <f>IF(VLOOKUP($A1721,'Concrete Beam Schedule'!$A$2:$Q$2902,S$2,0)&lt;&gt;C1721,VLOOKUP($A1721,'Concrete Beam Schedule'!$A$2:$Q$2902,S$2,0),"")</f>
        <v>#N/A</v>
      </c>
      <c r="T1721" s="7" t="e">
        <f>IF(VLOOKUP($A1721,'Concrete Beam Schedule'!$A$2:$Q$2902,T$2,0)&lt;&gt;D1721,"Beam Revised","")</f>
        <v>#N/A</v>
      </c>
      <c r="U1721" s="7" t="e">
        <f>IF(VLOOKUP($A1721,'Concrete Beam Schedule'!$A$2:$Q$2902,U$2,0)&lt;&gt;E1721,"Beam Revised","")</f>
        <v>#N/A</v>
      </c>
      <c r="V1721" s="7" t="e">
        <f>IF(VLOOKUP($A1721,'Concrete Beam Schedule'!$A$2:$Q$2902,V$2,0)&lt;&gt;F1721,"Beam Revised","")</f>
        <v>#N/A</v>
      </c>
      <c r="W1721" s="7" t="e">
        <f>IF(VLOOKUP($A1721,'Concrete Beam Schedule'!$A$2:$Q$2902,W$2,0)&lt;&gt;G1721,"Beam Revised","")</f>
        <v>#N/A</v>
      </c>
      <c r="X1721" s="7" t="e">
        <f>IF(VLOOKUP($A1721,'Concrete Beam Schedule'!$A$2:$Q$2902,X$2,0)&lt;&gt;H1721,"Beam Revised","")</f>
        <v>#N/A</v>
      </c>
      <c r="Y1721" s="7" t="e">
        <f>IF(VLOOKUP($A1721,'Concrete Beam Schedule'!$A$2:$Q$2902,Y$2,0)&lt;&gt;I1721,"Beam Revised","")</f>
        <v>#N/A</v>
      </c>
      <c r="Z1721" s="7" t="e">
        <f>IF(VLOOKUP($A1721,'Concrete Beam Schedule'!$A$2:$Q$2902,Z$2,0)&lt;&gt;J1721,"Beam Revised","")</f>
        <v>#N/A</v>
      </c>
      <c r="AA1721" s="7" t="e">
        <f>IF(VLOOKUP($A1721,'Concrete Beam Schedule'!$A$2:$Q$2902,AA$2,0)&lt;&gt;K1721,"Beam Revised","")</f>
        <v>#N/A</v>
      </c>
      <c r="AB1721" s="7" t="e">
        <f>IF(VLOOKUP($A1721,'Concrete Beam Schedule'!$A$2:$Q$2902,AB$2,0)&lt;&gt;L1721,"Beam Revised","")</f>
        <v>#N/A</v>
      </c>
      <c r="AC1721" s="7" t="e">
        <f>IF(VLOOKUP($A1721,'Concrete Beam Schedule'!$A$2:$Q$2902,AC$2,0)&lt;&gt;M1721,"Beam Revised","")</f>
        <v>#N/A</v>
      </c>
      <c r="AD1721" s="7" t="e">
        <f>IF(VLOOKUP($A1721,'Concrete Beam Schedule'!$A$2:$Q$2902,AD$2,0)&lt;&gt;N1721,"Beam Revised","")</f>
        <v>#N/A</v>
      </c>
      <c r="AE1721" s="7" t="e">
        <f>IF(VLOOKUP($A1721,'Concrete Beam Schedule'!$A$2:$Q$2902,AE$2,0)&lt;&gt;O1721,"Beam Revised","")</f>
        <v>#N/A</v>
      </c>
    </row>
    <row r="1722" spans="17:31" ht="20.100000000000001" customHeight="1" x14ac:dyDescent="0.25">
      <c r="Q1722" s="7">
        <f t="shared" si="26"/>
        <v>0</v>
      </c>
      <c r="R1722" s="7" t="e">
        <f>IF(VLOOKUP($A1722,'Concrete Beam Schedule'!$A$2:$Q$2902,R$2,0)&lt;&gt;B1722,VLOOKUP($A1722,'Concrete Beam Schedule'!$A$2:$Q$2902,R$2,0),"")</f>
        <v>#N/A</v>
      </c>
      <c r="S1722" s="7" t="e">
        <f>IF(VLOOKUP($A1722,'Concrete Beam Schedule'!$A$2:$Q$2902,S$2,0)&lt;&gt;C1722,VLOOKUP($A1722,'Concrete Beam Schedule'!$A$2:$Q$2902,S$2,0),"")</f>
        <v>#N/A</v>
      </c>
      <c r="T1722" s="7" t="e">
        <f>IF(VLOOKUP($A1722,'Concrete Beam Schedule'!$A$2:$Q$2902,T$2,0)&lt;&gt;D1722,"Beam Revised","")</f>
        <v>#N/A</v>
      </c>
      <c r="U1722" s="7" t="e">
        <f>IF(VLOOKUP($A1722,'Concrete Beam Schedule'!$A$2:$Q$2902,U$2,0)&lt;&gt;E1722,"Beam Revised","")</f>
        <v>#N/A</v>
      </c>
      <c r="V1722" s="7" t="e">
        <f>IF(VLOOKUP($A1722,'Concrete Beam Schedule'!$A$2:$Q$2902,V$2,0)&lt;&gt;F1722,"Beam Revised","")</f>
        <v>#N/A</v>
      </c>
      <c r="W1722" s="7" t="e">
        <f>IF(VLOOKUP($A1722,'Concrete Beam Schedule'!$A$2:$Q$2902,W$2,0)&lt;&gt;G1722,"Beam Revised","")</f>
        <v>#N/A</v>
      </c>
      <c r="X1722" s="7" t="e">
        <f>IF(VLOOKUP($A1722,'Concrete Beam Schedule'!$A$2:$Q$2902,X$2,0)&lt;&gt;H1722,"Beam Revised","")</f>
        <v>#N/A</v>
      </c>
      <c r="Y1722" s="7" t="e">
        <f>IF(VLOOKUP($A1722,'Concrete Beam Schedule'!$A$2:$Q$2902,Y$2,0)&lt;&gt;I1722,"Beam Revised","")</f>
        <v>#N/A</v>
      </c>
      <c r="Z1722" s="7" t="e">
        <f>IF(VLOOKUP($A1722,'Concrete Beam Schedule'!$A$2:$Q$2902,Z$2,0)&lt;&gt;J1722,"Beam Revised","")</f>
        <v>#N/A</v>
      </c>
      <c r="AA1722" s="7" t="e">
        <f>IF(VLOOKUP($A1722,'Concrete Beam Schedule'!$A$2:$Q$2902,AA$2,0)&lt;&gt;K1722,"Beam Revised","")</f>
        <v>#N/A</v>
      </c>
      <c r="AB1722" s="7" t="e">
        <f>IF(VLOOKUP($A1722,'Concrete Beam Schedule'!$A$2:$Q$2902,AB$2,0)&lt;&gt;L1722,"Beam Revised","")</f>
        <v>#N/A</v>
      </c>
      <c r="AC1722" s="7" t="e">
        <f>IF(VLOOKUP($A1722,'Concrete Beam Schedule'!$A$2:$Q$2902,AC$2,0)&lt;&gt;M1722,"Beam Revised","")</f>
        <v>#N/A</v>
      </c>
      <c r="AD1722" s="7" t="e">
        <f>IF(VLOOKUP($A1722,'Concrete Beam Schedule'!$A$2:$Q$2902,AD$2,0)&lt;&gt;N1722,"Beam Revised","")</f>
        <v>#N/A</v>
      </c>
      <c r="AE1722" s="7" t="e">
        <f>IF(VLOOKUP($A1722,'Concrete Beam Schedule'!$A$2:$Q$2902,AE$2,0)&lt;&gt;O1722,"Beam Revised","")</f>
        <v>#N/A</v>
      </c>
    </row>
    <row r="1723" spans="17:31" ht="20.100000000000001" customHeight="1" x14ac:dyDescent="0.25">
      <c r="Q1723" s="7">
        <f t="shared" si="26"/>
        <v>0</v>
      </c>
      <c r="R1723" s="7" t="e">
        <f>IF(VLOOKUP($A1723,'Concrete Beam Schedule'!$A$2:$Q$2902,R$2,0)&lt;&gt;B1723,VLOOKUP($A1723,'Concrete Beam Schedule'!$A$2:$Q$2902,R$2,0),"")</f>
        <v>#N/A</v>
      </c>
      <c r="S1723" s="7" t="e">
        <f>IF(VLOOKUP($A1723,'Concrete Beam Schedule'!$A$2:$Q$2902,S$2,0)&lt;&gt;C1723,VLOOKUP($A1723,'Concrete Beam Schedule'!$A$2:$Q$2902,S$2,0),"")</f>
        <v>#N/A</v>
      </c>
      <c r="T1723" s="7" t="e">
        <f>IF(VLOOKUP($A1723,'Concrete Beam Schedule'!$A$2:$Q$2902,T$2,0)&lt;&gt;D1723,"Beam Revised","")</f>
        <v>#N/A</v>
      </c>
      <c r="U1723" s="7" t="e">
        <f>IF(VLOOKUP($A1723,'Concrete Beam Schedule'!$A$2:$Q$2902,U$2,0)&lt;&gt;E1723,"Beam Revised","")</f>
        <v>#N/A</v>
      </c>
      <c r="V1723" s="7" t="e">
        <f>IF(VLOOKUP($A1723,'Concrete Beam Schedule'!$A$2:$Q$2902,V$2,0)&lt;&gt;F1723,"Beam Revised","")</f>
        <v>#N/A</v>
      </c>
      <c r="W1723" s="7" t="e">
        <f>IF(VLOOKUP($A1723,'Concrete Beam Schedule'!$A$2:$Q$2902,W$2,0)&lt;&gt;G1723,"Beam Revised","")</f>
        <v>#N/A</v>
      </c>
      <c r="X1723" s="7" t="e">
        <f>IF(VLOOKUP($A1723,'Concrete Beam Schedule'!$A$2:$Q$2902,X$2,0)&lt;&gt;H1723,"Beam Revised","")</f>
        <v>#N/A</v>
      </c>
      <c r="Y1723" s="7" t="e">
        <f>IF(VLOOKUP($A1723,'Concrete Beam Schedule'!$A$2:$Q$2902,Y$2,0)&lt;&gt;I1723,"Beam Revised","")</f>
        <v>#N/A</v>
      </c>
      <c r="Z1723" s="7" t="e">
        <f>IF(VLOOKUP($A1723,'Concrete Beam Schedule'!$A$2:$Q$2902,Z$2,0)&lt;&gt;J1723,"Beam Revised","")</f>
        <v>#N/A</v>
      </c>
      <c r="AA1723" s="7" t="e">
        <f>IF(VLOOKUP($A1723,'Concrete Beam Schedule'!$A$2:$Q$2902,AA$2,0)&lt;&gt;K1723,"Beam Revised","")</f>
        <v>#N/A</v>
      </c>
      <c r="AB1723" s="7" t="e">
        <f>IF(VLOOKUP($A1723,'Concrete Beam Schedule'!$A$2:$Q$2902,AB$2,0)&lt;&gt;L1723,"Beam Revised","")</f>
        <v>#N/A</v>
      </c>
      <c r="AC1723" s="7" t="e">
        <f>IF(VLOOKUP($A1723,'Concrete Beam Schedule'!$A$2:$Q$2902,AC$2,0)&lt;&gt;M1723,"Beam Revised","")</f>
        <v>#N/A</v>
      </c>
      <c r="AD1723" s="7" t="e">
        <f>IF(VLOOKUP($A1723,'Concrete Beam Schedule'!$A$2:$Q$2902,AD$2,0)&lt;&gt;N1723,"Beam Revised","")</f>
        <v>#N/A</v>
      </c>
      <c r="AE1723" s="7" t="e">
        <f>IF(VLOOKUP($A1723,'Concrete Beam Schedule'!$A$2:$Q$2902,AE$2,0)&lt;&gt;O1723,"Beam Revised","")</f>
        <v>#N/A</v>
      </c>
    </row>
    <row r="1724" spans="17:31" ht="20.100000000000001" customHeight="1" x14ac:dyDescent="0.25">
      <c r="Q1724" s="7">
        <f t="shared" si="26"/>
        <v>0</v>
      </c>
      <c r="R1724" s="7" t="e">
        <f>IF(VLOOKUP($A1724,'Concrete Beam Schedule'!$A$2:$Q$2902,R$2,0)&lt;&gt;B1724,VLOOKUP($A1724,'Concrete Beam Schedule'!$A$2:$Q$2902,R$2,0),"")</f>
        <v>#N/A</v>
      </c>
      <c r="S1724" s="7" t="e">
        <f>IF(VLOOKUP($A1724,'Concrete Beam Schedule'!$A$2:$Q$2902,S$2,0)&lt;&gt;C1724,VLOOKUP($A1724,'Concrete Beam Schedule'!$A$2:$Q$2902,S$2,0),"")</f>
        <v>#N/A</v>
      </c>
      <c r="T1724" s="7" t="e">
        <f>IF(VLOOKUP($A1724,'Concrete Beam Schedule'!$A$2:$Q$2902,T$2,0)&lt;&gt;D1724,"Beam Revised","")</f>
        <v>#N/A</v>
      </c>
      <c r="U1724" s="7" t="e">
        <f>IF(VLOOKUP($A1724,'Concrete Beam Schedule'!$A$2:$Q$2902,U$2,0)&lt;&gt;E1724,"Beam Revised","")</f>
        <v>#N/A</v>
      </c>
      <c r="V1724" s="7" t="e">
        <f>IF(VLOOKUP($A1724,'Concrete Beam Schedule'!$A$2:$Q$2902,V$2,0)&lt;&gt;F1724,"Beam Revised","")</f>
        <v>#N/A</v>
      </c>
      <c r="W1724" s="7" t="e">
        <f>IF(VLOOKUP($A1724,'Concrete Beam Schedule'!$A$2:$Q$2902,W$2,0)&lt;&gt;G1724,"Beam Revised","")</f>
        <v>#N/A</v>
      </c>
      <c r="X1724" s="7" t="e">
        <f>IF(VLOOKUP($A1724,'Concrete Beam Schedule'!$A$2:$Q$2902,X$2,0)&lt;&gt;H1724,"Beam Revised","")</f>
        <v>#N/A</v>
      </c>
      <c r="Y1724" s="7" t="e">
        <f>IF(VLOOKUP($A1724,'Concrete Beam Schedule'!$A$2:$Q$2902,Y$2,0)&lt;&gt;I1724,"Beam Revised","")</f>
        <v>#N/A</v>
      </c>
      <c r="Z1724" s="7" t="e">
        <f>IF(VLOOKUP($A1724,'Concrete Beam Schedule'!$A$2:$Q$2902,Z$2,0)&lt;&gt;J1724,"Beam Revised","")</f>
        <v>#N/A</v>
      </c>
      <c r="AA1724" s="7" t="e">
        <f>IF(VLOOKUP($A1724,'Concrete Beam Schedule'!$A$2:$Q$2902,AA$2,0)&lt;&gt;K1724,"Beam Revised","")</f>
        <v>#N/A</v>
      </c>
      <c r="AB1724" s="7" t="e">
        <f>IF(VLOOKUP($A1724,'Concrete Beam Schedule'!$A$2:$Q$2902,AB$2,0)&lt;&gt;L1724,"Beam Revised","")</f>
        <v>#N/A</v>
      </c>
      <c r="AC1724" s="7" t="e">
        <f>IF(VLOOKUP($A1724,'Concrete Beam Schedule'!$A$2:$Q$2902,AC$2,0)&lt;&gt;M1724,"Beam Revised","")</f>
        <v>#N/A</v>
      </c>
      <c r="AD1724" s="7" t="e">
        <f>IF(VLOOKUP($A1724,'Concrete Beam Schedule'!$A$2:$Q$2902,AD$2,0)&lt;&gt;N1724,"Beam Revised","")</f>
        <v>#N/A</v>
      </c>
      <c r="AE1724" s="7" t="e">
        <f>IF(VLOOKUP($A1724,'Concrete Beam Schedule'!$A$2:$Q$2902,AE$2,0)&lt;&gt;O1724,"Beam Revised","")</f>
        <v>#N/A</v>
      </c>
    </row>
    <row r="1725" spans="17:31" ht="20.100000000000001" customHeight="1" x14ac:dyDescent="0.25">
      <c r="Q1725" s="7">
        <f t="shared" si="26"/>
        <v>0</v>
      </c>
      <c r="R1725" s="7" t="e">
        <f>IF(VLOOKUP($A1725,'Concrete Beam Schedule'!$A$2:$Q$2902,R$2,0)&lt;&gt;B1725,VLOOKUP($A1725,'Concrete Beam Schedule'!$A$2:$Q$2902,R$2,0),"")</f>
        <v>#N/A</v>
      </c>
      <c r="S1725" s="7" t="e">
        <f>IF(VLOOKUP($A1725,'Concrete Beam Schedule'!$A$2:$Q$2902,S$2,0)&lt;&gt;C1725,VLOOKUP($A1725,'Concrete Beam Schedule'!$A$2:$Q$2902,S$2,0),"")</f>
        <v>#N/A</v>
      </c>
      <c r="T1725" s="7" t="e">
        <f>IF(VLOOKUP($A1725,'Concrete Beam Schedule'!$A$2:$Q$2902,T$2,0)&lt;&gt;D1725,"Beam Revised","")</f>
        <v>#N/A</v>
      </c>
      <c r="U1725" s="7" t="e">
        <f>IF(VLOOKUP($A1725,'Concrete Beam Schedule'!$A$2:$Q$2902,U$2,0)&lt;&gt;E1725,"Beam Revised","")</f>
        <v>#N/A</v>
      </c>
      <c r="V1725" s="7" t="e">
        <f>IF(VLOOKUP($A1725,'Concrete Beam Schedule'!$A$2:$Q$2902,V$2,0)&lt;&gt;F1725,"Beam Revised","")</f>
        <v>#N/A</v>
      </c>
      <c r="W1725" s="7" t="e">
        <f>IF(VLOOKUP($A1725,'Concrete Beam Schedule'!$A$2:$Q$2902,W$2,0)&lt;&gt;G1725,"Beam Revised","")</f>
        <v>#N/A</v>
      </c>
      <c r="X1725" s="7" t="e">
        <f>IF(VLOOKUP($A1725,'Concrete Beam Schedule'!$A$2:$Q$2902,X$2,0)&lt;&gt;H1725,"Beam Revised","")</f>
        <v>#N/A</v>
      </c>
      <c r="Y1725" s="7" t="e">
        <f>IF(VLOOKUP($A1725,'Concrete Beam Schedule'!$A$2:$Q$2902,Y$2,0)&lt;&gt;I1725,"Beam Revised","")</f>
        <v>#N/A</v>
      </c>
      <c r="Z1725" s="7" t="e">
        <f>IF(VLOOKUP($A1725,'Concrete Beam Schedule'!$A$2:$Q$2902,Z$2,0)&lt;&gt;J1725,"Beam Revised","")</f>
        <v>#N/A</v>
      </c>
      <c r="AA1725" s="7" t="e">
        <f>IF(VLOOKUP($A1725,'Concrete Beam Schedule'!$A$2:$Q$2902,AA$2,0)&lt;&gt;K1725,"Beam Revised","")</f>
        <v>#N/A</v>
      </c>
      <c r="AB1725" s="7" t="e">
        <f>IF(VLOOKUP($A1725,'Concrete Beam Schedule'!$A$2:$Q$2902,AB$2,0)&lt;&gt;L1725,"Beam Revised","")</f>
        <v>#N/A</v>
      </c>
      <c r="AC1725" s="7" t="e">
        <f>IF(VLOOKUP($A1725,'Concrete Beam Schedule'!$A$2:$Q$2902,AC$2,0)&lt;&gt;M1725,"Beam Revised","")</f>
        <v>#N/A</v>
      </c>
      <c r="AD1725" s="7" t="e">
        <f>IF(VLOOKUP($A1725,'Concrete Beam Schedule'!$A$2:$Q$2902,AD$2,0)&lt;&gt;N1725,"Beam Revised","")</f>
        <v>#N/A</v>
      </c>
      <c r="AE1725" s="7" t="e">
        <f>IF(VLOOKUP($A1725,'Concrete Beam Schedule'!$A$2:$Q$2902,AE$2,0)&lt;&gt;O1725,"Beam Revised","")</f>
        <v>#N/A</v>
      </c>
    </row>
    <row r="1726" spans="17:31" ht="20.100000000000001" customHeight="1" x14ac:dyDescent="0.25">
      <c r="Q1726" s="7">
        <f t="shared" si="26"/>
        <v>0</v>
      </c>
      <c r="R1726" s="7" t="e">
        <f>IF(VLOOKUP($A1726,'Concrete Beam Schedule'!$A$2:$Q$2902,R$2,0)&lt;&gt;B1726,VLOOKUP($A1726,'Concrete Beam Schedule'!$A$2:$Q$2902,R$2,0),"")</f>
        <v>#N/A</v>
      </c>
      <c r="S1726" s="7" t="e">
        <f>IF(VLOOKUP($A1726,'Concrete Beam Schedule'!$A$2:$Q$2902,S$2,0)&lt;&gt;C1726,VLOOKUP($A1726,'Concrete Beam Schedule'!$A$2:$Q$2902,S$2,0),"")</f>
        <v>#N/A</v>
      </c>
      <c r="T1726" s="7" t="e">
        <f>IF(VLOOKUP($A1726,'Concrete Beam Schedule'!$A$2:$Q$2902,T$2,0)&lt;&gt;D1726,"Beam Revised","")</f>
        <v>#N/A</v>
      </c>
      <c r="U1726" s="7" t="e">
        <f>IF(VLOOKUP($A1726,'Concrete Beam Schedule'!$A$2:$Q$2902,U$2,0)&lt;&gt;E1726,"Beam Revised","")</f>
        <v>#N/A</v>
      </c>
      <c r="V1726" s="7" t="e">
        <f>IF(VLOOKUP($A1726,'Concrete Beam Schedule'!$A$2:$Q$2902,V$2,0)&lt;&gt;F1726,"Beam Revised","")</f>
        <v>#N/A</v>
      </c>
      <c r="W1726" s="7" t="e">
        <f>IF(VLOOKUP($A1726,'Concrete Beam Schedule'!$A$2:$Q$2902,W$2,0)&lt;&gt;G1726,"Beam Revised","")</f>
        <v>#N/A</v>
      </c>
      <c r="X1726" s="7" t="e">
        <f>IF(VLOOKUP($A1726,'Concrete Beam Schedule'!$A$2:$Q$2902,X$2,0)&lt;&gt;H1726,"Beam Revised","")</f>
        <v>#N/A</v>
      </c>
      <c r="Y1726" s="7" t="e">
        <f>IF(VLOOKUP($A1726,'Concrete Beam Schedule'!$A$2:$Q$2902,Y$2,0)&lt;&gt;I1726,"Beam Revised","")</f>
        <v>#N/A</v>
      </c>
      <c r="Z1726" s="7" t="e">
        <f>IF(VLOOKUP($A1726,'Concrete Beam Schedule'!$A$2:$Q$2902,Z$2,0)&lt;&gt;J1726,"Beam Revised","")</f>
        <v>#N/A</v>
      </c>
      <c r="AA1726" s="7" t="e">
        <f>IF(VLOOKUP($A1726,'Concrete Beam Schedule'!$A$2:$Q$2902,AA$2,0)&lt;&gt;K1726,"Beam Revised","")</f>
        <v>#N/A</v>
      </c>
      <c r="AB1726" s="7" t="e">
        <f>IF(VLOOKUP($A1726,'Concrete Beam Schedule'!$A$2:$Q$2902,AB$2,0)&lt;&gt;L1726,"Beam Revised","")</f>
        <v>#N/A</v>
      </c>
      <c r="AC1726" s="7" t="e">
        <f>IF(VLOOKUP($A1726,'Concrete Beam Schedule'!$A$2:$Q$2902,AC$2,0)&lt;&gt;M1726,"Beam Revised","")</f>
        <v>#N/A</v>
      </c>
      <c r="AD1726" s="7" t="e">
        <f>IF(VLOOKUP($A1726,'Concrete Beam Schedule'!$A$2:$Q$2902,AD$2,0)&lt;&gt;N1726,"Beam Revised","")</f>
        <v>#N/A</v>
      </c>
      <c r="AE1726" s="7" t="e">
        <f>IF(VLOOKUP($A1726,'Concrete Beam Schedule'!$A$2:$Q$2902,AE$2,0)&lt;&gt;O1726,"Beam Revised","")</f>
        <v>#N/A</v>
      </c>
    </row>
    <row r="1727" spans="17:31" ht="20.100000000000001" customHeight="1" x14ac:dyDescent="0.25">
      <c r="Q1727" s="7">
        <f t="shared" si="26"/>
        <v>0</v>
      </c>
      <c r="R1727" s="7" t="e">
        <f>IF(VLOOKUP($A1727,'Concrete Beam Schedule'!$A$2:$Q$2902,R$2,0)&lt;&gt;B1727,VLOOKUP($A1727,'Concrete Beam Schedule'!$A$2:$Q$2902,R$2,0),"")</f>
        <v>#N/A</v>
      </c>
      <c r="S1727" s="7" t="e">
        <f>IF(VLOOKUP($A1727,'Concrete Beam Schedule'!$A$2:$Q$2902,S$2,0)&lt;&gt;C1727,VLOOKUP($A1727,'Concrete Beam Schedule'!$A$2:$Q$2902,S$2,0),"")</f>
        <v>#N/A</v>
      </c>
      <c r="T1727" s="7" t="e">
        <f>IF(VLOOKUP($A1727,'Concrete Beam Schedule'!$A$2:$Q$2902,T$2,0)&lt;&gt;D1727,"Beam Revised","")</f>
        <v>#N/A</v>
      </c>
      <c r="U1727" s="7" t="e">
        <f>IF(VLOOKUP($A1727,'Concrete Beam Schedule'!$A$2:$Q$2902,U$2,0)&lt;&gt;E1727,"Beam Revised","")</f>
        <v>#N/A</v>
      </c>
      <c r="V1727" s="7" t="e">
        <f>IF(VLOOKUP($A1727,'Concrete Beam Schedule'!$A$2:$Q$2902,V$2,0)&lt;&gt;F1727,"Beam Revised","")</f>
        <v>#N/A</v>
      </c>
      <c r="W1727" s="7" t="e">
        <f>IF(VLOOKUP($A1727,'Concrete Beam Schedule'!$A$2:$Q$2902,W$2,0)&lt;&gt;G1727,"Beam Revised","")</f>
        <v>#N/A</v>
      </c>
      <c r="X1727" s="7" t="e">
        <f>IF(VLOOKUP($A1727,'Concrete Beam Schedule'!$A$2:$Q$2902,X$2,0)&lt;&gt;H1727,"Beam Revised","")</f>
        <v>#N/A</v>
      </c>
      <c r="Y1727" s="7" t="e">
        <f>IF(VLOOKUP($A1727,'Concrete Beam Schedule'!$A$2:$Q$2902,Y$2,0)&lt;&gt;I1727,"Beam Revised","")</f>
        <v>#N/A</v>
      </c>
      <c r="Z1727" s="7" t="e">
        <f>IF(VLOOKUP($A1727,'Concrete Beam Schedule'!$A$2:$Q$2902,Z$2,0)&lt;&gt;J1727,"Beam Revised","")</f>
        <v>#N/A</v>
      </c>
      <c r="AA1727" s="7" t="e">
        <f>IF(VLOOKUP($A1727,'Concrete Beam Schedule'!$A$2:$Q$2902,AA$2,0)&lt;&gt;K1727,"Beam Revised","")</f>
        <v>#N/A</v>
      </c>
      <c r="AB1727" s="7" t="e">
        <f>IF(VLOOKUP($A1727,'Concrete Beam Schedule'!$A$2:$Q$2902,AB$2,0)&lt;&gt;L1727,"Beam Revised","")</f>
        <v>#N/A</v>
      </c>
      <c r="AC1727" s="7" t="e">
        <f>IF(VLOOKUP($A1727,'Concrete Beam Schedule'!$A$2:$Q$2902,AC$2,0)&lt;&gt;M1727,"Beam Revised","")</f>
        <v>#N/A</v>
      </c>
      <c r="AD1727" s="7" t="e">
        <f>IF(VLOOKUP($A1727,'Concrete Beam Schedule'!$A$2:$Q$2902,AD$2,0)&lt;&gt;N1727,"Beam Revised","")</f>
        <v>#N/A</v>
      </c>
      <c r="AE1727" s="7" t="e">
        <f>IF(VLOOKUP($A1727,'Concrete Beam Schedule'!$A$2:$Q$2902,AE$2,0)&lt;&gt;O1727,"Beam Revised","")</f>
        <v>#N/A</v>
      </c>
    </row>
    <row r="1728" spans="17:31" ht="20.100000000000001" customHeight="1" x14ac:dyDescent="0.25">
      <c r="Q1728" s="7">
        <f t="shared" si="26"/>
        <v>0</v>
      </c>
      <c r="R1728" s="7" t="e">
        <f>IF(VLOOKUP($A1728,'Concrete Beam Schedule'!$A$2:$Q$2902,R$2,0)&lt;&gt;B1728,VLOOKUP($A1728,'Concrete Beam Schedule'!$A$2:$Q$2902,R$2,0),"")</f>
        <v>#N/A</v>
      </c>
      <c r="S1728" s="7" t="e">
        <f>IF(VLOOKUP($A1728,'Concrete Beam Schedule'!$A$2:$Q$2902,S$2,0)&lt;&gt;C1728,VLOOKUP($A1728,'Concrete Beam Schedule'!$A$2:$Q$2902,S$2,0),"")</f>
        <v>#N/A</v>
      </c>
      <c r="T1728" s="7" t="e">
        <f>IF(VLOOKUP($A1728,'Concrete Beam Schedule'!$A$2:$Q$2902,T$2,0)&lt;&gt;D1728,"Beam Revised","")</f>
        <v>#N/A</v>
      </c>
      <c r="U1728" s="7" t="e">
        <f>IF(VLOOKUP($A1728,'Concrete Beam Schedule'!$A$2:$Q$2902,U$2,0)&lt;&gt;E1728,"Beam Revised","")</f>
        <v>#N/A</v>
      </c>
      <c r="V1728" s="7" t="e">
        <f>IF(VLOOKUP($A1728,'Concrete Beam Schedule'!$A$2:$Q$2902,V$2,0)&lt;&gt;F1728,"Beam Revised","")</f>
        <v>#N/A</v>
      </c>
      <c r="W1728" s="7" t="e">
        <f>IF(VLOOKUP($A1728,'Concrete Beam Schedule'!$A$2:$Q$2902,W$2,0)&lt;&gt;G1728,"Beam Revised","")</f>
        <v>#N/A</v>
      </c>
      <c r="X1728" s="7" t="e">
        <f>IF(VLOOKUP($A1728,'Concrete Beam Schedule'!$A$2:$Q$2902,X$2,0)&lt;&gt;H1728,"Beam Revised","")</f>
        <v>#N/A</v>
      </c>
      <c r="Y1728" s="7" t="e">
        <f>IF(VLOOKUP($A1728,'Concrete Beam Schedule'!$A$2:$Q$2902,Y$2,0)&lt;&gt;I1728,"Beam Revised","")</f>
        <v>#N/A</v>
      </c>
      <c r="Z1728" s="7" t="e">
        <f>IF(VLOOKUP($A1728,'Concrete Beam Schedule'!$A$2:$Q$2902,Z$2,0)&lt;&gt;J1728,"Beam Revised","")</f>
        <v>#N/A</v>
      </c>
      <c r="AA1728" s="7" t="e">
        <f>IF(VLOOKUP($A1728,'Concrete Beam Schedule'!$A$2:$Q$2902,AA$2,0)&lt;&gt;K1728,"Beam Revised","")</f>
        <v>#N/A</v>
      </c>
      <c r="AB1728" s="7" t="e">
        <f>IF(VLOOKUP($A1728,'Concrete Beam Schedule'!$A$2:$Q$2902,AB$2,0)&lt;&gt;L1728,"Beam Revised","")</f>
        <v>#N/A</v>
      </c>
      <c r="AC1728" s="7" t="e">
        <f>IF(VLOOKUP($A1728,'Concrete Beam Schedule'!$A$2:$Q$2902,AC$2,0)&lt;&gt;M1728,"Beam Revised","")</f>
        <v>#N/A</v>
      </c>
      <c r="AD1728" s="7" t="e">
        <f>IF(VLOOKUP($A1728,'Concrete Beam Schedule'!$A$2:$Q$2902,AD$2,0)&lt;&gt;N1728,"Beam Revised","")</f>
        <v>#N/A</v>
      </c>
      <c r="AE1728" s="7" t="e">
        <f>IF(VLOOKUP($A1728,'Concrete Beam Schedule'!$A$2:$Q$2902,AE$2,0)&lt;&gt;O1728,"Beam Revised","")</f>
        <v>#N/A</v>
      </c>
    </row>
    <row r="1729" spans="17:31" ht="20.100000000000001" customHeight="1" x14ac:dyDescent="0.25">
      <c r="Q1729" s="7">
        <f t="shared" si="26"/>
        <v>0</v>
      </c>
      <c r="R1729" s="7" t="e">
        <f>IF(VLOOKUP($A1729,'Concrete Beam Schedule'!$A$2:$Q$2902,R$2,0)&lt;&gt;B1729,VLOOKUP($A1729,'Concrete Beam Schedule'!$A$2:$Q$2902,R$2,0),"")</f>
        <v>#N/A</v>
      </c>
      <c r="S1729" s="7" t="e">
        <f>IF(VLOOKUP($A1729,'Concrete Beam Schedule'!$A$2:$Q$2902,S$2,0)&lt;&gt;C1729,VLOOKUP($A1729,'Concrete Beam Schedule'!$A$2:$Q$2902,S$2,0),"")</f>
        <v>#N/A</v>
      </c>
      <c r="T1729" s="7" t="e">
        <f>IF(VLOOKUP($A1729,'Concrete Beam Schedule'!$A$2:$Q$2902,T$2,0)&lt;&gt;D1729,"Beam Revised","")</f>
        <v>#N/A</v>
      </c>
      <c r="U1729" s="7" t="e">
        <f>IF(VLOOKUP($A1729,'Concrete Beam Schedule'!$A$2:$Q$2902,U$2,0)&lt;&gt;E1729,"Beam Revised","")</f>
        <v>#N/A</v>
      </c>
      <c r="V1729" s="7" t="e">
        <f>IF(VLOOKUP($A1729,'Concrete Beam Schedule'!$A$2:$Q$2902,V$2,0)&lt;&gt;F1729,"Beam Revised","")</f>
        <v>#N/A</v>
      </c>
      <c r="W1729" s="7" t="e">
        <f>IF(VLOOKUP($A1729,'Concrete Beam Schedule'!$A$2:$Q$2902,W$2,0)&lt;&gt;G1729,"Beam Revised","")</f>
        <v>#N/A</v>
      </c>
      <c r="X1729" s="7" t="e">
        <f>IF(VLOOKUP($A1729,'Concrete Beam Schedule'!$A$2:$Q$2902,X$2,0)&lt;&gt;H1729,"Beam Revised","")</f>
        <v>#N/A</v>
      </c>
      <c r="Y1729" s="7" t="e">
        <f>IF(VLOOKUP($A1729,'Concrete Beam Schedule'!$A$2:$Q$2902,Y$2,0)&lt;&gt;I1729,"Beam Revised","")</f>
        <v>#N/A</v>
      </c>
      <c r="Z1729" s="7" t="e">
        <f>IF(VLOOKUP($A1729,'Concrete Beam Schedule'!$A$2:$Q$2902,Z$2,0)&lt;&gt;J1729,"Beam Revised","")</f>
        <v>#N/A</v>
      </c>
      <c r="AA1729" s="7" t="e">
        <f>IF(VLOOKUP($A1729,'Concrete Beam Schedule'!$A$2:$Q$2902,AA$2,0)&lt;&gt;K1729,"Beam Revised","")</f>
        <v>#N/A</v>
      </c>
      <c r="AB1729" s="7" t="e">
        <f>IF(VLOOKUP($A1729,'Concrete Beam Schedule'!$A$2:$Q$2902,AB$2,0)&lt;&gt;L1729,"Beam Revised","")</f>
        <v>#N/A</v>
      </c>
      <c r="AC1729" s="7" t="e">
        <f>IF(VLOOKUP($A1729,'Concrete Beam Schedule'!$A$2:$Q$2902,AC$2,0)&lt;&gt;M1729,"Beam Revised","")</f>
        <v>#N/A</v>
      </c>
      <c r="AD1729" s="7" t="e">
        <f>IF(VLOOKUP($A1729,'Concrete Beam Schedule'!$A$2:$Q$2902,AD$2,0)&lt;&gt;N1729,"Beam Revised","")</f>
        <v>#N/A</v>
      </c>
      <c r="AE1729" s="7" t="e">
        <f>IF(VLOOKUP($A1729,'Concrete Beam Schedule'!$A$2:$Q$2902,AE$2,0)&lt;&gt;O1729,"Beam Revised","")</f>
        <v>#N/A</v>
      </c>
    </row>
    <row r="1730" spans="17:31" ht="20.100000000000001" customHeight="1" x14ac:dyDescent="0.25">
      <c r="Q1730" s="7">
        <f t="shared" si="26"/>
        <v>0</v>
      </c>
      <c r="R1730" s="7" t="e">
        <f>IF(VLOOKUP($A1730,'Concrete Beam Schedule'!$A$2:$Q$2902,R$2,0)&lt;&gt;B1730,VLOOKUP($A1730,'Concrete Beam Schedule'!$A$2:$Q$2902,R$2,0),"")</f>
        <v>#N/A</v>
      </c>
      <c r="S1730" s="7" t="e">
        <f>IF(VLOOKUP($A1730,'Concrete Beam Schedule'!$A$2:$Q$2902,S$2,0)&lt;&gt;C1730,VLOOKUP($A1730,'Concrete Beam Schedule'!$A$2:$Q$2902,S$2,0),"")</f>
        <v>#N/A</v>
      </c>
      <c r="T1730" s="7" t="e">
        <f>IF(VLOOKUP($A1730,'Concrete Beam Schedule'!$A$2:$Q$2902,T$2,0)&lt;&gt;D1730,"Beam Revised","")</f>
        <v>#N/A</v>
      </c>
      <c r="U1730" s="7" t="e">
        <f>IF(VLOOKUP($A1730,'Concrete Beam Schedule'!$A$2:$Q$2902,U$2,0)&lt;&gt;E1730,"Beam Revised","")</f>
        <v>#N/A</v>
      </c>
      <c r="V1730" s="7" t="e">
        <f>IF(VLOOKUP($A1730,'Concrete Beam Schedule'!$A$2:$Q$2902,V$2,0)&lt;&gt;F1730,"Beam Revised","")</f>
        <v>#N/A</v>
      </c>
      <c r="W1730" s="7" t="e">
        <f>IF(VLOOKUP($A1730,'Concrete Beam Schedule'!$A$2:$Q$2902,W$2,0)&lt;&gt;G1730,"Beam Revised","")</f>
        <v>#N/A</v>
      </c>
      <c r="X1730" s="7" t="e">
        <f>IF(VLOOKUP($A1730,'Concrete Beam Schedule'!$A$2:$Q$2902,X$2,0)&lt;&gt;H1730,"Beam Revised","")</f>
        <v>#N/A</v>
      </c>
      <c r="Y1730" s="7" t="e">
        <f>IF(VLOOKUP($A1730,'Concrete Beam Schedule'!$A$2:$Q$2902,Y$2,0)&lt;&gt;I1730,"Beam Revised","")</f>
        <v>#N/A</v>
      </c>
      <c r="Z1730" s="7" t="e">
        <f>IF(VLOOKUP($A1730,'Concrete Beam Schedule'!$A$2:$Q$2902,Z$2,0)&lt;&gt;J1730,"Beam Revised","")</f>
        <v>#N/A</v>
      </c>
      <c r="AA1730" s="7" t="e">
        <f>IF(VLOOKUP($A1730,'Concrete Beam Schedule'!$A$2:$Q$2902,AA$2,0)&lt;&gt;K1730,"Beam Revised","")</f>
        <v>#N/A</v>
      </c>
      <c r="AB1730" s="7" t="e">
        <f>IF(VLOOKUP($A1730,'Concrete Beam Schedule'!$A$2:$Q$2902,AB$2,0)&lt;&gt;L1730,"Beam Revised","")</f>
        <v>#N/A</v>
      </c>
      <c r="AC1730" s="7" t="e">
        <f>IF(VLOOKUP($A1730,'Concrete Beam Schedule'!$A$2:$Q$2902,AC$2,0)&lt;&gt;M1730,"Beam Revised","")</f>
        <v>#N/A</v>
      </c>
      <c r="AD1730" s="7" t="e">
        <f>IF(VLOOKUP($A1730,'Concrete Beam Schedule'!$A$2:$Q$2902,AD$2,0)&lt;&gt;N1730,"Beam Revised","")</f>
        <v>#N/A</v>
      </c>
      <c r="AE1730" s="7" t="e">
        <f>IF(VLOOKUP($A1730,'Concrete Beam Schedule'!$A$2:$Q$2902,AE$2,0)&lt;&gt;O1730,"Beam Revised","")</f>
        <v>#N/A</v>
      </c>
    </row>
    <row r="1731" spans="17:31" ht="20.100000000000001" customHeight="1" x14ac:dyDescent="0.25">
      <c r="Q1731" s="7">
        <f t="shared" si="26"/>
        <v>0</v>
      </c>
      <c r="R1731" s="7" t="e">
        <f>IF(VLOOKUP($A1731,'Concrete Beam Schedule'!$A$2:$Q$2902,R$2,0)&lt;&gt;B1731,VLOOKUP($A1731,'Concrete Beam Schedule'!$A$2:$Q$2902,R$2,0),"")</f>
        <v>#N/A</v>
      </c>
      <c r="S1731" s="7" t="e">
        <f>IF(VLOOKUP($A1731,'Concrete Beam Schedule'!$A$2:$Q$2902,S$2,0)&lt;&gt;C1731,VLOOKUP($A1731,'Concrete Beam Schedule'!$A$2:$Q$2902,S$2,0),"")</f>
        <v>#N/A</v>
      </c>
      <c r="T1731" s="7" t="e">
        <f>IF(VLOOKUP($A1731,'Concrete Beam Schedule'!$A$2:$Q$2902,T$2,0)&lt;&gt;D1731,"Beam Revised","")</f>
        <v>#N/A</v>
      </c>
      <c r="U1731" s="7" t="e">
        <f>IF(VLOOKUP($A1731,'Concrete Beam Schedule'!$A$2:$Q$2902,U$2,0)&lt;&gt;E1731,"Beam Revised","")</f>
        <v>#N/A</v>
      </c>
      <c r="V1731" s="7" t="e">
        <f>IF(VLOOKUP($A1731,'Concrete Beam Schedule'!$A$2:$Q$2902,V$2,0)&lt;&gt;F1731,"Beam Revised","")</f>
        <v>#N/A</v>
      </c>
      <c r="W1731" s="7" t="e">
        <f>IF(VLOOKUP($A1731,'Concrete Beam Schedule'!$A$2:$Q$2902,W$2,0)&lt;&gt;G1731,"Beam Revised","")</f>
        <v>#N/A</v>
      </c>
      <c r="X1731" s="7" t="e">
        <f>IF(VLOOKUP($A1731,'Concrete Beam Schedule'!$A$2:$Q$2902,X$2,0)&lt;&gt;H1731,"Beam Revised","")</f>
        <v>#N/A</v>
      </c>
      <c r="Y1731" s="7" t="e">
        <f>IF(VLOOKUP($A1731,'Concrete Beam Schedule'!$A$2:$Q$2902,Y$2,0)&lt;&gt;I1731,"Beam Revised","")</f>
        <v>#N/A</v>
      </c>
      <c r="Z1731" s="7" t="e">
        <f>IF(VLOOKUP($A1731,'Concrete Beam Schedule'!$A$2:$Q$2902,Z$2,0)&lt;&gt;J1731,"Beam Revised","")</f>
        <v>#N/A</v>
      </c>
      <c r="AA1731" s="7" t="e">
        <f>IF(VLOOKUP($A1731,'Concrete Beam Schedule'!$A$2:$Q$2902,AA$2,0)&lt;&gt;K1731,"Beam Revised","")</f>
        <v>#N/A</v>
      </c>
      <c r="AB1731" s="7" t="e">
        <f>IF(VLOOKUP($A1731,'Concrete Beam Schedule'!$A$2:$Q$2902,AB$2,0)&lt;&gt;L1731,"Beam Revised","")</f>
        <v>#N/A</v>
      </c>
      <c r="AC1731" s="7" t="e">
        <f>IF(VLOOKUP($A1731,'Concrete Beam Schedule'!$A$2:$Q$2902,AC$2,0)&lt;&gt;M1731,"Beam Revised","")</f>
        <v>#N/A</v>
      </c>
      <c r="AD1731" s="7" t="e">
        <f>IF(VLOOKUP($A1731,'Concrete Beam Schedule'!$A$2:$Q$2902,AD$2,0)&lt;&gt;N1731,"Beam Revised","")</f>
        <v>#N/A</v>
      </c>
      <c r="AE1731" s="7" t="e">
        <f>IF(VLOOKUP($A1731,'Concrete Beam Schedule'!$A$2:$Q$2902,AE$2,0)&lt;&gt;O1731,"Beam Revised","")</f>
        <v>#N/A</v>
      </c>
    </row>
    <row r="1732" spans="17:31" ht="20.100000000000001" customHeight="1" x14ac:dyDescent="0.25">
      <c r="Q1732" s="7">
        <f t="shared" ref="Q1732:Q1795" si="27">A1732</f>
        <v>0</v>
      </c>
      <c r="R1732" s="7" t="e">
        <f>IF(VLOOKUP($A1732,'Concrete Beam Schedule'!$A$2:$Q$2902,R$2,0)&lt;&gt;B1732,VLOOKUP($A1732,'Concrete Beam Schedule'!$A$2:$Q$2902,R$2,0),"")</f>
        <v>#N/A</v>
      </c>
      <c r="S1732" s="7" t="e">
        <f>IF(VLOOKUP($A1732,'Concrete Beam Schedule'!$A$2:$Q$2902,S$2,0)&lt;&gt;C1732,VLOOKUP($A1732,'Concrete Beam Schedule'!$A$2:$Q$2902,S$2,0),"")</f>
        <v>#N/A</v>
      </c>
      <c r="T1732" s="7" t="e">
        <f>IF(VLOOKUP($A1732,'Concrete Beam Schedule'!$A$2:$Q$2902,T$2,0)&lt;&gt;D1732,"Beam Revised","")</f>
        <v>#N/A</v>
      </c>
      <c r="U1732" s="7" t="e">
        <f>IF(VLOOKUP($A1732,'Concrete Beam Schedule'!$A$2:$Q$2902,U$2,0)&lt;&gt;E1732,"Beam Revised","")</f>
        <v>#N/A</v>
      </c>
      <c r="V1732" s="7" t="e">
        <f>IF(VLOOKUP($A1732,'Concrete Beam Schedule'!$A$2:$Q$2902,V$2,0)&lt;&gt;F1732,"Beam Revised","")</f>
        <v>#N/A</v>
      </c>
      <c r="W1732" s="7" t="e">
        <f>IF(VLOOKUP($A1732,'Concrete Beam Schedule'!$A$2:$Q$2902,W$2,0)&lt;&gt;G1732,"Beam Revised","")</f>
        <v>#N/A</v>
      </c>
      <c r="X1732" s="7" t="e">
        <f>IF(VLOOKUP($A1732,'Concrete Beam Schedule'!$A$2:$Q$2902,X$2,0)&lt;&gt;H1732,"Beam Revised","")</f>
        <v>#N/A</v>
      </c>
      <c r="Y1732" s="7" t="e">
        <f>IF(VLOOKUP($A1732,'Concrete Beam Schedule'!$A$2:$Q$2902,Y$2,0)&lt;&gt;I1732,"Beam Revised","")</f>
        <v>#N/A</v>
      </c>
      <c r="Z1732" s="7" t="e">
        <f>IF(VLOOKUP($A1732,'Concrete Beam Schedule'!$A$2:$Q$2902,Z$2,0)&lt;&gt;J1732,"Beam Revised","")</f>
        <v>#N/A</v>
      </c>
      <c r="AA1732" s="7" t="e">
        <f>IF(VLOOKUP($A1732,'Concrete Beam Schedule'!$A$2:$Q$2902,AA$2,0)&lt;&gt;K1732,"Beam Revised","")</f>
        <v>#N/A</v>
      </c>
      <c r="AB1732" s="7" t="e">
        <f>IF(VLOOKUP($A1732,'Concrete Beam Schedule'!$A$2:$Q$2902,AB$2,0)&lt;&gt;L1732,"Beam Revised","")</f>
        <v>#N/A</v>
      </c>
      <c r="AC1732" s="7" t="e">
        <f>IF(VLOOKUP($A1732,'Concrete Beam Schedule'!$A$2:$Q$2902,AC$2,0)&lt;&gt;M1732,"Beam Revised","")</f>
        <v>#N/A</v>
      </c>
      <c r="AD1732" s="7" t="e">
        <f>IF(VLOOKUP($A1732,'Concrete Beam Schedule'!$A$2:$Q$2902,AD$2,0)&lt;&gt;N1732,"Beam Revised","")</f>
        <v>#N/A</v>
      </c>
      <c r="AE1732" s="7" t="e">
        <f>IF(VLOOKUP($A1732,'Concrete Beam Schedule'!$A$2:$Q$2902,AE$2,0)&lt;&gt;O1732,"Beam Revised","")</f>
        <v>#N/A</v>
      </c>
    </row>
    <row r="1733" spans="17:31" ht="20.100000000000001" customHeight="1" x14ac:dyDescent="0.25">
      <c r="Q1733" s="7">
        <f t="shared" si="27"/>
        <v>0</v>
      </c>
      <c r="R1733" s="7" t="e">
        <f>IF(VLOOKUP($A1733,'Concrete Beam Schedule'!$A$2:$Q$2902,R$2,0)&lt;&gt;B1733,VLOOKUP($A1733,'Concrete Beam Schedule'!$A$2:$Q$2902,R$2,0),"")</f>
        <v>#N/A</v>
      </c>
      <c r="S1733" s="7" t="e">
        <f>IF(VLOOKUP($A1733,'Concrete Beam Schedule'!$A$2:$Q$2902,S$2,0)&lt;&gt;C1733,VLOOKUP($A1733,'Concrete Beam Schedule'!$A$2:$Q$2902,S$2,0),"")</f>
        <v>#N/A</v>
      </c>
      <c r="T1733" s="7" t="e">
        <f>IF(VLOOKUP($A1733,'Concrete Beam Schedule'!$A$2:$Q$2902,T$2,0)&lt;&gt;D1733,"Beam Revised","")</f>
        <v>#N/A</v>
      </c>
      <c r="U1733" s="7" t="e">
        <f>IF(VLOOKUP($A1733,'Concrete Beam Schedule'!$A$2:$Q$2902,U$2,0)&lt;&gt;E1733,"Beam Revised","")</f>
        <v>#N/A</v>
      </c>
      <c r="V1733" s="7" t="e">
        <f>IF(VLOOKUP($A1733,'Concrete Beam Schedule'!$A$2:$Q$2902,V$2,0)&lt;&gt;F1733,"Beam Revised","")</f>
        <v>#N/A</v>
      </c>
      <c r="W1733" s="7" t="e">
        <f>IF(VLOOKUP($A1733,'Concrete Beam Schedule'!$A$2:$Q$2902,W$2,0)&lt;&gt;G1733,"Beam Revised","")</f>
        <v>#N/A</v>
      </c>
      <c r="X1733" s="7" t="e">
        <f>IF(VLOOKUP($A1733,'Concrete Beam Schedule'!$A$2:$Q$2902,X$2,0)&lt;&gt;H1733,"Beam Revised","")</f>
        <v>#N/A</v>
      </c>
      <c r="Y1733" s="7" t="e">
        <f>IF(VLOOKUP($A1733,'Concrete Beam Schedule'!$A$2:$Q$2902,Y$2,0)&lt;&gt;I1733,"Beam Revised","")</f>
        <v>#N/A</v>
      </c>
      <c r="Z1733" s="7" t="e">
        <f>IF(VLOOKUP($A1733,'Concrete Beam Schedule'!$A$2:$Q$2902,Z$2,0)&lt;&gt;J1733,"Beam Revised","")</f>
        <v>#N/A</v>
      </c>
      <c r="AA1733" s="7" t="e">
        <f>IF(VLOOKUP($A1733,'Concrete Beam Schedule'!$A$2:$Q$2902,AA$2,0)&lt;&gt;K1733,"Beam Revised","")</f>
        <v>#N/A</v>
      </c>
      <c r="AB1733" s="7" t="e">
        <f>IF(VLOOKUP($A1733,'Concrete Beam Schedule'!$A$2:$Q$2902,AB$2,0)&lt;&gt;L1733,"Beam Revised","")</f>
        <v>#N/A</v>
      </c>
      <c r="AC1733" s="7" t="e">
        <f>IF(VLOOKUP($A1733,'Concrete Beam Schedule'!$A$2:$Q$2902,AC$2,0)&lt;&gt;M1733,"Beam Revised","")</f>
        <v>#N/A</v>
      </c>
      <c r="AD1733" s="7" t="e">
        <f>IF(VLOOKUP($A1733,'Concrete Beam Schedule'!$A$2:$Q$2902,AD$2,0)&lt;&gt;N1733,"Beam Revised","")</f>
        <v>#N/A</v>
      </c>
      <c r="AE1733" s="7" t="e">
        <f>IF(VLOOKUP($A1733,'Concrete Beam Schedule'!$A$2:$Q$2902,AE$2,0)&lt;&gt;O1733,"Beam Revised","")</f>
        <v>#N/A</v>
      </c>
    </row>
    <row r="1734" spans="17:31" ht="20.100000000000001" customHeight="1" x14ac:dyDescent="0.25">
      <c r="Q1734" s="7">
        <f t="shared" si="27"/>
        <v>0</v>
      </c>
      <c r="R1734" s="7" t="e">
        <f>IF(VLOOKUP($A1734,'Concrete Beam Schedule'!$A$2:$Q$2902,R$2,0)&lt;&gt;B1734,VLOOKUP($A1734,'Concrete Beam Schedule'!$A$2:$Q$2902,R$2,0),"")</f>
        <v>#N/A</v>
      </c>
      <c r="S1734" s="7" t="e">
        <f>IF(VLOOKUP($A1734,'Concrete Beam Schedule'!$A$2:$Q$2902,S$2,0)&lt;&gt;C1734,VLOOKUP($A1734,'Concrete Beam Schedule'!$A$2:$Q$2902,S$2,0),"")</f>
        <v>#N/A</v>
      </c>
      <c r="T1734" s="7" t="e">
        <f>IF(VLOOKUP($A1734,'Concrete Beam Schedule'!$A$2:$Q$2902,T$2,0)&lt;&gt;D1734,"Beam Revised","")</f>
        <v>#N/A</v>
      </c>
      <c r="U1734" s="7" t="e">
        <f>IF(VLOOKUP($A1734,'Concrete Beam Schedule'!$A$2:$Q$2902,U$2,0)&lt;&gt;E1734,"Beam Revised","")</f>
        <v>#N/A</v>
      </c>
      <c r="V1734" s="7" t="e">
        <f>IF(VLOOKUP($A1734,'Concrete Beam Schedule'!$A$2:$Q$2902,V$2,0)&lt;&gt;F1734,"Beam Revised","")</f>
        <v>#N/A</v>
      </c>
      <c r="W1734" s="7" t="e">
        <f>IF(VLOOKUP($A1734,'Concrete Beam Schedule'!$A$2:$Q$2902,W$2,0)&lt;&gt;G1734,"Beam Revised","")</f>
        <v>#N/A</v>
      </c>
      <c r="X1734" s="7" t="e">
        <f>IF(VLOOKUP($A1734,'Concrete Beam Schedule'!$A$2:$Q$2902,X$2,0)&lt;&gt;H1734,"Beam Revised","")</f>
        <v>#N/A</v>
      </c>
      <c r="Y1734" s="7" t="e">
        <f>IF(VLOOKUP($A1734,'Concrete Beam Schedule'!$A$2:$Q$2902,Y$2,0)&lt;&gt;I1734,"Beam Revised","")</f>
        <v>#N/A</v>
      </c>
      <c r="Z1734" s="7" t="e">
        <f>IF(VLOOKUP($A1734,'Concrete Beam Schedule'!$A$2:$Q$2902,Z$2,0)&lt;&gt;J1734,"Beam Revised","")</f>
        <v>#N/A</v>
      </c>
      <c r="AA1734" s="7" t="e">
        <f>IF(VLOOKUP($A1734,'Concrete Beam Schedule'!$A$2:$Q$2902,AA$2,0)&lt;&gt;K1734,"Beam Revised","")</f>
        <v>#N/A</v>
      </c>
      <c r="AB1734" s="7" t="e">
        <f>IF(VLOOKUP($A1734,'Concrete Beam Schedule'!$A$2:$Q$2902,AB$2,0)&lt;&gt;L1734,"Beam Revised","")</f>
        <v>#N/A</v>
      </c>
      <c r="AC1734" s="7" t="e">
        <f>IF(VLOOKUP($A1734,'Concrete Beam Schedule'!$A$2:$Q$2902,AC$2,0)&lt;&gt;M1734,"Beam Revised","")</f>
        <v>#N/A</v>
      </c>
      <c r="AD1734" s="7" t="e">
        <f>IF(VLOOKUP($A1734,'Concrete Beam Schedule'!$A$2:$Q$2902,AD$2,0)&lt;&gt;N1734,"Beam Revised","")</f>
        <v>#N/A</v>
      </c>
      <c r="AE1734" s="7" t="e">
        <f>IF(VLOOKUP($A1734,'Concrete Beam Schedule'!$A$2:$Q$2902,AE$2,0)&lt;&gt;O1734,"Beam Revised","")</f>
        <v>#N/A</v>
      </c>
    </row>
    <row r="1735" spans="17:31" ht="20.100000000000001" customHeight="1" x14ac:dyDescent="0.25">
      <c r="Q1735" s="7">
        <f t="shared" si="27"/>
        <v>0</v>
      </c>
      <c r="R1735" s="7" t="e">
        <f>IF(VLOOKUP($A1735,'Concrete Beam Schedule'!$A$2:$Q$2902,R$2,0)&lt;&gt;B1735,VLOOKUP($A1735,'Concrete Beam Schedule'!$A$2:$Q$2902,R$2,0),"")</f>
        <v>#N/A</v>
      </c>
      <c r="S1735" s="7" t="e">
        <f>IF(VLOOKUP($A1735,'Concrete Beam Schedule'!$A$2:$Q$2902,S$2,0)&lt;&gt;C1735,VLOOKUP($A1735,'Concrete Beam Schedule'!$A$2:$Q$2902,S$2,0),"")</f>
        <v>#N/A</v>
      </c>
      <c r="T1735" s="7" t="e">
        <f>IF(VLOOKUP($A1735,'Concrete Beam Schedule'!$A$2:$Q$2902,T$2,0)&lt;&gt;D1735,"Beam Revised","")</f>
        <v>#N/A</v>
      </c>
      <c r="U1735" s="7" t="e">
        <f>IF(VLOOKUP($A1735,'Concrete Beam Schedule'!$A$2:$Q$2902,U$2,0)&lt;&gt;E1735,"Beam Revised","")</f>
        <v>#N/A</v>
      </c>
      <c r="V1735" s="7" t="e">
        <f>IF(VLOOKUP($A1735,'Concrete Beam Schedule'!$A$2:$Q$2902,V$2,0)&lt;&gt;F1735,"Beam Revised","")</f>
        <v>#N/A</v>
      </c>
      <c r="W1735" s="7" t="e">
        <f>IF(VLOOKUP($A1735,'Concrete Beam Schedule'!$A$2:$Q$2902,W$2,0)&lt;&gt;G1735,"Beam Revised","")</f>
        <v>#N/A</v>
      </c>
      <c r="X1735" s="7" t="e">
        <f>IF(VLOOKUP($A1735,'Concrete Beam Schedule'!$A$2:$Q$2902,X$2,0)&lt;&gt;H1735,"Beam Revised","")</f>
        <v>#N/A</v>
      </c>
      <c r="Y1735" s="7" t="e">
        <f>IF(VLOOKUP($A1735,'Concrete Beam Schedule'!$A$2:$Q$2902,Y$2,0)&lt;&gt;I1735,"Beam Revised","")</f>
        <v>#N/A</v>
      </c>
      <c r="Z1735" s="7" t="e">
        <f>IF(VLOOKUP($A1735,'Concrete Beam Schedule'!$A$2:$Q$2902,Z$2,0)&lt;&gt;J1735,"Beam Revised","")</f>
        <v>#N/A</v>
      </c>
      <c r="AA1735" s="7" t="e">
        <f>IF(VLOOKUP($A1735,'Concrete Beam Schedule'!$A$2:$Q$2902,AA$2,0)&lt;&gt;K1735,"Beam Revised","")</f>
        <v>#N/A</v>
      </c>
      <c r="AB1735" s="7" t="e">
        <f>IF(VLOOKUP($A1735,'Concrete Beam Schedule'!$A$2:$Q$2902,AB$2,0)&lt;&gt;L1735,"Beam Revised","")</f>
        <v>#N/A</v>
      </c>
      <c r="AC1735" s="7" t="e">
        <f>IF(VLOOKUP($A1735,'Concrete Beam Schedule'!$A$2:$Q$2902,AC$2,0)&lt;&gt;M1735,"Beam Revised","")</f>
        <v>#N/A</v>
      </c>
      <c r="AD1735" s="7" t="e">
        <f>IF(VLOOKUP($A1735,'Concrete Beam Schedule'!$A$2:$Q$2902,AD$2,0)&lt;&gt;N1735,"Beam Revised","")</f>
        <v>#N/A</v>
      </c>
      <c r="AE1735" s="7" t="e">
        <f>IF(VLOOKUP($A1735,'Concrete Beam Schedule'!$A$2:$Q$2902,AE$2,0)&lt;&gt;O1735,"Beam Revised","")</f>
        <v>#N/A</v>
      </c>
    </row>
    <row r="1736" spans="17:31" ht="20.100000000000001" customHeight="1" x14ac:dyDescent="0.25">
      <c r="Q1736" s="7">
        <f t="shared" si="27"/>
        <v>0</v>
      </c>
      <c r="R1736" s="7" t="e">
        <f>IF(VLOOKUP($A1736,'Concrete Beam Schedule'!$A$2:$Q$2902,R$2,0)&lt;&gt;B1736,VLOOKUP($A1736,'Concrete Beam Schedule'!$A$2:$Q$2902,R$2,0),"")</f>
        <v>#N/A</v>
      </c>
      <c r="S1736" s="7" t="e">
        <f>IF(VLOOKUP($A1736,'Concrete Beam Schedule'!$A$2:$Q$2902,S$2,0)&lt;&gt;C1736,VLOOKUP($A1736,'Concrete Beam Schedule'!$A$2:$Q$2902,S$2,0),"")</f>
        <v>#N/A</v>
      </c>
      <c r="T1736" s="7" t="e">
        <f>IF(VLOOKUP($A1736,'Concrete Beam Schedule'!$A$2:$Q$2902,T$2,0)&lt;&gt;D1736,"Beam Revised","")</f>
        <v>#N/A</v>
      </c>
      <c r="U1736" s="7" t="e">
        <f>IF(VLOOKUP($A1736,'Concrete Beam Schedule'!$A$2:$Q$2902,U$2,0)&lt;&gt;E1736,"Beam Revised","")</f>
        <v>#N/A</v>
      </c>
      <c r="V1736" s="7" t="e">
        <f>IF(VLOOKUP($A1736,'Concrete Beam Schedule'!$A$2:$Q$2902,V$2,0)&lt;&gt;F1736,"Beam Revised","")</f>
        <v>#N/A</v>
      </c>
      <c r="W1736" s="7" t="e">
        <f>IF(VLOOKUP($A1736,'Concrete Beam Schedule'!$A$2:$Q$2902,W$2,0)&lt;&gt;G1736,"Beam Revised","")</f>
        <v>#N/A</v>
      </c>
      <c r="X1736" s="7" t="e">
        <f>IF(VLOOKUP($A1736,'Concrete Beam Schedule'!$A$2:$Q$2902,X$2,0)&lt;&gt;H1736,"Beam Revised","")</f>
        <v>#N/A</v>
      </c>
      <c r="Y1736" s="7" t="e">
        <f>IF(VLOOKUP($A1736,'Concrete Beam Schedule'!$A$2:$Q$2902,Y$2,0)&lt;&gt;I1736,"Beam Revised","")</f>
        <v>#N/A</v>
      </c>
      <c r="Z1736" s="7" t="e">
        <f>IF(VLOOKUP($A1736,'Concrete Beam Schedule'!$A$2:$Q$2902,Z$2,0)&lt;&gt;J1736,"Beam Revised","")</f>
        <v>#N/A</v>
      </c>
      <c r="AA1736" s="7" t="e">
        <f>IF(VLOOKUP($A1736,'Concrete Beam Schedule'!$A$2:$Q$2902,AA$2,0)&lt;&gt;K1736,"Beam Revised","")</f>
        <v>#N/A</v>
      </c>
      <c r="AB1736" s="7" t="e">
        <f>IF(VLOOKUP($A1736,'Concrete Beam Schedule'!$A$2:$Q$2902,AB$2,0)&lt;&gt;L1736,"Beam Revised","")</f>
        <v>#N/A</v>
      </c>
      <c r="AC1736" s="7" t="e">
        <f>IF(VLOOKUP($A1736,'Concrete Beam Schedule'!$A$2:$Q$2902,AC$2,0)&lt;&gt;M1736,"Beam Revised","")</f>
        <v>#N/A</v>
      </c>
      <c r="AD1736" s="7" t="e">
        <f>IF(VLOOKUP($A1736,'Concrete Beam Schedule'!$A$2:$Q$2902,AD$2,0)&lt;&gt;N1736,"Beam Revised","")</f>
        <v>#N/A</v>
      </c>
      <c r="AE1736" s="7" t="e">
        <f>IF(VLOOKUP($A1736,'Concrete Beam Schedule'!$A$2:$Q$2902,AE$2,0)&lt;&gt;O1736,"Beam Revised","")</f>
        <v>#N/A</v>
      </c>
    </row>
    <row r="1737" spans="17:31" ht="20.100000000000001" customHeight="1" x14ac:dyDescent="0.25">
      <c r="Q1737" s="7">
        <f t="shared" si="27"/>
        <v>0</v>
      </c>
      <c r="R1737" s="7" t="e">
        <f>IF(VLOOKUP($A1737,'Concrete Beam Schedule'!$A$2:$Q$2902,R$2,0)&lt;&gt;B1737,VLOOKUP($A1737,'Concrete Beam Schedule'!$A$2:$Q$2902,R$2,0),"")</f>
        <v>#N/A</v>
      </c>
      <c r="S1737" s="7" t="e">
        <f>IF(VLOOKUP($A1737,'Concrete Beam Schedule'!$A$2:$Q$2902,S$2,0)&lt;&gt;C1737,VLOOKUP($A1737,'Concrete Beam Schedule'!$A$2:$Q$2902,S$2,0),"")</f>
        <v>#N/A</v>
      </c>
      <c r="T1737" s="7" t="e">
        <f>IF(VLOOKUP($A1737,'Concrete Beam Schedule'!$A$2:$Q$2902,T$2,0)&lt;&gt;D1737,"Beam Revised","")</f>
        <v>#N/A</v>
      </c>
      <c r="U1737" s="7" t="e">
        <f>IF(VLOOKUP($A1737,'Concrete Beam Schedule'!$A$2:$Q$2902,U$2,0)&lt;&gt;E1737,"Beam Revised","")</f>
        <v>#N/A</v>
      </c>
      <c r="V1737" s="7" t="e">
        <f>IF(VLOOKUP($A1737,'Concrete Beam Schedule'!$A$2:$Q$2902,V$2,0)&lt;&gt;F1737,"Beam Revised","")</f>
        <v>#N/A</v>
      </c>
      <c r="W1737" s="7" t="e">
        <f>IF(VLOOKUP($A1737,'Concrete Beam Schedule'!$A$2:$Q$2902,W$2,0)&lt;&gt;G1737,"Beam Revised","")</f>
        <v>#N/A</v>
      </c>
      <c r="X1737" s="7" t="e">
        <f>IF(VLOOKUP($A1737,'Concrete Beam Schedule'!$A$2:$Q$2902,X$2,0)&lt;&gt;H1737,"Beam Revised","")</f>
        <v>#N/A</v>
      </c>
      <c r="Y1737" s="7" t="e">
        <f>IF(VLOOKUP($A1737,'Concrete Beam Schedule'!$A$2:$Q$2902,Y$2,0)&lt;&gt;I1737,"Beam Revised","")</f>
        <v>#N/A</v>
      </c>
      <c r="Z1737" s="7" t="e">
        <f>IF(VLOOKUP($A1737,'Concrete Beam Schedule'!$A$2:$Q$2902,Z$2,0)&lt;&gt;J1737,"Beam Revised","")</f>
        <v>#N/A</v>
      </c>
      <c r="AA1737" s="7" t="e">
        <f>IF(VLOOKUP($A1737,'Concrete Beam Schedule'!$A$2:$Q$2902,AA$2,0)&lt;&gt;K1737,"Beam Revised","")</f>
        <v>#N/A</v>
      </c>
      <c r="AB1737" s="7" t="e">
        <f>IF(VLOOKUP($A1737,'Concrete Beam Schedule'!$A$2:$Q$2902,AB$2,0)&lt;&gt;L1737,"Beam Revised","")</f>
        <v>#N/A</v>
      </c>
      <c r="AC1737" s="7" t="e">
        <f>IF(VLOOKUP($A1737,'Concrete Beam Schedule'!$A$2:$Q$2902,AC$2,0)&lt;&gt;M1737,"Beam Revised","")</f>
        <v>#N/A</v>
      </c>
      <c r="AD1737" s="7" t="e">
        <f>IF(VLOOKUP($A1737,'Concrete Beam Schedule'!$A$2:$Q$2902,AD$2,0)&lt;&gt;N1737,"Beam Revised","")</f>
        <v>#N/A</v>
      </c>
      <c r="AE1737" s="7" t="e">
        <f>IF(VLOOKUP($A1737,'Concrete Beam Schedule'!$A$2:$Q$2902,AE$2,0)&lt;&gt;O1737,"Beam Revised","")</f>
        <v>#N/A</v>
      </c>
    </row>
    <row r="1738" spans="17:31" ht="20.100000000000001" customHeight="1" x14ac:dyDescent="0.25">
      <c r="Q1738" s="7">
        <f t="shared" si="27"/>
        <v>0</v>
      </c>
      <c r="R1738" s="7" t="e">
        <f>IF(VLOOKUP($A1738,'Concrete Beam Schedule'!$A$2:$Q$2902,R$2,0)&lt;&gt;B1738,VLOOKUP($A1738,'Concrete Beam Schedule'!$A$2:$Q$2902,R$2,0),"")</f>
        <v>#N/A</v>
      </c>
      <c r="S1738" s="7" t="e">
        <f>IF(VLOOKUP($A1738,'Concrete Beam Schedule'!$A$2:$Q$2902,S$2,0)&lt;&gt;C1738,VLOOKUP($A1738,'Concrete Beam Schedule'!$A$2:$Q$2902,S$2,0),"")</f>
        <v>#N/A</v>
      </c>
      <c r="T1738" s="7" t="e">
        <f>IF(VLOOKUP($A1738,'Concrete Beam Schedule'!$A$2:$Q$2902,T$2,0)&lt;&gt;D1738,"Beam Revised","")</f>
        <v>#N/A</v>
      </c>
      <c r="U1738" s="7" t="e">
        <f>IF(VLOOKUP($A1738,'Concrete Beam Schedule'!$A$2:$Q$2902,U$2,0)&lt;&gt;E1738,"Beam Revised","")</f>
        <v>#N/A</v>
      </c>
      <c r="V1738" s="7" t="e">
        <f>IF(VLOOKUP($A1738,'Concrete Beam Schedule'!$A$2:$Q$2902,V$2,0)&lt;&gt;F1738,"Beam Revised","")</f>
        <v>#N/A</v>
      </c>
      <c r="W1738" s="7" t="e">
        <f>IF(VLOOKUP($A1738,'Concrete Beam Schedule'!$A$2:$Q$2902,W$2,0)&lt;&gt;G1738,"Beam Revised","")</f>
        <v>#N/A</v>
      </c>
      <c r="X1738" s="7" t="e">
        <f>IF(VLOOKUP($A1738,'Concrete Beam Schedule'!$A$2:$Q$2902,X$2,0)&lt;&gt;H1738,"Beam Revised","")</f>
        <v>#N/A</v>
      </c>
      <c r="Y1738" s="7" t="e">
        <f>IF(VLOOKUP($A1738,'Concrete Beam Schedule'!$A$2:$Q$2902,Y$2,0)&lt;&gt;I1738,"Beam Revised","")</f>
        <v>#N/A</v>
      </c>
      <c r="Z1738" s="7" t="e">
        <f>IF(VLOOKUP($A1738,'Concrete Beam Schedule'!$A$2:$Q$2902,Z$2,0)&lt;&gt;J1738,"Beam Revised","")</f>
        <v>#N/A</v>
      </c>
      <c r="AA1738" s="7" t="e">
        <f>IF(VLOOKUP($A1738,'Concrete Beam Schedule'!$A$2:$Q$2902,AA$2,0)&lt;&gt;K1738,"Beam Revised","")</f>
        <v>#N/A</v>
      </c>
      <c r="AB1738" s="7" t="e">
        <f>IF(VLOOKUP($A1738,'Concrete Beam Schedule'!$A$2:$Q$2902,AB$2,0)&lt;&gt;L1738,"Beam Revised","")</f>
        <v>#N/A</v>
      </c>
      <c r="AC1738" s="7" t="e">
        <f>IF(VLOOKUP($A1738,'Concrete Beam Schedule'!$A$2:$Q$2902,AC$2,0)&lt;&gt;M1738,"Beam Revised","")</f>
        <v>#N/A</v>
      </c>
      <c r="AD1738" s="7" t="e">
        <f>IF(VLOOKUP($A1738,'Concrete Beam Schedule'!$A$2:$Q$2902,AD$2,0)&lt;&gt;N1738,"Beam Revised","")</f>
        <v>#N/A</v>
      </c>
      <c r="AE1738" s="7" t="e">
        <f>IF(VLOOKUP($A1738,'Concrete Beam Schedule'!$A$2:$Q$2902,AE$2,0)&lt;&gt;O1738,"Beam Revised","")</f>
        <v>#N/A</v>
      </c>
    </row>
    <row r="1739" spans="17:31" ht="20.100000000000001" customHeight="1" x14ac:dyDescent="0.25">
      <c r="Q1739" s="7">
        <f t="shared" si="27"/>
        <v>0</v>
      </c>
      <c r="R1739" s="7" t="e">
        <f>IF(VLOOKUP($A1739,'Concrete Beam Schedule'!$A$2:$Q$2902,R$2,0)&lt;&gt;B1739,VLOOKUP($A1739,'Concrete Beam Schedule'!$A$2:$Q$2902,R$2,0),"")</f>
        <v>#N/A</v>
      </c>
      <c r="S1739" s="7" t="e">
        <f>IF(VLOOKUP($A1739,'Concrete Beam Schedule'!$A$2:$Q$2902,S$2,0)&lt;&gt;C1739,VLOOKUP($A1739,'Concrete Beam Schedule'!$A$2:$Q$2902,S$2,0),"")</f>
        <v>#N/A</v>
      </c>
      <c r="T1739" s="7" t="e">
        <f>IF(VLOOKUP($A1739,'Concrete Beam Schedule'!$A$2:$Q$2902,T$2,0)&lt;&gt;D1739,"Beam Revised","")</f>
        <v>#N/A</v>
      </c>
      <c r="U1739" s="7" t="e">
        <f>IF(VLOOKUP($A1739,'Concrete Beam Schedule'!$A$2:$Q$2902,U$2,0)&lt;&gt;E1739,"Beam Revised","")</f>
        <v>#N/A</v>
      </c>
      <c r="V1739" s="7" t="e">
        <f>IF(VLOOKUP($A1739,'Concrete Beam Schedule'!$A$2:$Q$2902,V$2,0)&lt;&gt;F1739,"Beam Revised","")</f>
        <v>#N/A</v>
      </c>
      <c r="W1739" s="7" t="e">
        <f>IF(VLOOKUP($A1739,'Concrete Beam Schedule'!$A$2:$Q$2902,W$2,0)&lt;&gt;G1739,"Beam Revised","")</f>
        <v>#N/A</v>
      </c>
      <c r="X1739" s="7" t="e">
        <f>IF(VLOOKUP($A1739,'Concrete Beam Schedule'!$A$2:$Q$2902,X$2,0)&lt;&gt;H1739,"Beam Revised","")</f>
        <v>#N/A</v>
      </c>
      <c r="Y1739" s="7" t="e">
        <f>IF(VLOOKUP($A1739,'Concrete Beam Schedule'!$A$2:$Q$2902,Y$2,0)&lt;&gt;I1739,"Beam Revised","")</f>
        <v>#N/A</v>
      </c>
      <c r="Z1739" s="7" t="e">
        <f>IF(VLOOKUP($A1739,'Concrete Beam Schedule'!$A$2:$Q$2902,Z$2,0)&lt;&gt;J1739,"Beam Revised","")</f>
        <v>#N/A</v>
      </c>
      <c r="AA1739" s="7" t="e">
        <f>IF(VLOOKUP($A1739,'Concrete Beam Schedule'!$A$2:$Q$2902,AA$2,0)&lt;&gt;K1739,"Beam Revised","")</f>
        <v>#N/A</v>
      </c>
      <c r="AB1739" s="7" t="e">
        <f>IF(VLOOKUP($A1739,'Concrete Beam Schedule'!$A$2:$Q$2902,AB$2,0)&lt;&gt;L1739,"Beam Revised","")</f>
        <v>#N/A</v>
      </c>
      <c r="AC1739" s="7" t="e">
        <f>IF(VLOOKUP($A1739,'Concrete Beam Schedule'!$A$2:$Q$2902,AC$2,0)&lt;&gt;M1739,"Beam Revised","")</f>
        <v>#N/A</v>
      </c>
      <c r="AD1739" s="7" t="e">
        <f>IF(VLOOKUP($A1739,'Concrete Beam Schedule'!$A$2:$Q$2902,AD$2,0)&lt;&gt;N1739,"Beam Revised","")</f>
        <v>#N/A</v>
      </c>
      <c r="AE1739" s="7" t="e">
        <f>IF(VLOOKUP($A1739,'Concrete Beam Schedule'!$A$2:$Q$2902,AE$2,0)&lt;&gt;O1739,"Beam Revised","")</f>
        <v>#N/A</v>
      </c>
    </row>
    <row r="1740" spans="17:31" ht="20.100000000000001" customHeight="1" x14ac:dyDescent="0.25">
      <c r="Q1740" s="7">
        <f t="shared" si="27"/>
        <v>0</v>
      </c>
      <c r="R1740" s="7" t="e">
        <f>IF(VLOOKUP($A1740,'Concrete Beam Schedule'!$A$2:$Q$2902,R$2,0)&lt;&gt;B1740,VLOOKUP($A1740,'Concrete Beam Schedule'!$A$2:$Q$2902,R$2,0),"")</f>
        <v>#N/A</v>
      </c>
      <c r="S1740" s="7" t="e">
        <f>IF(VLOOKUP($A1740,'Concrete Beam Schedule'!$A$2:$Q$2902,S$2,0)&lt;&gt;C1740,VLOOKUP($A1740,'Concrete Beam Schedule'!$A$2:$Q$2902,S$2,0),"")</f>
        <v>#N/A</v>
      </c>
      <c r="T1740" s="7" t="e">
        <f>IF(VLOOKUP($A1740,'Concrete Beam Schedule'!$A$2:$Q$2902,T$2,0)&lt;&gt;D1740,"Beam Revised","")</f>
        <v>#N/A</v>
      </c>
      <c r="U1740" s="7" t="e">
        <f>IF(VLOOKUP($A1740,'Concrete Beam Schedule'!$A$2:$Q$2902,U$2,0)&lt;&gt;E1740,"Beam Revised","")</f>
        <v>#N/A</v>
      </c>
      <c r="V1740" s="7" t="e">
        <f>IF(VLOOKUP($A1740,'Concrete Beam Schedule'!$A$2:$Q$2902,V$2,0)&lt;&gt;F1740,"Beam Revised","")</f>
        <v>#N/A</v>
      </c>
      <c r="W1740" s="7" t="e">
        <f>IF(VLOOKUP($A1740,'Concrete Beam Schedule'!$A$2:$Q$2902,W$2,0)&lt;&gt;G1740,"Beam Revised","")</f>
        <v>#N/A</v>
      </c>
      <c r="X1740" s="7" t="e">
        <f>IF(VLOOKUP($A1740,'Concrete Beam Schedule'!$A$2:$Q$2902,X$2,0)&lt;&gt;H1740,"Beam Revised","")</f>
        <v>#N/A</v>
      </c>
      <c r="Y1740" s="7" t="e">
        <f>IF(VLOOKUP($A1740,'Concrete Beam Schedule'!$A$2:$Q$2902,Y$2,0)&lt;&gt;I1740,"Beam Revised","")</f>
        <v>#N/A</v>
      </c>
      <c r="Z1740" s="7" t="e">
        <f>IF(VLOOKUP($A1740,'Concrete Beam Schedule'!$A$2:$Q$2902,Z$2,0)&lt;&gt;J1740,"Beam Revised","")</f>
        <v>#N/A</v>
      </c>
      <c r="AA1740" s="7" t="e">
        <f>IF(VLOOKUP($A1740,'Concrete Beam Schedule'!$A$2:$Q$2902,AA$2,0)&lt;&gt;K1740,"Beam Revised","")</f>
        <v>#N/A</v>
      </c>
      <c r="AB1740" s="7" t="e">
        <f>IF(VLOOKUP($A1740,'Concrete Beam Schedule'!$A$2:$Q$2902,AB$2,0)&lt;&gt;L1740,"Beam Revised","")</f>
        <v>#N/A</v>
      </c>
      <c r="AC1740" s="7" t="e">
        <f>IF(VLOOKUP($A1740,'Concrete Beam Schedule'!$A$2:$Q$2902,AC$2,0)&lt;&gt;M1740,"Beam Revised","")</f>
        <v>#N/A</v>
      </c>
      <c r="AD1740" s="7" t="e">
        <f>IF(VLOOKUP($A1740,'Concrete Beam Schedule'!$A$2:$Q$2902,AD$2,0)&lt;&gt;N1740,"Beam Revised","")</f>
        <v>#N/A</v>
      </c>
      <c r="AE1740" s="7" t="e">
        <f>IF(VLOOKUP($A1740,'Concrete Beam Schedule'!$A$2:$Q$2902,AE$2,0)&lt;&gt;O1740,"Beam Revised","")</f>
        <v>#N/A</v>
      </c>
    </row>
    <row r="1741" spans="17:31" ht="20.100000000000001" customHeight="1" x14ac:dyDescent="0.25">
      <c r="Q1741" s="7">
        <f t="shared" si="27"/>
        <v>0</v>
      </c>
      <c r="R1741" s="7" t="e">
        <f>IF(VLOOKUP($A1741,'Concrete Beam Schedule'!$A$2:$Q$2902,R$2,0)&lt;&gt;B1741,VLOOKUP($A1741,'Concrete Beam Schedule'!$A$2:$Q$2902,R$2,0),"")</f>
        <v>#N/A</v>
      </c>
      <c r="S1741" s="7" t="e">
        <f>IF(VLOOKUP($A1741,'Concrete Beam Schedule'!$A$2:$Q$2902,S$2,0)&lt;&gt;C1741,VLOOKUP($A1741,'Concrete Beam Schedule'!$A$2:$Q$2902,S$2,0),"")</f>
        <v>#N/A</v>
      </c>
      <c r="T1741" s="7" t="e">
        <f>IF(VLOOKUP($A1741,'Concrete Beam Schedule'!$A$2:$Q$2902,T$2,0)&lt;&gt;D1741,"Beam Revised","")</f>
        <v>#N/A</v>
      </c>
      <c r="U1741" s="7" t="e">
        <f>IF(VLOOKUP($A1741,'Concrete Beam Schedule'!$A$2:$Q$2902,U$2,0)&lt;&gt;E1741,"Beam Revised","")</f>
        <v>#N/A</v>
      </c>
      <c r="V1741" s="7" t="e">
        <f>IF(VLOOKUP($A1741,'Concrete Beam Schedule'!$A$2:$Q$2902,V$2,0)&lt;&gt;F1741,"Beam Revised","")</f>
        <v>#N/A</v>
      </c>
      <c r="W1741" s="7" t="e">
        <f>IF(VLOOKUP($A1741,'Concrete Beam Schedule'!$A$2:$Q$2902,W$2,0)&lt;&gt;G1741,"Beam Revised","")</f>
        <v>#N/A</v>
      </c>
      <c r="X1741" s="7" t="e">
        <f>IF(VLOOKUP($A1741,'Concrete Beam Schedule'!$A$2:$Q$2902,X$2,0)&lt;&gt;H1741,"Beam Revised","")</f>
        <v>#N/A</v>
      </c>
      <c r="Y1741" s="7" t="e">
        <f>IF(VLOOKUP($A1741,'Concrete Beam Schedule'!$A$2:$Q$2902,Y$2,0)&lt;&gt;I1741,"Beam Revised","")</f>
        <v>#N/A</v>
      </c>
      <c r="Z1741" s="7" t="e">
        <f>IF(VLOOKUP($A1741,'Concrete Beam Schedule'!$A$2:$Q$2902,Z$2,0)&lt;&gt;J1741,"Beam Revised","")</f>
        <v>#N/A</v>
      </c>
      <c r="AA1741" s="7" t="e">
        <f>IF(VLOOKUP($A1741,'Concrete Beam Schedule'!$A$2:$Q$2902,AA$2,0)&lt;&gt;K1741,"Beam Revised","")</f>
        <v>#N/A</v>
      </c>
      <c r="AB1741" s="7" t="e">
        <f>IF(VLOOKUP($A1741,'Concrete Beam Schedule'!$A$2:$Q$2902,AB$2,0)&lt;&gt;L1741,"Beam Revised","")</f>
        <v>#N/A</v>
      </c>
      <c r="AC1741" s="7" t="e">
        <f>IF(VLOOKUP($A1741,'Concrete Beam Schedule'!$A$2:$Q$2902,AC$2,0)&lt;&gt;M1741,"Beam Revised","")</f>
        <v>#N/A</v>
      </c>
      <c r="AD1741" s="7" t="e">
        <f>IF(VLOOKUP($A1741,'Concrete Beam Schedule'!$A$2:$Q$2902,AD$2,0)&lt;&gt;N1741,"Beam Revised","")</f>
        <v>#N/A</v>
      </c>
      <c r="AE1741" s="7" t="e">
        <f>IF(VLOOKUP($A1741,'Concrete Beam Schedule'!$A$2:$Q$2902,AE$2,0)&lt;&gt;O1741,"Beam Revised","")</f>
        <v>#N/A</v>
      </c>
    </row>
    <row r="1742" spans="17:31" ht="20.100000000000001" customHeight="1" x14ac:dyDescent="0.25">
      <c r="Q1742" s="7">
        <f t="shared" si="27"/>
        <v>0</v>
      </c>
      <c r="R1742" s="7" t="e">
        <f>IF(VLOOKUP($A1742,'Concrete Beam Schedule'!$A$2:$Q$2902,R$2,0)&lt;&gt;B1742,VLOOKUP($A1742,'Concrete Beam Schedule'!$A$2:$Q$2902,R$2,0),"")</f>
        <v>#N/A</v>
      </c>
      <c r="S1742" s="7" t="e">
        <f>IF(VLOOKUP($A1742,'Concrete Beam Schedule'!$A$2:$Q$2902,S$2,0)&lt;&gt;C1742,VLOOKUP($A1742,'Concrete Beam Schedule'!$A$2:$Q$2902,S$2,0),"")</f>
        <v>#N/A</v>
      </c>
      <c r="T1742" s="7" t="e">
        <f>IF(VLOOKUP($A1742,'Concrete Beam Schedule'!$A$2:$Q$2902,T$2,0)&lt;&gt;D1742,"Beam Revised","")</f>
        <v>#N/A</v>
      </c>
      <c r="U1742" s="7" t="e">
        <f>IF(VLOOKUP($A1742,'Concrete Beam Schedule'!$A$2:$Q$2902,U$2,0)&lt;&gt;E1742,"Beam Revised","")</f>
        <v>#N/A</v>
      </c>
      <c r="V1742" s="7" t="e">
        <f>IF(VLOOKUP($A1742,'Concrete Beam Schedule'!$A$2:$Q$2902,V$2,0)&lt;&gt;F1742,"Beam Revised","")</f>
        <v>#N/A</v>
      </c>
      <c r="W1742" s="7" t="e">
        <f>IF(VLOOKUP($A1742,'Concrete Beam Schedule'!$A$2:$Q$2902,W$2,0)&lt;&gt;G1742,"Beam Revised","")</f>
        <v>#N/A</v>
      </c>
      <c r="X1742" s="7" t="e">
        <f>IF(VLOOKUP($A1742,'Concrete Beam Schedule'!$A$2:$Q$2902,X$2,0)&lt;&gt;H1742,"Beam Revised","")</f>
        <v>#N/A</v>
      </c>
      <c r="Y1742" s="7" t="e">
        <f>IF(VLOOKUP($A1742,'Concrete Beam Schedule'!$A$2:$Q$2902,Y$2,0)&lt;&gt;I1742,"Beam Revised","")</f>
        <v>#N/A</v>
      </c>
      <c r="Z1742" s="7" t="e">
        <f>IF(VLOOKUP($A1742,'Concrete Beam Schedule'!$A$2:$Q$2902,Z$2,0)&lt;&gt;J1742,"Beam Revised","")</f>
        <v>#N/A</v>
      </c>
      <c r="AA1742" s="7" t="e">
        <f>IF(VLOOKUP($A1742,'Concrete Beam Schedule'!$A$2:$Q$2902,AA$2,0)&lt;&gt;K1742,"Beam Revised","")</f>
        <v>#N/A</v>
      </c>
      <c r="AB1742" s="7" t="e">
        <f>IF(VLOOKUP($A1742,'Concrete Beam Schedule'!$A$2:$Q$2902,AB$2,0)&lt;&gt;L1742,"Beam Revised","")</f>
        <v>#N/A</v>
      </c>
      <c r="AC1742" s="7" t="e">
        <f>IF(VLOOKUP($A1742,'Concrete Beam Schedule'!$A$2:$Q$2902,AC$2,0)&lt;&gt;M1742,"Beam Revised","")</f>
        <v>#N/A</v>
      </c>
      <c r="AD1742" s="7" t="e">
        <f>IF(VLOOKUP($A1742,'Concrete Beam Schedule'!$A$2:$Q$2902,AD$2,0)&lt;&gt;N1742,"Beam Revised","")</f>
        <v>#N/A</v>
      </c>
      <c r="AE1742" s="7" t="e">
        <f>IF(VLOOKUP($A1742,'Concrete Beam Schedule'!$A$2:$Q$2902,AE$2,0)&lt;&gt;O1742,"Beam Revised","")</f>
        <v>#N/A</v>
      </c>
    </row>
    <row r="1743" spans="17:31" ht="20.100000000000001" customHeight="1" x14ac:dyDescent="0.25">
      <c r="Q1743" s="7">
        <f t="shared" si="27"/>
        <v>0</v>
      </c>
      <c r="R1743" s="7" t="e">
        <f>IF(VLOOKUP($A1743,'Concrete Beam Schedule'!$A$2:$Q$2902,R$2,0)&lt;&gt;B1743,VLOOKUP($A1743,'Concrete Beam Schedule'!$A$2:$Q$2902,R$2,0),"")</f>
        <v>#N/A</v>
      </c>
      <c r="S1743" s="7" t="e">
        <f>IF(VLOOKUP($A1743,'Concrete Beam Schedule'!$A$2:$Q$2902,S$2,0)&lt;&gt;C1743,VLOOKUP($A1743,'Concrete Beam Schedule'!$A$2:$Q$2902,S$2,0),"")</f>
        <v>#N/A</v>
      </c>
      <c r="T1743" s="7" t="e">
        <f>IF(VLOOKUP($A1743,'Concrete Beam Schedule'!$A$2:$Q$2902,T$2,0)&lt;&gt;D1743,"Beam Revised","")</f>
        <v>#N/A</v>
      </c>
      <c r="U1743" s="7" t="e">
        <f>IF(VLOOKUP($A1743,'Concrete Beam Schedule'!$A$2:$Q$2902,U$2,0)&lt;&gt;E1743,"Beam Revised","")</f>
        <v>#N/A</v>
      </c>
      <c r="V1743" s="7" t="e">
        <f>IF(VLOOKUP($A1743,'Concrete Beam Schedule'!$A$2:$Q$2902,V$2,0)&lt;&gt;F1743,"Beam Revised","")</f>
        <v>#N/A</v>
      </c>
      <c r="W1743" s="7" t="e">
        <f>IF(VLOOKUP($A1743,'Concrete Beam Schedule'!$A$2:$Q$2902,W$2,0)&lt;&gt;G1743,"Beam Revised","")</f>
        <v>#N/A</v>
      </c>
      <c r="X1743" s="7" t="e">
        <f>IF(VLOOKUP($A1743,'Concrete Beam Schedule'!$A$2:$Q$2902,X$2,0)&lt;&gt;H1743,"Beam Revised","")</f>
        <v>#N/A</v>
      </c>
      <c r="Y1743" s="7" t="e">
        <f>IF(VLOOKUP($A1743,'Concrete Beam Schedule'!$A$2:$Q$2902,Y$2,0)&lt;&gt;I1743,"Beam Revised","")</f>
        <v>#N/A</v>
      </c>
      <c r="Z1743" s="7" t="e">
        <f>IF(VLOOKUP($A1743,'Concrete Beam Schedule'!$A$2:$Q$2902,Z$2,0)&lt;&gt;J1743,"Beam Revised","")</f>
        <v>#N/A</v>
      </c>
      <c r="AA1743" s="7" t="e">
        <f>IF(VLOOKUP($A1743,'Concrete Beam Schedule'!$A$2:$Q$2902,AA$2,0)&lt;&gt;K1743,"Beam Revised","")</f>
        <v>#N/A</v>
      </c>
      <c r="AB1743" s="7" t="e">
        <f>IF(VLOOKUP($A1743,'Concrete Beam Schedule'!$A$2:$Q$2902,AB$2,0)&lt;&gt;L1743,"Beam Revised","")</f>
        <v>#N/A</v>
      </c>
      <c r="AC1743" s="7" t="e">
        <f>IF(VLOOKUP($A1743,'Concrete Beam Schedule'!$A$2:$Q$2902,AC$2,0)&lt;&gt;M1743,"Beam Revised","")</f>
        <v>#N/A</v>
      </c>
      <c r="AD1743" s="7" t="e">
        <f>IF(VLOOKUP($A1743,'Concrete Beam Schedule'!$A$2:$Q$2902,AD$2,0)&lt;&gt;N1743,"Beam Revised","")</f>
        <v>#N/A</v>
      </c>
      <c r="AE1743" s="7" t="e">
        <f>IF(VLOOKUP($A1743,'Concrete Beam Schedule'!$A$2:$Q$2902,AE$2,0)&lt;&gt;O1743,"Beam Revised","")</f>
        <v>#N/A</v>
      </c>
    </row>
    <row r="1744" spans="17:31" ht="20.100000000000001" customHeight="1" x14ac:dyDescent="0.25">
      <c r="Q1744" s="7">
        <f t="shared" si="27"/>
        <v>0</v>
      </c>
      <c r="R1744" s="7" t="e">
        <f>IF(VLOOKUP($A1744,'Concrete Beam Schedule'!$A$2:$Q$2902,R$2,0)&lt;&gt;B1744,VLOOKUP($A1744,'Concrete Beam Schedule'!$A$2:$Q$2902,R$2,0),"")</f>
        <v>#N/A</v>
      </c>
      <c r="S1744" s="7" t="e">
        <f>IF(VLOOKUP($A1744,'Concrete Beam Schedule'!$A$2:$Q$2902,S$2,0)&lt;&gt;C1744,VLOOKUP($A1744,'Concrete Beam Schedule'!$A$2:$Q$2902,S$2,0),"")</f>
        <v>#N/A</v>
      </c>
      <c r="T1744" s="7" t="e">
        <f>IF(VLOOKUP($A1744,'Concrete Beam Schedule'!$A$2:$Q$2902,T$2,0)&lt;&gt;D1744,"Beam Revised","")</f>
        <v>#N/A</v>
      </c>
      <c r="U1744" s="7" t="e">
        <f>IF(VLOOKUP($A1744,'Concrete Beam Schedule'!$A$2:$Q$2902,U$2,0)&lt;&gt;E1744,"Beam Revised","")</f>
        <v>#N/A</v>
      </c>
      <c r="V1744" s="7" t="e">
        <f>IF(VLOOKUP($A1744,'Concrete Beam Schedule'!$A$2:$Q$2902,V$2,0)&lt;&gt;F1744,"Beam Revised","")</f>
        <v>#N/A</v>
      </c>
      <c r="W1744" s="7" t="e">
        <f>IF(VLOOKUP($A1744,'Concrete Beam Schedule'!$A$2:$Q$2902,W$2,0)&lt;&gt;G1744,"Beam Revised","")</f>
        <v>#N/A</v>
      </c>
      <c r="X1744" s="7" t="e">
        <f>IF(VLOOKUP($A1744,'Concrete Beam Schedule'!$A$2:$Q$2902,X$2,0)&lt;&gt;H1744,"Beam Revised","")</f>
        <v>#N/A</v>
      </c>
      <c r="Y1744" s="7" t="e">
        <f>IF(VLOOKUP($A1744,'Concrete Beam Schedule'!$A$2:$Q$2902,Y$2,0)&lt;&gt;I1744,"Beam Revised","")</f>
        <v>#N/A</v>
      </c>
      <c r="Z1744" s="7" t="e">
        <f>IF(VLOOKUP($A1744,'Concrete Beam Schedule'!$A$2:$Q$2902,Z$2,0)&lt;&gt;J1744,"Beam Revised","")</f>
        <v>#N/A</v>
      </c>
      <c r="AA1744" s="7" t="e">
        <f>IF(VLOOKUP($A1744,'Concrete Beam Schedule'!$A$2:$Q$2902,AA$2,0)&lt;&gt;K1744,"Beam Revised","")</f>
        <v>#N/A</v>
      </c>
      <c r="AB1744" s="7" t="e">
        <f>IF(VLOOKUP($A1744,'Concrete Beam Schedule'!$A$2:$Q$2902,AB$2,0)&lt;&gt;L1744,"Beam Revised","")</f>
        <v>#N/A</v>
      </c>
      <c r="AC1744" s="7" t="e">
        <f>IF(VLOOKUP($A1744,'Concrete Beam Schedule'!$A$2:$Q$2902,AC$2,0)&lt;&gt;M1744,"Beam Revised","")</f>
        <v>#N/A</v>
      </c>
      <c r="AD1744" s="7" t="e">
        <f>IF(VLOOKUP($A1744,'Concrete Beam Schedule'!$A$2:$Q$2902,AD$2,0)&lt;&gt;N1744,"Beam Revised","")</f>
        <v>#N/A</v>
      </c>
      <c r="AE1744" s="7" t="e">
        <f>IF(VLOOKUP($A1744,'Concrete Beam Schedule'!$A$2:$Q$2902,AE$2,0)&lt;&gt;O1744,"Beam Revised","")</f>
        <v>#N/A</v>
      </c>
    </row>
    <row r="1745" spans="17:31" ht="20.100000000000001" customHeight="1" x14ac:dyDescent="0.25">
      <c r="Q1745" s="7">
        <f t="shared" si="27"/>
        <v>0</v>
      </c>
      <c r="R1745" s="7" t="e">
        <f>IF(VLOOKUP($A1745,'Concrete Beam Schedule'!$A$2:$Q$2902,R$2,0)&lt;&gt;B1745,VLOOKUP($A1745,'Concrete Beam Schedule'!$A$2:$Q$2902,R$2,0),"")</f>
        <v>#N/A</v>
      </c>
      <c r="S1745" s="7" t="e">
        <f>IF(VLOOKUP($A1745,'Concrete Beam Schedule'!$A$2:$Q$2902,S$2,0)&lt;&gt;C1745,VLOOKUP($A1745,'Concrete Beam Schedule'!$A$2:$Q$2902,S$2,0),"")</f>
        <v>#N/A</v>
      </c>
      <c r="T1745" s="7" t="e">
        <f>IF(VLOOKUP($A1745,'Concrete Beam Schedule'!$A$2:$Q$2902,T$2,0)&lt;&gt;D1745,"Beam Revised","")</f>
        <v>#N/A</v>
      </c>
      <c r="U1745" s="7" t="e">
        <f>IF(VLOOKUP($A1745,'Concrete Beam Schedule'!$A$2:$Q$2902,U$2,0)&lt;&gt;E1745,"Beam Revised","")</f>
        <v>#N/A</v>
      </c>
      <c r="V1745" s="7" t="e">
        <f>IF(VLOOKUP($A1745,'Concrete Beam Schedule'!$A$2:$Q$2902,V$2,0)&lt;&gt;F1745,"Beam Revised","")</f>
        <v>#N/A</v>
      </c>
      <c r="W1745" s="7" t="e">
        <f>IF(VLOOKUP($A1745,'Concrete Beam Schedule'!$A$2:$Q$2902,W$2,0)&lt;&gt;G1745,"Beam Revised","")</f>
        <v>#N/A</v>
      </c>
      <c r="X1745" s="7" t="e">
        <f>IF(VLOOKUP($A1745,'Concrete Beam Schedule'!$A$2:$Q$2902,X$2,0)&lt;&gt;H1745,"Beam Revised","")</f>
        <v>#N/A</v>
      </c>
      <c r="Y1745" s="7" t="e">
        <f>IF(VLOOKUP($A1745,'Concrete Beam Schedule'!$A$2:$Q$2902,Y$2,0)&lt;&gt;I1745,"Beam Revised","")</f>
        <v>#N/A</v>
      </c>
      <c r="Z1745" s="7" t="e">
        <f>IF(VLOOKUP($A1745,'Concrete Beam Schedule'!$A$2:$Q$2902,Z$2,0)&lt;&gt;J1745,"Beam Revised","")</f>
        <v>#N/A</v>
      </c>
      <c r="AA1745" s="7" t="e">
        <f>IF(VLOOKUP($A1745,'Concrete Beam Schedule'!$A$2:$Q$2902,AA$2,0)&lt;&gt;K1745,"Beam Revised","")</f>
        <v>#N/A</v>
      </c>
      <c r="AB1745" s="7" t="e">
        <f>IF(VLOOKUP($A1745,'Concrete Beam Schedule'!$A$2:$Q$2902,AB$2,0)&lt;&gt;L1745,"Beam Revised","")</f>
        <v>#N/A</v>
      </c>
      <c r="AC1745" s="7" t="e">
        <f>IF(VLOOKUP($A1745,'Concrete Beam Schedule'!$A$2:$Q$2902,AC$2,0)&lt;&gt;M1745,"Beam Revised","")</f>
        <v>#N/A</v>
      </c>
      <c r="AD1745" s="7" t="e">
        <f>IF(VLOOKUP($A1745,'Concrete Beam Schedule'!$A$2:$Q$2902,AD$2,0)&lt;&gt;N1745,"Beam Revised","")</f>
        <v>#N/A</v>
      </c>
      <c r="AE1745" s="7" t="e">
        <f>IF(VLOOKUP($A1745,'Concrete Beam Schedule'!$A$2:$Q$2902,AE$2,0)&lt;&gt;O1745,"Beam Revised","")</f>
        <v>#N/A</v>
      </c>
    </row>
    <row r="1746" spans="17:31" ht="20.100000000000001" customHeight="1" x14ac:dyDescent="0.25">
      <c r="Q1746" s="7">
        <f t="shared" si="27"/>
        <v>0</v>
      </c>
      <c r="R1746" s="7" t="e">
        <f>IF(VLOOKUP($A1746,'Concrete Beam Schedule'!$A$2:$Q$2902,R$2,0)&lt;&gt;B1746,VLOOKUP($A1746,'Concrete Beam Schedule'!$A$2:$Q$2902,R$2,0),"")</f>
        <v>#N/A</v>
      </c>
      <c r="S1746" s="7" t="e">
        <f>IF(VLOOKUP($A1746,'Concrete Beam Schedule'!$A$2:$Q$2902,S$2,0)&lt;&gt;C1746,VLOOKUP($A1746,'Concrete Beam Schedule'!$A$2:$Q$2902,S$2,0),"")</f>
        <v>#N/A</v>
      </c>
      <c r="T1746" s="7" t="e">
        <f>IF(VLOOKUP($A1746,'Concrete Beam Schedule'!$A$2:$Q$2902,T$2,0)&lt;&gt;D1746,"Beam Revised","")</f>
        <v>#N/A</v>
      </c>
      <c r="U1746" s="7" t="e">
        <f>IF(VLOOKUP($A1746,'Concrete Beam Schedule'!$A$2:$Q$2902,U$2,0)&lt;&gt;E1746,"Beam Revised","")</f>
        <v>#N/A</v>
      </c>
      <c r="V1746" s="7" t="e">
        <f>IF(VLOOKUP($A1746,'Concrete Beam Schedule'!$A$2:$Q$2902,V$2,0)&lt;&gt;F1746,"Beam Revised","")</f>
        <v>#N/A</v>
      </c>
      <c r="W1746" s="7" t="e">
        <f>IF(VLOOKUP($A1746,'Concrete Beam Schedule'!$A$2:$Q$2902,W$2,0)&lt;&gt;G1746,"Beam Revised","")</f>
        <v>#N/A</v>
      </c>
      <c r="X1746" s="7" t="e">
        <f>IF(VLOOKUP($A1746,'Concrete Beam Schedule'!$A$2:$Q$2902,X$2,0)&lt;&gt;H1746,"Beam Revised","")</f>
        <v>#N/A</v>
      </c>
      <c r="Y1746" s="7" t="e">
        <f>IF(VLOOKUP($A1746,'Concrete Beam Schedule'!$A$2:$Q$2902,Y$2,0)&lt;&gt;I1746,"Beam Revised","")</f>
        <v>#N/A</v>
      </c>
      <c r="Z1746" s="7" t="e">
        <f>IF(VLOOKUP($A1746,'Concrete Beam Schedule'!$A$2:$Q$2902,Z$2,0)&lt;&gt;J1746,"Beam Revised","")</f>
        <v>#N/A</v>
      </c>
      <c r="AA1746" s="7" t="e">
        <f>IF(VLOOKUP($A1746,'Concrete Beam Schedule'!$A$2:$Q$2902,AA$2,0)&lt;&gt;K1746,"Beam Revised","")</f>
        <v>#N/A</v>
      </c>
      <c r="AB1746" s="7" t="e">
        <f>IF(VLOOKUP($A1746,'Concrete Beam Schedule'!$A$2:$Q$2902,AB$2,0)&lt;&gt;L1746,"Beam Revised","")</f>
        <v>#N/A</v>
      </c>
      <c r="AC1746" s="7" t="e">
        <f>IF(VLOOKUP($A1746,'Concrete Beam Schedule'!$A$2:$Q$2902,AC$2,0)&lt;&gt;M1746,"Beam Revised","")</f>
        <v>#N/A</v>
      </c>
      <c r="AD1746" s="7" t="e">
        <f>IF(VLOOKUP($A1746,'Concrete Beam Schedule'!$A$2:$Q$2902,AD$2,0)&lt;&gt;N1746,"Beam Revised","")</f>
        <v>#N/A</v>
      </c>
      <c r="AE1746" s="7" t="e">
        <f>IF(VLOOKUP($A1746,'Concrete Beam Schedule'!$A$2:$Q$2902,AE$2,0)&lt;&gt;O1746,"Beam Revised","")</f>
        <v>#N/A</v>
      </c>
    </row>
    <row r="1747" spans="17:31" ht="20.100000000000001" customHeight="1" x14ac:dyDescent="0.25">
      <c r="Q1747" s="7">
        <f t="shared" si="27"/>
        <v>0</v>
      </c>
      <c r="R1747" s="7" t="e">
        <f>IF(VLOOKUP($A1747,'Concrete Beam Schedule'!$A$2:$Q$2902,R$2,0)&lt;&gt;B1747,VLOOKUP($A1747,'Concrete Beam Schedule'!$A$2:$Q$2902,R$2,0),"")</f>
        <v>#N/A</v>
      </c>
      <c r="S1747" s="7" t="e">
        <f>IF(VLOOKUP($A1747,'Concrete Beam Schedule'!$A$2:$Q$2902,S$2,0)&lt;&gt;C1747,VLOOKUP($A1747,'Concrete Beam Schedule'!$A$2:$Q$2902,S$2,0),"")</f>
        <v>#N/A</v>
      </c>
      <c r="T1747" s="7" t="e">
        <f>IF(VLOOKUP($A1747,'Concrete Beam Schedule'!$A$2:$Q$2902,T$2,0)&lt;&gt;D1747,"Beam Revised","")</f>
        <v>#N/A</v>
      </c>
      <c r="U1747" s="7" t="e">
        <f>IF(VLOOKUP($A1747,'Concrete Beam Schedule'!$A$2:$Q$2902,U$2,0)&lt;&gt;E1747,"Beam Revised","")</f>
        <v>#N/A</v>
      </c>
      <c r="V1747" s="7" t="e">
        <f>IF(VLOOKUP($A1747,'Concrete Beam Schedule'!$A$2:$Q$2902,V$2,0)&lt;&gt;F1747,"Beam Revised","")</f>
        <v>#N/A</v>
      </c>
      <c r="W1747" s="7" t="e">
        <f>IF(VLOOKUP($A1747,'Concrete Beam Schedule'!$A$2:$Q$2902,W$2,0)&lt;&gt;G1747,"Beam Revised","")</f>
        <v>#N/A</v>
      </c>
      <c r="X1747" s="7" t="e">
        <f>IF(VLOOKUP($A1747,'Concrete Beam Schedule'!$A$2:$Q$2902,X$2,0)&lt;&gt;H1747,"Beam Revised","")</f>
        <v>#N/A</v>
      </c>
      <c r="Y1747" s="7" t="e">
        <f>IF(VLOOKUP($A1747,'Concrete Beam Schedule'!$A$2:$Q$2902,Y$2,0)&lt;&gt;I1747,"Beam Revised","")</f>
        <v>#N/A</v>
      </c>
      <c r="Z1747" s="7" t="e">
        <f>IF(VLOOKUP($A1747,'Concrete Beam Schedule'!$A$2:$Q$2902,Z$2,0)&lt;&gt;J1747,"Beam Revised","")</f>
        <v>#N/A</v>
      </c>
      <c r="AA1747" s="7" t="e">
        <f>IF(VLOOKUP($A1747,'Concrete Beam Schedule'!$A$2:$Q$2902,AA$2,0)&lt;&gt;K1747,"Beam Revised","")</f>
        <v>#N/A</v>
      </c>
      <c r="AB1747" s="7" t="e">
        <f>IF(VLOOKUP($A1747,'Concrete Beam Schedule'!$A$2:$Q$2902,AB$2,0)&lt;&gt;L1747,"Beam Revised","")</f>
        <v>#N/A</v>
      </c>
      <c r="AC1747" s="7" t="e">
        <f>IF(VLOOKUP($A1747,'Concrete Beam Schedule'!$A$2:$Q$2902,AC$2,0)&lt;&gt;M1747,"Beam Revised","")</f>
        <v>#N/A</v>
      </c>
      <c r="AD1747" s="7" t="e">
        <f>IF(VLOOKUP($A1747,'Concrete Beam Schedule'!$A$2:$Q$2902,AD$2,0)&lt;&gt;N1747,"Beam Revised","")</f>
        <v>#N/A</v>
      </c>
      <c r="AE1747" s="7" t="e">
        <f>IF(VLOOKUP($A1747,'Concrete Beam Schedule'!$A$2:$Q$2902,AE$2,0)&lt;&gt;O1747,"Beam Revised","")</f>
        <v>#N/A</v>
      </c>
    </row>
    <row r="1748" spans="17:31" ht="20.100000000000001" customHeight="1" x14ac:dyDescent="0.25">
      <c r="Q1748" s="7">
        <f t="shared" si="27"/>
        <v>0</v>
      </c>
      <c r="R1748" s="7" t="e">
        <f>IF(VLOOKUP($A1748,'Concrete Beam Schedule'!$A$2:$Q$2902,R$2,0)&lt;&gt;B1748,VLOOKUP($A1748,'Concrete Beam Schedule'!$A$2:$Q$2902,R$2,0),"")</f>
        <v>#N/A</v>
      </c>
      <c r="S1748" s="7" t="e">
        <f>IF(VLOOKUP($A1748,'Concrete Beam Schedule'!$A$2:$Q$2902,S$2,0)&lt;&gt;C1748,VLOOKUP($A1748,'Concrete Beam Schedule'!$A$2:$Q$2902,S$2,0),"")</f>
        <v>#N/A</v>
      </c>
      <c r="T1748" s="7" t="e">
        <f>IF(VLOOKUP($A1748,'Concrete Beam Schedule'!$A$2:$Q$2902,T$2,0)&lt;&gt;D1748,"Beam Revised","")</f>
        <v>#N/A</v>
      </c>
      <c r="U1748" s="7" t="e">
        <f>IF(VLOOKUP($A1748,'Concrete Beam Schedule'!$A$2:$Q$2902,U$2,0)&lt;&gt;E1748,"Beam Revised","")</f>
        <v>#N/A</v>
      </c>
      <c r="V1748" s="7" t="e">
        <f>IF(VLOOKUP($A1748,'Concrete Beam Schedule'!$A$2:$Q$2902,V$2,0)&lt;&gt;F1748,"Beam Revised","")</f>
        <v>#N/A</v>
      </c>
      <c r="W1748" s="7" t="e">
        <f>IF(VLOOKUP($A1748,'Concrete Beam Schedule'!$A$2:$Q$2902,W$2,0)&lt;&gt;G1748,"Beam Revised","")</f>
        <v>#N/A</v>
      </c>
      <c r="X1748" s="7" t="e">
        <f>IF(VLOOKUP($A1748,'Concrete Beam Schedule'!$A$2:$Q$2902,X$2,0)&lt;&gt;H1748,"Beam Revised","")</f>
        <v>#N/A</v>
      </c>
      <c r="Y1748" s="7" t="e">
        <f>IF(VLOOKUP($A1748,'Concrete Beam Schedule'!$A$2:$Q$2902,Y$2,0)&lt;&gt;I1748,"Beam Revised","")</f>
        <v>#N/A</v>
      </c>
      <c r="Z1748" s="7" t="e">
        <f>IF(VLOOKUP($A1748,'Concrete Beam Schedule'!$A$2:$Q$2902,Z$2,0)&lt;&gt;J1748,"Beam Revised","")</f>
        <v>#N/A</v>
      </c>
      <c r="AA1748" s="7" t="e">
        <f>IF(VLOOKUP($A1748,'Concrete Beam Schedule'!$A$2:$Q$2902,AA$2,0)&lt;&gt;K1748,"Beam Revised","")</f>
        <v>#N/A</v>
      </c>
      <c r="AB1748" s="7" t="e">
        <f>IF(VLOOKUP($A1748,'Concrete Beam Schedule'!$A$2:$Q$2902,AB$2,0)&lt;&gt;L1748,"Beam Revised","")</f>
        <v>#N/A</v>
      </c>
      <c r="AC1748" s="7" t="e">
        <f>IF(VLOOKUP($A1748,'Concrete Beam Schedule'!$A$2:$Q$2902,AC$2,0)&lt;&gt;M1748,"Beam Revised","")</f>
        <v>#N/A</v>
      </c>
      <c r="AD1748" s="7" t="e">
        <f>IF(VLOOKUP($A1748,'Concrete Beam Schedule'!$A$2:$Q$2902,AD$2,0)&lt;&gt;N1748,"Beam Revised","")</f>
        <v>#N/A</v>
      </c>
      <c r="AE1748" s="7" t="e">
        <f>IF(VLOOKUP($A1748,'Concrete Beam Schedule'!$A$2:$Q$2902,AE$2,0)&lt;&gt;O1748,"Beam Revised","")</f>
        <v>#N/A</v>
      </c>
    </row>
    <row r="1749" spans="17:31" ht="20.100000000000001" customHeight="1" x14ac:dyDescent="0.25">
      <c r="Q1749" s="7">
        <f t="shared" si="27"/>
        <v>0</v>
      </c>
      <c r="R1749" s="7" t="e">
        <f>IF(VLOOKUP($A1749,'Concrete Beam Schedule'!$A$2:$Q$2902,R$2,0)&lt;&gt;B1749,VLOOKUP($A1749,'Concrete Beam Schedule'!$A$2:$Q$2902,R$2,0),"")</f>
        <v>#N/A</v>
      </c>
      <c r="S1749" s="7" t="e">
        <f>IF(VLOOKUP($A1749,'Concrete Beam Schedule'!$A$2:$Q$2902,S$2,0)&lt;&gt;C1749,VLOOKUP($A1749,'Concrete Beam Schedule'!$A$2:$Q$2902,S$2,0),"")</f>
        <v>#N/A</v>
      </c>
      <c r="T1749" s="7" t="e">
        <f>IF(VLOOKUP($A1749,'Concrete Beam Schedule'!$A$2:$Q$2902,T$2,0)&lt;&gt;D1749,"Beam Revised","")</f>
        <v>#N/A</v>
      </c>
      <c r="U1749" s="7" t="e">
        <f>IF(VLOOKUP($A1749,'Concrete Beam Schedule'!$A$2:$Q$2902,U$2,0)&lt;&gt;E1749,"Beam Revised","")</f>
        <v>#N/A</v>
      </c>
      <c r="V1749" s="7" t="e">
        <f>IF(VLOOKUP($A1749,'Concrete Beam Schedule'!$A$2:$Q$2902,V$2,0)&lt;&gt;F1749,"Beam Revised","")</f>
        <v>#N/A</v>
      </c>
      <c r="W1749" s="7" t="e">
        <f>IF(VLOOKUP($A1749,'Concrete Beam Schedule'!$A$2:$Q$2902,W$2,0)&lt;&gt;G1749,"Beam Revised","")</f>
        <v>#N/A</v>
      </c>
      <c r="X1749" s="7" t="e">
        <f>IF(VLOOKUP($A1749,'Concrete Beam Schedule'!$A$2:$Q$2902,X$2,0)&lt;&gt;H1749,"Beam Revised","")</f>
        <v>#N/A</v>
      </c>
      <c r="Y1749" s="7" t="e">
        <f>IF(VLOOKUP($A1749,'Concrete Beam Schedule'!$A$2:$Q$2902,Y$2,0)&lt;&gt;I1749,"Beam Revised","")</f>
        <v>#N/A</v>
      </c>
      <c r="Z1749" s="7" t="e">
        <f>IF(VLOOKUP($A1749,'Concrete Beam Schedule'!$A$2:$Q$2902,Z$2,0)&lt;&gt;J1749,"Beam Revised","")</f>
        <v>#N/A</v>
      </c>
      <c r="AA1749" s="7" t="e">
        <f>IF(VLOOKUP($A1749,'Concrete Beam Schedule'!$A$2:$Q$2902,AA$2,0)&lt;&gt;K1749,"Beam Revised","")</f>
        <v>#N/A</v>
      </c>
      <c r="AB1749" s="7" t="e">
        <f>IF(VLOOKUP($A1749,'Concrete Beam Schedule'!$A$2:$Q$2902,AB$2,0)&lt;&gt;L1749,"Beam Revised","")</f>
        <v>#N/A</v>
      </c>
      <c r="AC1749" s="7" t="e">
        <f>IF(VLOOKUP($A1749,'Concrete Beam Schedule'!$A$2:$Q$2902,AC$2,0)&lt;&gt;M1749,"Beam Revised","")</f>
        <v>#N/A</v>
      </c>
      <c r="AD1749" s="7" t="e">
        <f>IF(VLOOKUP($A1749,'Concrete Beam Schedule'!$A$2:$Q$2902,AD$2,0)&lt;&gt;N1749,"Beam Revised","")</f>
        <v>#N/A</v>
      </c>
      <c r="AE1749" s="7" t="e">
        <f>IF(VLOOKUP($A1749,'Concrete Beam Schedule'!$A$2:$Q$2902,AE$2,0)&lt;&gt;O1749,"Beam Revised","")</f>
        <v>#N/A</v>
      </c>
    </row>
    <row r="1750" spans="17:31" ht="20.100000000000001" customHeight="1" x14ac:dyDescent="0.25">
      <c r="Q1750" s="7">
        <f t="shared" si="27"/>
        <v>0</v>
      </c>
      <c r="R1750" s="7" t="e">
        <f>IF(VLOOKUP($A1750,'Concrete Beam Schedule'!$A$2:$Q$2902,R$2,0)&lt;&gt;B1750,VLOOKUP($A1750,'Concrete Beam Schedule'!$A$2:$Q$2902,R$2,0),"")</f>
        <v>#N/A</v>
      </c>
      <c r="S1750" s="7" t="e">
        <f>IF(VLOOKUP($A1750,'Concrete Beam Schedule'!$A$2:$Q$2902,S$2,0)&lt;&gt;C1750,VLOOKUP($A1750,'Concrete Beam Schedule'!$A$2:$Q$2902,S$2,0),"")</f>
        <v>#N/A</v>
      </c>
      <c r="T1750" s="7" t="e">
        <f>IF(VLOOKUP($A1750,'Concrete Beam Schedule'!$A$2:$Q$2902,T$2,0)&lt;&gt;D1750,"Beam Revised","")</f>
        <v>#N/A</v>
      </c>
      <c r="U1750" s="7" t="e">
        <f>IF(VLOOKUP($A1750,'Concrete Beam Schedule'!$A$2:$Q$2902,U$2,0)&lt;&gt;E1750,"Beam Revised","")</f>
        <v>#N/A</v>
      </c>
      <c r="V1750" s="7" t="e">
        <f>IF(VLOOKUP($A1750,'Concrete Beam Schedule'!$A$2:$Q$2902,V$2,0)&lt;&gt;F1750,"Beam Revised","")</f>
        <v>#N/A</v>
      </c>
      <c r="W1750" s="7" t="e">
        <f>IF(VLOOKUP($A1750,'Concrete Beam Schedule'!$A$2:$Q$2902,W$2,0)&lt;&gt;G1750,"Beam Revised","")</f>
        <v>#N/A</v>
      </c>
      <c r="X1750" s="7" t="e">
        <f>IF(VLOOKUP($A1750,'Concrete Beam Schedule'!$A$2:$Q$2902,X$2,0)&lt;&gt;H1750,"Beam Revised","")</f>
        <v>#N/A</v>
      </c>
      <c r="Y1750" s="7" t="e">
        <f>IF(VLOOKUP($A1750,'Concrete Beam Schedule'!$A$2:$Q$2902,Y$2,0)&lt;&gt;I1750,"Beam Revised","")</f>
        <v>#N/A</v>
      </c>
      <c r="Z1750" s="7" t="e">
        <f>IF(VLOOKUP($A1750,'Concrete Beam Schedule'!$A$2:$Q$2902,Z$2,0)&lt;&gt;J1750,"Beam Revised","")</f>
        <v>#N/A</v>
      </c>
      <c r="AA1750" s="7" t="e">
        <f>IF(VLOOKUP($A1750,'Concrete Beam Schedule'!$A$2:$Q$2902,AA$2,0)&lt;&gt;K1750,"Beam Revised","")</f>
        <v>#N/A</v>
      </c>
      <c r="AB1750" s="7" t="e">
        <f>IF(VLOOKUP($A1750,'Concrete Beam Schedule'!$A$2:$Q$2902,AB$2,0)&lt;&gt;L1750,"Beam Revised","")</f>
        <v>#N/A</v>
      </c>
      <c r="AC1750" s="7" t="e">
        <f>IF(VLOOKUP($A1750,'Concrete Beam Schedule'!$A$2:$Q$2902,AC$2,0)&lt;&gt;M1750,"Beam Revised","")</f>
        <v>#N/A</v>
      </c>
      <c r="AD1750" s="7" t="e">
        <f>IF(VLOOKUP($A1750,'Concrete Beam Schedule'!$A$2:$Q$2902,AD$2,0)&lt;&gt;N1750,"Beam Revised","")</f>
        <v>#N/A</v>
      </c>
      <c r="AE1750" s="7" t="e">
        <f>IF(VLOOKUP($A1750,'Concrete Beam Schedule'!$A$2:$Q$2902,AE$2,0)&lt;&gt;O1750,"Beam Revised","")</f>
        <v>#N/A</v>
      </c>
    </row>
    <row r="1751" spans="17:31" ht="20.100000000000001" customHeight="1" x14ac:dyDescent="0.25">
      <c r="Q1751" s="7">
        <f t="shared" si="27"/>
        <v>0</v>
      </c>
      <c r="R1751" s="7" t="e">
        <f>IF(VLOOKUP($A1751,'Concrete Beam Schedule'!$A$2:$Q$2902,R$2,0)&lt;&gt;B1751,VLOOKUP($A1751,'Concrete Beam Schedule'!$A$2:$Q$2902,R$2,0),"")</f>
        <v>#N/A</v>
      </c>
      <c r="S1751" s="7" t="e">
        <f>IF(VLOOKUP($A1751,'Concrete Beam Schedule'!$A$2:$Q$2902,S$2,0)&lt;&gt;C1751,VLOOKUP($A1751,'Concrete Beam Schedule'!$A$2:$Q$2902,S$2,0),"")</f>
        <v>#N/A</v>
      </c>
      <c r="T1751" s="7" t="e">
        <f>IF(VLOOKUP($A1751,'Concrete Beam Schedule'!$A$2:$Q$2902,T$2,0)&lt;&gt;D1751,"Beam Revised","")</f>
        <v>#N/A</v>
      </c>
      <c r="U1751" s="7" t="e">
        <f>IF(VLOOKUP($A1751,'Concrete Beam Schedule'!$A$2:$Q$2902,U$2,0)&lt;&gt;E1751,"Beam Revised","")</f>
        <v>#N/A</v>
      </c>
      <c r="V1751" s="7" t="e">
        <f>IF(VLOOKUP($A1751,'Concrete Beam Schedule'!$A$2:$Q$2902,V$2,0)&lt;&gt;F1751,"Beam Revised","")</f>
        <v>#N/A</v>
      </c>
      <c r="W1751" s="7" t="e">
        <f>IF(VLOOKUP($A1751,'Concrete Beam Schedule'!$A$2:$Q$2902,W$2,0)&lt;&gt;G1751,"Beam Revised","")</f>
        <v>#N/A</v>
      </c>
      <c r="X1751" s="7" t="e">
        <f>IF(VLOOKUP($A1751,'Concrete Beam Schedule'!$A$2:$Q$2902,X$2,0)&lt;&gt;H1751,"Beam Revised","")</f>
        <v>#N/A</v>
      </c>
      <c r="Y1751" s="7" t="e">
        <f>IF(VLOOKUP($A1751,'Concrete Beam Schedule'!$A$2:$Q$2902,Y$2,0)&lt;&gt;I1751,"Beam Revised","")</f>
        <v>#N/A</v>
      </c>
      <c r="Z1751" s="7" t="e">
        <f>IF(VLOOKUP($A1751,'Concrete Beam Schedule'!$A$2:$Q$2902,Z$2,0)&lt;&gt;J1751,"Beam Revised","")</f>
        <v>#N/A</v>
      </c>
      <c r="AA1751" s="7" t="e">
        <f>IF(VLOOKUP($A1751,'Concrete Beam Schedule'!$A$2:$Q$2902,AA$2,0)&lt;&gt;K1751,"Beam Revised","")</f>
        <v>#N/A</v>
      </c>
      <c r="AB1751" s="7" t="e">
        <f>IF(VLOOKUP($A1751,'Concrete Beam Schedule'!$A$2:$Q$2902,AB$2,0)&lt;&gt;L1751,"Beam Revised","")</f>
        <v>#N/A</v>
      </c>
      <c r="AC1751" s="7" t="e">
        <f>IF(VLOOKUP($A1751,'Concrete Beam Schedule'!$A$2:$Q$2902,AC$2,0)&lt;&gt;M1751,"Beam Revised","")</f>
        <v>#N/A</v>
      </c>
      <c r="AD1751" s="7" t="e">
        <f>IF(VLOOKUP($A1751,'Concrete Beam Schedule'!$A$2:$Q$2902,AD$2,0)&lt;&gt;N1751,"Beam Revised","")</f>
        <v>#N/A</v>
      </c>
      <c r="AE1751" s="7" t="e">
        <f>IF(VLOOKUP($A1751,'Concrete Beam Schedule'!$A$2:$Q$2902,AE$2,0)&lt;&gt;O1751,"Beam Revised","")</f>
        <v>#N/A</v>
      </c>
    </row>
    <row r="1752" spans="17:31" ht="20.100000000000001" customHeight="1" x14ac:dyDescent="0.25">
      <c r="Q1752" s="7">
        <f t="shared" si="27"/>
        <v>0</v>
      </c>
      <c r="R1752" s="7" t="e">
        <f>IF(VLOOKUP($A1752,'Concrete Beam Schedule'!$A$2:$Q$2902,R$2,0)&lt;&gt;B1752,VLOOKUP($A1752,'Concrete Beam Schedule'!$A$2:$Q$2902,R$2,0),"")</f>
        <v>#N/A</v>
      </c>
      <c r="S1752" s="7" t="e">
        <f>IF(VLOOKUP($A1752,'Concrete Beam Schedule'!$A$2:$Q$2902,S$2,0)&lt;&gt;C1752,VLOOKUP($A1752,'Concrete Beam Schedule'!$A$2:$Q$2902,S$2,0),"")</f>
        <v>#N/A</v>
      </c>
      <c r="T1752" s="7" t="e">
        <f>IF(VLOOKUP($A1752,'Concrete Beam Schedule'!$A$2:$Q$2902,T$2,0)&lt;&gt;D1752,"Beam Revised","")</f>
        <v>#N/A</v>
      </c>
      <c r="U1752" s="7" t="e">
        <f>IF(VLOOKUP($A1752,'Concrete Beam Schedule'!$A$2:$Q$2902,U$2,0)&lt;&gt;E1752,"Beam Revised","")</f>
        <v>#N/A</v>
      </c>
      <c r="V1752" s="7" t="e">
        <f>IF(VLOOKUP($A1752,'Concrete Beam Schedule'!$A$2:$Q$2902,V$2,0)&lt;&gt;F1752,"Beam Revised","")</f>
        <v>#N/A</v>
      </c>
      <c r="W1752" s="7" t="e">
        <f>IF(VLOOKUP($A1752,'Concrete Beam Schedule'!$A$2:$Q$2902,W$2,0)&lt;&gt;G1752,"Beam Revised","")</f>
        <v>#N/A</v>
      </c>
      <c r="X1752" s="7" t="e">
        <f>IF(VLOOKUP($A1752,'Concrete Beam Schedule'!$A$2:$Q$2902,X$2,0)&lt;&gt;H1752,"Beam Revised","")</f>
        <v>#N/A</v>
      </c>
      <c r="Y1752" s="7" t="e">
        <f>IF(VLOOKUP($A1752,'Concrete Beam Schedule'!$A$2:$Q$2902,Y$2,0)&lt;&gt;I1752,"Beam Revised","")</f>
        <v>#N/A</v>
      </c>
      <c r="Z1752" s="7" t="e">
        <f>IF(VLOOKUP($A1752,'Concrete Beam Schedule'!$A$2:$Q$2902,Z$2,0)&lt;&gt;J1752,"Beam Revised","")</f>
        <v>#N/A</v>
      </c>
      <c r="AA1752" s="7" t="e">
        <f>IF(VLOOKUP($A1752,'Concrete Beam Schedule'!$A$2:$Q$2902,AA$2,0)&lt;&gt;K1752,"Beam Revised","")</f>
        <v>#N/A</v>
      </c>
      <c r="AB1752" s="7" t="e">
        <f>IF(VLOOKUP($A1752,'Concrete Beam Schedule'!$A$2:$Q$2902,AB$2,0)&lt;&gt;L1752,"Beam Revised","")</f>
        <v>#N/A</v>
      </c>
      <c r="AC1752" s="7" t="e">
        <f>IF(VLOOKUP($A1752,'Concrete Beam Schedule'!$A$2:$Q$2902,AC$2,0)&lt;&gt;M1752,"Beam Revised","")</f>
        <v>#N/A</v>
      </c>
      <c r="AD1752" s="7" t="e">
        <f>IF(VLOOKUP($A1752,'Concrete Beam Schedule'!$A$2:$Q$2902,AD$2,0)&lt;&gt;N1752,"Beam Revised","")</f>
        <v>#N/A</v>
      </c>
      <c r="AE1752" s="7" t="e">
        <f>IF(VLOOKUP($A1752,'Concrete Beam Schedule'!$A$2:$Q$2902,AE$2,0)&lt;&gt;O1752,"Beam Revised","")</f>
        <v>#N/A</v>
      </c>
    </row>
    <row r="1753" spans="17:31" ht="20.100000000000001" customHeight="1" x14ac:dyDescent="0.25">
      <c r="Q1753" s="7">
        <f t="shared" si="27"/>
        <v>0</v>
      </c>
      <c r="R1753" s="7" t="e">
        <f>IF(VLOOKUP($A1753,'Concrete Beam Schedule'!$A$2:$Q$2902,R$2,0)&lt;&gt;B1753,VLOOKUP($A1753,'Concrete Beam Schedule'!$A$2:$Q$2902,R$2,0),"")</f>
        <v>#N/A</v>
      </c>
      <c r="S1753" s="7" t="e">
        <f>IF(VLOOKUP($A1753,'Concrete Beam Schedule'!$A$2:$Q$2902,S$2,0)&lt;&gt;C1753,VLOOKUP($A1753,'Concrete Beam Schedule'!$A$2:$Q$2902,S$2,0),"")</f>
        <v>#N/A</v>
      </c>
      <c r="T1753" s="7" t="e">
        <f>IF(VLOOKUP($A1753,'Concrete Beam Schedule'!$A$2:$Q$2902,T$2,0)&lt;&gt;D1753,"Beam Revised","")</f>
        <v>#N/A</v>
      </c>
      <c r="U1753" s="7" t="e">
        <f>IF(VLOOKUP($A1753,'Concrete Beam Schedule'!$A$2:$Q$2902,U$2,0)&lt;&gt;E1753,"Beam Revised","")</f>
        <v>#N/A</v>
      </c>
      <c r="V1753" s="7" t="e">
        <f>IF(VLOOKUP($A1753,'Concrete Beam Schedule'!$A$2:$Q$2902,V$2,0)&lt;&gt;F1753,"Beam Revised","")</f>
        <v>#N/A</v>
      </c>
      <c r="W1753" s="7" t="e">
        <f>IF(VLOOKUP($A1753,'Concrete Beam Schedule'!$A$2:$Q$2902,W$2,0)&lt;&gt;G1753,"Beam Revised","")</f>
        <v>#N/A</v>
      </c>
      <c r="X1753" s="7" t="e">
        <f>IF(VLOOKUP($A1753,'Concrete Beam Schedule'!$A$2:$Q$2902,X$2,0)&lt;&gt;H1753,"Beam Revised","")</f>
        <v>#N/A</v>
      </c>
      <c r="Y1753" s="7" t="e">
        <f>IF(VLOOKUP($A1753,'Concrete Beam Schedule'!$A$2:$Q$2902,Y$2,0)&lt;&gt;I1753,"Beam Revised","")</f>
        <v>#N/A</v>
      </c>
      <c r="Z1753" s="7" t="e">
        <f>IF(VLOOKUP($A1753,'Concrete Beam Schedule'!$A$2:$Q$2902,Z$2,0)&lt;&gt;J1753,"Beam Revised","")</f>
        <v>#N/A</v>
      </c>
      <c r="AA1753" s="7" t="e">
        <f>IF(VLOOKUP($A1753,'Concrete Beam Schedule'!$A$2:$Q$2902,AA$2,0)&lt;&gt;K1753,"Beam Revised","")</f>
        <v>#N/A</v>
      </c>
      <c r="AB1753" s="7" t="e">
        <f>IF(VLOOKUP($A1753,'Concrete Beam Schedule'!$A$2:$Q$2902,AB$2,0)&lt;&gt;L1753,"Beam Revised","")</f>
        <v>#N/A</v>
      </c>
      <c r="AC1753" s="7" t="e">
        <f>IF(VLOOKUP($A1753,'Concrete Beam Schedule'!$A$2:$Q$2902,AC$2,0)&lt;&gt;M1753,"Beam Revised","")</f>
        <v>#N/A</v>
      </c>
      <c r="AD1753" s="7" t="e">
        <f>IF(VLOOKUP($A1753,'Concrete Beam Schedule'!$A$2:$Q$2902,AD$2,0)&lt;&gt;N1753,"Beam Revised","")</f>
        <v>#N/A</v>
      </c>
      <c r="AE1753" s="7" t="e">
        <f>IF(VLOOKUP($A1753,'Concrete Beam Schedule'!$A$2:$Q$2902,AE$2,0)&lt;&gt;O1753,"Beam Revised","")</f>
        <v>#N/A</v>
      </c>
    </row>
    <row r="1754" spans="17:31" ht="20.100000000000001" customHeight="1" x14ac:dyDescent="0.25">
      <c r="Q1754" s="7">
        <f t="shared" si="27"/>
        <v>0</v>
      </c>
      <c r="R1754" s="7" t="e">
        <f>IF(VLOOKUP($A1754,'Concrete Beam Schedule'!$A$2:$Q$2902,R$2,0)&lt;&gt;B1754,VLOOKUP($A1754,'Concrete Beam Schedule'!$A$2:$Q$2902,R$2,0),"")</f>
        <v>#N/A</v>
      </c>
      <c r="S1754" s="7" t="e">
        <f>IF(VLOOKUP($A1754,'Concrete Beam Schedule'!$A$2:$Q$2902,S$2,0)&lt;&gt;C1754,VLOOKUP($A1754,'Concrete Beam Schedule'!$A$2:$Q$2902,S$2,0),"")</f>
        <v>#N/A</v>
      </c>
      <c r="T1754" s="7" t="e">
        <f>IF(VLOOKUP($A1754,'Concrete Beam Schedule'!$A$2:$Q$2902,T$2,0)&lt;&gt;D1754,"Beam Revised","")</f>
        <v>#N/A</v>
      </c>
      <c r="U1754" s="7" t="e">
        <f>IF(VLOOKUP($A1754,'Concrete Beam Schedule'!$A$2:$Q$2902,U$2,0)&lt;&gt;E1754,"Beam Revised","")</f>
        <v>#N/A</v>
      </c>
      <c r="V1754" s="7" t="e">
        <f>IF(VLOOKUP($A1754,'Concrete Beam Schedule'!$A$2:$Q$2902,V$2,0)&lt;&gt;F1754,"Beam Revised","")</f>
        <v>#N/A</v>
      </c>
      <c r="W1754" s="7" t="e">
        <f>IF(VLOOKUP($A1754,'Concrete Beam Schedule'!$A$2:$Q$2902,W$2,0)&lt;&gt;G1754,"Beam Revised","")</f>
        <v>#N/A</v>
      </c>
      <c r="X1754" s="7" t="e">
        <f>IF(VLOOKUP($A1754,'Concrete Beam Schedule'!$A$2:$Q$2902,X$2,0)&lt;&gt;H1754,"Beam Revised","")</f>
        <v>#N/A</v>
      </c>
      <c r="Y1754" s="7" t="e">
        <f>IF(VLOOKUP($A1754,'Concrete Beam Schedule'!$A$2:$Q$2902,Y$2,0)&lt;&gt;I1754,"Beam Revised","")</f>
        <v>#N/A</v>
      </c>
      <c r="Z1754" s="7" t="e">
        <f>IF(VLOOKUP($A1754,'Concrete Beam Schedule'!$A$2:$Q$2902,Z$2,0)&lt;&gt;J1754,"Beam Revised","")</f>
        <v>#N/A</v>
      </c>
      <c r="AA1754" s="7" t="e">
        <f>IF(VLOOKUP($A1754,'Concrete Beam Schedule'!$A$2:$Q$2902,AA$2,0)&lt;&gt;K1754,"Beam Revised","")</f>
        <v>#N/A</v>
      </c>
      <c r="AB1754" s="7" t="e">
        <f>IF(VLOOKUP($A1754,'Concrete Beam Schedule'!$A$2:$Q$2902,AB$2,0)&lt;&gt;L1754,"Beam Revised","")</f>
        <v>#N/A</v>
      </c>
      <c r="AC1754" s="7" t="e">
        <f>IF(VLOOKUP($A1754,'Concrete Beam Schedule'!$A$2:$Q$2902,AC$2,0)&lt;&gt;M1754,"Beam Revised","")</f>
        <v>#N/A</v>
      </c>
      <c r="AD1754" s="7" t="e">
        <f>IF(VLOOKUP($A1754,'Concrete Beam Schedule'!$A$2:$Q$2902,AD$2,0)&lt;&gt;N1754,"Beam Revised","")</f>
        <v>#N/A</v>
      </c>
      <c r="AE1754" s="7" t="e">
        <f>IF(VLOOKUP($A1754,'Concrete Beam Schedule'!$A$2:$Q$2902,AE$2,0)&lt;&gt;O1754,"Beam Revised","")</f>
        <v>#N/A</v>
      </c>
    </row>
    <row r="1755" spans="17:31" ht="20.100000000000001" customHeight="1" x14ac:dyDescent="0.25">
      <c r="Q1755" s="7">
        <f t="shared" si="27"/>
        <v>0</v>
      </c>
      <c r="R1755" s="7" t="e">
        <f>IF(VLOOKUP($A1755,'Concrete Beam Schedule'!$A$2:$Q$2902,R$2,0)&lt;&gt;B1755,VLOOKUP($A1755,'Concrete Beam Schedule'!$A$2:$Q$2902,R$2,0),"")</f>
        <v>#N/A</v>
      </c>
      <c r="S1755" s="7" t="e">
        <f>IF(VLOOKUP($A1755,'Concrete Beam Schedule'!$A$2:$Q$2902,S$2,0)&lt;&gt;C1755,VLOOKUP($A1755,'Concrete Beam Schedule'!$A$2:$Q$2902,S$2,0),"")</f>
        <v>#N/A</v>
      </c>
      <c r="T1755" s="7" t="e">
        <f>IF(VLOOKUP($A1755,'Concrete Beam Schedule'!$A$2:$Q$2902,T$2,0)&lt;&gt;D1755,"Beam Revised","")</f>
        <v>#N/A</v>
      </c>
      <c r="U1755" s="7" t="e">
        <f>IF(VLOOKUP($A1755,'Concrete Beam Schedule'!$A$2:$Q$2902,U$2,0)&lt;&gt;E1755,"Beam Revised","")</f>
        <v>#N/A</v>
      </c>
      <c r="V1755" s="7" t="e">
        <f>IF(VLOOKUP($A1755,'Concrete Beam Schedule'!$A$2:$Q$2902,V$2,0)&lt;&gt;F1755,"Beam Revised","")</f>
        <v>#N/A</v>
      </c>
      <c r="W1755" s="7" t="e">
        <f>IF(VLOOKUP($A1755,'Concrete Beam Schedule'!$A$2:$Q$2902,W$2,0)&lt;&gt;G1755,"Beam Revised","")</f>
        <v>#N/A</v>
      </c>
      <c r="X1755" s="7" t="e">
        <f>IF(VLOOKUP($A1755,'Concrete Beam Schedule'!$A$2:$Q$2902,X$2,0)&lt;&gt;H1755,"Beam Revised","")</f>
        <v>#N/A</v>
      </c>
      <c r="Y1755" s="7" t="e">
        <f>IF(VLOOKUP($A1755,'Concrete Beam Schedule'!$A$2:$Q$2902,Y$2,0)&lt;&gt;I1755,"Beam Revised","")</f>
        <v>#N/A</v>
      </c>
      <c r="Z1755" s="7" t="e">
        <f>IF(VLOOKUP($A1755,'Concrete Beam Schedule'!$A$2:$Q$2902,Z$2,0)&lt;&gt;J1755,"Beam Revised","")</f>
        <v>#N/A</v>
      </c>
      <c r="AA1755" s="7" t="e">
        <f>IF(VLOOKUP($A1755,'Concrete Beam Schedule'!$A$2:$Q$2902,AA$2,0)&lt;&gt;K1755,"Beam Revised","")</f>
        <v>#N/A</v>
      </c>
      <c r="AB1755" s="7" t="e">
        <f>IF(VLOOKUP($A1755,'Concrete Beam Schedule'!$A$2:$Q$2902,AB$2,0)&lt;&gt;L1755,"Beam Revised","")</f>
        <v>#N/A</v>
      </c>
      <c r="AC1755" s="7" t="e">
        <f>IF(VLOOKUP($A1755,'Concrete Beam Schedule'!$A$2:$Q$2902,AC$2,0)&lt;&gt;M1755,"Beam Revised","")</f>
        <v>#N/A</v>
      </c>
      <c r="AD1755" s="7" t="e">
        <f>IF(VLOOKUP($A1755,'Concrete Beam Schedule'!$A$2:$Q$2902,AD$2,0)&lt;&gt;N1755,"Beam Revised","")</f>
        <v>#N/A</v>
      </c>
      <c r="AE1755" s="7" t="e">
        <f>IF(VLOOKUP($A1755,'Concrete Beam Schedule'!$A$2:$Q$2902,AE$2,0)&lt;&gt;O1755,"Beam Revised","")</f>
        <v>#N/A</v>
      </c>
    </row>
    <row r="1756" spans="17:31" ht="20.100000000000001" customHeight="1" x14ac:dyDescent="0.25">
      <c r="Q1756" s="7">
        <f t="shared" si="27"/>
        <v>0</v>
      </c>
      <c r="R1756" s="7" t="e">
        <f>IF(VLOOKUP($A1756,'Concrete Beam Schedule'!$A$2:$Q$2902,R$2,0)&lt;&gt;B1756,VLOOKUP($A1756,'Concrete Beam Schedule'!$A$2:$Q$2902,R$2,0),"")</f>
        <v>#N/A</v>
      </c>
      <c r="S1756" s="7" t="e">
        <f>IF(VLOOKUP($A1756,'Concrete Beam Schedule'!$A$2:$Q$2902,S$2,0)&lt;&gt;C1756,VLOOKUP($A1756,'Concrete Beam Schedule'!$A$2:$Q$2902,S$2,0),"")</f>
        <v>#N/A</v>
      </c>
      <c r="T1756" s="7" t="e">
        <f>IF(VLOOKUP($A1756,'Concrete Beam Schedule'!$A$2:$Q$2902,T$2,0)&lt;&gt;D1756,"Beam Revised","")</f>
        <v>#N/A</v>
      </c>
      <c r="U1756" s="7" t="e">
        <f>IF(VLOOKUP($A1756,'Concrete Beam Schedule'!$A$2:$Q$2902,U$2,0)&lt;&gt;E1756,"Beam Revised","")</f>
        <v>#N/A</v>
      </c>
      <c r="V1756" s="7" t="e">
        <f>IF(VLOOKUP($A1756,'Concrete Beam Schedule'!$A$2:$Q$2902,V$2,0)&lt;&gt;F1756,"Beam Revised","")</f>
        <v>#N/A</v>
      </c>
      <c r="W1756" s="7" t="e">
        <f>IF(VLOOKUP($A1756,'Concrete Beam Schedule'!$A$2:$Q$2902,W$2,0)&lt;&gt;G1756,"Beam Revised","")</f>
        <v>#N/A</v>
      </c>
      <c r="X1756" s="7" t="e">
        <f>IF(VLOOKUP($A1756,'Concrete Beam Schedule'!$A$2:$Q$2902,X$2,0)&lt;&gt;H1756,"Beam Revised","")</f>
        <v>#N/A</v>
      </c>
      <c r="Y1756" s="7" t="e">
        <f>IF(VLOOKUP($A1756,'Concrete Beam Schedule'!$A$2:$Q$2902,Y$2,0)&lt;&gt;I1756,"Beam Revised","")</f>
        <v>#N/A</v>
      </c>
      <c r="Z1756" s="7" t="e">
        <f>IF(VLOOKUP($A1756,'Concrete Beam Schedule'!$A$2:$Q$2902,Z$2,0)&lt;&gt;J1756,"Beam Revised","")</f>
        <v>#N/A</v>
      </c>
      <c r="AA1756" s="7" t="e">
        <f>IF(VLOOKUP($A1756,'Concrete Beam Schedule'!$A$2:$Q$2902,AA$2,0)&lt;&gt;K1756,"Beam Revised","")</f>
        <v>#N/A</v>
      </c>
      <c r="AB1756" s="7" t="e">
        <f>IF(VLOOKUP($A1756,'Concrete Beam Schedule'!$A$2:$Q$2902,AB$2,0)&lt;&gt;L1756,"Beam Revised","")</f>
        <v>#N/A</v>
      </c>
      <c r="AC1756" s="7" t="e">
        <f>IF(VLOOKUP($A1756,'Concrete Beam Schedule'!$A$2:$Q$2902,AC$2,0)&lt;&gt;M1756,"Beam Revised","")</f>
        <v>#N/A</v>
      </c>
      <c r="AD1756" s="7" t="e">
        <f>IF(VLOOKUP($A1756,'Concrete Beam Schedule'!$A$2:$Q$2902,AD$2,0)&lt;&gt;N1756,"Beam Revised","")</f>
        <v>#N/A</v>
      </c>
      <c r="AE1756" s="7" t="e">
        <f>IF(VLOOKUP($A1756,'Concrete Beam Schedule'!$A$2:$Q$2902,AE$2,0)&lt;&gt;O1756,"Beam Revised","")</f>
        <v>#N/A</v>
      </c>
    </row>
    <row r="1757" spans="17:31" ht="20.100000000000001" customHeight="1" x14ac:dyDescent="0.25">
      <c r="Q1757" s="7">
        <f t="shared" si="27"/>
        <v>0</v>
      </c>
      <c r="R1757" s="7" t="e">
        <f>IF(VLOOKUP($A1757,'Concrete Beam Schedule'!$A$2:$Q$2902,R$2,0)&lt;&gt;B1757,VLOOKUP($A1757,'Concrete Beam Schedule'!$A$2:$Q$2902,R$2,0),"")</f>
        <v>#N/A</v>
      </c>
      <c r="S1757" s="7" t="e">
        <f>IF(VLOOKUP($A1757,'Concrete Beam Schedule'!$A$2:$Q$2902,S$2,0)&lt;&gt;C1757,VLOOKUP($A1757,'Concrete Beam Schedule'!$A$2:$Q$2902,S$2,0),"")</f>
        <v>#N/A</v>
      </c>
      <c r="T1757" s="7" t="e">
        <f>IF(VLOOKUP($A1757,'Concrete Beam Schedule'!$A$2:$Q$2902,T$2,0)&lt;&gt;D1757,"Beam Revised","")</f>
        <v>#N/A</v>
      </c>
      <c r="U1757" s="7" t="e">
        <f>IF(VLOOKUP($A1757,'Concrete Beam Schedule'!$A$2:$Q$2902,U$2,0)&lt;&gt;E1757,"Beam Revised","")</f>
        <v>#N/A</v>
      </c>
      <c r="V1757" s="7" t="e">
        <f>IF(VLOOKUP($A1757,'Concrete Beam Schedule'!$A$2:$Q$2902,V$2,0)&lt;&gt;F1757,"Beam Revised","")</f>
        <v>#N/A</v>
      </c>
      <c r="W1757" s="7" t="e">
        <f>IF(VLOOKUP($A1757,'Concrete Beam Schedule'!$A$2:$Q$2902,W$2,0)&lt;&gt;G1757,"Beam Revised","")</f>
        <v>#N/A</v>
      </c>
      <c r="X1757" s="7" t="e">
        <f>IF(VLOOKUP($A1757,'Concrete Beam Schedule'!$A$2:$Q$2902,X$2,0)&lt;&gt;H1757,"Beam Revised","")</f>
        <v>#N/A</v>
      </c>
      <c r="Y1757" s="7" t="e">
        <f>IF(VLOOKUP($A1757,'Concrete Beam Schedule'!$A$2:$Q$2902,Y$2,0)&lt;&gt;I1757,"Beam Revised","")</f>
        <v>#N/A</v>
      </c>
      <c r="Z1757" s="7" t="e">
        <f>IF(VLOOKUP($A1757,'Concrete Beam Schedule'!$A$2:$Q$2902,Z$2,0)&lt;&gt;J1757,"Beam Revised","")</f>
        <v>#N/A</v>
      </c>
      <c r="AA1757" s="7" t="e">
        <f>IF(VLOOKUP($A1757,'Concrete Beam Schedule'!$A$2:$Q$2902,AA$2,0)&lt;&gt;K1757,"Beam Revised","")</f>
        <v>#N/A</v>
      </c>
      <c r="AB1757" s="7" t="e">
        <f>IF(VLOOKUP($A1757,'Concrete Beam Schedule'!$A$2:$Q$2902,AB$2,0)&lt;&gt;L1757,"Beam Revised","")</f>
        <v>#N/A</v>
      </c>
      <c r="AC1757" s="7" t="e">
        <f>IF(VLOOKUP($A1757,'Concrete Beam Schedule'!$A$2:$Q$2902,AC$2,0)&lt;&gt;M1757,"Beam Revised","")</f>
        <v>#N/A</v>
      </c>
      <c r="AD1757" s="7" t="e">
        <f>IF(VLOOKUP($A1757,'Concrete Beam Schedule'!$A$2:$Q$2902,AD$2,0)&lt;&gt;N1757,"Beam Revised","")</f>
        <v>#N/A</v>
      </c>
      <c r="AE1757" s="7" t="e">
        <f>IF(VLOOKUP($A1757,'Concrete Beam Schedule'!$A$2:$Q$2902,AE$2,0)&lt;&gt;O1757,"Beam Revised","")</f>
        <v>#N/A</v>
      </c>
    </row>
    <row r="1758" spans="17:31" ht="20.100000000000001" customHeight="1" x14ac:dyDescent="0.25">
      <c r="Q1758" s="7">
        <f t="shared" si="27"/>
        <v>0</v>
      </c>
      <c r="R1758" s="7" t="e">
        <f>IF(VLOOKUP($A1758,'Concrete Beam Schedule'!$A$2:$Q$2902,R$2,0)&lt;&gt;B1758,VLOOKUP($A1758,'Concrete Beam Schedule'!$A$2:$Q$2902,R$2,0),"")</f>
        <v>#N/A</v>
      </c>
      <c r="S1758" s="7" t="e">
        <f>IF(VLOOKUP($A1758,'Concrete Beam Schedule'!$A$2:$Q$2902,S$2,0)&lt;&gt;C1758,VLOOKUP($A1758,'Concrete Beam Schedule'!$A$2:$Q$2902,S$2,0),"")</f>
        <v>#N/A</v>
      </c>
      <c r="T1758" s="7" t="e">
        <f>IF(VLOOKUP($A1758,'Concrete Beam Schedule'!$A$2:$Q$2902,T$2,0)&lt;&gt;D1758,"Beam Revised","")</f>
        <v>#N/A</v>
      </c>
      <c r="U1758" s="7" t="e">
        <f>IF(VLOOKUP($A1758,'Concrete Beam Schedule'!$A$2:$Q$2902,U$2,0)&lt;&gt;E1758,"Beam Revised","")</f>
        <v>#N/A</v>
      </c>
      <c r="V1758" s="7" t="e">
        <f>IF(VLOOKUP($A1758,'Concrete Beam Schedule'!$A$2:$Q$2902,V$2,0)&lt;&gt;F1758,"Beam Revised","")</f>
        <v>#N/A</v>
      </c>
      <c r="W1758" s="7" t="e">
        <f>IF(VLOOKUP($A1758,'Concrete Beam Schedule'!$A$2:$Q$2902,W$2,0)&lt;&gt;G1758,"Beam Revised","")</f>
        <v>#N/A</v>
      </c>
      <c r="X1758" s="7" t="e">
        <f>IF(VLOOKUP($A1758,'Concrete Beam Schedule'!$A$2:$Q$2902,X$2,0)&lt;&gt;H1758,"Beam Revised","")</f>
        <v>#N/A</v>
      </c>
      <c r="Y1758" s="7" t="e">
        <f>IF(VLOOKUP($A1758,'Concrete Beam Schedule'!$A$2:$Q$2902,Y$2,0)&lt;&gt;I1758,"Beam Revised","")</f>
        <v>#N/A</v>
      </c>
      <c r="Z1758" s="7" t="e">
        <f>IF(VLOOKUP($A1758,'Concrete Beam Schedule'!$A$2:$Q$2902,Z$2,0)&lt;&gt;J1758,"Beam Revised","")</f>
        <v>#N/A</v>
      </c>
      <c r="AA1758" s="7" t="e">
        <f>IF(VLOOKUP($A1758,'Concrete Beam Schedule'!$A$2:$Q$2902,AA$2,0)&lt;&gt;K1758,"Beam Revised","")</f>
        <v>#N/A</v>
      </c>
      <c r="AB1758" s="7" t="e">
        <f>IF(VLOOKUP($A1758,'Concrete Beam Schedule'!$A$2:$Q$2902,AB$2,0)&lt;&gt;L1758,"Beam Revised","")</f>
        <v>#N/A</v>
      </c>
      <c r="AC1758" s="7" t="e">
        <f>IF(VLOOKUP($A1758,'Concrete Beam Schedule'!$A$2:$Q$2902,AC$2,0)&lt;&gt;M1758,"Beam Revised","")</f>
        <v>#N/A</v>
      </c>
      <c r="AD1758" s="7" t="e">
        <f>IF(VLOOKUP($A1758,'Concrete Beam Schedule'!$A$2:$Q$2902,AD$2,0)&lt;&gt;N1758,"Beam Revised","")</f>
        <v>#N/A</v>
      </c>
      <c r="AE1758" s="7" t="e">
        <f>IF(VLOOKUP($A1758,'Concrete Beam Schedule'!$A$2:$Q$2902,AE$2,0)&lt;&gt;O1758,"Beam Revised","")</f>
        <v>#N/A</v>
      </c>
    </row>
    <row r="1759" spans="17:31" ht="20.100000000000001" customHeight="1" x14ac:dyDescent="0.25">
      <c r="Q1759" s="7">
        <f t="shared" si="27"/>
        <v>0</v>
      </c>
      <c r="R1759" s="7" t="e">
        <f>IF(VLOOKUP($A1759,'Concrete Beam Schedule'!$A$2:$Q$2902,R$2,0)&lt;&gt;B1759,VLOOKUP($A1759,'Concrete Beam Schedule'!$A$2:$Q$2902,R$2,0),"")</f>
        <v>#N/A</v>
      </c>
      <c r="S1759" s="7" t="e">
        <f>IF(VLOOKUP($A1759,'Concrete Beam Schedule'!$A$2:$Q$2902,S$2,0)&lt;&gt;C1759,VLOOKUP($A1759,'Concrete Beam Schedule'!$A$2:$Q$2902,S$2,0),"")</f>
        <v>#N/A</v>
      </c>
      <c r="T1759" s="7" t="e">
        <f>IF(VLOOKUP($A1759,'Concrete Beam Schedule'!$A$2:$Q$2902,T$2,0)&lt;&gt;D1759,"Beam Revised","")</f>
        <v>#N/A</v>
      </c>
      <c r="U1759" s="7" t="e">
        <f>IF(VLOOKUP($A1759,'Concrete Beam Schedule'!$A$2:$Q$2902,U$2,0)&lt;&gt;E1759,"Beam Revised","")</f>
        <v>#N/A</v>
      </c>
      <c r="V1759" s="7" t="e">
        <f>IF(VLOOKUP($A1759,'Concrete Beam Schedule'!$A$2:$Q$2902,V$2,0)&lt;&gt;F1759,"Beam Revised","")</f>
        <v>#N/A</v>
      </c>
      <c r="W1759" s="7" t="e">
        <f>IF(VLOOKUP($A1759,'Concrete Beam Schedule'!$A$2:$Q$2902,W$2,0)&lt;&gt;G1759,"Beam Revised","")</f>
        <v>#N/A</v>
      </c>
      <c r="X1759" s="7" t="e">
        <f>IF(VLOOKUP($A1759,'Concrete Beam Schedule'!$A$2:$Q$2902,X$2,0)&lt;&gt;H1759,"Beam Revised","")</f>
        <v>#N/A</v>
      </c>
      <c r="Y1759" s="7" t="e">
        <f>IF(VLOOKUP($A1759,'Concrete Beam Schedule'!$A$2:$Q$2902,Y$2,0)&lt;&gt;I1759,"Beam Revised","")</f>
        <v>#N/A</v>
      </c>
      <c r="Z1759" s="7" t="e">
        <f>IF(VLOOKUP($A1759,'Concrete Beam Schedule'!$A$2:$Q$2902,Z$2,0)&lt;&gt;J1759,"Beam Revised","")</f>
        <v>#N/A</v>
      </c>
      <c r="AA1759" s="7" t="e">
        <f>IF(VLOOKUP($A1759,'Concrete Beam Schedule'!$A$2:$Q$2902,AA$2,0)&lt;&gt;K1759,"Beam Revised","")</f>
        <v>#N/A</v>
      </c>
      <c r="AB1759" s="7" t="e">
        <f>IF(VLOOKUP($A1759,'Concrete Beam Schedule'!$A$2:$Q$2902,AB$2,0)&lt;&gt;L1759,"Beam Revised","")</f>
        <v>#N/A</v>
      </c>
      <c r="AC1759" s="7" t="e">
        <f>IF(VLOOKUP($A1759,'Concrete Beam Schedule'!$A$2:$Q$2902,AC$2,0)&lt;&gt;M1759,"Beam Revised","")</f>
        <v>#N/A</v>
      </c>
      <c r="AD1759" s="7" t="e">
        <f>IF(VLOOKUP($A1759,'Concrete Beam Schedule'!$A$2:$Q$2902,AD$2,0)&lt;&gt;N1759,"Beam Revised","")</f>
        <v>#N/A</v>
      </c>
      <c r="AE1759" s="7" t="e">
        <f>IF(VLOOKUP($A1759,'Concrete Beam Schedule'!$A$2:$Q$2902,AE$2,0)&lt;&gt;O1759,"Beam Revised","")</f>
        <v>#N/A</v>
      </c>
    </row>
    <row r="1760" spans="17:31" ht="20.100000000000001" customHeight="1" x14ac:dyDescent="0.25">
      <c r="Q1760" s="7">
        <f t="shared" si="27"/>
        <v>0</v>
      </c>
      <c r="R1760" s="7" t="e">
        <f>IF(VLOOKUP($A1760,'Concrete Beam Schedule'!$A$2:$Q$2902,R$2,0)&lt;&gt;B1760,VLOOKUP($A1760,'Concrete Beam Schedule'!$A$2:$Q$2902,R$2,0),"")</f>
        <v>#N/A</v>
      </c>
      <c r="S1760" s="7" t="e">
        <f>IF(VLOOKUP($A1760,'Concrete Beam Schedule'!$A$2:$Q$2902,S$2,0)&lt;&gt;C1760,VLOOKUP($A1760,'Concrete Beam Schedule'!$A$2:$Q$2902,S$2,0),"")</f>
        <v>#N/A</v>
      </c>
      <c r="T1760" s="7" t="e">
        <f>IF(VLOOKUP($A1760,'Concrete Beam Schedule'!$A$2:$Q$2902,T$2,0)&lt;&gt;D1760,"Beam Revised","")</f>
        <v>#N/A</v>
      </c>
      <c r="U1760" s="7" t="e">
        <f>IF(VLOOKUP($A1760,'Concrete Beam Schedule'!$A$2:$Q$2902,U$2,0)&lt;&gt;E1760,"Beam Revised","")</f>
        <v>#N/A</v>
      </c>
      <c r="V1760" s="7" t="e">
        <f>IF(VLOOKUP($A1760,'Concrete Beam Schedule'!$A$2:$Q$2902,V$2,0)&lt;&gt;F1760,"Beam Revised","")</f>
        <v>#N/A</v>
      </c>
      <c r="W1760" s="7" t="e">
        <f>IF(VLOOKUP($A1760,'Concrete Beam Schedule'!$A$2:$Q$2902,W$2,0)&lt;&gt;G1760,"Beam Revised","")</f>
        <v>#N/A</v>
      </c>
      <c r="X1760" s="7" t="e">
        <f>IF(VLOOKUP($A1760,'Concrete Beam Schedule'!$A$2:$Q$2902,X$2,0)&lt;&gt;H1760,"Beam Revised","")</f>
        <v>#N/A</v>
      </c>
      <c r="Y1760" s="7" t="e">
        <f>IF(VLOOKUP($A1760,'Concrete Beam Schedule'!$A$2:$Q$2902,Y$2,0)&lt;&gt;I1760,"Beam Revised","")</f>
        <v>#N/A</v>
      </c>
      <c r="Z1760" s="7" t="e">
        <f>IF(VLOOKUP($A1760,'Concrete Beam Schedule'!$A$2:$Q$2902,Z$2,0)&lt;&gt;J1760,"Beam Revised","")</f>
        <v>#N/A</v>
      </c>
      <c r="AA1760" s="7" t="e">
        <f>IF(VLOOKUP($A1760,'Concrete Beam Schedule'!$A$2:$Q$2902,AA$2,0)&lt;&gt;K1760,"Beam Revised","")</f>
        <v>#N/A</v>
      </c>
      <c r="AB1760" s="7" t="e">
        <f>IF(VLOOKUP($A1760,'Concrete Beam Schedule'!$A$2:$Q$2902,AB$2,0)&lt;&gt;L1760,"Beam Revised","")</f>
        <v>#N/A</v>
      </c>
      <c r="AC1760" s="7" t="e">
        <f>IF(VLOOKUP($A1760,'Concrete Beam Schedule'!$A$2:$Q$2902,AC$2,0)&lt;&gt;M1760,"Beam Revised","")</f>
        <v>#N/A</v>
      </c>
      <c r="AD1760" s="7" t="e">
        <f>IF(VLOOKUP($A1760,'Concrete Beam Schedule'!$A$2:$Q$2902,AD$2,0)&lt;&gt;N1760,"Beam Revised","")</f>
        <v>#N/A</v>
      </c>
      <c r="AE1760" s="7" t="e">
        <f>IF(VLOOKUP($A1760,'Concrete Beam Schedule'!$A$2:$Q$2902,AE$2,0)&lt;&gt;O1760,"Beam Revised","")</f>
        <v>#N/A</v>
      </c>
    </row>
    <row r="1761" spans="17:31" ht="20.100000000000001" customHeight="1" x14ac:dyDescent="0.25">
      <c r="Q1761" s="7">
        <f t="shared" si="27"/>
        <v>0</v>
      </c>
      <c r="R1761" s="7" t="e">
        <f>IF(VLOOKUP($A1761,'Concrete Beam Schedule'!$A$2:$Q$2902,R$2,0)&lt;&gt;B1761,VLOOKUP($A1761,'Concrete Beam Schedule'!$A$2:$Q$2902,R$2,0),"")</f>
        <v>#N/A</v>
      </c>
      <c r="S1761" s="7" t="e">
        <f>IF(VLOOKUP($A1761,'Concrete Beam Schedule'!$A$2:$Q$2902,S$2,0)&lt;&gt;C1761,VLOOKUP($A1761,'Concrete Beam Schedule'!$A$2:$Q$2902,S$2,0),"")</f>
        <v>#N/A</v>
      </c>
      <c r="T1761" s="7" t="e">
        <f>IF(VLOOKUP($A1761,'Concrete Beam Schedule'!$A$2:$Q$2902,T$2,0)&lt;&gt;D1761,"Beam Revised","")</f>
        <v>#N/A</v>
      </c>
      <c r="U1761" s="7" t="e">
        <f>IF(VLOOKUP($A1761,'Concrete Beam Schedule'!$A$2:$Q$2902,U$2,0)&lt;&gt;E1761,"Beam Revised","")</f>
        <v>#N/A</v>
      </c>
      <c r="V1761" s="7" t="e">
        <f>IF(VLOOKUP($A1761,'Concrete Beam Schedule'!$A$2:$Q$2902,V$2,0)&lt;&gt;F1761,"Beam Revised","")</f>
        <v>#N/A</v>
      </c>
      <c r="W1761" s="7" t="e">
        <f>IF(VLOOKUP($A1761,'Concrete Beam Schedule'!$A$2:$Q$2902,W$2,0)&lt;&gt;G1761,"Beam Revised","")</f>
        <v>#N/A</v>
      </c>
      <c r="X1761" s="7" t="e">
        <f>IF(VLOOKUP($A1761,'Concrete Beam Schedule'!$A$2:$Q$2902,X$2,0)&lt;&gt;H1761,"Beam Revised","")</f>
        <v>#N/A</v>
      </c>
      <c r="Y1761" s="7" t="e">
        <f>IF(VLOOKUP($A1761,'Concrete Beam Schedule'!$A$2:$Q$2902,Y$2,0)&lt;&gt;I1761,"Beam Revised","")</f>
        <v>#N/A</v>
      </c>
      <c r="Z1761" s="7" t="e">
        <f>IF(VLOOKUP($A1761,'Concrete Beam Schedule'!$A$2:$Q$2902,Z$2,0)&lt;&gt;J1761,"Beam Revised","")</f>
        <v>#N/A</v>
      </c>
      <c r="AA1761" s="7" t="e">
        <f>IF(VLOOKUP($A1761,'Concrete Beam Schedule'!$A$2:$Q$2902,AA$2,0)&lt;&gt;K1761,"Beam Revised","")</f>
        <v>#N/A</v>
      </c>
      <c r="AB1761" s="7" t="e">
        <f>IF(VLOOKUP($A1761,'Concrete Beam Schedule'!$A$2:$Q$2902,AB$2,0)&lt;&gt;L1761,"Beam Revised","")</f>
        <v>#N/A</v>
      </c>
      <c r="AC1761" s="7" t="e">
        <f>IF(VLOOKUP($A1761,'Concrete Beam Schedule'!$A$2:$Q$2902,AC$2,0)&lt;&gt;M1761,"Beam Revised","")</f>
        <v>#N/A</v>
      </c>
      <c r="AD1761" s="7" t="e">
        <f>IF(VLOOKUP($A1761,'Concrete Beam Schedule'!$A$2:$Q$2902,AD$2,0)&lt;&gt;N1761,"Beam Revised","")</f>
        <v>#N/A</v>
      </c>
      <c r="AE1761" s="7" t="e">
        <f>IF(VLOOKUP($A1761,'Concrete Beam Schedule'!$A$2:$Q$2902,AE$2,0)&lt;&gt;O1761,"Beam Revised","")</f>
        <v>#N/A</v>
      </c>
    </row>
    <row r="1762" spans="17:31" ht="20.100000000000001" customHeight="1" x14ac:dyDescent="0.25">
      <c r="Q1762" s="7">
        <f t="shared" si="27"/>
        <v>0</v>
      </c>
      <c r="R1762" s="7" t="e">
        <f>IF(VLOOKUP($A1762,'Concrete Beam Schedule'!$A$2:$Q$2902,R$2,0)&lt;&gt;B1762,VLOOKUP($A1762,'Concrete Beam Schedule'!$A$2:$Q$2902,R$2,0),"")</f>
        <v>#N/A</v>
      </c>
      <c r="S1762" s="7" t="e">
        <f>IF(VLOOKUP($A1762,'Concrete Beam Schedule'!$A$2:$Q$2902,S$2,0)&lt;&gt;C1762,VLOOKUP($A1762,'Concrete Beam Schedule'!$A$2:$Q$2902,S$2,0),"")</f>
        <v>#N/A</v>
      </c>
      <c r="T1762" s="7" t="e">
        <f>IF(VLOOKUP($A1762,'Concrete Beam Schedule'!$A$2:$Q$2902,T$2,0)&lt;&gt;D1762,"Beam Revised","")</f>
        <v>#N/A</v>
      </c>
      <c r="U1762" s="7" t="e">
        <f>IF(VLOOKUP($A1762,'Concrete Beam Schedule'!$A$2:$Q$2902,U$2,0)&lt;&gt;E1762,"Beam Revised","")</f>
        <v>#N/A</v>
      </c>
      <c r="V1762" s="7" t="e">
        <f>IF(VLOOKUP($A1762,'Concrete Beam Schedule'!$A$2:$Q$2902,V$2,0)&lt;&gt;F1762,"Beam Revised","")</f>
        <v>#N/A</v>
      </c>
      <c r="W1762" s="7" t="e">
        <f>IF(VLOOKUP($A1762,'Concrete Beam Schedule'!$A$2:$Q$2902,W$2,0)&lt;&gt;G1762,"Beam Revised","")</f>
        <v>#N/A</v>
      </c>
      <c r="X1762" s="7" t="e">
        <f>IF(VLOOKUP($A1762,'Concrete Beam Schedule'!$A$2:$Q$2902,X$2,0)&lt;&gt;H1762,"Beam Revised","")</f>
        <v>#N/A</v>
      </c>
      <c r="Y1762" s="7" t="e">
        <f>IF(VLOOKUP($A1762,'Concrete Beam Schedule'!$A$2:$Q$2902,Y$2,0)&lt;&gt;I1762,"Beam Revised","")</f>
        <v>#N/A</v>
      </c>
      <c r="Z1762" s="7" t="e">
        <f>IF(VLOOKUP($A1762,'Concrete Beam Schedule'!$A$2:$Q$2902,Z$2,0)&lt;&gt;J1762,"Beam Revised","")</f>
        <v>#N/A</v>
      </c>
      <c r="AA1762" s="7" t="e">
        <f>IF(VLOOKUP($A1762,'Concrete Beam Schedule'!$A$2:$Q$2902,AA$2,0)&lt;&gt;K1762,"Beam Revised","")</f>
        <v>#N/A</v>
      </c>
      <c r="AB1762" s="7" t="e">
        <f>IF(VLOOKUP($A1762,'Concrete Beam Schedule'!$A$2:$Q$2902,AB$2,0)&lt;&gt;L1762,"Beam Revised","")</f>
        <v>#N/A</v>
      </c>
      <c r="AC1762" s="7" t="e">
        <f>IF(VLOOKUP($A1762,'Concrete Beam Schedule'!$A$2:$Q$2902,AC$2,0)&lt;&gt;M1762,"Beam Revised","")</f>
        <v>#N/A</v>
      </c>
      <c r="AD1762" s="7" t="e">
        <f>IF(VLOOKUP($A1762,'Concrete Beam Schedule'!$A$2:$Q$2902,AD$2,0)&lt;&gt;N1762,"Beam Revised","")</f>
        <v>#N/A</v>
      </c>
      <c r="AE1762" s="7" t="e">
        <f>IF(VLOOKUP($A1762,'Concrete Beam Schedule'!$A$2:$Q$2902,AE$2,0)&lt;&gt;O1762,"Beam Revised","")</f>
        <v>#N/A</v>
      </c>
    </row>
    <row r="1763" spans="17:31" ht="20.100000000000001" customHeight="1" x14ac:dyDescent="0.25">
      <c r="Q1763" s="7">
        <f t="shared" si="27"/>
        <v>0</v>
      </c>
      <c r="R1763" s="7" t="e">
        <f>IF(VLOOKUP($A1763,'Concrete Beam Schedule'!$A$2:$Q$2902,R$2,0)&lt;&gt;B1763,VLOOKUP($A1763,'Concrete Beam Schedule'!$A$2:$Q$2902,R$2,0),"")</f>
        <v>#N/A</v>
      </c>
      <c r="S1763" s="7" t="e">
        <f>IF(VLOOKUP($A1763,'Concrete Beam Schedule'!$A$2:$Q$2902,S$2,0)&lt;&gt;C1763,VLOOKUP($A1763,'Concrete Beam Schedule'!$A$2:$Q$2902,S$2,0),"")</f>
        <v>#N/A</v>
      </c>
      <c r="T1763" s="7" t="e">
        <f>IF(VLOOKUP($A1763,'Concrete Beam Schedule'!$A$2:$Q$2902,T$2,0)&lt;&gt;D1763,"Beam Revised","")</f>
        <v>#N/A</v>
      </c>
      <c r="U1763" s="7" t="e">
        <f>IF(VLOOKUP($A1763,'Concrete Beam Schedule'!$A$2:$Q$2902,U$2,0)&lt;&gt;E1763,"Beam Revised","")</f>
        <v>#N/A</v>
      </c>
      <c r="V1763" s="7" t="e">
        <f>IF(VLOOKUP($A1763,'Concrete Beam Schedule'!$A$2:$Q$2902,V$2,0)&lt;&gt;F1763,"Beam Revised","")</f>
        <v>#N/A</v>
      </c>
      <c r="W1763" s="7" t="e">
        <f>IF(VLOOKUP($A1763,'Concrete Beam Schedule'!$A$2:$Q$2902,W$2,0)&lt;&gt;G1763,"Beam Revised","")</f>
        <v>#N/A</v>
      </c>
      <c r="X1763" s="7" t="e">
        <f>IF(VLOOKUP($A1763,'Concrete Beam Schedule'!$A$2:$Q$2902,X$2,0)&lt;&gt;H1763,"Beam Revised","")</f>
        <v>#N/A</v>
      </c>
      <c r="Y1763" s="7" t="e">
        <f>IF(VLOOKUP($A1763,'Concrete Beam Schedule'!$A$2:$Q$2902,Y$2,0)&lt;&gt;I1763,"Beam Revised","")</f>
        <v>#N/A</v>
      </c>
      <c r="Z1763" s="7" t="e">
        <f>IF(VLOOKUP($A1763,'Concrete Beam Schedule'!$A$2:$Q$2902,Z$2,0)&lt;&gt;J1763,"Beam Revised","")</f>
        <v>#N/A</v>
      </c>
      <c r="AA1763" s="7" t="e">
        <f>IF(VLOOKUP($A1763,'Concrete Beam Schedule'!$A$2:$Q$2902,AA$2,0)&lt;&gt;K1763,"Beam Revised","")</f>
        <v>#N/A</v>
      </c>
      <c r="AB1763" s="7" t="e">
        <f>IF(VLOOKUP($A1763,'Concrete Beam Schedule'!$A$2:$Q$2902,AB$2,0)&lt;&gt;L1763,"Beam Revised","")</f>
        <v>#N/A</v>
      </c>
      <c r="AC1763" s="7" t="e">
        <f>IF(VLOOKUP($A1763,'Concrete Beam Schedule'!$A$2:$Q$2902,AC$2,0)&lt;&gt;M1763,"Beam Revised","")</f>
        <v>#N/A</v>
      </c>
      <c r="AD1763" s="7" t="e">
        <f>IF(VLOOKUP($A1763,'Concrete Beam Schedule'!$A$2:$Q$2902,AD$2,0)&lt;&gt;N1763,"Beam Revised","")</f>
        <v>#N/A</v>
      </c>
      <c r="AE1763" s="7" t="e">
        <f>IF(VLOOKUP($A1763,'Concrete Beam Schedule'!$A$2:$Q$2902,AE$2,0)&lt;&gt;O1763,"Beam Revised","")</f>
        <v>#N/A</v>
      </c>
    </row>
    <row r="1764" spans="17:31" ht="20.100000000000001" customHeight="1" x14ac:dyDescent="0.25">
      <c r="Q1764" s="7">
        <f t="shared" si="27"/>
        <v>0</v>
      </c>
      <c r="R1764" s="7" t="e">
        <f>IF(VLOOKUP($A1764,'Concrete Beam Schedule'!$A$2:$Q$2902,R$2,0)&lt;&gt;B1764,VLOOKUP($A1764,'Concrete Beam Schedule'!$A$2:$Q$2902,R$2,0),"")</f>
        <v>#N/A</v>
      </c>
      <c r="S1764" s="7" t="e">
        <f>IF(VLOOKUP($A1764,'Concrete Beam Schedule'!$A$2:$Q$2902,S$2,0)&lt;&gt;C1764,VLOOKUP($A1764,'Concrete Beam Schedule'!$A$2:$Q$2902,S$2,0),"")</f>
        <v>#N/A</v>
      </c>
      <c r="T1764" s="7" t="e">
        <f>IF(VLOOKUP($A1764,'Concrete Beam Schedule'!$A$2:$Q$2902,T$2,0)&lt;&gt;D1764,"Beam Revised","")</f>
        <v>#N/A</v>
      </c>
      <c r="U1764" s="7" t="e">
        <f>IF(VLOOKUP($A1764,'Concrete Beam Schedule'!$A$2:$Q$2902,U$2,0)&lt;&gt;E1764,"Beam Revised","")</f>
        <v>#N/A</v>
      </c>
      <c r="V1764" s="7" t="e">
        <f>IF(VLOOKUP($A1764,'Concrete Beam Schedule'!$A$2:$Q$2902,V$2,0)&lt;&gt;F1764,"Beam Revised","")</f>
        <v>#N/A</v>
      </c>
      <c r="W1764" s="7" t="e">
        <f>IF(VLOOKUP($A1764,'Concrete Beam Schedule'!$A$2:$Q$2902,W$2,0)&lt;&gt;G1764,"Beam Revised","")</f>
        <v>#N/A</v>
      </c>
      <c r="X1764" s="7" t="e">
        <f>IF(VLOOKUP($A1764,'Concrete Beam Schedule'!$A$2:$Q$2902,X$2,0)&lt;&gt;H1764,"Beam Revised","")</f>
        <v>#N/A</v>
      </c>
      <c r="Y1764" s="7" t="e">
        <f>IF(VLOOKUP($A1764,'Concrete Beam Schedule'!$A$2:$Q$2902,Y$2,0)&lt;&gt;I1764,"Beam Revised","")</f>
        <v>#N/A</v>
      </c>
      <c r="Z1764" s="7" t="e">
        <f>IF(VLOOKUP($A1764,'Concrete Beam Schedule'!$A$2:$Q$2902,Z$2,0)&lt;&gt;J1764,"Beam Revised","")</f>
        <v>#N/A</v>
      </c>
      <c r="AA1764" s="7" t="e">
        <f>IF(VLOOKUP($A1764,'Concrete Beam Schedule'!$A$2:$Q$2902,AA$2,0)&lt;&gt;K1764,"Beam Revised","")</f>
        <v>#N/A</v>
      </c>
      <c r="AB1764" s="7" t="e">
        <f>IF(VLOOKUP($A1764,'Concrete Beam Schedule'!$A$2:$Q$2902,AB$2,0)&lt;&gt;L1764,"Beam Revised","")</f>
        <v>#N/A</v>
      </c>
      <c r="AC1764" s="7" t="e">
        <f>IF(VLOOKUP($A1764,'Concrete Beam Schedule'!$A$2:$Q$2902,AC$2,0)&lt;&gt;M1764,"Beam Revised","")</f>
        <v>#N/A</v>
      </c>
      <c r="AD1764" s="7" t="e">
        <f>IF(VLOOKUP($A1764,'Concrete Beam Schedule'!$A$2:$Q$2902,AD$2,0)&lt;&gt;N1764,"Beam Revised","")</f>
        <v>#N/A</v>
      </c>
      <c r="AE1764" s="7" t="e">
        <f>IF(VLOOKUP($A1764,'Concrete Beam Schedule'!$A$2:$Q$2902,AE$2,0)&lt;&gt;O1764,"Beam Revised","")</f>
        <v>#N/A</v>
      </c>
    </row>
    <row r="1765" spans="17:31" ht="20.100000000000001" customHeight="1" x14ac:dyDescent="0.25">
      <c r="Q1765" s="7">
        <f t="shared" si="27"/>
        <v>0</v>
      </c>
      <c r="R1765" s="7" t="e">
        <f>IF(VLOOKUP($A1765,'Concrete Beam Schedule'!$A$2:$Q$2902,R$2,0)&lt;&gt;B1765,VLOOKUP($A1765,'Concrete Beam Schedule'!$A$2:$Q$2902,R$2,0),"")</f>
        <v>#N/A</v>
      </c>
      <c r="S1765" s="7" t="e">
        <f>IF(VLOOKUP($A1765,'Concrete Beam Schedule'!$A$2:$Q$2902,S$2,0)&lt;&gt;C1765,VLOOKUP($A1765,'Concrete Beam Schedule'!$A$2:$Q$2902,S$2,0),"")</f>
        <v>#N/A</v>
      </c>
      <c r="T1765" s="7" t="e">
        <f>IF(VLOOKUP($A1765,'Concrete Beam Schedule'!$A$2:$Q$2902,T$2,0)&lt;&gt;D1765,"Beam Revised","")</f>
        <v>#N/A</v>
      </c>
      <c r="U1765" s="7" t="e">
        <f>IF(VLOOKUP($A1765,'Concrete Beam Schedule'!$A$2:$Q$2902,U$2,0)&lt;&gt;E1765,"Beam Revised","")</f>
        <v>#N/A</v>
      </c>
      <c r="V1765" s="7" t="e">
        <f>IF(VLOOKUP($A1765,'Concrete Beam Schedule'!$A$2:$Q$2902,V$2,0)&lt;&gt;F1765,"Beam Revised","")</f>
        <v>#N/A</v>
      </c>
      <c r="W1765" s="7" t="e">
        <f>IF(VLOOKUP($A1765,'Concrete Beam Schedule'!$A$2:$Q$2902,W$2,0)&lt;&gt;G1765,"Beam Revised","")</f>
        <v>#N/A</v>
      </c>
      <c r="X1765" s="7" t="e">
        <f>IF(VLOOKUP($A1765,'Concrete Beam Schedule'!$A$2:$Q$2902,X$2,0)&lt;&gt;H1765,"Beam Revised","")</f>
        <v>#N/A</v>
      </c>
      <c r="Y1765" s="7" t="e">
        <f>IF(VLOOKUP($A1765,'Concrete Beam Schedule'!$A$2:$Q$2902,Y$2,0)&lt;&gt;I1765,"Beam Revised","")</f>
        <v>#N/A</v>
      </c>
      <c r="Z1765" s="7" t="e">
        <f>IF(VLOOKUP($A1765,'Concrete Beam Schedule'!$A$2:$Q$2902,Z$2,0)&lt;&gt;J1765,"Beam Revised","")</f>
        <v>#N/A</v>
      </c>
      <c r="AA1765" s="7" t="e">
        <f>IF(VLOOKUP($A1765,'Concrete Beam Schedule'!$A$2:$Q$2902,AA$2,0)&lt;&gt;K1765,"Beam Revised","")</f>
        <v>#N/A</v>
      </c>
      <c r="AB1765" s="7" t="e">
        <f>IF(VLOOKUP($A1765,'Concrete Beam Schedule'!$A$2:$Q$2902,AB$2,0)&lt;&gt;L1765,"Beam Revised","")</f>
        <v>#N/A</v>
      </c>
      <c r="AC1765" s="7" t="e">
        <f>IF(VLOOKUP($A1765,'Concrete Beam Schedule'!$A$2:$Q$2902,AC$2,0)&lt;&gt;M1765,"Beam Revised","")</f>
        <v>#N/A</v>
      </c>
      <c r="AD1765" s="7" t="e">
        <f>IF(VLOOKUP($A1765,'Concrete Beam Schedule'!$A$2:$Q$2902,AD$2,0)&lt;&gt;N1765,"Beam Revised","")</f>
        <v>#N/A</v>
      </c>
      <c r="AE1765" s="7" t="e">
        <f>IF(VLOOKUP($A1765,'Concrete Beam Schedule'!$A$2:$Q$2902,AE$2,0)&lt;&gt;O1765,"Beam Revised","")</f>
        <v>#N/A</v>
      </c>
    </row>
    <row r="1766" spans="17:31" ht="20.100000000000001" customHeight="1" x14ac:dyDescent="0.25">
      <c r="Q1766" s="7">
        <f t="shared" si="27"/>
        <v>0</v>
      </c>
      <c r="R1766" s="7" t="e">
        <f>IF(VLOOKUP($A1766,'Concrete Beam Schedule'!$A$2:$Q$2902,R$2,0)&lt;&gt;B1766,VLOOKUP($A1766,'Concrete Beam Schedule'!$A$2:$Q$2902,R$2,0),"")</f>
        <v>#N/A</v>
      </c>
      <c r="S1766" s="7" t="e">
        <f>IF(VLOOKUP($A1766,'Concrete Beam Schedule'!$A$2:$Q$2902,S$2,0)&lt;&gt;C1766,VLOOKUP($A1766,'Concrete Beam Schedule'!$A$2:$Q$2902,S$2,0),"")</f>
        <v>#N/A</v>
      </c>
      <c r="T1766" s="7" t="e">
        <f>IF(VLOOKUP($A1766,'Concrete Beam Schedule'!$A$2:$Q$2902,T$2,0)&lt;&gt;D1766,"Beam Revised","")</f>
        <v>#N/A</v>
      </c>
      <c r="U1766" s="7" t="e">
        <f>IF(VLOOKUP($A1766,'Concrete Beam Schedule'!$A$2:$Q$2902,U$2,0)&lt;&gt;E1766,"Beam Revised","")</f>
        <v>#N/A</v>
      </c>
      <c r="V1766" s="7" t="e">
        <f>IF(VLOOKUP($A1766,'Concrete Beam Schedule'!$A$2:$Q$2902,V$2,0)&lt;&gt;F1766,"Beam Revised","")</f>
        <v>#N/A</v>
      </c>
      <c r="W1766" s="7" t="e">
        <f>IF(VLOOKUP($A1766,'Concrete Beam Schedule'!$A$2:$Q$2902,W$2,0)&lt;&gt;G1766,"Beam Revised","")</f>
        <v>#N/A</v>
      </c>
      <c r="X1766" s="7" t="e">
        <f>IF(VLOOKUP($A1766,'Concrete Beam Schedule'!$A$2:$Q$2902,X$2,0)&lt;&gt;H1766,"Beam Revised","")</f>
        <v>#N/A</v>
      </c>
      <c r="Y1766" s="7" t="e">
        <f>IF(VLOOKUP($A1766,'Concrete Beam Schedule'!$A$2:$Q$2902,Y$2,0)&lt;&gt;I1766,"Beam Revised","")</f>
        <v>#N/A</v>
      </c>
      <c r="Z1766" s="7" t="e">
        <f>IF(VLOOKUP($A1766,'Concrete Beam Schedule'!$A$2:$Q$2902,Z$2,0)&lt;&gt;J1766,"Beam Revised","")</f>
        <v>#N/A</v>
      </c>
      <c r="AA1766" s="7" t="e">
        <f>IF(VLOOKUP($A1766,'Concrete Beam Schedule'!$A$2:$Q$2902,AA$2,0)&lt;&gt;K1766,"Beam Revised","")</f>
        <v>#N/A</v>
      </c>
      <c r="AB1766" s="7" t="e">
        <f>IF(VLOOKUP($A1766,'Concrete Beam Schedule'!$A$2:$Q$2902,AB$2,0)&lt;&gt;L1766,"Beam Revised","")</f>
        <v>#N/A</v>
      </c>
      <c r="AC1766" s="7" t="e">
        <f>IF(VLOOKUP($A1766,'Concrete Beam Schedule'!$A$2:$Q$2902,AC$2,0)&lt;&gt;M1766,"Beam Revised","")</f>
        <v>#N/A</v>
      </c>
      <c r="AD1766" s="7" t="e">
        <f>IF(VLOOKUP($A1766,'Concrete Beam Schedule'!$A$2:$Q$2902,AD$2,0)&lt;&gt;N1766,"Beam Revised","")</f>
        <v>#N/A</v>
      </c>
      <c r="AE1766" s="7" t="e">
        <f>IF(VLOOKUP($A1766,'Concrete Beam Schedule'!$A$2:$Q$2902,AE$2,0)&lt;&gt;O1766,"Beam Revised","")</f>
        <v>#N/A</v>
      </c>
    </row>
    <row r="1767" spans="17:31" ht="20.100000000000001" customHeight="1" x14ac:dyDescent="0.25">
      <c r="Q1767" s="7">
        <f t="shared" si="27"/>
        <v>0</v>
      </c>
      <c r="R1767" s="7" t="e">
        <f>IF(VLOOKUP($A1767,'Concrete Beam Schedule'!$A$2:$Q$2902,R$2,0)&lt;&gt;B1767,VLOOKUP($A1767,'Concrete Beam Schedule'!$A$2:$Q$2902,R$2,0),"")</f>
        <v>#N/A</v>
      </c>
      <c r="S1767" s="7" t="e">
        <f>IF(VLOOKUP($A1767,'Concrete Beam Schedule'!$A$2:$Q$2902,S$2,0)&lt;&gt;C1767,VLOOKUP($A1767,'Concrete Beam Schedule'!$A$2:$Q$2902,S$2,0),"")</f>
        <v>#N/A</v>
      </c>
      <c r="T1767" s="7" t="e">
        <f>IF(VLOOKUP($A1767,'Concrete Beam Schedule'!$A$2:$Q$2902,T$2,0)&lt;&gt;D1767,"Beam Revised","")</f>
        <v>#N/A</v>
      </c>
      <c r="U1767" s="7" t="e">
        <f>IF(VLOOKUP($A1767,'Concrete Beam Schedule'!$A$2:$Q$2902,U$2,0)&lt;&gt;E1767,"Beam Revised","")</f>
        <v>#N/A</v>
      </c>
      <c r="V1767" s="7" t="e">
        <f>IF(VLOOKUP($A1767,'Concrete Beam Schedule'!$A$2:$Q$2902,V$2,0)&lt;&gt;F1767,"Beam Revised","")</f>
        <v>#N/A</v>
      </c>
      <c r="W1767" s="7" t="e">
        <f>IF(VLOOKUP($A1767,'Concrete Beam Schedule'!$A$2:$Q$2902,W$2,0)&lt;&gt;G1767,"Beam Revised","")</f>
        <v>#N/A</v>
      </c>
      <c r="X1767" s="7" t="e">
        <f>IF(VLOOKUP($A1767,'Concrete Beam Schedule'!$A$2:$Q$2902,X$2,0)&lt;&gt;H1767,"Beam Revised","")</f>
        <v>#N/A</v>
      </c>
      <c r="Y1767" s="7" t="e">
        <f>IF(VLOOKUP($A1767,'Concrete Beam Schedule'!$A$2:$Q$2902,Y$2,0)&lt;&gt;I1767,"Beam Revised","")</f>
        <v>#N/A</v>
      </c>
      <c r="Z1767" s="7" t="e">
        <f>IF(VLOOKUP($A1767,'Concrete Beam Schedule'!$A$2:$Q$2902,Z$2,0)&lt;&gt;J1767,"Beam Revised","")</f>
        <v>#N/A</v>
      </c>
      <c r="AA1767" s="7" t="e">
        <f>IF(VLOOKUP($A1767,'Concrete Beam Schedule'!$A$2:$Q$2902,AA$2,0)&lt;&gt;K1767,"Beam Revised","")</f>
        <v>#N/A</v>
      </c>
      <c r="AB1767" s="7" t="e">
        <f>IF(VLOOKUP($A1767,'Concrete Beam Schedule'!$A$2:$Q$2902,AB$2,0)&lt;&gt;L1767,"Beam Revised","")</f>
        <v>#N/A</v>
      </c>
      <c r="AC1767" s="7" t="e">
        <f>IF(VLOOKUP($A1767,'Concrete Beam Schedule'!$A$2:$Q$2902,AC$2,0)&lt;&gt;M1767,"Beam Revised","")</f>
        <v>#N/A</v>
      </c>
      <c r="AD1767" s="7" t="e">
        <f>IF(VLOOKUP($A1767,'Concrete Beam Schedule'!$A$2:$Q$2902,AD$2,0)&lt;&gt;N1767,"Beam Revised","")</f>
        <v>#N/A</v>
      </c>
      <c r="AE1767" s="7" t="e">
        <f>IF(VLOOKUP($A1767,'Concrete Beam Schedule'!$A$2:$Q$2902,AE$2,0)&lt;&gt;O1767,"Beam Revised","")</f>
        <v>#N/A</v>
      </c>
    </row>
    <row r="1768" spans="17:31" ht="20.100000000000001" customHeight="1" x14ac:dyDescent="0.25">
      <c r="Q1768" s="7">
        <f t="shared" si="27"/>
        <v>0</v>
      </c>
      <c r="R1768" s="7" t="e">
        <f>IF(VLOOKUP($A1768,'Concrete Beam Schedule'!$A$2:$Q$2902,R$2,0)&lt;&gt;B1768,VLOOKUP($A1768,'Concrete Beam Schedule'!$A$2:$Q$2902,R$2,0),"")</f>
        <v>#N/A</v>
      </c>
      <c r="S1768" s="7" t="e">
        <f>IF(VLOOKUP($A1768,'Concrete Beam Schedule'!$A$2:$Q$2902,S$2,0)&lt;&gt;C1768,VLOOKUP($A1768,'Concrete Beam Schedule'!$A$2:$Q$2902,S$2,0),"")</f>
        <v>#N/A</v>
      </c>
      <c r="T1768" s="7" t="e">
        <f>IF(VLOOKUP($A1768,'Concrete Beam Schedule'!$A$2:$Q$2902,T$2,0)&lt;&gt;D1768,"Beam Revised","")</f>
        <v>#N/A</v>
      </c>
      <c r="U1768" s="7" t="e">
        <f>IF(VLOOKUP($A1768,'Concrete Beam Schedule'!$A$2:$Q$2902,U$2,0)&lt;&gt;E1768,"Beam Revised","")</f>
        <v>#N/A</v>
      </c>
      <c r="V1768" s="7" t="e">
        <f>IF(VLOOKUP($A1768,'Concrete Beam Schedule'!$A$2:$Q$2902,V$2,0)&lt;&gt;F1768,"Beam Revised","")</f>
        <v>#N/A</v>
      </c>
      <c r="W1768" s="7" t="e">
        <f>IF(VLOOKUP($A1768,'Concrete Beam Schedule'!$A$2:$Q$2902,W$2,0)&lt;&gt;G1768,"Beam Revised","")</f>
        <v>#N/A</v>
      </c>
      <c r="X1768" s="7" t="e">
        <f>IF(VLOOKUP($A1768,'Concrete Beam Schedule'!$A$2:$Q$2902,X$2,0)&lt;&gt;H1768,"Beam Revised","")</f>
        <v>#N/A</v>
      </c>
      <c r="Y1768" s="7" t="e">
        <f>IF(VLOOKUP($A1768,'Concrete Beam Schedule'!$A$2:$Q$2902,Y$2,0)&lt;&gt;I1768,"Beam Revised","")</f>
        <v>#N/A</v>
      </c>
      <c r="Z1768" s="7" t="e">
        <f>IF(VLOOKUP($A1768,'Concrete Beam Schedule'!$A$2:$Q$2902,Z$2,0)&lt;&gt;J1768,"Beam Revised","")</f>
        <v>#N/A</v>
      </c>
      <c r="AA1768" s="7" t="e">
        <f>IF(VLOOKUP($A1768,'Concrete Beam Schedule'!$A$2:$Q$2902,AA$2,0)&lt;&gt;K1768,"Beam Revised","")</f>
        <v>#N/A</v>
      </c>
      <c r="AB1768" s="7" t="e">
        <f>IF(VLOOKUP($A1768,'Concrete Beam Schedule'!$A$2:$Q$2902,AB$2,0)&lt;&gt;L1768,"Beam Revised","")</f>
        <v>#N/A</v>
      </c>
      <c r="AC1768" s="7" t="e">
        <f>IF(VLOOKUP($A1768,'Concrete Beam Schedule'!$A$2:$Q$2902,AC$2,0)&lt;&gt;M1768,"Beam Revised","")</f>
        <v>#N/A</v>
      </c>
      <c r="AD1768" s="7" t="e">
        <f>IF(VLOOKUP($A1768,'Concrete Beam Schedule'!$A$2:$Q$2902,AD$2,0)&lt;&gt;N1768,"Beam Revised","")</f>
        <v>#N/A</v>
      </c>
      <c r="AE1768" s="7" t="e">
        <f>IF(VLOOKUP($A1768,'Concrete Beam Schedule'!$A$2:$Q$2902,AE$2,0)&lt;&gt;O1768,"Beam Revised","")</f>
        <v>#N/A</v>
      </c>
    </row>
    <row r="1769" spans="17:31" ht="20.100000000000001" customHeight="1" x14ac:dyDescent="0.25">
      <c r="Q1769" s="7">
        <f t="shared" si="27"/>
        <v>0</v>
      </c>
      <c r="R1769" s="7" t="e">
        <f>IF(VLOOKUP($A1769,'Concrete Beam Schedule'!$A$2:$Q$2902,R$2,0)&lt;&gt;B1769,VLOOKUP($A1769,'Concrete Beam Schedule'!$A$2:$Q$2902,R$2,0),"")</f>
        <v>#N/A</v>
      </c>
      <c r="S1769" s="7" t="e">
        <f>IF(VLOOKUP($A1769,'Concrete Beam Schedule'!$A$2:$Q$2902,S$2,0)&lt;&gt;C1769,VLOOKUP($A1769,'Concrete Beam Schedule'!$A$2:$Q$2902,S$2,0),"")</f>
        <v>#N/A</v>
      </c>
      <c r="T1769" s="7" t="e">
        <f>IF(VLOOKUP($A1769,'Concrete Beam Schedule'!$A$2:$Q$2902,T$2,0)&lt;&gt;D1769,"Beam Revised","")</f>
        <v>#N/A</v>
      </c>
      <c r="U1769" s="7" t="e">
        <f>IF(VLOOKUP($A1769,'Concrete Beam Schedule'!$A$2:$Q$2902,U$2,0)&lt;&gt;E1769,"Beam Revised","")</f>
        <v>#N/A</v>
      </c>
      <c r="V1769" s="7" t="e">
        <f>IF(VLOOKUP($A1769,'Concrete Beam Schedule'!$A$2:$Q$2902,V$2,0)&lt;&gt;F1769,"Beam Revised","")</f>
        <v>#N/A</v>
      </c>
      <c r="W1769" s="7" t="e">
        <f>IF(VLOOKUP($A1769,'Concrete Beam Schedule'!$A$2:$Q$2902,W$2,0)&lt;&gt;G1769,"Beam Revised","")</f>
        <v>#N/A</v>
      </c>
      <c r="X1769" s="7" t="e">
        <f>IF(VLOOKUP($A1769,'Concrete Beam Schedule'!$A$2:$Q$2902,X$2,0)&lt;&gt;H1769,"Beam Revised","")</f>
        <v>#N/A</v>
      </c>
      <c r="Y1769" s="7" t="e">
        <f>IF(VLOOKUP($A1769,'Concrete Beam Schedule'!$A$2:$Q$2902,Y$2,0)&lt;&gt;I1769,"Beam Revised","")</f>
        <v>#N/A</v>
      </c>
      <c r="Z1769" s="7" t="e">
        <f>IF(VLOOKUP($A1769,'Concrete Beam Schedule'!$A$2:$Q$2902,Z$2,0)&lt;&gt;J1769,"Beam Revised","")</f>
        <v>#N/A</v>
      </c>
      <c r="AA1769" s="7" t="e">
        <f>IF(VLOOKUP($A1769,'Concrete Beam Schedule'!$A$2:$Q$2902,AA$2,0)&lt;&gt;K1769,"Beam Revised","")</f>
        <v>#N/A</v>
      </c>
      <c r="AB1769" s="7" t="e">
        <f>IF(VLOOKUP($A1769,'Concrete Beam Schedule'!$A$2:$Q$2902,AB$2,0)&lt;&gt;L1769,"Beam Revised","")</f>
        <v>#N/A</v>
      </c>
      <c r="AC1769" s="7" t="e">
        <f>IF(VLOOKUP($A1769,'Concrete Beam Schedule'!$A$2:$Q$2902,AC$2,0)&lt;&gt;M1769,"Beam Revised","")</f>
        <v>#N/A</v>
      </c>
      <c r="AD1769" s="7" t="e">
        <f>IF(VLOOKUP($A1769,'Concrete Beam Schedule'!$A$2:$Q$2902,AD$2,0)&lt;&gt;N1769,"Beam Revised","")</f>
        <v>#N/A</v>
      </c>
      <c r="AE1769" s="7" t="e">
        <f>IF(VLOOKUP($A1769,'Concrete Beam Schedule'!$A$2:$Q$2902,AE$2,0)&lt;&gt;O1769,"Beam Revised","")</f>
        <v>#N/A</v>
      </c>
    </row>
    <row r="1770" spans="17:31" ht="20.100000000000001" customHeight="1" x14ac:dyDescent="0.25">
      <c r="Q1770" s="7">
        <f t="shared" si="27"/>
        <v>0</v>
      </c>
      <c r="R1770" s="7" t="e">
        <f>IF(VLOOKUP($A1770,'Concrete Beam Schedule'!$A$2:$Q$2902,R$2,0)&lt;&gt;B1770,VLOOKUP($A1770,'Concrete Beam Schedule'!$A$2:$Q$2902,R$2,0),"")</f>
        <v>#N/A</v>
      </c>
      <c r="S1770" s="7" t="e">
        <f>IF(VLOOKUP($A1770,'Concrete Beam Schedule'!$A$2:$Q$2902,S$2,0)&lt;&gt;C1770,VLOOKUP($A1770,'Concrete Beam Schedule'!$A$2:$Q$2902,S$2,0),"")</f>
        <v>#N/A</v>
      </c>
      <c r="T1770" s="7" t="e">
        <f>IF(VLOOKUP($A1770,'Concrete Beam Schedule'!$A$2:$Q$2902,T$2,0)&lt;&gt;D1770,"Beam Revised","")</f>
        <v>#N/A</v>
      </c>
      <c r="U1770" s="7" t="e">
        <f>IF(VLOOKUP($A1770,'Concrete Beam Schedule'!$A$2:$Q$2902,U$2,0)&lt;&gt;E1770,"Beam Revised","")</f>
        <v>#N/A</v>
      </c>
      <c r="V1770" s="7" t="e">
        <f>IF(VLOOKUP($A1770,'Concrete Beam Schedule'!$A$2:$Q$2902,V$2,0)&lt;&gt;F1770,"Beam Revised","")</f>
        <v>#N/A</v>
      </c>
      <c r="W1770" s="7" t="e">
        <f>IF(VLOOKUP($A1770,'Concrete Beam Schedule'!$A$2:$Q$2902,W$2,0)&lt;&gt;G1770,"Beam Revised","")</f>
        <v>#N/A</v>
      </c>
      <c r="X1770" s="7" t="e">
        <f>IF(VLOOKUP($A1770,'Concrete Beam Schedule'!$A$2:$Q$2902,X$2,0)&lt;&gt;H1770,"Beam Revised","")</f>
        <v>#N/A</v>
      </c>
      <c r="Y1770" s="7" t="e">
        <f>IF(VLOOKUP($A1770,'Concrete Beam Schedule'!$A$2:$Q$2902,Y$2,0)&lt;&gt;I1770,"Beam Revised","")</f>
        <v>#N/A</v>
      </c>
      <c r="Z1770" s="7" t="e">
        <f>IF(VLOOKUP($A1770,'Concrete Beam Schedule'!$A$2:$Q$2902,Z$2,0)&lt;&gt;J1770,"Beam Revised","")</f>
        <v>#N/A</v>
      </c>
      <c r="AA1770" s="7" t="e">
        <f>IF(VLOOKUP($A1770,'Concrete Beam Schedule'!$A$2:$Q$2902,AA$2,0)&lt;&gt;K1770,"Beam Revised","")</f>
        <v>#N/A</v>
      </c>
      <c r="AB1770" s="7" t="e">
        <f>IF(VLOOKUP($A1770,'Concrete Beam Schedule'!$A$2:$Q$2902,AB$2,0)&lt;&gt;L1770,"Beam Revised","")</f>
        <v>#N/A</v>
      </c>
      <c r="AC1770" s="7" t="e">
        <f>IF(VLOOKUP($A1770,'Concrete Beam Schedule'!$A$2:$Q$2902,AC$2,0)&lt;&gt;M1770,"Beam Revised","")</f>
        <v>#N/A</v>
      </c>
      <c r="AD1770" s="7" t="e">
        <f>IF(VLOOKUP($A1770,'Concrete Beam Schedule'!$A$2:$Q$2902,AD$2,0)&lt;&gt;N1770,"Beam Revised","")</f>
        <v>#N/A</v>
      </c>
      <c r="AE1770" s="7" t="e">
        <f>IF(VLOOKUP($A1770,'Concrete Beam Schedule'!$A$2:$Q$2902,AE$2,0)&lt;&gt;O1770,"Beam Revised","")</f>
        <v>#N/A</v>
      </c>
    </row>
    <row r="1771" spans="17:31" ht="20.100000000000001" customHeight="1" x14ac:dyDescent="0.25">
      <c r="Q1771" s="7">
        <f t="shared" si="27"/>
        <v>0</v>
      </c>
      <c r="R1771" s="7" t="e">
        <f>IF(VLOOKUP($A1771,'Concrete Beam Schedule'!$A$2:$Q$2902,R$2,0)&lt;&gt;B1771,VLOOKUP($A1771,'Concrete Beam Schedule'!$A$2:$Q$2902,R$2,0),"")</f>
        <v>#N/A</v>
      </c>
      <c r="S1771" s="7" t="e">
        <f>IF(VLOOKUP($A1771,'Concrete Beam Schedule'!$A$2:$Q$2902,S$2,0)&lt;&gt;C1771,VLOOKUP($A1771,'Concrete Beam Schedule'!$A$2:$Q$2902,S$2,0),"")</f>
        <v>#N/A</v>
      </c>
      <c r="T1771" s="7" t="e">
        <f>IF(VLOOKUP($A1771,'Concrete Beam Schedule'!$A$2:$Q$2902,T$2,0)&lt;&gt;D1771,"Beam Revised","")</f>
        <v>#N/A</v>
      </c>
      <c r="U1771" s="7" t="e">
        <f>IF(VLOOKUP($A1771,'Concrete Beam Schedule'!$A$2:$Q$2902,U$2,0)&lt;&gt;E1771,"Beam Revised","")</f>
        <v>#N/A</v>
      </c>
      <c r="V1771" s="7" t="e">
        <f>IF(VLOOKUP($A1771,'Concrete Beam Schedule'!$A$2:$Q$2902,V$2,0)&lt;&gt;F1771,"Beam Revised","")</f>
        <v>#N/A</v>
      </c>
      <c r="W1771" s="7" t="e">
        <f>IF(VLOOKUP($A1771,'Concrete Beam Schedule'!$A$2:$Q$2902,W$2,0)&lt;&gt;G1771,"Beam Revised","")</f>
        <v>#N/A</v>
      </c>
      <c r="X1771" s="7" t="e">
        <f>IF(VLOOKUP($A1771,'Concrete Beam Schedule'!$A$2:$Q$2902,X$2,0)&lt;&gt;H1771,"Beam Revised","")</f>
        <v>#N/A</v>
      </c>
      <c r="Y1771" s="7" t="e">
        <f>IF(VLOOKUP($A1771,'Concrete Beam Schedule'!$A$2:$Q$2902,Y$2,0)&lt;&gt;I1771,"Beam Revised","")</f>
        <v>#N/A</v>
      </c>
      <c r="Z1771" s="7" t="e">
        <f>IF(VLOOKUP($A1771,'Concrete Beam Schedule'!$A$2:$Q$2902,Z$2,0)&lt;&gt;J1771,"Beam Revised","")</f>
        <v>#N/A</v>
      </c>
      <c r="AA1771" s="7" t="e">
        <f>IF(VLOOKUP($A1771,'Concrete Beam Schedule'!$A$2:$Q$2902,AA$2,0)&lt;&gt;K1771,"Beam Revised","")</f>
        <v>#N/A</v>
      </c>
      <c r="AB1771" s="7" t="e">
        <f>IF(VLOOKUP($A1771,'Concrete Beam Schedule'!$A$2:$Q$2902,AB$2,0)&lt;&gt;L1771,"Beam Revised","")</f>
        <v>#N/A</v>
      </c>
      <c r="AC1771" s="7" t="e">
        <f>IF(VLOOKUP($A1771,'Concrete Beam Schedule'!$A$2:$Q$2902,AC$2,0)&lt;&gt;M1771,"Beam Revised","")</f>
        <v>#N/A</v>
      </c>
      <c r="AD1771" s="7" t="e">
        <f>IF(VLOOKUP($A1771,'Concrete Beam Schedule'!$A$2:$Q$2902,AD$2,0)&lt;&gt;N1771,"Beam Revised","")</f>
        <v>#N/A</v>
      </c>
      <c r="AE1771" s="7" t="e">
        <f>IF(VLOOKUP($A1771,'Concrete Beam Schedule'!$A$2:$Q$2902,AE$2,0)&lt;&gt;O1771,"Beam Revised","")</f>
        <v>#N/A</v>
      </c>
    </row>
    <row r="1772" spans="17:31" ht="20.100000000000001" customHeight="1" x14ac:dyDescent="0.25">
      <c r="Q1772" s="7">
        <f t="shared" si="27"/>
        <v>0</v>
      </c>
      <c r="R1772" s="7" t="e">
        <f>IF(VLOOKUP($A1772,'Concrete Beam Schedule'!$A$2:$Q$2902,R$2,0)&lt;&gt;B1772,VLOOKUP($A1772,'Concrete Beam Schedule'!$A$2:$Q$2902,R$2,0),"")</f>
        <v>#N/A</v>
      </c>
      <c r="S1772" s="7" t="e">
        <f>IF(VLOOKUP($A1772,'Concrete Beam Schedule'!$A$2:$Q$2902,S$2,0)&lt;&gt;C1772,VLOOKUP($A1772,'Concrete Beam Schedule'!$A$2:$Q$2902,S$2,0),"")</f>
        <v>#N/A</v>
      </c>
      <c r="T1772" s="7" t="e">
        <f>IF(VLOOKUP($A1772,'Concrete Beam Schedule'!$A$2:$Q$2902,T$2,0)&lt;&gt;D1772,"Beam Revised","")</f>
        <v>#N/A</v>
      </c>
      <c r="U1772" s="7" t="e">
        <f>IF(VLOOKUP($A1772,'Concrete Beam Schedule'!$A$2:$Q$2902,U$2,0)&lt;&gt;E1772,"Beam Revised","")</f>
        <v>#N/A</v>
      </c>
      <c r="V1772" s="7" t="e">
        <f>IF(VLOOKUP($A1772,'Concrete Beam Schedule'!$A$2:$Q$2902,V$2,0)&lt;&gt;F1772,"Beam Revised","")</f>
        <v>#N/A</v>
      </c>
      <c r="W1772" s="7" t="e">
        <f>IF(VLOOKUP($A1772,'Concrete Beam Schedule'!$A$2:$Q$2902,W$2,0)&lt;&gt;G1772,"Beam Revised","")</f>
        <v>#N/A</v>
      </c>
      <c r="X1772" s="7" t="e">
        <f>IF(VLOOKUP($A1772,'Concrete Beam Schedule'!$A$2:$Q$2902,X$2,0)&lt;&gt;H1772,"Beam Revised","")</f>
        <v>#N/A</v>
      </c>
      <c r="Y1772" s="7" t="e">
        <f>IF(VLOOKUP($A1772,'Concrete Beam Schedule'!$A$2:$Q$2902,Y$2,0)&lt;&gt;I1772,"Beam Revised","")</f>
        <v>#N/A</v>
      </c>
      <c r="Z1772" s="7" t="e">
        <f>IF(VLOOKUP($A1772,'Concrete Beam Schedule'!$A$2:$Q$2902,Z$2,0)&lt;&gt;J1772,"Beam Revised","")</f>
        <v>#N/A</v>
      </c>
      <c r="AA1772" s="7" t="e">
        <f>IF(VLOOKUP($A1772,'Concrete Beam Schedule'!$A$2:$Q$2902,AA$2,0)&lt;&gt;K1772,"Beam Revised","")</f>
        <v>#N/A</v>
      </c>
      <c r="AB1772" s="7" t="e">
        <f>IF(VLOOKUP($A1772,'Concrete Beam Schedule'!$A$2:$Q$2902,AB$2,0)&lt;&gt;L1772,"Beam Revised","")</f>
        <v>#N/A</v>
      </c>
      <c r="AC1772" s="7" t="e">
        <f>IF(VLOOKUP($A1772,'Concrete Beam Schedule'!$A$2:$Q$2902,AC$2,0)&lt;&gt;M1772,"Beam Revised","")</f>
        <v>#N/A</v>
      </c>
      <c r="AD1772" s="7" t="e">
        <f>IF(VLOOKUP($A1772,'Concrete Beam Schedule'!$A$2:$Q$2902,AD$2,0)&lt;&gt;N1772,"Beam Revised","")</f>
        <v>#N/A</v>
      </c>
      <c r="AE1772" s="7" t="e">
        <f>IF(VLOOKUP($A1772,'Concrete Beam Schedule'!$A$2:$Q$2902,AE$2,0)&lt;&gt;O1772,"Beam Revised","")</f>
        <v>#N/A</v>
      </c>
    </row>
    <row r="1773" spans="17:31" ht="20.100000000000001" customHeight="1" x14ac:dyDescent="0.25">
      <c r="Q1773" s="7">
        <f t="shared" si="27"/>
        <v>0</v>
      </c>
      <c r="R1773" s="7" t="e">
        <f>IF(VLOOKUP($A1773,'Concrete Beam Schedule'!$A$2:$Q$2902,R$2,0)&lt;&gt;B1773,VLOOKUP($A1773,'Concrete Beam Schedule'!$A$2:$Q$2902,R$2,0),"")</f>
        <v>#N/A</v>
      </c>
      <c r="S1773" s="7" t="e">
        <f>IF(VLOOKUP($A1773,'Concrete Beam Schedule'!$A$2:$Q$2902,S$2,0)&lt;&gt;C1773,VLOOKUP($A1773,'Concrete Beam Schedule'!$A$2:$Q$2902,S$2,0),"")</f>
        <v>#N/A</v>
      </c>
      <c r="T1773" s="7" t="e">
        <f>IF(VLOOKUP($A1773,'Concrete Beam Schedule'!$A$2:$Q$2902,T$2,0)&lt;&gt;D1773,"Beam Revised","")</f>
        <v>#N/A</v>
      </c>
      <c r="U1773" s="7" t="e">
        <f>IF(VLOOKUP($A1773,'Concrete Beam Schedule'!$A$2:$Q$2902,U$2,0)&lt;&gt;E1773,"Beam Revised","")</f>
        <v>#N/A</v>
      </c>
      <c r="V1773" s="7" t="e">
        <f>IF(VLOOKUP($A1773,'Concrete Beam Schedule'!$A$2:$Q$2902,V$2,0)&lt;&gt;F1773,"Beam Revised","")</f>
        <v>#N/A</v>
      </c>
      <c r="W1773" s="7" t="e">
        <f>IF(VLOOKUP($A1773,'Concrete Beam Schedule'!$A$2:$Q$2902,W$2,0)&lt;&gt;G1773,"Beam Revised","")</f>
        <v>#N/A</v>
      </c>
      <c r="X1773" s="7" t="e">
        <f>IF(VLOOKUP($A1773,'Concrete Beam Schedule'!$A$2:$Q$2902,X$2,0)&lt;&gt;H1773,"Beam Revised","")</f>
        <v>#N/A</v>
      </c>
      <c r="Y1773" s="7" t="e">
        <f>IF(VLOOKUP($A1773,'Concrete Beam Schedule'!$A$2:$Q$2902,Y$2,0)&lt;&gt;I1773,"Beam Revised","")</f>
        <v>#N/A</v>
      </c>
      <c r="Z1773" s="7" t="e">
        <f>IF(VLOOKUP($A1773,'Concrete Beam Schedule'!$A$2:$Q$2902,Z$2,0)&lt;&gt;J1773,"Beam Revised","")</f>
        <v>#N/A</v>
      </c>
      <c r="AA1773" s="7" t="e">
        <f>IF(VLOOKUP($A1773,'Concrete Beam Schedule'!$A$2:$Q$2902,AA$2,0)&lt;&gt;K1773,"Beam Revised","")</f>
        <v>#N/A</v>
      </c>
      <c r="AB1773" s="7" t="e">
        <f>IF(VLOOKUP($A1773,'Concrete Beam Schedule'!$A$2:$Q$2902,AB$2,0)&lt;&gt;L1773,"Beam Revised","")</f>
        <v>#N/A</v>
      </c>
      <c r="AC1773" s="7" t="e">
        <f>IF(VLOOKUP($A1773,'Concrete Beam Schedule'!$A$2:$Q$2902,AC$2,0)&lt;&gt;M1773,"Beam Revised","")</f>
        <v>#N/A</v>
      </c>
      <c r="AD1773" s="7" t="e">
        <f>IF(VLOOKUP($A1773,'Concrete Beam Schedule'!$A$2:$Q$2902,AD$2,0)&lt;&gt;N1773,"Beam Revised","")</f>
        <v>#N/A</v>
      </c>
      <c r="AE1773" s="7" t="e">
        <f>IF(VLOOKUP($A1773,'Concrete Beam Schedule'!$A$2:$Q$2902,AE$2,0)&lt;&gt;O1773,"Beam Revised","")</f>
        <v>#N/A</v>
      </c>
    </row>
    <row r="1774" spans="17:31" ht="20.100000000000001" customHeight="1" x14ac:dyDescent="0.25">
      <c r="Q1774" s="7">
        <f t="shared" si="27"/>
        <v>0</v>
      </c>
      <c r="R1774" s="7" t="e">
        <f>IF(VLOOKUP($A1774,'Concrete Beam Schedule'!$A$2:$Q$2902,R$2,0)&lt;&gt;B1774,VLOOKUP($A1774,'Concrete Beam Schedule'!$A$2:$Q$2902,R$2,0),"")</f>
        <v>#N/A</v>
      </c>
      <c r="S1774" s="7" t="e">
        <f>IF(VLOOKUP($A1774,'Concrete Beam Schedule'!$A$2:$Q$2902,S$2,0)&lt;&gt;C1774,VLOOKUP($A1774,'Concrete Beam Schedule'!$A$2:$Q$2902,S$2,0),"")</f>
        <v>#N/A</v>
      </c>
      <c r="T1774" s="7" t="e">
        <f>IF(VLOOKUP($A1774,'Concrete Beam Schedule'!$A$2:$Q$2902,T$2,0)&lt;&gt;D1774,"Beam Revised","")</f>
        <v>#N/A</v>
      </c>
      <c r="U1774" s="7" t="e">
        <f>IF(VLOOKUP($A1774,'Concrete Beam Schedule'!$A$2:$Q$2902,U$2,0)&lt;&gt;E1774,"Beam Revised","")</f>
        <v>#N/A</v>
      </c>
      <c r="V1774" s="7" t="e">
        <f>IF(VLOOKUP($A1774,'Concrete Beam Schedule'!$A$2:$Q$2902,V$2,0)&lt;&gt;F1774,"Beam Revised","")</f>
        <v>#N/A</v>
      </c>
      <c r="W1774" s="7" t="e">
        <f>IF(VLOOKUP($A1774,'Concrete Beam Schedule'!$A$2:$Q$2902,W$2,0)&lt;&gt;G1774,"Beam Revised","")</f>
        <v>#N/A</v>
      </c>
      <c r="X1774" s="7" t="e">
        <f>IF(VLOOKUP($A1774,'Concrete Beam Schedule'!$A$2:$Q$2902,X$2,0)&lt;&gt;H1774,"Beam Revised","")</f>
        <v>#N/A</v>
      </c>
      <c r="Y1774" s="7" t="e">
        <f>IF(VLOOKUP($A1774,'Concrete Beam Schedule'!$A$2:$Q$2902,Y$2,0)&lt;&gt;I1774,"Beam Revised","")</f>
        <v>#N/A</v>
      </c>
      <c r="Z1774" s="7" t="e">
        <f>IF(VLOOKUP($A1774,'Concrete Beam Schedule'!$A$2:$Q$2902,Z$2,0)&lt;&gt;J1774,"Beam Revised","")</f>
        <v>#N/A</v>
      </c>
      <c r="AA1774" s="7" t="e">
        <f>IF(VLOOKUP($A1774,'Concrete Beam Schedule'!$A$2:$Q$2902,AA$2,0)&lt;&gt;K1774,"Beam Revised","")</f>
        <v>#N/A</v>
      </c>
      <c r="AB1774" s="7" t="e">
        <f>IF(VLOOKUP($A1774,'Concrete Beam Schedule'!$A$2:$Q$2902,AB$2,0)&lt;&gt;L1774,"Beam Revised","")</f>
        <v>#N/A</v>
      </c>
      <c r="AC1774" s="7" t="e">
        <f>IF(VLOOKUP($A1774,'Concrete Beam Schedule'!$A$2:$Q$2902,AC$2,0)&lt;&gt;M1774,"Beam Revised","")</f>
        <v>#N/A</v>
      </c>
      <c r="AD1774" s="7" t="e">
        <f>IF(VLOOKUP($A1774,'Concrete Beam Schedule'!$A$2:$Q$2902,AD$2,0)&lt;&gt;N1774,"Beam Revised","")</f>
        <v>#N/A</v>
      </c>
      <c r="AE1774" s="7" t="e">
        <f>IF(VLOOKUP($A1774,'Concrete Beam Schedule'!$A$2:$Q$2902,AE$2,0)&lt;&gt;O1774,"Beam Revised","")</f>
        <v>#N/A</v>
      </c>
    </row>
    <row r="1775" spans="17:31" ht="20.100000000000001" customHeight="1" x14ac:dyDescent="0.25">
      <c r="Q1775" s="7">
        <f t="shared" si="27"/>
        <v>0</v>
      </c>
      <c r="R1775" s="7" t="e">
        <f>IF(VLOOKUP($A1775,'Concrete Beam Schedule'!$A$2:$Q$2902,R$2,0)&lt;&gt;B1775,VLOOKUP($A1775,'Concrete Beam Schedule'!$A$2:$Q$2902,R$2,0),"")</f>
        <v>#N/A</v>
      </c>
      <c r="S1775" s="7" t="e">
        <f>IF(VLOOKUP($A1775,'Concrete Beam Schedule'!$A$2:$Q$2902,S$2,0)&lt;&gt;C1775,VLOOKUP($A1775,'Concrete Beam Schedule'!$A$2:$Q$2902,S$2,0),"")</f>
        <v>#N/A</v>
      </c>
      <c r="T1775" s="7" t="e">
        <f>IF(VLOOKUP($A1775,'Concrete Beam Schedule'!$A$2:$Q$2902,T$2,0)&lt;&gt;D1775,"Beam Revised","")</f>
        <v>#N/A</v>
      </c>
      <c r="U1775" s="7" t="e">
        <f>IF(VLOOKUP($A1775,'Concrete Beam Schedule'!$A$2:$Q$2902,U$2,0)&lt;&gt;E1775,"Beam Revised","")</f>
        <v>#N/A</v>
      </c>
      <c r="V1775" s="7" t="e">
        <f>IF(VLOOKUP($A1775,'Concrete Beam Schedule'!$A$2:$Q$2902,V$2,0)&lt;&gt;F1775,"Beam Revised","")</f>
        <v>#N/A</v>
      </c>
      <c r="W1775" s="7" t="e">
        <f>IF(VLOOKUP($A1775,'Concrete Beam Schedule'!$A$2:$Q$2902,W$2,0)&lt;&gt;G1775,"Beam Revised","")</f>
        <v>#N/A</v>
      </c>
      <c r="X1775" s="7" t="e">
        <f>IF(VLOOKUP($A1775,'Concrete Beam Schedule'!$A$2:$Q$2902,X$2,0)&lt;&gt;H1775,"Beam Revised","")</f>
        <v>#N/A</v>
      </c>
      <c r="Y1775" s="7" t="e">
        <f>IF(VLOOKUP($A1775,'Concrete Beam Schedule'!$A$2:$Q$2902,Y$2,0)&lt;&gt;I1775,"Beam Revised","")</f>
        <v>#N/A</v>
      </c>
      <c r="Z1775" s="7" t="e">
        <f>IF(VLOOKUP($A1775,'Concrete Beam Schedule'!$A$2:$Q$2902,Z$2,0)&lt;&gt;J1775,"Beam Revised","")</f>
        <v>#N/A</v>
      </c>
      <c r="AA1775" s="7" t="e">
        <f>IF(VLOOKUP($A1775,'Concrete Beam Schedule'!$A$2:$Q$2902,AA$2,0)&lt;&gt;K1775,"Beam Revised","")</f>
        <v>#N/A</v>
      </c>
      <c r="AB1775" s="7" t="e">
        <f>IF(VLOOKUP($A1775,'Concrete Beam Schedule'!$A$2:$Q$2902,AB$2,0)&lt;&gt;L1775,"Beam Revised","")</f>
        <v>#N/A</v>
      </c>
      <c r="AC1775" s="7" t="e">
        <f>IF(VLOOKUP($A1775,'Concrete Beam Schedule'!$A$2:$Q$2902,AC$2,0)&lt;&gt;M1775,"Beam Revised","")</f>
        <v>#N/A</v>
      </c>
      <c r="AD1775" s="7" t="e">
        <f>IF(VLOOKUP($A1775,'Concrete Beam Schedule'!$A$2:$Q$2902,AD$2,0)&lt;&gt;N1775,"Beam Revised","")</f>
        <v>#N/A</v>
      </c>
      <c r="AE1775" s="7" t="e">
        <f>IF(VLOOKUP($A1775,'Concrete Beam Schedule'!$A$2:$Q$2902,AE$2,0)&lt;&gt;O1775,"Beam Revised","")</f>
        <v>#N/A</v>
      </c>
    </row>
    <row r="1776" spans="17:31" ht="20.100000000000001" customHeight="1" x14ac:dyDescent="0.25">
      <c r="Q1776" s="7">
        <f t="shared" si="27"/>
        <v>0</v>
      </c>
      <c r="R1776" s="7" t="e">
        <f>IF(VLOOKUP($A1776,'Concrete Beam Schedule'!$A$2:$Q$2902,R$2,0)&lt;&gt;B1776,VLOOKUP($A1776,'Concrete Beam Schedule'!$A$2:$Q$2902,R$2,0),"")</f>
        <v>#N/A</v>
      </c>
      <c r="S1776" s="7" t="e">
        <f>IF(VLOOKUP($A1776,'Concrete Beam Schedule'!$A$2:$Q$2902,S$2,0)&lt;&gt;C1776,VLOOKUP($A1776,'Concrete Beam Schedule'!$A$2:$Q$2902,S$2,0),"")</f>
        <v>#N/A</v>
      </c>
      <c r="T1776" s="7" t="e">
        <f>IF(VLOOKUP($A1776,'Concrete Beam Schedule'!$A$2:$Q$2902,T$2,0)&lt;&gt;D1776,"Beam Revised","")</f>
        <v>#N/A</v>
      </c>
      <c r="U1776" s="7" t="e">
        <f>IF(VLOOKUP($A1776,'Concrete Beam Schedule'!$A$2:$Q$2902,U$2,0)&lt;&gt;E1776,"Beam Revised","")</f>
        <v>#N/A</v>
      </c>
      <c r="V1776" s="7" t="e">
        <f>IF(VLOOKUP($A1776,'Concrete Beam Schedule'!$A$2:$Q$2902,V$2,0)&lt;&gt;F1776,"Beam Revised","")</f>
        <v>#N/A</v>
      </c>
      <c r="W1776" s="7" t="e">
        <f>IF(VLOOKUP($A1776,'Concrete Beam Schedule'!$A$2:$Q$2902,W$2,0)&lt;&gt;G1776,"Beam Revised","")</f>
        <v>#N/A</v>
      </c>
      <c r="X1776" s="7" t="e">
        <f>IF(VLOOKUP($A1776,'Concrete Beam Schedule'!$A$2:$Q$2902,X$2,0)&lt;&gt;H1776,"Beam Revised","")</f>
        <v>#N/A</v>
      </c>
      <c r="Y1776" s="7" t="e">
        <f>IF(VLOOKUP($A1776,'Concrete Beam Schedule'!$A$2:$Q$2902,Y$2,0)&lt;&gt;I1776,"Beam Revised","")</f>
        <v>#N/A</v>
      </c>
      <c r="Z1776" s="7" t="e">
        <f>IF(VLOOKUP($A1776,'Concrete Beam Schedule'!$A$2:$Q$2902,Z$2,0)&lt;&gt;J1776,"Beam Revised","")</f>
        <v>#N/A</v>
      </c>
      <c r="AA1776" s="7" t="e">
        <f>IF(VLOOKUP($A1776,'Concrete Beam Schedule'!$A$2:$Q$2902,AA$2,0)&lt;&gt;K1776,"Beam Revised","")</f>
        <v>#N/A</v>
      </c>
      <c r="AB1776" s="7" t="e">
        <f>IF(VLOOKUP($A1776,'Concrete Beam Schedule'!$A$2:$Q$2902,AB$2,0)&lt;&gt;L1776,"Beam Revised","")</f>
        <v>#N/A</v>
      </c>
      <c r="AC1776" s="7" t="e">
        <f>IF(VLOOKUP($A1776,'Concrete Beam Schedule'!$A$2:$Q$2902,AC$2,0)&lt;&gt;M1776,"Beam Revised","")</f>
        <v>#N/A</v>
      </c>
      <c r="AD1776" s="7" t="e">
        <f>IF(VLOOKUP($A1776,'Concrete Beam Schedule'!$A$2:$Q$2902,AD$2,0)&lt;&gt;N1776,"Beam Revised","")</f>
        <v>#N/A</v>
      </c>
      <c r="AE1776" s="7" t="e">
        <f>IF(VLOOKUP($A1776,'Concrete Beam Schedule'!$A$2:$Q$2902,AE$2,0)&lt;&gt;O1776,"Beam Revised","")</f>
        <v>#N/A</v>
      </c>
    </row>
    <row r="1777" spans="17:31" ht="20.100000000000001" customHeight="1" x14ac:dyDescent="0.25">
      <c r="Q1777" s="7">
        <f t="shared" si="27"/>
        <v>0</v>
      </c>
      <c r="R1777" s="7" t="e">
        <f>IF(VLOOKUP($A1777,'Concrete Beam Schedule'!$A$2:$Q$2902,R$2,0)&lt;&gt;B1777,VLOOKUP($A1777,'Concrete Beam Schedule'!$A$2:$Q$2902,R$2,0),"")</f>
        <v>#N/A</v>
      </c>
      <c r="S1777" s="7" t="e">
        <f>IF(VLOOKUP($A1777,'Concrete Beam Schedule'!$A$2:$Q$2902,S$2,0)&lt;&gt;C1777,VLOOKUP($A1777,'Concrete Beam Schedule'!$A$2:$Q$2902,S$2,0),"")</f>
        <v>#N/A</v>
      </c>
      <c r="T1777" s="7" t="e">
        <f>IF(VLOOKUP($A1777,'Concrete Beam Schedule'!$A$2:$Q$2902,T$2,0)&lt;&gt;D1777,"Beam Revised","")</f>
        <v>#N/A</v>
      </c>
      <c r="U1777" s="7" t="e">
        <f>IF(VLOOKUP($A1777,'Concrete Beam Schedule'!$A$2:$Q$2902,U$2,0)&lt;&gt;E1777,"Beam Revised","")</f>
        <v>#N/A</v>
      </c>
      <c r="V1777" s="7" t="e">
        <f>IF(VLOOKUP($A1777,'Concrete Beam Schedule'!$A$2:$Q$2902,V$2,0)&lt;&gt;F1777,"Beam Revised","")</f>
        <v>#N/A</v>
      </c>
      <c r="W1777" s="7" t="e">
        <f>IF(VLOOKUP($A1777,'Concrete Beam Schedule'!$A$2:$Q$2902,W$2,0)&lt;&gt;G1777,"Beam Revised","")</f>
        <v>#N/A</v>
      </c>
      <c r="X1777" s="7" t="e">
        <f>IF(VLOOKUP($A1777,'Concrete Beam Schedule'!$A$2:$Q$2902,X$2,0)&lt;&gt;H1777,"Beam Revised","")</f>
        <v>#N/A</v>
      </c>
      <c r="Y1777" s="7" t="e">
        <f>IF(VLOOKUP($A1777,'Concrete Beam Schedule'!$A$2:$Q$2902,Y$2,0)&lt;&gt;I1777,"Beam Revised","")</f>
        <v>#N/A</v>
      </c>
      <c r="Z1777" s="7" t="e">
        <f>IF(VLOOKUP($A1777,'Concrete Beam Schedule'!$A$2:$Q$2902,Z$2,0)&lt;&gt;J1777,"Beam Revised","")</f>
        <v>#N/A</v>
      </c>
      <c r="AA1777" s="7" t="e">
        <f>IF(VLOOKUP($A1777,'Concrete Beam Schedule'!$A$2:$Q$2902,AA$2,0)&lt;&gt;K1777,"Beam Revised","")</f>
        <v>#N/A</v>
      </c>
      <c r="AB1777" s="7" t="e">
        <f>IF(VLOOKUP($A1777,'Concrete Beam Schedule'!$A$2:$Q$2902,AB$2,0)&lt;&gt;L1777,"Beam Revised","")</f>
        <v>#N/A</v>
      </c>
      <c r="AC1777" s="7" t="e">
        <f>IF(VLOOKUP($A1777,'Concrete Beam Schedule'!$A$2:$Q$2902,AC$2,0)&lt;&gt;M1777,"Beam Revised","")</f>
        <v>#N/A</v>
      </c>
      <c r="AD1777" s="7" t="e">
        <f>IF(VLOOKUP($A1777,'Concrete Beam Schedule'!$A$2:$Q$2902,AD$2,0)&lt;&gt;N1777,"Beam Revised","")</f>
        <v>#N/A</v>
      </c>
      <c r="AE1777" s="7" t="e">
        <f>IF(VLOOKUP($A1777,'Concrete Beam Schedule'!$A$2:$Q$2902,AE$2,0)&lt;&gt;O1777,"Beam Revised","")</f>
        <v>#N/A</v>
      </c>
    </row>
    <row r="1778" spans="17:31" ht="20.100000000000001" customHeight="1" x14ac:dyDescent="0.25">
      <c r="Q1778" s="7">
        <f t="shared" si="27"/>
        <v>0</v>
      </c>
      <c r="R1778" s="7" t="e">
        <f>IF(VLOOKUP($A1778,'Concrete Beam Schedule'!$A$2:$Q$2902,R$2,0)&lt;&gt;B1778,VLOOKUP($A1778,'Concrete Beam Schedule'!$A$2:$Q$2902,R$2,0),"")</f>
        <v>#N/A</v>
      </c>
      <c r="S1778" s="7" t="e">
        <f>IF(VLOOKUP($A1778,'Concrete Beam Schedule'!$A$2:$Q$2902,S$2,0)&lt;&gt;C1778,VLOOKUP($A1778,'Concrete Beam Schedule'!$A$2:$Q$2902,S$2,0),"")</f>
        <v>#N/A</v>
      </c>
      <c r="T1778" s="7" t="e">
        <f>IF(VLOOKUP($A1778,'Concrete Beam Schedule'!$A$2:$Q$2902,T$2,0)&lt;&gt;D1778,"Beam Revised","")</f>
        <v>#N/A</v>
      </c>
      <c r="U1778" s="7" t="e">
        <f>IF(VLOOKUP($A1778,'Concrete Beam Schedule'!$A$2:$Q$2902,U$2,0)&lt;&gt;E1778,"Beam Revised","")</f>
        <v>#N/A</v>
      </c>
      <c r="V1778" s="7" t="e">
        <f>IF(VLOOKUP($A1778,'Concrete Beam Schedule'!$A$2:$Q$2902,V$2,0)&lt;&gt;F1778,"Beam Revised","")</f>
        <v>#N/A</v>
      </c>
      <c r="W1778" s="7" t="e">
        <f>IF(VLOOKUP($A1778,'Concrete Beam Schedule'!$A$2:$Q$2902,W$2,0)&lt;&gt;G1778,"Beam Revised","")</f>
        <v>#N/A</v>
      </c>
      <c r="X1778" s="7" t="e">
        <f>IF(VLOOKUP($A1778,'Concrete Beam Schedule'!$A$2:$Q$2902,X$2,0)&lt;&gt;H1778,"Beam Revised","")</f>
        <v>#N/A</v>
      </c>
      <c r="Y1778" s="7" t="e">
        <f>IF(VLOOKUP($A1778,'Concrete Beam Schedule'!$A$2:$Q$2902,Y$2,0)&lt;&gt;I1778,"Beam Revised","")</f>
        <v>#N/A</v>
      </c>
      <c r="Z1778" s="7" t="e">
        <f>IF(VLOOKUP($A1778,'Concrete Beam Schedule'!$A$2:$Q$2902,Z$2,0)&lt;&gt;J1778,"Beam Revised","")</f>
        <v>#N/A</v>
      </c>
      <c r="AA1778" s="7" t="e">
        <f>IF(VLOOKUP($A1778,'Concrete Beam Schedule'!$A$2:$Q$2902,AA$2,0)&lt;&gt;K1778,"Beam Revised","")</f>
        <v>#N/A</v>
      </c>
      <c r="AB1778" s="7" t="e">
        <f>IF(VLOOKUP($A1778,'Concrete Beam Schedule'!$A$2:$Q$2902,AB$2,0)&lt;&gt;L1778,"Beam Revised","")</f>
        <v>#N/A</v>
      </c>
      <c r="AC1778" s="7" t="e">
        <f>IF(VLOOKUP($A1778,'Concrete Beam Schedule'!$A$2:$Q$2902,AC$2,0)&lt;&gt;M1778,"Beam Revised","")</f>
        <v>#N/A</v>
      </c>
      <c r="AD1778" s="7" t="e">
        <f>IF(VLOOKUP($A1778,'Concrete Beam Schedule'!$A$2:$Q$2902,AD$2,0)&lt;&gt;N1778,"Beam Revised","")</f>
        <v>#N/A</v>
      </c>
      <c r="AE1778" s="7" t="e">
        <f>IF(VLOOKUP($A1778,'Concrete Beam Schedule'!$A$2:$Q$2902,AE$2,0)&lt;&gt;O1778,"Beam Revised","")</f>
        <v>#N/A</v>
      </c>
    </row>
    <row r="1779" spans="17:31" ht="20.100000000000001" customHeight="1" x14ac:dyDescent="0.25">
      <c r="Q1779" s="7">
        <f t="shared" si="27"/>
        <v>0</v>
      </c>
      <c r="R1779" s="7" t="e">
        <f>IF(VLOOKUP($A1779,'Concrete Beam Schedule'!$A$2:$Q$2902,R$2,0)&lt;&gt;B1779,VLOOKUP($A1779,'Concrete Beam Schedule'!$A$2:$Q$2902,R$2,0),"")</f>
        <v>#N/A</v>
      </c>
      <c r="S1779" s="7" t="e">
        <f>IF(VLOOKUP($A1779,'Concrete Beam Schedule'!$A$2:$Q$2902,S$2,0)&lt;&gt;C1779,VLOOKUP($A1779,'Concrete Beam Schedule'!$A$2:$Q$2902,S$2,0),"")</f>
        <v>#N/A</v>
      </c>
      <c r="T1779" s="7" t="e">
        <f>IF(VLOOKUP($A1779,'Concrete Beam Schedule'!$A$2:$Q$2902,T$2,0)&lt;&gt;D1779,"Beam Revised","")</f>
        <v>#N/A</v>
      </c>
      <c r="U1779" s="7" t="e">
        <f>IF(VLOOKUP($A1779,'Concrete Beam Schedule'!$A$2:$Q$2902,U$2,0)&lt;&gt;E1779,"Beam Revised","")</f>
        <v>#N/A</v>
      </c>
      <c r="V1779" s="7" t="e">
        <f>IF(VLOOKUP($A1779,'Concrete Beam Schedule'!$A$2:$Q$2902,V$2,0)&lt;&gt;F1779,"Beam Revised","")</f>
        <v>#N/A</v>
      </c>
      <c r="W1779" s="7" t="e">
        <f>IF(VLOOKUP($A1779,'Concrete Beam Schedule'!$A$2:$Q$2902,W$2,0)&lt;&gt;G1779,"Beam Revised","")</f>
        <v>#N/A</v>
      </c>
      <c r="X1779" s="7" t="e">
        <f>IF(VLOOKUP($A1779,'Concrete Beam Schedule'!$A$2:$Q$2902,X$2,0)&lt;&gt;H1779,"Beam Revised","")</f>
        <v>#N/A</v>
      </c>
      <c r="Y1779" s="7" t="e">
        <f>IF(VLOOKUP($A1779,'Concrete Beam Schedule'!$A$2:$Q$2902,Y$2,0)&lt;&gt;I1779,"Beam Revised","")</f>
        <v>#N/A</v>
      </c>
      <c r="Z1779" s="7" t="e">
        <f>IF(VLOOKUP($A1779,'Concrete Beam Schedule'!$A$2:$Q$2902,Z$2,0)&lt;&gt;J1779,"Beam Revised","")</f>
        <v>#N/A</v>
      </c>
      <c r="AA1779" s="7" t="e">
        <f>IF(VLOOKUP($A1779,'Concrete Beam Schedule'!$A$2:$Q$2902,AA$2,0)&lt;&gt;K1779,"Beam Revised","")</f>
        <v>#N/A</v>
      </c>
      <c r="AB1779" s="7" t="e">
        <f>IF(VLOOKUP($A1779,'Concrete Beam Schedule'!$A$2:$Q$2902,AB$2,0)&lt;&gt;L1779,"Beam Revised","")</f>
        <v>#N/A</v>
      </c>
      <c r="AC1779" s="7" t="e">
        <f>IF(VLOOKUP($A1779,'Concrete Beam Schedule'!$A$2:$Q$2902,AC$2,0)&lt;&gt;M1779,"Beam Revised","")</f>
        <v>#N/A</v>
      </c>
      <c r="AD1779" s="7" t="e">
        <f>IF(VLOOKUP($A1779,'Concrete Beam Schedule'!$A$2:$Q$2902,AD$2,0)&lt;&gt;N1779,"Beam Revised","")</f>
        <v>#N/A</v>
      </c>
      <c r="AE1779" s="7" t="e">
        <f>IF(VLOOKUP($A1779,'Concrete Beam Schedule'!$A$2:$Q$2902,AE$2,0)&lt;&gt;O1779,"Beam Revised","")</f>
        <v>#N/A</v>
      </c>
    </row>
    <row r="1780" spans="17:31" ht="20.100000000000001" customHeight="1" x14ac:dyDescent="0.25">
      <c r="Q1780" s="7">
        <f t="shared" si="27"/>
        <v>0</v>
      </c>
      <c r="R1780" s="7" t="e">
        <f>IF(VLOOKUP($A1780,'Concrete Beam Schedule'!$A$2:$Q$2902,R$2,0)&lt;&gt;B1780,VLOOKUP($A1780,'Concrete Beam Schedule'!$A$2:$Q$2902,R$2,0),"")</f>
        <v>#N/A</v>
      </c>
      <c r="S1780" s="7" t="e">
        <f>IF(VLOOKUP($A1780,'Concrete Beam Schedule'!$A$2:$Q$2902,S$2,0)&lt;&gt;C1780,VLOOKUP($A1780,'Concrete Beam Schedule'!$A$2:$Q$2902,S$2,0),"")</f>
        <v>#N/A</v>
      </c>
      <c r="T1780" s="7" t="e">
        <f>IF(VLOOKUP($A1780,'Concrete Beam Schedule'!$A$2:$Q$2902,T$2,0)&lt;&gt;D1780,"Beam Revised","")</f>
        <v>#N/A</v>
      </c>
      <c r="U1780" s="7" t="e">
        <f>IF(VLOOKUP($A1780,'Concrete Beam Schedule'!$A$2:$Q$2902,U$2,0)&lt;&gt;E1780,"Beam Revised","")</f>
        <v>#N/A</v>
      </c>
      <c r="V1780" s="7" t="e">
        <f>IF(VLOOKUP($A1780,'Concrete Beam Schedule'!$A$2:$Q$2902,V$2,0)&lt;&gt;F1780,"Beam Revised","")</f>
        <v>#N/A</v>
      </c>
      <c r="W1780" s="7" t="e">
        <f>IF(VLOOKUP($A1780,'Concrete Beam Schedule'!$A$2:$Q$2902,W$2,0)&lt;&gt;G1780,"Beam Revised","")</f>
        <v>#N/A</v>
      </c>
      <c r="X1780" s="7" t="e">
        <f>IF(VLOOKUP($A1780,'Concrete Beam Schedule'!$A$2:$Q$2902,X$2,0)&lt;&gt;H1780,"Beam Revised","")</f>
        <v>#N/A</v>
      </c>
      <c r="Y1780" s="7" t="e">
        <f>IF(VLOOKUP($A1780,'Concrete Beam Schedule'!$A$2:$Q$2902,Y$2,0)&lt;&gt;I1780,"Beam Revised","")</f>
        <v>#N/A</v>
      </c>
      <c r="Z1780" s="7" t="e">
        <f>IF(VLOOKUP($A1780,'Concrete Beam Schedule'!$A$2:$Q$2902,Z$2,0)&lt;&gt;J1780,"Beam Revised","")</f>
        <v>#N/A</v>
      </c>
      <c r="AA1780" s="7" t="e">
        <f>IF(VLOOKUP($A1780,'Concrete Beam Schedule'!$A$2:$Q$2902,AA$2,0)&lt;&gt;K1780,"Beam Revised","")</f>
        <v>#N/A</v>
      </c>
      <c r="AB1780" s="7" t="e">
        <f>IF(VLOOKUP($A1780,'Concrete Beam Schedule'!$A$2:$Q$2902,AB$2,0)&lt;&gt;L1780,"Beam Revised","")</f>
        <v>#N/A</v>
      </c>
      <c r="AC1780" s="7" t="e">
        <f>IF(VLOOKUP($A1780,'Concrete Beam Schedule'!$A$2:$Q$2902,AC$2,0)&lt;&gt;M1780,"Beam Revised","")</f>
        <v>#N/A</v>
      </c>
      <c r="AD1780" s="7" t="e">
        <f>IF(VLOOKUP($A1780,'Concrete Beam Schedule'!$A$2:$Q$2902,AD$2,0)&lt;&gt;N1780,"Beam Revised","")</f>
        <v>#N/A</v>
      </c>
      <c r="AE1780" s="7" t="e">
        <f>IF(VLOOKUP($A1780,'Concrete Beam Schedule'!$A$2:$Q$2902,AE$2,0)&lt;&gt;O1780,"Beam Revised","")</f>
        <v>#N/A</v>
      </c>
    </row>
    <row r="1781" spans="17:31" ht="20.100000000000001" customHeight="1" x14ac:dyDescent="0.25">
      <c r="Q1781" s="7">
        <f t="shared" si="27"/>
        <v>0</v>
      </c>
      <c r="R1781" s="7" t="e">
        <f>IF(VLOOKUP($A1781,'Concrete Beam Schedule'!$A$2:$Q$2902,R$2,0)&lt;&gt;B1781,VLOOKUP($A1781,'Concrete Beam Schedule'!$A$2:$Q$2902,R$2,0),"")</f>
        <v>#N/A</v>
      </c>
      <c r="S1781" s="7" t="e">
        <f>IF(VLOOKUP($A1781,'Concrete Beam Schedule'!$A$2:$Q$2902,S$2,0)&lt;&gt;C1781,VLOOKUP($A1781,'Concrete Beam Schedule'!$A$2:$Q$2902,S$2,0),"")</f>
        <v>#N/A</v>
      </c>
      <c r="T1781" s="7" t="e">
        <f>IF(VLOOKUP($A1781,'Concrete Beam Schedule'!$A$2:$Q$2902,T$2,0)&lt;&gt;D1781,"Beam Revised","")</f>
        <v>#N/A</v>
      </c>
      <c r="U1781" s="7" t="e">
        <f>IF(VLOOKUP($A1781,'Concrete Beam Schedule'!$A$2:$Q$2902,U$2,0)&lt;&gt;E1781,"Beam Revised","")</f>
        <v>#N/A</v>
      </c>
      <c r="V1781" s="7" t="e">
        <f>IF(VLOOKUP($A1781,'Concrete Beam Schedule'!$A$2:$Q$2902,V$2,0)&lt;&gt;F1781,"Beam Revised","")</f>
        <v>#N/A</v>
      </c>
      <c r="W1781" s="7" t="e">
        <f>IF(VLOOKUP($A1781,'Concrete Beam Schedule'!$A$2:$Q$2902,W$2,0)&lt;&gt;G1781,"Beam Revised","")</f>
        <v>#N/A</v>
      </c>
      <c r="X1781" s="7" t="e">
        <f>IF(VLOOKUP($A1781,'Concrete Beam Schedule'!$A$2:$Q$2902,X$2,0)&lt;&gt;H1781,"Beam Revised","")</f>
        <v>#N/A</v>
      </c>
      <c r="Y1781" s="7" t="e">
        <f>IF(VLOOKUP($A1781,'Concrete Beam Schedule'!$A$2:$Q$2902,Y$2,0)&lt;&gt;I1781,"Beam Revised","")</f>
        <v>#N/A</v>
      </c>
      <c r="Z1781" s="7" t="e">
        <f>IF(VLOOKUP($A1781,'Concrete Beam Schedule'!$A$2:$Q$2902,Z$2,0)&lt;&gt;J1781,"Beam Revised","")</f>
        <v>#N/A</v>
      </c>
      <c r="AA1781" s="7" t="e">
        <f>IF(VLOOKUP($A1781,'Concrete Beam Schedule'!$A$2:$Q$2902,AA$2,0)&lt;&gt;K1781,"Beam Revised","")</f>
        <v>#N/A</v>
      </c>
      <c r="AB1781" s="7" t="e">
        <f>IF(VLOOKUP($A1781,'Concrete Beam Schedule'!$A$2:$Q$2902,AB$2,0)&lt;&gt;L1781,"Beam Revised","")</f>
        <v>#N/A</v>
      </c>
      <c r="AC1781" s="7" t="e">
        <f>IF(VLOOKUP($A1781,'Concrete Beam Schedule'!$A$2:$Q$2902,AC$2,0)&lt;&gt;M1781,"Beam Revised","")</f>
        <v>#N/A</v>
      </c>
      <c r="AD1781" s="7" t="e">
        <f>IF(VLOOKUP($A1781,'Concrete Beam Schedule'!$A$2:$Q$2902,AD$2,0)&lt;&gt;N1781,"Beam Revised","")</f>
        <v>#N/A</v>
      </c>
      <c r="AE1781" s="7" t="e">
        <f>IF(VLOOKUP($A1781,'Concrete Beam Schedule'!$A$2:$Q$2902,AE$2,0)&lt;&gt;O1781,"Beam Revised","")</f>
        <v>#N/A</v>
      </c>
    </row>
    <row r="1782" spans="17:31" ht="20.100000000000001" customHeight="1" x14ac:dyDescent="0.25">
      <c r="Q1782" s="7">
        <f t="shared" si="27"/>
        <v>0</v>
      </c>
      <c r="R1782" s="7" t="e">
        <f>IF(VLOOKUP($A1782,'Concrete Beam Schedule'!$A$2:$Q$2902,R$2,0)&lt;&gt;B1782,VLOOKUP($A1782,'Concrete Beam Schedule'!$A$2:$Q$2902,R$2,0),"")</f>
        <v>#N/A</v>
      </c>
      <c r="S1782" s="7" t="e">
        <f>IF(VLOOKUP($A1782,'Concrete Beam Schedule'!$A$2:$Q$2902,S$2,0)&lt;&gt;C1782,VLOOKUP($A1782,'Concrete Beam Schedule'!$A$2:$Q$2902,S$2,0),"")</f>
        <v>#N/A</v>
      </c>
      <c r="T1782" s="7" t="e">
        <f>IF(VLOOKUP($A1782,'Concrete Beam Schedule'!$A$2:$Q$2902,T$2,0)&lt;&gt;D1782,"Beam Revised","")</f>
        <v>#N/A</v>
      </c>
      <c r="U1782" s="7" t="e">
        <f>IF(VLOOKUP($A1782,'Concrete Beam Schedule'!$A$2:$Q$2902,U$2,0)&lt;&gt;E1782,"Beam Revised","")</f>
        <v>#N/A</v>
      </c>
      <c r="V1782" s="7" t="e">
        <f>IF(VLOOKUP($A1782,'Concrete Beam Schedule'!$A$2:$Q$2902,V$2,0)&lt;&gt;F1782,"Beam Revised","")</f>
        <v>#N/A</v>
      </c>
      <c r="W1782" s="7" t="e">
        <f>IF(VLOOKUP($A1782,'Concrete Beam Schedule'!$A$2:$Q$2902,W$2,0)&lt;&gt;G1782,"Beam Revised","")</f>
        <v>#N/A</v>
      </c>
      <c r="X1782" s="7" t="e">
        <f>IF(VLOOKUP($A1782,'Concrete Beam Schedule'!$A$2:$Q$2902,X$2,0)&lt;&gt;H1782,"Beam Revised","")</f>
        <v>#N/A</v>
      </c>
      <c r="Y1782" s="7" t="e">
        <f>IF(VLOOKUP($A1782,'Concrete Beam Schedule'!$A$2:$Q$2902,Y$2,0)&lt;&gt;I1782,"Beam Revised","")</f>
        <v>#N/A</v>
      </c>
      <c r="Z1782" s="7" t="e">
        <f>IF(VLOOKUP($A1782,'Concrete Beam Schedule'!$A$2:$Q$2902,Z$2,0)&lt;&gt;J1782,"Beam Revised","")</f>
        <v>#N/A</v>
      </c>
      <c r="AA1782" s="7" t="e">
        <f>IF(VLOOKUP($A1782,'Concrete Beam Schedule'!$A$2:$Q$2902,AA$2,0)&lt;&gt;K1782,"Beam Revised","")</f>
        <v>#N/A</v>
      </c>
      <c r="AB1782" s="7" t="e">
        <f>IF(VLOOKUP($A1782,'Concrete Beam Schedule'!$A$2:$Q$2902,AB$2,0)&lt;&gt;L1782,"Beam Revised","")</f>
        <v>#N/A</v>
      </c>
      <c r="AC1782" s="7" t="e">
        <f>IF(VLOOKUP($A1782,'Concrete Beam Schedule'!$A$2:$Q$2902,AC$2,0)&lt;&gt;M1782,"Beam Revised","")</f>
        <v>#N/A</v>
      </c>
      <c r="AD1782" s="7" t="e">
        <f>IF(VLOOKUP($A1782,'Concrete Beam Schedule'!$A$2:$Q$2902,AD$2,0)&lt;&gt;N1782,"Beam Revised","")</f>
        <v>#N/A</v>
      </c>
      <c r="AE1782" s="7" t="e">
        <f>IF(VLOOKUP($A1782,'Concrete Beam Schedule'!$A$2:$Q$2902,AE$2,0)&lt;&gt;O1782,"Beam Revised","")</f>
        <v>#N/A</v>
      </c>
    </row>
    <row r="1783" spans="17:31" ht="20.100000000000001" customHeight="1" x14ac:dyDescent="0.25">
      <c r="Q1783" s="7">
        <f t="shared" si="27"/>
        <v>0</v>
      </c>
      <c r="R1783" s="7" t="e">
        <f>IF(VLOOKUP($A1783,'Concrete Beam Schedule'!$A$2:$Q$2902,R$2,0)&lt;&gt;B1783,VLOOKUP($A1783,'Concrete Beam Schedule'!$A$2:$Q$2902,R$2,0),"")</f>
        <v>#N/A</v>
      </c>
      <c r="S1783" s="7" t="e">
        <f>IF(VLOOKUP($A1783,'Concrete Beam Schedule'!$A$2:$Q$2902,S$2,0)&lt;&gt;C1783,VLOOKUP($A1783,'Concrete Beam Schedule'!$A$2:$Q$2902,S$2,0),"")</f>
        <v>#N/A</v>
      </c>
      <c r="T1783" s="7" t="e">
        <f>IF(VLOOKUP($A1783,'Concrete Beam Schedule'!$A$2:$Q$2902,T$2,0)&lt;&gt;D1783,"Beam Revised","")</f>
        <v>#N/A</v>
      </c>
      <c r="U1783" s="7" t="e">
        <f>IF(VLOOKUP($A1783,'Concrete Beam Schedule'!$A$2:$Q$2902,U$2,0)&lt;&gt;E1783,"Beam Revised","")</f>
        <v>#N/A</v>
      </c>
      <c r="V1783" s="7" t="e">
        <f>IF(VLOOKUP($A1783,'Concrete Beam Schedule'!$A$2:$Q$2902,V$2,0)&lt;&gt;F1783,"Beam Revised","")</f>
        <v>#N/A</v>
      </c>
      <c r="W1783" s="7" t="e">
        <f>IF(VLOOKUP($A1783,'Concrete Beam Schedule'!$A$2:$Q$2902,W$2,0)&lt;&gt;G1783,"Beam Revised","")</f>
        <v>#N/A</v>
      </c>
      <c r="X1783" s="7" t="e">
        <f>IF(VLOOKUP($A1783,'Concrete Beam Schedule'!$A$2:$Q$2902,X$2,0)&lt;&gt;H1783,"Beam Revised","")</f>
        <v>#N/A</v>
      </c>
      <c r="Y1783" s="7" t="e">
        <f>IF(VLOOKUP($A1783,'Concrete Beam Schedule'!$A$2:$Q$2902,Y$2,0)&lt;&gt;I1783,"Beam Revised","")</f>
        <v>#N/A</v>
      </c>
      <c r="Z1783" s="7" t="e">
        <f>IF(VLOOKUP($A1783,'Concrete Beam Schedule'!$A$2:$Q$2902,Z$2,0)&lt;&gt;J1783,"Beam Revised","")</f>
        <v>#N/A</v>
      </c>
      <c r="AA1783" s="7" t="e">
        <f>IF(VLOOKUP($A1783,'Concrete Beam Schedule'!$A$2:$Q$2902,AA$2,0)&lt;&gt;K1783,"Beam Revised","")</f>
        <v>#N/A</v>
      </c>
      <c r="AB1783" s="7" t="e">
        <f>IF(VLOOKUP($A1783,'Concrete Beam Schedule'!$A$2:$Q$2902,AB$2,0)&lt;&gt;L1783,"Beam Revised","")</f>
        <v>#N/A</v>
      </c>
      <c r="AC1783" s="7" t="e">
        <f>IF(VLOOKUP($A1783,'Concrete Beam Schedule'!$A$2:$Q$2902,AC$2,0)&lt;&gt;M1783,"Beam Revised","")</f>
        <v>#N/A</v>
      </c>
      <c r="AD1783" s="7" t="e">
        <f>IF(VLOOKUP($A1783,'Concrete Beam Schedule'!$A$2:$Q$2902,AD$2,0)&lt;&gt;N1783,"Beam Revised","")</f>
        <v>#N/A</v>
      </c>
      <c r="AE1783" s="7" t="e">
        <f>IF(VLOOKUP($A1783,'Concrete Beam Schedule'!$A$2:$Q$2902,AE$2,0)&lt;&gt;O1783,"Beam Revised","")</f>
        <v>#N/A</v>
      </c>
    </row>
    <row r="1784" spans="17:31" ht="20.100000000000001" customHeight="1" x14ac:dyDescent="0.25">
      <c r="Q1784" s="7">
        <f t="shared" si="27"/>
        <v>0</v>
      </c>
      <c r="R1784" s="7" t="e">
        <f>IF(VLOOKUP($A1784,'Concrete Beam Schedule'!$A$2:$Q$2902,R$2,0)&lt;&gt;B1784,VLOOKUP($A1784,'Concrete Beam Schedule'!$A$2:$Q$2902,R$2,0),"")</f>
        <v>#N/A</v>
      </c>
      <c r="S1784" s="7" t="e">
        <f>IF(VLOOKUP($A1784,'Concrete Beam Schedule'!$A$2:$Q$2902,S$2,0)&lt;&gt;C1784,VLOOKUP($A1784,'Concrete Beam Schedule'!$A$2:$Q$2902,S$2,0),"")</f>
        <v>#N/A</v>
      </c>
      <c r="T1784" s="7" t="e">
        <f>IF(VLOOKUP($A1784,'Concrete Beam Schedule'!$A$2:$Q$2902,T$2,0)&lt;&gt;D1784,"Beam Revised","")</f>
        <v>#N/A</v>
      </c>
      <c r="U1784" s="7" t="e">
        <f>IF(VLOOKUP($A1784,'Concrete Beam Schedule'!$A$2:$Q$2902,U$2,0)&lt;&gt;E1784,"Beam Revised","")</f>
        <v>#N/A</v>
      </c>
      <c r="V1784" s="7" t="e">
        <f>IF(VLOOKUP($A1784,'Concrete Beam Schedule'!$A$2:$Q$2902,V$2,0)&lt;&gt;F1784,"Beam Revised","")</f>
        <v>#N/A</v>
      </c>
      <c r="W1784" s="7" t="e">
        <f>IF(VLOOKUP($A1784,'Concrete Beam Schedule'!$A$2:$Q$2902,W$2,0)&lt;&gt;G1784,"Beam Revised","")</f>
        <v>#N/A</v>
      </c>
      <c r="X1784" s="7" t="e">
        <f>IF(VLOOKUP($A1784,'Concrete Beam Schedule'!$A$2:$Q$2902,X$2,0)&lt;&gt;H1784,"Beam Revised","")</f>
        <v>#N/A</v>
      </c>
      <c r="Y1784" s="7" t="e">
        <f>IF(VLOOKUP($A1784,'Concrete Beam Schedule'!$A$2:$Q$2902,Y$2,0)&lt;&gt;I1784,"Beam Revised","")</f>
        <v>#N/A</v>
      </c>
      <c r="Z1784" s="7" t="e">
        <f>IF(VLOOKUP($A1784,'Concrete Beam Schedule'!$A$2:$Q$2902,Z$2,0)&lt;&gt;J1784,"Beam Revised","")</f>
        <v>#N/A</v>
      </c>
      <c r="AA1784" s="7" t="e">
        <f>IF(VLOOKUP($A1784,'Concrete Beam Schedule'!$A$2:$Q$2902,AA$2,0)&lt;&gt;K1784,"Beam Revised","")</f>
        <v>#N/A</v>
      </c>
      <c r="AB1784" s="7" t="e">
        <f>IF(VLOOKUP($A1784,'Concrete Beam Schedule'!$A$2:$Q$2902,AB$2,0)&lt;&gt;L1784,"Beam Revised","")</f>
        <v>#N/A</v>
      </c>
      <c r="AC1784" s="7" t="e">
        <f>IF(VLOOKUP($A1784,'Concrete Beam Schedule'!$A$2:$Q$2902,AC$2,0)&lt;&gt;M1784,"Beam Revised","")</f>
        <v>#N/A</v>
      </c>
      <c r="AD1784" s="7" t="e">
        <f>IF(VLOOKUP($A1784,'Concrete Beam Schedule'!$A$2:$Q$2902,AD$2,0)&lt;&gt;N1784,"Beam Revised","")</f>
        <v>#N/A</v>
      </c>
      <c r="AE1784" s="7" t="e">
        <f>IF(VLOOKUP($A1784,'Concrete Beam Schedule'!$A$2:$Q$2902,AE$2,0)&lt;&gt;O1784,"Beam Revised","")</f>
        <v>#N/A</v>
      </c>
    </row>
    <row r="1785" spans="17:31" ht="20.100000000000001" customHeight="1" x14ac:dyDescent="0.25">
      <c r="Q1785" s="7">
        <f t="shared" si="27"/>
        <v>0</v>
      </c>
      <c r="R1785" s="7" t="e">
        <f>IF(VLOOKUP($A1785,'Concrete Beam Schedule'!$A$2:$Q$2902,R$2,0)&lt;&gt;B1785,VLOOKUP($A1785,'Concrete Beam Schedule'!$A$2:$Q$2902,R$2,0),"")</f>
        <v>#N/A</v>
      </c>
      <c r="S1785" s="7" t="e">
        <f>IF(VLOOKUP($A1785,'Concrete Beam Schedule'!$A$2:$Q$2902,S$2,0)&lt;&gt;C1785,VLOOKUP($A1785,'Concrete Beam Schedule'!$A$2:$Q$2902,S$2,0),"")</f>
        <v>#N/A</v>
      </c>
      <c r="T1785" s="7" t="e">
        <f>IF(VLOOKUP($A1785,'Concrete Beam Schedule'!$A$2:$Q$2902,T$2,0)&lt;&gt;D1785,"Beam Revised","")</f>
        <v>#N/A</v>
      </c>
      <c r="U1785" s="7" t="e">
        <f>IF(VLOOKUP($A1785,'Concrete Beam Schedule'!$A$2:$Q$2902,U$2,0)&lt;&gt;E1785,"Beam Revised","")</f>
        <v>#N/A</v>
      </c>
      <c r="V1785" s="7" t="e">
        <f>IF(VLOOKUP($A1785,'Concrete Beam Schedule'!$A$2:$Q$2902,V$2,0)&lt;&gt;F1785,"Beam Revised","")</f>
        <v>#N/A</v>
      </c>
      <c r="W1785" s="7" t="e">
        <f>IF(VLOOKUP($A1785,'Concrete Beam Schedule'!$A$2:$Q$2902,W$2,0)&lt;&gt;G1785,"Beam Revised","")</f>
        <v>#N/A</v>
      </c>
      <c r="X1785" s="7" t="e">
        <f>IF(VLOOKUP($A1785,'Concrete Beam Schedule'!$A$2:$Q$2902,X$2,0)&lt;&gt;H1785,"Beam Revised","")</f>
        <v>#N/A</v>
      </c>
      <c r="Y1785" s="7" t="e">
        <f>IF(VLOOKUP($A1785,'Concrete Beam Schedule'!$A$2:$Q$2902,Y$2,0)&lt;&gt;I1785,"Beam Revised","")</f>
        <v>#N/A</v>
      </c>
      <c r="Z1785" s="7" t="e">
        <f>IF(VLOOKUP($A1785,'Concrete Beam Schedule'!$A$2:$Q$2902,Z$2,0)&lt;&gt;J1785,"Beam Revised","")</f>
        <v>#N/A</v>
      </c>
      <c r="AA1785" s="7" t="e">
        <f>IF(VLOOKUP($A1785,'Concrete Beam Schedule'!$A$2:$Q$2902,AA$2,0)&lt;&gt;K1785,"Beam Revised","")</f>
        <v>#N/A</v>
      </c>
      <c r="AB1785" s="7" t="e">
        <f>IF(VLOOKUP($A1785,'Concrete Beam Schedule'!$A$2:$Q$2902,AB$2,0)&lt;&gt;L1785,"Beam Revised","")</f>
        <v>#N/A</v>
      </c>
      <c r="AC1785" s="7" t="e">
        <f>IF(VLOOKUP($A1785,'Concrete Beam Schedule'!$A$2:$Q$2902,AC$2,0)&lt;&gt;M1785,"Beam Revised","")</f>
        <v>#N/A</v>
      </c>
      <c r="AD1785" s="7" t="e">
        <f>IF(VLOOKUP($A1785,'Concrete Beam Schedule'!$A$2:$Q$2902,AD$2,0)&lt;&gt;N1785,"Beam Revised","")</f>
        <v>#N/A</v>
      </c>
      <c r="AE1785" s="7" t="e">
        <f>IF(VLOOKUP($A1785,'Concrete Beam Schedule'!$A$2:$Q$2902,AE$2,0)&lt;&gt;O1785,"Beam Revised","")</f>
        <v>#N/A</v>
      </c>
    </row>
    <row r="1786" spans="17:31" ht="20.100000000000001" customHeight="1" x14ac:dyDescent="0.25">
      <c r="Q1786" s="7">
        <f t="shared" si="27"/>
        <v>0</v>
      </c>
      <c r="R1786" s="7" t="e">
        <f>IF(VLOOKUP($A1786,'Concrete Beam Schedule'!$A$2:$Q$2902,R$2,0)&lt;&gt;B1786,VLOOKUP($A1786,'Concrete Beam Schedule'!$A$2:$Q$2902,R$2,0),"")</f>
        <v>#N/A</v>
      </c>
      <c r="S1786" s="7" t="e">
        <f>IF(VLOOKUP($A1786,'Concrete Beam Schedule'!$A$2:$Q$2902,S$2,0)&lt;&gt;C1786,VLOOKUP($A1786,'Concrete Beam Schedule'!$A$2:$Q$2902,S$2,0),"")</f>
        <v>#N/A</v>
      </c>
      <c r="T1786" s="7" t="e">
        <f>IF(VLOOKUP($A1786,'Concrete Beam Schedule'!$A$2:$Q$2902,T$2,0)&lt;&gt;D1786,"Beam Revised","")</f>
        <v>#N/A</v>
      </c>
      <c r="U1786" s="7" t="e">
        <f>IF(VLOOKUP($A1786,'Concrete Beam Schedule'!$A$2:$Q$2902,U$2,0)&lt;&gt;E1786,"Beam Revised","")</f>
        <v>#N/A</v>
      </c>
      <c r="V1786" s="7" t="e">
        <f>IF(VLOOKUP($A1786,'Concrete Beam Schedule'!$A$2:$Q$2902,V$2,0)&lt;&gt;F1786,"Beam Revised","")</f>
        <v>#N/A</v>
      </c>
      <c r="W1786" s="7" t="e">
        <f>IF(VLOOKUP($A1786,'Concrete Beam Schedule'!$A$2:$Q$2902,W$2,0)&lt;&gt;G1786,"Beam Revised","")</f>
        <v>#N/A</v>
      </c>
      <c r="X1786" s="7" t="e">
        <f>IF(VLOOKUP($A1786,'Concrete Beam Schedule'!$A$2:$Q$2902,X$2,0)&lt;&gt;H1786,"Beam Revised","")</f>
        <v>#N/A</v>
      </c>
      <c r="Y1786" s="7" t="e">
        <f>IF(VLOOKUP($A1786,'Concrete Beam Schedule'!$A$2:$Q$2902,Y$2,0)&lt;&gt;I1786,"Beam Revised","")</f>
        <v>#N/A</v>
      </c>
      <c r="Z1786" s="7" t="e">
        <f>IF(VLOOKUP($A1786,'Concrete Beam Schedule'!$A$2:$Q$2902,Z$2,0)&lt;&gt;J1786,"Beam Revised","")</f>
        <v>#N/A</v>
      </c>
      <c r="AA1786" s="7" t="e">
        <f>IF(VLOOKUP($A1786,'Concrete Beam Schedule'!$A$2:$Q$2902,AA$2,0)&lt;&gt;K1786,"Beam Revised","")</f>
        <v>#N/A</v>
      </c>
      <c r="AB1786" s="7" t="e">
        <f>IF(VLOOKUP($A1786,'Concrete Beam Schedule'!$A$2:$Q$2902,AB$2,0)&lt;&gt;L1786,"Beam Revised","")</f>
        <v>#N/A</v>
      </c>
      <c r="AC1786" s="7" t="e">
        <f>IF(VLOOKUP($A1786,'Concrete Beam Schedule'!$A$2:$Q$2902,AC$2,0)&lt;&gt;M1786,"Beam Revised","")</f>
        <v>#N/A</v>
      </c>
      <c r="AD1786" s="7" t="e">
        <f>IF(VLOOKUP($A1786,'Concrete Beam Schedule'!$A$2:$Q$2902,AD$2,0)&lt;&gt;N1786,"Beam Revised","")</f>
        <v>#N/A</v>
      </c>
      <c r="AE1786" s="7" t="e">
        <f>IF(VLOOKUP($A1786,'Concrete Beam Schedule'!$A$2:$Q$2902,AE$2,0)&lt;&gt;O1786,"Beam Revised","")</f>
        <v>#N/A</v>
      </c>
    </row>
    <row r="1787" spans="17:31" ht="20.100000000000001" customHeight="1" x14ac:dyDescent="0.25">
      <c r="Q1787" s="7">
        <f t="shared" si="27"/>
        <v>0</v>
      </c>
      <c r="R1787" s="7" t="e">
        <f>IF(VLOOKUP($A1787,'Concrete Beam Schedule'!$A$2:$Q$2902,R$2,0)&lt;&gt;B1787,VLOOKUP($A1787,'Concrete Beam Schedule'!$A$2:$Q$2902,R$2,0),"")</f>
        <v>#N/A</v>
      </c>
      <c r="S1787" s="7" t="e">
        <f>IF(VLOOKUP($A1787,'Concrete Beam Schedule'!$A$2:$Q$2902,S$2,0)&lt;&gt;C1787,VLOOKUP($A1787,'Concrete Beam Schedule'!$A$2:$Q$2902,S$2,0),"")</f>
        <v>#N/A</v>
      </c>
      <c r="T1787" s="7" t="e">
        <f>IF(VLOOKUP($A1787,'Concrete Beam Schedule'!$A$2:$Q$2902,T$2,0)&lt;&gt;D1787,"Beam Revised","")</f>
        <v>#N/A</v>
      </c>
      <c r="U1787" s="7" t="e">
        <f>IF(VLOOKUP($A1787,'Concrete Beam Schedule'!$A$2:$Q$2902,U$2,0)&lt;&gt;E1787,"Beam Revised","")</f>
        <v>#N/A</v>
      </c>
      <c r="V1787" s="7" t="e">
        <f>IF(VLOOKUP($A1787,'Concrete Beam Schedule'!$A$2:$Q$2902,V$2,0)&lt;&gt;F1787,"Beam Revised","")</f>
        <v>#N/A</v>
      </c>
      <c r="W1787" s="7" t="e">
        <f>IF(VLOOKUP($A1787,'Concrete Beam Schedule'!$A$2:$Q$2902,W$2,0)&lt;&gt;G1787,"Beam Revised","")</f>
        <v>#N/A</v>
      </c>
      <c r="X1787" s="7" t="e">
        <f>IF(VLOOKUP($A1787,'Concrete Beam Schedule'!$A$2:$Q$2902,X$2,0)&lt;&gt;H1787,"Beam Revised","")</f>
        <v>#N/A</v>
      </c>
      <c r="Y1787" s="7" t="e">
        <f>IF(VLOOKUP($A1787,'Concrete Beam Schedule'!$A$2:$Q$2902,Y$2,0)&lt;&gt;I1787,"Beam Revised","")</f>
        <v>#N/A</v>
      </c>
      <c r="Z1787" s="7" t="e">
        <f>IF(VLOOKUP($A1787,'Concrete Beam Schedule'!$A$2:$Q$2902,Z$2,0)&lt;&gt;J1787,"Beam Revised","")</f>
        <v>#N/A</v>
      </c>
      <c r="AA1787" s="7" t="e">
        <f>IF(VLOOKUP($A1787,'Concrete Beam Schedule'!$A$2:$Q$2902,AA$2,0)&lt;&gt;K1787,"Beam Revised","")</f>
        <v>#N/A</v>
      </c>
      <c r="AB1787" s="7" t="e">
        <f>IF(VLOOKUP($A1787,'Concrete Beam Schedule'!$A$2:$Q$2902,AB$2,0)&lt;&gt;L1787,"Beam Revised","")</f>
        <v>#N/A</v>
      </c>
      <c r="AC1787" s="7" t="e">
        <f>IF(VLOOKUP($A1787,'Concrete Beam Schedule'!$A$2:$Q$2902,AC$2,0)&lt;&gt;M1787,"Beam Revised","")</f>
        <v>#N/A</v>
      </c>
      <c r="AD1787" s="7" t="e">
        <f>IF(VLOOKUP($A1787,'Concrete Beam Schedule'!$A$2:$Q$2902,AD$2,0)&lt;&gt;N1787,"Beam Revised","")</f>
        <v>#N/A</v>
      </c>
      <c r="AE1787" s="7" t="e">
        <f>IF(VLOOKUP($A1787,'Concrete Beam Schedule'!$A$2:$Q$2902,AE$2,0)&lt;&gt;O1787,"Beam Revised","")</f>
        <v>#N/A</v>
      </c>
    </row>
    <row r="1788" spans="17:31" ht="20.100000000000001" customHeight="1" x14ac:dyDescent="0.25">
      <c r="Q1788" s="7">
        <f t="shared" si="27"/>
        <v>0</v>
      </c>
      <c r="R1788" s="7" t="e">
        <f>IF(VLOOKUP($A1788,'Concrete Beam Schedule'!$A$2:$Q$2902,R$2,0)&lt;&gt;B1788,VLOOKUP($A1788,'Concrete Beam Schedule'!$A$2:$Q$2902,R$2,0),"")</f>
        <v>#N/A</v>
      </c>
      <c r="S1788" s="7" t="e">
        <f>IF(VLOOKUP($A1788,'Concrete Beam Schedule'!$A$2:$Q$2902,S$2,0)&lt;&gt;C1788,VLOOKUP($A1788,'Concrete Beam Schedule'!$A$2:$Q$2902,S$2,0),"")</f>
        <v>#N/A</v>
      </c>
      <c r="T1788" s="7" t="e">
        <f>IF(VLOOKUP($A1788,'Concrete Beam Schedule'!$A$2:$Q$2902,T$2,0)&lt;&gt;D1788,"Beam Revised","")</f>
        <v>#N/A</v>
      </c>
      <c r="U1788" s="7" t="e">
        <f>IF(VLOOKUP($A1788,'Concrete Beam Schedule'!$A$2:$Q$2902,U$2,0)&lt;&gt;E1788,"Beam Revised","")</f>
        <v>#N/A</v>
      </c>
      <c r="V1788" s="7" t="e">
        <f>IF(VLOOKUP($A1788,'Concrete Beam Schedule'!$A$2:$Q$2902,V$2,0)&lt;&gt;F1788,"Beam Revised","")</f>
        <v>#N/A</v>
      </c>
      <c r="W1788" s="7" t="e">
        <f>IF(VLOOKUP($A1788,'Concrete Beam Schedule'!$A$2:$Q$2902,W$2,0)&lt;&gt;G1788,"Beam Revised","")</f>
        <v>#N/A</v>
      </c>
      <c r="X1788" s="7" t="e">
        <f>IF(VLOOKUP($A1788,'Concrete Beam Schedule'!$A$2:$Q$2902,X$2,0)&lt;&gt;H1788,"Beam Revised","")</f>
        <v>#N/A</v>
      </c>
      <c r="Y1788" s="7" t="e">
        <f>IF(VLOOKUP($A1788,'Concrete Beam Schedule'!$A$2:$Q$2902,Y$2,0)&lt;&gt;I1788,"Beam Revised","")</f>
        <v>#N/A</v>
      </c>
      <c r="Z1788" s="7" t="e">
        <f>IF(VLOOKUP($A1788,'Concrete Beam Schedule'!$A$2:$Q$2902,Z$2,0)&lt;&gt;J1788,"Beam Revised","")</f>
        <v>#N/A</v>
      </c>
      <c r="AA1788" s="7" t="e">
        <f>IF(VLOOKUP($A1788,'Concrete Beam Schedule'!$A$2:$Q$2902,AA$2,0)&lt;&gt;K1788,"Beam Revised","")</f>
        <v>#N/A</v>
      </c>
      <c r="AB1788" s="7" t="e">
        <f>IF(VLOOKUP($A1788,'Concrete Beam Schedule'!$A$2:$Q$2902,AB$2,0)&lt;&gt;L1788,"Beam Revised","")</f>
        <v>#N/A</v>
      </c>
      <c r="AC1788" s="7" t="e">
        <f>IF(VLOOKUP($A1788,'Concrete Beam Schedule'!$A$2:$Q$2902,AC$2,0)&lt;&gt;M1788,"Beam Revised","")</f>
        <v>#N/A</v>
      </c>
      <c r="AD1788" s="7" t="e">
        <f>IF(VLOOKUP($A1788,'Concrete Beam Schedule'!$A$2:$Q$2902,AD$2,0)&lt;&gt;N1788,"Beam Revised","")</f>
        <v>#N/A</v>
      </c>
      <c r="AE1788" s="7" t="e">
        <f>IF(VLOOKUP($A1788,'Concrete Beam Schedule'!$A$2:$Q$2902,AE$2,0)&lt;&gt;O1788,"Beam Revised","")</f>
        <v>#N/A</v>
      </c>
    </row>
    <row r="1789" spans="17:31" ht="20.100000000000001" customHeight="1" x14ac:dyDescent="0.25">
      <c r="Q1789" s="7">
        <f t="shared" si="27"/>
        <v>0</v>
      </c>
      <c r="R1789" s="7" t="e">
        <f>IF(VLOOKUP($A1789,'Concrete Beam Schedule'!$A$2:$Q$2902,R$2,0)&lt;&gt;B1789,VLOOKUP($A1789,'Concrete Beam Schedule'!$A$2:$Q$2902,R$2,0),"")</f>
        <v>#N/A</v>
      </c>
      <c r="S1789" s="7" t="e">
        <f>IF(VLOOKUP($A1789,'Concrete Beam Schedule'!$A$2:$Q$2902,S$2,0)&lt;&gt;C1789,VLOOKUP($A1789,'Concrete Beam Schedule'!$A$2:$Q$2902,S$2,0),"")</f>
        <v>#N/A</v>
      </c>
      <c r="T1789" s="7" t="e">
        <f>IF(VLOOKUP($A1789,'Concrete Beam Schedule'!$A$2:$Q$2902,T$2,0)&lt;&gt;D1789,"Beam Revised","")</f>
        <v>#N/A</v>
      </c>
      <c r="U1789" s="7" t="e">
        <f>IF(VLOOKUP($A1789,'Concrete Beam Schedule'!$A$2:$Q$2902,U$2,0)&lt;&gt;E1789,"Beam Revised","")</f>
        <v>#N/A</v>
      </c>
      <c r="V1789" s="7" t="e">
        <f>IF(VLOOKUP($A1789,'Concrete Beam Schedule'!$A$2:$Q$2902,V$2,0)&lt;&gt;F1789,"Beam Revised","")</f>
        <v>#N/A</v>
      </c>
      <c r="W1789" s="7" t="e">
        <f>IF(VLOOKUP($A1789,'Concrete Beam Schedule'!$A$2:$Q$2902,W$2,0)&lt;&gt;G1789,"Beam Revised","")</f>
        <v>#N/A</v>
      </c>
      <c r="X1789" s="7" t="e">
        <f>IF(VLOOKUP($A1789,'Concrete Beam Schedule'!$A$2:$Q$2902,X$2,0)&lt;&gt;H1789,"Beam Revised","")</f>
        <v>#N/A</v>
      </c>
      <c r="Y1789" s="7" t="e">
        <f>IF(VLOOKUP($A1789,'Concrete Beam Schedule'!$A$2:$Q$2902,Y$2,0)&lt;&gt;I1789,"Beam Revised","")</f>
        <v>#N/A</v>
      </c>
      <c r="Z1789" s="7" t="e">
        <f>IF(VLOOKUP($A1789,'Concrete Beam Schedule'!$A$2:$Q$2902,Z$2,0)&lt;&gt;J1789,"Beam Revised","")</f>
        <v>#N/A</v>
      </c>
      <c r="AA1789" s="7" t="e">
        <f>IF(VLOOKUP($A1789,'Concrete Beam Schedule'!$A$2:$Q$2902,AA$2,0)&lt;&gt;K1789,"Beam Revised","")</f>
        <v>#N/A</v>
      </c>
      <c r="AB1789" s="7" t="e">
        <f>IF(VLOOKUP($A1789,'Concrete Beam Schedule'!$A$2:$Q$2902,AB$2,0)&lt;&gt;L1789,"Beam Revised","")</f>
        <v>#N/A</v>
      </c>
      <c r="AC1789" s="7" t="e">
        <f>IF(VLOOKUP($A1789,'Concrete Beam Schedule'!$A$2:$Q$2902,AC$2,0)&lt;&gt;M1789,"Beam Revised","")</f>
        <v>#N/A</v>
      </c>
      <c r="AD1789" s="7" t="e">
        <f>IF(VLOOKUP($A1789,'Concrete Beam Schedule'!$A$2:$Q$2902,AD$2,0)&lt;&gt;N1789,"Beam Revised","")</f>
        <v>#N/A</v>
      </c>
      <c r="AE1789" s="7" t="e">
        <f>IF(VLOOKUP($A1789,'Concrete Beam Schedule'!$A$2:$Q$2902,AE$2,0)&lt;&gt;O1789,"Beam Revised","")</f>
        <v>#N/A</v>
      </c>
    </row>
    <row r="1790" spans="17:31" ht="20.100000000000001" customHeight="1" x14ac:dyDescent="0.25">
      <c r="Q1790" s="7">
        <f t="shared" si="27"/>
        <v>0</v>
      </c>
      <c r="R1790" s="7" t="e">
        <f>IF(VLOOKUP($A1790,'Concrete Beam Schedule'!$A$2:$Q$2902,R$2,0)&lt;&gt;B1790,VLOOKUP($A1790,'Concrete Beam Schedule'!$A$2:$Q$2902,R$2,0),"")</f>
        <v>#N/A</v>
      </c>
      <c r="S1790" s="7" t="e">
        <f>IF(VLOOKUP($A1790,'Concrete Beam Schedule'!$A$2:$Q$2902,S$2,0)&lt;&gt;C1790,VLOOKUP($A1790,'Concrete Beam Schedule'!$A$2:$Q$2902,S$2,0),"")</f>
        <v>#N/A</v>
      </c>
      <c r="T1790" s="7" t="e">
        <f>IF(VLOOKUP($A1790,'Concrete Beam Schedule'!$A$2:$Q$2902,T$2,0)&lt;&gt;D1790,"Beam Revised","")</f>
        <v>#N/A</v>
      </c>
      <c r="U1790" s="7" t="e">
        <f>IF(VLOOKUP($A1790,'Concrete Beam Schedule'!$A$2:$Q$2902,U$2,0)&lt;&gt;E1790,"Beam Revised","")</f>
        <v>#N/A</v>
      </c>
      <c r="V1790" s="7" t="e">
        <f>IF(VLOOKUP($A1790,'Concrete Beam Schedule'!$A$2:$Q$2902,V$2,0)&lt;&gt;F1790,"Beam Revised","")</f>
        <v>#N/A</v>
      </c>
      <c r="W1790" s="7" t="e">
        <f>IF(VLOOKUP($A1790,'Concrete Beam Schedule'!$A$2:$Q$2902,W$2,0)&lt;&gt;G1790,"Beam Revised","")</f>
        <v>#N/A</v>
      </c>
      <c r="X1790" s="7" t="e">
        <f>IF(VLOOKUP($A1790,'Concrete Beam Schedule'!$A$2:$Q$2902,X$2,0)&lt;&gt;H1790,"Beam Revised","")</f>
        <v>#N/A</v>
      </c>
      <c r="Y1790" s="7" t="e">
        <f>IF(VLOOKUP($A1790,'Concrete Beam Schedule'!$A$2:$Q$2902,Y$2,0)&lt;&gt;I1790,"Beam Revised","")</f>
        <v>#N/A</v>
      </c>
      <c r="Z1790" s="7" t="e">
        <f>IF(VLOOKUP($A1790,'Concrete Beam Schedule'!$A$2:$Q$2902,Z$2,0)&lt;&gt;J1790,"Beam Revised","")</f>
        <v>#N/A</v>
      </c>
      <c r="AA1790" s="7" t="e">
        <f>IF(VLOOKUP($A1790,'Concrete Beam Schedule'!$A$2:$Q$2902,AA$2,0)&lt;&gt;K1790,"Beam Revised","")</f>
        <v>#N/A</v>
      </c>
      <c r="AB1790" s="7" t="e">
        <f>IF(VLOOKUP($A1790,'Concrete Beam Schedule'!$A$2:$Q$2902,AB$2,0)&lt;&gt;L1790,"Beam Revised","")</f>
        <v>#N/A</v>
      </c>
      <c r="AC1790" s="7" t="e">
        <f>IF(VLOOKUP($A1790,'Concrete Beam Schedule'!$A$2:$Q$2902,AC$2,0)&lt;&gt;M1790,"Beam Revised","")</f>
        <v>#N/A</v>
      </c>
      <c r="AD1790" s="7" t="e">
        <f>IF(VLOOKUP($A1790,'Concrete Beam Schedule'!$A$2:$Q$2902,AD$2,0)&lt;&gt;N1790,"Beam Revised","")</f>
        <v>#N/A</v>
      </c>
      <c r="AE1790" s="7" t="e">
        <f>IF(VLOOKUP($A1790,'Concrete Beam Schedule'!$A$2:$Q$2902,AE$2,0)&lt;&gt;O1790,"Beam Revised","")</f>
        <v>#N/A</v>
      </c>
    </row>
    <row r="1791" spans="17:31" ht="20.100000000000001" customHeight="1" x14ac:dyDescent="0.25">
      <c r="Q1791" s="7">
        <f t="shared" si="27"/>
        <v>0</v>
      </c>
      <c r="R1791" s="7" t="e">
        <f>IF(VLOOKUP($A1791,'Concrete Beam Schedule'!$A$2:$Q$2902,R$2,0)&lt;&gt;B1791,VLOOKUP($A1791,'Concrete Beam Schedule'!$A$2:$Q$2902,R$2,0),"")</f>
        <v>#N/A</v>
      </c>
      <c r="S1791" s="7" t="e">
        <f>IF(VLOOKUP($A1791,'Concrete Beam Schedule'!$A$2:$Q$2902,S$2,0)&lt;&gt;C1791,VLOOKUP($A1791,'Concrete Beam Schedule'!$A$2:$Q$2902,S$2,0),"")</f>
        <v>#N/A</v>
      </c>
      <c r="T1791" s="7" t="e">
        <f>IF(VLOOKUP($A1791,'Concrete Beam Schedule'!$A$2:$Q$2902,T$2,0)&lt;&gt;D1791,"Beam Revised","")</f>
        <v>#N/A</v>
      </c>
      <c r="U1791" s="7" t="e">
        <f>IF(VLOOKUP($A1791,'Concrete Beam Schedule'!$A$2:$Q$2902,U$2,0)&lt;&gt;E1791,"Beam Revised","")</f>
        <v>#N/A</v>
      </c>
      <c r="V1791" s="7" t="e">
        <f>IF(VLOOKUP($A1791,'Concrete Beam Schedule'!$A$2:$Q$2902,V$2,0)&lt;&gt;F1791,"Beam Revised","")</f>
        <v>#N/A</v>
      </c>
      <c r="W1791" s="7" t="e">
        <f>IF(VLOOKUP($A1791,'Concrete Beam Schedule'!$A$2:$Q$2902,W$2,0)&lt;&gt;G1791,"Beam Revised","")</f>
        <v>#N/A</v>
      </c>
      <c r="X1791" s="7" t="e">
        <f>IF(VLOOKUP($A1791,'Concrete Beam Schedule'!$A$2:$Q$2902,X$2,0)&lt;&gt;H1791,"Beam Revised","")</f>
        <v>#N/A</v>
      </c>
      <c r="Y1791" s="7" t="e">
        <f>IF(VLOOKUP($A1791,'Concrete Beam Schedule'!$A$2:$Q$2902,Y$2,0)&lt;&gt;I1791,"Beam Revised","")</f>
        <v>#N/A</v>
      </c>
      <c r="Z1791" s="7" t="e">
        <f>IF(VLOOKUP($A1791,'Concrete Beam Schedule'!$A$2:$Q$2902,Z$2,0)&lt;&gt;J1791,"Beam Revised","")</f>
        <v>#N/A</v>
      </c>
      <c r="AA1791" s="7" t="e">
        <f>IF(VLOOKUP($A1791,'Concrete Beam Schedule'!$A$2:$Q$2902,AA$2,0)&lt;&gt;K1791,"Beam Revised","")</f>
        <v>#N/A</v>
      </c>
      <c r="AB1791" s="7" t="e">
        <f>IF(VLOOKUP($A1791,'Concrete Beam Schedule'!$A$2:$Q$2902,AB$2,0)&lt;&gt;L1791,"Beam Revised","")</f>
        <v>#N/A</v>
      </c>
      <c r="AC1791" s="7" t="e">
        <f>IF(VLOOKUP($A1791,'Concrete Beam Schedule'!$A$2:$Q$2902,AC$2,0)&lt;&gt;M1791,"Beam Revised","")</f>
        <v>#N/A</v>
      </c>
      <c r="AD1791" s="7" t="e">
        <f>IF(VLOOKUP($A1791,'Concrete Beam Schedule'!$A$2:$Q$2902,AD$2,0)&lt;&gt;N1791,"Beam Revised","")</f>
        <v>#N/A</v>
      </c>
      <c r="AE1791" s="7" t="e">
        <f>IF(VLOOKUP($A1791,'Concrete Beam Schedule'!$A$2:$Q$2902,AE$2,0)&lt;&gt;O1791,"Beam Revised","")</f>
        <v>#N/A</v>
      </c>
    </row>
    <row r="1792" spans="17:31" ht="20.100000000000001" customHeight="1" x14ac:dyDescent="0.25">
      <c r="Q1792" s="7">
        <f t="shared" si="27"/>
        <v>0</v>
      </c>
      <c r="R1792" s="7" t="e">
        <f>IF(VLOOKUP($A1792,'Concrete Beam Schedule'!$A$2:$Q$2902,R$2,0)&lt;&gt;B1792,VLOOKUP($A1792,'Concrete Beam Schedule'!$A$2:$Q$2902,R$2,0),"")</f>
        <v>#N/A</v>
      </c>
      <c r="S1792" s="7" t="e">
        <f>IF(VLOOKUP($A1792,'Concrete Beam Schedule'!$A$2:$Q$2902,S$2,0)&lt;&gt;C1792,VLOOKUP($A1792,'Concrete Beam Schedule'!$A$2:$Q$2902,S$2,0),"")</f>
        <v>#N/A</v>
      </c>
      <c r="T1792" s="7" t="e">
        <f>IF(VLOOKUP($A1792,'Concrete Beam Schedule'!$A$2:$Q$2902,T$2,0)&lt;&gt;D1792,"Beam Revised","")</f>
        <v>#N/A</v>
      </c>
      <c r="U1792" s="7" t="e">
        <f>IF(VLOOKUP($A1792,'Concrete Beam Schedule'!$A$2:$Q$2902,U$2,0)&lt;&gt;E1792,"Beam Revised","")</f>
        <v>#N/A</v>
      </c>
      <c r="V1792" s="7" t="e">
        <f>IF(VLOOKUP($A1792,'Concrete Beam Schedule'!$A$2:$Q$2902,V$2,0)&lt;&gt;F1792,"Beam Revised","")</f>
        <v>#N/A</v>
      </c>
      <c r="W1792" s="7" t="e">
        <f>IF(VLOOKUP($A1792,'Concrete Beam Schedule'!$A$2:$Q$2902,W$2,0)&lt;&gt;G1792,"Beam Revised","")</f>
        <v>#N/A</v>
      </c>
      <c r="X1792" s="7" t="e">
        <f>IF(VLOOKUP($A1792,'Concrete Beam Schedule'!$A$2:$Q$2902,X$2,0)&lt;&gt;H1792,"Beam Revised","")</f>
        <v>#N/A</v>
      </c>
      <c r="Y1792" s="7" t="e">
        <f>IF(VLOOKUP($A1792,'Concrete Beam Schedule'!$A$2:$Q$2902,Y$2,0)&lt;&gt;I1792,"Beam Revised","")</f>
        <v>#N/A</v>
      </c>
      <c r="Z1792" s="7" t="e">
        <f>IF(VLOOKUP($A1792,'Concrete Beam Schedule'!$A$2:$Q$2902,Z$2,0)&lt;&gt;J1792,"Beam Revised","")</f>
        <v>#N/A</v>
      </c>
      <c r="AA1792" s="7" t="e">
        <f>IF(VLOOKUP($A1792,'Concrete Beam Schedule'!$A$2:$Q$2902,AA$2,0)&lt;&gt;K1792,"Beam Revised","")</f>
        <v>#N/A</v>
      </c>
      <c r="AB1792" s="7" t="e">
        <f>IF(VLOOKUP($A1792,'Concrete Beam Schedule'!$A$2:$Q$2902,AB$2,0)&lt;&gt;L1792,"Beam Revised","")</f>
        <v>#N/A</v>
      </c>
      <c r="AC1792" s="7" t="e">
        <f>IF(VLOOKUP($A1792,'Concrete Beam Schedule'!$A$2:$Q$2902,AC$2,0)&lt;&gt;M1792,"Beam Revised","")</f>
        <v>#N/A</v>
      </c>
      <c r="AD1792" s="7" t="e">
        <f>IF(VLOOKUP($A1792,'Concrete Beam Schedule'!$A$2:$Q$2902,AD$2,0)&lt;&gt;N1792,"Beam Revised","")</f>
        <v>#N/A</v>
      </c>
      <c r="AE1792" s="7" t="e">
        <f>IF(VLOOKUP($A1792,'Concrete Beam Schedule'!$A$2:$Q$2902,AE$2,0)&lt;&gt;O1792,"Beam Revised","")</f>
        <v>#N/A</v>
      </c>
    </row>
    <row r="1793" spans="17:31" ht="20.100000000000001" customHeight="1" x14ac:dyDescent="0.25">
      <c r="Q1793" s="7">
        <f t="shared" si="27"/>
        <v>0</v>
      </c>
      <c r="R1793" s="7" t="e">
        <f>IF(VLOOKUP($A1793,'Concrete Beam Schedule'!$A$2:$Q$2902,R$2,0)&lt;&gt;B1793,VLOOKUP($A1793,'Concrete Beam Schedule'!$A$2:$Q$2902,R$2,0),"")</f>
        <v>#N/A</v>
      </c>
      <c r="S1793" s="7" t="e">
        <f>IF(VLOOKUP($A1793,'Concrete Beam Schedule'!$A$2:$Q$2902,S$2,0)&lt;&gt;C1793,VLOOKUP($A1793,'Concrete Beam Schedule'!$A$2:$Q$2902,S$2,0),"")</f>
        <v>#N/A</v>
      </c>
      <c r="T1793" s="7" t="e">
        <f>IF(VLOOKUP($A1793,'Concrete Beam Schedule'!$A$2:$Q$2902,T$2,0)&lt;&gt;D1793,"Beam Revised","")</f>
        <v>#N/A</v>
      </c>
      <c r="U1793" s="7" t="e">
        <f>IF(VLOOKUP($A1793,'Concrete Beam Schedule'!$A$2:$Q$2902,U$2,0)&lt;&gt;E1793,"Beam Revised","")</f>
        <v>#N/A</v>
      </c>
      <c r="V1793" s="7" t="e">
        <f>IF(VLOOKUP($A1793,'Concrete Beam Schedule'!$A$2:$Q$2902,V$2,0)&lt;&gt;F1793,"Beam Revised","")</f>
        <v>#N/A</v>
      </c>
      <c r="W1793" s="7" t="e">
        <f>IF(VLOOKUP($A1793,'Concrete Beam Schedule'!$A$2:$Q$2902,W$2,0)&lt;&gt;G1793,"Beam Revised","")</f>
        <v>#N/A</v>
      </c>
      <c r="X1793" s="7" t="e">
        <f>IF(VLOOKUP($A1793,'Concrete Beam Schedule'!$A$2:$Q$2902,X$2,0)&lt;&gt;H1793,"Beam Revised","")</f>
        <v>#N/A</v>
      </c>
      <c r="Y1793" s="7" t="e">
        <f>IF(VLOOKUP($A1793,'Concrete Beam Schedule'!$A$2:$Q$2902,Y$2,0)&lt;&gt;I1793,"Beam Revised","")</f>
        <v>#N/A</v>
      </c>
      <c r="Z1793" s="7" t="e">
        <f>IF(VLOOKUP($A1793,'Concrete Beam Schedule'!$A$2:$Q$2902,Z$2,0)&lt;&gt;J1793,"Beam Revised","")</f>
        <v>#N/A</v>
      </c>
      <c r="AA1793" s="7" t="e">
        <f>IF(VLOOKUP($A1793,'Concrete Beam Schedule'!$A$2:$Q$2902,AA$2,0)&lt;&gt;K1793,"Beam Revised","")</f>
        <v>#N/A</v>
      </c>
      <c r="AB1793" s="7" t="e">
        <f>IF(VLOOKUP($A1793,'Concrete Beam Schedule'!$A$2:$Q$2902,AB$2,0)&lt;&gt;L1793,"Beam Revised","")</f>
        <v>#N/A</v>
      </c>
      <c r="AC1793" s="7" t="e">
        <f>IF(VLOOKUP($A1793,'Concrete Beam Schedule'!$A$2:$Q$2902,AC$2,0)&lt;&gt;M1793,"Beam Revised","")</f>
        <v>#N/A</v>
      </c>
      <c r="AD1793" s="7" t="e">
        <f>IF(VLOOKUP($A1793,'Concrete Beam Schedule'!$A$2:$Q$2902,AD$2,0)&lt;&gt;N1793,"Beam Revised","")</f>
        <v>#N/A</v>
      </c>
      <c r="AE1793" s="7" t="e">
        <f>IF(VLOOKUP($A1793,'Concrete Beam Schedule'!$A$2:$Q$2902,AE$2,0)&lt;&gt;O1793,"Beam Revised","")</f>
        <v>#N/A</v>
      </c>
    </row>
    <row r="1794" spans="17:31" ht="20.100000000000001" customHeight="1" x14ac:dyDescent="0.25">
      <c r="Q1794" s="7">
        <f t="shared" si="27"/>
        <v>0</v>
      </c>
      <c r="R1794" s="7" t="e">
        <f>IF(VLOOKUP($A1794,'Concrete Beam Schedule'!$A$2:$Q$2902,R$2,0)&lt;&gt;B1794,VLOOKUP($A1794,'Concrete Beam Schedule'!$A$2:$Q$2902,R$2,0),"")</f>
        <v>#N/A</v>
      </c>
      <c r="S1794" s="7" t="e">
        <f>IF(VLOOKUP($A1794,'Concrete Beam Schedule'!$A$2:$Q$2902,S$2,0)&lt;&gt;C1794,VLOOKUP($A1794,'Concrete Beam Schedule'!$A$2:$Q$2902,S$2,0),"")</f>
        <v>#N/A</v>
      </c>
      <c r="T1794" s="7" t="e">
        <f>IF(VLOOKUP($A1794,'Concrete Beam Schedule'!$A$2:$Q$2902,T$2,0)&lt;&gt;D1794,"Beam Revised","")</f>
        <v>#N/A</v>
      </c>
      <c r="U1794" s="7" t="e">
        <f>IF(VLOOKUP($A1794,'Concrete Beam Schedule'!$A$2:$Q$2902,U$2,0)&lt;&gt;E1794,"Beam Revised","")</f>
        <v>#N/A</v>
      </c>
      <c r="V1794" s="7" t="e">
        <f>IF(VLOOKUP($A1794,'Concrete Beam Schedule'!$A$2:$Q$2902,V$2,0)&lt;&gt;F1794,"Beam Revised","")</f>
        <v>#N/A</v>
      </c>
      <c r="W1794" s="7" t="e">
        <f>IF(VLOOKUP($A1794,'Concrete Beam Schedule'!$A$2:$Q$2902,W$2,0)&lt;&gt;G1794,"Beam Revised","")</f>
        <v>#N/A</v>
      </c>
      <c r="X1794" s="7" t="e">
        <f>IF(VLOOKUP($A1794,'Concrete Beam Schedule'!$A$2:$Q$2902,X$2,0)&lt;&gt;H1794,"Beam Revised","")</f>
        <v>#N/A</v>
      </c>
      <c r="Y1794" s="7" t="e">
        <f>IF(VLOOKUP($A1794,'Concrete Beam Schedule'!$A$2:$Q$2902,Y$2,0)&lt;&gt;I1794,"Beam Revised","")</f>
        <v>#N/A</v>
      </c>
      <c r="Z1794" s="7" t="e">
        <f>IF(VLOOKUP($A1794,'Concrete Beam Schedule'!$A$2:$Q$2902,Z$2,0)&lt;&gt;J1794,"Beam Revised","")</f>
        <v>#N/A</v>
      </c>
      <c r="AA1794" s="7" t="e">
        <f>IF(VLOOKUP($A1794,'Concrete Beam Schedule'!$A$2:$Q$2902,AA$2,0)&lt;&gt;K1794,"Beam Revised","")</f>
        <v>#N/A</v>
      </c>
      <c r="AB1794" s="7" t="e">
        <f>IF(VLOOKUP($A1794,'Concrete Beam Schedule'!$A$2:$Q$2902,AB$2,0)&lt;&gt;L1794,"Beam Revised","")</f>
        <v>#N/A</v>
      </c>
      <c r="AC1794" s="7" t="e">
        <f>IF(VLOOKUP($A1794,'Concrete Beam Schedule'!$A$2:$Q$2902,AC$2,0)&lt;&gt;M1794,"Beam Revised","")</f>
        <v>#N/A</v>
      </c>
      <c r="AD1794" s="7" t="e">
        <f>IF(VLOOKUP($A1794,'Concrete Beam Schedule'!$A$2:$Q$2902,AD$2,0)&lt;&gt;N1794,"Beam Revised","")</f>
        <v>#N/A</v>
      </c>
      <c r="AE1794" s="7" t="e">
        <f>IF(VLOOKUP($A1794,'Concrete Beam Schedule'!$A$2:$Q$2902,AE$2,0)&lt;&gt;O1794,"Beam Revised","")</f>
        <v>#N/A</v>
      </c>
    </row>
    <row r="1795" spans="17:31" ht="20.100000000000001" customHeight="1" x14ac:dyDescent="0.25">
      <c r="Q1795" s="7">
        <f t="shared" si="27"/>
        <v>0</v>
      </c>
      <c r="R1795" s="7" t="e">
        <f>IF(VLOOKUP($A1795,'Concrete Beam Schedule'!$A$2:$Q$2902,R$2,0)&lt;&gt;B1795,VLOOKUP($A1795,'Concrete Beam Schedule'!$A$2:$Q$2902,R$2,0),"")</f>
        <v>#N/A</v>
      </c>
      <c r="S1795" s="7" t="e">
        <f>IF(VLOOKUP($A1795,'Concrete Beam Schedule'!$A$2:$Q$2902,S$2,0)&lt;&gt;C1795,VLOOKUP($A1795,'Concrete Beam Schedule'!$A$2:$Q$2902,S$2,0),"")</f>
        <v>#N/A</v>
      </c>
      <c r="T1795" s="7" t="e">
        <f>IF(VLOOKUP($A1795,'Concrete Beam Schedule'!$A$2:$Q$2902,T$2,0)&lt;&gt;D1795,"Beam Revised","")</f>
        <v>#N/A</v>
      </c>
      <c r="U1795" s="7" t="e">
        <f>IF(VLOOKUP($A1795,'Concrete Beam Schedule'!$A$2:$Q$2902,U$2,0)&lt;&gt;E1795,"Beam Revised","")</f>
        <v>#N/A</v>
      </c>
      <c r="V1795" s="7" t="e">
        <f>IF(VLOOKUP($A1795,'Concrete Beam Schedule'!$A$2:$Q$2902,V$2,0)&lt;&gt;F1795,"Beam Revised","")</f>
        <v>#N/A</v>
      </c>
      <c r="W1795" s="7" t="e">
        <f>IF(VLOOKUP($A1795,'Concrete Beam Schedule'!$A$2:$Q$2902,W$2,0)&lt;&gt;G1795,"Beam Revised","")</f>
        <v>#N/A</v>
      </c>
      <c r="X1795" s="7" t="e">
        <f>IF(VLOOKUP($A1795,'Concrete Beam Schedule'!$A$2:$Q$2902,X$2,0)&lt;&gt;H1795,"Beam Revised","")</f>
        <v>#N/A</v>
      </c>
      <c r="Y1795" s="7" t="e">
        <f>IF(VLOOKUP($A1795,'Concrete Beam Schedule'!$A$2:$Q$2902,Y$2,0)&lt;&gt;I1795,"Beam Revised","")</f>
        <v>#N/A</v>
      </c>
      <c r="Z1795" s="7" t="e">
        <f>IF(VLOOKUP($A1795,'Concrete Beam Schedule'!$A$2:$Q$2902,Z$2,0)&lt;&gt;J1795,"Beam Revised","")</f>
        <v>#N/A</v>
      </c>
      <c r="AA1795" s="7" t="e">
        <f>IF(VLOOKUP($A1795,'Concrete Beam Schedule'!$A$2:$Q$2902,AA$2,0)&lt;&gt;K1795,"Beam Revised","")</f>
        <v>#N/A</v>
      </c>
      <c r="AB1795" s="7" t="e">
        <f>IF(VLOOKUP($A1795,'Concrete Beam Schedule'!$A$2:$Q$2902,AB$2,0)&lt;&gt;L1795,"Beam Revised","")</f>
        <v>#N/A</v>
      </c>
      <c r="AC1795" s="7" t="e">
        <f>IF(VLOOKUP($A1795,'Concrete Beam Schedule'!$A$2:$Q$2902,AC$2,0)&lt;&gt;M1795,"Beam Revised","")</f>
        <v>#N/A</v>
      </c>
      <c r="AD1795" s="7" t="e">
        <f>IF(VLOOKUP($A1795,'Concrete Beam Schedule'!$A$2:$Q$2902,AD$2,0)&lt;&gt;N1795,"Beam Revised","")</f>
        <v>#N/A</v>
      </c>
      <c r="AE1795" s="7" t="e">
        <f>IF(VLOOKUP($A1795,'Concrete Beam Schedule'!$A$2:$Q$2902,AE$2,0)&lt;&gt;O1795,"Beam Revised","")</f>
        <v>#N/A</v>
      </c>
    </row>
    <row r="1796" spans="17:31" ht="20.100000000000001" customHeight="1" x14ac:dyDescent="0.25">
      <c r="Q1796" s="7">
        <f t="shared" ref="Q1796:Q1859" si="28">A1796</f>
        <v>0</v>
      </c>
      <c r="R1796" s="7" t="e">
        <f>IF(VLOOKUP($A1796,'Concrete Beam Schedule'!$A$2:$Q$2902,R$2,0)&lt;&gt;B1796,VLOOKUP($A1796,'Concrete Beam Schedule'!$A$2:$Q$2902,R$2,0),"")</f>
        <v>#N/A</v>
      </c>
      <c r="S1796" s="7" t="e">
        <f>IF(VLOOKUP($A1796,'Concrete Beam Schedule'!$A$2:$Q$2902,S$2,0)&lt;&gt;C1796,VLOOKUP($A1796,'Concrete Beam Schedule'!$A$2:$Q$2902,S$2,0),"")</f>
        <v>#N/A</v>
      </c>
      <c r="T1796" s="7" t="e">
        <f>IF(VLOOKUP($A1796,'Concrete Beam Schedule'!$A$2:$Q$2902,T$2,0)&lt;&gt;D1796,"Beam Revised","")</f>
        <v>#N/A</v>
      </c>
      <c r="U1796" s="7" t="e">
        <f>IF(VLOOKUP($A1796,'Concrete Beam Schedule'!$A$2:$Q$2902,U$2,0)&lt;&gt;E1796,"Beam Revised","")</f>
        <v>#N/A</v>
      </c>
      <c r="V1796" s="7" t="e">
        <f>IF(VLOOKUP($A1796,'Concrete Beam Schedule'!$A$2:$Q$2902,V$2,0)&lt;&gt;F1796,"Beam Revised","")</f>
        <v>#N/A</v>
      </c>
      <c r="W1796" s="7" t="e">
        <f>IF(VLOOKUP($A1796,'Concrete Beam Schedule'!$A$2:$Q$2902,W$2,0)&lt;&gt;G1796,"Beam Revised","")</f>
        <v>#N/A</v>
      </c>
      <c r="X1796" s="7" t="e">
        <f>IF(VLOOKUP($A1796,'Concrete Beam Schedule'!$A$2:$Q$2902,X$2,0)&lt;&gt;H1796,"Beam Revised","")</f>
        <v>#N/A</v>
      </c>
      <c r="Y1796" s="7" t="e">
        <f>IF(VLOOKUP($A1796,'Concrete Beam Schedule'!$A$2:$Q$2902,Y$2,0)&lt;&gt;I1796,"Beam Revised","")</f>
        <v>#N/A</v>
      </c>
      <c r="Z1796" s="7" t="e">
        <f>IF(VLOOKUP($A1796,'Concrete Beam Schedule'!$A$2:$Q$2902,Z$2,0)&lt;&gt;J1796,"Beam Revised","")</f>
        <v>#N/A</v>
      </c>
      <c r="AA1796" s="7" t="e">
        <f>IF(VLOOKUP($A1796,'Concrete Beam Schedule'!$A$2:$Q$2902,AA$2,0)&lt;&gt;K1796,"Beam Revised","")</f>
        <v>#N/A</v>
      </c>
      <c r="AB1796" s="7" t="e">
        <f>IF(VLOOKUP($A1796,'Concrete Beam Schedule'!$A$2:$Q$2902,AB$2,0)&lt;&gt;L1796,"Beam Revised","")</f>
        <v>#N/A</v>
      </c>
      <c r="AC1796" s="7" t="e">
        <f>IF(VLOOKUP($A1796,'Concrete Beam Schedule'!$A$2:$Q$2902,AC$2,0)&lt;&gt;M1796,"Beam Revised","")</f>
        <v>#N/A</v>
      </c>
      <c r="AD1796" s="7" t="e">
        <f>IF(VLOOKUP($A1796,'Concrete Beam Schedule'!$A$2:$Q$2902,AD$2,0)&lt;&gt;N1796,"Beam Revised","")</f>
        <v>#N/A</v>
      </c>
      <c r="AE1796" s="7" t="e">
        <f>IF(VLOOKUP($A1796,'Concrete Beam Schedule'!$A$2:$Q$2902,AE$2,0)&lt;&gt;O1796,"Beam Revised","")</f>
        <v>#N/A</v>
      </c>
    </row>
    <row r="1797" spans="17:31" ht="20.100000000000001" customHeight="1" x14ac:dyDescent="0.25">
      <c r="Q1797" s="7">
        <f t="shared" si="28"/>
        <v>0</v>
      </c>
      <c r="R1797" s="7" t="e">
        <f>IF(VLOOKUP($A1797,'Concrete Beam Schedule'!$A$2:$Q$2902,R$2,0)&lt;&gt;B1797,VLOOKUP($A1797,'Concrete Beam Schedule'!$A$2:$Q$2902,R$2,0),"")</f>
        <v>#N/A</v>
      </c>
      <c r="S1797" s="7" t="e">
        <f>IF(VLOOKUP($A1797,'Concrete Beam Schedule'!$A$2:$Q$2902,S$2,0)&lt;&gt;C1797,VLOOKUP($A1797,'Concrete Beam Schedule'!$A$2:$Q$2902,S$2,0),"")</f>
        <v>#N/A</v>
      </c>
      <c r="T1797" s="7" t="e">
        <f>IF(VLOOKUP($A1797,'Concrete Beam Schedule'!$A$2:$Q$2902,T$2,0)&lt;&gt;D1797,"Beam Revised","")</f>
        <v>#N/A</v>
      </c>
      <c r="U1797" s="7" t="e">
        <f>IF(VLOOKUP($A1797,'Concrete Beam Schedule'!$A$2:$Q$2902,U$2,0)&lt;&gt;E1797,"Beam Revised","")</f>
        <v>#N/A</v>
      </c>
      <c r="V1797" s="7" t="e">
        <f>IF(VLOOKUP($A1797,'Concrete Beam Schedule'!$A$2:$Q$2902,V$2,0)&lt;&gt;F1797,"Beam Revised","")</f>
        <v>#N/A</v>
      </c>
      <c r="W1797" s="7" t="e">
        <f>IF(VLOOKUP($A1797,'Concrete Beam Schedule'!$A$2:$Q$2902,W$2,0)&lt;&gt;G1797,"Beam Revised","")</f>
        <v>#N/A</v>
      </c>
      <c r="X1797" s="7" t="e">
        <f>IF(VLOOKUP($A1797,'Concrete Beam Schedule'!$A$2:$Q$2902,X$2,0)&lt;&gt;H1797,"Beam Revised","")</f>
        <v>#N/A</v>
      </c>
      <c r="Y1797" s="7" t="e">
        <f>IF(VLOOKUP($A1797,'Concrete Beam Schedule'!$A$2:$Q$2902,Y$2,0)&lt;&gt;I1797,"Beam Revised","")</f>
        <v>#N/A</v>
      </c>
      <c r="Z1797" s="7" t="e">
        <f>IF(VLOOKUP($A1797,'Concrete Beam Schedule'!$A$2:$Q$2902,Z$2,0)&lt;&gt;J1797,"Beam Revised","")</f>
        <v>#N/A</v>
      </c>
      <c r="AA1797" s="7" t="e">
        <f>IF(VLOOKUP($A1797,'Concrete Beam Schedule'!$A$2:$Q$2902,AA$2,0)&lt;&gt;K1797,"Beam Revised","")</f>
        <v>#N/A</v>
      </c>
      <c r="AB1797" s="7" t="e">
        <f>IF(VLOOKUP($A1797,'Concrete Beam Schedule'!$A$2:$Q$2902,AB$2,0)&lt;&gt;L1797,"Beam Revised","")</f>
        <v>#N/A</v>
      </c>
      <c r="AC1797" s="7" t="e">
        <f>IF(VLOOKUP($A1797,'Concrete Beam Schedule'!$A$2:$Q$2902,AC$2,0)&lt;&gt;M1797,"Beam Revised","")</f>
        <v>#N/A</v>
      </c>
      <c r="AD1797" s="7" t="e">
        <f>IF(VLOOKUP($A1797,'Concrete Beam Schedule'!$A$2:$Q$2902,AD$2,0)&lt;&gt;N1797,"Beam Revised","")</f>
        <v>#N/A</v>
      </c>
      <c r="AE1797" s="7" t="e">
        <f>IF(VLOOKUP($A1797,'Concrete Beam Schedule'!$A$2:$Q$2902,AE$2,0)&lt;&gt;O1797,"Beam Revised","")</f>
        <v>#N/A</v>
      </c>
    </row>
    <row r="1798" spans="17:31" ht="20.100000000000001" customHeight="1" x14ac:dyDescent="0.25">
      <c r="Q1798" s="7">
        <f t="shared" si="28"/>
        <v>0</v>
      </c>
      <c r="R1798" s="7" t="e">
        <f>IF(VLOOKUP($A1798,'Concrete Beam Schedule'!$A$2:$Q$2902,R$2,0)&lt;&gt;B1798,VLOOKUP($A1798,'Concrete Beam Schedule'!$A$2:$Q$2902,R$2,0),"")</f>
        <v>#N/A</v>
      </c>
      <c r="S1798" s="7" t="e">
        <f>IF(VLOOKUP($A1798,'Concrete Beam Schedule'!$A$2:$Q$2902,S$2,0)&lt;&gt;C1798,VLOOKUP($A1798,'Concrete Beam Schedule'!$A$2:$Q$2902,S$2,0),"")</f>
        <v>#N/A</v>
      </c>
      <c r="T1798" s="7" t="e">
        <f>IF(VLOOKUP($A1798,'Concrete Beam Schedule'!$A$2:$Q$2902,T$2,0)&lt;&gt;D1798,"Beam Revised","")</f>
        <v>#N/A</v>
      </c>
      <c r="U1798" s="7" t="e">
        <f>IF(VLOOKUP($A1798,'Concrete Beam Schedule'!$A$2:$Q$2902,U$2,0)&lt;&gt;E1798,"Beam Revised","")</f>
        <v>#N/A</v>
      </c>
      <c r="V1798" s="7" t="e">
        <f>IF(VLOOKUP($A1798,'Concrete Beam Schedule'!$A$2:$Q$2902,V$2,0)&lt;&gt;F1798,"Beam Revised","")</f>
        <v>#N/A</v>
      </c>
      <c r="W1798" s="7" t="e">
        <f>IF(VLOOKUP($A1798,'Concrete Beam Schedule'!$A$2:$Q$2902,W$2,0)&lt;&gt;G1798,"Beam Revised","")</f>
        <v>#N/A</v>
      </c>
      <c r="X1798" s="7" t="e">
        <f>IF(VLOOKUP($A1798,'Concrete Beam Schedule'!$A$2:$Q$2902,X$2,0)&lt;&gt;H1798,"Beam Revised","")</f>
        <v>#N/A</v>
      </c>
      <c r="Y1798" s="7" t="e">
        <f>IF(VLOOKUP($A1798,'Concrete Beam Schedule'!$A$2:$Q$2902,Y$2,0)&lt;&gt;I1798,"Beam Revised","")</f>
        <v>#N/A</v>
      </c>
      <c r="Z1798" s="7" t="e">
        <f>IF(VLOOKUP($A1798,'Concrete Beam Schedule'!$A$2:$Q$2902,Z$2,0)&lt;&gt;J1798,"Beam Revised","")</f>
        <v>#N/A</v>
      </c>
      <c r="AA1798" s="7" t="e">
        <f>IF(VLOOKUP($A1798,'Concrete Beam Schedule'!$A$2:$Q$2902,AA$2,0)&lt;&gt;K1798,"Beam Revised","")</f>
        <v>#N/A</v>
      </c>
      <c r="AB1798" s="7" t="e">
        <f>IF(VLOOKUP($A1798,'Concrete Beam Schedule'!$A$2:$Q$2902,AB$2,0)&lt;&gt;L1798,"Beam Revised","")</f>
        <v>#N/A</v>
      </c>
      <c r="AC1798" s="7" t="e">
        <f>IF(VLOOKUP($A1798,'Concrete Beam Schedule'!$A$2:$Q$2902,AC$2,0)&lt;&gt;M1798,"Beam Revised","")</f>
        <v>#N/A</v>
      </c>
      <c r="AD1798" s="7" t="e">
        <f>IF(VLOOKUP($A1798,'Concrete Beam Schedule'!$A$2:$Q$2902,AD$2,0)&lt;&gt;N1798,"Beam Revised","")</f>
        <v>#N/A</v>
      </c>
      <c r="AE1798" s="7" t="e">
        <f>IF(VLOOKUP($A1798,'Concrete Beam Schedule'!$A$2:$Q$2902,AE$2,0)&lt;&gt;O1798,"Beam Revised","")</f>
        <v>#N/A</v>
      </c>
    </row>
    <row r="1799" spans="17:31" ht="20.100000000000001" customHeight="1" x14ac:dyDescent="0.25">
      <c r="Q1799" s="7">
        <f t="shared" si="28"/>
        <v>0</v>
      </c>
      <c r="R1799" s="7" t="e">
        <f>IF(VLOOKUP($A1799,'Concrete Beam Schedule'!$A$2:$Q$2902,R$2,0)&lt;&gt;B1799,VLOOKUP($A1799,'Concrete Beam Schedule'!$A$2:$Q$2902,R$2,0),"")</f>
        <v>#N/A</v>
      </c>
      <c r="S1799" s="7" t="e">
        <f>IF(VLOOKUP($A1799,'Concrete Beam Schedule'!$A$2:$Q$2902,S$2,0)&lt;&gt;C1799,VLOOKUP($A1799,'Concrete Beam Schedule'!$A$2:$Q$2902,S$2,0),"")</f>
        <v>#N/A</v>
      </c>
      <c r="T1799" s="7" t="e">
        <f>IF(VLOOKUP($A1799,'Concrete Beam Schedule'!$A$2:$Q$2902,T$2,0)&lt;&gt;D1799,"Beam Revised","")</f>
        <v>#N/A</v>
      </c>
      <c r="U1799" s="7" t="e">
        <f>IF(VLOOKUP($A1799,'Concrete Beam Schedule'!$A$2:$Q$2902,U$2,0)&lt;&gt;E1799,"Beam Revised","")</f>
        <v>#N/A</v>
      </c>
      <c r="V1799" s="7" t="e">
        <f>IF(VLOOKUP($A1799,'Concrete Beam Schedule'!$A$2:$Q$2902,V$2,0)&lt;&gt;F1799,"Beam Revised","")</f>
        <v>#N/A</v>
      </c>
      <c r="W1799" s="7" t="e">
        <f>IF(VLOOKUP($A1799,'Concrete Beam Schedule'!$A$2:$Q$2902,W$2,0)&lt;&gt;G1799,"Beam Revised","")</f>
        <v>#N/A</v>
      </c>
      <c r="X1799" s="7" t="e">
        <f>IF(VLOOKUP($A1799,'Concrete Beam Schedule'!$A$2:$Q$2902,X$2,0)&lt;&gt;H1799,"Beam Revised","")</f>
        <v>#N/A</v>
      </c>
      <c r="Y1799" s="7" t="e">
        <f>IF(VLOOKUP($A1799,'Concrete Beam Schedule'!$A$2:$Q$2902,Y$2,0)&lt;&gt;I1799,"Beam Revised","")</f>
        <v>#N/A</v>
      </c>
      <c r="Z1799" s="7" t="e">
        <f>IF(VLOOKUP($A1799,'Concrete Beam Schedule'!$A$2:$Q$2902,Z$2,0)&lt;&gt;J1799,"Beam Revised","")</f>
        <v>#N/A</v>
      </c>
      <c r="AA1799" s="7" t="e">
        <f>IF(VLOOKUP($A1799,'Concrete Beam Schedule'!$A$2:$Q$2902,AA$2,0)&lt;&gt;K1799,"Beam Revised","")</f>
        <v>#N/A</v>
      </c>
      <c r="AB1799" s="7" t="e">
        <f>IF(VLOOKUP($A1799,'Concrete Beam Schedule'!$A$2:$Q$2902,AB$2,0)&lt;&gt;L1799,"Beam Revised","")</f>
        <v>#N/A</v>
      </c>
      <c r="AC1799" s="7" t="e">
        <f>IF(VLOOKUP($A1799,'Concrete Beam Schedule'!$A$2:$Q$2902,AC$2,0)&lt;&gt;M1799,"Beam Revised","")</f>
        <v>#N/A</v>
      </c>
      <c r="AD1799" s="7" t="e">
        <f>IF(VLOOKUP($A1799,'Concrete Beam Schedule'!$A$2:$Q$2902,AD$2,0)&lt;&gt;N1799,"Beam Revised","")</f>
        <v>#N/A</v>
      </c>
      <c r="AE1799" s="7" t="e">
        <f>IF(VLOOKUP($A1799,'Concrete Beam Schedule'!$A$2:$Q$2902,AE$2,0)&lt;&gt;O1799,"Beam Revised","")</f>
        <v>#N/A</v>
      </c>
    </row>
    <row r="1800" spans="17:31" ht="20.100000000000001" customHeight="1" x14ac:dyDescent="0.25">
      <c r="Q1800" s="7">
        <f t="shared" si="28"/>
        <v>0</v>
      </c>
      <c r="R1800" s="7" t="e">
        <f>IF(VLOOKUP($A1800,'Concrete Beam Schedule'!$A$2:$Q$2902,R$2,0)&lt;&gt;B1800,VLOOKUP($A1800,'Concrete Beam Schedule'!$A$2:$Q$2902,R$2,0),"")</f>
        <v>#N/A</v>
      </c>
      <c r="S1800" s="7" t="e">
        <f>IF(VLOOKUP($A1800,'Concrete Beam Schedule'!$A$2:$Q$2902,S$2,0)&lt;&gt;C1800,VLOOKUP($A1800,'Concrete Beam Schedule'!$A$2:$Q$2902,S$2,0),"")</f>
        <v>#N/A</v>
      </c>
      <c r="T1800" s="7" t="e">
        <f>IF(VLOOKUP($A1800,'Concrete Beam Schedule'!$A$2:$Q$2902,T$2,0)&lt;&gt;D1800,"Beam Revised","")</f>
        <v>#N/A</v>
      </c>
      <c r="U1800" s="7" t="e">
        <f>IF(VLOOKUP($A1800,'Concrete Beam Schedule'!$A$2:$Q$2902,U$2,0)&lt;&gt;E1800,"Beam Revised","")</f>
        <v>#N/A</v>
      </c>
      <c r="V1800" s="7" t="e">
        <f>IF(VLOOKUP($A1800,'Concrete Beam Schedule'!$A$2:$Q$2902,V$2,0)&lt;&gt;F1800,"Beam Revised","")</f>
        <v>#N/A</v>
      </c>
      <c r="W1800" s="7" t="e">
        <f>IF(VLOOKUP($A1800,'Concrete Beam Schedule'!$A$2:$Q$2902,W$2,0)&lt;&gt;G1800,"Beam Revised","")</f>
        <v>#N/A</v>
      </c>
      <c r="X1800" s="7" t="e">
        <f>IF(VLOOKUP($A1800,'Concrete Beam Schedule'!$A$2:$Q$2902,X$2,0)&lt;&gt;H1800,"Beam Revised","")</f>
        <v>#N/A</v>
      </c>
      <c r="Y1800" s="7" t="e">
        <f>IF(VLOOKUP($A1800,'Concrete Beam Schedule'!$A$2:$Q$2902,Y$2,0)&lt;&gt;I1800,"Beam Revised","")</f>
        <v>#N/A</v>
      </c>
      <c r="Z1800" s="7" t="e">
        <f>IF(VLOOKUP($A1800,'Concrete Beam Schedule'!$A$2:$Q$2902,Z$2,0)&lt;&gt;J1800,"Beam Revised","")</f>
        <v>#N/A</v>
      </c>
      <c r="AA1800" s="7" t="e">
        <f>IF(VLOOKUP($A1800,'Concrete Beam Schedule'!$A$2:$Q$2902,AA$2,0)&lt;&gt;K1800,"Beam Revised","")</f>
        <v>#N/A</v>
      </c>
      <c r="AB1800" s="7" t="e">
        <f>IF(VLOOKUP($A1800,'Concrete Beam Schedule'!$A$2:$Q$2902,AB$2,0)&lt;&gt;L1800,"Beam Revised","")</f>
        <v>#N/A</v>
      </c>
      <c r="AC1800" s="7" t="e">
        <f>IF(VLOOKUP($A1800,'Concrete Beam Schedule'!$A$2:$Q$2902,AC$2,0)&lt;&gt;M1800,"Beam Revised","")</f>
        <v>#N/A</v>
      </c>
      <c r="AD1800" s="7" t="e">
        <f>IF(VLOOKUP($A1800,'Concrete Beam Schedule'!$A$2:$Q$2902,AD$2,0)&lt;&gt;N1800,"Beam Revised","")</f>
        <v>#N/A</v>
      </c>
      <c r="AE1800" s="7" t="e">
        <f>IF(VLOOKUP($A1800,'Concrete Beam Schedule'!$A$2:$Q$2902,AE$2,0)&lt;&gt;O1800,"Beam Revised","")</f>
        <v>#N/A</v>
      </c>
    </row>
    <row r="1801" spans="17:31" ht="20.100000000000001" customHeight="1" x14ac:dyDescent="0.25">
      <c r="Q1801" s="7">
        <f t="shared" si="28"/>
        <v>0</v>
      </c>
      <c r="R1801" s="7" t="e">
        <f>IF(VLOOKUP($A1801,'Concrete Beam Schedule'!$A$2:$Q$2902,R$2,0)&lt;&gt;B1801,VLOOKUP($A1801,'Concrete Beam Schedule'!$A$2:$Q$2902,R$2,0),"")</f>
        <v>#N/A</v>
      </c>
      <c r="S1801" s="7" t="e">
        <f>IF(VLOOKUP($A1801,'Concrete Beam Schedule'!$A$2:$Q$2902,S$2,0)&lt;&gt;C1801,VLOOKUP($A1801,'Concrete Beam Schedule'!$A$2:$Q$2902,S$2,0),"")</f>
        <v>#N/A</v>
      </c>
      <c r="T1801" s="7" t="e">
        <f>IF(VLOOKUP($A1801,'Concrete Beam Schedule'!$A$2:$Q$2902,T$2,0)&lt;&gt;D1801,"Beam Revised","")</f>
        <v>#N/A</v>
      </c>
      <c r="U1801" s="7" t="e">
        <f>IF(VLOOKUP($A1801,'Concrete Beam Schedule'!$A$2:$Q$2902,U$2,0)&lt;&gt;E1801,"Beam Revised","")</f>
        <v>#N/A</v>
      </c>
      <c r="V1801" s="7" t="e">
        <f>IF(VLOOKUP($A1801,'Concrete Beam Schedule'!$A$2:$Q$2902,V$2,0)&lt;&gt;F1801,"Beam Revised","")</f>
        <v>#N/A</v>
      </c>
      <c r="W1801" s="7" t="e">
        <f>IF(VLOOKUP($A1801,'Concrete Beam Schedule'!$A$2:$Q$2902,W$2,0)&lt;&gt;G1801,"Beam Revised","")</f>
        <v>#N/A</v>
      </c>
      <c r="X1801" s="7" t="e">
        <f>IF(VLOOKUP($A1801,'Concrete Beam Schedule'!$A$2:$Q$2902,X$2,0)&lt;&gt;H1801,"Beam Revised","")</f>
        <v>#N/A</v>
      </c>
      <c r="Y1801" s="7" t="e">
        <f>IF(VLOOKUP($A1801,'Concrete Beam Schedule'!$A$2:$Q$2902,Y$2,0)&lt;&gt;I1801,"Beam Revised","")</f>
        <v>#N/A</v>
      </c>
      <c r="Z1801" s="7" t="e">
        <f>IF(VLOOKUP($A1801,'Concrete Beam Schedule'!$A$2:$Q$2902,Z$2,0)&lt;&gt;J1801,"Beam Revised","")</f>
        <v>#N/A</v>
      </c>
      <c r="AA1801" s="7" t="e">
        <f>IF(VLOOKUP($A1801,'Concrete Beam Schedule'!$A$2:$Q$2902,AA$2,0)&lt;&gt;K1801,"Beam Revised","")</f>
        <v>#N/A</v>
      </c>
      <c r="AB1801" s="7" t="e">
        <f>IF(VLOOKUP($A1801,'Concrete Beam Schedule'!$A$2:$Q$2902,AB$2,0)&lt;&gt;L1801,"Beam Revised","")</f>
        <v>#N/A</v>
      </c>
      <c r="AC1801" s="7" t="e">
        <f>IF(VLOOKUP($A1801,'Concrete Beam Schedule'!$A$2:$Q$2902,AC$2,0)&lt;&gt;M1801,"Beam Revised","")</f>
        <v>#N/A</v>
      </c>
      <c r="AD1801" s="7" t="e">
        <f>IF(VLOOKUP($A1801,'Concrete Beam Schedule'!$A$2:$Q$2902,AD$2,0)&lt;&gt;N1801,"Beam Revised","")</f>
        <v>#N/A</v>
      </c>
      <c r="AE1801" s="7" t="e">
        <f>IF(VLOOKUP($A1801,'Concrete Beam Schedule'!$A$2:$Q$2902,AE$2,0)&lt;&gt;O1801,"Beam Revised","")</f>
        <v>#N/A</v>
      </c>
    </row>
    <row r="1802" spans="17:31" ht="20.100000000000001" customHeight="1" x14ac:dyDescent="0.25">
      <c r="Q1802" s="7">
        <f t="shared" si="28"/>
        <v>0</v>
      </c>
      <c r="R1802" s="7" t="e">
        <f>IF(VLOOKUP($A1802,'Concrete Beam Schedule'!$A$2:$Q$2902,R$2,0)&lt;&gt;B1802,VLOOKUP($A1802,'Concrete Beam Schedule'!$A$2:$Q$2902,R$2,0),"")</f>
        <v>#N/A</v>
      </c>
      <c r="S1802" s="7" t="e">
        <f>IF(VLOOKUP($A1802,'Concrete Beam Schedule'!$A$2:$Q$2902,S$2,0)&lt;&gt;C1802,VLOOKUP($A1802,'Concrete Beam Schedule'!$A$2:$Q$2902,S$2,0),"")</f>
        <v>#N/A</v>
      </c>
      <c r="T1802" s="7" t="e">
        <f>IF(VLOOKUP($A1802,'Concrete Beam Schedule'!$A$2:$Q$2902,T$2,0)&lt;&gt;D1802,"Beam Revised","")</f>
        <v>#N/A</v>
      </c>
      <c r="U1802" s="7" t="e">
        <f>IF(VLOOKUP($A1802,'Concrete Beam Schedule'!$A$2:$Q$2902,U$2,0)&lt;&gt;E1802,"Beam Revised","")</f>
        <v>#N/A</v>
      </c>
      <c r="V1802" s="7" t="e">
        <f>IF(VLOOKUP($A1802,'Concrete Beam Schedule'!$A$2:$Q$2902,V$2,0)&lt;&gt;F1802,"Beam Revised","")</f>
        <v>#N/A</v>
      </c>
      <c r="W1802" s="7" t="e">
        <f>IF(VLOOKUP($A1802,'Concrete Beam Schedule'!$A$2:$Q$2902,W$2,0)&lt;&gt;G1802,"Beam Revised","")</f>
        <v>#N/A</v>
      </c>
      <c r="X1802" s="7" t="e">
        <f>IF(VLOOKUP($A1802,'Concrete Beam Schedule'!$A$2:$Q$2902,X$2,0)&lt;&gt;H1802,"Beam Revised","")</f>
        <v>#N/A</v>
      </c>
      <c r="Y1802" s="7" t="e">
        <f>IF(VLOOKUP($A1802,'Concrete Beam Schedule'!$A$2:$Q$2902,Y$2,0)&lt;&gt;I1802,"Beam Revised","")</f>
        <v>#N/A</v>
      </c>
      <c r="Z1802" s="7" t="e">
        <f>IF(VLOOKUP($A1802,'Concrete Beam Schedule'!$A$2:$Q$2902,Z$2,0)&lt;&gt;J1802,"Beam Revised","")</f>
        <v>#N/A</v>
      </c>
      <c r="AA1802" s="7" t="e">
        <f>IF(VLOOKUP($A1802,'Concrete Beam Schedule'!$A$2:$Q$2902,AA$2,0)&lt;&gt;K1802,"Beam Revised","")</f>
        <v>#N/A</v>
      </c>
      <c r="AB1802" s="7" t="e">
        <f>IF(VLOOKUP($A1802,'Concrete Beam Schedule'!$A$2:$Q$2902,AB$2,0)&lt;&gt;L1802,"Beam Revised","")</f>
        <v>#N/A</v>
      </c>
      <c r="AC1802" s="7" t="e">
        <f>IF(VLOOKUP($A1802,'Concrete Beam Schedule'!$A$2:$Q$2902,AC$2,0)&lt;&gt;M1802,"Beam Revised","")</f>
        <v>#N/A</v>
      </c>
      <c r="AD1802" s="7" t="e">
        <f>IF(VLOOKUP($A1802,'Concrete Beam Schedule'!$A$2:$Q$2902,AD$2,0)&lt;&gt;N1802,"Beam Revised","")</f>
        <v>#N/A</v>
      </c>
      <c r="AE1802" s="7" t="e">
        <f>IF(VLOOKUP($A1802,'Concrete Beam Schedule'!$A$2:$Q$2902,AE$2,0)&lt;&gt;O1802,"Beam Revised","")</f>
        <v>#N/A</v>
      </c>
    </row>
    <row r="1803" spans="17:31" ht="20.100000000000001" customHeight="1" x14ac:dyDescent="0.25">
      <c r="Q1803" s="7">
        <f t="shared" si="28"/>
        <v>0</v>
      </c>
      <c r="R1803" s="7" t="e">
        <f>IF(VLOOKUP($A1803,'Concrete Beam Schedule'!$A$2:$Q$2902,R$2,0)&lt;&gt;B1803,VLOOKUP($A1803,'Concrete Beam Schedule'!$A$2:$Q$2902,R$2,0),"")</f>
        <v>#N/A</v>
      </c>
      <c r="S1803" s="7" t="e">
        <f>IF(VLOOKUP($A1803,'Concrete Beam Schedule'!$A$2:$Q$2902,S$2,0)&lt;&gt;C1803,VLOOKUP($A1803,'Concrete Beam Schedule'!$A$2:$Q$2902,S$2,0),"")</f>
        <v>#N/A</v>
      </c>
      <c r="T1803" s="7" t="e">
        <f>IF(VLOOKUP($A1803,'Concrete Beam Schedule'!$A$2:$Q$2902,T$2,0)&lt;&gt;D1803,"Beam Revised","")</f>
        <v>#N/A</v>
      </c>
      <c r="U1803" s="7" t="e">
        <f>IF(VLOOKUP($A1803,'Concrete Beam Schedule'!$A$2:$Q$2902,U$2,0)&lt;&gt;E1803,"Beam Revised","")</f>
        <v>#N/A</v>
      </c>
      <c r="V1803" s="7" t="e">
        <f>IF(VLOOKUP($A1803,'Concrete Beam Schedule'!$A$2:$Q$2902,V$2,0)&lt;&gt;F1803,"Beam Revised","")</f>
        <v>#N/A</v>
      </c>
      <c r="W1803" s="7" t="e">
        <f>IF(VLOOKUP($A1803,'Concrete Beam Schedule'!$A$2:$Q$2902,W$2,0)&lt;&gt;G1803,"Beam Revised","")</f>
        <v>#N/A</v>
      </c>
      <c r="X1803" s="7" t="e">
        <f>IF(VLOOKUP($A1803,'Concrete Beam Schedule'!$A$2:$Q$2902,X$2,0)&lt;&gt;H1803,"Beam Revised","")</f>
        <v>#N/A</v>
      </c>
      <c r="Y1803" s="7" t="e">
        <f>IF(VLOOKUP($A1803,'Concrete Beam Schedule'!$A$2:$Q$2902,Y$2,0)&lt;&gt;I1803,"Beam Revised","")</f>
        <v>#N/A</v>
      </c>
      <c r="Z1803" s="7" t="e">
        <f>IF(VLOOKUP($A1803,'Concrete Beam Schedule'!$A$2:$Q$2902,Z$2,0)&lt;&gt;J1803,"Beam Revised","")</f>
        <v>#N/A</v>
      </c>
      <c r="AA1803" s="7" t="e">
        <f>IF(VLOOKUP($A1803,'Concrete Beam Schedule'!$A$2:$Q$2902,AA$2,0)&lt;&gt;K1803,"Beam Revised","")</f>
        <v>#N/A</v>
      </c>
      <c r="AB1803" s="7" t="e">
        <f>IF(VLOOKUP($A1803,'Concrete Beam Schedule'!$A$2:$Q$2902,AB$2,0)&lt;&gt;L1803,"Beam Revised","")</f>
        <v>#N/A</v>
      </c>
      <c r="AC1803" s="7" t="e">
        <f>IF(VLOOKUP($A1803,'Concrete Beam Schedule'!$A$2:$Q$2902,AC$2,0)&lt;&gt;M1803,"Beam Revised","")</f>
        <v>#N/A</v>
      </c>
      <c r="AD1803" s="7" t="e">
        <f>IF(VLOOKUP($A1803,'Concrete Beam Schedule'!$A$2:$Q$2902,AD$2,0)&lt;&gt;N1803,"Beam Revised","")</f>
        <v>#N/A</v>
      </c>
      <c r="AE1803" s="7" t="e">
        <f>IF(VLOOKUP($A1803,'Concrete Beam Schedule'!$A$2:$Q$2902,AE$2,0)&lt;&gt;O1803,"Beam Revised","")</f>
        <v>#N/A</v>
      </c>
    </row>
    <row r="1804" spans="17:31" ht="20.100000000000001" customHeight="1" x14ac:dyDescent="0.25">
      <c r="Q1804" s="7">
        <f t="shared" si="28"/>
        <v>0</v>
      </c>
      <c r="R1804" s="7" t="e">
        <f>IF(VLOOKUP($A1804,'Concrete Beam Schedule'!$A$2:$Q$2902,R$2,0)&lt;&gt;B1804,VLOOKUP($A1804,'Concrete Beam Schedule'!$A$2:$Q$2902,R$2,0),"")</f>
        <v>#N/A</v>
      </c>
      <c r="S1804" s="7" t="e">
        <f>IF(VLOOKUP($A1804,'Concrete Beam Schedule'!$A$2:$Q$2902,S$2,0)&lt;&gt;C1804,VLOOKUP($A1804,'Concrete Beam Schedule'!$A$2:$Q$2902,S$2,0),"")</f>
        <v>#N/A</v>
      </c>
      <c r="T1804" s="7" t="e">
        <f>IF(VLOOKUP($A1804,'Concrete Beam Schedule'!$A$2:$Q$2902,T$2,0)&lt;&gt;D1804,"Beam Revised","")</f>
        <v>#N/A</v>
      </c>
      <c r="U1804" s="7" t="e">
        <f>IF(VLOOKUP($A1804,'Concrete Beam Schedule'!$A$2:$Q$2902,U$2,0)&lt;&gt;E1804,"Beam Revised","")</f>
        <v>#N/A</v>
      </c>
      <c r="V1804" s="7" t="e">
        <f>IF(VLOOKUP($A1804,'Concrete Beam Schedule'!$A$2:$Q$2902,V$2,0)&lt;&gt;F1804,"Beam Revised","")</f>
        <v>#N/A</v>
      </c>
      <c r="W1804" s="7" t="e">
        <f>IF(VLOOKUP($A1804,'Concrete Beam Schedule'!$A$2:$Q$2902,W$2,0)&lt;&gt;G1804,"Beam Revised","")</f>
        <v>#N/A</v>
      </c>
      <c r="X1804" s="7" t="e">
        <f>IF(VLOOKUP($A1804,'Concrete Beam Schedule'!$A$2:$Q$2902,X$2,0)&lt;&gt;H1804,"Beam Revised","")</f>
        <v>#N/A</v>
      </c>
      <c r="Y1804" s="7" t="e">
        <f>IF(VLOOKUP($A1804,'Concrete Beam Schedule'!$A$2:$Q$2902,Y$2,0)&lt;&gt;I1804,"Beam Revised","")</f>
        <v>#N/A</v>
      </c>
      <c r="Z1804" s="7" t="e">
        <f>IF(VLOOKUP($A1804,'Concrete Beam Schedule'!$A$2:$Q$2902,Z$2,0)&lt;&gt;J1804,"Beam Revised","")</f>
        <v>#N/A</v>
      </c>
      <c r="AA1804" s="7" t="e">
        <f>IF(VLOOKUP($A1804,'Concrete Beam Schedule'!$A$2:$Q$2902,AA$2,0)&lt;&gt;K1804,"Beam Revised","")</f>
        <v>#N/A</v>
      </c>
      <c r="AB1804" s="7" t="e">
        <f>IF(VLOOKUP($A1804,'Concrete Beam Schedule'!$A$2:$Q$2902,AB$2,0)&lt;&gt;L1804,"Beam Revised","")</f>
        <v>#N/A</v>
      </c>
      <c r="AC1804" s="7" t="e">
        <f>IF(VLOOKUP($A1804,'Concrete Beam Schedule'!$A$2:$Q$2902,AC$2,0)&lt;&gt;M1804,"Beam Revised","")</f>
        <v>#N/A</v>
      </c>
      <c r="AD1804" s="7" t="e">
        <f>IF(VLOOKUP($A1804,'Concrete Beam Schedule'!$A$2:$Q$2902,AD$2,0)&lt;&gt;N1804,"Beam Revised","")</f>
        <v>#N/A</v>
      </c>
      <c r="AE1804" s="7" t="e">
        <f>IF(VLOOKUP($A1804,'Concrete Beam Schedule'!$A$2:$Q$2902,AE$2,0)&lt;&gt;O1804,"Beam Revised","")</f>
        <v>#N/A</v>
      </c>
    </row>
    <row r="1805" spans="17:31" ht="20.100000000000001" customHeight="1" x14ac:dyDescent="0.25">
      <c r="Q1805" s="7">
        <f t="shared" si="28"/>
        <v>0</v>
      </c>
      <c r="R1805" s="7" t="e">
        <f>IF(VLOOKUP($A1805,'Concrete Beam Schedule'!$A$2:$Q$2902,R$2,0)&lt;&gt;B1805,VLOOKUP($A1805,'Concrete Beam Schedule'!$A$2:$Q$2902,R$2,0),"")</f>
        <v>#N/A</v>
      </c>
      <c r="S1805" s="7" t="e">
        <f>IF(VLOOKUP($A1805,'Concrete Beam Schedule'!$A$2:$Q$2902,S$2,0)&lt;&gt;C1805,VLOOKUP($A1805,'Concrete Beam Schedule'!$A$2:$Q$2902,S$2,0),"")</f>
        <v>#N/A</v>
      </c>
      <c r="T1805" s="7" t="e">
        <f>IF(VLOOKUP($A1805,'Concrete Beam Schedule'!$A$2:$Q$2902,T$2,0)&lt;&gt;D1805,"Beam Revised","")</f>
        <v>#N/A</v>
      </c>
      <c r="U1805" s="7" t="e">
        <f>IF(VLOOKUP($A1805,'Concrete Beam Schedule'!$A$2:$Q$2902,U$2,0)&lt;&gt;E1805,"Beam Revised","")</f>
        <v>#N/A</v>
      </c>
      <c r="V1805" s="7" t="e">
        <f>IF(VLOOKUP($A1805,'Concrete Beam Schedule'!$A$2:$Q$2902,V$2,0)&lt;&gt;F1805,"Beam Revised","")</f>
        <v>#N/A</v>
      </c>
      <c r="W1805" s="7" t="e">
        <f>IF(VLOOKUP($A1805,'Concrete Beam Schedule'!$A$2:$Q$2902,W$2,0)&lt;&gt;G1805,"Beam Revised","")</f>
        <v>#N/A</v>
      </c>
      <c r="X1805" s="7" t="e">
        <f>IF(VLOOKUP($A1805,'Concrete Beam Schedule'!$A$2:$Q$2902,X$2,0)&lt;&gt;H1805,"Beam Revised","")</f>
        <v>#N/A</v>
      </c>
      <c r="Y1805" s="7" t="e">
        <f>IF(VLOOKUP($A1805,'Concrete Beam Schedule'!$A$2:$Q$2902,Y$2,0)&lt;&gt;I1805,"Beam Revised","")</f>
        <v>#N/A</v>
      </c>
      <c r="Z1805" s="7" t="e">
        <f>IF(VLOOKUP($A1805,'Concrete Beam Schedule'!$A$2:$Q$2902,Z$2,0)&lt;&gt;J1805,"Beam Revised","")</f>
        <v>#N/A</v>
      </c>
      <c r="AA1805" s="7" t="e">
        <f>IF(VLOOKUP($A1805,'Concrete Beam Schedule'!$A$2:$Q$2902,AA$2,0)&lt;&gt;K1805,"Beam Revised","")</f>
        <v>#N/A</v>
      </c>
      <c r="AB1805" s="7" t="e">
        <f>IF(VLOOKUP($A1805,'Concrete Beam Schedule'!$A$2:$Q$2902,AB$2,0)&lt;&gt;L1805,"Beam Revised","")</f>
        <v>#N/A</v>
      </c>
      <c r="AC1805" s="7" t="e">
        <f>IF(VLOOKUP($A1805,'Concrete Beam Schedule'!$A$2:$Q$2902,AC$2,0)&lt;&gt;M1805,"Beam Revised","")</f>
        <v>#N/A</v>
      </c>
      <c r="AD1805" s="7" t="e">
        <f>IF(VLOOKUP($A1805,'Concrete Beam Schedule'!$A$2:$Q$2902,AD$2,0)&lt;&gt;N1805,"Beam Revised","")</f>
        <v>#N/A</v>
      </c>
      <c r="AE1805" s="7" t="e">
        <f>IF(VLOOKUP($A1805,'Concrete Beam Schedule'!$A$2:$Q$2902,AE$2,0)&lt;&gt;O1805,"Beam Revised","")</f>
        <v>#N/A</v>
      </c>
    </row>
    <row r="1806" spans="17:31" ht="20.100000000000001" customHeight="1" x14ac:dyDescent="0.25">
      <c r="Q1806" s="7">
        <f t="shared" si="28"/>
        <v>0</v>
      </c>
      <c r="R1806" s="7" t="e">
        <f>IF(VLOOKUP($A1806,'Concrete Beam Schedule'!$A$2:$Q$2902,R$2,0)&lt;&gt;B1806,VLOOKUP($A1806,'Concrete Beam Schedule'!$A$2:$Q$2902,R$2,0),"")</f>
        <v>#N/A</v>
      </c>
      <c r="S1806" s="7" t="e">
        <f>IF(VLOOKUP($A1806,'Concrete Beam Schedule'!$A$2:$Q$2902,S$2,0)&lt;&gt;C1806,VLOOKUP($A1806,'Concrete Beam Schedule'!$A$2:$Q$2902,S$2,0),"")</f>
        <v>#N/A</v>
      </c>
      <c r="T1806" s="7" t="e">
        <f>IF(VLOOKUP($A1806,'Concrete Beam Schedule'!$A$2:$Q$2902,T$2,0)&lt;&gt;D1806,"Beam Revised","")</f>
        <v>#N/A</v>
      </c>
      <c r="U1806" s="7" t="e">
        <f>IF(VLOOKUP($A1806,'Concrete Beam Schedule'!$A$2:$Q$2902,U$2,0)&lt;&gt;E1806,"Beam Revised","")</f>
        <v>#N/A</v>
      </c>
      <c r="V1806" s="7" t="e">
        <f>IF(VLOOKUP($A1806,'Concrete Beam Schedule'!$A$2:$Q$2902,V$2,0)&lt;&gt;F1806,"Beam Revised","")</f>
        <v>#N/A</v>
      </c>
      <c r="W1806" s="7" t="e">
        <f>IF(VLOOKUP($A1806,'Concrete Beam Schedule'!$A$2:$Q$2902,W$2,0)&lt;&gt;G1806,"Beam Revised","")</f>
        <v>#N/A</v>
      </c>
      <c r="X1806" s="7" t="e">
        <f>IF(VLOOKUP($A1806,'Concrete Beam Schedule'!$A$2:$Q$2902,X$2,0)&lt;&gt;H1806,"Beam Revised","")</f>
        <v>#N/A</v>
      </c>
      <c r="Y1806" s="7" t="e">
        <f>IF(VLOOKUP($A1806,'Concrete Beam Schedule'!$A$2:$Q$2902,Y$2,0)&lt;&gt;I1806,"Beam Revised","")</f>
        <v>#N/A</v>
      </c>
      <c r="Z1806" s="7" t="e">
        <f>IF(VLOOKUP($A1806,'Concrete Beam Schedule'!$A$2:$Q$2902,Z$2,0)&lt;&gt;J1806,"Beam Revised","")</f>
        <v>#N/A</v>
      </c>
      <c r="AA1806" s="7" t="e">
        <f>IF(VLOOKUP($A1806,'Concrete Beam Schedule'!$A$2:$Q$2902,AA$2,0)&lt;&gt;K1806,"Beam Revised","")</f>
        <v>#N/A</v>
      </c>
      <c r="AB1806" s="7" t="e">
        <f>IF(VLOOKUP($A1806,'Concrete Beam Schedule'!$A$2:$Q$2902,AB$2,0)&lt;&gt;L1806,"Beam Revised","")</f>
        <v>#N/A</v>
      </c>
      <c r="AC1806" s="7" t="e">
        <f>IF(VLOOKUP($A1806,'Concrete Beam Schedule'!$A$2:$Q$2902,AC$2,0)&lt;&gt;M1806,"Beam Revised","")</f>
        <v>#N/A</v>
      </c>
      <c r="AD1806" s="7" t="e">
        <f>IF(VLOOKUP($A1806,'Concrete Beam Schedule'!$A$2:$Q$2902,AD$2,0)&lt;&gt;N1806,"Beam Revised","")</f>
        <v>#N/A</v>
      </c>
      <c r="AE1806" s="7" t="e">
        <f>IF(VLOOKUP($A1806,'Concrete Beam Schedule'!$A$2:$Q$2902,AE$2,0)&lt;&gt;O1806,"Beam Revised","")</f>
        <v>#N/A</v>
      </c>
    </row>
    <row r="1807" spans="17:31" ht="20.100000000000001" customHeight="1" x14ac:dyDescent="0.25">
      <c r="Q1807" s="7">
        <f t="shared" si="28"/>
        <v>0</v>
      </c>
      <c r="R1807" s="7" t="e">
        <f>IF(VLOOKUP($A1807,'Concrete Beam Schedule'!$A$2:$Q$2902,R$2,0)&lt;&gt;B1807,VLOOKUP($A1807,'Concrete Beam Schedule'!$A$2:$Q$2902,R$2,0),"")</f>
        <v>#N/A</v>
      </c>
      <c r="S1807" s="7" t="e">
        <f>IF(VLOOKUP($A1807,'Concrete Beam Schedule'!$A$2:$Q$2902,S$2,0)&lt;&gt;C1807,VLOOKUP($A1807,'Concrete Beam Schedule'!$A$2:$Q$2902,S$2,0),"")</f>
        <v>#N/A</v>
      </c>
      <c r="T1807" s="7" t="e">
        <f>IF(VLOOKUP($A1807,'Concrete Beam Schedule'!$A$2:$Q$2902,T$2,0)&lt;&gt;D1807,"Beam Revised","")</f>
        <v>#N/A</v>
      </c>
      <c r="U1807" s="7" t="e">
        <f>IF(VLOOKUP($A1807,'Concrete Beam Schedule'!$A$2:$Q$2902,U$2,0)&lt;&gt;E1807,"Beam Revised","")</f>
        <v>#N/A</v>
      </c>
      <c r="V1807" s="7" t="e">
        <f>IF(VLOOKUP($A1807,'Concrete Beam Schedule'!$A$2:$Q$2902,V$2,0)&lt;&gt;F1807,"Beam Revised","")</f>
        <v>#N/A</v>
      </c>
      <c r="W1807" s="7" t="e">
        <f>IF(VLOOKUP($A1807,'Concrete Beam Schedule'!$A$2:$Q$2902,W$2,0)&lt;&gt;G1807,"Beam Revised","")</f>
        <v>#N/A</v>
      </c>
      <c r="X1807" s="7" t="e">
        <f>IF(VLOOKUP($A1807,'Concrete Beam Schedule'!$A$2:$Q$2902,X$2,0)&lt;&gt;H1807,"Beam Revised","")</f>
        <v>#N/A</v>
      </c>
      <c r="Y1807" s="7" t="e">
        <f>IF(VLOOKUP($A1807,'Concrete Beam Schedule'!$A$2:$Q$2902,Y$2,0)&lt;&gt;I1807,"Beam Revised","")</f>
        <v>#N/A</v>
      </c>
      <c r="Z1807" s="7" t="e">
        <f>IF(VLOOKUP($A1807,'Concrete Beam Schedule'!$A$2:$Q$2902,Z$2,0)&lt;&gt;J1807,"Beam Revised","")</f>
        <v>#N/A</v>
      </c>
      <c r="AA1807" s="7" t="e">
        <f>IF(VLOOKUP($A1807,'Concrete Beam Schedule'!$A$2:$Q$2902,AA$2,0)&lt;&gt;K1807,"Beam Revised","")</f>
        <v>#N/A</v>
      </c>
      <c r="AB1807" s="7" t="e">
        <f>IF(VLOOKUP($A1807,'Concrete Beam Schedule'!$A$2:$Q$2902,AB$2,0)&lt;&gt;L1807,"Beam Revised","")</f>
        <v>#N/A</v>
      </c>
      <c r="AC1807" s="7" t="e">
        <f>IF(VLOOKUP($A1807,'Concrete Beam Schedule'!$A$2:$Q$2902,AC$2,0)&lt;&gt;M1807,"Beam Revised","")</f>
        <v>#N/A</v>
      </c>
      <c r="AD1807" s="7" t="e">
        <f>IF(VLOOKUP($A1807,'Concrete Beam Schedule'!$A$2:$Q$2902,AD$2,0)&lt;&gt;N1807,"Beam Revised","")</f>
        <v>#N/A</v>
      </c>
      <c r="AE1807" s="7" t="e">
        <f>IF(VLOOKUP($A1807,'Concrete Beam Schedule'!$A$2:$Q$2902,AE$2,0)&lt;&gt;O1807,"Beam Revised","")</f>
        <v>#N/A</v>
      </c>
    </row>
    <row r="1808" spans="17:31" ht="20.100000000000001" customHeight="1" x14ac:dyDescent="0.25">
      <c r="Q1808" s="7">
        <f t="shared" si="28"/>
        <v>0</v>
      </c>
      <c r="R1808" s="7" t="e">
        <f>IF(VLOOKUP($A1808,'Concrete Beam Schedule'!$A$2:$Q$2902,R$2,0)&lt;&gt;B1808,VLOOKUP($A1808,'Concrete Beam Schedule'!$A$2:$Q$2902,R$2,0),"")</f>
        <v>#N/A</v>
      </c>
      <c r="S1808" s="7" t="e">
        <f>IF(VLOOKUP($A1808,'Concrete Beam Schedule'!$A$2:$Q$2902,S$2,0)&lt;&gt;C1808,VLOOKUP($A1808,'Concrete Beam Schedule'!$A$2:$Q$2902,S$2,0),"")</f>
        <v>#N/A</v>
      </c>
      <c r="T1808" s="7" t="e">
        <f>IF(VLOOKUP($A1808,'Concrete Beam Schedule'!$A$2:$Q$2902,T$2,0)&lt;&gt;D1808,"Beam Revised","")</f>
        <v>#N/A</v>
      </c>
      <c r="U1808" s="7" t="e">
        <f>IF(VLOOKUP($A1808,'Concrete Beam Schedule'!$A$2:$Q$2902,U$2,0)&lt;&gt;E1808,"Beam Revised","")</f>
        <v>#N/A</v>
      </c>
      <c r="V1808" s="7" t="e">
        <f>IF(VLOOKUP($A1808,'Concrete Beam Schedule'!$A$2:$Q$2902,V$2,0)&lt;&gt;F1808,"Beam Revised","")</f>
        <v>#N/A</v>
      </c>
      <c r="W1808" s="7" t="e">
        <f>IF(VLOOKUP($A1808,'Concrete Beam Schedule'!$A$2:$Q$2902,W$2,0)&lt;&gt;G1808,"Beam Revised","")</f>
        <v>#N/A</v>
      </c>
      <c r="X1808" s="7" t="e">
        <f>IF(VLOOKUP($A1808,'Concrete Beam Schedule'!$A$2:$Q$2902,X$2,0)&lt;&gt;H1808,"Beam Revised","")</f>
        <v>#N/A</v>
      </c>
      <c r="Y1808" s="7" t="e">
        <f>IF(VLOOKUP($A1808,'Concrete Beam Schedule'!$A$2:$Q$2902,Y$2,0)&lt;&gt;I1808,"Beam Revised","")</f>
        <v>#N/A</v>
      </c>
      <c r="Z1808" s="7" t="e">
        <f>IF(VLOOKUP($A1808,'Concrete Beam Schedule'!$A$2:$Q$2902,Z$2,0)&lt;&gt;J1808,"Beam Revised","")</f>
        <v>#N/A</v>
      </c>
      <c r="AA1808" s="7" t="e">
        <f>IF(VLOOKUP($A1808,'Concrete Beam Schedule'!$A$2:$Q$2902,AA$2,0)&lt;&gt;K1808,"Beam Revised","")</f>
        <v>#N/A</v>
      </c>
      <c r="AB1808" s="7" t="e">
        <f>IF(VLOOKUP($A1808,'Concrete Beam Schedule'!$A$2:$Q$2902,AB$2,0)&lt;&gt;L1808,"Beam Revised","")</f>
        <v>#N/A</v>
      </c>
      <c r="AC1808" s="7" t="e">
        <f>IF(VLOOKUP($A1808,'Concrete Beam Schedule'!$A$2:$Q$2902,AC$2,0)&lt;&gt;M1808,"Beam Revised","")</f>
        <v>#N/A</v>
      </c>
      <c r="AD1808" s="7" t="e">
        <f>IF(VLOOKUP($A1808,'Concrete Beam Schedule'!$A$2:$Q$2902,AD$2,0)&lt;&gt;N1808,"Beam Revised","")</f>
        <v>#N/A</v>
      </c>
      <c r="AE1808" s="7" t="e">
        <f>IF(VLOOKUP($A1808,'Concrete Beam Schedule'!$A$2:$Q$2902,AE$2,0)&lt;&gt;O1808,"Beam Revised","")</f>
        <v>#N/A</v>
      </c>
    </row>
    <row r="1809" spans="17:31" ht="20.100000000000001" customHeight="1" x14ac:dyDescent="0.25">
      <c r="Q1809" s="7">
        <f t="shared" si="28"/>
        <v>0</v>
      </c>
      <c r="R1809" s="7" t="e">
        <f>IF(VLOOKUP($A1809,'Concrete Beam Schedule'!$A$2:$Q$2902,R$2,0)&lt;&gt;B1809,VLOOKUP($A1809,'Concrete Beam Schedule'!$A$2:$Q$2902,R$2,0),"")</f>
        <v>#N/A</v>
      </c>
      <c r="S1809" s="7" t="e">
        <f>IF(VLOOKUP($A1809,'Concrete Beam Schedule'!$A$2:$Q$2902,S$2,0)&lt;&gt;C1809,VLOOKUP($A1809,'Concrete Beam Schedule'!$A$2:$Q$2902,S$2,0),"")</f>
        <v>#N/A</v>
      </c>
      <c r="T1809" s="7" t="e">
        <f>IF(VLOOKUP($A1809,'Concrete Beam Schedule'!$A$2:$Q$2902,T$2,0)&lt;&gt;D1809,"Beam Revised","")</f>
        <v>#N/A</v>
      </c>
      <c r="U1809" s="7" t="e">
        <f>IF(VLOOKUP($A1809,'Concrete Beam Schedule'!$A$2:$Q$2902,U$2,0)&lt;&gt;E1809,"Beam Revised","")</f>
        <v>#N/A</v>
      </c>
      <c r="V1809" s="7" t="e">
        <f>IF(VLOOKUP($A1809,'Concrete Beam Schedule'!$A$2:$Q$2902,V$2,0)&lt;&gt;F1809,"Beam Revised","")</f>
        <v>#N/A</v>
      </c>
      <c r="W1809" s="7" t="e">
        <f>IF(VLOOKUP($A1809,'Concrete Beam Schedule'!$A$2:$Q$2902,W$2,0)&lt;&gt;G1809,"Beam Revised","")</f>
        <v>#N/A</v>
      </c>
      <c r="X1809" s="7" t="e">
        <f>IF(VLOOKUP($A1809,'Concrete Beam Schedule'!$A$2:$Q$2902,X$2,0)&lt;&gt;H1809,"Beam Revised","")</f>
        <v>#N/A</v>
      </c>
      <c r="Y1809" s="7" t="e">
        <f>IF(VLOOKUP($A1809,'Concrete Beam Schedule'!$A$2:$Q$2902,Y$2,0)&lt;&gt;I1809,"Beam Revised","")</f>
        <v>#N/A</v>
      </c>
      <c r="Z1809" s="7" t="e">
        <f>IF(VLOOKUP($A1809,'Concrete Beam Schedule'!$A$2:$Q$2902,Z$2,0)&lt;&gt;J1809,"Beam Revised","")</f>
        <v>#N/A</v>
      </c>
      <c r="AA1809" s="7" t="e">
        <f>IF(VLOOKUP($A1809,'Concrete Beam Schedule'!$A$2:$Q$2902,AA$2,0)&lt;&gt;K1809,"Beam Revised","")</f>
        <v>#N/A</v>
      </c>
      <c r="AB1809" s="7" t="e">
        <f>IF(VLOOKUP($A1809,'Concrete Beam Schedule'!$A$2:$Q$2902,AB$2,0)&lt;&gt;L1809,"Beam Revised","")</f>
        <v>#N/A</v>
      </c>
      <c r="AC1809" s="7" t="e">
        <f>IF(VLOOKUP($A1809,'Concrete Beam Schedule'!$A$2:$Q$2902,AC$2,0)&lt;&gt;M1809,"Beam Revised","")</f>
        <v>#N/A</v>
      </c>
      <c r="AD1809" s="7" t="e">
        <f>IF(VLOOKUP($A1809,'Concrete Beam Schedule'!$A$2:$Q$2902,AD$2,0)&lt;&gt;N1809,"Beam Revised","")</f>
        <v>#N/A</v>
      </c>
      <c r="AE1809" s="7" t="e">
        <f>IF(VLOOKUP($A1809,'Concrete Beam Schedule'!$A$2:$Q$2902,AE$2,0)&lt;&gt;O1809,"Beam Revised","")</f>
        <v>#N/A</v>
      </c>
    </row>
    <row r="1810" spans="17:31" ht="20.100000000000001" customHeight="1" x14ac:dyDescent="0.25">
      <c r="Q1810" s="7">
        <f t="shared" si="28"/>
        <v>0</v>
      </c>
      <c r="R1810" s="7" t="e">
        <f>IF(VLOOKUP($A1810,'Concrete Beam Schedule'!$A$2:$Q$2902,R$2,0)&lt;&gt;B1810,VLOOKUP($A1810,'Concrete Beam Schedule'!$A$2:$Q$2902,R$2,0),"")</f>
        <v>#N/A</v>
      </c>
      <c r="S1810" s="7" t="e">
        <f>IF(VLOOKUP($A1810,'Concrete Beam Schedule'!$A$2:$Q$2902,S$2,0)&lt;&gt;C1810,VLOOKUP($A1810,'Concrete Beam Schedule'!$A$2:$Q$2902,S$2,0),"")</f>
        <v>#N/A</v>
      </c>
      <c r="T1810" s="7" t="e">
        <f>IF(VLOOKUP($A1810,'Concrete Beam Schedule'!$A$2:$Q$2902,T$2,0)&lt;&gt;D1810,"Beam Revised","")</f>
        <v>#N/A</v>
      </c>
      <c r="U1810" s="7" t="e">
        <f>IF(VLOOKUP($A1810,'Concrete Beam Schedule'!$A$2:$Q$2902,U$2,0)&lt;&gt;E1810,"Beam Revised","")</f>
        <v>#N/A</v>
      </c>
      <c r="V1810" s="7" t="e">
        <f>IF(VLOOKUP($A1810,'Concrete Beam Schedule'!$A$2:$Q$2902,V$2,0)&lt;&gt;F1810,"Beam Revised","")</f>
        <v>#N/A</v>
      </c>
      <c r="W1810" s="7" t="e">
        <f>IF(VLOOKUP($A1810,'Concrete Beam Schedule'!$A$2:$Q$2902,W$2,0)&lt;&gt;G1810,"Beam Revised","")</f>
        <v>#N/A</v>
      </c>
      <c r="X1810" s="7" t="e">
        <f>IF(VLOOKUP($A1810,'Concrete Beam Schedule'!$A$2:$Q$2902,X$2,0)&lt;&gt;H1810,"Beam Revised","")</f>
        <v>#N/A</v>
      </c>
      <c r="Y1810" s="7" t="e">
        <f>IF(VLOOKUP($A1810,'Concrete Beam Schedule'!$A$2:$Q$2902,Y$2,0)&lt;&gt;I1810,"Beam Revised","")</f>
        <v>#N/A</v>
      </c>
      <c r="Z1810" s="7" t="e">
        <f>IF(VLOOKUP($A1810,'Concrete Beam Schedule'!$A$2:$Q$2902,Z$2,0)&lt;&gt;J1810,"Beam Revised","")</f>
        <v>#N/A</v>
      </c>
      <c r="AA1810" s="7" t="e">
        <f>IF(VLOOKUP($A1810,'Concrete Beam Schedule'!$A$2:$Q$2902,AA$2,0)&lt;&gt;K1810,"Beam Revised","")</f>
        <v>#N/A</v>
      </c>
      <c r="AB1810" s="7" t="e">
        <f>IF(VLOOKUP($A1810,'Concrete Beam Schedule'!$A$2:$Q$2902,AB$2,0)&lt;&gt;L1810,"Beam Revised","")</f>
        <v>#N/A</v>
      </c>
      <c r="AC1810" s="7" t="e">
        <f>IF(VLOOKUP($A1810,'Concrete Beam Schedule'!$A$2:$Q$2902,AC$2,0)&lt;&gt;M1810,"Beam Revised","")</f>
        <v>#N/A</v>
      </c>
      <c r="AD1810" s="7" t="e">
        <f>IF(VLOOKUP($A1810,'Concrete Beam Schedule'!$A$2:$Q$2902,AD$2,0)&lt;&gt;N1810,"Beam Revised","")</f>
        <v>#N/A</v>
      </c>
      <c r="AE1810" s="7" t="e">
        <f>IF(VLOOKUP($A1810,'Concrete Beam Schedule'!$A$2:$Q$2902,AE$2,0)&lt;&gt;O1810,"Beam Revised","")</f>
        <v>#N/A</v>
      </c>
    </row>
    <row r="1811" spans="17:31" ht="20.100000000000001" customHeight="1" x14ac:dyDescent="0.25">
      <c r="Q1811" s="7">
        <f t="shared" si="28"/>
        <v>0</v>
      </c>
      <c r="R1811" s="7" t="e">
        <f>IF(VLOOKUP($A1811,'Concrete Beam Schedule'!$A$2:$Q$2902,R$2,0)&lt;&gt;B1811,VLOOKUP($A1811,'Concrete Beam Schedule'!$A$2:$Q$2902,R$2,0),"")</f>
        <v>#N/A</v>
      </c>
      <c r="S1811" s="7" t="e">
        <f>IF(VLOOKUP($A1811,'Concrete Beam Schedule'!$A$2:$Q$2902,S$2,0)&lt;&gt;C1811,VLOOKUP($A1811,'Concrete Beam Schedule'!$A$2:$Q$2902,S$2,0),"")</f>
        <v>#N/A</v>
      </c>
      <c r="T1811" s="7" t="e">
        <f>IF(VLOOKUP($A1811,'Concrete Beam Schedule'!$A$2:$Q$2902,T$2,0)&lt;&gt;D1811,"Beam Revised","")</f>
        <v>#N/A</v>
      </c>
      <c r="U1811" s="7" t="e">
        <f>IF(VLOOKUP($A1811,'Concrete Beam Schedule'!$A$2:$Q$2902,U$2,0)&lt;&gt;E1811,"Beam Revised","")</f>
        <v>#N/A</v>
      </c>
      <c r="V1811" s="7" t="e">
        <f>IF(VLOOKUP($A1811,'Concrete Beam Schedule'!$A$2:$Q$2902,V$2,0)&lt;&gt;F1811,"Beam Revised","")</f>
        <v>#N/A</v>
      </c>
      <c r="W1811" s="7" t="e">
        <f>IF(VLOOKUP($A1811,'Concrete Beam Schedule'!$A$2:$Q$2902,W$2,0)&lt;&gt;G1811,"Beam Revised","")</f>
        <v>#N/A</v>
      </c>
      <c r="X1811" s="7" t="e">
        <f>IF(VLOOKUP($A1811,'Concrete Beam Schedule'!$A$2:$Q$2902,X$2,0)&lt;&gt;H1811,"Beam Revised","")</f>
        <v>#N/A</v>
      </c>
      <c r="Y1811" s="7" t="e">
        <f>IF(VLOOKUP($A1811,'Concrete Beam Schedule'!$A$2:$Q$2902,Y$2,0)&lt;&gt;I1811,"Beam Revised","")</f>
        <v>#N/A</v>
      </c>
      <c r="Z1811" s="7" t="e">
        <f>IF(VLOOKUP($A1811,'Concrete Beam Schedule'!$A$2:$Q$2902,Z$2,0)&lt;&gt;J1811,"Beam Revised","")</f>
        <v>#N/A</v>
      </c>
      <c r="AA1811" s="7" t="e">
        <f>IF(VLOOKUP($A1811,'Concrete Beam Schedule'!$A$2:$Q$2902,AA$2,0)&lt;&gt;K1811,"Beam Revised","")</f>
        <v>#N/A</v>
      </c>
      <c r="AB1811" s="7" t="e">
        <f>IF(VLOOKUP($A1811,'Concrete Beam Schedule'!$A$2:$Q$2902,AB$2,0)&lt;&gt;L1811,"Beam Revised","")</f>
        <v>#N/A</v>
      </c>
      <c r="AC1811" s="7" t="e">
        <f>IF(VLOOKUP($A1811,'Concrete Beam Schedule'!$A$2:$Q$2902,AC$2,0)&lt;&gt;M1811,"Beam Revised","")</f>
        <v>#N/A</v>
      </c>
      <c r="AD1811" s="7" t="e">
        <f>IF(VLOOKUP($A1811,'Concrete Beam Schedule'!$A$2:$Q$2902,AD$2,0)&lt;&gt;N1811,"Beam Revised","")</f>
        <v>#N/A</v>
      </c>
      <c r="AE1811" s="7" t="e">
        <f>IF(VLOOKUP($A1811,'Concrete Beam Schedule'!$A$2:$Q$2902,AE$2,0)&lt;&gt;O1811,"Beam Revised","")</f>
        <v>#N/A</v>
      </c>
    </row>
    <row r="1812" spans="17:31" ht="20.100000000000001" customHeight="1" x14ac:dyDescent="0.25">
      <c r="Q1812" s="7">
        <f t="shared" si="28"/>
        <v>0</v>
      </c>
      <c r="R1812" s="7" t="e">
        <f>IF(VLOOKUP($A1812,'Concrete Beam Schedule'!$A$2:$Q$2902,R$2,0)&lt;&gt;B1812,VLOOKUP($A1812,'Concrete Beam Schedule'!$A$2:$Q$2902,R$2,0),"")</f>
        <v>#N/A</v>
      </c>
      <c r="S1812" s="7" t="e">
        <f>IF(VLOOKUP($A1812,'Concrete Beam Schedule'!$A$2:$Q$2902,S$2,0)&lt;&gt;C1812,VLOOKUP($A1812,'Concrete Beam Schedule'!$A$2:$Q$2902,S$2,0),"")</f>
        <v>#N/A</v>
      </c>
      <c r="T1812" s="7" t="e">
        <f>IF(VLOOKUP($A1812,'Concrete Beam Schedule'!$A$2:$Q$2902,T$2,0)&lt;&gt;D1812,"Beam Revised","")</f>
        <v>#N/A</v>
      </c>
      <c r="U1812" s="7" t="e">
        <f>IF(VLOOKUP($A1812,'Concrete Beam Schedule'!$A$2:$Q$2902,U$2,0)&lt;&gt;E1812,"Beam Revised","")</f>
        <v>#N/A</v>
      </c>
      <c r="V1812" s="7" t="e">
        <f>IF(VLOOKUP($A1812,'Concrete Beam Schedule'!$A$2:$Q$2902,V$2,0)&lt;&gt;F1812,"Beam Revised","")</f>
        <v>#N/A</v>
      </c>
      <c r="W1812" s="7" t="e">
        <f>IF(VLOOKUP($A1812,'Concrete Beam Schedule'!$A$2:$Q$2902,W$2,0)&lt;&gt;G1812,"Beam Revised","")</f>
        <v>#N/A</v>
      </c>
      <c r="X1812" s="7" t="e">
        <f>IF(VLOOKUP($A1812,'Concrete Beam Schedule'!$A$2:$Q$2902,X$2,0)&lt;&gt;H1812,"Beam Revised","")</f>
        <v>#N/A</v>
      </c>
      <c r="Y1812" s="7" t="e">
        <f>IF(VLOOKUP($A1812,'Concrete Beam Schedule'!$A$2:$Q$2902,Y$2,0)&lt;&gt;I1812,"Beam Revised","")</f>
        <v>#N/A</v>
      </c>
      <c r="Z1812" s="7" t="e">
        <f>IF(VLOOKUP($A1812,'Concrete Beam Schedule'!$A$2:$Q$2902,Z$2,0)&lt;&gt;J1812,"Beam Revised","")</f>
        <v>#N/A</v>
      </c>
      <c r="AA1812" s="7" t="e">
        <f>IF(VLOOKUP($A1812,'Concrete Beam Schedule'!$A$2:$Q$2902,AA$2,0)&lt;&gt;K1812,"Beam Revised","")</f>
        <v>#N/A</v>
      </c>
      <c r="AB1812" s="7" t="e">
        <f>IF(VLOOKUP($A1812,'Concrete Beam Schedule'!$A$2:$Q$2902,AB$2,0)&lt;&gt;L1812,"Beam Revised","")</f>
        <v>#N/A</v>
      </c>
      <c r="AC1812" s="7" t="e">
        <f>IF(VLOOKUP($A1812,'Concrete Beam Schedule'!$A$2:$Q$2902,AC$2,0)&lt;&gt;M1812,"Beam Revised","")</f>
        <v>#N/A</v>
      </c>
      <c r="AD1812" s="7" t="e">
        <f>IF(VLOOKUP($A1812,'Concrete Beam Schedule'!$A$2:$Q$2902,AD$2,0)&lt;&gt;N1812,"Beam Revised","")</f>
        <v>#N/A</v>
      </c>
      <c r="AE1812" s="7" t="e">
        <f>IF(VLOOKUP($A1812,'Concrete Beam Schedule'!$A$2:$Q$2902,AE$2,0)&lt;&gt;O1812,"Beam Revised","")</f>
        <v>#N/A</v>
      </c>
    </row>
    <row r="1813" spans="17:31" ht="20.100000000000001" customHeight="1" x14ac:dyDescent="0.25">
      <c r="Q1813" s="7">
        <f t="shared" si="28"/>
        <v>0</v>
      </c>
      <c r="R1813" s="7" t="e">
        <f>IF(VLOOKUP($A1813,'Concrete Beam Schedule'!$A$2:$Q$2902,R$2,0)&lt;&gt;B1813,VLOOKUP($A1813,'Concrete Beam Schedule'!$A$2:$Q$2902,R$2,0),"")</f>
        <v>#N/A</v>
      </c>
      <c r="S1813" s="7" t="e">
        <f>IF(VLOOKUP($A1813,'Concrete Beam Schedule'!$A$2:$Q$2902,S$2,0)&lt;&gt;C1813,VLOOKUP($A1813,'Concrete Beam Schedule'!$A$2:$Q$2902,S$2,0),"")</f>
        <v>#N/A</v>
      </c>
      <c r="T1813" s="7" t="e">
        <f>IF(VLOOKUP($A1813,'Concrete Beam Schedule'!$A$2:$Q$2902,T$2,0)&lt;&gt;D1813,"Beam Revised","")</f>
        <v>#N/A</v>
      </c>
      <c r="U1813" s="7" t="e">
        <f>IF(VLOOKUP($A1813,'Concrete Beam Schedule'!$A$2:$Q$2902,U$2,0)&lt;&gt;E1813,"Beam Revised","")</f>
        <v>#N/A</v>
      </c>
      <c r="V1813" s="7" t="e">
        <f>IF(VLOOKUP($A1813,'Concrete Beam Schedule'!$A$2:$Q$2902,V$2,0)&lt;&gt;F1813,"Beam Revised","")</f>
        <v>#N/A</v>
      </c>
      <c r="W1813" s="7" t="e">
        <f>IF(VLOOKUP($A1813,'Concrete Beam Schedule'!$A$2:$Q$2902,W$2,0)&lt;&gt;G1813,"Beam Revised","")</f>
        <v>#N/A</v>
      </c>
      <c r="X1813" s="7" t="e">
        <f>IF(VLOOKUP($A1813,'Concrete Beam Schedule'!$A$2:$Q$2902,X$2,0)&lt;&gt;H1813,"Beam Revised","")</f>
        <v>#N/A</v>
      </c>
      <c r="Y1813" s="7" t="e">
        <f>IF(VLOOKUP($A1813,'Concrete Beam Schedule'!$A$2:$Q$2902,Y$2,0)&lt;&gt;I1813,"Beam Revised","")</f>
        <v>#N/A</v>
      </c>
      <c r="Z1813" s="7" t="e">
        <f>IF(VLOOKUP($A1813,'Concrete Beam Schedule'!$A$2:$Q$2902,Z$2,0)&lt;&gt;J1813,"Beam Revised","")</f>
        <v>#N/A</v>
      </c>
      <c r="AA1813" s="7" t="e">
        <f>IF(VLOOKUP($A1813,'Concrete Beam Schedule'!$A$2:$Q$2902,AA$2,0)&lt;&gt;K1813,"Beam Revised","")</f>
        <v>#N/A</v>
      </c>
      <c r="AB1813" s="7" t="e">
        <f>IF(VLOOKUP($A1813,'Concrete Beam Schedule'!$A$2:$Q$2902,AB$2,0)&lt;&gt;L1813,"Beam Revised","")</f>
        <v>#N/A</v>
      </c>
      <c r="AC1813" s="7" t="e">
        <f>IF(VLOOKUP($A1813,'Concrete Beam Schedule'!$A$2:$Q$2902,AC$2,0)&lt;&gt;M1813,"Beam Revised","")</f>
        <v>#N/A</v>
      </c>
      <c r="AD1813" s="7" t="e">
        <f>IF(VLOOKUP($A1813,'Concrete Beam Schedule'!$A$2:$Q$2902,AD$2,0)&lt;&gt;N1813,"Beam Revised","")</f>
        <v>#N/A</v>
      </c>
      <c r="AE1813" s="7" t="e">
        <f>IF(VLOOKUP($A1813,'Concrete Beam Schedule'!$A$2:$Q$2902,AE$2,0)&lt;&gt;O1813,"Beam Revised","")</f>
        <v>#N/A</v>
      </c>
    </row>
    <row r="1814" spans="17:31" ht="20.100000000000001" customHeight="1" x14ac:dyDescent="0.25">
      <c r="Q1814" s="7">
        <f t="shared" si="28"/>
        <v>0</v>
      </c>
      <c r="R1814" s="7" t="e">
        <f>IF(VLOOKUP($A1814,'Concrete Beam Schedule'!$A$2:$Q$2902,R$2,0)&lt;&gt;B1814,VLOOKUP($A1814,'Concrete Beam Schedule'!$A$2:$Q$2902,R$2,0),"")</f>
        <v>#N/A</v>
      </c>
      <c r="S1814" s="7" t="e">
        <f>IF(VLOOKUP($A1814,'Concrete Beam Schedule'!$A$2:$Q$2902,S$2,0)&lt;&gt;C1814,VLOOKUP($A1814,'Concrete Beam Schedule'!$A$2:$Q$2902,S$2,0),"")</f>
        <v>#N/A</v>
      </c>
      <c r="T1814" s="7" t="e">
        <f>IF(VLOOKUP($A1814,'Concrete Beam Schedule'!$A$2:$Q$2902,T$2,0)&lt;&gt;D1814,"Beam Revised","")</f>
        <v>#N/A</v>
      </c>
      <c r="U1814" s="7" t="e">
        <f>IF(VLOOKUP($A1814,'Concrete Beam Schedule'!$A$2:$Q$2902,U$2,0)&lt;&gt;E1814,"Beam Revised","")</f>
        <v>#N/A</v>
      </c>
      <c r="V1814" s="7" t="e">
        <f>IF(VLOOKUP($A1814,'Concrete Beam Schedule'!$A$2:$Q$2902,V$2,0)&lt;&gt;F1814,"Beam Revised","")</f>
        <v>#N/A</v>
      </c>
      <c r="W1814" s="7" t="e">
        <f>IF(VLOOKUP($A1814,'Concrete Beam Schedule'!$A$2:$Q$2902,W$2,0)&lt;&gt;G1814,"Beam Revised","")</f>
        <v>#N/A</v>
      </c>
      <c r="X1814" s="7" t="e">
        <f>IF(VLOOKUP($A1814,'Concrete Beam Schedule'!$A$2:$Q$2902,X$2,0)&lt;&gt;H1814,"Beam Revised","")</f>
        <v>#N/A</v>
      </c>
      <c r="Y1814" s="7" t="e">
        <f>IF(VLOOKUP($A1814,'Concrete Beam Schedule'!$A$2:$Q$2902,Y$2,0)&lt;&gt;I1814,"Beam Revised","")</f>
        <v>#N/A</v>
      </c>
      <c r="Z1814" s="7" t="e">
        <f>IF(VLOOKUP($A1814,'Concrete Beam Schedule'!$A$2:$Q$2902,Z$2,0)&lt;&gt;J1814,"Beam Revised","")</f>
        <v>#N/A</v>
      </c>
      <c r="AA1814" s="7" t="e">
        <f>IF(VLOOKUP($A1814,'Concrete Beam Schedule'!$A$2:$Q$2902,AA$2,0)&lt;&gt;K1814,"Beam Revised","")</f>
        <v>#N/A</v>
      </c>
      <c r="AB1814" s="7" t="e">
        <f>IF(VLOOKUP($A1814,'Concrete Beam Schedule'!$A$2:$Q$2902,AB$2,0)&lt;&gt;L1814,"Beam Revised","")</f>
        <v>#N/A</v>
      </c>
      <c r="AC1814" s="7" t="e">
        <f>IF(VLOOKUP($A1814,'Concrete Beam Schedule'!$A$2:$Q$2902,AC$2,0)&lt;&gt;M1814,"Beam Revised","")</f>
        <v>#N/A</v>
      </c>
      <c r="AD1814" s="7" t="e">
        <f>IF(VLOOKUP($A1814,'Concrete Beam Schedule'!$A$2:$Q$2902,AD$2,0)&lt;&gt;N1814,"Beam Revised","")</f>
        <v>#N/A</v>
      </c>
      <c r="AE1814" s="7" t="e">
        <f>IF(VLOOKUP($A1814,'Concrete Beam Schedule'!$A$2:$Q$2902,AE$2,0)&lt;&gt;O1814,"Beam Revised","")</f>
        <v>#N/A</v>
      </c>
    </row>
    <row r="1815" spans="17:31" ht="20.100000000000001" customHeight="1" x14ac:dyDescent="0.25">
      <c r="Q1815" s="7">
        <f t="shared" si="28"/>
        <v>0</v>
      </c>
      <c r="R1815" s="7" t="e">
        <f>IF(VLOOKUP($A1815,'Concrete Beam Schedule'!$A$2:$Q$2902,R$2,0)&lt;&gt;B1815,VLOOKUP($A1815,'Concrete Beam Schedule'!$A$2:$Q$2902,R$2,0),"")</f>
        <v>#N/A</v>
      </c>
      <c r="S1815" s="7" t="e">
        <f>IF(VLOOKUP($A1815,'Concrete Beam Schedule'!$A$2:$Q$2902,S$2,0)&lt;&gt;C1815,VLOOKUP($A1815,'Concrete Beam Schedule'!$A$2:$Q$2902,S$2,0),"")</f>
        <v>#N/A</v>
      </c>
      <c r="T1815" s="7" t="e">
        <f>IF(VLOOKUP($A1815,'Concrete Beam Schedule'!$A$2:$Q$2902,T$2,0)&lt;&gt;D1815,"Beam Revised","")</f>
        <v>#N/A</v>
      </c>
      <c r="U1815" s="7" t="e">
        <f>IF(VLOOKUP($A1815,'Concrete Beam Schedule'!$A$2:$Q$2902,U$2,0)&lt;&gt;E1815,"Beam Revised","")</f>
        <v>#N/A</v>
      </c>
      <c r="V1815" s="7" t="e">
        <f>IF(VLOOKUP($A1815,'Concrete Beam Schedule'!$A$2:$Q$2902,V$2,0)&lt;&gt;F1815,"Beam Revised","")</f>
        <v>#N/A</v>
      </c>
      <c r="W1815" s="7" t="e">
        <f>IF(VLOOKUP($A1815,'Concrete Beam Schedule'!$A$2:$Q$2902,W$2,0)&lt;&gt;G1815,"Beam Revised","")</f>
        <v>#N/A</v>
      </c>
      <c r="X1815" s="7" t="e">
        <f>IF(VLOOKUP($A1815,'Concrete Beam Schedule'!$A$2:$Q$2902,X$2,0)&lt;&gt;H1815,"Beam Revised","")</f>
        <v>#N/A</v>
      </c>
      <c r="Y1815" s="7" t="e">
        <f>IF(VLOOKUP($A1815,'Concrete Beam Schedule'!$A$2:$Q$2902,Y$2,0)&lt;&gt;I1815,"Beam Revised","")</f>
        <v>#N/A</v>
      </c>
      <c r="Z1815" s="7" t="e">
        <f>IF(VLOOKUP($A1815,'Concrete Beam Schedule'!$A$2:$Q$2902,Z$2,0)&lt;&gt;J1815,"Beam Revised","")</f>
        <v>#N/A</v>
      </c>
      <c r="AA1815" s="7" t="e">
        <f>IF(VLOOKUP($A1815,'Concrete Beam Schedule'!$A$2:$Q$2902,AA$2,0)&lt;&gt;K1815,"Beam Revised","")</f>
        <v>#N/A</v>
      </c>
      <c r="AB1815" s="7" t="e">
        <f>IF(VLOOKUP($A1815,'Concrete Beam Schedule'!$A$2:$Q$2902,AB$2,0)&lt;&gt;L1815,"Beam Revised","")</f>
        <v>#N/A</v>
      </c>
      <c r="AC1815" s="7" t="e">
        <f>IF(VLOOKUP($A1815,'Concrete Beam Schedule'!$A$2:$Q$2902,AC$2,0)&lt;&gt;M1815,"Beam Revised","")</f>
        <v>#N/A</v>
      </c>
      <c r="AD1815" s="7" t="e">
        <f>IF(VLOOKUP($A1815,'Concrete Beam Schedule'!$A$2:$Q$2902,AD$2,0)&lt;&gt;N1815,"Beam Revised","")</f>
        <v>#N/A</v>
      </c>
      <c r="AE1815" s="7" t="e">
        <f>IF(VLOOKUP($A1815,'Concrete Beam Schedule'!$A$2:$Q$2902,AE$2,0)&lt;&gt;O1815,"Beam Revised","")</f>
        <v>#N/A</v>
      </c>
    </row>
    <row r="1816" spans="17:31" ht="20.100000000000001" customHeight="1" x14ac:dyDescent="0.25">
      <c r="Q1816" s="7">
        <f t="shared" si="28"/>
        <v>0</v>
      </c>
      <c r="R1816" s="7" t="e">
        <f>IF(VLOOKUP($A1816,'Concrete Beam Schedule'!$A$2:$Q$2902,R$2,0)&lt;&gt;B1816,VLOOKUP($A1816,'Concrete Beam Schedule'!$A$2:$Q$2902,R$2,0),"")</f>
        <v>#N/A</v>
      </c>
      <c r="S1816" s="7" t="e">
        <f>IF(VLOOKUP($A1816,'Concrete Beam Schedule'!$A$2:$Q$2902,S$2,0)&lt;&gt;C1816,VLOOKUP($A1816,'Concrete Beam Schedule'!$A$2:$Q$2902,S$2,0),"")</f>
        <v>#N/A</v>
      </c>
      <c r="T1816" s="7" t="e">
        <f>IF(VLOOKUP($A1816,'Concrete Beam Schedule'!$A$2:$Q$2902,T$2,0)&lt;&gt;D1816,"Beam Revised","")</f>
        <v>#N/A</v>
      </c>
      <c r="U1816" s="7" t="e">
        <f>IF(VLOOKUP($A1816,'Concrete Beam Schedule'!$A$2:$Q$2902,U$2,0)&lt;&gt;E1816,"Beam Revised","")</f>
        <v>#N/A</v>
      </c>
      <c r="V1816" s="7" t="e">
        <f>IF(VLOOKUP($A1816,'Concrete Beam Schedule'!$A$2:$Q$2902,V$2,0)&lt;&gt;F1816,"Beam Revised","")</f>
        <v>#N/A</v>
      </c>
      <c r="W1816" s="7" t="e">
        <f>IF(VLOOKUP($A1816,'Concrete Beam Schedule'!$A$2:$Q$2902,W$2,0)&lt;&gt;G1816,"Beam Revised","")</f>
        <v>#N/A</v>
      </c>
      <c r="X1816" s="7" t="e">
        <f>IF(VLOOKUP($A1816,'Concrete Beam Schedule'!$A$2:$Q$2902,X$2,0)&lt;&gt;H1816,"Beam Revised","")</f>
        <v>#N/A</v>
      </c>
      <c r="Y1816" s="7" t="e">
        <f>IF(VLOOKUP($A1816,'Concrete Beam Schedule'!$A$2:$Q$2902,Y$2,0)&lt;&gt;I1816,"Beam Revised","")</f>
        <v>#N/A</v>
      </c>
      <c r="Z1816" s="7" t="e">
        <f>IF(VLOOKUP($A1816,'Concrete Beam Schedule'!$A$2:$Q$2902,Z$2,0)&lt;&gt;J1816,"Beam Revised","")</f>
        <v>#N/A</v>
      </c>
      <c r="AA1816" s="7" t="e">
        <f>IF(VLOOKUP($A1816,'Concrete Beam Schedule'!$A$2:$Q$2902,AA$2,0)&lt;&gt;K1816,"Beam Revised","")</f>
        <v>#N/A</v>
      </c>
      <c r="AB1816" s="7" t="e">
        <f>IF(VLOOKUP($A1816,'Concrete Beam Schedule'!$A$2:$Q$2902,AB$2,0)&lt;&gt;L1816,"Beam Revised","")</f>
        <v>#N/A</v>
      </c>
      <c r="AC1816" s="7" t="e">
        <f>IF(VLOOKUP($A1816,'Concrete Beam Schedule'!$A$2:$Q$2902,AC$2,0)&lt;&gt;M1816,"Beam Revised","")</f>
        <v>#N/A</v>
      </c>
      <c r="AD1816" s="7" t="e">
        <f>IF(VLOOKUP($A1816,'Concrete Beam Schedule'!$A$2:$Q$2902,AD$2,0)&lt;&gt;N1816,"Beam Revised","")</f>
        <v>#N/A</v>
      </c>
      <c r="AE1816" s="7" t="e">
        <f>IF(VLOOKUP($A1816,'Concrete Beam Schedule'!$A$2:$Q$2902,AE$2,0)&lt;&gt;O1816,"Beam Revised","")</f>
        <v>#N/A</v>
      </c>
    </row>
    <row r="1817" spans="17:31" ht="20.100000000000001" customHeight="1" x14ac:dyDescent="0.25">
      <c r="Q1817" s="7">
        <f t="shared" si="28"/>
        <v>0</v>
      </c>
      <c r="R1817" s="7" t="e">
        <f>IF(VLOOKUP($A1817,'Concrete Beam Schedule'!$A$2:$Q$2902,R$2,0)&lt;&gt;B1817,VLOOKUP($A1817,'Concrete Beam Schedule'!$A$2:$Q$2902,R$2,0),"")</f>
        <v>#N/A</v>
      </c>
      <c r="S1817" s="7" t="e">
        <f>IF(VLOOKUP($A1817,'Concrete Beam Schedule'!$A$2:$Q$2902,S$2,0)&lt;&gt;C1817,VLOOKUP($A1817,'Concrete Beam Schedule'!$A$2:$Q$2902,S$2,0),"")</f>
        <v>#N/A</v>
      </c>
      <c r="T1817" s="7" t="e">
        <f>IF(VLOOKUP($A1817,'Concrete Beam Schedule'!$A$2:$Q$2902,T$2,0)&lt;&gt;D1817,"Beam Revised","")</f>
        <v>#N/A</v>
      </c>
      <c r="U1817" s="7" t="e">
        <f>IF(VLOOKUP($A1817,'Concrete Beam Schedule'!$A$2:$Q$2902,U$2,0)&lt;&gt;E1817,"Beam Revised","")</f>
        <v>#N/A</v>
      </c>
      <c r="V1817" s="7" t="e">
        <f>IF(VLOOKUP($A1817,'Concrete Beam Schedule'!$A$2:$Q$2902,V$2,0)&lt;&gt;F1817,"Beam Revised","")</f>
        <v>#N/A</v>
      </c>
      <c r="W1817" s="7" t="e">
        <f>IF(VLOOKUP($A1817,'Concrete Beam Schedule'!$A$2:$Q$2902,W$2,0)&lt;&gt;G1817,"Beam Revised","")</f>
        <v>#N/A</v>
      </c>
      <c r="X1817" s="7" t="e">
        <f>IF(VLOOKUP($A1817,'Concrete Beam Schedule'!$A$2:$Q$2902,X$2,0)&lt;&gt;H1817,"Beam Revised","")</f>
        <v>#N/A</v>
      </c>
      <c r="Y1817" s="7" t="e">
        <f>IF(VLOOKUP($A1817,'Concrete Beam Schedule'!$A$2:$Q$2902,Y$2,0)&lt;&gt;I1817,"Beam Revised","")</f>
        <v>#N/A</v>
      </c>
      <c r="Z1817" s="7" t="e">
        <f>IF(VLOOKUP($A1817,'Concrete Beam Schedule'!$A$2:$Q$2902,Z$2,0)&lt;&gt;J1817,"Beam Revised","")</f>
        <v>#N/A</v>
      </c>
      <c r="AA1817" s="7" t="e">
        <f>IF(VLOOKUP($A1817,'Concrete Beam Schedule'!$A$2:$Q$2902,AA$2,0)&lt;&gt;K1817,"Beam Revised","")</f>
        <v>#N/A</v>
      </c>
      <c r="AB1817" s="7" t="e">
        <f>IF(VLOOKUP($A1817,'Concrete Beam Schedule'!$A$2:$Q$2902,AB$2,0)&lt;&gt;L1817,"Beam Revised","")</f>
        <v>#N/A</v>
      </c>
      <c r="AC1817" s="7" t="e">
        <f>IF(VLOOKUP($A1817,'Concrete Beam Schedule'!$A$2:$Q$2902,AC$2,0)&lt;&gt;M1817,"Beam Revised","")</f>
        <v>#N/A</v>
      </c>
      <c r="AD1817" s="7" t="e">
        <f>IF(VLOOKUP($A1817,'Concrete Beam Schedule'!$A$2:$Q$2902,AD$2,0)&lt;&gt;N1817,"Beam Revised","")</f>
        <v>#N/A</v>
      </c>
      <c r="AE1817" s="7" t="e">
        <f>IF(VLOOKUP($A1817,'Concrete Beam Schedule'!$A$2:$Q$2902,AE$2,0)&lt;&gt;O1817,"Beam Revised","")</f>
        <v>#N/A</v>
      </c>
    </row>
    <row r="1818" spans="17:31" ht="20.100000000000001" customHeight="1" x14ac:dyDescent="0.25">
      <c r="Q1818" s="7">
        <f t="shared" si="28"/>
        <v>0</v>
      </c>
      <c r="R1818" s="7" t="e">
        <f>IF(VLOOKUP($A1818,'Concrete Beam Schedule'!$A$2:$Q$2902,R$2,0)&lt;&gt;B1818,VLOOKUP($A1818,'Concrete Beam Schedule'!$A$2:$Q$2902,R$2,0),"")</f>
        <v>#N/A</v>
      </c>
      <c r="S1818" s="7" t="e">
        <f>IF(VLOOKUP($A1818,'Concrete Beam Schedule'!$A$2:$Q$2902,S$2,0)&lt;&gt;C1818,VLOOKUP($A1818,'Concrete Beam Schedule'!$A$2:$Q$2902,S$2,0),"")</f>
        <v>#N/A</v>
      </c>
      <c r="T1818" s="7" t="e">
        <f>IF(VLOOKUP($A1818,'Concrete Beam Schedule'!$A$2:$Q$2902,T$2,0)&lt;&gt;D1818,"Beam Revised","")</f>
        <v>#N/A</v>
      </c>
      <c r="U1818" s="7" t="e">
        <f>IF(VLOOKUP($A1818,'Concrete Beam Schedule'!$A$2:$Q$2902,U$2,0)&lt;&gt;E1818,"Beam Revised","")</f>
        <v>#N/A</v>
      </c>
      <c r="V1818" s="7" t="e">
        <f>IF(VLOOKUP($A1818,'Concrete Beam Schedule'!$A$2:$Q$2902,V$2,0)&lt;&gt;F1818,"Beam Revised","")</f>
        <v>#N/A</v>
      </c>
      <c r="W1818" s="7" t="e">
        <f>IF(VLOOKUP($A1818,'Concrete Beam Schedule'!$A$2:$Q$2902,W$2,0)&lt;&gt;G1818,"Beam Revised","")</f>
        <v>#N/A</v>
      </c>
      <c r="X1818" s="7" t="e">
        <f>IF(VLOOKUP($A1818,'Concrete Beam Schedule'!$A$2:$Q$2902,X$2,0)&lt;&gt;H1818,"Beam Revised","")</f>
        <v>#N/A</v>
      </c>
      <c r="Y1818" s="7" t="e">
        <f>IF(VLOOKUP($A1818,'Concrete Beam Schedule'!$A$2:$Q$2902,Y$2,0)&lt;&gt;I1818,"Beam Revised","")</f>
        <v>#N/A</v>
      </c>
      <c r="Z1818" s="7" t="e">
        <f>IF(VLOOKUP($A1818,'Concrete Beam Schedule'!$A$2:$Q$2902,Z$2,0)&lt;&gt;J1818,"Beam Revised","")</f>
        <v>#N/A</v>
      </c>
      <c r="AA1818" s="7" t="e">
        <f>IF(VLOOKUP($A1818,'Concrete Beam Schedule'!$A$2:$Q$2902,AA$2,0)&lt;&gt;K1818,"Beam Revised","")</f>
        <v>#N/A</v>
      </c>
      <c r="AB1818" s="7" t="e">
        <f>IF(VLOOKUP($A1818,'Concrete Beam Schedule'!$A$2:$Q$2902,AB$2,0)&lt;&gt;L1818,"Beam Revised","")</f>
        <v>#N/A</v>
      </c>
      <c r="AC1818" s="7" t="e">
        <f>IF(VLOOKUP($A1818,'Concrete Beam Schedule'!$A$2:$Q$2902,AC$2,0)&lt;&gt;M1818,"Beam Revised","")</f>
        <v>#N/A</v>
      </c>
      <c r="AD1818" s="7" t="e">
        <f>IF(VLOOKUP($A1818,'Concrete Beam Schedule'!$A$2:$Q$2902,AD$2,0)&lt;&gt;N1818,"Beam Revised","")</f>
        <v>#N/A</v>
      </c>
      <c r="AE1818" s="7" t="e">
        <f>IF(VLOOKUP($A1818,'Concrete Beam Schedule'!$A$2:$Q$2902,AE$2,0)&lt;&gt;O1818,"Beam Revised","")</f>
        <v>#N/A</v>
      </c>
    </row>
    <row r="1819" spans="17:31" ht="20.100000000000001" customHeight="1" x14ac:dyDescent="0.25">
      <c r="Q1819" s="7">
        <f t="shared" si="28"/>
        <v>0</v>
      </c>
      <c r="R1819" s="7" t="e">
        <f>IF(VLOOKUP($A1819,'Concrete Beam Schedule'!$A$2:$Q$2902,R$2,0)&lt;&gt;B1819,VLOOKUP($A1819,'Concrete Beam Schedule'!$A$2:$Q$2902,R$2,0),"")</f>
        <v>#N/A</v>
      </c>
      <c r="S1819" s="7" t="e">
        <f>IF(VLOOKUP($A1819,'Concrete Beam Schedule'!$A$2:$Q$2902,S$2,0)&lt;&gt;C1819,VLOOKUP($A1819,'Concrete Beam Schedule'!$A$2:$Q$2902,S$2,0),"")</f>
        <v>#N/A</v>
      </c>
      <c r="T1819" s="7" t="e">
        <f>IF(VLOOKUP($A1819,'Concrete Beam Schedule'!$A$2:$Q$2902,T$2,0)&lt;&gt;D1819,"Beam Revised","")</f>
        <v>#N/A</v>
      </c>
      <c r="U1819" s="7" t="e">
        <f>IF(VLOOKUP($A1819,'Concrete Beam Schedule'!$A$2:$Q$2902,U$2,0)&lt;&gt;E1819,"Beam Revised","")</f>
        <v>#N/A</v>
      </c>
      <c r="V1819" s="7" t="e">
        <f>IF(VLOOKUP($A1819,'Concrete Beam Schedule'!$A$2:$Q$2902,V$2,0)&lt;&gt;F1819,"Beam Revised","")</f>
        <v>#N/A</v>
      </c>
      <c r="W1819" s="7" t="e">
        <f>IF(VLOOKUP($A1819,'Concrete Beam Schedule'!$A$2:$Q$2902,W$2,0)&lt;&gt;G1819,"Beam Revised","")</f>
        <v>#N/A</v>
      </c>
      <c r="X1819" s="7" t="e">
        <f>IF(VLOOKUP($A1819,'Concrete Beam Schedule'!$A$2:$Q$2902,X$2,0)&lt;&gt;H1819,"Beam Revised","")</f>
        <v>#N/A</v>
      </c>
      <c r="Y1819" s="7" t="e">
        <f>IF(VLOOKUP($A1819,'Concrete Beam Schedule'!$A$2:$Q$2902,Y$2,0)&lt;&gt;I1819,"Beam Revised","")</f>
        <v>#N/A</v>
      </c>
      <c r="Z1819" s="7" t="e">
        <f>IF(VLOOKUP($A1819,'Concrete Beam Schedule'!$A$2:$Q$2902,Z$2,0)&lt;&gt;J1819,"Beam Revised","")</f>
        <v>#N/A</v>
      </c>
      <c r="AA1819" s="7" t="e">
        <f>IF(VLOOKUP($A1819,'Concrete Beam Schedule'!$A$2:$Q$2902,AA$2,0)&lt;&gt;K1819,"Beam Revised","")</f>
        <v>#N/A</v>
      </c>
      <c r="AB1819" s="7" t="e">
        <f>IF(VLOOKUP($A1819,'Concrete Beam Schedule'!$A$2:$Q$2902,AB$2,0)&lt;&gt;L1819,"Beam Revised","")</f>
        <v>#N/A</v>
      </c>
      <c r="AC1819" s="7" t="e">
        <f>IF(VLOOKUP($A1819,'Concrete Beam Schedule'!$A$2:$Q$2902,AC$2,0)&lt;&gt;M1819,"Beam Revised","")</f>
        <v>#N/A</v>
      </c>
      <c r="AD1819" s="7" t="e">
        <f>IF(VLOOKUP($A1819,'Concrete Beam Schedule'!$A$2:$Q$2902,AD$2,0)&lt;&gt;N1819,"Beam Revised","")</f>
        <v>#N/A</v>
      </c>
      <c r="AE1819" s="7" t="e">
        <f>IF(VLOOKUP($A1819,'Concrete Beam Schedule'!$A$2:$Q$2902,AE$2,0)&lt;&gt;O1819,"Beam Revised","")</f>
        <v>#N/A</v>
      </c>
    </row>
    <row r="1820" spans="17:31" ht="20.100000000000001" customHeight="1" x14ac:dyDescent="0.25">
      <c r="Q1820" s="7">
        <f t="shared" si="28"/>
        <v>0</v>
      </c>
      <c r="R1820" s="7" t="e">
        <f>IF(VLOOKUP($A1820,'Concrete Beam Schedule'!$A$2:$Q$2902,R$2,0)&lt;&gt;B1820,VLOOKUP($A1820,'Concrete Beam Schedule'!$A$2:$Q$2902,R$2,0),"")</f>
        <v>#N/A</v>
      </c>
      <c r="S1820" s="7" t="e">
        <f>IF(VLOOKUP($A1820,'Concrete Beam Schedule'!$A$2:$Q$2902,S$2,0)&lt;&gt;C1820,VLOOKUP($A1820,'Concrete Beam Schedule'!$A$2:$Q$2902,S$2,0),"")</f>
        <v>#N/A</v>
      </c>
      <c r="T1820" s="7" t="e">
        <f>IF(VLOOKUP($A1820,'Concrete Beam Schedule'!$A$2:$Q$2902,T$2,0)&lt;&gt;D1820,"Beam Revised","")</f>
        <v>#N/A</v>
      </c>
      <c r="U1820" s="7" t="e">
        <f>IF(VLOOKUP($A1820,'Concrete Beam Schedule'!$A$2:$Q$2902,U$2,0)&lt;&gt;E1820,"Beam Revised","")</f>
        <v>#N/A</v>
      </c>
      <c r="V1820" s="7" t="e">
        <f>IF(VLOOKUP($A1820,'Concrete Beam Schedule'!$A$2:$Q$2902,V$2,0)&lt;&gt;F1820,"Beam Revised","")</f>
        <v>#N/A</v>
      </c>
      <c r="W1820" s="7" t="e">
        <f>IF(VLOOKUP($A1820,'Concrete Beam Schedule'!$A$2:$Q$2902,W$2,0)&lt;&gt;G1820,"Beam Revised","")</f>
        <v>#N/A</v>
      </c>
      <c r="X1820" s="7" t="e">
        <f>IF(VLOOKUP($A1820,'Concrete Beam Schedule'!$A$2:$Q$2902,X$2,0)&lt;&gt;H1820,"Beam Revised","")</f>
        <v>#N/A</v>
      </c>
      <c r="Y1820" s="7" t="e">
        <f>IF(VLOOKUP($A1820,'Concrete Beam Schedule'!$A$2:$Q$2902,Y$2,0)&lt;&gt;I1820,"Beam Revised","")</f>
        <v>#N/A</v>
      </c>
      <c r="Z1820" s="7" t="e">
        <f>IF(VLOOKUP($A1820,'Concrete Beam Schedule'!$A$2:$Q$2902,Z$2,0)&lt;&gt;J1820,"Beam Revised","")</f>
        <v>#N/A</v>
      </c>
      <c r="AA1820" s="7" t="e">
        <f>IF(VLOOKUP($A1820,'Concrete Beam Schedule'!$A$2:$Q$2902,AA$2,0)&lt;&gt;K1820,"Beam Revised","")</f>
        <v>#N/A</v>
      </c>
      <c r="AB1820" s="7" t="e">
        <f>IF(VLOOKUP($A1820,'Concrete Beam Schedule'!$A$2:$Q$2902,AB$2,0)&lt;&gt;L1820,"Beam Revised","")</f>
        <v>#N/A</v>
      </c>
      <c r="AC1820" s="7" t="e">
        <f>IF(VLOOKUP($A1820,'Concrete Beam Schedule'!$A$2:$Q$2902,AC$2,0)&lt;&gt;M1820,"Beam Revised","")</f>
        <v>#N/A</v>
      </c>
      <c r="AD1820" s="7" t="e">
        <f>IF(VLOOKUP($A1820,'Concrete Beam Schedule'!$A$2:$Q$2902,AD$2,0)&lt;&gt;N1820,"Beam Revised","")</f>
        <v>#N/A</v>
      </c>
      <c r="AE1820" s="7" t="e">
        <f>IF(VLOOKUP($A1820,'Concrete Beam Schedule'!$A$2:$Q$2902,AE$2,0)&lt;&gt;O1820,"Beam Revised","")</f>
        <v>#N/A</v>
      </c>
    </row>
    <row r="1821" spans="17:31" ht="20.100000000000001" customHeight="1" x14ac:dyDescent="0.25">
      <c r="Q1821" s="7">
        <f t="shared" si="28"/>
        <v>0</v>
      </c>
      <c r="R1821" s="7" t="e">
        <f>IF(VLOOKUP($A1821,'Concrete Beam Schedule'!$A$2:$Q$2902,R$2,0)&lt;&gt;B1821,VLOOKUP($A1821,'Concrete Beam Schedule'!$A$2:$Q$2902,R$2,0),"")</f>
        <v>#N/A</v>
      </c>
      <c r="S1821" s="7" t="e">
        <f>IF(VLOOKUP($A1821,'Concrete Beam Schedule'!$A$2:$Q$2902,S$2,0)&lt;&gt;C1821,VLOOKUP($A1821,'Concrete Beam Schedule'!$A$2:$Q$2902,S$2,0),"")</f>
        <v>#N/A</v>
      </c>
      <c r="T1821" s="7" t="e">
        <f>IF(VLOOKUP($A1821,'Concrete Beam Schedule'!$A$2:$Q$2902,T$2,0)&lt;&gt;D1821,"Beam Revised","")</f>
        <v>#N/A</v>
      </c>
      <c r="U1821" s="7" t="e">
        <f>IF(VLOOKUP($A1821,'Concrete Beam Schedule'!$A$2:$Q$2902,U$2,0)&lt;&gt;E1821,"Beam Revised","")</f>
        <v>#N/A</v>
      </c>
      <c r="V1821" s="7" t="e">
        <f>IF(VLOOKUP($A1821,'Concrete Beam Schedule'!$A$2:$Q$2902,V$2,0)&lt;&gt;F1821,"Beam Revised","")</f>
        <v>#N/A</v>
      </c>
      <c r="W1821" s="7" t="e">
        <f>IF(VLOOKUP($A1821,'Concrete Beam Schedule'!$A$2:$Q$2902,W$2,0)&lt;&gt;G1821,"Beam Revised","")</f>
        <v>#N/A</v>
      </c>
      <c r="X1821" s="7" t="e">
        <f>IF(VLOOKUP($A1821,'Concrete Beam Schedule'!$A$2:$Q$2902,X$2,0)&lt;&gt;H1821,"Beam Revised","")</f>
        <v>#N/A</v>
      </c>
      <c r="Y1821" s="7" t="e">
        <f>IF(VLOOKUP($A1821,'Concrete Beam Schedule'!$A$2:$Q$2902,Y$2,0)&lt;&gt;I1821,"Beam Revised","")</f>
        <v>#N/A</v>
      </c>
      <c r="Z1821" s="7" t="e">
        <f>IF(VLOOKUP($A1821,'Concrete Beam Schedule'!$A$2:$Q$2902,Z$2,0)&lt;&gt;J1821,"Beam Revised","")</f>
        <v>#N/A</v>
      </c>
      <c r="AA1821" s="7" t="e">
        <f>IF(VLOOKUP($A1821,'Concrete Beam Schedule'!$A$2:$Q$2902,AA$2,0)&lt;&gt;K1821,"Beam Revised","")</f>
        <v>#N/A</v>
      </c>
      <c r="AB1821" s="7" t="e">
        <f>IF(VLOOKUP($A1821,'Concrete Beam Schedule'!$A$2:$Q$2902,AB$2,0)&lt;&gt;L1821,"Beam Revised","")</f>
        <v>#N/A</v>
      </c>
      <c r="AC1821" s="7" t="e">
        <f>IF(VLOOKUP($A1821,'Concrete Beam Schedule'!$A$2:$Q$2902,AC$2,0)&lt;&gt;M1821,"Beam Revised","")</f>
        <v>#N/A</v>
      </c>
      <c r="AD1821" s="7" t="e">
        <f>IF(VLOOKUP($A1821,'Concrete Beam Schedule'!$A$2:$Q$2902,AD$2,0)&lt;&gt;N1821,"Beam Revised","")</f>
        <v>#N/A</v>
      </c>
      <c r="AE1821" s="7" t="e">
        <f>IF(VLOOKUP($A1821,'Concrete Beam Schedule'!$A$2:$Q$2902,AE$2,0)&lt;&gt;O1821,"Beam Revised","")</f>
        <v>#N/A</v>
      </c>
    </row>
    <row r="1822" spans="17:31" ht="20.100000000000001" customHeight="1" x14ac:dyDescent="0.25">
      <c r="Q1822" s="7">
        <f t="shared" si="28"/>
        <v>0</v>
      </c>
      <c r="R1822" s="7" t="e">
        <f>IF(VLOOKUP($A1822,'Concrete Beam Schedule'!$A$2:$Q$2902,R$2,0)&lt;&gt;B1822,VLOOKUP($A1822,'Concrete Beam Schedule'!$A$2:$Q$2902,R$2,0),"")</f>
        <v>#N/A</v>
      </c>
      <c r="S1822" s="7" t="e">
        <f>IF(VLOOKUP($A1822,'Concrete Beam Schedule'!$A$2:$Q$2902,S$2,0)&lt;&gt;C1822,VLOOKUP($A1822,'Concrete Beam Schedule'!$A$2:$Q$2902,S$2,0),"")</f>
        <v>#N/A</v>
      </c>
      <c r="T1822" s="7" t="e">
        <f>IF(VLOOKUP($A1822,'Concrete Beam Schedule'!$A$2:$Q$2902,T$2,0)&lt;&gt;D1822,"Beam Revised","")</f>
        <v>#N/A</v>
      </c>
      <c r="U1822" s="7" t="e">
        <f>IF(VLOOKUP($A1822,'Concrete Beam Schedule'!$A$2:$Q$2902,U$2,0)&lt;&gt;E1822,"Beam Revised","")</f>
        <v>#N/A</v>
      </c>
      <c r="V1822" s="7" t="e">
        <f>IF(VLOOKUP($A1822,'Concrete Beam Schedule'!$A$2:$Q$2902,V$2,0)&lt;&gt;F1822,"Beam Revised","")</f>
        <v>#N/A</v>
      </c>
      <c r="W1822" s="7" t="e">
        <f>IF(VLOOKUP($A1822,'Concrete Beam Schedule'!$A$2:$Q$2902,W$2,0)&lt;&gt;G1822,"Beam Revised","")</f>
        <v>#N/A</v>
      </c>
      <c r="X1822" s="7" t="e">
        <f>IF(VLOOKUP($A1822,'Concrete Beam Schedule'!$A$2:$Q$2902,X$2,0)&lt;&gt;H1822,"Beam Revised","")</f>
        <v>#N/A</v>
      </c>
      <c r="Y1822" s="7" t="e">
        <f>IF(VLOOKUP($A1822,'Concrete Beam Schedule'!$A$2:$Q$2902,Y$2,0)&lt;&gt;I1822,"Beam Revised","")</f>
        <v>#N/A</v>
      </c>
      <c r="Z1822" s="7" t="e">
        <f>IF(VLOOKUP($A1822,'Concrete Beam Schedule'!$A$2:$Q$2902,Z$2,0)&lt;&gt;J1822,"Beam Revised","")</f>
        <v>#N/A</v>
      </c>
      <c r="AA1822" s="7" t="e">
        <f>IF(VLOOKUP($A1822,'Concrete Beam Schedule'!$A$2:$Q$2902,AA$2,0)&lt;&gt;K1822,"Beam Revised","")</f>
        <v>#N/A</v>
      </c>
      <c r="AB1822" s="7" t="e">
        <f>IF(VLOOKUP($A1822,'Concrete Beam Schedule'!$A$2:$Q$2902,AB$2,0)&lt;&gt;L1822,"Beam Revised","")</f>
        <v>#N/A</v>
      </c>
      <c r="AC1822" s="7" t="e">
        <f>IF(VLOOKUP($A1822,'Concrete Beam Schedule'!$A$2:$Q$2902,AC$2,0)&lt;&gt;M1822,"Beam Revised","")</f>
        <v>#N/A</v>
      </c>
      <c r="AD1822" s="7" t="e">
        <f>IF(VLOOKUP($A1822,'Concrete Beam Schedule'!$A$2:$Q$2902,AD$2,0)&lt;&gt;N1822,"Beam Revised","")</f>
        <v>#N/A</v>
      </c>
      <c r="AE1822" s="7" t="e">
        <f>IF(VLOOKUP($A1822,'Concrete Beam Schedule'!$A$2:$Q$2902,AE$2,0)&lt;&gt;O1822,"Beam Revised","")</f>
        <v>#N/A</v>
      </c>
    </row>
    <row r="1823" spans="17:31" ht="20.100000000000001" customHeight="1" x14ac:dyDescent="0.25">
      <c r="Q1823" s="7">
        <f t="shared" si="28"/>
        <v>0</v>
      </c>
      <c r="R1823" s="7" t="e">
        <f>IF(VLOOKUP($A1823,'Concrete Beam Schedule'!$A$2:$Q$2902,R$2,0)&lt;&gt;B1823,VLOOKUP($A1823,'Concrete Beam Schedule'!$A$2:$Q$2902,R$2,0),"")</f>
        <v>#N/A</v>
      </c>
      <c r="S1823" s="7" t="e">
        <f>IF(VLOOKUP($A1823,'Concrete Beam Schedule'!$A$2:$Q$2902,S$2,0)&lt;&gt;C1823,VLOOKUP($A1823,'Concrete Beam Schedule'!$A$2:$Q$2902,S$2,0),"")</f>
        <v>#N/A</v>
      </c>
      <c r="T1823" s="7" t="e">
        <f>IF(VLOOKUP($A1823,'Concrete Beam Schedule'!$A$2:$Q$2902,T$2,0)&lt;&gt;D1823,"Beam Revised","")</f>
        <v>#N/A</v>
      </c>
      <c r="U1823" s="7" t="e">
        <f>IF(VLOOKUP($A1823,'Concrete Beam Schedule'!$A$2:$Q$2902,U$2,0)&lt;&gt;E1823,"Beam Revised","")</f>
        <v>#N/A</v>
      </c>
      <c r="V1823" s="7" t="e">
        <f>IF(VLOOKUP($A1823,'Concrete Beam Schedule'!$A$2:$Q$2902,V$2,0)&lt;&gt;F1823,"Beam Revised","")</f>
        <v>#N/A</v>
      </c>
      <c r="W1823" s="7" t="e">
        <f>IF(VLOOKUP($A1823,'Concrete Beam Schedule'!$A$2:$Q$2902,W$2,0)&lt;&gt;G1823,"Beam Revised","")</f>
        <v>#N/A</v>
      </c>
      <c r="X1823" s="7" t="e">
        <f>IF(VLOOKUP($A1823,'Concrete Beam Schedule'!$A$2:$Q$2902,X$2,0)&lt;&gt;H1823,"Beam Revised","")</f>
        <v>#N/A</v>
      </c>
      <c r="Y1823" s="7" t="e">
        <f>IF(VLOOKUP($A1823,'Concrete Beam Schedule'!$A$2:$Q$2902,Y$2,0)&lt;&gt;I1823,"Beam Revised","")</f>
        <v>#N/A</v>
      </c>
      <c r="Z1823" s="7" t="e">
        <f>IF(VLOOKUP($A1823,'Concrete Beam Schedule'!$A$2:$Q$2902,Z$2,0)&lt;&gt;J1823,"Beam Revised","")</f>
        <v>#N/A</v>
      </c>
      <c r="AA1823" s="7" t="e">
        <f>IF(VLOOKUP($A1823,'Concrete Beam Schedule'!$A$2:$Q$2902,AA$2,0)&lt;&gt;K1823,"Beam Revised","")</f>
        <v>#N/A</v>
      </c>
      <c r="AB1823" s="7" t="e">
        <f>IF(VLOOKUP($A1823,'Concrete Beam Schedule'!$A$2:$Q$2902,AB$2,0)&lt;&gt;L1823,"Beam Revised","")</f>
        <v>#N/A</v>
      </c>
      <c r="AC1823" s="7" t="e">
        <f>IF(VLOOKUP($A1823,'Concrete Beam Schedule'!$A$2:$Q$2902,AC$2,0)&lt;&gt;M1823,"Beam Revised","")</f>
        <v>#N/A</v>
      </c>
      <c r="AD1823" s="7" t="e">
        <f>IF(VLOOKUP($A1823,'Concrete Beam Schedule'!$A$2:$Q$2902,AD$2,0)&lt;&gt;N1823,"Beam Revised","")</f>
        <v>#N/A</v>
      </c>
      <c r="AE1823" s="7" t="e">
        <f>IF(VLOOKUP($A1823,'Concrete Beam Schedule'!$A$2:$Q$2902,AE$2,0)&lt;&gt;O1823,"Beam Revised","")</f>
        <v>#N/A</v>
      </c>
    </row>
    <row r="1824" spans="17:31" ht="20.100000000000001" customHeight="1" x14ac:dyDescent="0.25">
      <c r="Q1824" s="7">
        <f t="shared" si="28"/>
        <v>0</v>
      </c>
      <c r="R1824" s="7" t="e">
        <f>IF(VLOOKUP($A1824,'Concrete Beam Schedule'!$A$2:$Q$2902,R$2,0)&lt;&gt;B1824,VLOOKUP($A1824,'Concrete Beam Schedule'!$A$2:$Q$2902,R$2,0),"")</f>
        <v>#N/A</v>
      </c>
      <c r="S1824" s="7" t="e">
        <f>IF(VLOOKUP($A1824,'Concrete Beam Schedule'!$A$2:$Q$2902,S$2,0)&lt;&gt;C1824,VLOOKUP($A1824,'Concrete Beam Schedule'!$A$2:$Q$2902,S$2,0),"")</f>
        <v>#N/A</v>
      </c>
      <c r="T1824" s="7" t="e">
        <f>IF(VLOOKUP($A1824,'Concrete Beam Schedule'!$A$2:$Q$2902,T$2,0)&lt;&gt;D1824,"Beam Revised","")</f>
        <v>#N/A</v>
      </c>
      <c r="U1824" s="7" t="e">
        <f>IF(VLOOKUP($A1824,'Concrete Beam Schedule'!$A$2:$Q$2902,U$2,0)&lt;&gt;E1824,"Beam Revised","")</f>
        <v>#N/A</v>
      </c>
      <c r="V1824" s="7" t="e">
        <f>IF(VLOOKUP($A1824,'Concrete Beam Schedule'!$A$2:$Q$2902,V$2,0)&lt;&gt;F1824,"Beam Revised","")</f>
        <v>#N/A</v>
      </c>
      <c r="W1824" s="7" t="e">
        <f>IF(VLOOKUP($A1824,'Concrete Beam Schedule'!$A$2:$Q$2902,W$2,0)&lt;&gt;G1824,"Beam Revised","")</f>
        <v>#N/A</v>
      </c>
      <c r="X1824" s="7" t="e">
        <f>IF(VLOOKUP($A1824,'Concrete Beam Schedule'!$A$2:$Q$2902,X$2,0)&lt;&gt;H1824,"Beam Revised","")</f>
        <v>#N/A</v>
      </c>
      <c r="Y1824" s="7" t="e">
        <f>IF(VLOOKUP($A1824,'Concrete Beam Schedule'!$A$2:$Q$2902,Y$2,0)&lt;&gt;I1824,"Beam Revised","")</f>
        <v>#N/A</v>
      </c>
      <c r="Z1824" s="7" t="e">
        <f>IF(VLOOKUP($A1824,'Concrete Beam Schedule'!$A$2:$Q$2902,Z$2,0)&lt;&gt;J1824,"Beam Revised","")</f>
        <v>#N/A</v>
      </c>
      <c r="AA1824" s="7" t="e">
        <f>IF(VLOOKUP($A1824,'Concrete Beam Schedule'!$A$2:$Q$2902,AA$2,0)&lt;&gt;K1824,"Beam Revised","")</f>
        <v>#N/A</v>
      </c>
      <c r="AB1824" s="7" t="e">
        <f>IF(VLOOKUP($A1824,'Concrete Beam Schedule'!$A$2:$Q$2902,AB$2,0)&lt;&gt;L1824,"Beam Revised","")</f>
        <v>#N/A</v>
      </c>
      <c r="AC1824" s="7" t="e">
        <f>IF(VLOOKUP($A1824,'Concrete Beam Schedule'!$A$2:$Q$2902,AC$2,0)&lt;&gt;M1824,"Beam Revised","")</f>
        <v>#N/A</v>
      </c>
      <c r="AD1824" s="7" t="e">
        <f>IF(VLOOKUP($A1824,'Concrete Beam Schedule'!$A$2:$Q$2902,AD$2,0)&lt;&gt;N1824,"Beam Revised","")</f>
        <v>#N/A</v>
      </c>
      <c r="AE1824" s="7" t="e">
        <f>IF(VLOOKUP($A1824,'Concrete Beam Schedule'!$A$2:$Q$2902,AE$2,0)&lt;&gt;O1824,"Beam Revised","")</f>
        <v>#N/A</v>
      </c>
    </row>
    <row r="1825" spans="17:31" ht="20.100000000000001" customHeight="1" x14ac:dyDescent="0.25">
      <c r="Q1825" s="7">
        <f t="shared" si="28"/>
        <v>0</v>
      </c>
      <c r="R1825" s="7" t="e">
        <f>IF(VLOOKUP($A1825,'Concrete Beam Schedule'!$A$2:$Q$2902,R$2,0)&lt;&gt;B1825,VLOOKUP($A1825,'Concrete Beam Schedule'!$A$2:$Q$2902,R$2,0),"")</f>
        <v>#N/A</v>
      </c>
      <c r="S1825" s="7" t="e">
        <f>IF(VLOOKUP($A1825,'Concrete Beam Schedule'!$A$2:$Q$2902,S$2,0)&lt;&gt;C1825,VLOOKUP($A1825,'Concrete Beam Schedule'!$A$2:$Q$2902,S$2,0),"")</f>
        <v>#N/A</v>
      </c>
      <c r="T1825" s="7" t="e">
        <f>IF(VLOOKUP($A1825,'Concrete Beam Schedule'!$A$2:$Q$2902,T$2,0)&lt;&gt;D1825,"Beam Revised","")</f>
        <v>#N/A</v>
      </c>
      <c r="U1825" s="7" t="e">
        <f>IF(VLOOKUP($A1825,'Concrete Beam Schedule'!$A$2:$Q$2902,U$2,0)&lt;&gt;E1825,"Beam Revised","")</f>
        <v>#N/A</v>
      </c>
      <c r="V1825" s="7" t="e">
        <f>IF(VLOOKUP($A1825,'Concrete Beam Schedule'!$A$2:$Q$2902,V$2,0)&lt;&gt;F1825,"Beam Revised","")</f>
        <v>#N/A</v>
      </c>
      <c r="W1825" s="7" t="e">
        <f>IF(VLOOKUP($A1825,'Concrete Beam Schedule'!$A$2:$Q$2902,W$2,0)&lt;&gt;G1825,"Beam Revised","")</f>
        <v>#N/A</v>
      </c>
      <c r="X1825" s="7" t="e">
        <f>IF(VLOOKUP($A1825,'Concrete Beam Schedule'!$A$2:$Q$2902,X$2,0)&lt;&gt;H1825,"Beam Revised","")</f>
        <v>#N/A</v>
      </c>
      <c r="Y1825" s="7" t="e">
        <f>IF(VLOOKUP($A1825,'Concrete Beam Schedule'!$A$2:$Q$2902,Y$2,0)&lt;&gt;I1825,"Beam Revised","")</f>
        <v>#N/A</v>
      </c>
      <c r="Z1825" s="7" t="e">
        <f>IF(VLOOKUP($A1825,'Concrete Beam Schedule'!$A$2:$Q$2902,Z$2,0)&lt;&gt;J1825,"Beam Revised","")</f>
        <v>#N/A</v>
      </c>
      <c r="AA1825" s="7" t="e">
        <f>IF(VLOOKUP($A1825,'Concrete Beam Schedule'!$A$2:$Q$2902,AA$2,0)&lt;&gt;K1825,"Beam Revised","")</f>
        <v>#N/A</v>
      </c>
      <c r="AB1825" s="7" t="e">
        <f>IF(VLOOKUP($A1825,'Concrete Beam Schedule'!$A$2:$Q$2902,AB$2,0)&lt;&gt;L1825,"Beam Revised","")</f>
        <v>#N/A</v>
      </c>
      <c r="AC1825" s="7" t="e">
        <f>IF(VLOOKUP($A1825,'Concrete Beam Schedule'!$A$2:$Q$2902,AC$2,0)&lt;&gt;M1825,"Beam Revised","")</f>
        <v>#N/A</v>
      </c>
      <c r="AD1825" s="7" t="e">
        <f>IF(VLOOKUP($A1825,'Concrete Beam Schedule'!$A$2:$Q$2902,AD$2,0)&lt;&gt;N1825,"Beam Revised","")</f>
        <v>#N/A</v>
      </c>
      <c r="AE1825" s="7" t="e">
        <f>IF(VLOOKUP($A1825,'Concrete Beam Schedule'!$A$2:$Q$2902,AE$2,0)&lt;&gt;O1825,"Beam Revised","")</f>
        <v>#N/A</v>
      </c>
    </row>
    <row r="1826" spans="17:31" ht="20.100000000000001" customHeight="1" x14ac:dyDescent="0.25">
      <c r="Q1826" s="7">
        <f t="shared" si="28"/>
        <v>0</v>
      </c>
      <c r="R1826" s="7" t="e">
        <f>IF(VLOOKUP($A1826,'Concrete Beam Schedule'!$A$2:$Q$2902,R$2,0)&lt;&gt;B1826,VLOOKUP($A1826,'Concrete Beam Schedule'!$A$2:$Q$2902,R$2,0),"")</f>
        <v>#N/A</v>
      </c>
      <c r="S1826" s="7" t="e">
        <f>IF(VLOOKUP($A1826,'Concrete Beam Schedule'!$A$2:$Q$2902,S$2,0)&lt;&gt;C1826,VLOOKUP($A1826,'Concrete Beam Schedule'!$A$2:$Q$2902,S$2,0),"")</f>
        <v>#N/A</v>
      </c>
      <c r="T1826" s="7" t="e">
        <f>IF(VLOOKUP($A1826,'Concrete Beam Schedule'!$A$2:$Q$2902,T$2,0)&lt;&gt;D1826,"Beam Revised","")</f>
        <v>#N/A</v>
      </c>
      <c r="U1826" s="7" t="e">
        <f>IF(VLOOKUP($A1826,'Concrete Beam Schedule'!$A$2:$Q$2902,U$2,0)&lt;&gt;E1826,"Beam Revised","")</f>
        <v>#N/A</v>
      </c>
      <c r="V1826" s="7" t="e">
        <f>IF(VLOOKUP($A1826,'Concrete Beam Schedule'!$A$2:$Q$2902,V$2,0)&lt;&gt;F1826,"Beam Revised","")</f>
        <v>#N/A</v>
      </c>
      <c r="W1826" s="7" t="e">
        <f>IF(VLOOKUP($A1826,'Concrete Beam Schedule'!$A$2:$Q$2902,W$2,0)&lt;&gt;G1826,"Beam Revised","")</f>
        <v>#N/A</v>
      </c>
      <c r="X1826" s="7" t="e">
        <f>IF(VLOOKUP($A1826,'Concrete Beam Schedule'!$A$2:$Q$2902,X$2,0)&lt;&gt;H1826,"Beam Revised","")</f>
        <v>#N/A</v>
      </c>
      <c r="Y1826" s="7" t="e">
        <f>IF(VLOOKUP($A1826,'Concrete Beam Schedule'!$A$2:$Q$2902,Y$2,0)&lt;&gt;I1826,"Beam Revised","")</f>
        <v>#N/A</v>
      </c>
      <c r="Z1826" s="7" t="e">
        <f>IF(VLOOKUP($A1826,'Concrete Beam Schedule'!$A$2:$Q$2902,Z$2,0)&lt;&gt;J1826,"Beam Revised","")</f>
        <v>#N/A</v>
      </c>
      <c r="AA1826" s="7" t="e">
        <f>IF(VLOOKUP($A1826,'Concrete Beam Schedule'!$A$2:$Q$2902,AA$2,0)&lt;&gt;K1826,"Beam Revised","")</f>
        <v>#N/A</v>
      </c>
      <c r="AB1826" s="7" t="e">
        <f>IF(VLOOKUP($A1826,'Concrete Beam Schedule'!$A$2:$Q$2902,AB$2,0)&lt;&gt;L1826,"Beam Revised","")</f>
        <v>#N/A</v>
      </c>
      <c r="AC1826" s="7" t="e">
        <f>IF(VLOOKUP($A1826,'Concrete Beam Schedule'!$A$2:$Q$2902,AC$2,0)&lt;&gt;M1826,"Beam Revised","")</f>
        <v>#N/A</v>
      </c>
      <c r="AD1826" s="7" t="e">
        <f>IF(VLOOKUP($A1826,'Concrete Beam Schedule'!$A$2:$Q$2902,AD$2,0)&lt;&gt;N1826,"Beam Revised","")</f>
        <v>#N/A</v>
      </c>
      <c r="AE1826" s="7" t="e">
        <f>IF(VLOOKUP($A1826,'Concrete Beam Schedule'!$A$2:$Q$2902,AE$2,0)&lt;&gt;O1826,"Beam Revised","")</f>
        <v>#N/A</v>
      </c>
    </row>
    <row r="1827" spans="17:31" ht="20.100000000000001" customHeight="1" x14ac:dyDescent="0.25">
      <c r="Q1827" s="7">
        <f t="shared" si="28"/>
        <v>0</v>
      </c>
      <c r="R1827" s="7" t="e">
        <f>IF(VLOOKUP($A1827,'Concrete Beam Schedule'!$A$2:$Q$2902,R$2,0)&lt;&gt;B1827,VLOOKUP($A1827,'Concrete Beam Schedule'!$A$2:$Q$2902,R$2,0),"")</f>
        <v>#N/A</v>
      </c>
      <c r="S1827" s="7" t="e">
        <f>IF(VLOOKUP($A1827,'Concrete Beam Schedule'!$A$2:$Q$2902,S$2,0)&lt;&gt;C1827,VLOOKUP($A1827,'Concrete Beam Schedule'!$A$2:$Q$2902,S$2,0),"")</f>
        <v>#N/A</v>
      </c>
      <c r="T1827" s="7" t="e">
        <f>IF(VLOOKUP($A1827,'Concrete Beam Schedule'!$A$2:$Q$2902,T$2,0)&lt;&gt;D1827,"Beam Revised","")</f>
        <v>#N/A</v>
      </c>
      <c r="U1827" s="7" t="e">
        <f>IF(VLOOKUP($A1827,'Concrete Beam Schedule'!$A$2:$Q$2902,U$2,0)&lt;&gt;E1827,"Beam Revised","")</f>
        <v>#N/A</v>
      </c>
      <c r="V1827" s="7" t="e">
        <f>IF(VLOOKUP($A1827,'Concrete Beam Schedule'!$A$2:$Q$2902,V$2,0)&lt;&gt;F1827,"Beam Revised","")</f>
        <v>#N/A</v>
      </c>
      <c r="W1827" s="7" t="e">
        <f>IF(VLOOKUP($A1827,'Concrete Beam Schedule'!$A$2:$Q$2902,W$2,0)&lt;&gt;G1827,"Beam Revised","")</f>
        <v>#N/A</v>
      </c>
      <c r="X1827" s="7" t="e">
        <f>IF(VLOOKUP($A1827,'Concrete Beam Schedule'!$A$2:$Q$2902,X$2,0)&lt;&gt;H1827,"Beam Revised","")</f>
        <v>#N/A</v>
      </c>
      <c r="Y1827" s="7" t="e">
        <f>IF(VLOOKUP($A1827,'Concrete Beam Schedule'!$A$2:$Q$2902,Y$2,0)&lt;&gt;I1827,"Beam Revised","")</f>
        <v>#N/A</v>
      </c>
      <c r="Z1827" s="7" t="e">
        <f>IF(VLOOKUP($A1827,'Concrete Beam Schedule'!$A$2:$Q$2902,Z$2,0)&lt;&gt;J1827,"Beam Revised","")</f>
        <v>#N/A</v>
      </c>
      <c r="AA1827" s="7" t="e">
        <f>IF(VLOOKUP($A1827,'Concrete Beam Schedule'!$A$2:$Q$2902,AA$2,0)&lt;&gt;K1827,"Beam Revised","")</f>
        <v>#N/A</v>
      </c>
      <c r="AB1827" s="7" t="e">
        <f>IF(VLOOKUP($A1827,'Concrete Beam Schedule'!$A$2:$Q$2902,AB$2,0)&lt;&gt;L1827,"Beam Revised","")</f>
        <v>#N/A</v>
      </c>
      <c r="AC1827" s="7" t="e">
        <f>IF(VLOOKUP($A1827,'Concrete Beam Schedule'!$A$2:$Q$2902,AC$2,0)&lt;&gt;M1827,"Beam Revised","")</f>
        <v>#N/A</v>
      </c>
      <c r="AD1827" s="7" t="e">
        <f>IF(VLOOKUP($A1827,'Concrete Beam Schedule'!$A$2:$Q$2902,AD$2,0)&lt;&gt;N1827,"Beam Revised","")</f>
        <v>#N/A</v>
      </c>
      <c r="AE1827" s="7" t="e">
        <f>IF(VLOOKUP($A1827,'Concrete Beam Schedule'!$A$2:$Q$2902,AE$2,0)&lt;&gt;O1827,"Beam Revised","")</f>
        <v>#N/A</v>
      </c>
    </row>
    <row r="1828" spans="17:31" ht="20.100000000000001" customHeight="1" x14ac:dyDescent="0.25">
      <c r="Q1828" s="7">
        <f t="shared" si="28"/>
        <v>0</v>
      </c>
      <c r="R1828" s="7" t="e">
        <f>IF(VLOOKUP($A1828,'Concrete Beam Schedule'!$A$2:$Q$2902,R$2,0)&lt;&gt;B1828,VLOOKUP($A1828,'Concrete Beam Schedule'!$A$2:$Q$2902,R$2,0),"")</f>
        <v>#N/A</v>
      </c>
      <c r="S1828" s="7" t="e">
        <f>IF(VLOOKUP($A1828,'Concrete Beam Schedule'!$A$2:$Q$2902,S$2,0)&lt;&gt;C1828,VLOOKUP($A1828,'Concrete Beam Schedule'!$A$2:$Q$2902,S$2,0),"")</f>
        <v>#N/A</v>
      </c>
      <c r="T1828" s="7" t="e">
        <f>IF(VLOOKUP($A1828,'Concrete Beam Schedule'!$A$2:$Q$2902,T$2,0)&lt;&gt;D1828,"Beam Revised","")</f>
        <v>#N/A</v>
      </c>
      <c r="U1828" s="7" t="e">
        <f>IF(VLOOKUP($A1828,'Concrete Beam Schedule'!$A$2:$Q$2902,U$2,0)&lt;&gt;E1828,"Beam Revised","")</f>
        <v>#N/A</v>
      </c>
      <c r="V1828" s="7" t="e">
        <f>IF(VLOOKUP($A1828,'Concrete Beam Schedule'!$A$2:$Q$2902,V$2,0)&lt;&gt;F1828,"Beam Revised","")</f>
        <v>#N/A</v>
      </c>
      <c r="W1828" s="7" t="e">
        <f>IF(VLOOKUP($A1828,'Concrete Beam Schedule'!$A$2:$Q$2902,W$2,0)&lt;&gt;G1828,"Beam Revised","")</f>
        <v>#N/A</v>
      </c>
      <c r="X1828" s="7" t="e">
        <f>IF(VLOOKUP($A1828,'Concrete Beam Schedule'!$A$2:$Q$2902,X$2,0)&lt;&gt;H1828,"Beam Revised","")</f>
        <v>#N/A</v>
      </c>
      <c r="Y1828" s="7" t="e">
        <f>IF(VLOOKUP($A1828,'Concrete Beam Schedule'!$A$2:$Q$2902,Y$2,0)&lt;&gt;I1828,"Beam Revised","")</f>
        <v>#N/A</v>
      </c>
      <c r="Z1828" s="7" t="e">
        <f>IF(VLOOKUP($A1828,'Concrete Beam Schedule'!$A$2:$Q$2902,Z$2,0)&lt;&gt;J1828,"Beam Revised","")</f>
        <v>#N/A</v>
      </c>
      <c r="AA1828" s="7" t="e">
        <f>IF(VLOOKUP($A1828,'Concrete Beam Schedule'!$A$2:$Q$2902,AA$2,0)&lt;&gt;K1828,"Beam Revised","")</f>
        <v>#N/A</v>
      </c>
      <c r="AB1828" s="7" t="e">
        <f>IF(VLOOKUP($A1828,'Concrete Beam Schedule'!$A$2:$Q$2902,AB$2,0)&lt;&gt;L1828,"Beam Revised","")</f>
        <v>#N/A</v>
      </c>
      <c r="AC1828" s="7" t="e">
        <f>IF(VLOOKUP($A1828,'Concrete Beam Schedule'!$A$2:$Q$2902,AC$2,0)&lt;&gt;M1828,"Beam Revised","")</f>
        <v>#N/A</v>
      </c>
      <c r="AD1828" s="7" t="e">
        <f>IF(VLOOKUP($A1828,'Concrete Beam Schedule'!$A$2:$Q$2902,AD$2,0)&lt;&gt;N1828,"Beam Revised","")</f>
        <v>#N/A</v>
      </c>
      <c r="AE1828" s="7" t="e">
        <f>IF(VLOOKUP($A1828,'Concrete Beam Schedule'!$A$2:$Q$2902,AE$2,0)&lt;&gt;O1828,"Beam Revised","")</f>
        <v>#N/A</v>
      </c>
    </row>
    <row r="1829" spans="17:31" ht="20.100000000000001" customHeight="1" x14ac:dyDescent="0.25">
      <c r="Q1829" s="7">
        <f t="shared" si="28"/>
        <v>0</v>
      </c>
      <c r="R1829" s="7" t="e">
        <f>IF(VLOOKUP($A1829,'Concrete Beam Schedule'!$A$2:$Q$2902,R$2,0)&lt;&gt;B1829,VLOOKUP($A1829,'Concrete Beam Schedule'!$A$2:$Q$2902,R$2,0),"")</f>
        <v>#N/A</v>
      </c>
      <c r="S1829" s="7" t="e">
        <f>IF(VLOOKUP($A1829,'Concrete Beam Schedule'!$A$2:$Q$2902,S$2,0)&lt;&gt;C1829,VLOOKUP($A1829,'Concrete Beam Schedule'!$A$2:$Q$2902,S$2,0),"")</f>
        <v>#N/A</v>
      </c>
      <c r="T1829" s="7" t="e">
        <f>IF(VLOOKUP($A1829,'Concrete Beam Schedule'!$A$2:$Q$2902,T$2,0)&lt;&gt;D1829,"Beam Revised","")</f>
        <v>#N/A</v>
      </c>
      <c r="U1829" s="7" t="e">
        <f>IF(VLOOKUP($A1829,'Concrete Beam Schedule'!$A$2:$Q$2902,U$2,0)&lt;&gt;E1829,"Beam Revised","")</f>
        <v>#N/A</v>
      </c>
      <c r="V1829" s="7" t="e">
        <f>IF(VLOOKUP($A1829,'Concrete Beam Schedule'!$A$2:$Q$2902,V$2,0)&lt;&gt;F1829,"Beam Revised","")</f>
        <v>#N/A</v>
      </c>
      <c r="W1829" s="7" t="e">
        <f>IF(VLOOKUP($A1829,'Concrete Beam Schedule'!$A$2:$Q$2902,W$2,0)&lt;&gt;G1829,"Beam Revised","")</f>
        <v>#N/A</v>
      </c>
      <c r="X1829" s="7" t="e">
        <f>IF(VLOOKUP($A1829,'Concrete Beam Schedule'!$A$2:$Q$2902,X$2,0)&lt;&gt;H1829,"Beam Revised","")</f>
        <v>#N/A</v>
      </c>
      <c r="Y1829" s="7" t="e">
        <f>IF(VLOOKUP($A1829,'Concrete Beam Schedule'!$A$2:$Q$2902,Y$2,0)&lt;&gt;I1829,"Beam Revised","")</f>
        <v>#N/A</v>
      </c>
      <c r="Z1829" s="7" t="e">
        <f>IF(VLOOKUP($A1829,'Concrete Beam Schedule'!$A$2:$Q$2902,Z$2,0)&lt;&gt;J1829,"Beam Revised","")</f>
        <v>#N/A</v>
      </c>
      <c r="AA1829" s="7" t="e">
        <f>IF(VLOOKUP($A1829,'Concrete Beam Schedule'!$A$2:$Q$2902,AA$2,0)&lt;&gt;K1829,"Beam Revised","")</f>
        <v>#N/A</v>
      </c>
      <c r="AB1829" s="7" t="e">
        <f>IF(VLOOKUP($A1829,'Concrete Beam Schedule'!$A$2:$Q$2902,AB$2,0)&lt;&gt;L1829,"Beam Revised","")</f>
        <v>#N/A</v>
      </c>
      <c r="AC1829" s="7" t="e">
        <f>IF(VLOOKUP($A1829,'Concrete Beam Schedule'!$A$2:$Q$2902,AC$2,0)&lt;&gt;M1829,"Beam Revised","")</f>
        <v>#N/A</v>
      </c>
      <c r="AD1829" s="7" t="e">
        <f>IF(VLOOKUP($A1829,'Concrete Beam Schedule'!$A$2:$Q$2902,AD$2,0)&lt;&gt;N1829,"Beam Revised","")</f>
        <v>#N/A</v>
      </c>
      <c r="AE1829" s="7" t="e">
        <f>IF(VLOOKUP($A1829,'Concrete Beam Schedule'!$A$2:$Q$2902,AE$2,0)&lt;&gt;O1829,"Beam Revised","")</f>
        <v>#N/A</v>
      </c>
    </row>
    <row r="1830" spans="17:31" ht="20.100000000000001" customHeight="1" x14ac:dyDescent="0.25">
      <c r="Q1830" s="7">
        <f t="shared" si="28"/>
        <v>0</v>
      </c>
      <c r="R1830" s="7" t="e">
        <f>IF(VLOOKUP($A1830,'Concrete Beam Schedule'!$A$2:$Q$2902,R$2,0)&lt;&gt;B1830,VLOOKUP($A1830,'Concrete Beam Schedule'!$A$2:$Q$2902,R$2,0),"")</f>
        <v>#N/A</v>
      </c>
      <c r="S1830" s="7" t="e">
        <f>IF(VLOOKUP($A1830,'Concrete Beam Schedule'!$A$2:$Q$2902,S$2,0)&lt;&gt;C1830,VLOOKUP($A1830,'Concrete Beam Schedule'!$A$2:$Q$2902,S$2,0),"")</f>
        <v>#N/A</v>
      </c>
      <c r="T1830" s="7" t="e">
        <f>IF(VLOOKUP($A1830,'Concrete Beam Schedule'!$A$2:$Q$2902,T$2,0)&lt;&gt;D1830,"Beam Revised","")</f>
        <v>#N/A</v>
      </c>
      <c r="U1830" s="7" t="e">
        <f>IF(VLOOKUP($A1830,'Concrete Beam Schedule'!$A$2:$Q$2902,U$2,0)&lt;&gt;E1830,"Beam Revised","")</f>
        <v>#N/A</v>
      </c>
      <c r="V1830" s="7" t="e">
        <f>IF(VLOOKUP($A1830,'Concrete Beam Schedule'!$A$2:$Q$2902,V$2,0)&lt;&gt;F1830,"Beam Revised","")</f>
        <v>#N/A</v>
      </c>
      <c r="W1830" s="7" t="e">
        <f>IF(VLOOKUP($A1830,'Concrete Beam Schedule'!$A$2:$Q$2902,W$2,0)&lt;&gt;G1830,"Beam Revised","")</f>
        <v>#N/A</v>
      </c>
      <c r="X1830" s="7" t="e">
        <f>IF(VLOOKUP($A1830,'Concrete Beam Schedule'!$A$2:$Q$2902,X$2,0)&lt;&gt;H1830,"Beam Revised","")</f>
        <v>#N/A</v>
      </c>
      <c r="Y1830" s="7" t="e">
        <f>IF(VLOOKUP($A1830,'Concrete Beam Schedule'!$A$2:$Q$2902,Y$2,0)&lt;&gt;I1830,"Beam Revised","")</f>
        <v>#N/A</v>
      </c>
      <c r="Z1830" s="7" t="e">
        <f>IF(VLOOKUP($A1830,'Concrete Beam Schedule'!$A$2:$Q$2902,Z$2,0)&lt;&gt;J1830,"Beam Revised","")</f>
        <v>#N/A</v>
      </c>
      <c r="AA1830" s="7" t="e">
        <f>IF(VLOOKUP($A1830,'Concrete Beam Schedule'!$A$2:$Q$2902,AA$2,0)&lt;&gt;K1830,"Beam Revised","")</f>
        <v>#N/A</v>
      </c>
      <c r="AB1830" s="7" t="e">
        <f>IF(VLOOKUP($A1830,'Concrete Beam Schedule'!$A$2:$Q$2902,AB$2,0)&lt;&gt;L1830,"Beam Revised","")</f>
        <v>#N/A</v>
      </c>
      <c r="AC1830" s="7" t="e">
        <f>IF(VLOOKUP($A1830,'Concrete Beam Schedule'!$A$2:$Q$2902,AC$2,0)&lt;&gt;M1830,"Beam Revised","")</f>
        <v>#N/A</v>
      </c>
      <c r="AD1830" s="7" t="e">
        <f>IF(VLOOKUP($A1830,'Concrete Beam Schedule'!$A$2:$Q$2902,AD$2,0)&lt;&gt;N1830,"Beam Revised","")</f>
        <v>#N/A</v>
      </c>
      <c r="AE1830" s="7" t="e">
        <f>IF(VLOOKUP($A1830,'Concrete Beam Schedule'!$A$2:$Q$2902,AE$2,0)&lt;&gt;O1830,"Beam Revised","")</f>
        <v>#N/A</v>
      </c>
    </row>
    <row r="1831" spans="17:31" ht="20.100000000000001" customHeight="1" x14ac:dyDescent="0.25">
      <c r="Q1831" s="7">
        <f t="shared" si="28"/>
        <v>0</v>
      </c>
      <c r="R1831" s="7" t="e">
        <f>IF(VLOOKUP($A1831,'Concrete Beam Schedule'!$A$2:$Q$2902,R$2,0)&lt;&gt;B1831,VLOOKUP($A1831,'Concrete Beam Schedule'!$A$2:$Q$2902,R$2,0),"")</f>
        <v>#N/A</v>
      </c>
      <c r="S1831" s="7" t="e">
        <f>IF(VLOOKUP($A1831,'Concrete Beam Schedule'!$A$2:$Q$2902,S$2,0)&lt;&gt;C1831,VLOOKUP($A1831,'Concrete Beam Schedule'!$A$2:$Q$2902,S$2,0),"")</f>
        <v>#N/A</v>
      </c>
      <c r="T1831" s="7" t="e">
        <f>IF(VLOOKUP($A1831,'Concrete Beam Schedule'!$A$2:$Q$2902,T$2,0)&lt;&gt;D1831,"Beam Revised","")</f>
        <v>#N/A</v>
      </c>
      <c r="U1831" s="7" t="e">
        <f>IF(VLOOKUP($A1831,'Concrete Beam Schedule'!$A$2:$Q$2902,U$2,0)&lt;&gt;E1831,"Beam Revised","")</f>
        <v>#N/A</v>
      </c>
      <c r="V1831" s="7" t="e">
        <f>IF(VLOOKUP($A1831,'Concrete Beam Schedule'!$A$2:$Q$2902,V$2,0)&lt;&gt;F1831,"Beam Revised","")</f>
        <v>#N/A</v>
      </c>
      <c r="W1831" s="7" t="e">
        <f>IF(VLOOKUP($A1831,'Concrete Beam Schedule'!$A$2:$Q$2902,W$2,0)&lt;&gt;G1831,"Beam Revised","")</f>
        <v>#N/A</v>
      </c>
      <c r="X1831" s="7" t="e">
        <f>IF(VLOOKUP($A1831,'Concrete Beam Schedule'!$A$2:$Q$2902,X$2,0)&lt;&gt;H1831,"Beam Revised","")</f>
        <v>#N/A</v>
      </c>
      <c r="Y1831" s="7" t="e">
        <f>IF(VLOOKUP($A1831,'Concrete Beam Schedule'!$A$2:$Q$2902,Y$2,0)&lt;&gt;I1831,"Beam Revised","")</f>
        <v>#N/A</v>
      </c>
      <c r="Z1831" s="7" t="e">
        <f>IF(VLOOKUP($A1831,'Concrete Beam Schedule'!$A$2:$Q$2902,Z$2,0)&lt;&gt;J1831,"Beam Revised","")</f>
        <v>#N/A</v>
      </c>
      <c r="AA1831" s="7" t="e">
        <f>IF(VLOOKUP($A1831,'Concrete Beam Schedule'!$A$2:$Q$2902,AA$2,0)&lt;&gt;K1831,"Beam Revised","")</f>
        <v>#N/A</v>
      </c>
      <c r="AB1831" s="7" t="e">
        <f>IF(VLOOKUP($A1831,'Concrete Beam Schedule'!$A$2:$Q$2902,AB$2,0)&lt;&gt;L1831,"Beam Revised","")</f>
        <v>#N/A</v>
      </c>
      <c r="AC1831" s="7" t="e">
        <f>IF(VLOOKUP($A1831,'Concrete Beam Schedule'!$A$2:$Q$2902,AC$2,0)&lt;&gt;M1831,"Beam Revised","")</f>
        <v>#N/A</v>
      </c>
      <c r="AD1831" s="7" t="e">
        <f>IF(VLOOKUP($A1831,'Concrete Beam Schedule'!$A$2:$Q$2902,AD$2,0)&lt;&gt;N1831,"Beam Revised","")</f>
        <v>#N/A</v>
      </c>
      <c r="AE1831" s="7" t="e">
        <f>IF(VLOOKUP($A1831,'Concrete Beam Schedule'!$A$2:$Q$2902,AE$2,0)&lt;&gt;O1831,"Beam Revised","")</f>
        <v>#N/A</v>
      </c>
    </row>
    <row r="1832" spans="17:31" ht="20.100000000000001" customHeight="1" x14ac:dyDescent="0.25">
      <c r="Q1832" s="7">
        <f t="shared" si="28"/>
        <v>0</v>
      </c>
      <c r="R1832" s="7" t="e">
        <f>IF(VLOOKUP($A1832,'Concrete Beam Schedule'!$A$2:$Q$2902,R$2,0)&lt;&gt;B1832,VLOOKUP($A1832,'Concrete Beam Schedule'!$A$2:$Q$2902,R$2,0),"")</f>
        <v>#N/A</v>
      </c>
      <c r="S1832" s="7" t="e">
        <f>IF(VLOOKUP($A1832,'Concrete Beam Schedule'!$A$2:$Q$2902,S$2,0)&lt;&gt;C1832,VLOOKUP($A1832,'Concrete Beam Schedule'!$A$2:$Q$2902,S$2,0),"")</f>
        <v>#N/A</v>
      </c>
      <c r="T1832" s="7" t="e">
        <f>IF(VLOOKUP($A1832,'Concrete Beam Schedule'!$A$2:$Q$2902,T$2,0)&lt;&gt;D1832,"Beam Revised","")</f>
        <v>#N/A</v>
      </c>
      <c r="U1832" s="7" t="e">
        <f>IF(VLOOKUP($A1832,'Concrete Beam Schedule'!$A$2:$Q$2902,U$2,0)&lt;&gt;E1832,"Beam Revised","")</f>
        <v>#N/A</v>
      </c>
      <c r="V1832" s="7" t="e">
        <f>IF(VLOOKUP($A1832,'Concrete Beam Schedule'!$A$2:$Q$2902,V$2,0)&lt;&gt;F1832,"Beam Revised","")</f>
        <v>#N/A</v>
      </c>
      <c r="W1832" s="7" t="e">
        <f>IF(VLOOKUP($A1832,'Concrete Beam Schedule'!$A$2:$Q$2902,W$2,0)&lt;&gt;G1832,"Beam Revised","")</f>
        <v>#N/A</v>
      </c>
      <c r="X1832" s="7" t="e">
        <f>IF(VLOOKUP($A1832,'Concrete Beam Schedule'!$A$2:$Q$2902,X$2,0)&lt;&gt;H1832,"Beam Revised","")</f>
        <v>#N/A</v>
      </c>
      <c r="Y1832" s="7" t="e">
        <f>IF(VLOOKUP($A1832,'Concrete Beam Schedule'!$A$2:$Q$2902,Y$2,0)&lt;&gt;I1832,"Beam Revised","")</f>
        <v>#N/A</v>
      </c>
      <c r="Z1832" s="7" t="e">
        <f>IF(VLOOKUP($A1832,'Concrete Beam Schedule'!$A$2:$Q$2902,Z$2,0)&lt;&gt;J1832,"Beam Revised","")</f>
        <v>#N/A</v>
      </c>
      <c r="AA1832" s="7" t="e">
        <f>IF(VLOOKUP($A1832,'Concrete Beam Schedule'!$A$2:$Q$2902,AA$2,0)&lt;&gt;K1832,"Beam Revised","")</f>
        <v>#N/A</v>
      </c>
      <c r="AB1832" s="7" t="e">
        <f>IF(VLOOKUP($A1832,'Concrete Beam Schedule'!$A$2:$Q$2902,AB$2,0)&lt;&gt;L1832,"Beam Revised","")</f>
        <v>#N/A</v>
      </c>
      <c r="AC1832" s="7" t="e">
        <f>IF(VLOOKUP($A1832,'Concrete Beam Schedule'!$A$2:$Q$2902,AC$2,0)&lt;&gt;M1832,"Beam Revised","")</f>
        <v>#N/A</v>
      </c>
      <c r="AD1832" s="7" t="e">
        <f>IF(VLOOKUP($A1832,'Concrete Beam Schedule'!$A$2:$Q$2902,AD$2,0)&lt;&gt;N1832,"Beam Revised","")</f>
        <v>#N/A</v>
      </c>
      <c r="AE1832" s="7" t="e">
        <f>IF(VLOOKUP($A1832,'Concrete Beam Schedule'!$A$2:$Q$2902,AE$2,0)&lt;&gt;O1832,"Beam Revised","")</f>
        <v>#N/A</v>
      </c>
    </row>
    <row r="1833" spans="17:31" ht="20.100000000000001" customHeight="1" x14ac:dyDescent="0.25">
      <c r="Q1833" s="7">
        <f t="shared" si="28"/>
        <v>0</v>
      </c>
      <c r="R1833" s="7" t="e">
        <f>IF(VLOOKUP($A1833,'Concrete Beam Schedule'!$A$2:$Q$2902,R$2,0)&lt;&gt;B1833,VLOOKUP($A1833,'Concrete Beam Schedule'!$A$2:$Q$2902,R$2,0),"")</f>
        <v>#N/A</v>
      </c>
      <c r="S1833" s="7" t="e">
        <f>IF(VLOOKUP($A1833,'Concrete Beam Schedule'!$A$2:$Q$2902,S$2,0)&lt;&gt;C1833,VLOOKUP($A1833,'Concrete Beam Schedule'!$A$2:$Q$2902,S$2,0),"")</f>
        <v>#N/A</v>
      </c>
      <c r="T1833" s="7" t="e">
        <f>IF(VLOOKUP($A1833,'Concrete Beam Schedule'!$A$2:$Q$2902,T$2,0)&lt;&gt;D1833,"Beam Revised","")</f>
        <v>#N/A</v>
      </c>
      <c r="U1833" s="7" t="e">
        <f>IF(VLOOKUP($A1833,'Concrete Beam Schedule'!$A$2:$Q$2902,U$2,0)&lt;&gt;E1833,"Beam Revised","")</f>
        <v>#N/A</v>
      </c>
      <c r="V1833" s="7" t="e">
        <f>IF(VLOOKUP($A1833,'Concrete Beam Schedule'!$A$2:$Q$2902,V$2,0)&lt;&gt;F1833,"Beam Revised","")</f>
        <v>#N/A</v>
      </c>
      <c r="W1833" s="7" t="e">
        <f>IF(VLOOKUP($A1833,'Concrete Beam Schedule'!$A$2:$Q$2902,W$2,0)&lt;&gt;G1833,"Beam Revised","")</f>
        <v>#N/A</v>
      </c>
      <c r="X1833" s="7" t="e">
        <f>IF(VLOOKUP($A1833,'Concrete Beam Schedule'!$A$2:$Q$2902,X$2,0)&lt;&gt;H1833,"Beam Revised","")</f>
        <v>#N/A</v>
      </c>
      <c r="Y1833" s="7" t="e">
        <f>IF(VLOOKUP($A1833,'Concrete Beam Schedule'!$A$2:$Q$2902,Y$2,0)&lt;&gt;I1833,"Beam Revised","")</f>
        <v>#N/A</v>
      </c>
      <c r="Z1833" s="7" t="e">
        <f>IF(VLOOKUP($A1833,'Concrete Beam Schedule'!$A$2:$Q$2902,Z$2,0)&lt;&gt;J1833,"Beam Revised","")</f>
        <v>#N/A</v>
      </c>
      <c r="AA1833" s="7" t="e">
        <f>IF(VLOOKUP($A1833,'Concrete Beam Schedule'!$A$2:$Q$2902,AA$2,0)&lt;&gt;K1833,"Beam Revised","")</f>
        <v>#N/A</v>
      </c>
      <c r="AB1833" s="7" t="e">
        <f>IF(VLOOKUP($A1833,'Concrete Beam Schedule'!$A$2:$Q$2902,AB$2,0)&lt;&gt;L1833,"Beam Revised","")</f>
        <v>#N/A</v>
      </c>
      <c r="AC1833" s="7" t="e">
        <f>IF(VLOOKUP($A1833,'Concrete Beam Schedule'!$A$2:$Q$2902,AC$2,0)&lt;&gt;M1833,"Beam Revised","")</f>
        <v>#N/A</v>
      </c>
      <c r="AD1833" s="7" t="e">
        <f>IF(VLOOKUP($A1833,'Concrete Beam Schedule'!$A$2:$Q$2902,AD$2,0)&lt;&gt;N1833,"Beam Revised","")</f>
        <v>#N/A</v>
      </c>
      <c r="AE1833" s="7" t="e">
        <f>IF(VLOOKUP($A1833,'Concrete Beam Schedule'!$A$2:$Q$2902,AE$2,0)&lt;&gt;O1833,"Beam Revised","")</f>
        <v>#N/A</v>
      </c>
    </row>
    <row r="1834" spans="17:31" ht="20.100000000000001" customHeight="1" x14ac:dyDescent="0.25">
      <c r="Q1834" s="7">
        <f t="shared" si="28"/>
        <v>0</v>
      </c>
      <c r="R1834" s="7" t="e">
        <f>IF(VLOOKUP($A1834,'Concrete Beam Schedule'!$A$2:$Q$2902,R$2,0)&lt;&gt;B1834,VLOOKUP($A1834,'Concrete Beam Schedule'!$A$2:$Q$2902,R$2,0),"")</f>
        <v>#N/A</v>
      </c>
      <c r="S1834" s="7" t="e">
        <f>IF(VLOOKUP($A1834,'Concrete Beam Schedule'!$A$2:$Q$2902,S$2,0)&lt;&gt;C1834,VLOOKUP($A1834,'Concrete Beam Schedule'!$A$2:$Q$2902,S$2,0),"")</f>
        <v>#N/A</v>
      </c>
      <c r="T1834" s="7" t="e">
        <f>IF(VLOOKUP($A1834,'Concrete Beam Schedule'!$A$2:$Q$2902,T$2,0)&lt;&gt;D1834,"Beam Revised","")</f>
        <v>#N/A</v>
      </c>
      <c r="U1834" s="7" t="e">
        <f>IF(VLOOKUP($A1834,'Concrete Beam Schedule'!$A$2:$Q$2902,U$2,0)&lt;&gt;E1834,"Beam Revised","")</f>
        <v>#N/A</v>
      </c>
      <c r="V1834" s="7" t="e">
        <f>IF(VLOOKUP($A1834,'Concrete Beam Schedule'!$A$2:$Q$2902,V$2,0)&lt;&gt;F1834,"Beam Revised","")</f>
        <v>#N/A</v>
      </c>
      <c r="W1834" s="7" t="e">
        <f>IF(VLOOKUP($A1834,'Concrete Beam Schedule'!$A$2:$Q$2902,W$2,0)&lt;&gt;G1834,"Beam Revised","")</f>
        <v>#N/A</v>
      </c>
      <c r="X1834" s="7" t="e">
        <f>IF(VLOOKUP($A1834,'Concrete Beam Schedule'!$A$2:$Q$2902,X$2,0)&lt;&gt;H1834,"Beam Revised","")</f>
        <v>#N/A</v>
      </c>
      <c r="Y1834" s="7" t="e">
        <f>IF(VLOOKUP($A1834,'Concrete Beam Schedule'!$A$2:$Q$2902,Y$2,0)&lt;&gt;I1834,"Beam Revised","")</f>
        <v>#N/A</v>
      </c>
      <c r="Z1834" s="7" t="e">
        <f>IF(VLOOKUP($A1834,'Concrete Beam Schedule'!$A$2:$Q$2902,Z$2,0)&lt;&gt;J1834,"Beam Revised","")</f>
        <v>#N/A</v>
      </c>
      <c r="AA1834" s="7" t="e">
        <f>IF(VLOOKUP($A1834,'Concrete Beam Schedule'!$A$2:$Q$2902,AA$2,0)&lt;&gt;K1834,"Beam Revised","")</f>
        <v>#N/A</v>
      </c>
      <c r="AB1834" s="7" t="e">
        <f>IF(VLOOKUP($A1834,'Concrete Beam Schedule'!$A$2:$Q$2902,AB$2,0)&lt;&gt;L1834,"Beam Revised","")</f>
        <v>#N/A</v>
      </c>
      <c r="AC1834" s="7" t="e">
        <f>IF(VLOOKUP($A1834,'Concrete Beam Schedule'!$A$2:$Q$2902,AC$2,0)&lt;&gt;M1834,"Beam Revised","")</f>
        <v>#N/A</v>
      </c>
      <c r="AD1834" s="7" t="e">
        <f>IF(VLOOKUP($A1834,'Concrete Beam Schedule'!$A$2:$Q$2902,AD$2,0)&lt;&gt;N1834,"Beam Revised","")</f>
        <v>#N/A</v>
      </c>
      <c r="AE1834" s="7" t="e">
        <f>IF(VLOOKUP($A1834,'Concrete Beam Schedule'!$A$2:$Q$2902,AE$2,0)&lt;&gt;O1834,"Beam Revised","")</f>
        <v>#N/A</v>
      </c>
    </row>
    <row r="1835" spans="17:31" ht="20.100000000000001" customHeight="1" x14ac:dyDescent="0.25">
      <c r="Q1835" s="7">
        <f t="shared" si="28"/>
        <v>0</v>
      </c>
      <c r="R1835" s="7" t="e">
        <f>IF(VLOOKUP($A1835,'Concrete Beam Schedule'!$A$2:$Q$2902,R$2,0)&lt;&gt;B1835,VLOOKUP($A1835,'Concrete Beam Schedule'!$A$2:$Q$2902,R$2,0),"")</f>
        <v>#N/A</v>
      </c>
      <c r="S1835" s="7" t="e">
        <f>IF(VLOOKUP($A1835,'Concrete Beam Schedule'!$A$2:$Q$2902,S$2,0)&lt;&gt;C1835,VLOOKUP($A1835,'Concrete Beam Schedule'!$A$2:$Q$2902,S$2,0),"")</f>
        <v>#N/A</v>
      </c>
      <c r="T1835" s="7" t="e">
        <f>IF(VLOOKUP($A1835,'Concrete Beam Schedule'!$A$2:$Q$2902,T$2,0)&lt;&gt;D1835,"Beam Revised","")</f>
        <v>#N/A</v>
      </c>
      <c r="U1835" s="7" t="e">
        <f>IF(VLOOKUP($A1835,'Concrete Beam Schedule'!$A$2:$Q$2902,U$2,0)&lt;&gt;E1835,"Beam Revised","")</f>
        <v>#N/A</v>
      </c>
      <c r="V1835" s="7" t="e">
        <f>IF(VLOOKUP($A1835,'Concrete Beam Schedule'!$A$2:$Q$2902,V$2,0)&lt;&gt;F1835,"Beam Revised","")</f>
        <v>#N/A</v>
      </c>
      <c r="W1835" s="7" t="e">
        <f>IF(VLOOKUP($A1835,'Concrete Beam Schedule'!$A$2:$Q$2902,W$2,0)&lt;&gt;G1835,"Beam Revised","")</f>
        <v>#N/A</v>
      </c>
      <c r="X1835" s="7" t="e">
        <f>IF(VLOOKUP($A1835,'Concrete Beam Schedule'!$A$2:$Q$2902,X$2,0)&lt;&gt;H1835,"Beam Revised","")</f>
        <v>#N/A</v>
      </c>
      <c r="Y1835" s="7" t="e">
        <f>IF(VLOOKUP($A1835,'Concrete Beam Schedule'!$A$2:$Q$2902,Y$2,0)&lt;&gt;I1835,"Beam Revised","")</f>
        <v>#N/A</v>
      </c>
      <c r="Z1835" s="7" t="e">
        <f>IF(VLOOKUP($A1835,'Concrete Beam Schedule'!$A$2:$Q$2902,Z$2,0)&lt;&gt;J1835,"Beam Revised","")</f>
        <v>#N/A</v>
      </c>
      <c r="AA1835" s="7" t="e">
        <f>IF(VLOOKUP($A1835,'Concrete Beam Schedule'!$A$2:$Q$2902,AA$2,0)&lt;&gt;K1835,"Beam Revised","")</f>
        <v>#N/A</v>
      </c>
      <c r="AB1835" s="7" t="e">
        <f>IF(VLOOKUP($A1835,'Concrete Beam Schedule'!$A$2:$Q$2902,AB$2,0)&lt;&gt;L1835,"Beam Revised","")</f>
        <v>#N/A</v>
      </c>
      <c r="AC1835" s="7" t="e">
        <f>IF(VLOOKUP($A1835,'Concrete Beam Schedule'!$A$2:$Q$2902,AC$2,0)&lt;&gt;M1835,"Beam Revised","")</f>
        <v>#N/A</v>
      </c>
      <c r="AD1835" s="7" t="e">
        <f>IF(VLOOKUP($A1835,'Concrete Beam Schedule'!$A$2:$Q$2902,AD$2,0)&lt;&gt;N1835,"Beam Revised","")</f>
        <v>#N/A</v>
      </c>
      <c r="AE1835" s="7" t="e">
        <f>IF(VLOOKUP($A1835,'Concrete Beam Schedule'!$A$2:$Q$2902,AE$2,0)&lt;&gt;O1835,"Beam Revised","")</f>
        <v>#N/A</v>
      </c>
    </row>
    <row r="1836" spans="17:31" ht="20.100000000000001" customHeight="1" x14ac:dyDescent="0.25">
      <c r="Q1836" s="7">
        <f t="shared" si="28"/>
        <v>0</v>
      </c>
      <c r="R1836" s="7" t="e">
        <f>IF(VLOOKUP($A1836,'Concrete Beam Schedule'!$A$2:$Q$2902,R$2,0)&lt;&gt;B1836,VLOOKUP($A1836,'Concrete Beam Schedule'!$A$2:$Q$2902,R$2,0),"")</f>
        <v>#N/A</v>
      </c>
      <c r="S1836" s="7" t="e">
        <f>IF(VLOOKUP($A1836,'Concrete Beam Schedule'!$A$2:$Q$2902,S$2,0)&lt;&gt;C1836,VLOOKUP($A1836,'Concrete Beam Schedule'!$A$2:$Q$2902,S$2,0),"")</f>
        <v>#N/A</v>
      </c>
      <c r="T1836" s="7" t="e">
        <f>IF(VLOOKUP($A1836,'Concrete Beam Schedule'!$A$2:$Q$2902,T$2,0)&lt;&gt;D1836,"Beam Revised","")</f>
        <v>#N/A</v>
      </c>
      <c r="U1836" s="7" t="e">
        <f>IF(VLOOKUP($A1836,'Concrete Beam Schedule'!$A$2:$Q$2902,U$2,0)&lt;&gt;E1836,"Beam Revised","")</f>
        <v>#N/A</v>
      </c>
      <c r="V1836" s="7" t="e">
        <f>IF(VLOOKUP($A1836,'Concrete Beam Schedule'!$A$2:$Q$2902,V$2,0)&lt;&gt;F1836,"Beam Revised","")</f>
        <v>#N/A</v>
      </c>
      <c r="W1836" s="7" t="e">
        <f>IF(VLOOKUP($A1836,'Concrete Beam Schedule'!$A$2:$Q$2902,W$2,0)&lt;&gt;G1836,"Beam Revised","")</f>
        <v>#N/A</v>
      </c>
      <c r="X1836" s="7" t="e">
        <f>IF(VLOOKUP($A1836,'Concrete Beam Schedule'!$A$2:$Q$2902,X$2,0)&lt;&gt;H1836,"Beam Revised","")</f>
        <v>#N/A</v>
      </c>
      <c r="Y1836" s="7" t="e">
        <f>IF(VLOOKUP($A1836,'Concrete Beam Schedule'!$A$2:$Q$2902,Y$2,0)&lt;&gt;I1836,"Beam Revised","")</f>
        <v>#N/A</v>
      </c>
      <c r="Z1836" s="7" t="e">
        <f>IF(VLOOKUP($A1836,'Concrete Beam Schedule'!$A$2:$Q$2902,Z$2,0)&lt;&gt;J1836,"Beam Revised","")</f>
        <v>#N/A</v>
      </c>
      <c r="AA1836" s="7" t="e">
        <f>IF(VLOOKUP($A1836,'Concrete Beam Schedule'!$A$2:$Q$2902,AA$2,0)&lt;&gt;K1836,"Beam Revised","")</f>
        <v>#N/A</v>
      </c>
      <c r="AB1836" s="7" t="e">
        <f>IF(VLOOKUP($A1836,'Concrete Beam Schedule'!$A$2:$Q$2902,AB$2,0)&lt;&gt;L1836,"Beam Revised","")</f>
        <v>#N/A</v>
      </c>
      <c r="AC1836" s="7" t="e">
        <f>IF(VLOOKUP($A1836,'Concrete Beam Schedule'!$A$2:$Q$2902,AC$2,0)&lt;&gt;M1836,"Beam Revised","")</f>
        <v>#N/A</v>
      </c>
      <c r="AD1836" s="7" t="e">
        <f>IF(VLOOKUP($A1836,'Concrete Beam Schedule'!$A$2:$Q$2902,AD$2,0)&lt;&gt;N1836,"Beam Revised","")</f>
        <v>#N/A</v>
      </c>
      <c r="AE1836" s="7" t="e">
        <f>IF(VLOOKUP($A1836,'Concrete Beam Schedule'!$A$2:$Q$2902,AE$2,0)&lt;&gt;O1836,"Beam Revised","")</f>
        <v>#N/A</v>
      </c>
    </row>
    <row r="1837" spans="17:31" ht="20.100000000000001" customHeight="1" x14ac:dyDescent="0.25">
      <c r="Q1837" s="7">
        <f t="shared" si="28"/>
        <v>0</v>
      </c>
      <c r="R1837" s="7" t="e">
        <f>IF(VLOOKUP($A1837,'Concrete Beam Schedule'!$A$2:$Q$2902,R$2,0)&lt;&gt;B1837,VLOOKUP($A1837,'Concrete Beam Schedule'!$A$2:$Q$2902,R$2,0),"")</f>
        <v>#N/A</v>
      </c>
      <c r="S1837" s="7" t="e">
        <f>IF(VLOOKUP($A1837,'Concrete Beam Schedule'!$A$2:$Q$2902,S$2,0)&lt;&gt;C1837,VLOOKUP($A1837,'Concrete Beam Schedule'!$A$2:$Q$2902,S$2,0),"")</f>
        <v>#N/A</v>
      </c>
      <c r="T1837" s="7" t="e">
        <f>IF(VLOOKUP($A1837,'Concrete Beam Schedule'!$A$2:$Q$2902,T$2,0)&lt;&gt;D1837,"Beam Revised","")</f>
        <v>#N/A</v>
      </c>
      <c r="U1837" s="7" t="e">
        <f>IF(VLOOKUP($A1837,'Concrete Beam Schedule'!$A$2:$Q$2902,U$2,0)&lt;&gt;E1837,"Beam Revised","")</f>
        <v>#N/A</v>
      </c>
      <c r="V1837" s="7" t="e">
        <f>IF(VLOOKUP($A1837,'Concrete Beam Schedule'!$A$2:$Q$2902,V$2,0)&lt;&gt;F1837,"Beam Revised","")</f>
        <v>#N/A</v>
      </c>
      <c r="W1837" s="7" t="e">
        <f>IF(VLOOKUP($A1837,'Concrete Beam Schedule'!$A$2:$Q$2902,W$2,0)&lt;&gt;G1837,"Beam Revised","")</f>
        <v>#N/A</v>
      </c>
      <c r="X1837" s="7" t="e">
        <f>IF(VLOOKUP($A1837,'Concrete Beam Schedule'!$A$2:$Q$2902,X$2,0)&lt;&gt;H1837,"Beam Revised","")</f>
        <v>#N/A</v>
      </c>
      <c r="Y1837" s="7" t="e">
        <f>IF(VLOOKUP($A1837,'Concrete Beam Schedule'!$A$2:$Q$2902,Y$2,0)&lt;&gt;I1837,"Beam Revised","")</f>
        <v>#N/A</v>
      </c>
      <c r="Z1837" s="7" t="e">
        <f>IF(VLOOKUP($A1837,'Concrete Beam Schedule'!$A$2:$Q$2902,Z$2,0)&lt;&gt;J1837,"Beam Revised","")</f>
        <v>#N/A</v>
      </c>
      <c r="AA1837" s="7" t="e">
        <f>IF(VLOOKUP($A1837,'Concrete Beam Schedule'!$A$2:$Q$2902,AA$2,0)&lt;&gt;K1837,"Beam Revised","")</f>
        <v>#N/A</v>
      </c>
      <c r="AB1837" s="7" t="e">
        <f>IF(VLOOKUP($A1837,'Concrete Beam Schedule'!$A$2:$Q$2902,AB$2,0)&lt;&gt;L1837,"Beam Revised","")</f>
        <v>#N/A</v>
      </c>
      <c r="AC1837" s="7" t="e">
        <f>IF(VLOOKUP($A1837,'Concrete Beam Schedule'!$A$2:$Q$2902,AC$2,0)&lt;&gt;M1837,"Beam Revised","")</f>
        <v>#N/A</v>
      </c>
      <c r="AD1837" s="7" t="e">
        <f>IF(VLOOKUP($A1837,'Concrete Beam Schedule'!$A$2:$Q$2902,AD$2,0)&lt;&gt;N1837,"Beam Revised","")</f>
        <v>#N/A</v>
      </c>
      <c r="AE1837" s="7" t="e">
        <f>IF(VLOOKUP($A1837,'Concrete Beam Schedule'!$A$2:$Q$2902,AE$2,0)&lt;&gt;O1837,"Beam Revised","")</f>
        <v>#N/A</v>
      </c>
    </row>
    <row r="1838" spans="17:31" ht="20.100000000000001" customHeight="1" x14ac:dyDescent="0.25">
      <c r="Q1838" s="7">
        <f t="shared" si="28"/>
        <v>0</v>
      </c>
      <c r="R1838" s="7" t="e">
        <f>IF(VLOOKUP($A1838,'Concrete Beam Schedule'!$A$2:$Q$2902,R$2,0)&lt;&gt;B1838,VLOOKUP($A1838,'Concrete Beam Schedule'!$A$2:$Q$2902,R$2,0),"")</f>
        <v>#N/A</v>
      </c>
      <c r="S1838" s="7" t="e">
        <f>IF(VLOOKUP($A1838,'Concrete Beam Schedule'!$A$2:$Q$2902,S$2,0)&lt;&gt;C1838,VLOOKUP($A1838,'Concrete Beam Schedule'!$A$2:$Q$2902,S$2,0),"")</f>
        <v>#N/A</v>
      </c>
      <c r="T1838" s="7" t="e">
        <f>IF(VLOOKUP($A1838,'Concrete Beam Schedule'!$A$2:$Q$2902,T$2,0)&lt;&gt;D1838,"Beam Revised","")</f>
        <v>#N/A</v>
      </c>
      <c r="U1838" s="7" t="e">
        <f>IF(VLOOKUP($A1838,'Concrete Beam Schedule'!$A$2:$Q$2902,U$2,0)&lt;&gt;E1838,"Beam Revised","")</f>
        <v>#N/A</v>
      </c>
      <c r="V1838" s="7" t="e">
        <f>IF(VLOOKUP($A1838,'Concrete Beam Schedule'!$A$2:$Q$2902,V$2,0)&lt;&gt;F1838,"Beam Revised","")</f>
        <v>#N/A</v>
      </c>
      <c r="W1838" s="7" t="e">
        <f>IF(VLOOKUP($A1838,'Concrete Beam Schedule'!$A$2:$Q$2902,W$2,0)&lt;&gt;G1838,"Beam Revised","")</f>
        <v>#N/A</v>
      </c>
      <c r="X1838" s="7" t="e">
        <f>IF(VLOOKUP($A1838,'Concrete Beam Schedule'!$A$2:$Q$2902,X$2,0)&lt;&gt;H1838,"Beam Revised","")</f>
        <v>#N/A</v>
      </c>
      <c r="Y1838" s="7" t="e">
        <f>IF(VLOOKUP($A1838,'Concrete Beam Schedule'!$A$2:$Q$2902,Y$2,0)&lt;&gt;I1838,"Beam Revised","")</f>
        <v>#N/A</v>
      </c>
      <c r="Z1838" s="7" t="e">
        <f>IF(VLOOKUP($A1838,'Concrete Beam Schedule'!$A$2:$Q$2902,Z$2,0)&lt;&gt;J1838,"Beam Revised","")</f>
        <v>#N/A</v>
      </c>
      <c r="AA1838" s="7" t="e">
        <f>IF(VLOOKUP($A1838,'Concrete Beam Schedule'!$A$2:$Q$2902,AA$2,0)&lt;&gt;K1838,"Beam Revised","")</f>
        <v>#N/A</v>
      </c>
      <c r="AB1838" s="7" t="e">
        <f>IF(VLOOKUP($A1838,'Concrete Beam Schedule'!$A$2:$Q$2902,AB$2,0)&lt;&gt;L1838,"Beam Revised","")</f>
        <v>#N/A</v>
      </c>
      <c r="AC1838" s="7" t="e">
        <f>IF(VLOOKUP($A1838,'Concrete Beam Schedule'!$A$2:$Q$2902,AC$2,0)&lt;&gt;M1838,"Beam Revised","")</f>
        <v>#N/A</v>
      </c>
      <c r="AD1838" s="7" t="e">
        <f>IF(VLOOKUP($A1838,'Concrete Beam Schedule'!$A$2:$Q$2902,AD$2,0)&lt;&gt;N1838,"Beam Revised","")</f>
        <v>#N/A</v>
      </c>
      <c r="AE1838" s="7" t="e">
        <f>IF(VLOOKUP($A1838,'Concrete Beam Schedule'!$A$2:$Q$2902,AE$2,0)&lt;&gt;O1838,"Beam Revised","")</f>
        <v>#N/A</v>
      </c>
    </row>
    <row r="1839" spans="17:31" ht="20.100000000000001" customHeight="1" x14ac:dyDescent="0.25">
      <c r="Q1839" s="7">
        <f t="shared" si="28"/>
        <v>0</v>
      </c>
      <c r="R1839" s="7" t="e">
        <f>IF(VLOOKUP($A1839,'Concrete Beam Schedule'!$A$2:$Q$2902,R$2,0)&lt;&gt;B1839,VLOOKUP($A1839,'Concrete Beam Schedule'!$A$2:$Q$2902,R$2,0),"")</f>
        <v>#N/A</v>
      </c>
      <c r="S1839" s="7" t="e">
        <f>IF(VLOOKUP($A1839,'Concrete Beam Schedule'!$A$2:$Q$2902,S$2,0)&lt;&gt;C1839,VLOOKUP($A1839,'Concrete Beam Schedule'!$A$2:$Q$2902,S$2,0),"")</f>
        <v>#N/A</v>
      </c>
      <c r="T1839" s="7" t="e">
        <f>IF(VLOOKUP($A1839,'Concrete Beam Schedule'!$A$2:$Q$2902,T$2,0)&lt;&gt;D1839,"Beam Revised","")</f>
        <v>#N/A</v>
      </c>
      <c r="U1839" s="7" t="e">
        <f>IF(VLOOKUP($A1839,'Concrete Beam Schedule'!$A$2:$Q$2902,U$2,0)&lt;&gt;E1839,"Beam Revised","")</f>
        <v>#N/A</v>
      </c>
      <c r="V1839" s="7" t="e">
        <f>IF(VLOOKUP($A1839,'Concrete Beam Schedule'!$A$2:$Q$2902,V$2,0)&lt;&gt;F1839,"Beam Revised","")</f>
        <v>#N/A</v>
      </c>
      <c r="W1839" s="7" t="e">
        <f>IF(VLOOKUP($A1839,'Concrete Beam Schedule'!$A$2:$Q$2902,W$2,0)&lt;&gt;G1839,"Beam Revised","")</f>
        <v>#N/A</v>
      </c>
      <c r="X1839" s="7" t="e">
        <f>IF(VLOOKUP($A1839,'Concrete Beam Schedule'!$A$2:$Q$2902,X$2,0)&lt;&gt;H1839,"Beam Revised","")</f>
        <v>#N/A</v>
      </c>
      <c r="Y1839" s="7" t="e">
        <f>IF(VLOOKUP($A1839,'Concrete Beam Schedule'!$A$2:$Q$2902,Y$2,0)&lt;&gt;I1839,"Beam Revised","")</f>
        <v>#N/A</v>
      </c>
      <c r="Z1839" s="7" t="e">
        <f>IF(VLOOKUP($A1839,'Concrete Beam Schedule'!$A$2:$Q$2902,Z$2,0)&lt;&gt;J1839,"Beam Revised","")</f>
        <v>#N/A</v>
      </c>
      <c r="AA1839" s="7" t="e">
        <f>IF(VLOOKUP($A1839,'Concrete Beam Schedule'!$A$2:$Q$2902,AA$2,0)&lt;&gt;K1839,"Beam Revised","")</f>
        <v>#N/A</v>
      </c>
      <c r="AB1839" s="7" t="e">
        <f>IF(VLOOKUP($A1839,'Concrete Beam Schedule'!$A$2:$Q$2902,AB$2,0)&lt;&gt;L1839,"Beam Revised","")</f>
        <v>#N/A</v>
      </c>
      <c r="AC1839" s="7" t="e">
        <f>IF(VLOOKUP($A1839,'Concrete Beam Schedule'!$A$2:$Q$2902,AC$2,0)&lt;&gt;M1839,"Beam Revised","")</f>
        <v>#N/A</v>
      </c>
      <c r="AD1839" s="7" t="e">
        <f>IF(VLOOKUP($A1839,'Concrete Beam Schedule'!$A$2:$Q$2902,AD$2,0)&lt;&gt;N1839,"Beam Revised","")</f>
        <v>#N/A</v>
      </c>
      <c r="AE1839" s="7" t="e">
        <f>IF(VLOOKUP($A1839,'Concrete Beam Schedule'!$A$2:$Q$2902,AE$2,0)&lt;&gt;O1839,"Beam Revised","")</f>
        <v>#N/A</v>
      </c>
    </row>
    <row r="1840" spans="17:31" ht="20.100000000000001" customHeight="1" x14ac:dyDescent="0.25">
      <c r="Q1840" s="7">
        <f t="shared" si="28"/>
        <v>0</v>
      </c>
      <c r="R1840" s="7" t="e">
        <f>IF(VLOOKUP($A1840,'Concrete Beam Schedule'!$A$2:$Q$2902,R$2,0)&lt;&gt;B1840,VLOOKUP($A1840,'Concrete Beam Schedule'!$A$2:$Q$2902,R$2,0),"")</f>
        <v>#N/A</v>
      </c>
      <c r="S1840" s="7" t="e">
        <f>IF(VLOOKUP($A1840,'Concrete Beam Schedule'!$A$2:$Q$2902,S$2,0)&lt;&gt;C1840,VLOOKUP($A1840,'Concrete Beam Schedule'!$A$2:$Q$2902,S$2,0),"")</f>
        <v>#N/A</v>
      </c>
      <c r="T1840" s="7" t="e">
        <f>IF(VLOOKUP($A1840,'Concrete Beam Schedule'!$A$2:$Q$2902,T$2,0)&lt;&gt;D1840,"Beam Revised","")</f>
        <v>#N/A</v>
      </c>
      <c r="U1840" s="7" t="e">
        <f>IF(VLOOKUP($A1840,'Concrete Beam Schedule'!$A$2:$Q$2902,U$2,0)&lt;&gt;E1840,"Beam Revised","")</f>
        <v>#N/A</v>
      </c>
      <c r="V1840" s="7" t="e">
        <f>IF(VLOOKUP($A1840,'Concrete Beam Schedule'!$A$2:$Q$2902,V$2,0)&lt;&gt;F1840,"Beam Revised","")</f>
        <v>#N/A</v>
      </c>
      <c r="W1840" s="7" t="e">
        <f>IF(VLOOKUP($A1840,'Concrete Beam Schedule'!$A$2:$Q$2902,W$2,0)&lt;&gt;G1840,"Beam Revised","")</f>
        <v>#N/A</v>
      </c>
      <c r="X1840" s="7" t="e">
        <f>IF(VLOOKUP($A1840,'Concrete Beam Schedule'!$A$2:$Q$2902,X$2,0)&lt;&gt;H1840,"Beam Revised","")</f>
        <v>#N/A</v>
      </c>
      <c r="Y1840" s="7" t="e">
        <f>IF(VLOOKUP($A1840,'Concrete Beam Schedule'!$A$2:$Q$2902,Y$2,0)&lt;&gt;I1840,"Beam Revised","")</f>
        <v>#N/A</v>
      </c>
      <c r="Z1840" s="7" t="e">
        <f>IF(VLOOKUP($A1840,'Concrete Beam Schedule'!$A$2:$Q$2902,Z$2,0)&lt;&gt;J1840,"Beam Revised","")</f>
        <v>#N/A</v>
      </c>
      <c r="AA1840" s="7" t="e">
        <f>IF(VLOOKUP($A1840,'Concrete Beam Schedule'!$A$2:$Q$2902,AA$2,0)&lt;&gt;K1840,"Beam Revised","")</f>
        <v>#N/A</v>
      </c>
      <c r="AB1840" s="7" t="e">
        <f>IF(VLOOKUP($A1840,'Concrete Beam Schedule'!$A$2:$Q$2902,AB$2,0)&lt;&gt;L1840,"Beam Revised","")</f>
        <v>#N/A</v>
      </c>
      <c r="AC1840" s="7" t="e">
        <f>IF(VLOOKUP($A1840,'Concrete Beam Schedule'!$A$2:$Q$2902,AC$2,0)&lt;&gt;M1840,"Beam Revised","")</f>
        <v>#N/A</v>
      </c>
      <c r="AD1840" s="7" t="e">
        <f>IF(VLOOKUP($A1840,'Concrete Beam Schedule'!$A$2:$Q$2902,AD$2,0)&lt;&gt;N1840,"Beam Revised","")</f>
        <v>#N/A</v>
      </c>
      <c r="AE1840" s="7" t="e">
        <f>IF(VLOOKUP($A1840,'Concrete Beam Schedule'!$A$2:$Q$2902,AE$2,0)&lt;&gt;O1840,"Beam Revised","")</f>
        <v>#N/A</v>
      </c>
    </row>
    <row r="1841" spans="17:31" ht="20.100000000000001" customHeight="1" x14ac:dyDescent="0.25">
      <c r="Q1841" s="7">
        <f t="shared" si="28"/>
        <v>0</v>
      </c>
      <c r="R1841" s="7" t="e">
        <f>IF(VLOOKUP($A1841,'Concrete Beam Schedule'!$A$2:$Q$2902,R$2,0)&lt;&gt;B1841,VLOOKUP($A1841,'Concrete Beam Schedule'!$A$2:$Q$2902,R$2,0),"")</f>
        <v>#N/A</v>
      </c>
      <c r="S1841" s="7" t="e">
        <f>IF(VLOOKUP($A1841,'Concrete Beam Schedule'!$A$2:$Q$2902,S$2,0)&lt;&gt;C1841,VLOOKUP($A1841,'Concrete Beam Schedule'!$A$2:$Q$2902,S$2,0),"")</f>
        <v>#N/A</v>
      </c>
      <c r="T1841" s="7" t="e">
        <f>IF(VLOOKUP($A1841,'Concrete Beam Schedule'!$A$2:$Q$2902,T$2,0)&lt;&gt;D1841,"Beam Revised","")</f>
        <v>#N/A</v>
      </c>
      <c r="U1841" s="7" t="e">
        <f>IF(VLOOKUP($A1841,'Concrete Beam Schedule'!$A$2:$Q$2902,U$2,0)&lt;&gt;E1841,"Beam Revised","")</f>
        <v>#N/A</v>
      </c>
      <c r="V1841" s="7" t="e">
        <f>IF(VLOOKUP($A1841,'Concrete Beam Schedule'!$A$2:$Q$2902,V$2,0)&lt;&gt;F1841,"Beam Revised","")</f>
        <v>#N/A</v>
      </c>
      <c r="W1841" s="7" t="e">
        <f>IF(VLOOKUP($A1841,'Concrete Beam Schedule'!$A$2:$Q$2902,W$2,0)&lt;&gt;G1841,"Beam Revised","")</f>
        <v>#N/A</v>
      </c>
      <c r="X1841" s="7" t="e">
        <f>IF(VLOOKUP($A1841,'Concrete Beam Schedule'!$A$2:$Q$2902,X$2,0)&lt;&gt;H1841,"Beam Revised","")</f>
        <v>#N/A</v>
      </c>
      <c r="Y1841" s="7" t="e">
        <f>IF(VLOOKUP($A1841,'Concrete Beam Schedule'!$A$2:$Q$2902,Y$2,0)&lt;&gt;I1841,"Beam Revised","")</f>
        <v>#N/A</v>
      </c>
      <c r="Z1841" s="7" t="e">
        <f>IF(VLOOKUP($A1841,'Concrete Beam Schedule'!$A$2:$Q$2902,Z$2,0)&lt;&gt;J1841,"Beam Revised","")</f>
        <v>#N/A</v>
      </c>
      <c r="AA1841" s="7" t="e">
        <f>IF(VLOOKUP($A1841,'Concrete Beam Schedule'!$A$2:$Q$2902,AA$2,0)&lt;&gt;K1841,"Beam Revised","")</f>
        <v>#N/A</v>
      </c>
      <c r="AB1841" s="7" t="e">
        <f>IF(VLOOKUP($A1841,'Concrete Beam Schedule'!$A$2:$Q$2902,AB$2,0)&lt;&gt;L1841,"Beam Revised","")</f>
        <v>#N/A</v>
      </c>
      <c r="AC1841" s="7" t="e">
        <f>IF(VLOOKUP($A1841,'Concrete Beam Schedule'!$A$2:$Q$2902,AC$2,0)&lt;&gt;M1841,"Beam Revised","")</f>
        <v>#N/A</v>
      </c>
      <c r="AD1841" s="7" t="e">
        <f>IF(VLOOKUP($A1841,'Concrete Beam Schedule'!$A$2:$Q$2902,AD$2,0)&lt;&gt;N1841,"Beam Revised","")</f>
        <v>#N/A</v>
      </c>
      <c r="AE1841" s="7" t="e">
        <f>IF(VLOOKUP($A1841,'Concrete Beam Schedule'!$A$2:$Q$2902,AE$2,0)&lt;&gt;O1841,"Beam Revised","")</f>
        <v>#N/A</v>
      </c>
    </row>
    <row r="1842" spans="17:31" ht="20.100000000000001" customHeight="1" x14ac:dyDescent="0.25">
      <c r="Q1842" s="7">
        <f t="shared" si="28"/>
        <v>0</v>
      </c>
      <c r="R1842" s="7" t="e">
        <f>IF(VLOOKUP($A1842,'Concrete Beam Schedule'!$A$2:$Q$2902,R$2,0)&lt;&gt;B1842,VLOOKUP($A1842,'Concrete Beam Schedule'!$A$2:$Q$2902,R$2,0),"")</f>
        <v>#N/A</v>
      </c>
      <c r="S1842" s="7" t="e">
        <f>IF(VLOOKUP($A1842,'Concrete Beam Schedule'!$A$2:$Q$2902,S$2,0)&lt;&gt;C1842,VLOOKUP($A1842,'Concrete Beam Schedule'!$A$2:$Q$2902,S$2,0),"")</f>
        <v>#N/A</v>
      </c>
      <c r="T1842" s="7" t="e">
        <f>IF(VLOOKUP($A1842,'Concrete Beam Schedule'!$A$2:$Q$2902,T$2,0)&lt;&gt;D1842,"Beam Revised","")</f>
        <v>#N/A</v>
      </c>
      <c r="U1842" s="7" t="e">
        <f>IF(VLOOKUP($A1842,'Concrete Beam Schedule'!$A$2:$Q$2902,U$2,0)&lt;&gt;E1842,"Beam Revised","")</f>
        <v>#N/A</v>
      </c>
      <c r="V1842" s="7" t="e">
        <f>IF(VLOOKUP($A1842,'Concrete Beam Schedule'!$A$2:$Q$2902,V$2,0)&lt;&gt;F1842,"Beam Revised","")</f>
        <v>#N/A</v>
      </c>
      <c r="W1842" s="7" t="e">
        <f>IF(VLOOKUP($A1842,'Concrete Beam Schedule'!$A$2:$Q$2902,W$2,0)&lt;&gt;G1842,"Beam Revised","")</f>
        <v>#N/A</v>
      </c>
      <c r="X1842" s="7" t="e">
        <f>IF(VLOOKUP($A1842,'Concrete Beam Schedule'!$A$2:$Q$2902,X$2,0)&lt;&gt;H1842,"Beam Revised","")</f>
        <v>#N/A</v>
      </c>
      <c r="Y1842" s="7" t="e">
        <f>IF(VLOOKUP($A1842,'Concrete Beam Schedule'!$A$2:$Q$2902,Y$2,0)&lt;&gt;I1842,"Beam Revised","")</f>
        <v>#N/A</v>
      </c>
      <c r="Z1842" s="7" t="e">
        <f>IF(VLOOKUP($A1842,'Concrete Beam Schedule'!$A$2:$Q$2902,Z$2,0)&lt;&gt;J1842,"Beam Revised","")</f>
        <v>#N/A</v>
      </c>
      <c r="AA1842" s="7" t="e">
        <f>IF(VLOOKUP($A1842,'Concrete Beam Schedule'!$A$2:$Q$2902,AA$2,0)&lt;&gt;K1842,"Beam Revised","")</f>
        <v>#N/A</v>
      </c>
      <c r="AB1842" s="7" t="e">
        <f>IF(VLOOKUP($A1842,'Concrete Beam Schedule'!$A$2:$Q$2902,AB$2,0)&lt;&gt;L1842,"Beam Revised","")</f>
        <v>#N/A</v>
      </c>
      <c r="AC1842" s="7" t="e">
        <f>IF(VLOOKUP($A1842,'Concrete Beam Schedule'!$A$2:$Q$2902,AC$2,0)&lt;&gt;M1842,"Beam Revised","")</f>
        <v>#N/A</v>
      </c>
      <c r="AD1842" s="7" t="e">
        <f>IF(VLOOKUP($A1842,'Concrete Beam Schedule'!$A$2:$Q$2902,AD$2,0)&lt;&gt;N1842,"Beam Revised","")</f>
        <v>#N/A</v>
      </c>
      <c r="AE1842" s="7" t="e">
        <f>IF(VLOOKUP($A1842,'Concrete Beam Schedule'!$A$2:$Q$2902,AE$2,0)&lt;&gt;O1842,"Beam Revised","")</f>
        <v>#N/A</v>
      </c>
    </row>
    <row r="1843" spans="17:31" ht="20.100000000000001" customHeight="1" x14ac:dyDescent="0.25">
      <c r="Q1843" s="7">
        <f t="shared" si="28"/>
        <v>0</v>
      </c>
      <c r="R1843" s="7" t="e">
        <f>IF(VLOOKUP($A1843,'Concrete Beam Schedule'!$A$2:$Q$2902,R$2,0)&lt;&gt;B1843,VLOOKUP($A1843,'Concrete Beam Schedule'!$A$2:$Q$2902,R$2,0),"")</f>
        <v>#N/A</v>
      </c>
      <c r="S1843" s="7" t="e">
        <f>IF(VLOOKUP($A1843,'Concrete Beam Schedule'!$A$2:$Q$2902,S$2,0)&lt;&gt;C1843,VLOOKUP($A1843,'Concrete Beam Schedule'!$A$2:$Q$2902,S$2,0),"")</f>
        <v>#N/A</v>
      </c>
      <c r="T1843" s="7" t="e">
        <f>IF(VLOOKUP($A1843,'Concrete Beam Schedule'!$A$2:$Q$2902,T$2,0)&lt;&gt;D1843,"Beam Revised","")</f>
        <v>#N/A</v>
      </c>
      <c r="U1843" s="7" t="e">
        <f>IF(VLOOKUP($A1843,'Concrete Beam Schedule'!$A$2:$Q$2902,U$2,0)&lt;&gt;E1843,"Beam Revised","")</f>
        <v>#N/A</v>
      </c>
      <c r="V1843" s="7" t="e">
        <f>IF(VLOOKUP($A1843,'Concrete Beam Schedule'!$A$2:$Q$2902,V$2,0)&lt;&gt;F1843,"Beam Revised","")</f>
        <v>#N/A</v>
      </c>
      <c r="W1843" s="7" t="e">
        <f>IF(VLOOKUP($A1843,'Concrete Beam Schedule'!$A$2:$Q$2902,W$2,0)&lt;&gt;G1843,"Beam Revised","")</f>
        <v>#N/A</v>
      </c>
      <c r="X1843" s="7" t="e">
        <f>IF(VLOOKUP($A1843,'Concrete Beam Schedule'!$A$2:$Q$2902,X$2,0)&lt;&gt;H1843,"Beam Revised","")</f>
        <v>#N/A</v>
      </c>
      <c r="Y1843" s="7" t="e">
        <f>IF(VLOOKUP($A1843,'Concrete Beam Schedule'!$A$2:$Q$2902,Y$2,0)&lt;&gt;I1843,"Beam Revised","")</f>
        <v>#N/A</v>
      </c>
      <c r="Z1843" s="7" t="e">
        <f>IF(VLOOKUP($A1843,'Concrete Beam Schedule'!$A$2:$Q$2902,Z$2,0)&lt;&gt;J1843,"Beam Revised","")</f>
        <v>#N/A</v>
      </c>
      <c r="AA1843" s="7" t="e">
        <f>IF(VLOOKUP($A1843,'Concrete Beam Schedule'!$A$2:$Q$2902,AA$2,0)&lt;&gt;K1843,"Beam Revised","")</f>
        <v>#N/A</v>
      </c>
      <c r="AB1843" s="7" t="e">
        <f>IF(VLOOKUP($A1843,'Concrete Beam Schedule'!$A$2:$Q$2902,AB$2,0)&lt;&gt;L1843,"Beam Revised","")</f>
        <v>#N/A</v>
      </c>
      <c r="AC1843" s="7" t="e">
        <f>IF(VLOOKUP($A1843,'Concrete Beam Schedule'!$A$2:$Q$2902,AC$2,0)&lt;&gt;M1843,"Beam Revised","")</f>
        <v>#N/A</v>
      </c>
      <c r="AD1843" s="7" t="e">
        <f>IF(VLOOKUP($A1843,'Concrete Beam Schedule'!$A$2:$Q$2902,AD$2,0)&lt;&gt;N1843,"Beam Revised","")</f>
        <v>#N/A</v>
      </c>
      <c r="AE1843" s="7" t="e">
        <f>IF(VLOOKUP($A1843,'Concrete Beam Schedule'!$A$2:$Q$2902,AE$2,0)&lt;&gt;O1843,"Beam Revised","")</f>
        <v>#N/A</v>
      </c>
    </row>
    <row r="1844" spans="17:31" ht="20.100000000000001" customHeight="1" x14ac:dyDescent="0.25">
      <c r="Q1844" s="7">
        <f t="shared" si="28"/>
        <v>0</v>
      </c>
      <c r="R1844" s="7" t="e">
        <f>IF(VLOOKUP($A1844,'Concrete Beam Schedule'!$A$2:$Q$2902,R$2,0)&lt;&gt;B1844,VLOOKUP($A1844,'Concrete Beam Schedule'!$A$2:$Q$2902,R$2,0),"")</f>
        <v>#N/A</v>
      </c>
      <c r="S1844" s="7" t="e">
        <f>IF(VLOOKUP($A1844,'Concrete Beam Schedule'!$A$2:$Q$2902,S$2,0)&lt;&gt;C1844,VLOOKUP($A1844,'Concrete Beam Schedule'!$A$2:$Q$2902,S$2,0),"")</f>
        <v>#N/A</v>
      </c>
      <c r="T1844" s="7" t="e">
        <f>IF(VLOOKUP($A1844,'Concrete Beam Schedule'!$A$2:$Q$2902,T$2,0)&lt;&gt;D1844,"Beam Revised","")</f>
        <v>#N/A</v>
      </c>
      <c r="U1844" s="7" t="e">
        <f>IF(VLOOKUP($A1844,'Concrete Beam Schedule'!$A$2:$Q$2902,U$2,0)&lt;&gt;E1844,"Beam Revised","")</f>
        <v>#N/A</v>
      </c>
      <c r="V1844" s="7" t="e">
        <f>IF(VLOOKUP($A1844,'Concrete Beam Schedule'!$A$2:$Q$2902,V$2,0)&lt;&gt;F1844,"Beam Revised","")</f>
        <v>#N/A</v>
      </c>
      <c r="W1844" s="7" t="e">
        <f>IF(VLOOKUP($A1844,'Concrete Beam Schedule'!$A$2:$Q$2902,W$2,0)&lt;&gt;G1844,"Beam Revised","")</f>
        <v>#N/A</v>
      </c>
      <c r="X1844" s="7" t="e">
        <f>IF(VLOOKUP($A1844,'Concrete Beam Schedule'!$A$2:$Q$2902,X$2,0)&lt;&gt;H1844,"Beam Revised","")</f>
        <v>#N/A</v>
      </c>
      <c r="Y1844" s="7" t="e">
        <f>IF(VLOOKUP($A1844,'Concrete Beam Schedule'!$A$2:$Q$2902,Y$2,0)&lt;&gt;I1844,"Beam Revised","")</f>
        <v>#N/A</v>
      </c>
      <c r="Z1844" s="7" t="e">
        <f>IF(VLOOKUP($A1844,'Concrete Beam Schedule'!$A$2:$Q$2902,Z$2,0)&lt;&gt;J1844,"Beam Revised","")</f>
        <v>#N/A</v>
      </c>
      <c r="AA1844" s="7" t="e">
        <f>IF(VLOOKUP($A1844,'Concrete Beam Schedule'!$A$2:$Q$2902,AA$2,0)&lt;&gt;K1844,"Beam Revised","")</f>
        <v>#N/A</v>
      </c>
      <c r="AB1844" s="7" t="e">
        <f>IF(VLOOKUP($A1844,'Concrete Beam Schedule'!$A$2:$Q$2902,AB$2,0)&lt;&gt;L1844,"Beam Revised","")</f>
        <v>#N/A</v>
      </c>
      <c r="AC1844" s="7" t="e">
        <f>IF(VLOOKUP($A1844,'Concrete Beam Schedule'!$A$2:$Q$2902,AC$2,0)&lt;&gt;M1844,"Beam Revised","")</f>
        <v>#N/A</v>
      </c>
      <c r="AD1844" s="7" t="e">
        <f>IF(VLOOKUP($A1844,'Concrete Beam Schedule'!$A$2:$Q$2902,AD$2,0)&lt;&gt;N1844,"Beam Revised","")</f>
        <v>#N/A</v>
      </c>
      <c r="AE1844" s="7" t="e">
        <f>IF(VLOOKUP($A1844,'Concrete Beam Schedule'!$A$2:$Q$2902,AE$2,0)&lt;&gt;O1844,"Beam Revised","")</f>
        <v>#N/A</v>
      </c>
    </row>
    <row r="1845" spans="17:31" ht="20.100000000000001" customHeight="1" x14ac:dyDescent="0.25">
      <c r="Q1845" s="7">
        <f t="shared" si="28"/>
        <v>0</v>
      </c>
      <c r="R1845" s="7" t="e">
        <f>IF(VLOOKUP($A1845,'Concrete Beam Schedule'!$A$2:$Q$2902,R$2,0)&lt;&gt;B1845,VLOOKUP($A1845,'Concrete Beam Schedule'!$A$2:$Q$2902,R$2,0),"")</f>
        <v>#N/A</v>
      </c>
      <c r="S1845" s="7" t="e">
        <f>IF(VLOOKUP($A1845,'Concrete Beam Schedule'!$A$2:$Q$2902,S$2,0)&lt;&gt;C1845,VLOOKUP($A1845,'Concrete Beam Schedule'!$A$2:$Q$2902,S$2,0),"")</f>
        <v>#N/A</v>
      </c>
      <c r="T1845" s="7" t="e">
        <f>IF(VLOOKUP($A1845,'Concrete Beam Schedule'!$A$2:$Q$2902,T$2,0)&lt;&gt;D1845,"Beam Revised","")</f>
        <v>#N/A</v>
      </c>
      <c r="U1845" s="7" t="e">
        <f>IF(VLOOKUP($A1845,'Concrete Beam Schedule'!$A$2:$Q$2902,U$2,0)&lt;&gt;E1845,"Beam Revised","")</f>
        <v>#N/A</v>
      </c>
      <c r="V1845" s="7" t="e">
        <f>IF(VLOOKUP($A1845,'Concrete Beam Schedule'!$A$2:$Q$2902,V$2,0)&lt;&gt;F1845,"Beam Revised","")</f>
        <v>#N/A</v>
      </c>
      <c r="W1845" s="7" t="e">
        <f>IF(VLOOKUP($A1845,'Concrete Beam Schedule'!$A$2:$Q$2902,W$2,0)&lt;&gt;G1845,"Beam Revised","")</f>
        <v>#N/A</v>
      </c>
      <c r="X1845" s="7" t="e">
        <f>IF(VLOOKUP($A1845,'Concrete Beam Schedule'!$A$2:$Q$2902,X$2,0)&lt;&gt;H1845,"Beam Revised","")</f>
        <v>#N/A</v>
      </c>
      <c r="Y1845" s="7" t="e">
        <f>IF(VLOOKUP($A1845,'Concrete Beam Schedule'!$A$2:$Q$2902,Y$2,0)&lt;&gt;I1845,"Beam Revised","")</f>
        <v>#N/A</v>
      </c>
      <c r="Z1845" s="7" t="e">
        <f>IF(VLOOKUP($A1845,'Concrete Beam Schedule'!$A$2:$Q$2902,Z$2,0)&lt;&gt;J1845,"Beam Revised","")</f>
        <v>#N/A</v>
      </c>
      <c r="AA1845" s="7" t="e">
        <f>IF(VLOOKUP($A1845,'Concrete Beam Schedule'!$A$2:$Q$2902,AA$2,0)&lt;&gt;K1845,"Beam Revised","")</f>
        <v>#N/A</v>
      </c>
      <c r="AB1845" s="7" t="e">
        <f>IF(VLOOKUP($A1845,'Concrete Beam Schedule'!$A$2:$Q$2902,AB$2,0)&lt;&gt;L1845,"Beam Revised","")</f>
        <v>#N/A</v>
      </c>
      <c r="AC1845" s="7" t="e">
        <f>IF(VLOOKUP($A1845,'Concrete Beam Schedule'!$A$2:$Q$2902,AC$2,0)&lt;&gt;M1845,"Beam Revised","")</f>
        <v>#N/A</v>
      </c>
      <c r="AD1845" s="7" t="e">
        <f>IF(VLOOKUP($A1845,'Concrete Beam Schedule'!$A$2:$Q$2902,AD$2,0)&lt;&gt;N1845,"Beam Revised","")</f>
        <v>#N/A</v>
      </c>
      <c r="AE1845" s="7" t="e">
        <f>IF(VLOOKUP($A1845,'Concrete Beam Schedule'!$A$2:$Q$2902,AE$2,0)&lt;&gt;O1845,"Beam Revised","")</f>
        <v>#N/A</v>
      </c>
    </row>
    <row r="1846" spans="17:31" ht="20.100000000000001" customHeight="1" x14ac:dyDescent="0.25">
      <c r="Q1846" s="7">
        <f t="shared" si="28"/>
        <v>0</v>
      </c>
      <c r="R1846" s="7" t="e">
        <f>IF(VLOOKUP($A1846,'Concrete Beam Schedule'!$A$2:$Q$2902,R$2,0)&lt;&gt;B1846,VLOOKUP($A1846,'Concrete Beam Schedule'!$A$2:$Q$2902,R$2,0),"")</f>
        <v>#N/A</v>
      </c>
      <c r="S1846" s="7" t="e">
        <f>IF(VLOOKUP($A1846,'Concrete Beam Schedule'!$A$2:$Q$2902,S$2,0)&lt;&gt;C1846,VLOOKUP($A1846,'Concrete Beam Schedule'!$A$2:$Q$2902,S$2,0),"")</f>
        <v>#N/A</v>
      </c>
      <c r="T1846" s="7" t="e">
        <f>IF(VLOOKUP($A1846,'Concrete Beam Schedule'!$A$2:$Q$2902,T$2,0)&lt;&gt;D1846,"Beam Revised","")</f>
        <v>#N/A</v>
      </c>
      <c r="U1846" s="7" t="e">
        <f>IF(VLOOKUP($A1846,'Concrete Beam Schedule'!$A$2:$Q$2902,U$2,0)&lt;&gt;E1846,"Beam Revised","")</f>
        <v>#N/A</v>
      </c>
      <c r="V1846" s="7" t="e">
        <f>IF(VLOOKUP($A1846,'Concrete Beam Schedule'!$A$2:$Q$2902,V$2,0)&lt;&gt;F1846,"Beam Revised","")</f>
        <v>#N/A</v>
      </c>
      <c r="W1846" s="7" t="e">
        <f>IF(VLOOKUP($A1846,'Concrete Beam Schedule'!$A$2:$Q$2902,W$2,0)&lt;&gt;G1846,"Beam Revised","")</f>
        <v>#N/A</v>
      </c>
      <c r="X1846" s="7" t="e">
        <f>IF(VLOOKUP($A1846,'Concrete Beam Schedule'!$A$2:$Q$2902,X$2,0)&lt;&gt;H1846,"Beam Revised","")</f>
        <v>#N/A</v>
      </c>
      <c r="Y1846" s="7" t="e">
        <f>IF(VLOOKUP($A1846,'Concrete Beam Schedule'!$A$2:$Q$2902,Y$2,0)&lt;&gt;I1846,"Beam Revised","")</f>
        <v>#N/A</v>
      </c>
      <c r="Z1846" s="7" t="e">
        <f>IF(VLOOKUP($A1846,'Concrete Beam Schedule'!$A$2:$Q$2902,Z$2,0)&lt;&gt;J1846,"Beam Revised","")</f>
        <v>#N/A</v>
      </c>
      <c r="AA1846" s="7" t="e">
        <f>IF(VLOOKUP($A1846,'Concrete Beam Schedule'!$A$2:$Q$2902,AA$2,0)&lt;&gt;K1846,"Beam Revised","")</f>
        <v>#N/A</v>
      </c>
      <c r="AB1846" s="7" t="e">
        <f>IF(VLOOKUP($A1846,'Concrete Beam Schedule'!$A$2:$Q$2902,AB$2,0)&lt;&gt;L1846,"Beam Revised","")</f>
        <v>#N/A</v>
      </c>
      <c r="AC1846" s="7" t="e">
        <f>IF(VLOOKUP($A1846,'Concrete Beam Schedule'!$A$2:$Q$2902,AC$2,0)&lt;&gt;M1846,"Beam Revised","")</f>
        <v>#N/A</v>
      </c>
      <c r="AD1846" s="7" t="e">
        <f>IF(VLOOKUP($A1846,'Concrete Beam Schedule'!$A$2:$Q$2902,AD$2,0)&lt;&gt;N1846,"Beam Revised","")</f>
        <v>#N/A</v>
      </c>
      <c r="AE1846" s="7" t="e">
        <f>IF(VLOOKUP($A1846,'Concrete Beam Schedule'!$A$2:$Q$2902,AE$2,0)&lt;&gt;O1846,"Beam Revised","")</f>
        <v>#N/A</v>
      </c>
    </row>
    <row r="1847" spans="17:31" ht="20.100000000000001" customHeight="1" x14ac:dyDescent="0.25">
      <c r="Q1847" s="7">
        <f t="shared" si="28"/>
        <v>0</v>
      </c>
      <c r="R1847" s="7" t="e">
        <f>IF(VLOOKUP($A1847,'Concrete Beam Schedule'!$A$2:$Q$2902,R$2,0)&lt;&gt;B1847,VLOOKUP($A1847,'Concrete Beam Schedule'!$A$2:$Q$2902,R$2,0),"")</f>
        <v>#N/A</v>
      </c>
      <c r="S1847" s="7" t="e">
        <f>IF(VLOOKUP($A1847,'Concrete Beam Schedule'!$A$2:$Q$2902,S$2,0)&lt;&gt;C1847,VLOOKUP($A1847,'Concrete Beam Schedule'!$A$2:$Q$2902,S$2,0),"")</f>
        <v>#N/A</v>
      </c>
      <c r="T1847" s="7" t="e">
        <f>IF(VLOOKUP($A1847,'Concrete Beam Schedule'!$A$2:$Q$2902,T$2,0)&lt;&gt;D1847,"Beam Revised","")</f>
        <v>#N/A</v>
      </c>
      <c r="U1847" s="7" t="e">
        <f>IF(VLOOKUP($A1847,'Concrete Beam Schedule'!$A$2:$Q$2902,U$2,0)&lt;&gt;E1847,"Beam Revised","")</f>
        <v>#N/A</v>
      </c>
      <c r="V1847" s="7" t="e">
        <f>IF(VLOOKUP($A1847,'Concrete Beam Schedule'!$A$2:$Q$2902,V$2,0)&lt;&gt;F1847,"Beam Revised","")</f>
        <v>#N/A</v>
      </c>
      <c r="W1847" s="7" t="e">
        <f>IF(VLOOKUP($A1847,'Concrete Beam Schedule'!$A$2:$Q$2902,W$2,0)&lt;&gt;G1847,"Beam Revised","")</f>
        <v>#N/A</v>
      </c>
      <c r="X1847" s="7" t="e">
        <f>IF(VLOOKUP($A1847,'Concrete Beam Schedule'!$A$2:$Q$2902,X$2,0)&lt;&gt;H1847,"Beam Revised","")</f>
        <v>#N/A</v>
      </c>
      <c r="Y1847" s="7" t="e">
        <f>IF(VLOOKUP($A1847,'Concrete Beam Schedule'!$A$2:$Q$2902,Y$2,0)&lt;&gt;I1847,"Beam Revised","")</f>
        <v>#N/A</v>
      </c>
      <c r="Z1847" s="7" t="e">
        <f>IF(VLOOKUP($A1847,'Concrete Beam Schedule'!$A$2:$Q$2902,Z$2,0)&lt;&gt;J1847,"Beam Revised","")</f>
        <v>#N/A</v>
      </c>
      <c r="AA1847" s="7" t="e">
        <f>IF(VLOOKUP($A1847,'Concrete Beam Schedule'!$A$2:$Q$2902,AA$2,0)&lt;&gt;K1847,"Beam Revised","")</f>
        <v>#N/A</v>
      </c>
      <c r="AB1847" s="7" t="e">
        <f>IF(VLOOKUP($A1847,'Concrete Beam Schedule'!$A$2:$Q$2902,AB$2,0)&lt;&gt;L1847,"Beam Revised","")</f>
        <v>#N/A</v>
      </c>
      <c r="AC1847" s="7" t="e">
        <f>IF(VLOOKUP($A1847,'Concrete Beam Schedule'!$A$2:$Q$2902,AC$2,0)&lt;&gt;M1847,"Beam Revised","")</f>
        <v>#N/A</v>
      </c>
      <c r="AD1847" s="7" t="e">
        <f>IF(VLOOKUP($A1847,'Concrete Beam Schedule'!$A$2:$Q$2902,AD$2,0)&lt;&gt;N1847,"Beam Revised","")</f>
        <v>#N/A</v>
      </c>
      <c r="AE1847" s="7" t="e">
        <f>IF(VLOOKUP($A1847,'Concrete Beam Schedule'!$A$2:$Q$2902,AE$2,0)&lt;&gt;O1847,"Beam Revised","")</f>
        <v>#N/A</v>
      </c>
    </row>
    <row r="1848" spans="17:31" ht="20.100000000000001" customHeight="1" x14ac:dyDescent="0.25">
      <c r="Q1848" s="7">
        <f t="shared" si="28"/>
        <v>0</v>
      </c>
      <c r="R1848" s="7" t="e">
        <f>IF(VLOOKUP($A1848,'Concrete Beam Schedule'!$A$2:$Q$2902,R$2,0)&lt;&gt;B1848,VLOOKUP($A1848,'Concrete Beam Schedule'!$A$2:$Q$2902,R$2,0),"")</f>
        <v>#N/A</v>
      </c>
      <c r="S1848" s="7" t="e">
        <f>IF(VLOOKUP($A1848,'Concrete Beam Schedule'!$A$2:$Q$2902,S$2,0)&lt;&gt;C1848,VLOOKUP($A1848,'Concrete Beam Schedule'!$A$2:$Q$2902,S$2,0),"")</f>
        <v>#N/A</v>
      </c>
      <c r="T1848" s="7" t="e">
        <f>IF(VLOOKUP($A1848,'Concrete Beam Schedule'!$A$2:$Q$2902,T$2,0)&lt;&gt;D1848,"Beam Revised","")</f>
        <v>#N/A</v>
      </c>
      <c r="U1848" s="7" t="e">
        <f>IF(VLOOKUP($A1848,'Concrete Beam Schedule'!$A$2:$Q$2902,U$2,0)&lt;&gt;E1848,"Beam Revised","")</f>
        <v>#N/A</v>
      </c>
      <c r="V1848" s="7" t="e">
        <f>IF(VLOOKUP($A1848,'Concrete Beam Schedule'!$A$2:$Q$2902,V$2,0)&lt;&gt;F1848,"Beam Revised","")</f>
        <v>#N/A</v>
      </c>
      <c r="W1848" s="7" t="e">
        <f>IF(VLOOKUP($A1848,'Concrete Beam Schedule'!$A$2:$Q$2902,W$2,0)&lt;&gt;G1848,"Beam Revised","")</f>
        <v>#N/A</v>
      </c>
      <c r="X1848" s="7" t="e">
        <f>IF(VLOOKUP($A1848,'Concrete Beam Schedule'!$A$2:$Q$2902,X$2,0)&lt;&gt;H1848,"Beam Revised","")</f>
        <v>#N/A</v>
      </c>
      <c r="Y1848" s="7" t="e">
        <f>IF(VLOOKUP($A1848,'Concrete Beam Schedule'!$A$2:$Q$2902,Y$2,0)&lt;&gt;I1848,"Beam Revised","")</f>
        <v>#N/A</v>
      </c>
      <c r="Z1848" s="7" t="e">
        <f>IF(VLOOKUP($A1848,'Concrete Beam Schedule'!$A$2:$Q$2902,Z$2,0)&lt;&gt;J1848,"Beam Revised","")</f>
        <v>#N/A</v>
      </c>
      <c r="AA1848" s="7" t="e">
        <f>IF(VLOOKUP($A1848,'Concrete Beam Schedule'!$A$2:$Q$2902,AA$2,0)&lt;&gt;K1848,"Beam Revised","")</f>
        <v>#N/A</v>
      </c>
      <c r="AB1848" s="7" t="e">
        <f>IF(VLOOKUP($A1848,'Concrete Beam Schedule'!$A$2:$Q$2902,AB$2,0)&lt;&gt;L1848,"Beam Revised","")</f>
        <v>#N/A</v>
      </c>
      <c r="AC1848" s="7" t="e">
        <f>IF(VLOOKUP($A1848,'Concrete Beam Schedule'!$A$2:$Q$2902,AC$2,0)&lt;&gt;M1848,"Beam Revised","")</f>
        <v>#N/A</v>
      </c>
      <c r="AD1848" s="7" t="e">
        <f>IF(VLOOKUP($A1848,'Concrete Beam Schedule'!$A$2:$Q$2902,AD$2,0)&lt;&gt;N1848,"Beam Revised","")</f>
        <v>#N/A</v>
      </c>
      <c r="AE1848" s="7" t="e">
        <f>IF(VLOOKUP($A1848,'Concrete Beam Schedule'!$A$2:$Q$2902,AE$2,0)&lt;&gt;O1848,"Beam Revised","")</f>
        <v>#N/A</v>
      </c>
    </row>
    <row r="1849" spans="17:31" ht="20.100000000000001" customHeight="1" x14ac:dyDescent="0.25">
      <c r="Q1849" s="7">
        <f t="shared" si="28"/>
        <v>0</v>
      </c>
      <c r="R1849" s="7" t="e">
        <f>IF(VLOOKUP($A1849,'Concrete Beam Schedule'!$A$2:$Q$2902,R$2,0)&lt;&gt;B1849,VLOOKUP($A1849,'Concrete Beam Schedule'!$A$2:$Q$2902,R$2,0),"")</f>
        <v>#N/A</v>
      </c>
      <c r="S1849" s="7" t="e">
        <f>IF(VLOOKUP($A1849,'Concrete Beam Schedule'!$A$2:$Q$2902,S$2,0)&lt;&gt;C1849,VLOOKUP($A1849,'Concrete Beam Schedule'!$A$2:$Q$2902,S$2,0),"")</f>
        <v>#N/A</v>
      </c>
      <c r="T1849" s="7" t="e">
        <f>IF(VLOOKUP($A1849,'Concrete Beam Schedule'!$A$2:$Q$2902,T$2,0)&lt;&gt;D1849,"Beam Revised","")</f>
        <v>#N/A</v>
      </c>
      <c r="U1849" s="7" t="e">
        <f>IF(VLOOKUP($A1849,'Concrete Beam Schedule'!$A$2:$Q$2902,U$2,0)&lt;&gt;E1849,"Beam Revised","")</f>
        <v>#N/A</v>
      </c>
      <c r="V1849" s="7" t="e">
        <f>IF(VLOOKUP($A1849,'Concrete Beam Schedule'!$A$2:$Q$2902,V$2,0)&lt;&gt;F1849,"Beam Revised","")</f>
        <v>#N/A</v>
      </c>
      <c r="W1849" s="7" t="e">
        <f>IF(VLOOKUP($A1849,'Concrete Beam Schedule'!$A$2:$Q$2902,W$2,0)&lt;&gt;G1849,"Beam Revised","")</f>
        <v>#N/A</v>
      </c>
      <c r="X1849" s="7" t="e">
        <f>IF(VLOOKUP($A1849,'Concrete Beam Schedule'!$A$2:$Q$2902,X$2,0)&lt;&gt;H1849,"Beam Revised","")</f>
        <v>#N/A</v>
      </c>
      <c r="Y1849" s="7" t="e">
        <f>IF(VLOOKUP($A1849,'Concrete Beam Schedule'!$A$2:$Q$2902,Y$2,0)&lt;&gt;I1849,"Beam Revised","")</f>
        <v>#N/A</v>
      </c>
      <c r="Z1849" s="7" t="e">
        <f>IF(VLOOKUP($A1849,'Concrete Beam Schedule'!$A$2:$Q$2902,Z$2,0)&lt;&gt;J1849,"Beam Revised","")</f>
        <v>#N/A</v>
      </c>
      <c r="AA1849" s="7" t="e">
        <f>IF(VLOOKUP($A1849,'Concrete Beam Schedule'!$A$2:$Q$2902,AA$2,0)&lt;&gt;K1849,"Beam Revised","")</f>
        <v>#N/A</v>
      </c>
      <c r="AB1849" s="7" t="e">
        <f>IF(VLOOKUP($A1849,'Concrete Beam Schedule'!$A$2:$Q$2902,AB$2,0)&lt;&gt;L1849,"Beam Revised","")</f>
        <v>#N/A</v>
      </c>
      <c r="AC1849" s="7" t="e">
        <f>IF(VLOOKUP($A1849,'Concrete Beam Schedule'!$A$2:$Q$2902,AC$2,0)&lt;&gt;M1849,"Beam Revised","")</f>
        <v>#N/A</v>
      </c>
      <c r="AD1849" s="7" t="e">
        <f>IF(VLOOKUP($A1849,'Concrete Beam Schedule'!$A$2:$Q$2902,AD$2,0)&lt;&gt;N1849,"Beam Revised","")</f>
        <v>#N/A</v>
      </c>
      <c r="AE1849" s="7" t="e">
        <f>IF(VLOOKUP($A1849,'Concrete Beam Schedule'!$A$2:$Q$2902,AE$2,0)&lt;&gt;O1849,"Beam Revised","")</f>
        <v>#N/A</v>
      </c>
    </row>
    <row r="1850" spans="17:31" ht="20.100000000000001" customHeight="1" x14ac:dyDescent="0.25">
      <c r="Q1850" s="7">
        <f t="shared" si="28"/>
        <v>0</v>
      </c>
      <c r="R1850" s="7" t="e">
        <f>IF(VLOOKUP($A1850,'Concrete Beam Schedule'!$A$2:$Q$2902,R$2,0)&lt;&gt;B1850,VLOOKUP($A1850,'Concrete Beam Schedule'!$A$2:$Q$2902,R$2,0),"")</f>
        <v>#N/A</v>
      </c>
      <c r="S1850" s="7" t="e">
        <f>IF(VLOOKUP($A1850,'Concrete Beam Schedule'!$A$2:$Q$2902,S$2,0)&lt;&gt;C1850,VLOOKUP($A1850,'Concrete Beam Schedule'!$A$2:$Q$2902,S$2,0),"")</f>
        <v>#N/A</v>
      </c>
      <c r="T1850" s="7" t="e">
        <f>IF(VLOOKUP($A1850,'Concrete Beam Schedule'!$A$2:$Q$2902,T$2,0)&lt;&gt;D1850,"Beam Revised","")</f>
        <v>#N/A</v>
      </c>
      <c r="U1850" s="7" t="e">
        <f>IF(VLOOKUP($A1850,'Concrete Beam Schedule'!$A$2:$Q$2902,U$2,0)&lt;&gt;E1850,"Beam Revised","")</f>
        <v>#N/A</v>
      </c>
      <c r="V1850" s="7" t="e">
        <f>IF(VLOOKUP($A1850,'Concrete Beam Schedule'!$A$2:$Q$2902,V$2,0)&lt;&gt;F1850,"Beam Revised","")</f>
        <v>#N/A</v>
      </c>
      <c r="W1850" s="7" t="e">
        <f>IF(VLOOKUP($A1850,'Concrete Beam Schedule'!$A$2:$Q$2902,W$2,0)&lt;&gt;G1850,"Beam Revised","")</f>
        <v>#N/A</v>
      </c>
      <c r="X1850" s="7" t="e">
        <f>IF(VLOOKUP($A1850,'Concrete Beam Schedule'!$A$2:$Q$2902,X$2,0)&lt;&gt;H1850,"Beam Revised","")</f>
        <v>#N/A</v>
      </c>
      <c r="Y1850" s="7" t="e">
        <f>IF(VLOOKUP($A1850,'Concrete Beam Schedule'!$A$2:$Q$2902,Y$2,0)&lt;&gt;I1850,"Beam Revised","")</f>
        <v>#N/A</v>
      </c>
      <c r="Z1850" s="7" t="e">
        <f>IF(VLOOKUP($A1850,'Concrete Beam Schedule'!$A$2:$Q$2902,Z$2,0)&lt;&gt;J1850,"Beam Revised","")</f>
        <v>#N/A</v>
      </c>
      <c r="AA1850" s="7" t="e">
        <f>IF(VLOOKUP($A1850,'Concrete Beam Schedule'!$A$2:$Q$2902,AA$2,0)&lt;&gt;K1850,"Beam Revised","")</f>
        <v>#N/A</v>
      </c>
      <c r="AB1850" s="7" t="e">
        <f>IF(VLOOKUP($A1850,'Concrete Beam Schedule'!$A$2:$Q$2902,AB$2,0)&lt;&gt;L1850,"Beam Revised","")</f>
        <v>#N/A</v>
      </c>
      <c r="AC1850" s="7" t="e">
        <f>IF(VLOOKUP($A1850,'Concrete Beam Schedule'!$A$2:$Q$2902,AC$2,0)&lt;&gt;M1850,"Beam Revised","")</f>
        <v>#N/A</v>
      </c>
      <c r="AD1850" s="7" t="e">
        <f>IF(VLOOKUP($A1850,'Concrete Beam Schedule'!$A$2:$Q$2902,AD$2,0)&lt;&gt;N1850,"Beam Revised","")</f>
        <v>#N/A</v>
      </c>
      <c r="AE1850" s="7" t="e">
        <f>IF(VLOOKUP($A1850,'Concrete Beam Schedule'!$A$2:$Q$2902,AE$2,0)&lt;&gt;O1850,"Beam Revised","")</f>
        <v>#N/A</v>
      </c>
    </row>
    <row r="1851" spans="17:31" ht="20.100000000000001" customHeight="1" x14ac:dyDescent="0.25">
      <c r="Q1851" s="7">
        <f t="shared" si="28"/>
        <v>0</v>
      </c>
      <c r="R1851" s="7" t="e">
        <f>IF(VLOOKUP($A1851,'Concrete Beam Schedule'!$A$2:$Q$2902,R$2,0)&lt;&gt;B1851,VLOOKUP($A1851,'Concrete Beam Schedule'!$A$2:$Q$2902,R$2,0),"")</f>
        <v>#N/A</v>
      </c>
      <c r="S1851" s="7" t="e">
        <f>IF(VLOOKUP($A1851,'Concrete Beam Schedule'!$A$2:$Q$2902,S$2,0)&lt;&gt;C1851,VLOOKUP($A1851,'Concrete Beam Schedule'!$A$2:$Q$2902,S$2,0),"")</f>
        <v>#N/A</v>
      </c>
      <c r="T1851" s="7" t="e">
        <f>IF(VLOOKUP($A1851,'Concrete Beam Schedule'!$A$2:$Q$2902,T$2,0)&lt;&gt;D1851,"Beam Revised","")</f>
        <v>#N/A</v>
      </c>
      <c r="U1851" s="7" t="e">
        <f>IF(VLOOKUP($A1851,'Concrete Beam Schedule'!$A$2:$Q$2902,U$2,0)&lt;&gt;E1851,"Beam Revised","")</f>
        <v>#N/A</v>
      </c>
      <c r="V1851" s="7" t="e">
        <f>IF(VLOOKUP($A1851,'Concrete Beam Schedule'!$A$2:$Q$2902,V$2,0)&lt;&gt;F1851,"Beam Revised","")</f>
        <v>#N/A</v>
      </c>
      <c r="W1851" s="7" t="e">
        <f>IF(VLOOKUP($A1851,'Concrete Beam Schedule'!$A$2:$Q$2902,W$2,0)&lt;&gt;G1851,"Beam Revised","")</f>
        <v>#N/A</v>
      </c>
      <c r="X1851" s="7" t="e">
        <f>IF(VLOOKUP($A1851,'Concrete Beam Schedule'!$A$2:$Q$2902,X$2,0)&lt;&gt;H1851,"Beam Revised","")</f>
        <v>#N/A</v>
      </c>
      <c r="Y1851" s="7" t="e">
        <f>IF(VLOOKUP($A1851,'Concrete Beam Schedule'!$A$2:$Q$2902,Y$2,0)&lt;&gt;I1851,"Beam Revised","")</f>
        <v>#N/A</v>
      </c>
      <c r="Z1851" s="7" t="e">
        <f>IF(VLOOKUP($A1851,'Concrete Beam Schedule'!$A$2:$Q$2902,Z$2,0)&lt;&gt;J1851,"Beam Revised","")</f>
        <v>#N/A</v>
      </c>
      <c r="AA1851" s="7" t="e">
        <f>IF(VLOOKUP($A1851,'Concrete Beam Schedule'!$A$2:$Q$2902,AA$2,0)&lt;&gt;K1851,"Beam Revised","")</f>
        <v>#N/A</v>
      </c>
      <c r="AB1851" s="7" t="e">
        <f>IF(VLOOKUP($A1851,'Concrete Beam Schedule'!$A$2:$Q$2902,AB$2,0)&lt;&gt;L1851,"Beam Revised","")</f>
        <v>#N/A</v>
      </c>
      <c r="AC1851" s="7" t="e">
        <f>IF(VLOOKUP($A1851,'Concrete Beam Schedule'!$A$2:$Q$2902,AC$2,0)&lt;&gt;M1851,"Beam Revised","")</f>
        <v>#N/A</v>
      </c>
      <c r="AD1851" s="7" t="e">
        <f>IF(VLOOKUP($A1851,'Concrete Beam Schedule'!$A$2:$Q$2902,AD$2,0)&lt;&gt;N1851,"Beam Revised","")</f>
        <v>#N/A</v>
      </c>
      <c r="AE1851" s="7" t="e">
        <f>IF(VLOOKUP($A1851,'Concrete Beam Schedule'!$A$2:$Q$2902,AE$2,0)&lt;&gt;O1851,"Beam Revised","")</f>
        <v>#N/A</v>
      </c>
    </row>
    <row r="1852" spans="17:31" ht="20.100000000000001" customHeight="1" x14ac:dyDescent="0.25">
      <c r="Q1852" s="7">
        <f t="shared" si="28"/>
        <v>0</v>
      </c>
      <c r="R1852" s="7" t="e">
        <f>IF(VLOOKUP($A1852,'Concrete Beam Schedule'!$A$2:$Q$2902,R$2,0)&lt;&gt;B1852,VLOOKUP($A1852,'Concrete Beam Schedule'!$A$2:$Q$2902,R$2,0),"")</f>
        <v>#N/A</v>
      </c>
      <c r="S1852" s="7" t="e">
        <f>IF(VLOOKUP($A1852,'Concrete Beam Schedule'!$A$2:$Q$2902,S$2,0)&lt;&gt;C1852,VLOOKUP($A1852,'Concrete Beam Schedule'!$A$2:$Q$2902,S$2,0),"")</f>
        <v>#N/A</v>
      </c>
      <c r="T1852" s="7" t="e">
        <f>IF(VLOOKUP($A1852,'Concrete Beam Schedule'!$A$2:$Q$2902,T$2,0)&lt;&gt;D1852,"Beam Revised","")</f>
        <v>#N/A</v>
      </c>
      <c r="U1852" s="7" t="e">
        <f>IF(VLOOKUP($A1852,'Concrete Beam Schedule'!$A$2:$Q$2902,U$2,0)&lt;&gt;E1852,"Beam Revised","")</f>
        <v>#N/A</v>
      </c>
      <c r="V1852" s="7" t="e">
        <f>IF(VLOOKUP($A1852,'Concrete Beam Schedule'!$A$2:$Q$2902,V$2,0)&lt;&gt;F1852,"Beam Revised","")</f>
        <v>#N/A</v>
      </c>
      <c r="W1852" s="7" t="e">
        <f>IF(VLOOKUP($A1852,'Concrete Beam Schedule'!$A$2:$Q$2902,W$2,0)&lt;&gt;G1852,"Beam Revised","")</f>
        <v>#N/A</v>
      </c>
      <c r="X1852" s="7" t="e">
        <f>IF(VLOOKUP($A1852,'Concrete Beam Schedule'!$A$2:$Q$2902,X$2,0)&lt;&gt;H1852,"Beam Revised","")</f>
        <v>#N/A</v>
      </c>
      <c r="Y1852" s="7" t="e">
        <f>IF(VLOOKUP($A1852,'Concrete Beam Schedule'!$A$2:$Q$2902,Y$2,0)&lt;&gt;I1852,"Beam Revised","")</f>
        <v>#N/A</v>
      </c>
      <c r="Z1852" s="7" t="e">
        <f>IF(VLOOKUP($A1852,'Concrete Beam Schedule'!$A$2:$Q$2902,Z$2,0)&lt;&gt;J1852,"Beam Revised","")</f>
        <v>#N/A</v>
      </c>
      <c r="AA1852" s="7" t="e">
        <f>IF(VLOOKUP($A1852,'Concrete Beam Schedule'!$A$2:$Q$2902,AA$2,0)&lt;&gt;K1852,"Beam Revised","")</f>
        <v>#N/A</v>
      </c>
      <c r="AB1852" s="7" t="e">
        <f>IF(VLOOKUP($A1852,'Concrete Beam Schedule'!$A$2:$Q$2902,AB$2,0)&lt;&gt;L1852,"Beam Revised","")</f>
        <v>#N/A</v>
      </c>
      <c r="AC1852" s="7" t="e">
        <f>IF(VLOOKUP($A1852,'Concrete Beam Schedule'!$A$2:$Q$2902,AC$2,0)&lt;&gt;M1852,"Beam Revised","")</f>
        <v>#N/A</v>
      </c>
      <c r="AD1852" s="7" t="e">
        <f>IF(VLOOKUP($A1852,'Concrete Beam Schedule'!$A$2:$Q$2902,AD$2,0)&lt;&gt;N1852,"Beam Revised","")</f>
        <v>#N/A</v>
      </c>
      <c r="AE1852" s="7" t="e">
        <f>IF(VLOOKUP($A1852,'Concrete Beam Schedule'!$A$2:$Q$2902,AE$2,0)&lt;&gt;O1852,"Beam Revised","")</f>
        <v>#N/A</v>
      </c>
    </row>
    <row r="1853" spans="17:31" ht="20.100000000000001" customHeight="1" x14ac:dyDescent="0.25">
      <c r="Q1853" s="7">
        <f t="shared" si="28"/>
        <v>0</v>
      </c>
      <c r="R1853" s="7" t="e">
        <f>IF(VLOOKUP($A1853,'Concrete Beam Schedule'!$A$2:$Q$2902,R$2,0)&lt;&gt;B1853,VLOOKUP($A1853,'Concrete Beam Schedule'!$A$2:$Q$2902,R$2,0),"")</f>
        <v>#N/A</v>
      </c>
      <c r="S1853" s="7" t="e">
        <f>IF(VLOOKUP($A1853,'Concrete Beam Schedule'!$A$2:$Q$2902,S$2,0)&lt;&gt;C1853,VLOOKUP($A1853,'Concrete Beam Schedule'!$A$2:$Q$2902,S$2,0),"")</f>
        <v>#N/A</v>
      </c>
      <c r="T1853" s="7" t="e">
        <f>IF(VLOOKUP($A1853,'Concrete Beam Schedule'!$A$2:$Q$2902,T$2,0)&lt;&gt;D1853,"Beam Revised","")</f>
        <v>#N/A</v>
      </c>
      <c r="U1853" s="7" t="e">
        <f>IF(VLOOKUP($A1853,'Concrete Beam Schedule'!$A$2:$Q$2902,U$2,0)&lt;&gt;E1853,"Beam Revised","")</f>
        <v>#N/A</v>
      </c>
      <c r="V1853" s="7" t="e">
        <f>IF(VLOOKUP($A1853,'Concrete Beam Schedule'!$A$2:$Q$2902,V$2,0)&lt;&gt;F1853,"Beam Revised","")</f>
        <v>#N/A</v>
      </c>
      <c r="W1853" s="7" t="e">
        <f>IF(VLOOKUP($A1853,'Concrete Beam Schedule'!$A$2:$Q$2902,W$2,0)&lt;&gt;G1853,"Beam Revised","")</f>
        <v>#N/A</v>
      </c>
      <c r="X1853" s="7" t="e">
        <f>IF(VLOOKUP($A1853,'Concrete Beam Schedule'!$A$2:$Q$2902,X$2,0)&lt;&gt;H1853,"Beam Revised","")</f>
        <v>#N/A</v>
      </c>
      <c r="Y1853" s="7" t="e">
        <f>IF(VLOOKUP($A1853,'Concrete Beam Schedule'!$A$2:$Q$2902,Y$2,0)&lt;&gt;I1853,"Beam Revised","")</f>
        <v>#N/A</v>
      </c>
      <c r="Z1853" s="7" t="e">
        <f>IF(VLOOKUP($A1853,'Concrete Beam Schedule'!$A$2:$Q$2902,Z$2,0)&lt;&gt;J1853,"Beam Revised","")</f>
        <v>#N/A</v>
      </c>
      <c r="AA1853" s="7" t="e">
        <f>IF(VLOOKUP($A1853,'Concrete Beam Schedule'!$A$2:$Q$2902,AA$2,0)&lt;&gt;K1853,"Beam Revised","")</f>
        <v>#N/A</v>
      </c>
      <c r="AB1853" s="7" t="e">
        <f>IF(VLOOKUP($A1853,'Concrete Beam Schedule'!$A$2:$Q$2902,AB$2,0)&lt;&gt;L1853,"Beam Revised","")</f>
        <v>#N/A</v>
      </c>
      <c r="AC1853" s="7" t="e">
        <f>IF(VLOOKUP($A1853,'Concrete Beam Schedule'!$A$2:$Q$2902,AC$2,0)&lt;&gt;M1853,"Beam Revised","")</f>
        <v>#N/A</v>
      </c>
      <c r="AD1853" s="7" t="e">
        <f>IF(VLOOKUP($A1853,'Concrete Beam Schedule'!$A$2:$Q$2902,AD$2,0)&lt;&gt;N1853,"Beam Revised","")</f>
        <v>#N/A</v>
      </c>
      <c r="AE1853" s="7" t="e">
        <f>IF(VLOOKUP($A1853,'Concrete Beam Schedule'!$A$2:$Q$2902,AE$2,0)&lt;&gt;O1853,"Beam Revised","")</f>
        <v>#N/A</v>
      </c>
    </row>
    <row r="1854" spans="17:31" ht="20.100000000000001" customHeight="1" x14ac:dyDescent="0.25">
      <c r="Q1854" s="7">
        <f t="shared" si="28"/>
        <v>0</v>
      </c>
      <c r="R1854" s="7" t="e">
        <f>IF(VLOOKUP($A1854,'Concrete Beam Schedule'!$A$2:$Q$2902,R$2,0)&lt;&gt;B1854,VLOOKUP($A1854,'Concrete Beam Schedule'!$A$2:$Q$2902,R$2,0),"")</f>
        <v>#N/A</v>
      </c>
      <c r="S1854" s="7" t="e">
        <f>IF(VLOOKUP($A1854,'Concrete Beam Schedule'!$A$2:$Q$2902,S$2,0)&lt;&gt;C1854,VLOOKUP($A1854,'Concrete Beam Schedule'!$A$2:$Q$2902,S$2,0),"")</f>
        <v>#N/A</v>
      </c>
      <c r="T1854" s="7" t="e">
        <f>IF(VLOOKUP($A1854,'Concrete Beam Schedule'!$A$2:$Q$2902,T$2,0)&lt;&gt;D1854,"Beam Revised","")</f>
        <v>#N/A</v>
      </c>
      <c r="U1854" s="7" t="e">
        <f>IF(VLOOKUP($A1854,'Concrete Beam Schedule'!$A$2:$Q$2902,U$2,0)&lt;&gt;E1854,"Beam Revised","")</f>
        <v>#N/A</v>
      </c>
      <c r="V1854" s="7" t="e">
        <f>IF(VLOOKUP($A1854,'Concrete Beam Schedule'!$A$2:$Q$2902,V$2,0)&lt;&gt;F1854,"Beam Revised","")</f>
        <v>#N/A</v>
      </c>
      <c r="W1854" s="7" t="e">
        <f>IF(VLOOKUP($A1854,'Concrete Beam Schedule'!$A$2:$Q$2902,W$2,0)&lt;&gt;G1854,"Beam Revised","")</f>
        <v>#N/A</v>
      </c>
      <c r="X1854" s="7" t="e">
        <f>IF(VLOOKUP($A1854,'Concrete Beam Schedule'!$A$2:$Q$2902,X$2,0)&lt;&gt;H1854,"Beam Revised","")</f>
        <v>#N/A</v>
      </c>
      <c r="Y1854" s="7" t="e">
        <f>IF(VLOOKUP($A1854,'Concrete Beam Schedule'!$A$2:$Q$2902,Y$2,0)&lt;&gt;I1854,"Beam Revised","")</f>
        <v>#N/A</v>
      </c>
      <c r="Z1854" s="7" t="e">
        <f>IF(VLOOKUP($A1854,'Concrete Beam Schedule'!$A$2:$Q$2902,Z$2,0)&lt;&gt;J1854,"Beam Revised","")</f>
        <v>#N/A</v>
      </c>
      <c r="AA1854" s="7" t="e">
        <f>IF(VLOOKUP($A1854,'Concrete Beam Schedule'!$A$2:$Q$2902,AA$2,0)&lt;&gt;K1854,"Beam Revised","")</f>
        <v>#N/A</v>
      </c>
      <c r="AB1854" s="7" t="e">
        <f>IF(VLOOKUP($A1854,'Concrete Beam Schedule'!$A$2:$Q$2902,AB$2,0)&lt;&gt;L1854,"Beam Revised","")</f>
        <v>#N/A</v>
      </c>
      <c r="AC1854" s="7" t="e">
        <f>IF(VLOOKUP($A1854,'Concrete Beam Schedule'!$A$2:$Q$2902,AC$2,0)&lt;&gt;M1854,"Beam Revised","")</f>
        <v>#N/A</v>
      </c>
      <c r="AD1854" s="7" t="e">
        <f>IF(VLOOKUP($A1854,'Concrete Beam Schedule'!$A$2:$Q$2902,AD$2,0)&lt;&gt;N1854,"Beam Revised","")</f>
        <v>#N/A</v>
      </c>
      <c r="AE1854" s="7" t="e">
        <f>IF(VLOOKUP($A1854,'Concrete Beam Schedule'!$A$2:$Q$2902,AE$2,0)&lt;&gt;O1854,"Beam Revised","")</f>
        <v>#N/A</v>
      </c>
    </row>
    <row r="1855" spans="17:31" ht="20.100000000000001" customHeight="1" x14ac:dyDescent="0.25">
      <c r="Q1855" s="7">
        <f t="shared" si="28"/>
        <v>0</v>
      </c>
      <c r="R1855" s="7" t="e">
        <f>IF(VLOOKUP($A1855,'Concrete Beam Schedule'!$A$2:$Q$2902,R$2,0)&lt;&gt;B1855,VLOOKUP($A1855,'Concrete Beam Schedule'!$A$2:$Q$2902,R$2,0),"")</f>
        <v>#N/A</v>
      </c>
      <c r="S1855" s="7" t="e">
        <f>IF(VLOOKUP($A1855,'Concrete Beam Schedule'!$A$2:$Q$2902,S$2,0)&lt;&gt;C1855,VLOOKUP($A1855,'Concrete Beam Schedule'!$A$2:$Q$2902,S$2,0),"")</f>
        <v>#N/A</v>
      </c>
      <c r="T1855" s="7" t="e">
        <f>IF(VLOOKUP($A1855,'Concrete Beam Schedule'!$A$2:$Q$2902,T$2,0)&lt;&gt;D1855,"Beam Revised","")</f>
        <v>#N/A</v>
      </c>
      <c r="U1855" s="7" t="e">
        <f>IF(VLOOKUP($A1855,'Concrete Beam Schedule'!$A$2:$Q$2902,U$2,0)&lt;&gt;E1855,"Beam Revised","")</f>
        <v>#N/A</v>
      </c>
      <c r="V1855" s="7" t="e">
        <f>IF(VLOOKUP($A1855,'Concrete Beam Schedule'!$A$2:$Q$2902,V$2,0)&lt;&gt;F1855,"Beam Revised","")</f>
        <v>#N/A</v>
      </c>
      <c r="W1855" s="7" t="e">
        <f>IF(VLOOKUP($A1855,'Concrete Beam Schedule'!$A$2:$Q$2902,W$2,0)&lt;&gt;G1855,"Beam Revised","")</f>
        <v>#N/A</v>
      </c>
      <c r="X1855" s="7" t="e">
        <f>IF(VLOOKUP($A1855,'Concrete Beam Schedule'!$A$2:$Q$2902,X$2,0)&lt;&gt;H1855,"Beam Revised","")</f>
        <v>#N/A</v>
      </c>
      <c r="Y1855" s="7" t="e">
        <f>IF(VLOOKUP($A1855,'Concrete Beam Schedule'!$A$2:$Q$2902,Y$2,0)&lt;&gt;I1855,"Beam Revised","")</f>
        <v>#N/A</v>
      </c>
      <c r="Z1855" s="7" t="e">
        <f>IF(VLOOKUP($A1855,'Concrete Beam Schedule'!$A$2:$Q$2902,Z$2,0)&lt;&gt;J1855,"Beam Revised","")</f>
        <v>#N/A</v>
      </c>
      <c r="AA1855" s="7" t="e">
        <f>IF(VLOOKUP($A1855,'Concrete Beam Schedule'!$A$2:$Q$2902,AA$2,0)&lt;&gt;K1855,"Beam Revised","")</f>
        <v>#N/A</v>
      </c>
      <c r="AB1855" s="7" t="e">
        <f>IF(VLOOKUP($A1855,'Concrete Beam Schedule'!$A$2:$Q$2902,AB$2,0)&lt;&gt;L1855,"Beam Revised","")</f>
        <v>#N/A</v>
      </c>
      <c r="AC1855" s="7" t="e">
        <f>IF(VLOOKUP($A1855,'Concrete Beam Schedule'!$A$2:$Q$2902,AC$2,0)&lt;&gt;M1855,"Beam Revised","")</f>
        <v>#N/A</v>
      </c>
      <c r="AD1855" s="7" t="e">
        <f>IF(VLOOKUP($A1855,'Concrete Beam Schedule'!$A$2:$Q$2902,AD$2,0)&lt;&gt;N1855,"Beam Revised","")</f>
        <v>#N/A</v>
      </c>
      <c r="AE1855" s="7" t="e">
        <f>IF(VLOOKUP($A1855,'Concrete Beam Schedule'!$A$2:$Q$2902,AE$2,0)&lt;&gt;O1855,"Beam Revised","")</f>
        <v>#N/A</v>
      </c>
    </row>
    <row r="1856" spans="17:31" ht="20.100000000000001" customHeight="1" x14ac:dyDescent="0.25">
      <c r="Q1856" s="7">
        <f t="shared" si="28"/>
        <v>0</v>
      </c>
      <c r="R1856" s="7" t="e">
        <f>IF(VLOOKUP($A1856,'Concrete Beam Schedule'!$A$2:$Q$2902,R$2,0)&lt;&gt;B1856,VLOOKUP($A1856,'Concrete Beam Schedule'!$A$2:$Q$2902,R$2,0),"")</f>
        <v>#N/A</v>
      </c>
      <c r="S1856" s="7" t="e">
        <f>IF(VLOOKUP($A1856,'Concrete Beam Schedule'!$A$2:$Q$2902,S$2,0)&lt;&gt;C1856,VLOOKUP($A1856,'Concrete Beam Schedule'!$A$2:$Q$2902,S$2,0),"")</f>
        <v>#N/A</v>
      </c>
      <c r="T1856" s="7" t="e">
        <f>IF(VLOOKUP($A1856,'Concrete Beam Schedule'!$A$2:$Q$2902,T$2,0)&lt;&gt;D1856,"Beam Revised","")</f>
        <v>#N/A</v>
      </c>
      <c r="U1856" s="7" t="e">
        <f>IF(VLOOKUP($A1856,'Concrete Beam Schedule'!$A$2:$Q$2902,U$2,0)&lt;&gt;E1856,"Beam Revised","")</f>
        <v>#N/A</v>
      </c>
      <c r="V1856" s="7" t="e">
        <f>IF(VLOOKUP($A1856,'Concrete Beam Schedule'!$A$2:$Q$2902,V$2,0)&lt;&gt;F1856,"Beam Revised","")</f>
        <v>#N/A</v>
      </c>
      <c r="W1856" s="7" t="e">
        <f>IF(VLOOKUP($A1856,'Concrete Beam Schedule'!$A$2:$Q$2902,W$2,0)&lt;&gt;G1856,"Beam Revised","")</f>
        <v>#N/A</v>
      </c>
      <c r="X1856" s="7" t="e">
        <f>IF(VLOOKUP($A1856,'Concrete Beam Schedule'!$A$2:$Q$2902,X$2,0)&lt;&gt;H1856,"Beam Revised","")</f>
        <v>#N/A</v>
      </c>
      <c r="Y1856" s="7" t="e">
        <f>IF(VLOOKUP($A1856,'Concrete Beam Schedule'!$A$2:$Q$2902,Y$2,0)&lt;&gt;I1856,"Beam Revised","")</f>
        <v>#N/A</v>
      </c>
      <c r="Z1856" s="7" t="e">
        <f>IF(VLOOKUP($A1856,'Concrete Beam Schedule'!$A$2:$Q$2902,Z$2,0)&lt;&gt;J1856,"Beam Revised","")</f>
        <v>#N/A</v>
      </c>
      <c r="AA1856" s="7" t="e">
        <f>IF(VLOOKUP($A1856,'Concrete Beam Schedule'!$A$2:$Q$2902,AA$2,0)&lt;&gt;K1856,"Beam Revised","")</f>
        <v>#N/A</v>
      </c>
      <c r="AB1856" s="7" t="e">
        <f>IF(VLOOKUP($A1856,'Concrete Beam Schedule'!$A$2:$Q$2902,AB$2,0)&lt;&gt;L1856,"Beam Revised","")</f>
        <v>#N/A</v>
      </c>
      <c r="AC1856" s="7" t="e">
        <f>IF(VLOOKUP($A1856,'Concrete Beam Schedule'!$A$2:$Q$2902,AC$2,0)&lt;&gt;M1856,"Beam Revised","")</f>
        <v>#N/A</v>
      </c>
      <c r="AD1856" s="7" t="e">
        <f>IF(VLOOKUP($A1856,'Concrete Beam Schedule'!$A$2:$Q$2902,AD$2,0)&lt;&gt;N1856,"Beam Revised","")</f>
        <v>#N/A</v>
      </c>
      <c r="AE1856" s="7" t="e">
        <f>IF(VLOOKUP($A1856,'Concrete Beam Schedule'!$A$2:$Q$2902,AE$2,0)&lt;&gt;O1856,"Beam Revised","")</f>
        <v>#N/A</v>
      </c>
    </row>
    <row r="1857" spans="17:31" ht="20.100000000000001" customHeight="1" x14ac:dyDescent="0.25">
      <c r="Q1857" s="7">
        <f t="shared" si="28"/>
        <v>0</v>
      </c>
      <c r="R1857" s="7" t="e">
        <f>IF(VLOOKUP($A1857,'Concrete Beam Schedule'!$A$2:$Q$2902,R$2,0)&lt;&gt;B1857,VLOOKUP($A1857,'Concrete Beam Schedule'!$A$2:$Q$2902,R$2,0),"")</f>
        <v>#N/A</v>
      </c>
      <c r="S1857" s="7" t="e">
        <f>IF(VLOOKUP($A1857,'Concrete Beam Schedule'!$A$2:$Q$2902,S$2,0)&lt;&gt;C1857,VLOOKUP($A1857,'Concrete Beam Schedule'!$A$2:$Q$2902,S$2,0),"")</f>
        <v>#N/A</v>
      </c>
      <c r="T1857" s="7" t="e">
        <f>IF(VLOOKUP($A1857,'Concrete Beam Schedule'!$A$2:$Q$2902,T$2,0)&lt;&gt;D1857,"Beam Revised","")</f>
        <v>#N/A</v>
      </c>
      <c r="U1857" s="7" t="e">
        <f>IF(VLOOKUP($A1857,'Concrete Beam Schedule'!$A$2:$Q$2902,U$2,0)&lt;&gt;E1857,"Beam Revised","")</f>
        <v>#N/A</v>
      </c>
      <c r="V1857" s="7" t="e">
        <f>IF(VLOOKUP($A1857,'Concrete Beam Schedule'!$A$2:$Q$2902,V$2,0)&lt;&gt;F1857,"Beam Revised","")</f>
        <v>#N/A</v>
      </c>
      <c r="W1857" s="7" t="e">
        <f>IF(VLOOKUP($A1857,'Concrete Beam Schedule'!$A$2:$Q$2902,W$2,0)&lt;&gt;G1857,"Beam Revised","")</f>
        <v>#N/A</v>
      </c>
      <c r="X1857" s="7" t="e">
        <f>IF(VLOOKUP($A1857,'Concrete Beam Schedule'!$A$2:$Q$2902,X$2,0)&lt;&gt;H1857,"Beam Revised","")</f>
        <v>#N/A</v>
      </c>
      <c r="Y1857" s="7" t="e">
        <f>IF(VLOOKUP($A1857,'Concrete Beam Schedule'!$A$2:$Q$2902,Y$2,0)&lt;&gt;I1857,"Beam Revised","")</f>
        <v>#N/A</v>
      </c>
      <c r="Z1857" s="7" t="e">
        <f>IF(VLOOKUP($A1857,'Concrete Beam Schedule'!$A$2:$Q$2902,Z$2,0)&lt;&gt;J1857,"Beam Revised","")</f>
        <v>#N/A</v>
      </c>
      <c r="AA1857" s="7" t="e">
        <f>IF(VLOOKUP($A1857,'Concrete Beam Schedule'!$A$2:$Q$2902,AA$2,0)&lt;&gt;K1857,"Beam Revised","")</f>
        <v>#N/A</v>
      </c>
      <c r="AB1857" s="7" t="e">
        <f>IF(VLOOKUP($A1857,'Concrete Beam Schedule'!$A$2:$Q$2902,AB$2,0)&lt;&gt;L1857,"Beam Revised","")</f>
        <v>#N/A</v>
      </c>
      <c r="AC1857" s="7" t="e">
        <f>IF(VLOOKUP($A1857,'Concrete Beam Schedule'!$A$2:$Q$2902,AC$2,0)&lt;&gt;M1857,"Beam Revised","")</f>
        <v>#N/A</v>
      </c>
      <c r="AD1857" s="7" t="e">
        <f>IF(VLOOKUP($A1857,'Concrete Beam Schedule'!$A$2:$Q$2902,AD$2,0)&lt;&gt;N1857,"Beam Revised","")</f>
        <v>#N/A</v>
      </c>
      <c r="AE1857" s="7" t="e">
        <f>IF(VLOOKUP($A1857,'Concrete Beam Schedule'!$A$2:$Q$2902,AE$2,0)&lt;&gt;O1857,"Beam Revised","")</f>
        <v>#N/A</v>
      </c>
    </row>
    <row r="1858" spans="17:31" ht="20.100000000000001" customHeight="1" x14ac:dyDescent="0.25">
      <c r="Q1858" s="7">
        <f t="shared" si="28"/>
        <v>0</v>
      </c>
      <c r="R1858" s="7" t="e">
        <f>IF(VLOOKUP($A1858,'Concrete Beam Schedule'!$A$2:$Q$2902,R$2,0)&lt;&gt;B1858,VLOOKUP($A1858,'Concrete Beam Schedule'!$A$2:$Q$2902,R$2,0),"")</f>
        <v>#N/A</v>
      </c>
      <c r="S1858" s="7" t="e">
        <f>IF(VLOOKUP($A1858,'Concrete Beam Schedule'!$A$2:$Q$2902,S$2,0)&lt;&gt;C1858,VLOOKUP($A1858,'Concrete Beam Schedule'!$A$2:$Q$2902,S$2,0),"")</f>
        <v>#N/A</v>
      </c>
      <c r="T1858" s="7" t="e">
        <f>IF(VLOOKUP($A1858,'Concrete Beam Schedule'!$A$2:$Q$2902,T$2,0)&lt;&gt;D1858,"Beam Revised","")</f>
        <v>#N/A</v>
      </c>
      <c r="U1858" s="7" t="e">
        <f>IF(VLOOKUP($A1858,'Concrete Beam Schedule'!$A$2:$Q$2902,U$2,0)&lt;&gt;E1858,"Beam Revised","")</f>
        <v>#N/A</v>
      </c>
      <c r="V1858" s="7" t="e">
        <f>IF(VLOOKUP($A1858,'Concrete Beam Schedule'!$A$2:$Q$2902,V$2,0)&lt;&gt;F1858,"Beam Revised","")</f>
        <v>#N/A</v>
      </c>
      <c r="W1858" s="7" t="e">
        <f>IF(VLOOKUP($A1858,'Concrete Beam Schedule'!$A$2:$Q$2902,W$2,0)&lt;&gt;G1858,"Beam Revised","")</f>
        <v>#N/A</v>
      </c>
      <c r="X1858" s="7" t="e">
        <f>IF(VLOOKUP($A1858,'Concrete Beam Schedule'!$A$2:$Q$2902,X$2,0)&lt;&gt;H1858,"Beam Revised","")</f>
        <v>#N/A</v>
      </c>
      <c r="Y1858" s="7" t="e">
        <f>IF(VLOOKUP($A1858,'Concrete Beam Schedule'!$A$2:$Q$2902,Y$2,0)&lt;&gt;I1858,"Beam Revised","")</f>
        <v>#N/A</v>
      </c>
      <c r="Z1858" s="7" t="e">
        <f>IF(VLOOKUP($A1858,'Concrete Beam Schedule'!$A$2:$Q$2902,Z$2,0)&lt;&gt;J1858,"Beam Revised","")</f>
        <v>#N/A</v>
      </c>
      <c r="AA1858" s="7" t="e">
        <f>IF(VLOOKUP($A1858,'Concrete Beam Schedule'!$A$2:$Q$2902,AA$2,0)&lt;&gt;K1858,"Beam Revised","")</f>
        <v>#N/A</v>
      </c>
      <c r="AB1858" s="7" t="e">
        <f>IF(VLOOKUP($A1858,'Concrete Beam Schedule'!$A$2:$Q$2902,AB$2,0)&lt;&gt;L1858,"Beam Revised","")</f>
        <v>#N/A</v>
      </c>
      <c r="AC1858" s="7" t="e">
        <f>IF(VLOOKUP($A1858,'Concrete Beam Schedule'!$A$2:$Q$2902,AC$2,0)&lt;&gt;M1858,"Beam Revised","")</f>
        <v>#N/A</v>
      </c>
      <c r="AD1858" s="7" t="e">
        <f>IF(VLOOKUP($A1858,'Concrete Beam Schedule'!$A$2:$Q$2902,AD$2,0)&lt;&gt;N1858,"Beam Revised","")</f>
        <v>#N/A</v>
      </c>
      <c r="AE1858" s="7" t="e">
        <f>IF(VLOOKUP($A1858,'Concrete Beam Schedule'!$A$2:$Q$2902,AE$2,0)&lt;&gt;O1858,"Beam Revised","")</f>
        <v>#N/A</v>
      </c>
    </row>
    <row r="1859" spans="17:31" ht="20.100000000000001" customHeight="1" x14ac:dyDescent="0.25">
      <c r="Q1859" s="7">
        <f t="shared" si="28"/>
        <v>0</v>
      </c>
      <c r="R1859" s="7" t="e">
        <f>IF(VLOOKUP($A1859,'Concrete Beam Schedule'!$A$2:$Q$2902,R$2,0)&lt;&gt;B1859,VLOOKUP($A1859,'Concrete Beam Schedule'!$A$2:$Q$2902,R$2,0),"")</f>
        <v>#N/A</v>
      </c>
      <c r="S1859" s="7" t="e">
        <f>IF(VLOOKUP($A1859,'Concrete Beam Schedule'!$A$2:$Q$2902,S$2,0)&lt;&gt;C1859,VLOOKUP($A1859,'Concrete Beam Schedule'!$A$2:$Q$2902,S$2,0),"")</f>
        <v>#N/A</v>
      </c>
      <c r="T1859" s="7" t="e">
        <f>IF(VLOOKUP($A1859,'Concrete Beam Schedule'!$A$2:$Q$2902,T$2,0)&lt;&gt;D1859,"Beam Revised","")</f>
        <v>#N/A</v>
      </c>
      <c r="U1859" s="7" t="e">
        <f>IF(VLOOKUP($A1859,'Concrete Beam Schedule'!$A$2:$Q$2902,U$2,0)&lt;&gt;E1859,"Beam Revised","")</f>
        <v>#N/A</v>
      </c>
      <c r="V1859" s="7" t="e">
        <f>IF(VLOOKUP($A1859,'Concrete Beam Schedule'!$A$2:$Q$2902,V$2,0)&lt;&gt;F1859,"Beam Revised","")</f>
        <v>#N/A</v>
      </c>
      <c r="W1859" s="7" t="e">
        <f>IF(VLOOKUP($A1859,'Concrete Beam Schedule'!$A$2:$Q$2902,W$2,0)&lt;&gt;G1859,"Beam Revised","")</f>
        <v>#N/A</v>
      </c>
      <c r="X1859" s="7" t="e">
        <f>IF(VLOOKUP($A1859,'Concrete Beam Schedule'!$A$2:$Q$2902,X$2,0)&lt;&gt;H1859,"Beam Revised","")</f>
        <v>#N/A</v>
      </c>
      <c r="Y1859" s="7" t="e">
        <f>IF(VLOOKUP($A1859,'Concrete Beam Schedule'!$A$2:$Q$2902,Y$2,0)&lt;&gt;I1859,"Beam Revised","")</f>
        <v>#N/A</v>
      </c>
      <c r="Z1859" s="7" t="e">
        <f>IF(VLOOKUP($A1859,'Concrete Beam Schedule'!$A$2:$Q$2902,Z$2,0)&lt;&gt;J1859,"Beam Revised","")</f>
        <v>#N/A</v>
      </c>
      <c r="AA1859" s="7" t="e">
        <f>IF(VLOOKUP($A1859,'Concrete Beam Schedule'!$A$2:$Q$2902,AA$2,0)&lt;&gt;K1859,"Beam Revised","")</f>
        <v>#N/A</v>
      </c>
      <c r="AB1859" s="7" t="e">
        <f>IF(VLOOKUP($A1859,'Concrete Beam Schedule'!$A$2:$Q$2902,AB$2,0)&lt;&gt;L1859,"Beam Revised","")</f>
        <v>#N/A</v>
      </c>
      <c r="AC1859" s="7" t="e">
        <f>IF(VLOOKUP($A1859,'Concrete Beam Schedule'!$A$2:$Q$2902,AC$2,0)&lt;&gt;M1859,"Beam Revised","")</f>
        <v>#N/A</v>
      </c>
      <c r="AD1859" s="7" t="e">
        <f>IF(VLOOKUP($A1859,'Concrete Beam Schedule'!$A$2:$Q$2902,AD$2,0)&lt;&gt;N1859,"Beam Revised","")</f>
        <v>#N/A</v>
      </c>
      <c r="AE1859" s="7" t="e">
        <f>IF(VLOOKUP($A1859,'Concrete Beam Schedule'!$A$2:$Q$2902,AE$2,0)&lt;&gt;O1859,"Beam Revised","")</f>
        <v>#N/A</v>
      </c>
    </row>
    <row r="1860" spans="17:31" ht="20.100000000000001" customHeight="1" x14ac:dyDescent="0.25">
      <c r="Q1860" s="7">
        <f t="shared" ref="Q1860:Q1923" si="29">A1860</f>
        <v>0</v>
      </c>
      <c r="R1860" s="7" t="e">
        <f>IF(VLOOKUP($A1860,'Concrete Beam Schedule'!$A$2:$Q$2902,R$2,0)&lt;&gt;B1860,VLOOKUP($A1860,'Concrete Beam Schedule'!$A$2:$Q$2902,R$2,0),"")</f>
        <v>#N/A</v>
      </c>
      <c r="S1860" s="7" t="e">
        <f>IF(VLOOKUP($A1860,'Concrete Beam Schedule'!$A$2:$Q$2902,S$2,0)&lt;&gt;C1860,VLOOKUP($A1860,'Concrete Beam Schedule'!$A$2:$Q$2902,S$2,0),"")</f>
        <v>#N/A</v>
      </c>
      <c r="T1860" s="7" t="e">
        <f>IF(VLOOKUP($A1860,'Concrete Beam Schedule'!$A$2:$Q$2902,T$2,0)&lt;&gt;D1860,"Beam Revised","")</f>
        <v>#N/A</v>
      </c>
      <c r="U1860" s="7" t="e">
        <f>IF(VLOOKUP($A1860,'Concrete Beam Schedule'!$A$2:$Q$2902,U$2,0)&lt;&gt;E1860,"Beam Revised","")</f>
        <v>#N/A</v>
      </c>
      <c r="V1860" s="7" t="e">
        <f>IF(VLOOKUP($A1860,'Concrete Beam Schedule'!$A$2:$Q$2902,V$2,0)&lt;&gt;F1860,"Beam Revised","")</f>
        <v>#N/A</v>
      </c>
      <c r="W1860" s="7" t="e">
        <f>IF(VLOOKUP($A1860,'Concrete Beam Schedule'!$A$2:$Q$2902,W$2,0)&lt;&gt;G1860,"Beam Revised","")</f>
        <v>#N/A</v>
      </c>
      <c r="X1860" s="7" t="e">
        <f>IF(VLOOKUP($A1860,'Concrete Beam Schedule'!$A$2:$Q$2902,X$2,0)&lt;&gt;H1860,"Beam Revised","")</f>
        <v>#N/A</v>
      </c>
      <c r="Y1860" s="7" t="e">
        <f>IF(VLOOKUP($A1860,'Concrete Beam Schedule'!$A$2:$Q$2902,Y$2,0)&lt;&gt;I1860,"Beam Revised","")</f>
        <v>#N/A</v>
      </c>
      <c r="Z1860" s="7" t="e">
        <f>IF(VLOOKUP($A1860,'Concrete Beam Schedule'!$A$2:$Q$2902,Z$2,0)&lt;&gt;J1860,"Beam Revised","")</f>
        <v>#N/A</v>
      </c>
      <c r="AA1860" s="7" t="e">
        <f>IF(VLOOKUP($A1860,'Concrete Beam Schedule'!$A$2:$Q$2902,AA$2,0)&lt;&gt;K1860,"Beam Revised","")</f>
        <v>#N/A</v>
      </c>
      <c r="AB1860" s="7" t="e">
        <f>IF(VLOOKUP($A1860,'Concrete Beam Schedule'!$A$2:$Q$2902,AB$2,0)&lt;&gt;L1860,"Beam Revised","")</f>
        <v>#N/A</v>
      </c>
      <c r="AC1860" s="7" t="e">
        <f>IF(VLOOKUP($A1860,'Concrete Beam Schedule'!$A$2:$Q$2902,AC$2,0)&lt;&gt;M1860,"Beam Revised","")</f>
        <v>#N/A</v>
      </c>
      <c r="AD1860" s="7" t="e">
        <f>IF(VLOOKUP($A1860,'Concrete Beam Schedule'!$A$2:$Q$2902,AD$2,0)&lt;&gt;N1860,"Beam Revised","")</f>
        <v>#N/A</v>
      </c>
      <c r="AE1860" s="7" t="e">
        <f>IF(VLOOKUP($A1860,'Concrete Beam Schedule'!$A$2:$Q$2902,AE$2,0)&lt;&gt;O1860,"Beam Revised","")</f>
        <v>#N/A</v>
      </c>
    </row>
    <row r="1861" spans="17:31" ht="20.100000000000001" customHeight="1" x14ac:dyDescent="0.25">
      <c r="Q1861" s="7">
        <f t="shared" si="29"/>
        <v>0</v>
      </c>
      <c r="R1861" s="7" t="e">
        <f>IF(VLOOKUP($A1861,'Concrete Beam Schedule'!$A$2:$Q$2902,R$2,0)&lt;&gt;B1861,VLOOKUP($A1861,'Concrete Beam Schedule'!$A$2:$Q$2902,R$2,0),"")</f>
        <v>#N/A</v>
      </c>
      <c r="S1861" s="7" t="e">
        <f>IF(VLOOKUP($A1861,'Concrete Beam Schedule'!$A$2:$Q$2902,S$2,0)&lt;&gt;C1861,VLOOKUP($A1861,'Concrete Beam Schedule'!$A$2:$Q$2902,S$2,0),"")</f>
        <v>#N/A</v>
      </c>
      <c r="T1861" s="7" t="e">
        <f>IF(VLOOKUP($A1861,'Concrete Beam Schedule'!$A$2:$Q$2902,T$2,0)&lt;&gt;D1861,"Beam Revised","")</f>
        <v>#N/A</v>
      </c>
      <c r="U1861" s="7" t="e">
        <f>IF(VLOOKUP($A1861,'Concrete Beam Schedule'!$A$2:$Q$2902,U$2,0)&lt;&gt;E1861,"Beam Revised","")</f>
        <v>#N/A</v>
      </c>
      <c r="V1861" s="7" t="e">
        <f>IF(VLOOKUP($A1861,'Concrete Beam Schedule'!$A$2:$Q$2902,V$2,0)&lt;&gt;F1861,"Beam Revised","")</f>
        <v>#N/A</v>
      </c>
      <c r="W1861" s="7" t="e">
        <f>IF(VLOOKUP($A1861,'Concrete Beam Schedule'!$A$2:$Q$2902,W$2,0)&lt;&gt;G1861,"Beam Revised","")</f>
        <v>#N/A</v>
      </c>
      <c r="X1861" s="7" t="e">
        <f>IF(VLOOKUP($A1861,'Concrete Beam Schedule'!$A$2:$Q$2902,X$2,0)&lt;&gt;H1861,"Beam Revised","")</f>
        <v>#N/A</v>
      </c>
      <c r="Y1861" s="7" t="e">
        <f>IF(VLOOKUP($A1861,'Concrete Beam Schedule'!$A$2:$Q$2902,Y$2,0)&lt;&gt;I1861,"Beam Revised","")</f>
        <v>#N/A</v>
      </c>
      <c r="Z1861" s="7" t="e">
        <f>IF(VLOOKUP($A1861,'Concrete Beam Schedule'!$A$2:$Q$2902,Z$2,0)&lt;&gt;J1861,"Beam Revised","")</f>
        <v>#N/A</v>
      </c>
      <c r="AA1861" s="7" t="e">
        <f>IF(VLOOKUP($A1861,'Concrete Beam Schedule'!$A$2:$Q$2902,AA$2,0)&lt;&gt;K1861,"Beam Revised","")</f>
        <v>#N/A</v>
      </c>
      <c r="AB1861" s="7" t="e">
        <f>IF(VLOOKUP($A1861,'Concrete Beam Schedule'!$A$2:$Q$2902,AB$2,0)&lt;&gt;L1861,"Beam Revised","")</f>
        <v>#N/A</v>
      </c>
      <c r="AC1861" s="7" t="e">
        <f>IF(VLOOKUP($A1861,'Concrete Beam Schedule'!$A$2:$Q$2902,AC$2,0)&lt;&gt;M1861,"Beam Revised","")</f>
        <v>#N/A</v>
      </c>
      <c r="AD1861" s="7" t="e">
        <f>IF(VLOOKUP($A1861,'Concrete Beam Schedule'!$A$2:$Q$2902,AD$2,0)&lt;&gt;N1861,"Beam Revised","")</f>
        <v>#N/A</v>
      </c>
      <c r="AE1861" s="7" t="e">
        <f>IF(VLOOKUP($A1861,'Concrete Beam Schedule'!$A$2:$Q$2902,AE$2,0)&lt;&gt;O1861,"Beam Revised","")</f>
        <v>#N/A</v>
      </c>
    </row>
    <row r="1862" spans="17:31" ht="20.100000000000001" customHeight="1" x14ac:dyDescent="0.25">
      <c r="Q1862" s="7">
        <f t="shared" si="29"/>
        <v>0</v>
      </c>
      <c r="R1862" s="7" t="e">
        <f>IF(VLOOKUP($A1862,'Concrete Beam Schedule'!$A$2:$Q$2902,R$2,0)&lt;&gt;B1862,VLOOKUP($A1862,'Concrete Beam Schedule'!$A$2:$Q$2902,R$2,0),"")</f>
        <v>#N/A</v>
      </c>
      <c r="S1862" s="7" t="e">
        <f>IF(VLOOKUP($A1862,'Concrete Beam Schedule'!$A$2:$Q$2902,S$2,0)&lt;&gt;C1862,VLOOKUP($A1862,'Concrete Beam Schedule'!$A$2:$Q$2902,S$2,0),"")</f>
        <v>#N/A</v>
      </c>
      <c r="T1862" s="7" t="e">
        <f>IF(VLOOKUP($A1862,'Concrete Beam Schedule'!$A$2:$Q$2902,T$2,0)&lt;&gt;D1862,"Beam Revised","")</f>
        <v>#N/A</v>
      </c>
      <c r="U1862" s="7" t="e">
        <f>IF(VLOOKUP($A1862,'Concrete Beam Schedule'!$A$2:$Q$2902,U$2,0)&lt;&gt;E1862,"Beam Revised","")</f>
        <v>#N/A</v>
      </c>
      <c r="V1862" s="7" t="e">
        <f>IF(VLOOKUP($A1862,'Concrete Beam Schedule'!$A$2:$Q$2902,V$2,0)&lt;&gt;F1862,"Beam Revised","")</f>
        <v>#N/A</v>
      </c>
      <c r="W1862" s="7" t="e">
        <f>IF(VLOOKUP($A1862,'Concrete Beam Schedule'!$A$2:$Q$2902,W$2,0)&lt;&gt;G1862,"Beam Revised","")</f>
        <v>#N/A</v>
      </c>
      <c r="X1862" s="7" t="e">
        <f>IF(VLOOKUP($A1862,'Concrete Beam Schedule'!$A$2:$Q$2902,X$2,0)&lt;&gt;H1862,"Beam Revised","")</f>
        <v>#N/A</v>
      </c>
      <c r="Y1862" s="7" t="e">
        <f>IF(VLOOKUP($A1862,'Concrete Beam Schedule'!$A$2:$Q$2902,Y$2,0)&lt;&gt;I1862,"Beam Revised","")</f>
        <v>#N/A</v>
      </c>
      <c r="Z1862" s="7" t="e">
        <f>IF(VLOOKUP($A1862,'Concrete Beam Schedule'!$A$2:$Q$2902,Z$2,0)&lt;&gt;J1862,"Beam Revised","")</f>
        <v>#N/A</v>
      </c>
      <c r="AA1862" s="7" t="e">
        <f>IF(VLOOKUP($A1862,'Concrete Beam Schedule'!$A$2:$Q$2902,AA$2,0)&lt;&gt;K1862,"Beam Revised","")</f>
        <v>#N/A</v>
      </c>
      <c r="AB1862" s="7" t="e">
        <f>IF(VLOOKUP($A1862,'Concrete Beam Schedule'!$A$2:$Q$2902,AB$2,0)&lt;&gt;L1862,"Beam Revised","")</f>
        <v>#N/A</v>
      </c>
      <c r="AC1862" s="7" t="e">
        <f>IF(VLOOKUP($A1862,'Concrete Beam Schedule'!$A$2:$Q$2902,AC$2,0)&lt;&gt;M1862,"Beam Revised","")</f>
        <v>#N/A</v>
      </c>
      <c r="AD1862" s="7" t="e">
        <f>IF(VLOOKUP($A1862,'Concrete Beam Schedule'!$A$2:$Q$2902,AD$2,0)&lt;&gt;N1862,"Beam Revised","")</f>
        <v>#N/A</v>
      </c>
      <c r="AE1862" s="7" t="e">
        <f>IF(VLOOKUP($A1862,'Concrete Beam Schedule'!$A$2:$Q$2902,AE$2,0)&lt;&gt;O1862,"Beam Revised","")</f>
        <v>#N/A</v>
      </c>
    </row>
    <row r="1863" spans="17:31" ht="20.100000000000001" customHeight="1" x14ac:dyDescent="0.25">
      <c r="Q1863" s="7">
        <f t="shared" si="29"/>
        <v>0</v>
      </c>
      <c r="R1863" s="7" t="e">
        <f>IF(VLOOKUP($A1863,'Concrete Beam Schedule'!$A$2:$Q$2902,R$2,0)&lt;&gt;B1863,VLOOKUP($A1863,'Concrete Beam Schedule'!$A$2:$Q$2902,R$2,0),"")</f>
        <v>#N/A</v>
      </c>
      <c r="S1863" s="7" t="e">
        <f>IF(VLOOKUP($A1863,'Concrete Beam Schedule'!$A$2:$Q$2902,S$2,0)&lt;&gt;C1863,VLOOKUP($A1863,'Concrete Beam Schedule'!$A$2:$Q$2902,S$2,0),"")</f>
        <v>#N/A</v>
      </c>
      <c r="T1863" s="7" t="e">
        <f>IF(VLOOKUP($A1863,'Concrete Beam Schedule'!$A$2:$Q$2902,T$2,0)&lt;&gt;D1863,"Beam Revised","")</f>
        <v>#N/A</v>
      </c>
      <c r="U1863" s="7" t="e">
        <f>IF(VLOOKUP($A1863,'Concrete Beam Schedule'!$A$2:$Q$2902,U$2,0)&lt;&gt;E1863,"Beam Revised","")</f>
        <v>#N/A</v>
      </c>
      <c r="V1863" s="7" t="e">
        <f>IF(VLOOKUP($A1863,'Concrete Beam Schedule'!$A$2:$Q$2902,V$2,0)&lt;&gt;F1863,"Beam Revised","")</f>
        <v>#N/A</v>
      </c>
      <c r="W1863" s="7" t="e">
        <f>IF(VLOOKUP($A1863,'Concrete Beam Schedule'!$A$2:$Q$2902,W$2,0)&lt;&gt;G1863,"Beam Revised","")</f>
        <v>#N/A</v>
      </c>
      <c r="X1863" s="7" t="e">
        <f>IF(VLOOKUP($A1863,'Concrete Beam Schedule'!$A$2:$Q$2902,X$2,0)&lt;&gt;H1863,"Beam Revised","")</f>
        <v>#N/A</v>
      </c>
      <c r="Y1863" s="7" t="e">
        <f>IF(VLOOKUP($A1863,'Concrete Beam Schedule'!$A$2:$Q$2902,Y$2,0)&lt;&gt;I1863,"Beam Revised","")</f>
        <v>#N/A</v>
      </c>
      <c r="Z1863" s="7" t="e">
        <f>IF(VLOOKUP($A1863,'Concrete Beam Schedule'!$A$2:$Q$2902,Z$2,0)&lt;&gt;J1863,"Beam Revised","")</f>
        <v>#N/A</v>
      </c>
      <c r="AA1863" s="7" t="e">
        <f>IF(VLOOKUP($A1863,'Concrete Beam Schedule'!$A$2:$Q$2902,AA$2,0)&lt;&gt;K1863,"Beam Revised","")</f>
        <v>#N/A</v>
      </c>
      <c r="AB1863" s="7" t="e">
        <f>IF(VLOOKUP($A1863,'Concrete Beam Schedule'!$A$2:$Q$2902,AB$2,0)&lt;&gt;L1863,"Beam Revised","")</f>
        <v>#N/A</v>
      </c>
      <c r="AC1863" s="7" t="e">
        <f>IF(VLOOKUP($A1863,'Concrete Beam Schedule'!$A$2:$Q$2902,AC$2,0)&lt;&gt;M1863,"Beam Revised","")</f>
        <v>#N/A</v>
      </c>
      <c r="AD1863" s="7" t="e">
        <f>IF(VLOOKUP($A1863,'Concrete Beam Schedule'!$A$2:$Q$2902,AD$2,0)&lt;&gt;N1863,"Beam Revised","")</f>
        <v>#N/A</v>
      </c>
      <c r="AE1863" s="7" t="e">
        <f>IF(VLOOKUP($A1863,'Concrete Beam Schedule'!$A$2:$Q$2902,AE$2,0)&lt;&gt;O1863,"Beam Revised","")</f>
        <v>#N/A</v>
      </c>
    </row>
    <row r="1864" spans="17:31" ht="20.100000000000001" customHeight="1" x14ac:dyDescent="0.25">
      <c r="Q1864" s="7">
        <f t="shared" si="29"/>
        <v>0</v>
      </c>
      <c r="R1864" s="7" t="e">
        <f>IF(VLOOKUP($A1864,'Concrete Beam Schedule'!$A$2:$Q$2902,R$2,0)&lt;&gt;B1864,VLOOKUP($A1864,'Concrete Beam Schedule'!$A$2:$Q$2902,R$2,0),"")</f>
        <v>#N/A</v>
      </c>
      <c r="S1864" s="7" t="e">
        <f>IF(VLOOKUP($A1864,'Concrete Beam Schedule'!$A$2:$Q$2902,S$2,0)&lt;&gt;C1864,VLOOKUP($A1864,'Concrete Beam Schedule'!$A$2:$Q$2902,S$2,0),"")</f>
        <v>#N/A</v>
      </c>
      <c r="T1864" s="7" t="e">
        <f>IF(VLOOKUP($A1864,'Concrete Beam Schedule'!$A$2:$Q$2902,T$2,0)&lt;&gt;D1864,"Beam Revised","")</f>
        <v>#N/A</v>
      </c>
      <c r="U1864" s="7" t="e">
        <f>IF(VLOOKUP($A1864,'Concrete Beam Schedule'!$A$2:$Q$2902,U$2,0)&lt;&gt;E1864,"Beam Revised","")</f>
        <v>#N/A</v>
      </c>
      <c r="V1864" s="7" t="e">
        <f>IF(VLOOKUP($A1864,'Concrete Beam Schedule'!$A$2:$Q$2902,V$2,0)&lt;&gt;F1864,"Beam Revised","")</f>
        <v>#N/A</v>
      </c>
      <c r="W1864" s="7" t="e">
        <f>IF(VLOOKUP($A1864,'Concrete Beam Schedule'!$A$2:$Q$2902,W$2,0)&lt;&gt;G1864,"Beam Revised","")</f>
        <v>#N/A</v>
      </c>
      <c r="X1864" s="7" t="e">
        <f>IF(VLOOKUP($A1864,'Concrete Beam Schedule'!$A$2:$Q$2902,X$2,0)&lt;&gt;H1864,"Beam Revised","")</f>
        <v>#N/A</v>
      </c>
      <c r="Y1864" s="7" t="e">
        <f>IF(VLOOKUP($A1864,'Concrete Beam Schedule'!$A$2:$Q$2902,Y$2,0)&lt;&gt;I1864,"Beam Revised","")</f>
        <v>#N/A</v>
      </c>
      <c r="Z1864" s="7" t="e">
        <f>IF(VLOOKUP($A1864,'Concrete Beam Schedule'!$A$2:$Q$2902,Z$2,0)&lt;&gt;J1864,"Beam Revised","")</f>
        <v>#N/A</v>
      </c>
      <c r="AA1864" s="7" t="e">
        <f>IF(VLOOKUP($A1864,'Concrete Beam Schedule'!$A$2:$Q$2902,AA$2,0)&lt;&gt;K1864,"Beam Revised","")</f>
        <v>#N/A</v>
      </c>
      <c r="AB1864" s="7" t="e">
        <f>IF(VLOOKUP($A1864,'Concrete Beam Schedule'!$A$2:$Q$2902,AB$2,0)&lt;&gt;L1864,"Beam Revised","")</f>
        <v>#N/A</v>
      </c>
      <c r="AC1864" s="7" t="e">
        <f>IF(VLOOKUP($A1864,'Concrete Beam Schedule'!$A$2:$Q$2902,AC$2,0)&lt;&gt;M1864,"Beam Revised","")</f>
        <v>#N/A</v>
      </c>
      <c r="AD1864" s="7" t="e">
        <f>IF(VLOOKUP($A1864,'Concrete Beam Schedule'!$A$2:$Q$2902,AD$2,0)&lt;&gt;N1864,"Beam Revised","")</f>
        <v>#N/A</v>
      </c>
      <c r="AE1864" s="7" t="e">
        <f>IF(VLOOKUP($A1864,'Concrete Beam Schedule'!$A$2:$Q$2902,AE$2,0)&lt;&gt;O1864,"Beam Revised","")</f>
        <v>#N/A</v>
      </c>
    </row>
    <row r="1865" spans="17:31" ht="20.100000000000001" customHeight="1" x14ac:dyDescent="0.25">
      <c r="Q1865" s="7">
        <f t="shared" si="29"/>
        <v>0</v>
      </c>
      <c r="R1865" s="7" t="e">
        <f>IF(VLOOKUP($A1865,'Concrete Beam Schedule'!$A$2:$Q$2902,R$2,0)&lt;&gt;B1865,VLOOKUP($A1865,'Concrete Beam Schedule'!$A$2:$Q$2902,R$2,0),"")</f>
        <v>#N/A</v>
      </c>
      <c r="S1865" s="7" t="e">
        <f>IF(VLOOKUP($A1865,'Concrete Beam Schedule'!$A$2:$Q$2902,S$2,0)&lt;&gt;C1865,VLOOKUP($A1865,'Concrete Beam Schedule'!$A$2:$Q$2902,S$2,0),"")</f>
        <v>#N/A</v>
      </c>
      <c r="T1865" s="7" t="e">
        <f>IF(VLOOKUP($A1865,'Concrete Beam Schedule'!$A$2:$Q$2902,T$2,0)&lt;&gt;D1865,"Beam Revised","")</f>
        <v>#N/A</v>
      </c>
      <c r="U1865" s="7" t="e">
        <f>IF(VLOOKUP($A1865,'Concrete Beam Schedule'!$A$2:$Q$2902,U$2,0)&lt;&gt;E1865,"Beam Revised","")</f>
        <v>#N/A</v>
      </c>
      <c r="V1865" s="7" t="e">
        <f>IF(VLOOKUP($A1865,'Concrete Beam Schedule'!$A$2:$Q$2902,V$2,0)&lt;&gt;F1865,"Beam Revised","")</f>
        <v>#N/A</v>
      </c>
      <c r="W1865" s="7" t="e">
        <f>IF(VLOOKUP($A1865,'Concrete Beam Schedule'!$A$2:$Q$2902,W$2,0)&lt;&gt;G1865,"Beam Revised","")</f>
        <v>#N/A</v>
      </c>
      <c r="X1865" s="7" t="e">
        <f>IF(VLOOKUP($A1865,'Concrete Beam Schedule'!$A$2:$Q$2902,X$2,0)&lt;&gt;H1865,"Beam Revised","")</f>
        <v>#N/A</v>
      </c>
      <c r="Y1865" s="7" t="e">
        <f>IF(VLOOKUP($A1865,'Concrete Beam Schedule'!$A$2:$Q$2902,Y$2,0)&lt;&gt;I1865,"Beam Revised","")</f>
        <v>#N/A</v>
      </c>
      <c r="Z1865" s="7" t="e">
        <f>IF(VLOOKUP($A1865,'Concrete Beam Schedule'!$A$2:$Q$2902,Z$2,0)&lt;&gt;J1865,"Beam Revised","")</f>
        <v>#N/A</v>
      </c>
      <c r="AA1865" s="7" t="e">
        <f>IF(VLOOKUP($A1865,'Concrete Beam Schedule'!$A$2:$Q$2902,AA$2,0)&lt;&gt;K1865,"Beam Revised","")</f>
        <v>#N/A</v>
      </c>
      <c r="AB1865" s="7" t="e">
        <f>IF(VLOOKUP($A1865,'Concrete Beam Schedule'!$A$2:$Q$2902,AB$2,0)&lt;&gt;L1865,"Beam Revised","")</f>
        <v>#N/A</v>
      </c>
      <c r="AC1865" s="7" t="e">
        <f>IF(VLOOKUP($A1865,'Concrete Beam Schedule'!$A$2:$Q$2902,AC$2,0)&lt;&gt;M1865,"Beam Revised","")</f>
        <v>#N/A</v>
      </c>
      <c r="AD1865" s="7" t="e">
        <f>IF(VLOOKUP($A1865,'Concrete Beam Schedule'!$A$2:$Q$2902,AD$2,0)&lt;&gt;N1865,"Beam Revised","")</f>
        <v>#N/A</v>
      </c>
      <c r="AE1865" s="7" t="e">
        <f>IF(VLOOKUP($A1865,'Concrete Beam Schedule'!$A$2:$Q$2902,AE$2,0)&lt;&gt;O1865,"Beam Revised","")</f>
        <v>#N/A</v>
      </c>
    </row>
    <row r="1866" spans="17:31" ht="20.100000000000001" customHeight="1" x14ac:dyDescent="0.25">
      <c r="Q1866" s="7">
        <f t="shared" si="29"/>
        <v>0</v>
      </c>
      <c r="R1866" s="7" t="e">
        <f>IF(VLOOKUP($A1866,'Concrete Beam Schedule'!$A$2:$Q$2902,R$2,0)&lt;&gt;B1866,VLOOKUP($A1866,'Concrete Beam Schedule'!$A$2:$Q$2902,R$2,0),"")</f>
        <v>#N/A</v>
      </c>
      <c r="S1866" s="7" t="e">
        <f>IF(VLOOKUP($A1866,'Concrete Beam Schedule'!$A$2:$Q$2902,S$2,0)&lt;&gt;C1866,VLOOKUP($A1866,'Concrete Beam Schedule'!$A$2:$Q$2902,S$2,0),"")</f>
        <v>#N/A</v>
      </c>
      <c r="T1866" s="7" t="e">
        <f>IF(VLOOKUP($A1866,'Concrete Beam Schedule'!$A$2:$Q$2902,T$2,0)&lt;&gt;D1866,"Beam Revised","")</f>
        <v>#N/A</v>
      </c>
      <c r="U1866" s="7" t="e">
        <f>IF(VLOOKUP($A1866,'Concrete Beam Schedule'!$A$2:$Q$2902,U$2,0)&lt;&gt;E1866,"Beam Revised","")</f>
        <v>#N/A</v>
      </c>
      <c r="V1866" s="7" t="e">
        <f>IF(VLOOKUP($A1866,'Concrete Beam Schedule'!$A$2:$Q$2902,V$2,0)&lt;&gt;F1866,"Beam Revised","")</f>
        <v>#N/A</v>
      </c>
      <c r="W1866" s="7" t="e">
        <f>IF(VLOOKUP($A1866,'Concrete Beam Schedule'!$A$2:$Q$2902,W$2,0)&lt;&gt;G1866,"Beam Revised","")</f>
        <v>#N/A</v>
      </c>
      <c r="X1866" s="7" t="e">
        <f>IF(VLOOKUP($A1866,'Concrete Beam Schedule'!$A$2:$Q$2902,X$2,0)&lt;&gt;H1866,"Beam Revised","")</f>
        <v>#N/A</v>
      </c>
      <c r="Y1866" s="7" t="e">
        <f>IF(VLOOKUP($A1866,'Concrete Beam Schedule'!$A$2:$Q$2902,Y$2,0)&lt;&gt;I1866,"Beam Revised","")</f>
        <v>#N/A</v>
      </c>
      <c r="Z1866" s="7" t="e">
        <f>IF(VLOOKUP($A1866,'Concrete Beam Schedule'!$A$2:$Q$2902,Z$2,0)&lt;&gt;J1866,"Beam Revised","")</f>
        <v>#N/A</v>
      </c>
      <c r="AA1866" s="7" t="e">
        <f>IF(VLOOKUP($A1866,'Concrete Beam Schedule'!$A$2:$Q$2902,AA$2,0)&lt;&gt;K1866,"Beam Revised","")</f>
        <v>#N/A</v>
      </c>
      <c r="AB1866" s="7" t="e">
        <f>IF(VLOOKUP($A1866,'Concrete Beam Schedule'!$A$2:$Q$2902,AB$2,0)&lt;&gt;L1866,"Beam Revised","")</f>
        <v>#N/A</v>
      </c>
      <c r="AC1866" s="7" t="e">
        <f>IF(VLOOKUP($A1866,'Concrete Beam Schedule'!$A$2:$Q$2902,AC$2,0)&lt;&gt;M1866,"Beam Revised","")</f>
        <v>#N/A</v>
      </c>
      <c r="AD1866" s="7" t="e">
        <f>IF(VLOOKUP($A1866,'Concrete Beam Schedule'!$A$2:$Q$2902,AD$2,0)&lt;&gt;N1866,"Beam Revised","")</f>
        <v>#N/A</v>
      </c>
      <c r="AE1866" s="7" t="e">
        <f>IF(VLOOKUP($A1866,'Concrete Beam Schedule'!$A$2:$Q$2902,AE$2,0)&lt;&gt;O1866,"Beam Revised","")</f>
        <v>#N/A</v>
      </c>
    </row>
    <row r="1867" spans="17:31" ht="20.100000000000001" customHeight="1" x14ac:dyDescent="0.25">
      <c r="Q1867" s="7">
        <f t="shared" si="29"/>
        <v>0</v>
      </c>
      <c r="R1867" s="7" t="e">
        <f>IF(VLOOKUP($A1867,'Concrete Beam Schedule'!$A$2:$Q$2902,R$2,0)&lt;&gt;B1867,VLOOKUP($A1867,'Concrete Beam Schedule'!$A$2:$Q$2902,R$2,0),"")</f>
        <v>#N/A</v>
      </c>
      <c r="S1867" s="7" t="e">
        <f>IF(VLOOKUP($A1867,'Concrete Beam Schedule'!$A$2:$Q$2902,S$2,0)&lt;&gt;C1867,VLOOKUP($A1867,'Concrete Beam Schedule'!$A$2:$Q$2902,S$2,0),"")</f>
        <v>#N/A</v>
      </c>
      <c r="T1867" s="7" t="e">
        <f>IF(VLOOKUP($A1867,'Concrete Beam Schedule'!$A$2:$Q$2902,T$2,0)&lt;&gt;D1867,"Beam Revised","")</f>
        <v>#N/A</v>
      </c>
      <c r="U1867" s="7" t="e">
        <f>IF(VLOOKUP($A1867,'Concrete Beam Schedule'!$A$2:$Q$2902,U$2,0)&lt;&gt;E1867,"Beam Revised","")</f>
        <v>#N/A</v>
      </c>
      <c r="V1867" s="7" t="e">
        <f>IF(VLOOKUP($A1867,'Concrete Beam Schedule'!$A$2:$Q$2902,V$2,0)&lt;&gt;F1867,"Beam Revised","")</f>
        <v>#N/A</v>
      </c>
      <c r="W1867" s="7" t="e">
        <f>IF(VLOOKUP($A1867,'Concrete Beam Schedule'!$A$2:$Q$2902,W$2,0)&lt;&gt;G1867,"Beam Revised","")</f>
        <v>#N/A</v>
      </c>
      <c r="X1867" s="7" t="e">
        <f>IF(VLOOKUP($A1867,'Concrete Beam Schedule'!$A$2:$Q$2902,X$2,0)&lt;&gt;H1867,"Beam Revised","")</f>
        <v>#N/A</v>
      </c>
      <c r="Y1867" s="7" t="e">
        <f>IF(VLOOKUP($A1867,'Concrete Beam Schedule'!$A$2:$Q$2902,Y$2,0)&lt;&gt;I1867,"Beam Revised","")</f>
        <v>#N/A</v>
      </c>
      <c r="Z1867" s="7" t="e">
        <f>IF(VLOOKUP($A1867,'Concrete Beam Schedule'!$A$2:$Q$2902,Z$2,0)&lt;&gt;J1867,"Beam Revised","")</f>
        <v>#N/A</v>
      </c>
      <c r="AA1867" s="7" t="e">
        <f>IF(VLOOKUP($A1867,'Concrete Beam Schedule'!$A$2:$Q$2902,AA$2,0)&lt;&gt;K1867,"Beam Revised","")</f>
        <v>#N/A</v>
      </c>
      <c r="AB1867" s="7" t="e">
        <f>IF(VLOOKUP($A1867,'Concrete Beam Schedule'!$A$2:$Q$2902,AB$2,0)&lt;&gt;L1867,"Beam Revised","")</f>
        <v>#N/A</v>
      </c>
      <c r="AC1867" s="7" t="e">
        <f>IF(VLOOKUP($A1867,'Concrete Beam Schedule'!$A$2:$Q$2902,AC$2,0)&lt;&gt;M1867,"Beam Revised","")</f>
        <v>#N/A</v>
      </c>
      <c r="AD1867" s="7" t="e">
        <f>IF(VLOOKUP($A1867,'Concrete Beam Schedule'!$A$2:$Q$2902,AD$2,0)&lt;&gt;N1867,"Beam Revised","")</f>
        <v>#N/A</v>
      </c>
      <c r="AE1867" s="7" t="e">
        <f>IF(VLOOKUP($A1867,'Concrete Beam Schedule'!$A$2:$Q$2902,AE$2,0)&lt;&gt;O1867,"Beam Revised","")</f>
        <v>#N/A</v>
      </c>
    </row>
    <row r="1868" spans="17:31" ht="20.100000000000001" customHeight="1" x14ac:dyDescent="0.25">
      <c r="Q1868" s="7">
        <f t="shared" si="29"/>
        <v>0</v>
      </c>
      <c r="R1868" s="7" t="e">
        <f>IF(VLOOKUP($A1868,'Concrete Beam Schedule'!$A$2:$Q$2902,R$2,0)&lt;&gt;B1868,VLOOKUP($A1868,'Concrete Beam Schedule'!$A$2:$Q$2902,R$2,0),"")</f>
        <v>#N/A</v>
      </c>
      <c r="S1868" s="7" t="e">
        <f>IF(VLOOKUP($A1868,'Concrete Beam Schedule'!$A$2:$Q$2902,S$2,0)&lt;&gt;C1868,VLOOKUP($A1868,'Concrete Beam Schedule'!$A$2:$Q$2902,S$2,0),"")</f>
        <v>#N/A</v>
      </c>
      <c r="T1868" s="7" t="e">
        <f>IF(VLOOKUP($A1868,'Concrete Beam Schedule'!$A$2:$Q$2902,T$2,0)&lt;&gt;D1868,"Beam Revised","")</f>
        <v>#N/A</v>
      </c>
      <c r="U1868" s="7" t="e">
        <f>IF(VLOOKUP($A1868,'Concrete Beam Schedule'!$A$2:$Q$2902,U$2,0)&lt;&gt;E1868,"Beam Revised","")</f>
        <v>#N/A</v>
      </c>
      <c r="V1868" s="7" t="e">
        <f>IF(VLOOKUP($A1868,'Concrete Beam Schedule'!$A$2:$Q$2902,V$2,0)&lt;&gt;F1868,"Beam Revised","")</f>
        <v>#N/A</v>
      </c>
      <c r="W1868" s="7" t="e">
        <f>IF(VLOOKUP($A1868,'Concrete Beam Schedule'!$A$2:$Q$2902,W$2,0)&lt;&gt;G1868,"Beam Revised","")</f>
        <v>#N/A</v>
      </c>
      <c r="X1868" s="7" t="e">
        <f>IF(VLOOKUP($A1868,'Concrete Beam Schedule'!$A$2:$Q$2902,X$2,0)&lt;&gt;H1868,"Beam Revised","")</f>
        <v>#N/A</v>
      </c>
      <c r="Y1868" s="7" t="e">
        <f>IF(VLOOKUP($A1868,'Concrete Beam Schedule'!$A$2:$Q$2902,Y$2,0)&lt;&gt;I1868,"Beam Revised","")</f>
        <v>#N/A</v>
      </c>
      <c r="Z1868" s="7" t="e">
        <f>IF(VLOOKUP($A1868,'Concrete Beam Schedule'!$A$2:$Q$2902,Z$2,0)&lt;&gt;J1868,"Beam Revised","")</f>
        <v>#N/A</v>
      </c>
      <c r="AA1868" s="7" t="e">
        <f>IF(VLOOKUP($A1868,'Concrete Beam Schedule'!$A$2:$Q$2902,AA$2,0)&lt;&gt;K1868,"Beam Revised","")</f>
        <v>#N/A</v>
      </c>
      <c r="AB1868" s="7" t="e">
        <f>IF(VLOOKUP($A1868,'Concrete Beam Schedule'!$A$2:$Q$2902,AB$2,0)&lt;&gt;L1868,"Beam Revised","")</f>
        <v>#N/A</v>
      </c>
      <c r="AC1868" s="7" t="e">
        <f>IF(VLOOKUP($A1868,'Concrete Beam Schedule'!$A$2:$Q$2902,AC$2,0)&lt;&gt;M1868,"Beam Revised","")</f>
        <v>#N/A</v>
      </c>
      <c r="AD1868" s="7" t="e">
        <f>IF(VLOOKUP($A1868,'Concrete Beam Schedule'!$A$2:$Q$2902,AD$2,0)&lt;&gt;N1868,"Beam Revised","")</f>
        <v>#N/A</v>
      </c>
      <c r="AE1868" s="7" t="e">
        <f>IF(VLOOKUP($A1868,'Concrete Beam Schedule'!$A$2:$Q$2902,AE$2,0)&lt;&gt;O1868,"Beam Revised","")</f>
        <v>#N/A</v>
      </c>
    </row>
    <row r="1869" spans="17:31" ht="20.100000000000001" customHeight="1" x14ac:dyDescent="0.25">
      <c r="Q1869" s="7">
        <f t="shared" si="29"/>
        <v>0</v>
      </c>
      <c r="R1869" s="7" t="e">
        <f>IF(VLOOKUP($A1869,'Concrete Beam Schedule'!$A$2:$Q$2902,R$2,0)&lt;&gt;B1869,VLOOKUP($A1869,'Concrete Beam Schedule'!$A$2:$Q$2902,R$2,0),"")</f>
        <v>#N/A</v>
      </c>
      <c r="S1869" s="7" t="e">
        <f>IF(VLOOKUP($A1869,'Concrete Beam Schedule'!$A$2:$Q$2902,S$2,0)&lt;&gt;C1869,VLOOKUP($A1869,'Concrete Beam Schedule'!$A$2:$Q$2902,S$2,0),"")</f>
        <v>#N/A</v>
      </c>
      <c r="T1869" s="7" t="e">
        <f>IF(VLOOKUP($A1869,'Concrete Beam Schedule'!$A$2:$Q$2902,T$2,0)&lt;&gt;D1869,"Beam Revised","")</f>
        <v>#N/A</v>
      </c>
      <c r="U1869" s="7" t="e">
        <f>IF(VLOOKUP($A1869,'Concrete Beam Schedule'!$A$2:$Q$2902,U$2,0)&lt;&gt;E1869,"Beam Revised","")</f>
        <v>#N/A</v>
      </c>
      <c r="V1869" s="7" t="e">
        <f>IF(VLOOKUP($A1869,'Concrete Beam Schedule'!$A$2:$Q$2902,V$2,0)&lt;&gt;F1869,"Beam Revised","")</f>
        <v>#N/A</v>
      </c>
      <c r="W1869" s="7" t="e">
        <f>IF(VLOOKUP($A1869,'Concrete Beam Schedule'!$A$2:$Q$2902,W$2,0)&lt;&gt;G1869,"Beam Revised","")</f>
        <v>#N/A</v>
      </c>
      <c r="X1869" s="7" t="e">
        <f>IF(VLOOKUP($A1869,'Concrete Beam Schedule'!$A$2:$Q$2902,X$2,0)&lt;&gt;H1869,"Beam Revised","")</f>
        <v>#N/A</v>
      </c>
      <c r="Y1869" s="7" t="e">
        <f>IF(VLOOKUP($A1869,'Concrete Beam Schedule'!$A$2:$Q$2902,Y$2,0)&lt;&gt;I1869,"Beam Revised","")</f>
        <v>#N/A</v>
      </c>
      <c r="Z1869" s="7" t="e">
        <f>IF(VLOOKUP($A1869,'Concrete Beam Schedule'!$A$2:$Q$2902,Z$2,0)&lt;&gt;J1869,"Beam Revised","")</f>
        <v>#N/A</v>
      </c>
      <c r="AA1869" s="7" t="e">
        <f>IF(VLOOKUP($A1869,'Concrete Beam Schedule'!$A$2:$Q$2902,AA$2,0)&lt;&gt;K1869,"Beam Revised","")</f>
        <v>#N/A</v>
      </c>
      <c r="AB1869" s="7" t="e">
        <f>IF(VLOOKUP($A1869,'Concrete Beam Schedule'!$A$2:$Q$2902,AB$2,0)&lt;&gt;L1869,"Beam Revised","")</f>
        <v>#N/A</v>
      </c>
      <c r="AC1869" s="7" t="e">
        <f>IF(VLOOKUP($A1869,'Concrete Beam Schedule'!$A$2:$Q$2902,AC$2,0)&lt;&gt;M1869,"Beam Revised","")</f>
        <v>#N/A</v>
      </c>
      <c r="AD1869" s="7" t="e">
        <f>IF(VLOOKUP($A1869,'Concrete Beam Schedule'!$A$2:$Q$2902,AD$2,0)&lt;&gt;N1869,"Beam Revised","")</f>
        <v>#N/A</v>
      </c>
      <c r="AE1869" s="7" t="e">
        <f>IF(VLOOKUP($A1869,'Concrete Beam Schedule'!$A$2:$Q$2902,AE$2,0)&lt;&gt;O1869,"Beam Revised","")</f>
        <v>#N/A</v>
      </c>
    </row>
    <row r="1870" spans="17:31" ht="20.100000000000001" customHeight="1" x14ac:dyDescent="0.25">
      <c r="Q1870" s="7">
        <f t="shared" si="29"/>
        <v>0</v>
      </c>
      <c r="R1870" s="7" t="e">
        <f>IF(VLOOKUP($A1870,'Concrete Beam Schedule'!$A$2:$Q$2902,R$2,0)&lt;&gt;B1870,VLOOKUP($A1870,'Concrete Beam Schedule'!$A$2:$Q$2902,R$2,0),"")</f>
        <v>#N/A</v>
      </c>
      <c r="S1870" s="7" t="e">
        <f>IF(VLOOKUP($A1870,'Concrete Beam Schedule'!$A$2:$Q$2902,S$2,0)&lt;&gt;C1870,VLOOKUP($A1870,'Concrete Beam Schedule'!$A$2:$Q$2902,S$2,0),"")</f>
        <v>#N/A</v>
      </c>
      <c r="T1870" s="7" t="e">
        <f>IF(VLOOKUP($A1870,'Concrete Beam Schedule'!$A$2:$Q$2902,T$2,0)&lt;&gt;D1870,"Beam Revised","")</f>
        <v>#N/A</v>
      </c>
      <c r="U1870" s="7" t="e">
        <f>IF(VLOOKUP($A1870,'Concrete Beam Schedule'!$A$2:$Q$2902,U$2,0)&lt;&gt;E1870,"Beam Revised","")</f>
        <v>#N/A</v>
      </c>
      <c r="V1870" s="7" t="e">
        <f>IF(VLOOKUP($A1870,'Concrete Beam Schedule'!$A$2:$Q$2902,V$2,0)&lt;&gt;F1870,"Beam Revised","")</f>
        <v>#N/A</v>
      </c>
      <c r="W1870" s="7" t="e">
        <f>IF(VLOOKUP($A1870,'Concrete Beam Schedule'!$A$2:$Q$2902,W$2,0)&lt;&gt;G1870,"Beam Revised","")</f>
        <v>#N/A</v>
      </c>
      <c r="X1870" s="7" t="e">
        <f>IF(VLOOKUP($A1870,'Concrete Beam Schedule'!$A$2:$Q$2902,X$2,0)&lt;&gt;H1870,"Beam Revised","")</f>
        <v>#N/A</v>
      </c>
      <c r="Y1870" s="7" t="e">
        <f>IF(VLOOKUP($A1870,'Concrete Beam Schedule'!$A$2:$Q$2902,Y$2,0)&lt;&gt;I1870,"Beam Revised","")</f>
        <v>#N/A</v>
      </c>
      <c r="Z1870" s="7" t="e">
        <f>IF(VLOOKUP($A1870,'Concrete Beam Schedule'!$A$2:$Q$2902,Z$2,0)&lt;&gt;J1870,"Beam Revised","")</f>
        <v>#N/A</v>
      </c>
      <c r="AA1870" s="7" t="e">
        <f>IF(VLOOKUP($A1870,'Concrete Beam Schedule'!$A$2:$Q$2902,AA$2,0)&lt;&gt;K1870,"Beam Revised","")</f>
        <v>#N/A</v>
      </c>
      <c r="AB1870" s="7" t="e">
        <f>IF(VLOOKUP($A1870,'Concrete Beam Schedule'!$A$2:$Q$2902,AB$2,0)&lt;&gt;L1870,"Beam Revised","")</f>
        <v>#N/A</v>
      </c>
      <c r="AC1870" s="7" t="e">
        <f>IF(VLOOKUP($A1870,'Concrete Beam Schedule'!$A$2:$Q$2902,AC$2,0)&lt;&gt;M1870,"Beam Revised","")</f>
        <v>#N/A</v>
      </c>
      <c r="AD1870" s="7" t="e">
        <f>IF(VLOOKUP($A1870,'Concrete Beam Schedule'!$A$2:$Q$2902,AD$2,0)&lt;&gt;N1870,"Beam Revised","")</f>
        <v>#N/A</v>
      </c>
      <c r="AE1870" s="7" t="e">
        <f>IF(VLOOKUP($A1870,'Concrete Beam Schedule'!$A$2:$Q$2902,AE$2,0)&lt;&gt;O1870,"Beam Revised","")</f>
        <v>#N/A</v>
      </c>
    </row>
    <row r="1871" spans="17:31" ht="20.100000000000001" customHeight="1" x14ac:dyDescent="0.25">
      <c r="Q1871" s="7">
        <f t="shared" si="29"/>
        <v>0</v>
      </c>
      <c r="R1871" s="7" t="e">
        <f>IF(VLOOKUP($A1871,'Concrete Beam Schedule'!$A$2:$Q$2902,R$2,0)&lt;&gt;B1871,VLOOKUP($A1871,'Concrete Beam Schedule'!$A$2:$Q$2902,R$2,0),"")</f>
        <v>#N/A</v>
      </c>
      <c r="S1871" s="7" t="e">
        <f>IF(VLOOKUP($A1871,'Concrete Beam Schedule'!$A$2:$Q$2902,S$2,0)&lt;&gt;C1871,VLOOKUP($A1871,'Concrete Beam Schedule'!$A$2:$Q$2902,S$2,0),"")</f>
        <v>#N/A</v>
      </c>
      <c r="T1871" s="7" t="e">
        <f>IF(VLOOKUP($A1871,'Concrete Beam Schedule'!$A$2:$Q$2902,T$2,0)&lt;&gt;D1871,"Beam Revised","")</f>
        <v>#N/A</v>
      </c>
      <c r="U1871" s="7" t="e">
        <f>IF(VLOOKUP($A1871,'Concrete Beam Schedule'!$A$2:$Q$2902,U$2,0)&lt;&gt;E1871,"Beam Revised","")</f>
        <v>#N/A</v>
      </c>
      <c r="V1871" s="7" t="e">
        <f>IF(VLOOKUP($A1871,'Concrete Beam Schedule'!$A$2:$Q$2902,V$2,0)&lt;&gt;F1871,"Beam Revised","")</f>
        <v>#N/A</v>
      </c>
      <c r="W1871" s="7" t="e">
        <f>IF(VLOOKUP($A1871,'Concrete Beam Schedule'!$A$2:$Q$2902,W$2,0)&lt;&gt;G1871,"Beam Revised","")</f>
        <v>#N/A</v>
      </c>
      <c r="X1871" s="7" t="e">
        <f>IF(VLOOKUP($A1871,'Concrete Beam Schedule'!$A$2:$Q$2902,X$2,0)&lt;&gt;H1871,"Beam Revised","")</f>
        <v>#N/A</v>
      </c>
      <c r="Y1871" s="7" t="e">
        <f>IF(VLOOKUP($A1871,'Concrete Beam Schedule'!$A$2:$Q$2902,Y$2,0)&lt;&gt;I1871,"Beam Revised","")</f>
        <v>#N/A</v>
      </c>
      <c r="Z1871" s="7" t="e">
        <f>IF(VLOOKUP($A1871,'Concrete Beam Schedule'!$A$2:$Q$2902,Z$2,0)&lt;&gt;J1871,"Beam Revised","")</f>
        <v>#N/A</v>
      </c>
      <c r="AA1871" s="7" t="e">
        <f>IF(VLOOKUP($A1871,'Concrete Beam Schedule'!$A$2:$Q$2902,AA$2,0)&lt;&gt;K1871,"Beam Revised","")</f>
        <v>#N/A</v>
      </c>
      <c r="AB1871" s="7" t="e">
        <f>IF(VLOOKUP($A1871,'Concrete Beam Schedule'!$A$2:$Q$2902,AB$2,0)&lt;&gt;L1871,"Beam Revised","")</f>
        <v>#N/A</v>
      </c>
      <c r="AC1871" s="7" t="e">
        <f>IF(VLOOKUP($A1871,'Concrete Beam Schedule'!$A$2:$Q$2902,AC$2,0)&lt;&gt;M1871,"Beam Revised","")</f>
        <v>#N/A</v>
      </c>
      <c r="AD1871" s="7" t="e">
        <f>IF(VLOOKUP($A1871,'Concrete Beam Schedule'!$A$2:$Q$2902,AD$2,0)&lt;&gt;N1871,"Beam Revised","")</f>
        <v>#N/A</v>
      </c>
      <c r="AE1871" s="7" t="e">
        <f>IF(VLOOKUP($A1871,'Concrete Beam Schedule'!$A$2:$Q$2902,AE$2,0)&lt;&gt;O1871,"Beam Revised","")</f>
        <v>#N/A</v>
      </c>
    </row>
    <row r="1872" spans="17:31" ht="20.100000000000001" customHeight="1" x14ac:dyDescent="0.25">
      <c r="Q1872" s="7">
        <f t="shared" si="29"/>
        <v>0</v>
      </c>
      <c r="R1872" s="7" t="e">
        <f>IF(VLOOKUP($A1872,'Concrete Beam Schedule'!$A$2:$Q$2902,R$2,0)&lt;&gt;B1872,VLOOKUP($A1872,'Concrete Beam Schedule'!$A$2:$Q$2902,R$2,0),"")</f>
        <v>#N/A</v>
      </c>
      <c r="S1872" s="7" t="e">
        <f>IF(VLOOKUP($A1872,'Concrete Beam Schedule'!$A$2:$Q$2902,S$2,0)&lt;&gt;C1872,VLOOKUP($A1872,'Concrete Beam Schedule'!$A$2:$Q$2902,S$2,0),"")</f>
        <v>#N/A</v>
      </c>
      <c r="T1872" s="7" t="e">
        <f>IF(VLOOKUP($A1872,'Concrete Beam Schedule'!$A$2:$Q$2902,T$2,0)&lt;&gt;D1872,"Beam Revised","")</f>
        <v>#N/A</v>
      </c>
      <c r="U1872" s="7" t="e">
        <f>IF(VLOOKUP($A1872,'Concrete Beam Schedule'!$A$2:$Q$2902,U$2,0)&lt;&gt;E1872,"Beam Revised","")</f>
        <v>#N/A</v>
      </c>
      <c r="V1872" s="7" t="e">
        <f>IF(VLOOKUP($A1872,'Concrete Beam Schedule'!$A$2:$Q$2902,V$2,0)&lt;&gt;F1872,"Beam Revised","")</f>
        <v>#N/A</v>
      </c>
      <c r="W1872" s="7" t="e">
        <f>IF(VLOOKUP($A1872,'Concrete Beam Schedule'!$A$2:$Q$2902,W$2,0)&lt;&gt;G1872,"Beam Revised","")</f>
        <v>#N/A</v>
      </c>
      <c r="X1872" s="7" t="e">
        <f>IF(VLOOKUP($A1872,'Concrete Beam Schedule'!$A$2:$Q$2902,X$2,0)&lt;&gt;H1872,"Beam Revised","")</f>
        <v>#N/A</v>
      </c>
      <c r="Y1872" s="7" t="e">
        <f>IF(VLOOKUP($A1872,'Concrete Beam Schedule'!$A$2:$Q$2902,Y$2,0)&lt;&gt;I1872,"Beam Revised","")</f>
        <v>#N/A</v>
      </c>
      <c r="Z1872" s="7" t="e">
        <f>IF(VLOOKUP($A1872,'Concrete Beam Schedule'!$A$2:$Q$2902,Z$2,0)&lt;&gt;J1872,"Beam Revised","")</f>
        <v>#N/A</v>
      </c>
      <c r="AA1872" s="7" t="e">
        <f>IF(VLOOKUP($A1872,'Concrete Beam Schedule'!$A$2:$Q$2902,AA$2,0)&lt;&gt;K1872,"Beam Revised","")</f>
        <v>#N/A</v>
      </c>
      <c r="AB1872" s="7" t="e">
        <f>IF(VLOOKUP($A1872,'Concrete Beam Schedule'!$A$2:$Q$2902,AB$2,0)&lt;&gt;L1872,"Beam Revised","")</f>
        <v>#N/A</v>
      </c>
      <c r="AC1872" s="7" t="e">
        <f>IF(VLOOKUP($A1872,'Concrete Beam Schedule'!$A$2:$Q$2902,AC$2,0)&lt;&gt;M1872,"Beam Revised","")</f>
        <v>#N/A</v>
      </c>
      <c r="AD1872" s="7" t="e">
        <f>IF(VLOOKUP($A1872,'Concrete Beam Schedule'!$A$2:$Q$2902,AD$2,0)&lt;&gt;N1872,"Beam Revised","")</f>
        <v>#N/A</v>
      </c>
      <c r="AE1872" s="7" t="e">
        <f>IF(VLOOKUP($A1872,'Concrete Beam Schedule'!$A$2:$Q$2902,AE$2,0)&lt;&gt;O1872,"Beam Revised","")</f>
        <v>#N/A</v>
      </c>
    </row>
    <row r="1873" spans="17:31" ht="20.100000000000001" customHeight="1" x14ac:dyDescent="0.25">
      <c r="Q1873" s="7">
        <f t="shared" si="29"/>
        <v>0</v>
      </c>
      <c r="R1873" s="7" t="e">
        <f>IF(VLOOKUP($A1873,'Concrete Beam Schedule'!$A$2:$Q$2902,R$2,0)&lt;&gt;B1873,VLOOKUP($A1873,'Concrete Beam Schedule'!$A$2:$Q$2902,R$2,0),"")</f>
        <v>#N/A</v>
      </c>
      <c r="S1873" s="7" t="e">
        <f>IF(VLOOKUP($A1873,'Concrete Beam Schedule'!$A$2:$Q$2902,S$2,0)&lt;&gt;C1873,VLOOKUP($A1873,'Concrete Beam Schedule'!$A$2:$Q$2902,S$2,0),"")</f>
        <v>#N/A</v>
      </c>
      <c r="T1873" s="7" t="e">
        <f>IF(VLOOKUP($A1873,'Concrete Beam Schedule'!$A$2:$Q$2902,T$2,0)&lt;&gt;D1873,"Beam Revised","")</f>
        <v>#N/A</v>
      </c>
      <c r="U1873" s="7" t="e">
        <f>IF(VLOOKUP($A1873,'Concrete Beam Schedule'!$A$2:$Q$2902,U$2,0)&lt;&gt;E1873,"Beam Revised","")</f>
        <v>#N/A</v>
      </c>
      <c r="V1873" s="7" t="e">
        <f>IF(VLOOKUP($A1873,'Concrete Beam Schedule'!$A$2:$Q$2902,V$2,0)&lt;&gt;F1873,"Beam Revised","")</f>
        <v>#N/A</v>
      </c>
      <c r="W1873" s="7" t="e">
        <f>IF(VLOOKUP($A1873,'Concrete Beam Schedule'!$A$2:$Q$2902,W$2,0)&lt;&gt;G1873,"Beam Revised","")</f>
        <v>#N/A</v>
      </c>
      <c r="X1873" s="7" t="e">
        <f>IF(VLOOKUP($A1873,'Concrete Beam Schedule'!$A$2:$Q$2902,X$2,0)&lt;&gt;H1873,"Beam Revised","")</f>
        <v>#N/A</v>
      </c>
      <c r="Y1873" s="7" t="e">
        <f>IF(VLOOKUP($A1873,'Concrete Beam Schedule'!$A$2:$Q$2902,Y$2,0)&lt;&gt;I1873,"Beam Revised","")</f>
        <v>#N/A</v>
      </c>
      <c r="Z1873" s="7" t="e">
        <f>IF(VLOOKUP($A1873,'Concrete Beam Schedule'!$A$2:$Q$2902,Z$2,0)&lt;&gt;J1873,"Beam Revised","")</f>
        <v>#N/A</v>
      </c>
      <c r="AA1873" s="7" t="e">
        <f>IF(VLOOKUP($A1873,'Concrete Beam Schedule'!$A$2:$Q$2902,AA$2,0)&lt;&gt;K1873,"Beam Revised","")</f>
        <v>#N/A</v>
      </c>
      <c r="AB1873" s="7" t="e">
        <f>IF(VLOOKUP($A1873,'Concrete Beam Schedule'!$A$2:$Q$2902,AB$2,0)&lt;&gt;L1873,"Beam Revised","")</f>
        <v>#N/A</v>
      </c>
      <c r="AC1873" s="7" t="e">
        <f>IF(VLOOKUP($A1873,'Concrete Beam Schedule'!$A$2:$Q$2902,AC$2,0)&lt;&gt;M1873,"Beam Revised","")</f>
        <v>#N/A</v>
      </c>
      <c r="AD1873" s="7" t="e">
        <f>IF(VLOOKUP($A1873,'Concrete Beam Schedule'!$A$2:$Q$2902,AD$2,0)&lt;&gt;N1873,"Beam Revised","")</f>
        <v>#N/A</v>
      </c>
      <c r="AE1873" s="7" t="e">
        <f>IF(VLOOKUP($A1873,'Concrete Beam Schedule'!$A$2:$Q$2902,AE$2,0)&lt;&gt;O1873,"Beam Revised","")</f>
        <v>#N/A</v>
      </c>
    </row>
    <row r="1874" spans="17:31" ht="20.100000000000001" customHeight="1" x14ac:dyDescent="0.25">
      <c r="Q1874" s="7">
        <f t="shared" si="29"/>
        <v>0</v>
      </c>
      <c r="R1874" s="7" t="e">
        <f>IF(VLOOKUP($A1874,'Concrete Beam Schedule'!$A$2:$Q$2902,R$2,0)&lt;&gt;B1874,VLOOKUP($A1874,'Concrete Beam Schedule'!$A$2:$Q$2902,R$2,0),"")</f>
        <v>#N/A</v>
      </c>
      <c r="S1874" s="7" t="e">
        <f>IF(VLOOKUP($A1874,'Concrete Beam Schedule'!$A$2:$Q$2902,S$2,0)&lt;&gt;C1874,VLOOKUP($A1874,'Concrete Beam Schedule'!$A$2:$Q$2902,S$2,0),"")</f>
        <v>#N/A</v>
      </c>
      <c r="T1874" s="7" t="e">
        <f>IF(VLOOKUP($A1874,'Concrete Beam Schedule'!$A$2:$Q$2902,T$2,0)&lt;&gt;D1874,"Beam Revised","")</f>
        <v>#N/A</v>
      </c>
      <c r="U1874" s="7" t="e">
        <f>IF(VLOOKUP($A1874,'Concrete Beam Schedule'!$A$2:$Q$2902,U$2,0)&lt;&gt;E1874,"Beam Revised","")</f>
        <v>#N/A</v>
      </c>
      <c r="V1874" s="7" t="e">
        <f>IF(VLOOKUP($A1874,'Concrete Beam Schedule'!$A$2:$Q$2902,V$2,0)&lt;&gt;F1874,"Beam Revised","")</f>
        <v>#N/A</v>
      </c>
      <c r="W1874" s="7" t="e">
        <f>IF(VLOOKUP($A1874,'Concrete Beam Schedule'!$A$2:$Q$2902,W$2,0)&lt;&gt;G1874,"Beam Revised","")</f>
        <v>#N/A</v>
      </c>
      <c r="X1874" s="7" t="e">
        <f>IF(VLOOKUP($A1874,'Concrete Beam Schedule'!$A$2:$Q$2902,X$2,0)&lt;&gt;H1874,"Beam Revised","")</f>
        <v>#N/A</v>
      </c>
      <c r="Y1874" s="7" t="e">
        <f>IF(VLOOKUP($A1874,'Concrete Beam Schedule'!$A$2:$Q$2902,Y$2,0)&lt;&gt;I1874,"Beam Revised","")</f>
        <v>#N/A</v>
      </c>
      <c r="Z1874" s="7" t="e">
        <f>IF(VLOOKUP($A1874,'Concrete Beam Schedule'!$A$2:$Q$2902,Z$2,0)&lt;&gt;J1874,"Beam Revised","")</f>
        <v>#N/A</v>
      </c>
      <c r="AA1874" s="7" t="e">
        <f>IF(VLOOKUP($A1874,'Concrete Beam Schedule'!$A$2:$Q$2902,AA$2,0)&lt;&gt;K1874,"Beam Revised","")</f>
        <v>#N/A</v>
      </c>
      <c r="AB1874" s="7" t="e">
        <f>IF(VLOOKUP($A1874,'Concrete Beam Schedule'!$A$2:$Q$2902,AB$2,0)&lt;&gt;L1874,"Beam Revised","")</f>
        <v>#N/A</v>
      </c>
      <c r="AC1874" s="7" t="e">
        <f>IF(VLOOKUP($A1874,'Concrete Beam Schedule'!$A$2:$Q$2902,AC$2,0)&lt;&gt;M1874,"Beam Revised","")</f>
        <v>#N/A</v>
      </c>
      <c r="AD1874" s="7" t="e">
        <f>IF(VLOOKUP($A1874,'Concrete Beam Schedule'!$A$2:$Q$2902,AD$2,0)&lt;&gt;N1874,"Beam Revised","")</f>
        <v>#N/A</v>
      </c>
      <c r="AE1874" s="7" t="e">
        <f>IF(VLOOKUP($A1874,'Concrete Beam Schedule'!$A$2:$Q$2902,AE$2,0)&lt;&gt;O1874,"Beam Revised","")</f>
        <v>#N/A</v>
      </c>
    </row>
    <row r="1875" spans="17:31" ht="20.100000000000001" customHeight="1" x14ac:dyDescent="0.25">
      <c r="Q1875" s="7">
        <f t="shared" si="29"/>
        <v>0</v>
      </c>
      <c r="R1875" s="7" t="e">
        <f>IF(VLOOKUP($A1875,'Concrete Beam Schedule'!$A$2:$Q$2902,R$2,0)&lt;&gt;B1875,VLOOKUP($A1875,'Concrete Beam Schedule'!$A$2:$Q$2902,R$2,0),"")</f>
        <v>#N/A</v>
      </c>
      <c r="S1875" s="7" t="e">
        <f>IF(VLOOKUP($A1875,'Concrete Beam Schedule'!$A$2:$Q$2902,S$2,0)&lt;&gt;C1875,VLOOKUP($A1875,'Concrete Beam Schedule'!$A$2:$Q$2902,S$2,0),"")</f>
        <v>#N/A</v>
      </c>
      <c r="T1875" s="7" t="e">
        <f>IF(VLOOKUP($A1875,'Concrete Beam Schedule'!$A$2:$Q$2902,T$2,0)&lt;&gt;D1875,"Beam Revised","")</f>
        <v>#N/A</v>
      </c>
      <c r="U1875" s="7" t="e">
        <f>IF(VLOOKUP($A1875,'Concrete Beam Schedule'!$A$2:$Q$2902,U$2,0)&lt;&gt;E1875,"Beam Revised","")</f>
        <v>#N/A</v>
      </c>
      <c r="V1875" s="7" t="e">
        <f>IF(VLOOKUP($A1875,'Concrete Beam Schedule'!$A$2:$Q$2902,V$2,0)&lt;&gt;F1875,"Beam Revised","")</f>
        <v>#N/A</v>
      </c>
      <c r="W1875" s="7" t="e">
        <f>IF(VLOOKUP($A1875,'Concrete Beam Schedule'!$A$2:$Q$2902,W$2,0)&lt;&gt;G1875,"Beam Revised","")</f>
        <v>#N/A</v>
      </c>
      <c r="X1875" s="7" t="e">
        <f>IF(VLOOKUP($A1875,'Concrete Beam Schedule'!$A$2:$Q$2902,X$2,0)&lt;&gt;H1875,"Beam Revised","")</f>
        <v>#N/A</v>
      </c>
      <c r="Y1875" s="7" t="e">
        <f>IF(VLOOKUP($A1875,'Concrete Beam Schedule'!$A$2:$Q$2902,Y$2,0)&lt;&gt;I1875,"Beam Revised","")</f>
        <v>#N/A</v>
      </c>
      <c r="Z1875" s="7" t="e">
        <f>IF(VLOOKUP($A1875,'Concrete Beam Schedule'!$A$2:$Q$2902,Z$2,0)&lt;&gt;J1875,"Beam Revised","")</f>
        <v>#N/A</v>
      </c>
      <c r="AA1875" s="7" t="e">
        <f>IF(VLOOKUP($A1875,'Concrete Beam Schedule'!$A$2:$Q$2902,AA$2,0)&lt;&gt;K1875,"Beam Revised","")</f>
        <v>#N/A</v>
      </c>
      <c r="AB1875" s="7" t="e">
        <f>IF(VLOOKUP($A1875,'Concrete Beam Schedule'!$A$2:$Q$2902,AB$2,0)&lt;&gt;L1875,"Beam Revised","")</f>
        <v>#N/A</v>
      </c>
      <c r="AC1875" s="7" t="e">
        <f>IF(VLOOKUP($A1875,'Concrete Beam Schedule'!$A$2:$Q$2902,AC$2,0)&lt;&gt;M1875,"Beam Revised","")</f>
        <v>#N/A</v>
      </c>
      <c r="AD1875" s="7" t="e">
        <f>IF(VLOOKUP($A1875,'Concrete Beam Schedule'!$A$2:$Q$2902,AD$2,0)&lt;&gt;N1875,"Beam Revised","")</f>
        <v>#N/A</v>
      </c>
      <c r="AE1875" s="7" t="e">
        <f>IF(VLOOKUP($A1875,'Concrete Beam Schedule'!$A$2:$Q$2902,AE$2,0)&lt;&gt;O1875,"Beam Revised","")</f>
        <v>#N/A</v>
      </c>
    </row>
    <row r="1876" spans="17:31" ht="20.100000000000001" customHeight="1" x14ac:dyDescent="0.25">
      <c r="Q1876" s="7">
        <f t="shared" si="29"/>
        <v>0</v>
      </c>
      <c r="R1876" s="7" t="e">
        <f>IF(VLOOKUP($A1876,'Concrete Beam Schedule'!$A$2:$Q$2902,R$2,0)&lt;&gt;B1876,VLOOKUP($A1876,'Concrete Beam Schedule'!$A$2:$Q$2902,R$2,0),"")</f>
        <v>#N/A</v>
      </c>
      <c r="S1876" s="7" t="e">
        <f>IF(VLOOKUP($A1876,'Concrete Beam Schedule'!$A$2:$Q$2902,S$2,0)&lt;&gt;C1876,VLOOKUP($A1876,'Concrete Beam Schedule'!$A$2:$Q$2902,S$2,0),"")</f>
        <v>#N/A</v>
      </c>
      <c r="T1876" s="7" t="e">
        <f>IF(VLOOKUP($A1876,'Concrete Beam Schedule'!$A$2:$Q$2902,T$2,0)&lt;&gt;D1876,"Beam Revised","")</f>
        <v>#N/A</v>
      </c>
      <c r="U1876" s="7" t="e">
        <f>IF(VLOOKUP($A1876,'Concrete Beam Schedule'!$A$2:$Q$2902,U$2,0)&lt;&gt;E1876,"Beam Revised","")</f>
        <v>#N/A</v>
      </c>
      <c r="V1876" s="7" t="e">
        <f>IF(VLOOKUP($A1876,'Concrete Beam Schedule'!$A$2:$Q$2902,V$2,0)&lt;&gt;F1876,"Beam Revised","")</f>
        <v>#N/A</v>
      </c>
      <c r="W1876" s="7" t="e">
        <f>IF(VLOOKUP($A1876,'Concrete Beam Schedule'!$A$2:$Q$2902,W$2,0)&lt;&gt;G1876,"Beam Revised","")</f>
        <v>#N/A</v>
      </c>
      <c r="X1876" s="7" t="e">
        <f>IF(VLOOKUP($A1876,'Concrete Beam Schedule'!$A$2:$Q$2902,X$2,0)&lt;&gt;H1876,"Beam Revised","")</f>
        <v>#N/A</v>
      </c>
      <c r="Y1876" s="7" t="e">
        <f>IF(VLOOKUP($A1876,'Concrete Beam Schedule'!$A$2:$Q$2902,Y$2,0)&lt;&gt;I1876,"Beam Revised","")</f>
        <v>#N/A</v>
      </c>
      <c r="Z1876" s="7" t="e">
        <f>IF(VLOOKUP($A1876,'Concrete Beam Schedule'!$A$2:$Q$2902,Z$2,0)&lt;&gt;J1876,"Beam Revised","")</f>
        <v>#N/A</v>
      </c>
      <c r="AA1876" s="7" t="e">
        <f>IF(VLOOKUP($A1876,'Concrete Beam Schedule'!$A$2:$Q$2902,AA$2,0)&lt;&gt;K1876,"Beam Revised","")</f>
        <v>#N/A</v>
      </c>
      <c r="AB1876" s="7" t="e">
        <f>IF(VLOOKUP($A1876,'Concrete Beam Schedule'!$A$2:$Q$2902,AB$2,0)&lt;&gt;L1876,"Beam Revised","")</f>
        <v>#N/A</v>
      </c>
      <c r="AC1876" s="7" t="e">
        <f>IF(VLOOKUP($A1876,'Concrete Beam Schedule'!$A$2:$Q$2902,AC$2,0)&lt;&gt;M1876,"Beam Revised","")</f>
        <v>#N/A</v>
      </c>
      <c r="AD1876" s="7" t="e">
        <f>IF(VLOOKUP($A1876,'Concrete Beam Schedule'!$A$2:$Q$2902,AD$2,0)&lt;&gt;N1876,"Beam Revised","")</f>
        <v>#N/A</v>
      </c>
      <c r="AE1876" s="7" t="e">
        <f>IF(VLOOKUP($A1876,'Concrete Beam Schedule'!$A$2:$Q$2902,AE$2,0)&lt;&gt;O1876,"Beam Revised","")</f>
        <v>#N/A</v>
      </c>
    </row>
    <row r="1877" spans="17:31" ht="20.100000000000001" customHeight="1" x14ac:dyDescent="0.25">
      <c r="Q1877" s="7">
        <f t="shared" si="29"/>
        <v>0</v>
      </c>
      <c r="R1877" s="7" t="e">
        <f>IF(VLOOKUP($A1877,'Concrete Beam Schedule'!$A$2:$Q$2902,R$2,0)&lt;&gt;B1877,VLOOKUP($A1877,'Concrete Beam Schedule'!$A$2:$Q$2902,R$2,0),"")</f>
        <v>#N/A</v>
      </c>
      <c r="S1877" s="7" t="e">
        <f>IF(VLOOKUP($A1877,'Concrete Beam Schedule'!$A$2:$Q$2902,S$2,0)&lt;&gt;C1877,VLOOKUP($A1877,'Concrete Beam Schedule'!$A$2:$Q$2902,S$2,0),"")</f>
        <v>#N/A</v>
      </c>
      <c r="T1877" s="7" t="e">
        <f>IF(VLOOKUP($A1877,'Concrete Beam Schedule'!$A$2:$Q$2902,T$2,0)&lt;&gt;D1877,"Beam Revised","")</f>
        <v>#N/A</v>
      </c>
      <c r="U1877" s="7" t="e">
        <f>IF(VLOOKUP($A1877,'Concrete Beam Schedule'!$A$2:$Q$2902,U$2,0)&lt;&gt;E1877,"Beam Revised","")</f>
        <v>#N/A</v>
      </c>
      <c r="V1877" s="7" t="e">
        <f>IF(VLOOKUP($A1877,'Concrete Beam Schedule'!$A$2:$Q$2902,V$2,0)&lt;&gt;F1877,"Beam Revised","")</f>
        <v>#N/A</v>
      </c>
      <c r="W1877" s="7" t="e">
        <f>IF(VLOOKUP($A1877,'Concrete Beam Schedule'!$A$2:$Q$2902,W$2,0)&lt;&gt;G1877,"Beam Revised","")</f>
        <v>#N/A</v>
      </c>
      <c r="X1877" s="7" t="e">
        <f>IF(VLOOKUP($A1877,'Concrete Beam Schedule'!$A$2:$Q$2902,X$2,0)&lt;&gt;H1877,"Beam Revised","")</f>
        <v>#N/A</v>
      </c>
      <c r="Y1877" s="7" t="e">
        <f>IF(VLOOKUP($A1877,'Concrete Beam Schedule'!$A$2:$Q$2902,Y$2,0)&lt;&gt;I1877,"Beam Revised","")</f>
        <v>#N/A</v>
      </c>
      <c r="Z1877" s="7" t="e">
        <f>IF(VLOOKUP($A1877,'Concrete Beam Schedule'!$A$2:$Q$2902,Z$2,0)&lt;&gt;J1877,"Beam Revised","")</f>
        <v>#N/A</v>
      </c>
      <c r="AA1877" s="7" t="e">
        <f>IF(VLOOKUP($A1877,'Concrete Beam Schedule'!$A$2:$Q$2902,AA$2,0)&lt;&gt;K1877,"Beam Revised","")</f>
        <v>#N/A</v>
      </c>
      <c r="AB1877" s="7" t="e">
        <f>IF(VLOOKUP($A1877,'Concrete Beam Schedule'!$A$2:$Q$2902,AB$2,0)&lt;&gt;L1877,"Beam Revised","")</f>
        <v>#N/A</v>
      </c>
      <c r="AC1877" s="7" t="e">
        <f>IF(VLOOKUP($A1877,'Concrete Beam Schedule'!$A$2:$Q$2902,AC$2,0)&lt;&gt;M1877,"Beam Revised","")</f>
        <v>#N/A</v>
      </c>
      <c r="AD1877" s="7" t="e">
        <f>IF(VLOOKUP($A1877,'Concrete Beam Schedule'!$A$2:$Q$2902,AD$2,0)&lt;&gt;N1877,"Beam Revised","")</f>
        <v>#N/A</v>
      </c>
      <c r="AE1877" s="7" t="e">
        <f>IF(VLOOKUP($A1877,'Concrete Beam Schedule'!$A$2:$Q$2902,AE$2,0)&lt;&gt;O1877,"Beam Revised","")</f>
        <v>#N/A</v>
      </c>
    </row>
    <row r="1878" spans="17:31" ht="20.100000000000001" customHeight="1" x14ac:dyDescent="0.25">
      <c r="Q1878" s="7">
        <f t="shared" si="29"/>
        <v>0</v>
      </c>
      <c r="R1878" s="7" t="e">
        <f>IF(VLOOKUP($A1878,'Concrete Beam Schedule'!$A$2:$Q$2902,R$2,0)&lt;&gt;B1878,VLOOKUP($A1878,'Concrete Beam Schedule'!$A$2:$Q$2902,R$2,0),"")</f>
        <v>#N/A</v>
      </c>
      <c r="S1878" s="7" t="e">
        <f>IF(VLOOKUP($A1878,'Concrete Beam Schedule'!$A$2:$Q$2902,S$2,0)&lt;&gt;C1878,VLOOKUP($A1878,'Concrete Beam Schedule'!$A$2:$Q$2902,S$2,0),"")</f>
        <v>#N/A</v>
      </c>
      <c r="T1878" s="7" t="e">
        <f>IF(VLOOKUP($A1878,'Concrete Beam Schedule'!$A$2:$Q$2902,T$2,0)&lt;&gt;D1878,"Beam Revised","")</f>
        <v>#N/A</v>
      </c>
      <c r="U1878" s="7" t="e">
        <f>IF(VLOOKUP($A1878,'Concrete Beam Schedule'!$A$2:$Q$2902,U$2,0)&lt;&gt;E1878,"Beam Revised","")</f>
        <v>#N/A</v>
      </c>
      <c r="V1878" s="7" t="e">
        <f>IF(VLOOKUP($A1878,'Concrete Beam Schedule'!$A$2:$Q$2902,V$2,0)&lt;&gt;F1878,"Beam Revised","")</f>
        <v>#N/A</v>
      </c>
      <c r="W1878" s="7" t="e">
        <f>IF(VLOOKUP($A1878,'Concrete Beam Schedule'!$A$2:$Q$2902,W$2,0)&lt;&gt;G1878,"Beam Revised","")</f>
        <v>#N/A</v>
      </c>
      <c r="X1878" s="7" t="e">
        <f>IF(VLOOKUP($A1878,'Concrete Beam Schedule'!$A$2:$Q$2902,X$2,0)&lt;&gt;H1878,"Beam Revised","")</f>
        <v>#N/A</v>
      </c>
      <c r="Y1878" s="7" t="e">
        <f>IF(VLOOKUP($A1878,'Concrete Beam Schedule'!$A$2:$Q$2902,Y$2,0)&lt;&gt;I1878,"Beam Revised","")</f>
        <v>#N/A</v>
      </c>
      <c r="Z1878" s="7" t="e">
        <f>IF(VLOOKUP($A1878,'Concrete Beam Schedule'!$A$2:$Q$2902,Z$2,0)&lt;&gt;J1878,"Beam Revised","")</f>
        <v>#N/A</v>
      </c>
      <c r="AA1878" s="7" t="e">
        <f>IF(VLOOKUP($A1878,'Concrete Beam Schedule'!$A$2:$Q$2902,AA$2,0)&lt;&gt;K1878,"Beam Revised","")</f>
        <v>#N/A</v>
      </c>
      <c r="AB1878" s="7" t="e">
        <f>IF(VLOOKUP($A1878,'Concrete Beam Schedule'!$A$2:$Q$2902,AB$2,0)&lt;&gt;L1878,"Beam Revised","")</f>
        <v>#N/A</v>
      </c>
      <c r="AC1878" s="7" t="e">
        <f>IF(VLOOKUP($A1878,'Concrete Beam Schedule'!$A$2:$Q$2902,AC$2,0)&lt;&gt;M1878,"Beam Revised","")</f>
        <v>#N/A</v>
      </c>
      <c r="AD1878" s="7" t="e">
        <f>IF(VLOOKUP($A1878,'Concrete Beam Schedule'!$A$2:$Q$2902,AD$2,0)&lt;&gt;N1878,"Beam Revised","")</f>
        <v>#N/A</v>
      </c>
      <c r="AE1878" s="7" t="e">
        <f>IF(VLOOKUP($A1878,'Concrete Beam Schedule'!$A$2:$Q$2902,AE$2,0)&lt;&gt;O1878,"Beam Revised","")</f>
        <v>#N/A</v>
      </c>
    </row>
    <row r="1879" spans="17:31" ht="20.100000000000001" customHeight="1" x14ac:dyDescent="0.25">
      <c r="Q1879" s="7">
        <f t="shared" si="29"/>
        <v>0</v>
      </c>
      <c r="R1879" s="7" t="e">
        <f>IF(VLOOKUP($A1879,'Concrete Beam Schedule'!$A$2:$Q$2902,R$2,0)&lt;&gt;B1879,VLOOKUP($A1879,'Concrete Beam Schedule'!$A$2:$Q$2902,R$2,0),"")</f>
        <v>#N/A</v>
      </c>
      <c r="S1879" s="7" t="e">
        <f>IF(VLOOKUP($A1879,'Concrete Beam Schedule'!$A$2:$Q$2902,S$2,0)&lt;&gt;C1879,VLOOKUP($A1879,'Concrete Beam Schedule'!$A$2:$Q$2902,S$2,0),"")</f>
        <v>#N/A</v>
      </c>
      <c r="T1879" s="7" t="e">
        <f>IF(VLOOKUP($A1879,'Concrete Beam Schedule'!$A$2:$Q$2902,T$2,0)&lt;&gt;D1879,"Beam Revised","")</f>
        <v>#N/A</v>
      </c>
      <c r="U1879" s="7" t="e">
        <f>IF(VLOOKUP($A1879,'Concrete Beam Schedule'!$A$2:$Q$2902,U$2,0)&lt;&gt;E1879,"Beam Revised","")</f>
        <v>#N/A</v>
      </c>
      <c r="V1879" s="7" t="e">
        <f>IF(VLOOKUP($A1879,'Concrete Beam Schedule'!$A$2:$Q$2902,V$2,0)&lt;&gt;F1879,"Beam Revised","")</f>
        <v>#N/A</v>
      </c>
      <c r="W1879" s="7" t="e">
        <f>IF(VLOOKUP($A1879,'Concrete Beam Schedule'!$A$2:$Q$2902,W$2,0)&lt;&gt;G1879,"Beam Revised","")</f>
        <v>#N/A</v>
      </c>
      <c r="X1879" s="7" t="e">
        <f>IF(VLOOKUP($A1879,'Concrete Beam Schedule'!$A$2:$Q$2902,X$2,0)&lt;&gt;H1879,"Beam Revised","")</f>
        <v>#N/A</v>
      </c>
      <c r="Y1879" s="7" t="e">
        <f>IF(VLOOKUP($A1879,'Concrete Beam Schedule'!$A$2:$Q$2902,Y$2,0)&lt;&gt;I1879,"Beam Revised","")</f>
        <v>#N/A</v>
      </c>
      <c r="Z1879" s="7" t="e">
        <f>IF(VLOOKUP($A1879,'Concrete Beam Schedule'!$A$2:$Q$2902,Z$2,0)&lt;&gt;J1879,"Beam Revised","")</f>
        <v>#N/A</v>
      </c>
      <c r="AA1879" s="7" t="e">
        <f>IF(VLOOKUP($A1879,'Concrete Beam Schedule'!$A$2:$Q$2902,AA$2,0)&lt;&gt;K1879,"Beam Revised","")</f>
        <v>#N/A</v>
      </c>
      <c r="AB1879" s="7" t="e">
        <f>IF(VLOOKUP($A1879,'Concrete Beam Schedule'!$A$2:$Q$2902,AB$2,0)&lt;&gt;L1879,"Beam Revised","")</f>
        <v>#N/A</v>
      </c>
      <c r="AC1879" s="7" t="e">
        <f>IF(VLOOKUP($A1879,'Concrete Beam Schedule'!$A$2:$Q$2902,AC$2,0)&lt;&gt;M1879,"Beam Revised","")</f>
        <v>#N/A</v>
      </c>
      <c r="AD1879" s="7" t="e">
        <f>IF(VLOOKUP($A1879,'Concrete Beam Schedule'!$A$2:$Q$2902,AD$2,0)&lt;&gt;N1879,"Beam Revised","")</f>
        <v>#N/A</v>
      </c>
      <c r="AE1879" s="7" t="e">
        <f>IF(VLOOKUP($A1879,'Concrete Beam Schedule'!$A$2:$Q$2902,AE$2,0)&lt;&gt;O1879,"Beam Revised","")</f>
        <v>#N/A</v>
      </c>
    </row>
    <row r="1880" spans="17:31" ht="20.100000000000001" customHeight="1" x14ac:dyDescent="0.25">
      <c r="Q1880" s="7">
        <f t="shared" si="29"/>
        <v>0</v>
      </c>
      <c r="R1880" s="7" t="e">
        <f>IF(VLOOKUP($A1880,'Concrete Beam Schedule'!$A$2:$Q$2902,R$2,0)&lt;&gt;B1880,VLOOKUP($A1880,'Concrete Beam Schedule'!$A$2:$Q$2902,R$2,0),"")</f>
        <v>#N/A</v>
      </c>
      <c r="S1880" s="7" t="e">
        <f>IF(VLOOKUP($A1880,'Concrete Beam Schedule'!$A$2:$Q$2902,S$2,0)&lt;&gt;C1880,VLOOKUP($A1880,'Concrete Beam Schedule'!$A$2:$Q$2902,S$2,0),"")</f>
        <v>#N/A</v>
      </c>
      <c r="T1880" s="7" t="e">
        <f>IF(VLOOKUP($A1880,'Concrete Beam Schedule'!$A$2:$Q$2902,T$2,0)&lt;&gt;D1880,"Beam Revised","")</f>
        <v>#N/A</v>
      </c>
      <c r="U1880" s="7" t="e">
        <f>IF(VLOOKUP($A1880,'Concrete Beam Schedule'!$A$2:$Q$2902,U$2,0)&lt;&gt;E1880,"Beam Revised","")</f>
        <v>#N/A</v>
      </c>
      <c r="V1880" s="7" t="e">
        <f>IF(VLOOKUP($A1880,'Concrete Beam Schedule'!$A$2:$Q$2902,V$2,0)&lt;&gt;F1880,"Beam Revised","")</f>
        <v>#N/A</v>
      </c>
      <c r="W1880" s="7" t="e">
        <f>IF(VLOOKUP($A1880,'Concrete Beam Schedule'!$A$2:$Q$2902,W$2,0)&lt;&gt;G1880,"Beam Revised","")</f>
        <v>#N/A</v>
      </c>
      <c r="X1880" s="7" t="e">
        <f>IF(VLOOKUP($A1880,'Concrete Beam Schedule'!$A$2:$Q$2902,X$2,0)&lt;&gt;H1880,"Beam Revised","")</f>
        <v>#N/A</v>
      </c>
      <c r="Y1880" s="7" t="e">
        <f>IF(VLOOKUP($A1880,'Concrete Beam Schedule'!$A$2:$Q$2902,Y$2,0)&lt;&gt;I1880,"Beam Revised","")</f>
        <v>#N/A</v>
      </c>
      <c r="Z1880" s="7" t="e">
        <f>IF(VLOOKUP($A1880,'Concrete Beam Schedule'!$A$2:$Q$2902,Z$2,0)&lt;&gt;J1880,"Beam Revised","")</f>
        <v>#N/A</v>
      </c>
      <c r="AA1880" s="7" t="e">
        <f>IF(VLOOKUP($A1880,'Concrete Beam Schedule'!$A$2:$Q$2902,AA$2,0)&lt;&gt;K1880,"Beam Revised","")</f>
        <v>#N/A</v>
      </c>
      <c r="AB1880" s="7" t="e">
        <f>IF(VLOOKUP($A1880,'Concrete Beam Schedule'!$A$2:$Q$2902,AB$2,0)&lt;&gt;L1880,"Beam Revised","")</f>
        <v>#N/A</v>
      </c>
      <c r="AC1880" s="7" t="e">
        <f>IF(VLOOKUP($A1880,'Concrete Beam Schedule'!$A$2:$Q$2902,AC$2,0)&lt;&gt;M1880,"Beam Revised","")</f>
        <v>#N/A</v>
      </c>
      <c r="AD1880" s="7" t="e">
        <f>IF(VLOOKUP($A1880,'Concrete Beam Schedule'!$A$2:$Q$2902,AD$2,0)&lt;&gt;N1880,"Beam Revised","")</f>
        <v>#N/A</v>
      </c>
      <c r="AE1880" s="7" t="e">
        <f>IF(VLOOKUP($A1880,'Concrete Beam Schedule'!$A$2:$Q$2902,AE$2,0)&lt;&gt;O1880,"Beam Revised","")</f>
        <v>#N/A</v>
      </c>
    </row>
    <row r="1881" spans="17:31" ht="20.100000000000001" customHeight="1" x14ac:dyDescent="0.25">
      <c r="Q1881" s="7">
        <f t="shared" si="29"/>
        <v>0</v>
      </c>
      <c r="R1881" s="7" t="e">
        <f>IF(VLOOKUP($A1881,'Concrete Beam Schedule'!$A$2:$Q$2902,R$2,0)&lt;&gt;B1881,VLOOKUP($A1881,'Concrete Beam Schedule'!$A$2:$Q$2902,R$2,0),"")</f>
        <v>#N/A</v>
      </c>
      <c r="S1881" s="7" t="e">
        <f>IF(VLOOKUP($A1881,'Concrete Beam Schedule'!$A$2:$Q$2902,S$2,0)&lt;&gt;C1881,VLOOKUP($A1881,'Concrete Beam Schedule'!$A$2:$Q$2902,S$2,0),"")</f>
        <v>#N/A</v>
      </c>
      <c r="T1881" s="7" t="e">
        <f>IF(VLOOKUP($A1881,'Concrete Beam Schedule'!$A$2:$Q$2902,T$2,0)&lt;&gt;D1881,"Beam Revised","")</f>
        <v>#N/A</v>
      </c>
      <c r="U1881" s="7" t="e">
        <f>IF(VLOOKUP($A1881,'Concrete Beam Schedule'!$A$2:$Q$2902,U$2,0)&lt;&gt;E1881,"Beam Revised","")</f>
        <v>#N/A</v>
      </c>
      <c r="V1881" s="7" t="e">
        <f>IF(VLOOKUP($A1881,'Concrete Beam Schedule'!$A$2:$Q$2902,V$2,0)&lt;&gt;F1881,"Beam Revised","")</f>
        <v>#N/A</v>
      </c>
      <c r="W1881" s="7" t="e">
        <f>IF(VLOOKUP($A1881,'Concrete Beam Schedule'!$A$2:$Q$2902,W$2,0)&lt;&gt;G1881,"Beam Revised","")</f>
        <v>#N/A</v>
      </c>
      <c r="X1881" s="7" t="e">
        <f>IF(VLOOKUP($A1881,'Concrete Beam Schedule'!$A$2:$Q$2902,X$2,0)&lt;&gt;H1881,"Beam Revised","")</f>
        <v>#N/A</v>
      </c>
      <c r="Y1881" s="7" t="e">
        <f>IF(VLOOKUP($A1881,'Concrete Beam Schedule'!$A$2:$Q$2902,Y$2,0)&lt;&gt;I1881,"Beam Revised","")</f>
        <v>#N/A</v>
      </c>
      <c r="Z1881" s="7" t="e">
        <f>IF(VLOOKUP($A1881,'Concrete Beam Schedule'!$A$2:$Q$2902,Z$2,0)&lt;&gt;J1881,"Beam Revised","")</f>
        <v>#N/A</v>
      </c>
      <c r="AA1881" s="7" t="e">
        <f>IF(VLOOKUP($A1881,'Concrete Beam Schedule'!$A$2:$Q$2902,AA$2,0)&lt;&gt;K1881,"Beam Revised","")</f>
        <v>#N/A</v>
      </c>
      <c r="AB1881" s="7" t="e">
        <f>IF(VLOOKUP($A1881,'Concrete Beam Schedule'!$A$2:$Q$2902,AB$2,0)&lt;&gt;L1881,"Beam Revised","")</f>
        <v>#N/A</v>
      </c>
      <c r="AC1881" s="7" t="e">
        <f>IF(VLOOKUP($A1881,'Concrete Beam Schedule'!$A$2:$Q$2902,AC$2,0)&lt;&gt;M1881,"Beam Revised","")</f>
        <v>#N/A</v>
      </c>
      <c r="AD1881" s="7" t="e">
        <f>IF(VLOOKUP($A1881,'Concrete Beam Schedule'!$A$2:$Q$2902,AD$2,0)&lt;&gt;N1881,"Beam Revised","")</f>
        <v>#N/A</v>
      </c>
      <c r="AE1881" s="7" t="e">
        <f>IF(VLOOKUP($A1881,'Concrete Beam Schedule'!$A$2:$Q$2902,AE$2,0)&lt;&gt;O1881,"Beam Revised","")</f>
        <v>#N/A</v>
      </c>
    </row>
    <row r="1882" spans="17:31" ht="20.100000000000001" customHeight="1" x14ac:dyDescent="0.25">
      <c r="Q1882" s="7">
        <f t="shared" si="29"/>
        <v>0</v>
      </c>
      <c r="R1882" s="7" t="e">
        <f>IF(VLOOKUP($A1882,'Concrete Beam Schedule'!$A$2:$Q$2902,R$2,0)&lt;&gt;B1882,VLOOKUP($A1882,'Concrete Beam Schedule'!$A$2:$Q$2902,R$2,0),"")</f>
        <v>#N/A</v>
      </c>
      <c r="S1882" s="7" t="e">
        <f>IF(VLOOKUP($A1882,'Concrete Beam Schedule'!$A$2:$Q$2902,S$2,0)&lt;&gt;C1882,VLOOKUP($A1882,'Concrete Beam Schedule'!$A$2:$Q$2902,S$2,0),"")</f>
        <v>#N/A</v>
      </c>
      <c r="T1882" s="7" t="e">
        <f>IF(VLOOKUP($A1882,'Concrete Beam Schedule'!$A$2:$Q$2902,T$2,0)&lt;&gt;D1882,"Beam Revised","")</f>
        <v>#N/A</v>
      </c>
      <c r="U1882" s="7" t="e">
        <f>IF(VLOOKUP($A1882,'Concrete Beam Schedule'!$A$2:$Q$2902,U$2,0)&lt;&gt;E1882,"Beam Revised","")</f>
        <v>#N/A</v>
      </c>
      <c r="V1882" s="7" t="e">
        <f>IF(VLOOKUP($A1882,'Concrete Beam Schedule'!$A$2:$Q$2902,V$2,0)&lt;&gt;F1882,"Beam Revised","")</f>
        <v>#N/A</v>
      </c>
      <c r="W1882" s="7" t="e">
        <f>IF(VLOOKUP($A1882,'Concrete Beam Schedule'!$A$2:$Q$2902,W$2,0)&lt;&gt;G1882,"Beam Revised","")</f>
        <v>#N/A</v>
      </c>
      <c r="X1882" s="7" t="e">
        <f>IF(VLOOKUP($A1882,'Concrete Beam Schedule'!$A$2:$Q$2902,X$2,0)&lt;&gt;H1882,"Beam Revised","")</f>
        <v>#N/A</v>
      </c>
      <c r="Y1882" s="7" t="e">
        <f>IF(VLOOKUP($A1882,'Concrete Beam Schedule'!$A$2:$Q$2902,Y$2,0)&lt;&gt;I1882,"Beam Revised","")</f>
        <v>#N/A</v>
      </c>
      <c r="Z1882" s="7" t="e">
        <f>IF(VLOOKUP($A1882,'Concrete Beam Schedule'!$A$2:$Q$2902,Z$2,0)&lt;&gt;J1882,"Beam Revised","")</f>
        <v>#N/A</v>
      </c>
      <c r="AA1882" s="7" t="e">
        <f>IF(VLOOKUP($A1882,'Concrete Beam Schedule'!$A$2:$Q$2902,AA$2,0)&lt;&gt;K1882,"Beam Revised","")</f>
        <v>#N/A</v>
      </c>
      <c r="AB1882" s="7" t="e">
        <f>IF(VLOOKUP($A1882,'Concrete Beam Schedule'!$A$2:$Q$2902,AB$2,0)&lt;&gt;L1882,"Beam Revised","")</f>
        <v>#N/A</v>
      </c>
      <c r="AC1882" s="7" t="e">
        <f>IF(VLOOKUP($A1882,'Concrete Beam Schedule'!$A$2:$Q$2902,AC$2,0)&lt;&gt;M1882,"Beam Revised","")</f>
        <v>#N/A</v>
      </c>
      <c r="AD1882" s="7" t="e">
        <f>IF(VLOOKUP($A1882,'Concrete Beam Schedule'!$A$2:$Q$2902,AD$2,0)&lt;&gt;N1882,"Beam Revised","")</f>
        <v>#N/A</v>
      </c>
      <c r="AE1882" s="7" t="e">
        <f>IF(VLOOKUP($A1882,'Concrete Beam Schedule'!$A$2:$Q$2902,AE$2,0)&lt;&gt;O1882,"Beam Revised","")</f>
        <v>#N/A</v>
      </c>
    </row>
    <row r="1883" spans="17:31" ht="20.100000000000001" customHeight="1" x14ac:dyDescent="0.25">
      <c r="Q1883" s="7">
        <f t="shared" si="29"/>
        <v>0</v>
      </c>
      <c r="R1883" s="7" t="e">
        <f>IF(VLOOKUP($A1883,'Concrete Beam Schedule'!$A$2:$Q$2902,R$2,0)&lt;&gt;B1883,VLOOKUP($A1883,'Concrete Beam Schedule'!$A$2:$Q$2902,R$2,0),"")</f>
        <v>#N/A</v>
      </c>
      <c r="S1883" s="7" t="e">
        <f>IF(VLOOKUP($A1883,'Concrete Beam Schedule'!$A$2:$Q$2902,S$2,0)&lt;&gt;C1883,VLOOKUP($A1883,'Concrete Beam Schedule'!$A$2:$Q$2902,S$2,0),"")</f>
        <v>#N/A</v>
      </c>
      <c r="T1883" s="7" t="e">
        <f>IF(VLOOKUP($A1883,'Concrete Beam Schedule'!$A$2:$Q$2902,T$2,0)&lt;&gt;D1883,"Beam Revised","")</f>
        <v>#N/A</v>
      </c>
      <c r="U1883" s="7" t="e">
        <f>IF(VLOOKUP($A1883,'Concrete Beam Schedule'!$A$2:$Q$2902,U$2,0)&lt;&gt;E1883,"Beam Revised","")</f>
        <v>#N/A</v>
      </c>
      <c r="V1883" s="7" t="e">
        <f>IF(VLOOKUP($A1883,'Concrete Beam Schedule'!$A$2:$Q$2902,V$2,0)&lt;&gt;F1883,"Beam Revised","")</f>
        <v>#N/A</v>
      </c>
      <c r="W1883" s="7" t="e">
        <f>IF(VLOOKUP($A1883,'Concrete Beam Schedule'!$A$2:$Q$2902,W$2,0)&lt;&gt;G1883,"Beam Revised","")</f>
        <v>#N/A</v>
      </c>
      <c r="X1883" s="7" t="e">
        <f>IF(VLOOKUP($A1883,'Concrete Beam Schedule'!$A$2:$Q$2902,X$2,0)&lt;&gt;H1883,"Beam Revised","")</f>
        <v>#N/A</v>
      </c>
      <c r="Y1883" s="7" t="e">
        <f>IF(VLOOKUP($A1883,'Concrete Beam Schedule'!$A$2:$Q$2902,Y$2,0)&lt;&gt;I1883,"Beam Revised","")</f>
        <v>#N/A</v>
      </c>
      <c r="Z1883" s="7" t="e">
        <f>IF(VLOOKUP($A1883,'Concrete Beam Schedule'!$A$2:$Q$2902,Z$2,0)&lt;&gt;J1883,"Beam Revised","")</f>
        <v>#N/A</v>
      </c>
      <c r="AA1883" s="7" t="e">
        <f>IF(VLOOKUP($A1883,'Concrete Beam Schedule'!$A$2:$Q$2902,AA$2,0)&lt;&gt;K1883,"Beam Revised","")</f>
        <v>#N/A</v>
      </c>
      <c r="AB1883" s="7" t="e">
        <f>IF(VLOOKUP($A1883,'Concrete Beam Schedule'!$A$2:$Q$2902,AB$2,0)&lt;&gt;L1883,"Beam Revised","")</f>
        <v>#N/A</v>
      </c>
      <c r="AC1883" s="7" t="e">
        <f>IF(VLOOKUP($A1883,'Concrete Beam Schedule'!$A$2:$Q$2902,AC$2,0)&lt;&gt;M1883,"Beam Revised","")</f>
        <v>#N/A</v>
      </c>
      <c r="AD1883" s="7" t="e">
        <f>IF(VLOOKUP($A1883,'Concrete Beam Schedule'!$A$2:$Q$2902,AD$2,0)&lt;&gt;N1883,"Beam Revised","")</f>
        <v>#N/A</v>
      </c>
      <c r="AE1883" s="7" t="e">
        <f>IF(VLOOKUP($A1883,'Concrete Beam Schedule'!$A$2:$Q$2902,AE$2,0)&lt;&gt;O1883,"Beam Revised","")</f>
        <v>#N/A</v>
      </c>
    </row>
    <row r="1884" spans="17:31" ht="20.100000000000001" customHeight="1" x14ac:dyDescent="0.25">
      <c r="Q1884" s="7">
        <f t="shared" si="29"/>
        <v>0</v>
      </c>
      <c r="R1884" s="7" t="e">
        <f>IF(VLOOKUP($A1884,'Concrete Beam Schedule'!$A$2:$Q$2902,R$2,0)&lt;&gt;B1884,VLOOKUP($A1884,'Concrete Beam Schedule'!$A$2:$Q$2902,R$2,0),"")</f>
        <v>#N/A</v>
      </c>
      <c r="S1884" s="7" t="e">
        <f>IF(VLOOKUP($A1884,'Concrete Beam Schedule'!$A$2:$Q$2902,S$2,0)&lt;&gt;C1884,VLOOKUP($A1884,'Concrete Beam Schedule'!$A$2:$Q$2902,S$2,0),"")</f>
        <v>#N/A</v>
      </c>
      <c r="T1884" s="7" t="e">
        <f>IF(VLOOKUP($A1884,'Concrete Beam Schedule'!$A$2:$Q$2902,T$2,0)&lt;&gt;D1884,"Beam Revised","")</f>
        <v>#N/A</v>
      </c>
      <c r="U1884" s="7" t="e">
        <f>IF(VLOOKUP($A1884,'Concrete Beam Schedule'!$A$2:$Q$2902,U$2,0)&lt;&gt;E1884,"Beam Revised","")</f>
        <v>#N/A</v>
      </c>
      <c r="V1884" s="7" t="e">
        <f>IF(VLOOKUP($A1884,'Concrete Beam Schedule'!$A$2:$Q$2902,V$2,0)&lt;&gt;F1884,"Beam Revised","")</f>
        <v>#N/A</v>
      </c>
      <c r="W1884" s="7" t="e">
        <f>IF(VLOOKUP($A1884,'Concrete Beam Schedule'!$A$2:$Q$2902,W$2,0)&lt;&gt;G1884,"Beam Revised","")</f>
        <v>#N/A</v>
      </c>
      <c r="X1884" s="7" t="e">
        <f>IF(VLOOKUP($A1884,'Concrete Beam Schedule'!$A$2:$Q$2902,X$2,0)&lt;&gt;H1884,"Beam Revised","")</f>
        <v>#N/A</v>
      </c>
      <c r="Y1884" s="7" t="e">
        <f>IF(VLOOKUP($A1884,'Concrete Beam Schedule'!$A$2:$Q$2902,Y$2,0)&lt;&gt;I1884,"Beam Revised","")</f>
        <v>#N/A</v>
      </c>
      <c r="Z1884" s="7" t="e">
        <f>IF(VLOOKUP($A1884,'Concrete Beam Schedule'!$A$2:$Q$2902,Z$2,0)&lt;&gt;J1884,"Beam Revised","")</f>
        <v>#N/A</v>
      </c>
      <c r="AA1884" s="7" t="e">
        <f>IF(VLOOKUP($A1884,'Concrete Beam Schedule'!$A$2:$Q$2902,AA$2,0)&lt;&gt;K1884,"Beam Revised","")</f>
        <v>#N/A</v>
      </c>
      <c r="AB1884" s="7" t="e">
        <f>IF(VLOOKUP($A1884,'Concrete Beam Schedule'!$A$2:$Q$2902,AB$2,0)&lt;&gt;L1884,"Beam Revised","")</f>
        <v>#N/A</v>
      </c>
      <c r="AC1884" s="7" t="e">
        <f>IF(VLOOKUP($A1884,'Concrete Beam Schedule'!$A$2:$Q$2902,AC$2,0)&lt;&gt;M1884,"Beam Revised","")</f>
        <v>#N/A</v>
      </c>
      <c r="AD1884" s="7" t="e">
        <f>IF(VLOOKUP($A1884,'Concrete Beam Schedule'!$A$2:$Q$2902,AD$2,0)&lt;&gt;N1884,"Beam Revised","")</f>
        <v>#N/A</v>
      </c>
      <c r="AE1884" s="7" t="e">
        <f>IF(VLOOKUP($A1884,'Concrete Beam Schedule'!$A$2:$Q$2902,AE$2,0)&lt;&gt;O1884,"Beam Revised","")</f>
        <v>#N/A</v>
      </c>
    </row>
    <row r="1885" spans="17:31" ht="20.100000000000001" customHeight="1" x14ac:dyDescent="0.25">
      <c r="Q1885" s="7">
        <f t="shared" si="29"/>
        <v>0</v>
      </c>
      <c r="R1885" s="7" t="e">
        <f>IF(VLOOKUP($A1885,'Concrete Beam Schedule'!$A$2:$Q$2902,R$2,0)&lt;&gt;B1885,VLOOKUP($A1885,'Concrete Beam Schedule'!$A$2:$Q$2902,R$2,0),"")</f>
        <v>#N/A</v>
      </c>
      <c r="S1885" s="7" t="e">
        <f>IF(VLOOKUP($A1885,'Concrete Beam Schedule'!$A$2:$Q$2902,S$2,0)&lt;&gt;C1885,VLOOKUP($A1885,'Concrete Beam Schedule'!$A$2:$Q$2902,S$2,0),"")</f>
        <v>#N/A</v>
      </c>
      <c r="T1885" s="7" t="e">
        <f>IF(VLOOKUP($A1885,'Concrete Beam Schedule'!$A$2:$Q$2902,T$2,0)&lt;&gt;D1885,"Beam Revised","")</f>
        <v>#N/A</v>
      </c>
      <c r="U1885" s="7" t="e">
        <f>IF(VLOOKUP($A1885,'Concrete Beam Schedule'!$A$2:$Q$2902,U$2,0)&lt;&gt;E1885,"Beam Revised","")</f>
        <v>#N/A</v>
      </c>
      <c r="V1885" s="7" t="e">
        <f>IF(VLOOKUP($A1885,'Concrete Beam Schedule'!$A$2:$Q$2902,V$2,0)&lt;&gt;F1885,"Beam Revised","")</f>
        <v>#N/A</v>
      </c>
      <c r="W1885" s="7" t="e">
        <f>IF(VLOOKUP($A1885,'Concrete Beam Schedule'!$A$2:$Q$2902,W$2,0)&lt;&gt;G1885,"Beam Revised","")</f>
        <v>#N/A</v>
      </c>
      <c r="X1885" s="7" t="e">
        <f>IF(VLOOKUP($A1885,'Concrete Beam Schedule'!$A$2:$Q$2902,X$2,0)&lt;&gt;H1885,"Beam Revised","")</f>
        <v>#N/A</v>
      </c>
      <c r="Y1885" s="7" t="e">
        <f>IF(VLOOKUP($A1885,'Concrete Beam Schedule'!$A$2:$Q$2902,Y$2,0)&lt;&gt;I1885,"Beam Revised","")</f>
        <v>#N/A</v>
      </c>
      <c r="Z1885" s="7" t="e">
        <f>IF(VLOOKUP($A1885,'Concrete Beam Schedule'!$A$2:$Q$2902,Z$2,0)&lt;&gt;J1885,"Beam Revised","")</f>
        <v>#N/A</v>
      </c>
      <c r="AA1885" s="7" t="e">
        <f>IF(VLOOKUP($A1885,'Concrete Beam Schedule'!$A$2:$Q$2902,AA$2,0)&lt;&gt;K1885,"Beam Revised","")</f>
        <v>#N/A</v>
      </c>
      <c r="AB1885" s="7" t="e">
        <f>IF(VLOOKUP($A1885,'Concrete Beam Schedule'!$A$2:$Q$2902,AB$2,0)&lt;&gt;L1885,"Beam Revised","")</f>
        <v>#N/A</v>
      </c>
      <c r="AC1885" s="7" t="e">
        <f>IF(VLOOKUP($A1885,'Concrete Beam Schedule'!$A$2:$Q$2902,AC$2,0)&lt;&gt;M1885,"Beam Revised","")</f>
        <v>#N/A</v>
      </c>
      <c r="AD1885" s="7" t="e">
        <f>IF(VLOOKUP($A1885,'Concrete Beam Schedule'!$A$2:$Q$2902,AD$2,0)&lt;&gt;N1885,"Beam Revised","")</f>
        <v>#N/A</v>
      </c>
      <c r="AE1885" s="7" t="e">
        <f>IF(VLOOKUP($A1885,'Concrete Beam Schedule'!$A$2:$Q$2902,AE$2,0)&lt;&gt;O1885,"Beam Revised","")</f>
        <v>#N/A</v>
      </c>
    </row>
    <row r="1886" spans="17:31" ht="20.100000000000001" customHeight="1" x14ac:dyDescent="0.25">
      <c r="Q1886" s="7">
        <f t="shared" si="29"/>
        <v>0</v>
      </c>
      <c r="R1886" s="7" t="e">
        <f>IF(VLOOKUP($A1886,'Concrete Beam Schedule'!$A$2:$Q$2902,R$2,0)&lt;&gt;B1886,VLOOKUP($A1886,'Concrete Beam Schedule'!$A$2:$Q$2902,R$2,0),"")</f>
        <v>#N/A</v>
      </c>
      <c r="S1886" s="7" t="e">
        <f>IF(VLOOKUP($A1886,'Concrete Beam Schedule'!$A$2:$Q$2902,S$2,0)&lt;&gt;C1886,VLOOKUP($A1886,'Concrete Beam Schedule'!$A$2:$Q$2902,S$2,0),"")</f>
        <v>#N/A</v>
      </c>
      <c r="T1886" s="7" t="e">
        <f>IF(VLOOKUP($A1886,'Concrete Beam Schedule'!$A$2:$Q$2902,T$2,0)&lt;&gt;D1886,"Beam Revised","")</f>
        <v>#N/A</v>
      </c>
      <c r="U1886" s="7" t="e">
        <f>IF(VLOOKUP($A1886,'Concrete Beam Schedule'!$A$2:$Q$2902,U$2,0)&lt;&gt;E1886,"Beam Revised","")</f>
        <v>#N/A</v>
      </c>
      <c r="V1886" s="7" t="e">
        <f>IF(VLOOKUP($A1886,'Concrete Beam Schedule'!$A$2:$Q$2902,V$2,0)&lt;&gt;F1886,"Beam Revised","")</f>
        <v>#N/A</v>
      </c>
      <c r="W1886" s="7" t="e">
        <f>IF(VLOOKUP($A1886,'Concrete Beam Schedule'!$A$2:$Q$2902,W$2,0)&lt;&gt;G1886,"Beam Revised","")</f>
        <v>#N/A</v>
      </c>
      <c r="X1886" s="7" t="e">
        <f>IF(VLOOKUP($A1886,'Concrete Beam Schedule'!$A$2:$Q$2902,X$2,0)&lt;&gt;H1886,"Beam Revised","")</f>
        <v>#N/A</v>
      </c>
      <c r="Y1886" s="7" t="e">
        <f>IF(VLOOKUP($A1886,'Concrete Beam Schedule'!$A$2:$Q$2902,Y$2,0)&lt;&gt;I1886,"Beam Revised","")</f>
        <v>#N/A</v>
      </c>
      <c r="Z1886" s="7" t="e">
        <f>IF(VLOOKUP($A1886,'Concrete Beam Schedule'!$A$2:$Q$2902,Z$2,0)&lt;&gt;J1886,"Beam Revised","")</f>
        <v>#N/A</v>
      </c>
      <c r="AA1886" s="7" t="e">
        <f>IF(VLOOKUP($A1886,'Concrete Beam Schedule'!$A$2:$Q$2902,AA$2,0)&lt;&gt;K1886,"Beam Revised","")</f>
        <v>#N/A</v>
      </c>
      <c r="AB1886" s="7" t="e">
        <f>IF(VLOOKUP($A1886,'Concrete Beam Schedule'!$A$2:$Q$2902,AB$2,0)&lt;&gt;L1886,"Beam Revised","")</f>
        <v>#N/A</v>
      </c>
      <c r="AC1886" s="7" t="e">
        <f>IF(VLOOKUP($A1886,'Concrete Beam Schedule'!$A$2:$Q$2902,AC$2,0)&lt;&gt;M1886,"Beam Revised","")</f>
        <v>#N/A</v>
      </c>
      <c r="AD1886" s="7" t="e">
        <f>IF(VLOOKUP($A1886,'Concrete Beam Schedule'!$A$2:$Q$2902,AD$2,0)&lt;&gt;N1886,"Beam Revised","")</f>
        <v>#N/A</v>
      </c>
      <c r="AE1886" s="7" t="e">
        <f>IF(VLOOKUP($A1886,'Concrete Beam Schedule'!$A$2:$Q$2902,AE$2,0)&lt;&gt;O1886,"Beam Revised","")</f>
        <v>#N/A</v>
      </c>
    </row>
    <row r="1887" spans="17:31" ht="20.100000000000001" customHeight="1" x14ac:dyDescent="0.25">
      <c r="Q1887" s="7">
        <f t="shared" si="29"/>
        <v>0</v>
      </c>
      <c r="R1887" s="7" t="e">
        <f>IF(VLOOKUP($A1887,'Concrete Beam Schedule'!$A$2:$Q$2902,R$2,0)&lt;&gt;B1887,VLOOKUP($A1887,'Concrete Beam Schedule'!$A$2:$Q$2902,R$2,0),"")</f>
        <v>#N/A</v>
      </c>
      <c r="S1887" s="7" t="e">
        <f>IF(VLOOKUP($A1887,'Concrete Beam Schedule'!$A$2:$Q$2902,S$2,0)&lt;&gt;C1887,VLOOKUP($A1887,'Concrete Beam Schedule'!$A$2:$Q$2902,S$2,0),"")</f>
        <v>#N/A</v>
      </c>
      <c r="T1887" s="7" t="e">
        <f>IF(VLOOKUP($A1887,'Concrete Beam Schedule'!$A$2:$Q$2902,T$2,0)&lt;&gt;D1887,"Beam Revised","")</f>
        <v>#N/A</v>
      </c>
      <c r="U1887" s="7" t="e">
        <f>IF(VLOOKUP($A1887,'Concrete Beam Schedule'!$A$2:$Q$2902,U$2,0)&lt;&gt;E1887,"Beam Revised","")</f>
        <v>#N/A</v>
      </c>
      <c r="V1887" s="7" t="e">
        <f>IF(VLOOKUP($A1887,'Concrete Beam Schedule'!$A$2:$Q$2902,V$2,0)&lt;&gt;F1887,"Beam Revised","")</f>
        <v>#N/A</v>
      </c>
      <c r="W1887" s="7" t="e">
        <f>IF(VLOOKUP($A1887,'Concrete Beam Schedule'!$A$2:$Q$2902,W$2,0)&lt;&gt;G1887,"Beam Revised","")</f>
        <v>#N/A</v>
      </c>
      <c r="X1887" s="7" t="e">
        <f>IF(VLOOKUP($A1887,'Concrete Beam Schedule'!$A$2:$Q$2902,X$2,0)&lt;&gt;H1887,"Beam Revised","")</f>
        <v>#N/A</v>
      </c>
      <c r="Y1887" s="7" t="e">
        <f>IF(VLOOKUP($A1887,'Concrete Beam Schedule'!$A$2:$Q$2902,Y$2,0)&lt;&gt;I1887,"Beam Revised","")</f>
        <v>#N/A</v>
      </c>
      <c r="Z1887" s="7" t="e">
        <f>IF(VLOOKUP($A1887,'Concrete Beam Schedule'!$A$2:$Q$2902,Z$2,0)&lt;&gt;J1887,"Beam Revised","")</f>
        <v>#N/A</v>
      </c>
      <c r="AA1887" s="7" t="e">
        <f>IF(VLOOKUP($A1887,'Concrete Beam Schedule'!$A$2:$Q$2902,AA$2,0)&lt;&gt;K1887,"Beam Revised","")</f>
        <v>#N/A</v>
      </c>
      <c r="AB1887" s="7" t="e">
        <f>IF(VLOOKUP($A1887,'Concrete Beam Schedule'!$A$2:$Q$2902,AB$2,0)&lt;&gt;L1887,"Beam Revised","")</f>
        <v>#N/A</v>
      </c>
      <c r="AC1887" s="7" t="e">
        <f>IF(VLOOKUP($A1887,'Concrete Beam Schedule'!$A$2:$Q$2902,AC$2,0)&lt;&gt;M1887,"Beam Revised","")</f>
        <v>#N/A</v>
      </c>
      <c r="AD1887" s="7" t="e">
        <f>IF(VLOOKUP($A1887,'Concrete Beam Schedule'!$A$2:$Q$2902,AD$2,0)&lt;&gt;N1887,"Beam Revised","")</f>
        <v>#N/A</v>
      </c>
      <c r="AE1887" s="7" t="e">
        <f>IF(VLOOKUP($A1887,'Concrete Beam Schedule'!$A$2:$Q$2902,AE$2,0)&lt;&gt;O1887,"Beam Revised","")</f>
        <v>#N/A</v>
      </c>
    </row>
    <row r="1888" spans="17:31" ht="20.100000000000001" customHeight="1" x14ac:dyDescent="0.25">
      <c r="Q1888" s="7">
        <f t="shared" si="29"/>
        <v>0</v>
      </c>
      <c r="R1888" s="7" t="e">
        <f>IF(VLOOKUP($A1888,'Concrete Beam Schedule'!$A$2:$Q$2902,R$2,0)&lt;&gt;B1888,VLOOKUP($A1888,'Concrete Beam Schedule'!$A$2:$Q$2902,R$2,0),"")</f>
        <v>#N/A</v>
      </c>
      <c r="S1888" s="7" t="e">
        <f>IF(VLOOKUP($A1888,'Concrete Beam Schedule'!$A$2:$Q$2902,S$2,0)&lt;&gt;C1888,VLOOKUP($A1888,'Concrete Beam Schedule'!$A$2:$Q$2902,S$2,0),"")</f>
        <v>#N/A</v>
      </c>
      <c r="T1888" s="7" t="e">
        <f>IF(VLOOKUP($A1888,'Concrete Beam Schedule'!$A$2:$Q$2902,T$2,0)&lt;&gt;D1888,"Beam Revised","")</f>
        <v>#N/A</v>
      </c>
      <c r="U1888" s="7" t="e">
        <f>IF(VLOOKUP($A1888,'Concrete Beam Schedule'!$A$2:$Q$2902,U$2,0)&lt;&gt;E1888,"Beam Revised","")</f>
        <v>#N/A</v>
      </c>
      <c r="V1888" s="7" t="e">
        <f>IF(VLOOKUP($A1888,'Concrete Beam Schedule'!$A$2:$Q$2902,V$2,0)&lt;&gt;F1888,"Beam Revised","")</f>
        <v>#N/A</v>
      </c>
      <c r="W1888" s="7" t="e">
        <f>IF(VLOOKUP($A1888,'Concrete Beam Schedule'!$A$2:$Q$2902,W$2,0)&lt;&gt;G1888,"Beam Revised","")</f>
        <v>#N/A</v>
      </c>
      <c r="X1888" s="7" t="e">
        <f>IF(VLOOKUP($A1888,'Concrete Beam Schedule'!$A$2:$Q$2902,X$2,0)&lt;&gt;H1888,"Beam Revised","")</f>
        <v>#N/A</v>
      </c>
      <c r="Y1888" s="7" t="e">
        <f>IF(VLOOKUP($A1888,'Concrete Beam Schedule'!$A$2:$Q$2902,Y$2,0)&lt;&gt;I1888,"Beam Revised","")</f>
        <v>#N/A</v>
      </c>
      <c r="Z1888" s="7" t="e">
        <f>IF(VLOOKUP($A1888,'Concrete Beam Schedule'!$A$2:$Q$2902,Z$2,0)&lt;&gt;J1888,"Beam Revised","")</f>
        <v>#N/A</v>
      </c>
      <c r="AA1888" s="7" t="e">
        <f>IF(VLOOKUP($A1888,'Concrete Beam Schedule'!$A$2:$Q$2902,AA$2,0)&lt;&gt;K1888,"Beam Revised","")</f>
        <v>#N/A</v>
      </c>
      <c r="AB1888" s="7" t="e">
        <f>IF(VLOOKUP($A1888,'Concrete Beam Schedule'!$A$2:$Q$2902,AB$2,0)&lt;&gt;L1888,"Beam Revised","")</f>
        <v>#N/A</v>
      </c>
      <c r="AC1888" s="7" t="e">
        <f>IF(VLOOKUP($A1888,'Concrete Beam Schedule'!$A$2:$Q$2902,AC$2,0)&lt;&gt;M1888,"Beam Revised","")</f>
        <v>#N/A</v>
      </c>
      <c r="AD1888" s="7" t="e">
        <f>IF(VLOOKUP($A1888,'Concrete Beam Schedule'!$A$2:$Q$2902,AD$2,0)&lt;&gt;N1888,"Beam Revised","")</f>
        <v>#N/A</v>
      </c>
      <c r="AE1888" s="7" t="e">
        <f>IF(VLOOKUP($A1888,'Concrete Beam Schedule'!$A$2:$Q$2902,AE$2,0)&lt;&gt;O1888,"Beam Revised","")</f>
        <v>#N/A</v>
      </c>
    </row>
    <row r="1889" spans="17:31" ht="20.100000000000001" customHeight="1" x14ac:dyDescent="0.25">
      <c r="Q1889" s="7">
        <f t="shared" si="29"/>
        <v>0</v>
      </c>
      <c r="R1889" s="7" t="e">
        <f>IF(VLOOKUP($A1889,'Concrete Beam Schedule'!$A$2:$Q$2902,R$2,0)&lt;&gt;B1889,VLOOKUP($A1889,'Concrete Beam Schedule'!$A$2:$Q$2902,R$2,0),"")</f>
        <v>#N/A</v>
      </c>
      <c r="S1889" s="7" t="e">
        <f>IF(VLOOKUP($A1889,'Concrete Beam Schedule'!$A$2:$Q$2902,S$2,0)&lt;&gt;C1889,VLOOKUP($A1889,'Concrete Beam Schedule'!$A$2:$Q$2902,S$2,0),"")</f>
        <v>#N/A</v>
      </c>
      <c r="T1889" s="7" t="e">
        <f>IF(VLOOKUP($A1889,'Concrete Beam Schedule'!$A$2:$Q$2902,T$2,0)&lt;&gt;D1889,"Beam Revised","")</f>
        <v>#N/A</v>
      </c>
      <c r="U1889" s="7" t="e">
        <f>IF(VLOOKUP($A1889,'Concrete Beam Schedule'!$A$2:$Q$2902,U$2,0)&lt;&gt;E1889,"Beam Revised","")</f>
        <v>#N/A</v>
      </c>
      <c r="V1889" s="7" t="e">
        <f>IF(VLOOKUP($A1889,'Concrete Beam Schedule'!$A$2:$Q$2902,V$2,0)&lt;&gt;F1889,"Beam Revised","")</f>
        <v>#N/A</v>
      </c>
      <c r="W1889" s="7" t="e">
        <f>IF(VLOOKUP($A1889,'Concrete Beam Schedule'!$A$2:$Q$2902,W$2,0)&lt;&gt;G1889,"Beam Revised","")</f>
        <v>#N/A</v>
      </c>
      <c r="X1889" s="7" t="e">
        <f>IF(VLOOKUP($A1889,'Concrete Beam Schedule'!$A$2:$Q$2902,X$2,0)&lt;&gt;H1889,"Beam Revised","")</f>
        <v>#N/A</v>
      </c>
      <c r="Y1889" s="7" t="e">
        <f>IF(VLOOKUP($A1889,'Concrete Beam Schedule'!$A$2:$Q$2902,Y$2,0)&lt;&gt;I1889,"Beam Revised","")</f>
        <v>#N/A</v>
      </c>
      <c r="Z1889" s="7" t="e">
        <f>IF(VLOOKUP($A1889,'Concrete Beam Schedule'!$A$2:$Q$2902,Z$2,0)&lt;&gt;J1889,"Beam Revised","")</f>
        <v>#N/A</v>
      </c>
      <c r="AA1889" s="7" t="e">
        <f>IF(VLOOKUP($A1889,'Concrete Beam Schedule'!$A$2:$Q$2902,AA$2,0)&lt;&gt;K1889,"Beam Revised","")</f>
        <v>#N/A</v>
      </c>
      <c r="AB1889" s="7" t="e">
        <f>IF(VLOOKUP($A1889,'Concrete Beam Schedule'!$A$2:$Q$2902,AB$2,0)&lt;&gt;L1889,"Beam Revised","")</f>
        <v>#N/A</v>
      </c>
      <c r="AC1889" s="7" t="e">
        <f>IF(VLOOKUP($A1889,'Concrete Beam Schedule'!$A$2:$Q$2902,AC$2,0)&lt;&gt;M1889,"Beam Revised","")</f>
        <v>#N/A</v>
      </c>
      <c r="AD1889" s="7" t="e">
        <f>IF(VLOOKUP($A1889,'Concrete Beam Schedule'!$A$2:$Q$2902,AD$2,0)&lt;&gt;N1889,"Beam Revised","")</f>
        <v>#N/A</v>
      </c>
      <c r="AE1889" s="7" t="e">
        <f>IF(VLOOKUP($A1889,'Concrete Beam Schedule'!$A$2:$Q$2902,AE$2,0)&lt;&gt;O1889,"Beam Revised","")</f>
        <v>#N/A</v>
      </c>
    </row>
    <row r="1890" spans="17:31" ht="20.100000000000001" customHeight="1" x14ac:dyDescent="0.25">
      <c r="Q1890" s="7">
        <f t="shared" si="29"/>
        <v>0</v>
      </c>
      <c r="R1890" s="7" t="e">
        <f>IF(VLOOKUP($A1890,'Concrete Beam Schedule'!$A$2:$Q$2902,R$2,0)&lt;&gt;B1890,VLOOKUP($A1890,'Concrete Beam Schedule'!$A$2:$Q$2902,R$2,0),"")</f>
        <v>#N/A</v>
      </c>
      <c r="S1890" s="7" t="e">
        <f>IF(VLOOKUP($A1890,'Concrete Beam Schedule'!$A$2:$Q$2902,S$2,0)&lt;&gt;C1890,VLOOKUP($A1890,'Concrete Beam Schedule'!$A$2:$Q$2902,S$2,0),"")</f>
        <v>#N/A</v>
      </c>
      <c r="T1890" s="7" t="e">
        <f>IF(VLOOKUP($A1890,'Concrete Beam Schedule'!$A$2:$Q$2902,T$2,0)&lt;&gt;D1890,"Beam Revised","")</f>
        <v>#N/A</v>
      </c>
      <c r="U1890" s="7" t="e">
        <f>IF(VLOOKUP($A1890,'Concrete Beam Schedule'!$A$2:$Q$2902,U$2,0)&lt;&gt;E1890,"Beam Revised","")</f>
        <v>#N/A</v>
      </c>
      <c r="V1890" s="7" t="e">
        <f>IF(VLOOKUP($A1890,'Concrete Beam Schedule'!$A$2:$Q$2902,V$2,0)&lt;&gt;F1890,"Beam Revised","")</f>
        <v>#N/A</v>
      </c>
      <c r="W1890" s="7" t="e">
        <f>IF(VLOOKUP($A1890,'Concrete Beam Schedule'!$A$2:$Q$2902,W$2,0)&lt;&gt;G1890,"Beam Revised","")</f>
        <v>#N/A</v>
      </c>
      <c r="X1890" s="7" t="e">
        <f>IF(VLOOKUP($A1890,'Concrete Beam Schedule'!$A$2:$Q$2902,X$2,0)&lt;&gt;H1890,"Beam Revised","")</f>
        <v>#N/A</v>
      </c>
      <c r="Y1890" s="7" t="e">
        <f>IF(VLOOKUP($A1890,'Concrete Beam Schedule'!$A$2:$Q$2902,Y$2,0)&lt;&gt;I1890,"Beam Revised","")</f>
        <v>#N/A</v>
      </c>
      <c r="Z1890" s="7" t="e">
        <f>IF(VLOOKUP($A1890,'Concrete Beam Schedule'!$A$2:$Q$2902,Z$2,0)&lt;&gt;J1890,"Beam Revised","")</f>
        <v>#N/A</v>
      </c>
      <c r="AA1890" s="7" t="e">
        <f>IF(VLOOKUP($A1890,'Concrete Beam Schedule'!$A$2:$Q$2902,AA$2,0)&lt;&gt;K1890,"Beam Revised","")</f>
        <v>#N/A</v>
      </c>
      <c r="AB1890" s="7" t="e">
        <f>IF(VLOOKUP($A1890,'Concrete Beam Schedule'!$A$2:$Q$2902,AB$2,0)&lt;&gt;L1890,"Beam Revised","")</f>
        <v>#N/A</v>
      </c>
      <c r="AC1890" s="7" t="e">
        <f>IF(VLOOKUP($A1890,'Concrete Beam Schedule'!$A$2:$Q$2902,AC$2,0)&lt;&gt;M1890,"Beam Revised","")</f>
        <v>#N/A</v>
      </c>
      <c r="AD1890" s="7" t="e">
        <f>IF(VLOOKUP($A1890,'Concrete Beam Schedule'!$A$2:$Q$2902,AD$2,0)&lt;&gt;N1890,"Beam Revised","")</f>
        <v>#N/A</v>
      </c>
      <c r="AE1890" s="7" t="e">
        <f>IF(VLOOKUP($A1890,'Concrete Beam Schedule'!$A$2:$Q$2902,AE$2,0)&lt;&gt;O1890,"Beam Revised","")</f>
        <v>#N/A</v>
      </c>
    </row>
    <row r="1891" spans="17:31" ht="20.100000000000001" customHeight="1" x14ac:dyDescent="0.25">
      <c r="Q1891" s="7">
        <f t="shared" si="29"/>
        <v>0</v>
      </c>
      <c r="R1891" s="7" t="e">
        <f>IF(VLOOKUP($A1891,'Concrete Beam Schedule'!$A$2:$Q$2902,R$2,0)&lt;&gt;B1891,VLOOKUP($A1891,'Concrete Beam Schedule'!$A$2:$Q$2902,R$2,0),"")</f>
        <v>#N/A</v>
      </c>
      <c r="S1891" s="7" t="e">
        <f>IF(VLOOKUP($A1891,'Concrete Beam Schedule'!$A$2:$Q$2902,S$2,0)&lt;&gt;C1891,VLOOKUP($A1891,'Concrete Beam Schedule'!$A$2:$Q$2902,S$2,0),"")</f>
        <v>#N/A</v>
      </c>
      <c r="T1891" s="7" t="e">
        <f>IF(VLOOKUP($A1891,'Concrete Beam Schedule'!$A$2:$Q$2902,T$2,0)&lt;&gt;D1891,"Beam Revised","")</f>
        <v>#N/A</v>
      </c>
      <c r="U1891" s="7" t="e">
        <f>IF(VLOOKUP($A1891,'Concrete Beam Schedule'!$A$2:$Q$2902,U$2,0)&lt;&gt;E1891,"Beam Revised","")</f>
        <v>#N/A</v>
      </c>
      <c r="V1891" s="7" t="e">
        <f>IF(VLOOKUP($A1891,'Concrete Beam Schedule'!$A$2:$Q$2902,V$2,0)&lt;&gt;F1891,"Beam Revised","")</f>
        <v>#N/A</v>
      </c>
      <c r="W1891" s="7" t="e">
        <f>IF(VLOOKUP($A1891,'Concrete Beam Schedule'!$A$2:$Q$2902,W$2,0)&lt;&gt;G1891,"Beam Revised","")</f>
        <v>#N/A</v>
      </c>
      <c r="X1891" s="7" t="e">
        <f>IF(VLOOKUP($A1891,'Concrete Beam Schedule'!$A$2:$Q$2902,X$2,0)&lt;&gt;H1891,"Beam Revised","")</f>
        <v>#N/A</v>
      </c>
      <c r="Y1891" s="7" t="e">
        <f>IF(VLOOKUP($A1891,'Concrete Beam Schedule'!$A$2:$Q$2902,Y$2,0)&lt;&gt;I1891,"Beam Revised","")</f>
        <v>#N/A</v>
      </c>
      <c r="Z1891" s="7" t="e">
        <f>IF(VLOOKUP($A1891,'Concrete Beam Schedule'!$A$2:$Q$2902,Z$2,0)&lt;&gt;J1891,"Beam Revised","")</f>
        <v>#N/A</v>
      </c>
      <c r="AA1891" s="7" t="e">
        <f>IF(VLOOKUP($A1891,'Concrete Beam Schedule'!$A$2:$Q$2902,AA$2,0)&lt;&gt;K1891,"Beam Revised","")</f>
        <v>#N/A</v>
      </c>
      <c r="AB1891" s="7" t="e">
        <f>IF(VLOOKUP($A1891,'Concrete Beam Schedule'!$A$2:$Q$2902,AB$2,0)&lt;&gt;L1891,"Beam Revised","")</f>
        <v>#N/A</v>
      </c>
      <c r="AC1891" s="7" t="e">
        <f>IF(VLOOKUP($A1891,'Concrete Beam Schedule'!$A$2:$Q$2902,AC$2,0)&lt;&gt;M1891,"Beam Revised","")</f>
        <v>#N/A</v>
      </c>
      <c r="AD1891" s="7" t="e">
        <f>IF(VLOOKUP($A1891,'Concrete Beam Schedule'!$A$2:$Q$2902,AD$2,0)&lt;&gt;N1891,"Beam Revised","")</f>
        <v>#N/A</v>
      </c>
      <c r="AE1891" s="7" t="e">
        <f>IF(VLOOKUP($A1891,'Concrete Beam Schedule'!$A$2:$Q$2902,AE$2,0)&lt;&gt;O1891,"Beam Revised","")</f>
        <v>#N/A</v>
      </c>
    </row>
    <row r="1892" spans="17:31" ht="20.100000000000001" customHeight="1" x14ac:dyDescent="0.25">
      <c r="Q1892" s="7">
        <f t="shared" si="29"/>
        <v>0</v>
      </c>
      <c r="R1892" s="7" t="e">
        <f>IF(VLOOKUP($A1892,'Concrete Beam Schedule'!$A$2:$Q$2902,R$2,0)&lt;&gt;B1892,VLOOKUP($A1892,'Concrete Beam Schedule'!$A$2:$Q$2902,R$2,0),"")</f>
        <v>#N/A</v>
      </c>
      <c r="S1892" s="7" t="e">
        <f>IF(VLOOKUP($A1892,'Concrete Beam Schedule'!$A$2:$Q$2902,S$2,0)&lt;&gt;C1892,VLOOKUP($A1892,'Concrete Beam Schedule'!$A$2:$Q$2902,S$2,0),"")</f>
        <v>#N/A</v>
      </c>
      <c r="T1892" s="7" t="e">
        <f>IF(VLOOKUP($A1892,'Concrete Beam Schedule'!$A$2:$Q$2902,T$2,0)&lt;&gt;D1892,"Beam Revised","")</f>
        <v>#N/A</v>
      </c>
      <c r="U1892" s="7" t="e">
        <f>IF(VLOOKUP($A1892,'Concrete Beam Schedule'!$A$2:$Q$2902,U$2,0)&lt;&gt;E1892,"Beam Revised","")</f>
        <v>#N/A</v>
      </c>
      <c r="V1892" s="7" t="e">
        <f>IF(VLOOKUP($A1892,'Concrete Beam Schedule'!$A$2:$Q$2902,V$2,0)&lt;&gt;F1892,"Beam Revised","")</f>
        <v>#N/A</v>
      </c>
      <c r="W1892" s="7" t="e">
        <f>IF(VLOOKUP($A1892,'Concrete Beam Schedule'!$A$2:$Q$2902,W$2,0)&lt;&gt;G1892,"Beam Revised","")</f>
        <v>#N/A</v>
      </c>
      <c r="X1892" s="7" t="e">
        <f>IF(VLOOKUP($A1892,'Concrete Beam Schedule'!$A$2:$Q$2902,X$2,0)&lt;&gt;H1892,"Beam Revised","")</f>
        <v>#N/A</v>
      </c>
      <c r="Y1892" s="7" t="e">
        <f>IF(VLOOKUP($A1892,'Concrete Beam Schedule'!$A$2:$Q$2902,Y$2,0)&lt;&gt;I1892,"Beam Revised","")</f>
        <v>#N/A</v>
      </c>
      <c r="Z1892" s="7" t="e">
        <f>IF(VLOOKUP($A1892,'Concrete Beam Schedule'!$A$2:$Q$2902,Z$2,0)&lt;&gt;J1892,"Beam Revised","")</f>
        <v>#N/A</v>
      </c>
      <c r="AA1892" s="7" t="e">
        <f>IF(VLOOKUP($A1892,'Concrete Beam Schedule'!$A$2:$Q$2902,AA$2,0)&lt;&gt;K1892,"Beam Revised","")</f>
        <v>#N/A</v>
      </c>
      <c r="AB1892" s="7" t="e">
        <f>IF(VLOOKUP($A1892,'Concrete Beam Schedule'!$A$2:$Q$2902,AB$2,0)&lt;&gt;L1892,"Beam Revised","")</f>
        <v>#N/A</v>
      </c>
      <c r="AC1892" s="7" t="e">
        <f>IF(VLOOKUP($A1892,'Concrete Beam Schedule'!$A$2:$Q$2902,AC$2,0)&lt;&gt;M1892,"Beam Revised","")</f>
        <v>#N/A</v>
      </c>
      <c r="AD1892" s="7" t="e">
        <f>IF(VLOOKUP($A1892,'Concrete Beam Schedule'!$A$2:$Q$2902,AD$2,0)&lt;&gt;N1892,"Beam Revised","")</f>
        <v>#N/A</v>
      </c>
      <c r="AE1892" s="7" t="e">
        <f>IF(VLOOKUP($A1892,'Concrete Beam Schedule'!$A$2:$Q$2902,AE$2,0)&lt;&gt;O1892,"Beam Revised","")</f>
        <v>#N/A</v>
      </c>
    </row>
    <row r="1893" spans="17:31" ht="20.100000000000001" customHeight="1" x14ac:dyDescent="0.25">
      <c r="Q1893" s="7">
        <f t="shared" si="29"/>
        <v>0</v>
      </c>
      <c r="R1893" s="7" t="e">
        <f>IF(VLOOKUP($A1893,'Concrete Beam Schedule'!$A$2:$Q$2902,R$2,0)&lt;&gt;B1893,VLOOKUP($A1893,'Concrete Beam Schedule'!$A$2:$Q$2902,R$2,0),"")</f>
        <v>#N/A</v>
      </c>
      <c r="S1893" s="7" t="e">
        <f>IF(VLOOKUP($A1893,'Concrete Beam Schedule'!$A$2:$Q$2902,S$2,0)&lt;&gt;C1893,VLOOKUP($A1893,'Concrete Beam Schedule'!$A$2:$Q$2902,S$2,0),"")</f>
        <v>#N/A</v>
      </c>
      <c r="T1893" s="7" t="e">
        <f>IF(VLOOKUP($A1893,'Concrete Beam Schedule'!$A$2:$Q$2902,T$2,0)&lt;&gt;D1893,"Beam Revised","")</f>
        <v>#N/A</v>
      </c>
      <c r="U1893" s="7" t="e">
        <f>IF(VLOOKUP($A1893,'Concrete Beam Schedule'!$A$2:$Q$2902,U$2,0)&lt;&gt;E1893,"Beam Revised","")</f>
        <v>#N/A</v>
      </c>
      <c r="V1893" s="7" t="e">
        <f>IF(VLOOKUP($A1893,'Concrete Beam Schedule'!$A$2:$Q$2902,V$2,0)&lt;&gt;F1893,"Beam Revised","")</f>
        <v>#N/A</v>
      </c>
      <c r="W1893" s="7" t="e">
        <f>IF(VLOOKUP($A1893,'Concrete Beam Schedule'!$A$2:$Q$2902,W$2,0)&lt;&gt;G1893,"Beam Revised","")</f>
        <v>#N/A</v>
      </c>
      <c r="X1893" s="7" t="e">
        <f>IF(VLOOKUP($A1893,'Concrete Beam Schedule'!$A$2:$Q$2902,X$2,0)&lt;&gt;H1893,"Beam Revised","")</f>
        <v>#N/A</v>
      </c>
      <c r="Y1893" s="7" t="e">
        <f>IF(VLOOKUP($A1893,'Concrete Beam Schedule'!$A$2:$Q$2902,Y$2,0)&lt;&gt;I1893,"Beam Revised","")</f>
        <v>#N/A</v>
      </c>
      <c r="Z1893" s="7" t="e">
        <f>IF(VLOOKUP($A1893,'Concrete Beam Schedule'!$A$2:$Q$2902,Z$2,0)&lt;&gt;J1893,"Beam Revised","")</f>
        <v>#N/A</v>
      </c>
      <c r="AA1893" s="7" t="e">
        <f>IF(VLOOKUP($A1893,'Concrete Beam Schedule'!$A$2:$Q$2902,AA$2,0)&lt;&gt;K1893,"Beam Revised","")</f>
        <v>#N/A</v>
      </c>
      <c r="AB1893" s="7" t="e">
        <f>IF(VLOOKUP($A1893,'Concrete Beam Schedule'!$A$2:$Q$2902,AB$2,0)&lt;&gt;L1893,"Beam Revised","")</f>
        <v>#N/A</v>
      </c>
      <c r="AC1893" s="7" t="e">
        <f>IF(VLOOKUP($A1893,'Concrete Beam Schedule'!$A$2:$Q$2902,AC$2,0)&lt;&gt;M1893,"Beam Revised","")</f>
        <v>#N/A</v>
      </c>
      <c r="AD1893" s="7" t="e">
        <f>IF(VLOOKUP($A1893,'Concrete Beam Schedule'!$A$2:$Q$2902,AD$2,0)&lt;&gt;N1893,"Beam Revised","")</f>
        <v>#N/A</v>
      </c>
      <c r="AE1893" s="7" t="e">
        <f>IF(VLOOKUP($A1893,'Concrete Beam Schedule'!$A$2:$Q$2902,AE$2,0)&lt;&gt;O1893,"Beam Revised","")</f>
        <v>#N/A</v>
      </c>
    </row>
    <row r="1894" spans="17:31" ht="20.100000000000001" customHeight="1" x14ac:dyDescent="0.25">
      <c r="Q1894" s="7">
        <f t="shared" si="29"/>
        <v>0</v>
      </c>
      <c r="R1894" s="7" t="e">
        <f>IF(VLOOKUP($A1894,'Concrete Beam Schedule'!$A$2:$Q$2902,R$2,0)&lt;&gt;B1894,VLOOKUP($A1894,'Concrete Beam Schedule'!$A$2:$Q$2902,R$2,0),"")</f>
        <v>#N/A</v>
      </c>
      <c r="S1894" s="7" t="e">
        <f>IF(VLOOKUP($A1894,'Concrete Beam Schedule'!$A$2:$Q$2902,S$2,0)&lt;&gt;C1894,VLOOKUP($A1894,'Concrete Beam Schedule'!$A$2:$Q$2902,S$2,0),"")</f>
        <v>#N/A</v>
      </c>
      <c r="T1894" s="7" t="e">
        <f>IF(VLOOKUP($A1894,'Concrete Beam Schedule'!$A$2:$Q$2902,T$2,0)&lt;&gt;D1894,"Beam Revised","")</f>
        <v>#N/A</v>
      </c>
      <c r="U1894" s="7" t="e">
        <f>IF(VLOOKUP($A1894,'Concrete Beam Schedule'!$A$2:$Q$2902,U$2,0)&lt;&gt;E1894,"Beam Revised","")</f>
        <v>#N/A</v>
      </c>
      <c r="V1894" s="7" t="e">
        <f>IF(VLOOKUP($A1894,'Concrete Beam Schedule'!$A$2:$Q$2902,V$2,0)&lt;&gt;F1894,"Beam Revised","")</f>
        <v>#N/A</v>
      </c>
      <c r="W1894" s="7" t="e">
        <f>IF(VLOOKUP($A1894,'Concrete Beam Schedule'!$A$2:$Q$2902,W$2,0)&lt;&gt;G1894,"Beam Revised","")</f>
        <v>#N/A</v>
      </c>
      <c r="X1894" s="7" t="e">
        <f>IF(VLOOKUP($A1894,'Concrete Beam Schedule'!$A$2:$Q$2902,X$2,0)&lt;&gt;H1894,"Beam Revised","")</f>
        <v>#N/A</v>
      </c>
      <c r="Y1894" s="7" t="e">
        <f>IF(VLOOKUP($A1894,'Concrete Beam Schedule'!$A$2:$Q$2902,Y$2,0)&lt;&gt;I1894,"Beam Revised","")</f>
        <v>#N/A</v>
      </c>
      <c r="Z1894" s="7" t="e">
        <f>IF(VLOOKUP($A1894,'Concrete Beam Schedule'!$A$2:$Q$2902,Z$2,0)&lt;&gt;J1894,"Beam Revised","")</f>
        <v>#N/A</v>
      </c>
      <c r="AA1894" s="7" t="e">
        <f>IF(VLOOKUP($A1894,'Concrete Beam Schedule'!$A$2:$Q$2902,AA$2,0)&lt;&gt;K1894,"Beam Revised","")</f>
        <v>#N/A</v>
      </c>
      <c r="AB1894" s="7" t="e">
        <f>IF(VLOOKUP($A1894,'Concrete Beam Schedule'!$A$2:$Q$2902,AB$2,0)&lt;&gt;L1894,"Beam Revised","")</f>
        <v>#N/A</v>
      </c>
      <c r="AC1894" s="7" t="e">
        <f>IF(VLOOKUP($A1894,'Concrete Beam Schedule'!$A$2:$Q$2902,AC$2,0)&lt;&gt;M1894,"Beam Revised","")</f>
        <v>#N/A</v>
      </c>
      <c r="AD1894" s="7" t="e">
        <f>IF(VLOOKUP($A1894,'Concrete Beam Schedule'!$A$2:$Q$2902,AD$2,0)&lt;&gt;N1894,"Beam Revised","")</f>
        <v>#N/A</v>
      </c>
      <c r="AE1894" s="7" t="e">
        <f>IF(VLOOKUP($A1894,'Concrete Beam Schedule'!$A$2:$Q$2902,AE$2,0)&lt;&gt;O1894,"Beam Revised","")</f>
        <v>#N/A</v>
      </c>
    </row>
    <row r="1895" spans="17:31" ht="20.100000000000001" customHeight="1" x14ac:dyDescent="0.25">
      <c r="Q1895" s="7">
        <f t="shared" si="29"/>
        <v>0</v>
      </c>
      <c r="R1895" s="7" t="e">
        <f>IF(VLOOKUP($A1895,'Concrete Beam Schedule'!$A$2:$Q$2902,R$2,0)&lt;&gt;B1895,VLOOKUP($A1895,'Concrete Beam Schedule'!$A$2:$Q$2902,R$2,0),"")</f>
        <v>#N/A</v>
      </c>
      <c r="S1895" s="7" t="e">
        <f>IF(VLOOKUP($A1895,'Concrete Beam Schedule'!$A$2:$Q$2902,S$2,0)&lt;&gt;C1895,VLOOKUP($A1895,'Concrete Beam Schedule'!$A$2:$Q$2902,S$2,0),"")</f>
        <v>#N/A</v>
      </c>
      <c r="T1895" s="7" t="e">
        <f>IF(VLOOKUP($A1895,'Concrete Beam Schedule'!$A$2:$Q$2902,T$2,0)&lt;&gt;D1895,"Beam Revised","")</f>
        <v>#N/A</v>
      </c>
      <c r="U1895" s="7" t="e">
        <f>IF(VLOOKUP($A1895,'Concrete Beam Schedule'!$A$2:$Q$2902,U$2,0)&lt;&gt;E1895,"Beam Revised","")</f>
        <v>#N/A</v>
      </c>
      <c r="V1895" s="7" t="e">
        <f>IF(VLOOKUP($A1895,'Concrete Beam Schedule'!$A$2:$Q$2902,V$2,0)&lt;&gt;F1895,"Beam Revised","")</f>
        <v>#N/A</v>
      </c>
      <c r="W1895" s="7" t="e">
        <f>IF(VLOOKUP($A1895,'Concrete Beam Schedule'!$A$2:$Q$2902,W$2,0)&lt;&gt;G1895,"Beam Revised","")</f>
        <v>#N/A</v>
      </c>
      <c r="X1895" s="7" t="e">
        <f>IF(VLOOKUP($A1895,'Concrete Beam Schedule'!$A$2:$Q$2902,X$2,0)&lt;&gt;H1895,"Beam Revised","")</f>
        <v>#N/A</v>
      </c>
      <c r="Y1895" s="7" t="e">
        <f>IF(VLOOKUP($A1895,'Concrete Beam Schedule'!$A$2:$Q$2902,Y$2,0)&lt;&gt;I1895,"Beam Revised","")</f>
        <v>#N/A</v>
      </c>
      <c r="Z1895" s="7" t="e">
        <f>IF(VLOOKUP($A1895,'Concrete Beam Schedule'!$A$2:$Q$2902,Z$2,0)&lt;&gt;J1895,"Beam Revised","")</f>
        <v>#N/A</v>
      </c>
      <c r="AA1895" s="7" t="e">
        <f>IF(VLOOKUP($A1895,'Concrete Beam Schedule'!$A$2:$Q$2902,AA$2,0)&lt;&gt;K1895,"Beam Revised","")</f>
        <v>#N/A</v>
      </c>
      <c r="AB1895" s="7" t="e">
        <f>IF(VLOOKUP($A1895,'Concrete Beam Schedule'!$A$2:$Q$2902,AB$2,0)&lt;&gt;L1895,"Beam Revised","")</f>
        <v>#N/A</v>
      </c>
      <c r="AC1895" s="7" t="e">
        <f>IF(VLOOKUP($A1895,'Concrete Beam Schedule'!$A$2:$Q$2902,AC$2,0)&lt;&gt;M1895,"Beam Revised","")</f>
        <v>#N/A</v>
      </c>
      <c r="AD1895" s="7" t="e">
        <f>IF(VLOOKUP($A1895,'Concrete Beam Schedule'!$A$2:$Q$2902,AD$2,0)&lt;&gt;N1895,"Beam Revised","")</f>
        <v>#N/A</v>
      </c>
      <c r="AE1895" s="7" t="e">
        <f>IF(VLOOKUP($A1895,'Concrete Beam Schedule'!$A$2:$Q$2902,AE$2,0)&lt;&gt;O1895,"Beam Revised","")</f>
        <v>#N/A</v>
      </c>
    </row>
    <row r="1896" spans="17:31" ht="20.100000000000001" customHeight="1" x14ac:dyDescent="0.25">
      <c r="Q1896" s="7">
        <f t="shared" si="29"/>
        <v>0</v>
      </c>
      <c r="R1896" s="7" t="e">
        <f>IF(VLOOKUP($A1896,'Concrete Beam Schedule'!$A$2:$Q$2902,R$2,0)&lt;&gt;B1896,VLOOKUP($A1896,'Concrete Beam Schedule'!$A$2:$Q$2902,R$2,0),"")</f>
        <v>#N/A</v>
      </c>
      <c r="S1896" s="7" t="e">
        <f>IF(VLOOKUP($A1896,'Concrete Beam Schedule'!$A$2:$Q$2902,S$2,0)&lt;&gt;C1896,VLOOKUP($A1896,'Concrete Beam Schedule'!$A$2:$Q$2902,S$2,0),"")</f>
        <v>#N/A</v>
      </c>
      <c r="T1896" s="7" t="e">
        <f>IF(VLOOKUP($A1896,'Concrete Beam Schedule'!$A$2:$Q$2902,T$2,0)&lt;&gt;D1896,"Beam Revised","")</f>
        <v>#N/A</v>
      </c>
      <c r="U1896" s="7" t="e">
        <f>IF(VLOOKUP($A1896,'Concrete Beam Schedule'!$A$2:$Q$2902,U$2,0)&lt;&gt;E1896,"Beam Revised","")</f>
        <v>#N/A</v>
      </c>
      <c r="V1896" s="7" t="e">
        <f>IF(VLOOKUP($A1896,'Concrete Beam Schedule'!$A$2:$Q$2902,V$2,0)&lt;&gt;F1896,"Beam Revised","")</f>
        <v>#N/A</v>
      </c>
      <c r="W1896" s="7" t="e">
        <f>IF(VLOOKUP($A1896,'Concrete Beam Schedule'!$A$2:$Q$2902,W$2,0)&lt;&gt;G1896,"Beam Revised","")</f>
        <v>#N/A</v>
      </c>
      <c r="X1896" s="7" t="e">
        <f>IF(VLOOKUP($A1896,'Concrete Beam Schedule'!$A$2:$Q$2902,X$2,0)&lt;&gt;H1896,"Beam Revised","")</f>
        <v>#N/A</v>
      </c>
      <c r="Y1896" s="7" t="e">
        <f>IF(VLOOKUP($A1896,'Concrete Beam Schedule'!$A$2:$Q$2902,Y$2,0)&lt;&gt;I1896,"Beam Revised","")</f>
        <v>#N/A</v>
      </c>
      <c r="Z1896" s="7" t="e">
        <f>IF(VLOOKUP($A1896,'Concrete Beam Schedule'!$A$2:$Q$2902,Z$2,0)&lt;&gt;J1896,"Beam Revised","")</f>
        <v>#N/A</v>
      </c>
      <c r="AA1896" s="7" t="e">
        <f>IF(VLOOKUP($A1896,'Concrete Beam Schedule'!$A$2:$Q$2902,AA$2,0)&lt;&gt;K1896,"Beam Revised","")</f>
        <v>#N/A</v>
      </c>
      <c r="AB1896" s="7" t="e">
        <f>IF(VLOOKUP($A1896,'Concrete Beam Schedule'!$A$2:$Q$2902,AB$2,0)&lt;&gt;L1896,"Beam Revised","")</f>
        <v>#N/A</v>
      </c>
      <c r="AC1896" s="7" t="e">
        <f>IF(VLOOKUP($A1896,'Concrete Beam Schedule'!$A$2:$Q$2902,AC$2,0)&lt;&gt;M1896,"Beam Revised","")</f>
        <v>#N/A</v>
      </c>
      <c r="AD1896" s="7" t="e">
        <f>IF(VLOOKUP($A1896,'Concrete Beam Schedule'!$A$2:$Q$2902,AD$2,0)&lt;&gt;N1896,"Beam Revised","")</f>
        <v>#N/A</v>
      </c>
      <c r="AE1896" s="7" t="e">
        <f>IF(VLOOKUP($A1896,'Concrete Beam Schedule'!$A$2:$Q$2902,AE$2,0)&lt;&gt;O1896,"Beam Revised","")</f>
        <v>#N/A</v>
      </c>
    </row>
    <row r="1897" spans="17:31" ht="20.100000000000001" customHeight="1" x14ac:dyDescent="0.25">
      <c r="Q1897" s="7">
        <f t="shared" si="29"/>
        <v>0</v>
      </c>
      <c r="R1897" s="7" t="e">
        <f>IF(VLOOKUP($A1897,'Concrete Beam Schedule'!$A$2:$Q$2902,R$2,0)&lt;&gt;B1897,VLOOKUP($A1897,'Concrete Beam Schedule'!$A$2:$Q$2902,R$2,0),"")</f>
        <v>#N/A</v>
      </c>
      <c r="S1897" s="7" t="e">
        <f>IF(VLOOKUP($A1897,'Concrete Beam Schedule'!$A$2:$Q$2902,S$2,0)&lt;&gt;C1897,VLOOKUP($A1897,'Concrete Beam Schedule'!$A$2:$Q$2902,S$2,0),"")</f>
        <v>#N/A</v>
      </c>
      <c r="T1897" s="7" t="e">
        <f>IF(VLOOKUP($A1897,'Concrete Beam Schedule'!$A$2:$Q$2902,T$2,0)&lt;&gt;D1897,"Beam Revised","")</f>
        <v>#N/A</v>
      </c>
      <c r="U1897" s="7" t="e">
        <f>IF(VLOOKUP($A1897,'Concrete Beam Schedule'!$A$2:$Q$2902,U$2,0)&lt;&gt;E1897,"Beam Revised","")</f>
        <v>#N/A</v>
      </c>
      <c r="V1897" s="7" t="e">
        <f>IF(VLOOKUP($A1897,'Concrete Beam Schedule'!$A$2:$Q$2902,V$2,0)&lt;&gt;F1897,"Beam Revised","")</f>
        <v>#N/A</v>
      </c>
      <c r="W1897" s="7" t="e">
        <f>IF(VLOOKUP($A1897,'Concrete Beam Schedule'!$A$2:$Q$2902,W$2,0)&lt;&gt;G1897,"Beam Revised","")</f>
        <v>#N/A</v>
      </c>
      <c r="X1897" s="7" t="e">
        <f>IF(VLOOKUP($A1897,'Concrete Beam Schedule'!$A$2:$Q$2902,X$2,0)&lt;&gt;H1897,"Beam Revised","")</f>
        <v>#N/A</v>
      </c>
      <c r="Y1897" s="7" t="e">
        <f>IF(VLOOKUP($A1897,'Concrete Beam Schedule'!$A$2:$Q$2902,Y$2,0)&lt;&gt;I1897,"Beam Revised","")</f>
        <v>#N/A</v>
      </c>
      <c r="Z1897" s="7" t="e">
        <f>IF(VLOOKUP($A1897,'Concrete Beam Schedule'!$A$2:$Q$2902,Z$2,0)&lt;&gt;J1897,"Beam Revised","")</f>
        <v>#N/A</v>
      </c>
      <c r="AA1897" s="7" t="e">
        <f>IF(VLOOKUP($A1897,'Concrete Beam Schedule'!$A$2:$Q$2902,AA$2,0)&lt;&gt;K1897,"Beam Revised","")</f>
        <v>#N/A</v>
      </c>
      <c r="AB1897" s="7" t="e">
        <f>IF(VLOOKUP($A1897,'Concrete Beam Schedule'!$A$2:$Q$2902,AB$2,0)&lt;&gt;L1897,"Beam Revised","")</f>
        <v>#N/A</v>
      </c>
      <c r="AC1897" s="7" t="e">
        <f>IF(VLOOKUP($A1897,'Concrete Beam Schedule'!$A$2:$Q$2902,AC$2,0)&lt;&gt;M1897,"Beam Revised","")</f>
        <v>#N/A</v>
      </c>
      <c r="AD1897" s="7" t="e">
        <f>IF(VLOOKUP($A1897,'Concrete Beam Schedule'!$A$2:$Q$2902,AD$2,0)&lt;&gt;N1897,"Beam Revised","")</f>
        <v>#N/A</v>
      </c>
      <c r="AE1897" s="7" t="e">
        <f>IF(VLOOKUP($A1897,'Concrete Beam Schedule'!$A$2:$Q$2902,AE$2,0)&lt;&gt;O1897,"Beam Revised","")</f>
        <v>#N/A</v>
      </c>
    </row>
    <row r="1898" spans="17:31" ht="20.100000000000001" customHeight="1" x14ac:dyDescent="0.25">
      <c r="Q1898" s="7">
        <f t="shared" si="29"/>
        <v>0</v>
      </c>
      <c r="R1898" s="7" t="e">
        <f>IF(VLOOKUP($A1898,'Concrete Beam Schedule'!$A$2:$Q$2902,R$2,0)&lt;&gt;B1898,VLOOKUP($A1898,'Concrete Beam Schedule'!$A$2:$Q$2902,R$2,0),"")</f>
        <v>#N/A</v>
      </c>
      <c r="S1898" s="7" t="e">
        <f>IF(VLOOKUP($A1898,'Concrete Beam Schedule'!$A$2:$Q$2902,S$2,0)&lt;&gt;C1898,VLOOKUP($A1898,'Concrete Beam Schedule'!$A$2:$Q$2902,S$2,0),"")</f>
        <v>#N/A</v>
      </c>
      <c r="T1898" s="7" t="e">
        <f>IF(VLOOKUP($A1898,'Concrete Beam Schedule'!$A$2:$Q$2902,T$2,0)&lt;&gt;D1898,"Beam Revised","")</f>
        <v>#N/A</v>
      </c>
      <c r="U1898" s="7" t="e">
        <f>IF(VLOOKUP($A1898,'Concrete Beam Schedule'!$A$2:$Q$2902,U$2,0)&lt;&gt;E1898,"Beam Revised","")</f>
        <v>#N/A</v>
      </c>
      <c r="V1898" s="7" t="e">
        <f>IF(VLOOKUP($A1898,'Concrete Beam Schedule'!$A$2:$Q$2902,V$2,0)&lt;&gt;F1898,"Beam Revised","")</f>
        <v>#N/A</v>
      </c>
      <c r="W1898" s="7" t="e">
        <f>IF(VLOOKUP($A1898,'Concrete Beam Schedule'!$A$2:$Q$2902,W$2,0)&lt;&gt;G1898,"Beam Revised","")</f>
        <v>#N/A</v>
      </c>
      <c r="X1898" s="7" t="e">
        <f>IF(VLOOKUP($A1898,'Concrete Beam Schedule'!$A$2:$Q$2902,X$2,0)&lt;&gt;H1898,"Beam Revised","")</f>
        <v>#N/A</v>
      </c>
      <c r="Y1898" s="7" t="e">
        <f>IF(VLOOKUP($A1898,'Concrete Beam Schedule'!$A$2:$Q$2902,Y$2,0)&lt;&gt;I1898,"Beam Revised","")</f>
        <v>#N/A</v>
      </c>
      <c r="Z1898" s="7" t="e">
        <f>IF(VLOOKUP($A1898,'Concrete Beam Schedule'!$A$2:$Q$2902,Z$2,0)&lt;&gt;J1898,"Beam Revised","")</f>
        <v>#N/A</v>
      </c>
      <c r="AA1898" s="7" t="e">
        <f>IF(VLOOKUP($A1898,'Concrete Beam Schedule'!$A$2:$Q$2902,AA$2,0)&lt;&gt;K1898,"Beam Revised","")</f>
        <v>#N/A</v>
      </c>
      <c r="AB1898" s="7" t="e">
        <f>IF(VLOOKUP($A1898,'Concrete Beam Schedule'!$A$2:$Q$2902,AB$2,0)&lt;&gt;L1898,"Beam Revised","")</f>
        <v>#N/A</v>
      </c>
      <c r="AC1898" s="7" t="e">
        <f>IF(VLOOKUP($A1898,'Concrete Beam Schedule'!$A$2:$Q$2902,AC$2,0)&lt;&gt;M1898,"Beam Revised","")</f>
        <v>#N/A</v>
      </c>
      <c r="AD1898" s="7" t="e">
        <f>IF(VLOOKUP($A1898,'Concrete Beam Schedule'!$A$2:$Q$2902,AD$2,0)&lt;&gt;N1898,"Beam Revised","")</f>
        <v>#N/A</v>
      </c>
      <c r="AE1898" s="7" t="e">
        <f>IF(VLOOKUP($A1898,'Concrete Beam Schedule'!$A$2:$Q$2902,AE$2,0)&lt;&gt;O1898,"Beam Revised","")</f>
        <v>#N/A</v>
      </c>
    </row>
    <row r="1899" spans="17:31" ht="20.100000000000001" customHeight="1" x14ac:dyDescent="0.25">
      <c r="Q1899" s="7">
        <f t="shared" si="29"/>
        <v>0</v>
      </c>
      <c r="R1899" s="7" t="e">
        <f>IF(VLOOKUP($A1899,'Concrete Beam Schedule'!$A$2:$Q$2902,R$2,0)&lt;&gt;B1899,VLOOKUP($A1899,'Concrete Beam Schedule'!$A$2:$Q$2902,R$2,0),"")</f>
        <v>#N/A</v>
      </c>
      <c r="S1899" s="7" t="e">
        <f>IF(VLOOKUP($A1899,'Concrete Beam Schedule'!$A$2:$Q$2902,S$2,0)&lt;&gt;C1899,VLOOKUP($A1899,'Concrete Beam Schedule'!$A$2:$Q$2902,S$2,0),"")</f>
        <v>#N/A</v>
      </c>
      <c r="T1899" s="7" t="e">
        <f>IF(VLOOKUP($A1899,'Concrete Beam Schedule'!$A$2:$Q$2902,T$2,0)&lt;&gt;D1899,"Beam Revised","")</f>
        <v>#N/A</v>
      </c>
      <c r="U1899" s="7" t="e">
        <f>IF(VLOOKUP($A1899,'Concrete Beam Schedule'!$A$2:$Q$2902,U$2,0)&lt;&gt;E1899,"Beam Revised","")</f>
        <v>#N/A</v>
      </c>
      <c r="V1899" s="7" t="e">
        <f>IF(VLOOKUP($A1899,'Concrete Beam Schedule'!$A$2:$Q$2902,V$2,0)&lt;&gt;F1899,"Beam Revised","")</f>
        <v>#N/A</v>
      </c>
      <c r="W1899" s="7" t="e">
        <f>IF(VLOOKUP($A1899,'Concrete Beam Schedule'!$A$2:$Q$2902,W$2,0)&lt;&gt;G1899,"Beam Revised","")</f>
        <v>#N/A</v>
      </c>
      <c r="X1899" s="7" t="e">
        <f>IF(VLOOKUP($A1899,'Concrete Beam Schedule'!$A$2:$Q$2902,X$2,0)&lt;&gt;H1899,"Beam Revised","")</f>
        <v>#N/A</v>
      </c>
      <c r="Y1899" s="7" t="e">
        <f>IF(VLOOKUP($A1899,'Concrete Beam Schedule'!$A$2:$Q$2902,Y$2,0)&lt;&gt;I1899,"Beam Revised","")</f>
        <v>#N/A</v>
      </c>
      <c r="Z1899" s="7" t="e">
        <f>IF(VLOOKUP($A1899,'Concrete Beam Schedule'!$A$2:$Q$2902,Z$2,0)&lt;&gt;J1899,"Beam Revised","")</f>
        <v>#N/A</v>
      </c>
      <c r="AA1899" s="7" t="e">
        <f>IF(VLOOKUP($A1899,'Concrete Beam Schedule'!$A$2:$Q$2902,AA$2,0)&lt;&gt;K1899,"Beam Revised","")</f>
        <v>#N/A</v>
      </c>
      <c r="AB1899" s="7" t="e">
        <f>IF(VLOOKUP($A1899,'Concrete Beam Schedule'!$A$2:$Q$2902,AB$2,0)&lt;&gt;L1899,"Beam Revised","")</f>
        <v>#N/A</v>
      </c>
      <c r="AC1899" s="7" t="e">
        <f>IF(VLOOKUP($A1899,'Concrete Beam Schedule'!$A$2:$Q$2902,AC$2,0)&lt;&gt;M1899,"Beam Revised","")</f>
        <v>#N/A</v>
      </c>
      <c r="AD1899" s="7" t="e">
        <f>IF(VLOOKUP($A1899,'Concrete Beam Schedule'!$A$2:$Q$2902,AD$2,0)&lt;&gt;N1899,"Beam Revised","")</f>
        <v>#N/A</v>
      </c>
      <c r="AE1899" s="7" t="e">
        <f>IF(VLOOKUP($A1899,'Concrete Beam Schedule'!$A$2:$Q$2902,AE$2,0)&lt;&gt;O1899,"Beam Revised","")</f>
        <v>#N/A</v>
      </c>
    </row>
    <row r="1900" spans="17:31" ht="20.100000000000001" customHeight="1" x14ac:dyDescent="0.25">
      <c r="Q1900" s="7">
        <f t="shared" si="29"/>
        <v>0</v>
      </c>
      <c r="R1900" s="7" t="e">
        <f>IF(VLOOKUP($A1900,'Concrete Beam Schedule'!$A$2:$Q$2902,R$2,0)&lt;&gt;B1900,VLOOKUP($A1900,'Concrete Beam Schedule'!$A$2:$Q$2902,R$2,0),"")</f>
        <v>#N/A</v>
      </c>
      <c r="S1900" s="7" t="e">
        <f>IF(VLOOKUP($A1900,'Concrete Beam Schedule'!$A$2:$Q$2902,S$2,0)&lt;&gt;C1900,VLOOKUP($A1900,'Concrete Beam Schedule'!$A$2:$Q$2902,S$2,0),"")</f>
        <v>#N/A</v>
      </c>
      <c r="T1900" s="7" t="e">
        <f>IF(VLOOKUP($A1900,'Concrete Beam Schedule'!$A$2:$Q$2902,T$2,0)&lt;&gt;D1900,"Beam Revised","")</f>
        <v>#N/A</v>
      </c>
      <c r="U1900" s="7" t="e">
        <f>IF(VLOOKUP($A1900,'Concrete Beam Schedule'!$A$2:$Q$2902,U$2,0)&lt;&gt;E1900,"Beam Revised","")</f>
        <v>#N/A</v>
      </c>
      <c r="V1900" s="7" t="e">
        <f>IF(VLOOKUP($A1900,'Concrete Beam Schedule'!$A$2:$Q$2902,V$2,0)&lt;&gt;F1900,"Beam Revised","")</f>
        <v>#N/A</v>
      </c>
      <c r="W1900" s="7" t="e">
        <f>IF(VLOOKUP($A1900,'Concrete Beam Schedule'!$A$2:$Q$2902,W$2,0)&lt;&gt;G1900,"Beam Revised","")</f>
        <v>#N/A</v>
      </c>
      <c r="X1900" s="7" t="e">
        <f>IF(VLOOKUP($A1900,'Concrete Beam Schedule'!$A$2:$Q$2902,X$2,0)&lt;&gt;H1900,"Beam Revised","")</f>
        <v>#N/A</v>
      </c>
      <c r="Y1900" s="7" t="e">
        <f>IF(VLOOKUP($A1900,'Concrete Beam Schedule'!$A$2:$Q$2902,Y$2,0)&lt;&gt;I1900,"Beam Revised","")</f>
        <v>#N/A</v>
      </c>
      <c r="Z1900" s="7" t="e">
        <f>IF(VLOOKUP($A1900,'Concrete Beam Schedule'!$A$2:$Q$2902,Z$2,0)&lt;&gt;J1900,"Beam Revised","")</f>
        <v>#N/A</v>
      </c>
      <c r="AA1900" s="7" t="e">
        <f>IF(VLOOKUP($A1900,'Concrete Beam Schedule'!$A$2:$Q$2902,AA$2,0)&lt;&gt;K1900,"Beam Revised","")</f>
        <v>#N/A</v>
      </c>
      <c r="AB1900" s="7" t="e">
        <f>IF(VLOOKUP($A1900,'Concrete Beam Schedule'!$A$2:$Q$2902,AB$2,0)&lt;&gt;L1900,"Beam Revised","")</f>
        <v>#N/A</v>
      </c>
      <c r="AC1900" s="7" t="e">
        <f>IF(VLOOKUP($A1900,'Concrete Beam Schedule'!$A$2:$Q$2902,AC$2,0)&lt;&gt;M1900,"Beam Revised","")</f>
        <v>#N/A</v>
      </c>
      <c r="AD1900" s="7" t="e">
        <f>IF(VLOOKUP($A1900,'Concrete Beam Schedule'!$A$2:$Q$2902,AD$2,0)&lt;&gt;N1900,"Beam Revised","")</f>
        <v>#N/A</v>
      </c>
      <c r="AE1900" s="7" t="e">
        <f>IF(VLOOKUP($A1900,'Concrete Beam Schedule'!$A$2:$Q$2902,AE$2,0)&lt;&gt;O1900,"Beam Revised","")</f>
        <v>#N/A</v>
      </c>
    </row>
    <row r="1901" spans="17:31" ht="20.100000000000001" customHeight="1" x14ac:dyDescent="0.25">
      <c r="Q1901" s="7">
        <f t="shared" si="29"/>
        <v>0</v>
      </c>
      <c r="R1901" s="7" t="e">
        <f>IF(VLOOKUP($A1901,'Concrete Beam Schedule'!$A$2:$Q$2902,R$2,0)&lt;&gt;B1901,VLOOKUP($A1901,'Concrete Beam Schedule'!$A$2:$Q$2902,R$2,0),"")</f>
        <v>#N/A</v>
      </c>
      <c r="S1901" s="7" t="e">
        <f>IF(VLOOKUP($A1901,'Concrete Beam Schedule'!$A$2:$Q$2902,S$2,0)&lt;&gt;C1901,VLOOKUP($A1901,'Concrete Beam Schedule'!$A$2:$Q$2902,S$2,0),"")</f>
        <v>#N/A</v>
      </c>
      <c r="T1901" s="7" t="e">
        <f>IF(VLOOKUP($A1901,'Concrete Beam Schedule'!$A$2:$Q$2902,T$2,0)&lt;&gt;D1901,"Beam Revised","")</f>
        <v>#N/A</v>
      </c>
      <c r="U1901" s="7" t="e">
        <f>IF(VLOOKUP($A1901,'Concrete Beam Schedule'!$A$2:$Q$2902,U$2,0)&lt;&gt;E1901,"Beam Revised","")</f>
        <v>#N/A</v>
      </c>
      <c r="V1901" s="7" t="e">
        <f>IF(VLOOKUP($A1901,'Concrete Beam Schedule'!$A$2:$Q$2902,V$2,0)&lt;&gt;F1901,"Beam Revised","")</f>
        <v>#N/A</v>
      </c>
      <c r="W1901" s="7" t="e">
        <f>IF(VLOOKUP($A1901,'Concrete Beam Schedule'!$A$2:$Q$2902,W$2,0)&lt;&gt;G1901,"Beam Revised","")</f>
        <v>#N/A</v>
      </c>
      <c r="X1901" s="7" t="e">
        <f>IF(VLOOKUP($A1901,'Concrete Beam Schedule'!$A$2:$Q$2902,X$2,0)&lt;&gt;H1901,"Beam Revised","")</f>
        <v>#N/A</v>
      </c>
      <c r="Y1901" s="7" t="e">
        <f>IF(VLOOKUP($A1901,'Concrete Beam Schedule'!$A$2:$Q$2902,Y$2,0)&lt;&gt;I1901,"Beam Revised","")</f>
        <v>#N/A</v>
      </c>
      <c r="Z1901" s="7" t="e">
        <f>IF(VLOOKUP($A1901,'Concrete Beam Schedule'!$A$2:$Q$2902,Z$2,0)&lt;&gt;J1901,"Beam Revised","")</f>
        <v>#N/A</v>
      </c>
      <c r="AA1901" s="7" t="e">
        <f>IF(VLOOKUP($A1901,'Concrete Beam Schedule'!$A$2:$Q$2902,AA$2,0)&lt;&gt;K1901,"Beam Revised","")</f>
        <v>#N/A</v>
      </c>
      <c r="AB1901" s="7" t="e">
        <f>IF(VLOOKUP($A1901,'Concrete Beam Schedule'!$A$2:$Q$2902,AB$2,0)&lt;&gt;L1901,"Beam Revised","")</f>
        <v>#N/A</v>
      </c>
      <c r="AC1901" s="7" t="e">
        <f>IF(VLOOKUP($A1901,'Concrete Beam Schedule'!$A$2:$Q$2902,AC$2,0)&lt;&gt;M1901,"Beam Revised","")</f>
        <v>#N/A</v>
      </c>
      <c r="AD1901" s="7" t="e">
        <f>IF(VLOOKUP($A1901,'Concrete Beam Schedule'!$A$2:$Q$2902,AD$2,0)&lt;&gt;N1901,"Beam Revised","")</f>
        <v>#N/A</v>
      </c>
      <c r="AE1901" s="7" t="e">
        <f>IF(VLOOKUP($A1901,'Concrete Beam Schedule'!$A$2:$Q$2902,AE$2,0)&lt;&gt;O1901,"Beam Revised","")</f>
        <v>#N/A</v>
      </c>
    </row>
    <row r="1902" spans="17:31" ht="20.100000000000001" customHeight="1" x14ac:dyDescent="0.25">
      <c r="Q1902" s="7">
        <f t="shared" si="29"/>
        <v>0</v>
      </c>
      <c r="R1902" s="7" t="e">
        <f>IF(VLOOKUP($A1902,'Concrete Beam Schedule'!$A$2:$Q$2902,R$2,0)&lt;&gt;B1902,VLOOKUP($A1902,'Concrete Beam Schedule'!$A$2:$Q$2902,R$2,0),"")</f>
        <v>#N/A</v>
      </c>
      <c r="S1902" s="7" t="e">
        <f>IF(VLOOKUP($A1902,'Concrete Beam Schedule'!$A$2:$Q$2902,S$2,0)&lt;&gt;C1902,VLOOKUP($A1902,'Concrete Beam Schedule'!$A$2:$Q$2902,S$2,0),"")</f>
        <v>#N/A</v>
      </c>
      <c r="T1902" s="7" t="e">
        <f>IF(VLOOKUP($A1902,'Concrete Beam Schedule'!$A$2:$Q$2902,T$2,0)&lt;&gt;D1902,"Beam Revised","")</f>
        <v>#N/A</v>
      </c>
      <c r="U1902" s="7" t="e">
        <f>IF(VLOOKUP($A1902,'Concrete Beam Schedule'!$A$2:$Q$2902,U$2,0)&lt;&gt;E1902,"Beam Revised","")</f>
        <v>#N/A</v>
      </c>
      <c r="V1902" s="7" t="e">
        <f>IF(VLOOKUP($A1902,'Concrete Beam Schedule'!$A$2:$Q$2902,V$2,0)&lt;&gt;F1902,"Beam Revised","")</f>
        <v>#N/A</v>
      </c>
      <c r="W1902" s="7" t="e">
        <f>IF(VLOOKUP($A1902,'Concrete Beam Schedule'!$A$2:$Q$2902,W$2,0)&lt;&gt;G1902,"Beam Revised","")</f>
        <v>#N/A</v>
      </c>
      <c r="X1902" s="7" t="e">
        <f>IF(VLOOKUP($A1902,'Concrete Beam Schedule'!$A$2:$Q$2902,X$2,0)&lt;&gt;H1902,"Beam Revised","")</f>
        <v>#N/A</v>
      </c>
      <c r="Y1902" s="7" t="e">
        <f>IF(VLOOKUP($A1902,'Concrete Beam Schedule'!$A$2:$Q$2902,Y$2,0)&lt;&gt;I1902,"Beam Revised","")</f>
        <v>#N/A</v>
      </c>
      <c r="Z1902" s="7" t="e">
        <f>IF(VLOOKUP($A1902,'Concrete Beam Schedule'!$A$2:$Q$2902,Z$2,0)&lt;&gt;J1902,"Beam Revised","")</f>
        <v>#N/A</v>
      </c>
      <c r="AA1902" s="7" t="e">
        <f>IF(VLOOKUP($A1902,'Concrete Beam Schedule'!$A$2:$Q$2902,AA$2,0)&lt;&gt;K1902,"Beam Revised","")</f>
        <v>#N/A</v>
      </c>
      <c r="AB1902" s="7" t="e">
        <f>IF(VLOOKUP($A1902,'Concrete Beam Schedule'!$A$2:$Q$2902,AB$2,0)&lt;&gt;L1902,"Beam Revised","")</f>
        <v>#N/A</v>
      </c>
      <c r="AC1902" s="7" t="e">
        <f>IF(VLOOKUP($A1902,'Concrete Beam Schedule'!$A$2:$Q$2902,AC$2,0)&lt;&gt;M1902,"Beam Revised","")</f>
        <v>#N/A</v>
      </c>
      <c r="AD1902" s="7" t="e">
        <f>IF(VLOOKUP($A1902,'Concrete Beam Schedule'!$A$2:$Q$2902,AD$2,0)&lt;&gt;N1902,"Beam Revised","")</f>
        <v>#N/A</v>
      </c>
      <c r="AE1902" s="7" t="e">
        <f>IF(VLOOKUP($A1902,'Concrete Beam Schedule'!$A$2:$Q$2902,AE$2,0)&lt;&gt;O1902,"Beam Revised","")</f>
        <v>#N/A</v>
      </c>
    </row>
    <row r="1903" spans="17:31" ht="20.100000000000001" customHeight="1" x14ac:dyDescent="0.25">
      <c r="Q1903" s="7">
        <f t="shared" si="29"/>
        <v>0</v>
      </c>
      <c r="R1903" s="7" t="e">
        <f>IF(VLOOKUP($A1903,'Concrete Beam Schedule'!$A$2:$Q$2902,R$2,0)&lt;&gt;B1903,VLOOKUP($A1903,'Concrete Beam Schedule'!$A$2:$Q$2902,R$2,0),"")</f>
        <v>#N/A</v>
      </c>
      <c r="S1903" s="7" t="e">
        <f>IF(VLOOKUP($A1903,'Concrete Beam Schedule'!$A$2:$Q$2902,S$2,0)&lt;&gt;C1903,VLOOKUP($A1903,'Concrete Beam Schedule'!$A$2:$Q$2902,S$2,0),"")</f>
        <v>#N/A</v>
      </c>
      <c r="T1903" s="7" t="e">
        <f>IF(VLOOKUP($A1903,'Concrete Beam Schedule'!$A$2:$Q$2902,T$2,0)&lt;&gt;D1903,"Beam Revised","")</f>
        <v>#N/A</v>
      </c>
      <c r="U1903" s="7" t="e">
        <f>IF(VLOOKUP($A1903,'Concrete Beam Schedule'!$A$2:$Q$2902,U$2,0)&lt;&gt;E1903,"Beam Revised","")</f>
        <v>#N/A</v>
      </c>
      <c r="V1903" s="7" t="e">
        <f>IF(VLOOKUP($A1903,'Concrete Beam Schedule'!$A$2:$Q$2902,V$2,0)&lt;&gt;F1903,"Beam Revised","")</f>
        <v>#N/A</v>
      </c>
      <c r="W1903" s="7" t="e">
        <f>IF(VLOOKUP($A1903,'Concrete Beam Schedule'!$A$2:$Q$2902,W$2,0)&lt;&gt;G1903,"Beam Revised","")</f>
        <v>#N/A</v>
      </c>
      <c r="X1903" s="7" t="e">
        <f>IF(VLOOKUP($A1903,'Concrete Beam Schedule'!$A$2:$Q$2902,X$2,0)&lt;&gt;H1903,"Beam Revised","")</f>
        <v>#N/A</v>
      </c>
      <c r="Y1903" s="7" t="e">
        <f>IF(VLOOKUP($A1903,'Concrete Beam Schedule'!$A$2:$Q$2902,Y$2,0)&lt;&gt;I1903,"Beam Revised","")</f>
        <v>#N/A</v>
      </c>
      <c r="Z1903" s="7" t="e">
        <f>IF(VLOOKUP($A1903,'Concrete Beam Schedule'!$A$2:$Q$2902,Z$2,0)&lt;&gt;J1903,"Beam Revised","")</f>
        <v>#N/A</v>
      </c>
      <c r="AA1903" s="7" t="e">
        <f>IF(VLOOKUP($A1903,'Concrete Beam Schedule'!$A$2:$Q$2902,AA$2,0)&lt;&gt;K1903,"Beam Revised","")</f>
        <v>#N/A</v>
      </c>
      <c r="AB1903" s="7" t="e">
        <f>IF(VLOOKUP($A1903,'Concrete Beam Schedule'!$A$2:$Q$2902,AB$2,0)&lt;&gt;L1903,"Beam Revised","")</f>
        <v>#N/A</v>
      </c>
      <c r="AC1903" s="7" t="e">
        <f>IF(VLOOKUP($A1903,'Concrete Beam Schedule'!$A$2:$Q$2902,AC$2,0)&lt;&gt;M1903,"Beam Revised","")</f>
        <v>#N/A</v>
      </c>
      <c r="AD1903" s="7" t="e">
        <f>IF(VLOOKUP($A1903,'Concrete Beam Schedule'!$A$2:$Q$2902,AD$2,0)&lt;&gt;N1903,"Beam Revised","")</f>
        <v>#N/A</v>
      </c>
      <c r="AE1903" s="7" t="e">
        <f>IF(VLOOKUP($A1903,'Concrete Beam Schedule'!$A$2:$Q$2902,AE$2,0)&lt;&gt;O1903,"Beam Revised","")</f>
        <v>#N/A</v>
      </c>
    </row>
    <row r="1904" spans="17:31" ht="20.100000000000001" customHeight="1" x14ac:dyDescent="0.25">
      <c r="Q1904" s="7">
        <f t="shared" si="29"/>
        <v>0</v>
      </c>
      <c r="R1904" s="7" t="e">
        <f>IF(VLOOKUP($A1904,'Concrete Beam Schedule'!$A$2:$Q$2902,R$2,0)&lt;&gt;B1904,VLOOKUP($A1904,'Concrete Beam Schedule'!$A$2:$Q$2902,R$2,0),"")</f>
        <v>#N/A</v>
      </c>
      <c r="S1904" s="7" t="e">
        <f>IF(VLOOKUP($A1904,'Concrete Beam Schedule'!$A$2:$Q$2902,S$2,0)&lt;&gt;C1904,VLOOKUP($A1904,'Concrete Beam Schedule'!$A$2:$Q$2902,S$2,0),"")</f>
        <v>#N/A</v>
      </c>
      <c r="T1904" s="7" t="e">
        <f>IF(VLOOKUP($A1904,'Concrete Beam Schedule'!$A$2:$Q$2902,T$2,0)&lt;&gt;D1904,"Beam Revised","")</f>
        <v>#N/A</v>
      </c>
      <c r="U1904" s="7" t="e">
        <f>IF(VLOOKUP($A1904,'Concrete Beam Schedule'!$A$2:$Q$2902,U$2,0)&lt;&gt;E1904,"Beam Revised","")</f>
        <v>#N/A</v>
      </c>
      <c r="V1904" s="7" t="e">
        <f>IF(VLOOKUP($A1904,'Concrete Beam Schedule'!$A$2:$Q$2902,V$2,0)&lt;&gt;F1904,"Beam Revised","")</f>
        <v>#N/A</v>
      </c>
      <c r="W1904" s="7" t="e">
        <f>IF(VLOOKUP($A1904,'Concrete Beam Schedule'!$A$2:$Q$2902,W$2,0)&lt;&gt;G1904,"Beam Revised","")</f>
        <v>#N/A</v>
      </c>
      <c r="X1904" s="7" t="e">
        <f>IF(VLOOKUP($A1904,'Concrete Beam Schedule'!$A$2:$Q$2902,X$2,0)&lt;&gt;H1904,"Beam Revised","")</f>
        <v>#N/A</v>
      </c>
      <c r="Y1904" s="7" t="e">
        <f>IF(VLOOKUP($A1904,'Concrete Beam Schedule'!$A$2:$Q$2902,Y$2,0)&lt;&gt;I1904,"Beam Revised","")</f>
        <v>#N/A</v>
      </c>
      <c r="Z1904" s="7" t="e">
        <f>IF(VLOOKUP($A1904,'Concrete Beam Schedule'!$A$2:$Q$2902,Z$2,0)&lt;&gt;J1904,"Beam Revised","")</f>
        <v>#N/A</v>
      </c>
      <c r="AA1904" s="7" t="e">
        <f>IF(VLOOKUP($A1904,'Concrete Beam Schedule'!$A$2:$Q$2902,AA$2,0)&lt;&gt;K1904,"Beam Revised","")</f>
        <v>#N/A</v>
      </c>
      <c r="AB1904" s="7" t="e">
        <f>IF(VLOOKUP($A1904,'Concrete Beam Schedule'!$A$2:$Q$2902,AB$2,0)&lt;&gt;L1904,"Beam Revised","")</f>
        <v>#N/A</v>
      </c>
      <c r="AC1904" s="7" t="e">
        <f>IF(VLOOKUP($A1904,'Concrete Beam Schedule'!$A$2:$Q$2902,AC$2,0)&lt;&gt;M1904,"Beam Revised","")</f>
        <v>#N/A</v>
      </c>
      <c r="AD1904" s="7" t="e">
        <f>IF(VLOOKUP($A1904,'Concrete Beam Schedule'!$A$2:$Q$2902,AD$2,0)&lt;&gt;N1904,"Beam Revised","")</f>
        <v>#N/A</v>
      </c>
      <c r="AE1904" s="7" t="e">
        <f>IF(VLOOKUP($A1904,'Concrete Beam Schedule'!$A$2:$Q$2902,AE$2,0)&lt;&gt;O1904,"Beam Revised","")</f>
        <v>#N/A</v>
      </c>
    </row>
    <row r="1905" spans="17:31" ht="20.100000000000001" customHeight="1" x14ac:dyDescent="0.25">
      <c r="Q1905" s="7">
        <f t="shared" si="29"/>
        <v>0</v>
      </c>
      <c r="R1905" s="7" t="e">
        <f>IF(VLOOKUP($A1905,'Concrete Beam Schedule'!$A$2:$Q$2902,R$2,0)&lt;&gt;B1905,VLOOKUP($A1905,'Concrete Beam Schedule'!$A$2:$Q$2902,R$2,0),"")</f>
        <v>#N/A</v>
      </c>
      <c r="S1905" s="7" t="e">
        <f>IF(VLOOKUP($A1905,'Concrete Beam Schedule'!$A$2:$Q$2902,S$2,0)&lt;&gt;C1905,VLOOKUP($A1905,'Concrete Beam Schedule'!$A$2:$Q$2902,S$2,0),"")</f>
        <v>#N/A</v>
      </c>
      <c r="T1905" s="7" t="e">
        <f>IF(VLOOKUP($A1905,'Concrete Beam Schedule'!$A$2:$Q$2902,T$2,0)&lt;&gt;D1905,"Beam Revised","")</f>
        <v>#N/A</v>
      </c>
      <c r="U1905" s="7" t="e">
        <f>IF(VLOOKUP($A1905,'Concrete Beam Schedule'!$A$2:$Q$2902,U$2,0)&lt;&gt;E1905,"Beam Revised","")</f>
        <v>#N/A</v>
      </c>
      <c r="V1905" s="7" t="e">
        <f>IF(VLOOKUP($A1905,'Concrete Beam Schedule'!$A$2:$Q$2902,V$2,0)&lt;&gt;F1905,"Beam Revised","")</f>
        <v>#N/A</v>
      </c>
      <c r="W1905" s="7" t="e">
        <f>IF(VLOOKUP($A1905,'Concrete Beam Schedule'!$A$2:$Q$2902,W$2,0)&lt;&gt;G1905,"Beam Revised","")</f>
        <v>#N/A</v>
      </c>
      <c r="X1905" s="7" t="e">
        <f>IF(VLOOKUP($A1905,'Concrete Beam Schedule'!$A$2:$Q$2902,X$2,0)&lt;&gt;H1905,"Beam Revised","")</f>
        <v>#N/A</v>
      </c>
      <c r="Y1905" s="7" t="e">
        <f>IF(VLOOKUP($A1905,'Concrete Beam Schedule'!$A$2:$Q$2902,Y$2,0)&lt;&gt;I1905,"Beam Revised","")</f>
        <v>#N/A</v>
      </c>
      <c r="Z1905" s="7" t="e">
        <f>IF(VLOOKUP($A1905,'Concrete Beam Schedule'!$A$2:$Q$2902,Z$2,0)&lt;&gt;J1905,"Beam Revised","")</f>
        <v>#N/A</v>
      </c>
      <c r="AA1905" s="7" t="e">
        <f>IF(VLOOKUP($A1905,'Concrete Beam Schedule'!$A$2:$Q$2902,AA$2,0)&lt;&gt;K1905,"Beam Revised","")</f>
        <v>#N/A</v>
      </c>
      <c r="AB1905" s="7" t="e">
        <f>IF(VLOOKUP($A1905,'Concrete Beam Schedule'!$A$2:$Q$2902,AB$2,0)&lt;&gt;L1905,"Beam Revised","")</f>
        <v>#N/A</v>
      </c>
      <c r="AC1905" s="7" t="e">
        <f>IF(VLOOKUP($A1905,'Concrete Beam Schedule'!$A$2:$Q$2902,AC$2,0)&lt;&gt;M1905,"Beam Revised","")</f>
        <v>#N/A</v>
      </c>
      <c r="AD1905" s="7" t="e">
        <f>IF(VLOOKUP($A1905,'Concrete Beam Schedule'!$A$2:$Q$2902,AD$2,0)&lt;&gt;N1905,"Beam Revised","")</f>
        <v>#N/A</v>
      </c>
      <c r="AE1905" s="7" t="e">
        <f>IF(VLOOKUP($A1905,'Concrete Beam Schedule'!$A$2:$Q$2902,AE$2,0)&lt;&gt;O1905,"Beam Revised","")</f>
        <v>#N/A</v>
      </c>
    </row>
    <row r="1906" spans="17:31" ht="20.100000000000001" customHeight="1" x14ac:dyDescent="0.25">
      <c r="Q1906" s="7">
        <f t="shared" si="29"/>
        <v>0</v>
      </c>
      <c r="R1906" s="7" t="e">
        <f>IF(VLOOKUP($A1906,'Concrete Beam Schedule'!$A$2:$Q$2902,R$2,0)&lt;&gt;B1906,VLOOKUP($A1906,'Concrete Beam Schedule'!$A$2:$Q$2902,R$2,0),"")</f>
        <v>#N/A</v>
      </c>
      <c r="S1906" s="7" t="e">
        <f>IF(VLOOKUP($A1906,'Concrete Beam Schedule'!$A$2:$Q$2902,S$2,0)&lt;&gt;C1906,VLOOKUP($A1906,'Concrete Beam Schedule'!$A$2:$Q$2902,S$2,0),"")</f>
        <v>#N/A</v>
      </c>
      <c r="T1906" s="7" t="e">
        <f>IF(VLOOKUP($A1906,'Concrete Beam Schedule'!$A$2:$Q$2902,T$2,0)&lt;&gt;D1906,"Beam Revised","")</f>
        <v>#N/A</v>
      </c>
      <c r="U1906" s="7" t="e">
        <f>IF(VLOOKUP($A1906,'Concrete Beam Schedule'!$A$2:$Q$2902,U$2,0)&lt;&gt;E1906,"Beam Revised","")</f>
        <v>#N/A</v>
      </c>
      <c r="V1906" s="7" t="e">
        <f>IF(VLOOKUP($A1906,'Concrete Beam Schedule'!$A$2:$Q$2902,V$2,0)&lt;&gt;F1906,"Beam Revised","")</f>
        <v>#N/A</v>
      </c>
      <c r="W1906" s="7" t="e">
        <f>IF(VLOOKUP($A1906,'Concrete Beam Schedule'!$A$2:$Q$2902,W$2,0)&lt;&gt;G1906,"Beam Revised","")</f>
        <v>#N/A</v>
      </c>
      <c r="X1906" s="7" t="e">
        <f>IF(VLOOKUP($A1906,'Concrete Beam Schedule'!$A$2:$Q$2902,X$2,0)&lt;&gt;H1906,"Beam Revised","")</f>
        <v>#N/A</v>
      </c>
      <c r="Y1906" s="7" t="e">
        <f>IF(VLOOKUP($A1906,'Concrete Beam Schedule'!$A$2:$Q$2902,Y$2,0)&lt;&gt;I1906,"Beam Revised","")</f>
        <v>#N/A</v>
      </c>
      <c r="Z1906" s="7" t="e">
        <f>IF(VLOOKUP($A1906,'Concrete Beam Schedule'!$A$2:$Q$2902,Z$2,0)&lt;&gt;J1906,"Beam Revised","")</f>
        <v>#N/A</v>
      </c>
      <c r="AA1906" s="7" t="e">
        <f>IF(VLOOKUP($A1906,'Concrete Beam Schedule'!$A$2:$Q$2902,AA$2,0)&lt;&gt;K1906,"Beam Revised","")</f>
        <v>#N/A</v>
      </c>
      <c r="AB1906" s="7" t="e">
        <f>IF(VLOOKUP($A1906,'Concrete Beam Schedule'!$A$2:$Q$2902,AB$2,0)&lt;&gt;L1906,"Beam Revised","")</f>
        <v>#N/A</v>
      </c>
      <c r="AC1906" s="7" t="e">
        <f>IF(VLOOKUP($A1906,'Concrete Beam Schedule'!$A$2:$Q$2902,AC$2,0)&lt;&gt;M1906,"Beam Revised","")</f>
        <v>#N/A</v>
      </c>
      <c r="AD1906" s="7" t="e">
        <f>IF(VLOOKUP($A1906,'Concrete Beam Schedule'!$A$2:$Q$2902,AD$2,0)&lt;&gt;N1906,"Beam Revised","")</f>
        <v>#N/A</v>
      </c>
      <c r="AE1906" s="7" t="e">
        <f>IF(VLOOKUP($A1906,'Concrete Beam Schedule'!$A$2:$Q$2902,AE$2,0)&lt;&gt;O1906,"Beam Revised","")</f>
        <v>#N/A</v>
      </c>
    </row>
    <row r="1907" spans="17:31" ht="20.100000000000001" customHeight="1" x14ac:dyDescent="0.25">
      <c r="Q1907" s="7">
        <f t="shared" si="29"/>
        <v>0</v>
      </c>
      <c r="R1907" s="7" t="e">
        <f>IF(VLOOKUP($A1907,'Concrete Beam Schedule'!$A$2:$Q$2902,R$2,0)&lt;&gt;B1907,VLOOKUP($A1907,'Concrete Beam Schedule'!$A$2:$Q$2902,R$2,0),"")</f>
        <v>#N/A</v>
      </c>
      <c r="S1907" s="7" t="e">
        <f>IF(VLOOKUP($A1907,'Concrete Beam Schedule'!$A$2:$Q$2902,S$2,0)&lt;&gt;C1907,VLOOKUP($A1907,'Concrete Beam Schedule'!$A$2:$Q$2902,S$2,0),"")</f>
        <v>#N/A</v>
      </c>
      <c r="T1907" s="7" t="e">
        <f>IF(VLOOKUP($A1907,'Concrete Beam Schedule'!$A$2:$Q$2902,T$2,0)&lt;&gt;D1907,"Beam Revised","")</f>
        <v>#N/A</v>
      </c>
      <c r="U1907" s="7" t="e">
        <f>IF(VLOOKUP($A1907,'Concrete Beam Schedule'!$A$2:$Q$2902,U$2,0)&lt;&gt;E1907,"Beam Revised","")</f>
        <v>#N/A</v>
      </c>
      <c r="V1907" s="7" t="e">
        <f>IF(VLOOKUP($A1907,'Concrete Beam Schedule'!$A$2:$Q$2902,V$2,0)&lt;&gt;F1907,"Beam Revised","")</f>
        <v>#N/A</v>
      </c>
      <c r="W1907" s="7" t="e">
        <f>IF(VLOOKUP($A1907,'Concrete Beam Schedule'!$A$2:$Q$2902,W$2,0)&lt;&gt;G1907,"Beam Revised","")</f>
        <v>#N/A</v>
      </c>
      <c r="X1907" s="7" t="e">
        <f>IF(VLOOKUP($A1907,'Concrete Beam Schedule'!$A$2:$Q$2902,X$2,0)&lt;&gt;H1907,"Beam Revised","")</f>
        <v>#N/A</v>
      </c>
      <c r="Y1907" s="7" t="e">
        <f>IF(VLOOKUP($A1907,'Concrete Beam Schedule'!$A$2:$Q$2902,Y$2,0)&lt;&gt;I1907,"Beam Revised","")</f>
        <v>#N/A</v>
      </c>
      <c r="Z1907" s="7" t="e">
        <f>IF(VLOOKUP($A1907,'Concrete Beam Schedule'!$A$2:$Q$2902,Z$2,0)&lt;&gt;J1907,"Beam Revised","")</f>
        <v>#N/A</v>
      </c>
      <c r="AA1907" s="7" t="e">
        <f>IF(VLOOKUP($A1907,'Concrete Beam Schedule'!$A$2:$Q$2902,AA$2,0)&lt;&gt;K1907,"Beam Revised","")</f>
        <v>#N/A</v>
      </c>
      <c r="AB1907" s="7" t="e">
        <f>IF(VLOOKUP($A1907,'Concrete Beam Schedule'!$A$2:$Q$2902,AB$2,0)&lt;&gt;L1907,"Beam Revised","")</f>
        <v>#N/A</v>
      </c>
      <c r="AC1907" s="7" t="e">
        <f>IF(VLOOKUP($A1907,'Concrete Beam Schedule'!$A$2:$Q$2902,AC$2,0)&lt;&gt;M1907,"Beam Revised","")</f>
        <v>#N/A</v>
      </c>
      <c r="AD1907" s="7" t="e">
        <f>IF(VLOOKUP($A1907,'Concrete Beam Schedule'!$A$2:$Q$2902,AD$2,0)&lt;&gt;N1907,"Beam Revised","")</f>
        <v>#N/A</v>
      </c>
      <c r="AE1907" s="7" t="e">
        <f>IF(VLOOKUP($A1907,'Concrete Beam Schedule'!$A$2:$Q$2902,AE$2,0)&lt;&gt;O1907,"Beam Revised","")</f>
        <v>#N/A</v>
      </c>
    </row>
    <row r="1908" spans="17:31" ht="20.100000000000001" customHeight="1" x14ac:dyDescent="0.25">
      <c r="Q1908" s="7">
        <f t="shared" si="29"/>
        <v>0</v>
      </c>
      <c r="R1908" s="7" t="e">
        <f>IF(VLOOKUP($A1908,'Concrete Beam Schedule'!$A$2:$Q$2902,R$2,0)&lt;&gt;B1908,VLOOKUP($A1908,'Concrete Beam Schedule'!$A$2:$Q$2902,R$2,0),"")</f>
        <v>#N/A</v>
      </c>
      <c r="S1908" s="7" t="e">
        <f>IF(VLOOKUP($A1908,'Concrete Beam Schedule'!$A$2:$Q$2902,S$2,0)&lt;&gt;C1908,VLOOKUP($A1908,'Concrete Beam Schedule'!$A$2:$Q$2902,S$2,0),"")</f>
        <v>#N/A</v>
      </c>
      <c r="T1908" s="7" t="e">
        <f>IF(VLOOKUP($A1908,'Concrete Beam Schedule'!$A$2:$Q$2902,T$2,0)&lt;&gt;D1908,"Beam Revised","")</f>
        <v>#N/A</v>
      </c>
      <c r="U1908" s="7" t="e">
        <f>IF(VLOOKUP($A1908,'Concrete Beam Schedule'!$A$2:$Q$2902,U$2,0)&lt;&gt;E1908,"Beam Revised","")</f>
        <v>#N/A</v>
      </c>
      <c r="V1908" s="7" t="e">
        <f>IF(VLOOKUP($A1908,'Concrete Beam Schedule'!$A$2:$Q$2902,V$2,0)&lt;&gt;F1908,"Beam Revised","")</f>
        <v>#N/A</v>
      </c>
      <c r="W1908" s="7" t="e">
        <f>IF(VLOOKUP($A1908,'Concrete Beam Schedule'!$A$2:$Q$2902,W$2,0)&lt;&gt;G1908,"Beam Revised","")</f>
        <v>#N/A</v>
      </c>
      <c r="X1908" s="7" t="e">
        <f>IF(VLOOKUP($A1908,'Concrete Beam Schedule'!$A$2:$Q$2902,X$2,0)&lt;&gt;H1908,"Beam Revised","")</f>
        <v>#N/A</v>
      </c>
      <c r="Y1908" s="7" t="e">
        <f>IF(VLOOKUP($A1908,'Concrete Beam Schedule'!$A$2:$Q$2902,Y$2,0)&lt;&gt;I1908,"Beam Revised","")</f>
        <v>#N/A</v>
      </c>
      <c r="Z1908" s="7" t="e">
        <f>IF(VLOOKUP($A1908,'Concrete Beam Schedule'!$A$2:$Q$2902,Z$2,0)&lt;&gt;J1908,"Beam Revised","")</f>
        <v>#N/A</v>
      </c>
      <c r="AA1908" s="7" t="e">
        <f>IF(VLOOKUP($A1908,'Concrete Beam Schedule'!$A$2:$Q$2902,AA$2,0)&lt;&gt;K1908,"Beam Revised","")</f>
        <v>#N/A</v>
      </c>
      <c r="AB1908" s="7" t="e">
        <f>IF(VLOOKUP($A1908,'Concrete Beam Schedule'!$A$2:$Q$2902,AB$2,0)&lt;&gt;L1908,"Beam Revised","")</f>
        <v>#N/A</v>
      </c>
      <c r="AC1908" s="7" t="e">
        <f>IF(VLOOKUP($A1908,'Concrete Beam Schedule'!$A$2:$Q$2902,AC$2,0)&lt;&gt;M1908,"Beam Revised","")</f>
        <v>#N/A</v>
      </c>
      <c r="AD1908" s="7" t="e">
        <f>IF(VLOOKUP($A1908,'Concrete Beam Schedule'!$A$2:$Q$2902,AD$2,0)&lt;&gt;N1908,"Beam Revised","")</f>
        <v>#N/A</v>
      </c>
      <c r="AE1908" s="7" t="e">
        <f>IF(VLOOKUP($A1908,'Concrete Beam Schedule'!$A$2:$Q$2902,AE$2,0)&lt;&gt;O1908,"Beam Revised","")</f>
        <v>#N/A</v>
      </c>
    </row>
    <row r="1909" spans="17:31" ht="20.100000000000001" customHeight="1" x14ac:dyDescent="0.25">
      <c r="Q1909" s="7">
        <f t="shared" si="29"/>
        <v>0</v>
      </c>
      <c r="R1909" s="7" t="e">
        <f>IF(VLOOKUP($A1909,'Concrete Beam Schedule'!$A$2:$Q$2902,R$2,0)&lt;&gt;B1909,VLOOKUP($A1909,'Concrete Beam Schedule'!$A$2:$Q$2902,R$2,0),"")</f>
        <v>#N/A</v>
      </c>
      <c r="S1909" s="7" t="e">
        <f>IF(VLOOKUP($A1909,'Concrete Beam Schedule'!$A$2:$Q$2902,S$2,0)&lt;&gt;C1909,VLOOKUP($A1909,'Concrete Beam Schedule'!$A$2:$Q$2902,S$2,0),"")</f>
        <v>#N/A</v>
      </c>
      <c r="T1909" s="7" t="e">
        <f>IF(VLOOKUP($A1909,'Concrete Beam Schedule'!$A$2:$Q$2902,T$2,0)&lt;&gt;D1909,"Beam Revised","")</f>
        <v>#N/A</v>
      </c>
      <c r="U1909" s="7" t="e">
        <f>IF(VLOOKUP($A1909,'Concrete Beam Schedule'!$A$2:$Q$2902,U$2,0)&lt;&gt;E1909,"Beam Revised","")</f>
        <v>#N/A</v>
      </c>
      <c r="V1909" s="7" t="e">
        <f>IF(VLOOKUP($A1909,'Concrete Beam Schedule'!$A$2:$Q$2902,V$2,0)&lt;&gt;F1909,"Beam Revised","")</f>
        <v>#N/A</v>
      </c>
      <c r="W1909" s="7" t="e">
        <f>IF(VLOOKUP($A1909,'Concrete Beam Schedule'!$A$2:$Q$2902,W$2,0)&lt;&gt;G1909,"Beam Revised","")</f>
        <v>#N/A</v>
      </c>
      <c r="X1909" s="7" t="e">
        <f>IF(VLOOKUP($A1909,'Concrete Beam Schedule'!$A$2:$Q$2902,X$2,0)&lt;&gt;H1909,"Beam Revised","")</f>
        <v>#N/A</v>
      </c>
      <c r="Y1909" s="7" t="e">
        <f>IF(VLOOKUP($A1909,'Concrete Beam Schedule'!$A$2:$Q$2902,Y$2,0)&lt;&gt;I1909,"Beam Revised","")</f>
        <v>#N/A</v>
      </c>
      <c r="Z1909" s="7" t="e">
        <f>IF(VLOOKUP($A1909,'Concrete Beam Schedule'!$A$2:$Q$2902,Z$2,0)&lt;&gt;J1909,"Beam Revised","")</f>
        <v>#N/A</v>
      </c>
      <c r="AA1909" s="7" t="e">
        <f>IF(VLOOKUP($A1909,'Concrete Beam Schedule'!$A$2:$Q$2902,AA$2,0)&lt;&gt;K1909,"Beam Revised","")</f>
        <v>#N/A</v>
      </c>
      <c r="AB1909" s="7" t="e">
        <f>IF(VLOOKUP($A1909,'Concrete Beam Schedule'!$A$2:$Q$2902,AB$2,0)&lt;&gt;L1909,"Beam Revised","")</f>
        <v>#N/A</v>
      </c>
      <c r="AC1909" s="7" t="e">
        <f>IF(VLOOKUP($A1909,'Concrete Beam Schedule'!$A$2:$Q$2902,AC$2,0)&lt;&gt;M1909,"Beam Revised","")</f>
        <v>#N/A</v>
      </c>
      <c r="AD1909" s="7" t="e">
        <f>IF(VLOOKUP($A1909,'Concrete Beam Schedule'!$A$2:$Q$2902,AD$2,0)&lt;&gt;N1909,"Beam Revised","")</f>
        <v>#N/A</v>
      </c>
      <c r="AE1909" s="7" t="e">
        <f>IF(VLOOKUP($A1909,'Concrete Beam Schedule'!$A$2:$Q$2902,AE$2,0)&lt;&gt;O1909,"Beam Revised","")</f>
        <v>#N/A</v>
      </c>
    </row>
    <row r="1910" spans="17:31" ht="20.100000000000001" customHeight="1" x14ac:dyDescent="0.25">
      <c r="Q1910" s="7">
        <f t="shared" si="29"/>
        <v>0</v>
      </c>
      <c r="R1910" s="7" t="e">
        <f>IF(VLOOKUP($A1910,'Concrete Beam Schedule'!$A$2:$Q$2902,R$2,0)&lt;&gt;B1910,VLOOKUP($A1910,'Concrete Beam Schedule'!$A$2:$Q$2902,R$2,0),"")</f>
        <v>#N/A</v>
      </c>
      <c r="S1910" s="7" t="e">
        <f>IF(VLOOKUP($A1910,'Concrete Beam Schedule'!$A$2:$Q$2902,S$2,0)&lt;&gt;C1910,VLOOKUP($A1910,'Concrete Beam Schedule'!$A$2:$Q$2902,S$2,0),"")</f>
        <v>#N/A</v>
      </c>
      <c r="T1910" s="7" t="e">
        <f>IF(VLOOKUP($A1910,'Concrete Beam Schedule'!$A$2:$Q$2902,T$2,0)&lt;&gt;D1910,"Beam Revised","")</f>
        <v>#N/A</v>
      </c>
      <c r="U1910" s="7" t="e">
        <f>IF(VLOOKUP($A1910,'Concrete Beam Schedule'!$A$2:$Q$2902,U$2,0)&lt;&gt;E1910,"Beam Revised","")</f>
        <v>#N/A</v>
      </c>
      <c r="V1910" s="7" t="e">
        <f>IF(VLOOKUP($A1910,'Concrete Beam Schedule'!$A$2:$Q$2902,V$2,0)&lt;&gt;F1910,"Beam Revised","")</f>
        <v>#N/A</v>
      </c>
      <c r="W1910" s="7" t="e">
        <f>IF(VLOOKUP($A1910,'Concrete Beam Schedule'!$A$2:$Q$2902,W$2,0)&lt;&gt;G1910,"Beam Revised","")</f>
        <v>#N/A</v>
      </c>
      <c r="X1910" s="7" t="e">
        <f>IF(VLOOKUP($A1910,'Concrete Beam Schedule'!$A$2:$Q$2902,X$2,0)&lt;&gt;H1910,"Beam Revised","")</f>
        <v>#N/A</v>
      </c>
      <c r="Y1910" s="7" t="e">
        <f>IF(VLOOKUP($A1910,'Concrete Beam Schedule'!$A$2:$Q$2902,Y$2,0)&lt;&gt;I1910,"Beam Revised","")</f>
        <v>#N/A</v>
      </c>
      <c r="Z1910" s="7" t="e">
        <f>IF(VLOOKUP($A1910,'Concrete Beam Schedule'!$A$2:$Q$2902,Z$2,0)&lt;&gt;J1910,"Beam Revised","")</f>
        <v>#N/A</v>
      </c>
      <c r="AA1910" s="7" t="e">
        <f>IF(VLOOKUP($A1910,'Concrete Beam Schedule'!$A$2:$Q$2902,AA$2,0)&lt;&gt;K1910,"Beam Revised","")</f>
        <v>#N/A</v>
      </c>
      <c r="AB1910" s="7" t="e">
        <f>IF(VLOOKUP($A1910,'Concrete Beam Schedule'!$A$2:$Q$2902,AB$2,0)&lt;&gt;L1910,"Beam Revised","")</f>
        <v>#N/A</v>
      </c>
      <c r="AC1910" s="7" t="e">
        <f>IF(VLOOKUP($A1910,'Concrete Beam Schedule'!$A$2:$Q$2902,AC$2,0)&lt;&gt;M1910,"Beam Revised","")</f>
        <v>#N/A</v>
      </c>
      <c r="AD1910" s="7" t="e">
        <f>IF(VLOOKUP($A1910,'Concrete Beam Schedule'!$A$2:$Q$2902,AD$2,0)&lt;&gt;N1910,"Beam Revised","")</f>
        <v>#N/A</v>
      </c>
      <c r="AE1910" s="7" t="e">
        <f>IF(VLOOKUP($A1910,'Concrete Beam Schedule'!$A$2:$Q$2902,AE$2,0)&lt;&gt;O1910,"Beam Revised","")</f>
        <v>#N/A</v>
      </c>
    </row>
    <row r="1911" spans="17:31" ht="20.100000000000001" customHeight="1" x14ac:dyDescent="0.25">
      <c r="Q1911" s="7">
        <f t="shared" si="29"/>
        <v>0</v>
      </c>
      <c r="R1911" s="7" t="e">
        <f>IF(VLOOKUP($A1911,'Concrete Beam Schedule'!$A$2:$Q$2902,R$2,0)&lt;&gt;B1911,VLOOKUP($A1911,'Concrete Beam Schedule'!$A$2:$Q$2902,R$2,0),"")</f>
        <v>#N/A</v>
      </c>
      <c r="S1911" s="7" t="e">
        <f>IF(VLOOKUP($A1911,'Concrete Beam Schedule'!$A$2:$Q$2902,S$2,0)&lt;&gt;C1911,VLOOKUP($A1911,'Concrete Beam Schedule'!$A$2:$Q$2902,S$2,0),"")</f>
        <v>#N/A</v>
      </c>
      <c r="T1911" s="7" t="e">
        <f>IF(VLOOKUP($A1911,'Concrete Beam Schedule'!$A$2:$Q$2902,T$2,0)&lt;&gt;D1911,"Beam Revised","")</f>
        <v>#N/A</v>
      </c>
      <c r="U1911" s="7" t="e">
        <f>IF(VLOOKUP($A1911,'Concrete Beam Schedule'!$A$2:$Q$2902,U$2,0)&lt;&gt;E1911,"Beam Revised","")</f>
        <v>#N/A</v>
      </c>
      <c r="V1911" s="7" t="e">
        <f>IF(VLOOKUP($A1911,'Concrete Beam Schedule'!$A$2:$Q$2902,V$2,0)&lt;&gt;F1911,"Beam Revised","")</f>
        <v>#N/A</v>
      </c>
      <c r="W1911" s="7" t="e">
        <f>IF(VLOOKUP($A1911,'Concrete Beam Schedule'!$A$2:$Q$2902,W$2,0)&lt;&gt;G1911,"Beam Revised","")</f>
        <v>#N/A</v>
      </c>
      <c r="X1911" s="7" t="e">
        <f>IF(VLOOKUP($A1911,'Concrete Beam Schedule'!$A$2:$Q$2902,X$2,0)&lt;&gt;H1911,"Beam Revised","")</f>
        <v>#N/A</v>
      </c>
      <c r="Y1911" s="7" t="e">
        <f>IF(VLOOKUP($A1911,'Concrete Beam Schedule'!$A$2:$Q$2902,Y$2,0)&lt;&gt;I1911,"Beam Revised","")</f>
        <v>#N/A</v>
      </c>
      <c r="Z1911" s="7" t="e">
        <f>IF(VLOOKUP($A1911,'Concrete Beam Schedule'!$A$2:$Q$2902,Z$2,0)&lt;&gt;J1911,"Beam Revised","")</f>
        <v>#N/A</v>
      </c>
      <c r="AA1911" s="7" t="e">
        <f>IF(VLOOKUP($A1911,'Concrete Beam Schedule'!$A$2:$Q$2902,AA$2,0)&lt;&gt;K1911,"Beam Revised","")</f>
        <v>#N/A</v>
      </c>
      <c r="AB1911" s="7" t="e">
        <f>IF(VLOOKUP($A1911,'Concrete Beam Schedule'!$A$2:$Q$2902,AB$2,0)&lt;&gt;L1911,"Beam Revised","")</f>
        <v>#N/A</v>
      </c>
      <c r="AC1911" s="7" t="e">
        <f>IF(VLOOKUP($A1911,'Concrete Beam Schedule'!$A$2:$Q$2902,AC$2,0)&lt;&gt;M1911,"Beam Revised","")</f>
        <v>#N/A</v>
      </c>
      <c r="AD1911" s="7" t="e">
        <f>IF(VLOOKUP($A1911,'Concrete Beam Schedule'!$A$2:$Q$2902,AD$2,0)&lt;&gt;N1911,"Beam Revised","")</f>
        <v>#N/A</v>
      </c>
      <c r="AE1911" s="7" t="e">
        <f>IF(VLOOKUP($A1911,'Concrete Beam Schedule'!$A$2:$Q$2902,AE$2,0)&lt;&gt;O1911,"Beam Revised","")</f>
        <v>#N/A</v>
      </c>
    </row>
    <row r="1912" spans="17:31" ht="20.100000000000001" customHeight="1" x14ac:dyDescent="0.25">
      <c r="Q1912" s="7">
        <f t="shared" si="29"/>
        <v>0</v>
      </c>
      <c r="R1912" s="7" t="e">
        <f>IF(VLOOKUP($A1912,'Concrete Beam Schedule'!$A$2:$Q$2902,R$2,0)&lt;&gt;B1912,VLOOKUP($A1912,'Concrete Beam Schedule'!$A$2:$Q$2902,R$2,0),"")</f>
        <v>#N/A</v>
      </c>
      <c r="S1912" s="7" t="e">
        <f>IF(VLOOKUP($A1912,'Concrete Beam Schedule'!$A$2:$Q$2902,S$2,0)&lt;&gt;C1912,VLOOKUP($A1912,'Concrete Beam Schedule'!$A$2:$Q$2902,S$2,0),"")</f>
        <v>#N/A</v>
      </c>
      <c r="T1912" s="7" t="e">
        <f>IF(VLOOKUP($A1912,'Concrete Beam Schedule'!$A$2:$Q$2902,T$2,0)&lt;&gt;D1912,"Beam Revised","")</f>
        <v>#N/A</v>
      </c>
      <c r="U1912" s="7" t="e">
        <f>IF(VLOOKUP($A1912,'Concrete Beam Schedule'!$A$2:$Q$2902,U$2,0)&lt;&gt;E1912,"Beam Revised","")</f>
        <v>#N/A</v>
      </c>
      <c r="V1912" s="7" t="e">
        <f>IF(VLOOKUP($A1912,'Concrete Beam Schedule'!$A$2:$Q$2902,V$2,0)&lt;&gt;F1912,"Beam Revised","")</f>
        <v>#N/A</v>
      </c>
      <c r="W1912" s="7" t="e">
        <f>IF(VLOOKUP($A1912,'Concrete Beam Schedule'!$A$2:$Q$2902,W$2,0)&lt;&gt;G1912,"Beam Revised","")</f>
        <v>#N/A</v>
      </c>
      <c r="X1912" s="7" t="e">
        <f>IF(VLOOKUP($A1912,'Concrete Beam Schedule'!$A$2:$Q$2902,X$2,0)&lt;&gt;H1912,"Beam Revised","")</f>
        <v>#N/A</v>
      </c>
      <c r="Y1912" s="7" t="e">
        <f>IF(VLOOKUP($A1912,'Concrete Beam Schedule'!$A$2:$Q$2902,Y$2,0)&lt;&gt;I1912,"Beam Revised","")</f>
        <v>#N/A</v>
      </c>
      <c r="Z1912" s="7" t="e">
        <f>IF(VLOOKUP($A1912,'Concrete Beam Schedule'!$A$2:$Q$2902,Z$2,0)&lt;&gt;J1912,"Beam Revised","")</f>
        <v>#N/A</v>
      </c>
      <c r="AA1912" s="7" t="e">
        <f>IF(VLOOKUP($A1912,'Concrete Beam Schedule'!$A$2:$Q$2902,AA$2,0)&lt;&gt;K1912,"Beam Revised","")</f>
        <v>#N/A</v>
      </c>
      <c r="AB1912" s="7" t="e">
        <f>IF(VLOOKUP($A1912,'Concrete Beam Schedule'!$A$2:$Q$2902,AB$2,0)&lt;&gt;L1912,"Beam Revised","")</f>
        <v>#N/A</v>
      </c>
      <c r="AC1912" s="7" t="e">
        <f>IF(VLOOKUP($A1912,'Concrete Beam Schedule'!$A$2:$Q$2902,AC$2,0)&lt;&gt;M1912,"Beam Revised","")</f>
        <v>#N/A</v>
      </c>
      <c r="AD1912" s="7" t="e">
        <f>IF(VLOOKUP($A1912,'Concrete Beam Schedule'!$A$2:$Q$2902,AD$2,0)&lt;&gt;N1912,"Beam Revised","")</f>
        <v>#N/A</v>
      </c>
      <c r="AE1912" s="7" t="e">
        <f>IF(VLOOKUP($A1912,'Concrete Beam Schedule'!$A$2:$Q$2902,AE$2,0)&lt;&gt;O1912,"Beam Revised","")</f>
        <v>#N/A</v>
      </c>
    </row>
    <row r="1913" spans="17:31" ht="20.100000000000001" customHeight="1" x14ac:dyDescent="0.25">
      <c r="Q1913" s="7">
        <f t="shared" si="29"/>
        <v>0</v>
      </c>
      <c r="R1913" s="7" t="e">
        <f>IF(VLOOKUP($A1913,'Concrete Beam Schedule'!$A$2:$Q$2902,R$2,0)&lt;&gt;B1913,VLOOKUP($A1913,'Concrete Beam Schedule'!$A$2:$Q$2902,R$2,0),"")</f>
        <v>#N/A</v>
      </c>
      <c r="S1913" s="7" t="e">
        <f>IF(VLOOKUP($A1913,'Concrete Beam Schedule'!$A$2:$Q$2902,S$2,0)&lt;&gt;C1913,VLOOKUP($A1913,'Concrete Beam Schedule'!$A$2:$Q$2902,S$2,0),"")</f>
        <v>#N/A</v>
      </c>
      <c r="T1913" s="7" t="e">
        <f>IF(VLOOKUP($A1913,'Concrete Beam Schedule'!$A$2:$Q$2902,T$2,0)&lt;&gt;D1913,"Beam Revised","")</f>
        <v>#N/A</v>
      </c>
      <c r="U1913" s="7" t="e">
        <f>IF(VLOOKUP($A1913,'Concrete Beam Schedule'!$A$2:$Q$2902,U$2,0)&lt;&gt;E1913,"Beam Revised","")</f>
        <v>#N/A</v>
      </c>
      <c r="V1913" s="7" t="e">
        <f>IF(VLOOKUP($A1913,'Concrete Beam Schedule'!$A$2:$Q$2902,V$2,0)&lt;&gt;F1913,"Beam Revised","")</f>
        <v>#N/A</v>
      </c>
      <c r="W1913" s="7" t="e">
        <f>IF(VLOOKUP($A1913,'Concrete Beam Schedule'!$A$2:$Q$2902,W$2,0)&lt;&gt;G1913,"Beam Revised","")</f>
        <v>#N/A</v>
      </c>
      <c r="X1913" s="7" t="e">
        <f>IF(VLOOKUP($A1913,'Concrete Beam Schedule'!$A$2:$Q$2902,X$2,0)&lt;&gt;H1913,"Beam Revised","")</f>
        <v>#N/A</v>
      </c>
      <c r="Y1913" s="7" t="e">
        <f>IF(VLOOKUP($A1913,'Concrete Beam Schedule'!$A$2:$Q$2902,Y$2,0)&lt;&gt;I1913,"Beam Revised","")</f>
        <v>#N/A</v>
      </c>
      <c r="Z1913" s="7" t="e">
        <f>IF(VLOOKUP($A1913,'Concrete Beam Schedule'!$A$2:$Q$2902,Z$2,0)&lt;&gt;J1913,"Beam Revised","")</f>
        <v>#N/A</v>
      </c>
      <c r="AA1913" s="7" t="e">
        <f>IF(VLOOKUP($A1913,'Concrete Beam Schedule'!$A$2:$Q$2902,AA$2,0)&lt;&gt;K1913,"Beam Revised","")</f>
        <v>#N/A</v>
      </c>
      <c r="AB1913" s="7" t="e">
        <f>IF(VLOOKUP($A1913,'Concrete Beam Schedule'!$A$2:$Q$2902,AB$2,0)&lt;&gt;L1913,"Beam Revised","")</f>
        <v>#N/A</v>
      </c>
      <c r="AC1913" s="7" t="e">
        <f>IF(VLOOKUP($A1913,'Concrete Beam Schedule'!$A$2:$Q$2902,AC$2,0)&lt;&gt;M1913,"Beam Revised","")</f>
        <v>#N/A</v>
      </c>
      <c r="AD1913" s="7" t="e">
        <f>IF(VLOOKUP($A1913,'Concrete Beam Schedule'!$A$2:$Q$2902,AD$2,0)&lt;&gt;N1913,"Beam Revised","")</f>
        <v>#N/A</v>
      </c>
      <c r="AE1913" s="7" t="e">
        <f>IF(VLOOKUP($A1913,'Concrete Beam Schedule'!$A$2:$Q$2902,AE$2,0)&lt;&gt;O1913,"Beam Revised","")</f>
        <v>#N/A</v>
      </c>
    </row>
    <row r="1914" spans="17:31" ht="20.100000000000001" customHeight="1" x14ac:dyDescent="0.25">
      <c r="Q1914" s="7">
        <f t="shared" si="29"/>
        <v>0</v>
      </c>
      <c r="R1914" s="7" t="e">
        <f>IF(VLOOKUP($A1914,'Concrete Beam Schedule'!$A$2:$Q$2902,R$2,0)&lt;&gt;B1914,VLOOKUP($A1914,'Concrete Beam Schedule'!$A$2:$Q$2902,R$2,0),"")</f>
        <v>#N/A</v>
      </c>
      <c r="S1914" s="7" t="e">
        <f>IF(VLOOKUP($A1914,'Concrete Beam Schedule'!$A$2:$Q$2902,S$2,0)&lt;&gt;C1914,VLOOKUP($A1914,'Concrete Beam Schedule'!$A$2:$Q$2902,S$2,0),"")</f>
        <v>#N/A</v>
      </c>
      <c r="T1914" s="7" t="e">
        <f>IF(VLOOKUP($A1914,'Concrete Beam Schedule'!$A$2:$Q$2902,T$2,0)&lt;&gt;D1914,"Beam Revised","")</f>
        <v>#N/A</v>
      </c>
      <c r="U1914" s="7" t="e">
        <f>IF(VLOOKUP($A1914,'Concrete Beam Schedule'!$A$2:$Q$2902,U$2,0)&lt;&gt;E1914,"Beam Revised","")</f>
        <v>#N/A</v>
      </c>
      <c r="V1914" s="7" t="e">
        <f>IF(VLOOKUP($A1914,'Concrete Beam Schedule'!$A$2:$Q$2902,V$2,0)&lt;&gt;F1914,"Beam Revised","")</f>
        <v>#N/A</v>
      </c>
      <c r="W1914" s="7" t="e">
        <f>IF(VLOOKUP($A1914,'Concrete Beam Schedule'!$A$2:$Q$2902,W$2,0)&lt;&gt;G1914,"Beam Revised","")</f>
        <v>#N/A</v>
      </c>
      <c r="X1914" s="7" t="e">
        <f>IF(VLOOKUP($A1914,'Concrete Beam Schedule'!$A$2:$Q$2902,X$2,0)&lt;&gt;H1914,"Beam Revised","")</f>
        <v>#N/A</v>
      </c>
      <c r="Y1914" s="7" t="e">
        <f>IF(VLOOKUP($A1914,'Concrete Beam Schedule'!$A$2:$Q$2902,Y$2,0)&lt;&gt;I1914,"Beam Revised","")</f>
        <v>#N/A</v>
      </c>
      <c r="Z1914" s="7" t="e">
        <f>IF(VLOOKUP($A1914,'Concrete Beam Schedule'!$A$2:$Q$2902,Z$2,0)&lt;&gt;J1914,"Beam Revised","")</f>
        <v>#N/A</v>
      </c>
      <c r="AA1914" s="7" t="e">
        <f>IF(VLOOKUP($A1914,'Concrete Beam Schedule'!$A$2:$Q$2902,AA$2,0)&lt;&gt;K1914,"Beam Revised","")</f>
        <v>#N/A</v>
      </c>
      <c r="AB1914" s="7" t="e">
        <f>IF(VLOOKUP($A1914,'Concrete Beam Schedule'!$A$2:$Q$2902,AB$2,0)&lt;&gt;L1914,"Beam Revised","")</f>
        <v>#N/A</v>
      </c>
      <c r="AC1914" s="7" t="e">
        <f>IF(VLOOKUP($A1914,'Concrete Beam Schedule'!$A$2:$Q$2902,AC$2,0)&lt;&gt;M1914,"Beam Revised","")</f>
        <v>#N/A</v>
      </c>
      <c r="AD1914" s="7" t="e">
        <f>IF(VLOOKUP($A1914,'Concrete Beam Schedule'!$A$2:$Q$2902,AD$2,0)&lt;&gt;N1914,"Beam Revised","")</f>
        <v>#N/A</v>
      </c>
      <c r="AE1914" s="7" t="e">
        <f>IF(VLOOKUP($A1914,'Concrete Beam Schedule'!$A$2:$Q$2902,AE$2,0)&lt;&gt;O1914,"Beam Revised","")</f>
        <v>#N/A</v>
      </c>
    </row>
    <row r="1915" spans="17:31" ht="20.100000000000001" customHeight="1" x14ac:dyDescent="0.25">
      <c r="Q1915" s="7">
        <f t="shared" si="29"/>
        <v>0</v>
      </c>
      <c r="R1915" s="7" t="e">
        <f>IF(VLOOKUP($A1915,'Concrete Beam Schedule'!$A$2:$Q$2902,R$2,0)&lt;&gt;B1915,VLOOKUP($A1915,'Concrete Beam Schedule'!$A$2:$Q$2902,R$2,0),"")</f>
        <v>#N/A</v>
      </c>
      <c r="S1915" s="7" t="e">
        <f>IF(VLOOKUP($A1915,'Concrete Beam Schedule'!$A$2:$Q$2902,S$2,0)&lt;&gt;C1915,VLOOKUP($A1915,'Concrete Beam Schedule'!$A$2:$Q$2902,S$2,0),"")</f>
        <v>#N/A</v>
      </c>
      <c r="T1915" s="7" t="e">
        <f>IF(VLOOKUP($A1915,'Concrete Beam Schedule'!$A$2:$Q$2902,T$2,0)&lt;&gt;D1915,"Beam Revised","")</f>
        <v>#N/A</v>
      </c>
      <c r="U1915" s="7" t="e">
        <f>IF(VLOOKUP($A1915,'Concrete Beam Schedule'!$A$2:$Q$2902,U$2,0)&lt;&gt;E1915,"Beam Revised","")</f>
        <v>#N/A</v>
      </c>
      <c r="V1915" s="7" t="e">
        <f>IF(VLOOKUP($A1915,'Concrete Beam Schedule'!$A$2:$Q$2902,V$2,0)&lt;&gt;F1915,"Beam Revised","")</f>
        <v>#N/A</v>
      </c>
      <c r="W1915" s="7" t="e">
        <f>IF(VLOOKUP($A1915,'Concrete Beam Schedule'!$A$2:$Q$2902,W$2,0)&lt;&gt;G1915,"Beam Revised","")</f>
        <v>#N/A</v>
      </c>
      <c r="X1915" s="7" t="e">
        <f>IF(VLOOKUP($A1915,'Concrete Beam Schedule'!$A$2:$Q$2902,X$2,0)&lt;&gt;H1915,"Beam Revised","")</f>
        <v>#N/A</v>
      </c>
      <c r="Y1915" s="7" t="e">
        <f>IF(VLOOKUP($A1915,'Concrete Beam Schedule'!$A$2:$Q$2902,Y$2,0)&lt;&gt;I1915,"Beam Revised","")</f>
        <v>#N/A</v>
      </c>
      <c r="Z1915" s="7" t="e">
        <f>IF(VLOOKUP($A1915,'Concrete Beam Schedule'!$A$2:$Q$2902,Z$2,0)&lt;&gt;J1915,"Beam Revised","")</f>
        <v>#N/A</v>
      </c>
      <c r="AA1915" s="7" t="e">
        <f>IF(VLOOKUP($A1915,'Concrete Beam Schedule'!$A$2:$Q$2902,AA$2,0)&lt;&gt;K1915,"Beam Revised","")</f>
        <v>#N/A</v>
      </c>
      <c r="AB1915" s="7" t="e">
        <f>IF(VLOOKUP($A1915,'Concrete Beam Schedule'!$A$2:$Q$2902,AB$2,0)&lt;&gt;L1915,"Beam Revised","")</f>
        <v>#N/A</v>
      </c>
      <c r="AC1915" s="7" t="e">
        <f>IF(VLOOKUP($A1915,'Concrete Beam Schedule'!$A$2:$Q$2902,AC$2,0)&lt;&gt;M1915,"Beam Revised","")</f>
        <v>#N/A</v>
      </c>
      <c r="AD1915" s="7" t="e">
        <f>IF(VLOOKUP($A1915,'Concrete Beam Schedule'!$A$2:$Q$2902,AD$2,0)&lt;&gt;N1915,"Beam Revised","")</f>
        <v>#N/A</v>
      </c>
      <c r="AE1915" s="7" t="e">
        <f>IF(VLOOKUP($A1915,'Concrete Beam Schedule'!$A$2:$Q$2902,AE$2,0)&lt;&gt;O1915,"Beam Revised","")</f>
        <v>#N/A</v>
      </c>
    </row>
    <row r="1916" spans="17:31" ht="20.100000000000001" customHeight="1" x14ac:dyDescent="0.25">
      <c r="Q1916" s="7">
        <f t="shared" si="29"/>
        <v>0</v>
      </c>
      <c r="R1916" s="7" t="e">
        <f>IF(VLOOKUP($A1916,'Concrete Beam Schedule'!$A$2:$Q$2902,R$2,0)&lt;&gt;B1916,VLOOKUP($A1916,'Concrete Beam Schedule'!$A$2:$Q$2902,R$2,0),"")</f>
        <v>#N/A</v>
      </c>
      <c r="S1916" s="7" t="e">
        <f>IF(VLOOKUP($A1916,'Concrete Beam Schedule'!$A$2:$Q$2902,S$2,0)&lt;&gt;C1916,VLOOKUP($A1916,'Concrete Beam Schedule'!$A$2:$Q$2902,S$2,0),"")</f>
        <v>#N/A</v>
      </c>
      <c r="T1916" s="7" t="e">
        <f>IF(VLOOKUP($A1916,'Concrete Beam Schedule'!$A$2:$Q$2902,T$2,0)&lt;&gt;D1916,"Beam Revised","")</f>
        <v>#N/A</v>
      </c>
      <c r="U1916" s="7" t="e">
        <f>IF(VLOOKUP($A1916,'Concrete Beam Schedule'!$A$2:$Q$2902,U$2,0)&lt;&gt;E1916,"Beam Revised","")</f>
        <v>#N/A</v>
      </c>
      <c r="V1916" s="7" t="e">
        <f>IF(VLOOKUP($A1916,'Concrete Beam Schedule'!$A$2:$Q$2902,V$2,0)&lt;&gt;F1916,"Beam Revised","")</f>
        <v>#N/A</v>
      </c>
      <c r="W1916" s="7" t="e">
        <f>IF(VLOOKUP($A1916,'Concrete Beam Schedule'!$A$2:$Q$2902,W$2,0)&lt;&gt;G1916,"Beam Revised","")</f>
        <v>#N/A</v>
      </c>
      <c r="X1916" s="7" t="e">
        <f>IF(VLOOKUP($A1916,'Concrete Beam Schedule'!$A$2:$Q$2902,X$2,0)&lt;&gt;H1916,"Beam Revised","")</f>
        <v>#N/A</v>
      </c>
      <c r="Y1916" s="7" t="e">
        <f>IF(VLOOKUP($A1916,'Concrete Beam Schedule'!$A$2:$Q$2902,Y$2,0)&lt;&gt;I1916,"Beam Revised","")</f>
        <v>#N/A</v>
      </c>
      <c r="Z1916" s="7" t="e">
        <f>IF(VLOOKUP($A1916,'Concrete Beam Schedule'!$A$2:$Q$2902,Z$2,0)&lt;&gt;J1916,"Beam Revised","")</f>
        <v>#N/A</v>
      </c>
      <c r="AA1916" s="7" t="e">
        <f>IF(VLOOKUP($A1916,'Concrete Beam Schedule'!$A$2:$Q$2902,AA$2,0)&lt;&gt;K1916,"Beam Revised","")</f>
        <v>#N/A</v>
      </c>
      <c r="AB1916" s="7" t="e">
        <f>IF(VLOOKUP($A1916,'Concrete Beam Schedule'!$A$2:$Q$2902,AB$2,0)&lt;&gt;L1916,"Beam Revised","")</f>
        <v>#N/A</v>
      </c>
      <c r="AC1916" s="7" t="e">
        <f>IF(VLOOKUP($A1916,'Concrete Beam Schedule'!$A$2:$Q$2902,AC$2,0)&lt;&gt;M1916,"Beam Revised","")</f>
        <v>#N/A</v>
      </c>
      <c r="AD1916" s="7" t="e">
        <f>IF(VLOOKUP($A1916,'Concrete Beam Schedule'!$A$2:$Q$2902,AD$2,0)&lt;&gt;N1916,"Beam Revised","")</f>
        <v>#N/A</v>
      </c>
      <c r="AE1916" s="7" t="e">
        <f>IF(VLOOKUP($A1916,'Concrete Beam Schedule'!$A$2:$Q$2902,AE$2,0)&lt;&gt;O1916,"Beam Revised","")</f>
        <v>#N/A</v>
      </c>
    </row>
    <row r="1917" spans="17:31" ht="20.100000000000001" customHeight="1" x14ac:dyDescent="0.25">
      <c r="Q1917" s="7">
        <f t="shared" si="29"/>
        <v>0</v>
      </c>
      <c r="R1917" s="7" t="e">
        <f>IF(VLOOKUP($A1917,'Concrete Beam Schedule'!$A$2:$Q$2902,R$2,0)&lt;&gt;B1917,VLOOKUP($A1917,'Concrete Beam Schedule'!$A$2:$Q$2902,R$2,0),"")</f>
        <v>#N/A</v>
      </c>
      <c r="S1917" s="7" t="e">
        <f>IF(VLOOKUP($A1917,'Concrete Beam Schedule'!$A$2:$Q$2902,S$2,0)&lt;&gt;C1917,VLOOKUP($A1917,'Concrete Beam Schedule'!$A$2:$Q$2902,S$2,0),"")</f>
        <v>#N/A</v>
      </c>
      <c r="T1917" s="7" t="e">
        <f>IF(VLOOKUP($A1917,'Concrete Beam Schedule'!$A$2:$Q$2902,T$2,0)&lt;&gt;D1917,"Beam Revised","")</f>
        <v>#N/A</v>
      </c>
      <c r="U1917" s="7" t="e">
        <f>IF(VLOOKUP($A1917,'Concrete Beam Schedule'!$A$2:$Q$2902,U$2,0)&lt;&gt;E1917,"Beam Revised","")</f>
        <v>#N/A</v>
      </c>
      <c r="V1917" s="7" t="e">
        <f>IF(VLOOKUP($A1917,'Concrete Beam Schedule'!$A$2:$Q$2902,V$2,0)&lt;&gt;F1917,"Beam Revised","")</f>
        <v>#N/A</v>
      </c>
      <c r="W1917" s="7" t="e">
        <f>IF(VLOOKUP($A1917,'Concrete Beam Schedule'!$A$2:$Q$2902,W$2,0)&lt;&gt;G1917,"Beam Revised","")</f>
        <v>#N/A</v>
      </c>
      <c r="X1917" s="7" t="e">
        <f>IF(VLOOKUP($A1917,'Concrete Beam Schedule'!$A$2:$Q$2902,X$2,0)&lt;&gt;H1917,"Beam Revised","")</f>
        <v>#N/A</v>
      </c>
      <c r="Y1917" s="7" t="e">
        <f>IF(VLOOKUP($A1917,'Concrete Beam Schedule'!$A$2:$Q$2902,Y$2,0)&lt;&gt;I1917,"Beam Revised","")</f>
        <v>#N/A</v>
      </c>
      <c r="Z1917" s="7" t="e">
        <f>IF(VLOOKUP($A1917,'Concrete Beam Schedule'!$A$2:$Q$2902,Z$2,0)&lt;&gt;J1917,"Beam Revised","")</f>
        <v>#N/A</v>
      </c>
      <c r="AA1917" s="7" t="e">
        <f>IF(VLOOKUP($A1917,'Concrete Beam Schedule'!$A$2:$Q$2902,AA$2,0)&lt;&gt;K1917,"Beam Revised","")</f>
        <v>#N/A</v>
      </c>
      <c r="AB1917" s="7" t="e">
        <f>IF(VLOOKUP($A1917,'Concrete Beam Schedule'!$A$2:$Q$2902,AB$2,0)&lt;&gt;L1917,"Beam Revised","")</f>
        <v>#N/A</v>
      </c>
      <c r="AC1917" s="7" t="e">
        <f>IF(VLOOKUP($A1917,'Concrete Beam Schedule'!$A$2:$Q$2902,AC$2,0)&lt;&gt;M1917,"Beam Revised","")</f>
        <v>#N/A</v>
      </c>
      <c r="AD1917" s="7" t="e">
        <f>IF(VLOOKUP($A1917,'Concrete Beam Schedule'!$A$2:$Q$2902,AD$2,0)&lt;&gt;N1917,"Beam Revised","")</f>
        <v>#N/A</v>
      </c>
      <c r="AE1917" s="7" t="e">
        <f>IF(VLOOKUP($A1917,'Concrete Beam Schedule'!$A$2:$Q$2902,AE$2,0)&lt;&gt;O1917,"Beam Revised","")</f>
        <v>#N/A</v>
      </c>
    </row>
    <row r="1918" spans="17:31" ht="20.100000000000001" customHeight="1" x14ac:dyDescent="0.25">
      <c r="Q1918" s="7">
        <f t="shared" si="29"/>
        <v>0</v>
      </c>
      <c r="R1918" s="7" t="e">
        <f>IF(VLOOKUP($A1918,'Concrete Beam Schedule'!$A$2:$Q$2902,R$2,0)&lt;&gt;B1918,VLOOKUP($A1918,'Concrete Beam Schedule'!$A$2:$Q$2902,R$2,0),"")</f>
        <v>#N/A</v>
      </c>
      <c r="S1918" s="7" t="e">
        <f>IF(VLOOKUP($A1918,'Concrete Beam Schedule'!$A$2:$Q$2902,S$2,0)&lt;&gt;C1918,VLOOKUP($A1918,'Concrete Beam Schedule'!$A$2:$Q$2902,S$2,0),"")</f>
        <v>#N/A</v>
      </c>
      <c r="T1918" s="7" t="e">
        <f>IF(VLOOKUP($A1918,'Concrete Beam Schedule'!$A$2:$Q$2902,T$2,0)&lt;&gt;D1918,"Beam Revised","")</f>
        <v>#N/A</v>
      </c>
      <c r="U1918" s="7" t="e">
        <f>IF(VLOOKUP($A1918,'Concrete Beam Schedule'!$A$2:$Q$2902,U$2,0)&lt;&gt;E1918,"Beam Revised","")</f>
        <v>#N/A</v>
      </c>
      <c r="V1918" s="7" t="e">
        <f>IF(VLOOKUP($A1918,'Concrete Beam Schedule'!$A$2:$Q$2902,V$2,0)&lt;&gt;F1918,"Beam Revised","")</f>
        <v>#N/A</v>
      </c>
      <c r="W1918" s="7" t="e">
        <f>IF(VLOOKUP($A1918,'Concrete Beam Schedule'!$A$2:$Q$2902,W$2,0)&lt;&gt;G1918,"Beam Revised","")</f>
        <v>#N/A</v>
      </c>
      <c r="X1918" s="7" t="e">
        <f>IF(VLOOKUP($A1918,'Concrete Beam Schedule'!$A$2:$Q$2902,X$2,0)&lt;&gt;H1918,"Beam Revised","")</f>
        <v>#N/A</v>
      </c>
      <c r="Y1918" s="7" t="e">
        <f>IF(VLOOKUP($A1918,'Concrete Beam Schedule'!$A$2:$Q$2902,Y$2,0)&lt;&gt;I1918,"Beam Revised","")</f>
        <v>#N/A</v>
      </c>
      <c r="Z1918" s="7" t="e">
        <f>IF(VLOOKUP($A1918,'Concrete Beam Schedule'!$A$2:$Q$2902,Z$2,0)&lt;&gt;J1918,"Beam Revised","")</f>
        <v>#N/A</v>
      </c>
      <c r="AA1918" s="7" t="e">
        <f>IF(VLOOKUP($A1918,'Concrete Beam Schedule'!$A$2:$Q$2902,AA$2,0)&lt;&gt;K1918,"Beam Revised","")</f>
        <v>#N/A</v>
      </c>
      <c r="AB1918" s="7" t="e">
        <f>IF(VLOOKUP($A1918,'Concrete Beam Schedule'!$A$2:$Q$2902,AB$2,0)&lt;&gt;L1918,"Beam Revised","")</f>
        <v>#N/A</v>
      </c>
      <c r="AC1918" s="7" t="e">
        <f>IF(VLOOKUP($A1918,'Concrete Beam Schedule'!$A$2:$Q$2902,AC$2,0)&lt;&gt;M1918,"Beam Revised","")</f>
        <v>#N/A</v>
      </c>
      <c r="AD1918" s="7" t="e">
        <f>IF(VLOOKUP($A1918,'Concrete Beam Schedule'!$A$2:$Q$2902,AD$2,0)&lt;&gt;N1918,"Beam Revised","")</f>
        <v>#N/A</v>
      </c>
      <c r="AE1918" s="7" t="e">
        <f>IF(VLOOKUP($A1918,'Concrete Beam Schedule'!$A$2:$Q$2902,AE$2,0)&lt;&gt;O1918,"Beam Revised","")</f>
        <v>#N/A</v>
      </c>
    </row>
    <row r="1919" spans="17:31" ht="20.100000000000001" customHeight="1" x14ac:dyDescent="0.25">
      <c r="Q1919" s="7">
        <f t="shared" si="29"/>
        <v>0</v>
      </c>
      <c r="R1919" s="7" t="e">
        <f>IF(VLOOKUP($A1919,'Concrete Beam Schedule'!$A$2:$Q$2902,R$2,0)&lt;&gt;B1919,VLOOKUP($A1919,'Concrete Beam Schedule'!$A$2:$Q$2902,R$2,0),"")</f>
        <v>#N/A</v>
      </c>
      <c r="S1919" s="7" t="e">
        <f>IF(VLOOKUP($A1919,'Concrete Beam Schedule'!$A$2:$Q$2902,S$2,0)&lt;&gt;C1919,VLOOKUP($A1919,'Concrete Beam Schedule'!$A$2:$Q$2902,S$2,0),"")</f>
        <v>#N/A</v>
      </c>
      <c r="T1919" s="7" t="e">
        <f>IF(VLOOKUP($A1919,'Concrete Beam Schedule'!$A$2:$Q$2902,T$2,0)&lt;&gt;D1919,"Beam Revised","")</f>
        <v>#N/A</v>
      </c>
      <c r="U1919" s="7" t="e">
        <f>IF(VLOOKUP($A1919,'Concrete Beam Schedule'!$A$2:$Q$2902,U$2,0)&lt;&gt;E1919,"Beam Revised","")</f>
        <v>#N/A</v>
      </c>
      <c r="V1919" s="7" t="e">
        <f>IF(VLOOKUP($A1919,'Concrete Beam Schedule'!$A$2:$Q$2902,V$2,0)&lt;&gt;F1919,"Beam Revised","")</f>
        <v>#N/A</v>
      </c>
      <c r="W1919" s="7" t="e">
        <f>IF(VLOOKUP($A1919,'Concrete Beam Schedule'!$A$2:$Q$2902,W$2,0)&lt;&gt;G1919,"Beam Revised","")</f>
        <v>#N/A</v>
      </c>
      <c r="X1919" s="7" t="e">
        <f>IF(VLOOKUP($A1919,'Concrete Beam Schedule'!$A$2:$Q$2902,X$2,0)&lt;&gt;H1919,"Beam Revised","")</f>
        <v>#N/A</v>
      </c>
      <c r="Y1919" s="7" t="e">
        <f>IF(VLOOKUP($A1919,'Concrete Beam Schedule'!$A$2:$Q$2902,Y$2,0)&lt;&gt;I1919,"Beam Revised","")</f>
        <v>#N/A</v>
      </c>
      <c r="Z1919" s="7" t="e">
        <f>IF(VLOOKUP($A1919,'Concrete Beam Schedule'!$A$2:$Q$2902,Z$2,0)&lt;&gt;J1919,"Beam Revised","")</f>
        <v>#N/A</v>
      </c>
      <c r="AA1919" s="7" t="e">
        <f>IF(VLOOKUP($A1919,'Concrete Beam Schedule'!$A$2:$Q$2902,AA$2,0)&lt;&gt;K1919,"Beam Revised","")</f>
        <v>#N/A</v>
      </c>
      <c r="AB1919" s="7" t="e">
        <f>IF(VLOOKUP($A1919,'Concrete Beam Schedule'!$A$2:$Q$2902,AB$2,0)&lt;&gt;L1919,"Beam Revised","")</f>
        <v>#N/A</v>
      </c>
      <c r="AC1919" s="7" t="e">
        <f>IF(VLOOKUP($A1919,'Concrete Beam Schedule'!$A$2:$Q$2902,AC$2,0)&lt;&gt;M1919,"Beam Revised","")</f>
        <v>#N/A</v>
      </c>
      <c r="AD1919" s="7" t="e">
        <f>IF(VLOOKUP($A1919,'Concrete Beam Schedule'!$A$2:$Q$2902,AD$2,0)&lt;&gt;N1919,"Beam Revised","")</f>
        <v>#N/A</v>
      </c>
      <c r="AE1919" s="7" t="e">
        <f>IF(VLOOKUP($A1919,'Concrete Beam Schedule'!$A$2:$Q$2902,AE$2,0)&lt;&gt;O1919,"Beam Revised","")</f>
        <v>#N/A</v>
      </c>
    </row>
    <row r="1920" spans="17:31" ht="20.100000000000001" customHeight="1" x14ac:dyDescent="0.25">
      <c r="Q1920" s="7">
        <f t="shared" si="29"/>
        <v>0</v>
      </c>
      <c r="R1920" s="7" t="e">
        <f>IF(VLOOKUP($A1920,'Concrete Beam Schedule'!$A$2:$Q$2902,R$2,0)&lt;&gt;B1920,VLOOKUP($A1920,'Concrete Beam Schedule'!$A$2:$Q$2902,R$2,0),"")</f>
        <v>#N/A</v>
      </c>
      <c r="S1920" s="7" t="e">
        <f>IF(VLOOKUP($A1920,'Concrete Beam Schedule'!$A$2:$Q$2902,S$2,0)&lt;&gt;C1920,VLOOKUP($A1920,'Concrete Beam Schedule'!$A$2:$Q$2902,S$2,0),"")</f>
        <v>#N/A</v>
      </c>
      <c r="T1920" s="7" t="e">
        <f>IF(VLOOKUP($A1920,'Concrete Beam Schedule'!$A$2:$Q$2902,T$2,0)&lt;&gt;D1920,"Beam Revised","")</f>
        <v>#N/A</v>
      </c>
      <c r="U1920" s="7" t="e">
        <f>IF(VLOOKUP($A1920,'Concrete Beam Schedule'!$A$2:$Q$2902,U$2,0)&lt;&gt;E1920,"Beam Revised","")</f>
        <v>#N/A</v>
      </c>
      <c r="V1920" s="7" t="e">
        <f>IF(VLOOKUP($A1920,'Concrete Beam Schedule'!$A$2:$Q$2902,V$2,0)&lt;&gt;F1920,"Beam Revised","")</f>
        <v>#N/A</v>
      </c>
      <c r="W1920" s="7" t="e">
        <f>IF(VLOOKUP($A1920,'Concrete Beam Schedule'!$A$2:$Q$2902,W$2,0)&lt;&gt;G1920,"Beam Revised","")</f>
        <v>#N/A</v>
      </c>
      <c r="X1920" s="7" t="e">
        <f>IF(VLOOKUP($A1920,'Concrete Beam Schedule'!$A$2:$Q$2902,X$2,0)&lt;&gt;H1920,"Beam Revised","")</f>
        <v>#N/A</v>
      </c>
      <c r="Y1920" s="7" t="e">
        <f>IF(VLOOKUP($A1920,'Concrete Beam Schedule'!$A$2:$Q$2902,Y$2,0)&lt;&gt;I1920,"Beam Revised","")</f>
        <v>#N/A</v>
      </c>
      <c r="Z1920" s="7" t="e">
        <f>IF(VLOOKUP($A1920,'Concrete Beam Schedule'!$A$2:$Q$2902,Z$2,0)&lt;&gt;J1920,"Beam Revised","")</f>
        <v>#N/A</v>
      </c>
      <c r="AA1920" s="7" t="e">
        <f>IF(VLOOKUP($A1920,'Concrete Beam Schedule'!$A$2:$Q$2902,AA$2,0)&lt;&gt;K1920,"Beam Revised","")</f>
        <v>#N/A</v>
      </c>
      <c r="AB1920" s="7" t="e">
        <f>IF(VLOOKUP($A1920,'Concrete Beam Schedule'!$A$2:$Q$2902,AB$2,0)&lt;&gt;L1920,"Beam Revised","")</f>
        <v>#N/A</v>
      </c>
      <c r="AC1920" s="7" t="e">
        <f>IF(VLOOKUP($A1920,'Concrete Beam Schedule'!$A$2:$Q$2902,AC$2,0)&lt;&gt;M1920,"Beam Revised","")</f>
        <v>#N/A</v>
      </c>
      <c r="AD1920" s="7" t="e">
        <f>IF(VLOOKUP($A1920,'Concrete Beam Schedule'!$A$2:$Q$2902,AD$2,0)&lt;&gt;N1920,"Beam Revised","")</f>
        <v>#N/A</v>
      </c>
      <c r="AE1920" s="7" t="e">
        <f>IF(VLOOKUP($A1920,'Concrete Beam Schedule'!$A$2:$Q$2902,AE$2,0)&lt;&gt;O1920,"Beam Revised","")</f>
        <v>#N/A</v>
      </c>
    </row>
    <row r="1921" spans="17:31" ht="20.100000000000001" customHeight="1" x14ac:dyDescent="0.25">
      <c r="Q1921" s="7">
        <f t="shared" si="29"/>
        <v>0</v>
      </c>
      <c r="R1921" s="7" t="e">
        <f>IF(VLOOKUP($A1921,'Concrete Beam Schedule'!$A$2:$Q$2902,R$2,0)&lt;&gt;B1921,VLOOKUP($A1921,'Concrete Beam Schedule'!$A$2:$Q$2902,R$2,0),"")</f>
        <v>#N/A</v>
      </c>
      <c r="S1921" s="7" t="e">
        <f>IF(VLOOKUP($A1921,'Concrete Beam Schedule'!$A$2:$Q$2902,S$2,0)&lt;&gt;C1921,VLOOKUP($A1921,'Concrete Beam Schedule'!$A$2:$Q$2902,S$2,0),"")</f>
        <v>#N/A</v>
      </c>
      <c r="T1921" s="7" t="e">
        <f>IF(VLOOKUP($A1921,'Concrete Beam Schedule'!$A$2:$Q$2902,T$2,0)&lt;&gt;D1921,"Beam Revised","")</f>
        <v>#N/A</v>
      </c>
      <c r="U1921" s="7" t="e">
        <f>IF(VLOOKUP($A1921,'Concrete Beam Schedule'!$A$2:$Q$2902,U$2,0)&lt;&gt;E1921,"Beam Revised","")</f>
        <v>#N/A</v>
      </c>
      <c r="V1921" s="7" t="e">
        <f>IF(VLOOKUP($A1921,'Concrete Beam Schedule'!$A$2:$Q$2902,V$2,0)&lt;&gt;F1921,"Beam Revised","")</f>
        <v>#N/A</v>
      </c>
      <c r="W1921" s="7" t="e">
        <f>IF(VLOOKUP($A1921,'Concrete Beam Schedule'!$A$2:$Q$2902,W$2,0)&lt;&gt;G1921,"Beam Revised","")</f>
        <v>#N/A</v>
      </c>
      <c r="X1921" s="7" t="e">
        <f>IF(VLOOKUP($A1921,'Concrete Beam Schedule'!$A$2:$Q$2902,X$2,0)&lt;&gt;H1921,"Beam Revised","")</f>
        <v>#N/A</v>
      </c>
      <c r="Y1921" s="7" t="e">
        <f>IF(VLOOKUP($A1921,'Concrete Beam Schedule'!$A$2:$Q$2902,Y$2,0)&lt;&gt;I1921,"Beam Revised","")</f>
        <v>#N/A</v>
      </c>
      <c r="Z1921" s="7" t="e">
        <f>IF(VLOOKUP($A1921,'Concrete Beam Schedule'!$A$2:$Q$2902,Z$2,0)&lt;&gt;J1921,"Beam Revised","")</f>
        <v>#N/A</v>
      </c>
      <c r="AA1921" s="7" t="e">
        <f>IF(VLOOKUP($A1921,'Concrete Beam Schedule'!$A$2:$Q$2902,AA$2,0)&lt;&gt;K1921,"Beam Revised","")</f>
        <v>#N/A</v>
      </c>
      <c r="AB1921" s="7" t="e">
        <f>IF(VLOOKUP($A1921,'Concrete Beam Schedule'!$A$2:$Q$2902,AB$2,0)&lt;&gt;L1921,"Beam Revised","")</f>
        <v>#N/A</v>
      </c>
      <c r="AC1921" s="7" t="e">
        <f>IF(VLOOKUP($A1921,'Concrete Beam Schedule'!$A$2:$Q$2902,AC$2,0)&lt;&gt;M1921,"Beam Revised","")</f>
        <v>#N/A</v>
      </c>
      <c r="AD1921" s="7" t="e">
        <f>IF(VLOOKUP($A1921,'Concrete Beam Schedule'!$A$2:$Q$2902,AD$2,0)&lt;&gt;N1921,"Beam Revised","")</f>
        <v>#N/A</v>
      </c>
      <c r="AE1921" s="7" t="e">
        <f>IF(VLOOKUP($A1921,'Concrete Beam Schedule'!$A$2:$Q$2902,AE$2,0)&lt;&gt;O1921,"Beam Revised","")</f>
        <v>#N/A</v>
      </c>
    </row>
    <row r="1922" spans="17:31" ht="20.100000000000001" customHeight="1" x14ac:dyDescent="0.25">
      <c r="Q1922" s="7">
        <f t="shared" si="29"/>
        <v>0</v>
      </c>
      <c r="R1922" s="7" t="e">
        <f>IF(VLOOKUP($A1922,'Concrete Beam Schedule'!$A$2:$Q$2902,R$2,0)&lt;&gt;B1922,VLOOKUP($A1922,'Concrete Beam Schedule'!$A$2:$Q$2902,R$2,0),"")</f>
        <v>#N/A</v>
      </c>
      <c r="S1922" s="7" t="e">
        <f>IF(VLOOKUP($A1922,'Concrete Beam Schedule'!$A$2:$Q$2902,S$2,0)&lt;&gt;C1922,VLOOKUP($A1922,'Concrete Beam Schedule'!$A$2:$Q$2902,S$2,0),"")</f>
        <v>#N/A</v>
      </c>
      <c r="T1922" s="7" t="e">
        <f>IF(VLOOKUP($A1922,'Concrete Beam Schedule'!$A$2:$Q$2902,T$2,0)&lt;&gt;D1922,"Beam Revised","")</f>
        <v>#N/A</v>
      </c>
      <c r="U1922" s="7" t="e">
        <f>IF(VLOOKUP($A1922,'Concrete Beam Schedule'!$A$2:$Q$2902,U$2,0)&lt;&gt;E1922,"Beam Revised","")</f>
        <v>#N/A</v>
      </c>
      <c r="V1922" s="7" t="e">
        <f>IF(VLOOKUP($A1922,'Concrete Beam Schedule'!$A$2:$Q$2902,V$2,0)&lt;&gt;F1922,"Beam Revised","")</f>
        <v>#N/A</v>
      </c>
      <c r="W1922" s="7" t="e">
        <f>IF(VLOOKUP($A1922,'Concrete Beam Schedule'!$A$2:$Q$2902,W$2,0)&lt;&gt;G1922,"Beam Revised","")</f>
        <v>#N/A</v>
      </c>
      <c r="X1922" s="7" t="e">
        <f>IF(VLOOKUP($A1922,'Concrete Beam Schedule'!$A$2:$Q$2902,X$2,0)&lt;&gt;H1922,"Beam Revised","")</f>
        <v>#N/A</v>
      </c>
      <c r="Y1922" s="7" t="e">
        <f>IF(VLOOKUP($A1922,'Concrete Beam Schedule'!$A$2:$Q$2902,Y$2,0)&lt;&gt;I1922,"Beam Revised","")</f>
        <v>#N/A</v>
      </c>
      <c r="Z1922" s="7" t="e">
        <f>IF(VLOOKUP($A1922,'Concrete Beam Schedule'!$A$2:$Q$2902,Z$2,0)&lt;&gt;J1922,"Beam Revised","")</f>
        <v>#N/A</v>
      </c>
      <c r="AA1922" s="7" t="e">
        <f>IF(VLOOKUP($A1922,'Concrete Beam Schedule'!$A$2:$Q$2902,AA$2,0)&lt;&gt;K1922,"Beam Revised","")</f>
        <v>#N/A</v>
      </c>
      <c r="AB1922" s="7" t="e">
        <f>IF(VLOOKUP($A1922,'Concrete Beam Schedule'!$A$2:$Q$2902,AB$2,0)&lt;&gt;L1922,"Beam Revised","")</f>
        <v>#N/A</v>
      </c>
      <c r="AC1922" s="7" t="e">
        <f>IF(VLOOKUP($A1922,'Concrete Beam Schedule'!$A$2:$Q$2902,AC$2,0)&lt;&gt;M1922,"Beam Revised","")</f>
        <v>#N/A</v>
      </c>
      <c r="AD1922" s="7" t="e">
        <f>IF(VLOOKUP($A1922,'Concrete Beam Schedule'!$A$2:$Q$2902,AD$2,0)&lt;&gt;N1922,"Beam Revised","")</f>
        <v>#N/A</v>
      </c>
      <c r="AE1922" s="7" t="e">
        <f>IF(VLOOKUP($A1922,'Concrete Beam Schedule'!$A$2:$Q$2902,AE$2,0)&lt;&gt;O1922,"Beam Revised","")</f>
        <v>#N/A</v>
      </c>
    </row>
    <row r="1923" spans="17:31" ht="20.100000000000001" customHeight="1" x14ac:dyDescent="0.25">
      <c r="Q1923" s="7">
        <f t="shared" si="29"/>
        <v>0</v>
      </c>
      <c r="R1923" s="7" t="e">
        <f>IF(VLOOKUP($A1923,'Concrete Beam Schedule'!$A$2:$Q$2902,R$2,0)&lt;&gt;B1923,VLOOKUP($A1923,'Concrete Beam Schedule'!$A$2:$Q$2902,R$2,0),"")</f>
        <v>#N/A</v>
      </c>
      <c r="S1923" s="7" t="e">
        <f>IF(VLOOKUP($A1923,'Concrete Beam Schedule'!$A$2:$Q$2902,S$2,0)&lt;&gt;C1923,VLOOKUP($A1923,'Concrete Beam Schedule'!$A$2:$Q$2902,S$2,0),"")</f>
        <v>#N/A</v>
      </c>
      <c r="T1923" s="7" t="e">
        <f>IF(VLOOKUP($A1923,'Concrete Beam Schedule'!$A$2:$Q$2902,T$2,0)&lt;&gt;D1923,"Beam Revised","")</f>
        <v>#N/A</v>
      </c>
      <c r="U1923" s="7" t="e">
        <f>IF(VLOOKUP($A1923,'Concrete Beam Schedule'!$A$2:$Q$2902,U$2,0)&lt;&gt;E1923,"Beam Revised","")</f>
        <v>#N/A</v>
      </c>
      <c r="V1923" s="7" t="e">
        <f>IF(VLOOKUP($A1923,'Concrete Beam Schedule'!$A$2:$Q$2902,V$2,0)&lt;&gt;F1923,"Beam Revised","")</f>
        <v>#N/A</v>
      </c>
      <c r="W1923" s="7" t="e">
        <f>IF(VLOOKUP($A1923,'Concrete Beam Schedule'!$A$2:$Q$2902,W$2,0)&lt;&gt;G1923,"Beam Revised","")</f>
        <v>#N/A</v>
      </c>
      <c r="X1923" s="7" t="e">
        <f>IF(VLOOKUP($A1923,'Concrete Beam Schedule'!$A$2:$Q$2902,X$2,0)&lt;&gt;H1923,"Beam Revised","")</f>
        <v>#N/A</v>
      </c>
      <c r="Y1923" s="7" t="e">
        <f>IF(VLOOKUP($A1923,'Concrete Beam Schedule'!$A$2:$Q$2902,Y$2,0)&lt;&gt;I1923,"Beam Revised","")</f>
        <v>#N/A</v>
      </c>
      <c r="Z1923" s="7" t="e">
        <f>IF(VLOOKUP($A1923,'Concrete Beam Schedule'!$A$2:$Q$2902,Z$2,0)&lt;&gt;J1923,"Beam Revised","")</f>
        <v>#N/A</v>
      </c>
      <c r="AA1923" s="7" t="e">
        <f>IF(VLOOKUP($A1923,'Concrete Beam Schedule'!$A$2:$Q$2902,AA$2,0)&lt;&gt;K1923,"Beam Revised","")</f>
        <v>#N/A</v>
      </c>
      <c r="AB1923" s="7" t="e">
        <f>IF(VLOOKUP($A1923,'Concrete Beam Schedule'!$A$2:$Q$2902,AB$2,0)&lt;&gt;L1923,"Beam Revised","")</f>
        <v>#N/A</v>
      </c>
      <c r="AC1923" s="7" t="e">
        <f>IF(VLOOKUP($A1923,'Concrete Beam Schedule'!$A$2:$Q$2902,AC$2,0)&lt;&gt;M1923,"Beam Revised","")</f>
        <v>#N/A</v>
      </c>
      <c r="AD1923" s="7" t="e">
        <f>IF(VLOOKUP($A1923,'Concrete Beam Schedule'!$A$2:$Q$2902,AD$2,0)&lt;&gt;N1923,"Beam Revised","")</f>
        <v>#N/A</v>
      </c>
      <c r="AE1923" s="7" t="e">
        <f>IF(VLOOKUP($A1923,'Concrete Beam Schedule'!$A$2:$Q$2902,AE$2,0)&lt;&gt;O1923,"Beam Revised","")</f>
        <v>#N/A</v>
      </c>
    </row>
    <row r="1924" spans="17:31" ht="20.100000000000001" customHeight="1" x14ac:dyDescent="0.25">
      <c r="Q1924" s="7">
        <f t="shared" ref="Q1924:Q1987" si="30">A1924</f>
        <v>0</v>
      </c>
      <c r="R1924" s="7" t="e">
        <f>IF(VLOOKUP($A1924,'Concrete Beam Schedule'!$A$2:$Q$2902,R$2,0)&lt;&gt;B1924,VLOOKUP($A1924,'Concrete Beam Schedule'!$A$2:$Q$2902,R$2,0),"")</f>
        <v>#N/A</v>
      </c>
      <c r="S1924" s="7" t="e">
        <f>IF(VLOOKUP($A1924,'Concrete Beam Schedule'!$A$2:$Q$2902,S$2,0)&lt;&gt;C1924,VLOOKUP($A1924,'Concrete Beam Schedule'!$A$2:$Q$2902,S$2,0),"")</f>
        <v>#N/A</v>
      </c>
      <c r="T1924" s="7" t="e">
        <f>IF(VLOOKUP($A1924,'Concrete Beam Schedule'!$A$2:$Q$2902,T$2,0)&lt;&gt;D1924,"Beam Revised","")</f>
        <v>#N/A</v>
      </c>
      <c r="U1924" s="7" t="e">
        <f>IF(VLOOKUP($A1924,'Concrete Beam Schedule'!$A$2:$Q$2902,U$2,0)&lt;&gt;E1924,"Beam Revised","")</f>
        <v>#N/A</v>
      </c>
      <c r="V1924" s="7" t="e">
        <f>IF(VLOOKUP($A1924,'Concrete Beam Schedule'!$A$2:$Q$2902,V$2,0)&lt;&gt;F1924,"Beam Revised","")</f>
        <v>#N/A</v>
      </c>
      <c r="W1924" s="7" t="e">
        <f>IF(VLOOKUP($A1924,'Concrete Beam Schedule'!$A$2:$Q$2902,W$2,0)&lt;&gt;G1924,"Beam Revised","")</f>
        <v>#N/A</v>
      </c>
      <c r="X1924" s="7" t="e">
        <f>IF(VLOOKUP($A1924,'Concrete Beam Schedule'!$A$2:$Q$2902,X$2,0)&lt;&gt;H1924,"Beam Revised","")</f>
        <v>#N/A</v>
      </c>
      <c r="Y1924" s="7" t="e">
        <f>IF(VLOOKUP($A1924,'Concrete Beam Schedule'!$A$2:$Q$2902,Y$2,0)&lt;&gt;I1924,"Beam Revised","")</f>
        <v>#N/A</v>
      </c>
      <c r="Z1924" s="7" t="e">
        <f>IF(VLOOKUP($A1924,'Concrete Beam Schedule'!$A$2:$Q$2902,Z$2,0)&lt;&gt;J1924,"Beam Revised","")</f>
        <v>#N/A</v>
      </c>
      <c r="AA1924" s="7" t="e">
        <f>IF(VLOOKUP($A1924,'Concrete Beam Schedule'!$A$2:$Q$2902,AA$2,0)&lt;&gt;K1924,"Beam Revised","")</f>
        <v>#N/A</v>
      </c>
      <c r="AB1924" s="7" t="e">
        <f>IF(VLOOKUP($A1924,'Concrete Beam Schedule'!$A$2:$Q$2902,AB$2,0)&lt;&gt;L1924,"Beam Revised","")</f>
        <v>#N/A</v>
      </c>
      <c r="AC1924" s="7" t="e">
        <f>IF(VLOOKUP($A1924,'Concrete Beam Schedule'!$A$2:$Q$2902,AC$2,0)&lt;&gt;M1924,"Beam Revised","")</f>
        <v>#N/A</v>
      </c>
      <c r="AD1924" s="7" t="e">
        <f>IF(VLOOKUP($A1924,'Concrete Beam Schedule'!$A$2:$Q$2902,AD$2,0)&lt;&gt;N1924,"Beam Revised","")</f>
        <v>#N/A</v>
      </c>
      <c r="AE1924" s="7" t="e">
        <f>IF(VLOOKUP($A1924,'Concrete Beam Schedule'!$A$2:$Q$2902,AE$2,0)&lt;&gt;O1924,"Beam Revised","")</f>
        <v>#N/A</v>
      </c>
    </row>
    <row r="1925" spans="17:31" ht="20.100000000000001" customHeight="1" x14ac:dyDescent="0.25">
      <c r="Q1925" s="7">
        <f t="shared" si="30"/>
        <v>0</v>
      </c>
      <c r="R1925" s="7" t="e">
        <f>IF(VLOOKUP($A1925,'Concrete Beam Schedule'!$A$2:$Q$2902,R$2,0)&lt;&gt;B1925,VLOOKUP($A1925,'Concrete Beam Schedule'!$A$2:$Q$2902,R$2,0),"")</f>
        <v>#N/A</v>
      </c>
      <c r="S1925" s="7" t="e">
        <f>IF(VLOOKUP($A1925,'Concrete Beam Schedule'!$A$2:$Q$2902,S$2,0)&lt;&gt;C1925,VLOOKUP($A1925,'Concrete Beam Schedule'!$A$2:$Q$2902,S$2,0),"")</f>
        <v>#N/A</v>
      </c>
      <c r="T1925" s="7" t="e">
        <f>IF(VLOOKUP($A1925,'Concrete Beam Schedule'!$A$2:$Q$2902,T$2,0)&lt;&gt;D1925,"Beam Revised","")</f>
        <v>#N/A</v>
      </c>
      <c r="U1925" s="7" t="e">
        <f>IF(VLOOKUP($A1925,'Concrete Beam Schedule'!$A$2:$Q$2902,U$2,0)&lt;&gt;E1925,"Beam Revised","")</f>
        <v>#N/A</v>
      </c>
      <c r="V1925" s="7" t="e">
        <f>IF(VLOOKUP($A1925,'Concrete Beam Schedule'!$A$2:$Q$2902,V$2,0)&lt;&gt;F1925,"Beam Revised","")</f>
        <v>#N/A</v>
      </c>
      <c r="W1925" s="7" t="e">
        <f>IF(VLOOKUP($A1925,'Concrete Beam Schedule'!$A$2:$Q$2902,W$2,0)&lt;&gt;G1925,"Beam Revised","")</f>
        <v>#N/A</v>
      </c>
      <c r="X1925" s="7" t="e">
        <f>IF(VLOOKUP($A1925,'Concrete Beam Schedule'!$A$2:$Q$2902,X$2,0)&lt;&gt;H1925,"Beam Revised","")</f>
        <v>#N/A</v>
      </c>
      <c r="Y1925" s="7" t="e">
        <f>IF(VLOOKUP($A1925,'Concrete Beam Schedule'!$A$2:$Q$2902,Y$2,0)&lt;&gt;I1925,"Beam Revised","")</f>
        <v>#N/A</v>
      </c>
      <c r="Z1925" s="7" t="e">
        <f>IF(VLOOKUP($A1925,'Concrete Beam Schedule'!$A$2:$Q$2902,Z$2,0)&lt;&gt;J1925,"Beam Revised","")</f>
        <v>#N/A</v>
      </c>
      <c r="AA1925" s="7" t="e">
        <f>IF(VLOOKUP($A1925,'Concrete Beam Schedule'!$A$2:$Q$2902,AA$2,0)&lt;&gt;K1925,"Beam Revised","")</f>
        <v>#N/A</v>
      </c>
      <c r="AB1925" s="7" t="e">
        <f>IF(VLOOKUP($A1925,'Concrete Beam Schedule'!$A$2:$Q$2902,AB$2,0)&lt;&gt;L1925,"Beam Revised","")</f>
        <v>#N/A</v>
      </c>
      <c r="AC1925" s="7" t="e">
        <f>IF(VLOOKUP($A1925,'Concrete Beam Schedule'!$A$2:$Q$2902,AC$2,0)&lt;&gt;M1925,"Beam Revised","")</f>
        <v>#N/A</v>
      </c>
      <c r="AD1925" s="7" t="e">
        <f>IF(VLOOKUP($A1925,'Concrete Beam Schedule'!$A$2:$Q$2902,AD$2,0)&lt;&gt;N1925,"Beam Revised","")</f>
        <v>#N/A</v>
      </c>
      <c r="AE1925" s="7" t="e">
        <f>IF(VLOOKUP($A1925,'Concrete Beam Schedule'!$A$2:$Q$2902,AE$2,0)&lt;&gt;O1925,"Beam Revised","")</f>
        <v>#N/A</v>
      </c>
    </row>
    <row r="1926" spans="17:31" ht="20.100000000000001" customHeight="1" x14ac:dyDescent="0.25">
      <c r="Q1926" s="7">
        <f t="shared" si="30"/>
        <v>0</v>
      </c>
      <c r="R1926" s="7" t="e">
        <f>IF(VLOOKUP($A1926,'Concrete Beam Schedule'!$A$2:$Q$2902,R$2,0)&lt;&gt;B1926,VLOOKUP($A1926,'Concrete Beam Schedule'!$A$2:$Q$2902,R$2,0),"")</f>
        <v>#N/A</v>
      </c>
      <c r="S1926" s="7" t="e">
        <f>IF(VLOOKUP($A1926,'Concrete Beam Schedule'!$A$2:$Q$2902,S$2,0)&lt;&gt;C1926,VLOOKUP($A1926,'Concrete Beam Schedule'!$A$2:$Q$2902,S$2,0),"")</f>
        <v>#N/A</v>
      </c>
      <c r="T1926" s="7" t="e">
        <f>IF(VLOOKUP($A1926,'Concrete Beam Schedule'!$A$2:$Q$2902,T$2,0)&lt;&gt;D1926,"Beam Revised","")</f>
        <v>#N/A</v>
      </c>
      <c r="U1926" s="7" t="e">
        <f>IF(VLOOKUP($A1926,'Concrete Beam Schedule'!$A$2:$Q$2902,U$2,0)&lt;&gt;E1926,"Beam Revised","")</f>
        <v>#N/A</v>
      </c>
      <c r="V1926" s="7" t="e">
        <f>IF(VLOOKUP($A1926,'Concrete Beam Schedule'!$A$2:$Q$2902,V$2,0)&lt;&gt;F1926,"Beam Revised","")</f>
        <v>#N/A</v>
      </c>
      <c r="W1926" s="7" t="e">
        <f>IF(VLOOKUP($A1926,'Concrete Beam Schedule'!$A$2:$Q$2902,W$2,0)&lt;&gt;G1926,"Beam Revised","")</f>
        <v>#N/A</v>
      </c>
      <c r="X1926" s="7" t="e">
        <f>IF(VLOOKUP($A1926,'Concrete Beam Schedule'!$A$2:$Q$2902,X$2,0)&lt;&gt;H1926,"Beam Revised","")</f>
        <v>#N/A</v>
      </c>
      <c r="Y1926" s="7" t="e">
        <f>IF(VLOOKUP($A1926,'Concrete Beam Schedule'!$A$2:$Q$2902,Y$2,0)&lt;&gt;I1926,"Beam Revised","")</f>
        <v>#N/A</v>
      </c>
      <c r="Z1926" s="7" t="e">
        <f>IF(VLOOKUP($A1926,'Concrete Beam Schedule'!$A$2:$Q$2902,Z$2,0)&lt;&gt;J1926,"Beam Revised","")</f>
        <v>#N/A</v>
      </c>
      <c r="AA1926" s="7" t="e">
        <f>IF(VLOOKUP($A1926,'Concrete Beam Schedule'!$A$2:$Q$2902,AA$2,0)&lt;&gt;K1926,"Beam Revised","")</f>
        <v>#N/A</v>
      </c>
      <c r="AB1926" s="7" t="e">
        <f>IF(VLOOKUP($A1926,'Concrete Beam Schedule'!$A$2:$Q$2902,AB$2,0)&lt;&gt;L1926,"Beam Revised","")</f>
        <v>#N/A</v>
      </c>
      <c r="AC1926" s="7" t="e">
        <f>IF(VLOOKUP($A1926,'Concrete Beam Schedule'!$A$2:$Q$2902,AC$2,0)&lt;&gt;M1926,"Beam Revised","")</f>
        <v>#N/A</v>
      </c>
      <c r="AD1926" s="7" t="e">
        <f>IF(VLOOKUP($A1926,'Concrete Beam Schedule'!$A$2:$Q$2902,AD$2,0)&lt;&gt;N1926,"Beam Revised","")</f>
        <v>#N/A</v>
      </c>
      <c r="AE1926" s="7" t="e">
        <f>IF(VLOOKUP($A1926,'Concrete Beam Schedule'!$A$2:$Q$2902,AE$2,0)&lt;&gt;O1926,"Beam Revised","")</f>
        <v>#N/A</v>
      </c>
    </row>
    <row r="1927" spans="17:31" ht="20.100000000000001" customHeight="1" x14ac:dyDescent="0.25">
      <c r="Q1927" s="7">
        <f t="shared" si="30"/>
        <v>0</v>
      </c>
      <c r="R1927" s="7" t="e">
        <f>IF(VLOOKUP($A1927,'Concrete Beam Schedule'!$A$2:$Q$2902,R$2,0)&lt;&gt;B1927,VLOOKUP($A1927,'Concrete Beam Schedule'!$A$2:$Q$2902,R$2,0),"")</f>
        <v>#N/A</v>
      </c>
      <c r="S1927" s="7" t="e">
        <f>IF(VLOOKUP($A1927,'Concrete Beam Schedule'!$A$2:$Q$2902,S$2,0)&lt;&gt;C1927,VLOOKUP($A1927,'Concrete Beam Schedule'!$A$2:$Q$2902,S$2,0),"")</f>
        <v>#N/A</v>
      </c>
      <c r="T1927" s="7" t="e">
        <f>IF(VLOOKUP($A1927,'Concrete Beam Schedule'!$A$2:$Q$2902,T$2,0)&lt;&gt;D1927,"Beam Revised","")</f>
        <v>#N/A</v>
      </c>
      <c r="U1927" s="7" t="e">
        <f>IF(VLOOKUP($A1927,'Concrete Beam Schedule'!$A$2:$Q$2902,U$2,0)&lt;&gt;E1927,"Beam Revised","")</f>
        <v>#N/A</v>
      </c>
      <c r="V1927" s="7" t="e">
        <f>IF(VLOOKUP($A1927,'Concrete Beam Schedule'!$A$2:$Q$2902,V$2,0)&lt;&gt;F1927,"Beam Revised","")</f>
        <v>#N/A</v>
      </c>
      <c r="W1927" s="7" t="e">
        <f>IF(VLOOKUP($A1927,'Concrete Beam Schedule'!$A$2:$Q$2902,W$2,0)&lt;&gt;G1927,"Beam Revised","")</f>
        <v>#N/A</v>
      </c>
      <c r="X1927" s="7" t="e">
        <f>IF(VLOOKUP($A1927,'Concrete Beam Schedule'!$A$2:$Q$2902,X$2,0)&lt;&gt;H1927,"Beam Revised","")</f>
        <v>#N/A</v>
      </c>
      <c r="Y1927" s="7" t="e">
        <f>IF(VLOOKUP($A1927,'Concrete Beam Schedule'!$A$2:$Q$2902,Y$2,0)&lt;&gt;I1927,"Beam Revised","")</f>
        <v>#N/A</v>
      </c>
      <c r="Z1927" s="7" t="e">
        <f>IF(VLOOKUP($A1927,'Concrete Beam Schedule'!$A$2:$Q$2902,Z$2,0)&lt;&gt;J1927,"Beam Revised","")</f>
        <v>#N/A</v>
      </c>
      <c r="AA1927" s="7" t="e">
        <f>IF(VLOOKUP($A1927,'Concrete Beam Schedule'!$A$2:$Q$2902,AA$2,0)&lt;&gt;K1927,"Beam Revised","")</f>
        <v>#N/A</v>
      </c>
      <c r="AB1927" s="7" t="e">
        <f>IF(VLOOKUP($A1927,'Concrete Beam Schedule'!$A$2:$Q$2902,AB$2,0)&lt;&gt;L1927,"Beam Revised","")</f>
        <v>#N/A</v>
      </c>
      <c r="AC1927" s="7" t="e">
        <f>IF(VLOOKUP($A1927,'Concrete Beam Schedule'!$A$2:$Q$2902,AC$2,0)&lt;&gt;M1927,"Beam Revised","")</f>
        <v>#N/A</v>
      </c>
      <c r="AD1927" s="7" t="e">
        <f>IF(VLOOKUP($A1927,'Concrete Beam Schedule'!$A$2:$Q$2902,AD$2,0)&lt;&gt;N1927,"Beam Revised","")</f>
        <v>#N/A</v>
      </c>
      <c r="AE1927" s="7" t="e">
        <f>IF(VLOOKUP($A1927,'Concrete Beam Schedule'!$A$2:$Q$2902,AE$2,0)&lt;&gt;O1927,"Beam Revised","")</f>
        <v>#N/A</v>
      </c>
    </row>
    <row r="1928" spans="17:31" ht="20.100000000000001" customHeight="1" x14ac:dyDescent="0.25">
      <c r="Q1928" s="7">
        <f t="shared" si="30"/>
        <v>0</v>
      </c>
      <c r="R1928" s="7" t="e">
        <f>IF(VLOOKUP($A1928,'Concrete Beam Schedule'!$A$2:$Q$2902,R$2,0)&lt;&gt;B1928,VLOOKUP($A1928,'Concrete Beam Schedule'!$A$2:$Q$2902,R$2,0),"")</f>
        <v>#N/A</v>
      </c>
      <c r="S1928" s="7" t="e">
        <f>IF(VLOOKUP($A1928,'Concrete Beam Schedule'!$A$2:$Q$2902,S$2,0)&lt;&gt;C1928,VLOOKUP($A1928,'Concrete Beam Schedule'!$A$2:$Q$2902,S$2,0),"")</f>
        <v>#N/A</v>
      </c>
      <c r="T1928" s="7" t="e">
        <f>IF(VLOOKUP($A1928,'Concrete Beam Schedule'!$A$2:$Q$2902,T$2,0)&lt;&gt;D1928,"Beam Revised","")</f>
        <v>#N/A</v>
      </c>
      <c r="U1928" s="7" t="e">
        <f>IF(VLOOKUP($A1928,'Concrete Beam Schedule'!$A$2:$Q$2902,U$2,0)&lt;&gt;E1928,"Beam Revised","")</f>
        <v>#N/A</v>
      </c>
      <c r="V1928" s="7" t="e">
        <f>IF(VLOOKUP($A1928,'Concrete Beam Schedule'!$A$2:$Q$2902,V$2,0)&lt;&gt;F1928,"Beam Revised","")</f>
        <v>#N/A</v>
      </c>
      <c r="W1928" s="7" t="e">
        <f>IF(VLOOKUP($A1928,'Concrete Beam Schedule'!$A$2:$Q$2902,W$2,0)&lt;&gt;G1928,"Beam Revised","")</f>
        <v>#N/A</v>
      </c>
      <c r="X1928" s="7" t="e">
        <f>IF(VLOOKUP($A1928,'Concrete Beam Schedule'!$A$2:$Q$2902,X$2,0)&lt;&gt;H1928,"Beam Revised","")</f>
        <v>#N/A</v>
      </c>
      <c r="Y1928" s="7" t="e">
        <f>IF(VLOOKUP($A1928,'Concrete Beam Schedule'!$A$2:$Q$2902,Y$2,0)&lt;&gt;I1928,"Beam Revised","")</f>
        <v>#N/A</v>
      </c>
      <c r="Z1928" s="7" t="e">
        <f>IF(VLOOKUP($A1928,'Concrete Beam Schedule'!$A$2:$Q$2902,Z$2,0)&lt;&gt;J1928,"Beam Revised","")</f>
        <v>#N/A</v>
      </c>
      <c r="AA1928" s="7" t="e">
        <f>IF(VLOOKUP($A1928,'Concrete Beam Schedule'!$A$2:$Q$2902,AA$2,0)&lt;&gt;K1928,"Beam Revised","")</f>
        <v>#N/A</v>
      </c>
      <c r="AB1928" s="7" t="e">
        <f>IF(VLOOKUP($A1928,'Concrete Beam Schedule'!$A$2:$Q$2902,AB$2,0)&lt;&gt;L1928,"Beam Revised","")</f>
        <v>#N/A</v>
      </c>
      <c r="AC1928" s="7" t="e">
        <f>IF(VLOOKUP($A1928,'Concrete Beam Schedule'!$A$2:$Q$2902,AC$2,0)&lt;&gt;M1928,"Beam Revised","")</f>
        <v>#N/A</v>
      </c>
      <c r="AD1928" s="7" t="e">
        <f>IF(VLOOKUP($A1928,'Concrete Beam Schedule'!$A$2:$Q$2902,AD$2,0)&lt;&gt;N1928,"Beam Revised","")</f>
        <v>#N/A</v>
      </c>
      <c r="AE1928" s="7" t="e">
        <f>IF(VLOOKUP($A1928,'Concrete Beam Schedule'!$A$2:$Q$2902,AE$2,0)&lt;&gt;O1928,"Beam Revised","")</f>
        <v>#N/A</v>
      </c>
    </row>
    <row r="1929" spans="17:31" ht="20.100000000000001" customHeight="1" x14ac:dyDescent="0.25">
      <c r="Q1929" s="7">
        <f t="shared" si="30"/>
        <v>0</v>
      </c>
      <c r="R1929" s="7" t="e">
        <f>IF(VLOOKUP($A1929,'Concrete Beam Schedule'!$A$2:$Q$2902,R$2,0)&lt;&gt;B1929,VLOOKUP($A1929,'Concrete Beam Schedule'!$A$2:$Q$2902,R$2,0),"")</f>
        <v>#N/A</v>
      </c>
      <c r="S1929" s="7" t="e">
        <f>IF(VLOOKUP($A1929,'Concrete Beam Schedule'!$A$2:$Q$2902,S$2,0)&lt;&gt;C1929,VLOOKUP($A1929,'Concrete Beam Schedule'!$A$2:$Q$2902,S$2,0),"")</f>
        <v>#N/A</v>
      </c>
      <c r="T1929" s="7" t="e">
        <f>IF(VLOOKUP($A1929,'Concrete Beam Schedule'!$A$2:$Q$2902,T$2,0)&lt;&gt;D1929,"Beam Revised","")</f>
        <v>#N/A</v>
      </c>
      <c r="U1929" s="7" t="e">
        <f>IF(VLOOKUP($A1929,'Concrete Beam Schedule'!$A$2:$Q$2902,U$2,0)&lt;&gt;E1929,"Beam Revised","")</f>
        <v>#N/A</v>
      </c>
      <c r="V1929" s="7" t="e">
        <f>IF(VLOOKUP($A1929,'Concrete Beam Schedule'!$A$2:$Q$2902,V$2,0)&lt;&gt;F1929,"Beam Revised","")</f>
        <v>#N/A</v>
      </c>
      <c r="W1929" s="7" t="e">
        <f>IF(VLOOKUP($A1929,'Concrete Beam Schedule'!$A$2:$Q$2902,W$2,0)&lt;&gt;G1929,"Beam Revised","")</f>
        <v>#N/A</v>
      </c>
      <c r="X1929" s="7" t="e">
        <f>IF(VLOOKUP($A1929,'Concrete Beam Schedule'!$A$2:$Q$2902,X$2,0)&lt;&gt;H1929,"Beam Revised","")</f>
        <v>#N/A</v>
      </c>
      <c r="Y1929" s="7" t="e">
        <f>IF(VLOOKUP($A1929,'Concrete Beam Schedule'!$A$2:$Q$2902,Y$2,0)&lt;&gt;I1929,"Beam Revised","")</f>
        <v>#N/A</v>
      </c>
      <c r="Z1929" s="7" t="e">
        <f>IF(VLOOKUP($A1929,'Concrete Beam Schedule'!$A$2:$Q$2902,Z$2,0)&lt;&gt;J1929,"Beam Revised","")</f>
        <v>#N/A</v>
      </c>
      <c r="AA1929" s="7" t="e">
        <f>IF(VLOOKUP($A1929,'Concrete Beam Schedule'!$A$2:$Q$2902,AA$2,0)&lt;&gt;K1929,"Beam Revised","")</f>
        <v>#N/A</v>
      </c>
      <c r="AB1929" s="7" t="e">
        <f>IF(VLOOKUP($A1929,'Concrete Beam Schedule'!$A$2:$Q$2902,AB$2,0)&lt;&gt;L1929,"Beam Revised","")</f>
        <v>#N/A</v>
      </c>
      <c r="AC1929" s="7" t="e">
        <f>IF(VLOOKUP($A1929,'Concrete Beam Schedule'!$A$2:$Q$2902,AC$2,0)&lt;&gt;M1929,"Beam Revised","")</f>
        <v>#N/A</v>
      </c>
      <c r="AD1929" s="7" t="e">
        <f>IF(VLOOKUP($A1929,'Concrete Beam Schedule'!$A$2:$Q$2902,AD$2,0)&lt;&gt;N1929,"Beam Revised","")</f>
        <v>#N/A</v>
      </c>
      <c r="AE1929" s="7" t="e">
        <f>IF(VLOOKUP($A1929,'Concrete Beam Schedule'!$A$2:$Q$2902,AE$2,0)&lt;&gt;O1929,"Beam Revised","")</f>
        <v>#N/A</v>
      </c>
    </row>
    <row r="1930" spans="17:31" ht="20.100000000000001" customHeight="1" x14ac:dyDescent="0.25">
      <c r="Q1930" s="7">
        <f t="shared" si="30"/>
        <v>0</v>
      </c>
      <c r="R1930" s="7" t="e">
        <f>IF(VLOOKUP($A1930,'Concrete Beam Schedule'!$A$2:$Q$2902,R$2,0)&lt;&gt;B1930,VLOOKUP($A1930,'Concrete Beam Schedule'!$A$2:$Q$2902,R$2,0),"")</f>
        <v>#N/A</v>
      </c>
      <c r="S1930" s="7" t="e">
        <f>IF(VLOOKUP($A1930,'Concrete Beam Schedule'!$A$2:$Q$2902,S$2,0)&lt;&gt;C1930,VLOOKUP($A1930,'Concrete Beam Schedule'!$A$2:$Q$2902,S$2,0),"")</f>
        <v>#N/A</v>
      </c>
      <c r="T1930" s="7" t="e">
        <f>IF(VLOOKUP($A1930,'Concrete Beam Schedule'!$A$2:$Q$2902,T$2,0)&lt;&gt;D1930,"Beam Revised","")</f>
        <v>#N/A</v>
      </c>
      <c r="U1930" s="7" t="e">
        <f>IF(VLOOKUP($A1930,'Concrete Beam Schedule'!$A$2:$Q$2902,U$2,0)&lt;&gt;E1930,"Beam Revised","")</f>
        <v>#N/A</v>
      </c>
      <c r="V1930" s="7" t="e">
        <f>IF(VLOOKUP($A1930,'Concrete Beam Schedule'!$A$2:$Q$2902,V$2,0)&lt;&gt;F1930,"Beam Revised","")</f>
        <v>#N/A</v>
      </c>
      <c r="W1930" s="7" t="e">
        <f>IF(VLOOKUP($A1930,'Concrete Beam Schedule'!$A$2:$Q$2902,W$2,0)&lt;&gt;G1930,"Beam Revised","")</f>
        <v>#N/A</v>
      </c>
      <c r="X1930" s="7" t="e">
        <f>IF(VLOOKUP($A1930,'Concrete Beam Schedule'!$A$2:$Q$2902,X$2,0)&lt;&gt;H1930,"Beam Revised","")</f>
        <v>#N/A</v>
      </c>
      <c r="Y1930" s="7" t="e">
        <f>IF(VLOOKUP($A1930,'Concrete Beam Schedule'!$A$2:$Q$2902,Y$2,0)&lt;&gt;I1930,"Beam Revised","")</f>
        <v>#N/A</v>
      </c>
      <c r="Z1930" s="7" t="e">
        <f>IF(VLOOKUP($A1930,'Concrete Beam Schedule'!$A$2:$Q$2902,Z$2,0)&lt;&gt;J1930,"Beam Revised","")</f>
        <v>#N/A</v>
      </c>
      <c r="AA1930" s="7" t="e">
        <f>IF(VLOOKUP($A1930,'Concrete Beam Schedule'!$A$2:$Q$2902,AA$2,0)&lt;&gt;K1930,"Beam Revised","")</f>
        <v>#N/A</v>
      </c>
      <c r="AB1930" s="7" t="e">
        <f>IF(VLOOKUP($A1930,'Concrete Beam Schedule'!$A$2:$Q$2902,AB$2,0)&lt;&gt;L1930,"Beam Revised","")</f>
        <v>#N/A</v>
      </c>
      <c r="AC1930" s="7" t="e">
        <f>IF(VLOOKUP($A1930,'Concrete Beam Schedule'!$A$2:$Q$2902,AC$2,0)&lt;&gt;M1930,"Beam Revised","")</f>
        <v>#N/A</v>
      </c>
      <c r="AD1930" s="7" t="e">
        <f>IF(VLOOKUP($A1930,'Concrete Beam Schedule'!$A$2:$Q$2902,AD$2,0)&lt;&gt;N1930,"Beam Revised","")</f>
        <v>#N/A</v>
      </c>
      <c r="AE1930" s="7" t="e">
        <f>IF(VLOOKUP($A1930,'Concrete Beam Schedule'!$A$2:$Q$2902,AE$2,0)&lt;&gt;O1930,"Beam Revised","")</f>
        <v>#N/A</v>
      </c>
    </row>
    <row r="1931" spans="17:31" ht="20.100000000000001" customHeight="1" x14ac:dyDescent="0.25">
      <c r="Q1931" s="7">
        <f t="shared" si="30"/>
        <v>0</v>
      </c>
      <c r="R1931" s="7" t="e">
        <f>IF(VLOOKUP($A1931,'Concrete Beam Schedule'!$A$2:$Q$2902,R$2,0)&lt;&gt;B1931,VLOOKUP($A1931,'Concrete Beam Schedule'!$A$2:$Q$2902,R$2,0),"")</f>
        <v>#N/A</v>
      </c>
      <c r="S1931" s="7" t="e">
        <f>IF(VLOOKUP($A1931,'Concrete Beam Schedule'!$A$2:$Q$2902,S$2,0)&lt;&gt;C1931,VLOOKUP($A1931,'Concrete Beam Schedule'!$A$2:$Q$2902,S$2,0),"")</f>
        <v>#N/A</v>
      </c>
      <c r="T1931" s="7" t="e">
        <f>IF(VLOOKUP($A1931,'Concrete Beam Schedule'!$A$2:$Q$2902,T$2,0)&lt;&gt;D1931,"Beam Revised","")</f>
        <v>#N/A</v>
      </c>
      <c r="U1931" s="7" t="e">
        <f>IF(VLOOKUP($A1931,'Concrete Beam Schedule'!$A$2:$Q$2902,U$2,0)&lt;&gt;E1931,"Beam Revised","")</f>
        <v>#N/A</v>
      </c>
      <c r="V1931" s="7" t="e">
        <f>IF(VLOOKUP($A1931,'Concrete Beam Schedule'!$A$2:$Q$2902,V$2,0)&lt;&gt;F1931,"Beam Revised","")</f>
        <v>#N/A</v>
      </c>
      <c r="W1931" s="7" t="e">
        <f>IF(VLOOKUP($A1931,'Concrete Beam Schedule'!$A$2:$Q$2902,W$2,0)&lt;&gt;G1931,"Beam Revised","")</f>
        <v>#N/A</v>
      </c>
      <c r="X1931" s="7" t="e">
        <f>IF(VLOOKUP($A1931,'Concrete Beam Schedule'!$A$2:$Q$2902,X$2,0)&lt;&gt;H1931,"Beam Revised","")</f>
        <v>#N/A</v>
      </c>
      <c r="Y1931" s="7" t="e">
        <f>IF(VLOOKUP($A1931,'Concrete Beam Schedule'!$A$2:$Q$2902,Y$2,0)&lt;&gt;I1931,"Beam Revised","")</f>
        <v>#N/A</v>
      </c>
      <c r="Z1931" s="7" t="e">
        <f>IF(VLOOKUP($A1931,'Concrete Beam Schedule'!$A$2:$Q$2902,Z$2,0)&lt;&gt;J1931,"Beam Revised","")</f>
        <v>#N/A</v>
      </c>
      <c r="AA1931" s="7" t="e">
        <f>IF(VLOOKUP($A1931,'Concrete Beam Schedule'!$A$2:$Q$2902,AA$2,0)&lt;&gt;K1931,"Beam Revised","")</f>
        <v>#N/A</v>
      </c>
      <c r="AB1931" s="7" t="e">
        <f>IF(VLOOKUP($A1931,'Concrete Beam Schedule'!$A$2:$Q$2902,AB$2,0)&lt;&gt;L1931,"Beam Revised","")</f>
        <v>#N/A</v>
      </c>
      <c r="AC1931" s="7" t="e">
        <f>IF(VLOOKUP($A1931,'Concrete Beam Schedule'!$A$2:$Q$2902,AC$2,0)&lt;&gt;M1931,"Beam Revised","")</f>
        <v>#N/A</v>
      </c>
      <c r="AD1931" s="7" t="e">
        <f>IF(VLOOKUP($A1931,'Concrete Beam Schedule'!$A$2:$Q$2902,AD$2,0)&lt;&gt;N1931,"Beam Revised","")</f>
        <v>#N/A</v>
      </c>
      <c r="AE1931" s="7" t="e">
        <f>IF(VLOOKUP($A1931,'Concrete Beam Schedule'!$A$2:$Q$2902,AE$2,0)&lt;&gt;O1931,"Beam Revised","")</f>
        <v>#N/A</v>
      </c>
    </row>
    <row r="1932" spans="17:31" ht="20.100000000000001" customHeight="1" x14ac:dyDescent="0.25">
      <c r="Q1932" s="7">
        <f t="shared" si="30"/>
        <v>0</v>
      </c>
      <c r="R1932" s="7" t="e">
        <f>IF(VLOOKUP($A1932,'Concrete Beam Schedule'!$A$2:$Q$2902,R$2,0)&lt;&gt;B1932,VLOOKUP($A1932,'Concrete Beam Schedule'!$A$2:$Q$2902,R$2,0),"")</f>
        <v>#N/A</v>
      </c>
      <c r="S1932" s="7" t="e">
        <f>IF(VLOOKUP($A1932,'Concrete Beam Schedule'!$A$2:$Q$2902,S$2,0)&lt;&gt;C1932,VLOOKUP($A1932,'Concrete Beam Schedule'!$A$2:$Q$2902,S$2,0),"")</f>
        <v>#N/A</v>
      </c>
      <c r="T1932" s="7" t="e">
        <f>IF(VLOOKUP($A1932,'Concrete Beam Schedule'!$A$2:$Q$2902,T$2,0)&lt;&gt;D1932,"Beam Revised","")</f>
        <v>#N/A</v>
      </c>
      <c r="U1932" s="7" t="e">
        <f>IF(VLOOKUP($A1932,'Concrete Beam Schedule'!$A$2:$Q$2902,U$2,0)&lt;&gt;E1932,"Beam Revised","")</f>
        <v>#N/A</v>
      </c>
      <c r="V1932" s="7" t="e">
        <f>IF(VLOOKUP($A1932,'Concrete Beam Schedule'!$A$2:$Q$2902,V$2,0)&lt;&gt;F1932,"Beam Revised","")</f>
        <v>#N/A</v>
      </c>
      <c r="W1932" s="7" t="e">
        <f>IF(VLOOKUP($A1932,'Concrete Beam Schedule'!$A$2:$Q$2902,W$2,0)&lt;&gt;G1932,"Beam Revised","")</f>
        <v>#N/A</v>
      </c>
      <c r="X1932" s="7" t="e">
        <f>IF(VLOOKUP($A1932,'Concrete Beam Schedule'!$A$2:$Q$2902,X$2,0)&lt;&gt;H1932,"Beam Revised","")</f>
        <v>#N/A</v>
      </c>
      <c r="Y1932" s="7" t="e">
        <f>IF(VLOOKUP($A1932,'Concrete Beam Schedule'!$A$2:$Q$2902,Y$2,0)&lt;&gt;I1932,"Beam Revised","")</f>
        <v>#N/A</v>
      </c>
      <c r="Z1932" s="7" t="e">
        <f>IF(VLOOKUP($A1932,'Concrete Beam Schedule'!$A$2:$Q$2902,Z$2,0)&lt;&gt;J1932,"Beam Revised","")</f>
        <v>#N/A</v>
      </c>
      <c r="AA1932" s="7" t="e">
        <f>IF(VLOOKUP($A1932,'Concrete Beam Schedule'!$A$2:$Q$2902,AA$2,0)&lt;&gt;K1932,"Beam Revised","")</f>
        <v>#N/A</v>
      </c>
      <c r="AB1932" s="7" t="e">
        <f>IF(VLOOKUP($A1932,'Concrete Beam Schedule'!$A$2:$Q$2902,AB$2,0)&lt;&gt;L1932,"Beam Revised","")</f>
        <v>#N/A</v>
      </c>
      <c r="AC1932" s="7" t="e">
        <f>IF(VLOOKUP($A1932,'Concrete Beam Schedule'!$A$2:$Q$2902,AC$2,0)&lt;&gt;M1932,"Beam Revised","")</f>
        <v>#N/A</v>
      </c>
      <c r="AD1932" s="7" t="e">
        <f>IF(VLOOKUP($A1932,'Concrete Beam Schedule'!$A$2:$Q$2902,AD$2,0)&lt;&gt;N1932,"Beam Revised","")</f>
        <v>#N/A</v>
      </c>
      <c r="AE1932" s="7" t="e">
        <f>IF(VLOOKUP($A1932,'Concrete Beam Schedule'!$A$2:$Q$2902,AE$2,0)&lt;&gt;O1932,"Beam Revised","")</f>
        <v>#N/A</v>
      </c>
    </row>
    <row r="1933" spans="17:31" ht="20.100000000000001" customHeight="1" x14ac:dyDescent="0.25">
      <c r="Q1933" s="7">
        <f t="shared" si="30"/>
        <v>0</v>
      </c>
      <c r="R1933" s="7" t="e">
        <f>IF(VLOOKUP($A1933,'Concrete Beam Schedule'!$A$2:$Q$2902,R$2,0)&lt;&gt;B1933,VLOOKUP($A1933,'Concrete Beam Schedule'!$A$2:$Q$2902,R$2,0),"")</f>
        <v>#N/A</v>
      </c>
      <c r="S1933" s="7" t="e">
        <f>IF(VLOOKUP($A1933,'Concrete Beam Schedule'!$A$2:$Q$2902,S$2,0)&lt;&gt;C1933,VLOOKUP($A1933,'Concrete Beam Schedule'!$A$2:$Q$2902,S$2,0),"")</f>
        <v>#N/A</v>
      </c>
      <c r="T1933" s="7" t="e">
        <f>IF(VLOOKUP($A1933,'Concrete Beam Schedule'!$A$2:$Q$2902,T$2,0)&lt;&gt;D1933,"Beam Revised","")</f>
        <v>#N/A</v>
      </c>
      <c r="U1933" s="7" t="e">
        <f>IF(VLOOKUP($A1933,'Concrete Beam Schedule'!$A$2:$Q$2902,U$2,0)&lt;&gt;E1933,"Beam Revised","")</f>
        <v>#N/A</v>
      </c>
      <c r="V1933" s="7" t="e">
        <f>IF(VLOOKUP($A1933,'Concrete Beam Schedule'!$A$2:$Q$2902,V$2,0)&lt;&gt;F1933,"Beam Revised","")</f>
        <v>#N/A</v>
      </c>
      <c r="W1933" s="7" t="e">
        <f>IF(VLOOKUP($A1933,'Concrete Beam Schedule'!$A$2:$Q$2902,W$2,0)&lt;&gt;G1933,"Beam Revised","")</f>
        <v>#N/A</v>
      </c>
      <c r="X1933" s="7" t="e">
        <f>IF(VLOOKUP($A1933,'Concrete Beam Schedule'!$A$2:$Q$2902,X$2,0)&lt;&gt;H1933,"Beam Revised","")</f>
        <v>#N/A</v>
      </c>
      <c r="Y1933" s="7" t="e">
        <f>IF(VLOOKUP($A1933,'Concrete Beam Schedule'!$A$2:$Q$2902,Y$2,0)&lt;&gt;I1933,"Beam Revised","")</f>
        <v>#N/A</v>
      </c>
      <c r="Z1933" s="7" t="e">
        <f>IF(VLOOKUP($A1933,'Concrete Beam Schedule'!$A$2:$Q$2902,Z$2,0)&lt;&gt;J1933,"Beam Revised","")</f>
        <v>#N/A</v>
      </c>
      <c r="AA1933" s="7" t="e">
        <f>IF(VLOOKUP($A1933,'Concrete Beam Schedule'!$A$2:$Q$2902,AA$2,0)&lt;&gt;K1933,"Beam Revised","")</f>
        <v>#N/A</v>
      </c>
      <c r="AB1933" s="7" t="e">
        <f>IF(VLOOKUP($A1933,'Concrete Beam Schedule'!$A$2:$Q$2902,AB$2,0)&lt;&gt;L1933,"Beam Revised","")</f>
        <v>#N/A</v>
      </c>
      <c r="AC1933" s="7" t="e">
        <f>IF(VLOOKUP($A1933,'Concrete Beam Schedule'!$A$2:$Q$2902,AC$2,0)&lt;&gt;M1933,"Beam Revised","")</f>
        <v>#N/A</v>
      </c>
      <c r="AD1933" s="7" t="e">
        <f>IF(VLOOKUP($A1933,'Concrete Beam Schedule'!$A$2:$Q$2902,AD$2,0)&lt;&gt;N1933,"Beam Revised","")</f>
        <v>#N/A</v>
      </c>
      <c r="AE1933" s="7" t="e">
        <f>IF(VLOOKUP($A1933,'Concrete Beam Schedule'!$A$2:$Q$2902,AE$2,0)&lt;&gt;O1933,"Beam Revised","")</f>
        <v>#N/A</v>
      </c>
    </row>
    <row r="1934" spans="17:31" ht="20.100000000000001" customHeight="1" x14ac:dyDescent="0.25">
      <c r="Q1934" s="7">
        <f t="shared" si="30"/>
        <v>0</v>
      </c>
      <c r="R1934" s="7" t="e">
        <f>IF(VLOOKUP($A1934,'Concrete Beam Schedule'!$A$2:$Q$2902,R$2,0)&lt;&gt;B1934,VLOOKUP($A1934,'Concrete Beam Schedule'!$A$2:$Q$2902,R$2,0),"")</f>
        <v>#N/A</v>
      </c>
      <c r="S1934" s="7" t="e">
        <f>IF(VLOOKUP($A1934,'Concrete Beam Schedule'!$A$2:$Q$2902,S$2,0)&lt;&gt;C1934,VLOOKUP($A1934,'Concrete Beam Schedule'!$A$2:$Q$2902,S$2,0),"")</f>
        <v>#N/A</v>
      </c>
      <c r="T1934" s="7" t="e">
        <f>IF(VLOOKUP($A1934,'Concrete Beam Schedule'!$A$2:$Q$2902,T$2,0)&lt;&gt;D1934,"Beam Revised","")</f>
        <v>#N/A</v>
      </c>
      <c r="U1934" s="7" t="e">
        <f>IF(VLOOKUP($A1934,'Concrete Beam Schedule'!$A$2:$Q$2902,U$2,0)&lt;&gt;E1934,"Beam Revised","")</f>
        <v>#N/A</v>
      </c>
      <c r="V1934" s="7" t="e">
        <f>IF(VLOOKUP($A1934,'Concrete Beam Schedule'!$A$2:$Q$2902,V$2,0)&lt;&gt;F1934,"Beam Revised","")</f>
        <v>#N/A</v>
      </c>
      <c r="W1934" s="7" t="e">
        <f>IF(VLOOKUP($A1934,'Concrete Beam Schedule'!$A$2:$Q$2902,W$2,0)&lt;&gt;G1934,"Beam Revised","")</f>
        <v>#N/A</v>
      </c>
      <c r="X1934" s="7" t="e">
        <f>IF(VLOOKUP($A1934,'Concrete Beam Schedule'!$A$2:$Q$2902,X$2,0)&lt;&gt;H1934,"Beam Revised","")</f>
        <v>#N/A</v>
      </c>
      <c r="Y1934" s="7" t="e">
        <f>IF(VLOOKUP($A1934,'Concrete Beam Schedule'!$A$2:$Q$2902,Y$2,0)&lt;&gt;I1934,"Beam Revised","")</f>
        <v>#N/A</v>
      </c>
      <c r="Z1934" s="7" t="e">
        <f>IF(VLOOKUP($A1934,'Concrete Beam Schedule'!$A$2:$Q$2902,Z$2,0)&lt;&gt;J1934,"Beam Revised","")</f>
        <v>#N/A</v>
      </c>
      <c r="AA1934" s="7" t="e">
        <f>IF(VLOOKUP($A1934,'Concrete Beam Schedule'!$A$2:$Q$2902,AA$2,0)&lt;&gt;K1934,"Beam Revised","")</f>
        <v>#N/A</v>
      </c>
      <c r="AB1934" s="7" t="e">
        <f>IF(VLOOKUP($A1934,'Concrete Beam Schedule'!$A$2:$Q$2902,AB$2,0)&lt;&gt;L1934,"Beam Revised","")</f>
        <v>#N/A</v>
      </c>
      <c r="AC1934" s="7" t="e">
        <f>IF(VLOOKUP($A1934,'Concrete Beam Schedule'!$A$2:$Q$2902,AC$2,0)&lt;&gt;M1934,"Beam Revised","")</f>
        <v>#N/A</v>
      </c>
      <c r="AD1934" s="7" t="e">
        <f>IF(VLOOKUP($A1934,'Concrete Beam Schedule'!$A$2:$Q$2902,AD$2,0)&lt;&gt;N1934,"Beam Revised","")</f>
        <v>#N/A</v>
      </c>
      <c r="AE1934" s="7" t="e">
        <f>IF(VLOOKUP($A1934,'Concrete Beam Schedule'!$A$2:$Q$2902,AE$2,0)&lt;&gt;O1934,"Beam Revised","")</f>
        <v>#N/A</v>
      </c>
    </row>
    <row r="1935" spans="17:31" ht="20.100000000000001" customHeight="1" x14ac:dyDescent="0.25">
      <c r="Q1935" s="7">
        <f t="shared" si="30"/>
        <v>0</v>
      </c>
      <c r="R1935" s="7" t="e">
        <f>IF(VLOOKUP($A1935,'Concrete Beam Schedule'!$A$2:$Q$2902,R$2,0)&lt;&gt;B1935,VLOOKUP($A1935,'Concrete Beam Schedule'!$A$2:$Q$2902,R$2,0),"")</f>
        <v>#N/A</v>
      </c>
      <c r="S1935" s="7" t="e">
        <f>IF(VLOOKUP($A1935,'Concrete Beam Schedule'!$A$2:$Q$2902,S$2,0)&lt;&gt;C1935,VLOOKUP($A1935,'Concrete Beam Schedule'!$A$2:$Q$2902,S$2,0),"")</f>
        <v>#N/A</v>
      </c>
      <c r="T1935" s="7" t="e">
        <f>IF(VLOOKUP($A1935,'Concrete Beam Schedule'!$A$2:$Q$2902,T$2,0)&lt;&gt;D1935,"Beam Revised","")</f>
        <v>#N/A</v>
      </c>
      <c r="U1935" s="7" t="e">
        <f>IF(VLOOKUP($A1935,'Concrete Beam Schedule'!$A$2:$Q$2902,U$2,0)&lt;&gt;E1935,"Beam Revised","")</f>
        <v>#N/A</v>
      </c>
      <c r="V1935" s="7" t="e">
        <f>IF(VLOOKUP($A1935,'Concrete Beam Schedule'!$A$2:$Q$2902,V$2,0)&lt;&gt;F1935,"Beam Revised","")</f>
        <v>#N/A</v>
      </c>
      <c r="W1935" s="7" t="e">
        <f>IF(VLOOKUP($A1935,'Concrete Beam Schedule'!$A$2:$Q$2902,W$2,0)&lt;&gt;G1935,"Beam Revised","")</f>
        <v>#N/A</v>
      </c>
      <c r="X1935" s="7" t="e">
        <f>IF(VLOOKUP($A1935,'Concrete Beam Schedule'!$A$2:$Q$2902,X$2,0)&lt;&gt;H1935,"Beam Revised","")</f>
        <v>#N/A</v>
      </c>
      <c r="Y1935" s="7" t="e">
        <f>IF(VLOOKUP($A1935,'Concrete Beam Schedule'!$A$2:$Q$2902,Y$2,0)&lt;&gt;I1935,"Beam Revised","")</f>
        <v>#N/A</v>
      </c>
      <c r="Z1935" s="7" t="e">
        <f>IF(VLOOKUP($A1935,'Concrete Beam Schedule'!$A$2:$Q$2902,Z$2,0)&lt;&gt;J1935,"Beam Revised","")</f>
        <v>#N/A</v>
      </c>
      <c r="AA1935" s="7" t="e">
        <f>IF(VLOOKUP($A1935,'Concrete Beam Schedule'!$A$2:$Q$2902,AA$2,0)&lt;&gt;K1935,"Beam Revised","")</f>
        <v>#N/A</v>
      </c>
      <c r="AB1935" s="7" t="e">
        <f>IF(VLOOKUP($A1935,'Concrete Beam Schedule'!$A$2:$Q$2902,AB$2,0)&lt;&gt;L1935,"Beam Revised","")</f>
        <v>#N/A</v>
      </c>
      <c r="AC1935" s="7" t="e">
        <f>IF(VLOOKUP($A1935,'Concrete Beam Schedule'!$A$2:$Q$2902,AC$2,0)&lt;&gt;M1935,"Beam Revised","")</f>
        <v>#N/A</v>
      </c>
      <c r="AD1935" s="7" t="e">
        <f>IF(VLOOKUP($A1935,'Concrete Beam Schedule'!$A$2:$Q$2902,AD$2,0)&lt;&gt;N1935,"Beam Revised","")</f>
        <v>#N/A</v>
      </c>
      <c r="AE1935" s="7" t="e">
        <f>IF(VLOOKUP($A1935,'Concrete Beam Schedule'!$A$2:$Q$2902,AE$2,0)&lt;&gt;O1935,"Beam Revised","")</f>
        <v>#N/A</v>
      </c>
    </row>
    <row r="1936" spans="17:31" ht="20.100000000000001" customHeight="1" x14ac:dyDescent="0.25">
      <c r="Q1936" s="7">
        <f t="shared" si="30"/>
        <v>0</v>
      </c>
      <c r="R1936" s="7" t="e">
        <f>IF(VLOOKUP($A1936,'Concrete Beam Schedule'!$A$2:$Q$2902,R$2,0)&lt;&gt;B1936,VLOOKUP($A1936,'Concrete Beam Schedule'!$A$2:$Q$2902,R$2,0),"")</f>
        <v>#N/A</v>
      </c>
      <c r="S1936" s="7" t="e">
        <f>IF(VLOOKUP($A1936,'Concrete Beam Schedule'!$A$2:$Q$2902,S$2,0)&lt;&gt;C1936,VLOOKUP($A1936,'Concrete Beam Schedule'!$A$2:$Q$2902,S$2,0),"")</f>
        <v>#N/A</v>
      </c>
      <c r="T1936" s="7" t="e">
        <f>IF(VLOOKUP($A1936,'Concrete Beam Schedule'!$A$2:$Q$2902,T$2,0)&lt;&gt;D1936,"Beam Revised","")</f>
        <v>#N/A</v>
      </c>
      <c r="U1936" s="7" t="e">
        <f>IF(VLOOKUP($A1936,'Concrete Beam Schedule'!$A$2:$Q$2902,U$2,0)&lt;&gt;E1936,"Beam Revised","")</f>
        <v>#N/A</v>
      </c>
      <c r="V1936" s="7" t="e">
        <f>IF(VLOOKUP($A1936,'Concrete Beam Schedule'!$A$2:$Q$2902,V$2,0)&lt;&gt;F1936,"Beam Revised","")</f>
        <v>#N/A</v>
      </c>
      <c r="W1936" s="7" t="e">
        <f>IF(VLOOKUP($A1936,'Concrete Beam Schedule'!$A$2:$Q$2902,W$2,0)&lt;&gt;G1936,"Beam Revised","")</f>
        <v>#N/A</v>
      </c>
      <c r="X1936" s="7" t="e">
        <f>IF(VLOOKUP($A1936,'Concrete Beam Schedule'!$A$2:$Q$2902,X$2,0)&lt;&gt;H1936,"Beam Revised","")</f>
        <v>#N/A</v>
      </c>
      <c r="Y1936" s="7" t="e">
        <f>IF(VLOOKUP($A1936,'Concrete Beam Schedule'!$A$2:$Q$2902,Y$2,0)&lt;&gt;I1936,"Beam Revised","")</f>
        <v>#N/A</v>
      </c>
      <c r="Z1936" s="7" t="e">
        <f>IF(VLOOKUP($A1936,'Concrete Beam Schedule'!$A$2:$Q$2902,Z$2,0)&lt;&gt;J1936,"Beam Revised","")</f>
        <v>#N/A</v>
      </c>
      <c r="AA1936" s="7" t="e">
        <f>IF(VLOOKUP($A1936,'Concrete Beam Schedule'!$A$2:$Q$2902,AA$2,0)&lt;&gt;K1936,"Beam Revised","")</f>
        <v>#N/A</v>
      </c>
      <c r="AB1936" s="7" t="e">
        <f>IF(VLOOKUP($A1936,'Concrete Beam Schedule'!$A$2:$Q$2902,AB$2,0)&lt;&gt;L1936,"Beam Revised","")</f>
        <v>#N/A</v>
      </c>
      <c r="AC1936" s="7" t="e">
        <f>IF(VLOOKUP($A1936,'Concrete Beam Schedule'!$A$2:$Q$2902,AC$2,0)&lt;&gt;M1936,"Beam Revised","")</f>
        <v>#N/A</v>
      </c>
      <c r="AD1936" s="7" t="e">
        <f>IF(VLOOKUP($A1936,'Concrete Beam Schedule'!$A$2:$Q$2902,AD$2,0)&lt;&gt;N1936,"Beam Revised","")</f>
        <v>#N/A</v>
      </c>
      <c r="AE1936" s="7" t="e">
        <f>IF(VLOOKUP($A1936,'Concrete Beam Schedule'!$A$2:$Q$2902,AE$2,0)&lt;&gt;O1936,"Beam Revised","")</f>
        <v>#N/A</v>
      </c>
    </row>
    <row r="1937" spans="17:31" ht="20.100000000000001" customHeight="1" x14ac:dyDescent="0.25">
      <c r="Q1937" s="7">
        <f t="shared" si="30"/>
        <v>0</v>
      </c>
      <c r="R1937" s="7" t="e">
        <f>IF(VLOOKUP($A1937,'Concrete Beam Schedule'!$A$2:$Q$2902,R$2,0)&lt;&gt;B1937,VLOOKUP($A1937,'Concrete Beam Schedule'!$A$2:$Q$2902,R$2,0),"")</f>
        <v>#N/A</v>
      </c>
      <c r="S1937" s="7" t="e">
        <f>IF(VLOOKUP($A1937,'Concrete Beam Schedule'!$A$2:$Q$2902,S$2,0)&lt;&gt;C1937,VLOOKUP($A1937,'Concrete Beam Schedule'!$A$2:$Q$2902,S$2,0),"")</f>
        <v>#N/A</v>
      </c>
      <c r="T1937" s="7" t="e">
        <f>IF(VLOOKUP($A1937,'Concrete Beam Schedule'!$A$2:$Q$2902,T$2,0)&lt;&gt;D1937,"Beam Revised","")</f>
        <v>#N/A</v>
      </c>
      <c r="U1937" s="7" t="e">
        <f>IF(VLOOKUP($A1937,'Concrete Beam Schedule'!$A$2:$Q$2902,U$2,0)&lt;&gt;E1937,"Beam Revised","")</f>
        <v>#N/A</v>
      </c>
      <c r="V1937" s="7" t="e">
        <f>IF(VLOOKUP($A1937,'Concrete Beam Schedule'!$A$2:$Q$2902,V$2,0)&lt;&gt;F1937,"Beam Revised","")</f>
        <v>#N/A</v>
      </c>
      <c r="W1937" s="7" t="e">
        <f>IF(VLOOKUP($A1937,'Concrete Beam Schedule'!$A$2:$Q$2902,W$2,0)&lt;&gt;G1937,"Beam Revised","")</f>
        <v>#N/A</v>
      </c>
      <c r="X1937" s="7" t="e">
        <f>IF(VLOOKUP($A1937,'Concrete Beam Schedule'!$A$2:$Q$2902,X$2,0)&lt;&gt;H1937,"Beam Revised","")</f>
        <v>#N/A</v>
      </c>
      <c r="Y1937" s="7" t="e">
        <f>IF(VLOOKUP($A1937,'Concrete Beam Schedule'!$A$2:$Q$2902,Y$2,0)&lt;&gt;I1937,"Beam Revised","")</f>
        <v>#N/A</v>
      </c>
      <c r="Z1937" s="7" t="e">
        <f>IF(VLOOKUP($A1937,'Concrete Beam Schedule'!$A$2:$Q$2902,Z$2,0)&lt;&gt;J1937,"Beam Revised","")</f>
        <v>#N/A</v>
      </c>
      <c r="AA1937" s="7" t="e">
        <f>IF(VLOOKUP($A1937,'Concrete Beam Schedule'!$A$2:$Q$2902,AA$2,0)&lt;&gt;K1937,"Beam Revised","")</f>
        <v>#N/A</v>
      </c>
      <c r="AB1937" s="7" t="e">
        <f>IF(VLOOKUP($A1937,'Concrete Beam Schedule'!$A$2:$Q$2902,AB$2,0)&lt;&gt;L1937,"Beam Revised","")</f>
        <v>#N/A</v>
      </c>
      <c r="AC1937" s="7" t="e">
        <f>IF(VLOOKUP($A1937,'Concrete Beam Schedule'!$A$2:$Q$2902,AC$2,0)&lt;&gt;M1937,"Beam Revised","")</f>
        <v>#N/A</v>
      </c>
      <c r="AD1937" s="7" t="e">
        <f>IF(VLOOKUP($A1937,'Concrete Beam Schedule'!$A$2:$Q$2902,AD$2,0)&lt;&gt;N1937,"Beam Revised","")</f>
        <v>#N/A</v>
      </c>
      <c r="AE1937" s="7" t="e">
        <f>IF(VLOOKUP($A1937,'Concrete Beam Schedule'!$A$2:$Q$2902,AE$2,0)&lt;&gt;O1937,"Beam Revised","")</f>
        <v>#N/A</v>
      </c>
    </row>
    <row r="1938" spans="17:31" ht="20.100000000000001" customHeight="1" x14ac:dyDescent="0.25">
      <c r="Q1938" s="7">
        <f t="shared" si="30"/>
        <v>0</v>
      </c>
      <c r="R1938" s="7" t="e">
        <f>IF(VLOOKUP($A1938,'Concrete Beam Schedule'!$A$2:$Q$2902,R$2,0)&lt;&gt;B1938,VLOOKUP($A1938,'Concrete Beam Schedule'!$A$2:$Q$2902,R$2,0),"")</f>
        <v>#N/A</v>
      </c>
      <c r="S1938" s="7" t="e">
        <f>IF(VLOOKUP($A1938,'Concrete Beam Schedule'!$A$2:$Q$2902,S$2,0)&lt;&gt;C1938,VLOOKUP($A1938,'Concrete Beam Schedule'!$A$2:$Q$2902,S$2,0),"")</f>
        <v>#N/A</v>
      </c>
      <c r="T1938" s="7" t="e">
        <f>IF(VLOOKUP($A1938,'Concrete Beam Schedule'!$A$2:$Q$2902,T$2,0)&lt;&gt;D1938,"Beam Revised","")</f>
        <v>#N/A</v>
      </c>
      <c r="U1938" s="7" t="e">
        <f>IF(VLOOKUP($A1938,'Concrete Beam Schedule'!$A$2:$Q$2902,U$2,0)&lt;&gt;E1938,"Beam Revised","")</f>
        <v>#N/A</v>
      </c>
      <c r="V1938" s="7" t="e">
        <f>IF(VLOOKUP($A1938,'Concrete Beam Schedule'!$A$2:$Q$2902,V$2,0)&lt;&gt;F1938,"Beam Revised","")</f>
        <v>#N/A</v>
      </c>
      <c r="W1938" s="7" t="e">
        <f>IF(VLOOKUP($A1938,'Concrete Beam Schedule'!$A$2:$Q$2902,W$2,0)&lt;&gt;G1938,"Beam Revised","")</f>
        <v>#N/A</v>
      </c>
      <c r="X1938" s="7" t="e">
        <f>IF(VLOOKUP($A1938,'Concrete Beam Schedule'!$A$2:$Q$2902,X$2,0)&lt;&gt;H1938,"Beam Revised","")</f>
        <v>#N/A</v>
      </c>
      <c r="Y1938" s="7" t="e">
        <f>IF(VLOOKUP($A1938,'Concrete Beam Schedule'!$A$2:$Q$2902,Y$2,0)&lt;&gt;I1938,"Beam Revised","")</f>
        <v>#N/A</v>
      </c>
      <c r="Z1938" s="7" t="e">
        <f>IF(VLOOKUP($A1938,'Concrete Beam Schedule'!$A$2:$Q$2902,Z$2,0)&lt;&gt;J1938,"Beam Revised","")</f>
        <v>#N/A</v>
      </c>
      <c r="AA1938" s="7" t="e">
        <f>IF(VLOOKUP($A1938,'Concrete Beam Schedule'!$A$2:$Q$2902,AA$2,0)&lt;&gt;K1938,"Beam Revised","")</f>
        <v>#N/A</v>
      </c>
      <c r="AB1938" s="7" t="e">
        <f>IF(VLOOKUP($A1938,'Concrete Beam Schedule'!$A$2:$Q$2902,AB$2,0)&lt;&gt;L1938,"Beam Revised","")</f>
        <v>#N/A</v>
      </c>
      <c r="AC1938" s="7" t="e">
        <f>IF(VLOOKUP($A1938,'Concrete Beam Schedule'!$A$2:$Q$2902,AC$2,0)&lt;&gt;M1938,"Beam Revised","")</f>
        <v>#N/A</v>
      </c>
      <c r="AD1938" s="7" t="e">
        <f>IF(VLOOKUP($A1938,'Concrete Beam Schedule'!$A$2:$Q$2902,AD$2,0)&lt;&gt;N1938,"Beam Revised","")</f>
        <v>#N/A</v>
      </c>
      <c r="AE1938" s="7" t="e">
        <f>IF(VLOOKUP($A1938,'Concrete Beam Schedule'!$A$2:$Q$2902,AE$2,0)&lt;&gt;O1938,"Beam Revised","")</f>
        <v>#N/A</v>
      </c>
    </row>
    <row r="1939" spans="17:31" ht="20.100000000000001" customHeight="1" x14ac:dyDescent="0.25">
      <c r="Q1939" s="7">
        <f t="shared" si="30"/>
        <v>0</v>
      </c>
      <c r="R1939" s="7" t="e">
        <f>IF(VLOOKUP($A1939,'Concrete Beam Schedule'!$A$2:$Q$2902,R$2,0)&lt;&gt;B1939,VLOOKUP($A1939,'Concrete Beam Schedule'!$A$2:$Q$2902,R$2,0),"")</f>
        <v>#N/A</v>
      </c>
      <c r="S1939" s="7" t="e">
        <f>IF(VLOOKUP($A1939,'Concrete Beam Schedule'!$A$2:$Q$2902,S$2,0)&lt;&gt;C1939,VLOOKUP($A1939,'Concrete Beam Schedule'!$A$2:$Q$2902,S$2,0),"")</f>
        <v>#N/A</v>
      </c>
      <c r="T1939" s="7" t="e">
        <f>IF(VLOOKUP($A1939,'Concrete Beam Schedule'!$A$2:$Q$2902,T$2,0)&lt;&gt;D1939,"Beam Revised","")</f>
        <v>#N/A</v>
      </c>
      <c r="U1939" s="7" t="e">
        <f>IF(VLOOKUP($A1939,'Concrete Beam Schedule'!$A$2:$Q$2902,U$2,0)&lt;&gt;E1939,"Beam Revised","")</f>
        <v>#N/A</v>
      </c>
      <c r="V1939" s="7" t="e">
        <f>IF(VLOOKUP($A1939,'Concrete Beam Schedule'!$A$2:$Q$2902,V$2,0)&lt;&gt;F1939,"Beam Revised","")</f>
        <v>#N/A</v>
      </c>
      <c r="W1939" s="7" t="e">
        <f>IF(VLOOKUP($A1939,'Concrete Beam Schedule'!$A$2:$Q$2902,W$2,0)&lt;&gt;G1939,"Beam Revised","")</f>
        <v>#N/A</v>
      </c>
      <c r="X1939" s="7" t="e">
        <f>IF(VLOOKUP($A1939,'Concrete Beam Schedule'!$A$2:$Q$2902,X$2,0)&lt;&gt;H1939,"Beam Revised","")</f>
        <v>#N/A</v>
      </c>
      <c r="Y1939" s="7" t="e">
        <f>IF(VLOOKUP($A1939,'Concrete Beam Schedule'!$A$2:$Q$2902,Y$2,0)&lt;&gt;I1939,"Beam Revised","")</f>
        <v>#N/A</v>
      </c>
      <c r="Z1939" s="7" t="e">
        <f>IF(VLOOKUP($A1939,'Concrete Beam Schedule'!$A$2:$Q$2902,Z$2,0)&lt;&gt;J1939,"Beam Revised","")</f>
        <v>#N/A</v>
      </c>
      <c r="AA1939" s="7" t="e">
        <f>IF(VLOOKUP($A1939,'Concrete Beam Schedule'!$A$2:$Q$2902,AA$2,0)&lt;&gt;K1939,"Beam Revised","")</f>
        <v>#N/A</v>
      </c>
      <c r="AB1939" s="7" t="e">
        <f>IF(VLOOKUP($A1939,'Concrete Beam Schedule'!$A$2:$Q$2902,AB$2,0)&lt;&gt;L1939,"Beam Revised","")</f>
        <v>#N/A</v>
      </c>
      <c r="AC1939" s="7" t="e">
        <f>IF(VLOOKUP($A1939,'Concrete Beam Schedule'!$A$2:$Q$2902,AC$2,0)&lt;&gt;M1939,"Beam Revised","")</f>
        <v>#N/A</v>
      </c>
      <c r="AD1939" s="7" t="e">
        <f>IF(VLOOKUP($A1939,'Concrete Beam Schedule'!$A$2:$Q$2902,AD$2,0)&lt;&gt;N1939,"Beam Revised","")</f>
        <v>#N/A</v>
      </c>
      <c r="AE1939" s="7" t="e">
        <f>IF(VLOOKUP($A1939,'Concrete Beam Schedule'!$A$2:$Q$2902,AE$2,0)&lt;&gt;O1939,"Beam Revised","")</f>
        <v>#N/A</v>
      </c>
    </row>
    <row r="1940" spans="17:31" ht="20.100000000000001" customHeight="1" x14ac:dyDescent="0.25">
      <c r="Q1940" s="7">
        <f t="shared" si="30"/>
        <v>0</v>
      </c>
      <c r="R1940" s="7" t="e">
        <f>IF(VLOOKUP($A1940,'Concrete Beam Schedule'!$A$2:$Q$2902,R$2,0)&lt;&gt;B1940,VLOOKUP($A1940,'Concrete Beam Schedule'!$A$2:$Q$2902,R$2,0),"")</f>
        <v>#N/A</v>
      </c>
      <c r="S1940" s="7" t="e">
        <f>IF(VLOOKUP($A1940,'Concrete Beam Schedule'!$A$2:$Q$2902,S$2,0)&lt;&gt;C1940,VLOOKUP($A1940,'Concrete Beam Schedule'!$A$2:$Q$2902,S$2,0),"")</f>
        <v>#N/A</v>
      </c>
      <c r="T1940" s="7" t="e">
        <f>IF(VLOOKUP($A1940,'Concrete Beam Schedule'!$A$2:$Q$2902,T$2,0)&lt;&gt;D1940,"Beam Revised","")</f>
        <v>#N/A</v>
      </c>
      <c r="U1940" s="7" t="e">
        <f>IF(VLOOKUP($A1940,'Concrete Beam Schedule'!$A$2:$Q$2902,U$2,0)&lt;&gt;E1940,"Beam Revised","")</f>
        <v>#N/A</v>
      </c>
      <c r="V1940" s="7" t="e">
        <f>IF(VLOOKUP($A1940,'Concrete Beam Schedule'!$A$2:$Q$2902,V$2,0)&lt;&gt;F1940,"Beam Revised","")</f>
        <v>#N/A</v>
      </c>
      <c r="W1940" s="7" t="e">
        <f>IF(VLOOKUP($A1940,'Concrete Beam Schedule'!$A$2:$Q$2902,W$2,0)&lt;&gt;G1940,"Beam Revised","")</f>
        <v>#N/A</v>
      </c>
      <c r="X1940" s="7" t="e">
        <f>IF(VLOOKUP($A1940,'Concrete Beam Schedule'!$A$2:$Q$2902,X$2,0)&lt;&gt;H1940,"Beam Revised","")</f>
        <v>#N/A</v>
      </c>
      <c r="Y1940" s="7" t="e">
        <f>IF(VLOOKUP($A1940,'Concrete Beam Schedule'!$A$2:$Q$2902,Y$2,0)&lt;&gt;I1940,"Beam Revised","")</f>
        <v>#N/A</v>
      </c>
      <c r="Z1940" s="7" t="e">
        <f>IF(VLOOKUP($A1940,'Concrete Beam Schedule'!$A$2:$Q$2902,Z$2,0)&lt;&gt;J1940,"Beam Revised","")</f>
        <v>#N/A</v>
      </c>
      <c r="AA1940" s="7" t="e">
        <f>IF(VLOOKUP($A1940,'Concrete Beam Schedule'!$A$2:$Q$2902,AA$2,0)&lt;&gt;K1940,"Beam Revised","")</f>
        <v>#N/A</v>
      </c>
      <c r="AB1940" s="7" t="e">
        <f>IF(VLOOKUP($A1940,'Concrete Beam Schedule'!$A$2:$Q$2902,AB$2,0)&lt;&gt;L1940,"Beam Revised","")</f>
        <v>#N/A</v>
      </c>
      <c r="AC1940" s="7" t="e">
        <f>IF(VLOOKUP($A1940,'Concrete Beam Schedule'!$A$2:$Q$2902,AC$2,0)&lt;&gt;M1940,"Beam Revised","")</f>
        <v>#N/A</v>
      </c>
      <c r="AD1940" s="7" t="e">
        <f>IF(VLOOKUP($A1940,'Concrete Beam Schedule'!$A$2:$Q$2902,AD$2,0)&lt;&gt;N1940,"Beam Revised","")</f>
        <v>#N/A</v>
      </c>
      <c r="AE1940" s="7" t="e">
        <f>IF(VLOOKUP($A1940,'Concrete Beam Schedule'!$A$2:$Q$2902,AE$2,0)&lt;&gt;O1940,"Beam Revised","")</f>
        <v>#N/A</v>
      </c>
    </row>
    <row r="1941" spans="17:31" ht="20.100000000000001" customHeight="1" x14ac:dyDescent="0.25">
      <c r="Q1941" s="7">
        <f t="shared" si="30"/>
        <v>0</v>
      </c>
      <c r="R1941" s="7" t="e">
        <f>IF(VLOOKUP($A1941,'Concrete Beam Schedule'!$A$2:$Q$2902,R$2,0)&lt;&gt;B1941,VLOOKUP($A1941,'Concrete Beam Schedule'!$A$2:$Q$2902,R$2,0),"")</f>
        <v>#N/A</v>
      </c>
      <c r="S1941" s="7" t="e">
        <f>IF(VLOOKUP($A1941,'Concrete Beam Schedule'!$A$2:$Q$2902,S$2,0)&lt;&gt;C1941,VLOOKUP($A1941,'Concrete Beam Schedule'!$A$2:$Q$2902,S$2,0),"")</f>
        <v>#N/A</v>
      </c>
      <c r="T1941" s="7" t="e">
        <f>IF(VLOOKUP($A1941,'Concrete Beam Schedule'!$A$2:$Q$2902,T$2,0)&lt;&gt;D1941,"Beam Revised","")</f>
        <v>#N/A</v>
      </c>
      <c r="U1941" s="7" t="e">
        <f>IF(VLOOKUP($A1941,'Concrete Beam Schedule'!$A$2:$Q$2902,U$2,0)&lt;&gt;E1941,"Beam Revised","")</f>
        <v>#N/A</v>
      </c>
      <c r="V1941" s="7" t="e">
        <f>IF(VLOOKUP($A1941,'Concrete Beam Schedule'!$A$2:$Q$2902,V$2,0)&lt;&gt;F1941,"Beam Revised","")</f>
        <v>#N/A</v>
      </c>
      <c r="W1941" s="7" t="e">
        <f>IF(VLOOKUP($A1941,'Concrete Beam Schedule'!$A$2:$Q$2902,W$2,0)&lt;&gt;G1941,"Beam Revised","")</f>
        <v>#N/A</v>
      </c>
      <c r="X1941" s="7" t="e">
        <f>IF(VLOOKUP($A1941,'Concrete Beam Schedule'!$A$2:$Q$2902,X$2,0)&lt;&gt;H1941,"Beam Revised","")</f>
        <v>#N/A</v>
      </c>
      <c r="Y1941" s="7" t="e">
        <f>IF(VLOOKUP($A1941,'Concrete Beam Schedule'!$A$2:$Q$2902,Y$2,0)&lt;&gt;I1941,"Beam Revised","")</f>
        <v>#N/A</v>
      </c>
      <c r="Z1941" s="7" t="e">
        <f>IF(VLOOKUP($A1941,'Concrete Beam Schedule'!$A$2:$Q$2902,Z$2,0)&lt;&gt;J1941,"Beam Revised","")</f>
        <v>#N/A</v>
      </c>
      <c r="AA1941" s="7" t="e">
        <f>IF(VLOOKUP($A1941,'Concrete Beam Schedule'!$A$2:$Q$2902,AA$2,0)&lt;&gt;K1941,"Beam Revised","")</f>
        <v>#N/A</v>
      </c>
      <c r="AB1941" s="7" t="e">
        <f>IF(VLOOKUP($A1941,'Concrete Beam Schedule'!$A$2:$Q$2902,AB$2,0)&lt;&gt;L1941,"Beam Revised","")</f>
        <v>#N/A</v>
      </c>
      <c r="AC1941" s="7" t="e">
        <f>IF(VLOOKUP($A1941,'Concrete Beam Schedule'!$A$2:$Q$2902,AC$2,0)&lt;&gt;M1941,"Beam Revised","")</f>
        <v>#N/A</v>
      </c>
      <c r="AD1941" s="7" t="e">
        <f>IF(VLOOKUP($A1941,'Concrete Beam Schedule'!$A$2:$Q$2902,AD$2,0)&lt;&gt;N1941,"Beam Revised","")</f>
        <v>#N/A</v>
      </c>
      <c r="AE1941" s="7" t="e">
        <f>IF(VLOOKUP($A1941,'Concrete Beam Schedule'!$A$2:$Q$2902,AE$2,0)&lt;&gt;O1941,"Beam Revised","")</f>
        <v>#N/A</v>
      </c>
    </row>
    <row r="1942" spans="17:31" ht="20.100000000000001" customHeight="1" x14ac:dyDescent="0.25">
      <c r="Q1942" s="7">
        <f t="shared" si="30"/>
        <v>0</v>
      </c>
      <c r="R1942" s="7" t="e">
        <f>IF(VLOOKUP($A1942,'Concrete Beam Schedule'!$A$2:$Q$2902,R$2,0)&lt;&gt;B1942,VLOOKUP($A1942,'Concrete Beam Schedule'!$A$2:$Q$2902,R$2,0),"")</f>
        <v>#N/A</v>
      </c>
      <c r="S1942" s="7" t="e">
        <f>IF(VLOOKUP($A1942,'Concrete Beam Schedule'!$A$2:$Q$2902,S$2,0)&lt;&gt;C1942,VLOOKUP($A1942,'Concrete Beam Schedule'!$A$2:$Q$2902,S$2,0),"")</f>
        <v>#N/A</v>
      </c>
      <c r="T1942" s="7" t="e">
        <f>IF(VLOOKUP($A1942,'Concrete Beam Schedule'!$A$2:$Q$2902,T$2,0)&lt;&gt;D1942,"Beam Revised","")</f>
        <v>#N/A</v>
      </c>
      <c r="U1942" s="7" t="e">
        <f>IF(VLOOKUP($A1942,'Concrete Beam Schedule'!$A$2:$Q$2902,U$2,0)&lt;&gt;E1942,"Beam Revised","")</f>
        <v>#N/A</v>
      </c>
      <c r="V1942" s="7" t="e">
        <f>IF(VLOOKUP($A1942,'Concrete Beam Schedule'!$A$2:$Q$2902,V$2,0)&lt;&gt;F1942,"Beam Revised","")</f>
        <v>#N/A</v>
      </c>
      <c r="W1942" s="7" t="e">
        <f>IF(VLOOKUP($A1942,'Concrete Beam Schedule'!$A$2:$Q$2902,W$2,0)&lt;&gt;G1942,"Beam Revised","")</f>
        <v>#N/A</v>
      </c>
      <c r="X1942" s="7" t="e">
        <f>IF(VLOOKUP($A1942,'Concrete Beam Schedule'!$A$2:$Q$2902,X$2,0)&lt;&gt;H1942,"Beam Revised","")</f>
        <v>#N/A</v>
      </c>
      <c r="Y1942" s="7" t="e">
        <f>IF(VLOOKUP($A1942,'Concrete Beam Schedule'!$A$2:$Q$2902,Y$2,0)&lt;&gt;I1942,"Beam Revised","")</f>
        <v>#N/A</v>
      </c>
      <c r="Z1942" s="7" t="e">
        <f>IF(VLOOKUP($A1942,'Concrete Beam Schedule'!$A$2:$Q$2902,Z$2,0)&lt;&gt;J1942,"Beam Revised","")</f>
        <v>#N/A</v>
      </c>
      <c r="AA1942" s="7" t="e">
        <f>IF(VLOOKUP($A1942,'Concrete Beam Schedule'!$A$2:$Q$2902,AA$2,0)&lt;&gt;K1942,"Beam Revised","")</f>
        <v>#N/A</v>
      </c>
      <c r="AB1942" s="7" t="e">
        <f>IF(VLOOKUP($A1942,'Concrete Beam Schedule'!$A$2:$Q$2902,AB$2,0)&lt;&gt;L1942,"Beam Revised","")</f>
        <v>#N/A</v>
      </c>
      <c r="AC1942" s="7" t="e">
        <f>IF(VLOOKUP($A1942,'Concrete Beam Schedule'!$A$2:$Q$2902,AC$2,0)&lt;&gt;M1942,"Beam Revised","")</f>
        <v>#N/A</v>
      </c>
      <c r="AD1942" s="7" t="e">
        <f>IF(VLOOKUP($A1942,'Concrete Beam Schedule'!$A$2:$Q$2902,AD$2,0)&lt;&gt;N1942,"Beam Revised","")</f>
        <v>#N/A</v>
      </c>
      <c r="AE1942" s="7" t="e">
        <f>IF(VLOOKUP($A1942,'Concrete Beam Schedule'!$A$2:$Q$2902,AE$2,0)&lt;&gt;O1942,"Beam Revised","")</f>
        <v>#N/A</v>
      </c>
    </row>
    <row r="1943" spans="17:31" ht="20.100000000000001" customHeight="1" x14ac:dyDescent="0.25">
      <c r="Q1943" s="7">
        <f t="shared" si="30"/>
        <v>0</v>
      </c>
      <c r="R1943" s="7" t="e">
        <f>IF(VLOOKUP($A1943,'Concrete Beam Schedule'!$A$2:$Q$2902,R$2,0)&lt;&gt;B1943,VLOOKUP($A1943,'Concrete Beam Schedule'!$A$2:$Q$2902,R$2,0),"")</f>
        <v>#N/A</v>
      </c>
      <c r="S1943" s="7" t="e">
        <f>IF(VLOOKUP($A1943,'Concrete Beam Schedule'!$A$2:$Q$2902,S$2,0)&lt;&gt;C1943,VLOOKUP($A1943,'Concrete Beam Schedule'!$A$2:$Q$2902,S$2,0),"")</f>
        <v>#N/A</v>
      </c>
      <c r="T1943" s="7" t="e">
        <f>IF(VLOOKUP($A1943,'Concrete Beam Schedule'!$A$2:$Q$2902,T$2,0)&lt;&gt;D1943,"Beam Revised","")</f>
        <v>#N/A</v>
      </c>
      <c r="U1943" s="7" t="e">
        <f>IF(VLOOKUP($A1943,'Concrete Beam Schedule'!$A$2:$Q$2902,U$2,0)&lt;&gt;E1943,"Beam Revised","")</f>
        <v>#N/A</v>
      </c>
      <c r="V1943" s="7" t="e">
        <f>IF(VLOOKUP($A1943,'Concrete Beam Schedule'!$A$2:$Q$2902,V$2,0)&lt;&gt;F1943,"Beam Revised","")</f>
        <v>#N/A</v>
      </c>
      <c r="W1943" s="7" t="e">
        <f>IF(VLOOKUP($A1943,'Concrete Beam Schedule'!$A$2:$Q$2902,W$2,0)&lt;&gt;G1943,"Beam Revised","")</f>
        <v>#N/A</v>
      </c>
      <c r="X1943" s="7" t="e">
        <f>IF(VLOOKUP($A1943,'Concrete Beam Schedule'!$A$2:$Q$2902,X$2,0)&lt;&gt;H1943,"Beam Revised","")</f>
        <v>#N/A</v>
      </c>
      <c r="Y1943" s="7" t="e">
        <f>IF(VLOOKUP($A1943,'Concrete Beam Schedule'!$A$2:$Q$2902,Y$2,0)&lt;&gt;I1943,"Beam Revised","")</f>
        <v>#N/A</v>
      </c>
      <c r="Z1943" s="7" t="e">
        <f>IF(VLOOKUP($A1943,'Concrete Beam Schedule'!$A$2:$Q$2902,Z$2,0)&lt;&gt;J1943,"Beam Revised","")</f>
        <v>#N/A</v>
      </c>
      <c r="AA1943" s="7" t="e">
        <f>IF(VLOOKUP($A1943,'Concrete Beam Schedule'!$A$2:$Q$2902,AA$2,0)&lt;&gt;K1943,"Beam Revised","")</f>
        <v>#N/A</v>
      </c>
      <c r="AB1943" s="7" t="e">
        <f>IF(VLOOKUP($A1943,'Concrete Beam Schedule'!$A$2:$Q$2902,AB$2,0)&lt;&gt;L1943,"Beam Revised","")</f>
        <v>#N/A</v>
      </c>
      <c r="AC1943" s="7" t="e">
        <f>IF(VLOOKUP($A1943,'Concrete Beam Schedule'!$A$2:$Q$2902,AC$2,0)&lt;&gt;M1943,"Beam Revised","")</f>
        <v>#N/A</v>
      </c>
      <c r="AD1943" s="7" t="e">
        <f>IF(VLOOKUP($A1943,'Concrete Beam Schedule'!$A$2:$Q$2902,AD$2,0)&lt;&gt;N1943,"Beam Revised","")</f>
        <v>#N/A</v>
      </c>
      <c r="AE1943" s="7" t="e">
        <f>IF(VLOOKUP($A1943,'Concrete Beam Schedule'!$A$2:$Q$2902,AE$2,0)&lt;&gt;O1943,"Beam Revised","")</f>
        <v>#N/A</v>
      </c>
    </row>
    <row r="1944" spans="17:31" ht="20.100000000000001" customHeight="1" x14ac:dyDescent="0.25">
      <c r="Q1944" s="7">
        <f t="shared" si="30"/>
        <v>0</v>
      </c>
      <c r="R1944" s="7" t="e">
        <f>IF(VLOOKUP($A1944,'Concrete Beam Schedule'!$A$2:$Q$2902,R$2,0)&lt;&gt;B1944,VLOOKUP($A1944,'Concrete Beam Schedule'!$A$2:$Q$2902,R$2,0),"")</f>
        <v>#N/A</v>
      </c>
      <c r="S1944" s="7" t="e">
        <f>IF(VLOOKUP($A1944,'Concrete Beam Schedule'!$A$2:$Q$2902,S$2,0)&lt;&gt;C1944,VLOOKUP($A1944,'Concrete Beam Schedule'!$A$2:$Q$2902,S$2,0),"")</f>
        <v>#N/A</v>
      </c>
      <c r="T1944" s="7" t="e">
        <f>IF(VLOOKUP($A1944,'Concrete Beam Schedule'!$A$2:$Q$2902,T$2,0)&lt;&gt;D1944,"Beam Revised","")</f>
        <v>#N/A</v>
      </c>
      <c r="U1944" s="7" t="e">
        <f>IF(VLOOKUP($A1944,'Concrete Beam Schedule'!$A$2:$Q$2902,U$2,0)&lt;&gt;E1944,"Beam Revised","")</f>
        <v>#N/A</v>
      </c>
      <c r="V1944" s="7" t="e">
        <f>IF(VLOOKUP($A1944,'Concrete Beam Schedule'!$A$2:$Q$2902,V$2,0)&lt;&gt;F1944,"Beam Revised","")</f>
        <v>#N/A</v>
      </c>
      <c r="W1944" s="7" t="e">
        <f>IF(VLOOKUP($A1944,'Concrete Beam Schedule'!$A$2:$Q$2902,W$2,0)&lt;&gt;G1944,"Beam Revised","")</f>
        <v>#N/A</v>
      </c>
      <c r="X1944" s="7" t="e">
        <f>IF(VLOOKUP($A1944,'Concrete Beam Schedule'!$A$2:$Q$2902,X$2,0)&lt;&gt;H1944,"Beam Revised","")</f>
        <v>#N/A</v>
      </c>
      <c r="Y1944" s="7" t="e">
        <f>IF(VLOOKUP($A1944,'Concrete Beam Schedule'!$A$2:$Q$2902,Y$2,0)&lt;&gt;I1944,"Beam Revised","")</f>
        <v>#N/A</v>
      </c>
      <c r="Z1944" s="7" t="e">
        <f>IF(VLOOKUP($A1944,'Concrete Beam Schedule'!$A$2:$Q$2902,Z$2,0)&lt;&gt;J1944,"Beam Revised","")</f>
        <v>#N/A</v>
      </c>
      <c r="AA1944" s="7" t="e">
        <f>IF(VLOOKUP($A1944,'Concrete Beam Schedule'!$A$2:$Q$2902,AA$2,0)&lt;&gt;K1944,"Beam Revised","")</f>
        <v>#N/A</v>
      </c>
      <c r="AB1944" s="7" t="e">
        <f>IF(VLOOKUP($A1944,'Concrete Beam Schedule'!$A$2:$Q$2902,AB$2,0)&lt;&gt;L1944,"Beam Revised","")</f>
        <v>#N/A</v>
      </c>
      <c r="AC1944" s="7" t="e">
        <f>IF(VLOOKUP($A1944,'Concrete Beam Schedule'!$A$2:$Q$2902,AC$2,0)&lt;&gt;M1944,"Beam Revised","")</f>
        <v>#N/A</v>
      </c>
      <c r="AD1944" s="7" t="e">
        <f>IF(VLOOKUP($A1944,'Concrete Beam Schedule'!$A$2:$Q$2902,AD$2,0)&lt;&gt;N1944,"Beam Revised","")</f>
        <v>#N/A</v>
      </c>
      <c r="AE1944" s="7" t="e">
        <f>IF(VLOOKUP($A1944,'Concrete Beam Schedule'!$A$2:$Q$2902,AE$2,0)&lt;&gt;O1944,"Beam Revised","")</f>
        <v>#N/A</v>
      </c>
    </row>
    <row r="1945" spans="17:31" ht="20.100000000000001" customHeight="1" x14ac:dyDescent="0.25">
      <c r="Q1945" s="7">
        <f t="shared" si="30"/>
        <v>0</v>
      </c>
      <c r="R1945" s="7" t="e">
        <f>IF(VLOOKUP($A1945,'Concrete Beam Schedule'!$A$2:$Q$2902,R$2,0)&lt;&gt;B1945,VLOOKUP($A1945,'Concrete Beam Schedule'!$A$2:$Q$2902,R$2,0),"")</f>
        <v>#N/A</v>
      </c>
      <c r="S1945" s="7" t="e">
        <f>IF(VLOOKUP($A1945,'Concrete Beam Schedule'!$A$2:$Q$2902,S$2,0)&lt;&gt;C1945,VLOOKUP($A1945,'Concrete Beam Schedule'!$A$2:$Q$2902,S$2,0),"")</f>
        <v>#N/A</v>
      </c>
      <c r="T1945" s="7" t="e">
        <f>IF(VLOOKUP($A1945,'Concrete Beam Schedule'!$A$2:$Q$2902,T$2,0)&lt;&gt;D1945,"Beam Revised","")</f>
        <v>#N/A</v>
      </c>
      <c r="U1945" s="7" t="e">
        <f>IF(VLOOKUP($A1945,'Concrete Beam Schedule'!$A$2:$Q$2902,U$2,0)&lt;&gt;E1945,"Beam Revised","")</f>
        <v>#N/A</v>
      </c>
      <c r="V1945" s="7" t="e">
        <f>IF(VLOOKUP($A1945,'Concrete Beam Schedule'!$A$2:$Q$2902,V$2,0)&lt;&gt;F1945,"Beam Revised","")</f>
        <v>#N/A</v>
      </c>
      <c r="W1945" s="7" t="e">
        <f>IF(VLOOKUP($A1945,'Concrete Beam Schedule'!$A$2:$Q$2902,W$2,0)&lt;&gt;G1945,"Beam Revised","")</f>
        <v>#N/A</v>
      </c>
      <c r="X1945" s="7" t="e">
        <f>IF(VLOOKUP($A1945,'Concrete Beam Schedule'!$A$2:$Q$2902,X$2,0)&lt;&gt;H1945,"Beam Revised","")</f>
        <v>#N/A</v>
      </c>
      <c r="Y1945" s="7" t="e">
        <f>IF(VLOOKUP($A1945,'Concrete Beam Schedule'!$A$2:$Q$2902,Y$2,0)&lt;&gt;I1945,"Beam Revised","")</f>
        <v>#N/A</v>
      </c>
      <c r="Z1945" s="7" t="e">
        <f>IF(VLOOKUP($A1945,'Concrete Beam Schedule'!$A$2:$Q$2902,Z$2,0)&lt;&gt;J1945,"Beam Revised","")</f>
        <v>#N/A</v>
      </c>
      <c r="AA1945" s="7" t="e">
        <f>IF(VLOOKUP($A1945,'Concrete Beam Schedule'!$A$2:$Q$2902,AA$2,0)&lt;&gt;K1945,"Beam Revised","")</f>
        <v>#N/A</v>
      </c>
      <c r="AB1945" s="7" t="e">
        <f>IF(VLOOKUP($A1945,'Concrete Beam Schedule'!$A$2:$Q$2902,AB$2,0)&lt;&gt;L1945,"Beam Revised","")</f>
        <v>#N/A</v>
      </c>
      <c r="AC1945" s="7" t="e">
        <f>IF(VLOOKUP($A1945,'Concrete Beam Schedule'!$A$2:$Q$2902,AC$2,0)&lt;&gt;M1945,"Beam Revised","")</f>
        <v>#N/A</v>
      </c>
      <c r="AD1945" s="7" t="e">
        <f>IF(VLOOKUP($A1945,'Concrete Beam Schedule'!$A$2:$Q$2902,AD$2,0)&lt;&gt;N1945,"Beam Revised","")</f>
        <v>#N/A</v>
      </c>
      <c r="AE1945" s="7" t="e">
        <f>IF(VLOOKUP($A1945,'Concrete Beam Schedule'!$A$2:$Q$2902,AE$2,0)&lt;&gt;O1945,"Beam Revised","")</f>
        <v>#N/A</v>
      </c>
    </row>
    <row r="1946" spans="17:31" ht="20.100000000000001" customHeight="1" x14ac:dyDescent="0.25">
      <c r="Q1946" s="7">
        <f t="shared" si="30"/>
        <v>0</v>
      </c>
      <c r="R1946" s="7" t="e">
        <f>IF(VLOOKUP($A1946,'Concrete Beam Schedule'!$A$2:$Q$2902,R$2,0)&lt;&gt;B1946,VLOOKUP($A1946,'Concrete Beam Schedule'!$A$2:$Q$2902,R$2,0),"")</f>
        <v>#N/A</v>
      </c>
      <c r="S1946" s="7" t="e">
        <f>IF(VLOOKUP($A1946,'Concrete Beam Schedule'!$A$2:$Q$2902,S$2,0)&lt;&gt;C1946,VLOOKUP($A1946,'Concrete Beam Schedule'!$A$2:$Q$2902,S$2,0),"")</f>
        <v>#N/A</v>
      </c>
      <c r="T1946" s="7" t="e">
        <f>IF(VLOOKUP($A1946,'Concrete Beam Schedule'!$A$2:$Q$2902,T$2,0)&lt;&gt;D1946,"Beam Revised","")</f>
        <v>#N/A</v>
      </c>
      <c r="U1946" s="7" t="e">
        <f>IF(VLOOKUP($A1946,'Concrete Beam Schedule'!$A$2:$Q$2902,U$2,0)&lt;&gt;E1946,"Beam Revised","")</f>
        <v>#N/A</v>
      </c>
      <c r="V1946" s="7" t="e">
        <f>IF(VLOOKUP($A1946,'Concrete Beam Schedule'!$A$2:$Q$2902,V$2,0)&lt;&gt;F1946,"Beam Revised","")</f>
        <v>#N/A</v>
      </c>
      <c r="W1946" s="7" t="e">
        <f>IF(VLOOKUP($A1946,'Concrete Beam Schedule'!$A$2:$Q$2902,W$2,0)&lt;&gt;G1946,"Beam Revised","")</f>
        <v>#N/A</v>
      </c>
      <c r="X1946" s="7" t="e">
        <f>IF(VLOOKUP($A1946,'Concrete Beam Schedule'!$A$2:$Q$2902,X$2,0)&lt;&gt;H1946,"Beam Revised","")</f>
        <v>#N/A</v>
      </c>
      <c r="Y1946" s="7" t="e">
        <f>IF(VLOOKUP($A1946,'Concrete Beam Schedule'!$A$2:$Q$2902,Y$2,0)&lt;&gt;I1946,"Beam Revised","")</f>
        <v>#N/A</v>
      </c>
      <c r="Z1946" s="7" t="e">
        <f>IF(VLOOKUP($A1946,'Concrete Beam Schedule'!$A$2:$Q$2902,Z$2,0)&lt;&gt;J1946,"Beam Revised","")</f>
        <v>#N/A</v>
      </c>
      <c r="AA1946" s="7" t="e">
        <f>IF(VLOOKUP($A1946,'Concrete Beam Schedule'!$A$2:$Q$2902,AA$2,0)&lt;&gt;K1946,"Beam Revised","")</f>
        <v>#N/A</v>
      </c>
      <c r="AB1946" s="7" t="e">
        <f>IF(VLOOKUP($A1946,'Concrete Beam Schedule'!$A$2:$Q$2902,AB$2,0)&lt;&gt;L1946,"Beam Revised","")</f>
        <v>#N/A</v>
      </c>
      <c r="AC1946" s="7" t="e">
        <f>IF(VLOOKUP($A1946,'Concrete Beam Schedule'!$A$2:$Q$2902,AC$2,0)&lt;&gt;M1946,"Beam Revised","")</f>
        <v>#N/A</v>
      </c>
      <c r="AD1946" s="7" t="e">
        <f>IF(VLOOKUP($A1946,'Concrete Beam Schedule'!$A$2:$Q$2902,AD$2,0)&lt;&gt;N1946,"Beam Revised","")</f>
        <v>#N/A</v>
      </c>
      <c r="AE1946" s="7" t="e">
        <f>IF(VLOOKUP($A1946,'Concrete Beam Schedule'!$A$2:$Q$2902,AE$2,0)&lt;&gt;O1946,"Beam Revised","")</f>
        <v>#N/A</v>
      </c>
    </row>
    <row r="1947" spans="17:31" ht="20.100000000000001" customHeight="1" x14ac:dyDescent="0.25">
      <c r="Q1947" s="7">
        <f t="shared" si="30"/>
        <v>0</v>
      </c>
      <c r="R1947" s="7" t="e">
        <f>IF(VLOOKUP($A1947,'Concrete Beam Schedule'!$A$2:$Q$2902,R$2,0)&lt;&gt;B1947,VLOOKUP($A1947,'Concrete Beam Schedule'!$A$2:$Q$2902,R$2,0),"")</f>
        <v>#N/A</v>
      </c>
      <c r="S1947" s="7" t="e">
        <f>IF(VLOOKUP($A1947,'Concrete Beam Schedule'!$A$2:$Q$2902,S$2,0)&lt;&gt;C1947,VLOOKUP($A1947,'Concrete Beam Schedule'!$A$2:$Q$2902,S$2,0),"")</f>
        <v>#N/A</v>
      </c>
      <c r="T1947" s="7" t="e">
        <f>IF(VLOOKUP($A1947,'Concrete Beam Schedule'!$A$2:$Q$2902,T$2,0)&lt;&gt;D1947,"Beam Revised","")</f>
        <v>#N/A</v>
      </c>
      <c r="U1947" s="7" t="e">
        <f>IF(VLOOKUP($A1947,'Concrete Beam Schedule'!$A$2:$Q$2902,U$2,0)&lt;&gt;E1947,"Beam Revised","")</f>
        <v>#N/A</v>
      </c>
      <c r="V1947" s="7" t="e">
        <f>IF(VLOOKUP($A1947,'Concrete Beam Schedule'!$A$2:$Q$2902,V$2,0)&lt;&gt;F1947,"Beam Revised","")</f>
        <v>#N/A</v>
      </c>
      <c r="W1947" s="7" t="e">
        <f>IF(VLOOKUP($A1947,'Concrete Beam Schedule'!$A$2:$Q$2902,W$2,0)&lt;&gt;G1947,"Beam Revised","")</f>
        <v>#N/A</v>
      </c>
      <c r="X1947" s="7" t="e">
        <f>IF(VLOOKUP($A1947,'Concrete Beam Schedule'!$A$2:$Q$2902,X$2,0)&lt;&gt;H1947,"Beam Revised","")</f>
        <v>#N/A</v>
      </c>
      <c r="Y1947" s="7" t="e">
        <f>IF(VLOOKUP($A1947,'Concrete Beam Schedule'!$A$2:$Q$2902,Y$2,0)&lt;&gt;I1947,"Beam Revised","")</f>
        <v>#N/A</v>
      </c>
      <c r="Z1947" s="7" t="e">
        <f>IF(VLOOKUP($A1947,'Concrete Beam Schedule'!$A$2:$Q$2902,Z$2,0)&lt;&gt;J1947,"Beam Revised","")</f>
        <v>#N/A</v>
      </c>
      <c r="AA1947" s="7" t="e">
        <f>IF(VLOOKUP($A1947,'Concrete Beam Schedule'!$A$2:$Q$2902,AA$2,0)&lt;&gt;K1947,"Beam Revised","")</f>
        <v>#N/A</v>
      </c>
      <c r="AB1947" s="7" t="e">
        <f>IF(VLOOKUP($A1947,'Concrete Beam Schedule'!$A$2:$Q$2902,AB$2,0)&lt;&gt;L1947,"Beam Revised","")</f>
        <v>#N/A</v>
      </c>
      <c r="AC1947" s="7" t="e">
        <f>IF(VLOOKUP($A1947,'Concrete Beam Schedule'!$A$2:$Q$2902,AC$2,0)&lt;&gt;M1947,"Beam Revised","")</f>
        <v>#N/A</v>
      </c>
      <c r="AD1947" s="7" t="e">
        <f>IF(VLOOKUP($A1947,'Concrete Beam Schedule'!$A$2:$Q$2902,AD$2,0)&lt;&gt;N1947,"Beam Revised","")</f>
        <v>#N/A</v>
      </c>
      <c r="AE1947" s="7" t="e">
        <f>IF(VLOOKUP($A1947,'Concrete Beam Schedule'!$A$2:$Q$2902,AE$2,0)&lt;&gt;O1947,"Beam Revised","")</f>
        <v>#N/A</v>
      </c>
    </row>
    <row r="1948" spans="17:31" ht="20.100000000000001" customHeight="1" x14ac:dyDescent="0.25">
      <c r="Q1948" s="7">
        <f t="shared" si="30"/>
        <v>0</v>
      </c>
      <c r="R1948" s="7" t="e">
        <f>IF(VLOOKUP($A1948,'Concrete Beam Schedule'!$A$2:$Q$2902,R$2,0)&lt;&gt;B1948,VLOOKUP($A1948,'Concrete Beam Schedule'!$A$2:$Q$2902,R$2,0),"")</f>
        <v>#N/A</v>
      </c>
      <c r="S1948" s="7" t="e">
        <f>IF(VLOOKUP($A1948,'Concrete Beam Schedule'!$A$2:$Q$2902,S$2,0)&lt;&gt;C1948,VLOOKUP($A1948,'Concrete Beam Schedule'!$A$2:$Q$2902,S$2,0),"")</f>
        <v>#N/A</v>
      </c>
      <c r="T1948" s="7" t="e">
        <f>IF(VLOOKUP($A1948,'Concrete Beam Schedule'!$A$2:$Q$2902,T$2,0)&lt;&gt;D1948,"Beam Revised","")</f>
        <v>#N/A</v>
      </c>
      <c r="U1948" s="7" t="e">
        <f>IF(VLOOKUP($A1948,'Concrete Beam Schedule'!$A$2:$Q$2902,U$2,0)&lt;&gt;E1948,"Beam Revised","")</f>
        <v>#N/A</v>
      </c>
      <c r="V1948" s="7" t="e">
        <f>IF(VLOOKUP($A1948,'Concrete Beam Schedule'!$A$2:$Q$2902,V$2,0)&lt;&gt;F1948,"Beam Revised","")</f>
        <v>#N/A</v>
      </c>
      <c r="W1948" s="7" t="e">
        <f>IF(VLOOKUP($A1948,'Concrete Beam Schedule'!$A$2:$Q$2902,W$2,0)&lt;&gt;G1948,"Beam Revised","")</f>
        <v>#N/A</v>
      </c>
      <c r="X1948" s="7" t="e">
        <f>IF(VLOOKUP($A1948,'Concrete Beam Schedule'!$A$2:$Q$2902,X$2,0)&lt;&gt;H1948,"Beam Revised","")</f>
        <v>#N/A</v>
      </c>
      <c r="Y1948" s="7" t="e">
        <f>IF(VLOOKUP($A1948,'Concrete Beam Schedule'!$A$2:$Q$2902,Y$2,0)&lt;&gt;I1948,"Beam Revised","")</f>
        <v>#N/A</v>
      </c>
      <c r="Z1948" s="7" t="e">
        <f>IF(VLOOKUP($A1948,'Concrete Beam Schedule'!$A$2:$Q$2902,Z$2,0)&lt;&gt;J1948,"Beam Revised","")</f>
        <v>#N/A</v>
      </c>
      <c r="AA1948" s="7" t="e">
        <f>IF(VLOOKUP($A1948,'Concrete Beam Schedule'!$A$2:$Q$2902,AA$2,0)&lt;&gt;K1948,"Beam Revised","")</f>
        <v>#N/A</v>
      </c>
      <c r="AB1948" s="7" t="e">
        <f>IF(VLOOKUP($A1948,'Concrete Beam Schedule'!$A$2:$Q$2902,AB$2,0)&lt;&gt;L1948,"Beam Revised","")</f>
        <v>#N/A</v>
      </c>
      <c r="AC1948" s="7" t="e">
        <f>IF(VLOOKUP($A1948,'Concrete Beam Schedule'!$A$2:$Q$2902,AC$2,0)&lt;&gt;M1948,"Beam Revised","")</f>
        <v>#N/A</v>
      </c>
      <c r="AD1948" s="7" t="e">
        <f>IF(VLOOKUP($A1948,'Concrete Beam Schedule'!$A$2:$Q$2902,AD$2,0)&lt;&gt;N1948,"Beam Revised","")</f>
        <v>#N/A</v>
      </c>
      <c r="AE1948" s="7" t="e">
        <f>IF(VLOOKUP($A1948,'Concrete Beam Schedule'!$A$2:$Q$2902,AE$2,0)&lt;&gt;O1948,"Beam Revised","")</f>
        <v>#N/A</v>
      </c>
    </row>
    <row r="1949" spans="17:31" ht="20.100000000000001" customHeight="1" x14ac:dyDescent="0.25">
      <c r="Q1949" s="7">
        <f t="shared" si="30"/>
        <v>0</v>
      </c>
      <c r="R1949" s="7" t="e">
        <f>IF(VLOOKUP($A1949,'Concrete Beam Schedule'!$A$2:$Q$2902,R$2,0)&lt;&gt;B1949,VLOOKUP($A1949,'Concrete Beam Schedule'!$A$2:$Q$2902,R$2,0),"")</f>
        <v>#N/A</v>
      </c>
      <c r="S1949" s="7" t="e">
        <f>IF(VLOOKUP($A1949,'Concrete Beam Schedule'!$A$2:$Q$2902,S$2,0)&lt;&gt;C1949,VLOOKUP($A1949,'Concrete Beam Schedule'!$A$2:$Q$2902,S$2,0),"")</f>
        <v>#N/A</v>
      </c>
      <c r="T1949" s="7" t="e">
        <f>IF(VLOOKUP($A1949,'Concrete Beam Schedule'!$A$2:$Q$2902,T$2,0)&lt;&gt;D1949,"Beam Revised","")</f>
        <v>#N/A</v>
      </c>
      <c r="U1949" s="7" t="e">
        <f>IF(VLOOKUP($A1949,'Concrete Beam Schedule'!$A$2:$Q$2902,U$2,0)&lt;&gt;E1949,"Beam Revised","")</f>
        <v>#N/A</v>
      </c>
      <c r="V1949" s="7" t="e">
        <f>IF(VLOOKUP($A1949,'Concrete Beam Schedule'!$A$2:$Q$2902,V$2,0)&lt;&gt;F1949,"Beam Revised","")</f>
        <v>#N/A</v>
      </c>
      <c r="W1949" s="7" t="e">
        <f>IF(VLOOKUP($A1949,'Concrete Beam Schedule'!$A$2:$Q$2902,W$2,0)&lt;&gt;G1949,"Beam Revised","")</f>
        <v>#N/A</v>
      </c>
      <c r="X1949" s="7" t="e">
        <f>IF(VLOOKUP($A1949,'Concrete Beam Schedule'!$A$2:$Q$2902,X$2,0)&lt;&gt;H1949,"Beam Revised","")</f>
        <v>#N/A</v>
      </c>
      <c r="Y1949" s="7" t="e">
        <f>IF(VLOOKUP($A1949,'Concrete Beam Schedule'!$A$2:$Q$2902,Y$2,0)&lt;&gt;I1949,"Beam Revised","")</f>
        <v>#N/A</v>
      </c>
      <c r="Z1949" s="7" t="e">
        <f>IF(VLOOKUP($A1949,'Concrete Beam Schedule'!$A$2:$Q$2902,Z$2,0)&lt;&gt;J1949,"Beam Revised","")</f>
        <v>#N/A</v>
      </c>
      <c r="AA1949" s="7" t="e">
        <f>IF(VLOOKUP($A1949,'Concrete Beam Schedule'!$A$2:$Q$2902,AA$2,0)&lt;&gt;K1949,"Beam Revised","")</f>
        <v>#N/A</v>
      </c>
      <c r="AB1949" s="7" t="e">
        <f>IF(VLOOKUP($A1949,'Concrete Beam Schedule'!$A$2:$Q$2902,AB$2,0)&lt;&gt;L1949,"Beam Revised","")</f>
        <v>#N/A</v>
      </c>
      <c r="AC1949" s="7" t="e">
        <f>IF(VLOOKUP($A1949,'Concrete Beam Schedule'!$A$2:$Q$2902,AC$2,0)&lt;&gt;M1949,"Beam Revised","")</f>
        <v>#N/A</v>
      </c>
      <c r="AD1949" s="7" t="e">
        <f>IF(VLOOKUP($A1949,'Concrete Beam Schedule'!$A$2:$Q$2902,AD$2,0)&lt;&gt;N1949,"Beam Revised","")</f>
        <v>#N/A</v>
      </c>
      <c r="AE1949" s="7" t="e">
        <f>IF(VLOOKUP($A1949,'Concrete Beam Schedule'!$A$2:$Q$2902,AE$2,0)&lt;&gt;O1949,"Beam Revised","")</f>
        <v>#N/A</v>
      </c>
    </row>
    <row r="1950" spans="17:31" ht="20.100000000000001" customHeight="1" x14ac:dyDescent="0.25">
      <c r="Q1950" s="7">
        <f t="shared" si="30"/>
        <v>0</v>
      </c>
      <c r="R1950" s="7" t="e">
        <f>IF(VLOOKUP($A1950,'Concrete Beam Schedule'!$A$2:$Q$2902,R$2,0)&lt;&gt;B1950,VLOOKUP($A1950,'Concrete Beam Schedule'!$A$2:$Q$2902,R$2,0),"")</f>
        <v>#N/A</v>
      </c>
      <c r="S1950" s="7" t="e">
        <f>IF(VLOOKUP($A1950,'Concrete Beam Schedule'!$A$2:$Q$2902,S$2,0)&lt;&gt;C1950,VLOOKUP($A1950,'Concrete Beam Schedule'!$A$2:$Q$2902,S$2,0),"")</f>
        <v>#N/A</v>
      </c>
      <c r="T1950" s="7" t="e">
        <f>IF(VLOOKUP($A1950,'Concrete Beam Schedule'!$A$2:$Q$2902,T$2,0)&lt;&gt;D1950,"Beam Revised","")</f>
        <v>#N/A</v>
      </c>
      <c r="U1950" s="7" t="e">
        <f>IF(VLOOKUP($A1950,'Concrete Beam Schedule'!$A$2:$Q$2902,U$2,0)&lt;&gt;E1950,"Beam Revised","")</f>
        <v>#N/A</v>
      </c>
      <c r="V1950" s="7" t="e">
        <f>IF(VLOOKUP($A1950,'Concrete Beam Schedule'!$A$2:$Q$2902,V$2,0)&lt;&gt;F1950,"Beam Revised","")</f>
        <v>#N/A</v>
      </c>
      <c r="W1950" s="7" t="e">
        <f>IF(VLOOKUP($A1950,'Concrete Beam Schedule'!$A$2:$Q$2902,W$2,0)&lt;&gt;G1950,"Beam Revised","")</f>
        <v>#N/A</v>
      </c>
      <c r="X1950" s="7" t="e">
        <f>IF(VLOOKUP($A1950,'Concrete Beam Schedule'!$A$2:$Q$2902,X$2,0)&lt;&gt;H1950,"Beam Revised","")</f>
        <v>#N/A</v>
      </c>
      <c r="Y1950" s="7" t="e">
        <f>IF(VLOOKUP($A1950,'Concrete Beam Schedule'!$A$2:$Q$2902,Y$2,0)&lt;&gt;I1950,"Beam Revised","")</f>
        <v>#N/A</v>
      </c>
      <c r="Z1950" s="7" t="e">
        <f>IF(VLOOKUP($A1950,'Concrete Beam Schedule'!$A$2:$Q$2902,Z$2,0)&lt;&gt;J1950,"Beam Revised","")</f>
        <v>#N/A</v>
      </c>
      <c r="AA1950" s="7" t="e">
        <f>IF(VLOOKUP($A1950,'Concrete Beam Schedule'!$A$2:$Q$2902,AA$2,0)&lt;&gt;K1950,"Beam Revised","")</f>
        <v>#N/A</v>
      </c>
      <c r="AB1950" s="7" t="e">
        <f>IF(VLOOKUP($A1950,'Concrete Beam Schedule'!$A$2:$Q$2902,AB$2,0)&lt;&gt;L1950,"Beam Revised","")</f>
        <v>#N/A</v>
      </c>
      <c r="AC1950" s="7" t="e">
        <f>IF(VLOOKUP($A1950,'Concrete Beam Schedule'!$A$2:$Q$2902,AC$2,0)&lt;&gt;M1950,"Beam Revised","")</f>
        <v>#N/A</v>
      </c>
      <c r="AD1950" s="7" t="e">
        <f>IF(VLOOKUP($A1950,'Concrete Beam Schedule'!$A$2:$Q$2902,AD$2,0)&lt;&gt;N1950,"Beam Revised","")</f>
        <v>#N/A</v>
      </c>
      <c r="AE1950" s="7" t="e">
        <f>IF(VLOOKUP($A1950,'Concrete Beam Schedule'!$A$2:$Q$2902,AE$2,0)&lt;&gt;O1950,"Beam Revised","")</f>
        <v>#N/A</v>
      </c>
    </row>
    <row r="1951" spans="17:31" ht="20.100000000000001" customHeight="1" x14ac:dyDescent="0.25">
      <c r="Q1951" s="7">
        <f t="shared" si="30"/>
        <v>0</v>
      </c>
      <c r="R1951" s="7" t="e">
        <f>IF(VLOOKUP($A1951,'Concrete Beam Schedule'!$A$2:$Q$2902,R$2,0)&lt;&gt;B1951,VLOOKUP($A1951,'Concrete Beam Schedule'!$A$2:$Q$2902,R$2,0),"")</f>
        <v>#N/A</v>
      </c>
      <c r="S1951" s="7" t="e">
        <f>IF(VLOOKUP($A1951,'Concrete Beam Schedule'!$A$2:$Q$2902,S$2,0)&lt;&gt;C1951,VLOOKUP($A1951,'Concrete Beam Schedule'!$A$2:$Q$2902,S$2,0),"")</f>
        <v>#N/A</v>
      </c>
      <c r="T1951" s="7" t="e">
        <f>IF(VLOOKUP($A1951,'Concrete Beam Schedule'!$A$2:$Q$2902,T$2,0)&lt;&gt;D1951,"Beam Revised","")</f>
        <v>#N/A</v>
      </c>
      <c r="U1951" s="7" t="e">
        <f>IF(VLOOKUP($A1951,'Concrete Beam Schedule'!$A$2:$Q$2902,U$2,0)&lt;&gt;E1951,"Beam Revised","")</f>
        <v>#N/A</v>
      </c>
      <c r="V1951" s="7" t="e">
        <f>IF(VLOOKUP($A1951,'Concrete Beam Schedule'!$A$2:$Q$2902,V$2,0)&lt;&gt;F1951,"Beam Revised","")</f>
        <v>#N/A</v>
      </c>
      <c r="W1951" s="7" t="e">
        <f>IF(VLOOKUP($A1951,'Concrete Beam Schedule'!$A$2:$Q$2902,W$2,0)&lt;&gt;G1951,"Beam Revised","")</f>
        <v>#N/A</v>
      </c>
      <c r="X1951" s="7" t="e">
        <f>IF(VLOOKUP($A1951,'Concrete Beam Schedule'!$A$2:$Q$2902,X$2,0)&lt;&gt;H1951,"Beam Revised","")</f>
        <v>#N/A</v>
      </c>
      <c r="Y1951" s="7" t="e">
        <f>IF(VLOOKUP($A1951,'Concrete Beam Schedule'!$A$2:$Q$2902,Y$2,0)&lt;&gt;I1951,"Beam Revised","")</f>
        <v>#N/A</v>
      </c>
      <c r="Z1951" s="7" t="e">
        <f>IF(VLOOKUP($A1951,'Concrete Beam Schedule'!$A$2:$Q$2902,Z$2,0)&lt;&gt;J1951,"Beam Revised","")</f>
        <v>#N/A</v>
      </c>
      <c r="AA1951" s="7" t="e">
        <f>IF(VLOOKUP($A1951,'Concrete Beam Schedule'!$A$2:$Q$2902,AA$2,0)&lt;&gt;K1951,"Beam Revised","")</f>
        <v>#N/A</v>
      </c>
      <c r="AB1951" s="7" t="e">
        <f>IF(VLOOKUP($A1951,'Concrete Beam Schedule'!$A$2:$Q$2902,AB$2,0)&lt;&gt;L1951,"Beam Revised","")</f>
        <v>#N/A</v>
      </c>
      <c r="AC1951" s="7" t="e">
        <f>IF(VLOOKUP($A1951,'Concrete Beam Schedule'!$A$2:$Q$2902,AC$2,0)&lt;&gt;M1951,"Beam Revised","")</f>
        <v>#N/A</v>
      </c>
      <c r="AD1951" s="7" t="e">
        <f>IF(VLOOKUP($A1951,'Concrete Beam Schedule'!$A$2:$Q$2902,AD$2,0)&lt;&gt;N1951,"Beam Revised","")</f>
        <v>#N/A</v>
      </c>
      <c r="AE1951" s="7" t="e">
        <f>IF(VLOOKUP($A1951,'Concrete Beam Schedule'!$A$2:$Q$2902,AE$2,0)&lt;&gt;O1951,"Beam Revised","")</f>
        <v>#N/A</v>
      </c>
    </row>
    <row r="1952" spans="17:31" ht="20.100000000000001" customHeight="1" x14ac:dyDescent="0.25">
      <c r="Q1952" s="7">
        <f t="shared" si="30"/>
        <v>0</v>
      </c>
      <c r="R1952" s="7" t="e">
        <f>IF(VLOOKUP($A1952,'Concrete Beam Schedule'!$A$2:$Q$2902,R$2,0)&lt;&gt;B1952,VLOOKUP($A1952,'Concrete Beam Schedule'!$A$2:$Q$2902,R$2,0),"")</f>
        <v>#N/A</v>
      </c>
      <c r="S1952" s="7" t="e">
        <f>IF(VLOOKUP($A1952,'Concrete Beam Schedule'!$A$2:$Q$2902,S$2,0)&lt;&gt;C1952,VLOOKUP($A1952,'Concrete Beam Schedule'!$A$2:$Q$2902,S$2,0),"")</f>
        <v>#N/A</v>
      </c>
      <c r="T1952" s="7" t="e">
        <f>IF(VLOOKUP($A1952,'Concrete Beam Schedule'!$A$2:$Q$2902,T$2,0)&lt;&gt;D1952,"Beam Revised","")</f>
        <v>#N/A</v>
      </c>
      <c r="U1952" s="7" t="e">
        <f>IF(VLOOKUP($A1952,'Concrete Beam Schedule'!$A$2:$Q$2902,U$2,0)&lt;&gt;E1952,"Beam Revised","")</f>
        <v>#N/A</v>
      </c>
      <c r="V1952" s="7" t="e">
        <f>IF(VLOOKUP($A1952,'Concrete Beam Schedule'!$A$2:$Q$2902,V$2,0)&lt;&gt;F1952,"Beam Revised","")</f>
        <v>#N/A</v>
      </c>
      <c r="W1952" s="7" t="e">
        <f>IF(VLOOKUP($A1952,'Concrete Beam Schedule'!$A$2:$Q$2902,W$2,0)&lt;&gt;G1952,"Beam Revised","")</f>
        <v>#N/A</v>
      </c>
      <c r="X1952" s="7" t="e">
        <f>IF(VLOOKUP($A1952,'Concrete Beam Schedule'!$A$2:$Q$2902,X$2,0)&lt;&gt;H1952,"Beam Revised","")</f>
        <v>#N/A</v>
      </c>
      <c r="Y1952" s="7" t="e">
        <f>IF(VLOOKUP($A1952,'Concrete Beam Schedule'!$A$2:$Q$2902,Y$2,0)&lt;&gt;I1952,"Beam Revised","")</f>
        <v>#N/A</v>
      </c>
      <c r="Z1952" s="7" t="e">
        <f>IF(VLOOKUP($A1952,'Concrete Beam Schedule'!$A$2:$Q$2902,Z$2,0)&lt;&gt;J1952,"Beam Revised","")</f>
        <v>#N/A</v>
      </c>
      <c r="AA1952" s="7" t="e">
        <f>IF(VLOOKUP($A1952,'Concrete Beam Schedule'!$A$2:$Q$2902,AA$2,0)&lt;&gt;K1952,"Beam Revised","")</f>
        <v>#N/A</v>
      </c>
      <c r="AB1952" s="7" t="e">
        <f>IF(VLOOKUP($A1952,'Concrete Beam Schedule'!$A$2:$Q$2902,AB$2,0)&lt;&gt;L1952,"Beam Revised","")</f>
        <v>#N/A</v>
      </c>
      <c r="AC1952" s="7" t="e">
        <f>IF(VLOOKUP($A1952,'Concrete Beam Schedule'!$A$2:$Q$2902,AC$2,0)&lt;&gt;M1952,"Beam Revised","")</f>
        <v>#N/A</v>
      </c>
      <c r="AD1952" s="7" t="e">
        <f>IF(VLOOKUP($A1952,'Concrete Beam Schedule'!$A$2:$Q$2902,AD$2,0)&lt;&gt;N1952,"Beam Revised","")</f>
        <v>#N/A</v>
      </c>
      <c r="AE1952" s="7" t="e">
        <f>IF(VLOOKUP($A1952,'Concrete Beam Schedule'!$A$2:$Q$2902,AE$2,0)&lt;&gt;O1952,"Beam Revised","")</f>
        <v>#N/A</v>
      </c>
    </row>
    <row r="1953" spans="17:31" ht="20.100000000000001" customHeight="1" x14ac:dyDescent="0.25">
      <c r="Q1953" s="7">
        <f t="shared" si="30"/>
        <v>0</v>
      </c>
      <c r="R1953" s="7" t="e">
        <f>IF(VLOOKUP($A1953,'Concrete Beam Schedule'!$A$2:$Q$2902,R$2,0)&lt;&gt;B1953,VLOOKUP($A1953,'Concrete Beam Schedule'!$A$2:$Q$2902,R$2,0),"")</f>
        <v>#N/A</v>
      </c>
      <c r="S1953" s="7" t="e">
        <f>IF(VLOOKUP($A1953,'Concrete Beam Schedule'!$A$2:$Q$2902,S$2,0)&lt;&gt;C1953,VLOOKUP($A1953,'Concrete Beam Schedule'!$A$2:$Q$2902,S$2,0),"")</f>
        <v>#N/A</v>
      </c>
      <c r="T1953" s="7" t="e">
        <f>IF(VLOOKUP($A1953,'Concrete Beam Schedule'!$A$2:$Q$2902,T$2,0)&lt;&gt;D1953,"Beam Revised","")</f>
        <v>#N/A</v>
      </c>
      <c r="U1953" s="7" t="e">
        <f>IF(VLOOKUP($A1953,'Concrete Beam Schedule'!$A$2:$Q$2902,U$2,0)&lt;&gt;E1953,"Beam Revised","")</f>
        <v>#N/A</v>
      </c>
      <c r="V1953" s="7" t="e">
        <f>IF(VLOOKUP($A1953,'Concrete Beam Schedule'!$A$2:$Q$2902,V$2,0)&lt;&gt;F1953,"Beam Revised","")</f>
        <v>#N/A</v>
      </c>
      <c r="W1953" s="7" t="e">
        <f>IF(VLOOKUP($A1953,'Concrete Beam Schedule'!$A$2:$Q$2902,W$2,0)&lt;&gt;G1953,"Beam Revised","")</f>
        <v>#N/A</v>
      </c>
      <c r="X1953" s="7" t="e">
        <f>IF(VLOOKUP($A1953,'Concrete Beam Schedule'!$A$2:$Q$2902,X$2,0)&lt;&gt;H1953,"Beam Revised","")</f>
        <v>#N/A</v>
      </c>
      <c r="Y1953" s="7" t="e">
        <f>IF(VLOOKUP($A1953,'Concrete Beam Schedule'!$A$2:$Q$2902,Y$2,0)&lt;&gt;I1953,"Beam Revised","")</f>
        <v>#N/A</v>
      </c>
      <c r="Z1953" s="7" t="e">
        <f>IF(VLOOKUP($A1953,'Concrete Beam Schedule'!$A$2:$Q$2902,Z$2,0)&lt;&gt;J1953,"Beam Revised","")</f>
        <v>#N/A</v>
      </c>
      <c r="AA1953" s="7" t="e">
        <f>IF(VLOOKUP($A1953,'Concrete Beam Schedule'!$A$2:$Q$2902,AA$2,0)&lt;&gt;K1953,"Beam Revised","")</f>
        <v>#N/A</v>
      </c>
      <c r="AB1953" s="7" t="e">
        <f>IF(VLOOKUP($A1953,'Concrete Beam Schedule'!$A$2:$Q$2902,AB$2,0)&lt;&gt;L1953,"Beam Revised","")</f>
        <v>#N/A</v>
      </c>
      <c r="AC1953" s="7" t="e">
        <f>IF(VLOOKUP($A1953,'Concrete Beam Schedule'!$A$2:$Q$2902,AC$2,0)&lt;&gt;M1953,"Beam Revised","")</f>
        <v>#N/A</v>
      </c>
      <c r="AD1953" s="7" t="e">
        <f>IF(VLOOKUP($A1953,'Concrete Beam Schedule'!$A$2:$Q$2902,AD$2,0)&lt;&gt;N1953,"Beam Revised","")</f>
        <v>#N/A</v>
      </c>
      <c r="AE1953" s="7" t="e">
        <f>IF(VLOOKUP($A1953,'Concrete Beam Schedule'!$A$2:$Q$2902,AE$2,0)&lt;&gt;O1953,"Beam Revised","")</f>
        <v>#N/A</v>
      </c>
    </row>
    <row r="1954" spans="17:31" ht="20.100000000000001" customHeight="1" x14ac:dyDescent="0.25">
      <c r="Q1954" s="7">
        <f t="shared" si="30"/>
        <v>0</v>
      </c>
      <c r="R1954" s="7" t="e">
        <f>IF(VLOOKUP($A1954,'Concrete Beam Schedule'!$A$2:$Q$2902,R$2,0)&lt;&gt;B1954,VLOOKUP($A1954,'Concrete Beam Schedule'!$A$2:$Q$2902,R$2,0),"")</f>
        <v>#N/A</v>
      </c>
      <c r="S1954" s="7" t="e">
        <f>IF(VLOOKUP($A1954,'Concrete Beam Schedule'!$A$2:$Q$2902,S$2,0)&lt;&gt;C1954,VLOOKUP($A1954,'Concrete Beam Schedule'!$A$2:$Q$2902,S$2,0),"")</f>
        <v>#N/A</v>
      </c>
      <c r="T1954" s="7" t="e">
        <f>IF(VLOOKUP($A1954,'Concrete Beam Schedule'!$A$2:$Q$2902,T$2,0)&lt;&gt;D1954,"Beam Revised","")</f>
        <v>#N/A</v>
      </c>
      <c r="U1954" s="7" t="e">
        <f>IF(VLOOKUP($A1954,'Concrete Beam Schedule'!$A$2:$Q$2902,U$2,0)&lt;&gt;E1954,"Beam Revised","")</f>
        <v>#N/A</v>
      </c>
      <c r="V1954" s="7" t="e">
        <f>IF(VLOOKUP($A1954,'Concrete Beam Schedule'!$A$2:$Q$2902,V$2,0)&lt;&gt;F1954,"Beam Revised","")</f>
        <v>#N/A</v>
      </c>
      <c r="W1954" s="7" t="e">
        <f>IF(VLOOKUP($A1954,'Concrete Beam Schedule'!$A$2:$Q$2902,W$2,0)&lt;&gt;G1954,"Beam Revised","")</f>
        <v>#N/A</v>
      </c>
      <c r="X1954" s="7" t="e">
        <f>IF(VLOOKUP($A1954,'Concrete Beam Schedule'!$A$2:$Q$2902,X$2,0)&lt;&gt;H1954,"Beam Revised","")</f>
        <v>#N/A</v>
      </c>
      <c r="Y1954" s="7" t="e">
        <f>IF(VLOOKUP($A1954,'Concrete Beam Schedule'!$A$2:$Q$2902,Y$2,0)&lt;&gt;I1954,"Beam Revised","")</f>
        <v>#N/A</v>
      </c>
      <c r="Z1954" s="7" t="e">
        <f>IF(VLOOKUP($A1954,'Concrete Beam Schedule'!$A$2:$Q$2902,Z$2,0)&lt;&gt;J1954,"Beam Revised","")</f>
        <v>#N/A</v>
      </c>
      <c r="AA1954" s="7" t="e">
        <f>IF(VLOOKUP($A1954,'Concrete Beam Schedule'!$A$2:$Q$2902,AA$2,0)&lt;&gt;K1954,"Beam Revised","")</f>
        <v>#N/A</v>
      </c>
      <c r="AB1954" s="7" t="e">
        <f>IF(VLOOKUP($A1954,'Concrete Beam Schedule'!$A$2:$Q$2902,AB$2,0)&lt;&gt;L1954,"Beam Revised","")</f>
        <v>#N/A</v>
      </c>
      <c r="AC1954" s="7" t="e">
        <f>IF(VLOOKUP($A1954,'Concrete Beam Schedule'!$A$2:$Q$2902,AC$2,0)&lt;&gt;M1954,"Beam Revised","")</f>
        <v>#N/A</v>
      </c>
      <c r="AD1954" s="7" t="e">
        <f>IF(VLOOKUP($A1954,'Concrete Beam Schedule'!$A$2:$Q$2902,AD$2,0)&lt;&gt;N1954,"Beam Revised","")</f>
        <v>#N/A</v>
      </c>
      <c r="AE1954" s="7" t="e">
        <f>IF(VLOOKUP($A1954,'Concrete Beam Schedule'!$A$2:$Q$2902,AE$2,0)&lt;&gt;O1954,"Beam Revised","")</f>
        <v>#N/A</v>
      </c>
    </row>
    <row r="1955" spans="17:31" ht="20.100000000000001" customHeight="1" x14ac:dyDescent="0.25">
      <c r="Q1955" s="7">
        <f t="shared" si="30"/>
        <v>0</v>
      </c>
      <c r="R1955" s="7" t="e">
        <f>IF(VLOOKUP($A1955,'Concrete Beam Schedule'!$A$2:$Q$2902,R$2,0)&lt;&gt;B1955,VLOOKUP($A1955,'Concrete Beam Schedule'!$A$2:$Q$2902,R$2,0),"")</f>
        <v>#N/A</v>
      </c>
      <c r="S1955" s="7" t="e">
        <f>IF(VLOOKUP($A1955,'Concrete Beam Schedule'!$A$2:$Q$2902,S$2,0)&lt;&gt;C1955,VLOOKUP($A1955,'Concrete Beam Schedule'!$A$2:$Q$2902,S$2,0),"")</f>
        <v>#N/A</v>
      </c>
      <c r="T1955" s="7" t="e">
        <f>IF(VLOOKUP($A1955,'Concrete Beam Schedule'!$A$2:$Q$2902,T$2,0)&lt;&gt;D1955,"Beam Revised","")</f>
        <v>#N/A</v>
      </c>
      <c r="U1955" s="7" t="e">
        <f>IF(VLOOKUP($A1955,'Concrete Beam Schedule'!$A$2:$Q$2902,U$2,0)&lt;&gt;E1955,"Beam Revised","")</f>
        <v>#N/A</v>
      </c>
      <c r="V1955" s="7" t="e">
        <f>IF(VLOOKUP($A1955,'Concrete Beam Schedule'!$A$2:$Q$2902,V$2,0)&lt;&gt;F1955,"Beam Revised","")</f>
        <v>#N/A</v>
      </c>
      <c r="W1955" s="7" t="e">
        <f>IF(VLOOKUP($A1955,'Concrete Beam Schedule'!$A$2:$Q$2902,W$2,0)&lt;&gt;G1955,"Beam Revised","")</f>
        <v>#N/A</v>
      </c>
      <c r="X1955" s="7" t="e">
        <f>IF(VLOOKUP($A1955,'Concrete Beam Schedule'!$A$2:$Q$2902,X$2,0)&lt;&gt;H1955,"Beam Revised","")</f>
        <v>#N/A</v>
      </c>
      <c r="Y1955" s="7" t="e">
        <f>IF(VLOOKUP($A1955,'Concrete Beam Schedule'!$A$2:$Q$2902,Y$2,0)&lt;&gt;I1955,"Beam Revised","")</f>
        <v>#N/A</v>
      </c>
      <c r="Z1955" s="7" t="e">
        <f>IF(VLOOKUP($A1955,'Concrete Beam Schedule'!$A$2:$Q$2902,Z$2,0)&lt;&gt;J1955,"Beam Revised","")</f>
        <v>#N/A</v>
      </c>
      <c r="AA1955" s="7" t="e">
        <f>IF(VLOOKUP($A1955,'Concrete Beam Schedule'!$A$2:$Q$2902,AA$2,0)&lt;&gt;K1955,"Beam Revised","")</f>
        <v>#N/A</v>
      </c>
      <c r="AB1955" s="7" t="e">
        <f>IF(VLOOKUP($A1955,'Concrete Beam Schedule'!$A$2:$Q$2902,AB$2,0)&lt;&gt;L1955,"Beam Revised","")</f>
        <v>#N/A</v>
      </c>
      <c r="AC1955" s="7" t="e">
        <f>IF(VLOOKUP($A1955,'Concrete Beam Schedule'!$A$2:$Q$2902,AC$2,0)&lt;&gt;M1955,"Beam Revised","")</f>
        <v>#N/A</v>
      </c>
      <c r="AD1955" s="7" t="e">
        <f>IF(VLOOKUP($A1955,'Concrete Beam Schedule'!$A$2:$Q$2902,AD$2,0)&lt;&gt;N1955,"Beam Revised","")</f>
        <v>#N/A</v>
      </c>
      <c r="AE1955" s="7" t="e">
        <f>IF(VLOOKUP($A1955,'Concrete Beam Schedule'!$A$2:$Q$2902,AE$2,0)&lt;&gt;O1955,"Beam Revised","")</f>
        <v>#N/A</v>
      </c>
    </row>
    <row r="1956" spans="17:31" ht="20.100000000000001" customHeight="1" x14ac:dyDescent="0.25">
      <c r="Q1956" s="7">
        <f t="shared" si="30"/>
        <v>0</v>
      </c>
      <c r="R1956" s="7" t="e">
        <f>IF(VLOOKUP($A1956,'Concrete Beam Schedule'!$A$2:$Q$2902,R$2,0)&lt;&gt;B1956,VLOOKUP($A1956,'Concrete Beam Schedule'!$A$2:$Q$2902,R$2,0),"")</f>
        <v>#N/A</v>
      </c>
      <c r="S1956" s="7" t="e">
        <f>IF(VLOOKUP($A1956,'Concrete Beam Schedule'!$A$2:$Q$2902,S$2,0)&lt;&gt;C1956,VLOOKUP($A1956,'Concrete Beam Schedule'!$A$2:$Q$2902,S$2,0),"")</f>
        <v>#N/A</v>
      </c>
      <c r="T1956" s="7" t="e">
        <f>IF(VLOOKUP($A1956,'Concrete Beam Schedule'!$A$2:$Q$2902,T$2,0)&lt;&gt;D1956,"Beam Revised","")</f>
        <v>#N/A</v>
      </c>
      <c r="U1956" s="7" t="e">
        <f>IF(VLOOKUP($A1956,'Concrete Beam Schedule'!$A$2:$Q$2902,U$2,0)&lt;&gt;E1956,"Beam Revised","")</f>
        <v>#N/A</v>
      </c>
      <c r="V1956" s="7" t="e">
        <f>IF(VLOOKUP($A1956,'Concrete Beam Schedule'!$A$2:$Q$2902,V$2,0)&lt;&gt;F1956,"Beam Revised","")</f>
        <v>#N/A</v>
      </c>
      <c r="W1956" s="7" t="e">
        <f>IF(VLOOKUP($A1956,'Concrete Beam Schedule'!$A$2:$Q$2902,W$2,0)&lt;&gt;G1956,"Beam Revised","")</f>
        <v>#N/A</v>
      </c>
      <c r="X1956" s="7" t="e">
        <f>IF(VLOOKUP($A1956,'Concrete Beam Schedule'!$A$2:$Q$2902,X$2,0)&lt;&gt;H1956,"Beam Revised","")</f>
        <v>#N/A</v>
      </c>
      <c r="Y1956" s="7" t="e">
        <f>IF(VLOOKUP($A1956,'Concrete Beam Schedule'!$A$2:$Q$2902,Y$2,0)&lt;&gt;I1956,"Beam Revised","")</f>
        <v>#N/A</v>
      </c>
      <c r="Z1956" s="7" t="e">
        <f>IF(VLOOKUP($A1956,'Concrete Beam Schedule'!$A$2:$Q$2902,Z$2,0)&lt;&gt;J1956,"Beam Revised","")</f>
        <v>#N/A</v>
      </c>
      <c r="AA1956" s="7" t="e">
        <f>IF(VLOOKUP($A1956,'Concrete Beam Schedule'!$A$2:$Q$2902,AA$2,0)&lt;&gt;K1956,"Beam Revised","")</f>
        <v>#N/A</v>
      </c>
      <c r="AB1956" s="7" t="e">
        <f>IF(VLOOKUP($A1956,'Concrete Beam Schedule'!$A$2:$Q$2902,AB$2,0)&lt;&gt;L1956,"Beam Revised","")</f>
        <v>#N/A</v>
      </c>
      <c r="AC1956" s="7" t="e">
        <f>IF(VLOOKUP($A1956,'Concrete Beam Schedule'!$A$2:$Q$2902,AC$2,0)&lt;&gt;M1956,"Beam Revised","")</f>
        <v>#N/A</v>
      </c>
      <c r="AD1956" s="7" t="e">
        <f>IF(VLOOKUP($A1956,'Concrete Beam Schedule'!$A$2:$Q$2902,AD$2,0)&lt;&gt;N1956,"Beam Revised","")</f>
        <v>#N/A</v>
      </c>
      <c r="AE1956" s="7" t="e">
        <f>IF(VLOOKUP($A1956,'Concrete Beam Schedule'!$A$2:$Q$2902,AE$2,0)&lt;&gt;O1956,"Beam Revised","")</f>
        <v>#N/A</v>
      </c>
    </row>
    <row r="1957" spans="17:31" ht="20.100000000000001" customHeight="1" x14ac:dyDescent="0.25">
      <c r="Q1957" s="7">
        <f t="shared" si="30"/>
        <v>0</v>
      </c>
      <c r="R1957" s="7" t="e">
        <f>IF(VLOOKUP($A1957,'Concrete Beam Schedule'!$A$2:$Q$2902,R$2,0)&lt;&gt;B1957,VLOOKUP($A1957,'Concrete Beam Schedule'!$A$2:$Q$2902,R$2,0),"")</f>
        <v>#N/A</v>
      </c>
      <c r="S1957" s="7" t="e">
        <f>IF(VLOOKUP($A1957,'Concrete Beam Schedule'!$A$2:$Q$2902,S$2,0)&lt;&gt;C1957,VLOOKUP($A1957,'Concrete Beam Schedule'!$A$2:$Q$2902,S$2,0),"")</f>
        <v>#N/A</v>
      </c>
      <c r="T1957" s="7" t="e">
        <f>IF(VLOOKUP($A1957,'Concrete Beam Schedule'!$A$2:$Q$2902,T$2,0)&lt;&gt;D1957,"Beam Revised","")</f>
        <v>#N/A</v>
      </c>
      <c r="U1957" s="7" t="e">
        <f>IF(VLOOKUP($A1957,'Concrete Beam Schedule'!$A$2:$Q$2902,U$2,0)&lt;&gt;E1957,"Beam Revised","")</f>
        <v>#N/A</v>
      </c>
      <c r="V1957" s="7" t="e">
        <f>IF(VLOOKUP($A1957,'Concrete Beam Schedule'!$A$2:$Q$2902,V$2,0)&lt;&gt;F1957,"Beam Revised","")</f>
        <v>#N/A</v>
      </c>
      <c r="W1957" s="7" t="e">
        <f>IF(VLOOKUP($A1957,'Concrete Beam Schedule'!$A$2:$Q$2902,W$2,0)&lt;&gt;G1957,"Beam Revised","")</f>
        <v>#N/A</v>
      </c>
      <c r="X1957" s="7" t="e">
        <f>IF(VLOOKUP($A1957,'Concrete Beam Schedule'!$A$2:$Q$2902,X$2,0)&lt;&gt;H1957,"Beam Revised","")</f>
        <v>#N/A</v>
      </c>
      <c r="Y1957" s="7" t="e">
        <f>IF(VLOOKUP($A1957,'Concrete Beam Schedule'!$A$2:$Q$2902,Y$2,0)&lt;&gt;I1957,"Beam Revised","")</f>
        <v>#N/A</v>
      </c>
      <c r="Z1957" s="7" t="e">
        <f>IF(VLOOKUP($A1957,'Concrete Beam Schedule'!$A$2:$Q$2902,Z$2,0)&lt;&gt;J1957,"Beam Revised","")</f>
        <v>#N/A</v>
      </c>
      <c r="AA1957" s="7" t="e">
        <f>IF(VLOOKUP($A1957,'Concrete Beam Schedule'!$A$2:$Q$2902,AA$2,0)&lt;&gt;K1957,"Beam Revised","")</f>
        <v>#N/A</v>
      </c>
      <c r="AB1957" s="7" t="e">
        <f>IF(VLOOKUP($A1957,'Concrete Beam Schedule'!$A$2:$Q$2902,AB$2,0)&lt;&gt;L1957,"Beam Revised","")</f>
        <v>#N/A</v>
      </c>
      <c r="AC1957" s="7" t="e">
        <f>IF(VLOOKUP($A1957,'Concrete Beam Schedule'!$A$2:$Q$2902,AC$2,0)&lt;&gt;M1957,"Beam Revised","")</f>
        <v>#N/A</v>
      </c>
      <c r="AD1957" s="7" t="e">
        <f>IF(VLOOKUP($A1957,'Concrete Beam Schedule'!$A$2:$Q$2902,AD$2,0)&lt;&gt;N1957,"Beam Revised","")</f>
        <v>#N/A</v>
      </c>
      <c r="AE1957" s="7" t="e">
        <f>IF(VLOOKUP($A1957,'Concrete Beam Schedule'!$A$2:$Q$2902,AE$2,0)&lt;&gt;O1957,"Beam Revised","")</f>
        <v>#N/A</v>
      </c>
    </row>
    <row r="1958" spans="17:31" ht="20.100000000000001" customHeight="1" x14ac:dyDescent="0.25">
      <c r="Q1958" s="7">
        <f t="shared" si="30"/>
        <v>0</v>
      </c>
      <c r="R1958" s="7" t="e">
        <f>IF(VLOOKUP($A1958,'Concrete Beam Schedule'!$A$2:$Q$2902,R$2,0)&lt;&gt;B1958,VLOOKUP($A1958,'Concrete Beam Schedule'!$A$2:$Q$2902,R$2,0),"")</f>
        <v>#N/A</v>
      </c>
      <c r="S1958" s="7" t="e">
        <f>IF(VLOOKUP($A1958,'Concrete Beam Schedule'!$A$2:$Q$2902,S$2,0)&lt;&gt;C1958,VLOOKUP($A1958,'Concrete Beam Schedule'!$A$2:$Q$2902,S$2,0),"")</f>
        <v>#N/A</v>
      </c>
      <c r="T1958" s="7" t="e">
        <f>IF(VLOOKUP($A1958,'Concrete Beam Schedule'!$A$2:$Q$2902,T$2,0)&lt;&gt;D1958,"Beam Revised","")</f>
        <v>#N/A</v>
      </c>
      <c r="U1958" s="7" t="e">
        <f>IF(VLOOKUP($A1958,'Concrete Beam Schedule'!$A$2:$Q$2902,U$2,0)&lt;&gt;E1958,"Beam Revised","")</f>
        <v>#N/A</v>
      </c>
      <c r="V1958" s="7" t="e">
        <f>IF(VLOOKUP($A1958,'Concrete Beam Schedule'!$A$2:$Q$2902,V$2,0)&lt;&gt;F1958,"Beam Revised","")</f>
        <v>#N/A</v>
      </c>
      <c r="W1958" s="7" t="e">
        <f>IF(VLOOKUP($A1958,'Concrete Beam Schedule'!$A$2:$Q$2902,W$2,0)&lt;&gt;G1958,"Beam Revised","")</f>
        <v>#N/A</v>
      </c>
      <c r="X1958" s="7" t="e">
        <f>IF(VLOOKUP($A1958,'Concrete Beam Schedule'!$A$2:$Q$2902,X$2,0)&lt;&gt;H1958,"Beam Revised","")</f>
        <v>#N/A</v>
      </c>
      <c r="Y1958" s="7" t="e">
        <f>IF(VLOOKUP($A1958,'Concrete Beam Schedule'!$A$2:$Q$2902,Y$2,0)&lt;&gt;I1958,"Beam Revised","")</f>
        <v>#N/A</v>
      </c>
      <c r="Z1958" s="7" t="e">
        <f>IF(VLOOKUP($A1958,'Concrete Beam Schedule'!$A$2:$Q$2902,Z$2,0)&lt;&gt;J1958,"Beam Revised","")</f>
        <v>#N/A</v>
      </c>
      <c r="AA1958" s="7" t="e">
        <f>IF(VLOOKUP($A1958,'Concrete Beam Schedule'!$A$2:$Q$2902,AA$2,0)&lt;&gt;K1958,"Beam Revised","")</f>
        <v>#N/A</v>
      </c>
      <c r="AB1958" s="7" t="e">
        <f>IF(VLOOKUP($A1958,'Concrete Beam Schedule'!$A$2:$Q$2902,AB$2,0)&lt;&gt;L1958,"Beam Revised","")</f>
        <v>#N/A</v>
      </c>
      <c r="AC1958" s="7" t="e">
        <f>IF(VLOOKUP($A1958,'Concrete Beam Schedule'!$A$2:$Q$2902,AC$2,0)&lt;&gt;M1958,"Beam Revised","")</f>
        <v>#N/A</v>
      </c>
      <c r="AD1958" s="7" t="e">
        <f>IF(VLOOKUP($A1958,'Concrete Beam Schedule'!$A$2:$Q$2902,AD$2,0)&lt;&gt;N1958,"Beam Revised","")</f>
        <v>#N/A</v>
      </c>
      <c r="AE1958" s="7" t="e">
        <f>IF(VLOOKUP($A1958,'Concrete Beam Schedule'!$A$2:$Q$2902,AE$2,0)&lt;&gt;O1958,"Beam Revised","")</f>
        <v>#N/A</v>
      </c>
    </row>
    <row r="1959" spans="17:31" ht="20.100000000000001" customHeight="1" x14ac:dyDescent="0.25">
      <c r="Q1959" s="7">
        <f t="shared" si="30"/>
        <v>0</v>
      </c>
      <c r="R1959" s="7" t="e">
        <f>IF(VLOOKUP($A1959,'Concrete Beam Schedule'!$A$2:$Q$2902,R$2,0)&lt;&gt;B1959,VLOOKUP($A1959,'Concrete Beam Schedule'!$A$2:$Q$2902,R$2,0),"")</f>
        <v>#N/A</v>
      </c>
      <c r="S1959" s="7" t="e">
        <f>IF(VLOOKUP($A1959,'Concrete Beam Schedule'!$A$2:$Q$2902,S$2,0)&lt;&gt;C1959,VLOOKUP($A1959,'Concrete Beam Schedule'!$A$2:$Q$2902,S$2,0),"")</f>
        <v>#N/A</v>
      </c>
      <c r="T1959" s="7" t="e">
        <f>IF(VLOOKUP($A1959,'Concrete Beam Schedule'!$A$2:$Q$2902,T$2,0)&lt;&gt;D1959,"Beam Revised","")</f>
        <v>#N/A</v>
      </c>
      <c r="U1959" s="7" t="e">
        <f>IF(VLOOKUP($A1959,'Concrete Beam Schedule'!$A$2:$Q$2902,U$2,0)&lt;&gt;E1959,"Beam Revised","")</f>
        <v>#N/A</v>
      </c>
      <c r="V1959" s="7" t="e">
        <f>IF(VLOOKUP($A1959,'Concrete Beam Schedule'!$A$2:$Q$2902,V$2,0)&lt;&gt;F1959,"Beam Revised","")</f>
        <v>#N/A</v>
      </c>
      <c r="W1959" s="7" t="e">
        <f>IF(VLOOKUP($A1959,'Concrete Beam Schedule'!$A$2:$Q$2902,W$2,0)&lt;&gt;G1959,"Beam Revised","")</f>
        <v>#N/A</v>
      </c>
      <c r="X1959" s="7" t="e">
        <f>IF(VLOOKUP($A1959,'Concrete Beam Schedule'!$A$2:$Q$2902,X$2,0)&lt;&gt;H1959,"Beam Revised","")</f>
        <v>#N/A</v>
      </c>
      <c r="Y1959" s="7" t="e">
        <f>IF(VLOOKUP($A1959,'Concrete Beam Schedule'!$A$2:$Q$2902,Y$2,0)&lt;&gt;I1959,"Beam Revised","")</f>
        <v>#N/A</v>
      </c>
      <c r="Z1959" s="7" t="e">
        <f>IF(VLOOKUP($A1959,'Concrete Beam Schedule'!$A$2:$Q$2902,Z$2,0)&lt;&gt;J1959,"Beam Revised","")</f>
        <v>#N/A</v>
      </c>
      <c r="AA1959" s="7" t="e">
        <f>IF(VLOOKUP($A1959,'Concrete Beam Schedule'!$A$2:$Q$2902,AA$2,0)&lt;&gt;K1959,"Beam Revised","")</f>
        <v>#N/A</v>
      </c>
      <c r="AB1959" s="7" t="e">
        <f>IF(VLOOKUP($A1959,'Concrete Beam Schedule'!$A$2:$Q$2902,AB$2,0)&lt;&gt;L1959,"Beam Revised","")</f>
        <v>#N/A</v>
      </c>
      <c r="AC1959" s="7" t="e">
        <f>IF(VLOOKUP($A1959,'Concrete Beam Schedule'!$A$2:$Q$2902,AC$2,0)&lt;&gt;M1959,"Beam Revised","")</f>
        <v>#N/A</v>
      </c>
      <c r="AD1959" s="7" t="e">
        <f>IF(VLOOKUP($A1959,'Concrete Beam Schedule'!$A$2:$Q$2902,AD$2,0)&lt;&gt;N1959,"Beam Revised","")</f>
        <v>#N/A</v>
      </c>
      <c r="AE1959" s="7" t="e">
        <f>IF(VLOOKUP($A1959,'Concrete Beam Schedule'!$A$2:$Q$2902,AE$2,0)&lt;&gt;O1959,"Beam Revised","")</f>
        <v>#N/A</v>
      </c>
    </row>
    <row r="1960" spans="17:31" ht="20.100000000000001" customHeight="1" x14ac:dyDescent="0.25">
      <c r="Q1960" s="7">
        <f t="shared" si="30"/>
        <v>0</v>
      </c>
      <c r="R1960" s="7" t="e">
        <f>IF(VLOOKUP($A1960,'Concrete Beam Schedule'!$A$2:$Q$2902,R$2,0)&lt;&gt;B1960,VLOOKUP($A1960,'Concrete Beam Schedule'!$A$2:$Q$2902,R$2,0),"")</f>
        <v>#N/A</v>
      </c>
      <c r="S1960" s="7" t="e">
        <f>IF(VLOOKUP($A1960,'Concrete Beam Schedule'!$A$2:$Q$2902,S$2,0)&lt;&gt;C1960,VLOOKUP($A1960,'Concrete Beam Schedule'!$A$2:$Q$2902,S$2,0),"")</f>
        <v>#N/A</v>
      </c>
      <c r="T1960" s="7" t="e">
        <f>IF(VLOOKUP($A1960,'Concrete Beam Schedule'!$A$2:$Q$2902,T$2,0)&lt;&gt;D1960,"Beam Revised","")</f>
        <v>#N/A</v>
      </c>
      <c r="U1960" s="7" t="e">
        <f>IF(VLOOKUP($A1960,'Concrete Beam Schedule'!$A$2:$Q$2902,U$2,0)&lt;&gt;E1960,"Beam Revised","")</f>
        <v>#N/A</v>
      </c>
      <c r="V1960" s="7" t="e">
        <f>IF(VLOOKUP($A1960,'Concrete Beam Schedule'!$A$2:$Q$2902,V$2,0)&lt;&gt;F1960,"Beam Revised","")</f>
        <v>#N/A</v>
      </c>
      <c r="W1960" s="7" t="e">
        <f>IF(VLOOKUP($A1960,'Concrete Beam Schedule'!$A$2:$Q$2902,W$2,0)&lt;&gt;G1960,"Beam Revised","")</f>
        <v>#N/A</v>
      </c>
      <c r="X1960" s="7" t="e">
        <f>IF(VLOOKUP($A1960,'Concrete Beam Schedule'!$A$2:$Q$2902,X$2,0)&lt;&gt;H1960,"Beam Revised","")</f>
        <v>#N/A</v>
      </c>
      <c r="Y1960" s="7" t="e">
        <f>IF(VLOOKUP($A1960,'Concrete Beam Schedule'!$A$2:$Q$2902,Y$2,0)&lt;&gt;I1960,"Beam Revised","")</f>
        <v>#N/A</v>
      </c>
      <c r="Z1960" s="7" t="e">
        <f>IF(VLOOKUP($A1960,'Concrete Beam Schedule'!$A$2:$Q$2902,Z$2,0)&lt;&gt;J1960,"Beam Revised","")</f>
        <v>#N/A</v>
      </c>
      <c r="AA1960" s="7" t="e">
        <f>IF(VLOOKUP($A1960,'Concrete Beam Schedule'!$A$2:$Q$2902,AA$2,0)&lt;&gt;K1960,"Beam Revised","")</f>
        <v>#N/A</v>
      </c>
      <c r="AB1960" s="7" t="e">
        <f>IF(VLOOKUP($A1960,'Concrete Beam Schedule'!$A$2:$Q$2902,AB$2,0)&lt;&gt;L1960,"Beam Revised","")</f>
        <v>#N/A</v>
      </c>
      <c r="AC1960" s="7" t="e">
        <f>IF(VLOOKUP($A1960,'Concrete Beam Schedule'!$A$2:$Q$2902,AC$2,0)&lt;&gt;M1960,"Beam Revised","")</f>
        <v>#N/A</v>
      </c>
      <c r="AD1960" s="7" t="e">
        <f>IF(VLOOKUP($A1960,'Concrete Beam Schedule'!$A$2:$Q$2902,AD$2,0)&lt;&gt;N1960,"Beam Revised","")</f>
        <v>#N/A</v>
      </c>
      <c r="AE1960" s="7" t="e">
        <f>IF(VLOOKUP($A1960,'Concrete Beam Schedule'!$A$2:$Q$2902,AE$2,0)&lt;&gt;O1960,"Beam Revised","")</f>
        <v>#N/A</v>
      </c>
    </row>
    <row r="1961" spans="17:31" ht="20.100000000000001" customHeight="1" x14ac:dyDescent="0.25">
      <c r="Q1961" s="7">
        <f t="shared" si="30"/>
        <v>0</v>
      </c>
      <c r="R1961" s="7" t="e">
        <f>IF(VLOOKUP($A1961,'Concrete Beam Schedule'!$A$2:$Q$2902,R$2,0)&lt;&gt;B1961,VLOOKUP($A1961,'Concrete Beam Schedule'!$A$2:$Q$2902,R$2,0),"")</f>
        <v>#N/A</v>
      </c>
      <c r="S1961" s="7" t="e">
        <f>IF(VLOOKUP($A1961,'Concrete Beam Schedule'!$A$2:$Q$2902,S$2,0)&lt;&gt;C1961,VLOOKUP($A1961,'Concrete Beam Schedule'!$A$2:$Q$2902,S$2,0),"")</f>
        <v>#N/A</v>
      </c>
      <c r="T1961" s="7" t="e">
        <f>IF(VLOOKUP($A1961,'Concrete Beam Schedule'!$A$2:$Q$2902,T$2,0)&lt;&gt;D1961,"Beam Revised","")</f>
        <v>#N/A</v>
      </c>
      <c r="U1961" s="7" t="e">
        <f>IF(VLOOKUP($A1961,'Concrete Beam Schedule'!$A$2:$Q$2902,U$2,0)&lt;&gt;E1961,"Beam Revised","")</f>
        <v>#N/A</v>
      </c>
      <c r="V1961" s="7" t="e">
        <f>IF(VLOOKUP($A1961,'Concrete Beam Schedule'!$A$2:$Q$2902,V$2,0)&lt;&gt;F1961,"Beam Revised","")</f>
        <v>#N/A</v>
      </c>
      <c r="W1961" s="7" t="e">
        <f>IF(VLOOKUP($A1961,'Concrete Beam Schedule'!$A$2:$Q$2902,W$2,0)&lt;&gt;G1961,"Beam Revised","")</f>
        <v>#N/A</v>
      </c>
      <c r="X1961" s="7" t="e">
        <f>IF(VLOOKUP($A1961,'Concrete Beam Schedule'!$A$2:$Q$2902,X$2,0)&lt;&gt;H1961,"Beam Revised","")</f>
        <v>#N/A</v>
      </c>
      <c r="Y1961" s="7" t="e">
        <f>IF(VLOOKUP($A1961,'Concrete Beam Schedule'!$A$2:$Q$2902,Y$2,0)&lt;&gt;I1961,"Beam Revised","")</f>
        <v>#N/A</v>
      </c>
      <c r="Z1961" s="7" t="e">
        <f>IF(VLOOKUP($A1961,'Concrete Beam Schedule'!$A$2:$Q$2902,Z$2,0)&lt;&gt;J1961,"Beam Revised","")</f>
        <v>#N/A</v>
      </c>
      <c r="AA1961" s="7" t="e">
        <f>IF(VLOOKUP($A1961,'Concrete Beam Schedule'!$A$2:$Q$2902,AA$2,0)&lt;&gt;K1961,"Beam Revised","")</f>
        <v>#N/A</v>
      </c>
      <c r="AB1961" s="7" t="e">
        <f>IF(VLOOKUP($A1961,'Concrete Beam Schedule'!$A$2:$Q$2902,AB$2,0)&lt;&gt;L1961,"Beam Revised","")</f>
        <v>#N/A</v>
      </c>
      <c r="AC1961" s="7" t="e">
        <f>IF(VLOOKUP($A1961,'Concrete Beam Schedule'!$A$2:$Q$2902,AC$2,0)&lt;&gt;M1961,"Beam Revised","")</f>
        <v>#N/A</v>
      </c>
      <c r="AD1961" s="7" t="e">
        <f>IF(VLOOKUP($A1961,'Concrete Beam Schedule'!$A$2:$Q$2902,AD$2,0)&lt;&gt;N1961,"Beam Revised","")</f>
        <v>#N/A</v>
      </c>
      <c r="AE1961" s="7" t="e">
        <f>IF(VLOOKUP($A1961,'Concrete Beam Schedule'!$A$2:$Q$2902,AE$2,0)&lt;&gt;O1961,"Beam Revised","")</f>
        <v>#N/A</v>
      </c>
    </row>
    <row r="1962" spans="17:31" ht="20.100000000000001" customHeight="1" x14ac:dyDescent="0.25">
      <c r="Q1962" s="7">
        <f t="shared" si="30"/>
        <v>0</v>
      </c>
      <c r="R1962" s="7" t="e">
        <f>IF(VLOOKUP($A1962,'Concrete Beam Schedule'!$A$2:$Q$2902,R$2,0)&lt;&gt;B1962,VLOOKUP($A1962,'Concrete Beam Schedule'!$A$2:$Q$2902,R$2,0),"")</f>
        <v>#N/A</v>
      </c>
      <c r="S1962" s="7" t="e">
        <f>IF(VLOOKUP($A1962,'Concrete Beam Schedule'!$A$2:$Q$2902,S$2,0)&lt;&gt;C1962,VLOOKUP($A1962,'Concrete Beam Schedule'!$A$2:$Q$2902,S$2,0),"")</f>
        <v>#N/A</v>
      </c>
      <c r="T1962" s="7" t="e">
        <f>IF(VLOOKUP($A1962,'Concrete Beam Schedule'!$A$2:$Q$2902,T$2,0)&lt;&gt;D1962,"Beam Revised","")</f>
        <v>#N/A</v>
      </c>
      <c r="U1962" s="7" t="e">
        <f>IF(VLOOKUP($A1962,'Concrete Beam Schedule'!$A$2:$Q$2902,U$2,0)&lt;&gt;E1962,"Beam Revised","")</f>
        <v>#N/A</v>
      </c>
      <c r="V1962" s="7" t="e">
        <f>IF(VLOOKUP($A1962,'Concrete Beam Schedule'!$A$2:$Q$2902,V$2,0)&lt;&gt;F1962,"Beam Revised","")</f>
        <v>#N/A</v>
      </c>
      <c r="W1962" s="7" t="e">
        <f>IF(VLOOKUP($A1962,'Concrete Beam Schedule'!$A$2:$Q$2902,W$2,0)&lt;&gt;G1962,"Beam Revised","")</f>
        <v>#N/A</v>
      </c>
      <c r="X1962" s="7" t="e">
        <f>IF(VLOOKUP($A1962,'Concrete Beam Schedule'!$A$2:$Q$2902,X$2,0)&lt;&gt;H1962,"Beam Revised","")</f>
        <v>#N/A</v>
      </c>
      <c r="Y1962" s="7" t="e">
        <f>IF(VLOOKUP($A1962,'Concrete Beam Schedule'!$A$2:$Q$2902,Y$2,0)&lt;&gt;I1962,"Beam Revised","")</f>
        <v>#N/A</v>
      </c>
      <c r="Z1962" s="7" t="e">
        <f>IF(VLOOKUP($A1962,'Concrete Beam Schedule'!$A$2:$Q$2902,Z$2,0)&lt;&gt;J1962,"Beam Revised","")</f>
        <v>#N/A</v>
      </c>
      <c r="AA1962" s="7" t="e">
        <f>IF(VLOOKUP($A1962,'Concrete Beam Schedule'!$A$2:$Q$2902,AA$2,0)&lt;&gt;K1962,"Beam Revised","")</f>
        <v>#N/A</v>
      </c>
      <c r="AB1962" s="7" t="e">
        <f>IF(VLOOKUP($A1962,'Concrete Beam Schedule'!$A$2:$Q$2902,AB$2,0)&lt;&gt;L1962,"Beam Revised","")</f>
        <v>#N/A</v>
      </c>
      <c r="AC1962" s="7" t="e">
        <f>IF(VLOOKUP($A1962,'Concrete Beam Schedule'!$A$2:$Q$2902,AC$2,0)&lt;&gt;M1962,"Beam Revised","")</f>
        <v>#N/A</v>
      </c>
      <c r="AD1962" s="7" t="e">
        <f>IF(VLOOKUP($A1962,'Concrete Beam Schedule'!$A$2:$Q$2902,AD$2,0)&lt;&gt;N1962,"Beam Revised","")</f>
        <v>#N/A</v>
      </c>
      <c r="AE1962" s="7" t="e">
        <f>IF(VLOOKUP($A1962,'Concrete Beam Schedule'!$A$2:$Q$2902,AE$2,0)&lt;&gt;O1962,"Beam Revised","")</f>
        <v>#N/A</v>
      </c>
    </row>
    <row r="1963" spans="17:31" ht="20.100000000000001" customHeight="1" x14ac:dyDescent="0.25">
      <c r="Q1963" s="7">
        <f t="shared" si="30"/>
        <v>0</v>
      </c>
      <c r="R1963" s="7" t="e">
        <f>IF(VLOOKUP($A1963,'Concrete Beam Schedule'!$A$2:$Q$2902,R$2,0)&lt;&gt;B1963,VLOOKUP($A1963,'Concrete Beam Schedule'!$A$2:$Q$2902,R$2,0),"")</f>
        <v>#N/A</v>
      </c>
      <c r="S1963" s="7" t="e">
        <f>IF(VLOOKUP($A1963,'Concrete Beam Schedule'!$A$2:$Q$2902,S$2,0)&lt;&gt;C1963,VLOOKUP($A1963,'Concrete Beam Schedule'!$A$2:$Q$2902,S$2,0),"")</f>
        <v>#N/A</v>
      </c>
      <c r="T1963" s="7" t="e">
        <f>IF(VLOOKUP($A1963,'Concrete Beam Schedule'!$A$2:$Q$2902,T$2,0)&lt;&gt;D1963,"Beam Revised","")</f>
        <v>#N/A</v>
      </c>
      <c r="U1963" s="7" t="e">
        <f>IF(VLOOKUP($A1963,'Concrete Beam Schedule'!$A$2:$Q$2902,U$2,0)&lt;&gt;E1963,"Beam Revised","")</f>
        <v>#N/A</v>
      </c>
      <c r="V1963" s="7" t="e">
        <f>IF(VLOOKUP($A1963,'Concrete Beam Schedule'!$A$2:$Q$2902,V$2,0)&lt;&gt;F1963,"Beam Revised","")</f>
        <v>#N/A</v>
      </c>
      <c r="W1963" s="7" t="e">
        <f>IF(VLOOKUP($A1963,'Concrete Beam Schedule'!$A$2:$Q$2902,W$2,0)&lt;&gt;G1963,"Beam Revised","")</f>
        <v>#N/A</v>
      </c>
      <c r="X1963" s="7" t="e">
        <f>IF(VLOOKUP($A1963,'Concrete Beam Schedule'!$A$2:$Q$2902,X$2,0)&lt;&gt;H1963,"Beam Revised","")</f>
        <v>#N/A</v>
      </c>
      <c r="Y1963" s="7" t="e">
        <f>IF(VLOOKUP($A1963,'Concrete Beam Schedule'!$A$2:$Q$2902,Y$2,0)&lt;&gt;I1963,"Beam Revised","")</f>
        <v>#N/A</v>
      </c>
      <c r="Z1963" s="7" t="e">
        <f>IF(VLOOKUP($A1963,'Concrete Beam Schedule'!$A$2:$Q$2902,Z$2,0)&lt;&gt;J1963,"Beam Revised","")</f>
        <v>#N/A</v>
      </c>
      <c r="AA1963" s="7" t="e">
        <f>IF(VLOOKUP($A1963,'Concrete Beam Schedule'!$A$2:$Q$2902,AA$2,0)&lt;&gt;K1963,"Beam Revised","")</f>
        <v>#N/A</v>
      </c>
      <c r="AB1963" s="7" t="e">
        <f>IF(VLOOKUP($A1963,'Concrete Beam Schedule'!$A$2:$Q$2902,AB$2,0)&lt;&gt;L1963,"Beam Revised","")</f>
        <v>#N/A</v>
      </c>
      <c r="AC1963" s="7" t="e">
        <f>IF(VLOOKUP($A1963,'Concrete Beam Schedule'!$A$2:$Q$2902,AC$2,0)&lt;&gt;M1963,"Beam Revised","")</f>
        <v>#N/A</v>
      </c>
      <c r="AD1963" s="7" t="e">
        <f>IF(VLOOKUP($A1963,'Concrete Beam Schedule'!$A$2:$Q$2902,AD$2,0)&lt;&gt;N1963,"Beam Revised","")</f>
        <v>#N/A</v>
      </c>
      <c r="AE1963" s="7" t="e">
        <f>IF(VLOOKUP($A1963,'Concrete Beam Schedule'!$A$2:$Q$2902,AE$2,0)&lt;&gt;O1963,"Beam Revised","")</f>
        <v>#N/A</v>
      </c>
    </row>
    <row r="1964" spans="17:31" ht="20.100000000000001" customHeight="1" x14ac:dyDescent="0.25">
      <c r="Q1964" s="7">
        <f t="shared" si="30"/>
        <v>0</v>
      </c>
      <c r="R1964" s="7" t="e">
        <f>IF(VLOOKUP($A1964,'Concrete Beam Schedule'!$A$2:$Q$2902,R$2,0)&lt;&gt;B1964,VLOOKUP($A1964,'Concrete Beam Schedule'!$A$2:$Q$2902,R$2,0),"")</f>
        <v>#N/A</v>
      </c>
      <c r="S1964" s="7" t="e">
        <f>IF(VLOOKUP($A1964,'Concrete Beam Schedule'!$A$2:$Q$2902,S$2,0)&lt;&gt;C1964,VLOOKUP($A1964,'Concrete Beam Schedule'!$A$2:$Q$2902,S$2,0),"")</f>
        <v>#N/A</v>
      </c>
      <c r="T1964" s="7" t="e">
        <f>IF(VLOOKUP($A1964,'Concrete Beam Schedule'!$A$2:$Q$2902,T$2,0)&lt;&gt;D1964,"Beam Revised","")</f>
        <v>#N/A</v>
      </c>
      <c r="U1964" s="7" t="e">
        <f>IF(VLOOKUP($A1964,'Concrete Beam Schedule'!$A$2:$Q$2902,U$2,0)&lt;&gt;E1964,"Beam Revised","")</f>
        <v>#N/A</v>
      </c>
      <c r="V1964" s="7" t="e">
        <f>IF(VLOOKUP($A1964,'Concrete Beam Schedule'!$A$2:$Q$2902,V$2,0)&lt;&gt;F1964,"Beam Revised","")</f>
        <v>#N/A</v>
      </c>
      <c r="W1964" s="7" t="e">
        <f>IF(VLOOKUP($A1964,'Concrete Beam Schedule'!$A$2:$Q$2902,W$2,0)&lt;&gt;G1964,"Beam Revised","")</f>
        <v>#N/A</v>
      </c>
      <c r="X1964" s="7" t="e">
        <f>IF(VLOOKUP($A1964,'Concrete Beam Schedule'!$A$2:$Q$2902,X$2,0)&lt;&gt;H1964,"Beam Revised","")</f>
        <v>#N/A</v>
      </c>
      <c r="Y1964" s="7" t="e">
        <f>IF(VLOOKUP($A1964,'Concrete Beam Schedule'!$A$2:$Q$2902,Y$2,0)&lt;&gt;I1964,"Beam Revised","")</f>
        <v>#N/A</v>
      </c>
      <c r="Z1964" s="7" t="e">
        <f>IF(VLOOKUP($A1964,'Concrete Beam Schedule'!$A$2:$Q$2902,Z$2,0)&lt;&gt;J1964,"Beam Revised","")</f>
        <v>#N/A</v>
      </c>
      <c r="AA1964" s="7" t="e">
        <f>IF(VLOOKUP($A1964,'Concrete Beam Schedule'!$A$2:$Q$2902,AA$2,0)&lt;&gt;K1964,"Beam Revised","")</f>
        <v>#N/A</v>
      </c>
      <c r="AB1964" s="7" t="e">
        <f>IF(VLOOKUP($A1964,'Concrete Beam Schedule'!$A$2:$Q$2902,AB$2,0)&lt;&gt;L1964,"Beam Revised","")</f>
        <v>#N/A</v>
      </c>
      <c r="AC1964" s="7" t="e">
        <f>IF(VLOOKUP($A1964,'Concrete Beam Schedule'!$A$2:$Q$2902,AC$2,0)&lt;&gt;M1964,"Beam Revised","")</f>
        <v>#N/A</v>
      </c>
      <c r="AD1964" s="7" t="e">
        <f>IF(VLOOKUP($A1964,'Concrete Beam Schedule'!$A$2:$Q$2902,AD$2,0)&lt;&gt;N1964,"Beam Revised","")</f>
        <v>#N/A</v>
      </c>
      <c r="AE1964" s="7" t="e">
        <f>IF(VLOOKUP($A1964,'Concrete Beam Schedule'!$A$2:$Q$2902,AE$2,0)&lt;&gt;O1964,"Beam Revised","")</f>
        <v>#N/A</v>
      </c>
    </row>
    <row r="1965" spans="17:31" ht="20.100000000000001" customHeight="1" x14ac:dyDescent="0.25">
      <c r="Q1965" s="7">
        <f t="shared" si="30"/>
        <v>0</v>
      </c>
      <c r="R1965" s="7" t="e">
        <f>IF(VLOOKUP($A1965,'Concrete Beam Schedule'!$A$2:$Q$2902,R$2,0)&lt;&gt;B1965,VLOOKUP($A1965,'Concrete Beam Schedule'!$A$2:$Q$2902,R$2,0),"")</f>
        <v>#N/A</v>
      </c>
      <c r="S1965" s="7" t="e">
        <f>IF(VLOOKUP($A1965,'Concrete Beam Schedule'!$A$2:$Q$2902,S$2,0)&lt;&gt;C1965,VLOOKUP($A1965,'Concrete Beam Schedule'!$A$2:$Q$2902,S$2,0),"")</f>
        <v>#N/A</v>
      </c>
      <c r="T1965" s="7" t="e">
        <f>IF(VLOOKUP($A1965,'Concrete Beam Schedule'!$A$2:$Q$2902,T$2,0)&lt;&gt;D1965,"Beam Revised","")</f>
        <v>#N/A</v>
      </c>
      <c r="U1965" s="7" t="e">
        <f>IF(VLOOKUP($A1965,'Concrete Beam Schedule'!$A$2:$Q$2902,U$2,0)&lt;&gt;E1965,"Beam Revised","")</f>
        <v>#N/A</v>
      </c>
      <c r="V1965" s="7" t="e">
        <f>IF(VLOOKUP($A1965,'Concrete Beam Schedule'!$A$2:$Q$2902,V$2,0)&lt;&gt;F1965,"Beam Revised","")</f>
        <v>#N/A</v>
      </c>
      <c r="W1965" s="7" t="e">
        <f>IF(VLOOKUP($A1965,'Concrete Beam Schedule'!$A$2:$Q$2902,W$2,0)&lt;&gt;G1965,"Beam Revised","")</f>
        <v>#N/A</v>
      </c>
      <c r="X1965" s="7" t="e">
        <f>IF(VLOOKUP($A1965,'Concrete Beam Schedule'!$A$2:$Q$2902,X$2,0)&lt;&gt;H1965,"Beam Revised","")</f>
        <v>#N/A</v>
      </c>
      <c r="Y1965" s="7" t="e">
        <f>IF(VLOOKUP($A1965,'Concrete Beam Schedule'!$A$2:$Q$2902,Y$2,0)&lt;&gt;I1965,"Beam Revised","")</f>
        <v>#N/A</v>
      </c>
      <c r="Z1965" s="7" t="e">
        <f>IF(VLOOKUP($A1965,'Concrete Beam Schedule'!$A$2:$Q$2902,Z$2,0)&lt;&gt;J1965,"Beam Revised","")</f>
        <v>#N/A</v>
      </c>
      <c r="AA1965" s="7" t="e">
        <f>IF(VLOOKUP($A1965,'Concrete Beam Schedule'!$A$2:$Q$2902,AA$2,0)&lt;&gt;K1965,"Beam Revised","")</f>
        <v>#N/A</v>
      </c>
      <c r="AB1965" s="7" t="e">
        <f>IF(VLOOKUP($A1965,'Concrete Beam Schedule'!$A$2:$Q$2902,AB$2,0)&lt;&gt;L1965,"Beam Revised","")</f>
        <v>#N/A</v>
      </c>
      <c r="AC1965" s="7" t="e">
        <f>IF(VLOOKUP($A1965,'Concrete Beam Schedule'!$A$2:$Q$2902,AC$2,0)&lt;&gt;M1965,"Beam Revised","")</f>
        <v>#N/A</v>
      </c>
      <c r="AD1965" s="7" t="e">
        <f>IF(VLOOKUP($A1965,'Concrete Beam Schedule'!$A$2:$Q$2902,AD$2,0)&lt;&gt;N1965,"Beam Revised","")</f>
        <v>#N/A</v>
      </c>
      <c r="AE1965" s="7" t="e">
        <f>IF(VLOOKUP($A1965,'Concrete Beam Schedule'!$A$2:$Q$2902,AE$2,0)&lt;&gt;O1965,"Beam Revised","")</f>
        <v>#N/A</v>
      </c>
    </row>
    <row r="1966" spans="17:31" ht="20.100000000000001" customHeight="1" x14ac:dyDescent="0.25">
      <c r="Q1966" s="7">
        <f t="shared" si="30"/>
        <v>0</v>
      </c>
      <c r="R1966" s="7" t="e">
        <f>IF(VLOOKUP($A1966,'Concrete Beam Schedule'!$A$2:$Q$2902,R$2,0)&lt;&gt;B1966,VLOOKUP($A1966,'Concrete Beam Schedule'!$A$2:$Q$2902,R$2,0),"")</f>
        <v>#N/A</v>
      </c>
      <c r="S1966" s="7" t="e">
        <f>IF(VLOOKUP($A1966,'Concrete Beam Schedule'!$A$2:$Q$2902,S$2,0)&lt;&gt;C1966,VLOOKUP($A1966,'Concrete Beam Schedule'!$A$2:$Q$2902,S$2,0),"")</f>
        <v>#N/A</v>
      </c>
      <c r="T1966" s="7" t="e">
        <f>IF(VLOOKUP($A1966,'Concrete Beam Schedule'!$A$2:$Q$2902,T$2,0)&lt;&gt;D1966,"Beam Revised","")</f>
        <v>#N/A</v>
      </c>
      <c r="U1966" s="7" t="e">
        <f>IF(VLOOKUP($A1966,'Concrete Beam Schedule'!$A$2:$Q$2902,U$2,0)&lt;&gt;E1966,"Beam Revised","")</f>
        <v>#N/A</v>
      </c>
      <c r="V1966" s="7" t="e">
        <f>IF(VLOOKUP($A1966,'Concrete Beam Schedule'!$A$2:$Q$2902,V$2,0)&lt;&gt;F1966,"Beam Revised","")</f>
        <v>#N/A</v>
      </c>
      <c r="W1966" s="7" t="e">
        <f>IF(VLOOKUP($A1966,'Concrete Beam Schedule'!$A$2:$Q$2902,W$2,0)&lt;&gt;G1966,"Beam Revised","")</f>
        <v>#N/A</v>
      </c>
      <c r="X1966" s="7" t="e">
        <f>IF(VLOOKUP($A1966,'Concrete Beam Schedule'!$A$2:$Q$2902,X$2,0)&lt;&gt;H1966,"Beam Revised","")</f>
        <v>#N/A</v>
      </c>
      <c r="Y1966" s="7" t="e">
        <f>IF(VLOOKUP($A1966,'Concrete Beam Schedule'!$A$2:$Q$2902,Y$2,0)&lt;&gt;I1966,"Beam Revised","")</f>
        <v>#N/A</v>
      </c>
      <c r="Z1966" s="7" t="e">
        <f>IF(VLOOKUP($A1966,'Concrete Beam Schedule'!$A$2:$Q$2902,Z$2,0)&lt;&gt;J1966,"Beam Revised","")</f>
        <v>#N/A</v>
      </c>
      <c r="AA1966" s="7" t="e">
        <f>IF(VLOOKUP($A1966,'Concrete Beam Schedule'!$A$2:$Q$2902,AA$2,0)&lt;&gt;K1966,"Beam Revised","")</f>
        <v>#N/A</v>
      </c>
      <c r="AB1966" s="7" t="e">
        <f>IF(VLOOKUP($A1966,'Concrete Beam Schedule'!$A$2:$Q$2902,AB$2,0)&lt;&gt;L1966,"Beam Revised","")</f>
        <v>#N/A</v>
      </c>
      <c r="AC1966" s="7" t="e">
        <f>IF(VLOOKUP($A1966,'Concrete Beam Schedule'!$A$2:$Q$2902,AC$2,0)&lt;&gt;M1966,"Beam Revised","")</f>
        <v>#N/A</v>
      </c>
      <c r="AD1966" s="7" t="e">
        <f>IF(VLOOKUP($A1966,'Concrete Beam Schedule'!$A$2:$Q$2902,AD$2,0)&lt;&gt;N1966,"Beam Revised","")</f>
        <v>#N/A</v>
      </c>
      <c r="AE1966" s="7" t="e">
        <f>IF(VLOOKUP($A1966,'Concrete Beam Schedule'!$A$2:$Q$2902,AE$2,0)&lt;&gt;O1966,"Beam Revised","")</f>
        <v>#N/A</v>
      </c>
    </row>
    <row r="1967" spans="17:31" ht="20.100000000000001" customHeight="1" x14ac:dyDescent="0.25">
      <c r="Q1967" s="7">
        <f t="shared" si="30"/>
        <v>0</v>
      </c>
      <c r="R1967" s="7" t="e">
        <f>IF(VLOOKUP($A1967,'Concrete Beam Schedule'!$A$2:$Q$2902,R$2,0)&lt;&gt;B1967,VLOOKUP($A1967,'Concrete Beam Schedule'!$A$2:$Q$2902,R$2,0),"")</f>
        <v>#N/A</v>
      </c>
      <c r="S1967" s="7" t="e">
        <f>IF(VLOOKUP($A1967,'Concrete Beam Schedule'!$A$2:$Q$2902,S$2,0)&lt;&gt;C1967,VLOOKUP($A1967,'Concrete Beam Schedule'!$A$2:$Q$2902,S$2,0),"")</f>
        <v>#N/A</v>
      </c>
      <c r="T1967" s="7" t="e">
        <f>IF(VLOOKUP($A1967,'Concrete Beam Schedule'!$A$2:$Q$2902,T$2,0)&lt;&gt;D1967,"Beam Revised","")</f>
        <v>#N/A</v>
      </c>
      <c r="U1967" s="7" t="e">
        <f>IF(VLOOKUP($A1967,'Concrete Beam Schedule'!$A$2:$Q$2902,U$2,0)&lt;&gt;E1967,"Beam Revised","")</f>
        <v>#N/A</v>
      </c>
      <c r="V1967" s="7" t="e">
        <f>IF(VLOOKUP($A1967,'Concrete Beam Schedule'!$A$2:$Q$2902,V$2,0)&lt;&gt;F1967,"Beam Revised","")</f>
        <v>#N/A</v>
      </c>
      <c r="W1967" s="7" t="e">
        <f>IF(VLOOKUP($A1967,'Concrete Beam Schedule'!$A$2:$Q$2902,W$2,0)&lt;&gt;G1967,"Beam Revised","")</f>
        <v>#N/A</v>
      </c>
      <c r="X1967" s="7" t="e">
        <f>IF(VLOOKUP($A1967,'Concrete Beam Schedule'!$A$2:$Q$2902,X$2,0)&lt;&gt;H1967,"Beam Revised","")</f>
        <v>#N/A</v>
      </c>
      <c r="Y1967" s="7" t="e">
        <f>IF(VLOOKUP($A1967,'Concrete Beam Schedule'!$A$2:$Q$2902,Y$2,0)&lt;&gt;I1967,"Beam Revised","")</f>
        <v>#N/A</v>
      </c>
      <c r="Z1967" s="7" t="e">
        <f>IF(VLOOKUP($A1967,'Concrete Beam Schedule'!$A$2:$Q$2902,Z$2,0)&lt;&gt;J1967,"Beam Revised","")</f>
        <v>#N/A</v>
      </c>
      <c r="AA1967" s="7" t="e">
        <f>IF(VLOOKUP($A1967,'Concrete Beam Schedule'!$A$2:$Q$2902,AA$2,0)&lt;&gt;K1967,"Beam Revised","")</f>
        <v>#N/A</v>
      </c>
      <c r="AB1967" s="7" t="e">
        <f>IF(VLOOKUP($A1967,'Concrete Beam Schedule'!$A$2:$Q$2902,AB$2,0)&lt;&gt;L1967,"Beam Revised","")</f>
        <v>#N/A</v>
      </c>
      <c r="AC1967" s="7" t="e">
        <f>IF(VLOOKUP($A1967,'Concrete Beam Schedule'!$A$2:$Q$2902,AC$2,0)&lt;&gt;M1967,"Beam Revised","")</f>
        <v>#N/A</v>
      </c>
      <c r="AD1967" s="7" t="e">
        <f>IF(VLOOKUP($A1967,'Concrete Beam Schedule'!$A$2:$Q$2902,AD$2,0)&lt;&gt;N1967,"Beam Revised","")</f>
        <v>#N/A</v>
      </c>
      <c r="AE1967" s="7" t="e">
        <f>IF(VLOOKUP($A1967,'Concrete Beam Schedule'!$A$2:$Q$2902,AE$2,0)&lt;&gt;O1967,"Beam Revised","")</f>
        <v>#N/A</v>
      </c>
    </row>
    <row r="1968" spans="17:31" ht="20.100000000000001" customHeight="1" x14ac:dyDescent="0.25">
      <c r="Q1968" s="7">
        <f t="shared" si="30"/>
        <v>0</v>
      </c>
      <c r="R1968" s="7" t="e">
        <f>IF(VLOOKUP($A1968,'Concrete Beam Schedule'!$A$2:$Q$2902,R$2,0)&lt;&gt;B1968,VLOOKUP($A1968,'Concrete Beam Schedule'!$A$2:$Q$2902,R$2,0),"")</f>
        <v>#N/A</v>
      </c>
      <c r="S1968" s="7" t="e">
        <f>IF(VLOOKUP($A1968,'Concrete Beam Schedule'!$A$2:$Q$2902,S$2,0)&lt;&gt;C1968,VLOOKUP($A1968,'Concrete Beam Schedule'!$A$2:$Q$2902,S$2,0),"")</f>
        <v>#N/A</v>
      </c>
      <c r="T1968" s="7" t="e">
        <f>IF(VLOOKUP($A1968,'Concrete Beam Schedule'!$A$2:$Q$2902,T$2,0)&lt;&gt;D1968,"Beam Revised","")</f>
        <v>#N/A</v>
      </c>
      <c r="U1968" s="7" t="e">
        <f>IF(VLOOKUP($A1968,'Concrete Beam Schedule'!$A$2:$Q$2902,U$2,0)&lt;&gt;E1968,"Beam Revised","")</f>
        <v>#N/A</v>
      </c>
      <c r="V1968" s="7" t="e">
        <f>IF(VLOOKUP($A1968,'Concrete Beam Schedule'!$A$2:$Q$2902,V$2,0)&lt;&gt;F1968,"Beam Revised","")</f>
        <v>#N/A</v>
      </c>
      <c r="W1968" s="7" t="e">
        <f>IF(VLOOKUP($A1968,'Concrete Beam Schedule'!$A$2:$Q$2902,W$2,0)&lt;&gt;G1968,"Beam Revised","")</f>
        <v>#N/A</v>
      </c>
      <c r="X1968" s="7" t="e">
        <f>IF(VLOOKUP($A1968,'Concrete Beam Schedule'!$A$2:$Q$2902,X$2,0)&lt;&gt;H1968,"Beam Revised","")</f>
        <v>#N/A</v>
      </c>
      <c r="Y1968" s="7" t="e">
        <f>IF(VLOOKUP($A1968,'Concrete Beam Schedule'!$A$2:$Q$2902,Y$2,0)&lt;&gt;I1968,"Beam Revised","")</f>
        <v>#N/A</v>
      </c>
      <c r="Z1968" s="7" t="e">
        <f>IF(VLOOKUP($A1968,'Concrete Beam Schedule'!$A$2:$Q$2902,Z$2,0)&lt;&gt;J1968,"Beam Revised","")</f>
        <v>#N/A</v>
      </c>
      <c r="AA1968" s="7" t="e">
        <f>IF(VLOOKUP($A1968,'Concrete Beam Schedule'!$A$2:$Q$2902,AA$2,0)&lt;&gt;K1968,"Beam Revised","")</f>
        <v>#N/A</v>
      </c>
      <c r="AB1968" s="7" t="e">
        <f>IF(VLOOKUP($A1968,'Concrete Beam Schedule'!$A$2:$Q$2902,AB$2,0)&lt;&gt;L1968,"Beam Revised","")</f>
        <v>#N/A</v>
      </c>
      <c r="AC1968" s="7" t="e">
        <f>IF(VLOOKUP($A1968,'Concrete Beam Schedule'!$A$2:$Q$2902,AC$2,0)&lt;&gt;M1968,"Beam Revised","")</f>
        <v>#N/A</v>
      </c>
      <c r="AD1968" s="7" t="e">
        <f>IF(VLOOKUP($A1968,'Concrete Beam Schedule'!$A$2:$Q$2902,AD$2,0)&lt;&gt;N1968,"Beam Revised","")</f>
        <v>#N/A</v>
      </c>
      <c r="AE1968" s="7" t="e">
        <f>IF(VLOOKUP($A1968,'Concrete Beam Schedule'!$A$2:$Q$2902,AE$2,0)&lt;&gt;O1968,"Beam Revised","")</f>
        <v>#N/A</v>
      </c>
    </row>
    <row r="1969" spans="17:31" ht="20.100000000000001" customHeight="1" x14ac:dyDescent="0.25">
      <c r="Q1969" s="7">
        <f t="shared" si="30"/>
        <v>0</v>
      </c>
      <c r="R1969" s="7" t="e">
        <f>IF(VLOOKUP($A1969,'Concrete Beam Schedule'!$A$2:$Q$2902,R$2,0)&lt;&gt;B1969,VLOOKUP($A1969,'Concrete Beam Schedule'!$A$2:$Q$2902,R$2,0),"")</f>
        <v>#N/A</v>
      </c>
      <c r="S1969" s="7" t="e">
        <f>IF(VLOOKUP($A1969,'Concrete Beam Schedule'!$A$2:$Q$2902,S$2,0)&lt;&gt;C1969,VLOOKUP($A1969,'Concrete Beam Schedule'!$A$2:$Q$2902,S$2,0),"")</f>
        <v>#N/A</v>
      </c>
      <c r="T1969" s="7" t="e">
        <f>IF(VLOOKUP($A1969,'Concrete Beam Schedule'!$A$2:$Q$2902,T$2,0)&lt;&gt;D1969,"Beam Revised","")</f>
        <v>#N/A</v>
      </c>
      <c r="U1969" s="7" t="e">
        <f>IF(VLOOKUP($A1969,'Concrete Beam Schedule'!$A$2:$Q$2902,U$2,0)&lt;&gt;E1969,"Beam Revised","")</f>
        <v>#N/A</v>
      </c>
      <c r="V1969" s="7" t="e">
        <f>IF(VLOOKUP($A1969,'Concrete Beam Schedule'!$A$2:$Q$2902,V$2,0)&lt;&gt;F1969,"Beam Revised","")</f>
        <v>#N/A</v>
      </c>
      <c r="W1969" s="7" t="e">
        <f>IF(VLOOKUP($A1969,'Concrete Beam Schedule'!$A$2:$Q$2902,W$2,0)&lt;&gt;G1969,"Beam Revised","")</f>
        <v>#N/A</v>
      </c>
      <c r="X1969" s="7" t="e">
        <f>IF(VLOOKUP($A1969,'Concrete Beam Schedule'!$A$2:$Q$2902,X$2,0)&lt;&gt;H1969,"Beam Revised","")</f>
        <v>#N/A</v>
      </c>
      <c r="Y1969" s="7" t="e">
        <f>IF(VLOOKUP($A1969,'Concrete Beam Schedule'!$A$2:$Q$2902,Y$2,0)&lt;&gt;I1969,"Beam Revised","")</f>
        <v>#N/A</v>
      </c>
      <c r="Z1969" s="7" t="e">
        <f>IF(VLOOKUP($A1969,'Concrete Beam Schedule'!$A$2:$Q$2902,Z$2,0)&lt;&gt;J1969,"Beam Revised","")</f>
        <v>#N/A</v>
      </c>
      <c r="AA1969" s="7" t="e">
        <f>IF(VLOOKUP($A1969,'Concrete Beam Schedule'!$A$2:$Q$2902,AA$2,0)&lt;&gt;K1969,"Beam Revised","")</f>
        <v>#N/A</v>
      </c>
      <c r="AB1969" s="7" t="e">
        <f>IF(VLOOKUP($A1969,'Concrete Beam Schedule'!$A$2:$Q$2902,AB$2,0)&lt;&gt;L1969,"Beam Revised","")</f>
        <v>#N/A</v>
      </c>
      <c r="AC1969" s="7" t="e">
        <f>IF(VLOOKUP($A1969,'Concrete Beam Schedule'!$A$2:$Q$2902,AC$2,0)&lt;&gt;M1969,"Beam Revised","")</f>
        <v>#N/A</v>
      </c>
      <c r="AD1969" s="7" t="e">
        <f>IF(VLOOKUP($A1969,'Concrete Beam Schedule'!$A$2:$Q$2902,AD$2,0)&lt;&gt;N1969,"Beam Revised","")</f>
        <v>#N/A</v>
      </c>
      <c r="AE1969" s="7" t="e">
        <f>IF(VLOOKUP($A1969,'Concrete Beam Schedule'!$A$2:$Q$2902,AE$2,0)&lt;&gt;O1969,"Beam Revised","")</f>
        <v>#N/A</v>
      </c>
    </row>
    <row r="1970" spans="17:31" ht="20.100000000000001" customHeight="1" x14ac:dyDescent="0.25">
      <c r="Q1970" s="7">
        <f t="shared" si="30"/>
        <v>0</v>
      </c>
      <c r="R1970" s="7" t="e">
        <f>IF(VLOOKUP($A1970,'Concrete Beam Schedule'!$A$2:$Q$2902,R$2,0)&lt;&gt;B1970,VLOOKUP($A1970,'Concrete Beam Schedule'!$A$2:$Q$2902,R$2,0),"")</f>
        <v>#N/A</v>
      </c>
      <c r="S1970" s="7" t="e">
        <f>IF(VLOOKUP($A1970,'Concrete Beam Schedule'!$A$2:$Q$2902,S$2,0)&lt;&gt;C1970,VLOOKUP($A1970,'Concrete Beam Schedule'!$A$2:$Q$2902,S$2,0),"")</f>
        <v>#N/A</v>
      </c>
      <c r="T1970" s="7" t="e">
        <f>IF(VLOOKUP($A1970,'Concrete Beam Schedule'!$A$2:$Q$2902,T$2,0)&lt;&gt;D1970,"Beam Revised","")</f>
        <v>#N/A</v>
      </c>
      <c r="U1970" s="7" t="e">
        <f>IF(VLOOKUP($A1970,'Concrete Beam Schedule'!$A$2:$Q$2902,U$2,0)&lt;&gt;E1970,"Beam Revised","")</f>
        <v>#N/A</v>
      </c>
      <c r="V1970" s="7" t="e">
        <f>IF(VLOOKUP($A1970,'Concrete Beam Schedule'!$A$2:$Q$2902,V$2,0)&lt;&gt;F1970,"Beam Revised","")</f>
        <v>#N/A</v>
      </c>
      <c r="W1970" s="7" t="e">
        <f>IF(VLOOKUP($A1970,'Concrete Beam Schedule'!$A$2:$Q$2902,W$2,0)&lt;&gt;G1970,"Beam Revised","")</f>
        <v>#N/A</v>
      </c>
      <c r="X1970" s="7" t="e">
        <f>IF(VLOOKUP($A1970,'Concrete Beam Schedule'!$A$2:$Q$2902,X$2,0)&lt;&gt;H1970,"Beam Revised","")</f>
        <v>#N/A</v>
      </c>
      <c r="Y1970" s="7" t="e">
        <f>IF(VLOOKUP($A1970,'Concrete Beam Schedule'!$A$2:$Q$2902,Y$2,0)&lt;&gt;I1970,"Beam Revised","")</f>
        <v>#N/A</v>
      </c>
      <c r="Z1970" s="7" t="e">
        <f>IF(VLOOKUP($A1970,'Concrete Beam Schedule'!$A$2:$Q$2902,Z$2,0)&lt;&gt;J1970,"Beam Revised","")</f>
        <v>#N/A</v>
      </c>
      <c r="AA1970" s="7" t="e">
        <f>IF(VLOOKUP($A1970,'Concrete Beam Schedule'!$A$2:$Q$2902,AA$2,0)&lt;&gt;K1970,"Beam Revised","")</f>
        <v>#N/A</v>
      </c>
      <c r="AB1970" s="7" t="e">
        <f>IF(VLOOKUP($A1970,'Concrete Beam Schedule'!$A$2:$Q$2902,AB$2,0)&lt;&gt;L1970,"Beam Revised","")</f>
        <v>#N/A</v>
      </c>
      <c r="AC1970" s="7" t="e">
        <f>IF(VLOOKUP($A1970,'Concrete Beam Schedule'!$A$2:$Q$2902,AC$2,0)&lt;&gt;M1970,"Beam Revised","")</f>
        <v>#N/A</v>
      </c>
      <c r="AD1970" s="7" t="e">
        <f>IF(VLOOKUP($A1970,'Concrete Beam Schedule'!$A$2:$Q$2902,AD$2,0)&lt;&gt;N1970,"Beam Revised","")</f>
        <v>#N/A</v>
      </c>
      <c r="AE1970" s="7" t="e">
        <f>IF(VLOOKUP($A1970,'Concrete Beam Schedule'!$A$2:$Q$2902,AE$2,0)&lt;&gt;O1970,"Beam Revised","")</f>
        <v>#N/A</v>
      </c>
    </row>
    <row r="1971" spans="17:31" ht="20.100000000000001" customHeight="1" x14ac:dyDescent="0.25">
      <c r="Q1971" s="7">
        <f t="shared" si="30"/>
        <v>0</v>
      </c>
      <c r="R1971" s="7" t="e">
        <f>IF(VLOOKUP($A1971,'Concrete Beam Schedule'!$A$2:$Q$2902,R$2,0)&lt;&gt;B1971,VLOOKUP($A1971,'Concrete Beam Schedule'!$A$2:$Q$2902,R$2,0),"")</f>
        <v>#N/A</v>
      </c>
      <c r="S1971" s="7" t="e">
        <f>IF(VLOOKUP($A1971,'Concrete Beam Schedule'!$A$2:$Q$2902,S$2,0)&lt;&gt;C1971,VLOOKUP($A1971,'Concrete Beam Schedule'!$A$2:$Q$2902,S$2,0),"")</f>
        <v>#N/A</v>
      </c>
      <c r="T1971" s="7" t="e">
        <f>IF(VLOOKUP($A1971,'Concrete Beam Schedule'!$A$2:$Q$2902,T$2,0)&lt;&gt;D1971,"Beam Revised","")</f>
        <v>#N/A</v>
      </c>
      <c r="U1971" s="7" t="e">
        <f>IF(VLOOKUP($A1971,'Concrete Beam Schedule'!$A$2:$Q$2902,U$2,0)&lt;&gt;E1971,"Beam Revised","")</f>
        <v>#N/A</v>
      </c>
      <c r="V1971" s="7" t="e">
        <f>IF(VLOOKUP($A1971,'Concrete Beam Schedule'!$A$2:$Q$2902,V$2,0)&lt;&gt;F1971,"Beam Revised","")</f>
        <v>#N/A</v>
      </c>
      <c r="W1971" s="7" t="e">
        <f>IF(VLOOKUP($A1971,'Concrete Beam Schedule'!$A$2:$Q$2902,W$2,0)&lt;&gt;G1971,"Beam Revised","")</f>
        <v>#N/A</v>
      </c>
      <c r="X1971" s="7" t="e">
        <f>IF(VLOOKUP($A1971,'Concrete Beam Schedule'!$A$2:$Q$2902,X$2,0)&lt;&gt;H1971,"Beam Revised","")</f>
        <v>#N/A</v>
      </c>
      <c r="Y1971" s="7" t="e">
        <f>IF(VLOOKUP($A1971,'Concrete Beam Schedule'!$A$2:$Q$2902,Y$2,0)&lt;&gt;I1971,"Beam Revised","")</f>
        <v>#N/A</v>
      </c>
      <c r="Z1971" s="7" t="e">
        <f>IF(VLOOKUP($A1971,'Concrete Beam Schedule'!$A$2:$Q$2902,Z$2,0)&lt;&gt;J1971,"Beam Revised","")</f>
        <v>#N/A</v>
      </c>
      <c r="AA1971" s="7" t="e">
        <f>IF(VLOOKUP($A1971,'Concrete Beam Schedule'!$A$2:$Q$2902,AA$2,0)&lt;&gt;K1971,"Beam Revised","")</f>
        <v>#N/A</v>
      </c>
      <c r="AB1971" s="7" t="e">
        <f>IF(VLOOKUP($A1971,'Concrete Beam Schedule'!$A$2:$Q$2902,AB$2,0)&lt;&gt;L1971,"Beam Revised","")</f>
        <v>#N/A</v>
      </c>
      <c r="AC1971" s="7" t="e">
        <f>IF(VLOOKUP($A1971,'Concrete Beam Schedule'!$A$2:$Q$2902,AC$2,0)&lt;&gt;M1971,"Beam Revised","")</f>
        <v>#N/A</v>
      </c>
      <c r="AD1971" s="7" t="e">
        <f>IF(VLOOKUP($A1971,'Concrete Beam Schedule'!$A$2:$Q$2902,AD$2,0)&lt;&gt;N1971,"Beam Revised","")</f>
        <v>#N/A</v>
      </c>
      <c r="AE1971" s="7" t="e">
        <f>IF(VLOOKUP($A1971,'Concrete Beam Schedule'!$A$2:$Q$2902,AE$2,0)&lt;&gt;O1971,"Beam Revised","")</f>
        <v>#N/A</v>
      </c>
    </row>
    <row r="1972" spans="17:31" ht="20.100000000000001" customHeight="1" x14ac:dyDescent="0.25">
      <c r="Q1972" s="7">
        <f t="shared" si="30"/>
        <v>0</v>
      </c>
      <c r="R1972" s="7" t="e">
        <f>IF(VLOOKUP($A1972,'Concrete Beam Schedule'!$A$2:$Q$2902,R$2,0)&lt;&gt;B1972,VLOOKUP($A1972,'Concrete Beam Schedule'!$A$2:$Q$2902,R$2,0),"")</f>
        <v>#N/A</v>
      </c>
      <c r="S1972" s="7" t="e">
        <f>IF(VLOOKUP($A1972,'Concrete Beam Schedule'!$A$2:$Q$2902,S$2,0)&lt;&gt;C1972,VLOOKUP($A1972,'Concrete Beam Schedule'!$A$2:$Q$2902,S$2,0),"")</f>
        <v>#N/A</v>
      </c>
      <c r="T1972" s="7" t="e">
        <f>IF(VLOOKUP($A1972,'Concrete Beam Schedule'!$A$2:$Q$2902,T$2,0)&lt;&gt;D1972,"Beam Revised","")</f>
        <v>#N/A</v>
      </c>
      <c r="U1972" s="7" t="e">
        <f>IF(VLOOKUP($A1972,'Concrete Beam Schedule'!$A$2:$Q$2902,U$2,0)&lt;&gt;E1972,"Beam Revised","")</f>
        <v>#N/A</v>
      </c>
      <c r="V1972" s="7" t="e">
        <f>IF(VLOOKUP($A1972,'Concrete Beam Schedule'!$A$2:$Q$2902,V$2,0)&lt;&gt;F1972,"Beam Revised","")</f>
        <v>#N/A</v>
      </c>
      <c r="W1972" s="7" t="e">
        <f>IF(VLOOKUP($A1972,'Concrete Beam Schedule'!$A$2:$Q$2902,W$2,0)&lt;&gt;G1972,"Beam Revised","")</f>
        <v>#N/A</v>
      </c>
      <c r="X1972" s="7" t="e">
        <f>IF(VLOOKUP($A1972,'Concrete Beam Schedule'!$A$2:$Q$2902,X$2,0)&lt;&gt;H1972,"Beam Revised","")</f>
        <v>#N/A</v>
      </c>
      <c r="Y1972" s="7" t="e">
        <f>IF(VLOOKUP($A1972,'Concrete Beam Schedule'!$A$2:$Q$2902,Y$2,0)&lt;&gt;I1972,"Beam Revised","")</f>
        <v>#N/A</v>
      </c>
      <c r="Z1972" s="7" t="e">
        <f>IF(VLOOKUP($A1972,'Concrete Beam Schedule'!$A$2:$Q$2902,Z$2,0)&lt;&gt;J1972,"Beam Revised","")</f>
        <v>#N/A</v>
      </c>
      <c r="AA1972" s="7" t="e">
        <f>IF(VLOOKUP($A1972,'Concrete Beam Schedule'!$A$2:$Q$2902,AA$2,0)&lt;&gt;K1972,"Beam Revised","")</f>
        <v>#N/A</v>
      </c>
      <c r="AB1972" s="7" t="e">
        <f>IF(VLOOKUP($A1972,'Concrete Beam Schedule'!$A$2:$Q$2902,AB$2,0)&lt;&gt;L1972,"Beam Revised","")</f>
        <v>#N/A</v>
      </c>
      <c r="AC1972" s="7" t="e">
        <f>IF(VLOOKUP($A1972,'Concrete Beam Schedule'!$A$2:$Q$2902,AC$2,0)&lt;&gt;M1972,"Beam Revised","")</f>
        <v>#N/A</v>
      </c>
      <c r="AD1972" s="7" t="e">
        <f>IF(VLOOKUP($A1972,'Concrete Beam Schedule'!$A$2:$Q$2902,AD$2,0)&lt;&gt;N1972,"Beam Revised","")</f>
        <v>#N/A</v>
      </c>
      <c r="AE1972" s="7" t="e">
        <f>IF(VLOOKUP($A1972,'Concrete Beam Schedule'!$A$2:$Q$2902,AE$2,0)&lt;&gt;O1972,"Beam Revised","")</f>
        <v>#N/A</v>
      </c>
    </row>
    <row r="1973" spans="17:31" ht="20.100000000000001" customHeight="1" x14ac:dyDescent="0.25">
      <c r="Q1973" s="7">
        <f t="shared" si="30"/>
        <v>0</v>
      </c>
      <c r="R1973" s="7" t="e">
        <f>IF(VLOOKUP($A1973,'Concrete Beam Schedule'!$A$2:$Q$2902,R$2,0)&lt;&gt;B1973,VLOOKUP($A1973,'Concrete Beam Schedule'!$A$2:$Q$2902,R$2,0),"")</f>
        <v>#N/A</v>
      </c>
      <c r="S1973" s="7" t="e">
        <f>IF(VLOOKUP($A1973,'Concrete Beam Schedule'!$A$2:$Q$2902,S$2,0)&lt;&gt;C1973,VLOOKUP($A1973,'Concrete Beam Schedule'!$A$2:$Q$2902,S$2,0),"")</f>
        <v>#N/A</v>
      </c>
      <c r="T1973" s="7" t="e">
        <f>IF(VLOOKUP($A1973,'Concrete Beam Schedule'!$A$2:$Q$2902,T$2,0)&lt;&gt;D1973,"Beam Revised","")</f>
        <v>#N/A</v>
      </c>
      <c r="U1973" s="7" t="e">
        <f>IF(VLOOKUP($A1973,'Concrete Beam Schedule'!$A$2:$Q$2902,U$2,0)&lt;&gt;E1973,"Beam Revised","")</f>
        <v>#N/A</v>
      </c>
      <c r="V1973" s="7" t="e">
        <f>IF(VLOOKUP($A1973,'Concrete Beam Schedule'!$A$2:$Q$2902,V$2,0)&lt;&gt;F1973,"Beam Revised","")</f>
        <v>#N/A</v>
      </c>
      <c r="W1973" s="7" t="e">
        <f>IF(VLOOKUP($A1973,'Concrete Beam Schedule'!$A$2:$Q$2902,W$2,0)&lt;&gt;G1973,"Beam Revised","")</f>
        <v>#N/A</v>
      </c>
      <c r="X1973" s="7" t="e">
        <f>IF(VLOOKUP($A1973,'Concrete Beam Schedule'!$A$2:$Q$2902,X$2,0)&lt;&gt;H1973,"Beam Revised","")</f>
        <v>#N/A</v>
      </c>
      <c r="Y1973" s="7" t="e">
        <f>IF(VLOOKUP($A1973,'Concrete Beam Schedule'!$A$2:$Q$2902,Y$2,0)&lt;&gt;I1973,"Beam Revised","")</f>
        <v>#N/A</v>
      </c>
      <c r="Z1973" s="7" t="e">
        <f>IF(VLOOKUP($A1973,'Concrete Beam Schedule'!$A$2:$Q$2902,Z$2,0)&lt;&gt;J1973,"Beam Revised","")</f>
        <v>#N/A</v>
      </c>
      <c r="AA1973" s="7" t="e">
        <f>IF(VLOOKUP($A1973,'Concrete Beam Schedule'!$A$2:$Q$2902,AA$2,0)&lt;&gt;K1973,"Beam Revised","")</f>
        <v>#N/A</v>
      </c>
      <c r="AB1973" s="7" t="e">
        <f>IF(VLOOKUP($A1973,'Concrete Beam Schedule'!$A$2:$Q$2902,AB$2,0)&lt;&gt;L1973,"Beam Revised","")</f>
        <v>#N/A</v>
      </c>
      <c r="AC1973" s="7" t="e">
        <f>IF(VLOOKUP($A1973,'Concrete Beam Schedule'!$A$2:$Q$2902,AC$2,0)&lt;&gt;M1973,"Beam Revised","")</f>
        <v>#N/A</v>
      </c>
      <c r="AD1973" s="7" t="e">
        <f>IF(VLOOKUP($A1973,'Concrete Beam Schedule'!$A$2:$Q$2902,AD$2,0)&lt;&gt;N1973,"Beam Revised","")</f>
        <v>#N/A</v>
      </c>
      <c r="AE1973" s="7" t="e">
        <f>IF(VLOOKUP($A1973,'Concrete Beam Schedule'!$A$2:$Q$2902,AE$2,0)&lt;&gt;O1973,"Beam Revised","")</f>
        <v>#N/A</v>
      </c>
    </row>
    <row r="1974" spans="17:31" ht="20.100000000000001" customHeight="1" x14ac:dyDescent="0.25">
      <c r="Q1974" s="7">
        <f t="shared" si="30"/>
        <v>0</v>
      </c>
      <c r="R1974" s="7" t="e">
        <f>IF(VLOOKUP($A1974,'Concrete Beam Schedule'!$A$2:$Q$2902,R$2,0)&lt;&gt;B1974,VLOOKUP($A1974,'Concrete Beam Schedule'!$A$2:$Q$2902,R$2,0),"")</f>
        <v>#N/A</v>
      </c>
      <c r="S1974" s="7" t="e">
        <f>IF(VLOOKUP($A1974,'Concrete Beam Schedule'!$A$2:$Q$2902,S$2,0)&lt;&gt;C1974,VLOOKUP($A1974,'Concrete Beam Schedule'!$A$2:$Q$2902,S$2,0),"")</f>
        <v>#N/A</v>
      </c>
      <c r="T1974" s="7" t="e">
        <f>IF(VLOOKUP($A1974,'Concrete Beam Schedule'!$A$2:$Q$2902,T$2,0)&lt;&gt;D1974,"Beam Revised","")</f>
        <v>#N/A</v>
      </c>
      <c r="U1974" s="7" t="e">
        <f>IF(VLOOKUP($A1974,'Concrete Beam Schedule'!$A$2:$Q$2902,U$2,0)&lt;&gt;E1974,"Beam Revised","")</f>
        <v>#N/A</v>
      </c>
      <c r="V1974" s="7" t="e">
        <f>IF(VLOOKUP($A1974,'Concrete Beam Schedule'!$A$2:$Q$2902,V$2,0)&lt;&gt;F1974,"Beam Revised","")</f>
        <v>#N/A</v>
      </c>
      <c r="W1974" s="7" t="e">
        <f>IF(VLOOKUP($A1974,'Concrete Beam Schedule'!$A$2:$Q$2902,W$2,0)&lt;&gt;G1974,"Beam Revised","")</f>
        <v>#N/A</v>
      </c>
      <c r="X1974" s="7" t="e">
        <f>IF(VLOOKUP($A1974,'Concrete Beam Schedule'!$A$2:$Q$2902,X$2,0)&lt;&gt;H1974,"Beam Revised","")</f>
        <v>#N/A</v>
      </c>
      <c r="Y1974" s="7" t="e">
        <f>IF(VLOOKUP($A1974,'Concrete Beam Schedule'!$A$2:$Q$2902,Y$2,0)&lt;&gt;I1974,"Beam Revised","")</f>
        <v>#N/A</v>
      </c>
      <c r="Z1974" s="7" t="e">
        <f>IF(VLOOKUP($A1974,'Concrete Beam Schedule'!$A$2:$Q$2902,Z$2,0)&lt;&gt;J1974,"Beam Revised","")</f>
        <v>#N/A</v>
      </c>
      <c r="AA1974" s="7" t="e">
        <f>IF(VLOOKUP($A1974,'Concrete Beam Schedule'!$A$2:$Q$2902,AA$2,0)&lt;&gt;K1974,"Beam Revised","")</f>
        <v>#N/A</v>
      </c>
      <c r="AB1974" s="7" t="e">
        <f>IF(VLOOKUP($A1974,'Concrete Beam Schedule'!$A$2:$Q$2902,AB$2,0)&lt;&gt;L1974,"Beam Revised","")</f>
        <v>#N/A</v>
      </c>
      <c r="AC1974" s="7" t="e">
        <f>IF(VLOOKUP($A1974,'Concrete Beam Schedule'!$A$2:$Q$2902,AC$2,0)&lt;&gt;M1974,"Beam Revised","")</f>
        <v>#N/A</v>
      </c>
      <c r="AD1974" s="7" t="e">
        <f>IF(VLOOKUP($A1974,'Concrete Beam Schedule'!$A$2:$Q$2902,AD$2,0)&lt;&gt;N1974,"Beam Revised","")</f>
        <v>#N/A</v>
      </c>
      <c r="AE1974" s="7" t="e">
        <f>IF(VLOOKUP($A1974,'Concrete Beam Schedule'!$A$2:$Q$2902,AE$2,0)&lt;&gt;O1974,"Beam Revised","")</f>
        <v>#N/A</v>
      </c>
    </row>
    <row r="1975" spans="17:31" ht="20.100000000000001" customHeight="1" x14ac:dyDescent="0.25">
      <c r="Q1975" s="7">
        <f t="shared" si="30"/>
        <v>0</v>
      </c>
      <c r="R1975" s="7" t="e">
        <f>IF(VLOOKUP($A1975,'Concrete Beam Schedule'!$A$2:$Q$2902,R$2,0)&lt;&gt;B1975,VLOOKUP($A1975,'Concrete Beam Schedule'!$A$2:$Q$2902,R$2,0),"")</f>
        <v>#N/A</v>
      </c>
      <c r="S1975" s="7" t="e">
        <f>IF(VLOOKUP($A1975,'Concrete Beam Schedule'!$A$2:$Q$2902,S$2,0)&lt;&gt;C1975,VLOOKUP($A1975,'Concrete Beam Schedule'!$A$2:$Q$2902,S$2,0),"")</f>
        <v>#N/A</v>
      </c>
      <c r="T1975" s="7" t="e">
        <f>IF(VLOOKUP($A1975,'Concrete Beam Schedule'!$A$2:$Q$2902,T$2,0)&lt;&gt;D1975,"Beam Revised","")</f>
        <v>#N/A</v>
      </c>
      <c r="U1975" s="7" t="e">
        <f>IF(VLOOKUP($A1975,'Concrete Beam Schedule'!$A$2:$Q$2902,U$2,0)&lt;&gt;E1975,"Beam Revised","")</f>
        <v>#N/A</v>
      </c>
      <c r="V1975" s="7" t="e">
        <f>IF(VLOOKUP($A1975,'Concrete Beam Schedule'!$A$2:$Q$2902,V$2,0)&lt;&gt;F1975,"Beam Revised","")</f>
        <v>#N/A</v>
      </c>
      <c r="W1975" s="7" t="e">
        <f>IF(VLOOKUP($A1975,'Concrete Beam Schedule'!$A$2:$Q$2902,W$2,0)&lt;&gt;G1975,"Beam Revised","")</f>
        <v>#N/A</v>
      </c>
      <c r="X1975" s="7" t="e">
        <f>IF(VLOOKUP($A1975,'Concrete Beam Schedule'!$A$2:$Q$2902,X$2,0)&lt;&gt;H1975,"Beam Revised","")</f>
        <v>#N/A</v>
      </c>
      <c r="Y1975" s="7" t="e">
        <f>IF(VLOOKUP($A1975,'Concrete Beam Schedule'!$A$2:$Q$2902,Y$2,0)&lt;&gt;I1975,"Beam Revised","")</f>
        <v>#N/A</v>
      </c>
      <c r="Z1975" s="7" t="e">
        <f>IF(VLOOKUP($A1975,'Concrete Beam Schedule'!$A$2:$Q$2902,Z$2,0)&lt;&gt;J1975,"Beam Revised","")</f>
        <v>#N/A</v>
      </c>
      <c r="AA1975" s="7" t="e">
        <f>IF(VLOOKUP($A1975,'Concrete Beam Schedule'!$A$2:$Q$2902,AA$2,0)&lt;&gt;K1975,"Beam Revised","")</f>
        <v>#N/A</v>
      </c>
      <c r="AB1975" s="7" t="e">
        <f>IF(VLOOKUP($A1975,'Concrete Beam Schedule'!$A$2:$Q$2902,AB$2,0)&lt;&gt;L1975,"Beam Revised","")</f>
        <v>#N/A</v>
      </c>
      <c r="AC1975" s="7" t="e">
        <f>IF(VLOOKUP($A1975,'Concrete Beam Schedule'!$A$2:$Q$2902,AC$2,0)&lt;&gt;M1975,"Beam Revised","")</f>
        <v>#N/A</v>
      </c>
      <c r="AD1975" s="7" t="e">
        <f>IF(VLOOKUP($A1975,'Concrete Beam Schedule'!$A$2:$Q$2902,AD$2,0)&lt;&gt;N1975,"Beam Revised","")</f>
        <v>#N/A</v>
      </c>
      <c r="AE1975" s="7" t="e">
        <f>IF(VLOOKUP($A1975,'Concrete Beam Schedule'!$A$2:$Q$2902,AE$2,0)&lt;&gt;O1975,"Beam Revised","")</f>
        <v>#N/A</v>
      </c>
    </row>
    <row r="1976" spans="17:31" ht="20.100000000000001" customHeight="1" x14ac:dyDescent="0.25">
      <c r="Q1976" s="7">
        <f t="shared" si="30"/>
        <v>0</v>
      </c>
      <c r="R1976" s="7" t="e">
        <f>IF(VLOOKUP($A1976,'Concrete Beam Schedule'!$A$2:$Q$2902,R$2,0)&lt;&gt;B1976,VLOOKUP($A1976,'Concrete Beam Schedule'!$A$2:$Q$2902,R$2,0),"")</f>
        <v>#N/A</v>
      </c>
      <c r="S1976" s="7" t="e">
        <f>IF(VLOOKUP($A1976,'Concrete Beam Schedule'!$A$2:$Q$2902,S$2,0)&lt;&gt;C1976,VLOOKUP($A1976,'Concrete Beam Schedule'!$A$2:$Q$2902,S$2,0),"")</f>
        <v>#N/A</v>
      </c>
      <c r="T1976" s="7" t="e">
        <f>IF(VLOOKUP($A1976,'Concrete Beam Schedule'!$A$2:$Q$2902,T$2,0)&lt;&gt;D1976,"Beam Revised","")</f>
        <v>#N/A</v>
      </c>
      <c r="U1976" s="7" t="e">
        <f>IF(VLOOKUP($A1976,'Concrete Beam Schedule'!$A$2:$Q$2902,U$2,0)&lt;&gt;E1976,"Beam Revised","")</f>
        <v>#N/A</v>
      </c>
      <c r="V1976" s="7" t="e">
        <f>IF(VLOOKUP($A1976,'Concrete Beam Schedule'!$A$2:$Q$2902,V$2,0)&lt;&gt;F1976,"Beam Revised","")</f>
        <v>#N/A</v>
      </c>
      <c r="W1976" s="7" t="e">
        <f>IF(VLOOKUP($A1976,'Concrete Beam Schedule'!$A$2:$Q$2902,W$2,0)&lt;&gt;G1976,"Beam Revised","")</f>
        <v>#N/A</v>
      </c>
      <c r="X1976" s="7" t="e">
        <f>IF(VLOOKUP($A1976,'Concrete Beam Schedule'!$A$2:$Q$2902,X$2,0)&lt;&gt;H1976,"Beam Revised","")</f>
        <v>#N/A</v>
      </c>
      <c r="Y1976" s="7" t="e">
        <f>IF(VLOOKUP($A1976,'Concrete Beam Schedule'!$A$2:$Q$2902,Y$2,0)&lt;&gt;I1976,"Beam Revised","")</f>
        <v>#N/A</v>
      </c>
      <c r="Z1976" s="7" t="e">
        <f>IF(VLOOKUP($A1976,'Concrete Beam Schedule'!$A$2:$Q$2902,Z$2,0)&lt;&gt;J1976,"Beam Revised","")</f>
        <v>#N/A</v>
      </c>
      <c r="AA1976" s="7" t="e">
        <f>IF(VLOOKUP($A1976,'Concrete Beam Schedule'!$A$2:$Q$2902,AA$2,0)&lt;&gt;K1976,"Beam Revised","")</f>
        <v>#N/A</v>
      </c>
      <c r="AB1976" s="7" t="e">
        <f>IF(VLOOKUP($A1976,'Concrete Beam Schedule'!$A$2:$Q$2902,AB$2,0)&lt;&gt;L1976,"Beam Revised","")</f>
        <v>#N/A</v>
      </c>
      <c r="AC1976" s="7" t="e">
        <f>IF(VLOOKUP($A1976,'Concrete Beam Schedule'!$A$2:$Q$2902,AC$2,0)&lt;&gt;M1976,"Beam Revised","")</f>
        <v>#N/A</v>
      </c>
      <c r="AD1976" s="7" t="e">
        <f>IF(VLOOKUP($A1976,'Concrete Beam Schedule'!$A$2:$Q$2902,AD$2,0)&lt;&gt;N1976,"Beam Revised","")</f>
        <v>#N/A</v>
      </c>
      <c r="AE1976" s="7" t="e">
        <f>IF(VLOOKUP($A1976,'Concrete Beam Schedule'!$A$2:$Q$2902,AE$2,0)&lt;&gt;O1976,"Beam Revised","")</f>
        <v>#N/A</v>
      </c>
    </row>
    <row r="1977" spans="17:31" ht="20.100000000000001" customHeight="1" x14ac:dyDescent="0.25">
      <c r="Q1977" s="7">
        <f t="shared" si="30"/>
        <v>0</v>
      </c>
      <c r="R1977" s="7" t="e">
        <f>IF(VLOOKUP($A1977,'Concrete Beam Schedule'!$A$2:$Q$2902,R$2,0)&lt;&gt;B1977,VLOOKUP($A1977,'Concrete Beam Schedule'!$A$2:$Q$2902,R$2,0),"")</f>
        <v>#N/A</v>
      </c>
      <c r="S1977" s="7" t="e">
        <f>IF(VLOOKUP($A1977,'Concrete Beam Schedule'!$A$2:$Q$2902,S$2,0)&lt;&gt;C1977,VLOOKUP($A1977,'Concrete Beam Schedule'!$A$2:$Q$2902,S$2,0),"")</f>
        <v>#N/A</v>
      </c>
      <c r="T1977" s="7" t="e">
        <f>IF(VLOOKUP($A1977,'Concrete Beam Schedule'!$A$2:$Q$2902,T$2,0)&lt;&gt;D1977,"Beam Revised","")</f>
        <v>#N/A</v>
      </c>
      <c r="U1977" s="7" t="e">
        <f>IF(VLOOKUP($A1977,'Concrete Beam Schedule'!$A$2:$Q$2902,U$2,0)&lt;&gt;E1977,"Beam Revised","")</f>
        <v>#N/A</v>
      </c>
      <c r="V1977" s="7" t="e">
        <f>IF(VLOOKUP($A1977,'Concrete Beam Schedule'!$A$2:$Q$2902,V$2,0)&lt;&gt;F1977,"Beam Revised","")</f>
        <v>#N/A</v>
      </c>
      <c r="W1977" s="7" t="e">
        <f>IF(VLOOKUP($A1977,'Concrete Beam Schedule'!$A$2:$Q$2902,W$2,0)&lt;&gt;G1977,"Beam Revised","")</f>
        <v>#N/A</v>
      </c>
      <c r="X1977" s="7" t="e">
        <f>IF(VLOOKUP($A1977,'Concrete Beam Schedule'!$A$2:$Q$2902,X$2,0)&lt;&gt;H1977,"Beam Revised","")</f>
        <v>#N/A</v>
      </c>
      <c r="Y1977" s="7" t="e">
        <f>IF(VLOOKUP($A1977,'Concrete Beam Schedule'!$A$2:$Q$2902,Y$2,0)&lt;&gt;I1977,"Beam Revised","")</f>
        <v>#N/A</v>
      </c>
      <c r="Z1977" s="7" t="e">
        <f>IF(VLOOKUP($A1977,'Concrete Beam Schedule'!$A$2:$Q$2902,Z$2,0)&lt;&gt;J1977,"Beam Revised","")</f>
        <v>#N/A</v>
      </c>
      <c r="AA1977" s="7" t="e">
        <f>IF(VLOOKUP($A1977,'Concrete Beam Schedule'!$A$2:$Q$2902,AA$2,0)&lt;&gt;K1977,"Beam Revised","")</f>
        <v>#N/A</v>
      </c>
      <c r="AB1977" s="7" t="e">
        <f>IF(VLOOKUP($A1977,'Concrete Beam Schedule'!$A$2:$Q$2902,AB$2,0)&lt;&gt;L1977,"Beam Revised","")</f>
        <v>#N/A</v>
      </c>
      <c r="AC1977" s="7" t="e">
        <f>IF(VLOOKUP($A1977,'Concrete Beam Schedule'!$A$2:$Q$2902,AC$2,0)&lt;&gt;M1977,"Beam Revised","")</f>
        <v>#N/A</v>
      </c>
      <c r="AD1977" s="7" t="e">
        <f>IF(VLOOKUP($A1977,'Concrete Beam Schedule'!$A$2:$Q$2902,AD$2,0)&lt;&gt;N1977,"Beam Revised","")</f>
        <v>#N/A</v>
      </c>
      <c r="AE1977" s="7" t="e">
        <f>IF(VLOOKUP($A1977,'Concrete Beam Schedule'!$A$2:$Q$2902,AE$2,0)&lt;&gt;O1977,"Beam Revised","")</f>
        <v>#N/A</v>
      </c>
    </row>
    <row r="1978" spans="17:31" ht="20.100000000000001" customHeight="1" x14ac:dyDescent="0.25">
      <c r="Q1978" s="7">
        <f t="shared" si="30"/>
        <v>0</v>
      </c>
      <c r="R1978" s="7" t="e">
        <f>IF(VLOOKUP($A1978,'Concrete Beam Schedule'!$A$2:$Q$2902,R$2,0)&lt;&gt;B1978,VLOOKUP($A1978,'Concrete Beam Schedule'!$A$2:$Q$2902,R$2,0),"")</f>
        <v>#N/A</v>
      </c>
      <c r="S1978" s="7" t="e">
        <f>IF(VLOOKUP($A1978,'Concrete Beam Schedule'!$A$2:$Q$2902,S$2,0)&lt;&gt;C1978,VLOOKUP($A1978,'Concrete Beam Schedule'!$A$2:$Q$2902,S$2,0),"")</f>
        <v>#N/A</v>
      </c>
      <c r="T1978" s="7" t="e">
        <f>IF(VLOOKUP($A1978,'Concrete Beam Schedule'!$A$2:$Q$2902,T$2,0)&lt;&gt;D1978,"Beam Revised","")</f>
        <v>#N/A</v>
      </c>
      <c r="U1978" s="7" t="e">
        <f>IF(VLOOKUP($A1978,'Concrete Beam Schedule'!$A$2:$Q$2902,U$2,0)&lt;&gt;E1978,"Beam Revised","")</f>
        <v>#N/A</v>
      </c>
      <c r="V1978" s="7" t="e">
        <f>IF(VLOOKUP($A1978,'Concrete Beam Schedule'!$A$2:$Q$2902,V$2,0)&lt;&gt;F1978,"Beam Revised","")</f>
        <v>#N/A</v>
      </c>
      <c r="W1978" s="7" t="e">
        <f>IF(VLOOKUP($A1978,'Concrete Beam Schedule'!$A$2:$Q$2902,W$2,0)&lt;&gt;G1978,"Beam Revised","")</f>
        <v>#N/A</v>
      </c>
      <c r="X1978" s="7" t="e">
        <f>IF(VLOOKUP($A1978,'Concrete Beam Schedule'!$A$2:$Q$2902,X$2,0)&lt;&gt;H1978,"Beam Revised","")</f>
        <v>#N/A</v>
      </c>
      <c r="Y1978" s="7" t="e">
        <f>IF(VLOOKUP($A1978,'Concrete Beam Schedule'!$A$2:$Q$2902,Y$2,0)&lt;&gt;I1978,"Beam Revised","")</f>
        <v>#N/A</v>
      </c>
      <c r="Z1978" s="7" t="e">
        <f>IF(VLOOKUP($A1978,'Concrete Beam Schedule'!$A$2:$Q$2902,Z$2,0)&lt;&gt;J1978,"Beam Revised","")</f>
        <v>#N/A</v>
      </c>
      <c r="AA1978" s="7" t="e">
        <f>IF(VLOOKUP($A1978,'Concrete Beam Schedule'!$A$2:$Q$2902,AA$2,0)&lt;&gt;K1978,"Beam Revised","")</f>
        <v>#N/A</v>
      </c>
      <c r="AB1978" s="7" t="e">
        <f>IF(VLOOKUP($A1978,'Concrete Beam Schedule'!$A$2:$Q$2902,AB$2,0)&lt;&gt;L1978,"Beam Revised","")</f>
        <v>#N/A</v>
      </c>
      <c r="AC1978" s="7" t="e">
        <f>IF(VLOOKUP($A1978,'Concrete Beam Schedule'!$A$2:$Q$2902,AC$2,0)&lt;&gt;M1978,"Beam Revised","")</f>
        <v>#N/A</v>
      </c>
      <c r="AD1978" s="7" t="e">
        <f>IF(VLOOKUP($A1978,'Concrete Beam Schedule'!$A$2:$Q$2902,AD$2,0)&lt;&gt;N1978,"Beam Revised","")</f>
        <v>#N/A</v>
      </c>
      <c r="AE1978" s="7" t="e">
        <f>IF(VLOOKUP($A1978,'Concrete Beam Schedule'!$A$2:$Q$2902,AE$2,0)&lt;&gt;O1978,"Beam Revised","")</f>
        <v>#N/A</v>
      </c>
    </row>
    <row r="1979" spans="17:31" ht="20.100000000000001" customHeight="1" x14ac:dyDescent="0.25">
      <c r="Q1979" s="7">
        <f t="shared" si="30"/>
        <v>0</v>
      </c>
      <c r="R1979" s="7" t="e">
        <f>IF(VLOOKUP($A1979,'Concrete Beam Schedule'!$A$2:$Q$2902,R$2,0)&lt;&gt;B1979,VLOOKUP($A1979,'Concrete Beam Schedule'!$A$2:$Q$2902,R$2,0),"")</f>
        <v>#N/A</v>
      </c>
      <c r="S1979" s="7" t="e">
        <f>IF(VLOOKUP($A1979,'Concrete Beam Schedule'!$A$2:$Q$2902,S$2,0)&lt;&gt;C1979,VLOOKUP($A1979,'Concrete Beam Schedule'!$A$2:$Q$2902,S$2,0),"")</f>
        <v>#N/A</v>
      </c>
      <c r="T1979" s="7" t="e">
        <f>IF(VLOOKUP($A1979,'Concrete Beam Schedule'!$A$2:$Q$2902,T$2,0)&lt;&gt;D1979,"Beam Revised","")</f>
        <v>#N/A</v>
      </c>
      <c r="U1979" s="7" t="e">
        <f>IF(VLOOKUP($A1979,'Concrete Beam Schedule'!$A$2:$Q$2902,U$2,0)&lt;&gt;E1979,"Beam Revised","")</f>
        <v>#N/A</v>
      </c>
      <c r="V1979" s="7" t="e">
        <f>IF(VLOOKUP($A1979,'Concrete Beam Schedule'!$A$2:$Q$2902,V$2,0)&lt;&gt;F1979,"Beam Revised","")</f>
        <v>#N/A</v>
      </c>
      <c r="W1979" s="7" t="e">
        <f>IF(VLOOKUP($A1979,'Concrete Beam Schedule'!$A$2:$Q$2902,W$2,0)&lt;&gt;G1979,"Beam Revised","")</f>
        <v>#N/A</v>
      </c>
      <c r="X1979" s="7" t="e">
        <f>IF(VLOOKUP($A1979,'Concrete Beam Schedule'!$A$2:$Q$2902,X$2,0)&lt;&gt;H1979,"Beam Revised","")</f>
        <v>#N/A</v>
      </c>
      <c r="Y1979" s="7" t="e">
        <f>IF(VLOOKUP($A1979,'Concrete Beam Schedule'!$A$2:$Q$2902,Y$2,0)&lt;&gt;I1979,"Beam Revised","")</f>
        <v>#N/A</v>
      </c>
      <c r="Z1979" s="7" t="e">
        <f>IF(VLOOKUP($A1979,'Concrete Beam Schedule'!$A$2:$Q$2902,Z$2,0)&lt;&gt;J1979,"Beam Revised","")</f>
        <v>#N/A</v>
      </c>
      <c r="AA1979" s="7" t="e">
        <f>IF(VLOOKUP($A1979,'Concrete Beam Schedule'!$A$2:$Q$2902,AA$2,0)&lt;&gt;K1979,"Beam Revised","")</f>
        <v>#N/A</v>
      </c>
      <c r="AB1979" s="7" t="e">
        <f>IF(VLOOKUP($A1979,'Concrete Beam Schedule'!$A$2:$Q$2902,AB$2,0)&lt;&gt;L1979,"Beam Revised","")</f>
        <v>#N/A</v>
      </c>
      <c r="AC1979" s="7" t="e">
        <f>IF(VLOOKUP($A1979,'Concrete Beam Schedule'!$A$2:$Q$2902,AC$2,0)&lt;&gt;M1979,"Beam Revised","")</f>
        <v>#N/A</v>
      </c>
      <c r="AD1979" s="7" t="e">
        <f>IF(VLOOKUP($A1979,'Concrete Beam Schedule'!$A$2:$Q$2902,AD$2,0)&lt;&gt;N1979,"Beam Revised","")</f>
        <v>#N/A</v>
      </c>
      <c r="AE1979" s="7" t="e">
        <f>IF(VLOOKUP($A1979,'Concrete Beam Schedule'!$A$2:$Q$2902,AE$2,0)&lt;&gt;O1979,"Beam Revised","")</f>
        <v>#N/A</v>
      </c>
    </row>
    <row r="1980" spans="17:31" ht="20.100000000000001" customHeight="1" x14ac:dyDescent="0.25">
      <c r="Q1980" s="7">
        <f t="shared" si="30"/>
        <v>0</v>
      </c>
      <c r="R1980" s="7" t="e">
        <f>IF(VLOOKUP($A1980,'Concrete Beam Schedule'!$A$2:$Q$2902,R$2,0)&lt;&gt;B1980,VLOOKUP($A1980,'Concrete Beam Schedule'!$A$2:$Q$2902,R$2,0),"")</f>
        <v>#N/A</v>
      </c>
      <c r="S1980" s="7" t="e">
        <f>IF(VLOOKUP($A1980,'Concrete Beam Schedule'!$A$2:$Q$2902,S$2,0)&lt;&gt;C1980,VLOOKUP($A1980,'Concrete Beam Schedule'!$A$2:$Q$2902,S$2,0),"")</f>
        <v>#N/A</v>
      </c>
      <c r="T1980" s="7" t="e">
        <f>IF(VLOOKUP($A1980,'Concrete Beam Schedule'!$A$2:$Q$2902,T$2,0)&lt;&gt;D1980,"Beam Revised","")</f>
        <v>#N/A</v>
      </c>
      <c r="U1980" s="7" t="e">
        <f>IF(VLOOKUP($A1980,'Concrete Beam Schedule'!$A$2:$Q$2902,U$2,0)&lt;&gt;E1980,"Beam Revised","")</f>
        <v>#N/A</v>
      </c>
      <c r="V1980" s="7" t="e">
        <f>IF(VLOOKUP($A1980,'Concrete Beam Schedule'!$A$2:$Q$2902,V$2,0)&lt;&gt;F1980,"Beam Revised","")</f>
        <v>#N/A</v>
      </c>
      <c r="W1980" s="7" t="e">
        <f>IF(VLOOKUP($A1980,'Concrete Beam Schedule'!$A$2:$Q$2902,W$2,0)&lt;&gt;G1980,"Beam Revised","")</f>
        <v>#N/A</v>
      </c>
      <c r="X1980" s="7" t="e">
        <f>IF(VLOOKUP($A1980,'Concrete Beam Schedule'!$A$2:$Q$2902,X$2,0)&lt;&gt;H1980,"Beam Revised","")</f>
        <v>#N/A</v>
      </c>
      <c r="Y1980" s="7" t="e">
        <f>IF(VLOOKUP($A1980,'Concrete Beam Schedule'!$A$2:$Q$2902,Y$2,0)&lt;&gt;I1980,"Beam Revised","")</f>
        <v>#N/A</v>
      </c>
      <c r="Z1980" s="7" t="e">
        <f>IF(VLOOKUP($A1980,'Concrete Beam Schedule'!$A$2:$Q$2902,Z$2,0)&lt;&gt;J1980,"Beam Revised","")</f>
        <v>#N/A</v>
      </c>
      <c r="AA1980" s="7" t="e">
        <f>IF(VLOOKUP($A1980,'Concrete Beam Schedule'!$A$2:$Q$2902,AA$2,0)&lt;&gt;K1980,"Beam Revised","")</f>
        <v>#N/A</v>
      </c>
      <c r="AB1980" s="7" t="e">
        <f>IF(VLOOKUP($A1980,'Concrete Beam Schedule'!$A$2:$Q$2902,AB$2,0)&lt;&gt;L1980,"Beam Revised","")</f>
        <v>#N/A</v>
      </c>
      <c r="AC1980" s="7" t="e">
        <f>IF(VLOOKUP($A1980,'Concrete Beam Schedule'!$A$2:$Q$2902,AC$2,0)&lt;&gt;M1980,"Beam Revised","")</f>
        <v>#N/A</v>
      </c>
      <c r="AD1980" s="7" t="e">
        <f>IF(VLOOKUP($A1980,'Concrete Beam Schedule'!$A$2:$Q$2902,AD$2,0)&lt;&gt;N1980,"Beam Revised","")</f>
        <v>#N/A</v>
      </c>
      <c r="AE1980" s="7" t="e">
        <f>IF(VLOOKUP($A1980,'Concrete Beam Schedule'!$A$2:$Q$2902,AE$2,0)&lt;&gt;O1980,"Beam Revised","")</f>
        <v>#N/A</v>
      </c>
    </row>
    <row r="1981" spans="17:31" ht="20.100000000000001" customHeight="1" x14ac:dyDescent="0.25">
      <c r="Q1981" s="7">
        <f t="shared" si="30"/>
        <v>0</v>
      </c>
      <c r="R1981" s="7" t="e">
        <f>IF(VLOOKUP($A1981,'Concrete Beam Schedule'!$A$2:$Q$2902,R$2,0)&lt;&gt;B1981,VLOOKUP($A1981,'Concrete Beam Schedule'!$A$2:$Q$2902,R$2,0),"")</f>
        <v>#N/A</v>
      </c>
      <c r="S1981" s="7" t="e">
        <f>IF(VLOOKUP($A1981,'Concrete Beam Schedule'!$A$2:$Q$2902,S$2,0)&lt;&gt;C1981,VLOOKUP($A1981,'Concrete Beam Schedule'!$A$2:$Q$2902,S$2,0),"")</f>
        <v>#N/A</v>
      </c>
      <c r="T1981" s="7" t="e">
        <f>IF(VLOOKUP($A1981,'Concrete Beam Schedule'!$A$2:$Q$2902,T$2,0)&lt;&gt;D1981,"Beam Revised","")</f>
        <v>#N/A</v>
      </c>
      <c r="U1981" s="7" t="e">
        <f>IF(VLOOKUP($A1981,'Concrete Beam Schedule'!$A$2:$Q$2902,U$2,0)&lt;&gt;E1981,"Beam Revised","")</f>
        <v>#N/A</v>
      </c>
      <c r="V1981" s="7" t="e">
        <f>IF(VLOOKUP($A1981,'Concrete Beam Schedule'!$A$2:$Q$2902,V$2,0)&lt;&gt;F1981,"Beam Revised","")</f>
        <v>#N/A</v>
      </c>
      <c r="W1981" s="7" t="e">
        <f>IF(VLOOKUP($A1981,'Concrete Beam Schedule'!$A$2:$Q$2902,W$2,0)&lt;&gt;G1981,"Beam Revised","")</f>
        <v>#N/A</v>
      </c>
      <c r="X1981" s="7" t="e">
        <f>IF(VLOOKUP($A1981,'Concrete Beam Schedule'!$A$2:$Q$2902,X$2,0)&lt;&gt;H1981,"Beam Revised","")</f>
        <v>#N/A</v>
      </c>
      <c r="Y1981" s="7" t="e">
        <f>IF(VLOOKUP($A1981,'Concrete Beam Schedule'!$A$2:$Q$2902,Y$2,0)&lt;&gt;I1981,"Beam Revised","")</f>
        <v>#N/A</v>
      </c>
      <c r="Z1981" s="7" t="e">
        <f>IF(VLOOKUP($A1981,'Concrete Beam Schedule'!$A$2:$Q$2902,Z$2,0)&lt;&gt;J1981,"Beam Revised","")</f>
        <v>#N/A</v>
      </c>
      <c r="AA1981" s="7" t="e">
        <f>IF(VLOOKUP($A1981,'Concrete Beam Schedule'!$A$2:$Q$2902,AA$2,0)&lt;&gt;K1981,"Beam Revised","")</f>
        <v>#N/A</v>
      </c>
      <c r="AB1981" s="7" t="e">
        <f>IF(VLOOKUP($A1981,'Concrete Beam Schedule'!$A$2:$Q$2902,AB$2,0)&lt;&gt;L1981,"Beam Revised","")</f>
        <v>#N/A</v>
      </c>
      <c r="AC1981" s="7" t="e">
        <f>IF(VLOOKUP($A1981,'Concrete Beam Schedule'!$A$2:$Q$2902,AC$2,0)&lt;&gt;M1981,"Beam Revised","")</f>
        <v>#N/A</v>
      </c>
      <c r="AD1981" s="7" t="e">
        <f>IF(VLOOKUP($A1981,'Concrete Beam Schedule'!$A$2:$Q$2902,AD$2,0)&lt;&gt;N1981,"Beam Revised","")</f>
        <v>#N/A</v>
      </c>
      <c r="AE1981" s="7" t="e">
        <f>IF(VLOOKUP($A1981,'Concrete Beam Schedule'!$A$2:$Q$2902,AE$2,0)&lt;&gt;O1981,"Beam Revised","")</f>
        <v>#N/A</v>
      </c>
    </row>
    <row r="1982" spans="17:31" ht="20.100000000000001" customHeight="1" x14ac:dyDescent="0.25">
      <c r="Q1982" s="7">
        <f t="shared" si="30"/>
        <v>0</v>
      </c>
      <c r="R1982" s="7" t="e">
        <f>IF(VLOOKUP($A1982,'Concrete Beam Schedule'!$A$2:$Q$2902,R$2,0)&lt;&gt;B1982,VLOOKUP($A1982,'Concrete Beam Schedule'!$A$2:$Q$2902,R$2,0),"")</f>
        <v>#N/A</v>
      </c>
      <c r="S1982" s="7" t="e">
        <f>IF(VLOOKUP($A1982,'Concrete Beam Schedule'!$A$2:$Q$2902,S$2,0)&lt;&gt;C1982,VLOOKUP($A1982,'Concrete Beam Schedule'!$A$2:$Q$2902,S$2,0),"")</f>
        <v>#N/A</v>
      </c>
      <c r="T1982" s="7" t="e">
        <f>IF(VLOOKUP($A1982,'Concrete Beam Schedule'!$A$2:$Q$2902,T$2,0)&lt;&gt;D1982,"Beam Revised","")</f>
        <v>#N/A</v>
      </c>
      <c r="U1982" s="7" t="e">
        <f>IF(VLOOKUP($A1982,'Concrete Beam Schedule'!$A$2:$Q$2902,U$2,0)&lt;&gt;E1982,"Beam Revised","")</f>
        <v>#N/A</v>
      </c>
      <c r="V1982" s="7" t="e">
        <f>IF(VLOOKUP($A1982,'Concrete Beam Schedule'!$A$2:$Q$2902,V$2,0)&lt;&gt;F1982,"Beam Revised","")</f>
        <v>#N/A</v>
      </c>
      <c r="W1982" s="7" t="e">
        <f>IF(VLOOKUP($A1982,'Concrete Beam Schedule'!$A$2:$Q$2902,W$2,0)&lt;&gt;G1982,"Beam Revised","")</f>
        <v>#N/A</v>
      </c>
      <c r="X1982" s="7" t="e">
        <f>IF(VLOOKUP($A1982,'Concrete Beam Schedule'!$A$2:$Q$2902,X$2,0)&lt;&gt;H1982,"Beam Revised","")</f>
        <v>#N/A</v>
      </c>
      <c r="Y1982" s="7" t="e">
        <f>IF(VLOOKUP($A1982,'Concrete Beam Schedule'!$A$2:$Q$2902,Y$2,0)&lt;&gt;I1982,"Beam Revised","")</f>
        <v>#N/A</v>
      </c>
      <c r="Z1982" s="7" t="e">
        <f>IF(VLOOKUP($A1982,'Concrete Beam Schedule'!$A$2:$Q$2902,Z$2,0)&lt;&gt;J1982,"Beam Revised","")</f>
        <v>#N/A</v>
      </c>
      <c r="AA1982" s="7" t="e">
        <f>IF(VLOOKUP($A1982,'Concrete Beam Schedule'!$A$2:$Q$2902,AA$2,0)&lt;&gt;K1982,"Beam Revised","")</f>
        <v>#N/A</v>
      </c>
      <c r="AB1982" s="7" t="e">
        <f>IF(VLOOKUP($A1982,'Concrete Beam Schedule'!$A$2:$Q$2902,AB$2,0)&lt;&gt;L1982,"Beam Revised","")</f>
        <v>#N/A</v>
      </c>
      <c r="AC1982" s="7" t="e">
        <f>IF(VLOOKUP($A1982,'Concrete Beam Schedule'!$A$2:$Q$2902,AC$2,0)&lt;&gt;M1982,"Beam Revised","")</f>
        <v>#N/A</v>
      </c>
      <c r="AD1982" s="7" t="e">
        <f>IF(VLOOKUP($A1982,'Concrete Beam Schedule'!$A$2:$Q$2902,AD$2,0)&lt;&gt;N1982,"Beam Revised","")</f>
        <v>#N/A</v>
      </c>
      <c r="AE1982" s="7" t="e">
        <f>IF(VLOOKUP($A1982,'Concrete Beam Schedule'!$A$2:$Q$2902,AE$2,0)&lt;&gt;O1982,"Beam Revised","")</f>
        <v>#N/A</v>
      </c>
    </row>
    <row r="1983" spans="17:31" ht="20.100000000000001" customHeight="1" x14ac:dyDescent="0.25">
      <c r="Q1983" s="7">
        <f t="shared" si="30"/>
        <v>0</v>
      </c>
      <c r="R1983" s="7" t="e">
        <f>IF(VLOOKUP($A1983,'Concrete Beam Schedule'!$A$2:$Q$2902,R$2,0)&lt;&gt;B1983,VLOOKUP($A1983,'Concrete Beam Schedule'!$A$2:$Q$2902,R$2,0),"")</f>
        <v>#N/A</v>
      </c>
      <c r="S1983" s="7" t="e">
        <f>IF(VLOOKUP($A1983,'Concrete Beam Schedule'!$A$2:$Q$2902,S$2,0)&lt;&gt;C1983,VLOOKUP($A1983,'Concrete Beam Schedule'!$A$2:$Q$2902,S$2,0),"")</f>
        <v>#N/A</v>
      </c>
      <c r="T1983" s="7" t="e">
        <f>IF(VLOOKUP($A1983,'Concrete Beam Schedule'!$A$2:$Q$2902,T$2,0)&lt;&gt;D1983,"Beam Revised","")</f>
        <v>#N/A</v>
      </c>
      <c r="U1983" s="7" t="e">
        <f>IF(VLOOKUP($A1983,'Concrete Beam Schedule'!$A$2:$Q$2902,U$2,0)&lt;&gt;E1983,"Beam Revised","")</f>
        <v>#N/A</v>
      </c>
      <c r="V1983" s="7" t="e">
        <f>IF(VLOOKUP($A1983,'Concrete Beam Schedule'!$A$2:$Q$2902,V$2,0)&lt;&gt;F1983,"Beam Revised","")</f>
        <v>#N/A</v>
      </c>
      <c r="W1983" s="7" t="e">
        <f>IF(VLOOKUP($A1983,'Concrete Beam Schedule'!$A$2:$Q$2902,W$2,0)&lt;&gt;G1983,"Beam Revised","")</f>
        <v>#N/A</v>
      </c>
      <c r="X1983" s="7" t="e">
        <f>IF(VLOOKUP($A1983,'Concrete Beam Schedule'!$A$2:$Q$2902,X$2,0)&lt;&gt;H1983,"Beam Revised","")</f>
        <v>#N/A</v>
      </c>
      <c r="Y1983" s="7" t="e">
        <f>IF(VLOOKUP($A1983,'Concrete Beam Schedule'!$A$2:$Q$2902,Y$2,0)&lt;&gt;I1983,"Beam Revised","")</f>
        <v>#N/A</v>
      </c>
      <c r="Z1983" s="7" t="e">
        <f>IF(VLOOKUP($A1983,'Concrete Beam Schedule'!$A$2:$Q$2902,Z$2,0)&lt;&gt;J1983,"Beam Revised","")</f>
        <v>#N/A</v>
      </c>
      <c r="AA1983" s="7" t="e">
        <f>IF(VLOOKUP($A1983,'Concrete Beam Schedule'!$A$2:$Q$2902,AA$2,0)&lt;&gt;K1983,"Beam Revised","")</f>
        <v>#N/A</v>
      </c>
      <c r="AB1983" s="7" t="e">
        <f>IF(VLOOKUP($A1983,'Concrete Beam Schedule'!$A$2:$Q$2902,AB$2,0)&lt;&gt;L1983,"Beam Revised","")</f>
        <v>#N/A</v>
      </c>
      <c r="AC1983" s="7" t="e">
        <f>IF(VLOOKUP($A1983,'Concrete Beam Schedule'!$A$2:$Q$2902,AC$2,0)&lt;&gt;M1983,"Beam Revised","")</f>
        <v>#N/A</v>
      </c>
      <c r="AD1983" s="7" t="e">
        <f>IF(VLOOKUP($A1983,'Concrete Beam Schedule'!$A$2:$Q$2902,AD$2,0)&lt;&gt;N1983,"Beam Revised","")</f>
        <v>#N/A</v>
      </c>
      <c r="AE1983" s="7" t="e">
        <f>IF(VLOOKUP($A1983,'Concrete Beam Schedule'!$A$2:$Q$2902,AE$2,0)&lt;&gt;O1983,"Beam Revised","")</f>
        <v>#N/A</v>
      </c>
    </row>
    <row r="1984" spans="17:31" ht="20.100000000000001" customHeight="1" x14ac:dyDescent="0.25">
      <c r="Q1984" s="7">
        <f t="shared" si="30"/>
        <v>0</v>
      </c>
      <c r="R1984" s="7" t="e">
        <f>IF(VLOOKUP($A1984,'Concrete Beam Schedule'!$A$2:$Q$2902,R$2,0)&lt;&gt;B1984,VLOOKUP($A1984,'Concrete Beam Schedule'!$A$2:$Q$2902,R$2,0),"")</f>
        <v>#N/A</v>
      </c>
      <c r="S1984" s="7" t="e">
        <f>IF(VLOOKUP($A1984,'Concrete Beam Schedule'!$A$2:$Q$2902,S$2,0)&lt;&gt;C1984,VLOOKUP($A1984,'Concrete Beam Schedule'!$A$2:$Q$2902,S$2,0),"")</f>
        <v>#N/A</v>
      </c>
      <c r="T1984" s="7" t="e">
        <f>IF(VLOOKUP($A1984,'Concrete Beam Schedule'!$A$2:$Q$2902,T$2,0)&lt;&gt;D1984,"Beam Revised","")</f>
        <v>#N/A</v>
      </c>
      <c r="U1984" s="7" t="e">
        <f>IF(VLOOKUP($A1984,'Concrete Beam Schedule'!$A$2:$Q$2902,U$2,0)&lt;&gt;E1984,"Beam Revised","")</f>
        <v>#N/A</v>
      </c>
      <c r="V1984" s="7" t="e">
        <f>IF(VLOOKUP($A1984,'Concrete Beam Schedule'!$A$2:$Q$2902,V$2,0)&lt;&gt;F1984,"Beam Revised","")</f>
        <v>#N/A</v>
      </c>
      <c r="W1984" s="7" t="e">
        <f>IF(VLOOKUP($A1984,'Concrete Beam Schedule'!$A$2:$Q$2902,W$2,0)&lt;&gt;G1984,"Beam Revised","")</f>
        <v>#N/A</v>
      </c>
      <c r="X1984" s="7" t="e">
        <f>IF(VLOOKUP($A1984,'Concrete Beam Schedule'!$A$2:$Q$2902,X$2,0)&lt;&gt;H1984,"Beam Revised","")</f>
        <v>#N/A</v>
      </c>
      <c r="Y1984" s="7" t="e">
        <f>IF(VLOOKUP($A1984,'Concrete Beam Schedule'!$A$2:$Q$2902,Y$2,0)&lt;&gt;I1984,"Beam Revised","")</f>
        <v>#N/A</v>
      </c>
      <c r="Z1984" s="7" t="e">
        <f>IF(VLOOKUP($A1984,'Concrete Beam Schedule'!$A$2:$Q$2902,Z$2,0)&lt;&gt;J1984,"Beam Revised","")</f>
        <v>#N/A</v>
      </c>
      <c r="AA1984" s="7" t="e">
        <f>IF(VLOOKUP($A1984,'Concrete Beam Schedule'!$A$2:$Q$2902,AA$2,0)&lt;&gt;K1984,"Beam Revised","")</f>
        <v>#N/A</v>
      </c>
      <c r="AB1984" s="7" t="e">
        <f>IF(VLOOKUP($A1984,'Concrete Beam Schedule'!$A$2:$Q$2902,AB$2,0)&lt;&gt;L1984,"Beam Revised","")</f>
        <v>#N/A</v>
      </c>
      <c r="AC1984" s="7" t="e">
        <f>IF(VLOOKUP($A1984,'Concrete Beam Schedule'!$A$2:$Q$2902,AC$2,0)&lt;&gt;M1984,"Beam Revised","")</f>
        <v>#N/A</v>
      </c>
      <c r="AD1984" s="7" t="e">
        <f>IF(VLOOKUP($A1984,'Concrete Beam Schedule'!$A$2:$Q$2902,AD$2,0)&lt;&gt;N1984,"Beam Revised","")</f>
        <v>#N/A</v>
      </c>
      <c r="AE1984" s="7" t="e">
        <f>IF(VLOOKUP($A1984,'Concrete Beam Schedule'!$A$2:$Q$2902,AE$2,0)&lt;&gt;O1984,"Beam Revised","")</f>
        <v>#N/A</v>
      </c>
    </row>
    <row r="1985" spans="17:31" ht="20.100000000000001" customHeight="1" x14ac:dyDescent="0.25">
      <c r="Q1985" s="7">
        <f t="shared" si="30"/>
        <v>0</v>
      </c>
      <c r="R1985" s="7" t="e">
        <f>IF(VLOOKUP($A1985,'Concrete Beam Schedule'!$A$2:$Q$2902,R$2,0)&lt;&gt;B1985,VLOOKUP($A1985,'Concrete Beam Schedule'!$A$2:$Q$2902,R$2,0),"")</f>
        <v>#N/A</v>
      </c>
      <c r="S1985" s="7" t="e">
        <f>IF(VLOOKUP($A1985,'Concrete Beam Schedule'!$A$2:$Q$2902,S$2,0)&lt;&gt;C1985,VLOOKUP($A1985,'Concrete Beam Schedule'!$A$2:$Q$2902,S$2,0),"")</f>
        <v>#N/A</v>
      </c>
      <c r="T1985" s="7" t="e">
        <f>IF(VLOOKUP($A1985,'Concrete Beam Schedule'!$A$2:$Q$2902,T$2,0)&lt;&gt;D1985,"Beam Revised","")</f>
        <v>#N/A</v>
      </c>
      <c r="U1985" s="7" t="e">
        <f>IF(VLOOKUP($A1985,'Concrete Beam Schedule'!$A$2:$Q$2902,U$2,0)&lt;&gt;E1985,"Beam Revised","")</f>
        <v>#N/A</v>
      </c>
      <c r="V1985" s="7" t="e">
        <f>IF(VLOOKUP($A1985,'Concrete Beam Schedule'!$A$2:$Q$2902,V$2,0)&lt;&gt;F1985,"Beam Revised","")</f>
        <v>#N/A</v>
      </c>
      <c r="W1985" s="7" t="e">
        <f>IF(VLOOKUP($A1985,'Concrete Beam Schedule'!$A$2:$Q$2902,W$2,0)&lt;&gt;G1985,"Beam Revised","")</f>
        <v>#N/A</v>
      </c>
      <c r="X1985" s="7" t="e">
        <f>IF(VLOOKUP($A1985,'Concrete Beam Schedule'!$A$2:$Q$2902,X$2,0)&lt;&gt;H1985,"Beam Revised","")</f>
        <v>#N/A</v>
      </c>
      <c r="Y1985" s="7" t="e">
        <f>IF(VLOOKUP($A1985,'Concrete Beam Schedule'!$A$2:$Q$2902,Y$2,0)&lt;&gt;I1985,"Beam Revised","")</f>
        <v>#N/A</v>
      </c>
      <c r="Z1985" s="7" t="e">
        <f>IF(VLOOKUP($A1985,'Concrete Beam Schedule'!$A$2:$Q$2902,Z$2,0)&lt;&gt;J1985,"Beam Revised","")</f>
        <v>#N/A</v>
      </c>
      <c r="AA1985" s="7" t="e">
        <f>IF(VLOOKUP($A1985,'Concrete Beam Schedule'!$A$2:$Q$2902,AA$2,0)&lt;&gt;K1985,"Beam Revised","")</f>
        <v>#N/A</v>
      </c>
      <c r="AB1985" s="7" t="e">
        <f>IF(VLOOKUP($A1985,'Concrete Beam Schedule'!$A$2:$Q$2902,AB$2,0)&lt;&gt;L1985,"Beam Revised","")</f>
        <v>#N/A</v>
      </c>
      <c r="AC1985" s="7" t="e">
        <f>IF(VLOOKUP($A1985,'Concrete Beam Schedule'!$A$2:$Q$2902,AC$2,0)&lt;&gt;M1985,"Beam Revised","")</f>
        <v>#N/A</v>
      </c>
      <c r="AD1985" s="7" t="e">
        <f>IF(VLOOKUP($A1985,'Concrete Beam Schedule'!$A$2:$Q$2902,AD$2,0)&lt;&gt;N1985,"Beam Revised","")</f>
        <v>#N/A</v>
      </c>
      <c r="AE1985" s="7" t="e">
        <f>IF(VLOOKUP($A1985,'Concrete Beam Schedule'!$A$2:$Q$2902,AE$2,0)&lt;&gt;O1985,"Beam Revised","")</f>
        <v>#N/A</v>
      </c>
    </row>
    <row r="1986" spans="17:31" ht="20.100000000000001" customHeight="1" x14ac:dyDescent="0.25">
      <c r="Q1986" s="7">
        <f t="shared" si="30"/>
        <v>0</v>
      </c>
      <c r="R1986" s="7" t="e">
        <f>IF(VLOOKUP($A1986,'Concrete Beam Schedule'!$A$2:$Q$2902,R$2,0)&lt;&gt;B1986,VLOOKUP($A1986,'Concrete Beam Schedule'!$A$2:$Q$2902,R$2,0),"")</f>
        <v>#N/A</v>
      </c>
      <c r="S1986" s="7" t="e">
        <f>IF(VLOOKUP($A1986,'Concrete Beam Schedule'!$A$2:$Q$2902,S$2,0)&lt;&gt;C1986,VLOOKUP($A1986,'Concrete Beam Schedule'!$A$2:$Q$2902,S$2,0),"")</f>
        <v>#N/A</v>
      </c>
      <c r="T1986" s="7" t="e">
        <f>IF(VLOOKUP($A1986,'Concrete Beam Schedule'!$A$2:$Q$2902,T$2,0)&lt;&gt;D1986,"Beam Revised","")</f>
        <v>#N/A</v>
      </c>
      <c r="U1986" s="7" t="e">
        <f>IF(VLOOKUP($A1986,'Concrete Beam Schedule'!$A$2:$Q$2902,U$2,0)&lt;&gt;E1986,"Beam Revised","")</f>
        <v>#N/A</v>
      </c>
      <c r="V1986" s="7" t="e">
        <f>IF(VLOOKUP($A1986,'Concrete Beam Schedule'!$A$2:$Q$2902,V$2,0)&lt;&gt;F1986,"Beam Revised","")</f>
        <v>#N/A</v>
      </c>
      <c r="W1986" s="7" t="e">
        <f>IF(VLOOKUP($A1986,'Concrete Beam Schedule'!$A$2:$Q$2902,W$2,0)&lt;&gt;G1986,"Beam Revised","")</f>
        <v>#N/A</v>
      </c>
      <c r="X1986" s="7" t="e">
        <f>IF(VLOOKUP($A1986,'Concrete Beam Schedule'!$A$2:$Q$2902,X$2,0)&lt;&gt;H1986,"Beam Revised","")</f>
        <v>#N/A</v>
      </c>
      <c r="Y1986" s="7" t="e">
        <f>IF(VLOOKUP($A1986,'Concrete Beam Schedule'!$A$2:$Q$2902,Y$2,0)&lt;&gt;I1986,"Beam Revised","")</f>
        <v>#N/A</v>
      </c>
      <c r="Z1986" s="7" t="e">
        <f>IF(VLOOKUP($A1986,'Concrete Beam Schedule'!$A$2:$Q$2902,Z$2,0)&lt;&gt;J1986,"Beam Revised","")</f>
        <v>#N/A</v>
      </c>
      <c r="AA1986" s="7" t="e">
        <f>IF(VLOOKUP($A1986,'Concrete Beam Schedule'!$A$2:$Q$2902,AA$2,0)&lt;&gt;K1986,"Beam Revised","")</f>
        <v>#N/A</v>
      </c>
      <c r="AB1986" s="7" t="e">
        <f>IF(VLOOKUP($A1986,'Concrete Beam Schedule'!$A$2:$Q$2902,AB$2,0)&lt;&gt;L1986,"Beam Revised","")</f>
        <v>#N/A</v>
      </c>
      <c r="AC1986" s="7" t="e">
        <f>IF(VLOOKUP($A1986,'Concrete Beam Schedule'!$A$2:$Q$2902,AC$2,0)&lt;&gt;M1986,"Beam Revised","")</f>
        <v>#N/A</v>
      </c>
      <c r="AD1986" s="7" t="e">
        <f>IF(VLOOKUP($A1986,'Concrete Beam Schedule'!$A$2:$Q$2902,AD$2,0)&lt;&gt;N1986,"Beam Revised","")</f>
        <v>#N/A</v>
      </c>
      <c r="AE1986" s="7" t="e">
        <f>IF(VLOOKUP($A1986,'Concrete Beam Schedule'!$A$2:$Q$2902,AE$2,0)&lt;&gt;O1986,"Beam Revised","")</f>
        <v>#N/A</v>
      </c>
    </row>
    <row r="1987" spans="17:31" ht="20.100000000000001" customHeight="1" x14ac:dyDescent="0.25">
      <c r="Q1987" s="7">
        <f t="shared" si="30"/>
        <v>0</v>
      </c>
      <c r="R1987" s="7" t="e">
        <f>IF(VLOOKUP($A1987,'Concrete Beam Schedule'!$A$2:$Q$2902,R$2,0)&lt;&gt;B1987,VLOOKUP($A1987,'Concrete Beam Schedule'!$A$2:$Q$2902,R$2,0),"")</f>
        <v>#N/A</v>
      </c>
      <c r="S1987" s="7" t="e">
        <f>IF(VLOOKUP($A1987,'Concrete Beam Schedule'!$A$2:$Q$2902,S$2,0)&lt;&gt;C1987,VLOOKUP($A1987,'Concrete Beam Schedule'!$A$2:$Q$2902,S$2,0),"")</f>
        <v>#N/A</v>
      </c>
      <c r="T1987" s="7" t="e">
        <f>IF(VLOOKUP($A1987,'Concrete Beam Schedule'!$A$2:$Q$2902,T$2,0)&lt;&gt;D1987,"Beam Revised","")</f>
        <v>#N/A</v>
      </c>
      <c r="U1987" s="7" t="e">
        <f>IF(VLOOKUP($A1987,'Concrete Beam Schedule'!$A$2:$Q$2902,U$2,0)&lt;&gt;E1987,"Beam Revised","")</f>
        <v>#N/A</v>
      </c>
      <c r="V1987" s="7" t="e">
        <f>IF(VLOOKUP($A1987,'Concrete Beam Schedule'!$A$2:$Q$2902,V$2,0)&lt;&gt;F1987,"Beam Revised","")</f>
        <v>#N/A</v>
      </c>
      <c r="W1987" s="7" t="e">
        <f>IF(VLOOKUP($A1987,'Concrete Beam Schedule'!$A$2:$Q$2902,W$2,0)&lt;&gt;G1987,"Beam Revised","")</f>
        <v>#N/A</v>
      </c>
      <c r="X1987" s="7" t="e">
        <f>IF(VLOOKUP($A1987,'Concrete Beam Schedule'!$A$2:$Q$2902,X$2,0)&lt;&gt;H1987,"Beam Revised","")</f>
        <v>#N/A</v>
      </c>
      <c r="Y1987" s="7" t="e">
        <f>IF(VLOOKUP($A1987,'Concrete Beam Schedule'!$A$2:$Q$2902,Y$2,0)&lt;&gt;I1987,"Beam Revised","")</f>
        <v>#N/A</v>
      </c>
      <c r="Z1987" s="7" t="e">
        <f>IF(VLOOKUP($A1987,'Concrete Beam Schedule'!$A$2:$Q$2902,Z$2,0)&lt;&gt;J1987,"Beam Revised","")</f>
        <v>#N/A</v>
      </c>
      <c r="AA1987" s="7" t="e">
        <f>IF(VLOOKUP($A1987,'Concrete Beam Schedule'!$A$2:$Q$2902,AA$2,0)&lt;&gt;K1987,"Beam Revised","")</f>
        <v>#N/A</v>
      </c>
      <c r="AB1987" s="7" t="e">
        <f>IF(VLOOKUP($A1987,'Concrete Beam Schedule'!$A$2:$Q$2902,AB$2,0)&lt;&gt;L1987,"Beam Revised","")</f>
        <v>#N/A</v>
      </c>
      <c r="AC1987" s="7" t="e">
        <f>IF(VLOOKUP($A1987,'Concrete Beam Schedule'!$A$2:$Q$2902,AC$2,0)&lt;&gt;M1987,"Beam Revised","")</f>
        <v>#N/A</v>
      </c>
      <c r="AD1987" s="7" t="e">
        <f>IF(VLOOKUP($A1987,'Concrete Beam Schedule'!$A$2:$Q$2902,AD$2,0)&lt;&gt;N1987,"Beam Revised","")</f>
        <v>#N/A</v>
      </c>
      <c r="AE1987" s="7" t="e">
        <f>IF(VLOOKUP($A1987,'Concrete Beam Schedule'!$A$2:$Q$2902,AE$2,0)&lt;&gt;O1987,"Beam Revised","")</f>
        <v>#N/A</v>
      </c>
    </row>
    <row r="1988" spans="17:31" ht="20.100000000000001" customHeight="1" x14ac:dyDescent="0.25">
      <c r="Q1988" s="7">
        <f t="shared" ref="Q1988:Q2051" si="31">A1988</f>
        <v>0</v>
      </c>
      <c r="R1988" s="7" t="e">
        <f>IF(VLOOKUP($A1988,'Concrete Beam Schedule'!$A$2:$Q$2902,R$2,0)&lt;&gt;B1988,VLOOKUP($A1988,'Concrete Beam Schedule'!$A$2:$Q$2902,R$2,0),"")</f>
        <v>#N/A</v>
      </c>
      <c r="S1988" s="7" t="e">
        <f>IF(VLOOKUP($A1988,'Concrete Beam Schedule'!$A$2:$Q$2902,S$2,0)&lt;&gt;C1988,VLOOKUP($A1988,'Concrete Beam Schedule'!$A$2:$Q$2902,S$2,0),"")</f>
        <v>#N/A</v>
      </c>
      <c r="T1988" s="7" t="e">
        <f>IF(VLOOKUP($A1988,'Concrete Beam Schedule'!$A$2:$Q$2902,T$2,0)&lt;&gt;D1988,"Beam Revised","")</f>
        <v>#N/A</v>
      </c>
      <c r="U1988" s="7" t="e">
        <f>IF(VLOOKUP($A1988,'Concrete Beam Schedule'!$A$2:$Q$2902,U$2,0)&lt;&gt;E1988,"Beam Revised","")</f>
        <v>#N/A</v>
      </c>
      <c r="V1988" s="7" t="e">
        <f>IF(VLOOKUP($A1988,'Concrete Beam Schedule'!$A$2:$Q$2902,V$2,0)&lt;&gt;F1988,"Beam Revised","")</f>
        <v>#N/A</v>
      </c>
      <c r="W1988" s="7" t="e">
        <f>IF(VLOOKUP($A1988,'Concrete Beam Schedule'!$A$2:$Q$2902,W$2,0)&lt;&gt;G1988,"Beam Revised","")</f>
        <v>#N/A</v>
      </c>
      <c r="X1988" s="7" t="e">
        <f>IF(VLOOKUP($A1988,'Concrete Beam Schedule'!$A$2:$Q$2902,X$2,0)&lt;&gt;H1988,"Beam Revised","")</f>
        <v>#N/A</v>
      </c>
      <c r="Y1988" s="7" t="e">
        <f>IF(VLOOKUP($A1988,'Concrete Beam Schedule'!$A$2:$Q$2902,Y$2,0)&lt;&gt;I1988,"Beam Revised","")</f>
        <v>#N/A</v>
      </c>
      <c r="Z1988" s="7" t="e">
        <f>IF(VLOOKUP($A1988,'Concrete Beam Schedule'!$A$2:$Q$2902,Z$2,0)&lt;&gt;J1988,"Beam Revised","")</f>
        <v>#N/A</v>
      </c>
      <c r="AA1988" s="7" t="e">
        <f>IF(VLOOKUP($A1988,'Concrete Beam Schedule'!$A$2:$Q$2902,AA$2,0)&lt;&gt;K1988,"Beam Revised","")</f>
        <v>#N/A</v>
      </c>
      <c r="AB1988" s="7" t="e">
        <f>IF(VLOOKUP($A1988,'Concrete Beam Schedule'!$A$2:$Q$2902,AB$2,0)&lt;&gt;L1988,"Beam Revised","")</f>
        <v>#N/A</v>
      </c>
      <c r="AC1988" s="7" t="e">
        <f>IF(VLOOKUP($A1988,'Concrete Beam Schedule'!$A$2:$Q$2902,AC$2,0)&lt;&gt;M1988,"Beam Revised","")</f>
        <v>#N/A</v>
      </c>
      <c r="AD1988" s="7" t="e">
        <f>IF(VLOOKUP($A1988,'Concrete Beam Schedule'!$A$2:$Q$2902,AD$2,0)&lt;&gt;N1988,"Beam Revised","")</f>
        <v>#N/A</v>
      </c>
      <c r="AE1988" s="7" t="e">
        <f>IF(VLOOKUP($A1988,'Concrete Beam Schedule'!$A$2:$Q$2902,AE$2,0)&lt;&gt;O1988,"Beam Revised","")</f>
        <v>#N/A</v>
      </c>
    </row>
    <row r="1989" spans="17:31" ht="20.100000000000001" customHeight="1" x14ac:dyDescent="0.25">
      <c r="Q1989" s="7">
        <f t="shared" si="31"/>
        <v>0</v>
      </c>
      <c r="R1989" s="7" t="e">
        <f>IF(VLOOKUP($A1989,'Concrete Beam Schedule'!$A$2:$Q$2902,R$2,0)&lt;&gt;B1989,VLOOKUP($A1989,'Concrete Beam Schedule'!$A$2:$Q$2902,R$2,0),"")</f>
        <v>#N/A</v>
      </c>
      <c r="S1989" s="7" t="e">
        <f>IF(VLOOKUP($A1989,'Concrete Beam Schedule'!$A$2:$Q$2902,S$2,0)&lt;&gt;C1989,VLOOKUP($A1989,'Concrete Beam Schedule'!$A$2:$Q$2902,S$2,0),"")</f>
        <v>#N/A</v>
      </c>
      <c r="T1989" s="7" t="e">
        <f>IF(VLOOKUP($A1989,'Concrete Beam Schedule'!$A$2:$Q$2902,T$2,0)&lt;&gt;D1989,"Beam Revised","")</f>
        <v>#N/A</v>
      </c>
      <c r="U1989" s="7" t="e">
        <f>IF(VLOOKUP($A1989,'Concrete Beam Schedule'!$A$2:$Q$2902,U$2,0)&lt;&gt;E1989,"Beam Revised","")</f>
        <v>#N/A</v>
      </c>
      <c r="V1989" s="7" t="e">
        <f>IF(VLOOKUP($A1989,'Concrete Beam Schedule'!$A$2:$Q$2902,V$2,0)&lt;&gt;F1989,"Beam Revised","")</f>
        <v>#N/A</v>
      </c>
      <c r="W1989" s="7" t="e">
        <f>IF(VLOOKUP($A1989,'Concrete Beam Schedule'!$A$2:$Q$2902,W$2,0)&lt;&gt;G1989,"Beam Revised","")</f>
        <v>#N/A</v>
      </c>
      <c r="X1989" s="7" t="e">
        <f>IF(VLOOKUP($A1989,'Concrete Beam Schedule'!$A$2:$Q$2902,X$2,0)&lt;&gt;H1989,"Beam Revised","")</f>
        <v>#N/A</v>
      </c>
      <c r="Y1989" s="7" t="e">
        <f>IF(VLOOKUP($A1989,'Concrete Beam Schedule'!$A$2:$Q$2902,Y$2,0)&lt;&gt;I1989,"Beam Revised","")</f>
        <v>#N/A</v>
      </c>
      <c r="Z1989" s="7" t="e">
        <f>IF(VLOOKUP($A1989,'Concrete Beam Schedule'!$A$2:$Q$2902,Z$2,0)&lt;&gt;J1989,"Beam Revised","")</f>
        <v>#N/A</v>
      </c>
      <c r="AA1989" s="7" t="e">
        <f>IF(VLOOKUP($A1989,'Concrete Beam Schedule'!$A$2:$Q$2902,AA$2,0)&lt;&gt;K1989,"Beam Revised","")</f>
        <v>#N/A</v>
      </c>
      <c r="AB1989" s="7" t="e">
        <f>IF(VLOOKUP($A1989,'Concrete Beam Schedule'!$A$2:$Q$2902,AB$2,0)&lt;&gt;L1989,"Beam Revised","")</f>
        <v>#N/A</v>
      </c>
      <c r="AC1989" s="7" t="e">
        <f>IF(VLOOKUP($A1989,'Concrete Beam Schedule'!$A$2:$Q$2902,AC$2,0)&lt;&gt;M1989,"Beam Revised","")</f>
        <v>#N/A</v>
      </c>
      <c r="AD1989" s="7" t="e">
        <f>IF(VLOOKUP($A1989,'Concrete Beam Schedule'!$A$2:$Q$2902,AD$2,0)&lt;&gt;N1989,"Beam Revised","")</f>
        <v>#N/A</v>
      </c>
      <c r="AE1989" s="7" t="e">
        <f>IF(VLOOKUP($A1989,'Concrete Beam Schedule'!$A$2:$Q$2902,AE$2,0)&lt;&gt;O1989,"Beam Revised","")</f>
        <v>#N/A</v>
      </c>
    </row>
    <row r="1990" spans="17:31" ht="20.100000000000001" customHeight="1" x14ac:dyDescent="0.25">
      <c r="Q1990" s="7">
        <f t="shared" si="31"/>
        <v>0</v>
      </c>
      <c r="R1990" s="7" t="e">
        <f>IF(VLOOKUP($A1990,'Concrete Beam Schedule'!$A$2:$Q$2902,R$2,0)&lt;&gt;B1990,VLOOKUP($A1990,'Concrete Beam Schedule'!$A$2:$Q$2902,R$2,0),"")</f>
        <v>#N/A</v>
      </c>
      <c r="S1990" s="7" t="e">
        <f>IF(VLOOKUP($A1990,'Concrete Beam Schedule'!$A$2:$Q$2902,S$2,0)&lt;&gt;C1990,VLOOKUP($A1990,'Concrete Beam Schedule'!$A$2:$Q$2902,S$2,0),"")</f>
        <v>#N/A</v>
      </c>
      <c r="T1990" s="7" t="e">
        <f>IF(VLOOKUP($A1990,'Concrete Beam Schedule'!$A$2:$Q$2902,T$2,0)&lt;&gt;D1990,"Beam Revised","")</f>
        <v>#N/A</v>
      </c>
      <c r="U1990" s="7" t="e">
        <f>IF(VLOOKUP($A1990,'Concrete Beam Schedule'!$A$2:$Q$2902,U$2,0)&lt;&gt;E1990,"Beam Revised","")</f>
        <v>#N/A</v>
      </c>
      <c r="V1990" s="7" t="e">
        <f>IF(VLOOKUP($A1990,'Concrete Beam Schedule'!$A$2:$Q$2902,V$2,0)&lt;&gt;F1990,"Beam Revised","")</f>
        <v>#N/A</v>
      </c>
      <c r="W1990" s="7" t="e">
        <f>IF(VLOOKUP($A1990,'Concrete Beam Schedule'!$A$2:$Q$2902,W$2,0)&lt;&gt;G1990,"Beam Revised","")</f>
        <v>#N/A</v>
      </c>
      <c r="X1990" s="7" t="e">
        <f>IF(VLOOKUP($A1990,'Concrete Beam Schedule'!$A$2:$Q$2902,X$2,0)&lt;&gt;H1990,"Beam Revised","")</f>
        <v>#N/A</v>
      </c>
      <c r="Y1990" s="7" t="e">
        <f>IF(VLOOKUP($A1990,'Concrete Beam Schedule'!$A$2:$Q$2902,Y$2,0)&lt;&gt;I1990,"Beam Revised","")</f>
        <v>#N/A</v>
      </c>
      <c r="Z1990" s="7" t="e">
        <f>IF(VLOOKUP($A1990,'Concrete Beam Schedule'!$A$2:$Q$2902,Z$2,0)&lt;&gt;J1990,"Beam Revised","")</f>
        <v>#N/A</v>
      </c>
      <c r="AA1990" s="7" t="e">
        <f>IF(VLOOKUP($A1990,'Concrete Beam Schedule'!$A$2:$Q$2902,AA$2,0)&lt;&gt;K1990,"Beam Revised","")</f>
        <v>#N/A</v>
      </c>
      <c r="AB1990" s="7" t="e">
        <f>IF(VLOOKUP($A1990,'Concrete Beam Schedule'!$A$2:$Q$2902,AB$2,0)&lt;&gt;L1990,"Beam Revised","")</f>
        <v>#N/A</v>
      </c>
      <c r="AC1990" s="7" t="e">
        <f>IF(VLOOKUP($A1990,'Concrete Beam Schedule'!$A$2:$Q$2902,AC$2,0)&lt;&gt;M1990,"Beam Revised","")</f>
        <v>#N/A</v>
      </c>
      <c r="AD1990" s="7" t="e">
        <f>IF(VLOOKUP($A1990,'Concrete Beam Schedule'!$A$2:$Q$2902,AD$2,0)&lt;&gt;N1990,"Beam Revised","")</f>
        <v>#N/A</v>
      </c>
      <c r="AE1990" s="7" t="e">
        <f>IF(VLOOKUP($A1990,'Concrete Beam Schedule'!$A$2:$Q$2902,AE$2,0)&lt;&gt;O1990,"Beam Revised","")</f>
        <v>#N/A</v>
      </c>
    </row>
    <row r="1991" spans="17:31" ht="20.100000000000001" customHeight="1" x14ac:dyDescent="0.25">
      <c r="Q1991" s="7">
        <f t="shared" si="31"/>
        <v>0</v>
      </c>
      <c r="R1991" s="7" t="e">
        <f>IF(VLOOKUP($A1991,'Concrete Beam Schedule'!$A$2:$Q$2902,R$2,0)&lt;&gt;B1991,VLOOKUP($A1991,'Concrete Beam Schedule'!$A$2:$Q$2902,R$2,0),"")</f>
        <v>#N/A</v>
      </c>
      <c r="S1991" s="7" t="e">
        <f>IF(VLOOKUP($A1991,'Concrete Beam Schedule'!$A$2:$Q$2902,S$2,0)&lt;&gt;C1991,VLOOKUP($A1991,'Concrete Beam Schedule'!$A$2:$Q$2902,S$2,0),"")</f>
        <v>#N/A</v>
      </c>
      <c r="T1991" s="7" t="e">
        <f>IF(VLOOKUP($A1991,'Concrete Beam Schedule'!$A$2:$Q$2902,T$2,0)&lt;&gt;D1991,"Beam Revised","")</f>
        <v>#N/A</v>
      </c>
      <c r="U1991" s="7" t="e">
        <f>IF(VLOOKUP($A1991,'Concrete Beam Schedule'!$A$2:$Q$2902,U$2,0)&lt;&gt;E1991,"Beam Revised","")</f>
        <v>#N/A</v>
      </c>
      <c r="V1991" s="7" t="e">
        <f>IF(VLOOKUP($A1991,'Concrete Beam Schedule'!$A$2:$Q$2902,V$2,0)&lt;&gt;F1991,"Beam Revised","")</f>
        <v>#N/A</v>
      </c>
      <c r="W1991" s="7" t="e">
        <f>IF(VLOOKUP($A1991,'Concrete Beam Schedule'!$A$2:$Q$2902,W$2,0)&lt;&gt;G1991,"Beam Revised","")</f>
        <v>#N/A</v>
      </c>
      <c r="X1991" s="7" t="e">
        <f>IF(VLOOKUP($A1991,'Concrete Beam Schedule'!$A$2:$Q$2902,X$2,0)&lt;&gt;H1991,"Beam Revised","")</f>
        <v>#N/A</v>
      </c>
      <c r="Y1991" s="7" t="e">
        <f>IF(VLOOKUP($A1991,'Concrete Beam Schedule'!$A$2:$Q$2902,Y$2,0)&lt;&gt;I1991,"Beam Revised","")</f>
        <v>#N/A</v>
      </c>
      <c r="Z1991" s="7" t="e">
        <f>IF(VLOOKUP($A1991,'Concrete Beam Schedule'!$A$2:$Q$2902,Z$2,0)&lt;&gt;J1991,"Beam Revised","")</f>
        <v>#N/A</v>
      </c>
      <c r="AA1991" s="7" t="e">
        <f>IF(VLOOKUP($A1991,'Concrete Beam Schedule'!$A$2:$Q$2902,AA$2,0)&lt;&gt;K1991,"Beam Revised","")</f>
        <v>#N/A</v>
      </c>
      <c r="AB1991" s="7" t="e">
        <f>IF(VLOOKUP($A1991,'Concrete Beam Schedule'!$A$2:$Q$2902,AB$2,0)&lt;&gt;L1991,"Beam Revised","")</f>
        <v>#N/A</v>
      </c>
      <c r="AC1991" s="7" t="e">
        <f>IF(VLOOKUP($A1991,'Concrete Beam Schedule'!$A$2:$Q$2902,AC$2,0)&lt;&gt;M1991,"Beam Revised","")</f>
        <v>#N/A</v>
      </c>
      <c r="AD1991" s="7" t="e">
        <f>IF(VLOOKUP($A1991,'Concrete Beam Schedule'!$A$2:$Q$2902,AD$2,0)&lt;&gt;N1991,"Beam Revised","")</f>
        <v>#N/A</v>
      </c>
      <c r="AE1991" s="7" t="e">
        <f>IF(VLOOKUP($A1991,'Concrete Beam Schedule'!$A$2:$Q$2902,AE$2,0)&lt;&gt;O1991,"Beam Revised","")</f>
        <v>#N/A</v>
      </c>
    </row>
    <row r="1992" spans="17:31" ht="20.100000000000001" customHeight="1" x14ac:dyDescent="0.25">
      <c r="Q1992" s="7">
        <f t="shared" si="31"/>
        <v>0</v>
      </c>
      <c r="R1992" s="7" t="e">
        <f>IF(VLOOKUP($A1992,'Concrete Beam Schedule'!$A$2:$Q$2902,R$2,0)&lt;&gt;B1992,VLOOKUP($A1992,'Concrete Beam Schedule'!$A$2:$Q$2902,R$2,0),"")</f>
        <v>#N/A</v>
      </c>
      <c r="S1992" s="7" t="e">
        <f>IF(VLOOKUP($A1992,'Concrete Beam Schedule'!$A$2:$Q$2902,S$2,0)&lt;&gt;C1992,VLOOKUP($A1992,'Concrete Beam Schedule'!$A$2:$Q$2902,S$2,0),"")</f>
        <v>#N/A</v>
      </c>
      <c r="T1992" s="7" t="e">
        <f>IF(VLOOKUP($A1992,'Concrete Beam Schedule'!$A$2:$Q$2902,T$2,0)&lt;&gt;D1992,"Beam Revised","")</f>
        <v>#N/A</v>
      </c>
      <c r="U1992" s="7" t="e">
        <f>IF(VLOOKUP($A1992,'Concrete Beam Schedule'!$A$2:$Q$2902,U$2,0)&lt;&gt;E1992,"Beam Revised","")</f>
        <v>#N/A</v>
      </c>
      <c r="V1992" s="7" t="e">
        <f>IF(VLOOKUP($A1992,'Concrete Beam Schedule'!$A$2:$Q$2902,V$2,0)&lt;&gt;F1992,"Beam Revised","")</f>
        <v>#N/A</v>
      </c>
      <c r="W1992" s="7" t="e">
        <f>IF(VLOOKUP($A1992,'Concrete Beam Schedule'!$A$2:$Q$2902,W$2,0)&lt;&gt;G1992,"Beam Revised","")</f>
        <v>#N/A</v>
      </c>
      <c r="X1992" s="7" t="e">
        <f>IF(VLOOKUP($A1992,'Concrete Beam Schedule'!$A$2:$Q$2902,X$2,0)&lt;&gt;H1992,"Beam Revised","")</f>
        <v>#N/A</v>
      </c>
      <c r="Y1992" s="7" t="e">
        <f>IF(VLOOKUP($A1992,'Concrete Beam Schedule'!$A$2:$Q$2902,Y$2,0)&lt;&gt;I1992,"Beam Revised","")</f>
        <v>#N/A</v>
      </c>
      <c r="Z1992" s="7" t="e">
        <f>IF(VLOOKUP($A1992,'Concrete Beam Schedule'!$A$2:$Q$2902,Z$2,0)&lt;&gt;J1992,"Beam Revised","")</f>
        <v>#N/A</v>
      </c>
      <c r="AA1992" s="7" t="e">
        <f>IF(VLOOKUP($A1992,'Concrete Beam Schedule'!$A$2:$Q$2902,AA$2,0)&lt;&gt;K1992,"Beam Revised","")</f>
        <v>#N/A</v>
      </c>
      <c r="AB1992" s="7" t="e">
        <f>IF(VLOOKUP($A1992,'Concrete Beam Schedule'!$A$2:$Q$2902,AB$2,0)&lt;&gt;L1992,"Beam Revised","")</f>
        <v>#N/A</v>
      </c>
      <c r="AC1992" s="7" t="e">
        <f>IF(VLOOKUP($A1992,'Concrete Beam Schedule'!$A$2:$Q$2902,AC$2,0)&lt;&gt;M1992,"Beam Revised","")</f>
        <v>#N/A</v>
      </c>
      <c r="AD1992" s="7" t="e">
        <f>IF(VLOOKUP($A1992,'Concrete Beam Schedule'!$A$2:$Q$2902,AD$2,0)&lt;&gt;N1992,"Beam Revised","")</f>
        <v>#N/A</v>
      </c>
      <c r="AE1992" s="7" t="e">
        <f>IF(VLOOKUP($A1992,'Concrete Beam Schedule'!$A$2:$Q$2902,AE$2,0)&lt;&gt;O1992,"Beam Revised","")</f>
        <v>#N/A</v>
      </c>
    </row>
    <row r="1993" spans="17:31" ht="20.100000000000001" customHeight="1" x14ac:dyDescent="0.25">
      <c r="Q1993" s="7">
        <f t="shared" si="31"/>
        <v>0</v>
      </c>
      <c r="R1993" s="7" t="e">
        <f>IF(VLOOKUP($A1993,'Concrete Beam Schedule'!$A$2:$Q$2902,R$2,0)&lt;&gt;B1993,VLOOKUP($A1993,'Concrete Beam Schedule'!$A$2:$Q$2902,R$2,0),"")</f>
        <v>#N/A</v>
      </c>
      <c r="S1993" s="7" t="e">
        <f>IF(VLOOKUP($A1993,'Concrete Beam Schedule'!$A$2:$Q$2902,S$2,0)&lt;&gt;C1993,VLOOKUP($A1993,'Concrete Beam Schedule'!$A$2:$Q$2902,S$2,0),"")</f>
        <v>#N/A</v>
      </c>
      <c r="T1993" s="7" t="e">
        <f>IF(VLOOKUP($A1993,'Concrete Beam Schedule'!$A$2:$Q$2902,T$2,0)&lt;&gt;D1993,"Beam Revised","")</f>
        <v>#N/A</v>
      </c>
      <c r="U1993" s="7" t="e">
        <f>IF(VLOOKUP($A1993,'Concrete Beam Schedule'!$A$2:$Q$2902,U$2,0)&lt;&gt;E1993,"Beam Revised","")</f>
        <v>#N/A</v>
      </c>
      <c r="V1993" s="7" t="e">
        <f>IF(VLOOKUP($A1993,'Concrete Beam Schedule'!$A$2:$Q$2902,V$2,0)&lt;&gt;F1993,"Beam Revised","")</f>
        <v>#N/A</v>
      </c>
      <c r="W1993" s="7" t="e">
        <f>IF(VLOOKUP($A1993,'Concrete Beam Schedule'!$A$2:$Q$2902,W$2,0)&lt;&gt;G1993,"Beam Revised","")</f>
        <v>#N/A</v>
      </c>
      <c r="X1993" s="7" t="e">
        <f>IF(VLOOKUP($A1993,'Concrete Beam Schedule'!$A$2:$Q$2902,X$2,0)&lt;&gt;H1993,"Beam Revised","")</f>
        <v>#N/A</v>
      </c>
      <c r="Y1993" s="7" t="e">
        <f>IF(VLOOKUP($A1993,'Concrete Beam Schedule'!$A$2:$Q$2902,Y$2,0)&lt;&gt;I1993,"Beam Revised","")</f>
        <v>#N/A</v>
      </c>
      <c r="Z1993" s="7" t="e">
        <f>IF(VLOOKUP($A1993,'Concrete Beam Schedule'!$A$2:$Q$2902,Z$2,0)&lt;&gt;J1993,"Beam Revised","")</f>
        <v>#N/A</v>
      </c>
      <c r="AA1993" s="7" t="e">
        <f>IF(VLOOKUP($A1993,'Concrete Beam Schedule'!$A$2:$Q$2902,AA$2,0)&lt;&gt;K1993,"Beam Revised","")</f>
        <v>#N/A</v>
      </c>
      <c r="AB1993" s="7" t="e">
        <f>IF(VLOOKUP($A1993,'Concrete Beam Schedule'!$A$2:$Q$2902,AB$2,0)&lt;&gt;L1993,"Beam Revised","")</f>
        <v>#N/A</v>
      </c>
      <c r="AC1993" s="7" t="e">
        <f>IF(VLOOKUP($A1993,'Concrete Beam Schedule'!$A$2:$Q$2902,AC$2,0)&lt;&gt;M1993,"Beam Revised","")</f>
        <v>#N/A</v>
      </c>
      <c r="AD1993" s="7" t="e">
        <f>IF(VLOOKUP($A1993,'Concrete Beam Schedule'!$A$2:$Q$2902,AD$2,0)&lt;&gt;N1993,"Beam Revised","")</f>
        <v>#N/A</v>
      </c>
      <c r="AE1993" s="7" t="e">
        <f>IF(VLOOKUP($A1993,'Concrete Beam Schedule'!$A$2:$Q$2902,AE$2,0)&lt;&gt;O1993,"Beam Revised","")</f>
        <v>#N/A</v>
      </c>
    </row>
    <row r="1994" spans="17:31" ht="20.100000000000001" customHeight="1" x14ac:dyDescent="0.25">
      <c r="Q1994" s="7">
        <f t="shared" si="31"/>
        <v>0</v>
      </c>
      <c r="R1994" s="7" t="e">
        <f>IF(VLOOKUP($A1994,'Concrete Beam Schedule'!$A$2:$Q$2902,R$2,0)&lt;&gt;B1994,VLOOKUP($A1994,'Concrete Beam Schedule'!$A$2:$Q$2902,R$2,0),"")</f>
        <v>#N/A</v>
      </c>
      <c r="S1994" s="7" t="e">
        <f>IF(VLOOKUP($A1994,'Concrete Beam Schedule'!$A$2:$Q$2902,S$2,0)&lt;&gt;C1994,VLOOKUP($A1994,'Concrete Beam Schedule'!$A$2:$Q$2902,S$2,0),"")</f>
        <v>#N/A</v>
      </c>
      <c r="T1994" s="7" t="e">
        <f>IF(VLOOKUP($A1994,'Concrete Beam Schedule'!$A$2:$Q$2902,T$2,0)&lt;&gt;D1994,"Beam Revised","")</f>
        <v>#N/A</v>
      </c>
      <c r="U1994" s="7" t="e">
        <f>IF(VLOOKUP($A1994,'Concrete Beam Schedule'!$A$2:$Q$2902,U$2,0)&lt;&gt;E1994,"Beam Revised","")</f>
        <v>#N/A</v>
      </c>
      <c r="V1994" s="7" t="e">
        <f>IF(VLOOKUP($A1994,'Concrete Beam Schedule'!$A$2:$Q$2902,V$2,0)&lt;&gt;F1994,"Beam Revised","")</f>
        <v>#N/A</v>
      </c>
      <c r="W1994" s="7" t="e">
        <f>IF(VLOOKUP($A1994,'Concrete Beam Schedule'!$A$2:$Q$2902,W$2,0)&lt;&gt;G1994,"Beam Revised","")</f>
        <v>#N/A</v>
      </c>
      <c r="X1994" s="7" t="e">
        <f>IF(VLOOKUP($A1994,'Concrete Beam Schedule'!$A$2:$Q$2902,X$2,0)&lt;&gt;H1994,"Beam Revised","")</f>
        <v>#N/A</v>
      </c>
      <c r="Y1994" s="7" t="e">
        <f>IF(VLOOKUP($A1994,'Concrete Beam Schedule'!$A$2:$Q$2902,Y$2,0)&lt;&gt;I1994,"Beam Revised","")</f>
        <v>#N/A</v>
      </c>
      <c r="Z1994" s="7" t="e">
        <f>IF(VLOOKUP($A1994,'Concrete Beam Schedule'!$A$2:$Q$2902,Z$2,0)&lt;&gt;J1994,"Beam Revised","")</f>
        <v>#N/A</v>
      </c>
      <c r="AA1994" s="7" t="e">
        <f>IF(VLOOKUP($A1994,'Concrete Beam Schedule'!$A$2:$Q$2902,AA$2,0)&lt;&gt;K1994,"Beam Revised","")</f>
        <v>#N/A</v>
      </c>
      <c r="AB1994" s="7" t="e">
        <f>IF(VLOOKUP($A1994,'Concrete Beam Schedule'!$A$2:$Q$2902,AB$2,0)&lt;&gt;L1994,"Beam Revised","")</f>
        <v>#N/A</v>
      </c>
      <c r="AC1994" s="7" t="e">
        <f>IF(VLOOKUP($A1994,'Concrete Beam Schedule'!$A$2:$Q$2902,AC$2,0)&lt;&gt;M1994,"Beam Revised","")</f>
        <v>#N/A</v>
      </c>
      <c r="AD1994" s="7" t="e">
        <f>IF(VLOOKUP($A1994,'Concrete Beam Schedule'!$A$2:$Q$2902,AD$2,0)&lt;&gt;N1994,"Beam Revised","")</f>
        <v>#N/A</v>
      </c>
      <c r="AE1994" s="7" t="e">
        <f>IF(VLOOKUP($A1994,'Concrete Beam Schedule'!$A$2:$Q$2902,AE$2,0)&lt;&gt;O1994,"Beam Revised","")</f>
        <v>#N/A</v>
      </c>
    </row>
    <row r="1995" spans="17:31" ht="20.100000000000001" customHeight="1" x14ac:dyDescent="0.25">
      <c r="Q1995" s="7">
        <f t="shared" si="31"/>
        <v>0</v>
      </c>
      <c r="R1995" s="7" t="e">
        <f>IF(VLOOKUP($A1995,'Concrete Beam Schedule'!$A$2:$Q$2902,R$2,0)&lt;&gt;B1995,VLOOKUP($A1995,'Concrete Beam Schedule'!$A$2:$Q$2902,R$2,0),"")</f>
        <v>#N/A</v>
      </c>
      <c r="S1995" s="7" t="e">
        <f>IF(VLOOKUP($A1995,'Concrete Beam Schedule'!$A$2:$Q$2902,S$2,0)&lt;&gt;C1995,VLOOKUP($A1995,'Concrete Beam Schedule'!$A$2:$Q$2902,S$2,0),"")</f>
        <v>#N/A</v>
      </c>
      <c r="T1995" s="7" t="e">
        <f>IF(VLOOKUP($A1995,'Concrete Beam Schedule'!$A$2:$Q$2902,T$2,0)&lt;&gt;D1995,"Beam Revised","")</f>
        <v>#N/A</v>
      </c>
      <c r="U1995" s="7" t="e">
        <f>IF(VLOOKUP($A1995,'Concrete Beam Schedule'!$A$2:$Q$2902,U$2,0)&lt;&gt;E1995,"Beam Revised","")</f>
        <v>#N/A</v>
      </c>
      <c r="V1995" s="7" t="e">
        <f>IF(VLOOKUP($A1995,'Concrete Beam Schedule'!$A$2:$Q$2902,V$2,0)&lt;&gt;F1995,"Beam Revised","")</f>
        <v>#N/A</v>
      </c>
      <c r="W1995" s="7" t="e">
        <f>IF(VLOOKUP($A1995,'Concrete Beam Schedule'!$A$2:$Q$2902,W$2,0)&lt;&gt;G1995,"Beam Revised","")</f>
        <v>#N/A</v>
      </c>
      <c r="X1995" s="7" t="e">
        <f>IF(VLOOKUP($A1995,'Concrete Beam Schedule'!$A$2:$Q$2902,X$2,0)&lt;&gt;H1995,"Beam Revised","")</f>
        <v>#N/A</v>
      </c>
      <c r="Y1995" s="7" t="e">
        <f>IF(VLOOKUP($A1995,'Concrete Beam Schedule'!$A$2:$Q$2902,Y$2,0)&lt;&gt;I1995,"Beam Revised","")</f>
        <v>#N/A</v>
      </c>
      <c r="Z1995" s="7" t="e">
        <f>IF(VLOOKUP($A1995,'Concrete Beam Schedule'!$A$2:$Q$2902,Z$2,0)&lt;&gt;J1995,"Beam Revised","")</f>
        <v>#N/A</v>
      </c>
      <c r="AA1995" s="7" t="e">
        <f>IF(VLOOKUP($A1995,'Concrete Beam Schedule'!$A$2:$Q$2902,AA$2,0)&lt;&gt;K1995,"Beam Revised","")</f>
        <v>#N/A</v>
      </c>
      <c r="AB1995" s="7" t="e">
        <f>IF(VLOOKUP($A1995,'Concrete Beam Schedule'!$A$2:$Q$2902,AB$2,0)&lt;&gt;L1995,"Beam Revised","")</f>
        <v>#N/A</v>
      </c>
      <c r="AC1995" s="7" t="e">
        <f>IF(VLOOKUP($A1995,'Concrete Beam Schedule'!$A$2:$Q$2902,AC$2,0)&lt;&gt;M1995,"Beam Revised","")</f>
        <v>#N/A</v>
      </c>
      <c r="AD1995" s="7" t="e">
        <f>IF(VLOOKUP($A1995,'Concrete Beam Schedule'!$A$2:$Q$2902,AD$2,0)&lt;&gt;N1995,"Beam Revised","")</f>
        <v>#N/A</v>
      </c>
      <c r="AE1995" s="7" t="e">
        <f>IF(VLOOKUP($A1995,'Concrete Beam Schedule'!$A$2:$Q$2902,AE$2,0)&lt;&gt;O1995,"Beam Revised","")</f>
        <v>#N/A</v>
      </c>
    </row>
    <row r="1996" spans="17:31" ht="20.100000000000001" customHeight="1" x14ac:dyDescent="0.25">
      <c r="Q1996" s="7">
        <f t="shared" si="31"/>
        <v>0</v>
      </c>
      <c r="R1996" s="7" t="e">
        <f>IF(VLOOKUP($A1996,'Concrete Beam Schedule'!$A$2:$Q$2902,R$2,0)&lt;&gt;B1996,VLOOKUP($A1996,'Concrete Beam Schedule'!$A$2:$Q$2902,R$2,0),"")</f>
        <v>#N/A</v>
      </c>
      <c r="S1996" s="7" t="e">
        <f>IF(VLOOKUP($A1996,'Concrete Beam Schedule'!$A$2:$Q$2902,S$2,0)&lt;&gt;C1996,VLOOKUP($A1996,'Concrete Beam Schedule'!$A$2:$Q$2902,S$2,0),"")</f>
        <v>#N/A</v>
      </c>
      <c r="T1996" s="7" t="e">
        <f>IF(VLOOKUP($A1996,'Concrete Beam Schedule'!$A$2:$Q$2902,T$2,0)&lt;&gt;D1996,"Beam Revised","")</f>
        <v>#N/A</v>
      </c>
      <c r="U1996" s="7" t="e">
        <f>IF(VLOOKUP($A1996,'Concrete Beam Schedule'!$A$2:$Q$2902,U$2,0)&lt;&gt;E1996,"Beam Revised","")</f>
        <v>#N/A</v>
      </c>
      <c r="V1996" s="7" t="e">
        <f>IF(VLOOKUP($A1996,'Concrete Beam Schedule'!$A$2:$Q$2902,V$2,0)&lt;&gt;F1996,"Beam Revised","")</f>
        <v>#N/A</v>
      </c>
      <c r="W1996" s="7" t="e">
        <f>IF(VLOOKUP($A1996,'Concrete Beam Schedule'!$A$2:$Q$2902,W$2,0)&lt;&gt;G1996,"Beam Revised","")</f>
        <v>#N/A</v>
      </c>
      <c r="X1996" s="7" t="e">
        <f>IF(VLOOKUP($A1996,'Concrete Beam Schedule'!$A$2:$Q$2902,X$2,0)&lt;&gt;H1996,"Beam Revised","")</f>
        <v>#N/A</v>
      </c>
      <c r="Y1996" s="7" t="e">
        <f>IF(VLOOKUP($A1996,'Concrete Beam Schedule'!$A$2:$Q$2902,Y$2,0)&lt;&gt;I1996,"Beam Revised","")</f>
        <v>#N/A</v>
      </c>
      <c r="Z1996" s="7" t="e">
        <f>IF(VLOOKUP($A1996,'Concrete Beam Schedule'!$A$2:$Q$2902,Z$2,0)&lt;&gt;J1996,"Beam Revised","")</f>
        <v>#N/A</v>
      </c>
      <c r="AA1996" s="7" t="e">
        <f>IF(VLOOKUP($A1996,'Concrete Beam Schedule'!$A$2:$Q$2902,AA$2,0)&lt;&gt;K1996,"Beam Revised","")</f>
        <v>#N/A</v>
      </c>
      <c r="AB1996" s="7" t="e">
        <f>IF(VLOOKUP($A1996,'Concrete Beam Schedule'!$A$2:$Q$2902,AB$2,0)&lt;&gt;L1996,"Beam Revised","")</f>
        <v>#N/A</v>
      </c>
      <c r="AC1996" s="7" t="e">
        <f>IF(VLOOKUP($A1996,'Concrete Beam Schedule'!$A$2:$Q$2902,AC$2,0)&lt;&gt;M1996,"Beam Revised","")</f>
        <v>#N/A</v>
      </c>
      <c r="AD1996" s="7" t="e">
        <f>IF(VLOOKUP($A1996,'Concrete Beam Schedule'!$A$2:$Q$2902,AD$2,0)&lt;&gt;N1996,"Beam Revised","")</f>
        <v>#N/A</v>
      </c>
      <c r="AE1996" s="7" t="e">
        <f>IF(VLOOKUP($A1996,'Concrete Beam Schedule'!$A$2:$Q$2902,AE$2,0)&lt;&gt;O1996,"Beam Revised","")</f>
        <v>#N/A</v>
      </c>
    </row>
    <row r="1997" spans="17:31" ht="20.100000000000001" customHeight="1" x14ac:dyDescent="0.25">
      <c r="Q1997" s="7">
        <f t="shared" si="31"/>
        <v>0</v>
      </c>
      <c r="R1997" s="7" t="e">
        <f>IF(VLOOKUP($A1997,'Concrete Beam Schedule'!$A$2:$Q$2902,R$2,0)&lt;&gt;B1997,VLOOKUP($A1997,'Concrete Beam Schedule'!$A$2:$Q$2902,R$2,0),"")</f>
        <v>#N/A</v>
      </c>
      <c r="S1997" s="7" t="e">
        <f>IF(VLOOKUP($A1997,'Concrete Beam Schedule'!$A$2:$Q$2902,S$2,0)&lt;&gt;C1997,VLOOKUP($A1997,'Concrete Beam Schedule'!$A$2:$Q$2902,S$2,0),"")</f>
        <v>#N/A</v>
      </c>
      <c r="T1997" s="7" t="e">
        <f>IF(VLOOKUP($A1997,'Concrete Beam Schedule'!$A$2:$Q$2902,T$2,0)&lt;&gt;D1997,"Beam Revised","")</f>
        <v>#N/A</v>
      </c>
      <c r="U1997" s="7" t="e">
        <f>IF(VLOOKUP($A1997,'Concrete Beam Schedule'!$A$2:$Q$2902,U$2,0)&lt;&gt;E1997,"Beam Revised","")</f>
        <v>#N/A</v>
      </c>
      <c r="V1997" s="7" t="e">
        <f>IF(VLOOKUP($A1997,'Concrete Beam Schedule'!$A$2:$Q$2902,V$2,0)&lt;&gt;F1997,"Beam Revised","")</f>
        <v>#N/A</v>
      </c>
      <c r="W1997" s="7" t="e">
        <f>IF(VLOOKUP($A1997,'Concrete Beam Schedule'!$A$2:$Q$2902,W$2,0)&lt;&gt;G1997,"Beam Revised","")</f>
        <v>#N/A</v>
      </c>
      <c r="X1997" s="7" t="e">
        <f>IF(VLOOKUP($A1997,'Concrete Beam Schedule'!$A$2:$Q$2902,X$2,0)&lt;&gt;H1997,"Beam Revised","")</f>
        <v>#N/A</v>
      </c>
      <c r="Y1997" s="7" t="e">
        <f>IF(VLOOKUP($A1997,'Concrete Beam Schedule'!$A$2:$Q$2902,Y$2,0)&lt;&gt;I1997,"Beam Revised","")</f>
        <v>#N/A</v>
      </c>
      <c r="Z1997" s="7" t="e">
        <f>IF(VLOOKUP($A1997,'Concrete Beam Schedule'!$A$2:$Q$2902,Z$2,0)&lt;&gt;J1997,"Beam Revised","")</f>
        <v>#N/A</v>
      </c>
      <c r="AA1997" s="7" t="e">
        <f>IF(VLOOKUP($A1997,'Concrete Beam Schedule'!$A$2:$Q$2902,AA$2,0)&lt;&gt;K1997,"Beam Revised","")</f>
        <v>#N/A</v>
      </c>
      <c r="AB1997" s="7" t="e">
        <f>IF(VLOOKUP($A1997,'Concrete Beam Schedule'!$A$2:$Q$2902,AB$2,0)&lt;&gt;L1997,"Beam Revised","")</f>
        <v>#N/A</v>
      </c>
      <c r="AC1997" s="7" t="e">
        <f>IF(VLOOKUP($A1997,'Concrete Beam Schedule'!$A$2:$Q$2902,AC$2,0)&lt;&gt;M1997,"Beam Revised","")</f>
        <v>#N/A</v>
      </c>
      <c r="AD1997" s="7" t="e">
        <f>IF(VLOOKUP($A1997,'Concrete Beam Schedule'!$A$2:$Q$2902,AD$2,0)&lt;&gt;N1997,"Beam Revised","")</f>
        <v>#N/A</v>
      </c>
      <c r="AE1997" s="7" t="e">
        <f>IF(VLOOKUP($A1997,'Concrete Beam Schedule'!$A$2:$Q$2902,AE$2,0)&lt;&gt;O1997,"Beam Revised","")</f>
        <v>#N/A</v>
      </c>
    </row>
    <row r="1998" spans="17:31" ht="20.100000000000001" customHeight="1" x14ac:dyDescent="0.25">
      <c r="Q1998" s="7">
        <f t="shared" si="31"/>
        <v>0</v>
      </c>
      <c r="R1998" s="7" t="e">
        <f>IF(VLOOKUP($A1998,'Concrete Beam Schedule'!$A$2:$Q$2902,R$2,0)&lt;&gt;B1998,VLOOKUP($A1998,'Concrete Beam Schedule'!$A$2:$Q$2902,R$2,0),"")</f>
        <v>#N/A</v>
      </c>
      <c r="S1998" s="7" t="e">
        <f>IF(VLOOKUP($A1998,'Concrete Beam Schedule'!$A$2:$Q$2902,S$2,0)&lt;&gt;C1998,VLOOKUP($A1998,'Concrete Beam Schedule'!$A$2:$Q$2902,S$2,0),"")</f>
        <v>#N/A</v>
      </c>
      <c r="T1998" s="7" t="e">
        <f>IF(VLOOKUP($A1998,'Concrete Beam Schedule'!$A$2:$Q$2902,T$2,0)&lt;&gt;D1998,"Beam Revised","")</f>
        <v>#N/A</v>
      </c>
      <c r="U1998" s="7" t="e">
        <f>IF(VLOOKUP($A1998,'Concrete Beam Schedule'!$A$2:$Q$2902,U$2,0)&lt;&gt;E1998,"Beam Revised","")</f>
        <v>#N/A</v>
      </c>
      <c r="V1998" s="7" t="e">
        <f>IF(VLOOKUP($A1998,'Concrete Beam Schedule'!$A$2:$Q$2902,V$2,0)&lt;&gt;F1998,"Beam Revised","")</f>
        <v>#N/A</v>
      </c>
      <c r="W1998" s="7" t="e">
        <f>IF(VLOOKUP($A1998,'Concrete Beam Schedule'!$A$2:$Q$2902,W$2,0)&lt;&gt;G1998,"Beam Revised","")</f>
        <v>#N/A</v>
      </c>
      <c r="X1998" s="7" t="e">
        <f>IF(VLOOKUP($A1998,'Concrete Beam Schedule'!$A$2:$Q$2902,X$2,0)&lt;&gt;H1998,"Beam Revised","")</f>
        <v>#N/A</v>
      </c>
      <c r="Y1998" s="7" t="e">
        <f>IF(VLOOKUP($A1998,'Concrete Beam Schedule'!$A$2:$Q$2902,Y$2,0)&lt;&gt;I1998,"Beam Revised","")</f>
        <v>#N/A</v>
      </c>
      <c r="Z1998" s="7" t="e">
        <f>IF(VLOOKUP($A1998,'Concrete Beam Schedule'!$A$2:$Q$2902,Z$2,0)&lt;&gt;J1998,"Beam Revised","")</f>
        <v>#N/A</v>
      </c>
      <c r="AA1998" s="7" t="e">
        <f>IF(VLOOKUP($A1998,'Concrete Beam Schedule'!$A$2:$Q$2902,AA$2,0)&lt;&gt;K1998,"Beam Revised","")</f>
        <v>#N/A</v>
      </c>
      <c r="AB1998" s="7" t="e">
        <f>IF(VLOOKUP($A1998,'Concrete Beam Schedule'!$A$2:$Q$2902,AB$2,0)&lt;&gt;L1998,"Beam Revised","")</f>
        <v>#N/A</v>
      </c>
      <c r="AC1998" s="7" t="e">
        <f>IF(VLOOKUP($A1998,'Concrete Beam Schedule'!$A$2:$Q$2902,AC$2,0)&lt;&gt;M1998,"Beam Revised","")</f>
        <v>#N/A</v>
      </c>
      <c r="AD1998" s="7" t="e">
        <f>IF(VLOOKUP($A1998,'Concrete Beam Schedule'!$A$2:$Q$2902,AD$2,0)&lt;&gt;N1998,"Beam Revised","")</f>
        <v>#N/A</v>
      </c>
      <c r="AE1998" s="7" t="e">
        <f>IF(VLOOKUP($A1998,'Concrete Beam Schedule'!$A$2:$Q$2902,AE$2,0)&lt;&gt;O1998,"Beam Revised","")</f>
        <v>#N/A</v>
      </c>
    </row>
    <row r="1999" spans="17:31" ht="20.100000000000001" customHeight="1" x14ac:dyDescent="0.25">
      <c r="Q1999" s="7">
        <f t="shared" si="31"/>
        <v>0</v>
      </c>
      <c r="R1999" s="7" t="e">
        <f>IF(VLOOKUP($A1999,'Concrete Beam Schedule'!$A$2:$Q$2902,R$2,0)&lt;&gt;B1999,VLOOKUP($A1999,'Concrete Beam Schedule'!$A$2:$Q$2902,R$2,0),"")</f>
        <v>#N/A</v>
      </c>
      <c r="S1999" s="7" t="e">
        <f>IF(VLOOKUP($A1999,'Concrete Beam Schedule'!$A$2:$Q$2902,S$2,0)&lt;&gt;C1999,VLOOKUP($A1999,'Concrete Beam Schedule'!$A$2:$Q$2902,S$2,0),"")</f>
        <v>#N/A</v>
      </c>
      <c r="T1999" s="7" t="e">
        <f>IF(VLOOKUP($A1999,'Concrete Beam Schedule'!$A$2:$Q$2902,T$2,0)&lt;&gt;D1999,"Beam Revised","")</f>
        <v>#N/A</v>
      </c>
      <c r="U1999" s="7" t="e">
        <f>IF(VLOOKUP($A1999,'Concrete Beam Schedule'!$A$2:$Q$2902,U$2,0)&lt;&gt;E1999,"Beam Revised","")</f>
        <v>#N/A</v>
      </c>
      <c r="V1999" s="7" t="e">
        <f>IF(VLOOKUP($A1999,'Concrete Beam Schedule'!$A$2:$Q$2902,V$2,0)&lt;&gt;F1999,"Beam Revised","")</f>
        <v>#N/A</v>
      </c>
      <c r="W1999" s="7" t="e">
        <f>IF(VLOOKUP($A1999,'Concrete Beam Schedule'!$A$2:$Q$2902,W$2,0)&lt;&gt;G1999,"Beam Revised","")</f>
        <v>#N/A</v>
      </c>
      <c r="X1999" s="7" t="e">
        <f>IF(VLOOKUP($A1999,'Concrete Beam Schedule'!$A$2:$Q$2902,X$2,0)&lt;&gt;H1999,"Beam Revised","")</f>
        <v>#N/A</v>
      </c>
      <c r="Y1999" s="7" t="e">
        <f>IF(VLOOKUP($A1999,'Concrete Beam Schedule'!$A$2:$Q$2902,Y$2,0)&lt;&gt;I1999,"Beam Revised","")</f>
        <v>#N/A</v>
      </c>
      <c r="Z1999" s="7" t="e">
        <f>IF(VLOOKUP($A1999,'Concrete Beam Schedule'!$A$2:$Q$2902,Z$2,0)&lt;&gt;J1999,"Beam Revised","")</f>
        <v>#N/A</v>
      </c>
      <c r="AA1999" s="7" t="e">
        <f>IF(VLOOKUP($A1999,'Concrete Beam Schedule'!$A$2:$Q$2902,AA$2,0)&lt;&gt;K1999,"Beam Revised","")</f>
        <v>#N/A</v>
      </c>
      <c r="AB1999" s="7" t="e">
        <f>IF(VLOOKUP($A1999,'Concrete Beam Schedule'!$A$2:$Q$2902,AB$2,0)&lt;&gt;L1999,"Beam Revised","")</f>
        <v>#N/A</v>
      </c>
      <c r="AC1999" s="7" t="e">
        <f>IF(VLOOKUP($A1999,'Concrete Beam Schedule'!$A$2:$Q$2902,AC$2,0)&lt;&gt;M1999,"Beam Revised","")</f>
        <v>#N/A</v>
      </c>
      <c r="AD1999" s="7" t="e">
        <f>IF(VLOOKUP($A1999,'Concrete Beam Schedule'!$A$2:$Q$2902,AD$2,0)&lt;&gt;N1999,"Beam Revised","")</f>
        <v>#N/A</v>
      </c>
      <c r="AE1999" s="7" t="e">
        <f>IF(VLOOKUP($A1999,'Concrete Beam Schedule'!$A$2:$Q$2902,AE$2,0)&lt;&gt;O1999,"Beam Revised","")</f>
        <v>#N/A</v>
      </c>
    </row>
    <row r="2000" spans="17:31" ht="20.100000000000001" customHeight="1" x14ac:dyDescent="0.25">
      <c r="Q2000" s="7">
        <f t="shared" si="31"/>
        <v>0</v>
      </c>
      <c r="R2000" s="7" t="e">
        <f>IF(VLOOKUP($A2000,'Concrete Beam Schedule'!$A$2:$Q$2902,R$2,0)&lt;&gt;B2000,VLOOKUP($A2000,'Concrete Beam Schedule'!$A$2:$Q$2902,R$2,0),"")</f>
        <v>#N/A</v>
      </c>
      <c r="S2000" s="7" t="e">
        <f>IF(VLOOKUP($A2000,'Concrete Beam Schedule'!$A$2:$Q$2902,S$2,0)&lt;&gt;C2000,VLOOKUP($A2000,'Concrete Beam Schedule'!$A$2:$Q$2902,S$2,0),"")</f>
        <v>#N/A</v>
      </c>
      <c r="T2000" s="7" t="e">
        <f>IF(VLOOKUP($A2000,'Concrete Beam Schedule'!$A$2:$Q$2902,T$2,0)&lt;&gt;D2000,"Beam Revised","")</f>
        <v>#N/A</v>
      </c>
      <c r="U2000" s="7" t="e">
        <f>IF(VLOOKUP($A2000,'Concrete Beam Schedule'!$A$2:$Q$2902,U$2,0)&lt;&gt;E2000,"Beam Revised","")</f>
        <v>#N/A</v>
      </c>
      <c r="V2000" s="7" t="e">
        <f>IF(VLOOKUP($A2000,'Concrete Beam Schedule'!$A$2:$Q$2902,V$2,0)&lt;&gt;F2000,"Beam Revised","")</f>
        <v>#N/A</v>
      </c>
      <c r="W2000" s="7" t="e">
        <f>IF(VLOOKUP($A2000,'Concrete Beam Schedule'!$A$2:$Q$2902,W$2,0)&lt;&gt;G2000,"Beam Revised","")</f>
        <v>#N/A</v>
      </c>
      <c r="X2000" s="7" t="e">
        <f>IF(VLOOKUP($A2000,'Concrete Beam Schedule'!$A$2:$Q$2902,X$2,0)&lt;&gt;H2000,"Beam Revised","")</f>
        <v>#N/A</v>
      </c>
      <c r="Y2000" s="7" t="e">
        <f>IF(VLOOKUP($A2000,'Concrete Beam Schedule'!$A$2:$Q$2902,Y$2,0)&lt;&gt;I2000,"Beam Revised","")</f>
        <v>#N/A</v>
      </c>
      <c r="Z2000" s="7" t="e">
        <f>IF(VLOOKUP($A2000,'Concrete Beam Schedule'!$A$2:$Q$2902,Z$2,0)&lt;&gt;J2000,"Beam Revised","")</f>
        <v>#N/A</v>
      </c>
      <c r="AA2000" s="7" t="e">
        <f>IF(VLOOKUP($A2000,'Concrete Beam Schedule'!$A$2:$Q$2902,AA$2,0)&lt;&gt;K2000,"Beam Revised","")</f>
        <v>#N/A</v>
      </c>
      <c r="AB2000" s="7" t="e">
        <f>IF(VLOOKUP($A2000,'Concrete Beam Schedule'!$A$2:$Q$2902,AB$2,0)&lt;&gt;L2000,"Beam Revised","")</f>
        <v>#N/A</v>
      </c>
      <c r="AC2000" s="7" t="e">
        <f>IF(VLOOKUP($A2000,'Concrete Beam Schedule'!$A$2:$Q$2902,AC$2,0)&lt;&gt;M2000,"Beam Revised","")</f>
        <v>#N/A</v>
      </c>
      <c r="AD2000" s="7" t="e">
        <f>IF(VLOOKUP($A2000,'Concrete Beam Schedule'!$A$2:$Q$2902,AD$2,0)&lt;&gt;N2000,"Beam Revised","")</f>
        <v>#N/A</v>
      </c>
      <c r="AE2000" s="7" t="e">
        <f>IF(VLOOKUP($A2000,'Concrete Beam Schedule'!$A$2:$Q$2902,AE$2,0)&lt;&gt;O2000,"Beam Revised","")</f>
        <v>#N/A</v>
      </c>
    </row>
    <row r="2001" spans="17:31" ht="20.100000000000001" customHeight="1" x14ac:dyDescent="0.25">
      <c r="Q2001" s="7">
        <f t="shared" si="31"/>
        <v>0</v>
      </c>
      <c r="R2001" s="7" t="e">
        <f>IF(VLOOKUP($A2001,'Concrete Beam Schedule'!$A$2:$Q$2902,R$2,0)&lt;&gt;B2001,VLOOKUP($A2001,'Concrete Beam Schedule'!$A$2:$Q$2902,R$2,0),"")</f>
        <v>#N/A</v>
      </c>
      <c r="S2001" s="7" t="e">
        <f>IF(VLOOKUP($A2001,'Concrete Beam Schedule'!$A$2:$Q$2902,S$2,0)&lt;&gt;C2001,VLOOKUP($A2001,'Concrete Beam Schedule'!$A$2:$Q$2902,S$2,0),"")</f>
        <v>#N/A</v>
      </c>
      <c r="T2001" s="7" t="e">
        <f>IF(VLOOKUP($A2001,'Concrete Beam Schedule'!$A$2:$Q$2902,T$2,0)&lt;&gt;D2001,"Beam Revised","")</f>
        <v>#N/A</v>
      </c>
      <c r="U2001" s="7" t="e">
        <f>IF(VLOOKUP($A2001,'Concrete Beam Schedule'!$A$2:$Q$2902,U$2,0)&lt;&gt;E2001,"Beam Revised","")</f>
        <v>#N/A</v>
      </c>
      <c r="V2001" s="7" t="e">
        <f>IF(VLOOKUP($A2001,'Concrete Beam Schedule'!$A$2:$Q$2902,V$2,0)&lt;&gt;F2001,"Beam Revised","")</f>
        <v>#N/A</v>
      </c>
      <c r="W2001" s="7" t="e">
        <f>IF(VLOOKUP($A2001,'Concrete Beam Schedule'!$A$2:$Q$2902,W$2,0)&lt;&gt;G2001,"Beam Revised","")</f>
        <v>#N/A</v>
      </c>
      <c r="X2001" s="7" t="e">
        <f>IF(VLOOKUP($A2001,'Concrete Beam Schedule'!$A$2:$Q$2902,X$2,0)&lt;&gt;H2001,"Beam Revised","")</f>
        <v>#N/A</v>
      </c>
      <c r="Y2001" s="7" t="e">
        <f>IF(VLOOKUP($A2001,'Concrete Beam Schedule'!$A$2:$Q$2902,Y$2,0)&lt;&gt;I2001,"Beam Revised","")</f>
        <v>#N/A</v>
      </c>
      <c r="Z2001" s="7" t="e">
        <f>IF(VLOOKUP($A2001,'Concrete Beam Schedule'!$A$2:$Q$2902,Z$2,0)&lt;&gt;J2001,"Beam Revised","")</f>
        <v>#N/A</v>
      </c>
      <c r="AA2001" s="7" t="e">
        <f>IF(VLOOKUP($A2001,'Concrete Beam Schedule'!$A$2:$Q$2902,AA$2,0)&lt;&gt;K2001,"Beam Revised","")</f>
        <v>#N/A</v>
      </c>
      <c r="AB2001" s="7" t="e">
        <f>IF(VLOOKUP($A2001,'Concrete Beam Schedule'!$A$2:$Q$2902,AB$2,0)&lt;&gt;L2001,"Beam Revised","")</f>
        <v>#N/A</v>
      </c>
      <c r="AC2001" s="7" t="e">
        <f>IF(VLOOKUP($A2001,'Concrete Beam Schedule'!$A$2:$Q$2902,AC$2,0)&lt;&gt;M2001,"Beam Revised","")</f>
        <v>#N/A</v>
      </c>
      <c r="AD2001" s="7" t="e">
        <f>IF(VLOOKUP($A2001,'Concrete Beam Schedule'!$A$2:$Q$2902,AD$2,0)&lt;&gt;N2001,"Beam Revised","")</f>
        <v>#N/A</v>
      </c>
      <c r="AE2001" s="7" t="e">
        <f>IF(VLOOKUP($A2001,'Concrete Beam Schedule'!$A$2:$Q$2902,AE$2,0)&lt;&gt;O2001,"Beam Revised","")</f>
        <v>#N/A</v>
      </c>
    </row>
    <row r="2002" spans="17:31" ht="20.100000000000001" customHeight="1" x14ac:dyDescent="0.25">
      <c r="Q2002" s="7">
        <f t="shared" si="31"/>
        <v>0</v>
      </c>
      <c r="R2002" s="7" t="e">
        <f>IF(VLOOKUP($A2002,'Concrete Beam Schedule'!$A$2:$Q$2902,R$2,0)&lt;&gt;B2002,VLOOKUP($A2002,'Concrete Beam Schedule'!$A$2:$Q$2902,R$2,0),"")</f>
        <v>#N/A</v>
      </c>
      <c r="S2002" s="7" t="e">
        <f>IF(VLOOKUP($A2002,'Concrete Beam Schedule'!$A$2:$Q$2902,S$2,0)&lt;&gt;C2002,VLOOKUP($A2002,'Concrete Beam Schedule'!$A$2:$Q$2902,S$2,0),"")</f>
        <v>#N/A</v>
      </c>
      <c r="T2002" s="7" t="e">
        <f>IF(VLOOKUP($A2002,'Concrete Beam Schedule'!$A$2:$Q$2902,T$2,0)&lt;&gt;D2002,"Beam Revised","")</f>
        <v>#N/A</v>
      </c>
      <c r="U2002" s="7" t="e">
        <f>IF(VLOOKUP($A2002,'Concrete Beam Schedule'!$A$2:$Q$2902,U$2,0)&lt;&gt;E2002,"Beam Revised","")</f>
        <v>#N/A</v>
      </c>
      <c r="V2002" s="7" t="e">
        <f>IF(VLOOKUP($A2002,'Concrete Beam Schedule'!$A$2:$Q$2902,V$2,0)&lt;&gt;F2002,"Beam Revised","")</f>
        <v>#N/A</v>
      </c>
      <c r="W2002" s="7" t="e">
        <f>IF(VLOOKUP($A2002,'Concrete Beam Schedule'!$A$2:$Q$2902,W$2,0)&lt;&gt;G2002,"Beam Revised","")</f>
        <v>#N/A</v>
      </c>
      <c r="X2002" s="7" t="e">
        <f>IF(VLOOKUP($A2002,'Concrete Beam Schedule'!$A$2:$Q$2902,X$2,0)&lt;&gt;H2002,"Beam Revised","")</f>
        <v>#N/A</v>
      </c>
      <c r="Y2002" s="7" t="e">
        <f>IF(VLOOKUP($A2002,'Concrete Beam Schedule'!$A$2:$Q$2902,Y$2,0)&lt;&gt;I2002,"Beam Revised","")</f>
        <v>#N/A</v>
      </c>
      <c r="Z2002" s="7" t="e">
        <f>IF(VLOOKUP($A2002,'Concrete Beam Schedule'!$A$2:$Q$2902,Z$2,0)&lt;&gt;J2002,"Beam Revised","")</f>
        <v>#N/A</v>
      </c>
      <c r="AA2002" s="7" t="e">
        <f>IF(VLOOKUP($A2002,'Concrete Beam Schedule'!$A$2:$Q$2902,AA$2,0)&lt;&gt;K2002,"Beam Revised","")</f>
        <v>#N/A</v>
      </c>
      <c r="AB2002" s="7" t="e">
        <f>IF(VLOOKUP($A2002,'Concrete Beam Schedule'!$A$2:$Q$2902,AB$2,0)&lt;&gt;L2002,"Beam Revised","")</f>
        <v>#N/A</v>
      </c>
      <c r="AC2002" s="7" t="e">
        <f>IF(VLOOKUP($A2002,'Concrete Beam Schedule'!$A$2:$Q$2902,AC$2,0)&lt;&gt;M2002,"Beam Revised","")</f>
        <v>#N/A</v>
      </c>
      <c r="AD2002" s="7" t="e">
        <f>IF(VLOOKUP($A2002,'Concrete Beam Schedule'!$A$2:$Q$2902,AD$2,0)&lt;&gt;N2002,"Beam Revised","")</f>
        <v>#N/A</v>
      </c>
      <c r="AE2002" s="7" t="e">
        <f>IF(VLOOKUP($A2002,'Concrete Beam Schedule'!$A$2:$Q$2902,AE$2,0)&lt;&gt;O2002,"Beam Revised","")</f>
        <v>#N/A</v>
      </c>
    </row>
    <row r="2003" spans="17:31" ht="20.100000000000001" customHeight="1" x14ac:dyDescent="0.25">
      <c r="Q2003" s="7">
        <f t="shared" si="31"/>
        <v>0</v>
      </c>
      <c r="R2003" s="7" t="e">
        <f>IF(VLOOKUP($A2003,'Concrete Beam Schedule'!$A$2:$Q$2902,R$2,0)&lt;&gt;B2003,VLOOKUP($A2003,'Concrete Beam Schedule'!$A$2:$Q$2902,R$2,0),"")</f>
        <v>#N/A</v>
      </c>
      <c r="S2003" s="7" t="e">
        <f>IF(VLOOKUP($A2003,'Concrete Beam Schedule'!$A$2:$Q$2902,S$2,0)&lt;&gt;C2003,VLOOKUP($A2003,'Concrete Beam Schedule'!$A$2:$Q$2902,S$2,0),"")</f>
        <v>#N/A</v>
      </c>
      <c r="T2003" s="7" t="e">
        <f>IF(VLOOKUP($A2003,'Concrete Beam Schedule'!$A$2:$Q$2902,T$2,0)&lt;&gt;D2003,"Beam Revised","")</f>
        <v>#N/A</v>
      </c>
      <c r="U2003" s="7" t="e">
        <f>IF(VLOOKUP($A2003,'Concrete Beam Schedule'!$A$2:$Q$2902,U$2,0)&lt;&gt;E2003,"Beam Revised","")</f>
        <v>#N/A</v>
      </c>
      <c r="V2003" s="7" t="e">
        <f>IF(VLOOKUP($A2003,'Concrete Beam Schedule'!$A$2:$Q$2902,V$2,0)&lt;&gt;F2003,"Beam Revised","")</f>
        <v>#N/A</v>
      </c>
      <c r="W2003" s="7" t="e">
        <f>IF(VLOOKUP($A2003,'Concrete Beam Schedule'!$A$2:$Q$2902,W$2,0)&lt;&gt;G2003,"Beam Revised","")</f>
        <v>#N/A</v>
      </c>
      <c r="X2003" s="7" t="e">
        <f>IF(VLOOKUP($A2003,'Concrete Beam Schedule'!$A$2:$Q$2902,X$2,0)&lt;&gt;H2003,"Beam Revised","")</f>
        <v>#N/A</v>
      </c>
      <c r="Y2003" s="7" t="e">
        <f>IF(VLOOKUP($A2003,'Concrete Beam Schedule'!$A$2:$Q$2902,Y$2,0)&lt;&gt;I2003,"Beam Revised","")</f>
        <v>#N/A</v>
      </c>
      <c r="Z2003" s="7" t="e">
        <f>IF(VLOOKUP($A2003,'Concrete Beam Schedule'!$A$2:$Q$2902,Z$2,0)&lt;&gt;J2003,"Beam Revised","")</f>
        <v>#N/A</v>
      </c>
      <c r="AA2003" s="7" t="e">
        <f>IF(VLOOKUP($A2003,'Concrete Beam Schedule'!$A$2:$Q$2902,AA$2,0)&lt;&gt;K2003,"Beam Revised","")</f>
        <v>#N/A</v>
      </c>
      <c r="AB2003" s="7" t="e">
        <f>IF(VLOOKUP($A2003,'Concrete Beam Schedule'!$A$2:$Q$2902,AB$2,0)&lt;&gt;L2003,"Beam Revised","")</f>
        <v>#N/A</v>
      </c>
      <c r="AC2003" s="7" t="e">
        <f>IF(VLOOKUP($A2003,'Concrete Beam Schedule'!$A$2:$Q$2902,AC$2,0)&lt;&gt;M2003,"Beam Revised","")</f>
        <v>#N/A</v>
      </c>
      <c r="AD2003" s="7" t="e">
        <f>IF(VLOOKUP($A2003,'Concrete Beam Schedule'!$A$2:$Q$2902,AD$2,0)&lt;&gt;N2003,"Beam Revised","")</f>
        <v>#N/A</v>
      </c>
      <c r="AE2003" s="7" t="e">
        <f>IF(VLOOKUP($A2003,'Concrete Beam Schedule'!$A$2:$Q$2902,AE$2,0)&lt;&gt;O2003,"Beam Revised","")</f>
        <v>#N/A</v>
      </c>
    </row>
    <row r="2004" spans="17:31" ht="20.100000000000001" customHeight="1" x14ac:dyDescent="0.25">
      <c r="Q2004" s="7">
        <f t="shared" si="31"/>
        <v>0</v>
      </c>
      <c r="R2004" s="7" t="e">
        <f>IF(VLOOKUP($A2004,'Concrete Beam Schedule'!$A$2:$Q$2902,R$2,0)&lt;&gt;B2004,VLOOKUP($A2004,'Concrete Beam Schedule'!$A$2:$Q$2902,R$2,0),"")</f>
        <v>#N/A</v>
      </c>
      <c r="S2004" s="7" t="e">
        <f>IF(VLOOKUP($A2004,'Concrete Beam Schedule'!$A$2:$Q$2902,S$2,0)&lt;&gt;C2004,VLOOKUP($A2004,'Concrete Beam Schedule'!$A$2:$Q$2902,S$2,0),"")</f>
        <v>#N/A</v>
      </c>
      <c r="T2004" s="7" t="e">
        <f>IF(VLOOKUP($A2004,'Concrete Beam Schedule'!$A$2:$Q$2902,T$2,0)&lt;&gt;D2004,"Beam Revised","")</f>
        <v>#N/A</v>
      </c>
      <c r="U2004" s="7" t="e">
        <f>IF(VLOOKUP($A2004,'Concrete Beam Schedule'!$A$2:$Q$2902,U$2,0)&lt;&gt;E2004,"Beam Revised","")</f>
        <v>#N/A</v>
      </c>
      <c r="V2004" s="7" t="e">
        <f>IF(VLOOKUP($A2004,'Concrete Beam Schedule'!$A$2:$Q$2902,V$2,0)&lt;&gt;F2004,"Beam Revised","")</f>
        <v>#N/A</v>
      </c>
      <c r="W2004" s="7" t="e">
        <f>IF(VLOOKUP($A2004,'Concrete Beam Schedule'!$A$2:$Q$2902,W$2,0)&lt;&gt;G2004,"Beam Revised","")</f>
        <v>#N/A</v>
      </c>
      <c r="X2004" s="7" t="e">
        <f>IF(VLOOKUP($A2004,'Concrete Beam Schedule'!$A$2:$Q$2902,X$2,0)&lt;&gt;H2004,"Beam Revised","")</f>
        <v>#N/A</v>
      </c>
      <c r="Y2004" s="7" t="e">
        <f>IF(VLOOKUP($A2004,'Concrete Beam Schedule'!$A$2:$Q$2902,Y$2,0)&lt;&gt;I2004,"Beam Revised","")</f>
        <v>#N/A</v>
      </c>
      <c r="Z2004" s="7" t="e">
        <f>IF(VLOOKUP($A2004,'Concrete Beam Schedule'!$A$2:$Q$2902,Z$2,0)&lt;&gt;J2004,"Beam Revised","")</f>
        <v>#N/A</v>
      </c>
      <c r="AA2004" s="7" t="e">
        <f>IF(VLOOKUP($A2004,'Concrete Beam Schedule'!$A$2:$Q$2902,AA$2,0)&lt;&gt;K2004,"Beam Revised","")</f>
        <v>#N/A</v>
      </c>
      <c r="AB2004" s="7" t="e">
        <f>IF(VLOOKUP($A2004,'Concrete Beam Schedule'!$A$2:$Q$2902,AB$2,0)&lt;&gt;L2004,"Beam Revised","")</f>
        <v>#N/A</v>
      </c>
      <c r="AC2004" s="7" t="e">
        <f>IF(VLOOKUP($A2004,'Concrete Beam Schedule'!$A$2:$Q$2902,AC$2,0)&lt;&gt;M2004,"Beam Revised","")</f>
        <v>#N/A</v>
      </c>
      <c r="AD2004" s="7" t="e">
        <f>IF(VLOOKUP($A2004,'Concrete Beam Schedule'!$A$2:$Q$2902,AD$2,0)&lt;&gt;N2004,"Beam Revised","")</f>
        <v>#N/A</v>
      </c>
      <c r="AE2004" s="7" t="e">
        <f>IF(VLOOKUP($A2004,'Concrete Beam Schedule'!$A$2:$Q$2902,AE$2,0)&lt;&gt;O2004,"Beam Revised","")</f>
        <v>#N/A</v>
      </c>
    </row>
    <row r="2005" spans="17:31" ht="20.100000000000001" customHeight="1" x14ac:dyDescent="0.25">
      <c r="Q2005" s="7">
        <f t="shared" si="31"/>
        <v>0</v>
      </c>
      <c r="R2005" s="7" t="e">
        <f>IF(VLOOKUP($A2005,'Concrete Beam Schedule'!$A$2:$Q$2902,R$2,0)&lt;&gt;B2005,VLOOKUP($A2005,'Concrete Beam Schedule'!$A$2:$Q$2902,R$2,0),"")</f>
        <v>#N/A</v>
      </c>
      <c r="S2005" s="7" t="e">
        <f>IF(VLOOKUP($A2005,'Concrete Beam Schedule'!$A$2:$Q$2902,S$2,0)&lt;&gt;C2005,VLOOKUP($A2005,'Concrete Beam Schedule'!$A$2:$Q$2902,S$2,0),"")</f>
        <v>#N/A</v>
      </c>
      <c r="T2005" s="7" t="e">
        <f>IF(VLOOKUP($A2005,'Concrete Beam Schedule'!$A$2:$Q$2902,T$2,0)&lt;&gt;D2005,"Beam Revised","")</f>
        <v>#N/A</v>
      </c>
      <c r="U2005" s="7" t="e">
        <f>IF(VLOOKUP($A2005,'Concrete Beam Schedule'!$A$2:$Q$2902,U$2,0)&lt;&gt;E2005,"Beam Revised","")</f>
        <v>#N/A</v>
      </c>
      <c r="V2005" s="7" t="e">
        <f>IF(VLOOKUP($A2005,'Concrete Beam Schedule'!$A$2:$Q$2902,V$2,0)&lt;&gt;F2005,"Beam Revised","")</f>
        <v>#N/A</v>
      </c>
      <c r="W2005" s="7" t="e">
        <f>IF(VLOOKUP($A2005,'Concrete Beam Schedule'!$A$2:$Q$2902,W$2,0)&lt;&gt;G2005,"Beam Revised","")</f>
        <v>#N/A</v>
      </c>
      <c r="X2005" s="7" t="e">
        <f>IF(VLOOKUP($A2005,'Concrete Beam Schedule'!$A$2:$Q$2902,X$2,0)&lt;&gt;H2005,"Beam Revised","")</f>
        <v>#N/A</v>
      </c>
      <c r="Y2005" s="7" t="e">
        <f>IF(VLOOKUP($A2005,'Concrete Beam Schedule'!$A$2:$Q$2902,Y$2,0)&lt;&gt;I2005,"Beam Revised","")</f>
        <v>#N/A</v>
      </c>
      <c r="Z2005" s="7" t="e">
        <f>IF(VLOOKUP($A2005,'Concrete Beam Schedule'!$A$2:$Q$2902,Z$2,0)&lt;&gt;J2005,"Beam Revised","")</f>
        <v>#N/A</v>
      </c>
      <c r="AA2005" s="7" t="e">
        <f>IF(VLOOKUP($A2005,'Concrete Beam Schedule'!$A$2:$Q$2902,AA$2,0)&lt;&gt;K2005,"Beam Revised","")</f>
        <v>#N/A</v>
      </c>
      <c r="AB2005" s="7" t="e">
        <f>IF(VLOOKUP($A2005,'Concrete Beam Schedule'!$A$2:$Q$2902,AB$2,0)&lt;&gt;L2005,"Beam Revised","")</f>
        <v>#N/A</v>
      </c>
      <c r="AC2005" s="7" t="e">
        <f>IF(VLOOKUP($A2005,'Concrete Beam Schedule'!$A$2:$Q$2902,AC$2,0)&lt;&gt;M2005,"Beam Revised","")</f>
        <v>#N/A</v>
      </c>
      <c r="AD2005" s="7" t="e">
        <f>IF(VLOOKUP($A2005,'Concrete Beam Schedule'!$A$2:$Q$2902,AD$2,0)&lt;&gt;N2005,"Beam Revised","")</f>
        <v>#N/A</v>
      </c>
      <c r="AE2005" s="7" t="e">
        <f>IF(VLOOKUP($A2005,'Concrete Beam Schedule'!$A$2:$Q$2902,AE$2,0)&lt;&gt;O2005,"Beam Revised","")</f>
        <v>#N/A</v>
      </c>
    </row>
    <row r="2006" spans="17:31" ht="20.100000000000001" customHeight="1" x14ac:dyDescent="0.25">
      <c r="Q2006" s="7">
        <f t="shared" si="31"/>
        <v>0</v>
      </c>
      <c r="R2006" s="7" t="e">
        <f>IF(VLOOKUP($A2006,'Concrete Beam Schedule'!$A$2:$Q$2902,R$2,0)&lt;&gt;B2006,VLOOKUP($A2006,'Concrete Beam Schedule'!$A$2:$Q$2902,R$2,0),"")</f>
        <v>#N/A</v>
      </c>
      <c r="S2006" s="7" t="e">
        <f>IF(VLOOKUP($A2006,'Concrete Beam Schedule'!$A$2:$Q$2902,S$2,0)&lt;&gt;C2006,VLOOKUP($A2006,'Concrete Beam Schedule'!$A$2:$Q$2902,S$2,0),"")</f>
        <v>#N/A</v>
      </c>
      <c r="T2006" s="7" t="e">
        <f>IF(VLOOKUP($A2006,'Concrete Beam Schedule'!$A$2:$Q$2902,T$2,0)&lt;&gt;D2006,"Beam Revised","")</f>
        <v>#N/A</v>
      </c>
      <c r="U2006" s="7" t="e">
        <f>IF(VLOOKUP($A2006,'Concrete Beam Schedule'!$A$2:$Q$2902,U$2,0)&lt;&gt;E2006,"Beam Revised","")</f>
        <v>#N/A</v>
      </c>
      <c r="V2006" s="7" t="e">
        <f>IF(VLOOKUP($A2006,'Concrete Beam Schedule'!$A$2:$Q$2902,V$2,0)&lt;&gt;F2006,"Beam Revised","")</f>
        <v>#N/A</v>
      </c>
      <c r="W2006" s="7" t="e">
        <f>IF(VLOOKUP($A2006,'Concrete Beam Schedule'!$A$2:$Q$2902,W$2,0)&lt;&gt;G2006,"Beam Revised","")</f>
        <v>#N/A</v>
      </c>
      <c r="X2006" s="7" t="e">
        <f>IF(VLOOKUP($A2006,'Concrete Beam Schedule'!$A$2:$Q$2902,X$2,0)&lt;&gt;H2006,"Beam Revised","")</f>
        <v>#N/A</v>
      </c>
      <c r="Y2006" s="7" t="e">
        <f>IF(VLOOKUP($A2006,'Concrete Beam Schedule'!$A$2:$Q$2902,Y$2,0)&lt;&gt;I2006,"Beam Revised","")</f>
        <v>#N/A</v>
      </c>
      <c r="Z2006" s="7" t="e">
        <f>IF(VLOOKUP($A2006,'Concrete Beam Schedule'!$A$2:$Q$2902,Z$2,0)&lt;&gt;J2006,"Beam Revised","")</f>
        <v>#N/A</v>
      </c>
      <c r="AA2006" s="7" t="e">
        <f>IF(VLOOKUP($A2006,'Concrete Beam Schedule'!$A$2:$Q$2902,AA$2,0)&lt;&gt;K2006,"Beam Revised","")</f>
        <v>#N/A</v>
      </c>
      <c r="AB2006" s="7" t="e">
        <f>IF(VLOOKUP($A2006,'Concrete Beam Schedule'!$A$2:$Q$2902,AB$2,0)&lt;&gt;L2006,"Beam Revised","")</f>
        <v>#N/A</v>
      </c>
      <c r="AC2006" s="7" t="e">
        <f>IF(VLOOKUP($A2006,'Concrete Beam Schedule'!$A$2:$Q$2902,AC$2,0)&lt;&gt;M2006,"Beam Revised","")</f>
        <v>#N/A</v>
      </c>
      <c r="AD2006" s="7" t="e">
        <f>IF(VLOOKUP($A2006,'Concrete Beam Schedule'!$A$2:$Q$2902,AD$2,0)&lt;&gt;N2006,"Beam Revised","")</f>
        <v>#N/A</v>
      </c>
      <c r="AE2006" s="7" t="e">
        <f>IF(VLOOKUP($A2006,'Concrete Beam Schedule'!$A$2:$Q$2902,AE$2,0)&lt;&gt;O2006,"Beam Revised","")</f>
        <v>#N/A</v>
      </c>
    </row>
    <row r="2007" spans="17:31" ht="20.100000000000001" customHeight="1" x14ac:dyDescent="0.25">
      <c r="Q2007" s="7">
        <f t="shared" si="31"/>
        <v>0</v>
      </c>
      <c r="R2007" s="7" t="e">
        <f>IF(VLOOKUP($A2007,'Concrete Beam Schedule'!$A$2:$Q$2902,R$2,0)&lt;&gt;B2007,VLOOKUP($A2007,'Concrete Beam Schedule'!$A$2:$Q$2902,R$2,0),"")</f>
        <v>#N/A</v>
      </c>
      <c r="S2007" s="7" t="e">
        <f>IF(VLOOKUP($A2007,'Concrete Beam Schedule'!$A$2:$Q$2902,S$2,0)&lt;&gt;C2007,VLOOKUP($A2007,'Concrete Beam Schedule'!$A$2:$Q$2902,S$2,0),"")</f>
        <v>#N/A</v>
      </c>
      <c r="T2007" s="7" t="e">
        <f>IF(VLOOKUP($A2007,'Concrete Beam Schedule'!$A$2:$Q$2902,T$2,0)&lt;&gt;D2007,"Beam Revised","")</f>
        <v>#N/A</v>
      </c>
      <c r="U2007" s="7" t="e">
        <f>IF(VLOOKUP($A2007,'Concrete Beam Schedule'!$A$2:$Q$2902,U$2,0)&lt;&gt;E2007,"Beam Revised","")</f>
        <v>#N/A</v>
      </c>
      <c r="V2007" s="7" t="e">
        <f>IF(VLOOKUP($A2007,'Concrete Beam Schedule'!$A$2:$Q$2902,V$2,0)&lt;&gt;F2007,"Beam Revised","")</f>
        <v>#N/A</v>
      </c>
      <c r="W2007" s="7" t="e">
        <f>IF(VLOOKUP($A2007,'Concrete Beam Schedule'!$A$2:$Q$2902,W$2,0)&lt;&gt;G2007,"Beam Revised","")</f>
        <v>#N/A</v>
      </c>
      <c r="X2007" s="7" t="e">
        <f>IF(VLOOKUP($A2007,'Concrete Beam Schedule'!$A$2:$Q$2902,X$2,0)&lt;&gt;H2007,"Beam Revised","")</f>
        <v>#N/A</v>
      </c>
      <c r="Y2007" s="7" t="e">
        <f>IF(VLOOKUP($A2007,'Concrete Beam Schedule'!$A$2:$Q$2902,Y$2,0)&lt;&gt;I2007,"Beam Revised","")</f>
        <v>#N/A</v>
      </c>
      <c r="Z2007" s="7" t="e">
        <f>IF(VLOOKUP($A2007,'Concrete Beam Schedule'!$A$2:$Q$2902,Z$2,0)&lt;&gt;J2007,"Beam Revised","")</f>
        <v>#N/A</v>
      </c>
      <c r="AA2007" s="7" t="e">
        <f>IF(VLOOKUP($A2007,'Concrete Beam Schedule'!$A$2:$Q$2902,AA$2,0)&lt;&gt;K2007,"Beam Revised","")</f>
        <v>#N/A</v>
      </c>
      <c r="AB2007" s="7" t="e">
        <f>IF(VLOOKUP($A2007,'Concrete Beam Schedule'!$A$2:$Q$2902,AB$2,0)&lt;&gt;L2007,"Beam Revised","")</f>
        <v>#N/A</v>
      </c>
      <c r="AC2007" s="7" t="e">
        <f>IF(VLOOKUP($A2007,'Concrete Beam Schedule'!$A$2:$Q$2902,AC$2,0)&lt;&gt;M2007,"Beam Revised","")</f>
        <v>#N/A</v>
      </c>
      <c r="AD2007" s="7" t="e">
        <f>IF(VLOOKUP($A2007,'Concrete Beam Schedule'!$A$2:$Q$2902,AD$2,0)&lt;&gt;N2007,"Beam Revised","")</f>
        <v>#N/A</v>
      </c>
      <c r="AE2007" s="7" t="e">
        <f>IF(VLOOKUP($A2007,'Concrete Beam Schedule'!$A$2:$Q$2902,AE$2,0)&lt;&gt;O2007,"Beam Revised","")</f>
        <v>#N/A</v>
      </c>
    </row>
    <row r="2008" spans="17:31" ht="20.100000000000001" customHeight="1" x14ac:dyDescent="0.25">
      <c r="Q2008" s="7">
        <f t="shared" si="31"/>
        <v>0</v>
      </c>
      <c r="R2008" s="7" t="e">
        <f>IF(VLOOKUP($A2008,'Concrete Beam Schedule'!$A$2:$Q$2902,R$2,0)&lt;&gt;B2008,VLOOKUP($A2008,'Concrete Beam Schedule'!$A$2:$Q$2902,R$2,0),"")</f>
        <v>#N/A</v>
      </c>
      <c r="S2008" s="7" t="e">
        <f>IF(VLOOKUP($A2008,'Concrete Beam Schedule'!$A$2:$Q$2902,S$2,0)&lt;&gt;C2008,VLOOKUP($A2008,'Concrete Beam Schedule'!$A$2:$Q$2902,S$2,0),"")</f>
        <v>#N/A</v>
      </c>
      <c r="T2008" s="7" t="e">
        <f>IF(VLOOKUP($A2008,'Concrete Beam Schedule'!$A$2:$Q$2902,T$2,0)&lt;&gt;D2008,"Beam Revised","")</f>
        <v>#N/A</v>
      </c>
      <c r="U2008" s="7" t="e">
        <f>IF(VLOOKUP($A2008,'Concrete Beam Schedule'!$A$2:$Q$2902,U$2,0)&lt;&gt;E2008,"Beam Revised","")</f>
        <v>#N/A</v>
      </c>
      <c r="V2008" s="7" t="e">
        <f>IF(VLOOKUP($A2008,'Concrete Beam Schedule'!$A$2:$Q$2902,V$2,0)&lt;&gt;F2008,"Beam Revised","")</f>
        <v>#N/A</v>
      </c>
      <c r="W2008" s="7" t="e">
        <f>IF(VLOOKUP($A2008,'Concrete Beam Schedule'!$A$2:$Q$2902,W$2,0)&lt;&gt;G2008,"Beam Revised","")</f>
        <v>#N/A</v>
      </c>
      <c r="X2008" s="7" t="e">
        <f>IF(VLOOKUP($A2008,'Concrete Beam Schedule'!$A$2:$Q$2902,X$2,0)&lt;&gt;H2008,"Beam Revised","")</f>
        <v>#N/A</v>
      </c>
      <c r="Y2008" s="7" t="e">
        <f>IF(VLOOKUP($A2008,'Concrete Beam Schedule'!$A$2:$Q$2902,Y$2,0)&lt;&gt;I2008,"Beam Revised","")</f>
        <v>#N/A</v>
      </c>
      <c r="Z2008" s="7" t="e">
        <f>IF(VLOOKUP($A2008,'Concrete Beam Schedule'!$A$2:$Q$2902,Z$2,0)&lt;&gt;J2008,"Beam Revised","")</f>
        <v>#N/A</v>
      </c>
      <c r="AA2008" s="7" t="e">
        <f>IF(VLOOKUP($A2008,'Concrete Beam Schedule'!$A$2:$Q$2902,AA$2,0)&lt;&gt;K2008,"Beam Revised","")</f>
        <v>#N/A</v>
      </c>
      <c r="AB2008" s="7" t="e">
        <f>IF(VLOOKUP($A2008,'Concrete Beam Schedule'!$A$2:$Q$2902,AB$2,0)&lt;&gt;L2008,"Beam Revised","")</f>
        <v>#N/A</v>
      </c>
      <c r="AC2008" s="7" t="e">
        <f>IF(VLOOKUP($A2008,'Concrete Beam Schedule'!$A$2:$Q$2902,AC$2,0)&lt;&gt;M2008,"Beam Revised","")</f>
        <v>#N/A</v>
      </c>
      <c r="AD2008" s="7" t="e">
        <f>IF(VLOOKUP($A2008,'Concrete Beam Schedule'!$A$2:$Q$2902,AD$2,0)&lt;&gt;N2008,"Beam Revised","")</f>
        <v>#N/A</v>
      </c>
      <c r="AE2008" s="7" t="e">
        <f>IF(VLOOKUP($A2008,'Concrete Beam Schedule'!$A$2:$Q$2902,AE$2,0)&lt;&gt;O2008,"Beam Revised","")</f>
        <v>#N/A</v>
      </c>
    </row>
    <row r="2009" spans="17:31" ht="20.100000000000001" customHeight="1" x14ac:dyDescent="0.25">
      <c r="Q2009" s="7">
        <f t="shared" si="31"/>
        <v>0</v>
      </c>
      <c r="R2009" s="7" t="e">
        <f>IF(VLOOKUP($A2009,'Concrete Beam Schedule'!$A$2:$Q$2902,R$2,0)&lt;&gt;B2009,VLOOKUP($A2009,'Concrete Beam Schedule'!$A$2:$Q$2902,R$2,0),"")</f>
        <v>#N/A</v>
      </c>
      <c r="S2009" s="7" t="e">
        <f>IF(VLOOKUP($A2009,'Concrete Beam Schedule'!$A$2:$Q$2902,S$2,0)&lt;&gt;C2009,VLOOKUP($A2009,'Concrete Beam Schedule'!$A$2:$Q$2902,S$2,0),"")</f>
        <v>#N/A</v>
      </c>
      <c r="T2009" s="7" t="e">
        <f>IF(VLOOKUP($A2009,'Concrete Beam Schedule'!$A$2:$Q$2902,T$2,0)&lt;&gt;D2009,"Beam Revised","")</f>
        <v>#N/A</v>
      </c>
      <c r="U2009" s="7" t="e">
        <f>IF(VLOOKUP($A2009,'Concrete Beam Schedule'!$A$2:$Q$2902,U$2,0)&lt;&gt;E2009,"Beam Revised","")</f>
        <v>#N/A</v>
      </c>
      <c r="V2009" s="7" t="e">
        <f>IF(VLOOKUP($A2009,'Concrete Beam Schedule'!$A$2:$Q$2902,V$2,0)&lt;&gt;F2009,"Beam Revised","")</f>
        <v>#N/A</v>
      </c>
      <c r="W2009" s="7" t="e">
        <f>IF(VLOOKUP($A2009,'Concrete Beam Schedule'!$A$2:$Q$2902,W$2,0)&lt;&gt;G2009,"Beam Revised","")</f>
        <v>#N/A</v>
      </c>
      <c r="X2009" s="7" t="e">
        <f>IF(VLOOKUP($A2009,'Concrete Beam Schedule'!$A$2:$Q$2902,X$2,0)&lt;&gt;H2009,"Beam Revised","")</f>
        <v>#N/A</v>
      </c>
      <c r="Y2009" s="7" t="e">
        <f>IF(VLOOKUP($A2009,'Concrete Beam Schedule'!$A$2:$Q$2902,Y$2,0)&lt;&gt;I2009,"Beam Revised","")</f>
        <v>#N/A</v>
      </c>
      <c r="Z2009" s="7" t="e">
        <f>IF(VLOOKUP($A2009,'Concrete Beam Schedule'!$A$2:$Q$2902,Z$2,0)&lt;&gt;J2009,"Beam Revised","")</f>
        <v>#N/A</v>
      </c>
      <c r="AA2009" s="7" t="e">
        <f>IF(VLOOKUP($A2009,'Concrete Beam Schedule'!$A$2:$Q$2902,AA$2,0)&lt;&gt;K2009,"Beam Revised","")</f>
        <v>#N/A</v>
      </c>
      <c r="AB2009" s="7" t="e">
        <f>IF(VLOOKUP($A2009,'Concrete Beam Schedule'!$A$2:$Q$2902,AB$2,0)&lt;&gt;L2009,"Beam Revised","")</f>
        <v>#N/A</v>
      </c>
      <c r="AC2009" s="7" t="e">
        <f>IF(VLOOKUP($A2009,'Concrete Beam Schedule'!$A$2:$Q$2902,AC$2,0)&lt;&gt;M2009,"Beam Revised","")</f>
        <v>#N/A</v>
      </c>
      <c r="AD2009" s="7" t="e">
        <f>IF(VLOOKUP($A2009,'Concrete Beam Schedule'!$A$2:$Q$2902,AD$2,0)&lt;&gt;N2009,"Beam Revised","")</f>
        <v>#N/A</v>
      </c>
      <c r="AE2009" s="7" t="e">
        <f>IF(VLOOKUP($A2009,'Concrete Beam Schedule'!$A$2:$Q$2902,AE$2,0)&lt;&gt;O2009,"Beam Revised","")</f>
        <v>#N/A</v>
      </c>
    </row>
    <row r="2010" spans="17:31" ht="20.100000000000001" customHeight="1" x14ac:dyDescent="0.25">
      <c r="Q2010" s="7">
        <f t="shared" si="31"/>
        <v>0</v>
      </c>
      <c r="R2010" s="7" t="e">
        <f>IF(VLOOKUP($A2010,'Concrete Beam Schedule'!$A$2:$Q$2902,R$2,0)&lt;&gt;B2010,VLOOKUP($A2010,'Concrete Beam Schedule'!$A$2:$Q$2902,R$2,0),"")</f>
        <v>#N/A</v>
      </c>
      <c r="S2010" s="7" t="e">
        <f>IF(VLOOKUP($A2010,'Concrete Beam Schedule'!$A$2:$Q$2902,S$2,0)&lt;&gt;C2010,VLOOKUP($A2010,'Concrete Beam Schedule'!$A$2:$Q$2902,S$2,0),"")</f>
        <v>#N/A</v>
      </c>
      <c r="T2010" s="7" t="e">
        <f>IF(VLOOKUP($A2010,'Concrete Beam Schedule'!$A$2:$Q$2902,T$2,0)&lt;&gt;D2010,"Beam Revised","")</f>
        <v>#N/A</v>
      </c>
      <c r="U2010" s="7" t="e">
        <f>IF(VLOOKUP($A2010,'Concrete Beam Schedule'!$A$2:$Q$2902,U$2,0)&lt;&gt;E2010,"Beam Revised","")</f>
        <v>#N/A</v>
      </c>
      <c r="V2010" s="7" t="e">
        <f>IF(VLOOKUP($A2010,'Concrete Beam Schedule'!$A$2:$Q$2902,V$2,0)&lt;&gt;F2010,"Beam Revised","")</f>
        <v>#N/A</v>
      </c>
      <c r="W2010" s="7" t="e">
        <f>IF(VLOOKUP($A2010,'Concrete Beam Schedule'!$A$2:$Q$2902,W$2,0)&lt;&gt;G2010,"Beam Revised","")</f>
        <v>#N/A</v>
      </c>
      <c r="X2010" s="7" t="e">
        <f>IF(VLOOKUP($A2010,'Concrete Beam Schedule'!$A$2:$Q$2902,X$2,0)&lt;&gt;H2010,"Beam Revised","")</f>
        <v>#N/A</v>
      </c>
      <c r="Y2010" s="7" t="e">
        <f>IF(VLOOKUP($A2010,'Concrete Beam Schedule'!$A$2:$Q$2902,Y$2,0)&lt;&gt;I2010,"Beam Revised","")</f>
        <v>#N/A</v>
      </c>
      <c r="Z2010" s="7" t="e">
        <f>IF(VLOOKUP($A2010,'Concrete Beam Schedule'!$A$2:$Q$2902,Z$2,0)&lt;&gt;J2010,"Beam Revised","")</f>
        <v>#N/A</v>
      </c>
      <c r="AA2010" s="7" t="e">
        <f>IF(VLOOKUP($A2010,'Concrete Beam Schedule'!$A$2:$Q$2902,AA$2,0)&lt;&gt;K2010,"Beam Revised","")</f>
        <v>#N/A</v>
      </c>
      <c r="AB2010" s="7" t="e">
        <f>IF(VLOOKUP($A2010,'Concrete Beam Schedule'!$A$2:$Q$2902,AB$2,0)&lt;&gt;L2010,"Beam Revised","")</f>
        <v>#N/A</v>
      </c>
      <c r="AC2010" s="7" t="e">
        <f>IF(VLOOKUP($A2010,'Concrete Beam Schedule'!$A$2:$Q$2902,AC$2,0)&lt;&gt;M2010,"Beam Revised","")</f>
        <v>#N/A</v>
      </c>
      <c r="AD2010" s="7" t="e">
        <f>IF(VLOOKUP($A2010,'Concrete Beam Schedule'!$A$2:$Q$2902,AD$2,0)&lt;&gt;N2010,"Beam Revised","")</f>
        <v>#N/A</v>
      </c>
      <c r="AE2010" s="7" t="e">
        <f>IF(VLOOKUP($A2010,'Concrete Beam Schedule'!$A$2:$Q$2902,AE$2,0)&lt;&gt;O2010,"Beam Revised","")</f>
        <v>#N/A</v>
      </c>
    </row>
    <row r="2011" spans="17:31" ht="20.100000000000001" customHeight="1" x14ac:dyDescent="0.25">
      <c r="Q2011" s="7">
        <f t="shared" si="31"/>
        <v>0</v>
      </c>
      <c r="R2011" s="7" t="e">
        <f>IF(VLOOKUP($A2011,'Concrete Beam Schedule'!$A$2:$Q$2902,R$2,0)&lt;&gt;B2011,VLOOKUP($A2011,'Concrete Beam Schedule'!$A$2:$Q$2902,R$2,0),"")</f>
        <v>#N/A</v>
      </c>
      <c r="S2011" s="7" t="e">
        <f>IF(VLOOKUP($A2011,'Concrete Beam Schedule'!$A$2:$Q$2902,S$2,0)&lt;&gt;C2011,VLOOKUP($A2011,'Concrete Beam Schedule'!$A$2:$Q$2902,S$2,0),"")</f>
        <v>#N/A</v>
      </c>
      <c r="T2011" s="7" t="e">
        <f>IF(VLOOKUP($A2011,'Concrete Beam Schedule'!$A$2:$Q$2902,T$2,0)&lt;&gt;D2011,"Beam Revised","")</f>
        <v>#N/A</v>
      </c>
      <c r="U2011" s="7" t="e">
        <f>IF(VLOOKUP($A2011,'Concrete Beam Schedule'!$A$2:$Q$2902,U$2,0)&lt;&gt;E2011,"Beam Revised","")</f>
        <v>#N/A</v>
      </c>
      <c r="V2011" s="7" t="e">
        <f>IF(VLOOKUP($A2011,'Concrete Beam Schedule'!$A$2:$Q$2902,V$2,0)&lt;&gt;F2011,"Beam Revised","")</f>
        <v>#N/A</v>
      </c>
      <c r="W2011" s="7" t="e">
        <f>IF(VLOOKUP($A2011,'Concrete Beam Schedule'!$A$2:$Q$2902,W$2,0)&lt;&gt;G2011,"Beam Revised","")</f>
        <v>#N/A</v>
      </c>
      <c r="X2011" s="7" t="e">
        <f>IF(VLOOKUP($A2011,'Concrete Beam Schedule'!$A$2:$Q$2902,X$2,0)&lt;&gt;H2011,"Beam Revised","")</f>
        <v>#N/A</v>
      </c>
      <c r="Y2011" s="7" t="e">
        <f>IF(VLOOKUP($A2011,'Concrete Beam Schedule'!$A$2:$Q$2902,Y$2,0)&lt;&gt;I2011,"Beam Revised","")</f>
        <v>#N/A</v>
      </c>
      <c r="Z2011" s="7" t="e">
        <f>IF(VLOOKUP($A2011,'Concrete Beam Schedule'!$A$2:$Q$2902,Z$2,0)&lt;&gt;J2011,"Beam Revised","")</f>
        <v>#N/A</v>
      </c>
      <c r="AA2011" s="7" t="e">
        <f>IF(VLOOKUP($A2011,'Concrete Beam Schedule'!$A$2:$Q$2902,AA$2,0)&lt;&gt;K2011,"Beam Revised","")</f>
        <v>#N/A</v>
      </c>
      <c r="AB2011" s="7" t="e">
        <f>IF(VLOOKUP($A2011,'Concrete Beam Schedule'!$A$2:$Q$2902,AB$2,0)&lt;&gt;L2011,"Beam Revised","")</f>
        <v>#N/A</v>
      </c>
      <c r="AC2011" s="7" t="e">
        <f>IF(VLOOKUP($A2011,'Concrete Beam Schedule'!$A$2:$Q$2902,AC$2,0)&lt;&gt;M2011,"Beam Revised","")</f>
        <v>#N/A</v>
      </c>
      <c r="AD2011" s="7" t="e">
        <f>IF(VLOOKUP($A2011,'Concrete Beam Schedule'!$A$2:$Q$2902,AD$2,0)&lt;&gt;N2011,"Beam Revised","")</f>
        <v>#N/A</v>
      </c>
      <c r="AE2011" s="7" t="e">
        <f>IF(VLOOKUP($A2011,'Concrete Beam Schedule'!$A$2:$Q$2902,AE$2,0)&lt;&gt;O2011,"Beam Revised","")</f>
        <v>#N/A</v>
      </c>
    </row>
    <row r="2012" spans="17:31" ht="20.100000000000001" customHeight="1" x14ac:dyDescent="0.25">
      <c r="Q2012" s="7">
        <f t="shared" si="31"/>
        <v>0</v>
      </c>
      <c r="R2012" s="7" t="e">
        <f>IF(VLOOKUP($A2012,'Concrete Beam Schedule'!$A$2:$Q$2902,R$2,0)&lt;&gt;B2012,VLOOKUP($A2012,'Concrete Beam Schedule'!$A$2:$Q$2902,R$2,0),"")</f>
        <v>#N/A</v>
      </c>
      <c r="S2012" s="7" t="e">
        <f>IF(VLOOKUP($A2012,'Concrete Beam Schedule'!$A$2:$Q$2902,S$2,0)&lt;&gt;C2012,VLOOKUP($A2012,'Concrete Beam Schedule'!$A$2:$Q$2902,S$2,0),"")</f>
        <v>#N/A</v>
      </c>
      <c r="T2012" s="7" t="e">
        <f>IF(VLOOKUP($A2012,'Concrete Beam Schedule'!$A$2:$Q$2902,T$2,0)&lt;&gt;D2012,"Beam Revised","")</f>
        <v>#N/A</v>
      </c>
      <c r="U2012" s="7" t="e">
        <f>IF(VLOOKUP($A2012,'Concrete Beam Schedule'!$A$2:$Q$2902,U$2,0)&lt;&gt;E2012,"Beam Revised","")</f>
        <v>#N/A</v>
      </c>
      <c r="V2012" s="7" t="e">
        <f>IF(VLOOKUP($A2012,'Concrete Beam Schedule'!$A$2:$Q$2902,V$2,0)&lt;&gt;F2012,"Beam Revised","")</f>
        <v>#N/A</v>
      </c>
      <c r="W2012" s="7" t="e">
        <f>IF(VLOOKUP($A2012,'Concrete Beam Schedule'!$A$2:$Q$2902,W$2,0)&lt;&gt;G2012,"Beam Revised","")</f>
        <v>#N/A</v>
      </c>
      <c r="X2012" s="7" t="e">
        <f>IF(VLOOKUP($A2012,'Concrete Beam Schedule'!$A$2:$Q$2902,X$2,0)&lt;&gt;H2012,"Beam Revised","")</f>
        <v>#N/A</v>
      </c>
      <c r="Y2012" s="7" t="e">
        <f>IF(VLOOKUP($A2012,'Concrete Beam Schedule'!$A$2:$Q$2902,Y$2,0)&lt;&gt;I2012,"Beam Revised","")</f>
        <v>#N/A</v>
      </c>
      <c r="Z2012" s="7" t="e">
        <f>IF(VLOOKUP($A2012,'Concrete Beam Schedule'!$A$2:$Q$2902,Z$2,0)&lt;&gt;J2012,"Beam Revised","")</f>
        <v>#N/A</v>
      </c>
      <c r="AA2012" s="7" t="e">
        <f>IF(VLOOKUP($A2012,'Concrete Beam Schedule'!$A$2:$Q$2902,AA$2,0)&lt;&gt;K2012,"Beam Revised","")</f>
        <v>#N/A</v>
      </c>
      <c r="AB2012" s="7" t="e">
        <f>IF(VLOOKUP($A2012,'Concrete Beam Schedule'!$A$2:$Q$2902,AB$2,0)&lt;&gt;L2012,"Beam Revised","")</f>
        <v>#N/A</v>
      </c>
      <c r="AC2012" s="7" t="e">
        <f>IF(VLOOKUP($A2012,'Concrete Beam Schedule'!$A$2:$Q$2902,AC$2,0)&lt;&gt;M2012,"Beam Revised","")</f>
        <v>#N/A</v>
      </c>
      <c r="AD2012" s="7" t="e">
        <f>IF(VLOOKUP($A2012,'Concrete Beam Schedule'!$A$2:$Q$2902,AD$2,0)&lt;&gt;N2012,"Beam Revised","")</f>
        <v>#N/A</v>
      </c>
      <c r="AE2012" s="7" t="e">
        <f>IF(VLOOKUP($A2012,'Concrete Beam Schedule'!$A$2:$Q$2902,AE$2,0)&lt;&gt;O2012,"Beam Revised","")</f>
        <v>#N/A</v>
      </c>
    </row>
    <row r="2013" spans="17:31" ht="20.100000000000001" customHeight="1" x14ac:dyDescent="0.25">
      <c r="Q2013" s="7">
        <f t="shared" si="31"/>
        <v>0</v>
      </c>
      <c r="R2013" s="7" t="e">
        <f>IF(VLOOKUP($A2013,'Concrete Beam Schedule'!$A$2:$Q$2902,R$2,0)&lt;&gt;B2013,VLOOKUP($A2013,'Concrete Beam Schedule'!$A$2:$Q$2902,R$2,0),"")</f>
        <v>#N/A</v>
      </c>
      <c r="S2013" s="7" t="e">
        <f>IF(VLOOKUP($A2013,'Concrete Beam Schedule'!$A$2:$Q$2902,S$2,0)&lt;&gt;C2013,VLOOKUP($A2013,'Concrete Beam Schedule'!$A$2:$Q$2902,S$2,0),"")</f>
        <v>#N/A</v>
      </c>
      <c r="T2013" s="7" t="e">
        <f>IF(VLOOKUP($A2013,'Concrete Beam Schedule'!$A$2:$Q$2902,T$2,0)&lt;&gt;D2013,"Beam Revised","")</f>
        <v>#N/A</v>
      </c>
      <c r="U2013" s="7" t="e">
        <f>IF(VLOOKUP($A2013,'Concrete Beam Schedule'!$A$2:$Q$2902,U$2,0)&lt;&gt;E2013,"Beam Revised","")</f>
        <v>#N/A</v>
      </c>
      <c r="V2013" s="7" t="e">
        <f>IF(VLOOKUP($A2013,'Concrete Beam Schedule'!$A$2:$Q$2902,V$2,0)&lt;&gt;F2013,"Beam Revised","")</f>
        <v>#N/A</v>
      </c>
      <c r="W2013" s="7" t="e">
        <f>IF(VLOOKUP($A2013,'Concrete Beam Schedule'!$A$2:$Q$2902,W$2,0)&lt;&gt;G2013,"Beam Revised","")</f>
        <v>#N/A</v>
      </c>
      <c r="X2013" s="7" t="e">
        <f>IF(VLOOKUP($A2013,'Concrete Beam Schedule'!$A$2:$Q$2902,X$2,0)&lt;&gt;H2013,"Beam Revised","")</f>
        <v>#N/A</v>
      </c>
      <c r="Y2013" s="7" t="e">
        <f>IF(VLOOKUP($A2013,'Concrete Beam Schedule'!$A$2:$Q$2902,Y$2,0)&lt;&gt;I2013,"Beam Revised","")</f>
        <v>#N/A</v>
      </c>
      <c r="Z2013" s="7" t="e">
        <f>IF(VLOOKUP($A2013,'Concrete Beam Schedule'!$A$2:$Q$2902,Z$2,0)&lt;&gt;J2013,"Beam Revised","")</f>
        <v>#N/A</v>
      </c>
      <c r="AA2013" s="7" t="e">
        <f>IF(VLOOKUP($A2013,'Concrete Beam Schedule'!$A$2:$Q$2902,AA$2,0)&lt;&gt;K2013,"Beam Revised","")</f>
        <v>#N/A</v>
      </c>
      <c r="AB2013" s="7" t="e">
        <f>IF(VLOOKUP($A2013,'Concrete Beam Schedule'!$A$2:$Q$2902,AB$2,0)&lt;&gt;L2013,"Beam Revised","")</f>
        <v>#N/A</v>
      </c>
      <c r="AC2013" s="7" t="e">
        <f>IF(VLOOKUP($A2013,'Concrete Beam Schedule'!$A$2:$Q$2902,AC$2,0)&lt;&gt;M2013,"Beam Revised","")</f>
        <v>#N/A</v>
      </c>
      <c r="AD2013" s="7" t="e">
        <f>IF(VLOOKUP($A2013,'Concrete Beam Schedule'!$A$2:$Q$2902,AD$2,0)&lt;&gt;N2013,"Beam Revised","")</f>
        <v>#N/A</v>
      </c>
      <c r="AE2013" s="7" t="e">
        <f>IF(VLOOKUP($A2013,'Concrete Beam Schedule'!$A$2:$Q$2902,AE$2,0)&lt;&gt;O2013,"Beam Revised","")</f>
        <v>#N/A</v>
      </c>
    </row>
    <row r="2014" spans="17:31" ht="20.100000000000001" customHeight="1" x14ac:dyDescent="0.25">
      <c r="Q2014" s="7">
        <f t="shared" si="31"/>
        <v>0</v>
      </c>
      <c r="R2014" s="7" t="e">
        <f>IF(VLOOKUP($A2014,'Concrete Beam Schedule'!$A$2:$Q$2902,R$2,0)&lt;&gt;B2014,VLOOKUP($A2014,'Concrete Beam Schedule'!$A$2:$Q$2902,R$2,0),"")</f>
        <v>#N/A</v>
      </c>
      <c r="S2014" s="7" t="e">
        <f>IF(VLOOKUP($A2014,'Concrete Beam Schedule'!$A$2:$Q$2902,S$2,0)&lt;&gt;C2014,VLOOKUP($A2014,'Concrete Beam Schedule'!$A$2:$Q$2902,S$2,0),"")</f>
        <v>#N/A</v>
      </c>
      <c r="T2014" s="7" t="e">
        <f>IF(VLOOKUP($A2014,'Concrete Beam Schedule'!$A$2:$Q$2902,T$2,0)&lt;&gt;D2014,"Beam Revised","")</f>
        <v>#N/A</v>
      </c>
      <c r="U2014" s="7" t="e">
        <f>IF(VLOOKUP($A2014,'Concrete Beam Schedule'!$A$2:$Q$2902,U$2,0)&lt;&gt;E2014,"Beam Revised","")</f>
        <v>#N/A</v>
      </c>
      <c r="V2014" s="7" t="e">
        <f>IF(VLOOKUP($A2014,'Concrete Beam Schedule'!$A$2:$Q$2902,V$2,0)&lt;&gt;F2014,"Beam Revised","")</f>
        <v>#N/A</v>
      </c>
      <c r="W2014" s="7" t="e">
        <f>IF(VLOOKUP($A2014,'Concrete Beam Schedule'!$A$2:$Q$2902,W$2,0)&lt;&gt;G2014,"Beam Revised","")</f>
        <v>#N/A</v>
      </c>
      <c r="X2014" s="7" t="e">
        <f>IF(VLOOKUP($A2014,'Concrete Beam Schedule'!$A$2:$Q$2902,X$2,0)&lt;&gt;H2014,"Beam Revised","")</f>
        <v>#N/A</v>
      </c>
      <c r="Y2014" s="7" t="e">
        <f>IF(VLOOKUP($A2014,'Concrete Beam Schedule'!$A$2:$Q$2902,Y$2,0)&lt;&gt;I2014,"Beam Revised","")</f>
        <v>#N/A</v>
      </c>
      <c r="Z2014" s="7" t="e">
        <f>IF(VLOOKUP($A2014,'Concrete Beam Schedule'!$A$2:$Q$2902,Z$2,0)&lt;&gt;J2014,"Beam Revised","")</f>
        <v>#N/A</v>
      </c>
      <c r="AA2014" s="7" t="e">
        <f>IF(VLOOKUP($A2014,'Concrete Beam Schedule'!$A$2:$Q$2902,AA$2,0)&lt;&gt;K2014,"Beam Revised","")</f>
        <v>#N/A</v>
      </c>
      <c r="AB2014" s="7" t="e">
        <f>IF(VLOOKUP($A2014,'Concrete Beam Schedule'!$A$2:$Q$2902,AB$2,0)&lt;&gt;L2014,"Beam Revised","")</f>
        <v>#N/A</v>
      </c>
      <c r="AC2014" s="7" t="e">
        <f>IF(VLOOKUP($A2014,'Concrete Beam Schedule'!$A$2:$Q$2902,AC$2,0)&lt;&gt;M2014,"Beam Revised","")</f>
        <v>#N/A</v>
      </c>
      <c r="AD2014" s="7" t="e">
        <f>IF(VLOOKUP($A2014,'Concrete Beam Schedule'!$A$2:$Q$2902,AD$2,0)&lt;&gt;N2014,"Beam Revised","")</f>
        <v>#N/A</v>
      </c>
      <c r="AE2014" s="7" t="e">
        <f>IF(VLOOKUP($A2014,'Concrete Beam Schedule'!$A$2:$Q$2902,AE$2,0)&lt;&gt;O2014,"Beam Revised","")</f>
        <v>#N/A</v>
      </c>
    </row>
    <row r="2015" spans="17:31" ht="20.100000000000001" customHeight="1" x14ac:dyDescent="0.25">
      <c r="Q2015" s="7">
        <f t="shared" si="31"/>
        <v>0</v>
      </c>
      <c r="R2015" s="7" t="e">
        <f>IF(VLOOKUP($A2015,'Concrete Beam Schedule'!$A$2:$Q$2902,R$2,0)&lt;&gt;B2015,VLOOKUP($A2015,'Concrete Beam Schedule'!$A$2:$Q$2902,R$2,0),"")</f>
        <v>#N/A</v>
      </c>
      <c r="S2015" s="7" t="e">
        <f>IF(VLOOKUP($A2015,'Concrete Beam Schedule'!$A$2:$Q$2902,S$2,0)&lt;&gt;C2015,VLOOKUP($A2015,'Concrete Beam Schedule'!$A$2:$Q$2902,S$2,0),"")</f>
        <v>#N/A</v>
      </c>
      <c r="T2015" s="7" t="e">
        <f>IF(VLOOKUP($A2015,'Concrete Beam Schedule'!$A$2:$Q$2902,T$2,0)&lt;&gt;D2015,"Beam Revised","")</f>
        <v>#N/A</v>
      </c>
      <c r="U2015" s="7" t="e">
        <f>IF(VLOOKUP($A2015,'Concrete Beam Schedule'!$A$2:$Q$2902,U$2,0)&lt;&gt;E2015,"Beam Revised","")</f>
        <v>#N/A</v>
      </c>
      <c r="V2015" s="7" t="e">
        <f>IF(VLOOKUP($A2015,'Concrete Beam Schedule'!$A$2:$Q$2902,V$2,0)&lt;&gt;F2015,"Beam Revised","")</f>
        <v>#N/A</v>
      </c>
      <c r="W2015" s="7" t="e">
        <f>IF(VLOOKUP($A2015,'Concrete Beam Schedule'!$A$2:$Q$2902,W$2,0)&lt;&gt;G2015,"Beam Revised","")</f>
        <v>#N/A</v>
      </c>
      <c r="X2015" s="7" t="e">
        <f>IF(VLOOKUP($A2015,'Concrete Beam Schedule'!$A$2:$Q$2902,X$2,0)&lt;&gt;H2015,"Beam Revised","")</f>
        <v>#N/A</v>
      </c>
      <c r="Y2015" s="7" t="e">
        <f>IF(VLOOKUP($A2015,'Concrete Beam Schedule'!$A$2:$Q$2902,Y$2,0)&lt;&gt;I2015,"Beam Revised","")</f>
        <v>#N/A</v>
      </c>
      <c r="Z2015" s="7" t="e">
        <f>IF(VLOOKUP($A2015,'Concrete Beam Schedule'!$A$2:$Q$2902,Z$2,0)&lt;&gt;J2015,"Beam Revised","")</f>
        <v>#N/A</v>
      </c>
      <c r="AA2015" s="7" t="e">
        <f>IF(VLOOKUP($A2015,'Concrete Beam Schedule'!$A$2:$Q$2902,AA$2,0)&lt;&gt;K2015,"Beam Revised","")</f>
        <v>#N/A</v>
      </c>
      <c r="AB2015" s="7" t="e">
        <f>IF(VLOOKUP($A2015,'Concrete Beam Schedule'!$A$2:$Q$2902,AB$2,0)&lt;&gt;L2015,"Beam Revised","")</f>
        <v>#N/A</v>
      </c>
      <c r="AC2015" s="7" t="e">
        <f>IF(VLOOKUP($A2015,'Concrete Beam Schedule'!$A$2:$Q$2902,AC$2,0)&lt;&gt;M2015,"Beam Revised","")</f>
        <v>#N/A</v>
      </c>
      <c r="AD2015" s="7" t="e">
        <f>IF(VLOOKUP($A2015,'Concrete Beam Schedule'!$A$2:$Q$2902,AD$2,0)&lt;&gt;N2015,"Beam Revised","")</f>
        <v>#N/A</v>
      </c>
      <c r="AE2015" s="7" t="e">
        <f>IF(VLOOKUP($A2015,'Concrete Beam Schedule'!$A$2:$Q$2902,AE$2,0)&lt;&gt;O2015,"Beam Revised","")</f>
        <v>#N/A</v>
      </c>
    </row>
    <row r="2016" spans="17:31" ht="20.100000000000001" customHeight="1" x14ac:dyDescent="0.25">
      <c r="Q2016" s="7">
        <f t="shared" si="31"/>
        <v>0</v>
      </c>
      <c r="R2016" s="7" t="e">
        <f>IF(VLOOKUP($A2016,'Concrete Beam Schedule'!$A$2:$Q$2902,R$2,0)&lt;&gt;B2016,VLOOKUP($A2016,'Concrete Beam Schedule'!$A$2:$Q$2902,R$2,0),"")</f>
        <v>#N/A</v>
      </c>
      <c r="S2016" s="7" t="e">
        <f>IF(VLOOKUP($A2016,'Concrete Beam Schedule'!$A$2:$Q$2902,S$2,0)&lt;&gt;C2016,VLOOKUP($A2016,'Concrete Beam Schedule'!$A$2:$Q$2902,S$2,0),"")</f>
        <v>#N/A</v>
      </c>
      <c r="T2016" s="7" t="e">
        <f>IF(VLOOKUP($A2016,'Concrete Beam Schedule'!$A$2:$Q$2902,T$2,0)&lt;&gt;D2016,"Beam Revised","")</f>
        <v>#N/A</v>
      </c>
      <c r="U2016" s="7" t="e">
        <f>IF(VLOOKUP($A2016,'Concrete Beam Schedule'!$A$2:$Q$2902,U$2,0)&lt;&gt;E2016,"Beam Revised","")</f>
        <v>#N/A</v>
      </c>
      <c r="V2016" s="7" t="e">
        <f>IF(VLOOKUP($A2016,'Concrete Beam Schedule'!$A$2:$Q$2902,V$2,0)&lt;&gt;F2016,"Beam Revised","")</f>
        <v>#N/A</v>
      </c>
      <c r="W2016" s="7" t="e">
        <f>IF(VLOOKUP($A2016,'Concrete Beam Schedule'!$A$2:$Q$2902,W$2,0)&lt;&gt;G2016,"Beam Revised","")</f>
        <v>#N/A</v>
      </c>
      <c r="X2016" s="7" t="e">
        <f>IF(VLOOKUP($A2016,'Concrete Beam Schedule'!$A$2:$Q$2902,X$2,0)&lt;&gt;H2016,"Beam Revised","")</f>
        <v>#N/A</v>
      </c>
      <c r="Y2016" s="7" t="e">
        <f>IF(VLOOKUP($A2016,'Concrete Beam Schedule'!$A$2:$Q$2902,Y$2,0)&lt;&gt;I2016,"Beam Revised","")</f>
        <v>#N/A</v>
      </c>
      <c r="Z2016" s="7" t="e">
        <f>IF(VLOOKUP($A2016,'Concrete Beam Schedule'!$A$2:$Q$2902,Z$2,0)&lt;&gt;J2016,"Beam Revised","")</f>
        <v>#N/A</v>
      </c>
      <c r="AA2016" s="7" t="e">
        <f>IF(VLOOKUP($A2016,'Concrete Beam Schedule'!$A$2:$Q$2902,AA$2,0)&lt;&gt;K2016,"Beam Revised","")</f>
        <v>#N/A</v>
      </c>
      <c r="AB2016" s="7" t="e">
        <f>IF(VLOOKUP($A2016,'Concrete Beam Schedule'!$A$2:$Q$2902,AB$2,0)&lt;&gt;L2016,"Beam Revised","")</f>
        <v>#N/A</v>
      </c>
      <c r="AC2016" s="7" t="e">
        <f>IF(VLOOKUP($A2016,'Concrete Beam Schedule'!$A$2:$Q$2902,AC$2,0)&lt;&gt;M2016,"Beam Revised","")</f>
        <v>#N/A</v>
      </c>
      <c r="AD2016" s="7" t="e">
        <f>IF(VLOOKUP($A2016,'Concrete Beam Schedule'!$A$2:$Q$2902,AD$2,0)&lt;&gt;N2016,"Beam Revised","")</f>
        <v>#N/A</v>
      </c>
      <c r="AE2016" s="7" t="e">
        <f>IF(VLOOKUP($A2016,'Concrete Beam Schedule'!$A$2:$Q$2902,AE$2,0)&lt;&gt;O2016,"Beam Revised","")</f>
        <v>#N/A</v>
      </c>
    </row>
    <row r="2017" spans="17:31" ht="20.100000000000001" customHeight="1" x14ac:dyDescent="0.25">
      <c r="Q2017" s="7">
        <f t="shared" si="31"/>
        <v>0</v>
      </c>
      <c r="R2017" s="7" t="e">
        <f>IF(VLOOKUP($A2017,'Concrete Beam Schedule'!$A$2:$Q$2902,R$2,0)&lt;&gt;B2017,VLOOKUP($A2017,'Concrete Beam Schedule'!$A$2:$Q$2902,R$2,0),"")</f>
        <v>#N/A</v>
      </c>
      <c r="S2017" s="7" t="e">
        <f>IF(VLOOKUP($A2017,'Concrete Beam Schedule'!$A$2:$Q$2902,S$2,0)&lt;&gt;C2017,VLOOKUP($A2017,'Concrete Beam Schedule'!$A$2:$Q$2902,S$2,0),"")</f>
        <v>#N/A</v>
      </c>
      <c r="T2017" s="7" t="e">
        <f>IF(VLOOKUP($A2017,'Concrete Beam Schedule'!$A$2:$Q$2902,T$2,0)&lt;&gt;D2017,"Beam Revised","")</f>
        <v>#N/A</v>
      </c>
      <c r="U2017" s="7" t="e">
        <f>IF(VLOOKUP($A2017,'Concrete Beam Schedule'!$A$2:$Q$2902,U$2,0)&lt;&gt;E2017,"Beam Revised","")</f>
        <v>#N/A</v>
      </c>
      <c r="V2017" s="7" t="e">
        <f>IF(VLOOKUP($A2017,'Concrete Beam Schedule'!$A$2:$Q$2902,V$2,0)&lt;&gt;F2017,"Beam Revised","")</f>
        <v>#N/A</v>
      </c>
      <c r="W2017" s="7" t="e">
        <f>IF(VLOOKUP($A2017,'Concrete Beam Schedule'!$A$2:$Q$2902,W$2,0)&lt;&gt;G2017,"Beam Revised","")</f>
        <v>#N/A</v>
      </c>
      <c r="X2017" s="7" t="e">
        <f>IF(VLOOKUP($A2017,'Concrete Beam Schedule'!$A$2:$Q$2902,X$2,0)&lt;&gt;H2017,"Beam Revised","")</f>
        <v>#N/A</v>
      </c>
      <c r="Y2017" s="7" t="e">
        <f>IF(VLOOKUP($A2017,'Concrete Beam Schedule'!$A$2:$Q$2902,Y$2,0)&lt;&gt;I2017,"Beam Revised","")</f>
        <v>#N/A</v>
      </c>
      <c r="Z2017" s="7" t="e">
        <f>IF(VLOOKUP($A2017,'Concrete Beam Schedule'!$A$2:$Q$2902,Z$2,0)&lt;&gt;J2017,"Beam Revised","")</f>
        <v>#N/A</v>
      </c>
      <c r="AA2017" s="7" t="e">
        <f>IF(VLOOKUP($A2017,'Concrete Beam Schedule'!$A$2:$Q$2902,AA$2,0)&lt;&gt;K2017,"Beam Revised","")</f>
        <v>#N/A</v>
      </c>
      <c r="AB2017" s="7" t="e">
        <f>IF(VLOOKUP($A2017,'Concrete Beam Schedule'!$A$2:$Q$2902,AB$2,0)&lt;&gt;L2017,"Beam Revised","")</f>
        <v>#N/A</v>
      </c>
      <c r="AC2017" s="7" t="e">
        <f>IF(VLOOKUP($A2017,'Concrete Beam Schedule'!$A$2:$Q$2902,AC$2,0)&lt;&gt;M2017,"Beam Revised","")</f>
        <v>#N/A</v>
      </c>
      <c r="AD2017" s="7" t="e">
        <f>IF(VLOOKUP($A2017,'Concrete Beam Schedule'!$A$2:$Q$2902,AD$2,0)&lt;&gt;N2017,"Beam Revised","")</f>
        <v>#N/A</v>
      </c>
      <c r="AE2017" s="7" t="e">
        <f>IF(VLOOKUP($A2017,'Concrete Beam Schedule'!$A$2:$Q$2902,AE$2,0)&lt;&gt;O2017,"Beam Revised","")</f>
        <v>#N/A</v>
      </c>
    </row>
    <row r="2018" spans="17:31" ht="20.100000000000001" customHeight="1" x14ac:dyDescent="0.25">
      <c r="Q2018" s="7">
        <f t="shared" si="31"/>
        <v>0</v>
      </c>
      <c r="R2018" s="7" t="e">
        <f>IF(VLOOKUP($A2018,'Concrete Beam Schedule'!$A$2:$Q$2902,R$2,0)&lt;&gt;B2018,VLOOKUP($A2018,'Concrete Beam Schedule'!$A$2:$Q$2902,R$2,0),"")</f>
        <v>#N/A</v>
      </c>
      <c r="S2018" s="7" t="e">
        <f>IF(VLOOKUP($A2018,'Concrete Beam Schedule'!$A$2:$Q$2902,S$2,0)&lt;&gt;C2018,VLOOKUP($A2018,'Concrete Beam Schedule'!$A$2:$Q$2902,S$2,0),"")</f>
        <v>#N/A</v>
      </c>
      <c r="T2018" s="7" t="e">
        <f>IF(VLOOKUP($A2018,'Concrete Beam Schedule'!$A$2:$Q$2902,T$2,0)&lt;&gt;D2018,"Beam Revised","")</f>
        <v>#N/A</v>
      </c>
      <c r="U2018" s="7" t="e">
        <f>IF(VLOOKUP($A2018,'Concrete Beam Schedule'!$A$2:$Q$2902,U$2,0)&lt;&gt;E2018,"Beam Revised","")</f>
        <v>#N/A</v>
      </c>
      <c r="V2018" s="7" t="e">
        <f>IF(VLOOKUP($A2018,'Concrete Beam Schedule'!$A$2:$Q$2902,V$2,0)&lt;&gt;F2018,"Beam Revised","")</f>
        <v>#N/A</v>
      </c>
      <c r="W2018" s="7" t="e">
        <f>IF(VLOOKUP($A2018,'Concrete Beam Schedule'!$A$2:$Q$2902,W$2,0)&lt;&gt;G2018,"Beam Revised","")</f>
        <v>#N/A</v>
      </c>
      <c r="X2018" s="7" t="e">
        <f>IF(VLOOKUP($A2018,'Concrete Beam Schedule'!$A$2:$Q$2902,X$2,0)&lt;&gt;H2018,"Beam Revised","")</f>
        <v>#N/A</v>
      </c>
      <c r="Y2018" s="7" t="e">
        <f>IF(VLOOKUP($A2018,'Concrete Beam Schedule'!$A$2:$Q$2902,Y$2,0)&lt;&gt;I2018,"Beam Revised","")</f>
        <v>#N/A</v>
      </c>
      <c r="Z2018" s="7" t="e">
        <f>IF(VLOOKUP($A2018,'Concrete Beam Schedule'!$A$2:$Q$2902,Z$2,0)&lt;&gt;J2018,"Beam Revised","")</f>
        <v>#N/A</v>
      </c>
      <c r="AA2018" s="7" t="e">
        <f>IF(VLOOKUP($A2018,'Concrete Beam Schedule'!$A$2:$Q$2902,AA$2,0)&lt;&gt;K2018,"Beam Revised","")</f>
        <v>#N/A</v>
      </c>
      <c r="AB2018" s="7" t="e">
        <f>IF(VLOOKUP($A2018,'Concrete Beam Schedule'!$A$2:$Q$2902,AB$2,0)&lt;&gt;L2018,"Beam Revised","")</f>
        <v>#N/A</v>
      </c>
      <c r="AC2018" s="7" t="e">
        <f>IF(VLOOKUP($A2018,'Concrete Beam Schedule'!$A$2:$Q$2902,AC$2,0)&lt;&gt;M2018,"Beam Revised","")</f>
        <v>#N/A</v>
      </c>
      <c r="AD2018" s="7" t="e">
        <f>IF(VLOOKUP($A2018,'Concrete Beam Schedule'!$A$2:$Q$2902,AD$2,0)&lt;&gt;N2018,"Beam Revised","")</f>
        <v>#N/A</v>
      </c>
      <c r="AE2018" s="7" t="e">
        <f>IF(VLOOKUP($A2018,'Concrete Beam Schedule'!$A$2:$Q$2902,AE$2,0)&lt;&gt;O2018,"Beam Revised","")</f>
        <v>#N/A</v>
      </c>
    </row>
    <row r="2019" spans="17:31" ht="20.100000000000001" customHeight="1" x14ac:dyDescent="0.25">
      <c r="Q2019" s="7">
        <f t="shared" si="31"/>
        <v>0</v>
      </c>
      <c r="R2019" s="7" t="e">
        <f>IF(VLOOKUP($A2019,'Concrete Beam Schedule'!$A$2:$Q$2902,R$2,0)&lt;&gt;B2019,VLOOKUP($A2019,'Concrete Beam Schedule'!$A$2:$Q$2902,R$2,0),"")</f>
        <v>#N/A</v>
      </c>
      <c r="S2019" s="7" t="e">
        <f>IF(VLOOKUP($A2019,'Concrete Beam Schedule'!$A$2:$Q$2902,S$2,0)&lt;&gt;C2019,VLOOKUP($A2019,'Concrete Beam Schedule'!$A$2:$Q$2902,S$2,0),"")</f>
        <v>#N/A</v>
      </c>
      <c r="T2019" s="7" t="e">
        <f>IF(VLOOKUP($A2019,'Concrete Beam Schedule'!$A$2:$Q$2902,T$2,0)&lt;&gt;D2019,"Beam Revised","")</f>
        <v>#N/A</v>
      </c>
      <c r="U2019" s="7" t="e">
        <f>IF(VLOOKUP($A2019,'Concrete Beam Schedule'!$A$2:$Q$2902,U$2,0)&lt;&gt;E2019,"Beam Revised","")</f>
        <v>#N/A</v>
      </c>
      <c r="V2019" s="7" t="e">
        <f>IF(VLOOKUP($A2019,'Concrete Beam Schedule'!$A$2:$Q$2902,V$2,0)&lt;&gt;F2019,"Beam Revised","")</f>
        <v>#N/A</v>
      </c>
      <c r="W2019" s="7" t="e">
        <f>IF(VLOOKUP($A2019,'Concrete Beam Schedule'!$A$2:$Q$2902,W$2,0)&lt;&gt;G2019,"Beam Revised","")</f>
        <v>#N/A</v>
      </c>
      <c r="X2019" s="7" t="e">
        <f>IF(VLOOKUP($A2019,'Concrete Beam Schedule'!$A$2:$Q$2902,X$2,0)&lt;&gt;H2019,"Beam Revised","")</f>
        <v>#N/A</v>
      </c>
      <c r="Y2019" s="7" t="e">
        <f>IF(VLOOKUP($A2019,'Concrete Beam Schedule'!$A$2:$Q$2902,Y$2,0)&lt;&gt;I2019,"Beam Revised","")</f>
        <v>#N/A</v>
      </c>
      <c r="Z2019" s="7" t="e">
        <f>IF(VLOOKUP($A2019,'Concrete Beam Schedule'!$A$2:$Q$2902,Z$2,0)&lt;&gt;J2019,"Beam Revised","")</f>
        <v>#N/A</v>
      </c>
      <c r="AA2019" s="7" t="e">
        <f>IF(VLOOKUP($A2019,'Concrete Beam Schedule'!$A$2:$Q$2902,AA$2,0)&lt;&gt;K2019,"Beam Revised","")</f>
        <v>#N/A</v>
      </c>
      <c r="AB2019" s="7" t="e">
        <f>IF(VLOOKUP($A2019,'Concrete Beam Schedule'!$A$2:$Q$2902,AB$2,0)&lt;&gt;L2019,"Beam Revised","")</f>
        <v>#N/A</v>
      </c>
      <c r="AC2019" s="7" t="e">
        <f>IF(VLOOKUP($A2019,'Concrete Beam Schedule'!$A$2:$Q$2902,AC$2,0)&lt;&gt;M2019,"Beam Revised","")</f>
        <v>#N/A</v>
      </c>
      <c r="AD2019" s="7" t="e">
        <f>IF(VLOOKUP($A2019,'Concrete Beam Schedule'!$A$2:$Q$2902,AD$2,0)&lt;&gt;N2019,"Beam Revised","")</f>
        <v>#N/A</v>
      </c>
      <c r="AE2019" s="7" t="e">
        <f>IF(VLOOKUP($A2019,'Concrete Beam Schedule'!$A$2:$Q$2902,AE$2,0)&lt;&gt;O2019,"Beam Revised","")</f>
        <v>#N/A</v>
      </c>
    </row>
    <row r="2020" spans="17:31" ht="20.100000000000001" customHeight="1" x14ac:dyDescent="0.25">
      <c r="Q2020" s="7">
        <f t="shared" si="31"/>
        <v>0</v>
      </c>
      <c r="R2020" s="7" t="e">
        <f>IF(VLOOKUP($A2020,'Concrete Beam Schedule'!$A$2:$Q$2902,R$2,0)&lt;&gt;B2020,VLOOKUP($A2020,'Concrete Beam Schedule'!$A$2:$Q$2902,R$2,0),"")</f>
        <v>#N/A</v>
      </c>
      <c r="S2020" s="7" t="e">
        <f>IF(VLOOKUP($A2020,'Concrete Beam Schedule'!$A$2:$Q$2902,S$2,0)&lt;&gt;C2020,VLOOKUP($A2020,'Concrete Beam Schedule'!$A$2:$Q$2902,S$2,0),"")</f>
        <v>#N/A</v>
      </c>
      <c r="T2020" s="7" t="e">
        <f>IF(VLOOKUP($A2020,'Concrete Beam Schedule'!$A$2:$Q$2902,T$2,0)&lt;&gt;D2020,"Beam Revised","")</f>
        <v>#N/A</v>
      </c>
      <c r="U2020" s="7" t="e">
        <f>IF(VLOOKUP($A2020,'Concrete Beam Schedule'!$A$2:$Q$2902,U$2,0)&lt;&gt;E2020,"Beam Revised","")</f>
        <v>#N/A</v>
      </c>
      <c r="V2020" s="7" t="e">
        <f>IF(VLOOKUP($A2020,'Concrete Beam Schedule'!$A$2:$Q$2902,V$2,0)&lt;&gt;F2020,"Beam Revised","")</f>
        <v>#N/A</v>
      </c>
      <c r="W2020" s="7" t="e">
        <f>IF(VLOOKUP($A2020,'Concrete Beam Schedule'!$A$2:$Q$2902,W$2,0)&lt;&gt;G2020,"Beam Revised","")</f>
        <v>#N/A</v>
      </c>
      <c r="X2020" s="7" t="e">
        <f>IF(VLOOKUP($A2020,'Concrete Beam Schedule'!$A$2:$Q$2902,X$2,0)&lt;&gt;H2020,"Beam Revised","")</f>
        <v>#N/A</v>
      </c>
      <c r="Y2020" s="7" t="e">
        <f>IF(VLOOKUP($A2020,'Concrete Beam Schedule'!$A$2:$Q$2902,Y$2,0)&lt;&gt;I2020,"Beam Revised","")</f>
        <v>#N/A</v>
      </c>
      <c r="Z2020" s="7" t="e">
        <f>IF(VLOOKUP($A2020,'Concrete Beam Schedule'!$A$2:$Q$2902,Z$2,0)&lt;&gt;J2020,"Beam Revised","")</f>
        <v>#N/A</v>
      </c>
      <c r="AA2020" s="7" t="e">
        <f>IF(VLOOKUP($A2020,'Concrete Beam Schedule'!$A$2:$Q$2902,AA$2,0)&lt;&gt;K2020,"Beam Revised","")</f>
        <v>#N/A</v>
      </c>
      <c r="AB2020" s="7" t="e">
        <f>IF(VLOOKUP($A2020,'Concrete Beam Schedule'!$A$2:$Q$2902,AB$2,0)&lt;&gt;L2020,"Beam Revised","")</f>
        <v>#N/A</v>
      </c>
      <c r="AC2020" s="7" t="e">
        <f>IF(VLOOKUP($A2020,'Concrete Beam Schedule'!$A$2:$Q$2902,AC$2,0)&lt;&gt;M2020,"Beam Revised","")</f>
        <v>#N/A</v>
      </c>
      <c r="AD2020" s="7" t="e">
        <f>IF(VLOOKUP($A2020,'Concrete Beam Schedule'!$A$2:$Q$2902,AD$2,0)&lt;&gt;N2020,"Beam Revised","")</f>
        <v>#N/A</v>
      </c>
      <c r="AE2020" s="7" t="e">
        <f>IF(VLOOKUP($A2020,'Concrete Beam Schedule'!$A$2:$Q$2902,AE$2,0)&lt;&gt;O2020,"Beam Revised","")</f>
        <v>#N/A</v>
      </c>
    </row>
    <row r="2021" spans="17:31" ht="20.100000000000001" customHeight="1" x14ac:dyDescent="0.25">
      <c r="Q2021" s="7">
        <f t="shared" si="31"/>
        <v>0</v>
      </c>
      <c r="R2021" s="7" t="e">
        <f>IF(VLOOKUP($A2021,'Concrete Beam Schedule'!$A$2:$Q$2902,R$2,0)&lt;&gt;B2021,VLOOKUP($A2021,'Concrete Beam Schedule'!$A$2:$Q$2902,R$2,0),"")</f>
        <v>#N/A</v>
      </c>
      <c r="S2021" s="7" t="e">
        <f>IF(VLOOKUP($A2021,'Concrete Beam Schedule'!$A$2:$Q$2902,S$2,0)&lt;&gt;C2021,VLOOKUP($A2021,'Concrete Beam Schedule'!$A$2:$Q$2902,S$2,0),"")</f>
        <v>#N/A</v>
      </c>
      <c r="T2021" s="7" t="e">
        <f>IF(VLOOKUP($A2021,'Concrete Beam Schedule'!$A$2:$Q$2902,T$2,0)&lt;&gt;D2021,"Beam Revised","")</f>
        <v>#N/A</v>
      </c>
      <c r="U2021" s="7" t="e">
        <f>IF(VLOOKUP($A2021,'Concrete Beam Schedule'!$A$2:$Q$2902,U$2,0)&lt;&gt;E2021,"Beam Revised","")</f>
        <v>#N/A</v>
      </c>
      <c r="V2021" s="7" t="e">
        <f>IF(VLOOKUP($A2021,'Concrete Beam Schedule'!$A$2:$Q$2902,V$2,0)&lt;&gt;F2021,"Beam Revised","")</f>
        <v>#N/A</v>
      </c>
      <c r="W2021" s="7" t="e">
        <f>IF(VLOOKUP($A2021,'Concrete Beam Schedule'!$A$2:$Q$2902,W$2,0)&lt;&gt;G2021,"Beam Revised","")</f>
        <v>#N/A</v>
      </c>
      <c r="X2021" s="7" t="e">
        <f>IF(VLOOKUP($A2021,'Concrete Beam Schedule'!$A$2:$Q$2902,X$2,0)&lt;&gt;H2021,"Beam Revised","")</f>
        <v>#N/A</v>
      </c>
      <c r="Y2021" s="7" t="e">
        <f>IF(VLOOKUP($A2021,'Concrete Beam Schedule'!$A$2:$Q$2902,Y$2,0)&lt;&gt;I2021,"Beam Revised","")</f>
        <v>#N/A</v>
      </c>
      <c r="Z2021" s="7" t="e">
        <f>IF(VLOOKUP($A2021,'Concrete Beam Schedule'!$A$2:$Q$2902,Z$2,0)&lt;&gt;J2021,"Beam Revised","")</f>
        <v>#N/A</v>
      </c>
      <c r="AA2021" s="7" t="e">
        <f>IF(VLOOKUP($A2021,'Concrete Beam Schedule'!$A$2:$Q$2902,AA$2,0)&lt;&gt;K2021,"Beam Revised","")</f>
        <v>#N/A</v>
      </c>
      <c r="AB2021" s="7" t="e">
        <f>IF(VLOOKUP($A2021,'Concrete Beam Schedule'!$A$2:$Q$2902,AB$2,0)&lt;&gt;L2021,"Beam Revised","")</f>
        <v>#N/A</v>
      </c>
      <c r="AC2021" s="7" t="e">
        <f>IF(VLOOKUP($A2021,'Concrete Beam Schedule'!$A$2:$Q$2902,AC$2,0)&lt;&gt;M2021,"Beam Revised","")</f>
        <v>#N/A</v>
      </c>
      <c r="AD2021" s="7" t="e">
        <f>IF(VLOOKUP($A2021,'Concrete Beam Schedule'!$A$2:$Q$2902,AD$2,0)&lt;&gt;N2021,"Beam Revised","")</f>
        <v>#N/A</v>
      </c>
      <c r="AE2021" s="7" t="e">
        <f>IF(VLOOKUP($A2021,'Concrete Beam Schedule'!$A$2:$Q$2902,AE$2,0)&lt;&gt;O2021,"Beam Revised","")</f>
        <v>#N/A</v>
      </c>
    </row>
    <row r="2022" spans="17:31" ht="20.100000000000001" customHeight="1" x14ac:dyDescent="0.25">
      <c r="Q2022" s="7">
        <f t="shared" si="31"/>
        <v>0</v>
      </c>
      <c r="R2022" s="7" t="e">
        <f>IF(VLOOKUP($A2022,'Concrete Beam Schedule'!$A$2:$Q$2902,R$2,0)&lt;&gt;B2022,VLOOKUP($A2022,'Concrete Beam Schedule'!$A$2:$Q$2902,R$2,0),"")</f>
        <v>#N/A</v>
      </c>
      <c r="S2022" s="7" t="e">
        <f>IF(VLOOKUP($A2022,'Concrete Beam Schedule'!$A$2:$Q$2902,S$2,0)&lt;&gt;C2022,VLOOKUP($A2022,'Concrete Beam Schedule'!$A$2:$Q$2902,S$2,0),"")</f>
        <v>#N/A</v>
      </c>
      <c r="T2022" s="7" t="e">
        <f>IF(VLOOKUP($A2022,'Concrete Beam Schedule'!$A$2:$Q$2902,T$2,0)&lt;&gt;D2022,"Beam Revised","")</f>
        <v>#N/A</v>
      </c>
      <c r="U2022" s="7" t="e">
        <f>IF(VLOOKUP($A2022,'Concrete Beam Schedule'!$A$2:$Q$2902,U$2,0)&lt;&gt;E2022,"Beam Revised","")</f>
        <v>#N/A</v>
      </c>
      <c r="V2022" s="7" t="e">
        <f>IF(VLOOKUP($A2022,'Concrete Beam Schedule'!$A$2:$Q$2902,V$2,0)&lt;&gt;F2022,"Beam Revised","")</f>
        <v>#N/A</v>
      </c>
      <c r="W2022" s="7" t="e">
        <f>IF(VLOOKUP($A2022,'Concrete Beam Schedule'!$A$2:$Q$2902,W$2,0)&lt;&gt;G2022,"Beam Revised","")</f>
        <v>#N/A</v>
      </c>
      <c r="X2022" s="7" t="e">
        <f>IF(VLOOKUP($A2022,'Concrete Beam Schedule'!$A$2:$Q$2902,X$2,0)&lt;&gt;H2022,"Beam Revised","")</f>
        <v>#N/A</v>
      </c>
      <c r="Y2022" s="7" t="e">
        <f>IF(VLOOKUP($A2022,'Concrete Beam Schedule'!$A$2:$Q$2902,Y$2,0)&lt;&gt;I2022,"Beam Revised","")</f>
        <v>#N/A</v>
      </c>
      <c r="Z2022" s="7" t="e">
        <f>IF(VLOOKUP($A2022,'Concrete Beam Schedule'!$A$2:$Q$2902,Z$2,0)&lt;&gt;J2022,"Beam Revised","")</f>
        <v>#N/A</v>
      </c>
      <c r="AA2022" s="7" t="e">
        <f>IF(VLOOKUP($A2022,'Concrete Beam Schedule'!$A$2:$Q$2902,AA$2,0)&lt;&gt;K2022,"Beam Revised","")</f>
        <v>#N/A</v>
      </c>
      <c r="AB2022" s="7" t="e">
        <f>IF(VLOOKUP($A2022,'Concrete Beam Schedule'!$A$2:$Q$2902,AB$2,0)&lt;&gt;L2022,"Beam Revised","")</f>
        <v>#N/A</v>
      </c>
      <c r="AC2022" s="7" t="e">
        <f>IF(VLOOKUP($A2022,'Concrete Beam Schedule'!$A$2:$Q$2902,AC$2,0)&lt;&gt;M2022,"Beam Revised","")</f>
        <v>#N/A</v>
      </c>
      <c r="AD2022" s="7" t="e">
        <f>IF(VLOOKUP($A2022,'Concrete Beam Schedule'!$A$2:$Q$2902,AD$2,0)&lt;&gt;N2022,"Beam Revised","")</f>
        <v>#N/A</v>
      </c>
      <c r="AE2022" s="7" t="e">
        <f>IF(VLOOKUP($A2022,'Concrete Beam Schedule'!$A$2:$Q$2902,AE$2,0)&lt;&gt;O2022,"Beam Revised","")</f>
        <v>#N/A</v>
      </c>
    </row>
    <row r="2023" spans="17:31" ht="20.100000000000001" customHeight="1" x14ac:dyDescent="0.25">
      <c r="Q2023" s="7">
        <f t="shared" si="31"/>
        <v>0</v>
      </c>
      <c r="R2023" s="7" t="e">
        <f>IF(VLOOKUP($A2023,'Concrete Beam Schedule'!$A$2:$Q$2902,R$2,0)&lt;&gt;B2023,VLOOKUP($A2023,'Concrete Beam Schedule'!$A$2:$Q$2902,R$2,0),"")</f>
        <v>#N/A</v>
      </c>
      <c r="S2023" s="7" t="e">
        <f>IF(VLOOKUP($A2023,'Concrete Beam Schedule'!$A$2:$Q$2902,S$2,0)&lt;&gt;C2023,VLOOKUP($A2023,'Concrete Beam Schedule'!$A$2:$Q$2902,S$2,0),"")</f>
        <v>#N/A</v>
      </c>
      <c r="T2023" s="7" t="e">
        <f>IF(VLOOKUP($A2023,'Concrete Beam Schedule'!$A$2:$Q$2902,T$2,0)&lt;&gt;D2023,"Beam Revised","")</f>
        <v>#N/A</v>
      </c>
      <c r="U2023" s="7" t="e">
        <f>IF(VLOOKUP($A2023,'Concrete Beam Schedule'!$A$2:$Q$2902,U$2,0)&lt;&gt;E2023,"Beam Revised","")</f>
        <v>#N/A</v>
      </c>
      <c r="V2023" s="7" t="e">
        <f>IF(VLOOKUP($A2023,'Concrete Beam Schedule'!$A$2:$Q$2902,V$2,0)&lt;&gt;F2023,"Beam Revised","")</f>
        <v>#N/A</v>
      </c>
      <c r="W2023" s="7" t="e">
        <f>IF(VLOOKUP($A2023,'Concrete Beam Schedule'!$A$2:$Q$2902,W$2,0)&lt;&gt;G2023,"Beam Revised","")</f>
        <v>#N/A</v>
      </c>
      <c r="X2023" s="7" t="e">
        <f>IF(VLOOKUP($A2023,'Concrete Beam Schedule'!$A$2:$Q$2902,X$2,0)&lt;&gt;H2023,"Beam Revised","")</f>
        <v>#N/A</v>
      </c>
      <c r="Y2023" s="7" t="e">
        <f>IF(VLOOKUP($A2023,'Concrete Beam Schedule'!$A$2:$Q$2902,Y$2,0)&lt;&gt;I2023,"Beam Revised","")</f>
        <v>#N/A</v>
      </c>
      <c r="Z2023" s="7" t="e">
        <f>IF(VLOOKUP($A2023,'Concrete Beam Schedule'!$A$2:$Q$2902,Z$2,0)&lt;&gt;J2023,"Beam Revised","")</f>
        <v>#N/A</v>
      </c>
      <c r="AA2023" s="7" t="e">
        <f>IF(VLOOKUP($A2023,'Concrete Beam Schedule'!$A$2:$Q$2902,AA$2,0)&lt;&gt;K2023,"Beam Revised","")</f>
        <v>#N/A</v>
      </c>
      <c r="AB2023" s="7" t="e">
        <f>IF(VLOOKUP($A2023,'Concrete Beam Schedule'!$A$2:$Q$2902,AB$2,0)&lt;&gt;L2023,"Beam Revised","")</f>
        <v>#N/A</v>
      </c>
      <c r="AC2023" s="7" t="e">
        <f>IF(VLOOKUP($A2023,'Concrete Beam Schedule'!$A$2:$Q$2902,AC$2,0)&lt;&gt;M2023,"Beam Revised","")</f>
        <v>#N/A</v>
      </c>
      <c r="AD2023" s="7" t="e">
        <f>IF(VLOOKUP($A2023,'Concrete Beam Schedule'!$A$2:$Q$2902,AD$2,0)&lt;&gt;N2023,"Beam Revised","")</f>
        <v>#N/A</v>
      </c>
      <c r="AE2023" s="7" t="e">
        <f>IF(VLOOKUP($A2023,'Concrete Beam Schedule'!$A$2:$Q$2902,AE$2,0)&lt;&gt;O2023,"Beam Revised","")</f>
        <v>#N/A</v>
      </c>
    </row>
    <row r="2024" spans="17:31" ht="20.100000000000001" customHeight="1" x14ac:dyDescent="0.25">
      <c r="Q2024" s="7">
        <f t="shared" si="31"/>
        <v>0</v>
      </c>
      <c r="R2024" s="7" t="e">
        <f>IF(VLOOKUP($A2024,'Concrete Beam Schedule'!$A$2:$Q$2902,R$2,0)&lt;&gt;B2024,VLOOKUP($A2024,'Concrete Beam Schedule'!$A$2:$Q$2902,R$2,0),"")</f>
        <v>#N/A</v>
      </c>
      <c r="S2024" s="7" t="e">
        <f>IF(VLOOKUP($A2024,'Concrete Beam Schedule'!$A$2:$Q$2902,S$2,0)&lt;&gt;C2024,VLOOKUP($A2024,'Concrete Beam Schedule'!$A$2:$Q$2902,S$2,0),"")</f>
        <v>#N/A</v>
      </c>
      <c r="T2024" s="7" t="e">
        <f>IF(VLOOKUP($A2024,'Concrete Beam Schedule'!$A$2:$Q$2902,T$2,0)&lt;&gt;D2024,"Beam Revised","")</f>
        <v>#N/A</v>
      </c>
      <c r="U2024" s="7" t="e">
        <f>IF(VLOOKUP($A2024,'Concrete Beam Schedule'!$A$2:$Q$2902,U$2,0)&lt;&gt;E2024,"Beam Revised","")</f>
        <v>#N/A</v>
      </c>
      <c r="V2024" s="7" t="e">
        <f>IF(VLOOKUP($A2024,'Concrete Beam Schedule'!$A$2:$Q$2902,V$2,0)&lt;&gt;F2024,"Beam Revised","")</f>
        <v>#N/A</v>
      </c>
      <c r="W2024" s="7" t="e">
        <f>IF(VLOOKUP($A2024,'Concrete Beam Schedule'!$A$2:$Q$2902,W$2,0)&lt;&gt;G2024,"Beam Revised","")</f>
        <v>#N/A</v>
      </c>
      <c r="X2024" s="7" t="e">
        <f>IF(VLOOKUP($A2024,'Concrete Beam Schedule'!$A$2:$Q$2902,X$2,0)&lt;&gt;H2024,"Beam Revised","")</f>
        <v>#N/A</v>
      </c>
      <c r="Y2024" s="7" t="e">
        <f>IF(VLOOKUP($A2024,'Concrete Beam Schedule'!$A$2:$Q$2902,Y$2,0)&lt;&gt;I2024,"Beam Revised","")</f>
        <v>#N/A</v>
      </c>
      <c r="Z2024" s="7" t="e">
        <f>IF(VLOOKUP($A2024,'Concrete Beam Schedule'!$A$2:$Q$2902,Z$2,0)&lt;&gt;J2024,"Beam Revised","")</f>
        <v>#N/A</v>
      </c>
      <c r="AA2024" s="7" t="e">
        <f>IF(VLOOKUP($A2024,'Concrete Beam Schedule'!$A$2:$Q$2902,AA$2,0)&lt;&gt;K2024,"Beam Revised","")</f>
        <v>#N/A</v>
      </c>
      <c r="AB2024" s="7" t="e">
        <f>IF(VLOOKUP($A2024,'Concrete Beam Schedule'!$A$2:$Q$2902,AB$2,0)&lt;&gt;L2024,"Beam Revised","")</f>
        <v>#N/A</v>
      </c>
      <c r="AC2024" s="7" t="e">
        <f>IF(VLOOKUP($A2024,'Concrete Beam Schedule'!$A$2:$Q$2902,AC$2,0)&lt;&gt;M2024,"Beam Revised","")</f>
        <v>#N/A</v>
      </c>
      <c r="AD2024" s="7" t="e">
        <f>IF(VLOOKUP($A2024,'Concrete Beam Schedule'!$A$2:$Q$2902,AD$2,0)&lt;&gt;N2024,"Beam Revised","")</f>
        <v>#N/A</v>
      </c>
      <c r="AE2024" s="7" t="e">
        <f>IF(VLOOKUP($A2024,'Concrete Beam Schedule'!$A$2:$Q$2902,AE$2,0)&lt;&gt;O2024,"Beam Revised","")</f>
        <v>#N/A</v>
      </c>
    </row>
    <row r="2025" spans="17:31" ht="20.100000000000001" customHeight="1" x14ac:dyDescent="0.25">
      <c r="Q2025" s="7">
        <f t="shared" si="31"/>
        <v>0</v>
      </c>
      <c r="R2025" s="7" t="e">
        <f>IF(VLOOKUP($A2025,'Concrete Beam Schedule'!$A$2:$Q$2902,R$2,0)&lt;&gt;B2025,VLOOKUP($A2025,'Concrete Beam Schedule'!$A$2:$Q$2902,R$2,0),"")</f>
        <v>#N/A</v>
      </c>
      <c r="S2025" s="7" t="e">
        <f>IF(VLOOKUP($A2025,'Concrete Beam Schedule'!$A$2:$Q$2902,S$2,0)&lt;&gt;C2025,VLOOKUP($A2025,'Concrete Beam Schedule'!$A$2:$Q$2902,S$2,0),"")</f>
        <v>#N/A</v>
      </c>
      <c r="T2025" s="7" t="e">
        <f>IF(VLOOKUP($A2025,'Concrete Beam Schedule'!$A$2:$Q$2902,T$2,0)&lt;&gt;D2025,"Beam Revised","")</f>
        <v>#N/A</v>
      </c>
      <c r="U2025" s="7" t="e">
        <f>IF(VLOOKUP($A2025,'Concrete Beam Schedule'!$A$2:$Q$2902,U$2,0)&lt;&gt;E2025,"Beam Revised","")</f>
        <v>#N/A</v>
      </c>
      <c r="V2025" s="7" t="e">
        <f>IF(VLOOKUP($A2025,'Concrete Beam Schedule'!$A$2:$Q$2902,V$2,0)&lt;&gt;F2025,"Beam Revised","")</f>
        <v>#N/A</v>
      </c>
      <c r="W2025" s="7" t="e">
        <f>IF(VLOOKUP($A2025,'Concrete Beam Schedule'!$A$2:$Q$2902,W$2,0)&lt;&gt;G2025,"Beam Revised","")</f>
        <v>#N/A</v>
      </c>
      <c r="X2025" s="7" t="e">
        <f>IF(VLOOKUP($A2025,'Concrete Beam Schedule'!$A$2:$Q$2902,X$2,0)&lt;&gt;H2025,"Beam Revised","")</f>
        <v>#N/A</v>
      </c>
      <c r="Y2025" s="7" t="e">
        <f>IF(VLOOKUP($A2025,'Concrete Beam Schedule'!$A$2:$Q$2902,Y$2,0)&lt;&gt;I2025,"Beam Revised","")</f>
        <v>#N/A</v>
      </c>
      <c r="Z2025" s="7" t="e">
        <f>IF(VLOOKUP($A2025,'Concrete Beam Schedule'!$A$2:$Q$2902,Z$2,0)&lt;&gt;J2025,"Beam Revised","")</f>
        <v>#N/A</v>
      </c>
      <c r="AA2025" s="7" t="e">
        <f>IF(VLOOKUP($A2025,'Concrete Beam Schedule'!$A$2:$Q$2902,AA$2,0)&lt;&gt;K2025,"Beam Revised","")</f>
        <v>#N/A</v>
      </c>
      <c r="AB2025" s="7" t="e">
        <f>IF(VLOOKUP($A2025,'Concrete Beam Schedule'!$A$2:$Q$2902,AB$2,0)&lt;&gt;L2025,"Beam Revised","")</f>
        <v>#N/A</v>
      </c>
      <c r="AC2025" s="7" t="e">
        <f>IF(VLOOKUP($A2025,'Concrete Beam Schedule'!$A$2:$Q$2902,AC$2,0)&lt;&gt;M2025,"Beam Revised","")</f>
        <v>#N/A</v>
      </c>
      <c r="AD2025" s="7" t="e">
        <f>IF(VLOOKUP($A2025,'Concrete Beam Schedule'!$A$2:$Q$2902,AD$2,0)&lt;&gt;N2025,"Beam Revised","")</f>
        <v>#N/A</v>
      </c>
      <c r="AE2025" s="7" t="e">
        <f>IF(VLOOKUP($A2025,'Concrete Beam Schedule'!$A$2:$Q$2902,AE$2,0)&lt;&gt;O2025,"Beam Revised","")</f>
        <v>#N/A</v>
      </c>
    </row>
    <row r="2026" spans="17:31" ht="20.100000000000001" customHeight="1" x14ac:dyDescent="0.25">
      <c r="Q2026" s="7">
        <f t="shared" si="31"/>
        <v>0</v>
      </c>
      <c r="R2026" s="7" t="e">
        <f>IF(VLOOKUP($A2026,'Concrete Beam Schedule'!$A$2:$Q$2902,R$2,0)&lt;&gt;B2026,VLOOKUP($A2026,'Concrete Beam Schedule'!$A$2:$Q$2902,R$2,0),"")</f>
        <v>#N/A</v>
      </c>
      <c r="S2026" s="7" t="e">
        <f>IF(VLOOKUP($A2026,'Concrete Beam Schedule'!$A$2:$Q$2902,S$2,0)&lt;&gt;C2026,VLOOKUP($A2026,'Concrete Beam Schedule'!$A$2:$Q$2902,S$2,0),"")</f>
        <v>#N/A</v>
      </c>
      <c r="T2026" s="7" t="e">
        <f>IF(VLOOKUP($A2026,'Concrete Beam Schedule'!$A$2:$Q$2902,T$2,0)&lt;&gt;D2026,"Beam Revised","")</f>
        <v>#N/A</v>
      </c>
      <c r="U2026" s="7" t="e">
        <f>IF(VLOOKUP($A2026,'Concrete Beam Schedule'!$A$2:$Q$2902,U$2,0)&lt;&gt;E2026,"Beam Revised","")</f>
        <v>#N/A</v>
      </c>
      <c r="V2026" s="7" t="e">
        <f>IF(VLOOKUP($A2026,'Concrete Beam Schedule'!$A$2:$Q$2902,V$2,0)&lt;&gt;F2026,"Beam Revised","")</f>
        <v>#N/A</v>
      </c>
      <c r="W2026" s="7" t="e">
        <f>IF(VLOOKUP($A2026,'Concrete Beam Schedule'!$A$2:$Q$2902,W$2,0)&lt;&gt;G2026,"Beam Revised","")</f>
        <v>#N/A</v>
      </c>
      <c r="X2026" s="7" t="e">
        <f>IF(VLOOKUP($A2026,'Concrete Beam Schedule'!$A$2:$Q$2902,X$2,0)&lt;&gt;H2026,"Beam Revised","")</f>
        <v>#N/A</v>
      </c>
      <c r="Y2026" s="7" t="e">
        <f>IF(VLOOKUP($A2026,'Concrete Beam Schedule'!$A$2:$Q$2902,Y$2,0)&lt;&gt;I2026,"Beam Revised","")</f>
        <v>#N/A</v>
      </c>
      <c r="Z2026" s="7" t="e">
        <f>IF(VLOOKUP($A2026,'Concrete Beam Schedule'!$A$2:$Q$2902,Z$2,0)&lt;&gt;J2026,"Beam Revised","")</f>
        <v>#N/A</v>
      </c>
      <c r="AA2026" s="7" t="e">
        <f>IF(VLOOKUP($A2026,'Concrete Beam Schedule'!$A$2:$Q$2902,AA$2,0)&lt;&gt;K2026,"Beam Revised","")</f>
        <v>#N/A</v>
      </c>
      <c r="AB2026" s="7" t="e">
        <f>IF(VLOOKUP($A2026,'Concrete Beam Schedule'!$A$2:$Q$2902,AB$2,0)&lt;&gt;L2026,"Beam Revised","")</f>
        <v>#N/A</v>
      </c>
      <c r="AC2026" s="7" t="e">
        <f>IF(VLOOKUP($A2026,'Concrete Beam Schedule'!$A$2:$Q$2902,AC$2,0)&lt;&gt;M2026,"Beam Revised","")</f>
        <v>#N/A</v>
      </c>
      <c r="AD2026" s="7" t="e">
        <f>IF(VLOOKUP($A2026,'Concrete Beam Schedule'!$A$2:$Q$2902,AD$2,0)&lt;&gt;N2026,"Beam Revised","")</f>
        <v>#N/A</v>
      </c>
      <c r="AE2026" s="7" t="e">
        <f>IF(VLOOKUP($A2026,'Concrete Beam Schedule'!$A$2:$Q$2902,AE$2,0)&lt;&gt;O2026,"Beam Revised","")</f>
        <v>#N/A</v>
      </c>
    </row>
    <row r="2027" spans="17:31" ht="20.100000000000001" customHeight="1" x14ac:dyDescent="0.25">
      <c r="Q2027" s="7">
        <f t="shared" si="31"/>
        <v>0</v>
      </c>
      <c r="R2027" s="7" t="e">
        <f>IF(VLOOKUP($A2027,'Concrete Beam Schedule'!$A$2:$Q$2902,R$2,0)&lt;&gt;B2027,VLOOKUP($A2027,'Concrete Beam Schedule'!$A$2:$Q$2902,R$2,0),"")</f>
        <v>#N/A</v>
      </c>
      <c r="S2027" s="7" t="e">
        <f>IF(VLOOKUP($A2027,'Concrete Beam Schedule'!$A$2:$Q$2902,S$2,0)&lt;&gt;C2027,VLOOKUP($A2027,'Concrete Beam Schedule'!$A$2:$Q$2902,S$2,0),"")</f>
        <v>#N/A</v>
      </c>
      <c r="T2027" s="7" t="e">
        <f>IF(VLOOKUP($A2027,'Concrete Beam Schedule'!$A$2:$Q$2902,T$2,0)&lt;&gt;D2027,"Beam Revised","")</f>
        <v>#N/A</v>
      </c>
      <c r="U2027" s="7" t="e">
        <f>IF(VLOOKUP($A2027,'Concrete Beam Schedule'!$A$2:$Q$2902,U$2,0)&lt;&gt;E2027,"Beam Revised","")</f>
        <v>#N/A</v>
      </c>
      <c r="V2027" s="7" t="e">
        <f>IF(VLOOKUP($A2027,'Concrete Beam Schedule'!$A$2:$Q$2902,V$2,0)&lt;&gt;F2027,"Beam Revised","")</f>
        <v>#N/A</v>
      </c>
      <c r="W2027" s="7" t="e">
        <f>IF(VLOOKUP($A2027,'Concrete Beam Schedule'!$A$2:$Q$2902,W$2,0)&lt;&gt;G2027,"Beam Revised","")</f>
        <v>#N/A</v>
      </c>
      <c r="X2027" s="7" t="e">
        <f>IF(VLOOKUP($A2027,'Concrete Beam Schedule'!$A$2:$Q$2902,X$2,0)&lt;&gt;H2027,"Beam Revised","")</f>
        <v>#N/A</v>
      </c>
      <c r="Y2027" s="7" t="e">
        <f>IF(VLOOKUP($A2027,'Concrete Beam Schedule'!$A$2:$Q$2902,Y$2,0)&lt;&gt;I2027,"Beam Revised","")</f>
        <v>#N/A</v>
      </c>
      <c r="Z2027" s="7" t="e">
        <f>IF(VLOOKUP($A2027,'Concrete Beam Schedule'!$A$2:$Q$2902,Z$2,0)&lt;&gt;J2027,"Beam Revised","")</f>
        <v>#N/A</v>
      </c>
      <c r="AA2027" s="7" t="e">
        <f>IF(VLOOKUP($A2027,'Concrete Beam Schedule'!$A$2:$Q$2902,AA$2,0)&lt;&gt;K2027,"Beam Revised","")</f>
        <v>#N/A</v>
      </c>
      <c r="AB2027" s="7" t="e">
        <f>IF(VLOOKUP($A2027,'Concrete Beam Schedule'!$A$2:$Q$2902,AB$2,0)&lt;&gt;L2027,"Beam Revised","")</f>
        <v>#N/A</v>
      </c>
      <c r="AC2027" s="7" t="e">
        <f>IF(VLOOKUP($A2027,'Concrete Beam Schedule'!$A$2:$Q$2902,AC$2,0)&lt;&gt;M2027,"Beam Revised","")</f>
        <v>#N/A</v>
      </c>
      <c r="AD2027" s="7" t="e">
        <f>IF(VLOOKUP($A2027,'Concrete Beam Schedule'!$A$2:$Q$2902,AD$2,0)&lt;&gt;N2027,"Beam Revised","")</f>
        <v>#N/A</v>
      </c>
      <c r="AE2027" s="7" t="e">
        <f>IF(VLOOKUP($A2027,'Concrete Beam Schedule'!$A$2:$Q$2902,AE$2,0)&lt;&gt;O2027,"Beam Revised","")</f>
        <v>#N/A</v>
      </c>
    </row>
    <row r="2028" spans="17:31" ht="20.100000000000001" customHeight="1" x14ac:dyDescent="0.25">
      <c r="Q2028" s="7">
        <f t="shared" si="31"/>
        <v>0</v>
      </c>
      <c r="R2028" s="7" t="e">
        <f>IF(VLOOKUP($A2028,'Concrete Beam Schedule'!$A$2:$Q$2902,R$2,0)&lt;&gt;B2028,VLOOKUP($A2028,'Concrete Beam Schedule'!$A$2:$Q$2902,R$2,0),"")</f>
        <v>#N/A</v>
      </c>
      <c r="S2028" s="7" t="e">
        <f>IF(VLOOKUP($A2028,'Concrete Beam Schedule'!$A$2:$Q$2902,S$2,0)&lt;&gt;C2028,VLOOKUP($A2028,'Concrete Beam Schedule'!$A$2:$Q$2902,S$2,0),"")</f>
        <v>#N/A</v>
      </c>
      <c r="T2028" s="7" t="e">
        <f>IF(VLOOKUP($A2028,'Concrete Beam Schedule'!$A$2:$Q$2902,T$2,0)&lt;&gt;D2028,"Beam Revised","")</f>
        <v>#N/A</v>
      </c>
      <c r="U2028" s="7" t="e">
        <f>IF(VLOOKUP($A2028,'Concrete Beam Schedule'!$A$2:$Q$2902,U$2,0)&lt;&gt;E2028,"Beam Revised","")</f>
        <v>#N/A</v>
      </c>
      <c r="V2028" s="7" t="e">
        <f>IF(VLOOKUP($A2028,'Concrete Beam Schedule'!$A$2:$Q$2902,V$2,0)&lt;&gt;F2028,"Beam Revised","")</f>
        <v>#N/A</v>
      </c>
      <c r="W2028" s="7" t="e">
        <f>IF(VLOOKUP($A2028,'Concrete Beam Schedule'!$A$2:$Q$2902,W$2,0)&lt;&gt;G2028,"Beam Revised","")</f>
        <v>#N/A</v>
      </c>
      <c r="X2028" s="7" t="e">
        <f>IF(VLOOKUP($A2028,'Concrete Beam Schedule'!$A$2:$Q$2902,X$2,0)&lt;&gt;H2028,"Beam Revised","")</f>
        <v>#N/A</v>
      </c>
      <c r="Y2028" s="7" t="e">
        <f>IF(VLOOKUP($A2028,'Concrete Beam Schedule'!$A$2:$Q$2902,Y$2,0)&lt;&gt;I2028,"Beam Revised","")</f>
        <v>#N/A</v>
      </c>
      <c r="Z2028" s="7" t="e">
        <f>IF(VLOOKUP($A2028,'Concrete Beam Schedule'!$A$2:$Q$2902,Z$2,0)&lt;&gt;J2028,"Beam Revised","")</f>
        <v>#N/A</v>
      </c>
      <c r="AA2028" s="7" t="e">
        <f>IF(VLOOKUP($A2028,'Concrete Beam Schedule'!$A$2:$Q$2902,AA$2,0)&lt;&gt;K2028,"Beam Revised","")</f>
        <v>#N/A</v>
      </c>
      <c r="AB2028" s="7" t="e">
        <f>IF(VLOOKUP($A2028,'Concrete Beam Schedule'!$A$2:$Q$2902,AB$2,0)&lt;&gt;L2028,"Beam Revised","")</f>
        <v>#N/A</v>
      </c>
      <c r="AC2028" s="7" t="e">
        <f>IF(VLOOKUP($A2028,'Concrete Beam Schedule'!$A$2:$Q$2902,AC$2,0)&lt;&gt;M2028,"Beam Revised","")</f>
        <v>#N/A</v>
      </c>
      <c r="AD2028" s="7" t="e">
        <f>IF(VLOOKUP($A2028,'Concrete Beam Schedule'!$A$2:$Q$2902,AD$2,0)&lt;&gt;N2028,"Beam Revised","")</f>
        <v>#N/A</v>
      </c>
      <c r="AE2028" s="7" t="e">
        <f>IF(VLOOKUP($A2028,'Concrete Beam Schedule'!$A$2:$Q$2902,AE$2,0)&lt;&gt;O2028,"Beam Revised","")</f>
        <v>#N/A</v>
      </c>
    </row>
    <row r="2029" spans="17:31" ht="20.100000000000001" customHeight="1" x14ac:dyDescent="0.25">
      <c r="Q2029" s="7">
        <f t="shared" si="31"/>
        <v>0</v>
      </c>
      <c r="R2029" s="7" t="e">
        <f>IF(VLOOKUP($A2029,'Concrete Beam Schedule'!$A$2:$Q$2902,R$2,0)&lt;&gt;B2029,VLOOKUP($A2029,'Concrete Beam Schedule'!$A$2:$Q$2902,R$2,0),"")</f>
        <v>#N/A</v>
      </c>
      <c r="S2029" s="7" t="e">
        <f>IF(VLOOKUP($A2029,'Concrete Beam Schedule'!$A$2:$Q$2902,S$2,0)&lt;&gt;C2029,VLOOKUP($A2029,'Concrete Beam Schedule'!$A$2:$Q$2902,S$2,0),"")</f>
        <v>#N/A</v>
      </c>
      <c r="T2029" s="7" t="e">
        <f>IF(VLOOKUP($A2029,'Concrete Beam Schedule'!$A$2:$Q$2902,T$2,0)&lt;&gt;D2029,"Beam Revised","")</f>
        <v>#N/A</v>
      </c>
      <c r="U2029" s="7" t="e">
        <f>IF(VLOOKUP($A2029,'Concrete Beam Schedule'!$A$2:$Q$2902,U$2,0)&lt;&gt;E2029,"Beam Revised","")</f>
        <v>#N/A</v>
      </c>
      <c r="V2029" s="7" t="e">
        <f>IF(VLOOKUP($A2029,'Concrete Beam Schedule'!$A$2:$Q$2902,V$2,0)&lt;&gt;F2029,"Beam Revised","")</f>
        <v>#N/A</v>
      </c>
      <c r="W2029" s="7" t="e">
        <f>IF(VLOOKUP($A2029,'Concrete Beam Schedule'!$A$2:$Q$2902,W$2,0)&lt;&gt;G2029,"Beam Revised","")</f>
        <v>#N/A</v>
      </c>
      <c r="X2029" s="7" t="e">
        <f>IF(VLOOKUP($A2029,'Concrete Beam Schedule'!$A$2:$Q$2902,X$2,0)&lt;&gt;H2029,"Beam Revised","")</f>
        <v>#N/A</v>
      </c>
      <c r="Y2029" s="7" t="e">
        <f>IF(VLOOKUP($A2029,'Concrete Beam Schedule'!$A$2:$Q$2902,Y$2,0)&lt;&gt;I2029,"Beam Revised","")</f>
        <v>#N/A</v>
      </c>
      <c r="Z2029" s="7" t="e">
        <f>IF(VLOOKUP($A2029,'Concrete Beam Schedule'!$A$2:$Q$2902,Z$2,0)&lt;&gt;J2029,"Beam Revised","")</f>
        <v>#N/A</v>
      </c>
      <c r="AA2029" s="7" t="e">
        <f>IF(VLOOKUP($A2029,'Concrete Beam Schedule'!$A$2:$Q$2902,AA$2,0)&lt;&gt;K2029,"Beam Revised","")</f>
        <v>#N/A</v>
      </c>
      <c r="AB2029" s="7" t="e">
        <f>IF(VLOOKUP($A2029,'Concrete Beam Schedule'!$A$2:$Q$2902,AB$2,0)&lt;&gt;L2029,"Beam Revised","")</f>
        <v>#N/A</v>
      </c>
      <c r="AC2029" s="7" t="e">
        <f>IF(VLOOKUP($A2029,'Concrete Beam Schedule'!$A$2:$Q$2902,AC$2,0)&lt;&gt;M2029,"Beam Revised","")</f>
        <v>#N/A</v>
      </c>
      <c r="AD2029" s="7" t="e">
        <f>IF(VLOOKUP($A2029,'Concrete Beam Schedule'!$A$2:$Q$2902,AD$2,0)&lt;&gt;N2029,"Beam Revised","")</f>
        <v>#N/A</v>
      </c>
      <c r="AE2029" s="7" t="e">
        <f>IF(VLOOKUP($A2029,'Concrete Beam Schedule'!$A$2:$Q$2902,AE$2,0)&lt;&gt;O2029,"Beam Revised","")</f>
        <v>#N/A</v>
      </c>
    </row>
    <row r="2030" spans="17:31" ht="20.100000000000001" customHeight="1" x14ac:dyDescent="0.25">
      <c r="Q2030" s="7">
        <f t="shared" si="31"/>
        <v>0</v>
      </c>
      <c r="R2030" s="7" t="e">
        <f>IF(VLOOKUP($A2030,'Concrete Beam Schedule'!$A$2:$Q$2902,R$2,0)&lt;&gt;B2030,VLOOKUP($A2030,'Concrete Beam Schedule'!$A$2:$Q$2902,R$2,0),"")</f>
        <v>#N/A</v>
      </c>
      <c r="S2030" s="7" t="e">
        <f>IF(VLOOKUP($A2030,'Concrete Beam Schedule'!$A$2:$Q$2902,S$2,0)&lt;&gt;C2030,VLOOKUP($A2030,'Concrete Beam Schedule'!$A$2:$Q$2902,S$2,0),"")</f>
        <v>#N/A</v>
      </c>
      <c r="T2030" s="7" t="e">
        <f>IF(VLOOKUP($A2030,'Concrete Beam Schedule'!$A$2:$Q$2902,T$2,0)&lt;&gt;D2030,"Beam Revised","")</f>
        <v>#N/A</v>
      </c>
      <c r="U2030" s="7" t="e">
        <f>IF(VLOOKUP($A2030,'Concrete Beam Schedule'!$A$2:$Q$2902,U$2,0)&lt;&gt;E2030,"Beam Revised","")</f>
        <v>#N/A</v>
      </c>
      <c r="V2030" s="7" t="e">
        <f>IF(VLOOKUP($A2030,'Concrete Beam Schedule'!$A$2:$Q$2902,V$2,0)&lt;&gt;F2030,"Beam Revised","")</f>
        <v>#N/A</v>
      </c>
      <c r="W2030" s="7" t="e">
        <f>IF(VLOOKUP($A2030,'Concrete Beam Schedule'!$A$2:$Q$2902,W$2,0)&lt;&gt;G2030,"Beam Revised","")</f>
        <v>#N/A</v>
      </c>
      <c r="X2030" s="7" t="e">
        <f>IF(VLOOKUP($A2030,'Concrete Beam Schedule'!$A$2:$Q$2902,X$2,0)&lt;&gt;H2030,"Beam Revised","")</f>
        <v>#N/A</v>
      </c>
      <c r="Y2030" s="7" t="e">
        <f>IF(VLOOKUP($A2030,'Concrete Beam Schedule'!$A$2:$Q$2902,Y$2,0)&lt;&gt;I2030,"Beam Revised","")</f>
        <v>#N/A</v>
      </c>
      <c r="Z2030" s="7" t="e">
        <f>IF(VLOOKUP($A2030,'Concrete Beam Schedule'!$A$2:$Q$2902,Z$2,0)&lt;&gt;J2030,"Beam Revised","")</f>
        <v>#N/A</v>
      </c>
      <c r="AA2030" s="7" t="e">
        <f>IF(VLOOKUP($A2030,'Concrete Beam Schedule'!$A$2:$Q$2902,AA$2,0)&lt;&gt;K2030,"Beam Revised","")</f>
        <v>#N/A</v>
      </c>
      <c r="AB2030" s="7" t="e">
        <f>IF(VLOOKUP($A2030,'Concrete Beam Schedule'!$A$2:$Q$2902,AB$2,0)&lt;&gt;L2030,"Beam Revised","")</f>
        <v>#N/A</v>
      </c>
      <c r="AC2030" s="7" t="e">
        <f>IF(VLOOKUP($A2030,'Concrete Beam Schedule'!$A$2:$Q$2902,AC$2,0)&lt;&gt;M2030,"Beam Revised","")</f>
        <v>#N/A</v>
      </c>
      <c r="AD2030" s="7" t="e">
        <f>IF(VLOOKUP($A2030,'Concrete Beam Schedule'!$A$2:$Q$2902,AD$2,0)&lt;&gt;N2030,"Beam Revised","")</f>
        <v>#N/A</v>
      </c>
      <c r="AE2030" s="7" t="e">
        <f>IF(VLOOKUP($A2030,'Concrete Beam Schedule'!$A$2:$Q$2902,AE$2,0)&lt;&gt;O2030,"Beam Revised","")</f>
        <v>#N/A</v>
      </c>
    </row>
    <row r="2031" spans="17:31" ht="20.100000000000001" customHeight="1" x14ac:dyDescent="0.25">
      <c r="Q2031" s="7">
        <f t="shared" si="31"/>
        <v>0</v>
      </c>
      <c r="R2031" s="7" t="e">
        <f>IF(VLOOKUP($A2031,'Concrete Beam Schedule'!$A$2:$Q$2902,R$2,0)&lt;&gt;B2031,VLOOKUP($A2031,'Concrete Beam Schedule'!$A$2:$Q$2902,R$2,0),"")</f>
        <v>#N/A</v>
      </c>
      <c r="S2031" s="7" t="e">
        <f>IF(VLOOKUP($A2031,'Concrete Beam Schedule'!$A$2:$Q$2902,S$2,0)&lt;&gt;C2031,VLOOKUP($A2031,'Concrete Beam Schedule'!$A$2:$Q$2902,S$2,0),"")</f>
        <v>#N/A</v>
      </c>
      <c r="T2031" s="7" t="e">
        <f>IF(VLOOKUP($A2031,'Concrete Beam Schedule'!$A$2:$Q$2902,T$2,0)&lt;&gt;D2031,"Beam Revised","")</f>
        <v>#N/A</v>
      </c>
      <c r="U2031" s="7" t="e">
        <f>IF(VLOOKUP($A2031,'Concrete Beam Schedule'!$A$2:$Q$2902,U$2,0)&lt;&gt;E2031,"Beam Revised","")</f>
        <v>#N/A</v>
      </c>
      <c r="V2031" s="7" t="e">
        <f>IF(VLOOKUP($A2031,'Concrete Beam Schedule'!$A$2:$Q$2902,V$2,0)&lt;&gt;F2031,"Beam Revised","")</f>
        <v>#N/A</v>
      </c>
      <c r="W2031" s="7" t="e">
        <f>IF(VLOOKUP($A2031,'Concrete Beam Schedule'!$A$2:$Q$2902,W$2,0)&lt;&gt;G2031,"Beam Revised","")</f>
        <v>#N/A</v>
      </c>
      <c r="X2031" s="7" t="e">
        <f>IF(VLOOKUP($A2031,'Concrete Beam Schedule'!$A$2:$Q$2902,X$2,0)&lt;&gt;H2031,"Beam Revised","")</f>
        <v>#N/A</v>
      </c>
      <c r="Y2031" s="7" t="e">
        <f>IF(VLOOKUP($A2031,'Concrete Beam Schedule'!$A$2:$Q$2902,Y$2,0)&lt;&gt;I2031,"Beam Revised","")</f>
        <v>#N/A</v>
      </c>
      <c r="Z2031" s="7" t="e">
        <f>IF(VLOOKUP($A2031,'Concrete Beam Schedule'!$A$2:$Q$2902,Z$2,0)&lt;&gt;J2031,"Beam Revised","")</f>
        <v>#N/A</v>
      </c>
      <c r="AA2031" s="7" t="e">
        <f>IF(VLOOKUP($A2031,'Concrete Beam Schedule'!$A$2:$Q$2902,AA$2,0)&lt;&gt;K2031,"Beam Revised","")</f>
        <v>#N/A</v>
      </c>
      <c r="AB2031" s="7" t="e">
        <f>IF(VLOOKUP($A2031,'Concrete Beam Schedule'!$A$2:$Q$2902,AB$2,0)&lt;&gt;L2031,"Beam Revised","")</f>
        <v>#N/A</v>
      </c>
      <c r="AC2031" s="7" t="e">
        <f>IF(VLOOKUP($A2031,'Concrete Beam Schedule'!$A$2:$Q$2902,AC$2,0)&lt;&gt;M2031,"Beam Revised","")</f>
        <v>#N/A</v>
      </c>
      <c r="AD2031" s="7" t="e">
        <f>IF(VLOOKUP($A2031,'Concrete Beam Schedule'!$A$2:$Q$2902,AD$2,0)&lt;&gt;N2031,"Beam Revised","")</f>
        <v>#N/A</v>
      </c>
      <c r="AE2031" s="7" t="e">
        <f>IF(VLOOKUP($A2031,'Concrete Beam Schedule'!$A$2:$Q$2902,AE$2,0)&lt;&gt;O2031,"Beam Revised","")</f>
        <v>#N/A</v>
      </c>
    </row>
    <row r="2032" spans="17:31" ht="20.100000000000001" customHeight="1" x14ac:dyDescent="0.25">
      <c r="Q2032" s="7">
        <f t="shared" si="31"/>
        <v>0</v>
      </c>
      <c r="R2032" s="7" t="e">
        <f>IF(VLOOKUP($A2032,'Concrete Beam Schedule'!$A$2:$Q$2902,R$2,0)&lt;&gt;B2032,VLOOKUP($A2032,'Concrete Beam Schedule'!$A$2:$Q$2902,R$2,0),"")</f>
        <v>#N/A</v>
      </c>
      <c r="S2032" s="7" t="e">
        <f>IF(VLOOKUP($A2032,'Concrete Beam Schedule'!$A$2:$Q$2902,S$2,0)&lt;&gt;C2032,VLOOKUP($A2032,'Concrete Beam Schedule'!$A$2:$Q$2902,S$2,0),"")</f>
        <v>#N/A</v>
      </c>
      <c r="T2032" s="7" t="e">
        <f>IF(VLOOKUP($A2032,'Concrete Beam Schedule'!$A$2:$Q$2902,T$2,0)&lt;&gt;D2032,"Beam Revised","")</f>
        <v>#N/A</v>
      </c>
      <c r="U2032" s="7" t="e">
        <f>IF(VLOOKUP($A2032,'Concrete Beam Schedule'!$A$2:$Q$2902,U$2,0)&lt;&gt;E2032,"Beam Revised","")</f>
        <v>#N/A</v>
      </c>
      <c r="V2032" s="7" t="e">
        <f>IF(VLOOKUP($A2032,'Concrete Beam Schedule'!$A$2:$Q$2902,V$2,0)&lt;&gt;F2032,"Beam Revised","")</f>
        <v>#N/A</v>
      </c>
      <c r="W2032" s="7" t="e">
        <f>IF(VLOOKUP($A2032,'Concrete Beam Schedule'!$A$2:$Q$2902,W$2,0)&lt;&gt;G2032,"Beam Revised","")</f>
        <v>#N/A</v>
      </c>
      <c r="X2032" s="7" t="e">
        <f>IF(VLOOKUP($A2032,'Concrete Beam Schedule'!$A$2:$Q$2902,X$2,0)&lt;&gt;H2032,"Beam Revised","")</f>
        <v>#N/A</v>
      </c>
      <c r="Y2032" s="7" t="e">
        <f>IF(VLOOKUP($A2032,'Concrete Beam Schedule'!$A$2:$Q$2902,Y$2,0)&lt;&gt;I2032,"Beam Revised","")</f>
        <v>#N/A</v>
      </c>
      <c r="Z2032" s="7" t="e">
        <f>IF(VLOOKUP($A2032,'Concrete Beam Schedule'!$A$2:$Q$2902,Z$2,0)&lt;&gt;J2032,"Beam Revised","")</f>
        <v>#N/A</v>
      </c>
      <c r="AA2032" s="7" t="e">
        <f>IF(VLOOKUP($A2032,'Concrete Beam Schedule'!$A$2:$Q$2902,AA$2,0)&lt;&gt;K2032,"Beam Revised","")</f>
        <v>#N/A</v>
      </c>
      <c r="AB2032" s="7" t="e">
        <f>IF(VLOOKUP($A2032,'Concrete Beam Schedule'!$A$2:$Q$2902,AB$2,0)&lt;&gt;L2032,"Beam Revised","")</f>
        <v>#N/A</v>
      </c>
      <c r="AC2032" s="7" t="e">
        <f>IF(VLOOKUP($A2032,'Concrete Beam Schedule'!$A$2:$Q$2902,AC$2,0)&lt;&gt;M2032,"Beam Revised","")</f>
        <v>#N/A</v>
      </c>
      <c r="AD2032" s="7" t="e">
        <f>IF(VLOOKUP($A2032,'Concrete Beam Schedule'!$A$2:$Q$2902,AD$2,0)&lt;&gt;N2032,"Beam Revised","")</f>
        <v>#N/A</v>
      </c>
      <c r="AE2032" s="7" t="e">
        <f>IF(VLOOKUP($A2032,'Concrete Beam Schedule'!$A$2:$Q$2902,AE$2,0)&lt;&gt;O2032,"Beam Revised","")</f>
        <v>#N/A</v>
      </c>
    </row>
    <row r="2033" spans="17:31" ht="20.100000000000001" customHeight="1" x14ac:dyDescent="0.25">
      <c r="Q2033" s="7">
        <f t="shared" si="31"/>
        <v>0</v>
      </c>
      <c r="R2033" s="7" t="e">
        <f>IF(VLOOKUP($A2033,'Concrete Beam Schedule'!$A$2:$Q$2902,R$2,0)&lt;&gt;B2033,VLOOKUP($A2033,'Concrete Beam Schedule'!$A$2:$Q$2902,R$2,0),"")</f>
        <v>#N/A</v>
      </c>
      <c r="S2033" s="7" t="e">
        <f>IF(VLOOKUP($A2033,'Concrete Beam Schedule'!$A$2:$Q$2902,S$2,0)&lt;&gt;C2033,VLOOKUP($A2033,'Concrete Beam Schedule'!$A$2:$Q$2902,S$2,0),"")</f>
        <v>#N/A</v>
      </c>
      <c r="T2033" s="7" t="e">
        <f>IF(VLOOKUP($A2033,'Concrete Beam Schedule'!$A$2:$Q$2902,T$2,0)&lt;&gt;D2033,"Beam Revised","")</f>
        <v>#N/A</v>
      </c>
      <c r="U2033" s="7" t="e">
        <f>IF(VLOOKUP($A2033,'Concrete Beam Schedule'!$A$2:$Q$2902,U$2,0)&lt;&gt;E2033,"Beam Revised","")</f>
        <v>#N/A</v>
      </c>
      <c r="V2033" s="7" t="e">
        <f>IF(VLOOKUP($A2033,'Concrete Beam Schedule'!$A$2:$Q$2902,V$2,0)&lt;&gt;F2033,"Beam Revised","")</f>
        <v>#N/A</v>
      </c>
      <c r="W2033" s="7" t="e">
        <f>IF(VLOOKUP($A2033,'Concrete Beam Schedule'!$A$2:$Q$2902,W$2,0)&lt;&gt;G2033,"Beam Revised","")</f>
        <v>#N/A</v>
      </c>
      <c r="X2033" s="7" t="e">
        <f>IF(VLOOKUP($A2033,'Concrete Beam Schedule'!$A$2:$Q$2902,X$2,0)&lt;&gt;H2033,"Beam Revised","")</f>
        <v>#N/A</v>
      </c>
      <c r="Y2033" s="7" t="e">
        <f>IF(VLOOKUP($A2033,'Concrete Beam Schedule'!$A$2:$Q$2902,Y$2,0)&lt;&gt;I2033,"Beam Revised","")</f>
        <v>#N/A</v>
      </c>
      <c r="Z2033" s="7" t="e">
        <f>IF(VLOOKUP($A2033,'Concrete Beam Schedule'!$A$2:$Q$2902,Z$2,0)&lt;&gt;J2033,"Beam Revised","")</f>
        <v>#N/A</v>
      </c>
      <c r="AA2033" s="7" t="e">
        <f>IF(VLOOKUP($A2033,'Concrete Beam Schedule'!$A$2:$Q$2902,AA$2,0)&lt;&gt;K2033,"Beam Revised","")</f>
        <v>#N/A</v>
      </c>
      <c r="AB2033" s="7" t="e">
        <f>IF(VLOOKUP($A2033,'Concrete Beam Schedule'!$A$2:$Q$2902,AB$2,0)&lt;&gt;L2033,"Beam Revised","")</f>
        <v>#N/A</v>
      </c>
      <c r="AC2033" s="7" t="e">
        <f>IF(VLOOKUP($A2033,'Concrete Beam Schedule'!$A$2:$Q$2902,AC$2,0)&lt;&gt;M2033,"Beam Revised","")</f>
        <v>#N/A</v>
      </c>
      <c r="AD2033" s="7" t="e">
        <f>IF(VLOOKUP($A2033,'Concrete Beam Schedule'!$A$2:$Q$2902,AD$2,0)&lt;&gt;N2033,"Beam Revised","")</f>
        <v>#N/A</v>
      </c>
      <c r="AE2033" s="7" t="e">
        <f>IF(VLOOKUP($A2033,'Concrete Beam Schedule'!$A$2:$Q$2902,AE$2,0)&lt;&gt;O2033,"Beam Revised","")</f>
        <v>#N/A</v>
      </c>
    </row>
    <row r="2034" spans="17:31" ht="20.100000000000001" customHeight="1" x14ac:dyDescent="0.25">
      <c r="Q2034" s="7">
        <f t="shared" si="31"/>
        <v>0</v>
      </c>
      <c r="R2034" s="7" t="e">
        <f>IF(VLOOKUP($A2034,'Concrete Beam Schedule'!$A$2:$Q$2902,R$2,0)&lt;&gt;B2034,VLOOKUP($A2034,'Concrete Beam Schedule'!$A$2:$Q$2902,R$2,0),"")</f>
        <v>#N/A</v>
      </c>
      <c r="S2034" s="7" t="e">
        <f>IF(VLOOKUP($A2034,'Concrete Beam Schedule'!$A$2:$Q$2902,S$2,0)&lt;&gt;C2034,VLOOKUP($A2034,'Concrete Beam Schedule'!$A$2:$Q$2902,S$2,0),"")</f>
        <v>#N/A</v>
      </c>
      <c r="T2034" s="7" t="e">
        <f>IF(VLOOKUP($A2034,'Concrete Beam Schedule'!$A$2:$Q$2902,T$2,0)&lt;&gt;D2034,"Beam Revised","")</f>
        <v>#N/A</v>
      </c>
      <c r="U2034" s="7" t="e">
        <f>IF(VLOOKUP($A2034,'Concrete Beam Schedule'!$A$2:$Q$2902,U$2,0)&lt;&gt;E2034,"Beam Revised","")</f>
        <v>#N/A</v>
      </c>
      <c r="V2034" s="7" t="e">
        <f>IF(VLOOKUP($A2034,'Concrete Beam Schedule'!$A$2:$Q$2902,V$2,0)&lt;&gt;F2034,"Beam Revised","")</f>
        <v>#N/A</v>
      </c>
      <c r="W2034" s="7" t="e">
        <f>IF(VLOOKUP($A2034,'Concrete Beam Schedule'!$A$2:$Q$2902,W$2,0)&lt;&gt;G2034,"Beam Revised","")</f>
        <v>#N/A</v>
      </c>
      <c r="X2034" s="7" t="e">
        <f>IF(VLOOKUP($A2034,'Concrete Beam Schedule'!$A$2:$Q$2902,X$2,0)&lt;&gt;H2034,"Beam Revised","")</f>
        <v>#N/A</v>
      </c>
      <c r="Y2034" s="7" t="e">
        <f>IF(VLOOKUP($A2034,'Concrete Beam Schedule'!$A$2:$Q$2902,Y$2,0)&lt;&gt;I2034,"Beam Revised","")</f>
        <v>#N/A</v>
      </c>
      <c r="Z2034" s="7" t="e">
        <f>IF(VLOOKUP($A2034,'Concrete Beam Schedule'!$A$2:$Q$2902,Z$2,0)&lt;&gt;J2034,"Beam Revised","")</f>
        <v>#N/A</v>
      </c>
      <c r="AA2034" s="7" t="e">
        <f>IF(VLOOKUP($A2034,'Concrete Beam Schedule'!$A$2:$Q$2902,AA$2,0)&lt;&gt;K2034,"Beam Revised","")</f>
        <v>#N/A</v>
      </c>
      <c r="AB2034" s="7" t="e">
        <f>IF(VLOOKUP($A2034,'Concrete Beam Schedule'!$A$2:$Q$2902,AB$2,0)&lt;&gt;L2034,"Beam Revised","")</f>
        <v>#N/A</v>
      </c>
      <c r="AC2034" s="7" t="e">
        <f>IF(VLOOKUP($A2034,'Concrete Beam Schedule'!$A$2:$Q$2902,AC$2,0)&lt;&gt;M2034,"Beam Revised","")</f>
        <v>#N/A</v>
      </c>
      <c r="AD2034" s="7" t="e">
        <f>IF(VLOOKUP($A2034,'Concrete Beam Schedule'!$A$2:$Q$2902,AD$2,0)&lt;&gt;N2034,"Beam Revised","")</f>
        <v>#N/A</v>
      </c>
      <c r="AE2034" s="7" t="e">
        <f>IF(VLOOKUP($A2034,'Concrete Beam Schedule'!$A$2:$Q$2902,AE$2,0)&lt;&gt;O2034,"Beam Revised","")</f>
        <v>#N/A</v>
      </c>
    </row>
    <row r="2035" spans="17:31" ht="20.100000000000001" customHeight="1" x14ac:dyDescent="0.25">
      <c r="Q2035" s="7">
        <f t="shared" si="31"/>
        <v>0</v>
      </c>
      <c r="R2035" s="7" t="e">
        <f>IF(VLOOKUP($A2035,'Concrete Beam Schedule'!$A$2:$Q$2902,R$2,0)&lt;&gt;B2035,VLOOKUP($A2035,'Concrete Beam Schedule'!$A$2:$Q$2902,R$2,0),"")</f>
        <v>#N/A</v>
      </c>
      <c r="S2035" s="7" t="e">
        <f>IF(VLOOKUP($A2035,'Concrete Beam Schedule'!$A$2:$Q$2902,S$2,0)&lt;&gt;C2035,VLOOKUP($A2035,'Concrete Beam Schedule'!$A$2:$Q$2902,S$2,0),"")</f>
        <v>#N/A</v>
      </c>
      <c r="T2035" s="7" t="e">
        <f>IF(VLOOKUP($A2035,'Concrete Beam Schedule'!$A$2:$Q$2902,T$2,0)&lt;&gt;D2035,"Beam Revised","")</f>
        <v>#N/A</v>
      </c>
      <c r="U2035" s="7" t="e">
        <f>IF(VLOOKUP($A2035,'Concrete Beam Schedule'!$A$2:$Q$2902,U$2,0)&lt;&gt;E2035,"Beam Revised","")</f>
        <v>#N/A</v>
      </c>
      <c r="V2035" s="7" t="e">
        <f>IF(VLOOKUP($A2035,'Concrete Beam Schedule'!$A$2:$Q$2902,V$2,0)&lt;&gt;F2035,"Beam Revised","")</f>
        <v>#N/A</v>
      </c>
      <c r="W2035" s="7" t="e">
        <f>IF(VLOOKUP($A2035,'Concrete Beam Schedule'!$A$2:$Q$2902,W$2,0)&lt;&gt;G2035,"Beam Revised","")</f>
        <v>#N/A</v>
      </c>
      <c r="X2035" s="7" t="e">
        <f>IF(VLOOKUP($A2035,'Concrete Beam Schedule'!$A$2:$Q$2902,X$2,0)&lt;&gt;H2035,"Beam Revised","")</f>
        <v>#N/A</v>
      </c>
      <c r="Y2035" s="7" t="e">
        <f>IF(VLOOKUP($A2035,'Concrete Beam Schedule'!$A$2:$Q$2902,Y$2,0)&lt;&gt;I2035,"Beam Revised","")</f>
        <v>#N/A</v>
      </c>
      <c r="Z2035" s="7" t="e">
        <f>IF(VLOOKUP($A2035,'Concrete Beam Schedule'!$A$2:$Q$2902,Z$2,0)&lt;&gt;J2035,"Beam Revised","")</f>
        <v>#N/A</v>
      </c>
      <c r="AA2035" s="7" t="e">
        <f>IF(VLOOKUP($A2035,'Concrete Beam Schedule'!$A$2:$Q$2902,AA$2,0)&lt;&gt;K2035,"Beam Revised","")</f>
        <v>#N/A</v>
      </c>
      <c r="AB2035" s="7" t="e">
        <f>IF(VLOOKUP($A2035,'Concrete Beam Schedule'!$A$2:$Q$2902,AB$2,0)&lt;&gt;L2035,"Beam Revised","")</f>
        <v>#N/A</v>
      </c>
      <c r="AC2035" s="7" t="e">
        <f>IF(VLOOKUP($A2035,'Concrete Beam Schedule'!$A$2:$Q$2902,AC$2,0)&lt;&gt;M2035,"Beam Revised","")</f>
        <v>#N/A</v>
      </c>
      <c r="AD2035" s="7" t="e">
        <f>IF(VLOOKUP($A2035,'Concrete Beam Schedule'!$A$2:$Q$2902,AD$2,0)&lt;&gt;N2035,"Beam Revised","")</f>
        <v>#N/A</v>
      </c>
      <c r="AE2035" s="7" t="e">
        <f>IF(VLOOKUP($A2035,'Concrete Beam Schedule'!$A$2:$Q$2902,AE$2,0)&lt;&gt;O2035,"Beam Revised","")</f>
        <v>#N/A</v>
      </c>
    </row>
    <row r="2036" spans="17:31" ht="20.100000000000001" customHeight="1" x14ac:dyDescent="0.25">
      <c r="Q2036" s="7">
        <f t="shared" si="31"/>
        <v>0</v>
      </c>
      <c r="R2036" s="7" t="e">
        <f>IF(VLOOKUP($A2036,'Concrete Beam Schedule'!$A$2:$Q$2902,R$2,0)&lt;&gt;B2036,VLOOKUP($A2036,'Concrete Beam Schedule'!$A$2:$Q$2902,R$2,0),"")</f>
        <v>#N/A</v>
      </c>
      <c r="S2036" s="7" t="e">
        <f>IF(VLOOKUP($A2036,'Concrete Beam Schedule'!$A$2:$Q$2902,S$2,0)&lt;&gt;C2036,VLOOKUP($A2036,'Concrete Beam Schedule'!$A$2:$Q$2902,S$2,0),"")</f>
        <v>#N/A</v>
      </c>
      <c r="T2036" s="7" t="e">
        <f>IF(VLOOKUP($A2036,'Concrete Beam Schedule'!$A$2:$Q$2902,T$2,0)&lt;&gt;D2036,"Beam Revised","")</f>
        <v>#N/A</v>
      </c>
      <c r="U2036" s="7" t="e">
        <f>IF(VLOOKUP($A2036,'Concrete Beam Schedule'!$A$2:$Q$2902,U$2,0)&lt;&gt;E2036,"Beam Revised","")</f>
        <v>#N/A</v>
      </c>
      <c r="V2036" s="7" t="e">
        <f>IF(VLOOKUP($A2036,'Concrete Beam Schedule'!$A$2:$Q$2902,V$2,0)&lt;&gt;F2036,"Beam Revised","")</f>
        <v>#N/A</v>
      </c>
      <c r="W2036" s="7" t="e">
        <f>IF(VLOOKUP($A2036,'Concrete Beam Schedule'!$A$2:$Q$2902,W$2,0)&lt;&gt;G2036,"Beam Revised","")</f>
        <v>#N/A</v>
      </c>
      <c r="X2036" s="7" t="e">
        <f>IF(VLOOKUP($A2036,'Concrete Beam Schedule'!$A$2:$Q$2902,X$2,0)&lt;&gt;H2036,"Beam Revised","")</f>
        <v>#N/A</v>
      </c>
      <c r="Y2036" s="7" t="e">
        <f>IF(VLOOKUP($A2036,'Concrete Beam Schedule'!$A$2:$Q$2902,Y$2,0)&lt;&gt;I2036,"Beam Revised","")</f>
        <v>#N/A</v>
      </c>
      <c r="Z2036" s="7" t="e">
        <f>IF(VLOOKUP($A2036,'Concrete Beam Schedule'!$A$2:$Q$2902,Z$2,0)&lt;&gt;J2036,"Beam Revised","")</f>
        <v>#N/A</v>
      </c>
      <c r="AA2036" s="7" t="e">
        <f>IF(VLOOKUP($A2036,'Concrete Beam Schedule'!$A$2:$Q$2902,AA$2,0)&lt;&gt;K2036,"Beam Revised","")</f>
        <v>#N/A</v>
      </c>
      <c r="AB2036" s="7" t="e">
        <f>IF(VLOOKUP($A2036,'Concrete Beam Schedule'!$A$2:$Q$2902,AB$2,0)&lt;&gt;L2036,"Beam Revised","")</f>
        <v>#N/A</v>
      </c>
      <c r="AC2036" s="7" t="e">
        <f>IF(VLOOKUP($A2036,'Concrete Beam Schedule'!$A$2:$Q$2902,AC$2,0)&lt;&gt;M2036,"Beam Revised","")</f>
        <v>#N/A</v>
      </c>
      <c r="AD2036" s="7" t="e">
        <f>IF(VLOOKUP($A2036,'Concrete Beam Schedule'!$A$2:$Q$2902,AD$2,0)&lt;&gt;N2036,"Beam Revised","")</f>
        <v>#N/A</v>
      </c>
      <c r="AE2036" s="7" t="e">
        <f>IF(VLOOKUP($A2036,'Concrete Beam Schedule'!$A$2:$Q$2902,AE$2,0)&lt;&gt;O2036,"Beam Revised","")</f>
        <v>#N/A</v>
      </c>
    </row>
    <row r="2037" spans="17:31" ht="20.100000000000001" customHeight="1" x14ac:dyDescent="0.25">
      <c r="Q2037" s="7">
        <f t="shared" si="31"/>
        <v>0</v>
      </c>
      <c r="R2037" s="7" t="e">
        <f>IF(VLOOKUP($A2037,'Concrete Beam Schedule'!$A$2:$Q$2902,R$2,0)&lt;&gt;B2037,VLOOKUP($A2037,'Concrete Beam Schedule'!$A$2:$Q$2902,R$2,0),"")</f>
        <v>#N/A</v>
      </c>
      <c r="S2037" s="7" t="e">
        <f>IF(VLOOKUP($A2037,'Concrete Beam Schedule'!$A$2:$Q$2902,S$2,0)&lt;&gt;C2037,VLOOKUP($A2037,'Concrete Beam Schedule'!$A$2:$Q$2902,S$2,0),"")</f>
        <v>#N/A</v>
      </c>
      <c r="T2037" s="7" t="e">
        <f>IF(VLOOKUP($A2037,'Concrete Beam Schedule'!$A$2:$Q$2902,T$2,0)&lt;&gt;D2037,"Beam Revised","")</f>
        <v>#N/A</v>
      </c>
      <c r="U2037" s="7" t="e">
        <f>IF(VLOOKUP($A2037,'Concrete Beam Schedule'!$A$2:$Q$2902,U$2,0)&lt;&gt;E2037,"Beam Revised","")</f>
        <v>#N/A</v>
      </c>
      <c r="V2037" s="7" t="e">
        <f>IF(VLOOKUP($A2037,'Concrete Beam Schedule'!$A$2:$Q$2902,V$2,0)&lt;&gt;F2037,"Beam Revised","")</f>
        <v>#N/A</v>
      </c>
      <c r="W2037" s="7" t="e">
        <f>IF(VLOOKUP($A2037,'Concrete Beam Schedule'!$A$2:$Q$2902,W$2,0)&lt;&gt;G2037,"Beam Revised","")</f>
        <v>#N/A</v>
      </c>
      <c r="X2037" s="7" t="e">
        <f>IF(VLOOKUP($A2037,'Concrete Beam Schedule'!$A$2:$Q$2902,X$2,0)&lt;&gt;H2037,"Beam Revised","")</f>
        <v>#N/A</v>
      </c>
      <c r="Y2037" s="7" t="e">
        <f>IF(VLOOKUP($A2037,'Concrete Beam Schedule'!$A$2:$Q$2902,Y$2,0)&lt;&gt;I2037,"Beam Revised","")</f>
        <v>#N/A</v>
      </c>
      <c r="Z2037" s="7" t="e">
        <f>IF(VLOOKUP($A2037,'Concrete Beam Schedule'!$A$2:$Q$2902,Z$2,0)&lt;&gt;J2037,"Beam Revised","")</f>
        <v>#N/A</v>
      </c>
      <c r="AA2037" s="7" t="e">
        <f>IF(VLOOKUP($A2037,'Concrete Beam Schedule'!$A$2:$Q$2902,AA$2,0)&lt;&gt;K2037,"Beam Revised","")</f>
        <v>#N/A</v>
      </c>
      <c r="AB2037" s="7" t="e">
        <f>IF(VLOOKUP($A2037,'Concrete Beam Schedule'!$A$2:$Q$2902,AB$2,0)&lt;&gt;L2037,"Beam Revised","")</f>
        <v>#N/A</v>
      </c>
      <c r="AC2037" s="7" t="e">
        <f>IF(VLOOKUP($A2037,'Concrete Beam Schedule'!$A$2:$Q$2902,AC$2,0)&lt;&gt;M2037,"Beam Revised","")</f>
        <v>#N/A</v>
      </c>
      <c r="AD2037" s="7" t="e">
        <f>IF(VLOOKUP($A2037,'Concrete Beam Schedule'!$A$2:$Q$2902,AD$2,0)&lt;&gt;N2037,"Beam Revised","")</f>
        <v>#N/A</v>
      </c>
      <c r="AE2037" s="7" t="e">
        <f>IF(VLOOKUP($A2037,'Concrete Beam Schedule'!$A$2:$Q$2902,AE$2,0)&lt;&gt;O2037,"Beam Revised","")</f>
        <v>#N/A</v>
      </c>
    </row>
    <row r="2038" spans="17:31" ht="20.100000000000001" customHeight="1" x14ac:dyDescent="0.25">
      <c r="Q2038" s="7">
        <f t="shared" si="31"/>
        <v>0</v>
      </c>
      <c r="R2038" s="7" t="e">
        <f>IF(VLOOKUP($A2038,'Concrete Beam Schedule'!$A$2:$Q$2902,R$2,0)&lt;&gt;B2038,VLOOKUP($A2038,'Concrete Beam Schedule'!$A$2:$Q$2902,R$2,0),"")</f>
        <v>#N/A</v>
      </c>
      <c r="S2038" s="7" t="e">
        <f>IF(VLOOKUP($A2038,'Concrete Beam Schedule'!$A$2:$Q$2902,S$2,0)&lt;&gt;C2038,VLOOKUP($A2038,'Concrete Beam Schedule'!$A$2:$Q$2902,S$2,0),"")</f>
        <v>#N/A</v>
      </c>
      <c r="T2038" s="7" t="e">
        <f>IF(VLOOKUP($A2038,'Concrete Beam Schedule'!$A$2:$Q$2902,T$2,0)&lt;&gt;D2038,"Beam Revised","")</f>
        <v>#N/A</v>
      </c>
      <c r="U2038" s="7" t="e">
        <f>IF(VLOOKUP($A2038,'Concrete Beam Schedule'!$A$2:$Q$2902,U$2,0)&lt;&gt;E2038,"Beam Revised","")</f>
        <v>#N/A</v>
      </c>
      <c r="V2038" s="7" t="e">
        <f>IF(VLOOKUP($A2038,'Concrete Beam Schedule'!$A$2:$Q$2902,V$2,0)&lt;&gt;F2038,"Beam Revised","")</f>
        <v>#N/A</v>
      </c>
      <c r="W2038" s="7" t="e">
        <f>IF(VLOOKUP($A2038,'Concrete Beam Schedule'!$A$2:$Q$2902,W$2,0)&lt;&gt;G2038,"Beam Revised","")</f>
        <v>#N/A</v>
      </c>
      <c r="X2038" s="7" t="e">
        <f>IF(VLOOKUP($A2038,'Concrete Beam Schedule'!$A$2:$Q$2902,X$2,0)&lt;&gt;H2038,"Beam Revised","")</f>
        <v>#N/A</v>
      </c>
      <c r="Y2038" s="7" t="e">
        <f>IF(VLOOKUP($A2038,'Concrete Beam Schedule'!$A$2:$Q$2902,Y$2,0)&lt;&gt;I2038,"Beam Revised","")</f>
        <v>#N/A</v>
      </c>
      <c r="Z2038" s="7" t="e">
        <f>IF(VLOOKUP($A2038,'Concrete Beam Schedule'!$A$2:$Q$2902,Z$2,0)&lt;&gt;J2038,"Beam Revised","")</f>
        <v>#N/A</v>
      </c>
      <c r="AA2038" s="7" t="e">
        <f>IF(VLOOKUP($A2038,'Concrete Beam Schedule'!$A$2:$Q$2902,AA$2,0)&lt;&gt;K2038,"Beam Revised","")</f>
        <v>#N/A</v>
      </c>
      <c r="AB2038" s="7" t="e">
        <f>IF(VLOOKUP($A2038,'Concrete Beam Schedule'!$A$2:$Q$2902,AB$2,0)&lt;&gt;L2038,"Beam Revised","")</f>
        <v>#N/A</v>
      </c>
      <c r="AC2038" s="7" t="e">
        <f>IF(VLOOKUP($A2038,'Concrete Beam Schedule'!$A$2:$Q$2902,AC$2,0)&lt;&gt;M2038,"Beam Revised","")</f>
        <v>#N/A</v>
      </c>
      <c r="AD2038" s="7" t="e">
        <f>IF(VLOOKUP($A2038,'Concrete Beam Schedule'!$A$2:$Q$2902,AD$2,0)&lt;&gt;N2038,"Beam Revised","")</f>
        <v>#N/A</v>
      </c>
      <c r="AE2038" s="7" t="e">
        <f>IF(VLOOKUP($A2038,'Concrete Beam Schedule'!$A$2:$Q$2902,AE$2,0)&lt;&gt;O2038,"Beam Revised","")</f>
        <v>#N/A</v>
      </c>
    </row>
    <row r="2039" spans="17:31" ht="20.100000000000001" customHeight="1" x14ac:dyDescent="0.25">
      <c r="Q2039" s="7">
        <f t="shared" si="31"/>
        <v>0</v>
      </c>
      <c r="R2039" s="7" t="e">
        <f>IF(VLOOKUP($A2039,'Concrete Beam Schedule'!$A$2:$Q$2902,R$2,0)&lt;&gt;B2039,VLOOKUP($A2039,'Concrete Beam Schedule'!$A$2:$Q$2902,R$2,0),"")</f>
        <v>#N/A</v>
      </c>
      <c r="S2039" s="7" t="e">
        <f>IF(VLOOKUP($A2039,'Concrete Beam Schedule'!$A$2:$Q$2902,S$2,0)&lt;&gt;C2039,VLOOKUP($A2039,'Concrete Beam Schedule'!$A$2:$Q$2902,S$2,0),"")</f>
        <v>#N/A</v>
      </c>
      <c r="T2039" s="7" t="e">
        <f>IF(VLOOKUP($A2039,'Concrete Beam Schedule'!$A$2:$Q$2902,T$2,0)&lt;&gt;D2039,"Beam Revised","")</f>
        <v>#N/A</v>
      </c>
      <c r="U2039" s="7" t="e">
        <f>IF(VLOOKUP($A2039,'Concrete Beam Schedule'!$A$2:$Q$2902,U$2,0)&lt;&gt;E2039,"Beam Revised","")</f>
        <v>#N/A</v>
      </c>
      <c r="V2039" s="7" t="e">
        <f>IF(VLOOKUP($A2039,'Concrete Beam Schedule'!$A$2:$Q$2902,V$2,0)&lt;&gt;F2039,"Beam Revised","")</f>
        <v>#N/A</v>
      </c>
      <c r="W2039" s="7" t="e">
        <f>IF(VLOOKUP($A2039,'Concrete Beam Schedule'!$A$2:$Q$2902,W$2,0)&lt;&gt;G2039,"Beam Revised","")</f>
        <v>#N/A</v>
      </c>
      <c r="X2039" s="7" t="e">
        <f>IF(VLOOKUP($A2039,'Concrete Beam Schedule'!$A$2:$Q$2902,X$2,0)&lt;&gt;H2039,"Beam Revised","")</f>
        <v>#N/A</v>
      </c>
      <c r="Y2039" s="7" t="e">
        <f>IF(VLOOKUP($A2039,'Concrete Beam Schedule'!$A$2:$Q$2902,Y$2,0)&lt;&gt;I2039,"Beam Revised","")</f>
        <v>#N/A</v>
      </c>
      <c r="Z2039" s="7" t="e">
        <f>IF(VLOOKUP($A2039,'Concrete Beam Schedule'!$A$2:$Q$2902,Z$2,0)&lt;&gt;J2039,"Beam Revised","")</f>
        <v>#N/A</v>
      </c>
      <c r="AA2039" s="7" t="e">
        <f>IF(VLOOKUP($A2039,'Concrete Beam Schedule'!$A$2:$Q$2902,AA$2,0)&lt;&gt;K2039,"Beam Revised","")</f>
        <v>#N/A</v>
      </c>
      <c r="AB2039" s="7" t="e">
        <f>IF(VLOOKUP($A2039,'Concrete Beam Schedule'!$A$2:$Q$2902,AB$2,0)&lt;&gt;L2039,"Beam Revised","")</f>
        <v>#N/A</v>
      </c>
      <c r="AC2039" s="7" t="e">
        <f>IF(VLOOKUP($A2039,'Concrete Beam Schedule'!$A$2:$Q$2902,AC$2,0)&lt;&gt;M2039,"Beam Revised","")</f>
        <v>#N/A</v>
      </c>
      <c r="AD2039" s="7" t="e">
        <f>IF(VLOOKUP($A2039,'Concrete Beam Schedule'!$A$2:$Q$2902,AD$2,0)&lt;&gt;N2039,"Beam Revised","")</f>
        <v>#N/A</v>
      </c>
      <c r="AE2039" s="7" t="e">
        <f>IF(VLOOKUP($A2039,'Concrete Beam Schedule'!$A$2:$Q$2902,AE$2,0)&lt;&gt;O2039,"Beam Revised","")</f>
        <v>#N/A</v>
      </c>
    </row>
    <row r="2040" spans="17:31" ht="20.100000000000001" customHeight="1" x14ac:dyDescent="0.25">
      <c r="Q2040" s="7">
        <f t="shared" si="31"/>
        <v>0</v>
      </c>
      <c r="R2040" s="7" t="e">
        <f>IF(VLOOKUP($A2040,'Concrete Beam Schedule'!$A$2:$Q$2902,R$2,0)&lt;&gt;B2040,VLOOKUP($A2040,'Concrete Beam Schedule'!$A$2:$Q$2902,R$2,0),"")</f>
        <v>#N/A</v>
      </c>
      <c r="S2040" s="7" t="e">
        <f>IF(VLOOKUP($A2040,'Concrete Beam Schedule'!$A$2:$Q$2902,S$2,0)&lt;&gt;C2040,VLOOKUP($A2040,'Concrete Beam Schedule'!$A$2:$Q$2902,S$2,0),"")</f>
        <v>#N/A</v>
      </c>
      <c r="T2040" s="7" t="e">
        <f>IF(VLOOKUP($A2040,'Concrete Beam Schedule'!$A$2:$Q$2902,T$2,0)&lt;&gt;D2040,"Beam Revised","")</f>
        <v>#N/A</v>
      </c>
      <c r="U2040" s="7" t="e">
        <f>IF(VLOOKUP($A2040,'Concrete Beam Schedule'!$A$2:$Q$2902,U$2,0)&lt;&gt;E2040,"Beam Revised","")</f>
        <v>#N/A</v>
      </c>
      <c r="V2040" s="7" t="e">
        <f>IF(VLOOKUP($A2040,'Concrete Beam Schedule'!$A$2:$Q$2902,V$2,0)&lt;&gt;F2040,"Beam Revised","")</f>
        <v>#N/A</v>
      </c>
      <c r="W2040" s="7" t="e">
        <f>IF(VLOOKUP($A2040,'Concrete Beam Schedule'!$A$2:$Q$2902,W$2,0)&lt;&gt;G2040,"Beam Revised","")</f>
        <v>#N/A</v>
      </c>
      <c r="X2040" s="7" t="e">
        <f>IF(VLOOKUP($A2040,'Concrete Beam Schedule'!$A$2:$Q$2902,X$2,0)&lt;&gt;H2040,"Beam Revised","")</f>
        <v>#N/A</v>
      </c>
      <c r="Y2040" s="7" t="e">
        <f>IF(VLOOKUP($A2040,'Concrete Beam Schedule'!$A$2:$Q$2902,Y$2,0)&lt;&gt;I2040,"Beam Revised","")</f>
        <v>#N/A</v>
      </c>
      <c r="Z2040" s="7" t="e">
        <f>IF(VLOOKUP($A2040,'Concrete Beam Schedule'!$A$2:$Q$2902,Z$2,0)&lt;&gt;J2040,"Beam Revised","")</f>
        <v>#N/A</v>
      </c>
      <c r="AA2040" s="7" t="e">
        <f>IF(VLOOKUP($A2040,'Concrete Beam Schedule'!$A$2:$Q$2902,AA$2,0)&lt;&gt;K2040,"Beam Revised","")</f>
        <v>#N/A</v>
      </c>
      <c r="AB2040" s="7" t="e">
        <f>IF(VLOOKUP($A2040,'Concrete Beam Schedule'!$A$2:$Q$2902,AB$2,0)&lt;&gt;L2040,"Beam Revised","")</f>
        <v>#N/A</v>
      </c>
      <c r="AC2040" s="7" t="e">
        <f>IF(VLOOKUP($A2040,'Concrete Beam Schedule'!$A$2:$Q$2902,AC$2,0)&lt;&gt;M2040,"Beam Revised","")</f>
        <v>#N/A</v>
      </c>
      <c r="AD2040" s="7" t="e">
        <f>IF(VLOOKUP($A2040,'Concrete Beam Schedule'!$A$2:$Q$2902,AD$2,0)&lt;&gt;N2040,"Beam Revised","")</f>
        <v>#N/A</v>
      </c>
      <c r="AE2040" s="7" t="e">
        <f>IF(VLOOKUP($A2040,'Concrete Beam Schedule'!$A$2:$Q$2902,AE$2,0)&lt;&gt;O2040,"Beam Revised","")</f>
        <v>#N/A</v>
      </c>
    </row>
    <row r="2041" spans="17:31" ht="20.100000000000001" customHeight="1" x14ac:dyDescent="0.25">
      <c r="Q2041" s="7">
        <f t="shared" si="31"/>
        <v>0</v>
      </c>
      <c r="R2041" s="7" t="e">
        <f>IF(VLOOKUP($A2041,'Concrete Beam Schedule'!$A$2:$Q$2902,R$2,0)&lt;&gt;B2041,VLOOKUP($A2041,'Concrete Beam Schedule'!$A$2:$Q$2902,R$2,0),"")</f>
        <v>#N/A</v>
      </c>
      <c r="S2041" s="7" t="e">
        <f>IF(VLOOKUP($A2041,'Concrete Beam Schedule'!$A$2:$Q$2902,S$2,0)&lt;&gt;C2041,VLOOKUP($A2041,'Concrete Beam Schedule'!$A$2:$Q$2902,S$2,0),"")</f>
        <v>#N/A</v>
      </c>
      <c r="T2041" s="7" t="e">
        <f>IF(VLOOKUP($A2041,'Concrete Beam Schedule'!$A$2:$Q$2902,T$2,0)&lt;&gt;D2041,"Beam Revised","")</f>
        <v>#N/A</v>
      </c>
      <c r="U2041" s="7" t="e">
        <f>IF(VLOOKUP($A2041,'Concrete Beam Schedule'!$A$2:$Q$2902,U$2,0)&lt;&gt;E2041,"Beam Revised","")</f>
        <v>#N/A</v>
      </c>
      <c r="V2041" s="7" t="e">
        <f>IF(VLOOKUP($A2041,'Concrete Beam Schedule'!$A$2:$Q$2902,V$2,0)&lt;&gt;F2041,"Beam Revised","")</f>
        <v>#N/A</v>
      </c>
      <c r="W2041" s="7" t="e">
        <f>IF(VLOOKUP($A2041,'Concrete Beam Schedule'!$A$2:$Q$2902,W$2,0)&lt;&gt;G2041,"Beam Revised","")</f>
        <v>#N/A</v>
      </c>
      <c r="X2041" s="7" t="e">
        <f>IF(VLOOKUP($A2041,'Concrete Beam Schedule'!$A$2:$Q$2902,X$2,0)&lt;&gt;H2041,"Beam Revised","")</f>
        <v>#N/A</v>
      </c>
      <c r="Y2041" s="7" t="e">
        <f>IF(VLOOKUP($A2041,'Concrete Beam Schedule'!$A$2:$Q$2902,Y$2,0)&lt;&gt;I2041,"Beam Revised","")</f>
        <v>#N/A</v>
      </c>
      <c r="Z2041" s="7" t="e">
        <f>IF(VLOOKUP($A2041,'Concrete Beam Schedule'!$A$2:$Q$2902,Z$2,0)&lt;&gt;J2041,"Beam Revised","")</f>
        <v>#N/A</v>
      </c>
      <c r="AA2041" s="7" t="e">
        <f>IF(VLOOKUP($A2041,'Concrete Beam Schedule'!$A$2:$Q$2902,AA$2,0)&lt;&gt;K2041,"Beam Revised","")</f>
        <v>#N/A</v>
      </c>
      <c r="AB2041" s="7" t="e">
        <f>IF(VLOOKUP($A2041,'Concrete Beam Schedule'!$A$2:$Q$2902,AB$2,0)&lt;&gt;L2041,"Beam Revised","")</f>
        <v>#N/A</v>
      </c>
      <c r="AC2041" s="7" t="e">
        <f>IF(VLOOKUP($A2041,'Concrete Beam Schedule'!$A$2:$Q$2902,AC$2,0)&lt;&gt;M2041,"Beam Revised","")</f>
        <v>#N/A</v>
      </c>
      <c r="AD2041" s="7" t="e">
        <f>IF(VLOOKUP($A2041,'Concrete Beam Schedule'!$A$2:$Q$2902,AD$2,0)&lt;&gt;N2041,"Beam Revised","")</f>
        <v>#N/A</v>
      </c>
      <c r="AE2041" s="7" t="e">
        <f>IF(VLOOKUP($A2041,'Concrete Beam Schedule'!$A$2:$Q$2902,AE$2,0)&lt;&gt;O2041,"Beam Revised","")</f>
        <v>#N/A</v>
      </c>
    </row>
    <row r="2042" spans="17:31" ht="20.100000000000001" customHeight="1" x14ac:dyDescent="0.25">
      <c r="Q2042" s="7">
        <f t="shared" si="31"/>
        <v>0</v>
      </c>
      <c r="R2042" s="7" t="e">
        <f>IF(VLOOKUP($A2042,'Concrete Beam Schedule'!$A$2:$Q$2902,R$2,0)&lt;&gt;B2042,VLOOKUP($A2042,'Concrete Beam Schedule'!$A$2:$Q$2902,R$2,0),"")</f>
        <v>#N/A</v>
      </c>
      <c r="S2042" s="7" t="e">
        <f>IF(VLOOKUP($A2042,'Concrete Beam Schedule'!$A$2:$Q$2902,S$2,0)&lt;&gt;C2042,VLOOKUP($A2042,'Concrete Beam Schedule'!$A$2:$Q$2902,S$2,0),"")</f>
        <v>#N/A</v>
      </c>
      <c r="T2042" s="7" t="e">
        <f>IF(VLOOKUP($A2042,'Concrete Beam Schedule'!$A$2:$Q$2902,T$2,0)&lt;&gt;D2042,"Beam Revised","")</f>
        <v>#N/A</v>
      </c>
      <c r="U2042" s="7" t="e">
        <f>IF(VLOOKUP($A2042,'Concrete Beam Schedule'!$A$2:$Q$2902,U$2,0)&lt;&gt;E2042,"Beam Revised","")</f>
        <v>#N/A</v>
      </c>
      <c r="V2042" s="7" t="e">
        <f>IF(VLOOKUP($A2042,'Concrete Beam Schedule'!$A$2:$Q$2902,V$2,0)&lt;&gt;F2042,"Beam Revised","")</f>
        <v>#N/A</v>
      </c>
      <c r="W2042" s="7" t="e">
        <f>IF(VLOOKUP($A2042,'Concrete Beam Schedule'!$A$2:$Q$2902,W$2,0)&lt;&gt;G2042,"Beam Revised","")</f>
        <v>#N/A</v>
      </c>
      <c r="X2042" s="7" t="e">
        <f>IF(VLOOKUP($A2042,'Concrete Beam Schedule'!$A$2:$Q$2902,X$2,0)&lt;&gt;H2042,"Beam Revised","")</f>
        <v>#N/A</v>
      </c>
      <c r="Y2042" s="7" t="e">
        <f>IF(VLOOKUP($A2042,'Concrete Beam Schedule'!$A$2:$Q$2902,Y$2,0)&lt;&gt;I2042,"Beam Revised","")</f>
        <v>#N/A</v>
      </c>
      <c r="Z2042" s="7" t="e">
        <f>IF(VLOOKUP($A2042,'Concrete Beam Schedule'!$A$2:$Q$2902,Z$2,0)&lt;&gt;J2042,"Beam Revised","")</f>
        <v>#N/A</v>
      </c>
      <c r="AA2042" s="7" t="e">
        <f>IF(VLOOKUP($A2042,'Concrete Beam Schedule'!$A$2:$Q$2902,AA$2,0)&lt;&gt;K2042,"Beam Revised","")</f>
        <v>#N/A</v>
      </c>
      <c r="AB2042" s="7" t="e">
        <f>IF(VLOOKUP($A2042,'Concrete Beam Schedule'!$A$2:$Q$2902,AB$2,0)&lt;&gt;L2042,"Beam Revised","")</f>
        <v>#N/A</v>
      </c>
      <c r="AC2042" s="7" t="e">
        <f>IF(VLOOKUP($A2042,'Concrete Beam Schedule'!$A$2:$Q$2902,AC$2,0)&lt;&gt;M2042,"Beam Revised","")</f>
        <v>#N/A</v>
      </c>
      <c r="AD2042" s="7" t="e">
        <f>IF(VLOOKUP($A2042,'Concrete Beam Schedule'!$A$2:$Q$2902,AD$2,0)&lt;&gt;N2042,"Beam Revised","")</f>
        <v>#N/A</v>
      </c>
      <c r="AE2042" s="7" t="e">
        <f>IF(VLOOKUP($A2042,'Concrete Beam Schedule'!$A$2:$Q$2902,AE$2,0)&lt;&gt;O2042,"Beam Revised","")</f>
        <v>#N/A</v>
      </c>
    </row>
    <row r="2043" spans="17:31" ht="20.100000000000001" customHeight="1" x14ac:dyDescent="0.25">
      <c r="Q2043" s="7">
        <f t="shared" si="31"/>
        <v>0</v>
      </c>
      <c r="R2043" s="7" t="e">
        <f>IF(VLOOKUP($A2043,'Concrete Beam Schedule'!$A$2:$Q$2902,R$2,0)&lt;&gt;B2043,VLOOKUP($A2043,'Concrete Beam Schedule'!$A$2:$Q$2902,R$2,0),"")</f>
        <v>#N/A</v>
      </c>
      <c r="S2043" s="7" t="e">
        <f>IF(VLOOKUP($A2043,'Concrete Beam Schedule'!$A$2:$Q$2902,S$2,0)&lt;&gt;C2043,VLOOKUP($A2043,'Concrete Beam Schedule'!$A$2:$Q$2902,S$2,0),"")</f>
        <v>#N/A</v>
      </c>
      <c r="T2043" s="7" t="e">
        <f>IF(VLOOKUP($A2043,'Concrete Beam Schedule'!$A$2:$Q$2902,T$2,0)&lt;&gt;D2043,"Beam Revised","")</f>
        <v>#N/A</v>
      </c>
      <c r="U2043" s="7" t="e">
        <f>IF(VLOOKUP($A2043,'Concrete Beam Schedule'!$A$2:$Q$2902,U$2,0)&lt;&gt;E2043,"Beam Revised","")</f>
        <v>#N/A</v>
      </c>
      <c r="V2043" s="7" t="e">
        <f>IF(VLOOKUP($A2043,'Concrete Beam Schedule'!$A$2:$Q$2902,V$2,0)&lt;&gt;F2043,"Beam Revised","")</f>
        <v>#N/A</v>
      </c>
      <c r="W2043" s="7" t="e">
        <f>IF(VLOOKUP($A2043,'Concrete Beam Schedule'!$A$2:$Q$2902,W$2,0)&lt;&gt;G2043,"Beam Revised","")</f>
        <v>#N/A</v>
      </c>
      <c r="X2043" s="7" t="e">
        <f>IF(VLOOKUP($A2043,'Concrete Beam Schedule'!$A$2:$Q$2902,X$2,0)&lt;&gt;H2043,"Beam Revised","")</f>
        <v>#N/A</v>
      </c>
      <c r="Y2043" s="7" t="e">
        <f>IF(VLOOKUP($A2043,'Concrete Beam Schedule'!$A$2:$Q$2902,Y$2,0)&lt;&gt;I2043,"Beam Revised","")</f>
        <v>#N/A</v>
      </c>
      <c r="Z2043" s="7" t="e">
        <f>IF(VLOOKUP($A2043,'Concrete Beam Schedule'!$A$2:$Q$2902,Z$2,0)&lt;&gt;J2043,"Beam Revised","")</f>
        <v>#N/A</v>
      </c>
      <c r="AA2043" s="7" t="e">
        <f>IF(VLOOKUP($A2043,'Concrete Beam Schedule'!$A$2:$Q$2902,AA$2,0)&lt;&gt;K2043,"Beam Revised","")</f>
        <v>#N/A</v>
      </c>
      <c r="AB2043" s="7" t="e">
        <f>IF(VLOOKUP($A2043,'Concrete Beam Schedule'!$A$2:$Q$2902,AB$2,0)&lt;&gt;L2043,"Beam Revised","")</f>
        <v>#N/A</v>
      </c>
      <c r="AC2043" s="7" t="e">
        <f>IF(VLOOKUP($A2043,'Concrete Beam Schedule'!$A$2:$Q$2902,AC$2,0)&lt;&gt;M2043,"Beam Revised","")</f>
        <v>#N/A</v>
      </c>
      <c r="AD2043" s="7" t="e">
        <f>IF(VLOOKUP($A2043,'Concrete Beam Schedule'!$A$2:$Q$2902,AD$2,0)&lt;&gt;N2043,"Beam Revised","")</f>
        <v>#N/A</v>
      </c>
      <c r="AE2043" s="7" t="e">
        <f>IF(VLOOKUP($A2043,'Concrete Beam Schedule'!$A$2:$Q$2902,AE$2,0)&lt;&gt;O2043,"Beam Revised","")</f>
        <v>#N/A</v>
      </c>
    </row>
    <row r="2044" spans="17:31" ht="20.100000000000001" customHeight="1" x14ac:dyDescent="0.25">
      <c r="Q2044" s="7">
        <f t="shared" si="31"/>
        <v>0</v>
      </c>
      <c r="R2044" s="7" t="e">
        <f>IF(VLOOKUP($A2044,'Concrete Beam Schedule'!$A$2:$Q$2902,R$2,0)&lt;&gt;B2044,VLOOKUP($A2044,'Concrete Beam Schedule'!$A$2:$Q$2902,R$2,0),"")</f>
        <v>#N/A</v>
      </c>
      <c r="S2044" s="7" t="e">
        <f>IF(VLOOKUP($A2044,'Concrete Beam Schedule'!$A$2:$Q$2902,S$2,0)&lt;&gt;C2044,VLOOKUP($A2044,'Concrete Beam Schedule'!$A$2:$Q$2902,S$2,0),"")</f>
        <v>#N/A</v>
      </c>
      <c r="T2044" s="7" t="e">
        <f>IF(VLOOKUP($A2044,'Concrete Beam Schedule'!$A$2:$Q$2902,T$2,0)&lt;&gt;D2044,"Beam Revised","")</f>
        <v>#N/A</v>
      </c>
      <c r="U2044" s="7" t="e">
        <f>IF(VLOOKUP($A2044,'Concrete Beam Schedule'!$A$2:$Q$2902,U$2,0)&lt;&gt;E2044,"Beam Revised","")</f>
        <v>#N/A</v>
      </c>
      <c r="V2044" s="7" t="e">
        <f>IF(VLOOKUP($A2044,'Concrete Beam Schedule'!$A$2:$Q$2902,V$2,0)&lt;&gt;F2044,"Beam Revised","")</f>
        <v>#N/A</v>
      </c>
      <c r="W2044" s="7" t="e">
        <f>IF(VLOOKUP($A2044,'Concrete Beam Schedule'!$A$2:$Q$2902,W$2,0)&lt;&gt;G2044,"Beam Revised","")</f>
        <v>#N/A</v>
      </c>
      <c r="X2044" s="7" t="e">
        <f>IF(VLOOKUP($A2044,'Concrete Beam Schedule'!$A$2:$Q$2902,X$2,0)&lt;&gt;H2044,"Beam Revised","")</f>
        <v>#N/A</v>
      </c>
      <c r="Y2044" s="7" t="e">
        <f>IF(VLOOKUP($A2044,'Concrete Beam Schedule'!$A$2:$Q$2902,Y$2,0)&lt;&gt;I2044,"Beam Revised","")</f>
        <v>#N/A</v>
      </c>
      <c r="Z2044" s="7" t="e">
        <f>IF(VLOOKUP($A2044,'Concrete Beam Schedule'!$A$2:$Q$2902,Z$2,0)&lt;&gt;J2044,"Beam Revised","")</f>
        <v>#N/A</v>
      </c>
      <c r="AA2044" s="7" t="e">
        <f>IF(VLOOKUP($A2044,'Concrete Beam Schedule'!$A$2:$Q$2902,AA$2,0)&lt;&gt;K2044,"Beam Revised","")</f>
        <v>#N/A</v>
      </c>
      <c r="AB2044" s="7" t="e">
        <f>IF(VLOOKUP($A2044,'Concrete Beam Schedule'!$A$2:$Q$2902,AB$2,0)&lt;&gt;L2044,"Beam Revised","")</f>
        <v>#N/A</v>
      </c>
      <c r="AC2044" s="7" t="e">
        <f>IF(VLOOKUP($A2044,'Concrete Beam Schedule'!$A$2:$Q$2902,AC$2,0)&lt;&gt;M2044,"Beam Revised","")</f>
        <v>#N/A</v>
      </c>
      <c r="AD2044" s="7" t="e">
        <f>IF(VLOOKUP($A2044,'Concrete Beam Schedule'!$A$2:$Q$2902,AD$2,0)&lt;&gt;N2044,"Beam Revised","")</f>
        <v>#N/A</v>
      </c>
      <c r="AE2044" s="7" t="e">
        <f>IF(VLOOKUP($A2044,'Concrete Beam Schedule'!$A$2:$Q$2902,AE$2,0)&lt;&gt;O2044,"Beam Revised","")</f>
        <v>#N/A</v>
      </c>
    </row>
    <row r="2045" spans="17:31" ht="20.100000000000001" customHeight="1" x14ac:dyDescent="0.25">
      <c r="Q2045" s="7">
        <f t="shared" si="31"/>
        <v>0</v>
      </c>
      <c r="R2045" s="7" t="e">
        <f>IF(VLOOKUP($A2045,'Concrete Beam Schedule'!$A$2:$Q$2902,R$2,0)&lt;&gt;B2045,VLOOKUP($A2045,'Concrete Beam Schedule'!$A$2:$Q$2902,R$2,0),"")</f>
        <v>#N/A</v>
      </c>
      <c r="S2045" s="7" t="e">
        <f>IF(VLOOKUP($A2045,'Concrete Beam Schedule'!$A$2:$Q$2902,S$2,0)&lt;&gt;C2045,VLOOKUP($A2045,'Concrete Beam Schedule'!$A$2:$Q$2902,S$2,0),"")</f>
        <v>#N/A</v>
      </c>
      <c r="T2045" s="7" t="e">
        <f>IF(VLOOKUP($A2045,'Concrete Beam Schedule'!$A$2:$Q$2902,T$2,0)&lt;&gt;D2045,"Beam Revised","")</f>
        <v>#N/A</v>
      </c>
      <c r="U2045" s="7" t="e">
        <f>IF(VLOOKUP($A2045,'Concrete Beam Schedule'!$A$2:$Q$2902,U$2,0)&lt;&gt;E2045,"Beam Revised","")</f>
        <v>#N/A</v>
      </c>
      <c r="V2045" s="7" t="e">
        <f>IF(VLOOKUP($A2045,'Concrete Beam Schedule'!$A$2:$Q$2902,V$2,0)&lt;&gt;F2045,"Beam Revised","")</f>
        <v>#N/A</v>
      </c>
      <c r="W2045" s="7" t="e">
        <f>IF(VLOOKUP($A2045,'Concrete Beam Schedule'!$A$2:$Q$2902,W$2,0)&lt;&gt;G2045,"Beam Revised","")</f>
        <v>#N/A</v>
      </c>
      <c r="X2045" s="7" t="e">
        <f>IF(VLOOKUP($A2045,'Concrete Beam Schedule'!$A$2:$Q$2902,X$2,0)&lt;&gt;H2045,"Beam Revised","")</f>
        <v>#N/A</v>
      </c>
      <c r="Y2045" s="7" t="e">
        <f>IF(VLOOKUP($A2045,'Concrete Beam Schedule'!$A$2:$Q$2902,Y$2,0)&lt;&gt;I2045,"Beam Revised","")</f>
        <v>#N/A</v>
      </c>
      <c r="Z2045" s="7" t="e">
        <f>IF(VLOOKUP($A2045,'Concrete Beam Schedule'!$A$2:$Q$2902,Z$2,0)&lt;&gt;J2045,"Beam Revised","")</f>
        <v>#N/A</v>
      </c>
      <c r="AA2045" s="7" t="e">
        <f>IF(VLOOKUP($A2045,'Concrete Beam Schedule'!$A$2:$Q$2902,AA$2,0)&lt;&gt;K2045,"Beam Revised","")</f>
        <v>#N/A</v>
      </c>
      <c r="AB2045" s="7" t="e">
        <f>IF(VLOOKUP($A2045,'Concrete Beam Schedule'!$A$2:$Q$2902,AB$2,0)&lt;&gt;L2045,"Beam Revised","")</f>
        <v>#N/A</v>
      </c>
      <c r="AC2045" s="7" t="e">
        <f>IF(VLOOKUP($A2045,'Concrete Beam Schedule'!$A$2:$Q$2902,AC$2,0)&lt;&gt;M2045,"Beam Revised","")</f>
        <v>#N/A</v>
      </c>
      <c r="AD2045" s="7" t="e">
        <f>IF(VLOOKUP($A2045,'Concrete Beam Schedule'!$A$2:$Q$2902,AD$2,0)&lt;&gt;N2045,"Beam Revised","")</f>
        <v>#N/A</v>
      </c>
      <c r="AE2045" s="7" t="e">
        <f>IF(VLOOKUP($A2045,'Concrete Beam Schedule'!$A$2:$Q$2902,AE$2,0)&lt;&gt;O2045,"Beam Revised","")</f>
        <v>#N/A</v>
      </c>
    </row>
    <row r="2046" spans="17:31" ht="20.100000000000001" customHeight="1" x14ac:dyDescent="0.25">
      <c r="Q2046" s="7">
        <f t="shared" si="31"/>
        <v>0</v>
      </c>
      <c r="R2046" s="7" t="e">
        <f>IF(VLOOKUP($A2046,'Concrete Beam Schedule'!$A$2:$Q$2902,R$2,0)&lt;&gt;B2046,VLOOKUP($A2046,'Concrete Beam Schedule'!$A$2:$Q$2902,R$2,0),"")</f>
        <v>#N/A</v>
      </c>
      <c r="S2046" s="7" t="e">
        <f>IF(VLOOKUP($A2046,'Concrete Beam Schedule'!$A$2:$Q$2902,S$2,0)&lt;&gt;C2046,VLOOKUP($A2046,'Concrete Beam Schedule'!$A$2:$Q$2902,S$2,0),"")</f>
        <v>#N/A</v>
      </c>
      <c r="T2046" s="7" t="e">
        <f>IF(VLOOKUP($A2046,'Concrete Beam Schedule'!$A$2:$Q$2902,T$2,0)&lt;&gt;D2046,"Beam Revised","")</f>
        <v>#N/A</v>
      </c>
      <c r="U2046" s="7" t="e">
        <f>IF(VLOOKUP($A2046,'Concrete Beam Schedule'!$A$2:$Q$2902,U$2,0)&lt;&gt;E2046,"Beam Revised","")</f>
        <v>#N/A</v>
      </c>
      <c r="V2046" s="7" t="e">
        <f>IF(VLOOKUP($A2046,'Concrete Beam Schedule'!$A$2:$Q$2902,V$2,0)&lt;&gt;F2046,"Beam Revised","")</f>
        <v>#N/A</v>
      </c>
      <c r="W2046" s="7" t="e">
        <f>IF(VLOOKUP($A2046,'Concrete Beam Schedule'!$A$2:$Q$2902,W$2,0)&lt;&gt;G2046,"Beam Revised","")</f>
        <v>#N/A</v>
      </c>
      <c r="X2046" s="7" t="e">
        <f>IF(VLOOKUP($A2046,'Concrete Beam Schedule'!$A$2:$Q$2902,X$2,0)&lt;&gt;H2046,"Beam Revised","")</f>
        <v>#N/A</v>
      </c>
      <c r="Y2046" s="7" t="e">
        <f>IF(VLOOKUP($A2046,'Concrete Beam Schedule'!$A$2:$Q$2902,Y$2,0)&lt;&gt;I2046,"Beam Revised","")</f>
        <v>#N/A</v>
      </c>
      <c r="Z2046" s="7" t="e">
        <f>IF(VLOOKUP($A2046,'Concrete Beam Schedule'!$A$2:$Q$2902,Z$2,0)&lt;&gt;J2046,"Beam Revised","")</f>
        <v>#N/A</v>
      </c>
      <c r="AA2046" s="7" t="e">
        <f>IF(VLOOKUP($A2046,'Concrete Beam Schedule'!$A$2:$Q$2902,AA$2,0)&lt;&gt;K2046,"Beam Revised","")</f>
        <v>#N/A</v>
      </c>
      <c r="AB2046" s="7" t="e">
        <f>IF(VLOOKUP($A2046,'Concrete Beam Schedule'!$A$2:$Q$2902,AB$2,0)&lt;&gt;L2046,"Beam Revised","")</f>
        <v>#N/A</v>
      </c>
      <c r="AC2046" s="7" t="e">
        <f>IF(VLOOKUP($A2046,'Concrete Beam Schedule'!$A$2:$Q$2902,AC$2,0)&lt;&gt;M2046,"Beam Revised","")</f>
        <v>#N/A</v>
      </c>
      <c r="AD2046" s="7" t="e">
        <f>IF(VLOOKUP($A2046,'Concrete Beam Schedule'!$A$2:$Q$2902,AD$2,0)&lt;&gt;N2046,"Beam Revised","")</f>
        <v>#N/A</v>
      </c>
      <c r="AE2046" s="7" t="e">
        <f>IF(VLOOKUP($A2046,'Concrete Beam Schedule'!$A$2:$Q$2902,AE$2,0)&lt;&gt;O2046,"Beam Revised","")</f>
        <v>#N/A</v>
      </c>
    </row>
    <row r="2047" spans="17:31" ht="20.100000000000001" customHeight="1" x14ac:dyDescent="0.25">
      <c r="Q2047" s="7">
        <f t="shared" si="31"/>
        <v>0</v>
      </c>
      <c r="R2047" s="7" t="e">
        <f>IF(VLOOKUP($A2047,'Concrete Beam Schedule'!$A$2:$Q$2902,R$2,0)&lt;&gt;B2047,VLOOKUP($A2047,'Concrete Beam Schedule'!$A$2:$Q$2902,R$2,0),"")</f>
        <v>#N/A</v>
      </c>
      <c r="S2047" s="7" t="e">
        <f>IF(VLOOKUP($A2047,'Concrete Beam Schedule'!$A$2:$Q$2902,S$2,0)&lt;&gt;C2047,VLOOKUP($A2047,'Concrete Beam Schedule'!$A$2:$Q$2902,S$2,0),"")</f>
        <v>#N/A</v>
      </c>
      <c r="T2047" s="7" t="e">
        <f>IF(VLOOKUP($A2047,'Concrete Beam Schedule'!$A$2:$Q$2902,T$2,0)&lt;&gt;D2047,"Beam Revised","")</f>
        <v>#N/A</v>
      </c>
      <c r="U2047" s="7" t="e">
        <f>IF(VLOOKUP($A2047,'Concrete Beam Schedule'!$A$2:$Q$2902,U$2,0)&lt;&gt;E2047,"Beam Revised","")</f>
        <v>#N/A</v>
      </c>
      <c r="V2047" s="7" t="e">
        <f>IF(VLOOKUP($A2047,'Concrete Beam Schedule'!$A$2:$Q$2902,V$2,0)&lt;&gt;F2047,"Beam Revised","")</f>
        <v>#N/A</v>
      </c>
      <c r="W2047" s="7" t="e">
        <f>IF(VLOOKUP($A2047,'Concrete Beam Schedule'!$A$2:$Q$2902,W$2,0)&lt;&gt;G2047,"Beam Revised","")</f>
        <v>#N/A</v>
      </c>
      <c r="X2047" s="7" t="e">
        <f>IF(VLOOKUP($A2047,'Concrete Beam Schedule'!$A$2:$Q$2902,X$2,0)&lt;&gt;H2047,"Beam Revised","")</f>
        <v>#N/A</v>
      </c>
      <c r="Y2047" s="7" t="e">
        <f>IF(VLOOKUP($A2047,'Concrete Beam Schedule'!$A$2:$Q$2902,Y$2,0)&lt;&gt;I2047,"Beam Revised","")</f>
        <v>#N/A</v>
      </c>
      <c r="Z2047" s="7" t="e">
        <f>IF(VLOOKUP($A2047,'Concrete Beam Schedule'!$A$2:$Q$2902,Z$2,0)&lt;&gt;J2047,"Beam Revised","")</f>
        <v>#N/A</v>
      </c>
      <c r="AA2047" s="7" t="e">
        <f>IF(VLOOKUP($A2047,'Concrete Beam Schedule'!$A$2:$Q$2902,AA$2,0)&lt;&gt;K2047,"Beam Revised","")</f>
        <v>#N/A</v>
      </c>
      <c r="AB2047" s="7" t="e">
        <f>IF(VLOOKUP($A2047,'Concrete Beam Schedule'!$A$2:$Q$2902,AB$2,0)&lt;&gt;L2047,"Beam Revised","")</f>
        <v>#N/A</v>
      </c>
      <c r="AC2047" s="7" t="e">
        <f>IF(VLOOKUP($A2047,'Concrete Beam Schedule'!$A$2:$Q$2902,AC$2,0)&lt;&gt;M2047,"Beam Revised","")</f>
        <v>#N/A</v>
      </c>
      <c r="AD2047" s="7" t="e">
        <f>IF(VLOOKUP($A2047,'Concrete Beam Schedule'!$A$2:$Q$2902,AD$2,0)&lt;&gt;N2047,"Beam Revised","")</f>
        <v>#N/A</v>
      </c>
      <c r="AE2047" s="7" t="e">
        <f>IF(VLOOKUP($A2047,'Concrete Beam Schedule'!$A$2:$Q$2902,AE$2,0)&lt;&gt;O2047,"Beam Revised","")</f>
        <v>#N/A</v>
      </c>
    </row>
    <row r="2048" spans="17:31" ht="20.100000000000001" customHeight="1" x14ac:dyDescent="0.25">
      <c r="Q2048" s="7">
        <f t="shared" si="31"/>
        <v>0</v>
      </c>
      <c r="R2048" s="7" t="e">
        <f>IF(VLOOKUP($A2048,'Concrete Beam Schedule'!$A$2:$Q$2902,R$2,0)&lt;&gt;B2048,VLOOKUP($A2048,'Concrete Beam Schedule'!$A$2:$Q$2902,R$2,0),"")</f>
        <v>#N/A</v>
      </c>
      <c r="S2048" s="7" t="e">
        <f>IF(VLOOKUP($A2048,'Concrete Beam Schedule'!$A$2:$Q$2902,S$2,0)&lt;&gt;C2048,VLOOKUP($A2048,'Concrete Beam Schedule'!$A$2:$Q$2902,S$2,0),"")</f>
        <v>#N/A</v>
      </c>
      <c r="T2048" s="7" t="e">
        <f>IF(VLOOKUP($A2048,'Concrete Beam Schedule'!$A$2:$Q$2902,T$2,0)&lt;&gt;D2048,"Beam Revised","")</f>
        <v>#N/A</v>
      </c>
      <c r="U2048" s="7" t="e">
        <f>IF(VLOOKUP($A2048,'Concrete Beam Schedule'!$A$2:$Q$2902,U$2,0)&lt;&gt;E2048,"Beam Revised","")</f>
        <v>#N/A</v>
      </c>
      <c r="V2048" s="7" t="e">
        <f>IF(VLOOKUP($A2048,'Concrete Beam Schedule'!$A$2:$Q$2902,V$2,0)&lt;&gt;F2048,"Beam Revised","")</f>
        <v>#N/A</v>
      </c>
      <c r="W2048" s="7" t="e">
        <f>IF(VLOOKUP($A2048,'Concrete Beam Schedule'!$A$2:$Q$2902,W$2,0)&lt;&gt;G2048,"Beam Revised","")</f>
        <v>#N/A</v>
      </c>
      <c r="X2048" s="7" t="e">
        <f>IF(VLOOKUP($A2048,'Concrete Beam Schedule'!$A$2:$Q$2902,X$2,0)&lt;&gt;H2048,"Beam Revised","")</f>
        <v>#N/A</v>
      </c>
      <c r="Y2048" s="7" t="e">
        <f>IF(VLOOKUP($A2048,'Concrete Beam Schedule'!$A$2:$Q$2902,Y$2,0)&lt;&gt;I2048,"Beam Revised","")</f>
        <v>#N/A</v>
      </c>
      <c r="Z2048" s="7" t="e">
        <f>IF(VLOOKUP($A2048,'Concrete Beam Schedule'!$A$2:$Q$2902,Z$2,0)&lt;&gt;J2048,"Beam Revised","")</f>
        <v>#N/A</v>
      </c>
      <c r="AA2048" s="7" t="e">
        <f>IF(VLOOKUP($A2048,'Concrete Beam Schedule'!$A$2:$Q$2902,AA$2,0)&lt;&gt;K2048,"Beam Revised","")</f>
        <v>#N/A</v>
      </c>
      <c r="AB2048" s="7" t="e">
        <f>IF(VLOOKUP($A2048,'Concrete Beam Schedule'!$A$2:$Q$2902,AB$2,0)&lt;&gt;L2048,"Beam Revised","")</f>
        <v>#N/A</v>
      </c>
      <c r="AC2048" s="7" t="e">
        <f>IF(VLOOKUP($A2048,'Concrete Beam Schedule'!$A$2:$Q$2902,AC$2,0)&lt;&gt;M2048,"Beam Revised","")</f>
        <v>#N/A</v>
      </c>
      <c r="AD2048" s="7" t="e">
        <f>IF(VLOOKUP($A2048,'Concrete Beam Schedule'!$A$2:$Q$2902,AD$2,0)&lt;&gt;N2048,"Beam Revised","")</f>
        <v>#N/A</v>
      </c>
      <c r="AE2048" s="7" t="e">
        <f>IF(VLOOKUP($A2048,'Concrete Beam Schedule'!$A$2:$Q$2902,AE$2,0)&lt;&gt;O2048,"Beam Revised","")</f>
        <v>#N/A</v>
      </c>
    </row>
    <row r="2049" spans="17:31" ht="20.100000000000001" customHeight="1" x14ac:dyDescent="0.25">
      <c r="Q2049" s="7">
        <f t="shared" si="31"/>
        <v>0</v>
      </c>
      <c r="R2049" s="7" t="e">
        <f>IF(VLOOKUP($A2049,'Concrete Beam Schedule'!$A$2:$Q$2902,R$2,0)&lt;&gt;B2049,VLOOKUP($A2049,'Concrete Beam Schedule'!$A$2:$Q$2902,R$2,0),"")</f>
        <v>#N/A</v>
      </c>
      <c r="S2049" s="7" t="e">
        <f>IF(VLOOKUP($A2049,'Concrete Beam Schedule'!$A$2:$Q$2902,S$2,0)&lt;&gt;C2049,VLOOKUP($A2049,'Concrete Beam Schedule'!$A$2:$Q$2902,S$2,0),"")</f>
        <v>#N/A</v>
      </c>
      <c r="T2049" s="7" t="e">
        <f>IF(VLOOKUP($A2049,'Concrete Beam Schedule'!$A$2:$Q$2902,T$2,0)&lt;&gt;D2049,"Beam Revised","")</f>
        <v>#N/A</v>
      </c>
      <c r="U2049" s="7" t="e">
        <f>IF(VLOOKUP($A2049,'Concrete Beam Schedule'!$A$2:$Q$2902,U$2,0)&lt;&gt;E2049,"Beam Revised","")</f>
        <v>#N/A</v>
      </c>
      <c r="V2049" s="7" t="e">
        <f>IF(VLOOKUP($A2049,'Concrete Beam Schedule'!$A$2:$Q$2902,V$2,0)&lt;&gt;F2049,"Beam Revised","")</f>
        <v>#N/A</v>
      </c>
      <c r="W2049" s="7" t="e">
        <f>IF(VLOOKUP($A2049,'Concrete Beam Schedule'!$A$2:$Q$2902,W$2,0)&lt;&gt;G2049,"Beam Revised","")</f>
        <v>#N/A</v>
      </c>
      <c r="X2049" s="7" t="e">
        <f>IF(VLOOKUP($A2049,'Concrete Beam Schedule'!$A$2:$Q$2902,X$2,0)&lt;&gt;H2049,"Beam Revised","")</f>
        <v>#N/A</v>
      </c>
      <c r="Y2049" s="7" t="e">
        <f>IF(VLOOKUP($A2049,'Concrete Beam Schedule'!$A$2:$Q$2902,Y$2,0)&lt;&gt;I2049,"Beam Revised","")</f>
        <v>#N/A</v>
      </c>
      <c r="Z2049" s="7" t="e">
        <f>IF(VLOOKUP($A2049,'Concrete Beam Schedule'!$A$2:$Q$2902,Z$2,0)&lt;&gt;J2049,"Beam Revised","")</f>
        <v>#N/A</v>
      </c>
      <c r="AA2049" s="7" t="e">
        <f>IF(VLOOKUP($A2049,'Concrete Beam Schedule'!$A$2:$Q$2902,AA$2,0)&lt;&gt;K2049,"Beam Revised","")</f>
        <v>#N/A</v>
      </c>
      <c r="AB2049" s="7" t="e">
        <f>IF(VLOOKUP($A2049,'Concrete Beam Schedule'!$A$2:$Q$2902,AB$2,0)&lt;&gt;L2049,"Beam Revised","")</f>
        <v>#N/A</v>
      </c>
      <c r="AC2049" s="7" t="e">
        <f>IF(VLOOKUP($A2049,'Concrete Beam Schedule'!$A$2:$Q$2902,AC$2,0)&lt;&gt;M2049,"Beam Revised","")</f>
        <v>#N/A</v>
      </c>
      <c r="AD2049" s="7" t="e">
        <f>IF(VLOOKUP($A2049,'Concrete Beam Schedule'!$A$2:$Q$2902,AD$2,0)&lt;&gt;N2049,"Beam Revised","")</f>
        <v>#N/A</v>
      </c>
      <c r="AE2049" s="7" t="e">
        <f>IF(VLOOKUP($A2049,'Concrete Beam Schedule'!$A$2:$Q$2902,AE$2,0)&lt;&gt;O2049,"Beam Revised","")</f>
        <v>#N/A</v>
      </c>
    </row>
    <row r="2050" spans="17:31" ht="20.100000000000001" customHeight="1" x14ac:dyDescent="0.25">
      <c r="Q2050" s="7">
        <f t="shared" si="31"/>
        <v>0</v>
      </c>
      <c r="R2050" s="7" t="e">
        <f>IF(VLOOKUP($A2050,'Concrete Beam Schedule'!$A$2:$Q$2902,R$2,0)&lt;&gt;B2050,VLOOKUP($A2050,'Concrete Beam Schedule'!$A$2:$Q$2902,R$2,0),"")</f>
        <v>#N/A</v>
      </c>
      <c r="S2050" s="7" t="e">
        <f>IF(VLOOKUP($A2050,'Concrete Beam Schedule'!$A$2:$Q$2902,S$2,0)&lt;&gt;C2050,VLOOKUP($A2050,'Concrete Beam Schedule'!$A$2:$Q$2902,S$2,0),"")</f>
        <v>#N/A</v>
      </c>
      <c r="T2050" s="7" t="e">
        <f>IF(VLOOKUP($A2050,'Concrete Beam Schedule'!$A$2:$Q$2902,T$2,0)&lt;&gt;D2050,"Beam Revised","")</f>
        <v>#N/A</v>
      </c>
      <c r="U2050" s="7" t="e">
        <f>IF(VLOOKUP($A2050,'Concrete Beam Schedule'!$A$2:$Q$2902,U$2,0)&lt;&gt;E2050,"Beam Revised","")</f>
        <v>#N/A</v>
      </c>
      <c r="V2050" s="7" t="e">
        <f>IF(VLOOKUP($A2050,'Concrete Beam Schedule'!$A$2:$Q$2902,V$2,0)&lt;&gt;F2050,"Beam Revised","")</f>
        <v>#N/A</v>
      </c>
      <c r="W2050" s="7" t="e">
        <f>IF(VLOOKUP($A2050,'Concrete Beam Schedule'!$A$2:$Q$2902,W$2,0)&lt;&gt;G2050,"Beam Revised","")</f>
        <v>#N/A</v>
      </c>
      <c r="X2050" s="7" t="e">
        <f>IF(VLOOKUP($A2050,'Concrete Beam Schedule'!$A$2:$Q$2902,X$2,0)&lt;&gt;H2050,"Beam Revised","")</f>
        <v>#N/A</v>
      </c>
      <c r="Y2050" s="7" t="e">
        <f>IF(VLOOKUP($A2050,'Concrete Beam Schedule'!$A$2:$Q$2902,Y$2,0)&lt;&gt;I2050,"Beam Revised","")</f>
        <v>#N/A</v>
      </c>
      <c r="Z2050" s="7" t="e">
        <f>IF(VLOOKUP($A2050,'Concrete Beam Schedule'!$A$2:$Q$2902,Z$2,0)&lt;&gt;J2050,"Beam Revised","")</f>
        <v>#N/A</v>
      </c>
      <c r="AA2050" s="7" t="e">
        <f>IF(VLOOKUP($A2050,'Concrete Beam Schedule'!$A$2:$Q$2902,AA$2,0)&lt;&gt;K2050,"Beam Revised","")</f>
        <v>#N/A</v>
      </c>
      <c r="AB2050" s="7" t="e">
        <f>IF(VLOOKUP($A2050,'Concrete Beam Schedule'!$A$2:$Q$2902,AB$2,0)&lt;&gt;L2050,"Beam Revised","")</f>
        <v>#N/A</v>
      </c>
      <c r="AC2050" s="7" t="e">
        <f>IF(VLOOKUP($A2050,'Concrete Beam Schedule'!$A$2:$Q$2902,AC$2,0)&lt;&gt;M2050,"Beam Revised","")</f>
        <v>#N/A</v>
      </c>
      <c r="AD2050" s="7" t="e">
        <f>IF(VLOOKUP($A2050,'Concrete Beam Schedule'!$A$2:$Q$2902,AD$2,0)&lt;&gt;N2050,"Beam Revised","")</f>
        <v>#N/A</v>
      </c>
      <c r="AE2050" s="7" t="e">
        <f>IF(VLOOKUP($A2050,'Concrete Beam Schedule'!$A$2:$Q$2902,AE$2,0)&lt;&gt;O2050,"Beam Revised","")</f>
        <v>#N/A</v>
      </c>
    </row>
    <row r="2051" spans="17:31" ht="20.100000000000001" customHeight="1" x14ac:dyDescent="0.25">
      <c r="Q2051" s="7">
        <f t="shared" si="31"/>
        <v>0</v>
      </c>
      <c r="R2051" s="7" t="e">
        <f>IF(VLOOKUP($A2051,'Concrete Beam Schedule'!$A$2:$Q$2902,R$2,0)&lt;&gt;B2051,VLOOKUP($A2051,'Concrete Beam Schedule'!$A$2:$Q$2902,R$2,0),"")</f>
        <v>#N/A</v>
      </c>
      <c r="S2051" s="7" t="e">
        <f>IF(VLOOKUP($A2051,'Concrete Beam Schedule'!$A$2:$Q$2902,S$2,0)&lt;&gt;C2051,VLOOKUP($A2051,'Concrete Beam Schedule'!$A$2:$Q$2902,S$2,0),"")</f>
        <v>#N/A</v>
      </c>
      <c r="T2051" s="7" t="e">
        <f>IF(VLOOKUP($A2051,'Concrete Beam Schedule'!$A$2:$Q$2902,T$2,0)&lt;&gt;D2051,"Beam Revised","")</f>
        <v>#N/A</v>
      </c>
      <c r="U2051" s="7" t="e">
        <f>IF(VLOOKUP($A2051,'Concrete Beam Schedule'!$A$2:$Q$2902,U$2,0)&lt;&gt;E2051,"Beam Revised","")</f>
        <v>#N/A</v>
      </c>
      <c r="V2051" s="7" t="e">
        <f>IF(VLOOKUP($A2051,'Concrete Beam Schedule'!$A$2:$Q$2902,V$2,0)&lt;&gt;F2051,"Beam Revised","")</f>
        <v>#N/A</v>
      </c>
      <c r="W2051" s="7" t="e">
        <f>IF(VLOOKUP($A2051,'Concrete Beam Schedule'!$A$2:$Q$2902,W$2,0)&lt;&gt;G2051,"Beam Revised","")</f>
        <v>#N/A</v>
      </c>
      <c r="X2051" s="7" t="e">
        <f>IF(VLOOKUP($A2051,'Concrete Beam Schedule'!$A$2:$Q$2902,X$2,0)&lt;&gt;H2051,"Beam Revised","")</f>
        <v>#N/A</v>
      </c>
      <c r="Y2051" s="7" t="e">
        <f>IF(VLOOKUP($A2051,'Concrete Beam Schedule'!$A$2:$Q$2902,Y$2,0)&lt;&gt;I2051,"Beam Revised","")</f>
        <v>#N/A</v>
      </c>
      <c r="Z2051" s="7" t="e">
        <f>IF(VLOOKUP($A2051,'Concrete Beam Schedule'!$A$2:$Q$2902,Z$2,0)&lt;&gt;J2051,"Beam Revised","")</f>
        <v>#N/A</v>
      </c>
      <c r="AA2051" s="7" t="e">
        <f>IF(VLOOKUP($A2051,'Concrete Beam Schedule'!$A$2:$Q$2902,AA$2,0)&lt;&gt;K2051,"Beam Revised","")</f>
        <v>#N/A</v>
      </c>
      <c r="AB2051" s="7" t="e">
        <f>IF(VLOOKUP($A2051,'Concrete Beam Schedule'!$A$2:$Q$2902,AB$2,0)&lt;&gt;L2051,"Beam Revised","")</f>
        <v>#N/A</v>
      </c>
      <c r="AC2051" s="7" t="e">
        <f>IF(VLOOKUP($A2051,'Concrete Beam Schedule'!$A$2:$Q$2902,AC$2,0)&lt;&gt;M2051,"Beam Revised","")</f>
        <v>#N/A</v>
      </c>
      <c r="AD2051" s="7" t="e">
        <f>IF(VLOOKUP($A2051,'Concrete Beam Schedule'!$A$2:$Q$2902,AD$2,0)&lt;&gt;N2051,"Beam Revised","")</f>
        <v>#N/A</v>
      </c>
      <c r="AE2051" s="7" t="e">
        <f>IF(VLOOKUP($A2051,'Concrete Beam Schedule'!$A$2:$Q$2902,AE$2,0)&lt;&gt;O2051,"Beam Revised","")</f>
        <v>#N/A</v>
      </c>
    </row>
    <row r="2052" spans="17:31" ht="20.100000000000001" customHeight="1" x14ac:dyDescent="0.25">
      <c r="Q2052" s="7">
        <f t="shared" ref="Q2052:Q2115" si="32">A2052</f>
        <v>0</v>
      </c>
      <c r="R2052" s="7" t="e">
        <f>IF(VLOOKUP($A2052,'Concrete Beam Schedule'!$A$2:$Q$2902,R$2,0)&lt;&gt;B2052,VLOOKUP($A2052,'Concrete Beam Schedule'!$A$2:$Q$2902,R$2,0),"")</f>
        <v>#N/A</v>
      </c>
      <c r="S2052" s="7" t="e">
        <f>IF(VLOOKUP($A2052,'Concrete Beam Schedule'!$A$2:$Q$2902,S$2,0)&lt;&gt;C2052,VLOOKUP($A2052,'Concrete Beam Schedule'!$A$2:$Q$2902,S$2,0),"")</f>
        <v>#N/A</v>
      </c>
      <c r="T2052" s="7" t="e">
        <f>IF(VLOOKUP($A2052,'Concrete Beam Schedule'!$A$2:$Q$2902,T$2,0)&lt;&gt;D2052,"Beam Revised","")</f>
        <v>#N/A</v>
      </c>
      <c r="U2052" s="7" t="e">
        <f>IF(VLOOKUP($A2052,'Concrete Beam Schedule'!$A$2:$Q$2902,U$2,0)&lt;&gt;E2052,"Beam Revised","")</f>
        <v>#N/A</v>
      </c>
      <c r="V2052" s="7" t="e">
        <f>IF(VLOOKUP($A2052,'Concrete Beam Schedule'!$A$2:$Q$2902,V$2,0)&lt;&gt;F2052,"Beam Revised","")</f>
        <v>#N/A</v>
      </c>
      <c r="W2052" s="7" t="e">
        <f>IF(VLOOKUP($A2052,'Concrete Beam Schedule'!$A$2:$Q$2902,W$2,0)&lt;&gt;G2052,"Beam Revised","")</f>
        <v>#N/A</v>
      </c>
      <c r="X2052" s="7" t="e">
        <f>IF(VLOOKUP($A2052,'Concrete Beam Schedule'!$A$2:$Q$2902,X$2,0)&lt;&gt;H2052,"Beam Revised","")</f>
        <v>#N/A</v>
      </c>
      <c r="Y2052" s="7" t="e">
        <f>IF(VLOOKUP($A2052,'Concrete Beam Schedule'!$A$2:$Q$2902,Y$2,0)&lt;&gt;I2052,"Beam Revised","")</f>
        <v>#N/A</v>
      </c>
      <c r="Z2052" s="7" t="e">
        <f>IF(VLOOKUP($A2052,'Concrete Beam Schedule'!$A$2:$Q$2902,Z$2,0)&lt;&gt;J2052,"Beam Revised","")</f>
        <v>#N/A</v>
      </c>
      <c r="AA2052" s="7" t="e">
        <f>IF(VLOOKUP($A2052,'Concrete Beam Schedule'!$A$2:$Q$2902,AA$2,0)&lt;&gt;K2052,"Beam Revised","")</f>
        <v>#N/A</v>
      </c>
      <c r="AB2052" s="7" t="e">
        <f>IF(VLOOKUP($A2052,'Concrete Beam Schedule'!$A$2:$Q$2902,AB$2,0)&lt;&gt;L2052,"Beam Revised","")</f>
        <v>#N/A</v>
      </c>
      <c r="AC2052" s="7" t="e">
        <f>IF(VLOOKUP($A2052,'Concrete Beam Schedule'!$A$2:$Q$2902,AC$2,0)&lt;&gt;M2052,"Beam Revised","")</f>
        <v>#N/A</v>
      </c>
      <c r="AD2052" s="7" t="e">
        <f>IF(VLOOKUP($A2052,'Concrete Beam Schedule'!$A$2:$Q$2902,AD$2,0)&lt;&gt;N2052,"Beam Revised","")</f>
        <v>#N/A</v>
      </c>
      <c r="AE2052" s="7" t="e">
        <f>IF(VLOOKUP($A2052,'Concrete Beam Schedule'!$A$2:$Q$2902,AE$2,0)&lt;&gt;O2052,"Beam Revised","")</f>
        <v>#N/A</v>
      </c>
    </row>
    <row r="2053" spans="17:31" ht="20.100000000000001" customHeight="1" x14ac:dyDescent="0.25">
      <c r="Q2053" s="7">
        <f t="shared" si="32"/>
        <v>0</v>
      </c>
      <c r="R2053" s="7" t="e">
        <f>IF(VLOOKUP($A2053,'Concrete Beam Schedule'!$A$2:$Q$2902,R$2,0)&lt;&gt;B2053,VLOOKUP($A2053,'Concrete Beam Schedule'!$A$2:$Q$2902,R$2,0),"")</f>
        <v>#N/A</v>
      </c>
      <c r="S2053" s="7" t="e">
        <f>IF(VLOOKUP($A2053,'Concrete Beam Schedule'!$A$2:$Q$2902,S$2,0)&lt;&gt;C2053,VLOOKUP($A2053,'Concrete Beam Schedule'!$A$2:$Q$2902,S$2,0),"")</f>
        <v>#N/A</v>
      </c>
      <c r="T2053" s="7" t="e">
        <f>IF(VLOOKUP($A2053,'Concrete Beam Schedule'!$A$2:$Q$2902,T$2,0)&lt;&gt;D2053,"Beam Revised","")</f>
        <v>#N/A</v>
      </c>
      <c r="U2053" s="7" t="e">
        <f>IF(VLOOKUP($A2053,'Concrete Beam Schedule'!$A$2:$Q$2902,U$2,0)&lt;&gt;E2053,"Beam Revised","")</f>
        <v>#N/A</v>
      </c>
      <c r="V2053" s="7" t="e">
        <f>IF(VLOOKUP($A2053,'Concrete Beam Schedule'!$A$2:$Q$2902,V$2,0)&lt;&gt;F2053,"Beam Revised","")</f>
        <v>#N/A</v>
      </c>
      <c r="W2053" s="7" t="e">
        <f>IF(VLOOKUP($A2053,'Concrete Beam Schedule'!$A$2:$Q$2902,W$2,0)&lt;&gt;G2053,"Beam Revised","")</f>
        <v>#N/A</v>
      </c>
      <c r="X2053" s="7" t="e">
        <f>IF(VLOOKUP($A2053,'Concrete Beam Schedule'!$A$2:$Q$2902,X$2,0)&lt;&gt;H2053,"Beam Revised","")</f>
        <v>#N/A</v>
      </c>
      <c r="Y2053" s="7" t="e">
        <f>IF(VLOOKUP($A2053,'Concrete Beam Schedule'!$A$2:$Q$2902,Y$2,0)&lt;&gt;I2053,"Beam Revised","")</f>
        <v>#N/A</v>
      </c>
      <c r="Z2053" s="7" t="e">
        <f>IF(VLOOKUP($A2053,'Concrete Beam Schedule'!$A$2:$Q$2902,Z$2,0)&lt;&gt;J2053,"Beam Revised","")</f>
        <v>#N/A</v>
      </c>
      <c r="AA2053" s="7" t="e">
        <f>IF(VLOOKUP($A2053,'Concrete Beam Schedule'!$A$2:$Q$2902,AA$2,0)&lt;&gt;K2053,"Beam Revised","")</f>
        <v>#N/A</v>
      </c>
      <c r="AB2053" s="7" t="e">
        <f>IF(VLOOKUP($A2053,'Concrete Beam Schedule'!$A$2:$Q$2902,AB$2,0)&lt;&gt;L2053,"Beam Revised","")</f>
        <v>#N/A</v>
      </c>
      <c r="AC2053" s="7" t="e">
        <f>IF(VLOOKUP($A2053,'Concrete Beam Schedule'!$A$2:$Q$2902,AC$2,0)&lt;&gt;M2053,"Beam Revised","")</f>
        <v>#N/A</v>
      </c>
      <c r="AD2053" s="7" t="e">
        <f>IF(VLOOKUP($A2053,'Concrete Beam Schedule'!$A$2:$Q$2902,AD$2,0)&lt;&gt;N2053,"Beam Revised","")</f>
        <v>#N/A</v>
      </c>
      <c r="AE2053" s="7" t="e">
        <f>IF(VLOOKUP($A2053,'Concrete Beam Schedule'!$A$2:$Q$2902,AE$2,0)&lt;&gt;O2053,"Beam Revised","")</f>
        <v>#N/A</v>
      </c>
    </row>
    <row r="2054" spans="17:31" ht="20.100000000000001" customHeight="1" x14ac:dyDescent="0.25">
      <c r="Q2054" s="7">
        <f t="shared" si="32"/>
        <v>0</v>
      </c>
      <c r="R2054" s="7" t="e">
        <f>IF(VLOOKUP($A2054,'Concrete Beam Schedule'!$A$2:$Q$2902,R$2,0)&lt;&gt;B2054,VLOOKUP($A2054,'Concrete Beam Schedule'!$A$2:$Q$2902,R$2,0),"")</f>
        <v>#N/A</v>
      </c>
      <c r="S2054" s="7" t="e">
        <f>IF(VLOOKUP($A2054,'Concrete Beam Schedule'!$A$2:$Q$2902,S$2,0)&lt;&gt;C2054,VLOOKUP($A2054,'Concrete Beam Schedule'!$A$2:$Q$2902,S$2,0),"")</f>
        <v>#N/A</v>
      </c>
      <c r="T2054" s="7" t="e">
        <f>IF(VLOOKUP($A2054,'Concrete Beam Schedule'!$A$2:$Q$2902,T$2,0)&lt;&gt;D2054,"Beam Revised","")</f>
        <v>#N/A</v>
      </c>
      <c r="U2054" s="7" t="e">
        <f>IF(VLOOKUP($A2054,'Concrete Beam Schedule'!$A$2:$Q$2902,U$2,0)&lt;&gt;E2054,"Beam Revised","")</f>
        <v>#N/A</v>
      </c>
      <c r="V2054" s="7" t="e">
        <f>IF(VLOOKUP($A2054,'Concrete Beam Schedule'!$A$2:$Q$2902,V$2,0)&lt;&gt;F2054,"Beam Revised","")</f>
        <v>#N/A</v>
      </c>
      <c r="W2054" s="7" t="e">
        <f>IF(VLOOKUP($A2054,'Concrete Beam Schedule'!$A$2:$Q$2902,W$2,0)&lt;&gt;G2054,"Beam Revised","")</f>
        <v>#N/A</v>
      </c>
      <c r="X2054" s="7" t="e">
        <f>IF(VLOOKUP($A2054,'Concrete Beam Schedule'!$A$2:$Q$2902,X$2,0)&lt;&gt;H2054,"Beam Revised","")</f>
        <v>#N/A</v>
      </c>
      <c r="Y2054" s="7" t="e">
        <f>IF(VLOOKUP($A2054,'Concrete Beam Schedule'!$A$2:$Q$2902,Y$2,0)&lt;&gt;I2054,"Beam Revised","")</f>
        <v>#N/A</v>
      </c>
      <c r="Z2054" s="7" t="e">
        <f>IF(VLOOKUP($A2054,'Concrete Beam Schedule'!$A$2:$Q$2902,Z$2,0)&lt;&gt;J2054,"Beam Revised","")</f>
        <v>#N/A</v>
      </c>
      <c r="AA2054" s="7" t="e">
        <f>IF(VLOOKUP($A2054,'Concrete Beam Schedule'!$A$2:$Q$2902,AA$2,0)&lt;&gt;K2054,"Beam Revised","")</f>
        <v>#N/A</v>
      </c>
      <c r="AB2054" s="7" t="e">
        <f>IF(VLOOKUP($A2054,'Concrete Beam Schedule'!$A$2:$Q$2902,AB$2,0)&lt;&gt;L2054,"Beam Revised","")</f>
        <v>#N/A</v>
      </c>
      <c r="AC2054" s="7" t="e">
        <f>IF(VLOOKUP($A2054,'Concrete Beam Schedule'!$A$2:$Q$2902,AC$2,0)&lt;&gt;M2054,"Beam Revised","")</f>
        <v>#N/A</v>
      </c>
      <c r="AD2054" s="7" t="e">
        <f>IF(VLOOKUP($A2054,'Concrete Beam Schedule'!$A$2:$Q$2902,AD$2,0)&lt;&gt;N2054,"Beam Revised","")</f>
        <v>#N/A</v>
      </c>
      <c r="AE2054" s="7" t="e">
        <f>IF(VLOOKUP($A2054,'Concrete Beam Schedule'!$A$2:$Q$2902,AE$2,0)&lt;&gt;O2054,"Beam Revised","")</f>
        <v>#N/A</v>
      </c>
    </row>
    <row r="2055" spans="17:31" ht="20.100000000000001" customHeight="1" x14ac:dyDescent="0.25">
      <c r="Q2055" s="7">
        <f t="shared" si="32"/>
        <v>0</v>
      </c>
      <c r="R2055" s="7" t="e">
        <f>IF(VLOOKUP($A2055,'Concrete Beam Schedule'!$A$2:$Q$2902,R$2,0)&lt;&gt;B2055,VLOOKUP($A2055,'Concrete Beam Schedule'!$A$2:$Q$2902,R$2,0),"")</f>
        <v>#N/A</v>
      </c>
      <c r="S2055" s="7" t="e">
        <f>IF(VLOOKUP($A2055,'Concrete Beam Schedule'!$A$2:$Q$2902,S$2,0)&lt;&gt;C2055,VLOOKUP($A2055,'Concrete Beam Schedule'!$A$2:$Q$2902,S$2,0),"")</f>
        <v>#N/A</v>
      </c>
      <c r="T2055" s="7" t="e">
        <f>IF(VLOOKUP($A2055,'Concrete Beam Schedule'!$A$2:$Q$2902,T$2,0)&lt;&gt;D2055,"Beam Revised","")</f>
        <v>#N/A</v>
      </c>
      <c r="U2055" s="7" t="e">
        <f>IF(VLOOKUP($A2055,'Concrete Beam Schedule'!$A$2:$Q$2902,U$2,0)&lt;&gt;E2055,"Beam Revised","")</f>
        <v>#N/A</v>
      </c>
      <c r="V2055" s="7" t="e">
        <f>IF(VLOOKUP($A2055,'Concrete Beam Schedule'!$A$2:$Q$2902,V$2,0)&lt;&gt;F2055,"Beam Revised","")</f>
        <v>#N/A</v>
      </c>
      <c r="W2055" s="7" t="e">
        <f>IF(VLOOKUP($A2055,'Concrete Beam Schedule'!$A$2:$Q$2902,W$2,0)&lt;&gt;G2055,"Beam Revised","")</f>
        <v>#N/A</v>
      </c>
      <c r="X2055" s="7" t="e">
        <f>IF(VLOOKUP($A2055,'Concrete Beam Schedule'!$A$2:$Q$2902,X$2,0)&lt;&gt;H2055,"Beam Revised","")</f>
        <v>#N/A</v>
      </c>
      <c r="Y2055" s="7" t="e">
        <f>IF(VLOOKUP($A2055,'Concrete Beam Schedule'!$A$2:$Q$2902,Y$2,0)&lt;&gt;I2055,"Beam Revised","")</f>
        <v>#N/A</v>
      </c>
      <c r="Z2055" s="7" t="e">
        <f>IF(VLOOKUP($A2055,'Concrete Beam Schedule'!$A$2:$Q$2902,Z$2,0)&lt;&gt;J2055,"Beam Revised","")</f>
        <v>#N/A</v>
      </c>
      <c r="AA2055" s="7" t="e">
        <f>IF(VLOOKUP($A2055,'Concrete Beam Schedule'!$A$2:$Q$2902,AA$2,0)&lt;&gt;K2055,"Beam Revised","")</f>
        <v>#N/A</v>
      </c>
      <c r="AB2055" s="7" t="e">
        <f>IF(VLOOKUP($A2055,'Concrete Beam Schedule'!$A$2:$Q$2902,AB$2,0)&lt;&gt;L2055,"Beam Revised","")</f>
        <v>#N/A</v>
      </c>
      <c r="AC2055" s="7" t="e">
        <f>IF(VLOOKUP($A2055,'Concrete Beam Schedule'!$A$2:$Q$2902,AC$2,0)&lt;&gt;M2055,"Beam Revised","")</f>
        <v>#N/A</v>
      </c>
      <c r="AD2055" s="7" t="e">
        <f>IF(VLOOKUP($A2055,'Concrete Beam Schedule'!$A$2:$Q$2902,AD$2,0)&lt;&gt;N2055,"Beam Revised","")</f>
        <v>#N/A</v>
      </c>
      <c r="AE2055" s="7" t="e">
        <f>IF(VLOOKUP($A2055,'Concrete Beam Schedule'!$A$2:$Q$2902,AE$2,0)&lt;&gt;O2055,"Beam Revised","")</f>
        <v>#N/A</v>
      </c>
    </row>
    <row r="2056" spans="17:31" ht="20.100000000000001" customHeight="1" x14ac:dyDescent="0.25">
      <c r="Q2056" s="7">
        <f t="shared" si="32"/>
        <v>0</v>
      </c>
      <c r="R2056" s="7" t="e">
        <f>IF(VLOOKUP($A2056,'Concrete Beam Schedule'!$A$2:$Q$2902,R$2,0)&lt;&gt;B2056,VLOOKUP($A2056,'Concrete Beam Schedule'!$A$2:$Q$2902,R$2,0),"")</f>
        <v>#N/A</v>
      </c>
      <c r="S2056" s="7" t="e">
        <f>IF(VLOOKUP($A2056,'Concrete Beam Schedule'!$A$2:$Q$2902,S$2,0)&lt;&gt;C2056,VLOOKUP($A2056,'Concrete Beam Schedule'!$A$2:$Q$2902,S$2,0),"")</f>
        <v>#N/A</v>
      </c>
      <c r="T2056" s="7" t="e">
        <f>IF(VLOOKUP($A2056,'Concrete Beam Schedule'!$A$2:$Q$2902,T$2,0)&lt;&gt;D2056,"Beam Revised","")</f>
        <v>#N/A</v>
      </c>
      <c r="U2056" s="7" t="e">
        <f>IF(VLOOKUP($A2056,'Concrete Beam Schedule'!$A$2:$Q$2902,U$2,0)&lt;&gt;E2056,"Beam Revised","")</f>
        <v>#N/A</v>
      </c>
      <c r="V2056" s="7" t="e">
        <f>IF(VLOOKUP($A2056,'Concrete Beam Schedule'!$A$2:$Q$2902,V$2,0)&lt;&gt;F2056,"Beam Revised","")</f>
        <v>#N/A</v>
      </c>
      <c r="W2056" s="7" t="e">
        <f>IF(VLOOKUP($A2056,'Concrete Beam Schedule'!$A$2:$Q$2902,W$2,0)&lt;&gt;G2056,"Beam Revised","")</f>
        <v>#N/A</v>
      </c>
      <c r="X2056" s="7" t="e">
        <f>IF(VLOOKUP($A2056,'Concrete Beam Schedule'!$A$2:$Q$2902,X$2,0)&lt;&gt;H2056,"Beam Revised","")</f>
        <v>#N/A</v>
      </c>
      <c r="Y2056" s="7" t="e">
        <f>IF(VLOOKUP($A2056,'Concrete Beam Schedule'!$A$2:$Q$2902,Y$2,0)&lt;&gt;I2056,"Beam Revised","")</f>
        <v>#N/A</v>
      </c>
      <c r="Z2056" s="7" t="e">
        <f>IF(VLOOKUP($A2056,'Concrete Beam Schedule'!$A$2:$Q$2902,Z$2,0)&lt;&gt;J2056,"Beam Revised","")</f>
        <v>#N/A</v>
      </c>
      <c r="AA2056" s="7" t="e">
        <f>IF(VLOOKUP($A2056,'Concrete Beam Schedule'!$A$2:$Q$2902,AA$2,0)&lt;&gt;K2056,"Beam Revised","")</f>
        <v>#N/A</v>
      </c>
      <c r="AB2056" s="7" t="e">
        <f>IF(VLOOKUP($A2056,'Concrete Beam Schedule'!$A$2:$Q$2902,AB$2,0)&lt;&gt;L2056,"Beam Revised","")</f>
        <v>#N/A</v>
      </c>
      <c r="AC2056" s="7" t="e">
        <f>IF(VLOOKUP($A2056,'Concrete Beam Schedule'!$A$2:$Q$2902,AC$2,0)&lt;&gt;M2056,"Beam Revised","")</f>
        <v>#N/A</v>
      </c>
      <c r="AD2056" s="7" t="e">
        <f>IF(VLOOKUP($A2056,'Concrete Beam Schedule'!$A$2:$Q$2902,AD$2,0)&lt;&gt;N2056,"Beam Revised","")</f>
        <v>#N/A</v>
      </c>
      <c r="AE2056" s="7" t="e">
        <f>IF(VLOOKUP($A2056,'Concrete Beam Schedule'!$A$2:$Q$2902,AE$2,0)&lt;&gt;O2056,"Beam Revised","")</f>
        <v>#N/A</v>
      </c>
    </row>
    <row r="2057" spans="17:31" ht="20.100000000000001" customHeight="1" x14ac:dyDescent="0.25">
      <c r="Q2057" s="7">
        <f t="shared" si="32"/>
        <v>0</v>
      </c>
      <c r="R2057" s="7" t="e">
        <f>IF(VLOOKUP($A2057,'Concrete Beam Schedule'!$A$2:$Q$2902,R$2,0)&lt;&gt;B2057,VLOOKUP($A2057,'Concrete Beam Schedule'!$A$2:$Q$2902,R$2,0),"")</f>
        <v>#N/A</v>
      </c>
      <c r="S2057" s="7" t="e">
        <f>IF(VLOOKUP($A2057,'Concrete Beam Schedule'!$A$2:$Q$2902,S$2,0)&lt;&gt;C2057,VLOOKUP($A2057,'Concrete Beam Schedule'!$A$2:$Q$2902,S$2,0),"")</f>
        <v>#N/A</v>
      </c>
      <c r="T2057" s="7" t="e">
        <f>IF(VLOOKUP($A2057,'Concrete Beam Schedule'!$A$2:$Q$2902,T$2,0)&lt;&gt;D2057,"Beam Revised","")</f>
        <v>#N/A</v>
      </c>
      <c r="U2057" s="7" t="e">
        <f>IF(VLOOKUP($A2057,'Concrete Beam Schedule'!$A$2:$Q$2902,U$2,0)&lt;&gt;E2057,"Beam Revised","")</f>
        <v>#N/A</v>
      </c>
      <c r="V2057" s="7" t="e">
        <f>IF(VLOOKUP($A2057,'Concrete Beam Schedule'!$A$2:$Q$2902,V$2,0)&lt;&gt;F2057,"Beam Revised","")</f>
        <v>#N/A</v>
      </c>
      <c r="W2057" s="7" t="e">
        <f>IF(VLOOKUP($A2057,'Concrete Beam Schedule'!$A$2:$Q$2902,W$2,0)&lt;&gt;G2057,"Beam Revised","")</f>
        <v>#N/A</v>
      </c>
      <c r="X2057" s="7" t="e">
        <f>IF(VLOOKUP($A2057,'Concrete Beam Schedule'!$A$2:$Q$2902,X$2,0)&lt;&gt;H2057,"Beam Revised","")</f>
        <v>#N/A</v>
      </c>
      <c r="Y2057" s="7" t="e">
        <f>IF(VLOOKUP($A2057,'Concrete Beam Schedule'!$A$2:$Q$2902,Y$2,0)&lt;&gt;I2057,"Beam Revised","")</f>
        <v>#N/A</v>
      </c>
      <c r="Z2057" s="7" t="e">
        <f>IF(VLOOKUP($A2057,'Concrete Beam Schedule'!$A$2:$Q$2902,Z$2,0)&lt;&gt;J2057,"Beam Revised","")</f>
        <v>#N/A</v>
      </c>
      <c r="AA2057" s="7" t="e">
        <f>IF(VLOOKUP($A2057,'Concrete Beam Schedule'!$A$2:$Q$2902,AA$2,0)&lt;&gt;K2057,"Beam Revised","")</f>
        <v>#N/A</v>
      </c>
      <c r="AB2057" s="7" t="e">
        <f>IF(VLOOKUP($A2057,'Concrete Beam Schedule'!$A$2:$Q$2902,AB$2,0)&lt;&gt;L2057,"Beam Revised","")</f>
        <v>#N/A</v>
      </c>
      <c r="AC2057" s="7" t="e">
        <f>IF(VLOOKUP($A2057,'Concrete Beam Schedule'!$A$2:$Q$2902,AC$2,0)&lt;&gt;M2057,"Beam Revised","")</f>
        <v>#N/A</v>
      </c>
      <c r="AD2057" s="7" t="e">
        <f>IF(VLOOKUP($A2057,'Concrete Beam Schedule'!$A$2:$Q$2902,AD$2,0)&lt;&gt;N2057,"Beam Revised","")</f>
        <v>#N/A</v>
      </c>
      <c r="AE2057" s="7" t="e">
        <f>IF(VLOOKUP($A2057,'Concrete Beam Schedule'!$A$2:$Q$2902,AE$2,0)&lt;&gt;O2057,"Beam Revised","")</f>
        <v>#N/A</v>
      </c>
    </row>
    <row r="2058" spans="17:31" ht="20.100000000000001" customHeight="1" x14ac:dyDescent="0.25">
      <c r="Q2058" s="7">
        <f t="shared" si="32"/>
        <v>0</v>
      </c>
      <c r="R2058" s="7" t="e">
        <f>IF(VLOOKUP($A2058,'Concrete Beam Schedule'!$A$2:$Q$2902,R$2,0)&lt;&gt;B2058,VLOOKUP($A2058,'Concrete Beam Schedule'!$A$2:$Q$2902,R$2,0),"")</f>
        <v>#N/A</v>
      </c>
      <c r="S2058" s="7" t="e">
        <f>IF(VLOOKUP($A2058,'Concrete Beam Schedule'!$A$2:$Q$2902,S$2,0)&lt;&gt;C2058,VLOOKUP($A2058,'Concrete Beam Schedule'!$A$2:$Q$2902,S$2,0),"")</f>
        <v>#N/A</v>
      </c>
      <c r="T2058" s="7" t="e">
        <f>IF(VLOOKUP($A2058,'Concrete Beam Schedule'!$A$2:$Q$2902,T$2,0)&lt;&gt;D2058,"Beam Revised","")</f>
        <v>#N/A</v>
      </c>
      <c r="U2058" s="7" t="e">
        <f>IF(VLOOKUP($A2058,'Concrete Beam Schedule'!$A$2:$Q$2902,U$2,0)&lt;&gt;E2058,"Beam Revised","")</f>
        <v>#N/A</v>
      </c>
      <c r="V2058" s="7" t="e">
        <f>IF(VLOOKUP($A2058,'Concrete Beam Schedule'!$A$2:$Q$2902,V$2,0)&lt;&gt;F2058,"Beam Revised","")</f>
        <v>#N/A</v>
      </c>
      <c r="W2058" s="7" t="e">
        <f>IF(VLOOKUP($A2058,'Concrete Beam Schedule'!$A$2:$Q$2902,W$2,0)&lt;&gt;G2058,"Beam Revised","")</f>
        <v>#N/A</v>
      </c>
      <c r="X2058" s="7" t="e">
        <f>IF(VLOOKUP($A2058,'Concrete Beam Schedule'!$A$2:$Q$2902,X$2,0)&lt;&gt;H2058,"Beam Revised","")</f>
        <v>#N/A</v>
      </c>
      <c r="Y2058" s="7" t="e">
        <f>IF(VLOOKUP($A2058,'Concrete Beam Schedule'!$A$2:$Q$2902,Y$2,0)&lt;&gt;I2058,"Beam Revised","")</f>
        <v>#N/A</v>
      </c>
      <c r="Z2058" s="7" t="e">
        <f>IF(VLOOKUP($A2058,'Concrete Beam Schedule'!$A$2:$Q$2902,Z$2,0)&lt;&gt;J2058,"Beam Revised","")</f>
        <v>#N/A</v>
      </c>
      <c r="AA2058" s="7" t="e">
        <f>IF(VLOOKUP($A2058,'Concrete Beam Schedule'!$A$2:$Q$2902,AA$2,0)&lt;&gt;K2058,"Beam Revised","")</f>
        <v>#N/A</v>
      </c>
      <c r="AB2058" s="7" t="e">
        <f>IF(VLOOKUP($A2058,'Concrete Beam Schedule'!$A$2:$Q$2902,AB$2,0)&lt;&gt;L2058,"Beam Revised","")</f>
        <v>#N/A</v>
      </c>
      <c r="AC2058" s="7" t="e">
        <f>IF(VLOOKUP($A2058,'Concrete Beam Schedule'!$A$2:$Q$2902,AC$2,0)&lt;&gt;M2058,"Beam Revised","")</f>
        <v>#N/A</v>
      </c>
      <c r="AD2058" s="7" t="e">
        <f>IF(VLOOKUP($A2058,'Concrete Beam Schedule'!$A$2:$Q$2902,AD$2,0)&lt;&gt;N2058,"Beam Revised","")</f>
        <v>#N/A</v>
      </c>
      <c r="AE2058" s="7" t="e">
        <f>IF(VLOOKUP($A2058,'Concrete Beam Schedule'!$A$2:$Q$2902,AE$2,0)&lt;&gt;O2058,"Beam Revised","")</f>
        <v>#N/A</v>
      </c>
    </row>
    <row r="2059" spans="17:31" ht="20.100000000000001" customHeight="1" x14ac:dyDescent="0.25">
      <c r="Q2059" s="7">
        <f t="shared" si="32"/>
        <v>0</v>
      </c>
      <c r="R2059" s="7" t="e">
        <f>IF(VLOOKUP($A2059,'Concrete Beam Schedule'!$A$2:$Q$2902,R$2,0)&lt;&gt;B2059,VLOOKUP($A2059,'Concrete Beam Schedule'!$A$2:$Q$2902,R$2,0),"")</f>
        <v>#N/A</v>
      </c>
      <c r="S2059" s="7" t="e">
        <f>IF(VLOOKUP($A2059,'Concrete Beam Schedule'!$A$2:$Q$2902,S$2,0)&lt;&gt;C2059,VLOOKUP($A2059,'Concrete Beam Schedule'!$A$2:$Q$2902,S$2,0),"")</f>
        <v>#N/A</v>
      </c>
      <c r="T2059" s="7" t="e">
        <f>IF(VLOOKUP($A2059,'Concrete Beam Schedule'!$A$2:$Q$2902,T$2,0)&lt;&gt;D2059,"Beam Revised","")</f>
        <v>#N/A</v>
      </c>
      <c r="U2059" s="7" t="e">
        <f>IF(VLOOKUP($A2059,'Concrete Beam Schedule'!$A$2:$Q$2902,U$2,0)&lt;&gt;E2059,"Beam Revised","")</f>
        <v>#N/A</v>
      </c>
      <c r="V2059" s="7" t="e">
        <f>IF(VLOOKUP($A2059,'Concrete Beam Schedule'!$A$2:$Q$2902,V$2,0)&lt;&gt;F2059,"Beam Revised","")</f>
        <v>#N/A</v>
      </c>
      <c r="W2059" s="7" t="e">
        <f>IF(VLOOKUP($A2059,'Concrete Beam Schedule'!$A$2:$Q$2902,W$2,0)&lt;&gt;G2059,"Beam Revised","")</f>
        <v>#N/A</v>
      </c>
      <c r="X2059" s="7" t="e">
        <f>IF(VLOOKUP($A2059,'Concrete Beam Schedule'!$A$2:$Q$2902,X$2,0)&lt;&gt;H2059,"Beam Revised","")</f>
        <v>#N/A</v>
      </c>
      <c r="Y2059" s="7" t="e">
        <f>IF(VLOOKUP($A2059,'Concrete Beam Schedule'!$A$2:$Q$2902,Y$2,0)&lt;&gt;I2059,"Beam Revised","")</f>
        <v>#N/A</v>
      </c>
      <c r="Z2059" s="7" t="e">
        <f>IF(VLOOKUP($A2059,'Concrete Beam Schedule'!$A$2:$Q$2902,Z$2,0)&lt;&gt;J2059,"Beam Revised","")</f>
        <v>#N/A</v>
      </c>
      <c r="AA2059" s="7" t="e">
        <f>IF(VLOOKUP($A2059,'Concrete Beam Schedule'!$A$2:$Q$2902,AA$2,0)&lt;&gt;K2059,"Beam Revised","")</f>
        <v>#N/A</v>
      </c>
      <c r="AB2059" s="7" t="e">
        <f>IF(VLOOKUP($A2059,'Concrete Beam Schedule'!$A$2:$Q$2902,AB$2,0)&lt;&gt;L2059,"Beam Revised","")</f>
        <v>#N/A</v>
      </c>
      <c r="AC2059" s="7" t="e">
        <f>IF(VLOOKUP($A2059,'Concrete Beam Schedule'!$A$2:$Q$2902,AC$2,0)&lt;&gt;M2059,"Beam Revised","")</f>
        <v>#N/A</v>
      </c>
      <c r="AD2059" s="7" t="e">
        <f>IF(VLOOKUP($A2059,'Concrete Beam Schedule'!$A$2:$Q$2902,AD$2,0)&lt;&gt;N2059,"Beam Revised","")</f>
        <v>#N/A</v>
      </c>
      <c r="AE2059" s="7" t="e">
        <f>IF(VLOOKUP($A2059,'Concrete Beam Schedule'!$A$2:$Q$2902,AE$2,0)&lt;&gt;O2059,"Beam Revised","")</f>
        <v>#N/A</v>
      </c>
    </row>
    <row r="2060" spans="17:31" ht="20.100000000000001" customHeight="1" x14ac:dyDescent="0.25">
      <c r="Q2060" s="7">
        <f t="shared" si="32"/>
        <v>0</v>
      </c>
      <c r="R2060" s="7" t="e">
        <f>IF(VLOOKUP($A2060,'Concrete Beam Schedule'!$A$2:$Q$2902,R$2,0)&lt;&gt;B2060,VLOOKUP($A2060,'Concrete Beam Schedule'!$A$2:$Q$2902,R$2,0),"")</f>
        <v>#N/A</v>
      </c>
      <c r="S2060" s="7" t="e">
        <f>IF(VLOOKUP($A2060,'Concrete Beam Schedule'!$A$2:$Q$2902,S$2,0)&lt;&gt;C2060,VLOOKUP($A2060,'Concrete Beam Schedule'!$A$2:$Q$2902,S$2,0),"")</f>
        <v>#N/A</v>
      </c>
      <c r="T2060" s="7" t="e">
        <f>IF(VLOOKUP($A2060,'Concrete Beam Schedule'!$A$2:$Q$2902,T$2,0)&lt;&gt;D2060,"Beam Revised","")</f>
        <v>#N/A</v>
      </c>
      <c r="U2060" s="7" t="e">
        <f>IF(VLOOKUP($A2060,'Concrete Beam Schedule'!$A$2:$Q$2902,U$2,0)&lt;&gt;E2060,"Beam Revised","")</f>
        <v>#N/A</v>
      </c>
      <c r="V2060" s="7" t="e">
        <f>IF(VLOOKUP($A2060,'Concrete Beam Schedule'!$A$2:$Q$2902,V$2,0)&lt;&gt;F2060,"Beam Revised","")</f>
        <v>#N/A</v>
      </c>
      <c r="W2060" s="7" t="e">
        <f>IF(VLOOKUP($A2060,'Concrete Beam Schedule'!$A$2:$Q$2902,W$2,0)&lt;&gt;G2060,"Beam Revised","")</f>
        <v>#N/A</v>
      </c>
      <c r="X2060" s="7" t="e">
        <f>IF(VLOOKUP($A2060,'Concrete Beam Schedule'!$A$2:$Q$2902,X$2,0)&lt;&gt;H2060,"Beam Revised","")</f>
        <v>#N/A</v>
      </c>
      <c r="Y2060" s="7" t="e">
        <f>IF(VLOOKUP($A2060,'Concrete Beam Schedule'!$A$2:$Q$2902,Y$2,0)&lt;&gt;I2060,"Beam Revised","")</f>
        <v>#N/A</v>
      </c>
      <c r="Z2060" s="7" t="e">
        <f>IF(VLOOKUP($A2060,'Concrete Beam Schedule'!$A$2:$Q$2902,Z$2,0)&lt;&gt;J2060,"Beam Revised","")</f>
        <v>#N/A</v>
      </c>
      <c r="AA2060" s="7" t="e">
        <f>IF(VLOOKUP($A2060,'Concrete Beam Schedule'!$A$2:$Q$2902,AA$2,0)&lt;&gt;K2060,"Beam Revised","")</f>
        <v>#N/A</v>
      </c>
      <c r="AB2060" s="7" t="e">
        <f>IF(VLOOKUP($A2060,'Concrete Beam Schedule'!$A$2:$Q$2902,AB$2,0)&lt;&gt;L2060,"Beam Revised","")</f>
        <v>#N/A</v>
      </c>
      <c r="AC2060" s="7" t="e">
        <f>IF(VLOOKUP($A2060,'Concrete Beam Schedule'!$A$2:$Q$2902,AC$2,0)&lt;&gt;M2060,"Beam Revised","")</f>
        <v>#N/A</v>
      </c>
      <c r="AD2060" s="7" t="e">
        <f>IF(VLOOKUP($A2060,'Concrete Beam Schedule'!$A$2:$Q$2902,AD$2,0)&lt;&gt;N2060,"Beam Revised","")</f>
        <v>#N/A</v>
      </c>
      <c r="AE2060" s="7" t="e">
        <f>IF(VLOOKUP($A2060,'Concrete Beam Schedule'!$A$2:$Q$2902,AE$2,0)&lt;&gt;O2060,"Beam Revised","")</f>
        <v>#N/A</v>
      </c>
    </row>
    <row r="2061" spans="17:31" ht="20.100000000000001" customHeight="1" x14ac:dyDescent="0.25">
      <c r="Q2061" s="7">
        <f t="shared" si="32"/>
        <v>0</v>
      </c>
      <c r="R2061" s="7" t="e">
        <f>IF(VLOOKUP($A2061,'Concrete Beam Schedule'!$A$2:$Q$2902,R$2,0)&lt;&gt;B2061,VLOOKUP($A2061,'Concrete Beam Schedule'!$A$2:$Q$2902,R$2,0),"")</f>
        <v>#N/A</v>
      </c>
      <c r="S2061" s="7" t="e">
        <f>IF(VLOOKUP($A2061,'Concrete Beam Schedule'!$A$2:$Q$2902,S$2,0)&lt;&gt;C2061,VLOOKUP($A2061,'Concrete Beam Schedule'!$A$2:$Q$2902,S$2,0),"")</f>
        <v>#N/A</v>
      </c>
      <c r="T2061" s="7" t="e">
        <f>IF(VLOOKUP($A2061,'Concrete Beam Schedule'!$A$2:$Q$2902,T$2,0)&lt;&gt;D2061,"Beam Revised","")</f>
        <v>#N/A</v>
      </c>
      <c r="U2061" s="7" t="e">
        <f>IF(VLOOKUP($A2061,'Concrete Beam Schedule'!$A$2:$Q$2902,U$2,0)&lt;&gt;E2061,"Beam Revised","")</f>
        <v>#N/A</v>
      </c>
      <c r="V2061" s="7" t="e">
        <f>IF(VLOOKUP($A2061,'Concrete Beam Schedule'!$A$2:$Q$2902,V$2,0)&lt;&gt;F2061,"Beam Revised","")</f>
        <v>#N/A</v>
      </c>
      <c r="W2061" s="7" t="e">
        <f>IF(VLOOKUP($A2061,'Concrete Beam Schedule'!$A$2:$Q$2902,W$2,0)&lt;&gt;G2061,"Beam Revised","")</f>
        <v>#N/A</v>
      </c>
      <c r="X2061" s="7" t="e">
        <f>IF(VLOOKUP($A2061,'Concrete Beam Schedule'!$A$2:$Q$2902,X$2,0)&lt;&gt;H2061,"Beam Revised","")</f>
        <v>#N/A</v>
      </c>
      <c r="Y2061" s="7" t="e">
        <f>IF(VLOOKUP($A2061,'Concrete Beam Schedule'!$A$2:$Q$2902,Y$2,0)&lt;&gt;I2061,"Beam Revised","")</f>
        <v>#N/A</v>
      </c>
      <c r="Z2061" s="7" t="e">
        <f>IF(VLOOKUP($A2061,'Concrete Beam Schedule'!$A$2:$Q$2902,Z$2,0)&lt;&gt;J2061,"Beam Revised","")</f>
        <v>#N/A</v>
      </c>
      <c r="AA2061" s="7" t="e">
        <f>IF(VLOOKUP($A2061,'Concrete Beam Schedule'!$A$2:$Q$2902,AA$2,0)&lt;&gt;K2061,"Beam Revised","")</f>
        <v>#N/A</v>
      </c>
      <c r="AB2061" s="7" t="e">
        <f>IF(VLOOKUP($A2061,'Concrete Beam Schedule'!$A$2:$Q$2902,AB$2,0)&lt;&gt;L2061,"Beam Revised","")</f>
        <v>#N/A</v>
      </c>
      <c r="AC2061" s="7" t="e">
        <f>IF(VLOOKUP($A2061,'Concrete Beam Schedule'!$A$2:$Q$2902,AC$2,0)&lt;&gt;M2061,"Beam Revised","")</f>
        <v>#N/A</v>
      </c>
      <c r="AD2061" s="7" t="e">
        <f>IF(VLOOKUP($A2061,'Concrete Beam Schedule'!$A$2:$Q$2902,AD$2,0)&lt;&gt;N2061,"Beam Revised","")</f>
        <v>#N/A</v>
      </c>
      <c r="AE2061" s="7" t="e">
        <f>IF(VLOOKUP($A2061,'Concrete Beam Schedule'!$A$2:$Q$2902,AE$2,0)&lt;&gt;O2061,"Beam Revised","")</f>
        <v>#N/A</v>
      </c>
    </row>
    <row r="2062" spans="17:31" ht="20.100000000000001" customHeight="1" x14ac:dyDescent="0.25">
      <c r="Q2062" s="7">
        <f t="shared" si="32"/>
        <v>0</v>
      </c>
      <c r="R2062" s="7" t="e">
        <f>IF(VLOOKUP($A2062,'Concrete Beam Schedule'!$A$2:$Q$2902,R$2,0)&lt;&gt;B2062,VLOOKUP($A2062,'Concrete Beam Schedule'!$A$2:$Q$2902,R$2,0),"")</f>
        <v>#N/A</v>
      </c>
      <c r="S2062" s="7" t="e">
        <f>IF(VLOOKUP($A2062,'Concrete Beam Schedule'!$A$2:$Q$2902,S$2,0)&lt;&gt;C2062,VLOOKUP($A2062,'Concrete Beam Schedule'!$A$2:$Q$2902,S$2,0),"")</f>
        <v>#N/A</v>
      </c>
      <c r="T2062" s="7" t="e">
        <f>IF(VLOOKUP($A2062,'Concrete Beam Schedule'!$A$2:$Q$2902,T$2,0)&lt;&gt;D2062,"Beam Revised","")</f>
        <v>#N/A</v>
      </c>
      <c r="U2062" s="7" t="e">
        <f>IF(VLOOKUP($A2062,'Concrete Beam Schedule'!$A$2:$Q$2902,U$2,0)&lt;&gt;E2062,"Beam Revised","")</f>
        <v>#N/A</v>
      </c>
      <c r="V2062" s="7" t="e">
        <f>IF(VLOOKUP($A2062,'Concrete Beam Schedule'!$A$2:$Q$2902,V$2,0)&lt;&gt;F2062,"Beam Revised","")</f>
        <v>#N/A</v>
      </c>
      <c r="W2062" s="7" t="e">
        <f>IF(VLOOKUP($A2062,'Concrete Beam Schedule'!$A$2:$Q$2902,W$2,0)&lt;&gt;G2062,"Beam Revised","")</f>
        <v>#N/A</v>
      </c>
      <c r="X2062" s="7" t="e">
        <f>IF(VLOOKUP($A2062,'Concrete Beam Schedule'!$A$2:$Q$2902,X$2,0)&lt;&gt;H2062,"Beam Revised","")</f>
        <v>#N/A</v>
      </c>
      <c r="Y2062" s="7" t="e">
        <f>IF(VLOOKUP($A2062,'Concrete Beam Schedule'!$A$2:$Q$2902,Y$2,0)&lt;&gt;I2062,"Beam Revised","")</f>
        <v>#N/A</v>
      </c>
      <c r="Z2062" s="7" t="e">
        <f>IF(VLOOKUP($A2062,'Concrete Beam Schedule'!$A$2:$Q$2902,Z$2,0)&lt;&gt;J2062,"Beam Revised","")</f>
        <v>#N/A</v>
      </c>
      <c r="AA2062" s="7" t="e">
        <f>IF(VLOOKUP($A2062,'Concrete Beam Schedule'!$A$2:$Q$2902,AA$2,0)&lt;&gt;K2062,"Beam Revised","")</f>
        <v>#N/A</v>
      </c>
      <c r="AB2062" s="7" t="e">
        <f>IF(VLOOKUP($A2062,'Concrete Beam Schedule'!$A$2:$Q$2902,AB$2,0)&lt;&gt;L2062,"Beam Revised","")</f>
        <v>#N/A</v>
      </c>
      <c r="AC2062" s="7" t="e">
        <f>IF(VLOOKUP($A2062,'Concrete Beam Schedule'!$A$2:$Q$2902,AC$2,0)&lt;&gt;M2062,"Beam Revised","")</f>
        <v>#N/A</v>
      </c>
      <c r="AD2062" s="7" t="e">
        <f>IF(VLOOKUP($A2062,'Concrete Beam Schedule'!$A$2:$Q$2902,AD$2,0)&lt;&gt;N2062,"Beam Revised","")</f>
        <v>#N/A</v>
      </c>
      <c r="AE2062" s="7" t="e">
        <f>IF(VLOOKUP($A2062,'Concrete Beam Schedule'!$A$2:$Q$2902,AE$2,0)&lt;&gt;O2062,"Beam Revised","")</f>
        <v>#N/A</v>
      </c>
    </row>
    <row r="2063" spans="17:31" ht="20.100000000000001" customHeight="1" x14ac:dyDescent="0.25">
      <c r="Q2063" s="7">
        <f t="shared" si="32"/>
        <v>0</v>
      </c>
      <c r="R2063" s="7" t="e">
        <f>IF(VLOOKUP($A2063,'Concrete Beam Schedule'!$A$2:$Q$2902,R$2,0)&lt;&gt;B2063,VLOOKUP($A2063,'Concrete Beam Schedule'!$A$2:$Q$2902,R$2,0),"")</f>
        <v>#N/A</v>
      </c>
      <c r="S2063" s="7" t="e">
        <f>IF(VLOOKUP($A2063,'Concrete Beam Schedule'!$A$2:$Q$2902,S$2,0)&lt;&gt;C2063,VLOOKUP($A2063,'Concrete Beam Schedule'!$A$2:$Q$2902,S$2,0),"")</f>
        <v>#N/A</v>
      </c>
      <c r="T2063" s="7" t="e">
        <f>IF(VLOOKUP($A2063,'Concrete Beam Schedule'!$A$2:$Q$2902,T$2,0)&lt;&gt;D2063,"Beam Revised","")</f>
        <v>#N/A</v>
      </c>
      <c r="U2063" s="7" t="e">
        <f>IF(VLOOKUP($A2063,'Concrete Beam Schedule'!$A$2:$Q$2902,U$2,0)&lt;&gt;E2063,"Beam Revised","")</f>
        <v>#N/A</v>
      </c>
      <c r="V2063" s="7" t="e">
        <f>IF(VLOOKUP($A2063,'Concrete Beam Schedule'!$A$2:$Q$2902,V$2,0)&lt;&gt;F2063,"Beam Revised","")</f>
        <v>#N/A</v>
      </c>
      <c r="W2063" s="7" t="e">
        <f>IF(VLOOKUP($A2063,'Concrete Beam Schedule'!$A$2:$Q$2902,W$2,0)&lt;&gt;G2063,"Beam Revised","")</f>
        <v>#N/A</v>
      </c>
      <c r="X2063" s="7" t="e">
        <f>IF(VLOOKUP($A2063,'Concrete Beam Schedule'!$A$2:$Q$2902,X$2,0)&lt;&gt;H2063,"Beam Revised","")</f>
        <v>#N/A</v>
      </c>
      <c r="Y2063" s="7" t="e">
        <f>IF(VLOOKUP($A2063,'Concrete Beam Schedule'!$A$2:$Q$2902,Y$2,0)&lt;&gt;I2063,"Beam Revised","")</f>
        <v>#N/A</v>
      </c>
      <c r="Z2063" s="7" t="e">
        <f>IF(VLOOKUP($A2063,'Concrete Beam Schedule'!$A$2:$Q$2902,Z$2,0)&lt;&gt;J2063,"Beam Revised","")</f>
        <v>#N/A</v>
      </c>
      <c r="AA2063" s="7" t="e">
        <f>IF(VLOOKUP($A2063,'Concrete Beam Schedule'!$A$2:$Q$2902,AA$2,0)&lt;&gt;K2063,"Beam Revised","")</f>
        <v>#N/A</v>
      </c>
      <c r="AB2063" s="7" t="e">
        <f>IF(VLOOKUP($A2063,'Concrete Beam Schedule'!$A$2:$Q$2902,AB$2,0)&lt;&gt;L2063,"Beam Revised","")</f>
        <v>#N/A</v>
      </c>
      <c r="AC2063" s="7" t="e">
        <f>IF(VLOOKUP($A2063,'Concrete Beam Schedule'!$A$2:$Q$2902,AC$2,0)&lt;&gt;M2063,"Beam Revised","")</f>
        <v>#N/A</v>
      </c>
      <c r="AD2063" s="7" t="e">
        <f>IF(VLOOKUP($A2063,'Concrete Beam Schedule'!$A$2:$Q$2902,AD$2,0)&lt;&gt;N2063,"Beam Revised","")</f>
        <v>#N/A</v>
      </c>
      <c r="AE2063" s="7" t="e">
        <f>IF(VLOOKUP($A2063,'Concrete Beam Schedule'!$A$2:$Q$2902,AE$2,0)&lt;&gt;O2063,"Beam Revised","")</f>
        <v>#N/A</v>
      </c>
    </row>
    <row r="2064" spans="17:31" ht="20.100000000000001" customHeight="1" x14ac:dyDescent="0.25">
      <c r="Q2064" s="7">
        <f t="shared" si="32"/>
        <v>0</v>
      </c>
      <c r="R2064" s="7" t="e">
        <f>IF(VLOOKUP($A2064,'Concrete Beam Schedule'!$A$2:$Q$2902,R$2,0)&lt;&gt;B2064,VLOOKUP($A2064,'Concrete Beam Schedule'!$A$2:$Q$2902,R$2,0),"")</f>
        <v>#N/A</v>
      </c>
      <c r="S2064" s="7" t="e">
        <f>IF(VLOOKUP($A2064,'Concrete Beam Schedule'!$A$2:$Q$2902,S$2,0)&lt;&gt;C2064,VLOOKUP($A2064,'Concrete Beam Schedule'!$A$2:$Q$2902,S$2,0),"")</f>
        <v>#N/A</v>
      </c>
      <c r="T2064" s="7" t="e">
        <f>IF(VLOOKUP($A2064,'Concrete Beam Schedule'!$A$2:$Q$2902,T$2,0)&lt;&gt;D2064,"Beam Revised","")</f>
        <v>#N/A</v>
      </c>
      <c r="U2064" s="7" t="e">
        <f>IF(VLOOKUP($A2064,'Concrete Beam Schedule'!$A$2:$Q$2902,U$2,0)&lt;&gt;E2064,"Beam Revised","")</f>
        <v>#N/A</v>
      </c>
      <c r="V2064" s="7" t="e">
        <f>IF(VLOOKUP($A2064,'Concrete Beam Schedule'!$A$2:$Q$2902,V$2,0)&lt;&gt;F2064,"Beam Revised","")</f>
        <v>#N/A</v>
      </c>
      <c r="W2064" s="7" t="e">
        <f>IF(VLOOKUP($A2064,'Concrete Beam Schedule'!$A$2:$Q$2902,W$2,0)&lt;&gt;G2064,"Beam Revised","")</f>
        <v>#N/A</v>
      </c>
      <c r="X2064" s="7" t="e">
        <f>IF(VLOOKUP($A2064,'Concrete Beam Schedule'!$A$2:$Q$2902,X$2,0)&lt;&gt;H2064,"Beam Revised","")</f>
        <v>#N/A</v>
      </c>
      <c r="Y2064" s="7" t="e">
        <f>IF(VLOOKUP($A2064,'Concrete Beam Schedule'!$A$2:$Q$2902,Y$2,0)&lt;&gt;I2064,"Beam Revised","")</f>
        <v>#N/A</v>
      </c>
      <c r="Z2064" s="7" t="e">
        <f>IF(VLOOKUP($A2064,'Concrete Beam Schedule'!$A$2:$Q$2902,Z$2,0)&lt;&gt;J2064,"Beam Revised","")</f>
        <v>#N/A</v>
      </c>
      <c r="AA2064" s="7" t="e">
        <f>IF(VLOOKUP($A2064,'Concrete Beam Schedule'!$A$2:$Q$2902,AA$2,0)&lt;&gt;K2064,"Beam Revised","")</f>
        <v>#N/A</v>
      </c>
      <c r="AB2064" s="7" t="e">
        <f>IF(VLOOKUP($A2064,'Concrete Beam Schedule'!$A$2:$Q$2902,AB$2,0)&lt;&gt;L2064,"Beam Revised","")</f>
        <v>#N/A</v>
      </c>
      <c r="AC2064" s="7" t="e">
        <f>IF(VLOOKUP($A2064,'Concrete Beam Schedule'!$A$2:$Q$2902,AC$2,0)&lt;&gt;M2064,"Beam Revised","")</f>
        <v>#N/A</v>
      </c>
      <c r="AD2064" s="7" t="e">
        <f>IF(VLOOKUP($A2064,'Concrete Beam Schedule'!$A$2:$Q$2902,AD$2,0)&lt;&gt;N2064,"Beam Revised","")</f>
        <v>#N/A</v>
      </c>
      <c r="AE2064" s="7" t="e">
        <f>IF(VLOOKUP($A2064,'Concrete Beam Schedule'!$A$2:$Q$2902,AE$2,0)&lt;&gt;O2064,"Beam Revised","")</f>
        <v>#N/A</v>
      </c>
    </row>
    <row r="2065" spans="17:31" ht="20.100000000000001" customHeight="1" x14ac:dyDescent="0.25">
      <c r="Q2065" s="7">
        <f t="shared" si="32"/>
        <v>0</v>
      </c>
      <c r="R2065" s="7" t="e">
        <f>IF(VLOOKUP($A2065,'Concrete Beam Schedule'!$A$2:$Q$2902,R$2,0)&lt;&gt;B2065,VLOOKUP($A2065,'Concrete Beam Schedule'!$A$2:$Q$2902,R$2,0),"")</f>
        <v>#N/A</v>
      </c>
      <c r="S2065" s="7" t="e">
        <f>IF(VLOOKUP($A2065,'Concrete Beam Schedule'!$A$2:$Q$2902,S$2,0)&lt;&gt;C2065,VLOOKUP($A2065,'Concrete Beam Schedule'!$A$2:$Q$2902,S$2,0),"")</f>
        <v>#N/A</v>
      </c>
      <c r="T2065" s="7" t="e">
        <f>IF(VLOOKUP($A2065,'Concrete Beam Schedule'!$A$2:$Q$2902,T$2,0)&lt;&gt;D2065,"Beam Revised","")</f>
        <v>#N/A</v>
      </c>
      <c r="U2065" s="7" t="e">
        <f>IF(VLOOKUP($A2065,'Concrete Beam Schedule'!$A$2:$Q$2902,U$2,0)&lt;&gt;E2065,"Beam Revised","")</f>
        <v>#N/A</v>
      </c>
      <c r="V2065" s="7" t="e">
        <f>IF(VLOOKUP($A2065,'Concrete Beam Schedule'!$A$2:$Q$2902,V$2,0)&lt;&gt;F2065,"Beam Revised","")</f>
        <v>#N/A</v>
      </c>
      <c r="W2065" s="7" t="e">
        <f>IF(VLOOKUP($A2065,'Concrete Beam Schedule'!$A$2:$Q$2902,W$2,0)&lt;&gt;G2065,"Beam Revised","")</f>
        <v>#N/A</v>
      </c>
      <c r="X2065" s="7" t="e">
        <f>IF(VLOOKUP($A2065,'Concrete Beam Schedule'!$A$2:$Q$2902,X$2,0)&lt;&gt;H2065,"Beam Revised","")</f>
        <v>#N/A</v>
      </c>
      <c r="Y2065" s="7" t="e">
        <f>IF(VLOOKUP($A2065,'Concrete Beam Schedule'!$A$2:$Q$2902,Y$2,0)&lt;&gt;I2065,"Beam Revised","")</f>
        <v>#N/A</v>
      </c>
      <c r="Z2065" s="7" t="e">
        <f>IF(VLOOKUP($A2065,'Concrete Beam Schedule'!$A$2:$Q$2902,Z$2,0)&lt;&gt;J2065,"Beam Revised","")</f>
        <v>#N/A</v>
      </c>
      <c r="AA2065" s="7" t="e">
        <f>IF(VLOOKUP($A2065,'Concrete Beam Schedule'!$A$2:$Q$2902,AA$2,0)&lt;&gt;K2065,"Beam Revised","")</f>
        <v>#N/A</v>
      </c>
      <c r="AB2065" s="7" t="e">
        <f>IF(VLOOKUP($A2065,'Concrete Beam Schedule'!$A$2:$Q$2902,AB$2,0)&lt;&gt;L2065,"Beam Revised","")</f>
        <v>#N/A</v>
      </c>
      <c r="AC2065" s="7" t="e">
        <f>IF(VLOOKUP($A2065,'Concrete Beam Schedule'!$A$2:$Q$2902,AC$2,0)&lt;&gt;M2065,"Beam Revised","")</f>
        <v>#N/A</v>
      </c>
      <c r="AD2065" s="7" t="e">
        <f>IF(VLOOKUP($A2065,'Concrete Beam Schedule'!$A$2:$Q$2902,AD$2,0)&lt;&gt;N2065,"Beam Revised","")</f>
        <v>#N/A</v>
      </c>
      <c r="AE2065" s="7" t="e">
        <f>IF(VLOOKUP($A2065,'Concrete Beam Schedule'!$A$2:$Q$2902,AE$2,0)&lt;&gt;O2065,"Beam Revised","")</f>
        <v>#N/A</v>
      </c>
    </row>
    <row r="2066" spans="17:31" ht="20.100000000000001" customHeight="1" x14ac:dyDescent="0.25">
      <c r="Q2066" s="7">
        <f t="shared" si="32"/>
        <v>0</v>
      </c>
      <c r="R2066" s="7" t="e">
        <f>IF(VLOOKUP($A2066,'Concrete Beam Schedule'!$A$2:$Q$2902,R$2,0)&lt;&gt;B2066,VLOOKUP($A2066,'Concrete Beam Schedule'!$A$2:$Q$2902,R$2,0),"")</f>
        <v>#N/A</v>
      </c>
      <c r="S2066" s="7" t="e">
        <f>IF(VLOOKUP($A2066,'Concrete Beam Schedule'!$A$2:$Q$2902,S$2,0)&lt;&gt;C2066,VLOOKUP($A2066,'Concrete Beam Schedule'!$A$2:$Q$2902,S$2,0),"")</f>
        <v>#N/A</v>
      </c>
      <c r="T2066" s="7" t="e">
        <f>IF(VLOOKUP($A2066,'Concrete Beam Schedule'!$A$2:$Q$2902,T$2,0)&lt;&gt;D2066,"Beam Revised","")</f>
        <v>#N/A</v>
      </c>
      <c r="U2066" s="7" t="e">
        <f>IF(VLOOKUP($A2066,'Concrete Beam Schedule'!$A$2:$Q$2902,U$2,0)&lt;&gt;E2066,"Beam Revised","")</f>
        <v>#N/A</v>
      </c>
      <c r="V2066" s="7" t="e">
        <f>IF(VLOOKUP($A2066,'Concrete Beam Schedule'!$A$2:$Q$2902,V$2,0)&lt;&gt;F2066,"Beam Revised","")</f>
        <v>#N/A</v>
      </c>
      <c r="W2066" s="7" t="e">
        <f>IF(VLOOKUP($A2066,'Concrete Beam Schedule'!$A$2:$Q$2902,W$2,0)&lt;&gt;G2066,"Beam Revised","")</f>
        <v>#N/A</v>
      </c>
      <c r="X2066" s="7" t="e">
        <f>IF(VLOOKUP($A2066,'Concrete Beam Schedule'!$A$2:$Q$2902,X$2,0)&lt;&gt;H2066,"Beam Revised","")</f>
        <v>#N/A</v>
      </c>
      <c r="Y2066" s="7" t="e">
        <f>IF(VLOOKUP($A2066,'Concrete Beam Schedule'!$A$2:$Q$2902,Y$2,0)&lt;&gt;I2066,"Beam Revised","")</f>
        <v>#N/A</v>
      </c>
      <c r="Z2066" s="7" t="e">
        <f>IF(VLOOKUP($A2066,'Concrete Beam Schedule'!$A$2:$Q$2902,Z$2,0)&lt;&gt;J2066,"Beam Revised","")</f>
        <v>#N/A</v>
      </c>
      <c r="AA2066" s="7" t="e">
        <f>IF(VLOOKUP($A2066,'Concrete Beam Schedule'!$A$2:$Q$2902,AA$2,0)&lt;&gt;K2066,"Beam Revised","")</f>
        <v>#N/A</v>
      </c>
      <c r="AB2066" s="7" t="e">
        <f>IF(VLOOKUP($A2066,'Concrete Beam Schedule'!$A$2:$Q$2902,AB$2,0)&lt;&gt;L2066,"Beam Revised","")</f>
        <v>#N/A</v>
      </c>
      <c r="AC2066" s="7" t="e">
        <f>IF(VLOOKUP($A2066,'Concrete Beam Schedule'!$A$2:$Q$2902,AC$2,0)&lt;&gt;M2066,"Beam Revised","")</f>
        <v>#N/A</v>
      </c>
      <c r="AD2066" s="7" t="e">
        <f>IF(VLOOKUP($A2066,'Concrete Beam Schedule'!$A$2:$Q$2902,AD$2,0)&lt;&gt;N2066,"Beam Revised","")</f>
        <v>#N/A</v>
      </c>
      <c r="AE2066" s="7" t="e">
        <f>IF(VLOOKUP($A2066,'Concrete Beam Schedule'!$A$2:$Q$2902,AE$2,0)&lt;&gt;O2066,"Beam Revised","")</f>
        <v>#N/A</v>
      </c>
    </row>
    <row r="2067" spans="17:31" ht="20.100000000000001" customHeight="1" x14ac:dyDescent="0.25">
      <c r="Q2067" s="7">
        <f t="shared" si="32"/>
        <v>0</v>
      </c>
      <c r="R2067" s="7" t="e">
        <f>IF(VLOOKUP($A2067,'Concrete Beam Schedule'!$A$2:$Q$2902,R$2,0)&lt;&gt;B2067,VLOOKUP($A2067,'Concrete Beam Schedule'!$A$2:$Q$2902,R$2,0),"")</f>
        <v>#N/A</v>
      </c>
      <c r="S2067" s="7" t="e">
        <f>IF(VLOOKUP($A2067,'Concrete Beam Schedule'!$A$2:$Q$2902,S$2,0)&lt;&gt;C2067,VLOOKUP($A2067,'Concrete Beam Schedule'!$A$2:$Q$2902,S$2,0),"")</f>
        <v>#N/A</v>
      </c>
      <c r="T2067" s="7" t="e">
        <f>IF(VLOOKUP($A2067,'Concrete Beam Schedule'!$A$2:$Q$2902,T$2,0)&lt;&gt;D2067,"Beam Revised","")</f>
        <v>#N/A</v>
      </c>
      <c r="U2067" s="7" t="e">
        <f>IF(VLOOKUP($A2067,'Concrete Beam Schedule'!$A$2:$Q$2902,U$2,0)&lt;&gt;E2067,"Beam Revised","")</f>
        <v>#N/A</v>
      </c>
      <c r="V2067" s="7" t="e">
        <f>IF(VLOOKUP($A2067,'Concrete Beam Schedule'!$A$2:$Q$2902,V$2,0)&lt;&gt;F2067,"Beam Revised","")</f>
        <v>#N/A</v>
      </c>
      <c r="W2067" s="7" t="e">
        <f>IF(VLOOKUP($A2067,'Concrete Beam Schedule'!$A$2:$Q$2902,W$2,0)&lt;&gt;G2067,"Beam Revised","")</f>
        <v>#N/A</v>
      </c>
      <c r="X2067" s="7" t="e">
        <f>IF(VLOOKUP($A2067,'Concrete Beam Schedule'!$A$2:$Q$2902,X$2,0)&lt;&gt;H2067,"Beam Revised","")</f>
        <v>#N/A</v>
      </c>
      <c r="Y2067" s="7" t="e">
        <f>IF(VLOOKUP($A2067,'Concrete Beam Schedule'!$A$2:$Q$2902,Y$2,0)&lt;&gt;I2067,"Beam Revised","")</f>
        <v>#N/A</v>
      </c>
      <c r="Z2067" s="7" t="e">
        <f>IF(VLOOKUP($A2067,'Concrete Beam Schedule'!$A$2:$Q$2902,Z$2,0)&lt;&gt;J2067,"Beam Revised","")</f>
        <v>#N/A</v>
      </c>
      <c r="AA2067" s="7" t="e">
        <f>IF(VLOOKUP($A2067,'Concrete Beam Schedule'!$A$2:$Q$2902,AA$2,0)&lt;&gt;K2067,"Beam Revised","")</f>
        <v>#N/A</v>
      </c>
      <c r="AB2067" s="7" t="e">
        <f>IF(VLOOKUP($A2067,'Concrete Beam Schedule'!$A$2:$Q$2902,AB$2,0)&lt;&gt;L2067,"Beam Revised","")</f>
        <v>#N/A</v>
      </c>
      <c r="AC2067" s="7" t="e">
        <f>IF(VLOOKUP($A2067,'Concrete Beam Schedule'!$A$2:$Q$2902,AC$2,0)&lt;&gt;M2067,"Beam Revised","")</f>
        <v>#N/A</v>
      </c>
      <c r="AD2067" s="7" t="e">
        <f>IF(VLOOKUP($A2067,'Concrete Beam Schedule'!$A$2:$Q$2902,AD$2,0)&lt;&gt;N2067,"Beam Revised","")</f>
        <v>#N/A</v>
      </c>
      <c r="AE2067" s="7" t="e">
        <f>IF(VLOOKUP($A2067,'Concrete Beam Schedule'!$A$2:$Q$2902,AE$2,0)&lt;&gt;O2067,"Beam Revised","")</f>
        <v>#N/A</v>
      </c>
    </row>
    <row r="2068" spans="17:31" ht="20.100000000000001" customHeight="1" x14ac:dyDescent="0.25">
      <c r="Q2068" s="7">
        <f t="shared" si="32"/>
        <v>0</v>
      </c>
      <c r="R2068" s="7" t="e">
        <f>IF(VLOOKUP($A2068,'Concrete Beam Schedule'!$A$2:$Q$2902,R$2,0)&lt;&gt;B2068,VLOOKUP($A2068,'Concrete Beam Schedule'!$A$2:$Q$2902,R$2,0),"")</f>
        <v>#N/A</v>
      </c>
      <c r="S2068" s="7" t="e">
        <f>IF(VLOOKUP($A2068,'Concrete Beam Schedule'!$A$2:$Q$2902,S$2,0)&lt;&gt;C2068,VLOOKUP($A2068,'Concrete Beam Schedule'!$A$2:$Q$2902,S$2,0),"")</f>
        <v>#N/A</v>
      </c>
      <c r="T2068" s="7" t="e">
        <f>IF(VLOOKUP($A2068,'Concrete Beam Schedule'!$A$2:$Q$2902,T$2,0)&lt;&gt;D2068,"Beam Revised","")</f>
        <v>#N/A</v>
      </c>
      <c r="U2068" s="7" t="e">
        <f>IF(VLOOKUP($A2068,'Concrete Beam Schedule'!$A$2:$Q$2902,U$2,0)&lt;&gt;E2068,"Beam Revised","")</f>
        <v>#N/A</v>
      </c>
      <c r="V2068" s="7" t="e">
        <f>IF(VLOOKUP($A2068,'Concrete Beam Schedule'!$A$2:$Q$2902,V$2,0)&lt;&gt;F2068,"Beam Revised","")</f>
        <v>#N/A</v>
      </c>
      <c r="W2068" s="7" t="e">
        <f>IF(VLOOKUP($A2068,'Concrete Beam Schedule'!$A$2:$Q$2902,W$2,0)&lt;&gt;G2068,"Beam Revised","")</f>
        <v>#N/A</v>
      </c>
      <c r="X2068" s="7" t="e">
        <f>IF(VLOOKUP($A2068,'Concrete Beam Schedule'!$A$2:$Q$2902,X$2,0)&lt;&gt;H2068,"Beam Revised","")</f>
        <v>#N/A</v>
      </c>
      <c r="Y2068" s="7" t="e">
        <f>IF(VLOOKUP($A2068,'Concrete Beam Schedule'!$A$2:$Q$2902,Y$2,0)&lt;&gt;I2068,"Beam Revised","")</f>
        <v>#N/A</v>
      </c>
      <c r="Z2068" s="7" t="e">
        <f>IF(VLOOKUP($A2068,'Concrete Beam Schedule'!$A$2:$Q$2902,Z$2,0)&lt;&gt;J2068,"Beam Revised","")</f>
        <v>#N/A</v>
      </c>
      <c r="AA2068" s="7" t="e">
        <f>IF(VLOOKUP($A2068,'Concrete Beam Schedule'!$A$2:$Q$2902,AA$2,0)&lt;&gt;K2068,"Beam Revised","")</f>
        <v>#N/A</v>
      </c>
      <c r="AB2068" s="7" t="e">
        <f>IF(VLOOKUP($A2068,'Concrete Beam Schedule'!$A$2:$Q$2902,AB$2,0)&lt;&gt;L2068,"Beam Revised","")</f>
        <v>#N/A</v>
      </c>
      <c r="AC2068" s="7" t="e">
        <f>IF(VLOOKUP($A2068,'Concrete Beam Schedule'!$A$2:$Q$2902,AC$2,0)&lt;&gt;M2068,"Beam Revised","")</f>
        <v>#N/A</v>
      </c>
      <c r="AD2068" s="7" t="e">
        <f>IF(VLOOKUP($A2068,'Concrete Beam Schedule'!$A$2:$Q$2902,AD$2,0)&lt;&gt;N2068,"Beam Revised","")</f>
        <v>#N/A</v>
      </c>
      <c r="AE2068" s="7" t="e">
        <f>IF(VLOOKUP($A2068,'Concrete Beam Schedule'!$A$2:$Q$2902,AE$2,0)&lt;&gt;O2068,"Beam Revised","")</f>
        <v>#N/A</v>
      </c>
    </row>
    <row r="2069" spans="17:31" ht="20.100000000000001" customHeight="1" x14ac:dyDescent="0.25">
      <c r="Q2069" s="7">
        <f t="shared" si="32"/>
        <v>0</v>
      </c>
      <c r="R2069" s="7" t="e">
        <f>IF(VLOOKUP($A2069,'Concrete Beam Schedule'!$A$2:$Q$2902,R$2,0)&lt;&gt;B2069,VLOOKUP($A2069,'Concrete Beam Schedule'!$A$2:$Q$2902,R$2,0),"")</f>
        <v>#N/A</v>
      </c>
      <c r="S2069" s="7" t="e">
        <f>IF(VLOOKUP($A2069,'Concrete Beam Schedule'!$A$2:$Q$2902,S$2,0)&lt;&gt;C2069,VLOOKUP($A2069,'Concrete Beam Schedule'!$A$2:$Q$2902,S$2,0),"")</f>
        <v>#N/A</v>
      </c>
      <c r="T2069" s="7" t="e">
        <f>IF(VLOOKUP($A2069,'Concrete Beam Schedule'!$A$2:$Q$2902,T$2,0)&lt;&gt;D2069,"Beam Revised","")</f>
        <v>#N/A</v>
      </c>
      <c r="U2069" s="7" t="e">
        <f>IF(VLOOKUP($A2069,'Concrete Beam Schedule'!$A$2:$Q$2902,U$2,0)&lt;&gt;E2069,"Beam Revised","")</f>
        <v>#N/A</v>
      </c>
      <c r="V2069" s="7" t="e">
        <f>IF(VLOOKUP($A2069,'Concrete Beam Schedule'!$A$2:$Q$2902,V$2,0)&lt;&gt;F2069,"Beam Revised","")</f>
        <v>#N/A</v>
      </c>
      <c r="W2069" s="7" t="e">
        <f>IF(VLOOKUP($A2069,'Concrete Beam Schedule'!$A$2:$Q$2902,W$2,0)&lt;&gt;G2069,"Beam Revised","")</f>
        <v>#N/A</v>
      </c>
      <c r="X2069" s="7" t="e">
        <f>IF(VLOOKUP($A2069,'Concrete Beam Schedule'!$A$2:$Q$2902,X$2,0)&lt;&gt;H2069,"Beam Revised","")</f>
        <v>#N/A</v>
      </c>
      <c r="Y2069" s="7" t="e">
        <f>IF(VLOOKUP($A2069,'Concrete Beam Schedule'!$A$2:$Q$2902,Y$2,0)&lt;&gt;I2069,"Beam Revised","")</f>
        <v>#N/A</v>
      </c>
      <c r="Z2069" s="7" t="e">
        <f>IF(VLOOKUP($A2069,'Concrete Beam Schedule'!$A$2:$Q$2902,Z$2,0)&lt;&gt;J2069,"Beam Revised","")</f>
        <v>#N/A</v>
      </c>
      <c r="AA2069" s="7" t="e">
        <f>IF(VLOOKUP($A2069,'Concrete Beam Schedule'!$A$2:$Q$2902,AA$2,0)&lt;&gt;K2069,"Beam Revised","")</f>
        <v>#N/A</v>
      </c>
      <c r="AB2069" s="7" t="e">
        <f>IF(VLOOKUP($A2069,'Concrete Beam Schedule'!$A$2:$Q$2902,AB$2,0)&lt;&gt;L2069,"Beam Revised","")</f>
        <v>#N/A</v>
      </c>
      <c r="AC2069" s="7" t="e">
        <f>IF(VLOOKUP($A2069,'Concrete Beam Schedule'!$A$2:$Q$2902,AC$2,0)&lt;&gt;M2069,"Beam Revised","")</f>
        <v>#N/A</v>
      </c>
      <c r="AD2069" s="7" t="e">
        <f>IF(VLOOKUP($A2069,'Concrete Beam Schedule'!$A$2:$Q$2902,AD$2,0)&lt;&gt;N2069,"Beam Revised","")</f>
        <v>#N/A</v>
      </c>
      <c r="AE2069" s="7" t="e">
        <f>IF(VLOOKUP($A2069,'Concrete Beam Schedule'!$A$2:$Q$2902,AE$2,0)&lt;&gt;O2069,"Beam Revised","")</f>
        <v>#N/A</v>
      </c>
    </row>
    <row r="2070" spans="17:31" ht="20.100000000000001" customHeight="1" x14ac:dyDescent="0.25">
      <c r="Q2070" s="7">
        <f t="shared" si="32"/>
        <v>0</v>
      </c>
      <c r="R2070" s="7" t="e">
        <f>IF(VLOOKUP($A2070,'Concrete Beam Schedule'!$A$2:$Q$2902,R$2,0)&lt;&gt;B2070,VLOOKUP($A2070,'Concrete Beam Schedule'!$A$2:$Q$2902,R$2,0),"")</f>
        <v>#N/A</v>
      </c>
      <c r="S2070" s="7" t="e">
        <f>IF(VLOOKUP($A2070,'Concrete Beam Schedule'!$A$2:$Q$2902,S$2,0)&lt;&gt;C2070,VLOOKUP($A2070,'Concrete Beam Schedule'!$A$2:$Q$2902,S$2,0),"")</f>
        <v>#N/A</v>
      </c>
      <c r="T2070" s="7" t="e">
        <f>IF(VLOOKUP($A2070,'Concrete Beam Schedule'!$A$2:$Q$2902,T$2,0)&lt;&gt;D2070,"Beam Revised","")</f>
        <v>#N/A</v>
      </c>
      <c r="U2070" s="7" t="e">
        <f>IF(VLOOKUP($A2070,'Concrete Beam Schedule'!$A$2:$Q$2902,U$2,0)&lt;&gt;E2070,"Beam Revised","")</f>
        <v>#N/A</v>
      </c>
      <c r="V2070" s="7" t="e">
        <f>IF(VLOOKUP($A2070,'Concrete Beam Schedule'!$A$2:$Q$2902,V$2,0)&lt;&gt;F2070,"Beam Revised","")</f>
        <v>#N/A</v>
      </c>
      <c r="W2070" s="7" t="e">
        <f>IF(VLOOKUP($A2070,'Concrete Beam Schedule'!$A$2:$Q$2902,W$2,0)&lt;&gt;G2070,"Beam Revised","")</f>
        <v>#N/A</v>
      </c>
      <c r="X2070" s="7" t="e">
        <f>IF(VLOOKUP($A2070,'Concrete Beam Schedule'!$A$2:$Q$2902,X$2,0)&lt;&gt;H2070,"Beam Revised","")</f>
        <v>#N/A</v>
      </c>
      <c r="Y2070" s="7" t="e">
        <f>IF(VLOOKUP($A2070,'Concrete Beam Schedule'!$A$2:$Q$2902,Y$2,0)&lt;&gt;I2070,"Beam Revised","")</f>
        <v>#N/A</v>
      </c>
      <c r="Z2070" s="7" t="e">
        <f>IF(VLOOKUP($A2070,'Concrete Beam Schedule'!$A$2:$Q$2902,Z$2,0)&lt;&gt;J2070,"Beam Revised","")</f>
        <v>#N/A</v>
      </c>
      <c r="AA2070" s="7" t="e">
        <f>IF(VLOOKUP($A2070,'Concrete Beam Schedule'!$A$2:$Q$2902,AA$2,0)&lt;&gt;K2070,"Beam Revised","")</f>
        <v>#N/A</v>
      </c>
      <c r="AB2070" s="7" t="e">
        <f>IF(VLOOKUP($A2070,'Concrete Beam Schedule'!$A$2:$Q$2902,AB$2,0)&lt;&gt;L2070,"Beam Revised","")</f>
        <v>#N/A</v>
      </c>
      <c r="AC2070" s="7" t="e">
        <f>IF(VLOOKUP($A2070,'Concrete Beam Schedule'!$A$2:$Q$2902,AC$2,0)&lt;&gt;M2070,"Beam Revised","")</f>
        <v>#N/A</v>
      </c>
      <c r="AD2070" s="7" t="e">
        <f>IF(VLOOKUP($A2070,'Concrete Beam Schedule'!$A$2:$Q$2902,AD$2,0)&lt;&gt;N2070,"Beam Revised","")</f>
        <v>#N/A</v>
      </c>
      <c r="AE2070" s="7" t="e">
        <f>IF(VLOOKUP($A2070,'Concrete Beam Schedule'!$A$2:$Q$2902,AE$2,0)&lt;&gt;O2070,"Beam Revised","")</f>
        <v>#N/A</v>
      </c>
    </row>
    <row r="2071" spans="17:31" ht="20.100000000000001" customHeight="1" x14ac:dyDescent="0.25">
      <c r="Q2071" s="7">
        <f t="shared" si="32"/>
        <v>0</v>
      </c>
      <c r="R2071" s="7" t="e">
        <f>IF(VLOOKUP($A2071,'Concrete Beam Schedule'!$A$2:$Q$2902,R$2,0)&lt;&gt;B2071,VLOOKUP($A2071,'Concrete Beam Schedule'!$A$2:$Q$2902,R$2,0),"")</f>
        <v>#N/A</v>
      </c>
      <c r="S2071" s="7" t="e">
        <f>IF(VLOOKUP($A2071,'Concrete Beam Schedule'!$A$2:$Q$2902,S$2,0)&lt;&gt;C2071,VLOOKUP($A2071,'Concrete Beam Schedule'!$A$2:$Q$2902,S$2,0),"")</f>
        <v>#N/A</v>
      </c>
      <c r="T2071" s="7" t="e">
        <f>IF(VLOOKUP($A2071,'Concrete Beam Schedule'!$A$2:$Q$2902,T$2,0)&lt;&gt;D2071,"Beam Revised","")</f>
        <v>#N/A</v>
      </c>
      <c r="U2071" s="7" t="e">
        <f>IF(VLOOKUP($A2071,'Concrete Beam Schedule'!$A$2:$Q$2902,U$2,0)&lt;&gt;E2071,"Beam Revised","")</f>
        <v>#N/A</v>
      </c>
      <c r="V2071" s="7" t="e">
        <f>IF(VLOOKUP($A2071,'Concrete Beam Schedule'!$A$2:$Q$2902,V$2,0)&lt;&gt;F2071,"Beam Revised","")</f>
        <v>#N/A</v>
      </c>
      <c r="W2071" s="7" t="e">
        <f>IF(VLOOKUP($A2071,'Concrete Beam Schedule'!$A$2:$Q$2902,W$2,0)&lt;&gt;G2071,"Beam Revised","")</f>
        <v>#N/A</v>
      </c>
      <c r="X2071" s="7" t="e">
        <f>IF(VLOOKUP($A2071,'Concrete Beam Schedule'!$A$2:$Q$2902,X$2,0)&lt;&gt;H2071,"Beam Revised","")</f>
        <v>#N/A</v>
      </c>
      <c r="Y2071" s="7" t="e">
        <f>IF(VLOOKUP($A2071,'Concrete Beam Schedule'!$A$2:$Q$2902,Y$2,0)&lt;&gt;I2071,"Beam Revised","")</f>
        <v>#N/A</v>
      </c>
      <c r="Z2071" s="7" t="e">
        <f>IF(VLOOKUP($A2071,'Concrete Beam Schedule'!$A$2:$Q$2902,Z$2,0)&lt;&gt;J2071,"Beam Revised","")</f>
        <v>#N/A</v>
      </c>
      <c r="AA2071" s="7" t="e">
        <f>IF(VLOOKUP($A2071,'Concrete Beam Schedule'!$A$2:$Q$2902,AA$2,0)&lt;&gt;K2071,"Beam Revised","")</f>
        <v>#N/A</v>
      </c>
      <c r="AB2071" s="7" t="e">
        <f>IF(VLOOKUP($A2071,'Concrete Beam Schedule'!$A$2:$Q$2902,AB$2,0)&lt;&gt;L2071,"Beam Revised","")</f>
        <v>#N/A</v>
      </c>
      <c r="AC2071" s="7" t="e">
        <f>IF(VLOOKUP($A2071,'Concrete Beam Schedule'!$A$2:$Q$2902,AC$2,0)&lt;&gt;M2071,"Beam Revised","")</f>
        <v>#N/A</v>
      </c>
      <c r="AD2071" s="7" t="e">
        <f>IF(VLOOKUP($A2071,'Concrete Beam Schedule'!$A$2:$Q$2902,AD$2,0)&lt;&gt;N2071,"Beam Revised","")</f>
        <v>#N/A</v>
      </c>
      <c r="AE2071" s="7" t="e">
        <f>IF(VLOOKUP($A2071,'Concrete Beam Schedule'!$A$2:$Q$2902,AE$2,0)&lt;&gt;O2071,"Beam Revised","")</f>
        <v>#N/A</v>
      </c>
    </row>
    <row r="2072" spans="17:31" ht="20.100000000000001" customHeight="1" x14ac:dyDescent="0.25">
      <c r="Q2072" s="7">
        <f t="shared" si="32"/>
        <v>0</v>
      </c>
      <c r="R2072" s="7" t="e">
        <f>IF(VLOOKUP($A2072,'Concrete Beam Schedule'!$A$2:$Q$2902,R$2,0)&lt;&gt;B2072,VLOOKUP($A2072,'Concrete Beam Schedule'!$A$2:$Q$2902,R$2,0),"")</f>
        <v>#N/A</v>
      </c>
      <c r="S2072" s="7" t="e">
        <f>IF(VLOOKUP($A2072,'Concrete Beam Schedule'!$A$2:$Q$2902,S$2,0)&lt;&gt;C2072,VLOOKUP($A2072,'Concrete Beam Schedule'!$A$2:$Q$2902,S$2,0),"")</f>
        <v>#N/A</v>
      </c>
      <c r="T2072" s="7" t="e">
        <f>IF(VLOOKUP($A2072,'Concrete Beam Schedule'!$A$2:$Q$2902,T$2,0)&lt;&gt;D2072,"Beam Revised","")</f>
        <v>#N/A</v>
      </c>
      <c r="U2072" s="7" t="e">
        <f>IF(VLOOKUP($A2072,'Concrete Beam Schedule'!$A$2:$Q$2902,U$2,0)&lt;&gt;E2072,"Beam Revised","")</f>
        <v>#N/A</v>
      </c>
      <c r="V2072" s="7" t="e">
        <f>IF(VLOOKUP($A2072,'Concrete Beam Schedule'!$A$2:$Q$2902,V$2,0)&lt;&gt;F2072,"Beam Revised","")</f>
        <v>#N/A</v>
      </c>
      <c r="W2072" s="7" t="e">
        <f>IF(VLOOKUP($A2072,'Concrete Beam Schedule'!$A$2:$Q$2902,W$2,0)&lt;&gt;G2072,"Beam Revised","")</f>
        <v>#N/A</v>
      </c>
      <c r="X2072" s="7" t="e">
        <f>IF(VLOOKUP($A2072,'Concrete Beam Schedule'!$A$2:$Q$2902,X$2,0)&lt;&gt;H2072,"Beam Revised","")</f>
        <v>#N/A</v>
      </c>
      <c r="Y2072" s="7" t="e">
        <f>IF(VLOOKUP($A2072,'Concrete Beam Schedule'!$A$2:$Q$2902,Y$2,0)&lt;&gt;I2072,"Beam Revised","")</f>
        <v>#N/A</v>
      </c>
      <c r="Z2072" s="7" t="e">
        <f>IF(VLOOKUP($A2072,'Concrete Beam Schedule'!$A$2:$Q$2902,Z$2,0)&lt;&gt;J2072,"Beam Revised","")</f>
        <v>#N/A</v>
      </c>
      <c r="AA2072" s="7" t="e">
        <f>IF(VLOOKUP($A2072,'Concrete Beam Schedule'!$A$2:$Q$2902,AA$2,0)&lt;&gt;K2072,"Beam Revised","")</f>
        <v>#N/A</v>
      </c>
      <c r="AB2072" s="7" t="e">
        <f>IF(VLOOKUP($A2072,'Concrete Beam Schedule'!$A$2:$Q$2902,AB$2,0)&lt;&gt;L2072,"Beam Revised","")</f>
        <v>#N/A</v>
      </c>
      <c r="AC2072" s="7" t="e">
        <f>IF(VLOOKUP($A2072,'Concrete Beam Schedule'!$A$2:$Q$2902,AC$2,0)&lt;&gt;M2072,"Beam Revised","")</f>
        <v>#N/A</v>
      </c>
      <c r="AD2072" s="7" t="e">
        <f>IF(VLOOKUP($A2072,'Concrete Beam Schedule'!$A$2:$Q$2902,AD$2,0)&lt;&gt;N2072,"Beam Revised","")</f>
        <v>#N/A</v>
      </c>
      <c r="AE2072" s="7" t="e">
        <f>IF(VLOOKUP($A2072,'Concrete Beam Schedule'!$A$2:$Q$2902,AE$2,0)&lt;&gt;O2072,"Beam Revised","")</f>
        <v>#N/A</v>
      </c>
    </row>
    <row r="2073" spans="17:31" ht="20.100000000000001" customHeight="1" x14ac:dyDescent="0.25">
      <c r="Q2073" s="7">
        <f t="shared" si="32"/>
        <v>0</v>
      </c>
      <c r="R2073" s="7" t="e">
        <f>IF(VLOOKUP($A2073,'Concrete Beam Schedule'!$A$2:$Q$2902,R$2,0)&lt;&gt;B2073,VLOOKUP($A2073,'Concrete Beam Schedule'!$A$2:$Q$2902,R$2,0),"")</f>
        <v>#N/A</v>
      </c>
      <c r="S2073" s="7" t="e">
        <f>IF(VLOOKUP($A2073,'Concrete Beam Schedule'!$A$2:$Q$2902,S$2,0)&lt;&gt;C2073,VLOOKUP($A2073,'Concrete Beam Schedule'!$A$2:$Q$2902,S$2,0),"")</f>
        <v>#N/A</v>
      </c>
      <c r="T2073" s="7" t="e">
        <f>IF(VLOOKUP($A2073,'Concrete Beam Schedule'!$A$2:$Q$2902,T$2,0)&lt;&gt;D2073,"Beam Revised","")</f>
        <v>#N/A</v>
      </c>
      <c r="U2073" s="7" t="e">
        <f>IF(VLOOKUP($A2073,'Concrete Beam Schedule'!$A$2:$Q$2902,U$2,0)&lt;&gt;E2073,"Beam Revised","")</f>
        <v>#N/A</v>
      </c>
      <c r="V2073" s="7" t="e">
        <f>IF(VLOOKUP($A2073,'Concrete Beam Schedule'!$A$2:$Q$2902,V$2,0)&lt;&gt;F2073,"Beam Revised","")</f>
        <v>#N/A</v>
      </c>
      <c r="W2073" s="7" t="e">
        <f>IF(VLOOKUP($A2073,'Concrete Beam Schedule'!$A$2:$Q$2902,W$2,0)&lt;&gt;G2073,"Beam Revised","")</f>
        <v>#N/A</v>
      </c>
      <c r="X2073" s="7" t="e">
        <f>IF(VLOOKUP($A2073,'Concrete Beam Schedule'!$A$2:$Q$2902,X$2,0)&lt;&gt;H2073,"Beam Revised","")</f>
        <v>#N/A</v>
      </c>
      <c r="Y2073" s="7" t="e">
        <f>IF(VLOOKUP($A2073,'Concrete Beam Schedule'!$A$2:$Q$2902,Y$2,0)&lt;&gt;I2073,"Beam Revised","")</f>
        <v>#N/A</v>
      </c>
      <c r="Z2073" s="7" t="e">
        <f>IF(VLOOKUP($A2073,'Concrete Beam Schedule'!$A$2:$Q$2902,Z$2,0)&lt;&gt;J2073,"Beam Revised","")</f>
        <v>#N/A</v>
      </c>
      <c r="AA2073" s="7" t="e">
        <f>IF(VLOOKUP($A2073,'Concrete Beam Schedule'!$A$2:$Q$2902,AA$2,0)&lt;&gt;K2073,"Beam Revised","")</f>
        <v>#N/A</v>
      </c>
      <c r="AB2073" s="7" t="e">
        <f>IF(VLOOKUP($A2073,'Concrete Beam Schedule'!$A$2:$Q$2902,AB$2,0)&lt;&gt;L2073,"Beam Revised","")</f>
        <v>#N/A</v>
      </c>
      <c r="AC2073" s="7" t="e">
        <f>IF(VLOOKUP($A2073,'Concrete Beam Schedule'!$A$2:$Q$2902,AC$2,0)&lt;&gt;M2073,"Beam Revised","")</f>
        <v>#N/A</v>
      </c>
      <c r="AD2073" s="7" t="e">
        <f>IF(VLOOKUP($A2073,'Concrete Beam Schedule'!$A$2:$Q$2902,AD$2,0)&lt;&gt;N2073,"Beam Revised","")</f>
        <v>#N/A</v>
      </c>
      <c r="AE2073" s="7" t="e">
        <f>IF(VLOOKUP($A2073,'Concrete Beam Schedule'!$A$2:$Q$2902,AE$2,0)&lt;&gt;O2073,"Beam Revised","")</f>
        <v>#N/A</v>
      </c>
    </row>
    <row r="2074" spans="17:31" ht="20.100000000000001" customHeight="1" x14ac:dyDescent="0.25">
      <c r="Q2074" s="7">
        <f t="shared" si="32"/>
        <v>0</v>
      </c>
      <c r="R2074" s="7" t="e">
        <f>IF(VLOOKUP($A2074,'Concrete Beam Schedule'!$A$2:$Q$2902,R$2,0)&lt;&gt;B2074,VLOOKUP($A2074,'Concrete Beam Schedule'!$A$2:$Q$2902,R$2,0),"")</f>
        <v>#N/A</v>
      </c>
      <c r="S2074" s="7" t="e">
        <f>IF(VLOOKUP($A2074,'Concrete Beam Schedule'!$A$2:$Q$2902,S$2,0)&lt;&gt;C2074,VLOOKUP($A2074,'Concrete Beam Schedule'!$A$2:$Q$2902,S$2,0),"")</f>
        <v>#N/A</v>
      </c>
      <c r="T2074" s="7" t="e">
        <f>IF(VLOOKUP($A2074,'Concrete Beam Schedule'!$A$2:$Q$2902,T$2,0)&lt;&gt;D2074,"Beam Revised","")</f>
        <v>#N/A</v>
      </c>
      <c r="U2074" s="7" t="e">
        <f>IF(VLOOKUP($A2074,'Concrete Beam Schedule'!$A$2:$Q$2902,U$2,0)&lt;&gt;E2074,"Beam Revised","")</f>
        <v>#N/A</v>
      </c>
      <c r="V2074" s="7" t="e">
        <f>IF(VLOOKUP($A2074,'Concrete Beam Schedule'!$A$2:$Q$2902,V$2,0)&lt;&gt;F2074,"Beam Revised","")</f>
        <v>#N/A</v>
      </c>
      <c r="W2074" s="7" t="e">
        <f>IF(VLOOKUP($A2074,'Concrete Beam Schedule'!$A$2:$Q$2902,W$2,0)&lt;&gt;G2074,"Beam Revised","")</f>
        <v>#N/A</v>
      </c>
      <c r="X2074" s="7" t="e">
        <f>IF(VLOOKUP($A2074,'Concrete Beam Schedule'!$A$2:$Q$2902,X$2,0)&lt;&gt;H2074,"Beam Revised","")</f>
        <v>#N/A</v>
      </c>
      <c r="Y2074" s="7" t="e">
        <f>IF(VLOOKUP($A2074,'Concrete Beam Schedule'!$A$2:$Q$2902,Y$2,0)&lt;&gt;I2074,"Beam Revised","")</f>
        <v>#N/A</v>
      </c>
      <c r="Z2074" s="7" t="e">
        <f>IF(VLOOKUP($A2074,'Concrete Beam Schedule'!$A$2:$Q$2902,Z$2,0)&lt;&gt;J2074,"Beam Revised","")</f>
        <v>#N/A</v>
      </c>
      <c r="AA2074" s="7" t="e">
        <f>IF(VLOOKUP($A2074,'Concrete Beam Schedule'!$A$2:$Q$2902,AA$2,0)&lt;&gt;K2074,"Beam Revised","")</f>
        <v>#N/A</v>
      </c>
      <c r="AB2074" s="7" t="e">
        <f>IF(VLOOKUP($A2074,'Concrete Beam Schedule'!$A$2:$Q$2902,AB$2,0)&lt;&gt;L2074,"Beam Revised","")</f>
        <v>#N/A</v>
      </c>
      <c r="AC2074" s="7" t="e">
        <f>IF(VLOOKUP($A2074,'Concrete Beam Schedule'!$A$2:$Q$2902,AC$2,0)&lt;&gt;M2074,"Beam Revised","")</f>
        <v>#N/A</v>
      </c>
      <c r="AD2074" s="7" t="e">
        <f>IF(VLOOKUP($A2074,'Concrete Beam Schedule'!$A$2:$Q$2902,AD$2,0)&lt;&gt;N2074,"Beam Revised","")</f>
        <v>#N/A</v>
      </c>
      <c r="AE2074" s="7" t="e">
        <f>IF(VLOOKUP($A2074,'Concrete Beam Schedule'!$A$2:$Q$2902,AE$2,0)&lt;&gt;O2074,"Beam Revised","")</f>
        <v>#N/A</v>
      </c>
    </row>
    <row r="2075" spans="17:31" ht="20.100000000000001" customHeight="1" x14ac:dyDescent="0.25">
      <c r="Q2075" s="7">
        <f t="shared" si="32"/>
        <v>0</v>
      </c>
      <c r="R2075" s="7" t="e">
        <f>IF(VLOOKUP($A2075,'Concrete Beam Schedule'!$A$2:$Q$2902,R$2,0)&lt;&gt;B2075,VLOOKUP($A2075,'Concrete Beam Schedule'!$A$2:$Q$2902,R$2,0),"")</f>
        <v>#N/A</v>
      </c>
      <c r="S2075" s="7" t="e">
        <f>IF(VLOOKUP($A2075,'Concrete Beam Schedule'!$A$2:$Q$2902,S$2,0)&lt;&gt;C2075,VLOOKUP($A2075,'Concrete Beam Schedule'!$A$2:$Q$2902,S$2,0),"")</f>
        <v>#N/A</v>
      </c>
      <c r="T2075" s="7" t="e">
        <f>IF(VLOOKUP($A2075,'Concrete Beam Schedule'!$A$2:$Q$2902,T$2,0)&lt;&gt;D2075,"Beam Revised","")</f>
        <v>#N/A</v>
      </c>
      <c r="U2075" s="7" t="e">
        <f>IF(VLOOKUP($A2075,'Concrete Beam Schedule'!$A$2:$Q$2902,U$2,0)&lt;&gt;E2075,"Beam Revised","")</f>
        <v>#N/A</v>
      </c>
      <c r="V2075" s="7" t="e">
        <f>IF(VLOOKUP($A2075,'Concrete Beam Schedule'!$A$2:$Q$2902,V$2,0)&lt;&gt;F2075,"Beam Revised","")</f>
        <v>#N/A</v>
      </c>
      <c r="W2075" s="7" t="e">
        <f>IF(VLOOKUP($A2075,'Concrete Beam Schedule'!$A$2:$Q$2902,W$2,0)&lt;&gt;G2075,"Beam Revised","")</f>
        <v>#N/A</v>
      </c>
      <c r="X2075" s="7" t="e">
        <f>IF(VLOOKUP($A2075,'Concrete Beam Schedule'!$A$2:$Q$2902,X$2,0)&lt;&gt;H2075,"Beam Revised","")</f>
        <v>#N/A</v>
      </c>
      <c r="Y2075" s="7" t="e">
        <f>IF(VLOOKUP($A2075,'Concrete Beam Schedule'!$A$2:$Q$2902,Y$2,0)&lt;&gt;I2075,"Beam Revised","")</f>
        <v>#N/A</v>
      </c>
      <c r="Z2075" s="7" t="e">
        <f>IF(VLOOKUP($A2075,'Concrete Beam Schedule'!$A$2:$Q$2902,Z$2,0)&lt;&gt;J2075,"Beam Revised","")</f>
        <v>#N/A</v>
      </c>
      <c r="AA2075" s="7" t="e">
        <f>IF(VLOOKUP($A2075,'Concrete Beam Schedule'!$A$2:$Q$2902,AA$2,0)&lt;&gt;K2075,"Beam Revised","")</f>
        <v>#N/A</v>
      </c>
      <c r="AB2075" s="7" t="e">
        <f>IF(VLOOKUP($A2075,'Concrete Beam Schedule'!$A$2:$Q$2902,AB$2,0)&lt;&gt;L2075,"Beam Revised","")</f>
        <v>#N/A</v>
      </c>
      <c r="AC2075" s="7" t="e">
        <f>IF(VLOOKUP($A2075,'Concrete Beam Schedule'!$A$2:$Q$2902,AC$2,0)&lt;&gt;M2075,"Beam Revised","")</f>
        <v>#N/A</v>
      </c>
      <c r="AD2075" s="7" t="e">
        <f>IF(VLOOKUP($A2075,'Concrete Beam Schedule'!$A$2:$Q$2902,AD$2,0)&lt;&gt;N2075,"Beam Revised","")</f>
        <v>#N/A</v>
      </c>
      <c r="AE2075" s="7" t="e">
        <f>IF(VLOOKUP($A2075,'Concrete Beam Schedule'!$A$2:$Q$2902,AE$2,0)&lt;&gt;O2075,"Beam Revised","")</f>
        <v>#N/A</v>
      </c>
    </row>
    <row r="2076" spans="17:31" ht="20.100000000000001" customHeight="1" x14ac:dyDescent="0.25">
      <c r="Q2076" s="7">
        <f t="shared" si="32"/>
        <v>0</v>
      </c>
      <c r="R2076" s="7" t="e">
        <f>IF(VLOOKUP($A2076,'Concrete Beam Schedule'!$A$2:$Q$2902,R$2,0)&lt;&gt;B2076,VLOOKUP($A2076,'Concrete Beam Schedule'!$A$2:$Q$2902,R$2,0),"")</f>
        <v>#N/A</v>
      </c>
      <c r="S2076" s="7" t="e">
        <f>IF(VLOOKUP($A2076,'Concrete Beam Schedule'!$A$2:$Q$2902,S$2,0)&lt;&gt;C2076,VLOOKUP($A2076,'Concrete Beam Schedule'!$A$2:$Q$2902,S$2,0),"")</f>
        <v>#N/A</v>
      </c>
      <c r="T2076" s="7" t="e">
        <f>IF(VLOOKUP($A2076,'Concrete Beam Schedule'!$A$2:$Q$2902,T$2,0)&lt;&gt;D2076,"Beam Revised","")</f>
        <v>#N/A</v>
      </c>
      <c r="U2076" s="7" t="e">
        <f>IF(VLOOKUP($A2076,'Concrete Beam Schedule'!$A$2:$Q$2902,U$2,0)&lt;&gt;E2076,"Beam Revised","")</f>
        <v>#N/A</v>
      </c>
      <c r="V2076" s="7" t="e">
        <f>IF(VLOOKUP($A2076,'Concrete Beam Schedule'!$A$2:$Q$2902,V$2,0)&lt;&gt;F2076,"Beam Revised","")</f>
        <v>#N/A</v>
      </c>
      <c r="W2076" s="7" t="e">
        <f>IF(VLOOKUP($A2076,'Concrete Beam Schedule'!$A$2:$Q$2902,W$2,0)&lt;&gt;G2076,"Beam Revised","")</f>
        <v>#N/A</v>
      </c>
      <c r="X2076" s="7" t="e">
        <f>IF(VLOOKUP($A2076,'Concrete Beam Schedule'!$A$2:$Q$2902,X$2,0)&lt;&gt;H2076,"Beam Revised","")</f>
        <v>#N/A</v>
      </c>
      <c r="Y2076" s="7" t="e">
        <f>IF(VLOOKUP($A2076,'Concrete Beam Schedule'!$A$2:$Q$2902,Y$2,0)&lt;&gt;I2076,"Beam Revised","")</f>
        <v>#N/A</v>
      </c>
      <c r="Z2076" s="7" t="e">
        <f>IF(VLOOKUP($A2076,'Concrete Beam Schedule'!$A$2:$Q$2902,Z$2,0)&lt;&gt;J2076,"Beam Revised","")</f>
        <v>#N/A</v>
      </c>
      <c r="AA2076" s="7" t="e">
        <f>IF(VLOOKUP($A2076,'Concrete Beam Schedule'!$A$2:$Q$2902,AA$2,0)&lt;&gt;K2076,"Beam Revised","")</f>
        <v>#N/A</v>
      </c>
      <c r="AB2076" s="7" t="e">
        <f>IF(VLOOKUP($A2076,'Concrete Beam Schedule'!$A$2:$Q$2902,AB$2,0)&lt;&gt;L2076,"Beam Revised","")</f>
        <v>#N/A</v>
      </c>
      <c r="AC2076" s="7" t="e">
        <f>IF(VLOOKUP($A2076,'Concrete Beam Schedule'!$A$2:$Q$2902,AC$2,0)&lt;&gt;M2076,"Beam Revised","")</f>
        <v>#N/A</v>
      </c>
      <c r="AD2076" s="7" t="e">
        <f>IF(VLOOKUP($A2076,'Concrete Beam Schedule'!$A$2:$Q$2902,AD$2,0)&lt;&gt;N2076,"Beam Revised","")</f>
        <v>#N/A</v>
      </c>
      <c r="AE2076" s="7" t="e">
        <f>IF(VLOOKUP($A2076,'Concrete Beam Schedule'!$A$2:$Q$2902,AE$2,0)&lt;&gt;O2076,"Beam Revised","")</f>
        <v>#N/A</v>
      </c>
    </row>
    <row r="2077" spans="17:31" ht="20.100000000000001" customHeight="1" x14ac:dyDescent="0.25">
      <c r="Q2077" s="7">
        <f t="shared" si="32"/>
        <v>0</v>
      </c>
      <c r="R2077" s="7" t="e">
        <f>IF(VLOOKUP($A2077,'Concrete Beam Schedule'!$A$2:$Q$2902,R$2,0)&lt;&gt;B2077,VLOOKUP($A2077,'Concrete Beam Schedule'!$A$2:$Q$2902,R$2,0),"")</f>
        <v>#N/A</v>
      </c>
      <c r="S2077" s="7" t="e">
        <f>IF(VLOOKUP($A2077,'Concrete Beam Schedule'!$A$2:$Q$2902,S$2,0)&lt;&gt;C2077,VLOOKUP($A2077,'Concrete Beam Schedule'!$A$2:$Q$2902,S$2,0),"")</f>
        <v>#N/A</v>
      </c>
      <c r="T2077" s="7" t="e">
        <f>IF(VLOOKUP($A2077,'Concrete Beam Schedule'!$A$2:$Q$2902,T$2,0)&lt;&gt;D2077,"Beam Revised","")</f>
        <v>#N/A</v>
      </c>
      <c r="U2077" s="7" t="e">
        <f>IF(VLOOKUP($A2077,'Concrete Beam Schedule'!$A$2:$Q$2902,U$2,0)&lt;&gt;E2077,"Beam Revised","")</f>
        <v>#N/A</v>
      </c>
      <c r="V2077" s="7" t="e">
        <f>IF(VLOOKUP($A2077,'Concrete Beam Schedule'!$A$2:$Q$2902,V$2,0)&lt;&gt;F2077,"Beam Revised","")</f>
        <v>#N/A</v>
      </c>
      <c r="W2077" s="7" t="e">
        <f>IF(VLOOKUP($A2077,'Concrete Beam Schedule'!$A$2:$Q$2902,W$2,0)&lt;&gt;G2077,"Beam Revised","")</f>
        <v>#N/A</v>
      </c>
      <c r="X2077" s="7" t="e">
        <f>IF(VLOOKUP($A2077,'Concrete Beam Schedule'!$A$2:$Q$2902,X$2,0)&lt;&gt;H2077,"Beam Revised","")</f>
        <v>#N/A</v>
      </c>
      <c r="Y2077" s="7" t="e">
        <f>IF(VLOOKUP($A2077,'Concrete Beam Schedule'!$A$2:$Q$2902,Y$2,0)&lt;&gt;I2077,"Beam Revised","")</f>
        <v>#N/A</v>
      </c>
      <c r="Z2077" s="7" t="e">
        <f>IF(VLOOKUP($A2077,'Concrete Beam Schedule'!$A$2:$Q$2902,Z$2,0)&lt;&gt;J2077,"Beam Revised","")</f>
        <v>#N/A</v>
      </c>
      <c r="AA2077" s="7" t="e">
        <f>IF(VLOOKUP($A2077,'Concrete Beam Schedule'!$A$2:$Q$2902,AA$2,0)&lt;&gt;K2077,"Beam Revised","")</f>
        <v>#N/A</v>
      </c>
      <c r="AB2077" s="7" t="e">
        <f>IF(VLOOKUP($A2077,'Concrete Beam Schedule'!$A$2:$Q$2902,AB$2,0)&lt;&gt;L2077,"Beam Revised","")</f>
        <v>#N/A</v>
      </c>
      <c r="AC2077" s="7" t="e">
        <f>IF(VLOOKUP($A2077,'Concrete Beam Schedule'!$A$2:$Q$2902,AC$2,0)&lt;&gt;M2077,"Beam Revised","")</f>
        <v>#N/A</v>
      </c>
      <c r="AD2077" s="7" t="e">
        <f>IF(VLOOKUP($A2077,'Concrete Beam Schedule'!$A$2:$Q$2902,AD$2,0)&lt;&gt;N2077,"Beam Revised","")</f>
        <v>#N/A</v>
      </c>
      <c r="AE2077" s="7" t="e">
        <f>IF(VLOOKUP($A2077,'Concrete Beam Schedule'!$A$2:$Q$2902,AE$2,0)&lt;&gt;O2077,"Beam Revised","")</f>
        <v>#N/A</v>
      </c>
    </row>
    <row r="2078" spans="17:31" ht="20.100000000000001" customHeight="1" x14ac:dyDescent="0.25">
      <c r="Q2078" s="7">
        <f t="shared" si="32"/>
        <v>0</v>
      </c>
      <c r="R2078" s="7" t="e">
        <f>IF(VLOOKUP($A2078,'Concrete Beam Schedule'!$A$2:$Q$2902,R$2,0)&lt;&gt;B2078,VLOOKUP($A2078,'Concrete Beam Schedule'!$A$2:$Q$2902,R$2,0),"")</f>
        <v>#N/A</v>
      </c>
      <c r="S2078" s="7" t="e">
        <f>IF(VLOOKUP($A2078,'Concrete Beam Schedule'!$A$2:$Q$2902,S$2,0)&lt;&gt;C2078,VLOOKUP($A2078,'Concrete Beam Schedule'!$A$2:$Q$2902,S$2,0),"")</f>
        <v>#N/A</v>
      </c>
      <c r="T2078" s="7" t="e">
        <f>IF(VLOOKUP($A2078,'Concrete Beam Schedule'!$A$2:$Q$2902,T$2,0)&lt;&gt;D2078,"Beam Revised","")</f>
        <v>#N/A</v>
      </c>
      <c r="U2078" s="7" t="e">
        <f>IF(VLOOKUP($A2078,'Concrete Beam Schedule'!$A$2:$Q$2902,U$2,0)&lt;&gt;E2078,"Beam Revised","")</f>
        <v>#N/A</v>
      </c>
      <c r="V2078" s="7" t="e">
        <f>IF(VLOOKUP($A2078,'Concrete Beam Schedule'!$A$2:$Q$2902,V$2,0)&lt;&gt;F2078,"Beam Revised","")</f>
        <v>#N/A</v>
      </c>
      <c r="W2078" s="7" t="e">
        <f>IF(VLOOKUP($A2078,'Concrete Beam Schedule'!$A$2:$Q$2902,W$2,0)&lt;&gt;G2078,"Beam Revised","")</f>
        <v>#N/A</v>
      </c>
      <c r="X2078" s="7" t="e">
        <f>IF(VLOOKUP($A2078,'Concrete Beam Schedule'!$A$2:$Q$2902,X$2,0)&lt;&gt;H2078,"Beam Revised","")</f>
        <v>#N/A</v>
      </c>
      <c r="Y2078" s="7" t="e">
        <f>IF(VLOOKUP($A2078,'Concrete Beam Schedule'!$A$2:$Q$2902,Y$2,0)&lt;&gt;I2078,"Beam Revised","")</f>
        <v>#N/A</v>
      </c>
      <c r="Z2078" s="7" t="e">
        <f>IF(VLOOKUP($A2078,'Concrete Beam Schedule'!$A$2:$Q$2902,Z$2,0)&lt;&gt;J2078,"Beam Revised","")</f>
        <v>#N/A</v>
      </c>
      <c r="AA2078" s="7" t="e">
        <f>IF(VLOOKUP($A2078,'Concrete Beam Schedule'!$A$2:$Q$2902,AA$2,0)&lt;&gt;K2078,"Beam Revised","")</f>
        <v>#N/A</v>
      </c>
      <c r="AB2078" s="7" t="e">
        <f>IF(VLOOKUP($A2078,'Concrete Beam Schedule'!$A$2:$Q$2902,AB$2,0)&lt;&gt;L2078,"Beam Revised","")</f>
        <v>#N/A</v>
      </c>
      <c r="AC2078" s="7" t="e">
        <f>IF(VLOOKUP($A2078,'Concrete Beam Schedule'!$A$2:$Q$2902,AC$2,0)&lt;&gt;M2078,"Beam Revised","")</f>
        <v>#N/A</v>
      </c>
      <c r="AD2078" s="7" t="e">
        <f>IF(VLOOKUP($A2078,'Concrete Beam Schedule'!$A$2:$Q$2902,AD$2,0)&lt;&gt;N2078,"Beam Revised","")</f>
        <v>#N/A</v>
      </c>
      <c r="AE2078" s="7" t="e">
        <f>IF(VLOOKUP($A2078,'Concrete Beam Schedule'!$A$2:$Q$2902,AE$2,0)&lt;&gt;O2078,"Beam Revised","")</f>
        <v>#N/A</v>
      </c>
    </row>
    <row r="2079" spans="17:31" ht="20.100000000000001" customHeight="1" x14ac:dyDescent="0.25">
      <c r="Q2079" s="7">
        <f t="shared" si="32"/>
        <v>0</v>
      </c>
      <c r="R2079" s="7" t="e">
        <f>IF(VLOOKUP($A2079,'Concrete Beam Schedule'!$A$2:$Q$2902,R$2,0)&lt;&gt;B2079,VLOOKUP($A2079,'Concrete Beam Schedule'!$A$2:$Q$2902,R$2,0),"")</f>
        <v>#N/A</v>
      </c>
      <c r="S2079" s="7" t="e">
        <f>IF(VLOOKUP($A2079,'Concrete Beam Schedule'!$A$2:$Q$2902,S$2,0)&lt;&gt;C2079,VLOOKUP($A2079,'Concrete Beam Schedule'!$A$2:$Q$2902,S$2,0),"")</f>
        <v>#N/A</v>
      </c>
      <c r="T2079" s="7" t="e">
        <f>IF(VLOOKUP($A2079,'Concrete Beam Schedule'!$A$2:$Q$2902,T$2,0)&lt;&gt;D2079,"Beam Revised","")</f>
        <v>#N/A</v>
      </c>
      <c r="U2079" s="7" t="e">
        <f>IF(VLOOKUP($A2079,'Concrete Beam Schedule'!$A$2:$Q$2902,U$2,0)&lt;&gt;E2079,"Beam Revised","")</f>
        <v>#N/A</v>
      </c>
      <c r="V2079" s="7" t="e">
        <f>IF(VLOOKUP($A2079,'Concrete Beam Schedule'!$A$2:$Q$2902,V$2,0)&lt;&gt;F2079,"Beam Revised","")</f>
        <v>#N/A</v>
      </c>
      <c r="W2079" s="7" t="e">
        <f>IF(VLOOKUP($A2079,'Concrete Beam Schedule'!$A$2:$Q$2902,W$2,0)&lt;&gt;G2079,"Beam Revised","")</f>
        <v>#N/A</v>
      </c>
      <c r="X2079" s="7" t="e">
        <f>IF(VLOOKUP($A2079,'Concrete Beam Schedule'!$A$2:$Q$2902,X$2,0)&lt;&gt;H2079,"Beam Revised","")</f>
        <v>#N/A</v>
      </c>
      <c r="Y2079" s="7" t="e">
        <f>IF(VLOOKUP($A2079,'Concrete Beam Schedule'!$A$2:$Q$2902,Y$2,0)&lt;&gt;I2079,"Beam Revised","")</f>
        <v>#N/A</v>
      </c>
      <c r="Z2079" s="7" t="e">
        <f>IF(VLOOKUP($A2079,'Concrete Beam Schedule'!$A$2:$Q$2902,Z$2,0)&lt;&gt;J2079,"Beam Revised","")</f>
        <v>#N/A</v>
      </c>
      <c r="AA2079" s="7" t="e">
        <f>IF(VLOOKUP($A2079,'Concrete Beam Schedule'!$A$2:$Q$2902,AA$2,0)&lt;&gt;K2079,"Beam Revised","")</f>
        <v>#N/A</v>
      </c>
      <c r="AB2079" s="7" t="e">
        <f>IF(VLOOKUP($A2079,'Concrete Beam Schedule'!$A$2:$Q$2902,AB$2,0)&lt;&gt;L2079,"Beam Revised","")</f>
        <v>#N/A</v>
      </c>
      <c r="AC2079" s="7" t="e">
        <f>IF(VLOOKUP($A2079,'Concrete Beam Schedule'!$A$2:$Q$2902,AC$2,0)&lt;&gt;M2079,"Beam Revised","")</f>
        <v>#N/A</v>
      </c>
      <c r="AD2079" s="7" t="e">
        <f>IF(VLOOKUP($A2079,'Concrete Beam Schedule'!$A$2:$Q$2902,AD$2,0)&lt;&gt;N2079,"Beam Revised","")</f>
        <v>#N/A</v>
      </c>
      <c r="AE2079" s="7" t="e">
        <f>IF(VLOOKUP($A2079,'Concrete Beam Schedule'!$A$2:$Q$2902,AE$2,0)&lt;&gt;O2079,"Beam Revised","")</f>
        <v>#N/A</v>
      </c>
    </row>
    <row r="2080" spans="17:31" ht="20.100000000000001" customHeight="1" x14ac:dyDescent="0.25">
      <c r="Q2080" s="7">
        <f t="shared" si="32"/>
        <v>0</v>
      </c>
      <c r="R2080" s="7" t="e">
        <f>IF(VLOOKUP($A2080,'Concrete Beam Schedule'!$A$2:$Q$2902,R$2,0)&lt;&gt;B2080,VLOOKUP($A2080,'Concrete Beam Schedule'!$A$2:$Q$2902,R$2,0),"")</f>
        <v>#N/A</v>
      </c>
      <c r="S2080" s="7" t="e">
        <f>IF(VLOOKUP($A2080,'Concrete Beam Schedule'!$A$2:$Q$2902,S$2,0)&lt;&gt;C2080,VLOOKUP($A2080,'Concrete Beam Schedule'!$A$2:$Q$2902,S$2,0),"")</f>
        <v>#N/A</v>
      </c>
      <c r="T2080" s="7" t="e">
        <f>IF(VLOOKUP($A2080,'Concrete Beam Schedule'!$A$2:$Q$2902,T$2,0)&lt;&gt;D2080,"Beam Revised","")</f>
        <v>#N/A</v>
      </c>
      <c r="U2080" s="7" t="e">
        <f>IF(VLOOKUP($A2080,'Concrete Beam Schedule'!$A$2:$Q$2902,U$2,0)&lt;&gt;E2080,"Beam Revised","")</f>
        <v>#N/A</v>
      </c>
      <c r="V2080" s="7" t="e">
        <f>IF(VLOOKUP($A2080,'Concrete Beam Schedule'!$A$2:$Q$2902,V$2,0)&lt;&gt;F2080,"Beam Revised","")</f>
        <v>#N/A</v>
      </c>
      <c r="W2080" s="7" t="e">
        <f>IF(VLOOKUP($A2080,'Concrete Beam Schedule'!$A$2:$Q$2902,W$2,0)&lt;&gt;G2080,"Beam Revised","")</f>
        <v>#N/A</v>
      </c>
      <c r="X2080" s="7" t="e">
        <f>IF(VLOOKUP($A2080,'Concrete Beam Schedule'!$A$2:$Q$2902,X$2,0)&lt;&gt;H2080,"Beam Revised","")</f>
        <v>#N/A</v>
      </c>
      <c r="Y2080" s="7" t="e">
        <f>IF(VLOOKUP($A2080,'Concrete Beam Schedule'!$A$2:$Q$2902,Y$2,0)&lt;&gt;I2080,"Beam Revised","")</f>
        <v>#N/A</v>
      </c>
      <c r="Z2080" s="7" t="e">
        <f>IF(VLOOKUP($A2080,'Concrete Beam Schedule'!$A$2:$Q$2902,Z$2,0)&lt;&gt;J2080,"Beam Revised","")</f>
        <v>#N/A</v>
      </c>
      <c r="AA2080" s="7" t="e">
        <f>IF(VLOOKUP($A2080,'Concrete Beam Schedule'!$A$2:$Q$2902,AA$2,0)&lt;&gt;K2080,"Beam Revised","")</f>
        <v>#N/A</v>
      </c>
      <c r="AB2080" s="7" t="e">
        <f>IF(VLOOKUP($A2080,'Concrete Beam Schedule'!$A$2:$Q$2902,AB$2,0)&lt;&gt;L2080,"Beam Revised","")</f>
        <v>#N/A</v>
      </c>
      <c r="AC2080" s="7" t="e">
        <f>IF(VLOOKUP($A2080,'Concrete Beam Schedule'!$A$2:$Q$2902,AC$2,0)&lt;&gt;M2080,"Beam Revised","")</f>
        <v>#N/A</v>
      </c>
      <c r="AD2080" s="7" t="e">
        <f>IF(VLOOKUP($A2080,'Concrete Beam Schedule'!$A$2:$Q$2902,AD$2,0)&lt;&gt;N2080,"Beam Revised","")</f>
        <v>#N/A</v>
      </c>
      <c r="AE2080" s="7" t="e">
        <f>IF(VLOOKUP($A2080,'Concrete Beam Schedule'!$A$2:$Q$2902,AE$2,0)&lt;&gt;O2080,"Beam Revised","")</f>
        <v>#N/A</v>
      </c>
    </row>
    <row r="2081" spans="17:31" ht="20.100000000000001" customHeight="1" x14ac:dyDescent="0.25">
      <c r="Q2081" s="7">
        <f t="shared" si="32"/>
        <v>0</v>
      </c>
      <c r="R2081" s="7" t="e">
        <f>IF(VLOOKUP($A2081,'Concrete Beam Schedule'!$A$2:$Q$2902,R$2,0)&lt;&gt;B2081,VLOOKUP($A2081,'Concrete Beam Schedule'!$A$2:$Q$2902,R$2,0),"")</f>
        <v>#N/A</v>
      </c>
      <c r="S2081" s="7" t="e">
        <f>IF(VLOOKUP($A2081,'Concrete Beam Schedule'!$A$2:$Q$2902,S$2,0)&lt;&gt;C2081,VLOOKUP($A2081,'Concrete Beam Schedule'!$A$2:$Q$2902,S$2,0),"")</f>
        <v>#N/A</v>
      </c>
      <c r="T2081" s="7" t="e">
        <f>IF(VLOOKUP($A2081,'Concrete Beam Schedule'!$A$2:$Q$2902,T$2,0)&lt;&gt;D2081,"Beam Revised","")</f>
        <v>#N/A</v>
      </c>
      <c r="U2081" s="7" t="e">
        <f>IF(VLOOKUP($A2081,'Concrete Beam Schedule'!$A$2:$Q$2902,U$2,0)&lt;&gt;E2081,"Beam Revised","")</f>
        <v>#N/A</v>
      </c>
      <c r="V2081" s="7" t="e">
        <f>IF(VLOOKUP($A2081,'Concrete Beam Schedule'!$A$2:$Q$2902,V$2,0)&lt;&gt;F2081,"Beam Revised","")</f>
        <v>#N/A</v>
      </c>
      <c r="W2081" s="7" t="e">
        <f>IF(VLOOKUP($A2081,'Concrete Beam Schedule'!$A$2:$Q$2902,W$2,0)&lt;&gt;G2081,"Beam Revised","")</f>
        <v>#N/A</v>
      </c>
      <c r="X2081" s="7" t="e">
        <f>IF(VLOOKUP($A2081,'Concrete Beam Schedule'!$A$2:$Q$2902,X$2,0)&lt;&gt;H2081,"Beam Revised","")</f>
        <v>#N/A</v>
      </c>
      <c r="Y2081" s="7" t="e">
        <f>IF(VLOOKUP($A2081,'Concrete Beam Schedule'!$A$2:$Q$2902,Y$2,0)&lt;&gt;I2081,"Beam Revised","")</f>
        <v>#N/A</v>
      </c>
      <c r="Z2081" s="7" t="e">
        <f>IF(VLOOKUP($A2081,'Concrete Beam Schedule'!$A$2:$Q$2902,Z$2,0)&lt;&gt;J2081,"Beam Revised","")</f>
        <v>#N/A</v>
      </c>
      <c r="AA2081" s="7" t="e">
        <f>IF(VLOOKUP($A2081,'Concrete Beam Schedule'!$A$2:$Q$2902,AA$2,0)&lt;&gt;K2081,"Beam Revised","")</f>
        <v>#N/A</v>
      </c>
      <c r="AB2081" s="7" t="e">
        <f>IF(VLOOKUP($A2081,'Concrete Beam Schedule'!$A$2:$Q$2902,AB$2,0)&lt;&gt;L2081,"Beam Revised","")</f>
        <v>#N/A</v>
      </c>
      <c r="AC2081" s="7" t="e">
        <f>IF(VLOOKUP($A2081,'Concrete Beam Schedule'!$A$2:$Q$2902,AC$2,0)&lt;&gt;M2081,"Beam Revised","")</f>
        <v>#N/A</v>
      </c>
      <c r="AD2081" s="7" t="e">
        <f>IF(VLOOKUP($A2081,'Concrete Beam Schedule'!$A$2:$Q$2902,AD$2,0)&lt;&gt;N2081,"Beam Revised","")</f>
        <v>#N/A</v>
      </c>
      <c r="AE2081" s="7" t="e">
        <f>IF(VLOOKUP($A2081,'Concrete Beam Schedule'!$A$2:$Q$2902,AE$2,0)&lt;&gt;O2081,"Beam Revised","")</f>
        <v>#N/A</v>
      </c>
    </row>
    <row r="2082" spans="17:31" ht="20.100000000000001" customHeight="1" x14ac:dyDescent="0.25">
      <c r="Q2082" s="7">
        <f t="shared" si="32"/>
        <v>0</v>
      </c>
      <c r="R2082" s="7" t="e">
        <f>IF(VLOOKUP($A2082,'Concrete Beam Schedule'!$A$2:$Q$2902,R$2,0)&lt;&gt;B2082,VLOOKUP($A2082,'Concrete Beam Schedule'!$A$2:$Q$2902,R$2,0),"")</f>
        <v>#N/A</v>
      </c>
      <c r="S2082" s="7" t="e">
        <f>IF(VLOOKUP($A2082,'Concrete Beam Schedule'!$A$2:$Q$2902,S$2,0)&lt;&gt;C2082,VLOOKUP($A2082,'Concrete Beam Schedule'!$A$2:$Q$2902,S$2,0),"")</f>
        <v>#N/A</v>
      </c>
      <c r="T2082" s="7" t="e">
        <f>IF(VLOOKUP($A2082,'Concrete Beam Schedule'!$A$2:$Q$2902,T$2,0)&lt;&gt;D2082,"Beam Revised","")</f>
        <v>#N/A</v>
      </c>
      <c r="U2082" s="7" t="e">
        <f>IF(VLOOKUP($A2082,'Concrete Beam Schedule'!$A$2:$Q$2902,U$2,0)&lt;&gt;E2082,"Beam Revised","")</f>
        <v>#N/A</v>
      </c>
      <c r="V2082" s="7" t="e">
        <f>IF(VLOOKUP($A2082,'Concrete Beam Schedule'!$A$2:$Q$2902,V$2,0)&lt;&gt;F2082,"Beam Revised","")</f>
        <v>#N/A</v>
      </c>
      <c r="W2082" s="7" t="e">
        <f>IF(VLOOKUP($A2082,'Concrete Beam Schedule'!$A$2:$Q$2902,W$2,0)&lt;&gt;G2082,"Beam Revised","")</f>
        <v>#N/A</v>
      </c>
      <c r="X2082" s="7" t="e">
        <f>IF(VLOOKUP($A2082,'Concrete Beam Schedule'!$A$2:$Q$2902,X$2,0)&lt;&gt;H2082,"Beam Revised","")</f>
        <v>#N/A</v>
      </c>
      <c r="Y2082" s="7" t="e">
        <f>IF(VLOOKUP($A2082,'Concrete Beam Schedule'!$A$2:$Q$2902,Y$2,0)&lt;&gt;I2082,"Beam Revised","")</f>
        <v>#N/A</v>
      </c>
      <c r="Z2082" s="7" t="e">
        <f>IF(VLOOKUP($A2082,'Concrete Beam Schedule'!$A$2:$Q$2902,Z$2,0)&lt;&gt;J2082,"Beam Revised","")</f>
        <v>#N/A</v>
      </c>
      <c r="AA2082" s="7" t="e">
        <f>IF(VLOOKUP($A2082,'Concrete Beam Schedule'!$A$2:$Q$2902,AA$2,0)&lt;&gt;K2082,"Beam Revised","")</f>
        <v>#N/A</v>
      </c>
      <c r="AB2082" s="7" t="e">
        <f>IF(VLOOKUP($A2082,'Concrete Beam Schedule'!$A$2:$Q$2902,AB$2,0)&lt;&gt;L2082,"Beam Revised","")</f>
        <v>#N/A</v>
      </c>
      <c r="AC2082" s="7" t="e">
        <f>IF(VLOOKUP($A2082,'Concrete Beam Schedule'!$A$2:$Q$2902,AC$2,0)&lt;&gt;M2082,"Beam Revised","")</f>
        <v>#N/A</v>
      </c>
      <c r="AD2082" s="7" t="e">
        <f>IF(VLOOKUP($A2082,'Concrete Beam Schedule'!$A$2:$Q$2902,AD$2,0)&lt;&gt;N2082,"Beam Revised","")</f>
        <v>#N/A</v>
      </c>
      <c r="AE2082" s="7" t="e">
        <f>IF(VLOOKUP($A2082,'Concrete Beam Schedule'!$A$2:$Q$2902,AE$2,0)&lt;&gt;O2082,"Beam Revised","")</f>
        <v>#N/A</v>
      </c>
    </row>
    <row r="2083" spans="17:31" ht="20.100000000000001" customHeight="1" x14ac:dyDescent="0.25">
      <c r="Q2083" s="7">
        <f t="shared" si="32"/>
        <v>0</v>
      </c>
      <c r="R2083" s="7" t="e">
        <f>IF(VLOOKUP($A2083,'Concrete Beam Schedule'!$A$2:$Q$2902,R$2,0)&lt;&gt;B2083,VLOOKUP($A2083,'Concrete Beam Schedule'!$A$2:$Q$2902,R$2,0),"")</f>
        <v>#N/A</v>
      </c>
      <c r="S2083" s="7" t="e">
        <f>IF(VLOOKUP($A2083,'Concrete Beam Schedule'!$A$2:$Q$2902,S$2,0)&lt;&gt;C2083,VLOOKUP($A2083,'Concrete Beam Schedule'!$A$2:$Q$2902,S$2,0),"")</f>
        <v>#N/A</v>
      </c>
      <c r="T2083" s="7" t="e">
        <f>IF(VLOOKUP($A2083,'Concrete Beam Schedule'!$A$2:$Q$2902,T$2,0)&lt;&gt;D2083,"Beam Revised","")</f>
        <v>#N/A</v>
      </c>
      <c r="U2083" s="7" t="e">
        <f>IF(VLOOKUP($A2083,'Concrete Beam Schedule'!$A$2:$Q$2902,U$2,0)&lt;&gt;E2083,"Beam Revised","")</f>
        <v>#N/A</v>
      </c>
      <c r="V2083" s="7" t="e">
        <f>IF(VLOOKUP($A2083,'Concrete Beam Schedule'!$A$2:$Q$2902,V$2,0)&lt;&gt;F2083,"Beam Revised","")</f>
        <v>#N/A</v>
      </c>
      <c r="W2083" s="7" t="e">
        <f>IF(VLOOKUP($A2083,'Concrete Beam Schedule'!$A$2:$Q$2902,W$2,0)&lt;&gt;G2083,"Beam Revised","")</f>
        <v>#N/A</v>
      </c>
      <c r="X2083" s="7" t="e">
        <f>IF(VLOOKUP($A2083,'Concrete Beam Schedule'!$A$2:$Q$2902,X$2,0)&lt;&gt;H2083,"Beam Revised","")</f>
        <v>#N/A</v>
      </c>
      <c r="Y2083" s="7" t="e">
        <f>IF(VLOOKUP($A2083,'Concrete Beam Schedule'!$A$2:$Q$2902,Y$2,0)&lt;&gt;I2083,"Beam Revised","")</f>
        <v>#N/A</v>
      </c>
      <c r="Z2083" s="7" t="e">
        <f>IF(VLOOKUP($A2083,'Concrete Beam Schedule'!$A$2:$Q$2902,Z$2,0)&lt;&gt;J2083,"Beam Revised","")</f>
        <v>#N/A</v>
      </c>
      <c r="AA2083" s="7" t="e">
        <f>IF(VLOOKUP($A2083,'Concrete Beam Schedule'!$A$2:$Q$2902,AA$2,0)&lt;&gt;K2083,"Beam Revised","")</f>
        <v>#N/A</v>
      </c>
      <c r="AB2083" s="7" t="e">
        <f>IF(VLOOKUP($A2083,'Concrete Beam Schedule'!$A$2:$Q$2902,AB$2,0)&lt;&gt;L2083,"Beam Revised","")</f>
        <v>#N/A</v>
      </c>
      <c r="AC2083" s="7" t="e">
        <f>IF(VLOOKUP($A2083,'Concrete Beam Schedule'!$A$2:$Q$2902,AC$2,0)&lt;&gt;M2083,"Beam Revised","")</f>
        <v>#N/A</v>
      </c>
      <c r="AD2083" s="7" t="e">
        <f>IF(VLOOKUP($A2083,'Concrete Beam Schedule'!$A$2:$Q$2902,AD$2,0)&lt;&gt;N2083,"Beam Revised","")</f>
        <v>#N/A</v>
      </c>
      <c r="AE2083" s="7" t="e">
        <f>IF(VLOOKUP($A2083,'Concrete Beam Schedule'!$A$2:$Q$2902,AE$2,0)&lt;&gt;O2083,"Beam Revised","")</f>
        <v>#N/A</v>
      </c>
    </row>
    <row r="2084" spans="17:31" ht="20.100000000000001" customHeight="1" x14ac:dyDescent="0.25">
      <c r="Q2084" s="7">
        <f t="shared" si="32"/>
        <v>0</v>
      </c>
      <c r="R2084" s="7" t="e">
        <f>IF(VLOOKUP($A2084,'Concrete Beam Schedule'!$A$2:$Q$2902,R$2,0)&lt;&gt;B2084,VLOOKUP($A2084,'Concrete Beam Schedule'!$A$2:$Q$2902,R$2,0),"")</f>
        <v>#N/A</v>
      </c>
      <c r="S2084" s="7" t="e">
        <f>IF(VLOOKUP($A2084,'Concrete Beam Schedule'!$A$2:$Q$2902,S$2,0)&lt;&gt;C2084,VLOOKUP($A2084,'Concrete Beam Schedule'!$A$2:$Q$2902,S$2,0),"")</f>
        <v>#N/A</v>
      </c>
      <c r="T2084" s="7" t="e">
        <f>IF(VLOOKUP($A2084,'Concrete Beam Schedule'!$A$2:$Q$2902,T$2,0)&lt;&gt;D2084,"Beam Revised","")</f>
        <v>#N/A</v>
      </c>
      <c r="U2084" s="7" t="e">
        <f>IF(VLOOKUP($A2084,'Concrete Beam Schedule'!$A$2:$Q$2902,U$2,0)&lt;&gt;E2084,"Beam Revised","")</f>
        <v>#N/A</v>
      </c>
      <c r="V2084" s="7" t="e">
        <f>IF(VLOOKUP($A2084,'Concrete Beam Schedule'!$A$2:$Q$2902,V$2,0)&lt;&gt;F2084,"Beam Revised","")</f>
        <v>#N/A</v>
      </c>
      <c r="W2084" s="7" t="e">
        <f>IF(VLOOKUP($A2084,'Concrete Beam Schedule'!$A$2:$Q$2902,W$2,0)&lt;&gt;G2084,"Beam Revised","")</f>
        <v>#N/A</v>
      </c>
      <c r="X2084" s="7" t="e">
        <f>IF(VLOOKUP($A2084,'Concrete Beam Schedule'!$A$2:$Q$2902,X$2,0)&lt;&gt;H2084,"Beam Revised","")</f>
        <v>#N/A</v>
      </c>
      <c r="Y2084" s="7" t="e">
        <f>IF(VLOOKUP($A2084,'Concrete Beam Schedule'!$A$2:$Q$2902,Y$2,0)&lt;&gt;I2084,"Beam Revised","")</f>
        <v>#N/A</v>
      </c>
      <c r="Z2084" s="7" t="e">
        <f>IF(VLOOKUP($A2084,'Concrete Beam Schedule'!$A$2:$Q$2902,Z$2,0)&lt;&gt;J2084,"Beam Revised","")</f>
        <v>#N/A</v>
      </c>
      <c r="AA2084" s="7" t="e">
        <f>IF(VLOOKUP($A2084,'Concrete Beam Schedule'!$A$2:$Q$2902,AA$2,0)&lt;&gt;K2084,"Beam Revised","")</f>
        <v>#N/A</v>
      </c>
      <c r="AB2084" s="7" t="e">
        <f>IF(VLOOKUP($A2084,'Concrete Beam Schedule'!$A$2:$Q$2902,AB$2,0)&lt;&gt;L2084,"Beam Revised","")</f>
        <v>#N/A</v>
      </c>
      <c r="AC2084" s="7" t="e">
        <f>IF(VLOOKUP($A2084,'Concrete Beam Schedule'!$A$2:$Q$2902,AC$2,0)&lt;&gt;M2084,"Beam Revised","")</f>
        <v>#N/A</v>
      </c>
      <c r="AD2084" s="7" t="e">
        <f>IF(VLOOKUP($A2084,'Concrete Beam Schedule'!$A$2:$Q$2902,AD$2,0)&lt;&gt;N2084,"Beam Revised","")</f>
        <v>#N/A</v>
      </c>
      <c r="AE2084" s="7" t="e">
        <f>IF(VLOOKUP($A2084,'Concrete Beam Schedule'!$A$2:$Q$2902,AE$2,0)&lt;&gt;O2084,"Beam Revised","")</f>
        <v>#N/A</v>
      </c>
    </row>
    <row r="2085" spans="17:31" ht="20.100000000000001" customHeight="1" x14ac:dyDescent="0.25">
      <c r="Q2085" s="7">
        <f t="shared" si="32"/>
        <v>0</v>
      </c>
      <c r="R2085" s="7" t="e">
        <f>IF(VLOOKUP($A2085,'Concrete Beam Schedule'!$A$2:$Q$2902,R$2,0)&lt;&gt;B2085,VLOOKUP($A2085,'Concrete Beam Schedule'!$A$2:$Q$2902,R$2,0),"")</f>
        <v>#N/A</v>
      </c>
      <c r="S2085" s="7" t="e">
        <f>IF(VLOOKUP($A2085,'Concrete Beam Schedule'!$A$2:$Q$2902,S$2,0)&lt;&gt;C2085,VLOOKUP($A2085,'Concrete Beam Schedule'!$A$2:$Q$2902,S$2,0),"")</f>
        <v>#N/A</v>
      </c>
      <c r="T2085" s="7" t="e">
        <f>IF(VLOOKUP($A2085,'Concrete Beam Schedule'!$A$2:$Q$2902,T$2,0)&lt;&gt;D2085,"Beam Revised","")</f>
        <v>#N/A</v>
      </c>
      <c r="U2085" s="7" t="e">
        <f>IF(VLOOKUP($A2085,'Concrete Beam Schedule'!$A$2:$Q$2902,U$2,0)&lt;&gt;E2085,"Beam Revised","")</f>
        <v>#N/A</v>
      </c>
      <c r="V2085" s="7" t="e">
        <f>IF(VLOOKUP($A2085,'Concrete Beam Schedule'!$A$2:$Q$2902,V$2,0)&lt;&gt;F2085,"Beam Revised","")</f>
        <v>#N/A</v>
      </c>
      <c r="W2085" s="7" t="e">
        <f>IF(VLOOKUP($A2085,'Concrete Beam Schedule'!$A$2:$Q$2902,W$2,0)&lt;&gt;G2085,"Beam Revised","")</f>
        <v>#N/A</v>
      </c>
      <c r="X2085" s="7" t="e">
        <f>IF(VLOOKUP($A2085,'Concrete Beam Schedule'!$A$2:$Q$2902,X$2,0)&lt;&gt;H2085,"Beam Revised","")</f>
        <v>#N/A</v>
      </c>
      <c r="Y2085" s="7" t="e">
        <f>IF(VLOOKUP($A2085,'Concrete Beam Schedule'!$A$2:$Q$2902,Y$2,0)&lt;&gt;I2085,"Beam Revised","")</f>
        <v>#N/A</v>
      </c>
      <c r="Z2085" s="7" t="e">
        <f>IF(VLOOKUP($A2085,'Concrete Beam Schedule'!$A$2:$Q$2902,Z$2,0)&lt;&gt;J2085,"Beam Revised","")</f>
        <v>#N/A</v>
      </c>
      <c r="AA2085" s="7" t="e">
        <f>IF(VLOOKUP($A2085,'Concrete Beam Schedule'!$A$2:$Q$2902,AA$2,0)&lt;&gt;K2085,"Beam Revised","")</f>
        <v>#N/A</v>
      </c>
      <c r="AB2085" s="7" t="e">
        <f>IF(VLOOKUP($A2085,'Concrete Beam Schedule'!$A$2:$Q$2902,AB$2,0)&lt;&gt;L2085,"Beam Revised","")</f>
        <v>#N/A</v>
      </c>
      <c r="AC2085" s="7" t="e">
        <f>IF(VLOOKUP($A2085,'Concrete Beam Schedule'!$A$2:$Q$2902,AC$2,0)&lt;&gt;M2085,"Beam Revised","")</f>
        <v>#N/A</v>
      </c>
      <c r="AD2085" s="7" t="e">
        <f>IF(VLOOKUP($A2085,'Concrete Beam Schedule'!$A$2:$Q$2902,AD$2,0)&lt;&gt;N2085,"Beam Revised","")</f>
        <v>#N/A</v>
      </c>
      <c r="AE2085" s="7" t="e">
        <f>IF(VLOOKUP($A2085,'Concrete Beam Schedule'!$A$2:$Q$2902,AE$2,0)&lt;&gt;O2085,"Beam Revised","")</f>
        <v>#N/A</v>
      </c>
    </row>
    <row r="2086" spans="17:31" ht="20.100000000000001" customHeight="1" x14ac:dyDescent="0.25">
      <c r="Q2086" s="7">
        <f t="shared" si="32"/>
        <v>0</v>
      </c>
      <c r="R2086" s="7" t="e">
        <f>IF(VLOOKUP($A2086,'Concrete Beam Schedule'!$A$2:$Q$2902,R$2,0)&lt;&gt;B2086,VLOOKUP($A2086,'Concrete Beam Schedule'!$A$2:$Q$2902,R$2,0),"")</f>
        <v>#N/A</v>
      </c>
      <c r="S2086" s="7" t="e">
        <f>IF(VLOOKUP($A2086,'Concrete Beam Schedule'!$A$2:$Q$2902,S$2,0)&lt;&gt;C2086,VLOOKUP($A2086,'Concrete Beam Schedule'!$A$2:$Q$2902,S$2,0),"")</f>
        <v>#N/A</v>
      </c>
      <c r="T2086" s="7" t="e">
        <f>IF(VLOOKUP($A2086,'Concrete Beam Schedule'!$A$2:$Q$2902,T$2,0)&lt;&gt;D2086,"Beam Revised","")</f>
        <v>#N/A</v>
      </c>
      <c r="U2086" s="7" t="e">
        <f>IF(VLOOKUP($A2086,'Concrete Beam Schedule'!$A$2:$Q$2902,U$2,0)&lt;&gt;E2086,"Beam Revised","")</f>
        <v>#N/A</v>
      </c>
      <c r="V2086" s="7" t="e">
        <f>IF(VLOOKUP($A2086,'Concrete Beam Schedule'!$A$2:$Q$2902,V$2,0)&lt;&gt;F2086,"Beam Revised","")</f>
        <v>#N/A</v>
      </c>
      <c r="W2086" s="7" t="e">
        <f>IF(VLOOKUP($A2086,'Concrete Beam Schedule'!$A$2:$Q$2902,W$2,0)&lt;&gt;G2086,"Beam Revised","")</f>
        <v>#N/A</v>
      </c>
      <c r="X2086" s="7" t="e">
        <f>IF(VLOOKUP($A2086,'Concrete Beam Schedule'!$A$2:$Q$2902,X$2,0)&lt;&gt;H2086,"Beam Revised","")</f>
        <v>#N/A</v>
      </c>
      <c r="Y2086" s="7" t="e">
        <f>IF(VLOOKUP($A2086,'Concrete Beam Schedule'!$A$2:$Q$2902,Y$2,0)&lt;&gt;I2086,"Beam Revised","")</f>
        <v>#N/A</v>
      </c>
      <c r="Z2086" s="7" t="e">
        <f>IF(VLOOKUP($A2086,'Concrete Beam Schedule'!$A$2:$Q$2902,Z$2,0)&lt;&gt;J2086,"Beam Revised","")</f>
        <v>#N/A</v>
      </c>
      <c r="AA2086" s="7" t="e">
        <f>IF(VLOOKUP($A2086,'Concrete Beam Schedule'!$A$2:$Q$2902,AA$2,0)&lt;&gt;K2086,"Beam Revised","")</f>
        <v>#N/A</v>
      </c>
      <c r="AB2086" s="7" t="e">
        <f>IF(VLOOKUP($A2086,'Concrete Beam Schedule'!$A$2:$Q$2902,AB$2,0)&lt;&gt;L2086,"Beam Revised","")</f>
        <v>#N/A</v>
      </c>
      <c r="AC2086" s="7" t="e">
        <f>IF(VLOOKUP($A2086,'Concrete Beam Schedule'!$A$2:$Q$2902,AC$2,0)&lt;&gt;M2086,"Beam Revised","")</f>
        <v>#N/A</v>
      </c>
      <c r="AD2086" s="7" t="e">
        <f>IF(VLOOKUP($A2086,'Concrete Beam Schedule'!$A$2:$Q$2902,AD$2,0)&lt;&gt;N2086,"Beam Revised","")</f>
        <v>#N/A</v>
      </c>
      <c r="AE2086" s="7" t="e">
        <f>IF(VLOOKUP($A2086,'Concrete Beam Schedule'!$A$2:$Q$2902,AE$2,0)&lt;&gt;O2086,"Beam Revised","")</f>
        <v>#N/A</v>
      </c>
    </row>
    <row r="2087" spans="17:31" ht="20.100000000000001" customHeight="1" x14ac:dyDescent="0.25">
      <c r="Q2087" s="7">
        <f t="shared" si="32"/>
        <v>0</v>
      </c>
      <c r="R2087" s="7" t="e">
        <f>IF(VLOOKUP($A2087,'Concrete Beam Schedule'!$A$2:$Q$2902,R$2,0)&lt;&gt;B2087,VLOOKUP($A2087,'Concrete Beam Schedule'!$A$2:$Q$2902,R$2,0),"")</f>
        <v>#N/A</v>
      </c>
      <c r="S2087" s="7" t="e">
        <f>IF(VLOOKUP($A2087,'Concrete Beam Schedule'!$A$2:$Q$2902,S$2,0)&lt;&gt;C2087,VLOOKUP($A2087,'Concrete Beam Schedule'!$A$2:$Q$2902,S$2,0),"")</f>
        <v>#N/A</v>
      </c>
      <c r="T2087" s="7" t="e">
        <f>IF(VLOOKUP($A2087,'Concrete Beam Schedule'!$A$2:$Q$2902,T$2,0)&lt;&gt;D2087,"Beam Revised","")</f>
        <v>#N/A</v>
      </c>
      <c r="U2087" s="7" t="e">
        <f>IF(VLOOKUP($A2087,'Concrete Beam Schedule'!$A$2:$Q$2902,U$2,0)&lt;&gt;E2087,"Beam Revised","")</f>
        <v>#N/A</v>
      </c>
      <c r="V2087" s="7" t="e">
        <f>IF(VLOOKUP($A2087,'Concrete Beam Schedule'!$A$2:$Q$2902,V$2,0)&lt;&gt;F2087,"Beam Revised","")</f>
        <v>#N/A</v>
      </c>
      <c r="W2087" s="7" t="e">
        <f>IF(VLOOKUP($A2087,'Concrete Beam Schedule'!$A$2:$Q$2902,W$2,0)&lt;&gt;G2087,"Beam Revised","")</f>
        <v>#N/A</v>
      </c>
      <c r="X2087" s="7" t="e">
        <f>IF(VLOOKUP($A2087,'Concrete Beam Schedule'!$A$2:$Q$2902,X$2,0)&lt;&gt;H2087,"Beam Revised","")</f>
        <v>#N/A</v>
      </c>
      <c r="Y2087" s="7" t="e">
        <f>IF(VLOOKUP($A2087,'Concrete Beam Schedule'!$A$2:$Q$2902,Y$2,0)&lt;&gt;I2087,"Beam Revised","")</f>
        <v>#N/A</v>
      </c>
      <c r="Z2087" s="7" t="e">
        <f>IF(VLOOKUP($A2087,'Concrete Beam Schedule'!$A$2:$Q$2902,Z$2,0)&lt;&gt;J2087,"Beam Revised","")</f>
        <v>#N/A</v>
      </c>
      <c r="AA2087" s="7" t="e">
        <f>IF(VLOOKUP($A2087,'Concrete Beam Schedule'!$A$2:$Q$2902,AA$2,0)&lt;&gt;K2087,"Beam Revised","")</f>
        <v>#N/A</v>
      </c>
      <c r="AB2087" s="7" t="e">
        <f>IF(VLOOKUP($A2087,'Concrete Beam Schedule'!$A$2:$Q$2902,AB$2,0)&lt;&gt;L2087,"Beam Revised","")</f>
        <v>#N/A</v>
      </c>
      <c r="AC2087" s="7" t="e">
        <f>IF(VLOOKUP($A2087,'Concrete Beam Schedule'!$A$2:$Q$2902,AC$2,0)&lt;&gt;M2087,"Beam Revised","")</f>
        <v>#N/A</v>
      </c>
      <c r="AD2087" s="7" t="e">
        <f>IF(VLOOKUP($A2087,'Concrete Beam Schedule'!$A$2:$Q$2902,AD$2,0)&lt;&gt;N2087,"Beam Revised","")</f>
        <v>#N/A</v>
      </c>
      <c r="AE2087" s="7" t="e">
        <f>IF(VLOOKUP($A2087,'Concrete Beam Schedule'!$A$2:$Q$2902,AE$2,0)&lt;&gt;O2087,"Beam Revised","")</f>
        <v>#N/A</v>
      </c>
    </row>
    <row r="2088" spans="17:31" ht="20.100000000000001" customHeight="1" x14ac:dyDescent="0.25">
      <c r="Q2088" s="7">
        <f t="shared" si="32"/>
        <v>0</v>
      </c>
      <c r="R2088" s="7" t="e">
        <f>IF(VLOOKUP($A2088,'Concrete Beam Schedule'!$A$2:$Q$2902,R$2,0)&lt;&gt;B2088,VLOOKUP($A2088,'Concrete Beam Schedule'!$A$2:$Q$2902,R$2,0),"")</f>
        <v>#N/A</v>
      </c>
      <c r="S2088" s="7" t="e">
        <f>IF(VLOOKUP($A2088,'Concrete Beam Schedule'!$A$2:$Q$2902,S$2,0)&lt;&gt;C2088,VLOOKUP($A2088,'Concrete Beam Schedule'!$A$2:$Q$2902,S$2,0),"")</f>
        <v>#N/A</v>
      </c>
      <c r="T2088" s="7" t="e">
        <f>IF(VLOOKUP($A2088,'Concrete Beam Schedule'!$A$2:$Q$2902,T$2,0)&lt;&gt;D2088,"Beam Revised","")</f>
        <v>#N/A</v>
      </c>
      <c r="U2088" s="7" t="e">
        <f>IF(VLOOKUP($A2088,'Concrete Beam Schedule'!$A$2:$Q$2902,U$2,0)&lt;&gt;E2088,"Beam Revised","")</f>
        <v>#N/A</v>
      </c>
      <c r="V2088" s="7" t="e">
        <f>IF(VLOOKUP($A2088,'Concrete Beam Schedule'!$A$2:$Q$2902,V$2,0)&lt;&gt;F2088,"Beam Revised","")</f>
        <v>#N/A</v>
      </c>
      <c r="W2088" s="7" t="e">
        <f>IF(VLOOKUP($A2088,'Concrete Beam Schedule'!$A$2:$Q$2902,W$2,0)&lt;&gt;G2088,"Beam Revised","")</f>
        <v>#N/A</v>
      </c>
      <c r="X2088" s="7" t="e">
        <f>IF(VLOOKUP($A2088,'Concrete Beam Schedule'!$A$2:$Q$2902,X$2,0)&lt;&gt;H2088,"Beam Revised","")</f>
        <v>#N/A</v>
      </c>
      <c r="Y2088" s="7" t="e">
        <f>IF(VLOOKUP($A2088,'Concrete Beam Schedule'!$A$2:$Q$2902,Y$2,0)&lt;&gt;I2088,"Beam Revised","")</f>
        <v>#N/A</v>
      </c>
      <c r="Z2088" s="7" t="e">
        <f>IF(VLOOKUP($A2088,'Concrete Beam Schedule'!$A$2:$Q$2902,Z$2,0)&lt;&gt;J2088,"Beam Revised","")</f>
        <v>#N/A</v>
      </c>
      <c r="AA2088" s="7" t="e">
        <f>IF(VLOOKUP($A2088,'Concrete Beam Schedule'!$A$2:$Q$2902,AA$2,0)&lt;&gt;K2088,"Beam Revised","")</f>
        <v>#N/A</v>
      </c>
      <c r="AB2088" s="7" t="e">
        <f>IF(VLOOKUP($A2088,'Concrete Beam Schedule'!$A$2:$Q$2902,AB$2,0)&lt;&gt;L2088,"Beam Revised","")</f>
        <v>#N/A</v>
      </c>
      <c r="AC2088" s="7" t="e">
        <f>IF(VLOOKUP($A2088,'Concrete Beam Schedule'!$A$2:$Q$2902,AC$2,0)&lt;&gt;M2088,"Beam Revised","")</f>
        <v>#N/A</v>
      </c>
      <c r="AD2088" s="7" t="e">
        <f>IF(VLOOKUP($A2088,'Concrete Beam Schedule'!$A$2:$Q$2902,AD$2,0)&lt;&gt;N2088,"Beam Revised","")</f>
        <v>#N/A</v>
      </c>
      <c r="AE2088" s="7" t="e">
        <f>IF(VLOOKUP($A2088,'Concrete Beam Schedule'!$A$2:$Q$2902,AE$2,0)&lt;&gt;O2088,"Beam Revised","")</f>
        <v>#N/A</v>
      </c>
    </row>
    <row r="2089" spans="17:31" ht="20.100000000000001" customHeight="1" x14ac:dyDescent="0.25">
      <c r="Q2089" s="7">
        <f t="shared" si="32"/>
        <v>0</v>
      </c>
      <c r="R2089" s="7" t="e">
        <f>IF(VLOOKUP($A2089,'Concrete Beam Schedule'!$A$2:$Q$2902,R$2,0)&lt;&gt;B2089,VLOOKUP($A2089,'Concrete Beam Schedule'!$A$2:$Q$2902,R$2,0),"")</f>
        <v>#N/A</v>
      </c>
      <c r="S2089" s="7" t="e">
        <f>IF(VLOOKUP($A2089,'Concrete Beam Schedule'!$A$2:$Q$2902,S$2,0)&lt;&gt;C2089,VLOOKUP($A2089,'Concrete Beam Schedule'!$A$2:$Q$2902,S$2,0),"")</f>
        <v>#N/A</v>
      </c>
      <c r="T2089" s="7" t="e">
        <f>IF(VLOOKUP($A2089,'Concrete Beam Schedule'!$A$2:$Q$2902,T$2,0)&lt;&gt;D2089,"Beam Revised","")</f>
        <v>#N/A</v>
      </c>
      <c r="U2089" s="7" t="e">
        <f>IF(VLOOKUP($A2089,'Concrete Beam Schedule'!$A$2:$Q$2902,U$2,0)&lt;&gt;E2089,"Beam Revised","")</f>
        <v>#N/A</v>
      </c>
      <c r="V2089" s="7" t="e">
        <f>IF(VLOOKUP($A2089,'Concrete Beam Schedule'!$A$2:$Q$2902,V$2,0)&lt;&gt;F2089,"Beam Revised","")</f>
        <v>#N/A</v>
      </c>
      <c r="W2089" s="7" t="e">
        <f>IF(VLOOKUP($A2089,'Concrete Beam Schedule'!$A$2:$Q$2902,W$2,0)&lt;&gt;G2089,"Beam Revised","")</f>
        <v>#N/A</v>
      </c>
      <c r="X2089" s="7" t="e">
        <f>IF(VLOOKUP($A2089,'Concrete Beam Schedule'!$A$2:$Q$2902,X$2,0)&lt;&gt;H2089,"Beam Revised","")</f>
        <v>#N/A</v>
      </c>
      <c r="Y2089" s="7" t="e">
        <f>IF(VLOOKUP($A2089,'Concrete Beam Schedule'!$A$2:$Q$2902,Y$2,0)&lt;&gt;I2089,"Beam Revised","")</f>
        <v>#N/A</v>
      </c>
      <c r="Z2089" s="7" t="e">
        <f>IF(VLOOKUP($A2089,'Concrete Beam Schedule'!$A$2:$Q$2902,Z$2,0)&lt;&gt;J2089,"Beam Revised","")</f>
        <v>#N/A</v>
      </c>
      <c r="AA2089" s="7" t="e">
        <f>IF(VLOOKUP($A2089,'Concrete Beam Schedule'!$A$2:$Q$2902,AA$2,0)&lt;&gt;K2089,"Beam Revised","")</f>
        <v>#N/A</v>
      </c>
      <c r="AB2089" s="7" t="e">
        <f>IF(VLOOKUP($A2089,'Concrete Beam Schedule'!$A$2:$Q$2902,AB$2,0)&lt;&gt;L2089,"Beam Revised","")</f>
        <v>#N/A</v>
      </c>
      <c r="AC2089" s="7" t="e">
        <f>IF(VLOOKUP($A2089,'Concrete Beam Schedule'!$A$2:$Q$2902,AC$2,0)&lt;&gt;M2089,"Beam Revised","")</f>
        <v>#N/A</v>
      </c>
      <c r="AD2089" s="7" t="e">
        <f>IF(VLOOKUP($A2089,'Concrete Beam Schedule'!$A$2:$Q$2902,AD$2,0)&lt;&gt;N2089,"Beam Revised","")</f>
        <v>#N/A</v>
      </c>
      <c r="AE2089" s="7" t="e">
        <f>IF(VLOOKUP($A2089,'Concrete Beam Schedule'!$A$2:$Q$2902,AE$2,0)&lt;&gt;O2089,"Beam Revised","")</f>
        <v>#N/A</v>
      </c>
    </row>
    <row r="2090" spans="17:31" ht="20.100000000000001" customHeight="1" x14ac:dyDescent="0.25">
      <c r="Q2090" s="7">
        <f t="shared" si="32"/>
        <v>0</v>
      </c>
      <c r="R2090" s="7" t="e">
        <f>IF(VLOOKUP($A2090,'Concrete Beam Schedule'!$A$2:$Q$2902,R$2,0)&lt;&gt;B2090,VLOOKUP($A2090,'Concrete Beam Schedule'!$A$2:$Q$2902,R$2,0),"")</f>
        <v>#N/A</v>
      </c>
      <c r="S2090" s="7" t="e">
        <f>IF(VLOOKUP($A2090,'Concrete Beam Schedule'!$A$2:$Q$2902,S$2,0)&lt;&gt;C2090,VLOOKUP($A2090,'Concrete Beam Schedule'!$A$2:$Q$2902,S$2,0),"")</f>
        <v>#N/A</v>
      </c>
      <c r="T2090" s="7" t="e">
        <f>IF(VLOOKUP($A2090,'Concrete Beam Schedule'!$A$2:$Q$2902,T$2,0)&lt;&gt;D2090,"Beam Revised","")</f>
        <v>#N/A</v>
      </c>
      <c r="U2090" s="7" t="e">
        <f>IF(VLOOKUP($A2090,'Concrete Beam Schedule'!$A$2:$Q$2902,U$2,0)&lt;&gt;E2090,"Beam Revised","")</f>
        <v>#N/A</v>
      </c>
      <c r="V2090" s="7" t="e">
        <f>IF(VLOOKUP($A2090,'Concrete Beam Schedule'!$A$2:$Q$2902,V$2,0)&lt;&gt;F2090,"Beam Revised","")</f>
        <v>#N/A</v>
      </c>
      <c r="W2090" s="7" t="e">
        <f>IF(VLOOKUP($A2090,'Concrete Beam Schedule'!$A$2:$Q$2902,W$2,0)&lt;&gt;G2090,"Beam Revised","")</f>
        <v>#N/A</v>
      </c>
      <c r="X2090" s="7" t="e">
        <f>IF(VLOOKUP($A2090,'Concrete Beam Schedule'!$A$2:$Q$2902,X$2,0)&lt;&gt;H2090,"Beam Revised","")</f>
        <v>#N/A</v>
      </c>
      <c r="Y2090" s="7" t="e">
        <f>IF(VLOOKUP($A2090,'Concrete Beam Schedule'!$A$2:$Q$2902,Y$2,0)&lt;&gt;I2090,"Beam Revised","")</f>
        <v>#N/A</v>
      </c>
      <c r="Z2090" s="7" t="e">
        <f>IF(VLOOKUP($A2090,'Concrete Beam Schedule'!$A$2:$Q$2902,Z$2,0)&lt;&gt;J2090,"Beam Revised","")</f>
        <v>#N/A</v>
      </c>
      <c r="AA2090" s="7" t="e">
        <f>IF(VLOOKUP($A2090,'Concrete Beam Schedule'!$A$2:$Q$2902,AA$2,0)&lt;&gt;K2090,"Beam Revised","")</f>
        <v>#N/A</v>
      </c>
      <c r="AB2090" s="7" t="e">
        <f>IF(VLOOKUP($A2090,'Concrete Beam Schedule'!$A$2:$Q$2902,AB$2,0)&lt;&gt;L2090,"Beam Revised","")</f>
        <v>#N/A</v>
      </c>
      <c r="AC2090" s="7" t="e">
        <f>IF(VLOOKUP($A2090,'Concrete Beam Schedule'!$A$2:$Q$2902,AC$2,0)&lt;&gt;M2090,"Beam Revised","")</f>
        <v>#N/A</v>
      </c>
      <c r="AD2090" s="7" t="e">
        <f>IF(VLOOKUP($A2090,'Concrete Beam Schedule'!$A$2:$Q$2902,AD$2,0)&lt;&gt;N2090,"Beam Revised","")</f>
        <v>#N/A</v>
      </c>
      <c r="AE2090" s="7" t="e">
        <f>IF(VLOOKUP($A2090,'Concrete Beam Schedule'!$A$2:$Q$2902,AE$2,0)&lt;&gt;O2090,"Beam Revised","")</f>
        <v>#N/A</v>
      </c>
    </row>
    <row r="2091" spans="17:31" ht="20.100000000000001" customHeight="1" x14ac:dyDescent="0.25">
      <c r="Q2091" s="7">
        <f t="shared" si="32"/>
        <v>0</v>
      </c>
      <c r="R2091" s="7" t="e">
        <f>IF(VLOOKUP($A2091,'Concrete Beam Schedule'!$A$2:$Q$2902,R$2,0)&lt;&gt;B2091,VLOOKUP($A2091,'Concrete Beam Schedule'!$A$2:$Q$2902,R$2,0),"")</f>
        <v>#N/A</v>
      </c>
      <c r="S2091" s="7" t="e">
        <f>IF(VLOOKUP($A2091,'Concrete Beam Schedule'!$A$2:$Q$2902,S$2,0)&lt;&gt;C2091,VLOOKUP($A2091,'Concrete Beam Schedule'!$A$2:$Q$2902,S$2,0),"")</f>
        <v>#N/A</v>
      </c>
      <c r="T2091" s="7" t="e">
        <f>IF(VLOOKUP($A2091,'Concrete Beam Schedule'!$A$2:$Q$2902,T$2,0)&lt;&gt;D2091,"Beam Revised","")</f>
        <v>#N/A</v>
      </c>
      <c r="U2091" s="7" t="e">
        <f>IF(VLOOKUP($A2091,'Concrete Beam Schedule'!$A$2:$Q$2902,U$2,0)&lt;&gt;E2091,"Beam Revised","")</f>
        <v>#N/A</v>
      </c>
      <c r="V2091" s="7" t="e">
        <f>IF(VLOOKUP($A2091,'Concrete Beam Schedule'!$A$2:$Q$2902,V$2,0)&lt;&gt;F2091,"Beam Revised","")</f>
        <v>#N/A</v>
      </c>
      <c r="W2091" s="7" t="e">
        <f>IF(VLOOKUP($A2091,'Concrete Beam Schedule'!$A$2:$Q$2902,W$2,0)&lt;&gt;G2091,"Beam Revised","")</f>
        <v>#N/A</v>
      </c>
      <c r="X2091" s="7" t="e">
        <f>IF(VLOOKUP($A2091,'Concrete Beam Schedule'!$A$2:$Q$2902,X$2,0)&lt;&gt;H2091,"Beam Revised","")</f>
        <v>#N/A</v>
      </c>
      <c r="Y2091" s="7" t="e">
        <f>IF(VLOOKUP($A2091,'Concrete Beam Schedule'!$A$2:$Q$2902,Y$2,0)&lt;&gt;I2091,"Beam Revised","")</f>
        <v>#N/A</v>
      </c>
      <c r="Z2091" s="7" t="e">
        <f>IF(VLOOKUP($A2091,'Concrete Beam Schedule'!$A$2:$Q$2902,Z$2,0)&lt;&gt;J2091,"Beam Revised","")</f>
        <v>#N/A</v>
      </c>
      <c r="AA2091" s="7" t="e">
        <f>IF(VLOOKUP($A2091,'Concrete Beam Schedule'!$A$2:$Q$2902,AA$2,0)&lt;&gt;K2091,"Beam Revised","")</f>
        <v>#N/A</v>
      </c>
      <c r="AB2091" s="7" t="e">
        <f>IF(VLOOKUP($A2091,'Concrete Beam Schedule'!$A$2:$Q$2902,AB$2,0)&lt;&gt;L2091,"Beam Revised","")</f>
        <v>#N/A</v>
      </c>
      <c r="AC2091" s="7" t="e">
        <f>IF(VLOOKUP($A2091,'Concrete Beam Schedule'!$A$2:$Q$2902,AC$2,0)&lt;&gt;M2091,"Beam Revised","")</f>
        <v>#N/A</v>
      </c>
      <c r="AD2091" s="7" t="e">
        <f>IF(VLOOKUP($A2091,'Concrete Beam Schedule'!$A$2:$Q$2902,AD$2,0)&lt;&gt;N2091,"Beam Revised","")</f>
        <v>#N/A</v>
      </c>
      <c r="AE2091" s="7" t="e">
        <f>IF(VLOOKUP($A2091,'Concrete Beam Schedule'!$A$2:$Q$2902,AE$2,0)&lt;&gt;O2091,"Beam Revised","")</f>
        <v>#N/A</v>
      </c>
    </row>
    <row r="2092" spans="17:31" ht="20.100000000000001" customHeight="1" x14ac:dyDescent="0.25">
      <c r="Q2092" s="7">
        <f t="shared" si="32"/>
        <v>0</v>
      </c>
      <c r="R2092" s="7" t="e">
        <f>IF(VLOOKUP($A2092,'Concrete Beam Schedule'!$A$2:$Q$2902,R$2,0)&lt;&gt;B2092,VLOOKUP($A2092,'Concrete Beam Schedule'!$A$2:$Q$2902,R$2,0),"")</f>
        <v>#N/A</v>
      </c>
      <c r="S2092" s="7" t="e">
        <f>IF(VLOOKUP($A2092,'Concrete Beam Schedule'!$A$2:$Q$2902,S$2,0)&lt;&gt;C2092,VLOOKUP($A2092,'Concrete Beam Schedule'!$A$2:$Q$2902,S$2,0),"")</f>
        <v>#N/A</v>
      </c>
      <c r="T2092" s="7" t="e">
        <f>IF(VLOOKUP($A2092,'Concrete Beam Schedule'!$A$2:$Q$2902,T$2,0)&lt;&gt;D2092,"Beam Revised","")</f>
        <v>#N/A</v>
      </c>
      <c r="U2092" s="7" t="e">
        <f>IF(VLOOKUP($A2092,'Concrete Beam Schedule'!$A$2:$Q$2902,U$2,0)&lt;&gt;E2092,"Beam Revised","")</f>
        <v>#N/A</v>
      </c>
      <c r="V2092" s="7" t="e">
        <f>IF(VLOOKUP($A2092,'Concrete Beam Schedule'!$A$2:$Q$2902,V$2,0)&lt;&gt;F2092,"Beam Revised","")</f>
        <v>#N/A</v>
      </c>
      <c r="W2092" s="7" t="e">
        <f>IF(VLOOKUP($A2092,'Concrete Beam Schedule'!$A$2:$Q$2902,W$2,0)&lt;&gt;G2092,"Beam Revised","")</f>
        <v>#N/A</v>
      </c>
      <c r="X2092" s="7" t="e">
        <f>IF(VLOOKUP($A2092,'Concrete Beam Schedule'!$A$2:$Q$2902,X$2,0)&lt;&gt;H2092,"Beam Revised","")</f>
        <v>#N/A</v>
      </c>
      <c r="Y2092" s="7" t="e">
        <f>IF(VLOOKUP($A2092,'Concrete Beam Schedule'!$A$2:$Q$2902,Y$2,0)&lt;&gt;I2092,"Beam Revised","")</f>
        <v>#N/A</v>
      </c>
      <c r="Z2092" s="7" t="e">
        <f>IF(VLOOKUP($A2092,'Concrete Beam Schedule'!$A$2:$Q$2902,Z$2,0)&lt;&gt;J2092,"Beam Revised","")</f>
        <v>#N/A</v>
      </c>
      <c r="AA2092" s="7" t="e">
        <f>IF(VLOOKUP($A2092,'Concrete Beam Schedule'!$A$2:$Q$2902,AA$2,0)&lt;&gt;K2092,"Beam Revised","")</f>
        <v>#N/A</v>
      </c>
      <c r="AB2092" s="7" t="e">
        <f>IF(VLOOKUP($A2092,'Concrete Beam Schedule'!$A$2:$Q$2902,AB$2,0)&lt;&gt;L2092,"Beam Revised","")</f>
        <v>#N/A</v>
      </c>
      <c r="AC2092" s="7" t="e">
        <f>IF(VLOOKUP($A2092,'Concrete Beam Schedule'!$A$2:$Q$2902,AC$2,0)&lt;&gt;M2092,"Beam Revised","")</f>
        <v>#N/A</v>
      </c>
      <c r="AD2092" s="7" t="e">
        <f>IF(VLOOKUP($A2092,'Concrete Beam Schedule'!$A$2:$Q$2902,AD$2,0)&lt;&gt;N2092,"Beam Revised","")</f>
        <v>#N/A</v>
      </c>
      <c r="AE2092" s="7" t="e">
        <f>IF(VLOOKUP($A2092,'Concrete Beam Schedule'!$A$2:$Q$2902,AE$2,0)&lt;&gt;O2092,"Beam Revised","")</f>
        <v>#N/A</v>
      </c>
    </row>
    <row r="2093" spans="17:31" ht="20.100000000000001" customHeight="1" x14ac:dyDescent="0.25">
      <c r="Q2093" s="7">
        <f t="shared" si="32"/>
        <v>0</v>
      </c>
      <c r="R2093" s="7" t="e">
        <f>IF(VLOOKUP($A2093,'Concrete Beam Schedule'!$A$2:$Q$2902,R$2,0)&lt;&gt;B2093,VLOOKUP($A2093,'Concrete Beam Schedule'!$A$2:$Q$2902,R$2,0),"")</f>
        <v>#N/A</v>
      </c>
      <c r="S2093" s="7" t="e">
        <f>IF(VLOOKUP($A2093,'Concrete Beam Schedule'!$A$2:$Q$2902,S$2,0)&lt;&gt;C2093,VLOOKUP($A2093,'Concrete Beam Schedule'!$A$2:$Q$2902,S$2,0),"")</f>
        <v>#N/A</v>
      </c>
      <c r="T2093" s="7" t="e">
        <f>IF(VLOOKUP($A2093,'Concrete Beam Schedule'!$A$2:$Q$2902,T$2,0)&lt;&gt;D2093,"Beam Revised","")</f>
        <v>#N/A</v>
      </c>
      <c r="U2093" s="7" t="e">
        <f>IF(VLOOKUP($A2093,'Concrete Beam Schedule'!$A$2:$Q$2902,U$2,0)&lt;&gt;E2093,"Beam Revised","")</f>
        <v>#N/A</v>
      </c>
      <c r="V2093" s="7" t="e">
        <f>IF(VLOOKUP($A2093,'Concrete Beam Schedule'!$A$2:$Q$2902,V$2,0)&lt;&gt;F2093,"Beam Revised","")</f>
        <v>#N/A</v>
      </c>
      <c r="W2093" s="7" t="e">
        <f>IF(VLOOKUP($A2093,'Concrete Beam Schedule'!$A$2:$Q$2902,W$2,0)&lt;&gt;G2093,"Beam Revised","")</f>
        <v>#N/A</v>
      </c>
      <c r="X2093" s="7" t="e">
        <f>IF(VLOOKUP($A2093,'Concrete Beam Schedule'!$A$2:$Q$2902,X$2,0)&lt;&gt;H2093,"Beam Revised","")</f>
        <v>#N/A</v>
      </c>
      <c r="Y2093" s="7" t="e">
        <f>IF(VLOOKUP($A2093,'Concrete Beam Schedule'!$A$2:$Q$2902,Y$2,0)&lt;&gt;I2093,"Beam Revised","")</f>
        <v>#N/A</v>
      </c>
      <c r="Z2093" s="7" t="e">
        <f>IF(VLOOKUP($A2093,'Concrete Beam Schedule'!$A$2:$Q$2902,Z$2,0)&lt;&gt;J2093,"Beam Revised","")</f>
        <v>#N/A</v>
      </c>
      <c r="AA2093" s="7" t="e">
        <f>IF(VLOOKUP($A2093,'Concrete Beam Schedule'!$A$2:$Q$2902,AA$2,0)&lt;&gt;K2093,"Beam Revised","")</f>
        <v>#N/A</v>
      </c>
      <c r="AB2093" s="7" t="e">
        <f>IF(VLOOKUP($A2093,'Concrete Beam Schedule'!$A$2:$Q$2902,AB$2,0)&lt;&gt;L2093,"Beam Revised","")</f>
        <v>#N/A</v>
      </c>
      <c r="AC2093" s="7" t="e">
        <f>IF(VLOOKUP($A2093,'Concrete Beam Schedule'!$A$2:$Q$2902,AC$2,0)&lt;&gt;M2093,"Beam Revised","")</f>
        <v>#N/A</v>
      </c>
      <c r="AD2093" s="7" t="e">
        <f>IF(VLOOKUP($A2093,'Concrete Beam Schedule'!$A$2:$Q$2902,AD$2,0)&lt;&gt;N2093,"Beam Revised","")</f>
        <v>#N/A</v>
      </c>
      <c r="AE2093" s="7" t="e">
        <f>IF(VLOOKUP($A2093,'Concrete Beam Schedule'!$A$2:$Q$2902,AE$2,0)&lt;&gt;O2093,"Beam Revised","")</f>
        <v>#N/A</v>
      </c>
    </row>
    <row r="2094" spans="17:31" ht="20.100000000000001" customHeight="1" x14ac:dyDescent="0.25">
      <c r="Q2094" s="7">
        <f t="shared" si="32"/>
        <v>0</v>
      </c>
      <c r="R2094" s="7" t="e">
        <f>IF(VLOOKUP($A2094,'Concrete Beam Schedule'!$A$2:$Q$2902,R$2,0)&lt;&gt;B2094,VLOOKUP($A2094,'Concrete Beam Schedule'!$A$2:$Q$2902,R$2,0),"")</f>
        <v>#N/A</v>
      </c>
      <c r="S2094" s="7" t="e">
        <f>IF(VLOOKUP($A2094,'Concrete Beam Schedule'!$A$2:$Q$2902,S$2,0)&lt;&gt;C2094,VLOOKUP($A2094,'Concrete Beam Schedule'!$A$2:$Q$2902,S$2,0),"")</f>
        <v>#N/A</v>
      </c>
      <c r="T2094" s="7" t="e">
        <f>IF(VLOOKUP($A2094,'Concrete Beam Schedule'!$A$2:$Q$2902,T$2,0)&lt;&gt;D2094,"Beam Revised","")</f>
        <v>#N/A</v>
      </c>
      <c r="U2094" s="7" t="e">
        <f>IF(VLOOKUP($A2094,'Concrete Beam Schedule'!$A$2:$Q$2902,U$2,0)&lt;&gt;E2094,"Beam Revised","")</f>
        <v>#N/A</v>
      </c>
      <c r="V2094" s="7" t="e">
        <f>IF(VLOOKUP($A2094,'Concrete Beam Schedule'!$A$2:$Q$2902,V$2,0)&lt;&gt;F2094,"Beam Revised","")</f>
        <v>#N/A</v>
      </c>
      <c r="W2094" s="7" t="e">
        <f>IF(VLOOKUP($A2094,'Concrete Beam Schedule'!$A$2:$Q$2902,W$2,0)&lt;&gt;G2094,"Beam Revised","")</f>
        <v>#N/A</v>
      </c>
      <c r="X2094" s="7" t="e">
        <f>IF(VLOOKUP($A2094,'Concrete Beam Schedule'!$A$2:$Q$2902,X$2,0)&lt;&gt;H2094,"Beam Revised","")</f>
        <v>#N/A</v>
      </c>
      <c r="Y2094" s="7" t="e">
        <f>IF(VLOOKUP($A2094,'Concrete Beam Schedule'!$A$2:$Q$2902,Y$2,0)&lt;&gt;I2094,"Beam Revised","")</f>
        <v>#N/A</v>
      </c>
      <c r="Z2094" s="7" t="e">
        <f>IF(VLOOKUP($A2094,'Concrete Beam Schedule'!$A$2:$Q$2902,Z$2,0)&lt;&gt;J2094,"Beam Revised","")</f>
        <v>#N/A</v>
      </c>
      <c r="AA2094" s="7" t="e">
        <f>IF(VLOOKUP($A2094,'Concrete Beam Schedule'!$A$2:$Q$2902,AA$2,0)&lt;&gt;K2094,"Beam Revised","")</f>
        <v>#N/A</v>
      </c>
      <c r="AB2094" s="7" t="e">
        <f>IF(VLOOKUP($A2094,'Concrete Beam Schedule'!$A$2:$Q$2902,AB$2,0)&lt;&gt;L2094,"Beam Revised","")</f>
        <v>#N/A</v>
      </c>
      <c r="AC2094" s="7" t="e">
        <f>IF(VLOOKUP($A2094,'Concrete Beam Schedule'!$A$2:$Q$2902,AC$2,0)&lt;&gt;M2094,"Beam Revised","")</f>
        <v>#N/A</v>
      </c>
      <c r="AD2094" s="7" t="e">
        <f>IF(VLOOKUP($A2094,'Concrete Beam Schedule'!$A$2:$Q$2902,AD$2,0)&lt;&gt;N2094,"Beam Revised","")</f>
        <v>#N/A</v>
      </c>
      <c r="AE2094" s="7" t="e">
        <f>IF(VLOOKUP($A2094,'Concrete Beam Schedule'!$A$2:$Q$2902,AE$2,0)&lt;&gt;O2094,"Beam Revised","")</f>
        <v>#N/A</v>
      </c>
    </row>
    <row r="2095" spans="17:31" ht="20.100000000000001" customHeight="1" x14ac:dyDescent="0.25">
      <c r="Q2095" s="7">
        <f t="shared" si="32"/>
        <v>0</v>
      </c>
      <c r="R2095" s="7" t="e">
        <f>IF(VLOOKUP($A2095,'Concrete Beam Schedule'!$A$2:$Q$2902,R$2,0)&lt;&gt;B2095,VLOOKUP($A2095,'Concrete Beam Schedule'!$A$2:$Q$2902,R$2,0),"")</f>
        <v>#N/A</v>
      </c>
      <c r="S2095" s="7" t="e">
        <f>IF(VLOOKUP($A2095,'Concrete Beam Schedule'!$A$2:$Q$2902,S$2,0)&lt;&gt;C2095,VLOOKUP($A2095,'Concrete Beam Schedule'!$A$2:$Q$2902,S$2,0),"")</f>
        <v>#N/A</v>
      </c>
      <c r="T2095" s="7" t="e">
        <f>IF(VLOOKUP($A2095,'Concrete Beam Schedule'!$A$2:$Q$2902,T$2,0)&lt;&gt;D2095,"Beam Revised","")</f>
        <v>#N/A</v>
      </c>
      <c r="U2095" s="7" t="e">
        <f>IF(VLOOKUP($A2095,'Concrete Beam Schedule'!$A$2:$Q$2902,U$2,0)&lt;&gt;E2095,"Beam Revised","")</f>
        <v>#N/A</v>
      </c>
      <c r="V2095" s="7" t="e">
        <f>IF(VLOOKUP($A2095,'Concrete Beam Schedule'!$A$2:$Q$2902,V$2,0)&lt;&gt;F2095,"Beam Revised","")</f>
        <v>#N/A</v>
      </c>
      <c r="W2095" s="7" t="e">
        <f>IF(VLOOKUP($A2095,'Concrete Beam Schedule'!$A$2:$Q$2902,W$2,0)&lt;&gt;G2095,"Beam Revised","")</f>
        <v>#N/A</v>
      </c>
      <c r="X2095" s="7" t="e">
        <f>IF(VLOOKUP($A2095,'Concrete Beam Schedule'!$A$2:$Q$2902,X$2,0)&lt;&gt;H2095,"Beam Revised","")</f>
        <v>#N/A</v>
      </c>
      <c r="Y2095" s="7" t="e">
        <f>IF(VLOOKUP($A2095,'Concrete Beam Schedule'!$A$2:$Q$2902,Y$2,0)&lt;&gt;I2095,"Beam Revised","")</f>
        <v>#N/A</v>
      </c>
      <c r="Z2095" s="7" t="e">
        <f>IF(VLOOKUP($A2095,'Concrete Beam Schedule'!$A$2:$Q$2902,Z$2,0)&lt;&gt;J2095,"Beam Revised","")</f>
        <v>#N/A</v>
      </c>
      <c r="AA2095" s="7" t="e">
        <f>IF(VLOOKUP($A2095,'Concrete Beam Schedule'!$A$2:$Q$2902,AA$2,0)&lt;&gt;K2095,"Beam Revised","")</f>
        <v>#N/A</v>
      </c>
      <c r="AB2095" s="7" t="e">
        <f>IF(VLOOKUP($A2095,'Concrete Beam Schedule'!$A$2:$Q$2902,AB$2,0)&lt;&gt;L2095,"Beam Revised","")</f>
        <v>#N/A</v>
      </c>
      <c r="AC2095" s="7" t="e">
        <f>IF(VLOOKUP($A2095,'Concrete Beam Schedule'!$A$2:$Q$2902,AC$2,0)&lt;&gt;M2095,"Beam Revised","")</f>
        <v>#N/A</v>
      </c>
      <c r="AD2095" s="7" t="e">
        <f>IF(VLOOKUP($A2095,'Concrete Beam Schedule'!$A$2:$Q$2902,AD$2,0)&lt;&gt;N2095,"Beam Revised","")</f>
        <v>#N/A</v>
      </c>
      <c r="AE2095" s="7" t="e">
        <f>IF(VLOOKUP($A2095,'Concrete Beam Schedule'!$A$2:$Q$2902,AE$2,0)&lt;&gt;O2095,"Beam Revised","")</f>
        <v>#N/A</v>
      </c>
    </row>
    <row r="2096" spans="17:31" ht="20.100000000000001" customHeight="1" x14ac:dyDescent="0.25">
      <c r="Q2096" s="7">
        <f t="shared" si="32"/>
        <v>0</v>
      </c>
      <c r="R2096" s="7" t="e">
        <f>IF(VLOOKUP($A2096,'Concrete Beam Schedule'!$A$2:$Q$2902,R$2,0)&lt;&gt;B2096,VLOOKUP($A2096,'Concrete Beam Schedule'!$A$2:$Q$2902,R$2,0),"")</f>
        <v>#N/A</v>
      </c>
      <c r="S2096" s="7" t="e">
        <f>IF(VLOOKUP($A2096,'Concrete Beam Schedule'!$A$2:$Q$2902,S$2,0)&lt;&gt;C2096,VLOOKUP($A2096,'Concrete Beam Schedule'!$A$2:$Q$2902,S$2,0),"")</f>
        <v>#N/A</v>
      </c>
      <c r="T2096" s="7" t="e">
        <f>IF(VLOOKUP($A2096,'Concrete Beam Schedule'!$A$2:$Q$2902,T$2,0)&lt;&gt;D2096,"Beam Revised","")</f>
        <v>#N/A</v>
      </c>
      <c r="U2096" s="7" t="e">
        <f>IF(VLOOKUP($A2096,'Concrete Beam Schedule'!$A$2:$Q$2902,U$2,0)&lt;&gt;E2096,"Beam Revised","")</f>
        <v>#N/A</v>
      </c>
      <c r="V2096" s="7" t="e">
        <f>IF(VLOOKUP($A2096,'Concrete Beam Schedule'!$A$2:$Q$2902,V$2,0)&lt;&gt;F2096,"Beam Revised","")</f>
        <v>#N/A</v>
      </c>
      <c r="W2096" s="7" t="e">
        <f>IF(VLOOKUP($A2096,'Concrete Beam Schedule'!$A$2:$Q$2902,W$2,0)&lt;&gt;G2096,"Beam Revised","")</f>
        <v>#N/A</v>
      </c>
      <c r="X2096" s="7" t="e">
        <f>IF(VLOOKUP($A2096,'Concrete Beam Schedule'!$A$2:$Q$2902,X$2,0)&lt;&gt;H2096,"Beam Revised","")</f>
        <v>#N/A</v>
      </c>
      <c r="Y2096" s="7" t="e">
        <f>IF(VLOOKUP($A2096,'Concrete Beam Schedule'!$A$2:$Q$2902,Y$2,0)&lt;&gt;I2096,"Beam Revised","")</f>
        <v>#N/A</v>
      </c>
      <c r="Z2096" s="7" t="e">
        <f>IF(VLOOKUP($A2096,'Concrete Beam Schedule'!$A$2:$Q$2902,Z$2,0)&lt;&gt;J2096,"Beam Revised","")</f>
        <v>#N/A</v>
      </c>
      <c r="AA2096" s="7" t="e">
        <f>IF(VLOOKUP($A2096,'Concrete Beam Schedule'!$A$2:$Q$2902,AA$2,0)&lt;&gt;K2096,"Beam Revised","")</f>
        <v>#N/A</v>
      </c>
      <c r="AB2096" s="7" t="e">
        <f>IF(VLOOKUP($A2096,'Concrete Beam Schedule'!$A$2:$Q$2902,AB$2,0)&lt;&gt;L2096,"Beam Revised","")</f>
        <v>#N/A</v>
      </c>
      <c r="AC2096" s="7" t="e">
        <f>IF(VLOOKUP($A2096,'Concrete Beam Schedule'!$A$2:$Q$2902,AC$2,0)&lt;&gt;M2096,"Beam Revised","")</f>
        <v>#N/A</v>
      </c>
      <c r="AD2096" s="7" t="e">
        <f>IF(VLOOKUP($A2096,'Concrete Beam Schedule'!$A$2:$Q$2902,AD$2,0)&lt;&gt;N2096,"Beam Revised","")</f>
        <v>#N/A</v>
      </c>
      <c r="AE2096" s="7" t="e">
        <f>IF(VLOOKUP($A2096,'Concrete Beam Schedule'!$A$2:$Q$2902,AE$2,0)&lt;&gt;O2096,"Beam Revised","")</f>
        <v>#N/A</v>
      </c>
    </row>
    <row r="2097" spans="17:31" ht="20.100000000000001" customHeight="1" x14ac:dyDescent="0.25">
      <c r="Q2097" s="7">
        <f t="shared" si="32"/>
        <v>0</v>
      </c>
      <c r="R2097" s="7" t="e">
        <f>IF(VLOOKUP($A2097,'Concrete Beam Schedule'!$A$2:$Q$2902,R$2,0)&lt;&gt;B2097,VLOOKUP($A2097,'Concrete Beam Schedule'!$A$2:$Q$2902,R$2,0),"")</f>
        <v>#N/A</v>
      </c>
      <c r="S2097" s="7" t="e">
        <f>IF(VLOOKUP($A2097,'Concrete Beam Schedule'!$A$2:$Q$2902,S$2,0)&lt;&gt;C2097,VLOOKUP($A2097,'Concrete Beam Schedule'!$A$2:$Q$2902,S$2,0),"")</f>
        <v>#N/A</v>
      </c>
      <c r="T2097" s="7" t="e">
        <f>IF(VLOOKUP($A2097,'Concrete Beam Schedule'!$A$2:$Q$2902,T$2,0)&lt;&gt;D2097,"Beam Revised","")</f>
        <v>#N/A</v>
      </c>
      <c r="U2097" s="7" t="e">
        <f>IF(VLOOKUP($A2097,'Concrete Beam Schedule'!$A$2:$Q$2902,U$2,0)&lt;&gt;E2097,"Beam Revised","")</f>
        <v>#N/A</v>
      </c>
      <c r="V2097" s="7" t="e">
        <f>IF(VLOOKUP($A2097,'Concrete Beam Schedule'!$A$2:$Q$2902,V$2,0)&lt;&gt;F2097,"Beam Revised","")</f>
        <v>#N/A</v>
      </c>
      <c r="W2097" s="7" t="e">
        <f>IF(VLOOKUP($A2097,'Concrete Beam Schedule'!$A$2:$Q$2902,W$2,0)&lt;&gt;G2097,"Beam Revised","")</f>
        <v>#N/A</v>
      </c>
      <c r="X2097" s="7" t="e">
        <f>IF(VLOOKUP($A2097,'Concrete Beam Schedule'!$A$2:$Q$2902,X$2,0)&lt;&gt;H2097,"Beam Revised","")</f>
        <v>#N/A</v>
      </c>
      <c r="Y2097" s="7" t="e">
        <f>IF(VLOOKUP($A2097,'Concrete Beam Schedule'!$A$2:$Q$2902,Y$2,0)&lt;&gt;I2097,"Beam Revised","")</f>
        <v>#N/A</v>
      </c>
      <c r="Z2097" s="7" t="e">
        <f>IF(VLOOKUP($A2097,'Concrete Beam Schedule'!$A$2:$Q$2902,Z$2,0)&lt;&gt;J2097,"Beam Revised","")</f>
        <v>#N/A</v>
      </c>
      <c r="AA2097" s="7" t="e">
        <f>IF(VLOOKUP($A2097,'Concrete Beam Schedule'!$A$2:$Q$2902,AA$2,0)&lt;&gt;K2097,"Beam Revised","")</f>
        <v>#N/A</v>
      </c>
      <c r="AB2097" s="7" t="e">
        <f>IF(VLOOKUP($A2097,'Concrete Beam Schedule'!$A$2:$Q$2902,AB$2,0)&lt;&gt;L2097,"Beam Revised","")</f>
        <v>#N/A</v>
      </c>
      <c r="AC2097" s="7" t="e">
        <f>IF(VLOOKUP($A2097,'Concrete Beam Schedule'!$A$2:$Q$2902,AC$2,0)&lt;&gt;M2097,"Beam Revised","")</f>
        <v>#N/A</v>
      </c>
      <c r="AD2097" s="7" t="e">
        <f>IF(VLOOKUP($A2097,'Concrete Beam Schedule'!$A$2:$Q$2902,AD$2,0)&lt;&gt;N2097,"Beam Revised","")</f>
        <v>#N/A</v>
      </c>
      <c r="AE2097" s="7" t="e">
        <f>IF(VLOOKUP($A2097,'Concrete Beam Schedule'!$A$2:$Q$2902,AE$2,0)&lt;&gt;O2097,"Beam Revised","")</f>
        <v>#N/A</v>
      </c>
    </row>
    <row r="2098" spans="17:31" ht="20.100000000000001" customHeight="1" x14ac:dyDescent="0.25">
      <c r="Q2098" s="7">
        <f t="shared" si="32"/>
        <v>0</v>
      </c>
      <c r="R2098" s="7" t="e">
        <f>IF(VLOOKUP($A2098,'Concrete Beam Schedule'!$A$2:$Q$2902,R$2,0)&lt;&gt;B2098,VLOOKUP($A2098,'Concrete Beam Schedule'!$A$2:$Q$2902,R$2,0),"")</f>
        <v>#N/A</v>
      </c>
      <c r="S2098" s="7" t="e">
        <f>IF(VLOOKUP($A2098,'Concrete Beam Schedule'!$A$2:$Q$2902,S$2,0)&lt;&gt;C2098,VLOOKUP($A2098,'Concrete Beam Schedule'!$A$2:$Q$2902,S$2,0),"")</f>
        <v>#N/A</v>
      </c>
      <c r="T2098" s="7" t="e">
        <f>IF(VLOOKUP($A2098,'Concrete Beam Schedule'!$A$2:$Q$2902,T$2,0)&lt;&gt;D2098,"Beam Revised","")</f>
        <v>#N/A</v>
      </c>
      <c r="U2098" s="7" t="e">
        <f>IF(VLOOKUP($A2098,'Concrete Beam Schedule'!$A$2:$Q$2902,U$2,0)&lt;&gt;E2098,"Beam Revised","")</f>
        <v>#N/A</v>
      </c>
      <c r="V2098" s="7" t="e">
        <f>IF(VLOOKUP($A2098,'Concrete Beam Schedule'!$A$2:$Q$2902,V$2,0)&lt;&gt;F2098,"Beam Revised","")</f>
        <v>#N/A</v>
      </c>
      <c r="W2098" s="7" t="e">
        <f>IF(VLOOKUP($A2098,'Concrete Beam Schedule'!$A$2:$Q$2902,W$2,0)&lt;&gt;G2098,"Beam Revised","")</f>
        <v>#N/A</v>
      </c>
      <c r="X2098" s="7" t="e">
        <f>IF(VLOOKUP($A2098,'Concrete Beam Schedule'!$A$2:$Q$2902,X$2,0)&lt;&gt;H2098,"Beam Revised","")</f>
        <v>#N/A</v>
      </c>
      <c r="Y2098" s="7" t="e">
        <f>IF(VLOOKUP($A2098,'Concrete Beam Schedule'!$A$2:$Q$2902,Y$2,0)&lt;&gt;I2098,"Beam Revised","")</f>
        <v>#N/A</v>
      </c>
      <c r="Z2098" s="7" t="e">
        <f>IF(VLOOKUP($A2098,'Concrete Beam Schedule'!$A$2:$Q$2902,Z$2,0)&lt;&gt;J2098,"Beam Revised","")</f>
        <v>#N/A</v>
      </c>
      <c r="AA2098" s="7" t="e">
        <f>IF(VLOOKUP($A2098,'Concrete Beam Schedule'!$A$2:$Q$2902,AA$2,0)&lt;&gt;K2098,"Beam Revised","")</f>
        <v>#N/A</v>
      </c>
      <c r="AB2098" s="7" t="e">
        <f>IF(VLOOKUP($A2098,'Concrete Beam Schedule'!$A$2:$Q$2902,AB$2,0)&lt;&gt;L2098,"Beam Revised","")</f>
        <v>#N/A</v>
      </c>
      <c r="AC2098" s="7" t="e">
        <f>IF(VLOOKUP($A2098,'Concrete Beam Schedule'!$A$2:$Q$2902,AC$2,0)&lt;&gt;M2098,"Beam Revised","")</f>
        <v>#N/A</v>
      </c>
      <c r="AD2098" s="7" t="e">
        <f>IF(VLOOKUP($A2098,'Concrete Beam Schedule'!$A$2:$Q$2902,AD$2,0)&lt;&gt;N2098,"Beam Revised","")</f>
        <v>#N/A</v>
      </c>
      <c r="AE2098" s="7" t="e">
        <f>IF(VLOOKUP($A2098,'Concrete Beam Schedule'!$A$2:$Q$2902,AE$2,0)&lt;&gt;O2098,"Beam Revised","")</f>
        <v>#N/A</v>
      </c>
    </row>
    <row r="2099" spans="17:31" ht="20.100000000000001" customHeight="1" x14ac:dyDescent="0.25">
      <c r="Q2099" s="7">
        <f t="shared" si="32"/>
        <v>0</v>
      </c>
      <c r="R2099" s="7" t="e">
        <f>IF(VLOOKUP($A2099,'Concrete Beam Schedule'!$A$2:$Q$2902,R$2,0)&lt;&gt;B2099,VLOOKUP($A2099,'Concrete Beam Schedule'!$A$2:$Q$2902,R$2,0),"")</f>
        <v>#N/A</v>
      </c>
      <c r="S2099" s="7" t="e">
        <f>IF(VLOOKUP($A2099,'Concrete Beam Schedule'!$A$2:$Q$2902,S$2,0)&lt;&gt;C2099,VLOOKUP($A2099,'Concrete Beam Schedule'!$A$2:$Q$2902,S$2,0),"")</f>
        <v>#N/A</v>
      </c>
      <c r="T2099" s="7" t="e">
        <f>IF(VLOOKUP($A2099,'Concrete Beam Schedule'!$A$2:$Q$2902,T$2,0)&lt;&gt;D2099,"Beam Revised","")</f>
        <v>#N/A</v>
      </c>
      <c r="U2099" s="7" t="e">
        <f>IF(VLOOKUP($A2099,'Concrete Beam Schedule'!$A$2:$Q$2902,U$2,0)&lt;&gt;E2099,"Beam Revised","")</f>
        <v>#N/A</v>
      </c>
      <c r="V2099" s="7" t="e">
        <f>IF(VLOOKUP($A2099,'Concrete Beam Schedule'!$A$2:$Q$2902,V$2,0)&lt;&gt;F2099,"Beam Revised","")</f>
        <v>#N/A</v>
      </c>
      <c r="W2099" s="7" t="e">
        <f>IF(VLOOKUP($A2099,'Concrete Beam Schedule'!$A$2:$Q$2902,W$2,0)&lt;&gt;G2099,"Beam Revised","")</f>
        <v>#N/A</v>
      </c>
      <c r="X2099" s="7" t="e">
        <f>IF(VLOOKUP($A2099,'Concrete Beam Schedule'!$A$2:$Q$2902,X$2,0)&lt;&gt;H2099,"Beam Revised","")</f>
        <v>#N/A</v>
      </c>
      <c r="Y2099" s="7" t="e">
        <f>IF(VLOOKUP($A2099,'Concrete Beam Schedule'!$A$2:$Q$2902,Y$2,0)&lt;&gt;I2099,"Beam Revised","")</f>
        <v>#N/A</v>
      </c>
      <c r="Z2099" s="7" t="e">
        <f>IF(VLOOKUP($A2099,'Concrete Beam Schedule'!$A$2:$Q$2902,Z$2,0)&lt;&gt;J2099,"Beam Revised","")</f>
        <v>#N/A</v>
      </c>
      <c r="AA2099" s="7" t="e">
        <f>IF(VLOOKUP($A2099,'Concrete Beam Schedule'!$A$2:$Q$2902,AA$2,0)&lt;&gt;K2099,"Beam Revised","")</f>
        <v>#N/A</v>
      </c>
      <c r="AB2099" s="7" t="e">
        <f>IF(VLOOKUP($A2099,'Concrete Beam Schedule'!$A$2:$Q$2902,AB$2,0)&lt;&gt;L2099,"Beam Revised","")</f>
        <v>#N/A</v>
      </c>
      <c r="AC2099" s="7" t="e">
        <f>IF(VLOOKUP($A2099,'Concrete Beam Schedule'!$A$2:$Q$2902,AC$2,0)&lt;&gt;M2099,"Beam Revised","")</f>
        <v>#N/A</v>
      </c>
      <c r="AD2099" s="7" t="e">
        <f>IF(VLOOKUP($A2099,'Concrete Beam Schedule'!$A$2:$Q$2902,AD$2,0)&lt;&gt;N2099,"Beam Revised","")</f>
        <v>#N/A</v>
      </c>
      <c r="AE2099" s="7" t="e">
        <f>IF(VLOOKUP($A2099,'Concrete Beam Schedule'!$A$2:$Q$2902,AE$2,0)&lt;&gt;O2099,"Beam Revised","")</f>
        <v>#N/A</v>
      </c>
    </row>
    <row r="2100" spans="17:31" ht="20.100000000000001" customHeight="1" x14ac:dyDescent="0.25">
      <c r="Q2100" s="7">
        <f t="shared" si="32"/>
        <v>0</v>
      </c>
      <c r="R2100" s="7" t="e">
        <f>IF(VLOOKUP($A2100,'Concrete Beam Schedule'!$A$2:$Q$2902,R$2,0)&lt;&gt;B2100,VLOOKUP($A2100,'Concrete Beam Schedule'!$A$2:$Q$2902,R$2,0),"")</f>
        <v>#N/A</v>
      </c>
      <c r="S2100" s="7" t="e">
        <f>IF(VLOOKUP($A2100,'Concrete Beam Schedule'!$A$2:$Q$2902,S$2,0)&lt;&gt;C2100,VLOOKUP($A2100,'Concrete Beam Schedule'!$A$2:$Q$2902,S$2,0),"")</f>
        <v>#N/A</v>
      </c>
      <c r="T2100" s="7" t="e">
        <f>IF(VLOOKUP($A2100,'Concrete Beam Schedule'!$A$2:$Q$2902,T$2,0)&lt;&gt;D2100,"Beam Revised","")</f>
        <v>#N/A</v>
      </c>
      <c r="U2100" s="7" t="e">
        <f>IF(VLOOKUP($A2100,'Concrete Beam Schedule'!$A$2:$Q$2902,U$2,0)&lt;&gt;E2100,"Beam Revised","")</f>
        <v>#N/A</v>
      </c>
      <c r="V2100" s="7" t="e">
        <f>IF(VLOOKUP($A2100,'Concrete Beam Schedule'!$A$2:$Q$2902,V$2,0)&lt;&gt;F2100,"Beam Revised","")</f>
        <v>#N/A</v>
      </c>
      <c r="W2100" s="7" t="e">
        <f>IF(VLOOKUP($A2100,'Concrete Beam Schedule'!$A$2:$Q$2902,W$2,0)&lt;&gt;G2100,"Beam Revised","")</f>
        <v>#N/A</v>
      </c>
      <c r="X2100" s="7" t="e">
        <f>IF(VLOOKUP($A2100,'Concrete Beam Schedule'!$A$2:$Q$2902,X$2,0)&lt;&gt;H2100,"Beam Revised","")</f>
        <v>#N/A</v>
      </c>
      <c r="Y2100" s="7" t="e">
        <f>IF(VLOOKUP($A2100,'Concrete Beam Schedule'!$A$2:$Q$2902,Y$2,0)&lt;&gt;I2100,"Beam Revised","")</f>
        <v>#N/A</v>
      </c>
      <c r="Z2100" s="7" t="e">
        <f>IF(VLOOKUP($A2100,'Concrete Beam Schedule'!$A$2:$Q$2902,Z$2,0)&lt;&gt;J2100,"Beam Revised","")</f>
        <v>#N/A</v>
      </c>
      <c r="AA2100" s="7" t="e">
        <f>IF(VLOOKUP($A2100,'Concrete Beam Schedule'!$A$2:$Q$2902,AA$2,0)&lt;&gt;K2100,"Beam Revised","")</f>
        <v>#N/A</v>
      </c>
      <c r="AB2100" s="7" t="e">
        <f>IF(VLOOKUP($A2100,'Concrete Beam Schedule'!$A$2:$Q$2902,AB$2,0)&lt;&gt;L2100,"Beam Revised","")</f>
        <v>#N/A</v>
      </c>
      <c r="AC2100" s="7" t="e">
        <f>IF(VLOOKUP($A2100,'Concrete Beam Schedule'!$A$2:$Q$2902,AC$2,0)&lt;&gt;M2100,"Beam Revised","")</f>
        <v>#N/A</v>
      </c>
      <c r="AD2100" s="7" t="e">
        <f>IF(VLOOKUP($A2100,'Concrete Beam Schedule'!$A$2:$Q$2902,AD$2,0)&lt;&gt;N2100,"Beam Revised","")</f>
        <v>#N/A</v>
      </c>
      <c r="AE2100" s="7" t="e">
        <f>IF(VLOOKUP($A2100,'Concrete Beam Schedule'!$A$2:$Q$2902,AE$2,0)&lt;&gt;O2100,"Beam Revised","")</f>
        <v>#N/A</v>
      </c>
    </row>
    <row r="2101" spans="17:31" ht="20.100000000000001" customHeight="1" x14ac:dyDescent="0.25">
      <c r="Q2101" s="7">
        <f t="shared" si="32"/>
        <v>0</v>
      </c>
      <c r="R2101" s="7" t="e">
        <f>IF(VLOOKUP($A2101,'Concrete Beam Schedule'!$A$2:$Q$2902,R$2,0)&lt;&gt;B2101,VLOOKUP($A2101,'Concrete Beam Schedule'!$A$2:$Q$2902,R$2,0),"")</f>
        <v>#N/A</v>
      </c>
      <c r="S2101" s="7" t="e">
        <f>IF(VLOOKUP($A2101,'Concrete Beam Schedule'!$A$2:$Q$2902,S$2,0)&lt;&gt;C2101,VLOOKUP($A2101,'Concrete Beam Schedule'!$A$2:$Q$2902,S$2,0),"")</f>
        <v>#N/A</v>
      </c>
      <c r="T2101" s="7" t="e">
        <f>IF(VLOOKUP($A2101,'Concrete Beam Schedule'!$A$2:$Q$2902,T$2,0)&lt;&gt;D2101,"Beam Revised","")</f>
        <v>#N/A</v>
      </c>
      <c r="U2101" s="7" t="e">
        <f>IF(VLOOKUP($A2101,'Concrete Beam Schedule'!$A$2:$Q$2902,U$2,0)&lt;&gt;E2101,"Beam Revised","")</f>
        <v>#N/A</v>
      </c>
      <c r="V2101" s="7" t="e">
        <f>IF(VLOOKUP($A2101,'Concrete Beam Schedule'!$A$2:$Q$2902,V$2,0)&lt;&gt;F2101,"Beam Revised","")</f>
        <v>#N/A</v>
      </c>
      <c r="W2101" s="7" t="e">
        <f>IF(VLOOKUP($A2101,'Concrete Beam Schedule'!$A$2:$Q$2902,W$2,0)&lt;&gt;G2101,"Beam Revised","")</f>
        <v>#N/A</v>
      </c>
      <c r="X2101" s="7" t="e">
        <f>IF(VLOOKUP($A2101,'Concrete Beam Schedule'!$A$2:$Q$2902,X$2,0)&lt;&gt;H2101,"Beam Revised","")</f>
        <v>#N/A</v>
      </c>
      <c r="Y2101" s="7" t="e">
        <f>IF(VLOOKUP($A2101,'Concrete Beam Schedule'!$A$2:$Q$2902,Y$2,0)&lt;&gt;I2101,"Beam Revised","")</f>
        <v>#N/A</v>
      </c>
      <c r="Z2101" s="7" t="e">
        <f>IF(VLOOKUP($A2101,'Concrete Beam Schedule'!$A$2:$Q$2902,Z$2,0)&lt;&gt;J2101,"Beam Revised","")</f>
        <v>#N/A</v>
      </c>
      <c r="AA2101" s="7" t="e">
        <f>IF(VLOOKUP($A2101,'Concrete Beam Schedule'!$A$2:$Q$2902,AA$2,0)&lt;&gt;K2101,"Beam Revised","")</f>
        <v>#N/A</v>
      </c>
      <c r="AB2101" s="7" t="e">
        <f>IF(VLOOKUP($A2101,'Concrete Beam Schedule'!$A$2:$Q$2902,AB$2,0)&lt;&gt;L2101,"Beam Revised","")</f>
        <v>#N/A</v>
      </c>
      <c r="AC2101" s="7" t="e">
        <f>IF(VLOOKUP($A2101,'Concrete Beam Schedule'!$A$2:$Q$2902,AC$2,0)&lt;&gt;M2101,"Beam Revised","")</f>
        <v>#N/A</v>
      </c>
      <c r="AD2101" s="7" t="e">
        <f>IF(VLOOKUP($A2101,'Concrete Beam Schedule'!$A$2:$Q$2902,AD$2,0)&lt;&gt;N2101,"Beam Revised","")</f>
        <v>#N/A</v>
      </c>
      <c r="AE2101" s="7" t="e">
        <f>IF(VLOOKUP($A2101,'Concrete Beam Schedule'!$A$2:$Q$2902,AE$2,0)&lt;&gt;O2101,"Beam Revised","")</f>
        <v>#N/A</v>
      </c>
    </row>
    <row r="2102" spans="17:31" ht="20.100000000000001" customHeight="1" x14ac:dyDescent="0.25">
      <c r="Q2102" s="7">
        <f t="shared" si="32"/>
        <v>0</v>
      </c>
      <c r="R2102" s="7" t="e">
        <f>IF(VLOOKUP($A2102,'Concrete Beam Schedule'!$A$2:$Q$2902,R$2,0)&lt;&gt;B2102,VLOOKUP($A2102,'Concrete Beam Schedule'!$A$2:$Q$2902,R$2,0),"")</f>
        <v>#N/A</v>
      </c>
      <c r="S2102" s="7" t="e">
        <f>IF(VLOOKUP($A2102,'Concrete Beam Schedule'!$A$2:$Q$2902,S$2,0)&lt;&gt;C2102,VLOOKUP($A2102,'Concrete Beam Schedule'!$A$2:$Q$2902,S$2,0),"")</f>
        <v>#N/A</v>
      </c>
      <c r="T2102" s="7" t="e">
        <f>IF(VLOOKUP($A2102,'Concrete Beam Schedule'!$A$2:$Q$2902,T$2,0)&lt;&gt;D2102,"Beam Revised","")</f>
        <v>#N/A</v>
      </c>
      <c r="U2102" s="7" t="e">
        <f>IF(VLOOKUP($A2102,'Concrete Beam Schedule'!$A$2:$Q$2902,U$2,0)&lt;&gt;E2102,"Beam Revised","")</f>
        <v>#N/A</v>
      </c>
      <c r="V2102" s="7" t="e">
        <f>IF(VLOOKUP($A2102,'Concrete Beam Schedule'!$A$2:$Q$2902,V$2,0)&lt;&gt;F2102,"Beam Revised","")</f>
        <v>#N/A</v>
      </c>
      <c r="W2102" s="7" t="e">
        <f>IF(VLOOKUP($A2102,'Concrete Beam Schedule'!$A$2:$Q$2902,W$2,0)&lt;&gt;G2102,"Beam Revised","")</f>
        <v>#N/A</v>
      </c>
      <c r="X2102" s="7" t="e">
        <f>IF(VLOOKUP($A2102,'Concrete Beam Schedule'!$A$2:$Q$2902,X$2,0)&lt;&gt;H2102,"Beam Revised","")</f>
        <v>#N/A</v>
      </c>
      <c r="Y2102" s="7" t="e">
        <f>IF(VLOOKUP($A2102,'Concrete Beam Schedule'!$A$2:$Q$2902,Y$2,0)&lt;&gt;I2102,"Beam Revised","")</f>
        <v>#N/A</v>
      </c>
      <c r="Z2102" s="7" t="e">
        <f>IF(VLOOKUP($A2102,'Concrete Beam Schedule'!$A$2:$Q$2902,Z$2,0)&lt;&gt;J2102,"Beam Revised","")</f>
        <v>#N/A</v>
      </c>
      <c r="AA2102" s="7" t="e">
        <f>IF(VLOOKUP($A2102,'Concrete Beam Schedule'!$A$2:$Q$2902,AA$2,0)&lt;&gt;K2102,"Beam Revised","")</f>
        <v>#N/A</v>
      </c>
      <c r="AB2102" s="7" t="e">
        <f>IF(VLOOKUP($A2102,'Concrete Beam Schedule'!$A$2:$Q$2902,AB$2,0)&lt;&gt;L2102,"Beam Revised","")</f>
        <v>#N/A</v>
      </c>
      <c r="AC2102" s="7" t="e">
        <f>IF(VLOOKUP($A2102,'Concrete Beam Schedule'!$A$2:$Q$2902,AC$2,0)&lt;&gt;M2102,"Beam Revised","")</f>
        <v>#N/A</v>
      </c>
      <c r="AD2102" s="7" t="e">
        <f>IF(VLOOKUP($A2102,'Concrete Beam Schedule'!$A$2:$Q$2902,AD$2,0)&lt;&gt;N2102,"Beam Revised","")</f>
        <v>#N/A</v>
      </c>
      <c r="AE2102" s="7" t="e">
        <f>IF(VLOOKUP($A2102,'Concrete Beam Schedule'!$A$2:$Q$2902,AE$2,0)&lt;&gt;O2102,"Beam Revised","")</f>
        <v>#N/A</v>
      </c>
    </row>
    <row r="2103" spans="17:31" ht="20.100000000000001" customHeight="1" x14ac:dyDescent="0.25">
      <c r="Q2103" s="7">
        <f t="shared" si="32"/>
        <v>0</v>
      </c>
      <c r="R2103" s="7" t="e">
        <f>IF(VLOOKUP($A2103,'Concrete Beam Schedule'!$A$2:$Q$2902,R$2,0)&lt;&gt;B2103,VLOOKUP($A2103,'Concrete Beam Schedule'!$A$2:$Q$2902,R$2,0),"")</f>
        <v>#N/A</v>
      </c>
      <c r="S2103" s="7" t="e">
        <f>IF(VLOOKUP($A2103,'Concrete Beam Schedule'!$A$2:$Q$2902,S$2,0)&lt;&gt;C2103,VLOOKUP($A2103,'Concrete Beam Schedule'!$A$2:$Q$2902,S$2,0),"")</f>
        <v>#N/A</v>
      </c>
      <c r="T2103" s="7" t="e">
        <f>IF(VLOOKUP($A2103,'Concrete Beam Schedule'!$A$2:$Q$2902,T$2,0)&lt;&gt;D2103,"Beam Revised","")</f>
        <v>#N/A</v>
      </c>
      <c r="U2103" s="7" t="e">
        <f>IF(VLOOKUP($A2103,'Concrete Beam Schedule'!$A$2:$Q$2902,U$2,0)&lt;&gt;E2103,"Beam Revised","")</f>
        <v>#N/A</v>
      </c>
      <c r="V2103" s="7" t="e">
        <f>IF(VLOOKUP($A2103,'Concrete Beam Schedule'!$A$2:$Q$2902,V$2,0)&lt;&gt;F2103,"Beam Revised","")</f>
        <v>#N/A</v>
      </c>
      <c r="W2103" s="7" t="e">
        <f>IF(VLOOKUP($A2103,'Concrete Beam Schedule'!$A$2:$Q$2902,W$2,0)&lt;&gt;G2103,"Beam Revised","")</f>
        <v>#N/A</v>
      </c>
      <c r="X2103" s="7" t="e">
        <f>IF(VLOOKUP($A2103,'Concrete Beam Schedule'!$A$2:$Q$2902,X$2,0)&lt;&gt;H2103,"Beam Revised","")</f>
        <v>#N/A</v>
      </c>
      <c r="Y2103" s="7" t="e">
        <f>IF(VLOOKUP($A2103,'Concrete Beam Schedule'!$A$2:$Q$2902,Y$2,0)&lt;&gt;I2103,"Beam Revised","")</f>
        <v>#N/A</v>
      </c>
      <c r="Z2103" s="7" t="e">
        <f>IF(VLOOKUP($A2103,'Concrete Beam Schedule'!$A$2:$Q$2902,Z$2,0)&lt;&gt;J2103,"Beam Revised","")</f>
        <v>#N/A</v>
      </c>
      <c r="AA2103" s="7" t="e">
        <f>IF(VLOOKUP($A2103,'Concrete Beam Schedule'!$A$2:$Q$2902,AA$2,0)&lt;&gt;K2103,"Beam Revised","")</f>
        <v>#N/A</v>
      </c>
      <c r="AB2103" s="7" t="e">
        <f>IF(VLOOKUP($A2103,'Concrete Beam Schedule'!$A$2:$Q$2902,AB$2,0)&lt;&gt;L2103,"Beam Revised","")</f>
        <v>#N/A</v>
      </c>
      <c r="AC2103" s="7" t="e">
        <f>IF(VLOOKUP($A2103,'Concrete Beam Schedule'!$A$2:$Q$2902,AC$2,0)&lt;&gt;M2103,"Beam Revised","")</f>
        <v>#N/A</v>
      </c>
      <c r="AD2103" s="7" t="e">
        <f>IF(VLOOKUP($A2103,'Concrete Beam Schedule'!$A$2:$Q$2902,AD$2,0)&lt;&gt;N2103,"Beam Revised","")</f>
        <v>#N/A</v>
      </c>
      <c r="AE2103" s="7" t="e">
        <f>IF(VLOOKUP($A2103,'Concrete Beam Schedule'!$A$2:$Q$2902,AE$2,0)&lt;&gt;O2103,"Beam Revised","")</f>
        <v>#N/A</v>
      </c>
    </row>
    <row r="2104" spans="17:31" ht="20.100000000000001" customHeight="1" x14ac:dyDescent="0.25">
      <c r="Q2104" s="7">
        <f t="shared" si="32"/>
        <v>0</v>
      </c>
      <c r="R2104" s="7" t="e">
        <f>IF(VLOOKUP($A2104,'Concrete Beam Schedule'!$A$2:$Q$2902,R$2,0)&lt;&gt;B2104,VLOOKUP($A2104,'Concrete Beam Schedule'!$A$2:$Q$2902,R$2,0),"")</f>
        <v>#N/A</v>
      </c>
      <c r="S2104" s="7" t="e">
        <f>IF(VLOOKUP($A2104,'Concrete Beam Schedule'!$A$2:$Q$2902,S$2,0)&lt;&gt;C2104,VLOOKUP($A2104,'Concrete Beam Schedule'!$A$2:$Q$2902,S$2,0),"")</f>
        <v>#N/A</v>
      </c>
      <c r="T2104" s="7" t="e">
        <f>IF(VLOOKUP($A2104,'Concrete Beam Schedule'!$A$2:$Q$2902,T$2,0)&lt;&gt;D2104,"Beam Revised","")</f>
        <v>#N/A</v>
      </c>
      <c r="U2104" s="7" t="e">
        <f>IF(VLOOKUP($A2104,'Concrete Beam Schedule'!$A$2:$Q$2902,U$2,0)&lt;&gt;E2104,"Beam Revised","")</f>
        <v>#N/A</v>
      </c>
      <c r="V2104" s="7" t="e">
        <f>IF(VLOOKUP($A2104,'Concrete Beam Schedule'!$A$2:$Q$2902,V$2,0)&lt;&gt;F2104,"Beam Revised","")</f>
        <v>#N/A</v>
      </c>
      <c r="W2104" s="7" t="e">
        <f>IF(VLOOKUP($A2104,'Concrete Beam Schedule'!$A$2:$Q$2902,W$2,0)&lt;&gt;G2104,"Beam Revised","")</f>
        <v>#N/A</v>
      </c>
      <c r="X2104" s="7" t="e">
        <f>IF(VLOOKUP($A2104,'Concrete Beam Schedule'!$A$2:$Q$2902,X$2,0)&lt;&gt;H2104,"Beam Revised","")</f>
        <v>#N/A</v>
      </c>
      <c r="Y2104" s="7" t="e">
        <f>IF(VLOOKUP($A2104,'Concrete Beam Schedule'!$A$2:$Q$2902,Y$2,0)&lt;&gt;I2104,"Beam Revised","")</f>
        <v>#N/A</v>
      </c>
      <c r="Z2104" s="7" t="e">
        <f>IF(VLOOKUP($A2104,'Concrete Beam Schedule'!$A$2:$Q$2902,Z$2,0)&lt;&gt;J2104,"Beam Revised","")</f>
        <v>#N/A</v>
      </c>
      <c r="AA2104" s="7" t="e">
        <f>IF(VLOOKUP($A2104,'Concrete Beam Schedule'!$A$2:$Q$2902,AA$2,0)&lt;&gt;K2104,"Beam Revised","")</f>
        <v>#N/A</v>
      </c>
      <c r="AB2104" s="7" t="e">
        <f>IF(VLOOKUP($A2104,'Concrete Beam Schedule'!$A$2:$Q$2902,AB$2,0)&lt;&gt;L2104,"Beam Revised","")</f>
        <v>#N/A</v>
      </c>
      <c r="AC2104" s="7" t="e">
        <f>IF(VLOOKUP($A2104,'Concrete Beam Schedule'!$A$2:$Q$2902,AC$2,0)&lt;&gt;M2104,"Beam Revised","")</f>
        <v>#N/A</v>
      </c>
      <c r="AD2104" s="7" t="e">
        <f>IF(VLOOKUP($A2104,'Concrete Beam Schedule'!$A$2:$Q$2902,AD$2,0)&lt;&gt;N2104,"Beam Revised","")</f>
        <v>#N/A</v>
      </c>
      <c r="AE2104" s="7" t="e">
        <f>IF(VLOOKUP($A2104,'Concrete Beam Schedule'!$A$2:$Q$2902,AE$2,0)&lt;&gt;O2104,"Beam Revised","")</f>
        <v>#N/A</v>
      </c>
    </row>
    <row r="2105" spans="17:31" ht="20.100000000000001" customHeight="1" x14ac:dyDescent="0.25">
      <c r="Q2105" s="7">
        <f t="shared" si="32"/>
        <v>0</v>
      </c>
      <c r="R2105" s="7" t="e">
        <f>IF(VLOOKUP($A2105,'Concrete Beam Schedule'!$A$2:$Q$2902,R$2,0)&lt;&gt;B2105,VLOOKUP($A2105,'Concrete Beam Schedule'!$A$2:$Q$2902,R$2,0),"")</f>
        <v>#N/A</v>
      </c>
      <c r="S2105" s="7" t="e">
        <f>IF(VLOOKUP($A2105,'Concrete Beam Schedule'!$A$2:$Q$2902,S$2,0)&lt;&gt;C2105,VLOOKUP($A2105,'Concrete Beam Schedule'!$A$2:$Q$2902,S$2,0),"")</f>
        <v>#N/A</v>
      </c>
      <c r="T2105" s="7" t="e">
        <f>IF(VLOOKUP($A2105,'Concrete Beam Schedule'!$A$2:$Q$2902,T$2,0)&lt;&gt;D2105,"Beam Revised","")</f>
        <v>#N/A</v>
      </c>
      <c r="U2105" s="7" t="e">
        <f>IF(VLOOKUP($A2105,'Concrete Beam Schedule'!$A$2:$Q$2902,U$2,0)&lt;&gt;E2105,"Beam Revised","")</f>
        <v>#N/A</v>
      </c>
      <c r="V2105" s="7" t="e">
        <f>IF(VLOOKUP($A2105,'Concrete Beam Schedule'!$A$2:$Q$2902,V$2,0)&lt;&gt;F2105,"Beam Revised","")</f>
        <v>#N/A</v>
      </c>
      <c r="W2105" s="7" t="e">
        <f>IF(VLOOKUP($A2105,'Concrete Beam Schedule'!$A$2:$Q$2902,W$2,0)&lt;&gt;G2105,"Beam Revised","")</f>
        <v>#N/A</v>
      </c>
      <c r="X2105" s="7" t="e">
        <f>IF(VLOOKUP($A2105,'Concrete Beam Schedule'!$A$2:$Q$2902,X$2,0)&lt;&gt;H2105,"Beam Revised","")</f>
        <v>#N/A</v>
      </c>
      <c r="Y2105" s="7" t="e">
        <f>IF(VLOOKUP($A2105,'Concrete Beam Schedule'!$A$2:$Q$2902,Y$2,0)&lt;&gt;I2105,"Beam Revised","")</f>
        <v>#N/A</v>
      </c>
      <c r="Z2105" s="7" t="e">
        <f>IF(VLOOKUP($A2105,'Concrete Beam Schedule'!$A$2:$Q$2902,Z$2,0)&lt;&gt;J2105,"Beam Revised","")</f>
        <v>#N/A</v>
      </c>
      <c r="AA2105" s="7" t="e">
        <f>IF(VLOOKUP($A2105,'Concrete Beam Schedule'!$A$2:$Q$2902,AA$2,0)&lt;&gt;K2105,"Beam Revised","")</f>
        <v>#N/A</v>
      </c>
      <c r="AB2105" s="7" t="e">
        <f>IF(VLOOKUP($A2105,'Concrete Beam Schedule'!$A$2:$Q$2902,AB$2,0)&lt;&gt;L2105,"Beam Revised","")</f>
        <v>#N/A</v>
      </c>
      <c r="AC2105" s="7" t="e">
        <f>IF(VLOOKUP($A2105,'Concrete Beam Schedule'!$A$2:$Q$2902,AC$2,0)&lt;&gt;M2105,"Beam Revised","")</f>
        <v>#N/A</v>
      </c>
      <c r="AD2105" s="7" t="e">
        <f>IF(VLOOKUP($A2105,'Concrete Beam Schedule'!$A$2:$Q$2902,AD$2,0)&lt;&gt;N2105,"Beam Revised","")</f>
        <v>#N/A</v>
      </c>
      <c r="AE2105" s="7" t="e">
        <f>IF(VLOOKUP($A2105,'Concrete Beam Schedule'!$A$2:$Q$2902,AE$2,0)&lt;&gt;O2105,"Beam Revised","")</f>
        <v>#N/A</v>
      </c>
    </row>
    <row r="2106" spans="17:31" ht="20.100000000000001" customHeight="1" x14ac:dyDescent="0.25">
      <c r="Q2106" s="7">
        <f t="shared" si="32"/>
        <v>0</v>
      </c>
      <c r="R2106" s="7" t="e">
        <f>IF(VLOOKUP($A2106,'Concrete Beam Schedule'!$A$2:$Q$2902,R$2,0)&lt;&gt;B2106,VLOOKUP($A2106,'Concrete Beam Schedule'!$A$2:$Q$2902,R$2,0),"")</f>
        <v>#N/A</v>
      </c>
      <c r="S2106" s="7" t="e">
        <f>IF(VLOOKUP($A2106,'Concrete Beam Schedule'!$A$2:$Q$2902,S$2,0)&lt;&gt;C2106,VLOOKUP($A2106,'Concrete Beam Schedule'!$A$2:$Q$2902,S$2,0),"")</f>
        <v>#N/A</v>
      </c>
      <c r="T2106" s="7" t="e">
        <f>IF(VLOOKUP($A2106,'Concrete Beam Schedule'!$A$2:$Q$2902,T$2,0)&lt;&gt;D2106,"Beam Revised","")</f>
        <v>#N/A</v>
      </c>
      <c r="U2106" s="7" t="e">
        <f>IF(VLOOKUP($A2106,'Concrete Beam Schedule'!$A$2:$Q$2902,U$2,0)&lt;&gt;E2106,"Beam Revised","")</f>
        <v>#N/A</v>
      </c>
      <c r="V2106" s="7" t="e">
        <f>IF(VLOOKUP($A2106,'Concrete Beam Schedule'!$A$2:$Q$2902,V$2,0)&lt;&gt;F2106,"Beam Revised","")</f>
        <v>#N/A</v>
      </c>
      <c r="W2106" s="7" t="e">
        <f>IF(VLOOKUP($A2106,'Concrete Beam Schedule'!$A$2:$Q$2902,W$2,0)&lt;&gt;G2106,"Beam Revised","")</f>
        <v>#N/A</v>
      </c>
      <c r="X2106" s="7" t="e">
        <f>IF(VLOOKUP($A2106,'Concrete Beam Schedule'!$A$2:$Q$2902,X$2,0)&lt;&gt;H2106,"Beam Revised","")</f>
        <v>#N/A</v>
      </c>
      <c r="Y2106" s="7" t="e">
        <f>IF(VLOOKUP($A2106,'Concrete Beam Schedule'!$A$2:$Q$2902,Y$2,0)&lt;&gt;I2106,"Beam Revised","")</f>
        <v>#N/A</v>
      </c>
      <c r="Z2106" s="7" t="e">
        <f>IF(VLOOKUP($A2106,'Concrete Beam Schedule'!$A$2:$Q$2902,Z$2,0)&lt;&gt;J2106,"Beam Revised","")</f>
        <v>#N/A</v>
      </c>
      <c r="AA2106" s="7" t="e">
        <f>IF(VLOOKUP($A2106,'Concrete Beam Schedule'!$A$2:$Q$2902,AA$2,0)&lt;&gt;K2106,"Beam Revised","")</f>
        <v>#N/A</v>
      </c>
      <c r="AB2106" s="7" t="e">
        <f>IF(VLOOKUP($A2106,'Concrete Beam Schedule'!$A$2:$Q$2902,AB$2,0)&lt;&gt;L2106,"Beam Revised","")</f>
        <v>#N/A</v>
      </c>
      <c r="AC2106" s="7" t="e">
        <f>IF(VLOOKUP($A2106,'Concrete Beam Schedule'!$A$2:$Q$2902,AC$2,0)&lt;&gt;M2106,"Beam Revised","")</f>
        <v>#N/A</v>
      </c>
      <c r="AD2106" s="7" t="e">
        <f>IF(VLOOKUP($A2106,'Concrete Beam Schedule'!$A$2:$Q$2902,AD$2,0)&lt;&gt;N2106,"Beam Revised","")</f>
        <v>#N/A</v>
      </c>
      <c r="AE2106" s="7" t="e">
        <f>IF(VLOOKUP($A2106,'Concrete Beam Schedule'!$A$2:$Q$2902,AE$2,0)&lt;&gt;O2106,"Beam Revised","")</f>
        <v>#N/A</v>
      </c>
    </row>
    <row r="2107" spans="17:31" ht="20.100000000000001" customHeight="1" x14ac:dyDescent="0.25">
      <c r="Q2107" s="7">
        <f t="shared" si="32"/>
        <v>0</v>
      </c>
      <c r="R2107" s="7" t="e">
        <f>IF(VLOOKUP($A2107,'Concrete Beam Schedule'!$A$2:$Q$2902,R$2,0)&lt;&gt;B2107,VLOOKUP($A2107,'Concrete Beam Schedule'!$A$2:$Q$2902,R$2,0),"")</f>
        <v>#N/A</v>
      </c>
      <c r="S2107" s="7" t="e">
        <f>IF(VLOOKUP($A2107,'Concrete Beam Schedule'!$A$2:$Q$2902,S$2,0)&lt;&gt;C2107,VLOOKUP($A2107,'Concrete Beam Schedule'!$A$2:$Q$2902,S$2,0),"")</f>
        <v>#N/A</v>
      </c>
      <c r="T2107" s="7" t="e">
        <f>IF(VLOOKUP($A2107,'Concrete Beam Schedule'!$A$2:$Q$2902,T$2,0)&lt;&gt;D2107,"Beam Revised","")</f>
        <v>#N/A</v>
      </c>
      <c r="U2107" s="7" t="e">
        <f>IF(VLOOKUP($A2107,'Concrete Beam Schedule'!$A$2:$Q$2902,U$2,0)&lt;&gt;E2107,"Beam Revised","")</f>
        <v>#N/A</v>
      </c>
      <c r="V2107" s="7" t="e">
        <f>IF(VLOOKUP($A2107,'Concrete Beam Schedule'!$A$2:$Q$2902,V$2,0)&lt;&gt;F2107,"Beam Revised","")</f>
        <v>#N/A</v>
      </c>
      <c r="W2107" s="7" t="e">
        <f>IF(VLOOKUP($A2107,'Concrete Beam Schedule'!$A$2:$Q$2902,W$2,0)&lt;&gt;G2107,"Beam Revised","")</f>
        <v>#N/A</v>
      </c>
      <c r="X2107" s="7" t="e">
        <f>IF(VLOOKUP($A2107,'Concrete Beam Schedule'!$A$2:$Q$2902,X$2,0)&lt;&gt;H2107,"Beam Revised","")</f>
        <v>#N/A</v>
      </c>
      <c r="Y2107" s="7" t="e">
        <f>IF(VLOOKUP($A2107,'Concrete Beam Schedule'!$A$2:$Q$2902,Y$2,0)&lt;&gt;I2107,"Beam Revised","")</f>
        <v>#N/A</v>
      </c>
      <c r="Z2107" s="7" t="e">
        <f>IF(VLOOKUP($A2107,'Concrete Beam Schedule'!$A$2:$Q$2902,Z$2,0)&lt;&gt;J2107,"Beam Revised","")</f>
        <v>#N/A</v>
      </c>
      <c r="AA2107" s="7" t="e">
        <f>IF(VLOOKUP($A2107,'Concrete Beam Schedule'!$A$2:$Q$2902,AA$2,0)&lt;&gt;K2107,"Beam Revised","")</f>
        <v>#N/A</v>
      </c>
      <c r="AB2107" s="7" t="e">
        <f>IF(VLOOKUP($A2107,'Concrete Beam Schedule'!$A$2:$Q$2902,AB$2,0)&lt;&gt;L2107,"Beam Revised","")</f>
        <v>#N/A</v>
      </c>
      <c r="AC2107" s="7" t="e">
        <f>IF(VLOOKUP($A2107,'Concrete Beam Schedule'!$A$2:$Q$2902,AC$2,0)&lt;&gt;M2107,"Beam Revised","")</f>
        <v>#N/A</v>
      </c>
      <c r="AD2107" s="7" t="e">
        <f>IF(VLOOKUP($A2107,'Concrete Beam Schedule'!$A$2:$Q$2902,AD$2,0)&lt;&gt;N2107,"Beam Revised","")</f>
        <v>#N/A</v>
      </c>
      <c r="AE2107" s="7" t="e">
        <f>IF(VLOOKUP($A2107,'Concrete Beam Schedule'!$A$2:$Q$2902,AE$2,0)&lt;&gt;O2107,"Beam Revised","")</f>
        <v>#N/A</v>
      </c>
    </row>
    <row r="2108" spans="17:31" ht="20.100000000000001" customHeight="1" x14ac:dyDescent="0.25">
      <c r="Q2108" s="7">
        <f t="shared" si="32"/>
        <v>0</v>
      </c>
      <c r="R2108" s="7" t="e">
        <f>IF(VLOOKUP($A2108,'Concrete Beam Schedule'!$A$2:$Q$2902,R$2,0)&lt;&gt;B2108,VLOOKUP($A2108,'Concrete Beam Schedule'!$A$2:$Q$2902,R$2,0),"")</f>
        <v>#N/A</v>
      </c>
      <c r="S2108" s="7" t="e">
        <f>IF(VLOOKUP($A2108,'Concrete Beam Schedule'!$A$2:$Q$2902,S$2,0)&lt;&gt;C2108,VLOOKUP($A2108,'Concrete Beam Schedule'!$A$2:$Q$2902,S$2,0),"")</f>
        <v>#N/A</v>
      </c>
      <c r="T2108" s="7" t="e">
        <f>IF(VLOOKUP($A2108,'Concrete Beam Schedule'!$A$2:$Q$2902,T$2,0)&lt;&gt;D2108,"Beam Revised","")</f>
        <v>#N/A</v>
      </c>
      <c r="U2108" s="7" t="e">
        <f>IF(VLOOKUP($A2108,'Concrete Beam Schedule'!$A$2:$Q$2902,U$2,0)&lt;&gt;E2108,"Beam Revised","")</f>
        <v>#N/A</v>
      </c>
      <c r="V2108" s="7" t="e">
        <f>IF(VLOOKUP($A2108,'Concrete Beam Schedule'!$A$2:$Q$2902,V$2,0)&lt;&gt;F2108,"Beam Revised","")</f>
        <v>#N/A</v>
      </c>
      <c r="W2108" s="7" t="e">
        <f>IF(VLOOKUP($A2108,'Concrete Beam Schedule'!$A$2:$Q$2902,W$2,0)&lt;&gt;G2108,"Beam Revised","")</f>
        <v>#N/A</v>
      </c>
      <c r="X2108" s="7" t="e">
        <f>IF(VLOOKUP($A2108,'Concrete Beam Schedule'!$A$2:$Q$2902,X$2,0)&lt;&gt;H2108,"Beam Revised","")</f>
        <v>#N/A</v>
      </c>
      <c r="Y2108" s="7" t="e">
        <f>IF(VLOOKUP($A2108,'Concrete Beam Schedule'!$A$2:$Q$2902,Y$2,0)&lt;&gt;I2108,"Beam Revised","")</f>
        <v>#N/A</v>
      </c>
      <c r="Z2108" s="7" t="e">
        <f>IF(VLOOKUP($A2108,'Concrete Beam Schedule'!$A$2:$Q$2902,Z$2,0)&lt;&gt;J2108,"Beam Revised","")</f>
        <v>#N/A</v>
      </c>
      <c r="AA2108" s="7" t="e">
        <f>IF(VLOOKUP($A2108,'Concrete Beam Schedule'!$A$2:$Q$2902,AA$2,0)&lt;&gt;K2108,"Beam Revised","")</f>
        <v>#N/A</v>
      </c>
      <c r="AB2108" s="7" t="e">
        <f>IF(VLOOKUP($A2108,'Concrete Beam Schedule'!$A$2:$Q$2902,AB$2,0)&lt;&gt;L2108,"Beam Revised","")</f>
        <v>#N/A</v>
      </c>
      <c r="AC2108" s="7" t="e">
        <f>IF(VLOOKUP($A2108,'Concrete Beam Schedule'!$A$2:$Q$2902,AC$2,0)&lt;&gt;M2108,"Beam Revised","")</f>
        <v>#N/A</v>
      </c>
      <c r="AD2108" s="7" t="e">
        <f>IF(VLOOKUP($A2108,'Concrete Beam Schedule'!$A$2:$Q$2902,AD$2,0)&lt;&gt;N2108,"Beam Revised","")</f>
        <v>#N/A</v>
      </c>
      <c r="AE2108" s="7" t="e">
        <f>IF(VLOOKUP($A2108,'Concrete Beam Schedule'!$A$2:$Q$2902,AE$2,0)&lt;&gt;O2108,"Beam Revised","")</f>
        <v>#N/A</v>
      </c>
    </row>
    <row r="2109" spans="17:31" ht="20.100000000000001" customHeight="1" x14ac:dyDescent="0.25">
      <c r="Q2109" s="7">
        <f t="shared" si="32"/>
        <v>0</v>
      </c>
      <c r="R2109" s="7" t="e">
        <f>IF(VLOOKUP($A2109,'Concrete Beam Schedule'!$A$2:$Q$2902,R$2,0)&lt;&gt;B2109,VLOOKUP($A2109,'Concrete Beam Schedule'!$A$2:$Q$2902,R$2,0),"")</f>
        <v>#N/A</v>
      </c>
      <c r="S2109" s="7" t="e">
        <f>IF(VLOOKUP($A2109,'Concrete Beam Schedule'!$A$2:$Q$2902,S$2,0)&lt;&gt;C2109,VLOOKUP($A2109,'Concrete Beam Schedule'!$A$2:$Q$2902,S$2,0),"")</f>
        <v>#N/A</v>
      </c>
      <c r="T2109" s="7" t="e">
        <f>IF(VLOOKUP($A2109,'Concrete Beam Schedule'!$A$2:$Q$2902,T$2,0)&lt;&gt;D2109,"Beam Revised","")</f>
        <v>#N/A</v>
      </c>
      <c r="U2109" s="7" t="e">
        <f>IF(VLOOKUP($A2109,'Concrete Beam Schedule'!$A$2:$Q$2902,U$2,0)&lt;&gt;E2109,"Beam Revised","")</f>
        <v>#N/A</v>
      </c>
      <c r="V2109" s="7" t="e">
        <f>IF(VLOOKUP($A2109,'Concrete Beam Schedule'!$A$2:$Q$2902,V$2,0)&lt;&gt;F2109,"Beam Revised","")</f>
        <v>#N/A</v>
      </c>
      <c r="W2109" s="7" t="e">
        <f>IF(VLOOKUP($A2109,'Concrete Beam Schedule'!$A$2:$Q$2902,W$2,0)&lt;&gt;G2109,"Beam Revised","")</f>
        <v>#N/A</v>
      </c>
      <c r="X2109" s="7" t="e">
        <f>IF(VLOOKUP($A2109,'Concrete Beam Schedule'!$A$2:$Q$2902,X$2,0)&lt;&gt;H2109,"Beam Revised","")</f>
        <v>#N/A</v>
      </c>
      <c r="Y2109" s="7" t="e">
        <f>IF(VLOOKUP($A2109,'Concrete Beam Schedule'!$A$2:$Q$2902,Y$2,0)&lt;&gt;I2109,"Beam Revised","")</f>
        <v>#N/A</v>
      </c>
      <c r="Z2109" s="7" t="e">
        <f>IF(VLOOKUP($A2109,'Concrete Beam Schedule'!$A$2:$Q$2902,Z$2,0)&lt;&gt;J2109,"Beam Revised","")</f>
        <v>#N/A</v>
      </c>
      <c r="AA2109" s="7" t="e">
        <f>IF(VLOOKUP($A2109,'Concrete Beam Schedule'!$A$2:$Q$2902,AA$2,0)&lt;&gt;K2109,"Beam Revised","")</f>
        <v>#N/A</v>
      </c>
      <c r="AB2109" s="7" t="e">
        <f>IF(VLOOKUP($A2109,'Concrete Beam Schedule'!$A$2:$Q$2902,AB$2,0)&lt;&gt;L2109,"Beam Revised","")</f>
        <v>#N/A</v>
      </c>
      <c r="AC2109" s="7" t="e">
        <f>IF(VLOOKUP($A2109,'Concrete Beam Schedule'!$A$2:$Q$2902,AC$2,0)&lt;&gt;M2109,"Beam Revised","")</f>
        <v>#N/A</v>
      </c>
      <c r="AD2109" s="7" t="e">
        <f>IF(VLOOKUP($A2109,'Concrete Beam Schedule'!$A$2:$Q$2902,AD$2,0)&lt;&gt;N2109,"Beam Revised","")</f>
        <v>#N/A</v>
      </c>
      <c r="AE2109" s="7" t="e">
        <f>IF(VLOOKUP($A2109,'Concrete Beam Schedule'!$A$2:$Q$2902,AE$2,0)&lt;&gt;O2109,"Beam Revised","")</f>
        <v>#N/A</v>
      </c>
    </row>
    <row r="2110" spans="17:31" ht="20.100000000000001" customHeight="1" x14ac:dyDescent="0.25">
      <c r="Q2110" s="7">
        <f t="shared" si="32"/>
        <v>0</v>
      </c>
      <c r="R2110" s="7" t="e">
        <f>IF(VLOOKUP($A2110,'Concrete Beam Schedule'!$A$2:$Q$2902,R$2,0)&lt;&gt;B2110,VLOOKUP($A2110,'Concrete Beam Schedule'!$A$2:$Q$2902,R$2,0),"")</f>
        <v>#N/A</v>
      </c>
      <c r="S2110" s="7" t="e">
        <f>IF(VLOOKUP($A2110,'Concrete Beam Schedule'!$A$2:$Q$2902,S$2,0)&lt;&gt;C2110,VLOOKUP($A2110,'Concrete Beam Schedule'!$A$2:$Q$2902,S$2,0),"")</f>
        <v>#N/A</v>
      </c>
      <c r="T2110" s="7" t="e">
        <f>IF(VLOOKUP($A2110,'Concrete Beam Schedule'!$A$2:$Q$2902,T$2,0)&lt;&gt;D2110,"Beam Revised","")</f>
        <v>#N/A</v>
      </c>
      <c r="U2110" s="7" t="e">
        <f>IF(VLOOKUP($A2110,'Concrete Beam Schedule'!$A$2:$Q$2902,U$2,0)&lt;&gt;E2110,"Beam Revised","")</f>
        <v>#N/A</v>
      </c>
      <c r="V2110" s="7" t="e">
        <f>IF(VLOOKUP($A2110,'Concrete Beam Schedule'!$A$2:$Q$2902,V$2,0)&lt;&gt;F2110,"Beam Revised","")</f>
        <v>#N/A</v>
      </c>
      <c r="W2110" s="7" t="e">
        <f>IF(VLOOKUP($A2110,'Concrete Beam Schedule'!$A$2:$Q$2902,W$2,0)&lt;&gt;G2110,"Beam Revised","")</f>
        <v>#N/A</v>
      </c>
      <c r="X2110" s="7" t="e">
        <f>IF(VLOOKUP($A2110,'Concrete Beam Schedule'!$A$2:$Q$2902,X$2,0)&lt;&gt;H2110,"Beam Revised","")</f>
        <v>#N/A</v>
      </c>
      <c r="Y2110" s="7" t="e">
        <f>IF(VLOOKUP($A2110,'Concrete Beam Schedule'!$A$2:$Q$2902,Y$2,0)&lt;&gt;I2110,"Beam Revised","")</f>
        <v>#N/A</v>
      </c>
      <c r="Z2110" s="7" t="e">
        <f>IF(VLOOKUP($A2110,'Concrete Beam Schedule'!$A$2:$Q$2902,Z$2,0)&lt;&gt;J2110,"Beam Revised","")</f>
        <v>#N/A</v>
      </c>
      <c r="AA2110" s="7" t="e">
        <f>IF(VLOOKUP($A2110,'Concrete Beam Schedule'!$A$2:$Q$2902,AA$2,0)&lt;&gt;K2110,"Beam Revised","")</f>
        <v>#N/A</v>
      </c>
      <c r="AB2110" s="7" t="e">
        <f>IF(VLOOKUP($A2110,'Concrete Beam Schedule'!$A$2:$Q$2902,AB$2,0)&lt;&gt;L2110,"Beam Revised","")</f>
        <v>#N/A</v>
      </c>
      <c r="AC2110" s="7" t="e">
        <f>IF(VLOOKUP($A2110,'Concrete Beam Schedule'!$A$2:$Q$2902,AC$2,0)&lt;&gt;M2110,"Beam Revised","")</f>
        <v>#N/A</v>
      </c>
      <c r="AD2110" s="7" t="e">
        <f>IF(VLOOKUP($A2110,'Concrete Beam Schedule'!$A$2:$Q$2902,AD$2,0)&lt;&gt;N2110,"Beam Revised","")</f>
        <v>#N/A</v>
      </c>
      <c r="AE2110" s="7" t="e">
        <f>IF(VLOOKUP($A2110,'Concrete Beam Schedule'!$A$2:$Q$2902,AE$2,0)&lt;&gt;O2110,"Beam Revised","")</f>
        <v>#N/A</v>
      </c>
    </row>
    <row r="2111" spans="17:31" ht="20.100000000000001" customHeight="1" x14ac:dyDescent="0.25">
      <c r="Q2111" s="7">
        <f t="shared" si="32"/>
        <v>0</v>
      </c>
      <c r="R2111" s="7" t="e">
        <f>IF(VLOOKUP($A2111,'Concrete Beam Schedule'!$A$2:$Q$2902,R$2,0)&lt;&gt;B2111,VLOOKUP($A2111,'Concrete Beam Schedule'!$A$2:$Q$2902,R$2,0),"")</f>
        <v>#N/A</v>
      </c>
      <c r="S2111" s="7" t="e">
        <f>IF(VLOOKUP($A2111,'Concrete Beam Schedule'!$A$2:$Q$2902,S$2,0)&lt;&gt;C2111,VLOOKUP($A2111,'Concrete Beam Schedule'!$A$2:$Q$2902,S$2,0),"")</f>
        <v>#N/A</v>
      </c>
      <c r="T2111" s="7" t="e">
        <f>IF(VLOOKUP($A2111,'Concrete Beam Schedule'!$A$2:$Q$2902,T$2,0)&lt;&gt;D2111,"Beam Revised","")</f>
        <v>#N/A</v>
      </c>
      <c r="U2111" s="7" t="e">
        <f>IF(VLOOKUP($A2111,'Concrete Beam Schedule'!$A$2:$Q$2902,U$2,0)&lt;&gt;E2111,"Beam Revised","")</f>
        <v>#N/A</v>
      </c>
      <c r="V2111" s="7" t="e">
        <f>IF(VLOOKUP($A2111,'Concrete Beam Schedule'!$A$2:$Q$2902,V$2,0)&lt;&gt;F2111,"Beam Revised","")</f>
        <v>#N/A</v>
      </c>
      <c r="W2111" s="7" t="e">
        <f>IF(VLOOKUP($A2111,'Concrete Beam Schedule'!$A$2:$Q$2902,W$2,0)&lt;&gt;G2111,"Beam Revised","")</f>
        <v>#N/A</v>
      </c>
      <c r="X2111" s="7" t="e">
        <f>IF(VLOOKUP($A2111,'Concrete Beam Schedule'!$A$2:$Q$2902,X$2,0)&lt;&gt;H2111,"Beam Revised","")</f>
        <v>#N/A</v>
      </c>
      <c r="Y2111" s="7" t="e">
        <f>IF(VLOOKUP($A2111,'Concrete Beam Schedule'!$A$2:$Q$2902,Y$2,0)&lt;&gt;I2111,"Beam Revised","")</f>
        <v>#N/A</v>
      </c>
      <c r="Z2111" s="7" t="e">
        <f>IF(VLOOKUP($A2111,'Concrete Beam Schedule'!$A$2:$Q$2902,Z$2,0)&lt;&gt;J2111,"Beam Revised","")</f>
        <v>#N/A</v>
      </c>
      <c r="AA2111" s="7" t="e">
        <f>IF(VLOOKUP($A2111,'Concrete Beam Schedule'!$A$2:$Q$2902,AA$2,0)&lt;&gt;K2111,"Beam Revised","")</f>
        <v>#N/A</v>
      </c>
      <c r="AB2111" s="7" t="e">
        <f>IF(VLOOKUP($A2111,'Concrete Beam Schedule'!$A$2:$Q$2902,AB$2,0)&lt;&gt;L2111,"Beam Revised","")</f>
        <v>#N/A</v>
      </c>
      <c r="AC2111" s="7" t="e">
        <f>IF(VLOOKUP($A2111,'Concrete Beam Schedule'!$A$2:$Q$2902,AC$2,0)&lt;&gt;M2111,"Beam Revised","")</f>
        <v>#N/A</v>
      </c>
      <c r="AD2111" s="7" t="e">
        <f>IF(VLOOKUP($A2111,'Concrete Beam Schedule'!$A$2:$Q$2902,AD$2,0)&lt;&gt;N2111,"Beam Revised","")</f>
        <v>#N/A</v>
      </c>
      <c r="AE2111" s="7" t="e">
        <f>IF(VLOOKUP($A2111,'Concrete Beam Schedule'!$A$2:$Q$2902,AE$2,0)&lt;&gt;O2111,"Beam Revised","")</f>
        <v>#N/A</v>
      </c>
    </row>
    <row r="2112" spans="17:31" ht="20.100000000000001" customHeight="1" x14ac:dyDescent="0.25">
      <c r="Q2112" s="7">
        <f t="shared" si="32"/>
        <v>0</v>
      </c>
      <c r="R2112" s="7" t="e">
        <f>IF(VLOOKUP($A2112,'Concrete Beam Schedule'!$A$2:$Q$2902,R$2,0)&lt;&gt;B2112,VLOOKUP($A2112,'Concrete Beam Schedule'!$A$2:$Q$2902,R$2,0),"")</f>
        <v>#N/A</v>
      </c>
      <c r="S2112" s="7" t="e">
        <f>IF(VLOOKUP($A2112,'Concrete Beam Schedule'!$A$2:$Q$2902,S$2,0)&lt;&gt;C2112,VLOOKUP($A2112,'Concrete Beam Schedule'!$A$2:$Q$2902,S$2,0),"")</f>
        <v>#N/A</v>
      </c>
      <c r="T2112" s="7" t="e">
        <f>IF(VLOOKUP($A2112,'Concrete Beam Schedule'!$A$2:$Q$2902,T$2,0)&lt;&gt;D2112,"Beam Revised","")</f>
        <v>#N/A</v>
      </c>
      <c r="U2112" s="7" t="e">
        <f>IF(VLOOKUP($A2112,'Concrete Beam Schedule'!$A$2:$Q$2902,U$2,0)&lt;&gt;E2112,"Beam Revised","")</f>
        <v>#N/A</v>
      </c>
      <c r="V2112" s="7" t="e">
        <f>IF(VLOOKUP($A2112,'Concrete Beam Schedule'!$A$2:$Q$2902,V$2,0)&lt;&gt;F2112,"Beam Revised","")</f>
        <v>#N/A</v>
      </c>
      <c r="W2112" s="7" t="e">
        <f>IF(VLOOKUP($A2112,'Concrete Beam Schedule'!$A$2:$Q$2902,W$2,0)&lt;&gt;G2112,"Beam Revised","")</f>
        <v>#N/A</v>
      </c>
      <c r="X2112" s="7" t="e">
        <f>IF(VLOOKUP($A2112,'Concrete Beam Schedule'!$A$2:$Q$2902,X$2,0)&lt;&gt;H2112,"Beam Revised","")</f>
        <v>#N/A</v>
      </c>
      <c r="Y2112" s="7" t="e">
        <f>IF(VLOOKUP($A2112,'Concrete Beam Schedule'!$A$2:$Q$2902,Y$2,0)&lt;&gt;I2112,"Beam Revised","")</f>
        <v>#N/A</v>
      </c>
      <c r="Z2112" s="7" t="e">
        <f>IF(VLOOKUP($A2112,'Concrete Beam Schedule'!$A$2:$Q$2902,Z$2,0)&lt;&gt;J2112,"Beam Revised","")</f>
        <v>#N/A</v>
      </c>
      <c r="AA2112" s="7" t="e">
        <f>IF(VLOOKUP($A2112,'Concrete Beam Schedule'!$A$2:$Q$2902,AA$2,0)&lt;&gt;K2112,"Beam Revised","")</f>
        <v>#N/A</v>
      </c>
      <c r="AB2112" s="7" t="e">
        <f>IF(VLOOKUP($A2112,'Concrete Beam Schedule'!$A$2:$Q$2902,AB$2,0)&lt;&gt;L2112,"Beam Revised","")</f>
        <v>#N/A</v>
      </c>
      <c r="AC2112" s="7" t="e">
        <f>IF(VLOOKUP($A2112,'Concrete Beam Schedule'!$A$2:$Q$2902,AC$2,0)&lt;&gt;M2112,"Beam Revised","")</f>
        <v>#N/A</v>
      </c>
      <c r="AD2112" s="7" t="e">
        <f>IF(VLOOKUP($A2112,'Concrete Beam Schedule'!$A$2:$Q$2902,AD$2,0)&lt;&gt;N2112,"Beam Revised","")</f>
        <v>#N/A</v>
      </c>
      <c r="AE2112" s="7" t="e">
        <f>IF(VLOOKUP($A2112,'Concrete Beam Schedule'!$A$2:$Q$2902,AE$2,0)&lt;&gt;O2112,"Beam Revised","")</f>
        <v>#N/A</v>
      </c>
    </row>
    <row r="2113" spans="17:31" ht="20.100000000000001" customHeight="1" x14ac:dyDescent="0.25">
      <c r="Q2113" s="7">
        <f t="shared" si="32"/>
        <v>0</v>
      </c>
      <c r="R2113" s="7" t="e">
        <f>IF(VLOOKUP($A2113,'Concrete Beam Schedule'!$A$2:$Q$2902,R$2,0)&lt;&gt;B2113,VLOOKUP($A2113,'Concrete Beam Schedule'!$A$2:$Q$2902,R$2,0),"")</f>
        <v>#N/A</v>
      </c>
      <c r="S2113" s="7" t="e">
        <f>IF(VLOOKUP($A2113,'Concrete Beam Schedule'!$A$2:$Q$2902,S$2,0)&lt;&gt;C2113,VLOOKUP($A2113,'Concrete Beam Schedule'!$A$2:$Q$2902,S$2,0),"")</f>
        <v>#N/A</v>
      </c>
      <c r="T2113" s="7" t="e">
        <f>IF(VLOOKUP($A2113,'Concrete Beam Schedule'!$A$2:$Q$2902,T$2,0)&lt;&gt;D2113,"Beam Revised","")</f>
        <v>#N/A</v>
      </c>
      <c r="U2113" s="7" t="e">
        <f>IF(VLOOKUP($A2113,'Concrete Beam Schedule'!$A$2:$Q$2902,U$2,0)&lt;&gt;E2113,"Beam Revised","")</f>
        <v>#N/A</v>
      </c>
      <c r="V2113" s="7" t="e">
        <f>IF(VLOOKUP($A2113,'Concrete Beam Schedule'!$A$2:$Q$2902,V$2,0)&lt;&gt;F2113,"Beam Revised","")</f>
        <v>#N/A</v>
      </c>
      <c r="W2113" s="7" t="e">
        <f>IF(VLOOKUP($A2113,'Concrete Beam Schedule'!$A$2:$Q$2902,W$2,0)&lt;&gt;G2113,"Beam Revised","")</f>
        <v>#N/A</v>
      </c>
      <c r="X2113" s="7" t="e">
        <f>IF(VLOOKUP($A2113,'Concrete Beam Schedule'!$A$2:$Q$2902,X$2,0)&lt;&gt;H2113,"Beam Revised","")</f>
        <v>#N/A</v>
      </c>
      <c r="Y2113" s="7" t="e">
        <f>IF(VLOOKUP($A2113,'Concrete Beam Schedule'!$A$2:$Q$2902,Y$2,0)&lt;&gt;I2113,"Beam Revised","")</f>
        <v>#N/A</v>
      </c>
      <c r="Z2113" s="7" t="e">
        <f>IF(VLOOKUP($A2113,'Concrete Beam Schedule'!$A$2:$Q$2902,Z$2,0)&lt;&gt;J2113,"Beam Revised","")</f>
        <v>#N/A</v>
      </c>
      <c r="AA2113" s="7" t="e">
        <f>IF(VLOOKUP($A2113,'Concrete Beam Schedule'!$A$2:$Q$2902,AA$2,0)&lt;&gt;K2113,"Beam Revised","")</f>
        <v>#N/A</v>
      </c>
      <c r="AB2113" s="7" t="e">
        <f>IF(VLOOKUP($A2113,'Concrete Beam Schedule'!$A$2:$Q$2902,AB$2,0)&lt;&gt;L2113,"Beam Revised","")</f>
        <v>#N/A</v>
      </c>
      <c r="AC2113" s="7" t="e">
        <f>IF(VLOOKUP($A2113,'Concrete Beam Schedule'!$A$2:$Q$2902,AC$2,0)&lt;&gt;M2113,"Beam Revised","")</f>
        <v>#N/A</v>
      </c>
      <c r="AD2113" s="7" t="e">
        <f>IF(VLOOKUP($A2113,'Concrete Beam Schedule'!$A$2:$Q$2902,AD$2,0)&lt;&gt;N2113,"Beam Revised","")</f>
        <v>#N/A</v>
      </c>
      <c r="AE2113" s="7" t="e">
        <f>IF(VLOOKUP($A2113,'Concrete Beam Schedule'!$A$2:$Q$2902,AE$2,0)&lt;&gt;O2113,"Beam Revised","")</f>
        <v>#N/A</v>
      </c>
    </row>
    <row r="2114" spans="17:31" ht="20.100000000000001" customHeight="1" x14ac:dyDescent="0.25">
      <c r="Q2114" s="7">
        <f t="shared" si="32"/>
        <v>0</v>
      </c>
      <c r="R2114" s="7" t="e">
        <f>IF(VLOOKUP($A2114,'Concrete Beam Schedule'!$A$2:$Q$2902,R$2,0)&lt;&gt;B2114,VLOOKUP($A2114,'Concrete Beam Schedule'!$A$2:$Q$2902,R$2,0),"")</f>
        <v>#N/A</v>
      </c>
      <c r="S2114" s="7" t="e">
        <f>IF(VLOOKUP($A2114,'Concrete Beam Schedule'!$A$2:$Q$2902,S$2,0)&lt;&gt;C2114,VLOOKUP($A2114,'Concrete Beam Schedule'!$A$2:$Q$2902,S$2,0),"")</f>
        <v>#N/A</v>
      </c>
      <c r="T2114" s="7" t="e">
        <f>IF(VLOOKUP($A2114,'Concrete Beam Schedule'!$A$2:$Q$2902,T$2,0)&lt;&gt;D2114,"Beam Revised","")</f>
        <v>#N/A</v>
      </c>
      <c r="U2114" s="7" t="e">
        <f>IF(VLOOKUP($A2114,'Concrete Beam Schedule'!$A$2:$Q$2902,U$2,0)&lt;&gt;E2114,"Beam Revised","")</f>
        <v>#N/A</v>
      </c>
      <c r="V2114" s="7" t="e">
        <f>IF(VLOOKUP($A2114,'Concrete Beam Schedule'!$A$2:$Q$2902,V$2,0)&lt;&gt;F2114,"Beam Revised","")</f>
        <v>#N/A</v>
      </c>
      <c r="W2114" s="7" t="e">
        <f>IF(VLOOKUP($A2114,'Concrete Beam Schedule'!$A$2:$Q$2902,W$2,0)&lt;&gt;G2114,"Beam Revised","")</f>
        <v>#N/A</v>
      </c>
      <c r="X2114" s="7" t="e">
        <f>IF(VLOOKUP($A2114,'Concrete Beam Schedule'!$A$2:$Q$2902,X$2,0)&lt;&gt;H2114,"Beam Revised","")</f>
        <v>#N/A</v>
      </c>
      <c r="Y2114" s="7" t="e">
        <f>IF(VLOOKUP($A2114,'Concrete Beam Schedule'!$A$2:$Q$2902,Y$2,0)&lt;&gt;I2114,"Beam Revised","")</f>
        <v>#N/A</v>
      </c>
      <c r="Z2114" s="7" t="e">
        <f>IF(VLOOKUP($A2114,'Concrete Beam Schedule'!$A$2:$Q$2902,Z$2,0)&lt;&gt;J2114,"Beam Revised","")</f>
        <v>#N/A</v>
      </c>
      <c r="AA2114" s="7" t="e">
        <f>IF(VLOOKUP($A2114,'Concrete Beam Schedule'!$A$2:$Q$2902,AA$2,0)&lt;&gt;K2114,"Beam Revised","")</f>
        <v>#N/A</v>
      </c>
      <c r="AB2114" s="7" t="e">
        <f>IF(VLOOKUP($A2114,'Concrete Beam Schedule'!$A$2:$Q$2902,AB$2,0)&lt;&gt;L2114,"Beam Revised","")</f>
        <v>#N/A</v>
      </c>
      <c r="AC2114" s="7" t="e">
        <f>IF(VLOOKUP($A2114,'Concrete Beam Schedule'!$A$2:$Q$2902,AC$2,0)&lt;&gt;M2114,"Beam Revised","")</f>
        <v>#N/A</v>
      </c>
      <c r="AD2114" s="7" t="e">
        <f>IF(VLOOKUP($A2114,'Concrete Beam Schedule'!$A$2:$Q$2902,AD$2,0)&lt;&gt;N2114,"Beam Revised","")</f>
        <v>#N/A</v>
      </c>
      <c r="AE2114" s="7" t="e">
        <f>IF(VLOOKUP($A2114,'Concrete Beam Schedule'!$A$2:$Q$2902,AE$2,0)&lt;&gt;O2114,"Beam Revised","")</f>
        <v>#N/A</v>
      </c>
    </row>
    <row r="2115" spans="17:31" ht="20.100000000000001" customHeight="1" x14ac:dyDescent="0.25">
      <c r="Q2115" s="7">
        <f t="shared" si="32"/>
        <v>0</v>
      </c>
      <c r="R2115" s="7" t="e">
        <f>IF(VLOOKUP($A2115,'Concrete Beam Schedule'!$A$2:$Q$2902,R$2,0)&lt;&gt;B2115,VLOOKUP($A2115,'Concrete Beam Schedule'!$A$2:$Q$2902,R$2,0),"")</f>
        <v>#N/A</v>
      </c>
      <c r="S2115" s="7" t="e">
        <f>IF(VLOOKUP($A2115,'Concrete Beam Schedule'!$A$2:$Q$2902,S$2,0)&lt;&gt;C2115,VLOOKUP($A2115,'Concrete Beam Schedule'!$A$2:$Q$2902,S$2,0),"")</f>
        <v>#N/A</v>
      </c>
      <c r="T2115" s="7" t="e">
        <f>IF(VLOOKUP($A2115,'Concrete Beam Schedule'!$A$2:$Q$2902,T$2,0)&lt;&gt;D2115,"Beam Revised","")</f>
        <v>#N/A</v>
      </c>
      <c r="U2115" s="7" t="e">
        <f>IF(VLOOKUP($A2115,'Concrete Beam Schedule'!$A$2:$Q$2902,U$2,0)&lt;&gt;E2115,"Beam Revised","")</f>
        <v>#N/A</v>
      </c>
      <c r="V2115" s="7" t="e">
        <f>IF(VLOOKUP($A2115,'Concrete Beam Schedule'!$A$2:$Q$2902,V$2,0)&lt;&gt;F2115,"Beam Revised","")</f>
        <v>#N/A</v>
      </c>
      <c r="W2115" s="7" t="e">
        <f>IF(VLOOKUP($A2115,'Concrete Beam Schedule'!$A$2:$Q$2902,W$2,0)&lt;&gt;G2115,"Beam Revised","")</f>
        <v>#N/A</v>
      </c>
      <c r="X2115" s="7" t="e">
        <f>IF(VLOOKUP($A2115,'Concrete Beam Schedule'!$A$2:$Q$2902,X$2,0)&lt;&gt;H2115,"Beam Revised","")</f>
        <v>#N/A</v>
      </c>
      <c r="Y2115" s="7" t="e">
        <f>IF(VLOOKUP($A2115,'Concrete Beam Schedule'!$A$2:$Q$2902,Y$2,0)&lt;&gt;I2115,"Beam Revised","")</f>
        <v>#N/A</v>
      </c>
      <c r="Z2115" s="7" t="e">
        <f>IF(VLOOKUP($A2115,'Concrete Beam Schedule'!$A$2:$Q$2902,Z$2,0)&lt;&gt;J2115,"Beam Revised","")</f>
        <v>#N/A</v>
      </c>
      <c r="AA2115" s="7" t="e">
        <f>IF(VLOOKUP($A2115,'Concrete Beam Schedule'!$A$2:$Q$2902,AA$2,0)&lt;&gt;K2115,"Beam Revised","")</f>
        <v>#N/A</v>
      </c>
      <c r="AB2115" s="7" t="e">
        <f>IF(VLOOKUP($A2115,'Concrete Beam Schedule'!$A$2:$Q$2902,AB$2,0)&lt;&gt;L2115,"Beam Revised","")</f>
        <v>#N/A</v>
      </c>
      <c r="AC2115" s="7" t="e">
        <f>IF(VLOOKUP($A2115,'Concrete Beam Schedule'!$A$2:$Q$2902,AC$2,0)&lt;&gt;M2115,"Beam Revised","")</f>
        <v>#N/A</v>
      </c>
      <c r="AD2115" s="7" t="e">
        <f>IF(VLOOKUP($A2115,'Concrete Beam Schedule'!$A$2:$Q$2902,AD$2,0)&lt;&gt;N2115,"Beam Revised","")</f>
        <v>#N/A</v>
      </c>
      <c r="AE2115" s="7" t="e">
        <f>IF(VLOOKUP($A2115,'Concrete Beam Schedule'!$A$2:$Q$2902,AE$2,0)&lt;&gt;O2115,"Beam Revised","")</f>
        <v>#N/A</v>
      </c>
    </row>
    <row r="2116" spans="17:31" ht="20.100000000000001" customHeight="1" x14ac:dyDescent="0.25">
      <c r="Q2116" s="7">
        <f t="shared" ref="Q2116:Q2179" si="33">A2116</f>
        <v>0</v>
      </c>
      <c r="R2116" s="7" t="e">
        <f>IF(VLOOKUP($A2116,'Concrete Beam Schedule'!$A$2:$Q$2902,R$2,0)&lt;&gt;B2116,VLOOKUP($A2116,'Concrete Beam Schedule'!$A$2:$Q$2902,R$2,0),"")</f>
        <v>#N/A</v>
      </c>
      <c r="S2116" s="7" t="e">
        <f>IF(VLOOKUP($A2116,'Concrete Beam Schedule'!$A$2:$Q$2902,S$2,0)&lt;&gt;C2116,VLOOKUP($A2116,'Concrete Beam Schedule'!$A$2:$Q$2902,S$2,0),"")</f>
        <v>#N/A</v>
      </c>
      <c r="T2116" s="7" t="e">
        <f>IF(VLOOKUP($A2116,'Concrete Beam Schedule'!$A$2:$Q$2902,T$2,0)&lt;&gt;D2116,"Beam Revised","")</f>
        <v>#N/A</v>
      </c>
      <c r="U2116" s="7" t="e">
        <f>IF(VLOOKUP($A2116,'Concrete Beam Schedule'!$A$2:$Q$2902,U$2,0)&lt;&gt;E2116,"Beam Revised","")</f>
        <v>#N/A</v>
      </c>
      <c r="V2116" s="7" t="e">
        <f>IF(VLOOKUP($A2116,'Concrete Beam Schedule'!$A$2:$Q$2902,V$2,0)&lt;&gt;F2116,"Beam Revised","")</f>
        <v>#N/A</v>
      </c>
      <c r="W2116" s="7" t="e">
        <f>IF(VLOOKUP($A2116,'Concrete Beam Schedule'!$A$2:$Q$2902,W$2,0)&lt;&gt;G2116,"Beam Revised","")</f>
        <v>#N/A</v>
      </c>
      <c r="X2116" s="7" t="e">
        <f>IF(VLOOKUP($A2116,'Concrete Beam Schedule'!$A$2:$Q$2902,X$2,0)&lt;&gt;H2116,"Beam Revised","")</f>
        <v>#N/A</v>
      </c>
      <c r="Y2116" s="7" t="e">
        <f>IF(VLOOKUP($A2116,'Concrete Beam Schedule'!$A$2:$Q$2902,Y$2,0)&lt;&gt;I2116,"Beam Revised","")</f>
        <v>#N/A</v>
      </c>
      <c r="Z2116" s="7" t="e">
        <f>IF(VLOOKUP($A2116,'Concrete Beam Schedule'!$A$2:$Q$2902,Z$2,0)&lt;&gt;J2116,"Beam Revised","")</f>
        <v>#N/A</v>
      </c>
      <c r="AA2116" s="7" t="e">
        <f>IF(VLOOKUP($A2116,'Concrete Beam Schedule'!$A$2:$Q$2902,AA$2,0)&lt;&gt;K2116,"Beam Revised","")</f>
        <v>#N/A</v>
      </c>
      <c r="AB2116" s="7" t="e">
        <f>IF(VLOOKUP($A2116,'Concrete Beam Schedule'!$A$2:$Q$2902,AB$2,0)&lt;&gt;L2116,"Beam Revised","")</f>
        <v>#N/A</v>
      </c>
      <c r="AC2116" s="7" t="e">
        <f>IF(VLOOKUP($A2116,'Concrete Beam Schedule'!$A$2:$Q$2902,AC$2,0)&lt;&gt;M2116,"Beam Revised","")</f>
        <v>#N/A</v>
      </c>
      <c r="AD2116" s="7" t="e">
        <f>IF(VLOOKUP($A2116,'Concrete Beam Schedule'!$A$2:$Q$2902,AD$2,0)&lt;&gt;N2116,"Beam Revised","")</f>
        <v>#N/A</v>
      </c>
      <c r="AE2116" s="7" t="e">
        <f>IF(VLOOKUP($A2116,'Concrete Beam Schedule'!$A$2:$Q$2902,AE$2,0)&lt;&gt;O2116,"Beam Revised","")</f>
        <v>#N/A</v>
      </c>
    </row>
    <row r="2117" spans="17:31" ht="20.100000000000001" customHeight="1" x14ac:dyDescent="0.25">
      <c r="Q2117" s="7">
        <f t="shared" si="33"/>
        <v>0</v>
      </c>
      <c r="R2117" s="7" t="e">
        <f>IF(VLOOKUP($A2117,'Concrete Beam Schedule'!$A$2:$Q$2902,R$2,0)&lt;&gt;B2117,VLOOKUP($A2117,'Concrete Beam Schedule'!$A$2:$Q$2902,R$2,0),"")</f>
        <v>#N/A</v>
      </c>
      <c r="S2117" s="7" t="e">
        <f>IF(VLOOKUP($A2117,'Concrete Beam Schedule'!$A$2:$Q$2902,S$2,0)&lt;&gt;C2117,VLOOKUP($A2117,'Concrete Beam Schedule'!$A$2:$Q$2902,S$2,0),"")</f>
        <v>#N/A</v>
      </c>
      <c r="T2117" s="7" t="e">
        <f>IF(VLOOKUP($A2117,'Concrete Beam Schedule'!$A$2:$Q$2902,T$2,0)&lt;&gt;D2117,"Beam Revised","")</f>
        <v>#N/A</v>
      </c>
      <c r="U2117" s="7" t="e">
        <f>IF(VLOOKUP($A2117,'Concrete Beam Schedule'!$A$2:$Q$2902,U$2,0)&lt;&gt;E2117,"Beam Revised","")</f>
        <v>#N/A</v>
      </c>
      <c r="V2117" s="7" t="e">
        <f>IF(VLOOKUP($A2117,'Concrete Beam Schedule'!$A$2:$Q$2902,V$2,0)&lt;&gt;F2117,"Beam Revised","")</f>
        <v>#N/A</v>
      </c>
      <c r="W2117" s="7" t="e">
        <f>IF(VLOOKUP($A2117,'Concrete Beam Schedule'!$A$2:$Q$2902,W$2,0)&lt;&gt;G2117,"Beam Revised","")</f>
        <v>#N/A</v>
      </c>
      <c r="X2117" s="7" t="e">
        <f>IF(VLOOKUP($A2117,'Concrete Beam Schedule'!$A$2:$Q$2902,X$2,0)&lt;&gt;H2117,"Beam Revised","")</f>
        <v>#N/A</v>
      </c>
      <c r="Y2117" s="7" t="e">
        <f>IF(VLOOKUP($A2117,'Concrete Beam Schedule'!$A$2:$Q$2902,Y$2,0)&lt;&gt;I2117,"Beam Revised","")</f>
        <v>#N/A</v>
      </c>
      <c r="Z2117" s="7" t="e">
        <f>IF(VLOOKUP($A2117,'Concrete Beam Schedule'!$A$2:$Q$2902,Z$2,0)&lt;&gt;J2117,"Beam Revised","")</f>
        <v>#N/A</v>
      </c>
      <c r="AA2117" s="7" t="e">
        <f>IF(VLOOKUP($A2117,'Concrete Beam Schedule'!$A$2:$Q$2902,AA$2,0)&lt;&gt;K2117,"Beam Revised","")</f>
        <v>#N/A</v>
      </c>
      <c r="AB2117" s="7" t="e">
        <f>IF(VLOOKUP($A2117,'Concrete Beam Schedule'!$A$2:$Q$2902,AB$2,0)&lt;&gt;L2117,"Beam Revised","")</f>
        <v>#N/A</v>
      </c>
      <c r="AC2117" s="7" t="e">
        <f>IF(VLOOKUP($A2117,'Concrete Beam Schedule'!$A$2:$Q$2902,AC$2,0)&lt;&gt;M2117,"Beam Revised","")</f>
        <v>#N/A</v>
      </c>
      <c r="AD2117" s="7" t="e">
        <f>IF(VLOOKUP($A2117,'Concrete Beam Schedule'!$A$2:$Q$2902,AD$2,0)&lt;&gt;N2117,"Beam Revised","")</f>
        <v>#N/A</v>
      </c>
      <c r="AE2117" s="7" t="e">
        <f>IF(VLOOKUP($A2117,'Concrete Beam Schedule'!$A$2:$Q$2902,AE$2,0)&lt;&gt;O2117,"Beam Revised","")</f>
        <v>#N/A</v>
      </c>
    </row>
    <row r="2118" spans="17:31" ht="20.100000000000001" customHeight="1" x14ac:dyDescent="0.25">
      <c r="Q2118" s="7">
        <f t="shared" si="33"/>
        <v>0</v>
      </c>
      <c r="R2118" s="7" t="e">
        <f>IF(VLOOKUP($A2118,'Concrete Beam Schedule'!$A$2:$Q$2902,R$2,0)&lt;&gt;B2118,VLOOKUP($A2118,'Concrete Beam Schedule'!$A$2:$Q$2902,R$2,0),"")</f>
        <v>#N/A</v>
      </c>
      <c r="S2118" s="7" t="e">
        <f>IF(VLOOKUP($A2118,'Concrete Beam Schedule'!$A$2:$Q$2902,S$2,0)&lt;&gt;C2118,VLOOKUP($A2118,'Concrete Beam Schedule'!$A$2:$Q$2902,S$2,0),"")</f>
        <v>#N/A</v>
      </c>
      <c r="T2118" s="7" t="e">
        <f>IF(VLOOKUP($A2118,'Concrete Beam Schedule'!$A$2:$Q$2902,T$2,0)&lt;&gt;D2118,"Beam Revised","")</f>
        <v>#N/A</v>
      </c>
      <c r="U2118" s="7" t="e">
        <f>IF(VLOOKUP($A2118,'Concrete Beam Schedule'!$A$2:$Q$2902,U$2,0)&lt;&gt;E2118,"Beam Revised","")</f>
        <v>#N/A</v>
      </c>
      <c r="V2118" s="7" t="e">
        <f>IF(VLOOKUP($A2118,'Concrete Beam Schedule'!$A$2:$Q$2902,V$2,0)&lt;&gt;F2118,"Beam Revised","")</f>
        <v>#N/A</v>
      </c>
      <c r="W2118" s="7" t="e">
        <f>IF(VLOOKUP($A2118,'Concrete Beam Schedule'!$A$2:$Q$2902,W$2,0)&lt;&gt;G2118,"Beam Revised","")</f>
        <v>#N/A</v>
      </c>
      <c r="X2118" s="7" t="e">
        <f>IF(VLOOKUP($A2118,'Concrete Beam Schedule'!$A$2:$Q$2902,X$2,0)&lt;&gt;H2118,"Beam Revised","")</f>
        <v>#N/A</v>
      </c>
      <c r="Y2118" s="7" t="e">
        <f>IF(VLOOKUP($A2118,'Concrete Beam Schedule'!$A$2:$Q$2902,Y$2,0)&lt;&gt;I2118,"Beam Revised","")</f>
        <v>#N/A</v>
      </c>
      <c r="Z2118" s="7" t="e">
        <f>IF(VLOOKUP($A2118,'Concrete Beam Schedule'!$A$2:$Q$2902,Z$2,0)&lt;&gt;J2118,"Beam Revised","")</f>
        <v>#N/A</v>
      </c>
      <c r="AA2118" s="7" t="e">
        <f>IF(VLOOKUP($A2118,'Concrete Beam Schedule'!$A$2:$Q$2902,AA$2,0)&lt;&gt;K2118,"Beam Revised","")</f>
        <v>#N/A</v>
      </c>
      <c r="AB2118" s="7" t="e">
        <f>IF(VLOOKUP($A2118,'Concrete Beam Schedule'!$A$2:$Q$2902,AB$2,0)&lt;&gt;L2118,"Beam Revised","")</f>
        <v>#N/A</v>
      </c>
      <c r="AC2118" s="7" t="e">
        <f>IF(VLOOKUP($A2118,'Concrete Beam Schedule'!$A$2:$Q$2902,AC$2,0)&lt;&gt;M2118,"Beam Revised","")</f>
        <v>#N/A</v>
      </c>
      <c r="AD2118" s="7" t="e">
        <f>IF(VLOOKUP($A2118,'Concrete Beam Schedule'!$A$2:$Q$2902,AD$2,0)&lt;&gt;N2118,"Beam Revised","")</f>
        <v>#N/A</v>
      </c>
      <c r="AE2118" s="7" t="e">
        <f>IF(VLOOKUP($A2118,'Concrete Beam Schedule'!$A$2:$Q$2902,AE$2,0)&lt;&gt;O2118,"Beam Revised","")</f>
        <v>#N/A</v>
      </c>
    </row>
    <row r="2119" spans="17:31" ht="20.100000000000001" customHeight="1" x14ac:dyDescent="0.25">
      <c r="Q2119" s="7">
        <f t="shared" si="33"/>
        <v>0</v>
      </c>
      <c r="R2119" s="7" t="e">
        <f>IF(VLOOKUP($A2119,'Concrete Beam Schedule'!$A$2:$Q$2902,R$2,0)&lt;&gt;B2119,VLOOKUP($A2119,'Concrete Beam Schedule'!$A$2:$Q$2902,R$2,0),"")</f>
        <v>#N/A</v>
      </c>
      <c r="S2119" s="7" t="e">
        <f>IF(VLOOKUP($A2119,'Concrete Beam Schedule'!$A$2:$Q$2902,S$2,0)&lt;&gt;C2119,VLOOKUP($A2119,'Concrete Beam Schedule'!$A$2:$Q$2902,S$2,0),"")</f>
        <v>#N/A</v>
      </c>
      <c r="T2119" s="7" t="e">
        <f>IF(VLOOKUP($A2119,'Concrete Beam Schedule'!$A$2:$Q$2902,T$2,0)&lt;&gt;D2119,"Beam Revised","")</f>
        <v>#N/A</v>
      </c>
      <c r="U2119" s="7" t="e">
        <f>IF(VLOOKUP($A2119,'Concrete Beam Schedule'!$A$2:$Q$2902,U$2,0)&lt;&gt;E2119,"Beam Revised","")</f>
        <v>#N/A</v>
      </c>
      <c r="V2119" s="7" t="e">
        <f>IF(VLOOKUP($A2119,'Concrete Beam Schedule'!$A$2:$Q$2902,V$2,0)&lt;&gt;F2119,"Beam Revised","")</f>
        <v>#N/A</v>
      </c>
      <c r="W2119" s="7" t="e">
        <f>IF(VLOOKUP($A2119,'Concrete Beam Schedule'!$A$2:$Q$2902,W$2,0)&lt;&gt;G2119,"Beam Revised","")</f>
        <v>#N/A</v>
      </c>
      <c r="X2119" s="7" t="e">
        <f>IF(VLOOKUP($A2119,'Concrete Beam Schedule'!$A$2:$Q$2902,X$2,0)&lt;&gt;H2119,"Beam Revised","")</f>
        <v>#N/A</v>
      </c>
      <c r="Y2119" s="7" t="e">
        <f>IF(VLOOKUP($A2119,'Concrete Beam Schedule'!$A$2:$Q$2902,Y$2,0)&lt;&gt;I2119,"Beam Revised","")</f>
        <v>#N/A</v>
      </c>
      <c r="Z2119" s="7" t="e">
        <f>IF(VLOOKUP($A2119,'Concrete Beam Schedule'!$A$2:$Q$2902,Z$2,0)&lt;&gt;J2119,"Beam Revised","")</f>
        <v>#N/A</v>
      </c>
      <c r="AA2119" s="7" t="e">
        <f>IF(VLOOKUP($A2119,'Concrete Beam Schedule'!$A$2:$Q$2902,AA$2,0)&lt;&gt;K2119,"Beam Revised","")</f>
        <v>#N/A</v>
      </c>
      <c r="AB2119" s="7" t="e">
        <f>IF(VLOOKUP($A2119,'Concrete Beam Schedule'!$A$2:$Q$2902,AB$2,0)&lt;&gt;L2119,"Beam Revised","")</f>
        <v>#N/A</v>
      </c>
      <c r="AC2119" s="7" t="e">
        <f>IF(VLOOKUP($A2119,'Concrete Beam Schedule'!$A$2:$Q$2902,AC$2,0)&lt;&gt;M2119,"Beam Revised","")</f>
        <v>#N/A</v>
      </c>
      <c r="AD2119" s="7" t="e">
        <f>IF(VLOOKUP($A2119,'Concrete Beam Schedule'!$A$2:$Q$2902,AD$2,0)&lt;&gt;N2119,"Beam Revised","")</f>
        <v>#N/A</v>
      </c>
      <c r="AE2119" s="7" t="e">
        <f>IF(VLOOKUP($A2119,'Concrete Beam Schedule'!$A$2:$Q$2902,AE$2,0)&lt;&gt;O2119,"Beam Revised","")</f>
        <v>#N/A</v>
      </c>
    </row>
    <row r="2120" spans="17:31" ht="20.100000000000001" customHeight="1" x14ac:dyDescent="0.25">
      <c r="Q2120" s="7">
        <f t="shared" si="33"/>
        <v>0</v>
      </c>
      <c r="R2120" s="7" t="e">
        <f>IF(VLOOKUP($A2120,'Concrete Beam Schedule'!$A$2:$Q$2902,R$2,0)&lt;&gt;B2120,VLOOKUP($A2120,'Concrete Beam Schedule'!$A$2:$Q$2902,R$2,0),"")</f>
        <v>#N/A</v>
      </c>
      <c r="S2120" s="7" t="e">
        <f>IF(VLOOKUP($A2120,'Concrete Beam Schedule'!$A$2:$Q$2902,S$2,0)&lt;&gt;C2120,VLOOKUP($A2120,'Concrete Beam Schedule'!$A$2:$Q$2902,S$2,0),"")</f>
        <v>#N/A</v>
      </c>
      <c r="T2120" s="7" t="e">
        <f>IF(VLOOKUP($A2120,'Concrete Beam Schedule'!$A$2:$Q$2902,T$2,0)&lt;&gt;D2120,"Beam Revised","")</f>
        <v>#N/A</v>
      </c>
      <c r="U2120" s="7" t="e">
        <f>IF(VLOOKUP($A2120,'Concrete Beam Schedule'!$A$2:$Q$2902,U$2,0)&lt;&gt;E2120,"Beam Revised","")</f>
        <v>#N/A</v>
      </c>
      <c r="V2120" s="7" t="e">
        <f>IF(VLOOKUP($A2120,'Concrete Beam Schedule'!$A$2:$Q$2902,V$2,0)&lt;&gt;F2120,"Beam Revised","")</f>
        <v>#N/A</v>
      </c>
      <c r="W2120" s="7" t="e">
        <f>IF(VLOOKUP($A2120,'Concrete Beam Schedule'!$A$2:$Q$2902,W$2,0)&lt;&gt;G2120,"Beam Revised","")</f>
        <v>#N/A</v>
      </c>
      <c r="X2120" s="7" t="e">
        <f>IF(VLOOKUP($A2120,'Concrete Beam Schedule'!$A$2:$Q$2902,X$2,0)&lt;&gt;H2120,"Beam Revised","")</f>
        <v>#N/A</v>
      </c>
      <c r="Y2120" s="7" t="e">
        <f>IF(VLOOKUP($A2120,'Concrete Beam Schedule'!$A$2:$Q$2902,Y$2,0)&lt;&gt;I2120,"Beam Revised","")</f>
        <v>#N/A</v>
      </c>
      <c r="Z2120" s="7" t="e">
        <f>IF(VLOOKUP($A2120,'Concrete Beam Schedule'!$A$2:$Q$2902,Z$2,0)&lt;&gt;J2120,"Beam Revised","")</f>
        <v>#N/A</v>
      </c>
      <c r="AA2120" s="7" t="e">
        <f>IF(VLOOKUP($A2120,'Concrete Beam Schedule'!$A$2:$Q$2902,AA$2,0)&lt;&gt;K2120,"Beam Revised","")</f>
        <v>#N/A</v>
      </c>
      <c r="AB2120" s="7" t="e">
        <f>IF(VLOOKUP($A2120,'Concrete Beam Schedule'!$A$2:$Q$2902,AB$2,0)&lt;&gt;L2120,"Beam Revised","")</f>
        <v>#N/A</v>
      </c>
      <c r="AC2120" s="7" t="e">
        <f>IF(VLOOKUP($A2120,'Concrete Beam Schedule'!$A$2:$Q$2902,AC$2,0)&lt;&gt;M2120,"Beam Revised","")</f>
        <v>#N/A</v>
      </c>
      <c r="AD2120" s="7" t="e">
        <f>IF(VLOOKUP($A2120,'Concrete Beam Schedule'!$A$2:$Q$2902,AD$2,0)&lt;&gt;N2120,"Beam Revised","")</f>
        <v>#N/A</v>
      </c>
      <c r="AE2120" s="7" t="e">
        <f>IF(VLOOKUP($A2120,'Concrete Beam Schedule'!$A$2:$Q$2902,AE$2,0)&lt;&gt;O2120,"Beam Revised","")</f>
        <v>#N/A</v>
      </c>
    </row>
    <row r="2121" spans="17:31" ht="20.100000000000001" customHeight="1" x14ac:dyDescent="0.25">
      <c r="Q2121" s="7">
        <f t="shared" si="33"/>
        <v>0</v>
      </c>
      <c r="R2121" s="7" t="e">
        <f>IF(VLOOKUP($A2121,'Concrete Beam Schedule'!$A$2:$Q$2902,R$2,0)&lt;&gt;B2121,VLOOKUP($A2121,'Concrete Beam Schedule'!$A$2:$Q$2902,R$2,0),"")</f>
        <v>#N/A</v>
      </c>
      <c r="S2121" s="7" t="e">
        <f>IF(VLOOKUP($A2121,'Concrete Beam Schedule'!$A$2:$Q$2902,S$2,0)&lt;&gt;C2121,VLOOKUP($A2121,'Concrete Beam Schedule'!$A$2:$Q$2902,S$2,0),"")</f>
        <v>#N/A</v>
      </c>
      <c r="T2121" s="7" t="e">
        <f>IF(VLOOKUP($A2121,'Concrete Beam Schedule'!$A$2:$Q$2902,T$2,0)&lt;&gt;D2121,"Beam Revised","")</f>
        <v>#N/A</v>
      </c>
      <c r="U2121" s="7" t="e">
        <f>IF(VLOOKUP($A2121,'Concrete Beam Schedule'!$A$2:$Q$2902,U$2,0)&lt;&gt;E2121,"Beam Revised","")</f>
        <v>#N/A</v>
      </c>
      <c r="V2121" s="7" t="e">
        <f>IF(VLOOKUP($A2121,'Concrete Beam Schedule'!$A$2:$Q$2902,V$2,0)&lt;&gt;F2121,"Beam Revised","")</f>
        <v>#N/A</v>
      </c>
      <c r="W2121" s="7" t="e">
        <f>IF(VLOOKUP($A2121,'Concrete Beam Schedule'!$A$2:$Q$2902,W$2,0)&lt;&gt;G2121,"Beam Revised","")</f>
        <v>#N/A</v>
      </c>
      <c r="X2121" s="7" t="e">
        <f>IF(VLOOKUP($A2121,'Concrete Beam Schedule'!$A$2:$Q$2902,X$2,0)&lt;&gt;H2121,"Beam Revised","")</f>
        <v>#N/A</v>
      </c>
      <c r="Y2121" s="7" t="e">
        <f>IF(VLOOKUP($A2121,'Concrete Beam Schedule'!$A$2:$Q$2902,Y$2,0)&lt;&gt;I2121,"Beam Revised","")</f>
        <v>#N/A</v>
      </c>
      <c r="Z2121" s="7" t="e">
        <f>IF(VLOOKUP($A2121,'Concrete Beam Schedule'!$A$2:$Q$2902,Z$2,0)&lt;&gt;J2121,"Beam Revised","")</f>
        <v>#N/A</v>
      </c>
      <c r="AA2121" s="7" t="e">
        <f>IF(VLOOKUP($A2121,'Concrete Beam Schedule'!$A$2:$Q$2902,AA$2,0)&lt;&gt;K2121,"Beam Revised","")</f>
        <v>#N/A</v>
      </c>
      <c r="AB2121" s="7" t="e">
        <f>IF(VLOOKUP($A2121,'Concrete Beam Schedule'!$A$2:$Q$2902,AB$2,0)&lt;&gt;L2121,"Beam Revised","")</f>
        <v>#N/A</v>
      </c>
      <c r="AC2121" s="7" t="e">
        <f>IF(VLOOKUP($A2121,'Concrete Beam Schedule'!$A$2:$Q$2902,AC$2,0)&lt;&gt;M2121,"Beam Revised","")</f>
        <v>#N/A</v>
      </c>
      <c r="AD2121" s="7" t="e">
        <f>IF(VLOOKUP($A2121,'Concrete Beam Schedule'!$A$2:$Q$2902,AD$2,0)&lt;&gt;N2121,"Beam Revised","")</f>
        <v>#N/A</v>
      </c>
      <c r="AE2121" s="7" t="e">
        <f>IF(VLOOKUP($A2121,'Concrete Beam Schedule'!$A$2:$Q$2902,AE$2,0)&lt;&gt;O2121,"Beam Revised","")</f>
        <v>#N/A</v>
      </c>
    </row>
    <row r="2122" spans="17:31" ht="20.100000000000001" customHeight="1" x14ac:dyDescent="0.25">
      <c r="Q2122" s="7">
        <f t="shared" si="33"/>
        <v>0</v>
      </c>
      <c r="R2122" s="7" t="e">
        <f>IF(VLOOKUP($A2122,'Concrete Beam Schedule'!$A$2:$Q$2902,R$2,0)&lt;&gt;B2122,VLOOKUP($A2122,'Concrete Beam Schedule'!$A$2:$Q$2902,R$2,0),"")</f>
        <v>#N/A</v>
      </c>
      <c r="S2122" s="7" t="e">
        <f>IF(VLOOKUP($A2122,'Concrete Beam Schedule'!$A$2:$Q$2902,S$2,0)&lt;&gt;C2122,VLOOKUP($A2122,'Concrete Beam Schedule'!$A$2:$Q$2902,S$2,0),"")</f>
        <v>#N/A</v>
      </c>
      <c r="T2122" s="7" t="e">
        <f>IF(VLOOKUP($A2122,'Concrete Beam Schedule'!$A$2:$Q$2902,T$2,0)&lt;&gt;D2122,"Beam Revised","")</f>
        <v>#N/A</v>
      </c>
      <c r="U2122" s="7" t="e">
        <f>IF(VLOOKUP($A2122,'Concrete Beam Schedule'!$A$2:$Q$2902,U$2,0)&lt;&gt;E2122,"Beam Revised","")</f>
        <v>#N/A</v>
      </c>
      <c r="V2122" s="7" t="e">
        <f>IF(VLOOKUP($A2122,'Concrete Beam Schedule'!$A$2:$Q$2902,V$2,0)&lt;&gt;F2122,"Beam Revised","")</f>
        <v>#N/A</v>
      </c>
      <c r="W2122" s="7" t="e">
        <f>IF(VLOOKUP($A2122,'Concrete Beam Schedule'!$A$2:$Q$2902,W$2,0)&lt;&gt;G2122,"Beam Revised","")</f>
        <v>#N/A</v>
      </c>
      <c r="X2122" s="7" t="e">
        <f>IF(VLOOKUP($A2122,'Concrete Beam Schedule'!$A$2:$Q$2902,X$2,0)&lt;&gt;H2122,"Beam Revised","")</f>
        <v>#N/A</v>
      </c>
      <c r="Y2122" s="7" t="e">
        <f>IF(VLOOKUP($A2122,'Concrete Beam Schedule'!$A$2:$Q$2902,Y$2,0)&lt;&gt;I2122,"Beam Revised","")</f>
        <v>#N/A</v>
      </c>
      <c r="Z2122" s="7" t="e">
        <f>IF(VLOOKUP($A2122,'Concrete Beam Schedule'!$A$2:$Q$2902,Z$2,0)&lt;&gt;J2122,"Beam Revised","")</f>
        <v>#N/A</v>
      </c>
      <c r="AA2122" s="7" t="e">
        <f>IF(VLOOKUP($A2122,'Concrete Beam Schedule'!$A$2:$Q$2902,AA$2,0)&lt;&gt;K2122,"Beam Revised","")</f>
        <v>#N/A</v>
      </c>
      <c r="AB2122" s="7" t="e">
        <f>IF(VLOOKUP($A2122,'Concrete Beam Schedule'!$A$2:$Q$2902,AB$2,0)&lt;&gt;L2122,"Beam Revised","")</f>
        <v>#N/A</v>
      </c>
      <c r="AC2122" s="7" t="e">
        <f>IF(VLOOKUP($A2122,'Concrete Beam Schedule'!$A$2:$Q$2902,AC$2,0)&lt;&gt;M2122,"Beam Revised","")</f>
        <v>#N/A</v>
      </c>
      <c r="AD2122" s="7" t="e">
        <f>IF(VLOOKUP($A2122,'Concrete Beam Schedule'!$A$2:$Q$2902,AD$2,0)&lt;&gt;N2122,"Beam Revised","")</f>
        <v>#N/A</v>
      </c>
      <c r="AE2122" s="7" t="e">
        <f>IF(VLOOKUP($A2122,'Concrete Beam Schedule'!$A$2:$Q$2902,AE$2,0)&lt;&gt;O2122,"Beam Revised","")</f>
        <v>#N/A</v>
      </c>
    </row>
    <row r="2123" spans="17:31" ht="20.100000000000001" customHeight="1" x14ac:dyDescent="0.25">
      <c r="Q2123" s="7">
        <f t="shared" si="33"/>
        <v>0</v>
      </c>
      <c r="R2123" s="7" t="e">
        <f>IF(VLOOKUP($A2123,'Concrete Beam Schedule'!$A$2:$Q$2902,R$2,0)&lt;&gt;B2123,VLOOKUP($A2123,'Concrete Beam Schedule'!$A$2:$Q$2902,R$2,0),"")</f>
        <v>#N/A</v>
      </c>
      <c r="S2123" s="7" t="e">
        <f>IF(VLOOKUP($A2123,'Concrete Beam Schedule'!$A$2:$Q$2902,S$2,0)&lt;&gt;C2123,VLOOKUP($A2123,'Concrete Beam Schedule'!$A$2:$Q$2902,S$2,0),"")</f>
        <v>#N/A</v>
      </c>
      <c r="T2123" s="7" t="e">
        <f>IF(VLOOKUP($A2123,'Concrete Beam Schedule'!$A$2:$Q$2902,T$2,0)&lt;&gt;D2123,"Beam Revised","")</f>
        <v>#N/A</v>
      </c>
      <c r="U2123" s="7" t="e">
        <f>IF(VLOOKUP($A2123,'Concrete Beam Schedule'!$A$2:$Q$2902,U$2,0)&lt;&gt;E2123,"Beam Revised","")</f>
        <v>#N/A</v>
      </c>
      <c r="V2123" s="7" t="e">
        <f>IF(VLOOKUP($A2123,'Concrete Beam Schedule'!$A$2:$Q$2902,V$2,0)&lt;&gt;F2123,"Beam Revised","")</f>
        <v>#N/A</v>
      </c>
      <c r="W2123" s="7" t="e">
        <f>IF(VLOOKUP($A2123,'Concrete Beam Schedule'!$A$2:$Q$2902,W$2,0)&lt;&gt;G2123,"Beam Revised","")</f>
        <v>#N/A</v>
      </c>
      <c r="X2123" s="7" t="e">
        <f>IF(VLOOKUP($A2123,'Concrete Beam Schedule'!$A$2:$Q$2902,X$2,0)&lt;&gt;H2123,"Beam Revised","")</f>
        <v>#N/A</v>
      </c>
      <c r="Y2123" s="7" t="e">
        <f>IF(VLOOKUP($A2123,'Concrete Beam Schedule'!$A$2:$Q$2902,Y$2,0)&lt;&gt;I2123,"Beam Revised","")</f>
        <v>#N/A</v>
      </c>
      <c r="Z2123" s="7" t="e">
        <f>IF(VLOOKUP($A2123,'Concrete Beam Schedule'!$A$2:$Q$2902,Z$2,0)&lt;&gt;J2123,"Beam Revised","")</f>
        <v>#N/A</v>
      </c>
      <c r="AA2123" s="7" t="e">
        <f>IF(VLOOKUP($A2123,'Concrete Beam Schedule'!$A$2:$Q$2902,AA$2,0)&lt;&gt;K2123,"Beam Revised","")</f>
        <v>#N/A</v>
      </c>
      <c r="AB2123" s="7" t="e">
        <f>IF(VLOOKUP($A2123,'Concrete Beam Schedule'!$A$2:$Q$2902,AB$2,0)&lt;&gt;L2123,"Beam Revised","")</f>
        <v>#N/A</v>
      </c>
      <c r="AC2123" s="7" t="e">
        <f>IF(VLOOKUP($A2123,'Concrete Beam Schedule'!$A$2:$Q$2902,AC$2,0)&lt;&gt;M2123,"Beam Revised","")</f>
        <v>#N/A</v>
      </c>
      <c r="AD2123" s="7" t="e">
        <f>IF(VLOOKUP($A2123,'Concrete Beam Schedule'!$A$2:$Q$2902,AD$2,0)&lt;&gt;N2123,"Beam Revised","")</f>
        <v>#N/A</v>
      </c>
      <c r="AE2123" s="7" t="e">
        <f>IF(VLOOKUP($A2123,'Concrete Beam Schedule'!$A$2:$Q$2902,AE$2,0)&lt;&gt;O2123,"Beam Revised","")</f>
        <v>#N/A</v>
      </c>
    </row>
    <row r="2124" spans="17:31" ht="20.100000000000001" customHeight="1" x14ac:dyDescent="0.25">
      <c r="Q2124" s="7">
        <f t="shared" si="33"/>
        <v>0</v>
      </c>
      <c r="R2124" s="7" t="e">
        <f>IF(VLOOKUP($A2124,'Concrete Beam Schedule'!$A$2:$Q$2902,R$2,0)&lt;&gt;B2124,VLOOKUP($A2124,'Concrete Beam Schedule'!$A$2:$Q$2902,R$2,0),"")</f>
        <v>#N/A</v>
      </c>
      <c r="S2124" s="7" t="e">
        <f>IF(VLOOKUP($A2124,'Concrete Beam Schedule'!$A$2:$Q$2902,S$2,0)&lt;&gt;C2124,VLOOKUP($A2124,'Concrete Beam Schedule'!$A$2:$Q$2902,S$2,0),"")</f>
        <v>#N/A</v>
      </c>
      <c r="T2124" s="7" t="e">
        <f>IF(VLOOKUP($A2124,'Concrete Beam Schedule'!$A$2:$Q$2902,T$2,0)&lt;&gt;D2124,"Beam Revised","")</f>
        <v>#N/A</v>
      </c>
      <c r="U2124" s="7" t="e">
        <f>IF(VLOOKUP($A2124,'Concrete Beam Schedule'!$A$2:$Q$2902,U$2,0)&lt;&gt;E2124,"Beam Revised","")</f>
        <v>#N/A</v>
      </c>
      <c r="V2124" s="7" t="e">
        <f>IF(VLOOKUP($A2124,'Concrete Beam Schedule'!$A$2:$Q$2902,V$2,0)&lt;&gt;F2124,"Beam Revised","")</f>
        <v>#N/A</v>
      </c>
      <c r="W2124" s="7" t="e">
        <f>IF(VLOOKUP($A2124,'Concrete Beam Schedule'!$A$2:$Q$2902,W$2,0)&lt;&gt;G2124,"Beam Revised","")</f>
        <v>#N/A</v>
      </c>
      <c r="X2124" s="7" t="e">
        <f>IF(VLOOKUP($A2124,'Concrete Beam Schedule'!$A$2:$Q$2902,X$2,0)&lt;&gt;H2124,"Beam Revised","")</f>
        <v>#N/A</v>
      </c>
      <c r="Y2124" s="7" t="e">
        <f>IF(VLOOKUP($A2124,'Concrete Beam Schedule'!$A$2:$Q$2902,Y$2,0)&lt;&gt;I2124,"Beam Revised","")</f>
        <v>#N/A</v>
      </c>
      <c r="Z2124" s="7" t="e">
        <f>IF(VLOOKUP($A2124,'Concrete Beam Schedule'!$A$2:$Q$2902,Z$2,0)&lt;&gt;J2124,"Beam Revised","")</f>
        <v>#N/A</v>
      </c>
      <c r="AA2124" s="7" t="e">
        <f>IF(VLOOKUP($A2124,'Concrete Beam Schedule'!$A$2:$Q$2902,AA$2,0)&lt;&gt;K2124,"Beam Revised","")</f>
        <v>#N/A</v>
      </c>
      <c r="AB2124" s="7" t="e">
        <f>IF(VLOOKUP($A2124,'Concrete Beam Schedule'!$A$2:$Q$2902,AB$2,0)&lt;&gt;L2124,"Beam Revised","")</f>
        <v>#N/A</v>
      </c>
      <c r="AC2124" s="7" t="e">
        <f>IF(VLOOKUP($A2124,'Concrete Beam Schedule'!$A$2:$Q$2902,AC$2,0)&lt;&gt;M2124,"Beam Revised","")</f>
        <v>#N/A</v>
      </c>
      <c r="AD2124" s="7" t="e">
        <f>IF(VLOOKUP($A2124,'Concrete Beam Schedule'!$A$2:$Q$2902,AD$2,0)&lt;&gt;N2124,"Beam Revised","")</f>
        <v>#N/A</v>
      </c>
      <c r="AE2124" s="7" t="e">
        <f>IF(VLOOKUP($A2124,'Concrete Beam Schedule'!$A$2:$Q$2902,AE$2,0)&lt;&gt;O2124,"Beam Revised","")</f>
        <v>#N/A</v>
      </c>
    </row>
    <row r="2125" spans="17:31" ht="20.100000000000001" customHeight="1" x14ac:dyDescent="0.25">
      <c r="Q2125" s="7">
        <f t="shared" si="33"/>
        <v>0</v>
      </c>
      <c r="R2125" s="7" t="e">
        <f>IF(VLOOKUP($A2125,'Concrete Beam Schedule'!$A$2:$Q$2902,R$2,0)&lt;&gt;B2125,VLOOKUP($A2125,'Concrete Beam Schedule'!$A$2:$Q$2902,R$2,0),"")</f>
        <v>#N/A</v>
      </c>
      <c r="S2125" s="7" t="e">
        <f>IF(VLOOKUP($A2125,'Concrete Beam Schedule'!$A$2:$Q$2902,S$2,0)&lt;&gt;C2125,VLOOKUP($A2125,'Concrete Beam Schedule'!$A$2:$Q$2902,S$2,0),"")</f>
        <v>#N/A</v>
      </c>
      <c r="T2125" s="7" t="e">
        <f>IF(VLOOKUP($A2125,'Concrete Beam Schedule'!$A$2:$Q$2902,T$2,0)&lt;&gt;D2125,"Beam Revised","")</f>
        <v>#N/A</v>
      </c>
      <c r="U2125" s="7" t="e">
        <f>IF(VLOOKUP($A2125,'Concrete Beam Schedule'!$A$2:$Q$2902,U$2,0)&lt;&gt;E2125,"Beam Revised","")</f>
        <v>#N/A</v>
      </c>
      <c r="V2125" s="7" t="e">
        <f>IF(VLOOKUP($A2125,'Concrete Beam Schedule'!$A$2:$Q$2902,V$2,0)&lt;&gt;F2125,"Beam Revised","")</f>
        <v>#N/A</v>
      </c>
      <c r="W2125" s="7" t="e">
        <f>IF(VLOOKUP($A2125,'Concrete Beam Schedule'!$A$2:$Q$2902,W$2,0)&lt;&gt;G2125,"Beam Revised","")</f>
        <v>#N/A</v>
      </c>
      <c r="X2125" s="7" t="e">
        <f>IF(VLOOKUP($A2125,'Concrete Beam Schedule'!$A$2:$Q$2902,X$2,0)&lt;&gt;H2125,"Beam Revised","")</f>
        <v>#N/A</v>
      </c>
      <c r="Y2125" s="7" t="e">
        <f>IF(VLOOKUP($A2125,'Concrete Beam Schedule'!$A$2:$Q$2902,Y$2,0)&lt;&gt;I2125,"Beam Revised","")</f>
        <v>#N/A</v>
      </c>
      <c r="Z2125" s="7" t="e">
        <f>IF(VLOOKUP($A2125,'Concrete Beam Schedule'!$A$2:$Q$2902,Z$2,0)&lt;&gt;J2125,"Beam Revised","")</f>
        <v>#N/A</v>
      </c>
      <c r="AA2125" s="7" t="e">
        <f>IF(VLOOKUP($A2125,'Concrete Beam Schedule'!$A$2:$Q$2902,AA$2,0)&lt;&gt;K2125,"Beam Revised","")</f>
        <v>#N/A</v>
      </c>
      <c r="AB2125" s="7" t="e">
        <f>IF(VLOOKUP($A2125,'Concrete Beam Schedule'!$A$2:$Q$2902,AB$2,0)&lt;&gt;L2125,"Beam Revised","")</f>
        <v>#N/A</v>
      </c>
      <c r="AC2125" s="7" t="e">
        <f>IF(VLOOKUP($A2125,'Concrete Beam Schedule'!$A$2:$Q$2902,AC$2,0)&lt;&gt;M2125,"Beam Revised","")</f>
        <v>#N/A</v>
      </c>
      <c r="AD2125" s="7" t="e">
        <f>IF(VLOOKUP($A2125,'Concrete Beam Schedule'!$A$2:$Q$2902,AD$2,0)&lt;&gt;N2125,"Beam Revised","")</f>
        <v>#N/A</v>
      </c>
      <c r="AE2125" s="7" t="e">
        <f>IF(VLOOKUP($A2125,'Concrete Beam Schedule'!$A$2:$Q$2902,AE$2,0)&lt;&gt;O2125,"Beam Revised","")</f>
        <v>#N/A</v>
      </c>
    </row>
    <row r="2126" spans="17:31" ht="20.100000000000001" customHeight="1" x14ac:dyDescent="0.25">
      <c r="Q2126" s="7">
        <f t="shared" si="33"/>
        <v>0</v>
      </c>
      <c r="R2126" s="7" t="e">
        <f>IF(VLOOKUP($A2126,'Concrete Beam Schedule'!$A$2:$Q$2902,R$2,0)&lt;&gt;B2126,VLOOKUP($A2126,'Concrete Beam Schedule'!$A$2:$Q$2902,R$2,0),"")</f>
        <v>#N/A</v>
      </c>
      <c r="S2126" s="7" t="e">
        <f>IF(VLOOKUP($A2126,'Concrete Beam Schedule'!$A$2:$Q$2902,S$2,0)&lt;&gt;C2126,VLOOKUP($A2126,'Concrete Beam Schedule'!$A$2:$Q$2902,S$2,0),"")</f>
        <v>#N/A</v>
      </c>
      <c r="T2126" s="7" t="e">
        <f>IF(VLOOKUP($A2126,'Concrete Beam Schedule'!$A$2:$Q$2902,T$2,0)&lt;&gt;D2126,"Beam Revised","")</f>
        <v>#N/A</v>
      </c>
      <c r="U2126" s="7" t="e">
        <f>IF(VLOOKUP($A2126,'Concrete Beam Schedule'!$A$2:$Q$2902,U$2,0)&lt;&gt;E2126,"Beam Revised","")</f>
        <v>#N/A</v>
      </c>
      <c r="V2126" s="7" t="e">
        <f>IF(VLOOKUP($A2126,'Concrete Beam Schedule'!$A$2:$Q$2902,V$2,0)&lt;&gt;F2126,"Beam Revised","")</f>
        <v>#N/A</v>
      </c>
      <c r="W2126" s="7" t="e">
        <f>IF(VLOOKUP($A2126,'Concrete Beam Schedule'!$A$2:$Q$2902,W$2,0)&lt;&gt;G2126,"Beam Revised","")</f>
        <v>#N/A</v>
      </c>
      <c r="X2126" s="7" t="e">
        <f>IF(VLOOKUP($A2126,'Concrete Beam Schedule'!$A$2:$Q$2902,X$2,0)&lt;&gt;H2126,"Beam Revised","")</f>
        <v>#N/A</v>
      </c>
      <c r="Y2126" s="7" t="e">
        <f>IF(VLOOKUP($A2126,'Concrete Beam Schedule'!$A$2:$Q$2902,Y$2,0)&lt;&gt;I2126,"Beam Revised","")</f>
        <v>#N/A</v>
      </c>
      <c r="Z2126" s="7" t="e">
        <f>IF(VLOOKUP($A2126,'Concrete Beam Schedule'!$A$2:$Q$2902,Z$2,0)&lt;&gt;J2126,"Beam Revised","")</f>
        <v>#N/A</v>
      </c>
      <c r="AA2126" s="7" t="e">
        <f>IF(VLOOKUP($A2126,'Concrete Beam Schedule'!$A$2:$Q$2902,AA$2,0)&lt;&gt;K2126,"Beam Revised","")</f>
        <v>#N/A</v>
      </c>
      <c r="AB2126" s="7" t="e">
        <f>IF(VLOOKUP($A2126,'Concrete Beam Schedule'!$A$2:$Q$2902,AB$2,0)&lt;&gt;L2126,"Beam Revised","")</f>
        <v>#N/A</v>
      </c>
      <c r="AC2126" s="7" t="e">
        <f>IF(VLOOKUP($A2126,'Concrete Beam Schedule'!$A$2:$Q$2902,AC$2,0)&lt;&gt;M2126,"Beam Revised","")</f>
        <v>#N/A</v>
      </c>
      <c r="AD2126" s="7" t="e">
        <f>IF(VLOOKUP($A2126,'Concrete Beam Schedule'!$A$2:$Q$2902,AD$2,0)&lt;&gt;N2126,"Beam Revised","")</f>
        <v>#N/A</v>
      </c>
      <c r="AE2126" s="7" t="e">
        <f>IF(VLOOKUP($A2126,'Concrete Beam Schedule'!$A$2:$Q$2902,AE$2,0)&lt;&gt;O2126,"Beam Revised","")</f>
        <v>#N/A</v>
      </c>
    </row>
    <row r="2127" spans="17:31" ht="20.100000000000001" customHeight="1" x14ac:dyDescent="0.25">
      <c r="Q2127" s="7">
        <f t="shared" si="33"/>
        <v>0</v>
      </c>
      <c r="R2127" s="7" t="e">
        <f>IF(VLOOKUP($A2127,'Concrete Beam Schedule'!$A$2:$Q$2902,R$2,0)&lt;&gt;B2127,VLOOKUP($A2127,'Concrete Beam Schedule'!$A$2:$Q$2902,R$2,0),"")</f>
        <v>#N/A</v>
      </c>
      <c r="S2127" s="7" t="e">
        <f>IF(VLOOKUP($A2127,'Concrete Beam Schedule'!$A$2:$Q$2902,S$2,0)&lt;&gt;C2127,VLOOKUP($A2127,'Concrete Beam Schedule'!$A$2:$Q$2902,S$2,0),"")</f>
        <v>#N/A</v>
      </c>
      <c r="T2127" s="7" t="e">
        <f>IF(VLOOKUP($A2127,'Concrete Beam Schedule'!$A$2:$Q$2902,T$2,0)&lt;&gt;D2127,"Beam Revised","")</f>
        <v>#N/A</v>
      </c>
      <c r="U2127" s="7" t="e">
        <f>IF(VLOOKUP($A2127,'Concrete Beam Schedule'!$A$2:$Q$2902,U$2,0)&lt;&gt;E2127,"Beam Revised","")</f>
        <v>#N/A</v>
      </c>
      <c r="V2127" s="7" t="e">
        <f>IF(VLOOKUP($A2127,'Concrete Beam Schedule'!$A$2:$Q$2902,V$2,0)&lt;&gt;F2127,"Beam Revised","")</f>
        <v>#N/A</v>
      </c>
      <c r="W2127" s="7" t="e">
        <f>IF(VLOOKUP($A2127,'Concrete Beam Schedule'!$A$2:$Q$2902,W$2,0)&lt;&gt;G2127,"Beam Revised","")</f>
        <v>#N/A</v>
      </c>
      <c r="X2127" s="7" t="e">
        <f>IF(VLOOKUP($A2127,'Concrete Beam Schedule'!$A$2:$Q$2902,X$2,0)&lt;&gt;H2127,"Beam Revised","")</f>
        <v>#N/A</v>
      </c>
      <c r="Y2127" s="7" t="e">
        <f>IF(VLOOKUP($A2127,'Concrete Beam Schedule'!$A$2:$Q$2902,Y$2,0)&lt;&gt;I2127,"Beam Revised","")</f>
        <v>#N/A</v>
      </c>
      <c r="Z2127" s="7" t="e">
        <f>IF(VLOOKUP($A2127,'Concrete Beam Schedule'!$A$2:$Q$2902,Z$2,0)&lt;&gt;J2127,"Beam Revised","")</f>
        <v>#N/A</v>
      </c>
      <c r="AA2127" s="7" t="e">
        <f>IF(VLOOKUP($A2127,'Concrete Beam Schedule'!$A$2:$Q$2902,AA$2,0)&lt;&gt;K2127,"Beam Revised","")</f>
        <v>#N/A</v>
      </c>
      <c r="AB2127" s="7" t="e">
        <f>IF(VLOOKUP($A2127,'Concrete Beam Schedule'!$A$2:$Q$2902,AB$2,0)&lt;&gt;L2127,"Beam Revised","")</f>
        <v>#N/A</v>
      </c>
      <c r="AC2127" s="7" t="e">
        <f>IF(VLOOKUP($A2127,'Concrete Beam Schedule'!$A$2:$Q$2902,AC$2,0)&lt;&gt;M2127,"Beam Revised","")</f>
        <v>#N/A</v>
      </c>
      <c r="AD2127" s="7" t="e">
        <f>IF(VLOOKUP($A2127,'Concrete Beam Schedule'!$A$2:$Q$2902,AD$2,0)&lt;&gt;N2127,"Beam Revised","")</f>
        <v>#N/A</v>
      </c>
      <c r="AE2127" s="7" t="e">
        <f>IF(VLOOKUP($A2127,'Concrete Beam Schedule'!$A$2:$Q$2902,AE$2,0)&lt;&gt;O2127,"Beam Revised","")</f>
        <v>#N/A</v>
      </c>
    </row>
    <row r="2128" spans="17:31" ht="20.100000000000001" customHeight="1" x14ac:dyDescent="0.25">
      <c r="Q2128" s="7">
        <f t="shared" si="33"/>
        <v>0</v>
      </c>
      <c r="R2128" s="7" t="e">
        <f>IF(VLOOKUP($A2128,'Concrete Beam Schedule'!$A$2:$Q$2902,R$2,0)&lt;&gt;B2128,VLOOKUP($A2128,'Concrete Beam Schedule'!$A$2:$Q$2902,R$2,0),"")</f>
        <v>#N/A</v>
      </c>
      <c r="S2128" s="7" t="e">
        <f>IF(VLOOKUP($A2128,'Concrete Beam Schedule'!$A$2:$Q$2902,S$2,0)&lt;&gt;C2128,VLOOKUP($A2128,'Concrete Beam Schedule'!$A$2:$Q$2902,S$2,0),"")</f>
        <v>#N/A</v>
      </c>
      <c r="T2128" s="7" t="e">
        <f>IF(VLOOKUP($A2128,'Concrete Beam Schedule'!$A$2:$Q$2902,T$2,0)&lt;&gt;D2128,"Beam Revised","")</f>
        <v>#N/A</v>
      </c>
      <c r="U2128" s="7" t="e">
        <f>IF(VLOOKUP($A2128,'Concrete Beam Schedule'!$A$2:$Q$2902,U$2,0)&lt;&gt;E2128,"Beam Revised","")</f>
        <v>#N/A</v>
      </c>
      <c r="V2128" s="7" t="e">
        <f>IF(VLOOKUP($A2128,'Concrete Beam Schedule'!$A$2:$Q$2902,V$2,0)&lt;&gt;F2128,"Beam Revised","")</f>
        <v>#N/A</v>
      </c>
      <c r="W2128" s="7" t="e">
        <f>IF(VLOOKUP($A2128,'Concrete Beam Schedule'!$A$2:$Q$2902,W$2,0)&lt;&gt;G2128,"Beam Revised","")</f>
        <v>#N/A</v>
      </c>
      <c r="X2128" s="7" t="e">
        <f>IF(VLOOKUP($A2128,'Concrete Beam Schedule'!$A$2:$Q$2902,X$2,0)&lt;&gt;H2128,"Beam Revised","")</f>
        <v>#N/A</v>
      </c>
      <c r="Y2128" s="7" t="e">
        <f>IF(VLOOKUP($A2128,'Concrete Beam Schedule'!$A$2:$Q$2902,Y$2,0)&lt;&gt;I2128,"Beam Revised","")</f>
        <v>#N/A</v>
      </c>
      <c r="Z2128" s="7" t="e">
        <f>IF(VLOOKUP($A2128,'Concrete Beam Schedule'!$A$2:$Q$2902,Z$2,0)&lt;&gt;J2128,"Beam Revised","")</f>
        <v>#N/A</v>
      </c>
      <c r="AA2128" s="7" t="e">
        <f>IF(VLOOKUP($A2128,'Concrete Beam Schedule'!$A$2:$Q$2902,AA$2,0)&lt;&gt;K2128,"Beam Revised","")</f>
        <v>#N/A</v>
      </c>
      <c r="AB2128" s="7" t="e">
        <f>IF(VLOOKUP($A2128,'Concrete Beam Schedule'!$A$2:$Q$2902,AB$2,0)&lt;&gt;L2128,"Beam Revised","")</f>
        <v>#N/A</v>
      </c>
      <c r="AC2128" s="7" t="e">
        <f>IF(VLOOKUP($A2128,'Concrete Beam Schedule'!$A$2:$Q$2902,AC$2,0)&lt;&gt;M2128,"Beam Revised","")</f>
        <v>#N/A</v>
      </c>
      <c r="AD2128" s="7" t="e">
        <f>IF(VLOOKUP($A2128,'Concrete Beam Schedule'!$A$2:$Q$2902,AD$2,0)&lt;&gt;N2128,"Beam Revised","")</f>
        <v>#N/A</v>
      </c>
      <c r="AE2128" s="7" t="e">
        <f>IF(VLOOKUP($A2128,'Concrete Beam Schedule'!$A$2:$Q$2902,AE$2,0)&lt;&gt;O2128,"Beam Revised","")</f>
        <v>#N/A</v>
      </c>
    </row>
    <row r="2129" spans="17:31" ht="20.100000000000001" customHeight="1" x14ac:dyDescent="0.25">
      <c r="Q2129" s="7">
        <f t="shared" si="33"/>
        <v>0</v>
      </c>
      <c r="R2129" s="7" t="e">
        <f>IF(VLOOKUP($A2129,'Concrete Beam Schedule'!$A$2:$Q$2902,R$2,0)&lt;&gt;B2129,VLOOKUP($A2129,'Concrete Beam Schedule'!$A$2:$Q$2902,R$2,0),"")</f>
        <v>#N/A</v>
      </c>
      <c r="S2129" s="7" t="e">
        <f>IF(VLOOKUP($A2129,'Concrete Beam Schedule'!$A$2:$Q$2902,S$2,0)&lt;&gt;C2129,VLOOKUP($A2129,'Concrete Beam Schedule'!$A$2:$Q$2902,S$2,0),"")</f>
        <v>#N/A</v>
      </c>
      <c r="T2129" s="7" t="e">
        <f>IF(VLOOKUP($A2129,'Concrete Beam Schedule'!$A$2:$Q$2902,T$2,0)&lt;&gt;D2129,"Beam Revised","")</f>
        <v>#N/A</v>
      </c>
      <c r="U2129" s="7" t="e">
        <f>IF(VLOOKUP($A2129,'Concrete Beam Schedule'!$A$2:$Q$2902,U$2,0)&lt;&gt;E2129,"Beam Revised","")</f>
        <v>#N/A</v>
      </c>
      <c r="V2129" s="7" t="e">
        <f>IF(VLOOKUP($A2129,'Concrete Beam Schedule'!$A$2:$Q$2902,V$2,0)&lt;&gt;F2129,"Beam Revised","")</f>
        <v>#N/A</v>
      </c>
      <c r="W2129" s="7" t="e">
        <f>IF(VLOOKUP($A2129,'Concrete Beam Schedule'!$A$2:$Q$2902,W$2,0)&lt;&gt;G2129,"Beam Revised","")</f>
        <v>#N/A</v>
      </c>
      <c r="X2129" s="7" t="e">
        <f>IF(VLOOKUP($A2129,'Concrete Beam Schedule'!$A$2:$Q$2902,X$2,0)&lt;&gt;H2129,"Beam Revised","")</f>
        <v>#N/A</v>
      </c>
      <c r="Y2129" s="7" t="e">
        <f>IF(VLOOKUP($A2129,'Concrete Beam Schedule'!$A$2:$Q$2902,Y$2,0)&lt;&gt;I2129,"Beam Revised","")</f>
        <v>#N/A</v>
      </c>
      <c r="Z2129" s="7" t="e">
        <f>IF(VLOOKUP($A2129,'Concrete Beam Schedule'!$A$2:$Q$2902,Z$2,0)&lt;&gt;J2129,"Beam Revised","")</f>
        <v>#N/A</v>
      </c>
      <c r="AA2129" s="7" t="e">
        <f>IF(VLOOKUP($A2129,'Concrete Beam Schedule'!$A$2:$Q$2902,AA$2,0)&lt;&gt;K2129,"Beam Revised","")</f>
        <v>#N/A</v>
      </c>
      <c r="AB2129" s="7" t="e">
        <f>IF(VLOOKUP($A2129,'Concrete Beam Schedule'!$A$2:$Q$2902,AB$2,0)&lt;&gt;L2129,"Beam Revised","")</f>
        <v>#N/A</v>
      </c>
      <c r="AC2129" s="7" t="e">
        <f>IF(VLOOKUP($A2129,'Concrete Beam Schedule'!$A$2:$Q$2902,AC$2,0)&lt;&gt;M2129,"Beam Revised","")</f>
        <v>#N/A</v>
      </c>
      <c r="AD2129" s="7" t="e">
        <f>IF(VLOOKUP($A2129,'Concrete Beam Schedule'!$A$2:$Q$2902,AD$2,0)&lt;&gt;N2129,"Beam Revised","")</f>
        <v>#N/A</v>
      </c>
      <c r="AE2129" s="7" t="e">
        <f>IF(VLOOKUP($A2129,'Concrete Beam Schedule'!$A$2:$Q$2902,AE$2,0)&lt;&gt;O2129,"Beam Revised","")</f>
        <v>#N/A</v>
      </c>
    </row>
    <row r="2130" spans="17:31" ht="20.100000000000001" customHeight="1" x14ac:dyDescent="0.25">
      <c r="Q2130" s="7">
        <f t="shared" si="33"/>
        <v>0</v>
      </c>
      <c r="R2130" s="7" t="e">
        <f>IF(VLOOKUP($A2130,'Concrete Beam Schedule'!$A$2:$Q$2902,R$2,0)&lt;&gt;B2130,VLOOKUP($A2130,'Concrete Beam Schedule'!$A$2:$Q$2902,R$2,0),"")</f>
        <v>#N/A</v>
      </c>
      <c r="S2130" s="7" t="e">
        <f>IF(VLOOKUP($A2130,'Concrete Beam Schedule'!$A$2:$Q$2902,S$2,0)&lt;&gt;C2130,VLOOKUP($A2130,'Concrete Beam Schedule'!$A$2:$Q$2902,S$2,0),"")</f>
        <v>#N/A</v>
      </c>
      <c r="T2130" s="7" t="e">
        <f>IF(VLOOKUP($A2130,'Concrete Beam Schedule'!$A$2:$Q$2902,T$2,0)&lt;&gt;D2130,"Beam Revised","")</f>
        <v>#N/A</v>
      </c>
      <c r="U2130" s="7" t="e">
        <f>IF(VLOOKUP($A2130,'Concrete Beam Schedule'!$A$2:$Q$2902,U$2,0)&lt;&gt;E2130,"Beam Revised","")</f>
        <v>#N/A</v>
      </c>
      <c r="V2130" s="7" t="e">
        <f>IF(VLOOKUP($A2130,'Concrete Beam Schedule'!$A$2:$Q$2902,V$2,0)&lt;&gt;F2130,"Beam Revised","")</f>
        <v>#N/A</v>
      </c>
      <c r="W2130" s="7" t="e">
        <f>IF(VLOOKUP($A2130,'Concrete Beam Schedule'!$A$2:$Q$2902,W$2,0)&lt;&gt;G2130,"Beam Revised","")</f>
        <v>#N/A</v>
      </c>
      <c r="X2130" s="7" t="e">
        <f>IF(VLOOKUP($A2130,'Concrete Beam Schedule'!$A$2:$Q$2902,X$2,0)&lt;&gt;H2130,"Beam Revised","")</f>
        <v>#N/A</v>
      </c>
      <c r="Y2130" s="7" t="e">
        <f>IF(VLOOKUP($A2130,'Concrete Beam Schedule'!$A$2:$Q$2902,Y$2,0)&lt;&gt;I2130,"Beam Revised","")</f>
        <v>#N/A</v>
      </c>
      <c r="Z2130" s="7" t="e">
        <f>IF(VLOOKUP($A2130,'Concrete Beam Schedule'!$A$2:$Q$2902,Z$2,0)&lt;&gt;J2130,"Beam Revised","")</f>
        <v>#N/A</v>
      </c>
      <c r="AA2130" s="7" t="e">
        <f>IF(VLOOKUP($A2130,'Concrete Beam Schedule'!$A$2:$Q$2902,AA$2,0)&lt;&gt;K2130,"Beam Revised","")</f>
        <v>#N/A</v>
      </c>
      <c r="AB2130" s="7" t="e">
        <f>IF(VLOOKUP($A2130,'Concrete Beam Schedule'!$A$2:$Q$2902,AB$2,0)&lt;&gt;L2130,"Beam Revised","")</f>
        <v>#N/A</v>
      </c>
      <c r="AC2130" s="7" t="e">
        <f>IF(VLOOKUP($A2130,'Concrete Beam Schedule'!$A$2:$Q$2902,AC$2,0)&lt;&gt;M2130,"Beam Revised","")</f>
        <v>#N/A</v>
      </c>
      <c r="AD2130" s="7" t="e">
        <f>IF(VLOOKUP($A2130,'Concrete Beam Schedule'!$A$2:$Q$2902,AD$2,0)&lt;&gt;N2130,"Beam Revised","")</f>
        <v>#N/A</v>
      </c>
      <c r="AE2130" s="7" t="e">
        <f>IF(VLOOKUP($A2130,'Concrete Beam Schedule'!$A$2:$Q$2902,AE$2,0)&lt;&gt;O2130,"Beam Revised","")</f>
        <v>#N/A</v>
      </c>
    </row>
    <row r="2131" spans="17:31" ht="20.100000000000001" customHeight="1" x14ac:dyDescent="0.25">
      <c r="Q2131" s="7">
        <f t="shared" si="33"/>
        <v>0</v>
      </c>
      <c r="R2131" s="7" t="e">
        <f>IF(VLOOKUP($A2131,'Concrete Beam Schedule'!$A$2:$Q$2902,R$2,0)&lt;&gt;B2131,VLOOKUP($A2131,'Concrete Beam Schedule'!$A$2:$Q$2902,R$2,0),"")</f>
        <v>#N/A</v>
      </c>
      <c r="S2131" s="7" t="e">
        <f>IF(VLOOKUP($A2131,'Concrete Beam Schedule'!$A$2:$Q$2902,S$2,0)&lt;&gt;C2131,VLOOKUP($A2131,'Concrete Beam Schedule'!$A$2:$Q$2902,S$2,0),"")</f>
        <v>#N/A</v>
      </c>
      <c r="T2131" s="7" t="e">
        <f>IF(VLOOKUP($A2131,'Concrete Beam Schedule'!$A$2:$Q$2902,T$2,0)&lt;&gt;D2131,"Beam Revised","")</f>
        <v>#N/A</v>
      </c>
      <c r="U2131" s="7" t="e">
        <f>IF(VLOOKUP($A2131,'Concrete Beam Schedule'!$A$2:$Q$2902,U$2,0)&lt;&gt;E2131,"Beam Revised","")</f>
        <v>#N/A</v>
      </c>
      <c r="V2131" s="7" t="e">
        <f>IF(VLOOKUP($A2131,'Concrete Beam Schedule'!$A$2:$Q$2902,V$2,0)&lt;&gt;F2131,"Beam Revised","")</f>
        <v>#N/A</v>
      </c>
      <c r="W2131" s="7" t="e">
        <f>IF(VLOOKUP($A2131,'Concrete Beam Schedule'!$A$2:$Q$2902,W$2,0)&lt;&gt;G2131,"Beam Revised","")</f>
        <v>#N/A</v>
      </c>
      <c r="X2131" s="7" t="e">
        <f>IF(VLOOKUP($A2131,'Concrete Beam Schedule'!$A$2:$Q$2902,X$2,0)&lt;&gt;H2131,"Beam Revised","")</f>
        <v>#N/A</v>
      </c>
      <c r="Y2131" s="7" t="e">
        <f>IF(VLOOKUP($A2131,'Concrete Beam Schedule'!$A$2:$Q$2902,Y$2,0)&lt;&gt;I2131,"Beam Revised","")</f>
        <v>#N/A</v>
      </c>
      <c r="Z2131" s="7" t="e">
        <f>IF(VLOOKUP($A2131,'Concrete Beam Schedule'!$A$2:$Q$2902,Z$2,0)&lt;&gt;J2131,"Beam Revised","")</f>
        <v>#N/A</v>
      </c>
      <c r="AA2131" s="7" t="e">
        <f>IF(VLOOKUP($A2131,'Concrete Beam Schedule'!$A$2:$Q$2902,AA$2,0)&lt;&gt;K2131,"Beam Revised","")</f>
        <v>#N/A</v>
      </c>
      <c r="AB2131" s="7" t="e">
        <f>IF(VLOOKUP($A2131,'Concrete Beam Schedule'!$A$2:$Q$2902,AB$2,0)&lt;&gt;L2131,"Beam Revised","")</f>
        <v>#N/A</v>
      </c>
      <c r="AC2131" s="7" t="e">
        <f>IF(VLOOKUP($A2131,'Concrete Beam Schedule'!$A$2:$Q$2902,AC$2,0)&lt;&gt;M2131,"Beam Revised","")</f>
        <v>#N/A</v>
      </c>
      <c r="AD2131" s="7" t="e">
        <f>IF(VLOOKUP($A2131,'Concrete Beam Schedule'!$A$2:$Q$2902,AD$2,0)&lt;&gt;N2131,"Beam Revised","")</f>
        <v>#N/A</v>
      </c>
      <c r="AE2131" s="7" t="e">
        <f>IF(VLOOKUP($A2131,'Concrete Beam Schedule'!$A$2:$Q$2902,AE$2,0)&lt;&gt;O2131,"Beam Revised","")</f>
        <v>#N/A</v>
      </c>
    </row>
    <row r="2132" spans="17:31" ht="20.100000000000001" customHeight="1" x14ac:dyDescent="0.25">
      <c r="Q2132" s="7">
        <f t="shared" si="33"/>
        <v>0</v>
      </c>
      <c r="R2132" s="7" t="e">
        <f>IF(VLOOKUP($A2132,'Concrete Beam Schedule'!$A$2:$Q$2902,R$2,0)&lt;&gt;B2132,VLOOKUP($A2132,'Concrete Beam Schedule'!$A$2:$Q$2902,R$2,0),"")</f>
        <v>#N/A</v>
      </c>
      <c r="S2132" s="7" t="e">
        <f>IF(VLOOKUP($A2132,'Concrete Beam Schedule'!$A$2:$Q$2902,S$2,0)&lt;&gt;C2132,VLOOKUP($A2132,'Concrete Beam Schedule'!$A$2:$Q$2902,S$2,0),"")</f>
        <v>#N/A</v>
      </c>
      <c r="T2132" s="7" t="e">
        <f>IF(VLOOKUP($A2132,'Concrete Beam Schedule'!$A$2:$Q$2902,T$2,0)&lt;&gt;D2132,"Beam Revised","")</f>
        <v>#N/A</v>
      </c>
      <c r="U2132" s="7" t="e">
        <f>IF(VLOOKUP($A2132,'Concrete Beam Schedule'!$A$2:$Q$2902,U$2,0)&lt;&gt;E2132,"Beam Revised","")</f>
        <v>#N/A</v>
      </c>
      <c r="V2132" s="7" t="e">
        <f>IF(VLOOKUP($A2132,'Concrete Beam Schedule'!$A$2:$Q$2902,V$2,0)&lt;&gt;F2132,"Beam Revised","")</f>
        <v>#N/A</v>
      </c>
      <c r="W2132" s="7" t="e">
        <f>IF(VLOOKUP($A2132,'Concrete Beam Schedule'!$A$2:$Q$2902,W$2,0)&lt;&gt;G2132,"Beam Revised","")</f>
        <v>#N/A</v>
      </c>
      <c r="X2132" s="7" t="e">
        <f>IF(VLOOKUP($A2132,'Concrete Beam Schedule'!$A$2:$Q$2902,X$2,0)&lt;&gt;H2132,"Beam Revised","")</f>
        <v>#N/A</v>
      </c>
      <c r="Y2132" s="7" t="e">
        <f>IF(VLOOKUP($A2132,'Concrete Beam Schedule'!$A$2:$Q$2902,Y$2,0)&lt;&gt;I2132,"Beam Revised","")</f>
        <v>#N/A</v>
      </c>
      <c r="Z2132" s="7" t="e">
        <f>IF(VLOOKUP($A2132,'Concrete Beam Schedule'!$A$2:$Q$2902,Z$2,0)&lt;&gt;J2132,"Beam Revised","")</f>
        <v>#N/A</v>
      </c>
      <c r="AA2132" s="7" t="e">
        <f>IF(VLOOKUP($A2132,'Concrete Beam Schedule'!$A$2:$Q$2902,AA$2,0)&lt;&gt;K2132,"Beam Revised","")</f>
        <v>#N/A</v>
      </c>
      <c r="AB2132" s="7" t="e">
        <f>IF(VLOOKUP($A2132,'Concrete Beam Schedule'!$A$2:$Q$2902,AB$2,0)&lt;&gt;L2132,"Beam Revised","")</f>
        <v>#N/A</v>
      </c>
      <c r="AC2132" s="7" t="e">
        <f>IF(VLOOKUP($A2132,'Concrete Beam Schedule'!$A$2:$Q$2902,AC$2,0)&lt;&gt;M2132,"Beam Revised","")</f>
        <v>#N/A</v>
      </c>
      <c r="AD2132" s="7" t="e">
        <f>IF(VLOOKUP($A2132,'Concrete Beam Schedule'!$A$2:$Q$2902,AD$2,0)&lt;&gt;N2132,"Beam Revised","")</f>
        <v>#N/A</v>
      </c>
      <c r="AE2132" s="7" t="e">
        <f>IF(VLOOKUP($A2132,'Concrete Beam Schedule'!$A$2:$Q$2902,AE$2,0)&lt;&gt;O2132,"Beam Revised","")</f>
        <v>#N/A</v>
      </c>
    </row>
    <row r="2133" spans="17:31" ht="20.100000000000001" customHeight="1" x14ac:dyDescent="0.25">
      <c r="Q2133" s="7">
        <f t="shared" si="33"/>
        <v>0</v>
      </c>
      <c r="R2133" s="7" t="e">
        <f>IF(VLOOKUP($A2133,'Concrete Beam Schedule'!$A$2:$Q$2902,R$2,0)&lt;&gt;B2133,VLOOKUP($A2133,'Concrete Beam Schedule'!$A$2:$Q$2902,R$2,0),"")</f>
        <v>#N/A</v>
      </c>
      <c r="S2133" s="7" t="e">
        <f>IF(VLOOKUP($A2133,'Concrete Beam Schedule'!$A$2:$Q$2902,S$2,0)&lt;&gt;C2133,VLOOKUP($A2133,'Concrete Beam Schedule'!$A$2:$Q$2902,S$2,0),"")</f>
        <v>#N/A</v>
      </c>
      <c r="T2133" s="7" t="e">
        <f>IF(VLOOKUP($A2133,'Concrete Beam Schedule'!$A$2:$Q$2902,T$2,0)&lt;&gt;D2133,"Beam Revised","")</f>
        <v>#N/A</v>
      </c>
      <c r="U2133" s="7" t="e">
        <f>IF(VLOOKUP($A2133,'Concrete Beam Schedule'!$A$2:$Q$2902,U$2,0)&lt;&gt;E2133,"Beam Revised","")</f>
        <v>#N/A</v>
      </c>
      <c r="V2133" s="7" t="e">
        <f>IF(VLOOKUP($A2133,'Concrete Beam Schedule'!$A$2:$Q$2902,V$2,0)&lt;&gt;F2133,"Beam Revised","")</f>
        <v>#N/A</v>
      </c>
      <c r="W2133" s="7" t="e">
        <f>IF(VLOOKUP($A2133,'Concrete Beam Schedule'!$A$2:$Q$2902,W$2,0)&lt;&gt;G2133,"Beam Revised","")</f>
        <v>#N/A</v>
      </c>
      <c r="X2133" s="7" t="e">
        <f>IF(VLOOKUP($A2133,'Concrete Beam Schedule'!$A$2:$Q$2902,X$2,0)&lt;&gt;H2133,"Beam Revised","")</f>
        <v>#N/A</v>
      </c>
      <c r="Y2133" s="7" t="e">
        <f>IF(VLOOKUP($A2133,'Concrete Beam Schedule'!$A$2:$Q$2902,Y$2,0)&lt;&gt;I2133,"Beam Revised","")</f>
        <v>#N/A</v>
      </c>
      <c r="Z2133" s="7" t="e">
        <f>IF(VLOOKUP($A2133,'Concrete Beam Schedule'!$A$2:$Q$2902,Z$2,0)&lt;&gt;J2133,"Beam Revised","")</f>
        <v>#N/A</v>
      </c>
      <c r="AA2133" s="7" t="e">
        <f>IF(VLOOKUP($A2133,'Concrete Beam Schedule'!$A$2:$Q$2902,AA$2,0)&lt;&gt;K2133,"Beam Revised","")</f>
        <v>#N/A</v>
      </c>
      <c r="AB2133" s="7" t="e">
        <f>IF(VLOOKUP($A2133,'Concrete Beam Schedule'!$A$2:$Q$2902,AB$2,0)&lt;&gt;L2133,"Beam Revised","")</f>
        <v>#N/A</v>
      </c>
      <c r="AC2133" s="7" t="e">
        <f>IF(VLOOKUP($A2133,'Concrete Beam Schedule'!$A$2:$Q$2902,AC$2,0)&lt;&gt;M2133,"Beam Revised","")</f>
        <v>#N/A</v>
      </c>
      <c r="AD2133" s="7" t="e">
        <f>IF(VLOOKUP($A2133,'Concrete Beam Schedule'!$A$2:$Q$2902,AD$2,0)&lt;&gt;N2133,"Beam Revised","")</f>
        <v>#N/A</v>
      </c>
      <c r="AE2133" s="7" t="e">
        <f>IF(VLOOKUP($A2133,'Concrete Beam Schedule'!$A$2:$Q$2902,AE$2,0)&lt;&gt;O2133,"Beam Revised","")</f>
        <v>#N/A</v>
      </c>
    </row>
    <row r="2134" spans="17:31" ht="20.100000000000001" customHeight="1" x14ac:dyDescent="0.25">
      <c r="Q2134" s="7">
        <f t="shared" si="33"/>
        <v>0</v>
      </c>
      <c r="R2134" s="7" t="e">
        <f>IF(VLOOKUP($A2134,'Concrete Beam Schedule'!$A$2:$Q$2902,R$2,0)&lt;&gt;B2134,VLOOKUP($A2134,'Concrete Beam Schedule'!$A$2:$Q$2902,R$2,0),"")</f>
        <v>#N/A</v>
      </c>
      <c r="S2134" s="7" t="e">
        <f>IF(VLOOKUP($A2134,'Concrete Beam Schedule'!$A$2:$Q$2902,S$2,0)&lt;&gt;C2134,VLOOKUP($A2134,'Concrete Beam Schedule'!$A$2:$Q$2902,S$2,0),"")</f>
        <v>#N/A</v>
      </c>
      <c r="T2134" s="7" t="e">
        <f>IF(VLOOKUP($A2134,'Concrete Beam Schedule'!$A$2:$Q$2902,T$2,0)&lt;&gt;D2134,"Beam Revised","")</f>
        <v>#N/A</v>
      </c>
      <c r="U2134" s="7" t="e">
        <f>IF(VLOOKUP($A2134,'Concrete Beam Schedule'!$A$2:$Q$2902,U$2,0)&lt;&gt;E2134,"Beam Revised","")</f>
        <v>#N/A</v>
      </c>
      <c r="V2134" s="7" t="e">
        <f>IF(VLOOKUP($A2134,'Concrete Beam Schedule'!$A$2:$Q$2902,V$2,0)&lt;&gt;F2134,"Beam Revised","")</f>
        <v>#N/A</v>
      </c>
      <c r="W2134" s="7" t="e">
        <f>IF(VLOOKUP($A2134,'Concrete Beam Schedule'!$A$2:$Q$2902,W$2,0)&lt;&gt;G2134,"Beam Revised","")</f>
        <v>#N/A</v>
      </c>
      <c r="X2134" s="7" t="e">
        <f>IF(VLOOKUP($A2134,'Concrete Beam Schedule'!$A$2:$Q$2902,X$2,0)&lt;&gt;H2134,"Beam Revised","")</f>
        <v>#N/A</v>
      </c>
      <c r="Y2134" s="7" t="e">
        <f>IF(VLOOKUP($A2134,'Concrete Beam Schedule'!$A$2:$Q$2902,Y$2,0)&lt;&gt;I2134,"Beam Revised","")</f>
        <v>#N/A</v>
      </c>
      <c r="Z2134" s="7" t="e">
        <f>IF(VLOOKUP($A2134,'Concrete Beam Schedule'!$A$2:$Q$2902,Z$2,0)&lt;&gt;J2134,"Beam Revised","")</f>
        <v>#N/A</v>
      </c>
      <c r="AA2134" s="7" t="e">
        <f>IF(VLOOKUP($A2134,'Concrete Beam Schedule'!$A$2:$Q$2902,AA$2,0)&lt;&gt;K2134,"Beam Revised","")</f>
        <v>#N/A</v>
      </c>
      <c r="AB2134" s="7" t="e">
        <f>IF(VLOOKUP($A2134,'Concrete Beam Schedule'!$A$2:$Q$2902,AB$2,0)&lt;&gt;L2134,"Beam Revised","")</f>
        <v>#N/A</v>
      </c>
      <c r="AC2134" s="7" t="e">
        <f>IF(VLOOKUP($A2134,'Concrete Beam Schedule'!$A$2:$Q$2902,AC$2,0)&lt;&gt;M2134,"Beam Revised","")</f>
        <v>#N/A</v>
      </c>
      <c r="AD2134" s="7" t="e">
        <f>IF(VLOOKUP($A2134,'Concrete Beam Schedule'!$A$2:$Q$2902,AD$2,0)&lt;&gt;N2134,"Beam Revised","")</f>
        <v>#N/A</v>
      </c>
      <c r="AE2134" s="7" t="e">
        <f>IF(VLOOKUP($A2134,'Concrete Beam Schedule'!$A$2:$Q$2902,AE$2,0)&lt;&gt;O2134,"Beam Revised","")</f>
        <v>#N/A</v>
      </c>
    </row>
    <row r="2135" spans="17:31" ht="20.100000000000001" customHeight="1" x14ac:dyDescent="0.25">
      <c r="Q2135" s="7">
        <f t="shared" si="33"/>
        <v>0</v>
      </c>
      <c r="R2135" s="7" t="e">
        <f>IF(VLOOKUP($A2135,'Concrete Beam Schedule'!$A$2:$Q$2902,R$2,0)&lt;&gt;B2135,VLOOKUP($A2135,'Concrete Beam Schedule'!$A$2:$Q$2902,R$2,0),"")</f>
        <v>#N/A</v>
      </c>
      <c r="S2135" s="7" t="e">
        <f>IF(VLOOKUP($A2135,'Concrete Beam Schedule'!$A$2:$Q$2902,S$2,0)&lt;&gt;C2135,VLOOKUP($A2135,'Concrete Beam Schedule'!$A$2:$Q$2902,S$2,0),"")</f>
        <v>#N/A</v>
      </c>
      <c r="T2135" s="7" t="e">
        <f>IF(VLOOKUP($A2135,'Concrete Beam Schedule'!$A$2:$Q$2902,T$2,0)&lt;&gt;D2135,"Beam Revised","")</f>
        <v>#N/A</v>
      </c>
      <c r="U2135" s="7" t="e">
        <f>IF(VLOOKUP($A2135,'Concrete Beam Schedule'!$A$2:$Q$2902,U$2,0)&lt;&gt;E2135,"Beam Revised","")</f>
        <v>#N/A</v>
      </c>
      <c r="V2135" s="7" t="e">
        <f>IF(VLOOKUP($A2135,'Concrete Beam Schedule'!$A$2:$Q$2902,V$2,0)&lt;&gt;F2135,"Beam Revised","")</f>
        <v>#N/A</v>
      </c>
      <c r="W2135" s="7" t="e">
        <f>IF(VLOOKUP($A2135,'Concrete Beam Schedule'!$A$2:$Q$2902,W$2,0)&lt;&gt;G2135,"Beam Revised","")</f>
        <v>#N/A</v>
      </c>
      <c r="X2135" s="7" t="e">
        <f>IF(VLOOKUP($A2135,'Concrete Beam Schedule'!$A$2:$Q$2902,X$2,0)&lt;&gt;H2135,"Beam Revised","")</f>
        <v>#N/A</v>
      </c>
      <c r="Y2135" s="7" t="e">
        <f>IF(VLOOKUP($A2135,'Concrete Beam Schedule'!$A$2:$Q$2902,Y$2,0)&lt;&gt;I2135,"Beam Revised","")</f>
        <v>#N/A</v>
      </c>
      <c r="Z2135" s="7" t="e">
        <f>IF(VLOOKUP($A2135,'Concrete Beam Schedule'!$A$2:$Q$2902,Z$2,0)&lt;&gt;J2135,"Beam Revised","")</f>
        <v>#N/A</v>
      </c>
      <c r="AA2135" s="7" t="e">
        <f>IF(VLOOKUP($A2135,'Concrete Beam Schedule'!$A$2:$Q$2902,AA$2,0)&lt;&gt;K2135,"Beam Revised","")</f>
        <v>#N/A</v>
      </c>
      <c r="AB2135" s="7" t="e">
        <f>IF(VLOOKUP($A2135,'Concrete Beam Schedule'!$A$2:$Q$2902,AB$2,0)&lt;&gt;L2135,"Beam Revised","")</f>
        <v>#N/A</v>
      </c>
      <c r="AC2135" s="7" t="e">
        <f>IF(VLOOKUP($A2135,'Concrete Beam Schedule'!$A$2:$Q$2902,AC$2,0)&lt;&gt;M2135,"Beam Revised","")</f>
        <v>#N/A</v>
      </c>
      <c r="AD2135" s="7" t="e">
        <f>IF(VLOOKUP($A2135,'Concrete Beam Schedule'!$A$2:$Q$2902,AD$2,0)&lt;&gt;N2135,"Beam Revised","")</f>
        <v>#N/A</v>
      </c>
      <c r="AE2135" s="7" t="e">
        <f>IF(VLOOKUP($A2135,'Concrete Beam Schedule'!$A$2:$Q$2902,AE$2,0)&lt;&gt;O2135,"Beam Revised","")</f>
        <v>#N/A</v>
      </c>
    </row>
    <row r="2136" spans="17:31" ht="20.100000000000001" customHeight="1" x14ac:dyDescent="0.25">
      <c r="Q2136" s="7">
        <f t="shared" si="33"/>
        <v>0</v>
      </c>
      <c r="R2136" s="7" t="e">
        <f>IF(VLOOKUP($A2136,'Concrete Beam Schedule'!$A$2:$Q$2902,R$2,0)&lt;&gt;B2136,VLOOKUP($A2136,'Concrete Beam Schedule'!$A$2:$Q$2902,R$2,0),"")</f>
        <v>#N/A</v>
      </c>
      <c r="S2136" s="7" t="e">
        <f>IF(VLOOKUP($A2136,'Concrete Beam Schedule'!$A$2:$Q$2902,S$2,0)&lt;&gt;C2136,VLOOKUP($A2136,'Concrete Beam Schedule'!$A$2:$Q$2902,S$2,0),"")</f>
        <v>#N/A</v>
      </c>
      <c r="T2136" s="7" t="e">
        <f>IF(VLOOKUP($A2136,'Concrete Beam Schedule'!$A$2:$Q$2902,T$2,0)&lt;&gt;D2136,"Beam Revised","")</f>
        <v>#N/A</v>
      </c>
      <c r="U2136" s="7" t="e">
        <f>IF(VLOOKUP($A2136,'Concrete Beam Schedule'!$A$2:$Q$2902,U$2,0)&lt;&gt;E2136,"Beam Revised","")</f>
        <v>#N/A</v>
      </c>
      <c r="V2136" s="7" t="e">
        <f>IF(VLOOKUP($A2136,'Concrete Beam Schedule'!$A$2:$Q$2902,V$2,0)&lt;&gt;F2136,"Beam Revised","")</f>
        <v>#N/A</v>
      </c>
      <c r="W2136" s="7" t="e">
        <f>IF(VLOOKUP($A2136,'Concrete Beam Schedule'!$A$2:$Q$2902,W$2,0)&lt;&gt;G2136,"Beam Revised","")</f>
        <v>#N/A</v>
      </c>
      <c r="X2136" s="7" t="e">
        <f>IF(VLOOKUP($A2136,'Concrete Beam Schedule'!$A$2:$Q$2902,X$2,0)&lt;&gt;H2136,"Beam Revised","")</f>
        <v>#N/A</v>
      </c>
      <c r="Y2136" s="7" t="e">
        <f>IF(VLOOKUP($A2136,'Concrete Beam Schedule'!$A$2:$Q$2902,Y$2,0)&lt;&gt;I2136,"Beam Revised","")</f>
        <v>#N/A</v>
      </c>
      <c r="Z2136" s="7" t="e">
        <f>IF(VLOOKUP($A2136,'Concrete Beam Schedule'!$A$2:$Q$2902,Z$2,0)&lt;&gt;J2136,"Beam Revised","")</f>
        <v>#N/A</v>
      </c>
      <c r="AA2136" s="7" t="e">
        <f>IF(VLOOKUP($A2136,'Concrete Beam Schedule'!$A$2:$Q$2902,AA$2,0)&lt;&gt;K2136,"Beam Revised","")</f>
        <v>#N/A</v>
      </c>
      <c r="AB2136" s="7" t="e">
        <f>IF(VLOOKUP($A2136,'Concrete Beam Schedule'!$A$2:$Q$2902,AB$2,0)&lt;&gt;L2136,"Beam Revised","")</f>
        <v>#N/A</v>
      </c>
      <c r="AC2136" s="7" t="e">
        <f>IF(VLOOKUP($A2136,'Concrete Beam Schedule'!$A$2:$Q$2902,AC$2,0)&lt;&gt;M2136,"Beam Revised","")</f>
        <v>#N/A</v>
      </c>
      <c r="AD2136" s="7" t="e">
        <f>IF(VLOOKUP($A2136,'Concrete Beam Schedule'!$A$2:$Q$2902,AD$2,0)&lt;&gt;N2136,"Beam Revised","")</f>
        <v>#N/A</v>
      </c>
      <c r="AE2136" s="7" t="e">
        <f>IF(VLOOKUP($A2136,'Concrete Beam Schedule'!$A$2:$Q$2902,AE$2,0)&lt;&gt;O2136,"Beam Revised","")</f>
        <v>#N/A</v>
      </c>
    </row>
    <row r="2137" spans="17:31" ht="20.100000000000001" customHeight="1" x14ac:dyDescent="0.25">
      <c r="Q2137" s="7">
        <f t="shared" si="33"/>
        <v>0</v>
      </c>
      <c r="R2137" s="7" t="e">
        <f>IF(VLOOKUP($A2137,'Concrete Beam Schedule'!$A$2:$Q$2902,R$2,0)&lt;&gt;B2137,VLOOKUP($A2137,'Concrete Beam Schedule'!$A$2:$Q$2902,R$2,0),"")</f>
        <v>#N/A</v>
      </c>
      <c r="S2137" s="7" t="e">
        <f>IF(VLOOKUP($A2137,'Concrete Beam Schedule'!$A$2:$Q$2902,S$2,0)&lt;&gt;C2137,VLOOKUP($A2137,'Concrete Beam Schedule'!$A$2:$Q$2902,S$2,0),"")</f>
        <v>#N/A</v>
      </c>
      <c r="T2137" s="7" t="e">
        <f>IF(VLOOKUP($A2137,'Concrete Beam Schedule'!$A$2:$Q$2902,T$2,0)&lt;&gt;D2137,"Beam Revised","")</f>
        <v>#N/A</v>
      </c>
      <c r="U2137" s="7" t="e">
        <f>IF(VLOOKUP($A2137,'Concrete Beam Schedule'!$A$2:$Q$2902,U$2,0)&lt;&gt;E2137,"Beam Revised","")</f>
        <v>#N/A</v>
      </c>
      <c r="V2137" s="7" t="e">
        <f>IF(VLOOKUP($A2137,'Concrete Beam Schedule'!$A$2:$Q$2902,V$2,0)&lt;&gt;F2137,"Beam Revised","")</f>
        <v>#N/A</v>
      </c>
      <c r="W2137" s="7" t="e">
        <f>IF(VLOOKUP($A2137,'Concrete Beam Schedule'!$A$2:$Q$2902,W$2,0)&lt;&gt;G2137,"Beam Revised","")</f>
        <v>#N/A</v>
      </c>
      <c r="X2137" s="7" t="e">
        <f>IF(VLOOKUP($A2137,'Concrete Beam Schedule'!$A$2:$Q$2902,X$2,0)&lt;&gt;H2137,"Beam Revised","")</f>
        <v>#N/A</v>
      </c>
      <c r="Y2137" s="7" t="e">
        <f>IF(VLOOKUP($A2137,'Concrete Beam Schedule'!$A$2:$Q$2902,Y$2,0)&lt;&gt;I2137,"Beam Revised","")</f>
        <v>#N/A</v>
      </c>
      <c r="Z2137" s="7" t="e">
        <f>IF(VLOOKUP($A2137,'Concrete Beam Schedule'!$A$2:$Q$2902,Z$2,0)&lt;&gt;J2137,"Beam Revised","")</f>
        <v>#N/A</v>
      </c>
      <c r="AA2137" s="7" t="e">
        <f>IF(VLOOKUP($A2137,'Concrete Beam Schedule'!$A$2:$Q$2902,AA$2,0)&lt;&gt;K2137,"Beam Revised","")</f>
        <v>#N/A</v>
      </c>
      <c r="AB2137" s="7" t="e">
        <f>IF(VLOOKUP($A2137,'Concrete Beam Schedule'!$A$2:$Q$2902,AB$2,0)&lt;&gt;L2137,"Beam Revised","")</f>
        <v>#N/A</v>
      </c>
      <c r="AC2137" s="7" t="e">
        <f>IF(VLOOKUP($A2137,'Concrete Beam Schedule'!$A$2:$Q$2902,AC$2,0)&lt;&gt;M2137,"Beam Revised","")</f>
        <v>#N/A</v>
      </c>
      <c r="AD2137" s="7" t="e">
        <f>IF(VLOOKUP($A2137,'Concrete Beam Schedule'!$A$2:$Q$2902,AD$2,0)&lt;&gt;N2137,"Beam Revised","")</f>
        <v>#N/A</v>
      </c>
      <c r="AE2137" s="7" t="e">
        <f>IF(VLOOKUP($A2137,'Concrete Beam Schedule'!$A$2:$Q$2902,AE$2,0)&lt;&gt;O2137,"Beam Revised","")</f>
        <v>#N/A</v>
      </c>
    </row>
    <row r="2138" spans="17:31" ht="20.100000000000001" customHeight="1" x14ac:dyDescent="0.25">
      <c r="Q2138" s="7">
        <f t="shared" si="33"/>
        <v>0</v>
      </c>
      <c r="R2138" s="7" t="e">
        <f>IF(VLOOKUP($A2138,'Concrete Beam Schedule'!$A$2:$Q$2902,R$2,0)&lt;&gt;B2138,VLOOKUP($A2138,'Concrete Beam Schedule'!$A$2:$Q$2902,R$2,0),"")</f>
        <v>#N/A</v>
      </c>
      <c r="S2138" s="7" t="e">
        <f>IF(VLOOKUP($A2138,'Concrete Beam Schedule'!$A$2:$Q$2902,S$2,0)&lt;&gt;C2138,VLOOKUP($A2138,'Concrete Beam Schedule'!$A$2:$Q$2902,S$2,0),"")</f>
        <v>#N/A</v>
      </c>
      <c r="T2138" s="7" t="e">
        <f>IF(VLOOKUP($A2138,'Concrete Beam Schedule'!$A$2:$Q$2902,T$2,0)&lt;&gt;D2138,"Beam Revised","")</f>
        <v>#N/A</v>
      </c>
      <c r="U2138" s="7" t="e">
        <f>IF(VLOOKUP($A2138,'Concrete Beam Schedule'!$A$2:$Q$2902,U$2,0)&lt;&gt;E2138,"Beam Revised","")</f>
        <v>#N/A</v>
      </c>
      <c r="V2138" s="7" t="e">
        <f>IF(VLOOKUP($A2138,'Concrete Beam Schedule'!$A$2:$Q$2902,V$2,0)&lt;&gt;F2138,"Beam Revised","")</f>
        <v>#N/A</v>
      </c>
      <c r="W2138" s="7" t="e">
        <f>IF(VLOOKUP($A2138,'Concrete Beam Schedule'!$A$2:$Q$2902,W$2,0)&lt;&gt;G2138,"Beam Revised","")</f>
        <v>#N/A</v>
      </c>
      <c r="X2138" s="7" t="e">
        <f>IF(VLOOKUP($A2138,'Concrete Beam Schedule'!$A$2:$Q$2902,X$2,0)&lt;&gt;H2138,"Beam Revised","")</f>
        <v>#N/A</v>
      </c>
      <c r="Y2138" s="7" t="e">
        <f>IF(VLOOKUP($A2138,'Concrete Beam Schedule'!$A$2:$Q$2902,Y$2,0)&lt;&gt;I2138,"Beam Revised","")</f>
        <v>#N/A</v>
      </c>
      <c r="Z2138" s="7" t="e">
        <f>IF(VLOOKUP($A2138,'Concrete Beam Schedule'!$A$2:$Q$2902,Z$2,0)&lt;&gt;J2138,"Beam Revised","")</f>
        <v>#N/A</v>
      </c>
      <c r="AA2138" s="7" t="e">
        <f>IF(VLOOKUP($A2138,'Concrete Beam Schedule'!$A$2:$Q$2902,AA$2,0)&lt;&gt;K2138,"Beam Revised","")</f>
        <v>#N/A</v>
      </c>
      <c r="AB2138" s="7" t="e">
        <f>IF(VLOOKUP($A2138,'Concrete Beam Schedule'!$A$2:$Q$2902,AB$2,0)&lt;&gt;L2138,"Beam Revised","")</f>
        <v>#N/A</v>
      </c>
      <c r="AC2138" s="7" t="e">
        <f>IF(VLOOKUP($A2138,'Concrete Beam Schedule'!$A$2:$Q$2902,AC$2,0)&lt;&gt;M2138,"Beam Revised","")</f>
        <v>#N/A</v>
      </c>
      <c r="AD2138" s="7" t="e">
        <f>IF(VLOOKUP($A2138,'Concrete Beam Schedule'!$A$2:$Q$2902,AD$2,0)&lt;&gt;N2138,"Beam Revised","")</f>
        <v>#N/A</v>
      </c>
      <c r="AE2138" s="7" t="e">
        <f>IF(VLOOKUP($A2138,'Concrete Beam Schedule'!$A$2:$Q$2902,AE$2,0)&lt;&gt;O2138,"Beam Revised","")</f>
        <v>#N/A</v>
      </c>
    </row>
    <row r="2139" spans="17:31" ht="20.100000000000001" customHeight="1" x14ac:dyDescent="0.25">
      <c r="Q2139" s="7">
        <f t="shared" si="33"/>
        <v>0</v>
      </c>
      <c r="R2139" s="7" t="e">
        <f>IF(VLOOKUP($A2139,'Concrete Beam Schedule'!$A$2:$Q$2902,R$2,0)&lt;&gt;B2139,VLOOKUP($A2139,'Concrete Beam Schedule'!$A$2:$Q$2902,R$2,0),"")</f>
        <v>#N/A</v>
      </c>
      <c r="S2139" s="7" t="e">
        <f>IF(VLOOKUP($A2139,'Concrete Beam Schedule'!$A$2:$Q$2902,S$2,0)&lt;&gt;C2139,VLOOKUP($A2139,'Concrete Beam Schedule'!$A$2:$Q$2902,S$2,0),"")</f>
        <v>#N/A</v>
      </c>
      <c r="T2139" s="7" t="e">
        <f>IF(VLOOKUP($A2139,'Concrete Beam Schedule'!$A$2:$Q$2902,T$2,0)&lt;&gt;D2139,"Beam Revised","")</f>
        <v>#N/A</v>
      </c>
      <c r="U2139" s="7" t="e">
        <f>IF(VLOOKUP($A2139,'Concrete Beam Schedule'!$A$2:$Q$2902,U$2,0)&lt;&gt;E2139,"Beam Revised","")</f>
        <v>#N/A</v>
      </c>
      <c r="V2139" s="7" t="e">
        <f>IF(VLOOKUP($A2139,'Concrete Beam Schedule'!$A$2:$Q$2902,V$2,0)&lt;&gt;F2139,"Beam Revised","")</f>
        <v>#N/A</v>
      </c>
      <c r="W2139" s="7" t="e">
        <f>IF(VLOOKUP($A2139,'Concrete Beam Schedule'!$A$2:$Q$2902,W$2,0)&lt;&gt;G2139,"Beam Revised","")</f>
        <v>#N/A</v>
      </c>
      <c r="X2139" s="7" t="e">
        <f>IF(VLOOKUP($A2139,'Concrete Beam Schedule'!$A$2:$Q$2902,X$2,0)&lt;&gt;H2139,"Beam Revised","")</f>
        <v>#N/A</v>
      </c>
      <c r="Y2139" s="7" t="e">
        <f>IF(VLOOKUP($A2139,'Concrete Beam Schedule'!$A$2:$Q$2902,Y$2,0)&lt;&gt;I2139,"Beam Revised","")</f>
        <v>#N/A</v>
      </c>
      <c r="Z2139" s="7" t="e">
        <f>IF(VLOOKUP($A2139,'Concrete Beam Schedule'!$A$2:$Q$2902,Z$2,0)&lt;&gt;J2139,"Beam Revised","")</f>
        <v>#N/A</v>
      </c>
      <c r="AA2139" s="7" t="e">
        <f>IF(VLOOKUP($A2139,'Concrete Beam Schedule'!$A$2:$Q$2902,AA$2,0)&lt;&gt;K2139,"Beam Revised","")</f>
        <v>#N/A</v>
      </c>
      <c r="AB2139" s="7" t="e">
        <f>IF(VLOOKUP($A2139,'Concrete Beam Schedule'!$A$2:$Q$2902,AB$2,0)&lt;&gt;L2139,"Beam Revised","")</f>
        <v>#N/A</v>
      </c>
      <c r="AC2139" s="7" t="e">
        <f>IF(VLOOKUP($A2139,'Concrete Beam Schedule'!$A$2:$Q$2902,AC$2,0)&lt;&gt;M2139,"Beam Revised","")</f>
        <v>#N/A</v>
      </c>
      <c r="AD2139" s="7" t="e">
        <f>IF(VLOOKUP($A2139,'Concrete Beam Schedule'!$A$2:$Q$2902,AD$2,0)&lt;&gt;N2139,"Beam Revised","")</f>
        <v>#N/A</v>
      </c>
      <c r="AE2139" s="7" t="e">
        <f>IF(VLOOKUP($A2139,'Concrete Beam Schedule'!$A$2:$Q$2902,AE$2,0)&lt;&gt;O2139,"Beam Revised","")</f>
        <v>#N/A</v>
      </c>
    </row>
    <row r="2140" spans="17:31" ht="20.100000000000001" customHeight="1" x14ac:dyDescent="0.25">
      <c r="Q2140" s="7">
        <f t="shared" si="33"/>
        <v>0</v>
      </c>
      <c r="R2140" s="7" t="e">
        <f>IF(VLOOKUP($A2140,'Concrete Beam Schedule'!$A$2:$Q$2902,R$2,0)&lt;&gt;B2140,VLOOKUP($A2140,'Concrete Beam Schedule'!$A$2:$Q$2902,R$2,0),"")</f>
        <v>#N/A</v>
      </c>
      <c r="S2140" s="7" t="e">
        <f>IF(VLOOKUP($A2140,'Concrete Beam Schedule'!$A$2:$Q$2902,S$2,0)&lt;&gt;C2140,VLOOKUP($A2140,'Concrete Beam Schedule'!$A$2:$Q$2902,S$2,0),"")</f>
        <v>#N/A</v>
      </c>
      <c r="T2140" s="7" t="e">
        <f>IF(VLOOKUP($A2140,'Concrete Beam Schedule'!$A$2:$Q$2902,T$2,0)&lt;&gt;D2140,"Beam Revised","")</f>
        <v>#N/A</v>
      </c>
      <c r="U2140" s="7" t="e">
        <f>IF(VLOOKUP($A2140,'Concrete Beam Schedule'!$A$2:$Q$2902,U$2,0)&lt;&gt;E2140,"Beam Revised","")</f>
        <v>#N/A</v>
      </c>
      <c r="V2140" s="7" t="e">
        <f>IF(VLOOKUP($A2140,'Concrete Beam Schedule'!$A$2:$Q$2902,V$2,0)&lt;&gt;F2140,"Beam Revised","")</f>
        <v>#N/A</v>
      </c>
      <c r="W2140" s="7" t="e">
        <f>IF(VLOOKUP($A2140,'Concrete Beam Schedule'!$A$2:$Q$2902,W$2,0)&lt;&gt;G2140,"Beam Revised","")</f>
        <v>#N/A</v>
      </c>
      <c r="X2140" s="7" t="e">
        <f>IF(VLOOKUP($A2140,'Concrete Beam Schedule'!$A$2:$Q$2902,X$2,0)&lt;&gt;H2140,"Beam Revised","")</f>
        <v>#N/A</v>
      </c>
      <c r="Y2140" s="7" t="e">
        <f>IF(VLOOKUP($A2140,'Concrete Beam Schedule'!$A$2:$Q$2902,Y$2,0)&lt;&gt;I2140,"Beam Revised","")</f>
        <v>#N/A</v>
      </c>
      <c r="Z2140" s="7" t="e">
        <f>IF(VLOOKUP($A2140,'Concrete Beam Schedule'!$A$2:$Q$2902,Z$2,0)&lt;&gt;J2140,"Beam Revised","")</f>
        <v>#N/A</v>
      </c>
      <c r="AA2140" s="7" t="e">
        <f>IF(VLOOKUP($A2140,'Concrete Beam Schedule'!$A$2:$Q$2902,AA$2,0)&lt;&gt;K2140,"Beam Revised","")</f>
        <v>#N/A</v>
      </c>
      <c r="AB2140" s="7" t="e">
        <f>IF(VLOOKUP($A2140,'Concrete Beam Schedule'!$A$2:$Q$2902,AB$2,0)&lt;&gt;L2140,"Beam Revised","")</f>
        <v>#N/A</v>
      </c>
      <c r="AC2140" s="7" t="e">
        <f>IF(VLOOKUP($A2140,'Concrete Beam Schedule'!$A$2:$Q$2902,AC$2,0)&lt;&gt;M2140,"Beam Revised","")</f>
        <v>#N/A</v>
      </c>
      <c r="AD2140" s="7" t="e">
        <f>IF(VLOOKUP($A2140,'Concrete Beam Schedule'!$A$2:$Q$2902,AD$2,0)&lt;&gt;N2140,"Beam Revised","")</f>
        <v>#N/A</v>
      </c>
      <c r="AE2140" s="7" t="e">
        <f>IF(VLOOKUP($A2140,'Concrete Beam Schedule'!$A$2:$Q$2902,AE$2,0)&lt;&gt;O2140,"Beam Revised","")</f>
        <v>#N/A</v>
      </c>
    </row>
    <row r="2141" spans="17:31" ht="20.100000000000001" customHeight="1" x14ac:dyDescent="0.25">
      <c r="Q2141" s="7">
        <f t="shared" si="33"/>
        <v>0</v>
      </c>
      <c r="R2141" s="7" t="e">
        <f>IF(VLOOKUP($A2141,'Concrete Beam Schedule'!$A$2:$Q$2902,R$2,0)&lt;&gt;B2141,VLOOKUP($A2141,'Concrete Beam Schedule'!$A$2:$Q$2902,R$2,0),"")</f>
        <v>#N/A</v>
      </c>
      <c r="S2141" s="7" t="e">
        <f>IF(VLOOKUP($A2141,'Concrete Beam Schedule'!$A$2:$Q$2902,S$2,0)&lt;&gt;C2141,VLOOKUP($A2141,'Concrete Beam Schedule'!$A$2:$Q$2902,S$2,0),"")</f>
        <v>#N/A</v>
      </c>
      <c r="T2141" s="7" t="e">
        <f>IF(VLOOKUP($A2141,'Concrete Beam Schedule'!$A$2:$Q$2902,T$2,0)&lt;&gt;D2141,"Beam Revised","")</f>
        <v>#N/A</v>
      </c>
      <c r="U2141" s="7" t="e">
        <f>IF(VLOOKUP($A2141,'Concrete Beam Schedule'!$A$2:$Q$2902,U$2,0)&lt;&gt;E2141,"Beam Revised","")</f>
        <v>#N/A</v>
      </c>
      <c r="V2141" s="7" t="e">
        <f>IF(VLOOKUP($A2141,'Concrete Beam Schedule'!$A$2:$Q$2902,V$2,0)&lt;&gt;F2141,"Beam Revised","")</f>
        <v>#N/A</v>
      </c>
      <c r="W2141" s="7" t="e">
        <f>IF(VLOOKUP($A2141,'Concrete Beam Schedule'!$A$2:$Q$2902,W$2,0)&lt;&gt;G2141,"Beam Revised","")</f>
        <v>#N/A</v>
      </c>
      <c r="X2141" s="7" t="e">
        <f>IF(VLOOKUP($A2141,'Concrete Beam Schedule'!$A$2:$Q$2902,X$2,0)&lt;&gt;H2141,"Beam Revised","")</f>
        <v>#N/A</v>
      </c>
      <c r="Y2141" s="7" t="e">
        <f>IF(VLOOKUP($A2141,'Concrete Beam Schedule'!$A$2:$Q$2902,Y$2,0)&lt;&gt;I2141,"Beam Revised","")</f>
        <v>#N/A</v>
      </c>
      <c r="Z2141" s="7" t="e">
        <f>IF(VLOOKUP($A2141,'Concrete Beam Schedule'!$A$2:$Q$2902,Z$2,0)&lt;&gt;J2141,"Beam Revised","")</f>
        <v>#N/A</v>
      </c>
      <c r="AA2141" s="7" t="e">
        <f>IF(VLOOKUP($A2141,'Concrete Beam Schedule'!$A$2:$Q$2902,AA$2,0)&lt;&gt;K2141,"Beam Revised","")</f>
        <v>#N/A</v>
      </c>
      <c r="AB2141" s="7" t="e">
        <f>IF(VLOOKUP($A2141,'Concrete Beam Schedule'!$A$2:$Q$2902,AB$2,0)&lt;&gt;L2141,"Beam Revised","")</f>
        <v>#N/A</v>
      </c>
      <c r="AC2141" s="7" t="e">
        <f>IF(VLOOKUP($A2141,'Concrete Beam Schedule'!$A$2:$Q$2902,AC$2,0)&lt;&gt;M2141,"Beam Revised","")</f>
        <v>#N/A</v>
      </c>
      <c r="AD2141" s="7" t="e">
        <f>IF(VLOOKUP($A2141,'Concrete Beam Schedule'!$A$2:$Q$2902,AD$2,0)&lt;&gt;N2141,"Beam Revised","")</f>
        <v>#N/A</v>
      </c>
      <c r="AE2141" s="7" t="e">
        <f>IF(VLOOKUP($A2141,'Concrete Beam Schedule'!$A$2:$Q$2902,AE$2,0)&lt;&gt;O2141,"Beam Revised","")</f>
        <v>#N/A</v>
      </c>
    </row>
    <row r="2142" spans="17:31" ht="20.100000000000001" customHeight="1" x14ac:dyDescent="0.25">
      <c r="Q2142" s="7">
        <f t="shared" si="33"/>
        <v>0</v>
      </c>
      <c r="R2142" s="7" t="e">
        <f>IF(VLOOKUP($A2142,'Concrete Beam Schedule'!$A$2:$Q$2902,R$2,0)&lt;&gt;B2142,VLOOKUP($A2142,'Concrete Beam Schedule'!$A$2:$Q$2902,R$2,0),"")</f>
        <v>#N/A</v>
      </c>
      <c r="S2142" s="7" t="e">
        <f>IF(VLOOKUP($A2142,'Concrete Beam Schedule'!$A$2:$Q$2902,S$2,0)&lt;&gt;C2142,VLOOKUP($A2142,'Concrete Beam Schedule'!$A$2:$Q$2902,S$2,0),"")</f>
        <v>#N/A</v>
      </c>
      <c r="T2142" s="7" t="e">
        <f>IF(VLOOKUP($A2142,'Concrete Beam Schedule'!$A$2:$Q$2902,T$2,0)&lt;&gt;D2142,"Beam Revised","")</f>
        <v>#N/A</v>
      </c>
      <c r="U2142" s="7" t="e">
        <f>IF(VLOOKUP($A2142,'Concrete Beam Schedule'!$A$2:$Q$2902,U$2,0)&lt;&gt;E2142,"Beam Revised","")</f>
        <v>#N/A</v>
      </c>
      <c r="V2142" s="7" t="e">
        <f>IF(VLOOKUP($A2142,'Concrete Beam Schedule'!$A$2:$Q$2902,V$2,0)&lt;&gt;F2142,"Beam Revised","")</f>
        <v>#N/A</v>
      </c>
      <c r="W2142" s="7" t="e">
        <f>IF(VLOOKUP($A2142,'Concrete Beam Schedule'!$A$2:$Q$2902,W$2,0)&lt;&gt;G2142,"Beam Revised","")</f>
        <v>#N/A</v>
      </c>
      <c r="X2142" s="7" t="e">
        <f>IF(VLOOKUP($A2142,'Concrete Beam Schedule'!$A$2:$Q$2902,X$2,0)&lt;&gt;H2142,"Beam Revised","")</f>
        <v>#N/A</v>
      </c>
      <c r="Y2142" s="7" t="e">
        <f>IF(VLOOKUP($A2142,'Concrete Beam Schedule'!$A$2:$Q$2902,Y$2,0)&lt;&gt;I2142,"Beam Revised","")</f>
        <v>#N/A</v>
      </c>
      <c r="Z2142" s="7" t="e">
        <f>IF(VLOOKUP($A2142,'Concrete Beam Schedule'!$A$2:$Q$2902,Z$2,0)&lt;&gt;J2142,"Beam Revised","")</f>
        <v>#N/A</v>
      </c>
      <c r="AA2142" s="7" t="e">
        <f>IF(VLOOKUP($A2142,'Concrete Beam Schedule'!$A$2:$Q$2902,AA$2,0)&lt;&gt;K2142,"Beam Revised","")</f>
        <v>#N/A</v>
      </c>
      <c r="AB2142" s="7" t="e">
        <f>IF(VLOOKUP($A2142,'Concrete Beam Schedule'!$A$2:$Q$2902,AB$2,0)&lt;&gt;L2142,"Beam Revised","")</f>
        <v>#N/A</v>
      </c>
      <c r="AC2142" s="7" t="e">
        <f>IF(VLOOKUP($A2142,'Concrete Beam Schedule'!$A$2:$Q$2902,AC$2,0)&lt;&gt;M2142,"Beam Revised","")</f>
        <v>#N/A</v>
      </c>
      <c r="AD2142" s="7" t="e">
        <f>IF(VLOOKUP($A2142,'Concrete Beam Schedule'!$A$2:$Q$2902,AD$2,0)&lt;&gt;N2142,"Beam Revised","")</f>
        <v>#N/A</v>
      </c>
      <c r="AE2142" s="7" t="e">
        <f>IF(VLOOKUP($A2142,'Concrete Beam Schedule'!$A$2:$Q$2902,AE$2,0)&lt;&gt;O2142,"Beam Revised","")</f>
        <v>#N/A</v>
      </c>
    </row>
    <row r="2143" spans="17:31" ht="20.100000000000001" customHeight="1" x14ac:dyDescent="0.25">
      <c r="Q2143" s="7">
        <f t="shared" si="33"/>
        <v>0</v>
      </c>
      <c r="R2143" s="7" t="e">
        <f>IF(VLOOKUP($A2143,'Concrete Beam Schedule'!$A$2:$Q$2902,R$2,0)&lt;&gt;B2143,VLOOKUP($A2143,'Concrete Beam Schedule'!$A$2:$Q$2902,R$2,0),"")</f>
        <v>#N/A</v>
      </c>
      <c r="S2143" s="7" t="e">
        <f>IF(VLOOKUP($A2143,'Concrete Beam Schedule'!$A$2:$Q$2902,S$2,0)&lt;&gt;C2143,VLOOKUP($A2143,'Concrete Beam Schedule'!$A$2:$Q$2902,S$2,0),"")</f>
        <v>#N/A</v>
      </c>
      <c r="T2143" s="7" t="e">
        <f>IF(VLOOKUP($A2143,'Concrete Beam Schedule'!$A$2:$Q$2902,T$2,0)&lt;&gt;D2143,"Beam Revised","")</f>
        <v>#N/A</v>
      </c>
      <c r="U2143" s="7" t="e">
        <f>IF(VLOOKUP($A2143,'Concrete Beam Schedule'!$A$2:$Q$2902,U$2,0)&lt;&gt;E2143,"Beam Revised","")</f>
        <v>#N/A</v>
      </c>
      <c r="V2143" s="7" t="e">
        <f>IF(VLOOKUP($A2143,'Concrete Beam Schedule'!$A$2:$Q$2902,V$2,0)&lt;&gt;F2143,"Beam Revised","")</f>
        <v>#N/A</v>
      </c>
      <c r="W2143" s="7" t="e">
        <f>IF(VLOOKUP($A2143,'Concrete Beam Schedule'!$A$2:$Q$2902,W$2,0)&lt;&gt;G2143,"Beam Revised","")</f>
        <v>#N/A</v>
      </c>
      <c r="X2143" s="7" t="e">
        <f>IF(VLOOKUP($A2143,'Concrete Beam Schedule'!$A$2:$Q$2902,X$2,0)&lt;&gt;H2143,"Beam Revised","")</f>
        <v>#N/A</v>
      </c>
      <c r="Y2143" s="7" t="e">
        <f>IF(VLOOKUP($A2143,'Concrete Beam Schedule'!$A$2:$Q$2902,Y$2,0)&lt;&gt;I2143,"Beam Revised","")</f>
        <v>#N/A</v>
      </c>
      <c r="Z2143" s="7" t="e">
        <f>IF(VLOOKUP($A2143,'Concrete Beam Schedule'!$A$2:$Q$2902,Z$2,0)&lt;&gt;J2143,"Beam Revised","")</f>
        <v>#N/A</v>
      </c>
      <c r="AA2143" s="7" t="e">
        <f>IF(VLOOKUP($A2143,'Concrete Beam Schedule'!$A$2:$Q$2902,AA$2,0)&lt;&gt;K2143,"Beam Revised","")</f>
        <v>#N/A</v>
      </c>
      <c r="AB2143" s="7" t="e">
        <f>IF(VLOOKUP($A2143,'Concrete Beam Schedule'!$A$2:$Q$2902,AB$2,0)&lt;&gt;L2143,"Beam Revised","")</f>
        <v>#N/A</v>
      </c>
      <c r="AC2143" s="7" t="e">
        <f>IF(VLOOKUP($A2143,'Concrete Beam Schedule'!$A$2:$Q$2902,AC$2,0)&lt;&gt;M2143,"Beam Revised","")</f>
        <v>#N/A</v>
      </c>
      <c r="AD2143" s="7" t="e">
        <f>IF(VLOOKUP($A2143,'Concrete Beam Schedule'!$A$2:$Q$2902,AD$2,0)&lt;&gt;N2143,"Beam Revised","")</f>
        <v>#N/A</v>
      </c>
      <c r="AE2143" s="7" t="e">
        <f>IF(VLOOKUP($A2143,'Concrete Beam Schedule'!$A$2:$Q$2902,AE$2,0)&lt;&gt;O2143,"Beam Revised","")</f>
        <v>#N/A</v>
      </c>
    </row>
    <row r="2144" spans="17:31" ht="20.100000000000001" customHeight="1" x14ac:dyDescent="0.25">
      <c r="Q2144" s="7">
        <f t="shared" si="33"/>
        <v>0</v>
      </c>
      <c r="R2144" s="7" t="e">
        <f>IF(VLOOKUP($A2144,'Concrete Beam Schedule'!$A$2:$Q$2902,R$2,0)&lt;&gt;B2144,VLOOKUP($A2144,'Concrete Beam Schedule'!$A$2:$Q$2902,R$2,0),"")</f>
        <v>#N/A</v>
      </c>
      <c r="S2144" s="7" t="e">
        <f>IF(VLOOKUP($A2144,'Concrete Beam Schedule'!$A$2:$Q$2902,S$2,0)&lt;&gt;C2144,VLOOKUP($A2144,'Concrete Beam Schedule'!$A$2:$Q$2902,S$2,0),"")</f>
        <v>#N/A</v>
      </c>
      <c r="T2144" s="7" t="e">
        <f>IF(VLOOKUP($A2144,'Concrete Beam Schedule'!$A$2:$Q$2902,T$2,0)&lt;&gt;D2144,"Beam Revised","")</f>
        <v>#N/A</v>
      </c>
      <c r="U2144" s="7" t="e">
        <f>IF(VLOOKUP($A2144,'Concrete Beam Schedule'!$A$2:$Q$2902,U$2,0)&lt;&gt;E2144,"Beam Revised","")</f>
        <v>#N/A</v>
      </c>
      <c r="V2144" s="7" t="e">
        <f>IF(VLOOKUP($A2144,'Concrete Beam Schedule'!$A$2:$Q$2902,V$2,0)&lt;&gt;F2144,"Beam Revised","")</f>
        <v>#N/A</v>
      </c>
      <c r="W2144" s="7" t="e">
        <f>IF(VLOOKUP($A2144,'Concrete Beam Schedule'!$A$2:$Q$2902,W$2,0)&lt;&gt;G2144,"Beam Revised","")</f>
        <v>#N/A</v>
      </c>
      <c r="X2144" s="7" t="e">
        <f>IF(VLOOKUP($A2144,'Concrete Beam Schedule'!$A$2:$Q$2902,X$2,0)&lt;&gt;H2144,"Beam Revised","")</f>
        <v>#N/A</v>
      </c>
      <c r="Y2144" s="7" t="e">
        <f>IF(VLOOKUP($A2144,'Concrete Beam Schedule'!$A$2:$Q$2902,Y$2,0)&lt;&gt;I2144,"Beam Revised","")</f>
        <v>#N/A</v>
      </c>
      <c r="Z2144" s="7" t="e">
        <f>IF(VLOOKUP($A2144,'Concrete Beam Schedule'!$A$2:$Q$2902,Z$2,0)&lt;&gt;J2144,"Beam Revised","")</f>
        <v>#N/A</v>
      </c>
      <c r="AA2144" s="7" t="e">
        <f>IF(VLOOKUP($A2144,'Concrete Beam Schedule'!$A$2:$Q$2902,AA$2,0)&lt;&gt;K2144,"Beam Revised","")</f>
        <v>#N/A</v>
      </c>
      <c r="AB2144" s="7" t="e">
        <f>IF(VLOOKUP($A2144,'Concrete Beam Schedule'!$A$2:$Q$2902,AB$2,0)&lt;&gt;L2144,"Beam Revised","")</f>
        <v>#N/A</v>
      </c>
      <c r="AC2144" s="7" t="e">
        <f>IF(VLOOKUP($A2144,'Concrete Beam Schedule'!$A$2:$Q$2902,AC$2,0)&lt;&gt;M2144,"Beam Revised","")</f>
        <v>#N/A</v>
      </c>
      <c r="AD2144" s="7" t="e">
        <f>IF(VLOOKUP($A2144,'Concrete Beam Schedule'!$A$2:$Q$2902,AD$2,0)&lt;&gt;N2144,"Beam Revised","")</f>
        <v>#N/A</v>
      </c>
      <c r="AE2144" s="7" t="e">
        <f>IF(VLOOKUP($A2144,'Concrete Beam Schedule'!$A$2:$Q$2902,AE$2,0)&lt;&gt;O2144,"Beam Revised","")</f>
        <v>#N/A</v>
      </c>
    </row>
    <row r="2145" spans="17:31" ht="20.100000000000001" customHeight="1" x14ac:dyDescent="0.25">
      <c r="Q2145" s="7">
        <f t="shared" si="33"/>
        <v>0</v>
      </c>
      <c r="R2145" s="7" t="e">
        <f>IF(VLOOKUP($A2145,'Concrete Beam Schedule'!$A$2:$Q$2902,R$2,0)&lt;&gt;B2145,VLOOKUP($A2145,'Concrete Beam Schedule'!$A$2:$Q$2902,R$2,0),"")</f>
        <v>#N/A</v>
      </c>
      <c r="S2145" s="7" t="e">
        <f>IF(VLOOKUP($A2145,'Concrete Beam Schedule'!$A$2:$Q$2902,S$2,0)&lt;&gt;C2145,VLOOKUP($A2145,'Concrete Beam Schedule'!$A$2:$Q$2902,S$2,0),"")</f>
        <v>#N/A</v>
      </c>
      <c r="T2145" s="7" t="e">
        <f>IF(VLOOKUP($A2145,'Concrete Beam Schedule'!$A$2:$Q$2902,T$2,0)&lt;&gt;D2145,"Beam Revised","")</f>
        <v>#N/A</v>
      </c>
      <c r="U2145" s="7" t="e">
        <f>IF(VLOOKUP($A2145,'Concrete Beam Schedule'!$A$2:$Q$2902,U$2,0)&lt;&gt;E2145,"Beam Revised","")</f>
        <v>#N/A</v>
      </c>
      <c r="V2145" s="7" t="e">
        <f>IF(VLOOKUP($A2145,'Concrete Beam Schedule'!$A$2:$Q$2902,V$2,0)&lt;&gt;F2145,"Beam Revised","")</f>
        <v>#N/A</v>
      </c>
      <c r="W2145" s="7" t="e">
        <f>IF(VLOOKUP($A2145,'Concrete Beam Schedule'!$A$2:$Q$2902,W$2,0)&lt;&gt;G2145,"Beam Revised","")</f>
        <v>#N/A</v>
      </c>
      <c r="X2145" s="7" t="e">
        <f>IF(VLOOKUP($A2145,'Concrete Beam Schedule'!$A$2:$Q$2902,X$2,0)&lt;&gt;H2145,"Beam Revised","")</f>
        <v>#N/A</v>
      </c>
      <c r="Y2145" s="7" t="e">
        <f>IF(VLOOKUP($A2145,'Concrete Beam Schedule'!$A$2:$Q$2902,Y$2,0)&lt;&gt;I2145,"Beam Revised","")</f>
        <v>#N/A</v>
      </c>
      <c r="Z2145" s="7" t="e">
        <f>IF(VLOOKUP($A2145,'Concrete Beam Schedule'!$A$2:$Q$2902,Z$2,0)&lt;&gt;J2145,"Beam Revised","")</f>
        <v>#N/A</v>
      </c>
      <c r="AA2145" s="7" t="e">
        <f>IF(VLOOKUP($A2145,'Concrete Beam Schedule'!$A$2:$Q$2902,AA$2,0)&lt;&gt;K2145,"Beam Revised","")</f>
        <v>#N/A</v>
      </c>
      <c r="AB2145" s="7" t="e">
        <f>IF(VLOOKUP($A2145,'Concrete Beam Schedule'!$A$2:$Q$2902,AB$2,0)&lt;&gt;L2145,"Beam Revised","")</f>
        <v>#N/A</v>
      </c>
      <c r="AC2145" s="7" t="e">
        <f>IF(VLOOKUP($A2145,'Concrete Beam Schedule'!$A$2:$Q$2902,AC$2,0)&lt;&gt;M2145,"Beam Revised","")</f>
        <v>#N/A</v>
      </c>
      <c r="AD2145" s="7" t="e">
        <f>IF(VLOOKUP($A2145,'Concrete Beam Schedule'!$A$2:$Q$2902,AD$2,0)&lt;&gt;N2145,"Beam Revised","")</f>
        <v>#N/A</v>
      </c>
      <c r="AE2145" s="7" t="e">
        <f>IF(VLOOKUP($A2145,'Concrete Beam Schedule'!$A$2:$Q$2902,AE$2,0)&lt;&gt;O2145,"Beam Revised","")</f>
        <v>#N/A</v>
      </c>
    </row>
    <row r="2146" spans="17:31" ht="20.100000000000001" customHeight="1" x14ac:dyDescent="0.25">
      <c r="Q2146" s="7">
        <f t="shared" si="33"/>
        <v>0</v>
      </c>
      <c r="R2146" s="7" t="e">
        <f>IF(VLOOKUP($A2146,'Concrete Beam Schedule'!$A$2:$Q$2902,R$2,0)&lt;&gt;B2146,VLOOKUP($A2146,'Concrete Beam Schedule'!$A$2:$Q$2902,R$2,0),"")</f>
        <v>#N/A</v>
      </c>
      <c r="S2146" s="7" t="e">
        <f>IF(VLOOKUP($A2146,'Concrete Beam Schedule'!$A$2:$Q$2902,S$2,0)&lt;&gt;C2146,VLOOKUP($A2146,'Concrete Beam Schedule'!$A$2:$Q$2902,S$2,0),"")</f>
        <v>#N/A</v>
      </c>
      <c r="T2146" s="7" t="e">
        <f>IF(VLOOKUP($A2146,'Concrete Beam Schedule'!$A$2:$Q$2902,T$2,0)&lt;&gt;D2146,"Beam Revised","")</f>
        <v>#N/A</v>
      </c>
      <c r="U2146" s="7" t="e">
        <f>IF(VLOOKUP($A2146,'Concrete Beam Schedule'!$A$2:$Q$2902,U$2,0)&lt;&gt;E2146,"Beam Revised","")</f>
        <v>#N/A</v>
      </c>
      <c r="V2146" s="7" t="e">
        <f>IF(VLOOKUP($A2146,'Concrete Beam Schedule'!$A$2:$Q$2902,V$2,0)&lt;&gt;F2146,"Beam Revised","")</f>
        <v>#N/A</v>
      </c>
      <c r="W2146" s="7" t="e">
        <f>IF(VLOOKUP($A2146,'Concrete Beam Schedule'!$A$2:$Q$2902,W$2,0)&lt;&gt;G2146,"Beam Revised","")</f>
        <v>#N/A</v>
      </c>
      <c r="X2146" s="7" t="e">
        <f>IF(VLOOKUP($A2146,'Concrete Beam Schedule'!$A$2:$Q$2902,X$2,0)&lt;&gt;H2146,"Beam Revised","")</f>
        <v>#N/A</v>
      </c>
      <c r="Y2146" s="7" t="e">
        <f>IF(VLOOKUP($A2146,'Concrete Beam Schedule'!$A$2:$Q$2902,Y$2,0)&lt;&gt;I2146,"Beam Revised","")</f>
        <v>#N/A</v>
      </c>
      <c r="Z2146" s="7" t="e">
        <f>IF(VLOOKUP($A2146,'Concrete Beam Schedule'!$A$2:$Q$2902,Z$2,0)&lt;&gt;J2146,"Beam Revised","")</f>
        <v>#N/A</v>
      </c>
      <c r="AA2146" s="7" t="e">
        <f>IF(VLOOKUP($A2146,'Concrete Beam Schedule'!$A$2:$Q$2902,AA$2,0)&lt;&gt;K2146,"Beam Revised","")</f>
        <v>#N/A</v>
      </c>
      <c r="AB2146" s="7" t="e">
        <f>IF(VLOOKUP($A2146,'Concrete Beam Schedule'!$A$2:$Q$2902,AB$2,0)&lt;&gt;L2146,"Beam Revised","")</f>
        <v>#N/A</v>
      </c>
      <c r="AC2146" s="7" t="e">
        <f>IF(VLOOKUP($A2146,'Concrete Beam Schedule'!$A$2:$Q$2902,AC$2,0)&lt;&gt;M2146,"Beam Revised","")</f>
        <v>#N/A</v>
      </c>
      <c r="AD2146" s="7" t="e">
        <f>IF(VLOOKUP($A2146,'Concrete Beam Schedule'!$A$2:$Q$2902,AD$2,0)&lt;&gt;N2146,"Beam Revised","")</f>
        <v>#N/A</v>
      </c>
      <c r="AE2146" s="7" t="e">
        <f>IF(VLOOKUP($A2146,'Concrete Beam Schedule'!$A$2:$Q$2902,AE$2,0)&lt;&gt;O2146,"Beam Revised","")</f>
        <v>#N/A</v>
      </c>
    </row>
    <row r="2147" spans="17:31" ht="20.100000000000001" customHeight="1" x14ac:dyDescent="0.25">
      <c r="Q2147" s="7">
        <f t="shared" si="33"/>
        <v>0</v>
      </c>
      <c r="R2147" s="7" t="e">
        <f>IF(VLOOKUP($A2147,'Concrete Beam Schedule'!$A$2:$Q$2902,R$2,0)&lt;&gt;B2147,VLOOKUP($A2147,'Concrete Beam Schedule'!$A$2:$Q$2902,R$2,0),"")</f>
        <v>#N/A</v>
      </c>
      <c r="S2147" s="7" t="e">
        <f>IF(VLOOKUP($A2147,'Concrete Beam Schedule'!$A$2:$Q$2902,S$2,0)&lt;&gt;C2147,VLOOKUP($A2147,'Concrete Beam Schedule'!$A$2:$Q$2902,S$2,0),"")</f>
        <v>#N/A</v>
      </c>
      <c r="T2147" s="7" t="e">
        <f>IF(VLOOKUP($A2147,'Concrete Beam Schedule'!$A$2:$Q$2902,T$2,0)&lt;&gt;D2147,"Beam Revised","")</f>
        <v>#N/A</v>
      </c>
      <c r="U2147" s="7" t="e">
        <f>IF(VLOOKUP($A2147,'Concrete Beam Schedule'!$A$2:$Q$2902,U$2,0)&lt;&gt;E2147,"Beam Revised","")</f>
        <v>#N/A</v>
      </c>
      <c r="V2147" s="7" t="e">
        <f>IF(VLOOKUP($A2147,'Concrete Beam Schedule'!$A$2:$Q$2902,V$2,0)&lt;&gt;F2147,"Beam Revised","")</f>
        <v>#N/A</v>
      </c>
      <c r="W2147" s="7" t="e">
        <f>IF(VLOOKUP($A2147,'Concrete Beam Schedule'!$A$2:$Q$2902,W$2,0)&lt;&gt;G2147,"Beam Revised","")</f>
        <v>#N/A</v>
      </c>
      <c r="X2147" s="7" t="e">
        <f>IF(VLOOKUP($A2147,'Concrete Beam Schedule'!$A$2:$Q$2902,X$2,0)&lt;&gt;H2147,"Beam Revised","")</f>
        <v>#N/A</v>
      </c>
      <c r="Y2147" s="7" t="e">
        <f>IF(VLOOKUP($A2147,'Concrete Beam Schedule'!$A$2:$Q$2902,Y$2,0)&lt;&gt;I2147,"Beam Revised","")</f>
        <v>#N/A</v>
      </c>
      <c r="Z2147" s="7" t="e">
        <f>IF(VLOOKUP($A2147,'Concrete Beam Schedule'!$A$2:$Q$2902,Z$2,0)&lt;&gt;J2147,"Beam Revised","")</f>
        <v>#N/A</v>
      </c>
      <c r="AA2147" s="7" t="e">
        <f>IF(VLOOKUP($A2147,'Concrete Beam Schedule'!$A$2:$Q$2902,AA$2,0)&lt;&gt;K2147,"Beam Revised","")</f>
        <v>#N/A</v>
      </c>
      <c r="AB2147" s="7" t="e">
        <f>IF(VLOOKUP($A2147,'Concrete Beam Schedule'!$A$2:$Q$2902,AB$2,0)&lt;&gt;L2147,"Beam Revised","")</f>
        <v>#N/A</v>
      </c>
      <c r="AC2147" s="7" t="e">
        <f>IF(VLOOKUP($A2147,'Concrete Beam Schedule'!$A$2:$Q$2902,AC$2,0)&lt;&gt;M2147,"Beam Revised","")</f>
        <v>#N/A</v>
      </c>
      <c r="AD2147" s="7" t="e">
        <f>IF(VLOOKUP($A2147,'Concrete Beam Schedule'!$A$2:$Q$2902,AD$2,0)&lt;&gt;N2147,"Beam Revised","")</f>
        <v>#N/A</v>
      </c>
      <c r="AE2147" s="7" t="e">
        <f>IF(VLOOKUP($A2147,'Concrete Beam Schedule'!$A$2:$Q$2902,AE$2,0)&lt;&gt;O2147,"Beam Revised","")</f>
        <v>#N/A</v>
      </c>
    </row>
    <row r="2148" spans="17:31" ht="20.100000000000001" customHeight="1" x14ac:dyDescent="0.25">
      <c r="Q2148" s="7">
        <f t="shared" si="33"/>
        <v>0</v>
      </c>
      <c r="R2148" s="7" t="e">
        <f>IF(VLOOKUP($A2148,'Concrete Beam Schedule'!$A$2:$Q$2902,R$2,0)&lt;&gt;B2148,VLOOKUP($A2148,'Concrete Beam Schedule'!$A$2:$Q$2902,R$2,0),"")</f>
        <v>#N/A</v>
      </c>
      <c r="S2148" s="7" t="e">
        <f>IF(VLOOKUP($A2148,'Concrete Beam Schedule'!$A$2:$Q$2902,S$2,0)&lt;&gt;C2148,VLOOKUP($A2148,'Concrete Beam Schedule'!$A$2:$Q$2902,S$2,0),"")</f>
        <v>#N/A</v>
      </c>
      <c r="T2148" s="7" t="e">
        <f>IF(VLOOKUP($A2148,'Concrete Beam Schedule'!$A$2:$Q$2902,T$2,0)&lt;&gt;D2148,"Beam Revised","")</f>
        <v>#N/A</v>
      </c>
      <c r="U2148" s="7" t="e">
        <f>IF(VLOOKUP($A2148,'Concrete Beam Schedule'!$A$2:$Q$2902,U$2,0)&lt;&gt;E2148,"Beam Revised","")</f>
        <v>#N/A</v>
      </c>
      <c r="V2148" s="7" t="e">
        <f>IF(VLOOKUP($A2148,'Concrete Beam Schedule'!$A$2:$Q$2902,V$2,0)&lt;&gt;F2148,"Beam Revised","")</f>
        <v>#N/A</v>
      </c>
      <c r="W2148" s="7" t="e">
        <f>IF(VLOOKUP($A2148,'Concrete Beam Schedule'!$A$2:$Q$2902,W$2,0)&lt;&gt;G2148,"Beam Revised","")</f>
        <v>#N/A</v>
      </c>
      <c r="X2148" s="7" t="e">
        <f>IF(VLOOKUP($A2148,'Concrete Beam Schedule'!$A$2:$Q$2902,X$2,0)&lt;&gt;H2148,"Beam Revised","")</f>
        <v>#N/A</v>
      </c>
      <c r="Y2148" s="7" t="e">
        <f>IF(VLOOKUP($A2148,'Concrete Beam Schedule'!$A$2:$Q$2902,Y$2,0)&lt;&gt;I2148,"Beam Revised","")</f>
        <v>#N/A</v>
      </c>
      <c r="Z2148" s="7" t="e">
        <f>IF(VLOOKUP($A2148,'Concrete Beam Schedule'!$A$2:$Q$2902,Z$2,0)&lt;&gt;J2148,"Beam Revised","")</f>
        <v>#N/A</v>
      </c>
      <c r="AA2148" s="7" t="e">
        <f>IF(VLOOKUP($A2148,'Concrete Beam Schedule'!$A$2:$Q$2902,AA$2,0)&lt;&gt;K2148,"Beam Revised","")</f>
        <v>#N/A</v>
      </c>
      <c r="AB2148" s="7" t="e">
        <f>IF(VLOOKUP($A2148,'Concrete Beam Schedule'!$A$2:$Q$2902,AB$2,0)&lt;&gt;L2148,"Beam Revised","")</f>
        <v>#N/A</v>
      </c>
      <c r="AC2148" s="7" t="e">
        <f>IF(VLOOKUP($A2148,'Concrete Beam Schedule'!$A$2:$Q$2902,AC$2,0)&lt;&gt;M2148,"Beam Revised","")</f>
        <v>#N/A</v>
      </c>
      <c r="AD2148" s="7" t="e">
        <f>IF(VLOOKUP($A2148,'Concrete Beam Schedule'!$A$2:$Q$2902,AD$2,0)&lt;&gt;N2148,"Beam Revised","")</f>
        <v>#N/A</v>
      </c>
      <c r="AE2148" s="7" t="e">
        <f>IF(VLOOKUP($A2148,'Concrete Beam Schedule'!$A$2:$Q$2902,AE$2,0)&lt;&gt;O2148,"Beam Revised","")</f>
        <v>#N/A</v>
      </c>
    </row>
    <row r="2149" spans="17:31" ht="20.100000000000001" customHeight="1" x14ac:dyDescent="0.25">
      <c r="Q2149" s="7">
        <f t="shared" si="33"/>
        <v>0</v>
      </c>
      <c r="R2149" s="7" t="e">
        <f>IF(VLOOKUP($A2149,'Concrete Beam Schedule'!$A$2:$Q$2902,R$2,0)&lt;&gt;B2149,VLOOKUP($A2149,'Concrete Beam Schedule'!$A$2:$Q$2902,R$2,0),"")</f>
        <v>#N/A</v>
      </c>
      <c r="S2149" s="7" t="e">
        <f>IF(VLOOKUP($A2149,'Concrete Beam Schedule'!$A$2:$Q$2902,S$2,0)&lt;&gt;C2149,VLOOKUP($A2149,'Concrete Beam Schedule'!$A$2:$Q$2902,S$2,0),"")</f>
        <v>#N/A</v>
      </c>
      <c r="T2149" s="7" t="e">
        <f>IF(VLOOKUP($A2149,'Concrete Beam Schedule'!$A$2:$Q$2902,T$2,0)&lt;&gt;D2149,"Beam Revised","")</f>
        <v>#N/A</v>
      </c>
      <c r="U2149" s="7" t="e">
        <f>IF(VLOOKUP($A2149,'Concrete Beam Schedule'!$A$2:$Q$2902,U$2,0)&lt;&gt;E2149,"Beam Revised","")</f>
        <v>#N/A</v>
      </c>
      <c r="V2149" s="7" t="e">
        <f>IF(VLOOKUP($A2149,'Concrete Beam Schedule'!$A$2:$Q$2902,V$2,0)&lt;&gt;F2149,"Beam Revised","")</f>
        <v>#N/A</v>
      </c>
      <c r="W2149" s="7" t="e">
        <f>IF(VLOOKUP($A2149,'Concrete Beam Schedule'!$A$2:$Q$2902,W$2,0)&lt;&gt;G2149,"Beam Revised","")</f>
        <v>#N/A</v>
      </c>
      <c r="X2149" s="7" t="e">
        <f>IF(VLOOKUP($A2149,'Concrete Beam Schedule'!$A$2:$Q$2902,X$2,0)&lt;&gt;H2149,"Beam Revised","")</f>
        <v>#N/A</v>
      </c>
      <c r="Y2149" s="7" t="e">
        <f>IF(VLOOKUP($A2149,'Concrete Beam Schedule'!$A$2:$Q$2902,Y$2,0)&lt;&gt;I2149,"Beam Revised","")</f>
        <v>#N/A</v>
      </c>
      <c r="Z2149" s="7" t="e">
        <f>IF(VLOOKUP($A2149,'Concrete Beam Schedule'!$A$2:$Q$2902,Z$2,0)&lt;&gt;J2149,"Beam Revised","")</f>
        <v>#N/A</v>
      </c>
      <c r="AA2149" s="7" t="e">
        <f>IF(VLOOKUP($A2149,'Concrete Beam Schedule'!$A$2:$Q$2902,AA$2,0)&lt;&gt;K2149,"Beam Revised","")</f>
        <v>#N/A</v>
      </c>
      <c r="AB2149" s="7" t="e">
        <f>IF(VLOOKUP($A2149,'Concrete Beam Schedule'!$A$2:$Q$2902,AB$2,0)&lt;&gt;L2149,"Beam Revised","")</f>
        <v>#N/A</v>
      </c>
      <c r="AC2149" s="7" t="e">
        <f>IF(VLOOKUP($A2149,'Concrete Beam Schedule'!$A$2:$Q$2902,AC$2,0)&lt;&gt;M2149,"Beam Revised","")</f>
        <v>#N/A</v>
      </c>
      <c r="AD2149" s="7" t="e">
        <f>IF(VLOOKUP($A2149,'Concrete Beam Schedule'!$A$2:$Q$2902,AD$2,0)&lt;&gt;N2149,"Beam Revised","")</f>
        <v>#N/A</v>
      </c>
      <c r="AE2149" s="7" t="e">
        <f>IF(VLOOKUP($A2149,'Concrete Beam Schedule'!$A$2:$Q$2902,AE$2,0)&lt;&gt;O2149,"Beam Revised","")</f>
        <v>#N/A</v>
      </c>
    </row>
    <row r="2150" spans="17:31" ht="20.100000000000001" customHeight="1" x14ac:dyDescent="0.25">
      <c r="Q2150" s="7">
        <f t="shared" si="33"/>
        <v>0</v>
      </c>
      <c r="R2150" s="7" t="e">
        <f>IF(VLOOKUP($A2150,'Concrete Beam Schedule'!$A$2:$Q$2902,R$2,0)&lt;&gt;B2150,VLOOKUP($A2150,'Concrete Beam Schedule'!$A$2:$Q$2902,R$2,0),"")</f>
        <v>#N/A</v>
      </c>
      <c r="S2150" s="7" t="e">
        <f>IF(VLOOKUP($A2150,'Concrete Beam Schedule'!$A$2:$Q$2902,S$2,0)&lt;&gt;C2150,VLOOKUP($A2150,'Concrete Beam Schedule'!$A$2:$Q$2902,S$2,0),"")</f>
        <v>#N/A</v>
      </c>
      <c r="T2150" s="7" t="e">
        <f>IF(VLOOKUP($A2150,'Concrete Beam Schedule'!$A$2:$Q$2902,T$2,0)&lt;&gt;D2150,"Beam Revised","")</f>
        <v>#N/A</v>
      </c>
      <c r="U2150" s="7" t="e">
        <f>IF(VLOOKUP($A2150,'Concrete Beam Schedule'!$A$2:$Q$2902,U$2,0)&lt;&gt;E2150,"Beam Revised","")</f>
        <v>#N/A</v>
      </c>
      <c r="V2150" s="7" t="e">
        <f>IF(VLOOKUP($A2150,'Concrete Beam Schedule'!$A$2:$Q$2902,V$2,0)&lt;&gt;F2150,"Beam Revised","")</f>
        <v>#N/A</v>
      </c>
      <c r="W2150" s="7" t="e">
        <f>IF(VLOOKUP($A2150,'Concrete Beam Schedule'!$A$2:$Q$2902,W$2,0)&lt;&gt;G2150,"Beam Revised","")</f>
        <v>#N/A</v>
      </c>
      <c r="X2150" s="7" t="e">
        <f>IF(VLOOKUP($A2150,'Concrete Beam Schedule'!$A$2:$Q$2902,X$2,0)&lt;&gt;H2150,"Beam Revised","")</f>
        <v>#N/A</v>
      </c>
      <c r="Y2150" s="7" t="e">
        <f>IF(VLOOKUP($A2150,'Concrete Beam Schedule'!$A$2:$Q$2902,Y$2,0)&lt;&gt;I2150,"Beam Revised","")</f>
        <v>#N/A</v>
      </c>
      <c r="Z2150" s="7" t="e">
        <f>IF(VLOOKUP($A2150,'Concrete Beam Schedule'!$A$2:$Q$2902,Z$2,0)&lt;&gt;J2150,"Beam Revised","")</f>
        <v>#N/A</v>
      </c>
      <c r="AA2150" s="7" t="e">
        <f>IF(VLOOKUP($A2150,'Concrete Beam Schedule'!$A$2:$Q$2902,AA$2,0)&lt;&gt;K2150,"Beam Revised","")</f>
        <v>#N/A</v>
      </c>
      <c r="AB2150" s="7" t="e">
        <f>IF(VLOOKUP($A2150,'Concrete Beam Schedule'!$A$2:$Q$2902,AB$2,0)&lt;&gt;L2150,"Beam Revised","")</f>
        <v>#N/A</v>
      </c>
      <c r="AC2150" s="7" t="e">
        <f>IF(VLOOKUP($A2150,'Concrete Beam Schedule'!$A$2:$Q$2902,AC$2,0)&lt;&gt;M2150,"Beam Revised","")</f>
        <v>#N/A</v>
      </c>
      <c r="AD2150" s="7" t="e">
        <f>IF(VLOOKUP($A2150,'Concrete Beam Schedule'!$A$2:$Q$2902,AD$2,0)&lt;&gt;N2150,"Beam Revised","")</f>
        <v>#N/A</v>
      </c>
      <c r="AE2150" s="7" t="e">
        <f>IF(VLOOKUP($A2150,'Concrete Beam Schedule'!$A$2:$Q$2902,AE$2,0)&lt;&gt;O2150,"Beam Revised","")</f>
        <v>#N/A</v>
      </c>
    </row>
    <row r="2151" spans="17:31" ht="20.100000000000001" customHeight="1" x14ac:dyDescent="0.25">
      <c r="Q2151" s="7">
        <f t="shared" si="33"/>
        <v>0</v>
      </c>
      <c r="R2151" s="7" t="e">
        <f>IF(VLOOKUP($A2151,'Concrete Beam Schedule'!$A$2:$Q$2902,R$2,0)&lt;&gt;B2151,VLOOKUP($A2151,'Concrete Beam Schedule'!$A$2:$Q$2902,R$2,0),"")</f>
        <v>#N/A</v>
      </c>
      <c r="S2151" s="7" t="e">
        <f>IF(VLOOKUP($A2151,'Concrete Beam Schedule'!$A$2:$Q$2902,S$2,0)&lt;&gt;C2151,VLOOKUP($A2151,'Concrete Beam Schedule'!$A$2:$Q$2902,S$2,0),"")</f>
        <v>#N/A</v>
      </c>
      <c r="T2151" s="7" t="e">
        <f>IF(VLOOKUP($A2151,'Concrete Beam Schedule'!$A$2:$Q$2902,T$2,0)&lt;&gt;D2151,"Beam Revised","")</f>
        <v>#N/A</v>
      </c>
      <c r="U2151" s="7" t="e">
        <f>IF(VLOOKUP($A2151,'Concrete Beam Schedule'!$A$2:$Q$2902,U$2,0)&lt;&gt;E2151,"Beam Revised","")</f>
        <v>#N/A</v>
      </c>
      <c r="V2151" s="7" t="e">
        <f>IF(VLOOKUP($A2151,'Concrete Beam Schedule'!$A$2:$Q$2902,V$2,0)&lt;&gt;F2151,"Beam Revised","")</f>
        <v>#N/A</v>
      </c>
      <c r="W2151" s="7" t="e">
        <f>IF(VLOOKUP($A2151,'Concrete Beam Schedule'!$A$2:$Q$2902,W$2,0)&lt;&gt;G2151,"Beam Revised","")</f>
        <v>#N/A</v>
      </c>
      <c r="X2151" s="7" t="e">
        <f>IF(VLOOKUP($A2151,'Concrete Beam Schedule'!$A$2:$Q$2902,X$2,0)&lt;&gt;H2151,"Beam Revised","")</f>
        <v>#N/A</v>
      </c>
      <c r="Y2151" s="7" t="e">
        <f>IF(VLOOKUP($A2151,'Concrete Beam Schedule'!$A$2:$Q$2902,Y$2,0)&lt;&gt;I2151,"Beam Revised","")</f>
        <v>#N/A</v>
      </c>
      <c r="Z2151" s="7" t="e">
        <f>IF(VLOOKUP($A2151,'Concrete Beam Schedule'!$A$2:$Q$2902,Z$2,0)&lt;&gt;J2151,"Beam Revised","")</f>
        <v>#N/A</v>
      </c>
      <c r="AA2151" s="7" t="e">
        <f>IF(VLOOKUP($A2151,'Concrete Beam Schedule'!$A$2:$Q$2902,AA$2,0)&lt;&gt;K2151,"Beam Revised","")</f>
        <v>#N/A</v>
      </c>
      <c r="AB2151" s="7" t="e">
        <f>IF(VLOOKUP($A2151,'Concrete Beam Schedule'!$A$2:$Q$2902,AB$2,0)&lt;&gt;L2151,"Beam Revised","")</f>
        <v>#N/A</v>
      </c>
      <c r="AC2151" s="7" t="e">
        <f>IF(VLOOKUP($A2151,'Concrete Beam Schedule'!$A$2:$Q$2902,AC$2,0)&lt;&gt;M2151,"Beam Revised","")</f>
        <v>#N/A</v>
      </c>
      <c r="AD2151" s="7" t="e">
        <f>IF(VLOOKUP($A2151,'Concrete Beam Schedule'!$A$2:$Q$2902,AD$2,0)&lt;&gt;N2151,"Beam Revised","")</f>
        <v>#N/A</v>
      </c>
      <c r="AE2151" s="7" t="e">
        <f>IF(VLOOKUP($A2151,'Concrete Beam Schedule'!$A$2:$Q$2902,AE$2,0)&lt;&gt;O2151,"Beam Revised","")</f>
        <v>#N/A</v>
      </c>
    </row>
    <row r="2152" spans="17:31" ht="20.100000000000001" customHeight="1" x14ac:dyDescent="0.25">
      <c r="Q2152" s="7">
        <f t="shared" si="33"/>
        <v>0</v>
      </c>
      <c r="R2152" s="7" t="e">
        <f>IF(VLOOKUP($A2152,'Concrete Beam Schedule'!$A$2:$Q$2902,R$2,0)&lt;&gt;B2152,VLOOKUP($A2152,'Concrete Beam Schedule'!$A$2:$Q$2902,R$2,0),"")</f>
        <v>#N/A</v>
      </c>
      <c r="S2152" s="7" t="e">
        <f>IF(VLOOKUP($A2152,'Concrete Beam Schedule'!$A$2:$Q$2902,S$2,0)&lt;&gt;C2152,VLOOKUP($A2152,'Concrete Beam Schedule'!$A$2:$Q$2902,S$2,0),"")</f>
        <v>#N/A</v>
      </c>
      <c r="T2152" s="7" t="e">
        <f>IF(VLOOKUP($A2152,'Concrete Beam Schedule'!$A$2:$Q$2902,T$2,0)&lt;&gt;D2152,"Beam Revised","")</f>
        <v>#N/A</v>
      </c>
      <c r="U2152" s="7" t="e">
        <f>IF(VLOOKUP($A2152,'Concrete Beam Schedule'!$A$2:$Q$2902,U$2,0)&lt;&gt;E2152,"Beam Revised","")</f>
        <v>#N/A</v>
      </c>
      <c r="V2152" s="7" t="e">
        <f>IF(VLOOKUP($A2152,'Concrete Beam Schedule'!$A$2:$Q$2902,V$2,0)&lt;&gt;F2152,"Beam Revised","")</f>
        <v>#N/A</v>
      </c>
      <c r="W2152" s="7" t="e">
        <f>IF(VLOOKUP($A2152,'Concrete Beam Schedule'!$A$2:$Q$2902,W$2,0)&lt;&gt;G2152,"Beam Revised","")</f>
        <v>#N/A</v>
      </c>
      <c r="X2152" s="7" t="e">
        <f>IF(VLOOKUP($A2152,'Concrete Beam Schedule'!$A$2:$Q$2902,X$2,0)&lt;&gt;H2152,"Beam Revised","")</f>
        <v>#N/A</v>
      </c>
      <c r="Y2152" s="7" t="e">
        <f>IF(VLOOKUP($A2152,'Concrete Beam Schedule'!$A$2:$Q$2902,Y$2,0)&lt;&gt;I2152,"Beam Revised","")</f>
        <v>#N/A</v>
      </c>
      <c r="Z2152" s="7" t="e">
        <f>IF(VLOOKUP($A2152,'Concrete Beam Schedule'!$A$2:$Q$2902,Z$2,0)&lt;&gt;J2152,"Beam Revised","")</f>
        <v>#N/A</v>
      </c>
      <c r="AA2152" s="7" t="e">
        <f>IF(VLOOKUP($A2152,'Concrete Beam Schedule'!$A$2:$Q$2902,AA$2,0)&lt;&gt;K2152,"Beam Revised","")</f>
        <v>#N/A</v>
      </c>
      <c r="AB2152" s="7" t="e">
        <f>IF(VLOOKUP($A2152,'Concrete Beam Schedule'!$A$2:$Q$2902,AB$2,0)&lt;&gt;L2152,"Beam Revised","")</f>
        <v>#N/A</v>
      </c>
      <c r="AC2152" s="7" t="e">
        <f>IF(VLOOKUP($A2152,'Concrete Beam Schedule'!$A$2:$Q$2902,AC$2,0)&lt;&gt;M2152,"Beam Revised","")</f>
        <v>#N/A</v>
      </c>
      <c r="AD2152" s="7" t="e">
        <f>IF(VLOOKUP($A2152,'Concrete Beam Schedule'!$A$2:$Q$2902,AD$2,0)&lt;&gt;N2152,"Beam Revised","")</f>
        <v>#N/A</v>
      </c>
      <c r="AE2152" s="7" t="e">
        <f>IF(VLOOKUP($A2152,'Concrete Beam Schedule'!$A$2:$Q$2902,AE$2,0)&lt;&gt;O2152,"Beam Revised","")</f>
        <v>#N/A</v>
      </c>
    </row>
    <row r="2153" spans="17:31" ht="20.100000000000001" customHeight="1" x14ac:dyDescent="0.25">
      <c r="Q2153" s="7">
        <f t="shared" si="33"/>
        <v>0</v>
      </c>
      <c r="R2153" s="7" t="e">
        <f>IF(VLOOKUP($A2153,'Concrete Beam Schedule'!$A$2:$Q$2902,R$2,0)&lt;&gt;B2153,VLOOKUP($A2153,'Concrete Beam Schedule'!$A$2:$Q$2902,R$2,0),"")</f>
        <v>#N/A</v>
      </c>
      <c r="S2153" s="7" t="e">
        <f>IF(VLOOKUP($A2153,'Concrete Beam Schedule'!$A$2:$Q$2902,S$2,0)&lt;&gt;C2153,VLOOKUP($A2153,'Concrete Beam Schedule'!$A$2:$Q$2902,S$2,0),"")</f>
        <v>#N/A</v>
      </c>
      <c r="T2153" s="7" t="e">
        <f>IF(VLOOKUP($A2153,'Concrete Beam Schedule'!$A$2:$Q$2902,T$2,0)&lt;&gt;D2153,"Beam Revised","")</f>
        <v>#N/A</v>
      </c>
      <c r="U2153" s="7" t="e">
        <f>IF(VLOOKUP($A2153,'Concrete Beam Schedule'!$A$2:$Q$2902,U$2,0)&lt;&gt;E2153,"Beam Revised","")</f>
        <v>#N/A</v>
      </c>
      <c r="V2153" s="7" t="e">
        <f>IF(VLOOKUP($A2153,'Concrete Beam Schedule'!$A$2:$Q$2902,V$2,0)&lt;&gt;F2153,"Beam Revised","")</f>
        <v>#N/A</v>
      </c>
      <c r="W2153" s="7" t="e">
        <f>IF(VLOOKUP($A2153,'Concrete Beam Schedule'!$A$2:$Q$2902,W$2,0)&lt;&gt;G2153,"Beam Revised","")</f>
        <v>#N/A</v>
      </c>
      <c r="X2153" s="7" t="e">
        <f>IF(VLOOKUP($A2153,'Concrete Beam Schedule'!$A$2:$Q$2902,X$2,0)&lt;&gt;H2153,"Beam Revised","")</f>
        <v>#N/A</v>
      </c>
      <c r="Y2153" s="7" t="e">
        <f>IF(VLOOKUP($A2153,'Concrete Beam Schedule'!$A$2:$Q$2902,Y$2,0)&lt;&gt;I2153,"Beam Revised","")</f>
        <v>#N/A</v>
      </c>
      <c r="Z2153" s="7" t="e">
        <f>IF(VLOOKUP($A2153,'Concrete Beam Schedule'!$A$2:$Q$2902,Z$2,0)&lt;&gt;J2153,"Beam Revised","")</f>
        <v>#N/A</v>
      </c>
      <c r="AA2153" s="7" t="e">
        <f>IF(VLOOKUP($A2153,'Concrete Beam Schedule'!$A$2:$Q$2902,AA$2,0)&lt;&gt;K2153,"Beam Revised","")</f>
        <v>#N/A</v>
      </c>
      <c r="AB2153" s="7" t="e">
        <f>IF(VLOOKUP($A2153,'Concrete Beam Schedule'!$A$2:$Q$2902,AB$2,0)&lt;&gt;L2153,"Beam Revised","")</f>
        <v>#N/A</v>
      </c>
      <c r="AC2153" s="7" t="e">
        <f>IF(VLOOKUP($A2153,'Concrete Beam Schedule'!$A$2:$Q$2902,AC$2,0)&lt;&gt;M2153,"Beam Revised","")</f>
        <v>#N/A</v>
      </c>
      <c r="AD2153" s="7" t="e">
        <f>IF(VLOOKUP($A2153,'Concrete Beam Schedule'!$A$2:$Q$2902,AD$2,0)&lt;&gt;N2153,"Beam Revised","")</f>
        <v>#N/A</v>
      </c>
      <c r="AE2153" s="7" t="e">
        <f>IF(VLOOKUP($A2153,'Concrete Beam Schedule'!$A$2:$Q$2902,AE$2,0)&lt;&gt;O2153,"Beam Revised","")</f>
        <v>#N/A</v>
      </c>
    </row>
    <row r="2154" spans="17:31" ht="20.100000000000001" customHeight="1" x14ac:dyDescent="0.25">
      <c r="Q2154" s="7">
        <f t="shared" si="33"/>
        <v>0</v>
      </c>
      <c r="R2154" s="7" t="e">
        <f>IF(VLOOKUP($A2154,'Concrete Beam Schedule'!$A$2:$Q$2902,R$2,0)&lt;&gt;B2154,VLOOKUP($A2154,'Concrete Beam Schedule'!$A$2:$Q$2902,R$2,0),"")</f>
        <v>#N/A</v>
      </c>
      <c r="S2154" s="7" t="e">
        <f>IF(VLOOKUP($A2154,'Concrete Beam Schedule'!$A$2:$Q$2902,S$2,0)&lt;&gt;C2154,VLOOKUP($A2154,'Concrete Beam Schedule'!$A$2:$Q$2902,S$2,0),"")</f>
        <v>#N/A</v>
      </c>
      <c r="T2154" s="7" t="e">
        <f>IF(VLOOKUP($A2154,'Concrete Beam Schedule'!$A$2:$Q$2902,T$2,0)&lt;&gt;D2154,"Beam Revised","")</f>
        <v>#N/A</v>
      </c>
      <c r="U2154" s="7" t="e">
        <f>IF(VLOOKUP($A2154,'Concrete Beam Schedule'!$A$2:$Q$2902,U$2,0)&lt;&gt;E2154,"Beam Revised","")</f>
        <v>#N/A</v>
      </c>
      <c r="V2154" s="7" t="e">
        <f>IF(VLOOKUP($A2154,'Concrete Beam Schedule'!$A$2:$Q$2902,V$2,0)&lt;&gt;F2154,"Beam Revised","")</f>
        <v>#N/A</v>
      </c>
      <c r="W2154" s="7" t="e">
        <f>IF(VLOOKUP($A2154,'Concrete Beam Schedule'!$A$2:$Q$2902,W$2,0)&lt;&gt;G2154,"Beam Revised","")</f>
        <v>#N/A</v>
      </c>
      <c r="X2154" s="7" t="e">
        <f>IF(VLOOKUP($A2154,'Concrete Beam Schedule'!$A$2:$Q$2902,X$2,0)&lt;&gt;H2154,"Beam Revised","")</f>
        <v>#N/A</v>
      </c>
      <c r="Y2154" s="7" t="e">
        <f>IF(VLOOKUP($A2154,'Concrete Beam Schedule'!$A$2:$Q$2902,Y$2,0)&lt;&gt;I2154,"Beam Revised","")</f>
        <v>#N/A</v>
      </c>
      <c r="Z2154" s="7" t="e">
        <f>IF(VLOOKUP($A2154,'Concrete Beam Schedule'!$A$2:$Q$2902,Z$2,0)&lt;&gt;J2154,"Beam Revised","")</f>
        <v>#N/A</v>
      </c>
      <c r="AA2154" s="7" t="e">
        <f>IF(VLOOKUP($A2154,'Concrete Beam Schedule'!$A$2:$Q$2902,AA$2,0)&lt;&gt;K2154,"Beam Revised","")</f>
        <v>#N/A</v>
      </c>
      <c r="AB2154" s="7" t="e">
        <f>IF(VLOOKUP($A2154,'Concrete Beam Schedule'!$A$2:$Q$2902,AB$2,0)&lt;&gt;L2154,"Beam Revised","")</f>
        <v>#N/A</v>
      </c>
      <c r="AC2154" s="7" t="e">
        <f>IF(VLOOKUP($A2154,'Concrete Beam Schedule'!$A$2:$Q$2902,AC$2,0)&lt;&gt;M2154,"Beam Revised","")</f>
        <v>#N/A</v>
      </c>
      <c r="AD2154" s="7" t="e">
        <f>IF(VLOOKUP($A2154,'Concrete Beam Schedule'!$A$2:$Q$2902,AD$2,0)&lt;&gt;N2154,"Beam Revised","")</f>
        <v>#N/A</v>
      </c>
      <c r="AE2154" s="7" t="e">
        <f>IF(VLOOKUP($A2154,'Concrete Beam Schedule'!$A$2:$Q$2902,AE$2,0)&lt;&gt;O2154,"Beam Revised","")</f>
        <v>#N/A</v>
      </c>
    </row>
    <row r="2155" spans="17:31" ht="20.100000000000001" customHeight="1" x14ac:dyDescent="0.25">
      <c r="Q2155" s="7">
        <f t="shared" si="33"/>
        <v>0</v>
      </c>
      <c r="R2155" s="7" t="e">
        <f>IF(VLOOKUP($A2155,'Concrete Beam Schedule'!$A$2:$Q$2902,R$2,0)&lt;&gt;B2155,VLOOKUP($A2155,'Concrete Beam Schedule'!$A$2:$Q$2902,R$2,0),"")</f>
        <v>#N/A</v>
      </c>
      <c r="S2155" s="7" t="e">
        <f>IF(VLOOKUP($A2155,'Concrete Beam Schedule'!$A$2:$Q$2902,S$2,0)&lt;&gt;C2155,VLOOKUP($A2155,'Concrete Beam Schedule'!$A$2:$Q$2902,S$2,0),"")</f>
        <v>#N/A</v>
      </c>
      <c r="T2155" s="7" t="e">
        <f>IF(VLOOKUP($A2155,'Concrete Beam Schedule'!$A$2:$Q$2902,T$2,0)&lt;&gt;D2155,"Beam Revised","")</f>
        <v>#N/A</v>
      </c>
      <c r="U2155" s="7" t="e">
        <f>IF(VLOOKUP($A2155,'Concrete Beam Schedule'!$A$2:$Q$2902,U$2,0)&lt;&gt;E2155,"Beam Revised","")</f>
        <v>#N/A</v>
      </c>
      <c r="V2155" s="7" t="e">
        <f>IF(VLOOKUP($A2155,'Concrete Beam Schedule'!$A$2:$Q$2902,V$2,0)&lt;&gt;F2155,"Beam Revised","")</f>
        <v>#N/A</v>
      </c>
      <c r="W2155" s="7" t="e">
        <f>IF(VLOOKUP($A2155,'Concrete Beam Schedule'!$A$2:$Q$2902,W$2,0)&lt;&gt;G2155,"Beam Revised","")</f>
        <v>#N/A</v>
      </c>
      <c r="X2155" s="7" t="e">
        <f>IF(VLOOKUP($A2155,'Concrete Beam Schedule'!$A$2:$Q$2902,X$2,0)&lt;&gt;H2155,"Beam Revised","")</f>
        <v>#N/A</v>
      </c>
      <c r="Y2155" s="7" t="e">
        <f>IF(VLOOKUP($A2155,'Concrete Beam Schedule'!$A$2:$Q$2902,Y$2,0)&lt;&gt;I2155,"Beam Revised","")</f>
        <v>#N/A</v>
      </c>
      <c r="Z2155" s="7" t="e">
        <f>IF(VLOOKUP($A2155,'Concrete Beam Schedule'!$A$2:$Q$2902,Z$2,0)&lt;&gt;J2155,"Beam Revised","")</f>
        <v>#N/A</v>
      </c>
      <c r="AA2155" s="7" t="e">
        <f>IF(VLOOKUP($A2155,'Concrete Beam Schedule'!$A$2:$Q$2902,AA$2,0)&lt;&gt;K2155,"Beam Revised","")</f>
        <v>#N/A</v>
      </c>
      <c r="AB2155" s="7" t="e">
        <f>IF(VLOOKUP($A2155,'Concrete Beam Schedule'!$A$2:$Q$2902,AB$2,0)&lt;&gt;L2155,"Beam Revised","")</f>
        <v>#N/A</v>
      </c>
      <c r="AC2155" s="7" t="e">
        <f>IF(VLOOKUP($A2155,'Concrete Beam Schedule'!$A$2:$Q$2902,AC$2,0)&lt;&gt;M2155,"Beam Revised","")</f>
        <v>#N/A</v>
      </c>
      <c r="AD2155" s="7" t="e">
        <f>IF(VLOOKUP($A2155,'Concrete Beam Schedule'!$A$2:$Q$2902,AD$2,0)&lt;&gt;N2155,"Beam Revised","")</f>
        <v>#N/A</v>
      </c>
      <c r="AE2155" s="7" t="e">
        <f>IF(VLOOKUP($A2155,'Concrete Beam Schedule'!$A$2:$Q$2902,AE$2,0)&lt;&gt;O2155,"Beam Revised","")</f>
        <v>#N/A</v>
      </c>
    </row>
    <row r="2156" spans="17:31" ht="20.100000000000001" customHeight="1" x14ac:dyDescent="0.25">
      <c r="Q2156" s="7">
        <f t="shared" si="33"/>
        <v>0</v>
      </c>
      <c r="R2156" s="7" t="e">
        <f>IF(VLOOKUP($A2156,'Concrete Beam Schedule'!$A$2:$Q$2902,R$2,0)&lt;&gt;B2156,VLOOKUP($A2156,'Concrete Beam Schedule'!$A$2:$Q$2902,R$2,0),"")</f>
        <v>#N/A</v>
      </c>
      <c r="S2156" s="7" t="e">
        <f>IF(VLOOKUP($A2156,'Concrete Beam Schedule'!$A$2:$Q$2902,S$2,0)&lt;&gt;C2156,VLOOKUP($A2156,'Concrete Beam Schedule'!$A$2:$Q$2902,S$2,0),"")</f>
        <v>#N/A</v>
      </c>
      <c r="T2156" s="7" t="e">
        <f>IF(VLOOKUP($A2156,'Concrete Beam Schedule'!$A$2:$Q$2902,T$2,0)&lt;&gt;D2156,"Beam Revised","")</f>
        <v>#N/A</v>
      </c>
      <c r="U2156" s="7" t="e">
        <f>IF(VLOOKUP($A2156,'Concrete Beam Schedule'!$A$2:$Q$2902,U$2,0)&lt;&gt;E2156,"Beam Revised","")</f>
        <v>#N/A</v>
      </c>
      <c r="V2156" s="7" t="e">
        <f>IF(VLOOKUP($A2156,'Concrete Beam Schedule'!$A$2:$Q$2902,V$2,0)&lt;&gt;F2156,"Beam Revised","")</f>
        <v>#N/A</v>
      </c>
      <c r="W2156" s="7" t="e">
        <f>IF(VLOOKUP($A2156,'Concrete Beam Schedule'!$A$2:$Q$2902,W$2,0)&lt;&gt;G2156,"Beam Revised","")</f>
        <v>#N/A</v>
      </c>
      <c r="X2156" s="7" t="e">
        <f>IF(VLOOKUP($A2156,'Concrete Beam Schedule'!$A$2:$Q$2902,X$2,0)&lt;&gt;H2156,"Beam Revised","")</f>
        <v>#N/A</v>
      </c>
      <c r="Y2156" s="7" t="e">
        <f>IF(VLOOKUP($A2156,'Concrete Beam Schedule'!$A$2:$Q$2902,Y$2,0)&lt;&gt;I2156,"Beam Revised","")</f>
        <v>#N/A</v>
      </c>
      <c r="Z2156" s="7" t="e">
        <f>IF(VLOOKUP($A2156,'Concrete Beam Schedule'!$A$2:$Q$2902,Z$2,0)&lt;&gt;J2156,"Beam Revised","")</f>
        <v>#N/A</v>
      </c>
      <c r="AA2156" s="7" t="e">
        <f>IF(VLOOKUP($A2156,'Concrete Beam Schedule'!$A$2:$Q$2902,AA$2,0)&lt;&gt;K2156,"Beam Revised","")</f>
        <v>#N/A</v>
      </c>
      <c r="AB2156" s="7" t="e">
        <f>IF(VLOOKUP($A2156,'Concrete Beam Schedule'!$A$2:$Q$2902,AB$2,0)&lt;&gt;L2156,"Beam Revised","")</f>
        <v>#N/A</v>
      </c>
      <c r="AC2156" s="7" t="e">
        <f>IF(VLOOKUP($A2156,'Concrete Beam Schedule'!$A$2:$Q$2902,AC$2,0)&lt;&gt;M2156,"Beam Revised","")</f>
        <v>#N/A</v>
      </c>
      <c r="AD2156" s="7" t="e">
        <f>IF(VLOOKUP($A2156,'Concrete Beam Schedule'!$A$2:$Q$2902,AD$2,0)&lt;&gt;N2156,"Beam Revised","")</f>
        <v>#N/A</v>
      </c>
      <c r="AE2156" s="7" t="e">
        <f>IF(VLOOKUP($A2156,'Concrete Beam Schedule'!$A$2:$Q$2902,AE$2,0)&lt;&gt;O2156,"Beam Revised","")</f>
        <v>#N/A</v>
      </c>
    </row>
    <row r="2157" spans="17:31" ht="20.100000000000001" customHeight="1" x14ac:dyDescent="0.25">
      <c r="Q2157" s="7">
        <f t="shared" si="33"/>
        <v>0</v>
      </c>
      <c r="R2157" s="7" t="e">
        <f>IF(VLOOKUP($A2157,'Concrete Beam Schedule'!$A$2:$Q$2902,R$2,0)&lt;&gt;B2157,VLOOKUP($A2157,'Concrete Beam Schedule'!$A$2:$Q$2902,R$2,0),"")</f>
        <v>#N/A</v>
      </c>
      <c r="S2157" s="7" t="e">
        <f>IF(VLOOKUP($A2157,'Concrete Beam Schedule'!$A$2:$Q$2902,S$2,0)&lt;&gt;C2157,VLOOKUP($A2157,'Concrete Beam Schedule'!$A$2:$Q$2902,S$2,0),"")</f>
        <v>#N/A</v>
      </c>
      <c r="T2157" s="7" t="e">
        <f>IF(VLOOKUP($A2157,'Concrete Beam Schedule'!$A$2:$Q$2902,T$2,0)&lt;&gt;D2157,"Beam Revised","")</f>
        <v>#N/A</v>
      </c>
      <c r="U2157" s="7" t="e">
        <f>IF(VLOOKUP($A2157,'Concrete Beam Schedule'!$A$2:$Q$2902,U$2,0)&lt;&gt;E2157,"Beam Revised","")</f>
        <v>#N/A</v>
      </c>
      <c r="V2157" s="7" t="e">
        <f>IF(VLOOKUP($A2157,'Concrete Beam Schedule'!$A$2:$Q$2902,V$2,0)&lt;&gt;F2157,"Beam Revised","")</f>
        <v>#N/A</v>
      </c>
      <c r="W2157" s="7" t="e">
        <f>IF(VLOOKUP($A2157,'Concrete Beam Schedule'!$A$2:$Q$2902,W$2,0)&lt;&gt;G2157,"Beam Revised","")</f>
        <v>#N/A</v>
      </c>
      <c r="X2157" s="7" t="e">
        <f>IF(VLOOKUP($A2157,'Concrete Beam Schedule'!$A$2:$Q$2902,X$2,0)&lt;&gt;H2157,"Beam Revised","")</f>
        <v>#N/A</v>
      </c>
      <c r="Y2157" s="7" t="e">
        <f>IF(VLOOKUP($A2157,'Concrete Beam Schedule'!$A$2:$Q$2902,Y$2,0)&lt;&gt;I2157,"Beam Revised","")</f>
        <v>#N/A</v>
      </c>
      <c r="Z2157" s="7" t="e">
        <f>IF(VLOOKUP($A2157,'Concrete Beam Schedule'!$A$2:$Q$2902,Z$2,0)&lt;&gt;J2157,"Beam Revised","")</f>
        <v>#N/A</v>
      </c>
      <c r="AA2157" s="7" t="e">
        <f>IF(VLOOKUP($A2157,'Concrete Beam Schedule'!$A$2:$Q$2902,AA$2,0)&lt;&gt;K2157,"Beam Revised","")</f>
        <v>#N/A</v>
      </c>
      <c r="AB2157" s="7" t="e">
        <f>IF(VLOOKUP($A2157,'Concrete Beam Schedule'!$A$2:$Q$2902,AB$2,0)&lt;&gt;L2157,"Beam Revised","")</f>
        <v>#N/A</v>
      </c>
      <c r="AC2157" s="7" t="e">
        <f>IF(VLOOKUP($A2157,'Concrete Beam Schedule'!$A$2:$Q$2902,AC$2,0)&lt;&gt;M2157,"Beam Revised","")</f>
        <v>#N/A</v>
      </c>
      <c r="AD2157" s="7" t="e">
        <f>IF(VLOOKUP($A2157,'Concrete Beam Schedule'!$A$2:$Q$2902,AD$2,0)&lt;&gt;N2157,"Beam Revised","")</f>
        <v>#N/A</v>
      </c>
      <c r="AE2157" s="7" t="e">
        <f>IF(VLOOKUP($A2157,'Concrete Beam Schedule'!$A$2:$Q$2902,AE$2,0)&lt;&gt;O2157,"Beam Revised","")</f>
        <v>#N/A</v>
      </c>
    </row>
    <row r="2158" spans="17:31" ht="20.100000000000001" customHeight="1" x14ac:dyDescent="0.25">
      <c r="Q2158" s="7">
        <f t="shared" si="33"/>
        <v>0</v>
      </c>
      <c r="R2158" s="7" t="e">
        <f>IF(VLOOKUP($A2158,'Concrete Beam Schedule'!$A$2:$Q$2902,R$2,0)&lt;&gt;B2158,VLOOKUP($A2158,'Concrete Beam Schedule'!$A$2:$Q$2902,R$2,0),"")</f>
        <v>#N/A</v>
      </c>
      <c r="S2158" s="7" t="e">
        <f>IF(VLOOKUP($A2158,'Concrete Beam Schedule'!$A$2:$Q$2902,S$2,0)&lt;&gt;C2158,VLOOKUP($A2158,'Concrete Beam Schedule'!$A$2:$Q$2902,S$2,0),"")</f>
        <v>#N/A</v>
      </c>
      <c r="T2158" s="7" t="e">
        <f>IF(VLOOKUP($A2158,'Concrete Beam Schedule'!$A$2:$Q$2902,T$2,0)&lt;&gt;D2158,"Beam Revised","")</f>
        <v>#N/A</v>
      </c>
      <c r="U2158" s="7" t="e">
        <f>IF(VLOOKUP($A2158,'Concrete Beam Schedule'!$A$2:$Q$2902,U$2,0)&lt;&gt;E2158,"Beam Revised","")</f>
        <v>#N/A</v>
      </c>
      <c r="V2158" s="7" t="e">
        <f>IF(VLOOKUP($A2158,'Concrete Beam Schedule'!$A$2:$Q$2902,V$2,0)&lt;&gt;F2158,"Beam Revised","")</f>
        <v>#N/A</v>
      </c>
      <c r="W2158" s="7" t="e">
        <f>IF(VLOOKUP($A2158,'Concrete Beam Schedule'!$A$2:$Q$2902,W$2,0)&lt;&gt;G2158,"Beam Revised","")</f>
        <v>#N/A</v>
      </c>
      <c r="X2158" s="7" t="e">
        <f>IF(VLOOKUP($A2158,'Concrete Beam Schedule'!$A$2:$Q$2902,X$2,0)&lt;&gt;H2158,"Beam Revised","")</f>
        <v>#N/A</v>
      </c>
      <c r="Y2158" s="7" t="e">
        <f>IF(VLOOKUP($A2158,'Concrete Beam Schedule'!$A$2:$Q$2902,Y$2,0)&lt;&gt;I2158,"Beam Revised","")</f>
        <v>#N/A</v>
      </c>
      <c r="Z2158" s="7" t="e">
        <f>IF(VLOOKUP($A2158,'Concrete Beam Schedule'!$A$2:$Q$2902,Z$2,0)&lt;&gt;J2158,"Beam Revised","")</f>
        <v>#N/A</v>
      </c>
      <c r="AA2158" s="7" t="e">
        <f>IF(VLOOKUP($A2158,'Concrete Beam Schedule'!$A$2:$Q$2902,AA$2,0)&lt;&gt;K2158,"Beam Revised","")</f>
        <v>#N/A</v>
      </c>
      <c r="AB2158" s="7" t="e">
        <f>IF(VLOOKUP($A2158,'Concrete Beam Schedule'!$A$2:$Q$2902,AB$2,0)&lt;&gt;L2158,"Beam Revised","")</f>
        <v>#N/A</v>
      </c>
      <c r="AC2158" s="7" t="e">
        <f>IF(VLOOKUP($A2158,'Concrete Beam Schedule'!$A$2:$Q$2902,AC$2,0)&lt;&gt;M2158,"Beam Revised","")</f>
        <v>#N/A</v>
      </c>
      <c r="AD2158" s="7" t="e">
        <f>IF(VLOOKUP($A2158,'Concrete Beam Schedule'!$A$2:$Q$2902,AD$2,0)&lt;&gt;N2158,"Beam Revised","")</f>
        <v>#N/A</v>
      </c>
      <c r="AE2158" s="7" t="e">
        <f>IF(VLOOKUP($A2158,'Concrete Beam Schedule'!$A$2:$Q$2902,AE$2,0)&lt;&gt;O2158,"Beam Revised","")</f>
        <v>#N/A</v>
      </c>
    </row>
    <row r="2159" spans="17:31" ht="20.100000000000001" customHeight="1" x14ac:dyDescent="0.25">
      <c r="Q2159" s="7">
        <f t="shared" si="33"/>
        <v>0</v>
      </c>
      <c r="R2159" s="7" t="e">
        <f>IF(VLOOKUP($A2159,'Concrete Beam Schedule'!$A$2:$Q$2902,R$2,0)&lt;&gt;B2159,VLOOKUP($A2159,'Concrete Beam Schedule'!$A$2:$Q$2902,R$2,0),"")</f>
        <v>#N/A</v>
      </c>
      <c r="S2159" s="7" t="e">
        <f>IF(VLOOKUP($A2159,'Concrete Beam Schedule'!$A$2:$Q$2902,S$2,0)&lt;&gt;C2159,VLOOKUP($A2159,'Concrete Beam Schedule'!$A$2:$Q$2902,S$2,0),"")</f>
        <v>#N/A</v>
      </c>
      <c r="T2159" s="7" t="e">
        <f>IF(VLOOKUP($A2159,'Concrete Beam Schedule'!$A$2:$Q$2902,T$2,0)&lt;&gt;D2159,"Beam Revised","")</f>
        <v>#N/A</v>
      </c>
      <c r="U2159" s="7" t="e">
        <f>IF(VLOOKUP($A2159,'Concrete Beam Schedule'!$A$2:$Q$2902,U$2,0)&lt;&gt;E2159,"Beam Revised","")</f>
        <v>#N/A</v>
      </c>
      <c r="V2159" s="7" t="e">
        <f>IF(VLOOKUP($A2159,'Concrete Beam Schedule'!$A$2:$Q$2902,V$2,0)&lt;&gt;F2159,"Beam Revised","")</f>
        <v>#N/A</v>
      </c>
      <c r="W2159" s="7" t="e">
        <f>IF(VLOOKUP($A2159,'Concrete Beam Schedule'!$A$2:$Q$2902,W$2,0)&lt;&gt;G2159,"Beam Revised","")</f>
        <v>#N/A</v>
      </c>
      <c r="X2159" s="7" t="e">
        <f>IF(VLOOKUP($A2159,'Concrete Beam Schedule'!$A$2:$Q$2902,X$2,0)&lt;&gt;H2159,"Beam Revised","")</f>
        <v>#N/A</v>
      </c>
      <c r="Y2159" s="7" t="e">
        <f>IF(VLOOKUP($A2159,'Concrete Beam Schedule'!$A$2:$Q$2902,Y$2,0)&lt;&gt;I2159,"Beam Revised","")</f>
        <v>#N/A</v>
      </c>
      <c r="Z2159" s="7" t="e">
        <f>IF(VLOOKUP($A2159,'Concrete Beam Schedule'!$A$2:$Q$2902,Z$2,0)&lt;&gt;J2159,"Beam Revised","")</f>
        <v>#N/A</v>
      </c>
      <c r="AA2159" s="7" t="e">
        <f>IF(VLOOKUP($A2159,'Concrete Beam Schedule'!$A$2:$Q$2902,AA$2,0)&lt;&gt;K2159,"Beam Revised","")</f>
        <v>#N/A</v>
      </c>
      <c r="AB2159" s="7" t="e">
        <f>IF(VLOOKUP($A2159,'Concrete Beam Schedule'!$A$2:$Q$2902,AB$2,0)&lt;&gt;L2159,"Beam Revised","")</f>
        <v>#N/A</v>
      </c>
      <c r="AC2159" s="7" t="e">
        <f>IF(VLOOKUP($A2159,'Concrete Beam Schedule'!$A$2:$Q$2902,AC$2,0)&lt;&gt;M2159,"Beam Revised","")</f>
        <v>#N/A</v>
      </c>
      <c r="AD2159" s="7" t="e">
        <f>IF(VLOOKUP($A2159,'Concrete Beam Schedule'!$A$2:$Q$2902,AD$2,0)&lt;&gt;N2159,"Beam Revised","")</f>
        <v>#N/A</v>
      </c>
      <c r="AE2159" s="7" t="e">
        <f>IF(VLOOKUP($A2159,'Concrete Beam Schedule'!$A$2:$Q$2902,AE$2,0)&lt;&gt;O2159,"Beam Revised","")</f>
        <v>#N/A</v>
      </c>
    </row>
    <row r="2160" spans="17:31" ht="20.100000000000001" customHeight="1" x14ac:dyDescent="0.25">
      <c r="Q2160" s="7">
        <f t="shared" si="33"/>
        <v>0</v>
      </c>
      <c r="R2160" s="7" t="e">
        <f>IF(VLOOKUP($A2160,'Concrete Beam Schedule'!$A$2:$Q$2902,R$2,0)&lt;&gt;B2160,VLOOKUP($A2160,'Concrete Beam Schedule'!$A$2:$Q$2902,R$2,0),"")</f>
        <v>#N/A</v>
      </c>
      <c r="S2160" s="7" t="e">
        <f>IF(VLOOKUP($A2160,'Concrete Beam Schedule'!$A$2:$Q$2902,S$2,0)&lt;&gt;C2160,VLOOKUP($A2160,'Concrete Beam Schedule'!$A$2:$Q$2902,S$2,0),"")</f>
        <v>#N/A</v>
      </c>
      <c r="T2160" s="7" t="e">
        <f>IF(VLOOKUP($A2160,'Concrete Beam Schedule'!$A$2:$Q$2902,T$2,0)&lt;&gt;D2160,"Beam Revised","")</f>
        <v>#N/A</v>
      </c>
      <c r="U2160" s="7" t="e">
        <f>IF(VLOOKUP($A2160,'Concrete Beam Schedule'!$A$2:$Q$2902,U$2,0)&lt;&gt;E2160,"Beam Revised","")</f>
        <v>#N/A</v>
      </c>
      <c r="V2160" s="7" t="e">
        <f>IF(VLOOKUP($A2160,'Concrete Beam Schedule'!$A$2:$Q$2902,V$2,0)&lt;&gt;F2160,"Beam Revised","")</f>
        <v>#N/A</v>
      </c>
      <c r="W2160" s="7" t="e">
        <f>IF(VLOOKUP($A2160,'Concrete Beam Schedule'!$A$2:$Q$2902,W$2,0)&lt;&gt;G2160,"Beam Revised","")</f>
        <v>#N/A</v>
      </c>
      <c r="X2160" s="7" t="e">
        <f>IF(VLOOKUP($A2160,'Concrete Beam Schedule'!$A$2:$Q$2902,X$2,0)&lt;&gt;H2160,"Beam Revised","")</f>
        <v>#N/A</v>
      </c>
      <c r="Y2160" s="7" t="e">
        <f>IF(VLOOKUP($A2160,'Concrete Beam Schedule'!$A$2:$Q$2902,Y$2,0)&lt;&gt;I2160,"Beam Revised","")</f>
        <v>#N/A</v>
      </c>
      <c r="Z2160" s="7" t="e">
        <f>IF(VLOOKUP($A2160,'Concrete Beam Schedule'!$A$2:$Q$2902,Z$2,0)&lt;&gt;J2160,"Beam Revised","")</f>
        <v>#N/A</v>
      </c>
      <c r="AA2160" s="7" t="e">
        <f>IF(VLOOKUP($A2160,'Concrete Beam Schedule'!$A$2:$Q$2902,AA$2,0)&lt;&gt;K2160,"Beam Revised","")</f>
        <v>#N/A</v>
      </c>
      <c r="AB2160" s="7" t="e">
        <f>IF(VLOOKUP($A2160,'Concrete Beam Schedule'!$A$2:$Q$2902,AB$2,0)&lt;&gt;L2160,"Beam Revised","")</f>
        <v>#N/A</v>
      </c>
      <c r="AC2160" s="7" t="e">
        <f>IF(VLOOKUP($A2160,'Concrete Beam Schedule'!$A$2:$Q$2902,AC$2,0)&lt;&gt;M2160,"Beam Revised","")</f>
        <v>#N/A</v>
      </c>
      <c r="AD2160" s="7" t="e">
        <f>IF(VLOOKUP($A2160,'Concrete Beam Schedule'!$A$2:$Q$2902,AD$2,0)&lt;&gt;N2160,"Beam Revised","")</f>
        <v>#N/A</v>
      </c>
      <c r="AE2160" s="7" t="e">
        <f>IF(VLOOKUP($A2160,'Concrete Beam Schedule'!$A$2:$Q$2902,AE$2,0)&lt;&gt;O2160,"Beam Revised","")</f>
        <v>#N/A</v>
      </c>
    </row>
    <row r="2161" spans="17:31" ht="20.100000000000001" customHeight="1" x14ac:dyDescent="0.25">
      <c r="Q2161" s="7">
        <f t="shared" si="33"/>
        <v>0</v>
      </c>
      <c r="R2161" s="7" t="e">
        <f>IF(VLOOKUP($A2161,'Concrete Beam Schedule'!$A$2:$Q$2902,R$2,0)&lt;&gt;B2161,VLOOKUP($A2161,'Concrete Beam Schedule'!$A$2:$Q$2902,R$2,0),"")</f>
        <v>#N/A</v>
      </c>
      <c r="S2161" s="7" t="e">
        <f>IF(VLOOKUP($A2161,'Concrete Beam Schedule'!$A$2:$Q$2902,S$2,0)&lt;&gt;C2161,VLOOKUP($A2161,'Concrete Beam Schedule'!$A$2:$Q$2902,S$2,0),"")</f>
        <v>#N/A</v>
      </c>
      <c r="T2161" s="7" t="e">
        <f>IF(VLOOKUP($A2161,'Concrete Beam Schedule'!$A$2:$Q$2902,T$2,0)&lt;&gt;D2161,"Beam Revised","")</f>
        <v>#N/A</v>
      </c>
      <c r="U2161" s="7" t="e">
        <f>IF(VLOOKUP($A2161,'Concrete Beam Schedule'!$A$2:$Q$2902,U$2,0)&lt;&gt;E2161,"Beam Revised","")</f>
        <v>#N/A</v>
      </c>
      <c r="V2161" s="7" t="e">
        <f>IF(VLOOKUP($A2161,'Concrete Beam Schedule'!$A$2:$Q$2902,V$2,0)&lt;&gt;F2161,"Beam Revised","")</f>
        <v>#N/A</v>
      </c>
      <c r="W2161" s="7" t="e">
        <f>IF(VLOOKUP($A2161,'Concrete Beam Schedule'!$A$2:$Q$2902,W$2,0)&lt;&gt;G2161,"Beam Revised","")</f>
        <v>#N/A</v>
      </c>
      <c r="X2161" s="7" t="e">
        <f>IF(VLOOKUP($A2161,'Concrete Beam Schedule'!$A$2:$Q$2902,X$2,0)&lt;&gt;H2161,"Beam Revised","")</f>
        <v>#N/A</v>
      </c>
      <c r="Y2161" s="7" t="e">
        <f>IF(VLOOKUP($A2161,'Concrete Beam Schedule'!$A$2:$Q$2902,Y$2,0)&lt;&gt;I2161,"Beam Revised","")</f>
        <v>#N/A</v>
      </c>
      <c r="Z2161" s="7" t="e">
        <f>IF(VLOOKUP($A2161,'Concrete Beam Schedule'!$A$2:$Q$2902,Z$2,0)&lt;&gt;J2161,"Beam Revised","")</f>
        <v>#N/A</v>
      </c>
      <c r="AA2161" s="7" t="e">
        <f>IF(VLOOKUP($A2161,'Concrete Beam Schedule'!$A$2:$Q$2902,AA$2,0)&lt;&gt;K2161,"Beam Revised","")</f>
        <v>#N/A</v>
      </c>
      <c r="AB2161" s="7" t="e">
        <f>IF(VLOOKUP($A2161,'Concrete Beam Schedule'!$A$2:$Q$2902,AB$2,0)&lt;&gt;L2161,"Beam Revised","")</f>
        <v>#N/A</v>
      </c>
      <c r="AC2161" s="7" t="e">
        <f>IF(VLOOKUP($A2161,'Concrete Beam Schedule'!$A$2:$Q$2902,AC$2,0)&lt;&gt;M2161,"Beam Revised","")</f>
        <v>#N/A</v>
      </c>
      <c r="AD2161" s="7" t="e">
        <f>IF(VLOOKUP($A2161,'Concrete Beam Schedule'!$A$2:$Q$2902,AD$2,0)&lt;&gt;N2161,"Beam Revised","")</f>
        <v>#N/A</v>
      </c>
      <c r="AE2161" s="7" t="e">
        <f>IF(VLOOKUP($A2161,'Concrete Beam Schedule'!$A$2:$Q$2902,AE$2,0)&lt;&gt;O2161,"Beam Revised","")</f>
        <v>#N/A</v>
      </c>
    </row>
    <row r="2162" spans="17:31" ht="20.100000000000001" customHeight="1" x14ac:dyDescent="0.25">
      <c r="Q2162" s="7">
        <f t="shared" si="33"/>
        <v>0</v>
      </c>
      <c r="R2162" s="7" t="e">
        <f>IF(VLOOKUP($A2162,'Concrete Beam Schedule'!$A$2:$Q$2902,R$2,0)&lt;&gt;B2162,VLOOKUP($A2162,'Concrete Beam Schedule'!$A$2:$Q$2902,R$2,0),"")</f>
        <v>#N/A</v>
      </c>
      <c r="S2162" s="7" t="e">
        <f>IF(VLOOKUP($A2162,'Concrete Beam Schedule'!$A$2:$Q$2902,S$2,0)&lt;&gt;C2162,VLOOKUP($A2162,'Concrete Beam Schedule'!$A$2:$Q$2902,S$2,0),"")</f>
        <v>#N/A</v>
      </c>
      <c r="T2162" s="7" t="e">
        <f>IF(VLOOKUP($A2162,'Concrete Beam Schedule'!$A$2:$Q$2902,T$2,0)&lt;&gt;D2162,"Beam Revised","")</f>
        <v>#N/A</v>
      </c>
      <c r="U2162" s="7" t="e">
        <f>IF(VLOOKUP($A2162,'Concrete Beam Schedule'!$A$2:$Q$2902,U$2,0)&lt;&gt;E2162,"Beam Revised","")</f>
        <v>#N/A</v>
      </c>
      <c r="V2162" s="7" t="e">
        <f>IF(VLOOKUP($A2162,'Concrete Beam Schedule'!$A$2:$Q$2902,V$2,0)&lt;&gt;F2162,"Beam Revised","")</f>
        <v>#N/A</v>
      </c>
      <c r="W2162" s="7" t="e">
        <f>IF(VLOOKUP($A2162,'Concrete Beam Schedule'!$A$2:$Q$2902,W$2,0)&lt;&gt;G2162,"Beam Revised","")</f>
        <v>#N/A</v>
      </c>
      <c r="X2162" s="7" t="e">
        <f>IF(VLOOKUP($A2162,'Concrete Beam Schedule'!$A$2:$Q$2902,X$2,0)&lt;&gt;H2162,"Beam Revised","")</f>
        <v>#N/A</v>
      </c>
      <c r="Y2162" s="7" t="e">
        <f>IF(VLOOKUP($A2162,'Concrete Beam Schedule'!$A$2:$Q$2902,Y$2,0)&lt;&gt;I2162,"Beam Revised","")</f>
        <v>#N/A</v>
      </c>
      <c r="Z2162" s="7" t="e">
        <f>IF(VLOOKUP($A2162,'Concrete Beam Schedule'!$A$2:$Q$2902,Z$2,0)&lt;&gt;J2162,"Beam Revised","")</f>
        <v>#N/A</v>
      </c>
      <c r="AA2162" s="7" t="e">
        <f>IF(VLOOKUP($A2162,'Concrete Beam Schedule'!$A$2:$Q$2902,AA$2,0)&lt;&gt;K2162,"Beam Revised","")</f>
        <v>#N/A</v>
      </c>
      <c r="AB2162" s="7" t="e">
        <f>IF(VLOOKUP($A2162,'Concrete Beam Schedule'!$A$2:$Q$2902,AB$2,0)&lt;&gt;L2162,"Beam Revised","")</f>
        <v>#N/A</v>
      </c>
      <c r="AC2162" s="7" t="e">
        <f>IF(VLOOKUP($A2162,'Concrete Beam Schedule'!$A$2:$Q$2902,AC$2,0)&lt;&gt;M2162,"Beam Revised","")</f>
        <v>#N/A</v>
      </c>
      <c r="AD2162" s="7" t="e">
        <f>IF(VLOOKUP($A2162,'Concrete Beam Schedule'!$A$2:$Q$2902,AD$2,0)&lt;&gt;N2162,"Beam Revised","")</f>
        <v>#N/A</v>
      </c>
      <c r="AE2162" s="7" t="e">
        <f>IF(VLOOKUP($A2162,'Concrete Beam Schedule'!$A$2:$Q$2902,AE$2,0)&lt;&gt;O2162,"Beam Revised","")</f>
        <v>#N/A</v>
      </c>
    </row>
    <row r="2163" spans="17:31" ht="20.100000000000001" customHeight="1" x14ac:dyDescent="0.25">
      <c r="Q2163" s="7">
        <f t="shared" si="33"/>
        <v>0</v>
      </c>
      <c r="R2163" s="7" t="e">
        <f>IF(VLOOKUP($A2163,'Concrete Beam Schedule'!$A$2:$Q$2902,R$2,0)&lt;&gt;B2163,VLOOKUP($A2163,'Concrete Beam Schedule'!$A$2:$Q$2902,R$2,0),"")</f>
        <v>#N/A</v>
      </c>
      <c r="S2163" s="7" t="e">
        <f>IF(VLOOKUP($A2163,'Concrete Beam Schedule'!$A$2:$Q$2902,S$2,0)&lt;&gt;C2163,VLOOKUP($A2163,'Concrete Beam Schedule'!$A$2:$Q$2902,S$2,0),"")</f>
        <v>#N/A</v>
      </c>
      <c r="T2163" s="7" t="e">
        <f>IF(VLOOKUP($A2163,'Concrete Beam Schedule'!$A$2:$Q$2902,T$2,0)&lt;&gt;D2163,"Beam Revised","")</f>
        <v>#N/A</v>
      </c>
      <c r="U2163" s="7" t="e">
        <f>IF(VLOOKUP($A2163,'Concrete Beam Schedule'!$A$2:$Q$2902,U$2,0)&lt;&gt;E2163,"Beam Revised","")</f>
        <v>#N/A</v>
      </c>
      <c r="V2163" s="7" t="e">
        <f>IF(VLOOKUP($A2163,'Concrete Beam Schedule'!$A$2:$Q$2902,V$2,0)&lt;&gt;F2163,"Beam Revised","")</f>
        <v>#N/A</v>
      </c>
      <c r="W2163" s="7" t="e">
        <f>IF(VLOOKUP($A2163,'Concrete Beam Schedule'!$A$2:$Q$2902,W$2,0)&lt;&gt;G2163,"Beam Revised","")</f>
        <v>#N/A</v>
      </c>
      <c r="X2163" s="7" t="e">
        <f>IF(VLOOKUP($A2163,'Concrete Beam Schedule'!$A$2:$Q$2902,X$2,0)&lt;&gt;H2163,"Beam Revised","")</f>
        <v>#N/A</v>
      </c>
      <c r="Y2163" s="7" t="e">
        <f>IF(VLOOKUP($A2163,'Concrete Beam Schedule'!$A$2:$Q$2902,Y$2,0)&lt;&gt;I2163,"Beam Revised","")</f>
        <v>#N/A</v>
      </c>
      <c r="Z2163" s="7" t="e">
        <f>IF(VLOOKUP($A2163,'Concrete Beam Schedule'!$A$2:$Q$2902,Z$2,0)&lt;&gt;J2163,"Beam Revised","")</f>
        <v>#N/A</v>
      </c>
      <c r="AA2163" s="7" t="e">
        <f>IF(VLOOKUP($A2163,'Concrete Beam Schedule'!$A$2:$Q$2902,AA$2,0)&lt;&gt;K2163,"Beam Revised","")</f>
        <v>#N/A</v>
      </c>
      <c r="AB2163" s="7" t="e">
        <f>IF(VLOOKUP($A2163,'Concrete Beam Schedule'!$A$2:$Q$2902,AB$2,0)&lt;&gt;L2163,"Beam Revised","")</f>
        <v>#N/A</v>
      </c>
      <c r="AC2163" s="7" t="e">
        <f>IF(VLOOKUP($A2163,'Concrete Beam Schedule'!$A$2:$Q$2902,AC$2,0)&lt;&gt;M2163,"Beam Revised","")</f>
        <v>#N/A</v>
      </c>
      <c r="AD2163" s="7" t="e">
        <f>IF(VLOOKUP($A2163,'Concrete Beam Schedule'!$A$2:$Q$2902,AD$2,0)&lt;&gt;N2163,"Beam Revised","")</f>
        <v>#N/A</v>
      </c>
      <c r="AE2163" s="7" t="e">
        <f>IF(VLOOKUP($A2163,'Concrete Beam Schedule'!$A$2:$Q$2902,AE$2,0)&lt;&gt;O2163,"Beam Revised","")</f>
        <v>#N/A</v>
      </c>
    </row>
    <row r="2164" spans="17:31" ht="20.100000000000001" customHeight="1" x14ac:dyDescent="0.25">
      <c r="Q2164" s="7">
        <f t="shared" si="33"/>
        <v>0</v>
      </c>
      <c r="R2164" s="7" t="e">
        <f>IF(VLOOKUP($A2164,'Concrete Beam Schedule'!$A$2:$Q$2902,R$2,0)&lt;&gt;B2164,VLOOKUP($A2164,'Concrete Beam Schedule'!$A$2:$Q$2902,R$2,0),"")</f>
        <v>#N/A</v>
      </c>
      <c r="S2164" s="7" t="e">
        <f>IF(VLOOKUP($A2164,'Concrete Beam Schedule'!$A$2:$Q$2902,S$2,0)&lt;&gt;C2164,VLOOKUP($A2164,'Concrete Beam Schedule'!$A$2:$Q$2902,S$2,0),"")</f>
        <v>#N/A</v>
      </c>
      <c r="T2164" s="7" t="e">
        <f>IF(VLOOKUP($A2164,'Concrete Beam Schedule'!$A$2:$Q$2902,T$2,0)&lt;&gt;D2164,"Beam Revised","")</f>
        <v>#N/A</v>
      </c>
      <c r="U2164" s="7" t="e">
        <f>IF(VLOOKUP($A2164,'Concrete Beam Schedule'!$A$2:$Q$2902,U$2,0)&lt;&gt;E2164,"Beam Revised","")</f>
        <v>#N/A</v>
      </c>
      <c r="V2164" s="7" t="e">
        <f>IF(VLOOKUP($A2164,'Concrete Beam Schedule'!$A$2:$Q$2902,V$2,0)&lt;&gt;F2164,"Beam Revised","")</f>
        <v>#N/A</v>
      </c>
      <c r="W2164" s="7" t="e">
        <f>IF(VLOOKUP($A2164,'Concrete Beam Schedule'!$A$2:$Q$2902,W$2,0)&lt;&gt;G2164,"Beam Revised","")</f>
        <v>#N/A</v>
      </c>
      <c r="X2164" s="7" t="e">
        <f>IF(VLOOKUP($A2164,'Concrete Beam Schedule'!$A$2:$Q$2902,X$2,0)&lt;&gt;H2164,"Beam Revised","")</f>
        <v>#N/A</v>
      </c>
      <c r="Y2164" s="7" t="e">
        <f>IF(VLOOKUP($A2164,'Concrete Beam Schedule'!$A$2:$Q$2902,Y$2,0)&lt;&gt;I2164,"Beam Revised","")</f>
        <v>#N/A</v>
      </c>
      <c r="Z2164" s="7" t="e">
        <f>IF(VLOOKUP($A2164,'Concrete Beam Schedule'!$A$2:$Q$2902,Z$2,0)&lt;&gt;J2164,"Beam Revised","")</f>
        <v>#N/A</v>
      </c>
      <c r="AA2164" s="7" t="e">
        <f>IF(VLOOKUP($A2164,'Concrete Beam Schedule'!$A$2:$Q$2902,AA$2,0)&lt;&gt;K2164,"Beam Revised","")</f>
        <v>#N/A</v>
      </c>
      <c r="AB2164" s="7" t="e">
        <f>IF(VLOOKUP($A2164,'Concrete Beam Schedule'!$A$2:$Q$2902,AB$2,0)&lt;&gt;L2164,"Beam Revised","")</f>
        <v>#N/A</v>
      </c>
      <c r="AC2164" s="7" t="e">
        <f>IF(VLOOKUP($A2164,'Concrete Beam Schedule'!$A$2:$Q$2902,AC$2,0)&lt;&gt;M2164,"Beam Revised","")</f>
        <v>#N/A</v>
      </c>
      <c r="AD2164" s="7" t="e">
        <f>IF(VLOOKUP($A2164,'Concrete Beam Schedule'!$A$2:$Q$2902,AD$2,0)&lt;&gt;N2164,"Beam Revised","")</f>
        <v>#N/A</v>
      </c>
      <c r="AE2164" s="7" t="e">
        <f>IF(VLOOKUP($A2164,'Concrete Beam Schedule'!$A$2:$Q$2902,AE$2,0)&lt;&gt;O2164,"Beam Revised","")</f>
        <v>#N/A</v>
      </c>
    </row>
    <row r="2165" spans="17:31" ht="20.100000000000001" customHeight="1" x14ac:dyDescent="0.25">
      <c r="Q2165" s="7">
        <f t="shared" si="33"/>
        <v>0</v>
      </c>
      <c r="R2165" s="7" t="e">
        <f>IF(VLOOKUP($A2165,'Concrete Beam Schedule'!$A$2:$Q$2902,R$2,0)&lt;&gt;B2165,VLOOKUP($A2165,'Concrete Beam Schedule'!$A$2:$Q$2902,R$2,0),"")</f>
        <v>#N/A</v>
      </c>
      <c r="S2165" s="7" t="e">
        <f>IF(VLOOKUP($A2165,'Concrete Beam Schedule'!$A$2:$Q$2902,S$2,0)&lt;&gt;C2165,VLOOKUP($A2165,'Concrete Beam Schedule'!$A$2:$Q$2902,S$2,0),"")</f>
        <v>#N/A</v>
      </c>
      <c r="T2165" s="7" t="e">
        <f>IF(VLOOKUP($A2165,'Concrete Beam Schedule'!$A$2:$Q$2902,T$2,0)&lt;&gt;D2165,"Beam Revised","")</f>
        <v>#N/A</v>
      </c>
      <c r="U2165" s="7" t="e">
        <f>IF(VLOOKUP($A2165,'Concrete Beam Schedule'!$A$2:$Q$2902,U$2,0)&lt;&gt;E2165,"Beam Revised","")</f>
        <v>#N/A</v>
      </c>
      <c r="V2165" s="7" t="e">
        <f>IF(VLOOKUP($A2165,'Concrete Beam Schedule'!$A$2:$Q$2902,V$2,0)&lt;&gt;F2165,"Beam Revised","")</f>
        <v>#N/A</v>
      </c>
      <c r="W2165" s="7" t="e">
        <f>IF(VLOOKUP($A2165,'Concrete Beam Schedule'!$A$2:$Q$2902,W$2,0)&lt;&gt;G2165,"Beam Revised","")</f>
        <v>#N/A</v>
      </c>
      <c r="X2165" s="7" t="e">
        <f>IF(VLOOKUP($A2165,'Concrete Beam Schedule'!$A$2:$Q$2902,X$2,0)&lt;&gt;H2165,"Beam Revised","")</f>
        <v>#N/A</v>
      </c>
      <c r="Y2165" s="7" t="e">
        <f>IF(VLOOKUP($A2165,'Concrete Beam Schedule'!$A$2:$Q$2902,Y$2,0)&lt;&gt;I2165,"Beam Revised","")</f>
        <v>#N/A</v>
      </c>
      <c r="Z2165" s="7" t="e">
        <f>IF(VLOOKUP($A2165,'Concrete Beam Schedule'!$A$2:$Q$2902,Z$2,0)&lt;&gt;J2165,"Beam Revised","")</f>
        <v>#N/A</v>
      </c>
      <c r="AA2165" s="7" t="e">
        <f>IF(VLOOKUP($A2165,'Concrete Beam Schedule'!$A$2:$Q$2902,AA$2,0)&lt;&gt;K2165,"Beam Revised","")</f>
        <v>#N/A</v>
      </c>
      <c r="AB2165" s="7" t="e">
        <f>IF(VLOOKUP($A2165,'Concrete Beam Schedule'!$A$2:$Q$2902,AB$2,0)&lt;&gt;L2165,"Beam Revised","")</f>
        <v>#N/A</v>
      </c>
      <c r="AC2165" s="7" t="e">
        <f>IF(VLOOKUP($A2165,'Concrete Beam Schedule'!$A$2:$Q$2902,AC$2,0)&lt;&gt;M2165,"Beam Revised","")</f>
        <v>#N/A</v>
      </c>
      <c r="AD2165" s="7" t="e">
        <f>IF(VLOOKUP($A2165,'Concrete Beam Schedule'!$A$2:$Q$2902,AD$2,0)&lt;&gt;N2165,"Beam Revised","")</f>
        <v>#N/A</v>
      </c>
      <c r="AE2165" s="7" t="e">
        <f>IF(VLOOKUP($A2165,'Concrete Beam Schedule'!$A$2:$Q$2902,AE$2,0)&lt;&gt;O2165,"Beam Revised","")</f>
        <v>#N/A</v>
      </c>
    </row>
    <row r="2166" spans="17:31" ht="20.100000000000001" customHeight="1" x14ac:dyDescent="0.25">
      <c r="Q2166" s="7">
        <f t="shared" si="33"/>
        <v>0</v>
      </c>
      <c r="R2166" s="7" t="e">
        <f>IF(VLOOKUP($A2166,'Concrete Beam Schedule'!$A$2:$Q$2902,R$2,0)&lt;&gt;B2166,VLOOKUP($A2166,'Concrete Beam Schedule'!$A$2:$Q$2902,R$2,0),"")</f>
        <v>#N/A</v>
      </c>
      <c r="S2166" s="7" t="e">
        <f>IF(VLOOKUP($A2166,'Concrete Beam Schedule'!$A$2:$Q$2902,S$2,0)&lt;&gt;C2166,VLOOKUP($A2166,'Concrete Beam Schedule'!$A$2:$Q$2902,S$2,0),"")</f>
        <v>#N/A</v>
      </c>
      <c r="T2166" s="7" t="e">
        <f>IF(VLOOKUP($A2166,'Concrete Beam Schedule'!$A$2:$Q$2902,T$2,0)&lt;&gt;D2166,"Beam Revised","")</f>
        <v>#N/A</v>
      </c>
      <c r="U2166" s="7" t="e">
        <f>IF(VLOOKUP($A2166,'Concrete Beam Schedule'!$A$2:$Q$2902,U$2,0)&lt;&gt;E2166,"Beam Revised","")</f>
        <v>#N/A</v>
      </c>
      <c r="V2166" s="7" t="e">
        <f>IF(VLOOKUP($A2166,'Concrete Beam Schedule'!$A$2:$Q$2902,V$2,0)&lt;&gt;F2166,"Beam Revised","")</f>
        <v>#N/A</v>
      </c>
      <c r="W2166" s="7" t="e">
        <f>IF(VLOOKUP($A2166,'Concrete Beam Schedule'!$A$2:$Q$2902,W$2,0)&lt;&gt;G2166,"Beam Revised","")</f>
        <v>#N/A</v>
      </c>
      <c r="X2166" s="7" t="e">
        <f>IF(VLOOKUP($A2166,'Concrete Beam Schedule'!$A$2:$Q$2902,X$2,0)&lt;&gt;H2166,"Beam Revised","")</f>
        <v>#N/A</v>
      </c>
      <c r="Y2166" s="7" t="e">
        <f>IF(VLOOKUP($A2166,'Concrete Beam Schedule'!$A$2:$Q$2902,Y$2,0)&lt;&gt;I2166,"Beam Revised","")</f>
        <v>#N/A</v>
      </c>
      <c r="Z2166" s="7" t="e">
        <f>IF(VLOOKUP($A2166,'Concrete Beam Schedule'!$A$2:$Q$2902,Z$2,0)&lt;&gt;J2166,"Beam Revised","")</f>
        <v>#N/A</v>
      </c>
      <c r="AA2166" s="7" t="e">
        <f>IF(VLOOKUP($A2166,'Concrete Beam Schedule'!$A$2:$Q$2902,AA$2,0)&lt;&gt;K2166,"Beam Revised","")</f>
        <v>#N/A</v>
      </c>
      <c r="AB2166" s="7" t="e">
        <f>IF(VLOOKUP($A2166,'Concrete Beam Schedule'!$A$2:$Q$2902,AB$2,0)&lt;&gt;L2166,"Beam Revised","")</f>
        <v>#N/A</v>
      </c>
      <c r="AC2166" s="7" t="e">
        <f>IF(VLOOKUP($A2166,'Concrete Beam Schedule'!$A$2:$Q$2902,AC$2,0)&lt;&gt;M2166,"Beam Revised","")</f>
        <v>#N/A</v>
      </c>
      <c r="AD2166" s="7" t="e">
        <f>IF(VLOOKUP($A2166,'Concrete Beam Schedule'!$A$2:$Q$2902,AD$2,0)&lt;&gt;N2166,"Beam Revised","")</f>
        <v>#N/A</v>
      </c>
      <c r="AE2166" s="7" t="e">
        <f>IF(VLOOKUP($A2166,'Concrete Beam Schedule'!$A$2:$Q$2902,AE$2,0)&lt;&gt;O2166,"Beam Revised","")</f>
        <v>#N/A</v>
      </c>
    </row>
    <row r="2167" spans="17:31" ht="20.100000000000001" customHeight="1" x14ac:dyDescent="0.25">
      <c r="Q2167" s="7">
        <f t="shared" si="33"/>
        <v>0</v>
      </c>
      <c r="R2167" s="7" t="e">
        <f>IF(VLOOKUP($A2167,'Concrete Beam Schedule'!$A$2:$Q$2902,R$2,0)&lt;&gt;B2167,VLOOKUP($A2167,'Concrete Beam Schedule'!$A$2:$Q$2902,R$2,0),"")</f>
        <v>#N/A</v>
      </c>
      <c r="S2167" s="7" t="e">
        <f>IF(VLOOKUP($A2167,'Concrete Beam Schedule'!$A$2:$Q$2902,S$2,0)&lt;&gt;C2167,VLOOKUP($A2167,'Concrete Beam Schedule'!$A$2:$Q$2902,S$2,0),"")</f>
        <v>#N/A</v>
      </c>
      <c r="T2167" s="7" t="e">
        <f>IF(VLOOKUP($A2167,'Concrete Beam Schedule'!$A$2:$Q$2902,T$2,0)&lt;&gt;D2167,"Beam Revised","")</f>
        <v>#N/A</v>
      </c>
      <c r="U2167" s="7" t="e">
        <f>IF(VLOOKUP($A2167,'Concrete Beam Schedule'!$A$2:$Q$2902,U$2,0)&lt;&gt;E2167,"Beam Revised","")</f>
        <v>#N/A</v>
      </c>
      <c r="V2167" s="7" t="e">
        <f>IF(VLOOKUP($A2167,'Concrete Beam Schedule'!$A$2:$Q$2902,V$2,0)&lt;&gt;F2167,"Beam Revised","")</f>
        <v>#N/A</v>
      </c>
      <c r="W2167" s="7" t="e">
        <f>IF(VLOOKUP($A2167,'Concrete Beam Schedule'!$A$2:$Q$2902,W$2,0)&lt;&gt;G2167,"Beam Revised","")</f>
        <v>#N/A</v>
      </c>
      <c r="X2167" s="7" t="e">
        <f>IF(VLOOKUP($A2167,'Concrete Beam Schedule'!$A$2:$Q$2902,X$2,0)&lt;&gt;H2167,"Beam Revised","")</f>
        <v>#N/A</v>
      </c>
      <c r="Y2167" s="7" t="e">
        <f>IF(VLOOKUP($A2167,'Concrete Beam Schedule'!$A$2:$Q$2902,Y$2,0)&lt;&gt;I2167,"Beam Revised","")</f>
        <v>#N/A</v>
      </c>
      <c r="Z2167" s="7" t="e">
        <f>IF(VLOOKUP($A2167,'Concrete Beam Schedule'!$A$2:$Q$2902,Z$2,0)&lt;&gt;J2167,"Beam Revised","")</f>
        <v>#N/A</v>
      </c>
      <c r="AA2167" s="7" t="e">
        <f>IF(VLOOKUP($A2167,'Concrete Beam Schedule'!$A$2:$Q$2902,AA$2,0)&lt;&gt;K2167,"Beam Revised","")</f>
        <v>#N/A</v>
      </c>
      <c r="AB2167" s="7" t="e">
        <f>IF(VLOOKUP($A2167,'Concrete Beam Schedule'!$A$2:$Q$2902,AB$2,0)&lt;&gt;L2167,"Beam Revised","")</f>
        <v>#N/A</v>
      </c>
      <c r="AC2167" s="7" t="e">
        <f>IF(VLOOKUP($A2167,'Concrete Beam Schedule'!$A$2:$Q$2902,AC$2,0)&lt;&gt;M2167,"Beam Revised","")</f>
        <v>#N/A</v>
      </c>
      <c r="AD2167" s="7" t="e">
        <f>IF(VLOOKUP($A2167,'Concrete Beam Schedule'!$A$2:$Q$2902,AD$2,0)&lt;&gt;N2167,"Beam Revised","")</f>
        <v>#N/A</v>
      </c>
      <c r="AE2167" s="7" t="e">
        <f>IF(VLOOKUP($A2167,'Concrete Beam Schedule'!$A$2:$Q$2902,AE$2,0)&lt;&gt;O2167,"Beam Revised","")</f>
        <v>#N/A</v>
      </c>
    </row>
    <row r="2168" spans="17:31" ht="20.100000000000001" customHeight="1" x14ac:dyDescent="0.25">
      <c r="Q2168" s="7">
        <f t="shared" si="33"/>
        <v>0</v>
      </c>
      <c r="R2168" s="7" t="e">
        <f>IF(VLOOKUP($A2168,'Concrete Beam Schedule'!$A$2:$Q$2902,R$2,0)&lt;&gt;B2168,VLOOKUP($A2168,'Concrete Beam Schedule'!$A$2:$Q$2902,R$2,0),"")</f>
        <v>#N/A</v>
      </c>
      <c r="S2168" s="7" t="e">
        <f>IF(VLOOKUP($A2168,'Concrete Beam Schedule'!$A$2:$Q$2902,S$2,0)&lt;&gt;C2168,VLOOKUP($A2168,'Concrete Beam Schedule'!$A$2:$Q$2902,S$2,0),"")</f>
        <v>#N/A</v>
      </c>
      <c r="T2168" s="7" t="e">
        <f>IF(VLOOKUP($A2168,'Concrete Beam Schedule'!$A$2:$Q$2902,T$2,0)&lt;&gt;D2168,"Beam Revised","")</f>
        <v>#N/A</v>
      </c>
      <c r="U2168" s="7" t="e">
        <f>IF(VLOOKUP($A2168,'Concrete Beam Schedule'!$A$2:$Q$2902,U$2,0)&lt;&gt;E2168,"Beam Revised","")</f>
        <v>#N/A</v>
      </c>
      <c r="V2168" s="7" t="e">
        <f>IF(VLOOKUP($A2168,'Concrete Beam Schedule'!$A$2:$Q$2902,V$2,0)&lt;&gt;F2168,"Beam Revised","")</f>
        <v>#N/A</v>
      </c>
      <c r="W2168" s="7" t="e">
        <f>IF(VLOOKUP($A2168,'Concrete Beam Schedule'!$A$2:$Q$2902,W$2,0)&lt;&gt;G2168,"Beam Revised","")</f>
        <v>#N/A</v>
      </c>
      <c r="X2168" s="7" t="e">
        <f>IF(VLOOKUP($A2168,'Concrete Beam Schedule'!$A$2:$Q$2902,X$2,0)&lt;&gt;H2168,"Beam Revised","")</f>
        <v>#N/A</v>
      </c>
      <c r="Y2168" s="7" t="e">
        <f>IF(VLOOKUP($A2168,'Concrete Beam Schedule'!$A$2:$Q$2902,Y$2,0)&lt;&gt;I2168,"Beam Revised","")</f>
        <v>#N/A</v>
      </c>
      <c r="Z2168" s="7" t="e">
        <f>IF(VLOOKUP($A2168,'Concrete Beam Schedule'!$A$2:$Q$2902,Z$2,0)&lt;&gt;J2168,"Beam Revised","")</f>
        <v>#N/A</v>
      </c>
      <c r="AA2168" s="7" t="e">
        <f>IF(VLOOKUP($A2168,'Concrete Beam Schedule'!$A$2:$Q$2902,AA$2,0)&lt;&gt;K2168,"Beam Revised","")</f>
        <v>#N/A</v>
      </c>
      <c r="AB2168" s="7" t="e">
        <f>IF(VLOOKUP($A2168,'Concrete Beam Schedule'!$A$2:$Q$2902,AB$2,0)&lt;&gt;L2168,"Beam Revised","")</f>
        <v>#N/A</v>
      </c>
      <c r="AC2168" s="7" t="e">
        <f>IF(VLOOKUP($A2168,'Concrete Beam Schedule'!$A$2:$Q$2902,AC$2,0)&lt;&gt;M2168,"Beam Revised","")</f>
        <v>#N/A</v>
      </c>
      <c r="AD2168" s="7" t="e">
        <f>IF(VLOOKUP($A2168,'Concrete Beam Schedule'!$A$2:$Q$2902,AD$2,0)&lt;&gt;N2168,"Beam Revised","")</f>
        <v>#N/A</v>
      </c>
      <c r="AE2168" s="7" t="e">
        <f>IF(VLOOKUP($A2168,'Concrete Beam Schedule'!$A$2:$Q$2902,AE$2,0)&lt;&gt;O2168,"Beam Revised","")</f>
        <v>#N/A</v>
      </c>
    </row>
    <row r="2169" spans="17:31" ht="20.100000000000001" customHeight="1" x14ac:dyDescent="0.25">
      <c r="Q2169" s="7">
        <f t="shared" si="33"/>
        <v>0</v>
      </c>
      <c r="R2169" s="7" t="e">
        <f>IF(VLOOKUP($A2169,'Concrete Beam Schedule'!$A$2:$Q$2902,R$2,0)&lt;&gt;B2169,VLOOKUP($A2169,'Concrete Beam Schedule'!$A$2:$Q$2902,R$2,0),"")</f>
        <v>#N/A</v>
      </c>
      <c r="S2169" s="7" t="e">
        <f>IF(VLOOKUP($A2169,'Concrete Beam Schedule'!$A$2:$Q$2902,S$2,0)&lt;&gt;C2169,VLOOKUP($A2169,'Concrete Beam Schedule'!$A$2:$Q$2902,S$2,0),"")</f>
        <v>#N/A</v>
      </c>
      <c r="T2169" s="7" t="e">
        <f>IF(VLOOKUP($A2169,'Concrete Beam Schedule'!$A$2:$Q$2902,T$2,0)&lt;&gt;D2169,"Beam Revised","")</f>
        <v>#N/A</v>
      </c>
      <c r="U2169" s="7" t="e">
        <f>IF(VLOOKUP($A2169,'Concrete Beam Schedule'!$A$2:$Q$2902,U$2,0)&lt;&gt;E2169,"Beam Revised","")</f>
        <v>#N/A</v>
      </c>
      <c r="V2169" s="7" t="e">
        <f>IF(VLOOKUP($A2169,'Concrete Beam Schedule'!$A$2:$Q$2902,V$2,0)&lt;&gt;F2169,"Beam Revised","")</f>
        <v>#N/A</v>
      </c>
      <c r="W2169" s="7" t="e">
        <f>IF(VLOOKUP($A2169,'Concrete Beam Schedule'!$A$2:$Q$2902,W$2,0)&lt;&gt;G2169,"Beam Revised","")</f>
        <v>#N/A</v>
      </c>
      <c r="X2169" s="7" t="e">
        <f>IF(VLOOKUP($A2169,'Concrete Beam Schedule'!$A$2:$Q$2902,X$2,0)&lt;&gt;H2169,"Beam Revised","")</f>
        <v>#N/A</v>
      </c>
      <c r="Y2169" s="7" t="e">
        <f>IF(VLOOKUP($A2169,'Concrete Beam Schedule'!$A$2:$Q$2902,Y$2,0)&lt;&gt;I2169,"Beam Revised","")</f>
        <v>#N/A</v>
      </c>
      <c r="Z2169" s="7" t="e">
        <f>IF(VLOOKUP($A2169,'Concrete Beam Schedule'!$A$2:$Q$2902,Z$2,0)&lt;&gt;J2169,"Beam Revised","")</f>
        <v>#N/A</v>
      </c>
      <c r="AA2169" s="7" t="e">
        <f>IF(VLOOKUP($A2169,'Concrete Beam Schedule'!$A$2:$Q$2902,AA$2,0)&lt;&gt;K2169,"Beam Revised","")</f>
        <v>#N/A</v>
      </c>
      <c r="AB2169" s="7" t="e">
        <f>IF(VLOOKUP($A2169,'Concrete Beam Schedule'!$A$2:$Q$2902,AB$2,0)&lt;&gt;L2169,"Beam Revised","")</f>
        <v>#N/A</v>
      </c>
      <c r="AC2169" s="7" t="e">
        <f>IF(VLOOKUP($A2169,'Concrete Beam Schedule'!$A$2:$Q$2902,AC$2,0)&lt;&gt;M2169,"Beam Revised","")</f>
        <v>#N/A</v>
      </c>
      <c r="AD2169" s="7" t="e">
        <f>IF(VLOOKUP($A2169,'Concrete Beam Schedule'!$A$2:$Q$2902,AD$2,0)&lt;&gt;N2169,"Beam Revised","")</f>
        <v>#N/A</v>
      </c>
      <c r="AE2169" s="7" t="e">
        <f>IF(VLOOKUP($A2169,'Concrete Beam Schedule'!$A$2:$Q$2902,AE$2,0)&lt;&gt;O2169,"Beam Revised","")</f>
        <v>#N/A</v>
      </c>
    </row>
    <row r="2170" spans="17:31" ht="20.100000000000001" customHeight="1" x14ac:dyDescent="0.25">
      <c r="Q2170" s="7">
        <f t="shared" si="33"/>
        <v>0</v>
      </c>
      <c r="R2170" s="7" t="e">
        <f>IF(VLOOKUP($A2170,'Concrete Beam Schedule'!$A$2:$Q$2902,R$2,0)&lt;&gt;B2170,VLOOKUP($A2170,'Concrete Beam Schedule'!$A$2:$Q$2902,R$2,0),"")</f>
        <v>#N/A</v>
      </c>
      <c r="S2170" s="7" t="e">
        <f>IF(VLOOKUP($A2170,'Concrete Beam Schedule'!$A$2:$Q$2902,S$2,0)&lt;&gt;C2170,VLOOKUP($A2170,'Concrete Beam Schedule'!$A$2:$Q$2902,S$2,0),"")</f>
        <v>#N/A</v>
      </c>
      <c r="T2170" s="7" t="e">
        <f>IF(VLOOKUP($A2170,'Concrete Beam Schedule'!$A$2:$Q$2902,T$2,0)&lt;&gt;D2170,"Beam Revised","")</f>
        <v>#N/A</v>
      </c>
      <c r="U2170" s="7" t="e">
        <f>IF(VLOOKUP($A2170,'Concrete Beam Schedule'!$A$2:$Q$2902,U$2,0)&lt;&gt;E2170,"Beam Revised","")</f>
        <v>#N/A</v>
      </c>
      <c r="V2170" s="7" t="e">
        <f>IF(VLOOKUP($A2170,'Concrete Beam Schedule'!$A$2:$Q$2902,V$2,0)&lt;&gt;F2170,"Beam Revised","")</f>
        <v>#N/A</v>
      </c>
      <c r="W2170" s="7" t="e">
        <f>IF(VLOOKUP($A2170,'Concrete Beam Schedule'!$A$2:$Q$2902,W$2,0)&lt;&gt;G2170,"Beam Revised","")</f>
        <v>#N/A</v>
      </c>
      <c r="X2170" s="7" t="e">
        <f>IF(VLOOKUP($A2170,'Concrete Beam Schedule'!$A$2:$Q$2902,X$2,0)&lt;&gt;H2170,"Beam Revised","")</f>
        <v>#N/A</v>
      </c>
      <c r="Y2170" s="7" t="e">
        <f>IF(VLOOKUP($A2170,'Concrete Beam Schedule'!$A$2:$Q$2902,Y$2,0)&lt;&gt;I2170,"Beam Revised","")</f>
        <v>#N/A</v>
      </c>
      <c r="Z2170" s="7" t="e">
        <f>IF(VLOOKUP($A2170,'Concrete Beam Schedule'!$A$2:$Q$2902,Z$2,0)&lt;&gt;J2170,"Beam Revised","")</f>
        <v>#N/A</v>
      </c>
      <c r="AA2170" s="7" t="e">
        <f>IF(VLOOKUP($A2170,'Concrete Beam Schedule'!$A$2:$Q$2902,AA$2,0)&lt;&gt;K2170,"Beam Revised","")</f>
        <v>#N/A</v>
      </c>
      <c r="AB2170" s="7" t="e">
        <f>IF(VLOOKUP($A2170,'Concrete Beam Schedule'!$A$2:$Q$2902,AB$2,0)&lt;&gt;L2170,"Beam Revised","")</f>
        <v>#N/A</v>
      </c>
      <c r="AC2170" s="7" t="e">
        <f>IF(VLOOKUP($A2170,'Concrete Beam Schedule'!$A$2:$Q$2902,AC$2,0)&lt;&gt;M2170,"Beam Revised","")</f>
        <v>#N/A</v>
      </c>
      <c r="AD2170" s="7" t="e">
        <f>IF(VLOOKUP($A2170,'Concrete Beam Schedule'!$A$2:$Q$2902,AD$2,0)&lt;&gt;N2170,"Beam Revised","")</f>
        <v>#N/A</v>
      </c>
      <c r="AE2170" s="7" t="e">
        <f>IF(VLOOKUP($A2170,'Concrete Beam Schedule'!$A$2:$Q$2902,AE$2,0)&lt;&gt;O2170,"Beam Revised","")</f>
        <v>#N/A</v>
      </c>
    </row>
    <row r="2171" spans="17:31" ht="20.100000000000001" customHeight="1" x14ac:dyDescent="0.25">
      <c r="Q2171" s="7">
        <f t="shared" si="33"/>
        <v>0</v>
      </c>
      <c r="R2171" s="7" t="e">
        <f>IF(VLOOKUP($A2171,'Concrete Beam Schedule'!$A$2:$Q$2902,R$2,0)&lt;&gt;B2171,VLOOKUP($A2171,'Concrete Beam Schedule'!$A$2:$Q$2902,R$2,0),"")</f>
        <v>#N/A</v>
      </c>
      <c r="S2171" s="7" t="e">
        <f>IF(VLOOKUP($A2171,'Concrete Beam Schedule'!$A$2:$Q$2902,S$2,0)&lt;&gt;C2171,VLOOKUP($A2171,'Concrete Beam Schedule'!$A$2:$Q$2902,S$2,0),"")</f>
        <v>#N/A</v>
      </c>
      <c r="T2171" s="7" t="e">
        <f>IF(VLOOKUP($A2171,'Concrete Beam Schedule'!$A$2:$Q$2902,T$2,0)&lt;&gt;D2171,"Beam Revised","")</f>
        <v>#N/A</v>
      </c>
      <c r="U2171" s="7" t="e">
        <f>IF(VLOOKUP($A2171,'Concrete Beam Schedule'!$A$2:$Q$2902,U$2,0)&lt;&gt;E2171,"Beam Revised","")</f>
        <v>#N/A</v>
      </c>
      <c r="V2171" s="7" t="e">
        <f>IF(VLOOKUP($A2171,'Concrete Beam Schedule'!$A$2:$Q$2902,V$2,0)&lt;&gt;F2171,"Beam Revised","")</f>
        <v>#N/A</v>
      </c>
      <c r="W2171" s="7" t="e">
        <f>IF(VLOOKUP($A2171,'Concrete Beam Schedule'!$A$2:$Q$2902,W$2,0)&lt;&gt;G2171,"Beam Revised","")</f>
        <v>#N/A</v>
      </c>
      <c r="X2171" s="7" t="e">
        <f>IF(VLOOKUP($A2171,'Concrete Beam Schedule'!$A$2:$Q$2902,X$2,0)&lt;&gt;H2171,"Beam Revised","")</f>
        <v>#N/A</v>
      </c>
      <c r="Y2171" s="7" t="e">
        <f>IF(VLOOKUP($A2171,'Concrete Beam Schedule'!$A$2:$Q$2902,Y$2,0)&lt;&gt;I2171,"Beam Revised","")</f>
        <v>#N/A</v>
      </c>
      <c r="Z2171" s="7" t="e">
        <f>IF(VLOOKUP($A2171,'Concrete Beam Schedule'!$A$2:$Q$2902,Z$2,0)&lt;&gt;J2171,"Beam Revised","")</f>
        <v>#N/A</v>
      </c>
      <c r="AA2171" s="7" t="e">
        <f>IF(VLOOKUP($A2171,'Concrete Beam Schedule'!$A$2:$Q$2902,AA$2,0)&lt;&gt;K2171,"Beam Revised","")</f>
        <v>#N/A</v>
      </c>
      <c r="AB2171" s="7" t="e">
        <f>IF(VLOOKUP($A2171,'Concrete Beam Schedule'!$A$2:$Q$2902,AB$2,0)&lt;&gt;L2171,"Beam Revised","")</f>
        <v>#N/A</v>
      </c>
      <c r="AC2171" s="7" t="e">
        <f>IF(VLOOKUP($A2171,'Concrete Beam Schedule'!$A$2:$Q$2902,AC$2,0)&lt;&gt;M2171,"Beam Revised","")</f>
        <v>#N/A</v>
      </c>
      <c r="AD2171" s="7" t="e">
        <f>IF(VLOOKUP($A2171,'Concrete Beam Schedule'!$A$2:$Q$2902,AD$2,0)&lt;&gt;N2171,"Beam Revised","")</f>
        <v>#N/A</v>
      </c>
      <c r="AE2171" s="7" t="e">
        <f>IF(VLOOKUP($A2171,'Concrete Beam Schedule'!$A$2:$Q$2902,AE$2,0)&lt;&gt;O2171,"Beam Revised","")</f>
        <v>#N/A</v>
      </c>
    </row>
    <row r="2172" spans="17:31" ht="20.100000000000001" customHeight="1" x14ac:dyDescent="0.25">
      <c r="Q2172" s="7">
        <f t="shared" si="33"/>
        <v>0</v>
      </c>
      <c r="R2172" s="7" t="e">
        <f>IF(VLOOKUP($A2172,'Concrete Beam Schedule'!$A$2:$Q$2902,R$2,0)&lt;&gt;B2172,VLOOKUP($A2172,'Concrete Beam Schedule'!$A$2:$Q$2902,R$2,0),"")</f>
        <v>#N/A</v>
      </c>
      <c r="S2172" s="7" t="e">
        <f>IF(VLOOKUP($A2172,'Concrete Beam Schedule'!$A$2:$Q$2902,S$2,0)&lt;&gt;C2172,VLOOKUP($A2172,'Concrete Beam Schedule'!$A$2:$Q$2902,S$2,0),"")</f>
        <v>#N/A</v>
      </c>
      <c r="T2172" s="7" t="e">
        <f>IF(VLOOKUP($A2172,'Concrete Beam Schedule'!$A$2:$Q$2902,T$2,0)&lt;&gt;D2172,"Beam Revised","")</f>
        <v>#N/A</v>
      </c>
      <c r="U2172" s="7" t="e">
        <f>IF(VLOOKUP($A2172,'Concrete Beam Schedule'!$A$2:$Q$2902,U$2,0)&lt;&gt;E2172,"Beam Revised","")</f>
        <v>#N/A</v>
      </c>
      <c r="V2172" s="7" t="e">
        <f>IF(VLOOKUP($A2172,'Concrete Beam Schedule'!$A$2:$Q$2902,V$2,0)&lt;&gt;F2172,"Beam Revised","")</f>
        <v>#N/A</v>
      </c>
      <c r="W2172" s="7" t="e">
        <f>IF(VLOOKUP($A2172,'Concrete Beam Schedule'!$A$2:$Q$2902,W$2,0)&lt;&gt;G2172,"Beam Revised","")</f>
        <v>#N/A</v>
      </c>
      <c r="X2172" s="7" t="e">
        <f>IF(VLOOKUP($A2172,'Concrete Beam Schedule'!$A$2:$Q$2902,X$2,0)&lt;&gt;H2172,"Beam Revised","")</f>
        <v>#N/A</v>
      </c>
      <c r="Y2172" s="7" t="e">
        <f>IF(VLOOKUP($A2172,'Concrete Beam Schedule'!$A$2:$Q$2902,Y$2,0)&lt;&gt;I2172,"Beam Revised","")</f>
        <v>#N/A</v>
      </c>
      <c r="Z2172" s="7" t="e">
        <f>IF(VLOOKUP($A2172,'Concrete Beam Schedule'!$A$2:$Q$2902,Z$2,0)&lt;&gt;J2172,"Beam Revised","")</f>
        <v>#N/A</v>
      </c>
      <c r="AA2172" s="7" t="e">
        <f>IF(VLOOKUP($A2172,'Concrete Beam Schedule'!$A$2:$Q$2902,AA$2,0)&lt;&gt;K2172,"Beam Revised","")</f>
        <v>#N/A</v>
      </c>
      <c r="AB2172" s="7" t="e">
        <f>IF(VLOOKUP($A2172,'Concrete Beam Schedule'!$A$2:$Q$2902,AB$2,0)&lt;&gt;L2172,"Beam Revised","")</f>
        <v>#N/A</v>
      </c>
      <c r="AC2172" s="7" t="e">
        <f>IF(VLOOKUP($A2172,'Concrete Beam Schedule'!$A$2:$Q$2902,AC$2,0)&lt;&gt;M2172,"Beam Revised","")</f>
        <v>#N/A</v>
      </c>
      <c r="AD2172" s="7" t="e">
        <f>IF(VLOOKUP($A2172,'Concrete Beam Schedule'!$A$2:$Q$2902,AD$2,0)&lt;&gt;N2172,"Beam Revised","")</f>
        <v>#N/A</v>
      </c>
      <c r="AE2172" s="7" t="e">
        <f>IF(VLOOKUP($A2172,'Concrete Beam Schedule'!$A$2:$Q$2902,AE$2,0)&lt;&gt;O2172,"Beam Revised","")</f>
        <v>#N/A</v>
      </c>
    </row>
    <row r="2173" spans="17:31" ht="20.100000000000001" customHeight="1" x14ac:dyDescent="0.25">
      <c r="Q2173" s="7">
        <f t="shared" si="33"/>
        <v>0</v>
      </c>
      <c r="R2173" s="7" t="e">
        <f>IF(VLOOKUP($A2173,'Concrete Beam Schedule'!$A$2:$Q$2902,R$2,0)&lt;&gt;B2173,VLOOKUP($A2173,'Concrete Beam Schedule'!$A$2:$Q$2902,R$2,0),"")</f>
        <v>#N/A</v>
      </c>
      <c r="S2173" s="7" t="e">
        <f>IF(VLOOKUP($A2173,'Concrete Beam Schedule'!$A$2:$Q$2902,S$2,0)&lt;&gt;C2173,VLOOKUP($A2173,'Concrete Beam Schedule'!$A$2:$Q$2902,S$2,0),"")</f>
        <v>#N/A</v>
      </c>
      <c r="T2173" s="7" t="e">
        <f>IF(VLOOKUP($A2173,'Concrete Beam Schedule'!$A$2:$Q$2902,T$2,0)&lt;&gt;D2173,"Beam Revised","")</f>
        <v>#N/A</v>
      </c>
      <c r="U2173" s="7" t="e">
        <f>IF(VLOOKUP($A2173,'Concrete Beam Schedule'!$A$2:$Q$2902,U$2,0)&lt;&gt;E2173,"Beam Revised","")</f>
        <v>#N/A</v>
      </c>
      <c r="V2173" s="7" t="e">
        <f>IF(VLOOKUP($A2173,'Concrete Beam Schedule'!$A$2:$Q$2902,V$2,0)&lt;&gt;F2173,"Beam Revised","")</f>
        <v>#N/A</v>
      </c>
      <c r="W2173" s="7" t="e">
        <f>IF(VLOOKUP($A2173,'Concrete Beam Schedule'!$A$2:$Q$2902,W$2,0)&lt;&gt;G2173,"Beam Revised","")</f>
        <v>#N/A</v>
      </c>
      <c r="X2173" s="7" t="e">
        <f>IF(VLOOKUP($A2173,'Concrete Beam Schedule'!$A$2:$Q$2902,X$2,0)&lt;&gt;H2173,"Beam Revised","")</f>
        <v>#N/A</v>
      </c>
      <c r="Y2173" s="7" t="e">
        <f>IF(VLOOKUP($A2173,'Concrete Beam Schedule'!$A$2:$Q$2902,Y$2,0)&lt;&gt;I2173,"Beam Revised","")</f>
        <v>#N/A</v>
      </c>
      <c r="Z2173" s="7" t="e">
        <f>IF(VLOOKUP($A2173,'Concrete Beam Schedule'!$A$2:$Q$2902,Z$2,0)&lt;&gt;J2173,"Beam Revised","")</f>
        <v>#N/A</v>
      </c>
      <c r="AA2173" s="7" t="e">
        <f>IF(VLOOKUP($A2173,'Concrete Beam Schedule'!$A$2:$Q$2902,AA$2,0)&lt;&gt;K2173,"Beam Revised","")</f>
        <v>#N/A</v>
      </c>
      <c r="AB2173" s="7" t="e">
        <f>IF(VLOOKUP($A2173,'Concrete Beam Schedule'!$A$2:$Q$2902,AB$2,0)&lt;&gt;L2173,"Beam Revised","")</f>
        <v>#N/A</v>
      </c>
      <c r="AC2173" s="7" t="e">
        <f>IF(VLOOKUP($A2173,'Concrete Beam Schedule'!$A$2:$Q$2902,AC$2,0)&lt;&gt;M2173,"Beam Revised","")</f>
        <v>#N/A</v>
      </c>
      <c r="AD2173" s="7" t="e">
        <f>IF(VLOOKUP($A2173,'Concrete Beam Schedule'!$A$2:$Q$2902,AD$2,0)&lt;&gt;N2173,"Beam Revised","")</f>
        <v>#N/A</v>
      </c>
      <c r="AE2173" s="7" t="e">
        <f>IF(VLOOKUP($A2173,'Concrete Beam Schedule'!$A$2:$Q$2902,AE$2,0)&lt;&gt;O2173,"Beam Revised","")</f>
        <v>#N/A</v>
      </c>
    </row>
    <row r="2174" spans="17:31" ht="20.100000000000001" customHeight="1" x14ac:dyDescent="0.25">
      <c r="Q2174" s="7">
        <f t="shared" si="33"/>
        <v>0</v>
      </c>
      <c r="R2174" s="7" t="e">
        <f>IF(VLOOKUP($A2174,'Concrete Beam Schedule'!$A$2:$Q$2902,R$2,0)&lt;&gt;B2174,VLOOKUP($A2174,'Concrete Beam Schedule'!$A$2:$Q$2902,R$2,0),"")</f>
        <v>#N/A</v>
      </c>
      <c r="S2174" s="7" t="e">
        <f>IF(VLOOKUP($A2174,'Concrete Beam Schedule'!$A$2:$Q$2902,S$2,0)&lt;&gt;C2174,VLOOKUP($A2174,'Concrete Beam Schedule'!$A$2:$Q$2902,S$2,0),"")</f>
        <v>#N/A</v>
      </c>
      <c r="T2174" s="7" t="e">
        <f>IF(VLOOKUP($A2174,'Concrete Beam Schedule'!$A$2:$Q$2902,T$2,0)&lt;&gt;D2174,"Beam Revised","")</f>
        <v>#N/A</v>
      </c>
      <c r="U2174" s="7" t="e">
        <f>IF(VLOOKUP($A2174,'Concrete Beam Schedule'!$A$2:$Q$2902,U$2,0)&lt;&gt;E2174,"Beam Revised","")</f>
        <v>#N/A</v>
      </c>
      <c r="V2174" s="7" t="e">
        <f>IF(VLOOKUP($A2174,'Concrete Beam Schedule'!$A$2:$Q$2902,V$2,0)&lt;&gt;F2174,"Beam Revised","")</f>
        <v>#N/A</v>
      </c>
      <c r="W2174" s="7" t="e">
        <f>IF(VLOOKUP($A2174,'Concrete Beam Schedule'!$A$2:$Q$2902,W$2,0)&lt;&gt;G2174,"Beam Revised","")</f>
        <v>#N/A</v>
      </c>
      <c r="X2174" s="7" t="e">
        <f>IF(VLOOKUP($A2174,'Concrete Beam Schedule'!$A$2:$Q$2902,X$2,0)&lt;&gt;H2174,"Beam Revised","")</f>
        <v>#N/A</v>
      </c>
      <c r="Y2174" s="7" t="e">
        <f>IF(VLOOKUP($A2174,'Concrete Beam Schedule'!$A$2:$Q$2902,Y$2,0)&lt;&gt;I2174,"Beam Revised","")</f>
        <v>#N/A</v>
      </c>
      <c r="Z2174" s="7" t="e">
        <f>IF(VLOOKUP($A2174,'Concrete Beam Schedule'!$A$2:$Q$2902,Z$2,0)&lt;&gt;J2174,"Beam Revised","")</f>
        <v>#N/A</v>
      </c>
      <c r="AA2174" s="7" t="e">
        <f>IF(VLOOKUP($A2174,'Concrete Beam Schedule'!$A$2:$Q$2902,AA$2,0)&lt;&gt;K2174,"Beam Revised","")</f>
        <v>#N/A</v>
      </c>
      <c r="AB2174" s="7" t="e">
        <f>IF(VLOOKUP($A2174,'Concrete Beam Schedule'!$A$2:$Q$2902,AB$2,0)&lt;&gt;L2174,"Beam Revised","")</f>
        <v>#N/A</v>
      </c>
      <c r="AC2174" s="7" t="e">
        <f>IF(VLOOKUP($A2174,'Concrete Beam Schedule'!$A$2:$Q$2902,AC$2,0)&lt;&gt;M2174,"Beam Revised","")</f>
        <v>#N/A</v>
      </c>
      <c r="AD2174" s="7" t="e">
        <f>IF(VLOOKUP($A2174,'Concrete Beam Schedule'!$A$2:$Q$2902,AD$2,0)&lt;&gt;N2174,"Beam Revised","")</f>
        <v>#N/A</v>
      </c>
      <c r="AE2174" s="7" t="e">
        <f>IF(VLOOKUP($A2174,'Concrete Beam Schedule'!$A$2:$Q$2902,AE$2,0)&lt;&gt;O2174,"Beam Revised","")</f>
        <v>#N/A</v>
      </c>
    </row>
    <row r="2175" spans="17:31" ht="20.100000000000001" customHeight="1" x14ac:dyDescent="0.25">
      <c r="Q2175" s="7">
        <f t="shared" si="33"/>
        <v>0</v>
      </c>
      <c r="R2175" s="7" t="e">
        <f>IF(VLOOKUP($A2175,'Concrete Beam Schedule'!$A$2:$Q$2902,R$2,0)&lt;&gt;B2175,VLOOKUP($A2175,'Concrete Beam Schedule'!$A$2:$Q$2902,R$2,0),"")</f>
        <v>#N/A</v>
      </c>
      <c r="S2175" s="7" t="e">
        <f>IF(VLOOKUP($A2175,'Concrete Beam Schedule'!$A$2:$Q$2902,S$2,0)&lt;&gt;C2175,VLOOKUP($A2175,'Concrete Beam Schedule'!$A$2:$Q$2902,S$2,0),"")</f>
        <v>#N/A</v>
      </c>
      <c r="T2175" s="7" t="e">
        <f>IF(VLOOKUP($A2175,'Concrete Beam Schedule'!$A$2:$Q$2902,T$2,0)&lt;&gt;D2175,"Beam Revised","")</f>
        <v>#N/A</v>
      </c>
      <c r="U2175" s="7" t="e">
        <f>IF(VLOOKUP($A2175,'Concrete Beam Schedule'!$A$2:$Q$2902,U$2,0)&lt;&gt;E2175,"Beam Revised","")</f>
        <v>#N/A</v>
      </c>
      <c r="V2175" s="7" t="e">
        <f>IF(VLOOKUP($A2175,'Concrete Beam Schedule'!$A$2:$Q$2902,V$2,0)&lt;&gt;F2175,"Beam Revised","")</f>
        <v>#N/A</v>
      </c>
      <c r="W2175" s="7" t="e">
        <f>IF(VLOOKUP($A2175,'Concrete Beam Schedule'!$A$2:$Q$2902,W$2,0)&lt;&gt;G2175,"Beam Revised","")</f>
        <v>#N/A</v>
      </c>
      <c r="X2175" s="7" t="e">
        <f>IF(VLOOKUP($A2175,'Concrete Beam Schedule'!$A$2:$Q$2902,X$2,0)&lt;&gt;H2175,"Beam Revised","")</f>
        <v>#N/A</v>
      </c>
      <c r="Y2175" s="7" t="e">
        <f>IF(VLOOKUP($A2175,'Concrete Beam Schedule'!$A$2:$Q$2902,Y$2,0)&lt;&gt;I2175,"Beam Revised","")</f>
        <v>#N/A</v>
      </c>
      <c r="Z2175" s="7" t="e">
        <f>IF(VLOOKUP($A2175,'Concrete Beam Schedule'!$A$2:$Q$2902,Z$2,0)&lt;&gt;J2175,"Beam Revised","")</f>
        <v>#N/A</v>
      </c>
      <c r="AA2175" s="7" t="e">
        <f>IF(VLOOKUP($A2175,'Concrete Beam Schedule'!$A$2:$Q$2902,AA$2,0)&lt;&gt;K2175,"Beam Revised","")</f>
        <v>#N/A</v>
      </c>
      <c r="AB2175" s="7" t="e">
        <f>IF(VLOOKUP($A2175,'Concrete Beam Schedule'!$A$2:$Q$2902,AB$2,0)&lt;&gt;L2175,"Beam Revised","")</f>
        <v>#N/A</v>
      </c>
      <c r="AC2175" s="7" t="e">
        <f>IF(VLOOKUP($A2175,'Concrete Beam Schedule'!$A$2:$Q$2902,AC$2,0)&lt;&gt;M2175,"Beam Revised","")</f>
        <v>#N/A</v>
      </c>
      <c r="AD2175" s="7" t="e">
        <f>IF(VLOOKUP($A2175,'Concrete Beam Schedule'!$A$2:$Q$2902,AD$2,0)&lt;&gt;N2175,"Beam Revised","")</f>
        <v>#N/A</v>
      </c>
      <c r="AE2175" s="7" t="e">
        <f>IF(VLOOKUP($A2175,'Concrete Beam Schedule'!$A$2:$Q$2902,AE$2,0)&lt;&gt;O2175,"Beam Revised","")</f>
        <v>#N/A</v>
      </c>
    </row>
    <row r="2176" spans="17:31" ht="20.100000000000001" customHeight="1" x14ac:dyDescent="0.25">
      <c r="Q2176" s="7">
        <f t="shared" si="33"/>
        <v>0</v>
      </c>
      <c r="R2176" s="7" t="e">
        <f>IF(VLOOKUP($A2176,'Concrete Beam Schedule'!$A$2:$Q$2902,R$2,0)&lt;&gt;B2176,VLOOKUP($A2176,'Concrete Beam Schedule'!$A$2:$Q$2902,R$2,0),"")</f>
        <v>#N/A</v>
      </c>
      <c r="S2176" s="7" t="e">
        <f>IF(VLOOKUP($A2176,'Concrete Beam Schedule'!$A$2:$Q$2902,S$2,0)&lt;&gt;C2176,VLOOKUP($A2176,'Concrete Beam Schedule'!$A$2:$Q$2902,S$2,0),"")</f>
        <v>#N/A</v>
      </c>
      <c r="T2176" s="7" t="e">
        <f>IF(VLOOKUP($A2176,'Concrete Beam Schedule'!$A$2:$Q$2902,T$2,0)&lt;&gt;D2176,"Beam Revised","")</f>
        <v>#N/A</v>
      </c>
      <c r="U2176" s="7" t="e">
        <f>IF(VLOOKUP($A2176,'Concrete Beam Schedule'!$A$2:$Q$2902,U$2,0)&lt;&gt;E2176,"Beam Revised","")</f>
        <v>#N/A</v>
      </c>
      <c r="V2176" s="7" t="e">
        <f>IF(VLOOKUP($A2176,'Concrete Beam Schedule'!$A$2:$Q$2902,V$2,0)&lt;&gt;F2176,"Beam Revised","")</f>
        <v>#N/A</v>
      </c>
      <c r="W2176" s="7" t="e">
        <f>IF(VLOOKUP($A2176,'Concrete Beam Schedule'!$A$2:$Q$2902,W$2,0)&lt;&gt;G2176,"Beam Revised","")</f>
        <v>#N/A</v>
      </c>
      <c r="X2176" s="7" t="e">
        <f>IF(VLOOKUP($A2176,'Concrete Beam Schedule'!$A$2:$Q$2902,X$2,0)&lt;&gt;H2176,"Beam Revised","")</f>
        <v>#N/A</v>
      </c>
      <c r="Y2176" s="7" t="e">
        <f>IF(VLOOKUP($A2176,'Concrete Beam Schedule'!$A$2:$Q$2902,Y$2,0)&lt;&gt;I2176,"Beam Revised","")</f>
        <v>#N/A</v>
      </c>
      <c r="Z2176" s="7" t="e">
        <f>IF(VLOOKUP($A2176,'Concrete Beam Schedule'!$A$2:$Q$2902,Z$2,0)&lt;&gt;J2176,"Beam Revised","")</f>
        <v>#N/A</v>
      </c>
      <c r="AA2176" s="7" t="e">
        <f>IF(VLOOKUP($A2176,'Concrete Beam Schedule'!$A$2:$Q$2902,AA$2,0)&lt;&gt;K2176,"Beam Revised","")</f>
        <v>#N/A</v>
      </c>
      <c r="AB2176" s="7" t="e">
        <f>IF(VLOOKUP($A2176,'Concrete Beam Schedule'!$A$2:$Q$2902,AB$2,0)&lt;&gt;L2176,"Beam Revised","")</f>
        <v>#N/A</v>
      </c>
      <c r="AC2176" s="7" t="e">
        <f>IF(VLOOKUP($A2176,'Concrete Beam Schedule'!$A$2:$Q$2902,AC$2,0)&lt;&gt;M2176,"Beam Revised","")</f>
        <v>#N/A</v>
      </c>
      <c r="AD2176" s="7" t="e">
        <f>IF(VLOOKUP($A2176,'Concrete Beam Schedule'!$A$2:$Q$2902,AD$2,0)&lt;&gt;N2176,"Beam Revised","")</f>
        <v>#N/A</v>
      </c>
      <c r="AE2176" s="7" t="e">
        <f>IF(VLOOKUP($A2176,'Concrete Beam Schedule'!$A$2:$Q$2902,AE$2,0)&lt;&gt;O2176,"Beam Revised","")</f>
        <v>#N/A</v>
      </c>
    </row>
    <row r="2177" spans="17:31" ht="20.100000000000001" customHeight="1" x14ac:dyDescent="0.25">
      <c r="Q2177" s="7">
        <f t="shared" si="33"/>
        <v>0</v>
      </c>
      <c r="R2177" s="7" t="e">
        <f>IF(VLOOKUP($A2177,'Concrete Beam Schedule'!$A$2:$Q$2902,R$2,0)&lt;&gt;B2177,VLOOKUP($A2177,'Concrete Beam Schedule'!$A$2:$Q$2902,R$2,0),"")</f>
        <v>#N/A</v>
      </c>
      <c r="S2177" s="7" t="e">
        <f>IF(VLOOKUP($A2177,'Concrete Beam Schedule'!$A$2:$Q$2902,S$2,0)&lt;&gt;C2177,VLOOKUP($A2177,'Concrete Beam Schedule'!$A$2:$Q$2902,S$2,0),"")</f>
        <v>#N/A</v>
      </c>
      <c r="T2177" s="7" t="e">
        <f>IF(VLOOKUP($A2177,'Concrete Beam Schedule'!$A$2:$Q$2902,T$2,0)&lt;&gt;D2177,"Beam Revised","")</f>
        <v>#N/A</v>
      </c>
      <c r="U2177" s="7" t="e">
        <f>IF(VLOOKUP($A2177,'Concrete Beam Schedule'!$A$2:$Q$2902,U$2,0)&lt;&gt;E2177,"Beam Revised","")</f>
        <v>#N/A</v>
      </c>
      <c r="V2177" s="7" t="e">
        <f>IF(VLOOKUP($A2177,'Concrete Beam Schedule'!$A$2:$Q$2902,V$2,0)&lt;&gt;F2177,"Beam Revised","")</f>
        <v>#N/A</v>
      </c>
      <c r="W2177" s="7" t="e">
        <f>IF(VLOOKUP($A2177,'Concrete Beam Schedule'!$A$2:$Q$2902,W$2,0)&lt;&gt;G2177,"Beam Revised","")</f>
        <v>#N/A</v>
      </c>
      <c r="X2177" s="7" t="e">
        <f>IF(VLOOKUP($A2177,'Concrete Beam Schedule'!$A$2:$Q$2902,X$2,0)&lt;&gt;H2177,"Beam Revised","")</f>
        <v>#N/A</v>
      </c>
      <c r="Y2177" s="7" t="e">
        <f>IF(VLOOKUP($A2177,'Concrete Beam Schedule'!$A$2:$Q$2902,Y$2,0)&lt;&gt;I2177,"Beam Revised","")</f>
        <v>#N/A</v>
      </c>
      <c r="Z2177" s="7" t="e">
        <f>IF(VLOOKUP($A2177,'Concrete Beam Schedule'!$A$2:$Q$2902,Z$2,0)&lt;&gt;J2177,"Beam Revised","")</f>
        <v>#N/A</v>
      </c>
      <c r="AA2177" s="7" t="e">
        <f>IF(VLOOKUP($A2177,'Concrete Beam Schedule'!$A$2:$Q$2902,AA$2,0)&lt;&gt;K2177,"Beam Revised","")</f>
        <v>#N/A</v>
      </c>
      <c r="AB2177" s="7" t="e">
        <f>IF(VLOOKUP($A2177,'Concrete Beam Schedule'!$A$2:$Q$2902,AB$2,0)&lt;&gt;L2177,"Beam Revised","")</f>
        <v>#N/A</v>
      </c>
      <c r="AC2177" s="7" t="e">
        <f>IF(VLOOKUP($A2177,'Concrete Beam Schedule'!$A$2:$Q$2902,AC$2,0)&lt;&gt;M2177,"Beam Revised","")</f>
        <v>#N/A</v>
      </c>
      <c r="AD2177" s="7" t="e">
        <f>IF(VLOOKUP($A2177,'Concrete Beam Schedule'!$A$2:$Q$2902,AD$2,0)&lt;&gt;N2177,"Beam Revised","")</f>
        <v>#N/A</v>
      </c>
      <c r="AE2177" s="7" t="e">
        <f>IF(VLOOKUP($A2177,'Concrete Beam Schedule'!$A$2:$Q$2902,AE$2,0)&lt;&gt;O2177,"Beam Revised","")</f>
        <v>#N/A</v>
      </c>
    </row>
    <row r="2178" spans="17:31" ht="20.100000000000001" customHeight="1" x14ac:dyDescent="0.25">
      <c r="Q2178" s="7">
        <f t="shared" si="33"/>
        <v>0</v>
      </c>
      <c r="R2178" s="7" t="e">
        <f>IF(VLOOKUP($A2178,'Concrete Beam Schedule'!$A$2:$Q$2902,R$2,0)&lt;&gt;B2178,VLOOKUP($A2178,'Concrete Beam Schedule'!$A$2:$Q$2902,R$2,0),"")</f>
        <v>#N/A</v>
      </c>
      <c r="S2178" s="7" t="e">
        <f>IF(VLOOKUP($A2178,'Concrete Beam Schedule'!$A$2:$Q$2902,S$2,0)&lt;&gt;C2178,VLOOKUP($A2178,'Concrete Beam Schedule'!$A$2:$Q$2902,S$2,0),"")</f>
        <v>#N/A</v>
      </c>
      <c r="T2178" s="7" t="e">
        <f>IF(VLOOKUP($A2178,'Concrete Beam Schedule'!$A$2:$Q$2902,T$2,0)&lt;&gt;D2178,"Beam Revised","")</f>
        <v>#N/A</v>
      </c>
      <c r="U2178" s="7" t="e">
        <f>IF(VLOOKUP($A2178,'Concrete Beam Schedule'!$A$2:$Q$2902,U$2,0)&lt;&gt;E2178,"Beam Revised","")</f>
        <v>#N/A</v>
      </c>
      <c r="V2178" s="7" t="e">
        <f>IF(VLOOKUP($A2178,'Concrete Beam Schedule'!$A$2:$Q$2902,V$2,0)&lt;&gt;F2178,"Beam Revised","")</f>
        <v>#N/A</v>
      </c>
      <c r="W2178" s="7" t="e">
        <f>IF(VLOOKUP($A2178,'Concrete Beam Schedule'!$A$2:$Q$2902,W$2,0)&lt;&gt;G2178,"Beam Revised","")</f>
        <v>#N/A</v>
      </c>
      <c r="X2178" s="7" t="e">
        <f>IF(VLOOKUP($A2178,'Concrete Beam Schedule'!$A$2:$Q$2902,X$2,0)&lt;&gt;H2178,"Beam Revised","")</f>
        <v>#N/A</v>
      </c>
      <c r="Y2178" s="7" t="e">
        <f>IF(VLOOKUP($A2178,'Concrete Beam Schedule'!$A$2:$Q$2902,Y$2,0)&lt;&gt;I2178,"Beam Revised","")</f>
        <v>#N/A</v>
      </c>
      <c r="Z2178" s="7" t="e">
        <f>IF(VLOOKUP($A2178,'Concrete Beam Schedule'!$A$2:$Q$2902,Z$2,0)&lt;&gt;J2178,"Beam Revised","")</f>
        <v>#N/A</v>
      </c>
      <c r="AA2178" s="7" t="e">
        <f>IF(VLOOKUP($A2178,'Concrete Beam Schedule'!$A$2:$Q$2902,AA$2,0)&lt;&gt;K2178,"Beam Revised","")</f>
        <v>#N/A</v>
      </c>
      <c r="AB2178" s="7" t="e">
        <f>IF(VLOOKUP($A2178,'Concrete Beam Schedule'!$A$2:$Q$2902,AB$2,0)&lt;&gt;L2178,"Beam Revised","")</f>
        <v>#N/A</v>
      </c>
      <c r="AC2178" s="7" t="e">
        <f>IF(VLOOKUP($A2178,'Concrete Beam Schedule'!$A$2:$Q$2902,AC$2,0)&lt;&gt;M2178,"Beam Revised","")</f>
        <v>#N/A</v>
      </c>
      <c r="AD2178" s="7" t="e">
        <f>IF(VLOOKUP($A2178,'Concrete Beam Schedule'!$A$2:$Q$2902,AD$2,0)&lt;&gt;N2178,"Beam Revised","")</f>
        <v>#N/A</v>
      </c>
      <c r="AE2178" s="7" t="e">
        <f>IF(VLOOKUP($A2178,'Concrete Beam Schedule'!$A$2:$Q$2902,AE$2,0)&lt;&gt;O2178,"Beam Revised","")</f>
        <v>#N/A</v>
      </c>
    </row>
    <row r="2179" spans="17:31" ht="20.100000000000001" customHeight="1" x14ac:dyDescent="0.25">
      <c r="Q2179" s="7">
        <f t="shared" si="33"/>
        <v>0</v>
      </c>
      <c r="R2179" s="7" t="e">
        <f>IF(VLOOKUP($A2179,'Concrete Beam Schedule'!$A$2:$Q$2902,R$2,0)&lt;&gt;B2179,VLOOKUP($A2179,'Concrete Beam Schedule'!$A$2:$Q$2902,R$2,0),"")</f>
        <v>#N/A</v>
      </c>
      <c r="S2179" s="7" t="e">
        <f>IF(VLOOKUP($A2179,'Concrete Beam Schedule'!$A$2:$Q$2902,S$2,0)&lt;&gt;C2179,VLOOKUP($A2179,'Concrete Beam Schedule'!$A$2:$Q$2902,S$2,0),"")</f>
        <v>#N/A</v>
      </c>
      <c r="T2179" s="7" t="e">
        <f>IF(VLOOKUP($A2179,'Concrete Beam Schedule'!$A$2:$Q$2902,T$2,0)&lt;&gt;D2179,"Beam Revised","")</f>
        <v>#N/A</v>
      </c>
      <c r="U2179" s="7" t="e">
        <f>IF(VLOOKUP($A2179,'Concrete Beam Schedule'!$A$2:$Q$2902,U$2,0)&lt;&gt;E2179,"Beam Revised","")</f>
        <v>#N/A</v>
      </c>
      <c r="V2179" s="7" t="e">
        <f>IF(VLOOKUP($A2179,'Concrete Beam Schedule'!$A$2:$Q$2902,V$2,0)&lt;&gt;F2179,"Beam Revised","")</f>
        <v>#N/A</v>
      </c>
      <c r="W2179" s="7" t="e">
        <f>IF(VLOOKUP($A2179,'Concrete Beam Schedule'!$A$2:$Q$2902,W$2,0)&lt;&gt;G2179,"Beam Revised","")</f>
        <v>#N/A</v>
      </c>
      <c r="X2179" s="7" t="e">
        <f>IF(VLOOKUP($A2179,'Concrete Beam Schedule'!$A$2:$Q$2902,X$2,0)&lt;&gt;H2179,"Beam Revised","")</f>
        <v>#N/A</v>
      </c>
      <c r="Y2179" s="7" t="e">
        <f>IF(VLOOKUP($A2179,'Concrete Beam Schedule'!$A$2:$Q$2902,Y$2,0)&lt;&gt;I2179,"Beam Revised","")</f>
        <v>#N/A</v>
      </c>
      <c r="Z2179" s="7" t="e">
        <f>IF(VLOOKUP($A2179,'Concrete Beam Schedule'!$A$2:$Q$2902,Z$2,0)&lt;&gt;J2179,"Beam Revised","")</f>
        <v>#N/A</v>
      </c>
      <c r="AA2179" s="7" t="e">
        <f>IF(VLOOKUP($A2179,'Concrete Beam Schedule'!$A$2:$Q$2902,AA$2,0)&lt;&gt;K2179,"Beam Revised","")</f>
        <v>#N/A</v>
      </c>
      <c r="AB2179" s="7" t="e">
        <f>IF(VLOOKUP($A2179,'Concrete Beam Schedule'!$A$2:$Q$2902,AB$2,0)&lt;&gt;L2179,"Beam Revised","")</f>
        <v>#N/A</v>
      </c>
      <c r="AC2179" s="7" t="e">
        <f>IF(VLOOKUP($A2179,'Concrete Beam Schedule'!$A$2:$Q$2902,AC$2,0)&lt;&gt;M2179,"Beam Revised","")</f>
        <v>#N/A</v>
      </c>
      <c r="AD2179" s="7" t="e">
        <f>IF(VLOOKUP($A2179,'Concrete Beam Schedule'!$A$2:$Q$2902,AD$2,0)&lt;&gt;N2179,"Beam Revised","")</f>
        <v>#N/A</v>
      </c>
      <c r="AE2179" s="7" t="e">
        <f>IF(VLOOKUP($A2179,'Concrete Beam Schedule'!$A$2:$Q$2902,AE$2,0)&lt;&gt;O2179,"Beam Revised","")</f>
        <v>#N/A</v>
      </c>
    </row>
    <row r="2180" spans="17:31" ht="20.100000000000001" customHeight="1" x14ac:dyDescent="0.25">
      <c r="Q2180" s="7">
        <f t="shared" ref="Q2180:Q2243" si="34">A2180</f>
        <v>0</v>
      </c>
      <c r="R2180" s="7" t="e">
        <f>IF(VLOOKUP($A2180,'Concrete Beam Schedule'!$A$2:$Q$2902,R$2,0)&lt;&gt;B2180,VLOOKUP($A2180,'Concrete Beam Schedule'!$A$2:$Q$2902,R$2,0),"")</f>
        <v>#N/A</v>
      </c>
      <c r="S2180" s="7" t="e">
        <f>IF(VLOOKUP($A2180,'Concrete Beam Schedule'!$A$2:$Q$2902,S$2,0)&lt;&gt;C2180,VLOOKUP($A2180,'Concrete Beam Schedule'!$A$2:$Q$2902,S$2,0),"")</f>
        <v>#N/A</v>
      </c>
      <c r="T2180" s="7" t="e">
        <f>IF(VLOOKUP($A2180,'Concrete Beam Schedule'!$A$2:$Q$2902,T$2,0)&lt;&gt;D2180,"Beam Revised","")</f>
        <v>#N/A</v>
      </c>
      <c r="U2180" s="7" t="e">
        <f>IF(VLOOKUP($A2180,'Concrete Beam Schedule'!$A$2:$Q$2902,U$2,0)&lt;&gt;E2180,"Beam Revised","")</f>
        <v>#N/A</v>
      </c>
      <c r="V2180" s="7" t="e">
        <f>IF(VLOOKUP($A2180,'Concrete Beam Schedule'!$A$2:$Q$2902,V$2,0)&lt;&gt;F2180,"Beam Revised","")</f>
        <v>#N/A</v>
      </c>
      <c r="W2180" s="7" t="e">
        <f>IF(VLOOKUP($A2180,'Concrete Beam Schedule'!$A$2:$Q$2902,W$2,0)&lt;&gt;G2180,"Beam Revised","")</f>
        <v>#N/A</v>
      </c>
      <c r="X2180" s="7" t="e">
        <f>IF(VLOOKUP($A2180,'Concrete Beam Schedule'!$A$2:$Q$2902,X$2,0)&lt;&gt;H2180,"Beam Revised","")</f>
        <v>#N/A</v>
      </c>
      <c r="Y2180" s="7" t="e">
        <f>IF(VLOOKUP($A2180,'Concrete Beam Schedule'!$A$2:$Q$2902,Y$2,0)&lt;&gt;I2180,"Beam Revised","")</f>
        <v>#N/A</v>
      </c>
      <c r="Z2180" s="7" t="e">
        <f>IF(VLOOKUP($A2180,'Concrete Beam Schedule'!$A$2:$Q$2902,Z$2,0)&lt;&gt;J2180,"Beam Revised","")</f>
        <v>#N/A</v>
      </c>
      <c r="AA2180" s="7" t="e">
        <f>IF(VLOOKUP($A2180,'Concrete Beam Schedule'!$A$2:$Q$2902,AA$2,0)&lt;&gt;K2180,"Beam Revised","")</f>
        <v>#N/A</v>
      </c>
      <c r="AB2180" s="7" t="e">
        <f>IF(VLOOKUP($A2180,'Concrete Beam Schedule'!$A$2:$Q$2902,AB$2,0)&lt;&gt;L2180,"Beam Revised","")</f>
        <v>#N/A</v>
      </c>
      <c r="AC2180" s="7" t="e">
        <f>IF(VLOOKUP($A2180,'Concrete Beam Schedule'!$A$2:$Q$2902,AC$2,0)&lt;&gt;M2180,"Beam Revised","")</f>
        <v>#N/A</v>
      </c>
      <c r="AD2180" s="7" t="e">
        <f>IF(VLOOKUP($A2180,'Concrete Beam Schedule'!$A$2:$Q$2902,AD$2,0)&lt;&gt;N2180,"Beam Revised","")</f>
        <v>#N/A</v>
      </c>
      <c r="AE2180" s="7" t="e">
        <f>IF(VLOOKUP($A2180,'Concrete Beam Schedule'!$A$2:$Q$2902,AE$2,0)&lt;&gt;O2180,"Beam Revised","")</f>
        <v>#N/A</v>
      </c>
    </row>
    <row r="2181" spans="17:31" ht="20.100000000000001" customHeight="1" x14ac:dyDescent="0.25">
      <c r="Q2181" s="7">
        <f t="shared" si="34"/>
        <v>0</v>
      </c>
      <c r="R2181" s="7" t="e">
        <f>IF(VLOOKUP($A2181,'Concrete Beam Schedule'!$A$2:$Q$2902,R$2,0)&lt;&gt;B2181,VLOOKUP($A2181,'Concrete Beam Schedule'!$A$2:$Q$2902,R$2,0),"")</f>
        <v>#N/A</v>
      </c>
      <c r="S2181" s="7" t="e">
        <f>IF(VLOOKUP($A2181,'Concrete Beam Schedule'!$A$2:$Q$2902,S$2,0)&lt;&gt;C2181,VLOOKUP($A2181,'Concrete Beam Schedule'!$A$2:$Q$2902,S$2,0),"")</f>
        <v>#N/A</v>
      </c>
      <c r="T2181" s="7" t="e">
        <f>IF(VLOOKUP($A2181,'Concrete Beam Schedule'!$A$2:$Q$2902,T$2,0)&lt;&gt;D2181,"Beam Revised","")</f>
        <v>#N/A</v>
      </c>
      <c r="U2181" s="7" t="e">
        <f>IF(VLOOKUP($A2181,'Concrete Beam Schedule'!$A$2:$Q$2902,U$2,0)&lt;&gt;E2181,"Beam Revised","")</f>
        <v>#N/A</v>
      </c>
      <c r="V2181" s="7" t="e">
        <f>IF(VLOOKUP($A2181,'Concrete Beam Schedule'!$A$2:$Q$2902,V$2,0)&lt;&gt;F2181,"Beam Revised","")</f>
        <v>#N/A</v>
      </c>
      <c r="W2181" s="7" t="e">
        <f>IF(VLOOKUP($A2181,'Concrete Beam Schedule'!$A$2:$Q$2902,W$2,0)&lt;&gt;G2181,"Beam Revised","")</f>
        <v>#N/A</v>
      </c>
      <c r="X2181" s="7" t="e">
        <f>IF(VLOOKUP($A2181,'Concrete Beam Schedule'!$A$2:$Q$2902,X$2,0)&lt;&gt;H2181,"Beam Revised","")</f>
        <v>#N/A</v>
      </c>
      <c r="Y2181" s="7" t="e">
        <f>IF(VLOOKUP($A2181,'Concrete Beam Schedule'!$A$2:$Q$2902,Y$2,0)&lt;&gt;I2181,"Beam Revised","")</f>
        <v>#N/A</v>
      </c>
      <c r="Z2181" s="7" t="e">
        <f>IF(VLOOKUP($A2181,'Concrete Beam Schedule'!$A$2:$Q$2902,Z$2,0)&lt;&gt;J2181,"Beam Revised","")</f>
        <v>#N/A</v>
      </c>
      <c r="AA2181" s="7" t="e">
        <f>IF(VLOOKUP($A2181,'Concrete Beam Schedule'!$A$2:$Q$2902,AA$2,0)&lt;&gt;K2181,"Beam Revised","")</f>
        <v>#N/A</v>
      </c>
      <c r="AB2181" s="7" t="e">
        <f>IF(VLOOKUP($A2181,'Concrete Beam Schedule'!$A$2:$Q$2902,AB$2,0)&lt;&gt;L2181,"Beam Revised","")</f>
        <v>#N/A</v>
      </c>
      <c r="AC2181" s="7" t="e">
        <f>IF(VLOOKUP($A2181,'Concrete Beam Schedule'!$A$2:$Q$2902,AC$2,0)&lt;&gt;M2181,"Beam Revised","")</f>
        <v>#N/A</v>
      </c>
      <c r="AD2181" s="7" t="e">
        <f>IF(VLOOKUP($A2181,'Concrete Beam Schedule'!$A$2:$Q$2902,AD$2,0)&lt;&gt;N2181,"Beam Revised","")</f>
        <v>#N/A</v>
      </c>
      <c r="AE2181" s="7" t="e">
        <f>IF(VLOOKUP($A2181,'Concrete Beam Schedule'!$A$2:$Q$2902,AE$2,0)&lt;&gt;O2181,"Beam Revised","")</f>
        <v>#N/A</v>
      </c>
    </row>
    <row r="2182" spans="17:31" ht="20.100000000000001" customHeight="1" x14ac:dyDescent="0.25">
      <c r="Q2182" s="7">
        <f t="shared" si="34"/>
        <v>0</v>
      </c>
      <c r="R2182" s="7" t="e">
        <f>IF(VLOOKUP($A2182,'Concrete Beam Schedule'!$A$2:$Q$2902,R$2,0)&lt;&gt;B2182,VLOOKUP($A2182,'Concrete Beam Schedule'!$A$2:$Q$2902,R$2,0),"")</f>
        <v>#N/A</v>
      </c>
      <c r="S2182" s="7" t="e">
        <f>IF(VLOOKUP($A2182,'Concrete Beam Schedule'!$A$2:$Q$2902,S$2,0)&lt;&gt;C2182,VLOOKUP($A2182,'Concrete Beam Schedule'!$A$2:$Q$2902,S$2,0),"")</f>
        <v>#N/A</v>
      </c>
      <c r="T2182" s="7" t="e">
        <f>IF(VLOOKUP($A2182,'Concrete Beam Schedule'!$A$2:$Q$2902,T$2,0)&lt;&gt;D2182,"Beam Revised","")</f>
        <v>#N/A</v>
      </c>
      <c r="U2182" s="7" t="e">
        <f>IF(VLOOKUP($A2182,'Concrete Beam Schedule'!$A$2:$Q$2902,U$2,0)&lt;&gt;E2182,"Beam Revised","")</f>
        <v>#N/A</v>
      </c>
      <c r="V2182" s="7" t="e">
        <f>IF(VLOOKUP($A2182,'Concrete Beam Schedule'!$A$2:$Q$2902,V$2,0)&lt;&gt;F2182,"Beam Revised","")</f>
        <v>#N/A</v>
      </c>
      <c r="W2182" s="7" t="e">
        <f>IF(VLOOKUP($A2182,'Concrete Beam Schedule'!$A$2:$Q$2902,W$2,0)&lt;&gt;G2182,"Beam Revised","")</f>
        <v>#N/A</v>
      </c>
      <c r="X2182" s="7" t="e">
        <f>IF(VLOOKUP($A2182,'Concrete Beam Schedule'!$A$2:$Q$2902,X$2,0)&lt;&gt;H2182,"Beam Revised","")</f>
        <v>#N/A</v>
      </c>
      <c r="Y2182" s="7" t="e">
        <f>IF(VLOOKUP($A2182,'Concrete Beam Schedule'!$A$2:$Q$2902,Y$2,0)&lt;&gt;I2182,"Beam Revised","")</f>
        <v>#N/A</v>
      </c>
      <c r="Z2182" s="7" t="e">
        <f>IF(VLOOKUP($A2182,'Concrete Beam Schedule'!$A$2:$Q$2902,Z$2,0)&lt;&gt;J2182,"Beam Revised","")</f>
        <v>#N/A</v>
      </c>
      <c r="AA2182" s="7" t="e">
        <f>IF(VLOOKUP($A2182,'Concrete Beam Schedule'!$A$2:$Q$2902,AA$2,0)&lt;&gt;K2182,"Beam Revised","")</f>
        <v>#N/A</v>
      </c>
      <c r="AB2182" s="7" t="e">
        <f>IF(VLOOKUP($A2182,'Concrete Beam Schedule'!$A$2:$Q$2902,AB$2,0)&lt;&gt;L2182,"Beam Revised","")</f>
        <v>#N/A</v>
      </c>
      <c r="AC2182" s="7" t="e">
        <f>IF(VLOOKUP($A2182,'Concrete Beam Schedule'!$A$2:$Q$2902,AC$2,0)&lt;&gt;M2182,"Beam Revised","")</f>
        <v>#N/A</v>
      </c>
      <c r="AD2182" s="7" t="e">
        <f>IF(VLOOKUP($A2182,'Concrete Beam Schedule'!$A$2:$Q$2902,AD$2,0)&lt;&gt;N2182,"Beam Revised","")</f>
        <v>#N/A</v>
      </c>
      <c r="AE2182" s="7" t="e">
        <f>IF(VLOOKUP($A2182,'Concrete Beam Schedule'!$A$2:$Q$2902,AE$2,0)&lt;&gt;O2182,"Beam Revised","")</f>
        <v>#N/A</v>
      </c>
    </row>
    <row r="2183" spans="17:31" ht="20.100000000000001" customHeight="1" x14ac:dyDescent="0.25">
      <c r="Q2183" s="7">
        <f t="shared" si="34"/>
        <v>0</v>
      </c>
      <c r="R2183" s="7" t="e">
        <f>IF(VLOOKUP($A2183,'Concrete Beam Schedule'!$A$2:$Q$2902,R$2,0)&lt;&gt;B2183,VLOOKUP($A2183,'Concrete Beam Schedule'!$A$2:$Q$2902,R$2,0),"")</f>
        <v>#N/A</v>
      </c>
      <c r="S2183" s="7" t="e">
        <f>IF(VLOOKUP($A2183,'Concrete Beam Schedule'!$A$2:$Q$2902,S$2,0)&lt;&gt;C2183,VLOOKUP($A2183,'Concrete Beam Schedule'!$A$2:$Q$2902,S$2,0),"")</f>
        <v>#N/A</v>
      </c>
      <c r="T2183" s="7" t="e">
        <f>IF(VLOOKUP($A2183,'Concrete Beam Schedule'!$A$2:$Q$2902,T$2,0)&lt;&gt;D2183,"Beam Revised","")</f>
        <v>#N/A</v>
      </c>
      <c r="U2183" s="7" t="e">
        <f>IF(VLOOKUP($A2183,'Concrete Beam Schedule'!$A$2:$Q$2902,U$2,0)&lt;&gt;E2183,"Beam Revised","")</f>
        <v>#N/A</v>
      </c>
      <c r="V2183" s="7" t="e">
        <f>IF(VLOOKUP($A2183,'Concrete Beam Schedule'!$A$2:$Q$2902,V$2,0)&lt;&gt;F2183,"Beam Revised","")</f>
        <v>#N/A</v>
      </c>
      <c r="W2183" s="7" t="e">
        <f>IF(VLOOKUP($A2183,'Concrete Beam Schedule'!$A$2:$Q$2902,W$2,0)&lt;&gt;G2183,"Beam Revised","")</f>
        <v>#N/A</v>
      </c>
      <c r="X2183" s="7" t="e">
        <f>IF(VLOOKUP($A2183,'Concrete Beam Schedule'!$A$2:$Q$2902,X$2,0)&lt;&gt;H2183,"Beam Revised","")</f>
        <v>#N/A</v>
      </c>
      <c r="Y2183" s="7" t="e">
        <f>IF(VLOOKUP($A2183,'Concrete Beam Schedule'!$A$2:$Q$2902,Y$2,0)&lt;&gt;I2183,"Beam Revised","")</f>
        <v>#N/A</v>
      </c>
      <c r="Z2183" s="7" t="e">
        <f>IF(VLOOKUP($A2183,'Concrete Beam Schedule'!$A$2:$Q$2902,Z$2,0)&lt;&gt;J2183,"Beam Revised","")</f>
        <v>#N/A</v>
      </c>
      <c r="AA2183" s="7" t="e">
        <f>IF(VLOOKUP($A2183,'Concrete Beam Schedule'!$A$2:$Q$2902,AA$2,0)&lt;&gt;K2183,"Beam Revised","")</f>
        <v>#N/A</v>
      </c>
      <c r="AB2183" s="7" t="e">
        <f>IF(VLOOKUP($A2183,'Concrete Beam Schedule'!$A$2:$Q$2902,AB$2,0)&lt;&gt;L2183,"Beam Revised","")</f>
        <v>#N/A</v>
      </c>
      <c r="AC2183" s="7" t="e">
        <f>IF(VLOOKUP($A2183,'Concrete Beam Schedule'!$A$2:$Q$2902,AC$2,0)&lt;&gt;M2183,"Beam Revised","")</f>
        <v>#N/A</v>
      </c>
      <c r="AD2183" s="7" t="e">
        <f>IF(VLOOKUP($A2183,'Concrete Beam Schedule'!$A$2:$Q$2902,AD$2,0)&lt;&gt;N2183,"Beam Revised","")</f>
        <v>#N/A</v>
      </c>
      <c r="AE2183" s="7" t="e">
        <f>IF(VLOOKUP($A2183,'Concrete Beam Schedule'!$A$2:$Q$2902,AE$2,0)&lt;&gt;O2183,"Beam Revised","")</f>
        <v>#N/A</v>
      </c>
    </row>
    <row r="2184" spans="17:31" ht="20.100000000000001" customHeight="1" x14ac:dyDescent="0.25">
      <c r="Q2184" s="7">
        <f t="shared" si="34"/>
        <v>0</v>
      </c>
      <c r="R2184" s="7" t="e">
        <f>IF(VLOOKUP($A2184,'Concrete Beam Schedule'!$A$2:$Q$2902,R$2,0)&lt;&gt;B2184,VLOOKUP($A2184,'Concrete Beam Schedule'!$A$2:$Q$2902,R$2,0),"")</f>
        <v>#N/A</v>
      </c>
      <c r="S2184" s="7" t="e">
        <f>IF(VLOOKUP($A2184,'Concrete Beam Schedule'!$A$2:$Q$2902,S$2,0)&lt;&gt;C2184,VLOOKUP($A2184,'Concrete Beam Schedule'!$A$2:$Q$2902,S$2,0),"")</f>
        <v>#N/A</v>
      </c>
      <c r="T2184" s="7" t="e">
        <f>IF(VLOOKUP($A2184,'Concrete Beam Schedule'!$A$2:$Q$2902,T$2,0)&lt;&gt;D2184,"Beam Revised","")</f>
        <v>#N/A</v>
      </c>
      <c r="U2184" s="7" t="e">
        <f>IF(VLOOKUP($A2184,'Concrete Beam Schedule'!$A$2:$Q$2902,U$2,0)&lt;&gt;E2184,"Beam Revised","")</f>
        <v>#N/A</v>
      </c>
      <c r="V2184" s="7" t="e">
        <f>IF(VLOOKUP($A2184,'Concrete Beam Schedule'!$A$2:$Q$2902,V$2,0)&lt;&gt;F2184,"Beam Revised","")</f>
        <v>#N/A</v>
      </c>
      <c r="W2184" s="7" t="e">
        <f>IF(VLOOKUP($A2184,'Concrete Beam Schedule'!$A$2:$Q$2902,W$2,0)&lt;&gt;G2184,"Beam Revised","")</f>
        <v>#N/A</v>
      </c>
      <c r="X2184" s="7" t="e">
        <f>IF(VLOOKUP($A2184,'Concrete Beam Schedule'!$A$2:$Q$2902,X$2,0)&lt;&gt;H2184,"Beam Revised","")</f>
        <v>#N/A</v>
      </c>
      <c r="Y2184" s="7" t="e">
        <f>IF(VLOOKUP($A2184,'Concrete Beam Schedule'!$A$2:$Q$2902,Y$2,0)&lt;&gt;I2184,"Beam Revised","")</f>
        <v>#N/A</v>
      </c>
      <c r="Z2184" s="7" t="e">
        <f>IF(VLOOKUP($A2184,'Concrete Beam Schedule'!$A$2:$Q$2902,Z$2,0)&lt;&gt;J2184,"Beam Revised","")</f>
        <v>#N/A</v>
      </c>
      <c r="AA2184" s="7" t="e">
        <f>IF(VLOOKUP($A2184,'Concrete Beam Schedule'!$A$2:$Q$2902,AA$2,0)&lt;&gt;K2184,"Beam Revised","")</f>
        <v>#N/A</v>
      </c>
      <c r="AB2184" s="7" t="e">
        <f>IF(VLOOKUP($A2184,'Concrete Beam Schedule'!$A$2:$Q$2902,AB$2,0)&lt;&gt;L2184,"Beam Revised","")</f>
        <v>#N/A</v>
      </c>
      <c r="AC2184" s="7" t="e">
        <f>IF(VLOOKUP($A2184,'Concrete Beam Schedule'!$A$2:$Q$2902,AC$2,0)&lt;&gt;M2184,"Beam Revised","")</f>
        <v>#N/A</v>
      </c>
      <c r="AD2184" s="7" t="e">
        <f>IF(VLOOKUP($A2184,'Concrete Beam Schedule'!$A$2:$Q$2902,AD$2,0)&lt;&gt;N2184,"Beam Revised","")</f>
        <v>#N/A</v>
      </c>
      <c r="AE2184" s="7" t="e">
        <f>IF(VLOOKUP($A2184,'Concrete Beam Schedule'!$A$2:$Q$2902,AE$2,0)&lt;&gt;O2184,"Beam Revised","")</f>
        <v>#N/A</v>
      </c>
    </row>
    <row r="2185" spans="17:31" ht="20.100000000000001" customHeight="1" x14ac:dyDescent="0.25">
      <c r="Q2185" s="7">
        <f t="shared" si="34"/>
        <v>0</v>
      </c>
      <c r="R2185" s="7" t="e">
        <f>IF(VLOOKUP($A2185,'Concrete Beam Schedule'!$A$2:$Q$2902,R$2,0)&lt;&gt;B2185,VLOOKUP($A2185,'Concrete Beam Schedule'!$A$2:$Q$2902,R$2,0),"")</f>
        <v>#N/A</v>
      </c>
      <c r="S2185" s="7" t="e">
        <f>IF(VLOOKUP($A2185,'Concrete Beam Schedule'!$A$2:$Q$2902,S$2,0)&lt;&gt;C2185,VLOOKUP($A2185,'Concrete Beam Schedule'!$A$2:$Q$2902,S$2,0),"")</f>
        <v>#N/A</v>
      </c>
      <c r="T2185" s="7" t="e">
        <f>IF(VLOOKUP($A2185,'Concrete Beam Schedule'!$A$2:$Q$2902,T$2,0)&lt;&gt;D2185,"Beam Revised","")</f>
        <v>#N/A</v>
      </c>
      <c r="U2185" s="7" t="e">
        <f>IF(VLOOKUP($A2185,'Concrete Beam Schedule'!$A$2:$Q$2902,U$2,0)&lt;&gt;E2185,"Beam Revised","")</f>
        <v>#N/A</v>
      </c>
      <c r="V2185" s="7" t="e">
        <f>IF(VLOOKUP($A2185,'Concrete Beam Schedule'!$A$2:$Q$2902,V$2,0)&lt;&gt;F2185,"Beam Revised","")</f>
        <v>#N/A</v>
      </c>
      <c r="W2185" s="7" t="e">
        <f>IF(VLOOKUP($A2185,'Concrete Beam Schedule'!$A$2:$Q$2902,W$2,0)&lt;&gt;G2185,"Beam Revised","")</f>
        <v>#N/A</v>
      </c>
      <c r="X2185" s="7" t="e">
        <f>IF(VLOOKUP($A2185,'Concrete Beam Schedule'!$A$2:$Q$2902,X$2,0)&lt;&gt;H2185,"Beam Revised","")</f>
        <v>#N/A</v>
      </c>
      <c r="Y2185" s="7" t="e">
        <f>IF(VLOOKUP($A2185,'Concrete Beam Schedule'!$A$2:$Q$2902,Y$2,0)&lt;&gt;I2185,"Beam Revised","")</f>
        <v>#N/A</v>
      </c>
      <c r="Z2185" s="7" t="e">
        <f>IF(VLOOKUP($A2185,'Concrete Beam Schedule'!$A$2:$Q$2902,Z$2,0)&lt;&gt;J2185,"Beam Revised","")</f>
        <v>#N/A</v>
      </c>
      <c r="AA2185" s="7" t="e">
        <f>IF(VLOOKUP($A2185,'Concrete Beam Schedule'!$A$2:$Q$2902,AA$2,0)&lt;&gt;K2185,"Beam Revised","")</f>
        <v>#N/A</v>
      </c>
      <c r="AB2185" s="7" t="e">
        <f>IF(VLOOKUP($A2185,'Concrete Beam Schedule'!$A$2:$Q$2902,AB$2,0)&lt;&gt;L2185,"Beam Revised","")</f>
        <v>#N/A</v>
      </c>
      <c r="AC2185" s="7" t="e">
        <f>IF(VLOOKUP($A2185,'Concrete Beam Schedule'!$A$2:$Q$2902,AC$2,0)&lt;&gt;M2185,"Beam Revised","")</f>
        <v>#N/A</v>
      </c>
      <c r="AD2185" s="7" t="e">
        <f>IF(VLOOKUP($A2185,'Concrete Beam Schedule'!$A$2:$Q$2902,AD$2,0)&lt;&gt;N2185,"Beam Revised","")</f>
        <v>#N/A</v>
      </c>
      <c r="AE2185" s="7" t="e">
        <f>IF(VLOOKUP($A2185,'Concrete Beam Schedule'!$A$2:$Q$2902,AE$2,0)&lt;&gt;O2185,"Beam Revised","")</f>
        <v>#N/A</v>
      </c>
    </row>
    <row r="2186" spans="17:31" ht="20.100000000000001" customHeight="1" x14ac:dyDescent="0.25">
      <c r="Q2186" s="7">
        <f t="shared" si="34"/>
        <v>0</v>
      </c>
      <c r="R2186" s="7" t="e">
        <f>IF(VLOOKUP($A2186,'Concrete Beam Schedule'!$A$2:$Q$2902,R$2,0)&lt;&gt;B2186,VLOOKUP($A2186,'Concrete Beam Schedule'!$A$2:$Q$2902,R$2,0),"")</f>
        <v>#N/A</v>
      </c>
      <c r="S2186" s="7" t="e">
        <f>IF(VLOOKUP($A2186,'Concrete Beam Schedule'!$A$2:$Q$2902,S$2,0)&lt;&gt;C2186,VLOOKUP($A2186,'Concrete Beam Schedule'!$A$2:$Q$2902,S$2,0),"")</f>
        <v>#N/A</v>
      </c>
      <c r="T2186" s="7" t="e">
        <f>IF(VLOOKUP($A2186,'Concrete Beam Schedule'!$A$2:$Q$2902,T$2,0)&lt;&gt;D2186,"Beam Revised","")</f>
        <v>#N/A</v>
      </c>
      <c r="U2186" s="7" t="e">
        <f>IF(VLOOKUP($A2186,'Concrete Beam Schedule'!$A$2:$Q$2902,U$2,0)&lt;&gt;E2186,"Beam Revised","")</f>
        <v>#N/A</v>
      </c>
      <c r="V2186" s="7" t="e">
        <f>IF(VLOOKUP($A2186,'Concrete Beam Schedule'!$A$2:$Q$2902,V$2,0)&lt;&gt;F2186,"Beam Revised","")</f>
        <v>#N/A</v>
      </c>
      <c r="W2186" s="7" t="e">
        <f>IF(VLOOKUP($A2186,'Concrete Beam Schedule'!$A$2:$Q$2902,W$2,0)&lt;&gt;G2186,"Beam Revised","")</f>
        <v>#N/A</v>
      </c>
      <c r="X2186" s="7" t="e">
        <f>IF(VLOOKUP($A2186,'Concrete Beam Schedule'!$A$2:$Q$2902,X$2,0)&lt;&gt;H2186,"Beam Revised","")</f>
        <v>#N/A</v>
      </c>
      <c r="Y2186" s="7" t="e">
        <f>IF(VLOOKUP($A2186,'Concrete Beam Schedule'!$A$2:$Q$2902,Y$2,0)&lt;&gt;I2186,"Beam Revised","")</f>
        <v>#N/A</v>
      </c>
      <c r="Z2186" s="7" t="e">
        <f>IF(VLOOKUP($A2186,'Concrete Beam Schedule'!$A$2:$Q$2902,Z$2,0)&lt;&gt;J2186,"Beam Revised","")</f>
        <v>#N/A</v>
      </c>
      <c r="AA2186" s="7" t="e">
        <f>IF(VLOOKUP($A2186,'Concrete Beam Schedule'!$A$2:$Q$2902,AA$2,0)&lt;&gt;K2186,"Beam Revised","")</f>
        <v>#N/A</v>
      </c>
      <c r="AB2186" s="7" t="e">
        <f>IF(VLOOKUP($A2186,'Concrete Beam Schedule'!$A$2:$Q$2902,AB$2,0)&lt;&gt;L2186,"Beam Revised","")</f>
        <v>#N/A</v>
      </c>
      <c r="AC2186" s="7" t="e">
        <f>IF(VLOOKUP($A2186,'Concrete Beam Schedule'!$A$2:$Q$2902,AC$2,0)&lt;&gt;M2186,"Beam Revised","")</f>
        <v>#N/A</v>
      </c>
      <c r="AD2186" s="7" t="e">
        <f>IF(VLOOKUP($A2186,'Concrete Beam Schedule'!$A$2:$Q$2902,AD$2,0)&lt;&gt;N2186,"Beam Revised","")</f>
        <v>#N/A</v>
      </c>
      <c r="AE2186" s="7" t="e">
        <f>IF(VLOOKUP($A2186,'Concrete Beam Schedule'!$A$2:$Q$2902,AE$2,0)&lt;&gt;O2186,"Beam Revised","")</f>
        <v>#N/A</v>
      </c>
    </row>
    <row r="2187" spans="17:31" ht="20.100000000000001" customHeight="1" x14ac:dyDescent="0.25">
      <c r="Q2187" s="7">
        <f t="shared" si="34"/>
        <v>0</v>
      </c>
      <c r="R2187" s="7" t="e">
        <f>IF(VLOOKUP($A2187,'Concrete Beam Schedule'!$A$2:$Q$2902,R$2,0)&lt;&gt;B2187,VLOOKUP($A2187,'Concrete Beam Schedule'!$A$2:$Q$2902,R$2,0),"")</f>
        <v>#N/A</v>
      </c>
      <c r="S2187" s="7" t="e">
        <f>IF(VLOOKUP($A2187,'Concrete Beam Schedule'!$A$2:$Q$2902,S$2,0)&lt;&gt;C2187,VLOOKUP($A2187,'Concrete Beam Schedule'!$A$2:$Q$2902,S$2,0),"")</f>
        <v>#N/A</v>
      </c>
      <c r="T2187" s="7" t="e">
        <f>IF(VLOOKUP($A2187,'Concrete Beam Schedule'!$A$2:$Q$2902,T$2,0)&lt;&gt;D2187,"Beam Revised","")</f>
        <v>#N/A</v>
      </c>
      <c r="U2187" s="7" t="e">
        <f>IF(VLOOKUP($A2187,'Concrete Beam Schedule'!$A$2:$Q$2902,U$2,0)&lt;&gt;E2187,"Beam Revised","")</f>
        <v>#N/A</v>
      </c>
      <c r="V2187" s="7" t="e">
        <f>IF(VLOOKUP($A2187,'Concrete Beam Schedule'!$A$2:$Q$2902,V$2,0)&lt;&gt;F2187,"Beam Revised","")</f>
        <v>#N/A</v>
      </c>
      <c r="W2187" s="7" t="e">
        <f>IF(VLOOKUP($A2187,'Concrete Beam Schedule'!$A$2:$Q$2902,W$2,0)&lt;&gt;G2187,"Beam Revised","")</f>
        <v>#N/A</v>
      </c>
      <c r="X2187" s="7" t="e">
        <f>IF(VLOOKUP($A2187,'Concrete Beam Schedule'!$A$2:$Q$2902,X$2,0)&lt;&gt;H2187,"Beam Revised","")</f>
        <v>#N/A</v>
      </c>
      <c r="Y2187" s="7" t="e">
        <f>IF(VLOOKUP($A2187,'Concrete Beam Schedule'!$A$2:$Q$2902,Y$2,0)&lt;&gt;I2187,"Beam Revised","")</f>
        <v>#N/A</v>
      </c>
      <c r="Z2187" s="7" t="e">
        <f>IF(VLOOKUP($A2187,'Concrete Beam Schedule'!$A$2:$Q$2902,Z$2,0)&lt;&gt;J2187,"Beam Revised","")</f>
        <v>#N/A</v>
      </c>
      <c r="AA2187" s="7" t="e">
        <f>IF(VLOOKUP($A2187,'Concrete Beam Schedule'!$A$2:$Q$2902,AA$2,0)&lt;&gt;K2187,"Beam Revised","")</f>
        <v>#N/A</v>
      </c>
      <c r="AB2187" s="7" t="e">
        <f>IF(VLOOKUP($A2187,'Concrete Beam Schedule'!$A$2:$Q$2902,AB$2,0)&lt;&gt;L2187,"Beam Revised","")</f>
        <v>#N/A</v>
      </c>
      <c r="AC2187" s="7" t="e">
        <f>IF(VLOOKUP($A2187,'Concrete Beam Schedule'!$A$2:$Q$2902,AC$2,0)&lt;&gt;M2187,"Beam Revised","")</f>
        <v>#N/A</v>
      </c>
      <c r="AD2187" s="7" t="e">
        <f>IF(VLOOKUP($A2187,'Concrete Beam Schedule'!$A$2:$Q$2902,AD$2,0)&lt;&gt;N2187,"Beam Revised","")</f>
        <v>#N/A</v>
      </c>
      <c r="AE2187" s="7" t="e">
        <f>IF(VLOOKUP($A2187,'Concrete Beam Schedule'!$A$2:$Q$2902,AE$2,0)&lt;&gt;O2187,"Beam Revised","")</f>
        <v>#N/A</v>
      </c>
    </row>
    <row r="2188" spans="17:31" ht="20.100000000000001" customHeight="1" x14ac:dyDescent="0.25">
      <c r="Q2188" s="7">
        <f t="shared" si="34"/>
        <v>0</v>
      </c>
      <c r="R2188" s="7" t="e">
        <f>IF(VLOOKUP($A2188,'Concrete Beam Schedule'!$A$2:$Q$2902,R$2,0)&lt;&gt;B2188,VLOOKUP($A2188,'Concrete Beam Schedule'!$A$2:$Q$2902,R$2,0),"")</f>
        <v>#N/A</v>
      </c>
      <c r="S2188" s="7" t="e">
        <f>IF(VLOOKUP($A2188,'Concrete Beam Schedule'!$A$2:$Q$2902,S$2,0)&lt;&gt;C2188,VLOOKUP($A2188,'Concrete Beam Schedule'!$A$2:$Q$2902,S$2,0),"")</f>
        <v>#N/A</v>
      </c>
      <c r="T2188" s="7" t="e">
        <f>IF(VLOOKUP($A2188,'Concrete Beam Schedule'!$A$2:$Q$2902,T$2,0)&lt;&gt;D2188,"Beam Revised","")</f>
        <v>#N/A</v>
      </c>
      <c r="U2188" s="7" t="e">
        <f>IF(VLOOKUP($A2188,'Concrete Beam Schedule'!$A$2:$Q$2902,U$2,0)&lt;&gt;E2188,"Beam Revised","")</f>
        <v>#N/A</v>
      </c>
      <c r="V2188" s="7" t="e">
        <f>IF(VLOOKUP($A2188,'Concrete Beam Schedule'!$A$2:$Q$2902,V$2,0)&lt;&gt;F2188,"Beam Revised","")</f>
        <v>#N/A</v>
      </c>
      <c r="W2188" s="7" t="e">
        <f>IF(VLOOKUP($A2188,'Concrete Beam Schedule'!$A$2:$Q$2902,W$2,0)&lt;&gt;G2188,"Beam Revised","")</f>
        <v>#N/A</v>
      </c>
      <c r="X2188" s="7" t="e">
        <f>IF(VLOOKUP($A2188,'Concrete Beam Schedule'!$A$2:$Q$2902,X$2,0)&lt;&gt;H2188,"Beam Revised","")</f>
        <v>#N/A</v>
      </c>
      <c r="Y2188" s="7" t="e">
        <f>IF(VLOOKUP($A2188,'Concrete Beam Schedule'!$A$2:$Q$2902,Y$2,0)&lt;&gt;I2188,"Beam Revised","")</f>
        <v>#N/A</v>
      </c>
      <c r="Z2188" s="7" t="e">
        <f>IF(VLOOKUP($A2188,'Concrete Beam Schedule'!$A$2:$Q$2902,Z$2,0)&lt;&gt;J2188,"Beam Revised","")</f>
        <v>#N/A</v>
      </c>
      <c r="AA2188" s="7" t="e">
        <f>IF(VLOOKUP($A2188,'Concrete Beam Schedule'!$A$2:$Q$2902,AA$2,0)&lt;&gt;K2188,"Beam Revised","")</f>
        <v>#N/A</v>
      </c>
      <c r="AB2188" s="7" t="e">
        <f>IF(VLOOKUP($A2188,'Concrete Beam Schedule'!$A$2:$Q$2902,AB$2,0)&lt;&gt;L2188,"Beam Revised","")</f>
        <v>#N/A</v>
      </c>
      <c r="AC2188" s="7" t="e">
        <f>IF(VLOOKUP($A2188,'Concrete Beam Schedule'!$A$2:$Q$2902,AC$2,0)&lt;&gt;M2188,"Beam Revised","")</f>
        <v>#N/A</v>
      </c>
      <c r="AD2188" s="7" t="e">
        <f>IF(VLOOKUP($A2188,'Concrete Beam Schedule'!$A$2:$Q$2902,AD$2,0)&lt;&gt;N2188,"Beam Revised","")</f>
        <v>#N/A</v>
      </c>
      <c r="AE2188" s="7" t="e">
        <f>IF(VLOOKUP($A2188,'Concrete Beam Schedule'!$A$2:$Q$2902,AE$2,0)&lt;&gt;O2188,"Beam Revised","")</f>
        <v>#N/A</v>
      </c>
    </row>
    <row r="2189" spans="17:31" ht="20.100000000000001" customHeight="1" x14ac:dyDescent="0.25">
      <c r="Q2189" s="7">
        <f t="shared" si="34"/>
        <v>0</v>
      </c>
      <c r="R2189" s="7" t="e">
        <f>IF(VLOOKUP($A2189,'Concrete Beam Schedule'!$A$2:$Q$2902,R$2,0)&lt;&gt;B2189,VLOOKUP($A2189,'Concrete Beam Schedule'!$A$2:$Q$2902,R$2,0),"")</f>
        <v>#N/A</v>
      </c>
      <c r="S2189" s="7" t="e">
        <f>IF(VLOOKUP($A2189,'Concrete Beam Schedule'!$A$2:$Q$2902,S$2,0)&lt;&gt;C2189,VLOOKUP($A2189,'Concrete Beam Schedule'!$A$2:$Q$2902,S$2,0),"")</f>
        <v>#N/A</v>
      </c>
      <c r="T2189" s="7" t="e">
        <f>IF(VLOOKUP($A2189,'Concrete Beam Schedule'!$A$2:$Q$2902,T$2,0)&lt;&gt;D2189,"Beam Revised","")</f>
        <v>#N/A</v>
      </c>
      <c r="U2189" s="7" t="e">
        <f>IF(VLOOKUP($A2189,'Concrete Beam Schedule'!$A$2:$Q$2902,U$2,0)&lt;&gt;E2189,"Beam Revised","")</f>
        <v>#N/A</v>
      </c>
      <c r="V2189" s="7" t="e">
        <f>IF(VLOOKUP($A2189,'Concrete Beam Schedule'!$A$2:$Q$2902,V$2,0)&lt;&gt;F2189,"Beam Revised","")</f>
        <v>#N/A</v>
      </c>
      <c r="W2189" s="7" t="e">
        <f>IF(VLOOKUP($A2189,'Concrete Beam Schedule'!$A$2:$Q$2902,W$2,0)&lt;&gt;G2189,"Beam Revised","")</f>
        <v>#N/A</v>
      </c>
      <c r="X2189" s="7" t="e">
        <f>IF(VLOOKUP($A2189,'Concrete Beam Schedule'!$A$2:$Q$2902,X$2,0)&lt;&gt;H2189,"Beam Revised","")</f>
        <v>#N/A</v>
      </c>
      <c r="Y2189" s="7" t="e">
        <f>IF(VLOOKUP($A2189,'Concrete Beam Schedule'!$A$2:$Q$2902,Y$2,0)&lt;&gt;I2189,"Beam Revised","")</f>
        <v>#N/A</v>
      </c>
      <c r="Z2189" s="7" t="e">
        <f>IF(VLOOKUP($A2189,'Concrete Beam Schedule'!$A$2:$Q$2902,Z$2,0)&lt;&gt;J2189,"Beam Revised","")</f>
        <v>#N/A</v>
      </c>
      <c r="AA2189" s="7" t="e">
        <f>IF(VLOOKUP($A2189,'Concrete Beam Schedule'!$A$2:$Q$2902,AA$2,0)&lt;&gt;K2189,"Beam Revised","")</f>
        <v>#N/A</v>
      </c>
      <c r="AB2189" s="7" t="e">
        <f>IF(VLOOKUP($A2189,'Concrete Beam Schedule'!$A$2:$Q$2902,AB$2,0)&lt;&gt;L2189,"Beam Revised","")</f>
        <v>#N/A</v>
      </c>
      <c r="AC2189" s="7" t="e">
        <f>IF(VLOOKUP($A2189,'Concrete Beam Schedule'!$A$2:$Q$2902,AC$2,0)&lt;&gt;M2189,"Beam Revised","")</f>
        <v>#N/A</v>
      </c>
      <c r="AD2189" s="7" t="e">
        <f>IF(VLOOKUP($A2189,'Concrete Beam Schedule'!$A$2:$Q$2902,AD$2,0)&lt;&gt;N2189,"Beam Revised","")</f>
        <v>#N/A</v>
      </c>
      <c r="AE2189" s="7" t="e">
        <f>IF(VLOOKUP($A2189,'Concrete Beam Schedule'!$A$2:$Q$2902,AE$2,0)&lt;&gt;O2189,"Beam Revised","")</f>
        <v>#N/A</v>
      </c>
    </row>
    <row r="2190" spans="17:31" ht="20.100000000000001" customHeight="1" x14ac:dyDescent="0.25">
      <c r="Q2190" s="7">
        <f t="shared" si="34"/>
        <v>0</v>
      </c>
      <c r="R2190" s="7" t="e">
        <f>IF(VLOOKUP($A2190,'Concrete Beam Schedule'!$A$2:$Q$2902,R$2,0)&lt;&gt;B2190,VLOOKUP($A2190,'Concrete Beam Schedule'!$A$2:$Q$2902,R$2,0),"")</f>
        <v>#N/A</v>
      </c>
      <c r="S2190" s="7" t="e">
        <f>IF(VLOOKUP($A2190,'Concrete Beam Schedule'!$A$2:$Q$2902,S$2,0)&lt;&gt;C2190,VLOOKUP($A2190,'Concrete Beam Schedule'!$A$2:$Q$2902,S$2,0),"")</f>
        <v>#N/A</v>
      </c>
      <c r="T2190" s="7" t="e">
        <f>IF(VLOOKUP($A2190,'Concrete Beam Schedule'!$A$2:$Q$2902,T$2,0)&lt;&gt;D2190,"Beam Revised","")</f>
        <v>#N/A</v>
      </c>
      <c r="U2190" s="7" t="e">
        <f>IF(VLOOKUP($A2190,'Concrete Beam Schedule'!$A$2:$Q$2902,U$2,0)&lt;&gt;E2190,"Beam Revised","")</f>
        <v>#N/A</v>
      </c>
      <c r="V2190" s="7" t="e">
        <f>IF(VLOOKUP($A2190,'Concrete Beam Schedule'!$A$2:$Q$2902,V$2,0)&lt;&gt;F2190,"Beam Revised","")</f>
        <v>#N/A</v>
      </c>
      <c r="W2190" s="7" t="e">
        <f>IF(VLOOKUP($A2190,'Concrete Beam Schedule'!$A$2:$Q$2902,W$2,0)&lt;&gt;G2190,"Beam Revised","")</f>
        <v>#N/A</v>
      </c>
      <c r="X2190" s="7" t="e">
        <f>IF(VLOOKUP($A2190,'Concrete Beam Schedule'!$A$2:$Q$2902,X$2,0)&lt;&gt;H2190,"Beam Revised","")</f>
        <v>#N/A</v>
      </c>
      <c r="Y2190" s="7" t="e">
        <f>IF(VLOOKUP($A2190,'Concrete Beam Schedule'!$A$2:$Q$2902,Y$2,0)&lt;&gt;I2190,"Beam Revised","")</f>
        <v>#N/A</v>
      </c>
      <c r="Z2190" s="7" t="e">
        <f>IF(VLOOKUP($A2190,'Concrete Beam Schedule'!$A$2:$Q$2902,Z$2,0)&lt;&gt;J2190,"Beam Revised","")</f>
        <v>#N/A</v>
      </c>
      <c r="AA2190" s="7" t="e">
        <f>IF(VLOOKUP($A2190,'Concrete Beam Schedule'!$A$2:$Q$2902,AA$2,0)&lt;&gt;K2190,"Beam Revised","")</f>
        <v>#N/A</v>
      </c>
      <c r="AB2190" s="7" t="e">
        <f>IF(VLOOKUP($A2190,'Concrete Beam Schedule'!$A$2:$Q$2902,AB$2,0)&lt;&gt;L2190,"Beam Revised","")</f>
        <v>#N/A</v>
      </c>
      <c r="AC2190" s="7" t="e">
        <f>IF(VLOOKUP($A2190,'Concrete Beam Schedule'!$A$2:$Q$2902,AC$2,0)&lt;&gt;M2190,"Beam Revised","")</f>
        <v>#N/A</v>
      </c>
      <c r="AD2190" s="7" t="e">
        <f>IF(VLOOKUP($A2190,'Concrete Beam Schedule'!$A$2:$Q$2902,AD$2,0)&lt;&gt;N2190,"Beam Revised","")</f>
        <v>#N/A</v>
      </c>
      <c r="AE2190" s="7" t="e">
        <f>IF(VLOOKUP($A2190,'Concrete Beam Schedule'!$A$2:$Q$2902,AE$2,0)&lt;&gt;O2190,"Beam Revised","")</f>
        <v>#N/A</v>
      </c>
    </row>
    <row r="2191" spans="17:31" ht="20.100000000000001" customHeight="1" x14ac:dyDescent="0.25">
      <c r="Q2191" s="7">
        <f t="shared" si="34"/>
        <v>0</v>
      </c>
      <c r="R2191" s="7" t="e">
        <f>IF(VLOOKUP($A2191,'Concrete Beam Schedule'!$A$2:$Q$2902,R$2,0)&lt;&gt;B2191,VLOOKUP($A2191,'Concrete Beam Schedule'!$A$2:$Q$2902,R$2,0),"")</f>
        <v>#N/A</v>
      </c>
      <c r="S2191" s="7" t="e">
        <f>IF(VLOOKUP($A2191,'Concrete Beam Schedule'!$A$2:$Q$2902,S$2,0)&lt;&gt;C2191,VLOOKUP($A2191,'Concrete Beam Schedule'!$A$2:$Q$2902,S$2,0),"")</f>
        <v>#N/A</v>
      </c>
      <c r="T2191" s="7" t="e">
        <f>IF(VLOOKUP($A2191,'Concrete Beam Schedule'!$A$2:$Q$2902,T$2,0)&lt;&gt;D2191,"Beam Revised","")</f>
        <v>#N/A</v>
      </c>
      <c r="U2191" s="7" t="e">
        <f>IF(VLOOKUP($A2191,'Concrete Beam Schedule'!$A$2:$Q$2902,U$2,0)&lt;&gt;E2191,"Beam Revised","")</f>
        <v>#N/A</v>
      </c>
      <c r="V2191" s="7" t="e">
        <f>IF(VLOOKUP($A2191,'Concrete Beam Schedule'!$A$2:$Q$2902,V$2,0)&lt;&gt;F2191,"Beam Revised","")</f>
        <v>#N/A</v>
      </c>
      <c r="W2191" s="7" t="e">
        <f>IF(VLOOKUP($A2191,'Concrete Beam Schedule'!$A$2:$Q$2902,W$2,0)&lt;&gt;G2191,"Beam Revised","")</f>
        <v>#N/A</v>
      </c>
      <c r="X2191" s="7" t="e">
        <f>IF(VLOOKUP($A2191,'Concrete Beam Schedule'!$A$2:$Q$2902,X$2,0)&lt;&gt;H2191,"Beam Revised","")</f>
        <v>#N/A</v>
      </c>
      <c r="Y2191" s="7" t="e">
        <f>IF(VLOOKUP($A2191,'Concrete Beam Schedule'!$A$2:$Q$2902,Y$2,0)&lt;&gt;I2191,"Beam Revised","")</f>
        <v>#N/A</v>
      </c>
      <c r="Z2191" s="7" t="e">
        <f>IF(VLOOKUP($A2191,'Concrete Beam Schedule'!$A$2:$Q$2902,Z$2,0)&lt;&gt;J2191,"Beam Revised","")</f>
        <v>#N/A</v>
      </c>
      <c r="AA2191" s="7" t="e">
        <f>IF(VLOOKUP($A2191,'Concrete Beam Schedule'!$A$2:$Q$2902,AA$2,0)&lt;&gt;K2191,"Beam Revised","")</f>
        <v>#N/A</v>
      </c>
      <c r="AB2191" s="7" t="e">
        <f>IF(VLOOKUP($A2191,'Concrete Beam Schedule'!$A$2:$Q$2902,AB$2,0)&lt;&gt;L2191,"Beam Revised","")</f>
        <v>#N/A</v>
      </c>
      <c r="AC2191" s="7" t="e">
        <f>IF(VLOOKUP($A2191,'Concrete Beam Schedule'!$A$2:$Q$2902,AC$2,0)&lt;&gt;M2191,"Beam Revised","")</f>
        <v>#N/A</v>
      </c>
      <c r="AD2191" s="7" t="e">
        <f>IF(VLOOKUP($A2191,'Concrete Beam Schedule'!$A$2:$Q$2902,AD$2,0)&lt;&gt;N2191,"Beam Revised","")</f>
        <v>#N/A</v>
      </c>
      <c r="AE2191" s="7" t="e">
        <f>IF(VLOOKUP($A2191,'Concrete Beam Schedule'!$A$2:$Q$2902,AE$2,0)&lt;&gt;O2191,"Beam Revised","")</f>
        <v>#N/A</v>
      </c>
    </row>
    <row r="2192" spans="17:31" ht="20.100000000000001" customHeight="1" x14ac:dyDescent="0.25">
      <c r="Q2192" s="7">
        <f t="shared" si="34"/>
        <v>0</v>
      </c>
      <c r="R2192" s="7" t="e">
        <f>IF(VLOOKUP($A2192,'Concrete Beam Schedule'!$A$2:$Q$2902,R$2,0)&lt;&gt;B2192,VLOOKUP($A2192,'Concrete Beam Schedule'!$A$2:$Q$2902,R$2,0),"")</f>
        <v>#N/A</v>
      </c>
      <c r="S2192" s="7" t="e">
        <f>IF(VLOOKUP($A2192,'Concrete Beam Schedule'!$A$2:$Q$2902,S$2,0)&lt;&gt;C2192,VLOOKUP($A2192,'Concrete Beam Schedule'!$A$2:$Q$2902,S$2,0),"")</f>
        <v>#N/A</v>
      </c>
      <c r="T2192" s="7" t="e">
        <f>IF(VLOOKUP($A2192,'Concrete Beam Schedule'!$A$2:$Q$2902,T$2,0)&lt;&gt;D2192,"Beam Revised","")</f>
        <v>#N/A</v>
      </c>
      <c r="U2192" s="7" t="e">
        <f>IF(VLOOKUP($A2192,'Concrete Beam Schedule'!$A$2:$Q$2902,U$2,0)&lt;&gt;E2192,"Beam Revised","")</f>
        <v>#N/A</v>
      </c>
      <c r="V2192" s="7" t="e">
        <f>IF(VLOOKUP($A2192,'Concrete Beam Schedule'!$A$2:$Q$2902,V$2,0)&lt;&gt;F2192,"Beam Revised","")</f>
        <v>#N/A</v>
      </c>
      <c r="W2192" s="7" t="e">
        <f>IF(VLOOKUP($A2192,'Concrete Beam Schedule'!$A$2:$Q$2902,W$2,0)&lt;&gt;G2192,"Beam Revised","")</f>
        <v>#N/A</v>
      </c>
      <c r="X2192" s="7" t="e">
        <f>IF(VLOOKUP($A2192,'Concrete Beam Schedule'!$A$2:$Q$2902,X$2,0)&lt;&gt;H2192,"Beam Revised","")</f>
        <v>#N/A</v>
      </c>
      <c r="Y2192" s="7" t="e">
        <f>IF(VLOOKUP($A2192,'Concrete Beam Schedule'!$A$2:$Q$2902,Y$2,0)&lt;&gt;I2192,"Beam Revised","")</f>
        <v>#N/A</v>
      </c>
      <c r="Z2192" s="7" t="e">
        <f>IF(VLOOKUP($A2192,'Concrete Beam Schedule'!$A$2:$Q$2902,Z$2,0)&lt;&gt;J2192,"Beam Revised","")</f>
        <v>#N/A</v>
      </c>
      <c r="AA2192" s="7" t="e">
        <f>IF(VLOOKUP($A2192,'Concrete Beam Schedule'!$A$2:$Q$2902,AA$2,0)&lt;&gt;K2192,"Beam Revised","")</f>
        <v>#N/A</v>
      </c>
      <c r="AB2192" s="7" t="e">
        <f>IF(VLOOKUP($A2192,'Concrete Beam Schedule'!$A$2:$Q$2902,AB$2,0)&lt;&gt;L2192,"Beam Revised","")</f>
        <v>#N/A</v>
      </c>
      <c r="AC2192" s="7" t="e">
        <f>IF(VLOOKUP($A2192,'Concrete Beam Schedule'!$A$2:$Q$2902,AC$2,0)&lt;&gt;M2192,"Beam Revised","")</f>
        <v>#N/A</v>
      </c>
      <c r="AD2192" s="7" t="e">
        <f>IF(VLOOKUP($A2192,'Concrete Beam Schedule'!$A$2:$Q$2902,AD$2,0)&lt;&gt;N2192,"Beam Revised","")</f>
        <v>#N/A</v>
      </c>
      <c r="AE2192" s="7" t="e">
        <f>IF(VLOOKUP($A2192,'Concrete Beam Schedule'!$A$2:$Q$2902,AE$2,0)&lt;&gt;O2192,"Beam Revised","")</f>
        <v>#N/A</v>
      </c>
    </row>
    <row r="2193" spans="17:31" ht="20.100000000000001" customHeight="1" x14ac:dyDescent="0.25">
      <c r="Q2193" s="7">
        <f t="shared" si="34"/>
        <v>0</v>
      </c>
      <c r="R2193" s="7" t="e">
        <f>IF(VLOOKUP($A2193,'Concrete Beam Schedule'!$A$2:$Q$2902,R$2,0)&lt;&gt;B2193,VLOOKUP($A2193,'Concrete Beam Schedule'!$A$2:$Q$2902,R$2,0),"")</f>
        <v>#N/A</v>
      </c>
      <c r="S2193" s="7" t="e">
        <f>IF(VLOOKUP($A2193,'Concrete Beam Schedule'!$A$2:$Q$2902,S$2,0)&lt;&gt;C2193,VLOOKUP($A2193,'Concrete Beam Schedule'!$A$2:$Q$2902,S$2,0),"")</f>
        <v>#N/A</v>
      </c>
      <c r="T2193" s="7" t="e">
        <f>IF(VLOOKUP($A2193,'Concrete Beam Schedule'!$A$2:$Q$2902,T$2,0)&lt;&gt;D2193,"Beam Revised","")</f>
        <v>#N/A</v>
      </c>
      <c r="U2193" s="7" t="e">
        <f>IF(VLOOKUP($A2193,'Concrete Beam Schedule'!$A$2:$Q$2902,U$2,0)&lt;&gt;E2193,"Beam Revised","")</f>
        <v>#N/A</v>
      </c>
      <c r="V2193" s="7" t="e">
        <f>IF(VLOOKUP($A2193,'Concrete Beam Schedule'!$A$2:$Q$2902,V$2,0)&lt;&gt;F2193,"Beam Revised","")</f>
        <v>#N/A</v>
      </c>
      <c r="W2193" s="7" t="e">
        <f>IF(VLOOKUP($A2193,'Concrete Beam Schedule'!$A$2:$Q$2902,W$2,0)&lt;&gt;G2193,"Beam Revised","")</f>
        <v>#N/A</v>
      </c>
      <c r="X2193" s="7" t="e">
        <f>IF(VLOOKUP($A2193,'Concrete Beam Schedule'!$A$2:$Q$2902,X$2,0)&lt;&gt;H2193,"Beam Revised","")</f>
        <v>#N/A</v>
      </c>
      <c r="Y2193" s="7" t="e">
        <f>IF(VLOOKUP($A2193,'Concrete Beam Schedule'!$A$2:$Q$2902,Y$2,0)&lt;&gt;I2193,"Beam Revised","")</f>
        <v>#N/A</v>
      </c>
      <c r="Z2193" s="7" t="e">
        <f>IF(VLOOKUP($A2193,'Concrete Beam Schedule'!$A$2:$Q$2902,Z$2,0)&lt;&gt;J2193,"Beam Revised","")</f>
        <v>#N/A</v>
      </c>
      <c r="AA2193" s="7" t="e">
        <f>IF(VLOOKUP($A2193,'Concrete Beam Schedule'!$A$2:$Q$2902,AA$2,0)&lt;&gt;K2193,"Beam Revised","")</f>
        <v>#N/A</v>
      </c>
      <c r="AB2193" s="7" t="e">
        <f>IF(VLOOKUP($A2193,'Concrete Beam Schedule'!$A$2:$Q$2902,AB$2,0)&lt;&gt;L2193,"Beam Revised","")</f>
        <v>#N/A</v>
      </c>
      <c r="AC2193" s="7" t="e">
        <f>IF(VLOOKUP($A2193,'Concrete Beam Schedule'!$A$2:$Q$2902,AC$2,0)&lt;&gt;M2193,"Beam Revised","")</f>
        <v>#N/A</v>
      </c>
      <c r="AD2193" s="7" t="e">
        <f>IF(VLOOKUP($A2193,'Concrete Beam Schedule'!$A$2:$Q$2902,AD$2,0)&lt;&gt;N2193,"Beam Revised","")</f>
        <v>#N/A</v>
      </c>
      <c r="AE2193" s="7" t="e">
        <f>IF(VLOOKUP($A2193,'Concrete Beam Schedule'!$A$2:$Q$2902,AE$2,0)&lt;&gt;O2193,"Beam Revised","")</f>
        <v>#N/A</v>
      </c>
    </row>
    <row r="2194" spans="17:31" ht="20.100000000000001" customHeight="1" x14ac:dyDescent="0.25">
      <c r="Q2194" s="7">
        <f t="shared" si="34"/>
        <v>0</v>
      </c>
      <c r="R2194" s="7" t="e">
        <f>IF(VLOOKUP($A2194,'Concrete Beam Schedule'!$A$2:$Q$2902,R$2,0)&lt;&gt;B2194,VLOOKUP($A2194,'Concrete Beam Schedule'!$A$2:$Q$2902,R$2,0),"")</f>
        <v>#N/A</v>
      </c>
      <c r="S2194" s="7" t="e">
        <f>IF(VLOOKUP($A2194,'Concrete Beam Schedule'!$A$2:$Q$2902,S$2,0)&lt;&gt;C2194,VLOOKUP($A2194,'Concrete Beam Schedule'!$A$2:$Q$2902,S$2,0),"")</f>
        <v>#N/A</v>
      </c>
      <c r="T2194" s="7" t="e">
        <f>IF(VLOOKUP($A2194,'Concrete Beam Schedule'!$A$2:$Q$2902,T$2,0)&lt;&gt;D2194,"Beam Revised","")</f>
        <v>#N/A</v>
      </c>
      <c r="U2194" s="7" t="e">
        <f>IF(VLOOKUP($A2194,'Concrete Beam Schedule'!$A$2:$Q$2902,U$2,0)&lt;&gt;E2194,"Beam Revised","")</f>
        <v>#N/A</v>
      </c>
      <c r="V2194" s="7" t="e">
        <f>IF(VLOOKUP($A2194,'Concrete Beam Schedule'!$A$2:$Q$2902,V$2,0)&lt;&gt;F2194,"Beam Revised","")</f>
        <v>#N/A</v>
      </c>
      <c r="W2194" s="7" t="e">
        <f>IF(VLOOKUP($A2194,'Concrete Beam Schedule'!$A$2:$Q$2902,W$2,0)&lt;&gt;G2194,"Beam Revised","")</f>
        <v>#N/A</v>
      </c>
      <c r="X2194" s="7" t="e">
        <f>IF(VLOOKUP($A2194,'Concrete Beam Schedule'!$A$2:$Q$2902,X$2,0)&lt;&gt;H2194,"Beam Revised","")</f>
        <v>#N/A</v>
      </c>
      <c r="Y2194" s="7" t="e">
        <f>IF(VLOOKUP($A2194,'Concrete Beam Schedule'!$A$2:$Q$2902,Y$2,0)&lt;&gt;I2194,"Beam Revised","")</f>
        <v>#N/A</v>
      </c>
      <c r="Z2194" s="7" t="e">
        <f>IF(VLOOKUP($A2194,'Concrete Beam Schedule'!$A$2:$Q$2902,Z$2,0)&lt;&gt;J2194,"Beam Revised","")</f>
        <v>#N/A</v>
      </c>
      <c r="AA2194" s="7" t="e">
        <f>IF(VLOOKUP($A2194,'Concrete Beam Schedule'!$A$2:$Q$2902,AA$2,0)&lt;&gt;K2194,"Beam Revised","")</f>
        <v>#N/A</v>
      </c>
      <c r="AB2194" s="7" t="e">
        <f>IF(VLOOKUP($A2194,'Concrete Beam Schedule'!$A$2:$Q$2902,AB$2,0)&lt;&gt;L2194,"Beam Revised","")</f>
        <v>#N/A</v>
      </c>
      <c r="AC2194" s="7" t="e">
        <f>IF(VLOOKUP($A2194,'Concrete Beam Schedule'!$A$2:$Q$2902,AC$2,0)&lt;&gt;M2194,"Beam Revised","")</f>
        <v>#N/A</v>
      </c>
      <c r="AD2194" s="7" t="e">
        <f>IF(VLOOKUP($A2194,'Concrete Beam Schedule'!$A$2:$Q$2902,AD$2,0)&lt;&gt;N2194,"Beam Revised","")</f>
        <v>#N/A</v>
      </c>
      <c r="AE2194" s="7" t="e">
        <f>IF(VLOOKUP($A2194,'Concrete Beam Schedule'!$A$2:$Q$2902,AE$2,0)&lt;&gt;O2194,"Beam Revised","")</f>
        <v>#N/A</v>
      </c>
    </row>
    <row r="2195" spans="17:31" ht="20.100000000000001" customHeight="1" x14ac:dyDescent="0.25">
      <c r="Q2195" s="7">
        <f t="shared" si="34"/>
        <v>0</v>
      </c>
      <c r="R2195" s="7" t="e">
        <f>IF(VLOOKUP($A2195,'Concrete Beam Schedule'!$A$2:$Q$2902,R$2,0)&lt;&gt;B2195,VLOOKUP($A2195,'Concrete Beam Schedule'!$A$2:$Q$2902,R$2,0),"")</f>
        <v>#N/A</v>
      </c>
      <c r="S2195" s="7" t="e">
        <f>IF(VLOOKUP($A2195,'Concrete Beam Schedule'!$A$2:$Q$2902,S$2,0)&lt;&gt;C2195,VLOOKUP($A2195,'Concrete Beam Schedule'!$A$2:$Q$2902,S$2,0),"")</f>
        <v>#N/A</v>
      </c>
      <c r="T2195" s="7" t="e">
        <f>IF(VLOOKUP($A2195,'Concrete Beam Schedule'!$A$2:$Q$2902,T$2,0)&lt;&gt;D2195,"Beam Revised","")</f>
        <v>#N/A</v>
      </c>
      <c r="U2195" s="7" t="e">
        <f>IF(VLOOKUP($A2195,'Concrete Beam Schedule'!$A$2:$Q$2902,U$2,0)&lt;&gt;E2195,"Beam Revised","")</f>
        <v>#N/A</v>
      </c>
      <c r="V2195" s="7" t="e">
        <f>IF(VLOOKUP($A2195,'Concrete Beam Schedule'!$A$2:$Q$2902,V$2,0)&lt;&gt;F2195,"Beam Revised","")</f>
        <v>#N/A</v>
      </c>
      <c r="W2195" s="7" t="e">
        <f>IF(VLOOKUP($A2195,'Concrete Beam Schedule'!$A$2:$Q$2902,W$2,0)&lt;&gt;G2195,"Beam Revised","")</f>
        <v>#N/A</v>
      </c>
      <c r="X2195" s="7" t="e">
        <f>IF(VLOOKUP($A2195,'Concrete Beam Schedule'!$A$2:$Q$2902,X$2,0)&lt;&gt;H2195,"Beam Revised","")</f>
        <v>#N/A</v>
      </c>
      <c r="Y2195" s="7" t="e">
        <f>IF(VLOOKUP($A2195,'Concrete Beam Schedule'!$A$2:$Q$2902,Y$2,0)&lt;&gt;I2195,"Beam Revised","")</f>
        <v>#N/A</v>
      </c>
      <c r="Z2195" s="7" t="e">
        <f>IF(VLOOKUP($A2195,'Concrete Beam Schedule'!$A$2:$Q$2902,Z$2,0)&lt;&gt;J2195,"Beam Revised","")</f>
        <v>#N/A</v>
      </c>
      <c r="AA2195" s="7" t="e">
        <f>IF(VLOOKUP($A2195,'Concrete Beam Schedule'!$A$2:$Q$2902,AA$2,0)&lt;&gt;K2195,"Beam Revised","")</f>
        <v>#N/A</v>
      </c>
      <c r="AB2195" s="7" t="e">
        <f>IF(VLOOKUP($A2195,'Concrete Beam Schedule'!$A$2:$Q$2902,AB$2,0)&lt;&gt;L2195,"Beam Revised","")</f>
        <v>#N/A</v>
      </c>
      <c r="AC2195" s="7" t="e">
        <f>IF(VLOOKUP($A2195,'Concrete Beam Schedule'!$A$2:$Q$2902,AC$2,0)&lt;&gt;M2195,"Beam Revised","")</f>
        <v>#N/A</v>
      </c>
      <c r="AD2195" s="7" t="e">
        <f>IF(VLOOKUP($A2195,'Concrete Beam Schedule'!$A$2:$Q$2902,AD$2,0)&lt;&gt;N2195,"Beam Revised","")</f>
        <v>#N/A</v>
      </c>
      <c r="AE2195" s="7" t="e">
        <f>IF(VLOOKUP($A2195,'Concrete Beam Schedule'!$A$2:$Q$2902,AE$2,0)&lt;&gt;O2195,"Beam Revised","")</f>
        <v>#N/A</v>
      </c>
    </row>
    <row r="2196" spans="17:31" ht="20.100000000000001" customHeight="1" x14ac:dyDescent="0.25">
      <c r="Q2196" s="7">
        <f t="shared" si="34"/>
        <v>0</v>
      </c>
      <c r="R2196" s="7" t="e">
        <f>IF(VLOOKUP($A2196,'Concrete Beam Schedule'!$A$2:$Q$2902,R$2,0)&lt;&gt;B2196,VLOOKUP($A2196,'Concrete Beam Schedule'!$A$2:$Q$2902,R$2,0),"")</f>
        <v>#N/A</v>
      </c>
      <c r="S2196" s="7" t="e">
        <f>IF(VLOOKUP($A2196,'Concrete Beam Schedule'!$A$2:$Q$2902,S$2,0)&lt;&gt;C2196,VLOOKUP($A2196,'Concrete Beam Schedule'!$A$2:$Q$2902,S$2,0),"")</f>
        <v>#N/A</v>
      </c>
      <c r="T2196" s="7" t="e">
        <f>IF(VLOOKUP($A2196,'Concrete Beam Schedule'!$A$2:$Q$2902,T$2,0)&lt;&gt;D2196,"Beam Revised","")</f>
        <v>#N/A</v>
      </c>
      <c r="U2196" s="7" t="e">
        <f>IF(VLOOKUP($A2196,'Concrete Beam Schedule'!$A$2:$Q$2902,U$2,0)&lt;&gt;E2196,"Beam Revised","")</f>
        <v>#N/A</v>
      </c>
      <c r="V2196" s="7" t="e">
        <f>IF(VLOOKUP($A2196,'Concrete Beam Schedule'!$A$2:$Q$2902,V$2,0)&lt;&gt;F2196,"Beam Revised","")</f>
        <v>#N/A</v>
      </c>
      <c r="W2196" s="7" t="e">
        <f>IF(VLOOKUP($A2196,'Concrete Beam Schedule'!$A$2:$Q$2902,W$2,0)&lt;&gt;G2196,"Beam Revised","")</f>
        <v>#N/A</v>
      </c>
      <c r="X2196" s="7" t="e">
        <f>IF(VLOOKUP($A2196,'Concrete Beam Schedule'!$A$2:$Q$2902,X$2,0)&lt;&gt;H2196,"Beam Revised","")</f>
        <v>#N/A</v>
      </c>
      <c r="Y2196" s="7" t="e">
        <f>IF(VLOOKUP($A2196,'Concrete Beam Schedule'!$A$2:$Q$2902,Y$2,0)&lt;&gt;I2196,"Beam Revised","")</f>
        <v>#N/A</v>
      </c>
      <c r="Z2196" s="7" t="e">
        <f>IF(VLOOKUP($A2196,'Concrete Beam Schedule'!$A$2:$Q$2902,Z$2,0)&lt;&gt;J2196,"Beam Revised","")</f>
        <v>#N/A</v>
      </c>
      <c r="AA2196" s="7" t="e">
        <f>IF(VLOOKUP($A2196,'Concrete Beam Schedule'!$A$2:$Q$2902,AA$2,0)&lt;&gt;K2196,"Beam Revised","")</f>
        <v>#N/A</v>
      </c>
      <c r="AB2196" s="7" t="e">
        <f>IF(VLOOKUP($A2196,'Concrete Beam Schedule'!$A$2:$Q$2902,AB$2,0)&lt;&gt;L2196,"Beam Revised","")</f>
        <v>#N/A</v>
      </c>
      <c r="AC2196" s="7" t="e">
        <f>IF(VLOOKUP($A2196,'Concrete Beam Schedule'!$A$2:$Q$2902,AC$2,0)&lt;&gt;M2196,"Beam Revised","")</f>
        <v>#N/A</v>
      </c>
      <c r="AD2196" s="7" t="e">
        <f>IF(VLOOKUP($A2196,'Concrete Beam Schedule'!$A$2:$Q$2902,AD$2,0)&lt;&gt;N2196,"Beam Revised","")</f>
        <v>#N/A</v>
      </c>
      <c r="AE2196" s="7" t="e">
        <f>IF(VLOOKUP($A2196,'Concrete Beam Schedule'!$A$2:$Q$2902,AE$2,0)&lt;&gt;O2196,"Beam Revised","")</f>
        <v>#N/A</v>
      </c>
    </row>
    <row r="2197" spans="17:31" ht="20.100000000000001" customHeight="1" x14ac:dyDescent="0.25">
      <c r="Q2197" s="7">
        <f t="shared" si="34"/>
        <v>0</v>
      </c>
      <c r="R2197" s="7" t="e">
        <f>IF(VLOOKUP($A2197,'Concrete Beam Schedule'!$A$2:$Q$2902,R$2,0)&lt;&gt;B2197,VLOOKUP($A2197,'Concrete Beam Schedule'!$A$2:$Q$2902,R$2,0),"")</f>
        <v>#N/A</v>
      </c>
      <c r="S2197" s="7" t="e">
        <f>IF(VLOOKUP($A2197,'Concrete Beam Schedule'!$A$2:$Q$2902,S$2,0)&lt;&gt;C2197,VLOOKUP($A2197,'Concrete Beam Schedule'!$A$2:$Q$2902,S$2,0),"")</f>
        <v>#N/A</v>
      </c>
      <c r="T2197" s="7" t="e">
        <f>IF(VLOOKUP($A2197,'Concrete Beam Schedule'!$A$2:$Q$2902,T$2,0)&lt;&gt;D2197,"Beam Revised","")</f>
        <v>#N/A</v>
      </c>
      <c r="U2197" s="7" t="e">
        <f>IF(VLOOKUP($A2197,'Concrete Beam Schedule'!$A$2:$Q$2902,U$2,0)&lt;&gt;E2197,"Beam Revised","")</f>
        <v>#N/A</v>
      </c>
      <c r="V2197" s="7" t="e">
        <f>IF(VLOOKUP($A2197,'Concrete Beam Schedule'!$A$2:$Q$2902,V$2,0)&lt;&gt;F2197,"Beam Revised","")</f>
        <v>#N/A</v>
      </c>
      <c r="W2197" s="7" t="e">
        <f>IF(VLOOKUP($A2197,'Concrete Beam Schedule'!$A$2:$Q$2902,W$2,0)&lt;&gt;G2197,"Beam Revised","")</f>
        <v>#N/A</v>
      </c>
      <c r="X2197" s="7" t="e">
        <f>IF(VLOOKUP($A2197,'Concrete Beam Schedule'!$A$2:$Q$2902,X$2,0)&lt;&gt;H2197,"Beam Revised","")</f>
        <v>#N/A</v>
      </c>
      <c r="Y2197" s="7" t="e">
        <f>IF(VLOOKUP($A2197,'Concrete Beam Schedule'!$A$2:$Q$2902,Y$2,0)&lt;&gt;I2197,"Beam Revised","")</f>
        <v>#N/A</v>
      </c>
      <c r="Z2197" s="7" t="e">
        <f>IF(VLOOKUP($A2197,'Concrete Beam Schedule'!$A$2:$Q$2902,Z$2,0)&lt;&gt;J2197,"Beam Revised","")</f>
        <v>#N/A</v>
      </c>
      <c r="AA2197" s="7" t="e">
        <f>IF(VLOOKUP($A2197,'Concrete Beam Schedule'!$A$2:$Q$2902,AA$2,0)&lt;&gt;K2197,"Beam Revised","")</f>
        <v>#N/A</v>
      </c>
      <c r="AB2197" s="7" t="e">
        <f>IF(VLOOKUP($A2197,'Concrete Beam Schedule'!$A$2:$Q$2902,AB$2,0)&lt;&gt;L2197,"Beam Revised","")</f>
        <v>#N/A</v>
      </c>
      <c r="AC2197" s="7" t="e">
        <f>IF(VLOOKUP($A2197,'Concrete Beam Schedule'!$A$2:$Q$2902,AC$2,0)&lt;&gt;M2197,"Beam Revised","")</f>
        <v>#N/A</v>
      </c>
      <c r="AD2197" s="7" t="e">
        <f>IF(VLOOKUP($A2197,'Concrete Beam Schedule'!$A$2:$Q$2902,AD$2,0)&lt;&gt;N2197,"Beam Revised","")</f>
        <v>#N/A</v>
      </c>
      <c r="AE2197" s="7" t="e">
        <f>IF(VLOOKUP($A2197,'Concrete Beam Schedule'!$A$2:$Q$2902,AE$2,0)&lt;&gt;O2197,"Beam Revised","")</f>
        <v>#N/A</v>
      </c>
    </row>
    <row r="2198" spans="17:31" ht="20.100000000000001" customHeight="1" x14ac:dyDescent="0.25">
      <c r="Q2198" s="7">
        <f t="shared" si="34"/>
        <v>0</v>
      </c>
      <c r="R2198" s="7" t="e">
        <f>IF(VLOOKUP($A2198,'Concrete Beam Schedule'!$A$2:$Q$2902,R$2,0)&lt;&gt;B2198,VLOOKUP($A2198,'Concrete Beam Schedule'!$A$2:$Q$2902,R$2,0),"")</f>
        <v>#N/A</v>
      </c>
      <c r="S2198" s="7" t="e">
        <f>IF(VLOOKUP($A2198,'Concrete Beam Schedule'!$A$2:$Q$2902,S$2,0)&lt;&gt;C2198,VLOOKUP($A2198,'Concrete Beam Schedule'!$A$2:$Q$2902,S$2,0),"")</f>
        <v>#N/A</v>
      </c>
      <c r="T2198" s="7" t="e">
        <f>IF(VLOOKUP($A2198,'Concrete Beam Schedule'!$A$2:$Q$2902,T$2,0)&lt;&gt;D2198,"Beam Revised","")</f>
        <v>#N/A</v>
      </c>
      <c r="U2198" s="7" t="e">
        <f>IF(VLOOKUP($A2198,'Concrete Beam Schedule'!$A$2:$Q$2902,U$2,0)&lt;&gt;E2198,"Beam Revised","")</f>
        <v>#N/A</v>
      </c>
      <c r="V2198" s="7" t="e">
        <f>IF(VLOOKUP($A2198,'Concrete Beam Schedule'!$A$2:$Q$2902,V$2,0)&lt;&gt;F2198,"Beam Revised","")</f>
        <v>#N/A</v>
      </c>
      <c r="W2198" s="7" t="e">
        <f>IF(VLOOKUP($A2198,'Concrete Beam Schedule'!$A$2:$Q$2902,W$2,0)&lt;&gt;G2198,"Beam Revised","")</f>
        <v>#N/A</v>
      </c>
      <c r="X2198" s="7" t="e">
        <f>IF(VLOOKUP($A2198,'Concrete Beam Schedule'!$A$2:$Q$2902,X$2,0)&lt;&gt;H2198,"Beam Revised","")</f>
        <v>#N/A</v>
      </c>
      <c r="Y2198" s="7" t="e">
        <f>IF(VLOOKUP($A2198,'Concrete Beam Schedule'!$A$2:$Q$2902,Y$2,0)&lt;&gt;I2198,"Beam Revised","")</f>
        <v>#N/A</v>
      </c>
      <c r="Z2198" s="7" t="e">
        <f>IF(VLOOKUP($A2198,'Concrete Beam Schedule'!$A$2:$Q$2902,Z$2,0)&lt;&gt;J2198,"Beam Revised","")</f>
        <v>#N/A</v>
      </c>
      <c r="AA2198" s="7" t="e">
        <f>IF(VLOOKUP($A2198,'Concrete Beam Schedule'!$A$2:$Q$2902,AA$2,0)&lt;&gt;K2198,"Beam Revised","")</f>
        <v>#N/A</v>
      </c>
      <c r="AB2198" s="7" t="e">
        <f>IF(VLOOKUP($A2198,'Concrete Beam Schedule'!$A$2:$Q$2902,AB$2,0)&lt;&gt;L2198,"Beam Revised","")</f>
        <v>#N/A</v>
      </c>
      <c r="AC2198" s="7" t="e">
        <f>IF(VLOOKUP($A2198,'Concrete Beam Schedule'!$A$2:$Q$2902,AC$2,0)&lt;&gt;M2198,"Beam Revised","")</f>
        <v>#N/A</v>
      </c>
      <c r="AD2198" s="7" t="e">
        <f>IF(VLOOKUP($A2198,'Concrete Beam Schedule'!$A$2:$Q$2902,AD$2,0)&lt;&gt;N2198,"Beam Revised","")</f>
        <v>#N/A</v>
      </c>
      <c r="AE2198" s="7" t="e">
        <f>IF(VLOOKUP($A2198,'Concrete Beam Schedule'!$A$2:$Q$2902,AE$2,0)&lt;&gt;O2198,"Beam Revised","")</f>
        <v>#N/A</v>
      </c>
    </row>
    <row r="2199" spans="17:31" ht="20.100000000000001" customHeight="1" x14ac:dyDescent="0.25">
      <c r="Q2199" s="7">
        <f t="shared" si="34"/>
        <v>0</v>
      </c>
      <c r="R2199" s="7" t="e">
        <f>IF(VLOOKUP($A2199,'Concrete Beam Schedule'!$A$2:$Q$2902,R$2,0)&lt;&gt;B2199,VLOOKUP($A2199,'Concrete Beam Schedule'!$A$2:$Q$2902,R$2,0),"")</f>
        <v>#N/A</v>
      </c>
      <c r="S2199" s="7" t="e">
        <f>IF(VLOOKUP($A2199,'Concrete Beam Schedule'!$A$2:$Q$2902,S$2,0)&lt;&gt;C2199,VLOOKUP($A2199,'Concrete Beam Schedule'!$A$2:$Q$2902,S$2,0),"")</f>
        <v>#N/A</v>
      </c>
      <c r="T2199" s="7" t="e">
        <f>IF(VLOOKUP($A2199,'Concrete Beam Schedule'!$A$2:$Q$2902,T$2,0)&lt;&gt;D2199,"Beam Revised","")</f>
        <v>#N/A</v>
      </c>
      <c r="U2199" s="7" t="e">
        <f>IF(VLOOKUP($A2199,'Concrete Beam Schedule'!$A$2:$Q$2902,U$2,0)&lt;&gt;E2199,"Beam Revised","")</f>
        <v>#N/A</v>
      </c>
      <c r="V2199" s="7" t="e">
        <f>IF(VLOOKUP($A2199,'Concrete Beam Schedule'!$A$2:$Q$2902,V$2,0)&lt;&gt;F2199,"Beam Revised","")</f>
        <v>#N/A</v>
      </c>
      <c r="W2199" s="7" t="e">
        <f>IF(VLOOKUP($A2199,'Concrete Beam Schedule'!$A$2:$Q$2902,W$2,0)&lt;&gt;G2199,"Beam Revised","")</f>
        <v>#N/A</v>
      </c>
      <c r="X2199" s="7" t="e">
        <f>IF(VLOOKUP($A2199,'Concrete Beam Schedule'!$A$2:$Q$2902,X$2,0)&lt;&gt;H2199,"Beam Revised","")</f>
        <v>#N/A</v>
      </c>
      <c r="Y2199" s="7" t="e">
        <f>IF(VLOOKUP($A2199,'Concrete Beam Schedule'!$A$2:$Q$2902,Y$2,0)&lt;&gt;I2199,"Beam Revised","")</f>
        <v>#N/A</v>
      </c>
      <c r="Z2199" s="7" t="e">
        <f>IF(VLOOKUP($A2199,'Concrete Beam Schedule'!$A$2:$Q$2902,Z$2,0)&lt;&gt;J2199,"Beam Revised","")</f>
        <v>#N/A</v>
      </c>
      <c r="AA2199" s="7" t="e">
        <f>IF(VLOOKUP($A2199,'Concrete Beam Schedule'!$A$2:$Q$2902,AA$2,0)&lt;&gt;K2199,"Beam Revised","")</f>
        <v>#N/A</v>
      </c>
      <c r="AB2199" s="7" t="e">
        <f>IF(VLOOKUP($A2199,'Concrete Beam Schedule'!$A$2:$Q$2902,AB$2,0)&lt;&gt;L2199,"Beam Revised","")</f>
        <v>#N/A</v>
      </c>
      <c r="AC2199" s="7" t="e">
        <f>IF(VLOOKUP($A2199,'Concrete Beam Schedule'!$A$2:$Q$2902,AC$2,0)&lt;&gt;M2199,"Beam Revised","")</f>
        <v>#N/A</v>
      </c>
      <c r="AD2199" s="7" t="e">
        <f>IF(VLOOKUP($A2199,'Concrete Beam Schedule'!$A$2:$Q$2902,AD$2,0)&lt;&gt;N2199,"Beam Revised","")</f>
        <v>#N/A</v>
      </c>
      <c r="AE2199" s="7" t="e">
        <f>IF(VLOOKUP($A2199,'Concrete Beam Schedule'!$A$2:$Q$2902,AE$2,0)&lt;&gt;O2199,"Beam Revised","")</f>
        <v>#N/A</v>
      </c>
    </row>
    <row r="2200" spans="17:31" ht="20.100000000000001" customHeight="1" x14ac:dyDescent="0.25">
      <c r="Q2200" s="7">
        <f t="shared" si="34"/>
        <v>0</v>
      </c>
      <c r="R2200" s="7" t="e">
        <f>IF(VLOOKUP($A2200,'Concrete Beam Schedule'!$A$2:$Q$2902,R$2,0)&lt;&gt;B2200,VLOOKUP($A2200,'Concrete Beam Schedule'!$A$2:$Q$2902,R$2,0),"")</f>
        <v>#N/A</v>
      </c>
      <c r="S2200" s="7" t="e">
        <f>IF(VLOOKUP($A2200,'Concrete Beam Schedule'!$A$2:$Q$2902,S$2,0)&lt;&gt;C2200,VLOOKUP($A2200,'Concrete Beam Schedule'!$A$2:$Q$2902,S$2,0),"")</f>
        <v>#N/A</v>
      </c>
      <c r="T2200" s="7" t="e">
        <f>IF(VLOOKUP($A2200,'Concrete Beam Schedule'!$A$2:$Q$2902,T$2,0)&lt;&gt;D2200,"Beam Revised","")</f>
        <v>#N/A</v>
      </c>
      <c r="U2200" s="7" t="e">
        <f>IF(VLOOKUP($A2200,'Concrete Beam Schedule'!$A$2:$Q$2902,U$2,0)&lt;&gt;E2200,"Beam Revised","")</f>
        <v>#N/A</v>
      </c>
      <c r="V2200" s="7" t="e">
        <f>IF(VLOOKUP($A2200,'Concrete Beam Schedule'!$A$2:$Q$2902,V$2,0)&lt;&gt;F2200,"Beam Revised","")</f>
        <v>#N/A</v>
      </c>
      <c r="W2200" s="7" t="e">
        <f>IF(VLOOKUP($A2200,'Concrete Beam Schedule'!$A$2:$Q$2902,W$2,0)&lt;&gt;G2200,"Beam Revised","")</f>
        <v>#N/A</v>
      </c>
      <c r="X2200" s="7" t="e">
        <f>IF(VLOOKUP($A2200,'Concrete Beam Schedule'!$A$2:$Q$2902,X$2,0)&lt;&gt;H2200,"Beam Revised","")</f>
        <v>#N/A</v>
      </c>
      <c r="Y2200" s="7" t="e">
        <f>IF(VLOOKUP($A2200,'Concrete Beam Schedule'!$A$2:$Q$2902,Y$2,0)&lt;&gt;I2200,"Beam Revised","")</f>
        <v>#N/A</v>
      </c>
      <c r="Z2200" s="7" t="e">
        <f>IF(VLOOKUP($A2200,'Concrete Beam Schedule'!$A$2:$Q$2902,Z$2,0)&lt;&gt;J2200,"Beam Revised","")</f>
        <v>#N/A</v>
      </c>
      <c r="AA2200" s="7" t="e">
        <f>IF(VLOOKUP($A2200,'Concrete Beam Schedule'!$A$2:$Q$2902,AA$2,0)&lt;&gt;K2200,"Beam Revised","")</f>
        <v>#N/A</v>
      </c>
      <c r="AB2200" s="7" t="e">
        <f>IF(VLOOKUP($A2200,'Concrete Beam Schedule'!$A$2:$Q$2902,AB$2,0)&lt;&gt;L2200,"Beam Revised","")</f>
        <v>#N/A</v>
      </c>
      <c r="AC2200" s="7" t="e">
        <f>IF(VLOOKUP($A2200,'Concrete Beam Schedule'!$A$2:$Q$2902,AC$2,0)&lt;&gt;M2200,"Beam Revised","")</f>
        <v>#N/A</v>
      </c>
      <c r="AD2200" s="7" t="e">
        <f>IF(VLOOKUP($A2200,'Concrete Beam Schedule'!$A$2:$Q$2902,AD$2,0)&lt;&gt;N2200,"Beam Revised","")</f>
        <v>#N/A</v>
      </c>
      <c r="AE2200" s="7" t="e">
        <f>IF(VLOOKUP($A2200,'Concrete Beam Schedule'!$A$2:$Q$2902,AE$2,0)&lt;&gt;O2200,"Beam Revised","")</f>
        <v>#N/A</v>
      </c>
    </row>
    <row r="2201" spans="17:31" ht="20.100000000000001" customHeight="1" x14ac:dyDescent="0.25">
      <c r="Q2201" s="7">
        <f t="shared" si="34"/>
        <v>0</v>
      </c>
      <c r="R2201" s="7" t="e">
        <f>IF(VLOOKUP($A2201,'Concrete Beam Schedule'!$A$2:$Q$2902,R$2,0)&lt;&gt;B2201,VLOOKUP($A2201,'Concrete Beam Schedule'!$A$2:$Q$2902,R$2,0),"")</f>
        <v>#N/A</v>
      </c>
      <c r="S2201" s="7" t="e">
        <f>IF(VLOOKUP($A2201,'Concrete Beam Schedule'!$A$2:$Q$2902,S$2,0)&lt;&gt;C2201,VLOOKUP($A2201,'Concrete Beam Schedule'!$A$2:$Q$2902,S$2,0),"")</f>
        <v>#N/A</v>
      </c>
      <c r="T2201" s="7" t="e">
        <f>IF(VLOOKUP($A2201,'Concrete Beam Schedule'!$A$2:$Q$2902,T$2,0)&lt;&gt;D2201,"Beam Revised","")</f>
        <v>#N/A</v>
      </c>
      <c r="U2201" s="7" t="e">
        <f>IF(VLOOKUP($A2201,'Concrete Beam Schedule'!$A$2:$Q$2902,U$2,0)&lt;&gt;E2201,"Beam Revised","")</f>
        <v>#N/A</v>
      </c>
      <c r="V2201" s="7" t="e">
        <f>IF(VLOOKUP($A2201,'Concrete Beam Schedule'!$A$2:$Q$2902,V$2,0)&lt;&gt;F2201,"Beam Revised","")</f>
        <v>#N/A</v>
      </c>
      <c r="W2201" s="7" t="e">
        <f>IF(VLOOKUP($A2201,'Concrete Beam Schedule'!$A$2:$Q$2902,W$2,0)&lt;&gt;G2201,"Beam Revised","")</f>
        <v>#N/A</v>
      </c>
      <c r="X2201" s="7" t="e">
        <f>IF(VLOOKUP($A2201,'Concrete Beam Schedule'!$A$2:$Q$2902,X$2,0)&lt;&gt;H2201,"Beam Revised","")</f>
        <v>#N/A</v>
      </c>
      <c r="Y2201" s="7" t="e">
        <f>IF(VLOOKUP($A2201,'Concrete Beam Schedule'!$A$2:$Q$2902,Y$2,0)&lt;&gt;I2201,"Beam Revised","")</f>
        <v>#N/A</v>
      </c>
      <c r="Z2201" s="7" t="e">
        <f>IF(VLOOKUP($A2201,'Concrete Beam Schedule'!$A$2:$Q$2902,Z$2,0)&lt;&gt;J2201,"Beam Revised","")</f>
        <v>#N/A</v>
      </c>
      <c r="AA2201" s="7" t="e">
        <f>IF(VLOOKUP($A2201,'Concrete Beam Schedule'!$A$2:$Q$2902,AA$2,0)&lt;&gt;K2201,"Beam Revised","")</f>
        <v>#N/A</v>
      </c>
      <c r="AB2201" s="7" t="e">
        <f>IF(VLOOKUP($A2201,'Concrete Beam Schedule'!$A$2:$Q$2902,AB$2,0)&lt;&gt;L2201,"Beam Revised","")</f>
        <v>#N/A</v>
      </c>
      <c r="AC2201" s="7" t="e">
        <f>IF(VLOOKUP($A2201,'Concrete Beam Schedule'!$A$2:$Q$2902,AC$2,0)&lt;&gt;M2201,"Beam Revised","")</f>
        <v>#N/A</v>
      </c>
      <c r="AD2201" s="7" t="e">
        <f>IF(VLOOKUP($A2201,'Concrete Beam Schedule'!$A$2:$Q$2902,AD$2,0)&lt;&gt;N2201,"Beam Revised","")</f>
        <v>#N/A</v>
      </c>
      <c r="AE2201" s="7" t="e">
        <f>IF(VLOOKUP($A2201,'Concrete Beam Schedule'!$A$2:$Q$2902,AE$2,0)&lt;&gt;O2201,"Beam Revised","")</f>
        <v>#N/A</v>
      </c>
    </row>
    <row r="2202" spans="17:31" ht="20.100000000000001" customHeight="1" x14ac:dyDescent="0.25">
      <c r="Q2202" s="7">
        <f t="shared" si="34"/>
        <v>0</v>
      </c>
      <c r="R2202" s="7" t="e">
        <f>IF(VLOOKUP($A2202,'Concrete Beam Schedule'!$A$2:$Q$2902,R$2,0)&lt;&gt;B2202,VLOOKUP($A2202,'Concrete Beam Schedule'!$A$2:$Q$2902,R$2,0),"")</f>
        <v>#N/A</v>
      </c>
      <c r="S2202" s="7" t="e">
        <f>IF(VLOOKUP($A2202,'Concrete Beam Schedule'!$A$2:$Q$2902,S$2,0)&lt;&gt;C2202,VLOOKUP($A2202,'Concrete Beam Schedule'!$A$2:$Q$2902,S$2,0),"")</f>
        <v>#N/A</v>
      </c>
      <c r="T2202" s="7" t="e">
        <f>IF(VLOOKUP($A2202,'Concrete Beam Schedule'!$A$2:$Q$2902,T$2,0)&lt;&gt;D2202,"Beam Revised","")</f>
        <v>#N/A</v>
      </c>
      <c r="U2202" s="7" t="e">
        <f>IF(VLOOKUP($A2202,'Concrete Beam Schedule'!$A$2:$Q$2902,U$2,0)&lt;&gt;E2202,"Beam Revised","")</f>
        <v>#N/A</v>
      </c>
      <c r="V2202" s="7" t="e">
        <f>IF(VLOOKUP($A2202,'Concrete Beam Schedule'!$A$2:$Q$2902,V$2,0)&lt;&gt;F2202,"Beam Revised","")</f>
        <v>#N/A</v>
      </c>
      <c r="W2202" s="7" t="e">
        <f>IF(VLOOKUP($A2202,'Concrete Beam Schedule'!$A$2:$Q$2902,W$2,0)&lt;&gt;G2202,"Beam Revised","")</f>
        <v>#N/A</v>
      </c>
      <c r="X2202" s="7" t="e">
        <f>IF(VLOOKUP($A2202,'Concrete Beam Schedule'!$A$2:$Q$2902,X$2,0)&lt;&gt;H2202,"Beam Revised","")</f>
        <v>#N/A</v>
      </c>
      <c r="Y2202" s="7" t="e">
        <f>IF(VLOOKUP($A2202,'Concrete Beam Schedule'!$A$2:$Q$2902,Y$2,0)&lt;&gt;I2202,"Beam Revised","")</f>
        <v>#N/A</v>
      </c>
      <c r="Z2202" s="7" t="e">
        <f>IF(VLOOKUP($A2202,'Concrete Beam Schedule'!$A$2:$Q$2902,Z$2,0)&lt;&gt;J2202,"Beam Revised","")</f>
        <v>#N/A</v>
      </c>
      <c r="AA2202" s="7" t="e">
        <f>IF(VLOOKUP($A2202,'Concrete Beam Schedule'!$A$2:$Q$2902,AA$2,0)&lt;&gt;K2202,"Beam Revised","")</f>
        <v>#N/A</v>
      </c>
      <c r="AB2202" s="7" t="e">
        <f>IF(VLOOKUP($A2202,'Concrete Beam Schedule'!$A$2:$Q$2902,AB$2,0)&lt;&gt;L2202,"Beam Revised","")</f>
        <v>#N/A</v>
      </c>
      <c r="AC2202" s="7" t="e">
        <f>IF(VLOOKUP($A2202,'Concrete Beam Schedule'!$A$2:$Q$2902,AC$2,0)&lt;&gt;M2202,"Beam Revised","")</f>
        <v>#N/A</v>
      </c>
      <c r="AD2202" s="7" t="e">
        <f>IF(VLOOKUP($A2202,'Concrete Beam Schedule'!$A$2:$Q$2902,AD$2,0)&lt;&gt;N2202,"Beam Revised","")</f>
        <v>#N/A</v>
      </c>
      <c r="AE2202" s="7" t="e">
        <f>IF(VLOOKUP($A2202,'Concrete Beam Schedule'!$A$2:$Q$2902,AE$2,0)&lt;&gt;O2202,"Beam Revised","")</f>
        <v>#N/A</v>
      </c>
    </row>
    <row r="2203" spans="17:31" ht="20.100000000000001" customHeight="1" x14ac:dyDescent="0.25">
      <c r="Q2203" s="7">
        <f t="shared" si="34"/>
        <v>0</v>
      </c>
      <c r="R2203" s="7" t="e">
        <f>IF(VLOOKUP($A2203,'Concrete Beam Schedule'!$A$2:$Q$2902,R$2,0)&lt;&gt;B2203,VLOOKUP($A2203,'Concrete Beam Schedule'!$A$2:$Q$2902,R$2,0),"")</f>
        <v>#N/A</v>
      </c>
      <c r="S2203" s="7" t="e">
        <f>IF(VLOOKUP($A2203,'Concrete Beam Schedule'!$A$2:$Q$2902,S$2,0)&lt;&gt;C2203,VLOOKUP($A2203,'Concrete Beam Schedule'!$A$2:$Q$2902,S$2,0),"")</f>
        <v>#N/A</v>
      </c>
      <c r="T2203" s="7" t="e">
        <f>IF(VLOOKUP($A2203,'Concrete Beam Schedule'!$A$2:$Q$2902,T$2,0)&lt;&gt;D2203,"Beam Revised","")</f>
        <v>#N/A</v>
      </c>
      <c r="U2203" s="7" t="e">
        <f>IF(VLOOKUP($A2203,'Concrete Beam Schedule'!$A$2:$Q$2902,U$2,0)&lt;&gt;E2203,"Beam Revised","")</f>
        <v>#N/A</v>
      </c>
      <c r="V2203" s="7" t="e">
        <f>IF(VLOOKUP($A2203,'Concrete Beam Schedule'!$A$2:$Q$2902,V$2,0)&lt;&gt;F2203,"Beam Revised","")</f>
        <v>#N/A</v>
      </c>
      <c r="W2203" s="7" t="e">
        <f>IF(VLOOKUP($A2203,'Concrete Beam Schedule'!$A$2:$Q$2902,W$2,0)&lt;&gt;G2203,"Beam Revised","")</f>
        <v>#N/A</v>
      </c>
      <c r="X2203" s="7" t="e">
        <f>IF(VLOOKUP($A2203,'Concrete Beam Schedule'!$A$2:$Q$2902,X$2,0)&lt;&gt;H2203,"Beam Revised","")</f>
        <v>#N/A</v>
      </c>
      <c r="Y2203" s="7" t="e">
        <f>IF(VLOOKUP($A2203,'Concrete Beam Schedule'!$A$2:$Q$2902,Y$2,0)&lt;&gt;I2203,"Beam Revised","")</f>
        <v>#N/A</v>
      </c>
      <c r="Z2203" s="7" t="e">
        <f>IF(VLOOKUP($A2203,'Concrete Beam Schedule'!$A$2:$Q$2902,Z$2,0)&lt;&gt;J2203,"Beam Revised","")</f>
        <v>#N/A</v>
      </c>
      <c r="AA2203" s="7" t="e">
        <f>IF(VLOOKUP($A2203,'Concrete Beam Schedule'!$A$2:$Q$2902,AA$2,0)&lt;&gt;K2203,"Beam Revised","")</f>
        <v>#N/A</v>
      </c>
      <c r="AB2203" s="7" t="e">
        <f>IF(VLOOKUP($A2203,'Concrete Beam Schedule'!$A$2:$Q$2902,AB$2,0)&lt;&gt;L2203,"Beam Revised","")</f>
        <v>#N/A</v>
      </c>
      <c r="AC2203" s="7" t="e">
        <f>IF(VLOOKUP($A2203,'Concrete Beam Schedule'!$A$2:$Q$2902,AC$2,0)&lt;&gt;M2203,"Beam Revised","")</f>
        <v>#N/A</v>
      </c>
      <c r="AD2203" s="7" t="e">
        <f>IF(VLOOKUP($A2203,'Concrete Beam Schedule'!$A$2:$Q$2902,AD$2,0)&lt;&gt;N2203,"Beam Revised","")</f>
        <v>#N/A</v>
      </c>
      <c r="AE2203" s="7" t="e">
        <f>IF(VLOOKUP($A2203,'Concrete Beam Schedule'!$A$2:$Q$2902,AE$2,0)&lt;&gt;O2203,"Beam Revised","")</f>
        <v>#N/A</v>
      </c>
    </row>
    <row r="2204" spans="17:31" ht="20.100000000000001" customHeight="1" x14ac:dyDescent="0.25">
      <c r="Q2204" s="7">
        <f t="shared" si="34"/>
        <v>0</v>
      </c>
      <c r="R2204" s="7" t="e">
        <f>IF(VLOOKUP($A2204,'Concrete Beam Schedule'!$A$2:$Q$2902,R$2,0)&lt;&gt;B2204,VLOOKUP($A2204,'Concrete Beam Schedule'!$A$2:$Q$2902,R$2,0),"")</f>
        <v>#N/A</v>
      </c>
      <c r="S2204" s="7" t="e">
        <f>IF(VLOOKUP($A2204,'Concrete Beam Schedule'!$A$2:$Q$2902,S$2,0)&lt;&gt;C2204,VLOOKUP($A2204,'Concrete Beam Schedule'!$A$2:$Q$2902,S$2,0),"")</f>
        <v>#N/A</v>
      </c>
      <c r="T2204" s="7" t="e">
        <f>IF(VLOOKUP($A2204,'Concrete Beam Schedule'!$A$2:$Q$2902,T$2,0)&lt;&gt;D2204,"Beam Revised","")</f>
        <v>#N/A</v>
      </c>
      <c r="U2204" s="7" t="e">
        <f>IF(VLOOKUP($A2204,'Concrete Beam Schedule'!$A$2:$Q$2902,U$2,0)&lt;&gt;E2204,"Beam Revised","")</f>
        <v>#N/A</v>
      </c>
      <c r="V2204" s="7" t="e">
        <f>IF(VLOOKUP($A2204,'Concrete Beam Schedule'!$A$2:$Q$2902,V$2,0)&lt;&gt;F2204,"Beam Revised","")</f>
        <v>#N/A</v>
      </c>
      <c r="W2204" s="7" t="e">
        <f>IF(VLOOKUP($A2204,'Concrete Beam Schedule'!$A$2:$Q$2902,W$2,0)&lt;&gt;G2204,"Beam Revised","")</f>
        <v>#N/A</v>
      </c>
      <c r="X2204" s="7" t="e">
        <f>IF(VLOOKUP($A2204,'Concrete Beam Schedule'!$A$2:$Q$2902,X$2,0)&lt;&gt;H2204,"Beam Revised","")</f>
        <v>#N/A</v>
      </c>
      <c r="Y2204" s="7" t="e">
        <f>IF(VLOOKUP($A2204,'Concrete Beam Schedule'!$A$2:$Q$2902,Y$2,0)&lt;&gt;I2204,"Beam Revised","")</f>
        <v>#N/A</v>
      </c>
      <c r="Z2204" s="7" t="e">
        <f>IF(VLOOKUP($A2204,'Concrete Beam Schedule'!$A$2:$Q$2902,Z$2,0)&lt;&gt;J2204,"Beam Revised","")</f>
        <v>#N/A</v>
      </c>
      <c r="AA2204" s="7" t="e">
        <f>IF(VLOOKUP($A2204,'Concrete Beam Schedule'!$A$2:$Q$2902,AA$2,0)&lt;&gt;K2204,"Beam Revised","")</f>
        <v>#N/A</v>
      </c>
      <c r="AB2204" s="7" t="e">
        <f>IF(VLOOKUP($A2204,'Concrete Beam Schedule'!$A$2:$Q$2902,AB$2,0)&lt;&gt;L2204,"Beam Revised","")</f>
        <v>#N/A</v>
      </c>
      <c r="AC2204" s="7" t="e">
        <f>IF(VLOOKUP($A2204,'Concrete Beam Schedule'!$A$2:$Q$2902,AC$2,0)&lt;&gt;M2204,"Beam Revised","")</f>
        <v>#N/A</v>
      </c>
      <c r="AD2204" s="7" t="e">
        <f>IF(VLOOKUP($A2204,'Concrete Beam Schedule'!$A$2:$Q$2902,AD$2,0)&lt;&gt;N2204,"Beam Revised","")</f>
        <v>#N/A</v>
      </c>
      <c r="AE2204" s="7" t="e">
        <f>IF(VLOOKUP($A2204,'Concrete Beam Schedule'!$A$2:$Q$2902,AE$2,0)&lt;&gt;O2204,"Beam Revised","")</f>
        <v>#N/A</v>
      </c>
    </row>
    <row r="2205" spans="17:31" ht="20.100000000000001" customHeight="1" x14ac:dyDescent="0.25">
      <c r="Q2205" s="7">
        <f t="shared" si="34"/>
        <v>0</v>
      </c>
      <c r="R2205" s="7" t="e">
        <f>IF(VLOOKUP($A2205,'Concrete Beam Schedule'!$A$2:$Q$2902,R$2,0)&lt;&gt;B2205,VLOOKUP($A2205,'Concrete Beam Schedule'!$A$2:$Q$2902,R$2,0),"")</f>
        <v>#N/A</v>
      </c>
      <c r="S2205" s="7" t="e">
        <f>IF(VLOOKUP($A2205,'Concrete Beam Schedule'!$A$2:$Q$2902,S$2,0)&lt;&gt;C2205,VLOOKUP($A2205,'Concrete Beam Schedule'!$A$2:$Q$2902,S$2,0),"")</f>
        <v>#N/A</v>
      </c>
      <c r="T2205" s="7" t="e">
        <f>IF(VLOOKUP($A2205,'Concrete Beam Schedule'!$A$2:$Q$2902,T$2,0)&lt;&gt;D2205,"Beam Revised","")</f>
        <v>#N/A</v>
      </c>
      <c r="U2205" s="7" t="e">
        <f>IF(VLOOKUP($A2205,'Concrete Beam Schedule'!$A$2:$Q$2902,U$2,0)&lt;&gt;E2205,"Beam Revised","")</f>
        <v>#N/A</v>
      </c>
      <c r="V2205" s="7" t="e">
        <f>IF(VLOOKUP($A2205,'Concrete Beam Schedule'!$A$2:$Q$2902,V$2,0)&lt;&gt;F2205,"Beam Revised","")</f>
        <v>#N/A</v>
      </c>
      <c r="W2205" s="7" t="e">
        <f>IF(VLOOKUP($A2205,'Concrete Beam Schedule'!$A$2:$Q$2902,W$2,0)&lt;&gt;G2205,"Beam Revised","")</f>
        <v>#N/A</v>
      </c>
      <c r="X2205" s="7" t="e">
        <f>IF(VLOOKUP($A2205,'Concrete Beam Schedule'!$A$2:$Q$2902,X$2,0)&lt;&gt;H2205,"Beam Revised","")</f>
        <v>#N/A</v>
      </c>
      <c r="Y2205" s="7" t="e">
        <f>IF(VLOOKUP($A2205,'Concrete Beam Schedule'!$A$2:$Q$2902,Y$2,0)&lt;&gt;I2205,"Beam Revised","")</f>
        <v>#N/A</v>
      </c>
      <c r="Z2205" s="7" t="e">
        <f>IF(VLOOKUP($A2205,'Concrete Beam Schedule'!$A$2:$Q$2902,Z$2,0)&lt;&gt;J2205,"Beam Revised","")</f>
        <v>#N/A</v>
      </c>
      <c r="AA2205" s="7" t="e">
        <f>IF(VLOOKUP($A2205,'Concrete Beam Schedule'!$A$2:$Q$2902,AA$2,0)&lt;&gt;K2205,"Beam Revised","")</f>
        <v>#N/A</v>
      </c>
      <c r="AB2205" s="7" t="e">
        <f>IF(VLOOKUP($A2205,'Concrete Beam Schedule'!$A$2:$Q$2902,AB$2,0)&lt;&gt;L2205,"Beam Revised","")</f>
        <v>#N/A</v>
      </c>
      <c r="AC2205" s="7" t="e">
        <f>IF(VLOOKUP($A2205,'Concrete Beam Schedule'!$A$2:$Q$2902,AC$2,0)&lt;&gt;M2205,"Beam Revised","")</f>
        <v>#N/A</v>
      </c>
      <c r="AD2205" s="7" t="e">
        <f>IF(VLOOKUP($A2205,'Concrete Beam Schedule'!$A$2:$Q$2902,AD$2,0)&lt;&gt;N2205,"Beam Revised","")</f>
        <v>#N/A</v>
      </c>
      <c r="AE2205" s="7" t="e">
        <f>IF(VLOOKUP($A2205,'Concrete Beam Schedule'!$A$2:$Q$2902,AE$2,0)&lt;&gt;O2205,"Beam Revised","")</f>
        <v>#N/A</v>
      </c>
    </row>
    <row r="2206" spans="17:31" ht="20.100000000000001" customHeight="1" x14ac:dyDescent="0.25">
      <c r="Q2206" s="7">
        <f t="shared" si="34"/>
        <v>0</v>
      </c>
      <c r="R2206" s="7" t="e">
        <f>IF(VLOOKUP($A2206,'Concrete Beam Schedule'!$A$2:$Q$2902,R$2,0)&lt;&gt;B2206,VLOOKUP($A2206,'Concrete Beam Schedule'!$A$2:$Q$2902,R$2,0),"")</f>
        <v>#N/A</v>
      </c>
      <c r="S2206" s="7" t="e">
        <f>IF(VLOOKUP($A2206,'Concrete Beam Schedule'!$A$2:$Q$2902,S$2,0)&lt;&gt;C2206,VLOOKUP($A2206,'Concrete Beam Schedule'!$A$2:$Q$2902,S$2,0),"")</f>
        <v>#N/A</v>
      </c>
      <c r="T2206" s="7" t="e">
        <f>IF(VLOOKUP($A2206,'Concrete Beam Schedule'!$A$2:$Q$2902,T$2,0)&lt;&gt;D2206,"Beam Revised","")</f>
        <v>#N/A</v>
      </c>
      <c r="U2206" s="7" t="e">
        <f>IF(VLOOKUP($A2206,'Concrete Beam Schedule'!$A$2:$Q$2902,U$2,0)&lt;&gt;E2206,"Beam Revised","")</f>
        <v>#N/A</v>
      </c>
      <c r="V2206" s="7" t="e">
        <f>IF(VLOOKUP($A2206,'Concrete Beam Schedule'!$A$2:$Q$2902,V$2,0)&lt;&gt;F2206,"Beam Revised","")</f>
        <v>#N/A</v>
      </c>
      <c r="W2206" s="7" t="e">
        <f>IF(VLOOKUP($A2206,'Concrete Beam Schedule'!$A$2:$Q$2902,W$2,0)&lt;&gt;G2206,"Beam Revised","")</f>
        <v>#N/A</v>
      </c>
      <c r="X2206" s="7" t="e">
        <f>IF(VLOOKUP($A2206,'Concrete Beam Schedule'!$A$2:$Q$2902,X$2,0)&lt;&gt;H2206,"Beam Revised","")</f>
        <v>#N/A</v>
      </c>
      <c r="Y2206" s="7" t="e">
        <f>IF(VLOOKUP($A2206,'Concrete Beam Schedule'!$A$2:$Q$2902,Y$2,0)&lt;&gt;I2206,"Beam Revised","")</f>
        <v>#N/A</v>
      </c>
      <c r="Z2206" s="7" t="e">
        <f>IF(VLOOKUP($A2206,'Concrete Beam Schedule'!$A$2:$Q$2902,Z$2,0)&lt;&gt;J2206,"Beam Revised","")</f>
        <v>#N/A</v>
      </c>
      <c r="AA2206" s="7" t="e">
        <f>IF(VLOOKUP($A2206,'Concrete Beam Schedule'!$A$2:$Q$2902,AA$2,0)&lt;&gt;K2206,"Beam Revised","")</f>
        <v>#N/A</v>
      </c>
      <c r="AB2206" s="7" t="e">
        <f>IF(VLOOKUP($A2206,'Concrete Beam Schedule'!$A$2:$Q$2902,AB$2,0)&lt;&gt;L2206,"Beam Revised","")</f>
        <v>#N/A</v>
      </c>
      <c r="AC2206" s="7" t="e">
        <f>IF(VLOOKUP($A2206,'Concrete Beam Schedule'!$A$2:$Q$2902,AC$2,0)&lt;&gt;M2206,"Beam Revised","")</f>
        <v>#N/A</v>
      </c>
      <c r="AD2206" s="7" t="e">
        <f>IF(VLOOKUP($A2206,'Concrete Beam Schedule'!$A$2:$Q$2902,AD$2,0)&lt;&gt;N2206,"Beam Revised","")</f>
        <v>#N/A</v>
      </c>
      <c r="AE2206" s="7" t="e">
        <f>IF(VLOOKUP($A2206,'Concrete Beam Schedule'!$A$2:$Q$2902,AE$2,0)&lt;&gt;O2206,"Beam Revised","")</f>
        <v>#N/A</v>
      </c>
    </row>
    <row r="2207" spans="17:31" ht="20.100000000000001" customHeight="1" x14ac:dyDescent="0.25">
      <c r="Q2207" s="7">
        <f t="shared" si="34"/>
        <v>0</v>
      </c>
      <c r="R2207" s="7" t="e">
        <f>IF(VLOOKUP($A2207,'Concrete Beam Schedule'!$A$2:$Q$2902,R$2,0)&lt;&gt;B2207,VLOOKUP($A2207,'Concrete Beam Schedule'!$A$2:$Q$2902,R$2,0),"")</f>
        <v>#N/A</v>
      </c>
      <c r="S2207" s="7" t="e">
        <f>IF(VLOOKUP($A2207,'Concrete Beam Schedule'!$A$2:$Q$2902,S$2,0)&lt;&gt;C2207,VLOOKUP($A2207,'Concrete Beam Schedule'!$A$2:$Q$2902,S$2,0),"")</f>
        <v>#N/A</v>
      </c>
      <c r="T2207" s="7" t="e">
        <f>IF(VLOOKUP($A2207,'Concrete Beam Schedule'!$A$2:$Q$2902,T$2,0)&lt;&gt;D2207,"Beam Revised","")</f>
        <v>#N/A</v>
      </c>
      <c r="U2207" s="7" t="e">
        <f>IF(VLOOKUP($A2207,'Concrete Beam Schedule'!$A$2:$Q$2902,U$2,0)&lt;&gt;E2207,"Beam Revised","")</f>
        <v>#N/A</v>
      </c>
      <c r="V2207" s="7" t="e">
        <f>IF(VLOOKUP($A2207,'Concrete Beam Schedule'!$A$2:$Q$2902,V$2,0)&lt;&gt;F2207,"Beam Revised","")</f>
        <v>#N/A</v>
      </c>
      <c r="W2207" s="7" t="e">
        <f>IF(VLOOKUP($A2207,'Concrete Beam Schedule'!$A$2:$Q$2902,W$2,0)&lt;&gt;G2207,"Beam Revised","")</f>
        <v>#N/A</v>
      </c>
      <c r="X2207" s="7" t="e">
        <f>IF(VLOOKUP($A2207,'Concrete Beam Schedule'!$A$2:$Q$2902,X$2,0)&lt;&gt;H2207,"Beam Revised","")</f>
        <v>#N/A</v>
      </c>
      <c r="Y2207" s="7" t="e">
        <f>IF(VLOOKUP($A2207,'Concrete Beam Schedule'!$A$2:$Q$2902,Y$2,0)&lt;&gt;I2207,"Beam Revised","")</f>
        <v>#N/A</v>
      </c>
      <c r="Z2207" s="7" t="e">
        <f>IF(VLOOKUP($A2207,'Concrete Beam Schedule'!$A$2:$Q$2902,Z$2,0)&lt;&gt;J2207,"Beam Revised","")</f>
        <v>#N/A</v>
      </c>
      <c r="AA2207" s="7" t="e">
        <f>IF(VLOOKUP($A2207,'Concrete Beam Schedule'!$A$2:$Q$2902,AA$2,0)&lt;&gt;K2207,"Beam Revised","")</f>
        <v>#N/A</v>
      </c>
      <c r="AB2207" s="7" t="e">
        <f>IF(VLOOKUP($A2207,'Concrete Beam Schedule'!$A$2:$Q$2902,AB$2,0)&lt;&gt;L2207,"Beam Revised","")</f>
        <v>#N/A</v>
      </c>
      <c r="AC2207" s="7" t="e">
        <f>IF(VLOOKUP($A2207,'Concrete Beam Schedule'!$A$2:$Q$2902,AC$2,0)&lt;&gt;M2207,"Beam Revised","")</f>
        <v>#N/A</v>
      </c>
      <c r="AD2207" s="7" t="e">
        <f>IF(VLOOKUP($A2207,'Concrete Beam Schedule'!$A$2:$Q$2902,AD$2,0)&lt;&gt;N2207,"Beam Revised","")</f>
        <v>#N/A</v>
      </c>
      <c r="AE2207" s="7" t="e">
        <f>IF(VLOOKUP($A2207,'Concrete Beam Schedule'!$A$2:$Q$2902,AE$2,0)&lt;&gt;O2207,"Beam Revised","")</f>
        <v>#N/A</v>
      </c>
    </row>
    <row r="2208" spans="17:31" ht="20.100000000000001" customHeight="1" x14ac:dyDescent="0.25">
      <c r="Q2208" s="7">
        <f t="shared" si="34"/>
        <v>0</v>
      </c>
      <c r="R2208" s="7" t="e">
        <f>IF(VLOOKUP($A2208,'Concrete Beam Schedule'!$A$2:$Q$2902,R$2,0)&lt;&gt;B2208,VLOOKUP($A2208,'Concrete Beam Schedule'!$A$2:$Q$2902,R$2,0),"")</f>
        <v>#N/A</v>
      </c>
      <c r="S2208" s="7" t="e">
        <f>IF(VLOOKUP($A2208,'Concrete Beam Schedule'!$A$2:$Q$2902,S$2,0)&lt;&gt;C2208,VLOOKUP($A2208,'Concrete Beam Schedule'!$A$2:$Q$2902,S$2,0),"")</f>
        <v>#N/A</v>
      </c>
      <c r="T2208" s="7" t="e">
        <f>IF(VLOOKUP($A2208,'Concrete Beam Schedule'!$A$2:$Q$2902,T$2,0)&lt;&gt;D2208,"Beam Revised","")</f>
        <v>#N/A</v>
      </c>
      <c r="U2208" s="7" t="e">
        <f>IF(VLOOKUP($A2208,'Concrete Beam Schedule'!$A$2:$Q$2902,U$2,0)&lt;&gt;E2208,"Beam Revised","")</f>
        <v>#N/A</v>
      </c>
      <c r="V2208" s="7" t="e">
        <f>IF(VLOOKUP($A2208,'Concrete Beam Schedule'!$A$2:$Q$2902,V$2,0)&lt;&gt;F2208,"Beam Revised","")</f>
        <v>#N/A</v>
      </c>
      <c r="W2208" s="7" t="e">
        <f>IF(VLOOKUP($A2208,'Concrete Beam Schedule'!$A$2:$Q$2902,W$2,0)&lt;&gt;G2208,"Beam Revised","")</f>
        <v>#N/A</v>
      </c>
      <c r="X2208" s="7" t="e">
        <f>IF(VLOOKUP($A2208,'Concrete Beam Schedule'!$A$2:$Q$2902,X$2,0)&lt;&gt;H2208,"Beam Revised","")</f>
        <v>#N/A</v>
      </c>
      <c r="Y2208" s="7" t="e">
        <f>IF(VLOOKUP($A2208,'Concrete Beam Schedule'!$A$2:$Q$2902,Y$2,0)&lt;&gt;I2208,"Beam Revised","")</f>
        <v>#N/A</v>
      </c>
      <c r="Z2208" s="7" t="e">
        <f>IF(VLOOKUP($A2208,'Concrete Beam Schedule'!$A$2:$Q$2902,Z$2,0)&lt;&gt;J2208,"Beam Revised","")</f>
        <v>#N/A</v>
      </c>
      <c r="AA2208" s="7" t="e">
        <f>IF(VLOOKUP($A2208,'Concrete Beam Schedule'!$A$2:$Q$2902,AA$2,0)&lt;&gt;K2208,"Beam Revised","")</f>
        <v>#N/A</v>
      </c>
      <c r="AB2208" s="7" t="e">
        <f>IF(VLOOKUP($A2208,'Concrete Beam Schedule'!$A$2:$Q$2902,AB$2,0)&lt;&gt;L2208,"Beam Revised","")</f>
        <v>#N/A</v>
      </c>
      <c r="AC2208" s="7" t="e">
        <f>IF(VLOOKUP($A2208,'Concrete Beam Schedule'!$A$2:$Q$2902,AC$2,0)&lt;&gt;M2208,"Beam Revised","")</f>
        <v>#N/A</v>
      </c>
      <c r="AD2208" s="7" t="e">
        <f>IF(VLOOKUP($A2208,'Concrete Beam Schedule'!$A$2:$Q$2902,AD$2,0)&lt;&gt;N2208,"Beam Revised","")</f>
        <v>#N/A</v>
      </c>
      <c r="AE2208" s="7" t="e">
        <f>IF(VLOOKUP($A2208,'Concrete Beam Schedule'!$A$2:$Q$2902,AE$2,0)&lt;&gt;O2208,"Beam Revised","")</f>
        <v>#N/A</v>
      </c>
    </row>
    <row r="2209" spans="17:31" ht="20.100000000000001" customHeight="1" x14ac:dyDescent="0.25">
      <c r="Q2209" s="7">
        <f t="shared" si="34"/>
        <v>0</v>
      </c>
      <c r="R2209" s="7" t="e">
        <f>IF(VLOOKUP($A2209,'Concrete Beam Schedule'!$A$2:$Q$2902,R$2,0)&lt;&gt;B2209,VLOOKUP($A2209,'Concrete Beam Schedule'!$A$2:$Q$2902,R$2,0),"")</f>
        <v>#N/A</v>
      </c>
      <c r="S2209" s="7" t="e">
        <f>IF(VLOOKUP($A2209,'Concrete Beam Schedule'!$A$2:$Q$2902,S$2,0)&lt;&gt;C2209,VLOOKUP($A2209,'Concrete Beam Schedule'!$A$2:$Q$2902,S$2,0),"")</f>
        <v>#N/A</v>
      </c>
      <c r="T2209" s="7" t="e">
        <f>IF(VLOOKUP($A2209,'Concrete Beam Schedule'!$A$2:$Q$2902,T$2,0)&lt;&gt;D2209,"Beam Revised","")</f>
        <v>#N/A</v>
      </c>
      <c r="U2209" s="7" t="e">
        <f>IF(VLOOKUP($A2209,'Concrete Beam Schedule'!$A$2:$Q$2902,U$2,0)&lt;&gt;E2209,"Beam Revised","")</f>
        <v>#N/A</v>
      </c>
      <c r="V2209" s="7" t="e">
        <f>IF(VLOOKUP($A2209,'Concrete Beam Schedule'!$A$2:$Q$2902,V$2,0)&lt;&gt;F2209,"Beam Revised","")</f>
        <v>#N/A</v>
      </c>
      <c r="W2209" s="7" t="e">
        <f>IF(VLOOKUP($A2209,'Concrete Beam Schedule'!$A$2:$Q$2902,W$2,0)&lt;&gt;G2209,"Beam Revised","")</f>
        <v>#N/A</v>
      </c>
      <c r="X2209" s="7" t="e">
        <f>IF(VLOOKUP($A2209,'Concrete Beam Schedule'!$A$2:$Q$2902,X$2,0)&lt;&gt;H2209,"Beam Revised","")</f>
        <v>#N/A</v>
      </c>
      <c r="Y2209" s="7" t="e">
        <f>IF(VLOOKUP($A2209,'Concrete Beam Schedule'!$A$2:$Q$2902,Y$2,0)&lt;&gt;I2209,"Beam Revised","")</f>
        <v>#N/A</v>
      </c>
      <c r="Z2209" s="7" t="e">
        <f>IF(VLOOKUP($A2209,'Concrete Beam Schedule'!$A$2:$Q$2902,Z$2,0)&lt;&gt;J2209,"Beam Revised","")</f>
        <v>#N/A</v>
      </c>
      <c r="AA2209" s="7" t="e">
        <f>IF(VLOOKUP($A2209,'Concrete Beam Schedule'!$A$2:$Q$2902,AA$2,0)&lt;&gt;K2209,"Beam Revised","")</f>
        <v>#N/A</v>
      </c>
      <c r="AB2209" s="7" t="e">
        <f>IF(VLOOKUP($A2209,'Concrete Beam Schedule'!$A$2:$Q$2902,AB$2,0)&lt;&gt;L2209,"Beam Revised","")</f>
        <v>#N/A</v>
      </c>
      <c r="AC2209" s="7" t="e">
        <f>IF(VLOOKUP($A2209,'Concrete Beam Schedule'!$A$2:$Q$2902,AC$2,0)&lt;&gt;M2209,"Beam Revised","")</f>
        <v>#N/A</v>
      </c>
      <c r="AD2209" s="7" t="e">
        <f>IF(VLOOKUP($A2209,'Concrete Beam Schedule'!$A$2:$Q$2902,AD$2,0)&lt;&gt;N2209,"Beam Revised","")</f>
        <v>#N/A</v>
      </c>
      <c r="AE2209" s="7" t="e">
        <f>IF(VLOOKUP($A2209,'Concrete Beam Schedule'!$A$2:$Q$2902,AE$2,0)&lt;&gt;O2209,"Beam Revised","")</f>
        <v>#N/A</v>
      </c>
    </row>
    <row r="2210" spans="17:31" ht="20.100000000000001" customHeight="1" x14ac:dyDescent="0.25">
      <c r="Q2210" s="7">
        <f t="shared" si="34"/>
        <v>0</v>
      </c>
      <c r="R2210" s="7" t="e">
        <f>IF(VLOOKUP($A2210,'Concrete Beam Schedule'!$A$2:$Q$2902,R$2,0)&lt;&gt;B2210,VLOOKUP($A2210,'Concrete Beam Schedule'!$A$2:$Q$2902,R$2,0),"")</f>
        <v>#N/A</v>
      </c>
      <c r="S2210" s="7" t="e">
        <f>IF(VLOOKUP($A2210,'Concrete Beam Schedule'!$A$2:$Q$2902,S$2,0)&lt;&gt;C2210,VLOOKUP($A2210,'Concrete Beam Schedule'!$A$2:$Q$2902,S$2,0),"")</f>
        <v>#N/A</v>
      </c>
      <c r="T2210" s="7" t="e">
        <f>IF(VLOOKUP($A2210,'Concrete Beam Schedule'!$A$2:$Q$2902,T$2,0)&lt;&gt;D2210,"Beam Revised","")</f>
        <v>#N/A</v>
      </c>
      <c r="U2210" s="7" t="e">
        <f>IF(VLOOKUP($A2210,'Concrete Beam Schedule'!$A$2:$Q$2902,U$2,0)&lt;&gt;E2210,"Beam Revised","")</f>
        <v>#N/A</v>
      </c>
      <c r="V2210" s="7" t="e">
        <f>IF(VLOOKUP($A2210,'Concrete Beam Schedule'!$A$2:$Q$2902,V$2,0)&lt;&gt;F2210,"Beam Revised","")</f>
        <v>#N/A</v>
      </c>
      <c r="W2210" s="7" t="e">
        <f>IF(VLOOKUP($A2210,'Concrete Beam Schedule'!$A$2:$Q$2902,W$2,0)&lt;&gt;G2210,"Beam Revised","")</f>
        <v>#N/A</v>
      </c>
      <c r="X2210" s="7" t="e">
        <f>IF(VLOOKUP($A2210,'Concrete Beam Schedule'!$A$2:$Q$2902,X$2,0)&lt;&gt;H2210,"Beam Revised","")</f>
        <v>#N/A</v>
      </c>
      <c r="Y2210" s="7" t="e">
        <f>IF(VLOOKUP($A2210,'Concrete Beam Schedule'!$A$2:$Q$2902,Y$2,0)&lt;&gt;I2210,"Beam Revised","")</f>
        <v>#N/A</v>
      </c>
      <c r="Z2210" s="7" t="e">
        <f>IF(VLOOKUP($A2210,'Concrete Beam Schedule'!$A$2:$Q$2902,Z$2,0)&lt;&gt;J2210,"Beam Revised","")</f>
        <v>#N/A</v>
      </c>
      <c r="AA2210" s="7" t="e">
        <f>IF(VLOOKUP($A2210,'Concrete Beam Schedule'!$A$2:$Q$2902,AA$2,0)&lt;&gt;K2210,"Beam Revised","")</f>
        <v>#N/A</v>
      </c>
      <c r="AB2210" s="7" t="e">
        <f>IF(VLOOKUP($A2210,'Concrete Beam Schedule'!$A$2:$Q$2902,AB$2,0)&lt;&gt;L2210,"Beam Revised","")</f>
        <v>#N/A</v>
      </c>
      <c r="AC2210" s="7" t="e">
        <f>IF(VLOOKUP($A2210,'Concrete Beam Schedule'!$A$2:$Q$2902,AC$2,0)&lt;&gt;M2210,"Beam Revised","")</f>
        <v>#N/A</v>
      </c>
      <c r="AD2210" s="7" t="e">
        <f>IF(VLOOKUP($A2210,'Concrete Beam Schedule'!$A$2:$Q$2902,AD$2,0)&lt;&gt;N2210,"Beam Revised","")</f>
        <v>#N/A</v>
      </c>
      <c r="AE2210" s="7" t="e">
        <f>IF(VLOOKUP($A2210,'Concrete Beam Schedule'!$A$2:$Q$2902,AE$2,0)&lt;&gt;O2210,"Beam Revised","")</f>
        <v>#N/A</v>
      </c>
    </row>
    <row r="2211" spans="17:31" ht="20.100000000000001" customHeight="1" x14ac:dyDescent="0.25">
      <c r="Q2211" s="7">
        <f t="shared" si="34"/>
        <v>0</v>
      </c>
      <c r="R2211" s="7" t="e">
        <f>IF(VLOOKUP($A2211,'Concrete Beam Schedule'!$A$2:$Q$2902,R$2,0)&lt;&gt;B2211,VLOOKUP($A2211,'Concrete Beam Schedule'!$A$2:$Q$2902,R$2,0),"")</f>
        <v>#N/A</v>
      </c>
      <c r="S2211" s="7" t="e">
        <f>IF(VLOOKUP($A2211,'Concrete Beam Schedule'!$A$2:$Q$2902,S$2,0)&lt;&gt;C2211,VLOOKUP($A2211,'Concrete Beam Schedule'!$A$2:$Q$2902,S$2,0),"")</f>
        <v>#N/A</v>
      </c>
      <c r="T2211" s="7" t="e">
        <f>IF(VLOOKUP($A2211,'Concrete Beam Schedule'!$A$2:$Q$2902,T$2,0)&lt;&gt;D2211,"Beam Revised","")</f>
        <v>#N/A</v>
      </c>
      <c r="U2211" s="7" t="e">
        <f>IF(VLOOKUP($A2211,'Concrete Beam Schedule'!$A$2:$Q$2902,U$2,0)&lt;&gt;E2211,"Beam Revised","")</f>
        <v>#N/A</v>
      </c>
      <c r="V2211" s="7" t="e">
        <f>IF(VLOOKUP($A2211,'Concrete Beam Schedule'!$A$2:$Q$2902,V$2,0)&lt;&gt;F2211,"Beam Revised","")</f>
        <v>#N/A</v>
      </c>
      <c r="W2211" s="7" t="e">
        <f>IF(VLOOKUP($A2211,'Concrete Beam Schedule'!$A$2:$Q$2902,W$2,0)&lt;&gt;G2211,"Beam Revised","")</f>
        <v>#N/A</v>
      </c>
      <c r="X2211" s="7" t="e">
        <f>IF(VLOOKUP($A2211,'Concrete Beam Schedule'!$A$2:$Q$2902,X$2,0)&lt;&gt;H2211,"Beam Revised","")</f>
        <v>#N/A</v>
      </c>
      <c r="Y2211" s="7" t="e">
        <f>IF(VLOOKUP($A2211,'Concrete Beam Schedule'!$A$2:$Q$2902,Y$2,0)&lt;&gt;I2211,"Beam Revised","")</f>
        <v>#N/A</v>
      </c>
      <c r="Z2211" s="7" t="e">
        <f>IF(VLOOKUP($A2211,'Concrete Beam Schedule'!$A$2:$Q$2902,Z$2,0)&lt;&gt;J2211,"Beam Revised","")</f>
        <v>#N/A</v>
      </c>
      <c r="AA2211" s="7" t="e">
        <f>IF(VLOOKUP($A2211,'Concrete Beam Schedule'!$A$2:$Q$2902,AA$2,0)&lt;&gt;K2211,"Beam Revised","")</f>
        <v>#N/A</v>
      </c>
      <c r="AB2211" s="7" t="e">
        <f>IF(VLOOKUP($A2211,'Concrete Beam Schedule'!$A$2:$Q$2902,AB$2,0)&lt;&gt;L2211,"Beam Revised","")</f>
        <v>#N/A</v>
      </c>
      <c r="AC2211" s="7" t="e">
        <f>IF(VLOOKUP($A2211,'Concrete Beam Schedule'!$A$2:$Q$2902,AC$2,0)&lt;&gt;M2211,"Beam Revised","")</f>
        <v>#N/A</v>
      </c>
      <c r="AD2211" s="7" t="e">
        <f>IF(VLOOKUP($A2211,'Concrete Beam Schedule'!$A$2:$Q$2902,AD$2,0)&lt;&gt;N2211,"Beam Revised","")</f>
        <v>#N/A</v>
      </c>
      <c r="AE2211" s="7" t="e">
        <f>IF(VLOOKUP($A2211,'Concrete Beam Schedule'!$A$2:$Q$2902,AE$2,0)&lt;&gt;O2211,"Beam Revised","")</f>
        <v>#N/A</v>
      </c>
    </row>
    <row r="2212" spans="17:31" ht="20.100000000000001" customHeight="1" x14ac:dyDescent="0.25">
      <c r="Q2212" s="7">
        <f t="shared" si="34"/>
        <v>0</v>
      </c>
      <c r="R2212" s="7" t="e">
        <f>IF(VLOOKUP($A2212,'Concrete Beam Schedule'!$A$2:$Q$2902,R$2,0)&lt;&gt;B2212,VLOOKUP($A2212,'Concrete Beam Schedule'!$A$2:$Q$2902,R$2,0),"")</f>
        <v>#N/A</v>
      </c>
      <c r="S2212" s="7" t="e">
        <f>IF(VLOOKUP($A2212,'Concrete Beam Schedule'!$A$2:$Q$2902,S$2,0)&lt;&gt;C2212,VLOOKUP($A2212,'Concrete Beam Schedule'!$A$2:$Q$2902,S$2,0),"")</f>
        <v>#N/A</v>
      </c>
      <c r="T2212" s="7" t="e">
        <f>IF(VLOOKUP($A2212,'Concrete Beam Schedule'!$A$2:$Q$2902,T$2,0)&lt;&gt;D2212,"Beam Revised","")</f>
        <v>#N/A</v>
      </c>
      <c r="U2212" s="7" t="e">
        <f>IF(VLOOKUP($A2212,'Concrete Beam Schedule'!$A$2:$Q$2902,U$2,0)&lt;&gt;E2212,"Beam Revised","")</f>
        <v>#N/A</v>
      </c>
      <c r="V2212" s="7" t="e">
        <f>IF(VLOOKUP($A2212,'Concrete Beam Schedule'!$A$2:$Q$2902,V$2,0)&lt;&gt;F2212,"Beam Revised","")</f>
        <v>#N/A</v>
      </c>
      <c r="W2212" s="7" t="e">
        <f>IF(VLOOKUP($A2212,'Concrete Beam Schedule'!$A$2:$Q$2902,W$2,0)&lt;&gt;G2212,"Beam Revised","")</f>
        <v>#N/A</v>
      </c>
      <c r="X2212" s="7" t="e">
        <f>IF(VLOOKUP($A2212,'Concrete Beam Schedule'!$A$2:$Q$2902,X$2,0)&lt;&gt;H2212,"Beam Revised","")</f>
        <v>#N/A</v>
      </c>
      <c r="Y2212" s="7" t="e">
        <f>IF(VLOOKUP($A2212,'Concrete Beam Schedule'!$A$2:$Q$2902,Y$2,0)&lt;&gt;I2212,"Beam Revised","")</f>
        <v>#N/A</v>
      </c>
      <c r="Z2212" s="7" t="e">
        <f>IF(VLOOKUP($A2212,'Concrete Beam Schedule'!$A$2:$Q$2902,Z$2,0)&lt;&gt;J2212,"Beam Revised","")</f>
        <v>#N/A</v>
      </c>
      <c r="AA2212" s="7" t="e">
        <f>IF(VLOOKUP($A2212,'Concrete Beam Schedule'!$A$2:$Q$2902,AA$2,0)&lt;&gt;K2212,"Beam Revised","")</f>
        <v>#N/A</v>
      </c>
      <c r="AB2212" s="7" t="e">
        <f>IF(VLOOKUP($A2212,'Concrete Beam Schedule'!$A$2:$Q$2902,AB$2,0)&lt;&gt;L2212,"Beam Revised","")</f>
        <v>#N/A</v>
      </c>
      <c r="AC2212" s="7" t="e">
        <f>IF(VLOOKUP($A2212,'Concrete Beam Schedule'!$A$2:$Q$2902,AC$2,0)&lt;&gt;M2212,"Beam Revised","")</f>
        <v>#N/A</v>
      </c>
      <c r="AD2212" s="7" t="e">
        <f>IF(VLOOKUP($A2212,'Concrete Beam Schedule'!$A$2:$Q$2902,AD$2,0)&lt;&gt;N2212,"Beam Revised","")</f>
        <v>#N/A</v>
      </c>
      <c r="AE2212" s="7" t="e">
        <f>IF(VLOOKUP($A2212,'Concrete Beam Schedule'!$A$2:$Q$2902,AE$2,0)&lt;&gt;O2212,"Beam Revised","")</f>
        <v>#N/A</v>
      </c>
    </row>
    <row r="2213" spans="17:31" ht="20.100000000000001" customHeight="1" x14ac:dyDescent="0.25">
      <c r="Q2213" s="7">
        <f t="shared" si="34"/>
        <v>0</v>
      </c>
      <c r="R2213" s="7" t="e">
        <f>IF(VLOOKUP($A2213,'Concrete Beam Schedule'!$A$2:$Q$2902,R$2,0)&lt;&gt;B2213,VLOOKUP($A2213,'Concrete Beam Schedule'!$A$2:$Q$2902,R$2,0),"")</f>
        <v>#N/A</v>
      </c>
      <c r="S2213" s="7" t="e">
        <f>IF(VLOOKUP($A2213,'Concrete Beam Schedule'!$A$2:$Q$2902,S$2,0)&lt;&gt;C2213,VLOOKUP($A2213,'Concrete Beam Schedule'!$A$2:$Q$2902,S$2,0),"")</f>
        <v>#N/A</v>
      </c>
      <c r="T2213" s="7" t="e">
        <f>IF(VLOOKUP($A2213,'Concrete Beam Schedule'!$A$2:$Q$2902,T$2,0)&lt;&gt;D2213,"Beam Revised","")</f>
        <v>#N/A</v>
      </c>
      <c r="U2213" s="7" t="e">
        <f>IF(VLOOKUP($A2213,'Concrete Beam Schedule'!$A$2:$Q$2902,U$2,0)&lt;&gt;E2213,"Beam Revised","")</f>
        <v>#N/A</v>
      </c>
      <c r="V2213" s="7" t="e">
        <f>IF(VLOOKUP($A2213,'Concrete Beam Schedule'!$A$2:$Q$2902,V$2,0)&lt;&gt;F2213,"Beam Revised","")</f>
        <v>#N/A</v>
      </c>
      <c r="W2213" s="7" t="e">
        <f>IF(VLOOKUP($A2213,'Concrete Beam Schedule'!$A$2:$Q$2902,W$2,0)&lt;&gt;G2213,"Beam Revised","")</f>
        <v>#N/A</v>
      </c>
      <c r="X2213" s="7" t="e">
        <f>IF(VLOOKUP($A2213,'Concrete Beam Schedule'!$A$2:$Q$2902,X$2,0)&lt;&gt;H2213,"Beam Revised","")</f>
        <v>#N/A</v>
      </c>
      <c r="Y2213" s="7" t="e">
        <f>IF(VLOOKUP($A2213,'Concrete Beam Schedule'!$A$2:$Q$2902,Y$2,0)&lt;&gt;I2213,"Beam Revised","")</f>
        <v>#N/A</v>
      </c>
      <c r="Z2213" s="7" t="e">
        <f>IF(VLOOKUP($A2213,'Concrete Beam Schedule'!$A$2:$Q$2902,Z$2,0)&lt;&gt;J2213,"Beam Revised","")</f>
        <v>#N/A</v>
      </c>
      <c r="AA2213" s="7" t="e">
        <f>IF(VLOOKUP($A2213,'Concrete Beam Schedule'!$A$2:$Q$2902,AA$2,0)&lt;&gt;K2213,"Beam Revised","")</f>
        <v>#N/A</v>
      </c>
      <c r="AB2213" s="7" t="e">
        <f>IF(VLOOKUP($A2213,'Concrete Beam Schedule'!$A$2:$Q$2902,AB$2,0)&lt;&gt;L2213,"Beam Revised","")</f>
        <v>#N/A</v>
      </c>
      <c r="AC2213" s="7" t="e">
        <f>IF(VLOOKUP($A2213,'Concrete Beam Schedule'!$A$2:$Q$2902,AC$2,0)&lt;&gt;M2213,"Beam Revised","")</f>
        <v>#N/A</v>
      </c>
      <c r="AD2213" s="7" t="e">
        <f>IF(VLOOKUP($A2213,'Concrete Beam Schedule'!$A$2:$Q$2902,AD$2,0)&lt;&gt;N2213,"Beam Revised","")</f>
        <v>#N/A</v>
      </c>
      <c r="AE2213" s="7" t="e">
        <f>IF(VLOOKUP($A2213,'Concrete Beam Schedule'!$A$2:$Q$2902,AE$2,0)&lt;&gt;O2213,"Beam Revised","")</f>
        <v>#N/A</v>
      </c>
    </row>
    <row r="2214" spans="17:31" ht="20.100000000000001" customHeight="1" x14ac:dyDescent="0.25">
      <c r="Q2214" s="7">
        <f t="shared" si="34"/>
        <v>0</v>
      </c>
      <c r="R2214" s="7" t="e">
        <f>IF(VLOOKUP($A2214,'Concrete Beam Schedule'!$A$2:$Q$2902,R$2,0)&lt;&gt;B2214,VLOOKUP($A2214,'Concrete Beam Schedule'!$A$2:$Q$2902,R$2,0),"")</f>
        <v>#N/A</v>
      </c>
      <c r="S2214" s="7" t="e">
        <f>IF(VLOOKUP($A2214,'Concrete Beam Schedule'!$A$2:$Q$2902,S$2,0)&lt;&gt;C2214,VLOOKUP($A2214,'Concrete Beam Schedule'!$A$2:$Q$2902,S$2,0),"")</f>
        <v>#N/A</v>
      </c>
      <c r="T2214" s="7" t="e">
        <f>IF(VLOOKUP($A2214,'Concrete Beam Schedule'!$A$2:$Q$2902,T$2,0)&lt;&gt;D2214,"Beam Revised","")</f>
        <v>#N/A</v>
      </c>
      <c r="U2214" s="7" t="e">
        <f>IF(VLOOKUP($A2214,'Concrete Beam Schedule'!$A$2:$Q$2902,U$2,0)&lt;&gt;E2214,"Beam Revised","")</f>
        <v>#N/A</v>
      </c>
      <c r="V2214" s="7" t="e">
        <f>IF(VLOOKUP($A2214,'Concrete Beam Schedule'!$A$2:$Q$2902,V$2,0)&lt;&gt;F2214,"Beam Revised","")</f>
        <v>#N/A</v>
      </c>
      <c r="W2214" s="7" t="e">
        <f>IF(VLOOKUP($A2214,'Concrete Beam Schedule'!$A$2:$Q$2902,W$2,0)&lt;&gt;G2214,"Beam Revised","")</f>
        <v>#N/A</v>
      </c>
      <c r="X2214" s="7" t="e">
        <f>IF(VLOOKUP($A2214,'Concrete Beam Schedule'!$A$2:$Q$2902,X$2,0)&lt;&gt;H2214,"Beam Revised","")</f>
        <v>#N/A</v>
      </c>
      <c r="Y2214" s="7" t="e">
        <f>IF(VLOOKUP($A2214,'Concrete Beam Schedule'!$A$2:$Q$2902,Y$2,0)&lt;&gt;I2214,"Beam Revised","")</f>
        <v>#N/A</v>
      </c>
      <c r="Z2214" s="7" t="e">
        <f>IF(VLOOKUP($A2214,'Concrete Beam Schedule'!$A$2:$Q$2902,Z$2,0)&lt;&gt;J2214,"Beam Revised","")</f>
        <v>#N/A</v>
      </c>
      <c r="AA2214" s="7" t="e">
        <f>IF(VLOOKUP($A2214,'Concrete Beam Schedule'!$A$2:$Q$2902,AA$2,0)&lt;&gt;K2214,"Beam Revised","")</f>
        <v>#N/A</v>
      </c>
      <c r="AB2214" s="7" t="e">
        <f>IF(VLOOKUP($A2214,'Concrete Beam Schedule'!$A$2:$Q$2902,AB$2,0)&lt;&gt;L2214,"Beam Revised","")</f>
        <v>#N/A</v>
      </c>
      <c r="AC2214" s="7" t="e">
        <f>IF(VLOOKUP($A2214,'Concrete Beam Schedule'!$A$2:$Q$2902,AC$2,0)&lt;&gt;M2214,"Beam Revised","")</f>
        <v>#N/A</v>
      </c>
      <c r="AD2214" s="7" t="e">
        <f>IF(VLOOKUP($A2214,'Concrete Beam Schedule'!$A$2:$Q$2902,AD$2,0)&lt;&gt;N2214,"Beam Revised","")</f>
        <v>#N/A</v>
      </c>
      <c r="AE2214" s="7" t="e">
        <f>IF(VLOOKUP($A2214,'Concrete Beam Schedule'!$A$2:$Q$2902,AE$2,0)&lt;&gt;O2214,"Beam Revised","")</f>
        <v>#N/A</v>
      </c>
    </row>
    <row r="2215" spans="17:31" ht="20.100000000000001" customHeight="1" x14ac:dyDescent="0.25">
      <c r="Q2215" s="7">
        <f t="shared" si="34"/>
        <v>0</v>
      </c>
      <c r="R2215" s="7" t="e">
        <f>IF(VLOOKUP($A2215,'Concrete Beam Schedule'!$A$2:$Q$2902,R$2,0)&lt;&gt;B2215,VLOOKUP($A2215,'Concrete Beam Schedule'!$A$2:$Q$2902,R$2,0),"")</f>
        <v>#N/A</v>
      </c>
      <c r="S2215" s="7" t="e">
        <f>IF(VLOOKUP($A2215,'Concrete Beam Schedule'!$A$2:$Q$2902,S$2,0)&lt;&gt;C2215,VLOOKUP($A2215,'Concrete Beam Schedule'!$A$2:$Q$2902,S$2,0),"")</f>
        <v>#N/A</v>
      </c>
      <c r="T2215" s="7" t="e">
        <f>IF(VLOOKUP($A2215,'Concrete Beam Schedule'!$A$2:$Q$2902,T$2,0)&lt;&gt;D2215,"Beam Revised","")</f>
        <v>#N/A</v>
      </c>
      <c r="U2215" s="7" t="e">
        <f>IF(VLOOKUP($A2215,'Concrete Beam Schedule'!$A$2:$Q$2902,U$2,0)&lt;&gt;E2215,"Beam Revised","")</f>
        <v>#N/A</v>
      </c>
      <c r="V2215" s="7" t="e">
        <f>IF(VLOOKUP($A2215,'Concrete Beam Schedule'!$A$2:$Q$2902,V$2,0)&lt;&gt;F2215,"Beam Revised","")</f>
        <v>#N/A</v>
      </c>
      <c r="W2215" s="7" t="e">
        <f>IF(VLOOKUP($A2215,'Concrete Beam Schedule'!$A$2:$Q$2902,W$2,0)&lt;&gt;G2215,"Beam Revised","")</f>
        <v>#N/A</v>
      </c>
      <c r="X2215" s="7" t="e">
        <f>IF(VLOOKUP($A2215,'Concrete Beam Schedule'!$A$2:$Q$2902,X$2,0)&lt;&gt;H2215,"Beam Revised","")</f>
        <v>#N/A</v>
      </c>
      <c r="Y2215" s="7" t="e">
        <f>IF(VLOOKUP($A2215,'Concrete Beam Schedule'!$A$2:$Q$2902,Y$2,0)&lt;&gt;I2215,"Beam Revised","")</f>
        <v>#N/A</v>
      </c>
      <c r="Z2215" s="7" t="e">
        <f>IF(VLOOKUP($A2215,'Concrete Beam Schedule'!$A$2:$Q$2902,Z$2,0)&lt;&gt;J2215,"Beam Revised","")</f>
        <v>#N/A</v>
      </c>
      <c r="AA2215" s="7" t="e">
        <f>IF(VLOOKUP($A2215,'Concrete Beam Schedule'!$A$2:$Q$2902,AA$2,0)&lt;&gt;K2215,"Beam Revised","")</f>
        <v>#N/A</v>
      </c>
      <c r="AB2215" s="7" t="e">
        <f>IF(VLOOKUP($A2215,'Concrete Beam Schedule'!$A$2:$Q$2902,AB$2,0)&lt;&gt;L2215,"Beam Revised","")</f>
        <v>#N/A</v>
      </c>
      <c r="AC2215" s="7" t="e">
        <f>IF(VLOOKUP($A2215,'Concrete Beam Schedule'!$A$2:$Q$2902,AC$2,0)&lt;&gt;M2215,"Beam Revised","")</f>
        <v>#N/A</v>
      </c>
      <c r="AD2215" s="7" t="e">
        <f>IF(VLOOKUP($A2215,'Concrete Beam Schedule'!$A$2:$Q$2902,AD$2,0)&lt;&gt;N2215,"Beam Revised","")</f>
        <v>#N/A</v>
      </c>
      <c r="AE2215" s="7" t="e">
        <f>IF(VLOOKUP($A2215,'Concrete Beam Schedule'!$A$2:$Q$2902,AE$2,0)&lt;&gt;O2215,"Beam Revised","")</f>
        <v>#N/A</v>
      </c>
    </row>
    <row r="2216" spans="17:31" ht="20.100000000000001" customHeight="1" x14ac:dyDescent="0.25">
      <c r="Q2216" s="7">
        <f t="shared" si="34"/>
        <v>0</v>
      </c>
      <c r="R2216" s="7" t="e">
        <f>IF(VLOOKUP($A2216,'Concrete Beam Schedule'!$A$2:$Q$2902,R$2,0)&lt;&gt;B2216,VLOOKUP($A2216,'Concrete Beam Schedule'!$A$2:$Q$2902,R$2,0),"")</f>
        <v>#N/A</v>
      </c>
      <c r="S2216" s="7" t="e">
        <f>IF(VLOOKUP($A2216,'Concrete Beam Schedule'!$A$2:$Q$2902,S$2,0)&lt;&gt;C2216,VLOOKUP($A2216,'Concrete Beam Schedule'!$A$2:$Q$2902,S$2,0),"")</f>
        <v>#N/A</v>
      </c>
      <c r="T2216" s="7" t="e">
        <f>IF(VLOOKUP($A2216,'Concrete Beam Schedule'!$A$2:$Q$2902,T$2,0)&lt;&gt;D2216,"Beam Revised","")</f>
        <v>#N/A</v>
      </c>
      <c r="U2216" s="7" t="e">
        <f>IF(VLOOKUP($A2216,'Concrete Beam Schedule'!$A$2:$Q$2902,U$2,0)&lt;&gt;E2216,"Beam Revised","")</f>
        <v>#N/A</v>
      </c>
      <c r="V2216" s="7" t="e">
        <f>IF(VLOOKUP($A2216,'Concrete Beam Schedule'!$A$2:$Q$2902,V$2,0)&lt;&gt;F2216,"Beam Revised","")</f>
        <v>#N/A</v>
      </c>
      <c r="W2216" s="7" t="e">
        <f>IF(VLOOKUP($A2216,'Concrete Beam Schedule'!$A$2:$Q$2902,W$2,0)&lt;&gt;G2216,"Beam Revised","")</f>
        <v>#N/A</v>
      </c>
      <c r="X2216" s="7" t="e">
        <f>IF(VLOOKUP($A2216,'Concrete Beam Schedule'!$A$2:$Q$2902,X$2,0)&lt;&gt;H2216,"Beam Revised","")</f>
        <v>#N/A</v>
      </c>
      <c r="Y2216" s="7" t="e">
        <f>IF(VLOOKUP($A2216,'Concrete Beam Schedule'!$A$2:$Q$2902,Y$2,0)&lt;&gt;I2216,"Beam Revised","")</f>
        <v>#N/A</v>
      </c>
      <c r="Z2216" s="7" t="e">
        <f>IF(VLOOKUP($A2216,'Concrete Beam Schedule'!$A$2:$Q$2902,Z$2,0)&lt;&gt;J2216,"Beam Revised","")</f>
        <v>#N/A</v>
      </c>
      <c r="AA2216" s="7" t="e">
        <f>IF(VLOOKUP($A2216,'Concrete Beam Schedule'!$A$2:$Q$2902,AA$2,0)&lt;&gt;K2216,"Beam Revised","")</f>
        <v>#N/A</v>
      </c>
      <c r="AB2216" s="7" t="e">
        <f>IF(VLOOKUP($A2216,'Concrete Beam Schedule'!$A$2:$Q$2902,AB$2,0)&lt;&gt;L2216,"Beam Revised","")</f>
        <v>#N/A</v>
      </c>
      <c r="AC2216" s="7" t="e">
        <f>IF(VLOOKUP($A2216,'Concrete Beam Schedule'!$A$2:$Q$2902,AC$2,0)&lt;&gt;M2216,"Beam Revised","")</f>
        <v>#N/A</v>
      </c>
      <c r="AD2216" s="7" t="e">
        <f>IF(VLOOKUP($A2216,'Concrete Beam Schedule'!$A$2:$Q$2902,AD$2,0)&lt;&gt;N2216,"Beam Revised","")</f>
        <v>#N/A</v>
      </c>
      <c r="AE2216" s="7" t="e">
        <f>IF(VLOOKUP($A2216,'Concrete Beam Schedule'!$A$2:$Q$2902,AE$2,0)&lt;&gt;O2216,"Beam Revised","")</f>
        <v>#N/A</v>
      </c>
    </row>
    <row r="2217" spans="17:31" ht="20.100000000000001" customHeight="1" x14ac:dyDescent="0.25">
      <c r="Q2217" s="7">
        <f t="shared" si="34"/>
        <v>0</v>
      </c>
      <c r="R2217" s="7" t="e">
        <f>IF(VLOOKUP($A2217,'Concrete Beam Schedule'!$A$2:$Q$2902,R$2,0)&lt;&gt;B2217,VLOOKUP($A2217,'Concrete Beam Schedule'!$A$2:$Q$2902,R$2,0),"")</f>
        <v>#N/A</v>
      </c>
      <c r="S2217" s="7" t="e">
        <f>IF(VLOOKUP($A2217,'Concrete Beam Schedule'!$A$2:$Q$2902,S$2,0)&lt;&gt;C2217,VLOOKUP($A2217,'Concrete Beam Schedule'!$A$2:$Q$2902,S$2,0),"")</f>
        <v>#N/A</v>
      </c>
      <c r="T2217" s="7" t="e">
        <f>IF(VLOOKUP($A2217,'Concrete Beam Schedule'!$A$2:$Q$2902,T$2,0)&lt;&gt;D2217,"Beam Revised","")</f>
        <v>#N/A</v>
      </c>
      <c r="U2217" s="7" t="e">
        <f>IF(VLOOKUP($A2217,'Concrete Beam Schedule'!$A$2:$Q$2902,U$2,0)&lt;&gt;E2217,"Beam Revised","")</f>
        <v>#N/A</v>
      </c>
      <c r="V2217" s="7" t="e">
        <f>IF(VLOOKUP($A2217,'Concrete Beam Schedule'!$A$2:$Q$2902,V$2,0)&lt;&gt;F2217,"Beam Revised","")</f>
        <v>#N/A</v>
      </c>
      <c r="W2217" s="7" t="e">
        <f>IF(VLOOKUP($A2217,'Concrete Beam Schedule'!$A$2:$Q$2902,W$2,0)&lt;&gt;G2217,"Beam Revised","")</f>
        <v>#N/A</v>
      </c>
      <c r="X2217" s="7" t="e">
        <f>IF(VLOOKUP($A2217,'Concrete Beam Schedule'!$A$2:$Q$2902,X$2,0)&lt;&gt;H2217,"Beam Revised","")</f>
        <v>#N/A</v>
      </c>
      <c r="Y2217" s="7" t="e">
        <f>IF(VLOOKUP($A2217,'Concrete Beam Schedule'!$A$2:$Q$2902,Y$2,0)&lt;&gt;I2217,"Beam Revised","")</f>
        <v>#N/A</v>
      </c>
      <c r="Z2217" s="7" t="e">
        <f>IF(VLOOKUP($A2217,'Concrete Beam Schedule'!$A$2:$Q$2902,Z$2,0)&lt;&gt;J2217,"Beam Revised","")</f>
        <v>#N/A</v>
      </c>
      <c r="AA2217" s="7" t="e">
        <f>IF(VLOOKUP($A2217,'Concrete Beam Schedule'!$A$2:$Q$2902,AA$2,0)&lt;&gt;K2217,"Beam Revised","")</f>
        <v>#N/A</v>
      </c>
      <c r="AB2217" s="7" t="e">
        <f>IF(VLOOKUP($A2217,'Concrete Beam Schedule'!$A$2:$Q$2902,AB$2,0)&lt;&gt;L2217,"Beam Revised","")</f>
        <v>#N/A</v>
      </c>
      <c r="AC2217" s="7" t="e">
        <f>IF(VLOOKUP($A2217,'Concrete Beam Schedule'!$A$2:$Q$2902,AC$2,0)&lt;&gt;M2217,"Beam Revised","")</f>
        <v>#N/A</v>
      </c>
      <c r="AD2217" s="7" t="e">
        <f>IF(VLOOKUP($A2217,'Concrete Beam Schedule'!$A$2:$Q$2902,AD$2,0)&lt;&gt;N2217,"Beam Revised","")</f>
        <v>#N/A</v>
      </c>
      <c r="AE2217" s="7" t="e">
        <f>IF(VLOOKUP($A2217,'Concrete Beam Schedule'!$A$2:$Q$2902,AE$2,0)&lt;&gt;O2217,"Beam Revised","")</f>
        <v>#N/A</v>
      </c>
    </row>
    <row r="2218" spans="17:31" ht="20.100000000000001" customHeight="1" x14ac:dyDescent="0.25">
      <c r="Q2218" s="7">
        <f t="shared" si="34"/>
        <v>0</v>
      </c>
      <c r="R2218" s="7" t="e">
        <f>IF(VLOOKUP($A2218,'Concrete Beam Schedule'!$A$2:$Q$2902,R$2,0)&lt;&gt;B2218,VLOOKUP($A2218,'Concrete Beam Schedule'!$A$2:$Q$2902,R$2,0),"")</f>
        <v>#N/A</v>
      </c>
      <c r="S2218" s="7" t="e">
        <f>IF(VLOOKUP($A2218,'Concrete Beam Schedule'!$A$2:$Q$2902,S$2,0)&lt;&gt;C2218,VLOOKUP($A2218,'Concrete Beam Schedule'!$A$2:$Q$2902,S$2,0),"")</f>
        <v>#N/A</v>
      </c>
      <c r="T2218" s="7" t="e">
        <f>IF(VLOOKUP($A2218,'Concrete Beam Schedule'!$A$2:$Q$2902,T$2,0)&lt;&gt;D2218,"Beam Revised","")</f>
        <v>#N/A</v>
      </c>
      <c r="U2218" s="7" t="e">
        <f>IF(VLOOKUP($A2218,'Concrete Beam Schedule'!$A$2:$Q$2902,U$2,0)&lt;&gt;E2218,"Beam Revised","")</f>
        <v>#N/A</v>
      </c>
      <c r="V2218" s="7" t="e">
        <f>IF(VLOOKUP($A2218,'Concrete Beam Schedule'!$A$2:$Q$2902,V$2,0)&lt;&gt;F2218,"Beam Revised","")</f>
        <v>#N/A</v>
      </c>
      <c r="W2218" s="7" t="e">
        <f>IF(VLOOKUP($A2218,'Concrete Beam Schedule'!$A$2:$Q$2902,W$2,0)&lt;&gt;G2218,"Beam Revised","")</f>
        <v>#N/A</v>
      </c>
      <c r="X2218" s="7" t="e">
        <f>IF(VLOOKUP($A2218,'Concrete Beam Schedule'!$A$2:$Q$2902,X$2,0)&lt;&gt;H2218,"Beam Revised","")</f>
        <v>#N/A</v>
      </c>
      <c r="Y2218" s="7" t="e">
        <f>IF(VLOOKUP($A2218,'Concrete Beam Schedule'!$A$2:$Q$2902,Y$2,0)&lt;&gt;I2218,"Beam Revised","")</f>
        <v>#N/A</v>
      </c>
      <c r="Z2218" s="7" t="e">
        <f>IF(VLOOKUP($A2218,'Concrete Beam Schedule'!$A$2:$Q$2902,Z$2,0)&lt;&gt;J2218,"Beam Revised","")</f>
        <v>#N/A</v>
      </c>
      <c r="AA2218" s="7" t="e">
        <f>IF(VLOOKUP($A2218,'Concrete Beam Schedule'!$A$2:$Q$2902,AA$2,0)&lt;&gt;K2218,"Beam Revised","")</f>
        <v>#N/A</v>
      </c>
      <c r="AB2218" s="7" t="e">
        <f>IF(VLOOKUP($A2218,'Concrete Beam Schedule'!$A$2:$Q$2902,AB$2,0)&lt;&gt;L2218,"Beam Revised","")</f>
        <v>#N/A</v>
      </c>
      <c r="AC2218" s="7" t="e">
        <f>IF(VLOOKUP($A2218,'Concrete Beam Schedule'!$A$2:$Q$2902,AC$2,0)&lt;&gt;M2218,"Beam Revised","")</f>
        <v>#N/A</v>
      </c>
      <c r="AD2218" s="7" t="e">
        <f>IF(VLOOKUP($A2218,'Concrete Beam Schedule'!$A$2:$Q$2902,AD$2,0)&lt;&gt;N2218,"Beam Revised","")</f>
        <v>#N/A</v>
      </c>
      <c r="AE2218" s="7" t="e">
        <f>IF(VLOOKUP($A2218,'Concrete Beam Schedule'!$A$2:$Q$2902,AE$2,0)&lt;&gt;O2218,"Beam Revised","")</f>
        <v>#N/A</v>
      </c>
    </row>
    <row r="2219" spans="17:31" ht="20.100000000000001" customHeight="1" x14ac:dyDescent="0.25">
      <c r="Q2219" s="7">
        <f t="shared" si="34"/>
        <v>0</v>
      </c>
      <c r="R2219" s="7" t="e">
        <f>IF(VLOOKUP($A2219,'Concrete Beam Schedule'!$A$2:$Q$2902,R$2,0)&lt;&gt;B2219,VLOOKUP($A2219,'Concrete Beam Schedule'!$A$2:$Q$2902,R$2,0),"")</f>
        <v>#N/A</v>
      </c>
      <c r="S2219" s="7" t="e">
        <f>IF(VLOOKUP($A2219,'Concrete Beam Schedule'!$A$2:$Q$2902,S$2,0)&lt;&gt;C2219,VLOOKUP($A2219,'Concrete Beam Schedule'!$A$2:$Q$2902,S$2,0),"")</f>
        <v>#N/A</v>
      </c>
      <c r="T2219" s="7" t="e">
        <f>IF(VLOOKUP($A2219,'Concrete Beam Schedule'!$A$2:$Q$2902,T$2,0)&lt;&gt;D2219,"Beam Revised","")</f>
        <v>#N/A</v>
      </c>
      <c r="U2219" s="7" t="e">
        <f>IF(VLOOKUP($A2219,'Concrete Beam Schedule'!$A$2:$Q$2902,U$2,0)&lt;&gt;E2219,"Beam Revised","")</f>
        <v>#N/A</v>
      </c>
      <c r="V2219" s="7" t="e">
        <f>IF(VLOOKUP($A2219,'Concrete Beam Schedule'!$A$2:$Q$2902,V$2,0)&lt;&gt;F2219,"Beam Revised","")</f>
        <v>#N/A</v>
      </c>
      <c r="W2219" s="7" t="e">
        <f>IF(VLOOKUP($A2219,'Concrete Beam Schedule'!$A$2:$Q$2902,W$2,0)&lt;&gt;G2219,"Beam Revised","")</f>
        <v>#N/A</v>
      </c>
      <c r="X2219" s="7" t="e">
        <f>IF(VLOOKUP($A2219,'Concrete Beam Schedule'!$A$2:$Q$2902,X$2,0)&lt;&gt;H2219,"Beam Revised","")</f>
        <v>#N/A</v>
      </c>
      <c r="Y2219" s="7" t="e">
        <f>IF(VLOOKUP($A2219,'Concrete Beam Schedule'!$A$2:$Q$2902,Y$2,0)&lt;&gt;I2219,"Beam Revised","")</f>
        <v>#N/A</v>
      </c>
      <c r="Z2219" s="7" t="e">
        <f>IF(VLOOKUP($A2219,'Concrete Beam Schedule'!$A$2:$Q$2902,Z$2,0)&lt;&gt;J2219,"Beam Revised","")</f>
        <v>#N/A</v>
      </c>
      <c r="AA2219" s="7" t="e">
        <f>IF(VLOOKUP($A2219,'Concrete Beam Schedule'!$A$2:$Q$2902,AA$2,0)&lt;&gt;K2219,"Beam Revised","")</f>
        <v>#N/A</v>
      </c>
      <c r="AB2219" s="7" t="e">
        <f>IF(VLOOKUP($A2219,'Concrete Beam Schedule'!$A$2:$Q$2902,AB$2,0)&lt;&gt;L2219,"Beam Revised","")</f>
        <v>#N/A</v>
      </c>
      <c r="AC2219" s="7" t="e">
        <f>IF(VLOOKUP($A2219,'Concrete Beam Schedule'!$A$2:$Q$2902,AC$2,0)&lt;&gt;M2219,"Beam Revised","")</f>
        <v>#N/A</v>
      </c>
      <c r="AD2219" s="7" t="e">
        <f>IF(VLOOKUP($A2219,'Concrete Beam Schedule'!$A$2:$Q$2902,AD$2,0)&lt;&gt;N2219,"Beam Revised","")</f>
        <v>#N/A</v>
      </c>
      <c r="AE2219" s="7" t="e">
        <f>IF(VLOOKUP($A2219,'Concrete Beam Schedule'!$A$2:$Q$2902,AE$2,0)&lt;&gt;O2219,"Beam Revised","")</f>
        <v>#N/A</v>
      </c>
    </row>
    <row r="2220" spans="17:31" ht="20.100000000000001" customHeight="1" x14ac:dyDescent="0.25">
      <c r="Q2220" s="7">
        <f t="shared" si="34"/>
        <v>0</v>
      </c>
      <c r="R2220" s="7" t="e">
        <f>IF(VLOOKUP($A2220,'Concrete Beam Schedule'!$A$2:$Q$2902,R$2,0)&lt;&gt;B2220,VLOOKUP($A2220,'Concrete Beam Schedule'!$A$2:$Q$2902,R$2,0),"")</f>
        <v>#N/A</v>
      </c>
      <c r="S2220" s="7" t="e">
        <f>IF(VLOOKUP($A2220,'Concrete Beam Schedule'!$A$2:$Q$2902,S$2,0)&lt;&gt;C2220,VLOOKUP($A2220,'Concrete Beam Schedule'!$A$2:$Q$2902,S$2,0),"")</f>
        <v>#N/A</v>
      </c>
      <c r="T2220" s="7" t="e">
        <f>IF(VLOOKUP($A2220,'Concrete Beam Schedule'!$A$2:$Q$2902,T$2,0)&lt;&gt;D2220,"Beam Revised","")</f>
        <v>#N/A</v>
      </c>
      <c r="U2220" s="7" t="e">
        <f>IF(VLOOKUP($A2220,'Concrete Beam Schedule'!$A$2:$Q$2902,U$2,0)&lt;&gt;E2220,"Beam Revised","")</f>
        <v>#N/A</v>
      </c>
      <c r="V2220" s="7" t="e">
        <f>IF(VLOOKUP($A2220,'Concrete Beam Schedule'!$A$2:$Q$2902,V$2,0)&lt;&gt;F2220,"Beam Revised","")</f>
        <v>#N/A</v>
      </c>
      <c r="W2220" s="7" t="e">
        <f>IF(VLOOKUP($A2220,'Concrete Beam Schedule'!$A$2:$Q$2902,W$2,0)&lt;&gt;G2220,"Beam Revised","")</f>
        <v>#N/A</v>
      </c>
      <c r="X2220" s="7" t="e">
        <f>IF(VLOOKUP($A2220,'Concrete Beam Schedule'!$A$2:$Q$2902,X$2,0)&lt;&gt;H2220,"Beam Revised","")</f>
        <v>#N/A</v>
      </c>
      <c r="Y2220" s="7" t="e">
        <f>IF(VLOOKUP($A2220,'Concrete Beam Schedule'!$A$2:$Q$2902,Y$2,0)&lt;&gt;I2220,"Beam Revised","")</f>
        <v>#N/A</v>
      </c>
      <c r="Z2220" s="7" t="e">
        <f>IF(VLOOKUP($A2220,'Concrete Beam Schedule'!$A$2:$Q$2902,Z$2,0)&lt;&gt;J2220,"Beam Revised","")</f>
        <v>#N/A</v>
      </c>
      <c r="AA2220" s="7" t="e">
        <f>IF(VLOOKUP($A2220,'Concrete Beam Schedule'!$A$2:$Q$2902,AA$2,0)&lt;&gt;K2220,"Beam Revised","")</f>
        <v>#N/A</v>
      </c>
      <c r="AB2220" s="7" t="e">
        <f>IF(VLOOKUP($A2220,'Concrete Beam Schedule'!$A$2:$Q$2902,AB$2,0)&lt;&gt;L2220,"Beam Revised","")</f>
        <v>#N/A</v>
      </c>
      <c r="AC2220" s="7" t="e">
        <f>IF(VLOOKUP($A2220,'Concrete Beam Schedule'!$A$2:$Q$2902,AC$2,0)&lt;&gt;M2220,"Beam Revised","")</f>
        <v>#N/A</v>
      </c>
      <c r="AD2220" s="7" t="e">
        <f>IF(VLOOKUP($A2220,'Concrete Beam Schedule'!$A$2:$Q$2902,AD$2,0)&lt;&gt;N2220,"Beam Revised","")</f>
        <v>#N/A</v>
      </c>
      <c r="AE2220" s="7" t="e">
        <f>IF(VLOOKUP($A2220,'Concrete Beam Schedule'!$A$2:$Q$2902,AE$2,0)&lt;&gt;O2220,"Beam Revised","")</f>
        <v>#N/A</v>
      </c>
    </row>
    <row r="2221" spans="17:31" ht="20.100000000000001" customHeight="1" x14ac:dyDescent="0.25">
      <c r="Q2221" s="7">
        <f t="shared" si="34"/>
        <v>0</v>
      </c>
      <c r="R2221" s="7" t="e">
        <f>IF(VLOOKUP($A2221,'Concrete Beam Schedule'!$A$2:$Q$2902,R$2,0)&lt;&gt;B2221,VLOOKUP($A2221,'Concrete Beam Schedule'!$A$2:$Q$2902,R$2,0),"")</f>
        <v>#N/A</v>
      </c>
      <c r="S2221" s="7" t="e">
        <f>IF(VLOOKUP($A2221,'Concrete Beam Schedule'!$A$2:$Q$2902,S$2,0)&lt;&gt;C2221,VLOOKUP($A2221,'Concrete Beam Schedule'!$A$2:$Q$2902,S$2,0),"")</f>
        <v>#N/A</v>
      </c>
      <c r="T2221" s="7" t="e">
        <f>IF(VLOOKUP($A2221,'Concrete Beam Schedule'!$A$2:$Q$2902,T$2,0)&lt;&gt;D2221,"Beam Revised","")</f>
        <v>#N/A</v>
      </c>
      <c r="U2221" s="7" t="e">
        <f>IF(VLOOKUP($A2221,'Concrete Beam Schedule'!$A$2:$Q$2902,U$2,0)&lt;&gt;E2221,"Beam Revised","")</f>
        <v>#N/A</v>
      </c>
      <c r="V2221" s="7" t="e">
        <f>IF(VLOOKUP($A2221,'Concrete Beam Schedule'!$A$2:$Q$2902,V$2,0)&lt;&gt;F2221,"Beam Revised","")</f>
        <v>#N/A</v>
      </c>
      <c r="W2221" s="7" t="e">
        <f>IF(VLOOKUP($A2221,'Concrete Beam Schedule'!$A$2:$Q$2902,W$2,0)&lt;&gt;G2221,"Beam Revised","")</f>
        <v>#N/A</v>
      </c>
      <c r="X2221" s="7" t="e">
        <f>IF(VLOOKUP($A2221,'Concrete Beam Schedule'!$A$2:$Q$2902,X$2,0)&lt;&gt;H2221,"Beam Revised","")</f>
        <v>#N/A</v>
      </c>
      <c r="Y2221" s="7" t="e">
        <f>IF(VLOOKUP($A2221,'Concrete Beam Schedule'!$A$2:$Q$2902,Y$2,0)&lt;&gt;I2221,"Beam Revised","")</f>
        <v>#N/A</v>
      </c>
      <c r="Z2221" s="7" t="e">
        <f>IF(VLOOKUP($A2221,'Concrete Beam Schedule'!$A$2:$Q$2902,Z$2,0)&lt;&gt;J2221,"Beam Revised","")</f>
        <v>#N/A</v>
      </c>
      <c r="AA2221" s="7" t="e">
        <f>IF(VLOOKUP($A2221,'Concrete Beam Schedule'!$A$2:$Q$2902,AA$2,0)&lt;&gt;K2221,"Beam Revised","")</f>
        <v>#N/A</v>
      </c>
      <c r="AB2221" s="7" t="e">
        <f>IF(VLOOKUP($A2221,'Concrete Beam Schedule'!$A$2:$Q$2902,AB$2,0)&lt;&gt;L2221,"Beam Revised","")</f>
        <v>#N/A</v>
      </c>
      <c r="AC2221" s="7" t="e">
        <f>IF(VLOOKUP($A2221,'Concrete Beam Schedule'!$A$2:$Q$2902,AC$2,0)&lt;&gt;M2221,"Beam Revised","")</f>
        <v>#N/A</v>
      </c>
      <c r="AD2221" s="7" t="e">
        <f>IF(VLOOKUP($A2221,'Concrete Beam Schedule'!$A$2:$Q$2902,AD$2,0)&lt;&gt;N2221,"Beam Revised","")</f>
        <v>#N/A</v>
      </c>
      <c r="AE2221" s="7" t="e">
        <f>IF(VLOOKUP($A2221,'Concrete Beam Schedule'!$A$2:$Q$2902,AE$2,0)&lt;&gt;O2221,"Beam Revised","")</f>
        <v>#N/A</v>
      </c>
    </row>
    <row r="2222" spans="17:31" ht="20.100000000000001" customHeight="1" x14ac:dyDescent="0.25">
      <c r="Q2222" s="7">
        <f t="shared" si="34"/>
        <v>0</v>
      </c>
      <c r="R2222" s="7" t="e">
        <f>IF(VLOOKUP($A2222,'Concrete Beam Schedule'!$A$2:$Q$2902,R$2,0)&lt;&gt;B2222,VLOOKUP($A2222,'Concrete Beam Schedule'!$A$2:$Q$2902,R$2,0),"")</f>
        <v>#N/A</v>
      </c>
      <c r="S2222" s="7" t="e">
        <f>IF(VLOOKUP($A2222,'Concrete Beam Schedule'!$A$2:$Q$2902,S$2,0)&lt;&gt;C2222,VLOOKUP($A2222,'Concrete Beam Schedule'!$A$2:$Q$2902,S$2,0),"")</f>
        <v>#N/A</v>
      </c>
      <c r="T2222" s="7" t="e">
        <f>IF(VLOOKUP($A2222,'Concrete Beam Schedule'!$A$2:$Q$2902,T$2,0)&lt;&gt;D2222,"Beam Revised","")</f>
        <v>#N/A</v>
      </c>
      <c r="U2222" s="7" t="e">
        <f>IF(VLOOKUP($A2222,'Concrete Beam Schedule'!$A$2:$Q$2902,U$2,0)&lt;&gt;E2222,"Beam Revised","")</f>
        <v>#N/A</v>
      </c>
      <c r="V2222" s="7" t="e">
        <f>IF(VLOOKUP($A2222,'Concrete Beam Schedule'!$A$2:$Q$2902,V$2,0)&lt;&gt;F2222,"Beam Revised","")</f>
        <v>#N/A</v>
      </c>
      <c r="W2222" s="7" t="e">
        <f>IF(VLOOKUP($A2222,'Concrete Beam Schedule'!$A$2:$Q$2902,W$2,0)&lt;&gt;G2222,"Beam Revised","")</f>
        <v>#N/A</v>
      </c>
      <c r="X2222" s="7" t="e">
        <f>IF(VLOOKUP($A2222,'Concrete Beam Schedule'!$A$2:$Q$2902,X$2,0)&lt;&gt;H2222,"Beam Revised","")</f>
        <v>#N/A</v>
      </c>
      <c r="Y2222" s="7" t="e">
        <f>IF(VLOOKUP($A2222,'Concrete Beam Schedule'!$A$2:$Q$2902,Y$2,0)&lt;&gt;I2222,"Beam Revised","")</f>
        <v>#N/A</v>
      </c>
      <c r="Z2222" s="7" t="e">
        <f>IF(VLOOKUP($A2222,'Concrete Beam Schedule'!$A$2:$Q$2902,Z$2,0)&lt;&gt;J2222,"Beam Revised","")</f>
        <v>#N/A</v>
      </c>
      <c r="AA2222" s="7" t="e">
        <f>IF(VLOOKUP($A2222,'Concrete Beam Schedule'!$A$2:$Q$2902,AA$2,0)&lt;&gt;K2222,"Beam Revised","")</f>
        <v>#N/A</v>
      </c>
      <c r="AB2222" s="7" t="e">
        <f>IF(VLOOKUP($A2222,'Concrete Beam Schedule'!$A$2:$Q$2902,AB$2,0)&lt;&gt;L2222,"Beam Revised","")</f>
        <v>#N/A</v>
      </c>
      <c r="AC2222" s="7" t="e">
        <f>IF(VLOOKUP($A2222,'Concrete Beam Schedule'!$A$2:$Q$2902,AC$2,0)&lt;&gt;M2222,"Beam Revised","")</f>
        <v>#N/A</v>
      </c>
      <c r="AD2222" s="7" t="e">
        <f>IF(VLOOKUP($A2222,'Concrete Beam Schedule'!$A$2:$Q$2902,AD$2,0)&lt;&gt;N2222,"Beam Revised","")</f>
        <v>#N/A</v>
      </c>
      <c r="AE2222" s="7" t="e">
        <f>IF(VLOOKUP($A2222,'Concrete Beam Schedule'!$A$2:$Q$2902,AE$2,0)&lt;&gt;O2222,"Beam Revised","")</f>
        <v>#N/A</v>
      </c>
    </row>
    <row r="2223" spans="17:31" ht="20.100000000000001" customHeight="1" x14ac:dyDescent="0.25">
      <c r="Q2223" s="7">
        <f t="shared" si="34"/>
        <v>0</v>
      </c>
      <c r="R2223" s="7" t="e">
        <f>IF(VLOOKUP($A2223,'Concrete Beam Schedule'!$A$2:$Q$2902,R$2,0)&lt;&gt;B2223,VLOOKUP($A2223,'Concrete Beam Schedule'!$A$2:$Q$2902,R$2,0),"")</f>
        <v>#N/A</v>
      </c>
      <c r="S2223" s="7" t="e">
        <f>IF(VLOOKUP($A2223,'Concrete Beam Schedule'!$A$2:$Q$2902,S$2,0)&lt;&gt;C2223,VLOOKUP($A2223,'Concrete Beam Schedule'!$A$2:$Q$2902,S$2,0),"")</f>
        <v>#N/A</v>
      </c>
      <c r="T2223" s="7" t="e">
        <f>IF(VLOOKUP($A2223,'Concrete Beam Schedule'!$A$2:$Q$2902,T$2,0)&lt;&gt;D2223,"Beam Revised","")</f>
        <v>#N/A</v>
      </c>
      <c r="U2223" s="7" t="e">
        <f>IF(VLOOKUP($A2223,'Concrete Beam Schedule'!$A$2:$Q$2902,U$2,0)&lt;&gt;E2223,"Beam Revised","")</f>
        <v>#N/A</v>
      </c>
      <c r="V2223" s="7" t="e">
        <f>IF(VLOOKUP($A2223,'Concrete Beam Schedule'!$A$2:$Q$2902,V$2,0)&lt;&gt;F2223,"Beam Revised","")</f>
        <v>#N/A</v>
      </c>
      <c r="W2223" s="7" t="e">
        <f>IF(VLOOKUP($A2223,'Concrete Beam Schedule'!$A$2:$Q$2902,W$2,0)&lt;&gt;G2223,"Beam Revised","")</f>
        <v>#N/A</v>
      </c>
      <c r="X2223" s="7" t="e">
        <f>IF(VLOOKUP($A2223,'Concrete Beam Schedule'!$A$2:$Q$2902,X$2,0)&lt;&gt;H2223,"Beam Revised","")</f>
        <v>#N/A</v>
      </c>
      <c r="Y2223" s="7" t="e">
        <f>IF(VLOOKUP($A2223,'Concrete Beam Schedule'!$A$2:$Q$2902,Y$2,0)&lt;&gt;I2223,"Beam Revised","")</f>
        <v>#N/A</v>
      </c>
      <c r="Z2223" s="7" t="e">
        <f>IF(VLOOKUP($A2223,'Concrete Beam Schedule'!$A$2:$Q$2902,Z$2,0)&lt;&gt;J2223,"Beam Revised","")</f>
        <v>#N/A</v>
      </c>
      <c r="AA2223" s="7" t="e">
        <f>IF(VLOOKUP($A2223,'Concrete Beam Schedule'!$A$2:$Q$2902,AA$2,0)&lt;&gt;K2223,"Beam Revised","")</f>
        <v>#N/A</v>
      </c>
      <c r="AB2223" s="7" t="e">
        <f>IF(VLOOKUP($A2223,'Concrete Beam Schedule'!$A$2:$Q$2902,AB$2,0)&lt;&gt;L2223,"Beam Revised","")</f>
        <v>#N/A</v>
      </c>
      <c r="AC2223" s="7" t="e">
        <f>IF(VLOOKUP($A2223,'Concrete Beam Schedule'!$A$2:$Q$2902,AC$2,0)&lt;&gt;M2223,"Beam Revised","")</f>
        <v>#N/A</v>
      </c>
      <c r="AD2223" s="7" t="e">
        <f>IF(VLOOKUP($A2223,'Concrete Beam Schedule'!$A$2:$Q$2902,AD$2,0)&lt;&gt;N2223,"Beam Revised","")</f>
        <v>#N/A</v>
      </c>
      <c r="AE2223" s="7" t="e">
        <f>IF(VLOOKUP($A2223,'Concrete Beam Schedule'!$A$2:$Q$2902,AE$2,0)&lt;&gt;O2223,"Beam Revised","")</f>
        <v>#N/A</v>
      </c>
    </row>
    <row r="2224" spans="17:31" ht="20.100000000000001" customHeight="1" x14ac:dyDescent="0.25">
      <c r="Q2224" s="7">
        <f t="shared" si="34"/>
        <v>0</v>
      </c>
      <c r="R2224" s="7" t="e">
        <f>IF(VLOOKUP($A2224,'Concrete Beam Schedule'!$A$2:$Q$2902,R$2,0)&lt;&gt;B2224,VLOOKUP($A2224,'Concrete Beam Schedule'!$A$2:$Q$2902,R$2,0),"")</f>
        <v>#N/A</v>
      </c>
      <c r="S2224" s="7" t="e">
        <f>IF(VLOOKUP($A2224,'Concrete Beam Schedule'!$A$2:$Q$2902,S$2,0)&lt;&gt;C2224,VLOOKUP($A2224,'Concrete Beam Schedule'!$A$2:$Q$2902,S$2,0),"")</f>
        <v>#N/A</v>
      </c>
      <c r="T2224" s="7" t="e">
        <f>IF(VLOOKUP($A2224,'Concrete Beam Schedule'!$A$2:$Q$2902,T$2,0)&lt;&gt;D2224,"Beam Revised","")</f>
        <v>#N/A</v>
      </c>
      <c r="U2224" s="7" t="e">
        <f>IF(VLOOKUP($A2224,'Concrete Beam Schedule'!$A$2:$Q$2902,U$2,0)&lt;&gt;E2224,"Beam Revised","")</f>
        <v>#N/A</v>
      </c>
      <c r="V2224" s="7" t="e">
        <f>IF(VLOOKUP($A2224,'Concrete Beam Schedule'!$A$2:$Q$2902,V$2,0)&lt;&gt;F2224,"Beam Revised","")</f>
        <v>#N/A</v>
      </c>
      <c r="W2224" s="7" t="e">
        <f>IF(VLOOKUP($A2224,'Concrete Beam Schedule'!$A$2:$Q$2902,W$2,0)&lt;&gt;G2224,"Beam Revised","")</f>
        <v>#N/A</v>
      </c>
      <c r="X2224" s="7" t="e">
        <f>IF(VLOOKUP($A2224,'Concrete Beam Schedule'!$A$2:$Q$2902,X$2,0)&lt;&gt;H2224,"Beam Revised","")</f>
        <v>#N/A</v>
      </c>
      <c r="Y2224" s="7" t="e">
        <f>IF(VLOOKUP($A2224,'Concrete Beam Schedule'!$A$2:$Q$2902,Y$2,0)&lt;&gt;I2224,"Beam Revised","")</f>
        <v>#N/A</v>
      </c>
      <c r="Z2224" s="7" t="e">
        <f>IF(VLOOKUP($A2224,'Concrete Beam Schedule'!$A$2:$Q$2902,Z$2,0)&lt;&gt;J2224,"Beam Revised","")</f>
        <v>#N/A</v>
      </c>
      <c r="AA2224" s="7" t="e">
        <f>IF(VLOOKUP($A2224,'Concrete Beam Schedule'!$A$2:$Q$2902,AA$2,0)&lt;&gt;K2224,"Beam Revised","")</f>
        <v>#N/A</v>
      </c>
      <c r="AB2224" s="7" t="e">
        <f>IF(VLOOKUP($A2224,'Concrete Beam Schedule'!$A$2:$Q$2902,AB$2,0)&lt;&gt;L2224,"Beam Revised","")</f>
        <v>#N/A</v>
      </c>
      <c r="AC2224" s="7" t="e">
        <f>IF(VLOOKUP($A2224,'Concrete Beam Schedule'!$A$2:$Q$2902,AC$2,0)&lt;&gt;M2224,"Beam Revised","")</f>
        <v>#N/A</v>
      </c>
      <c r="AD2224" s="7" t="e">
        <f>IF(VLOOKUP($A2224,'Concrete Beam Schedule'!$A$2:$Q$2902,AD$2,0)&lt;&gt;N2224,"Beam Revised","")</f>
        <v>#N/A</v>
      </c>
      <c r="AE2224" s="7" t="e">
        <f>IF(VLOOKUP($A2224,'Concrete Beam Schedule'!$A$2:$Q$2902,AE$2,0)&lt;&gt;O2224,"Beam Revised","")</f>
        <v>#N/A</v>
      </c>
    </row>
    <row r="2225" spans="17:31" ht="20.100000000000001" customHeight="1" x14ac:dyDescent="0.25">
      <c r="Q2225" s="7">
        <f t="shared" si="34"/>
        <v>0</v>
      </c>
      <c r="R2225" s="7" t="e">
        <f>IF(VLOOKUP($A2225,'Concrete Beam Schedule'!$A$2:$Q$2902,R$2,0)&lt;&gt;B2225,VLOOKUP($A2225,'Concrete Beam Schedule'!$A$2:$Q$2902,R$2,0),"")</f>
        <v>#N/A</v>
      </c>
      <c r="S2225" s="7" t="e">
        <f>IF(VLOOKUP($A2225,'Concrete Beam Schedule'!$A$2:$Q$2902,S$2,0)&lt;&gt;C2225,VLOOKUP($A2225,'Concrete Beam Schedule'!$A$2:$Q$2902,S$2,0),"")</f>
        <v>#N/A</v>
      </c>
      <c r="T2225" s="7" t="e">
        <f>IF(VLOOKUP($A2225,'Concrete Beam Schedule'!$A$2:$Q$2902,T$2,0)&lt;&gt;D2225,"Beam Revised","")</f>
        <v>#N/A</v>
      </c>
      <c r="U2225" s="7" t="e">
        <f>IF(VLOOKUP($A2225,'Concrete Beam Schedule'!$A$2:$Q$2902,U$2,0)&lt;&gt;E2225,"Beam Revised","")</f>
        <v>#N/A</v>
      </c>
      <c r="V2225" s="7" t="e">
        <f>IF(VLOOKUP($A2225,'Concrete Beam Schedule'!$A$2:$Q$2902,V$2,0)&lt;&gt;F2225,"Beam Revised","")</f>
        <v>#N/A</v>
      </c>
      <c r="W2225" s="7" t="e">
        <f>IF(VLOOKUP($A2225,'Concrete Beam Schedule'!$A$2:$Q$2902,W$2,0)&lt;&gt;G2225,"Beam Revised","")</f>
        <v>#N/A</v>
      </c>
      <c r="X2225" s="7" t="e">
        <f>IF(VLOOKUP($A2225,'Concrete Beam Schedule'!$A$2:$Q$2902,X$2,0)&lt;&gt;H2225,"Beam Revised","")</f>
        <v>#N/A</v>
      </c>
      <c r="Y2225" s="7" t="e">
        <f>IF(VLOOKUP($A2225,'Concrete Beam Schedule'!$A$2:$Q$2902,Y$2,0)&lt;&gt;I2225,"Beam Revised","")</f>
        <v>#N/A</v>
      </c>
      <c r="Z2225" s="7" t="e">
        <f>IF(VLOOKUP($A2225,'Concrete Beam Schedule'!$A$2:$Q$2902,Z$2,0)&lt;&gt;J2225,"Beam Revised","")</f>
        <v>#N/A</v>
      </c>
      <c r="AA2225" s="7" t="e">
        <f>IF(VLOOKUP($A2225,'Concrete Beam Schedule'!$A$2:$Q$2902,AA$2,0)&lt;&gt;K2225,"Beam Revised","")</f>
        <v>#N/A</v>
      </c>
      <c r="AB2225" s="7" t="e">
        <f>IF(VLOOKUP($A2225,'Concrete Beam Schedule'!$A$2:$Q$2902,AB$2,0)&lt;&gt;L2225,"Beam Revised","")</f>
        <v>#N/A</v>
      </c>
      <c r="AC2225" s="7" t="e">
        <f>IF(VLOOKUP($A2225,'Concrete Beam Schedule'!$A$2:$Q$2902,AC$2,0)&lt;&gt;M2225,"Beam Revised","")</f>
        <v>#N/A</v>
      </c>
      <c r="AD2225" s="7" t="e">
        <f>IF(VLOOKUP($A2225,'Concrete Beam Schedule'!$A$2:$Q$2902,AD$2,0)&lt;&gt;N2225,"Beam Revised","")</f>
        <v>#N/A</v>
      </c>
      <c r="AE2225" s="7" t="e">
        <f>IF(VLOOKUP($A2225,'Concrete Beam Schedule'!$A$2:$Q$2902,AE$2,0)&lt;&gt;O2225,"Beam Revised","")</f>
        <v>#N/A</v>
      </c>
    </row>
    <row r="2226" spans="17:31" ht="20.100000000000001" customHeight="1" x14ac:dyDescent="0.25">
      <c r="Q2226" s="7">
        <f t="shared" si="34"/>
        <v>0</v>
      </c>
      <c r="R2226" s="7" t="e">
        <f>IF(VLOOKUP($A2226,'Concrete Beam Schedule'!$A$2:$Q$2902,R$2,0)&lt;&gt;B2226,VLOOKUP($A2226,'Concrete Beam Schedule'!$A$2:$Q$2902,R$2,0),"")</f>
        <v>#N/A</v>
      </c>
      <c r="S2226" s="7" t="e">
        <f>IF(VLOOKUP($A2226,'Concrete Beam Schedule'!$A$2:$Q$2902,S$2,0)&lt;&gt;C2226,VLOOKUP($A2226,'Concrete Beam Schedule'!$A$2:$Q$2902,S$2,0),"")</f>
        <v>#N/A</v>
      </c>
      <c r="T2226" s="7" t="e">
        <f>IF(VLOOKUP($A2226,'Concrete Beam Schedule'!$A$2:$Q$2902,T$2,0)&lt;&gt;D2226,"Beam Revised","")</f>
        <v>#N/A</v>
      </c>
      <c r="U2226" s="7" t="e">
        <f>IF(VLOOKUP($A2226,'Concrete Beam Schedule'!$A$2:$Q$2902,U$2,0)&lt;&gt;E2226,"Beam Revised","")</f>
        <v>#N/A</v>
      </c>
      <c r="V2226" s="7" t="e">
        <f>IF(VLOOKUP($A2226,'Concrete Beam Schedule'!$A$2:$Q$2902,V$2,0)&lt;&gt;F2226,"Beam Revised","")</f>
        <v>#N/A</v>
      </c>
      <c r="W2226" s="7" t="e">
        <f>IF(VLOOKUP($A2226,'Concrete Beam Schedule'!$A$2:$Q$2902,W$2,0)&lt;&gt;G2226,"Beam Revised","")</f>
        <v>#N/A</v>
      </c>
      <c r="X2226" s="7" t="e">
        <f>IF(VLOOKUP($A2226,'Concrete Beam Schedule'!$A$2:$Q$2902,X$2,0)&lt;&gt;H2226,"Beam Revised","")</f>
        <v>#N/A</v>
      </c>
      <c r="Y2226" s="7" t="e">
        <f>IF(VLOOKUP($A2226,'Concrete Beam Schedule'!$A$2:$Q$2902,Y$2,0)&lt;&gt;I2226,"Beam Revised","")</f>
        <v>#N/A</v>
      </c>
      <c r="Z2226" s="7" t="e">
        <f>IF(VLOOKUP($A2226,'Concrete Beam Schedule'!$A$2:$Q$2902,Z$2,0)&lt;&gt;J2226,"Beam Revised","")</f>
        <v>#N/A</v>
      </c>
      <c r="AA2226" s="7" t="e">
        <f>IF(VLOOKUP($A2226,'Concrete Beam Schedule'!$A$2:$Q$2902,AA$2,0)&lt;&gt;K2226,"Beam Revised","")</f>
        <v>#N/A</v>
      </c>
      <c r="AB2226" s="7" t="e">
        <f>IF(VLOOKUP($A2226,'Concrete Beam Schedule'!$A$2:$Q$2902,AB$2,0)&lt;&gt;L2226,"Beam Revised","")</f>
        <v>#N/A</v>
      </c>
      <c r="AC2226" s="7" t="e">
        <f>IF(VLOOKUP($A2226,'Concrete Beam Schedule'!$A$2:$Q$2902,AC$2,0)&lt;&gt;M2226,"Beam Revised","")</f>
        <v>#N/A</v>
      </c>
      <c r="AD2226" s="7" t="e">
        <f>IF(VLOOKUP($A2226,'Concrete Beam Schedule'!$A$2:$Q$2902,AD$2,0)&lt;&gt;N2226,"Beam Revised","")</f>
        <v>#N/A</v>
      </c>
      <c r="AE2226" s="7" t="e">
        <f>IF(VLOOKUP($A2226,'Concrete Beam Schedule'!$A$2:$Q$2902,AE$2,0)&lt;&gt;O2226,"Beam Revised","")</f>
        <v>#N/A</v>
      </c>
    </row>
    <row r="2227" spans="17:31" ht="20.100000000000001" customHeight="1" x14ac:dyDescent="0.25">
      <c r="Q2227" s="7">
        <f t="shared" si="34"/>
        <v>0</v>
      </c>
      <c r="R2227" s="7" t="e">
        <f>IF(VLOOKUP($A2227,'Concrete Beam Schedule'!$A$2:$Q$2902,R$2,0)&lt;&gt;B2227,VLOOKUP($A2227,'Concrete Beam Schedule'!$A$2:$Q$2902,R$2,0),"")</f>
        <v>#N/A</v>
      </c>
      <c r="S2227" s="7" t="e">
        <f>IF(VLOOKUP($A2227,'Concrete Beam Schedule'!$A$2:$Q$2902,S$2,0)&lt;&gt;C2227,VLOOKUP($A2227,'Concrete Beam Schedule'!$A$2:$Q$2902,S$2,0),"")</f>
        <v>#N/A</v>
      </c>
      <c r="T2227" s="7" t="e">
        <f>IF(VLOOKUP($A2227,'Concrete Beam Schedule'!$A$2:$Q$2902,T$2,0)&lt;&gt;D2227,"Beam Revised","")</f>
        <v>#N/A</v>
      </c>
      <c r="U2227" s="7" t="e">
        <f>IF(VLOOKUP($A2227,'Concrete Beam Schedule'!$A$2:$Q$2902,U$2,0)&lt;&gt;E2227,"Beam Revised","")</f>
        <v>#N/A</v>
      </c>
      <c r="V2227" s="7" t="e">
        <f>IF(VLOOKUP($A2227,'Concrete Beam Schedule'!$A$2:$Q$2902,V$2,0)&lt;&gt;F2227,"Beam Revised","")</f>
        <v>#N/A</v>
      </c>
      <c r="W2227" s="7" t="e">
        <f>IF(VLOOKUP($A2227,'Concrete Beam Schedule'!$A$2:$Q$2902,W$2,0)&lt;&gt;G2227,"Beam Revised","")</f>
        <v>#N/A</v>
      </c>
      <c r="X2227" s="7" t="e">
        <f>IF(VLOOKUP($A2227,'Concrete Beam Schedule'!$A$2:$Q$2902,X$2,0)&lt;&gt;H2227,"Beam Revised","")</f>
        <v>#N/A</v>
      </c>
      <c r="Y2227" s="7" t="e">
        <f>IF(VLOOKUP($A2227,'Concrete Beam Schedule'!$A$2:$Q$2902,Y$2,0)&lt;&gt;I2227,"Beam Revised","")</f>
        <v>#N/A</v>
      </c>
      <c r="Z2227" s="7" t="e">
        <f>IF(VLOOKUP($A2227,'Concrete Beam Schedule'!$A$2:$Q$2902,Z$2,0)&lt;&gt;J2227,"Beam Revised","")</f>
        <v>#N/A</v>
      </c>
      <c r="AA2227" s="7" t="e">
        <f>IF(VLOOKUP($A2227,'Concrete Beam Schedule'!$A$2:$Q$2902,AA$2,0)&lt;&gt;K2227,"Beam Revised","")</f>
        <v>#N/A</v>
      </c>
      <c r="AB2227" s="7" t="e">
        <f>IF(VLOOKUP($A2227,'Concrete Beam Schedule'!$A$2:$Q$2902,AB$2,0)&lt;&gt;L2227,"Beam Revised","")</f>
        <v>#N/A</v>
      </c>
      <c r="AC2227" s="7" t="e">
        <f>IF(VLOOKUP($A2227,'Concrete Beam Schedule'!$A$2:$Q$2902,AC$2,0)&lt;&gt;M2227,"Beam Revised","")</f>
        <v>#N/A</v>
      </c>
      <c r="AD2227" s="7" t="e">
        <f>IF(VLOOKUP($A2227,'Concrete Beam Schedule'!$A$2:$Q$2902,AD$2,0)&lt;&gt;N2227,"Beam Revised","")</f>
        <v>#N/A</v>
      </c>
      <c r="AE2227" s="7" t="e">
        <f>IF(VLOOKUP($A2227,'Concrete Beam Schedule'!$A$2:$Q$2902,AE$2,0)&lt;&gt;O2227,"Beam Revised","")</f>
        <v>#N/A</v>
      </c>
    </row>
    <row r="2228" spans="17:31" ht="20.100000000000001" customHeight="1" x14ac:dyDescent="0.25">
      <c r="Q2228" s="7">
        <f t="shared" si="34"/>
        <v>0</v>
      </c>
      <c r="R2228" s="7" t="e">
        <f>IF(VLOOKUP($A2228,'Concrete Beam Schedule'!$A$2:$Q$2902,R$2,0)&lt;&gt;B2228,VLOOKUP($A2228,'Concrete Beam Schedule'!$A$2:$Q$2902,R$2,0),"")</f>
        <v>#N/A</v>
      </c>
      <c r="S2228" s="7" t="e">
        <f>IF(VLOOKUP($A2228,'Concrete Beam Schedule'!$A$2:$Q$2902,S$2,0)&lt;&gt;C2228,VLOOKUP($A2228,'Concrete Beam Schedule'!$A$2:$Q$2902,S$2,0),"")</f>
        <v>#N/A</v>
      </c>
      <c r="T2228" s="7" t="e">
        <f>IF(VLOOKUP($A2228,'Concrete Beam Schedule'!$A$2:$Q$2902,T$2,0)&lt;&gt;D2228,"Beam Revised","")</f>
        <v>#N/A</v>
      </c>
      <c r="U2228" s="7" t="e">
        <f>IF(VLOOKUP($A2228,'Concrete Beam Schedule'!$A$2:$Q$2902,U$2,0)&lt;&gt;E2228,"Beam Revised","")</f>
        <v>#N/A</v>
      </c>
      <c r="V2228" s="7" t="e">
        <f>IF(VLOOKUP($A2228,'Concrete Beam Schedule'!$A$2:$Q$2902,V$2,0)&lt;&gt;F2228,"Beam Revised","")</f>
        <v>#N/A</v>
      </c>
      <c r="W2228" s="7" t="e">
        <f>IF(VLOOKUP($A2228,'Concrete Beam Schedule'!$A$2:$Q$2902,W$2,0)&lt;&gt;G2228,"Beam Revised","")</f>
        <v>#N/A</v>
      </c>
      <c r="X2228" s="7" t="e">
        <f>IF(VLOOKUP($A2228,'Concrete Beam Schedule'!$A$2:$Q$2902,X$2,0)&lt;&gt;H2228,"Beam Revised","")</f>
        <v>#N/A</v>
      </c>
      <c r="Y2228" s="7" t="e">
        <f>IF(VLOOKUP($A2228,'Concrete Beam Schedule'!$A$2:$Q$2902,Y$2,0)&lt;&gt;I2228,"Beam Revised","")</f>
        <v>#N/A</v>
      </c>
      <c r="Z2228" s="7" t="e">
        <f>IF(VLOOKUP($A2228,'Concrete Beam Schedule'!$A$2:$Q$2902,Z$2,0)&lt;&gt;J2228,"Beam Revised","")</f>
        <v>#N/A</v>
      </c>
      <c r="AA2228" s="7" t="e">
        <f>IF(VLOOKUP($A2228,'Concrete Beam Schedule'!$A$2:$Q$2902,AA$2,0)&lt;&gt;K2228,"Beam Revised","")</f>
        <v>#N/A</v>
      </c>
      <c r="AB2228" s="7" t="e">
        <f>IF(VLOOKUP($A2228,'Concrete Beam Schedule'!$A$2:$Q$2902,AB$2,0)&lt;&gt;L2228,"Beam Revised","")</f>
        <v>#N/A</v>
      </c>
      <c r="AC2228" s="7" t="e">
        <f>IF(VLOOKUP($A2228,'Concrete Beam Schedule'!$A$2:$Q$2902,AC$2,0)&lt;&gt;M2228,"Beam Revised","")</f>
        <v>#N/A</v>
      </c>
      <c r="AD2228" s="7" t="e">
        <f>IF(VLOOKUP($A2228,'Concrete Beam Schedule'!$A$2:$Q$2902,AD$2,0)&lt;&gt;N2228,"Beam Revised","")</f>
        <v>#N/A</v>
      </c>
      <c r="AE2228" s="7" t="e">
        <f>IF(VLOOKUP($A2228,'Concrete Beam Schedule'!$A$2:$Q$2902,AE$2,0)&lt;&gt;O2228,"Beam Revised","")</f>
        <v>#N/A</v>
      </c>
    </row>
    <row r="2229" spans="17:31" ht="20.100000000000001" customHeight="1" x14ac:dyDescent="0.25">
      <c r="Q2229" s="7">
        <f t="shared" si="34"/>
        <v>0</v>
      </c>
      <c r="R2229" s="7" t="e">
        <f>IF(VLOOKUP($A2229,'Concrete Beam Schedule'!$A$2:$Q$2902,R$2,0)&lt;&gt;B2229,VLOOKUP($A2229,'Concrete Beam Schedule'!$A$2:$Q$2902,R$2,0),"")</f>
        <v>#N/A</v>
      </c>
      <c r="S2229" s="7" t="e">
        <f>IF(VLOOKUP($A2229,'Concrete Beam Schedule'!$A$2:$Q$2902,S$2,0)&lt;&gt;C2229,VLOOKUP($A2229,'Concrete Beam Schedule'!$A$2:$Q$2902,S$2,0),"")</f>
        <v>#N/A</v>
      </c>
      <c r="T2229" s="7" t="e">
        <f>IF(VLOOKUP($A2229,'Concrete Beam Schedule'!$A$2:$Q$2902,T$2,0)&lt;&gt;D2229,"Beam Revised","")</f>
        <v>#N/A</v>
      </c>
      <c r="U2229" s="7" t="e">
        <f>IF(VLOOKUP($A2229,'Concrete Beam Schedule'!$A$2:$Q$2902,U$2,0)&lt;&gt;E2229,"Beam Revised","")</f>
        <v>#N/A</v>
      </c>
      <c r="V2229" s="7" t="e">
        <f>IF(VLOOKUP($A2229,'Concrete Beam Schedule'!$A$2:$Q$2902,V$2,0)&lt;&gt;F2229,"Beam Revised","")</f>
        <v>#N/A</v>
      </c>
      <c r="W2229" s="7" t="e">
        <f>IF(VLOOKUP($A2229,'Concrete Beam Schedule'!$A$2:$Q$2902,W$2,0)&lt;&gt;G2229,"Beam Revised","")</f>
        <v>#N/A</v>
      </c>
      <c r="X2229" s="7" t="e">
        <f>IF(VLOOKUP($A2229,'Concrete Beam Schedule'!$A$2:$Q$2902,X$2,0)&lt;&gt;H2229,"Beam Revised","")</f>
        <v>#N/A</v>
      </c>
      <c r="Y2229" s="7" t="e">
        <f>IF(VLOOKUP($A2229,'Concrete Beam Schedule'!$A$2:$Q$2902,Y$2,0)&lt;&gt;I2229,"Beam Revised","")</f>
        <v>#N/A</v>
      </c>
      <c r="Z2229" s="7" t="e">
        <f>IF(VLOOKUP($A2229,'Concrete Beam Schedule'!$A$2:$Q$2902,Z$2,0)&lt;&gt;J2229,"Beam Revised","")</f>
        <v>#N/A</v>
      </c>
      <c r="AA2229" s="7" t="e">
        <f>IF(VLOOKUP($A2229,'Concrete Beam Schedule'!$A$2:$Q$2902,AA$2,0)&lt;&gt;K2229,"Beam Revised","")</f>
        <v>#N/A</v>
      </c>
      <c r="AB2229" s="7" t="e">
        <f>IF(VLOOKUP($A2229,'Concrete Beam Schedule'!$A$2:$Q$2902,AB$2,0)&lt;&gt;L2229,"Beam Revised","")</f>
        <v>#N/A</v>
      </c>
      <c r="AC2229" s="7" t="e">
        <f>IF(VLOOKUP($A2229,'Concrete Beam Schedule'!$A$2:$Q$2902,AC$2,0)&lt;&gt;M2229,"Beam Revised","")</f>
        <v>#N/A</v>
      </c>
      <c r="AD2229" s="7" t="e">
        <f>IF(VLOOKUP($A2229,'Concrete Beam Schedule'!$A$2:$Q$2902,AD$2,0)&lt;&gt;N2229,"Beam Revised","")</f>
        <v>#N/A</v>
      </c>
      <c r="AE2229" s="7" t="e">
        <f>IF(VLOOKUP($A2229,'Concrete Beam Schedule'!$A$2:$Q$2902,AE$2,0)&lt;&gt;O2229,"Beam Revised","")</f>
        <v>#N/A</v>
      </c>
    </row>
    <row r="2230" spans="17:31" ht="20.100000000000001" customHeight="1" x14ac:dyDescent="0.25">
      <c r="Q2230" s="7">
        <f t="shared" si="34"/>
        <v>0</v>
      </c>
      <c r="R2230" s="7" t="e">
        <f>IF(VLOOKUP($A2230,'Concrete Beam Schedule'!$A$2:$Q$2902,R$2,0)&lt;&gt;B2230,VLOOKUP($A2230,'Concrete Beam Schedule'!$A$2:$Q$2902,R$2,0),"")</f>
        <v>#N/A</v>
      </c>
      <c r="S2230" s="7" t="e">
        <f>IF(VLOOKUP($A2230,'Concrete Beam Schedule'!$A$2:$Q$2902,S$2,0)&lt;&gt;C2230,VLOOKUP($A2230,'Concrete Beam Schedule'!$A$2:$Q$2902,S$2,0),"")</f>
        <v>#N/A</v>
      </c>
      <c r="T2230" s="7" t="e">
        <f>IF(VLOOKUP($A2230,'Concrete Beam Schedule'!$A$2:$Q$2902,T$2,0)&lt;&gt;D2230,"Beam Revised","")</f>
        <v>#N/A</v>
      </c>
      <c r="U2230" s="7" t="e">
        <f>IF(VLOOKUP($A2230,'Concrete Beam Schedule'!$A$2:$Q$2902,U$2,0)&lt;&gt;E2230,"Beam Revised","")</f>
        <v>#N/A</v>
      </c>
      <c r="V2230" s="7" t="e">
        <f>IF(VLOOKUP($A2230,'Concrete Beam Schedule'!$A$2:$Q$2902,V$2,0)&lt;&gt;F2230,"Beam Revised","")</f>
        <v>#N/A</v>
      </c>
      <c r="W2230" s="7" t="e">
        <f>IF(VLOOKUP($A2230,'Concrete Beam Schedule'!$A$2:$Q$2902,W$2,0)&lt;&gt;G2230,"Beam Revised","")</f>
        <v>#N/A</v>
      </c>
      <c r="X2230" s="7" t="e">
        <f>IF(VLOOKUP($A2230,'Concrete Beam Schedule'!$A$2:$Q$2902,X$2,0)&lt;&gt;H2230,"Beam Revised","")</f>
        <v>#N/A</v>
      </c>
      <c r="Y2230" s="7" t="e">
        <f>IF(VLOOKUP($A2230,'Concrete Beam Schedule'!$A$2:$Q$2902,Y$2,0)&lt;&gt;I2230,"Beam Revised","")</f>
        <v>#N/A</v>
      </c>
      <c r="Z2230" s="7" t="e">
        <f>IF(VLOOKUP($A2230,'Concrete Beam Schedule'!$A$2:$Q$2902,Z$2,0)&lt;&gt;J2230,"Beam Revised","")</f>
        <v>#N/A</v>
      </c>
      <c r="AA2230" s="7" t="e">
        <f>IF(VLOOKUP($A2230,'Concrete Beam Schedule'!$A$2:$Q$2902,AA$2,0)&lt;&gt;K2230,"Beam Revised","")</f>
        <v>#N/A</v>
      </c>
      <c r="AB2230" s="7" t="e">
        <f>IF(VLOOKUP($A2230,'Concrete Beam Schedule'!$A$2:$Q$2902,AB$2,0)&lt;&gt;L2230,"Beam Revised","")</f>
        <v>#N/A</v>
      </c>
      <c r="AC2230" s="7" t="e">
        <f>IF(VLOOKUP($A2230,'Concrete Beam Schedule'!$A$2:$Q$2902,AC$2,0)&lt;&gt;M2230,"Beam Revised","")</f>
        <v>#N/A</v>
      </c>
      <c r="AD2230" s="7" t="e">
        <f>IF(VLOOKUP($A2230,'Concrete Beam Schedule'!$A$2:$Q$2902,AD$2,0)&lt;&gt;N2230,"Beam Revised","")</f>
        <v>#N/A</v>
      </c>
      <c r="AE2230" s="7" t="e">
        <f>IF(VLOOKUP($A2230,'Concrete Beam Schedule'!$A$2:$Q$2902,AE$2,0)&lt;&gt;O2230,"Beam Revised","")</f>
        <v>#N/A</v>
      </c>
    </row>
    <row r="2231" spans="17:31" ht="20.100000000000001" customHeight="1" x14ac:dyDescent="0.25">
      <c r="Q2231" s="7">
        <f t="shared" si="34"/>
        <v>0</v>
      </c>
      <c r="R2231" s="7" t="e">
        <f>IF(VLOOKUP($A2231,'Concrete Beam Schedule'!$A$2:$Q$2902,R$2,0)&lt;&gt;B2231,VLOOKUP($A2231,'Concrete Beam Schedule'!$A$2:$Q$2902,R$2,0),"")</f>
        <v>#N/A</v>
      </c>
      <c r="S2231" s="7" t="e">
        <f>IF(VLOOKUP($A2231,'Concrete Beam Schedule'!$A$2:$Q$2902,S$2,0)&lt;&gt;C2231,VLOOKUP($A2231,'Concrete Beam Schedule'!$A$2:$Q$2902,S$2,0),"")</f>
        <v>#N/A</v>
      </c>
      <c r="T2231" s="7" t="e">
        <f>IF(VLOOKUP($A2231,'Concrete Beam Schedule'!$A$2:$Q$2902,T$2,0)&lt;&gt;D2231,"Beam Revised","")</f>
        <v>#N/A</v>
      </c>
      <c r="U2231" s="7" t="e">
        <f>IF(VLOOKUP($A2231,'Concrete Beam Schedule'!$A$2:$Q$2902,U$2,0)&lt;&gt;E2231,"Beam Revised","")</f>
        <v>#N/A</v>
      </c>
      <c r="V2231" s="7" t="e">
        <f>IF(VLOOKUP($A2231,'Concrete Beam Schedule'!$A$2:$Q$2902,V$2,0)&lt;&gt;F2231,"Beam Revised","")</f>
        <v>#N/A</v>
      </c>
      <c r="W2231" s="7" t="e">
        <f>IF(VLOOKUP($A2231,'Concrete Beam Schedule'!$A$2:$Q$2902,W$2,0)&lt;&gt;G2231,"Beam Revised","")</f>
        <v>#N/A</v>
      </c>
      <c r="X2231" s="7" t="e">
        <f>IF(VLOOKUP($A2231,'Concrete Beam Schedule'!$A$2:$Q$2902,X$2,0)&lt;&gt;H2231,"Beam Revised","")</f>
        <v>#N/A</v>
      </c>
      <c r="Y2231" s="7" t="e">
        <f>IF(VLOOKUP($A2231,'Concrete Beam Schedule'!$A$2:$Q$2902,Y$2,0)&lt;&gt;I2231,"Beam Revised","")</f>
        <v>#N/A</v>
      </c>
      <c r="Z2231" s="7" t="e">
        <f>IF(VLOOKUP($A2231,'Concrete Beam Schedule'!$A$2:$Q$2902,Z$2,0)&lt;&gt;J2231,"Beam Revised","")</f>
        <v>#N/A</v>
      </c>
      <c r="AA2231" s="7" t="e">
        <f>IF(VLOOKUP($A2231,'Concrete Beam Schedule'!$A$2:$Q$2902,AA$2,0)&lt;&gt;K2231,"Beam Revised","")</f>
        <v>#N/A</v>
      </c>
      <c r="AB2231" s="7" t="e">
        <f>IF(VLOOKUP($A2231,'Concrete Beam Schedule'!$A$2:$Q$2902,AB$2,0)&lt;&gt;L2231,"Beam Revised","")</f>
        <v>#N/A</v>
      </c>
      <c r="AC2231" s="7" t="e">
        <f>IF(VLOOKUP($A2231,'Concrete Beam Schedule'!$A$2:$Q$2902,AC$2,0)&lt;&gt;M2231,"Beam Revised","")</f>
        <v>#N/A</v>
      </c>
      <c r="AD2231" s="7" t="e">
        <f>IF(VLOOKUP($A2231,'Concrete Beam Schedule'!$A$2:$Q$2902,AD$2,0)&lt;&gt;N2231,"Beam Revised","")</f>
        <v>#N/A</v>
      </c>
      <c r="AE2231" s="7" t="e">
        <f>IF(VLOOKUP($A2231,'Concrete Beam Schedule'!$A$2:$Q$2902,AE$2,0)&lt;&gt;O2231,"Beam Revised","")</f>
        <v>#N/A</v>
      </c>
    </row>
    <row r="2232" spans="17:31" ht="20.100000000000001" customHeight="1" x14ac:dyDescent="0.25">
      <c r="Q2232" s="7">
        <f t="shared" si="34"/>
        <v>0</v>
      </c>
      <c r="R2232" s="7" t="e">
        <f>IF(VLOOKUP($A2232,'Concrete Beam Schedule'!$A$2:$Q$2902,R$2,0)&lt;&gt;B2232,VLOOKUP($A2232,'Concrete Beam Schedule'!$A$2:$Q$2902,R$2,0),"")</f>
        <v>#N/A</v>
      </c>
      <c r="S2232" s="7" t="e">
        <f>IF(VLOOKUP($A2232,'Concrete Beam Schedule'!$A$2:$Q$2902,S$2,0)&lt;&gt;C2232,VLOOKUP($A2232,'Concrete Beam Schedule'!$A$2:$Q$2902,S$2,0),"")</f>
        <v>#N/A</v>
      </c>
      <c r="T2232" s="7" t="e">
        <f>IF(VLOOKUP($A2232,'Concrete Beam Schedule'!$A$2:$Q$2902,T$2,0)&lt;&gt;D2232,"Beam Revised","")</f>
        <v>#N/A</v>
      </c>
      <c r="U2232" s="7" t="e">
        <f>IF(VLOOKUP($A2232,'Concrete Beam Schedule'!$A$2:$Q$2902,U$2,0)&lt;&gt;E2232,"Beam Revised","")</f>
        <v>#N/A</v>
      </c>
      <c r="V2232" s="7" t="e">
        <f>IF(VLOOKUP($A2232,'Concrete Beam Schedule'!$A$2:$Q$2902,V$2,0)&lt;&gt;F2232,"Beam Revised","")</f>
        <v>#N/A</v>
      </c>
      <c r="W2232" s="7" t="e">
        <f>IF(VLOOKUP($A2232,'Concrete Beam Schedule'!$A$2:$Q$2902,W$2,0)&lt;&gt;G2232,"Beam Revised","")</f>
        <v>#N/A</v>
      </c>
      <c r="X2232" s="7" t="e">
        <f>IF(VLOOKUP($A2232,'Concrete Beam Schedule'!$A$2:$Q$2902,X$2,0)&lt;&gt;H2232,"Beam Revised","")</f>
        <v>#N/A</v>
      </c>
      <c r="Y2232" s="7" t="e">
        <f>IF(VLOOKUP($A2232,'Concrete Beam Schedule'!$A$2:$Q$2902,Y$2,0)&lt;&gt;I2232,"Beam Revised","")</f>
        <v>#N/A</v>
      </c>
      <c r="Z2232" s="7" t="e">
        <f>IF(VLOOKUP($A2232,'Concrete Beam Schedule'!$A$2:$Q$2902,Z$2,0)&lt;&gt;J2232,"Beam Revised","")</f>
        <v>#N/A</v>
      </c>
      <c r="AA2232" s="7" t="e">
        <f>IF(VLOOKUP($A2232,'Concrete Beam Schedule'!$A$2:$Q$2902,AA$2,0)&lt;&gt;K2232,"Beam Revised","")</f>
        <v>#N/A</v>
      </c>
      <c r="AB2232" s="7" t="e">
        <f>IF(VLOOKUP($A2232,'Concrete Beam Schedule'!$A$2:$Q$2902,AB$2,0)&lt;&gt;L2232,"Beam Revised","")</f>
        <v>#N/A</v>
      </c>
      <c r="AC2232" s="7" t="e">
        <f>IF(VLOOKUP($A2232,'Concrete Beam Schedule'!$A$2:$Q$2902,AC$2,0)&lt;&gt;M2232,"Beam Revised","")</f>
        <v>#N/A</v>
      </c>
      <c r="AD2232" s="7" t="e">
        <f>IF(VLOOKUP($A2232,'Concrete Beam Schedule'!$A$2:$Q$2902,AD$2,0)&lt;&gt;N2232,"Beam Revised","")</f>
        <v>#N/A</v>
      </c>
      <c r="AE2232" s="7" t="e">
        <f>IF(VLOOKUP($A2232,'Concrete Beam Schedule'!$A$2:$Q$2902,AE$2,0)&lt;&gt;O2232,"Beam Revised","")</f>
        <v>#N/A</v>
      </c>
    </row>
    <row r="2233" spans="17:31" ht="20.100000000000001" customHeight="1" x14ac:dyDescent="0.25">
      <c r="Q2233" s="7">
        <f t="shared" si="34"/>
        <v>0</v>
      </c>
      <c r="R2233" s="7" t="e">
        <f>IF(VLOOKUP($A2233,'Concrete Beam Schedule'!$A$2:$Q$2902,R$2,0)&lt;&gt;B2233,VLOOKUP($A2233,'Concrete Beam Schedule'!$A$2:$Q$2902,R$2,0),"")</f>
        <v>#N/A</v>
      </c>
      <c r="S2233" s="7" t="e">
        <f>IF(VLOOKUP($A2233,'Concrete Beam Schedule'!$A$2:$Q$2902,S$2,0)&lt;&gt;C2233,VLOOKUP($A2233,'Concrete Beam Schedule'!$A$2:$Q$2902,S$2,0),"")</f>
        <v>#N/A</v>
      </c>
      <c r="T2233" s="7" t="e">
        <f>IF(VLOOKUP($A2233,'Concrete Beam Schedule'!$A$2:$Q$2902,T$2,0)&lt;&gt;D2233,"Beam Revised","")</f>
        <v>#N/A</v>
      </c>
      <c r="U2233" s="7" t="e">
        <f>IF(VLOOKUP($A2233,'Concrete Beam Schedule'!$A$2:$Q$2902,U$2,0)&lt;&gt;E2233,"Beam Revised","")</f>
        <v>#N/A</v>
      </c>
      <c r="V2233" s="7" t="e">
        <f>IF(VLOOKUP($A2233,'Concrete Beam Schedule'!$A$2:$Q$2902,V$2,0)&lt;&gt;F2233,"Beam Revised","")</f>
        <v>#N/A</v>
      </c>
      <c r="W2233" s="7" t="e">
        <f>IF(VLOOKUP($A2233,'Concrete Beam Schedule'!$A$2:$Q$2902,W$2,0)&lt;&gt;G2233,"Beam Revised","")</f>
        <v>#N/A</v>
      </c>
      <c r="X2233" s="7" t="e">
        <f>IF(VLOOKUP($A2233,'Concrete Beam Schedule'!$A$2:$Q$2902,X$2,0)&lt;&gt;H2233,"Beam Revised","")</f>
        <v>#N/A</v>
      </c>
      <c r="Y2233" s="7" t="e">
        <f>IF(VLOOKUP($A2233,'Concrete Beam Schedule'!$A$2:$Q$2902,Y$2,0)&lt;&gt;I2233,"Beam Revised","")</f>
        <v>#N/A</v>
      </c>
      <c r="Z2233" s="7" t="e">
        <f>IF(VLOOKUP($A2233,'Concrete Beam Schedule'!$A$2:$Q$2902,Z$2,0)&lt;&gt;J2233,"Beam Revised","")</f>
        <v>#N/A</v>
      </c>
      <c r="AA2233" s="7" t="e">
        <f>IF(VLOOKUP($A2233,'Concrete Beam Schedule'!$A$2:$Q$2902,AA$2,0)&lt;&gt;K2233,"Beam Revised","")</f>
        <v>#N/A</v>
      </c>
      <c r="AB2233" s="7" t="e">
        <f>IF(VLOOKUP($A2233,'Concrete Beam Schedule'!$A$2:$Q$2902,AB$2,0)&lt;&gt;L2233,"Beam Revised","")</f>
        <v>#N/A</v>
      </c>
      <c r="AC2233" s="7" t="e">
        <f>IF(VLOOKUP($A2233,'Concrete Beam Schedule'!$A$2:$Q$2902,AC$2,0)&lt;&gt;M2233,"Beam Revised","")</f>
        <v>#N/A</v>
      </c>
      <c r="AD2233" s="7" t="e">
        <f>IF(VLOOKUP($A2233,'Concrete Beam Schedule'!$A$2:$Q$2902,AD$2,0)&lt;&gt;N2233,"Beam Revised","")</f>
        <v>#N/A</v>
      </c>
      <c r="AE2233" s="7" t="e">
        <f>IF(VLOOKUP($A2233,'Concrete Beam Schedule'!$A$2:$Q$2902,AE$2,0)&lt;&gt;O2233,"Beam Revised","")</f>
        <v>#N/A</v>
      </c>
    </row>
    <row r="2234" spans="17:31" ht="20.100000000000001" customHeight="1" x14ac:dyDescent="0.25">
      <c r="Q2234" s="7">
        <f t="shared" si="34"/>
        <v>0</v>
      </c>
      <c r="R2234" s="7" t="e">
        <f>IF(VLOOKUP($A2234,'Concrete Beam Schedule'!$A$2:$Q$2902,R$2,0)&lt;&gt;B2234,VLOOKUP($A2234,'Concrete Beam Schedule'!$A$2:$Q$2902,R$2,0),"")</f>
        <v>#N/A</v>
      </c>
      <c r="S2234" s="7" t="e">
        <f>IF(VLOOKUP($A2234,'Concrete Beam Schedule'!$A$2:$Q$2902,S$2,0)&lt;&gt;C2234,VLOOKUP($A2234,'Concrete Beam Schedule'!$A$2:$Q$2902,S$2,0),"")</f>
        <v>#N/A</v>
      </c>
      <c r="T2234" s="7" t="e">
        <f>IF(VLOOKUP($A2234,'Concrete Beam Schedule'!$A$2:$Q$2902,T$2,0)&lt;&gt;D2234,"Beam Revised","")</f>
        <v>#N/A</v>
      </c>
      <c r="U2234" s="7" t="e">
        <f>IF(VLOOKUP($A2234,'Concrete Beam Schedule'!$A$2:$Q$2902,U$2,0)&lt;&gt;E2234,"Beam Revised","")</f>
        <v>#N/A</v>
      </c>
      <c r="V2234" s="7" t="e">
        <f>IF(VLOOKUP($A2234,'Concrete Beam Schedule'!$A$2:$Q$2902,V$2,0)&lt;&gt;F2234,"Beam Revised","")</f>
        <v>#N/A</v>
      </c>
      <c r="W2234" s="7" t="e">
        <f>IF(VLOOKUP($A2234,'Concrete Beam Schedule'!$A$2:$Q$2902,W$2,0)&lt;&gt;G2234,"Beam Revised","")</f>
        <v>#N/A</v>
      </c>
      <c r="X2234" s="7" t="e">
        <f>IF(VLOOKUP($A2234,'Concrete Beam Schedule'!$A$2:$Q$2902,X$2,0)&lt;&gt;H2234,"Beam Revised","")</f>
        <v>#N/A</v>
      </c>
      <c r="Y2234" s="7" t="e">
        <f>IF(VLOOKUP($A2234,'Concrete Beam Schedule'!$A$2:$Q$2902,Y$2,0)&lt;&gt;I2234,"Beam Revised","")</f>
        <v>#N/A</v>
      </c>
      <c r="Z2234" s="7" t="e">
        <f>IF(VLOOKUP($A2234,'Concrete Beam Schedule'!$A$2:$Q$2902,Z$2,0)&lt;&gt;J2234,"Beam Revised","")</f>
        <v>#N/A</v>
      </c>
      <c r="AA2234" s="7" t="e">
        <f>IF(VLOOKUP($A2234,'Concrete Beam Schedule'!$A$2:$Q$2902,AA$2,0)&lt;&gt;K2234,"Beam Revised","")</f>
        <v>#N/A</v>
      </c>
      <c r="AB2234" s="7" t="e">
        <f>IF(VLOOKUP($A2234,'Concrete Beam Schedule'!$A$2:$Q$2902,AB$2,0)&lt;&gt;L2234,"Beam Revised","")</f>
        <v>#N/A</v>
      </c>
      <c r="AC2234" s="7" t="e">
        <f>IF(VLOOKUP($A2234,'Concrete Beam Schedule'!$A$2:$Q$2902,AC$2,0)&lt;&gt;M2234,"Beam Revised","")</f>
        <v>#N/A</v>
      </c>
      <c r="AD2234" s="7" t="e">
        <f>IF(VLOOKUP($A2234,'Concrete Beam Schedule'!$A$2:$Q$2902,AD$2,0)&lt;&gt;N2234,"Beam Revised","")</f>
        <v>#N/A</v>
      </c>
      <c r="AE2234" s="7" t="e">
        <f>IF(VLOOKUP($A2234,'Concrete Beam Schedule'!$A$2:$Q$2902,AE$2,0)&lt;&gt;O2234,"Beam Revised","")</f>
        <v>#N/A</v>
      </c>
    </row>
    <row r="2235" spans="17:31" ht="20.100000000000001" customHeight="1" x14ac:dyDescent="0.25">
      <c r="Q2235" s="7">
        <f t="shared" si="34"/>
        <v>0</v>
      </c>
      <c r="R2235" s="7" t="e">
        <f>IF(VLOOKUP($A2235,'Concrete Beam Schedule'!$A$2:$Q$2902,R$2,0)&lt;&gt;B2235,VLOOKUP($A2235,'Concrete Beam Schedule'!$A$2:$Q$2902,R$2,0),"")</f>
        <v>#N/A</v>
      </c>
      <c r="S2235" s="7" t="e">
        <f>IF(VLOOKUP($A2235,'Concrete Beam Schedule'!$A$2:$Q$2902,S$2,0)&lt;&gt;C2235,VLOOKUP($A2235,'Concrete Beam Schedule'!$A$2:$Q$2902,S$2,0),"")</f>
        <v>#N/A</v>
      </c>
      <c r="T2235" s="7" t="e">
        <f>IF(VLOOKUP($A2235,'Concrete Beam Schedule'!$A$2:$Q$2902,T$2,0)&lt;&gt;D2235,"Beam Revised","")</f>
        <v>#N/A</v>
      </c>
      <c r="U2235" s="7" t="e">
        <f>IF(VLOOKUP($A2235,'Concrete Beam Schedule'!$A$2:$Q$2902,U$2,0)&lt;&gt;E2235,"Beam Revised","")</f>
        <v>#N/A</v>
      </c>
      <c r="V2235" s="7" t="e">
        <f>IF(VLOOKUP($A2235,'Concrete Beam Schedule'!$A$2:$Q$2902,V$2,0)&lt;&gt;F2235,"Beam Revised","")</f>
        <v>#N/A</v>
      </c>
      <c r="W2235" s="7" t="e">
        <f>IF(VLOOKUP($A2235,'Concrete Beam Schedule'!$A$2:$Q$2902,W$2,0)&lt;&gt;G2235,"Beam Revised","")</f>
        <v>#N/A</v>
      </c>
      <c r="X2235" s="7" t="e">
        <f>IF(VLOOKUP($A2235,'Concrete Beam Schedule'!$A$2:$Q$2902,X$2,0)&lt;&gt;H2235,"Beam Revised","")</f>
        <v>#N/A</v>
      </c>
      <c r="Y2235" s="7" t="e">
        <f>IF(VLOOKUP($A2235,'Concrete Beam Schedule'!$A$2:$Q$2902,Y$2,0)&lt;&gt;I2235,"Beam Revised","")</f>
        <v>#N/A</v>
      </c>
      <c r="Z2235" s="7" t="e">
        <f>IF(VLOOKUP($A2235,'Concrete Beam Schedule'!$A$2:$Q$2902,Z$2,0)&lt;&gt;J2235,"Beam Revised","")</f>
        <v>#N/A</v>
      </c>
      <c r="AA2235" s="7" t="e">
        <f>IF(VLOOKUP($A2235,'Concrete Beam Schedule'!$A$2:$Q$2902,AA$2,0)&lt;&gt;K2235,"Beam Revised","")</f>
        <v>#N/A</v>
      </c>
      <c r="AB2235" s="7" t="e">
        <f>IF(VLOOKUP($A2235,'Concrete Beam Schedule'!$A$2:$Q$2902,AB$2,0)&lt;&gt;L2235,"Beam Revised","")</f>
        <v>#N/A</v>
      </c>
      <c r="AC2235" s="7" t="e">
        <f>IF(VLOOKUP($A2235,'Concrete Beam Schedule'!$A$2:$Q$2902,AC$2,0)&lt;&gt;M2235,"Beam Revised","")</f>
        <v>#N/A</v>
      </c>
      <c r="AD2235" s="7" t="e">
        <f>IF(VLOOKUP($A2235,'Concrete Beam Schedule'!$A$2:$Q$2902,AD$2,0)&lt;&gt;N2235,"Beam Revised","")</f>
        <v>#N/A</v>
      </c>
      <c r="AE2235" s="7" t="e">
        <f>IF(VLOOKUP($A2235,'Concrete Beam Schedule'!$A$2:$Q$2902,AE$2,0)&lt;&gt;O2235,"Beam Revised","")</f>
        <v>#N/A</v>
      </c>
    </row>
    <row r="2236" spans="17:31" ht="20.100000000000001" customHeight="1" x14ac:dyDescent="0.25">
      <c r="Q2236" s="7">
        <f t="shared" si="34"/>
        <v>0</v>
      </c>
      <c r="R2236" s="7" t="e">
        <f>IF(VLOOKUP($A2236,'Concrete Beam Schedule'!$A$2:$Q$2902,R$2,0)&lt;&gt;B2236,VLOOKUP($A2236,'Concrete Beam Schedule'!$A$2:$Q$2902,R$2,0),"")</f>
        <v>#N/A</v>
      </c>
      <c r="S2236" s="7" t="e">
        <f>IF(VLOOKUP($A2236,'Concrete Beam Schedule'!$A$2:$Q$2902,S$2,0)&lt;&gt;C2236,VLOOKUP($A2236,'Concrete Beam Schedule'!$A$2:$Q$2902,S$2,0),"")</f>
        <v>#N/A</v>
      </c>
      <c r="T2236" s="7" t="e">
        <f>IF(VLOOKUP($A2236,'Concrete Beam Schedule'!$A$2:$Q$2902,T$2,0)&lt;&gt;D2236,"Beam Revised","")</f>
        <v>#N/A</v>
      </c>
      <c r="U2236" s="7" t="e">
        <f>IF(VLOOKUP($A2236,'Concrete Beam Schedule'!$A$2:$Q$2902,U$2,0)&lt;&gt;E2236,"Beam Revised","")</f>
        <v>#N/A</v>
      </c>
      <c r="V2236" s="7" t="e">
        <f>IF(VLOOKUP($A2236,'Concrete Beam Schedule'!$A$2:$Q$2902,V$2,0)&lt;&gt;F2236,"Beam Revised","")</f>
        <v>#N/A</v>
      </c>
      <c r="W2236" s="7" t="e">
        <f>IF(VLOOKUP($A2236,'Concrete Beam Schedule'!$A$2:$Q$2902,W$2,0)&lt;&gt;G2236,"Beam Revised","")</f>
        <v>#N/A</v>
      </c>
      <c r="X2236" s="7" t="e">
        <f>IF(VLOOKUP($A2236,'Concrete Beam Schedule'!$A$2:$Q$2902,X$2,0)&lt;&gt;H2236,"Beam Revised","")</f>
        <v>#N/A</v>
      </c>
      <c r="Y2236" s="7" t="e">
        <f>IF(VLOOKUP($A2236,'Concrete Beam Schedule'!$A$2:$Q$2902,Y$2,0)&lt;&gt;I2236,"Beam Revised","")</f>
        <v>#N/A</v>
      </c>
      <c r="Z2236" s="7" t="e">
        <f>IF(VLOOKUP($A2236,'Concrete Beam Schedule'!$A$2:$Q$2902,Z$2,0)&lt;&gt;J2236,"Beam Revised","")</f>
        <v>#N/A</v>
      </c>
      <c r="AA2236" s="7" t="e">
        <f>IF(VLOOKUP($A2236,'Concrete Beam Schedule'!$A$2:$Q$2902,AA$2,0)&lt;&gt;K2236,"Beam Revised","")</f>
        <v>#N/A</v>
      </c>
      <c r="AB2236" s="7" t="e">
        <f>IF(VLOOKUP($A2236,'Concrete Beam Schedule'!$A$2:$Q$2902,AB$2,0)&lt;&gt;L2236,"Beam Revised","")</f>
        <v>#N/A</v>
      </c>
      <c r="AC2236" s="7" t="e">
        <f>IF(VLOOKUP($A2236,'Concrete Beam Schedule'!$A$2:$Q$2902,AC$2,0)&lt;&gt;M2236,"Beam Revised","")</f>
        <v>#N/A</v>
      </c>
      <c r="AD2236" s="7" t="e">
        <f>IF(VLOOKUP($A2236,'Concrete Beam Schedule'!$A$2:$Q$2902,AD$2,0)&lt;&gt;N2236,"Beam Revised","")</f>
        <v>#N/A</v>
      </c>
      <c r="AE2236" s="7" t="e">
        <f>IF(VLOOKUP($A2236,'Concrete Beam Schedule'!$A$2:$Q$2902,AE$2,0)&lt;&gt;O2236,"Beam Revised","")</f>
        <v>#N/A</v>
      </c>
    </row>
    <row r="2237" spans="17:31" ht="20.100000000000001" customHeight="1" x14ac:dyDescent="0.25">
      <c r="Q2237" s="7">
        <f t="shared" si="34"/>
        <v>0</v>
      </c>
      <c r="R2237" s="7" t="e">
        <f>IF(VLOOKUP($A2237,'Concrete Beam Schedule'!$A$2:$Q$2902,R$2,0)&lt;&gt;B2237,VLOOKUP($A2237,'Concrete Beam Schedule'!$A$2:$Q$2902,R$2,0),"")</f>
        <v>#N/A</v>
      </c>
      <c r="S2237" s="7" t="e">
        <f>IF(VLOOKUP($A2237,'Concrete Beam Schedule'!$A$2:$Q$2902,S$2,0)&lt;&gt;C2237,VLOOKUP($A2237,'Concrete Beam Schedule'!$A$2:$Q$2902,S$2,0),"")</f>
        <v>#N/A</v>
      </c>
      <c r="T2237" s="7" t="e">
        <f>IF(VLOOKUP($A2237,'Concrete Beam Schedule'!$A$2:$Q$2902,T$2,0)&lt;&gt;D2237,"Beam Revised","")</f>
        <v>#N/A</v>
      </c>
      <c r="U2237" s="7" t="e">
        <f>IF(VLOOKUP($A2237,'Concrete Beam Schedule'!$A$2:$Q$2902,U$2,0)&lt;&gt;E2237,"Beam Revised","")</f>
        <v>#N/A</v>
      </c>
      <c r="V2237" s="7" t="e">
        <f>IF(VLOOKUP($A2237,'Concrete Beam Schedule'!$A$2:$Q$2902,V$2,0)&lt;&gt;F2237,"Beam Revised","")</f>
        <v>#N/A</v>
      </c>
      <c r="W2237" s="7" t="e">
        <f>IF(VLOOKUP($A2237,'Concrete Beam Schedule'!$A$2:$Q$2902,W$2,0)&lt;&gt;G2237,"Beam Revised","")</f>
        <v>#N/A</v>
      </c>
      <c r="X2237" s="7" t="e">
        <f>IF(VLOOKUP($A2237,'Concrete Beam Schedule'!$A$2:$Q$2902,X$2,0)&lt;&gt;H2237,"Beam Revised","")</f>
        <v>#N/A</v>
      </c>
      <c r="Y2237" s="7" t="e">
        <f>IF(VLOOKUP($A2237,'Concrete Beam Schedule'!$A$2:$Q$2902,Y$2,0)&lt;&gt;I2237,"Beam Revised","")</f>
        <v>#N/A</v>
      </c>
      <c r="Z2237" s="7" t="e">
        <f>IF(VLOOKUP($A2237,'Concrete Beam Schedule'!$A$2:$Q$2902,Z$2,0)&lt;&gt;J2237,"Beam Revised","")</f>
        <v>#N/A</v>
      </c>
      <c r="AA2237" s="7" t="e">
        <f>IF(VLOOKUP($A2237,'Concrete Beam Schedule'!$A$2:$Q$2902,AA$2,0)&lt;&gt;K2237,"Beam Revised","")</f>
        <v>#N/A</v>
      </c>
      <c r="AB2237" s="7" t="e">
        <f>IF(VLOOKUP($A2237,'Concrete Beam Schedule'!$A$2:$Q$2902,AB$2,0)&lt;&gt;L2237,"Beam Revised","")</f>
        <v>#N/A</v>
      </c>
      <c r="AC2237" s="7" t="e">
        <f>IF(VLOOKUP($A2237,'Concrete Beam Schedule'!$A$2:$Q$2902,AC$2,0)&lt;&gt;M2237,"Beam Revised","")</f>
        <v>#N/A</v>
      </c>
      <c r="AD2237" s="7" t="e">
        <f>IF(VLOOKUP($A2237,'Concrete Beam Schedule'!$A$2:$Q$2902,AD$2,0)&lt;&gt;N2237,"Beam Revised","")</f>
        <v>#N/A</v>
      </c>
      <c r="AE2237" s="7" t="e">
        <f>IF(VLOOKUP($A2237,'Concrete Beam Schedule'!$A$2:$Q$2902,AE$2,0)&lt;&gt;O2237,"Beam Revised","")</f>
        <v>#N/A</v>
      </c>
    </row>
    <row r="2238" spans="17:31" ht="20.100000000000001" customHeight="1" x14ac:dyDescent="0.25">
      <c r="Q2238" s="7">
        <f t="shared" si="34"/>
        <v>0</v>
      </c>
      <c r="R2238" s="7" t="e">
        <f>IF(VLOOKUP($A2238,'Concrete Beam Schedule'!$A$2:$Q$2902,R$2,0)&lt;&gt;B2238,VLOOKUP($A2238,'Concrete Beam Schedule'!$A$2:$Q$2902,R$2,0),"")</f>
        <v>#N/A</v>
      </c>
      <c r="S2238" s="7" t="e">
        <f>IF(VLOOKUP($A2238,'Concrete Beam Schedule'!$A$2:$Q$2902,S$2,0)&lt;&gt;C2238,VLOOKUP($A2238,'Concrete Beam Schedule'!$A$2:$Q$2902,S$2,0),"")</f>
        <v>#N/A</v>
      </c>
      <c r="T2238" s="7" t="e">
        <f>IF(VLOOKUP($A2238,'Concrete Beam Schedule'!$A$2:$Q$2902,T$2,0)&lt;&gt;D2238,"Beam Revised","")</f>
        <v>#N/A</v>
      </c>
      <c r="U2238" s="7" t="e">
        <f>IF(VLOOKUP($A2238,'Concrete Beam Schedule'!$A$2:$Q$2902,U$2,0)&lt;&gt;E2238,"Beam Revised","")</f>
        <v>#N/A</v>
      </c>
      <c r="V2238" s="7" t="e">
        <f>IF(VLOOKUP($A2238,'Concrete Beam Schedule'!$A$2:$Q$2902,V$2,0)&lt;&gt;F2238,"Beam Revised","")</f>
        <v>#N/A</v>
      </c>
      <c r="W2238" s="7" t="e">
        <f>IF(VLOOKUP($A2238,'Concrete Beam Schedule'!$A$2:$Q$2902,W$2,0)&lt;&gt;G2238,"Beam Revised","")</f>
        <v>#N/A</v>
      </c>
      <c r="X2238" s="7" t="e">
        <f>IF(VLOOKUP($A2238,'Concrete Beam Schedule'!$A$2:$Q$2902,X$2,0)&lt;&gt;H2238,"Beam Revised","")</f>
        <v>#N/A</v>
      </c>
      <c r="Y2238" s="7" t="e">
        <f>IF(VLOOKUP($A2238,'Concrete Beam Schedule'!$A$2:$Q$2902,Y$2,0)&lt;&gt;I2238,"Beam Revised","")</f>
        <v>#N/A</v>
      </c>
      <c r="Z2238" s="7" t="e">
        <f>IF(VLOOKUP($A2238,'Concrete Beam Schedule'!$A$2:$Q$2902,Z$2,0)&lt;&gt;J2238,"Beam Revised","")</f>
        <v>#N/A</v>
      </c>
      <c r="AA2238" s="7" t="e">
        <f>IF(VLOOKUP($A2238,'Concrete Beam Schedule'!$A$2:$Q$2902,AA$2,0)&lt;&gt;K2238,"Beam Revised","")</f>
        <v>#N/A</v>
      </c>
      <c r="AB2238" s="7" t="e">
        <f>IF(VLOOKUP($A2238,'Concrete Beam Schedule'!$A$2:$Q$2902,AB$2,0)&lt;&gt;L2238,"Beam Revised","")</f>
        <v>#N/A</v>
      </c>
      <c r="AC2238" s="7" t="e">
        <f>IF(VLOOKUP($A2238,'Concrete Beam Schedule'!$A$2:$Q$2902,AC$2,0)&lt;&gt;M2238,"Beam Revised","")</f>
        <v>#N/A</v>
      </c>
      <c r="AD2238" s="7" t="e">
        <f>IF(VLOOKUP($A2238,'Concrete Beam Schedule'!$A$2:$Q$2902,AD$2,0)&lt;&gt;N2238,"Beam Revised","")</f>
        <v>#N/A</v>
      </c>
      <c r="AE2238" s="7" t="e">
        <f>IF(VLOOKUP($A2238,'Concrete Beam Schedule'!$A$2:$Q$2902,AE$2,0)&lt;&gt;O2238,"Beam Revised","")</f>
        <v>#N/A</v>
      </c>
    </row>
    <row r="2239" spans="17:31" ht="20.100000000000001" customHeight="1" x14ac:dyDescent="0.25">
      <c r="Q2239" s="7">
        <f t="shared" si="34"/>
        <v>0</v>
      </c>
      <c r="R2239" s="7" t="e">
        <f>IF(VLOOKUP($A2239,'Concrete Beam Schedule'!$A$2:$Q$2902,R$2,0)&lt;&gt;B2239,VLOOKUP($A2239,'Concrete Beam Schedule'!$A$2:$Q$2902,R$2,0),"")</f>
        <v>#N/A</v>
      </c>
      <c r="S2239" s="7" t="e">
        <f>IF(VLOOKUP($A2239,'Concrete Beam Schedule'!$A$2:$Q$2902,S$2,0)&lt;&gt;C2239,VLOOKUP($A2239,'Concrete Beam Schedule'!$A$2:$Q$2902,S$2,0),"")</f>
        <v>#N/A</v>
      </c>
      <c r="T2239" s="7" t="e">
        <f>IF(VLOOKUP($A2239,'Concrete Beam Schedule'!$A$2:$Q$2902,T$2,0)&lt;&gt;D2239,"Beam Revised","")</f>
        <v>#N/A</v>
      </c>
      <c r="U2239" s="7" t="e">
        <f>IF(VLOOKUP($A2239,'Concrete Beam Schedule'!$A$2:$Q$2902,U$2,0)&lt;&gt;E2239,"Beam Revised","")</f>
        <v>#N/A</v>
      </c>
      <c r="V2239" s="7" t="e">
        <f>IF(VLOOKUP($A2239,'Concrete Beam Schedule'!$A$2:$Q$2902,V$2,0)&lt;&gt;F2239,"Beam Revised","")</f>
        <v>#N/A</v>
      </c>
      <c r="W2239" s="7" t="e">
        <f>IF(VLOOKUP($A2239,'Concrete Beam Schedule'!$A$2:$Q$2902,W$2,0)&lt;&gt;G2239,"Beam Revised","")</f>
        <v>#N/A</v>
      </c>
      <c r="X2239" s="7" t="e">
        <f>IF(VLOOKUP($A2239,'Concrete Beam Schedule'!$A$2:$Q$2902,X$2,0)&lt;&gt;H2239,"Beam Revised","")</f>
        <v>#N/A</v>
      </c>
      <c r="Y2239" s="7" t="e">
        <f>IF(VLOOKUP($A2239,'Concrete Beam Schedule'!$A$2:$Q$2902,Y$2,0)&lt;&gt;I2239,"Beam Revised","")</f>
        <v>#N/A</v>
      </c>
      <c r="Z2239" s="7" t="e">
        <f>IF(VLOOKUP($A2239,'Concrete Beam Schedule'!$A$2:$Q$2902,Z$2,0)&lt;&gt;J2239,"Beam Revised","")</f>
        <v>#N/A</v>
      </c>
      <c r="AA2239" s="7" t="e">
        <f>IF(VLOOKUP($A2239,'Concrete Beam Schedule'!$A$2:$Q$2902,AA$2,0)&lt;&gt;K2239,"Beam Revised","")</f>
        <v>#N/A</v>
      </c>
      <c r="AB2239" s="7" t="e">
        <f>IF(VLOOKUP($A2239,'Concrete Beam Schedule'!$A$2:$Q$2902,AB$2,0)&lt;&gt;L2239,"Beam Revised","")</f>
        <v>#N/A</v>
      </c>
      <c r="AC2239" s="7" t="e">
        <f>IF(VLOOKUP($A2239,'Concrete Beam Schedule'!$A$2:$Q$2902,AC$2,0)&lt;&gt;M2239,"Beam Revised","")</f>
        <v>#N/A</v>
      </c>
      <c r="AD2239" s="7" t="e">
        <f>IF(VLOOKUP($A2239,'Concrete Beam Schedule'!$A$2:$Q$2902,AD$2,0)&lt;&gt;N2239,"Beam Revised","")</f>
        <v>#N/A</v>
      </c>
      <c r="AE2239" s="7" t="e">
        <f>IF(VLOOKUP($A2239,'Concrete Beam Schedule'!$A$2:$Q$2902,AE$2,0)&lt;&gt;O2239,"Beam Revised","")</f>
        <v>#N/A</v>
      </c>
    </row>
    <row r="2240" spans="17:31" ht="20.100000000000001" customHeight="1" x14ac:dyDescent="0.25">
      <c r="Q2240" s="7">
        <f t="shared" si="34"/>
        <v>0</v>
      </c>
      <c r="R2240" s="7" t="e">
        <f>IF(VLOOKUP($A2240,'Concrete Beam Schedule'!$A$2:$Q$2902,R$2,0)&lt;&gt;B2240,VLOOKUP($A2240,'Concrete Beam Schedule'!$A$2:$Q$2902,R$2,0),"")</f>
        <v>#N/A</v>
      </c>
      <c r="S2240" s="7" t="e">
        <f>IF(VLOOKUP($A2240,'Concrete Beam Schedule'!$A$2:$Q$2902,S$2,0)&lt;&gt;C2240,VLOOKUP($A2240,'Concrete Beam Schedule'!$A$2:$Q$2902,S$2,0),"")</f>
        <v>#N/A</v>
      </c>
      <c r="T2240" s="7" t="e">
        <f>IF(VLOOKUP($A2240,'Concrete Beam Schedule'!$A$2:$Q$2902,T$2,0)&lt;&gt;D2240,"Beam Revised","")</f>
        <v>#N/A</v>
      </c>
      <c r="U2240" s="7" t="e">
        <f>IF(VLOOKUP($A2240,'Concrete Beam Schedule'!$A$2:$Q$2902,U$2,0)&lt;&gt;E2240,"Beam Revised","")</f>
        <v>#N/A</v>
      </c>
      <c r="V2240" s="7" t="e">
        <f>IF(VLOOKUP($A2240,'Concrete Beam Schedule'!$A$2:$Q$2902,V$2,0)&lt;&gt;F2240,"Beam Revised","")</f>
        <v>#N/A</v>
      </c>
      <c r="W2240" s="7" t="e">
        <f>IF(VLOOKUP($A2240,'Concrete Beam Schedule'!$A$2:$Q$2902,W$2,0)&lt;&gt;G2240,"Beam Revised","")</f>
        <v>#N/A</v>
      </c>
      <c r="X2240" s="7" t="e">
        <f>IF(VLOOKUP($A2240,'Concrete Beam Schedule'!$A$2:$Q$2902,X$2,0)&lt;&gt;H2240,"Beam Revised","")</f>
        <v>#N/A</v>
      </c>
      <c r="Y2240" s="7" t="e">
        <f>IF(VLOOKUP($A2240,'Concrete Beam Schedule'!$A$2:$Q$2902,Y$2,0)&lt;&gt;I2240,"Beam Revised","")</f>
        <v>#N/A</v>
      </c>
      <c r="Z2240" s="7" t="e">
        <f>IF(VLOOKUP($A2240,'Concrete Beam Schedule'!$A$2:$Q$2902,Z$2,0)&lt;&gt;J2240,"Beam Revised","")</f>
        <v>#N/A</v>
      </c>
      <c r="AA2240" s="7" t="e">
        <f>IF(VLOOKUP($A2240,'Concrete Beam Schedule'!$A$2:$Q$2902,AA$2,0)&lt;&gt;K2240,"Beam Revised","")</f>
        <v>#N/A</v>
      </c>
      <c r="AB2240" s="7" t="e">
        <f>IF(VLOOKUP($A2240,'Concrete Beam Schedule'!$A$2:$Q$2902,AB$2,0)&lt;&gt;L2240,"Beam Revised","")</f>
        <v>#N/A</v>
      </c>
      <c r="AC2240" s="7" t="e">
        <f>IF(VLOOKUP($A2240,'Concrete Beam Schedule'!$A$2:$Q$2902,AC$2,0)&lt;&gt;M2240,"Beam Revised","")</f>
        <v>#N/A</v>
      </c>
      <c r="AD2240" s="7" t="e">
        <f>IF(VLOOKUP($A2240,'Concrete Beam Schedule'!$A$2:$Q$2902,AD$2,0)&lt;&gt;N2240,"Beam Revised","")</f>
        <v>#N/A</v>
      </c>
      <c r="AE2240" s="7" t="e">
        <f>IF(VLOOKUP($A2240,'Concrete Beam Schedule'!$A$2:$Q$2902,AE$2,0)&lt;&gt;O2240,"Beam Revised","")</f>
        <v>#N/A</v>
      </c>
    </row>
    <row r="2241" spans="17:31" ht="20.100000000000001" customHeight="1" x14ac:dyDescent="0.25">
      <c r="Q2241" s="7">
        <f t="shared" si="34"/>
        <v>0</v>
      </c>
      <c r="R2241" s="7" t="e">
        <f>IF(VLOOKUP($A2241,'Concrete Beam Schedule'!$A$2:$Q$2902,R$2,0)&lt;&gt;B2241,VLOOKUP($A2241,'Concrete Beam Schedule'!$A$2:$Q$2902,R$2,0),"")</f>
        <v>#N/A</v>
      </c>
      <c r="S2241" s="7" t="e">
        <f>IF(VLOOKUP($A2241,'Concrete Beam Schedule'!$A$2:$Q$2902,S$2,0)&lt;&gt;C2241,VLOOKUP($A2241,'Concrete Beam Schedule'!$A$2:$Q$2902,S$2,0),"")</f>
        <v>#N/A</v>
      </c>
      <c r="T2241" s="7" t="e">
        <f>IF(VLOOKUP($A2241,'Concrete Beam Schedule'!$A$2:$Q$2902,T$2,0)&lt;&gt;D2241,"Beam Revised","")</f>
        <v>#N/A</v>
      </c>
      <c r="U2241" s="7" t="e">
        <f>IF(VLOOKUP($A2241,'Concrete Beam Schedule'!$A$2:$Q$2902,U$2,0)&lt;&gt;E2241,"Beam Revised","")</f>
        <v>#N/A</v>
      </c>
      <c r="V2241" s="7" t="e">
        <f>IF(VLOOKUP($A2241,'Concrete Beam Schedule'!$A$2:$Q$2902,V$2,0)&lt;&gt;F2241,"Beam Revised","")</f>
        <v>#N/A</v>
      </c>
      <c r="W2241" s="7" t="e">
        <f>IF(VLOOKUP($A2241,'Concrete Beam Schedule'!$A$2:$Q$2902,W$2,0)&lt;&gt;G2241,"Beam Revised","")</f>
        <v>#N/A</v>
      </c>
      <c r="X2241" s="7" t="e">
        <f>IF(VLOOKUP($A2241,'Concrete Beam Schedule'!$A$2:$Q$2902,X$2,0)&lt;&gt;H2241,"Beam Revised","")</f>
        <v>#N/A</v>
      </c>
      <c r="Y2241" s="7" t="e">
        <f>IF(VLOOKUP($A2241,'Concrete Beam Schedule'!$A$2:$Q$2902,Y$2,0)&lt;&gt;I2241,"Beam Revised","")</f>
        <v>#N/A</v>
      </c>
      <c r="Z2241" s="7" t="e">
        <f>IF(VLOOKUP($A2241,'Concrete Beam Schedule'!$A$2:$Q$2902,Z$2,0)&lt;&gt;J2241,"Beam Revised","")</f>
        <v>#N/A</v>
      </c>
      <c r="AA2241" s="7" t="e">
        <f>IF(VLOOKUP($A2241,'Concrete Beam Schedule'!$A$2:$Q$2902,AA$2,0)&lt;&gt;K2241,"Beam Revised","")</f>
        <v>#N/A</v>
      </c>
      <c r="AB2241" s="7" t="e">
        <f>IF(VLOOKUP($A2241,'Concrete Beam Schedule'!$A$2:$Q$2902,AB$2,0)&lt;&gt;L2241,"Beam Revised","")</f>
        <v>#N/A</v>
      </c>
      <c r="AC2241" s="7" t="e">
        <f>IF(VLOOKUP($A2241,'Concrete Beam Schedule'!$A$2:$Q$2902,AC$2,0)&lt;&gt;M2241,"Beam Revised","")</f>
        <v>#N/A</v>
      </c>
      <c r="AD2241" s="7" t="e">
        <f>IF(VLOOKUP($A2241,'Concrete Beam Schedule'!$A$2:$Q$2902,AD$2,0)&lt;&gt;N2241,"Beam Revised","")</f>
        <v>#N/A</v>
      </c>
      <c r="AE2241" s="7" t="e">
        <f>IF(VLOOKUP($A2241,'Concrete Beam Schedule'!$A$2:$Q$2902,AE$2,0)&lt;&gt;O2241,"Beam Revised","")</f>
        <v>#N/A</v>
      </c>
    </row>
    <row r="2242" spans="17:31" ht="20.100000000000001" customHeight="1" x14ac:dyDescent="0.25">
      <c r="Q2242" s="7">
        <f t="shared" si="34"/>
        <v>0</v>
      </c>
      <c r="R2242" s="7" t="e">
        <f>IF(VLOOKUP($A2242,'Concrete Beam Schedule'!$A$2:$Q$2902,R$2,0)&lt;&gt;B2242,VLOOKUP($A2242,'Concrete Beam Schedule'!$A$2:$Q$2902,R$2,0),"")</f>
        <v>#N/A</v>
      </c>
      <c r="S2242" s="7" t="e">
        <f>IF(VLOOKUP($A2242,'Concrete Beam Schedule'!$A$2:$Q$2902,S$2,0)&lt;&gt;C2242,VLOOKUP($A2242,'Concrete Beam Schedule'!$A$2:$Q$2902,S$2,0),"")</f>
        <v>#N/A</v>
      </c>
      <c r="T2242" s="7" t="e">
        <f>IF(VLOOKUP($A2242,'Concrete Beam Schedule'!$A$2:$Q$2902,T$2,0)&lt;&gt;D2242,"Beam Revised","")</f>
        <v>#N/A</v>
      </c>
      <c r="U2242" s="7" t="e">
        <f>IF(VLOOKUP($A2242,'Concrete Beam Schedule'!$A$2:$Q$2902,U$2,0)&lt;&gt;E2242,"Beam Revised","")</f>
        <v>#N/A</v>
      </c>
      <c r="V2242" s="7" t="e">
        <f>IF(VLOOKUP($A2242,'Concrete Beam Schedule'!$A$2:$Q$2902,V$2,0)&lt;&gt;F2242,"Beam Revised","")</f>
        <v>#N/A</v>
      </c>
      <c r="W2242" s="7" t="e">
        <f>IF(VLOOKUP($A2242,'Concrete Beam Schedule'!$A$2:$Q$2902,W$2,0)&lt;&gt;G2242,"Beam Revised","")</f>
        <v>#N/A</v>
      </c>
      <c r="X2242" s="7" t="e">
        <f>IF(VLOOKUP($A2242,'Concrete Beam Schedule'!$A$2:$Q$2902,X$2,0)&lt;&gt;H2242,"Beam Revised","")</f>
        <v>#N/A</v>
      </c>
      <c r="Y2242" s="7" t="e">
        <f>IF(VLOOKUP($A2242,'Concrete Beam Schedule'!$A$2:$Q$2902,Y$2,0)&lt;&gt;I2242,"Beam Revised","")</f>
        <v>#N/A</v>
      </c>
      <c r="Z2242" s="7" t="e">
        <f>IF(VLOOKUP($A2242,'Concrete Beam Schedule'!$A$2:$Q$2902,Z$2,0)&lt;&gt;J2242,"Beam Revised","")</f>
        <v>#N/A</v>
      </c>
      <c r="AA2242" s="7" t="e">
        <f>IF(VLOOKUP($A2242,'Concrete Beam Schedule'!$A$2:$Q$2902,AA$2,0)&lt;&gt;K2242,"Beam Revised","")</f>
        <v>#N/A</v>
      </c>
      <c r="AB2242" s="7" t="e">
        <f>IF(VLOOKUP($A2242,'Concrete Beam Schedule'!$A$2:$Q$2902,AB$2,0)&lt;&gt;L2242,"Beam Revised","")</f>
        <v>#N/A</v>
      </c>
      <c r="AC2242" s="7" t="e">
        <f>IF(VLOOKUP($A2242,'Concrete Beam Schedule'!$A$2:$Q$2902,AC$2,0)&lt;&gt;M2242,"Beam Revised","")</f>
        <v>#N/A</v>
      </c>
      <c r="AD2242" s="7" t="e">
        <f>IF(VLOOKUP($A2242,'Concrete Beam Schedule'!$A$2:$Q$2902,AD$2,0)&lt;&gt;N2242,"Beam Revised","")</f>
        <v>#N/A</v>
      </c>
      <c r="AE2242" s="7" t="e">
        <f>IF(VLOOKUP($A2242,'Concrete Beam Schedule'!$A$2:$Q$2902,AE$2,0)&lt;&gt;O2242,"Beam Revised","")</f>
        <v>#N/A</v>
      </c>
    </row>
    <row r="2243" spans="17:31" ht="20.100000000000001" customHeight="1" x14ac:dyDescent="0.25">
      <c r="Q2243" s="7">
        <f t="shared" si="34"/>
        <v>0</v>
      </c>
      <c r="R2243" s="7" t="e">
        <f>IF(VLOOKUP($A2243,'Concrete Beam Schedule'!$A$2:$Q$2902,R$2,0)&lt;&gt;B2243,VLOOKUP($A2243,'Concrete Beam Schedule'!$A$2:$Q$2902,R$2,0),"")</f>
        <v>#N/A</v>
      </c>
      <c r="S2243" s="7" t="e">
        <f>IF(VLOOKUP($A2243,'Concrete Beam Schedule'!$A$2:$Q$2902,S$2,0)&lt;&gt;C2243,VLOOKUP($A2243,'Concrete Beam Schedule'!$A$2:$Q$2902,S$2,0),"")</f>
        <v>#N/A</v>
      </c>
      <c r="T2243" s="7" t="e">
        <f>IF(VLOOKUP($A2243,'Concrete Beam Schedule'!$A$2:$Q$2902,T$2,0)&lt;&gt;D2243,"Beam Revised","")</f>
        <v>#N/A</v>
      </c>
      <c r="U2243" s="7" t="e">
        <f>IF(VLOOKUP($A2243,'Concrete Beam Schedule'!$A$2:$Q$2902,U$2,0)&lt;&gt;E2243,"Beam Revised","")</f>
        <v>#N/A</v>
      </c>
      <c r="V2243" s="7" t="e">
        <f>IF(VLOOKUP($A2243,'Concrete Beam Schedule'!$A$2:$Q$2902,V$2,0)&lt;&gt;F2243,"Beam Revised","")</f>
        <v>#N/A</v>
      </c>
      <c r="W2243" s="7" t="e">
        <f>IF(VLOOKUP($A2243,'Concrete Beam Schedule'!$A$2:$Q$2902,W$2,0)&lt;&gt;G2243,"Beam Revised","")</f>
        <v>#N/A</v>
      </c>
      <c r="X2243" s="7" t="e">
        <f>IF(VLOOKUP($A2243,'Concrete Beam Schedule'!$A$2:$Q$2902,X$2,0)&lt;&gt;H2243,"Beam Revised","")</f>
        <v>#N/A</v>
      </c>
      <c r="Y2243" s="7" t="e">
        <f>IF(VLOOKUP($A2243,'Concrete Beam Schedule'!$A$2:$Q$2902,Y$2,0)&lt;&gt;I2243,"Beam Revised","")</f>
        <v>#N/A</v>
      </c>
      <c r="Z2243" s="7" t="e">
        <f>IF(VLOOKUP($A2243,'Concrete Beam Schedule'!$A$2:$Q$2902,Z$2,0)&lt;&gt;J2243,"Beam Revised","")</f>
        <v>#N/A</v>
      </c>
      <c r="AA2243" s="7" t="e">
        <f>IF(VLOOKUP($A2243,'Concrete Beam Schedule'!$A$2:$Q$2902,AA$2,0)&lt;&gt;K2243,"Beam Revised","")</f>
        <v>#N/A</v>
      </c>
      <c r="AB2243" s="7" t="e">
        <f>IF(VLOOKUP($A2243,'Concrete Beam Schedule'!$A$2:$Q$2902,AB$2,0)&lt;&gt;L2243,"Beam Revised","")</f>
        <v>#N/A</v>
      </c>
      <c r="AC2243" s="7" t="e">
        <f>IF(VLOOKUP($A2243,'Concrete Beam Schedule'!$A$2:$Q$2902,AC$2,0)&lt;&gt;M2243,"Beam Revised","")</f>
        <v>#N/A</v>
      </c>
      <c r="AD2243" s="7" t="e">
        <f>IF(VLOOKUP($A2243,'Concrete Beam Schedule'!$A$2:$Q$2902,AD$2,0)&lt;&gt;N2243,"Beam Revised","")</f>
        <v>#N/A</v>
      </c>
      <c r="AE2243" s="7" t="e">
        <f>IF(VLOOKUP($A2243,'Concrete Beam Schedule'!$A$2:$Q$2902,AE$2,0)&lt;&gt;O2243,"Beam Revised","")</f>
        <v>#N/A</v>
      </c>
    </row>
    <row r="2244" spans="17:31" ht="20.100000000000001" customHeight="1" x14ac:dyDescent="0.25">
      <c r="Q2244" s="7">
        <f t="shared" ref="Q2244:Q2307" si="35">A2244</f>
        <v>0</v>
      </c>
      <c r="R2244" s="7" t="e">
        <f>IF(VLOOKUP($A2244,'Concrete Beam Schedule'!$A$2:$Q$2902,R$2,0)&lt;&gt;B2244,VLOOKUP($A2244,'Concrete Beam Schedule'!$A$2:$Q$2902,R$2,0),"")</f>
        <v>#N/A</v>
      </c>
      <c r="S2244" s="7" t="e">
        <f>IF(VLOOKUP($A2244,'Concrete Beam Schedule'!$A$2:$Q$2902,S$2,0)&lt;&gt;C2244,VLOOKUP($A2244,'Concrete Beam Schedule'!$A$2:$Q$2902,S$2,0),"")</f>
        <v>#N/A</v>
      </c>
      <c r="T2244" s="7" t="e">
        <f>IF(VLOOKUP($A2244,'Concrete Beam Schedule'!$A$2:$Q$2902,T$2,0)&lt;&gt;D2244,"Beam Revised","")</f>
        <v>#N/A</v>
      </c>
      <c r="U2244" s="7" t="e">
        <f>IF(VLOOKUP($A2244,'Concrete Beam Schedule'!$A$2:$Q$2902,U$2,0)&lt;&gt;E2244,"Beam Revised","")</f>
        <v>#N/A</v>
      </c>
      <c r="V2244" s="7" t="e">
        <f>IF(VLOOKUP($A2244,'Concrete Beam Schedule'!$A$2:$Q$2902,V$2,0)&lt;&gt;F2244,"Beam Revised","")</f>
        <v>#N/A</v>
      </c>
      <c r="W2244" s="7" t="e">
        <f>IF(VLOOKUP($A2244,'Concrete Beam Schedule'!$A$2:$Q$2902,W$2,0)&lt;&gt;G2244,"Beam Revised","")</f>
        <v>#N/A</v>
      </c>
      <c r="X2244" s="7" t="e">
        <f>IF(VLOOKUP($A2244,'Concrete Beam Schedule'!$A$2:$Q$2902,X$2,0)&lt;&gt;H2244,"Beam Revised","")</f>
        <v>#N/A</v>
      </c>
      <c r="Y2244" s="7" t="e">
        <f>IF(VLOOKUP($A2244,'Concrete Beam Schedule'!$A$2:$Q$2902,Y$2,0)&lt;&gt;I2244,"Beam Revised","")</f>
        <v>#N/A</v>
      </c>
      <c r="Z2244" s="7" t="e">
        <f>IF(VLOOKUP($A2244,'Concrete Beam Schedule'!$A$2:$Q$2902,Z$2,0)&lt;&gt;J2244,"Beam Revised","")</f>
        <v>#N/A</v>
      </c>
      <c r="AA2244" s="7" t="e">
        <f>IF(VLOOKUP($A2244,'Concrete Beam Schedule'!$A$2:$Q$2902,AA$2,0)&lt;&gt;K2244,"Beam Revised","")</f>
        <v>#N/A</v>
      </c>
      <c r="AB2244" s="7" t="e">
        <f>IF(VLOOKUP($A2244,'Concrete Beam Schedule'!$A$2:$Q$2902,AB$2,0)&lt;&gt;L2244,"Beam Revised","")</f>
        <v>#N/A</v>
      </c>
      <c r="AC2244" s="7" t="e">
        <f>IF(VLOOKUP($A2244,'Concrete Beam Schedule'!$A$2:$Q$2902,AC$2,0)&lt;&gt;M2244,"Beam Revised","")</f>
        <v>#N/A</v>
      </c>
      <c r="AD2244" s="7" t="e">
        <f>IF(VLOOKUP($A2244,'Concrete Beam Schedule'!$A$2:$Q$2902,AD$2,0)&lt;&gt;N2244,"Beam Revised","")</f>
        <v>#N/A</v>
      </c>
      <c r="AE2244" s="7" t="e">
        <f>IF(VLOOKUP($A2244,'Concrete Beam Schedule'!$A$2:$Q$2902,AE$2,0)&lt;&gt;O2244,"Beam Revised","")</f>
        <v>#N/A</v>
      </c>
    </row>
    <row r="2245" spans="17:31" ht="20.100000000000001" customHeight="1" x14ac:dyDescent="0.25">
      <c r="Q2245" s="7">
        <f t="shared" si="35"/>
        <v>0</v>
      </c>
      <c r="R2245" s="7" t="e">
        <f>IF(VLOOKUP($A2245,'Concrete Beam Schedule'!$A$2:$Q$2902,R$2,0)&lt;&gt;B2245,VLOOKUP($A2245,'Concrete Beam Schedule'!$A$2:$Q$2902,R$2,0),"")</f>
        <v>#N/A</v>
      </c>
      <c r="S2245" s="7" t="e">
        <f>IF(VLOOKUP($A2245,'Concrete Beam Schedule'!$A$2:$Q$2902,S$2,0)&lt;&gt;C2245,VLOOKUP($A2245,'Concrete Beam Schedule'!$A$2:$Q$2902,S$2,0),"")</f>
        <v>#N/A</v>
      </c>
      <c r="T2245" s="7" t="e">
        <f>IF(VLOOKUP($A2245,'Concrete Beam Schedule'!$A$2:$Q$2902,T$2,0)&lt;&gt;D2245,"Beam Revised","")</f>
        <v>#N/A</v>
      </c>
      <c r="U2245" s="7" t="e">
        <f>IF(VLOOKUP($A2245,'Concrete Beam Schedule'!$A$2:$Q$2902,U$2,0)&lt;&gt;E2245,"Beam Revised","")</f>
        <v>#N/A</v>
      </c>
      <c r="V2245" s="7" t="e">
        <f>IF(VLOOKUP($A2245,'Concrete Beam Schedule'!$A$2:$Q$2902,V$2,0)&lt;&gt;F2245,"Beam Revised","")</f>
        <v>#N/A</v>
      </c>
      <c r="W2245" s="7" t="e">
        <f>IF(VLOOKUP($A2245,'Concrete Beam Schedule'!$A$2:$Q$2902,W$2,0)&lt;&gt;G2245,"Beam Revised","")</f>
        <v>#N/A</v>
      </c>
      <c r="X2245" s="7" t="e">
        <f>IF(VLOOKUP($A2245,'Concrete Beam Schedule'!$A$2:$Q$2902,X$2,0)&lt;&gt;H2245,"Beam Revised","")</f>
        <v>#N/A</v>
      </c>
      <c r="Y2245" s="7" t="e">
        <f>IF(VLOOKUP($A2245,'Concrete Beam Schedule'!$A$2:$Q$2902,Y$2,0)&lt;&gt;I2245,"Beam Revised","")</f>
        <v>#N/A</v>
      </c>
      <c r="Z2245" s="7" t="e">
        <f>IF(VLOOKUP($A2245,'Concrete Beam Schedule'!$A$2:$Q$2902,Z$2,0)&lt;&gt;J2245,"Beam Revised","")</f>
        <v>#N/A</v>
      </c>
      <c r="AA2245" s="7" t="e">
        <f>IF(VLOOKUP($A2245,'Concrete Beam Schedule'!$A$2:$Q$2902,AA$2,0)&lt;&gt;K2245,"Beam Revised","")</f>
        <v>#N/A</v>
      </c>
      <c r="AB2245" s="7" t="e">
        <f>IF(VLOOKUP($A2245,'Concrete Beam Schedule'!$A$2:$Q$2902,AB$2,0)&lt;&gt;L2245,"Beam Revised","")</f>
        <v>#N/A</v>
      </c>
      <c r="AC2245" s="7" t="e">
        <f>IF(VLOOKUP($A2245,'Concrete Beam Schedule'!$A$2:$Q$2902,AC$2,0)&lt;&gt;M2245,"Beam Revised","")</f>
        <v>#N/A</v>
      </c>
      <c r="AD2245" s="7" t="e">
        <f>IF(VLOOKUP($A2245,'Concrete Beam Schedule'!$A$2:$Q$2902,AD$2,0)&lt;&gt;N2245,"Beam Revised","")</f>
        <v>#N/A</v>
      </c>
      <c r="AE2245" s="7" t="e">
        <f>IF(VLOOKUP($A2245,'Concrete Beam Schedule'!$A$2:$Q$2902,AE$2,0)&lt;&gt;O2245,"Beam Revised","")</f>
        <v>#N/A</v>
      </c>
    </row>
    <row r="2246" spans="17:31" ht="20.100000000000001" customHeight="1" x14ac:dyDescent="0.25">
      <c r="Q2246" s="7">
        <f t="shared" si="35"/>
        <v>0</v>
      </c>
      <c r="R2246" s="7" t="e">
        <f>IF(VLOOKUP($A2246,'Concrete Beam Schedule'!$A$2:$Q$2902,R$2,0)&lt;&gt;B2246,VLOOKUP($A2246,'Concrete Beam Schedule'!$A$2:$Q$2902,R$2,0),"")</f>
        <v>#N/A</v>
      </c>
      <c r="S2246" s="7" t="e">
        <f>IF(VLOOKUP($A2246,'Concrete Beam Schedule'!$A$2:$Q$2902,S$2,0)&lt;&gt;C2246,VLOOKUP($A2246,'Concrete Beam Schedule'!$A$2:$Q$2902,S$2,0),"")</f>
        <v>#N/A</v>
      </c>
      <c r="T2246" s="7" t="e">
        <f>IF(VLOOKUP($A2246,'Concrete Beam Schedule'!$A$2:$Q$2902,T$2,0)&lt;&gt;D2246,"Beam Revised","")</f>
        <v>#N/A</v>
      </c>
      <c r="U2246" s="7" t="e">
        <f>IF(VLOOKUP($A2246,'Concrete Beam Schedule'!$A$2:$Q$2902,U$2,0)&lt;&gt;E2246,"Beam Revised","")</f>
        <v>#N/A</v>
      </c>
      <c r="V2246" s="7" t="e">
        <f>IF(VLOOKUP($A2246,'Concrete Beam Schedule'!$A$2:$Q$2902,V$2,0)&lt;&gt;F2246,"Beam Revised","")</f>
        <v>#N/A</v>
      </c>
      <c r="W2246" s="7" t="e">
        <f>IF(VLOOKUP($A2246,'Concrete Beam Schedule'!$A$2:$Q$2902,W$2,0)&lt;&gt;G2246,"Beam Revised","")</f>
        <v>#N/A</v>
      </c>
      <c r="X2246" s="7" t="e">
        <f>IF(VLOOKUP($A2246,'Concrete Beam Schedule'!$A$2:$Q$2902,X$2,0)&lt;&gt;H2246,"Beam Revised","")</f>
        <v>#N/A</v>
      </c>
      <c r="Y2246" s="7" t="e">
        <f>IF(VLOOKUP($A2246,'Concrete Beam Schedule'!$A$2:$Q$2902,Y$2,0)&lt;&gt;I2246,"Beam Revised","")</f>
        <v>#N/A</v>
      </c>
      <c r="Z2246" s="7" t="e">
        <f>IF(VLOOKUP($A2246,'Concrete Beam Schedule'!$A$2:$Q$2902,Z$2,0)&lt;&gt;J2246,"Beam Revised","")</f>
        <v>#N/A</v>
      </c>
      <c r="AA2246" s="7" t="e">
        <f>IF(VLOOKUP($A2246,'Concrete Beam Schedule'!$A$2:$Q$2902,AA$2,0)&lt;&gt;K2246,"Beam Revised","")</f>
        <v>#N/A</v>
      </c>
      <c r="AB2246" s="7" t="e">
        <f>IF(VLOOKUP($A2246,'Concrete Beam Schedule'!$A$2:$Q$2902,AB$2,0)&lt;&gt;L2246,"Beam Revised","")</f>
        <v>#N/A</v>
      </c>
      <c r="AC2246" s="7" t="e">
        <f>IF(VLOOKUP($A2246,'Concrete Beam Schedule'!$A$2:$Q$2902,AC$2,0)&lt;&gt;M2246,"Beam Revised","")</f>
        <v>#N/A</v>
      </c>
      <c r="AD2246" s="7" t="e">
        <f>IF(VLOOKUP($A2246,'Concrete Beam Schedule'!$A$2:$Q$2902,AD$2,0)&lt;&gt;N2246,"Beam Revised","")</f>
        <v>#N/A</v>
      </c>
      <c r="AE2246" s="7" t="e">
        <f>IF(VLOOKUP($A2246,'Concrete Beam Schedule'!$A$2:$Q$2902,AE$2,0)&lt;&gt;O2246,"Beam Revised","")</f>
        <v>#N/A</v>
      </c>
    </row>
    <row r="2247" spans="17:31" ht="20.100000000000001" customHeight="1" x14ac:dyDescent="0.25">
      <c r="Q2247" s="7">
        <f t="shared" si="35"/>
        <v>0</v>
      </c>
      <c r="R2247" s="7" t="e">
        <f>IF(VLOOKUP($A2247,'Concrete Beam Schedule'!$A$2:$Q$2902,R$2,0)&lt;&gt;B2247,VLOOKUP($A2247,'Concrete Beam Schedule'!$A$2:$Q$2902,R$2,0),"")</f>
        <v>#N/A</v>
      </c>
      <c r="S2247" s="7" t="e">
        <f>IF(VLOOKUP($A2247,'Concrete Beam Schedule'!$A$2:$Q$2902,S$2,0)&lt;&gt;C2247,VLOOKUP($A2247,'Concrete Beam Schedule'!$A$2:$Q$2902,S$2,0),"")</f>
        <v>#N/A</v>
      </c>
      <c r="T2247" s="7" t="e">
        <f>IF(VLOOKUP($A2247,'Concrete Beam Schedule'!$A$2:$Q$2902,T$2,0)&lt;&gt;D2247,"Beam Revised","")</f>
        <v>#N/A</v>
      </c>
      <c r="U2247" s="7" t="e">
        <f>IF(VLOOKUP($A2247,'Concrete Beam Schedule'!$A$2:$Q$2902,U$2,0)&lt;&gt;E2247,"Beam Revised","")</f>
        <v>#N/A</v>
      </c>
      <c r="V2247" s="7" t="e">
        <f>IF(VLOOKUP($A2247,'Concrete Beam Schedule'!$A$2:$Q$2902,V$2,0)&lt;&gt;F2247,"Beam Revised","")</f>
        <v>#N/A</v>
      </c>
      <c r="W2247" s="7" t="e">
        <f>IF(VLOOKUP($A2247,'Concrete Beam Schedule'!$A$2:$Q$2902,W$2,0)&lt;&gt;G2247,"Beam Revised","")</f>
        <v>#N/A</v>
      </c>
      <c r="X2247" s="7" t="e">
        <f>IF(VLOOKUP($A2247,'Concrete Beam Schedule'!$A$2:$Q$2902,X$2,0)&lt;&gt;H2247,"Beam Revised","")</f>
        <v>#N/A</v>
      </c>
      <c r="Y2247" s="7" t="e">
        <f>IF(VLOOKUP($A2247,'Concrete Beam Schedule'!$A$2:$Q$2902,Y$2,0)&lt;&gt;I2247,"Beam Revised","")</f>
        <v>#N/A</v>
      </c>
      <c r="Z2247" s="7" t="e">
        <f>IF(VLOOKUP($A2247,'Concrete Beam Schedule'!$A$2:$Q$2902,Z$2,0)&lt;&gt;J2247,"Beam Revised","")</f>
        <v>#N/A</v>
      </c>
      <c r="AA2247" s="7" t="e">
        <f>IF(VLOOKUP($A2247,'Concrete Beam Schedule'!$A$2:$Q$2902,AA$2,0)&lt;&gt;K2247,"Beam Revised","")</f>
        <v>#N/A</v>
      </c>
      <c r="AB2247" s="7" t="e">
        <f>IF(VLOOKUP($A2247,'Concrete Beam Schedule'!$A$2:$Q$2902,AB$2,0)&lt;&gt;L2247,"Beam Revised","")</f>
        <v>#N/A</v>
      </c>
      <c r="AC2247" s="7" t="e">
        <f>IF(VLOOKUP($A2247,'Concrete Beam Schedule'!$A$2:$Q$2902,AC$2,0)&lt;&gt;M2247,"Beam Revised","")</f>
        <v>#N/A</v>
      </c>
      <c r="AD2247" s="7" t="e">
        <f>IF(VLOOKUP($A2247,'Concrete Beam Schedule'!$A$2:$Q$2902,AD$2,0)&lt;&gt;N2247,"Beam Revised","")</f>
        <v>#N/A</v>
      </c>
      <c r="AE2247" s="7" t="e">
        <f>IF(VLOOKUP($A2247,'Concrete Beam Schedule'!$A$2:$Q$2902,AE$2,0)&lt;&gt;O2247,"Beam Revised","")</f>
        <v>#N/A</v>
      </c>
    </row>
    <row r="2248" spans="17:31" ht="20.100000000000001" customHeight="1" x14ac:dyDescent="0.25">
      <c r="Q2248" s="7">
        <f t="shared" si="35"/>
        <v>0</v>
      </c>
      <c r="R2248" s="7" t="e">
        <f>IF(VLOOKUP($A2248,'Concrete Beam Schedule'!$A$2:$Q$2902,R$2,0)&lt;&gt;B2248,VLOOKUP($A2248,'Concrete Beam Schedule'!$A$2:$Q$2902,R$2,0),"")</f>
        <v>#N/A</v>
      </c>
      <c r="S2248" s="7" t="e">
        <f>IF(VLOOKUP($A2248,'Concrete Beam Schedule'!$A$2:$Q$2902,S$2,0)&lt;&gt;C2248,VLOOKUP($A2248,'Concrete Beam Schedule'!$A$2:$Q$2902,S$2,0),"")</f>
        <v>#N/A</v>
      </c>
      <c r="T2248" s="7" t="e">
        <f>IF(VLOOKUP($A2248,'Concrete Beam Schedule'!$A$2:$Q$2902,T$2,0)&lt;&gt;D2248,"Beam Revised","")</f>
        <v>#N/A</v>
      </c>
      <c r="U2248" s="7" t="e">
        <f>IF(VLOOKUP($A2248,'Concrete Beam Schedule'!$A$2:$Q$2902,U$2,0)&lt;&gt;E2248,"Beam Revised","")</f>
        <v>#N/A</v>
      </c>
      <c r="V2248" s="7" t="e">
        <f>IF(VLOOKUP($A2248,'Concrete Beam Schedule'!$A$2:$Q$2902,V$2,0)&lt;&gt;F2248,"Beam Revised","")</f>
        <v>#N/A</v>
      </c>
      <c r="W2248" s="7" t="e">
        <f>IF(VLOOKUP($A2248,'Concrete Beam Schedule'!$A$2:$Q$2902,W$2,0)&lt;&gt;G2248,"Beam Revised","")</f>
        <v>#N/A</v>
      </c>
      <c r="X2248" s="7" t="e">
        <f>IF(VLOOKUP($A2248,'Concrete Beam Schedule'!$A$2:$Q$2902,X$2,0)&lt;&gt;H2248,"Beam Revised","")</f>
        <v>#N/A</v>
      </c>
      <c r="Y2248" s="7" t="e">
        <f>IF(VLOOKUP($A2248,'Concrete Beam Schedule'!$A$2:$Q$2902,Y$2,0)&lt;&gt;I2248,"Beam Revised","")</f>
        <v>#N/A</v>
      </c>
      <c r="Z2248" s="7" t="e">
        <f>IF(VLOOKUP($A2248,'Concrete Beam Schedule'!$A$2:$Q$2902,Z$2,0)&lt;&gt;J2248,"Beam Revised","")</f>
        <v>#N/A</v>
      </c>
      <c r="AA2248" s="7" t="e">
        <f>IF(VLOOKUP($A2248,'Concrete Beam Schedule'!$A$2:$Q$2902,AA$2,0)&lt;&gt;K2248,"Beam Revised","")</f>
        <v>#N/A</v>
      </c>
      <c r="AB2248" s="7" t="e">
        <f>IF(VLOOKUP($A2248,'Concrete Beam Schedule'!$A$2:$Q$2902,AB$2,0)&lt;&gt;L2248,"Beam Revised","")</f>
        <v>#N/A</v>
      </c>
      <c r="AC2248" s="7" t="e">
        <f>IF(VLOOKUP($A2248,'Concrete Beam Schedule'!$A$2:$Q$2902,AC$2,0)&lt;&gt;M2248,"Beam Revised","")</f>
        <v>#N/A</v>
      </c>
      <c r="AD2248" s="7" t="e">
        <f>IF(VLOOKUP($A2248,'Concrete Beam Schedule'!$A$2:$Q$2902,AD$2,0)&lt;&gt;N2248,"Beam Revised","")</f>
        <v>#N/A</v>
      </c>
      <c r="AE2248" s="7" t="e">
        <f>IF(VLOOKUP($A2248,'Concrete Beam Schedule'!$A$2:$Q$2902,AE$2,0)&lt;&gt;O2248,"Beam Revised","")</f>
        <v>#N/A</v>
      </c>
    </row>
    <row r="2249" spans="17:31" ht="20.100000000000001" customHeight="1" x14ac:dyDescent="0.25">
      <c r="Q2249" s="7">
        <f t="shared" si="35"/>
        <v>0</v>
      </c>
      <c r="R2249" s="7" t="e">
        <f>IF(VLOOKUP($A2249,'Concrete Beam Schedule'!$A$2:$Q$2902,R$2,0)&lt;&gt;B2249,VLOOKUP($A2249,'Concrete Beam Schedule'!$A$2:$Q$2902,R$2,0),"")</f>
        <v>#N/A</v>
      </c>
      <c r="S2249" s="7" t="e">
        <f>IF(VLOOKUP($A2249,'Concrete Beam Schedule'!$A$2:$Q$2902,S$2,0)&lt;&gt;C2249,VLOOKUP($A2249,'Concrete Beam Schedule'!$A$2:$Q$2902,S$2,0),"")</f>
        <v>#N/A</v>
      </c>
      <c r="T2249" s="7" t="e">
        <f>IF(VLOOKUP($A2249,'Concrete Beam Schedule'!$A$2:$Q$2902,T$2,0)&lt;&gt;D2249,"Beam Revised","")</f>
        <v>#N/A</v>
      </c>
      <c r="U2249" s="7" t="e">
        <f>IF(VLOOKUP($A2249,'Concrete Beam Schedule'!$A$2:$Q$2902,U$2,0)&lt;&gt;E2249,"Beam Revised","")</f>
        <v>#N/A</v>
      </c>
      <c r="V2249" s="7" t="e">
        <f>IF(VLOOKUP($A2249,'Concrete Beam Schedule'!$A$2:$Q$2902,V$2,0)&lt;&gt;F2249,"Beam Revised","")</f>
        <v>#N/A</v>
      </c>
      <c r="W2249" s="7" t="e">
        <f>IF(VLOOKUP($A2249,'Concrete Beam Schedule'!$A$2:$Q$2902,W$2,0)&lt;&gt;G2249,"Beam Revised","")</f>
        <v>#N/A</v>
      </c>
      <c r="X2249" s="7" t="e">
        <f>IF(VLOOKUP($A2249,'Concrete Beam Schedule'!$A$2:$Q$2902,X$2,0)&lt;&gt;H2249,"Beam Revised","")</f>
        <v>#N/A</v>
      </c>
      <c r="Y2249" s="7" t="e">
        <f>IF(VLOOKUP($A2249,'Concrete Beam Schedule'!$A$2:$Q$2902,Y$2,0)&lt;&gt;I2249,"Beam Revised","")</f>
        <v>#N/A</v>
      </c>
      <c r="Z2249" s="7" t="e">
        <f>IF(VLOOKUP($A2249,'Concrete Beam Schedule'!$A$2:$Q$2902,Z$2,0)&lt;&gt;J2249,"Beam Revised","")</f>
        <v>#N/A</v>
      </c>
      <c r="AA2249" s="7" t="e">
        <f>IF(VLOOKUP($A2249,'Concrete Beam Schedule'!$A$2:$Q$2902,AA$2,0)&lt;&gt;K2249,"Beam Revised","")</f>
        <v>#N/A</v>
      </c>
      <c r="AB2249" s="7" t="e">
        <f>IF(VLOOKUP($A2249,'Concrete Beam Schedule'!$A$2:$Q$2902,AB$2,0)&lt;&gt;L2249,"Beam Revised","")</f>
        <v>#N/A</v>
      </c>
      <c r="AC2249" s="7" t="e">
        <f>IF(VLOOKUP($A2249,'Concrete Beam Schedule'!$A$2:$Q$2902,AC$2,0)&lt;&gt;M2249,"Beam Revised","")</f>
        <v>#N/A</v>
      </c>
      <c r="AD2249" s="7" t="e">
        <f>IF(VLOOKUP($A2249,'Concrete Beam Schedule'!$A$2:$Q$2902,AD$2,0)&lt;&gt;N2249,"Beam Revised","")</f>
        <v>#N/A</v>
      </c>
      <c r="AE2249" s="7" t="e">
        <f>IF(VLOOKUP($A2249,'Concrete Beam Schedule'!$A$2:$Q$2902,AE$2,0)&lt;&gt;O2249,"Beam Revised","")</f>
        <v>#N/A</v>
      </c>
    </row>
    <row r="2250" spans="17:31" ht="20.100000000000001" customHeight="1" x14ac:dyDescent="0.25">
      <c r="Q2250" s="7">
        <f t="shared" si="35"/>
        <v>0</v>
      </c>
      <c r="R2250" s="7" t="e">
        <f>IF(VLOOKUP($A2250,'Concrete Beam Schedule'!$A$2:$Q$2902,R$2,0)&lt;&gt;B2250,VLOOKUP($A2250,'Concrete Beam Schedule'!$A$2:$Q$2902,R$2,0),"")</f>
        <v>#N/A</v>
      </c>
      <c r="S2250" s="7" t="e">
        <f>IF(VLOOKUP($A2250,'Concrete Beam Schedule'!$A$2:$Q$2902,S$2,0)&lt;&gt;C2250,VLOOKUP($A2250,'Concrete Beam Schedule'!$A$2:$Q$2902,S$2,0),"")</f>
        <v>#N/A</v>
      </c>
      <c r="T2250" s="7" t="e">
        <f>IF(VLOOKUP($A2250,'Concrete Beam Schedule'!$A$2:$Q$2902,T$2,0)&lt;&gt;D2250,"Beam Revised","")</f>
        <v>#N/A</v>
      </c>
      <c r="U2250" s="7" t="e">
        <f>IF(VLOOKUP($A2250,'Concrete Beam Schedule'!$A$2:$Q$2902,U$2,0)&lt;&gt;E2250,"Beam Revised","")</f>
        <v>#N/A</v>
      </c>
      <c r="V2250" s="7" t="e">
        <f>IF(VLOOKUP($A2250,'Concrete Beam Schedule'!$A$2:$Q$2902,V$2,0)&lt;&gt;F2250,"Beam Revised","")</f>
        <v>#N/A</v>
      </c>
      <c r="W2250" s="7" t="e">
        <f>IF(VLOOKUP($A2250,'Concrete Beam Schedule'!$A$2:$Q$2902,W$2,0)&lt;&gt;G2250,"Beam Revised","")</f>
        <v>#N/A</v>
      </c>
      <c r="X2250" s="7" t="e">
        <f>IF(VLOOKUP($A2250,'Concrete Beam Schedule'!$A$2:$Q$2902,X$2,0)&lt;&gt;H2250,"Beam Revised","")</f>
        <v>#N/A</v>
      </c>
      <c r="Y2250" s="7" t="e">
        <f>IF(VLOOKUP($A2250,'Concrete Beam Schedule'!$A$2:$Q$2902,Y$2,0)&lt;&gt;I2250,"Beam Revised","")</f>
        <v>#N/A</v>
      </c>
      <c r="Z2250" s="7" t="e">
        <f>IF(VLOOKUP($A2250,'Concrete Beam Schedule'!$A$2:$Q$2902,Z$2,0)&lt;&gt;J2250,"Beam Revised","")</f>
        <v>#N/A</v>
      </c>
      <c r="AA2250" s="7" t="e">
        <f>IF(VLOOKUP($A2250,'Concrete Beam Schedule'!$A$2:$Q$2902,AA$2,0)&lt;&gt;K2250,"Beam Revised","")</f>
        <v>#N/A</v>
      </c>
      <c r="AB2250" s="7" t="e">
        <f>IF(VLOOKUP($A2250,'Concrete Beam Schedule'!$A$2:$Q$2902,AB$2,0)&lt;&gt;L2250,"Beam Revised","")</f>
        <v>#N/A</v>
      </c>
      <c r="AC2250" s="7" t="e">
        <f>IF(VLOOKUP($A2250,'Concrete Beam Schedule'!$A$2:$Q$2902,AC$2,0)&lt;&gt;M2250,"Beam Revised","")</f>
        <v>#N/A</v>
      </c>
      <c r="AD2250" s="7" t="e">
        <f>IF(VLOOKUP($A2250,'Concrete Beam Schedule'!$A$2:$Q$2902,AD$2,0)&lt;&gt;N2250,"Beam Revised","")</f>
        <v>#N/A</v>
      </c>
      <c r="AE2250" s="7" t="e">
        <f>IF(VLOOKUP($A2250,'Concrete Beam Schedule'!$A$2:$Q$2902,AE$2,0)&lt;&gt;O2250,"Beam Revised","")</f>
        <v>#N/A</v>
      </c>
    </row>
    <row r="2251" spans="17:31" ht="20.100000000000001" customHeight="1" x14ac:dyDescent="0.25">
      <c r="Q2251" s="7">
        <f t="shared" si="35"/>
        <v>0</v>
      </c>
      <c r="R2251" s="7" t="e">
        <f>IF(VLOOKUP($A2251,'Concrete Beam Schedule'!$A$2:$Q$2902,R$2,0)&lt;&gt;B2251,VLOOKUP($A2251,'Concrete Beam Schedule'!$A$2:$Q$2902,R$2,0),"")</f>
        <v>#N/A</v>
      </c>
      <c r="S2251" s="7" t="e">
        <f>IF(VLOOKUP($A2251,'Concrete Beam Schedule'!$A$2:$Q$2902,S$2,0)&lt;&gt;C2251,VLOOKUP($A2251,'Concrete Beam Schedule'!$A$2:$Q$2902,S$2,0),"")</f>
        <v>#N/A</v>
      </c>
      <c r="T2251" s="7" t="e">
        <f>IF(VLOOKUP($A2251,'Concrete Beam Schedule'!$A$2:$Q$2902,T$2,0)&lt;&gt;D2251,"Beam Revised","")</f>
        <v>#N/A</v>
      </c>
      <c r="U2251" s="7" t="e">
        <f>IF(VLOOKUP($A2251,'Concrete Beam Schedule'!$A$2:$Q$2902,U$2,0)&lt;&gt;E2251,"Beam Revised","")</f>
        <v>#N/A</v>
      </c>
      <c r="V2251" s="7" t="e">
        <f>IF(VLOOKUP($A2251,'Concrete Beam Schedule'!$A$2:$Q$2902,V$2,0)&lt;&gt;F2251,"Beam Revised","")</f>
        <v>#N/A</v>
      </c>
      <c r="W2251" s="7" t="e">
        <f>IF(VLOOKUP($A2251,'Concrete Beam Schedule'!$A$2:$Q$2902,W$2,0)&lt;&gt;G2251,"Beam Revised","")</f>
        <v>#N/A</v>
      </c>
      <c r="X2251" s="7" t="e">
        <f>IF(VLOOKUP($A2251,'Concrete Beam Schedule'!$A$2:$Q$2902,X$2,0)&lt;&gt;H2251,"Beam Revised","")</f>
        <v>#N/A</v>
      </c>
      <c r="Y2251" s="7" t="e">
        <f>IF(VLOOKUP($A2251,'Concrete Beam Schedule'!$A$2:$Q$2902,Y$2,0)&lt;&gt;I2251,"Beam Revised","")</f>
        <v>#N/A</v>
      </c>
      <c r="Z2251" s="7" t="e">
        <f>IF(VLOOKUP($A2251,'Concrete Beam Schedule'!$A$2:$Q$2902,Z$2,0)&lt;&gt;J2251,"Beam Revised","")</f>
        <v>#N/A</v>
      </c>
      <c r="AA2251" s="7" t="e">
        <f>IF(VLOOKUP($A2251,'Concrete Beam Schedule'!$A$2:$Q$2902,AA$2,0)&lt;&gt;K2251,"Beam Revised","")</f>
        <v>#N/A</v>
      </c>
      <c r="AB2251" s="7" t="e">
        <f>IF(VLOOKUP($A2251,'Concrete Beam Schedule'!$A$2:$Q$2902,AB$2,0)&lt;&gt;L2251,"Beam Revised","")</f>
        <v>#N/A</v>
      </c>
      <c r="AC2251" s="7" t="e">
        <f>IF(VLOOKUP($A2251,'Concrete Beam Schedule'!$A$2:$Q$2902,AC$2,0)&lt;&gt;M2251,"Beam Revised","")</f>
        <v>#N/A</v>
      </c>
      <c r="AD2251" s="7" t="e">
        <f>IF(VLOOKUP($A2251,'Concrete Beam Schedule'!$A$2:$Q$2902,AD$2,0)&lt;&gt;N2251,"Beam Revised","")</f>
        <v>#N/A</v>
      </c>
      <c r="AE2251" s="7" t="e">
        <f>IF(VLOOKUP($A2251,'Concrete Beam Schedule'!$A$2:$Q$2902,AE$2,0)&lt;&gt;O2251,"Beam Revised","")</f>
        <v>#N/A</v>
      </c>
    </row>
    <row r="2252" spans="17:31" ht="20.100000000000001" customHeight="1" x14ac:dyDescent="0.25">
      <c r="Q2252" s="7">
        <f t="shared" si="35"/>
        <v>0</v>
      </c>
      <c r="R2252" s="7" t="e">
        <f>IF(VLOOKUP($A2252,'Concrete Beam Schedule'!$A$2:$Q$2902,R$2,0)&lt;&gt;B2252,VLOOKUP($A2252,'Concrete Beam Schedule'!$A$2:$Q$2902,R$2,0),"")</f>
        <v>#N/A</v>
      </c>
      <c r="S2252" s="7" t="e">
        <f>IF(VLOOKUP($A2252,'Concrete Beam Schedule'!$A$2:$Q$2902,S$2,0)&lt;&gt;C2252,VLOOKUP($A2252,'Concrete Beam Schedule'!$A$2:$Q$2902,S$2,0),"")</f>
        <v>#N/A</v>
      </c>
      <c r="T2252" s="7" t="e">
        <f>IF(VLOOKUP($A2252,'Concrete Beam Schedule'!$A$2:$Q$2902,T$2,0)&lt;&gt;D2252,"Beam Revised","")</f>
        <v>#N/A</v>
      </c>
      <c r="U2252" s="7" t="e">
        <f>IF(VLOOKUP($A2252,'Concrete Beam Schedule'!$A$2:$Q$2902,U$2,0)&lt;&gt;E2252,"Beam Revised","")</f>
        <v>#N/A</v>
      </c>
      <c r="V2252" s="7" t="e">
        <f>IF(VLOOKUP($A2252,'Concrete Beam Schedule'!$A$2:$Q$2902,V$2,0)&lt;&gt;F2252,"Beam Revised","")</f>
        <v>#N/A</v>
      </c>
      <c r="W2252" s="7" t="e">
        <f>IF(VLOOKUP($A2252,'Concrete Beam Schedule'!$A$2:$Q$2902,W$2,0)&lt;&gt;G2252,"Beam Revised","")</f>
        <v>#N/A</v>
      </c>
      <c r="X2252" s="7" t="e">
        <f>IF(VLOOKUP($A2252,'Concrete Beam Schedule'!$A$2:$Q$2902,X$2,0)&lt;&gt;H2252,"Beam Revised","")</f>
        <v>#N/A</v>
      </c>
      <c r="Y2252" s="7" t="e">
        <f>IF(VLOOKUP($A2252,'Concrete Beam Schedule'!$A$2:$Q$2902,Y$2,0)&lt;&gt;I2252,"Beam Revised","")</f>
        <v>#N/A</v>
      </c>
      <c r="Z2252" s="7" t="e">
        <f>IF(VLOOKUP($A2252,'Concrete Beam Schedule'!$A$2:$Q$2902,Z$2,0)&lt;&gt;J2252,"Beam Revised","")</f>
        <v>#N/A</v>
      </c>
      <c r="AA2252" s="7" t="e">
        <f>IF(VLOOKUP($A2252,'Concrete Beam Schedule'!$A$2:$Q$2902,AA$2,0)&lt;&gt;K2252,"Beam Revised","")</f>
        <v>#N/A</v>
      </c>
      <c r="AB2252" s="7" t="e">
        <f>IF(VLOOKUP($A2252,'Concrete Beam Schedule'!$A$2:$Q$2902,AB$2,0)&lt;&gt;L2252,"Beam Revised","")</f>
        <v>#N/A</v>
      </c>
      <c r="AC2252" s="7" t="e">
        <f>IF(VLOOKUP($A2252,'Concrete Beam Schedule'!$A$2:$Q$2902,AC$2,0)&lt;&gt;M2252,"Beam Revised","")</f>
        <v>#N/A</v>
      </c>
      <c r="AD2252" s="7" t="e">
        <f>IF(VLOOKUP($A2252,'Concrete Beam Schedule'!$A$2:$Q$2902,AD$2,0)&lt;&gt;N2252,"Beam Revised","")</f>
        <v>#N/A</v>
      </c>
      <c r="AE2252" s="7" t="e">
        <f>IF(VLOOKUP($A2252,'Concrete Beam Schedule'!$A$2:$Q$2902,AE$2,0)&lt;&gt;O2252,"Beam Revised","")</f>
        <v>#N/A</v>
      </c>
    </row>
    <row r="2253" spans="17:31" ht="20.100000000000001" customHeight="1" x14ac:dyDescent="0.25">
      <c r="Q2253" s="7">
        <f t="shared" si="35"/>
        <v>0</v>
      </c>
      <c r="R2253" s="7" t="e">
        <f>IF(VLOOKUP($A2253,'Concrete Beam Schedule'!$A$2:$Q$2902,R$2,0)&lt;&gt;B2253,VLOOKUP($A2253,'Concrete Beam Schedule'!$A$2:$Q$2902,R$2,0),"")</f>
        <v>#N/A</v>
      </c>
      <c r="S2253" s="7" t="e">
        <f>IF(VLOOKUP($A2253,'Concrete Beam Schedule'!$A$2:$Q$2902,S$2,0)&lt;&gt;C2253,VLOOKUP($A2253,'Concrete Beam Schedule'!$A$2:$Q$2902,S$2,0),"")</f>
        <v>#N/A</v>
      </c>
      <c r="T2253" s="7" t="e">
        <f>IF(VLOOKUP($A2253,'Concrete Beam Schedule'!$A$2:$Q$2902,T$2,0)&lt;&gt;D2253,"Beam Revised","")</f>
        <v>#N/A</v>
      </c>
      <c r="U2253" s="7" t="e">
        <f>IF(VLOOKUP($A2253,'Concrete Beam Schedule'!$A$2:$Q$2902,U$2,0)&lt;&gt;E2253,"Beam Revised","")</f>
        <v>#N/A</v>
      </c>
      <c r="V2253" s="7" t="e">
        <f>IF(VLOOKUP($A2253,'Concrete Beam Schedule'!$A$2:$Q$2902,V$2,0)&lt;&gt;F2253,"Beam Revised","")</f>
        <v>#N/A</v>
      </c>
      <c r="W2253" s="7" t="e">
        <f>IF(VLOOKUP($A2253,'Concrete Beam Schedule'!$A$2:$Q$2902,W$2,0)&lt;&gt;G2253,"Beam Revised","")</f>
        <v>#N/A</v>
      </c>
      <c r="X2253" s="7" t="e">
        <f>IF(VLOOKUP($A2253,'Concrete Beam Schedule'!$A$2:$Q$2902,X$2,0)&lt;&gt;H2253,"Beam Revised","")</f>
        <v>#N/A</v>
      </c>
      <c r="Y2253" s="7" t="e">
        <f>IF(VLOOKUP($A2253,'Concrete Beam Schedule'!$A$2:$Q$2902,Y$2,0)&lt;&gt;I2253,"Beam Revised","")</f>
        <v>#N/A</v>
      </c>
      <c r="Z2253" s="7" t="e">
        <f>IF(VLOOKUP($A2253,'Concrete Beam Schedule'!$A$2:$Q$2902,Z$2,0)&lt;&gt;J2253,"Beam Revised","")</f>
        <v>#N/A</v>
      </c>
      <c r="AA2253" s="7" t="e">
        <f>IF(VLOOKUP($A2253,'Concrete Beam Schedule'!$A$2:$Q$2902,AA$2,0)&lt;&gt;K2253,"Beam Revised","")</f>
        <v>#N/A</v>
      </c>
      <c r="AB2253" s="7" t="e">
        <f>IF(VLOOKUP($A2253,'Concrete Beam Schedule'!$A$2:$Q$2902,AB$2,0)&lt;&gt;L2253,"Beam Revised","")</f>
        <v>#N/A</v>
      </c>
      <c r="AC2253" s="7" t="e">
        <f>IF(VLOOKUP($A2253,'Concrete Beam Schedule'!$A$2:$Q$2902,AC$2,0)&lt;&gt;M2253,"Beam Revised","")</f>
        <v>#N/A</v>
      </c>
      <c r="AD2253" s="7" t="e">
        <f>IF(VLOOKUP($A2253,'Concrete Beam Schedule'!$A$2:$Q$2902,AD$2,0)&lt;&gt;N2253,"Beam Revised","")</f>
        <v>#N/A</v>
      </c>
      <c r="AE2253" s="7" t="e">
        <f>IF(VLOOKUP($A2253,'Concrete Beam Schedule'!$A$2:$Q$2902,AE$2,0)&lt;&gt;O2253,"Beam Revised","")</f>
        <v>#N/A</v>
      </c>
    </row>
    <row r="2254" spans="17:31" ht="20.100000000000001" customHeight="1" x14ac:dyDescent="0.25">
      <c r="Q2254" s="7">
        <f t="shared" si="35"/>
        <v>0</v>
      </c>
      <c r="R2254" s="7" t="e">
        <f>IF(VLOOKUP($A2254,'Concrete Beam Schedule'!$A$2:$Q$2902,R$2,0)&lt;&gt;B2254,VLOOKUP($A2254,'Concrete Beam Schedule'!$A$2:$Q$2902,R$2,0),"")</f>
        <v>#N/A</v>
      </c>
      <c r="S2254" s="7" t="e">
        <f>IF(VLOOKUP($A2254,'Concrete Beam Schedule'!$A$2:$Q$2902,S$2,0)&lt;&gt;C2254,VLOOKUP($A2254,'Concrete Beam Schedule'!$A$2:$Q$2902,S$2,0),"")</f>
        <v>#N/A</v>
      </c>
      <c r="T2254" s="7" t="e">
        <f>IF(VLOOKUP($A2254,'Concrete Beam Schedule'!$A$2:$Q$2902,T$2,0)&lt;&gt;D2254,"Beam Revised","")</f>
        <v>#N/A</v>
      </c>
      <c r="U2254" s="7" t="e">
        <f>IF(VLOOKUP($A2254,'Concrete Beam Schedule'!$A$2:$Q$2902,U$2,0)&lt;&gt;E2254,"Beam Revised","")</f>
        <v>#N/A</v>
      </c>
      <c r="V2254" s="7" t="e">
        <f>IF(VLOOKUP($A2254,'Concrete Beam Schedule'!$A$2:$Q$2902,V$2,0)&lt;&gt;F2254,"Beam Revised","")</f>
        <v>#N/A</v>
      </c>
      <c r="W2254" s="7" t="e">
        <f>IF(VLOOKUP($A2254,'Concrete Beam Schedule'!$A$2:$Q$2902,W$2,0)&lt;&gt;G2254,"Beam Revised","")</f>
        <v>#N/A</v>
      </c>
      <c r="X2254" s="7" t="e">
        <f>IF(VLOOKUP($A2254,'Concrete Beam Schedule'!$A$2:$Q$2902,X$2,0)&lt;&gt;H2254,"Beam Revised","")</f>
        <v>#N/A</v>
      </c>
      <c r="Y2254" s="7" t="e">
        <f>IF(VLOOKUP($A2254,'Concrete Beam Schedule'!$A$2:$Q$2902,Y$2,0)&lt;&gt;I2254,"Beam Revised","")</f>
        <v>#N/A</v>
      </c>
      <c r="Z2254" s="7" t="e">
        <f>IF(VLOOKUP($A2254,'Concrete Beam Schedule'!$A$2:$Q$2902,Z$2,0)&lt;&gt;J2254,"Beam Revised","")</f>
        <v>#N/A</v>
      </c>
      <c r="AA2254" s="7" t="e">
        <f>IF(VLOOKUP($A2254,'Concrete Beam Schedule'!$A$2:$Q$2902,AA$2,0)&lt;&gt;K2254,"Beam Revised","")</f>
        <v>#N/A</v>
      </c>
      <c r="AB2254" s="7" t="e">
        <f>IF(VLOOKUP($A2254,'Concrete Beam Schedule'!$A$2:$Q$2902,AB$2,0)&lt;&gt;L2254,"Beam Revised","")</f>
        <v>#N/A</v>
      </c>
      <c r="AC2254" s="7" t="e">
        <f>IF(VLOOKUP($A2254,'Concrete Beam Schedule'!$A$2:$Q$2902,AC$2,0)&lt;&gt;M2254,"Beam Revised","")</f>
        <v>#N/A</v>
      </c>
      <c r="AD2254" s="7" t="e">
        <f>IF(VLOOKUP($A2254,'Concrete Beam Schedule'!$A$2:$Q$2902,AD$2,0)&lt;&gt;N2254,"Beam Revised","")</f>
        <v>#N/A</v>
      </c>
      <c r="AE2254" s="7" t="e">
        <f>IF(VLOOKUP($A2254,'Concrete Beam Schedule'!$A$2:$Q$2902,AE$2,0)&lt;&gt;O2254,"Beam Revised","")</f>
        <v>#N/A</v>
      </c>
    </row>
    <row r="2255" spans="17:31" ht="20.100000000000001" customHeight="1" x14ac:dyDescent="0.25">
      <c r="Q2255" s="7">
        <f t="shared" si="35"/>
        <v>0</v>
      </c>
      <c r="R2255" s="7" t="e">
        <f>IF(VLOOKUP($A2255,'Concrete Beam Schedule'!$A$2:$Q$2902,R$2,0)&lt;&gt;B2255,VLOOKUP($A2255,'Concrete Beam Schedule'!$A$2:$Q$2902,R$2,0),"")</f>
        <v>#N/A</v>
      </c>
      <c r="S2255" s="7" t="e">
        <f>IF(VLOOKUP($A2255,'Concrete Beam Schedule'!$A$2:$Q$2902,S$2,0)&lt;&gt;C2255,VLOOKUP($A2255,'Concrete Beam Schedule'!$A$2:$Q$2902,S$2,0),"")</f>
        <v>#N/A</v>
      </c>
      <c r="T2255" s="7" t="e">
        <f>IF(VLOOKUP($A2255,'Concrete Beam Schedule'!$A$2:$Q$2902,T$2,0)&lt;&gt;D2255,"Beam Revised","")</f>
        <v>#N/A</v>
      </c>
      <c r="U2255" s="7" t="e">
        <f>IF(VLOOKUP($A2255,'Concrete Beam Schedule'!$A$2:$Q$2902,U$2,0)&lt;&gt;E2255,"Beam Revised","")</f>
        <v>#N/A</v>
      </c>
      <c r="V2255" s="7" t="e">
        <f>IF(VLOOKUP($A2255,'Concrete Beam Schedule'!$A$2:$Q$2902,V$2,0)&lt;&gt;F2255,"Beam Revised","")</f>
        <v>#N/A</v>
      </c>
      <c r="W2255" s="7" t="e">
        <f>IF(VLOOKUP($A2255,'Concrete Beam Schedule'!$A$2:$Q$2902,W$2,0)&lt;&gt;G2255,"Beam Revised","")</f>
        <v>#N/A</v>
      </c>
      <c r="X2255" s="7" t="e">
        <f>IF(VLOOKUP($A2255,'Concrete Beam Schedule'!$A$2:$Q$2902,X$2,0)&lt;&gt;H2255,"Beam Revised","")</f>
        <v>#N/A</v>
      </c>
      <c r="Y2255" s="7" t="e">
        <f>IF(VLOOKUP($A2255,'Concrete Beam Schedule'!$A$2:$Q$2902,Y$2,0)&lt;&gt;I2255,"Beam Revised","")</f>
        <v>#N/A</v>
      </c>
      <c r="Z2255" s="7" t="e">
        <f>IF(VLOOKUP($A2255,'Concrete Beam Schedule'!$A$2:$Q$2902,Z$2,0)&lt;&gt;J2255,"Beam Revised","")</f>
        <v>#N/A</v>
      </c>
      <c r="AA2255" s="7" t="e">
        <f>IF(VLOOKUP($A2255,'Concrete Beam Schedule'!$A$2:$Q$2902,AA$2,0)&lt;&gt;K2255,"Beam Revised","")</f>
        <v>#N/A</v>
      </c>
      <c r="AB2255" s="7" t="e">
        <f>IF(VLOOKUP($A2255,'Concrete Beam Schedule'!$A$2:$Q$2902,AB$2,0)&lt;&gt;L2255,"Beam Revised","")</f>
        <v>#N/A</v>
      </c>
      <c r="AC2255" s="7" t="e">
        <f>IF(VLOOKUP($A2255,'Concrete Beam Schedule'!$A$2:$Q$2902,AC$2,0)&lt;&gt;M2255,"Beam Revised","")</f>
        <v>#N/A</v>
      </c>
      <c r="AD2255" s="7" t="e">
        <f>IF(VLOOKUP($A2255,'Concrete Beam Schedule'!$A$2:$Q$2902,AD$2,0)&lt;&gt;N2255,"Beam Revised","")</f>
        <v>#N/A</v>
      </c>
      <c r="AE2255" s="7" t="e">
        <f>IF(VLOOKUP($A2255,'Concrete Beam Schedule'!$A$2:$Q$2902,AE$2,0)&lt;&gt;O2255,"Beam Revised","")</f>
        <v>#N/A</v>
      </c>
    </row>
    <row r="2256" spans="17:31" ht="20.100000000000001" customHeight="1" x14ac:dyDescent="0.25">
      <c r="Q2256" s="7">
        <f t="shared" si="35"/>
        <v>0</v>
      </c>
      <c r="R2256" s="7" t="e">
        <f>IF(VLOOKUP($A2256,'Concrete Beam Schedule'!$A$2:$Q$2902,R$2,0)&lt;&gt;B2256,VLOOKUP($A2256,'Concrete Beam Schedule'!$A$2:$Q$2902,R$2,0),"")</f>
        <v>#N/A</v>
      </c>
      <c r="S2256" s="7" t="e">
        <f>IF(VLOOKUP($A2256,'Concrete Beam Schedule'!$A$2:$Q$2902,S$2,0)&lt;&gt;C2256,VLOOKUP($A2256,'Concrete Beam Schedule'!$A$2:$Q$2902,S$2,0),"")</f>
        <v>#N/A</v>
      </c>
      <c r="T2256" s="7" t="e">
        <f>IF(VLOOKUP($A2256,'Concrete Beam Schedule'!$A$2:$Q$2902,T$2,0)&lt;&gt;D2256,"Beam Revised","")</f>
        <v>#N/A</v>
      </c>
      <c r="U2256" s="7" t="e">
        <f>IF(VLOOKUP($A2256,'Concrete Beam Schedule'!$A$2:$Q$2902,U$2,0)&lt;&gt;E2256,"Beam Revised","")</f>
        <v>#N/A</v>
      </c>
      <c r="V2256" s="7" t="e">
        <f>IF(VLOOKUP($A2256,'Concrete Beam Schedule'!$A$2:$Q$2902,V$2,0)&lt;&gt;F2256,"Beam Revised","")</f>
        <v>#N/A</v>
      </c>
      <c r="W2256" s="7" t="e">
        <f>IF(VLOOKUP($A2256,'Concrete Beam Schedule'!$A$2:$Q$2902,W$2,0)&lt;&gt;G2256,"Beam Revised","")</f>
        <v>#N/A</v>
      </c>
      <c r="X2256" s="7" t="e">
        <f>IF(VLOOKUP($A2256,'Concrete Beam Schedule'!$A$2:$Q$2902,X$2,0)&lt;&gt;H2256,"Beam Revised","")</f>
        <v>#N/A</v>
      </c>
      <c r="Y2256" s="7" t="e">
        <f>IF(VLOOKUP($A2256,'Concrete Beam Schedule'!$A$2:$Q$2902,Y$2,0)&lt;&gt;I2256,"Beam Revised","")</f>
        <v>#N/A</v>
      </c>
      <c r="Z2256" s="7" t="e">
        <f>IF(VLOOKUP($A2256,'Concrete Beam Schedule'!$A$2:$Q$2902,Z$2,0)&lt;&gt;J2256,"Beam Revised","")</f>
        <v>#N/A</v>
      </c>
      <c r="AA2256" s="7" t="e">
        <f>IF(VLOOKUP($A2256,'Concrete Beam Schedule'!$A$2:$Q$2902,AA$2,0)&lt;&gt;K2256,"Beam Revised","")</f>
        <v>#N/A</v>
      </c>
      <c r="AB2256" s="7" t="e">
        <f>IF(VLOOKUP($A2256,'Concrete Beam Schedule'!$A$2:$Q$2902,AB$2,0)&lt;&gt;L2256,"Beam Revised","")</f>
        <v>#N/A</v>
      </c>
      <c r="AC2256" s="7" t="e">
        <f>IF(VLOOKUP($A2256,'Concrete Beam Schedule'!$A$2:$Q$2902,AC$2,0)&lt;&gt;M2256,"Beam Revised","")</f>
        <v>#N/A</v>
      </c>
      <c r="AD2256" s="7" t="e">
        <f>IF(VLOOKUP($A2256,'Concrete Beam Schedule'!$A$2:$Q$2902,AD$2,0)&lt;&gt;N2256,"Beam Revised","")</f>
        <v>#N/A</v>
      </c>
      <c r="AE2256" s="7" t="e">
        <f>IF(VLOOKUP($A2256,'Concrete Beam Schedule'!$A$2:$Q$2902,AE$2,0)&lt;&gt;O2256,"Beam Revised","")</f>
        <v>#N/A</v>
      </c>
    </row>
    <row r="2257" spans="17:31" ht="20.100000000000001" customHeight="1" x14ac:dyDescent="0.25">
      <c r="Q2257" s="7">
        <f t="shared" si="35"/>
        <v>0</v>
      </c>
      <c r="R2257" s="7" t="e">
        <f>IF(VLOOKUP($A2257,'Concrete Beam Schedule'!$A$2:$Q$2902,R$2,0)&lt;&gt;B2257,VLOOKUP($A2257,'Concrete Beam Schedule'!$A$2:$Q$2902,R$2,0),"")</f>
        <v>#N/A</v>
      </c>
      <c r="S2257" s="7" t="e">
        <f>IF(VLOOKUP($A2257,'Concrete Beam Schedule'!$A$2:$Q$2902,S$2,0)&lt;&gt;C2257,VLOOKUP($A2257,'Concrete Beam Schedule'!$A$2:$Q$2902,S$2,0),"")</f>
        <v>#N/A</v>
      </c>
      <c r="T2257" s="7" t="e">
        <f>IF(VLOOKUP($A2257,'Concrete Beam Schedule'!$A$2:$Q$2902,T$2,0)&lt;&gt;D2257,"Beam Revised","")</f>
        <v>#N/A</v>
      </c>
      <c r="U2257" s="7" t="e">
        <f>IF(VLOOKUP($A2257,'Concrete Beam Schedule'!$A$2:$Q$2902,U$2,0)&lt;&gt;E2257,"Beam Revised","")</f>
        <v>#N/A</v>
      </c>
      <c r="V2257" s="7" t="e">
        <f>IF(VLOOKUP($A2257,'Concrete Beam Schedule'!$A$2:$Q$2902,V$2,0)&lt;&gt;F2257,"Beam Revised","")</f>
        <v>#N/A</v>
      </c>
      <c r="W2257" s="7" t="e">
        <f>IF(VLOOKUP($A2257,'Concrete Beam Schedule'!$A$2:$Q$2902,W$2,0)&lt;&gt;G2257,"Beam Revised","")</f>
        <v>#N/A</v>
      </c>
      <c r="X2257" s="7" t="e">
        <f>IF(VLOOKUP($A2257,'Concrete Beam Schedule'!$A$2:$Q$2902,X$2,0)&lt;&gt;H2257,"Beam Revised","")</f>
        <v>#N/A</v>
      </c>
      <c r="Y2257" s="7" t="e">
        <f>IF(VLOOKUP($A2257,'Concrete Beam Schedule'!$A$2:$Q$2902,Y$2,0)&lt;&gt;I2257,"Beam Revised","")</f>
        <v>#N/A</v>
      </c>
      <c r="Z2257" s="7" t="e">
        <f>IF(VLOOKUP($A2257,'Concrete Beam Schedule'!$A$2:$Q$2902,Z$2,0)&lt;&gt;J2257,"Beam Revised","")</f>
        <v>#N/A</v>
      </c>
      <c r="AA2257" s="7" t="e">
        <f>IF(VLOOKUP($A2257,'Concrete Beam Schedule'!$A$2:$Q$2902,AA$2,0)&lt;&gt;K2257,"Beam Revised","")</f>
        <v>#N/A</v>
      </c>
      <c r="AB2257" s="7" t="e">
        <f>IF(VLOOKUP($A2257,'Concrete Beam Schedule'!$A$2:$Q$2902,AB$2,0)&lt;&gt;L2257,"Beam Revised","")</f>
        <v>#N/A</v>
      </c>
      <c r="AC2257" s="7" t="e">
        <f>IF(VLOOKUP($A2257,'Concrete Beam Schedule'!$A$2:$Q$2902,AC$2,0)&lt;&gt;M2257,"Beam Revised","")</f>
        <v>#N/A</v>
      </c>
      <c r="AD2257" s="7" t="e">
        <f>IF(VLOOKUP($A2257,'Concrete Beam Schedule'!$A$2:$Q$2902,AD$2,0)&lt;&gt;N2257,"Beam Revised","")</f>
        <v>#N/A</v>
      </c>
      <c r="AE2257" s="7" t="e">
        <f>IF(VLOOKUP($A2257,'Concrete Beam Schedule'!$A$2:$Q$2902,AE$2,0)&lt;&gt;O2257,"Beam Revised","")</f>
        <v>#N/A</v>
      </c>
    </row>
    <row r="2258" spans="17:31" ht="20.100000000000001" customHeight="1" x14ac:dyDescent="0.25">
      <c r="Q2258" s="7">
        <f t="shared" si="35"/>
        <v>0</v>
      </c>
      <c r="R2258" s="7" t="e">
        <f>IF(VLOOKUP($A2258,'Concrete Beam Schedule'!$A$2:$Q$2902,R$2,0)&lt;&gt;B2258,VLOOKUP($A2258,'Concrete Beam Schedule'!$A$2:$Q$2902,R$2,0),"")</f>
        <v>#N/A</v>
      </c>
      <c r="S2258" s="7" t="e">
        <f>IF(VLOOKUP($A2258,'Concrete Beam Schedule'!$A$2:$Q$2902,S$2,0)&lt;&gt;C2258,VLOOKUP($A2258,'Concrete Beam Schedule'!$A$2:$Q$2902,S$2,0),"")</f>
        <v>#N/A</v>
      </c>
      <c r="T2258" s="7" t="e">
        <f>IF(VLOOKUP($A2258,'Concrete Beam Schedule'!$A$2:$Q$2902,T$2,0)&lt;&gt;D2258,"Beam Revised","")</f>
        <v>#N/A</v>
      </c>
      <c r="U2258" s="7" t="e">
        <f>IF(VLOOKUP($A2258,'Concrete Beam Schedule'!$A$2:$Q$2902,U$2,0)&lt;&gt;E2258,"Beam Revised","")</f>
        <v>#N/A</v>
      </c>
      <c r="V2258" s="7" t="e">
        <f>IF(VLOOKUP($A2258,'Concrete Beam Schedule'!$A$2:$Q$2902,V$2,0)&lt;&gt;F2258,"Beam Revised","")</f>
        <v>#N/A</v>
      </c>
      <c r="W2258" s="7" t="e">
        <f>IF(VLOOKUP($A2258,'Concrete Beam Schedule'!$A$2:$Q$2902,W$2,0)&lt;&gt;G2258,"Beam Revised","")</f>
        <v>#N/A</v>
      </c>
      <c r="X2258" s="7" t="e">
        <f>IF(VLOOKUP($A2258,'Concrete Beam Schedule'!$A$2:$Q$2902,X$2,0)&lt;&gt;H2258,"Beam Revised","")</f>
        <v>#N/A</v>
      </c>
      <c r="Y2258" s="7" t="e">
        <f>IF(VLOOKUP($A2258,'Concrete Beam Schedule'!$A$2:$Q$2902,Y$2,0)&lt;&gt;I2258,"Beam Revised","")</f>
        <v>#N/A</v>
      </c>
      <c r="Z2258" s="7" t="e">
        <f>IF(VLOOKUP($A2258,'Concrete Beam Schedule'!$A$2:$Q$2902,Z$2,0)&lt;&gt;J2258,"Beam Revised","")</f>
        <v>#N/A</v>
      </c>
      <c r="AA2258" s="7" t="e">
        <f>IF(VLOOKUP($A2258,'Concrete Beam Schedule'!$A$2:$Q$2902,AA$2,0)&lt;&gt;K2258,"Beam Revised","")</f>
        <v>#N/A</v>
      </c>
      <c r="AB2258" s="7" t="e">
        <f>IF(VLOOKUP($A2258,'Concrete Beam Schedule'!$A$2:$Q$2902,AB$2,0)&lt;&gt;L2258,"Beam Revised","")</f>
        <v>#N/A</v>
      </c>
      <c r="AC2258" s="7" t="e">
        <f>IF(VLOOKUP($A2258,'Concrete Beam Schedule'!$A$2:$Q$2902,AC$2,0)&lt;&gt;M2258,"Beam Revised","")</f>
        <v>#N/A</v>
      </c>
      <c r="AD2258" s="7" t="e">
        <f>IF(VLOOKUP($A2258,'Concrete Beam Schedule'!$A$2:$Q$2902,AD$2,0)&lt;&gt;N2258,"Beam Revised","")</f>
        <v>#N/A</v>
      </c>
      <c r="AE2258" s="7" t="e">
        <f>IF(VLOOKUP($A2258,'Concrete Beam Schedule'!$A$2:$Q$2902,AE$2,0)&lt;&gt;O2258,"Beam Revised","")</f>
        <v>#N/A</v>
      </c>
    </row>
    <row r="2259" spans="17:31" ht="20.100000000000001" customHeight="1" x14ac:dyDescent="0.25">
      <c r="Q2259" s="7">
        <f t="shared" si="35"/>
        <v>0</v>
      </c>
      <c r="R2259" s="7" t="e">
        <f>IF(VLOOKUP($A2259,'Concrete Beam Schedule'!$A$2:$Q$2902,R$2,0)&lt;&gt;B2259,VLOOKUP($A2259,'Concrete Beam Schedule'!$A$2:$Q$2902,R$2,0),"")</f>
        <v>#N/A</v>
      </c>
      <c r="S2259" s="7" t="e">
        <f>IF(VLOOKUP($A2259,'Concrete Beam Schedule'!$A$2:$Q$2902,S$2,0)&lt;&gt;C2259,VLOOKUP($A2259,'Concrete Beam Schedule'!$A$2:$Q$2902,S$2,0),"")</f>
        <v>#N/A</v>
      </c>
      <c r="T2259" s="7" t="e">
        <f>IF(VLOOKUP($A2259,'Concrete Beam Schedule'!$A$2:$Q$2902,T$2,0)&lt;&gt;D2259,"Beam Revised","")</f>
        <v>#N/A</v>
      </c>
      <c r="U2259" s="7" t="e">
        <f>IF(VLOOKUP($A2259,'Concrete Beam Schedule'!$A$2:$Q$2902,U$2,0)&lt;&gt;E2259,"Beam Revised","")</f>
        <v>#N/A</v>
      </c>
      <c r="V2259" s="7" t="e">
        <f>IF(VLOOKUP($A2259,'Concrete Beam Schedule'!$A$2:$Q$2902,V$2,0)&lt;&gt;F2259,"Beam Revised","")</f>
        <v>#N/A</v>
      </c>
      <c r="W2259" s="7" t="e">
        <f>IF(VLOOKUP($A2259,'Concrete Beam Schedule'!$A$2:$Q$2902,W$2,0)&lt;&gt;G2259,"Beam Revised","")</f>
        <v>#N/A</v>
      </c>
      <c r="X2259" s="7" t="e">
        <f>IF(VLOOKUP($A2259,'Concrete Beam Schedule'!$A$2:$Q$2902,X$2,0)&lt;&gt;H2259,"Beam Revised","")</f>
        <v>#N/A</v>
      </c>
      <c r="Y2259" s="7" t="e">
        <f>IF(VLOOKUP($A2259,'Concrete Beam Schedule'!$A$2:$Q$2902,Y$2,0)&lt;&gt;I2259,"Beam Revised","")</f>
        <v>#N/A</v>
      </c>
      <c r="Z2259" s="7" t="e">
        <f>IF(VLOOKUP($A2259,'Concrete Beam Schedule'!$A$2:$Q$2902,Z$2,0)&lt;&gt;J2259,"Beam Revised","")</f>
        <v>#N/A</v>
      </c>
      <c r="AA2259" s="7" t="e">
        <f>IF(VLOOKUP($A2259,'Concrete Beam Schedule'!$A$2:$Q$2902,AA$2,0)&lt;&gt;K2259,"Beam Revised","")</f>
        <v>#N/A</v>
      </c>
      <c r="AB2259" s="7" t="e">
        <f>IF(VLOOKUP($A2259,'Concrete Beam Schedule'!$A$2:$Q$2902,AB$2,0)&lt;&gt;L2259,"Beam Revised","")</f>
        <v>#N/A</v>
      </c>
      <c r="AC2259" s="7" t="e">
        <f>IF(VLOOKUP($A2259,'Concrete Beam Schedule'!$A$2:$Q$2902,AC$2,0)&lt;&gt;M2259,"Beam Revised","")</f>
        <v>#N/A</v>
      </c>
      <c r="AD2259" s="7" t="e">
        <f>IF(VLOOKUP($A2259,'Concrete Beam Schedule'!$A$2:$Q$2902,AD$2,0)&lt;&gt;N2259,"Beam Revised","")</f>
        <v>#N/A</v>
      </c>
      <c r="AE2259" s="7" t="e">
        <f>IF(VLOOKUP($A2259,'Concrete Beam Schedule'!$A$2:$Q$2902,AE$2,0)&lt;&gt;O2259,"Beam Revised","")</f>
        <v>#N/A</v>
      </c>
    </row>
    <row r="2260" spans="17:31" ht="20.100000000000001" customHeight="1" x14ac:dyDescent="0.25">
      <c r="Q2260" s="7">
        <f t="shared" si="35"/>
        <v>0</v>
      </c>
      <c r="R2260" s="7" t="e">
        <f>IF(VLOOKUP($A2260,'Concrete Beam Schedule'!$A$2:$Q$2902,R$2,0)&lt;&gt;B2260,VLOOKUP($A2260,'Concrete Beam Schedule'!$A$2:$Q$2902,R$2,0),"")</f>
        <v>#N/A</v>
      </c>
      <c r="S2260" s="7" t="e">
        <f>IF(VLOOKUP($A2260,'Concrete Beam Schedule'!$A$2:$Q$2902,S$2,0)&lt;&gt;C2260,VLOOKUP($A2260,'Concrete Beam Schedule'!$A$2:$Q$2902,S$2,0),"")</f>
        <v>#N/A</v>
      </c>
      <c r="T2260" s="7" t="e">
        <f>IF(VLOOKUP($A2260,'Concrete Beam Schedule'!$A$2:$Q$2902,T$2,0)&lt;&gt;D2260,"Beam Revised","")</f>
        <v>#N/A</v>
      </c>
      <c r="U2260" s="7" t="e">
        <f>IF(VLOOKUP($A2260,'Concrete Beam Schedule'!$A$2:$Q$2902,U$2,0)&lt;&gt;E2260,"Beam Revised","")</f>
        <v>#N/A</v>
      </c>
      <c r="V2260" s="7" t="e">
        <f>IF(VLOOKUP($A2260,'Concrete Beam Schedule'!$A$2:$Q$2902,V$2,0)&lt;&gt;F2260,"Beam Revised","")</f>
        <v>#N/A</v>
      </c>
      <c r="W2260" s="7" t="e">
        <f>IF(VLOOKUP($A2260,'Concrete Beam Schedule'!$A$2:$Q$2902,W$2,0)&lt;&gt;G2260,"Beam Revised","")</f>
        <v>#N/A</v>
      </c>
      <c r="X2260" s="7" t="e">
        <f>IF(VLOOKUP($A2260,'Concrete Beam Schedule'!$A$2:$Q$2902,X$2,0)&lt;&gt;H2260,"Beam Revised","")</f>
        <v>#N/A</v>
      </c>
      <c r="Y2260" s="7" t="e">
        <f>IF(VLOOKUP($A2260,'Concrete Beam Schedule'!$A$2:$Q$2902,Y$2,0)&lt;&gt;I2260,"Beam Revised","")</f>
        <v>#N/A</v>
      </c>
      <c r="Z2260" s="7" t="e">
        <f>IF(VLOOKUP($A2260,'Concrete Beam Schedule'!$A$2:$Q$2902,Z$2,0)&lt;&gt;J2260,"Beam Revised","")</f>
        <v>#N/A</v>
      </c>
      <c r="AA2260" s="7" t="e">
        <f>IF(VLOOKUP($A2260,'Concrete Beam Schedule'!$A$2:$Q$2902,AA$2,0)&lt;&gt;K2260,"Beam Revised","")</f>
        <v>#N/A</v>
      </c>
      <c r="AB2260" s="7" t="e">
        <f>IF(VLOOKUP($A2260,'Concrete Beam Schedule'!$A$2:$Q$2902,AB$2,0)&lt;&gt;L2260,"Beam Revised","")</f>
        <v>#N/A</v>
      </c>
      <c r="AC2260" s="7" t="e">
        <f>IF(VLOOKUP($A2260,'Concrete Beam Schedule'!$A$2:$Q$2902,AC$2,0)&lt;&gt;M2260,"Beam Revised","")</f>
        <v>#N/A</v>
      </c>
      <c r="AD2260" s="7" t="e">
        <f>IF(VLOOKUP($A2260,'Concrete Beam Schedule'!$A$2:$Q$2902,AD$2,0)&lt;&gt;N2260,"Beam Revised","")</f>
        <v>#N/A</v>
      </c>
      <c r="AE2260" s="7" t="e">
        <f>IF(VLOOKUP($A2260,'Concrete Beam Schedule'!$A$2:$Q$2902,AE$2,0)&lt;&gt;O2260,"Beam Revised","")</f>
        <v>#N/A</v>
      </c>
    </row>
    <row r="2261" spans="17:31" ht="20.100000000000001" customHeight="1" x14ac:dyDescent="0.25">
      <c r="Q2261" s="7">
        <f t="shared" si="35"/>
        <v>0</v>
      </c>
      <c r="R2261" s="7" t="e">
        <f>IF(VLOOKUP($A2261,'Concrete Beam Schedule'!$A$2:$Q$2902,R$2,0)&lt;&gt;B2261,VLOOKUP($A2261,'Concrete Beam Schedule'!$A$2:$Q$2902,R$2,0),"")</f>
        <v>#N/A</v>
      </c>
      <c r="S2261" s="7" t="e">
        <f>IF(VLOOKUP($A2261,'Concrete Beam Schedule'!$A$2:$Q$2902,S$2,0)&lt;&gt;C2261,VLOOKUP($A2261,'Concrete Beam Schedule'!$A$2:$Q$2902,S$2,0),"")</f>
        <v>#N/A</v>
      </c>
      <c r="T2261" s="7" t="e">
        <f>IF(VLOOKUP($A2261,'Concrete Beam Schedule'!$A$2:$Q$2902,T$2,0)&lt;&gt;D2261,"Beam Revised","")</f>
        <v>#N/A</v>
      </c>
      <c r="U2261" s="7" t="e">
        <f>IF(VLOOKUP($A2261,'Concrete Beam Schedule'!$A$2:$Q$2902,U$2,0)&lt;&gt;E2261,"Beam Revised","")</f>
        <v>#N/A</v>
      </c>
      <c r="V2261" s="7" t="e">
        <f>IF(VLOOKUP($A2261,'Concrete Beam Schedule'!$A$2:$Q$2902,V$2,0)&lt;&gt;F2261,"Beam Revised","")</f>
        <v>#N/A</v>
      </c>
      <c r="W2261" s="7" t="e">
        <f>IF(VLOOKUP($A2261,'Concrete Beam Schedule'!$A$2:$Q$2902,W$2,0)&lt;&gt;G2261,"Beam Revised","")</f>
        <v>#N/A</v>
      </c>
      <c r="X2261" s="7" t="e">
        <f>IF(VLOOKUP($A2261,'Concrete Beam Schedule'!$A$2:$Q$2902,X$2,0)&lt;&gt;H2261,"Beam Revised","")</f>
        <v>#N/A</v>
      </c>
      <c r="Y2261" s="7" t="e">
        <f>IF(VLOOKUP($A2261,'Concrete Beam Schedule'!$A$2:$Q$2902,Y$2,0)&lt;&gt;I2261,"Beam Revised","")</f>
        <v>#N/A</v>
      </c>
      <c r="Z2261" s="7" t="e">
        <f>IF(VLOOKUP($A2261,'Concrete Beam Schedule'!$A$2:$Q$2902,Z$2,0)&lt;&gt;J2261,"Beam Revised","")</f>
        <v>#N/A</v>
      </c>
      <c r="AA2261" s="7" t="e">
        <f>IF(VLOOKUP($A2261,'Concrete Beam Schedule'!$A$2:$Q$2902,AA$2,0)&lt;&gt;K2261,"Beam Revised","")</f>
        <v>#N/A</v>
      </c>
      <c r="AB2261" s="7" t="e">
        <f>IF(VLOOKUP($A2261,'Concrete Beam Schedule'!$A$2:$Q$2902,AB$2,0)&lt;&gt;L2261,"Beam Revised","")</f>
        <v>#N/A</v>
      </c>
      <c r="AC2261" s="7" t="e">
        <f>IF(VLOOKUP($A2261,'Concrete Beam Schedule'!$A$2:$Q$2902,AC$2,0)&lt;&gt;M2261,"Beam Revised","")</f>
        <v>#N/A</v>
      </c>
      <c r="AD2261" s="7" t="e">
        <f>IF(VLOOKUP($A2261,'Concrete Beam Schedule'!$A$2:$Q$2902,AD$2,0)&lt;&gt;N2261,"Beam Revised","")</f>
        <v>#N/A</v>
      </c>
      <c r="AE2261" s="7" t="e">
        <f>IF(VLOOKUP($A2261,'Concrete Beam Schedule'!$A$2:$Q$2902,AE$2,0)&lt;&gt;O2261,"Beam Revised","")</f>
        <v>#N/A</v>
      </c>
    </row>
    <row r="2262" spans="17:31" ht="20.100000000000001" customHeight="1" x14ac:dyDescent="0.25">
      <c r="Q2262" s="7">
        <f t="shared" si="35"/>
        <v>0</v>
      </c>
      <c r="R2262" s="7" t="e">
        <f>IF(VLOOKUP($A2262,'Concrete Beam Schedule'!$A$2:$Q$2902,R$2,0)&lt;&gt;B2262,VLOOKUP($A2262,'Concrete Beam Schedule'!$A$2:$Q$2902,R$2,0),"")</f>
        <v>#N/A</v>
      </c>
      <c r="S2262" s="7" t="e">
        <f>IF(VLOOKUP($A2262,'Concrete Beam Schedule'!$A$2:$Q$2902,S$2,0)&lt;&gt;C2262,VLOOKUP($A2262,'Concrete Beam Schedule'!$A$2:$Q$2902,S$2,0),"")</f>
        <v>#N/A</v>
      </c>
      <c r="T2262" s="7" t="e">
        <f>IF(VLOOKUP($A2262,'Concrete Beam Schedule'!$A$2:$Q$2902,T$2,0)&lt;&gt;D2262,"Beam Revised","")</f>
        <v>#N/A</v>
      </c>
      <c r="U2262" s="7" t="e">
        <f>IF(VLOOKUP($A2262,'Concrete Beam Schedule'!$A$2:$Q$2902,U$2,0)&lt;&gt;E2262,"Beam Revised","")</f>
        <v>#N/A</v>
      </c>
      <c r="V2262" s="7" t="e">
        <f>IF(VLOOKUP($A2262,'Concrete Beam Schedule'!$A$2:$Q$2902,V$2,0)&lt;&gt;F2262,"Beam Revised","")</f>
        <v>#N/A</v>
      </c>
      <c r="W2262" s="7" t="e">
        <f>IF(VLOOKUP($A2262,'Concrete Beam Schedule'!$A$2:$Q$2902,W$2,0)&lt;&gt;G2262,"Beam Revised","")</f>
        <v>#N/A</v>
      </c>
      <c r="X2262" s="7" t="e">
        <f>IF(VLOOKUP($A2262,'Concrete Beam Schedule'!$A$2:$Q$2902,X$2,0)&lt;&gt;H2262,"Beam Revised","")</f>
        <v>#N/A</v>
      </c>
      <c r="Y2262" s="7" t="e">
        <f>IF(VLOOKUP($A2262,'Concrete Beam Schedule'!$A$2:$Q$2902,Y$2,0)&lt;&gt;I2262,"Beam Revised","")</f>
        <v>#N/A</v>
      </c>
      <c r="Z2262" s="7" t="e">
        <f>IF(VLOOKUP($A2262,'Concrete Beam Schedule'!$A$2:$Q$2902,Z$2,0)&lt;&gt;J2262,"Beam Revised","")</f>
        <v>#N/A</v>
      </c>
      <c r="AA2262" s="7" t="e">
        <f>IF(VLOOKUP($A2262,'Concrete Beam Schedule'!$A$2:$Q$2902,AA$2,0)&lt;&gt;K2262,"Beam Revised","")</f>
        <v>#N/A</v>
      </c>
      <c r="AB2262" s="7" t="e">
        <f>IF(VLOOKUP($A2262,'Concrete Beam Schedule'!$A$2:$Q$2902,AB$2,0)&lt;&gt;L2262,"Beam Revised","")</f>
        <v>#N/A</v>
      </c>
      <c r="AC2262" s="7" t="e">
        <f>IF(VLOOKUP($A2262,'Concrete Beam Schedule'!$A$2:$Q$2902,AC$2,0)&lt;&gt;M2262,"Beam Revised","")</f>
        <v>#N/A</v>
      </c>
      <c r="AD2262" s="7" t="e">
        <f>IF(VLOOKUP($A2262,'Concrete Beam Schedule'!$A$2:$Q$2902,AD$2,0)&lt;&gt;N2262,"Beam Revised","")</f>
        <v>#N/A</v>
      </c>
      <c r="AE2262" s="7" t="e">
        <f>IF(VLOOKUP($A2262,'Concrete Beam Schedule'!$A$2:$Q$2902,AE$2,0)&lt;&gt;O2262,"Beam Revised","")</f>
        <v>#N/A</v>
      </c>
    </row>
    <row r="2263" spans="17:31" ht="20.100000000000001" customHeight="1" x14ac:dyDescent="0.25">
      <c r="Q2263" s="7">
        <f t="shared" si="35"/>
        <v>0</v>
      </c>
      <c r="R2263" s="7" t="e">
        <f>IF(VLOOKUP($A2263,'Concrete Beam Schedule'!$A$2:$Q$2902,R$2,0)&lt;&gt;B2263,VLOOKUP($A2263,'Concrete Beam Schedule'!$A$2:$Q$2902,R$2,0),"")</f>
        <v>#N/A</v>
      </c>
      <c r="S2263" s="7" t="e">
        <f>IF(VLOOKUP($A2263,'Concrete Beam Schedule'!$A$2:$Q$2902,S$2,0)&lt;&gt;C2263,VLOOKUP($A2263,'Concrete Beam Schedule'!$A$2:$Q$2902,S$2,0),"")</f>
        <v>#N/A</v>
      </c>
      <c r="T2263" s="7" t="e">
        <f>IF(VLOOKUP($A2263,'Concrete Beam Schedule'!$A$2:$Q$2902,T$2,0)&lt;&gt;D2263,"Beam Revised","")</f>
        <v>#N/A</v>
      </c>
      <c r="U2263" s="7" t="e">
        <f>IF(VLOOKUP($A2263,'Concrete Beam Schedule'!$A$2:$Q$2902,U$2,0)&lt;&gt;E2263,"Beam Revised","")</f>
        <v>#N/A</v>
      </c>
      <c r="V2263" s="7" t="e">
        <f>IF(VLOOKUP($A2263,'Concrete Beam Schedule'!$A$2:$Q$2902,V$2,0)&lt;&gt;F2263,"Beam Revised","")</f>
        <v>#N/A</v>
      </c>
      <c r="W2263" s="7" t="e">
        <f>IF(VLOOKUP($A2263,'Concrete Beam Schedule'!$A$2:$Q$2902,W$2,0)&lt;&gt;G2263,"Beam Revised","")</f>
        <v>#N/A</v>
      </c>
      <c r="X2263" s="7" t="e">
        <f>IF(VLOOKUP($A2263,'Concrete Beam Schedule'!$A$2:$Q$2902,X$2,0)&lt;&gt;H2263,"Beam Revised","")</f>
        <v>#N/A</v>
      </c>
      <c r="Y2263" s="7" t="e">
        <f>IF(VLOOKUP($A2263,'Concrete Beam Schedule'!$A$2:$Q$2902,Y$2,0)&lt;&gt;I2263,"Beam Revised","")</f>
        <v>#N/A</v>
      </c>
      <c r="Z2263" s="7" t="e">
        <f>IF(VLOOKUP($A2263,'Concrete Beam Schedule'!$A$2:$Q$2902,Z$2,0)&lt;&gt;J2263,"Beam Revised","")</f>
        <v>#N/A</v>
      </c>
      <c r="AA2263" s="7" t="e">
        <f>IF(VLOOKUP($A2263,'Concrete Beam Schedule'!$A$2:$Q$2902,AA$2,0)&lt;&gt;K2263,"Beam Revised","")</f>
        <v>#N/A</v>
      </c>
      <c r="AB2263" s="7" t="e">
        <f>IF(VLOOKUP($A2263,'Concrete Beam Schedule'!$A$2:$Q$2902,AB$2,0)&lt;&gt;L2263,"Beam Revised","")</f>
        <v>#N/A</v>
      </c>
      <c r="AC2263" s="7" t="e">
        <f>IF(VLOOKUP($A2263,'Concrete Beam Schedule'!$A$2:$Q$2902,AC$2,0)&lt;&gt;M2263,"Beam Revised","")</f>
        <v>#N/A</v>
      </c>
      <c r="AD2263" s="7" t="e">
        <f>IF(VLOOKUP($A2263,'Concrete Beam Schedule'!$A$2:$Q$2902,AD$2,0)&lt;&gt;N2263,"Beam Revised","")</f>
        <v>#N/A</v>
      </c>
      <c r="AE2263" s="7" t="e">
        <f>IF(VLOOKUP($A2263,'Concrete Beam Schedule'!$A$2:$Q$2902,AE$2,0)&lt;&gt;O2263,"Beam Revised","")</f>
        <v>#N/A</v>
      </c>
    </row>
    <row r="2264" spans="17:31" ht="20.100000000000001" customHeight="1" x14ac:dyDescent="0.25">
      <c r="Q2264" s="7">
        <f t="shared" si="35"/>
        <v>0</v>
      </c>
      <c r="R2264" s="7" t="e">
        <f>IF(VLOOKUP($A2264,'Concrete Beam Schedule'!$A$2:$Q$2902,R$2,0)&lt;&gt;B2264,VLOOKUP($A2264,'Concrete Beam Schedule'!$A$2:$Q$2902,R$2,0),"")</f>
        <v>#N/A</v>
      </c>
      <c r="S2264" s="7" t="e">
        <f>IF(VLOOKUP($A2264,'Concrete Beam Schedule'!$A$2:$Q$2902,S$2,0)&lt;&gt;C2264,VLOOKUP($A2264,'Concrete Beam Schedule'!$A$2:$Q$2902,S$2,0),"")</f>
        <v>#N/A</v>
      </c>
      <c r="T2264" s="7" t="e">
        <f>IF(VLOOKUP($A2264,'Concrete Beam Schedule'!$A$2:$Q$2902,T$2,0)&lt;&gt;D2264,"Beam Revised","")</f>
        <v>#N/A</v>
      </c>
      <c r="U2264" s="7" t="e">
        <f>IF(VLOOKUP($A2264,'Concrete Beam Schedule'!$A$2:$Q$2902,U$2,0)&lt;&gt;E2264,"Beam Revised","")</f>
        <v>#N/A</v>
      </c>
      <c r="V2264" s="7" t="e">
        <f>IF(VLOOKUP($A2264,'Concrete Beam Schedule'!$A$2:$Q$2902,V$2,0)&lt;&gt;F2264,"Beam Revised","")</f>
        <v>#N/A</v>
      </c>
      <c r="W2264" s="7" t="e">
        <f>IF(VLOOKUP($A2264,'Concrete Beam Schedule'!$A$2:$Q$2902,W$2,0)&lt;&gt;G2264,"Beam Revised","")</f>
        <v>#N/A</v>
      </c>
      <c r="X2264" s="7" t="e">
        <f>IF(VLOOKUP($A2264,'Concrete Beam Schedule'!$A$2:$Q$2902,X$2,0)&lt;&gt;H2264,"Beam Revised","")</f>
        <v>#N/A</v>
      </c>
      <c r="Y2264" s="7" t="e">
        <f>IF(VLOOKUP($A2264,'Concrete Beam Schedule'!$A$2:$Q$2902,Y$2,0)&lt;&gt;I2264,"Beam Revised","")</f>
        <v>#N/A</v>
      </c>
      <c r="Z2264" s="7" t="e">
        <f>IF(VLOOKUP($A2264,'Concrete Beam Schedule'!$A$2:$Q$2902,Z$2,0)&lt;&gt;J2264,"Beam Revised","")</f>
        <v>#N/A</v>
      </c>
      <c r="AA2264" s="7" t="e">
        <f>IF(VLOOKUP($A2264,'Concrete Beam Schedule'!$A$2:$Q$2902,AA$2,0)&lt;&gt;K2264,"Beam Revised","")</f>
        <v>#N/A</v>
      </c>
      <c r="AB2264" s="7" t="e">
        <f>IF(VLOOKUP($A2264,'Concrete Beam Schedule'!$A$2:$Q$2902,AB$2,0)&lt;&gt;L2264,"Beam Revised","")</f>
        <v>#N/A</v>
      </c>
      <c r="AC2264" s="7" t="e">
        <f>IF(VLOOKUP($A2264,'Concrete Beam Schedule'!$A$2:$Q$2902,AC$2,0)&lt;&gt;M2264,"Beam Revised","")</f>
        <v>#N/A</v>
      </c>
      <c r="AD2264" s="7" t="e">
        <f>IF(VLOOKUP($A2264,'Concrete Beam Schedule'!$A$2:$Q$2902,AD$2,0)&lt;&gt;N2264,"Beam Revised","")</f>
        <v>#N/A</v>
      </c>
      <c r="AE2264" s="7" t="e">
        <f>IF(VLOOKUP($A2264,'Concrete Beam Schedule'!$A$2:$Q$2902,AE$2,0)&lt;&gt;O2264,"Beam Revised","")</f>
        <v>#N/A</v>
      </c>
    </row>
    <row r="2265" spans="17:31" ht="20.100000000000001" customHeight="1" x14ac:dyDescent="0.25">
      <c r="Q2265" s="7">
        <f t="shared" si="35"/>
        <v>0</v>
      </c>
      <c r="R2265" s="7" t="e">
        <f>IF(VLOOKUP($A2265,'Concrete Beam Schedule'!$A$2:$Q$2902,R$2,0)&lt;&gt;B2265,VLOOKUP($A2265,'Concrete Beam Schedule'!$A$2:$Q$2902,R$2,0),"")</f>
        <v>#N/A</v>
      </c>
      <c r="S2265" s="7" t="e">
        <f>IF(VLOOKUP($A2265,'Concrete Beam Schedule'!$A$2:$Q$2902,S$2,0)&lt;&gt;C2265,VLOOKUP($A2265,'Concrete Beam Schedule'!$A$2:$Q$2902,S$2,0),"")</f>
        <v>#N/A</v>
      </c>
      <c r="T2265" s="7" t="e">
        <f>IF(VLOOKUP($A2265,'Concrete Beam Schedule'!$A$2:$Q$2902,T$2,0)&lt;&gt;D2265,"Beam Revised","")</f>
        <v>#N/A</v>
      </c>
      <c r="U2265" s="7" t="e">
        <f>IF(VLOOKUP($A2265,'Concrete Beam Schedule'!$A$2:$Q$2902,U$2,0)&lt;&gt;E2265,"Beam Revised","")</f>
        <v>#N/A</v>
      </c>
      <c r="V2265" s="7" t="e">
        <f>IF(VLOOKUP($A2265,'Concrete Beam Schedule'!$A$2:$Q$2902,V$2,0)&lt;&gt;F2265,"Beam Revised","")</f>
        <v>#N/A</v>
      </c>
      <c r="W2265" s="7" t="e">
        <f>IF(VLOOKUP($A2265,'Concrete Beam Schedule'!$A$2:$Q$2902,W$2,0)&lt;&gt;G2265,"Beam Revised","")</f>
        <v>#N/A</v>
      </c>
      <c r="X2265" s="7" t="e">
        <f>IF(VLOOKUP($A2265,'Concrete Beam Schedule'!$A$2:$Q$2902,X$2,0)&lt;&gt;H2265,"Beam Revised","")</f>
        <v>#N/A</v>
      </c>
      <c r="Y2265" s="7" t="e">
        <f>IF(VLOOKUP($A2265,'Concrete Beam Schedule'!$A$2:$Q$2902,Y$2,0)&lt;&gt;I2265,"Beam Revised","")</f>
        <v>#N/A</v>
      </c>
      <c r="Z2265" s="7" t="e">
        <f>IF(VLOOKUP($A2265,'Concrete Beam Schedule'!$A$2:$Q$2902,Z$2,0)&lt;&gt;J2265,"Beam Revised","")</f>
        <v>#N/A</v>
      </c>
      <c r="AA2265" s="7" t="e">
        <f>IF(VLOOKUP($A2265,'Concrete Beam Schedule'!$A$2:$Q$2902,AA$2,0)&lt;&gt;K2265,"Beam Revised","")</f>
        <v>#N/A</v>
      </c>
      <c r="AB2265" s="7" t="e">
        <f>IF(VLOOKUP($A2265,'Concrete Beam Schedule'!$A$2:$Q$2902,AB$2,0)&lt;&gt;L2265,"Beam Revised","")</f>
        <v>#N/A</v>
      </c>
      <c r="AC2265" s="7" t="e">
        <f>IF(VLOOKUP($A2265,'Concrete Beam Schedule'!$A$2:$Q$2902,AC$2,0)&lt;&gt;M2265,"Beam Revised","")</f>
        <v>#N/A</v>
      </c>
      <c r="AD2265" s="7" t="e">
        <f>IF(VLOOKUP($A2265,'Concrete Beam Schedule'!$A$2:$Q$2902,AD$2,0)&lt;&gt;N2265,"Beam Revised","")</f>
        <v>#N/A</v>
      </c>
      <c r="AE2265" s="7" t="e">
        <f>IF(VLOOKUP($A2265,'Concrete Beam Schedule'!$A$2:$Q$2902,AE$2,0)&lt;&gt;O2265,"Beam Revised","")</f>
        <v>#N/A</v>
      </c>
    </row>
    <row r="2266" spans="17:31" ht="20.100000000000001" customHeight="1" x14ac:dyDescent="0.25">
      <c r="Q2266" s="7">
        <f t="shared" si="35"/>
        <v>0</v>
      </c>
      <c r="R2266" s="7" t="e">
        <f>IF(VLOOKUP($A2266,'Concrete Beam Schedule'!$A$2:$Q$2902,R$2,0)&lt;&gt;B2266,VLOOKUP($A2266,'Concrete Beam Schedule'!$A$2:$Q$2902,R$2,0),"")</f>
        <v>#N/A</v>
      </c>
      <c r="S2266" s="7" t="e">
        <f>IF(VLOOKUP($A2266,'Concrete Beam Schedule'!$A$2:$Q$2902,S$2,0)&lt;&gt;C2266,VLOOKUP($A2266,'Concrete Beam Schedule'!$A$2:$Q$2902,S$2,0),"")</f>
        <v>#N/A</v>
      </c>
      <c r="T2266" s="7" t="e">
        <f>IF(VLOOKUP($A2266,'Concrete Beam Schedule'!$A$2:$Q$2902,T$2,0)&lt;&gt;D2266,"Beam Revised","")</f>
        <v>#N/A</v>
      </c>
      <c r="U2266" s="7" t="e">
        <f>IF(VLOOKUP($A2266,'Concrete Beam Schedule'!$A$2:$Q$2902,U$2,0)&lt;&gt;E2266,"Beam Revised","")</f>
        <v>#N/A</v>
      </c>
      <c r="V2266" s="7" t="e">
        <f>IF(VLOOKUP($A2266,'Concrete Beam Schedule'!$A$2:$Q$2902,V$2,0)&lt;&gt;F2266,"Beam Revised","")</f>
        <v>#N/A</v>
      </c>
      <c r="W2266" s="7" t="e">
        <f>IF(VLOOKUP($A2266,'Concrete Beam Schedule'!$A$2:$Q$2902,W$2,0)&lt;&gt;G2266,"Beam Revised","")</f>
        <v>#N/A</v>
      </c>
      <c r="X2266" s="7" t="e">
        <f>IF(VLOOKUP($A2266,'Concrete Beam Schedule'!$A$2:$Q$2902,X$2,0)&lt;&gt;H2266,"Beam Revised","")</f>
        <v>#N/A</v>
      </c>
      <c r="Y2266" s="7" t="e">
        <f>IF(VLOOKUP($A2266,'Concrete Beam Schedule'!$A$2:$Q$2902,Y$2,0)&lt;&gt;I2266,"Beam Revised","")</f>
        <v>#N/A</v>
      </c>
      <c r="Z2266" s="7" t="e">
        <f>IF(VLOOKUP($A2266,'Concrete Beam Schedule'!$A$2:$Q$2902,Z$2,0)&lt;&gt;J2266,"Beam Revised","")</f>
        <v>#N/A</v>
      </c>
      <c r="AA2266" s="7" t="e">
        <f>IF(VLOOKUP($A2266,'Concrete Beam Schedule'!$A$2:$Q$2902,AA$2,0)&lt;&gt;K2266,"Beam Revised","")</f>
        <v>#N/A</v>
      </c>
      <c r="AB2266" s="7" t="e">
        <f>IF(VLOOKUP($A2266,'Concrete Beam Schedule'!$A$2:$Q$2902,AB$2,0)&lt;&gt;L2266,"Beam Revised","")</f>
        <v>#N/A</v>
      </c>
      <c r="AC2266" s="7" t="e">
        <f>IF(VLOOKUP($A2266,'Concrete Beam Schedule'!$A$2:$Q$2902,AC$2,0)&lt;&gt;M2266,"Beam Revised","")</f>
        <v>#N/A</v>
      </c>
      <c r="AD2266" s="7" t="e">
        <f>IF(VLOOKUP($A2266,'Concrete Beam Schedule'!$A$2:$Q$2902,AD$2,0)&lt;&gt;N2266,"Beam Revised","")</f>
        <v>#N/A</v>
      </c>
      <c r="AE2266" s="7" t="e">
        <f>IF(VLOOKUP($A2266,'Concrete Beam Schedule'!$A$2:$Q$2902,AE$2,0)&lt;&gt;O2266,"Beam Revised","")</f>
        <v>#N/A</v>
      </c>
    </row>
    <row r="2267" spans="17:31" ht="20.100000000000001" customHeight="1" x14ac:dyDescent="0.25">
      <c r="Q2267" s="7">
        <f t="shared" si="35"/>
        <v>0</v>
      </c>
      <c r="R2267" s="7" t="e">
        <f>IF(VLOOKUP($A2267,'Concrete Beam Schedule'!$A$2:$Q$2902,R$2,0)&lt;&gt;B2267,VLOOKUP($A2267,'Concrete Beam Schedule'!$A$2:$Q$2902,R$2,0),"")</f>
        <v>#N/A</v>
      </c>
      <c r="S2267" s="7" t="e">
        <f>IF(VLOOKUP($A2267,'Concrete Beam Schedule'!$A$2:$Q$2902,S$2,0)&lt;&gt;C2267,VLOOKUP($A2267,'Concrete Beam Schedule'!$A$2:$Q$2902,S$2,0),"")</f>
        <v>#N/A</v>
      </c>
      <c r="T2267" s="7" t="e">
        <f>IF(VLOOKUP($A2267,'Concrete Beam Schedule'!$A$2:$Q$2902,T$2,0)&lt;&gt;D2267,"Beam Revised","")</f>
        <v>#N/A</v>
      </c>
      <c r="U2267" s="7" t="e">
        <f>IF(VLOOKUP($A2267,'Concrete Beam Schedule'!$A$2:$Q$2902,U$2,0)&lt;&gt;E2267,"Beam Revised","")</f>
        <v>#N/A</v>
      </c>
      <c r="V2267" s="7" t="e">
        <f>IF(VLOOKUP($A2267,'Concrete Beam Schedule'!$A$2:$Q$2902,V$2,0)&lt;&gt;F2267,"Beam Revised","")</f>
        <v>#N/A</v>
      </c>
      <c r="W2267" s="7" t="e">
        <f>IF(VLOOKUP($A2267,'Concrete Beam Schedule'!$A$2:$Q$2902,W$2,0)&lt;&gt;G2267,"Beam Revised","")</f>
        <v>#N/A</v>
      </c>
      <c r="X2267" s="7" t="e">
        <f>IF(VLOOKUP($A2267,'Concrete Beam Schedule'!$A$2:$Q$2902,X$2,0)&lt;&gt;H2267,"Beam Revised","")</f>
        <v>#N/A</v>
      </c>
      <c r="Y2267" s="7" t="e">
        <f>IF(VLOOKUP($A2267,'Concrete Beam Schedule'!$A$2:$Q$2902,Y$2,0)&lt;&gt;I2267,"Beam Revised","")</f>
        <v>#N/A</v>
      </c>
      <c r="Z2267" s="7" t="e">
        <f>IF(VLOOKUP($A2267,'Concrete Beam Schedule'!$A$2:$Q$2902,Z$2,0)&lt;&gt;J2267,"Beam Revised","")</f>
        <v>#N/A</v>
      </c>
      <c r="AA2267" s="7" t="e">
        <f>IF(VLOOKUP($A2267,'Concrete Beam Schedule'!$A$2:$Q$2902,AA$2,0)&lt;&gt;K2267,"Beam Revised","")</f>
        <v>#N/A</v>
      </c>
      <c r="AB2267" s="7" t="e">
        <f>IF(VLOOKUP($A2267,'Concrete Beam Schedule'!$A$2:$Q$2902,AB$2,0)&lt;&gt;L2267,"Beam Revised","")</f>
        <v>#N/A</v>
      </c>
      <c r="AC2267" s="7" t="e">
        <f>IF(VLOOKUP($A2267,'Concrete Beam Schedule'!$A$2:$Q$2902,AC$2,0)&lt;&gt;M2267,"Beam Revised","")</f>
        <v>#N/A</v>
      </c>
      <c r="AD2267" s="7" t="e">
        <f>IF(VLOOKUP($A2267,'Concrete Beam Schedule'!$A$2:$Q$2902,AD$2,0)&lt;&gt;N2267,"Beam Revised","")</f>
        <v>#N/A</v>
      </c>
      <c r="AE2267" s="7" t="e">
        <f>IF(VLOOKUP($A2267,'Concrete Beam Schedule'!$A$2:$Q$2902,AE$2,0)&lt;&gt;O2267,"Beam Revised","")</f>
        <v>#N/A</v>
      </c>
    </row>
    <row r="2268" spans="17:31" ht="20.100000000000001" customHeight="1" x14ac:dyDescent="0.25">
      <c r="Q2268" s="7">
        <f t="shared" si="35"/>
        <v>0</v>
      </c>
      <c r="R2268" s="7" t="e">
        <f>IF(VLOOKUP($A2268,'Concrete Beam Schedule'!$A$2:$Q$2902,R$2,0)&lt;&gt;B2268,VLOOKUP($A2268,'Concrete Beam Schedule'!$A$2:$Q$2902,R$2,0),"")</f>
        <v>#N/A</v>
      </c>
      <c r="S2268" s="7" t="e">
        <f>IF(VLOOKUP($A2268,'Concrete Beam Schedule'!$A$2:$Q$2902,S$2,0)&lt;&gt;C2268,VLOOKUP($A2268,'Concrete Beam Schedule'!$A$2:$Q$2902,S$2,0),"")</f>
        <v>#N/A</v>
      </c>
      <c r="T2268" s="7" t="e">
        <f>IF(VLOOKUP($A2268,'Concrete Beam Schedule'!$A$2:$Q$2902,T$2,0)&lt;&gt;D2268,"Beam Revised","")</f>
        <v>#N/A</v>
      </c>
      <c r="U2268" s="7" t="e">
        <f>IF(VLOOKUP($A2268,'Concrete Beam Schedule'!$A$2:$Q$2902,U$2,0)&lt;&gt;E2268,"Beam Revised","")</f>
        <v>#N/A</v>
      </c>
      <c r="V2268" s="7" t="e">
        <f>IF(VLOOKUP($A2268,'Concrete Beam Schedule'!$A$2:$Q$2902,V$2,0)&lt;&gt;F2268,"Beam Revised","")</f>
        <v>#N/A</v>
      </c>
      <c r="W2268" s="7" t="e">
        <f>IF(VLOOKUP($A2268,'Concrete Beam Schedule'!$A$2:$Q$2902,W$2,0)&lt;&gt;G2268,"Beam Revised","")</f>
        <v>#N/A</v>
      </c>
      <c r="X2268" s="7" t="e">
        <f>IF(VLOOKUP($A2268,'Concrete Beam Schedule'!$A$2:$Q$2902,X$2,0)&lt;&gt;H2268,"Beam Revised","")</f>
        <v>#N/A</v>
      </c>
      <c r="Y2268" s="7" t="e">
        <f>IF(VLOOKUP($A2268,'Concrete Beam Schedule'!$A$2:$Q$2902,Y$2,0)&lt;&gt;I2268,"Beam Revised","")</f>
        <v>#N/A</v>
      </c>
      <c r="Z2268" s="7" t="e">
        <f>IF(VLOOKUP($A2268,'Concrete Beam Schedule'!$A$2:$Q$2902,Z$2,0)&lt;&gt;J2268,"Beam Revised","")</f>
        <v>#N/A</v>
      </c>
      <c r="AA2268" s="7" t="e">
        <f>IF(VLOOKUP($A2268,'Concrete Beam Schedule'!$A$2:$Q$2902,AA$2,0)&lt;&gt;K2268,"Beam Revised","")</f>
        <v>#N/A</v>
      </c>
      <c r="AB2268" s="7" t="e">
        <f>IF(VLOOKUP($A2268,'Concrete Beam Schedule'!$A$2:$Q$2902,AB$2,0)&lt;&gt;L2268,"Beam Revised","")</f>
        <v>#N/A</v>
      </c>
      <c r="AC2268" s="7" t="e">
        <f>IF(VLOOKUP($A2268,'Concrete Beam Schedule'!$A$2:$Q$2902,AC$2,0)&lt;&gt;M2268,"Beam Revised","")</f>
        <v>#N/A</v>
      </c>
      <c r="AD2268" s="7" t="e">
        <f>IF(VLOOKUP($A2268,'Concrete Beam Schedule'!$A$2:$Q$2902,AD$2,0)&lt;&gt;N2268,"Beam Revised","")</f>
        <v>#N/A</v>
      </c>
      <c r="AE2268" s="7" t="e">
        <f>IF(VLOOKUP($A2268,'Concrete Beam Schedule'!$A$2:$Q$2902,AE$2,0)&lt;&gt;O2268,"Beam Revised","")</f>
        <v>#N/A</v>
      </c>
    </row>
    <row r="2269" spans="17:31" ht="20.100000000000001" customHeight="1" x14ac:dyDescent="0.25">
      <c r="Q2269" s="7">
        <f t="shared" si="35"/>
        <v>0</v>
      </c>
      <c r="R2269" s="7" t="e">
        <f>IF(VLOOKUP($A2269,'Concrete Beam Schedule'!$A$2:$Q$2902,R$2,0)&lt;&gt;B2269,VLOOKUP($A2269,'Concrete Beam Schedule'!$A$2:$Q$2902,R$2,0),"")</f>
        <v>#N/A</v>
      </c>
      <c r="S2269" s="7" t="e">
        <f>IF(VLOOKUP($A2269,'Concrete Beam Schedule'!$A$2:$Q$2902,S$2,0)&lt;&gt;C2269,VLOOKUP($A2269,'Concrete Beam Schedule'!$A$2:$Q$2902,S$2,0),"")</f>
        <v>#N/A</v>
      </c>
      <c r="T2269" s="7" t="e">
        <f>IF(VLOOKUP($A2269,'Concrete Beam Schedule'!$A$2:$Q$2902,T$2,0)&lt;&gt;D2269,"Beam Revised","")</f>
        <v>#N/A</v>
      </c>
      <c r="U2269" s="7" t="e">
        <f>IF(VLOOKUP($A2269,'Concrete Beam Schedule'!$A$2:$Q$2902,U$2,0)&lt;&gt;E2269,"Beam Revised","")</f>
        <v>#N/A</v>
      </c>
      <c r="V2269" s="7" t="e">
        <f>IF(VLOOKUP($A2269,'Concrete Beam Schedule'!$A$2:$Q$2902,V$2,0)&lt;&gt;F2269,"Beam Revised","")</f>
        <v>#N/A</v>
      </c>
      <c r="W2269" s="7" t="e">
        <f>IF(VLOOKUP($A2269,'Concrete Beam Schedule'!$A$2:$Q$2902,W$2,0)&lt;&gt;G2269,"Beam Revised","")</f>
        <v>#N/A</v>
      </c>
      <c r="X2269" s="7" t="e">
        <f>IF(VLOOKUP($A2269,'Concrete Beam Schedule'!$A$2:$Q$2902,X$2,0)&lt;&gt;H2269,"Beam Revised","")</f>
        <v>#N/A</v>
      </c>
      <c r="Y2269" s="7" t="e">
        <f>IF(VLOOKUP($A2269,'Concrete Beam Schedule'!$A$2:$Q$2902,Y$2,0)&lt;&gt;I2269,"Beam Revised","")</f>
        <v>#N/A</v>
      </c>
      <c r="Z2269" s="7" t="e">
        <f>IF(VLOOKUP($A2269,'Concrete Beam Schedule'!$A$2:$Q$2902,Z$2,0)&lt;&gt;J2269,"Beam Revised","")</f>
        <v>#N/A</v>
      </c>
      <c r="AA2269" s="7" t="e">
        <f>IF(VLOOKUP($A2269,'Concrete Beam Schedule'!$A$2:$Q$2902,AA$2,0)&lt;&gt;K2269,"Beam Revised","")</f>
        <v>#N/A</v>
      </c>
      <c r="AB2269" s="7" t="e">
        <f>IF(VLOOKUP($A2269,'Concrete Beam Schedule'!$A$2:$Q$2902,AB$2,0)&lt;&gt;L2269,"Beam Revised","")</f>
        <v>#N/A</v>
      </c>
      <c r="AC2269" s="7" t="e">
        <f>IF(VLOOKUP($A2269,'Concrete Beam Schedule'!$A$2:$Q$2902,AC$2,0)&lt;&gt;M2269,"Beam Revised","")</f>
        <v>#N/A</v>
      </c>
      <c r="AD2269" s="7" t="e">
        <f>IF(VLOOKUP($A2269,'Concrete Beam Schedule'!$A$2:$Q$2902,AD$2,0)&lt;&gt;N2269,"Beam Revised","")</f>
        <v>#N/A</v>
      </c>
      <c r="AE2269" s="7" t="e">
        <f>IF(VLOOKUP($A2269,'Concrete Beam Schedule'!$A$2:$Q$2902,AE$2,0)&lt;&gt;O2269,"Beam Revised","")</f>
        <v>#N/A</v>
      </c>
    </row>
    <row r="2270" spans="17:31" ht="20.100000000000001" customHeight="1" x14ac:dyDescent="0.25">
      <c r="Q2270" s="7">
        <f t="shared" si="35"/>
        <v>0</v>
      </c>
      <c r="R2270" s="7" t="e">
        <f>IF(VLOOKUP($A2270,'Concrete Beam Schedule'!$A$2:$Q$2902,R$2,0)&lt;&gt;B2270,VLOOKUP($A2270,'Concrete Beam Schedule'!$A$2:$Q$2902,R$2,0),"")</f>
        <v>#N/A</v>
      </c>
      <c r="S2270" s="7" t="e">
        <f>IF(VLOOKUP($A2270,'Concrete Beam Schedule'!$A$2:$Q$2902,S$2,0)&lt;&gt;C2270,VLOOKUP($A2270,'Concrete Beam Schedule'!$A$2:$Q$2902,S$2,0),"")</f>
        <v>#N/A</v>
      </c>
      <c r="T2270" s="7" t="e">
        <f>IF(VLOOKUP($A2270,'Concrete Beam Schedule'!$A$2:$Q$2902,T$2,0)&lt;&gt;D2270,"Beam Revised","")</f>
        <v>#N/A</v>
      </c>
      <c r="U2270" s="7" t="e">
        <f>IF(VLOOKUP($A2270,'Concrete Beam Schedule'!$A$2:$Q$2902,U$2,0)&lt;&gt;E2270,"Beam Revised","")</f>
        <v>#N/A</v>
      </c>
      <c r="V2270" s="7" t="e">
        <f>IF(VLOOKUP($A2270,'Concrete Beam Schedule'!$A$2:$Q$2902,V$2,0)&lt;&gt;F2270,"Beam Revised","")</f>
        <v>#N/A</v>
      </c>
      <c r="W2270" s="7" t="e">
        <f>IF(VLOOKUP($A2270,'Concrete Beam Schedule'!$A$2:$Q$2902,W$2,0)&lt;&gt;G2270,"Beam Revised","")</f>
        <v>#N/A</v>
      </c>
      <c r="X2270" s="7" t="e">
        <f>IF(VLOOKUP($A2270,'Concrete Beam Schedule'!$A$2:$Q$2902,X$2,0)&lt;&gt;H2270,"Beam Revised","")</f>
        <v>#N/A</v>
      </c>
      <c r="Y2270" s="7" t="e">
        <f>IF(VLOOKUP($A2270,'Concrete Beam Schedule'!$A$2:$Q$2902,Y$2,0)&lt;&gt;I2270,"Beam Revised","")</f>
        <v>#N/A</v>
      </c>
      <c r="Z2270" s="7" t="e">
        <f>IF(VLOOKUP($A2270,'Concrete Beam Schedule'!$A$2:$Q$2902,Z$2,0)&lt;&gt;J2270,"Beam Revised","")</f>
        <v>#N/A</v>
      </c>
      <c r="AA2270" s="7" t="e">
        <f>IF(VLOOKUP($A2270,'Concrete Beam Schedule'!$A$2:$Q$2902,AA$2,0)&lt;&gt;K2270,"Beam Revised","")</f>
        <v>#N/A</v>
      </c>
      <c r="AB2270" s="7" t="e">
        <f>IF(VLOOKUP($A2270,'Concrete Beam Schedule'!$A$2:$Q$2902,AB$2,0)&lt;&gt;L2270,"Beam Revised","")</f>
        <v>#N/A</v>
      </c>
      <c r="AC2270" s="7" t="e">
        <f>IF(VLOOKUP($A2270,'Concrete Beam Schedule'!$A$2:$Q$2902,AC$2,0)&lt;&gt;M2270,"Beam Revised","")</f>
        <v>#N/A</v>
      </c>
      <c r="AD2270" s="7" t="e">
        <f>IF(VLOOKUP($A2270,'Concrete Beam Schedule'!$A$2:$Q$2902,AD$2,0)&lt;&gt;N2270,"Beam Revised","")</f>
        <v>#N/A</v>
      </c>
      <c r="AE2270" s="7" t="e">
        <f>IF(VLOOKUP($A2270,'Concrete Beam Schedule'!$A$2:$Q$2902,AE$2,0)&lt;&gt;O2270,"Beam Revised","")</f>
        <v>#N/A</v>
      </c>
    </row>
    <row r="2271" spans="17:31" ht="20.100000000000001" customHeight="1" x14ac:dyDescent="0.25">
      <c r="Q2271" s="7">
        <f t="shared" si="35"/>
        <v>0</v>
      </c>
      <c r="R2271" s="7" t="e">
        <f>IF(VLOOKUP($A2271,'Concrete Beam Schedule'!$A$2:$Q$2902,R$2,0)&lt;&gt;B2271,VLOOKUP($A2271,'Concrete Beam Schedule'!$A$2:$Q$2902,R$2,0),"")</f>
        <v>#N/A</v>
      </c>
      <c r="S2271" s="7" t="e">
        <f>IF(VLOOKUP($A2271,'Concrete Beam Schedule'!$A$2:$Q$2902,S$2,0)&lt;&gt;C2271,VLOOKUP($A2271,'Concrete Beam Schedule'!$A$2:$Q$2902,S$2,0),"")</f>
        <v>#N/A</v>
      </c>
      <c r="T2271" s="7" t="e">
        <f>IF(VLOOKUP($A2271,'Concrete Beam Schedule'!$A$2:$Q$2902,T$2,0)&lt;&gt;D2271,"Beam Revised","")</f>
        <v>#N/A</v>
      </c>
      <c r="U2271" s="7" t="e">
        <f>IF(VLOOKUP($A2271,'Concrete Beam Schedule'!$A$2:$Q$2902,U$2,0)&lt;&gt;E2271,"Beam Revised","")</f>
        <v>#N/A</v>
      </c>
      <c r="V2271" s="7" t="e">
        <f>IF(VLOOKUP($A2271,'Concrete Beam Schedule'!$A$2:$Q$2902,V$2,0)&lt;&gt;F2271,"Beam Revised","")</f>
        <v>#N/A</v>
      </c>
      <c r="W2271" s="7" t="e">
        <f>IF(VLOOKUP($A2271,'Concrete Beam Schedule'!$A$2:$Q$2902,W$2,0)&lt;&gt;G2271,"Beam Revised","")</f>
        <v>#N/A</v>
      </c>
      <c r="X2271" s="7" t="e">
        <f>IF(VLOOKUP($A2271,'Concrete Beam Schedule'!$A$2:$Q$2902,X$2,0)&lt;&gt;H2271,"Beam Revised","")</f>
        <v>#N/A</v>
      </c>
      <c r="Y2271" s="7" t="e">
        <f>IF(VLOOKUP($A2271,'Concrete Beam Schedule'!$A$2:$Q$2902,Y$2,0)&lt;&gt;I2271,"Beam Revised","")</f>
        <v>#N/A</v>
      </c>
      <c r="Z2271" s="7" t="e">
        <f>IF(VLOOKUP($A2271,'Concrete Beam Schedule'!$A$2:$Q$2902,Z$2,0)&lt;&gt;J2271,"Beam Revised","")</f>
        <v>#N/A</v>
      </c>
      <c r="AA2271" s="7" t="e">
        <f>IF(VLOOKUP($A2271,'Concrete Beam Schedule'!$A$2:$Q$2902,AA$2,0)&lt;&gt;K2271,"Beam Revised","")</f>
        <v>#N/A</v>
      </c>
      <c r="AB2271" s="7" t="e">
        <f>IF(VLOOKUP($A2271,'Concrete Beam Schedule'!$A$2:$Q$2902,AB$2,0)&lt;&gt;L2271,"Beam Revised","")</f>
        <v>#N/A</v>
      </c>
      <c r="AC2271" s="7" t="e">
        <f>IF(VLOOKUP($A2271,'Concrete Beam Schedule'!$A$2:$Q$2902,AC$2,0)&lt;&gt;M2271,"Beam Revised","")</f>
        <v>#N/A</v>
      </c>
      <c r="AD2271" s="7" t="e">
        <f>IF(VLOOKUP($A2271,'Concrete Beam Schedule'!$A$2:$Q$2902,AD$2,0)&lt;&gt;N2271,"Beam Revised","")</f>
        <v>#N/A</v>
      </c>
      <c r="AE2271" s="7" t="e">
        <f>IF(VLOOKUP($A2271,'Concrete Beam Schedule'!$A$2:$Q$2902,AE$2,0)&lt;&gt;O2271,"Beam Revised","")</f>
        <v>#N/A</v>
      </c>
    </row>
    <row r="2272" spans="17:31" ht="20.100000000000001" customHeight="1" x14ac:dyDescent="0.25">
      <c r="Q2272" s="7">
        <f t="shared" si="35"/>
        <v>0</v>
      </c>
      <c r="R2272" s="7" t="e">
        <f>IF(VLOOKUP($A2272,'Concrete Beam Schedule'!$A$2:$Q$2902,R$2,0)&lt;&gt;B2272,VLOOKUP($A2272,'Concrete Beam Schedule'!$A$2:$Q$2902,R$2,0),"")</f>
        <v>#N/A</v>
      </c>
      <c r="S2272" s="7" t="e">
        <f>IF(VLOOKUP($A2272,'Concrete Beam Schedule'!$A$2:$Q$2902,S$2,0)&lt;&gt;C2272,VLOOKUP($A2272,'Concrete Beam Schedule'!$A$2:$Q$2902,S$2,0),"")</f>
        <v>#N/A</v>
      </c>
      <c r="T2272" s="7" t="e">
        <f>IF(VLOOKUP($A2272,'Concrete Beam Schedule'!$A$2:$Q$2902,T$2,0)&lt;&gt;D2272,"Beam Revised","")</f>
        <v>#N/A</v>
      </c>
      <c r="U2272" s="7" t="e">
        <f>IF(VLOOKUP($A2272,'Concrete Beam Schedule'!$A$2:$Q$2902,U$2,0)&lt;&gt;E2272,"Beam Revised","")</f>
        <v>#N/A</v>
      </c>
      <c r="V2272" s="7" t="e">
        <f>IF(VLOOKUP($A2272,'Concrete Beam Schedule'!$A$2:$Q$2902,V$2,0)&lt;&gt;F2272,"Beam Revised","")</f>
        <v>#N/A</v>
      </c>
      <c r="W2272" s="7" t="e">
        <f>IF(VLOOKUP($A2272,'Concrete Beam Schedule'!$A$2:$Q$2902,W$2,0)&lt;&gt;G2272,"Beam Revised","")</f>
        <v>#N/A</v>
      </c>
      <c r="X2272" s="7" t="e">
        <f>IF(VLOOKUP($A2272,'Concrete Beam Schedule'!$A$2:$Q$2902,X$2,0)&lt;&gt;H2272,"Beam Revised","")</f>
        <v>#N/A</v>
      </c>
      <c r="Y2272" s="7" t="e">
        <f>IF(VLOOKUP($A2272,'Concrete Beam Schedule'!$A$2:$Q$2902,Y$2,0)&lt;&gt;I2272,"Beam Revised","")</f>
        <v>#N/A</v>
      </c>
      <c r="Z2272" s="7" t="e">
        <f>IF(VLOOKUP($A2272,'Concrete Beam Schedule'!$A$2:$Q$2902,Z$2,0)&lt;&gt;J2272,"Beam Revised","")</f>
        <v>#N/A</v>
      </c>
      <c r="AA2272" s="7" t="e">
        <f>IF(VLOOKUP($A2272,'Concrete Beam Schedule'!$A$2:$Q$2902,AA$2,0)&lt;&gt;K2272,"Beam Revised","")</f>
        <v>#N/A</v>
      </c>
      <c r="AB2272" s="7" t="e">
        <f>IF(VLOOKUP($A2272,'Concrete Beam Schedule'!$A$2:$Q$2902,AB$2,0)&lt;&gt;L2272,"Beam Revised","")</f>
        <v>#N/A</v>
      </c>
      <c r="AC2272" s="7" t="e">
        <f>IF(VLOOKUP($A2272,'Concrete Beam Schedule'!$A$2:$Q$2902,AC$2,0)&lt;&gt;M2272,"Beam Revised","")</f>
        <v>#N/A</v>
      </c>
      <c r="AD2272" s="7" t="e">
        <f>IF(VLOOKUP($A2272,'Concrete Beam Schedule'!$A$2:$Q$2902,AD$2,0)&lt;&gt;N2272,"Beam Revised","")</f>
        <v>#N/A</v>
      </c>
      <c r="AE2272" s="7" t="e">
        <f>IF(VLOOKUP($A2272,'Concrete Beam Schedule'!$A$2:$Q$2902,AE$2,0)&lt;&gt;O2272,"Beam Revised","")</f>
        <v>#N/A</v>
      </c>
    </row>
    <row r="2273" spans="17:31" ht="20.100000000000001" customHeight="1" x14ac:dyDescent="0.25">
      <c r="Q2273" s="7">
        <f t="shared" si="35"/>
        <v>0</v>
      </c>
      <c r="R2273" s="7" t="e">
        <f>IF(VLOOKUP($A2273,'Concrete Beam Schedule'!$A$2:$Q$2902,R$2,0)&lt;&gt;B2273,VLOOKUP($A2273,'Concrete Beam Schedule'!$A$2:$Q$2902,R$2,0),"")</f>
        <v>#N/A</v>
      </c>
      <c r="S2273" s="7" t="e">
        <f>IF(VLOOKUP($A2273,'Concrete Beam Schedule'!$A$2:$Q$2902,S$2,0)&lt;&gt;C2273,VLOOKUP($A2273,'Concrete Beam Schedule'!$A$2:$Q$2902,S$2,0),"")</f>
        <v>#N/A</v>
      </c>
      <c r="T2273" s="7" t="e">
        <f>IF(VLOOKUP($A2273,'Concrete Beam Schedule'!$A$2:$Q$2902,T$2,0)&lt;&gt;D2273,"Beam Revised","")</f>
        <v>#N/A</v>
      </c>
      <c r="U2273" s="7" t="e">
        <f>IF(VLOOKUP($A2273,'Concrete Beam Schedule'!$A$2:$Q$2902,U$2,0)&lt;&gt;E2273,"Beam Revised","")</f>
        <v>#N/A</v>
      </c>
      <c r="V2273" s="7" t="e">
        <f>IF(VLOOKUP($A2273,'Concrete Beam Schedule'!$A$2:$Q$2902,V$2,0)&lt;&gt;F2273,"Beam Revised","")</f>
        <v>#N/A</v>
      </c>
      <c r="W2273" s="7" t="e">
        <f>IF(VLOOKUP($A2273,'Concrete Beam Schedule'!$A$2:$Q$2902,W$2,0)&lt;&gt;G2273,"Beam Revised","")</f>
        <v>#N/A</v>
      </c>
      <c r="X2273" s="7" t="e">
        <f>IF(VLOOKUP($A2273,'Concrete Beam Schedule'!$A$2:$Q$2902,X$2,0)&lt;&gt;H2273,"Beam Revised","")</f>
        <v>#N/A</v>
      </c>
      <c r="Y2273" s="7" t="e">
        <f>IF(VLOOKUP($A2273,'Concrete Beam Schedule'!$A$2:$Q$2902,Y$2,0)&lt;&gt;I2273,"Beam Revised","")</f>
        <v>#N/A</v>
      </c>
      <c r="Z2273" s="7" t="e">
        <f>IF(VLOOKUP($A2273,'Concrete Beam Schedule'!$A$2:$Q$2902,Z$2,0)&lt;&gt;J2273,"Beam Revised","")</f>
        <v>#N/A</v>
      </c>
      <c r="AA2273" s="7" t="e">
        <f>IF(VLOOKUP($A2273,'Concrete Beam Schedule'!$A$2:$Q$2902,AA$2,0)&lt;&gt;K2273,"Beam Revised","")</f>
        <v>#N/A</v>
      </c>
      <c r="AB2273" s="7" t="e">
        <f>IF(VLOOKUP($A2273,'Concrete Beam Schedule'!$A$2:$Q$2902,AB$2,0)&lt;&gt;L2273,"Beam Revised","")</f>
        <v>#N/A</v>
      </c>
      <c r="AC2273" s="7" t="e">
        <f>IF(VLOOKUP($A2273,'Concrete Beam Schedule'!$A$2:$Q$2902,AC$2,0)&lt;&gt;M2273,"Beam Revised","")</f>
        <v>#N/A</v>
      </c>
      <c r="AD2273" s="7" t="e">
        <f>IF(VLOOKUP($A2273,'Concrete Beam Schedule'!$A$2:$Q$2902,AD$2,0)&lt;&gt;N2273,"Beam Revised","")</f>
        <v>#N/A</v>
      </c>
      <c r="AE2273" s="7" t="e">
        <f>IF(VLOOKUP($A2273,'Concrete Beam Schedule'!$A$2:$Q$2902,AE$2,0)&lt;&gt;O2273,"Beam Revised","")</f>
        <v>#N/A</v>
      </c>
    </row>
    <row r="2274" spans="17:31" ht="20.100000000000001" customHeight="1" x14ac:dyDescent="0.25">
      <c r="Q2274" s="7">
        <f t="shared" si="35"/>
        <v>0</v>
      </c>
      <c r="R2274" s="7" t="e">
        <f>IF(VLOOKUP($A2274,'Concrete Beam Schedule'!$A$2:$Q$2902,R$2,0)&lt;&gt;B2274,VLOOKUP($A2274,'Concrete Beam Schedule'!$A$2:$Q$2902,R$2,0),"")</f>
        <v>#N/A</v>
      </c>
      <c r="S2274" s="7" t="e">
        <f>IF(VLOOKUP($A2274,'Concrete Beam Schedule'!$A$2:$Q$2902,S$2,0)&lt;&gt;C2274,VLOOKUP($A2274,'Concrete Beam Schedule'!$A$2:$Q$2902,S$2,0),"")</f>
        <v>#N/A</v>
      </c>
      <c r="T2274" s="7" t="e">
        <f>IF(VLOOKUP($A2274,'Concrete Beam Schedule'!$A$2:$Q$2902,T$2,0)&lt;&gt;D2274,"Beam Revised","")</f>
        <v>#N/A</v>
      </c>
      <c r="U2274" s="7" t="e">
        <f>IF(VLOOKUP($A2274,'Concrete Beam Schedule'!$A$2:$Q$2902,U$2,0)&lt;&gt;E2274,"Beam Revised","")</f>
        <v>#N/A</v>
      </c>
      <c r="V2274" s="7" t="e">
        <f>IF(VLOOKUP($A2274,'Concrete Beam Schedule'!$A$2:$Q$2902,V$2,0)&lt;&gt;F2274,"Beam Revised","")</f>
        <v>#N/A</v>
      </c>
      <c r="W2274" s="7" t="e">
        <f>IF(VLOOKUP($A2274,'Concrete Beam Schedule'!$A$2:$Q$2902,W$2,0)&lt;&gt;G2274,"Beam Revised","")</f>
        <v>#N/A</v>
      </c>
      <c r="X2274" s="7" t="e">
        <f>IF(VLOOKUP($A2274,'Concrete Beam Schedule'!$A$2:$Q$2902,X$2,0)&lt;&gt;H2274,"Beam Revised","")</f>
        <v>#N/A</v>
      </c>
      <c r="Y2274" s="7" t="e">
        <f>IF(VLOOKUP($A2274,'Concrete Beam Schedule'!$A$2:$Q$2902,Y$2,0)&lt;&gt;I2274,"Beam Revised","")</f>
        <v>#N/A</v>
      </c>
      <c r="Z2274" s="7" t="e">
        <f>IF(VLOOKUP($A2274,'Concrete Beam Schedule'!$A$2:$Q$2902,Z$2,0)&lt;&gt;J2274,"Beam Revised","")</f>
        <v>#N/A</v>
      </c>
      <c r="AA2274" s="7" t="e">
        <f>IF(VLOOKUP($A2274,'Concrete Beam Schedule'!$A$2:$Q$2902,AA$2,0)&lt;&gt;K2274,"Beam Revised","")</f>
        <v>#N/A</v>
      </c>
      <c r="AB2274" s="7" t="e">
        <f>IF(VLOOKUP($A2274,'Concrete Beam Schedule'!$A$2:$Q$2902,AB$2,0)&lt;&gt;L2274,"Beam Revised","")</f>
        <v>#N/A</v>
      </c>
      <c r="AC2274" s="7" t="e">
        <f>IF(VLOOKUP($A2274,'Concrete Beam Schedule'!$A$2:$Q$2902,AC$2,0)&lt;&gt;M2274,"Beam Revised","")</f>
        <v>#N/A</v>
      </c>
      <c r="AD2274" s="7" t="e">
        <f>IF(VLOOKUP($A2274,'Concrete Beam Schedule'!$A$2:$Q$2902,AD$2,0)&lt;&gt;N2274,"Beam Revised","")</f>
        <v>#N/A</v>
      </c>
      <c r="AE2274" s="7" t="e">
        <f>IF(VLOOKUP($A2274,'Concrete Beam Schedule'!$A$2:$Q$2902,AE$2,0)&lt;&gt;O2274,"Beam Revised","")</f>
        <v>#N/A</v>
      </c>
    </row>
    <row r="2275" spans="17:31" ht="20.100000000000001" customHeight="1" x14ac:dyDescent="0.25">
      <c r="Q2275" s="7">
        <f t="shared" si="35"/>
        <v>0</v>
      </c>
      <c r="R2275" s="7" t="e">
        <f>IF(VLOOKUP($A2275,'Concrete Beam Schedule'!$A$2:$Q$2902,R$2,0)&lt;&gt;B2275,VLOOKUP($A2275,'Concrete Beam Schedule'!$A$2:$Q$2902,R$2,0),"")</f>
        <v>#N/A</v>
      </c>
      <c r="S2275" s="7" t="e">
        <f>IF(VLOOKUP($A2275,'Concrete Beam Schedule'!$A$2:$Q$2902,S$2,0)&lt;&gt;C2275,VLOOKUP($A2275,'Concrete Beam Schedule'!$A$2:$Q$2902,S$2,0),"")</f>
        <v>#N/A</v>
      </c>
      <c r="T2275" s="7" t="e">
        <f>IF(VLOOKUP($A2275,'Concrete Beam Schedule'!$A$2:$Q$2902,T$2,0)&lt;&gt;D2275,"Beam Revised","")</f>
        <v>#N/A</v>
      </c>
      <c r="U2275" s="7" t="e">
        <f>IF(VLOOKUP($A2275,'Concrete Beam Schedule'!$A$2:$Q$2902,U$2,0)&lt;&gt;E2275,"Beam Revised","")</f>
        <v>#N/A</v>
      </c>
      <c r="V2275" s="7" t="e">
        <f>IF(VLOOKUP($A2275,'Concrete Beam Schedule'!$A$2:$Q$2902,V$2,0)&lt;&gt;F2275,"Beam Revised","")</f>
        <v>#N/A</v>
      </c>
      <c r="W2275" s="7" t="e">
        <f>IF(VLOOKUP($A2275,'Concrete Beam Schedule'!$A$2:$Q$2902,W$2,0)&lt;&gt;G2275,"Beam Revised","")</f>
        <v>#N/A</v>
      </c>
      <c r="X2275" s="7" t="e">
        <f>IF(VLOOKUP($A2275,'Concrete Beam Schedule'!$A$2:$Q$2902,X$2,0)&lt;&gt;H2275,"Beam Revised","")</f>
        <v>#N/A</v>
      </c>
      <c r="Y2275" s="7" t="e">
        <f>IF(VLOOKUP($A2275,'Concrete Beam Schedule'!$A$2:$Q$2902,Y$2,0)&lt;&gt;I2275,"Beam Revised","")</f>
        <v>#N/A</v>
      </c>
      <c r="Z2275" s="7" t="e">
        <f>IF(VLOOKUP($A2275,'Concrete Beam Schedule'!$A$2:$Q$2902,Z$2,0)&lt;&gt;J2275,"Beam Revised","")</f>
        <v>#N/A</v>
      </c>
      <c r="AA2275" s="7" t="e">
        <f>IF(VLOOKUP($A2275,'Concrete Beam Schedule'!$A$2:$Q$2902,AA$2,0)&lt;&gt;K2275,"Beam Revised","")</f>
        <v>#N/A</v>
      </c>
      <c r="AB2275" s="7" t="e">
        <f>IF(VLOOKUP($A2275,'Concrete Beam Schedule'!$A$2:$Q$2902,AB$2,0)&lt;&gt;L2275,"Beam Revised","")</f>
        <v>#N/A</v>
      </c>
      <c r="AC2275" s="7" t="e">
        <f>IF(VLOOKUP($A2275,'Concrete Beam Schedule'!$A$2:$Q$2902,AC$2,0)&lt;&gt;M2275,"Beam Revised","")</f>
        <v>#N/A</v>
      </c>
      <c r="AD2275" s="7" t="e">
        <f>IF(VLOOKUP($A2275,'Concrete Beam Schedule'!$A$2:$Q$2902,AD$2,0)&lt;&gt;N2275,"Beam Revised","")</f>
        <v>#N/A</v>
      </c>
      <c r="AE2275" s="7" t="e">
        <f>IF(VLOOKUP($A2275,'Concrete Beam Schedule'!$A$2:$Q$2902,AE$2,0)&lt;&gt;O2275,"Beam Revised","")</f>
        <v>#N/A</v>
      </c>
    </row>
    <row r="2276" spans="17:31" ht="20.100000000000001" customHeight="1" x14ac:dyDescent="0.25">
      <c r="Q2276" s="7">
        <f t="shared" si="35"/>
        <v>0</v>
      </c>
      <c r="R2276" s="7" t="e">
        <f>IF(VLOOKUP($A2276,'Concrete Beam Schedule'!$A$2:$Q$2902,R$2,0)&lt;&gt;B2276,VLOOKUP($A2276,'Concrete Beam Schedule'!$A$2:$Q$2902,R$2,0),"")</f>
        <v>#N/A</v>
      </c>
      <c r="S2276" s="7" t="e">
        <f>IF(VLOOKUP($A2276,'Concrete Beam Schedule'!$A$2:$Q$2902,S$2,0)&lt;&gt;C2276,VLOOKUP($A2276,'Concrete Beam Schedule'!$A$2:$Q$2902,S$2,0),"")</f>
        <v>#N/A</v>
      </c>
      <c r="T2276" s="7" t="e">
        <f>IF(VLOOKUP($A2276,'Concrete Beam Schedule'!$A$2:$Q$2902,T$2,0)&lt;&gt;D2276,"Beam Revised","")</f>
        <v>#N/A</v>
      </c>
      <c r="U2276" s="7" t="e">
        <f>IF(VLOOKUP($A2276,'Concrete Beam Schedule'!$A$2:$Q$2902,U$2,0)&lt;&gt;E2276,"Beam Revised","")</f>
        <v>#N/A</v>
      </c>
      <c r="V2276" s="7" t="e">
        <f>IF(VLOOKUP($A2276,'Concrete Beam Schedule'!$A$2:$Q$2902,V$2,0)&lt;&gt;F2276,"Beam Revised","")</f>
        <v>#N/A</v>
      </c>
      <c r="W2276" s="7" t="e">
        <f>IF(VLOOKUP($A2276,'Concrete Beam Schedule'!$A$2:$Q$2902,W$2,0)&lt;&gt;G2276,"Beam Revised","")</f>
        <v>#N/A</v>
      </c>
      <c r="X2276" s="7" t="e">
        <f>IF(VLOOKUP($A2276,'Concrete Beam Schedule'!$A$2:$Q$2902,X$2,0)&lt;&gt;H2276,"Beam Revised","")</f>
        <v>#N/A</v>
      </c>
      <c r="Y2276" s="7" t="e">
        <f>IF(VLOOKUP($A2276,'Concrete Beam Schedule'!$A$2:$Q$2902,Y$2,0)&lt;&gt;I2276,"Beam Revised","")</f>
        <v>#N/A</v>
      </c>
      <c r="Z2276" s="7" t="e">
        <f>IF(VLOOKUP($A2276,'Concrete Beam Schedule'!$A$2:$Q$2902,Z$2,0)&lt;&gt;J2276,"Beam Revised","")</f>
        <v>#N/A</v>
      </c>
      <c r="AA2276" s="7" t="e">
        <f>IF(VLOOKUP($A2276,'Concrete Beam Schedule'!$A$2:$Q$2902,AA$2,0)&lt;&gt;K2276,"Beam Revised","")</f>
        <v>#N/A</v>
      </c>
      <c r="AB2276" s="7" t="e">
        <f>IF(VLOOKUP($A2276,'Concrete Beam Schedule'!$A$2:$Q$2902,AB$2,0)&lt;&gt;L2276,"Beam Revised","")</f>
        <v>#N/A</v>
      </c>
      <c r="AC2276" s="7" t="e">
        <f>IF(VLOOKUP($A2276,'Concrete Beam Schedule'!$A$2:$Q$2902,AC$2,0)&lt;&gt;M2276,"Beam Revised","")</f>
        <v>#N/A</v>
      </c>
      <c r="AD2276" s="7" t="e">
        <f>IF(VLOOKUP($A2276,'Concrete Beam Schedule'!$A$2:$Q$2902,AD$2,0)&lt;&gt;N2276,"Beam Revised","")</f>
        <v>#N/A</v>
      </c>
      <c r="AE2276" s="7" t="e">
        <f>IF(VLOOKUP($A2276,'Concrete Beam Schedule'!$A$2:$Q$2902,AE$2,0)&lt;&gt;O2276,"Beam Revised","")</f>
        <v>#N/A</v>
      </c>
    </row>
    <row r="2277" spans="17:31" ht="20.100000000000001" customHeight="1" x14ac:dyDescent="0.25">
      <c r="Q2277" s="7">
        <f t="shared" si="35"/>
        <v>0</v>
      </c>
      <c r="R2277" s="7" t="e">
        <f>IF(VLOOKUP($A2277,'Concrete Beam Schedule'!$A$2:$Q$2902,R$2,0)&lt;&gt;B2277,VLOOKUP($A2277,'Concrete Beam Schedule'!$A$2:$Q$2902,R$2,0),"")</f>
        <v>#N/A</v>
      </c>
      <c r="S2277" s="7" t="e">
        <f>IF(VLOOKUP($A2277,'Concrete Beam Schedule'!$A$2:$Q$2902,S$2,0)&lt;&gt;C2277,VLOOKUP($A2277,'Concrete Beam Schedule'!$A$2:$Q$2902,S$2,0),"")</f>
        <v>#N/A</v>
      </c>
      <c r="T2277" s="7" t="e">
        <f>IF(VLOOKUP($A2277,'Concrete Beam Schedule'!$A$2:$Q$2902,T$2,0)&lt;&gt;D2277,"Beam Revised","")</f>
        <v>#N/A</v>
      </c>
      <c r="U2277" s="7" t="e">
        <f>IF(VLOOKUP($A2277,'Concrete Beam Schedule'!$A$2:$Q$2902,U$2,0)&lt;&gt;E2277,"Beam Revised","")</f>
        <v>#N/A</v>
      </c>
      <c r="V2277" s="7" t="e">
        <f>IF(VLOOKUP($A2277,'Concrete Beam Schedule'!$A$2:$Q$2902,V$2,0)&lt;&gt;F2277,"Beam Revised","")</f>
        <v>#N/A</v>
      </c>
      <c r="W2277" s="7" t="e">
        <f>IF(VLOOKUP($A2277,'Concrete Beam Schedule'!$A$2:$Q$2902,W$2,0)&lt;&gt;G2277,"Beam Revised","")</f>
        <v>#N/A</v>
      </c>
      <c r="X2277" s="7" t="e">
        <f>IF(VLOOKUP($A2277,'Concrete Beam Schedule'!$A$2:$Q$2902,X$2,0)&lt;&gt;H2277,"Beam Revised","")</f>
        <v>#N/A</v>
      </c>
      <c r="Y2277" s="7" t="e">
        <f>IF(VLOOKUP($A2277,'Concrete Beam Schedule'!$A$2:$Q$2902,Y$2,0)&lt;&gt;I2277,"Beam Revised","")</f>
        <v>#N/A</v>
      </c>
      <c r="Z2277" s="7" t="e">
        <f>IF(VLOOKUP($A2277,'Concrete Beam Schedule'!$A$2:$Q$2902,Z$2,0)&lt;&gt;J2277,"Beam Revised","")</f>
        <v>#N/A</v>
      </c>
      <c r="AA2277" s="7" t="e">
        <f>IF(VLOOKUP($A2277,'Concrete Beam Schedule'!$A$2:$Q$2902,AA$2,0)&lt;&gt;K2277,"Beam Revised","")</f>
        <v>#N/A</v>
      </c>
      <c r="AB2277" s="7" t="e">
        <f>IF(VLOOKUP($A2277,'Concrete Beam Schedule'!$A$2:$Q$2902,AB$2,0)&lt;&gt;L2277,"Beam Revised","")</f>
        <v>#N/A</v>
      </c>
      <c r="AC2277" s="7" t="e">
        <f>IF(VLOOKUP($A2277,'Concrete Beam Schedule'!$A$2:$Q$2902,AC$2,0)&lt;&gt;M2277,"Beam Revised","")</f>
        <v>#N/A</v>
      </c>
      <c r="AD2277" s="7" t="e">
        <f>IF(VLOOKUP($A2277,'Concrete Beam Schedule'!$A$2:$Q$2902,AD$2,0)&lt;&gt;N2277,"Beam Revised","")</f>
        <v>#N/A</v>
      </c>
      <c r="AE2277" s="7" t="e">
        <f>IF(VLOOKUP($A2277,'Concrete Beam Schedule'!$A$2:$Q$2902,AE$2,0)&lt;&gt;O2277,"Beam Revised","")</f>
        <v>#N/A</v>
      </c>
    </row>
    <row r="2278" spans="17:31" ht="20.100000000000001" customHeight="1" x14ac:dyDescent="0.25">
      <c r="Q2278" s="7">
        <f t="shared" si="35"/>
        <v>0</v>
      </c>
      <c r="R2278" s="7" t="e">
        <f>IF(VLOOKUP($A2278,'Concrete Beam Schedule'!$A$2:$Q$2902,R$2,0)&lt;&gt;B2278,VLOOKUP($A2278,'Concrete Beam Schedule'!$A$2:$Q$2902,R$2,0),"")</f>
        <v>#N/A</v>
      </c>
      <c r="S2278" s="7" t="e">
        <f>IF(VLOOKUP($A2278,'Concrete Beam Schedule'!$A$2:$Q$2902,S$2,0)&lt;&gt;C2278,VLOOKUP($A2278,'Concrete Beam Schedule'!$A$2:$Q$2902,S$2,0),"")</f>
        <v>#N/A</v>
      </c>
      <c r="T2278" s="7" t="e">
        <f>IF(VLOOKUP($A2278,'Concrete Beam Schedule'!$A$2:$Q$2902,T$2,0)&lt;&gt;D2278,"Beam Revised","")</f>
        <v>#N/A</v>
      </c>
      <c r="U2278" s="7" t="e">
        <f>IF(VLOOKUP($A2278,'Concrete Beam Schedule'!$A$2:$Q$2902,U$2,0)&lt;&gt;E2278,"Beam Revised","")</f>
        <v>#N/A</v>
      </c>
      <c r="V2278" s="7" t="e">
        <f>IF(VLOOKUP($A2278,'Concrete Beam Schedule'!$A$2:$Q$2902,V$2,0)&lt;&gt;F2278,"Beam Revised","")</f>
        <v>#N/A</v>
      </c>
      <c r="W2278" s="7" t="e">
        <f>IF(VLOOKUP($A2278,'Concrete Beam Schedule'!$A$2:$Q$2902,W$2,0)&lt;&gt;G2278,"Beam Revised","")</f>
        <v>#N/A</v>
      </c>
      <c r="X2278" s="7" t="e">
        <f>IF(VLOOKUP($A2278,'Concrete Beam Schedule'!$A$2:$Q$2902,X$2,0)&lt;&gt;H2278,"Beam Revised","")</f>
        <v>#N/A</v>
      </c>
      <c r="Y2278" s="7" t="e">
        <f>IF(VLOOKUP($A2278,'Concrete Beam Schedule'!$A$2:$Q$2902,Y$2,0)&lt;&gt;I2278,"Beam Revised","")</f>
        <v>#N/A</v>
      </c>
      <c r="Z2278" s="7" t="e">
        <f>IF(VLOOKUP($A2278,'Concrete Beam Schedule'!$A$2:$Q$2902,Z$2,0)&lt;&gt;J2278,"Beam Revised","")</f>
        <v>#N/A</v>
      </c>
      <c r="AA2278" s="7" t="e">
        <f>IF(VLOOKUP($A2278,'Concrete Beam Schedule'!$A$2:$Q$2902,AA$2,0)&lt;&gt;K2278,"Beam Revised","")</f>
        <v>#N/A</v>
      </c>
      <c r="AB2278" s="7" t="e">
        <f>IF(VLOOKUP($A2278,'Concrete Beam Schedule'!$A$2:$Q$2902,AB$2,0)&lt;&gt;L2278,"Beam Revised","")</f>
        <v>#N/A</v>
      </c>
      <c r="AC2278" s="7" t="e">
        <f>IF(VLOOKUP($A2278,'Concrete Beam Schedule'!$A$2:$Q$2902,AC$2,0)&lt;&gt;M2278,"Beam Revised","")</f>
        <v>#N/A</v>
      </c>
      <c r="AD2278" s="7" t="e">
        <f>IF(VLOOKUP($A2278,'Concrete Beam Schedule'!$A$2:$Q$2902,AD$2,0)&lt;&gt;N2278,"Beam Revised","")</f>
        <v>#N/A</v>
      </c>
      <c r="AE2278" s="7" t="e">
        <f>IF(VLOOKUP($A2278,'Concrete Beam Schedule'!$A$2:$Q$2902,AE$2,0)&lt;&gt;O2278,"Beam Revised","")</f>
        <v>#N/A</v>
      </c>
    </row>
    <row r="2279" spans="17:31" ht="20.100000000000001" customHeight="1" x14ac:dyDescent="0.25">
      <c r="Q2279" s="7">
        <f t="shared" si="35"/>
        <v>0</v>
      </c>
      <c r="R2279" s="7" t="e">
        <f>IF(VLOOKUP($A2279,'Concrete Beam Schedule'!$A$2:$Q$2902,R$2,0)&lt;&gt;B2279,VLOOKUP($A2279,'Concrete Beam Schedule'!$A$2:$Q$2902,R$2,0),"")</f>
        <v>#N/A</v>
      </c>
      <c r="S2279" s="7" t="e">
        <f>IF(VLOOKUP($A2279,'Concrete Beam Schedule'!$A$2:$Q$2902,S$2,0)&lt;&gt;C2279,VLOOKUP($A2279,'Concrete Beam Schedule'!$A$2:$Q$2902,S$2,0),"")</f>
        <v>#N/A</v>
      </c>
      <c r="T2279" s="7" t="e">
        <f>IF(VLOOKUP($A2279,'Concrete Beam Schedule'!$A$2:$Q$2902,T$2,0)&lt;&gt;D2279,"Beam Revised","")</f>
        <v>#N/A</v>
      </c>
      <c r="U2279" s="7" t="e">
        <f>IF(VLOOKUP($A2279,'Concrete Beam Schedule'!$A$2:$Q$2902,U$2,0)&lt;&gt;E2279,"Beam Revised","")</f>
        <v>#N/A</v>
      </c>
      <c r="V2279" s="7" t="e">
        <f>IF(VLOOKUP($A2279,'Concrete Beam Schedule'!$A$2:$Q$2902,V$2,0)&lt;&gt;F2279,"Beam Revised","")</f>
        <v>#N/A</v>
      </c>
      <c r="W2279" s="7" t="e">
        <f>IF(VLOOKUP($A2279,'Concrete Beam Schedule'!$A$2:$Q$2902,W$2,0)&lt;&gt;G2279,"Beam Revised","")</f>
        <v>#N/A</v>
      </c>
      <c r="X2279" s="7" t="e">
        <f>IF(VLOOKUP($A2279,'Concrete Beam Schedule'!$A$2:$Q$2902,X$2,0)&lt;&gt;H2279,"Beam Revised","")</f>
        <v>#N/A</v>
      </c>
      <c r="Y2279" s="7" t="e">
        <f>IF(VLOOKUP($A2279,'Concrete Beam Schedule'!$A$2:$Q$2902,Y$2,0)&lt;&gt;I2279,"Beam Revised","")</f>
        <v>#N/A</v>
      </c>
      <c r="Z2279" s="7" t="e">
        <f>IF(VLOOKUP($A2279,'Concrete Beam Schedule'!$A$2:$Q$2902,Z$2,0)&lt;&gt;J2279,"Beam Revised","")</f>
        <v>#N/A</v>
      </c>
      <c r="AA2279" s="7" t="e">
        <f>IF(VLOOKUP($A2279,'Concrete Beam Schedule'!$A$2:$Q$2902,AA$2,0)&lt;&gt;K2279,"Beam Revised","")</f>
        <v>#N/A</v>
      </c>
      <c r="AB2279" s="7" t="e">
        <f>IF(VLOOKUP($A2279,'Concrete Beam Schedule'!$A$2:$Q$2902,AB$2,0)&lt;&gt;L2279,"Beam Revised","")</f>
        <v>#N/A</v>
      </c>
      <c r="AC2279" s="7" t="e">
        <f>IF(VLOOKUP($A2279,'Concrete Beam Schedule'!$A$2:$Q$2902,AC$2,0)&lt;&gt;M2279,"Beam Revised","")</f>
        <v>#N/A</v>
      </c>
      <c r="AD2279" s="7" t="e">
        <f>IF(VLOOKUP($A2279,'Concrete Beam Schedule'!$A$2:$Q$2902,AD$2,0)&lt;&gt;N2279,"Beam Revised","")</f>
        <v>#N/A</v>
      </c>
      <c r="AE2279" s="7" t="e">
        <f>IF(VLOOKUP($A2279,'Concrete Beam Schedule'!$A$2:$Q$2902,AE$2,0)&lt;&gt;O2279,"Beam Revised","")</f>
        <v>#N/A</v>
      </c>
    </row>
    <row r="2280" spans="17:31" ht="20.100000000000001" customHeight="1" x14ac:dyDescent="0.25">
      <c r="Q2280" s="7">
        <f t="shared" si="35"/>
        <v>0</v>
      </c>
      <c r="R2280" s="7" t="e">
        <f>IF(VLOOKUP($A2280,'Concrete Beam Schedule'!$A$2:$Q$2902,R$2,0)&lt;&gt;B2280,VLOOKUP($A2280,'Concrete Beam Schedule'!$A$2:$Q$2902,R$2,0),"")</f>
        <v>#N/A</v>
      </c>
      <c r="S2280" s="7" t="e">
        <f>IF(VLOOKUP($A2280,'Concrete Beam Schedule'!$A$2:$Q$2902,S$2,0)&lt;&gt;C2280,VLOOKUP($A2280,'Concrete Beam Schedule'!$A$2:$Q$2902,S$2,0),"")</f>
        <v>#N/A</v>
      </c>
      <c r="T2280" s="7" t="e">
        <f>IF(VLOOKUP($A2280,'Concrete Beam Schedule'!$A$2:$Q$2902,T$2,0)&lt;&gt;D2280,"Beam Revised","")</f>
        <v>#N/A</v>
      </c>
      <c r="U2280" s="7" t="e">
        <f>IF(VLOOKUP($A2280,'Concrete Beam Schedule'!$A$2:$Q$2902,U$2,0)&lt;&gt;E2280,"Beam Revised","")</f>
        <v>#N/A</v>
      </c>
      <c r="V2280" s="7" t="e">
        <f>IF(VLOOKUP($A2280,'Concrete Beam Schedule'!$A$2:$Q$2902,V$2,0)&lt;&gt;F2280,"Beam Revised","")</f>
        <v>#N/A</v>
      </c>
      <c r="W2280" s="7" t="e">
        <f>IF(VLOOKUP($A2280,'Concrete Beam Schedule'!$A$2:$Q$2902,W$2,0)&lt;&gt;G2280,"Beam Revised","")</f>
        <v>#N/A</v>
      </c>
      <c r="X2280" s="7" t="e">
        <f>IF(VLOOKUP($A2280,'Concrete Beam Schedule'!$A$2:$Q$2902,X$2,0)&lt;&gt;H2280,"Beam Revised","")</f>
        <v>#N/A</v>
      </c>
      <c r="Y2280" s="7" t="e">
        <f>IF(VLOOKUP($A2280,'Concrete Beam Schedule'!$A$2:$Q$2902,Y$2,0)&lt;&gt;I2280,"Beam Revised","")</f>
        <v>#N/A</v>
      </c>
      <c r="Z2280" s="7" t="e">
        <f>IF(VLOOKUP($A2280,'Concrete Beam Schedule'!$A$2:$Q$2902,Z$2,0)&lt;&gt;J2280,"Beam Revised","")</f>
        <v>#N/A</v>
      </c>
      <c r="AA2280" s="7" t="e">
        <f>IF(VLOOKUP($A2280,'Concrete Beam Schedule'!$A$2:$Q$2902,AA$2,0)&lt;&gt;K2280,"Beam Revised","")</f>
        <v>#N/A</v>
      </c>
      <c r="AB2280" s="7" t="e">
        <f>IF(VLOOKUP($A2280,'Concrete Beam Schedule'!$A$2:$Q$2902,AB$2,0)&lt;&gt;L2280,"Beam Revised","")</f>
        <v>#N/A</v>
      </c>
      <c r="AC2280" s="7" t="e">
        <f>IF(VLOOKUP($A2280,'Concrete Beam Schedule'!$A$2:$Q$2902,AC$2,0)&lt;&gt;M2280,"Beam Revised","")</f>
        <v>#N/A</v>
      </c>
      <c r="AD2280" s="7" t="e">
        <f>IF(VLOOKUP($A2280,'Concrete Beam Schedule'!$A$2:$Q$2902,AD$2,0)&lt;&gt;N2280,"Beam Revised","")</f>
        <v>#N/A</v>
      </c>
      <c r="AE2280" s="7" t="e">
        <f>IF(VLOOKUP($A2280,'Concrete Beam Schedule'!$A$2:$Q$2902,AE$2,0)&lt;&gt;O2280,"Beam Revised","")</f>
        <v>#N/A</v>
      </c>
    </row>
    <row r="2281" spans="17:31" ht="20.100000000000001" customHeight="1" x14ac:dyDescent="0.25">
      <c r="Q2281" s="7">
        <f t="shared" si="35"/>
        <v>0</v>
      </c>
      <c r="R2281" s="7" t="e">
        <f>IF(VLOOKUP($A2281,'Concrete Beam Schedule'!$A$2:$Q$2902,R$2,0)&lt;&gt;B2281,VLOOKUP($A2281,'Concrete Beam Schedule'!$A$2:$Q$2902,R$2,0),"")</f>
        <v>#N/A</v>
      </c>
      <c r="S2281" s="7" t="e">
        <f>IF(VLOOKUP($A2281,'Concrete Beam Schedule'!$A$2:$Q$2902,S$2,0)&lt;&gt;C2281,VLOOKUP($A2281,'Concrete Beam Schedule'!$A$2:$Q$2902,S$2,0),"")</f>
        <v>#N/A</v>
      </c>
      <c r="T2281" s="7" t="e">
        <f>IF(VLOOKUP($A2281,'Concrete Beam Schedule'!$A$2:$Q$2902,T$2,0)&lt;&gt;D2281,"Beam Revised","")</f>
        <v>#N/A</v>
      </c>
      <c r="U2281" s="7" t="e">
        <f>IF(VLOOKUP($A2281,'Concrete Beam Schedule'!$A$2:$Q$2902,U$2,0)&lt;&gt;E2281,"Beam Revised","")</f>
        <v>#N/A</v>
      </c>
      <c r="V2281" s="7" t="e">
        <f>IF(VLOOKUP($A2281,'Concrete Beam Schedule'!$A$2:$Q$2902,V$2,0)&lt;&gt;F2281,"Beam Revised","")</f>
        <v>#N/A</v>
      </c>
      <c r="W2281" s="7" t="e">
        <f>IF(VLOOKUP($A2281,'Concrete Beam Schedule'!$A$2:$Q$2902,W$2,0)&lt;&gt;G2281,"Beam Revised","")</f>
        <v>#N/A</v>
      </c>
      <c r="X2281" s="7" t="e">
        <f>IF(VLOOKUP($A2281,'Concrete Beam Schedule'!$A$2:$Q$2902,X$2,0)&lt;&gt;H2281,"Beam Revised","")</f>
        <v>#N/A</v>
      </c>
      <c r="Y2281" s="7" t="e">
        <f>IF(VLOOKUP($A2281,'Concrete Beam Schedule'!$A$2:$Q$2902,Y$2,0)&lt;&gt;I2281,"Beam Revised","")</f>
        <v>#N/A</v>
      </c>
      <c r="Z2281" s="7" t="e">
        <f>IF(VLOOKUP($A2281,'Concrete Beam Schedule'!$A$2:$Q$2902,Z$2,0)&lt;&gt;J2281,"Beam Revised","")</f>
        <v>#N/A</v>
      </c>
      <c r="AA2281" s="7" t="e">
        <f>IF(VLOOKUP($A2281,'Concrete Beam Schedule'!$A$2:$Q$2902,AA$2,0)&lt;&gt;K2281,"Beam Revised","")</f>
        <v>#N/A</v>
      </c>
      <c r="AB2281" s="7" t="e">
        <f>IF(VLOOKUP($A2281,'Concrete Beam Schedule'!$A$2:$Q$2902,AB$2,0)&lt;&gt;L2281,"Beam Revised","")</f>
        <v>#N/A</v>
      </c>
      <c r="AC2281" s="7" t="e">
        <f>IF(VLOOKUP($A2281,'Concrete Beam Schedule'!$A$2:$Q$2902,AC$2,0)&lt;&gt;M2281,"Beam Revised","")</f>
        <v>#N/A</v>
      </c>
      <c r="AD2281" s="7" t="e">
        <f>IF(VLOOKUP($A2281,'Concrete Beam Schedule'!$A$2:$Q$2902,AD$2,0)&lt;&gt;N2281,"Beam Revised","")</f>
        <v>#N/A</v>
      </c>
      <c r="AE2281" s="7" t="e">
        <f>IF(VLOOKUP($A2281,'Concrete Beam Schedule'!$A$2:$Q$2902,AE$2,0)&lt;&gt;O2281,"Beam Revised","")</f>
        <v>#N/A</v>
      </c>
    </row>
    <row r="2282" spans="17:31" ht="20.100000000000001" customHeight="1" x14ac:dyDescent="0.25">
      <c r="Q2282" s="7">
        <f t="shared" si="35"/>
        <v>0</v>
      </c>
      <c r="R2282" s="7" t="e">
        <f>IF(VLOOKUP($A2282,'Concrete Beam Schedule'!$A$2:$Q$2902,R$2,0)&lt;&gt;B2282,VLOOKUP($A2282,'Concrete Beam Schedule'!$A$2:$Q$2902,R$2,0),"")</f>
        <v>#N/A</v>
      </c>
      <c r="S2282" s="7" t="e">
        <f>IF(VLOOKUP($A2282,'Concrete Beam Schedule'!$A$2:$Q$2902,S$2,0)&lt;&gt;C2282,VLOOKUP($A2282,'Concrete Beam Schedule'!$A$2:$Q$2902,S$2,0),"")</f>
        <v>#N/A</v>
      </c>
      <c r="T2282" s="7" t="e">
        <f>IF(VLOOKUP($A2282,'Concrete Beam Schedule'!$A$2:$Q$2902,T$2,0)&lt;&gt;D2282,"Beam Revised","")</f>
        <v>#N/A</v>
      </c>
      <c r="U2282" s="7" t="e">
        <f>IF(VLOOKUP($A2282,'Concrete Beam Schedule'!$A$2:$Q$2902,U$2,0)&lt;&gt;E2282,"Beam Revised","")</f>
        <v>#N/A</v>
      </c>
      <c r="V2282" s="7" t="e">
        <f>IF(VLOOKUP($A2282,'Concrete Beam Schedule'!$A$2:$Q$2902,V$2,0)&lt;&gt;F2282,"Beam Revised","")</f>
        <v>#N/A</v>
      </c>
      <c r="W2282" s="7" t="e">
        <f>IF(VLOOKUP($A2282,'Concrete Beam Schedule'!$A$2:$Q$2902,W$2,0)&lt;&gt;G2282,"Beam Revised","")</f>
        <v>#N/A</v>
      </c>
      <c r="X2282" s="7" t="e">
        <f>IF(VLOOKUP($A2282,'Concrete Beam Schedule'!$A$2:$Q$2902,X$2,0)&lt;&gt;H2282,"Beam Revised","")</f>
        <v>#N/A</v>
      </c>
      <c r="Y2282" s="7" t="e">
        <f>IF(VLOOKUP($A2282,'Concrete Beam Schedule'!$A$2:$Q$2902,Y$2,0)&lt;&gt;I2282,"Beam Revised","")</f>
        <v>#N/A</v>
      </c>
      <c r="Z2282" s="7" t="e">
        <f>IF(VLOOKUP($A2282,'Concrete Beam Schedule'!$A$2:$Q$2902,Z$2,0)&lt;&gt;J2282,"Beam Revised","")</f>
        <v>#N/A</v>
      </c>
      <c r="AA2282" s="7" t="e">
        <f>IF(VLOOKUP($A2282,'Concrete Beam Schedule'!$A$2:$Q$2902,AA$2,0)&lt;&gt;K2282,"Beam Revised","")</f>
        <v>#N/A</v>
      </c>
      <c r="AB2282" s="7" t="e">
        <f>IF(VLOOKUP($A2282,'Concrete Beam Schedule'!$A$2:$Q$2902,AB$2,0)&lt;&gt;L2282,"Beam Revised","")</f>
        <v>#N/A</v>
      </c>
      <c r="AC2282" s="7" t="e">
        <f>IF(VLOOKUP($A2282,'Concrete Beam Schedule'!$A$2:$Q$2902,AC$2,0)&lt;&gt;M2282,"Beam Revised","")</f>
        <v>#N/A</v>
      </c>
      <c r="AD2282" s="7" t="e">
        <f>IF(VLOOKUP($A2282,'Concrete Beam Schedule'!$A$2:$Q$2902,AD$2,0)&lt;&gt;N2282,"Beam Revised","")</f>
        <v>#N/A</v>
      </c>
      <c r="AE2282" s="7" t="e">
        <f>IF(VLOOKUP($A2282,'Concrete Beam Schedule'!$A$2:$Q$2902,AE$2,0)&lt;&gt;O2282,"Beam Revised","")</f>
        <v>#N/A</v>
      </c>
    </row>
    <row r="2283" spans="17:31" ht="20.100000000000001" customHeight="1" x14ac:dyDescent="0.25">
      <c r="Q2283" s="7">
        <f t="shared" si="35"/>
        <v>0</v>
      </c>
      <c r="R2283" s="7" t="e">
        <f>IF(VLOOKUP($A2283,'Concrete Beam Schedule'!$A$2:$Q$2902,R$2,0)&lt;&gt;B2283,VLOOKUP($A2283,'Concrete Beam Schedule'!$A$2:$Q$2902,R$2,0),"")</f>
        <v>#N/A</v>
      </c>
      <c r="S2283" s="7" t="e">
        <f>IF(VLOOKUP($A2283,'Concrete Beam Schedule'!$A$2:$Q$2902,S$2,0)&lt;&gt;C2283,VLOOKUP($A2283,'Concrete Beam Schedule'!$A$2:$Q$2902,S$2,0),"")</f>
        <v>#N/A</v>
      </c>
      <c r="T2283" s="7" t="e">
        <f>IF(VLOOKUP($A2283,'Concrete Beam Schedule'!$A$2:$Q$2902,T$2,0)&lt;&gt;D2283,"Beam Revised","")</f>
        <v>#N/A</v>
      </c>
      <c r="U2283" s="7" t="e">
        <f>IF(VLOOKUP($A2283,'Concrete Beam Schedule'!$A$2:$Q$2902,U$2,0)&lt;&gt;E2283,"Beam Revised","")</f>
        <v>#N/A</v>
      </c>
      <c r="V2283" s="7" t="e">
        <f>IF(VLOOKUP($A2283,'Concrete Beam Schedule'!$A$2:$Q$2902,V$2,0)&lt;&gt;F2283,"Beam Revised","")</f>
        <v>#N/A</v>
      </c>
      <c r="W2283" s="7" t="e">
        <f>IF(VLOOKUP($A2283,'Concrete Beam Schedule'!$A$2:$Q$2902,W$2,0)&lt;&gt;G2283,"Beam Revised","")</f>
        <v>#N/A</v>
      </c>
      <c r="X2283" s="7" t="e">
        <f>IF(VLOOKUP($A2283,'Concrete Beam Schedule'!$A$2:$Q$2902,X$2,0)&lt;&gt;H2283,"Beam Revised","")</f>
        <v>#N/A</v>
      </c>
      <c r="Y2283" s="7" t="e">
        <f>IF(VLOOKUP($A2283,'Concrete Beam Schedule'!$A$2:$Q$2902,Y$2,0)&lt;&gt;I2283,"Beam Revised","")</f>
        <v>#N/A</v>
      </c>
      <c r="Z2283" s="7" t="e">
        <f>IF(VLOOKUP($A2283,'Concrete Beam Schedule'!$A$2:$Q$2902,Z$2,0)&lt;&gt;J2283,"Beam Revised","")</f>
        <v>#N/A</v>
      </c>
      <c r="AA2283" s="7" t="e">
        <f>IF(VLOOKUP($A2283,'Concrete Beam Schedule'!$A$2:$Q$2902,AA$2,0)&lt;&gt;K2283,"Beam Revised","")</f>
        <v>#N/A</v>
      </c>
      <c r="AB2283" s="7" t="e">
        <f>IF(VLOOKUP($A2283,'Concrete Beam Schedule'!$A$2:$Q$2902,AB$2,0)&lt;&gt;L2283,"Beam Revised","")</f>
        <v>#N/A</v>
      </c>
      <c r="AC2283" s="7" t="e">
        <f>IF(VLOOKUP($A2283,'Concrete Beam Schedule'!$A$2:$Q$2902,AC$2,0)&lt;&gt;M2283,"Beam Revised","")</f>
        <v>#N/A</v>
      </c>
      <c r="AD2283" s="7" t="e">
        <f>IF(VLOOKUP($A2283,'Concrete Beam Schedule'!$A$2:$Q$2902,AD$2,0)&lt;&gt;N2283,"Beam Revised","")</f>
        <v>#N/A</v>
      </c>
      <c r="AE2283" s="7" t="e">
        <f>IF(VLOOKUP($A2283,'Concrete Beam Schedule'!$A$2:$Q$2902,AE$2,0)&lt;&gt;O2283,"Beam Revised","")</f>
        <v>#N/A</v>
      </c>
    </row>
    <row r="2284" spans="17:31" ht="20.100000000000001" customHeight="1" x14ac:dyDescent="0.25">
      <c r="Q2284" s="7">
        <f t="shared" si="35"/>
        <v>0</v>
      </c>
      <c r="R2284" s="7" t="e">
        <f>IF(VLOOKUP($A2284,'Concrete Beam Schedule'!$A$2:$Q$2902,R$2,0)&lt;&gt;B2284,VLOOKUP($A2284,'Concrete Beam Schedule'!$A$2:$Q$2902,R$2,0),"")</f>
        <v>#N/A</v>
      </c>
      <c r="S2284" s="7" t="e">
        <f>IF(VLOOKUP($A2284,'Concrete Beam Schedule'!$A$2:$Q$2902,S$2,0)&lt;&gt;C2284,VLOOKUP($A2284,'Concrete Beam Schedule'!$A$2:$Q$2902,S$2,0),"")</f>
        <v>#N/A</v>
      </c>
      <c r="T2284" s="7" t="e">
        <f>IF(VLOOKUP($A2284,'Concrete Beam Schedule'!$A$2:$Q$2902,T$2,0)&lt;&gt;D2284,"Beam Revised","")</f>
        <v>#N/A</v>
      </c>
      <c r="U2284" s="7" t="e">
        <f>IF(VLOOKUP($A2284,'Concrete Beam Schedule'!$A$2:$Q$2902,U$2,0)&lt;&gt;E2284,"Beam Revised","")</f>
        <v>#N/A</v>
      </c>
      <c r="V2284" s="7" t="e">
        <f>IF(VLOOKUP($A2284,'Concrete Beam Schedule'!$A$2:$Q$2902,V$2,0)&lt;&gt;F2284,"Beam Revised","")</f>
        <v>#N/A</v>
      </c>
      <c r="W2284" s="7" t="e">
        <f>IF(VLOOKUP($A2284,'Concrete Beam Schedule'!$A$2:$Q$2902,W$2,0)&lt;&gt;G2284,"Beam Revised","")</f>
        <v>#N/A</v>
      </c>
      <c r="X2284" s="7" t="e">
        <f>IF(VLOOKUP($A2284,'Concrete Beam Schedule'!$A$2:$Q$2902,X$2,0)&lt;&gt;H2284,"Beam Revised","")</f>
        <v>#N/A</v>
      </c>
      <c r="Y2284" s="7" t="e">
        <f>IF(VLOOKUP($A2284,'Concrete Beam Schedule'!$A$2:$Q$2902,Y$2,0)&lt;&gt;I2284,"Beam Revised","")</f>
        <v>#N/A</v>
      </c>
      <c r="Z2284" s="7" t="e">
        <f>IF(VLOOKUP($A2284,'Concrete Beam Schedule'!$A$2:$Q$2902,Z$2,0)&lt;&gt;J2284,"Beam Revised","")</f>
        <v>#N/A</v>
      </c>
      <c r="AA2284" s="7" t="e">
        <f>IF(VLOOKUP($A2284,'Concrete Beam Schedule'!$A$2:$Q$2902,AA$2,0)&lt;&gt;K2284,"Beam Revised","")</f>
        <v>#N/A</v>
      </c>
      <c r="AB2284" s="7" t="e">
        <f>IF(VLOOKUP($A2284,'Concrete Beam Schedule'!$A$2:$Q$2902,AB$2,0)&lt;&gt;L2284,"Beam Revised","")</f>
        <v>#N/A</v>
      </c>
      <c r="AC2284" s="7" t="e">
        <f>IF(VLOOKUP($A2284,'Concrete Beam Schedule'!$A$2:$Q$2902,AC$2,0)&lt;&gt;M2284,"Beam Revised","")</f>
        <v>#N/A</v>
      </c>
      <c r="AD2284" s="7" t="e">
        <f>IF(VLOOKUP($A2284,'Concrete Beam Schedule'!$A$2:$Q$2902,AD$2,0)&lt;&gt;N2284,"Beam Revised","")</f>
        <v>#N/A</v>
      </c>
      <c r="AE2284" s="7" t="e">
        <f>IF(VLOOKUP($A2284,'Concrete Beam Schedule'!$A$2:$Q$2902,AE$2,0)&lt;&gt;O2284,"Beam Revised","")</f>
        <v>#N/A</v>
      </c>
    </row>
    <row r="2285" spans="17:31" ht="20.100000000000001" customHeight="1" x14ac:dyDescent="0.25">
      <c r="Q2285" s="7">
        <f t="shared" si="35"/>
        <v>0</v>
      </c>
      <c r="R2285" s="7" t="e">
        <f>IF(VLOOKUP($A2285,'Concrete Beam Schedule'!$A$2:$Q$2902,R$2,0)&lt;&gt;B2285,VLOOKUP($A2285,'Concrete Beam Schedule'!$A$2:$Q$2902,R$2,0),"")</f>
        <v>#N/A</v>
      </c>
      <c r="S2285" s="7" t="e">
        <f>IF(VLOOKUP($A2285,'Concrete Beam Schedule'!$A$2:$Q$2902,S$2,0)&lt;&gt;C2285,VLOOKUP($A2285,'Concrete Beam Schedule'!$A$2:$Q$2902,S$2,0),"")</f>
        <v>#N/A</v>
      </c>
      <c r="T2285" s="7" t="e">
        <f>IF(VLOOKUP($A2285,'Concrete Beam Schedule'!$A$2:$Q$2902,T$2,0)&lt;&gt;D2285,"Beam Revised","")</f>
        <v>#N/A</v>
      </c>
      <c r="U2285" s="7" t="e">
        <f>IF(VLOOKUP($A2285,'Concrete Beam Schedule'!$A$2:$Q$2902,U$2,0)&lt;&gt;E2285,"Beam Revised","")</f>
        <v>#N/A</v>
      </c>
      <c r="V2285" s="7" t="e">
        <f>IF(VLOOKUP($A2285,'Concrete Beam Schedule'!$A$2:$Q$2902,V$2,0)&lt;&gt;F2285,"Beam Revised","")</f>
        <v>#N/A</v>
      </c>
      <c r="W2285" s="7" t="e">
        <f>IF(VLOOKUP($A2285,'Concrete Beam Schedule'!$A$2:$Q$2902,W$2,0)&lt;&gt;G2285,"Beam Revised","")</f>
        <v>#N/A</v>
      </c>
      <c r="X2285" s="7" t="e">
        <f>IF(VLOOKUP($A2285,'Concrete Beam Schedule'!$A$2:$Q$2902,X$2,0)&lt;&gt;H2285,"Beam Revised","")</f>
        <v>#N/A</v>
      </c>
      <c r="Y2285" s="7" t="e">
        <f>IF(VLOOKUP($A2285,'Concrete Beam Schedule'!$A$2:$Q$2902,Y$2,0)&lt;&gt;I2285,"Beam Revised","")</f>
        <v>#N/A</v>
      </c>
      <c r="Z2285" s="7" t="e">
        <f>IF(VLOOKUP($A2285,'Concrete Beam Schedule'!$A$2:$Q$2902,Z$2,0)&lt;&gt;J2285,"Beam Revised","")</f>
        <v>#N/A</v>
      </c>
      <c r="AA2285" s="7" t="e">
        <f>IF(VLOOKUP($A2285,'Concrete Beam Schedule'!$A$2:$Q$2902,AA$2,0)&lt;&gt;K2285,"Beam Revised","")</f>
        <v>#N/A</v>
      </c>
      <c r="AB2285" s="7" t="e">
        <f>IF(VLOOKUP($A2285,'Concrete Beam Schedule'!$A$2:$Q$2902,AB$2,0)&lt;&gt;L2285,"Beam Revised","")</f>
        <v>#N/A</v>
      </c>
      <c r="AC2285" s="7" t="e">
        <f>IF(VLOOKUP($A2285,'Concrete Beam Schedule'!$A$2:$Q$2902,AC$2,0)&lt;&gt;M2285,"Beam Revised","")</f>
        <v>#N/A</v>
      </c>
      <c r="AD2285" s="7" t="e">
        <f>IF(VLOOKUP($A2285,'Concrete Beam Schedule'!$A$2:$Q$2902,AD$2,0)&lt;&gt;N2285,"Beam Revised","")</f>
        <v>#N/A</v>
      </c>
      <c r="AE2285" s="7" t="e">
        <f>IF(VLOOKUP($A2285,'Concrete Beam Schedule'!$A$2:$Q$2902,AE$2,0)&lt;&gt;O2285,"Beam Revised","")</f>
        <v>#N/A</v>
      </c>
    </row>
    <row r="2286" spans="17:31" ht="20.100000000000001" customHeight="1" x14ac:dyDescent="0.25">
      <c r="Q2286" s="7">
        <f t="shared" si="35"/>
        <v>0</v>
      </c>
      <c r="R2286" s="7" t="e">
        <f>IF(VLOOKUP($A2286,'Concrete Beam Schedule'!$A$2:$Q$2902,R$2,0)&lt;&gt;B2286,VLOOKUP($A2286,'Concrete Beam Schedule'!$A$2:$Q$2902,R$2,0),"")</f>
        <v>#N/A</v>
      </c>
      <c r="S2286" s="7" t="e">
        <f>IF(VLOOKUP($A2286,'Concrete Beam Schedule'!$A$2:$Q$2902,S$2,0)&lt;&gt;C2286,VLOOKUP($A2286,'Concrete Beam Schedule'!$A$2:$Q$2902,S$2,0),"")</f>
        <v>#N/A</v>
      </c>
      <c r="T2286" s="7" t="e">
        <f>IF(VLOOKUP($A2286,'Concrete Beam Schedule'!$A$2:$Q$2902,T$2,0)&lt;&gt;D2286,"Beam Revised","")</f>
        <v>#N/A</v>
      </c>
      <c r="U2286" s="7" t="e">
        <f>IF(VLOOKUP($A2286,'Concrete Beam Schedule'!$A$2:$Q$2902,U$2,0)&lt;&gt;E2286,"Beam Revised","")</f>
        <v>#N/A</v>
      </c>
      <c r="V2286" s="7" t="e">
        <f>IF(VLOOKUP($A2286,'Concrete Beam Schedule'!$A$2:$Q$2902,V$2,0)&lt;&gt;F2286,"Beam Revised","")</f>
        <v>#N/A</v>
      </c>
      <c r="W2286" s="7" t="e">
        <f>IF(VLOOKUP($A2286,'Concrete Beam Schedule'!$A$2:$Q$2902,W$2,0)&lt;&gt;G2286,"Beam Revised","")</f>
        <v>#N/A</v>
      </c>
      <c r="X2286" s="7" t="e">
        <f>IF(VLOOKUP($A2286,'Concrete Beam Schedule'!$A$2:$Q$2902,X$2,0)&lt;&gt;H2286,"Beam Revised","")</f>
        <v>#N/A</v>
      </c>
      <c r="Y2286" s="7" t="e">
        <f>IF(VLOOKUP($A2286,'Concrete Beam Schedule'!$A$2:$Q$2902,Y$2,0)&lt;&gt;I2286,"Beam Revised","")</f>
        <v>#N/A</v>
      </c>
      <c r="Z2286" s="7" t="e">
        <f>IF(VLOOKUP($A2286,'Concrete Beam Schedule'!$A$2:$Q$2902,Z$2,0)&lt;&gt;J2286,"Beam Revised","")</f>
        <v>#N/A</v>
      </c>
      <c r="AA2286" s="7" t="e">
        <f>IF(VLOOKUP($A2286,'Concrete Beam Schedule'!$A$2:$Q$2902,AA$2,0)&lt;&gt;K2286,"Beam Revised","")</f>
        <v>#N/A</v>
      </c>
      <c r="AB2286" s="7" t="e">
        <f>IF(VLOOKUP($A2286,'Concrete Beam Schedule'!$A$2:$Q$2902,AB$2,0)&lt;&gt;L2286,"Beam Revised","")</f>
        <v>#N/A</v>
      </c>
      <c r="AC2286" s="7" t="e">
        <f>IF(VLOOKUP($A2286,'Concrete Beam Schedule'!$A$2:$Q$2902,AC$2,0)&lt;&gt;M2286,"Beam Revised","")</f>
        <v>#N/A</v>
      </c>
      <c r="AD2286" s="7" t="e">
        <f>IF(VLOOKUP($A2286,'Concrete Beam Schedule'!$A$2:$Q$2902,AD$2,0)&lt;&gt;N2286,"Beam Revised","")</f>
        <v>#N/A</v>
      </c>
      <c r="AE2286" s="7" t="e">
        <f>IF(VLOOKUP($A2286,'Concrete Beam Schedule'!$A$2:$Q$2902,AE$2,0)&lt;&gt;O2286,"Beam Revised","")</f>
        <v>#N/A</v>
      </c>
    </row>
    <row r="2287" spans="17:31" ht="20.100000000000001" customHeight="1" x14ac:dyDescent="0.25">
      <c r="Q2287" s="7">
        <f t="shared" si="35"/>
        <v>0</v>
      </c>
      <c r="R2287" s="7" t="e">
        <f>IF(VLOOKUP($A2287,'Concrete Beam Schedule'!$A$2:$Q$2902,R$2,0)&lt;&gt;B2287,VLOOKUP($A2287,'Concrete Beam Schedule'!$A$2:$Q$2902,R$2,0),"")</f>
        <v>#N/A</v>
      </c>
      <c r="S2287" s="7" t="e">
        <f>IF(VLOOKUP($A2287,'Concrete Beam Schedule'!$A$2:$Q$2902,S$2,0)&lt;&gt;C2287,VLOOKUP($A2287,'Concrete Beam Schedule'!$A$2:$Q$2902,S$2,0),"")</f>
        <v>#N/A</v>
      </c>
      <c r="T2287" s="7" t="e">
        <f>IF(VLOOKUP($A2287,'Concrete Beam Schedule'!$A$2:$Q$2902,T$2,0)&lt;&gt;D2287,"Beam Revised","")</f>
        <v>#N/A</v>
      </c>
      <c r="U2287" s="7" t="e">
        <f>IF(VLOOKUP($A2287,'Concrete Beam Schedule'!$A$2:$Q$2902,U$2,0)&lt;&gt;E2287,"Beam Revised","")</f>
        <v>#N/A</v>
      </c>
      <c r="V2287" s="7" t="e">
        <f>IF(VLOOKUP($A2287,'Concrete Beam Schedule'!$A$2:$Q$2902,V$2,0)&lt;&gt;F2287,"Beam Revised","")</f>
        <v>#N/A</v>
      </c>
      <c r="W2287" s="7" t="e">
        <f>IF(VLOOKUP($A2287,'Concrete Beam Schedule'!$A$2:$Q$2902,W$2,0)&lt;&gt;G2287,"Beam Revised","")</f>
        <v>#N/A</v>
      </c>
      <c r="X2287" s="7" t="e">
        <f>IF(VLOOKUP($A2287,'Concrete Beam Schedule'!$A$2:$Q$2902,X$2,0)&lt;&gt;H2287,"Beam Revised","")</f>
        <v>#N/A</v>
      </c>
      <c r="Y2287" s="7" t="e">
        <f>IF(VLOOKUP($A2287,'Concrete Beam Schedule'!$A$2:$Q$2902,Y$2,0)&lt;&gt;I2287,"Beam Revised","")</f>
        <v>#N/A</v>
      </c>
      <c r="Z2287" s="7" t="e">
        <f>IF(VLOOKUP($A2287,'Concrete Beam Schedule'!$A$2:$Q$2902,Z$2,0)&lt;&gt;J2287,"Beam Revised","")</f>
        <v>#N/A</v>
      </c>
      <c r="AA2287" s="7" t="e">
        <f>IF(VLOOKUP($A2287,'Concrete Beam Schedule'!$A$2:$Q$2902,AA$2,0)&lt;&gt;K2287,"Beam Revised","")</f>
        <v>#N/A</v>
      </c>
      <c r="AB2287" s="7" t="e">
        <f>IF(VLOOKUP($A2287,'Concrete Beam Schedule'!$A$2:$Q$2902,AB$2,0)&lt;&gt;L2287,"Beam Revised","")</f>
        <v>#N/A</v>
      </c>
      <c r="AC2287" s="7" t="e">
        <f>IF(VLOOKUP($A2287,'Concrete Beam Schedule'!$A$2:$Q$2902,AC$2,0)&lt;&gt;M2287,"Beam Revised","")</f>
        <v>#N/A</v>
      </c>
      <c r="AD2287" s="7" t="e">
        <f>IF(VLOOKUP($A2287,'Concrete Beam Schedule'!$A$2:$Q$2902,AD$2,0)&lt;&gt;N2287,"Beam Revised","")</f>
        <v>#N/A</v>
      </c>
      <c r="AE2287" s="7" t="e">
        <f>IF(VLOOKUP($A2287,'Concrete Beam Schedule'!$A$2:$Q$2902,AE$2,0)&lt;&gt;O2287,"Beam Revised","")</f>
        <v>#N/A</v>
      </c>
    </row>
    <row r="2288" spans="17:31" ht="20.100000000000001" customHeight="1" x14ac:dyDescent="0.25">
      <c r="Q2288" s="7">
        <f t="shared" si="35"/>
        <v>0</v>
      </c>
      <c r="R2288" s="7" t="e">
        <f>IF(VLOOKUP($A2288,'Concrete Beam Schedule'!$A$2:$Q$2902,R$2,0)&lt;&gt;B2288,VLOOKUP($A2288,'Concrete Beam Schedule'!$A$2:$Q$2902,R$2,0),"")</f>
        <v>#N/A</v>
      </c>
      <c r="S2288" s="7" t="e">
        <f>IF(VLOOKUP($A2288,'Concrete Beam Schedule'!$A$2:$Q$2902,S$2,0)&lt;&gt;C2288,VLOOKUP($A2288,'Concrete Beam Schedule'!$A$2:$Q$2902,S$2,0),"")</f>
        <v>#N/A</v>
      </c>
      <c r="T2288" s="7" t="e">
        <f>IF(VLOOKUP($A2288,'Concrete Beam Schedule'!$A$2:$Q$2902,T$2,0)&lt;&gt;D2288,"Beam Revised","")</f>
        <v>#N/A</v>
      </c>
      <c r="U2288" s="7" t="e">
        <f>IF(VLOOKUP($A2288,'Concrete Beam Schedule'!$A$2:$Q$2902,U$2,0)&lt;&gt;E2288,"Beam Revised","")</f>
        <v>#N/A</v>
      </c>
      <c r="V2288" s="7" t="e">
        <f>IF(VLOOKUP($A2288,'Concrete Beam Schedule'!$A$2:$Q$2902,V$2,0)&lt;&gt;F2288,"Beam Revised","")</f>
        <v>#N/A</v>
      </c>
      <c r="W2288" s="7" t="e">
        <f>IF(VLOOKUP($A2288,'Concrete Beam Schedule'!$A$2:$Q$2902,W$2,0)&lt;&gt;G2288,"Beam Revised","")</f>
        <v>#N/A</v>
      </c>
      <c r="X2288" s="7" t="e">
        <f>IF(VLOOKUP($A2288,'Concrete Beam Schedule'!$A$2:$Q$2902,X$2,0)&lt;&gt;H2288,"Beam Revised","")</f>
        <v>#N/A</v>
      </c>
      <c r="Y2288" s="7" t="e">
        <f>IF(VLOOKUP($A2288,'Concrete Beam Schedule'!$A$2:$Q$2902,Y$2,0)&lt;&gt;I2288,"Beam Revised","")</f>
        <v>#N/A</v>
      </c>
      <c r="Z2288" s="7" t="e">
        <f>IF(VLOOKUP($A2288,'Concrete Beam Schedule'!$A$2:$Q$2902,Z$2,0)&lt;&gt;J2288,"Beam Revised","")</f>
        <v>#N/A</v>
      </c>
      <c r="AA2288" s="7" t="e">
        <f>IF(VLOOKUP($A2288,'Concrete Beam Schedule'!$A$2:$Q$2902,AA$2,0)&lt;&gt;K2288,"Beam Revised","")</f>
        <v>#N/A</v>
      </c>
      <c r="AB2288" s="7" t="e">
        <f>IF(VLOOKUP($A2288,'Concrete Beam Schedule'!$A$2:$Q$2902,AB$2,0)&lt;&gt;L2288,"Beam Revised","")</f>
        <v>#N/A</v>
      </c>
      <c r="AC2288" s="7" t="e">
        <f>IF(VLOOKUP($A2288,'Concrete Beam Schedule'!$A$2:$Q$2902,AC$2,0)&lt;&gt;M2288,"Beam Revised","")</f>
        <v>#N/A</v>
      </c>
      <c r="AD2288" s="7" t="e">
        <f>IF(VLOOKUP($A2288,'Concrete Beam Schedule'!$A$2:$Q$2902,AD$2,0)&lt;&gt;N2288,"Beam Revised","")</f>
        <v>#N/A</v>
      </c>
      <c r="AE2288" s="7" t="e">
        <f>IF(VLOOKUP($A2288,'Concrete Beam Schedule'!$A$2:$Q$2902,AE$2,0)&lt;&gt;O2288,"Beam Revised","")</f>
        <v>#N/A</v>
      </c>
    </row>
    <row r="2289" spans="17:31" ht="20.100000000000001" customHeight="1" x14ac:dyDescent="0.25">
      <c r="Q2289" s="7">
        <f t="shared" si="35"/>
        <v>0</v>
      </c>
      <c r="R2289" s="7" t="e">
        <f>IF(VLOOKUP($A2289,'Concrete Beam Schedule'!$A$2:$Q$2902,R$2,0)&lt;&gt;B2289,VLOOKUP($A2289,'Concrete Beam Schedule'!$A$2:$Q$2902,R$2,0),"")</f>
        <v>#N/A</v>
      </c>
      <c r="S2289" s="7" t="e">
        <f>IF(VLOOKUP($A2289,'Concrete Beam Schedule'!$A$2:$Q$2902,S$2,0)&lt;&gt;C2289,VLOOKUP($A2289,'Concrete Beam Schedule'!$A$2:$Q$2902,S$2,0),"")</f>
        <v>#N/A</v>
      </c>
      <c r="T2289" s="7" t="e">
        <f>IF(VLOOKUP($A2289,'Concrete Beam Schedule'!$A$2:$Q$2902,T$2,0)&lt;&gt;D2289,"Beam Revised","")</f>
        <v>#N/A</v>
      </c>
      <c r="U2289" s="7" t="e">
        <f>IF(VLOOKUP($A2289,'Concrete Beam Schedule'!$A$2:$Q$2902,U$2,0)&lt;&gt;E2289,"Beam Revised","")</f>
        <v>#N/A</v>
      </c>
      <c r="V2289" s="7" t="e">
        <f>IF(VLOOKUP($A2289,'Concrete Beam Schedule'!$A$2:$Q$2902,V$2,0)&lt;&gt;F2289,"Beam Revised","")</f>
        <v>#N/A</v>
      </c>
      <c r="W2289" s="7" t="e">
        <f>IF(VLOOKUP($A2289,'Concrete Beam Schedule'!$A$2:$Q$2902,W$2,0)&lt;&gt;G2289,"Beam Revised","")</f>
        <v>#N/A</v>
      </c>
      <c r="X2289" s="7" t="e">
        <f>IF(VLOOKUP($A2289,'Concrete Beam Schedule'!$A$2:$Q$2902,X$2,0)&lt;&gt;H2289,"Beam Revised","")</f>
        <v>#N/A</v>
      </c>
      <c r="Y2289" s="7" t="e">
        <f>IF(VLOOKUP($A2289,'Concrete Beam Schedule'!$A$2:$Q$2902,Y$2,0)&lt;&gt;I2289,"Beam Revised","")</f>
        <v>#N/A</v>
      </c>
      <c r="Z2289" s="7" t="e">
        <f>IF(VLOOKUP($A2289,'Concrete Beam Schedule'!$A$2:$Q$2902,Z$2,0)&lt;&gt;J2289,"Beam Revised","")</f>
        <v>#N/A</v>
      </c>
      <c r="AA2289" s="7" t="e">
        <f>IF(VLOOKUP($A2289,'Concrete Beam Schedule'!$A$2:$Q$2902,AA$2,0)&lt;&gt;K2289,"Beam Revised","")</f>
        <v>#N/A</v>
      </c>
      <c r="AB2289" s="7" t="e">
        <f>IF(VLOOKUP($A2289,'Concrete Beam Schedule'!$A$2:$Q$2902,AB$2,0)&lt;&gt;L2289,"Beam Revised","")</f>
        <v>#N/A</v>
      </c>
      <c r="AC2289" s="7" t="e">
        <f>IF(VLOOKUP($A2289,'Concrete Beam Schedule'!$A$2:$Q$2902,AC$2,0)&lt;&gt;M2289,"Beam Revised","")</f>
        <v>#N/A</v>
      </c>
      <c r="AD2289" s="7" t="e">
        <f>IF(VLOOKUP($A2289,'Concrete Beam Schedule'!$A$2:$Q$2902,AD$2,0)&lt;&gt;N2289,"Beam Revised","")</f>
        <v>#N/A</v>
      </c>
      <c r="AE2289" s="7" t="e">
        <f>IF(VLOOKUP($A2289,'Concrete Beam Schedule'!$A$2:$Q$2902,AE$2,0)&lt;&gt;O2289,"Beam Revised","")</f>
        <v>#N/A</v>
      </c>
    </row>
    <row r="2290" spans="17:31" ht="20.100000000000001" customHeight="1" x14ac:dyDescent="0.25">
      <c r="Q2290" s="7">
        <f t="shared" si="35"/>
        <v>0</v>
      </c>
      <c r="R2290" s="7" t="e">
        <f>IF(VLOOKUP($A2290,'Concrete Beam Schedule'!$A$2:$Q$2902,R$2,0)&lt;&gt;B2290,VLOOKUP($A2290,'Concrete Beam Schedule'!$A$2:$Q$2902,R$2,0),"")</f>
        <v>#N/A</v>
      </c>
      <c r="S2290" s="7" t="e">
        <f>IF(VLOOKUP($A2290,'Concrete Beam Schedule'!$A$2:$Q$2902,S$2,0)&lt;&gt;C2290,VLOOKUP($A2290,'Concrete Beam Schedule'!$A$2:$Q$2902,S$2,0),"")</f>
        <v>#N/A</v>
      </c>
      <c r="T2290" s="7" t="e">
        <f>IF(VLOOKUP($A2290,'Concrete Beam Schedule'!$A$2:$Q$2902,T$2,0)&lt;&gt;D2290,"Beam Revised","")</f>
        <v>#N/A</v>
      </c>
      <c r="U2290" s="7" t="e">
        <f>IF(VLOOKUP($A2290,'Concrete Beam Schedule'!$A$2:$Q$2902,U$2,0)&lt;&gt;E2290,"Beam Revised","")</f>
        <v>#N/A</v>
      </c>
      <c r="V2290" s="7" t="e">
        <f>IF(VLOOKUP($A2290,'Concrete Beam Schedule'!$A$2:$Q$2902,V$2,0)&lt;&gt;F2290,"Beam Revised","")</f>
        <v>#N/A</v>
      </c>
      <c r="W2290" s="7" t="e">
        <f>IF(VLOOKUP($A2290,'Concrete Beam Schedule'!$A$2:$Q$2902,W$2,0)&lt;&gt;G2290,"Beam Revised","")</f>
        <v>#N/A</v>
      </c>
      <c r="X2290" s="7" t="e">
        <f>IF(VLOOKUP($A2290,'Concrete Beam Schedule'!$A$2:$Q$2902,X$2,0)&lt;&gt;H2290,"Beam Revised","")</f>
        <v>#N/A</v>
      </c>
      <c r="Y2290" s="7" t="e">
        <f>IF(VLOOKUP($A2290,'Concrete Beam Schedule'!$A$2:$Q$2902,Y$2,0)&lt;&gt;I2290,"Beam Revised","")</f>
        <v>#N/A</v>
      </c>
      <c r="Z2290" s="7" t="e">
        <f>IF(VLOOKUP($A2290,'Concrete Beam Schedule'!$A$2:$Q$2902,Z$2,0)&lt;&gt;J2290,"Beam Revised","")</f>
        <v>#N/A</v>
      </c>
      <c r="AA2290" s="7" t="e">
        <f>IF(VLOOKUP($A2290,'Concrete Beam Schedule'!$A$2:$Q$2902,AA$2,0)&lt;&gt;K2290,"Beam Revised","")</f>
        <v>#N/A</v>
      </c>
      <c r="AB2290" s="7" t="e">
        <f>IF(VLOOKUP($A2290,'Concrete Beam Schedule'!$A$2:$Q$2902,AB$2,0)&lt;&gt;L2290,"Beam Revised","")</f>
        <v>#N/A</v>
      </c>
      <c r="AC2290" s="7" t="e">
        <f>IF(VLOOKUP($A2290,'Concrete Beam Schedule'!$A$2:$Q$2902,AC$2,0)&lt;&gt;M2290,"Beam Revised","")</f>
        <v>#N/A</v>
      </c>
      <c r="AD2290" s="7" t="e">
        <f>IF(VLOOKUP($A2290,'Concrete Beam Schedule'!$A$2:$Q$2902,AD$2,0)&lt;&gt;N2290,"Beam Revised","")</f>
        <v>#N/A</v>
      </c>
      <c r="AE2290" s="7" t="e">
        <f>IF(VLOOKUP($A2290,'Concrete Beam Schedule'!$A$2:$Q$2902,AE$2,0)&lt;&gt;O2290,"Beam Revised","")</f>
        <v>#N/A</v>
      </c>
    </row>
    <row r="2291" spans="17:31" ht="20.100000000000001" customHeight="1" x14ac:dyDescent="0.25">
      <c r="Q2291" s="7">
        <f t="shared" si="35"/>
        <v>0</v>
      </c>
      <c r="R2291" s="7" t="e">
        <f>IF(VLOOKUP($A2291,'Concrete Beam Schedule'!$A$2:$Q$2902,R$2,0)&lt;&gt;B2291,VLOOKUP($A2291,'Concrete Beam Schedule'!$A$2:$Q$2902,R$2,0),"")</f>
        <v>#N/A</v>
      </c>
      <c r="S2291" s="7" t="e">
        <f>IF(VLOOKUP($A2291,'Concrete Beam Schedule'!$A$2:$Q$2902,S$2,0)&lt;&gt;C2291,VLOOKUP($A2291,'Concrete Beam Schedule'!$A$2:$Q$2902,S$2,0),"")</f>
        <v>#N/A</v>
      </c>
      <c r="T2291" s="7" t="e">
        <f>IF(VLOOKUP($A2291,'Concrete Beam Schedule'!$A$2:$Q$2902,T$2,0)&lt;&gt;D2291,"Beam Revised","")</f>
        <v>#N/A</v>
      </c>
      <c r="U2291" s="7" t="e">
        <f>IF(VLOOKUP($A2291,'Concrete Beam Schedule'!$A$2:$Q$2902,U$2,0)&lt;&gt;E2291,"Beam Revised","")</f>
        <v>#N/A</v>
      </c>
      <c r="V2291" s="7" t="e">
        <f>IF(VLOOKUP($A2291,'Concrete Beam Schedule'!$A$2:$Q$2902,V$2,0)&lt;&gt;F2291,"Beam Revised","")</f>
        <v>#N/A</v>
      </c>
      <c r="W2291" s="7" t="e">
        <f>IF(VLOOKUP($A2291,'Concrete Beam Schedule'!$A$2:$Q$2902,W$2,0)&lt;&gt;G2291,"Beam Revised","")</f>
        <v>#N/A</v>
      </c>
      <c r="X2291" s="7" t="e">
        <f>IF(VLOOKUP($A2291,'Concrete Beam Schedule'!$A$2:$Q$2902,X$2,0)&lt;&gt;H2291,"Beam Revised","")</f>
        <v>#N/A</v>
      </c>
      <c r="Y2291" s="7" t="e">
        <f>IF(VLOOKUP($A2291,'Concrete Beam Schedule'!$A$2:$Q$2902,Y$2,0)&lt;&gt;I2291,"Beam Revised","")</f>
        <v>#N/A</v>
      </c>
      <c r="Z2291" s="7" t="e">
        <f>IF(VLOOKUP($A2291,'Concrete Beam Schedule'!$A$2:$Q$2902,Z$2,0)&lt;&gt;J2291,"Beam Revised","")</f>
        <v>#N/A</v>
      </c>
      <c r="AA2291" s="7" t="e">
        <f>IF(VLOOKUP($A2291,'Concrete Beam Schedule'!$A$2:$Q$2902,AA$2,0)&lt;&gt;K2291,"Beam Revised","")</f>
        <v>#N/A</v>
      </c>
      <c r="AB2291" s="7" t="e">
        <f>IF(VLOOKUP($A2291,'Concrete Beam Schedule'!$A$2:$Q$2902,AB$2,0)&lt;&gt;L2291,"Beam Revised","")</f>
        <v>#N/A</v>
      </c>
      <c r="AC2291" s="7" t="e">
        <f>IF(VLOOKUP($A2291,'Concrete Beam Schedule'!$A$2:$Q$2902,AC$2,0)&lt;&gt;M2291,"Beam Revised","")</f>
        <v>#N/A</v>
      </c>
      <c r="AD2291" s="7" t="e">
        <f>IF(VLOOKUP($A2291,'Concrete Beam Schedule'!$A$2:$Q$2902,AD$2,0)&lt;&gt;N2291,"Beam Revised","")</f>
        <v>#N/A</v>
      </c>
      <c r="AE2291" s="7" t="e">
        <f>IF(VLOOKUP($A2291,'Concrete Beam Schedule'!$A$2:$Q$2902,AE$2,0)&lt;&gt;O2291,"Beam Revised","")</f>
        <v>#N/A</v>
      </c>
    </row>
    <row r="2292" spans="17:31" ht="20.100000000000001" customHeight="1" x14ac:dyDescent="0.25">
      <c r="Q2292" s="7">
        <f t="shared" si="35"/>
        <v>0</v>
      </c>
      <c r="R2292" s="7" t="e">
        <f>IF(VLOOKUP($A2292,'Concrete Beam Schedule'!$A$2:$Q$2902,R$2,0)&lt;&gt;B2292,VLOOKUP($A2292,'Concrete Beam Schedule'!$A$2:$Q$2902,R$2,0),"")</f>
        <v>#N/A</v>
      </c>
      <c r="S2292" s="7" t="e">
        <f>IF(VLOOKUP($A2292,'Concrete Beam Schedule'!$A$2:$Q$2902,S$2,0)&lt;&gt;C2292,VLOOKUP($A2292,'Concrete Beam Schedule'!$A$2:$Q$2902,S$2,0),"")</f>
        <v>#N/A</v>
      </c>
      <c r="T2292" s="7" t="e">
        <f>IF(VLOOKUP($A2292,'Concrete Beam Schedule'!$A$2:$Q$2902,T$2,0)&lt;&gt;D2292,"Beam Revised","")</f>
        <v>#N/A</v>
      </c>
      <c r="U2292" s="7" t="e">
        <f>IF(VLOOKUP($A2292,'Concrete Beam Schedule'!$A$2:$Q$2902,U$2,0)&lt;&gt;E2292,"Beam Revised","")</f>
        <v>#N/A</v>
      </c>
      <c r="V2292" s="7" t="e">
        <f>IF(VLOOKUP($A2292,'Concrete Beam Schedule'!$A$2:$Q$2902,V$2,0)&lt;&gt;F2292,"Beam Revised","")</f>
        <v>#N/A</v>
      </c>
      <c r="W2292" s="7" t="e">
        <f>IF(VLOOKUP($A2292,'Concrete Beam Schedule'!$A$2:$Q$2902,W$2,0)&lt;&gt;G2292,"Beam Revised","")</f>
        <v>#N/A</v>
      </c>
      <c r="X2292" s="7" t="e">
        <f>IF(VLOOKUP($A2292,'Concrete Beam Schedule'!$A$2:$Q$2902,X$2,0)&lt;&gt;H2292,"Beam Revised","")</f>
        <v>#N/A</v>
      </c>
      <c r="Y2292" s="7" t="e">
        <f>IF(VLOOKUP($A2292,'Concrete Beam Schedule'!$A$2:$Q$2902,Y$2,0)&lt;&gt;I2292,"Beam Revised","")</f>
        <v>#N/A</v>
      </c>
      <c r="Z2292" s="7" t="e">
        <f>IF(VLOOKUP($A2292,'Concrete Beam Schedule'!$A$2:$Q$2902,Z$2,0)&lt;&gt;J2292,"Beam Revised","")</f>
        <v>#N/A</v>
      </c>
      <c r="AA2292" s="7" t="e">
        <f>IF(VLOOKUP($A2292,'Concrete Beam Schedule'!$A$2:$Q$2902,AA$2,0)&lt;&gt;K2292,"Beam Revised","")</f>
        <v>#N/A</v>
      </c>
      <c r="AB2292" s="7" t="e">
        <f>IF(VLOOKUP($A2292,'Concrete Beam Schedule'!$A$2:$Q$2902,AB$2,0)&lt;&gt;L2292,"Beam Revised","")</f>
        <v>#N/A</v>
      </c>
      <c r="AC2292" s="7" t="e">
        <f>IF(VLOOKUP($A2292,'Concrete Beam Schedule'!$A$2:$Q$2902,AC$2,0)&lt;&gt;M2292,"Beam Revised","")</f>
        <v>#N/A</v>
      </c>
      <c r="AD2292" s="7" t="e">
        <f>IF(VLOOKUP($A2292,'Concrete Beam Schedule'!$A$2:$Q$2902,AD$2,0)&lt;&gt;N2292,"Beam Revised","")</f>
        <v>#N/A</v>
      </c>
      <c r="AE2292" s="7" t="e">
        <f>IF(VLOOKUP($A2292,'Concrete Beam Schedule'!$A$2:$Q$2902,AE$2,0)&lt;&gt;O2292,"Beam Revised","")</f>
        <v>#N/A</v>
      </c>
    </row>
    <row r="2293" spans="17:31" ht="20.100000000000001" customHeight="1" x14ac:dyDescent="0.25">
      <c r="Q2293" s="7">
        <f t="shared" si="35"/>
        <v>0</v>
      </c>
      <c r="R2293" s="7" t="e">
        <f>IF(VLOOKUP($A2293,'Concrete Beam Schedule'!$A$2:$Q$2902,R$2,0)&lt;&gt;B2293,VLOOKUP($A2293,'Concrete Beam Schedule'!$A$2:$Q$2902,R$2,0),"")</f>
        <v>#N/A</v>
      </c>
      <c r="S2293" s="7" t="e">
        <f>IF(VLOOKUP($A2293,'Concrete Beam Schedule'!$A$2:$Q$2902,S$2,0)&lt;&gt;C2293,VLOOKUP($A2293,'Concrete Beam Schedule'!$A$2:$Q$2902,S$2,0),"")</f>
        <v>#N/A</v>
      </c>
      <c r="T2293" s="7" t="e">
        <f>IF(VLOOKUP($A2293,'Concrete Beam Schedule'!$A$2:$Q$2902,T$2,0)&lt;&gt;D2293,"Beam Revised","")</f>
        <v>#N/A</v>
      </c>
      <c r="U2293" s="7" t="e">
        <f>IF(VLOOKUP($A2293,'Concrete Beam Schedule'!$A$2:$Q$2902,U$2,0)&lt;&gt;E2293,"Beam Revised","")</f>
        <v>#N/A</v>
      </c>
      <c r="V2293" s="7" t="e">
        <f>IF(VLOOKUP($A2293,'Concrete Beam Schedule'!$A$2:$Q$2902,V$2,0)&lt;&gt;F2293,"Beam Revised","")</f>
        <v>#N/A</v>
      </c>
      <c r="W2293" s="7" t="e">
        <f>IF(VLOOKUP($A2293,'Concrete Beam Schedule'!$A$2:$Q$2902,W$2,0)&lt;&gt;G2293,"Beam Revised","")</f>
        <v>#N/A</v>
      </c>
      <c r="X2293" s="7" t="e">
        <f>IF(VLOOKUP($A2293,'Concrete Beam Schedule'!$A$2:$Q$2902,X$2,0)&lt;&gt;H2293,"Beam Revised","")</f>
        <v>#N/A</v>
      </c>
      <c r="Y2293" s="7" t="e">
        <f>IF(VLOOKUP($A2293,'Concrete Beam Schedule'!$A$2:$Q$2902,Y$2,0)&lt;&gt;I2293,"Beam Revised","")</f>
        <v>#N/A</v>
      </c>
      <c r="Z2293" s="7" t="e">
        <f>IF(VLOOKUP($A2293,'Concrete Beam Schedule'!$A$2:$Q$2902,Z$2,0)&lt;&gt;J2293,"Beam Revised","")</f>
        <v>#N/A</v>
      </c>
      <c r="AA2293" s="7" t="e">
        <f>IF(VLOOKUP($A2293,'Concrete Beam Schedule'!$A$2:$Q$2902,AA$2,0)&lt;&gt;K2293,"Beam Revised","")</f>
        <v>#N/A</v>
      </c>
      <c r="AB2293" s="7" t="e">
        <f>IF(VLOOKUP($A2293,'Concrete Beam Schedule'!$A$2:$Q$2902,AB$2,0)&lt;&gt;L2293,"Beam Revised","")</f>
        <v>#N/A</v>
      </c>
      <c r="AC2293" s="7" t="e">
        <f>IF(VLOOKUP($A2293,'Concrete Beam Schedule'!$A$2:$Q$2902,AC$2,0)&lt;&gt;M2293,"Beam Revised","")</f>
        <v>#N/A</v>
      </c>
      <c r="AD2293" s="7" t="e">
        <f>IF(VLOOKUP($A2293,'Concrete Beam Schedule'!$A$2:$Q$2902,AD$2,0)&lt;&gt;N2293,"Beam Revised","")</f>
        <v>#N/A</v>
      </c>
      <c r="AE2293" s="7" t="e">
        <f>IF(VLOOKUP($A2293,'Concrete Beam Schedule'!$A$2:$Q$2902,AE$2,0)&lt;&gt;O2293,"Beam Revised","")</f>
        <v>#N/A</v>
      </c>
    </row>
    <row r="2294" spans="17:31" ht="20.100000000000001" customHeight="1" x14ac:dyDescent="0.25">
      <c r="Q2294" s="7">
        <f t="shared" si="35"/>
        <v>0</v>
      </c>
      <c r="R2294" s="7" t="e">
        <f>IF(VLOOKUP($A2294,'Concrete Beam Schedule'!$A$2:$Q$2902,R$2,0)&lt;&gt;B2294,VLOOKUP($A2294,'Concrete Beam Schedule'!$A$2:$Q$2902,R$2,0),"")</f>
        <v>#N/A</v>
      </c>
      <c r="S2294" s="7" t="e">
        <f>IF(VLOOKUP($A2294,'Concrete Beam Schedule'!$A$2:$Q$2902,S$2,0)&lt;&gt;C2294,VLOOKUP($A2294,'Concrete Beam Schedule'!$A$2:$Q$2902,S$2,0),"")</f>
        <v>#N/A</v>
      </c>
      <c r="T2294" s="7" t="e">
        <f>IF(VLOOKUP($A2294,'Concrete Beam Schedule'!$A$2:$Q$2902,T$2,0)&lt;&gt;D2294,"Beam Revised","")</f>
        <v>#N/A</v>
      </c>
      <c r="U2294" s="7" t="e">
        <f>IF(VLOOKUP($A2294,'Concrete Beam Schedule'!$A$2:$Q$2902,U$2,0)&lt;&gt;E2294,"Beam Revised","")</f>
        <v>#N/A</v>
      </c>
      <c r="V2294" s="7" t="e">
        <f>IF(VLOOKUP($A2294,'Concrete Beam Schedule'!$A$2:$Q$2902,V$2,0)&lt;&gt;F2294,"Beam Revised","")</f>
        <v>#N/A</v>
      </c>
      <c r="W2294" s="7" t="e">
        <f>IF(VLOOKUP($A2294,'Concrete Beam Schedule'!$A$2:$Q$2902,W$2,0)&lt;&gt;G2294,"Beam Revised","")</f>
        <v>#N/A</v>
      </c>
      <c r="X2294" s="7" t="e">
        <f>IF(VLOOKUP($A2294,'Concrete Beam Schedule'!$A$2:$Q$2902,X$2,0)&lt;&gt;H2294,"Beam Revised","")</f>
        <v>#N/A</v>
      </c>
      <c r="Y2294" s="7" t="e">
        <f>IF(VLOOKUP($A2294,'Concrete Beam Schedule'!$A$2:$Q$2902,Y$2,0)&lt;&gt;I2294,"Beam Revised","")</f>
        <v>#N/A</v>
      </c>
      <c r="Z2294" s="7" t="e">
        <f>IF(VLOOKUP($A2294,'Concrete Beam Schedule'!$A$2:$Q$2902,Z$2,0)&lt;&gt;J2294,"Beam Revised","")</f>
        <v>#N/A</v>
      </c>
      <c r="AA2294" s="7" t="e">
        <f>IF(VLOOKUP($A2294,'Concrete Beam Schedule'!$A$2:$Q$2902,AA$2,0)&lt;&gt;K2294,"Beam Revised","")</f>
        <v>#N/A</v>
      </c>
      <c r="AB2294" s="7" t="e">
        <f>IF(VLOOKUP($A2294,'Concrete Beam Schedule'!$A$2:$Q$2902,AB$2,0)&lt;&gt;L2294,"Beam Revised","")</f>
        <v>#N/A</v>
      </c>
      <c r="AC2294" s="7" t="e">
        <f>IF(VLOOKUP($A2294,'Concrete Beam Schedule'!$A$2:$Q$2902,AC$2,0)&lt;&gt;M2294,"Beam Revised","")</f>
        <v>#N/A</v>
      </c>
      <c r="AD2294" s="7" t="e">
        <f>IF(VLOOKUP($A2294,'Concrete Beam Schedule'!$A$2:$Q$2902,AD$2,0)&lt;&gt;N2294,"Beam Revised","")</f>
        <v>#N/A</v>
      </c>
      <c r="AE2294" s="7" t="e">
        <f>IF(VLOOKUP($A2294,'Concrete Beam Schedule'!$A$2:$Q$2902,AE$2,0)&lt;&gt;O2294,"Beam Revised","")</f>
        <v>#N/A</v>
      </c>
    </row>
    <row r="2295" spans="17:31" ht="20.100000000000001" customHeight="1" x14ac:dyDescent="0.25">
      <c r="Q2295" s="7">
        <f t="shared" si="35"/>
        <v>0</v>
      </c>
      <c r="R2295" s="7" t="e">
        <f>IF(VLOOKUP($A2295,'Concrete Beam Schedule'!$A$2:$Q$2902,R$2,0)&lt;&gt;B2295,VLOOKUP($A2295,'Concrete Beam Schedule'!$A$2:$Q$2902,R$2,0),"")</f>
        <v>#N/A</v>
      </c>
      <c r="S2295" s="7" t="e">
        <f>IF(VLOOKUP($A2295,'Concrete Beam Schedule'!$A$2:$Q$2902,S$2,0)&lt;&gt;C2295,VLOOKUP($A2295,'Concrete Beam Schedule'!$A$2:$Q$2902,S$2,0),"")</f>
        <v>#N/A</v>
      </c>
      <c r="T2295" s="7" t="e">
        <f>IF(VLOOKUP($A2295,'Concrete Beam Schedule'!$A$2:$Q$2902,T$2,0)&lt;&gt;D2295,"Beam Revised","")</f>
        <v>#N/A</v>
      </c>
      <c r="U2295" s="7" t="e">
        <f>IF(VLOOKUP($A2295,'Concrete Beam Schedule'!$A$2:$Q$2902,U$2,0)&lt;&gt;E2295,"Beam Revised","")</f>
        <v>#N/A</v>
      </c>
      <c r="V2295" s="7" t="e">
        <f>IF(VLOOKUP($A2295,'Concrete Beam Schedule'!$A$2:$Q$2902,V$2,0)&lt;&gt;F2295,"Beam Revised","")</f>
        <v>#N/A</v>
      </c>
      <c r="W2295" s="7" t="e">
        <f>IF(VLOOKUP($A2295,'Concrete Beam Schedule'!$A$2:$Q$2902,W$2,0)&lt;&gt;G2295,"Beam Revised","")</f>
        <v>#N/A</v>
      </c>
      <c r="X2295" s="7" t="e">
        <f>IF(VLOOKUP($A2295,'Concrete Beam Schedule'!$A$2:$Q$2902,X$2,0)&lt;&gt;H2295,"Beam Revised","")</f>
        <v>#N/A</v>
      </c>
      <c r="Y2295" s="7" t="e">
        <f>IF(VLOOKUP($A2295,'Concrete Beam Schedule'!$A$2:$Q$2902,Y$2,0)&lt;&gt;I2295,"Beam Revised","")</f>
        <v>#N/A</v>
      </c>
      <c r="Z2295" s="7" t="e">
        <f>IF(VLOOKUP($A2295,'Concrete Beam Schedule'!$A$2:$Q$2902,Z$2,0)&lt;&gt;J2295,"Beam Revised","")</f>
        <v>#N/A</v>
      </c>
      <c r="AA2295" s="7" t="e">
        <f>IF(VLOOKUP($A2295,'Concrete Beam Schedule'!$A$2:$Q$2902,AA$2,0)&lt;&gt;K2295,"Beam Revised","")</f>
        <v>#N/A</v>
      </c>
      <c r="AB2295" s="7" t="e">
        <f>IF(VLOOKUP($A2295,'Concrete Beam Schedule'!$A$2:$Q$2902,AB$2,0)&lt;&gt;L2295,"Beam Revised","")</f>
        <v>#N/A</v>
      </c>
      <c r="AC2295" s="7" t="e">
        <f>IF(VLOOKUP($A2295,'Concrete Beam Schedule'!$A$2:$Q$2902,AC$2,0)&lt;&gt;M2295,"Beam Revised","")</f>
        <v>#N/A</v>
      </c>
      <c r="AD2295" s="7" t="e">
        <f>IF(VLOOKUP($A2295,'Concrete Beam Schedule'!$A$2:$Q$2902,AD$2,0)&lt;&gt;N2295,"Beam Revised","")</f>
        <v>#N/A</v>
      </c>
      <c r="AE2295" s="7" t="e">
        <f>IF(VLOOKUP($A2295,'Concrete Beam Schedule'!$A$2:$Q$2902,AE$2,0)&lt;&gt;O2295,"Beam Revised","")</f>
        <v>#N/A</v>
      </c>
    </row>
    <row r="2296" spans="17:31" ht="20.100000000000001" customHeight="1" x14ac:dyDescent="0.25">
      <c r="Q2296" s="7">
        <f t="shared" si="35"/>
        <v>0</v>
      </c>
      <c r="R2296" s="7" t="e">
        <f>IF(VLOOKUP($A2296,'Concrete Beam Schedule'!$A$2:$Q$2902,R$2,0)&lt;&gt;B2296,VLOOKUP($A2296,'Concrete Beam Schedule'!$A$2:$Q$2902,R$2,0),"")</f>
        <v>#N/A</v>
      </c>
      <c r="S2296" s="7" t="e">
        <f>IF(VLOOKUP($A2296,'Concrete Beam Schedule'!$A$2:$Q$2902,S$2,0)&lt;&gt;C2296,VLOOKUP($A2296,'Concrete Beam Schedule'!$A$2:$Q$2902,S$2,0),"")</f>
        <v>#N/A</v>
      </c>
      <c r="T2296" s="7" t="e">
        <f>IF(VLOOKUP($A2296,'Concrete Beam Schedule'!$A$2:$Q$2902,T$2,0)&lt;&gt;D2296,"Beam Revised","")</f>
        <v>#N/A</v>
      </c>
      <c r="U2296" s="7" t="e">
        <f>IF(VLOOKUP($A2296,'Concrete Beam Schedule'!$A$2:$Q$2902,U$2,0)&lt;&gt;E2296,"Beam Revised","")</f>
        <v>#N/A</v>
      </c>
      <c r="V2296" s="7" t="e">
        <f>IF(VLOOKUP($A2296,'Concrete Beam Schedule'!$A$2:$Q$2902,V$2,0)&lt;&gt;F2296,"Beam Revised","")</f>
        <v>#N/A</v>
      </c>
      <c r="W2296" s="7" t="e">
        <f>IF(VLOOKUP($A2296,'Concrete Beam Schedule'!$A$2:$Q$2902,W$2,0)&lt;&gt;G2296,"Beam Revised","")</f>
        <v>#N/A</v>
      </c>
      <c r="X2296" s="7" t="e">
        <f>IF(VLOOKUP($A2296,'Concrete Beam Schedule'!$A$2:$Q$2902,X$2,0)&lt;&gt;H2296,"Beam Revised","")</f>
        <v>#N/A</v>
      </c>
      <c r="Y2296" s="7" t="e">
        <f>IF(VLOOKUP($A2296,'Concrete Beam Schedule'!$A$2:$Q$2902,Y$2,0)&lt;&gt;I2296,"Beam Revised","")</f>
        <v>#N/A</v>
      </c>
      <c r="Z2296" s="7" t="e">
        <f>IF(VLOOKUP($A2296,'Concrete Beam Schedule'!$A$2:$Q$2902,Z$2,0)&lt;&gt;J2296,"Beam Revised","")</f>
        <v>#N/A</v>
      </c>
      <c r="AA2296" s="7" t="e">
        <f>IF(VLOOKUP($A2296,'Concrete Beam Schedule'!$A$2:$Q$2902,AA$2,0)&lt;&gt;K2296,"Beam Revised","")</f>
        <v>#N/A</v>
      </c>
      <c r="AB2296" s="7" t="e">
        <f>IF(VLOOKUP($A2296,'Concrete Beam Schedule'!$A$2:$Q$2902,AB$2,0)&lt;&gt;L2296,"Beam Revised","")</f>
        <v>#N/A</v>
      </c>
      <c r="AC2296" s="7" t="e">
        <f>IF(VLOOKUP($A2296,'Concrete Beam Schedule'!$A$2:$Q$2902,AC$2,0)&lt;&gt;M2296,"Beam Revised","")</f>
        <v>#N/A</v>
      </c>
      <c r="AD2296" s="7" t="e">
        <f>IF(VLOOKUP($A2296,'Concrete Beam Schedule'!$A$2:$Q$2902,AD$2,0)&lt;&gt;N2296,"Beam Revised","")</f>
        <v>#N/A</v>
      </c>
      <c r="AE2296" s="7" t="e">
        <f>IF(VLOOKUP($A2296,'Concrete Beam Schedule'!$A$2:$Q$2902,AE$2,0)&lt;&gt;O2296,"Beam Revised","")</f>
        <v>#N/A</v>
      </c>
    </row>
    <row r="2297" spans="17:31" ht="20.100000000000001" customHeight="1" x14ac:dyDescent="0.25">
      <c r="Q2297" s="7">
        <f t="shared" si="35"/>
        <v>0</v>
      </c>
      <c r="R2297" s="7" t="e">
        <f>IF(VLOOKUP($A2297,'Concrete Beam Schedule'!$A$2:$Q$2902,R$2,0)&lt;&gt;B2297,VLOOKUP($A2297,'Concrete Beam Schedule'!$A$2:$Q$2902,R$2,0),"")</f>
        <v>#N/A</v>
      </c>
      <c r="S2297" s="7" t="e">
        <f>IF(VLOOKUP($A2297,'Concrete Beam Schedule'!$A$2:$Q$2902,S$2,0)&lt;&gt;C2297,VLOOKUP($A2297,'Concrete Beam Schedule'!$A$2:$Q$2902,S$2,0),"")</f>
        <v>#N/A</v>
      </c>
      <c r="T2297" s="7" t="e">
        <f>IF(VLOOKUP($A2297,'Concrete Beam Schedule'!$A$2:$Q$2902,T$2,0)&lt;&gt;D2297,"Beam Revised","")</f>
        <v>#N/A</v>
      </c>
      <c r="U2297" s="7" t="e">
        <f>IF(VLOOKUP($A2297,'Concrete Beam Schedule'!$A$2:$Q$2902,U$2,0)&lt;&gt;E2297,"Beam Revised","")</f>
        <v>#N/A</v>
      </c>
      <c r="V2297" s="7" t="e">
        <f>IF(VLOOKUP($A2297,'Concrete Beam Schedule'!$A$2:$Q$2902,V$2,0)&lt;&gt;F2297,"Beam Revised","")</f>
        <v>#N/A</v>
      </c>
      <c r="W2297" s="7" t="e">
        <f>IF(VLOOKUP($A2297,'Concrete Beam Schedule'!$A$2:$Q$2902,W$2,0)&lt;&gt;G2297,"Beam Revised","")</f>
        <v>#N/A</v>
      </c>
      <c r="X2297" s="7" t="e">
        <f>IF(VLOOKUP($A2297,'Concrete Beam Schedule'!$A$2:$Q$2902,X$2,0)&lt;&gt;H2297,"Beam Revised","")</f>
        <v>#N/A</v>
      </c>
      <c r="Y2297" s="7" t="e">
        <f>IF(VLOOKUP($A2297,'Concrete Beam Schedule'!$A$2:$Q$2902,Y$2,0)&lt;&gt;I2297,"Beam Revised","")</f>
        <v>#N/A</v>
      </c>
      <c r="Z2297" s="7" t="e">
        <f>IF(VLOOKUP($A2297,'Concrete Beam Schedule'!$A$2:$Q$2902,Z$2,0)&lt;&gt;J2297,"Beam Revised","")</f>
        <v>#N/A</v>
      </c>
      <c r="AA2297" s="7" t="e">
        <f>IF(VLOOKUP($A2297,'Concrete Beam Schedule'!$A$2:$Q$2902,AA$2,0)&lt;&gt;K2297,"Beam Revised","")</f>
        <v>#N/A</v>
      </c>
      <c r="AB2297" s="7" t="e">
        <f>IF(VLOOKUP($A2297,'Concrete Beam Schedule'!$A$2:$Q$2902,AB$2,0)&lt;&gt;L2297,"Beam Revised","")</f>
        <v>#N/A</v>
      </c>
      <c r="AC2297" s="7" t="e">
        <f>IF(VLOOKUP($A2297,'Concrete Beam Schedule'!$A$2:$Q$2902,AC$2,0)&lt;&gt;M2297,"Beam Revised","")</f>
        <v>#N/A</v>
      </c>
      <c r="AD2297" s="7" t="e">
        <f>IF(VLOOKUP($A2297,'Concrete Beam Schedule'!$A$2:$Q$2902,AD$2,0)&lt;&gt;N2297,"Beam Revised","")</f>
        <v>#N/A</v>
      </c>
      <c r="AE2297" s="7" t="e">
        <f>IF(VLOOKUP($A2297,'Concrete Beam Schedule'!$A$2:$Q$2902,AE$2,0)&lt;&gt;O2297,"Beam Revised","")</f>
        <v>#N/A</v>
      </c>
    </row>
    <row r="2298" spans="17:31" ht="20.100000000000001" customHeight="1" x14ac:dyDescent="0.25">
      <c r="Q2298" s="7">
        <f t="shared" si="35"/>
        <v>0</v>
      </c>
      <c r="R2298" s="7" t="e">
        <f>IF(VLOOKUP($A2298,'Concrete Beam Schedule'!$A$2:$Q$2902,R$2,0)&lt;&gt;B2298,VLOOKUP($A2298,'Concrete Beam Schedule'!$A$2:$Q$2902,R$2,0),"")</f>
        <v>#N/A</v>
      </c>
      <c r="S2298" s="7" t="e">
        <f>IF(VLOOKUP($A2298,'Concrete Beam Schedule'!$A$2:$Q$2902,S$2,0)&lt;&gt;C2298,VLOOKUP($A2298,'Concrete Beam Schedule'!$A$2:$Q$2902,S$2,0),"")</f>
        <v>#N/A</v>
      </c>
      <c r="T2298" s="7" t="e">
        <f>IF(VLOOKUP($A2298,'Concrete Beam Schedule'!$A$2:$Q$2902,T$2,0)&lt;&gt;D2298,"Beam Revised","")</f>
        <v>#N/A</v>
      </c>
      <c r="U2298" s="7" t="e">
        <f>IF(VLOOKUP($A2298,'Concrete Beam Schedule'!$A$2:$Q$2902,U$2,0)&lt;&gt;E2298,"Beam Revised","")</f>
        <v>#N/A</v>
      </c>
      <c r="V2298" s="7" t="e">
        <f>IF(VLOOKUP($A2298,'Concrete Beam Schedule'!$A$2:$Q$2902,V$2,0)&lt;&gt;F2298,"Beam Revised","")</f>
        <v>#N/A</v>
      </c>
      <c r="W2298" s="7" t="e">
        <f>IF(VLOOKUP($A2298,'Concrete Beam Schedule'!$A$2:$Q$2902,W$2,0)&lt;&gt;G2298,"Beam Revised","")</f>
        <v>#N/A</v>
      </c>
      <c r="X2298" s="7" t="e">
        <f>IF(VLOOKUP($A2298,'Concrete Beam Schedule'!$A$2:$Q$2902,X$2,0)&lt;&gt;H2298,"Beam Revised","")</f>
        <v>#N/A</v>
      </c>
      <c r="Y2298" s="7" t="e">
        <f>IF(VLOOKUP($A2298,'Concrete Beam Schedule'!$A$2:$Q$2902,Y$2,0)&lt;&gt;I2298,"Beam Revised","")</f>
        <v>#N/A</v>
      </c>
      <c r="Z2298" s="7" t="e">
        <f>IF(VLOOKUP($A2298,'Concrete Beam Schedule'!$A$2:$Q$2902,Z$2,0)&lt;&gt;J2298,"Beam Revised","")</f>
        <v>#N/A</v>
      </c>
      <c r="AA2298" s="7" t="e">
        <f>IF(VLOOKUP($A2298,'Concrete Beam Schedule'!$A$2:$Q$2902,AA$2,0)&lt;&gt;K2298,"Beam Revised","")</f>
        <v>#N/A</v>
      </c>
      <c r="AB2298" s="7" t="e">
        <f>IF(VLOOKUP($A2298,'Concrete Beam Schedule'!$A$2:$Q$2902,AB$2,0)&lt;&gt;L2298,"Beam Revised","")</f>
        <v>#N/A</v>
      </c>
      <c r="AC2298" s="7" t="e">
        <f>IF(VLOOKUP($A2298,'Concrete Beam Schedule'!$A$2:$Q$2902,AC$2,0)&lt;&gt;M2298,"Beam Revised","")</f>
        <v>#N/A</v>
      </c>
      <c r="AD2298" s="7" t="e">
        <f>IF(VLOOKUP($A2298,'Concrete Beam Schedule'!$A$2:$Q$2902,AD$2,0)&lt;&gt;N2298,"Beam Revised","")</f>
        <v>#N/A</v>
      </c>
      <c r="AE2298" s="7" t="e">
        <f>IF(VLOOKUP($A2298,'Concrete Beam Schedule'!$A$2:$Q$2902,AE$2,0)&lt;&gt;O2298,"Beam Revised","")</f>
        <v>#N/A</v>
      </c>
    </row>
    <row r="2299" spans="17:31" ht="20.100000000000001" customHeight="1" x14ac:dyDescent="0.25">
      <c r="Q2299" s="7">
        <f t="shared" si="35"/>
        <v>0</v>
      </c>
      <c r="R2299" s="7" t="e">
        <f>IF(VLOOKUP($A2299,'Concrete Beam Schedule'!$A$2:$Q$2902,R$2,0)&lt;&gt;B2299,VLOOKUP($A2299,'Concrete Beam Schedule'!$A$2:$Q$2902,R$2,0),"")</f>
        <v>#N/A</v>
      </c>
      <c r="S2299" s="7" t="e">
        <f>IF(VLOOKUP($A2299,'Concrete Beam Schedule'!$A$2:$Q$2902,S$2,0)&lt;&gt;C2299,VLOOKUP($A2299,'Concrete Beam Schedule'!$A$2:$Q$2902,S$2,0),"")</f>
        <v>#N/A</v>
      </c>
      <c r="T2299" s="7" t="e">
        <f>IF(VLOOKUP($A2299,'Concrete Beam Schedule'!$A$2:$Q$2902,T$2,0)&lt;&gt;D2299,"Beam Revised","")</f>
        <v>#N/A</v>
      </c>
      <c r="U2299" s="7" t="e">
        <f>IF(VLOOKUP($A2299,'Concrete Beam Schedule'!$A$2:$Q$2902,U$2,0)&lt;&gt;E2299,"Beam Revised","")</f>
        <v>#N/A</v>
      </c>
      <c r="V2299" s="7" t="e">
        <f>IF(VLOOKUP($A2299,'Concrete Beam Schedule'!$A$2:$Q$2902,V$2,0)&lt;&gt;F2299,"Beam Revised","")</f>
        <v>#N/A</v>
      </c>
      <c r="W2299" s="7" t="e">
        <f>IF(VLOOKUP($A2299,'Concrete Beam Schedule'!$A$2:$Q$2902,W$2,0)&lt;&gt;G2299,"Beam Revised","")</f>
        <v>#N/A</v>
      </c>
      <c r="X2299" s="7" t="e">
        <f>IF(VLOOKUP($A2299,'Concrete Beam Schedule'!$A$2:$Q$2902,X$2,0)&lt;&gt;H2299,"Beam Revised","")</f>
        <v>#N/A</v>
      </c>
      <c r="Y2299" s="7" t="e">
        <f>IF(VLOOKUP($A2299,'Concrete Beam Schedule'!$A$2:$Q$2902,Y$2,0)&lt;&gt;I2299,"Beam Revised","")</f>
        <v>#N/A</v>
      </c>
      <c r="Z2299" s="7" t="e">
        <f>IF(VLOOKUP($A2299,'Concrete Beam Schedule'!$A$2:$Q$2902,Z$2,0)&lt;&gt;J2299,"Beam Revised","")</f>
        <v>#N/A</v>
      </c>
      <c r="AA2299" s="7" t="e">
        <f>IF(VLOOKUP($A2299,'Concrete Beam Schedule'!$A$2:$Q$2902,AA$2,0)&lt;&gt;K2299,"Beam Revised","")</f>
        <v>#N/A</v>
      </c>
      <c r="AB2299" s="7" t="e">
        <f>IF(VLOOKUP($A2299,'Concrete Beam Schedule'!$A$2:$Q$2902,AB$2,0)&lt;&gt;L2299,"Beam Revised","")</f>
        <v>#N/A</v>
      </c>
      <c r="AC2299" s="7" t="e">
        <f>IF(VLOOKUP($A2299,'Concrete Beam Schedule'!$A$2:$Q$2902,AC$2,0)&lt;&gt;M2299,"Beam Revised","")</f>
        <v>#N/A</v>
      </c>
      <c r="AD2299" s="7" t="e">
        <f>IF(VLOOKUP($A2299,'Concrete Beam Schedule'!$A$2:$Q$2902,AD$2,0)&lt;&gt;N2299,"Beam Revised","")</f>
        <v>#N/A</v>
      </c>
      <c r="AE2299" s="7" t="e">
        <f>IF(VLOOKUP($A2299,'Concrete Beam Schedule'!$A$2:$Q$2902,AE$2,0)&lt;&gt;O2299,"Beam Revised","")</f>
        <v>#N/A</v>
      </c>
    </row>
    <row r="2300" spans="17:31" ht="20.100000000000001" customHeight="1" x14ac:dyDescent="0.25">
      <c r="Q2300" s="7">
        <f t="shared" si="35"/>
        <v>0</v>
      </c>
      <c r="R2300" s="7" t="e">
        <f>IF(VLOOKUP($A2300,'Concrete Beam Schedule'!$A$2:$Q$2902,R$2,0)&lt;&gt;B2300,VLOOKUP($A2300,'Concrete Beam Schedule'!$A$2:$Q$2902,R$2,0),"")</f>
        <v>#N/A</v>
      </c>
      <c r="S2300" s="7" t="e">
        <f>IF(VLOOKUP($A2300,'Concrete Beam Schedule'!$A$2:$Q$2902,S$2,0)&lt;&gt;C2300,VLOOKUP($A2300,'Concrete Beam Schedule'!$A$2:$Q$2902,S$2,0),"")</f>
        <v>#N/A</v>
      </c>
      <c r="T2300" s="7" t="e">
        <f>IF(VLOOKUP($A2300,'Concrete Beam Schedule'!$A$2:$Q$2902,T$2,0)&lt;&gt;D2300,"Beam Revised","")</f>
        <v>#N/A</v>
      </c>
      <c r="U2300" s="7" t="e">
        <f>IF(VLOOKUP($A2300,'Concrete Beam Schedule'!$A$2:$Q$2902,U$2,0)&lt;&gt;E2300,"Beam Revised","")</f>
        <v>#N/A</v>
      </c>
      <c r="V2300" s="7" t="e">
        <f>IF(VLOOKUP($A2300,'Concrete Beam Schedule'!$A$2:$Q$2902,V$2,0)&lt;&gt;F2300,"Beam Revised","")</f>
        <v>#N/A</v>
      </c>
      <c r="W2300" s="7" t="e">
        <f>IF(VLOOKUP($A2300,'Concrete Beam Schedule'!$A$2:$Q$2902,W$2,0)&lt;&gt;G2300,"Beam Revised","")</f>
        <v>#N/A</v>
      </c>
      <c r="X2300" s="7" t="e">
        <f>IF(VLOOKUP($A2300,'Concrete Beam Schedule'!$A$2:$Q$2902,X$2,0)&lt;&gt;H2300,"Beam Revised","")</f>
        <v>#N/A</v>
      </c>
      <c r="Y2300" s="7" t="e">
        <f>IF(VLOOKUP($A2300,'Concrete Beam Schedule'!$A$2:$Q$2902,Y$2,0)&lt;&gt;I2300,"Beam Revised","")</f>
        <v>#N/A</v>
      </c>
      <c r="Z2300" s="7" t="e">
        <f>IF(VLOOKUP($A2300,'Concrete Beam Schedule'!$A$2:$Q$2902,Z$2,0)&lt;&gt;J2300,"Beam Revised","")</f>
        <v>#N/A</v>
      </c>
      <c r="AA2300" s="7" t="e">
        <f>IF(VLOOKUP($A2300,'Concrete Beam Schedule'!$A$2:$Q$2902,AA$2,0)&lt;&gt;K2300,"Beam Revised","")</f>
        <v>#N/A</v>
      </c>
      <c r="AB2300" s="7" t="e">
        <f>IF(VLOOKUP($A2300,'Concrete Beam Schedule'!$A$2:$Q$2902,AB$2,0)&lt;&gt;L2300,"Beam Revised","")</f>
        <v>#N/A</v>
      </c>
      <c r="AC2300" s="7" t="e">
        <f>IF(VLOOKUP($A2300,'Concrete Beam Schedule'!$A$2:$Q$2902,AC$2,0)&lt;&gt;M2300,"Beam Revised","")</f>
        <v>#N/A</v>
      </c>
      <c r="AD2300" s="7" t="e">
        <f>IF(VLOOKUP($A2300,'Concrete Beam Schedule'!$A$2:$Q$2902,AD$2,0)&lt;&gt;N2300,"Beam Revised","")</f>
        <v>#N/A</v>
      </c>
      <c r="AE2300" s="7" t="e">
        <f>IF(VLOOKUP($A2300,'Concrete Beam Schedule'!$A$2:$Q$2902,AE$2,0)&lt;&gt;O2300,"Beam Revised","")</f>
        <v>#N/A</v>
      </c>
    </row>
    <row r="2301" spans="17:31" ht="20.100000000000001" customHeight="1" x14ac:dyDescent="0.25">
      <c r="Q2301" s="7">
        <f t="shared" si="35"/>
        <v>0</v>
      </c>
      <c r="R2301" s="7" t="e">
        <f>IF(VLOOKUP($A2301,'Concrete Beam Schedule'!$A$2:$Q$2902,R$2,0)&lt;&gt;B2301,VLOOKUP($A2301,'Concrete Beam Schedule'!$A$2:$Q$2902,R$2,0),"")</f>
        <v>#N/A</v>
      </c>
      <c r="S2301" s="7" t="e">
        <f>IF(VLOOKUP($A2301,'Concrete Beam Schedule'!$A$2:$Q$2902,S$2,0)&lt;&gt;C2301,VLOOKUP($A2301,'Concrete Beam Schedule'!$A$2:$Q$2902,S$2,0),"")</f>
        <v>#N/A</v>
      </c>
      <c r="T2301" s="7" t="e">
        <f>IF(VLOOKUP($A2301,'Concrete Beam Schedule'!$A$2:$Q$2902,T$2,0)&lt;&gt;D2301,"Beam Revised","")</f>
        <v>#N/A</v>
      </c>
      <c r="U2301" s="7" t="e">
        <f>IF(VLOOKUP($A2301,'Concrete Beam Schedule'!$A$2:$Q$2902,U$2,0)&lt;&gt;E2301,"Beam Revised","")</f>
        <v>#N/A</v>
      </c>
      <c r="V2301" s="7" t="e">
        <f>IF(VLOOKUP($A2301,'Concrete Beam Schedule'!$A$2:$Q$2902,V$2,0)&lt;&gt;F2301,"Beam Revised","")</f>
        <v>#N/A</v>
      </c>
      <c r="W2301" s="7" t="e">
        <f>IF(VLOOKUP($A2301,'Concrete Beam Schedule'!$A$2:$Q$2902,W$2,0)&lt;&gt;G2301,"Beam Revised","")</f>
        <v>#N/A</v>
      </c>
      <c r="X2301" s="7" t="e">
        <f>IF(VLOOKUP($A2301,'Concrete Beam Schedule'!$A$2:$Q$2902,X$2,0)&lt;&gt;H2301,"Beam Revised","")</f>
        <v>#N/A</v>
      </c>
      <c r="Y2301" s="7" t="e">
        <f>IF(VLOOKUP($A2301,'Concrete Beam Schedule'!$A$2:$Q$2902,Y$2,0)&lt;&gt;I2301,"Beam Revised","")</f>
        <v>#N/A</v>
      </c>
      <c r="Z2301" s="7" t="e">
        <f>IF(VLOOKUP($A2301,'Concrete Beam Schedule'!$A$2:$Q$2902,Z$2,0)&lt;&gt;J2301,"Beam Revised","")</f>
        <v>#N/A</v>
      </c>
      <c r="AA2301" s="7" t="e">
        <f>IF(VLOOKUP($A2301,'Concrete Beam Schedule'!$A$2:$Q$2902,AA$2,0)&lt;&gt;K2301,"Beam Revised","")</f>
        <v>#N/A</v>
      </c>
      <c r="AB2301" s="7" t="e">
        <f>IF(VLOOKUP($A2301,'Concrete Beam Schedule'!$A$2:$Q$2902,AB$2,0)&lt;&gt;L2301,"Beam Revised","")</f>
        <v>#N/A</v>
      </c>
      <c r="AC2301" s="7" t="e">
        <f>IF(VLOOKUP($A2301,'Concrete Beam Schedule'!$A$2:$Q$2902,AC$2,0)&lt;&gt;M2301,"Beam Revised","")</f>
        <v>#N/A</v>
      </c>
      <c r="AD2301" s="7" t="e">
        <f>IF(VLOOKUP($A2301,'Concrete Beam Schedule'!$A$2:$Q$2902,AD$2,0)&lt;&gt;N2301,"Beam Revised","")</f>
        <v>#N/A</v>
      </c>
      <c r="AE2301" s="7" t="e">
        <f>IF(VLOOKUP($A2301,'Concrete Beam Schedule'!$A$2:$Q$2902,AE$2,0)&lt;&gt;O2301,"Beam Revised","")</f>
        <v>#N/A</v>
      </c>
    </row>
    <row r="2302" spans="17:31" ht="20.100000000000001" customHeight="1" x14ac:dyDescent="0.25">
      <c r="Q2302" s="7">
        <f t="shared" si="35"/>
        <v>0</v>
      </c>
      <c r="R2302" s="7" t="e">
        <f>IF(VLOOKUP($A2302,'Concrete Beam Schedule'!$A$2:$Q$2902,R$2,0)&lt;&gt;B2302,VLOOKUP($A2302,'Concrete Beam Schedule'!$A$2:$Q$2902,R$2,0),"")</f>
        <v>#N/A</v>
      </c>
      <c r="S2302" s="7" t="e">
        <f>IF(VLOOKUP($A2302,'Concrete Beam Schedule'!$A$2:$Q$2902,S$2,0)&lt;&gt;C2302,VLOOKUP($A2302,'Concrete Beam Schedule'!$A$2:$Q$2902,S$2,0),"")</f>
        <v>#N/A</v>
      </c>
      <c r="T2302" s="7" t="e">
        <f>IF(VLOOKUP($A2302,'Concrete Beam Schedule'!$A$2:$Q$2902,T$2,0)&lt;&gt;D2302,"Beam Revised","")</f>
        <v>#N/A</v>
      </c>
      <c r="U2302" s="7" t="e">
        <f>IF(VLOOKUP($A2302,'Concrete Beam Schedule'!$A$2:$Q$2902,U$2,0)&lt;&gt;E2302,"Beam Revised","")</f>
        <v>#N/A</v>
      </c>
      <c r="V2302" s="7" t="e">
        <f>IF(VLOOKUP($A2302,'Concrete Beam Schedule'!$A$2:$Q$2902,V$2,0)&lt;&gt;F2302,"Beam Revised","")</f>
        <v>#N/A</v>
      </c>
      <c r="W2302" s="7" t="e">
        <f>IF(VLOOKUP($A2302,'Concrete Beam Schedule'!$A$2:$Q$2902,W$2,0)&lt;&gt;G2302,"Beam Revised","")</f>
        <v>#N/A</v>
      </c>
      <c r="X2302" s="7" t="e">
        <f>IF(VLOOKUP($A2302,'Concrete Beam Schedule'!$A$2:$Q$2902,X$2,0)&lt;&gt;H2302,"Beam Revised","")</f>
        <v>#N/A</v>
      </c>
      <c r="Y2302" s="7" t="e">
        <f>IF(VLOOKUP($A2302,'Concrete Beam Schedule'!$A$2:$Q$2902,Y$2,0)&lt;&gt;I2302,"Beam Revised","")</f>
        <v>#N/A</v>
      </c>
      <c r="Z2302" s="7" t="e">
        <f>IF(VLOOKUP($A2302,'Concrete Beam Schedule'!$A$2:$Q$2902,Z$2,0)&lt;&gt;J2302,"Beam Revised","")</f>
        <v>#N/A</v>
      </c>
      <c r="AA2302" s="7" t="e">
        <f>IF(VLOOKUP($A2302,'Concrete Beam Schedule'!$A$2:$Q$2902,AA$2,0)&lt;&gt;K2302,"Beam Revised","")</f>
        <v>#N/A</v>
      </c>
      <c r="AB2302" s="7" t="e">
        <f>IF(VLOOKUP($A2302,'Concrete Beam Schedule'!$A$2:$Q$2902,AB$2,0)&lt;&gt;L2302,"Beam Revised","")</f>
        <v>#N/A</v>
      </c>
      <c r="AC2302" s="7" t="e">
        <f>IF(VLOOKUP($A2302,'Concrete Beam Schedule'!$A$2:$Q$2902,AC$2,0)&lt;&gt;M2302,"Beam Revised","")</f>
        <v>#N/A</v>
      </c>
      <c r="AD2302" s="7" t="e">
        <f>IF(VLOOKUP($A2302,'Concrete Beam Schedule'!$A$2:$Q$2902,AD$2,0)&lt;&gt;N2302,"Beam Revised","")</f>
        <v>#N/A</v>
      </c>
      <c r="AE2302" s="7" t="e">
        <f>IF(VLOOKUP($A2302,'Concrete Beam Schedule'!$A$2:$Q$2902,AE$2,0)&lt;&gt;O2302,"Beam Revised","")</f>
        <v>#N/A</v>
      </c>
    </row>
    <row r="2303" spans="17:31" ht="20.100000000000001" customHeight="1" x14ac:dyDescent="0.25">
      <c r="Q2303" s="7">
        <f t="shared" si="35"/>
        <v>0</v>
      </c>
      <c r="R2303" s="7" t="e">
        <f>IF(VLOOKUP($A2303,'Concrete Beam Schedule'!$A$2:$Q$2902,R$2,0)&lt;&gt;B2303,VLOOKUP($A2303,'Concrete Beam Schedule'!$A$2:$Q$2902,R$2,0),"")</f>
        <v>#N/A</v>
      </c>
      <c r="S2303" s="7" t="e">
        <f>IF(VLOOKUP($A2303,'Concrete Beam Schedule'!$A$2:$Q$2902,S$2,0)&lt;&gt;C2303,VLOOKUP($A2303,'Concrete Beam Schedule'!$A$2:$Q$2902,S$2,0),"")</f>
        <v>#N/A</v>
      </c>
      <c r="T2303" s="7" t="e">
        <f>IF(VLOOKUP($A2303,'Concrete Beam Schedule'!$A$2:$Q$2902,T$2,0)&lt;&gt;D2303,"Beam Revised","")</f>
        <v>#N/A</v>
      </c>
      <c r="U2303" s="7" t="e">
        <f>IF(VLOOKUP($A2303,'Concrete Beam Schedule'!$A$2:$Q$2902,U$2,0)&lt;&gt;E2303,"Beam Revised","")</f>
        <v>#N/A</v>
      </c>
      <c r="V2303" s="7" t="e">
        <f>IF(VLOOKUP($A2303,'Concrete Beam Schedule'!$A$2:$Q$2902,V$2,0)&lt;&gt;F2303,"Beam Revised","")</f>
        <v>#N/A</v>
      </c>
      <c r="W2303" s="7" t="e">
        <f>IF(VLOOKUP($A2303,'Concrete Beam Schedule'!$A$2:$Q$2902,W$2,0)&lt;&gt;G2303,"Beam Revised","")</f>
        <v>#N/A</v>
      </c>
      <c r="X2303" s="7" t="e">
        <f>IF(VLOOKUP($A2303,'Concrete Beam Schedule'!$A$2:$Q$2902,X$2,0)&lt;&gt;H2303,"Beam Revised","")</f>
        <v>#N/A</v>
      </c>
      <c r="Y2303" s="7" t="e">
        <f>IF(VLOOKUP($A2303,'Concrete Beam Schedule'!$A$2:$Q$2902,Y$2,0)&lt;&gt;I2303,"Beam Revised","")</f>
        <v>#N/A</v>
      </c>
      <c r="Z2303" s="7" t="e">
        <f>IF(VLOOKUP($A2303,'Concrete Beam Schedule'!$A$2:$Q$2902,Z$2,0)&lt;&gt;J2303,"Beam Revised","")</f>
        <v>#N/A</v>
      </c>
      <c r="AA2303" s="7" t="e">
        <f>IF(VLOOKUP($A2303,'Concrete Beam Schedule'!$A$2:$Q$2902,AA$2,0)&lt;&gt;K2303,"Beam Revised","")</f>
        <v>#N/A</v>
      </c>
      <c r="AB2303" s="7" t="e">
        <f>IF(VLOOKUP($A2303,'Concrete Beam Schedule'!$A$2:$Q$2902,AB$2,0)&lt;&gt;L2303,"Beam Revised","")</f>
        <v>#N/A</v>
      </c>
      <c r="AC2303" s="7" t="e">
        <f>IF(VLOOKUP($A2303,'Concrete Beam Schedule'!$A$2:$Q$2902,AC$2,0)&lt;&gt;M2303,"Beam Revised","")</f>
        <v>#N/A</v>
      </c>
      <c r="AD2303" s="7" t="e">
        <f>IF(VLOOKUP($A2303,'Concrete Beam Schedule'!$A$2:$Q$2902,AD$2,0)&lt;&gt;N2303,"Beam Revised","")</f>
        <v>#N/A</v>
      </c>
      <c r="AE2303" s="7" t="e">
        <f>IF(VLOOKUP($A2303,'Concrete Beam Schedule'!$A$2:$Q$2902,AE$2,0)&lt;&gt;O2303,"Beam Revised","")</f>
        <v>#N/A</v>
      </c>
    </row>
    <row r="2304" spans="17:31" ht="20.100000000000001" customHeight="1" x14ac:dyDescent="0.25">
      <c r="Q2304" s="7">
        <f t="shared" si="35"/>
        <v>0</v>
      </c>
      <c r="R2304" s="7" t="e">
        <f>IF(VLOOKUP($A2304,'Concrete Beam Schedule'!$A$2:$Q$2902,R$2,0)&lt;&gt;B2304,VLOOKUP($A2304,'Concrete Beam Schedule'!$A$2:$Q$2902,R$2,0),"")</f>
        <v>#N/A</v>
      </c>
      <c r="S2304" s="7" t="e">
        <f>IF(VLOOKUP($A2304,'Concrete Beam Schedule'!$A$2:$Q$2902,S$2,0)&lt;&gt;C2304,VLOOKUP($A2304,'Concrete Beam Schedule'!$A$2:$Q$2902,S$2,0),"")</f>
        <v>#N/A</v>
      </c>
      <c r="T2304" s="7" t="e">
        <f>IF(VLOOKUP($A2304,'Concrete Beam Schedule'!$A$2:$Q$2902,T$2,0)&lt;&gt;D2304,"Beam Revised","")</f>
        <v>#N/A</v>
      </c>
      <c r="U2304" s="7" t="e">
        <f>IF(VLOOKUP($A2304,'Concrete Beam Schedule'!$A$2:$Q$2902,U$2,0)&lt;&gt;E2304,"Beam Revised","")</f>
        <v>#N/A</v>
      </c>
      <c r="V2304" s="7" t="e">
        <f>IF(VLOOKUP($A2304,'Concrete Beam Schedule'!$A$2:$Q$2902,V$2,0)&lt;&gt;F2304,"Beam Revised","")</f>
        <v>#N/A</v>
      </c>
      <c r="W2304" s="7" t="e">
        <f>IF(VLOOKUP($A2304,'Concrete Beam Schedule'!$A$2:$Q$2902,W$2,0)&lt;&gt;G2304,"Beam Revised","")</f>
        <v>#N/A</v>
      </c>
      <c r="X2304" s="7" t="e">
        <f>IF(VLOOKUP($A2304,'Concrete Beam Schedule'!$A$2:$Q$2902,X$2,0)&lt;&gt;H2304,"Beam Revised","")</f>
        <v>#N/A</v>
      </c>
      <c r="Y2304" s="7" t="e">
        <f>IF(VLOOKUP($A2304,'Concrete Beam Schedule'!$A$2:$Q$2902,Y$2,0)&lt;&gt;I2304,"Beam Revised","")</f>
        <v>#N/A</v>
      </c>
      <c r="Z2304" s="7" t="e">
        <f>IF(VLOOKUP($A2304,'Concrete Beam Schedule'!$A$2:$Q$2902,Z$2,0)&lt;&gt;J2304,"Beam Revised","")</f>
        <v>#N/A</v>
      </c>
      <c r="AA2304" s="7" t="e">
        <f>IF(VLOOKUP($A2304,'Concrete Beam Schedule'!$A$2:$Q$2902,AA$2,0)&lt;&gt;K2304,"Beam Revised","")</f>
        <v>#N/A</v>
      </c>
      <c r="AB2304" s="7" t="e">
        <f>IF(VLOOKUP($A2304,'Concrete Beam Schedule'!$A$2:$Q$2902,AB$2,0)&lt;&gt;L2304,"Beam Revised","")</f>
        <v>#N/A</v>
      </c>
      <c r="AC2304" s="7" t="e">
        <f>IF(VLOOKUP($A2304,'Concrete Beam Schedule'!$A$2:$Q$2902,AC$2,0)&lt;&gt;M2304,"Beam Revised","")</f>
        <v>#N/A</v>
      </c>
      <c r="AD2304" s="7" t="e">
        <f>IF(VLOOKUP($A2304,'Concrete Beam Schedule'!$A$2:$Q$2902,AD$2,0)&lt;&gt;N2304,"Beam Revised","")</f>
        <v>#N/A</v>
      </c>
      <c r="AE2304" s="7" t="e">
        <f>IF(VLOOKUP($A2304,'Concrete Beam Schedule'!$A$2:$Q$2902,AE$2,0)&lt;&gt;O2304,"Beam Revised","")</f>
        <v>#N/A</v>
      </c>
    </row>
    <row r="2305" spans="17:31" ht="20.100000000000001" customHeight="1" x14ac:dyDescent="0.25">
      <c r="Q2305" s="7">
        <f t="shared" si="35"/>
        <v>0</v>
      </c>
      <c r="R2305" s="7" t="e">
        <f>IF(VLOOKUP($A2305,'Concrete Beam Schedule'!$A$2:$Q$2902,R$2,0)&lt;&gt;B2305,VLOOKUP($A2305,'Concrete Beam Schedule'!$A$2:$Q$2902,R$2,0),"")</f>
        <v>#N/A</v>
      </c>
      <c r="S2305" s="7" t="e">
        <f>IF(VLOOKUP($A2305,'Concrete Beam Schedule'!$A$2:$Q$2902,S$2,0)&lt;&gt;C2305,VLOOKUP($A2305,'Concrete Beam Schedule'!$A$2:$Q$2902,S$2,0),"")</f>
        <v>#N/A</v>
      </c>
      <c r="T2305" s="7" t="e">
        <f>IF(VLOOKUP($A2305,'Concrete Beam Schedule'!$A$2:$Q$2902,T$2,0)&lt;&gt;D2305,"Beam Revised","")</f>
        <v>#N/A</v>
      </c>
      <c r="U2305" s="7" t="e">
        <f>IF(VLOOKUP($A2305,'Concrete Beam Schedule'!$A$2:$Q$2902,U$2,0)&lt;&gt;E2305,"Beam Revised","")</f>
        <v>#N/A</v>
      </c>
      <c r="V2305" s="7" t="e">
        <f>IF(VLOOKUP($A2305,'Concrete Beam Schedule'!$A$2:$Q$2902,V$2,0)&lt;&gt;F2305,"Beam Revised","")</f>
        <v>#N/A</v>
      </c>
      <c r="W2305" s="7" t="e">
        <f>IF(VLOOKUP($A2305,'Concrete Beam Schedule'!$A$2:$Q$2902,W$2,0)&lt;&gt;G2305,"Beam Revised","")</f>
        <v>#N/A</v>
      </c>
      <c r="X2305" s="7" t="e">
        <f>IF(VLOOKUP($A2305,'Concrete Beam Schedule'!$A$2:$Q$2902,X$2,0)&lt;&gt;H2305,"Beam Revised","")</f>
        <v>#N/A</v>
      </c>
      <c r="Y2305" s="7" t="e">
        <f>IF(VLOOKUP($A2305,'Concrete Beam Schedule'!$A$2:$Q$2902,Y$2,0)&lt;&gt;I2305,"Beam Revised","")</f>
        <v>#N/A</v>
      </c>
      <c r="Z2305" s="7" t="e">
        <f>IF(VLOOKUP($A2305,'Concrete Beam Schedule'!$A$2:$Q$2902,Z$2,0)&lt;&gt;J2305,"Beam Revised","")</f>
        <v>#N/A</v>
      </c>
      <c r="AA2305" s="7" t="e">
        <f>IF(VLOOKUP($A2305,'Concrete Beam Schedule'!$A$2:$Q$2902,AA$2,0)&lt;&gt;K2305,"Beam Revised","")</f>
        <v>#N/A</v>
      </c>
      <c r="AB2305" s="7" t="e">
        <f>IF(VLOOKUP($A2305,'Concrete Beam Schedule'!$A$2:$Q$2902,AB$2,0)&lt;&gt;L2305,"Beam Revised","")</f>
        <v>#N/A</v>
      </c>
      <c r="AC2305" s="7" t="e">
        <f>IF(VLOOKUP($A2305,'Concrete Beam Schedule'!$A$2:$Q$2902,AC$2,0)&lt;&gt;M2305,"Beam Revised","")</f>
        <v>#N/A</v>
      </c>
      <c r="AD2305" s="7" t="e">
        <f>IF(VLOOKUP($A2305,'Concrete Beam Schedule'!$A$2:$Q$2902,AD$2,0)&lt;&gt;N2305,"Beam Revised","")</f>
        <v>#N/A</v>
      </c>
      <c r="AE2305" s="7" t="e">
        <f>IF(VLOOKUP($A2305,'Concrete Beam Schedule'!$A$2:$Q$2902,AE$2,0)&lt;&gt;O2305,"Beam Revised","")</f>
        <v>#N/A</v>
      </c>
    </row>
    <row r="2306" spans="17:31" ht="20.100000000000001" customHeight="1" x14ac:dyDescent="0.25">
      <c r="Q2306" s="7">
        <f t="shared" si="35"/>
        <v>0</v>
      </c>
      <c r="R2306" s="7" t="e">
        <f>IF(VLOOKUP($A2306,'Concrete Beam Schedule'!$A$2:$Q$2902,R$2,0)&lt;&gt;B2306,VLOOKUP($A2306,'Concrete Beam Schedule'!$A$2:$Q$2902,R$2,0),"")</f>
        <v>#N/A</v>
      </c>
      <c r="S2306" s="7" t="e">
        <f>IF(VLOOKUP($A2306,'Concrete Beam Schedule'!$A$2:$Q$2902,S$2,0)&lt;&gt;C2306,VLOOKUP($A2306,'Concrete Beam Schedule'!$A$2:$Q$2902,S$2,0),"")</f>
        <v>#N/A</v>
      </c>
      <c r="T2306" s="7" t="e">
        <f>IF(VLOOKUP($A2306,'Concrete Beam Schedule'!$A$2:$Q$2902,T$2,0)&lt;&gt;D2306,"Beam Revised","")</f>
        <v>#N/A</v>
      </c>
      <c r="U2306" s="7" t="e">
        <f>IF(VLOOKUP($A2306,'Concrete Beam Schedule'!$A$2:$Q$2902,U$2,0)&lt;&gt;E2306,"Beam Revised","")</f>
        <v>#N/A</v>
      </c>
      <c r="V2306" s="7" t="e">
        <f>IF(VLOOKUP($A2306,'Concrete Beam Schedule'!$A$2:$Q$2902,V$2,0)&lt;&gt;F2306,"Beam Revised","")</f>
        <v>#N/A</v>
      </c>
      <c r="W2306" s="7" t="e">
        <f>IF(VLOOKUP($A2306,'Concrete Beam Schedule'!$A$2:$Q$2902,W$2,0)&lt;&gt;G2306,"Beam Revised","")</f>
        <v>#N/A</v>
      </c>
      <c r="X2306" s="7" t="e">
        <f>IF(VLOOKUP($A2306,'Concrete Beam Schedule'!$A$2:$Q$2902,X$2,0)&lt;&gt;H2306,"Beam Revised","")</f>
        <v>#N/A</v>
      </c>
      <c r="Y2306" s="7" t="e">
        <f>IF(VLOOKUP($A2306,'Concrete Beam Schedule'!$A$2:$Q$2902,Y$2,0)&lt;&gt;I2306,"Beam Revised","")</f>
        <v>#N/A</v>
      </c>
      <c r="Z2306" s="7" t="e">
        <f>IF(VLOOKUP($A2306,'Concrete Beam Schedule'!$A$2:$Q$2902,Z$2,0)&lt;&gt;J2306,"Beam Revised","")</f>
        <v>#N/A</v>
      </c>
      <c r="AA2306" s="7" t="e">
        <f>IF(VLOOKUP($A2306,'Concrete Beam Schedule'!$A$2:$Q$2902,AA$2,0)&lt;&gt;K2306,"Beam Revised","")</f>
        <v>#N/A</v>
      </c>
      <c r="AB2306" s="7" t="e">
        <f>IF(VLOOKUP($A2306,'Concrete Beam Schedule'!$A$2:$Q$2902,AB$2,0)&lt;&gt;L2306,"Beam Revised","")</f>
        <v>#N/A</v>
      </c>
      <c r="AC2306" s="7" t="e">
        <f>IF(VLOOKUP($A2306,'Concrete Beam Schedule'!$A$2:$Q$2902,AC$2,0)&lt;&gt;M2306,"Beam Revised","")</f>
        <v>#N/A</v>
      </c>
      <c r="AD2306" s="7" t="e">
        <f>IF(VLOOKUP($A2306,'Concrete Beam Schedule'!$A$2:$Q$2902,AD$2,0)&lt;&gt;N2306,"Beam Revised","")</f>
        <v>#N/A</v>
      </c>
      <c r="AE2306" s="7" t="e">
        <f>IF(VLOOKUP($A2306,'Concrete Beam Schedule'!$A$2:$Q$2902,AE$2,0)&lt;&gt;O2306,"Beam Revised","")</f>
        <v>#N/A</v>
      </c>
    </row>
    <row r="2307" spans="17:31" ht="20.100000000000001" customHeight="1" x14ac:dyDescent="0.25">
      <c r="Q2307" s="7">
        <f t="shared" si="35"/>
        <v>0</v>
      </c>
      <c r="R2307" s="7" t="e">
        <f>IF(VLOOKUP($A2307,'Concrete Beam Schedule'!$A$2:$Q$2902,R$2,0)&lt;&gt;B2307,VLOOKUP($A2307,'Concrete Beam Schedule'!$A$2:$Q$2902,R$2,0),"")</f>
        <v>#N/A</v>
      </c>
      <c r="S2307" s="7" t="e">
        <f>IF(VLOOKUP($A2307,'Concrete Beam Schedule'!$A$2:$Q$2902,S$2,0)&lt;&gt;C2307,VLOOKUP($A2307,'Concrete Beam Schedule'!$A$2:$Q$2902,S$2,0),"")</f>
        <v>#N/A</v>
      </c>
      <c r="T2307" s="7" t="e">
        <f>IF(VLOOKUP($A2307,'Concrete Beam Schedule'!$A$2:$Q$2902,T$2,0)&lt;&gt;D2307,"Beam Revised","")</f>
        <v>#N/A</v>
      </c>
      <c r="U2307" s="7" t="e">
        <f>IF(VLOOKUP($A2307,'Concrete Beam Schedule'!$A$2:$Q$2902,U$2,0)&lt;&gt;E2307,"Beam Revised","")</f>
        <v>#N/A</v>
      </c>
      <c r="V2307" s="7" t="e">
        <f>IF(VLOOKUP($A2307,'Concrete Beam Schedule'!$A$2:$Q$2902,V$2,0)&lt;&gt;F2307,"Beam Revised","")</f>
        <v>#N/A</v>
      </c>
      <c r="W2307" s="7" t="e">
        <f>IF(VLOOKUP($A2307,'Concrete Beam Schedule'!$A$2:$Q$2902,W$2,0)&lt;&gt;G2307,"Beam Revised","")</f>
        <v>#N/A</v>
      </c>
      <c r="X2307" s="7" t="e">
        <f>IF(VLOOKUP($A2307,'Concrete Beam Schedule'!$A$2:$Q$2902,X$2,0)&lt;&gt;H2307,"Beam Revised","")</f>
        <v>#N/A</v>
      </c>
      <c r="Y2307" s="7" t="e">
        <f>IF(VLOOKUP($A2307,'Concrete Beam Schedule'!$A$2:$Q$2902,Y$2,0)&lt;&gt;I2307,"Beam Revised","")</f>
        <v>#N/A</v>
      </c>
      <c r="Z2307" s="7" t="e">
        <f>IF(VLOOKUP($A2307,'Concrete Beam Schedule'!$A$2:$Q$2902,Z$2,0)&lt;&gt;J2307,"Beam Revised","")</f>
        <v>#N/A</v>
      </c>
      <c r="AA2307" s="7" t="e">
        <f>IF(VLOOKUP($A2307,'Concrete Beam Schedule'!$A$2:$Q$2902,AA$2,0)&lt;&gt;K2307,"Beam Revised","")</f>
        <v>#N/A</v>
      </c>
      <c r="AB2307" s="7" t="e">
        <f>IF(VLOOKUP($A2307,'Concrete Beam Schedule'!$A$2:$Q$2902,AB$2,0)&lt;&gt;L2307,"Beam Revised","")</f>
        <v>#N/A</v>
      </c>
      <c r="AC2307" s="7" t="e">
        <f>IF(VLOOKUP($A2307,'Concrete Beam Schedule'!$A$2:$Q$2902,AC$2,0)&lt;&gt;M2307,"Beam Revised","")</f>
        <v>#N/A</v>
      </c>
      <c r="AD2307" s="7" t="e">
        <f>IF(VLOOKUP($A2307,'Concrete Beam Schedule'!$A$2:$Q$2902,AD$2,0)&lt;&gt;N2307,"Beam Revised","")</f>
        <v>#N/A</v>
      </c>
      <c r="AE2307" s="7" t="e">
        <f>IF(VLOOKUP($A2307,'Concrete Beam Schedule'!$A$2:$Q$2902,AE$2,0)&lt;&gt;O2307,"Beam Revised","")</f>
        <v>#N/A</v>
      </c>
    </row>
    <row r="2308" spans="17:31" ht="20.100000000000001" customHeight="1" x14ac:dyDescent="0.25">
      <c r="Q2308" s="7">
        <f t="shared" ref="Q2308:Q2371" si="36">A2308</f>
        <v>0</v>
      </c>
      <c r="R2308" s="7" t="e">
        <f>IF(VLOOKUP($A2308,'Concrete Beam Schedule'!$A$2:$Q$2902,R$2,0)&lt;&gt;B2308,VLOOKUP($A2308,'Concrete Beam Schedule'!$A$2:$Q$2902,R$2,0),"")</f>
        <v>#N/A</v>
      </c>
      <c r="S2308" s="7" t="e">
        <f>IF(VLOOKUP($A2308,'Concrete Beam Schedule'!$A$2:$Q$2902,S$2,0)&lt;&gt;C2308,VLOOKUP($A2308,'Concrete Beam Schedule'!$A$2:$Q$2902,S$2,0),"")</f>
        <v>#N/A</v>
      </c>
      <c r="T2308" s="7" t="e">
        <f>IF(VLOOKUP($A2308,'Concrete Beam Schedule'!$A$2:$Q$2902,T$2,0)&lt;&gt;D2308,"Beam Revised","")</f>
        <v>#N/A</v>
      </c>
      <c r="U2308" s="7" t="e">
        <f>IF(VLOOKUP($A2308,'Concrete Beam Schedule'!$A$2:$Q$2902,U$2,0)&lt;&gt;E2308,"Beam Revised","")</f>
        <v>#N/A</v>
      </c>
      <c r="V2308" s="7" t="e">
        <f>IF(VLOOKUP($A2308,'Concrete Beam Schedule'!$A$2:$Q$2902,V$2,0)&lt;&gt;F2308,"Beam Revised","")</f>
        <v>#N/A</v>
      </c>
      <c r="W2308" s="7" t="e">
        <f>IF(VLOOKUP($A2308,'Concrete Beam Schedule'!$A$2:$Q$2902,W$2,0)&lt;&gt;G2308,"Beam Revised","")</f>
        <v>#N/A</v>
      </c>
      <c r="X2308" s="7" t="e">
        <f>IF(VLOOKUP($A2308,'Concrete Beam Schedule'!$A$2:$Q$2902,X$2,0)&lt;&gt;H2308,"Beam Revised","")</f>
        <v>#N/A</v>
      </c>
      <c r="Y2308" s="7" t="e">
        <f>IF(VLOOKUP($A2308,'Concrete Beam Schedule'!$A$2:$Q$2902,Y$2,0)&lt;&gt;I2308,"Beam Revised","")</f>
        <v>#N/A</v>
      </c>
      <c r="Z2308" s="7" t="e">
        <f>IF(VLOOKUP($A2308,'Concrete Beam Schedule'!$A$2:$Q$2902,Z$2,0)&lt;&gt;J2308,"Beam Revised","")</f>
        <v>#N/A</v>
      </c>
      <c r="AA2308" s="7" t="e">
        <f>IF(VLOOKUP($A2308,'Concrete Beam Schedule'!$A$2:$Q$2902,AA$2,0)&lt;&gt;K2308,"Beam Revised","")</f>
        <v>#N/A</v>
      </c>
      <c r="AB2308" s="7" t="e">
        <f>IF(VLOOKUP($A2308,'Concrete Beam Schedule'!$A$2:$Q$2902,AB$2,0)&lt;&gt;L2308,"Beam Revised","")</f>
        <v>#N/A</v>
      </c>
      <c r="AC2308" s="7" t="e">
        <f>IF(VLOOKUP($A2308,'Concrete Beam Schedule'!$A$2:$Q$2902,AC$2,0)&lt;&gt;M2308,"Beam Revised","")</f>
        <v>#N/A</v>
      </c>
      <c r="AD2308" s="7" t="e">
        <f>IF(VLOOKUP($A2308,'Concrete Beam Schedule'!$A$2:$Q$2902,AD$2,0)&lt;&gt;N2308,"Beam Revised","")</f>
        <v>#N/A</v>
      </c>
      <c r="AE2308" s="7" t="e">
        <f>IF(VLOOKUP($A2308,'Concrete Beam Schedule'!$A$2:$Q$2902,AE$2,0)&lt;&gt;O2308,"Beam Revised","")</f>
        <v>#N/A</v>
      </c>
    </row>
    <row r="2309" spans="17:31" ht="20.100000000000001" customHeight="1" x14ac:dyDescent="0.25">
      <c r="Q2309" s="7">
        <f t="shared" si="36"/>
        <v>0</v>
      </c>
      <c r="R2309" s="7" t="e">
        <f>IF(VLOOKUP($A2309,'Concrete Beam Schedule'!$A$2:$Q$2902,R$2,0)&lt;&gt;B2309,VLOOKUP($A2309,'Concrete Beam Schedule'!$A$2:$Q$2902,R$2,0),"")</f>
        <v>#N/A</v>
      </c>
      <c r="S2309" s="7" t="e">
        <f>IF(VLOOKUP($A2309,'Concrete Beam Schedule'!$A$2:$Q$2902,S$2,0)&lt;&gt;C2309,VLOOKUP($A2309,'Concrete Beam Schedule'!$A$2:$Q$2902,S$2,0),"")</f>
        <v>#N/A</v>
      </c>
      <c r="T2309" s="7" t="e">
        <f>IF(VLOOKUP($A2309,'Concrete Beam Schedule'!$A$2:$Q$2902,T$2,0)&lt;&gt;D2309,"Beam Revised","")</f>
        <v>#N/A</v>
      </c>
      <c r="U2309" s="7" t="e">
        <f>IF(VLOOKUP($A2309,'Concrete Beam Schedule'!$A$2:$Q$2902,U$2,0)&lt;&gt;E2309,"Beam Revised","")</f>
        <v>#N/A</v>
      </c>
      <c r="V2309" s="7" t="e">
        <f>IF(VLOOKUP($A2309,'Concrete Beam Schedule'!$A$2:$Q$2902,V$2,0)&lt;&gt;F2309,"Beam Revised","")</f>
        <v>#N/A</v>
      </c>
      <c r="W2309" s="7" t="e">
        <f>IF(VLOOKUP($A2309,'Concrete Beam Schedule'!$A$2:$Q$2902,W$2,0)&lt;&gt;G2309,"Beam Revised","")</f>
        <v>#N/A</v>
      </c>
      <c r="X2309" s="7" t="e">
        <f>IF(VLOOKUP($A2309,'Concrete Beam Schedule'!$A$2:$Q$2902,X$2,0)&lt;&gt;H2309,"Beam Revised","")</f>
        <v>#N/A</v>
      </c>
      <c r="Y2309" s="7" t="e">
        <f>IF(VLOOKUP($A2309,'Concrete Beam Schedule'!$A$2:$Q$2902,Y$2,0)&lt;&gt;I2309,"Beam Revised","")</f>
        <v>#N/A</v>
      </c>
      <c r="Z2309" s="7" t="e">
        <f>IF(VLOOKUP($A2309,'Concrete Beam Schedule'!$A$2:$Q$2902,Z$2,0)&lt;&gt;J2309,"Beam Revised","")</f>
        <v>#N/A</v>
      </c>
      <c r="AA2309" s="7" t="e">
        <f>IF(VLOOKUP($A2309,'Concrete Beam Schedule'!$A$2:$Q$2902,AA$2,0)&lt;&gt;K2309,"Beam Revised","")</f>
        <v>#N/A</v>
      </c>
      <c r="AB2309" s="7" t="e">
        <f>IF(VLOOKUP($A2309,'Concrete Beam Schedule'!$A$2:$Q$2902,AB$2,0)&lt;&gt;L2309,"Beam Revised","")</f>
        <v>#N/A</v>
      </c>
      <c r="AC2309" s="7" t="e">
        <f>IF(VLOOKUP($A2309,'Concrete Beam Schedule'!$A$2:$Q$2902,AC$2,0)&lt;&gt;M2309,"Beam Revised","")</f>
        <v>#N/A</v>
      </c>
      <c r="AD2309" s="7" t="e">
        <f>IF(VLOOKUP($A2309,'Concrete Beam Schedule'!$A$2:$Q$2902,AD$2,0)&lt;&gt;N2309,"Beam Revised","")</f>
        <v>#N/A</v>
      </c>
      <c r="AE2309" s="7" t="e">
        <f>IF(VLOOKUP($A2309,'Concrete Beam Schedule'!$A$2:$Q$2902,AE$2,0)&lt;&gt;O2309,"Beam Revised","")</f>
        <v>#N/A</v>
      </c>
    </row>
    <row r="2310" spans="17:31" ht="20.100000000000001" customHeight="1" x14ac:dyDescent="0.25">
      <c r="Q2310" s="7">
        <f t="shared" si="36"/>
        <v>0</v>
      </c>
      <c r="R2310" s="7" t="e">
        <f>IF(VLOOKUP($A2310,'Concrete Beam Schedule'!$A$2:$Q$2902,R$2,0)&lt;&gt;B2310,VLOOKUP($A2310,'Concrete Beam Schedule'!$A$2:$Q$2902,R$2,0),"")</f>
        <v>#N/A</v>
      </c>
      <c r="S2310" s="7" t="e">
        <f>IF(VLOOKUP($A2310,'Concrete Beam Schedule'!$A$2:$Q$2902,S$2,0)&lt;&gt;C2310,VLOOKUP($A2310,'Concrete Beam Schedule'!$A$2:$Q$2902,S$2,0),"")</f>
        <v>#N/A</v>
      </c>
      <c r="T2310" s="7" t="e">
        <f>IF(VLOOKUP($A2310,'Concrete Beam Schedule'!$A$2:$Q$2902,T$2,0)&lt;&gt;D2310,"Beam Revised","")</f>
        <v>#N/A</v>
      </c>
      <c r="U2310" s="7" t="e">
        <f>IF(VLOOKUP($A2310,'Concrete Beam Schedule'!$A$2:$Q$2902,U$2,0)&lt;&gt;E2310,"Beam Revised","")</f>
        <v>#N/A</v>
      </c>
      <c r="V2310" s="7" t="e">
        <f>IF(VLOOKUP($A2310,'Concrete Beam Schedule'!$A$2:$Q$2902,V$2,0)&lt;&gt;F2310,"Beam Revised","")</f>
        <v>#N/A</v>
      </c>
      <c r="W2310" s="7" t="e">
        <f>IF(VLOOKUP($A2310,'Concrete Beam Schedule'!$A$2:$Q$2902,W$2,0)&lt;&gt;G2310,"Beam Revised","")</f>
        <v>#N/A</v>
      </c>
      <c r="X2310" s="7" t="e">
        <f>IF(VLOOKUP($A2310,'Concrete Beam Schedule'!$A$2:$Q$2902,X$2,0)&lt;&gt;H2310,"Beam Revised","")</f>
        <v>#N/A</v>
      </c>
      <c r="Y2310" s="7" t="e">
        <f>IF(VLOOKUP($A2310,'Concrete Beam Schedule'!$A$2:$Q$2902,Y$2,0)&lt;&gt;I2310,"Beam Revised","")</f>
        <v>#N/A</v>
      </c>
      <c r="Z2310" s="7" t="e">
        <f>IF(VLOOKUP($A2310,'Concrete Beam Schedule'!$A$2:$Q$2902,Z$2,0)&lt;&gt;J2310,"Beam Revised","")</f>
        <v>#N/A</v>
      </c>
      <c r="AA2310" s="7" t="e">
        <f>IF(VLOOKUP($A2310,'Concrete Beam Schedule'!$A$2:$Q$2902,AA$2,0)&lt;&gt;K2310,"Beam Revised","")</f>
        <v>#N/A</v>
      </c>
      <c r="AB2310" s="7" t="e">
        <f>IF(VLOOKUP($A2310,'Concrete Beam Schedule'!$A$2:$Q$2902,AB$2,0)&lt;&gt;L2310,"Beam Revised","")</f>
        <v>#N/A</v>
      </c>
      <c r="AC2310" s="7" t="e">
        <f>IF(VLOOKUP($A2310,'Concrete Beam Schedule'!$A$2:$Q$2902,AC$2,0)&lt;&gt;M2310,"Beam Revised","")</f>
        <v>#N/A</v>
      </c>
      <c r="AD2310" s="7" t="e">
        <f>IF(VLOOKUP($A2310,'Concrete Beam Schedule'!$A$2:$Q$2902,AD$2,0)&lt;&gt;N2310,"Beam Revised","")</f>
        <v>#N/A</v>
      </c>
      <c r="AE2310" s="7" t="e">
        <f>IF(VLOOKUP($A2310,'Concrete Beam Schedule'!$A$2:$Q$2902,AE$2,0)&lt;&gt;O2310,"Beam Revised","")</f>
        <v>#N/A</v>
      </c>
    </row>
    <row r="2311" spans="17:31" ht="20.100000000000001" customHeight="1" x14ac:dyDescent="0.25">
      <c r="Q2311" s="7">
        <f t="shared" si="36"/>
        <v>0</v>
      </c>
      <c r="R2311" s="7" t="e">
        <f>IF(VLOOKUP($A2311,'Concrete Beam Schedule'!$A$2:$Q$2902,R$2,0)&lt;&gt;B2311,VLOOKUP($A2311,'Concrete Beam Schedule'!$A$2:$Q$2902,R$2,0),"")</f>
        <v>#N/A</v>
      </c>
      <c r="S2311" s="7" t="e">
        <f>IF(VLOOKUP($A2311,'Concrete Beam Schedule'!$A$2:$Q$2902,S$2,0)&lt;&gt;C2311,VLOOKUP($A2311,'Concrete Beam Schedule'!$A$2:$Q$2902,S$2,0),"")</f>
        <v>#N/A</v>
      </c>
      <c r="T2311" s="7" t="e">
        <f>IF(VLOOKUP($A2311,'Concrete Beam Schedule'!$A$2:$Q$2902,T$2,0)&lt;&gt;D2311,"Beam Revised","")</f>
        <v>#N/A</v>
      </c>
      <c r="U2311" s="7" t="e">
        <f>IF(VLOOKUP($A2311,'Concrete Beam Schedule'!$A$2:$Q$2902,U$2,0)&lt;&gt;E2311,"Beam Revised","")</f>
        <v>#N/A</v>
      </c>
      <c r="V2311" s="7" t="e">
        <f>IF(VLOOKUP($A2311,'Concrete Beam Schedule'!$A$2:$Q$2902,V$2,0)&lt;&gt;F2311,"Beam Revised","")</f>
        <v>#N/A</v>
      </c>
      <c r="W2311" s="7" t="e">
        <f>IF(VLOOKUP($A2311,'Concrete Beam Schedule'!$A$2:$Q$2902,W$2,0)&lt;&gt;G2311,"Beam Revised","")</f>
        <v>#N/A</v>
      </c>
      <c r="X2311" s="7" t="e">
        <f>IF(VLOOKUP($A2311,'Concrete Beam Schedule'!$A$2:$Q$2902,X$2,0)&lt;&gt;H2311,"Beam Revised","")</f>
        <v>#N/A</v>
      </c>
      <c r="Y2311" s="7" t="e">
        <f>IF(VLOOKUP($A2311,'Concrete Beam Schedule'!$A$2:$Q$2902,Y$2,0)&lt;&gt;I2311,"Beam Revised","")</f>
        <v>#N/A</v>
      </c>
      <c r="Z2311" s="7" t="e">
        <f>IF(VLOOKUP($A2311,'Concrete Beam Schedule'!$A$2:$Q$2902,Z$2,0)&lt;&gt;J2311,"Beam Revised","")</f>
        <v>#N/A</v>
      </c>
      <c r="AA2311" s="7" t="e">
        <f>IF(VLOOKUP($A2311,'Concrete Beam Schedule'!$A$2:$Q$2902,AA$2,0)&lt;&gt;K2311,"Beam Revised","")</f>
        <v>#N/A</v>
      </c>
      <c r="AB2311" s="7" t="e">
        <f>IF(VLOOKUP($A2311,'Concrete Beam Schedule'!$A$2:$Q$2902,AB$2,0)&lt;&gt;L2311,"Beam Revised","")</f>
        <v>#N/A</v>
      </c>
      <c r="AC2311" s="7" t="e">
        <f>IF(VLOOKUP($A2311,'Concrete Beam Schedule'!$A$2:$Q$2902,AC$2,0)&lt;&gt;M2311,"Beam Revised","")</f>
        <v>#N/A</v>
      </c>
      <c r="AD2311" s="7" t="e">
        <f>IF(VLOOKUP($A2311,'Concrete Beam Schedule'!$A$2:$Q$2902,AD$2,0)&lt;&gt;N2311,"Beam Revised","")</f>
        <v>#N/A</v>
      </c>
      <c r="AE2311" s="7" t="e">
        <f>IF(VLOOKUP($A2311,'Concrete Beam Schedule'!$A$2:$Q$2902,AE$2,0)&lt;&gt;O2311,"Beam Revised","")</f>
        <v>#N/A</v>
      </c>
    </row>
    <row r="2312" spans="17:31" ht="20.100000000000001" customHeight="1" x14ac:dyDescent="0.25">
      <c r="Q2312" s="7">
        <f t="shared" si="36"/>
        <v>0</v>
      </c>
      <c r="R2312" s="7" t="e">
        <f>IF(VLOOKUP($A2312,'Concrete Beam Schedule'!$A$2:$Q$2902,R$2,0)&lt;&gt;B2312,VLOOKUP($A2312,'Concrete Beam Schedule'!$A$2:$Q$2902,R$2,0),"")</f>
        <v>#N/A</v>
      </c>
      <c r="S2312" s="7" t="e">
        <f>IF(VLOOKUP($A2312,'Concrete Beam Schedule'!$A$2:$Q$2902,S$2,0)&lt;&gt;C2312,VLOOKUP($A2312,'Concrete Beam Schedule'!$A$2:$Q$2902,S$2,0),"")</f>
        <v>#N/A</v>
      </c>
      <c r="T2312" s="7" t="e">
        <f>IF(VLOOKUP($A2312,'Concrete Beam Schedule'!$A$2:$Q$2902,T$2,0)&lt;&gt;D2312,"Beam Revised","")</f>
        <v>#N/A</v>
      </c>
      <c r="U2312" s="7" t="e">
        <f>IF(VLOOKUP($A2312,'Concrete Beam Schedule'!$A$2:$Q$2902,U$2,0)&lt;&gt;E2312,"Beam Revised","")</f>
        <v>#N/A</v>
      </c>
      <c r="V2312" s="7" t="e">
        <f>IF(VLOOKUP($A2312,'Concrete Beam Schedule'!$A$2:$Q$2902,V$2,0)&lt;&gt;F2312,"Beam Revised","")</f>
        <v>#N/A</v>
      </c>
      <c r="W2312" s="7" t="e">
        <f>IF(VLOOKUP($A2312,'Concrete Beam Schedule'!$A$2:$Q$2902,W$2,0)&lt;&gt;G2312,"Beam Revised","")</f>
        <v>#N/A</v>
      </c>
      <c r="X2312" s="7" t="e">
        <f>IF(VLOOKUP($A2312,'Concrete Beam Schedule'!$A$2:$Q$2902,X$2,0)&lt;&gt;H2312,"Beam Revised","")</f>
        <v>#N/A</v>
      </c>
      <c r="Y2312" s="7" t="e">
        <f>IF(VLOOKUP($A2312,'Concrete Beam Schedule'!$A$2:$Q$2902,Y$2,0)&lt;&gt;I2312,"Beam Revised","")</f>
        <v>#N/A</v>
      </c>
      <c r="Z2312" s="7" t="e">
        <f>IF(VLOOKUP($A2312,'Concrete Beam Schedule'!$A$2:$Q$2902,Z$2,0)&lt;&gt;J2312,"Beam Revised","")</f>
        <v>#N/A</v>
      </c>
      <c r="AA2312" s="7" t="e">
        <f>IF(VLOOKUP($A2312,'Concrete Beam Schedule'!$A$2:$Q$2902,AA$2,0)&lt;&gt;K2312,"Beam Revised","")</f>
        <v>#N/A</v>
      </c>
      <c r="AB2312" s="7" t="e">
        <f>IF(VLOOKUP($A2312,'Concrete Beam Schedule'!$A$2:$Q$2902,AB$2,0)&lt;&gt;L2312,"Beam Revised","")</f>
        <v>#N/A</v>
      </c>
      <c r="AC2312" s="7" t="e">
        <f>IF(VLOOKUP($A2312,'Concrete Beam Schedule'!$A$2:$Q$2902,AC$2,0)&lt;&gt;M2312,"Beam Revised","")</f>
        <v>#N/A</v>
      </c>
      <c r="AD2312" s="7" t="e">
        <f>IF(VLOOKUP($A2312,'Concrete Beam Schedule'!$A$2:$Q$2902,AD$2,0)&lt;&gt;N2312,"Beam Revised","")</f>
        <v>#N/A</v>
      </c>
      <c r="AE2312" s="7" t="e">
        <f>IF(VLOOKUP($A2312,'Concrete Beam Schedule'!$A$2:$Q$2902,AE$2,0)&lt;&gt;O2312,"Beam Revised","")</f>
        <v>#N/A</v>
      </c>
    </row>
    <row r="2313" spans="17:31" ht="20.100000000000001" customHeight="1" x14ac:dyDescent="0.25">
      <c r="Q2313" s="7">
        <f t="shared" si="36"/>
        <v>0</v>
      </c>
      <c r="R2313" s="7" t="e">
        <f>IF(VLOOKUP($A2313,'Concrete Beam Schedule'!$A$2:$Q$2902,R$2,0)&lt;&gt;B2313,VLOOKUP($A2313,'Concrete Beam Schedule'!$A$2:$Q$2902,R$2,0),"")</f>
        <v>#N/A</v>
      </c>
      <c r="S2313" s="7" t="e">
        <f>IF(VLOOKUP($A2313,'Concrete Beam Schedule'!$A$2:$Q$2902,S$2,0)&lt;&gt;C2313,VLOOKUP($A2313,'Concrete Beam Schedule'!$A$2:$Q$2902,S$2,0),"")</f>
        <v>#N/A</v>
      </c>
      <c r="T2313" s="7" t="e">
        <f>IF(VLOOKUP($A2313,'Concrete Beam Schedule'!$A$2:$Q$2902,T$2,0)&lt;&gt;D2313,"Beam Revised","")</f>
        <v>#N/A</v>
      </c>
      <c r="U2313" s="7" t="e">
        <f>IF(VLOOKUP($A2313,'Concrete Beam Schedule'!$A$2:$Q$2902,U$2,0)&lt;&gt;E2313,"Beam Revised","")</f>
        <v>#N/A</v>
      </c>
      <c r="V2313" s="7" t="e">
        <f>IF(VLOOKUP($A2313,'Concrete Beam Schedule'!$A$2:$Q$2902,V$2,0)&lt;&gt;F2313,"Beam Revised","")</f>
        <v>#N/A</v>
      </c>
      <c r="W2313" s="7" t="e">
        <f>IF(VLOOKUP($A2313,'Concrete Beam Schedule'!$A$2:$Q$2902,W$2,0)&lt;&gt;G2313,"Beam Revised","")</f>
        <v>#N/A</v>
      </c>
      <c r="X2313" s="7" t="e">
        <f>IF(VLOOKUP($A2313,'Concrete Beam Schedule'!$A$2:$Q$2902,X$2,0)&lt;&gt;H2313,"Beam Revised","")</f>
        <v>#N/A</v>
      </c>
      <c r="Y2313" s="7" t="e">
        <f>IF(VLOOKUP($A2313,'Concrete Beam Schedule'!$A$2:$Q$2902,Y$2,0)&lt;&gt;I2313,"Beam Revised","")</f>
        <v>#N/A</v>
      </c>
      <c r="Z2313" s="7" t="e">
        <f>IF(VLOOKUP($A2313,'Concrete Beam Schedule'!$A$2:$Q$2902,Z$2,0)&lt;&gt;J2313,"Beam Revised","")</f>
        <v>#N/A</v>
      </c>
      <c r="AA2313" s="7" t="e">
        <f>IF(VLOOKUP($A2313,'Concrete Beam Schedule'!$A$2:$Q$2902,AA$2,0)&lt;&gt;K2313,"Beam Revised","")</f>
        <v>#N/A</v>
      </c>
      <c r="AB2313" s="7" t="e">
        <f>IF(VLOOKUP($A2313,'Concrete Beam Schedule'!$A$2:$Q$2902,AB$2,0)&lt;&gt;L2313,"Beam Revised","")</f>
        <v>#N/A</v>
      </c>
      <c r="AC2313" s="7" t="e">
        <f>IF(VLOOKUP($A2313,'Concrete Beam Schedule'!$A$2:$Q$2902,AC$2,0)&lt;&gt;M2313,"Beam Revised","")</f>
        <v>#N/A</v>
      </c>
      <c r="AD2313" s="7" t="e">
        <f>IF(VLOOKUP($A2313,'Concrete Beam Schedule'!$A$2:$Q$2902,AD$2,0)&lt;&gt;N2313,"Beam Revised","")</f>
        <v>#N/A</v>
      </c>
      <c r="AE2313" s="7" t="e">
        <f>IF(VLOOKUP($A2313,'Concrete Beam Schedule'!$A$2:$Q$2902,AE$2,0)&lt;&gt;O2313,"Beam Revised","")</f>
        <v>#N/A</v>
      </c>
    </row>
    <row r="2314" spans="17:31" ht="20.100000000000001" customHeight="1" x14ac:dyDescent="0.25">
      <c r="Q2314" s="7">
        <f t="shared" si="36"/>
        <v>0</v>
      </c>
      <c r="R2314" s="7" t="e">
        <f>IF(VLOOKUP($A2314,'Concrete Beam Schedule'!$A$2:$Q$2902,R$2,0)&lt;&gt;B2314,VLOOKUP($A2314,'Concrete Beam Schedule'!$A$2:$Q$2902,R$2,0),"")</f>
        <v>#N/A</v>
      </c>
      <c r="S2314" s="7" t="e">
        <f>IF(VLOOKUP($A2314,'Concrete Beam Schedule'!$A$2:$Q$2902,S$2,0)&lt;&gt;C2314,VLOOKUP($A2314,'Concrete Beam Schedule'!$A$2:$Q$2902,S$2,0),"")</f>
        <v>#N/A</v>
      </c>
      <c r="T2314" s="7" t="e">
        <f>IF(VLOOKUP($A2314,'Concrete Beam Schedule'!$A$2:$Q$2902,T$2,0)&lt;&gt;D2314,"Beam Revised","")</f>
        <v>#N/A</v>
      </c>
      <c r="U2314" s="7" t="e">
        <f>IF(VLOOKUP($A2314,'Concrete Beam Schedule'!$A$2:$Q$2902,U$2,0)&lt;&gt;E2314,"Beam Revised","")</f>
        <v>#N/A</v>
      </c>
      <c r="V2314" s="7" t="e">
        <f>IF(VLOOKUP($A2314,'Concrete Beam Schedule'!$A$2:$Q$2902,V$2,0)&lt;&gt;F2314,"Beam Revised","")</f>
        <v>#N/A</v>
      </c>
      <c r="W2314" s="7" t="e">
        <f>IF(VLOOKUP($A2314,'Concrete Beam Schedule'!$A$2:$Q$2902,W$2,0)&lt;&gt;G2314,"Beam Revised","")</f>
        <v>#N/A</v>
      </c>
      <c r="X2314" s="7" t="e">
        <f>IF(VLOOKUP($A2314,'Concrete Beam Schedule'!$A$2:$Q$2902,X$2,0)&lt;&gt;H2314,"Beam Revised","")</f>
        <v>#N/A</v>
      </c>
      <c r="Y2314" s="7" t="e">
        <f>IF(VLOOKUP($A2314,'Concrete Beam Schedule'!$A$2:$Q$2902,Y$2,0)&lt;&gt;I2314,"Beam Revised","")</f>
        <v>#N/A</v>
      </c>
      <c r="Z2314" s="7" t="e">
        <f>IF(VLOOKUP($A2314,'Concrete Beam Schedule'!$A$2:$Q$2902,Z$2,0)&lt;&gt;J2314,"Beam Revised","")</f>
        <v>#N/A</v>
      </c>
      <c r="AA2314" s="7" t="e">
        <f>IF(VLOOKUP($A2314,'Concrete Beam Schedule'!$A$2:$Q$2902,AA$2,0)&lt;&gt;K2314,"Beam Revised","")</f>
        <v>#N/A</v>
      </c>
      <c r="AB2314" s="7" t="e">
        <f>IF(VLOOKUP($A2314,'Concrete Beam Schedule'!$A$2:$Q$2902,AB$2,0)&lt;&gt;L2314,"Beam Revised","")</f>
        <v>#N/A</v>
      </c>
      <c r="AC2314" s="7" t="e">
        <f>IF(VLOOKUP($A2314,'Concrete Beam Schedule'!$A$2:$Q$2902,AC$2,0)&lt;&gt;M2314,"Beam Revised","")</f>
        <v>#N/A</v>
      </c>
      <c r="AD2314" s="7" t="e">
        <f>IF(VLOOKUP($A2314,'Concrete Beam Schedule'!$A$2:$Q$2902,AD$2,0)&lt;&gt;N2314,"Beam Revised","")</f>
        <v>#N/A</v>
      </c>
      <c r="AE2314" s="7" t="e">
        <f>IF(VLOOKUP($A2314,'Concrete Beam Schedule'!$A$2:$Q$2902,AE$2,0)&lt;&gt;O2314,"Beam Revised","")</f>
        <v>#N/A</v>
      </c>
    </row>
    <row r="2315" spans="17:31" ht="20.100000000000001" customHeight="1" x14ac:dyDescent="0.25">
      <c r="Q2315" s="7">
        <f t="shared" si="36"/>
        <v>0</v>
      </c>
      <c r="R2315" s="7" t="e">
        <f>IF(VLOOKUP($A2315,'Concrete Beam Schedule'!$A$2:$Q$2902,R$2,0)&lt;&gt;B2315,VLOOKUP($A2315,'Concrete Beam Schedule'!$A$2:$Q$2902,R$2,0),"")</f>
        <v>#N/A</v>
      </c>
      <c r="S2315" s="7" t="e">
        <f>IF(VLOOKUP($A2315,'Concrete Beam Schedule'!$A$2:$Q$2902,S$2,0)&lt;&gt;C2315,VLOOKUP($A2315,'Concrete Beam Schedule'!$A$2:$Q$2902,S$2,0),"")</f>
        <v>#N/A</v>
      </c>
      <c r="T2315" s="7" t="e">
        <f>IF(VLOOKUP($A2315,'Concrete Beam Schedule'!$A$2:$Q$2902,T$2,0)&lt;&gt;D2315,"Beam Revised","")</f>
        <v>#N/A</v>
      </c>
      <c r="U2315" s="7" t="e">
        <f>IF(VLOOKUP($A2315,'Concrete Beam Schedule'!$A$2:$Q$2902,U$2,0)&lt;&gt;E2315,"Beam Revised","")</f>
        <v>#N/A</v>
      </c>
      <c r="V2315" s="7" t="e">
        <f>IF(VLOOKUP($A2315,'Concrete Beam Schedule'!$A$2:$Q$2902,V$2,0)&lt;&gt;F2315,"Beam Revised","")</f>
        <v>#N/A</v>
      </c>
      <c r="W2315" s="7" t="e">
        <f>IF(VLOOKUP($A2315,'Concrete Beam Schedule'!$A$2:$Q$2902,W$2,0)&lt;&gt;G2315,"Beam Revised","")</f>
        <v>#N/A</v>
      </c>
      <c r="X2315" s="7" t="e">
        <f>IF(VLOOKUP($A2315,'Concrete Beam Schedule'!$A$2:$Q$2902,X$2,0)&lt;&gt;H2315,"Beam Revised","")</f>
        <v>#N/A</v>
      </c>
      <c r="Y2315" s="7" t="e">
        <f>IF(VLOOKUP($A2315,'Concrete Beam Schedule'!$A$2:$Q$2902,Y$2,0)&lt;&gt;I2315,"Beam Revised","")</f>
        <v>#N/A</v>
      </c>
      <c r="Z2315" s="7" t="e">
        <f>IF(VLOOKUP($A2315,'Concrete Beam Schedule'!$A$2:$Q$2902,Z$2,0)&lt;&gt;J2315,"Beam Revised","")</f>
        <v>#N/A</v>
      </c>
      <c r="AA2315" s="7" t="e">
        <f>IF(VLOOKUP($A2315,'Concrete Beam Schedule'!$A$2:$Q$2902,AA$2,0)&lt;&gt;K2315,"Beam Revised","")</f>
        <v>#N/A</v>
      </c>
      <c r="AB2315" s="7" t="e">
        <f>IF(VLOOKUP($A2315,'Concrete Beam Schedule'!$A$2:$Q$2902,AB$2,0)&lt;&gt;L2315,"Beam Revised","")</f>
        <v>#N/A</v>
      </c>
      <c r="AC2315" s="7" t="e">
        <f>IF(VLOOKUP($A2315,'Concrete Beam Schedule'!$A$2:$Q$2902,AC$2,0)&lt;&gt;M2315,"Beam Revised","")</f>
        <v>#N/A</v>
      </c>
      <c r="AD2315" s="7" t="e">
        <f>IF(VLOOKUP($A2315,'Concrete Beam Schedule'!$A$2:$Q$2902,AD$2,0)&lt;&gt;N2315,"Beam Revised","")</f>
        <v>#N/A</v>
      </c>
      <c r="AE2315" s="7" t="e">
        <f>IF(VLOOKUP($A2315,'Concrete Beam Schedule'!$A$2:$Q$2902,AE$2,0)&lt;&gt;O2315,"Beam Revised","")</f>
        <v>#N/A</v>
      </c>
    </row>
    <row r="2316" spans="17:31" ht="20.100000000000001" customHeight="1" x14ac:dyDescent="0.25">
      <c r="Q2316" s="7">
        <f t="shared" si="36"/>
        <v>0</v>
      </c>
      <c r="R2316" s="7" t="e">
        <f>IF(VLOOKUP($A2316,'Concrete Beam Schedule'!$A$2:$Q$2902,R$2,0)&lt;&gt;B2316,VLOOKUP($A2316,'Concrete Beam Schedule'!$A$2:$Q$2902,R$2,0),"")</f>
        <v>#N/A</v>
      </c>
      <c r="S2316" s="7" t="e">
        <f>IF(VLOOKUP($A2316,'Concrete Beam Schedule'!$A$2:$Q$2902,S$2,0)&lt;&gt;C2316,VLOOKUP($A2316,'Concrete Beam Schedule'!$A$2:$Q$2902,S$2,0),"")</f>
        <v>#N/A</v>
      </c>
      <c r="T2316" s="7" t="e">
        <f>IF(VLOOKUP($A2316,'Concrete Beam Schedule'!$A$2:$Q$2902,T$2,0)&lt;&gt;D2316,"Beam Revised","")</f>
        <v>#N/A</v>
      </c>
      <c r="U2316" s="7" t="e">
        <f>IF(VLOOKUP($A2316,'Concrete Beam Schedule'!$A$2:$Q$2902,U$2,0)&lt;&gt;E2316,"Beam Revised","")</f>
        <v>#N/A</v>
      </c>
      <c r="V2316" s="7" t="e">
        <f>IF(VLOOKUP($A2316,'Concrete Beam Schedule'!$A$2:$Q$2902,V$2,0)&lt;&gt;F2316,"Beam Revised","")</f>
        <v>#N/A</v>
      </c>
      <c r="W2316" s="7" t="e">
        <f>IF(VLOOKUP($A2316,'Concrete Beam Schedule'!$A$2:$Q$2902,W$2,0)&lt;&gt;G2316,"Beam Revised","")</f>
        <v>#N/A</v>
      </c>
      <c r="X2316" s="7" t="e">
        <f>IF(VLOOKUP($A2316,'Concrete Beam Schedule'!$A$2:$Q$2902,X$2,0)&lt;&gt;H2316,"Beam Revised","")</f>
        <v>#N/A</v>
      </c>
      <c r="Y2316" s="7" t="e">
        <f>IF(VLOOKUP($A2316,'Concrete Beam Schedule'!$A$2:$Q$2902,Y$2,0)&lt;&gt;I2316,"Beam Revised","")</f>
        <v>#N/A</v>
      </c>
      <c r="Z2316" s="7" t="e">
        <f>IF(VLOOKUP($A2316,'Concrete Beam Schedule'!$A$2:$Q$2902,Z$2,0)&lt;&gt;J2316,"Beam Revised","")</f>
        <v>#N/A</v>
      </c>
      <c r="AA2316" s="7" t="e">
        <f>IF(VLOOKUP($A2316,'Concrete Beam Schedule'!$A$2:$Q$2902,AA$2,0)&lt;&gt;K2316,"Beam Revised","")</f>
        <v>#N/A</v>
      </c>
      <c r="AB2316" s="7" t="e">
        <f>IF(VLOOKUP($A2316,'Concrete Beam Schedule'!$A$2:$Q$2902,AB$2,0)&lt;&gt;L2316,"Beam Revised","")</f>
        <v>#N/A</v>
      </c>
      <c r="AC2316" s="7" t="e">
        <f>IF(VLOOKUP($A2316,'Concrete Beam Schedule'!$A$2:$Q$2902,AC$2,0)&lt;&gt;M2316,"Beam Revised","")</f>
        <v>#N/A</v>
      </c>
      <c r="AD2316" s="7" t="e">
        <f>IF(VLOOKUP($A2316,'Concrete Beam Schedule'!$A$2:$Q$2902,AD$2,0)&lt;&gt;N2316,"Beam Revised","")</f>
        <v>#N/A</v>
      </c>
      <c r="AE2316" s="7" t="e">
        <f>IF(VLOOKUP($A2316,'Concrete Beam Schedule'!$A$2:$Q$2902,AE$2,0)&lt;&gt;O2316,"Beam Revised","")</f>
        <v>#N/A</v>
      </c>
    </row>
    <row r="2317" spans="17:31" ht="20.100000000000001" customHeight="1" x14ac:dyDescent="0.25">
      <c r="Q2317" s="7">
        <f t="shared" si="36"/>
        <v>0</v>
      </c>
      <c r="R2317" s="7" t="e">
        <f>IF(VLOOKUP($A2317,'Concrete Beam Schedule'!$A$2:$Q$2902,R$2,0)&lt;&gt;B2317,VLOOKUP($A2317,'Concrete Beam Schedule'!$A$2:$Q$2902,R$2,0),"")</f>
        <v>#N/A</v>
      </c>
      <c r="S2317" s="7" t="e">
        <f>IF(VLOOKUP($A2317,'Concrete Beam Schedule'!$A$2:$Q$2902,S$2,0)&lt;&gt;C2317,VLOOKUP($A2317,'Concrete Beam Schedule'!$A$2:$Q$2902,S$2,0),"")</f>
        <v>#N/A</v>
      </c>
      <c r="T2317" s="7" t="e">
        <f>IF(VLOOKUP($A2317,'Concrete Beam Schedule'!$A$2:$Q$2902,T$2,0)&lt;&gt;D2317,"Beam Revised","")</f>
        <v>#N/A</v>
      </c>
      <c r="U2317" s="7" t="e">
        <f>IF(VLOOKUP($A2317,'Concrete Beam Schedule'!$A$2:$Q$2902,U$2,0)&lt;&gt;E2317,"Beam Revised","")</f>
        <v>#N/A</v>
      </c>
      <c r="V2317" s="7" t="e">
        <f>IF(VLOOKUP($A2317,'Concrete Beam Schedule'!$A$2:$Q$2902,V$2,0)&lt;&gt;F2317,"Beam Revised","")</f>
        <v>#N/A</v>
      </c>
      <c r="W2317" s="7" t="e">
        <f>IF(VLOOKUP($A2317,'Concrete Beam Schedule'!$A$2:$Q$2902,W$2,0)&lt;&gt;G2317,"Beam Revised","")</f>
        <v>#N/A</v>
      </c>
      <c r="X2317" s="7" t="e">
        <f>IF(VLOOKUP($A2317,'Concrete Beam Schedule'!$A$2:$Q$2902,X$2,0)&lt;&gt;H2317,"Beam Revised","")</f>
        <v>#N/A</v>
      </c>
      <c r="Y2317" s="7" t="e">
        <f>IF(VLOOKUP($A2317,'Concrete Beam Schedule'!$A$2:$Q$2902,Y$2,0)&lt;&gt;I2317,"Beam Revised","")</f>
        <v>#N/A</v>
      </c>
      <c r="Z2317" s="7" t="e">
        <f>IF(VLOOKUP($A2317,'Concrete Beam Schedule'!$A$2:$Q$2902,Z$2,0)&lt;&gt;J2317,"Beam Revised","")</f>
        <v>#N/A</v>
      </c>
      <c r="AA2317" s="7" t="e">
        <f>IF(VLOOKUP($A2317,'Concrete Beam Schedule'!$A$2:$Q$2902,AA$2,0)&lt;&gt;K2317,"Beam Revised","")</f>
        <v>#N/A</v>
      </c>
      <c r="AB2317" s="7" t="e">
        <f>IF(VLOOKUP($A2317,'Concrete Beam Schedule'!$A$2:$Q$2902,AB$2,0)&lt;&gt;L2317,"Beam Revised","")</f>
        <v>#N/A</v>
      </c>
      <c r="AC2317" s="7" t="e">
        <f>IF(VLOOKUP($A2317,'Concrete Beam Schedule'!$A$2:$Q$2902,AC$2,0)&lt;&gt;M2317,"Beam Revised","")</f>
        <v>#N/A</v>
      </c>
      <c r="AD2317" s="7" t="e">
        <f>IF(VLOOKUP($A2317,'Concrete Beam Schedule'!$A$2:$Q$2902,AD$2,0)&lt;&gt;N2317,"Beam Revised","")</f>
        <v>#N/A</v>
      </c>
      <c r="AE2317" s="7" t="e">
        <f>IF(VLOOKUP($A2317,'Concrete Beam Schedule'!$A$2:$Q$2902,AE$2,0)&lt;&gt;O2317,"Beam Revised","")</f>
        <v>#N/A</v>
      </c>
    </row>
    <row r="2318" spans="17:31" ht="20.100000000000001" customHeight="1" x14ac:dyDescent="0.25">
      <c r="Q2318" s="7">
        <f t="shared" si="36"/>
        <v>0</v>
      </c>
      <c r="R2318" s="7" t="e">
        <f>IF(VLOOKUP($A2318,'Concrete Beam Schedule'!$A$2:$Q$2902,R$2,0)&lt;&gt;B2318,VLOOKUP($A2318,'Concrete Beam Schedule'!$A$2:$Q$2902,R$2,0),"")</f>
        <v>#N/A</v>
      </c>
      <c r="S2318" s="7" t="e">
        <f>IF(VLOOKUP($A2318,'Concrete Beam Schedule'!$A$2:$Q$2902,S$2,0)&lt;&gt;C2318,VLOOKUP($A2318,'Concrete Beam Schedule'!$A$2:$Q$2902,S$2,0),"")</f>
        <v>#N/A</v>
      </c>
      <c r="T2318" s="7" t="e">
        <f>IF(VLOOKUP($A2318,'Concrete Beam Schedule'!$A$2:$Q$2902,T$2,0)&lt;&gt;D2318,"Beam Revised","")</f>
        <v>#N/A</v>
      </c>
      <c r="U2318" s="7" t="e">
        <f>IF(VLOOKUP($A2318,'Concrete Beam Schedule'!$A$2:$Q$2902,U$2,0)&lt;&gt;E2318,"Beam Revised","")</f>
        <v>#N/A</v>
      </c>
      <c r="V2318" s="7" t="e">
        <f>IF(VLOOKUP($A2318,'Concrete Beam Schedule'!$A$2:$Q$2902,V$2,0)&lt;&gt;F2318,"Beam Revised","")</f>
        <v>#N/A</v>
      </c>
      <c r="W2318" s="7" t="e">
        <f>IF(VLOOKUP($A2318,'Concrete Beam Schedule'!$A$2:$Q$2902,W$2,0)&lt;&gt;G2318,"Beam Revised","")</f>
        <v>#N/A</v>
      </c>
      <c r="X2318" s="7" t="e">
        <f>IF(VLOOKUP($A2318,'Concrete Beam Schedule'!$A$2:$Q$2902,X$2,0)&lt;&gt;H2318,"Beam Revised","")</f>
        <v>#N/A</v>
      </c>
      <c r="Y2318" s="7" t="e">
        <f>IF(VLOOKUP($A2318,'Concrete Beam Schedule'!$A$2:$Q$2902,Y$2,0)&lt;&gt;I2318,"Beam Revised","")</f>
        <v>#N/A</v>
      </c>
      <c r="Z2318" s="7" t="e">
        <f>IF(VLOOKUP($A2318,'Concrete Beam Schedule'!$A$2:$Q$2902,Z$2,0)&lt;&gt;J2318,"Beam Revised","")</f>
        <v>#N/A</v>
      </c>
      <c r="AA2318" s="7" t="e">
        <f>IF(VLOOKUP($A2318,'Concrete Beam Schedule'!$A$2:$Q$2902,AA$2,0)&lt;&gt;K2318,"Beam Revised","")</f>
        <v>#N/A</v>
      </c>
      <c r="AB2318" s="7" t="e">
        <f>IF(VLOOKUP($A2318,'Concrete Beam Schedule'!$A$2:$Q$2902,AB$2,0)&lt;&gt;L2318,"Beam Revised","")</f>
        <v>#N/A</v>
      </c>
      <c r="AC2318" s="7" t="e">
        <f>IF(VLOOKUP($A2318,'Concrete Beam Schedule'!$A$2:$Q$2902,AC$2,0)&lt;&gt;M2318,"Beam Revised","")</f>
        <v>#N/A</v>
      </c>
      <c r="AD2318" s="7" t="e">
        <f>IF(VLOOKUP($A2318,'Concrete Beam Schedule'!$A$2:$Q$2902,AD$2,0)&lt;&gt;N2318,"Beam Revised","")</f>
        <v>#N/A</v>
      </c>
      <c r="AE2318" s="7" t="e">
        <f>IF(VLOOKUP($A2318,'Concrete Beam Schedule'!$A$2:$Q$2902,AE$2,0)&lt;&gt;O2318,"Beam Revised","")</f>
        <v>#N/A</v>
      </c>
    </row>
    <row r="2319" spans="17:31" ht="20.100000000000001" customHeight="1" x14ac:dyDescent="0.25">
      <c r="Q2319" s="7">
        <f t="shared" si="36"/>
        <v>0</v>
      </c>
      <c r="R2319" s="7" t="e">
        <f>IF(VLOOKUP($A2319,'Concrete Beam Schedule'!$A$2:$Q$2902,R$2,0)&lt;&gt;B2319,VLOOKUP($A2319,'Concrete Beam Schedule'!$A$2:$Q$2902,R$2,0),"")</f>
        <v>#N/A</v>
      </c>
      <c r="S2319" s="7" t="e">
        <f>IF(VLOOKUP($A2319,'Concrete Beam Schedule'!$A$2:$Q$2902,S$2,0)&lt;&gt;C2319,VLOOKUP($A2319,'Concrete Beam Schedule'!$A$2:$Q$2902,S$2,0),"")</f>
        <v>#N/A</v>
      </c>
      <c r="T2319" s="7" t="e">
        <f>IF(VLOOKUP($A2319,'Concrete Beam Schedule'!$A$2:$Q$2902,T$2,0)&lt;&gt;D2319,"Beam Revised","")</f>
        <v>#N/A</v>
      </c>
      <c r="U2319" s="7" t="e">
        <f>IF(VLOOKUP($A2319,'Concrete Beam Schedule'!$A$2:$Q$2902,U$2,0)&lt;&gt;E2319,"Beam Revised","")</f>
        <v>#N/A</v>
      </c>
      <c r="V2319" s="7" t="e">
        <f>IF(VLOOKUP($A2319,'Concrete Beam Schedule'!$A$2:$Q$2902,V$2,0)&lt;&gt;F2319,"Beam Revised","")</f>
        <v>#N/A</v>
      </c>
      <c r="W2319" s="7" t="e">
        <f>IF(VLOOKUP($A2319,'Concrete Beam Schedule'!$A$2:$Q$2902,W$2,0)&lt;&gt;G2319,"Beam Revised","")</f>
        <v>#N/A</v>
      </c>
      <c r="X2319" s="7" t="e">
        <f>IF(VLOOKUP($A2319,'Concrete Beam Schedule'!$A$2:$Q$2902,X$2,0)&lt;&gt;H2319,"Beam Revised","")</f>
        <v>#N/A</v>
      </c>
      <c r="Y2319" s="7" t="e">
        <f>IF(VLOOKUP($A2319,'Concrete Beam Schedule'!$A$2:$Q$2902,Y$2,0)&lt;&gt;I2319,"Beam Revised","")</f>
        <v>#N/A</v>
      </c>
      <c r="Z2319" s="7" t="e">
        <f>IF(VLOOKUP($A2319,'Concrete Beam Schedule'!$A$2:$Q$2902,Z$2,0)&lt;&gt;J2319,"Beam Revised","")</f>
        <v>#N/A</v>
      </c>
      <c r="AA2319" s="7" t="e">
        <f>IF(VLOOKUP($A2319,'Concrete Beam Schedule'!$A$2:$Q$2902,AA$2,0)&lt;&gt;K2319,"Beam Revised","")</f>
        <v>#N/A</v>
      </c>
      <c r="AB2319" s="7" t="e">
        <f>IF(VLOOKUP($A2319,'Concrete Beam Schedule'!$A$2:$Q$2902,AB$2,0)&lt;&gt;L2319,"Beam Revised","")</f>
        <v>#N/A</v>
      </c>
      <c r="AC2319" s="7" t="e">
        <f>IF(VLOOKUP($A2319,'Concrete Beam Schedule'!$A$2:$Q$2902,AC$2,0)&lt;&gt;M2319,"Beam Revised","")</f>
        <v>#N/A</v>
      </c>
      <c r="AD2319" s="7" t="e">
        <f>IF(VLOOKUP($A2319,'Concrete Beam Schedule'!$A$2:$Q$2902,AD$2,0)&lt;&gt;N2319,"Beam Revised","")</f>
        <v>#N/A</v>
      </c>
      <c r="AE2319" s="7" t="e">
        <f>IF(VLOOKUP($A2319,'Concrete Beam Schedule'!$A$2:$Q$2902,AE$2,0)&lt;&gt;O2319,"Beam Revised","")</f>
        <v>#N/A</v>
      </c>
    </row>
    <row r="2320" spans="17:31" ht="20.100000000000001" customHeight="1" x14ac:dyDescent="0.25">
      <c r="Q2320" s="7">
        <f t="shared" si="36"/>
        <v>0</v>
      </c>
      <c r="R2320" s="7" t="e">
        <f>IF(VLOOKUP($A2320,'Concrete Beam Schedule'!$A$2:$Q$2902,R$2,0)&lt;&gt;B2320,VLOOKUP($A2320,'Concrete Beam Schedule'!$A$2:$Q$2902,R$2,0),"")</f>
        <v>#N/A</v>
      </c>
      <c r="S2320" s="7" t="e">
        <f>IF(VLOOKUP($A2320,'Concrete Beam Schedule'!$A$2:$Q$2902,S$2,0)&lt;&gt;C2320,VLOOKUP($A2320,'Concrete Beam Schedule'!$A$2:$Q$2902,S$2,0),"")</f>
        <v>#N/A</v>
      </c>
      <c r="T2320" s="7" t="e">
        <f>IF(VLOOKUP($A2320,'Concrete Beam Schedule'!$A$2:$Q$2902,T$2,0)&lt;&gt;D2320,"Beam Revised","")</f>
        <v>#N/A</v>
      </c>
      <c r="U2320" s="7" t="e">
        <f>IF(VLOOKUP($A2320,'Concrete Beam Schedule'!$A$2:$Q$2902,U$2,0)&lt;&gt;E2320,"Beam Revised","")</f>
        <v>#N/A</v>
      </c>
      <c r="V2320" s="7" t="e">
        <f>IF(VLOOKUP($A2320,'Concrete Beam Schedule'!$A$2:$Q$2902,V$2,0)&lt;&gt;F2320,"Beam Revised","")</f>
        <v>#N/A</v>
      </c>
      <c r="W2320" s="7" t="e">
        <f>IF(VLOOKUP($A2320,'Concrete Beam Schedule'!$A$2:$Q$2902,W$2,0)&lt;&gt;G2320,"Beam Revised","")</f>
        <v>#N/A</v>
      </c>
      <c r="X2320" s="7" t="e">
        <f>IF(VLOOKUP($A2320,'Concrete Beam Schedule'!$A$2:$Q$2902,X$2,0)&lt;&gt;H2320,"Beam Revised","")</f>
        <v>#N/A</v>
      </c>
      <c r="Y2320" s="7" t="e">
        <f>IF(VLOOKUP($A2320,'Concrete Beam Schedule'!$A$2:$Q$2902,Y$2,0)&lt;&gt;I2320,"Beam Revised","")</f>
        <v>#N/A</v>
      </c>
      <c r="Z2320" s="7" t="e">
        <f>IF(VLOOKUP($A2320,'Concrete Beam Schedule'!$A$2:$Q$2902,Z$2,0)&lt;&gt;J2320,"Beam Revised","")</f>
        <v>#N/A</v>
      </c>
      <c r="AA2320" s="7" t="e">
        <f>IF(VLOOKUP($A2320,'Concrete Beam Schedule'!$A$2:$Q$2902,AA$2,0)&lt;&gt;K2320,"Beam Revised","")</f>
        <v>#N/A</v>
      </c>
      <c r="AB2320" s="7" t="e">
        <f>IF(VLOOKUP($A2320,'Concrete Beam Schedule'!$A$2:$Q$2902,AB$2,0)&lt;&gt;L2320,"Beam Revised","")</f>
        <v>#N/A</v>
      </c>
      <c r="AC2320" s="7" t="e">
        <f>IF(VLOOKUP($A2320,'Concrete Beam Schedule'!$A$2:$Q$2902,AC$2,0)&lt;&gt;M2320,"Beam Revised","")</f>
        <v>#N/A</v>
      </c>
      <c r="AD2320" s="7" t="e">
        <f>IF(VLOOKUP($A2320,'Concrete Beam Schedule'!$A$2:$Q$2902,AD$2,0)&lt;&gt;N2320,"Beam Revised","")</f>
        <v>#N/A</v>
      </c>
      <c r="AE2320" s="7" t="e">
        <f>IF(VLOOKUP($A2320,'Concrete Beam Schedule'!$A$2:$Q$2902,AE$2,0)&lt;&gt;O2320,"Beam Revised","")</f>
        <v>#N/A</v>
      </c>
    </row>
    <row r="2321" spans="17:31" ht="20.100000000000001" customHeight="1" x14ac:dyDescent="0.25">
      <c r="Q2321" s="7">
        <f t="shared" si="36"/>
        <v>0</v>
      </c>
      <c r="R2321" s="7" t="e">
        <f>IF(VLOOKUP($A2321,'Concrete Beam Schedule'!$A$2:$Q$2902,R$2,0)&lt;&gt;B2321,VLOOKUP($A2321,'Concrete Beam Schedule'!$A$2:$Q$2902,R$2,0),"")</f>
        <v>#N/A</v>
      </c>
      <c r="S2321" s="7" t="e">
        <f>IF(VLOOKUP($A2321,'Concrete Beam Schedule'!$A$2:$Q$2902,S$2,0)&lt;&gt;C2321,VLOOKUP($A2321,'Concrete Beam Schedule'!$A$2:$Q$2902,S$2,0),"")</f>
        <v>#N/A</v>
      </c>
      <c r="T2321" s="7" t="e">
        <f>IF(VLOOKUP($A2321,'Concrete Beam Schedule'!$A$2:$Q$2902,T$2,0)&lt;&gt;D2321,"Beam Revised","")</f>
        <v>#N/A</v>
      </c>
      <c r="U2321" s="7" t="e">
        <f>IF(VLOOKUP($A2321,'Concrete Beam Schedule'!$A$2:$Q$2902,U$2,0)&lt;&gt;E2321,"Beam Revised","")</f>
        <v>#N/A</v>
      </c>
      <c r="V2321" s="7" t="e">
        <f>IF(VLOOKUP($A2321,'Concrete Beam Schedule'!$A$2:$Q$2902,V$2,0)&lt;&gt;F2321,"Beam Revised","")</f>
        <v>#N/A</v>
      </c>
      <c r="W2321" s="7" t="e">
        <f>IF(VLOOKUP($A2321,'Concrete Beam Schedule'!$A$2:$Q$2902,W$2,0)&lt;&gt;G2321,"Beam Revised","")</f>
        <v>#N/A</v>
      </c>
      <c r="X2321" s="7" t="e">
        <f>IF(VLOOKUP($A2321,'Concrete Beam Schedule'!$A$2:$Q$2902,X$2,0)&lt;&gt;H2321,"Beam Revised","")</f>
        <v>#N/A</v>
      </c>
      <c r="Y2321" s="7" t="e">
        <f>IF(VLOOKUP($A2321,'Concrete Beam Schedule'!$A$2:$Q$2902,Y$2,0)&lt;&gt;I2321,"Beam Revised","")</f>
        <v>#N/A</v>
      </c>
      <c r="Z2321" s="7" t="e">
        <f>IF(VLOOKUP($A2321,'Concrete Beam Schedule'!$A$2:$Q$2902,Z$2,0)&lt;&gt;J2321,"Beam Revised","")</f>
        <v>#N/A</v>
      </c>
      <c r="AA2321" s="7" t="e">
        <f>IF(VLOOKUP($A2321,'Concrete Beam Schedule'!$A$2:$Q$2902,AA$2,0)&lt;&gt;K2321,"Beam Revised","")</f>
        <v>#N/A</v>
      </c>
      <c r="AB2321" s="7" t="e">
        <f>IF(VLOOKUP($A2321,'Concrete Beam Schedule'!$A$2:$Q$2902,AB$2,0)&lt;&gt;L2321,"Beam Revised","")</f>
        <v>#N/A</v>
      </c>
      <c r="AC2321" s="7" t="e">
        <f>IF(VLOOKUP($A2321,'Concrete Beam Schedule'!$A$2:$Q$2902,AC$2,0)&lt;&gt;M2321,"Beam Revised","")</f>
        <v>#N/A</v>
      </c>
      <c r="AD2321" s="7" t="e">
        <f>IF(VLOOKUP($A2321,'Concrete Beam Schedule'!$A$2:$Q$2902,AD$2,0)&lt;&gt;N2321,"Beam Revised","")</f>
        <v>#N/A</v>
      </c>
      <c r="AE2321" s="7" t="e">
        <f>IF(VLOOKUP($A2321,'Concrete Beam Schedule'!$A$2:$Q$2902,AE$2,0)&lt;&gt;O2321,"Beam Revised","")</f>
        <v>#N/A</v>
      </c>
    </row>
    <row r="2322" spans="17:31" ht="20.100000000000001" customHeight="1" x14ac:dyDescent="0.25">
      <c r="Q2322" s="7">
        <f t="shared" si="36"/>
        <v>0</v>
      </c>
      <c r="R2322" s="7" t="e">
        <f>IF(VLOOKUP($A2322,'Concrete Beam Schedule'!$A$2:$Q$2902,R$2,0)&lt;&gt;B2322,VLOOKUP($A2322,'Concrete Beam Schedule'!$A$2:$Q$2902,R$2,0),"")</f>
        <v>#N/A</v>
      </c>
      <c r="S2322" s="7" t="e">
        <f>IF(VLOOKUP($A2322,'Concrete Beam Schedule'!$A$2:$Q$2902,S$2,0)&lt;&gt;C2322,VLOOKUP($A2322,'Concrete Beam Schedule'!$A$2:$Q$2902,S$2,0),"")</f>
        <v>#N/A</v>
      </c>
      <c r="T2322" s="7" t="e">
        <f>IF(VLOOKUP($A2322,'Concrete Beam Schedule'!$A$2:$Q$2902,T$2,0)&lt;&gt;D2322,"Beam Revised","")</f>
        <v>#N/A</v>
      </c>
      <c r="U2322" s="7" t="e">
        <f>IF(VLOOKUP($A2322,'Concrete Beam Schedule'!$A$2:$Q$2902,U$2,0)&lt;&gt;E2322,"Beam Revised","")</f>
        <v>#N/A</v>
      </c>
      <c r="V2322" s="7" t="e">
        <f>IF(VLOOKUP($A2322,'Concrete Beam Schedule'!$A$2:$Q$2902,V$2,0)&lt;&gt;F2322,"Beam Revised","")</f>
        <v>#N/A</v>
      </c>
      <c r="W2322" s="7" t="e">
        <f>IF(VLOOKUP($A2322,'Concrete Beam Schedule'!$A$2:$Q$2902,W$2,0)&lt;&gt;G2322,"Beam Revised","")</f>
        <v>#N/A</v>
      </c>
      <c r="X2322" s="7" t="e">
        <f>IF(VLOOKUP($A2322,'Concrete Beam Schedule'!$A$2:$Q$2902,X$2,0)&lt;&gt;H2322,"Beam Revised","")</f>
        <v>#N/A</v>
      </c>
      <c r="Y2322" s="7" t="e">
        <f>IF(VLOOKUP($A2322,'Concrete Beam Schedule'!$A$2:$Q$2902,Y$2,0)&lt;&gt;I2322,"Beam Revised","")</f>
        <v>#N/A</v>
      </c>
      <c r="Z2322" s="7" t="e">
        <f>IF(VLOOKUP($A2322,'Concrete Beam Schedule'!$A$2:$Q$2902,Z$2,0)&lt;&gt;J2322,"Beam Revised","")</f>
        <v>#N/A</v>
      </c>
      <c r="AA2322" s="7" t="e">
        <f>IF(VLOOKUP($A2322,'Concrete Beam Schedule'!$A$2:$Q$2902,AA$2,0)&lt;&gt;K2322,"Beam Revised","")</f>
        <v>#N/A</v>
      </c>
      <c r="AB2322" s="7" t="e">
        <f>IF(VLOOKUP($A2322,'Concrete Beam Schedule'!$A$2:$Q$2902,AB$2,0)&lt;&gt;L2322,"Beam Revised","")</f>
        <v>#N/A</v>
      </c>
      <c r="AC2322" s="7" t="e">
        <f>IF(VLOOKUP($A2322,'Concrete Beam Schedule'!$A$2:$Q$2902,AC$2,0)&lt;&gt;M2322,"Beam Revised","")</f>
        <v>#N/A</v>
      </c>
      <c r="AD2322" s="7" t="e">
        <f>IF(VLOOKUP($A2322,'Concrete Beam Schedule'!$A$2:$Q$2902,AD$2,0)&lt;&gt;N2322,"Beam Revised","")</f>
        <v>#N/A</v>
      </c>
      <c r="AE2322" s="7" t="e">
        <f>IF(VLOOKUP($A2322,'Concrete Beam Schedule'!$A$2:$Q$2902,AE$2,0)&lt;&gt;O2322,"Beam Revised","")</f>
        <v>#N/A</v>
      </c>
    </row>
    <row r="2323" spans="17:31" ht="20.100000000000001" customHeight="1" x14ac:dyDescent="0.25">
      <c r="Q2323" s="7">
        <f t="shared" si="36"/>
        <v>0</v>
      </c>
      <c r="R2323" s="7" t="e">
        <f>IF(VLOOKUP($A2323,'Concrete Beam Schedule'!$A$2:$Q$2902,R$2,0)&lt;&gt;B2323,VLOOKUP($A2323,'Concrete Beam Schedule'!$A$2:$Q$2902,R$2,0),"")</f>
        <v>#N/A</v>
      </c>
      <c r="S2323" s="7" t="e">
        <f>IF(VLOOKUP($A2323,'Concrete Beam Schedule'!$A$2:$Q$2902,S$2,0)&lt;&gt;C2323,VLOOKUP($A2323,'Concrete Beam Schedule'!$A$2:$Q$2902,S$2,0),"")</f>
        <v>#N/A</v>
      </c>
      <c r="T2323" s="7" t="e">
        <f>IF(VLOOKUP($A2323,'Concrete Beam Schedule'!$A$2:$Q$2902,T$2,0)&lt;&gt;D2323,"Beam Revised","")</f>
        <v>#N/A</v>
      </c>
      <c r="U2323" s="7" t="e">
        <f>IF(VLOOKUP($A2323,'Concrete Beam Schedule'!$A$2:$Q$2902,U$2,0)&lt;&gt;E2323,"Beam Revised","")</f>
        <v>#N/A</v>
      </c>
      <c r="V2323" s="7" t="e">
        <f>IF(VLOOKUP($A2323,'Concrete Beam Schedule'!$A$2:$Q$2902,V$2,0)&lt;&gt;F2323,"Beam Revised","")</f>
        <v>#N/A</v>
      </c>
      <c r="W2323" s="7" t="e">
        <f>IF(VLOOKUP($A2323,'Concrete Beam Schedule'!$A$2:$Q$2902,W$2,0)&lt;&gt;G2323,"Beam Revised","")</f>
        <v>#N/A</v>
      </c>
      <c r="X2323" s="7" t="e">
        <f>IF(VLOOKUP($A2323,'Concrete Beam Schedule'!$A$2:$Q$2902,X$2,0)&lt;&gt;H2323,"Beam Revised","")</f>
        <v>#N/A</v>
      </c>
      <c r="Y2323" s="7" t="e">
        <f>IF(VLOOKUP($A2323,'Concrete Beam Schedule'!$A$2:$Q$2902,Y$2,0)&lt;&gt;I2323,"Beam Revised","")</f>
        <v>#N/A</v>
      </c>
      <c r="Z2323" s="7" t="e">
        <f>IF(VLOOKUP($A2323,'Concrete Beam Schedule'!$A$2:$Q$2902,Z$2,0)&lt;&gt;J2323,"Beam Revised","")</f>
        <v>#N/A</v>
      </c>
      <c r="AA2323" s="7" t="e">
        <f>IF(VLOOKUP($A2323,'Concrete Beam Schedule'!$A$2:$Q$2902,AA$2,0)&lt;&gt;K2323,"Beam Revised","")</f>
        <v>#N/A</v>
      </c>
      <c r="AB2323" s="7" t="e">
        <f>IF(VLOOKUP($A2323,'Concrete Beam Schedule'!$A$2:$Q$2902,AB$2,0)&lt;&gt;L2323,"Beam Revised","")</f>
        <v>#N/A</v>
      </c>
      <c r="AC2323" s="7" t="e">
        <f>IF(VLOOKUP($A2323,'Concrete Beam Schedule'!$A$2:$Q$2902,AC$2,0)&lt;&gt;M2323,"Beam Revised","")</f>
        <v>#N/A</v>
      </c>
      <c r="AD2323" s="7" t="e">
        <f>IF(VLOOKUP($A2323,'Concrete Beam Schedule'!$A$2:$Q$2902,AD$2,0)&lt;&gt;N2323,"Beam Revised","")</f>
        <v>#N/A</v>
      </c>
      <c r="AE2323" s="7" t="e">
        <f>IF(VLOOKUP($A2323,'Concrete Beam Schedule'!$A$2:$Q$2902,AE$2,0)&lt;&gt;O2323,"Beam Revised","")</f>
        <v>#N/A</v>
      </c>
    </row>
    <row r="2324" spans="17:31" ht="20.100000000000001" customHeight="1" x14ac:dyDescent="0.25">
      <c r="Q2324" s="7">
        <f t="shared" si="36"/>
        <v>0</v>
      </c>
      <c r="R2324" s="7" t="e">
        <f>IF(VLOOKUP($A2324,'Concrete Beam Schedule'!$A$2:$Q$2902,R$2,0)&lt;&gt;B2324,VLOOKUP($A2324,'Concrete Beam Schedule'!$A$2:$Q$2902,R$2,0),"")</f>
        <v>#N/A</v>
      </c>
      <c r="S2324" s="7" t="e">
        <f>IF(VLOOKUP($A2324,'Concrete Beam Schedule'!$A$2:$Q$2902,S$2,0)&lt;&gt;C2324,VLOOKUP($A2324,'Concrete Beam Schedule'!$A$2:$Q$2902,S$2,0),"")</f>
        <v>#N/A</v>
      </c>
      <c r="T2324" s="7" t="e">
        <f>IF(VLOOKUP($A2324,'Concrete Beam Schedule'!$A$2:$Q$2902,T$2,0)&lt;&gt;D2324,"Beam Revised","")</f>
        <v>#N/A</v>
      </c>
      <c r="U2324" s="7" t="e">
        <f>IF(VLOOKUP($A2324,'Concrete Beam Schedule'!$A$2:$Q$2902,U$2,0)&lt;&gt;E2324,"Beam Revised","")</f>
        <v>#N/A</v>
      </c>
      <c r="V2324" s="7" t="e">
        <f>IF(VLOOKUP($A2324,'Concrete Beam Schedule'!$A$2:$Q$2902,V$2,0)&lt;&gt;F2324,"Beam Revised","")</f>
        <v>#N/A</v>
      </c>
      <c r="W2324" s="7" t="e">
        <f>IF(VLOOKUP($A2324,'Concrete Beam Schedule'!$A$2:$Q$2902,W$2,0)&lt;&gt;G2324,"Beam Revised","")</f>
        <v>#N/A</v>
      </c>
      <c r="X2324" s="7" t="e">
        <f>IF(VLOOKUP($A2324,'Concrete Beam Schedule'!$A$2:$Q$2902,X$2,0)&lt;&gt;H2324,"Beam Revised","")</f>
        <v>#N/A</v>
      </c>
      <c r="Y2324" s="7" t="e">
        <f>IF(VLOOKUP($A2324,'Concrete Beam Schedule'!$A$2:$Q$2902,Y$2,0)&lt;&gt;I2324,"Beam Revised","")</f>
        <v>#N/A</v>
      </c>
      <c r="Z2324" s="7" t="e">
        <f>IF(VLOOKUP($A2324,'Concrete Beam Schedule'!$A$2:$Q$2902,Z$2,0)&lt;&gt;J2324,"Beam Revised","")</f>
        <v>#N/A</v>
      </c>
      <c r="AA2324" s="7" t="e">
        <f>IF(VLOOKUP($A2324,'Concrete Beam Schedule'!$A$2:$Q$2902,AA$2,0)&lt;&gt;K2324,"Beam Revised","")</f>
        <v>#N/A</v>
      </c>
      <c r="AB2324" s="7" t="e">
        <f>IF(VLOOKUP($A2324,'Concrete Beam Schedule'!$A$2:$Q$2902,AB$2,0)&lt;&gt;L2324,"Beam Revised","")</f>
        <v>#N/A</v>
      </c>
      <c r="AC2324" s="7" t="e">
        <f>IF(VLOOKUP($A2324,'Concrete Beam Schedule'!$A$2:$Q$2902,AC$2,0)&lt;&gt;M2324,"Beam Revised","")</f>
        <v>#N/A</v>
      </c>
      <c r="AD2324" s="7" t="e">
        <f>IF(VLOOKUP($A2324,'Concrete Beam Schedule'!$A$2:$Q$2902,AD$2,0)&lt;&gt;N2324,"Beam Revised","")</f>
        <v>#N/A</v>
      </c>
      <c r="AE2324" s="7" t="e">
        <f>IF(VLOOKUP($A2324,'Concrete Beam Schedule'!$A$2:$Q$2902,AE$2,0)&lt;&gt;O2324,"Beam Revised","")</f>
        <v>#N/A</v>
      </c>
    </row>
    <row r="2325" spans="17:31" ht="20.100000000000001" customHeight="1" x14ac:dyDescent="0.25">
      <c r="Q2325" s="7">
        <f t="shared" si="36"/>
        <v>0</v>
      </c>
      <c r="R2325" s="7" t="e">
        <f>IF(VLOOKUP($A2325,'Concrete Beam Schedule'!$A$2:$Q$2902,R$2,0)&lt;&gt;B2325,VLOOKUP($A2325,'Concrete Beam Schedule'!$A$2:$Q$2902,R$2,0),"")</f>
        <v>#N/A</v>
      </c>
      <c r="S2325" s="7" t="e">
        <f>IF(VLOOKUP($A2325,'Concrete Beam Schedule'!$A$2:$Q$2902,S$2,0)&lt;&gt;C2325,VLOOKUP($A2325,'Concrete Beam Schedule'!$A$2:$Q$2902,S$2,0),"")</f>
        <v>#N/A</v>
      </c>
      <c r="T2325" s="7" t="e">
        <f>IF(VLOOKUP($A2325,'Concrete Beam Schedule'!$A$2:$Q$2902,T$2,0)&lt;&gt;D2325,"Beam Revised","")</f>
        <v>#N/A</v>
      </c>
      <c r="U2325" s="7" t="e">
        <f>IF(VLOOKUP($A2325,'Concrete Beam Schedule'!$A$2:$Q$2902,U$2,0)&lt;&gt;E2325,"Beam Revised","")</f>
        <v>#N/A</v>
      </c>
      <c r="V2325" s="7" t="e">
        <f>IF(VLOOKUP($A2325,'Concrete Beam Schedule'!$A$2:$Q$2902,V$2,0)&lt;&gt;F2325,"Beam Revised","")</f>
        <v>#N/A</v>
      </c>
      <c r="W2325" s="7" t="e">
        <f>IF(VLOOKUP($A2325,'Concrete Beam Schedule'!$A$2:$Q$2902,W$2,0)&lt;&gt;G2325,"Beam Revised","")</f>
        <v>#N/A</v>
      </c>
      <c r="X2325" s="7" t="e">
        <f>IF(VLOOKUP($A2325,'Concrete Beam Schedule'!$A$2:$Q$2902,X$2,0)&lt;&gt;H2325,"Beam Revised","")</f>
        <v>#N/A</v>
      </c>
      <c r="Y2325" s="7" t="e">
        <f>IF(VLOOKUP($A2325,'Concrete Beam Schedule'!$A$2:$Q$2902,Y$2,0)&lt;&gt;I2325,"Beam Revised","")</f>
        <v>#N/A</v>
      </c>
      <c r="Z2325" s="7" t="e">
        <f>IF(VLOOKUP($A2325,'Concrete Beam Schedule'!$A$2:$Q$2902,Z$2,0)&lt;&gt;J2325,"Beam Revised","")</f>
        <v>#N/A</v>
      </c>
      <c r="AA2325" s="7" t="e">
        <f>IF(VLOOKUP($A2325,'Concrete Beam Schedule'!$A$2:$Q$2902,AA$2,0)&lt;&gt;K2325,"Beam Revised","")</f>
        <v>#N/A</v>
      </c>
      <c r="AB2325" s="7" t="e">
        <f>IF(VLOOKUP($A2325,'Concrete Beam Schedule'!$A$2:$Q$2902,AB$2,0)&lt;&gt;L2325,"Beam Revised","")</f>
        <v>#N/A</v>
      </c>
      <c r="AC2325" s="7" t="e">
        <f>IF(VLOOKUP($A2325,'Concrete Beam Schedule'!$A$2:$Q$2902,AC$2,0)&lt;&gt;M2325,"Beam Revised","")</f>
        <v>#N/A</v>
      </c>
      <c r="AD2325" s="7" t="e">
        <f>IF(VLOOKUP($A2325,'Concrete Beam Schedule'!$A$2:$Q$2902,AD$2,0)&lt;&gt;N2325,"Beam Revised","")</f>
        <v>#N/A</v>
      </c>
      <c r="AE2325" s="7" t="e">
        <f>IF(VLOOKUP($A2325,'Concrete Beam Schedule'!$A$2:$Q$2902,AE$2,0)&lt;&gt;O2325,"Beam Revised","")</f>
        <v>#N/A</v>
      </c>
    </row>
    <row r="2326" spans="17:31" ht="20.100000000000001" customHeight="1" x14ac:dyDescent="0.25">
      <c r="Q2326" s="7">
        <f t="shared" si="36"/>
        <v>0</v>
      </c>
      <c r="R2326" s="7" t="e">
        <f>IF(VLOOKUP($A2326,'Concrete Beam Schedule'!$A$2:$Q$2902,R$2,0)&lt;&gt;B2326,VLOOKUP($A2326,'Concrete Beam Schedule'!$A$2:$Q$2902,R$2,0),"")</f>
        <v>#N/A</v>
      </c>
      <c r="S2326" s="7" t="e">
        <f>IF(VLOOKUP($A2326,'Concrete Beam Schedule'!$A$2:$Q$2902,S$2,0)&lt;&gt;C2326,VLOOKUP($A2326,'Concrete Beam Schedule'!$A$2:$Q$2902,S$2,0),"")</f>
        <v>#N/A</v>
      </c>
      <c r="T2326" s="7" t="e">
        <f>IF(VLOOKUP($A2326,'Concrete Beam Schedule'!$A$2:$Q$2902,T$2,0)&lt;&gt;D2326,"Beam Revised","")</f>
        <v>#N/A</v>
      </c>
      <c r="U2326" s="7" t="e">
        <f>IF(VLOOKUP($A2326,'Concrete Beam Schedule'!$A$2:$Q$2902,U$2,0)&lt;&gt;E2326,"Beam Revised","")</f>
        <v>#N/A</v>
      </c>
      <c r="V2326" s="7" t="e">
        <f>IF(VLOOKUP($A2326,'Concrete Beam Schedule'!$A$2:$Q$2902,V$2,0)&lt;&gt;F2326,"Beam Revised","")</f>
        <v>#N/A</v>
      </c>
      <c r="W2326" s="7" t="e">
        <f>IF(VLOOKUP($A2326,'Concrete Beam Schedule'!$A$2:$Q$2902,W$2,0)&lt;&gt;G2326,"Beam Revised","")</f>
        <v>#N/A</v>
      </c>
      <c r="X2326" s="7" t="e">
        <f>IF(VLOOKUP($A2326,'Concrete Beam Schedule'!$A$2:$Q$2902,X$2,0)&lt;&gt;H2326,"Beam Revised","")</f>
        <v>#N/A</v>
      </c>
      <c r="Y2326" s="7" t="e">
        <f>IF(VLOOKUP($A2326,'Concrete Beam Schedule'!$A$2:$Q$2902,Y$2,0)&lt;&gt;I2326,"Beam Revised","")</f>
        <v>#N/A</v>
      </c>
      <c r="Z2326" s="7" t="e">
        <f>IF(VLOOKUP($A2326,'Concrete Beam Schedule'!$A$2:$Q$2902,Z$2,0)&lt;&gt;J2326,"Beam Revised","")</f>
        <v>#N/A</v>
      </c>
      <c r="AA2326" s="7" t="e">
        <f>IF(VLOOKUP($A2326,'Concrete Beam Schedule'!$A$2:$Q$2902,AA$2,0)&lt;&gt;K2326,"Beam Revised","")</f>
        <v>#N/A</v>
      </c>
      <c r="AB2326" s="7" t="e">
        <f>IF(VLOOKUP($A2326,'Concrete Beam Schedule'!$A$2:$Q$2902,AB$2,0)&lt;&gt;L2326,"Beam Revised","")</f>
        <v>#N/A</v>
      </c>
      <c r="AC2326" s="7" t="e">
        <f>IF(VLOOKUP($A2326,'Concrete Beam Schedule'!$A$2:$Q$2902,AC$2,0)&lt;&gt;M2326,"Beam Revised","")</f>
        <v>#N/A</v>
      </c>
      <c r="AD2326" s="7" t="e">
        <f>IF(VLOOKUP($A2326,'Concrete Beam Schedule'!$A$2:$Q$2902,AD$2,0)&lt;&gt;N2326,"Beam Revised","")</f>
        <v>#N/A</v>
      </c>
      <c r="AE2326" s="7" t="e">
        <f>IF(VLOOKUP($A2326,'Concrete Beam Schedule'!$A$2:$Q$2902,AE$2,0)&lt;&gt;O2326,"Beam Revised","")</f>
        <v>#N/A</v>
      </c>
    </row>
    <row r="2327" spans="17:31" ht="20.100000000000001" customHeight="1" x14ac:dyDescent="0.25">
      <c r="Q2327" s="7">
        <f t="shared" si="36"/>
        <v>0</v>
      </c>
      <c r="R2327" s="7" t="e">
        <f>IF(VLOOKUP($A2327,'Concrete Beam Schedule'!$A$2:$Q$2902,R$2,0)&lt;&gt;B2327,VLOOKUP($A2327,'Concrete Beam Schedule'!$A$2:$Q$2902,R$2,0),"")</f>
        <v>#N/A</v>
      </c>
      <c r="S2327" s="7" t="e">
        <f>IF(VLOOKUP($A2327,'Concrete Beam Schedule'!$A$2:$Q$2902,S$2,0)&lt;&gt;C2327,VLOOKUP($A2327,'Concrete Beam Schedule'!$A$2:$Q$2902,S$2,0),"")</f>
        <v>#N/A</v>
      </c>
      <c r="T2327" s="7" t="e">
        <f>IF(VLOOKUP($A2327,'Concrete Beam Schedule'!$A$2:$Q$2902,T$2,0)&lt;&gt;D2327,"Beam Revised","")</f>
        <v>#N/A</v>
      </c>
      <c r="U2327" s="7" t="e">
        <f>IF(VLOOKUP($A2327,'Concrete Beam Schedule'!$A$2:$Q$2902,U$2,0)&lt;&gt;E2327,"Beam Revised","")</f>
        <v>#N/A</v>
      </c>
      <c r="V2327" s="7" t="e">
        <f>IF(VLOOKUP($A2327,'Concrete Beam Schedule'!$A$2:$Q$2902,V$2,0)&lt;&gt;F2327,"Beam Revised","")</f>
        <v>#N/A</v>
      </c>
      <c r="W2327" s="7" t="e">
        <f>IF(VLOOKUP($A2327,'Concrete Beam Schedule'!$A$2:$Q$2902,W$2,0)&lt;&gt;G2327,"Beam Revised","")</f>
        <v>#N/A</v>
      </c>
      <c r="X2327" s="7" t="e">
        <f>IF(VLOOKUP($A2327,'Concrete Beam Schedule'!$A$2:$Q$2902,X$2,0)&lt;&gt;H2327,"Beam Revised","")</f>
        <v>#N/A</v>
      </c>
      <c r="Y2327" s="7" t="e">
        <f>IF(VLOOKUP($A2327,'Concrete Beam Schedule'!$A$2:$Q$2902,Y$2,0)&lt;&gt;I2327,"Beam Revised","")</f>
        <v>#N/A</v>
      </c>
      <c r="Z2327" s="7" t="e">
        <f>IF(VLOOKUP($A2327,'Concrete Beam Schedule'!$A$2:$Q$2902,Z$2,0)&lt;&gt;J2327,"Beam Revised","")</f>
        <v>#N/A</v>
      </c>
      <c r="AA2327" s="7" t="e">
        <f>IF(VLOOKUP($A2327,'Concrete Beam Schedule'!$A$2:$Q$2902,AA$2,0)&lt;&gt;K2327,"Beam Revised","")</f>
        <v>#N/A</v>
      </c>
      <c r="AB2327" s="7" t="e">
        <f>IF(VLOOKUP($A2327,'Concrete Beam Schedule'!$A$2:$Q$2902,AB$2,0)&lt;&gt;L2327,"Beam Revised","")</f>
        <v>#N/A</v>
      </c>
      <c r="AC2327" s="7" t="e">
        <f>IF(VLOOKUP($A2327,'Concrete Beam Schedule'!$A$2:$Q$2902,AC$2,0)&lt;&gt;M2327,"Beam Revised","")</f>
        <v>#N/A</v>
      </c>
      <c r="AD2327" s="7" t="e">
        <f>IF(VLOOKUP($A2327,'Concrete Beam Schedule'!$A$2:$Q$2902,AD$2,0)&lt;&gt;N2327,"Beam Revised","")</f>
        <v>#N/A</v>
      </c>
      <c r="AE2327" s="7" t="e">
        <f>IF(VLOOKUP($A2327,'Concrete Beam Schedule'!$A$2:$Q$2902,AE$2,0)&lt;&gt;O2327,"Beam Revised","")</f>
        <v>#N/A</v>
      </c>
    </row>
    <row r="2328" spans="17:31" ht="20.100000000000001" customHeight="1" x14ac:dyDescent="0.25">
      <c r="Q2328" s="7">
        <f t="shared" si="36"/>
        <v>0</v>
      </c>
      <c r="R2328" s="7" t="e">
        <f>IF(VLOOKUP($A2328,'Concrete Beam Schedule'!$A$2:$Q$2902,R$2,0)&lt;&gt;B2328,VLOOKUP($A2328,'Concrete Beam Schedule'!$A$2:$Q$2902,R$2,0),"")</f>
        <v>#N/A</v>
      </c>
      <c r="S2328" s="7" t="e">
        <f>IF(VLOOKUP($A2328,'Concrete Beam Schedule'!$A$2:$Q$2902,S$2,0)&lt;&gt;C2328,VLOOKUP($A2328,'Concrete Beam Schedule'!$A$2:$Q$2902,S$2,0),"")</f>
        <v>#N/A</v>
      </c>
      <c r="T2328" s="7" t="e">
        <f>IF(VLOOKUP($A2328,'Concrete Beam Schedule'!$A$2:$Q$2902,T$2,0)&lt;&gt;D2328,"Beam Revised","")</f>
        <v>#N/A</v>
      </c>
      <c r="U2328" s="7" t="e">
        <f>IF(VLOOKUP($A2328,'Concrete Beam Schedule'!$A$2:$Q$2902,U$2,0)&lt;&gt;E2328,"Beam Revised","")</f>
        <v>#N/A</v>
      </c>
      <c r="V2328" s="7" t="e">
        <f>IF(VLOOKUP($A2328,'Concrete Beam Schedule'!$A$2:$Q$2902,V$2,0)&lt;&gt;F2328,"Beam Revised","")</f>
        <v>#N/A</v>
      </c>
      <c r="W2328" s="7" t="e">
        <f>IF(VLOOKUP($A2328,'Concrete Beam Schedule'!$A$2:$Q$2902,W$2,0)&lt;&gt;G2328,"Beam Revised","")</f>
        <v>#N/A</v>
      </c>
      <c r="X2328" s="7" t="e">
        <f>IF(VLOOKUP($A2328,'Concrete Beam Schedule'!$A$2:$Q$2902,X$2,0)&lt;&gt;H2328,"Beam Revised","")</f>
        <v>#N/A</v>
      </c>
      <c r="Y2328" s="7" t="e">
        <f>IF(VLOOKUP($A2328,'Concrete Beam Schedule'!$A$2:$Q$2902,Y$2,0)&lt;&gt;I2328,"Beam Revised","")</f>
        <v>#N/A</v>
      </c>
      <c r="Z2328" s="7" t="e">
        <f>IF(VLOOKUP($A2328,'Concrete Beam Schedule'!$A$2:$Q$2902,Z$2,0)&lt;&gt;J2328,"Beam Revised","")</f>
        <v>#N/A</v>
      </c>
      <c r="AA2328" s="7" t="e">
        <f>IF(VLOOKUP($A2328,'Concrete Beam Schedule'!$A$2:$Q$2902,AA$2,0)&lt;&gt;K2328,"Beam Revised","")</f>
        <v>#N/A</v>
      </c>
      <c r="AB2328" s="7" t="e">
        <f>IF(VLOOKUP($A2328,'Concrete Beam Schedule'!$A$2:$Q$2902,AB$2,0)&lt;&gt;L2328,"Beam Revised","")</f>
        <v>#N/A</v>
      </c>
      <c r="AC2328" s="7" t="e">
        <f>IF(VLOOKUP($A2328,'Concrete Beam Schedule'!$A$2:$Q$2902,AC$2,0)&lt;&gt;M2328,"Beam Revised","")</f>
        <v>#N/A</v>
      </c>
      <c r="AD2328" s="7" t="e">
        <f>IF(VLOOKUP($A2328,'Concrete Beam Schedule'!$A$2:$Q$2902,AD$2,0)&lt;&gt;N2328,"Beam Revised","")</f>
        <v>#N/A</v>
      </c>
      <c r="AE2328" s="7" t="e">
        <f>IF(VLOOKUP($A2328,'Concrete Beam Schedule'!$A$2:$Q$2902,AE$2,0)&lt;&gt;O2328,"Beam Revised","")</f>
        <v>#N/A</v>
      </c>
    </row>
    <row r="2329" spans="17:31" ht="20.100000000000001" customHeight="1" x14ac:dyDescent="0.25">
      <c r="Q2329" s="7">
        <f t="shared" si="36"/>
        <v>0</v>
      </c>
      <c r="R2329" s="7" t="e">
        <f>IF(VLOOKUP($A2329,'Concrete Beam Schedule'!$A$2:$Q$2902,R$2,0)&lt;&gt;B2329,VLOOKUP($A2329,'Concrete Beam Schedule'!$A$2:$Q$2902,R$2,0),"")</f>
        <v>#N/A</v>
      </c>
      <c r="S2329" s="7" t="e">
        <f>IF(VLOOKUP($A2329,'Concrete Beam Schedule'!$A$2:$Q$2902,S$2,0)&lt;&gt;C2329,VLOOKUP($A2329,'Concrete Beam Schedule'!$A$2:$Q$2902,S$2,0),"")</f>
        <v>#N/A</v>
      </c>
      <c r="T2329" s="7" t="e">
        <f>IF(VLOOKUP($A2329,'Concrete Beam Schedule'!$A$2:$Q$2902,T$2,0)&lt;&gt;D2329,"Beam Revised","")</f>
        <v>#N/A</v>
      </c>
      <c r="U2329" s="7" t="e">
        <f>IF(VLOOKUP($A2329,'Concrete Beam Schedule'!$A$2:$Q$2902,U$2,0)&lt;&gt;E2329,"Beam Revised","")</f>
        <v>#N/A</v>
      </c>
      <c r="V2329" s="7" t="e">
        <f>IF(VLOOKUP($A2329,'Concrete Beam Schedule'!$A$2:$Q$2902,V$2,0)&lt;&gt;F2329,"Beam Revised","")</f>
        <v>#N/A</v>
      </c>
      <c r="W2329" s="7" t="e">
        <f>IF(VLOOKUP($A2329,'Concrete Beam Schedule'!$A$2:$Q$2902,W$2,0)&lt;&gt;G2329,"Beam Revised","")</f>
        <v>#N/A</v>
      </c>
      <c r="X2329" s="7" t="e">
        <f>IF(VLOOKUP($A2329,'Concrete Beam Schedule'!$A$2:$Q$2902,X$2,0)&lt;&gt;H2329,"Beam Revised","")</f>
        <v>#N/A</v>
      </c>
      <c r="Y2329" s="7" t="e">
        <f>IF(VLOOKUP($A2329,'Concrete Beam Schedule'!$A$2:$Q$2902,Y$2,0)&lt;&gt;I2329,"Beam Revised","")</f>
        <v>#N/A</v>
      </c>
      <c r="Z2329" s="7" t="e">
        <f>IF(VLOOKUP($A2329,'Concrete Beam Schedule'!$A$2:$Q$2902,Z$2,0)&lt;&gt;J2329,"Beam Revised","")</f>
        <v>#N/A</v>
      </c>
      <c r="AA2329" s="7" t="e">
        <f>IF(VLOOKUP($A2329,'Concrete Beam Schedule'!$A$2:$Q$2902,AA$2,0)&lt;&gt;K2329,"Beam Revised","")</f>
        <v>#N/A</v>
      </c>
      <c r="AB2329" s="7" t="e">
        <f>IF(VLOOKUP($A2329,'Concrete Beam Schedule'!$A$2:$Q$2902,AB$2,0)&lt;&gt;L2329,"Beam Revised","")</f>
        <v>#N/A</v>
      </c>
      <c r="AC2329" s="7" t="e">
        <f>IF(VLOOKUP($A2329,'Concrete Beam Schedule'!$A$2:$Q$2902,AC$2,0)&lt;&gt;M2329,"Beam Revised","")</f>
        <v>#N/A</v>
      </c>
      <c r="AD2329" s="7" t="e">
        <f>IF(VLOOKUP($A2329,'Concrete Beam Schedule'!$A$2:$Q$2902,AD$2,0)&lt;&gt;N2329,"Beam Revised","")</f>
        <v>#N/A</v>
      </c>
      <c r="AE2329" s="7" t="e">
        <f>IF(VLOOKUP($A2329,'Concrete Beam Schedule'!$A$2:$Q$2902,AE$2,0)&lt;&gt;O2329,"Beam Revised","")</f>
        <v>#N/A</v>
      </c>
    </row>
    <row r="2330" spans="17:31" ht="20.100000000000001" customHeight="1" x14ac:dyDescent="0.25">
      <c r="Q2330" s="7">
        <f t="shared" si="36"/>
        <v>0</v>
      </c>
      <c r="R2330" s="7" t="e">
        <f>IF(VLOOKUP($A2330,'Concrete Beam Schedule'!$A$2:$Q$2902,R$2,0)&lt;&gt;B2330,VLOOKUP($A2330,'Concrete Beam Schedule'!$A$2:$Q$2902,R$2,0),"")</f>
        <v>#N/A</v>
      </c>
      <c r="S2330" s="7" t="e">
        <f>IF(VLOOKUP($A2330,'Concrete Beam Schedule'!$A$2:$Q$2902,S$2,0)&lt;&gt;C2330,VLOOKUP($A2330,'Concrete Beam Schedule'!$A$2:$Q$2902,S$2,0),"")</f>
        <v>#N/A</v>
      </c>
      <c r="T2330" s="7" t="e">
        <f>IF(VLOOKUP($A2330,'Concrete Beam Schedule'!$A$2:$Q$2902,T$2,0)&lt;&gt;D2330,"Beam Revised","")</f>
        <v>#N/A</v>
      </c>
      <c r="U2330" s="7" t="e">
        <f>IF(VLOOKUP($A2330,'Concrete Beam Schedule'!$A$2:$Q$2902,U$2,0)&lt;&gt;E2330,"Beam Revised","")</f>
        <v>#N/A</v>
      </c>
      <c r="V2330" s="7" t="e">
        <f>IF(VLOOKUP($A2330,'Concrete Beam Schedule'!$A$2:$Q$2902,V$2,0)&lt;&gt;F2330,"Beam Revised","")</f>
        <v>#N/A</v>
      </c>
      <c r="W2330" s="7" t="e">
        <f>IF(VLOOKUP($A2330,'Concrete Beam Schedule'!$A$2:$Q$2902,W$2,0)&lt;&gt;G2330,"Beam Revised","")</f>
        <v>#N/A</v>
      </c>
      <c r="X2330" s="7" t="e">
        <f>IF(VLOOKUP($A2330,'Concrete Beam Schedule'!$A$2:$Q$2902,X$2,0)&lt;&gt;H2330,"Beam Revised","")</f>
        <v>#N/A</v>
      </c>
      <c r="Y2330" s="7" t="e">
        <f>IF(VLOOKUP($A2330,'Concrete Beam Schedule'!$A$2:$Q$2902,Y$2,0)&lt;&gt;I2330,"Beam Revised","")</f>
        <v>#N/A</v>
      </c>
      <c r="Z2330" s="7" t="e">
        <f>IF(VLOOKUP($A2330,'Concrete Beam Schedule'!$A$2:$Q$2902,Z$2,0)&lt;&gt;J2330,"Beam Revised","")</f>
        <v>#N/A</v>
      </c>
      <c r="AA2330" s="7" t="e">
        <f>IF(VLOOKUP($A2330,'Concrete Beam Schedule'!$A$2:$Q$2902,AA$2,0)&lt;&gt;K2330,"Beam Revised","")</f>
        <v>#N/A</v>
      </c>
      <c r="AB2330" s="7" t="e">
        <f>IF(VLOOKUP($A2330,'Concrete Beam Schedule'!$A$2:$Q$2902,AB$2,0)&lt;&gt;L2330,"Beam Revised","")</f>
        <v>#N/A</v>
      </c>
      <c r="AC2330" s="7" t="e">
        <f>IF(VLOOKUP($A2330,'Concrete Beam Schedule'!$A$2:$Q$2902,AC$2,0)&lt;&gt;M2330,"Beam Revised","")</f>
        <v>#N/A</v>
      </c>
      <c r="AD2330" s="7" t="e">
        <f>IF(VLOOKUP($A2330,'Concrete Beam Schedule'!$A$2:$Q$2902,AD$2,0)&lt;&gt;N2330,"Beam Revised","")</f>
        <v>#N/A</v>
      </c>
      <c r="AE2330" s="7" t="e">
        <f>IF(VLOOKUP($A2330,'Concrete Beam Schedule'!$A$2:$Q$2902,AE$2,0)&lt;&gt;O2330,"Beam Revised","")</f>
        <v>#N/A</v>
      </c>
    </row>
    <row r="2331" spans="17:31" ht="20.100000000000001" customHeight="1" x14ac:dyDescent="0.25">
      <c r="Q2331" s="7">
        <f t="shared" si="36"/>
        <v>0</v>
      </c>
      <c r="R2331" s="7" t="e">
        <f>IF(VLOOKUP($A2331,'Concrete Beam Schedule'!$A$2:$Q$2902,R$2,0)&lt;&gt;B2331,VLOOKUP($A2331,'Concrete Beam Schedule'!$A$2:$Q$2902,R$2,0),"")</f>
        <v>#N/A</v>
      </c>
      <c r="S2331" s="7" t="e">
        <f>IF(VLOOKUP($A2331,'Concrete Beam Schedule'!$A$2:$Q$2902,S$2,0)&lt;&gt;C2331,VLOOKUP($A2331,'Concrete Beam Schedule'!$A$2:$Q$2902,S$2,0),"")</f>
        <v>#N/A</v>
      </c>
      <c r="T2331" s="7" t="e">
        <f>IF(VLOOKUP($A2331,'Concrete Beam Schedule'!$A$2:$Q$2902,T$2,0)&lt;&gt;D2331,"Beam Revised","")</f>
        <v>#N/A</v>
      </c>
      <c r="U2331" s="7" t="e">
        <f>IF(VLOOKUP($A2331,'Concrete Beam Schedule'!$A$2:$Q$2902,U$2,0)&lt;&gt;E2331,"Beam Revised","")</f>
        <v>#N/A</v>
      </c>
      <c r="V2331" s="7" t="e">
        <f>IF(VLOOKUP($A2331,'Concrete Beam Schedule'!$A$2:$Q$2902,V$2,0)&lt;&gt;F2331,"Beam Revised","")</f>
        <v>#N/A</v>
      </c>
      <c r="W2331" s="7" t="e">
        <f>IF(VLOOKUP($A2331,'Concrete Beam Schedule'!$A$2:$Q$2902,W$2,0)&lt;&gt;G2331,"Beam Revised","")</f>
        <v>#N/A</v>
      </c>
      <c r="X2331" s="7" t="e">
        <f>IF(VLOOKUP($A2331,'Concrete Beam Schedule'!$A$2:$Q$2902,X$2,0)&lt;&gt;H2331,"Beam Revised","")</f>
        <v>#N/A</v>
      </c>
      <c r="Y2331" s="7" t="e">
        <f>IF(VLOOKUP($A2331,'Concrete Beam Schedule'!$A$2:$Q$2902,Y$2,0)&lt;&gt;I2331,"Beam Revised","")</f>
        <v>#N/A</v>
      </c>
      <c r="Z2331" s="7" t="e">
        <f>IF(VLOOKUP($A2331,'Concrete Beam Schedule'!$A$2:$Q$2902,Z$2,0)&lt;&gt;J2331,"Beam Revised","")</f>
        <v>#N/A</v>
      </c>
      <c r="AA2331" s="7" t="e">
        <f>IF(VLOOKUP($A2331,'Concrete Beam Schedule'!$A$2:$Q$2902,AA$2,0)&lt;&gt;K2331,"Beam Revised","")</f>
        <v>#N/A</v>
      </c>
      <c r="AB2331" s="7" t="e">
        <f>IF(VLOOKUP($A2331,'Concrete Beam Schedule'!$A$2:$Q$2902,AB$2,0)&lt;&gt;L2331,"Beam Revised","")</f>
        <v>#N/A</v>
      </c>
      <c r="AC2331" s="7" t="e">
        <f>IF(VLOOKUP($A2331,'Concrete Beam Schedule'!$A$2:$Q$2902,AC$2,0)&lt;&gt;M2331,"Beam Revised","")</f>
        <v>#N/A</v>
      </c>
      <c r="AD2331" s="7" t="e">
        <f>IF(VLOOKUP($A2331,'Concrete Beam Schedule'!$A$2:$Q$2902,AD$2,0)&lt;&gt;N2331,"Beam Revised","")</f>
        <v>#N/A</v>
      </c>
      <c r="AE2331" s="7" t="e">
        <f>IF(VLOOKUP($A2331,'Concrete Beam Schedule'!$A$2:$Q$2902,AE$2,0)&lt;&gt;O2331,"Beam Revised","")</f>
        <v>#N/A</v>
      </c>
    </row>
    <row r="2332" spans="17:31" ht="20.100000000000001" customHeight="1" x14ac:dyDescent="0.25">
      <c r="Q2332" s="7">
        <f t="shared" si="36"/>
        <v>0</v>
      </c>
      <c r="R2332" s="7" t="e">
        <f>IF(VLOOKUP($A2332,'Concrete Beam Schedule'!$A$2:$Q$2902,R$2,0)&lt;&gt;B2332,VLOOKUP($A2332,'Concrete Beam Schedule'!$A$2:$Q$2902,R$2,0),"")</f>
        <v>#N/A</v>
      </c>
      <c r="S2332" s="7" t="e">
        <f>IF(VLOOKUP($A2332,'Concrete Beam Schedule'!$A$2:$Q$2902,S$2,0)&lt;&gt;C2332,VLOOKUP($A2332,'Concrete Beam Schedule'!$A$2:$Q$2902,S$2,0),"")</f>
        <v>#N/A</v>
      </c>
      <c r="T2332" s="7" t="e">
        <f>IF(VLOOKUP($A2332,'Concrete Beam Schedule'!$A$2:$Q$2902,T$2,0)&lt;&gt;D2332,"Beam Revised","")</f>
        <v>#N/A</v>
      </c>
      <c r="U2332" s="7" t="e">
        <f>IF(VLOOKUP($A2332,'Concrete Beam Schedule'!$A$2:$Q$2902,U$2,0)&lt;&gt;E2332,"Beam Revised","")</f>
        <v>#N/A</v>
      </c>
      <c r="V2332" s="7" t="e">
        <f>IF(VLOOKUP($A2332,'Concrete Beam Schedule'!$A$2:$Q$2902,V$2,0)&lt;&gt;F2332,"Beam Revised","")</f>
        <v>#N/A</v>
      </c>
      <c r="W2332" s="7" t="e">
        <f>IF(VLOOKUP($A2332,'Concrete Beam Schedule'!$A$2:$Q$2902,W$2,0)&lt;&gt;G2332,"Beam Revised","")</f>
        <v>#N/A</v>
      </c>
      <c r="X2332" s="7" t="e">
        <f>IF(VLOOKUP($A2332,'Concrete Beam Schedule'!$A$2:$Q$2902,X$2,0)&lt;&gt;H2332,"Beam Revised","")</f>
        <v>#N/A</v>
      </c>
      <c r="Y2332" s="7" t="e">
        <f>IF(VLOOKUP($A2332,'Concrete Beam Schedule'!$A$2:$Q$2902,Y$2,0)&lt;&gt;I2332,"Beam Revised","")</f>
        <v>#N/A</v>
      </c>
      <c r="Z2332" s="7" t="e">
        <f>IF(VLOOKUP($A2332,'Concrete Beam Schedule'!$A$2:$Q$2902,Z$2,0)&lt;&gt;J2332,"Beam Revised","")</f>
        <v>#N/A</v>
      </c>
      <c r="AA2332" s="7" t="e">
        <f>IF(VLOOKUP($A2332,'Concrete Beam Schedule'!$A$2:$Q$2902,AA$2,0)&lt;&gt;K2332,"Beam Revised","")</f>
        <v>#N/A</v>
      </c>
      <c r="AB2332" s="7" t="e">
        <f>IF(VLOOKUP($A2332,'Concrete Beam Schedule'!$A$2:$Q$2902,AB$2,0)&lt;&gt;L2332,"Beam Revised","")</f>
        <v>#N/A</v>
      </c>
      <c r="AC2332" s="7" t="e">
        <f>IF(VLOOKUP($A2332,'Concrete Beam Schedule'!$A$2:$Q$2902,AC$2,0)&lt;&gt;M2332,"Beam Revised","")</f>
        <v>#N/A</v>
      </c>
      <c r="AD2332" s="7" t="e">
        <f>IF(VLOOKUP($A2332,'Concrete Beam Schedule'!$A$2:$Q$2902,AD$2,0)&lt;&gt;N2332,"Beam Revised","")</f>
        <v>#N/A</v>
      </c>
      <c r="AE2332" s="7" t="e">
        <f>IF(VLOOKUP($A2332,'Concrete Beam Schedule'!$A$2:$Q$2902,AE$2,0)&lt;&gt;O2332,"Beam Revised","")</f>
        <v>#N/A</v>
      </c>
    </row>
    <row r="2333" spans="17:31" ht="20.100000000000001" customHeight="1" x14ac:dyDescent="0.25">
      <c r="Q2333" s="7">
        <f t="shared" si="36"/>
        <v>0</v>
      </c>
      <c r="R2333" s="7" t="e">
        <f>IF(VLOOKUP($A2333,'Concrete Beam Schedule'!$A$2:$Q$2902,R$2,0)&lt;&gt;B2333,VLOOKUP($A2333,'Concrete Beam Schedule'!$A$2:$Q$2902,R$2,0),"")</f>
        <v>#N/A</v>
      </c>
      <c r="S2333" s="7" t="e">
        <f>IF(VLOOKUP($A2333,'Concrete Beam Schedule'!$A$2:$Q$2902,S$2,0)&lt;&gt;C2333,VLOOKUP($A2333,'Concrete Beam Schedule'!$A$2:$Q$2902,S$2,0),"")</f>
        <v>#N/A</v>
      </c>
      <c r="T2333" s="7" t="e">
        <f>IF(VLOOKUP($A2333,'Concrete Beam Schedule'!$A$2:$Q$2902,T$2,0)&lt;&gt;D2333,"Beam Revised","")</f>
        <v>#N/A</v>
      </c>
      <c r="U2333" s="7" t="e">
        <f>IF(VLOOKUP($A2333,'Concrete Beam Schedule'!$A$2:$Q$2902,U$2,0)&lt;&gt;E2333,"Beam Revised","")</f>
        <v>#N/A</v>
      </c>
      <c r="V2333" s="7" t="e">
        <f>IF(VLOOKUP($A2333,'Concrete Beam Schedule'!$A$2:$Q$2902,V$2,0)&lt;&gt;F2333,"Beam Revised","")</f>
        <v>#N/A</v>
      </c>
      <c r="W2333" s="7" t="e">
        <f>IF(VLOOKUP($A2333,'Concrete Beam Schedule'!$A$2:$Q$2902,W$2,0)&lt;&gt;G2333,"Beam Revised","")</f>
        <v>#N/A</v>
      </c>
      <c r="X2333" s="7" t="e">
        <f>IF(VLOOKUP($A2333,'Concrete Beam Schedule'!$A$2:$Q$2902,X$2,0)&lt;&gt;H2333,"Beam Revised","")</f>
        <v>#N/A</v>
      </c>
      <c r="Y2333" s="7" t="e">
        <f>IF(VLOOKUP($A2333,'Concrete Beam Schedule'!$A$2:$Q$2902,Y$2,0)&lt;&gt;I2333,"Beam Revised","")</f>
        <v>#N/A</v>
      </c>
      <c r="Z2333" s="7" t="e">
        <f>IF(VLOOKUP($A2333,'Concrete Beam Schedule'!$A$2:$Q$2902,Z$2,0)&lt;&gt;J2333,"Beam Revised","")</f>
        <v>#N/A</v>
      </c>
      <c r="AA2333" s="7" t="e">
        <f>IF(VLOOKUP($A2333,'Concrete Beam Schedule'!$A$2:$Q$2902,AA$2,0)&lt;&gt;K2333,"Beam Revised","")</f>
        <v>#N/A</v>
      </c>
      <c r="AB2333" s="7" t="e">
        <f>IF(VLOOKUP($A2333,'Concrete Beam Schedule'!$A$2:$Q$2902,AB$2,0)&lt;&gt;L2333,"Beam Revised","")</f>
        <v>#N/A</v>
      </c>
      <c r="AC2333" s="7" t="e">
        <f>IF(VLOOKUP($A2333,'Concrete Beam Schedule'!$A$2:$Q$2902,AC$2,0)&lt;&gt;M2333,"Beam Revised","")</f>
        <v>#N/A</v>
      </c>
      <c r="AD2333" s="7" t="e">
        <f>IF(VLOOKUP($A2333,'Concrete Beam Schedule'!$A$2:$Q$2902,AD$2,0)&lt;&gt;N2333,"Beam Revised","")</f>
        <v>#N/A</v>
      </c>
      <c r="AE2333" s="7" t="e">
        <f>IF(VLOOKUP($A2333,'Concrete Beam Schedule'!$A$2:$Q$2902,AE$2,0)&lt;&gt;O2333,"Beam Revised","")</f>
        <v>#N/A</v>
      </c>
    </row>
    <row r="2334" spans="17:31" ht="20.100000000000001" customHeight="1" x14ac:dyDescent="0.25">
      <c r="Q2334" s="7">
        <f t="shared" si="36"/>
        <v>0</v>
      </c>
      <c r="R2334" s="7" t="e">
        <f>IF(VLOOKUP($A2334,'Concrete Beam Schedule'!$A$2:$Q$2902,R$2,0)&lt;&gt;B2334,VLOOKUP($A2334,'Concrete Beam Schedule'!$A$2:$Q$2902,R$2,0),"")</f>
        <v>#N/A</v>
      </c>
      <c r="S2334" s="7" t="e">
        <f>IF(VLOOKUP($A2334,'Concrete Beam Schedule'!$A$2:$Q$2902,S$2,0)&lt;&gt;C2334,VLOOKUP($A2334,'Concrete Beam Schedule'!$A$2:$Q$2902,S$2,0),"")</f>
        <v>#N/A</v>
      </c>
      <c r="T2334" s="7" t="e">
        <f>IF(VLOOKUP($A2334,'Concrete Beam Schedule'!$A$2:$Q$2902,T$2,0)&lt;&gt;D2334,"Beam Revised","")</f>
        <v>#N/A</v>
      </c>
      <c r="U2334" s="7" t="e">
        <f>IF(VLOOKUP($A2334,'Concrete Beam Schedule'!$A$2:$Q$2902,U$2,0)&lt;&gt;E2334,"Beam Revised","")</f>
        <v>#N/A</v>
      </c>
      <c r="V2334" s="7" t="e">
        <f>IF(VLOOKUP($A2334,'Concrete Beam Schedule'!$A$2:$Q$2902,V$2,0)&lt;&gt;F2334,"Beam Revised","")</f>
        <v>#N/A</v>
      </c>
      <c r="W2334" s="7" t="e">
        <f>IF(VLOOKUP($A2334,'Concrete Beam Schedule'!$A$2:$Q$2902,W$2,0)&lt;&gt;G2334,"Beam Revised","")</f>
        <v>#N/A</v>
      </c>
      <c r="X2334" s="7" t="e">
        <f>IF(VLOOKUP($A2334,'Concrete Beam Schedule'!$A$2:$Q$2902,X$2,0)&lt;&gt;H2334,"Beam Revised","")</f>
        <v>#N/A</v>
      </c>
      <c r="Y2334" s="7" t="e">
        <f>IF(VLOOKUP($A2334,'Concrete Beam Schedule'!$A$2:$Q$2902,Y$2,0)&lt;&gt;I2334,"Beam Revised","")</f>
        <v>#N/A</v>
      </c>
      <c r="Z2334" s="7" t="e">
        <f>IF(VLOOKUP($A2334,'Concrete Beam Schedule'!$A$2:$Q$2902,Z$2,0)&lt;&gt;J2334,"Beam Revised","")</f>
        <v>#N/A</v>
      </c>
      <c r="AA2334" s="7" t="e">
        <f>IF(VLOOKUP($A2334,'Concrete Beam Schedule'!$A$2:$Q$2902,AA$2,0)&lt;&gt;K2334,"Beam Revised","")</f>
        <v>#N/A</v>
      </c>
      <c r="AB2334" s="7" t="e">
        <f>IF(VLOOKUP($A2334,'Concrete Beam Schedule'!$A$2:$Q$2902,AB$2,0)&lt;&gt;L2334,"Beam Revised","")</f>
        <v>#N/A</v>
      </c>
      <c r="AC2334" s="7" t="e">
        <f>IF(VLOOKUP($A2334,'Concrete Beam Schedule'!$A$2:$Q$2902,AC$2,0)&lt;&gt;M2334,"Beam Revised","")</f>
        <v>#N/A</v>
      </c>
      <c r="AD2334" s="7" t="e">
        <f>IF(VLOOKUP($A2334,'Concrete Beam Schedule'!$A$2:$Q$2902,AD$2,0)&lt;&gt;N2334,"Beam Revised","")</f>
        <v>#N/A</v>
      </c>
      <c r="AE2334" s="7" t="e">
        <f>IF(VLOOKUP($A2334,'Concrete Beam Schedule'!$A$2:$Q$2902,AE$2,0)&lt;&gt;O2334,"Beam Revised","")</f>
        <v>#N/A</v>
      </c>
    </row>
    <row r="2335" spans="17:31" ht="20.100000000000001" customHeight="1" x14ac:dyDescent="0.25">
      <c r="Q2335" s="7">
        <f t="shared" si="36"/>
        <v>0</v>
      </c>
      <c r="R2335" s="7" t="e">
        <f>IF(VLOOKUP($A2335,'Concrete Beam Schedule'!$A$2:$Q$2902,R$2,0)&lt;&gt;B2335,VLOOKUP($A2335,'Concrete Beam Schedule'!$A$2:$Q$2902,R$2,0),"")</f>
        <v>#N/A</v>
      </c>
      <c r="S2335" s="7" t="e">
        <f>IF(VLOOKUP($A2335,'Concrete Beam Schedule'!$A$2:$Q$2902,S$2,0)&lt;&gt;C2335,VLOOKUP($A2335,'Concrete Beam Schedule'!$A$2:$Q$2902,S$2,0),"")</f>
        <v>#N/A</v>
      </c>
      <c r="T2335" s="7" t="e">
        <f>IF(VLOOKUP($A2335,'Concrete Beam Schedule'!$A$2:$Q$2902,T$2,0)&lt;&gt;D2335,"Beam Revised","")</f>
        <v>#N/A</v>
      </c>
      <c r="U2335" s="7" t="e">
        <f>IF(VLOOKUP($A2335,'Concrete Beam Schedule'!$A$2:$Q$2902,U$2,0)&lt;&gt;E2335,"Beam Revised","")</f>
        <v>#N/A</v>
      </c>
      <c r="V2335" s="7" t="e">
        <f>IF(VLOOKUP($A2335,'Concrete Beam Schedule'!$A$2:$Q$2902,V$2,0)&lt;&gt;F2335,"Beam Revised","")</f>
        <v>#N/A</v>
      </c>
      <c r="W2335" s="7" t="e">
        <f>IF(VLOOKUP($A2335,'Concrete Beam Schedule'!$A$2:$Q$2902,W$2,0)&lt;&gt;G2335,"Beam Revised","")</f>
        <v>#N/A</v>
      </c>
      <c r="X2335" s="7" t="e">
        <f>IF(VLOOKUP($A2335,'Concrete Beam Schedule'!$A$2:$Q$2902,X$2,0)&lt;&gt;H2335,"Beam Revised","")</f>
        <v>#N/A</v>
      </c>
      <c r="Y2335" s="7" t="e">
        <f>IF(VLOOKUP($A2335,'Concrete Beam Schedule'!$A$2:$Q$2902,Y$2,0)&lt;&gt;I2335,"Beam Revised","")</f>
        <v>#N/A</v>
      </c>
      <c r="Z2335" s="7" t="e">
        <f>IF(VLOOKUP($A2335,'Concrete Beam Schedule'!$A$2:$Q$2902,Z$2,0)&lt;&gt;J2335,"Beam Revised","")</f>
        <v>#N/A</v>
      </c>
      <c r="AA2335" s="7" t="e">
        <f>IF(VLOOKUP($A2335,'Concrete Beam Schedule'!$A$2:$Q$2902,AA$2,0)&lt;&gt;K2335,"Beam Revised","")</f>
        <v>#N/A</v>
      </c>
      <c r="AB2335" s="7" t="e">
        <f>IF(VLOOKUP($A2335,'Concrete Beam Schedule'!$A$2:$Q$2902,AB$2,0)&lt;&gt;L2335,"Beam Revised","")</f>
        <v>#N/A</v>
      </c>
      <c r="AC2335" s="7" t="e">
        <f>IF(VLOOKUP($A2335,'Concrete Beam Schedule'!$A$2:$Q$2902,AC$2,0)&lt;&gt;M2335,"Beam Revised","")</f>
        <v>#N/A</v>
      </c>
      <c r="AD2335" s="7" t="e">
        <f>IF(VLOOKUP($A2335,'Concrete Beam Schedule'!$A$2:$Q$2902,AD$2,0)&lt;&gt;N2335,"Beam Revised","")</f>
        <v>#N/A</v>
      </c>
      <c r="AE2335" s="7" t="e">
        <f>IF(VLOOKUP($A2335,'Concrete Beam Schedule'!$A$2:$Q$2902,AE$2,0)&lt;&gt;O2335,"Beam Revised","")</f>
        <v>#N/A</v>
      </c>
    </row>
    <row r="2336" spans="17:31" ht="20.100000000000001" customHeight="1" x14ac:dyDescent="0.25">
      <c r="Q2336" s="7">
        <f t="shared" si="36"/>
        <v>0</v>
      </c>
      <c r="R2336" s="7" t="e">
        <f>IF(VLOOKUP($A2336,'Concrete Beam Schedule'!$A$2:$Q$2902,R$2,0)&lt;&gt;B2336,VLOOKUP($A2336,'Concrete Beam Schedule'!$A$2:$Q$2902,R$2,0),"")</f>
        <v>#N/A</v>
      </c>
      <c r="S2336" s="7" t="e">
        <f>IF(VLOOKUP($A2336,'Concrete Beam Schedule'!$A$2:$Q$2902,S$2,0)&lt;&gt;C2336,VLOOKUP($A2336,'Concrete Beam Schedule'!$A$2:$Q$2902,S$2,0),"")</f>
        <v>#N/A</v>
      </c>
      <c r="T2336" s="7" t="e">
        <f>IF(VLOOKUP($A2336,'Concrete Beam Schedule'!$A$2:$Q$2902,T$2,0)&lt;&gt;D2336,"Beam Revised","")</f>
        <v>#N/A</v>
      </c>
      <c r="U2336" s="7" t="e">
        <f>IF(VLOOKUP($A2336,'Concrete Beam Schedule'!$A$2:$Q$2902,U$2,0)&lt;&gt;E2336,"Beam Revised","")</f>
        <v>#N/A</v>
      </c>
      <c r="V2336" s="7" t="e">
        <f>IF(VLOOKUP($A2336,'Concrete Beam Schedule'!$A$2:$Q$2902,V$2,0)&lt;&gt;F2336,"Beam Revised","")</f>
        <v>#N/A</v>
      </c>
      <c r="W2336" s="7" t="e">
        <f>IF(VLOOKUP($A2336,'Concrete Beam Schedule'!$A$2:$Q$2902,W$2,0)&lt;&gt;G2336,"Beam Revised","")</f>
        <v>#N/A</v>
      </c>
      <c r="X2336" s="7" t="e">
        <f>IF(VLOOKUP($A2336,'Concrete Beam Schedule'!$A$2:$Q$2902,X$2,0)&lt;&gt;H2336,"Beam Revised","")</f>
        <v>#N/A</v>
      </c>
      <c r="Y2336" s="7" t="e">
        <f>IF(VLOOKUP($A2336,'Concrete Beam Schedule'!$A$2:$Q$2902,Y$2,0)&lt;&gt;I2336,"Beam Revised","")</f>
        <v>#N/A</v>
      </c>
      <c r="Z2336" s="7" t="e">
        <f>IF(VLOOKUP($A2336,'Concrete Beam Schedule'!$A$2:$Q$2902,Z$2,0)&lt;&gt;J2336,"Beam Revised","")</f>
        <v>#N/A</v>
      </c>
      <c r="AA2336" s="7" t="e">
        <f>IF(VLOOKUP($A2336,'Concrete Beam Schedule'!$A$2:$Q$2902,AA$2,0)&lt;&gt;K2336,"Beam Revised","")</f>
        <v>#N/A</v>
      </c>
      <c r="AB2336" s="7" t="e">
        <f>IF(VLOOKUP($A2336,'Concrete Beam Schedule'!$A$2:$Q$2902,AB$2,0)&lt;&gt;L2336,"Beam Revised","")</f>
        <v>#N/A</v>
      </c>
      <c r="AC2336" s="7" t="e">
        <f>IF(VLOOKUP($A2336,'Concrete Beam Schedule'!$A$2:$Q$2902,AC$2,0)&lt;&gt;M2336,"Beam Revised","")</f>
        <v>#N/A</v>
      </c>
      <c r="AD2336" s="7" t="e">
        <f>IF(VLOOKUP($A2336,'Concrete Beam Schedule'!$A$2:$Q$2902,AD$2,0)&lt;&gt;N2336,"Beam Revised","")</f>
        <v>#N/A</v>
      </c>
      <c r="AE2336" s="7" t="e">
        <f>IF(VLOOKUP($A2336,'Concrete Beam Schedule'!$A$2:$Q$2902,AE$2,0)&lt;&gt;O2336,"Beam Revised","")</f>
        <v>#N/A</v>
      </c>
    </row>
    <row r="2337" spans="17:31" ht="20.100000000000001" customHeight="1" x14ac:dyDescent="0.25">
      <c r="Q2337" s="7">
        <f t="shared" si="36"/>
        <v>0</v>
      </c>
      <c r="R2337" s="7" t="e">
        <f>IF(VLOOKUP($A2337,'Concrete Beam Schedule'!$A$2:$Q$2902,R$2,0)&lt;&gt;B2337,VLOOKUP($A2337,'Concrete Beam Schedule'!$A$2:$Q$2902,R$2,0),"")</f>
        <v>#N/A</v>
      </c>
      <c r="S2337" s="7" t="e">
        <f>IF(VLOOKUP($A2337,'Concrete Beam Schedule'!$A$2:$Q$2902,S$2,0)&lt;&gt;C2337,VLOOKUP($A2337,'Concrete Beam Schedule'!$A$2:$Q$2902,S$2,0),"")</f>
        <v>#N/A</v>
      </c>
      <c r="T2337" s="7" t="e">
        <f>IF(VLOOKUP($A2337,'Concrete Beam Schedule'!$A$2:$Q$2902,T$2,0)&lt;&gt;D2337,"Beam Revised","")</f>
        <v>#N/A</v>
      </c>
      <c r="U2337" s="7" t="e">
        <f>IF(VLOOKUP($A2337,'Concrete Beam Schedule'!$A$2:$Q$2902,U$2,0)&lt;&gt;E2337,"Beam Revised","")</f>
        <v>#N/A</v>
      </c>
      <c r="V2337" s="7" t="e">
        <f>IF(VLOOKUP($A2337,'Concrete Beam Schedule'!$A$2:$Q$2902,V$2,0)&lt;&gt;F2337,"Beam Revised","")</f>
        <v>#N/A</v>
      </c>
      <c r="W2337" s="7" t="e">
        <f>IF(VLOOKUP($A2337,'Concrete Beam Schedule'!$A$2:$Q$2902,W$2,0)&lt;&gt;G2337,"Beam Revised","")</f>
        <v>#N/A</v>
      </c>
      <c r="X2337" s="7" t="e">
        <f>IF(VLOOKUP($A2337,'Concrete Beam Schedule'!$A$2:$Q$2902,X$2,0)&lt;&gt;H2337,"Beam Revised","")</f>
        <v>#N/A</v>
      </c>
      <c r="Y2337" s="7" t="e">
        <f>IF(VLOOKUP($A2337,'Concrete Beam Schedule'!$A$2:$Q$2902,Y$2,0)&lt;&gt;I2337,"Beam Revised","")</f>
        <v>#N/A</v>
      </c>
      <c r="Z2337" s="7" t="e">
        <f>IF(VLOOKUP($A2337,'Concrete Beam Schedule'!$A$2:$Q$2902,Z$2,0)&lt;&gt;J2337,"Beam Revised","")</f>
        <v>#N/A</v>
      </c>
      <c r="AA2337" s="7" t="e">
        <f>IF(VLOOKUP($A2337,'Concrete Beam Schedule'!$A$2:$Q$2902,AA$2,0)&lt;&gt;K2337,"Beam Revised","")</f>
        <v>#N/A</v>
      </c>
      <c r="AB2337" s="7" t="e">
        <f>IF(VLOOKUP($A2337,'Concrete Beam Schedule'!$A$2:$Q$2902,AB$2,0)&lt;&gt;L2337,"Beam Revised","")</f>
        <v>#N/A</v>
      </c>
      <c r="AC2337" s="7" t="e">
        <f>IF(VLOOKUP($A2337,'Concrete Beam Schedule'!$A$2:$Q$2902,AC$2,0)&lt;&gt;M2337,"Beam Revised","")</f>
        <v>#N/A</v>
      </c>
      <c r="AD2337" s="7" t="e">
        <f>IF(VLOOKUP($A2337,'Concrete Beam Schedule'!$A$2:$Q$2902,AD$2,0)&lt;&gt;N2337,"Beam Revised","")</f>
        <v>#N/A</v>
      </c>
      <c r="AE2337" s="7" t="e">
        <f>IF(VLOOKUP($A2337,'Concrete Beam Schedule'!$A$2:$Q$2902,AE$2,0)&lt;&gt;O2337,"Beam Revised","")</f>
        <v>#N/A</v>
      </c>
    </row>
    <row r="2338" spans="17:31" ht="20.100000000000001" customHeight="1" x14ac:dyDescent="0.25">
      <c r="Q2338" s="7">
        <f t="shared" si="36"/>
        <v>0</v>
      </c>
      <c r="R2338" s="7" t="e">
        <f>IF(VLOOKUP($A2338,'Concrete Beam Schedule'!$A$2:$Q$2902,R$2,0)&lt;&gt;B2338,VLOOKUP($A2338,'Concrete Beam Schedule'!$A$2:$Q$2902,R$2,0),"")</f>
        <v>#N/A</v>
      </c>
      <c r="S2338" s="7" t="e">
        <f>IF(VLOOKUP($A2338,'Concrete Beam Schedule'!$A$2:$Q$2902,S$2,0)&lt;&gt;C2338,VLOOKUP($A2338,'Concrete Beam Schedule'!$A$2:$Q$2902,S$2,0),"")</f>
        <v>#N/A</v>
      </c>
      <c r="T2338" s="7" t="e">
        <f>IF(VLOOKUP($A2338,'Concrete Beam Schedule'!$A$2:$Q$2902,T$2,0)&lt;&gt;D2338,"Beam Revised","")</f>
        <v>#N/A</v>
      </c>
      <c r="U2338" s="7" t="e">
        <f>IF(VLOOKUP($A2338,'Concrete Beam Schedule'!$A$2:$Q$2902,U$2,0)&lt;&gt;E2338,"Beam Revised","")</f>
        <v>#N/A</v>
      </c>
      <c r="V2338" s="7" t="e">
        <f>IF(VLOOKUP($A2338,'Concrete Beam Schedule'!$A$2:$Q$2902,V$2,0)&lt;&gt;F2338,"Beam Revised","")</f>
        <v>#N/A</v>
      </c>
      <c r="W2338" s="7" t="e">
        <f>IF(VLOOKUP($A2338,'Concrete Beam Schedule'!$A$2:$Q$2902,W$2,0)&lt;&gt;G2338,"Beam Revised","")</f>
        <v>#N/A</v>
      </c>
      <c r="X2338" s="7" t="e">
        <f>IF(VLOOKUP($A2338,'Concrete Beam Schedule'!$A$2:$Q$2902,X$2,0)&lt;&gt;H2338,"Beam Revised","")</f>
        <v>#N/A</v>
      </c>
      <c r="Y2338" s="7" t="e">
        <f>IF(VLOOKUP($A2338,'Concrete Beam Schedule'!$A$2:$Q$2902,Y$2,0)&lt;&gt;I2338,"Beam Revised","")</f>
        <v>#N/A</v>
      </c>
      <c r="Z2338" s="7" t="e">
        <f>IF(VLOOKUP($A2338,'Concrete Beam Schedule'!$A$2:$Q$2902,Z$2,0)&lt;&gt;J2338,"Beam Revised","")</f>
        <v>#N/A</v>
      </c>
      <c r="AA2338" s="7" t="e">
        <f>IF(VLOOKUP($A2338,'Concrete Beam Schedule'!$A$2:$Q$2902,AA$2,0)&lt;&gt;K2338,"Beam Revised","")</f>
        <v>#N/A</v>
      </c>
      <c r="AB2338" s="7" t="e">
        <f>IF(VLOOKUP($A2338,'Concrete Beam Schedule'!$A$2:$Q$2902,AB$2,0)&lt;&gt;L2338,"Beam Revised","")</f>
        <v>#N/A</v>
      </c>
      <c r="AC2338" s="7" t="e">
        <f>IF(VLOOKUP($A2338,'Concrete Beam Schedule'!$A$2:$Q$2902,AC$2,0)&lt;&gt;M2338,"Beam Revised","")</f>
        <v>#N/A</v>
      </c>
      <c r="AD2338" s="7" t="e">
        <f>IF(VLOOKUP($A2338,'Concrete Beam Schedule'!$A$2:$Q$2902,AD$2,0)&lt;&gt;N2338,"Beam Revised","")</f>
        <v>#N/A</v>
      </c>
      <c r="AE2338" s="7" t="e">
        <f>IF(VLOOKUP($A2338,'Concrete Beam Schedule'!$A$2:$Q$2902,AE$2,0)&lt;&gt;O2338,"Beam Revised","")</f>
        <v>#N/A</v>
      </c>
    </row>
    <row r="2339" spans="17:31" ht="20.100000000000001" customHeight="1" x14ac:dyDescent="0.25">
      <c r="Q2339" s="7">
        <f t="shared" si="36"/>
        <v>0</v>
      </c>
      <c r="R2339" s="7" t="e">
        <f>IF(VLOOKUP($A2339,'Concrete Beam Schedule'!$A$2:$Q$2902,R$2,0)&lt;&gt;B2339,VLOOKUP($A2339,'Concrete Beam Schedule'!$A$2:$Q$2902,R$2,0),"")</f>
        <v>#N/A</v>
      </c>
      <c r="S2339" s="7" t="e">
        <f>IF(VLOOKUP($A2339,'Concrete Beam Schedule'!$A$2:$Q$2902,S$2,0)&lt;&gt;C2339,VLOOKUP($A2339,'Concrete Beam Schedule'!$A$2:$Q$2902,S$2,0),"")</f>
        <v>#N/A</v>
      </c>
      <c r="T2339" s="7" t="e">
        <f>IF(VLOOKUP($A2339,'Concrete Beam Schedule'!$A$2:$Q$2902,T$2,0)&lt;&gt;D2339,"Beam Revised","")</f>
        <v>#N/A</v>
      </c>
      <c r="U2339" s="7" t="e">
        <f>IF(VLOOKUP($A2339,'Concrete Beam Schedule'!$A$2:$Q$2902,U$2,0)&lt;&gt;E2339,"Beam Revised","")</f>
        <v>#N/A</v>
      </c>
      <c r="V2339" s="7" t="e">
        <f>IF(VLOOKUP($A2339,'Concrete Beam Schedule'!$A$2:$Q$2902,V$2,0)&lt;&gt;F2339,"Beam Revised","")</f>
        <v>#N/A</v>
      </c>
      <c r="W2339" s="7" t="e">
        <f>IF(VLOOKUP($A2339,'Concrete Beam Schedule'!$A$2:$Q$2902,W$2,0)&lt;&gt;G2339,"Beam Revised","")</f>
        <v>#N/A</v>
      </c>
      <c r="X2339" s="7" t="e">
        <f>IF(VLOOKUP($A2339,'Concrete Beam Schedule'!$A$2:$Q$2902,X$2,0)&lt;&gt;H2339,"Beam Revised","")</f>
        <v>#N/A</v>
      </c>
      <c r="Y2339" s="7" t="e">
        <f>IF(VLOOKUP($A2339,'Concrete Beam Schedule'!$A$2:$Q$2902,Y$2,0)&lt;&gt;I2339,"Beam Revised","")</f>
        <v>#N/A</v>
      </c>
      <c r="Z2339" s="7" t="e">
        <f>IF(VLOOKUP($A2339,'Concrete Beam Schedule'!$A$2:$Q$2902,Z$2,0)&lt;&gt;J2339,"Beam Revised","")</f>
        <v>#N/A</v>
      </c>
      <c r="AA2339" s="7" t="e">
        <f>IF(VLOOKUP($A2339,'Concrete Beam Schedule'!$A$2:$Q$2902,AA$2,0)&lt;&gt;K2339,"Beam Revised","")</f>
        <v>#N/A</v>
      </c>
      <c r="AB2339" s="7" t="e">
        <f>IF(VLOOKUP($A2339,'Concrete Beam Schedule'!$A$2:$Q$2902,AB$2,0)&lt;&gt;L2339,"Beam Revised","")</f>
        <v>#N/A</v>
      </c>
      <c r="AC2339" s="7" t="e">
        <f>IF(VLOOKUP($A2339,'Concrete Beam Schedule'!$A$2:$Q$2902,AC$2,0)&lt;&gt;M2339,"Beam Revised","")</f>
        <v>#N/A</v>
      </c>
      <c r="AD2339" s="7" t="e">
        <f>IF(VLOOKUP($A2339,'Concrete Beam Schedule'!$A$2:$Q$2902,AD$2,0)&lt;&gt;N2339,"Beam Revised","")</f>
        <v>#N/A</v>
      </c>
      <c r="AE2339" s="7" t="e">
        <f>IF(VLOOKUP($A2339,'Concrete Beam Schedule'!$A$2:$Q$2902,AE$2,0)&lt;&gt;O2339,"Beam Revised","")</f>
        <v>#N/A</v>
      </c>
    </row>
    <row r="2340" spans="17:31" ht="20.100000000000001" customHeight="1" x14ac:dyDescent="0.25">
      <c r="Q2340" s="7">
        <f t="shared" si="36"/>
        <v>0</v>
      </c>
      <c r="R2340" s="7" t="e">
        <f>IF(VLOOKUP($A2340,'Concrete Beam Schedule'!$A$2:$Q$2902,R$2,0)&lt;&gt;B2340,VLOOKUP($A2340,'Concrete Beam Schedule'!$A$2:$Q$2902,R$2,0),"")</f>
        <v>#N/A</v>
      </c>
      <c r="S2340" s="7" t="e">
        <f>IF(VLOOKUP($A2340,'Concrete Beam Schedule'!$A$2:$Q$2902,S$2,0)&lt;&gt;C2340,VLOOKUP($A2340,'Concrete Beam Schedule'!$A$2:$Q$2902,S$2,0),"")</f>
        <v>#N/A</v>
      </c>
      <c r="T2340" s="7" t="e">
        <f>IF(VLOOKUP($A2340,'Concrete Beam Schedule'!$A$2:$Q$2902,T$2,0)&lt;&gt;D2340,"Beam Revised","")</f>
        <v>#N/A</v>
      </c>
      <c r="U2340" s="7" t="e">
        <f>IF(VLOOKUP($A2340,'Concrete Beam Schedule'!$A$2:$Q$2902,U$2,0)&lt;&gt;E2340,"Beam Revised","")</f>
        <v>#N/A</v>
      </c>
      <c r="V2340" s="7" t="e">
        <f>IF(VLOOKUP($A2340,'Concrete Beam Schedule'!$A$2:$Q$2902,V$2,0)&lt;&gt;F2340,"Beam Revised","")</f>
        <v>#N/A</v>
      </c>
      <c r="W2340" s="7" t="e">
        <f>IF(VLOOKUP($A2340,'Concrete Beam Schedule'!$A$2:$Q$2902,W$2,0)&lt;&gt;G2340,"Beam Revised","")</f>
        <v>#N/A</v>
      </c>
      <c r="X2340" s="7" t="e">
        <f>IF(VLOOKUP($A2340,'Concrete Beam Schedule'!$A$2:$Q$2902,X$2,0)&lt;&gt;H2340,"Beam Revised","")</f>
        <v>#N/A</v>
      </c>
      <c r="Y2340" s="7" t="e">
        <f>IF(VLOOKUP($A2340,'Concrete Beam Schedule'!$A$2:$Q$2902,Y$2,0)&lt;&gt;I2340,"Beam Revised","")</f>
        <v>#N/A</v>
      </c>
      <c r="Z2340" s="7" t="e">
        <f>IF(VLOOKUP($A2340,'Concrete Beam Schedule'!$A$2:$Q$2902,Z$2,0)&lt;&gt;J2340,"Beam Revised","")</f>
        <v>#N/A</v>
      </c>
      <c r="AA2340" s="7" t="e">
        <f>IF(VLOOKUP($A2340,'Concrete Beam Schedule'!$A$2:$Q$2902,AA$2,0)&lt;&gt;K2340,"Beam Revised","")</f>
        <v>#N/A</v>
      </c>
      <c r="AB2340" s="7" t="e">
        <f>IF(VLOOKUP($A2340,'Concrete Beam Schedule'!$A$2:$Q$2902,AB$2,0)&lt;&gt;L2340,"Beam Revised","")</f>
        <v>#N/A</v>
      </c>
      <c r="AC2340" s="7" t="e">
        <f>IF(VLOOKUP($A2340,'Concrete Beam Schedule'!$A$2:$Q$2902,AC$2,0)&lt;&gt;M2340,"Beam Revised","")</f>
        <v>#N/A</v>
      </c>
      <c r="AD2340" s="7" t="e">
        <f>IF(VLOOKUP($A2340,'Concrete Beam Schedule'!$A$2:$Q$2902,AD$2,0)&lt;&gt;N2340,"Beam Revised","")</f>
        <v>#N/A</v>
      </c>
      <c r="AE2340" s="7" t="e">
        <f>IF(VLOOKUP($A2340,'Concrete Beam Schedule'!$A$2:$Q$2902,AE$2,0)&lt;&gt;O2340,"Beam Revised","")</f>
        <v>#N/A</v>
      </c>
    </row>
    <row r="2341" spans="17:31" ht="20.100000000000001" customHeight="1" x14ac:dyDescent="0.25">
      <c r="Q2341" s="7">
        <f t="shared" si="36"/>
        <v>0</v>
      </c>
      <c r="R2341" s="7" t="e">
        <f>IF(VLOOKUP($A2341,'Concrete Beam Schedule'!$A$2:$Q$2902,R$2,0)&lt;&gt;B2341,VLOOKUP($A2341,'Concrete Beam Schedule'!$A$2:$Q$2902,R$2,0),"")</f>
        <v>#N/A</v>
      </c>
      <c r="S2341" s="7" t="e">
        <f>IF(VLOOKUP($A2341,'Concrete Beam Schedule'!$A$2:$Q$2902,S$2,0)&lt;&gt;C2341,VLOOKUP($A2341,'Concrete Beam Schedule'!$A$2:$Q$2902,S$2,0),"")</f>
        <v>#N/A</v>
      </c>
      <c r="T2341" s="7" t="e">
        <f>IF(VLOOKUP($A2341,'Concrete Beam Schedule'!$A$2:$Q$2902,T$2,0)&lt;&gt;D2341,"Beam Revised","")</f>
        <v>#N/A</v>
      </c>
      <c r="U2341" s="7" t="e">
        <f>IF(VLOOKUP($A2341,'Concrete Beam Schedule'!$A$2:$Q$2902,U$2,0)&lt;&gt;E2341,"Beam Revised","")</f>
        <v>#N/A</v>
      </c>
      <c r="V2341" s="7" t="e">
        <f>IF(VLOOKUP($A2341,'Concrete Beam Schedule'!$A$2:$Q$2902,V$2,0)&lt;&gt;F2341,"Beam Revised","")</f>
        <v>#N/A</v>
      </c>
      <c r="W2341" s="7" t="e">
        <f>IF(VLOOKUP($A2341,'Concrete Beam Schedule'!$A$2:$Q$2902,W$2,0)&lt;&gt;G2341,"Beam Revised","")</f>
        <v>#N/A</v>
      </c>
      <c r="X2341" s="7" t="e">
        <f>IF(VLOOKUP($A2341,'Concrete Beam Schedule'!$A$2:$Q$2902,X$2,0)&lt;&gt;H2341,"Beam Revised","")</f>
        <v>#N/A</v>
      </c>
      <c r="Y2341" s="7" t="e">
        <f>IF(VLOOKUP($A2341,'Concrete Beam Schedule'!$A$2:$Q$2902,Y$2,0)&lt;&gt;I2341,"Beam Revised","")</f>
        <v>#N/A</v>
      </c>
      <c r="Z2341" s="7" t="e">
        <f>IF(VLOOKUP($A2341,'Concrete Beam Schedule'!$A$2:$Q$2902,Z$2,0)&lt;&gt;J2341,"Beam Revised","")</f>
        <v>#N/A</v>
      </c>
      <c r="AA2341" s="7" t="e">
        <f>IF(VLOOKUP($A2341,'Concrete Beam Schedule'!$A$2:$Q$2902,AA$2,0)&lt;&gt;K2341,"Beam Revised","")</f>
        <v>#N/A</v>
      </c>
      <c r="AB2341" s="7" t="e">
        <f>IF(VLOOKUP($A2341,'Concrete Beam Schedule'!$A$2:$Q$2902,AB$2,0)&lt;&gt;L2341,"Beam Revised","")</f>
        <v>#N/A</v>
      </c>
      <c r="AC2341" s="7" t="e">
        <f>IF(VLOOKUP($A2341,'Concrete Beam Schedule'!$A$2:$Q$2902,AC$2,0)&lt;&gt;M2341,"Beam Revised","")</f>
        <v>#N/A</v>
      </c>
      <c r="AD2341" s="7" t="e">
        <f>IF(VLOOKUP($A2341,'Concrete Beam Schedule'!$A$2:$Q$2902,AD$2,0)&lt;&gt;N2341,"Beam Revised","")</f>
        <v>#N/A</v>
      </c>
      <c r="AE2341" s="7" t="e">
        <f>IF(VLOOKUP($A2341,'Concrete Beam Schedule'!$A$2:$Q$2902,AE$2,0)&lt;&gt;O2341,"Beam Revised","")</f>
        <v>#N/A</v>
      </c>
    </row>
    <row r="2342" spans="17:31" ht="20.100000000000001" customHeight="1" x14ac:dyDescent="0.25">
      <c r="Q2342" s="7">
        <f t="shared" si="36"/>
        <v>0</v>
      </c>
      <c r="R2342" s="7" t="e">
        <f>IF(VLOOKUP($A2342,'Concrete Beam Schedule'!$A$2:$Q$2902,R$2,0)&lt;&gt;B2342,VLOOKUP($A2342,'Concrete Beam Schedule'!$A$2:$Q$2902,R$2,0),"")</f>
        <v>#N/A</v>
      </c>
      <c r="S2342" s="7" t="e">
        <f>IF(VLOOKUP($A2342,'Concrete Beam Schedule'!$A$2:$Q$2902,S$2,0)&lt;&gt;C2342,VLOOKUP($A2342,'Concrete Beam Schedule'!$A$2:$Q$2902,S$2,0),"")</f>
        <v>#N/A</v>
      </c>
      <c r="T2342" s="7" t="e">
        <f>IF(VLOOKUP($A2342,'Concrete Beam Schedule'!$A$2:$Q$2902,T$2,0)&lt;&gt;D2342,"Beam Revised","")</f>
        <v>#N/A</v>
      </c>
      <c r="U2342" s="7" t="e">
        <f>IF(VLOOKUP($A2342,'Concrete Beam Schedule'!$A$2:$Q$2902,U$2,0)&lt;&gt;E2342,"Beam Revised","")</f>
        <v>#N/A</v>
      </c>
      <c r="V2342" s="7" t="e">
        <f>IF(VLOOKUP($A2342,'Concrete Beam Schedule'!$A$2:$Q$2902,V$2,0)&lt;&gt;F2342,"Beam Revised","")</f>
        <v>#N/A</v>
      </c>
      <c r="W2342" s="7" t="e">
        <f>IF(VLOOKUP($A2342,'Concrete Beam Schedule'!$A$2:$Q$2902,W$2,0)&lt;&gt;G2342,"Beam Revised","")</f>
        <v>#N/A</v>
      </c>
      <c r="X2342" s="7" t="e">
        <f>IF(VLOOKUP($A2342,'Concrete Beam Schedule'!$A$2:$Q$2902,X$2,0)&lt;&gt;H2342,"Beam Revised","")</f>
        <v>#N/A</v>
      </c>
      <c r="Y2342" s="7" t="e">
        <f>IF(VLOOKUP($A2342,'Concrete Beam Schedule'!$A$2:$Q$2902,Y$2,0)&lt;&gt;I2342,"Beam Revised","")</f>
        <v>#N/A</v>
      </c>
      <c r="Z2342" s="7" t="e">
        <f>IF(VLOOKUP($A2342,'Concrete Beam Schedule'!$A$2:$Q$2902,Z$2,0)&lt;&gt;J2342,"Beam Revised","")</f>
        <v>#N/A</v>
      </c>
      <c r="AA2342" s="7" t="e">
        <f>IF(VLOOKUP($A2342,'Concrete Beam Schedule'!$A$2:$Q$2902,AA$2,0)&lt;&gt;K2342,"Beam Revised","")</f>
        <v>#N/A</v>
      </c>
      <c r="AB2342" s="7" t="e">
        <f>IF(VLOOKUP($A2342,'Concrete Beam Schedule'!$A$2:$Q$2902,AB$2,0)&lt;&gt;L2342,"Beam Revised","")</f>
        <v>#N/A</v>
      </c>
      <c r="AC2342" s="7" t="e">
        <f>IF(VLOOKUP($A2342,'Concrete Beam Schedule'!$A$2:$Q$2902,AC$2,0)&lt;&gt;M2342,"Beam Revised","")</f>
        <v>#N/A</v>
      </c>
      <c r="AD2342" s="7" t="e">
        <f>IF(VLOOKUP($A2342,'Concrete Beam Schedule'!$A$2:$Q$2902,AD$2,0)&lt;&gt;N2342,"Beam Revised","")</f>
        <v>#N/A</v>
      </c>
      <c r="AE2342" s="7" t="e">
        <f>IF(VLOOKUP($A2342,'Concrete Beam Schedule'!$A$2:$Q$2902,AE$2,0)&lt;&gt;O2342,"Beam Revised","")</f>
        <v>#N/A</v>
      </c>
    </row>
    <row r="2343" spans="17:31" ht="20.100000000000001" customHeight="1" x14ac:dyDescent="0.25">
      <c r="Q2343" s="7">
        <f t="shared" si="36"/>
        <v>0</v>
      </c>
      <c r="R2343" s="7" t="e">
        <f>IF(VLOOKUP($A2343,'Concrete Beam Schedule'!$A$2:$Q$2902,R$2,0)&lt;&gt;B2343,VLOOKUP($A2343,'Concrete Beam Schedule'!$A$2:$Q$2902,R$2,0),"")</f>
        <v>#N/A</v>
      </c>
      <c r="S2343" s="7" t="e">
        <f>IF(VLOOKUP($A2343,'Concrete Beam Schedule'!$A$2:$Q$2902,S$2,0)&lt;&gt;C2343,VLOOKUP($A2343,'Concrete Beam Schedule'!$A$2:$Q$2902,S$2,0),"")</f>
        <v>#N/A</v>
      </c>
      <c r="T2343" s="7" t="e">
        <f>IF(VLOOKUP($A2343,'Concrete Beam Schedule'!$A$2:$Q$2902,T$2,0)&lt;&gt;D2343,"Beam Revised","")</f>
        <v>#N/A</v>
      </c>
      <c r="U2343" s="7" t="e">
        <f>IF(VLOOKUP($A2343,'Concrete Beam Schedule'!$A$2:$Q$2902,U$2,0)&lt;&gt;E2343,"Beam Revised","")</f>
        <v>#N/A</v>
      </c>
      <c r="V2343" s="7" t="e">
        <f>IF(VLOOKUP($A2343,'Concrete Beam Schedule'!$A$2:$Q$2902,V$2,0)&lt;&gt;F2343,"Beam Revised","")</f>
        <v>#N/A</v>
      </c>
      <c r="W2343" s="7" t="e">
        <f>IF(VLOOKUP($A2343,'Concrete Beam Schedule'!$A$2:$Q$2902,W$2,0)&lt;&gt;G2343,"Beam Revised","")</f>
        <v>#N/A</v>
      </c>
      <c r="X2343" s="7" t="e">
        <f>IF(VLOOKUP($A2343,'Concrete Beam Schedule'!$A$2:$Q$2902,X$2,0)&lt;&gt;H2343,"Beam Revised","")</f>
        <v>#N/A</v>
      </c>
      <c r="Y2343" s="7" t="e">
        <f>IF(VLOOKUP($A2343,'Concrete Beam Schedule'!$A$2:$Q$2902,Y$2,0)&lt;&gt;I2343,"Beam Revised","")</f>
        <v>#N/A</v>
      </c>
      <c r="Z2343" s="7" t="e">
        <f>IF(VLOOKUP($A2343,'Concrete Beam Schedule'!$A$2:$Q$2902,Z$2,0)&lt;&gt;J2343,"Beam Revised","")</f>
        <v>#N/A</v>
      </c>
      <c r="AA2343" s="7" t="e">
        <f>IF(VLOOKUP($A2343,'Concrete Beam Schedule'!$A$2:$Q$2902,AA$2,0)&lt;&gt;K2343,"Beam Revised","")</f>
        <v>#N/A</v>
      </c>
      <c r="AB2343" s="7" t="e">
        <f>IF(VLOOKUP($A2343,'Concrete Beam Schedule'!$A$2:$Q$2902,AB$2,0)&lt;&gt;L2343,"Beam Revised","")</f>
        <v>#N/A</v>
      </c>
      <c r="AC2343" s="7" t="e">
        <f>IF(VLOOKUP($A2343,'Concrete Beam Schedule'!$A$2:$Q$2902,AC$2,0)&lt;&gt;M2343,"Beam Revised","")</f>
        <v>#N/A</v>
      </c>
      <c r="AD2343" s="7" t="e">
        <f>IF(VLOOKUP($A2343,'Concrete Beam Schedule'!$A$2:$Q$2902,AD$2,0)&lt;&gt;N2343,"Beam Revised","")</f>
        <v>#N/A</v>
      </c>
      <c r="AE2343" s="7" t="e">
        <f>IF(VLOOKUP($A2343,'Concrete Beam Schedule'!$A$2:$Q$2902,AE$2,0)&lt;&gt;O2343,"Beam Revised","")</f>
        <v>#N/A</v>
      </c>
    </row>
    <row r="2344" spans="17:31" ht="20.100000000000001" customHeight="1" x14ac:dyDescent="0.25">
      <c r="Q2344" s="7">
        <f t="shared" si="36"/>
        <v>0</v>
      </c>
      <c r="R2344" s="7" t="e">
        <f>IF(VLOOKUP($A2344,'Concrete Beam Schedule'!$A$2:$Q$2902,R$2,0)&lt;&gt;B2344,VLOOKUP($A2344,'Concrete Beam Schedule'!$A$2:$Q$2902,R$2,0),"")</f>
        <v>#N/A</v>
      </c>
      <c r="S2344" s="7" t="e">
        <f>IF(VLOOKUP($A2344,'Concrete Beam Schedule'!$A$2:$Q$2902,S$2,0)&lt;&gt;C2344,VLOOKUP($A2344,'Concrete Beam Schedule'!$A$2:$Q$2902,S$2,0),"")</f>
        <v>#N/A</v>
      </c>
      <c r="T2344" s="7" t="e">
        <f>IF(VLOOKUP($A2344,'Concrete Beam Schedule'!$A$2:$Q$2902,T$2,0)&lt;&gt;D2344,"Beam Revised","")</f>
        <v>#N/A</v>
      </c>
      <c r="U2344" s="7" t="e">
        <f>IF(VLOOKUP($A2344,'Concrete Beam Schedule'!$A$2:$Q$2902,U$2,0)&lt;&gt;E2344,"Beam Revised","")</f>
        <v>#N/A</v>
      </c>
      <c r="V2344" s="7" t="e">
        <f>IF(VLOOKUP($A2344,'Concrete Beam Schedule'!$A$2:$Q$2902,V$2,0)&lt;&gt;F2344,"Beam Revised","")</f>
        <v>#N/A</v>
      </c>
      <c r="W2344" s="7" t="e">
        <f>IF(VLOOKUP($A2344,'Concrete Beam Schedule'!$A$2:$Q$2902,W$2,0)&lt;&gt;G2344,"Beam Revised","")</f>
        <v>#N/A</v>
      </c>
      <c r="X2344" s="7" t="e">
        <f>IF(VLOOKUP($A2344,'Concrete Beam Schedule'!$A$2:$Q$2902,X$2,0)&lt;&gt;H2344,"Beam Revised","")</f>
        <v>#N/A</v>
      </c>
      <c r="Y2344" s="7" t="e">
        <f>IF(VLOOKUP($A2344,'Concrete Beam Schedule'!$A$2:$Q$2902,Y$2,0)&lt;&gt;I2344,"Beam Revised","")</f>
        <v>#N/A</v>
      </c>
      <c r="Z2344" s="7" t="e">
        <f>IF(VLOOKUP($A2344,'Concrete Beam Schedule'!$A$2:$Q$2902,Z$2,0)&lt;&gt;J2344,"Beam Revised","")</f>
        <v>#N/A</v>
      </c>
      <c r="AA2344" s="7" t="e">
        <f>IF(VLOOKUP($A2344,'Concrete Beam Schedule'!$A$2:$Q$2902,AA$2,0)&lt;&gt;K2344,"Beam Revised","")</f>
        <v>#N/A</v>
      </c>
      <c r="AB2344" s="7" t="e">
        <f>IF(VLOOKUP($A2344,'Concrete Beam Schedule'!$A$2:$Q$2902,AB$2,0)&lt;&gt;L2344,"Beam Revised","")</f>
        <v>#N/A</v>
      </c>
      <c r="AC2344" s="7" t="e">
        <f>IF(VLOOKUP($A2344,'Concrete Beam Schedule'!$A$2:$Q$2902,AC$2,0)&lt;&gt;M2344,"Beam Revised","")</f>
        <v>#N/A</v>
      </c>
      <c r="AD2344" s="7" t="e">
        <f>IF(VLOOKUP($A2344,'Concrete Beam Schedule'!$A$2:$Q$2902,AD$2,0)&lt;&gt;N2344,"Beam Revised","")</f>
        <v>#N/A</v>
      </c>
      <c r="AE2344" s="7" t="e">
        <f>IF(VLOOKUP($A2344,'Concrete Beam Schedule'!$A$2:$Q$2902,AE$2,0)&lt;&gt;O2344,"Beam Revised","")</f>
        <v>#N/A</v>
      </c>
    </row>
    <row r="2345" spans="17:31" ht="20.100000000000001" customHeight="1" x14ac:dyDescent="0.25">
      <c r="Q2345" s="7">
        <f t="shared" si="36"/>
        <v>0</v>
      </c>
      <c r="R2345" s="7" t="e">
        <f>IF(VLOOKUP($A2345,'Concrete Beam Schedule'!$A$2:$Q$2902,R$2,0)&lt;&gt;B2345,VLOOKUP($A2345,'Concrete Beam Schedule'!$A$2:$Q$2902,R$2,0),"")</f>
        <v>#N/A</v>
      </c>
      <c r="S2345" s="7" t="e">
        <f>IF(VLOOKUP($A2345,'Concrete Beam Schedule'!$A$2:$Q$2902,S$2,0)&lt;&gt;C2345,VLOOKUP($A2345,'Concrete Beam Schedule'!$A$2:$Q$2902,S$2,0),"")</f>
        <v>#N/A</v>
      </c>
      <c r="T2345" s="7" t="e">
        <f>IF(VLOOKUP($A2345,'Concrete Beam Schedule'!$A$2:$Q$2902,T$2,0)&lt;&gt;D2345,"Beam Revised","")</f>
        <v>#N/A</v>
      </c>
      <c r="U2345" s="7" t="e">
        <f>IF(VLOOKUP($A2345,'Concrete Beam Schedule'!$A$2:$Q$2902,U$2,0)&lt;&gt;E2345,"Beam Revised","")</f>
        <v>#N/A</v>
      </c>
      <c r="V2345" s="7" t="e">
        <f>IF(VLOOKUP($A2345,'Concrete Beam Schedule'!$A$2:$Q$2902,V$2,0)&lt;&gt;F2345,"Beam Revised","")</f>
        <v>#N/A</v>
      </c>
      <c r="W2345" s="7" t="e">
        <f>IF(VLOOKUP($A2345,'Concrete Beam Schedule'!$A$2:$Q$2902,W$2,0)&lt;&gt;G2345,"Beam Revised","")</f>
        <v>#N/A</v>
      </c>
      <c r="X2345" s="7" t="e">
        <f>IF(VLOOKUP($A2345,'Concrete Beam Schedule'!$A$2:$Q$2902,X$2,0)&lt;&gt;H2345,"Beam Revised","")</f>
        <v>#N/A</v>
      </c>
      <c r="Y2345" s="7" t="e">
        <f>IF(VLOOKUP($A2345,'Concrete Beam Schedule'!$A$2:$Q$2902,Y$2,0)&lt;&gt;I2345,"Beam Revised","")</f>
        <v>#N/A</v>
      </c>
      <c r="Z2345" s="7" t="e">
        <f>IF(VLOOKUP($A2345,'Concrete Beam Schedule'!$A$2:$Q$2902,Z$2,0)&lt;&gt;J2345,"Beam Revised","")</f>
        <v>#N/A</v>
      </c>
      <c r="AA2345" s="7" t="e">
        <f>IF(VLOOKUP($A2345,'Concrete Beam Schedule'!$A$2:$Q$2902,AA$2,0)&lt;&gt;K2345,"Beam Revised","")</f>
        <v>#N/A</v>
      </c>
      <c r="AB2345" s="7" t="e">
        <f>IF(VLOOKUP($A2345,'Concrete Beam Schedule'!$A$2:$Q$2902,AB$2,0)&lt;&gt;L2345,"Beam Revised","")</f>
        <v>#N/A</v>
      </c>
      <c r="AC2345" s="7" t="e">
        <f>IF(VLOOKUP($A2345,'Concrete Beam Schedule'!$A$2:$Q$2902,AC$2,0)&lt;&gt;M2345,"Beam Revised","")</f>
        <v>#N/A</v>
      </c>
      <c r="AD2345" s="7" t="e">
        <f>IF(VLOOKUP($A2345,'Concrete Beam Schedule'!$A$2:$Q$2902,AD$2,0)&lt;&gt;N2345,"Beam Revised","")</f>
        <v>#N/A</v>
      </c>
      <c r="AE2345" s="7" t="e">
        <f>IF(VLOOKUP($A2345,'Concrete Beam Schedule'!$A$2:$Q$2902,AE$2,0)&lt;&gt;O2345,"Beam Revised","")</f>
        <v>#N/A</v>
      </c>
    </row>
    <row r="2346" spans="17:31" ht="20.100000000000001" customHeight="1" x14ac:dyDescent="0.25">
      <c r="Q2346" s="7">
        <f t="shared" si="36"/>
        <v>0</v>
      </c>
      <c r="R2346" s="7" t="e">
        <f>IF(VLOOKUP($A2346,'Concrete Beam Schedule'!$A$2:$Q$2902,R$2,0)&lt;&gt;B2346,VLOOKUP($A2346,'Concrete Beam Schedule'!$A$2:$Q$2902,R$2,0),"")</f>
        <v>#N/A</v>
      </c>
      <c r="S2346" s="7" t="e">
        <f>IF(VLOOKUP($A2346,'Concrete Beam Schedule'!$A$2:$Q$2902,S$2,0)&lt;&gt;C2346,VLOOKUP($A2346,'Concrete Beam Schedule'!$A$2:$Q$2902,S$2,0),"")</f>
        <v>#N/A</v>
      </c>
      <c r="T2346" s="7" t="e">
        <f>IF(VLOOKUP($A2346,'Concrete Beam Schedule'!$A$2:$Q$2902,T$2,0)&lt;&gt;D2346,"Beam Revised","")</f>
        <v>#N/A</v>
      </c>
      <c r="U2346" s="7" t="e">
        <f>IF(VLOOKUP($A2346,'Concrete Beam Schedule'!$A$2:$Q$2902,U$2,0)&lt;&gt;E2346,"Beam Revised","")</f>
        <v>#N/A</v>
      </c>
      <c r="V2346" s="7" t="e">
        <f>IF(VLOOKUP($A2346,'Concrete Beam Schedule'!$A$2:$Q$2902,V$2,0)&lt;&gt;F2346,"Beam Revised","")</f>
        <v>#N/A</v>
      </c>
      <c r="W2346" s="7" t="e">
        <f>IF(VLOOKUP($A2346,'Concrete Beam Schedule'!$A$2:$Q$2902,W$2,0)&lt;&gt;G2346,"Beam Revised","")</f>
        <v>#N/A</v>
      </c>
      <c r="X2346" s="7" t="e">
        <f>IF(VLOOKUP($A2346,'Concrete Beam Schedule'!$A$2:$Q$2902,X$2,0)&lt;&gt;H2346,"Beam Revised","")</f>
        <v>#N/A</v>
      </c>
      <c r="Y2346" s="7" t="e">
        <f>IF(VLOOKUP($A2346,'Concrete Beam Schedule'!$A$2:$Q$2902,Y$2,0)&lt;&gt;I2346,"Beam Revised","")</f>
        <v>#N/A</v>
      </c>
      <c r="Z2346" s="7" t="e">
        <f>IF(VLOOKUP($A2346,'Concrete Beam Schedule'!$A$2:$Q$2902,Z$2,0)&lt;&gt;J2346,"Beam Revised","")</f>
        <v>#N/A</v>
      </c>
      <c r="AA2346" s="7" t="e">
        <f>IF(VLOOKUP($A2346,'Concrete Beam Schedule'!$A$2:$Q$2902,AA$2,0)&lt;&gt;K2346,"Beam Revised","")</f>
        <v>#N/A</v>
      </c>
      <c r="AB2346" s="7" t="e">
        <f>IF(VLOOKUP($A2346,'Concrete Beam Schedule'!$A$2:$Q$2902,AB$2,0)&lt;&gt;L2346,"Beam Revised","")</f>
        <v>#N/A</v>
      </c>
      <c r="AC2346" s="7" t="e">
        <f>IF(VLOOKUP($A2346,'Concrete Beam Schedule'!$A$2:$Q$2902,AC$2,0)&lt;&gt;M2346,"Beam Revised","")</f>
        <v>#N/A</v>
      </c>
      <c r="AD2346" s="7" t="e">
        <f>IF(VLOOKUP($A2346,'Concrete Beam Schedule'!$A$2:$Q$2902,AD$2,0)&lt;&gt;N2346,"Beam Revised","")</f>
        <v>#N/A</v>
      </c>
      <c r="AE2346" s="7" t="e">
        <f>IF(VLOOKUP($A2346,'Concrete Beam Schedule'!$A$2:$Q$2902,AE$2,0)&lt;&gt;O2346,"Beam Revised","")</f>
        <v>#N/A</v>
      </c>
    </row>
    <row r="2347" spans="17:31" ht="20.100000000000001" customHeight="1" x14ac:dyDescent="0.25">
      <c r="Q2347" s="7">
        <f t="shared" si="36"/>
        <v>0</v>
      </c>
      <c r="R2347" s="7" t="e">
        <f>IF(VLOOKUP($A2347,'Concrete Beam Schedule'!$A$2:$Q$2902,R$2,0)&lt;&gt;B2347,VLOOKUP($A2347,'Concrete Beam Schedule'!$A$2:$Q$2902,R$2,0),"")</f>
        <v>#N/A</v>
      </c>
      <c r="S2347" s="7" t="e">
        <f>IF(VLOOKUP($A2347,'Concrete Beam Schedule'!$A$2:$Q$2902,S$2,0)&lt;&gt;C2347,VLOOKUP($A2347,'Concrete Beam Schedule'!$A$2:$Q$2902,S$2,0),"")</f>
        <v>#N/A</v>
      </c>
      <c r="T2347" s="7" t="e">
        <f>IF(VLOOKUP($A2347,'Concrete Beam Schedule'!$A$2:$Q$2902,T$2,0)&lt;&gt;D2347,"Beam Revised","")</f>
        <v>#N/A</v>
      </c>
      <c r="U2347" s="7" t="e">
        <f>IF(VLOOKUP($A2347,'Concrete Beam Schedule'!$A$2:$Q$2902,U$2,0)&lt;&gt;E2347,"Beam Revised","")</f>
        <v>#N/A</v>
      </c>
      <c r="V2347" s="7" t="e">
        <f>IF(VLOOKUP($A2347,'Concrete Beam Schedule'!$A$2:$Q$2902,V$2,0)&lt;&gt;F2347,"Beam Revised","")</f>
        <v>#N/A</v>
      </c>
      <c r="W2347" s="7" t="e">
        <f>IF(VLOOKUP($A2347,'Concrete Beam Schedule'!$A$2:$Q$2902,W$2,0)&lt;&gt;G2347,"Beam Revised","")</f>
        <v>#N/A</v>
      </c>
      <c r="X2347" s="7" t="e">
        <f>IF(VLOOKUP($A2347,'Concrete Beam Schedule'!$A$2:$Q$2902,X$2,0)&lt;&gt;H2347,"Beam Revised","")</f>
        <v>#N/A</v>
      </c>
      <c r="Y2347" s="7" t="e">
        <f>IF(VLOOKUP($A2347,'Concrete Beam Schedule'!$A$2:$Q$2902,Y$2,0)&lt;&gt;I2347,"Beam Revised","")</f>
        <v>#N/A</v>
      </c>
      <c r="Z2347" s="7" t="e">
        <f>IF(VLOOKUP($A2347,'Concrete Beam Schedule'!$A$2:$Q$2902,Z$2,0)&lt;&gt;J2347,"Beam Revised","")</f>
        <v>#N/A</v>
      </c>
      <c r="AA2347" s="7" t="e">
        <f>IF(VLOOKUP($A2347,'Concrete Beam Schedule'!$A$2:$Q$2902,AA$2,0)&lt;&gt;K2347,"Beam Revised","")</f>
        <v>#N/A</v>
      </c>
      <c r="AB2347" s="7" t="e">
        <f>IF(VLOOKUP($A2347,'Concrete Beam Schedule'!$A$2:$Q$2902,AB$2,0)&lt;&gt;L2347,"Beam Revised","")</f>
        <v>#N/A</v>
      </c>
      <c r="AC2347" s="7" t="e">
        <f>IF(VLOOKUP($A2347,'Concrete Beam Schedule'!$A$2:$Q$2902,AC$2,0)&lt;&gt;M2347,"Beam Revised","")</f>
        <v>#N/A</v>
      </c>
      <c r="AD2347" s="7" t="e">
        <f>IF(VLOOKUP($A2347,'Concrete Beam Schedule'!$A$2:$Q$2902,AD$2,0)&lt;&gt;N2347,"Beam Revised","")</f>
        <v>#N/A</v>
      </c>
      <c r="AE2347" s="7" t="e">
        <f>IF(VLOOKUP($A2347,'Concrete Beam Schedule'!$A$2:$Q$2902,AE$2,0)&lt;&gt;O2347,"Beam Revised","")</f>
        <v>#N/A</v>
      </c>
    </row>
    <row r="2348" spans="17:31" ht="20.100000000000001" customHeight="1" x14ac:dyDescent="0.25">
      <c r="Q2348" s="7">
        <f t="shared" si="36"/>
        <v>0</v>
      </c>
      <c r="R2348" s="7" t="e">
        <f>IF(VLOOKUP($A2348,'Concrete Beam Schedule'!$A$2:$Q$2902,R$2,0)&lt;&gt;B2348,VLOOKUP($A2348,'Concrete Beam Schedule'!$A$2:$Q$2902,R$2,0),"")</f>
        <v>#N/A</v>
      </c>
      <c r="S2348" s="7" t="e">
        <f>IF(VLOOKUP($A2348,'Concrete Beam Schedule'!$A$2:$Q$2902,S$2,0)&lt;&gt;C2348,VLOOKUP($A2348,'Concrete Beam Schedule'!$A$2:$Q$2902,S$2,0),"")</f>
        <v>#N/A</v>
      </c>
      <c r="T2348" s="7" t="e">
        <f>IF(VLOOKUP($A2348,'Concrete Beam Schedule'!$A$2:$Q$2902,T$2,0)&lt;&gt;D2348,"Beam Revised","")</f>
        <v>#N/A</v>
      </c>
      <c r="U2348" s="7" t="e">
        <f>IF(VLOOKUP($A2348,'Concrete Beam Schedule'!$A$2:$Q$2902,U$2,0)&lt;&gt;E2348,"Beam Revised","")</f>
        <v>#N/A</v>
      </c>
      <c r="V2348" s="7" t="e">
        <f>IF(VLOOKUP($A2348,'Concrete Beam Schedule'!$A$2:$Q$2902,V$2,0)&lt;&gt;F2348,"Beam Revised","")</f>
        <v>#N/A</v>
      </c>
      <c r="W2348" s="7" t="e">
        <f>IF(VLOOKUP($A2348,'Concrete Beam Schedule'!$A$2:$Q$2902,W$2,0)&lt;&gt;G2348,"Beam Revised","")</f>
        <v>#N/A</v>
      </c>
      <c r="X2348" s="7" t="e">
        <f>IF(VLOOKUP($A2348,'Concrete Beam Schedule'!$A$2:$Q$2902,X$2,0)&lt;&gt;H2348,"Beam Revised","")</f>
        <v>#N/A</v>
      </c>
      <c r="Y2348" s="7" t="e">
        <f>IF(VLOOKUP($A2348,'Concrete Beam Schedule'!$A$2:$Q$2902,Y$2,0)&lt;&gt;I2348,"Beam Revised","")</f>
        <v>#N/A</v>
      </c>
      <c r="Z2348" s="7" t="e">
        <f>IF(VLOOKUP($A2348,'Concrete Beam Schedule'!$A$2:$Q$2902,Z$2,0)&lt;&gt;J2348,"Beam Revised","")</f>
        <v>#N/A</v>
      </c>
      <c r="AA2348" s="7" t="e">
        <f>IF(VLOOKUP($A2348,'Concrete Beam Schedule'!$A$2:$Q$2902,AA$2,0)&lt;&gt;K2348,"Beam Revised","")</f>
        <v>#N/A</v>
      </c>
      <c r="AB2348" s="7" t="e">
        <f>IF(VLOOKUP($A2348,'Concrete Beam Schedule'!$A$2:$Q$2902,AB$2,0)&lt;&gt;L2348,"Beam Revised","")</f>
        <v>#N/A</v>
      </c>
      <c r="AC2348" s="7" t="e">
        <f>IF(VLOOKUP($A2348,'Concrete Beam Schedule'!$A$2:$Q$2902,AC$2,0)&lt;&gt;M2348,"Beam Revised","")</f>
        <v>#N/A</v>
      </c>
      <c r="AD2348" s="7" t="e">
        <f>IF(VLOOKUP($A2348,'Concrete Beam Schedule'!$A$2:$Q$2902,AD$2,0)&lt;&gt;N2348,"Beam Revised","")</f>
        <v>#N/A</v>
      </c>
      <c r="AE2348" s="7" t="e">
        <f>IF(VLOOKUP($A2348,'Concrete Beam Schedule'!$A$2:$Q$2902,AE$2,0)&lt;&gt;O2348,"Beam Revised","")</f>
        <v>#N/A</v>
      </c>
    </row>
    <row r="2349" spans="17:31" ht="20.100000000000001" customHeight="1" x14ac:dyDescent="0.25">
      <c r="Q2349" s="7">
        <f t="shared" si="36"/>
        <v>0</v>
      </c>
      <c r="R2349" s="7" t="e">
        <f>IF(VLOOKUP($A2349,'Concrete Beam Schedule'!$A$2:$Q$2902,R$2,0)&lt;&gt;B2349,VLOOKUP($A2349,'Concrete Beam Schedule'!$A$2:$Q$2902,R$2,0),"")</f>
        <v>#N/A</v>
      </c>
      <c r="S2349" s="7" t="e">
        <f>IF(VLOOKUP($A2349,'Concrete Beam Schedule'!$A$2:$Q$2902,S$2,0)&lt;&gt;C2349,VLOOKUP($A2349,'Concrete Beam Schedule'!$A$2:$Q$2902,S$2,0),"")</f>
        <v>#N/A</v>
      </c>
      <c r="T2349" s="7" t="e">
        <f>IF(VLOOKUP($A2349,'Concrete Beam Schedule'!$A$2:$Q$2902,T$2,0)&lt;&gt;D2349,"Beam Revised","")</f>
        <v>#N/A</v>
      </c>
      <c r="U2349" s="7" t="e">
        <f>IF(VLOOKUP($A2349,'Concrete Beam Schedule'!$A$2:$Q$2902,U$2,0)&lt;&gt;E2349,"Beam Revised","")</f>
        <v>#N/A</v>
      </c>
      <c r="V2349" s="7" t="e">
        <f>IF(VLOOKUP($A2349,'Concrete Beam Schedule'!$A$2:$Q$2902,V$2,0)&lt;&gt;F2349,"Beam Revised","")</f>
        <v>#N/A</v>
      </c>
      <c r="W2349" s="7" t="e">
        <f>IF(VLOOKUP($A2349,'Concrete Beam Schedule'!$A$2:$Q$2902,W$2,0)&lt;&gt;G2349,"Beam Revised","")</f>
        <v>#N/A</v>
      </c>
      <c r="X2349" s="7" t="e">
        <f>IF(VLOOKUP($A2349,'Concrete Beam Schedule'!$A$2:$Q$2902,X$2,0)&lt;&gt;H2349,"Beam Revised","")</f>
        <v>#N/A</v>
      </c>
      <c r="Y2349" s="7" t="e">
        <f>IF(VLOOKUP($A2349,'Concrete Beam Schedule'!$A$2:$Q$2902,Y$2,0)&lt;&gt;I2349,"Beam Revised","")</f>
        <v>#N/A</v>
      </c>
      <c r="Z2349" s="7" t="e">
        <f>IF(VLOOKUP($A2349,'Concrete Beam Schedule'!$A$2:$Q$2902,Z$2,0)&lt;&gt;J2349,"Beam Revised","")</f>
        <v>#N/A</v>
      </c>
      <c r="AA2349" s="7" t="e">
        <f>IF(VLOOKUP($A2349,'Concrete Beam Schedule'!$A$2:$Q$2902,AA$2,0)&lt;&gt;K2349,"Beam Revised","")</f>
        <v>#N/A</v>
      </c>
      <c r="AB2349" s="7" t="e">
        <f>IF(VLOOKUP($A2349,'Concrete Beam Schedule'!$A$2:$Q$2902,AB$2,0)&lt;&gt;L2349,"Beam Revised","")</f>
        <v>#N/A</v>
      </c>
      <c r="AC2349" s="7" t="e">
        <f>IF(VLOOKUP($A2349,'Concrete Beam Schedule'!$A$2:$Q$2902,AC$2,0)&lt;&gt;M2349,"Beam Revised","")</f>
        <v>#N/A</v>
      </c>
      <c r="AD2349" s="7" t="e">
        <f>IF(VLOOKUP($A2349,'Concrete Beam Schedule'!$A$2:$Q$2902,AD$2,0)&lt;&gt;N2349,"Beam Revised","")</f>
        <v>#N/A</v>
      </c>
      <c r="AE2349" s="7" t="e">
        <f>IF(VLOOKUP($A2349,'Concrete Beam Schedule'!$A$2:$Q$2902,AE$2,0)&lt;&gt;O2349,"Beam Revised","")</f>
        <v>#N/A</v>
      </c>
    </row>
    <row r="2350" spans="17:31" ht="20.100000000000001" customHeight="1" x14ac:dyDescent="0.25">
      <c r="Q2350" s="7">
        <f t="shared" si="36"/>
        <v>0</v>
      </c>
      <c r="R2350" s="7" t="e">
        <f>IF(VLOOKUP($A2350,'Concrete Beam Schedule'!$A$2:$Q$2902,R$2,0)&lt;&gt;B2350,VLOOKUP($A2350,'Concrete Beam Schedule'!$A$2:$Q$2902,R$2,0),"")</f>
        <v>#N/A</v>
      </c>
      <c r="S2350" s="7" t="e">
        <f>IF(VLOOKUP($A2350,'Concrete Beam Schedule'!$A$2:$Q$2902,S$2,0)&lt;&gt;C2350,VLOOKUP($A2350,'Concrete Beam Schedule'!$A$2:$Q$2902,S$2,0),"")</f>
        <v>#N/A</v>
      </c>
      <c r="T2350" s="7" t="e">
        <f>IF(VLOOKUP($A2350,'Concrete Beam Schedule'!$A$2:$Q$2902,T$2,0)&lt;&gt;D2350,"Beam Revised","")</f>
        <v>#N/A</v>
      </c>
      <c r="U2350" s="7" t="e">
        <f>IF(VLOOKUP($A2350,'Concrete Beam Schedule'!$A$2:$Q$2902,U$2,0)&lt;&gt;E2350,"Beam Revised","")</f>
        <v>#N/A</v>
      </c>
      <c r="V2350" s="7" t="e">
        <f>IF(VLOOKUP($A2350,'Concrete Beam Schedule'!$A$2:$Q$2902,V$2,0)&lt;&gt;F2350,"Beam Revised","")</f>
        <v>#N/A</v>
      </c>
      <c r="W2350" s="7" t="e">
        <f>IF(VLOOKUP($A2350,'Concrete Beam Schedule'!$A$2:$Q$2902,W$2,0)&lt;&gt;G2350,"Beam Revised","")</f>
        <v>#N/A</v>
      </c>
      <c r="X2350" s="7" t="e">
        <f>IF(VLOOKUP($A2350,'Concrete Beam Schedule'!$A$2:$Q$2902,X$2,0)&lt;&gt;H2350,"Beam Revised","")</f>
        <v>#N/A</v>
      </c>
      <c r="Y2350" s="7" t="e">
        <f>IF(VLOOKUP($A2350,'Concrete Beam Schedule'!$A$2:$Q$2902,Y$2,0)&lt;&gt;I2350,"Beam Revised","")</f>
        <v>#N/A</v>
      </c>
      <c r="Z2350" s="7" t="e">
        <f>IF(VLOOKUP($A2350,'Concrete Beam Schedule'!$A$2:$Q$2902,Z$2,0)&lt;&gt;J2350,"Beam Revised","")</f>
        <v>#N/A</v>
      </c>
      <c r="AA2350" s="7" t="e">
        <f>IF(VLOOKUP($A2350,'Concrete Beam Schedule'!$A$2:$Q$2902,AA$2,0)&lt;&gt;K2350,"Beam Revised","")</f>
        <v>#N/A</v>
      </c>
      <c r="AB2350" s="7" t="e">
        <f>IF(VLOOKUP($A2350,'Concrete Beam Schedule'!$A$2:$Q$2902,AB$2,0)&lt;&gt;L2350,"Beam Revised","")</f>
        <v>#N/A</v>
      </c>
      <c r="AC2350" s="7" t="e">
        <f>IF(VLOOKUP($A2350,'Concrete Beam Schedule'!$A$2:$Q$2902,AC$2,0)&lt;&gt;M2350,"Beam Revised","")</f>
        <v>#N/A</v>
      </c>
      <c r="AD2350" s="7" t="e">
        <f>IF(VLOOKUP($A2350,'Concrete Beam Schedule'!$A$2:$Q$2902,AD$2,0)&lt;&gt;N2350,"Beam Revised","")</f>
        <v>#N/A</v>
      </c>
      <c r="AE2350" s="7" t="e">
        <f>IF(VLOOKUP($A2350,'Concrete Beam Schedule'!$A$2:$Q$2902,AE$2,0)&lt;&gt;O2350,"Beam Revised","")</f>
        <v>#N/A</v>
      </c>
    </row>
    <row r="2351" spans="17:31" ht="20.100000000000001" customHeight="1" x14ac:dyDescent="0.25">
      <c r="Q2351" s="7">
        <f t="shared" si="36"/>
        <v>0</v>
      </c>
      <c r="R2351" s="7" t="e">
        <f>IF(VLOOKUP($A2351,'Concrete Beam Schedule'!$A$2:$Q$2902,R$2,0)&lt;&gt;B2351,VLOOKUP($A2351,'Concrete Beam Schedule'!$A$2:$Q$2902,R$2,0),"")</f>
        <v>#N/A</v>
      </c>
      <c r="S2351" s="7" t="e">
        <f>IF(VLOOKUP($A2351,'Concrete Beam Schedule'!$A$2:$Q$2902,S$2,0)&lt;&gt;C2351,VLOOKUP($A2351,'Concrete Beam Schedule'!$A$2:$Q$2902,S$2,0),"")</f>
        <v>#N/A</v>
      </c>
      <c r="T2351" s="7" t="e">
        <f>IF(VLOOKUP($A2351,'Concrete Beam Schedule'!$A$2:$Q$2902,T$2,0)&lt;&gt;D2351,"Beam Revised","")</f>
        <v>#N/A</v>
      </c>
      <c r="U2351" s="7" t="e">
        <f>IF(VLOOKUP($A2351,'Concrete Beam Schedule'!$A$2:$Q$2902,U$2,0)&lt;&gt;E2351,"Beam Revised","")</f>
        <v>#N/A</v>
      </c>
      <c r="V2351" s="7" t="e">
        <f>IF(VLOOKUP($A2351,'Concrete Beam Schedule'!$A$2:$Q$2902,V$2,0)&lt;&gt;F2351,"Beam Revised","")</f>
        <v>#N/A</v>
      </c>
      <c r="W2351" s="7" t="e">
        <f>IF(VLOOKUP($A2351,'Concrete Beam Schedule'!$A$2:$Q$2902,W$2,0)&lt;&gt;G2351,"Beam Revised","")</f>
        <v>#N/A</v>
      </c>
      <c r="X2351" s="7" t="e">
        <f>IF(VLOOKUP($A2351,'Concrete Beam Schedule'!$A$2:$Q$2902,X$2,0)&lt;&gt;H2351,"Beam Revised","")</f>
        <v>#N/A</v>
      </c>
      <c r="Y2351" s="7" t="e">
        <f>IF(VLOOKUP($A2351,'Concrete Beam Schedule'!$A$2:$Q$2902,Y$2,0)&lt;&gt;I2351,"Beam Revised","")</f>
        <v>#N/A</v>
      </c>
      <c r="Z2351" s="7" t="e">
        <f>IF(VLOOKUP($A2351,'Concrete Beam Schedule'!$A$2:$Q$2902,Z$2,0)&lt;&gt;J2351,"Beam Revised","")</f>
        <v>#N/A</v>
      </c>
      <c r="AA2351" s="7" t="e">
        <f>IF(VLOOKUP($A2351,'Concrete Beam Schedule'!$A$2:$Q$2902,AA$2,0)&lt;&gt;K2351,"Beam Revised","")</f>
        <v>#N/A</v>
      </c>
      <c r="AB2351" s="7" t="e">
        <f>IF(VLOOKUP($A2351,'Concrete Beam Schedule'!$A$2:$Q$2902,AB$2,0)&lt;&gt;L2351,"Beam Revised","")</f>
        <v>#N/A</v>
      </c>
      <c r="AC2351" s="7" t="e">
        <f>IF(VLOOKUP($A2351,'Concrete Beam Schedule'!$A$2:$Q$2902,AC$2,0)&lt;&gt;M2351,"Beam Revised","")</f>
        <v>#N/A</v>
      </c>
      <c r="AD2351" s="7" t="e">
        <f>IF(VLOOKUP($A2351,'Concrete Beam Schedule'!$A$2:$Q$2902,AD$2,0)&lt;&gt;N2351,"Beam Revised","")</f>
        <v>#N/A</v>
      </c>
      <c r="AE2351" s="7" t="e">
        <f>IF(VLOOKUP($A2351,'Concrete Beam Schedule'!$A$2:$Q$2902,AE$2,0)&lt;&gt;O2351,"Beam Revised","")</f>
        <v>#N/A</v>
      </c>
    </row>
    <row r="2352" spans="17:31" ht="20.100000000000001" customHeight="1" x14ac:dyDescent="0.25">
      <c r="Q2352" s="7">
        <f t="shared" si="36"/>
        <v>0</v>
      </c>
      <c r="R2352" s="7" t="e">
        <f>IF(VLOOKUP($A2352,'Concrete Beam Schedule'!$A$2:$Q$2902,R$2,0)&lt;&gt;B2352,VLOOKUP($A2352,'Concrete Beam Schedule'!$A$2:$Q$2902,R$2,0),"")</f>
        <v>#N/A</v>
      </c>
      <c r="S2352" s="7" t="e">
        <f>IF(VLOOKUP($A2352,'Concrete Beam Schedule'!$A$2:$Q$2902,S$2,0)&lt;&gt;C2352,VLOOKUP($A2352,'Concrete Beam Schedule'!$A$2:$Q$2902,S$2,0),"")</f>
        <v>#N/A</v>
      </c>
      <c r="T2352" s="7" t="e">
        <f>IF(VLOOKUP($A2352,'Concrete Beam Schedule'!$A$2:$Q$2902,T$2,0)&lt;&gt;D2352,"Beam Revised","")</f>
        <v>#N/A</v>
      </c>
      <c r="U2352" s="7" t="e">
        <f>IF(VLOOKUP($A2352,'Concrete Beam Schedule'!$A$2:$Q$2902,U$2,0)&lt;&gt;E2352,"Beam Revised","")</f>
        <v>#N/A</v>
      </c>
      <c r="V2352" s="7" t="e">
        <f>IF(VLOOKUP($A2352,'Concrete Beam Schedule'!$A$2:$Q$2902,V$2,0)&lt;&gt;F2352,"Beam Revised","")</f>
        <v>#N/A</v>
      </c>
      <c r="W2352" s="7" t="e">
        <f>IF(VLOOKUP($A2352,'Concrete Beam Schedule'!$A$2:$Q$2902,W$2,0)&lt;&gt;G2352,"Beam Revised","")</f>
        <v>#N/A</v>
      </c>
      <c r="X2352" s="7" t="e">
        <f>IF(VLOOKUP($A2352,'Concrete Beam Schedule'!$A$2:$Q$2902,X$2,0)&lt;&gt;H2352,"Beam Revised","")</f>
        <v>#N/A</v>
      </c>
      <c r="Y2352" s="7" t="e">
        <f>IF(VLOOKUP($A2352,'Concrete Beam Schedule'!$A$2:$Q$2902,Y$2,0)&lt;&gt;I2352,"Beam Revised","")</f>
        <v>#N/A</v>
      </c>
      <c r="Z2352" s="7" t="e">
        <f>IF(VLOOKUP($A2352,'Concrete Beam Schedule'!$A$2:$Q$2902,Z$2,0)&lt;&gt;J2352,"Beam Revised","")</f>
        <v>#N/A</v>
      </c>
      <c r="AA2352" s="7" t="e">
        <f>IF(VLOOKUP($A2352,'Concrete Beam Schedule'!$A$2:$Q$2902,AA$2,0)&lt;&gt;K2352,"Beam Revised","")</f>
        <v>#N/A</v>
      </c>
      <c r="AB2352" s="7" t="e">
        <f>IF(VLOOKUP($A2352,'Concrete Beam Schedule'!$A$2:$Q$2902,AB$2,0)&lt;&gt;L2352,"Beam Revised","")</f>
        <v>#N/A</v>
      </c>
      <c r="AC2352" s="7" t="e">
        <f>IF(VLOOKUP($A2352,'Concrete Beam Schedule'!$A$2:$Q$2902,AC$2,0)&lt;&gt;M2352,"Beam Revised","")</f>
        <v>#N/A</v>
      </c>
      <c r="AD2352" s="7" t="e">
        <f>IF(VLOOKUP($A2352,'Concrete Beam Schedule'!$A$2:$Q$2902,AD$2,0)&lt;&gt;N2352,"Beam Revised","")</f>
        <v>#N/A</v>
      </c>
      <c r="AE2352" s="7" t="e">
        <f>IF(VLOOKUP($A2352,'Concrete Beam Schedule'!$A$2:$Q$2902,AE$2,0)&lt;&gt;O2352,"Beam Revised","")</f>
        <v>#N/A</v>
      </c>
    </row>
    <row r="2353" spans="17:31" ht="20.100000000000001" customHeight="1" x14ac:dyDescent="0.25">
      <c r="Q2353" s="7">
        <f t="shared" si="36"/>
        <v>0</v>
      </c>
      <c r="R2353" s="7" t="e">
        <f>IF(VLOOKUP($A2353,'Concrete Beam Schedule'!$A$2:$Q$2902,R$2,0)&lt;&gt;B2353,VLOOKUP($A2353,'Concrete Beam Schedule'!$A$2:$Q$2902,R$2,0),"")</f>
        <v>#N/A</v>
      </c>
      <c r="S2353" s="7" t="e">
        <f>IF(VLOOKUP($A2353,'Concrete Beam Schedule'!$A$2:$Q$2902,S$2,0)&lt;&gt;C2353,VLOOKUP($A2353,'Concrete Beam Schedule'!$A$2:$Q$2902,S$2,0),"")</f>
        <v>#N/A</v>
      </c>
      <c r="T2353" s="7" t="e">
        <f>IF(VLOOKUP($A2353,'Concrete Beam Schedule'!$A$2:$Q$2902,T$2,0)&lt;&gt;D2353,"Beam Revised","")</f>
        <v>#N/A</v>
      </c>
      <c r="U2353" s="7" t="e">
        <f>IF(VLOOKUP($A2353,'Concrete Beam Schedule'!$A$2:$Q$2902,U$2,0)&lt;&gt;E2353,"Beam Revised","")</f>
        <v>#N/A</v>
      </c>
      <c r="V2353" s="7" t="e">
        <f>IF(VLOOKUP($A2353,'Concrete Beam Schedule'!$A$2:$Q$2902,V$2,0)&lt;&gt;F2353,"Beam Revised","")</f>
        <v>#N/A</v>
      </c>
      <c r="W2353" s="7" t="e">
        <f>IF(VLOOKUP($A2353,'Concrete Beam Schedule'!$A$2:$Q$2902,W$2,0)&lt;&gt;G2353,"Beam Revised","")</f>
        <v>#N/A</v>
      </c>
      <c r="X2353" s="7" t="e">
        <f>IF(VLOOKUP($A2353,'Concrete Beam Schedule'!$A$2:$Q$2902,X$2,0)&lt;&gt;H2353,"Beam Revised","")</f>
        <v>#N/A</v>
      </c>
      <c r="Y2353" s="7" t="e">
        <f>IF(VLOOKUP($A2353,'Concrete Beam Schedule'!$A$2:$Q$2902,Y$2,0)&lt;&gt;I2353,"Beam Revised","")</f>
        <v>#N/A</v>
      </c>
      <c r="Z2353" s="7" t="e">
        <f>IF(VLOOKUP($A2353,'Concrete Beam Schedule'!$A$2:$Q$2902,Z$2,0)&lt;&gt;J2353,"Beam Revised","")</f>
        <v>#N/A</v>
      </c>
      <c r="AA2353" s="7" t="e">
        <f>IF(VLOOKUP($A2353,'Concrete Beam Schedule'!$A$2:$Q$2902,AA$2,0)&lt;&gt;K2353,"Beam Revised","")</f>
        <v>#N/A</v>
      </c>
      <c r="AB2353" s="7" t="e">
        <f>IF(VLOOKUP($A2353,'Concrete Beam Schedule'!$A$2:$Q$2902,AB$2,0)&lt;&gt;L2353,"Beam Revised","")</f>
        <v>#N/A</v>
      </c>
      <c r="AC2353" s="7" t="e">
        <f>IF(VLOOKUP($A2353,'Concrete Beam Schedule'!$A$2:$Q$2902,AC$2,0)&lt;&gt;M2353,"Beam Revised","")</f>
        <v>#N/A</v>
      </c>
      <c r="AD2353" s="7" t="e">
        <f>IF(VLOOKUP($A2353,'Concrete Beam Schedule'!$A$2:$Q$2902,AD$2,0)&lt;&gt;N2353,"Beam Revised","")</f>
        <v>#N/A</v>
      </c>
      <c r="AE2353" s="7" t="e">
        <f>IF(VLOOKUP($A2353,'Concrete Beam Schedule'!$A$2:$Q$2902,AE$2,0)&lt;&gt;O2353,"Beam Revised","")</f>
        <v>#N/A</v>
      </c>
    </row>
    <row r="2354" spans="17:31" ht="20.100000000000001" customHeight="1" x14ac:dyDescent="0.25">
      <c r="Q2354" s="7">
        <f t="shared" si="36"/>
        <v>0</v>
      </c>
      <c r="R2354" s="7" t="e">
        <f>IF(VLOOKUP($A2354,'Concrete Beam Schedule'!$A$2:$Q$2902,R$2,0)&lt;&gt;B2354,VLOOKUP($A2354,'Concrete Beam Schedule'!$A$2:$Q$2902,R$2,0),"")</f>
        <v>#N/A</v>
      </c>
      <c r="S2354" s="7" t="e">
        <f>IF(VLOOKUP($A2354,'Concrete Beam Schedule'!$A$2:$Q$2902,S$2,0)&lt;&gt;C2354,VLOOKUP($A2354,'Concrete Beam Schedule'!$A$2:$Q$2902,S$2,0),"")</f>
        <v>#N/A</v>
      </c>
      <c r="T2354" s="7" t="e">
        <f>IF(VLOOKUP($A2354,'Concrete Beam Schedule'!$A$2:$Q$2902,T$2,0)&lt;&gt;D2354,"Beam Revised","")</f>
        <v>#N/A</v>
      </c>
      <c r="U2354" s="7" t="e">
        <f>IF(VLOOKUP($A2354,'Concrete Beam Schedule'!$A$2:$Q$2902,U$2,0)&lt;&gt;E2354,"Beam Revised","")</f>
        <v>#N/A</v>
      </c>
      <c r="V2354" s="7" t="e">
        <f>IF(VLOOKUP($A2354,'Concrete Beam Schedule'!$A$2:$Q$2902,V$2,0)&lt;&gt;F2354,"Beam Revised","")</f>
        <v>#N/A</v>
      </c>
      <c r="W2354" s="7" t="e">
        <f>IF(VLOOKUP($A2354,'Concrete Beam Schedule'!$A$2:$Q$2902,W$2,0)&lt;&gt;G2354,"Beam Revised","")</f>
        <v>#N/A</v>
      </c>
      <c r="X2354" s="7" t="e">
        <f>IF(VLOOKUP($A2354,'Concrete Beam Schedule'!$A$2:$Q$2902,X$2,0)&lt;&gt;H2354,"Beam Revised","")</f>
        <v>#N/A</v>
      </c>
      <c r="Y2354" s="7" t="e">
        <f>IF(VLOOKUP($A2354,'Concrete Beam Schedule'!$A$2:$Q$2902,Y$2,0)&lt;&gt;I2354,"Beam Revised","")</f>
        <v>#N/A</v>
      </c>
      <c r="Z2354" s="7" t="e">
        <f>IF(VLOOKUP($A2354,'Concrete Beam Schedule'!$A$2:$Q$2902,Z$2,0)&lt;&gt;J2354,"Beam Revised","")</f>
        <v>#N/A</v>
      </c>
      <c r="AA2354" s="7" t="e">
        <f>IF(VLOOKUP($A2354,'Concrete Beam Schedule'!$A$2:$Q$2902,AA$2,0)&lt;&gt;K2354,"Beam Revised","")</f>
        <v>#N/A</v>
      </c>
      <c r="AB2354" s="7" t="e">
        <f>IF(VLOOKUP($A2354,'Concrete Beam Schedule'!$A$2:$Q$2902,AB$2,0)&lt;&gt;L2354,"Beam Revised","")</f>
        <v>#N/A</v>
      </c>
      <c r="AC2354" s="7" t="e">
        <f>IF(VLOOKUP($A2354,'Concrete Beam Schedule'!$A$2:$Q$2902,AC$2,0)&lt;&gt;M2354,"Beam Revised","")</f>
        <v>#N/A</v>
      </c>
      <c r="AD2354" s="7" t="e">
        <f>IF(VLOOKUP($A2354,'Concrete Beam Schedule'!$A$2:$Q$2902,AD$2,0)&lt;&gt;N2354,"Beam Revised","")</f>
        <v>#N/A</v>
      </c>
      <c r="AE2354" s="7" t="e">
        <f>IF(VLOOKUP($A2354,'Concrete Beam Schedule'!$A$2:$Q$2902,AE$2,0)&lt;&gt;O2354,"Beam Revised","")</f>
        <v>#N/A</v>
      </c>
    </row>
    <row r="2355" spans="17:31" ht="20.100000000000001" customHeight="1" x14ac:dyDescent="0.25">
      <c r="Q2355" s="7">
        <f t="shared" si="36"/>
        <v>0</v>
      </c>
      <c r="R2355" s="7" t="e">
        <f>IF(VLOOKUP($A2355,'Concrete Beam Schedule'!$A$2:$Q$2902,R$2,0)&lt;&gt;B2355,VLOOKUP($A2355,'Concrete Beam Schedule'!$A$2:$Q$2902,R$2,0),"")</f>
        <v>#N/A</v>
      </c>
      <c r="S2355" s="7" t="e">
        <f>IF(VLOOKUP($A2355,'Concrete Beam Schedule'!$A$2:$Q$2902,S$2,0)&lt;&gt;C2355,VLOOKUP($A2355,'Concrete Beam Schedule'!$A$2:$Q$2902,S$2,0),"")</f>
        <v>#N/A</v>
      </c>
      <c r="T2355" s="7" t="e">
        <f>IF(VLOOKUP($A2355,'Concrete Beam Schedule'!$A$2:$Q$2902,T$2,0)&lt;&gt;D2355,"Beam Revised","")</f>
        <v>#N/A</v>
      </c>
      <c r="U2355" s="7" t="e">
        <f>IF(VLOOKUP($A2355,'Concrete Beam Schedule'!$A$2:$Q$2902,U$2,0)&lt;&gt;E2355,"Beam Revised","")</f>
        <v>#N/A</v>
      </c>
      <c r="V2355" s="7" t="e">
        <f>IF(VLOOKUP($A2355,'Concrete Beam Schedule'!$A$2:$Q$2902,V$2,0)&lt;&gt;F2355,"Beam Revised","")</f>
        <v>#N/A</v>
      </c>
      <c r="W2355" s="7" t="e">
        <f>IF(VLOOKUP($A2355,'Concrete Beam Schedule'!$A$2:$Q$2902,W$2,0)&lt;&gt;G2355,"Beam Revised","")</f>
        <v>#N/A</v>
      </c>
      <c r="X2355" s="7" t="e">
        <f>IF(VLOOKUP($A2355,'Concrete Beam Schedule'!$A$2:$Q$2902,X$2,0)&lt;&gt;H2355,"Beam Revised","")</f>
        <v>#N/A</v>
      </c>
      <c r="Y2355" s="7" t="e">
        <f>IF(VLOOKUP($A2355,'Concrete Beam Schedule'!$A$2:$Q$2902,Y$2,0)&lt;&gt;I2355,"Beam Revised","")</f>
        <v>#N/A</v>
      </c>
      <c r="Z2355" s="7" t="e">
        <f>IF(VLOOKUP($A2355,'Concrete Beam Schedule'!$A$2:$Q$2902,Z$2,0)&lt;&gt;J2355,"Beam Revised","")</f>
        <v>#N/A</v>
      </c>
      <c r="AA2355" s="7" t="e">
        <f>IF(VLOOKUP($A2355,'Concrete Beam Schedule'!$A$2:$Q$2902,AA$2,0)&lt;&gt;K2355,"Beam Revised","")</f>
        <v>#N/A</v>
      </c>
      <c r="AB2355" s="7" t="e">
        <f>IF(VLOOKUP($A2355,'Concrete Beam Schedule'!$A$2:$Q$2902,AB$2,0)&lt;&gt;L2355,"Beam Revised","")</f>
        <v>#N/A</v>
      </c>
      <c r="AC2355" s="7" t="e">
        <f>IF(VLOOKUP($A2355,'Concrete Beam Schedule'!$A$2:$Q$2902,AC$2,0)&lt;&gt;M2355,"Beam Revised","")</f>
        <v>#N/A</v>
      </c>
      <c r="AD2355" s="7" t="e">
        <f>IF(VLOOKUP($A2355,'Concrete Beam Schedule'!$A$2:$Q$2902,AD$2,0)&lt;&gt;N2355,"Beam Revised","")</f>
        <v>#N/A</v>
      </c>
      <c r="AE2355" s="7" t="e">
        <f>IF(VLOOKUP($A2355,'Concrete Beam Schedule'!$A$2:$Q$2902,AE$2,0)&lt;&gt;O2355,"Beam Revised","")</f>
        <v>#N/A</v>
      </c>
    </row>
    <row r="2356" spans="17:31" ht="20.100000000000001" customHeight="1" x14ac:dyDescent="0.25">
      <c r="Q2356" s="7">
        <f t="shared" si="36"/>
        <v>0</v>
      </c>
      <c r="R2356" s="7" t="e">
        <f>IF(VLOOKUP($A2356,'Concrete Beam Schedule'!$A$2:$Q$2902,R$2,0)&lt;&gt;B2356,VLOOKUP($A2356,'Concrete Beam Schedule'!$A$2:$Q$2902,R$2,0),"")</f>
        <v>#N/A</v>
      </c>
      <c r="S2356" s="7" t="e">
        <f>IF(VLOOKUP($A2356,'Concrete Beam Schedule'!$A$2:$Q$2902,S$2,0)&lt;&gt;C2356,VLOOKUP($A2356,'Concrete Beam Schedule'!$A$2:$Q$2902,S$2,0),"")</f>
        <v>#N/A</v>
      </c>
      <c r="T2356" s="7" t="e">
        <f>IF(VLOOKUP($A2356,'Concrete Beam Schedule'!$A$2:$Q$2902,T$2,0)&lt;&gt;D2356,"Beam Revised","")</f>
        <v>#N/A</v>
      </c>
      <c r="U2356" s="7" t="e">
        <f>IF(VLOOKUP($A2356,'Concrete Beam Schedule'!$A$2:$Q$2902,U$2,0)&lt;&gt;E2356,"Beam Revised","")</f>
        <v>#N/A</v>
      </c>
      <c r="V2356" s="7" t="e">
        <f>IF(VLOOKUP($A2356,'Concrete Beam Schedule'!$A$2:$Q$2902,V$2,0)&lt;&gt;F2356,"Beam Revised","")</f>
        <v>#N/A</v>
      </c>
      <c r="W2356" s="7" t="e">
        <f>IF(VLOOKUP($A2356,'Concrete Beam Schedule'!$A$2:$Q$2902,W$2,0)&lt;&gt;G2356,"Beam Revised","")</f>
        <v>#N/A</v>
      </c>
      <c r="X2356" s="7" t="e">
        <f>IF(VLOOKUP($A2356,'Concrete Beam Schedule'!$A$2:$Q$2902,X$2,0)&lt;&gt;H2356,"Beam Revised","")</f>
        <v>#N/A</v>
      </c>
      <c r="Y2356" s="7" t="e">
        <f>IF(VLOOKUP($A2356,'Concrete Beam Schedule'!$A$2:$Q$2902,Y$2,0)&lt;&gt;I2356,"Beam Revised","")</f>
        <v>#N/A</v>
      </c>
      <c r="Z2356" s="7" t="e">
        <f>IF(VLOOKUP($A2356,'Concrete Beam Schedule'!$A$2:$Q$2902,Z$2,0)&lt;&gt;J2356,"Beam Revised","")</f>
        <v>#N/A</v>
      </c>
      <c r="AA2356" s="7" t="e">
        <f>IF(VLOOKUP($A2356,'Concrete Beam Schedule'!$A$2:$Q$2902,AA$2,0)&lt;&gt;K2356,"Beam Revised","")</f>
        <v>#N/A</v>
      </c>
      <c r="AB2356" s="7" t="e">
        <f>IF(VLOOKUP($A2356,'Concrete Beam Schedule'!$A$2:$Q$2902,AB$2,0)&lt;&gt;L2356,"Beam Revised","")</f>
        <v>#N/A</v>
      </c>
      <c r="AC2356" s="7" t="e">
        <f>IF(VLOOKUP($A2356,'Concrete Beam Schedule'!$A$2:$Q$2902,AC$2,0)&lt;&gt;M2356,"Beam Revised","")</f>
        <v>#N/A</v>
      </c>
      <c r="AD2356" s="7" t="e">
        <f>IF(VLOOKUP($A2356,'Concrete Beam Schedule'!$A$2:$Q$2902,AD$2,0)&lt;&gt;N2356,"Beam Revised","")</f>
        <v>#N/A</v>
      </c>
      <c r="AE2356" s="7" t="e">
        <f>IF(VLOOKUP($A2356,'Concrete Beam Schedule'!$A$2:$Q$2902,AE$2,0)&lt;&gt;O2356,"Beam Revised","")</f>
        <v>#N/A</v>
      </c>
    </row>
    <row r="2357" spans="17:31" ht="20.100000000000001" customHeight="1" x14ac:dyDescent="0.25">
      <c r="Q2357" s="7">
        <f t="shared" si="36"/>
        <v>0</v>
      </c>
      <c r="R2357" s="7" t="e">
        <f>IF(VLOOKUP($A2357,'Concrete Beam Schedule'!$A$2:$Q$2902,R$2,0)&lt;&gt;B2357,VLOOKUP($A2357,'Concrete Beam Schedule'!$A$2:$Q$2902,R$2,0),"")</f>
        <v>#N/A</v>
      </c>
      <c r="S2357" s="7" t="e">
        <f>IF(VLOOKUP($A2357,'Concrete Beam Schedule'!$A$2:$Q$2902,S$2,0)&lt;&gt;C2357,VLOOKUP($A2357,'Concrete Beam Schedule'!$A$2:$Q$2902,S$2,0),"")</f>
        <v>#N/A</v>
      </c>
      <c r="T2357" s="7" t="e">
        <f>IF(VLOOKUP($A2357,'Concrete Beam Schedule'!$A$2:$Q$2902,T$2,0)&lt;&gt;D2357,"Beam Revised","")</f>
        <v>#N/A</v>
      </c>
      <c r="U2357" s="7" t="e">
        <f>IF(VLOOKUP($A2357,'Concrete Beam Schedule'!$A$2:$Q$2902,U$2,0)&lt;&gt;E2357,"Beam Revised","")</f>
        <v>#N/A</v>
      </c>
      <c r="V2357" s="7" t="e">
        <f>IF(VLOOKUP($A2357,'Concrete Beam Schedule'!$A$2:$Q$2902,V$2,0)&lt;&gt;F2357,"Beam Revised","")</f>
        <v>#N/A</v>
      </c>
      <c r="W2357" s="7" t="e">
        <f>IF(VLOOKUP($A2357,'Concrete Beam Schedule'!$A$2:$Q$2902,W$2,0)&lt;&gt;G2357,"Beam Revised","")</f>
        <v>#N/A</v>
      </c>
      <c r="X2357" s="7" t="e">
        <f>IF(VLOOKUP($A2357,'Concrete Beam Schedule'!$A$2:$Q$2902,X$2,0)&lt;&gt;H2357,"Beam Revised","")</f>
        <v>#N/A</v>
      </c>
      <c r="Y2357" s="7" t="e">
        <f>IF(VLOOKUP($A2357,'Concrete Beam Schedule'!$A$2:$Q$2902,Y$2,0)&lt;&gt;I2357,"Beam Revised","")</f>
        <v>#N/A</v>
      </c>
      <c r="Z2357" s="7" t="e">
        <f>IF(VLOOKUP($A2357,'Concrete Beam Schedule'!$A$2:$Q$2902,Z$2,0)&lt;&gt;J2357,"Beam Revised","")</f>
        <v>#N/A</v>
      </c>
      <c r="AA2357" s="7" t="e">
        <f>IF(VLOOKUP($A2357,'Concrete Beam Schedule'!$A$2:$Q$2902,AA$2,0)&lt;&gt;K2357,"Beam Revised","")</f>
        <v>#N/A</v>
      </c>
      <c r="AB2357" s="7" t="e">
        <f>IF(VLOOKUP($A2357,'Concrete Beam Schedule'!$A$2:$Q$2902,AB$2,0)&lt;&gt;L2357,"Beam Revised","")</f>
        <v>#N/A</v>
      </c>
      <c r="AC2357" s="7" t="e">
        <f>IF(VLOOKUP($A2357,'Concrete Beam Schedule'!$A$2:$Q$2902,AC$2,0)&lt;&gt;M2357,"Beam Revised","")</f>
        <v>#N/A</v>
      </c>
      <c r="AD2357" s="7" t="e">
        <f>IF(VLOOKUP($A2357,'Concrete Beam Schedule'!$A$2:$Q$2902,AD$2,0)&lt;&gt;N2357,"Beam Revised","")</f>
        <v>#N/A</v>
      </c>
      <c r="AE2357" s="7" t="e">
        <f>IF(VLOOKUP($A2357,'Concrete Beam Schedule'!$A$2:$Q$2902,AE$2,0)&lt;&gt;O2357,"Beam Revised","")</f>
        <v>#N/A</v>
      </c>
    </row>
    <row r="2358" spans="17:31" ht="20.100000000000001" customHeight="1" x14ac:dyDescent="0.25">
      <c r="Q2358" s="7">
        <f t="shared" si="36"/>
        <v>0</v>
      </c>
      <c r="R2358" s="7" t="e">
        <f>IF(VLOOKUP($A2358,'Concrete Beam Schedule'!$A$2:$Q$2902,R$2,0)&lt;&gt;B2358,VLOOKUP($A2358,'Concrete Beam Schedule'!$A$2:$Q$2902,R$2,0),"")</f>
        <v>#N/A</v>
      </c>
      <c r="S2358" s="7" t="e">
        <f>IF(VLOOKUP($A2358,'Concrete Beam Schedule'!$A$2:$Q$2902,S$2,0)&lt;&gt;C2358,VLOOKUP($A2358,'Concrete Beam Schedule'!$A$2:$Q$2902,S$2,0),"")</f>
        <v>#N/A</v>
      </c>
      <c r="T2358" s="7" t="e">
        <f>IF(VLOOKUP($A2358,'Concrete Beam Schedule'!$A$2:$Q$2902,T$2,0)&lt;&gt;D2358,"Beam Revised","")</f>
        <v>#N/A</v>
      </c>
      <c r="U2358" s="7" t="e">
        <f>IF(VLOOKUP($A2358,'Concrete Beam Schedule'!$A$2:$Q$2902,U$2,0)&lt;&gt;E2358,"Beam Revised","")</f>
        <v>#N/A</v>
      </c>
      <c r="V2358" s="7" t="e">
        <f>IF(VLOOKUP($A2358,'Concrete Beam Schedule'!$A$2:$Q$2902,V$2,0)&lt;&gt;F2358,"Beam Revised","")</f>
        <v>#N/A</v>
      </c>
      <c r="W2358" s="7" t="e">
        <f>IF(VLOOKUP($A2358,'Concrete Beam Schedule'!$A$2:$Q$2902,W$2,0)&lt;&gt;G2358,"Beam Revised","")</f>
        <v>#N/A</v>
      </c>
      <c r="X2358" s="7" t="e">
        <f>IF(VLOOKUP($A2358,'Concrete Beam Schedule'!$A$2:$Q$2902,X$2,0)&lt;&gt;H2358,"Beam Revised","")</f>
        <v>#N/A</v>
      </c>
      <c r="Y2358" s="7" t="e">
        <f>IF(VLOOKUP($A2358,'Concrete Beam Schedule'!$A$2:$Q$2902,Y$2,0)&lt;&gt;I2358,"Beam Revised","")</f>
        <v>#N/A</v>
      </c>
      <c r="Z2358" s="7" t="e">
        <f>IF(VLOOKUP($A2358,'Concrete Beam Schedule'!$A$2:$Q$2902,Z$2,0)&lt;&gt;J2358,"Beam Revised","")</f>
        <v>#N/A</v>
      </c>
      <c r="AA2358" s="7" t="e">
        <f>IF(VLOOKUP($A2358,'Concrete Beam Schedule'!$A$2:$Q$2902,AA$2,0)&lt;&gt;K2358,"Beam Revised","")</f>
        <v>#N/A</v>
      </c>
      <c r="AB2358" s="7" t="e">
        <f>IF(VLOOKUP($A2358,'Concrete Beam Schedule'!$A$2:$Q$2902,AB$2,0)&lt;&gt;L2358,"Beam Revised","")</f>
        <v>#N/A</v>
      </c>
      <c r="AC2358" s="7" t="e">
        <f>IF(VLOOKUP($A2358,'Concrete Beam Schedule'!$A$2:$Q$2902,AC$2,0)&lt;&gt;M2358,"Beam Revised","")</f>
        <v>#N/A</v>
      </c>
      <c r="AD2358" s="7" t="e">
        <f>IF(VLOOKUP($A2358,'Concrete Beam Schedule'!$A$2:$Q$2902,AD$2,0)&lt;&gt;N2358,"Beam Revised","")</f>
        <v>#N/A</v>
      </c>
      <c r="AE2358" s="7" t="e">
        <f>IF(VLOOKUP($A2358,'Concrete Beam Schedule'!$A$2:$Q$2902,AE$2,0)&lt;&gt;O2358,"Beam Revised","")</f>
        <v>#N/A</v>
      </c>
    </row>
    <row r="2359" spans="17:31" ht="20.100000000000001" customHeight="1" x14ac:dyDescent="0.25">
      <c r="Q2359" s="7">
        <f t="shared" si="36"/>
        <v>0</v>
      </c>
      <c r="R2359" s="7" t="e">
        <f>IF(VLOOKUP($A2359,'Concrete Beam Schedule'!$A$2:$Q$2902,R$2,0)&lt;&gt;B2359,VLOOKUP($A2359,'Concrete Beam Schedule'!$A$2:$Q$2902,R$2,0),"")</f>
        <v>#N/A</v>
      </c>
      <c r="S2359" s="7" t="e">
        <f>IF(VLOOKUP($A2359,'Concrete Beam Schedule'!$A$2:$Q$2902,S$2,0)&lt;&gt;C2359,VLOOKUP($A2359,'Concrete Beam Schedule'!$A$2:$Q$2902,S$2,0),"")</f>
        <v>#N/A</v>
      </c>
      <c r="T2359" s="7" t="e">
        <f>IF(VLOOKUP($A2359,'Concrete Beam Schedule'!$A$2:$Q$2902,T$2,0)&lt;&gt;D2359,"Beam Revised","")</f>
        <v>#N/A</v>
      </c>
      <c r="U2359" s="7" t="e">
        <f>IF(VLOOKUP($A2359,'Concrete Beam Schedule'!$A$2:$Q$2902,U$2,0)&lt;&gt;E2359,"Beam Revised","")</f>
        <v>#N/A</v>
      </c>
      <c r="V2359" s="7" t="e">
        <f>IF(VLOOKUP($A2359,'Concrete Beam Schedule'!$A$2:$Q$2902,V$2,0)&lt;&gt;F2359,"Beam Revised","")</f>
        <v>#N/A</v>
      </c>
      <c r="W2359" s="7" t="e">
        <f>IF(VLOOKUP($A2359,'Concrete Beam Schedule'!$A$2:$Q$2902,W$2,0)&lt;&gt;G2359,"Beam Revised","")</f>
        <v>#N/A</v>
      </c>
      <c r="X2359" s="7" t="e">
        <f>IF(VLOOKUP($A2359,'Concrete Beam Schedule'!$A$2:$Q$2902,X$2,0)&lt;&gt;H2359,"Beam Revised","")</f>
        <v>#N/A</v>
      </c>
      <c r="Y2359" s="7" t="e">
        <f>IF(VLOOKUP($A2359,'Concrete Beam Schedule'!$A$2:$Q$2902,Y$2,0)&lt;&gt;I2359,"Beam Revised","")</f>
        <v>#N/A</v>
      </c>
      <c r="Z2359" s="7" t="e">
        <f>IF(VLOOKUP($A2359,'Concrete Beam Schedule'!$A$2:$Q$2902,Z$2,0)&lt;&gt;J2359,"Beam Revised","")</f>
        <v>#N/A</v>
      </c>
      <c r="AA2359" s="7" t="e">
        <f>IF(VLOOKUP($A2359,'Concrete Beam Schedule'!$A$2:$Q$2902,AA$2,0)&lt;&gt;K2359,"Beam Revised","")</f>
        <v>#N/A</v>
      </c>
      <c r="AB2359" s="7" t="e">
        <f>IF(VLOOKUP($A2359,'Concrete Beam Schedule'!$A$2:$Q$2902,AB$2,0)&lt;&gt;L2359,"Beam Revised","")</f>
        <v>#N/A</v>
      </c>
      <c r="AC2359" s="7" t="e">
        <f>IF(VLOOKUP($A2359,'Concrete Beam Schedule'!$A$2:$Q$2902,AC$2,0)&lt;&gt;M2359,"Beam Revised","")</f>
        <v>#N/A</v>
      </c>
      <c r="AD2359" s="7" t="e">
        <f>IF(VLOOKUP($A2359,'Concrete Beam Schedule'!$A$2:$Q$2902,AD$2,0)&lt;&gt;N2359,"Beam Revised","")</f>
        <v>#N/A</v>
      </c>
      <c r="AE2359" s="7" t="e">
        <f>IF(VLOOKUP($A2359,'Concrete Beam Schedule'!$A$2:$Q$2902,AE$2,0)&lt;&gt;O2359,"Beam Revised","")</f>
        <v>#N/A</v>
      </c>
    </row>
    <row r="2360" spans="17:31" ht="20.100000000000001" customHeight="1" x14ac:dyDescent="0.25">
      <c r="Q2360" s="7">
        <f t="shared" si="36"/>
        <v>0</v>
      </c>
      <c r="R2360" s="7" t="e">
        <f>IF(VLOOKUP($A2360,'Concrete Beam Schedule'!$A$2:$Q$2902,R$2,0)&lt;&gt;B2360,VLOOKUP($A2360,'Concrete Beam Schedule'!$A$2:$Q$2902,R$2,0),"")</f>
        <v>#N/A</v>
      </c>
      <c r="S2360" s="7" t="e">
        <f>IF(VLOOKUP($A2360,'Concrete Beam Schedule'!$A$2:$Q$2902,S$2,0)&lt;&gt;C2360,VLOOKUP($A2360,'Concrete Beam Schedule'!$A$2:$Q$2902,S$2,0),"")</f>
        <v>#N/A</v>
      </c>
      <c r="T2360" s="7" t="e">
        <f>IF(VLOOKUP($A2360,'Concrete Beam Schedule'!$A$2:$Q$2902,T$2,0)&lt;&gt;D2360,"Beam Revised","")</f>
        <v>#N/A</v>
      </c>
      <c r="U2360" s="7" t="e">
        <f>IF(VLOOKUP($A2360,'Concrete Beam Schedule'!$A$2:$Q$2902,U$2,0)&lt;&gt;E2360,"Beam Revised","")</f>
        <v>#N/A</v>
      </c>
      <c r="V2360" s="7" t="e">
        <f>IF(VLOOKUP($A2360,'Concrete Beam Schedule'!$A$2:$Q$2902,V$2,0)&lt;&gt;F2360,"Beam Revised","")</f>
        <v>#N/A</v>
      </c>
      <c r="W2360" s="7" t="e">
        <f>IF(VLOOKUP($A2360,'Concrete Beam Schedule'!$A$2:$Q$2902,W$2,0)&lt;&gt;G2360,"Beam Revised","")</f>
        <v>#N/A</v>
      </c>
      <c r="X2360" s="7" t="e">
        <f>IF(VLOOKUP($A2360,'Concrete Beam Schedule'!$A$2:$Q$2902,X$2,0)&lt;&gt;H2360,"Beam Revised","")</f>
        <v>#N/A</v>
      </c>
      <c r="Y2360" s="7" t="e">
        <f>IF(VLOOKUP($A2360,'Concrete Beam Schedule'!$A$2:$Q$2902,Y$2,0)&lt;&gt;I2360,"Beam Revised","")</f>
        <v>#N/A</v>
      </c>
      <c r="Z2360" s="7" t="e">
        <f>IF(VLOOKUP($A2360,'Concrete Beam Schedule'!$A$2:$Q$2902,Z$2,0)&lt;&gt;J2360,"Beam Revised","")</f>
        <v>#N/A</v>
      </c>
      <c r="AA2360" s="7" t="e">
        <f>IF(VLOOKUP($A2360,'Concrete Beam Schedule'!$A$2:$Q$2902,AA$2,0)&lt;&gt;K2360,"Beam Revised","")</f>
        <v>#N/A</v>
      </c>
      <c r="AB2360" s="7" t="e">
        <f>IF(VLOOKUP($A2360,'Concrete Beam Schedule'!$A$2:$Q$2902,AB$2,0)&lt;&gt;L2360,"Beam Revised","")</f>
        <v>#N/A</v>
      </c>
      <c r="AC2360" s="7" t="e">
        <f>IF(VLOOKUP($A2360,'Concrete Beam Schedule'!$A$2:$Q$2902,AC$2,0)&lt;&gt;M2360,"Beam Revised","")</f>
        <v>#N/A</v>
      </c>
      <c r="AD2360" s="7" t="e">
        <f>IF(VLOOKUP($A2360,'Concrete Beam Schedule'!$A$2:$Q$2902,AD$2,0)&lt;&gt;N2360,"Beam Revised","")</f>
        <v>#N/A</v>
      </c>
      <c r="AE2360" s="7" t="e">
        <f>IF(VLOOKUP($A2360,'Concrete Beam Schedule'!$A$2:$Q$2902,AE$2,0)&lt;&gt;O2360,"Beam Revised","")</f>
        <v>#N/A</v>
      </c>
    </row>
    <row r="2361" spans="17:31" ht="20.100000000000001" customHeight="1" x14ac:dyDescent="0.25">
      <c r="Q2361" s="7">
        <f t="shared" si="36"/>
        <v>0</v>
      </c>
      <c r="R2361" s="7" t="e">
        <f>IF(VLOOKUP($A2361,'Concrete Beam Schedule'!$A$2:$Q$2902,R$2,0)&lt;&gt;B2361,VLOOKUP($A2361,'Concrete Beam Schedule'!$A$2:$Q$2902,R$2,0),"")</f>
        <v>#N/A</v>
      </c>
      <c r="S2361" s="7" t="e">
        <f>IF(VLOOKUP($A2361,'Concrete Beam Schedule'!$A$2:$Q$2902,S$2,0)&lt;&gt;C2361,VLOOKUP($A2361,'Concrete Beam Schedule'!$A$2:$Q$2902,S$2,0),"")</f>
        <v>#N/A</v>
      </c>
      <c r="T2361" s="7" t="e">
        <f>IF(VLOOKUP($A2361,'Concrete Beam Schedule'!$A$2:$Q$2902,T$2,0)&lt;&gt;D2361,"Beam Revised","")</f>
        <v>#N/A</v>
      </c>
      <c r="U2361" s="7" t="e">
        <f>IF(VLOOKUP($A2361,'Concrete Beam Schedule'!$A$2:$Q$2902,U$2,0)&lt;&gt;E2361,"Beam Revised","")</f>
        <v>#N/A</v>
      </c>
      <c r="V2361" s="7" t="e">
        <f>IF(VLOOKUP($A2361,'Concrete Beam Schedule'!$A$2:$Q$2902,V$2,0)&lt;&gt;F2361,"Beam Revised","")</f>
        <v>#N/A</v>
      </c>
      <c r="W2361" s="7" t="e">
        <f>IF(VLOOKUP($A2361,'Concrete Beam Schedule'!$A$2:$Q$2902,W$2,0)&lt;&gt;G2361,"Beam Revised","")</f>
        <v>#N/A</v>
      </c>
      <c r="X2361" s="7" t="e">
        <f>IF(VLOOKUP($A2361,'Concrete Beam Schedule'!$A$2:$Q$2902,X$2,0)&lt;&gt;H2361,"Beam Revised","")</f>
        <v>#N/A</v>
      </c>
      <c r="Y2361" s="7" t="e">
        <f>IF(VLOOKUP($A2361,'Concrete Beam Schedule'!$A$2:$Q$2902,Y$2,0)&lt;&gt;I2361,"Beam Revised","")</f>
        <v>#N/A</v>
      </c>
      <c r="Z2361" s="7" t="e">
        <f>IF(VLOOKUP($A2361,'Concrete Beam Schedule'!$A$2:$Q$2902,Z$2,0)&lt;&gt;J2361,"Beam Revised","")</f>
        <v>#N/A</v>
      </c>
      <c r="AA2361" s="7" t="e">
        <f>IF(VLOOKUP($A2361,'Concrete Beam Schedule'!$A$2:$Q$2902,AA$2,0)&lt;&gt;K2361,"Beam Revised","")</f>
        <v>#N/A</v>
      </c>
      <c r="AB2361" s="7" t="e">
        <f>IF(VLOOKUP($A2361,'Concrete Beam Schedule'!$A$2:$Q$2902,AB$2,0)&lt;&gt;L2361,"Beam Revised","")</f>
        <v>#N/A</v>
      </c>
      <c r="AC2361" s="7" t="e">
        <f>IF(VLOOKUP($A2361,'Concrete Beam Schedule'!$A$2:$Q$2902,AC$2,0)&lt;&gt;M2361,"Beam Revised","")</f>
        <v>#N/A</v>
      </c>
      <c r="AD2361" s="7" t="e">
        <f>IF(VLOOKUP($A2361,'Concrete Beam Schedule'!$A$2:$Q$2902,AD$2,0)&lt;&gt;N2361,"Beam Revised","")</f>
        <v>#N/A</v>
      </c>
      <c r="AE2361" s="7" t="e">
        <f>IF(VLOOKUP($A2361,'Concrete Beam Schedule'!$A$2:$Q$2902,AE$2,0)&lt;&gt;O2361,"Beam Revised","")</f>
        <v>#N/A</v>
      </c>
    </row>
    <row r="2362" spans="17:31" ht="20.100000000000001" customHeight="1" x14ac:dyDescent="0.25">
      <c r="Q2362" s="7">
        <f t="shared" si="36"/>
        <v>0</v>
      </c>
      <c r="R2362" s="7" t="e">
        <f>IF(VLOOKUP($A2362,'Concrete Beam Schedule'!$A$2:$Q$2902,R$2,0)&lt;&gt;B2362,VLOOKUP($A2362,'Concrete Beam Schedule'!$A$2:$Q$2902,R$2,0),"")</f>
        <v>#N/A</v>
      </c>
      <c r="S2362" s="7" t="e">
        <f>IF(VLOOKUP($A2362,'Concrete Beam Schedule'!$A$2:$Q$2902,S$2,0)&lt;&gt;C2362,VLOOKUP($A2362,'Concrete Beam Schedule'!$A$2:$Q$2902,S$2,0),"")</f>
        <v>#N/A</v>
      </c>
      <c r="T2362" s="7" t="e">
        <f>IF(VLOOKUP($A2362,'Concrete Beam Schedule'!$A$2:$Q$2902,T$2,0)&lt;&gt;D2362,"Beam Revised","")</f>
        <v>#N/A</v>
      </c>
      <c r="U2362" s="7" t="e">
        <f>IF(VLOOKUP($A2362,'Concrete Beam Schedule'!$A$2:$Q$2902,U$2,0)&lt;&gt;E2362,"Beam Revised","")</f>
        <v>#N/A</v>
      </c>
      <c r="V2362" s="7" t="e">
        <f>IF(VLOOKUP($A2362,'Concrete Beam Schedule'!$A$2:$Q$2902,V$2,0)&lt;&gt;F2362,"Beam Revised","")</f>
        <v>#N/A</v>
      </c>
      <c r="W2362" s="7" t="e">
        <f>IF(VLOOKUP($A2362,'Concrete Beam Schedule'!$A$2:$Q$2902,W$2,0)&lt;&gt;G2362,"Beam Revised","")</f>
        <v>#N/A</v>
      </c>
      <c r="X2362" s="7" t="e">
        <f>IF(VLOOKUP($A2362,'Concrete Beam Schedule'!$A$2:$Q$2902,X$2,0)&lt;&gt;H2362,"Beam Revised","")</f>
        <v>#N/A</v>
      </c>
      <c r="Y2362" s="7" t="e">
        <f>IF(VLOOKUP($A2362,'Concrete Beam Schedule'!$A$2:$Q$2902,Y$2,0)&lt;&gt;I2362,"Beam Revised","")</f>
        <v>#N/A</v>
      </c>
      <c r="Z2362" s="7" t="e">
        <f>IF(VLOOKUP($A2362,'Concrete Beam Schedule'!$A$2:$Q$2902,Z$2,0)&lt;&gt;J2362,"Beam Revised","")</f>
        <v>#N/A</v>
      </c>
      <c r="AA2362" s="7" t="e">
        <f>IF(VLOOKUP($A2362,'Concrete Beam Schedule'!$A$2:$Q$2902,AA$2,0)&lt;&gt;K2362,"Beam Revised","")</f>
        <v>#N/A</v>
      </c>
      <c r="AB2362" s="7" t="e">
        <f>IF(VLOOKUP($A2362,'Concrete Beam Schedule'!$A$2:$Q$2902,AB$2,0)&lt;&gt;L2362,"Beam Revised","")</f>
        <v>#N/A</v>
      </c>
      <c r="AC2362" s="7" t="e">
        <f>IF(VLOOKUP($A2362,'Concrete Beam Schedule'!$A$2:$Q$2902,AC$2,0)&lt;&gt;M2362,"Beam Revised","")</f>
        <v>#N/A</v>
      </c>
      <c r="AD2362" s="7" t="e">
        <f>IF(VLOOKUP($A2362,'Concrete Beam Schedule'!$A$2:$Q$2902,AD$2,0)&lt;&gt;N2362,"Beam Revised","")</f>
        <v>#N/A</v>
      </c>
      <c r="AE2362" s="7" t="e">
        <f>IF(VLOOKUP($A2362,'Concrete Beam Schedule'!$A$2:$Q$2902,AE$2,0)&lt;&gt;O2362,"Beam Revised","")</f>
        <v>#N/A</v>
      </c>
    </row>
    <row r="2363" spans="17:31" ht="20.100000000000001" customHeight="1" x14ac:dyDescent="0.25">
      <c r="Q2363" s="7">
        <f t="shared" si="36"/>
        <v>0</v>
      </c>
      <c r="R2363" s="7" t="e">
        <f>IF(VLOOKUP($A2363,'Concrete Beam Schedule'!$A$2:$Q$2902,R$2,0)&lt;&gt;B2363,VLOOKUP($A2363,'Concrete Beam Schedule'!$A$2:$Q$2902,R$2,0),"")</f>
        <v>#N/A</v>
      </c>
      <c r="S2363" s="7" t="e">
        <f>IF(VLOOKUP($A2363,'Concrete Beam Schedule'!$A$2:$Q$2902,S$2,0)&lt;&gt;C2363,VLOOKUP($A2363,'Concrete Beam Schedule'!$A$2:$Q$2902,S$2,0),"")</f>
        <v>#N/A</v>
      </c>
      <c r="T2363" s="7" t="e">
        <f>IF(VLOOKUP($A2363,'Concrete Beam Schedule'!$A$2:$Q$2902,T$2,0)&lt;&gt;D2363,"Beam Revised","")</f>
        <v>#N/A</v>
      </c>
      <c r="U2363" s="7" t="e">
        <f>IF(VLOOKUP($A2363,'Concrete Beam Schedule'!$A$2:$Q$2902,U$2,0)&lt;&gt;E2363,"Beam Revised","")</f>
        <v>#N/A</v>
      </c>
      <c r="V2363" s="7" t="e">
        <f>IF(VLOOKUP($A2363,'Concrete Beam Schedule'!$A$2:$Q$2902,V$2,0)&lt;&gt;F2363,"Beam Revised","")</f>
        <v>#N/A</v>
      </c>
      <c r="W2363" s="7" t="e">
        <f>IF(VLOOKUP($A2363,'Concrete Beam Schedule'!$A$2:$Q$2902,W$2,0)&lt;&gt;G2363,"Beam Revised","")</f>
        <v>#N/A</v>
      </c>
      <c r="X2363" s="7" t="e">
        <f>IF(VLOOKUP($A2363,'Concrete Beam Schedule'!$A$2:$Q$2902,X$2,0)&lt;&gt;H2363,"Beam Revised","")</f>
        <v>#N/A</v>
      </c>
      <c r="Y2363" s="7" t="e">
        <f>IF(VLOOKUP($A2363,'Concrete Beam Schedule'!$A$2:$Q$2902,Y$2,0)&lt;&gt;I2363,"Beam Revised","")</f>
        <v>#N/A</v>
      </c>
      <c r="Z2363" s="7" t="e">
        <f>IF(VLOOKUP($A2363,'Concrete Beam Schedule'!$A$2:$Q$2902,Z$2,0)&lt;&gt;J2363,"Beam Revised","")</f>
        <v>#N/A</v>
      </c>
      <c r="AA2363" s="7" t="e">
        <f>IF(VLOOKUP($A2363,'Concrete Beam Schedule'!$A$2:$Q$2902,AA$2,0)&lt;&gt;K2363,"Beam Revised","")</f>
        <v>#N/A</v>
      </c>
      <c r="AB2363" s="7" t="e">
        <f>IF(VLOOKUP($A2363,'Concrete Beam Schedule'!$A$2:$Q$2902,AB$2,0)&lt;&gt;L2363,"Beam Revised","")</f>
        <v>#N/A</v>
      </c>
      <c r="AC2363" s="7" t="e">
        <f>IF(VLOOKUP($A2363,'Concrete Beam Schedule'!$A$2:$Q$2902,AC$2,0)&lt;&gt;M2363,"Beam Revised","")</f>
        <v>#N/A</v>
      </c>
      <c r="AD2363" s="7" t="e">
        <f>IF(VLOOKUP($A2363,'Concrete Beam Schedule'!$A$2:$Q$2902,AD$2,0)&lt;&gt;N2363,"Beam Revised","")</f>
        <v>#N/A</v>
      </c>
      <c r="AE2363" s="7" t="e">
        <f>IF(VLOOKUP($A2363,'Concrete Beam Schedule'!$A$2:$Q$2902,AE$2,0)&lt;&gt;O2363,"Beam Revised","")</f>
        <v>#N/A</v>
      </c>
    </row>
    <row r="2364" spans="17:31" ht="20.100000000000001" customHeight="1" x14ac:dyDescent="0.25">
      <c r="Q2364" s="7">
        <f t="shared" si="36"/>
        <v>0</v>
      </c>
      <c r="R2364" s="7" t="e">
        <f>IF(VLOOKUP($A2364,'Concrete Beam Schedule'!$A$2:$Q$2902,R$2,0)&lt;&gt;B2364,VLOOKUP($A2364,'Concrete Beam Schedule'!$A$2:$Q$2902,R$2,0),"")</f>
        <v>#N/A</v>
      </c>
      <c r="S2364" s="7" t="e">
        <f>IF(VLOOKUP($A2364,'Concrete Beam Schedule'!$A$2:$Q$2902,S$2,0)&lt;&gt;C2364,VLOOKUP($A2364,'Concrete Beam Schedule'!$A$2:$Q$2902,S$2,0),"")</f>
        <v>#N/A</v>
      </c>
      <c r="T2364" s="7" t="e">
        <f>IF(VLOOKUP($A2364,'Concrete Beam Schedule'!$A$2:$Q$2902,T$2,0)&lt;&gt;D2364,"Beam Revised","")</f>
        <v>#N/A</v>
      </c>
      <c r="U2364" s="7" t="e">
        <f>IF(VLOOKUP($A2364,'Concrete Beam Schedule'!$A$2:$Q$2902,U$2,0)&lt;&gt;E2364,"Beam Revised","")</f>
        <v>#N/A</v>
      </c>
      <c r="V2364" s="7" t="e">
        <f>IF(VLOOKUP($A2364,'Concrete Beam Schedule'!$A$2:$Q$2902,V$2,0)&lt;&gt;F2364,"Beam Revised","")</f>
        <v>#N/A</v>
      </c>
      <c r="W2364" s="7" t="e">
        <f>IF(VLOOKUP($A2364,'Concrete Beam Schedule'!$A$2:$Q$2902,W$2,0)&lt;&gt;G2364,"Beam Revised","")</f>
        <v>#N/A</v>
      </c>
      <c r="X2364" s="7" t="e">
        <f>IF(VLOOKUP($A2364,'Concrete Beam Schedule'!$A$2:$Q$2902,X$2,0)&lt;&gt;H2364,"Beam Revised","")</f>
        <v>#N/A</v>
      </c>
      <c r="Y2364" s="7" t="e">
        <f>IF(VLOOKUP($A2364,'Concrete Beam Schedule'!$A$2:$Q$2902,Y$2,0)&lt;&gt;I2364,"Beam Revised","")</f>
        <v>#N/A</v>
      </c>
      <c r="Z2364" s="7" t="e">
        <f>IF(VLOOKUP($A2364,'Concrete Beam Schedule'!$A$2:$Q$2902,Z$2,0)&lt;&gt;J2364,"Beam Revised","")</f>
        <v>#N/A</v>
      </c>
      <c r="AA2364" s="7" t="e">
        <f>IF(VLOOKUP($A2364,'Concrete Beam Schedule'!$A$2:$Q$2902,AA$2,0)&lt;&gt;K2364,"Beam Revised","")</f>
        <v>#N/A</v>
      </c>
      <c r="AB2364" s="7" t="e">
        <f>IF(VLOOKUP($A2364,'Concrete Beam Schedule'!$A$2:$Q$2902,AB$2,0)&lt;&gt;L2364,"Beam Revised","")</f>
        <v>#N/A</v>
      </c>
      <c r="AC2364" s="7" t="e">
        <f>IF(VLOOKUP($A2364,'Concrete Beam Schedule'!$A$2:$Q$2902,AC$2,0)&lt;&gt;M2364,"Beam Revised","")</f>
        <v>#N/A</v>
      </c>
      <c r="AD2364" s="7" t="e">
        <f>IF(VLOOKUP($A2364,'Concrete Beam Schedule'!$A$2:$Q$2902,AD$2,0)&lt;&gt;N2364,"Beam Revised","")</f>
        <v>#N/A</v>
      </c>
      <c r="AE2364" s="7" t="e">
        <f>IF(VLOOKUP($A2364,'Concrete Beam Schedule'!$A$2:$Q$2902,AE$2,0)&lt;&gt;O2364,"Beam Revised","")</f>
        <v>#N/A</v>
      </c>
    </row>
    <row r="2365" spans="17:31" ht="20.100000000000001" customHeight="1" x14ac:dyDescent="0.25">
      <c r="Q2365" s="7">
        <f t="shared" si="36"/>
        <v>0</v>
      </c>
      <c r="R2365" s="7" t="e">
        <f>IF(VLOOKUP($A2365,'Concrete Beam Schedule'!$A$2:$Q$2902,R$2,0)&lt;&gt;B2365,VLOOKUP($A2365,'Concrete Beam Schedule'!$A$2:$Q$2902,R$2,0),"")</f>
        <v>#N/A</v>
      </c>
      <c r="S2365" s="7" t="e">
        <f>IF(VLOOKUP($A2365,'Concrete Beam Schedule'!$A$2:$Q$2902,S$2,0)&lt;&gt;C2365,VLOOKUP($A2365,'Concrete Beam Schedule'!$A$2:$Q$2902,S$2,0),"")</f>
        <v>#N/A</v>
      </c>
      <c r="T2365" s="7" t="e">
        <f>IF(VLOOKUP($A2365,'Concrete Beam Schedule'!$A$2:$Q$2902,T$2,0)&lt;&gt;D2365,"Beam Revised","")</f>
        <v>#N/A</v>
      </c>
      <c r="U2365" s="7" t="e">
        <f>IF(VLOOKUP($A2365,'Concrete Beam Schedule'!$A$2:$Q$2902,U$2,0)&lt;&gt;E2365,"Beam Revised","")</f>
        <v>#N/A</v>
      </c>
      <c r="V2365" s="7" t="e">
        <f>IF(VLOOKUP($A2365,'Concrete Beam Schedule'!$A$2:$Q$2902,V$2,0)&lt;&gt;F2365,"Beam Revised","")</f>
        <v>#N/A</v>
      </c>
      <c r="W2365" s="7" t="e">
        <f>IF(VLOOKUP($A2365,'Concrete Beam Schedule'!$A$2:$Q$2902,W$2,0)&lt;&gt;G2365,"Beam Revised","")</f>
        <v>#N/A</v>
      </c>
      <c r="X2365" s="7" t="e">
        <f>IF(VLOOKUP($A2365,'Concrete Beam Schedule'!$A$2:$Q$2902,X$2,0)&lt;&gt;H2365,"Beam Revised","")</f>
        <v>#N/A</v>
      </c>
      <c r="Y2365" s="7" t="e">
        <f>IF(VLOOKUP($A2365,'Concrete Beam Schedule'!$A$2:$Q$2902,Y$2,0)&lt;&gt;I2365,"Beam Revised","")</f>
        <v>#N/A</v>
      </c>
      <c r="Z2365" s="7" t="e">
        <f>IF(VLOOKUP($A2365,'Concrete Beam Schedule'!$A$2:$Q$2902,Z$2,0)&lt;&gt;J2365,"Beam Revised","")</f>
        <v>#N/A</v>
      </c>
      <c r="AA2365" s="7" t="e">
        <f>IF(VLOOKUP($A2365,'Concrete Beam Schedule'!$A$2:$Q$2902,AA$2,0)&lt;&gt;K2365,"Beam Revised","")</f>
        <v>#N/A</v>
      </c>
      <c r="AB2365" s="7" t="e">
        <f>IF(VLOOKUP($A2365,'Concrete Beam Schedule'!$A$2:$Q$2902,AB$2,0)&lt;&gt;L2365,"Beam Revised","")</f>
        <v>#N/A</v>
      </c>
      <c r="AC2365" s="7" t="e">
        <f>IF(VLOOKUP($A2365,'Concrete Beam Schedule'!$A$2:$Q$2902,AC$2,0)&lt;&gt;M2365,"Beam Revised","")</f>
        <v>#N/A</v>
      </c>
      <c r="AD2365" s="7" t="e">
        <f>IF(VLOOKUP($A2365,'Concrete Beam Schedule'!$A$2:$Q$2902,AD$2,0)&lt;&gt;N2365,"Beam Revised","")</f>
        <v>#N/A</v>
      </c>
      <c r="AE2365" s="7" t="e">
        <f>IF(VLOOKUP($A2365,'Concrete Beam Schedule'!$A$2:$Q$2902,AE$2,0)&lt;&gt;O2365,"Beam Revised","")</f>
        <v>#N/A</v>
      </c>
    </row>
    <row r="2366" spans="17:31" ht="20.100000000000001" customHeight="1" x14ac:dyDescent="0.25">
      <c r="Q2366" s="7">
        <f t="shared" si="36"/>
        <v>0</v>
      </c>
      <c r="R2366" s="7" t="e">
        <f>IF(VLOOKUP($A2366,'Concrete Beam Schedule'!$A$2:$Q$2902,R$2,0)&lt;&gt;B2366,VLOOKUP($A2366,'Concrete Beam Schedule'!$A$2:$Q$2902,R$2,0),"")</f>
        <v>#N/A</v>
      </c>
      <c r="S2366" s="7" t="e">
        <f>IF(VLOOKUP($A2366,'Concrete Beam Schedule'!$A$2:$Q$2902,S$2,0)&lt;&gt;C2366,VLOOKUP($A2366,'Concrete Beam Schedule'!$A$2:$Q$2902,S$2,0),"")</f>
        <v>#N/A</v>
      </c>
      <c r="T2366" s="7" t="e">
        <f>IF(VLOOKUP($A2366,'Concrete Beam Schedule'!$A$2:$Q$2902,T$2,0)&lt;&gt;D2366,"Beam Revised","")</f>
        <v>#N/A</v>
      </c>
      <c r="U2366" s="7" t="e">
        <f>IF(VLOOKUP($A2366,'Concrete Beam Schedule'!$A$2:$Q$2902,U$2,0)&lt;&gt;E2366,"Beam Revised","")</f>
        <v>#N/A</v>
      </c>
      <c r="V2366" s="7" t="e">
        <f>IF(VLOOKUP($A2366,'Concrete Beam Schedule'!$A$2:$Q$2902,V$2,0)&lt;&gt;F2366,"Beam Revised","")</f>
        <v>#N/A</v>
      </c>
      <c r="W2366" s="7" t="e">
        <f>IF(VLOOKUP($A2366,'Concrete Beam Schedule'!$A$2:$Q$2902,W$2,0)&lt;&gt;G2366,"Beam Revised","")</f>
        <v>#N/A</v>
      </c>
      <c r="X2366" s="7" t="e">
        <f>IF(VLOOKUP($A2366,'Concrete Beam Schedule'!$A$2:$Q$2902,X$2,0)&lt;&gt;H2366,"Beam Revised","")</f>
        <v>#N/A</v>
      </c>
      <c r="Y2366" s="7" t="e">
        <f>IF(VLOOKUP($A2366,'Concrete Beam Schedule'!$A$2:$Q$2902,Y$2,0)&lt;&gt;I2366,"Beam Revised","")</f>
        <v>#N/A</v>
      </c>
      <c r="Z2366" s="7" t="e">
        <f>IF(VLOOKUP($A2366,'Concrete Beam Schedule'!$A$2:$Q$2902,Z$2,0)&lt;&gt;J2366,"Beam Revised","")</f>
        <v>#N/A</v>
      </c>
      <c r="AA2366" s="7" t="e">
        <f>IF(VLOOKUP($A2366,'Concrete Beam Schedule'!$A$2:$Q$2902,AA$2,0)&lt;&gt;K2366,"Beam Revised","")</f>
        <v>#N/A</v>
      </c>
      <c r="AB2366" s="7" t="e">
        <f>IF(VLOOKUP($A2366,'Concrete Beam Schedule'!$A$2:$Q$2902,AB$2,0)&lt;&gt;L2366,"Beam Revised","")</f>
        <v>#N/A</v>
      </c>
      <c r="AC2366" s="7" t="e">
        <f>IF(VLOOKUP($A2366,'Concrete Beam Schedule'!$A$2:$Q$2902,AC$2,0)&lt;&gt;M2366,"Beam Revised","")</f>
        <v>#N/A</v>
      </c>
      <c r="AD2366" s="7" t="e">
        <f>IF(VLOOKUP($A2366,'Concrete Beam Schedule'!$A$2:$Q$2902,AD$2,0)&lt;&gt;N2366,"Beam Revised","")</f>
        <v>#N/A</v>
      </c>
      <c r="AE2366" s="7" t="e">
        <f>IF(VLOOKUP($A2366,'Concrete Beam Schedule'!$A$2:$Q$2902,AE$2,0)&lt;&gt;O2366,"Beam Revised","")</f>
        <v>#N/A</v>
      </c>
    </row>
    <row r="2367" spans="17:31" ht="20.100000000000001" customHeight="1" x14ac:dyDescent="0.25">
      <c r="Q2367" s="7">
        <f t="shared" si="36"/>
        <v>0</v>
      </c>
      <c r="R2367" s="7" t="e">
        <f>IF(VLOOKUP($A2367,'Concrete Beam Schedule'!$A$2:$Q$2902,R$2,0)&lt;&gt;B2367,VLOOKUP($A2367,'Concrete Beam Schedule'!$A$2:$Q$2902,R$2,0),"")</f>
        <v>#N/A</v>
      </c>
      <c r="S2367" s="7" t="e">
        <f>IF(VLOOKUP($A2367,'Concrete Beam Schedule'!$A$2:$Q$2902,S$2,0)&lt;&gt;C2367,VLOOKUP($A2367,'Concrete Beam Schedule'!$A$2:$Q$2902,S$2,0),"")</f>
        <v>#N/A</v>
      </c>
      <c r="T2367" s="7" t="e">
        <f>IF(VLOOKUP($A2367,'Concrete Beam Schedule'!$A$2:$Q$2902,T$2,0)&lt;&gt;D2367,"Beam Revised","")</f>
        <v>#N/A</v>
      </c>
      <c r="U2367" s="7" t="e">
        <f>IF(VLOOKUP($A2367,'Concrete Beam Schedule'!$A$2:$Q$2902,U$2,0)&lt;&gt;E2367,"Beam Revised","")</f>
        <v>#N/A</v>
      </c>
      <c r="V2367" s="7" t="e">
        <f>IF(VLOOKUP($A2367,'Concrete Beam Schedule'!$A$2:$Q$2902,V$2,0)&lt;&gt;F2367,"Beam Revised","")</f>
        <v>#N/A</v>
      </c>
      <c r="W2367" s="7" t="e">
        <f>IF(VLOOKUP($A2367,'Concrete Beam Schedule'!$A$2:$Q$2902,W$2,0)&lt;&gt;G2367,"Beam Revised","")</f>
        <v>#N/A</v>
      </c>
      <c r="X2367" s="7" t="e">
        <f>IF(VLOOKUP($A2367,'Concrete Beam Schedule'!$A$2:$Q$2902,X$2,0)&lt;&gt;H2367,"Beam Revised","")</f>
        <v>#N/A</v>
      </c>
      <c r="Y2367" s="7" t="e">
        <f>IF(VLOOKUP($A2367,'Concrete Beam Schedule'!$A$2:$Q$2902,Y$2,0)&lt;&gt;I2367,"Beam Revised","")</f>
        <v>#N/A</v>
      </c>
      <c r="Z2367" s="7" t="e">
        <f>IF(VLOOKUP($A2367,'Concrete Beam Schedule'!$A$2:$Q$2902,Z$2,0)&lt;&gt;J2367,"Beam Revised","")</f>
        <v>#N/A</v>
      </c>
      <c r="AA2367" s="7" t="e">
        <f>IF(VLOOKUP($A2367,'Concrete Beam Schedule'!$A$2:$Q$2902,AA$2,0)&lt;&gt;K2367,"Beam Revised","")</f>
        <v>#N/A</v>
      </c>
      <c r="AB2367" s="7" t="e">
        <f>IF(VLOOKUP($A2367,'Concrete Beam Schedule'!$A$2:$Q$2902,AB$2,0)&lt;&gt;L2367,"Beam Revised","")</f>
        <v>#N/A</v>
      </c>
      <c r="AC2367" s="7" t="e">
        <f>IF(VLOOKUP($A2367,'Concrete Beam Schedule'!$A$2:$Q$2902,AC$2,0)&lt;&gt;M2367,"Beam Revised","")</f>
        <v>#N/A</v>
      </c>
      <c r="AD2367" s="7" t="e">
        <f>IF(VLOOKUP($A2367,'Concrete Beam Schedule'!$A$2:$Q$2902,AD$2,0)&lt;&gt;N2367,"Beam Revised","")</f>
        <v>#N/A</v>
      </c>
      <c r="AE2367" s="7" t="e">
        <f>IF(VLOOKUP($A2367,'Concrete Beam Schedule'!$A$2:$Q$2902,AE$2,0)&lt;&gt;O2367,"Beam Revised","")</f>
        <v>#N/A</v>
      </c>
    </row>
    <row r="2368" spans="17:31" ht="20.100000000000001" customHeight="1" x14ac:dyDescent="0.25">
      <c r="Q2368" s="7">
        <f t="shared" si="36"/>
        <v>0</v>
      </c>
      <c r="R2368" s="7" t="e">
        <f>IF(VLOOKUP($A2368,'Concrete Beam Schedule'!$A$2:$Q$2902,R$2,0)&lt;&gt;B2368,VLOOKUP($A2368,'Concrete Beam Schedule'!$A$2:$Q$2902,R$2,0),"")</f>
        <v>#N/A</v>
      </c>
      <c r="S2368" s="7" t="e">
        <f>IF(VLOOKUP($A2368,'Concrete Beam Schedule'!$A$2:$Q$2902,S$2,0)&lt;&gt;C2368,VLOOKUP($A2368,'Concrete Beam Schedule'!$A$2:$Q$2902,S$2,0),"")</f>
        <v>#N/A</v>
      </c>
      <c r="T2368" s="7" t="e">
        <f>IF(VLOOKUP($A2368,'Concrete Beam Schedule'!$A$2:$Q$2902,T$2,0)&lt;&gt;D2368,"Beam Revised","")</f>
        <v>#N/A</v>
      </c>
      <c r="U2368" s="7" t="e">
        <f>IF(VLOOKUP($A2368,'Concrete Beam Schedule'!$A$2:$Q$2902,U$2,0)&lt;&gt;E2368,"Beam Revised","")</f>
        <v>#N/A</v>
      </c>
      <c r="V2368" s="7" t="e">
        <f>IF(VLOOKUP($A2368,'Concrete Beam Schedule'!$A$2:$Q$2902,V$2,0)&lt;&gt;F2368,"Beam Revised","")</f>
        <v>#N/A</v>
      </c>
      <c r="W2368" s="7" t="e">
        <f>IF(VLOOKUP($A2368,'Concrete Beam Schedule'!$A$2:$Q$2902,W$2,0)&lt;&gt;G2368,"Beam Revised","")</f>
        <v>#N/A</v>
      </c>
      <c r="X2368" s="7" t="e">
        <f>IF(VLOOKUP($A2368,'Concrete Beam Schedule'!$A$2:$Q$2902,X$2,0)&lt;&gt;H2368,"Beam Revised","")</f>
        <v>#N/A</v>
      </c>
      <c r="Y2368" s="7" t="e">
        <f>IF(VLOOKUP($A2368,'Concrete Beam Schedule'!$A$2:$Q$2902,Y$2,0)&lt;&gt;I2368,"Beam Revised","")</f>
        <v>#N/A</v>
      </c>
      <c r="Z2368" s="7" t="e">
        <f>IF(VLOOKUP($A2368,'Concrete Beam Schedule'!$A$2:$Q$2902,Z$2,0)&lt;&gt;J2368,"Beam Revised","")</f>
        <v>#N/A</v>
      </c>
      <c r="AA2368" s="7" t="e">
        <f>IF(VLOOKUP($A2368,'Concrete Beam Schedule'!$A$2:$Q$2902,AA$2,0)&lt;&gt;K2368,"Beam Revised","")</f>
        <v>#N/A</v>
      </c>
      <c r="AB2368" s="7" t="e">
        <f>IF(VLOOKUP($A2368,'Concrete Beam Schedule'!$A$2:$Q$2902,AB$2,0)&lt;&gt;L2368,"Beam Revised","")</f>
        <v>#N/A</v>
      </c>
      <c r="AC2368" s="7" t="e">
        <f>IF(VLOOKUP($A2368,'Concrete Beam Schedule'!$A$2:$Q$2902,AC$2,0)&lt;&gt;M2368,"Beam Revised","")</f>
        <v>#N/A</v>
      </c>
      <c r="AD2368" s="7" t="e">
        <f>IF(VLOOKUP($A2368,'Concrete Beam Schedule'!$A$2:$Q$2902,AD$2,0)&lt;&gt;N2368,"Beam Revised","")</f>
        <v>#N/A</v>
      </c>
      <c r="AE2368" s="7" t="e">
        <f>IF(VLOOKUP($A2368,'Concrete Beam Schedule'!$A$2:$Q$2902,AE$2,0)&lt;&gt;O2368,"Beam Revised","")</f>
        <v>#N/A</v>
      </c>
    </row>
    <row r="2369" spans="17:31" ht="20.100000000000001" customHeight="1" x14ac:dyDescent="0.25">
      <c r="Q2369" s="7">
        <f t="shared" si="36"/>
        <v>0</v>
      </c>
      <c r="R2369" s="7" t="e">
        <f>IF(VLOOKUP($A2369,'Concrete Beam Schedule'!$A$2:$Q$2902,R$2,0)&lt;&gt;B2369,VLOOKUP($A2369,'Concrete Beam Schedule'!$A$2:$Q$2902,R$2,0),"")</f>
        <v>#N/A</v>
      </c>
      <c r="S2369" s="7" t="e">
        <f>IF(VLOOKUP($A2369,'Concrete Beam Schedule'!$A$2:$Q$2902,S$2,0)&lt;&gt;C2369,VLOOKUP($A2369,'Concrete Beam Schedule'!$A$2:$Q$2902,S$2,0),"")</f>
        <v>#N/A</v>
      </c>
      <c r="T2369" s="7" t="e">
        <f>IF(VLOOKUP($A2369,'Concrete Beam Schedule'!$A$2:$Q$2902,T$2,0)&lt;&gt;D2369,"Beam Revised","")</f>
        <v>#N/A</v>
      </c>
      <c r="U2369" s="7" t="e">
        <f>IF(VLOOKUP($A2369,'Concrete Beam Schedule'!$A$2:$Q$2902,U$2,0)&lt;&gt;E2369,"Beam Revised","")</f>
        <v>#N/A</v>
      </c>
      <c r="V2369" s="7" t="e">
        <f>IF(VLOOKUP($A2369,'Concrete Beam Schedule'!$A$2:$Q$2902,V$2,0)&lt;&gt;F2369,"Beam Revised","")</f>
        <v>#N/A</v>
      </c>
      <c r="W2369" s="7" t="e">
        <f>IF(VLOOKUP($A2369,'Concrete Beam Schedule'!$A$2:$Q$2902,W$2,0)&lt;&gt;G2369,"Beam Revised","")</f>
        <v>#N/A</v>
      </c>
      <c r="X2369" s="7" t="e">
        <f>IF(VLOOKUP($A2369,'Concrete Beam Schedule'!$A$2:$Q$2902,X$2,0)&lt;&gt;H2369,"Beam Revised","")</f>
        <v>#N/A</v>
      </c>
      <c r="Y2369" s="7" t="e">
        <f>IF(VLOOKUP($A2369,'Concrete Beam Schedule'!$A$2:$Q$2902,Y$2,0)&lt;&gt;I2369,"Beam Revised","")</f>
        <v>#N/A</v>
      </c>
      <c r="Z2369" s="7" t="e">
        <f>IF(VLOOKUP($A2369,'Concrete Beam Schedule'!$A$2:$Q$2902,Z$2,0)&lt;&gt;J2369,"Beam Revised","")</f>
        <v>#N/A</v>
      </c>
      <c r="AA2369" s="7" t="e">
        <f>IF(VLOOKUP($A2369,'Concrete Beam Schedule'!$A$2:$Q$2902,AA$2,0)&lt;&gt;K2369,"Beam Revised","")</f>
        <v>#N/A</v>
      </c>
      <c r="AB2369" s="7" t="e">
        <f>IF(VLOOKUP($A2369,'Concrete Beam Schedule'!$A$2:$Q$2902,AB$2,0)&lt;&gt;L2369,"Beam Revised","")</f>
        <v>#N/A</v>
      </c>
      <c r="AC2369" s="7" t="e">
        <f>IF(VLOOKUP($A2369,'Concrete Beam Schedule'!$A$2:$Q$2902,AC$2,0)&lt;&gt;M2369,"Beam Revised","")</f>
        <v>#N/A</v>
      </c>
      <c r="AD2369" s="7" t="e">
        <f>IF(VLOOKUP($A2369,'Concrete Beam Schedule'!$A$2:$Q$2902,AD$2,0)&lt;&gt;N2369,"Beam Revised","")</f>
        <v>#N/A</v>
      </c>
      <c r="AE2369" s="7" t="e">
        <f>IF(VLOOKUP($A2369,'Concrete Beam Schedule'!$A$2:$Q$2902,AE$2,0)&lt;&gt;O2369,"Beam Revised","")</f>
        <v>#N/A</v>
      </c>
    </row>
    <row r="2370" spans="17:31" ht="20.100000000000001" customHeight="1" x14ac:dyDescent="0.25">
      <c r="Q2370" s="7">
        <f t="shared" si="36"/>
        <v>0</v>
      </c>
      <c r="R2370" s="7" t="e">
        <f>IF(VLOOKUP($A2370,'Concrete Beam Schedule'!$A$2:$Q$2902,R$2,0)&lt;&gt;B2370,VLOOKUP($A2370,'Concrete Beam Schedule'!$A$2:$Q$2902,R$2,0),"")</f>
        <v>#N/A</v>
      </c>
      <c r="S2370" s="7" t="e">
        <f>IF(VLOOKUP($A2370,'Concrete Beam Schedule'!$A$2:$Q$2902,S$2,0)&lt;&gt;C2370,VLOOKUP($A2370,'Concrete Beam Schedule'!$A$2:$Q$2902,S$2,0),"")</f>
        <v>#N/A</v>
      </c>
      <c r="T2370" s="7" t="e">
        <f>IF(VLOOKUP($A2370,'Concrete Beam Schedule'!$A$2:$Q$2902,T$2,0)&lt;&gt;D2370,"Beam Revised","")</f>
        <v>#N/A</v>
      </c>
      <c r="U2370" s="7" t="e">
        <f>IF(VLOOKUP($A2370,'Concrete Beam Schedule'!$A$2:$Q$2902,U$2,0)&lt;&gt;E2370,"Beam Revised","")</f>
        <v>#N/A</v>
      </c>
      <c r="V2370" s="7" t="e">
        <f>IF(VLOOKUP($A2370,'Concrete Beam Schedule'!$A$2:$Q$2902,V$2,0)&lt;&gt;F2370,"Beam Revised","")</f>
        <v>#N/A</v>
      </c>
      <c r="W2370" s="7" t="e">
        <f>IF(VLOOKUP($A2370,'Concrete Beam Schedule'!$A$2:$Q$2902,W$2,0)&lt;&gt;G2370,"Beam Revised","")</f>
        <v>#N/A</v>
      </c>
      <c r="X2370" s="7" t="e">
        <f>IF(VLOOKUP($A2370,'Concrete Beam Schedule'!$A$2:$Q$2902,X$2,0)&lt;&gt;H2370,"Beam Revised","")</f>
        <v>#N/A</v>
      </c>
      <c r="Y2370" s="7" t="e">
        <f>IF(VLOOKUP($A2370,'Concrete Beam Schedule'!$A$2:$Q$2902,Y$2,0)&lt;&gt;I2370,"Beam Revised","")</f>
        <v>#N/A</v>
      </c>
      <c r="Z2370" s="7" t="e">
        <f>IF(VLOOKUP($A2370,'Concrete Beam Schedule'!$A$2:$Q$2902,Z$2,0)&lt;&gt;J2370,"Beam Revised","")</f>
        <v>#N/A</v>
      </c>
      <c r="AA2370" s="7" t="e">
        <f>IF(VLOOKUP($A2370,'Concrete Beam Schedule'!$A$2:$Q$2902,AA$2,0)&lt;&gt;K2370,"Beam Revised","")</f>
        <v>#N/A</v>
      </c>
      <c r="AB2370" s="7" t="e">
        <f>IF(VLOOKUP($A2370,'Concrete Beam Schedule'!$A$2:$Q$2902,AB$2,0)&lt;&gt;L2370,"Beam Revised","")</f>
        <v>#N/A</v>
      </c>
      <c r="AC2370" s="7" t="e">
        <f>IF(VLOOKUP($A2370,'Concrete Beam Schedule'!$A$2:$Q$2902,AC$2,0)&lt;&gt;M2370,"Beam Revised","")</f>
        <v>#N/A</v>
      </c>
      <c r="AD2370" s="7" t="e">
        <f>IF(VLOOKUP($A2370,'Concrete Beam Schedule'!$A$2:$Q$2902,AD$2,0)&lt;&gt;N2370,"Beam Revised","")</f>
        <v>#N/A</v>
      </c>
      <c r="AE2370" s="7" t="e">
        <f>IF(VLOOKUP($A2370,'Concrete Beam Schedule'!$A$2:$Q$2902,AE$2,0)&lt;&gt;O2370,"Beam Revised","")</f>
        <v>#N/A</v>
      </c>
    </row>
    <row r="2371" spans="17:31" ht="20.100000000000001" customHeight="1" x14ac:dyDescent="0.25">
      <c r="Q2371" s="7">
        <f t="shared" si="36"/>
        <v>0</v>
      </c>
      <c r="R2371" s="7" t="e">
        <f>IF(VLOOKUP($A2371,'Concrete Beam Schedule'!$A$2:$Q$2902,R$2,0)&lt;&gt;B2371,VLOOKUP($A2371,'Concrete Beam Schedule'!$A$2:$Q$2902,R$2,0),"")</f>
        <v>#N/A</v>
      </c>
      <c r="S2371" s="7" t="e">
        <f>IF(VLOOKUP($A2371,'Concrete Beam Schedule'!$A$2:$Q$2902,S$2,0)&lt;&gt;C2371,VLOOKUP($A2371,'Concrete Beam Schedule'!$A$2:$Q$2902,S$2,0),"")</f>
        <v>#N/A</v>
      </c>
      <c r="T2371" s="7" t="e">
        <f>IF(VLOOKUP($A2371,'Concrete Beam Schedule'!$A$2:$Q$2902,T$2,0)&lt;&gt;D2371,"Beam Revised","")</f>
        <v>#N/A</v>
      </c>
      <c r="U2371" s="7" t="e">
        <f>IF(VLOOKUP($A2371,'Concrete Beam Schedule'!$A$2:$Q$2902,U$2,0)&lt;&gt;E2371,"Beam Revised","")</f>
        <v>#N/A</v>
      </c>
      <c r="V2371" s="7" t="e">
        <f>IF(VLOOKUP($A2371,'Concrete Beam Schedule'!$A$2:$Q$2902,V$2,0)&lt;&gt;F2371,"Beam Revised","")</f>
        <v>#N/A</v>
      </c>
      <c r="W2371" s="7" t="e">
        <f>IF(VLOOKUP($A2371,'Concrete Beam Schedule'!$A$2:$Q$2902,W$2,0)&lt;&gt;G2371,"Beam Revised","")</f>
        <v>#N/A</v>
      </c>
      <c r="X2371" s="7" t="e">
        <f>IF(VLOOKUP($A2371,'Concrete Beam Schedule'!$A$2:$Q$2902,X$2,0)&lt;&gt;H2371,"Beam Revised","")</f>
        <v>#N/A</v>
      </c>
      <c r="Y2371" s="7" t="e">
        <f>IF(VLOOKUP($A2371,'Concrete Beam Schedule'!$A$2:$Q$2902,Y$2,0)&lt;&gt;I2371,"Beam Revised","")</f>
        <v>#N/A</v>
      </c>
      <c r="Z2371" s="7" t="e">
        <f>IF(VLOOKUP($A2371,'Concrete Beam Schedule'!$A$2:$Q$2902,Z$2,0)&lt;&gt;J2371,"Beam Revised","")</f>
        <v>#N/A</v>
      </c>
      <c r="AA2371" s="7" t="e">
        <f>IF(VLOOKUP($A2371,'Concrete Beam Schedule'!$A$2:$Q$2902,AA$2,0)&lt;&gt;K2371,"Beam Revised","")</f>
        <v>#N/A</v>
      </c>
      <c r="AB2371" s="7" t="e">
        <f>IF(VLOOKUP($A2371,'Concrete Beam Schedule'!$A$2:$Q$2902,AB$2,0)&lt;&gt;L2371,"Beam Revised","")</f>
        <v>#N/A</v>
      </c>
      <c r="AC2371" s="7" t="e">
        <f>IF(VLOOKUP($A2371,'Concrete Beam Schedule'!$A$2:$Q$2902,AC$2,0)&lt;&gt;M2371,"Beam Revised","")</f>
        <v>#N/A</v>
      </c>
      <c r="AD2371" s="7" t="e">
        <f>IF(VLOOKUP($A2371,'Concrete Beam Schedule'!$A$2:$Q$2902,AD$2,0)&lt;&gt;N2371,"Beam Revised","")</f>
        <v>#N/A</v>
      </c>
      <c r="AE2371" s="7" t="e">
        <f>IF(VLOOKUP($A2371,'Concrete Beam Schedule'!$A$2:$Q$2902,AE$2,0)&lt;&gt;O2371,"Beam Revised","")</f>
        <v>#N/A</v>
      </c>
    </row>
    <row r="2372" spans="17:31" ht="20.100000000000001" customHeight="1" x14ac:dyDescent="0.25">
      <c r="Q2372" s="7">
        <f t="shared" ref="Q2372:Q2435" si="37">A2372</f>
        <v>0</v>
      </c>
      <c r="R2372" s="7" t="e">
        <f>IF(VLOOKUP($A2372,'Concrete Beam Schedule'!$A$2:$Q$2902,R$2,0)&lt;&gt;B2372,VLOOKUP($A2372,'Concrete Beam Schedule'!$A$2:$Q$2902,R$2,0),"")</f>
        <v>#N/A</v>
      </c>
      <c r="S2372" s="7" t="e">
        <f>IF(VLOOKUP($A2372,'Concrete Beam Schedule'!$A$2:$Q$2902,S$2,0)&lt;&gt;C2372,VLOOKUP($A2372,'Concrete Beam Schedule'!$A$2:$Q$2902,S$2,0),"")</f>
        <v>#N/A</v>
      </c>
      <c r="T2372" s="7" t="e">
        <f>IF(VLOOKUP($A2372,'Concrete Beam Schedule'!$A$2:$Q$2902,T$2,0)&lt;&gt;D2372,"Beam Revised","")</f>
        <v>#N/A</v>
      </c>
      <c r="U2372" s="7" t="e">
        <f>IF(VLOOKUP($A2372,'Concrete Beam Schedule'!$A$2:$Q$2902,U$2,0)&lt;&gt;E2372,"Beam Revised","")</f>
        <v>#N/A</v>
      </c>
      <c r="V2372" s="7" t="e">
        <f>IF(VLOOKUP($A2372,'Concrete Beam Schedule'!$A$2:$Q$2902,V$2,0)&lt;&gt;F2372,"Beam Revised","")</f>
        <v>#N/A</v>
      </c>
      <c r="W2372" s="7" t="e">
        <f>IF(VLOOKUP($A2372,'Concrete Beam Schedule'!$A$2:$Q$2902,W$2,0)&lt;&gt;G2372,"Beam Revised","")</f>
        <v>#N/A</v>
      </c>
      <c r="X2372" s="7" t="e">
        <f>IF(VLOOKUP($A2372,'Concrete Beam Schedule'!$A$2:$Q$2902,X$2,0)&lt;&gt;H2372,"Beam Revised","")</f>
        <v>#N/A</v>
      </c>
      <c r="Y2372" s="7" t="e">
        <f>IF(VLOOKUP($A2372,'Concrete Beam Schedule'!$A$2:$Q$2902,Y$2,0)&lt;&gt;I2372,"Beam Revised","")</f>
        <v>#N/A</v>
      </c>
      <c r="Z2372" s="7" t="e">
        <f>IF(VLOOKUP($A2372,'Concrete Beam Schedule'!$A$2:$Q$2902,Z$2,0)&lt;&gt;J2372,"Beam Revised","")</f>
        <v>#N/A</v>
      </c>
      <c r="AA2372" s="7" t="e">
        <f>IF(VLOOKUP($A2372,'Concrete Beam Schedule'!$A$2:$Q$2902,AA$2,0)&lt;&gt;K2372,"Beam Revised","")</f>
        <v>#N/A</v>
      </c>
      <c r="AB2372" s="7" t="e">
        <f>IF(VLOOKUP($A2372,'Concrete Beam Schedule'!$A$2:$Q$2902,AB$2,0)&lt;&gt;L2372,"Beam Revised","")</f>
        <v>#N/A</v>
      </c>
      <c r="AC2372" s="7" t="e">
        <f>IF(VLOOKUP($A2372,'Concrete Beam Schedule'!$A$2:$Q$2902,AC$2,0)&lt;&gt;M2372,"Beam Revised","")</f>
        <v>#N/A</v>
      </c>
      <c r="AD2372" s="7" t="e">
        <f>IF(VLOOKUP($A2372,'Concrete Beam Schedule'!$A$2:$Q$2902,AD$2,0)&lt;&gt;N2372,"Beam Revised","")</f>
        <v>#N/A</v>
      </c>
      <c r="AE2372" s="7" t="e">
        <f>IF(VLOOKUP($A2372,'Concrete Beam Schedule'!$A$2:$Q$2902,AE$2,0)&lt;&gt;O2372,"Beam Revised","")</f>
        <v>#N/A</v>
      </c>
    </row>
    <row r="2373" spans="17:31" ht="20.100000000000001" customHeight="1" x14ac:dyDescent="0.25">
      <c r="Q2373" s="7">
        <f t="shared" si="37"/>
        <v>0</v>
      </c>
      <c r="R2373" s="7" t="e">
        <f>IF(VLOOKUP($A2373,'Concrete Beam Schedule'!$A$2:$Q$2902,R$2,0)&lt;&gt;B2373,VLOOKUP($A2373,'Concrete Beam Schedule'!$A$2:$Q$2902,R$2,0),"")</f>
        <v>#N/A</v>
      </c>
      <c r="S2373" s="7" t="e">
        <f>IF(VLOOKUP($A2373,'Concrete Beam Schedule'!$A$2:$Q$2902,S$2,0)&lt;&gt;C2373,VLOOKUP($A2373,'Concrete Beam Schedule'!$A$2:$Q$2902,S$2,0),"")</f>
        <v>#N/A</v>
      </c>
      <c r="T2373" s="7" t="e">
        <f>IF(VLOOKUP($A2373,'Concrete Beam Schedule'!$A$2:$Q$2902,T$2,0)&lt;&gt;D2373,"Beam Revised","")</f>
        <v>#N/A</v>
      </c>
      <c r="U2373" s="7" t="e">
        <f>IF(VLOOKUP($A2373,'Concrete Beam Schedule'!$A$2:$Q$2902,U$2,0)&lt;&gt;E2373,"Beam Revised","")</f>
        <v>#N/A</v>
      </c>
      <c r="V2373" s="7" t="e">
        <f>IF(VLOOKUP($A2373,'Concrete Beam Schedule'!$A$2:$Q$2902,V$2,0)&lt;&gt;F2373,"Beam Revised","")</f>
        <v>#N/A</v>
      </c>
      <c r="W2373" s="7" t="e">
        <f>IF(VLOOKUP($A2373,'Concrete Beam Schedule'!$A$2:$Q$2902,W$2,0)&lt;&gt;G2373,"Beam Revised","")</f>
        <v>#N/A</v>
      </c>
      <c r="X2373" s="7" t="e">
        <f>IF(VLOOKUP($A2373,'Concrete Beam Schedule'!$A$2:$Q$2902,X$2,0)&lt;&gt;H2373,"Beam Revised","")</f>
        <v>#N/A</v>
      </c>
      <c r="Y2373" s="7" t="e">
        <f>IF(VLOOKUP($A2373,'Concrete Beam Schedule'!$A$2:$Q$2902,Y$2,0)&lt;&gt;I2373,"Beam Revised","")</f>
        <v>#N/A</v>
      </c>
      <c r="Z2373" s="7" t="e">
        <f>IF(VLOOKUP($A2373,'Concrete Beam Schedule'!$A$2:$Q$2902,Z$2,0)&lt;&gt;J2373,"Beam Revised","")</f>
        <v>#N/A</v>
      </c>
      <c r="AA2373" s="7" t="e">
        <f>IF(VLOOKUP($A2373,'Concrete Beam Schedule'!$A$2:$Q$2902,AA$2,0)&lt;&gt;K2373,"Beam Revised","")</f>
        <v>#N/A</v>
      </c>
      <c r="AB2373" s="7" t="e">
        <f>IF(VLOOKUP($A2373,'Concrete Beam Schedule'!$A$2:$Q$2902,AB$2,0)&lt;&gt;L2373,"Beam Revised","")</f>
        <v>#N/A</v>
      </c>
      <c r="AC2373" s="7" t="e">
        <f>IF(VLOOKUP($A2373,'Concrete Beam Schedule'!$A$2:$Q$2902,AC$2,0)&lt;&gt;M2373,"Beam Revised","")</f>
        <v>#N/A</v>
      </c>
      <c r="AD2373" s="7" t="e">
        <f>IF(VLOOKUP($A2373,'Concrete Beam Schedule'!$A$2:$Q$2902,AD$2,0)&lt;&gt;N2373,"Beam Revised","")</f>
        <v>#N/A</v>
      </c>
      <c r="AE2373" s="7" t="e">
        <f>IF(VLOOKUP($A2373,'Concrete Beam Schedule'!$A$2:$Q$2902,AE$2,0)&lt;&gt;O2373,"Beam Revised","")</f>
        <v>#N/A</v>
      </c>
    </row>
    <row r="2374" spans="17:31" ht="20.100000000000001" customHeight="1" x14ac:dyDescent="0.25">
      <c r="Q2374" s="7">
        <f t="shared" si="37"/>
        <v>0</v>
      </c>
      <c r="R2374" s="7" t="e">
        <f>IF(VLOOKUP($A2374,'Concrete Beam Schedule'!$A$2:$Q$2902,R$2,0)&lt;&gt;B2374,VLOOKUP($A2374,'Concrete Beam Schedule'!$A$2:$Q$2902,R$2,0),"")</f>
        <v>#N/A</v>
      </c>
      <c r="S2374" s="7" t="e">
        <f>IF(VLOOKUP($A2374,'Concrete Beam Schedule'!$A$2:$Q$2902,S$2,0)&lt;&gt;C2374,VLOOKUP($A2374,'Concrete Beam Schedule'!$A$2:$Q$2902,S$2,0),"")</f>
        <v>#N/A</v>
      </c>
      <c r="T2374" s="7" t="e">
        <f>IF(VLOOKUP($A2374,'Concrete Beam Schedule'!$A$2:$Q$2902,T$2,0)&lt;&gt;D2374,"Beam Revised","")</f>
        <v>#N/A</v>
      </c>
      <c r="U2374" s="7" t="e">
        <f>IF(VLOOKUP($A2374,'Concrete Beam Schedule'!$A$2:$Q$2902,U$2,0)&lt;&gt;E2374,"Beam Revised","")</f>
        <v>#N/A</v>
      </c>
      <c r="V2374" s="7" t="e">
        <f>IF(VLOOKUP($A2374,'Concrete Beam Schedule'!$A$2:$Q$2902,V$2,0)&lt;&gt;F2374,"Beam Revised","")</f>
        <v>#N/A</v>
      </c>
      <c r="W2374" s="7" t="e">
        <f>IF(VLOOKUP($A2374,'Concrete Beam Schedule'!$A$2:$Q$2902,W$2,0)&lt;&gt;G2374,"Beam Revised","")</f>
        <v>#N/A</v>
      </c>
      <c r="X2374" s="7" t="e">
        <f>IF(VLOOKUP($A2374,'Concrete Beam Schedule'!$A$2:$Q$2902,X$2,0)&lt;&gt;H2374,"Beam Revised","")</f>
        <v>#N/A</v>
      </c>
      <c r="Y2374" s="7" t="e">
        <f>IF(VLOOKUP($A2374,'Concrete Beam Schedule'!$A$2:$Q$2902,Y$2,0)&lt;&gt;I2374,"Beam Revised","")</f>
        <v>#N/A</v>
      </c>
      <c r="Z2374" s="7" t="e">
        <f>IF(VLOOKUP($A2374,'Concrete Beam Schedule'!$A$2:$Q$2902,Z$2,0)&lt;&gt;J2374,"Beam Revised","")</f>
        <v>#N/A</v>
      </c>
      <c r="AA2374" s="7" t="e">
        <f>IF(VLOOKUP($A2374,'Concrete Beam Schedule'!$A$2:$Q$2902,AA$2,0)&lt;&gt;K2374,"Beam Revised","")</f>
        <v>#N/A</v>
      </c>
      <c r="AB2374" s="7" t="e">
        <f>IF(VLOOKUP($A2374,'Concrete Beam Schedule'!$A$2:$Q$2902,AB$2,0)&lt;&gt;L2374,"Beam Revised","")</f>
        <v>#N/A</v>
      </c>
      <c r="AC2374" s="7" t="e">
        <f>IF(VLOOKUP($A2374,'Concrete Beam Schedule'!$A$2:$Q$2902,AC$2,0)&lt;&gt;M2374,"Beam Revised","")</f>
        <v>#N/A</v>
      </c>
      <c r="AD2374" s="7" t="e">
        <f>IF(VLOOKUP($A2374,'Concrete Beam Schedule'!$A$2:$Q$2902,AD$2,0)&lt;&gt;N2374,"Beam Revised","")</f>
        <v>#N/A</v>
      </c>
      <c r="AE2374" s="7" t="e">
        <f>IF(VLOOKUP($A2374,'Concrete Beam Schedule'!$A$2:$Q$2902,AE$2,0)&lt;&gt;O2374,"Beam Revised","")</f>
        <v>#N/A</v>
      </c>
    </row>
    <row r="2375" spans="17:31" ht="20.100000000000001" customHeight="1" x14ac:dyDescent="0.25">
      <c r="Q2375" s="7">
        <f t="shared" si="37"/>
        <v>0</v>
      </c>
      <c r="R2375" s="7" t="e">
        <f>IF(VLOOKUP($A2375,'Concrete Beam Schedule'!$A$2:$Q$2902,R$2,0)&lt;&gt;B2375,VLOOKUP($A2375,'Concrete Beam Schedule'!$A$2:$Q$2902,R$2,0),"")</f>
        <v>#N/A</v>
      </c>
      <c r="S2375" s="7" t="e">
        <f>IF(VLOOKUP($A2375,'Concrete Beam Schedule'!$A$2:$Q$2902,S$2,0)&lt;&gt;C2375,VLOOKUP($A2375,'Concrete Beam Schedule'!$A$2:$Q$2902,S$2,0),"")</f>
        <v>#N/A</v>
      </c>
      <c r="T2375" s="7" t="e">
        <f>IF(VLOOKUP($A2375,'Concrete Beam Schedule'!$A$2:$Q$2902,T$2,0)&lt;&gt;D2375,"Beam Revised","")</f>
        <v>#N/A</v>
      </c>
      <c r="U2375" s="7" t="e">
        <f>IF(VLOOKUP($A2375,'Concrete Beam Schedule'!$A$2:$Q$2902,U$2,0)&lt;&gt;E2375,"Beam Revised","")</f>
        <v>#N/A</v>
      </c>
      <c r="V2375" s="7" t="e">
        <f>IF(VLOOKUP($A2375,'Concrete Beam Schedule'!$A$2:$Q$2902,V$2,0)&lt;&gt;F2375,"Beam Revised","")</f>
        <v>#N/A</v>
      </c>
      <c r="W2375" s="7" t="e">
        <f>IF(VLOOKUP($A2375,'Concrete Beam Schedule'!$A$2:$Q$2902,W$2,0)&lt;&gt;G2375,"Beam Revised","")</f>
        <v>#N/A</v>
      </c>
      <c r="X2375" s="7" t="e">
        <f>IF(VLOOKUP($A2375,'Concrete Beam Schedule'!$A$2:$Q$2902,X$2,0)&lt;&gt;H2375,"Beam Revised","")</f>
        <v>#N/A</v>
      </c>
      <c r="Y2375" s="7" t="e">
        <f>IF(VLOOKUP($A2375,'Concrete Beam Schedule'!$A$2:$Q$2902,Y$2,0)&lt;&gt;I2375,"Beam Revised","")</f>
        <v>#N/A</v>
      </c>
      <c r="Z2375" s="7" t="e">
        <f>IF(VLOOKUP($A2375,'Concrete Beam Schedule'!$A$2:$Q$2902,Z$2,0)&lt;&gt;J2375,"Beam Revised","")</f>
        <v>#N/A</v>
      </c>
      <c r="AA2375" s="7" t="e">
        <f>IF(VLOOKUP($A2375,'Concrete Beam Schedule'!$A$2:$Q$2902,AA$2,0)&lt;&gt;K2375,"Beam Revised","")</f>
        <v>#N/A</v>
      </c>
      <c r="AB2375" s="7" t="e">
        <f>IF(VLOOKUP($A2375,'Concrete Beam Schedule'!$A$2:$Q$2902,AB$2,0)&lt;&gt;L2375,"Beam Revised","")</f>
        <v>#N/A</v>
      </c>
      <c r="AC2375" s="7" t="e">
        <f>IF(VLOOKUP($A2375,'Concrete Beam Schedule'!$A$2:$Q$2902,AC$2,0)&lt;&gt;M2375,"Beam Revised","")</f>
        <v>#N/A</v>
      </c>
      <c r="AD2375" s="7" t="e">
        <f>IF(VLOOKUP($A2375,'Concrete Beam Schedule'!$A$2:$Q$2902,AD$2,0)&lt;&gt;N2375,"Beam Revised","")</f>
        <v>#N/A</v>
      </c>
      <c r="AE2375" s="7" t="e">
        <f>IF(VLOOKUP($A2375,'Concrete Beam Schedule'!$A$2:$Q$2902,AE$2,0)&lt;&gt;O2375,"Beam Revised","")</f>
        <v>#N/A</v>
      </c>
    </row>
    <row r="2376" spans="17:31" ht="20.100000000000001" customHeight="1" x14ac:dyDescent="0.25">
      <c r="Q2376" s="7">
        <f t="shared" si="37"/>
        <v>0</v>
      </c>
      <c r="R2376" s="7" t="e">
        <f>IF(VLOOKUP($A2376,'Concrete Beam Schedule'!$A$2:$Q$2902,R$2,0)&lt;&gt;B2376,VLOOKUP($A2376,'Concrete Beam Schedule'!$A$2:$Q$2902,R$2,0),"")</f>
        <v>#N/A</v>
      </c>
      <c r="S2376" s="7" t="e">
        <f>IF(VLOOKUP($A2376,'Concrete Beam Schedule'!$A$2:$Q$2902,S$2,0)&lt;&gt;C2376,VLOOKUP($A2376,'Concrete Beam Schedule'!$A$2:$Q$2902,S$2,0),"")</f>
        <v>#N/A</v>
      </c>
      <c r="T2376" s="7" t="e">
        <f>IF(VLOOKUP($A2376,'Concrete Beam Schedule'!$A$2:$Q$2902,T$2,0)&lt;&gt;D2376,"Beam Revised","")</f>
        <v>#N/A</v>
      </c>
      <c r="U2376" s="7" t="e">
        <f>IF(VLOOKUP($A2376,'Concrete Beam Schedule'!$A$2:$Q$2902,U$2,0)&lt;&gt;E2376,"Beam Revised","")</f>
        <v>#N/A</v>
      </c>
      <c r="V2376" s="7" t="e">
        <f>IF(VLOOKUP($A2376,'Concrete Beam Schedule'!$A$2:$Q$2902,V$2,0)&lt;&gt;F2376,"Beam Revised","")</f>
        <v>#N/A</v>
      </c>
      <c r="W2376" s="7" t="e">
        <f>IF(VLOOKUP($A2376,'Concrete Beam Schedule'!$A$2:$Q$2902,W$2,0)&lt;&gt;G2376,"Beam Revised","")</f>
        <v>#N/A</v>
      </c>
      <c r="X2376" s="7" t="e">
        <f>IF(VLOOKUP($A2376,'Concrete Beam Schedule'!$A$2:$Q$2902,X$2,0)&lt;&gt;H2376,"Beam Revised","")</f>
        <v>#N/A</v>
      </c>
      <c r="Y2376" s="7" t="e">
        <f>IF(VLOOKUP($A2376,'Concrete Beam Schedule'!$A$2:$Q$2902,Y$2,0)&lt;&gt;I2376,"Beam Revised","")</f>
        <v>#N/A</v>
      </c>
      <c r="Z2376" s="7" t="e">
        <f>IF(VLOOKUP($A2376,'Concrete Beam Schedule'!$A$2:$Q$2902,Z$2,0)&lt;&gt;J2376,"Beam Revised","")</f>
        <v>#N/A</v>
      </c>
      <c r="AA2376" s="7" t="e">
        <f>IF(VLOOKUP($A2376,'Concrete Beam Schedule'!$A$2:$Q$2902,AA$2,0)&lt;&gt;K2376,"Beam Revised","")</f>
        <v>#N/A</v>
      </c>
      <c r="AB2376" s="7" t="e">
        <f>IF(VLOOKUP($A2376,'Concrete Beam Schedule'!$A$2:$Q$2902,AB$2,0)&lt;&gt;L2376,"Beam Revised","")</f>
        <v>#N/A</v>
      </c>
      <c r="AC2376" s="7" t="e">
        <f>IF(VLOOKUP($A2376,'Concrete Beam Schedule'!$A$2:$Q$2902,AC$2,0)&lt;&gt;M2376,"Beam Revised","")</f>
        <v>#N/A</v>
      </c>
      <c r="AD2376" s="7" t="e">
        <f>IF(VLOOKUP($A2376,'Concrete Beam Schedule'!$A$2:$Q$2902,AD$2,0)&lt;&gt;N2376,"Beam Revised","")</f>
        <v>#N/A</v>
      </c>
      <c r="AE2376" s="7" t="e">
        <f>IF(VLOOKUP($A2376,'Concrete Beam Schedule'!$A$2:$Q$2902,AE$2,0)&lt;&gt;O2376,"Beam Revised","")</f>
        <v>#N/A</v>
      </c>
    </row>
    <row r="2377" spans="17:31" ht="20.100000000000001" customHeight="1" x14ac:dyDescent="0.25">
      <c r="Q2377" s="7">
        <f t="shared" si="37"/>
        <v>0</v>
      </c>
      <c r="R2377" s="7" t="e">
        <f>IF(VLOOKUP($A2377,'Concrete Beam Schedule'!$A$2:$Q$2902,R$2,0)&lt;&gt;B2377,VLOOKUP($A2377,'Concrete Beam Schedule'!$A$2:$Q$2902,R$2,0),"")</f>
        <v>#N/A</v>
      </c>
      <c r="S2377" s="7" t="e">
        <f>IF(VLOOKUP($A2377,'Concrete Beam Schedule'!$A$2:$Q$2902,S$2,0)&lt;&gt;C2377,VLOOKUP($A2377,'Concrete Beam Schedule'!$A$2:$Q$2902,S$2,0),"")</f>
        <v>#N/A</v>
      </c>
      <c r="T2377" s="7" t="e">
        <f>IF(VLOOKUP($A2377,'Concrete Beam Schedule'!$A$2:$Q$2902,T$2,0)&lt;&gt;D2377,"Beam Revised","")</f>
        <v>#N/A</v>
      </c>
      <c r="U2377" s="7" t="e">
        <f>IF(VLOOKUP($A2377,'Concrete Beam Schedule'!$A$2:$Q$2902,U$2,0)&lt;&gt;E2377,"Beam Revised","")</f>
        <v>#N/A</v>
      </c>
      <c r="V2377" s="7" t="e">
        <f>IF(VLOOKUP($A2377,'Concrete Beam Schedule'!$A$2:$Q$2902,V$2,0)&lt;&gt;F2377,"Beam Revised","")</f>
        <v>#N/A</v>
      </c>
      <c r="W2377" s="7" t="e">
        <f>IF(VLOOKUP($A2377,'Concrete Beam Schedule'!$A$2:$Q$2902,W$2,0)&lt;&gt;G2377,"Beam Revised","")</f>
        <v>#N/A</v>
      </c>
      <c r="X2377" s="7" t="e">
        <f>IF(VLOOKUP($A2377,'Concrete Beam Schedule'!$A$2:$Q$2902,X$2,0)&lt;&gt;H2377,"Beam Revised","")</f>
        <v>#N/A</v>
      </c>
      <c r="Y2377" s="7" t="e">
        <f>IF(VLOOKUP($A2377,'Concrete Beam Schedule'!$A$2:$Q$2902,Y$2,0)&lt;&gt;I2377,"Beam Revised","")</f>
        <v>#N/A</v>
      </c>
      <c r="Z2377" s="7" t="e">
        <f>IF(VLOOKUP($A2377,'Concrete Beam Schedule'!$A$2:$Q$2902,Z$2,0)&lt;&gt;J2377,"Beam Revised","")</f>
        <v>#N/A</v>
      </c>
      <c r="AA2377" s="7" t="e">
        <f>IF(VLOOKUP($A2377,'Concrete Beam Schedule'!$A$2:$Q$2902,AA$2,0)&lt;&gt;K2377,"Beam Revised","")</f>
        <v>#N/A</v>
      </c>
      <c r="AB2377" s="7" t="e">
        <f>IF(VLOOKUP($A2377,'Concrete Beam Schedule'!$A$2:$Q$2902,AB$2,0)&lt;&gt;L2377,"Beam Revised","")</f>
        <v>#N/A</v>
      </c>
      <c r="AC2377" s="7" t="e">
        <f>IF(VLOOKUP($A2377,'Concrete Beam Schedule'!$A$2:$Q$2902,AC$2,0)&lt;&gt;M2377,"Beam Revised","")</f>
        <v>#N/A</v>
      </c>
      <c r="AD2377" s="7" t="e">
        <f>IF(VLOOKUP($A2377,'Concrete Beam Schedule'!$A$2:$Q$2902,AD$2,0)&lt;&gt;N2377,"Beam Revised","")</f>
        <v>#N/A</v>
      </c>
      <c r="AE2377" s="7" t="e">
        <f>IF(VLOOKUP($A2377,'Concrete Beam Schedule'!$A$2:$Q$2902,AE$2,0)&lt;&gt;O2377,"Beam Revised","")</f>
        <v>#N/A</v>
      </c>
    </row>
    <row r="2378" spans="17:31" ht="20.100000000000001" customHeight="1" x14ac:dyDescent="0.25">
      <c r="Q2378" s="7">
        <f t="shared" si="37"/>
        <v>0</v>
      </c>
      <c r="R2378" s="7" t="e">
        <f>IF(VLOOKUP($A2378,'Concrete Beam Schedule'!$A$2:$Q$2902,R$2,0)&lt;&gt;B2378,VLOOKUP($A2378,'Concrete Beam Schedule'!$A$2:$Q$2902,R$2,0),"")</f>
        <v>#N/A</v>
      </c>
      <c r="S2378" s="7" t="e">
        <f>IF(VLOOKUP($A2378,'Concrete Beam Schedule'!$A$2:$Q$2902,S$2,0)&lt;&gt;C2378,VLOOKUP($A2378,'Concrete Beam Schedule'!$A$2:$Q$2902,S$2,0),"")</f>
        <v>#N/A</v>
      </c>
      <c r="T2378" s="7" t="e">
        <f>IF(VLOOKUP($A2378,'Concrete Beam Schedule'!$A$2:$Q$2902,T$2,0)&lt;&gt;D2378,"Beam Revised","")</f>
        <v>#N/A</v>
      </c>
      <c r="U2378" s="7" t="e">
        <f>IF(VLOOKUP($A2378,'Concrete Beam Schedule'!$A$2:$Q$2902,U$2,0)&lt;&gt;E2378,"Beam Revised","")</f>
        <v>#N/A</v>
      </c>
      <c r="V2378" s="7" t="e">
        <f>IF(VLOOKUP($A2378,'Concrete Beam Schedule'!$A$2:$Q$2902,V$2,0)&lt;&gt;F2378,"Beam Revised","")</f>
        <v>#N/A</v>
      </c>
      <c r="W2378" s="7" t="e">
        <f>IF(VLOOKUP($A2378,'Concrete Beam Schedule'!$A$2:$Q$2902,W$2,0)&lt;&gt;G2378,"Beam Revised","")</f>
        <v>#N/A</v>
      </c>
      <c r="X2378" s="7" t="e">
        <f>IF(VLOOKUP($A2378,'Concrete Beam Schedule'!$A$2:$Q$2902,X$2,0)&lt;&gt;H2378,"Beam Revised","")</f>
        <v>#N/A</v>
      </c>
      <c r="Y2378" s="7" t="e">
        <f>IF(VLOOKUP($A2378,'Concrete Beam Schedule'!$A$2:$Q$2902,Y$2,0)&lt;&gt;I2378,"Beam Revised","")</f>
        <v>#N/A</v>
      </c>
      <c r="Z2378" s="7" t="e">
        <f>IF(VLOOKUP($A2378,'Concrete Beam Schedule'!$A$2:$Q$2902,Z$2,0)&lt;&gt;J2378,"Beam Revised","")</f>
        <v>#N/A</v>
      </c>
      <c r="AA2378" s="7" t="e">
        <f>IF(VLOOKUP($A2378,'Concrete Beam Schedule'!$A$2:$Q$2902,AA$2,0)&lt;&gt;K2378,"Beam Revised","")</f>
        <v>#N/A</v>
      </c>
      <c r="AB2378" s="7" t="e">
        <f>IF(VLOOKUP($A2378,'Concrete Beam Schedule'!$A$2:$Q$2902,AB$2,0)&lt;&gt;L2378,"Beam Revised","")</f>
        <v>#N/A</v>
      </c>
      <c r="AC2378" s="7" t="e">
        <f>IF(VLOOKUP($A2378,'Concrete Beam Schedule'!$A$2:$Q$2902,AC$2,0)&lt;&gt;M2378,"Beam Revised","")</f>
        <v>#N/A</v>
      </c>
      <c r="AD2378" s="7" t="e">
        <f>IF(VLOOKUP($A2378,'Concrete Beam Schedule'!$A$2:$Q$2902,AD$2,0)&lt;&gt;N2378,"Beam Revised","")</f>
        <v>#N/A</v>
      </c>
      <c r="AE2378" s="7" t="e">
        <f>IF(VLOOKUP($A2378,'Concrete Beam Schedule'!$A$2:$Q$2902,AE$2,0)&lt;&gt;O2378,"Beam Revised","")</f>
        <v>#N/A</v>
      </c>
    </row>
    <row r="2379" spans="17:31" ht="20.100000000000001" customHeight="1" x14ac:dyDescent="0.25">
      <c r="Q2379" s="7">
        <f t="shared" si="37"/>
        <v>0</v>
      </c>
      <c r="R2379" s="7" t="e">
        <f>IF(VLOOKUP($A2379,'Concrete Beam Schedule'!$A$2:$Q$2902,R$2,0)&lt;&gt;B2379,VLOOKUP($A2379,'Concrete Beam Schedule'!$A$2:$Q$2902,R$2,0),"")</f>
        <v>#N/A</v>
      </c>
      <c r="S2379" s="7" t="e">
        <f>IF(VLOOKUP($A2379,'Concrete Beam Schedule'!$A$2:$Q$2902,S$2,0)&lt;&gt;C2379,VLOOKUP($A2379,'Concrete Beam Schedule'!$A$2:$Q$2902,S$2,0),"")</f>
        <v>#N/A</v>
      </c>
      <c r="T2379" s="7" t="e">
        <f>IF(VLOOKUP($A2379,'Concrete Beam Schedule'!$A$2:$Q$2902,T$2,0)&lt;&gt;D2379,"Beam Revised","")</f>
        <v>#N/A</v>
      </c>
      <c r="U2379" s="7" t="e">
        <f>IF(VLOOKUP($A2379,'Concrete Beam Schedule'!$A$2:$Q$2902,U$2,0)&lt;&gt;E2379,"Beam Revised","")</f>
        <v>#N/A</v>
      </c>
      <c r="V2379" s="7" t="e">
        <f>IF(VLOOKUP($A2379,'Concrete Beam Schedule'!$A$2:$Q$2902,V$2,0)&lt;&gt;F2379,"Beam Revised","")</f>
        <v>#N/A</v>
      </c>
      <c r="W2379" s="7" t="e">
        <f>IF(VLOOKUP($A2379,'Concrete Beam Schedule'!$A$2:$Q$2902,W$2,0)&lt;&gt;G2379,"Beam Revised","")</f>
        <v>#N/A</v>
      </c>
      <c r="X2379" s="7" t="e">
        <f>IF(VLOOKUP($A2379,'Concrete Beam Schedule'!$A$2:$Q$2902,X$2,0)&lt;&gt;H2379,"Beam Revised","")</f>
        <v>#N/A</v>
      </c>
      <c r="Y2379" s="7" t="e">
        <f>IF(VLOOKUP($A2379,'Concrete Beam Schedule'!$A$2:$Q$2902,Y$2,0)&lt;&gt;I2379,"Beam Revised","")</f>
        <v>#N/A</v>
      </c>
      <c r="Z2379" s="7" t="e">
        <f>IF(VLOOKUP($A2379,'Concrete Beam Schedule'!$A$2:$Q$2902,Z$2,0)&lt;&gt;J2379,"Beam Revised","")</f>
        <v>#N/A</v>
      </c>
      <c r="AA2379" s="7" t="e">
        <f>IF(VLOOKUP($A2379,'Concrete Beam Schedule'!$A$2:$Q$2902,AA$2,0)&lt;&gt;K2379,"Beam Revised","")</f>
        <v>#N/A</v>
      </c>
      <c r="AB2379" s="7" t="e">
        <f>IF(VLOOKUP($A2379,'Concrete Beam Schedule'!$A$2:$Q$2902,AB$2,0)&lt;&gt;L2379,"Beam Revised","")</f>
        <v>#N/A</v>
      </c>
      <c r="AC2379" s="7" t="e">
        <f>IF(VLOOKUP($A2379,'Concrete Beam Schedule'!$A$2:$Q$2902,AC$2,0)&lt;&gt;M2379,"Beam Revised","")</f>
        <v>#N/A</v>
      </c>
      <c r="AD2379" s="7" t="e">
        <f>IF(VLOOKUP($A2379,'Concrete Beam Schedule'!$A$2:$Q$2902,AD$2,0)&lt;&gt;N2379,"Beam Revised","")</f>
        <v>#N/A</v>
      </c>
      <c r="AE2379" s="7" t="e">
        <f>IF(VLOOKUP($A2379,'Concrete Beam Schedule'!$A$2:$Q$2902,AE$2,0)&lt;&gt;O2379,"Beam Revised","")</f>
        <v>#N/A</v>
      </c>
    </row>
    <row r="2380" spans="17:31" ht="20.100000000000001" customHeight="1" x14ac:dyDescent="0.25">
      <c r="Q2380" s="7">
        <f t="shared" si="37"/>
        <v>0</v>
      </c>
      <c r="R2380" s="7" t="e">
        <f>IF(VLOOKUP($A2380,'Concrete Beam Schedule'!$A$2:$Q$2902,R$2,0)&lt;&gt;B2380,VLOOKUP($A2380,'Concrete Beam Schedule'!$A$2:$Q$2902,R$2,0),"")</f>
        <v>#N/A</v>
      </c>
      <c r="S2380" s="7" t="e">
        <f>IF(VLOOKUP($A2380,'Concrete Beam Schedule'!$A$2:$Q$2902,S$2,0)&lt;&gt;C2380,VLOOKUP($A2380,'Concrete Beam Schedule'!$A$2:$Q$2902,S$2,0),"")</f>
        <v>#N/A</v>
      </c>
      <c r="T2380" s="7" t="e">
        <f>IF(VLOOKUP($A2380,'Concrete Beam Schedule'!$A$2:$Q$2902,T$2,0)&lt;&gt;D2380,"Beam Revised","")</f>
        <v>#N/A</v>
      </c>
      <c r="U2380" s="7" t="e">
        <f>IF(VLOOKUP($A2380,'Concrete Beam Schedule'!$A$2:$Q$2902,U$2,0)&lt;&gt;E2380,"Beam Revised","")</f>
        <v>#N/A</v>
      </c>
      <c r="V2380" s="7" t="e">
        <f>IF(VLOOKUP($A2380,'Concrete Beam Schedule'!$A$2:$Q$2902,V$2,0)&lt;&gt;F2380,"Beam Revised","")</f>
        <v>#N/A</v>
      </c>
      <c r="W2380" s="7" t="e">
        <f>IF(VLOOKUP($A2380,'Concrete Beam Schedule'!$A$2:$Q$2902,W$2,0)&lt;&gt;G2380,"Beam Revised","")</f>
        <v>#N/A</v>
      </c>
      <c r="X2380" s="7" t="e">
        <f>IF(VLOOKUP($A2380,'Concrete Beam Schedule'!$A$2:$Q$2902,X$2,0)&lt;&gt;H2380,"Beam Revised","")</f>
        <v>#N/A</v>
      </c>
      <c r="Y2380" s="7" t="e">
        <f>IF(VLOOKUP($A2380,'Concrete Beam Schedule'!$A$2:$Q$2902,Y$2,0)&lt;&gt;I2380,"Beam Revised","")</f>
        <v>#N/A</v>
      </c>
      <c r="Z2380" s="7" t="e">
        <f>IF(VLOOKUP($A2380,'Concrete Beam Schedule'!$A$2:$Q$2902,Z$2,0)&lt;&gt;J2380,"Beam Revised","")</f>
        <v>#N/A</v>
      </c>
      <c r="AA2380" s="7" t="e">
        <f>IF(VLOOKUP($A2380,'Concrete Beam Schedule'!$A$2:$Q$2902,AA$2,0)&lt;&gt;K2380,"Beam Revised","")</f>
        <v>#N/A</v>
      </c>
      <c r="AB2380" s="7" t="e">
        <f>IF(VLOOKUP($A2380,'Concrete Beam Schedule'!$A$2:$Q$2902,AB$2,0)&lt;&gt;L2380,"Beam Revised","")</f>
        <v>#N/A</v>
      </c>
      <c r="AC2380" s="7" t="e">
        <f>IF(VLOOKUP($A2380,'Concrete Beam Schedule'!$A$2:$Q$2902,AC$2,0)&lt;&gt;M2380,"Beam Revised","")</f>
        <v>#N/A</v>
      </c>
      <c r="AD2380" s="7" t="e">
        <f>IF(VLOOKUP($A2380,'Concrete Beam Schedule'!$A$2:$Q$2902,AD$2,0)&lt;&gt;N2380,"Beam Revised","")</f>
        <v>#N/A</v>
      </c>
      <c r="AE2380" s="7" t="e">
        <f>IF(VLOOKUP($A2380,'Concrete Beam Schedule'!$A$2:$Q$2902,AE$2,0)&lt;&gt;O2380,"Beam Revised","")</f>
        <v>#N/A</v>
      </c>
    </row>
    <row r="2381" spans="17:31" ht="20.100000000000001" customHeight="1" x14ac:dyDescent="0.25">
      <c r="Q2381" s="7">
        <f t="shared" si="37"/>
        <v>0</v>
      </c>
      <c r="R2381" s="7" t="e">
        <f>IF(VLOOKUP($A2381,'Concrete Beam Schedule'!$A$2:$Q$2902,R$2,0)&lt;&gt;B2381,VLOOKUP($A2381,'Concrete Beam Schedule'!$A$2:$Q$2902,R$2,0),"")</f>
        <v>#N/A</v>
      </c>
      <c r="S2381" s="7" t="e">
        <f>IF(VLOOKUP($A2381,'Concrete Beam Schedule'!$A$2:$Q$2902,S$2,0)&lt;&gt;C2381,VLOOKUP($A2381,'Concrete Beam Schedule'!$A$2:$Q$2902,S$2,0),"")</f>
        <v>#N/A</v>
      </c>
      <c r="T2381" s="7" t="e">
        <f>IF(VLOOKUP($A2381,'Concrete Beam Schedule'!$A$2:$Q$2902,T$2,0)&lt;&gt;D2381,"Beam Revised","")</f>
        <v>#N/A</v>
      </c>
      <c r="U2381" s="7" t="e">
        <f>IF(VLOOKUP($A2381,'Concrete Beam Schedule'!$A$2:$Q$2902,U$2,0)&lt;&gt;E2381,"Beam Revised","")</f>
        <v>#N/A</v>
      </c>
      <c r="V2381" s="7" t="e">
        <f>IF(VLOOKUP($A2381,'Concrete Beam Schedule'!$A$2:$Q$2902,V$2,0)&lt;&gt;F2381,"Beam Revised","")</f>
        <v>#N/A</v>
      </c>
      <c r="W2381" s="7" t="e">
        <f>IF(VLOOKUP($A2381,'Concrete Beam Schedule'!$A$2:$Q$2902,W$2,0)&lt;&gt;G2381,"Beam Revised","")</f>
        <v>#N/A</v>
      </c>
      <c r="X2381" s="7" t="e">
        <f>IF(VLOOKUP($A2381,'Concrete Beam Schedule'!$A$2:$Q$2902,X$2,0)&lt;&gt;H2381,"Beam Revised","")</f>
        <v>#N/A</v>
      </c>
      <c r="Y2381" s="7" t="e">
        <f>IF(VLOOKUP($A2381,'Concrete Beam Schedule'!$A$2:$Q$2902,Y$2,0)&lt;&gt;I2381,"Beam Revised","")</f>
        <v>#N/A</v>
      </c>
      <c r="Z2381" s="7" t="e">
        <f>IF(VLOOKUP($A2381,'Concrete Beam Schedule'!$A$2:$Q$2902,Z$2,0)&lt;&gt;J2381,"Beam Revised","")</f>
        <v>#N/A</v>
      </c>
      <c r="AA2381" s="7" t="e">
        <f>IF(VLOOKUP($A2381,'Concrete Beam Schedule'!$A$2:$Q$2902,AA$2,0)&lt;&gt;K2381,"Beam Revised","")</f>
        <v>#N/A</v>
      </c>
      <c r="AB2381" s="7" t="e">
        <f>IF(VLOOKUP($A2381,'Concrete Beam Schedule'!$A$2:$Q$2902,AB$2,0)&lt;&gt;L2381,"Beam Revised","")</f>
        <v>#N/A</v>
      </c>
      <c r="AC2381" s="7" t="e">
        <f>IF(VLOOKUP($A2381,'Concrete Beam Schedule'!$A$2:$Q$2902,AC$2,0)&lt;&gt;M2381,"Beam Revised","")</f>
        <v>#N/A</v>
      </c>
      <c r="AD2381" s="7" t="e">
        <f>IF(VLOOKUP($A2381,'Concrete Beam Schedule'!$A$2:$Q$2902,AD$2,0)&lt;&gt;N2381,"Beam Revised","")</f>
        <v>#N/A</v>
      </c>
      <c r="AE2381" s="7" t="e">
        <f>IF(VLOOKUP($A2381,'Concrete Beam Schedule'!$A$2:$Q$2902,AE$2,0)&lt;&gt;O2381,"Beam Revised","")</f>
        <v>#N/A</v>
      </c>
    </row>
    <row r="2382" spans="17:31" ht="20.100000000000001" customHeight="1" x14ac:dyDescent="0.25">
      <c r="Q2382" s="7">
        <f t="shared" si="37"/>
        <v>0</v>
      </c>
      <c r="R2382" s="7" t="e">
        <f>IF(VLOOKUP($A2382,'Concrete Beam Schedule'!$A$2:$Q$2902,R$2,0)&lt;&gt;B2382,VLOOKUP($A2382,'Concrete Beam Schedule'!$A$2:$Q$2902,R$2,0),"")</f>
        <v>#N/A</v>
      </c>
      <c r="S2382" s="7" t="e">
        <f>IF(VLOOKUP($A2382,'Concrete Beam Schedule'!$A$2:$Q$2902,S$2,0)&lt;&gt;C2382,VLOOKUP($A2382,'Concrete Beam Schedule'!$A$2:$Q$2902,S$2,0),"")</f>
        <v>#N/A</v>
      </c>
      <c r="T2382" s="7" t="e">
        <f>IF(VLOOKUP($A2382,'Concrete Beam Schedule'!$A$2:$Q$2902,T$2,0)&lt;&gt;D2382,"Beam Revised","")</f>
        <v>#N/A</v>
      </c>
      <c r="U2382" s="7" t="e">
        <f>IF(VLOOKUP($A2382,'Concrete Beam Schedule'!$A$2:$Q$2902,U$2,0)&lt;&gt;E2382,"Beam Revised","")</f>
        <v>#N/A</v>
      </c>
      <c r="V2382" s="7" t="e">
        <f>IF(VLOOKUP($A2382,'Concrete Beam Schedule'!$A$2:$Q$2902,V$2,0)&lt;&gt;F2382,"Beam Revised","")</f>
        <v>#N/A</v>
      </c>
      <c r="W2382" s="7" t="e">
        <f>IF(VLOOKUP($A2382,'Concrete Beam Schedule'!$A$2:$Q$2902,W$2,0)&lt;&gt;G2382,"Beam Revised","")</f>
        <v>#N/A</v>
      </c>
      <c r="X2382" s="7" t="e">
        <f>IF(VLOOKUP($A2382,'Concrete Beam Schedule'!$A$2:$Q$2902,X$2,0)&lt;&gt;H2382,"Beam Revised","")</f>
        <v>#N/A</v>
      </c>
      <c r="Y2382" s="7" t="e">
        <f>IF(VLOOKUP($A2382,'Concrete Beam Schedule'!$A$2:$Q$2902,Y$2,0)&lt;&gt;I2382,"Beam Revised","")</f>
        <v>#N/A</v>
      </c>
      <c r="Z2382" s="7" t="e">
        <f>IF(VLOOKUP($A2382,'Concrete Beam Schedule'!$A$2:$Q$2902,Z$2,0)&lt;&gt;J2382,"Beam Revised","")</f>
        <v>#N/A</v>
      </c>
      <c r="AA2382" s="7" t="e">
        <f>IF(VLOOKUP($A2382,'Concrete Beam Schedule'!$A$2:$Q$2902,AA$2,0)&lt;&gt;K2382,"Beam Revised","")</f>
        <v>#N/A</v>
      </c>
      <c r="AB2382" s="7" t="e">
        <f>IF(VLOOKUP($A2382,'Concrete Beam Schedule'!$A$2:$Q$2902,AB$2,0)&lt;&gt;L2382,"Beam Revised","")</f>
        <v>#N/A</v>
      </c>
      <c r="AC2382" s="7" t="e">
        <f>IF(VLOOKUP($A2382,'Concrete Beam Schedule'!$A$2:$Q$2902,AC$2,0)&lt;&gt;M2382,"Beam Revised","")</f>
        <v>#N/A</v>
      </c>
      <c r="AD2382" s="7" t="e">
        <f>IF(VLOOKUP($A2382,'Concrete Beam Schedule'!$A$2:$Q$2902,AD$2,0)&lt;&gt;N2382,"Beam Revised","")</f>
        <v>#N/A</v>
      </c>
      <c r="AE2382" s="7" t="e">
        <f>IF(VLOOKUP($A2382,'Concrete Beam Schedule'!$A$2:$Q$2902,AE$2,0)&lt;&gt;O2382,"Beam Revised","")</f>
        <v>#N/A</v>
      </c>
    </row>
    <row r="2383" spans="17:31" ht="20.100000000000001" customHeight="1" x14ac:dyDescent="0.25">
      <c r="Q2383" s="7">
        <f t="shared" si="37"/>
        <v>0</v>
      </c>
      <c r="R2383" s="7" t="e">
        <f>IF(VLOOKUP($A2383,'Concrete Beam Schedule'!$A$2:$Q$2902,R$2,0)&lt;&gt;B2383,VLOOKUP($A2383,'Concrete Beam Schedule'!$A$2:$Q$2902,R$2,0),"")</f>
        <v>#N/A</v>
      </c>
      <c r="S2383" s="7" t="e">
        <f>IF(VLOOKUP($A2383,'Concrete Beam Schedule'!$A$2:$Q$2902,S$2,0)&lt;&gt;C2383,VLOOKUP($A2383,'Concrete Beam Schedule'!$A$2:$Q$2902,S$2,0),"")</f>
        <v>#N/A</v>
      </c>
      <c r="T2383" s="7" t="e">
        <f>IF(VLOOKUP($A2383,'Concrete Beam Schedule'!$A$2:$Q$2902,T$2,0)&lt;&gt;D2383,"Beam Revised","")</f>
        <v>#N/A</v>
      </c>
      <c r="U2383" s="7" t="e">
        <f>IF(VLOOKUP($A2383,'Concrete Beam Schedule'!$A$2:$Q$2902,U$2,0)&lt;&gt;E2383,"Beam Revised","")</f>
        <v>#N/A</v>
      </c>
      <c r="V2383" s="7" t="e">
        <f>IF(VLOOKUP($A2383,'Concrete Beam Schedule'!$A$2:$Q$2902,V$2,0)&lt;&gt;F2383,"Beam Revised","")</f>
        <v>#N/A</v>
      </c>
      <c r="W2383" s="7" t="e">
        <f>IF(VLOOKUP($A2383,'Concrete Beam Schedule'!$A$2:$Q$2902,W$2,0)&lt;&gt;G2383,"Beam Revised","")</f>
        <v>#N/A</v>
      </c>
      <c r="X2383" s="7" t="e">
        <f>IF(VLOOKUP($A2383,'Concrete Beam Schedule'!$A$2:$Q$2902,X$2,0)&lt;&gt;H2383,"Beam Revised","")</f>
        <v>#N/A</v>
      </c>
      <c r="Y2383" s="7" t="e">
        <f>IF(VLOOKUP($A2383,'Concrete Beam Schedule'!$A$2:$Q$2902,Y$2,0)&lt;&gt;I2383,"Beam Revised","")</f>
        <v>#N/A</v>
      </c>
      <c r="Z2383" s="7" t="e">
        <f>IF(VLOOKUP($A2383,'Concrete Beam Schedule'!$A$2:$Q$2902,Z$2,0)&lt;&gt;J2383,"Beam Revised","")</f>
        <v>#N/A</v>
      </c>
      <c r="AA2383" s="7" t="e">
        <f>IF(VLOOKUP($A2383,'Concrete Beam Schedule'!$A$2:$Q$2902,AA$2,0)&lt;&gt;K2383,"Beam Revised","")</f>
        <v>#N/A</v>
      </c>
      <c r="AB2383" s="7" t="e">
        <f>IF(VLOOKUP($A2383,'Concrete Beam Schedule'!$A$2:$Q$2902,AB$2,0)&lt;&gt;L2383,"Beam Revised","")</f>
        <v>#N/A</v>
      </c>
      <c r="AC2383" s="7" t="e">
        <f>IF(VLOOKUP($A2383,'Concrete Beam Schedule'!$A$2:$Q$2902,AC$2,0)&lt;&gt;M2383,"Beam Revised","")</f>
        <v>#N/A</v>
      </c>
      <c r="AD2383" s="7" t="e">
        <f>IF(VLOOKUP($A2383,'Concrete Beam Schedule'!$A$2:$Q$2902,AD$2,0)&lt;&gt;N2383,"Beam Revised","")</f>
        <v>#N/A</v>
      </c>
      <c r="AE2383" s="7" t="e">
        <f>IF(VLOOKUP($A2383,'Concrete Beam Schedule'!$A$2:$Q$2902,AE$2,0)&lt;&gt;O2383,"Beam Revised","")</f>
        <v>#N/A</v>
      </c>
    </row>
    <row r="2384" spans="17:31" ht="20.100000000000001" customHeight="1" x14ac:dyDescent="0.25">
      <c r="Q2384" s="7">
        <f t="shared" si="37"/>
        <v>0</v>
      </c>
      <c r="R2384" s="7" t="e">
        <f>IF(VLOOKUP($A2384,'Concrete Beam Schedule'!$A$2:$Q$2902,R$2,0)&lt;&gt;B2384,VLOOKUP($A2384,'Concrete Beam Schedule'!$A$2:$Q$2902,R$2,0),"")</f>
        <v>#N/A</v>
      </c>
      <c r="S2384" s="7" t="e">
        <f>IF(VLOOKUP($A2384,'Concrete Beam Schedule'!$A$2:$Q$2902,S$2,0)&lt;&gt;C2384,VLOOKUP($A2384,'Concrete Beam Schedule'!$A$2:$Q$2902,S$2,0),"")</f>
        <v>#N/A</v>
      </c>
      <c r="T2384" s="7" t="e">
        <f>IF(VLOOKUP($A2384,'Concrete Beam Schedule'!$A$2:$Q$2902,T$2,0)&lt;&gt;D2384,"Beam Revised","")</f>
        <v>#N/A</v>
      </c>
      <c r="U2384" s="7" t="e">
        <f>IF(VLOOKUP($A2384,'Concrete Beam Schedule'!$A$2:$Q$2902,U$2,0)&lt;&gt;E2384,"Beam Revised","")</f>
        <v>#N/A</v>
      </c>
      <c r="V2384" s="7" t="e">
        <f>IF(VLOOKUP($A2384,'Concrete Beam Schedule'!$A$2:$Q$2902,V$2,0)&lt;&gt;F2384,"Beam Revised","")</f>
        <v>#N/A</v>
      </c>
      <c r="W2384" s="7" t="e">
        <f>IF(VLOOKUP($A2384,'Concrete Beam Schedule'!$A$2:$Q$2902,W$2,0)&lt;&gt;G2384,"Beam Revised","")</f>
        <v>#N/A</v>
      </c>
      <c r="X2384" s="7" t="e">
        <f>IF(VLOOKUP($A2384,'Concrete Beam Schedule'!$A$2:$Q$2902,X$2,0)&lt;&gt;H2384,"Beam Revised","")</f>
        <v>#N/A</v>
      </c>
      <c r="Y2384" s="7" t="e">
        <f>IF(VLOOKUP($A2384,'Concrete Beam Schedule'!$A$2:$Q$2902,Y$2,0)&lt;&gt;I2384,"Beam Revised","")</f>
        <v>#N/A</v>
      </c>
      <c r="Z2384" s="7" t="e">
        <f>IF(VLOOKUP($A2384,'Concrete Beam Schedule'!$A$2:$Q$2902,Z$2,0)&lt;&gt;J2384,"Beam Revised","")</f>
        <v>#N/A</v>
      </c>
      <c r="AA2384" s="7" t="e">
        <f>IF(VLOOKUP($A2384,'Concrete Beam Schedule'!$A$2:$Q$2902,AA$2,0)&lt;&gt;K2384,"Beam Revised","")</f>
        <v>#N/A</v>
      </c>
      <c r="AB2384" s="7" t="e">
        <f>IF(VLOOKUP($A2384,'Concrete Beam Schedule'!$A$2:$Q$2902,AB$2,0)&lt;&gt;L2384,"Beam Revised","")</f>
        <v>#N/A</v>
      </c>
      <c r="AC2384" s="7" t="e">
        <f>IF(VLOOKUP($A2384,'Concrete Beam Schedule'!$A$2:$Q$2902,AC$2,0)&lt;&gt;M2384,"Beam Revised","")</f>
        <v>#N/A</v>
      </c>
      <c r="AD2384" s="7" t="e">
        <f>IF(VLOOKUP($A2384,'Concrete Beam Schedule'!$A$2:$Q$2902,AD$2,0)&lt;&gt;N2384,"Beam Revised","")</f>
        <v>#N/A</v>
      </c>
      <c r="AE2384" s="7" t="e">
        <f>IF(VLOOKUP($A2384,'Concrete Beam Schedule'!$A$2:$Q$2902,AE$2,0)&lt;&gt;O2384,"Beam Revised","")</f>
        <v>#N/A</v>
      </c>
    </row>
    <row r="2385" spans="17:31" ht="20.100000000000001" customHeight="1" x14ac:dyDescent="0.25">
      <c r="Q2385" s="7">
        <f t="shared" si="37"/>
        <v>0</v>
      </c>
      <c r="R2385" s="7" t="e">
        <f>IF(VLOOKUP($A2385,'Concrete Beam Schedule'!$A$2:$Q$2902,R$2,0)&lt;&gt;B2385,VLOOKUP($A2385,'Concrete Beam Schedule'!$A$2:$Q$2902,R$2,0),"")</f>
        <v>#N/A</v>
      </c>
      <c r="S2385" s="7" t="e">
        <f>IF(VLOOKUP($A2385,'Concrete Beam Schedule'!$A$2:$Q$2902,S$2,0)&lt;&gt;C2385,VLOOKUP($A2385,'Concrete Beam Schedule'!$A$2:$Q$2902,S$2,0),"")</f>
        <v>#N/A</v>
      </c>
      <c r="T2385" s="7" t="e">
        <f>IF(VLOOKUP($A2385,'Concrete Beam Schedule'!$A$2:$Q$2902,T$2,0)&lt;&gt;D2385,"Beam Revised","")</f>
        <v>#N/A</v>
      </c>
      <c r="U2385" s="7" t="e">
        <f>IF(VLOOKUP($A2385,'Concrete Beam Schedule'!$A$2:$Q$2902,U$2,0)&lt;&gt;E2385,"Beam Revised","")</f>
        <v>#N/A</v>
      </c>
      <c r="V2385" s="7" t="e">
        <f>IF(VLOOKUP($A2385,'Concrete Beam Schedule'!$A$2:$Q$2902,V$2,0)&lt;&gt;F2385,"Beam Revised","")</f>
        <v>#N/A</v>
      </c>
      <c r="W2385" s="7" t="e">
        <f>IF(VLOOKUP($A2385,'Concrete Beam Schedule'!$A$2:$Q$2902,W$2,0)&lt;&gt;G2385,"Beam Revised","")</f>
        <v>#N/A</v>
      </c>
      <c r="X2385" s="7" t="e">
        <f>IF(VLOOKUP($A2385,'Concrete Beam Schedule'!$A$2:$Q$2902,X$2,0)&lt;&gt;H2385,"Beam Revised","")</f>
        <v>#N/A</v>
      </c>
      <c r="Y2385" s="7" t="e">
        <f>IF(VLOOKUP($A2385,'Concrete Beam Schedule'!$A$2:$Q$2902,Y$2,0)&lt;&gt;I2385,"Beam Revised","")</f>
        <v>#N/A</v>
      </c>
      <c r="Z2385" s="7" t="e">
        <f>IF(VLOOKUP($A2385,'Concrete Beam Schedule'!$A$2:$Q$2902,Z$2,0)&lt;&gt;J2385,"Beam Revised","")</f>
        <v>#N/A</v>
      </c>
      <c r="AA2385" s="7" t="e">
        <f>IF(VLOOKUP($A2385,'Concrete Beam Schedule'!$A$2:$Q$2902,AA$2,0)&lt;&gt;K2385,"Beam Revised","")</f>
        <v>#N/A</v>
      </c>
      <c r="AB2385" s="7" t="e">
        <f>IF(VLOOKUP($A2385,'Concrete Beam Schedule'!$A$2:$Q$2902,AB$2,0)&lt;&gt;L2385,"Beam Revised","")</f>
        <v>#N/A</v>
      </c>
      <c r="AC2385" s="7" t="e">
        <f>IF(VLOOKUP($A2385,'Concrete Beam Schedule'!$A$2:$Q$2902,AC$2,0)&lt;&gt;M2385,"Beam Revised","")</f>
        <v>#N/A</v>
      </c>
      <c r="AD2385" s="7" t="e">
        <f>IF(VLOOKUP($A2385,'Concrete Beam Schedule'!$A$2:$Q$2902,AD$2,0)&lt;&gt;N2385,"Beam Revised","")</f>
        <v>#N/A</v>
      </c>
      <c r="AE2385" s="7" t="e">
        <f>IF(VLOOKUP($A2385,'Concrete Beam Schedule'!$A$2:$Q$2902,AE$2,0)&lt;&gt;O2385,"Beam Revised","")</f>
        <v>#N/A</v>
      </c>
    </row>
    <row r="2386" spans="17:31" ht="20.100000000000001" customHeight="1" x14ac:dyDescent="0.25">
      <c r="Q2386" s="7">
        <f t="shared" si="37"/>
        <v>0</v>
      </c>
      <c r="R2386" s="7" t="e">
        <f>IF(VLOOKUP($A2386,'Concrete Beam Schedule'!$A$2:$Q$2902,R$2,0)&lt;&gt;B2386,VLOOKUP($A2386,'Concrete Beam Schedule'!$A$2:$Q$2902,R$2,0),"")</f>
        <v>#N/A</v>
      </c>
      <c r="S2386" s="7" t="e">
        <f>IF(VLOOKUP($A2386,'Concrete Beam Schedule'!$A$2:$Q$2902,S$2,0)&lt;&gt;C2386,VLOOKUP($A2386,'Concrete Beam Schedule'!$A$2:$Q$2902,S$2,0),"")</f>
        <v>#N/A</v>
      </c>
      <c r="T2386" s="7" t="e">
        <f>IF(VLOOKUP($A2386,'Concrete Beam Schedule'!$A$2:$Q$2902,T$2,0)&lt;&gt;D2386,"Beam Revised","")</f>
        <v>#N/A</v>
      </c>
      <c r="U2386" s="7" t="e">
        <f>IF(VLOOKUP($A2386,'Concrete Beam Schedule'!$A$2:$Q$2902,U$2,0)&lt;&gt;E2386,"Beam Revised","")</f>
        <v>#N/A</v>
      </c>
      <c r="V2386" s="7" t="e">
        <f>IF(VLOOKUP($A2386,'Concrete Beam Schedule'!$A$2:$Q$2902,V$2,0)&lt;&gt;F2386,"Beam Revised","")</f>
        <v>#N/A</v>
      </c>
      <c r="W2386" s="7" t="e">
        <f>IF(VLOOKUP($A2386,'Concrete Beam Schedule'!$A$2:$Q$2902,W$2,0)&lt;&gt;G2386,"Beam Revised","")</f>
        <v>#N/A</v>
      </c>
      <c r="X2386" s="7" t="e">
        <f>IF(VLOOKUP($A2386,'Concrete Beam Schedule'!$A$2:$Q$2902,X$2,0)&lt;&gt;H2386,"Beam Revised","")</f>
        <v>#N/A</v>
      </c>
      <c r="Y2386" s="7" t="e">
        <f>IF(VLOOKUP($A2386,'Concrete Beam Schedule'!$A$2:$Q$2902,Y$2,0)&lt;&gt;I2386,"Beam Revised","")</f>
        <v>#N/A</v>
      </c>
      <c r="Z2386" s="7" t="e">
        <f>IF(VLOOKUP($A2386,'Concrete Beam Schedule'!$A$2:$Q$2902,Z$2,0)&lt;&gt;J2386,"Beam Revised","")</f>
        <v>#N/A</v>
      </c>
      <c r="AA2386" s="7" t="e">
        <f>IF(VLOOKUP($A2386,'Concrete Beam Schedule'!$A$2:$Q$2902,AA$2,0)&lt;&gt;K2386,"Beam Revised","")</f>
        <v>#N/A</v>
      </c>
      <c r="AB2386" s="7" t="e">
        <f>IF(VLOOKUP($A2386,'Concrete Beam Schedule'!$A$2:$Q$2902,AB$2,0)&lt;&gt;L2386,"Beam Revised","")</f>
        <v>#N/A</v>
      </c>
      <c r="AC2386" s="7" t="e">
        <f>IF(VLOOKUP($A2386,'Concrete Beam Schedule'!$A$2:$Q$2902,AC$2,0)&lt;&gt;M2386,"Beam Revised","")</f>
        <v>#N/A</v>
      </c>
      <c r="AD2386" s="7" t="e">
        <f>IF(VLOOKUP($A2386,'Concrete Beam Schedule'!$A$2:$Q$2902,AD$2,0)&lt;&gt;N2386,"Beam Revised","")</f>
        <v>#N/A</v>
      </c>
      <c r="AE2386" s="7" t="e">
        <f>IF(VLOOKUP($A2386,'Concrete Beam Schedule'!$A$2:$Q$2902,AE$2,0)&lt;&gt;O2386,"Beam Revised","")</f>
        <v>#N/A</v>
      </c>
    </row>
    <row r="2387" spans="17:31" ht="20.100000000000001" customHeight="1" x14ac:dyDescent="0.25">
      <c r="Q2387" s="7">
        <f t="shared" si="37"/>
        <v>0</v>
      </c>
      <c r="R2387" s="7" t="e">
        <f>IF(VLOOKUP($A2387,'Concrete Beam Schedule'!$A$2:$Q$2902,R$2,0)&lt;&gt;B2387,VLOOKUP($A2387,'Concrete Beam Schedule'!$A$2:$Q$2902,R$2,0),"")</f>
        <v>#N/A</v>
      </c>
      <c r="S2387" s="7" t="e">
        <f>IF(VLOOKUP($A2387,'Concrete Beam Schedule'!$A$2:$Q$2902,S$2,0)&lt;&gt;C2387,VLOOKUP($A2387,'Concrete Beam Schedule'!$A$2:$Q$2902,S$2,0),"")</f>
        <v>#N/A</v>
      </c>
      <c r="T2387" s="7" t="e">
        <f>IF(VLOOKUP($A2387,'Concrete Beam Schedule'!$A$2:$Q$2902,T$2,0)&lt;&gt;D2387,"Beam Revised","")</f>
        <v>#N/A</v>
      </c>
      <c r="U2387" s="7" t="e">
        <f>IF(VLOOKUP($A2387,'Concrete Beam Schedule'!$A$2:$Q$2902,U$2,0)&lt;&gt;E2387,"Beam Revised","")</f>
        <v>#N/A</v>
      </c>
      <c r="V2387" s="7" t="e">
        <f>IF(VLOOKUP($A2387,'Concrete Beam Schedule'!$A$2:$Q$2902,V$2,0)&lt;&gt;F2387,"Beam Revised","")</f>
        <v>#N/A</v>
      </c>
      <c r="W2387" s="7" t="e">
        <f>IF(VLOOKUP($A2387,'Concrete Beam Schedule'!$A$2:$Q$2902,W$2,0)&lt;&gt;G2387,"Beam Revised","")</f>
        <v>#N/A</v>
      </c>
      <c r="X2387" s="7" t="e">
        <f>IF(VLOOKUP($A2387,'Concrete Beam Schedule'!$A$2:$Q$2902,X$2,0)&lt;&gt;H2387,"Beam Revised","")</f>
        <v>#N/A</v>
      </c>
      <c r="Y2387" s="7" t="e">
        <f>IF(VLOOKUP($A2387,'Concrete Beam Schedule'!$A$2:$Q$2902,Y$2,0)&lt;&gt;I2387,"Beam Revised","")</f>
        <v>#N/A</v>
      </c>
      <c r="Z2387" s="7" t="e">
        <f>IF(VLOOKUP($A2387,'Concrete Beam Schedule'!$A$2:$Q$2902,Z$2,0)&lt;&gt;J2387,"Beam Revised","")</f>
        <v>#N/A</v>
      </c>
      <c r="AA2387" s="7" t="e">
        <f>IF(VLOOKUP($A2387,'Concrete Beam Schedule'!$A$2:$Q$2902,AA$2,0)&lt;&gt;K2387,"Beam Revised","")</f>
        <v>#N/A</v>
      </c>
      <c r="AB2387" s="7" t="e">
        <f>IF(VLOOKUP($A2387,'Concrete Beam Schedule'!$A$2:$Q$2902,AB$2,0)&lt;&gt;L2387,"Beam Revised","")</f>
        <v>#N/A</v>
      </c>
      <c r="AC2387" s="7" t="e">
        <f>IF(VLOOKUP($A2387,'Concrete Beam Schedule'!$A$2:$Q$2902,AC$2,0)&lt;&gt;M2387,"Beam Revised","")</f>
        <v>#N/A</v>
      </c>
      <c r="AD2387" s="7" t="e">
        <f>IF(VLOOKUP($A2387,'Concrete Beam Schedule'!$A$2:$Q$2902,AD$2,0)&lt;&gt;N2387,"Beam Revised","")</f>
        <v>#N/A</v>
      </c>
      <c r="AE2387" s="7" t="e">
        <f>IF(VLOOKUP($A2387,'Concrete Beam Schedule'!$A$2:$Q$2902,AE$2,0)&lt;&gt;O2387,"Beam Revised","")</f>
        <v>#N/A</v>
      </c>
    </row>
    <row r="2388" spans="17:31" ht="20.100000000000001" customHeight="1" x14ac:dyDescent="0.25">
      <c r="Q2388" s="7">
        <f t="shared" si="37"/>
        <v>0</v>
      </c>
      <c r="R2388" s="7" t="e">
        <f>IF(VLOOKUP($A2388,'Concrete Beam Schedule'!$A$2:$Q$2902,R$2,0)&lt;&gt;B2388,VLOOKUP($A2388,'Concrete Beam Schedule'!$A$2:$Q$2902,R$2,0),"")</f>
        <v>#N/A</v>
      </c>
      <c r="S2388" s="7" t="e">
        <f>IF(VLOOKUP($A2388,'Concrete Beam Schedule'!$A$2:$Q$2902,S$2,0)&lt;&gt;C2388,VLOOKUP($A2388,'Concrete Beam Schedule'!$A$2:$Q$2902,S$2,0),"")</f>
        <v>#N/A</v>
      </c>
      <c r="T2388" s="7" t="e">
        <f>IF(VLOOKUP($A2388,'Concrete Beam Schedule'!$A$2:$Q$2902,T$2,0)&lt;&gt;D2388,"Beam Revised","")</f>
        <v>#N/A</v>
      </c>
      <c r="U2388" s="7" t="e">
        <f>IF(VLOOKUP($A2388,'Concrete Beam Schedule'!$A$2:$Q$2902,U$2,0)&lt;&gt;E2388,"Beam Revised","")</f>
        <v>#N/A</v>
      </c>
      <c r="V2388" s="7" t="e">
        <f>IF(VLOOKUP($A2388,'Concrete Beam Schedule'!$A$2:$Q$2902,V$2,0)&lt;&gt;F2388,"Beam Revised","")</f>
        <v>#N/A</v>
      </c>
      <c r="W2388" s="7" t="e">
        <f>IF(VLOOKUP($A2388,'Concrete Beam Schedule'!$A$2:$Q$2902,W$2,0)&lt;&gt;G2388,"Beam Revised","")</f>
        <v>#N/A</v>
      </c>
      <c r="X2388" s="7" t="e">
        <f>IF(VLOOKUP($A2388,'Concrete Beam Schedule'!$A$2:$Q$2902,X$2,0)&lt;&gt;H2388,"Beam Revised","")</f>
        <v>#N/A</v>
      </c>
      <c r="Y2388" s="7" t="e">
        <f>IF(VLOOKUP($A2388,'Concrete Beam Schedule'!$A$2:$Q$2902,Y$2,0)&lt;&gt;I2388,"Beam Revised","")</f>
        <v>#N/A</v>
      </c>
      <c r="Z2388" s="7" t="e">
        <f>IF(VLOOKUP($A2388,'Concrete Beam Schedule'!$A$2:$Q$2902,Z$2,0)&lt;&gt;J2388,"Beam Revised","")</f>
        <v>#N/A</v>
      </c>
      <c r="AA2388" s="7" t="e">
        <f>IF(VLOOKUP($A2388,'Concrete Beam Schedule'!$A$2:$Q$2902,AA$2,0)&lt;&gt;K2388,"Beam Revised","")</f>
        <v>#N/A</v>
      </c>
      <c r="AB2388" s="7" t="e">
        <f>IF(VLOOKUP($A2388,'Concrete Beam Schedule'!$A$2:$Q$2902,AB$2,0)&lt;&gt;L2388,"Beam Revised","")</f>
        <v>#N/A</v>
      </c>
      <c r="AC2388" s="7" t="e">
        <f>IF(VLOOKUP($A2388,'Concrete Beam Schedule'!$A$2:$Q$2902,AC$2,0)&lt;&gt;M2388,"Beam Revised","")</f>
        <v>#N/A</v>
      </c>
      <c r="AD2388" s="7" t="e">
        <f>IF(VLOOKUP($A2388,'Concrete Beam Schedule'!$A$2:$Q$2902,AD$2,0)&lt;&gt;N2388,"Beam Revised","")</f>
        <v>#N/A</v>
      </c>
      <c r="AE2388" s="7" t="e">
        <f>IF(VLOOKUP($A2388,'Concrete Beam Schedule'!$A$2:$Q$2902,AE$2,0)&lt;&gt;O2388,"Beam Revised","")</f>
        <v>#N/A</v>
      </c>
    </row>
    <row r="2389" spans="17:31" ht="20.100000000000001" customHeight="1" x14ac:dyDescent="0.25">
      <c r="Q2389" s="7">
        <f t="shared" si="37"/>
        <v>0</v>
      </c>
      <c r="R2389" s="7" t="e">
        <f>IF(VLOOKUP($A2389,'Concrete Beam Schedule'!$A$2:$Q$2902,R$2,0)&lt;&gt;B2389,VLOOKUP($A2389,'Concrete Beam Schedule'!$A$2:$Q$2902,R$2,0),"")</f>
        <v>#N/A</v>
      </c>
      <c r="S2389" s="7" t="e">
        <f>IF(VLOOKUP($A2389,'Concrete Beam Schedule'!$A$2:$Q$2902,S$2,0)&lt;&gt;C2389,VLOOKUP($A2389,'Concrete Beam Schedule'!$A$2:$Q$2902,S$2,0),"")</f>
        <v>#N/A</v>
      </c>
      <c r="T2389" s="7" t="e">
        <f>IF(VLOOKUP($A2389,'Concrete Beam Schedule'!$A$2:$Q$2902,T$2,0)&lt;&gt;D2389,"Beam Revised","")</f>
        <v>#N/A</v>
      </c>
      <c r="U2389" s="7" t="e">
        <f>IF(VLOOKUP($A2389,'Concrete Beam Schedule'!$A$2:$Q$2902,U$2,0)&lt;&gt;E2389,"Beam Revised","")</f>
        <v>#N/A</v>
      </c>
      <c r="V2389" s="7" t="e">
        <f>IF(VLOOKUP($A2389,'Concrete Beam Schedule'!$A$2:$Q$2902,V$2,0)&lt;&gt;F2389,"Beam Revised","")</f>
        <v>#N/A</v>
      </c>
      <c r="W2389" s="7" t="e">
        <f>IF(VLOOKUP($A2389,'Concrete Beam Schedule'!$A$2:$Q$2902,W$2,0)&lt;&gt;G2389,"Beam Revised","")</f>
        <v>#N/A</v>
      </c>
      <c r="X2389" s="7" t="e">
        <f>IF(VLOOKUP($A2389,'Concrete Beam Schedule'!$A$2:$Q$2902,X$2,0)&lt;&gt;H2389,"Beam Revised","")</f>
        <v>#N/A</v>
      </c>
      <c r="Y2389" s="7" t="e">
        <f>IF(VLOOKUP($A2389,'Concrete Beam Schedule'!$A$2:$Q$2902,Y$2,0)&lt;&gt;I2389,"Beam Revised","")</f>
        <v>#N/A</v>
      </c>
      <c r="Z2389" s="7" t="e">
        <f>IF(VLOOKUP($A2389,'Concrete Beam Schedule'!$A$2:$Q$2902,Z$2,0)&lt;&gt;J2389,"Beam Revised","")</f>
        <v>#N/A</v>
      </c>
      <c r="AA2389" s="7" t="e">
        <f>IF(VLOOKUP($A2389,'Concrete Beam Schedule'!$A$2:$Q$2902,AA$2,0)&lt;&gt;K2389,"Beam Revised","")</f>
        <v>#N/A</v>
      </c>
      <c r="AB2389" s="7" t="e">
        <f>IF(VLOOKUP($A2389,'Concrete Beam Schedule'!$A$2:$Q$2902,AB$2,0)&lt;&gt;L2389,"Beam Revised","")</f>
        <v>#N/A</v>
      </c>
      <c r="AC2389" s="7" t="e">
        <f>IF(VLOOKUP($A2389,'Concrete Beam Schedule'!$A$2:$Q$2902,AC$2,0)&lt;&gt;M2389,"Beam Revised","")</f>
        <v>#N/A</v>
      </c>
      <c r="AD2389" s="7" t="e">
        <f>IF(VLOOKUP($A2389,'Concrete Beam Schedule'!$A$2:$Q$2902,AD$2,0)&lt;&gt;N2389,"Beam Revised","")</f>
        <v>#N/A</v>
      </c>
      <c r="AE2389" s="7" t="e">
        <f>IF(VLOOKUP($A2389,'Concrete Beam Schedule'!$A$2:$Q$2902,AE$2,0)&lt;&gt;O2389,"Beam Revised","")</f>
        <v>#N/A</v>
      </c>
    </row>
    <row r="2390" spans="17:31" ht="20.100000000000001" customHeight="1" x14ac:dyDescent="0.25">
      <c r="Q2390" s="7">
        <f t="shared" si="37"/>
        <v>0</v>
      </c>
      <c r="R2390" s="7" t="e">
        <f>IF(VLOOKUP($A2390,'Concrete Beam Schedule'!$A$2:$Q$2902,R$2,0)&lt;&gt;B2390,VLOOKUP($A2390,'Concrete Beam Schedule'!$A$2:$Q$2902,R$2,0),"")</f>
        <v>#N/A</v>
      </c>
      <c r="S2390" s="7" t="e">
        <f>IF(VLOOKUP($A2390,'Concrete Beam Schedule'!$A$2:$Q$2902,S$2,0)&lt;&gt;C2390,VLOOKUP($A2390,'Concrete Beam Schedule'!$A$2:$Q$2902,S$2,0),"")</f>
        <v>#N/A</v>
      </c>
      <c r="T2390" s="7" t="e">
        <f>IF(VLOOKUP($A2390,'Concrete Beam Schedule'!$A$2:$Q$2902,T$2,0)&lt;&gt;D2390,"Beam Revised","")</f>
        <v>#N/A</v>
      </c>
      <c r="U2390" s="7" t="e">
        <f>IF(VLOOKUP($A2390,'Concrete Beam Schedule'!$A$2:$Q$2902,U$2,0)&lt;&gt;E2390,"Beam Revised","")</f>
        <v>#N/A</v>
      </c>
      <c r="V2390" s="7" t="e">
        <f>IF(VLOOKUP($A2390,'Concrete Beam Schedule'!$A$2:$Q$2902,V$2,0)&lt;&gt;F2390,"Beam Revised","")</f>
        <v>#N/A</v>
      </c>
      <c r="W2390" s="7" t="e">
        <f>IF(VLOOKUP($A2390,'Concrete Beam Schedule'!$A$2:$Q$2902,W$2,0)&lt;&gt;G2390,"Beam Revised","")</f>
        <v>#N/A</v>
      </c>
      <c r="X2390" s="7" t="e">
        <f>IF(VLOOKUP($A2390,'Concrete Beam Schedule'!$A$2:$Q$2902,X$2,0)&lt;&gt;H2390,"Beam Revised","")</f>
        <v>#N/A</v>
      </c>
      <c r="Y2390" s="7" t="e">
        <f>IF(VLOOKUP($A2390,'Concrete Beam Schedule'!$A$2:$Q$2902,Y$2,0)&lt;&gt;I2390,"Beam Revised","")</f>
        <v>#N/A</v>
      </c>
      <c r="Z2390" s="7" t="e">
        <f>IF(VLOOKUP($A2390,'Concrete Beam Schedule'!$A$2:$Q$2902,Z$2,0)&lt;&gt;J2390,"Beam Revised","")</f>
        <v>#N/A</v>
      </c>
      <c r="AA2390" s="7" t="e">
        <f>IF(VLOOKUP($A2390,'Concrete Beam Schedule'!$A$2:$Q$2902,AA$2,0)&lt;&gt;K2390,"Beam Revised","")</f>
        <v>#N/A</v>
      </c>
      <c r="AB2390" s="7" t="e">
        <f>IF(VLOOKUP($A2390,'Concrete Beam Schedule'!$A$2:$Q$2902,AB$2,0)&lt;&gt;L2390,"Beam Revised","")</f>
        <v>#N/A</v>
      </c>
      <c r="AC2390" s="7" t="e">
        <f>IF(VLOOKUP($A2390,'Concrete Beam Schedule'!$A$2:$Q$2902,AC$2,0)&lt;&gt;M2390,"Beam Revised","")</f>
        <v>#N/A</v>
      </c>
      <c r="AD2390" s="7" t="e">
        <f>IF(VLOOKUP($A2390,'Concrete Beam Schedule'!$A$2:$Q$2902,AD$2,0)&lt;&gt;N2390,"Beam Revised","")</f>
        <v>#N/A</v>
      </c>
      <c r="AE2390" s="7" t="e">
        <f>IF(VLOOKUP($A2390,'Concrete Beam Schedule'!$A$2:$Q$2902,AE$2,0)&lt;&gt;O2390,"Beam Revised","")</f>
        <v>#N/A</v>
      </c>
    </row>
    <row r="2391" spans="17:31" ht="20.100000000000001" customHeight="1" x14ac:dyDescent="0.25">
      <c r="Q2391" s="7">
        <f t="shared" si="37"/>
        <v>0</v>
      </c>
      <c r="R2391" s="7" t="e">
        <f>IF(VLOOKUP($A2391,'Concrete Beam Schedule'!$A$2:$Q$2902,R$2,0)&lt;&gt;B2391,VLOOKUP($A2391,'Concrete Beam Schedule'!$A$2:$Q$2902,R$2,0),"")</f>
        <v>#N/A</v>
      </c>
      <c r="S2391" s="7" t="e">
        <f>IF(VLOOKUP($A2391,'Concrete Beam Schedule'!$A$2:$Q$2902,S$2,0)&lt;&gt;C2391,VLOOKUP($A2391,'Concrete Beam Schedule'!$A$2:$Q$2902,S$2,0),"")</f>
        <v>#N/A</v>
      </c>
      <c r="T2391" s="7" t="e">
        <f>IF(VLOOKUP($A2391,'Concrete Beam Schedule'!$A$2:$Q$2902,T$2,0)&lt;&gt;D2391,"Beam Revised","")</f>
        <v>#N/A</v>
      </c>
      <c r="U2391" s="7" t="e">
        <f>IF(VLOOKUP($A2391,'Concrete Beam Schedule'!$A$2:$Q$2902,U$2,0)&lt;&gt;E2391,"Beam Revised","")</f>
        <v>#N/A</v>
      </c>
      <c r="V2391" s="7" t="e">
        <f>IF(VLOOKUP($A2391,'Concrete Beam Schedule'!$A$2:$Q$2902,V$2,0)&lt;&gt;F2391,"Beam Revised","")</f>
        <v>#N/A</v>
      </c>
      <c r="W2391" s="7" t="e">
        <f>IF(VLOOKUP($A2391,'Concrete Beam Schedule'!$A$2:$Q$2902,W$2,0)&lt;&gt;G2391,"Beam Revised","")</f>
        <v>#N/A</v>
      </c>
      <c r="X2391" s="7" t="e">
        <f>IF(VLOOKUP($A2391,'Concrete Beam Schedule'!$A$2:$Q$2902,X$2,0)&lt;&gt;H2391,"Beam Revised","")</f>
        <v>#N/A</v>
      </c>
      <c r="Y2391" s="7" t="e">
        <f>IF(VLOOKUP($A2391,'Concrete Beam Schedule'!$A$2:$Q$2902,Y$2,0)&lt;&gt;I2391,"Beam Revised","")</f>
        <v>#N/A</v>
      </c>
      <c r="Z2391" s="7" t="e">
        <f>IF(VLOOKUP($A2391,'Concrete Beam Schedule'!$A$2:$Q$2902,Z$2,0)&lt;&gt;J2391,"Beam Revised","")</f>
        <v>#N/A</v>
      </c>
      <c r="AA2391" s="7" t="e">
        <f>IF(VLOOKUP($A2391,'Concrete Beam Schedule'!$A$2:$Q$2902,AA$2,0)&lt;&gt;K2391,"Beam Revised","")</f>
        <v>#N/A</v>
      </c>
      <c r="AB2391" s="7" t="e">
        <f>IF(VLOOKUP($A2391,'Concrete Beam Schedule'!$A$2:$Q$2902,AB$2,0)&lt;&gt;L2391,"Beam Revised","")</f>
        <v>#N/A</v>
      </c>
      <c r="AC2391" s="7" t="e">
        <f>IF(VLOOKUP($A2391,'Concrete Beam Schedule'!$A$2:$Q$2902,AC$2,0)&lt;&gt;M2391,"Beam Revised","")</f>
        <v>#N/A</v>
      </c>
      <c r="AD2391" s="7" t="e">
        <f>IF(VLOOKUP($A2391,'Concrete Beam Schedule'!$A$2:$Q$2902,AD$2,0)&lt;&gt;N2391,"Beam Revised","")</f>
        <v>#N/A</v>
      </c>
      <c r="AE2391" s="7" t="e">
        <f>IF(VLOOKUP($A2391,'Concrete Beam Schedule'!$A$2:$Q$2902,AE$2,0)&lt;&gt;O2391,"Beam Revised","")</f>
        <v>#N/A</v>
      </c>
    </row>
    <row r="2392" spans="17:31" ht="20.100000000000001" customHeight="1" x14ac:dyDescent="0.25">
      <c r="Q2392" s="7">
        <f t="shared" si="37"/>
        <v>0</v>
      </c>
      <c r="R2392" s="7" t="e">
        <f>IF(VLOOKUP($A2392,'Concrete Beam Schedule'!$A$2:$Q$2902,R$2,0)&lt;&gt;B2392,VLOOKUP($A2392,'Concrete Beam Schedule'!$A$2:$Q$2902,R$2,0),"")</f>
        <v>#N/A</v>
      </c>
      <c r="S2392" s="7" t="e">
        <f>IF(VLOOKUP($A2392,'Concrete Beam Schedule'!$A$2:$Q$2902,S$2,0)&lt;&gt;C2392,VLOOKUP($A2392,'Concrete Beam Schedule'!$A$2:$Q$2902,S$2,0),"")</f>
        <v>#N/A</v>
      </c>
      <c r="T2392" s="7" t="e">
        <f>IF(VLOOKUP($A2392,'Concrete Beam Schedule'!$A$2:$Q$2902,T$2,0)&lt;&gt;D2392,"Beam Revised","")</f>
        <v>#N/A</v>
      </c>
      <c r="U2392" s="7" t="e">
        <f>IF(VLOOKUP($A2392,'Concrete Beam Schedule'!$A$2:$Q$2902,U$2,0)&lt;&gt;E2392,"Beam Revised","")</f>
        <v>#N/A</v>
      </c>
      <c r="V2392" s="7" t="e">
        <f>IF(VLOOKUP($A2392,'Concrete Beam Schedule'!$A$2:$Q$2902,V$2,0)&lt;&gt;F2392,"Beam Revised","")</f>
        <v>#N/A</v>
      </c>
      <c r="W2392" s="7" t="e">
        <f>IF(VLOOKUP($A2392,'Concrete Beam Schedule'!$A$2:$Q$2902,W$2,0)&lt;&gt;G2392,"Beam Revised","")</f>
        <v>#N/A</v>
      </c>
      <c r="X2392" s="7" t="e">
        <f>IF(VLOOKUP($A2392,'Concrete Beam Schedule'!$A$2:$Q$2902,X$2,0)&lt;&gt;H2392,"Beam Revised","")</f>
        <v>#N/A</v>
      </c>
      <c r="Y2392" s="7" t="e">
        <f>IF(VLOOKUP($A2392,'Concrete Beam Schedule'!$A$2:$Q$2902,Y$2,0)&lt;&gt;I2392,"Beam Revised","")</f>
        <v>#N/A</v>
      </c>
      <c r="Z2392" s="7" t="e">
        <f>IF(VLOOKUP($A2392,'Concrete Beam Schedule'!$A$2:$Q$2902,Z$2,0)&lt;&gt;J2392,"Beam Revised","")</f>
        <v>#N/A</v>
      </c>
      <c r="AA2392" s="7" t="e">
        <f>IF(VLOOKUP($A2392,'Concrete Beam Schedule'!$A$2:$Q$2902,AA$2,0)&lt;&gt;K2392,"Beam Revised","")</f>
        <v>#N/A</v>
      </c>
      <c r="AB2392" s="7" t="e">
        <f>IF(VLOOKUP($A2392,'Concrete Beam Schedule'!$A$2:$Q$2902,AB$2,0)&lt;&gt;L2392,"Beam Revised","")</f>
        <v>#N/A</v>
      </c>
      <c r="AC2392" s="7" t="e">
        <f>IF(VLOOKUP($A2392,'Concrete Beam Schedule'!$A$2:$Q$2902,AC$2,0)&lt;&gt;M2392,"Beam Revised","")</f>
        <v>#N/A</v>
      </c>
      <c r="AD2392" s="7" t="e">
        <f>IF(VLOOKUP($A2392,'Concrete Beam Schedule'!$A$2:$Q$2902,AD$2,0)&lt;&gt;N2392,"Beam Revised","")</f>
        <v>#N/A</v>
      </c>
      <c r="AE2392" s="7" t="e">
        <f>IF(VLOOKUP($A2392,'Concrete Beam Schedule'!$A$2:$Q$2902,AE$2,0)&lt;&gt;O2392,"Beam Revised","")</f>
        <v>#N/A</v>
      </c>
    </row>
    <row r="2393" spans="17:31" ht="20.100000000000001" customHeight="1" x14ac:dyDescent="0.25">
      <c r="Q2393" s="7">
        <f t="shared" si="37"/>
        <v>0</v>
      </c>
      <c r="R2393" s="7" t="e">
        <f>IF(VLOOKUP($A2393,'Concrete Beam Schedule'!$A$2:$Q$2902,R$2,0)&lt;&gt;B2393,VLOOKUP($A2393,'Concrete Beam Schedule'!$A$2:$Q$2902,R$2,0),"")</f>
        <v>#N/A</v>
      </c>
      <c r="S2393" s="7" t="e">
        <f>IF(VLOOKUP($A2393,'Concrete Beam Schedule'!$A$2:$Q$2902,S$2,0)&lt;&gt;C2393,VLOOKUP($A2393,'Concrete Beam Schedule'!$A$2:$Q$2902,S$2,0),"")</f>
        <v>#N/A</v>
      </c>
      <c r="T2393" s="7" t="e">
        <f>IF(VLOOKUP($A2393,'Concrete Beam Schedule'!$A$2:$Q$2902,T$2,0)&lt;&gt;D2393,"Beam Revised","")</f>
        <v>#N/A</v>
      </c>
      <c r="U2393" s="7" t="e">
        <f>IF(VLOOKUP($A2393,'Concrete Beam Schedule'!$A$2:$Q$2902,U$2,0)&lt;&gt;E2393,"Beam Revised","")</f>
        <v>#N/A</v>
      </c>
      <c r="V2393" s="7" t="e">
        <f>IF(VLOOKUP($A2393,'Concrete Beam Schedule'!$A$2:$Q$2902,V$2,0)&lt;&gt;F2393,"Beam Revised","")</f>
        <v>#N/A</v>
      </c>
      <c r="W2393" s="7" t="e">
        <f>IF(VLOOKUP($A2393,'Concrete Beam Schedule'!$A$2:$Q$2902,W$2,0)&lt;&gt;G2393,"Beam Revised","")</f>
        <v>#N/A</v>
      </c>
      <c r="X2393" s="7" t="e">
        <f>IF(VLOOKUP($A2393,'Concrete Beam Schedule'!$A$2:$Q$2902,X$2,0)&lt;&gt;H2393,"Beam Revised","")</f>
        <v>#N/A</v>
      </c>
      <c r="Y2393" s="7" t="e">
        <f>IF(VLOOKUP($A2393,'Concrete Beam Schedule'!$A$2:$Q$2902,Y$2,0)&lt;&gt;I2393,"Beam Revised","")</f>
        <v>#N/A</v>
      </c>
      <c r="Z2393" s="7" t="e">
        <f>IF(VLOOKUP($A2393,'Concrete Beam Schedule'!$A$2:$Q$2902,Z$2,0)&lt;&gt;J2393,"Beam Revised","")</f>
        <v>#N/A</v>
      </c>
      <c r="AA2393" s="7" t="e">
        <f>IF(VLOOKUP($A2393,'Concrete Beam Schedule'!$A$2:$Q$2902,AA$2,0)&lt;&gt;K2393,"Beam Revised","")</f>
        <v>#N/A</v>
      </c>
      <c r="AB2393" s="7" t="e">
        <f>IF(VLOOKUP($A2393,'Concrete Beam Schedule'!$A$2:$Q$2902,AB$2,0)&lt;&gt;L2393,"Beam Revised","")</f>
        <v>#N/A</v>
      </c>
      <c r="AC2393" s="7" t="e">
        <f>IF(VLOOKUP($A2393,'Concrete Beam Schedule'!$A$2:$Q$2902,AC$2,0)&lt;&gt;M2393,"Beam Revised","")</f>
        <v>#N/A</v>
      </c>
      <c r="AD2393" s="7" t="e">
        <f>IF(VLOOKUP($A2393,'Concrete Beam Schedule'!$A$2:$Q$2902,AD$2,0)&lt;&gt;N2393,"Beam Revised","")</f>
        <v>#N/A</v>
      </c>
      <c r="AE2393" s="7" t="e">
        <f>IF(VLOOKUP($A2393,'Concrete Beam Schedule'!$A$2:$Q$2902,AE$2,0)&lt;&gt;O2393,"Beam Revised","")</f>
        <v>#N/A</v>
      </c>
    </row>
    <row r="2394" spans="17:31" ht="20.100000000000001" customHeight="1" x14ac:dyDescent="0.25">
      <c r="Q2394" s="7">
        <f t="shared" si="37"/>
        <v>0</v>
      </c>
      <c r="R2394" s="7" t="e">
        <f>IF(VLOOKUP($A2394,'Concrete Beam Schedule'!$A$2:$Q$2902,R$2,0)&lt;&gt;B2394,VLOOKUP($A2394,'Concrete Beam Schedule'!$A$2:$Q$2902,R$2,0),"")</f>
        <v>#N/A</v>
      </c>
      <c r="S2394" s="7" t="e">
        <f>IF(VLOOKUP($A2394,'Concrete Beam Schedule'!$A$2:$Q$2902,S$2,0)&lt;&gt;C2394,VLOOKUP($A2394,'Concrete Beam Schedule'!$A$2:$Q$2902,S$2,0),"")</f>
        <v>#N/A</v>
      </c>
      <c r="T2394" s="7" t="e">
        <f>IF(VLOOKUP($A2394,'Concrete Beam Schedule'!$A$2:$Q$2902,T$2,0)&lt;&gt;D2394,"Beam Revised","")</f>
        <v>#N/A</v>
      </c>
      <c r="U2394" s="7" t="e">
        <f>IF(VLOOKUP($A2394,'Concrete Beam Schedule'!$A$2:$Q$2902,U$2,0)&lt;&gt;E2394,"Beam Revised","")</f>
        <v>#N/A</v>
      </c>
      <c r="V2394" s="7" t="e">
        <f>IF(VLOOKUP($A2394,'Concrete Beam Schedule'!$A$2:$Q$2902,V$2,0)&lt;&gt;F2394,"Beam Revised","")</f>
        <v>#N/A</v>
      </c>
      <c r="W2394" s="7" t="e">
        <f>IF(VLOOKUP($A2394,'Concrete Beam Schedule'!$A$2:$Q$2902,W$2,0)&lt;&gt;G2394,"Beam Revised","")</f>
        <v>#N/A</v>
      </c>
      <c r="X2394" s="7" t="e">
        <f>IF(VLOOKUP($A2394,'Concrete Beam Schedule'!$A$2:$Q$2902,X$2,0)&lt;&gt;H2394,"Beam Revised","")</f>
        <v>#N/A</v>
      </c>
      <c r="Y2394" s="7" t="e">
        <f>IF(VLOOKUP($A2394,'Concrete Beam Schedule'!$A$2:$Q$2902,Y$2,0)&lt;&gt;I2394,"Beam Revised","")</f>
        <v>#N/A</v>
      </c>
      <c r="Z2394" s="7" t="e">
        <f>IF(VLOOKUP($A2394,'Concrete Beam Schedule'!$A$2:$Q$2902,Z$2,0)&lt;&gt;J2394,"Beam Revised","")</f>
        <v>#N/A</v>
      </c>
      <c r="AA2394" s="7" t="e">
        <f>IF(VLOOKUP($A2394,'Concrete Beam Schedule'!$A$2:$Q$2902,AA$2,0)&lt;&gt;K2394,"Beam Revised","")</f>
        <v>#N/A</v>
      </c>
      <c r="AB2394" s="7" t="e">
        <f>IF(VLOOKUP($A2394,'Concrete Beam Schedule'!$A$2:$Q$2902,AB$2,0)&lt;&gt;L2394,"Beam Revised","")</f>
        <v>#N/A</v>
      </c>
      <c r="AC2394" s="7" t="e">
        <f>IF(VLOOKUP($A2394,'Concrete Beam Schedule'!$A$2:$Q$2902,AC$2,0)&lt;&gt;M2394,"Beam Revised","")</f>
        <v>#N/A</v>
      </c>
      <c r="AD2394" s="7" t="e">
        <f>IF(VLOOKUP($A2394,'Concrete Beam Schedule'!$A$2:$Q$2902,AD$2,0)&lt;&gt;N2394,"Beam Revised","")</f>
        <v>#N/A</v>
      </c>
      <c r="AE2394" s="7" t="e">
        <f>IF(VLOOKUP($A2394,'Concrete Beam Schedule'!$A$2:$Q$2902,AE$2,0)&lt;&gt;O2394,"Beam Revised","")</f>
        <v>#N/A</v>
      </c>
    </row>
    <row r="2395" spans="17:31" ht="20.100000000000001" customHeight="1" x14ac:dyDescent="0.25">
      <c r="Q2395" s="7">
        <f t="shared" si="37"/>
        <v>0</v>
      </c>
      <c r="R2395" s="7" t="e">
        <f>IF(VLOOKUP($A2395,'Concrete Beam Schedule'!$A$2:$Q$2902,R$2,0)&lt;&gt;B2395,VLOOKUP($A2395,'Concrete Beam Schedule'!$A$2:$Q$2902,R$2,0),"")</f>
        <v>#N/A</v>
      </c>
      <c r="S2395" s="7" t="e">
        <f>IF(VLOOKUP($A2395,'Concrete Beam Schedule'!$A$2:$Q$2902,S$2,0)&lt;&gt;C2395,VLOOKUP($A2395,'Concrete Beam Schedule'!$A$2:$Q$2902,S$2,0),"")</f>
        <v>#N/A</v>
      </c>
      <c r="T2395" s="7" t="e">
        <f>IF(VLOOKUP($A2395,'Concrete Beam Schedule'!$A$2:$Q$2902,T$2,0)&lt;&gt;D2395,"Beam Revised","")</f>
        <v>#N/A</v>
      </c>
      <c r="U2395" s="7" t="e">
        <f>IF(VLOOKUP($A2395,'Concrete Beam Schedule'!$A$2:$Q$2902,U$2,0)&lt;&gt;E2395,"Beam Revised","")</f>
        <v>#N/A</v>
      </c>
      <c r="V2395" s="7" t="e">
        <f>IF(VLOOKUP($A2395,'Concrete Beam Schedule'!$A$2:$Q$2902,V$2,0)&lt;&gt;F2395,"Beam Revised","")</f>
        <v>#N/A</v>
      </c>
      <c r="W2395" s="7" t="e">
        <f>IF(VLOOKUP($A2395,'Concrete Beam Schedule'!$A$2:$Q$2902,W$2,0)&lt;&gt;G2395,"Beam Revised","")</f>
        <v>#N/A</v>
      </c>
      <c r="X2395" s="7" t="e">
        <f>IF(VLOOKUP($A2395,'Concrete Beam Schedule'!$A$2:$Q$2902,X$2,0)&lt;&gt;H2395,"Beam Revised","")</f>
        <v>#N/A</v>
      </c>
      <c r="Y2395" s="7" t="e">
        <f>IF(VLOOKUP($A2395,'Concrete Beam Schedule'!$A$2:$Q$2902,Y$2,0)&lt;&gt;I2395,"Beam Revised","")</f>
        <v>#N/A</v>
      </c>
      <c r="Z2395" s="7" t="e">
        <f>IF(VLOOKUP($A2395,'Concrete Beam Schedule'!$A$2:$Q$2902,Z$2,0)&lt;&gt;J2395,"Beam Revised","")</f>
        <v>#N/A</v>
      </c>
      <c r="AA2395" s="7" t="e">
        <f>IF(VLOOKUP($A2395,'Concrete Beam Schedule'!$A$2:$Q$2902,AA$2,0)&lt;&gt;K2395,"Beam Revised","")</f>
        <v>#N/A</v>
      </c>
      <c r="AB2395" s="7" t="e">
        <f>IF(VLOOKUP($A2395,'Concrete Beam Schedule'!$A$2:$Q$2902,AB$2,0)&lt;&gt;L2395,"Beam Revised","")</f>
        <v>#N/A</v>
      </c>
      <c r="AC2395" s="7" t="e">
        <f>IF(VLOOKUP($A2395,'Concrete Beam Schedule'!$A$2:$Q$2902,AC$2,0)&lt;&gt;M2395,"Beam Revised","")</f>
        <v>#N/A</v>
      </c>
      <c r="AD2395" s="7" t="e">
        <f>IF(VLOOKUP($A2395,'Concrete Beam Schedule'!$A$2:$Q$2902,AD$2,0)&lt;&gt;N2395,"Beam Revised","")</f>
        <v>#N/A</v>
      </c>
      <c r="AE2395" s="7" t="e">
        <f>IF(VLOOKUP($A2395,'Concrete Beam Schedule'!$A$2:$Q$2902,AE$2,0)&lt;&gt;O2395,"Beam Revised","")</f>
        <v>#N/A</v>
      </c>
    </row>
    <row r="2396" spans="17:31" ht="20.100000000000001" customHeight="1" x14ac:dyDescent="0.25">
      <c r="Q2396" s="7">
        <f t="shared" si="37"/>
        <v>0</v>
      </c>
      <c r="R2396" s="7" t="e">
        <f>IF(VLOOKUP($A2396,'Concrete Beam Schedule'!$A$2:$Q$2902,R$2,0)&lt;&gt;B2396,VLOOKUP($A2396,'Concrete Beam Schedule'!$A$2:$Q$2902,R$2,0),"")</f>
        <v>#N/A</v>
      </c>
      <c r="S2396" s="7" t="e">
        <f>IF(VLOOKUP($A2396,'Concrete Beam Schedule'!$A$2:$Q$2902,S$2,0)&lt;&gt;C2396,VLOOKUP($A2396,'Concrete Beam Schedule'!$A$2:$Q$2902,S$2,0),"")</f>
        <v>#N/A</v>
      </c>
      <c r="T2396" s="7" t="e">
        <f>IF(VLOOKUP($A2396,'Concrete Beam Schedule'!$A$2:$Q$2902,T$2,0)&lt;&gt;D2396,"Beam Revised","")</f>
        <v>#N/A</v>
      </c>
      <c r="U2396" s="7" t="e">
        <f>IF(VLOOKUP($A2396,'Concrete Beam Schedule'!$A$2:$Q$2902,U$2,0)&lt;&gt;E2396,"Beam Revised","")</f>
        <v>#N/A</v>
      </c>
      <c r="V2396" s="7" t="e">
        <f>IF(VLOOKUP($A2396,'Concrete Beam Schedule'!$A$2:$Q$2902,V$2,0)&lt;&gt;F2396,"Beam Revised","")</f>
        <v>#N/A</v>
      </c>
      <c r="W2396" s="7" t="e">
        <f>IF(VLOOKUP($A2396,'Concrete Beam Schedule'!$A$2:$Q$2902,W$2,0)&lt;&gt;G2396,"Beam Revised","")</f>
        <v>#N/A</v>
      </c>
      <c r="X2396" s="7" t="e">
        <f>IF(VLOOKUP($A2396,'Concrete Beam Schedule'!$A$2:$Q$2902,X$2,0)&lt;&gt;H2396,"Beam Revised","")</f>
        <v>#N/A</v>
      </c>
      <c r="Y2396" s="7" t="e">
        <f>IF(VLOOKUP($A2396,'Concrete Beam Schedule'!$A$2:$Q$2902,Y$2,0)&lt;&gt;I2396,"Beam Revised","")</f>
        <v>#N/A</v>
      </c>
      <c r="Z2396" s="7" t="e">
        <f>IF(VLOOKUP($A2396,'Concrete Beam Schedule'!$A$2:$Q$2902,Z$2,0)&lt;&gt;J2396,"Beam Revised","")</f>
        <v>#N/A</v>
      </c>
      <c r="AA2396" s="7" t="e">
        <f>IF(VLOOKUP($A2396,'Concrete Beam Schedule'!$A$2:$Q$2902,AA$2,0)&lt;&gt;K2396,"Beam Revised","")</f>
        <v>#N/A</v>
      </c>
      <c r="AB2396" s="7" t="e">
        <f>IF(VLOOKUP($A2396,'Concrete Beam Schedule'!$A$2:$Q$2902,AB$2,0)&lt;&gt;L2396,"Beam Revised","")</f>
        <v>#N/A</v>
      </c>
      <c r="AC2396" s="7" t="e">
        <f>IF(VLOOKUP($A2396,'Concrete Beam Schedule'!$A$2:$Q$2902,AC$2,0)&lt;&gt;M2396,"Beam Revised","")</f>
        <v>#N/A</v>
      </c>
      <c r="AD2396" s="7" t="e">
        <f>IF(VLOOKUP($A2396,'Concrete Beam Schedule'!$A$2:$Q$2902,AD$2,0)&lt;&gt;N2396,"Beam Revised","")</f>
        <v>#N/A</v>
      </c>
      <c r="AE2396" s="7" t="e">
        <f>IF(VLOOKUP($A2396,'Concrete Beam Schedule'!$A$2:$Q$2902,AE$2,0)&lt;&gt;O2396,"Beam Revised","")</f>
        <v>#N/A</v>
      </c>
    </row>
    <row r="2397" spans="17:31" ht="20.100000000000001" customHeight="1" x14ac:dyDescent="0.25">
      <c r="Q2397" s="7">
        <f t="shared" si="37"/>
        <v>0</v>
      </c>
      <c r="R2397" s="7" t="e">
        <f>IF(VLOOKUP($A2397,'Concrete Beam Schedule'!$A$2:$Q$2902,R$2,0)&lt;&gt;B2397,VLOOKUP($A2397,'Concrete Beam Schedule'!$A$2:$Q$2902,R$2,0),"")</f>
        <v>#N/A</v>
      </c>
      <c r="S2397" s="7" t="e">
        <f>IF(VLOOKUP($A2397,'Concrete Beam Schedule'!$A$2:$Q$2902,S$2,0)&lt;&gt;C2397,VLOOKUP($A2397,'Concrete Beam Schedule'!$A$2:$Q$2902,S$2,0),"")</f>
        <v>#N/A</v>
      </c>
      <c r="T2397" s="7" t="e">
        <f>IF(VLOOKUP($A2397,'Concrete Beam Schedule'!$A$2:$Q$2902,T$2,0)&lt;&gt;D2397,"Beam Revised","")</f>
        <v>#N/A</v>
      </c>
      <c r="U2397" s="7" t="e">
        <f>IF(VLOOKUP($A2397,'Concrete Beam Schedule'!$A$2:$Q$2902,U$2,0)&lt;&gt;E2397,"Beam Revised","")</f>
        <v>#N/A</v>
      </c>
      <c r="V2397" s="7" t="e">
        <f>IF(VLOOKUP($A2397,'Concrete Beam Schedule'!$A$2:$Q$2902,V$2,0)&lt;&gt;F2397,"Beam Revised","")</f>
        <v>#N/A</v>
      </c>
      <c r="W2397" s="7" t="e">
        <f>IF(VLOOKUP($A2397,'Concrete Beam Schedule'!$A$2:$Q$2902,W$2,0)&lt;&gt;G2397,"Beam Revised","")</f>
        <v>#N/A</v>
      </c>
      <c r="X2397" s="7" t="e">
        <f>IF(VLOOKUP($A2397,'Concrete Beam Schedule'!$A$2:$Q$2902,X$2,0)&lt;&gt;H2397,"Beam Revised","")</f>
        <v>#N/A</v>
      </c>
      <c r="Y2397" s="7" t="e">
        <f>IF(VLOOKUP($A2397,'Concrete Beam Schedule'!$A$2:$Q$2902,Y$2,0)&lt;&gt;I2397,"Beam Revised","")</f>
        <v>#N/A</v>
      </c>
      <c r="Z2397" s="7" t="e">
        <f>IF(VLOOKUP($A2397,'Concrete Beam Schedule'!$A$2:$Q$2902,Z$2,0)&lt;&gt;J2397,"Beam Revised","")</f>
        <v>#N/A</v>
      </c>
      <c r="AA2397" s="7" t="e">
        <f>IF(VLOOKUP($A2397,'Concrete Beam Schedule'!$A$2:$Q$2902,AA$2,0)&lt;&gt;K2397,"Beam Revised","")</f>
        <v>#N/A</v>
      </c>
      <c r="AB2397" s="7" t="e">
        <f>IF(VLOOKUP($A2397,'Concrete Beam Schedule'!$A$2:$Q$2902,AB$2,0)&lt;&gt;L2397,"Beam Revised","")</f>
        <v>#N/A</v>
      </c>
      <c r="AC2397" s="7" t="e">
        <f>IF(VLOOKUP($A2397,'Concrete Beam Schedule'!$A$2:$Q$2902,AC$2,0)&lt;&gt;M2397,"Beam Revised","")</f>
        <v>#N/A</v>
      </c>
      <c r="AD2397" s="7" t="e">
        <f>IF(VLOOKUP($A2397,'Concrete Beam Schedule'!$A$2:$Q$2902,AD$2,0)&lt;&gt;N2397,"Beam Revised","")</f>
        <v>#N/A</v>
      </c>
      <c r="AE2397" s="7" t="e">
        <f>IF(VLOOKUP($A2397,'Concrete Beam Schedule'!$A$2:$Q$2902,AE$2,0)&lt;&gt;O2397,"Beam Revised","")</f>
        <v>#N/A</v>
      </c>
    </row>
    <row r="2398" spans="17:31" ht="20.100000000000001" customHeight="1" x14ac:dyDescent="0.25">
      <c r="Q2398" s="7">
        <f t="shared" si="37"/>
        <v>0</v>
      </c>
      <c r="R2398" s="7" t="e">
        <f>IF(VLOOKUP($A2398,'Concrete Beam Schedule'!$A$2:$Q$2902,R$2,0)&lt;&gt;B2398,VLOOKUP($A2398,'Concrete Beam Schedule'!$A$2:$Q$2902,R$2,0),"")</f>
        <v>#N/A</v>
      </c>
      <c r="S2398" s="7" t="e">
        <f>IF(VLOOKUP($A2398,'Concrete Beam Schedule'!$A$2:$Q$2902,S$2,0)&lt;&gt;C2398,VLOOKUP($A2398,'Concrete Beam Schedule'!$A$2:$Q$2902,S$2,0),"")</f>
        <v>#N/A</v>
      </c>
      <c r="T2398" s="7" t="e">
        <f>IF(VLOOKUP($A2398,'Concrete Beam Schedule'!$A$2:$Q$2902,T$2,0)&lt;&gt;D2398,"Beam Revised","")</f>
        <v>#N/A</v>
      </c>
      <c r="U2398" s="7" t="e">
        <f>IF(VLOOKUP($A2398,'Concrete Beam Schedule'!$A$2:$Q$2902,U$2,0)&lt;&gt;E2398,"Beam Revised","")</f>
        <v>#N/A</v>
      </c>
      <c r="V2398" s="7" t="e">
        <f>IF(VLOOKUP($A2398,'Concrete Beam Schedule'!$A$2:$Q$2902,V$2,0)&lt;&gt;F2398,"Beam Revised","")</f>
        <v>#N/A</v>
      </c>
      <c r="W2398" s="7" t="e">
        <f>IF(VLOOKUP($A2398,'Concrete Beam Schedule'!$A$2:$Q$2902,W$2,0)&lt;&gt;G2398,"Beam Revised","")</f>
        <v>#N/A</v>
      </c>
      <c r="X2398" s="7" t="e">
        <f>IF(VLOOKUP($A2398,'Concrete Beam Schedule'!$A$2:$Q$2902,X$2,0)&lt;&gt;H2398,"Beam Revised","")</f>
        <v>#N/A</v>
      </c>
      <c r="Y2398" s="7" t="e">
        <f>IF(VLOOKUP($A2398,'Concrete Beam Schedule'!$A$2:$Q$2902,Y$2,0)&lt;&gt;I2398,"Beam Revised","")</f>
        <v>#N/A</v>
      </c>
      <c r="Z2398" s="7" t="e">
        <f>IF(VLOOKUP($A2398,'Concrete Beam Schedule'!$A$2:$Q$2902,Z$2,0)&lt;&gt;J2398,"Beam Revised","")</f>
        <v>#N/A</v>
      </c>
      <c r="AA2398" s="7" t="e">
        <f>IF(VLOOKUP($A2398,'Concrete Beam Schedule'!$A$2:$Q$2902,AA$2,0)&lt;&gt;K2398,"Beam Revised","")</f>
        <v>#N/A</v>
      </c>
      <c r="AB2398" s="7" t="e">
        <f>IF(VLOOKUP($A2398,'Concrete Beam Schedule'!$A$2:$Q$2902,AB$2,0)&lt;&gt;L2398,"Beam Revised","")</f>
        <v>#N/A</v>
      </c>
      <c r="AC2398" s="7" t="e">
        <f>IF(VLOOKUP($A2398,'Concrete Beam Schedule'!$A$2:$Q$2902,AC$2,0)&lt;&gt;M2398,"Beam Revised","")</f>
        <v>#N/A</v>
      </c>
      <c r="AD2398" s="7" t="e">
        <f>IF(VLOOKUP($A2398,'Concrete Beam Schedule'!$A$2:$Q$2902,AD$2,0)&lt;&gt;N2398,"Beam Revised","")</f>
        <v>#N/A</v>
      </c>
      <c r="AE2398" s="7" t="e">
        <f>IF(VLOOKUP($A2398,'Concrete Beam Schedule'!$A$2:$Q$2902,AE$2,0)&lt;&gt;O2398,"Beam Revised","")</f>
        <v>#N/A</v>
      </c>
    </row>
    <row r="2399" spans="17:31" ht="20.100000000000001" customHeight="1" x14ac:dyDescent="0.25">
      <c r="Q2399" s="7">
        <f t="shared" si="37"/>
        <v>0</v>
      </c>
      <c r="R2399" s="7" t="e">
        <f>IF(VLOOKUP($A2399,'Concrete Beam Schedule'!$A$2:$Q$2902,R$2,0)&lt;&gt;B2399,VLOOKUP($A2399,'Concrete Beam Schedule'!$A$2:$Q$2902,R$2,0),"")</f>
        <v>#N/A</v>
      </c>
      <c r="S2399" s="7" t="e">
        <f>IF(VLOOKUP($A2399,'Concrete Beam Schedule'!$A$2:$Q$2902,S$2,0)&lt;&gt;C2399,VLOOKUP($A2399,'Concrete Beam Schedule'!$A$2:$Q$2902,S$2,0),"")</f>
        <v>#N/A</v>
      </c>
      <c r="T2399" s="7" t="e">
        <f>IF(VLOOKUP($A2399,'Concrete Beam Schedule'!$A$2:$Q$2902,T$2,0)&lt;&gt;D2399,"Beam Revised","")</f>
        <v>#N/A</v>
      </c>
      <c r="U2399" s="7" t="e">
        <f>IF(VLOOKUP($A2399,'Concrete Beam Schedule'!$A$2:$Q$2902,U$2,0)&lt;&gt;E2399,"Beam Revised","")</f>
        <v>#N/A</v>
      </c>
      <c r="V2399" s="7" t="e">
        <f>IF(VLOOKUP($A2399,'Concrete Beam Schedule'!$A$2:$Q$2902,V$2,0)&lt;&gt;F2399,"Beam Revised","")</f>
        <v>#N/A</v>
      </c>
      <c r="W2399" s="7" t="e">
        <f>IF(VLOOKUP($A2399,'Concrete Beam Schedule'!$A$2:$Q$2902,W$2,0)&lt;&gt;G2399,"Beam Revised","")</f>
        <v>#N/A</v>
      </c>
      <c r="X2399" s="7" t="e">
        <f>IF(VLOOKUP($A2399,'Concrete Beam Schedule'!$A$2:$Q$2902,X$2,0)&lt;&gt;H2399,"Beam Revised","")</f>
        <v>#N/A</v>
      </c>
      <c r="Y2399" s="7" t="e">
        <f>IF(VLOOKUP($A2399,'Concrete Beam Schedule'!$A$2:$Q$2902,Y$2,0)&lt;&gt;I2399,"Beam Revised","")</f>
        <v>#N/A</v>
      </c>
      <c r="Z2399" s="7" t="e">
        <f>IF(VLOOKUP($A2399,'Concrete Beam Schedule'!$A$2:$Q$2902,Z$2,0)&lt;&gt;J2399,"Beam Revised","")</f>
        <v>#N/A</v>
      </c>
      <c r="AA2399" s="7" t="e">
        <f>IF(VLOOKUP($A2399,'Concrete Beam Schedule'!$A$2:$Q$2902,AA$2,0)&lt;&gt;K2399,"Beam Revised","")</f>
        <v>#N/A</v>
      </c>
      <c r="AB2399" s="7" t="e">
        <f>IF(VLOOKUP($A2399,'Concrete Beam Schedule'!$A$2:$Q$2902,AB$2,0)&lt;&gt;L2399,"Beam Revised","")</f>
        <v>#N/A</v>
      </c>
      <c r="AC2399" s="7" t="e">
        <f>IF(VLOOKUP($A2399,'Concrete Beam Schedule'!$A$2:$Q$2902,AC$2,0)&lt;&gt;M2399,"Beam Revised","")</f>
        <v>#N/A</v>
      </c>
      <c r="AD2399" s="7" t="e">
        <f>IF(VLOOKUP($A2399,'Concrete Beam Schedule'!$A$2:$Q$2902,AD$2,0)&lt;&gt;N2399,"Beam Revised","")</f>
        <v>#N/A</v>
      </c>
      <c r="AE2399" s="7" t="e">
        <f>IF(VLOOKUP($A2399,'Concrete Beam Schedule'!$A$2:$Q$2902,AE$2,0)&lt;&gt;O2399,"Beam Revised","")</f>
        <v>#N/A</v>
      </c>
    </row>
    <row r="2400" spans="17:31" ht="20.100000000000001" customHeight="1" x14ac:dyDescent="0.25">
      <c r="Q2400" s="7">
        <f t="shared" si="37"/>
        <v>0</v>
      </c>
      <c r="R2400" s="7" t="e">
        <f>IF(VLOOKUP($A2400,'Concrete Beam Schedule'!$A$2:$Q$2902,R$2,0)&lt;&gt;B2400,VLOOKUP($A2400,'Concrete Beam Schedule'!$A$2:$Q$2902,R$2,0),"")</f>
        <v>#N/A</v>
      </c>
      <c r="S2400" s="7" t="e">
        <f>IF(VLOOKUP($A2400,'Concrete Beam Schedule'!$A$2:$Q$2902,S$2,0)&lt;&gt;C2400,VLOOKUP($A2400,'Concrete Beam Schedule'!$A$2:$Q$2902,S$2,0),"")</f>
        <v>#N/A</v>
      </c>
      <c r="T2400" s="7" t="e">
        <f>IF(VLOOKUP($A2400,'Concrete Beam Schedule'!$A$2:$Q$2902,T$2,0)&lt;&gt;D2400,"Beam Revised","")</f>
        <v>#N/A</v>
      </c>
      <c r="U2400" s="7" t="e">
        <f>IF(VLOOKUP($A2400,'Concrete Beam Schedule'!$A$2:$Q$2902,U$2,0)&lt;&gt;E2400,"Beam Revised","")</f>
        <v>#N/A</v>
      </c>
      <c r="V2400" s="7" t="e">
        <f>IF(VLOOKUP($A2400,'Concrete Beam Schedule'!$A$2:$Q$2902,V$2,0)&lt;&gt;F2400,"Beam Revised","")</f>
        <v>#N/A</v>
      </c>
      <c r="W2400" s="7" t="e">
        <f>IF(VLOOKUP($A2400,'Concrete Beam Schedule'!$A$2:$Q$2902,W$2,0)&lt;&gt;G2400,"Beam Revised","")</f>
        <v>#N/A</v>
      </c>
      <c r="X2400" s="7" t="e">
        <f>IF(VLOOKUP($A2400,'Concrete Beam Schedule'!$A$2:$Q$2902,X$2,0)&lt;&gt;H2400,"Beam Revised","")</f>
        <v>#N/A</v>
      </c>
      <c r="Y2400" s="7" t="e">
        <f>IF(VLOOKUP($A2400,'Concrete Beam Schedule'!$A$2:$Q$2902,Y$2,0)&lt;&gt;I2400,"Beam Revised","")</f>
        <v>#N/A</v>
      </c>
      <c r="Z2400" s="7" t="e">
        <f>IF(VLOOKUP($A2400,'Concrete Beam Schedule'!$A$2:$Q$2902,Z$2,0)&lt;&gt;J2400,"Beam Revised","")</f>
        <v>#N/A</v>
      </c>
      <c r="AA2400" s="7" t="e">
        <f>IF(VLOOKUP($A2400,'Concrete Beam Schedule'!$A$2:$Q$2902,AA$2,0)&lt;&gt;K2400,"Beam Revised","")</f>
        <v>#N/A</v>
      </c>
      <c r="AB2400" s="7" t="e">
        <f>IF(VLOOKUP($A2400,'Concrete Beam Schedule'!$A$2:$Q$2902,AB$2,0)&lt;&gt;L2400,"Beam Revised","")</f>
        <v>#N/A</v>
      </c>
      <c r="AC2400" s="7" t="e">
        <f>IF(VLOOKUP($A2400,'Concrete Beam Schedule'!$A$2:$Q$2902,AC$2,0)&lt;&gt;M2400,"Beam Revised","")</f>
        <v>#N/A</v>
      </c>
      <c r="AD2400" s="7" t="e">
        <f>IF(VLOOKUP($A2400,'Concrete Beam Schedule'!$A$2:$Q$2902,AD$2,0)&lt;&gt;N2400,"Beam Revised","")</f>
        <v>#N/A</v>
      </c>
      <c r="AE2400" s="7" t="e">
        <f>IF(VLOOKUP($A2400,'Concrete Beam Schedule'!$A$2:$Q$2902,AE$2,0)&lt;&gt;O2400,"Beam Revised","")</f>
        <v>#N/A</v>
      </c>
    </row>
    <row r="2401" spans="17:31" ht="20.100000000000001" customHeight="1" x14ac:dyDescent="0.25">
      <c r="Q2401" s="7">
        <f t="shared" si="37"/>
        <v>0</v>
      </c>
      <c r="R2401" s="7" t="e">
        <f>IF(VLOOKUP($A2401,'Concrete Beam Schedule'!$A$2:$Q$2902,R$2,0)&lt;&gt;B2401,VLOOKUP($A2401,'Concrete Beam Schedule'!$A$2:$Q$2902,R$2,0),"")</f>
        <v>#N/A</v>
      </c>
      <c r="S2401" s="7" t="e">
        <f>IF(VLOOKUP($A2401,'Concrete Beam Schedule'!$A$2:$Q$2902,S$2,0)&lt;&gt;C2401,VLOOKUP($A2401,'Concrete Beam Schedule'!$A$2:$Q$2902,S$2,0),"")</f>
        <v>#N/A</v>
      </c>
      <c r="T2401" s="7" t="e">
        <f>IF(VLOOKUP($A2401,'Concrete Beam Schedule'!$A$2:$Q$2902,T$2,0)&lt;&gt;D2401,"Beam Revised","")</f>
        <v>#N/A</v>
      </c>
      <c r="U2401" s="7" t="e">
        <f>IF(VLOOKUP($A2401,'Concrete Beam Schedule'!$A$2:$Q$2902,U$2,0)&lt;&gt;E2401,"Beam Revised","")</f>
        <v>#N/A</v>
      </c>
      <c r="V2401" s="7" t="e">
        <f>IF(VLOOKUP($A2401,'Concrete Beam Schedule'!$A$2:$Q$2902,V$2,0)&lt;&gt;F2401,"Beam Revised","")</f>
        <v>#N/A</v>
      </c>
      <c r="W2401" s="7" t="e">
        <f>IF(VLOOKUP($A2401,'Concrete Beam Schedule'!$A$2:$Q$2902,W$2,0)&lt;&gt;G2401,"Beam Revised","")</f>
        <v>#N/A</v>
      </c>
      <c r="X2401" s="7" t="e">
        <f>IF(VLOOKUP($A2401,'Concrete Beam Schedule'!$A$2:$Q$2902,X$2,0)&lt;&gt;H2401,"Beam Revised","")</f>
        <v>#N/A</v>
      </c>
      <c r="Y2401" s="7" t="e">
        <f>IF(VLOOKUP($A2401,'Concrete Beam Schedule'!$A$2:$Q$2902,Y$2,0)&lt;&gt;I2401,"Beam Revised","")</f>
        <v>#N/A</v>
      </c>
      <c r="Z2401" s="7" t="e">
        <f>IF(VLOOKUP($A2401,'Concrete Beam Schedule'!$A$2:$Q$2902,Z$2,0)&lt;&gt;J2401,"Beam Revised","")</f>
        <v>#N/A</v>
      </c>
      <c r="AA2401" s="7" t="e">
        <f>IF(VLOOKUP($A2401,'Concrete Beam Schedule'!$A$2:$Q$2902,AA$2,0)&lt;&gt;K2401,"Beam Revised","")</f>
        <v>#N/A</v>
      </c>
      <c r="AB2401" s="7" t="e">
        <f>IF(VLOOKUP($A2401,'Concrete Beam Schedule'!$A$2:$Q$2902,AB$2,0)&lt;&gt;L2401,"Beam Revised","")</f>
        <v>#N/A</v>
      </c>
      <c r="AC2401" s="7" t="e">
        <f>IF(VLOOKUP($A2401,'Concrete Beam Schedule'!$A$2:$Q$2902,AC$2,0)&lt;&gt;M2401,"Beam Revised","")</f>
        <v>#N/A</v>
      </c>
      <c r="AD2401" s="7" t="e">
        <f>IF(VLOOKUP($A2401,'Concrete Beam Schedule'!$A$2:$Q$2902,AD$2,0)&lt;&gt;N2401,"Beam Revised","")</f>
        <v>#N/A</v>
      </c>
      <c r="AE2401" s="7" t="e">
        <f>IF(VLOOKUP($A2401,'Concrete Beam Schedule'!$A$2:$Q$2902,AE$2,0)&lt;&gt;O2401,"Beam Revised","")</f>
        <v>#N/A</v>
      </c>
    </row>
    <row r="2402" spans="17:31" ht="20.100000000000001" customHeight="1" x14ac:dyDescent="0.25">
      <c r="Q2402" s="7">
        <f t="shared" si="37"/>
        <v>0</v>
      </c>
      <c r="R2402" s="7" t="e">
        <f>IF(VLOOKUP($A2402,'Concrete Beam Schedule'!$A$2:$Q$2902,R$2,0)&lt;&gt;B2402,VLOOKUP($A2402,'Concrete Beam Schedule'!$A$2:$Q$2902,R$2,0),"")</f>
        <v>#N/A</v>
      </c>
      <c r="S2402" s="7" t="e">
        <f>IF(VLOOKUP($A2402,'Concrete Beam Schedule'!$A$2:$Q$2902,S$2,0)&lt;&gt;C2402,VLOOKUP($A2402,'Concrete Beam Schedule'!$A$2:$Q$2902,S$2,0),"")</f>
        <v>#N/A</v>
      </c>
      <c r="T2402" s="7" t="e">
        <f>IF(VLOOKUP($A2402,'Concrete Beam Schedule'!$A$2:$Q$2902,T$2,0)&lt;&gt;D2402,"Beam Revised","")</f>
        <v>#N/A</v>
      </c>
      <c r="U2402" s="7" t="e">
        <f>IF(VLOOKUP($A2402,'Concrete Beam Schedule'!$A$2:$Q$2902,U$2,0)&lt;&gt;E2402,"Beam Revised","")</f>
        <v>#N/A</v>
      </c>
      <c r="V2402" s="7" t="e">
        <f>IF(VLOOKUP($A2402,'Concrete Beam Schedule'!$A$2:$Q$2902,V$2,0)&lt;&gt;F2402,"Beam Revised","")</f>
        <v>#N/A</v>
      </c>
      <c r="W2402" s="7" t="e">
        <f>IF(VLOOKUP($A2402,'Concrete Beam Schedule'!$A$2:$Q$2902,W$2,0)&lt;&gt;G2402,"Beam Revised","")</f>
        <v>#N/A</v>
      </c>
      <c r="X2402" s="7" t="e">
        <f>IF(VLOOKUP($A2402,'Concrete Beam Schedule'!$A$2:$Q$2902,X$2,0)&lt;&gt;H2402,"Beam Revised","")</f>
        <v>#N/A</v>
      </c>
      <c r="Y2402" s="7" t="e">
        <f>IF(VLOOKUP($A2402,'Concrete Beam Schedule'!$A$2:$Q$2902,Y$2,0)&lt;&gt;I2402,"Beam Revised","")</f>
        <v>#N/A</v>
      </c>
      <c r="Z2402" s="7" t="e">
        <f>IF(VLOOKUP($A2402,'Concrete Beam Schedule'!$A$2:$Q$2902,Z$2,0)&lt;&gt;J2402,"Beam Revised","")</f>
        <v>#N/A</v>
      </c>
      <c r="AA2402" s="7" t="e">
        <f>IF(VLOOKUP($A2402,'Concrete Beam Schedule'!$A$2:$Q$2902,AA$2,0)&lt;&gt;K2402,"Beam Revised","")</f>
        <v>#N/A</v>
      </c>
      <c r="AB2402" s="7" t="e">
        <f>IF(VLOOKUP($A2402,'Concrete Beam Schedule'!$A$2:$Q$2902,AB$2,0)&lt;&gt;L2402,"Beam Revised","")</f>
        <v>#N/A</v>
      </c>
      <c r="AC2402" s="7" t="e">
        <f>IF(VLOOKUP($A2402,'Concrete Beam Schedule'!$A$2:$Q$2902,AC$2,0)&lt;&gt;M2402,"Beam Revised","")</f>
        <v>#N/A</v>
      </c>
      <c r="AD2402" s="7" t="e">
        <f>IF(VLOOKUP($A2402,'Concrete Beam Schedule'!$A$2:$Q$2902,AD$2,0)&lt;&gt;N2402,"Beam Revised","")</f>
        <v>#N/A</v>
      </c>
      <c r="AE2402" s="7" t="e">
        <f>IF(VLOOKUP($A2402,'Concrete Beam Schedule'!$A$2:$Q$2902,AE$2,0)&lt;&gt;O2402,"Beam Revised","")</f>
        <v>#N/A</v>
      </c>
    </row>
    <row r="2403" spans="17:31" ht="20.100000000000001" customHeight="1" x14ac:dyDescent="0.25">
      <c r="Q2403" s="7">
        <f t="shared" si="37"/>
        <v>0</v>
      </c>
      <c r="R2403" s="7" t="e">
        <f>IF(VLOOKUP($A2403,'Concrete Beam Schedule'!$A$2:$Q$2902,R$2,0)&lt;&gt;B2403,VLOOKUP($A2403,'Concrete Beam Schedule'!$A$2:$Q$2902,R$2,0),"")</f>
        <v>#N/A</v>
      </c>
      <c r="S2403" s="7" t="e">
        <f>IF(VLOOKUP($A2403,'Concrete Beam Schedule'!$A$2:$Q$2902,S$2,0)&lt;&gt;C2403,VLOOKUP($A2403,'Concrete Beam Schedule'!$A$2:$Q$2902,S$2,0),"")</f>
        <v>#N/A</v>
      </c>
      <c r="T2403" s="7" t="e">
        <f>IF(VLOOKUP($A2403,'Concrete Beam Schedule'!$A$2:$Q$2902,T$2,0)&lt;&gt;D2403,"Beam Revised","")</f>
        <v>#N/A</v>
      </c>
      <c r="U2403" s="7" t="e">
        <f>IF(VLOOKUP($A2403,'Concrete Beam Schedule'!$A$2:$Q$2902,U$2,0)&lt;&gt;E2403,"Beam Revised","")</f>
        <v>#N/A</v>
      </c>
      <c r="V2403" s="7" t="e">
        <f>IF(VLOOKUP($A2403,'Concrete Beam Schedule'!$A$2:$Q$2902,V$2,0)&lt;&gt;F2403,"Beam Revised","")</f>
        <v>#N/A</v>
      </c>
      <c r="W2403" s="7" t="e">
        <f>IF(VLOOKUP($A2403,'Concrete Beam Schedule'!$A$2:$Q$2902,W$2,0)&lt;&gt;G2403,"Beam Revised","")</f>
        <v>#N/A</v>
      </c>
      <c r="X2403" s="7" t="e">
        <f>IF(VLOOKUP($A2403,'Concrete Beam Schedule'!$A$2:$Q$2902,X$2,0)&lt;&gt;H2403,"Beam Revised","")</f>
        <v>#N/A</v>
      </c>
      <c r="Y2403" s="7" t="e">
        <f>IF(VLOOKUP($A2403,'Concrete Beam Schedule'!$A$2:$Q$2902,Y$2,0)&lt;&gt;I2403,"Beam Revised","")</f>
        <v>#N/A</v>
      </c>
      <c r="Z2403" s="7" t="e">
        <f>IF(VLOOKUP($A2403,'Concrete Beam Schedule'!$A$2:$Q$2902,Z$2,0)&lt;&gt;J2403,"Beam Revised","")</f>
        <v>#N/A</v>
      </c>
      <c r="AA2403" s="7" t="e">
        <f>IF(VLOOKUP($A2403,'Concrete Beam Schedule'!$A$2:$Q$2902,AA$2,0)&lt;&gt;K2403,"Beam Revised","")</f>
        <v>#N/A</v>
      </c>
      <c r="AB2403" s="7" t="e">
        <f>IF(VLOOKUP($A2403,'Concrete Beam Schedule'!$A$2:$Q$2902,AB$2,0)&lt;&gt;L2403,"Beam Revised","")</f>
        <v>#N/A</v>
      </c>
      <c r="AC2403" s="7" t="e">
        <f>IF(VLOOKUP($A2403,'Concrete Beam Schedule'!$A$2:$Q$2902,AC$2,0)&lt;&gt;M2403,"Beam Revised","")</f>
        <v>#N/A</v>
      </c>
      <c r="AD2403" s="7" t="e">
        <f>IF(VLOOKUP($A2403,'Concrete Beam Schedule'!$A$2:$Q$2902,AD$2,0)&lt;&gt;N2403,"Beam Revised","")</f>
        <v>#N/A</v>
      </c>
      <c r="AE2403" s="7" t="e">
        <f>IF(VLOOKUP($A2403,'Concrete Beam Schedule'!$A$2:$Q$2902,AE$2,0)&lt;&gt;O2403,"Beam Revised","")</f>
        <v>#N/A</v>
      </c>
    </row>
    <row r="2404" spans="17:31" ht="20.100000000000001" customHeight="1" x14ac:dyDescent="0.25">
      <c r="Q2404" s="7">
        <f t="shared" si="37"/>
        <v>0</v>
      </c>
      <c r="R2404" s="7" t="e">
        <f>IF(VLOOKUP($A2404,'Concrete Beam Schedule'!$A$2:$Q$2902,R$2,0)&lt;&gt;B2404,VLOOKUP($A2404,'Concrete Beam Schedule'!$A$2:$Q$2902,R$2,0),"")</f>
        <v>#N/A</v>
      </c>
      <c r="S2404" s="7" t="e">
        <f>IF(VLOOKUP($A2404,'Concrete Beam Schedule'!$A$2:$Q$2902,S$2,0)&lt;&gt;C2404,VLOOKUP($A2404,'Concrete Beam Schedule'!$A$2:$Q$2902,S$2,0),"")</f>
        <v>#N/A</v>
      </c>
      <c r="T2404" s="7" t="e">
        <f>IF(VLOOKUP($A2404,'Concrete Beam Schedule'!$A$2:$Q$2902,T$2,0)&lt;&gt;D2404,"Beam Revised","")</f>
        <v>#N/A</v>
      </c>
      <c r="U2404" s="7" t="e">
        <f>IF(VLOOKUP($A2404,'Concrete Beam Schedule'!$A$2:$Q$2902,U$2,0)&lt;&gt;E2404,"Beam Revised","")</f>
        <v>#N/A</v>
      </c>
      <c r="V2404" s="7" t="e">
        <f>IF(VLOOKUP($A2404,'Concrete Beam Schedule'!$A$2:$Q$2902,V$2,0)&lt;&gt;F2404,"Beam Revised","")</f>
        <v>#N/A</v>
      </c>
      <c r="W2404" s="7" t="e">
        <f>IF(VLOOKUP($A2404,'Concrete Beam Schedule'!$A$2:$Q$2902,W$2,0)&lt;&gt;G2404,"Beam Revised","")</f>
        <v>#N/A</v>
      </c>
      <c r="X2404" s="7" t="e">
        <f>IF(VLOOKUP($A2404,'Concrete Beam Schedule'!$A$2:$Q$2902,X$2,0)&lt;&gt;H2404,"Beam Revised","")</f>
        <v>#N/A</v>
      </c>
      <c r="Y2404" s="7" t="e">
        <f>IF(VLOOKUP($A2404,'Concrete Beam Schedule'!$A$2:$Q$2902,Y$2,0)&lt;&gt;I2404,"Beam Revised","")</f>
        <v>#N/A</v>
      </c>
      <c r="Z2404" s="7" t="e">
        <f>IF(VLOOKUP($A2404,'Concrete Beam Schedule'!$A$2:$Q$2902,Z$2,0)&lt;&gt;J2404,"Beam Revised","")</f>
        <v>#N/A</v>
      </c>
      <c r="AA2404" s="7" t="e">
        <f>IF(VLOOKUP($A2404,'Concrete Beam Schedule'!$A$2:$Q$2902,AA$2,0)&lt;&gt;K2404,"Beam Revised","")</f>
        <v>#N/A</v>
      </c>
      <c r="AB2404" s="7" t="e">
        <f>IF(VLOOKUP($A2404,'Concrete Beam Schedule'!$A$2:$Q$2902,AB$2,0)&lt;&gt;L2404,"Beam Revised","")</f>
        <v>#N/A</v>
      </c>
      <c r="AC2404" s="7" t="e">
        <f>IF(VLOOKUP($A2404,'Concrete Beam Schedule'!$A$2:$Q$2902,AC$2,0)&lt;&gt;M2404,"Beam Revised","")</f>
        <v>#N/A</v>
      </c>
      <c r="AD2404" s="7" t="e">
        <f>IF(VLOOKUP($A2404,'Concrete Beam Schedule'!$A$2:$Q$2902,AD$2,0)&lt;&gt;N2404,"Beam Revised","")</f>
        <v>#N/A</v>
      </c>
      <c r="AE2404" s="7" t="e">
        <f>IF(VLOOKUP($A2404,'Concrete Beam Schedule'!$A$2:$Q$2902,AE$2,0)&lt;&gt;O2404,"Beam Revised","")</f>
        <v>#N/A</v>
      </c>
    </row>
    <row r="2405" spans="17:31" ht="20.100000000000001" customHeight="1" x14ac:dyDescent="0.25">
      <c r="Q2405" s="7">
        <f t="shared" si="37"/>
        <v>0</v>
      </c>
      <c r="R2405" s="7" t="e">
        <f>IF(VLOOKUP($A2405,'Concrete Beam Schedule'!$A$2:$Q$2902,R$2,0)&lt;&gt;B2405,VLOOKUP($A2405,'Concrete Beam Schedule'!$A$2:$Q$2902,R$2,0),"")</f>
        <v>#N/A</v>
      </c>
      <c r="S2405" s="7" t="e">
        <f>IF(VLOOKUP($A2405,'Concrete Beam Schedule'!$A$2:$Q$2902,S$2,0)&lt;&gt;C2405,VLOOKUP($A2405,'Concrete Beam Schedule'!$A$2:$Q$2902,S$2,0),"")</f>
        <v>#N/A</v>
      </c>
      <c r="T2405" s="7" t="e">
        <f>IF(VLOOKUP($A2405,'Concrete Beam Schedule'!$A$2:$Q$2902,T$2,0)&lt;&gt;D2405,"Beam Revised","")</f>
        <v>#N/A</v>
      </c>
      <c r="U2405" s="7" t="e">
        <f>IF(VLOOKUP($A2405,'Concrete Beam Schedule'!$A$2:$Q$2902,U$2,0)&lt;&gt;E2405,"Beam Revised","")</f>
        <v>#N/A</v>
      </c>
      <c r="V2405" s="7" t="e">
        <f>IF(VLOOKUP($A2405,'Concrete Beam Schedule'!$A$2:$Q$2902,V$2,0)&lt;&gt;F2405,"Beam Revised","")</f>
        <v>#N/A</v>
      </c>
      <c r="W2405" s="7" t="e">
        <f>IF(VLOOKUP($A2405,'Concrete Beam Schedule'!$A$2:$Q$2902,W$2,0)&lt;&gt;G2405,"Beam Revised","")</f>
        <v>#N/A</v>
      </c>
      <c r="X2405" s="7" t="e">
        <f>IF(VLOOKUP($A2405,'Concrete Beam Schedule'!$A$2:$Q$2902,X$2,0)&lt;&gt;H2405,"Beam Revised","")</f>
        <v>#N/A</v>
      </c>
      <c r="Y2405" s="7" t="e">
        <f>IF(VLOOKUP($A2405,'Concrete Beam Schedule'!$A$2:$Q$2902,Y$2,0)&lt;&gt;I2405,"Beam Revised","")</f>
        <v>#N/A</v>
      </c>
      <c r="Z2405" s="7" t="e">
        <f>IF(VLOOKUP($A2405,'Concrete Beam Schedule'!$A$2:$Q$2902,Z$2,0)&lt;&gt;J2405,"Beam Revised","")</f>
        <v>#N/A</v>
      </c>
      <c r="AA2405" s="7" t="e">
        <f>IF(VLOOKUP($A2405,'Concrete Beam Schedule'!$A$2:$Q$2902,AA$2,0)&lt;&gt;K2405,"Beam Revised","")</f>
        <v>#N/A</v>
      </c>
      <c r="AB2405" s="7" t="e">
        <f>IF(VLOOKUP($A2405,'Concrete Beam Schedule'!$A$2:$Q$2902,AB$2,0)&lt;&gt;L2405,"Beam Revised","")</f>
        <v>#N/A</v>
      </c>
      <c r="AC2405" s="7" t="e">
        <f>IF(VLOOKUP($A2405,'Concrete Beam Schedule'!$A$2:$Q$2902,AC$2,0)&lt;&gt;M2405,"Beam Revised","")</f>
        <v>#N/A</v>
      </c>
      <c r="AD2405" s="7" t="e">
        <f>IF(VLOOKUP($A2405,'Concrete Beam Schedule'!$A$2:$Q$2902,AD$2,0)&lt;&gt;N2405,"Beam Revised","")</f>
        <v>#N/A</v>
      </c>
      <c r="AE2405" s="7" t="e">
        <f>IF(VLOOKUP($A2405,'Concrete Beam Schedule'!$A$2:$Q$2902,AE$2,0)&lt;&gt;O2405,"Beam Revised","")</f>
        <v>#N/A</v>
      </c>
    </row>
    <row r="2406" spans="17:31" ht="20.100000000000001" customHeight="1" x14ac:dyDescent="0.25">
      <c r="Q2406" s="7">
        <f t="shared" si="37"/>
        <v>0</v>
      </c>
      <c r="R2406" s="7" t="e">
        <f>IF(VLOOKUP($A2406,'Concrete Beam Schedule'!$A$2:$Q$2902,R$2,0)&lt;&gt;B2406,VLOOKUP($A2406,'Concrete Beam Schedule'!$A$2:$Q$2902,R$2,0),"")</f>
        <v>#N/A</v>
      </c>
      <c r="S2406" s="7" t="e">
        <f>IF(VLOOKUP($A2406,'Concrete Beam Schedule'!$A$2:$Q$2902,S$2,0)&lt;&gt;C2406,VLOOKUP($A2406,'Concrete Beam Schedule'!$A$2:$Q$2902,S$2,0),"")</f>
        <v>#N/A</v>
      </c>
      <c r="T2406" s="7" t="e">
        <f>IF(VLOOKUP($A2406,'Concrete Beam Schedule'!$A$2:$Q$2902,T$2,0)&lt;&gt;D2406,"Beam Revised","")</f>
        <v>#N/A</v>
      </c>
      <c r="U2406" s="7" t="e">
        <f>IF(VLOOKUP($A2406,'Concrete Beam Schedule'!$A$2:$Q$2902,U$2,0)&lt;&gt;E2406,"Beam Revised","")</f>
        <v>#N/A</v>
      </c>
      <c r="V2406" s="7" t="e">
        <f>IF(VLOOKUP($A2406,'Concrete Beam Schedule'!$A$2:$Q$2902,V$2,0)&lt;&gt;F2406,"Beam Revised","")</f>
        <v>#N/A</v>
      </c>
      <c r="W2406" s="7" t="e">
        <f>IF(VLOOKUP($A2406,'Concrete Beam Schedule'!$A$2:$Q$2902,W$2,0)&lt;&gt;G2406,"Beam Revised","")</f>
        <v>#N/A</v>
      </c>
      <c r="X2406" s="7" t="e">
        <f>IF(VLOOKUP($A2406,'Concrete Beam Schedule'!$A$2:$Q$2902,X$2,0)&lt;&gt;H2406,"Beam Revised","")</f>
        <v>#N/A</v>
      </c>
      <c r="Y2406" s="7" t="e">
        <f>IF(VLOOKUP($A2406,'Concrete Beam Schedule'!$A$2:$Q$2902,Y$2,0)&lt;&gt;I2406,"Beam Revised","")</f>
        <v>#N/A</v>
      </c>
      <c r="Z2406" s="7" t="e">
        <f>IF(VLOOKUP($A2406,'Concrete Beam Schedule'!$A$2:$Q$2902,Z$2,0)&lt;&gt;J2406,"Beam Revised","")</f>
        <v>#N/A</v>
      </c>
      <c r="AA2406" s="7" t="e">
        <f>IF(VLOOKUP($A2406,'Concrete Beam Schedule'!$A$2:$Q$2902,AA$2,0)&lt;&gt;K2406,"Beam Revised","")</f>
        <v>#N/A</v>
      </c>
      <c r="AB2406" s="7" t="e">
        <f>IF(VLOOKUP($A2406,'Concrete Beam Schedule'!$A$2:$Q$2902,AB$2,0)&lt;&gt;L2406,"Beam Revised","")</f>
        <v>#N/A</v>
      </c>
      <c r="AC2406" s="7" t="e">
        <f>IF(VLOOKUP($A2406,'Concrete Beam Schedule'!$A$2:$Q$2902,AC$2,0)&lt;&gt;M2406,"Beam Revised","")</f>
        <v>#N/A</v>
      </c>
      <c r="AD2406" s="7" t="e">
        <f>IF(VLOOKUP($A2406,'Concrete Beam Schedule'!$A$2:$Q$2902,AD$2,0)&lt;&gt;N2406,"Beam Revised","")</f>
        <v>#N/A</v>
      </c>
      <c r="AE2406" s="7" t="e">
        <f>IF(VLOOKUP($A2406,'Concrete Beam Schedule'!$A$2:$Q$2902,AE$2,0)&lt;&gt;O2406,"Beam Revised","")</f>
        <v>#N/A</v>
      </c>
    </row>
    <row r="2407" spans="17:31" ht="20.100000000000001" customHeight="1" x14ac:dyDescent="0.25">
      <c r="Q2407" s="7">
        <f t="shared" si="37"/>
        <v>0</v>
      </c>
      <c r="R2407" s="7" t="e">
        <f>IF(VLOOKUP($A2407,'Concrete Beam Schedule'!$A$2:$Q$2902,R$2,0)&lt;&gt;B2407,VLOOKUP($A2407,'Concrete Beam Schedule'!$A$2:$Q$2902,R$2,0),"")</f>
        <v>#N/A</v>
      </c>
      <c r="S2407" s="7" t="e">
        <f>IF(VLOOKUP($A2407,'Concrete Beam Schedule'!$A$2:$Q$2902,S$2,0)&lt;&gt;C2407,VLOOKUP($A2407,'Concrete Beam Schedule'!$A$2:$Q$2902,S$2,0),"")</f>
        <v>#N/A</v>
      </c>
      <c r="T2407" s="7" t="e">
        <f>IF(VLOOKUP($A2407,'Concrete Beam Schedule'!$A$2:$Q$2902,T$2,0)&lt;&gt;D2407,"Beam Revised","")</f>
        <v>#N/A</v>
      </c>
      <c r="U2407" s="7" t="e">
        <f>IF(VLOOKUP($A2407,'Concrete Beam Schedule'!$A$2:$Q$2902,U$2,0)&lt;&gt;E2407,"Beam Revised","")</f>
        <v>#N/A</v>
      </c>
      <c r="V2407" s="7" t="e">
        <f>IF(VLOOKUP($A2407,'Concrete Beam Schedule'!$A$2:$Q$2902,V$2,0)&lt;&gt;F2407,"Beam Revised","")</f>
        <v>#N/A</v>
      </c>
      <c r="W2407" s="7" t="e">
        <f>IF(VLOOKUP($A2407,'Concrete Beam Schedule'!$A$2:$Q$2902,W$2,0)&lt;&gt;G2407,"Beam Revised","")</f>
        <v>#N/A</v>
      </c>
      <c r="X2407" s="7" t="e">
        <f>IF(VLOOKUP($A2407,'Concrete Beam Schedule'!$A$2:$Q$2902,X$2,0)&lt;&gt;H2407,"Beam Revised","")</f>
        <v>#N/A</v>
      </c>
      <c r="Y2407" s="7" t="e">
        <f>IF(VLOOKUP($A2407,'Concrete Beam Schedule'!$A$2:$Q$2902,Y$2,0)&lt;&gt;I2407,"Beam Revised","")</f>
        <v>#N/A</v>
      </c>
      <c r="Z2407" s="7" t="e">
        <f>IF(VLOOKUP($A2407,'Concrete Beam Schedule'!$A$2:$Q$2902,Z$2,0)&lt;&gt;J2407,"Beam Revised","")</f>
        <v>#N/A</v>
      </c>
      <c r="AA2407" s="7" t="e">
        <f>IF(VLOOKUP($A2407,'Concrete Beam Schedule'!$A$2:$Q$2902,AA$2,0)&lt;&gt;K2407,"Beam Revised","")</f>
        <v>#N/A</v>
      </c>
      <c r="AB2407" s="7" t="e">
        <f>IF(VLOOKUP($A2407,'Concrete Beam Schedule'!$A$2:$Q$2902,AB$2,0)&lt;&gt;L2407,"Beam Revised","")</f>
        <v>#N/A</v>
      </c>
      <c r="AC2407" s="7" t="e">
        <f>IF(VLOOKUP($A2407,'Concrete Beam Schedule'!$A$2:$Q$2902,AC$2,0)&lt;&gt;M2407,"Beam Revised","")</f>
        <v>#N/A</v>
      </c>
      <c r="AD2407" s="7" t="e">
        <f>IF(VLOOKUP($A2407,'Concrete Beam Schedule'!$A$2:$Q$2902,AD$2,0)&lt;&gt;N2407,"Beam Revised","")</f>
        <v>#N/A</v>
      </c>
      <c r="AE2407" s="7" t="e">
        <f>IF(VLOOKUP($A2407,'Concrete Beam Schedule'!$A$2:$Q$2902,AE$2,0)&lt;&gt;O2407,"Beam Revised","")</f>
        <v>#N/A</v>
      </c>
    </row>
    <row r="2408" spans="17:31" ht="20.100000000000001" customHeight="1" x14ac:dyDescent="0.25">
      <c r="Q2408" s="7">
        <f t="shared" si="37"/>
        <v>0</v>
      </c>
      <c r="R2408" s="7" t="e">
        <f>IF(VLOOKUP($A2408,'Concrete Beam Schedule'!$A$2:$Q$2902,R$2,0)&lt;&gt;B2408,VLOOKUP($A2408,'Concrete Beam Schedule'!$A$2:$Q$2902,R$2,0),"")</f>
        <v>#N/A</v>
      </c>
      <c r="S2408" s="7" t="e">
        <f>IF(VLOOKUP($A2408,'Concrete Beam Schedule'!$A$2:$Q$2902,S$2,0)&lt;&gt;C2408,VLOOKUP($A2408,'Concrete Beam Schedule'!$A$2:$Q$2902,S$2,0),"")</f>
        <v>#N/A</v>
      </c>
      <c r="T2408" s="7" t="e">
        <f>IF(VLOOKUP($A2408,'Concrete Beam Schedule'!$A$2:$Q$2902,T$2,0)&lt;&gt;D2408,"Beam Revised","")</f>
        <v>#N/A</v>
      </c>
      <c r="U2408" s="7" t="e">
        <f>IF(VLOOKUP($A2408,'Concrete Beam Schedule'!$A$2:$Q$2902,U$2,0)&lt;&gt;E2408,"Beam Revised","")</f>
        <v>#N/A</v>
      </c>
      <c r="V2408" s="7" t="e">
        <f>IF(VLOOKUP($A2408,'Concrete Beam Schedule'!$A$2:$Q$2902,V$2,0)&lt;&gt;F2408,"Beam Revised","")</f>
        <v>#N/A</v>
      </c>
      <c r="W2408" s="7" t="e">
        <f>IF(VLOOKUP($A2408,'Concrete Beam Schedule'!$A$2:$Q$2902,W$2,0)&lt;&gt;G2408,"Beam Revised","")</f>
        <v>#N/A</v>
      </c>
      <c r="X2408" s="7" t="e">
        <f>IF(VLOOKUP($A2408,'Concrete Beam Schedule'!$A$2:$Q$2902,X$2,0)&lt;&gt;H2408,"Beam Revised","")</f>
        <v>#N/A</v>
      </c>
      <c r="Y2408" s="7" t="e">
        <f>IF(VLOOKUP($A2408,'Concrete Beam Schedule'!$A$2:$Q$2902,Y$2,0)&lt;&gt;I2408,"Beam Revised","")</f>
        <v>#N/A</v>
      </c>
      <c r="Z2408" s="7" t="e">
        <f>IF(VLOOKUP($A2408,'Concrete Beam Schedule'!$A$2:$Q$2902,Z$2,0)&lt;&gt;J2408,"Beam Revised","")</f>
        <v>#N/A</v>
      </c>
      <c r="AA2408" s="7" t="e">
        <f>IF(VLOOKUP($A2408,'Concrete Beam Schedule'!$A$2:$Q$2902,AA$2,0)&lt;&gt;K2408,"Beam Revised","")</f>
        <v>#N/A</v>
      </c>
      <c r="AB2408" s="7" t="e">
        <f>IF(VLOOKUP($A2408,'Concrete Beam Schedule'!$A$2:$Q$2902,AB$2,0)&lt;&gt;L2408,"Beam Revised","")</f>
        <v>#N/A</v>
      </c>
      <c r="AC2408" s="7" t="e">
        <f>IF(VLOOKUP($A2408,'Concrete Beam Schedule'!$A$2:$Q$2902,AC$2,0)&lt;&gt;M2408,"Beam Revised","")</f>
        <v>#N/A</v>
      </c>
      <c r="AD2408" s="7" t="e">
        <f>IF(VLOOKUP($A2408,'Concrete Beam Schedule'!$A$2:$Q$2902,AD$2,0)&lt;&gt;N2408,"Beam Revised","")</f>
        <v>#N/A</v>
      </c>
      <c r="AE2408" s="7" t="e">
        <f>IF(VLOOKUP($A2408,'Concrete Beam Schedule'!$A$2:$Q$2902,AE$2,0)&lt;&gt;O2408,"Beam Revised","")</f>
        <v>#N/A</v>
      </c>
    </row>
    <row r="2409" spans="17:31" ht="20.100000000000001" customHeight="1" x14ac:dyDescent="0.25">
      <c r="Q2409" s="7">
        <f t="shared" si="37"/>
        <v>0</v>
      </c>
      <c r="R2409" s="7" t="e">
        <f>IF(VLOOKUP($A2409,'Concrete Beam Schedule'!$A$2:$Q$2902,R$2,0)&lt;&gt;B2409,VLOOKUP($A2409,'Concrete Beam Schedule'!$A$2:$Q$2902,R$2,0),"")</f>
        <v>#N/A</v>
      </c>
      <c r="S2409" s="7" t="e">
        <f>IF(VLOOKUP($A2409,'Concrete Beam Schedule'!$A$2:$Q$2902,S$2,0)&lt;&gt;C2409,VLOOKUP($A2409,'Concrete Beam Schedule'!$A$2:$Q$2902,S$2,0),"")</f>
        <v>#N/A</v>
      </c>
      <c r="T2409" s="7" t="e">
        <f>IF(VLOOKUP($A2409,'Concrete Beam Schedule'!$A$2:$Q$2902,T$2,0)&lt;&gt;D2409,"Beam Revised","")</f>
        <v>#N/A</v>
      </c>
      <c r="U2409" s="7" t="e">
        <f>IF(VLOOKUP($A2409,'Concrete Beam Schedule'!$A$2:$Q$2902,U$2,0)&lt;&gt;E2409,"Beam Revised","")</f>
        <v>#N/A</v>
      </c>
      <c r="V2409" s="7" t="e">
        <f>IF(VLOOKUP($A2409,'Concrete Beam Schedule'!$A$2:$Q$2902,V$2,0)&lt;&gt;F2409,"Beam Revised","")</f>
        <v>#N/A</v>
      </c>
      <c r="W2409" s="7" t="e">
        <f>IF(VLOOKUP($A2409,'Concrete Beam Schedule'!$A$2:$Q$2902,W$2,0)&lt;&gt;G2409,"Beam Revised","")</f>
        <v>#N/A</v>
      </c>
      <c r="X2409" s="7" t="e">
        <f>IF(VLOOKUP($A2409,'Concrete Beam Schedule'!$A$2:$Q$2902,X$2,0)&lt;&gt;H2409,"Beam Revised","")</f>
        <v>#N/A</v>
      </c>
      <c r="Y2409" s="7" t="e">
        <f>IF(VLOOKUP($A2409,'Concrete Beam Schedule'!$A$2:$Q$2902,Y$2,0)&lt;&gt;I2409,"Beam Revised","")</f>
        <v>#N/A</v>
      </c>
      <c r="Z2409" s="7" t="e">
        <f>IF(VLOOKUP($A2409,'Concrete Beam Schedule'!$A$2:$Q$2902,Z$2,0)&lt;&gt;J2409,"Beam Revised","")</f>
        <v>#N/A</v>
      </c>
      <c r="AA2409" s="7" t="e">
        <f>IF(VLOOKUP($A2409,'Concrete Beam Schedule'!$A$2:$Q$2902,AA$2,0)&lt;&gt;K2409,"Beam Revised","")</f>
        <v>#N/A</v>
      </c>
      <c r="AB2409" s="7" t="e">
        <f>IF(VLOOKUP($A2409,'Concrete Beam Schedule'!$A$2:$Q$2902,AB$2,0)&lt;&gt;L2409,"Beam Revised","")</f>
        <v>#N/A</v>
      </c>
      <c r="AC2409" s="7" t="e">
        <f>IF(VLOOKUP($A2409,'Concrete Beam Schedule'!$A$2:$Q$2902,AC$2,0)&lt;&gt;M2409,"Beam Revised","")</f>
        <v>#N/A</v>
      </c>
      <c r="AD2409" s="7" t="e">
        <f>IF(VLOOKUP($A2409,'Concrete Beam Schedule'!$A$2:$Q$2902,AD$2,0)&lt;&gt;N2409,"Beam Revised","")</f>
        <v>#N/A</v>
      </c>
      <c r="AE2409" s="7" t="e">
        <f>IF(VLOOKUP($A2409,'Concrete Beam Schedule'!$A$2:$Q$2902,AE$2,0)&lt;&gt;O2409,"Beam Revised","")</f>
        <v>#N/A</v>
      </c>
    </row>
    <row r="2410" spans="17:31" ht="20.100000000000001" customHeight="1" x14ac:dyDescent="0.25">
      <c r="Q2410" s="7">
        <f t="shared" si="37"/>
        <v>0</v>
      </c>
      <c r="R2410" s="7" t="e">
        <f>IF(VLOOKUP($A2410,'Concrete Beam Schedule'!$A$2:$Q$2902,R$2,0)&lt;&gt;B2410,VLOOKUP($A2410,'Concrete Beam Schedule'!$A$2:$Q$2902,R$2,0),"")</f>
        <v>#N/A</v>
      </c>
      <c r="S2410" s="7" t="e">
        <f>IF(VLOOKUP($A2410,'Concrete Beam Schedule'!$A$2:$Q$2902,S$2,0)&lt;&gt;C2410,VLOOKUP($A2410,'Concrete Beam Schedule'!$A$2:$Q$2902,S$2,0),"")</f>
        <v>#N/A</v>
      </c>
      <c r="T2410" s="7" t="e">
        <f>IF(VLOOKUP($A2410,'Concrete Beam Schedule'!$A$2:$Q$2902,T$2,0)&lt;&gt;D2410,"Beam Revised","")</f>
        <v>#N/A</v>
      </c>
      <c r="U2410" s="7" t="e">
        <f>IF(VLOOKUP($A2410,'Concrete Beam Schedule'!$A$2:$Q$2902,U$2,0)&lt;&gt;E2410,"Beam Revised","")</f>
        <v>#N/A</v>
      </c>
      <c r="V2410" s="7" t="e">
        <f>IF(VLOOKUP($A2410,'Concrete Beam Schedule'!$A$2:$Q$2902,V$2,0)&lt;&gt;F2410,"Beam Revised","")</f>
        <v>#N/A</v>
      </c>
      <c r="W2410" s="7" t="e">
        <f>IF(VLOOKUP($A2410,'Concrete Beam Schedule'!$A$2:$Q$2902,W$2,0)&lt;&gt;G2410,"Beam Revised","")</f>
        <v>#N/A</v>
      </c>
      <c r="X2410" s="7" t="e">
        <f>IF(VLOOKUP($A2410,'Concrete Beam Schedule'!$A$2:$Q$2902,X$2,0)&lt;&gt;H2410,"Beam Revised","")</f>
        <v>#N/A</v>
      </c>
      <c r="Y2410" s="7" t="e">
        <f>IF(VLOOKUP($A2410,'Concrete Beam Schedule'!$A$2:$Q$2902,Y$2,0)&lt;&gt;I2410,"Beam Revised","")</f>
        <v>#N/A</v>
      </c>
      <c r="Z2410" s="7" t="e">
        <f>IF(VLOOKUP($A2410,'Concrete Beam Schedule'!$A$2:$Q$2902,Z$2,0)&lt;&gt;J2410,"Beam Revised","")</f>
        <v>#N/A</v>
      </c>
      <c r="AA2410" s="7" t="e">
        <f>IF(VLOOKUP($A2410,'Concrete Beam Schedule'!$A$2:$Q$2902,AA$2,0)&lt;&gt;K2410,"Beam Revised","")</f>
        <v>#N/A</v>
      </c>
      <c r="AB2410" s="7" t="e">
        <f>IF(VLOOKUP($A2410,'Concrete Beam Schedule'!$A$2:$Q$2902,AB$2,0)&lt;&gt;L2410,"Beam Revised","")</f>
        <v>#N/A</v>
      </c>
      <c r="AC2410" s="7" t="e">
        <f>IF(VLOOKUP($A2410,'Concrete Beam Schedule'!$A$2:$Q$2902,AC$2,0)&lt;&gt;M2410,"Beam Revised","")</f>
        <v>#N/A</v>
      </c>
      <c r="AD2410" s="7" t="e">
        <f>IF(VLOOKUP($A2410,'Concrete Beam Schedule'!$A$2:$Q$2902,AD$2,0)&lt;&gt;N2410,"Beam Revised","")</f>
        <v>#N/A</v>
      </c>
      <c r="AE2410" s="7" t="e">
        <f>IF(VLOOKUP($A2410,'Concrete Beam Schedule'!$A$2:$Q$2902,AE$2,0)&lt;&gt;O2410,"Beam Revised","")</f>
        <v>#N/A</v>
      </c>
    </row>
    <row r="2411" spans="17:31" ht="20.100000000000001" customHeight="1" x14ac:dyDescent="0.25">
      <c r="Q2411" s="7">
        <f t="shared" si="37"/>
        <v>0</v>
      </c>
      <c r="R2411" s="7" t="e">
        <f>IF(VLOOKUP($A2411,'Concrete Beam Schedule'!$A$2:$Q$2902,R$2,0)&lt;&gt;B2411,VLOOKUP($A2411,'Concrete Beam Schedule'!$A$2:$Q$2902,R$2,0),"")</f>
        <v>#N/A</v>
      </c>
      <c r="S2411" s="7" t="e">
        <f>IF(VLOOKUP($A2411,'Concrete Beam Schedule'!$A$2:$Q$2902,S$2,0)&lt;&gt;C2411,VLOOKUP($A2411,'Concrete Beam Schedule'!$A$2:$Q$2902,S$2,0),"")</f>
        <v>#N/A</v>
      </c>
      <c r="T2411" s="7" t="e">
        <f>IF(VLOOKUP($A2411,'Concrete Beam Schedule'!$A$2:$Q$2902,T$2,0)&lt;&gt;D2411,"Beam Revised","")</f>
        <v>#N/A</v>
      </c>
      <c r="U2411" s="7" t="e">
        <f>IF(VLOOKUP($A2411,'Concrete Beam Schedule'!$A$2:$Q$2902,U$2,0)&lt;&gt;E2411,"Beam Revised","")</f>
        <v>#N/A</v>
      </c>
      <c r="V2411" s="7" t="e">
        <f>IF(VLOOKUP($A2411,'Concrete Beam Schedule'!$A$2:$Q$2902,V$2,0)&lt;&gt;F2411,"Beam Revised","")</f>
        <v>#N/A</v>
      </c>
      <c r="W2411" s="7" t="e">
        <f>IF(VLOOKUP($A2411,'Concrete Beam Schedule'!$A$2:$Q$2902,W$2,0)&lt;&gt;G2411,"Beam Revised","")</f>
        <v>#N/A</v>
      </c>
      <c r="X2411" s="7" t="e">
        <f>IF(VLOOKUP($A2411,'Concrete Beam Schedule'!$A$2:$Q$2902,X$2,0)&lt;&gt;H2411,"Beam Revised","")</f>
        <v>#N/A</v>
      </c>
      <c r="Y2411" s="7" t="e">
        <f>IF(VLOOKUP($A2411,'Concrete Beam Schedule'!$A$2:$Q$2902,Y$2,0)&lt;&gt;I2411,"Beam Revised","")</f>
        <v>#N/A</v>
      </c>
      <c r="Z2411" s="7" t="e">
        <f>IF(VLOOKUP($A2411,'Concrete Beam Schedule'!$A$2:$Q$2902,Z$2,0)&lt;&gt;J2411,"Beam Revised","")</f>
        <v>#N/A</v>
      </c>
      <c r="AA2411" s="7" t="e">
        <f>IF(VLOOKUP($A2411,'Concrete Beam Schedule'!$A$2:$Q$2902,AA$2,0)&lt;&gt;K2411,"Beam Revised","")</f>
        <v>#N/A</v>
      </c>
      <c r="AB2411" s="7" t="e">
        <f>IF(VLOOKUP($A2411,'Concrete Beam Schedule'!$A$2:$Q$2902,AB$2,0)&lt;&gt;L2411,"Beam Revised","")</f>
        <v>#N/A</v>
      </c>
      <c r="AC2411" s="7" t="e">
        <f>IF(VLOOKUP($A2411,'Concrete Beam Schedule'!$A$2:$Q$2902,AC$2,0)&lt;&gt;M2411,"Beam Revised","")</f>
        <v>#N/A</v>
      </c>
      <c r="AD2411" s="7" t="e">
        <f>IF(VLOOKUP($A2411,'Concrete Beam Schedule'!$A$2:$Q$2902,AD$2,0)&lt;&gt;N2411,"Beam Revised","")</f>
        <v>#N/A</v>
      </c>
      <c r="AE2411" s="7" t="e">
        <f>IF(VLOOKUP($A2411,'Concrete Beam Schedule'!$A$2:$Q$2902,AE$2,0)&lt;&gt;O2411,"Beam Revised","")</f>
        <v>#N/A</v>
      </c>
    </row>
    <row r="2412" spans="17:31" ht="20.100000000000001" customHeight="1" x14ac:dyDescent="0.25">
      <c r="Q2412" s="7">
        <f t="shared" si="37"/>
        <v>0</v>
      </c>
      <c r="R2412" s="7" t="e">
        <f>IF(VLOOKUP($A2412,'Concrete Beam Schedule'!$A$2:$Q$2902,R$2,0)&lt;&gt;B2412,VLOOKUP($A2412,'Concrete Beam Schedule'!$A$2:$Q$2902,R$2,0),"")</f>
        <v>#N/A</v>
      </c>
      <c r="S2412" s="7" t="e">
        <f>IF(VLOOKUP($A2412,'Concrete Beam Schedule'!$A$2:$Q$2902,S$2,0)&lt;&gt;C2412,VLOOKUP($A2412,'Concrete Beam Schedule'!$A$2:$Q$2902,S$2,0),"")</f>
        <v>#N/A</v>
      </c>
      <c r="T2412" s="7" t="e">
        <f>IF(VLOOKUP($A2412,'Concrete Beam Schedule'!$A$2:$Q$2902,T$2,0)&lt;&gt;D2412,"Beam Revised","")</f>
        <v>#N/A</v>
      </c>
      <c r="U2412" s="7" t="e">
        <f>IF(VLOOKUP($A2412,'Concrete Beam Schedule'!$A$2:$Q$2902,U$2,0)&lt;&gt;E2412,"Beam Revised","")</f>
        <v>#N/A</v>
      </c>
      <c r="V2412" s="7" t="e">
        <f>IF(VLOOKUP($A2412,'Concrete Beam Schedule'!$A$2:$Q$2902,V$2,0)&lt;&gt;F2412,"Beam Revised","")</f>
        <v>#N/A</v>
      </c>
      <c r="W2412" s="7" t="e">
        <f>IF(VLOOKUP($A2412,'Concrete Beam Schedule'!$A$2:$Q$2902,W$2,0)&lt;&gt;G2412,"Beam Revised","")</f>
        <v>#N/A</v>
      </c>
      <c r="X2412" s="7" t="e">
        <f>IF(VLOOKUP($A2412,'Concrete Beam Schedule'!$A$2:$Q$2902,X$2,0)&lt;&gt;H2412,"Beam Revised","")</f>
        <v>#N/A</v>
      </c>
      <c r="Y2412" s="7" t="e">
        <f>IF(VLOOKUP($A2412,'Concrete Beam Schedule'!$A$2:$Q$2902,Y$2,0)&lt;&gt;I2412,"Beam Revised","")</f>
        <v>#N/A</v>
      </c>
      <c r="Z2412" s="7" t="e">
        <f>IF(VLOOKUP($A2412,'Concrete Beam Schedule'!$A$2:$Q$2902,Z$2,0)&lt;&gt;J2412,"Beam Revised","")</f>
        <v>#N/A</v>
      </c>
      <c r="AA2412" s="7" t="e">
        <f>IF(VLOOKUP($A2412,'Concrete Beam Schedule'!$A$2:$Q$2902,AA$2,0)&lt;&gt;K2412,"Beam Revised","")</f>
        <v>#N/A</v>
      </c>
      <c r="AB2412" s="7" t="e">
        <f>IF(VLOOKUP($A2412,'Concrete Beam Schedule'!$A$2:$Q$2902,AB$2,0)&lt;&gt;L2412,"Beam Revised","")</f>
        <v>#N/A</v>
      </c>
      <c r="AC2412" s="7" t="e">
        <f>IF(VLOOKUP($A2412,'Concrete Beam Schedule'!$A$2:$Q$2902,AC$2,0)&lt;&gt;M2412,"Beam Revised","")</f>
        <v>#N/A</v>
      </c>
      <c r="AD2412" s="7" t="e">
        <f>IF(VLOOKUP($A2412,'Concrete Beam Schedule'!$A$2:$Q$2902,AD$2,0)&lt;&gt;N2412,"Beam Revised","")</f>
        <v>#N/A</v>
      </c>
      <c r="AE2412" s="7" t="e">
        <f>IF(VLOOKUP($A2412,'Concrete Beam Schedule'!$A$2:$Q$2902,AE$2,0)&lt;&gt;O2412,"Beam Revised","")</f>
        <v>#N/A</v>
      </c>
    </row>
    <row r="2413" spans="17:31" ht="20.100000000000001" customHeight="1" x14ac:dyDescent="0.25">
      <c r="Q2413" s="7">
        <f t="shared" si="37"/>
        <v>0</v>
      </c>
      <c r="R2413" s="7" t="e">
        <f>IF(VLOOKUP($A2413,'Concrete Beam Schedule'!$A$2:$Q$2902,R$2,0)&lt;&gt;B2413,VLOOKUP($A2413,'Concrete Beam Schedule'!$A$2:$Q$2902,R$2,0),"")</f>
        <v>#N/A</v>
      </c>
      <c r="S2413" s="7" t="e">
        <f>IF(VLOOKUP($A2413,'Concrete Beam Schedule'!$A$2:$Q$2902,S$2,0)&lt;&gt;C2413,VLOOKUP($A2413,'Concrete Beam Schedule'!$A$2:$Q$2902,S$2,0),"")</f>
        <v>#N/A</v>
      </c>
      <c r="T2413" s="7" t="e">
        <f>IF(VLOOKUP($A2413,'Concrete Beam Schedule'!$A$2:$Q$2902,T$2,0)&lt;&gt;D2413,"Beam Revised","")</f>
        <v>#N/A</v>
      </c>
      <c r="U2413" s="7" t="e">
        <f>IF(VLOOKUP($A2413,'Concrete Beam Schedule'!$A$2:$Q$2902,U$2,0)&lt;&gt;E2413,"Beam Revised","")</f>
        <v>#N/A</v>
      </c>
      <c r="V2413" s="7" t="e">
        <f>IF(VLOOKUP($A2413,'Concrete Beam Schedule'!$A$2:$Q$2902,V$2,0)&lt;&gt;F2413,"Beam Revised","")</f>
        <v>#N/A</v>
      </c>
      <c r="W2413" s="7" t="e">
        <f>IF(VLOOKUP($A2413,'Concrete Beam Schedule'!$A$2:$Q$2902,W$2,0)&lt;&gt;G2413,"Beam Revised","")</f>
        <v>#N/A</v>
      </c>
      <c r="X2413" s="7" t="e">
        <f>IF(VLOOKUP($A2413,'Concrete Beam Schedule'!$A$2:$Q$2902,X$2,0)&lt;&gt;H2413,"Beam Revised","")</f>
        <v>#N/A</v>
      </c>
      <c r="Y2413" s="7" t="e">
        <f>IF(VLOOKUP($A2413,'Concrete Beam Schedule'!$A$2:$Q$2902,Y$2,0)&lt;&gt;I2413,"Beam Revised","")</f>
        <v>#N/A</v>
      </c>
      <c r="Z2413" s="7" t="e">
        <f>IF(VLOOKUP($A2413,'Concrete Beam Schedule'!$A$2:$Q$2902,Z$2,0)&lt;&gt;J2413,"Beam Revised","")</f>
        <v>#N/A</v>
      </c>
      <c r="AA2413" s="7" t="e">
        <f>IF(VLOOKUP($A2413,'Concrete Beam Schedule'!$A$2:$Q$2902,AA$2,0)&lt;&gt;K2413,"Beam Revised","")</f>
        <v>#N/A</v>
      </c>
      <c r="AB2413" s="7" t="e">
        <f>IF(VLOOKUP($A2413,'Concrete Beam Schedule'!$A$2:$Q$2902,AB$2,0)&lt;&gt;L2413,"Beam Revised","")</f>
        <v>#N/A</v>
      </c>
      <c r="AC2413" s="7" t="e">
        <f>IF(VLOOKUP($A2413,'Concrete Beam Schedule'!$A$2:$Q$2902,AC$2,0)&lt;&gt;M2413,"Beam Revised","")</f>
        <v>#N/A</v>
      </c>
      <c r="AD2413" s="7" t="e">
        <f>IF(VLOOKUP($A2413,'Concrete Beam Schedule'!$A$2:$Q$2902,AD$2,0)&lt;&gt;N2413,"Beam Revised","")</f>
        <v>#N/A</v>
      </c>
      <c r="AE2413" s="7" t="e">
        <f>IF(VLOOKUP($A2413,'Concrete Beam Schedule'!$A$2:$Q$2902,AE$2,0)&lt;&gt;O2413,"Beam Revised","")</f>
        <v>#N/A</v>
      </c>
    </row>
    <row r="2414" spans="17:31" ht="20.100000000000001" customHeight="1" x14ac:dyDescent="0.25">
      <c r="Q2414" s="7">
        <f t="shared" si="37"/>
        <v>0</v>
      </c>
      <c r="R2414" s="7" t="e">
        <f>IF(VLOOKUP($A2414,'Concrete Beam Schedule'!$A$2:$Q$2902,R$2,0)&lt;&gt;B2414,VLOOKUP($A2414,'Concrete Beam Schedule'!$A$2:$Q$2902,R$2,0),"")</f>
        <v>#N/A</v>
      </c>
      <c r="S2414" s="7" t="e">
        <f>IF(VLOOKUP($A2414,'Concrete Beam Schedule'!$A$2:$Q$2902,S$2,0)&lt;&gt;C2414,VLOOKUP($A2414,'Concrete Beam Schedule'!$A$2:$Q$2902,S$2,0),"")</f>
        <v>#N/A</v>
      </c>
      <c r="T2414" s="7" t="e">
        <f>IF(VLOOKUP($A2414,'Concrete Beam Schedule'!$A$2:$Q$2902,T$2,0)&lt;&gt;D2414,"Beam Revised","")</f>
        <v>#N/A</v>
      </c>
      <c r="U2414" s="7" t="e">
        <f>IF(VLOOKUP($A2414,'Concrete Beam Schedule'!$A$2:$Q$2902,U$2,0)&lt;&gt;E2414,"Beam Revised","")</f>
        <v>#N/A</v>
      </c>
      <c r="V2414" s="7" t="e">
        <f>IF(VLOOKUP($A2414,'Concrete Beam Schedule'!$A$2:$Q$2902,V$2,0)&lt;&gt;F2414,"Beam Revised","")</f>
        <v>#N/A</v>
      </c>
      <c r="W2414" s="7" t="e">
        <f>IF(VLOOKUP($A2414,'Concrete Beam Schedule'!$A$2:$Q$2902,W$2,0)&lt;&gt;G2414,"Beam Revised","")</f>
        <v>#N/A</v>
      </c>
      <c r="X2414" s="7" t="e">
        <f>IF(VLOOKUP($A2414,'Concrete Beam Schedule'!$A$2:$Q$2902,X$2,0)&lt;&gt;H2414,"Beam Revised","")</f>
        <v>#N/A</v>
      </c>
      <c r="Y2414" s="7" t="e">
        <f>IF(VLOOKUP($A2414,'Concrete Beam Schedule'!$A$2:$Q$2902,Y$2,0)&lt;&gt;I2414,"Beam Revised","")</f>
        <v>#N/A</v>
      </c>
      <c r="Z2414" s="7" t="e">
        <f>IF(VLOOKUP($A2414,'Concrete Beam Schedule'!$A$2:$Q$2902,Z$2,0)&lt;&gt;J2414,"Beam Revised","")</f>
        <v>#N/A</v>
      </c>
      <c r="AA2414" s="7" t="e">
        <f>IF(VLOOKUP($A2414,'Concrete Beam Schedule'!$A$2:$Q$2902,AA$2,0)&lt;&gt;K2414,"Beam Revised","")</f>
        <v>#N/A</v>
      </c>
      <c r="AB2414" s="7" t="e">
        <f>IF(VLOOKUP($A2414,'Concrete Beam Schedule'!$A$2:$Q$2902,AB$2,0)&lt;&gt;L2414,"Beam Revised","")</f>
        <v>#N/A</v>
      </c>
      <c r="AC2414" s="7" t="e">
        <f>IF(VLOOKUP($A2414,'Concrete Beam Schedule'!$A$2:$Q$2902,AC$2,0)&lt;&gt;M2414,"Beam Revised","")</f>
        <v>#N/A</v>
      </c>
      <c r="AD2414" s="7" t="e">
        <f>IF(VLOOKUP($A2414,'Concrete Beam Schedule'!$A$2:$Q$2902,AD$2,0)&lt;&gt;N2414,"Beam Revised","")</f>
        <v>#N/A</v>
      </c>
      <c r="AE2414" s="7" t="e">
        <f>IF(VLOOKUP($A2414,'Concrete Beam Schedule'!$A$2:$Q$2902,AE$2,0)&lt;&gt;O2414,"Beam Revised","")</f>
        <v>#N/A</v>
      </c>
    </row>
    <row r="2415" spans="17:31" ht="20.100000000000001" customHeight="1" x14ac:dyDescent="0.25">
      <c r="Q2415" s="7">
        <f t="shared" si="37"/>
        <v>0</v>
      </c>
      <c r="R2415" s="7" t="e">
        <f>IF(VLOOKUP($A2415,'Concrete Beam Schedule'!$A$2:$Q$2902,R$2,0)&lt;&gt;B2415,VLOOKUP($A2415,'Concrete Beam Schedule'!$A$2:$Q$2902,R$2,0),"")</f>
        <v>#N/A</v>
      </c>
      <c r="S2415" s="7" t="e">
        <f>IF(VLOOKUP($A2415,'Concrete Beam Schedule'!$A$2:$Q$2902,S$2,0)&lt;&gt;C2415,VLOOKUP($A2415,'Concrete Beam Schedule'!$A$2:$Q$2902,S$2,0),"")</f>
        <v>#N/A</v>
      </c>
      <c r="T2415" s="7" t="e">
        <f>IF(VLOOKUP($A2415,'Concrete Beam Schedule'!$A$2:$Q$2902,T$2,0)&lt;&gt;D2415,"Beam Revised","")</f>
        <v>#N/A</v>
      </c>
      <c r="U2415" s="7" t="e">
        <f>IF(VLOOKUP($A2415,'Concrete Beam Schedule'!$A$2:$Q$2902,U$2,0)&lt;&gt;E2415,"Beam Revised","")</f>
        <v>#N/A</v>
      </c>
      <c r="V2415" s="7" t="e">
        <f>IF(VLOOKUP($A2415,'Concrete Beam Schedule'!$A$2:$Q$2902,V$2,0)&lt;&gt;F2415,"Beam Revised","")</f>
        <v>#N/A</v>
      </c>
      <c r="W2415" s="7" t="e">
        <f>IF(VLOOKUP($A2415,'Concrete Beam Schedule'!$A$2:$Q$2902,W$2,0)&lt;&gt;G2415,"Beam Revised","")</f>
        <v>#N/A</v>
      </c>
      <c r="X2415" s="7" t="e">
        <f>IF(VLOOKUP($A2415,'Concrete Beam Schedule'!$A$2:$Q$2902,X$2,0)&lt;&gt;H2415,"Beam Revised","")</f>
        <v>#N/A</v>
      </c>
      <c r="Y2415" s="7" t="e">
        <f>IF(VLOOKUP($A2415,'Concrete Beam Schedule'!$A$2:$Q$2902,Y$2,0)&lt;&gt;I2415,"Beam Revised","")</f>
        <v>#N/A</v>
      </c>
      <c r="Z2415" s="7" t="e">
        <f>IF(VLOOKUP($A2415,'Concrete Beam Schedule'!$A$2:$Q$2902,Z$2,0)&lt;&gt;J2415,"Beam Revised","")</f>
        <v>#N/A</v>
      </c>
      <c r="AA2415" s="7" t="e">
        <f>IF(VLOOKUP($A2415,'Concrete Beam Schedule'!$A$2:$Q$2902,AA$2,0)&lt;&gt;K2415,"Beam Revised","")</f>
        <v>#N/A</v>
      </c>
      <c r="AB2415" s="7" t="e">
        <f>IF(VLOOKUP($A2415,'Concrete Beam Schedule'!$A$2:$Q$2902,AB$2,0)&lt;&gt;L2415,"Beam Revised","")</f>
        <v>#N/A</v>
      </c>
      <c r="AC2415" s="7" t="e">
        <f>IF(VLOOKUP($A2415,'Concrete Beam Schedule'!$A$2:$Q$2902,AC$2,0)&lt;&gt;M2415,"Beam Revised","")</f>
        <v>#N/A</v>
      </c>
      <c r="AD2415" s="7" t="e">
        <f>IF(VLOOKUP($A2415,'Concrete Beam Schedule'!$A$2:$Q$2902,AD$2,0)&lt;&gt;N2415,"Beam Revised","")</f>
        <v>#N/A</v>
      </c>
      <c r="AE2415" s="7" t="e">
        <f>IF(VLOOKUP($A2415,'Concrete Beam Schedule'!$A$2:$Q$2902,AE$2,0)&lt;&gt;O2415,"Beam Revised","")</f>
        <v>#N/A</v>
      </c>
    </row>
    <row r="2416" spans="17:31" ht="20.100000000000001" customHeight="1" x14ac:dyDescent="0.25">
      <c r="Q2416" s="7">
        <f t="shared" si="37"/>
        <v>0</v>
      </c>
      <c r="R2416" s="7" t="e">
        <f>IF(VLOOKUP($A2416,'Concrete Beam Schedule'!$A$2:$Q$2902,R$2,0)&lt;&gt;B2416,VLOOKUP($A2416,'Concrete Beam Schedule'!$A$2:$Q$2902,R$2,0),"")</f>
        <v>#N/A</v>
      </c>
      <c r="S2416" s="7" t="e">
        <f>IF(VLOOKUP($A2416,'Concrete Beam Schedule'!$A$2:$Q$2902,S$2,0)&lt;&gt;C2416,VLOOKUP($A2416,'Concrete Beam Schedule'!$A$2:$Q$2902,S$2,0),"")</f>
        <v>#N/A</v>
      </c>
      <c r="T2416" s="7" t="e">
        <f>IF(VLOOKUP($A2416,'Concrete Beam Schedule'!$A$2:$Q$2902,T$2,0)&lt;&gt;D2416,"Beam Revised","")</f>
        <v>#N/A</v>
      </c>
      <c r="U2416" s="7" t="e">
        <f>IF(VLOOKUP($A2416,'Concrete Beam Schedule'!$A$2:$Q$2902,U$2,0)&lt;&gt;E2416,"Beam Revised","")</f>
        <v>#N/A</v>
      </c>
      <c r="V2416" s="7" t="e">
        <f>IF(VLOOKUP($A2416,'Concrete Beam Schedule'!$A$2:$Q$2902,V$2,0)&lt;&gt;F2416,"Beam Revised","")</f>
        <v>#N/A</v>
      </c>
      <c r="W2416" s="7" t="e">
        <f>IF(VLOOKUP($A2416,'Concrete Beam Schedule'!$A$2:$Q$2902,W$2,0)&lt;&gt;G2416,"Beam Revised","")</f>
        <v>#N/A</v>
      </c>
      <c r="X2416" s="7" t="e">
        <f>IF(VLOOKUP($A2416,'Concrete Beam Schedule'!$A$2:$Q$2902,X$2,0)&lt;&gt;H2416,"Beam Revised","")</f>
        <v>#N/A</v>
      </c>
      <c r="Y2416" s="7" t="e">
        <f>IF(VLOOKUP($A2416,'Concrete Beam Schedule'!$A$2:$Q$2902,Y$2,0)&lt;&gt;I2416,"Beam Revised","")</f>
        <v>#N/A</v>
      </c>
      <c r="Z2416" s="7" t="e">
        <f>IF(VLOOKUP($A2416,'Concrete Beam Schedule'!$A$2:$Q$2902,Z$2,0)&lt;&gt;J2416,"Beam Revised","")</f>
        <v>#N/A</v>
      </c>
      <c r="AA2416" s="7" t="e">
        <f>IF(VLOOKUP($A2416,'Concrete Beam Schedule'!$A$2:$Q$2902,AA$2,0)&lt;&gt;K2416,"Beam Revised","")</f>
        <v>#N/A</v>
      </c>
      <c r="AB2416" s="7" t="e">
        <f>IF(VLOOKUP($A2416,'Concrete Beam Schedule'!$A$2:$Q$2902,AB$2,0)&lt;&gt;L2416,"Beam Revised","")</f>
        <v>#N/A</v>
      </c>
      <c r="AC2416" s="7" t="e">
        <f>IF(VLOOKUP($A2416,'Concrete Beam Schedule'!$A$2:$Q$2902,AC$2,0)&lt;&gt;M2416,"Beam Revised","")</f>
        <v>#N/A</v>
      </c>
      <c r="AD2416" s="7" t="e">
        <f>IF(VLOOKUP($A2416,'Concrete Beam Schedule'!$A$2:$Q$2902,AD$2,0)&lt;&gt;N2416,"Beam Revised","")</f>
        <v>#N/A</v>
      </c>
      <c r="AE2416" s="7" t="e">
        <f>IF(VLOOKUP($A2416,'Concrete Beam Schedule'!$A$2:$Q$2902,AE$2,0)&lt;&gt;O2416,"Beam Revised","")</f>
        <v>#N/A</v>
      </c>
    </row>
    <row r="2417" spans="17:31" ht="20.100000000000001" customHeight="1" x14ac:dyDescent="0.25">
      <c r="Q2417" s="7">
        <f t="shared" si="37"/>
        <v>0</v>
      </c>
      <c r="R2417" s="7" t="e">
        <f>IF(VLOOKUP($A2417,'Concrete Beam Schedule'!$A$2:$Q$2902,R$2,0)&lt;&gt;B2417,VLOOKUP($A2417,'Concrete Beam Schedule'!$A$2:$Q$2902,R$2,0),"")</f>
        <v>#N/A</v>
      </c>
      <c r="S2417" s="7" t="e">
        <f>IF(VLOOKUP($A2417,'Concrete Beam Schedule'!$A$2:$Q$2902,S$2,0)&lt;&gt;C2417,VLOOKUP($A2417,'Concrete Beam Schedule'!$A$2:$Q$2902,S$2,0),"")</f>
        <v>#N/A</v>
      </c>
      <c r="T2417" s="7" t="e">
        <f>IF(VLOOKUP($A2417,'Concrete Beam Schedule'!$A$2:$Q$2902,T$2,0)&lt;&gt;D2417,"Beam Revised","")</f>
        <v>#N/A</v>
      </c>
      <c r="U2417" s="7" t="e">
        <f>IF(VLOOKUP($A2417,'Concrete Beam Schedule'!$A$2:$Q$2902,U$2,0)&lt;&gt;E2417,"Beam Revised","")</f>
        <v>#N/A</v>
      </c>
      <c r="V2417" s="7" t="e">
        <f>IF(VLOOKUP($A2417,'Concrete Beam Schedule'!$A$2:$Q$2902,V$2,0)&lt;&gt;F2417,"Beam Revised","")</f>
        <v>#N/A</v>
      </c>
      <c r="W2417" s="7" t="e">
        <f>IF(VLOOKUP($A2417,'Concrete Beam Schedule'!$A$2:$Q$2902,W$2,0)&lt;&gt;G2417,"Beam Revised","")</f>
        <v>#N/A</v>
      </c>
      <c r="X2417" s="7" t="e">
        <f>IF(VLOOKUP($A2417,'Concrete Beam Schedule'!$A$2:$Q$2902,X$2,0)&lt;&gt;H2417,"Beam Revised","")</f>
        <v>#N/A</v>
      </c>
      <c r="Y2417" s="7" t="e">
        <f>IF(VLOOKUP($A2417,'Concrete Beam Schedule'!$A$2:$Q$2902,Y$2,0)&lt;&gt;I2417,"Beam Revised","")</f>
        <v>#N/A</v>
      </c>
      <c r="Z2417" s="7" t="e">
        <f>IF(VLOOKUP($A2417,'Concrete Beam Schedule'!$A$2:$Q$2902,Z$2,0)&lt;&gt;J2417,"Beam Revised","")</f>
        <v>#N/A</v>
      </c>
      <c r="AA2417" s="7" t="e">
        <f>IF(VLOOKUP($A2417,'Concrete Beam Schedule'!$A$2:$Q$2902,AA$2,0)&lt;&gt;K2417,"Beam Revised","")</f>
        <v>#N/A</v>
      </c>
      <c r="AB2417" s="7" t="e">
        <f>IF(VLOOKUP($A2417,'Concrete Beam Schedule'!$A$2:$Q$2902,AB$2,0)&lt;&gt;L2417,"Beam Revised","")</f>
        <v>#N/A</v>
      </c>
      <c r="AC2417" s="7" t="e">
        <f>IF(VLOOKUP($A2417,'Concrete Beam Schedule'!$A$2:$Q$2902,AC$2,0)&lt;&gt;M2417,"Beam Revised","")</f>
        <v>#N/A</v>
      </c>
      <c r="AD2417" s="7" t="e">
        <f>IF(VLOOKUP($A2417,'Concrete Beam Schedule'!$A$2:$Q$2902,AD$2,0)&lt;&gt;N2417,"Beam Revised","")</f>
        <v>#N/A</v>
      </c>
      <c r="AE2417" s="7" t="e">
        <f>IF(VLOOKUP($A2417,'Concrete Beam Schedule'!$A$2:$Q$2902,AE$2,0)&lt;&gt;O2417,"Beam Revised","")</f>
        <v>#N/A</v>
      </c>
    </row>
    <row r="2418" spans="17:31" ht="20.100000000000001" customHeight="1" x14ac:dyDescent="0.25">
      <c r="Q2418" s="7">
        <f t="shared" si="37"/>
        <v>0</v>
      </c>
      <c r="R2418" s="7" t="e">
        <f>IF(VLOOKUP($A2418,'Concrete Beam Schedule'!$A$2:$Q$2902,R$2,0)&lt;&gt;B2418,VLOOKUP($A2418,'Concrete Beam Schedule'!$A$2:$Q$2902,R$2,0),"")</f>
        <v>#N/A</v>
      </c>
      <c r="S2418" s="7" t="e">
        <f>IF(VLOOKUP($A2418,'Concrete Beam Schedule'!$A$2:$Q$2902,S$2,0)&lt;&gt;C2418,VLOOKUP($A2418,'Concrete Beam Schedule'!$A$2:$Q$2902,S$2,0),"")</f>
        <v>#N/A</v>
      </c>
      <c r="T2418" s="7" t="e">
        <f>IF(VLOOKUP($A2418,'Concrete Beam Schedule'!$A$2:$Q$2902,T$2,0)&lt;&gt;D2418,"Beam Revised","")</f>
        <v>#N/A</v>
      </c>
      <c r="U2418" s="7" t="e">
        <f>IF(VLOOKUP($A2418,'Concrete Beam Schedule'!$A$2:$Q$2902,U$2,0)&lt;&gt;E2418,"Beam Revised","")</f>
        <v>#N/A</v>
      </c>
      <c r="V2418" s="7" t="e">
        <f>IF(VLOOKUP($A2418,'Concrete Beam Schedule'!$A$2:$Q$2902,V$2,0)&lt;&gt;F2418,"Beam Revised","")</f>
        <v>#N/A</v>
      </c>
      <c r="W2418" s="7" t="e">
        <f>IF(VLOOKUP($A2418,'Concrete Beam Schedule'!$A$2:$Q$2902,W$2,0)&lt;&gt;G2418,"Beam Revised","")</f>
        <v>#N/A</v>
      </c>
      <c r="X2418" s="7" t="e">
        <f>IF(VLOOKUP($A2418,'Concrete Beam Schedule'!$A$2:$Q$2902,X$2,0)&lt;&gt;H2418,"Beam Revised","")</f>
        <v>#N/A</v>
      </c>
      <c r="Y2418" s="7" t="e">
        <f>IF(VLOOKUP($A2418,'Concrete Beam Schedule'!$A$2:$Q$2902,Y$2,0)&lt;&gt;I2418,"Beam Revised","")</f>
        <v>#N/A</v>
      </c>
      <c r="Z2418" s="7" t="e">
        <f>IF(VLOOKUP($A2418,'Concrete Beam Schedule'!$A$2:$Q$2902,Z$2,0)&lt;&gt;J2418,"Beam Revised","")</f>
        <v>#N/A</v>
      </c>
      <c r="AA2418" s="7" t="e">
        <f>IF(VLOOKUP($A2418,'Concrete Beam Schedule'!$A$2:$Q$2902,AA$2,0)&lt;&gt;K2418,"Beam Revised","")</f>
        <v>#N/A</v>
      </c>
      <c r="AB2418" s="7" t="e">
        <f>IF(VLOOKUP($A2418,'Concrete Beam Schedule'!$A$2:$Q$2902,AB$2,0)&lt;&gt;L2418,"Beam Revised","")</f>
        <v>#N/A</v>
      </c>
      <c r="AC2418" s="7" t="e">
        <f>IF(VLOOKUP($A2418,'Concrete Beam Schedule'!$A$2:$Q$2902,AC$2,0)&lt;&gt;M2418,"Beam Revised","")</f>
        <v>#N/A</v>
      </c>
      <c r="AD2418" s="7" t="e">
        <f>IF(VLOOKUP($A2418,'Concrete Beam Schedule'!$A$2:$Q$2902,AD$2,0)&lt;&gt;N2418,"Beam Revised","")</f>
        <v>#N/A</v>
      </c>
      <c r="AE2418" s="7" t="e">
        <f>IF(VLOOKUP($A2418,'Concrete Beam Schedule'!$A$2:$Q$2902,AE$2,0)&lt;&gt;O2418,"Beam Revised","")</f>
        <v>#N/A</v>
      </c>
    </row>
    <row r="2419" spans="17:31" ht="20.100000000000001" customHeight="1" x14ac:dyDescent="0.25">
      <c r="Q2419" s="7">
        <f t="shared" si="37"/>
        <v>0</v>
      </c>
      <c r="R2419" s="7" t="e">
        <f>IF(VLOOKUP($A2419,'Concrete Beam Schedule'!$A$2:$Q$2902,R$2,0)&lt;&gt;B2419,VLOOKUP($A2419,'Concrete Beam Schedule'!$A$2:$Q$2902,R$2,0),"")</f>
        <v>#N/A</v>
      </c>
      <c r="S2419" s="7" t="e">
        <f>IF(VLOOKUP($A2419,'Concrete Beam Schedule'!$A$2:$Q$2902,S$2,0)&lt;&gt;C2419,VLOOKUP($A2419,'Concrete Beam Schedule'!$A$2:$Q$2902,S$2,0),"")</f>
        <v>#N/A</v>
      </c>
      <c r="T2419" s="7" t="e">
        <f>IF(VLOOKUP($A2419,'Concrete Beam Schedule'!$A$2:$Q$2902,T$2,0)&lt;&gt;D2419,"Beam Revised","")</f>
        <v>#N/A</v>
      </c>
      <c r="U2419" s="7" t="e">
        <f>IF(VLOOKUP($A2419,'Concrete Beam Schedule'!$A$2:$Q$2902,U$2,0)&lt;&gt;E2419,"Beam Revised","")</f>
        <v>#N/A</v>
      </c>
      <c r="V2419" s="7" t="e">
        <f>IF(VLOOKUP($A2419,'Concrete Beam Schedule'!$A$2:$Q$2902,V$2,0)&lt;&gt;F2419,"Beam Revised","")</f>
        <v>#N/A</v>
      </c>
      <c r="W2419" s="7" t="e">
        <f>IF(VLOOKUP($A2419,'Concrete Beam Schedule'!$A$2:$Q$2902,W$2,0)&lt;&gt;G2419,"Beam Revised","")</f>
        <v>#N/A</v>
      </c>
      <c r="X2419" s="7" t="e">
        <f>IF(VLOOKUP($A2419,'Concrete Beam Schedule'!$A$2:$Q$2902,X$2,0)&lt;&gt;H2419,"Beam Revised","")</f>
        <v>#N/A</v>
      </c>
      <c r="Y2419" s="7" t="e">
        <f>IF(VLOOKUP($A2419,'Concrete Beam Schedule'!$A$2:$Q$2902,Y$2,0)&lt;&gt;I2419,"Beam Revised","")</f>
        <v>#N/A</v>
      </c>
      <c r="Z2419" s="7" t="e">
        <f>IF(VLOOKUP($A2419,'Concrete Beam Schedule'!$A$2:$Q$2902,Z$2,0)&lt;&gt;J2419,"Beam Revised","")</f>
        <v>#N/A</v>
      </c>
      <c r="AA2419" s="7" t="e">
        <f>IF(VLOOKUP($A2419,'Concrete Beam Schedule'!$A$2:$Q$2902,AA$2,0)&lt;&gt;K2419,"Beam Revised","")</f>
        <v>#N/A</v>
      </c>
      <c r="AB2419" s="7" t="e">
        <f>IF(VLOOKUP($A2419,'Concrete Beam Schedule'!$A$2:$Q$2902,AB$2,0)&lt;&gt;L2419,"Beam Revised","")</f>
        <v>#N/A</v>
      </c>
      <c r="AC2419" s="7" t="e">
        <f>IF(VLOOKUP($A2419,'Concrete Beam Schedule'!$A$2:$Q$2902,AC$2,0)&lt;&gt;M2419,"Beam Revised","")</f>
        <v>#N/A</v>
      </c>
      <c r="AD2419" s="7" t="e">
        <f>IF(VLOOKUP($A2419,'Concrete Beam Schedule'!$A$2:$Q$2902,AD$2,0)&lt;&gt;N2419,"Beam Revised","")</f>
        <v>#N/A</v>
      </c>
      <c r="AE2419" s="7" t="e">
        <f>IF(VLOOKUP($A2419,'Concrete Beam Schedule'!$A$2:$Q$2902,AE$2,0)&lt;&gt;O2419,"Beam Revised","")</f>
        <v>#N/A</v>
      </c>
    </row>
    <row r="2420" spans="17:31" ht="20.100000000000001" customHeight="1" x14ac:dyDescent="0.25">
      <c r="Q2420" s="7">
        <f t="shared" si="37"/>
        <v>0</v>
      </c>
      <c r="R2420" s="7" t="e">
        <f>IF(VLOOKUP($A2420,'Concrete Beam Schedule'!$A$2:$Q$2902,R$2,0)&lt;&gt;B2420,VLOOKUP($A2420,'Concrete Beam Schedule'!$A$2:$Q$2902,R$2,0),"")</f>
        <v>#N/A</v>
      </c>
      <c r="S2420" s="7" t="e">
        <f>IF(VLOOKUP($A2420,'Concrete Beam Schedule'!$A$2:$Q$2902,S$2,0)&lt;&gt;C2420,VLOOKUP($A2420,'Concrete Beam Schedule'!$A$2:$Q$2902,S$2,0),"")</f>
        <v>#N/A</v>
      </c>
      <c r="T2420" s="7" t="e">
        <f>IF(VLOOKUP($A2420,'Concrete Beam Schedule'!$A$2:$Q$2902,T$2,0)&lt;&gt;D2420,"Beam Revised","")</f>
        <v>#N/A</v>
      </c>
      <c r="U2420" s="7" t="e">
        <f>IF(VLOOKUP($A2420,'Concrete Beam Schedule'!$A$2:$Q$2902,U$2,0)&lt;&gt;E2420,"Beam Revised","")</f>
        <v>#N/A</v>
      </c>
      <c r="V2420" s="7" t="e">
        <f>IF(VLOOKUP($A2420,'Concrete Beam Schedule'!$A$2:$Q$2902,V$2,0)&lt;&gt;F2420,"Beam Revised","")</f>
        <v>#N/A</v>
      </c>
      <c r="W2420" s="7" t="e">
        <f>IF(VLOOKUP($A2420,'Concrete Beam Schedule'!$A$2:$Q$2902,W$2,0)&lt;&gt;G2420,"Beam Revised","")</f>
        <v>#N/A</v>
      </c>
      <c r="X2420" s="7" t="e">
        <f>IF(VLOOKUP($A2420,'Concrete Beam Schedule'!$A$2:$Q$2902,X$2,0)&lt;&gt;H2420,"Beam Revised","")</f>
        <v>#N/A</v>
      </c>
      <c r="Y2420" s="7" t="e">
        <f>IF(VLOOKUP($A2420,'Concrete Beam Schedule'!$A$2:$Q$2902,Y$2,0)&lt;&gt;I2420,"Beam Revised","")</f>
        <v>#N/A</v>
      </c>
      <c r="Z2420" s="7" t="e">
        <f>IF(VLOOKUP($A2420,'Concrete Beam Schedule'!$A$2:$Q$2902,Z$2,0)&lt;&gt;J2420,"Beam Revised","")</f>
        <v>#N/A</v>
      </c>
      <c r="AA2420" s="7" t="e">
        <f>IF(VLOOKUP($A2420,'Concrete Beam Schedule'!$A$2:$Q$2902,AA$2,0)&lt;&gt;K2420,"Beam Revised","")</f>
        <v>#N/A</v>
      </c>
      <c r="AB2420" s="7" t="e">
        <f>IF(VLOOKUP($A2420,'Concrete Beam Schedule'!$A$2:$Q$2902,AB$2,0)&lt;&gt;L2420,"Beam Revised","")</f>
        <v>#N/A</v>
      </c>
      <c r="AC2420" s="7" t="e">
        <f>IF(VLOOKUP($A2420,'Concrete Beam Schedule'!$A$2:$Q$2902,AC$2,0)&lt;&gt;M2420,"Beam Revised","")</f>
        <v>#N/A</v>
      </c>
      <c r="AD2420" s="7" t="e">
        <f>IF(VLOOKUP($A2420,'Concrete Beam Schedule'!$A$2:$Q$2902,AD$2,0)&lt;&gt;N2420,"Beam Revised","")</f>
        <v>#N/A</v>
      </c>
      <c r="AE2420" s="7" t="e">
        <f>IF(VLOOKUP($A2420,'Concrete Beam Schedule'!$A$2:$Q$2902,AE$2,0)&lt;&gt;O2420,"Beam Revised","")</f>
        <v>#N/A</v>
      </c>
    </row>
    <row r="2421" spans="17:31" ht="20.100000000000001" customHeight="1" x14ac:dyDescent="0.25">
      <c r="Q2421" s="7">
        <f t="shared" si="37"/>
        <v>0</v>
      </c>
      <c r="R2421" s="7" t="e">
        <f>IF(VLOOKUP($A2421,'Concrete Beam Schedule'!$A$2:$Q$2902,R$2,0)&lt;&gt;B2421,VLOOKUP($A2421,'Concrete Beam Schedule'!$A$2:$Q$2902,R$2,0),"")</f>
        <v>#N/A</v>
      </c>
      <c r="S2421" s="7" t="e">
        <f>IF(VLOOKUP($A2421,'Concrete Beam Schedule'!$A$2:$Q$2902,S$2,0)&lt;&gt;C2421,VLOOKUP($A2421,'Concrete Beam Schedule'!$A$2:$Q$2902,S$2,0),"")</f>
        <v>#N/A</v>
      </c>
      <c r="T2421" s="7" t="e">
        <f>IF(VLOOKUP($A2421,'Concrete Beam Schedule'!$A$2:$Q$2902,T$2,0)&lt;&gt;D2421,"Beam Revised","")</f>
        <v>#N/A</v>
      </c>
      <c r="U2421" s="7" t="e">
        <f>IF(VLOOKUP($A2421,'Concrete Beam Schedule'!$A$2:$Q$2902,U$2,0)&lt;&gt;E2421,"Beam Revised","")</f>
        <v>#N/A</v>
      </c>
      <c r="V2421" s="7" t="e">
        <f>IF(VLOOKUP($A2421,'Concrete Beam Schedule'!$A$2:$Q$2902,V$2,0)&lt;&gt;F2421,"Beam Revised","")</f>
        <v>#N/A</v>
      </c>
      <c r="W2421" s="7" t="e">
        <f>IF(VLOOKUP($A2421,'Concrete Beam Schedule'!$A$2:$Q$2902,W$2,0)&lt;&gt;G2421,"Beam Revised","")</f>
        <v>#N/A</v>
      </c>
      <c r="X2421" s="7" t="e">
        <f>IF(VLOOKUP($A2421,'Concrete Beam Schedule'!$A$2:$Q$2902,X$2,0)&lt;&gt;H2421,"Beam Revised","")</f>
        <v>#N/A</v>
      </c>
      <c r="Y2421" s="7" t="e">
        <f>IF(VLOOKUP($A2421,'Concrete Beam Schedule'!$A$2:$Q$2902,Y$2,0)&lt;&gt;I2421,"Beam Revised","")</f>
        <v>#N/A</v>
      </c>
      <c r="Z2421" s="7" t="e">
        <f>IF(VLOOKUP($A2421,'Concrete Beam Schedule'!$A$2:$Q$2902,Z$2,0)&lt;&gt;J2421,"Beam Revised","")</f>
        <v>#N/A</v>
      </c>
      <c r="AA2421" s="7" t="e">
        <f>IF(VLOOKUP($A2421,'Concrete Beam Schedule'!$A$2:$Q$2902,AA$2,0)&lt;&gt;K2421,"Beam Revised","")</f>
        <v>#N/A</v>
      </c>
      <c r="AB2421" s="7" t="e">
        <f>IF(VLOOKUP($A2421,'Concrete Beam Schedule'!$A$2:$Q$2902,AB$2,0)&lt;&gt;L2421,"Beam Revised","")</f>
        <v>#N/A</v>
      </c>
      <c r="AC2421" s="7" t="e">
        <f>IF(VLOOKUP($A2421,'Concrete Beam Schedule'!$A$2:$Q$2902,AC$2,0)&lt;&gt;M2421,"Beam Revised","")</f>
        <v>#N/A</v>
      </c>
      <c r="AD2421" s="7" t="e">
        <f>IF(VLOOKUP($A2421,'Concrete Beam Schedule'!$A$2:$Q$2902,AD$2,0)&lt;&gt;N2421,"Beam Revised","")</f>
        <v>#N/A</v>
      </c>
      <c r="AE2421" s="7" t="e">
        <f>IF(VLOOKUP($A2421,'Concrete Beam Schedule'!$A$2:$Q$2902,AE$2,0)&lt;&gt;O2421,"Beam Revised","")</f>
        <v>#N/A</v>
      </c>
    </row>
    <row r="2422" spans="17:31" ht="20.100000000000001" customHeight="1" x14ac:dyDescent="0.25">
      <c r="Q2422" s="7">
        <f t="shared" si="37"/>
        <v>0</v>
      </c>
      <c r="R2422" s="7" t="e">
        <f>IF(VLOOKUP($A2422,'Concrete Beam Schedule'!$A$2:$Q$2902,R$2,0)&lt;&gt;B2422,VLOOKUP($A2422,'Concrete Beam Schedule'!$A$2:$Q$2902,R$2,0),"")</f>
        <v>#N/A</v>
      </c>
      <c r="S2422" s="7" t="e">
        <f>IF(VLOOKUP($A2422,'Concrete Beam Schedule'!$A$2:$Q$2902,S$2,0)&lt;&gt;C2422,VLOOKUP($A2422,'Concrete Beam Schedule'!$A$2:$Q$2902,S$2,0),"")</f>
        <v>#N/A</v>
      </c>
      <c r="T2422" s="7" t="e">
        <f>IF(VLOOKUP($A2422,'Concrete Beam Schedule'!$A$2:$Q$2902,T$2,0)&lt;&gt;D2422,"Beam Revised","")</f>
        <v>#N/A</v>
      </c>
      <c r="U2422" s="7" t="e">
        <f>IF(VLOOKUP($A2422,'Concrete Beam Schedule'!$A$2:$Q$2902,U$2,0)&lt;&gt;E2422,"Beam Revised","")</f>
        <v>#N/A</v>
      </c>
      <c r="V2422" s="7" t="e">
        <f>IF(VLOOKUP($A2422,'Concrete Beam Schedule'!$A$2:$Q$2902,V$2,0)&lt;&gt;F2422,"Beam Revised","")</f>
        <v>#N/A</v>
      </c>
      <c r="W2422" s="7" t="e">
        <f>IF(VLOOKUP($A2422,'Concrete Beam Schedule'!$A$2:$Q$2902,W$2,0)&lt;&gt;G2422,"Beam Revised","")</f>
        <v>#N/A</v>
      </c>
      <c r="X2422" s="7" t="e">
        <f>IF(VLOOKUP($A2422,'Concrete Beam Schedule'!$A$2:$Q$2902,X$2,0)&lt;&gt;H2422,"Beam Revised","")</f>
        <v>#N/A</v>
      </c>
      <c r="Y2422" s="7" t="e">
        <f>IF(VLOOKUP($A2422,'Concrete Beam Schedule'!$A$2:$Q$2902,Y$2,0)&lt;&gt;I2422,"Beam Revised","")</f>
        <v>#N/A</v>
      </c>
      <c r="Z2422" s="7" t="e">
        <f>IF(VLOOKUP($A2422,'Concrete Beam Schedule'!$A$2:$Q$2902,Z$2,0)&lt;&gt;J2422,"Beam Revised","")</f>
        <v>#N/A</v>
      </c>
      <c r="AA2422" s="7" t="e">
        <f>IF(VLOOKUP($A2422,'Concrete Beam Schedule'!$A$2:$Q$2902,AA$2,0)&lt;&gt;K2422,"Beam Revised","")</f>
        <v>#N/A</v>
      </c>
      <c r="AB2422" s="7" t="e">
        <f>IF(VLOOKUP($A2422,'Concrete Beam Schedule'!$A$2:$Q$2902,AB$2,0)&lt;&gt;L2422,"Beam Revised","")</f>
        <v>#N/A</v>
      </c>
      <c r="AC2422" s="7" t="e">
        <f>IF(VLOOKUP($A2422,'Concrete Beam Schedule'!$A$2:$Q$2902,AC$2,0)&lt;&gt;M2422,"Beam Revised","")</f>
        <v>#N/A</v>
      </c>
      <c r="AD2422" s="7" t="e">
        <f>IF(VLOOKUP($A2422,'Concrete Beam Schedule'!$A$2:$Q$2902,AD$2,0)&lt;&gt;N2422,"Beam Revised","")</f>
        <v>#N/A</v>
      </c>
      <c r="AE2422" s="7" t="e">
        <f>IF(VLOOKUP($A2422,'Concrete Beam Schedule'!$A$2:$Q$2902,AE$2,0)&lt;&gt;O2422,"Beam Revised","")</f>
        <v>#N/A</v>
      </c>
    </row>
    <row r="2423" spans="17:31" ht="20.100000000000001" customHeight="1" x14ac:dyDescent="0.25">
      <c r="Q2423" s="7">
        <f t="shared" si="37"/>
        <v>0</v>
      </c>
      <c r="R2423" s="7" t="e">
        <f>IF(VLOOKUP($A2423,'Concrete Beam Schedule'!$A$2:$Q$2902,R$2,0)&lt;&gt;B2423,VLOOKUP($A2423,'Concrete Beam Schedule'!$A$2:$Q$2902,R$2,0),"")</f>
        <v>#N/A</v>
      </c>
      <c r="S2423" s="7" t="e">
        <f>IF(VLOOKUP($A2423,'Concrete Beam Schedule'!$A$2:$Q$2902,S$2,0)&lt;&gt;C2423,VLOOKUP($A2423,'Concrete Beam Schedule'!$A$2:$Q$2902,S$2,0),"")</f>
        <v>#N/A</v>
      </c>
      <c r="T2423" s="7" t="e">
        <f>IF(VLOOKUP($A2423,'Concrete Beam Schedule'!$A$2:$Q$2902,T$2,0)&lt;&gt;D2423,"Beam Revised","")</f>
        <v>#N/A</v>
      </c>
      <c r="U2423" s="7" t="e">
        <f>IF(VLOOKUP($A2423,'Concrete Beam Schedule'!$A$2:$Q$2902,U$2,0)&lt;&gt;E2423,"Beam Revised","")</f>
        <v>#N/A</v>
      </c>
      <c r="V2423" s="7" t="e">
        <f>IF(VLOOKUP($A2423,'Concrete Beam Schedule'!$A$2:$Q$2902,V$2,0)&lt;&gt;F2423,"Beam Revised","")</f>
        <v>#N/A</v>
      </c>
      <c r="W2423" s="7" t="e">
        <f>IF(VLOOKUP($A2423,'Concrete Beam Schedule'!$A$2:$Q$2902,W$2,0)&lt;&gt;G2423,"Beam Revised","")</f>
        <v>#N/A</v>
      </c>
      <c r="X2423" s="7" t="e">
        <f>IF(VLOOKUP($A2423,'Concrete Beam Schedule'!$A$2:$Q$2902,X$2,0)&lt;&gt;H2423,"Beam Revised","")</f>
        <v>#N/A</v>
      </c>
      <c r="Y2423" s="7" t="e">
        <f>IF(VLOOKUP($A2423,'Concrete Beam Schedule'!$A$2:$Q$2902,Y$2,0)&lt;&gt;I2423,"Beam Revised","")</f>
        <v>#N/A</v>
      </c>
      <c r="Z2423" s="7" t="e">
        <f>IF(VLOOKUP($A2423,'Concrete Beam Schedule'!$A$2:$Q$2902,Z$2,0)&lt;&gt;J2423,"Beam Revised","")</f>
        <v>#N/A</v>
      </c>
      <c r="AA2423" s="7" t="e">
        <f>IF(VLOOKUP($A2423,'Concrete Beam Schedule'!$A$2:$Q$2902,AA$2,0)&lt;&gt;K2423,"Beam Revised","")</f>
        <v>#N/A</v>
      </c>
      <c r="AB2423" s="7" t="e">
        <f>IF(VLOOKUP($A2423,'Concrete Beam Schedule'!$A$2:$Q$2902,AB$2,0)&lt;&gt;L2423,"Beam Revised","")</f>
        <v>#N/A</v>
      </c>
      <c r="AC2423" s="7" t="e">
        <f>IF(VLOOKUP($A2423,'Concrete Beam Schedule'!$A$2:$Q$2902,AC$2,0)&lt;&gt;M2423,"Beam Revised","")</f>
        <v>#N/A</v>
      </c>
      <c r="AD2423" s="7" t="e">
        <f>IF(VLOOKUP($A2423,'Concrete Beam Schedule'!$A$2:$Q$2902,AD$2,0)&lt;&gt;N2423,"Beam Revised","")</f>
        <v>#N/A</v>
      </c>
      <c r="AE2423" s="7" t="e">
        <f>IF(VLOOKUP($A2423,'Concrete Beam Schedule'!$A$2:$Q$2902,AE$2,0)&lt;&gt;O2423,"Beam Revised","")</f>
        <v>#N/A</v>
      </c>
    </row>
    <row r="2424" spans="17:31" ht="20.100000000000001" customHeight="1" x14ac:dyDescent="0.25">
      <c r="Q2424" s="7">
        <f t="shared" si="37"/>
        <v>0</v>
      </c>
      <c r="R2424" s="7" t="e">
        <f>IF(VLOOKUP($A2424,'Concrete Beam Schedule'!$A$2:$Q$2902,R$2,0)&lt;&gt;B2424,VLOOKUP($A2424,'Concrete Beam Schedule'!$A$2:$Q$2902,R$2,0),"")</f>
        <v>#N/A</v>
      </c>
      <c r="S2424" s="7" t="e">
        <f>IF(VLOOKUP($A2424,'Concrete Beam Schedule'!$A$2:$Q$2902,S$2,0)&lt;&gt;C2424,VLOOKUP($A2424,'Concrete Beam Schedule'!$A$2:$Q$2902,S$2,0),"")</f>
        <v>#N/A</v>
      </c>
      <c r="T2424" s="7" t="e">
        <f>IF(VLOOKUP($A2424,'Concrete Beam Schedule'!$A$2:$Q$2902,T$2,0)&lt;&gt;D2424,"Beam Revised","")</f>
        <v>#N/A</v>
      </c>
      <c r="U2424" s="7" t="e">
        <f>IF(VLOOKUP($A2424,'Concrete Beam Schedule'!$A$2:$Q$2902,U$2,0)&lt;&gt;E2424,"Beam Revised","")</f>
        <v>#N/A</v>
      </c>
      <c r="V2424" s="7" t="e">
        <f>IF(VLOOKUP($A2424,'Concrete Beam Schedule'!$A$2:$Q$2902,V$2,0)&lt;&gt;F2424,"Beam Revised","")</f>
        <v>#N/A</v>
      </c>
      <c r="W2424" s="7" t="e">
        <f>IF(VLOOKUP($A2424,'Concrete Beam Schedule'!$A$2:$Q$2902,W$2,0)&lt;&gt;G2424,"Beam Revised","")</f>
        <v>#N/A</v>
      </c>
      <c r="X2424" s="7" t="e">
        <f>IF(VLOOKUP($A2424,'Concrete Beam Schedule'!$A$2:$Q$2902,X$2,0)&lt;&gt;H2424,"Beam Revised","")</f>
        <v>#N/A</v>
      </c>
      <c r="Y2424" s="7" t="e">
        <f>IF(VLOOKUP($A2424,'Concrete Beam Schedule'!$A$2:$Q$2902,Y$2,0)&lt;&gt;I2424,"Beam Revised","")</f>
        <v>#N/A</v>
      </c>
      <c r="Z2424" s="7" t="e">
        <f>IF(VLOOKUP($A2424,'Concrete Beam Schedule'!$A$2:$Q$2902,Z$2,0)&lt;&gt;J2424,"Beam Revised","")</f>
        <v>#N/A</v>
      </c>
      <c r="AA2424" s="7" t="e">
        <f>IF(VLOOKUP($A2424,'Concrete Beam Schedule'!$A$2:$Q$2902,AA$2,0)&lt;&gt;K2424,"Beam Revised","")</f>
        <v>#N/A</v>
      </c>
      <c r="AB2424" s="7" t="e">
        <f>IF(VLOOKUP($A2424,'Concrete Beam Schedule'!$A$2:$Q$2902,AB$2,0)&lt;&gt;L2424,"Beam Revised","")</f>
        <v>#N/A</v>
      </c>
      <c r="AC2424" s="7" t="e">
        <f>IF(VLOOKUP($A2424,'Concrete Beam Schedule'!$A$2:$Q$2902,AC$2,0)&lt;&gt;M2424,"Beam Revised","")</f>
        <v>#N/A</v>
      </c>
      <c r="AD2424" s="7" t="e">
        <f>IF(VLOOKUP($A2424,'Concrete Beam Schedule'!$A$2:$Q$2902,AD$2,0)&lt;&gt;N2424,"Beam Revised","")</f>
        <v>#N/A</v>
      </c>
      <c r="AE2424" s="7" t="e">
        <f>IF(VLOOKUP($A2424,'Concrete Beam Schedule'!$A$2:$Q$2902,AE$2,0)&lt;&gt;O2424,"Beam Revised","")</f>
        <v>#N/A</v>
      </c>
    </row>
    <row r="2425" spans="17:31" ht="20.100000000000001" customHeight="1" x14ac:dyDescent="0.25">
      <c r="Q2425" s="7">
        <f t="shared" si="37"/>
        <v>0</v>
      </c>
      <c r="R2425" s="7" t="e">
        <f>IF(VLOOKUP($A2425,'Concrete Beam Schedule'!$A$2:$Q$2902,R$2,0)&lt;&gt;B2425,VLOOKUP($A2425,'Concrete Beam Schedule'!$A$2:$Q$2902,R$2,0),"")</f>
        <v>#N/A</v>
      </c>
      <c r="S2425" s="7" t="e">
        <f>IF(VLOOKUP($A2425,'Concrete Beam Schedule'!$A$2:$Q$2902,S$2,0)&lt;&gt;C2425,VLOOKUP($A2425,'Concrete Beam Schedule'!$A$2:$Q$2902,S$2,0),"")</f>
        <v>#N/A</v>
      </c>
      <c r="T2425" s="7" t="e">
        <f>IF(VLOOKUP($A2425,'Concrete Beam Schedule'!$A$2:$Q$2902,T$2,0)&lt;&gt;D2425,"Beam Revised","")</f>
        <v>#N/A</v>
      </c>
      <c r="U2425" s="7" t="e">
        <f>IF(VLOOKUP($A2425,'Concrete Beam Schedule'!$A$2:$Q$2902,U$2,0)&lt;&gt;E2425,"Beam Revised","")</f>
        <v>#N/A</v>
      </c>
      <c r="V2425" s="7" t="e">
        <f>IF(VLOOKUP($A2425,'Concrete Beam Schedule'!$A$2:$Q$2902,V$2,0)&lt;&gt;F2425,"Beam Revised","")</f>
        <v>#N/A</v>
      </c>
      <c r="W2425" s="7" t="e">
        <f>IF(VLOOKUP($A2425,'Concrete Beam Schedule'!$A$2:$Q$2902,W$2,0)&lt;&gt;G2425,"Beam Revised","")</f>
        <v>#N/A</v>
      </c>
      <c r="X2425" s="7" t="e">
        <f>IF(VLOOKUP($A2425,'Concrete Beam Schedule'!$A$2:$Q$2902,X$2,0)&lt;&gt;H2425,"Beam Revised","")</f>
        <v>#N/A</v>
      </c>
      <c r="Y2425" s="7" t="e">
        <f>IF(VLOOKUP($A2425,'Concrete Beam Schedule'!$A$2:$Q$2902,Y$2,0)&lt;&gt;I2425,"Beam Revised","")</f>
        <v>#N/A</v>
      </c>
      <c r="Z2425" s="7" t="e">
        <f>IF(VLOOKUP($A2425,'Concrete Beam Schedule'!$A$2:$Q$2902,Z$2,0)&lt;&gt;J2425,"Beam Revised","")</f>
        <v>#N/A</v>
      </c>
      <c r="AA2425" s="7" t="e">
        <f>IF(VLOOKUP($A2425,'Concrete Beam Schedule'!$A$2:$Q$2902,AA$2,0)&lt;&gt;K2425,"Beam Revised","")</f>
        <v>#N/A</v>
      </c>
      <c r="AB2425" s="7" t="e">
        <f>IF(VLOOKUP($A2425,'Concrete Beam Schedule'!$A$2:$Q$2902,AB$2,0)&lt;&gt;L2425,"Beam Revised","")</f>
        <v>#N/A</v>
      </c>
      <c r="AC2425" s="7" t="e">
        <f>IF(VLOOKUP($A2425,'Concrete Beam Schedule'!$A$2:$Q$2902,AC$2,0)&lt;&gt;M2425,"Beam Revised","")</f>
        <v>#N/A</v>
      </c>
      <c r="AD2425" s="7" t="e">
        <f>IF(VLOOKUP($A2425,'Concrete Beam Schedule'!$A$2:$Q$2902,AD$2,0)&lt;&gt;N2425,"Beam Revised","")</f>
        <v>#N/A</v>
      </c>
      <c r="AE2425" s="7" t="e">
        <f>IF(VLOOKUP($A2425,'Concrete Beam Schedule'!$A$2:$Q$2902,AE$2,0)&lt;&gt;O2425,"Beam Revised","")</f>
        <v>#N/A</v>
      </c>
    </row>
    <row r="2426" spans="17:31" ht="20.100000000000001" customHeight="1" x14ac:dyDescent="0.25">
      <c r="Q2426" s="7">
        <f t="shared" si="37"/>
        <v>0</v>
      </c>
      <c r="R2426" s="7" t="e">
        <f>IF(VLOOKUP($A2426,'Concrete Beam Schedule'!$A$2:$Q$2902,R$2,0)&lt;&gt;B2426,VLOOKUP($A2426,'Concrete Beam Schedule'!$A$2:$Q$2902,R$2,0),"")</f>
        <v>#N/A</v>
      </c>
      <c r="S2426" s="7" t="e">
        <f>IF(VLOOKUP($A2426,'Concrete Beam Schedule'!$A$2:$Q$2902,S$2,0)&lt;&gt;C2426,VLOOKUP($A2426,'Concrete Beam Schedule'!$A$2:$Q$2902,S$2,0),"")</f>
        <v>#N/A</v>
      </c>
      <c r="T2426" s="7" t="e">
        <f>IF(VLOOKUP($A2426,'Concrete Beam Schedule'!$A$2:$Q$2902,T$2,0)&lt;&gt;D2426,"Beam Revised","")</f>
        <v>#N/A</v>
      </c>
      <c r="U2426" s="7" t="e">
        <f>IF(VLOOKUP($A2426,'Concrete Beam Schedule'!$A$2:$Q$2902,U$2,0)&lt;&gt;E2426,"Beam Revised","")</f>
        <v>#N/A</v>
      </c>
      <c r="V2426" s="7" t="e">
        <f>IF(VLOOKUP($A2426,'Concrete Beam Schedule'!$A$2:$Q$2902,V$2,0)&lt;&gt;F2426,"Beam Revised","")</f>
        <v>#N/A</v>
      </c>
      <c r="W2426" s="7" t="e">
        <f>IF(VLOOKUP($A2426,'Concrete Beam Schedule'!$A$2:$Q$2902,W$2,0)&lt;&gt;G2426,"Beam Revised","")</f>
        <v>#N/A</v>
      </c>
      <c r="X2426" s="7" t="e">
        <f>IF(VLOOKUP($A2426,'Concrete Beam Schedule'!$A$2:$Q$2902,X$2,0)&lt;&gt;H2426,"Beam Revised","")</f>
        <v>#N/A</v>
      </c>
      <c r="Y2426" s="7" t="e">
        <f>IF(VLOOKUP($A2426,'Concrete Beam Schedule'!$A$2:$Q$2902,Y$2,0)&lt;&gt;I2426,"Beam Revised","")</f>
        <v>#N/A</v>
      </c>
      <c r="Z2426" s="7" t="e">
        <f>IF(VLOOKUP($A2426,'Concrete Beam Schedule'!$A$2:$Q$2902,Z$2,0)&lt;&gt;J2426,"Beam Revised","")</f>
        <v>#N/A</v>
      </c>
      <c r="AA2426" s="7" t="e">
        <f>IF(VLOOKUP($A2426,'Concrete Beam Schedule'!$A$2:$Q$2902,AA$2,0)&lt;&gt;K2426,"Beam Revised","")</f>
        <v>#N/A</v>
      </c>
      <c r="AB2426" s="7" t="e">
        <f>IF(VLOOKUP($A2426,'Concrete Beam Schedule'!$A$2:$Q$2902,AB$2,0)&lt;&gt;L2426,"Beam Revised","")</f>
        <v>#N/A</v>
      </c>
      <c r="AC2426" s="7" t="e">
        <f>IF(VLOOKUP($A2426,'Concrete Beam Schedule'!$A$2:$Q$2902,AC$2,0)&lt;&gt;M2426,"Beam Revised","")</f>
        <v>#N/A</v>
      </c>
      <c r="AD2426" s="7" t="e">
        <f>IF(VLOOKUP($A2426,'Concrete Beam Schedule'!$A$2:$Q$2902,AD$2,0)&lt;&gt;N2426,"Beam Revised","")</f>
        <v>#N/A</v>
      </c>
      <c r="AE2426" s="7" t="e">
        <f>IF(VLOOKUP($A2426,'Concrete Beam Schedule'!$A$2:$Q$2902,AE$2,0)&lt;&gt;O2426,"Beam Revised","")</f>
        <v>#N/A</v>
      </c>
    </row>
    <row r="2427" spans="17:31" ht="20.100000000000001" customHeight="1" x14ac:dyDescent="0.25">
      <c r="Q2427" s="7">
        <f t="shared" si="37"/>
        <v>0</v>
      </c>
      <c r="R2427" s="7" t="e">
        <f>IF(VLOOKUP($A2427,'Concrete Beam Schedule'!$A$2:$Q$2902,R$2,0)&lt;&gt;B2427,VLOOKUP($A2427,'Concrete Beam Schedule'!$A$2:$Q$2902,R$2,0),"")</f>
        <v>#N/A</v>
      </c>
      <c r="S2427" s="7" t="e">
        <f>IF(VLOOKUP($A2427,'Concrete Beam Schedule'!$A$2:$Q$2902,S$2,0)&lt;&gt;C2427,VLOOKUP($A2427,'Concrete Beam Schedule'!$A$2:$Q$2902,S$2,0),"")</f>
        <v>#N/A</v>
      </c>
      <c r="T2427" s="7" t="e">
        <f>IF(VLOOKUP($A2427,'Concrete Beam Schedule'!$A$2:$Q$2902,T$2,0)&lt;&gt;D2427,"Beam Revised","")</f>
        <v>#N/A</v>
      </c>
      <c r="U2427" s="7" t="e">
        <f>IF(VLOOKUP($A2427,'Concrete Beam Schedule'!$A$2:$Q$2902,U$2,0)&lt;&gt;E2427,"Beam Revised","")</f>
        <v>#N/A</v>
      </c>
      <c r="V2427" s="7" t="e">
        <f>IF(VLOOKUP($A2427,'Concrete Beam Schedule'!$A$2:$Q$2902,V$2,0)&lt;&gt;F2427,"Beam Revised","")</f>
        <v>#N/A</v>
      </c>
      <c r="W2427" s="7" t="e">
        <f>IF(VLOOKUP($A2427,'Concrete Beam Schedule'!$A$2:$Q$2902,W$2,0)&lt;&gt;G2427,"Beam Revised","")</f>
        <v>#N/A</v>
      </c>
      <c r="X2427" s="7" t="e">
        <f>IF(VLOOKUP($A2427,'Concrete Beam Schedule'!$A$2:$Q$2902,X$2,0)&lt;&gt;H2427,"Beam Revised","")</f>
        <v>#N/A</v>
      </c>
      <c r="Y2427" s="7" t="e">
        <f>IF(VLOOKUP($A2427,'Concrete Beam Schedule'!$A$2:$Q$2902,Y$2,0)&lt;&gt;I2427,"Beam Revised","")</f>
        <v>#N/A</v>
      </c>
      <c r="Z2427" s="7" t="e">
        <f>IF(VLOOKUP($A2427,'Concrete Beam Schedule'!$A$2:$Q$2902,Z$2,0)&lt;&gt;J2427,"Beam Revised","")</f>
        <v>#N/A</v>
      </c>
      <c r="AA2427" s="7" t="e">
        <f>IF(VLOOKUP($A2427,'Concrete Beam Schedule'!$A$2:$Q$2902,AA$2,0)&lt;&gt;K2427,"Beam Revised","")</f>
        <v>#N/A</v>
      </c>
      <c r="AB2427" s="7" t="e">
        <f>IF(VLOOKUP($A2427,'Concrete Beam Schedule'!$A$2:$Q$2902,AB$2,0)&lt;&gt;L2427,"Beam Revised","")</f>
        <v>#N/A</v>
      </c>
      <c r="AC2427" s="7" t="e">
        <f>IF(VLOOKUP($A2427,'Concrete Beam Schedule'!$A$2:$Q$2902,AC$2,0)&lt;&gt;M2427,"Beam Revised","")</f>
        <v>#N/A</v>
      </c>
      <c r="AD2427" s="7" t="e">
        <f>IF(VLOOKUP($A2427,'Concrete Beam Schedule'!$A$2:$Q$2902,AD$2,0)&lt;&gt;N2427,"Beam Revised","")</f>
        <v>#N/A</v>
      </c>
      <c r="AE2427" s="7" t="e">
        <f>IF(VLOOKUP($A2427,'Concrete Beam Schedule'!$A$2:$Q$2902,AE$2,0)&lt;&gt;O2427,"Beam Revised","")</f>
        <v>#N/A</v>
      </c>
    </row>
    <row r="2428" spans="17:31" ht="20.100000000000001" customHeight="1" x14ac:dyDescent="0.25">
      <c r="Q2428" s="7">
        <f t="shared" si="37"/>
        <v>0</v>
      </c>
      <c r="R2428" s="7" t="e">
        <f>IF(VLOOKUP($A2428,'Concrete Beam Schedule'!$A$2:$Q$2902,R$2,0)&lt;&gt;B2428,VLOOKUP($A2428,'Concrete Beam Schedule'!$A$2:$Q$2902,R$2,0),"")</f>
        <v>#N/A</v>
      </c>
      <c r="S2428" s="7" t="e">
        <f>IF(VLOOKUP($A2428,'Concrete Beam Schedule'!$A$2:$Q$2902,S$2,0)&lt;&gt;C2428,VLOOKUP($A2428,'Concrete Beam Schedule'!$A$2:$Q$2902,S$2,0),"")</f>
        <v>#N/A</v>
      </c>
      <c r="T2428" s="7" t="e">
        <f>IF(VLOOKUP($A2428,'Concrete Beam Schedule'!$A$2:$Q$2902,T$2,0)&lt;&gt;D2428,"Beam Revised","")</f>
        <v>#N/A</v>
      </c>
      <c r="U2428" s="7" t="e">
        <f>IF(VLOOKUP($A2428,'Concrete Beam Schedule'!$A$2:$Q$2902,U$2,0)&lt;&gt;E2428,"Beam Revised","")</f>
        <v>#N/A</v>
      </c>
      <c r="V2428" s="7" t="e">
        <f>IF(VLOOKUP($A2428,'Concrete Beam Schedule'!$A$2:$Q$2902,V$2,0)&lt;&gt;F2428,"Beam Revised","")</f>
        <v>#N/A</v>
      </c>
      <c r="W2428" s="7" t="e">
        <f>IF(VLOOKUP($A2428,'Concrete Beam Schedule'!$A$2:$Q$2902,W$2,0)&lt;&gt;G2428,"Beam Revised","")</f>
        <v>#N/A</v>
      </c>
      <c r="X2428" s="7" t="e">
        <f>IF(VLOOKUP($A2428,'Concrete Beam Schedule'!$A$2:$Q$2902,X$2,0)&lt;&gt;H2428,"Beam Revised","")</f>
        <v>#N/A</v>
      </c>
      <c r="Y2428" s="7" t="e">
        <f>IF(VLOOKUP($A2428,'Concrete Beam Schedule'!$A$2:$Q$2902,Y$2,0)&lt;&gt;I2428,"Beam Revised","")</f>
        <v>#N/A</v>
      </c>
      <c r="Z2428" s="7" t="e">
        <f>IF(VLOOKUP($A2428,'Concrete Beam Schedule'!$A$2:$Q$2902,Z$2,0)&lt;&gt;J2428,"Beam Revised","")</f>
        <v>#N/A</v>
      </c>
      <c r="AA2428" s="7" t="e">
        <f>IF(VLOOKUP($A2428,'Concrete Beam Schedule'!$A$2:$Q$2902,AA$2,0)&lt;&gt;K2428,"Beam Revised","")</f>
        <v>#N/A</v>
      </c>
      <c r="AB2428" s="7" t="e">
        <f>IF(VLOOKUP($A2428,'Concrete Beam Schedule'!$A$2:$Q$2902,AB$2,0)&lt;&gt;L2428,"Beam Revised","")</f>
        <v>#N/A</v>
      </c>
      <c r="AC2428" s="7" t="e">
        <f>IF(VLOOKUP($A2428,'Concrete Beam Schedule'!$A$2:$Q$2902,AC$2,0)&lt;&gt;M2428,"Beam Revised","")</f>
        <v>#N/A</v>
      </c>
      <c r="AD2428" s="7" t="e">
        <f>IF(VLOOKUP($A2428,'Concrete Beam Schedule'!$A$2:$Q$2902,AD$2,0)&lt;&gt;N2428,"Beam Revised","")</f>
        <v>#N/A</v>
      </c>
      <c r="AE2428" s="7" t="e">
        <f>IF(VLOOKUP($A2428,'Concrete Beam Schedule'!$A$2:$Q$2902,AE$2,0)&lt;&gt;O2428,"Beam Revised","")</f>
        <v>#N/A</v>
      </c>
    </row>
    <row r="2429" spans="17:31" ht="20.100000000000001" customHeight="1" x14ac:dyDescent="0.25">
      <c r="Q2429" s="7">
        <f t="shared" si="37"/>
        <v>0</v>
      </c>
      <c r="R2429" s="7" t="e">
        <f>IF(VLOOKUP($A2429,'Concrete Beam Schedule'!$A$2:$Q$2902,R$2,0)&lt;&gt;B2429,VLOOKUP($A2429,'Concrete Beam Schedule'!$A$2:$Q$2902,R$2,0),"")</f>
        <v>#N/A</v>
      </c>
      <c r="S2429" s="7" t="e">
        <f>IF(VLOOKUP($A2429,'Concrete Beam Schedule'!$A$2:$Q$2902,S$2,0)&lt;&gt;C2429,VLOOKUP($A2429,'Concrete Beam Schedule'!$A$2:$Q$2902,S$2,0),"")</f>
        <v>#N/A</v>
      </c>
      <c r="T2429" s="7" t="e">
        <f>IF(VLOOKUP($A2429,'Concrete Beam Schedule'!$A$2:$Q$2902,T$2,0)&lt;&gt;D2429,"Beam Revised","")</f>
        <v>#N/A</v>
      </c>
      <c r="U2429" s="7" t="e">
        <f>IF(VLOOKUP($A2429,'Concrete Beam Schedule'!$A$2:$Q$2902,U$2,0)&lt;&gt;E2429,"Beam Revised","")</f>
        <v>#N/A</v>
      </c>
      <c r="V2429" s="7" t="e">
        <f>IF(VLOOKUP($A2429,'Concrete Beam Schedule'!$A$2:$Q$2902,V$2,0)&lt;&gt;F2429,"Beam Revised","")</f>
        <v>#N/A</v>
      </c>
      <c r="W2429" s="7" t="e">
        <f>IF(VLOOKUP($A2429,'Concrete Beam Schedule'!$A$2:$Q$2902,W$2,0)&lt;&gt;G2429,"Beam Revised","")</f>
        <v>#N/A</v>
      </c>
      <c r="X2429" s="7" t="e">
        <f>IF(VLOOKUP($A2429,'Concrete Beam Schedule'!$A$2:$Q$2902,X$2,0)&lt;&gt;H2429,"Beam Revised","")</f>
        <v>#N/A</v>
      </c>
      <c r="Y2429" s="7" t="e">
        <f>IF(VLOOKUP($A2429,'Concrete Beam Schedule'!$A$2:$Q$2902,Y$2,0)&lt;&gt;I2429,"Beam Revised","")</f>
        <v>#N/A</v>
      </c>
      <c r="Z2429" s="7" t="e">
        <f>IF(VLOOKUP($A2429,'Concrete Beam Schedule'!$A$2:$Q$2902,Z$2,0)&lt;&gt;J2429,"Beam Revised","")</f>
        <v>#N/A</v>
      </c>
      <c r="AA2429" s="7" t="e">
        <f>IF(VLOOKUP($A2429,'Concrete Beam Schedule'!$A$2:$Q$2902,AA$2,0)&lt;&gt;K2429,"Beam Revised","")</f>
        <v>#N/A</v>
      </c>
      <c r="AB2429" s="7" t="e">
        <f>IF(VLOOKUP($A2429,'Concrete Beam Schedule'!$A$2:$Q$2902,AB$2,0)&lt;&gt;L2429,"Beam Revised","")</f>
        <v>#N/A</v>
      </c>
      <c r="AC2429" s="7" t="e">
        <f>IF(VLOOKUP($A2429,'Concrete Beam Schedule'!$A$2:$Q$2902,AC$2,0)&lt;&gt;M2429,"Beam Revised","")</f>
        <v>#N/A</v>
      </c>
      <c r="AD2429" s="7" t="e">
        <f>IF(VLOOKUP($A2429,'Concrete Beam Schedule'!$A$2:$Q$2902,AD$2,0)&lt;&gt;N2429,"Beam Revised","")</f>
        <v>#N/A</v>
      </c>
      <c r="AE2429" s="7" t="e">
        <f>IF(VLOOKUP($A2429,'Concrete Beam Schedule'!$A$2:$Q$2902,AE$2,0)&lt;&gt;O2429,"Beam Revised","")</f>
        <v>#N/A</v>
      </c>
    </row>
    <row r="2430" spans="17:31" ht="20.100000000000001" customHeight="1" x14ac:dyDescent="0.25">
      <c r="Q2430" s="7">
        <f t="shared" si="37"/>
        <v>0</v>
      </c>
      <c r="R2430" s="7" t="e">
        <f>IF(VLOOKUP($A2430,'Concrete Beam Schedule'!$A$2:$Q$2902,R$2,0)&lt;&gt;B2430,VLOOKUP($A2430,'Concrete Beam Schedule'!$A$2:$Q$2902,R$2,0),"")</f>
        <v>#N/A</v>
      </c>
      <c r="S2430" s="7" t="e">
        <f>IF(VLOOKUP($A2430,'Concrete Beam Schedule'!$A$2:$Q$2902,S$2,0)&lt;&gt;C2430,VLOOKUP($A2430,'Concrete Beam Schedule'!$A$2:$Q$2902,S$2,0),"")</f>
        <v>#N/A</v>
      </c>
      <c r="T2430" s="7" t="e">
        <f>IF(VLOOKUP($A2430,'Concrete Beam Schedule'!$A$2:$Q$2902,T$2,0)&lt;&gt;D2430,"Beam Revised","")</f>
        <v>#N/A</v>
      </c>
      <c r="U2430" s="7" t="e">
        <f>IF(VLOOKUP($A2430,'Concrete Beam Schedule'!$A$2:$Q$2902,U$2,0)&lt;&gt;E2430,"Beam Revised","")</f>
        <v>#N/A</v>
      </c>
      <c r="V2430" s="7" t="e">
        <f>IF(VLOOKUP($A2430,'Concrete Beam Schedule'!$A$2:$Q$2902,V$2,0)&lt;&gt;F2430,"Beam Revised","")</f>
        <v>#N/A</v>
      </c>
      <c r="W2430" s="7" t="e">
        <f>IF(VLOOKUP($A2430,'Concrete Beam Schedule'!$A$2:$Q$2902,W$2,0)&lt;&gt;G2430,"Beam Revised","")</f>
        <v>#N/A</v>
      </c>
      <c r="X2430" s="7" t="e">
        <f>IF(VLOOKUP($A2430,'Concrete Beam Schedule'!$A$2:$Q$2902,X$2,0)&lt;&gt;H2430,"Beam Revised","")</f>
        <v>#N/A</v>
      </c>
      <c r="Y2430" s="7" t="e">
        <f>IF(VLOOKUP($A2430,'Concrete Beam Schedule'!$A$2:$Q$2902,Y$2,0)&lt;&gt;I2430,"Beam Revised","")</f>
        <v>#N/A</v>
      </c>
      <c r="Z2430" s="7" t="e">
        <f>IF(VLOOKUP($A2430,'Concrete Beam Schedule'!$A$2:$Q$2902,Z$2,0)&lt;&gt;J2430,"Beam Revised","")</f>
        <v>#N/A</v>
      </c>
      <c r="AA2430" s="7" t="e">
        <f>IF(VLOOKUP($A2430,'Concrete Beam Schedule'!$A$2:$Q$2902,AA$2,0)&lt;&gt;K2430,"Beam Revised","")</f>
        <v>#N/A</v>
      </c>
      <c r="AB2430" s="7" t="e">
        <f>IF(VLOOKUP($A2430,'Concrete Beam Schedule'!$A$2:$Q$2902,AB$2,0)&lt;&gt;L2430,"Beam Revised","")</f>
        <v>#N/A</v>
      </c>
      <c r="AC2430" s="7" t="e">
        <f>IF(VLOOKUP($A2430,'Concrete Beam Schedule'!$A$2:$Q$2902,AC$2,0)&lt;&gt;M2430,"Beam Revised","")</f>
        <v>#N/A</v>
      </c>
      <c r="AD2430" s="7" t="e">
        <f>IF(VLOOKUP($A2430,'Concrete Beam Schedule'!$A$2:$Q$2902,AD$2,0)&lt;&gt;N2430,"Beam Revised","")</f>
        <v>#N/A</v>
      </c>
      <c r="AE2430" s="7" t="e">
        <f>IF(VLOOKUP($A2430,'Concrete Beam Schedule'!$A$2:$Q$2902,AE$2,0)&lt;&gt;O2430,"Beam Revised","")</f>
        <v>#N/A</v>
      </c>
    </row>
    <row r="2431" spans="17:31" ht="20.100000000000001" customHeight="1" x14ac:dyDescent="0.25">
      <c r="Q2431" s="7">
        <f t="shared" si="37"/>
        <v>0</v>
      </c>
      <c r="R2431" s="7" t="e">
        <f>IF(VLOOKUP($A2431,'Concrete Beam Schedule'!$A$2:$Q$2902,R$2,0)&lt;&gt;B2431,VLOOKUP($A2431,'Concrete Beam Schedule'!$A$2:$Q$2902,R$2,0),"")</f>
        <v>#N/A</v>
      </c>
      <c r="S2431" s="7" t="e">
        <f>IF(VLOOKUP($A2431,'Concrete Beam Schedule'!$A$2:$Q$2902,S$2,0)&lt;&gt;C2431,VLOOKUP($A2431,'Concrete Beam Schedule'!$A$2:$Q$2902,S$2,0),"")</f>
        <v>#N/A</v>
      </c>
      <c r="T2431" s="7" t="e">
        <f>IF(VLOOKUP($A2431,'Concrete Beam Schedule'!$A$2:$Q$2902,T$2,0)&lt;&gt;D2431,"Beam Revised","")</f>
        <v>#N/A</v>
      </c>
      <c r="U2431" s="7" t="e">
        <f>IF(VLOOKUP($A2431,'Concrete Beam Schedule'!$A$2:$Q$2902,U$2,0)&lt;&gt;E2431,"Beam Revised","")</f>
        <v>#N/A</v>
      </c>
      <c r="V2431" s="7" t="e">
        <f>IF(VLOOKUP($A2431,'Concrete Beam Schedule'!$A$2:$Q$2902,V$2,0)&lt;&gt;F2431,"Beam Revised","")</f>
        <v>#N/A</v>
      </c>
      <c r="W2431" s="7" t="e">
        <f>IF(VLOOKUP($A2431,'Concrete Beam Schedule'!$A$2:$Q$2902,W$2,0)&lt;&gt;G2431,"Beam Revised","")</f>
        <v>#N/A</v>
      </c>
      <c r="X2431" s="7" t="e">
        <f>IF(VLOOKUP($A2431,'Concrete Beam Schedule'!$A$2:$Q$2902,X$2,0)&lt;&gt;H2431,"Beam Revised","")</f>
        <v>#N/A</v>
      </c>
      <c r="Y2431" s="7" t="e">
        <f>IF(VLOOKUP($A2431,'Concrete Beam Schedule'!$A$2:$Q$2902,Y$2,0)&lt;&gt;I2431,"Beam Revised","")</f>
        <v>#N/A</v>
      </c>
      <c r="Z2431" s="7" t="e">
        <f>IF(VLOOKUP($A2431,'Concrete Beam Schedule'!$A$2:$Q$2902,Z$2,0)&lt;&gt;J2431,"Beam Revised","")</f>
        <v>#N/A</v>
      </c>
      <c r="AA2431" s="7" t="e">
        <f>IF(VLOOKUP($A2431,'Concrete Beam Schedule'!$A$2:$Q$2902,AA$2,0)&lt;&gt;K2431,"Beam Revised","")</f>
        <v>#N/A</v>
      </c>
      <c r="AB2431" s="7" t="e">
        <f>IF(VLOOKUP($A2431,'Concrete Beam Schedule'!$A$2:$Q$2902,AB$2,0)&lt;&gt;L2431,"Beam Revised","")</f>
        <v>#N/A</v>
      </c>
      <c r="AC2431" s="7" t="e">
        <f>IF(VLOOKUP($A2431,'Concrete Beam Schedule'!$A$2:$Q$2902,AC$2,0)&lt;&gt;M2431,"Beam Revised","")</f>
        <v>#N/A</v>
      </c>
      <c r="AD2431" s="7" t="e">
        <f>IF(VLOOKUP($A2431,'Concrete Beam Schedule'!$A$2:$Q$2902,AD$2,0)&lt;&gt;N2431,"Beam Revised","")</f>
        <v>#N/A</v>
      </c>
      <c r="AE2431" s="7" t="e">
        <f>IF(VLOOKUP($A2431,'Concrete Beam Schedule'!$A$2:$Q$2902,AE$2,0)&lt;&gt;O2431,"Beam Revised","")</f>
        <v>#N/A</v>
      </c>
    </row>
    <row r="2432" spans="17:31" ht="20.100000000000001" customHeight="1" x14ac:dyDescent="0.25">
      <c r="Q2432" s="7">
        <f t="shared" si="37"/>
        <v>0</v>
      </c>
      <c r="R2432" s="7" t="e">
        <f>IF(VLOOKUP($A2432,'Concrete Beam Schedule'!$A$2:$Q$2902,R$2,0)&lt;&gt;B2432,VLOOKUP($A2432,'Concrete Beam Schedule'!$A$2:$Q$2902,R$2,0),"")</f>
        <v>#N/A</v>
      </c>
      <c r="S2432" s="7" t="e">
        <f>IF(VLOOKUP($A2432,'Concrete Beam Schedule'!$A$2:$Q$2902,S$2,0)&lt;&gt;C2432,VLOOKUP($A2432,'Concrete Beam Schedule'!$A$2:$Q$2902,S$2,0),"")</f>
        <v>#N/A</v>
      </c>
      <c r="T2432" s="7" t="e">
        <f>IF(VLOOKUP($A2432,'Concrete Beam Schedule'!$A$2:$Q$2902,T$2,0)&lt;&gt;D2432,"Beam Revised","")</f>
        <v>#N/A</v>
      </c>
      <c r="U2432" s="7" t="e">
        <f>IF(VLOOKUP($A2432,'Concrete Beam Schedule'!$A$2:$Q$2902,U$2,0)&lt;&gt;E2432,"Beam Revised","")</f>
        <v>#N/A</v>
      </c>
      <c r="V2432" s="7" t="e">
        <f>IF(VLOOKUP($A2432,'Concrete Beam Schedule'!$A$2:$Q$2902,V$2,0)&lt;&gt;F2432,"Beam Revised","")</f>
        <v>#N/A</v>
      </c>
      <c r="W2432" s="7" t="e">
        <f>IF(VLOOKUP($A2432,'Concrete Beam Schedule'!$A$2:$Q$2902,W$2,0)&lt;&gt;G2432,"Beam Revised","")</f>
        <v>#N/A</v>
      </c>
      <c r="X2432" s="7" t="e">
        <f>IF(VLOOKUP($A2432,'Concrete Beam Schedule'!$A$2:$Q$2902,X$2,0)&lt;&gt;H2432,"Beam Revised","")</f>
        <v>#N/A</v>
      </c>
      <c r="Y2432" s="7" t="e">
        <f>IF(VLOOKUP($A2432,'Concrete Beam Schedule'!$A$2:$Q$2902,Y$2,0)&lt;&gt;I2432,"Beam Revised","")</f>
        <v>#N/A</v>
      </c>
      <c r="Z2432" s="7" t="e">
        <f>IF(VLOOKUP($A2432,'Concrete Beam Schedule'!$A$2:$Q$2902,Z$2,0)&lt;&gt;J2432,"Beam Revised","")</f>
        <v>#N/A</v>
      </c>
      <c r="AA2432" s="7" t="e">
        <f>IF(VLOOKUP($A2432,'Concrete Beam Schedule'!$A$2:$Q$2902,AA$2,0)&lt;&gt;K2432,"Beam Revised","")</f>
        <v>#N/A</v>
      </c>
      <c r="AB2432" s="7" t="e">
        <f>IF(VLOOKUP($A2432,'Concrete Beam Schedule'!$A$2:$Q$2902,AB$2,0)&lt;&gt;L2432,"Beam Revised","")</f>
        <v>#N/A</v>
      </c>
      <c r="AC2432" s="7" t="e">
        <f>IF(VLOOKUP($A2432,'Concrete Beam Schedule'!$A$2:$Q$2902,AC$2,0)&lt;&gt;M2432,"Beam Revised","")</f>
        <v>#N/A</v>
      </c>
      <c r="AD2432" s="7" t="e">
        <f>IF(VLOOKUP($A2432,'Concrete Beam Schedule'!$A$2:$Q$2902,AD$2,0)&lt;&gt;N2432,"Beam Revised","")</f>
        <v>#N/A</v>
      </c>
      <c r="AE2432" s="7" t="e">
        <f>IF(VLOOKUP($A2432,'Concrete Beam Schedule'!$A$2:$Q$2902,AE$2,0)&lt;&gt;O2432,"Beam Revised","")</f>
        <v>#N/A</v>
      </c>
    </row>
    <row r="2433" spans="17:31" ht="20.100000000000001" customHeight="1" x14ac:dyDescent="0.25">
      <c r="Q2433" s="7">
        <f t="shared" si="37"/>
        <v>0</v>
      </c>
      <c r="R2433" s="7" t="e">
        <f>IF(VLOOKUP($A2433,'Concrete Beam Schedule'!$A$2:$Q$2902,R$2,0)&lt;&gt;B2433,VLOOKUP($A2433,'Concrete Beam Schedule'!$A$2:$Q$2902,R$2,0),"")</f>
        <v>#N/A</v>
      </c>
      <c r="S2433" s="7" t="e">
        <f>IF(VLOOKUP($A2433,'Concrete Beam Schedule'!$A$2:$Q$2902,S$2,0)&lt;&gt;C2433,VLOOKUP($A2433,'Concrete Beam Schedule'!$A$2:$Q$2902,S$2,0),"")</f>
        <v>#N/A</v>
      </c>
      <c r="T2433" s="7" t="e">
        <f>IF(VLOOKUP($A2433,'Concrete Beam Schedule'!$A$2:$Q$2902,T$2,0)&lt;&gt;D2433,"Beam Revised","")</f>
        <v>#N/A</v>
      </c>
      <c r="U2433" s="7" t="e">
        <f>IF(VLOOKUP($A2433,'Concrete Beam Schedule'!$A$2:$Q$2902,U$2,0)&lt;&gt;E2433,"Beam Revised","")</f>
        <v>#N/A</v>
      </c>
      <c r="V2433" s="7" t="e">
        <f>IF(VLOOKUP($A2433,'Concrete Beam Schedule'!$A$2:$Q$2902,V$2,0)&lt;&gt;F2433,"Beam Revised","")</f>
        <v>#N/A</v>
      </c>
      <c r="W2433" s="7" t="e">
        <f>IF(VLOOKUP($A2433,'Concrete Beam Schedule'!$A$2:$Q$2902,W$2,0)&lt;&gt;G2433,"Beam Revised","")</f>
        <v>#N/A</v>
      </c>
      <c r="X2433" s="7" t="e">
        <f>IF(VLOOKUP($A2433,'Concrete Beam Schedule'!$A$2:$Q$2902,X$2,0)&lt;&gt;H2433,"Beam Revised","")</f>
        <v>#N/A</v>
      </c>
      <c r="Y2433" s="7" t="e">
        <f>IF(VLOOKUP($A2433,'Concrete Beam Schedule'!$A$2:$Q$2902,Y$2,0)&lt;&gt;I2433,"Beam Revised","")</f>
        <v>#N/A</v>
      </c>
      <c r="Z2433" s="7" t="e">
        <f>IF(VLOOKUP($A2433,'Concrete Beam Schedule'!$A$2:$Q$2902,Z$2,0)&lt;&gt;J2433,"Beam Revised","")</f>
        <v>#N/A</v>
      </c>
      <c r="AA2433" s="7" t="e">
        <f>IF(VLOOKUP($A2433,'Concrete Beam Schedule'!$A$2:$Q$2902,AA$2,0)&lt;&gt;K2433,"Beam Revised","")</f>
        <v>#N/A</v>
      </c>
      <c r="AB2433" s="7" t="e">
        <f>IF(VLOOKUP($A2433,'Concrete Beam Schedule'!$A$2:$Q$2902,AB$2,0)&lt;&gt;L2433,"Beam Revised","")</f>
        <v>#N/A</v>
      </c>
      <c r="AC2433" s="7" t="e">
        <f>IF(VLOOKUP($A2433,'Concrete Beam Schedule'!$A$2:$Q$2902,AC$2,0)&lt;&gt;M2433,"Beam Revised","")</f>
        <v>#N/A</v>
      </c>
      <c r="AD2433" s="7" t="e">
        <f>IF(VLOOKUP($A2433,'Concrete Beam Schedule'!$A$2:$Q$2902,AD$2,0)&lt;&gt;N2433,"Beam Revised","")</f>
        <v>#N/A</v>
      </c>
      <c r="AE2433" s="7" t="e">
        <f>IF(VLOOKUP($A2433,'Concrete Beam Schedule'!$A$2:$Q$2902,AE$2,0)&lt;&gt;O2433,"Beam Revised","")</f>
        <v>#N/A</v>
      </c>
    </row>
    <row r="2434" spans="17:31" ht="20.100000000000001" customHeight="1" x14ac:dyDescent="0.25">
      <c r="Q2434" s="7">
        <f t="shared" si="37"/>
        <v>0</v>
      </c>
      <c r="R2434" s="7" t="e">
        <f>IF(VLOOKUP($A2434,'Concrete Beam Schedule'!$A$2:$Q$2902,R$2,0)&lt;&gt;B2434,VLOOKUP($A2434,'Concrete Beam Schedule'!$A$2:$Q$2902,R$2,0),"")</f>
        <v>#N/A</v>
      </c>
      <c r="S2434" s="7" t="e">
        <f>IF(VLOOKUP($A2434,'Concrete Beam Schedule'!$A$2:$Q$2902,S$2,0)&lt;&gt;C2434,VLOOKUP($A2434,'Concrete Beam Schedule'!$A$2:$Q$2902,S$2,0),"")</f>
        <v>#N/A</v>
      </c>
      <c r="T2434" s="7" t="e">
        <f>IF(VLOOKUP($A2434,'Concrete Beam Schedule'!$A$2:$Q$2902,T$2,0)&lt;&gt;D2434,"Beam Revised","")</f>
        <v>#N/A</v>
      </c>
      <c r="U2434" s="7" t="e">
        <f>IF(VLOOKUP($A2434,'Concrete Beam Schedule'!$A$2:$Q$2902,U$2,0)&lt;&gt;E2434,"Beam Revised","")</f>
        <v>#N/A</v>
      </c>
      <c r="V2434" s="7" t="e">
        <f>IF(VLOOKUP($A2434,'Concrete Beam Schedule'!$A$2:$Q$2902,V$2,0)&lt;&gt;F2434,"Beam Revised","")</f>
        <v>#N/A</v>
      </c>
      <c r="W2434" s="7" t="e">
        <f>IF(VLOOKUP($A2434,'Concrete Beam Schedule'!$A$2:$Q$2902,W$2,0)&lt;&gt;G2434,"Beam Revised","")</f>
        <v>#N/A</v>
      </c>
      <c r="X2434" s="7" t="e">
        <f>IF(VLOOKUP($A2434,'Concrete Beam Schedule'!$A$2:$Q$2902,X$2,0)&lt;&gt;H2434,"Beam Revised","")</f>
        <v>#N/A</v>
      </c>
      <c r="Y2434" s="7" t="e">
        <f>IF(VLOOKUP($A2434,'Concrete Beam Schedule'!$A$2:$Q$2902,Y$2,0)&lt;&gt;I2434,"Beam Revised","")</f>
        <v>#N/A</v>
      </c>
      <c r="Z2434" s="7" t="e">
        <f>IF(VLOOKUP($A2434,'Concrete Beam Schedule'!$A$2:$Q$2902,Z$2,0)&lt;&gt;J2434,"Beam Revised","")</f>
        <v>#N/A</v>
      </c>
      <c r="AA2434" s="7" t="e">
        <f>IF(VLOOKUP($A2434,'Concrete Beam Schedule'!$A$2:$Q$2902,AA$2,0)&lt;&gt;K2434,"Beam Revised","")</f>
        <v>#N/A</v>
      </c>
      <c r="AB2434" s="7" t="e">
        <f>IF(VLOOKUP($A2434,'Concrete Beam Schedule'!$A$2:$Q$2902,AB$2,0)&lt;&gt;L2434,"Beam Revised","")</f>
        <v>#N/A</v>
      </c>
      <c r="AC2434" s="7" t="e">
        <f>IF(VLOOKUP($A2434,'Concrete Beam Schedule'!$A$2:$Q$2902,AC$2,0)&lt;&gt;M2434,"Beam Revised","")</f>
        <v>#N/A</v>
      </c>
      <c r="AD2434" s="7" t="e">
        <f>IF(VLOOKUP($A2434,'Concrete Beam Schedule'!$A$2:$Q$2902,AD$2,0)&lt;&gt;N2434,"Beam Revised","")</f>
        <v>#N/A</v>
      </c>
      <c r="AE2434" s="7" t="e">
        <f>IF(VLOOKUP($A2434,'Concrete Beam Schedule'!$A$2:$Q$2902,AE$2,0)&lt;&gt;O2434,"Beam Revised","")</f>
        <v>#N/A</v>
      </c>
    </row>
    <row r="2435" spans="17:31" ht="20.100000000000001" customHeight="1" x14ac:dyDescent="0.25">
      <c r="Q2435" s="7">
        <f t="shared" si="37"/>
        <v>0</v>
      </c>
      <c r="R2435" s="7" t="e">
        <f>IF(VLOOKUP($A2435,'Concrete Beam Schedule'!$A$2:$Q$2902,R$2,0)&lt;&gt;B2435,VLOOKUP($A2435,'Concrete Beam Schedule'!$A$2:$Q$2902,R$2,0),"")</f>
        <v>#N/A</v>
      </c>
      <c r="S2435" s="7" t="e">
        <f>IF(VLOOKUP($A2435,'Concrete Beam Schedule'!$A$2:$Q$2902,S$2,0)&lt;&gt;C2435,VLOOKUP($A2435,'Concrete Beam Schedule'!$A$2:$Q$2902,S$2,0),"")</f>
        <v>#N/A</v>
      </c>
      <c r="T2435" s="7" t="e">
        <f>IF(VLOOKUP($A2435,'Concrete Beam Schedule'!$A$2:$Q$2902,T$2,0)&lt;&gt;D2435,"Beam Revised","")</f>
        <v>#N/A</v>
      </c>
      <c r="U2435" s="7" t="e">
        <f>IF(VLOOKUP($A2435,'Concrete Beam Schedule'!$A$2:$Q$2902,U$2,0)&lt;&gt;E2435,"Beam Revised","")</f>
        <v>#N/A</v>
      </c>
      <c r="V2435" s="7" t="e">
        <f>IF(VLOOKUP($A2435,'Concrete Beam Schedule'!$A$2:$Q$2902,V$2,0)&lt;&gt;F2435,"Beam Revised","")</f>
        <v>#N/A</v>
      </c>
      <c r="W2435" s="7" t="e">
        <f>IF(VLOOKUP($A2435,'Concrete Beam Schedule'!$A$2:$Q$2902,W$2,0)&lt;&gt;G2435,"Beam Revised","")</f>
        <v>#N/A</v>
      </c>
      <c r="X2435" s="7" t="e">
        <f>IF(VLOOKUP($A2435,'Concrete Beam Schedule'!$A$2:$Q$2902,X$2,0)&lt;&gt;H2435,"Beam Revised","")</f>
        <v>#N/A</v>
      </c>
      <c r="Y2435" s="7" t="e">
        <f>IF(VLOOKUP($A2435,'Concrete Beam Schedule'!$A$2:$Q$2902,Y$2,0)&lt;&gt;I2435,"Beam Revised","")</f>
        <v>#N/A</v>
      </c>
      <c r="Z2435" s="7" t="e">
        <f>IF(VLOOKUP($A2435,'Concrete Beam Schedule'!$A$2:$Q$2902,Z$2,0)&lt;&gt;J2435,"Beam Revised","")</f>
        <v>#N/A</v>
      </c>
      <c r="AA2435" s="7" t="e">
        <f>IF(VLOOKUP($A2435,'Concrete Beam Schedule'!$A$2:$Q$2902,AA$2,0)&lt;&gt;K2435,"Beam Revised","")</f>
        <v>#N/A</v>
      </c>
      <c r="AB2435" s="7" t="e">
        <f>IF(VLOOKUP($A2435,'Concrete Beam Schedule'!$A$2:$Q$2902,AB$2,0)&lt;&gt;L2435,"Beam Revised","")</f>
        <v>#N/A</v>
      </c>
      <c r="AC2435" s="7" t="e">
        <f>IF(VLOOKUP($A2435,'Concrete Beam Schedule'!$A$2:$Q$2902,AC$2,0)&lt;&gt;M2435,"Beam Revised","")</f>
        <v>#N/A</v>
      </c>
      <c r="AD2435" s="7" t="e">
        <f>IF(VLOOKUP($A2435,'Concrete Beam Schedule'!$A$2:$Q$2902,AD$2,0)&lt;&gt;N2435,"Beam Revised","")</f>
        <v>#N/A</v>
      </c>
      <c r="AE2435" s="7" t="e">
        <f>IF(VLOOKUP($A2435,'Concrete Beam Schedule'!$A$2:$Q$2902,AE$2,0)&lt;&gt;O2435,"Beam Revised","")</f>
        <v>#N/A</v>
      </c>
    </row>
    <row r="2436" spans="17:31" ht="20.100000000000001" customHeight="1" x14ac:dyDescent="0.25">
      <c r="Q2436" s="7">
        <f t="shared" ref="Q2436:Q2499" si="38">A2436</f>
        <v>0</v>
      </c>
      <c r="R2436" s="7" t="e">
        <f>IF(VLOOKUP($A2436,'Concrete Beam Schedule'!$A$2:$Q$2902,R$2,0)&lt;&gt;B2436,VLOOKUP($A2436,'Concrete Beam Schedule'!$A$2:$Q$2902,R$2,0),"")</f>
        <v>#N/A</v>
      </c>
      <c r="S2436" s="7" t="e">
        <f>IF(VLOOKUP($A2436,'Concrete Beam Schedule'!$A$2:$Q$2902,S$2,0)&lt;&gt;C2436,VLOOKUP($A2436,'Concrete Beam Schedule'!$A$2:$Q$2902,S$2,0),"")</f>
        <v>#N/A</v>
      </c>
      <c r="T2436" s="7" t="e">
        <f>IF(VLOOKUP($A2436,'Concrete Beam Schedule'!$A$2:$Q$2902,T$2,0)&lt;&gt;D2436,"Beam Revised","")</f>
        <v>#N/A</v>
      </c>
      <c r="U2436" s="7" t="e">
        <f>IF(VLOOKUP($A2436,'Concrete Beam Schedule'!$A$2:$Q$2902,U$2,0)&lt;&gt;E2436,"Beam Revised","")</f>
        <v>#N/A</v>
      </c>
      <c r="V2436" s="7" t="e">
        <f>IF(VLOOKUP($A2436,'Concrete Beam Schedule'!$A$2:$Q$2902,V$2,0)&lt;&gt;F2436,"Beam Revised","")</f>
        <v>#N/A</v>
      </c>
      <c r="W2436" s="7" t="e">
        <f>IF(VLOOKUP($A2436,'Concrete Beam Schedule'!$A$2:$Q$2902,W$2,0)&lt;&gt;G2436,"Beam Revised","")</f>
        <v>#N/A</v>
      </c>
      <c r="X2436" s="7" t="e">
        <f>IF(VLOOKUP($A2436,'Concrete Beam Schedule'!$A$2:$Q$2902,X$2,0)&lt;&gt;H2436,"Beam Revised","")</f>
        <v>#N/A</v>
      </c>
      <c r="Y2436" s="7" t="e">
        <f>IF(VLOOKUP($A2436,'Concrete Beam Schedule'!$A$2:$Q$2902,Y$2,0)&lt;&gt;I2436,"Beam Revised","")</f>
        <v>#N/A</v>
      </c>
      <c r="Z2436" s="7" t="e">
        <f>IF(VLOOKUP($A2436,'Concrete Beam Schedule'!$A$2:$Q$2902,Z$2,0)&lt;&gt;J2436,"Beam Revised","")</f>
        <v>#N/A</v>
      </c>
      <c r="AA2436" s="7" t="e">
        <f>IF(VLOOKUP($A2436,'Concrete Beam Schedule'!$A$2:$Q$2902,AA$2,0)&lt;&gt;K2436,"Beam Revised","")</f>
        <v>#N/A</v>
      </c>
      <c r="AB2436" s="7" t="e">
        <f>IF(VLOOKUP($A2436,'Concrete Beam Schedule'!$A$2:$Q$2902,AB$2,0)&lt;&gt;L2436,"Beam Revised","")</f>
        <v>#N/A</v>
      </c>
      <c r="AC2436" s="7" t="e">
        <f>IF(VLOOKUP($A2436,'Concrete Beam Schedule'!$A$2:$Q$2902,AC$2,0)&lt;&gt;M2436,"Beam Revised","")</f>
        <v>#N/A</v>
      </c>
      <c r="AD2436" s="7" t="e">
        <f>IF(VLOOKUP($A2436,'Concrete Beam Schedule'!$A$2:$Q$2902,AD$2,0)&lt;&gt;N2436,"Beam Revised","")</f>
        <v>#N/A</v>
      </c>
      <c r="AE2436" s="7" t="e">
        <f>IF(VLOOKUP($A2436,'Concrete Beam Schedule'!$A$2:$Q$2902,AE$2,0)&lt;&gt;O2436,"Beam Revised","")</f>
        <v>#N/A</v>
      </c>
    </row>
    <row r="2437" spans="17:31" ht="20.100000000000001" customHeight="1" x14ac:dyDescent="0.25">
      <c r="Q2437" s="7">
        <f t="shared" si="38"/>
        <v>0</v>
      </c>
      <c r="R2437" s="7" t="e">
        <f>IF(VLOOKUP($A2437,'Concrete Beam Schedule'!$A$2:$Q$2902,R$2,0)&lt;&gt;B2437,VLOOKUP($A2437,'Concrete Beam Schedule'!$A$2:$Q$2902,R$2,0),"")</f>
        <v>#N/A</v>
      </c>
      <c r="S2437" s="7" t="e">
        <f>IF(VLOOKUP($A2437,'Concrete Beam Schedule'!$A$2:$Q$2902,S$2,0)&lt;&gt;C2437,VLOOKUP($A2437,'Concrete Beam Schedule'!$A$2:$Q$2902,S$2,0),"")</f>
        <v>#N/A</v>
      </c>
      <c r="T2437" s="7" t="e">
        <f>IF(VLOOKUP($A2437,'Concrete Beam Schedule'!$A$2:$Q$2902,T$2,0)&lt;&gt;D2437,"Beam Revised","")</f>
        <v>#N/A</v>
      </c>
      <c r="U2437" s="7" t="e">
        <f>IF(VLOOKUP($A2437,'Concrete Beam Schedule'!$A$2:$Q$2902,U$2,0)&lt;&gt;E2437,"Beam Revised","")</f>
        <v>#N/A</v>
      </c>
      <c r="V2437" s="7" t="e">
        <f>IF(VLOOKUP($A2437,'Concrete Beam Schedule'!$A$2:$Q$2902,V$2,0)&lt;&gt;F2437,"Beam Revised","")</f>
        <v>#N/A</v>
      </c>
      <c r="W2437" s="7" t="e">
        <f>IF(VLOOKUP($A2437,'Concrete Beam Schedule'!$A$2:$Q$2902,W$2,0)&lt;&gt;G2437,"Beam Revised","")</f>
        <v>#N/A</v>
      </c>
      <c r="X2437" s="7" t="e">
        <f>IF(VLOOKUP($A2437,'Concrete Beam Schedule'!$A$2:$Q$2902,X$2,0)&lt;&gt;H2437,"Beam Revised","")</f>
        <v>#N/A</v>
      </c>
      <c r="Y2437" s="7" t="e">
        <f>IF(VLOOKUP($A2437,'Concrete Beam Schedule'!$A$2:$Q$2902,Y$2,0)&lt;&gt;I2437,"Beam Revised","")</f>
        <v>#N/A</v>
      </c>
      <c r="Z2437" s="7" t="e">
        <f>IF(VLOOKUP($A2437,'Concrete Beam Schedule'!$A$2:$Q$2902,Z$2,0)&lt;&gt;J2437,"Beam Revised","")</f>
        <v>#N/A</v>
      </c>
      <c r="AA2437" s="7" t="e">
        <f>IF(VLOOKUP($A2437,'Concrete Beam Schedule'!$A$2:$Q$2902,AA$2,0)&lt;&gt;K2437,"Beam Revised","")</f>
        <v>#N/A</v>
      </c>
      <c r="AB2437" s="7" t="e">
        <f>IF(VLOOKUP($A2437,'Concrete Beam Schedule'!$A$2:$Q$2902,AB$2,0)&lt;&gt;L2437,"Beam Revised","")</f>
        <v>#N/A</v>
      </c>
      <c r="AC2437" s="7" t="e">
        <f>IF(VLOOKUP($A2437,'Concrete Beam Schedule'!$A$2:$Q$2902,AC$2,0)&lt;&gt;M2437,"Beam Revised","")</f>
        <v>#N/A</v>
      </c>
      <c r="AD2437" s="7" t="e">
        <f>IF(VLOOKUP($A2437,'Concrete Beam Schedule'!$A$2:$Q$2902,AD$2,0)&lt;&gt;N2437,"Beam Revised","")</f>
        <v>#N/A</v>
      </c>
      <c r="AE2437" s="7" t="e">
        <f>IF(VLOOKUP($A2437,'Concrete Beam Schedule'!$A$2:$Q$2902,AE$2,0)&lt;&gt;O2437,"Beam Revised","")</f>
        <v>#N/A</v>
      </c>
    </row>
    <row r="2438" spans="17:31" ht="20.100000000000001" customHeight="1" x14ac:dyDescent="0.25">
      <c r="Q2438" s="7">
        <f t="shared" si="38"/>
        <v>0</v>
      </c>
      <c r="R2438" s="7" t="e">
        <f>IF(VLOOKUP($A2438,'Concrete Beam Schedule'!$A$2:$Q$2902,R$2,0)&lt;&gt;B2438,VLOOKUP($A2438,'Concrete Beam Schedule'!$A$2:$Q$2902,R$2,0),"")</f>
        <v>#N/A</v>
      </c>
      <c r="S2438" s="7" t="e">
        <f>IF(VLOOKUP($A2438,'Concrete Beam Schedule'!$A$2:$Q$2902,S$2,0)&lt;&gt;C2438,VLOOKUP($A2438,'Concrete Beam Schedule'!$A$2:$Q$2902,S$2,0),"")</f>
        <v>#N/A</v>
      </c>
      <c r="T2438" s="7" t="e">
        <f>IF(VLOOKUP($A2438,'Concrete Beam Schedule'!$A$2:$Q$2902,T$2,0)&lt;&gt;D2438,"Beam Revised","")</f>
        <v>#N/A</v>
      </c>
      <c r="U2438" s="7" t="e">
        <f>IF(VLOOKUP($A2438,'Concrete Beam Schedule'!$A$2:$Q$2902,U$2,0)&lt;&gt;E2438,"Beam Revised","")</f>
        <v>#N/A</v>
      </c>
      <c r="V2438" s="7" t="e">
        <f>IF(VLOOKUP($A2438,'Concrete Beam Schedule'!$A$2:$Q$2902,V$2,0)&lt;&gt;F2438,"Beam Revised","")</f>
        <v>#N/A</v>
      </c>
      <c r="W2438" s="7" t="e">
        <f>IF(VLOOKUP($A2438,'Concrete Beam Schedule'!$A$2:$Q$2902,W$2,0)&lt;&gt;G2438,"Beam Revised","")</f>
        <v>#N/A</v>
      </c>
      <c r="X2438" s="7" t="e">
        <f>IF(VLOOKUP($A2438,'Concrete Beam Schedule'!$A$2:$Q$2902,X$2,0)&lt;&gt;H2438,"Beam Revised","")</f>
        <v>#N/A</v>
      </c>
      <c r="Y2438" s="7" t="e">
        <f>IF(VLOOKUP($A2438,'Concrete Beam Schedule'!$A$2:$Q$2902,Y$2,0)&lt;&gt;I2438,"Beam Revised","")</f>
        <v>#N/A</v>
      </c>
      <c r="Z2438" s="7" t="e">
        <f>IF(VLOOKUP($A2438,'Concrete Beam Schedule'!$A$2:$Q$2902,Z$2,0)&lt;&gt;J2438,"Beam Revised","")</f>
        <v>#N/A</v>
      </c>
      <c r="AA2438" s="7" t="e">
        <f>IF(VLOOKUP($A2438,'Concrete Beam Schedule'!$A$2:$Q$2902,AA$2,0)&lt;&gt;K2438,"Beam Revised","")</f>
        <v>#N/A</v>
      </c>
      <c r="AB2438" s="7" t="e">
        <f>IF(VLOOKUP($A2438,'Concrete Beam Schedule'!$A$2:$Q$2902,AB$2,0)&lt;&gt;L2438,"Beam Revised","")</f>
        <v>#N/A</v>
      </c>
      <c r="AC2438" s="7" t="e">
        <f>IF(VLOOKUP($A2438,'Concrete Beam Schedule'!$A$2:$Q$2902,AC$2,0)&lt;&gt;M2438,"Beam Revised","")</f>
        <v>#N/A</v>
      </c>
      <c r="AD2438" s="7" t="e">
        <f>IF(VLOOKUP($A2438,'Concrete Beam Schedule'!$A$2:$Q$2902,AD$2,0)&lt;&gt;N2438,"Beam Revised","")</f>
        <v>#N/A</v>
      </c>
      <c r="AE2438" s="7" t="e">
        <f>IF(VLOOKUP($A2438,'Concrete Beam Schedule'!$A$2:$Q$2902,AE$2,0)&lt;&gt;O2438,"Beam Revised","")</f>
        <v>#N/A</v>
      </c>
    </row>
    <row r="2439" spans="17:31" ht="20.100000000000001" customHeight="1" x14ac:dyDescent="0.25">
      <c r="Q2439" s="7">
        <f t="shared" si="38"/>
        <v>0</v>
      </c>
      <c r="R2439" s="7" t="e">
        <f>IF(VLOOKUP($A2439,'Concrete Beam Schedule'!$A$2:$Q$2902,R$2,0)&lt;&gt;B2439,VLOOKUP($A2439,'Concrete Beam Schedule'!$A$2:$Q$2902,R$2,0),"")</f>
        <v>#N/A</v>
      </c>
      <c r="S2439" s="7" t="e">
        <f>IF(VLOOKUP($A2439,'Concrete Beam Schedule'!$A$2:$Q$2902,S$2,0)&lt;&gt;C2439,VLOOKUP($A2439,'Concrete Beam Schedule'!$A$2:$Q$2902,S$2,0),"")</f>
        <v>#N/A</v>
      </c>
      <c r="T2439" s="7" t="e">
        <f>IF(VLOOKUP($A2439,'Concrete Beam Schedule'!$A$2:$Q$2902,T$2,0)&lt;&gt;D2439,"Beam Revised","")</f>
        <v>#N/A</v>
      </c>
      <c r="U2439" s="7" t="e">
        <f>IF(VLOOKUP($A2439,'Concrete Beam Schedule'!$A$2:$Q$2902,U$2,0)&lt;&gt;E2439,"Beam Revised","")</f>
        <v>#N/A</v>
      </c>
      <c r="V2439" s="7" t="e">
        <f>IF(VLOOKUP($A2439,'Concrete Beam Schedule'!$A$2:$Q$2902,V$2,0)&lt;&gt;F2439,"Beam Revised","")</f>
        <v>#N/A</v>
      </c>
      <c r="W2439" s="7" t="e">
        <f>IF(VLOOKUP($A2439,'Concrete Beam Schedule'!$A$2:$Q$2902,W$2,0)&lt;&gt;G2439,"Beam Revised","")</f>
        <v>#N/A</v>
      </c>
      <c r="X2439" s="7" t="e">
        <f>IF(VLOOKUP($A2439,'Concrete Beam Schedule'!$A$2:$Q$2902,X$2,0)&lt;&gt;H2439,"Beam Revised","")</f>
        <v>#N/A</v>
      </c>
      <c r="Y2439" s="7" t="e">
        <f>IF(VLOOKUP($A2439,'Concrete Beam Schedule'!$A$2:$Q$2902,Y$2,0)&lt;&gt;I2439,"Beam Revised","")</f>
        <v>#N/A</v>
      </c>
      <c r="Z2439" s="7" t="e">
        <f>IF(VLOOKUP($A2439,'Concrete Beam Schedule'!$A$2:$Q$2902,Z$2,0)&lt;&gt;J2439,"Beam Revised","")</f>
        <v>#N/A</v>
      </c>
      <c r="AA2439" s="7" t="e">
        <f>IF(VLOOKUP($A2439,'Concrete Beam Schedule'!$A$2:$Q$2902,AA$2,0)&lt;&gt;K2439,"Beam Revised","")</f>
        <v>#N/A</v>
      </c>
      <c r="AB2439" s="7" t="e">
        <f>IF(VLOOKUP($A2439,'Concrete Beam Schedule'!$A$2:$Q$2902,AB$2,0)&lt;&gt;L2439,"Beam Revised","")</f>
        <v>#N/A</v>
      </c>
      <c r="AC2439" s="7" t="e">
        <f>IF(VLOOKUP($A2439,'Concrete Beam Schedule'!$A$2:$Q$2902,AC$2,0)&lt;&gt;M2439,"Beam Revised","")</f>
        <v>#N/A</v>
      </c>
      <c r="AD2439" s="7" t="e">
        <f>IF(VLOOKUP($A2439,'Concrete Beam Schedule'!$A$2:$Q$2902,AD$2,0)&lt;&gt;N2439,"Beam Revised","")</f>
        <v>#N/A</v>
      </c>
      <c r="AE2439" s="7" t="e">
        <f>IF(VLOOKUP($A2439,'Concrete Beam Schedule'!$A$2:$Q$2902,AE$2,0)&lt;&gt;O2439,"Beam Revised","")</f>
        <v>#N/A</v>
      </c>
    </row>
    <row r="2440" spans="17:31" ht="20.100000000000001" customHeight="1" x14ac:dyDescent="0.25">
      <c r="Q2440" s="7">
        <f t="shared" si="38"/>
        <v>0</v>
      </c>
      <c r="R2440" s="7" t="e">
        <f>IF(VLOOKUP($A2440,'Concrete Beam Schedule'!$A$2:$Q$2902,R$2,0)&lt;&gt;B2440,VLOOKUP($A2440,'Concrete Beam Schedule'!$A$2:$Q$2902,R$2,0),"")</f>
        <v>#N/A</v>
      </c>
      <c r="S2440" s="7" t="e">
        <f>IF(VLOOKUP($A2440,'Concrete Beam Schedule'!$A$2:$Q$2902,S$2,0)&lt;&gt;C2440,VLOOKUP($A2440,'Concrete Beam Schedule'!$A$2:$Q$2902,S$2,0),"")</f>
        <v>#N/A</v>
      </c>
      <c r="T2440" s="7" t="e">
        <f>IF(VLOOKUP($A2440,'Concrete Beam Schedule'!$A$2:$Q$2902,T$2,0)&lt;&gt;D2440,"Beam Revised","")</f>
        <v>#N/A</v>
      </c>
      <c r="U2440" s="7" t="e">
        <f>IF(VLOOKUP($A2440,'Concrete Beam Schedule'!$A$2:$Q$2902,U$2,0)&lt;&gt;E2440,"Beam Revised","")</f>
        <v>#N/A</v>
      </c>
      <c r="V2440" s="7" t="e">
        <f>IF(VLOOKUP($A2440,'Concrete Beam Schedule'!$A$2:$Q$2902,V$2,0)&lt;&gt;F2440,"Beam Revised","")</f>
        <v>#N/A</v>
      </c>
      <c r="W2440" s="7" t="e">
        <f>IF(VLOOKUP($A2440,'Concrete Beam Schedule'!$A$2:$Q$2902,W$2,0)&lt;&gt;G2440,"Beam Revised","")</f>
        <v>#N/A</v>
      </c>
      <c r="X2440" s="7" t="e">
        <f>IF(VLOOKUP($A2440,'Concrete Beam Schedule'!$A$2:$Q$2902,X$2,0)&lt;&gt;H2440,"Beam Revised","")</f>
        <v>#N/A</v>
      </c>
      <c r="Y2440" s="7" t="e">
        <f>IF(VLOOKUP($A2440,'Concrete Beam Schedule'!$A$2:$Q$2902,Y$2,0)&lt;&gt;I2440,"Beam Revised","")</f>
        <v>#N/A</v>
      </c>
      <c r="Z2440" s="7" t="e">
        <f>IF(VLOOKUP($A2440,'Concrete Beam Schedule'!$A$2:$Q$2902,Z$2,0)&lt;&gt;J2440,"Beam Revised","")</f>
        <v>#N/A</v>
      </c>
      <c r="AA2440" s="7" t="e">
        <f>IF(VLOOKUP($A2440,'Concrete Beam Schedule'!$A$2:$Q$2902,AA$2,0)&lt;&gt;K2440,"Beam Revised","")</f>
        <v>#N/A</v>
      </c>
      <c r="AB2440" s="7" t="e">
        <f>IF(VLOOKUP($A2440,'Concrete Beam Schedule'!$A$2:$Q$2902,AB$2,0)&lt;&gt;L2440,"Beam Revised","")</f>
        <v>#N/A</v>
      </c>
      <c r="AC2440" s="7" t="e">
        <f>IF(VLOOKUP($A2440,'Concrete Beam Schedule'!$A$2:$Q$2902,AC$2,0)&lt;&gt;M2440,"Beam Revised","")</f>
        <v>#N/A</v>
      </c>
      <c r="AD2440" s="7" t="e">
        <f>IF(VLOOKUP($A2440,'Concrete Beam Schedule'!$A$2:$Q$2902,AD$2,0)&lt;&gt;N2440,"Beam Revised","")</f>
        <v>#N/A</v>
      </c>
      <c r="AE2440" s="7" t="e">
        <f>IF(VLOOKUP($A2440,'Concrete Beam Schedule'!$A$2:$Q$2902,AE$2,0)&lt;&gt;O2440,"Beam Revised","")</f>
        <v>#N/A</v>
      </c>
    </row>
    <row r="2441" spans="17:31" ht="20.100000000000001" customHeight="1" x14ac:dyDescent="0.25">
      <c r="Q2441" s="7">
        <f t="shared" si="38"/>
        <v>0</v>
      </c>
      <c r="R2441" s="7" t="e">
        <f>IF(VLOOKUP($A2441,'Concrete Beam Schedule'!$A$2:$Q$2902,R$2,0)&lt;&gt;B2441,VLOOKUP($A2441,'Concrete Beam Schedule'!$A$2:$Q$2902,R$2,0),"")</f>
        <v>#N/A</v>
      </c>
      <c r="S2441" s="7" t="e">
        <f>IF(VLOOKUP($A2441,'Concrete Beam Schedule'!$A$2:$Q$2902,S$2,0)&lt;&gt;C2441,VLOOKUP($A2441,'Concrete Beam Schedule'!$A$2:$Q$2902,S$2,0),"")</f>
        <v>#N/A</v>
      </c>
      <c r="T2441" s="7" t="e">
        <f>IF(VLOOKUP($A2441,'Concrete Beam Schedule'!$A$2:$Q$2902,T$2,0)&lt;&gt;D2441,"Beam Revised","")</f>
        <v>#N/A</v>
      </c>
      <c r="U2441" s="7" t="e">
        <f>IF(VLOOKUP($A2441,'Concrete Beam Schedule'!$A$2:$Q$2902,U$2,0)&lt;&gt;E2441,"Beam Revised","")</f>
        <v>#N/A</v>
      </c>
      <c r="V2441" s="7" t="e">
        <f>IF(VLOOKUP($A2441,'Concrete Beam Schedule'!$A$2:$Q$2902,V$2,0)&lt;&gt;F2441,"Beam Revised","")</f>
        <v>#N/A</v>
      </c>
      <c r="W2441" s="7" t="e">
        <f>IF(VLOOKUP($A2441,'Concrete Beam Schedule'!$A$2:$Q$2902,W$2,0)&lt;&gt;G2441,"Beam Revised","")</f>
        <v>#N/A</v>
      </c>
      <c r="X2441" s="7" t="e">
        <f>IF(VLOOKUP($A2441,'Concrete Beam Schedule'!$A$2:$Q$2902,X$2,0)&lt;&gt;H2441,"Beam Revised","")</f>
        <v>#N/A</v>
      </c>
      <c r="Y2441" s="7" t="e">
        <f>IF(VLOOKUP($A2441,'Concrete Beam Schedule'!$A$2:$Q$2902,Y$2,0)&lt;&gt;I2441,"Beam Revised","")</f>
        <v>#N/A</v>
      </c>
      <c r="Z2441" s="7" t="e">
        <f>IF(VLOOKUP($A2441,'Concrete Beam Schedule'!$A$2:$Q$2902,Z$2,0)&lt;&gt;J2441,"Beam Revised","")</f>
        <v>#N/A</v>
      </c>
      <c r="AA2441" s="7" t="e">
        <f>IF(VLOOKUP($A2441,'Concrete Beam Schedule'!$A$2:$Q$2902,AA$2,0)&lt;&gt;K2441,"Beam Revised","")</f>
        <v>#N/A</v>
      </c>
      <c r="AB2441" s="7" t="e">
        <f>IF(VLOOKUP($A2441,'Concrete Beam Schedule'!$A$2:$Q$2902,AB$2,0)&lt;&gt;L2441,"Beam Revised","")</f>
        <v>#N/A</v>
      </c>
      <c r="AC2441" s="7" t="e">
        <f>IF(VLOOKUP($A2441,'Concrete Beam Schedule'!$A$2:$Q$2902,AC$2,0)&lt;&gt;M2441,"Beam Revised","")</f>
        <v>#N/A</v>
      </c>
      <c r="AD2441" s="7" t="e">
        <f>IF(VLOOKUP($A2441,'Concrete Beam Schedule'!$A$2:$Q$2902,AD$2,0)&lt;&gt;N2441,"Beam Revised","")</f>
        <v>#N/A</v>
      </c>
      <c r="AE2441" s="7" t="e">
        <f>IF(VLOOKUP($A2441,'Concrete Beam Schedule'!$A$2:$Q$2902,AE$2,0)&lt;&gt;O2441,"Beam Revised","")</f>
        <v>#N/A</v>
      </c>
    </row>
    <row r="2442" spans="17:31" ht="20.100000000000001" customHeight="1" x14ac:dyDescent="0.25">
      <c r="Q2442" s="7">
        <f t="shared" si="38"/>
        <v>0</v>
      </c>
      <c r="R2442" s="7" t="e">
        <f>IF(VLOOKUP($A2442,'Concrete Beam Schedule'!$A$2:$Q$2902,R$2,0)&lt;&gt;B2442,VLOOKUP($A2442,'Concrete Beam Schedule'!$A$2:$Q$2902,R$2,0),"")</f>
        <v>#N/A</v>
      </c>
      <c r="S2442" s="7" t="e">
        <f>IF(VLOOKUP($A2442,'Concrete Beam Schedule'!$A$2:$Q$2902,S$2,0)&lt;&gt;C2442,VLOOKUP($A2442,'Concrete Beam Schedule'!$A$2:$Q$2902,S$2,0),"")</f>
        <v>#N/A</v>
      </c>
      <c r="T2442" s="7" t="e">
        <f>IF(VLOOKUP($A2442,'Concrete Beam Schedule'!$A$2:$Q$2902,T$2,0)&lt;&gt;D2442,"Beam Revised","")</f>
        <v>#N/A</v>
      </c>
      <c r="U2442" s="7" t="e">
        <f>IF(VLOOKUP($A2442,'Concrete Beam Schedule'!$A$2:$Q$2902,U$2,0)&lt;&gt;E2442,"Beam Revised","")</f>
        <v>#N/A</v>
      </c>
      <c r="V2442" s="7" t="e">
        <f>IF(VLOOKUP($A2442,'Concrete Beam Schedule'!$A$2:$Q$2902,V$2,0)&lt;&gt;F2442,"Beam Revised","")</f>
        <v>#N/A</v>
      </c>
      <c r="W2442" s="7" t="e">
        <f>IF(VLOOKUP($A2442,'Concrete Beam Schedule'!$A$2:$Q$2902,W$2,0)&lt;&gt;G2442,"Beam Revised","")</f>
        <v>#N/A</v>
      </c>
      <c r="X2442" s="7" t="e">
        <f>IF(VLOOKUP($A2442,'Concrete Beam Schedule'!$A$2:$Q$2902,X$2,0)&lt;&gt;H2442,"Beam Revised","")</f>
        <v>#N/A</v>
      </c>
      <c r="Y2442" s="7" t="e">
        <f>IF(VLOOKUP($A2442,'Concrete Beam Schedule'!$A$2:$Q$2902,Y$2,0)&lt;&gt;I2442,"Beam Revised","")</f>
        <v>#N/A</v>
      </c>
      <c r="Z2442" s="7" t="e">
        <f>IF(VLOOKUP($A2442,'Concrete Beam Schedule'!$A$2:$Q$2902,Z$2,0)&lt;&gt;J2442,"Beam Revised","")</f>
        <v>#N/A</v>
      </c>
      <c r="AA2442" s="7" t="e">
        <f>IF(VLOOKUP($A2442,'Concrete Beam Schedule'!$A$2:$Q$2902,AA$2,0)&lt;&gt;K2442,"Beam Revised","")</f>
        <v>#N/A</v>
      </c>
      <c r="AB2442" s="7" t="e">
        <f>IF(VLOOKUP($A2442,'Concrete Beam Schedule'!$A$2:$Q$2902,AB$2,0)&lt;&gt;L2442,"Beam Revised","")</f>
        <v>#N/A</v>
      </c>
      <c r="AC2442" s="7" t="e">
        <f>IF(VLOOKUP($A2442,'Concrete Beam Schedule'!$A$2:$Q$2902,AC$2,0)&lt;&gt;M2442,"Beam Revised","")</f>
        <v>#N/A</v>
      </c>
      <c r="AD2442" s="7" t="e">
        <f>IF(VLOOKUP($A2442,'Concrete Beam Schedule'!$A$2:$Q$2902,AD$2,0)&lt;&gt;N2442,"Beam Revised","")</f>
        <v>#N/A</v>
      </c>
      <c r="AE2442" s="7" t="e">
        <f>IF(VLOOKUP($A2442,'Concrete Beam Schedule'!$A$2:$Q$2902,AE$2,0)&lt;&gt;O2442,"Beam Revised","")</f>
        <v>#N/A</v>
      </c>
    </row>
    <row r="2443" spans="17:31" ht="20.100000000000001" customHeight="1" x14ac:dyDescent="0.25">
      <c r="Q2443" s="7">
        <f t="shared" si="38"/>
        <v>0</v>
      </c>
      <c r="R2443" s="7" t="e">
        <f>IF(VLOOKUP($A2443,'Concrete Beam Schedule'!$A$2:$Q$2902,R$2,0)&lt;&gt;B2443,VLOOKUP($A2443,'Concrete Beam Schedule'!$A$2:$Q$2902,R$2,0),"")</f>
        <v>#N/A</v>
      </c>
      <c r="S2443" s="7" t="e">
        <f>IF(VLOOKUP($A2443,'Concrete Beam Schedule'!$A$2:$Q$2902,S$2,0)&lt;&gt;C2443,VLOOKUP($A2443,'Concrete Beam Schedule'!$A$2:$Q$2902,S$2,0),"")</f>
        <v>#N/A</v>
      </c>
      <c r="T2443" s="7" t="e">
        <f>IF(VLOOKUP($A2443,'Concrete Beam Schedule'!$A$2:$Q$2902,T$2,0)&lt;&gt;D2443,"Beam Revised","")</f>
        <v>#N/A</v>
      </c>
      <c r="U2443" s="7" t="e">
        <f>IF(VLOOKUP($A2443,'Concrete Beam Schedule'!$A$2:$Q$2902,U$2,0)&lt;&gt;E2443,"Beam Revised","")</f>
        <v>#N/A</v>
      </c>
      <c r="V2443" s="7" t="e">
        <f>IF(VLOOKUP($A2443,'Concrete Beam Schedule'!$A$2:$Q$2902,V$2,0)&lt;&gt;F2443,"Beam Revised","")</f>
        <v>#N/A</v>
      </c>
      <c r="W2443" s="7" t="e">
        <f>IF(VLOOKUP($A2443,'Concrete Beam Schedule'!$A$2:$Q$2902,W$2,0)&lt;&gt;G2443,"Beam Revised","")</f>
        <v>#N/A</v>
      </c>
      <c r="X2443" s="7" t="e">
        <f>IF(VLOOKUP($A2443,'Concrete Beam Schedule'!$A$2:$Q$2902,X$2,0)&lt;&gt;H2443,"Beam Revised","")</f>
        <v>#N/A</v>
      </c>
      <c r="Y2443" s="7" t="e">
        <f>IF(VLOOKUP($A2443,'Concrete Beam Schedule'!$A$2:$Q$2902,Y$2,0)&lt;&gt;I2443,"Beam Revised","")</f>
        <v>#N/A</v>
      </c>
      <c r="Z2443" s="7" t="e">
        <f>IF(VLOOKUP($A2443,'Concrete Beam Schedule'!$A$2:$Q$2902,Z$2,0)&lt;&gt;J2443,"Beam Revised","")</f>
        <v>#N/A</v>
      </c>
      <c r="AA2443" s="7" t="e">
        <f>IF(VLOOKUP($A2443,'Concrete Beam Schedule'!$A$2:$Q$2902,AA$2,0)&lt;&gt;K2443,"Beam Revised","")</f>
        <v>#N/A</v>
      </c>
      <c r="AB2443" s="7" t="e">
        <f>IF(VLOOKUP($A2443,'Concrete Beam Schedule'!$A$2:$Q$2902,AB$2,0)&lt;&gt;L2443,"Beam Revised","")</f>
        <v>#N/A</v>
      </c>
      <c r="AC2443" s="7" t="e">
        <f>IF(VLOOKUP($A2443,'Concrete Beam Schedule'!$A$2:$Q$2902,AC$2,0)&lt;&gt;M2443,"Beam Revised","")</f>
        <v>#N/A</v>
      </c>
      <c r="AD2443" s="7" t="e">
        <f>IF(VLOOKUP($A2443,'Concrete Beam Schedule'!$A$2:$Q$2902,AD$2,0)&lt;&gt;N2443,"Beam Revised","")</f>
        <v>#N/A</v>
      </c>
      <c r="AE2443" s="7" t="e">
        <f>IF(VLOOKUP($A2443,'Concrete Beam Schedule'!$A$2:$Q$2902,AE$2,0)&lt;&gt;O2443,"Beam Revised","")</f>
        <v>#N/A</v>
      </c>
    </row>
    <row r="2444" spans="17:31" ht="20.100000000000001" customHeight="1" x14ac:dyDescent="0.25">
      <c r="Q2444" s="7">
        <f t="shared" si="38"/>
        <v>0</v>
      </c>
      <c r="R2444" s="7" t="e">
        <f>IF(VLOOKUP($A2444,'Concrete Beam Schedule'!$A$2:$Q$2902,R$2,0)&lt;&gt;B2444,VLOOKUP($A2444,'Concrete Beam Schedule'!$A$2:$Q$2902,R$2,0),"")</f>
        <v>#N/A</v>
      </c>
      <c r="S2444" s="7" t="e">
        <f>IF(VLOOKUP($A2444,'Concrete Beam Schedule'!$A$2:$Q$2902,S$2,0)&lt;&gt;C2444,VLOOKUP($A2444,'Concrete Beam Schedule'!$A$2:$Q$2902,S$2,0),"")</f>
        <v>#N/A</v>
      </c>
      <c r="T2444" s="7" t="e">
        <f>IF(VLOOKUP($A2444,'Concrete Beam Schedule'!$A$2:$Q$2902,T$2,0)&lt;&gt;D2444,"Beam Revised","")</f>
        <v>#N/A</v>
      </c>
      <c r="U2444" s="7" t="e">
        <f>IF(VLOOKUP($A2444,'Concrete Beam Schedule'!$A$2:$Q$2902,U$2,0)&lt;&gt;E2444,"Beam Revised","")</f>
        <v>#N/A</v>
      </c>
      <c r="V2444" s="7" t="e">
        <f>IF(VLOOKUP($A2444,'Concrete Beam Schedule'!$A$2:$Q$2902,V$2,0)&lt;&gt;F2444,"Beam Revised","")</f>
        <v>#N/A</v>
      </c>
      <c r="W2444" s="7" t="e">
        <f>IF(VLOOKUP($A2444,'Concrete Beam Schedule'!$A$2:$Q$2902,W$2,0)&lt;&gt;G2444,"Beam Revised","")</f>
        <v>#N/A</v>
      </c>
      <c r="X2444" s="7" t="e">
        <f>IF(VLOOKUP($A2444,'Concrete Beam Schedule'!$A$2:$Q$2902,X$2,0)&lt;&gt;H2444,"Beam Revised","")</f>
        <v>#N/A</v>
      </c>
      <c r="Y2444" s="7" t="e">
        <f>IF(VLOOKUP($A2444,'Concrete Beam Schedule'!$A$2:$Q$2902,Y$2,0)&lt;&gt;I2444,"Beam Revised","")</f>
        <v>#N/A</v>
      </c>
      <c r="Z2444" s="7" t="e">
        <f>IF(VLOOKUP($A2444,'Concrete Beam Schedule'!$A$2:$Q$2902,Z$2,0)&lt;&gt;J2444,"Beam Revised","")</f>
        <v>#N/A</v>
      </c>
      <c r="AA2444" s="7" t="e">
        <f>IF(VLOOKUP($A2444,'Concrete Beam Schedule'!$A$2:$Q$2902,AA$2,0)&lt;&gt;K2444,"Beam Revised","")</f>
        <v>#N/A</v>
      </c>
      <c r="AB2444" s="7" t="e">
        <f>IF(VLOOKUP($A2444,'Concrete Beam Schedule'!$A$2:$Q$2902,AB$2,0)&lt;&gt;L2444,"Beam Revised","")</f>
        <v>#N/A</v>
      </c>
      <c r="AC2444" s="7" t="e">
        <f>IF(VLOOKUP($A2444,'Concrete Beam Schedule'!$A$2:$Q$2902,AC$2,0)&lt;&gt;M2444,"Beam Revised","")</f>
        <v>#N/A</v>
      </c>
      <c r="AD2444" s="7" t="e">
        <f>IF(VLOOKUP($A2444,'Concrete Beam Schedule'!$A$2:$Q$2902,AD$2,0)&lt;&gt;N2444,"Beam Revised","")</f>
        <v>#N/A</v>
      </c>
      <c r="AE2444" s="7" t="e">
        <f>IF(VLOOKUP($A2444,'Concrete Beam Schedule'!$A$2:$Q$2902,AE$2,0)&lt;&gt;O2444,"Beam Revised","")</f>
        <v>#N/A</v>
      </c>
    </row>
    <row r="2445" spans="17:31" ht="20.100000000000001" customHeight="1" x14ac:dyDescent="0.25">
      <c r="Q2445" s="7">
        <f t="shared" si="38"/>
        <v>0</v>
      </c>
      <c r="R2445" s="7" t="e">
        <f>IF(VLOOKUP($A2445,'Concrete Beam Schedule'!$A$2:$Q$2902,R$2,0)&lt;&gt;B2445,VLOOKUP($A2445,'Concrete Beam Schedule'!$A$2:$Q$2902,R$2,0),"")</f>
        <v>#N/A</v>
      </c>
      <c r="S2445" s="7" t="e">
        <f>IF(VLOOKUP($A2445,'Concrete Beam Schedule'!$A$2:$Q$2902,S$2,0)&lt;&gt;C2445,VLOOKUP($A2445,'Concrete Beam Schedule'!$A$2:$Q$2902,S$2,0),"")</f>
        <v>#N/A</v>
      </c>
      <c r="T2445" s="7" t="e">
        <f>IF(VLOOKUP($A2445,'Concrete Beam Schedule'!$A$2:$Q$2902,T$2,0)&lt;&gt;D2445,"Beam Revised","")</f>
        <v>#N/A</v>
      </c>
      <c r="U2445" s="7" t="e">
        <f>IF(VLOOKUP($A2445,'Concrete Beam Schedule'!$A$2:$Q$2902,U$2,0)&lt;&gt;E2445,"Beam Revised","")</f>
        <v>#N/A</v>
      </c>
      <c r="V2445" s="7" t="e">
        <f>IF(VLOOKUP($A2445,'Concrete Beam Schedule'!$A$2:$Q$2902,V$2,0)&lt;&gt;F2445,"Beam Revised","")</f>
        <v>#N/A</v>
      </c>
      <c r="W2445" s="7" t="e">
        <f>IF(VLOOKUP($A2445,'Concrete Beam Schedule'!$A$2:$Q$2902,W$2,0)&lt;&gt;G2445,"Beam Revised","")</f>
        <v>#N/A</v>
      </c>
      <c r="X2445" s="7" t="e">
        <f>IF(VLOOKUP($A2445,'Concrete Beam Schedule'!$A$2:$Q$2902,X$2,0)&lt;&gt;H2445,"Beam Revised","")</f>
        <v>#N/A</v>
      </c>
      <c r="Y2445" s="7" t="e">
        <f>IF(VLOOKUP($A2445,'Concrete Beam Schedule'!$A$2:$Q$2902,Y$2,0)&lt;&gt;I2445,"Beam Revised","")</f>
        <v>#N/A</v>
      </c>
      <c r="Z2445" s="7" t="e">
        <f>IF(VLOOKUP($A2445,'Concrete Beam Schedule'!$A$2:$Q$2902,Z$2,0)&lt;&gt;J2445,"Beam Revised","")</f>
        <v>#N/A</v>
      </c>
      <c r="AA2445" s="7" t="e">
        <f>IF(VLOOKUP($A2445,'Concrete Beam Schedule'!$A$2:$Q$2902,AA$2,0)&lt;&gt;K2445,"Beam Revised","")</f>
        <v>#N/A</v>
      </c>
      <c r="AB2445" s="7" t="e">
        <f>IF(VLOOKUP($A2445,'Concrete Beam Schedule'!$A$2:$Q$2902,AB$2,0)&lt;&gt;L2445,"Beam Revised","")</f>
        <v>#N/A</v>
      </c>
      <c r="AC2445" s="7" t="e">
        <f>IF(VLOOKUP($A2445,'Concrete Beam Schedule'!$A$2:$Q$2902,AC$2,0)&lt;&gt;M2445,"Beam Revised","")</f>
        <v>#N/A</v>
      </c>
      <c r="AD2445" s="7" t="e">
        <f>IF(VLOOKUP($A2445,'Concrete Beam Schedule'!$A$2:$Q$2902,AD$2,0)&lt;&gt;N2445,"Beam Revised","")</f>
        <v>#N/A</v>
      </c>
      <c r="AE2445" s="7" t="e">
        <f>IF(VLOOKUP($A2445,'Concrete Beam Schedule'!$A$2:$Q$2902,AE$2,0)&lt;&gt;O2445,"Beam Revised","")</f>
        <v>#N/A</v>
      </c>
    </row>
    <row r="2446" spans="17:31" ht="20.100000000000001" customHeight="1" x14ac:dyDescent="0.25">
      <c r="Q2446" s="7">
        <f t="shared" si="38"/>
        <v>0</v>
      </c>
      <c r="R2446" s="7" t="e">
        <f>IF(VLOOKUP($A2446,'Concrete Beam Schedule'!$A$2:$Q$2902,R$2,0)&lt;&gt;B2446,VLOOKUP($A2446,'Concrete Beam Schedule'!$A$2:$Q$2902,R$2,0),"")</f>
        <v>#N/A</v>
      </c>
      <c r="S2446" s="7" t="e">
        <f>IF(VLOOKUP($A2446,'Concrete Beam Schedule'!$A$2:$Q$2902,S$2,0)&lt;&gt;C2446,VLOOKUP($A2446,'Concrete Beam Schedule'!$A$2:$Q$2902,S$2,0),"")</f>
        <v>#N/A</v>
      </c>
      <c r="T2446" s="7" t="e">
        <f>IF(VLOOKUP($A2446,'Concrete Beam Schedule'!$A$2:$Q$2902,T$2,0)&lt;&gt;D2446,"Beam Revised","")</f>
        <v>#N/A</v>
      </c>
      <c r="U2446" s="7" t="e">
        <f>IF(VLOOKUP($A2446,'Concrete Beam Schedule'!$A$2:$Q$2902,U$2,0)&lt;&gt;E2446,"Beam Revised","")</f>
        <v>#N/A</v>
      </c>
      <c r="V2446" s="7" t="e">
        <f>IF(VLOOKUP($A2446,'Concrete Beam Schedule'!$A$2:$Q$2902,V$2,0)&lt;&gt;F2446,"Beam Revised","")</f>
        <v>#N/A</v>
      </c>
      <c r="W2446" s="7" t="e">
        <f>IF(VLOOKUP($A2446,'Concrete Beam Schedule'!$A$2:$Q$2902,W$2,0)&lt;&gt;G2446,"Beam Revised","")</f>
        <v>#N/A</v>
      </c>
      <c r="X2446" s="7" t="e">
        <f>IF(VLOOKUP($A2446,'Concrete Beam Schedule'!$A$2:$Q$2902,X$2,0)&lt;&gt;H2446,"Beam Revised","")</f>
        <v>#N/A</v>
      </c>
      <c r="Y2446" s="7" t="e">
        <f>IF(VLOOKUP($A2446,'Concrete Beam Schedule'!$A$2:$Q$2902,Y$2,0)&lt;&gt;I2446,"Beam Revised","")</f>
        <v>#N/A</v>
      </c>
      <c r="Z2446" s="7" t="e">
        <f>IF(VLOOKUP($A2446,'Concrete Beam Schedule'!$A$2:$Q$2902,Z$2,0)&lt;&gt;J2446,"Beam Revised","")</f>
        <v>#N/A</v>
      </c>
      <c r="AA2446" s="7" t="e">
        <f>IF(VLOOKUP($A2446,'Concrete Beam Schedule'!$A$2:$Q$2902,AA$2,0)&lt;&gt;K2446,"Beam Revised","")</f>
        <v>#N/A</v>
      </c>
      <c r="AB2446" s="7" t="e">
        <f>IF(VLOOKUP($A2446,'Concrete Beam Schedule'!$A$2:$Q$2902,AB$2,0)&lt;&gt;L2446,"Beam Revised","")</f>
        <v>#N/A</v>
      </c>
      <c r="AC2446" s="7" t="e">
        <f>IF(VLOOKUP($A2446,'Concrete Beam Schedule'!$A$2:$Q$2902,AC$2,0)&lt;&gt;M2446,"Beam Revised","")</f>
        <v>#N/A</v>
      </c>
      <c r="AD2446" s="7" t="e">
        <f>IF(VLOOKUP($A2446,'Concrete Beam Schedule'!$A$2:$Q$2902,AD$2,0)&lt;&gt;N2446,"Beam Revised","")</f>
        <v>#N/A</v>
      </c>
      <c r="AE2446" s="7" t="e">
        <f>IF(VLOOKUP($A2446,'Concrete Beam Schedule'!$A$2:$Q$2902,AE$2,0)&lt;&gt;O2446,"Beam Revised","")</f>
        <v>#N/A</v>
      </c>
    </row>
    <row r="2447" spans="17:31" ht="20.100000000000001" customHeight="1" x14ac:dyDescent="0.25">
      <c r="Q2447" s="7">
        <f t="shared" si="38"/>
        <v>0</v>
      </c>
      <c r="R2447" s="7" t="e">
        <f>IF(VLOOKUP($A2447,'Concrete Beam Schedule'!$A$2:$Q$2902,R$2,0)&lt;&gt;B2447,VLOOKUP($A2447,'Concrete Beam Schedule'!$A$2:$Q$2902,R$2,0),"")</f>
        <v>#N/A</v>
      </c>
      <c r="S2447" s="7" t="e">
        <f>IF(VLOOKUP($A2447,'Concrete Beam Schedule'!$A$2:$Q$2902,S$2,0)&lt;&gt;C2447,VLOOKUP($A2447,'Concrete Beam Schedule'!$A$2:$Q$2902,S$2,0),"")</f>
        <v>#N/A</v>
      </c>
      <c r="T2447" s="7" t="e">
        <f>IF(VLOOKUP($A2447,'Concrete Beam Schedule'!$A$2:$Q$2902,T$2,0)&lt;&gt;D2447,"Beam Revised","")</f>
        <v>#N/A</v>
      </c>
      <c r="U2447" s="7" t="e">
        <f>IF(VLOOKUP($A2447,'Concrete Beam Schedule'!$A$2:$Q$2902,U$2,0)&lt;&gt;E2447,"Beam Revised","")</f>
        <v>#N/A</v>
      </c>
      <c r="V2447" s="7" t="e">
        <f>IF(VLOOKUP($A2447,'Concrete Beam Schedule'!$A$2:$Q$2902,V$2,0)&lt;&gt;F2447,"Beam Revised","")</f>
        <v>#N/A</v>
      </c>
      <c r="W2447" s="7" t="e">
        <f>IF(VLOOKUP($A2447,'Concrete Beam Schedule'!$A$2:$Q$2902,W$2,0)&lt;&gt;G2447,"Beam Revised","")</f>
        <v>#N/A</v>
      </c>
      <c r="X2447" s="7" t="e">
        <f>IF(VLOOKUP($A2447,'Concrete Beam Schedule'!$A$2:$Q$2902,X$2,0)&lt;&gt;H2447,"Beam Revised","")</f>
        <v>#N/A</v>
      </c>
      <c r="Y2447" s="7" t="e">
        <f>IF(VLOOKUP($A2447,'Concrete Beam Schedule'!$A$2:$Q$2902,Y$2,0)&lt;&gt;I2447,"Beam Revised","")</f>
        <v>#N/A</v>
      </c>
      <c r="Z2447" s="7" t="e">
        <f>IF(VLOOKUP($A2447,'Concrete Beam Schedule'!$A$2:$Q$2902,Z$2,0)&lt;&gt;J2447,"Beam Revised","")</f>
        <v>#N/A</v>
      </c>
      <c r="AA2447" s="7" t="e">
        <f>IF(VLOOKUP($A2447,'Concrete Beam Schedule'!$A$2:$Q$2902,AA$2,0)&lt;&gt;K2447,"Beam Revised","")</f>
        <v>#N/A</v>
      </c>
      <c r="AB2447" s="7" t="e">
        <f>IF(VLOOKUP($A2447,'Concrete Beam Schedule'!$A$2:$Q$2902,AB$2,0)&lt;&gt;L2447,"Beam Revised","")</f>
        <v>#N/A</v>
      </c>
      <c r="AC2447" s="7" t="e">
        <f>IF(VLOOKUP($A2447,'Concrete Beam Schedule'!$A$2:$Q$2902,AC$2,0)&lt;&gt;M2447,"Beam Revised","")</f>
        <v>#N/A</v>
      </c>
      <c r="AD2447" s="7" t="e">
        <f>IF(VLOOKUP($A2447,'Concrete Beam Schedule'!$A$2:$Q$2902,AD$2,0)&lt;&gt;N2447,"Beam Revised","")</f>
        <v>#N/A</v>
      </c>
      <c r="AE2447" s="7" t="e">
        <f>IF(VLOOKUP($A2447,'Concrete Beam Schedule'!$A$2:$Q$2902,AE$2,0)&lt;&gt;O2447,"Beam Revised","")</f>
        <v>#N/A</v>
      </c>
    </row>
    <row r="2448" spans="17:31" ht="20.100000000000001" customHeight="1" x14ac:dyDescent="0.25">
      <c r="Q2448" s="7">
        <f t="shared" si="38"/>
        <v>0</v>
      </c>
      <c r="R2448" s="7" t="e">
        <f>IF(VLOOKUP($A2448,'Concrete Beam Schedule'!$A$2:$Q$2902,R$2,0)&lt;&gt;B2448,VLOOKUP($A2448,'Concrete Beam Schedule'!$A$2:$Q$2902,R$2,0),"")</f>
        <v>#N/A</v>
      </c>
      <c r="S2448" s="7" t="e">
        <f>IF(VLOOKUP($A2448,'Concrete Beam Schedule'!$A$2:$Q$2902,S$2,0)&lt;&gt;C2448,VLOOKUP($A2448,'Concrete Beam Schedule'!$A$2:$Q$2902,S$2,0),"")</f>
        <v>#N/A</v>
      </c>
      <c r="T2448" s="7" t="e">
        <f>IF(VLOOKUP($A2448,'Concrete Beam Schedule'!$A$2:$Q$2902,T$2,0)&lt;&gt;D2448,"Beam Revised","")</f>
        <v>#N/A</v>
      </c>
      <c r="U2448" s="7" t="e">
        <f>IF(VLOOKUP($A2448,'Concrete Beam Schedule'!$A$2:$Q$2902,U$2,0)&lt;&gt;E2448,"Beam Revised","")</f>
        <v>#N/A</v>
      </c>
      <c r="V2448" s="7" t="e">
        <f>IF(VLOOKUP($A2448,'Concrete Beam Schedule'!$A$2:$Q$2902,V$2,0)&lt;&gt;F2448,"Beam Revised","")</f>
        <v>#N/A</v>
      </c>
      <c r="W2448" s="7" t="e">
        <f>IF(VLOOKUP($A2448,'Concrete Beam Schedule'!$A$2:$Q$2902,W$2,0)&lt;&gt;G2448,"Beam Revised","")</f>
        <v>#N/A</v>
      </c>
      <c r="X2448" s="7" t="e">
        <f>IF(VLOOKUP($A2448,'Concrete Beam Schedule'!$A$2:$Q$2902,X$2,0)&lt;&gt;H2448,"Beam Revised","")</f>
        <v>#N/A</v>
      </c>
      <c r="Y2448" s="7" t="e">
        <f>IF(VLOOKUP($A2448,'Concrete Beam Schedule'!$A$2:$Q$2902,Y$2,0)&lt;&gt;I2448,"Beam Revised","")</f>
        <v>#N/A</v>
      </c>
      <c r="Z2448" s="7" t="e">
        <f>IF(VLOOKUP($A2448,'Concrete Beam Schedule'!$A$2:$Q$2902,Z$2,0)&lt;&gt;J2448,"Beam Revised","")</f>
        <v>#N/A</v>
      </c>
      <c r="AA2448" s="7" t="e">
        <f>IF(VLOOKUP($A2448,'Concrete Beam Schedule'!$A$2:$Q$2902,AA$2,0)&lt;&gt;K2448,"Beam Revised","")</f>
        <v>#N/A</v>
      </c>
      <c r="AB2448" s="7" t="e">
        <f>IF(VLOOKUP($A2448,'Concrete Beam Schedule'!$A$2:$Q$2902,AB$2,0)&lt;&gt;L2448,"Beam Revised","")</f>
        <v>#N/A</v>
      </c>
      <c r="AC2448" s="7" t="e">
        <f>IF(VLOOKUP($A2448,'Concrete Beam Schedule'!$A$2:$Q$2902,AC$2,0)&lt;&gt;M2448,"Beam Revised","")</f>
        <v>#N/A</v>
      </c>
      <c r="AD2448" s="7" t="e">
        <f>IF(VLOOKUP($A2448,'Concrete Beam Schedule'!$A$2:$Q$2902,AD$2,0)&lt;&gt;N2448,"Beam Revised","")</f>
        <v>#N/A</v>
      </c>
      <c r="AE2448" s="7" t="e">
        <f>IF(VLOOKUP($A2448,'Concrete Beam Schedule'!$A$2:$Q$2902,AE$2,0)&lt;&gt;O2448,"Beam Revised","")</f>
        <v>#N/A</v>
      </c>
    </row>
    <row r="2449" spans="17:31" ht="20.100000000000001" customHeight="1" x14ac:dyDescent="0.25">
      <c r="Q2449" s="7">
        <f t="shared" si="38"/>
        <v>0</v>
      </c>
      <c r="R2449" s="7" t="e">
        <f>IF(VLOOKUP($A2449,'Concrete Beam Schedule'!$A$2:$Q$2902,R$2,0)&lt;&gt;B2449,VLOOKUP($A2449,'Concrete Beam Schedule'!$A$2:$Q$2902,R$2,0),"")</f>
        <v>#N/A</v>
      </c>
      <c r="S2449" s="7" t="e">
        <f>IF(VLOOKUP($A2449,'Concrete Beam Schedule'!$A$2:$Q$2902,S$2,0)&lt;&gt;C2449,VLOOKUP($A2449,'Concrete Beam Schedule'!$A$2:$Q$2902,S$2,0),"")</f>
        <v>#N/A</v>
      </c>
      <c r="T2449" s="7" t="e">
        <f>IF(VLOOKUP($A2449,'Concrete Beam Schedule'!$A$2:$Q$2902,T$2,0)&lt;&gt;D2449,"Beam Revised","")</f>
        <v>#N/A</v>
      </c>
      <c r="U2449" s="7" t="e">
        <f>IF(VLOOKUP($A2449,'Concrete Beam Schedule'!$A$2:$Q$2902,U$2,0)&lt;&gt;E2449,"Beam Revised","")</f>
        <v>#N/A</v>
      </c>
      <c r="V2449" s="7" t="e">
        <f>IF(VLOOKUP($A2449,'Concrete Beam Schedule'!$A$2:$Q$2902,V$2,0)&lt;&gt;F2449,"Beam Revised","")</f>
        <v>#N/A</v>
      </c>
      <c r="W2449" s="7" t="e">
        <f>IF(VLOOKUP($A2449,'Concrete Beam Schedule'!$A$2:$Q$2902,W$2,0)&lt;&gt;G2449,"Beam Revised","")</f>
        <v>#N/A</v>
      </c>
      <c r="X2449" s="7" t="e">
        <f>IF(VLOOKUP($A2449,'Concrete Beam Schedule'!$A$2:$Q$2902,X$2,0)&lt;&gt;H2449,"Beam Revised","")</f>
        <v>#N/A</v>
      </c>
      <c r="Y2449" s="7" t="e">
        <f>IF(VLOOKUP($A2449,'Concrete Beam Schedule'!$A$2:$Q$2902,Y$2,0)&lt;&gt;I2449,"Beam Revised","")</f>
        <v>#N/A</v>
      </c>
      <c r="Z2449" s="7" t="e">
        <f>IF(VLOOKUP($A2449,'Concrete Beam Schedule'!$A$2:$Q$2902,Z$2,0)&lt;&gt;J2449,"Beam Revised","")</f>
        <v>#N/A</v>
      </c>
      <c r="AA2449" s="7" t="e">
        <f>IF(VLOOKUP($A2449,'Concrete Beam Schedule'!$A$2:$Q$2902,AA$2,0)&lt;&gt;K2449,"Beam Revised","")</f>
        <v>#N/A</v>
      </c>
      <c r="AB2449" s="7" t="e">
        <f>IF(VLOOKUP($A2449,'Concrete Beam Schedule'!$A$2:$Q$2902,AB$2,0)&lt;&gt;L2449,"Beam Revised","")</f>
        <v>#N/A</v>
      </c>
      <c r="AC2449" s="7" t="e">
        <f>IF(VLOOKUP($A2449,'Concrete Beam Schedule'!$A$2:$Q$2902,AC$2,0)&lt;&gt;M2449,"Beam Revised","")</f>
        <v>#N/A</v>
      </c>
      <c r="AD2449" s="7" t="e">
        <f>IF(VLOOKUP($A2449,'Concrete Beam Schedule'!$A$2:$Q$2902,AD$2,0)&lt;&gt;N2449,"Beam Revised","")</f>
        <v>#N/A</v>
      </c>
      <c r="AE2449" s="7" t="e">
        <f>IF(VLOOKUP($A2449,'Concrete Beam Schedule'!$A$2:$Q$2902,AE$2,0)&lt;&gt;O2449,"Beam Revised","")</f>
        <v>#N/A</v>
      </c>
    </row>
    <row r="2450" spans="17:31" ht="20.100000000000001" customHeight="1" x14ac:dyDescent="0.25">
      <c r="Q2450" s="7">
        <f t="shared" si="38"/>
        <v>0</v>
      </c>
      <c r="R2450" s="7" t="e">
        <f>IF(VLOOKUP($A2450,'Concrete Beam Schedule'!$A$2:$Q$2902,R$2,0)&lt;&gt;B2450,VLOOKUP($A2450,'Concrete Beam Schedule'!$A$2:$Q$2902,R$2,0),"")</f>
        <v>#N/A</v>
      </c>
      <c r="S2450" s="7" t="e">
        <f>IF(VLOOKUP($A2450,'Concrete Beam Schedule'!$A$2:$Q$2902,S$2,0)&lt;&gt;C2450,VLOOKUP($A2450,'Concrete Beam Schedule'!$A$2:$Q$2902,S$2,0),"")</f>
        <v>#N/A</v>
      </c>
      <c r="T2450" s="7" t="e">
        <f>IF(VLOOKUP($A2450,'Concrete Beam Schedule'!$A$2:$Q$2902,T$2,0)&lt;&gt;D2450,"Beam Revised","")</f>
        <v>#N/A</v>
      </c>
      <c r="U2450" s="7" t="e">
        <f>IF(VLOOKUP($A2450,'Concrete Beam Schedule'!$A$2:$Q$2902,U$2,0)&lt;&gt;E2450,"Beam Revised","")</f>
        <v>#N/A</v>
      </c>
      <c r="V2450" s="7" t="e">
        <f>IF(VLOOKUP($A2450,'Concrete Beam Schedule'!$A$2:$Q$2902,V$2,0)&lt;&gt;F2450,"Beam Revised","")</f>
        <v>#N/A</v>
      </c>
      <c r="W2450" s="7" t="e">
        <f>IF(VLOOKUP($A2450,'Concrete Beam Schedule'!$A$2:$Q$2902,W$2,0)&lt;&gt;G2450,"Beam Revised","")</f>
        <v>#N/A</v>
      </c>
      <c r="X2450" s="7" t="e">
        <f>IF(VLOOKUP($A2450,'Concrete Beam Schedule'!$A$2:$Q$2902,X$2,0)&lt;&gt;H2450,"Beam Revised","")</f>
        <v>#N/A</v>
      </c>
      <c r="Y2450" s="7" t="e">
        <f>IF(VLOOKUP($A2450,'Concrete Beam Schedule'!$A$2:$Q$2902,Y$2,0)&lt;&gt;I2450,"Beam Revised","")</f>
        <v>#N/A</v>
      </c>
      <c r="Z2450" s="7" t="e">
        <f>IF(VLOOKUP($A2450,'Concrete Beam Schedule'!$A$2:$Q$2902,Z$2,0)&lt;&gt;J2450,"Beam Revised","")</f>
        <v>#N/A</v>
      </c>
      <c r="AA2450" s="7" t="e">
        <f>IF(VLOOKUP($A2450,'Concrete Beam Schedule'!$A$2:$Q$2902,AA$2,0)&lt;&gt;K2450,"Beam Revised","")</f>
        <v>#N/A</v>
      </c>
      <c r="AB2450" s="7" t="e">
        <f>IF(VLOOKUP($A2450,'Concrete Beam Schedule'!$A$2:$Q$2902,AB$2,0)&lt;&gt;L2450,"Beam Revised","")</f>
        <v>#N/A</v>
      </c>
      <c r="AC2450" s="7" t="e">
        <f>IF(VLOOKUP($A2450,'Concrete Beam Schedule'!$A$2:$Q$2902,AC$2,0)&lt;&gt;M2450,"Beam Revised","")</f>
        <v>#N/A</v>
      </c>
      <c r="AD2450" s="7" t="e">
        <f>IF(VLOOKUP($A2450,'Concrete Beam Schedule'!$A$2:$Q$2902,AD$2,0)&lt;&gt;N2450,"Beam Revised","")</f>
        <v>#N/A</v>
      </c>
      <c r="AE2450" s="7" t="e">
        <f>IF(VLOOKUP($A2450,'Concrete Beam Schedule'!$A$2:$Q$2902,AE$2,0)&lt;&gt;O2450,"Beam Revised","")</f>
        <v>#N/A</v>
      </c>
    </row>
    <row r="2451" spans="17:31" ht="20.100000000000001" customHeight="1" x14ac:dyDescent="0.25">
      <c r="Q2451" s="7">
        <f t="shared" si="38"/>
        <v>0</v>
      </c>
      <c r="R2451" s="7" t="e">
        <f>IF(VLOOKUP($A2451,'Concrete Beam Schedule'!$A$2:$Q$2902,R$2,0)&lt;&gt;B2451,VLOOKUP($A2451,'Concrete Beam Schedule'!$A$2:$Q$2902,R$2,0),"")</f>
        <v>#N/A</v>
      </c>
      <c r="S2451" s="7" t="e">
        <f>IF(VLOOKUP($A2451,'Concrete Beam Schedule'!$A$2:$Q$2902,S$2,0)&lt;&gt;C2451,VLOOKUP($A2451,'Concrete Beam Schedule'!$A$2:$Q$2902,S$2,0),"")</f>
        <v>#N/A</v>
      </c>
      <c r="T2451" s="7" t="e">
        <f>IF(VLOOKUP($A2451,'Concrete Beam Schedule'!$A$2:$Q$2902,T$2,0)&lt;&gt;D2451,"Beam Revised","")</f>
        <v>#N/A</v>
      </c>
      <c r="U2451" s="7" t="e">
        <f>IF(VLOOKUP($A2451,'Concrete Beam Schedule'!$A$2:$Q$2902,U$2,0)&lt;&gt;E2451,"Beam Revised","")</f>
        <v>#N/A</v>
      </c>
      <c r="V2451" s="7" t="e">
        <f>IF(VLOOKUP($A2451,'Concrete Beam Schedule'!$A$2:$Q$2902,V$2,0)&lt;&gt;F2451,"Beam Revised","")</f>
        <v>#N/A</v>
      </c>
      <c r="W2451" s="7" t="e">
        <f>IF(VLOOKUP($A2451,'Concrete Beam Schedule'!$A$2:$Q$2902,W$2,0)&lt;&gt;G2451,"Beam Revised","")</f>
        <v>#N/A</v>
      </c>
      <c r="X2451" s="7" t="e">
        <f>IF(VLOOKUP($A2451,'Concrete Beam Schedule'!$A$2:$Q$2902,X$2,0)&lt;&gt;H2451,"Beam Revised","")</f>
        <v>#N/A</v>
      </c>
      <c r="Y2451" s="7" t="e">
        <f>IF(VLOOKUP($A2451,'Concrete Beam Schedule'!$A$2:$Q$2902,Y$2,0)&lt;&gt;I2451,"Beam Revised","")</f>
        <v>#N/A</v>
      </c>
      <c r="Z2451" s="7" t="e">
        <f>IF(VLOOKUP($A2451,'Concrete Beam Schedule'!$A$2:$Q$2902,Z$2,0)&lt;&gt;J2451,"Beam Revised","")</f>
        <v>#N/A</v>
      </c>
      <c r="AA2451" s="7" t="e">
        <f>IF(VLOOKUP($A2451,'Concrete Beam Schedule'!$A$2:$Q$2902,AA$2,0)&lt;&gt;K2451,"Beam Revised","")</f>
        <v>#N/A</v>
      </c>
      <c r="AB2451" s="7" t="e">
        <f>IF(VLOOKUP($A2451,'Concrete Beam Schedule'!$A$2:$Q$2902,AB$2,0)&lt;&gt;L2451,"Beam Revised","")</f>
        <v>#N/A</v>
      </c>
      <c r="AC2451" s="7" t="e">
        <f>IF(VLOOKUP($A2451,'Concrete Beam Schedule'!$A$2:$Q$2902,AC$2,0)&lt;&gt;M2451,"Beam Revised","")</f>
        <v>#N/A</v>
      </c>
      <c r="AD2451" s="7" t="e">
        <f>IF(VLOOKUP($A2451,'Concrete Beam Schedule'!$A$2:$Q$2902,AD$2,0)&lt;&gt;N2451,"Beam Revised","")</f>
        <v>#N/A</v>
      </c>
      <c r="AE2451" s="7" t="e">
        <f>IF(VLOOKUP($A2451,'Concrete Beam Schedule'!$A$2:$Q$2902,AE$2,0)&lt;&gt;O2451,"Beam Revised","")</f>
        <v>#N/A</v>
      </c>
    </row>
    <row r="2452" spans="17:31" ht="20.100000000000001" customHeight="1" x14ac:dyDescent="0.25">
      <c r="Q2452" s="7">
        <f t="shared" si="38"/>
        <v>0</v>
      </c>
      <c r="R2452" s="7" t="e">
        <f>IF(VLOOKUP($A2452,'Concrete Beam Schedule'!$A$2:$Q$2902,R$2,0)&lt;&gt;B2452,VLOOKUP($A2452,'Concrete Beam Schedule'!$A$2:$Q$2902,R$2,0),"")</f>
        <v>#N/A</v>
      </c>
      <c r="S2452" s="7" t="e">
        <f>IF(VLOOKUP($A2452,'Concrete Beam Schedule'!$A$2:$Q$2902,S$2,0)&lt;&gt;C2452,VLOOKUP($A2452,'Concrete Beam Schedule'!$A$2:$Q$2902,S$2,0),"")</f>
        <v>#N/A</v>
      </c>
      <c r="T2452" s="7" t="e">
        <f>IF(VLOOKUP($A2452,'Concrete Beam Schedule'!$A$2:$Q$2902,T$2,0)&lt;&gt;D2452,"Beam Revised","")</f>
        <v>#N/A</v>
      </c>
      <c r="U2452" s="7" t="e">
        <f>IF(VLOOKUP($A2452,'Concrete Beam Schedule'!$A$2:$Q$2902,U$2,0)&lt;&gt;E2452,"Beam Revised","")</f>
        <v>#N/A</v>
      </c>
      <c r="V2452" s="7" t="e">
        <f>IF(VLOOKUP($A2452,'Concrete Beam Schedule'!$A$2:$Q$2902,V$2,0)&lt;&gt;F2452,"Beam Revised","")</f>
        <v>#N/A</v>
      </c>
      <c r="W2452" s="7" t="e">
        <f>IF(VLOOKUP($A2452,'Concrete Beam Schedule'!$A$2:$Q$2902,W$2,0)&lt;&gt;G2452,"Beam Revised","")</f>
        <v>#N/A</v>
      </c>
      <c r="X2452" s="7" t="e">
        <f>IF(VLOOKUP($A2452,'Concrete Beam Schedule'!$A$2:$Q$2902,X$2,0)&lt;&gt;H2452,"Beam Revised","")</f>
        <v>#N/A</v>
      </c>
      <c r="Y2452" s="7" t="e">
        <f>IF(VLOOKUP($A2452,'Concrete Beam Schedule'!$A$2:$Q$2902,Y$2,0)&lt;&gt;I2452,"Beam Revised","")</f>
        <v>#N/A</v>
      </c>
      <c r="Z2452" s="7" t="e">
        <f>IF(VLOOKUP($A2452,'Concrete Beam Schedule'!$A$2:$Q$2902,Z$2,0)&lt;&gt;J2452,"Beam Revised","")</f>
        <v>#N/A</v>
      </c>
      <c r="AA2452" s="7" t="e">
        <f>IF(VLOOKUP($A2452,'Concrete Beam Schedule'!$A$2:$Q$2902,AA$2,0)&lt;&gt;K2452,"Beam Revised","")</f>
        <v>#N/A</v>
      </c>
      <c r="AB2452" s="7" t="e">
        <f>IF(VLOOKUP($A2452,'Concrete Beam Schedule'!$A$2:$Q$2902,AB$2,0)&lt;&gt;L2452,"Beam Revised","")</f>
        <v>#N/A</v>
      </c>
      <c r="AC2452" s="7" t="e">
        <f>IF(VLOOKUP($A2452,'Concrete Beam Schedule'!$A$2:$Q$2902,AC$2,0)&lt;&gt;M2452,"Beam Revised","")</f>
        <v>#N/A</v>
      </c>
      <c r="AD2452" s="7" t="e">
        <f>IF(VLOOKUP($A2452,'Concrete Beam Schedule'!$A$2:$Q$2902,AD$2,0)&lt;&gt;N2452,"Beam Revised","")</f>
        <v>#N/A</v>
      </c>
      <c r="AE2452" s="7" t="e">
        <f>IF(VLOOKUP($A2452,'Concrete Beam Schedule'!$A$2:$Q$2902,AE$2,0)&lt;&gt;O2452,"Beam Revised","")</f>
        <v>#N/A</v>
      </c>
    </row>
    <row r="2453" spans="17:31" ht="20.100000000000001" customHeight="1" x14ac:dyDescent="0.25">
      <c r="Q2453" s="7">
        <f t="shared" si="38"/>
        <v>0</v>
      </c>
      <c r="R2453" s="7" t="e">
        <f>IF(VLOOKUP($A2453,'Concrete Beam Schedule'!$A$2:$Q$2902,R$2,0)&lt;&gt;B2453,VLOOKUP($A2453,'Concrete Beam Schedule'!$A$2:$Q$2902,R$2,0),"")</f>
        <v>#N/A</v>
      </c>
      <c r="S2453" s="7" t="e">
        <f>IF(VLOOKUP($A2453,'Concrete Beam Schedule'!$A$2:$Q$2902,S$2,0)&lt;&gt;C2453,VLOOKUP($A2453,'Concrete Beam Schedule'!$A$2:$Q$2902,S$2,0),"")</f>
        <v>#N/A</v>
      </c>
      <c r="T2453" s="7" t="e">
        <f>IF(VLOOKUP($A2453,'Concrete Beam Schedule'!$A$2:$Q$2902,T$2,0)&lt;&gt;D2453,"Beam Revised","")</f>
        <v>#N/A</v>
      </c>
      <c r="U2453" s="7" t="e">
        <f>IF(VLOOKUP($A2453,'Concrete Beam Schedule'!$A$2:$Q$2902,U$2,0)&lt;&gt;E2453,"Beam Revised","")</f>
        <v>#N/A</v>
      </c>
      <c r="V2453" s="7" t="e">
        <f>IF(VLOOKUP($A2453,'Concrete Beam Schedule'!$A$2:$Q$2902,V$2,0)&lt;&gt;F2453,"Beam Revised","")</f>
        <v>#N/A</v>
      </c>
      <c r="W2453" s="7" t="e">
        <f>IF(VLOOKUP($A2453,'Concrete Beam Schedule'!$A$2:$Q$2902,W$2,0)&lt;&gt;G2453,"Beam Revised","")</f>
        <v>#N/A</v>
      </c>
      <c r="X2453" s="7" t="e">
        <f>IF(VLOOKUP($A2453,'Concrete Beam Schedule'!$A$2:$Q$2902,X$2,0)&lt;&gt;H2453,"Beam Revised","")</f>
        <v>#N/A</v>
      </c>
      <c r="Y2453" s="7" t="e">
        <f>IF(VLOOKUP($A2453,'Concrete Beam Schedule'!$A$2:$Q$2902,Y$2,0)&lt;&gt;I2453,"Beam Revised","")</f>
        <v>#N/A</v>
      </c>
      <c r="Z2453" s="7" t="e">
        <f>IF(VLOOKUP($A2453,'Concrete Beam Schedule'!$A$2:$Q$2902,Z$2,0)&lt;&gt;J2453,"Beam Revised","")</f>
        <v>#N/A</v>
      </c>
      <c r="AA2453" s="7" t="e">
        <f>IF(VLOOKUP($A2453,'Concrete Beam Schedule'!$A$2:$Q$2902,AA$2,0)&lt;&gt;K2453,"Beam Revised","")</f>
        <v>#N/A</v>
      </c>
      <c r="AB2453" s="7" t="e">
        <f>IF(VLOOKUP($A2453,'Concrete Beam Schedule'!$A$2:$Q$2902,AB$2,0)&lt;&gt;L2453,"Beam Revised","")</f>
        <v>#N/A</v>
      </c>
      <c r="AC2453" s="7" t="e">
        <f>IF(VLOOKUP($A2453,'Concrete Beam Schedule'!$A$2:$Q$2902,AC$2,0)&lt;&gt;M2453,"Beam Revised","")</f>
        <v>#N/A</v>
      </c>
      <c r="AD2453" s="7" t="e">
        <f>IF(VLOOKUP($A2453,'Concrete Beam Schedule'!$A$2:$Q$2902,AD$2,0)&lt;&gt;N2453,"Beam Revised","")</f>
        <v>#N/A</v>
      </c>
      <c r="AE2453" s="7" t="e">
        <f>IF(VLOOKUP($A2453,'Concrete Beam Schedule'!$A$2:$Q$2902,AE$2,0)&lt;&gt;O2453,"Beam Revised","")</f>
        <v>#N/A</v>
      </c>
    </row>
    <row r="2454" spans="17:31" ht="20.100000000000001" customHeight="1" x14ac:dyDescent="0.25">
      <c r="Q2454" s="7">
        <f t="shared" si="38"/>
        <v>0</v>
      </c>
      <c r="R2454" s="7" t="e">
        <f>IF(VLOOKUP($A2454,'Concrete Beam Schedule'!$A$2:$Q$2902,R$2,0)&lt;&gt;B2454,VLOOKUP($A2454,'Concrete Beam Schedule'!$A$2:$Q$2902,R$2,0),"")</f>
        <v>#N/A</v>
      </c>
      <c r="S2454" s="7" t="e">
        <f>IF(VLOOKUP($A2454,'Concrete Beam Schedule'!$A$2:$Q$2902,S$2,0)&lt;&gt;C2454,VLOOKUP($A2454,'Concrete Beam Schedule'!$A$2:$Q$2902,S$2,0),"")</f>
        <v>#N/A</v>
      </c>
      <c r="T2454" s="7" t="e">
        <f>IF(VLOOKUP($A2454,'Concrete Beam Schedule'!$A$2:$Q$2902,T$2,0)&lt;&gt;D2454,"Beam Revised","")</f>
        <v>#N/A</v>
      </c>
      <c r="U2454" s="7" t="e">
        <f>IF(VLOOKUP($A2454,'Concrete Beam Schedule'!$A$2:$Q$2902,U$2,0)&lt;&gt;E2454,"Beam Revised","")</f>
        <v>#N/A</v>
      </c>
      <c r="V2454" s="7" t="e">
        <f>IF(VLOOKUP($A2454,'Concrete Beam Schedule'!$A$2:$Q$2902,V$2,0)&lt;&gt;F2454,"Beam Revised","")</f>
        <v>#N/A</v>
      </c>
      <c r="W2454" s="7" t="e">
        <f>IF(VLOOKUP($A2454,'Concrete Beam Schedule'!$A$2:$Q$2902,W$2,0)&lt;&gt;G2454,"Beam Revised","")</f>
        <v>#N/A</v>
      </c>
      <c r="X2454" s="7" t="e">
        <f>IF(VLOOKUP($A2454,'Concrete Beam Schedule'!$A$2:$Q$2902,X$2,0)&lt;&gt;H2454,"Beam Revised","")</f>
        <v>#N/A</v>
      </c>
      <c r="Y2454" s="7" t="e">
        <f>IF(VLOOKUP($A2454,'Concrete Beam Schedule'!$A$2:$Q$2902,Y$2,0)&lt;&gt;I2454,"Beam Revised","")</f>
        <v>#N/A</v>
      </c>
      <c r="Z2454" s="7" t="e">
        <f>IF(VLOOKUP($A2454,'Concrete Beam Schedule'!$A$2:$Q$2902,Z$2,0)&lt;&gt;J2454,"Beam Revised","")</f>
        <v>#N/A</v>
      </c>
      <c r="AA2454" s="7" t="e">
        <f>IF(VLOOKUP($A2454,'Concrete Beam Schedule'!$A$2:$Q$2902,AA$2,0)&lt;&gt;K2454,"Beam Revised","")</f>
        <v>#N/A</v>
      </c>
      <c r="AB2454" s="7" t="e">
        <f>IF(VLOOKUP($A2454,'Concrete Beam Schedule'!$A$2:$Q$2902,AB$2,0)&lt;&gt;L2454,"Beam Revised","")</f>
        <v>#N/A</v>
      </c>
      <c r="AC2454" s="7" t="e">
        <f>IF(VLOOKUP($A2454,'Concrete Beam Schedule'!$A$2:$Q$2902,AC$2,0)&lt;&gt;M2454,"Beam Revised","")</f>
        <v>#N/A</v>
      </c>
      <c r="AD2454" s="7" t="e">
        <f>IF(VLOOKUP($A2454,'Concrete Beam Schedule'!$A$2:$Q$2902,AD$2,0)&lt;&gt;N2454,"Beam Revised","")</f>
        <v>#N/A</v>
      </c>
      <c r="AE2454" s="7" t="e">
        <f>IF(VLOOKUP($A2454,'Concrete Beam Schedule'!$A$2:$Q$2902,AE$2,0)&lt;&gt;O2454,"Beam Revised","")</f>
        <v>#N/A</v>
      </c>
    </row>
    <row r="2455" spans="17:31" ht="20.100000000000001" customHeight="1" x14ac:dyDescent="0.25">
      <c r="Q2455" s="7">
        <f t="shared" si="38"/>
        <v>0</v>
      </c>
      <c r="R2455" s="7" t="e">
        <f>IF(VLOOKUP($A2455,'Concrete Beam Schedule'!$A$2:$Q$2902,R$2,0)&lt;&gt;B2455,VLOOKUP($A2455,'Concrete Beam Schedule'!$A$2:$Q$2902,R$2,0),"")</f>
        <v>#N/A</v>
      </c>
      <c r="S2455" s="7" t="e">
        <f>IF(VLOOKUP($A2455,'Concrete Beam Schedule'!$A$2:$Q$2902,S$2,0)&lt;&gt;C2455,VLOOKUP($A2455,'Concrete Beam Schedule'!$A$2:$Q$2902,S$2,0),"")</f>
        <v>#N/A</v>
      </c>
      <c r="T2455" s="7" t="e">
        <f>IF(VLOOKUP($A2455,'Concrete Beam Schedule'!$A$2:$Q$2902,T$2,0)&lt;&gt;D2455,"Beam Revised","")</f>
        <v>#N/A</v>
      </c>
      <c r="U2455" s="7" t="e">
        <f>IF(VLOOKUP($A2455,'Concrete Beam Schedule'!$A$2:$Q$2902,U$2,0)&lt;&gt;E2455,"Beam Revised","")</f>
        <v>#N/A</v>
      </c>
      <c r="V2455" s="7" t="e">
        <f>IF(VLOOKUP($A2455,'Concrete Beam Schedule'!$A$2:$Q$2902,V$2,0)&lt;&gt;F2455,"Beam Revised","")</f>
        <v>#N/A</v>
      </c>
      <c r="W2455" s="7" t="e">
        <f>IF(VLOOKUP($A2455,'Concrete Beam Schedule'!$A$2:$Q$2902,W$2,0)&lt;&gt;G2455,"Beam Revised","")</f>
        <v>#N/A</v>
      </c>
      <c r="X2455" s="7" t="e">
        <f>IF(VLOOKUP($A2455,'Concrete Beam Schedule'!$A$2:$Q$2902,X$2,0)&lt;&gt;H2455,"Beam Revised","")</f>
        <v>#N/A</v>
      </c>
      <c r="Y2455" s="7" t="e">
        <f>IF(VLOOKUP($A2455,'Concrete Beam Schedule'!$A$2:$Q$2902,Y$2,0)&lt;&gt;I2455,"Beam Revised","")</f>
        <v>#N/A</v>
      </c>
      <c r="Z2455" s="7" t="e">
        <f>IF(VLOOKUP($A2455,'Concrete Beam Schedule'!$A$2:$Q$2902,Z$2,0)&lt;&gt;J2455,"Beam Revised","")</f>
        <v>#N/A</v>
      </c>
      <c r="AA2455" s="7" t="e">
        <f>IF(VLOOKUP($A2455,'Concrete Beam Schedule'!$A$2:$Q$2902,AA$2,0)&lt;&gt;K2455,"Beam Revised","")</f>
        <v>#N/A</v>
      </c>
      <c r="AB2455" s="7" t="e">
        <f>IF(VLOOKUP($A2455,'Concrete Beam Schedule'!$A$2:$Q$2902,AB$2,0)&lt;&gt;L2455,"Beam Revised","")</f>
        <v>#N/A</v>
      </c>
      <c r="AC2455" s="7" t="e">
        <f>IF(VLOOKUP($A2455,'Concrete Beam Schedule'!$A$2:$Q$2902,AC$2,0)&lt;&gt;M2455,"Beam Revised","")</f>
        <v>#N/A</v>
      </c>
      <c r="AD2455" s="7" t="e">
        <f>IF(VLOOKUP($A2455,'Concrete Beam Schedule'!$A$2:$Q$2902,AD$2,0)&lt;&gt;N2455,"Beam Revised","")</f>
        <v>#N/A</v>
      </c>
      <c r="AE2455" s="7" t="e">
        <f>IF(VLOOKUP($A2455,'Concrete Beam Schedule'!$A$2:$Q$2902,AE$2,0)&lt;&gt;O2455,"Beam Revised","")</f>
        <v>#N/A</v>
      </c>
    </row>
    <row r="2456" spans="17:31" ht="20.100000000000001" customHeight="1" x14ac:dyDescent="0.25">
      <c r="Q2456" s="7">
        <f t="shared" si="38"/>
        <v>0</v>
      </c>
      <c r="R2456" s="7" t="e">
        <f>IF(VLOOKUP($A2456,'Concrete Beam Schedule'!$A$2:$Q$2902,R$2,0)&lt;&gt;B2456,VLOOKUP($A2456,'Concrete Beam Schedule'!$A$2:$Q$2902,R$2,0),"")</f>
        <v>#N/A</v>
      </c>
      <c r="S2456" s="7" t="e">
        <f>IF(VLOOKUP($A2456,'Concrete Beam Schedule'!$A$2:$Q$2902,S$2,0)&lt;&gt;C2456,VLOOKUP($A2456,'Concrete Beam Schedule'!$A$2:$Q$2902,S$2,0),"")</f>
        <v>#N/A</v>
      </c>
      <c r="T2456" s="7" t="e">
        <f>IF(VLOOKUP($A2456,'Concrete Beam Schedule'!$A$2:$Q$2902,T$2,0)&lt;&gt;D2456,"Beam Revised","")</f>
        <v>#N/A</v>
      </c>
      <c r="U2456" s="7" t="e">
        <f>IF(VLOOKUP($A2456,'Concrete Beam Schedule'!$A$2:$Q$2902,U$2,0)&lt;&gt;E2456,"Beam Revised","")</f>
        <v>#N/A</v>
      </c>
      <c r="V2456" s="7" t="e">
        <f>IF(VLOOKUP($A2456,'Concrete Beam Schedule'!$A$2:$Q$2902,V$2,0)&lt;&gt;F2456,"Beam Revised","")</f>
        <v>#N/A</v>
      </c>
      <c r="W2456" s="7" t="e">
        <f>IF(VLOOKUP($A2456,'Concrete Beam Schedule'!$A$2:$Q$2902,W$2,0)&lt;&gt;G2456,"Beam Revised","")</f>
        <v>#N/A</v>
      </c>
      <c r="X2456" s="7" t="e">
        <f>IF(VLOOKUP($A2456,'Concrete Beam Schedule'!$A$2:$Q$2902,X$2,0)&lt;&gt;H2456,"Beam Revised","")</f>
        <v>#N/A</v>
      </c>
      <c r="Y2456" s="7" t="e">
        <f>IF(VLOOKUP($A2456,'Concrete Beam Schedule'!$A$2:$Q$2902,Y$2,0)&lt;&gt;I2456,"Beam Revised","")</f>
        <v>#N/A</v>
      </c>
      <c r="Z2456" s="7" t="e">
        <f>IF(VLOOKUP($A2456,'Concrete Beam Schedule'!$A$2:$Q$2902,Z$2,0)&lt;&gt;J2456,"Beam Revised","")</f>
        <v>#N/A</v>
      </c>
      <c r="AA2456" s="7" t="e">
        <f>IF(VLOOKUP($A2456,'Concrete Beam Schedule'!$A$2:$Q$2902,AA$2,0)&lt;&gt;K2456,"Beam Revised","")</f>
        <v>#N/A</v>
      </c>
      <c r="AB2456" s="7" t="e">
        <f>IF(VLOOKUP($A2456,'Concrete Beam Schedule'!$A$2:$Q$2902,AB$2,0)&lt;&gt;L2456,"Beam Revised","")</f>
        <v>#N/A</v>
      </c>
      <c r="AC2456" s="7" t="e">
        <f>IF(VLOOKUP($A2456,'Concrete Beam Schedule'!$A$2:$Q$2902,AC$2,0)&lt;&gt;M2456,"Beam Revised","")</f>
        <v>#N/A</v>
      </c>
      <c r="AD2456" s="7" t="e">
        <f>IF(VLOOKUP($A2456,'Concrete Beam Schedule'!$A$2:$Q$2902,AD$2,0)&lt;&gt;N2456,"Beam Revised","")</f>
        <v>#N/A</v>
      </c>
      <c r="AE2456" s="7" t="e">
        <f>IF(VLOOKUP($A2456,'Concrete Beam Schedule'!$A$2:$Q$2902,AE$2,0)&lt;&gt;O2456,"Beam Revised","")</f>
        <v>#N/A</v>
      </c>
    </row>
    <row r="2457" spans="17:31" ht="20.100000000000001" customHeight="1" x14ac:dyDescent="0.25">
      <c r="Q2457" s="7">
        <f t="shared" si="38"/>
        <v>0</v>
      </c>
      <c r="R2457" s="7" t="e">
        <f>IF(VLOOKUP($A2457,'Concrete Beam Schedule'!$A$2:$Q$2902,R$2,0)&lt;&gt;B2457,VLOOKUP($A2457,'Concrete Beam Schedule'!$A$2:$Q$2902,R$2,0),"")</f>
        <v>#N/A</v>
      </c>
      <c r="S2457" s="7" t="e">
        <f>IF(VLOOKUP($A2457,'Concrete Beam Schedule'!$A$2:$Q$2902,S$2,0)&lt;&gt;C2457,VLOOKUP($A2457,'Concrete Beam Schedule'!$A$2:$Q$2902,S$2,0),"")</f>
        <v>#N/A</v>
      </c>
      <c r="T2457" s="7" t="e">
        <f>IF(VLOOKUP($A2457,'Concrete Beam Schedule'!$A$2:$Q$2902,T$2,0)&lt;&gt;D2457,"Beam Revised","")</f>
        <v>#N/A</v>
      </c>
      <c r="U2457" s="7" t="e">
        <f>IF(VLOOKUP($A2457,'Concrete Beam Schedule'!$A$2:$Q$2902,U$2,0)&lt;&gt;E2457,"Beam Revised","")</f>
        <v>#N/A</v>
      </c>
      <c r="V2457" s="7" t="e">
        <f>IF(VLOOKUP($A2457,'Concrete Beam Schedule'!$A$2:$Q$2902,V$2,0)&lt;&gt;F2457,"Beam Revised","")</f>
        <v>#N/A</v>
      </c>
      <c r="W2457" s="7" t="e">
        <f>IF(VLOOKUP($A2457,'Concrete Beam Schedule'!$A$2:$Q$2902,W$2,0)&lt;&gt;G2457,"Beam Revised","")</f>
        <v>#N/A</v>
      </c>
      <c r="X2457" s="7" t="e">
        <f>IF(VLOOKUP($A2457,'Concrete Beam Schedule'!$A$2:$Q$2902,X$2,0)&lt;&gt;H2457,"Beam Revised","")</f>
        <v>#N/A</v>
      </c>
      <c r="Y2457" s="7" t="e">
        <f>IF(VLOOKUP($A2457,'Concrete Beam Schedule'!$A$2:$Q$2902,Y$2,0)&lt;&gt;I2457,"Beam Revised","")</f>
        <v>#N/A</v>
      </c>
      <c r="Z2457" s="7" t="e">
        <f>IF(VLOOKUP($A2457,'Concrete Beam Schedule'!$A$2:$Q$2902,Z$2,0)&lt;&gt;J2457,"Beam Revised","")</f>
        <v>#N/A</v>
      </c>
      <c r="AA2457" s="7" t="e">
        <f>IF(VLOOKUP($A2457,'Concrete Beam Schedule'!$A$2:$Q$2902,AA$2,0)&lt;&gt;K2457,"Beam Revised","")</f>
        <v>#N/A</v>
      </c>
      <c r="AB2457" s="7" t="e">
        <f>IF(VLOOKUP($A2457,'Concrete Beam Schedule'!$A$2:$Q$2902,AB$2,0)&lt;&gt;L2457,"Beam Revised","")</f>
        <v>#N/A</v>
      </c>
      <c r="AC2457" s="7" t="e">
        <f>IF(VLOOKUP($A2457,'Concrete Beam Schedule'!$A$2:$Q$2902,AC$2,0)&lt;&gt;M2457,"Beam Revised","")</f>
        <v>#N/A</v>
      </c>
      <c r="AD2457" s="7" t="e">
        <f>IF(VLOOKUP($A2457,'Concrete Beam Schedule'!$A$2:$Q$2902,AD$2,0)&lt;&gt;N2457,"Beam Revised","")</f>
        <v>#N/A</v>
      </c>
      <c r="AE2457" s="7" t="e">
        <f>IF(VLOOKUP($A2457,'Concrete Beam Schedule'!$A$2:$Q$2902,AE$2,0)&lt;&gt;O2457,"Beam Revised","")</f>
        <v>#N/A</v>
      </c>
    </row>
    <row r="2458" spans="17:31" ht="20.100000000000001" customHeight="1" x14ac:dyDescent="0.25">
      <c r="Q2458" s="7">
        <f t="shared" si="38"/>
        <v>0</v>
      </c>
      <c r="R2458" s="7" t="e">
        <f>IF(VLOOKUP($A2458,'Concrete Beam Schedule'!$A$2:$Q$2902,R$2,0)&lt;&gt;B2458,VLOOKUP($A2458,'Concrete Beam Schedule'!$A$2:$Q$2902,R$2,0),"")</f>
        <v>#N/A</v>
      </c>
      <c r="S2458" s="7" t="e">
        <f>IF(VLOOKUP($A2458,'Concrete Beam Schedule'!$A$2:$Q$2902,S$2,0)&lt;&gt;C2458,VLOOKUP($A2458,'Concrete Beam Schedule'!$A$2:$Q$2902,S$2,0),"")</f>
        <v>#N/A</v>
      </c>
      <c r="T2458" s="7" t="e">
        <f>IF(VLOOKUP($A2458,'Concrete Beam Schedule'!$A$2:$Q$2902,T$2,0)&lt;&gt;D2458,"Beam Revised","")</f>
        <v>#N/A</v>
      </c>
      <c r="U2458" s="7" t="e">
        <f>IF(VLOOKUP($A2458,'Concrete Beam Schedule'!$A$2:$Q$2902,U$2,0)&lt;&gt;E2458,"Beam Revised","")</f>
        <v>#N/A</v>
      </c>
      <c r="V2458" s="7" t="e">
        <f>IF(VLOOKUP($A2458,'Concrete Beam Schedule'!$A$2:$Q$2902,V$2,0)&lt;&gt;F2458,"Beam Revised","")</f>
        <v>#N/A</v>
      </c>
      <c r="W2458" s="7" t="e">
        <f>IF(VLOOKUP($A2458,'Concrete Beam Schedule'!$A$2:$Q$2902,W$2,0)&lt;&gt;G2458,"Beam Revised","")</f>
        <v>#N/A</v>
      </c>
      <c r="X2458" s="7" t="e">
        <f>IF(VLOOKUP($A2458,'Concrete Beam Schedule'!$A$2:$Q$2902,X$2,0)&lt;&gt;H2458,"Beam Revised","")</f>
        <v>#N/A</v>
      </c>
      <c r="Y2458" s="7" t="e">
        <f>IF(VLOOKUP($A2458,'Concrete Beam Schedule'!$A$2:$Q$2902,Y$2,0)&lt;&gt;I2458,"Beam Revised","")</f>
        <v>#N/A</v>
      </c>
      <c r="Z2458" s="7" t="e">
        <f>IF(VLOOKUP($A2458,'Concrete Beam Schedule'!$A$2:$Q$2902,Z$2,0)&lt;&gt;J2458,"Beam Revised","")</f>
        <v>#N/A</v>
      </c>
      <c r="AA2458" s="7" t="e">
        <f>IF(VLOOKUP($A2458,'Concrete Beam Schedule'!$A$2:$Q$2902,AA$2,0)&lt;&gt;K2458,"Beam Revised","")</f>
        <v>#N/A</v>
      </c>
      <c r="AB2458" s="7" t="e">
        <f>IF(VLOOKUP($A2458,'Concrete Beam Schedule'!$A$2:$Q$2902,AB$2,0)&lt;&gt;L2458,"Beam Revised","")</f>
        <v>#N/A</v>
      </c>
      <c r="AC2458" s="7" t="e">
        <f>IF(VLOOKUP($A2458,'Concrete Beam Schedule'!$A$2:$Q$2902,AC$2,0)&lt;&gt;M2458,"Beam Revised","")</f>
        <v>#N/A</v>
      </c>
      <c r="AD2458" s="7" t="e">
        <f>IF(VLOOKUP($A2458,'Concrete Beam Schedule'!$A$2:$Q$2902,AD$2,0)&lt;&gt;N2458,"Beam Revised","")</f>
        <v>#N/A</v>
      </c>
      <c r="AE2458" s="7" t="e">
        <f>IF(VLOOKUP($A2458,'Concrete Beam Schedule'!$A$2:$Q$2902,AE$2,0)&lt;&gt;O2458,"Beam Revised","")</f>
        <v>#N/A</v>
      </c>
    </row>
    <row r="2459" spans="17:31" ht="20.100000000000001" customHeight="1" x14ac:dyDescent="0.25">
      <c r="Q2459" s="7">
        <f t="shared" si="38"/>
        <v>0</v>
      </c>
      <c r="R2459" s="7" t="e">
        <f>IF(VLOOKUP($A2459,'Concrete Beam Schedule'!$A$2:$Q$2902,R$2,0)&lt;&gt;B2459,VLOOKUP($A2459,'Concrete Beam Schedule'!$A$2:$Q$2902,R$2,0),"")</f>
        <v>#N/A</v>
      </c>
      <c r="S2459" s="7" t="e">
        <f>IF(VLOOKUP($A2459,'Concrete Beam Schedule'!$A$2:$Q$2902,S$2,0)&lt;&gt;C2459,VLOOKUP($A2459,'Concrete Beam Schedule'!$A$2:$Q$2902,S$2,0),"")</f>
        <v>#N/A</v>
      </c>
      <c r="T2459" s="7" t="e">
        <f>IF(VLOOKUP($A2459,'Concrete Beam Schedule'!$A$2:$Q$2902,T$2,0)&lt;&gt;D2459,"Beam Revised","")</f>
        <v>#N/A</v>
      </c>
      <c r="U2459" s="7" t="e">
        <f>IF(VLOOKUP($A2459,'Concrete Beam Schedule'!$A$2:$Q$2902,U$2,0)&lt;&gt;E2459,"Beam Revised","")</f>
        <v>#N/A</v>
      </c>
      <c r="V2459" s="7" t="e">
        <f>IF(VLOOKUP($A2459,'Concrete Beam Schedule'!$A$2:$Q$2902,V$2,0)&lt;&gt;F2459,"Beam Revised","")</f>
        <v>#N/A</v>
      </c>
      <c r="W2459" s="7" t="e">
        <f>IF(VLOOKUP($A2459,'Concrete Beam Schedule'!$A$2:$Q$2902,W$2,0)&lt;&gt;G2459,"Beam Revised","")</f>
        <v>#N/A</v>
      </c>
      <c r="X2459" s="7" t="e">
        <f>IF(VLOOKUP($A2459,'Concrete Beam Schedule'!$A$2:$Q$2902,X$2,0)&lt;&gt;H2459,"Beam Revised","")</f>
        <v>#N/A</v>
      </c>
      <c r="Y2459" s="7" t="e">
        <f>IF(VLOOKUP($A2459,'Concrete Beam Schedule'!$A$2:$Q$2902,Y$2,0)&lt;&gt;I2459,"Beam Revised","")</f>
        <v>#N/A</v>
      </c>
      <c r="Z2459" s="7" t="e">
        <f>IF(VLOOKUP($A2459,'Concrete Beam Schedule'!$A$2:$Q$2902,Z$2,0)&lt;&gt;J2459,"Beam Revised","")</f>
        <v>#N/A</v>
      </c>
      <c r="AA2459" s="7" t="e">
        <f>IF(VLOOKUP($A2459,'Concrete Beam Schedule'!$A$2:$Q$2902,AA$2,0)&lt;&gt;K2459,"Beam Revised","")</f>
        <v>#N/A</v>
      </c>
      <c r="AB2459" s="7" t="e">
        <f>IF(VLOOKUP($A2459,'Concrete Beam Schedule'!$A$2:$Q$2902,AB$2,0)&lt;&gt;L2459,"Beam Revised","")</f>
        <v>#N/A</v>
      </c>
      <c r="AC2459" s="7" t="e">
        <f>IF(VLOOKUP($A2459,'Concrete Beam Schedule'!$A$2:$Q$2902,AC$2,0)&lt;&gt;M2459,"Beam Revised","")</f>
        <v>#N/A</v>
      </c>
      <c r="AD2459" s="7" t="e">
        <f>IF(VLOOKUP($A2459,'Concrete Beam Schedule'!$A$2:$Q$2902,AD$2,0)&lt;&gt;N2459,"Beam Revised","")</f>
        <v>#N/A</v>
      </c>
      <c r="AE2459" s="7" t="e">
        <f>IF(VLOOKUP($A2459,'Concrete Beam Schedule'!$A$2:$Q$2902,AE$2,0)&lt;&gt;O2459,"Beam Revised","")</f>
        <v>#N/A</v>
      </c>
    </row>
    <row r="2460" spans="17:31" ht="20.100000000000001" customHeight="1" x14ac:dyDescent="0.25">
      <c r="Q2460" s="7">
        <f t="shared" si="38"/>
        <v>0</v>
      </c>
      <c r="R2460" s="7" t="e">
        <f>IF(VLOOKUP($A2460,'Concrete Beam Schedule'!$A$2:$Q$2902,R$2,0)&lt;&gt;B2460,VLOOKUP($A2460,'Concrete Beam Schedule'!$A$2:$Q$2902,R$2,0),"")</f>
        <v>#N/A</v>
      </c>
      <c r="S2460" s="7" t="e">
        <f>IF(VLOOKUP($A2460,'Concrete Beam Schedule'!$A$2:$Q$2902,S$2,0)&lt;&gt;C2460,VLOOKUP($A2460,'Concrete Beam Schedule'!$A$2:$Q$2902,S$2,0),"")</f>
        <v>#N/A</v>
      </c>
      <c r="T2460" s="7" t="e">
        <f>IF(VLOOKUP($A2460,'Concrete Beam Schedule'!$A$2:$Q$2902,T$2,0)&lt;&gt;D2460,"Beam Revised","")</f>
        <v>#N/A</v>
      </c>
      <c r="U2460" s="7" t="e">
        <f>IF(VLOOKUP($A2460,'Concrete Beam Schedule'!$A$2:$Q$2902,U$2,0)&lt;&gt;E2460,"Beam Revised","")</f>
        <v>#N/A</v>
      </c>
      <c r="V2460" s="7" t="e">
        <f>IF(VLOOKUP($A2460,'Concrete Beam Schedule'!$A$2:$Q$2902,V$2,0)&lt;&gt;F2460,"Beam Revised","")</f>
        <v>#N/A</v>
      </c>
      <c r="W2460" s="7" t="e">
        <f>IF(VLOOKUP($A2460,'Concrete Beam Schedule'!$A$2:$Q$2902,W$2,0)&lt;&gt;G2460,"Beam Revised","")</f>
        <v>#N/A</v>
      </c>
      <c r="X2460" s="7" t="e">
        <f>IF(VLOOKUP($A2460,'Concrete Beam Schedule'!$A$2:$Q$2902,X$2,0)&lt;&gt;H2460,"Beam Revised","")</f>
        <v>#N/A</v>
      </c>
      <c r="Y2460" s="7" t="e">
        <f>IF(VLOOKUP($A2460,'Concrete Beam Schedule'!$A$2:$Q$2902,Y$2,0)&lt;&gt;I2460,"Beam Revised","")</f>
        <v>#N/A</v>
      </c>
      <c r="Z2460" s="7" t="e">
        <f>IF(VLOOKUP($A2460,'Concrete Beam Schedule'!$A$2:$Q$2902,Z$2,0)&lt;&gt;J2460,"Beam Revised","")</f>
        <v>#N/A</v>
      </c>
      <c r="AA2460" s="7" t="e">
        <f>IF(VLOOKUP($A2460,'Concrete Beam Schedule'!$A$2:$Q$2902,AA$2,0)&lt;&gt;K2460,"Beam Revised","")</f>
        <v>#N/A</v>
      </c>
      <c r="AB2460" s="7" t="e">
        <f>IF(VLOOKUP($A2460,'Concrete Beam Schedule'!$A$2:$Q$2902,AB$2,0)&lt;&gt;L2460,"Beam Revised","")</f>
        <v>#N/A</v>
      </c>
      <c r="AC2460" s="7" t="e">
        <f>IF(VLOOKUP($A2460,'Concrete Beam Schedule'!$A$2:$Q$2902,AC$2,0)&lt;&gt;M2460,"Beam Revised","")</f>
        <v>#N/A</v>
      </c>
      <c r="AD2460" s="7" t="e">
        <f>IF(VLOOKUP($A2460,'Concrete Beam Schedule'!$A$2:$Q$2902,AD$2,0)&lt;&gt;N2460,"Beam Revised","")</f>
        <v>#N/A</v>
      </c>
      <c r="AE2460" s="7" t="e">
        <f>IF(VLOOKUP($A2460,'Concrete Beam Schedule'!$A$2:$Q$2902,AE$2,0)&lt;&gt;O2460,"Beam Revised","")</f>
        <v>#N/A</v>
      </c>
    </row>
    <row r="2461" spans="17:31" ht="20.100000000000001" customHeight="1" x14ac:dyDescent="0.25">
      <c r="Q2461" s="7">
        <f t="shared" si="38"/>
        <v>0</v>
      </c>
      <c r="R2461" s="7" t="e">
        <f>IF(VLOOKUP($A2461,'Concrete Beam Schedule'!$A$2:$Q$2902,R$2,0)&lt;&gt;B2461,VLOOKUP($A2461,'Concrete Beam Schedule'!$A$2:$Q$2902,R$2,0),"")</f>
        <v>#N/A</v>
      </c>
      <c r="S2461" s="7" t="e">
        <f>IF(VLOOKUP($A2461,'Concrete Beam Schedule'!$A$2:$Q$2902,S$2,0)&lt;&gt;C2461,VLOOKUP($A2461,'Concrete Beam Schedule'!$A$2:$Q$2902,S$2,0),"")</f>
        <v>#N/A</v>
      </c>
      <c r="T2461" s="7" t="e">
        <f>IF(VLOOKUP($A2461,'Concrete Beam Schedule'!$A$2:$Q$2902,T$2,0)&lt;&gt;D2461,"Beam Revised","")</f>
        <v>#N/A</v>
      </c>
      <c r="U2461" s="7" t="e">
        <f>IF(VLOOKUP($A2461,'Concrete Beam Schedule'!$A$2:$Q$2902,U$2,0)&lt;&gt;E2461,"Beam Revised","")</f>
        <v>#N/A</v>
      </c>
      <c r="V2461" s="7" t="e">
        <f>IF(VLOOKUP($A2461,'Concrete Beam Schedule'!$A$2:$Q$2902,V$2,0)&lt;&gt;F2461,"Beam Revised","")</f>
        <v>#N/A</v>
      </c>
      <c r="W2461" s="7" t="e">
        <f>IF(VLOOKUP($A2461,'Concrete Beam Schedule'!$A$2:$Q$2902,W$2,0)&lt;&gt;G2461,"Beam Revised","")</f>
        <v>#N/A</v>
      </c>
      <c r="X2461" s="7" t="e">
        <f>IF(VLOOKUP($A2461,'Concrete Beam Schedule'!$A$2:$Q$2902,X$2,0)&lt;&gt;H2461,"Beam Revised","")</f>
        <v>#N/A</v>
      </c>
      <c r="Y2461" s="7" t="e">
        <f>IF(VLOOKUP($A2461,'Concrete Beam Schedule'!$A$2:$Q$2902,Y$2,0)&lt;&gt;I2461,"Beam Revised","")</f>
        <v>#N/A</v>
      </c>
      <c r="Z2461" s="7" t="e">
        <f>IF(VLOOKUP($A2461,'Concrete Beam Schedule'!$A$2:$Q$2902,Z$2,0)&lt;&gt;J2461,"Beam Revised","")</f>
        <v>#N/A</v>
      </c>
      <c r="AA2461" s="7" t="e">
        <f>IF(VLOOKUP($A2461,'Concrete Beam Schedule'!$A$2:$Q$2902,AA$2,0)&lt;&gt;K2461,"Beam Revised","")</f>
        <v>#N/A</v>
      </c>
      <c r="AB2461" s="7" t="e">
        <f>IF(VLOOKUP($A2461,'Concrete Beam Schedule'!$A$2:$Q$2902,AB$2,0)&lt;&gt;L2461,"Beam Revised","")</f>
        <v>#N/A</v>
      </c>
      <c r="AC2461" s="7" t="e">
        <f>IF(VLOOKUP($A2461,'Concrete Beam Schedule'!$A$2:$Q$2902,AC$2,0)&lt;&gt;M2461,"Beam Revised","")</f>
        <v>#N/A</v>
      </c>
      <c r="AD2461" s="7" t="e">
        <f>IF(VLOOKUP($A2461,'Concrete Beam Schedule'!$A$2:$Q$2902,AD$2,0)&lt;&gt;N2461,"Beam Revised","")</f>
        <v>#N/A</v>
      </c>
      <c r="AE2461" s="7" t="e">
        <f>IF(VLOOKUP($A2461,'Concrete Beam Schedule'!$A$2:$Q$2902,AE$2,0)&lt;&gt;O2461,"Beam Revised","")</f>
        <v>#N/A</v>
      </c>
    </row>
    <row r="2462" spans="17:31" ht="20.100000000000001" customHeight="1" x14ac:dyDescent="0.25">
      <c r="Q2462" s="7">
        <f t="shared" si="38"/>
        <v>0</v>
      </c>
      <c r="R2462" s="7" t="e">
        <f>IF(VLOOKUP($A2462,'Concrete Beam Schedule'!$A$2:$Q$2902,R$2,0)&lt;&gt;B2462,VLOOKUP($A2462,'Concrete Beam Schedule'!$A$2:$Q$2902,R$2,0),"")</f>
        <v>#N/A</v>
      </c>
      <c r="S2462" s="7" t="e">
        <f>IF(VLOOKUP($A2462,'Concrete Beam Schedule'!$A$2:$Q$2902,S$2,0)&lt;&gt;C2462,VLOOKUP($A2462,'Concrete Beam Schedule'!$A$2:$Q$2902,S$2,0),"")</f>
        <v>#N/A</v>
      </c>
      <c r="T2462" s="7" t="e">
        <f>IF(VLOOKUP($A2462,'Concrete Beam Schedule'!$A$2:$Q$2902,T$2,0)&lt;&gt;D2462,"Beam Revised","")</f>
        <v>#N/A</v>
      </c>
      <c r="U2462" s="7" t="e">
        <f>IF(VLOOKUP($A2462,'Concrete Beam Schedule'!$A$2:$Q$2902,U$2,0)&lt;&gt;E2462,"Beam Revised","")</f>
        <v>#N/A</v>
      </c>
      <c r="V2462" s="7" t="e">
        <f>IF(VLOOKUP($A2462,'Concrete Beam Schedule'!$A$2:$Q$2902,V$2,0)&lt;&gt;F2462,"Beam Revised","")</f>
        <v>#N/A</v>
      </c>
      <c r="W2462" s="7" t="e">
        <f>IF(VLOOKUP($A2462,'Concrete Beam Schedule'!$A$2:$Q$2902,W$2,0)&lt;&gt;G2462,"Beam Revised","")</f>
        <v>#N/A</v>
      </c>
      <c r="X2462" s="7" t="e">
        <f>IF(VLOOKUP($A2462,'Concrete Beam Schedule'!$A$2:$Q$2902,X$2,0)&lt;&gt;H2462,"Beam Revised","")</f>
        <v>#N/A</v>
      </c>
      <c r="Y2462" s="7" t="e">
        <f>IF(VLOOKUP($A2462,'Concrete Beam Schedule'!$A$2:$Q$2902,Y$2,0)&lt;&gt;I2462,"Beam Revised","")</f>
        <v>#N/A</v>
      </c>
      <c r="Z2462" s="7" t="e">
        <f>IF(VLOOKUP($A2462,'Concrete Beam Schedule'!$A$2:$Q$2902,Z$2,0)&lt;&gt;J2462,"Beam Revised","")</f>
        <v>#N/A</v>
      </c>
      <c r="AA2462" s="7" t="e">
        <f>IF(VLOOKUP($A2462,'Concrete Beam Schedule'!$A$2:$Q$2902,AA$2,0)&lt;&gt;K2462,"Beam Revised","")</f>
        <v>#N/A</v>
      </c>
      <c r="AB2462" s="7" t="e">
        <f>IF(VLOOKUP($A2462,'Concrete Beam Schedule'!$A$2:$Q$2902,AB$2,0)&lt;&gt;L2462,"Beam Revised","")</f>
        <v>#N/A</v>
      </c>
      <c r="AC2462" s="7" t="e">
        <f>IF(VLOOKUP($A2462,'Concrete Beam Schedule'!$A$2:$Q$2902,AC$2,0)&lt;&gt;M2462,"Beam Revised","")</f>
        <v>#N/A</v>
      </c>
      <c r="AD2462" s="7" t="e">
        <f>IF(VLOOKUP($A2462,'Concrete Beam Schedule'!$A$2:$Q$2902,AD$2,0)&lt;&gt;N2462,"Beam Revised","")</f>
        <v>#N/A</v>
      </c>
      <c r="AE2462" s="7" t="e">
        <f>IF(VLOOKUP($A2462,'Concrete Beam Schedule'!$A$2:$Q$2902,AE$2,0)&lt;&gt;O2462,"Beam Revised","")</f>
        <v>#N/A</v>
      </c>
    </row>
    <row r="2463" spans="17:31" ht="20.100000000000001" customHeight="1" x14ac:dyDescent="0.25">
      <c r="Q2463" s="7">
        <f t="shared" si="38"/>
        <v>0</v>
      </c>
      <c r="R2463" s="7" t="e">
        <f>IF(VLOOKUP($A2463,'Concrete Beam Schedule'!$A$2:$Q$2902,R$2,0)&lt;&gt;B2463,VLOOKUP($A2463,'Concrete Beam Schedule'!$A$2:$Q$2902,R$2,0),"")</f>
        <v>#N/A</v>
      </c>
      <c r="S2463" s="7" t="e">
        <f>IF(VLOOKUP($A2463,'Concrete Beam Schedule'!$A$2:$Q$2902,S$2,0)&lt;&gt;C2463,VLOOKUP($A2463,'Concrete Beam Schedule'!$A$2:$Q$2902,S$2,0),"")</f>
        <v>#N/A</v>
      </c>
      <c r="T2463" s="7" t="e">
        <f>IF(VLOOKUP($A2463,'Concrete Beam Schedule'!$A$2:$Q$2902,T$2,0)&lt;&gt;D2463,"Beam Revised","")</f>
        <v>#N/A</v>
      </c>
      <c r="U2463" s="7" t="e">
        <f>IF(VLOOKUP($A2463,'Concrete Beam Schedule'!$A$2:$Q$2902,U$2,0)&lt;&gt;E2463,"Beam Revised","")</f>
        <v>#N/A</v>
      </c>
      <c r="V2463" s="7" t="e">
        <f>IF(VLOOKUP($A2463,'Concrete Beam Schedule'!$A$2:$Q$2902,V$2,0)&lt;&gt;F2463,"Beam Revised","")</f>
        <v>#N/A</v>
      </c>
      <c r="W2463" s="7" t="e">
        <f>IF(VLOOKUP($A2463,'Concrete Beam Schedule'!$A$2:$Q$2902,W$2,0)&lt;&gt;G2463,"Beam Revised","")</f>
        <v>#N/A</v>
      </c>
      <c r="X2463" s="7" t="e">
        <f>IF(VLOOKUP($A2463,'Concrete Beam Schedule'!$A$2:$Q$2902,X$2,0)&lt;&gt;H2463,"Beam Revised","")</f>
        <v>#N/A</v>
      </c>
      <c r="Y2463" s="7" t="e">
        <f>IF(VLOOKUP($A2463,'Concrete Beam Schedule'!$A$2:$Q$2902,Y$2,0)&lt;&gt;I2463,"Beam Revised","")</f>
        <v>#N/A</v>
      </c>
      <c r="Z2463" s="7" t="e">
        <f>IF(VLOOKUP($A2463,'Concrete Beam Schedule'!$A$2:$Q$2902,Z$2,0)&lt;&gt;J2463,"Beam Revised","")</f>
        <v>#N/A</v>
      </c>
      <c r="AA2463" s="7" t="e">
        <f>IF(VLOOKUP($A2463,'Concrete Beam Schedule'!$A$2:$Q$2902,AA$2,0)&lt;&gt;K2463,"Beam Revised","")</f>
        <v>#N/A</v>
      </c>
      <c r="AB2463" s="7" t="e">
        <f>IF(VLOOKUP($A2463,'Concrete Beam Schedule'!$A$2:$Q$2902,AB$2,0)&lt;&gt;L2463,"Beam Revised","")</f>
        <v>#N/A</v>
      </c>
      <c r="AC2463" s="7" t="e">
        <f>IF(VLOOKUP($A2463,'Concrete Beam Schedule'!$A$2:$Q$2902,AC$2,0)&lt;&gt;M2463,"Beam Revised","")</f>
        <v>#N/A</v>
      </c>
      <c r="AD2463" s="7" t="e">
        <f>IF(VLOOKUP($A2463,'Concrete Beam Schedule'!$A$2:$Q$2902,AD$2,0)&lt;&gt;N2463,"Beam Revised","")</f>
        <v>#N/A</v>
      </c>
      <c r="AE2463" s="7" t="e">
        <f>IF(VLOOKUP($A2463,'Concrete Beam Schedule'!$A$2:$Q$2902,AE$2,0)&lt;&gt;O2463,"Beam Revised","")</f>
        <v>#N/A</v>
      </c>
    </row>
    <row r="2464" spans="17:31" ht="20.100000000000001" customHeight="1" x14ac:dyDescent="0.25">
      <c r="Q2464" s="7">
        <f t="shared" si="38"/>
        <v>0</v>
      </c>
      <c r="R2464" s="7" t="e">
        <f>IF(VLOOKUP($A2464,'Concrete Beam Schedule'!$A$2:$Q$2902,R$2,0)&lt;&gt;B2464,VLOOKUP($A2464,'Concrete Beam Schedule'!$A$2:$Q$2902,R$2,0),"")</f>
        <v>#N/A</v>
      </c>
      <c r="S2464" s="7" t="e">
        <f>IF(VLOOKUP($A2464,'Concrete Beam Schedule'!$A$2:$Q$2902,S$2,0)&lt;&gt;C2464,VLOOKUP($A2464,'Concrete Beam Schedule'!$A$2:$Q$2902,S$2,0),"")</f>
        <v>#N/A</v>
      </c>
      <c r="T2464" s="7" t="e">
        <f>IF(VLOOKUP($A2464,'Concrete Beam Schedule'!$A$2:$Q$2902,T$2,0)&lt;&gt;D2464,"Beam Revised","")</f>
        <v>#N/A</v>
      </c>
      <c r="U2464" s="7" t="e">
        <f>IF(VLOOKUP($A2464,'Concrete Beam Schedule'!$A$2:$Q$2902,U$2,0)&lt;&gt;E2464,"Beam Revised","")</f>
        <v>#N/A</v>
      </c>
      <c r="V2464" s="7" t="e">
        <f>IF(VLOOKUP($A2464,'Concrete Beam Schedule'!$A$2:$Q$2902,V$2,0)&lt;&gt;F2464,"Beam Revised","")</f>
        <v>#N/A</v>
      </c>
      <c r="W2464" s="7" t="e">
        <f>IF(VLOOKUP($A2464,'Concrete Beam Schedule'!$A$2:$Q$2902,W$2,0)&lt;&gt;G2464,"Beam Revised","")</f>
        <v>#N/A</v>
      </c>
      <c r="X2464" s="7" t="e">
        <f>IF(VLOOKUP($A2464,'Concrete Beam Schedule'!$A$2:$Q$2902,X$2,0)&lt;&gt;H2464,"Beam Revised","")</f>
        <v>#N/A</v>
      </c>
      <c r="Y2464" s="7" t="e">
        <f>IF(VLOOKUP($A2464,'Concrete Beam Schedule'!$A$2:$Q$2902,Y$2,0)&lt;&gt;I2464,"Beam Revised","")</f>
        <v>#N/A</v>
      </c>
      <c r="Z2464" s="7" t="e">
        <f>IF(VLOOKUP($A2464,'Concrete Beam Schedule'!$A$2:$Q$2902,Z$2,0)&lt;&gt;J2464,"Beam Revised","")</f>
        <v>#N/A</v>
      </c>
      <c r="AA2464" s="7" t="e">
        <f>IF(VLOOKUP($A2464,'Concrete Beam Schedule'!$A$2:$Q$2902,AA$2,0)&lt;&gt;K2464,"Beam Revised","")</f>
        <v>#N/A</v>
      </c>
      <c r="AB2464" s="7" t="e">
        <f>IF(VLOOKUP($A2464,'Concrete Beam Schedule'!$A$2:$Q$2902,AB$2,0)&lt;&gt;L2464,"Beam Revised","")</f>
        <v>#N/A</v>
      </c>
      <c r="AC2464" s="7" t="e">
        <f>IF(VLOOKUP($A2464,'Concrete Beam Schedule'!$A$2:$Q$2902,AC$2,0)&lt;&gt;M2464,"Beam Revised","")</f>
        <v>#N/A</v>
      </c>
      <c r="AD2464" s="7" t="e">
        <f>IF(VLOOKUP($A2464,'Concrete Beam Schedule'!$A$2:$Q$2902,AD$2,0)&lt;&gt;N2464,"Beam Revised","")</f>
        <v>#N/A</v>
      </c>
      <c r="AE2464" s="7" t="e">
        <f>IF(VLOOKUP($A2464,'Concrete Beam Schedule'!$A$2:$Q$2902,AE$2,0)&lt;&gt;O2464,"Beam Revised","")</f>
        <v>#N/A</v>
      </c>
    </row>
    <row r="2465" spans="17:31" ht="20.100000000000001" customHeight="1" x14ac:dyDescent="0.25">
      <c r="Q2465" s="7">
        <f t="shared" si="38"/>
        <v>0</v>
      </c>
      <c r="R2465" s="7" t="e">
        <f>IF(VLOOKUP($A2465,'Concrete Beam Schedule'!$A$2:$Q$2902,R$2,0)&lt;&gt;B2465,VLOOKUP($A2465,'Concrete Beam Schedule'!$A$2:$Q$2902,R$2,0),"")</f>
        <v>#N/A</v>
      </c>
      <c r="S2465" s="7" t="e">
        <f>IF(VLOOKUP($A2465,'Concrete Beam Schedule'!$A$2:$Q$2902,S$2,0)&lt;&gt;C2465,VLOOKUP($A2465,'Concrete Beam Schedule'!$A$2:$Q$2902,S$2,0),"")</f>
        <v>#N/A</v>
      </c>
      <c r="T2465" s="7" t="e">
        <f>IF(VLOOKUP($A2465,'Concrete Beam Schedule'!$A$2:$Q$2902,T$2,0)&lt;&gt;D2465,"Beam Revised","")</f>
        <v>#N/A</v>
      </c>
      <c r="U2465" s="7" t="e">
        <f>IF(VLOOKUP($A2465,'Concrete Beam Schedule'!$A$2:$Q$2902,U$2,0)&lt;&gt;E2465,"Beam Revised","")</f>
        <v>#N/A</v>
      </c>
      <c r="V2465" s="7" t="e">
        <f>IF(VLOOKUP($A2465,'Concrete Beam Schedule'!$A$2:$Q$2902,V$2,0)&lt;&gt;F2465,"Beam Revised","")</f>
        <v>#N/A</v>
      </c>
      <c r="W2465" s="7" t="e">
        <f>IF(VLOOKUP($A2465,'Concrete Beam Schedule'!$A$2:$Q$2902,W$2,0)&lt;&gt;G2465,"Beam Revised","")</f>
        <v>#N/A</v>
      </c>
      <c r="X2465" s="7" t="e">
        <f>IF(VLOOKUP($A2465,'Concrete Beam Schedule'!$A$2:$Q$2902,X$2,0)&lt;&gt;H2465,"Beam Revised","")</f>
        <v>#N/A</v>
      </c>
      <c r="Y2465" s="7" t="e">
        <f>IF(VLOOKUP($A2465,'Concrete Beam Schedule'!$A$2:$Q$2902,Y$2,0)&lt;&gt;I2465,"Beam Revised","")</f>
        <v>#N/A</v>
      </c>
      <c r="Z2465" s="7" t="e">
        <f>IF(VLOOKUP($A2465,'Concrete Beam Schedule'!$A$2:$Q$2902,Z$2,0)&lt;&gt;J2465,"Beam Revised","")</f>
        <v>#N/A</v>
      </c>
      <c r="AA2465" s="7" t="e">
        <f>IF(VLOOKUP($A2465,'Concrete Beam Schedule'!$A$2:$Q$2902,AA$2,0)&lt;&gt;K2465,"Beam Revised","")</f>
        <v>#N/A</v>
      </c>
      <c r="AB2465" s="7" t="e">
        <f>IF(VLOOKUP($A2465,'Concrete Beam Schedule'!$A$2:$Q$2902,AB$2,0)&lt;&gt;L2465,"Beam Revised","")</f>
        <v>#N/A</v>
      </c>
      <c r="AC2465" s="7" t="e">
        <f>IF(VLOOKUP($A2465,'Concrete Beam Schedule'!$A$2:$Q$2902,AC$2,0)&lt;&gt;M2465,"Beam Revised","")</f>
        <v>#N/A</v>
      </c>
      <c r="AD2465" s="7" t="e">
        <f>IF(VLOOKUP($A2465,'Concrete Beam Schedule'!$A$2:$Q$2902,AD$2,0)&lt;&gt;N2465,"Beam Revised","")</f>
        <v>#N/A</v>
      </c>
      <c r="AE2465" s="7" t="e">
        <f>IF(VLOOKUP($A2465,'Concrete Beam Schedule'!$A$2:$Q$2902,AE$2,0)&lt;&gt;O2465,"Beam Revised","")</f>
        <v>#N/A</v>
      </c>
    </row>
    <row r="2466" spans="17:31" ht="20.100000000000001" customHeight="1" x14ac:dyDescent="0.25">
      <c r="Q2466" s="7">
        <f t="shared" si="38"/>
        <v>0</v>
      </c>
      <c r="R2466" s="7" t="e">
        <f>IF(VLOOKUP($A2466,'Concrete Beam Schedule'!$A$2:$Q$2902,R$2,0)&lt;&gt;B2466,VLOOKUP($A2466,'Concrete Beam Schedule'!$A$2:$Q$2902,R$2,0),"")</f>
        <v>#N/A</v>
      </c>
      <c r="S2466" s="7" t="e">
        <f>IF(VLOOKUP($A2466,'Concrete Beam Schedule'!$A$2:$Q$2902,S$2,0)&lt;&gt;C2466,VLOOKUP($A2466,'Concrete Beam Schedule'!$A$2:$Q$2902,S$2,0),"")</f>
        <v>#N/A</v>
      </c>
      <c r="T2466" s="7" t="e">
        <f>IF(VLOOKUP($A2466,'Concrete Beam Schedule'!$A$2:$Q$2902,T$2,0)&lt;&gt;D2466,"Beam Revised","")</f>
        <v>#N/A</v>
      </c>
      <c r="U2466" s="7" t="e">
        <f>IF(VLOOKUP($A2466,'Concrete Beam Schedule'!$A$2:$Q$2902,U$2,0)&lt;&gt;E2466,"Beam Revised","")</f>
        <v>#N/A</v>
      </c>
      <c r="V2466" s="7" t="e">
        <f>IF(VLOOKUP($A2466,'Concrete Beam Schedule'!$A$2:$Q$2902,V$2,0)&lt;&gt;F2466,"Beam Revised","")</f>
        <v>#N/A</v>
      </c>
      <c r="W2466" s="7" t="e">
        <f>IF(VLOOKUP($A2466,'Concrete Beam Schedule'!$A$2:$Q$2902,W$2,0)&lt;&gt;G2466,"Beam Revised","")</f>
        <v>#N/A</v>
      </c>
      <c r="X2466" s="7" t="e">
        <f>IF(VLOOKUP($A2466,'Concrete Beam Schedule'!$A$2:$Q$2902,X$2,0)&lt;&gt;H2466,"Beam Revised","")</f>
        <v>#N/A</v>
      </c>
      <c r="Y2466" s="7" t="e">
        <f>IF(VLOOKUP($A2466,'Concrete Beam Schedule'!$A$2:$Q$2902,Y$2,0)&lt;&gt;I2466,"Beam Revised","")</f>
        <v>#N/A</v>
      </c>
      <c r="Z2466" s="7" t="e">
        <f>IF(VLOOKUP($A2466,'Concrete Beam Schedule'!$A$2:$Q$2902,Z$2,0)&lt;&gt;J2466,"Beam Revised","")</f>
        <v>#N/A</v>
      </c>
      <c r="AA2466" s="7" t="e">
        <f>IF(VLOOKUP($A2466,'Concrete Beam Schedule'!$A$2:$Q$2902,AA$2,0)&lt;&gt;K2466,"Beam Revised","")</f>
        <v>#N/A</v>
      </c>
      <c r="AB2466" s="7" t="e">
        <f>IF(VLOOKUP($A2466,'Concrete Beam Schedule'!$A$2:$Q$2902,AB$2,0)&lt;&gt;L2466,"Beam Revised","")</f>
        <v>#N/A</v>
      </c>
      <c r="AC2466" s="7" t="e">
        <f>IF(VLOOKUP($A2466,'Concrete Beam Schedule'!$A$2:$Q$2902,AC$2,0)&lt;&gt;M2466,"Beam Revised","")</f>
        <v>#N/A</v>
      </c>
      <c r="AD2466" s="7" t="e">
        <f>IF(VLOOKUP($A2466,'Concrete Beam Schedule'!$A$2:$Q$2902,AD$2,0)&lt;&gt;N2466,"Beam Revised","")</f>
        <v>#N/A</v>
      </c>
      <c r="AE2466" s="7" t="e">
        <f>IF(VLOOKUP($A2466,'Concrete Beam Schedule'!$A$2:$Q$2902,AE$2,0)&lt;&gt;O2466,"Beam Revised","")</f>
        <v>#N/A</v>
      </c>
    </row>
    <row r="2467" spans="17:31" ht="20.100000000000001" customHeight="1" x14ac:dyDescent="0.25">
      <c r="Q2467" s="7">
        <f t="shared" si="38"/>
        <v>0</v>
      </c>
      <c r="R2467" s="7" t="e">
        <f>IF(VLOOKUP($A2467,'Concrete Beam Schedule'!$A$2:$Q$2902,R$2,0)&lt;&gt;B2467,VLOOKUP($A2467,'Concrete Beam Schedule'!$A$2:$Q$2902,R$2,0),"")</f>
        <v>#N/A</v>
      </c>
      <c r="S2467" s="7" t="e">
        <f>IF(VLOOKUP($A2467,'Concrete Beam Schedule'!$A$2:$Q$2902,S$2,0)&lt;&gt;C2467,VLOOKUP($A2467,'Concrete Beam Schedule'!$A$2:$Q$2902,S$2,0),"")</f>
        <v>#N/A</v>
      </c>
      <c r="T2467" s="7" t="e">
        <f>IF(VLOOKUP($A2467,'Concrete Beam Schedule'!$A$2:$Q$2902,T$2,0)&lt;&gt;D2467,"Beam Revised","")</f>
        <v>#N/A</v>
      </c>
      <c r="U2467" s="7" t="e">
        <f>IF(VLOOKUP($A2467,'Concrete Beam Schedule'!$A$2:$Q$2902,U$2,0)&lt;&gt;E2467,"Beam Revised","")</f>
        <v>#N/A</v>
      </c>
      <c r="V2467" s="7" t="e">
        <f>IF(VLOOKUP($A2467,'Concrete Beam Schedule'!$A$2:$Q$2902,V$2,0)&lt;&gt;F2467,"Beam Revised","")</f>
        <v>#N/A</v>
      </c>
      <c r="W2467" s="7" t="e">
        <f>IF(VLOOKUP($A2467,'Concrete Beam Schedule'!$A$2:$Q$2902,W$2,0)&lt;&gt;G2467,"Beam Revised","")</f>
        <v>#N/A</v>
      </c>
      <c r="X2467" s="7" t="e">
        <f>IF(VLOOKUP($A2467,'Concrete Beam Schedule'!$A$2:$Q$2902,X$2,0)&lt;&gt;H2467,"Beam Revised","")</f>
        <v>#N/A</v>
      </c>
      <c r="Y2467" s="7" t="e">
        <f>IF(VLOOKUP($A2467,'Concrete Beam Schedule'!$A$2:$Q$2902,Y$2,0)&lt;&gt;I2467,"Beam Revised","")</f>
        <v>#N/A</v>
      </c>
      <c r="Z2467" s="7" t="e">
        <f>IF(VLOOKUP($A2467,'Concrete Beam Schedule'!$A$2:$Q$2902,Z$2,0)&lt;&gt;J2467,"Beam Revised","")</f>
        <v>#N/A</v>
      </c>
      <c r="AA2467" s="7" t="e">
        <f>IF(VLOOKUP($A2467,'Concrete Beam Schedule'!$A$2:$Q$2902,AA$2,0)&lt;&gt;K2467,"Beam Revised","")</f>
        <v>#N/A</v>
      </c>
      <c r="AB2467" s="7" t="e">
        <f>IF(VLOOKUP($A2467,'Concrete Beam Schedule'!$A$2:$Q$2902,AB$2,0)&lt;&gt;L2467,"Beam Revised","")</f>
        <v>#N/A</v>
      </c>
      <c r="AC2467" s="7" t="e">
        <f>IF(VLOOKUP($A2467,'Concrete Beam Schedule'!$A$2:$Q$2902,AC$2,0)&lt;&gt;M2467,"Beam Revised","")</f>
        <v>#N/A</v>
      </c>
      <c r="AD2467" s="7" t="e">
        <f>IF(VLOOKUP($A2467,'Concrete Beam Schedule'!$A$2:$Q$2902,AD$2,0)&lt;&gt;N2467,"Beam Revised","")</f>
        <v>#N/A</v>
      </c>
      <c r="AE2467" s="7" t="e">
        <f>IF(VLOOKUP($A2467,'Concrete Beam Schedule'!$A$2:$Q$2902,AE$2,0)&lt;&gt;O2467,"Beam Revised","")</f>
        <v>#N/A</v>
      </c>
    </row>
    <row r="2468" spans="17:31" ht="20.100000000000001" customHeight="1" x14ac:dyDescent="0.25">
      <c r="Q2468" s="7">
        <f t="shared" si="38"/>
        <v>0</v>
      </c>
      <c r="R2468" s="7" t="e">
        <f>IF(VLOOKUP($A2468,'Concrete Beam Schedule'!$A$2:$Q$2902,R$2,0)&lt;&gt;B2468,VLOOKUP($A2468,'Concrete Beam Schedule'!$A$2:$Q$2902,R$2,0),"")</f>
        <v>#N/A</v>
      </c>
      <c r="S2468" s="7" t="e">
        <f>IF(VLOOKUP($A2468,'Concrete Beam Schedule'!$A$2:$Q$2902,S$2,0)&lt;&gt;C2468,VLOOKUP($A2468,'Concrete Beam Schedule'!$A$2:$Q$2902,S$2,0),"")</f>
        <v>#N/A</v>
      </c>
      <c r="T2468" s="7" t="e">
        <f>IF(VLOOKUP($A2468,'Concrete Beam Schedule'!$A$2:$Q$2902,T$2,0)&lt;&gt;D2468,"Beam Revised","")</f>
        <v>#N/A</v>
      </c>
      <c r="U2468" s="7" t="e">
        <f>IF(VLOOKUP($A2468,'Concrete Beam Schedule'!$A$2:$Q$2902,U$2,0)&lt;&gt;E2468,"Beam Revised","")</f>
        <v>#N/A</v>
      </c>
      <c r="V2468" s="7" t="e">
        <f>IF(VLOOKUP($A2468,'Concrete Beam Schedule'!$A$2:$Q$2902,V$2,0)&lt;&gt;F2468,"Beam Revised","")</f>
        <v>#N/A</v>
      </c>
      <c r="W2468" s="7" t="e">
        <f>IF(VLOOKUP($A2468,'Concrete Beam Schedule'!$A$2:$Q$2902,W$2,0)&lt;&gt;G2468,"Beam Revised","")</f>
        <v>#N/A</v>
      </c>
      <c r="X2468" s="7" t="e">
        <f>IF(VLOOKUP($A2468,'Concrete Beam Schedule'!$A$2:$Q$2902,X$2,0)&lt;&gt;H2468,"Beam Revised","")</f>
        <v>#N/A</v>
      </c>
      <c r="Y2468" s="7" t="e">
        <f>IF(VLOOKUP($A2468,'Concrete Beam Schedule'!$A$2:$Q$2902,Y$2,0)&lt;&gt;I2468,"Beam Revised","")</f>
        <v>#N/A</v>
      </c>
      <c r="Z2468" s="7" t="e">
        <f>IF(VLOOKUP($A2468,'Concrete Beam Schedule'!$A$2:$Q$2902,Z$2,0)&lt;&gt;J2468,"Beam Revised","")</f>
        <v>#N/A</v>
      </c>
      <c r="AA2468" s="7" t="e">
        <f>IF(VLOOKUP($A2468,'Concrete Beam Schedule'!$A$2:$Q$2902,AA$2,0)&lt;&gt;K2468,"Beam Revised","")</f>
        <v>#N/A</v>
      </c>
      <c r="AB2468" s="7" t="e">
        <f>IF(VLOOKUP($A2468,'Concrete Beam Schedule'!$A$2:$Q$2902,AB$2,0)&lt;&gt;L2468,"Beam Revised","")</f>
        <v>#N/A</v>
      </c>
      <c r="AC2468" s="7" t="e">
        <f>IF(VLOOKUP($A2468,'Concrete Beam Schedule'!$A$2:$Q$2902,AC$2,0)&lt;&gt;M2468,"Beam Revised","")</f>
        <v>#N/A</v>
      </c>
      <c r="AD2468" s="7" t="e">
        <f>IF(VLOOKUP($A2468,'Concrete Beam Schedule'!$A$2:$Q$2902,AD$2,0)&lt;&gt;N2468,"Beam Revised","")</f>
        <v>#N/A</v>
      </c>
      <c r="AE2468" s="7" t="e">
        <f>IF(VLOOKUP($A2468,'Concrete Beam Schedule'!$A$2:$Q$2902,AE$2,0)&lt;&gt;O2468,"Beam Revised","")</f>
        <v>#N/A</v>
      </c>
    </row>
    <row r="2469" spans="17:31" ht="20.100000000000001" customHeight="1" x14ac:dyDescent="0.25">
      <c r="Q2469" s="7">
        <f t="shared" si="38"/>
        <v>0</v>
      </c>
      <c r="R2469" s="7" t="e">
        <f>IF(VLOOKUP($A2469,'Concrete Beam Schedule'!$A$2:$Q$2902,R$2,0)&lt;&gt;B2469,VLOOKUP($A2469,'Concrete Beam Schedule'!$A$2:$Q$2902,R$2,0),"")</f>
        <v>#N/A</v>
      </c>
      <c r="S2469" s="7" t="e">
        <f>IF(VLOOKUP($A2469,'Concrete Beam Schedule'!$A$2:$Q$2902,S$2,0)&lt;&gt;C2469,VLOOKUP($A2469,'Concrete Beam Schedule'!$A$2:$Q$2902,S$2,0),"")</f>
        <v>#N/A</v>
      </c>
      <c r="T2469" s="7" t="e">
        <f>IF(VLOOKUP($A2469,'Concrete Beam Schedule'!$A$2:$Q$2902,T$2,0)&lt;&gt;D2469,"Beam Revised","")</f>
        <v>#N/A</v>
      </c>
      <c r="U2469" s="7" t="e">
        <f>IF(VLOOKUP($A2469,'Concrete Beam Schedule'!$A$2:$Q$2902,U$2,0)&lt;&gt;E2469,"Beam Revised","")</f>
        <v>#N/A</v>
      </c>
      <c r="V2469" s="7" t="e">
        <f>IF(VLOOKUP($A2469,'Concrete Beam Schedule'!$A$2:$Q$2902,V$2,0)&lt;&gt;F2469,"Beam Revised","")</f>
        <v>#N/A</v>
      </c>
      <c r="W2469" s="7" t="e">
        <f>IF(VLOOKUP($A2469,'Concrete Beam Schedule'!$A$2:$Q$2902,W$2,0)&lt;&gt;G2469,"Beam Revised","")</f>
        <v>#N/A</v>
      </c>
      <c r="X2469" s="7" t="e">
        <f>IF(VLOOKUP($A2469,'Concrete Beam Schedule'!$A$2:$Q$2902,X$2,0)&lt;&gt;H2469,"Beam Revised","")</f>
        <v>#N/A</v>
      </c>
      <c r="Y2469" s="7" t="e">
        <f>IF(VLOOKUP($A2469,'Concrete Beam Schedule'!$A$2:$Q$2902,Y$2,0)&lt;&gt;I2469,"Beam Revised","")</f>
        <v>#N/A</v>
      </c>
      <c r="Z2469" s="7" t="e">
        <f>IF(VLOOKUP($A2469,'Concrete Beam Schedule'!$A$2:$Q$2902,Z$2,0)&lt;&gt;J2469,"Beam Revised","")</f>
        <v>#N/A</v>
      </c>
      <c r="AA2469" s="7" t="e">
        <f>IF(VLOOKUP($A2469,'Concrete Beam Schedule'!$A$2:$Q$2902,AA$2,0)&lt;&gt;K2469,"Beam Revised","")</f>
        <v>#N/A</v>
      </c>
      <c r="AB2469" s="7" t="e">
        <f>IF(VLOOKUP($A2469,'Concrete Beam Schedule'!$A$2:$Q$2902,AB$2,0)&lt;&gt;L2469,"Beam Revised","")</f>
        <v>#N/A</v>
      </c>
      <c r="AC2469" s="7" t="e">
        <f>IF(VLOOKUP($A2469,'Concrete Beam Schedule'!$A$2:$Q$2902,AC$2,0)&lt;&gt;M2469,"Beam Revised","")</f>
        <v>#N/A</v>
      </c>
      <c r="AD2469" s="7" t="e">
        <f>IF(VLOOKUP($A2469,'Concrete Beam Schedule'!$A$2:$Q$2902,AD$2,0)&lt;&gt;N2469,"Beam Revised","")</f>
        <v>#N/A</v>
      </c>
      <c r="AE2469" s="7" t="e">
        <f>IF(VLOOKUP($A2469,'Concrete Beam Schedule'!$A$2:$Q$2902,AE$2,0)&lt;&gt;O2469,"Beam Revised","")</f>
        <v>#N/A</v>
      </c>
    </row>
    <row r="2470" spans="17:31" ht="20.100000000000001" customHeight="1" x14ac:dyDescent="0.25">
      <c r="Q2470" s="7">
        <f t="shared" si="38"/>
        <v>0</v>
      </c>
      <c r="R2470" s="7" t="e">
        <f>IF(VLOOKUP($A2470,'Concrete Beam Schedule'!$A$2:$Q$2902,R$2,0)&lt;&gt;B2470,VLOOKUP($A2470,'Concrete Beam Schedule'!$A$2:$Q$2902,R$2,0),"")</f>
        <v>#N/A</v>
      </c>
      <c r="S2470" s="7" t="e">
        <f>IF(VLOOKUP($A2470,'Concrete Beam Schedule'!$A$2:$Q$2902,S$2,0)&lt;&gt;C2470,VLOOKUP($A2470,'Concrete Beam Schedule'!$A$2:$Q$2902,S$2,0),"")</f>
        <v>#N/A</v>
      </c>
      <c r="T2470" s="7" t="e">
        <f>IF(VLOOKUP($A2470,'Concrete Beam Schedule'!$A$2:$Q$2902,T$2,0)&lt;&gt;D2470,"Beam Revised","")</f>
        <v>#N/A</v>
      </c>
      <c r="U2470" s="7" t="e">
        <f>IF(VLOOKUP($A2470,'Concrete Beam Schedule'!$A$2:$Q$2902,U$2,0)&lt;&gt;E2470,"Beam Revised","")</f>
        <v>#N/A</v>
      </c>
      <c r="V2470" s="7" t="e">
        <f>IF(VLOOKUP($A2470,'Concrete Beam Schedule'!$A$2:$Q$2902,V$2,0)&lt;&gt;F2470,"Beam Revised","")</f>
        <v>#N/A</v>
      </c>
      <c r="W2470" s="7" t="e">
        <f>IF(VLOOKUP($A2470,'Concrete Beam Schedule'!$A$2:$Q$2902,W$2,0)&lt;&gt;G2470,"Beam Revised","")</f>
        <v>#N/A</v>
      </c>
      <c r="X2470" s="7" t="e">
        <f>IF(VLOOKUP($A2470,'Concrete Beam Schedule'!$A$2:$Q$2902,X$2,0)&lt;&gt;H2470,"Beam Revised","")</f>
        <v>#N/A</v>
      </c>
      <c r="Y2470" s="7" t="e">
        <f>IF(VLOOKUP($A2470,'Concrete Beam Schedule'!$A$2:$Q$2902,Y$2,0)&lt;&gt;I2470,"Beam Revised","")</f>
        <v>#N/A</v>
      </c>
      <c r="Z2470" s="7" t="e">
        <f>IF(VLOOKUP($A2470,'Concrete Beam Schedule'!$A$2:$Q$2902,Z$2,0)&lt;&gt;J2470,"Beam Revised","")</f>
        <v>#N/A</v>
      </c>
      <c r="AA2470" s="7" t="e">
        <f>IF(VLOOKUP($A2470,'Concrete Beam Schedule'!$A$2:$Q$2902,AA$2,0)&lt;&gt;K2470,"Beam Revised","")</f>
        <v>#N/A</v>
      </c>
      <c r="AB2470" s="7" t="e">
        <f>IF(VLOOKUP($A2470,'Concrete Beam Schedule'!$A$2:$Q$2902,AB$2,0)&lt;&gt;L2470,"Beam Revised","")</f>
        <v>#N/A</v>
      </c>
      <c r="AC2470" s="7" t="e">
        <f>IF(VLOOKUP($A2470,'Concrete Beam Schedule'!$A$2:$Q$2902,AC$2,0)&lt;&gt;M2470,"Beam Revised","")</f>
        <v>#N/A</v>
      </c>
      <c r="AD2470" s="7" t="e">
        <f>IF(VLOOKUP($A2470,'Concrete Beam Schedule'!$A$2:$Q$2902,AD$2,0)&lt;&gt;N2470,"Beam Revised","")</f>
        <v>#N/A</v>
      </c>
      <c r="AE2470" s="7" t="e">
        <f>IF(VLOOKUP($A2470,'Concrete Beam Schedule'!$A$2:$Q$2902,AE$2,0)&lt;&gt;O2470,"Beam Revised","")</f>
        <v>#N/A</v>
      </c>
    </row>
    <row r="2471" spans="17:31" ht="20.100000000000001" customHeight="1" x14ac:dyDescent="0.25">
      <c r="Q2471" s="7">
        <f t="shared" si="38"/>
        <v>0</v>
      </c>
      <c r="R2471" s="7" t="e">
        <f>IF(VLOOKUP($A2471,'Concrete Beam Schedule'!$A$2:$Q$2902,R$2,0)&lt;&gt;B2471,VLOOKUP($A2471,'Concrete Beam Schedule'!$A$2:$Q$2902,R$2,0),"")</f>
        <v>#N/A</v>
      </c>
      <c r="S2471" s="7" t="e">
        <f>IF(VLOOKUP($A2471,'Concrete Beam Schedule'!$A$2:$Q$2902,S$2,0)&lt;&gt;C2471,VLOOKUP($A2471,'Concrete Beam Schedule'!$A$2:$Q$2902,S$2,0),"")</f>
        <v>#N/A</v>
      </c>
      <c r="T2471" s="7" t="e">
        <f>IF(VLOOKUP($A2471,'Concrete Beam Schedule'!$A$2:$Q$2902,T$2,0)&lt;&gt;D2471,"Beam Revised","")</f>
        <v>#N/A</v>
      </c>
      <c r="U2471" s="7" t="e">
        <f>IF(VLOOKUP($A2471,'Concrete Beam Schedule'!$A$2:$Q$2902,U$2,0)&lt;&gt;E2471,"Beam Revised","")</f>
        <v>#N/A</v>
      </c>
      <c r="V2471" s="7" t="e">
        <f>IF(VLOOKUP($A2471,'Concrete Beam Schedule'!$A$2:$Q$2902,V$2,0)&lt;&gt;F2471,"Beam Revised","")</f>
        <v>#N/A</v>
      </c>
      <c r="W2471" s="7" t="e">
        <f>IF(VLOOKUP($A2471,'Concrete Beam Schedule'!$A$2:$Q$2902,W$2,0)&lt;&gt;G2471,"Beam Revised","")</f>
        <v>#N/A</v>
      </c>
      <c r="X2471" s="7" t="e">
        <f>IF(VLOOKUP($A2471,'Concrete Beam Schedule'!$A$2:$Q$2902,X$2,0)&lt;&gt;H2471,"Beam Revised","")</f>
        <v>#N/A</v>
      </c>
      <c r="Y2471" s="7" t="e">
        <f>IF(VLOOKUP($A2471,'Concrete Beam Schedule'!$A$2:$Q$2902,Y$2,0)&lt;&gt;I2471,"Beam Revised","")</f>
        <v>#N/A</v>
      </c>
      <c r="Z2471" s="7" t="e">
        <f>IF(VLOOKUP($A2471,'Concrete Beam Schedule'!$A$2:$Q$2902,Z$2,0)&lt;&gt;J2471,"Beam Revised","")</f>
        <v>#N/A</v>
      </c>
      <c r="AA2471" s="7" t="e">
        <f>IF(VLOOKUP($A2471,'Concrete Beam Schedule'!$A$2:$Q$2902,AA$2,0)&lt;&gt;K2471,"Beam Revised","")</f>
        <v>#N/A</v>
      </c>
      <c r="AB2471" s="7" t="e">
        <f>IF(VLOOKUP($A2471,'Concrete Beam Schedule'!$A$2:$Q$2902,AB$2,0)&lt;&gt;L2471,"Beam Revised","")</f>
        <v>#N/A</v>
      </c>
      <c r="AC2471" s="7" t="e">
        <f>IF(VLOOKUP($A2471,'Concrete Beam Schedule'!$A$2:$Q$2902,AC$2,0)&lt;&gt;M2471,"Beam Revised","")</f>
        <v>#N/A</v>
      </c>
      <c r="AD2471" s="7" t="e">
        <f>IF(VLOOKUP($A2471,'Concrete Beam Schedule'!$A$2:$Q$2902,AD$2,0)&lt;&gt;N2471,"Beam Revised","")</f>
        <v>#N/A</v>
      </c>
      <c r="AE2471" s="7" t="e">
        <f>IF(VLOOKUP($A2471,'Concrete Beam Schedule'!$A$2:$Q$2902,AE$2,0)&lt;&gt;O2471,"Beam Revised","")</f>
        <v>#N/A</v>
      </c>
    </row>
    <row r="2472" spans="17:31" ht="20.100000000000001" customHeight="1" x14ac:dyDescent="0.25">
      <c r="Q2472" s="7">
        <f t="shared" si="38"/>
        <v>0</v>
      </c>
      <c r="R2472" s="7" t="e">
        <f>IF(VLOOKUP($A2472,'Concrete Beam Schedule'!$A$2:$Q$2902,R$2,0)&lt;&gt;B2472,VLOOKUP($A2472,'Concrete Beam Schedule'!$A$2:$Q$2902,R$2,0),"")</f>
        <v>#N/A</v>
      </c>
      <c r="S2472" s="7" t="e">
        <f>IF(VLOOKUP($A2472,'Concrete Beam Schedule'!$A$2:$Q$2902,S$2,0)&lt;&gt;C2472,VLOOKUP($A2472,'Concrete Beam Schedule'!$A$2:$Q$2902,S$2,0),"")</f>
        <v>#N/A</v>
      </c>
      <c r="T2472" s="7" t="e">
        <f>IF(VLOOKUP($A2472,'Concrete Beam Schedule'!$A$2:$Q$2902,T$2,0)&lt;&gt;D2472,"Beam Revised","")</f>
        <v>#N/A</v>
      </c>
      <c r="U2472" s="7" t="e">
        <f>IF(VLOOKUP($A2472,'Concrete Beam Schedule'!$A$2:$Q$2902,U$2,0)&lt;&gt;E2472,"Beam Revised","")</f>
        <v>#N/A</v>
      </c>
      <c r="V2472" s="7" t="e">
        <f>IF(VLOOKUP($A2472,'Concrete Beam Schedule'!$A$2:$Q$2902,V$2,0)&lt;&gt;F2472,"Beam Revised","")</f>
        <v>#N/A</v>
      </c>
      <c r="W2472" s="7" t="e">
        <f>IF(VLOOKUP($A2472,'Concrete Beam Schedule'!$A$2:$Q$2902,W$2,0)&lt;&gt;G2472,"Beam Revised","")</f>
        <v>#N/A</v>
      </c>
      <c r="X2472" s="7" t="e">
        <f>IF(VLOOKUP($A2472,'Concrete Beam Schedule'!$A$2:$Q$2902,X$2,0)&lt;&gt;H2472,"Beam Revised","")</f>
        <v>#N/A</v>
      </c>
      <c r="Y2472" s="7" t="e">
        <f>IF(VLOOKUP($A2472,'Concrete Beam Schedule'!$A$2:$Q$2902,Y$2,0)&lt;&gt;I2472,"Beam Revised","")</f>
        <v>#N/A</v>
      </c>
      <c r="Z2472" s="7" t="e">
        <f>IF(VLOOKUP($A2472,'Concrete Beam Schedule'!$A$2:$Q$2902,Z$2,0)&lt;&gt;J2472,"Beam Revised","")</f>
        <v>#N/A</v>
      </c>
      <c r="AA2472" s="7" t="e">
        <f>IF(VLOOKUP($A2472,'Concrete Beam Schedule'!$A$2:$Q$2902,AA$2,0)&lt;&gt;K2472,"Beam Revised","")</f>
        <v>#N/A</v>
      </c>
      <c r="AB2472" s="7" t="e">
        <f>IF(VLOOKUP($A2472,'Concrete Beam Schedule'!$A$2:$Q$2902,AB$2,0)&lt;&gt;L2472,"Beam Revised","")</f>
        <v>#N/A</v>
      </c>
      <c r="AC2472" s="7" t="e">
        <f>IF(VLOOKUP($A2472,'Concrete Beam Schedule'!$A$2:$Q$2902,AC$2,0)&lt;&gt;M2472,"Beam Revised","")</f>
        <v>#N/A</v>
      </c>
      <c r="AD2472" s="7" t="e">
        <f>IF(VLOOKUP($A2472,'Concrete Beam Schedule'!$A$2:$Q$2902,AD$2,0)&lt;&gt;N2472,"Beam Revised","")</f>
        <v>#N/A</v>
      </c>
      <c r="AE2472" s="7" t="e">
        <f>IF(VLOOKUP($A2472,'Concrete Beam Schedule'!$A$2:$Q$2902,AE$2,0)&lt;&gt;O2472,"Beam Revised","")</f>
        <v>#N/A</v>
      </c>
    </row>
    <row r="2473" spans="17:31" ht="20.100000000000001" customHeight="1" x14ac:dyDescent="0.25">
      <c r="Q2473" s="7">
        <f t="shared" si="38"/>
        <v>0</v>
      </c>
      <c r="R2473" s="7" t="e">
        <f>IF(VLOOKUP($A2473,'Concrete Beam Schedule'!$A$2:$Q$2902,R$2,0)&lt;&gt;B2473,VLOOKUP($A2473,'Concrete Beam Schedule'!$A$2:$Q$2902,R$2,0),"")</f>
        <v>#N/A</v>
      </c>
      <c r="S2473" s="7" t="e">
        <f>IF(VLOOKUP($A2473,'Concrete Beam Schedule'!$A$2:$Q$2902,S$2,0)&lt;&gt;C2473,VLOOKUP($A2473,'Concrete Beam Schedule'!$A$2:$Q$2902,S$2,0),"")</f>
        <v>#N/A</v>
      </c>
      <c r="T2473" s="7" t="e">
        <f>IF(VLOOKUP($A2473,'Concrete Beam Schedule'!$A$2:$Q$2902,T$2,0)&lt;&gt;D2473,"Beam Revised","")</f>
        <v>#N/A</v>
      </c>
      <c r="U2473" s="7" t="e">
        <f>IF(VLOOKUP($A2473,'Concrete Beam Schedule'!$A$2:$Q$2902,U$2,0)&lt;&gt;E2473,"Beam Revised","")</f>
        <v>#N/A</v>
      </c>
      <c r="V2473" s="7" t="e">
        <f>IF(VLOOKUP($A2473,'Concrete Beam Schedule'!$A$2:$Q$2902,V$2,0)&lt;&gt;F2473,"Beam Revised","")</f>
        <v>#N/A</v>
      </c>
      <c r="W2473" s="7" t="e">
        <f>IF(VLOOKUP($A2473,'Concrete Beam Schedule'!$A$2:$Q$2902,W$2,0)&lt;&gt;G2473,"Beam Revised","")</f>
        <v>#N/A</v>
      </c>
      <c r="X2473" s="7" t="e">
        <f>IF(VLOOKUP($A2473,'Concrete Beam Schedule'!$A$2:$Q$2902,X$2,0)&lt;&gt;H2473,"Beam Revised","")</f>
        <v>#N/A</v>
      </c>
      <c r="Y2473" s="7" t="e">
        <f>IF(VLOOKUP($A2473,'Concrete Beam Schedule'!$A$2:$Q$2902,Y$2,0)&lt;&gt;I2473,"Beam Revised","")</f>
        <v>#N/A</v>
      </c>
      <c r="Z2473" s="7" t="e">
        <f>IF(VLOOKUP($A2473,'Concrete Beam Schedule'!$A$2:$Q$2902,Z$2,0)&lt;&gt;J2473,"Beam Revised","")</f>
        <v>#N/A</v>
      </c>
      <c r="AA2473" s="7" t="e">
        <f>IF(VLOOKUP($A2473,'Concrete Beam Schedule'!$A$2:$Q$2902,AA$2,0)&lt;&gt;K2473,"Beam Revised","")</f>
        <v>#N/A</v>
      </c>
      <c r="AB2473" s="7" t="e">
        <f>IF(VLOOKUP($A2473,'Concrete Beam Schedule'!$A$2:$Q$2902,AB$2,0)&lt;&gt;L2473,"Beam Revised","")</f>
        <v>#N/A</v>
      </c>
      <c r="AC2473" s="7" t="e">
        <f>IF(VLOOKUP($A2473,'Concrete Beam Schedule'!$A$2:$Q$2902,AC$2,0)&lt;&gt;M2473,"Beam Revised","")</f>
        <v>#N/A</v>
      </c>
      <c r="AD2473" s="7" t="e">
        <f>IF(VLOOKUP($A2473,'Concrete Beam Schedule'!$A$2:$Q$2902,AD$2,0)&lt;&gt;N2473,"Beam Revised","")</f>
        <v>#N/A</v>
      </c>
      <c r="AE2473" s="7" t="e">
        <f>IF(VLOOKUP($A2473,'Concrete Beam Schedule'!$A$2:$Q$2902,AE$2,0)&lt;&gt;O2473,"Beam Revised","")</f>
        <v>#N/A</v>
      </c>
    </row>
    <row r="2474" spans="17:31" ht="20.100000000000001" customHeight="1" x14ac:dyDescent="0.25">
      <c r="Q2474" s="7">
        <f t="shared" si="38"/>
        <v>0</v>
      </c>
      <c r="R2474" s="7" t="e">
        <f>IF(VLOOKUP($A2474,'Concrete Beam Schedule'!$A$2:$Q$2902,R$2,0)&lt;&gt;B2474,VLOOKUP($A2474,'Concrete Beam Schedule'!$A$2:$Q$2902,R$2,0),"")</f>
        <v>#N/A</v>
      </c>
      <c r="S2474" s="7" t="e">
        <f>IF(VLOOKUP($A2474,'Concrete Beam Schedule'!$A$2:$Q$2902,S$2,0)&lt;&gt;C2474,VLOOKUP($A2474,'Concrete Beam Schedule'!$A$2:$Q$2902,S$2,0),"")</f>
        <v>#N/A</v>
      </c>
      <c r="T2474" s="7" t="e">
        <f>IF(VLOOKUP($A2474,'Concrete Beam Schedule'!$A$2:$Q$2902,T$2,0)&lt;&gt;D2474,"Beam Revised","")</f>
        <v>#N/A</v>
      </c>
      <c r="U2474" s="7" t="e">
        <f>IF(VLOOKUP($A2474,'Concrete Beam Schedule'!$A$2:$Q$2902,U$2,0)&lt;&gt;E2474,"Beam Revised","")</f>
        <v>#N/A</v>
      </c>
      <c r="V2474" s="7" t="e">
        <f>IF(VLOOKUP($A2474,'Concrete Beam Schedule'!$A$2:$Q$2902,V$2,0)&lt;&gt;F2474,"Beam Revised","")</f>
        <v>#N/A</v>
      </c>
      <c r="W2474" s="7" t="e">
        <f>IF(VLOOKUP($A2474,'Concrete Beam Schedule'!$A$2:$Q$2902,W$2,0)&lt;&gt;G2474,"Beam Revised","")</f>
        <v>#N/A</v>
      </c>
      <c r="X2474" s="7" t="e">
        <f>IF(VLOOKUP($A2474,'Concrete Beam Schedule'!$A$2:$Q$2902,X$2,0)&lt;&gt;H2474,"Beam Revised","")</f>
        <v>#N/A</v>
      </c>
      <c r="Y2474" s="7" t="e">
        <f>IF(VLOOKUP($A2474,'Concrete Beam Schedule'!$A$2:$Q$2902,Y$2,0)&lt;&gt;I2474,"Beam Revised","")</f>
        <v>#N/A</v>
      </c>
      <c r="Z2474" s="7" t="e">
        <f>IF(VLOOKUP($A2474,'Concrete Beam Schedule'!$A$2:$Q$2902,Z$2,0)&lt;&gt;J2474,"Beam Revised","")</f>
        <v>#N/A</v>
      </c>
      <c r="AA2474" s="7" t="e">
        <f>IF(VLOOKUP($A2474,'Concrete Beam Schedule'!$A$2:$Q$2902,AA$2,0)&lt;&gt;K2474,"Beam Revised","")</f>
        <v>#N/A</v>
      </c>
      <c r="AB2474" s="7" t="e">
        <f>IF(VLOOKUP($A2474,'Concrete Beam Schedule'!$A$2:$Q$2902,AB$2,0)&lt;&gt;L2474,"Beam Revised","")</f>
        <v>#N/A</v>
      </c>
      <c r="AC2474" s="7" t="e">
        <f>IF(VLOOKUP($A2474,'Concrete Beam Schedule'!$A$2:$Q$2902,AC$2,0)&lt;&gt;M2474,"Beam Revised","")</f>
        <v>#N/A</v>
      </c>
      <c r="AD2474" s="7" t="e">
        <f>IF(VLOOKUP($A2474,'Concrete Beam Schedule'!$A$2:$Q$2902,AD$2,0)&lt;&gt;N2474,"Beam Revised","")</f>
        <v>#N/A</v>
      </c>
      <c r="AE2474" s="7" t="e">
        <f>IF(VLOOKUP($A2474,'Concrete Beam Schedule'!$A$2:$Q$2902,AE$2,0)&lt;&gt;O2474,"Beam Revised","")</f>
        <v>#N/A</v>
      </c>
    </row>
    <row r="2475" spans="17:31" ht="20.100000000000001" customHeight="1" x14ac:dyDescent="0.25">
      <c r="Q2475" s="7">
        <f t="shared" si="38"/>
        <v>0</v>
      </c>
      <c r="R2475" s="7" t="e">
        <f>IF(VLOOKUP($A2475,'Concrete Beam Schedule'!$A$2:$Q$2902,R$2,0)&lt;&gt;B2475,VLOOKUP($A2475,'Concrete Beam Schedule'!$A$2:$Q$2902,R$2,0),"")</f>
        <v>#N/A</v>
      </c>
      <c r="S2475" s="7" t="e">
        <f>IF(VLOOKUP($A2475,'Concrete Beam Schedule'!$A$2:$Q$2902,S$2,0)&lt;&gt;C2475,VLOOKUP($A2475,'Concrete Beam Schedule'!$A$2:$Q$2902,S$2,0),"")</f>
        <v>#N/A</v>
      </c>
      <c r="T2475" s="7" t="e">
        <f>IF(VLOOKUP($A2475,'Concrete Beam Schedule'!$A$2:$Q$2902,T$2,0)&lt;&gt;D2475,"Beam Revised","")</f>
        <v>#N/A</v>
      </c>
      <c r="U2475" s="7" t="e">
        <f>IF(VLOOKUP($A2475,'Concrete Beam Schedule'!$A$2:$Q$2902,U$2,0)&lt;&gt;E2475,"Beam Revised","")</f>
        <v>#N/A</v>
      </c>
      <c r="V2475" s="7" t="e">
        <f>IF(VLOOKUP($A2475,'Concrete Beam Schedule'!$A$2:$Q$2902,V$2,0)&lt;&gt;F2475,"Beam Revised","")</f>
        <v>#N/A</v>
      </c>
      <c r="W2475" s="7" t="e">
        <f>IF(VLOOKUP($A2475,'Concrete Beam Schedule'!$A$2:$Q$2902,W$2,0)&lt;&gt;G2475,"Beam Revised","")</f>
        <v>#N/A</v>
      </c>
      <c r="X2475" s="7" t="e">
        <f>IF(VLOOKUP($A2475,'Concrete Beam Schedule'!$A$2:$Q$2902,X$2,0)&lt;&gt;H2475,"Beam Revised","")</f>
        <v>#N/A</v>
      </c>
      <c r="Y2475" s="7" t="e">
        <f>IF(VLOOKUP($A2475,'Concrete Beam Schedule'!$A$2:$Q$2902,Y$2,0)&lt;&gt;I2475,"Beam Revised","")</f>
        <v>#N/A</v>
      </c>
      <c r="Z2475" s="7" t="e">
        <f>IF(VLOOKUP($A2475,'Concrete Beam Schedule'!$A$2:$Q$2902,Z$2,0)&lt;&gt;J2475,"Beam Revised","")</f>
        <v>#N/A</v>
      </c>
      <c r="AA2475" s="7" t="e">
        <f>IF(VLOOKUP($A2475,'Concrete Beam Schedule'!$A$2:$Q$2902,AA$2,0)&lt;&gt;K2475,"Beam Revised","")</f>
        <v>#N/A</v>
      </c>
      <c r="AB2475" s="7" t="e">
        <f>IF(VLOOKUP($A2475,'Concrete Beam Schedule'!$A$2:$Q$2902,AB$2,0)&lt;&gt;L2475,"Beam Revised","")</f>
        <v>#N/A</v>
      </c>
      <c r="AC2475" s="7" t="e">
        <f>IF(VLOOKUP($A2475,'Concrete Beam Schedule'!$A$2:$Q$2902,AC$2,0)&lt;&gt;M2475,"Beam Revised","")</f>
        <v>#N/A</v>
      </c>
      <c r="AD2475" s="7" t="e">
        <f>IF(VLOOKUP($A2475,'Concrete Beam Schedule'!$A$2:$Q$2902,AD$2,0)&lt;&gt;N2475,"Beam Revised","")</f>
        <v>#N/A</v>
      </c>
      <c r="AE2475" s="7" t="e">
        <f>IF(VLOOKUP($A2475,'Concrete Beam Schedule'!$A$2:$Q$2902,AE$2,0)&lt;&gt;O2475,"Beam Revised","")</f>
        <v>#N/A</v>
      </c>
    </row>
    <row r="2476" spans="17:31" ht="20.100000000000001" customHeight="1" x14ac:dyDescent="0.25">
      <c r="Q2476" s="7">
        <f t="shared" si="38"/>
        <v>0</v>
      </c>
      <c r="R2476" s="7" t="e">
        <f>IF(VLOOKUP($A2476,'Concrete Beam Schedule'!$A$2:$Q$2902,R$2,0)&lt;&gt;B2476,VLOOKUP($A2476,'Concrete Beam Schedule'!$A$2:$Q$2902,R$2,0),"")</f>
        <v>#N/A</v>
      </c>
      <c r="S2476" s="7" t="e">
        <f>IF(VLOOKUP($A2476,'Concrete Beam Schedule'!$A$2:$Q$2902,S$2,0)&lt;&gt;C2476,VLOOKUP($A2476,'Concrete Beam Schedule'!$A$2:$Q$2902,S$2,0),"")</f>
        <v>#N/A</v>
      </c>
      <c r="T2476" s="7" t="e">
        <f>IF(VLOOKUP($A2476,'Concrete Beam Schedule'!$A$2:$Q$2902,T$2,0)&lt;&gt;D2476,"Beam Revised","")</f>
        <v>#N/A</v>
      </c>
      <c r="U2476" s="7" t="e">
        <f>IF(VLOOKUP($A2476,'Concrete Beam Schedule'!$A$2:$Q$2902,U$2,0)&lt;&gt;E2476,"Beam Revised","")</f>
        <v>#N/A</v>
      </c>
      <c r="V2476" s="7" t="e">
        <f>IF(VLOOKUP($A2476,'Concrete Beam Schedule'!$A$2:$Q$2902,V$2,0)&lt;&gt;F2476,"Beam Revised","")</f>
        <v>#N/A</v>
      </c>
      <c r="W2476" s="7" t="e">
        <f>IF(VLOOKUP($A2476,'Concrete Beam Schedule'!$A$2:$Q$2902,W$2,0)&lt;&gt;G2476,"Beam Revised","")</f>
        <v>#N/A</v>
      </c>
      <c r="X2476" s="7" t="e">
        <f>IF(VLOOKUP($A2476,'Concrete Beam Schedule'!$A$2:$Q$2902,X$2,0)&lt;&gt;H2476,"Beam Revised","")</f>
        <v>#N/A</v>
      </c>
      <c r="Y2476" s="7" t="e">
        <f>IF(VLOOKUP($A2476,'Concrete Beam Schedule'!$A$2:$Q$2902,Y$2,0)&lt;&gt;I2476,"Beam Revised","")</f>
        <v>#N/A</v>
      </c>
      <c r="Z2476" s="7" t="e">
        <f>IF(VLOOKUP($A2476,'Concrete Beam Schedule'!$A$2:$Q$2902,Z$2,0)&lt;&gt;J2476,"Beam Revised","")</f>
        <v>#N/A</v>
      </c>
      <c r="AA2476" s="7" t="e">
        <f>IF(VLOOKUP($A2476,'Concrete Beam Schedule'!$A$2:$Q$2902,AA$2,0)&lt;&gt;K2476,"Beam Revised","")</f>
        <v>#N/A</v>
      </c>
      <c r="AB2476" s="7" t="e">
        <f>IF(VLOOKUP($A2476,'Concrete Beam Schedule'!$A$2:$Q$2902,AB$2,0)&lt;&gt;L2476,"Beam Revised","")</f>
        <v>#N/A</v>
      </c>
      <c r="AC2476" s="7" t="e">
        <f>IF(VLOOKUP($A2476,'Concrete Beam Schedule'!$A$2:$Q$2902,AC$2,0)&lt;&gt;M2476,"Beam Revised","")</f>
        <v>#N/A</v>
      </c>
      <c r="AD2476" s="7" t="e">
        <f>IF(VLOOKUP($A2476,'Concrete Beam Schedule'!$A$2:$Q$2902,AD$2,0)&lt;&gt;N2476,"Beam Revised","")</f>
        <v>#N/A</v>
      </c>
      <c r="AE2476" s="7" t="e">
        <f>IF(VLOOKUP($A2476,'Concrete Beam Schedule'!$A$2:$Q$2902,AE$2,0)&lt;&gt;O2476,"Beam Revised","")</f>
        <v>#N/A</v>
      </c>
    </row>
    <row r="2477" spans="17:31" ht="20.100000000000001" customHeight="1" x14ac:dyDescent="0.25">
      <c r="Q2477" s="7">
        <f t="shared" si="38"/>
        <v>0</v>
      </c>
      <c r="R2477" s="7" t="e">
        <f>IF(VLOOKUP($A2477,'Concrete Beam Schedule'!$A$2:$Q$2902,R$2,0)&lt;&gt;B2477,VLOOKUP($A2477,'Concrete Beam Schedule'!$A$2:$Q$2902,R$2,0),"")</f>
        <v>#N/A</v>
      </c>
      <c r="S2477" s="7" t="e">
        <f>IF(VLOOKUP($A2477,'Concrete Beam Schedule'!$A$2:$Q$2902,S$2,0)&lt;&gt;C2477,VLOOKUP($A2477,'Concrete Beam Schedule'!$A$2:$Q$2902,S$2,0),"")</f>
        <v>#N/A</v>
      </c>
      <c r="T2477" s="7" t="e">
        <f>IF(VLOOKUP($A2477,'Concrete Beam Schedule'!$A$2:$Q$2902,T$2,0)&lt;&gt;D2477,"Beam Revised","")</f>
        <v>#N/A</v>
      </c>
      <c r="U2477" s="7" t="e">
        <f>IF(VLOOKUP($A2477,'Concrete Beam Schedule'!$A$2:$Q$2902,U$2,0)&lt;&gt;E2477,"Beam Revised","")</f>
        <v>#N/A</v>
      </c>
      <c r="V2477" s="7" t="e">
        <f>IF(VLOOKUP($A2477,'Concrete Beam Schedule'!$A$2:$Q$2902,V$2,0)&lt;&gt;F2477,"Beam Revised","")</f>
        <v>#N/A</v>
      </c>
      <c r="W2477" s="7" t="e">
        <f>IF(VLOOKUP($A2477,'Concrete Beam Schedule'!$A$2:$Q$2902,W$2,0)&lt;&gt;G2477,"Beam Revised","")</f>
        <v>#N/A</v>
      </c>
      <c r="X2477" s="7" t="e">
        <f>IF(VLOOKUP($A2477,'Concrete Beam Schedule'!$A$2:$Q$2902,X$2,0)&lt;&gt;H2477,"Beam Revised","")</f>
        <v>#N/A</v>
      </c>
      <c r="Y2477" s="7" t="e">
        <f>IF(VLOOKUP($A2477,'Concrete Beam Schedule'!$A$2:$Q$2902,Y$2,0)&lt;&gt;I2477,"Beam Revised","")</f>
        <v>#N/A</v>
      </c>
      <c r="Z2477" s="7" t="e">
        <f>IF(VLOOKUP($A2477,'Concrete Beam Schedule'!$A$2:$Q$2902,Z$2,0)&lt;&gt;J2477,"Beam Revised","")</f>
        <v>#N/A</v>
      </c>
      <c r="AA2477" s="7" t="e">
        <f>IF(VLOOKUP($A2477,'Concrete Beam Schedule'!$A$2:$Q$2902,AA$2,0)&lt;&gt;K2477,"Beam Revised","")</f>
        <v>#N/A</v>
      </c>
      <c r="AB2477" s="7" t="e">
        <f>IF(VLOOKUP($A2477,'Concrete Beam Schedule'!$A$2:$Q$2902,AB$2,0)&lt;&gt;L2477,"Beam Revised","")</f>
        <v>#N/A</v>
      </c>
      <c r="AC2477" s="7" t="e">
        <f>IF(VLOOKUP($A2477,'Concrete Beam Schedule'!$A$2:$Q$2902,AC$2,0)&lt;&gt;M2477,"Beam Revised","")</f>
        <v>#N/A</v>
      </c>
      <c r="AD2477" s="7" t="e">
        <f>IF(VLOOKUP($A2477,'Concrete Beam Schedule'!$A$2:$Q$2902,AD$2,0)&lt;&gt;N2477,"Beam Revised","")</f>
        <v>#N/A</v>
      </c>
      <c r="AE2477" s="7" t="e">
        <f>IF(VLOOKUP($A2477,'Concrete Beam Schedule'!$A$2:$Q$2902,AE$2,0)&lt;&gt;O2477,"Beam Revised","")</f>
        <v>#N/A</v>
      </c>
    </row>
    <row r="2478" spans="17:31" ht="20.100000000000001" customHeight="1" x14ac:dyDescent="0.25">
      <c r="Q2478" s="7">
        <f t="shared" si="38"/>
        <v>0</v>
      </c>
      <c r="R2478" s="7" t="e">
        <f>IF(VLOOKUP($A2478,'Concrete Beam Schedule'!$A$2:$Q$2902,R$2,0)&lt;&gt;B2478,VLOOKUP($A2478,'Concrete Beam Schedule'!$A$2:$Q$2902,R$2,0),"")</f>
        <v>#N/A</v>
      </c>
      <c r="S2478" s="7" t="e">
        <f>IF(VLOOKUP($A2478,'Concrete Beam Schedule'!$A$2:$Q$2902,S$2,0)&lt;&gt;C2478,VLOOKUP($A2478,'Concrete Beam Schedule'!$A$2:$Q$2902,S$2,0),"")</f>
        <v>#N/A</v>
      </c>
      <c r="T2478" s="7" t="e">
        <f>IF(VLOOKUP($A2478,'Concrete Beam Schedule'!$A$2:$Q$2902,T$2,0)&lt;&gt;D2478,"Beam Revised","")</f>
        <v>#N/A</v>
      </c>
      <c r="U2478" s="7" t="e">
        <f>IF(VLOOKUP($A2478,'Concrete Beam Schedule'!$A$2:$Q$2902,U$2,0)&lt;&gt;E2478,"Beam Revised","")</f>
        <v>#N/A</v>
      </c>
      <c r="V2478" s="7" t="e">
        <f>IF(VLOOKUP($A2478,'Concrete Beam Schedule'!$A$2:$Q$2902,V$2,0)&lt;&gt;F2478,"Beam Revised","")</f>
        <v>#N/A</v>
      </c>
      <c r="W2478" s="7" t="e">
        <f>IF(VLOOKUP($A2478,'Concrete Beam Schedule'!$A$2:$Q$2902,W$2,0)&lt;&gt;G2478,"Beam Revised","")</f>
        <v>#N/A</v>
      </c>
      <c r="X2478" s="7" t="e">
        <f>IF(VLOOKUP($A2478,'Concrete Beam Schedule'!$A$2:$Q$2902,X$2,0)&lt;&gt;H2478,"Beam Revised","")</f>
        <v>#N/A</v>
      </c>
      <c r="Y2478" s="7" t="e">
        <f>IF(VLOOKUP($A2478,'Concrete Beam Schedule'!$A$2:$Q$2902,Y$2,0)&lt;&gt;I2478,"Beam Revised","")</f>
        <v>#N/A</v>
      </c>
      <c r="Z2478" s="7" t="e">
        <f>IF(VLOOKUP($A2478,'Concrete Beam Schedule'!$A$2:$Q$2902,Z$2,0)&lt;&gt;J2478,"Beam Revised","")</f>
        <v>#N/A</v>
      </c>
      <c r="AA2478" s="7" t="e">
        <f>IF(VLOOKUP($A2478,'Concrete Beam Schedule'!$A$2:$Q$2902,AA$2,0)&lt;&gt;K2478,"Beam Revised","")</f>
        <v>#N/A</v>
      </c>
      <c r="AB2478" s="7" t="e">
        <f>IF(VLOOKUP($A2478,'Concrete Beam Schedule'!$A$2:$Q$2902,AB$2,0)&lt;&gt;L2478,"Beam Revised","")</f>
        <v>#N/A</v>
      </c>
      <c r="AC2478" s="7" t="e">
        <f>IF(VLOOKUP($A2478,'Concrete Beam Schedule'!$A$2:$Q$2902,AC$2,0)&lt;&gt;M2478,"Beam Revised","")</f>
        <v>#N/A</v>
      </c>
      <c r="AD2478" s="7" t="e">
        <f>IF(VLOOKUP($A2478,'Concrete Beam Schedule'!$A$2:$Q$2902,AD$2,0)&lt;&gt;N2478,"Beam Revised","")</f>
        <v>#N/A</v>
      </c>
      <c r="AE2478" s="7" t="e">
        <f>IF(VLOOKUP($A2478,'Concrete Beam Schedule'!$A$2:$Q$2902,AE$2,0)&lt;&gt;O2478,"Beam Revised","")</f>
        <v>#N/A</v>
      </c>
    </row>
    <row r="2479" spans="17:31" ht="20.100000000000001" customHeight="1" x14ac:dyDescent="0.25">
      <c r="Q2479" s="7">
        <f t="shared" si="38"/>
        <v>0</v>
      </c>
      <c r="R2479" s="7" t="e">
        <f>IF(VLOOKUP($A2479,'Concrete Beam Schedule'!$A$2:$Q$2902,R$2,0)&lt;&gt;B2479,VLOOKUP($A2479,'Concrete Beam Schedule'!$A$2:$Q$2902,R$2,0),"")</f>
        <v>#N/A</v>
      </c>
      <c r="S2479" s="7" t="e">
        <f>IF(VLOOKUP($A2479,'Concrete Beam Schedule'!$A$2:$Q$2902,S$2,0)&lt;&gt;C2479,VLOOKUP($A2479,'Concrete Beam Schedule'!$A$2:$Q$2902,S$2,0),"")</f>
        <v>#N/A</v>
      </c>
      <c r="T2479" s="7" t="e">
        <f>IF(VLOOKUP($A2479,'Concrete Beam Schedule'!$A$2:$Q$2902,T$2,0)&lt;&gt;D2479,"Beam Revised","")</f>
        <v>#N/A</v>
      </c>
      <c r="U2479" s="7" t="e">
        <f>IF(VLOOKUP($A2479,'Concrete Beam Schedule'!$A$2:$Q$2902,U$2,0)&lt;&gt;E2479,"Beam Revised","")</f>
        <v>#N/A</v>
      </c>
      <c r="V2479" s="7" t="e">
        <f>IF(VLOOKUP($A2479,'Concrete Beam Schedule'!$A$2:$Q$2902,V$2,0)&lt;&gt;F2479,"Beam Revised","")</f>
        <v>#N/A</v>
      </c>
      <c r="W2479" s="7" t="e">
        <f>IF(VLOOKUP($A2479,'Concrete Beam Schedule'!$A$2:$Q$2902,W$2,0)&lt;&gt;G2479,"Beam Revised","")</f>
        <v>#N/A</v>
      </c>
      <c r="X2479" s="7" t="e">
        <f>IF(VLOOKUP($A2479,'Concrete Beam Schedule'!$A$2:$Q$2902,X$2,0)&lt;&gt;H2479,"Beam Revised","")</f>
        <v>#N/A</v>
      </c>
      <c r="Y2479" s="7" t="e">
        <f>IF(VLOOKUP($A2479,'Concrete Beam Schedule'!$A$2:$Q$2902,Y$2,0)&lt;&gt;I2479,"Beam Revised","")</f>
        <v>#N/A</v>
      </c>
      <c r="Z2479" s="7" t="e">
        <f>IF(VLOOKUP($A2479,'Concrete Beam Schedule'!$A$2:$Q$2902,Z$2,0)&lt;&gt;J2479,"Beam Revised","")</f>
        <v>#N/A</v>
      </c>
      <c r="AA2479" s="7" t="e">
        <f>IF(VLOOKUP($A2479,'Concrete Beam Schedule'!$A$2:$Q$2902,AA$2,0)&lt;&gt;K2479,"Beam Revised","")</f>
        <v>#N/A</v>
      </c>
      <c r="AB2479" s="7" t="e">
        <f>IF(VLOOKUP($A2479,'Concrete Beam Schedule'!$A$2:$Q$2902,AB$2,0)&lt;&gt;L2479,"Beam Revised","")</f>
        <v>#N/A</v>
      </c>
      <c r="AC2479" s="7" t="e">
        <f>IF(VLOOKUP($A2479,'Concrete Beam Schedule'!$A$2:$Q$2902,AC$2,0)&lt;&gt;M2479,"Beam Revised","")</f>
        <v>#N/A</v>
      </c>
      <c r="AD2479" s="7" t="e">
        <f>IF(VLOOKUP($A2479,'Concrete Beam Schedule'!$A$2:$Q$2902,AD$2,0)&lt;&gt;N2479,"Beam Revised","")</f>
        <v>#N/A</v>
      </c>
      <c r="AE2479" s="7" t="e">
        <f>IF(VLOOKUP($A2479,'Concrete Beam Schedule'!$A$2:$Q$2902,AE$2,0)&lt;&gt;O2479,"Beam Revised","")</f>
        <v>#N/A</v>
      </c>
    </row>
    <row r="2480" spans="17:31" ht="20.100000000000001" customHeight="1" x14ac:dyDescent="0.25">
      <c r="Q2480" s="7">
        <f t="shared" si="38"/>
        <v>0</v>
      </c>
      <c r="R2480" s="7" t="e">
        <f>IF(VLOOKUP($A2480,'Concrete Beam Schedule'!$A$2:$Q$2902,R$2,0)&lt;&gt;B2480,VLOOKUP($A2480,'Concrete Beam Schedule'!$A$2:$Q$2902,R$2,0),"")</f>
        <v>#N/A</v>
      </c>
      <c r="S2480" s="7" t="e">
        <f>IF(VLOOKUP($A2480,'Concrete Beam Schedule'!$A$2:$Q$2902,S$2,0)&lt;&gt;C2480,VLOOKUP($A2480,'Concrete Beam Schedule'!$A$2:$Q$2902,S$2,0),"")</f>
        <v>#N/A</v>
      </c>
      <c r="T2480" s="7" t="e">
        <f>IF(VLOOKUP($A2480,'Concrete Beam Schedule'!$A$2:$Q$2902,T$2,0)&lt;&gt;D2480,"Beam Revised","")</f>
        <v>#N/A</v>
      </c>
      <c r="U2480" s="7" t="e">
        <f>IF(VLOOKUP($A2480,'Concrete Beam Schedule'!$A$2:$Q$2902,U$2,0)&lt;&gt;E2480,"Beam Revised","")</f>
        <v>#N/A</v>
      </c>
      <c r="V2480" s="7" t="e">
        <f>IF(VLOOKUP($A2480,'Concrete Beam Schedule'!$A$2:$Q$2902,V$2,0)&lt;&gt;F2480,"Beam Revised","")</f>
        <v>#N/A</v>
      </c>
      <c r="W2480" s="7" t="e">
        <f>IF(VLOOKUP($A2480,'Concrete Beam Schedule'!$A$2:$Q$2902,W$2,0)&lt;&gt;G2480,"Beam Revised","")</f>
        <v>#N/A</v>
      </c>
      <c r="X2480" s="7" t="e">
        <f>IF(VLOOKUP($A2480,'Concrete Beam Schedule'!$A$2:$Q$2902,X$2,0)&lt;&gt;H2480,"Beam Revised","")</f>
        <v>#N/A</v>
      </c>
      <c r="Y2480" s="7" t="e">
        <f>IF(VLOOKUP($A2480,'Concrete Beam Schedule'!$A$2:$Q$2902,Y$2,0)&lt;&gt;I2480,"Beam Revised","")</f>
        <v>#N/A</v>
      </c>
      <c r="Z2480" s="7" t="e">
        <f>IF(VLOOKUP($A2480,'Concrete Beam Schedule'!$A$2:$Q$2902,Z$2,0)&lt;&gt;J2480,"Beam Revised","")</f>
        <v>#N/A</v>
      </c>
      <c r="AA2480" s="7" t="e">
        <f>IF(VLOOKUP($A2480,'Concrete Beam Schedule'!$A$2:$Q$2902,AA$2,0)&lt;&gt;K2480,"Beam Revised","")</f>
        <v>#N/A</v>
      </c>
      <c r="AB2480" s="7" t="e">
        <f>IF(VLOOKUP($A2480,'Concrete Beam Schedule'!$A$2:$Q$2902,AB$2,0)&lt;&gt;L2480,"Beam Revised","")</f>
        <v>#N/A</v>
      </c>
      <c r="AC2480" s="7" t="e">
        <f>IF(VLOOKUP($A2480,'Concrete Beam Schedule'!$A$2:$Q$2902,AC$2,0)&lt;&gt;M2480,"Beam Revised","")</f>
        <v>#N/A</v>
      </c>
      <c r="AD2480" s="7" t="e">
        <f>IF(VLOOKUP($A2480,'Concrete Beam Schedule'!$A$2:$Q$2902,AD$2,0)&lt;&gt;N2480,"Beam Revised","")</f>
        <v>#N/A</v>
      </c>
      <c r="AE2480" s="7" t="e">
        <f>IF(VLOOKUP($A2480,'Concrete Beam Schedule'!$A$2:$Q$2902,AE$2,0)&lt;&gt;O2480,"Beam Revised","")</f>
        <v>#N/A</v>
      </c>
    </row>
    <row r="2481" spans="17:31" ht="20.100000000000001" customHeight="1" x14ac:dyDescent="0.25">
      <c r="Q2481" s="7">
        <f t="shared" si="38"/>
        <v>0</v>
      </c>
      <c r="R2481" s="7" t="e">
        <f>IF(VLOOKUP($A2481,'Concrete Beam Schedule'!$A$2:$Q$2902,R$2,0)&lt;&gt;B2481,VLOOKUP($A2481,'Concrete Beam Schedule'!$A$2:$Q$2902,R$2,0),"")</f>
        <v>#N/A</v>
      </c>
      <c r="S2481" s="7" t="e">
        <f>IF(VLOOKUP($A2481,'Concrete Beam Schedule'!$A$2:$Q$2902,S$2,0)&lt;&gt;C2481,VLOOKUP($A2481,'Concrete Beam Schedule'!$A$2:$Q$2902,S$2,0),"")</f>
        <v>#N/A</v>
      </c>
      <c r="T2481" s="7" t="e">
        <f>IF(VLOOKUP($A2481,'Concrete Beam Schedule'!$A$2:$Q$2902,T$2,0)&lt;&gt;D2481,"Beam Revised","")</f>
        <v>#N/A</v>
      </c>
      <c r="U2481" s="7" t="e">
        <f>IF(VLOOKUP($A2481,'Concrete Beam Schedule'!$A$2:$Q$2902,U$2,0)&lt;&gt;E2481,"Beam Revised","")</f>
        <v>#N/A</v>
      </c>
      <c r="V2481" s="7" t="e">
        <f>IF(VLOOKUP($A2481,'Concrete Beam Schedule'!$A$2:$Q$2902,V$2,0)&lt;&gt;F2481,"Beam Revised","")</f>
        <v>#N/A</v>
      </c>
      <c r="W2481" s="7" t="e">
        <f>IF(VLOOKUP($A2481,'Concrete Beam Schedule'!$A$2:$Q$2902,W$2,0)&lt;&gt;G2481,"Beam Revised","")</f>
        <v>#N/A</v>
      </c>
      <c r="X2481" s="7" t="e">
        <f>IF(VLOOKUP($A2481,'Concrete Beam Schedule'!$A$2:$Q$2902,X$2,0)&lt;&gt;H2481,"Beam Revised","")</f>
        <v>#N/A</v>
      </c>
      <c r="Y2481" s="7" t="e">
        <f>IF(VLOOKUP($A2481,'Concrete Beam Schedule'!$A$2:$Q$2902,Y$2,0)&lt;&gt;I2481,"Beam Revised","")</f>
        <v>#N/A</v>
      </c>
      <c r="Z2481" s="7" t="e">
        <f>IF(VLOOKUP($A2481,'Concrete Beam Schedule'!$A$2:$Q$2902,Z$2,0)&lt;&gt;J2481,"Beam Revised","")</f>
        <v>#N/A</v>
      </c>
      <c r="AA2481" s="7" t="e">
        <f>IF(VLOOKUP($A2481,'Concrete Beam Schedule'!$A$2:$Q$2902,AA$2,0)&lt;&gt;K2481,"Beam Revised","")</f>
        <v>#N/A</v>
      </c>
      <c r="AB2481" s="7" t="e">
        <f>IF(VLOOKUP($A2481,'Concrete Beam Schedule'!$A$2:$Q$2902,AB$2,0)&lt;&gt;L2481,"Beam Revised","")</f>
        <v>#N/A</v>
      </c>
      <c r="AC2481" s="7" t="e">
        <f>IF(VLOOKUP($A2481,'Concrete Beam Schedule'!$A$2:$Q$2902,AC$2,0)&lt;&gt;M2481,"Beam Revised","")</f>
        <v>#N/A</v>
      </c>
      <c r="AD2481" s="7" t="e">
        <f>IF(VLOOKUP($A2481,'Concrete Beam Schedule'!$A$2:$Q$2902,AD$2,0)&lt;&gt;N2481,"Beam Revised","")</f>
        <v>#N/A</v>
      </c>
      <c r="AE2481" s="7" t="e">
        <f>IF(VLOOKUP($A2481,'Concrete Beam Schedule'!$A$2:$Q$2902,AE$2,0)&lt;&gt;O2481,"Beam Revised","")</f>
        <v>#N/A</v>
      </c>
    </row>
    <row r="2482" spans="17:31" ht="20.100000000000001" customHeight="1" x14ac:dyDescent="0.25">
      <c r="Q2482" s="7">
        <f t="shared" si="38"/>
        <v>0</v>
      </c>
      <c r="R2482" s="7" t="e">
        <f>IF(VLOOKUP($A2482,'Concrete Beam Schedule'!$A$2:$Q$2902,R$2,0)&lt;&gt;B2482,VLOOKUP($A2482,'Concrete Beam Schedule'!$A$2:$Q$2902,R$2,0),"")</f>
        <v>#N/A</v>
      </c>
      <c r="S2482" s="7" t="e">
        <f>IF(VLOOKUP($A2482,'Concrete Beam Schedule'!$A$2:$Q$2902,S$2,0)&lt;&gt;C2482,VLOOKUP($A2482,'Concrete Beam Schedule'!$A$2:$Q$2902,S$2,0),"")</f>
        <v>#N/A</v>
      </c>
      <c r="T2482" s="7" t="e">
        <f>IF(VLOOKUP($A2482,'Concrete Beam Schedule'!$A$2:$Q$2902,T$2,0)&lt;&gt;D2482,"Beam Revised","")</f>
        <v>#N/A</v>
      </c>
      <c r="U2482" s="7" t="e">
        <f>IF(VLOOKUP($A2482,'Concrete Beam Schedule'!$A$2:$Q$2902,U$2,0)&lt;&gt;E2482,"Beam Revised","")</f>
        <v>#N/A</v>
      </c>
      <c r="V2482" s="7" t="e">
        <f>IF(VLOOKUP($A2482,'Concrete Beam Schedule'!$A$2:$Q$2902,V$2,0)&lt;&gt;F2482,"Beam Revised","")</f>
        <v>#N/A</v>
      </c>
      <c r="W2482" s="7" t="e">
        <f>IF(VLOOKUP($A2482,'Concrete Beam Schedule'!$A$2:$Q$2902,W$2,0)&lt;&gt;G2482,"Beam Revised","")</f>
        <v>#N/A</v>
      </c>
      <c r="X2482" s="7" t="e">
        <f>IF(VLOOKUP($A2482,'Concrete Beam Schedule'!$A$2:$Q$2902,X$2,0)&lt;&gt;H2482,"Beam Revised","")</f>
        <v>#N/A</v>
      </c>
      <c r="Y2482" s="7" t="e">
        <f>IF(VLOOKUP($A2482,'Concrete Beam Schedule'!$A$2:$Q$2902,Y$2,0)&lt;&gt;I2482,"Beam Revised","")</f>
        <v>#N/A</v>
      </c>
      <c r="Z2482" s="7" t="e">
        <f>IF(VLOOKUP($A2482,'Concrete Beam Schedule'!$A$2:$Q$2902,Z$2,0)&lt;&gt;J2482,"Beam Revised","")</f>
        <v>#N/A</v>
      </c>
      <c r="AA2482" s="7" t="e">
        <f>IF(VLOOKUP($A2482,'Concrete Beam Schedule'!$A$2:$Q$2902,AA$2,0)&lt;&gt;K2482,"Beam Revised","")</f>
        <v>#N/A</v>
      </c>
      <c r="AB2482" s="7" t="e">
        <f>IF(VLOOKUP($A2482,'Concrete Beam Schedule'!$A$2:$Q$2902,AB$2,0)&lt;&gt;L2482,"Beam Revised","")</f>
        <v>#N/A</v>
      </c>
      <c r="AC2482" s="7" t="e">
        <f>IF(VLOOKUP($A2482,'Concrete Beam Schedule'!$A$2:$Q$2902,AC$2,0)&lt;&gt;M2482,"Beam Revised","")</f>
        <v>#N/A</v>
      </c>
      <c r="AD2482" s="7" t="e">
        <f>IF(VLOOKUP($A2482,'Concrete Beam Schedule'!$A$2:$Q$2902,AD$2,0)&lt;&gt;N2482,"Beam Revised","")</f>
        <v>#N/A</v>
      </c>
      <c r="AE2482" s="7" t="e">
        <f>IF(VLOOKUP($A2482,'Concrete Beam Schedule'!$A$2:$Q$2902,AE$2,0)&lt;&gt;O2482,"Beam Revised","")</f>
        <v>#N/A</v>
      </c>
    </row>
    <row r="2483" spans="17:31" ht="20.100000000000001" customHeight="1" x14ac:dyDescent="0.25">
      <c r="Q2483" s="7">
        <f t="shared" si="38"/>
        <v>0</v>
      </c>
      <c r="R2483" s="7" t="e">
        <f>IF(VLOOKUP($A2483,'Concrete Beam Schedule'!$A$2:$Q$2902,R$2,0)&lt;&gt;B2483,VLOOKUP($A2483,'Concrete Beam Schedule'!$A$2:$Q$2902,R$2,0),"")</f>
        <v>#N/A</v>
      </c>
      <c r="S2483" s="7" t="e">
        <f>IF(VLOOKUP($A2483,'Concrete Beam Schedule'!$A$2:$Q$2902,S$2,0)&lt;&gt;C2483,VLOOKUP($A2483,'Concrete Beam Schedule'!$A$2:$Q$2902,S$2,0),"")</f>
        <v>#N/A</v>
      </c>
      <c r="T2483" s="7" t="e">
        <f>IF(VLOOKUP($A2483,'Concrete Beam Schedule'!$A$2:$Q$2902,T$2,0)&lt;&gt;D2483,"Beam Revised","")</f>
        <v>#N/A</v>
      </c>
      <c r="U2483" s="7" t="e">
        <f>IF(VLOOKUP($A2483,'Concrete Beam Schedule'!$A$2:$Q$2902,U$2,0)&lt;&gt;E2483,"Beam Revised","")</f>
        <v>#N/A</v>
      </c>
      <c r="V2483" s="7" t="e">
        <f>IF(VLOOKUP($A2483,'Concrete Beam Schedule'!$A$2:$Q$2902,V$2,0)&lt;&gt;F2483,"Beam Revised","")</f>
        <v>#N/A</v>
      </c>
      <c r="W2483" s="7" t="e">
        <f>IF(VLOOKUP($A2483,'Concrete Beam Schedule'!$A$2:$Q$2902,W$2,0)&lt;&gt;G2483,"Beam Revised","")</f>
        <v>#N/A</v>
      </c>
      <c r="X2483" s="7" t="e">
        <f>IF(VLOOKUP($A2483,'Concrete Beam Schedule'!$A$2:$Q$2902,X$2,0)&lt;&gt;H2483,"Beam Revised","")</f>
        <v>#N/A</v>
      </c>
      <c r="Y2483" s="7" t="e">
        <f>IF(VLOOKUP($A2483,'Concrete Beam Schedule'!$A$2:$Q$2902,Y$2,0)&lt;&gt;I2483,"Beam Revised","")</f>
        <v>#N/A</v>
      </c>
      <c r="Z2483" s="7" t="e">
        <f>IF(VLOOKUP($A2483,'Concrete Beam Schedule'!$A$2:$Q$2902,Z$2,0)&lt;&gt;J2483,"Beam Revised","")</f>
        <v>#N/A</v>
      </c>
      <c r="AA2483" s="7" t="e">
        <f>IF(VLOOKUP($A2483,'Concrete Beam Schedule'!$A$2:$Q$2902,AA$2,0)&lt;&gt;K2483,"Beam Revised","")</f>
        <v>#N/A</v>
      </c>
      <c r="AB2483" s="7" t="e">
        <f>IF(VLOOKUP($A2483,'Concrete Beam Schedule'!$A$2:$Q$2902,AB$2,0)&lt;&gt;L2483,"Beam Revised","")</f>
        <v>#N/A</v>
      </c>
      <c r="AC2483" s="7" t="e">
        <f>IF(VLOOKUP($A2483,'Concrete Beam Schedule'!$A$2:$Q$2902,AC$2,0)&lt;&gt;M2483,"Beam Revised","")</f>
        <v>#N/A</v>
      </c>
      <c r="AD2483" s="7" t="e">
        <f>IF(VLOOKUP($A2483,'Concrete Beam Schedule'!$A$2:$Q$2902,AD$2,0)&lt;&gt;N2483,"Beam Revised","")</f>
        <v>#N/A</v>
      </c>
      <c r="AE2483" s="7" t="e">
        <f>IF(VLOOKUP($A2483,'Concrete Beam Schedule'!$A$2:$Q$2902,AE$2,0)&lt;&gt;O2483,"Beam Revised","")</f>
        <v>#N/A</v>
      </c>
    </row>
    <row r="2484" spans="17:31" ht="20.100000000000001" customHeight="1" x14ac:dyDescent="0.25">
      <c r="Q2484" s="7">
        <f t="shared" si="38"/>
        <v>0</v>
      </c>
      <c r="R2484" s="7" t="e">
        <f>IF(VLOOKUP($A2484,'Concrete Beam Schedule'!$A$2:$Q$2902,R$2,0)&lt;&gt;B2484,VLOOKUP($A2484,'Concrete Beam Schedule'!$A$2:$Q$2902,R$2,0),"")</f>
        <v>#N/A</v>
      </c>
      <c r="S2484" s="7" t="e">
        <f>IF(VLOOKUP($A2484,'Concrete Beam Schedule'!$A$2:$Q$2902,S$2,0)&lt;&gt;C2484,VLOOKUP($A2484,'Concrete Beam Schedule'!$A$2:$Q$2902,S$2,0),"")</f>
        <v>#N/A</v>
      </c>
      <c r="T2484" s="7" t="e">
        <f>IF(VLOOKUP($A2484,'Concrete Beam Schedule'!$A$2:$Q$2902,T$2,0)&lt;&gt;D2484,"Beam Revised","")</f>
        <v>#N/A</v>
      </c>
      <c r="U2484" s="7" t="e">
        <f>IF(VLOOKUP($A2484,'Concrete Beam Schedule'!$A$2:$Q$2902,U$2,0)&lt;&gt;E2484,"Beam Revised","")</f>
        <v>#N/A</v>
      </c>
      <c r="V2484" s="7" t="e">
        <f>IF(VLOOKUP($A2484,'Concrete Beam Schedule'!$A$2:$Q$2902,V$2,0)&lt;&gt;F2484,"Beam Revised","")</f>
        <v>#N/A</v>
      </c>
      <c r="W2484" s="7" t="e">
        <f>IF(VLOOKUP($A2484,'Concrete Beam Schedule'!$A$2:$Q$2902,W$2,0)&lt;&gt;G2484,"Beam Revised","")</f>
        <v>#N/A</v>
      </c>
      <c r="X2484" s="7" t="e">
        <f>IF(VLOOKUP($A2484,'Concrete Beam Schedule'!$A$2:$Q$2902,X$2,0)&lt;&gt;H2484,"Beam Revised","")</f>
        <v>#N/A</v>
      </c>
      <c r="Y2484" s="7" t="e">
        <f>IF(VLOOKUP($A2484,'Concrete Beam Schedule'!$A$2:$Q$2902,Y$2,0)&lt;&gt;I2484,"Beam Revised","")</f>
        <v>#N/A</v>
      </c>
      <c r="Z2484" s="7" t="e">
        <f>IF(VLOOKUP($A2484,'Concrete Beam Schedule'!$A$2:$Q$2902,Z$2,0)&lt;&gt;J2484,"Beam Revised","")</f>
        <v>#N/A</v>
      </c>
      <c r="AA2484" s="7" t="e">
        <f>IF(VLOOKUP($A2484,'Concrete Beam Schedule'!$A$2:$Q$2902,AA$2,0)&lt;&gt;K2484,"Beam Revised","")</f>
        <v>#N/A</v>
      </c>
      <c r="AB2484" s="7" t="e">
        <f>IF(VLOOKUP($A2484,'Concrete Beam Schedule'!$A$2:$Q$2902,AB$2,0)&lt;&gt;L2484,"Beam Revised","")</f>
        <v>#N/A</v>
      </c>
      <c r="AC2484" s="7" t="e">
        <f>IF(VLOOKUP($A2484,'Concrete Beam Schedule'!$A$2:$Q$2902,AC$2,0)&lt;&gt;M2484,"Beam Revised","")</f>
        <v>#N/A</v>
      </c>
      <c r="AD2484" s="7" t="e">
        <f>IF(VLOOKUP($A2484,'Concrete Beam Schedule'!$A$2:$Q$2902,AD$2,0)&lt;&gt;N2484,"Beam Revised","")</f>
        <v>#N/A</v>
      </c>
      <c r="AE2484" s="7" t="e">
        <f>IF(VLOOKUP($A2484,'Concrete Beam Schedule'!$A$2:$Q$2902,AE$2,0)&lt;&gt;O2484,"Beam Revised","")</f>
        <v>#N/A</v>
      </c>
    </row>
    <row r="2485" spans="17:31" ht="20.100000000000001" customHeight="1" x14ac:dyDescent="0.25">
      <c r="Q2485" s="7">
        <f t="shared" si="38"/>
        <v>0</v>
      </c>
      <c r="R2485" s="7" t="e">
        <f>IF(VLOOKUP($A2485,'Concrete Beam Schedule'!$A$2:$Q$2902,R$2,0)&lt;&gt;B2485,VLOOKUP($A2485,'Concrete Beam Schedule'!$A$2:$Q$2902,R$2,0),"")</f>
        <v>#N/A</v>
      </c>
      <c r="S2485" s="7" t="e">
        <f>IF(VLOOKUP($A2485,'Concrete Beam Schedule'!$A$2:$Q$2902,S$2,0)&lt;&gt;C2485,VLOOKUP($A2485,'Concrete Beam Schedule'!$A$2:$Q$2902,S$2,0),"")</f>
        <v>#N/A</v>
      </c>
      <c r="T2485" s="7" t="e">
        <f>IF(VLOOKUP($A2485,'Concrete Beam Schedule'!$A$2:$Q$2902,T$2,0)&lt;&gt;D2485,"Beam Revised","")</f>
        <v>#N/A</v>
      </c>
      <c r="U2485" s="7" t="e">
        <f>IF(VLOOKUP($A2485,'Concrete Beam Schedule'!$A$2:$Q$2902,U$2,0)&lt;&gt;E2485,"Beam Revised","")</f>
        <v>#N/A</v>
      </c>
      <c r="V2485" s="7" t="e">
        <f>IF(VLOOKUP($A2485,'Concrete Beam Schedule'!$A$2:$Q$2902,V$2,0)&lt;&gt;F2485,"Beam Revised","")</f>
        <v>#N/A</v>
      </c>
      <c r="W2485" s="7" t="e">
        <f>IF(VLOOKUP($A2485,'Concrete Beam Schedule'!$A$2:$Q$2902,W$2,0)&lt;&gt;G2485,"Beam Revised","")</f>
        <v>#N/A</v>
      </c>
      <c r="X2485" s="7" t="e">
        <f>IF(VLOOKUP($A2485,'Concrete Beam Schedule'!$A$2:$Q$2902,X$2,0)&lt;&gt;H2485,"Beam Revised","")</f>
        <v>#N/A</v>
      </c>
      <c r="Y2485" s="7" t="e">
        <f>IF(VLOOKUP($A2485,'Concrete Beam Schedule'!$A$2:$Q$2902,Y$2,0)&lt;&gt;I2485,"Beam Revised","")</f>
        <v>#N/A</v>
      </c>
      <c r="Z2485" s="7" t="e">
        <f>IF(VLOOKUP($A2485,'Concrete Beam Schedule'!$A$2:$Q$2902,Z$2,0)&lt;&gt;J2485,"Beam Revised","")</f>
        <v>#N/A</v>
      </c>
      <c r="AA2485" s="7" t="e">
        <f>IF(VLOOKUP($A2485,'Concrete Beam Schedule'!$A$2:$Q$2902,AA$2,0)&lt;&gt;K2485,"Beam Revised","")</f>
        <v>#N/A</v>
      </c>
      <c r="AB2485" s="7" t="e">
        <f>IF(VLOOKUP($A2485,'Concrete Beam Schedule'!$A$2:$Q$2902,AB$2,0)&lt;&gt;L2485,"Beam Revised","")</f>
        <v>#N/A</v>
      </c>
      <c r="AC2485" s="7" t="e">
        <f>IF(VLOOKUP($A2485,'Concrete Beam Schedule'!$A$2:$Q$2902,AC$2,0)&lt;&gt;M2485,"Beam Revised","")</f>
        <v>#N/A</v>
      </c>
      <c r="AD2485" s="7" t="e">
        <f>IF(VLOOKUP($A2485,'Concrete Beam Schedule'!$A$2:$Q$2902,AD$2,0)&lt;&gt;N2485,"Beam Revised","")</f>
        <v>#N/A</v>
      </c>
      <c r="AE2485" s="7" t="e">
        <f>IF(VLOOKUP($A2485,'Concrete Beam Schedule'!$A$2:$Q$2902,AE$2,0)&lt;&gt;O2485,"Beam Revised","")</f>
        <v>#N/A</v>
      </c>
    </row>
    <row r="2486" spans="17:31" ht="20.100000000000001" customHeight="1" x14ac:dyDescent="0.25">
      <c r="Q2486" s="7">
        <f t="shared" si="38"/>
        <v>0</v>
      </c>
      <c r="R2486" s="7" t="e">
        <f>IF(VLOOKUP($A2486,'Concrete Beam Schedule'!$A$2:$Q$2902,R$2,0)&lt;&gt;B2486,VLOOKUP($A2486,'Concrete Beam Schedule'!$A$2:$Q$2902,R$2,0),"")</f>
        <v>#N/A</v>
      </c>
      <c r="S2486" s="7" t="e">
        <f>IF(VLOOKUP($A2486,'Concrete Beam Schedule'!$A$2:$Q$2902,S$2,0)&lt;&gt;C2486,VLOOKUP($A2486,'Concrete Beam Schedule'!$A$2:$Q$2902,S$2,0),"")</f>
        <v>#N/A</v>
      </c>
      <c r="T2486" s="7" t="e">
        <f>IF(VLOOKUP($A2486,'Concrete Beam Schedule'!$A$2:$Q$2902,T$2,0)&lt;&gt;D2486,"Beam Revised","")</f>
        <v>#N/A</v>
      </c>
      <c r="U2486" s="7" t="e">
        <f>IF(VLOOKUP($A2486,'Concrete Beam Schedule'!$A$2:$Q$2902,U$2,0)&lt;&gt;E2486,"Beam Revised","")</f>
        <v>#N/A</v>
      </c>
      <c r="V2486" s="7" t="e">
        <f>IF(VLOOKUP($A2486,'Concrete Beam Schedule'!$A$2:$Q$2902,V$2,0)&lt;&gt;F2486,"Beam Revised","")</f>
        <v>#N/A</v>
      </c>
      <c r="W2486" s="7" t="e">
        <f>IF(VLOOKUP($A2486,'Concrete Beam Schedule'!$A$2:$Q$2902,W$2,0)&lt;&gt;G2486,"Beam Revised","")</f>
        <v>#N/A</v>
      </c>
      <c r="X2486" s="7" t="e">
        <f>IF(VLOOKUP($A2486,'Concrete Beam Schedule'!$A$2:$Q$2902,X$2,0)&lt;&gt;H2486,"Beam Revised","")</f>
        <v>#N/A</v>
      </c>
      <c r="Y2486" s="7" t="e">
        <f>IF(VLOOKUP($A2486,'Concrete Beam Schedule'!$A$2:$Q$2902,Y$2,0)&lt;&gt;I2486,"Beam Revised","")</f>
        <v>#N/A</v>
      </c>
      <c r="Z2486" s="7" t="e">
        <f>IF(VLOOKUP($A2486,'Concrete Beam Schedule'!$A$2:$Q$2902,Z$2,0)&lt;&gt;J2486,"Beam Revised","")</f>
        <v>#N/A</v>
      </c>
      <c r="AA2486" s="7" t="e">
        <f>IF(VLOOKUP($A2486,'Concrete Beam Schedule'!$A$2:$Q$2902,AA$2,0)&lt;&gt;K2486,"Beam Revised","")</f>
        <v>#N/A</v>
      </c>
      <c r="AB2486" s="7" t="e">
        <f>IF(VLOOKUP($A2486,'Concrete Beam Schedule'!$A$2:$Q$2902,AB$2,0)&lt;&gt;L2486,"Beam Revised","")</f>
        <v>#N/A</v>
      </c>
      <c r="AC2486" s="7" t="e">
        <f>IF(VLOOKUP($A2486,'Concrete Beam Schedule'!$A$2:$Q$2902,AC$2,0)&lt;&gt;M2486,"Beam Revised","")</f>
        <v>#N/A</v>
      </c>
      <c r="AD2486" s="7" t="e">
        <f>IF(VLOOKUP($A2486,'Concrete Beam Schedule'!$A$2:$Q$2902,AD$2,0)&lt;&gt;N2486,"Beam Revised","")</f>
        <v>#N/A</v>
      </c>
      <c r="AE2486" s="7" t="e">
        <f>IF(VLOOKUP($A2486,'Concrete Beam Schedule'!$A$2:$Q$2902,AE$2,0)&lt;&gt;O2486,"Beam Revised","")</f>
        <v>#N/A</v>
      </c>
    </row>
    <row r="2487" spans="17:31" ht="20.100000000000001" customHeight="1" x14ac:dyDescent="0.25">
      <c r="Q2487" s="7">
        <f t="shared" si="38"/>
        <v>0</v>
      </c>
      <c r="R2487" s="7" t="e">
        <f>IF(VLOOKUP($A2487,'Concrete Beam Schedule'!$A$2:$Q$2902,R$2,0)&lt;&gt;B2487,VLOOKUP($A2487,'Concrete Beam Schedule'!$A$2:$Q$2902,R$2,0),"")</f>
        <v>#N/A</v>
      </c>
      <c r="S2487" s="7" t="e">
        <f>IF(VLOOKUP($A2487,'Concrete Beam Schedule'!$A$2:$Q$2902,S$2,0)&lt;&gt;C2487,VLOOKUP($A2487,'Concrete Beam Schedule'!$A$2:$Q$2902,S$2,0),"")</f>
        <v>#N/A</v>
      </c>
      <c r="T2487" s="7" t="e">
        <f>IF(VLOOKUP($A2487,'Concrete Beam Schedule'!$A$2:$Q$2902,T$2,0)&lt;&gt;D2487,"Beam Revised","")</f>
        <v>#N/A</v>
      </c>
      <c r="U2487" s="7" t="e">
        <f>IF(VLOOKUP($A2487,'Concrete Beam Schedule'!$A$2:$Q$2902,U$2,0)&lt;&gt;E2487,"Beam Revised","")</f>
        <v>#N/A</v>
      </c>
      <c r="V2487" s="7" t="e">
        <f>IF(VLOOKUP($A2487,'Concrete Beam Schedule'!$A$2:$Q$2902,V$2,0)&lt;&gt;F2487,"Beam Revised","")</f>
        <v>#N/A</v>
      </c>
      <c r="W2487" s="7" t="e">
        <f>IF(VLOOKUP($A2487,'Concrete Beam Schedule'!$A$2:$Q$2902,W$2,0)&lt;&gt;G2487,"Beam Revised","")</f>
        <v>#N/A</v>
      </c>
      <c r="X2487" s="7" t="e">
        <f>IF(VLOOKUP($A2487,'Concrete Beam Schedule'!$A$2:$Q$2902,X$2,0)&lt;&gt;H2487,"Beam Revised","")</f>
        <v>#N/A</v>
      </c>
      <c r="Y2487" s="7" t="e">
        <f>IF(VLOOKUP($A2487,'Concrete Beam Schedule'!$A$2:$Q$2902,Y$2,0)&lt;&gt;I2487,"Beam Revised","")</f>
        <v>#N/A</v>
      </c>
      <c r="Z2487" s="7" t="e">
        <f>IF(VLOOKUP($A2487,'Concrete Beam Schedule'!$A$2:$Q$2902,Z$2,0)&lt;&gt;J2487,"Beam Revised","")</f>
        <v>#N/A</v>
      </c>
      <c r="AA2487" s="7" t="e">
        <f>IF(VLOOKUP($A2487,'Concrete Beam Schedule'!$A$2:$Q$2902,AA$2,0)&lt;&gt;K2487,"Beam Revised","")</f>
        <v>#N/A</v>
      </c>
      <c r="AB2487" s="7" t="e">
        <f>IF(VLOOKUP($A2487,'Concrete Beam Schedule'!$A$2:$Q$2902,AB$2,0)&lt;&gt;L2487,"Beam Revised","")</f>
        <v>#N/A</v>
      </c>
      <c r="AC2487" s="7" t="e">
        <f>IF(VLOOKUP($A2487,'Concrete Beam Schedule'!$A$2:$Q$2902,AC$2,0)&lt;&gt;M2487,"Beam Revised","")</f>
        <v>#N/A</v>
      </c>
      <c r="AD2487" s="7" t="e">
        <f>IF(VLOOKUP($A2487,'Concrete Beam Schedule'!$A$2:$Q$2902,AD$2,0)&lt;&gt;N2487,"Beam Revised","")</f>
        <v>#N/A</v>
      </c>
      <c r="AE2487" s="7" t="e">
        <f>IF(VLOOKUP($A2487,'Concrete Beam Schedule'!$A$2:$Q$2902,AE$2,0)&lt;&gt;O2487,"Beam Revised","")</f>
        <v>#N/A</v>
      </c>
    </row>
    <row r="2488" spans="17:31" ht="20.100000000000001" customHeight="1" x14ac:dyDescent="0.25">
      <c r="Q2488" s="7">
        <f t="shared" si="38"/>
        <v>0</v>
      </c>
      <c r="R2488" s="7" t="e">
        <f>IF(VLOOKUP($A2488,'Concrete Beam Schedule'!$A$2:$Q$2902,R$2,0)&lt;&gt;B2488,VLOOKUP($A2488,'Concrete Beam Schedule'!$A$2:$Q$2902,R$2,0),"")</f>
        <v>#N/A</v>
      </c>
      <c r="S2488" s="7" t="e">
        <f>IF(VLOOKUP($A2488,'Concrete Beam Schedule'!$A$2:$Q$2902,S$2,0)&lt;&gt;C2488,VLOOKUP($A2488,'Concrete Beam Schedule'!$A$2:$Q$2902,S$2,0),"")</f>
        <v>#N/A</v>
      </c>
      <c r="T2488" s="7" t="e">
        <f>IF(VLOOKUP($A2488,'Concrete Beam Schedule'!$A$2:$Q$2902,T$2,0)&lt;&gt;D2488,"Beam Revised","")</f>
        <v>#N/A</v>
      </c>
      <c r="U2488" s="7" t="e">
        <f>IF(VLOOKUP($A2488,'Concrete Beam Schedule'!$A$2:$Q$2902,U$2,0)&lt;&gt;E2488,"Beam Revised","")</f>
        <v>#N/A</v>
      </c>
      <c r="V2488" s="7" t="e">
        <f>IF(VLOOKUP($A2488,'Concrete Beam Schedule'!$A$2:$Q$2902,V$2,0)&lt;&gt;F2488,"Beam Revised","")</f>
        <v>#N/A</v>
      </c>
      <c r="W2488" s="7" t="e">
        <f>IF(VLOOKUP($A2488,'Concrete Beam Schedule'!$A$2:$Q$2902,W$2,0)&lt;&gt;G2488,"Beam Revised","")</f>
        <v>#N/A</v>
      </c>
      <c r="X2488" s="7" t="e">
        <f>IF(VLOOKUP($A2488,'Concrete Beam Schedule'!$A$2:$Q$2902,X$2,0)&lt;&gt;H2488,"Beam Revised","")</f>
        <v>#N/A</v>
      </c>
      <c r="Y2488" s="7" t="e">
        <f>IF(VLOOKUP($A2488,'Concrete Beam Schedule'!$A$2:$Q$2902,Y$2,0)&lt;&gt;I2488,"Beam Revised","")</f>
        <v>#N/A</v>
      </c>
      <c r="Z2488" s="7" t="e">
        <f>IF(VLOOKUP($A2488,'Concrete Beam Schedule'!$A$2:$Q$2902,Z$2,0)&lt;&gt;J2488,"Beam Revised","")</f>
        <v>#N/A</v>
      </c>
      <c r="AA2488" s="7" t="e">
        <f>IF(VLOOKUP($A2488,'Concrete Beam Schedule'!$A$2:$Q$2902,AA$2,0)&lt;&gt;K2488,"Beam Revised","")</f>
        <v>#N/A</v>
      </c>
      <c r="AB2488" s="7" t="e">
        <f>IF(VLOOKUP($A2488,'Concrete Beam Schedule'!$A$2:$Q$2902,AB$2,0)&lt;&gt;L2488,"Beam Revised","")</f>
        <v>#N/A</v>
      </c>
      <c r="AC2488" s="7" t="e">
        <f>IF(VLOOKUP($A2488,'Concrete Beam Schedule'!$A$2:$Q$2902,AC$2,0)&lt;&gt;M2488,"Beam Revised","")</f>
        <v>#N/A</v>
      </c>
      <c r="AD2488" s="7" t="e">
        <f>IF(VLOOKUP($A2488,'Concrete Beam Schedule'!$A$2:$Q$2902,AD$2,0)&lt;&gt;N2488,"Beam Revised","")</f>
        <v>#N/A</v>
      </c>
      <c r="AE2488" s="7" t="e">
        <f>IF(VLOOKUP($A2488,'Concrete Beam Schedule'!$A$2:$Q$2902,AE$2,0)&lt;&gt;O2488,"Beam Revised","")</f>
        <v>#N/A</v>
      </c>
    </row>
    <row r="2489" spans="17:31" ht="20.100000000000001" customHeight="1" x14ac:dyDescent="0.25">
      <c r="Q2489" s="7">
        <f t="shared" si="38"/>
        <v>0</v>
      </c>
      <c r="R2489" s="7" t="e">
        <f>IF(VLOOKUP($A2489,'Concrete Beam Schedule'!$A$2:$Q$2902,R$2,0)&lt;&gt;B2489,VLOOKUP($A2489,'Concrete Beam Schedule'!$A$2:$Q$2902,R$2,0),"")</f>
        <v>#N/A</v>
      </c>
      <c r="S2489" s="7" t="e">
        <f>IF(VLOOKUP($A2489,'Concrete Beam Schedule'!$A$2:$Q$2902,S$2,0)&lt;&gt;C2489,VLOOKUP($A2489,'Concrete Beam Schedule'!$A$2:$Q$2902,S$2,0),"")</f>
        <v>#N/A</v>
      </c>
      <c r="T2489" s="7" t="e">
        <f>IF(VLOOKUP($A2489,'Concrete Beam Schedule'!$A$2:$Q$2902,T$2,0)&lt;&gt;D2489,"Beam Revised","")</f>
        <v>#N/A</v>
      </c>
      <c r="U2489" s="7" t="e">
        <f>IF(VLOOKUP($A2489,'Concrete Beam Schedule'!$A$2:$Q$2902,U$2,0)&lt;&gt;E2489,"Beam Revised","")</f>
        <v>#N/A</v>
      </c>
      <c r="V2489" s="7" t="e">
        <f>IF(VLOOKUP($A2489,'Concrete Beam Schedule'!$A$2:$Q$2902,V$2,0)&lt;&gt;F2489,"Beam Revised","")</f>
        <v>#N/A</v>
      </c>
      <c r="W2489" s="7" t="e">
        <f>IF(VLOOKUP($A2489,'Concrete Beam Schedule'!$A$2:$Q$2902,W$2,0)&lt;&gt;G2489,"Beam Revised","")</f>
        <v>#N/A</v>
      </c>
      <c r="X2489" s="7" t="e">
        <f>IF(VLOOKUP($A2489,'Concrete Beam Schedule'!$A$2:$Q$2902,X$2,0)&lt;&gt;H2489,"Beam Revised","")</f>
        <v>#N/A</v>
      </c>
      <c r="Y2489" s="7" t="e">
        <f>IF(VLOOKUP($A2489,'Concrete Beam Schedule'!$A$2:$Q$2902,Y$2,0)&lt;&gt;I2489,"Beam Revised","")</f>
        <v>#N/A</v>
      </c>
      <c r="Z2489" s="7" t="e">
        <f>IF(VLOOKUP($A2489,'Concrete Beam Schedule'!$A$2:$Q$2902,Z$2,0)&lt;&gt;J2489,"Beam Revised","")</f>
        <v>#N/A</v>
      </c>
      <c r="AA2489" s="7" t="e">
        <f>IF(VLOOKUP($A2489,'Concrete Beam Schedule'!$A$2:$Q$2902,AA$2,0)&lt;&gt;K2489,"Beam Revised","")</f>
        <v>#N/A</v>
      </c>
      <c r="AB2489" s="7" t="e">
        <f>IF(VLOOKUP($A2489,'Concrete Beam Schedule'!$A$2:$Q$2902,AB$2,0)&lt;&gt;L2489,"Beam Revised","")</f>
        <v>#N/A</v>
      </c>
      <c r="AC2489" s="7" t="e">
        <f>IF(VLOOKUP($A2489,'Concrete Beam Schedule'!$A$2:$Q$2902,AC$2,0)&lt;&gt;M2489,"Beam Revised","")</f>
        <v>#N/A</v>
      </c>
      <c r="AD2489" s="7" t="e">
        <f>IF(VLOOKUP($A2489,'Concrete Beam Schedule'!$A$2:$Q$2902,AD$2,0)&lt;&gt;N2489,"Beam Revised","")</f>
        <v>#N/A</v>
      </c>
      <c r="AE2489" s="7" t="e">
        <f>IF(VLOOKUP($A2489,'Concrete Beam Schedule'!$A$2:$Q$2902,AE$2,0)&lt;&gt;O2489,"Beam Revised","")</f>
        <v>#N/A</v>
      </c>
    </row>
    <row r="2490" spans="17:31" ht="20.100000000000001" customHeight="1" x14ac:dyDescent="0.25">
      <c r="Q2490" s="7">
        <f t="shared" si="38"/>
        <v>0</v>
      </c>
      <c r="R2490" s="7" t="e">
        <f>IF(VLOOKUP($A2490,'Concrete Beam Schedule'!$A$2:$Q$2902,R$2,0)&lt;&gt;B2490,VLOOKUP($A2490,'Concrete Beam Schedule'!$A$2:$Q$2902,R$2,0),"")</f>
        <v>#N/A</v>
      </c>
      <c r="S2490" s="7" t="e">
        <f>IF(VLOOKUP($A2490,'Concrete Beam Schedule'!$A$2:$Q$2902,S$2,0)&lt;&gt;C2490,VLOOKUP($A2490,'Concrete Beam Schedule'!$A$2:$Q$2902,S$2,0),"")</f>
        <v>#N/A</v>
      </c>
      <c r="T2490" s="7" t="e">
        <f>IF(VLOOKUP($A2490,'Concrete Beam Schedule'!$A$2:$Q$2902,T$2,0)&lt;&gt;D2490,"Beam Revised","")</f>
        <v>#N/A</v>
      </c>
      <c r="U2490" s="7" t="e">
        <f>IF(VLOOKUP($A2490,'Concrete Beam Schedule'!$A$2:$Q$2902,U$2,0)&lt;&gt;E2490,"Beam Revised","")</f>
        <v>#N/A</v>
      </c>
      <c r="V2490" s="7" t="e">
        <f>IF(VLOOKUP($A2490,'Concrete Beam Schedule'!$A$2:$Q$2902,V$2,0)&lt;&gt;F2490,"Beam Revised","")</f>
        <v>#N/A</v>
      </c>
      <c r="W2490" s="7" t="e">
        <f>IF(VLOOKUP($A2490,'Concrete Beam Schedule'!$A$2:$Q$2902,W$2,0)&lt;&gt;G2490,"Beam Revised","")</f>
        <v>#N/A</v>
      </c>
      <c r="X2490" s="7" t="e">
        <f>IF(VLOOKUP($A2490,'Concrete Beam Schedule'!$A$2:$Q$2902,X$2,0)&lt;&gt;H2490,"Beam Revised","")</f>
        <v>#N/A</v>
      </c>
      <c r="Y2490" s="7" t="e">
        <f>IF(VLOOKUP($A2490,'Concrete Beam Schedule'!$A$2:$Q$2902,Y$2,0)&lt;&gt;I2490,"Beam Revised","")</f>
        <v>#N/A</v>
      </c>
      <c r="Z2490" s="7" t="e">
        <f>IF(VLOOKUP($A2490,'Concrete Beam Schedule'!$A$2:$Q$2902,Z$2,0)&lt;&gt;J2490,"Beam Revised","")</f>
        <v>#N/A</v>
      </c>
      <c r="AA2490" s="7" t="e">
        <f>IF(VLOOKUP($A2490,'Concrete Beam Schedule'!$A$2:$Q$2902,AA$2,0)&lt;&gt;K2490,"Beam Revised","")</f>
        <v>#N/A</v>
      </c>
      <c r="AB2490" s="7" t="e">
        <f>IF(VLOOKUP($A2490,'Concrete Beam Schedule'!$A$2:$Q$2902,AB$2,0)&lt;&gt;L2490,"Beam Revised","")</f>
        <v>#N/A</v>
      </c>
      <c r="AC2490" s="7" t="e">
        <f>IF(VLOOKUP($A2490,'Concrete Beam Schedule'!$A$2:$Q$2902,AC$2,0)&lt;&gt;M2490,"Beam Revised","")</f>
        <v>#N/A</v>
      </c>
      <c r="AD2490" s="7" t="e">
        <f>IF(VLOOKUP($A2490,'Concrete Beam Schedule'!$A$2:$Q$2902,AD$2,0)&lt;&gt;N2490,"Beam Revised","")</f>
        <v>#N/A</v>
      </c>
      <c r="AE2490" s="7" t="e">
        <f>IF(VLOOKUP($A2490,'Concrete Beam Schedule'!$A$2:$Q$2902,AE$2,0)&lt;&gt;O2490,"Beam Revised","")</f>
        <v>#N/A</v>
      </c>
    </row>
    <row r="2491" spans="17:31" ht="20.100000000000001" customHeight="1" x14ac:dyDescent="0.25">
      <c r="Q2491" s="7">
        <f t="shared" si="38"/>
        <v>0</v>
      </c>
      <c r="R2491" s="7" t="e">
        <f>IF(VLOOKUP($A2491,'Concrete Beam Schedule'!$A$2:$Q$2902,R$2,0)&lt;&gt;B2491,VLOOKUP($A2491,'Concrete Beam Schedule'!$A$2:$Q$2902,R$2,0),"")</f>
        <v>#N/A</v>
      </c>
      <c r="S2491" s="7" t="e">
        <f>IF(VLOOKUP($A2491,'Concrete Beam Schedule'!$A$2:$Q$2902,S$2,0)&lt;&gt;C2491,VLOOKUP($A2491,'Concrete Beam Schedule'!$A$2:$Q$2902,S$2,0),"")</f>
        <v>#N/A</v>
      </c>
      <c r="T2491" s="7" t="e">
        <f>IF(VLOOKUP($A2491,'Concrete Beam Schedule'!$A$2:$Q$2902,T$2,0)&lt;&gt;D2491,"Beam Revised","")</f>
        <v>#N/A</v>
      </c>
      <c r="U2491" s="7" t="e">
        <f>IF(VLOOKUP($A2491,'Concrete Beam Schedule'!$A$2:$Q$2902,U$2,0)&lt;&gt;E2491,"Beam Revised","")</f>
        <v>#N/A</v>
      </c>
      <c r="V2491" s="7" t="e">
        <f>IF(VLOOKUP($A2491,'Concrete Beam Schedule'!$A$2:$Q$2902,V$2,0)&lt;&gt;F2491,"Beam Revised","")</f>
        <v>#N/A</v>
      </c>
      <c r="W2491" s="7" t="e">
        <f>IF(VLOOKUP($A2491,'Concrete Beam Schedule'!$A$2:$Q$2902,W$2,0)&lt;&gt;G2491,"Beam Revised","")</f>
        <v>#N/A</v>
      </c>
      <c r="X2491" s="7" t="e">
        <f>IF(VLOOKUP($A2491,'Concrete Beam Schedule'!$A$2:$Q$2902,X$2,0)&lt;&gt;H2491,"Beam Revised","")</f>
        <v>#N/A</v>
      </c>
      <c r="Y2491" s="7" t="e">
        <f>IF(VLOOKUP($A2491,'Concrete Beam Schedule'!$A$2:$Q$2902,Y$2,0)&lt;&gt;I2491,"Beam Revised","")</f>
        <v>#N/A</v>
      </c>
      <c r="Z2491" s="7" t="e">
        <f>IF(VLOOKUP($A2491,'Concrete Beam Schedule'!$A$2:$Q$2902,Z$2,0)&lt;&gt;J2491,"Beam Revised","")</f>
        <v>#N/A</v>
      </c>
      <c r="AA2491" s="7" t="e">
        <f>IF(VLOOKUP($A2491,'Concrete Beam Schedule'!$A$2:$Q$2902,AA$2,0)&lt;&gt;K2491,"Beam Revised","")</f>
        <v>#N/A</v>
      </c>
      <c r="AB2491" s="7" t="e">
        <f>IF(VLOOKUP($A2491,'Concrete Beam Schedule'!$A$2:$Q$2902,AB$2,0)&lt;&gt;L2491,"Beam Revised","")</f>
        <v>#N/A</v>
      </c>
      <c r="AC2491" s="7" t="e">
        <f>IF(VLOOKUP($A2491,'Concrete Beam Schedule'!$A$2:$Q$2902,AC$2,0)&lt;&gt;M2491,"Beam Revised","")</f>
        <v>#N/A</v>
      </c>
      <c r="AD2491" s="7" t="e">
        <f>IF(VLOOKUP($A2491,'Concrete Beam Schedule'!$A$2:$Q$2902,AD$2,0)&lt;&gt;N2491,"Beam Revised","")</f>
        <v>#N/A</v>
      </c>
      <c r="AE2491" s="7" t="e">
        <f>IF(VLOOKUP($A2491,'Concrete Beam Schedule'!$A$2:$Q$2902,AE$2,0)&lt;&gt;O2491,"Beam Revised","")</f>
        <v>#N/A</v>
      </c>
    </row>
    <row r="2492" spans="17:31" ht="20.100000000000001" customHeight="1" x14ac:dyDescent="0.25">
      <c r="Q2492" s="7">
        <f t="shared" si="38"/>
        <v>0</v>
      </c>
      <c r="R2492" s="7" t="e">
        <f>IF(VLOOKUP($A2492,'Concrete Beam Schedule'!$A$2:$Q$2902,R$2,0)&lt;&gt;B2492,VLOOKUP($A2492,'Concrete Beam Schedule'!$A$2:$Q$2902,R$2,0),"")</f>
        <v>#N/A</v>
      </c>
      <c r="S2492" s="7" t="e">
        <f>IF(VLOOKUP($A2492,'Concrete Beam Schedule'!$A$2:$Q$2902,S$2,0)&lt;&gt;C2492,VLOOKUP($A2492,'Concrete Beam Schedule'!$A$2:$Q$2902,S$2,0),"")</f>
        <v>#N/A</v>
      </c>
      <c r="T2492" s="7" t="e">
        <f>IF(VLOOKUP($A2492,'Concrete Beam Schedule'!$A$2:$Q$2902,T$2,0)&lt;&gt;D2492,"Beam Revised","")</f>
        <v>#N/A</v>
      </c>
      <c r="U2492" s="7" t="e">
        <f>IF(VLOOKUP($A2492,'Concrete Beam Schedule'!$A$2:$Q$2902,U$2,0)&lt;&gt;E2492,"Beam Revised","")</f>
        <v>#N/A</v>
      </c>
      <c r="V2492" s="7" t="e">
        <f>IF(VLOOKUP($A2492,'Concrete Beam Schedule'!$A$2:$Q$2902,V$2,0)&lt;&gt;F2492,"Beam Revised","")</f>
        <v>#N/A</v>
      </c>
      <c r="W2492" s="7" t="e">
        <f>IF(VLOOKUP($A2492,'Concrete Beam Schedule'!$A$2:$Q$2902,W$2,0)&lt;&gt;G2492,"Beam Revised","")</f>
        <v>#N/A</v>
      </c>
      <c r="X2492" s="7" t="e">
        <f>IF(VLOOKUP($A2492,'Concrete Beam Schedule'!$A$2:$Q$2902,X$2,0)&lt;&gt;H2492,"Beam Revised","")</f>
        <v>#N/A</v>
      </c>
      <c r="Y2492" s="7" t="e">
        <f>IF(VLOOKUP($A2492,'Concrete Beam Schedule'!$A$2:$Q$2902,Y$2,0)&lt;&gt;I2492,"Beam Revised","")</f>
        <v>#N/A</v>
      </c>
      <c r="Z2492" s="7" t="e">
        <f>IF(VLOOKUP($A2492,'Concrete Beam Schedule'!$A$2:$Q$2902,Z$2,0)&lt;&gt;J2492,"Beam Revised","")</f>
        <v>#N/A</v>
      </c>
      <c r="AA2492" s="7" t="e">
        <f>IF(VLOOKUP($A2492,'Concrete Beam Schedule'!$A$2:$Q$2902,AA$2,0)&lt;&gt;K2492,"Beam Revised","")</f>
        <v>#N/A</v>
      </c>
      <c r="AB2492" s="7" t="e">
        <f>IF(VLOOKUP($A2492,'Concrete Beam Schedule'!$A$2:$Q$2902,AB$2,0)&lt;&gt;L2492,"Beam Revised","")</f>
        <v>#N/A</v>
      </c>
      <c r="AC2492" s="7" t="e">
        <f>IF(VLOOKUP($A2492,'Concrete Beam Schedule'!$A$2:$Q$2902,AC$2,0)&lt;&gt;M2492,"Beam Revised","")</f>
        <v>#N/A</v>
      </c>
      <c r="AD2492" s="7" t="e">
        <f>IF(VLOOKUP($A2492,'Concrete Beam Schedule'!$A$2:$Q$2902,AD$2,0)&lt;&gt;N2492,"Beam Revised","")</f>
        <v>#N/A</v>
      </c>
      <c r="AE2492" s="7" t="e">
        <f>IF(VLOOKUP($A2492,'Concrete Beam Schedule'!$A$2:$Q$2902,AE$2,0)&lt;&gt;O2492,"Beam Revised","")</f>
        <v>#N/A</v>
      </c>
    </row>
    <row r="2493" spans="17:31" ht="20.100000000000001" customHeight="1" x14ac:dyDescent="0.25">
      <c r="Q2493" s="7">
        <f t="shared" si="38"/>
        <v>0</v>
      </c>
      <c r="R2493" s="7" t="e">
        <f>IF(VLOOKUP($A2493,'Concrete Beam Schedule'!$A$2:$Q$2902,R$2,0)&lt;&gt;B2493,VLOOKUP($A2493,'Concrete Beam Schedule'!$A$2:$Q$2902,R$2,0),"")</f>
        <v>#N/A</v>
      </c>
      <c r="S2493" s="7" t="e">
        <f>IF(VLOOKUP($A2493,'Concrete Beam Schedule'!$A$2:$Q$2902,S$2,0)&lt;&gt;C2493,VLOOKUP($A2493,'Concrete Beam Schedule'!$A$2:$Q$2902,S$2,0),"")</f>
        <v>#N/A</v>
      </c>
      <c r="T2493" s="7" t="e">
        <f>IF(VLOOKUP($A2493,'Concrete Beam Schedule'!$A$2:$Q$2902,T$2,0)&lt;&gt;D2493,"Beam Revised","")</f>
        <v>#N/A</v>
      </c>
      <c r="U2493" s="7" t="e">
        <f>IF(VLOOKUP($A2493,'Concrete Beam Schedule'!$A$2:$Q$2902,U$2,0)&lt;&gt;E2493,"Beam Revised","")</f>
        <v>#N/A</v>
      </c>
      <c r="V2493" s="7" t="e">
        <f>IF(VLOOKUP($A2493,'Concrete Beam Schedule'!$A$2:$Q$2902,V$2,0)&lt;&gt;F2493,"Beam Revised","")</f>
        <v>#N/A</v>
      </c>
      <c r="W2493" s="7" t="e">
        <f>IF(VLOOKUP($A2493,'Concrete Beam Schedule'!$A$2:$Q$2902,W$2,0)&lt;&gt;G2493,"Beam Revised","")</f>
        <v>#N/A</v>
      </c>
      <c r="X2493" s="7" t="e">
        <f>IF(VLOOKUP($A2493,'Concrete Beam Schedule'!$A$2:$Q$2902,X$2,0)&lt;&gt;H2493,"Beam Revised","")</f>
        <v>#N/A</v>
      </c>
      <c r="Y2493" s="7" t="e">
        <f>IF(VLOOKUP($A2493,'Concrete Beam Schedule'!$A$2:$Q$2902,Y$2,0)&lt;&gt;I2493,"Beam Revised","")</f>
        <v>#N/A</v>
      </c>
      <c r="Z2493" s="7" t="e">
        <f>IF(VLOOKUP($A2493,'Concrete Beam Schedule'!$A$2:$Q$2902,Z$2,0)&lt;&gt;J2493,"Beam Revised","")</f>
        <v>#N/A</v>
      </c>
      <c r="AA2493" s="7" t="e">
        <f>IF(VLOOKUP($A2493,'Concrete Beam Schedule'!$A$2:$Q$2902,AA$2,0)&lt;&gt;K2493,"Beam Revised","")</f>
        <v>#N/A</v>
      </c>
      <c r="AB2493" s="7" t="e">
        <f>IF(VLOOKUP($A2493,'Concrete Beam Schedule'!$A$2:$Q$2902,AB$2,0)&lt;&gt;L2493,"Beam Revised","")</f>
        <v>#N/A</v>
      </c>
      <c r="AC2493" s="7" t="e">
        <f>IF(VLOOKUP($A2493,'Concrete Beam Schedule'!$A$2:$Q$2902,AC$2,0)&lt;&gt;M2493,"Beam Revised","")</f>
        <v>#N/A</v>
      </c>
      <c r="AD2493" s="7" t="e">
        <f>IF(VLOOKUP($A2493,'Concrete Beam Schedule'!$A$2:$Q$2902,AD$2,0)&lt;&gt;N2493,"Beam Revised","")</f>
        <v>#N/A</v>
      </c>
      <c r="AE2493" s="7" t="e">
        <f>IF(VLOOKUP($A2493,'Concrete Beam Schedule'!$A$2:$Q$2902,AE$2,0)&lt;&gt;O2493,"Beam Revised","")</f>
        <v>#N/A</v>
      </c>
    </row>
    <row r="2494" spans="17:31" ht="20.100000000000001" customHeight="1" x14ac:dyDescent="0.25">
      <c r="Q2494" s="7">
        <f t="shared" si="38"/>
        <v>0</v>
      </c>
      <c r="R2494" s="7" t="e">
        <f>IF(VLOOKUP($A2494,'Concrete Beam Schedule'!$A$2:$Q$2902,R$2,0)&lt;&gt;B2494,VLOOKUP($A2494,'Concrete Beam Schedule'!$A$2:$Q$2902,R$2,0),"")</f>
        <v>#N/A</v>
      </c>
      <c r="S2494" s="7" t="e">
        <f>IF(VLOOKUP($A2494,'Concrete Beam Schedule'!$A$2:$Q$2902,S$2,0)&lt;&gt;C2494,VLOOKUP($A2494,'Concrete Beam Schedule'!$A$2:$Q$2902,S$2,0),"")</f>
        <v>#N/A</v>
      </c>
      <c r="T2494" s="7" t="e">
        <f>IF(VLOOKUP($A2494,'Concrete Beam Schedule'!$A$2:$Q$2902,T$2,0)&lt;&gt;D2494,"Beam Revised","")</f>
        <v>#N/A</v>
      </c>
      <c r="U2494" s="7" t="e">
        <f>IF(VLOOKUP($A2494,'Concrete Beam Schedule'!$A$2:$Q$2902,U$2,0)&lt;&gt;E2494,"Beam Revised","")</f>
        <v>#N/A</v>
      </c>
      <c r="V2494" s="7" t="e">
        <f>IF(VLOOKUP($A2494,'Concrete Beam Schedule'!$A$2:$Q$2902,V$2,0)&lt;&gt;F2494,"Beam Revised","")</f>
        <v>#N/A</v>
      </c>
      <c r="W2494" s="7" t="e">
        <f>IF(VLOOKUP($A2494,'Concrete Beam Schedule'!$A$2:$Q$2902,W$2,0)&lt;&gt;G2494,"Beam Revised","")</f>
        <v>#N/A</v>
      </c>
      <c r="X2494" s="7" t="e">
        <f>IF(VLOOKUP($A2494,'Concrete Beam Schedule'!$A$2:$Q$2902,X$2,0)&lt;&gt;H2494,"Beam Revised","")</f>
        <v>#N/A</v>
      </c>
      <c r="Y2494" s="7" t="e">
        <f>IF(VLOOKUP($A2494,'Concrete Beam Schedule'!$A$2:$Q$2902,Y$2,0)&lt;&gt;I2494,"Beam Revised","")</f>
        <v>#N/A</v>
      </c>
      <c r="Z2494" s="7" t="e">
        <f>IF(VLOOKUP($A2494,'Concrete Beam Schedule'!$A$2:$Q$2902,Z$2,0)&lt;&gt;J2494,"Beam Revised","")</f>
        <v>#N/A</v>
      </c>
      <c r="AA2494" s="7" t="e">
        <f>IF(VLOOKUP($A2494,'Concrete Beam Schedule'!$A$2:$Q$2902,AA$2,0)&lt;&gt;K2494,"Beam Revised","")</f>
        <v>#N/A</v>
      </c>
      <c r="AB2494" s="7" t="e">
        <f>IF(VLOOKUP($A2494,'Concrete Beam Schedule'!$A$2:$Q$2902,AB$2,0)&lt;&gt;L2494,"Beam Revised","")</f>
        <v>#N/A</v>
      </c>
      <c r="AC2494" s="7" t="e">
        <f>IF(VLOOKUP($A2494,'Concrete Beam Schedule'!$A$2:$Q$2902,AC$2,0)&lt;&gt;M2494,"Beam Revised","")</f>
        <v>#N/A</v>
      </c>
      <c r="AD2494" s="7" t="e">
        <f>IF(VLOOKUP($A2494,'Concrete Beam Schedule'!$A$2:$Q$2902,AD$2,0)&lt;&gt;N2494,"Beam Revised","")</f>
        <v>#N/A</v>
      </c>
      <c r="AE2494" s="7" t="e">
        <f>IF(VLOOKUP($A2494,'Concrete Beam Schedule'!$A$2:$Q$2902,AE$2,0)&lt;&gt;O2494,"Beam Revised","")</f>
        <v>#N/A</v>
      </c>
    </row>
    <row r="2495" spans="17:31" ht="20.100000000000001" customHeight="1" x14ac:dyDescent="0.25">
      <c r="Q2495" s="7">
        <f t="shared" si="38"/>
        <v>0</v>
      </c>
      <c r="R2495" s="7" t="e">
        <f>IF(VLOOKUP($A2495,'Concrete Beam Schedule'!$A$2:$Q$2902,R$2,0)&lt;&gt;B2495,VLOOKUP($A2495,'Concrete Beam Schedule'!$A$2:$Q$2902,R$2,0),"")</f>
        <v>#N/A</v>
      </c>
      <c r="S2495" s="7" t="e">
        <f>IF(VLOOKUP($A2495,'Concrete Beam Schedule'!$A$2:$Q$2902,S$2,0)&lt;&gt;C2495,VLOOKUP($A2495,'Concrete Beam Schedule'!$A$2:$Q$2902,S$2,0),"")</f>
        <v>#N/A</v>
      </c>
      <c r="T2495" s="7" t="e">
        <f>IF(VLOOKUP($A2495,'Concrete Beam Schedule'!$A$2:$Q$2902,T$2,0)&lt;&gt;D2495,"Beam Revised","")</f>
        <v>#N/A</v>
      </c>
      <c r="U2495" s="7" t="e">
        <f>IF(VLOOKUP($A2495,'Concrete Beam Schedule'!$A$2:$Q$2902,U$2,0)&lt;&gt;E2495,"Beam Revised","")</f>
        <v>#N/A</v>
      </c>
      <c r="V2495" s="7" t="e">
        <f>IF(VLOOKUP($A2495,'Concrete Beam Schedule'!$A$2:$Q$2902,V$2,0)&lt;&gt;F2495,"Beam Revised","")</f>
        <v>#N/A</v>
      </c>
      <c r="W2495" s="7" t="e">
        <f>IF(VLOOKUP($A2495,'Concrete Beam Schedule'!$A$2:$Q$2902,W$2,0)&lt;&gt;G2495,"Beam Revised","")</f>
        <v>#N/A</v>
      </c>
      <c r="X2495" s="7" t="e">
        <f>IF(VLOOKUP($A2495,'Concrete Beam Schedule'!$A$2:$Q$2902,X$2,0)&lt;&gt;H2495,"Beam Revised","")</f>
        <v>#N/A</v>
      </c>
      <c r="Y2495" s="7" t="e">
        <f>IF(VLOOKUP($A2495,'Concrete Beam Schedule'!$A$2:$Q$2902,Y$2,0)&lt;&gt;I2495,"Beam Revised","")</f>
        <v>#N/A</v>
      </c>
      <c r="Z2495" s="7" t="e">
        <f>IF(VLOOKUP($A2495,'Concrete Beam Schedule'!$A$2:$Q$2902,Z$2,0)&lt;&gt;J2495,"Beam Revised","")</f>
        <v>#N/A</v>
      </c>
      <c r="AA2495" s="7" t="e">
        <f>IF(VLOOKUP($A2495,'Concrete Beam Schedule'!$A$2:$Q$2902,AA$2,0)&lt;&gt;K2495,"Beam Revised","")</f>
        <v>#N/A</v>
      </c>
      <c r="AB2495" s="7" t="e">
        <f>IF(VLOOKUP($A2495,'Concrete Beam Schedule'!$A$2:$Q$2902,AB$2,0)&lt;&gt;L2495,"Beam Revised","")</f>
        <v>#N/A</v>
      </c>
      <c r="AC2495" s="7" t="e">
        <f>IF(VLOOKUP($A2495,'Concrete Beam Schedule'!$A$2:$Q$2902,AC$2,0)&lt;&gt;M2495,"Beam Revised","")</f>
        <v>#N/A</v>
      </c>
      <c r="AD2495" s="7" t="e">
        <f>IF(VLOOKUP($A2495,'Concrete Beam Schedule'!$A$2:$Q$2902,AD$2,0)&lt;&gt;N2495,"Beam Revised","")</f>
        <v>#N/A</v>
      </c>
      <c r="AE2495" s="7" t="e">
        <f>IF(VLOOKUP($A2495,'Concrete Beam Schedule'!$A$2:$Q$2902,AE$2,0)&lt;&gt;O2495,"Beam Revised","")</f>
        <v>#N/A</v>
      </c>
    </row>
    <row r="2496" spans="17:31" ht="20.100000000000001" customHeight="1" x14ac:dyDescent="0.25">
      <c r="Q2496" s="7">
        <f t="shared" si="38"/>
        <v>0</v>
      </c>
      <c r="R2496" s="7" t="e">
        <f>IF(VLOOKUP($A2496,'Concrete Beam Schedule'!$A$2:$Q$2902,R$2,0)&lt;&gt;B2496,VLOOKUP($A2496,'Concrete Beam Schedule'!$A$2:$Q$2902,R$2,0),"")</f>
        <v>#N/A</v>
      </c>
      <c r="S2496" s="7" t="e">
        <f>IF(VLOOKUP($A2496,'Concrete Beam Schedule'!$A$2:$Q$2902,S$2,0)&lt;&gt;C2496,VLOOKUP($A2496,'Concrete Beam Schedule'!$A$2:$Q$2902,S$2,0),"")</f>
        <v>#N/A</v>
      </c>
      <c r="T2496" s="7" t="e">
        <f>IF(VLOOKUP($A2496,'Concrete Beam Schedule'!$A$2:$Q$2902,T$2,0)&lt;&gt;D2496,"Beam Revised","")</f>
        <v>#N/A</v>
      </c>
      <c r="U2496" s="7" t="e">
        <f>IF(VLOOKUP($A2496,'Concrete Beam Schedule'!$A$2:$Q$2902,U$2,0)&lt;&gt;E2496,"Beam Revised","")</f>
        <v>#N/A</v>
      </c>
      <c r="V2496" s="7" t="e">
        <f>IF(VLOOKUP($A2496,'Concrete Beam Schedule'!$A$2:$Q$2902,V$2,0)&lt;&gt;F2496,"Beam Revised","")</f>
        <v>#N/A</v>
      </c>
      <c r="W2496" s="7" t="e">
        <f>IF(VLOOKUP($A2496,'Concrete Beam Schedule'!$A$2:$Q$2902,W$2,0)&lt;&gt;G2496,"Beam Revised","")</f>
        <v>#N/A</v>
      </c>
      <c r="X2496" s="7" t="e">
        <f>IF(VLOOKUP($A2496,'Concrete Beam Schedule'!$A$2:$Q$2902,X$2,0)&lt;&gt;H2496,"Beam Revised","")</f>
        <v>#N/A</v>
      </c>
      <c r="Y2496" s="7" t="e">
        <f>IF(VLOOKUP($A2496,'Concrete Beam Schedule'!$A$2:$Q$2902,Y$2,0)&lt;&gt;I2496,"Beam Revised","")</f>
        <v>#N/A</v>
      </c>
      <c r="Z2496" s="7" t="e">
        <f>IF(VLOOKUP($A2496,'Concrete Beam Schedule'!$A$2:$Q$2902,Z$2,0)&lt;&gt;J2496,"Beam Revised","")</f>
        <v>#N/A</v>
      </c>
      <c r="AA2496" s="7" t="e">
        <f>IF(VLOOKUP($A2496,'Concrete Beam Schedule'!$A$2:$Q$2902,AA$2,0)&lt;&gt;K2496,"Beam Revised","")</f>
        <v>#N/A</v>
      </c>
      <c r="AB2496" s="7" t="e">
        <f>IF(VLOOKUP($A2496,'Concrete Beam Schedule'!$A$2:$Q$2902,AB$2,0)&lt;&gt;L2496,"Beam Revised","")</f>
        <v>#N/A</v>
      </c>
      <c r="AC2496" s="7" t="e">
        <f>IF(VLOOKUP($A2496,'Concrete Beam Schedule'!$A$2:$Q$2902,AC$2,0)&lt;&gt;M2496,"Beam Revised","")</f>
        <v>#N/A</v>
      </c>
      <c r="AD2496" s="7" t="e">
        <f>IF(VLOOKUP($A2496,'Concrete Beam Schedule'!$A$2:$Q$2902,AD$2,0)&lt;&gt;N2496,"Beam Revised","")</f>
        <v>#N/A</v>
      </c>
      <c r="AE2496" s="7" t="e">
        <f>IF(VLOOKUP($A2496,'Concrete Beam Schedule'!$A$2:$Q$2902,AE$2,0)&lt;&gt;O2496,"Beam Revised","")</f>
        <v>#N/A</v>
      </c>
    </row>
    <row r="2497" spans="17:31" ht="20.100000000000001" customHeight="1" x14ac:dyDescent="0.25">
      <c r="Q2497" s="7">
        <f t="shared" si="38"/>
        <v>0</v>
      </c>
      <c r="R2497" s="7" t="e">
        <f>IF(VLOOKUP($A2497,'Concrete Beam Schedule'!$A$2:$Q$2902,R$2,0)&lt;&gt;B2497,VLOOKUP($A2497,'Concrete Beam Schedule'!$A$2:$Q$2902,R$2,0),"")</f>
        <v>#N/A</v>
      </c>
      <c r="S2497" s="7" t="e">
        <f>IF(VLOOKUP($A2497,'Concrete Beam Schedule'!$A$2:$Q$2902,S$2,0)&lt;&gt;C2497,VLOOKUP($A2497,'Concrete Beam Schedule'!$A$2:$Q$2902,S$2,0),"")</f>
        <v>#N/A</v>
      </c>
      <c r="T2497" s="7" t="e">
        <f>IF(VLOOKUP($A2497,'Concrete Beam Schedule'!$A$2:$Q$2902,T$2,0)&lt;&gt;D2497,"Beam Revised","")</f>
        <v>#N/A</v>
      </c>
      <c r="U2497" s="7" t="e">
        <f>IF(VLOOKUP($A2497,'Concrete Beam Schedule'!$A$2:$Q$2902,U$2,0)&lt;&gt;E2497,"Beam Revised","")</f>
        <v>#N/A</v>
      </c>
      <c r="V2497" s="7" t="e">
        <f>IF(VLOOKUP($A2497,'Concrete Beam Schedule'!$A$2:$Q$2902,V$2,0)&lt;&gt;F2497,"Beam Revised","")</f>
        <v>#N/A</v>
      </c>
      <c r="W2497" s="7" t="e">
        <f>IF(VLOOKUP($A2497,'Concrete Beam Schedule'!$A$2:$Q$2902,W$2,0)&lt;&gt;G2497,"Beam Revised","")</f>
        <v>#N/A</v>
      </c>
      <c r="X2497" s="7" t="e">
        <f>IF(VLOOKUP($A2497,'Concrete Beam Schedule'!$A$2:$Q$2902,X$2,0)&lt;&gt;H2497,"Beam Revised","")</f>
        <v>#N/A</v>
      </c>
      <c r="Y2497" s="7" t="e">
        <f>IF(VLOOKUP($A2497,'Concrete Beam Schedule'!$A$2:$Q$2902,Y$2,0)&lt;&gt;I2497,"Beam Revised","")</f>
        <v>#N/A</v>
      </c>
      <c r="Z2497" s="7" t="e">
        <f>IF(VLOOKUP($A2497,'Concrete Beam Schedule'!$A$2:$Q$2902,Z$2,0)&lt;&gt;J2497,"Beam Revised","")</f>
        <v>#N/A</v>
      </c>
      <c r="AA2497" s="7" t="e">
        <f>IF(VLOOKUP($A2497,'Concrete Beam Schedule'!$A$2:$Q$2902,AA$2,0)&lt;&gt;K2497,"Beam Revised","")</f>
        <v>#N/A</v>
      </c>
      <c r="AB2497" s="7" t="e">
        <f>IF(VLOOKUP($A2497,'Concrete Beam Schedule'!$A$2:$Q$2902,AB$2,0)&lt;&gt;L2497,"Beam Revised","")</f>
        <v>#N/A</v>
      </c>
      <c r="AC2497" s="7" t="e">
        <f>IF(VLOOKUP($A2497,'Concrete Beam Schedule'!$A$2:$Q$2902,AC$2,0)&lt;&gt;M2497,"Beam Revised","")</f>
        <v>#N/A</v>
      </c>
      <c r="AD2497" s="7" t="e">
        <f>IF(VLOOKUP($A2497,'Concrete Beam Schedule'!$A$2:$Q$2902,AD$2,0)&lt;&gt;N2497,"Beam Revised","")</f>
        <v>#N/A</v>
      </c>
      <c r="AE2497" s="7" t="e">
        <f>IF(VLOOKUP($A2497,'Concrete Beam Schedule'!$A$2:$Q$2902,AE$2,0)&lt;&gt;O2497,"Beam Revised","")</f>
        <v>#N/A</v>
      </c>
    </row>
    <row r="2498" spans="17:31" ht="20.100000000000001" customHeight="1" x14ac:dyDescent="0.25">
      <c r="Q2498" s="7">
        <f t="shared" si="38"/>
        <v>0</v>
      </c>
      <c r="R2498" s="7" t="e">
        <f>IF(VLOOKUP($A2498,'Concrete Beam Schedule'!$A$2:$Q$2902,R$2,0)&lt;&gt;B2498,VLOOKUP($A2498,'Concrete Beam Schedule'!$A$2:$Q$2902,R$2,0),"")</f>
        <v>#N/A</v>
      </c>
      <c r="S2498" s="7" t="e">
        <f>IF(VLOOKUP($A2498,'Concrete Beam Schedule'!$A$2:$Q$2902,S$2,0)&lt;&gt;C2498,VLOOKUP($A2498,'Concrete Beam Schedule'!$A$2:$Q$2902,S$2,0),"")</f>
        <v>#N/A</v>
      </c>
      <c r="T2498" s="7" t="e">
        <f>IF(VLOOKUP($A2498,'Concrete Beam Schedule'!$A$2:$Q$2902,T$2,0)&lt;&gt;D2498,"Beam Revised","")</f>
        <v>#N/A</v>
      </c>
      <c r="U2498" s="7" t="e">
        <f>IF(VLOOKUP($A2498,'Concrete Beam Schedule'!$A$2:$Q$2902,U$2,0)&lt;&gt;E2498,"Beam Revised","")</f>
        <v>#N/A</v>
      </c>
      <c r="V2498" s="7" t="e">
        <f>IF(VLOOKUP($A2498,'Concrete Beam Schedule'!$A$2:$Q$2902,V$2,0)&lt;&gt;F2498,"Beam Revised","")</f>
        <v>#N/A</v>
      </c>
      <c r="W2498" s="7" t="e">
        <f>IF(VLOOKUP($A2498,'Concrete Beam Schedule'!$A$2:$Q$2902,W$2,0)&lt;&gt;G2498,"Beam Revised","")</f>
        <v>#N/A</v>
      </c>
      <c r="X2498" s="7" t="e">
        <f>IF(VLOOKUP($A2498,'Concrete Beam Schedule'!$A$2:$Q$2902,X$2,0)&lt;&gt;H2498,"Beam Revised","")</f>
        <v>#N/A</v>
      </c>
      <c r="Y2498" s="7" t="e">
        <f>IF(VLOOKUP($A2498,'Concrete Beam Schedule'!$A$2:$Q$2902,Y$2,0)&lt;&gt;I2498,"Beam Revised","")</f>
        <v>#N/A</v>
      </c>
      <c r="Z2498" s="7" t="e">
        <f>IF(VLOOKUP($A2498,'Concrete Beam Schedule'!$A$2:$Q$2902,Z$2,0)&lt;&gt;J2498,"Beam Revised","")</f>
        <v>#N/A</v>
      </c>
      <c r="AA2498" s="7" t="e">
        <f>IF(VLOOKUP($A2498,'Concrete Beam Schedule'!$A$2:$Q$2902,AA$2,0)&lt;&gt;K2498,"Beam Revised","")</f>
        <v>#N/A</v>
      </c>
      <c r="AB2498" s="7" t="e">
        <f>IF(VLOOKUP($A2498,'Concrete Beam Schedule'!$A$2:$Q$2902,AB$2,0)&lt;&gt;L2498,"Beam Revised","")</f>
        <v>#N/A</v>
      </c>
      <c r="AC2498" s="7" t="e">
        <f>IF(VLOOKUP($A2498,'Concrete Beam Schedule'!$A$2:$Q$2902,AC$2,0)&lt;&gt;M2498,"Beam Revised","")</f>
        <v>#N/A</v>
      </c>
      <c r="AD2498" s="7" t="e">
        <f>IF(VLOOKUP($A2498,'Concrete Beam Schedule'!$A$2:$Q$2902,AD$2,0)&lt;&gt;N2498,"Beam Revised","")</f>
        <v>#N/A</v>
      </c>
      <c r="AE2498" s="7" t="e">
        <f>IF(VLOOKUP($A2498,'Concrete Beam Schedule'!$A$2:$Q$2902,AE$2,0)&lt;&gt;O2498,"Beam Revised","")</f>
        <v>#N/A</v>
      </c>
    </row>
    <row r="2499" spans="17:31" ht="20.100000000000001" customHeight="1" x14ac:dyDescent="0.25">
      <c r="Q2499" s="7">
        <f t="shared" si="38"/>
        <v>0</v>
      </c>
      <c r="R2499" s="7" t="e">
        <f>IF(VLOOKUP($A2499,'Concrete Beam Schedule'!$A$2:$Q$2902,R$2,0)&lt;&gt;B2499,VLOOKUP($A2499,'Concrete Beam Schedule'!$A$2:$Q$2902,R$2,0),"")</f>
        <v>#N/A</v>
      </c>
      <c r="S2499" s="7" t="e">
        <f>IF(VLOOKUP($A2499,'Concrete Beam Schedule'!$A$2:$Q$2902,S$2,0)&lt;&gt;C2499,VLOOKUP($A2499,'Concrete Beam Schedule'!$A$2:$Q$2902,S$2,0),"")</f>
        <v>#N/A</v>
      </c>
      <c r="T2499" s="7" t="e">
        <f>IF(VLOOKUP($A2499,'Concrete Beam Schedule'!$A$2:$Q$2902,T$2,0)&lt;&gt;D2499,"Beam Revised","")</f>
        <v>#N/A</v>
      </c>
      <c r="U2499" s="7" t="e">
        <f>IF(VLOOKUP($A2499,'Concrete Beam Schedule'!$A$2:$Q$2902,U$2,0)&lt;&gt;E2499,"Beam Revised","")</f>
        <v>#N/A</v>
      </c>
      <c r="V2499" s="7" t="e">
        <f>IF(VLOOKUP($A2499,'Concrete Beam Schedule'!$A$2:$Q$2902,V$2,0)&lt;&gt;F2499,"Beam Revised","")</f>
        <v>#N/A</v>
      </c>
      <c r="W2499" s="7" t="e">
        <f>IF(VLOOKUP($A2499,'Concrete Beam Schedule'!$A$2:$Q$2902,W$2,0)&lt;&gt;G2499,"Beam Revised","")</f>
        <v>#N/A</v>
      </c>
      <c r="X2499" s="7" t="e">
        <f>IF(VLOOKUP($A2499,'Concrete Beam Schedule'!$A$2:$Q$2902,X$2,0)&lt;&gt;H2499,"Beam Revised","")</f>
        <v>#N/A</v>
      </c>
      <c r="Y2499" s="7" t="e">
        <f>IF(VLOOKUP($A2499,'Concrete Beam Schedule'!$A$2:$Q$2902,Y$2,0)&lt;&gt;I2499,"Beam Revised","")</f>
        <v>#N/A</v>
      </c>
      <c r="Z2499" s="7" t="e">
        <f>IF(VLOOKUP($A2499,'Concrete Beam Schedule'!$A$2:$Q$2902,Z$2,0)&lt;&gt;J2499,"Beam Revised","")</f>
        <v>#N/A</v>
      </c>
      <c r="AA2499" s="7" t="e">
        <f>IF(VLOOKUP($A2499,'Concrete Beam Schedule'!$A$2:$Q$2902,AA$2,0)&lt;&gt;K2499,"Beam Revised","")</f>
        <v>#N/A</v>
      </c>
      <c r="AB2499" s="7" t="e">
        <f>IF(VLOOKUP($A2499,'Concrete Beam Schedule'!$A$2:$Q$2902,AB$2,0)&lt;&gt;L2499,"Beam Revised","")</f>
        <v>#N/A</v>
      </c>
      <c r="AC2499" s="7" t="e">
        <f>IF(VLOOKUP($A2499,'Concrete Beam Schedule'!$A$2:$Q$2902,AC$2,0)&lt;&gt;M2499,"Beam Revised","")</f>
        <v>#N/A</v>
      </c>
      <c r="AD2499" s="7" t="e">
        <f>IF(VLOOKUP($A2499,'Concrete Beam Schedule'!$A$2:$Q$2902,AD$2,0)&lt;&gt;N2499,"Beam Revised","")</f>
        <v>#N/A</v>
      </c>
      <c r="AE2499" s="7" t="e">
        <f>IF(VLOOKUP($A2499,'Concrete Beam Schedule'!$A$2:$Q$2902,AE$2,0)&lt;&gt;O2499,"Beam Revised","")</f>
        <v>#N/A</v>
      </c>
    </row>
    <row r="2500" spans="17:31" ht="20.100000000000001" customHeight="1" x14ac:dyDescent="0.25">
      <c r="Q2500" s="7">
        <f t="shared" ref="Q2500:Q2563" si="39">A2500</f>
        <v>0</v>
      </c>
      <c r="R2500" s="7" t="e">
        <f>IF(VLOOKUP($A2500,'Concrete Beam Schedule'!$A$2:$Q$2902,R$2,0)&lt;&gt;B2500,VLOOKUP($A2500,'Concrete Beam Schedule'!$A$2:$Q$2902,R$2,0),"")</f>
        <v>#N/A</v>
      </c>
      <c r="S2500" s="7" t="e">
        <f>IF(VLOOKUP($A2500,'Concrete Beam Schedule'!$A$2:$Q$2902,S$2,0)&lt;&gt;C2500,VLOOKUP($A2500,'Concrete Beam Schedule'!$A$2:$Q$2902,S$2,0),"")</f>
        <v>#N/A</v>
      </c>
      <c r="T2500" s="7" t="e">
        <f>IF(VLOOKUP($A2500,'Concrete Beam Schedule'!$A$2:$Q$2902,T$2,0)&lt;&gt;D2500,"Beam Revised","")</f>
        <v>#N/A</v>
      </c>
      <c r="U2500" s="7" t="e">
        <f>IF(VLOOKUP($A2500,'Concrete Beam Schedule'!$A$2:$Q$2902,U$2,0)&lt;&gt;E2500,"Beam Revised","")</f>
        <v>#N/A</v>
      </c>
      <c r="V2500" s="7" t="e">
        <f>IF(VLOOKUP($A2500,'Concrete Beam Schedule'!$A$2:$Q$2902,V$2,0)&lt;&gt;F2500,"Beam Revised","")</f>
        <v>#N/A</v>
      </c>
      <c r="W2500" s="7" t="e">
        <f>IF(VLOOKUP($A2500,'Concrete Beam Schedule'!$A$2:$Q$2902,W$2,0)&lt;&gt;G2500,"Beam Revised","")</f>
        <v>#N/A</v>
      </c>
      <c r="X2500" s="7" t="e">
        <f>IF(VLOOKUP($A2500,'Concrete Beam Schedule'!$A$2:$Q$2902,X$2,0)&lt;&gt;H2500,"Beam Revised","")</f>
        <v>#N/A</v>
      </c>
      <c r="Y2500" s="7" t="e">
        <f>IF(VLOOKUP($A2500,'Concrete Beam Schedule'!$A$2:$Q$2902,Y$2,0)&lt;&gt;I2500,"Beam Revised","")</f>
        <v>#N/A</v>
      </c>
      <c r="Z2500" s="7" t="e">
        <f>IF(VLOOKUP($A2500,'Concrete Beam Schedule'!$A$2:$Q$2902,Z$2,0)&lt;&gt;J2500,"Beam Revised","")</f>
        <v>#N/A</v>
      </c>
      <c r="AA2500" s="7" t="e">
        <f>IF(VLOOKUP($A2500,'Concrete Beam Schedule'!$A$2:$Q$2902,AA$2,0)&lt;&gt;K2500,"Beam Revised","")</f>
        <v>#N/A</v>
      </c>
      <c r="AB2500" s="7" t="e">
        <f>IF(VLOOKUP($A2500,'Concrete Beam Schedule'!$A$2:$Q$2902,AB$2,0)&lt;&gt;L2500,"Beam Revised","")</f>
        <v>#N/A</v>
      </c>
      <c r="AC2500" s="7" t="e">
        <f>IF(VLOOKUP($A2500,'Concrete Beam Schedule'!$A$2:$Q$2902,AC$2,0)&lt;&gt;M2500,"Beam Revised","")</f>
        <v>#N/A</v>
      </c>
      <c r="AD2500" s="7" t="e">
        <f>IF(VLOOKUP($A2500,'Concrete Beam Schedule'!$A$2:$Q$2902,AD$2,0)&lt;&gt;N2500,"Beam Revised","")</f>
        <v>#N/A</v>
      </c>
      <c r="AE2500" s="7" t="e">
        <f>IF(VLOOKUP($A2500,'Concrete Beam Schedule'!$A$2:$Q$2902,AE$2,0)&lt;&gt;O2500,"Beam Revised","")</f>
        <v>#N/A</v>
      </c>
    </row>
    <row r="2501" spans="17:31" ht="20.100000000000001" customHeight="1" x14ac:dyDescent="0.25">
      <c r="Q2501" s="7">
        <f t="shared" si="39"/>
        <v>0</v>
      </c>
      <c r="R2501" s="7" t="e">
        <f>IF(VLOOKUP($A2501,'Concrete Beam Schedule'!$A$2:$Q$2902,R$2,0)&lt;&gt;B2501,VLOOKUP($A2501,'Concrete Beam Schedule'!$A$2:$Q$2902,R$2,0),"")</f>
        <v>#N/A</v>
      </c>
      <c r="S2501" s="7" t="e">
        <f>IF(VLOOKUP($A2501,'Concrete Beam Schedule'!$A$2:$Q$2902,S$2,0)&lt;&gt;C2501,VLOOKUP($A2501,'Concrete Beam Schedule'!$A$2:$Q$2902,S$2,0),"")</f>
        <v>#N/A</v>
      </c>
      <c r="T2501" s="7" t="e">
        <f>IF(VLOOKUP($A2501,'Concrete Beam Schedule'!$A$2:$Q$2902,T$2,0)&lt;&gt;D2501,"Beam Revised","")</f>
        <v>#N/A</v>
      </c>
      <c r="U2501" s="7" t="e">
        <f>IF(VLOOKUP($A2501,'Concrete Beam Schedule'!$A$2:$Q$2902,U$2,0)&lt;&gt;E2501,"Beam Revised","")</f>
        <v>#N/A</v>
      </c>
      <c r="V2501" s="7" t="e">
        <f>IF(VLOOKUP($A2501,'Concrete Beam Schedule'!$A$2:$Q$2902,V$2,0)&lt;&gt;F2501,"Beam Revised","")</f>
        <v>#N/A</v>
      </c>
      <c r="W2501" s="7" t="e">
        <f>IF(VLOOKUP($A2501,'Concrete Beam Schedule'!$A$2:$Q$2902,W$2,0)&lt;&gt;G2501,"Beam Revised","")</f>
        <v>#N/A</v>
      </c>
      <c r="X2501" s="7" t="e">
        <f>IF(VLOOKUP($A2501,'Concrete Beam Schedule'!$A$2:$Q$2902,X$2,0)&lt;&gt;H2501,"Beam Revised","")</f>
        <v>#N/A</v>
      </c>
      <c r="Y2501" s="7" t="e">
        <f>IF(VLOOKUP($A2501,'Concrete Beam Schedule'!$A$2:$Q$2902,Y$2,0)&lt;&gt;I2501,"Beam Revised","")</f>
        <v>#N/A</v>
      </c>
      <c r="Z2501" s="7" t="e">
        <f>IF(VLOOKUP($A2501,'Concrete Beam Schedule'!$A$2:$Q$2902,Z$2,0)&lt;&gt;J2501,"Beam Revised","")</f>
        <v>#N/A</v>
      </c>
      <c r="AA2501" s="7" t="e">
        <f>IF(VLOOKUP($A2501,'Concrete Beam Schedule'!$A$2:$Q$2902,AA$2,0)&lt;&gt;K2501,"Beam Revised","")</f>
        <v>#N/A</v>
      </c>
      <c r="AB2501" s="7" t="e">
        <f>IF(VLOOKUP($A2501,'Concrete Beam Schedule'!$A$2:$Q$2902,AB$2,0)&lt;&gt;L2501,"Beam Revised","")</f>
        <v>#N/A</v>
      </c>
      <c r="AC2501" s="7" t="e">
        <f>IF(VLOOKUP($A2501,'Concrete Beam Schedule'!$A$2:$Q$2902,AC$2,0)&lt;&gt;M2501,"Beam Revised","")</f>
        <v>#N/A</v>
      </c>
      <c r="AD2501" s="7" t="e">
        <f>IF(VLOOKUP($A2501,'Concrete Beam Schedule'!$A$2:$Q$2902,AD$2,0)&lt;&gt;N2501,"Beam Revised","")</f>
        <v>#N/A</v>
      </c>
      <c r="AE2501" s="7" t="e">
        <f>IF(VLOOKUP($A2501,'Concrete Beam Schedule'!$A$2:$Q$2902,AE$2,0)&lt;&gt;O2501,"Beam Revised","")</f>
        <v>#N/A</v>
      </c>
    </row>
    <row r="2502" spans="17:31" ht="20.100000000000001" customHeight="1" x14ac:dyDescent="0.25">
      <c r="Q2502" s="7">
        <f t="shared" si="39"/>
        <v>0</v>
      </c>
      <c r="R2502" s="7" t="e">
        <f>IF(VLOOKUP($A2502,'Concrete Beam Schedule'!$A$2:$Q$2902,R$2,0)&lt;&gt;B2502,VLOOKUP($A2502,'Concrete Beam Schedule'!$A$2:$Q$2902,R$2,0),"")</f>
        <v>#N/A</v>
      </c>
      <c r="S2502" s="7" t="e">
        <f>IF(VLOOKUP($A2502,'Concrete Beam Schedule'!$A$2:$Q$2902,S$2,0)&lt;&gt;C2502,VLOOKUP($A2502,'Concrete Beam Schedule'!$A$2:$Q$2902,S$2,0),"")</f>
        <v>#N/A</v>
      </c>
      <c r="T2502" s="7" t="e">
        <f>IF(VLOOKUP($A2502,'Concrete Beam Schedule'!$A$2:$Q$2902,T$2,0)&lt;&gt;D2502,"Beam Revised","")</f>
        <v>#N/A</v>
      </c>
      <c r="U2502" s="7" t="e">
        <f>IF(VLOOKUP($A2502,'Concrete Beam Schedule'!$A$2:$Q$2902,U$2,0)&lt;&gt;E2502,"Beam Revised","")</f>
        <v>#N/A</v>
      </c>
      <c r="V2502" s="7" t="e">
        <f>IF(VLOOKUP($A2502,'Concrete Beam Schedule'!$A$2:$Q$2902,V$2,0)&lt;&gt;F2502,"Beam Revised","")</f>
        <v>#N/A</v>
      </c>
      <c r="W2502" s="7" t="e">
        <f>IF(VLOOKUP($A2502,'Concrete Beam Schedule'!$A$2:$Q$2902,W$2,0)&lt;&gt;G2502,"Beam Revised","")</f>
        <v>#N/A</v>
      </c>
      <c r="X2502" s="7" t="e">
        <f>IF(VLOOKUP($A2502,'Concrete Beam Schedule'!$A$2:$Q$2902,X$2,0)&lt;&gt;H2502,"Beam Revised","")</f>
        <v>#N/A</v>
      </c>
      <c r="Y2502" s="7" t="e">
        <f>IF(VLOOKUP($A2502,'Concrete Beam Schedule'!$A$2:$Q$2902,Y$2,0)&lt;&gt;I2502,"Beam Revised","")</f>
        <v>#N/A</v>
      </c>
      <c r="Z2502" s="7" t="e">
        <f>IF(VLOOKUP($A2502,'Concrete Beam Schedule'!$A$2:$Q$2902,Z$2,0)&lt;&gt;J2502,"Beam Revised","")</f>
        <v>#N/A</v>
      </c>
      <c r="AA2502" s="7" t="e">
        <f>IF(VLOOKUP($A2502,'Concrete Beam Schedule'!$A$2:$Q$2902,AA$2,0)&lt;&gt;K2502,"Beam Revised","")</f>
        <v>#N/A</v>
      </c>
      <c r="AB2502" s="7" t="e">
        <f>IF(VLOOKUP($A2502,'Concrete Beam Schedule'!$A$2:$Q$2902,AB$2,0)&lt;&gt;L2502,"Beam Revised","")</f>
        <v>#N/A</v>
      </c>
      <c r="AC2502" s="7" t="e">
        <f>IF(VLOOKUP($A2502,'Concrete Beam Schedule'!$A$2:$Q$2902,AC$2,0)&lt;&gt;M2502,"Beam Revised","")</f>
        <v>#N/A</v>
      </c>
      <c r="AD2502" s="7" t="e">
        <f>IF(VLOOKUP($A2502,'Concrete Beam Schedule'!$A$2:$Q$2902,AD$2,0)&lt;&gt;N2502,"Beam Revised","")</f>
        <v>#N/A</v>
      </c>
      <c r="AE2502" s="7" t="e">
        <f>IF(VLOOKUP($A2502,'Concrete Beam Schedule'!$A$2:$Q$2902,AE$2,0)&lt;&gt;O2502,"Beam Revised","")</f>
        <v>#N/A</v>
      </c>
    </row>
    <row r="2503" spans="17:31" ht="20.100000000000001" customHeight="1" x14ac:dyDescent="0.25">
      <c r="Q2503" s="7">
        <f t="shared" si="39"/>
        <v>0</v>
      </c>
      <c r="R2503" s="7" t="e">
        <f>IF(VLOOKUP($A2503,'Concrete Beam Schedule'!$A$2:$Q$2902,R$2,0)&lt;&gt;B2503,VLOOKUP($A2503,'Concrete Beam Schedule'!$A$2:$Q$2902,R$2,0),"")</f>
        <v>#N/A</v>
      </c>
      <c r="S2503" s="7" t="e">
        <f>IF(VLOOKUP($A2503,'Concrete Beam Schedule'!$A$2:$Q$2902,S$2,0)&lt;&gt;C2503,VLOOKUP($A2503,'Concrete Beam Schedule'!$A$2:$Q$2902,S$2,0),"")</f>
        <v>#N/A</v>
      </c>
      <c r="T2503" s="7" t="e">
        <f>IF(VLOOKUP($A2503,'Concrete Beam Schedule'!$A$2:$Q$2902,T$2,0)&lt;&gt;D2503,"Beam Revised","")</f>
        <v>#N/A</v>
      </c>
      <c r="U2503" s="7" t="e">
        <f>IF(VLOOKUP($A2503,'Concrete Beam Schedule'!$A$2:$Q$2902,U$2,0)&lt;&gt;E2503,"Beam Revised","")</f>
        <v>#N/A</v>
      </c>
      <c r="V2503" s="7" t="e">
        <f>IF(VLOOKUP($A2503,'Concrete Beam Schedule'!$A$2:$Q$2902,V$2,0)&lt;&gt;F2503,"Beam Revised","")</f>
        <v>#N/A</v>
      </c>
      <c r="W2503" s="7" t="e">
        <f>IF(VLOOKUP($A2503,'Concrete Beam Schedule'!$A$2:$Q$2902,W$2,0)&lt;&gt;G2503,"Beam Revised","")</f>
        <v>#N/A</v>
      </c>
      <c r="X2503" s="7" t="e">
        <f>IF(VLOOKUP($A2503,'Concrete Beam Schedule'!$A$2:$Q$2902,X$2,0)&lt;&gt;H2503,"Beam Revised","")</f>
        <v>#N/A</v>
      </c>
      <c r="Y2503" s="7" t="e">
        <f>IF(VLOOKUP($A2503,'Concrete Beam Schedule'!$A$2:$Q$2902,Y$2,0)&lt;&gt;I2503,"Beam Revised","")</f>
        <v>#N/A</v>
      </c>
      <c r="Z2503" s="7" t="e">
        <f>IF(VLOOKUP($A2503,'Concrete Beam Schedule'!$A$2:$Q$2902,Z$2,0)&lt;&gt;J2503,"Beam Revised","")</f>
        <v>#N/A</v>
      </c>
      <c r="AA2503" s="7" t="e">
        <f>IF(VLOOKUP($A2503,'Concrete Beam Schedule'!$A$2:$Q$2902,AA$2,0)&lt;&gt;K2503,"Beam Revised","")</f>
        <v>#N/A</v>
      </c>
      <c r="AB2503" s="7" t="e">
        <f>IF(VLOOKUP($A2503,'Concrete Beam Schedule'!$A$2:$Q$2902,AB$2,0)&lt;&gt;L2503,"Beam Revised","")</f>
        <v>#N/A</v>
      </c>
      <c r="AC2503" s="7" t="e">
        <f>IF(VLOOKUP($A2503,'Concrete Beam Schedule'!$A$2:$Q$2902,AC$2,0)&lt;&gt;M2503,"Beam Revised","")</f>
        <v>#N/A</v>
      </c>
      <c r="AD2503" s="7" t="e">
        <f>IF(VLOOKUP($A2503,'Concrete Beam Schedule'!$A$2:$Q$2902,AD$2,0)&lt;&gt;N2503,"Beam Revised","")</f>
        <v>#N/A</v>
      </c>
      <c r="AE2503" s="7" t="e">
        <f>IF(VLOOKUP($A2503,'Concrete Beam Schedule'!$A$2:$Q$2902,AE$2,0)&lt;&gt;O2503,"Beam Revised","")</f>
        <v>#N/A</v>
      </c>
    </row>
    <row r="2504" spans="17:31" ht="20.100000000000001" customHeight="1" x14ac:dyDescent="0.25">
      <c r="Q2504" s="7">
        <f t="shared" si="39"/>
        <v>0</v>
      </c>
      <c r="R2504" s="7" t="e">
        <f>IF(VLOOKUP($A2504,'Concrete Beam Schedule'!$A$2:$Q$2902,R$2,0)&lt;&gt;B2504,VLOOKUP($A2504,'Concrete Beam Schedule'!$A$2:$Q$2902,R$2,0),"")</f>
        <v>#N/A</v>
      </c>
      <c r="S2504" s="7" t="e">
        <f>IF(VLOOKUP($A2504,'Concrete Beam Schedule'!$A$2:$Q$2902,S$2,0)&lt;&gt;C2504,VLOOKUP($A2504,'Concrete Beam Schedule'!$A$2:$Q$2902,S$2,0),"")</f>
        <v>#N/A</v>
      </c>
      <c r="T2504" s="7" t="e">
        <f>IF(VLOOKUP($A2504,'Concrete Beam Schedule'!$A$2:$Q$2902,T$2,0)&lt;&gt;D2504,"Beam Revised","")</f>
        <v>#N/A</v>
      </c>
      <c r="U2504" s="7" t="e">
        <f>IF(VLOOKUP($A2504,'Concrete Beam Schedule'!$A$2:$Q$2902,U$2,0)&lt;&gt;E2504,"Beam Revised","")</f>
        <v>#N/A</v>
      </c>
      <c r="V2504" s="7" t="e">
        <f>IF(VLOOKUP($A2504,'Concrete Beam Schedule'!$A$2:$Q$2902,V$2,0)&lt;&gt;F2504,"Beam Revised","")</f>
        <v>#N/A</v>
      </c>
      <c r="W2504" s="7" t="e">
        <f>IF(VLOOKUP($A2504,'Concrete Beam Schedule'!$A$2:$Q$2902,W$2,0)&lt;&gt;G2504,"Beam Revised","")</f>
        <v>#N/A</v>
      </c>
      <c r="X2504" s="7" t="e">
        <f>IF(VLOOKUP($A2504,'Concrete Beam Schedule'!$A$2:$Q$2902,X$2,0)&lt;&gt;H2504,"Beam Revised","")</f>
        <v>#N/A</v>
      </c>
      <c r="Y2504" s="7" t="e">
        <f>IF(VLOOKUP($A2504,'Concrete Beam Schedule'!$A$2:$Q$2902,Y$2,0)&lt;&gt;I2504,"Beam Revised","")</f>
        <v>#N/A</v>
      </c>
      <c r="Z2504" s="7" t="e">
        <f>IF(VLOOKUP($A2504,'Concrete Beam Schedule'!$A$2:$Q$2902,Z$2,0)&lt;&gt;J2504,"Beam Revised","")</f>
        <v>#N/A</v>
      </c>
      <c r="AA2504" s="7" t="e">
        <f>IF(VLOOKUP($A2504,'Concrete Beam Schedule'!$A$2:$Q$2902,AA$2,0)&lt;&gt;K2504,"Beam Revised","")</f>
        <v>#N/A</v>
      </c>
      <c r="AB2504" s="7" t="e">
        <f>IF(VLOOKUP($A2504,'Concrete Beam Schedule'!$A$2:$Q$2902,AB$2,0)&lt;&gt;L2504,"Beam Revised","")</f>
        <v>#N/A</v>
      </c>
      <c r="AC2504" s="7" t="e">
        <f>IF(VLOOKUP($A2504,'Concrete Beam Schedule'!$A$2:$Q$2902,AC$2,0)&lt;&gt;M2504,"Beam Revised","")</f>
        <v>#N/A</v>
      </c>
      <c r="AD2504" s="7" t="e">
        <f>IF(VLOOKUP($A2504,'Concrete Beam Schedule'!$A$2:$Q$2902,AD$2,0)&lt;&gt;N2504,"Beam Revised","")</f>
        <v>#N/A</v>
      </c>
      <c r="AE2504" s="7" t="e">
        <f>IF(VLOOKUP($A2504,'Concrete Beam Schedule'!$A$2:$Q$2902,AE$2,0)&lt;&gt;O2504,"Beam Revised","")</f>
        <v>#N/A</v>
      </c>
    </row>
    <row r="2505" spans="17:31" ht="20.100000000000001" customHeight="1" x14ac:dyDescent="0.25">
      <c r="Q2505" s="7">
        <f t="shared" si="39"/>
        <v>0</v>
      </c>
      <c r="R2505" s="7" t="e">
        <f>IF(VLOOKUP($A2505,'Concrete Beam Schedule'!$A$2:$Q$2902,R$2,0)&lt;&gt;B2505,VLOOKUP($A2505,'Concrete Beam Schedule'!$A$2:$Q$2902,R$2,0),"")</f>
        <v>#N/A</v>
      </c>
      <c r="S2505" s="7" t="e">
        <f>IF(VLOOKUP($A2505,'Concrete Beam Schedule'!$A$2:$Q$2902,S$2,0)&lt;&gt;C2505,VLOOKUP($A2505,'Concrete Beam Schedule'!$A$2:$Q$2902,S$2,0),"")</f>
        <v>#N/A</v>
      </c>
      <c r="T2505" s="7" t="e">
        <f>IF(VLOOKUP($A2505,'Concrete Beam Schedule'!$A$2:$Q$2902,T$2,0)&lt;&gt;D2505,"Beam Revised","")</f>
        <v>#N/A</v>
      </c>
      <c r="U2505" s="7" t="e">
        <f>IF(VLOOKUP($A2505,'Concrete Beam Schedule'!$A$2:$Q$2902,U$2,0)&lt;&gt;E2505,"Beam Revised","")</f>
        <v>#N/A</v>
      </c>
      <c r="V2505" s="7" t="e">
        <f>IF(VLOOKUP($A2505,'Concrete Beam Schedule'!$A$2:$Q$2902,V$2,0)&lt;&gt;F2505,"Beam Revised","")</f>
        <v>#N/A</v>
      </c>
      <c r="W2505" s="7" t="e">
        <f>IF(VLOOKUP($A2505,'Concrete Beam Schedule'!$A$2:$Q$2902,W$2,0)&lt;&gt;G2505,"Beam Revised","")</f>
        <v>#N/A</v>
      </c>
      <c r="X2505" s="7" t="e">
        <f>IF(VLOOKUP($A2505,'Concrete Beam Schedule'!$A$2:$Q$2902,X$2,0)&lt;&gt;H2505,"Beam Revised","")</f>
        <v>#N/A</v>
      </c>
      <c r="Y2505" s="7" t="e">
        <f>IF(VLOOKUP($A2505,'Concrete Beam Schedule'!$A$2:$Q$2902,Y$2,0)&lt;&gt;I2505,"Beam Revised","")</f>
        <v>#N/A</v>
      </c>
      <c r="Z2505" s="7" t="e">
        <f>IF(VLOOKUP($A2505,'Concrete Beam Schedule'!$A$2:$Q$2902,Z$2,0)&lt;&gt;J2505,"Beam Revised","")</f>
        <v>#N/A</v>
      </c>
      <c r="AA2505" s="7" t="e">
        <f>IF(VLOOKUP($A2505,'Concrete Beam Schedule'!$A$2:$Q$2902,AA$2,0)&lt;&gt;K2505,"Beam Revised","")</f>
        <v>#N/A</v>
      </c>
      <c r="AB2505" s="7" t="e">
        <f>IF(VLOOKUP($A2505,'Concrete Beam Schedule'!$A$2:$Q$2902,AB$2,0)&lt;&gt;L2505,"Beam Revised","")</f>
        <v>#N/A</v>
      </c>
      <c r="AC2505" s="7" t="e">
        <f>IF(VLOOKUP($A2505,'Concrete Beam Schedule'!$A$2:$Q$2902,AC$2,0)&lt;&gt;M2505,"Beam Revised","")</f>
        <v>#N/A</v>
      </c>
      <c r="AD2505" s="7" t="e">
        <f>IF(VLOOKUP($A2505,'Concrete Beam Schedule'!$A$2:$Q$2902,AD$2,0)&lt;&gt;N2505,"Beam Revised","")</f>
        <v>#N/A</v>
      </c>
      <c r="AE2505" s="7" t="e">
        <f>IF(VLOOKUP($A2505,'Concrete Beam Schedule'!$A$2:$Q$2902,AE$2,0)&lt;&gt;O2505,"Beam Revised","")</f>
        <v>#N/A</v>
      </c>
    </row>
    <row r="2506" spans="17:31" ht="20.100000000000001" customHeight="1" x14ac:dyDescent="0.25">
      <c r="Q2506" s="7">
        <f t="shared" si="39"/>
        <v>0</v>
      </c>
      <c r="R2506" s="7" t="e">
        <f>IF(VLOOKUP($A2506,'Concrete Beam Schedule'!$A$2:$Q$2902,R$2,0)&lt;&gt;B2506,VLOOKUP($A2506,'Concrete Beam Schedule'!$A$2:$Q$2902,R$2,0),"")</f>
        <v>#N/A</v>
      </c>
      <c r="S2506" s="7" t="e">
        <f>IF(VLOOKUP($A2506,'Concrete Beam Schedule'!$A$2:$Q$2902,S$2,0)&lt;&gt;C2506,VLOOKUP($A2506,'Concrete Beam Schedule'!$A$2:$Q$2902,S$2,0),"")</f>
        <v>#N/A</v>
      </c>
      <c r="T2506" s="7" t="e">
        <f>IF(VLOOKUP($A2506,'Concrete Beam Schedule'!$A$2:$Q$2902,T$2,0)&lt;&gt;D2506,"Beam Revised","")</f>
        <v>#N/A</v>
      </c>
      <c r="U2506" s="7" t="e">
        <f>IF(VLOOKUP($A2506,'Concrete Beam Schedule'!$A$2:$Q$2902,U$2,0)&lt;&gt;E2506,"Beam Revised","")</f>
        <v>#N/A</v>
      </c>
      <c r="V2506" s="7" t="e">
        <f>IF(VLOOKUP($A2506,'Concrete Beam Schedule'!$A$2:$Q$2902,V$2,0)&lt;&gt;F2506,"Beam Revised","")</f>
        <v>#N/A</v>
      </c>
      <c r="W2506" s="7" t="e">
        <f>IF(VLOOKUP($A2506,'Concrete Beam Schedule'!$A$2:$Q$2902,W$2,0)&lt;&gt;G2506,"Beam Revised","")</f>
        <v>#N/A</v>
      </c>
      <c r="X2506" s="7" t="e">
        <f>IF(VLOOKUP($A2506,'Concrete Beam Schedule'!$A$2:$Q$2902,X$2,0)&lt;&gt;H2506,"Beam Revised","")</f>
        <v>#N/A</v>
      </c>
      <c r="Y2506" s="7" t="e">
        <f>IF(VLOOKUP($A2506,'Concrete Beam Schedule'!$A$2:$Q$2902,Y$2,0)&lt;&gt;I2506,"Beam Revised","")</f>
        <v>#N/A</v>
      </c>
      <c r="Z2506" s="7" t="e">
        <f>IF(VLOOKUP($A2506,'Concrete Beam Schedule'!$A$2:$Q$2902,Z$2,0)&lt;&gt;J2506,"Beam Revised","")</f>
        <v>#N/A</v>
      </c>
      <c r="AA2506" s="7" t="e">
        <f>IF(VLOOKUP($A2506,'Concrete Beam Schedule'!$A$2:$Q$2902,AA$2,0)&lt;&gt;K2506,"Beam Revised","")</f>
        <v>#N/A</v>
      </c>
      <c r="AB2506" s="7" t="e">
        <f>IF(VLOOKUP($A2506,'Concrete Beam Schedule'!$A$2:$Q$2902,AB$2,0)&lt;&gt;L2506,"Beam Revised","")</f>
        <v>#N/A</v>
      </c>
      <c r="AC2506" s="7" t="e">
        <f>IF(VLOOKUP($A2506,'Concrete Beam Schedule'!$A$2:$Q$2902,AC$2,0)&lt;&gt;M2506,"Beam Revised","")</f>
        <v>#N/A</v>
      </c>
      <c r="AD2506" s="7" t="e">
        <f>IF(VLOOKUP($A2506,'Concrete Beam Schedule'!$A$2:$Q$2902,AD$2,0)&lt;&gt;N2506,"Beam Revised","")</f>
        <v>#N/A</v>
      </c>
      <c r="AE2506" s="7" t="e">
        <f>IF(VLOOKUP($A2506,'Concrete Beam Schedule'!$A$2:$Q$2902,AE$2,0)&lt;&gt;O2506,"Beam Revised","")</f>
        <v>#N/A</v>
      </c>
    </row>
    <row r="2507" spans="17:31" ht="20.100000000000001" customHeight="1" x14ac:dyDescent="0.25">
      <c r="Q2507" s="7">
        <f t="shared" si="39"/>
        <v>0</v>
      </c>
      <c r="R2507" s="7" t="e">
        <f>IF(VLOOKUP($A2507,'Concrete Beam Schedule'!$A$2:$Q$2902,R$2,0)&lt;&gt;B2507,VLOOKUP($A2507,'Concrete Beam Schedule'!$A$2:$Q$2902,R$2,0),"")</f>
        <v>#N/A</v>
      </c>
      <c r="S2507" s="7" t="e">
        <f>IF(VLOOKUP($A2507,'Concrete Beam Schedule'!$A$2:$Q$2902,S$2,0)&lt;&gt;C2507,VLOOKUP($A2507,'Concrete Beam Schedule'!$A$2:$Q$2902,S$2,0),"")</f>
        <v>#N/A</v>
      </c>
      <c r="T2507" s="7" t="e">
        <f>IF(VLOOKUP($A2507,'Concrete Beam Schedule'!$A$2:$Q$2902,T$2,0)&lt;&gt;D2507,"Beam Revised","")</f>
        <v>#N/A</v>
      </c>
      <c r="U2507" s="7" t="e">
        <f>IF(VLOOKUP($A2507,'Concrete Beam Schedule'!$A$2:$Q$2902,U$2,0)&lt;&gt;E2507,"Beam Revised","")</f>
        <v>#N/A</v>
      </c>
      <c r="V2507" s="7" t="e">
        <f>IF(VLOOKUP($A2507,'Concrete Beam Schedule'!$A$2:$Q$2902,V$2,0)&lt;&gt;F2507,"Beam Revised","")</f>
        <v>#N/A</v>
      </c>
      <c r="W2507" s="7" t="e">
        <f>IF(VLOOKUP($A2507,'Concrete Beam Schedule'!$A$2:$Q$2902,W$2,0)&lt;&gt;G2507,"Beam Revised","")</f>
        <v>#N/A</v>
      </c>
      <c r="X2507" s="7" t="e">
        <f>IF(VLOOKUP($A2507,'Concrete Beam Schedule'!$A$2:$Q$2902,X$2,0)&lt;&gt;H2507,"Beam Revised","")</f>
        <v>#N/A</v>
      </c>
      <c r="Y2507" s="7" t="e">
        <f>IF(VLOOKUP($A2507,'Concrete Beam Schedule'!$A$2:$Q$2902,Y$2,0)&lt;&gt;I2507,"Beam Revised","")</f>
        <v>#N/A</v>
      </c>
      <c r="Z2507" s="7" t="e">
        <f>IF(VLOOKUP($A2507,'Concrete Beam Schedule'!$A$2:$Q$2902,Z$2,0)&lt;&gt;J2507,"Beam Revised","")</f>
        <v>#N/A</v>
      </c>
      <c r="AA2507" s="7" t="e">
        <f>IF(VLOOKUP($A2507,'Concrete Beam Schedule'!$A$2:$Q$2902,AA$2,0)&lt;&gt;K2507,"Beam Revised","")</f>
        <v>#N/A</v>
      </c>
      <c r="AB2507" s="7" t="e">
        <f>IF(VLOOKUP($A2507,'Concrete Beam Schedule'!$A$2:$Q$2902,AB$2,0)&lt;&gt;L2507,"Beam Revised","")</f>
        <v>#N/A</v>
      </c>
      <c r="AC2507" s="7" t="e">
        <f>IF(VLOOKUP($A2507,'Concrete Beam Schedule'!$A$2:$Q$2902,AC$2,0)&lt;&gt;M2507,"Beam Revised","")</f>
        <v>#N/A</v>
      </c>
      <c r="AD2507" s="7" t="e">
        <f>IF(VLOOKUP($A2507,'Concrete Beam Schedule'!$A$2:$Q$2902,AD$2,0)&lt;&gt;N2507,"Beam Revised","")</f>
        <v>#N/A</v>
      </c>
      <c r="AE2507" s="7" t="e">
        <f>IF(VLOOKUP($A2507,'Concrete Beam Schedule'!$A$2:$Q$2902,AE$2,0)&lt;&gt;O2507,"Beam Revised","")</f>
        <v>#N/A</v>
      </c>
    </row>
    <row r="2508" spans="17:31" ht="20.100000000000001" customHeight="1" x14ac:dyDescent="0.25">
      <c r="Q2508" s="7">
        <f t="shared" si="39"/>
        <v>0</v>
      </c>
      <c r="R2508" s="7" t="e">
        <f>IF(VLOOKUP($A2508,'Concrete Beam Schedule'!$A$2:$Q$2902,R$2,0)&lt;&gt;B2508,VLOOKUP($A2508,'Concrete Beam Schedule'!$A$2:$Q$2902,R$2,0),"")</f>
        <v>#N/A</v>
      </c>
      <c r="S2508" s="7" t="e">
        <f>IF(VLOOKUP($A2508,'Concrete Beam Schedule'!$A$2:$Q$2902,S$2,0)&lt;&gt;C2508,VLOOKUP($A2508,'Concrete Beam Schedule'!$A$2:$Q$2902,S$2,0),"")</f>
        <v>#N/A</v>
      </c>
      <c r="T2508" s="7" t="e">
        <f>IF(VLOOKUP($A2508,'Concrete Beam Schedule'!$A$2:$Q$2902,T$2,0)&lt;&gt;D2508,"Beam Revised","")</f>
        <v>#N/A</v>
      </c>
      <c r="U2508" s="7" t="e">
        <f>IF(VLOOKUP($A2508,'Concrete Beam Schedule'!$A$2:$Q$2902,U$2,0)&lt;&gt;E2508,"Beam Revised","")</f>
        <v>#N/A</v>
      </c>
      <c r="V2508" s="7" t="e">
        <f>IF(VLOOKUP($A2508,'Concrete Beam Schedule'!$A$2:$Q$2902,V$2,0)&lt;&gt;F2508,"Beam Revised","")</f>
        <v>#N/A</v>
      </c>
      <c r="W2508" s="7" t="e">
        <f>IF(VLOOKUP($A2508,'Concrete Beam Schedule'!$A$2:$Q$2902,W$2,0)&lt;&gt;G2508,"Beam Revised","")</f>
        <v>#N/A</v>
      </c>
      <c r="X2508" s="7" t="e">
        <f>IF(VLOOKUP($A2508,'Concrete Beam Schedule'!$A$2:$Q$2902,X$2,0)&lt;&gt;H2508,"Beam Revised","")</f>
        <v>#N/A</v>
      </c>
      <c r="Y2508" s="7" t="e">
        <f>IF(VLOOKUP($A2508,'Concrete Beam Schedule'!$A$2:$Q$2902,Y$2,0)&lt;&gt;I2508,"Beam Revised","")</f>
        <v>#N/A</v>
      </c>
      <c r="Z2508" s="7" t="e">
        <f>IF(VLOOKUP($A2508,'Concrete Beam Schedule'!$A$2:$Q$2902,Z$2,0)&lt;&gt;J2508,"Beam Revised","")</f>
        <v>#N/A</v>
      </c>
      <c r="AA2508" s="7" t="e">
        <f>IF(VLOOKUP($A2508,'Concrete Beam Schedule'!$A$2:$Q$2902,AA$2,0)&lt;&gt;K2508,"Beam Revised","")</f>
        <v>#N/A</v>
      </c>
      <c r="AB2508" s="7" t="e">
        <f>IF(VLOOKUP($A2508,'Concrete Beam Schedule'!$A$2:$Q$2902,AB$2,0)&lt;&gt;L2508,"Beam Revised","")</f>
        <v>#N/A</v>
      </c>
      <c r="AC2508" s="7" t="e">
        <f>IF(VLOOKUP($A2508,'Concrete Beam Schedule'!$A$2:$Q$2902,AC$2,0)&lt;&gt;M2508,"Beam Revised","")</f>
        <v>#N/A</v>
      </c>
      <c r="AD2508" s="7" t="e">
        <f>IF(VLOOKUP($A2508,'Concrete Beam Schedule'!$A$2:$Q$2902,AD$2,0)&lt;&gt;N2508,"Beam Revised","")</f>
        <v>#N/A</v>
      </c>
      <c r="AE2508" s="7" t="e">
        <f>IF(VLOOKUP($A2508,'Concrete Beam Schedule'!$A$2:$Q$2902,AE$2,0)&lt;&gt;O2508,"Beam Revised","")</f>
        <v>#N/A</v>
      </c>
    </row>
    <row r="2509" spans="17:31" ht="20.100000000000001" customHeight="1" x14ac:dyDescent="0.25">
      <c r="Q2509" s="7">
        <f t="shared" si="39"/>
        <v>0</v>
      </c>
      <c r="R2509" s="7" t="e">
        <f>IF(VLOOKUP($A2509,'Concrete Beam Schedule'!$A$2:$Q$2902,R$2,0)&lt;&gt;B2509,VLOOKUP($A2509,'Concrete Beam Schedule'!$A$2:$Q$2902,R$2,0),"")</f>
        <v>#N/A</v>
      </c>
      <c r="S2509" s="7" t="e">
        <f>IF(VLOOKUP($A2509,'Concrete Beam Schedule'!$A$2:$Q$2902,S$2,0)&lt;&gt;C2509,VLOOKUP($A2509,'Concrete Beam Schedule'!$A$2:$Q$2902,S$2,0),"")</f>
        <v>#N/A</v>
      </c>
      <c r="T2509" s="7" t="e">
        <f>IF(VLOOKUP($A2509,'Concrete Beam Schedule'!$A$2:$Q$2902,T$2,0)&lt;&gt;D2509,"Beam Revised","")</f>
        <v>#N/A</v>
      </c>
      <c r="U2509" s="7" t="e">
        <f>IF(VLOOKUP($A2509,'Concrete Beam Schedule'!$A$2:$Q$2902,U$2,0)&lt;&gt;E2509,"Beam Revised","")</f>
        <v>#N/A</v>
      </c>
      <c r="V2509" s="7" t="e">
        <f>IF(VLOOKUP($A2509,'Concrete Beam Schedule'!$A$2:$Q$2902,V$2,0)&lt;&gt;F2509,"Beam Revised","")</f>
        <v>#N/A</v>
      </c>
      <c r="W2509" s="7" t="e">
        <f>IF(VLOOKUP($A2509,'Concrete Beam Schedule'!$A$2:$Q$2902,W$2,0)&lt;&gt;G2509,"Beam Revised","")</f>
        <v>#N/A</v>
      </c>
      <c r="X2509" s="7" t="e">
        <f>IF(VLOOKUP($A2509,'Concrete Beam Schedule'!$A$2:$Q$2902,X$2,0)&lt;&gt;H2509,"Beam Revised","")</f>
        <v>#N/A</v>
      </c>
      <c r="Y2509" s="7" t="e">
        <f>IF(VLOOKUP($A2509,'Concrete Beam Schedule'!$A$2:$Q$2902,Y$2,0)&lt;&gt;I2509,"Beam Revised","")</f>
        <v>#N/A</v>
      </c>
      <c r="Z2509" s="7" t="e">
        <f>IF(VLOOKUP($A2509,'Concrete Beam Schedule'!$A$2:$Q$2902,Z$2,0)&lt;&gt;J2509,"Beam Revised","")</f>
        <v>#N/A</v>
      </c>
      <c r="AA2509" s="7" t="e">
        <f>IF(VLOOKUP($A2509,'Concrete Beam Schedule'!$A$2:$Q$2902,AA$2,0)&lt;&gt;K2509,"Beam Revised","")</f>
        <v>#N/A</v>
      </c>
      <c r="AB2509" s="7" t="e">
        <f>IF(VLOOKUP($A2509,'Concrete Beam Schedule'!$A$2:$Q$2902,AB$2,0)&lt;&gt;L2509,"Beam Revised","")</f>
        <v>#N/A</v>
      </c>
      <c r="AC2509" s="7" t="e">
        <f>IF(VLOOKUP($A2509,'Concrete Beam Schedule'!$A$2:$Q$2902,AC$2,0)&lt;&gt;M2509,"Beam Revised","")</f>
        <v>#N/A</v>
      </c>
      <c r="AD2509" s="7" t="e">
        <f>IF(VLOOKUP($A2509,'Concrete Beam Schedule'!$A$2:$Q$2902,AD$2,0)&lt;&gt;N2509,"Beam Revised","")</f>
        <v>#N/A</v>
      </c>
      <c r="AE2509" s="7" t="e">
        <f>IF(VLOOKUP($A2509,'Concrete Beam Schedule'!$A$2:$Q$2902,AE$2,0)&lt;&gt;O2509,"Beam Revised","")</f>
        <v>#N/A</v>
      </c>
    </row>
    <row r="2510" spans="17:31" ht="20.100000000000001" customHeight="1" x14ac:dyDescent="0.25">
      <c r="Q2510" s="7">
        <f t="shared" si="39"/>
        <v>0</v>
      </c>
      <c r="R2510" s="7" t="e">
        <f>IF(VLOOKUP($A2510,'Concrete Beam Schedule'!$A$2:$Q$2902,R$2,0)&lt;&gt;B2510,VLOOKUP($A2510,'Concrete Beam Schedule'!$A$2:$Q$2902,R$2,0),"")</f>
        <v>#N/A</v>
      </c>
      <c r="S2510" s="7" t="e">
        <f>IF(VLOOKUP($A2510,'Concrete Beam Schedule'!$A$2:$Q$2902,S$2,0)&lt;&gt;C2510,VLOOKUP($A2510,'Concrete Beam Schedule'!$A$2:$Q$2902,S$2,0),"")</f>
        <v>#N/A</v>
      </c>
      <c r="T2510" s="7" t="e">
        <f>IF(VLOOKUP($A2510,'Concrete Beam Schedule'!$A$2:$Q$2902,T$2,0)&lt;&gt;D2510,"Beam Revised","")</f>
        <v>#N/A</v>
      </c>
      <c r="U2510" s="7" t="e">
        <f>IF(VLOOKUP($A2510,'Concrete Beam Schedule'!$A$2:$Q$2902,U$2,0)&lt;&gt;E2510,"Beam Revised","")</f>
        <v>#N/A</v>
      </c>
      <c r="V2510" s="7" t="e">
        <f>IF(VLOOKUP($A2510,'Concrete Beam Schedule'!$A$2:$Q$2902,V$2,0)&lt;&gt;F2510,"Beam Revised","")</f>
        <v>#N/A</v>
      </c>
      <c r="W2510" s="7" t="e">
        <f>IF(VLOOKUP($A2510,'Concrete Beam Schedule'!$A$2:$Q$2902,W$2,0)&lt;&gt;G2510,"Beam Revised","")</f>
        <v>#N/A</v>
      </c>
      <c r="X2510" s="7" t="e">
        <f>IF(VLOOKUP($A2510,'Concrete Beam Schedule'!$A$2:$Q$2902,X$2,0)&lt;&gt;H2510,"Beam Revised","")</f>
        <v>#N/A</v>
      </c>
      <c r="Y2510" s="7" t="e">
        <f>IF(VLOOKUP($A2510,'Concrete Beam Schedule'!$A$2:$Q$2902,Y$2,0)&lt;&gt;I2510,"Beam Revised","")</f>
        <v>#N/A</v>
      </c>
      <c r="Z2510" s="7" t="e">
        <f>IF(VLOOKUP($A2510,'Concrete Beam Schedule'!$A$2:$Q$2902,Z$2,0)&lt;&gt;J2510,"Beam Revised","")</f>
        <v>#N/A</v>
      </c>
      <c r="AA2510" s="7" t="e">
        <f>IF(VLOOKUP($A2510,'Concrete Beam Schedule'!$A$2:$Q$2902,AA$2,0)&lt;&gt;K2510,"Beam Revised","")</f>
        <v>#N/A</v>
      </c>
      <c r="AB2510" s="7" t="e">
        <f>IF(VLOOKUP($A2510,'Concrete Beam Schedule'!$A$2:$Q$2902,AB$2,0)&lt;&gt;L2510,"Beam Revised","")</f>
        <v>#N/A</v>
      </c>
      <c r="AC2510" s="7" t="e">
        <f>IF(VLOOKUP($A2510,'Concrete Beam Schedule'!$A$2:$Q$2902,AC$2,0)&lt;&gt;M2510,"Beam Revised","")</f>
        <v>#N/A</v>
      </c>
      <c r="AD2510" s="7" t="e">
        <f>IF(VLOOKUP($A2510,'Concrete Beam Schedule'!$A$2:$Q$2902,AD$2,0)&lt;&gt;N2510,"Beam Revised","")</f>
        <v>#N/A</v>
      </c>
      <c r="AE2510" s="7" t="e">
        <f>IF(VLOOKUP($A2510,'Concrete Beam Schedule'!$A$2:$Q$2902,AE$2,0)&lt;&gt;O2510,"Beam Revised","")</f>
        <v>#N/A</v>
      </c>
    </row>
    <row r="2511" spans="17:31" ht="20.100000000000001" customHeight="1" x14ac:dyDescent="0.25">
      <c r="Q2511" s="7">
        <f t="shared" si="39"/>
        <v>0</v>
      </c>
      <c r="R2511" s="7" t="e">
        <f>IF(VLOOKUP($A2511,'Concrete Beam Schedule'!$A$2:$Q$2902,R$2,0)&lt;&gt;B2511,VLOOKUP($A2511,'Concrete Beam Schedule'!$A$2:$Q$2902,R$2,0),"")</f>
        <v>#N/A</v>
      </c>
      <c r="S2511" s="7" t="e">
        <f>IF(VLOOKUP($A2511,'Concrete Beam Schedule'!$A$2:$Q$2902,S$2,0)&lt;&gt;C2511,VLOOKUP($A2511,'Concrete Beam Schedule'!$A$2:$Q$2902,S$2,0),"")</f>
        <v>#N/A</v>
      </c>
      <c r="T2511" s="7" t="e">
        <f>IF(VLOOKUP($A2511,'Concrete Beam Schedule'!$A$2:$Q$2902,T$2,0)&lt;&gt;D2511,"Beam Revised","")</f>
        <v>#N/A</v>
      </c>
      <c r="U2511" s="7" t="e">
        <f>IF(VLOOKUP($A2511,'Concrete Beam Schedule'!$A$2:$Q$2902,U$2,0)&lt;&gt;E2511,"Beam Revised","")</f>
        <v>#N/A</v>
      </c>
      <c r="V2511" s="7" t="e">
        <f>IF(VLOOKUP($A2511,'Concrete Beam Schedule'!$A$2:$Q$2902,V$2,0)&lt;&gt;F2511,"Beam Revised","")</f>
        <v>#N/A</v>
      </c>
      <c r="W2511" s="7" t="e">
        <f>IF(VLOOKUP($A2511,'Concrete Beam Schedule'!$A$2:$Q$2902,W$2,0)&lt;&gt;G2511,"Beam Revised","")</f>
        <v>#N/A</v>
      </c>
      <c r="X2511" s="7" t="e">
        <f>IF(VLOOKUP($A2511,'Concrete Beam Schedule'!$A$2:$Q$2902,X$2,0)&lt;&gt;H2511,"Beam Revised","")</f>
        <v>#N/A</v>
      </c>
      <c r="Y2511" s="7" t="e">
        <f>IF(VLOOKUP($A2511,'Concrete Beam Schedule'!$A$2:$Q$2902,Y$2,0)&lt;&gt;I2511,"Beam Revised","")</f>
        <v>#N/A</v>
      </c>
      <c r="Z2511" s="7" t="e">
        <f>IF(VLOOKUP($A2511,'Concrete Beam Schedule'!$A$2:$Q$2902,Z$2,0)&lt;&gt;J2511,"Beam Revised","")</f>
        <v>#N/A</v>
      </c>
      <c r="AA2511" s="7" t="e">
        <f>IF(VLOOKUP($A2511,'Concrete Beam Schedule'!$A$2:$Q$2902,AA$2,0)&lt;&gt;K2511,"Beam Revised","")</f>
        <v>#N/A</v>
      </c>
      <c r="AB2511" s="7" t="e">
        <f>IF(VLOOKUP($A2511,'Concrete Beam Schedule'!$A$2:$Q$2902,AB$2,0)&lt;&gt;L2511,"Beam Revised","")</f>
        <v>#N/A</v>
      </c>
      <c r="AC2511" s="7" t="e">
        <f>IF(VLOOKUP($A2511,'Concrete Beam Schedule'!$A$2:$Q$2902,AC$2,0)&lt;&gt;M2511,"Beam Revised","")</f>
        <v>#N/A</v>
      </c>
      <c r="AD2511" s="7" t="e">
        <f>IF(VLOOKUP($A2511,'Concrete Beam Schedule'!$A$2:$Q$2902,AD$2,0)&lt;&gt;N2511,"Beam Revised","")</f>
        <v>#N/A</v>
      </c>
      <c r="AE2511" s="7" t="e">
        <f>IF(VLOOKUP($A2511,'Concrete Beam Schedule'!$A$2:$Q$2902,AE$2,0)&lt;&gt;O2511,"Beam Revised","")</f>
        <v>#N/A</v>
      </c>
    </row>
    <row r="2512" spans="17:31" ht="20.100000000000001" customHeight="1" x14ac:dyDescent="0.25">
      <c r="Q2512" s="7">
        <f t="shared" si="39"/>
        <v>0</v>
      </c>
      <c r="R2512" s="7" t="e">
        <f>IF(VLOOKUP($A2512,'Concrete Beam Schedule'!$A$2:$Q$2902,R$2,0)&lt;&gt;B2512,VLOOKUP($A2512,'Concrete Beam Schedule'!$A$2:$Q$2902,R$2,0),"")</f>
        <v>#N/A</v>
      </c>
      <c r="S2512" s="7" t="e">
        <f>IF(VLOOKUP($A2512,'Concrete Beam Schedule'!$A$2:$Q$2902,S$2,0)&lt;&gt;C2512,VLOOKUP($A2512,'Concrete Beam Schedule'!$A$2:$Q$2902,S$2,0),"")</f>
        <v>#N/A</v>
      </c>
      <c r="T2512" s="7" t="e">
        <f>IF(VLOOKUP($A2512,'Concrete Beam Schedule'!$A$2:$Q$2902,T$2,0)&lt;&gt;D2512,"Beam Revised","")</f>
        <v>#N/A</v>
      </c>
      <c r="U2512" s="7" t="e">
        <f>IF(VLOOKUP($A2512,'Concrete Beam Schedule'!$A$2:$Q$2902,U$2,0)&lt;&gt;E2512,"Beam Revised","")</f>
        <v>#N/A</v>
      </c>
      <c r="V2512" s="7" t="e">
        <f>IF(VLOOKUP($A2512,'Concrete Beam Schedule'!$A$2:$Q$2902,V$2,0)&lt;&gt;F2512,"Beam Revised","")</f>
        <v>#N/A</v>
      </c>
      <c r="W2512" s="7" t="e">
        <f>IF(VLOOKUP($A2512,'Concrete Beam Schedule'!$A$2:$Q$2902,W$2,0)&lt;&gt;G2512,"Beam Revised","")</f>
        <v>#N/A</v>
      </c>
      <c r="X2512" s="7" t="e">
        <f>IF(VLOOKUP($A2512,'Concrete Beam Schedule'!$A$2:$Q$2902,X$2,0)&lt;&gt;H2512,"Beam Revised","")</f>
        <v>#N/A</v>
      </c>
      <c r="Y2512" s="7" t="e">
        <f>IF(VLOOKUP($A2512,'Concrete Beam Schedule'!$A$2:$Q$2902,Y$2,0)&lt;&gt;I2512,"Beam Revised","")</f>
        <v>#N/A</v>
      </c>
      <c r="Z2512" s="7" t="e">
        <f>IF(VLOOKUP($A2512,'Concrete Beam Schedule'!$A$2:$Q$2902,Z$2,0)&lt;&gt;J2512,"Beam Revised","")</f>
        <v>#N/A</v>
      </c>
      <c r="AA2512" s="7" t="e">
        <f>IF(VLOOKUP($A2512,'Concrete Beam Schedule'!$A$2:$Q$2902,AA$2,0)&lt;&gt;K2512,"Beam Revised","")</f>
        <v>#N/A</v>
      </c>
      <c r="AB2512" s="7" t="e">
        <f>IF(VLOOKUP($A2512,'Concrete Beam Schedule'!$A$2:$Q$2902,AB$2,0)&lt;&gt;L2512,"Beam Revised","")</f>
        <v>#N/A</v>
      </c>
      <c r="AC2512" s="7" t="e">
        <f>IF(VLOOKUP($A2512,'Concrete Beam Schedule'!$A$2:$Q$2902,AC$2,0)&lt;&gt;M2512,"Beam Revised","")</f>
        <v>#N/A</v>
      </c>
      <c r="AD2512" s="7" t="e">
        <f>IF(VLOOKUP($A2512,'Concrete Beam Schedule'!$A$2:$Q$2902,AD$2,0)&lt;&gt;N2512,"Beam Revised","")</f>
        <v>#N/A</v>
      </c>
      <c r="AE2512" s="7" t="e">
        <f>IF(VLOOKUP($A2512,'Concrete Beam Schedule'!$A$2:$Q$2902,AE$2,0)&lt;&gt;O2512,"Beam Revised","")</f>
        <v>#N/A</v>
      </c>
    </row>
    <row r="2513" spans="17:31" ht="20.100000000000001" customHeight="1" x14ac:dyDescent="0.25">
      <c r="Q2513" s="7">
        <f t="shared" si="39"/>
        <v>0</v>
      </c>
      <c r="R2513" s="7" t="e">
        <f>IF(VLOOKUP($A2513,'Concrete Beam Schedule'!$A$2:$Q$2902,R$2,0)&lt;&gt;B2513,VLOOKUP($A2513,'Concrete Beam Schedule'!$A$2:$Q$2902,R$2,0),"")</f>
        <v>#N/A</v>
      </c>
      <c r="S2513" s="7" t="e">
        <f>IF(VLOOKUP($A2513,'Concrete Beam Schedule'!$A$2:$Q$2902,S$2,0)&lt;&gt;C2513,VLOOKUP($A2513,'Concrete Beam Schedule'!$A$2:$Q$2902,S$2,0),"")</f>
        <v>#N/A</v>
      </c>
      <c r="T2513" s="7" t="e">
        <f>IF(VLOOKUP($A2513,'Concrete Beam Schedule'!$A$2:$Q$2902,T$2,0)&lt;&gt;D2513,"Beam Revised","")</f>
        <v>#N/A</v>
      </c>
      <c r="U2513" s="7" t="e">
        <f>IF(VLOOKUP($A2513,'Concrete Beam Schedule'!$A$2:$Q$2902,U$2,0)&lt;&gt;E2513,"Beam Revised","")</f>
        <v>#N/A</v>
      </c>
      <c r="V2513" s="7" t="e">
        <f>IF(VLOOKUP($A2513,'Concrete Beam Schedule'!$A$2:$Q$2902,V$2,0)&lt;&gt;F2513,"Beam Revised","")</f>
        <v>#N/A</v>
      </c>
      <c r="W2513" s="7" t="e">
        <f>IF(VLOOKUP($A2513,'Concrete Beam Schedule'!$A$2:$Q$2902,W$2,0)&lt;&gt;G2513,"Beam Revised","")</f>
        <v>#N/A</v>
      </c>
      <c r="X2513" s="7" t="e">
        <f>IF(VLOOKUP($A2513,'Concrete Beam Schedule'!$A$2:$Q$2902,X$2,0)&lt;&gt;H2513,"Beam Revised","")</f>
        <v>#N/A</v>
      </c>
      <c r="Y2513" s="7" t="e">
        <f>IF(VLOOKUP($A2513,'Concrete Beam Schedule'!$A$2:$Q$2902,Y$2,0)&lt;&gt;I2513,"Beam Revised","")</f>
        <v>#N/A</v>
      </c>
      <c r="Z2513" s="7" t="e">
        <f>IF(VLOOKUP($A2513,'Concrete Beam Schedule'!$A$2:$Q$2902,Z$2,0)&lt;&gt;J2513,"Beam Revised","")</f>
        <v>#N/A</v>
      </c>
      <c r="AA2513" s="7" t="e">
        <f>IF(VLOOKUP($A2513,'Concrete Beam Schedule'!$A$2:$Q$2902,AA$2,0)&lt;&gt;K2513,"Beam Revised","")</f>
        <v>#N/A</v>
      </c>
      <c r="AB2513" s="7" t="e">
        <f>IF(VLOOKUP($A2513,'Concrete Beam Schedule'!$A$2:$Q$2902,AB$2,0)&lt;&gt;L2513,"Beam Revised","")</f>
        <v>#N/A</v>
      </c>
      <c r="AC2513" s="7" t="e">
        <f>IF(VLOOKUP($A2513,'Concrete Beam Schedule'!$A$2:$Q$2902,AC$2,0)&lt;&gt;M2513,"Beam Revised","")</f>
        <v>#N/A</v>
      </c>
      <c r="AD2513" s="7" t="e">
        <f>IF(VLOOKUP($A2513,'Concrete Beam Schedule'!$A$2:$Q$2902,AD$2,0)&lt;&gt;N2513,"Beam Revised","")</f>
        <v>#N/A</v>
      </c>
      <c r="AE2513" s="7" t="e">
        <f>IF(VLOOKUP($A2513,'Concrete Beam Schedule'!$A$2:$Q$2902,AE$2,0)&lt;&gt;O2513,"Beam Revised","")</f>
        <v>#N/A</v>
      </c>
    </row>
    <row r="2514" spans="17:31" ht="20.100000000000001" customHeight="1" x14ac:dyDescent="0.25">
      <c r="Q2514" s="7">
        <f t="shared" si="39"/>
        <v>0</v>
      </c>
      <c r="R2514" s="7" t="e">
        <f>IF(VLOOKUP($A2514,'Concrete Beam Schedule'!$A$2:$Q$2902,R$2,0)&lt;&gt;B2514,VLOOKUP($A2514,'Concrete Beam Schedule'!$A$2:$Q$2902,R$2,0),"")</f>
        <v>#N/A</v>
      </c>
      <c r="S2514" s="7" t="e">
        <f>IF(VLOOKUP($A2514,'Concrete Beam Schedule'!$A$2:$Q$2902,S$2,0)&lt;&gt;C2514,VLOOKUP($A2514,'Concrete Beam Schedule'!$A$2:$Q$2902,S$2,0),"")</f>
        <v>#N/A</v>
      </c>
      <c r="T2514" s="7" t="e">
        <f>IF(VLOOKUP($A2514,'Concrete Beam Schedule'!$A$2:$Q$2902,T$2,0)&lt;&gt;D2514,"Beam Revised","")</f>
        <v>#N/A</v>
      </c>
      <c r="U2514" s="7" t="e">
        <f>IF(VLOOKUP($A2514,'Concrete Beam Schedule'!$A$2:$Q$2902,U$2,0)&lt;&gt;E2514,"Beam Revised","")</f>
        <v>#N/A</v>
      </c>
      <c r="V2514" s="7" t="e">
        <f>IF(VLOOKUP($A2514,'Concrete Beam Schedule'!$A$2:$Q$2902,V$2,0)&lt;&gt;F2514,"Beam Revised","")</f>
        <v>#N/A</v>
      </c>
      <c r="W2514" s="7" t="e">
        <f>IF(VLOOKUP($A2514,'Concrete Beam Schedule'!$A$2:$Q$2902,W$2,0)&lt;&gt;G2514,"Beam Revised","")</f>
        <v>#N/A</v>
      </c>
      <c r="X2514" s="7" t="e">
        <f>IF(VLOOKUP($A2514,'Concrete Beam Schedule'!$A$2:$Q$2902,X$2,0)&lt;&gt;H2514,"Beam Revised","")</f>
        <v>#N/A</v>
      </c>
      <c r="Y2514" s="7" t="e">
        <f>IF(VLOOKUP($A2514,'Concrete Beam Schedule'!$A$2:$Q$2902,Y$2,0)&lt;&gt;I2514,"Beam Revised","")</f>
        <v>#N/A</v>
      </c>
      <c r="Z2514" s="7" t="e">
        <f>IF(VLOOKUP($A2514,'Concrete Beam Schedule'!$A$2:$Q$2902,Z$2,0)&lt;&gt;J2514,"Beam Revised","")</f>
        <v>#N/A</v>
      </c>
      <c r="AA2514" s="7" t="e">
        <f>IF(VLOOKUP($A2514,'Concrete Beam Schedule'!$A$2:$Q$2902,AA$2,0)&lt;&gt;K2514,"Beam Revised","")</f>
        <v>#N/A</v>
      </c>
      <c r="AB2514" s="7" t="e">
        <f>IF(VLOOKUP($A2514,'Concrete Beam Schedule'!$A$2:$Q$2902,AB$2,0)&lt;&gt;L2514,"Beam Revised","")</f>
        <v>#N/A</v>
      </c>
      <c r="AC2514" s="7" t="e">
        <f>IF(VLOOKUP($A2514,'Concrete Beam Schedule'!$A$2:$Q$2902,AC$2,0)&lt;&gt;M2514,"Beam Revised","")</f>
        <v>#N/A</v>
      </c>
      <c r="AD2514" s="7" t="e">
        <f>IF(VLOOKUP($A2514,'Concrete Beam Schedule'!$A$2:$Q$2902,AD$2,0)&lt;&gt;N2514,"Beam Revised","")</f>
        <v>#N/A</v>
      </c>
      <c r="AE2514" s="7" t="e">
        <f>IF(VLOOKUP($A2514,'Concrete Beam Schedule'!$A$2:$Q$2902,AE$2,0)&lt;&gt;O2514,"Beam Revised","")</f>
        <v>#N/A</v>
      </c>
    </row>
    <row r="2515" spans="17:31" ht="20.100000000000001" customHeight="1" x14ac:dyDescent="0.25">
      <c r="Q2515" s="7">
        <f t="shared" si="39"/>
        <v>0</v>
      </c>
      <c r="R2515" s="7" t="e">
        <f>IF(VLOOKUP($A2515,'Concrete Beam Schedule'!$A$2:$Q$2902,R$2,0)&lt;&gt;B2515,VLOOKUP($A2515,'Concrete Beam Schedule'!$A$2:$Q$2902,R$2,0),"")</f>
        <v>#N/A</v>
      </c>
      <c r="S2515" s="7" t="e">
        <f>IF(VLOOKUP($A2515,'Concrete Beam Schedule'!$A$2:$Q$2902,S$2,0)&lt;&gt;C2515,VLOOKUP($A2515,'Concrete Beam Schedule'!$A$2:$Q$2902,S$2,0),"")</f>
        <v>#N/A</v>
      </c>
      <c r="T2515" s="7" t="e">
        <f>IF(VLOOKUP($A2515,'Concrete Beam Schedule'!$A$2:$Q$2902,T$2,0)&lt;&gt;D2515,"Beam Revised","")</f>
        <v>#N/A</v>
      </c>
      <c r="U2515" s="7" t="e">
        <f>IF(VLOOKUP($A2515,'Concrete Beam Schedule'!$A$2:$Q$2902,U$2,0)&lt;&gt;E2515,"Beam Revised","")</f>
        <v>#N/A</v>
      </c>
      <c r="V2515" s="7" t="e">
        <f>IF(VLOOKUP($A2515,'Concrete Beam Schedule'!$A$2:$Q$2902,V$2,0)&lt;&gt;F2515,"Beam Revised","")</f>
        <v>#N/A</v>
      </c>
      <c r="W2515" s="7" t="e">
        <f>IF(VLOOKUP($A2515,'Concrete Beam Schedule'!$A$2:$Q$2902,W$2,0)&lt;&gt;G2515,"Beam Revised","")</f>
        <v>#N/A</v>
      </c>
      <c r="X2515" s="7" t="e">
        <f>IF(VLOOKUP($A2515,'Concrete Beam Schedule'!$A$2:$Q$2902,X$2,0)&lt;&gt;H2515,"Beam Revised","")</f>
        <v>#N/A</v>
      </c>
      <c r="Y2515" s="7" t="e">
        <f>IF(VLOOKUP($A2515,'Concrete Beam Schedule'!$A$2:$Q$2902,Y$2,0)&lt;&gt;I2515,"Beam Revised","")</f>
        <v>#N/A</v>
      </c>
      <c r="Z2515" s="7" t="e">
        <f>IF(VLOOKUP($A2515,'Concrete Beam Schedule'!$A$2:$Q$2902,Z$2,0)&lt;&gt;J2515,"Beam Revised","")</f>
        <v>#N/A</v>
      </c>
      <c r="AA2515" s="7" t="e">
        <f>IF(VLOOKUP($A2515,'Concrete Beam Schedule'!$A$2:$Q$2902,AA$2,0)&lt;&gt;K2515,"Beam Revised","")</f>
        <v>#N/A</v>
      </c>
      <c r="AB2515" s="7" t="e">
        <f>IF(VLOOKUP($A2515,'Concrete Beam Schedule'!$A$2:$Q$2902,AB$2,0)&lt;&gt;L2515,"Beam Revised","")</f>
        <v>#N/A</v>
      </c>
      <c r="AC2515" s="7" t="e">
        <f>IF(VLOOKUP($A2515,'Concrete Beam Schedule'!$A$2:$Q$2902,AC$2,0)&lt;&gt;M2515,"Beam Revised","")</f>
        <v>#N/A</v>
      </c>
      <c r="AD2515" s="7" t="e">
        <f>IF(VLOOKUP($A2515,'Concrete Beam Schedule'!$A$2:$Q$2902,AD$2,0)&lt;&gt;N2515,"Beam Revised","")</f>
        <v>#N/A</v>
      </c>
      <c r="AE2515" s="7" t="e">
        <f>IF(VLOOKUP($A2515,'Concrete Beam Schedule'!$A$2:$Q$2902,AE$2,0)&lt;&gt;O2515,"Beam Revised","")</f>
        <v>#N/A</v>
      </c>
    </row>
    <row r="2516" spans="17:31" ht="20.100000000000001" customHeight="1" x14ac:dyDescent="0.25">
      <c r="Q2516" s="7">
        <f t="shared" si="39"/>
        <v>0</v>
      </c>
      <c r="R2516" s="7" t="e">
        <f>IF(VLOOKUP($A2516,'Concrete Beam Schedule'!$A$2:$Q$2902,R$2,0)&lt;&gt;B2516,VLOOKUP($A2516,'Concrete Beam Schedule'!$A$2:$Q$2902,R$2,0),"")</f>
        <v>#N/A</v>
      </c>
      <c r="S2516" s="7" t="e">
        <f>IF(VLOOKUP($A2516,'Concrete Beam Schedule'!$A$2:$Q$2902,S$2,0)&lt;&gt;C2516,VLOOKUP($A2516,'Concrete Beam Schedule'!$A$2:$Q$2902,S$2,0),"")</f>
        <v>#N/A</v>
      </c>
      <c r="T2516" s="7" t="e">
        <f>IF(VLOOKUP($A2516,'Concrete Beam Schedule'!$A$2:$Q$2902,T$2,0)&lt;&gt;D2516,"Beam Revised","")</f>
        <v>#N/A</v>
      </c>
      <c r="U2516" s="7" t="e">
        <f>IF(VLOOKUP($A2516,'Concrete Beam Schedule'!$A$2:$Q$2902,U$2,0)&lt;&gt;E2516,"Beam Revised","")</f>
        <v>#N/A</v>
      </c>
      <c r="V2516" s="7" t="e">
        <f>IF(VLOOKUP($A2516,'Concrete Beam Schedule'!$A$2:$Q$2902,V$2,0)&lt;&gt;F2516,"Beam Revised","")</f>
        <v>#N/A</v>
      </c>
      <c r="W2516" s="7" t="e">
        <f>IF(VLOOKUP($A2516,'Concrete Beam Schedule'!$A$2:$Q$2902,W$2,0)&lt;&gt;G2516,"Beam Revised","")</f>
        <v>#N/A</v>
      </c>
      <c r="X2516" s="7" t="e">
        <f>IF(VLOOKUP($A2516,'Concrete Beam Schedule'!$A$2:$Q$2902,X$2,0)&lt;&gt;H2516,"Beam Revised","")</f>
        <v>#N/A</v>
      </c>
      <c r="Y2516" s="7" t="e">
        <f>IF(VLOOKUP($A2516,'Concrete Beam Schedule'!$A$2:$Q$2902,Y$2,0)&lt;&gt;I2516,"Beam Revised","")</f>
        <v>#N/A</v>
      </c>
      <c r="Z2516" s="7" t="e">
        <f>IF(VLOOKUP($A2516,'Concrete Beam Schedule'!$A$2:$Q$2902,Z$2,0)&lt;&gt;J2516,"Beam Revised","")</f>
        <v>#N/A</v>
      </c>
      <c r="AA2516" s="7" t="e">
        <f>IF(VLOOKUP($A2516,'Concrete Beam Schedule'!$A$2:$Q$2902,AA$2,0)&lt;&gt;K2516,"Beam Revised","")</f>
        <v>#N/A</v>
      </c>
      <c r="AB2516" s="7" t="e">
        <f>IF(VLOOKUP($A2516,'Concrete Beam Schedule'!$A$2:$Q$2902,AB$2,0)&lt;&gt;L2516,"Beam Revised","")</f>
        <v>#N/A</v>
      </c>
      <c r="AC2516" s="7" t="e">
        <f>IF(VLOOKUP($A2516,'Concrete Beam Schedule'!$A$2:$Q$2902,AC$2,0)&lt;&gt;M2516,"Beam Revised","")</f>
        <v>#N/A</v>
      </c>
      <c r="AD2516" s="7" t="e">
        <f>IF(VLOOKUP($A2516,'Concrete Beam Schedule'!$A$2:$Q$2902,AD$2,0)&lt;&gt;N2516,"Beam Revised","")</f>
        <v>#N/A</v>
      </c>
      <c r="AE2516" s="7" t="e">
        <f>IF(VLOOKUP($A2516,'Concrete Beam Schedule'!$A$2:$Q$2902,AE$2,0)&lt;&gt;O2516,"Beam Revised","")</f>
        <v>#N/A</v>
      </c>
    </row>
    <row r="2517" spans="17:31" ht="20.100000000000001" customHeight="1" x14ac:dyDescent="0.25">
      <c r="Q2517" s="7">
        <f t="shared" si="39"/>
        <v>0</v>
      </c>
      <c r="R2517" s="7" t="e">
        <f>IF(VLOOKUP($A2517,'Concrete Beam Schedule'!$A$2:$Q$2902,R$2,0)&lt;&gt;B2517,VLOOKUP($A2517,'Concrete Beam Schedule'!$A$2:$Q$2902,R$2,0),"")</f>
        <v>#N/A</v>
      </c>
      <c r="S2517" s="7" t="e">
        <f>IF(VLOOKUP($A2517,'Concrete Beam Schedule'!$A$2:$Q$2902,S$2,0)&lt;&gt;C2517,VLOOKUP($A2517,'Concrete Beam Schedule'!$A$2:$Q$2902,S$2,0),"")</f>
        <v>#N/A</v>
      </c>
      <c r="T2517" s="7" t="e">
        <f>IF(VLOOKUP($A2517,'Concrete Beam Schedule'!$A$2:$Q$2902,T$2,0)&lt;&gt;D2517,"Beam Revised","")</f>
        <v>#N/A</v>
      </c>
      <c r="U2517" s="7" t="e">
        <f>IF(VLOOKUP($A2517,'Concrete Beam Schedule'!$A$2:$Q$2902,U$2,0)&lt;&gt;E2517,"Beam Revised","")</f>
        <v>#N/A</v>
      </c>
      <c r="V2517" s="7" t="e">
        <f>IF(VLOOKUP($A2517,'Concrete Beam Schedule'!$A$2:$Q$2902,V$2,0)&lt;&gt;F2517,"Beam Revised","")</f>
        <v>#N/A</v>
      </c>
      <c r="W2517" s="7" t="e">
        <f>IF(VLOOKUP($A2517,'Concrete Beam Schedule'!$A$2:$Q$2902,W$2,0)&lt;&gt;G2517,"Beam Revised","")</f>
        <v>#N/A</v>
      </c>
      <c r="X2517" s="7" t="e">
        <f>IF(VLOOKUP($A2517,'Concrete Beam Schedule'!$A$2:$Q$2902,X$2,0)&lt;&gt;H2517,"Beam Revised","")</f>
        <v>#N/A</v>
      </c>
      <c r="Y2517" s="7" t="e">
        <f>IF(VLOOKUP($A2517,'Concrete Beam Schedule'!$A$2:$Q$2902,Y$2,0)&lt;&gt;I2517,"Beam Revised","")</f>
        <v>#N/A</v>
      </c>
      <c r="Z2517" s="7" t="e">
        <f>IF(VLOOKUP($A2517,'Concrete Beam Schedule'!$A$2:$Q$2902,Z$2,0)&lt;&gt;J2517,"Beam Revised","")</f>
        <v>#N/A</v>
      </c>
      <c r="AA2517" s="7" t="e">
        <f>IF(VLOOKUP($A2517,'Concrete Beam Schedule'!$A$2:$Q$2902,AA$2,0)&lt;&gt;K2517,"Beam Revised","")</f>
        <v>#N/A</v>
      </c>
      <c r="AB2517" s="7" t="e">
        <f>IF(VLOOKUP($A2517,'Concrete Beam Schedule'!$A$2:$Q$2902,AB$2,0)&lt;&gt;L2517,"Beam Revised","")</f>
        <v>#N/A</v>
      </c>
      <c r="AC2517" s="7" t="e">
        <f>IF(VLOOKUP($A2517,'Concrete Beam Schedule'!$A$2:$Q$2902,AC$2,0)&lt;&gt;M2517,"Beam Revised","")</f>
        <v>#N/A</v>
      </c>
      <c r="AD2517" s="7" t="e">
        <f>IF(VLOOKUP($A2517,'Concrete Beam Schedule'!$A$2:$Q$2902,AD$2,0)&lt;&gt;N2517,"Beam Revised","")</f>
        <v>#N/A</v>
      </c>
      <c r="AE2517" s="7" t="e">
        <f>IF(VLOOKUP($A2517,'Concrete Beam Schedule'!$A$2:$Q$2902,AE$2,0)&lt;&gt;O2517,"Beam Revised","")</f>
        <v>#N/A</v>
      </c>
    </row>
    <row r="2518" spans="17:31" ht="20.100000000000001" customHeight="1" x14ac:dyDescent="0.25">
      <c r="Q2518" s="7">
        <f t="shared" si="39"/>
        <v>0</v>
      </c>
      <c r="R2518" s="7" t="e">
        <f>IF(VLOOKUP($A2518,'Concrete Beam Schedule'!$A$2:$Q$2902,R$2,0)&lt;&gt;B2518,VLOOKUP($A2518,'Concrete Beam Schedule'!$A$2:$Q$2902,R$2,0),"")</f>
        <v>#N/A</v>
      </c>
      <c r="S2518" s="7" t="e">
        <f>IF(VLOOKUP($A2518,'Concrete Beam Schedule'!$A$2:$Q$2902,S$2,0)&lt;&gt;C2518,VLOOKUP($A2518,'Concrete Beam Schedule'!$A$2:$Q$2902,S$2,0),"")</f>
        <v>#N/A</v>
      </c>
      <c r="T2518" s="7" t="e">
        <f>IF(VLOOKUP($A2518,'Concrete Beam Schedule'!$A$2:$Q$2902,T$2,0)&lt;&gt;D2518,"Beam Revised","")</f>
        <v>#N/A</v>
      </c>
      <c r="U2518" s="7" t="e">
        <f>IF(VLOOKUP($A2518,'Concrete Beam Schedule'!$A$2:$Q$2902,U$2,0)&lt;&gt;E2518,"Beam Revised","")</f>
        <v>#N/A</v>
      </c>
      <c r="V2518" s="7" t="e">
        <f>IF(VLOOKUP($A2518,'Concrete Beam Schedule'!$A$2:$Q$2902,V$2,0)&lt;&gt;F2518,"Beam Revised","")</f>
        <v>#N/A</v>
      </c>
      <c r="W2518" s="7" t="e">
        <f>IF(VLOOKUP($A2518,'Concrete Beam Schedule'!$A$2:$Q$2902,W$2,0)&lt;&gt;G2518,"Beam Revised","")</f>
        <v>#N/A</v>
      </c>
      <c r="X2518" s="7" t="e">
        <f>IF(VLOOKUP($A2518,'Concrete Beam Schedule'!$A$2:$Q$2902,X$2,0)&lt;&gt;H2518,"Beam Revised","")</f>
        <v>#N/A</v>
      </c>
      <c r="Y2518" s="7" t="e">
        <f>IF(VLOOKUP($A2518,'Concrete Beam Schedule'!$A$2:$Q$2902,Y$2,0)&lt;&gt;I2518,"Beam Revised","")</f>
        <v>#N/A</v>
      </c>
      <c r="Z2518" s="7" t="e">
        <f>IF(VLOOKUP($A2518,'Concrete Beam Schedule'!$A$2:$Q$2902,Z$2,0)&lt;&gt;J2518,"Beam Revised","")</f>
        <v>#N/A</v>
      </c>
      <c r="AA2518" s="7" t="e">
        <f>IF(VLOOKUP($A2518,'Concrete Beam Schedule'!$A$2:$Q$2902,AA$2,0)&lt;&gt;K2518,"Beam Revised","")</f>
        <v>#N/A</v>
      </c>
      <c r="AB2518" s="7" t="e">
        <f>IF(VLOOKUP($A2518,'Concrete Beam Schedule'!$A$2:$Q$2902,AB$2,0)&lt;&gt;L2518,"Beam Revised","")</f>
        <v>#N/A</v>
      </c>
      <c r="AC2518" s="7" t="e">
        <f>IF(VLOOKUP($A2518,'Concrete Beam Schedule'!$A$2:$Q$2902,AC$2,0)&lt;&gt;M2518,"Beam Revised","")</f>
        <v>#N/A</v>
      </c>
      <c r="AD2518" s="7" t="e">
        <f>IF(VLOOKUP($A2518,'Concrete Beam Schedule'!$A$2:$Q$2902,AD$2,0)&lt;&gt;N2518,"Beam Revised","")</f>
        <v>#N/A</v>
      </c>
      <c r="AE2518" s="7" t="e">
        <f>IF(VLOOKUP($A2518,'Concrete Beam Schedule'!$A$2:$Q$2902,AE$2,0)&lt;&gt;O2518,"Beam Revised","")</f>
        <v>#N/A</v>
      </c>
    </row>
    <row r="2519" spans="17:31" ht="20.100000000000001" customHeight="1" x14ac:dyDescent="0.25">
      <c r="Q2519" s="7">
        <f t="shared" si="39"/>
        <v>0</v>
      </c>
      <c r="R2519" s="7" t="e">
        <f>IF(VLOOKUP($A2519,'Concrete Beam Schedule'!$A$2:$Q$2902,R$2,0)&lt;&gt;B2519,VLOOKUP($A2519,'Concrete Beam Schedule'!$A$2:$Q$2902,R$2,0),"")</f>
        <v>#N/A</v>
      </c>
      <c r="S2519" s="7" t="e">
        <f>IF(VLOOKUP($A2519,'Concrete Beam Schedule'!$A$2:$Q$2902,S$2,0)&lt;&gt;C2519,VLOOKUP($A2519,'Concrete Beam Schedule'!$A$2:$Q$2902,S$2,0),"")</f>
        <v>#N/A</v>
      </c>
      <c r="T2519" s="7" t="e">
        <f>IF(VLOOKUP($A2519,'Concrete Beam Schedule'!$A$2:$Q$2902,T$2,0)&lt;&gt;D2519,"Beam Revised","")</f>
        <v>#N/A</v>
      </c>
      <c r="U2519" s="7" t="e">
        <f>IF(VLOOKUP($A2519,'Concrete Beam Schedule'!$A$2:$Q$2902,U$2,0)&lt;&gt;E2519,"Beam Revised","")</f>
        <v>#N/A</v>
      </c>
      <c r="V2519" s="7" t="e">
        <f>IF(VLOOKUP($A2519,'Concrete Beam Schedule'!$A$2:$Q$2902,V$2,0)&lt;&gt;F2519,"Beam Revised","")</f>
        <v>#N/A</v>
      </c>
      <c r="W2519" s="7" t="e">
        <f>IF(VLOOKUP($A2519,'Concrete Beam Schedule'!$A$2:$Q$2902,W$2,0)&lt;&gt;G2519,"Beam Revised","")</f>
        <v>#N/A</v>
      </c>
      <c r="X2519" s="7" t="e">
        <f>IF(VLOOKUP($A2519,'Concrete Beam Schedule'!$A$2:$Q$2902,X$2,0)&lt;&gt;H2519,"Beam Revised","")</f>
        <v>#N/A</v>
      </c>
      <c r="Y2519" s="7" t="e">
        <f>IF(VLOOKUP($A2519,'Concrete Beam Schedule'!$A$2:$Q$2902,Y$2,0)&lt;&gt;I2519,"Beam Revised","")</f>
        <v>#N/A</v>
      </c>
      <c r="Z2519" s="7" t="e">
        <f>IF(VLOOKUP($A2519,'Concrete Beam Schedule'!$A$2:$Q$2902,Z$2,0)&lt;&gt;J2519,"Beam Revised","")</f>
        <v>#N/A</v>
      </c>
      <c r="AA2519" s="7" t="e">
        <f>IF(VLOOKUP($A2519,'Concrete Beam Schedule'!$A$2:$Q$2902,AA$2,0)&lt;&gt;K2519,"Beam Revised","")</f>
        <v>#N/A</v>
      </c>
      <c r="AB2519" s="7" t="e">
        <f>IF(VLOOKUP($A2519,'Concrete Beam Schedule'!$A$2:$Q$2902,AB$2,0)&lt;&gt;L2519,"Beam Revised","")</f>
        <v>#N/A</v>
      </c>
      <c r="AC2519" s="7" t="e">
        <f>IF(VLOOKUP($A2519,'Concrete Beam Schedule'!$A$2:$Q$2902,AC$2,0)&lt;&gt;M2519,"Beam Revised","")</f>
        <v>#N/A</v>
      </c>
      <c r="AD2519" s="7" t="e">
        <f>IF(VLOOKUP($A2519,'Concrete Beam Schedule'!$A$2:$Q$2902,AD$2,0)&lt;&gt;N2519,"Beam Revised","")</f>
        <v>#N/A</v>
      </c>
      <c r="AE2519" s="7" t="e">
        <f>IF(VLOOKUP($A2519,'Concrete Beam Schedule'!$A$2:$Q$2902,AE$2,0)&lt;&gt;O2519,"Beam Revised","")</f>
        <v>#N/A</v>
      </c>
    </row>
    <row r="2520" spans="17:31" ht="20.100000000000001" customHeight="1" x14ac:dyDescent="0.25">
      <c r="Q2520" s="7">
        <f t="shared" si="39"/>
        <v>0</v>
      </c>
      <c r="R2520" s="7" t="e">
        <f>IF(VLOOKUP($A2520,'Concrete Beam Schedule'!$A$2:$Q$2902,R$2,0)&lt;&gt;B2520,VLOOKUP($A2520,'Concrete Beam Schedule'!$A$2:$Q$2902,R$2,0),"")</f>
        <v>#N/A</v>
      </c>
      <c r="S2520" s="7" t="e">
        <f>IF(VLOOKUP($A2520,'Concrete Beam Schedule'!$A$2:$Q$2902,S$2,0)&lt;&gt;C2520,VLOOKUP($A2520,'Concrete Beam Schedule'!$A$2:$Q$2902,S$2,0),"")</f>
        <v>#N/A</v>
      </c>
      <c r="T2520" s="7" t="e">
        <f>IF(VLOOKUP($A2520,'Concrete Beam Schedule'!$A$2:$Q$2902,T$2,0)&lt;&gt;D2520,"Beam Revised","")</f>
        <v>#N/A</v>
      </c>
      <c r="U2520" s="7" t="e">
        <f>IF(VLOOKUP($A2520,'Concrete Beam Schedule'!$A$2:$Q$2902,U$2,0)&lt;&gt;E2520,"Beam Revised","")</f>
        <v>#N/A</v>
      </c>
      <c r="V2520" s="7" t="e">
        <f>IF(VLOOKUP($A2520,'Concrete Beam Schedule'!$A$2:$Q$2902,V$2,0)&lt;&gt;F2520,"Beam Revised","")</f>
        <v>#N/A</v>
      </c>
      <c r="W2520" s="7" t="e">
        <f>IF(VLOOKUP($A2520,'Concrete Beam Schedule'!$A$2:$Q$2902,W$2,0)&lt;&gt;G2520,"Beam Revised","")</f>
        <v>#N/A</v>
      </c>
      <c r="X2520" s="7" t="e">
        <f>IF(VLOOKUP($A2520,'Concrete Beam Schedule'!$A$2:$Q$2902,X$2,0)&lt;&gt;H2520,"Beam Revised","")</f>
        <v>#N/A</v>
      </c>
      <c r="Y2520" s="7" t="e">
        <f>IF(VLOOKUP($A2520,'Concrete Beam Schedule'!$A$2:$Q$2902,Y$2,0)&lt;&gt;I2520,"Beam Revised","")</f>
        <v>#N/A</v>
      </c>
      <c r="Z2520" s="7" t="e">
        <f>IF(VLOOKUP($A2520,'Concrete Beam Schedule'!$A$2:$Q$2902,Z$2,0)&lt;&gt;J2520,"Beam Revised","")</f>
        <v>#N/A</v>
      </c>
      <c r="AA2520" s="7" t="e">
        <f>IF(VLOOKUP($A2520,'Concrete Beam Schedule'!$A$2:$Q$2902,AA$2,0)&lt;&gt;K2520,"Beam Revised","")</f>
        <v>#N/A</v>
      </c>
      <c r="AB2520" s="7" t="e">
        <f>IF(VLOOKUP($A2520,'Concrete Beam Schedule'!$A$2:$Q$2902,AB$2,0)&lt;&gt;L2520,"Beam Revised","")</f>
        <v>#N/A</v>
      </c>
      <c r="AC2520" s="7" t="e">
        <f>IF(VLOOKUP($A2520,'Concrete Beam Schedule'!$A$2:$Q$2902,AC$2,0)&lt;&gt;M2520,"Beam Revised","")</f>
        <v>#N/A</v>
      </c>
      <c r="AD2520" s="7" t="e">
        <f>IF(VLOOKUP($A2520,'Concrete Beam Schedule'!$A$2:$Q$2902,AD$2,0)&lt;&gt;N2520,"Beam Revised","")</f>
        <v>#N/A</v>
      </c>
      <c r="AE2520" s="7" t="e">
        <f>IF(VLOOKUP($A2520,'Concrete Beam Schedule'!$A$2:$Q$2902,AE$2,0)&lt;&gt;O2520,"Beam Revised","")</f>
        <v>#N/A</v>
      </c>
    </row>
    <row r="2521" spans="17:31" ht="20.100000000000001" customHeight="1" x14ac:dyDescent="0.25">
      <c r="Q2521" s="7">
        <f t="shared" si="39"/>
        <v>0</v>
      </c>
      <c r="R2521" s="7" t="e">
        <f>IF(VLOOKUP($A2521,'Concrete Beam Schedule'!$A$2:$Q$2902,R$2,0)&lt;&gt;B2521,VLOOKUP($A2521,'Concrete Beam Schedule'!$A$2:$Q$2902,R$2,0),"")</f>
        <v>#N/A</v>
      </c>
      <c r="S2521" s="7" t="e">
        <f>IF(VLOOKUP($A2521,'Concrete Beam Schedule'!$A$2:$Q$2902,S$2,0)&lt;&gt;C2521,VLOOKUP($A2521,'Concrete Beam Schedule'!$A$2:$Q$2902,S$2,0),"")</f>
        <v>#N/A</v>
      </c>
      <c r="T2521" s="7" t="e">
        <f>IF(VLOOKUP($A2521,'Concrete Beam Schedule'!$A$2:$Q$2902,T$2,0)&lt;&gt;D2521,"Beam Revised","")</f>
        <v>#N/A</v>
      </c>
      <c r="U2521" s="7" t="e">
        <f>IF(VLOOKUP($A2521,'Concrete Beam Schedule'!$A$2:$Q$2902,U$2,0)&lt;&gt;E2521,"Beam Revised","")</f>
        <v>#N/A</v>
      </c>
      <c r="V2521" s="7" t="e">
        <f>IF(VLOOKUP($A2521,'Concrete Beam Schedule'!$A$2:$Q$2902,V$2,0)&lt;&gt;F2521,"Beam Revised","")</f>
        <v>#N/A</v>
      </c>
      <c r="W2521" s="7" t="e">
        <f>IF(VLOOKUP($A2521,'Concrete Beam Schedule'!$A$2:$Q$2902,W$2,0)&lt;&gt;G2521,"Beam Revised","")</f>
        <v>#N/A</v>
      </c>
      <c r="X2521" s="7" t="e">
        <f>IF(VLOOKUP($A2521,'Concrete Beam Schedule'!$A$2:$Q$2902,X$2,0)&lt;&gt;H2521,"Beam Revised","")</f>
        <v>#N/A</v>
      </c>
      <c r="Y2521" s="7" t="e">
        <f>IF(VLOOKUP($A2521,'Concrete Beam Schedule'!$A$2:$Q$2902,Y$2,0)&lt;&gt;I2521,"Beam Revised","")</f>
        <v>#N/A</v>
      </c>
      <c r="Z2521" s="7" t="e">
        <f>IF(VLOOKUP($A2521,'Concrete Beam Schedule'!$A$2:$Q$2902,Z$2,0)&lt;&gt;J2521,"Beam Revised","")</f>
        <v>#N/A</v>
      </c>
      <c r="AA2521" s="7" t="e">
        <f>IF(VLOOKUP($A2521,'Concrete Beam Schedule'!$A$2:$Q$2902,AA$2,0)&lt;&gt;K2521,"Beam Revised","")</f>
        <v>#N/A</v>
      </c>
      <c r="AB2521" s="7" t="e">
        <f>IF(VLOOKUP($A2521,'Concrete Beam Schedule'!$A$2:$Q$2902,AB$2,0)&lt;&gt;L2521,"Beam Revised","")</f>
        <v>#N/A</v>
      </c>
      <c r="AC2521" s="7" t="e">
        <f>IF(VLOOKUP($A2521,'Concrete Beam Schedule'!$A$2:$Q$2902,AC$2,0)&lt;&gt;M2521,"Beam Revised","")</f>
        <v>#N/A</v>
      </c>
      <c r="AD2521" s="7" t="e">
        <f>IF(VLOOKUP($A2521,'Concrete Beam Schedule'!$A$2:$Q$2902,AD$2,0)&lt;&gt;N2521,"Beam Revised","")</f>
        <v>#N/A</v>
      </c>
      <c r="AE2521" s="7" t="e">
        <f>IF(VLOOKUP($A2521,'Concrete Beam Schedule'!$A$2:$Q$2902,AE$2,0)&lt;&gt;O2521,"Beam Revised","")</f>
        <v>#N/A</v>
      </c>
    </row>
    <row r="2522" spans="17:31" ht="20.100000000000001" customHeight="1" x14ac:dyDescent="0.25">
      <c r="Q2522" s="7">
        <f t="shared" si="39"/>
        <v>0</v>
      </c>
      <c r="R2522" s="7" t="e">
        <f>IF(VLOOKUP($A2522,'Concrete Beam Schedule'!$A$2:$Q$2902,R$2,0)&lt;&gt;B2522,VLOOKUP($A2522,'Concrete Beam Schedule'!$A$2:$Q$2902,R$2,0),"")</f>
        <v>#N/A</v>
      </c>
      <c r="S2522" s="7" t="e">
        <f>IF(VLOOKUP($A2522,'Concrete Beam Schedule'!$A$2:$Q$2902,S$2,0)&lt;&gt;C2522,VLOOKUP($A2522,'Concrete Beam Schedule'!$A$2:$Q$2902,S$2,0),"")</f>
        <v>#N/A</v>
      </c>
      <c r="T2522" s="7" t="e">
        <f>IF(VLOOKUP($A2522,'Concrete Beam Schedule'!$A$2:$Q$2902,T$2,0)&lt;&gt;D2522,"Beam Revised","")</f>
        <v>#N/A</v>
      </c>
      <c r="U2522" s="7" t="e">
        <f>IF(VLOOKUP($A2522,'Concrete Beam Schedule'!$A$2:$Q$2902,U$2,0)&lt;&gt;E2522,"Beam Revised","")</f>
        <v>#N/A</v>
      </c>
      <c r="V2522" s="7" t="e">
        <f>IF(VLOOKUP($A2522,'Concrete Beam Schedule'!$A$2:$Q$2902,V$2,0)&lt;&gt;F2522,"Beam Revised","")</f>
        <v>#N/A</v>
      </c>
      <c r="W2522" s="7" t="e">
        <f>IF(VLOOKUP($A2522,'Concrete Beam Schedule'!$A$2:$Q$2902,W$2,0)&lt;&gt;G2522,"Beam Revised","")</f>
        <v>#N/A</v>
      </c>
      <c r="X2522" s="7" t="e">
        <f>IF(VLOOKUP($A2522,'Concrete Beam Schedule'!$A$2:$Q$2902,X$2,0)&lt;&gt;H2522,"Beam Revised","")</f>
        <v>#N/A</v>
      </c>
      <c r="Y2522" s="7" t="e">
        <f>IF(VLOOKUP($A2522,'Concrete Beam Schedule'!$A$2:$Q$2902,Y$2,0)&lt;&gt;I2522,"Beam Revised","")</f>
        <v>#N/A</v>
      </c>
      <c r="Z2522" s="7" t="e">
        <f>IF(VLOOKUP($A2522,'Concrete Beam Schedule'!$A$2:$Q$2902,Z$2,0)&lt;&gt;J2522,"Beam Revised","")</f>
        <v>#N/A</v>
      </c>
      <c r="AA2522" s="7" t="e">
        <f>IF(VLOOKUP($A2522,'Concrete Beam Schedule'!$A$2:$Q$2902,AA$2,0)&lt;&gt;K2522,"Beam Revised","")</f>
        <v>#N/A</v>
      </c>
      <c r="AB2522" s="7" t="e">
        <f>IF(VLOOKUP($A2522,'Concrete Beam Schedule'!$A$2:$Q$2902,AB$2,0)&lt;&gt;L2522,"Beam Revised","")</f>
        <v>#N/A</v>
      </c>
      <c r="AC2522" s="7" t="e">
        <f>IF(VLOOKUP($A2522,'Concrete Beam Schedule'!$A$2:$Q$2902,AC$2,0)&lt;&gt;M2522,"Beam Revised","")</f>
        <v>#N/A</v>
      </c>
      <c r="AD2522" s="7" t="e">
        <f>IF(VLOOKUP($A2522,'Concrete Beam Schedule'!$A$2:$Q$2902,AD$2,0)&lt;&gt;N2522,"Beam Revised","")</f>
        <v>#N/A</v>
      </c>
      <c r="AE2522" s="7" t="e">
        <f>IF(VLOOKUP($A2522,'Concrete Beam Schedule'!$A$2:$Q$2902,AE$2,0)&lt;&gt;O2522,"Beam Revised","")</f>
        <v>#N/A</v>
      </c>
    </row>
    <row r="2523" spans="17:31" ht="20.100000000000001" customHeight="1" x14ac:dyDescent="0.25">
      <c r="Q2523" s="7">
        <f t="shared" si="39"/>
        <v>0</v>
      </c>
      <c r="R2523" s="7" t="e">
        <f>IF(VLOOKUP($A2523,'Concrete Beam Schedule'!$A$2:$Q$2902,R$2,0)&lt;&gt;B2523,VLOOKUP($A2523,'Concrete Beam Schedule'!$A$2:$Q$2902,R$2,0),"")</f>
        <v>#N/A</v>
      </c>
      <c r="S2523" s="7" t="e">
        <f>IF(VLOOKUP($A2523,'Concrete Beam Schedule'!$A$2:$Q$2902,S$2,0)&lt;&gt;C2523,VLOOKUP($A2523,'Concrete Beam Schedule'!$A$2:$Q$2902,S$2,0),"")</f>
        <v>#N/A</v>
      </c>
      <c r="T2523" s="7" t="e">
        <f>IF(VLOOKUP($A2523,'Concrete Beam Schedule'!$A$2:$Q$2902,T$2,0)&lt;&gt;D2523,"Beam Revised","")</f>
        <v>#N/A</v>
      </c>
      <c r="U2523" s="7" t="e">
        <f>IF(VLOOKUP($A2523,'Concrete Beam Schedule'!$A$2:$Q$2902,U$2,0)&lt;&gt;E2523,"Beam Revised","")</f>
        <v>#N/A</v>
      </c>
      <c r="V2523" s="7" t="e">
        <f>IF(VLOOKUP($A2523,'Concrete Beam Schedule'!$A$2:$Q$2902,V$2,0)&lt;&gt;F2523,"Beam Revised","")</f>
        <v>#N/A</v>
      </c>
      <c r="W2523" s="7" t="e">
        <f>IF(VLOOKUP($A2523,'Concrete Beam Schedule'!$A$2:$Q$2902,W$2,0)&lt;&gt;G2523,"Beam Revised","")</f>
        <v>#N/A</v>
      </c>
      <c r="X2523" s="7" t="e">
        <f>IF(VLOOKUP($A2523,'Concrete Beam Schedule'!$A$2:$Q$2902,X$2,0)&lt;&gt;H2523,"Beam Revised","")</f>
        <v>#N/A</v>
      </c>
      <c r="Y2523" s="7" t="e">
        <f>IF(VLOOKUP($A2523,'Concrete Beam Schedule'!$A$2:$Q$2902,Y$2,0)&lt;&gt;I2523,"Beam Revised","")</f>
        <v>#N/A</v>
      </c>
      <c r="Z2523" s="7" t="e">
        <f>IF(VLOOKUP($A2523,'Concrete Beam Schedule'!$A$2:$Q$2902,Z$2,0)&lt;&gt;J2523,"Beam Revised","")</f>
        <v>#N/A</v>
      </c>
      <c r="AA2523" s="7" t="e">
        <f>IF(VLOOKUP($A2523,'Concrete Beam Schedule'!$A$2:$Q$2902,AA$2,0)&lt;&gt;K2523,"Beam Revised","")</f>
        <v>#N/A</v>
      </c>
      <c r="AB2523" s="7" t="e">
        <f>IF(VLOOKUP($A2523,'Concrete Beam Schedule'!$A$2:$Q$2902,AB$2,0)&lt;&gt;L2523,"Beam Revised","")</f>
        <v>#N/A</v>
      </c>
      <c r="AC2523" s="7" t="e">
        <f>IF(VLOOKUP($A2523,'Concrete Beam Schedule'!$A$2:$Q$2902,AC$2,0)&lt;&gt;M2523,"Beam Revised","")</f>
        <v>#N/A</v>
      </c>
      <c r="AD2523" s="7" t="e">
        <f>IF(VLOOKUP($A2523,'Concrete Beam Schedule'!$A$2:$Q$2902,AD$2,0)&lt;&gt;N2523,"Beam Revised","")</f>
        <v>#N/A</v>
      </c>
      <c r="AE2523" s="7" t="e">
        <f>IF(VLOOKUP($A2523,'Concrete Beam Schedule'!$A$2:$Q$2902,AE$2,0)&lt;&gt;O2523,"Beam Revised","")</f>
        <v>#N/A</v>
      </c>
    </row>
    <row r="2524" spans="17:31" ht="20.100000000000001" customHeight="1" x14ac:dyDescent="0.25">
      <c r="Q2524" s="7">
        <f t="shared" si="39"/>
        <v>0</v>
      </c>
      <c r="R2524" s="7" t="e">
        <f>IF(VLOOKUP($A2524,'Concrete Beam Schedule'!$A$2:$Q$2902,R$2,0)&lt;&gt;B2524,VLOOKUP($A2524,'Concrete Beam Schedule'!$A$2:$Q$2902,R$2,0),"")</f>
        <v>#N/A</v>
      </c>
      <c r="S2524" s="7" t="e">
        <f>IF(VLOOKUP($A2524,'Concrete Beam Schedule'!$A$2:$Q$2902,S$2,0)&lt;&gt;C2524,VLOOKUP($A2524,'Concrete Beam Schedule'!$A$2:$Q$2902,S$2,0),"")</f>
        <v>#N/A</v>
      </c>
      <c r="T2524" s="7" t="e">
        <f>IF(VLOOKUP($A2524,'Concrete Beam Schedule'!$A$2:$Q$2902,T$2,0)&lt;&gt;D2524,"Beam Revised","")</f>
        <v>#N/A</v>
      </c>
      <c r="U2524" s="7" t="e">
        <f>IF(VLOOKUP($A2524,'Concrete Beam Schedule'!$A$2:$Q$2902,U$2,0)&lt;&gt;E2524,"Beam Revised","")</f>
        <v>#N/A</v>
      </c>
      <c r="V2524" s="7" t="e">
        <f>IF(VLOOKUP($A2524,'Concrete Beam Schedule'!$A$2:$Q$2902,V$2,0)&lt;&gt;F2524,"Beam Revised","")</f>
        <v>#N/A</v>
      </c>
      <c r="W2524" s="7" t="e">
        <f>IF(VLOOKUP($A2524,'Concrete Beam Schedule'!$A$2:$Q$2902,W$2,0)&lt;&gt;G2524,"Beam Revised","")</f>
        <v>#N/A</v>
      </c>
      <c r="X2524" s="7" t="e">
        <f>IF(VLOOKUP($A2524,'Concrete Beam Schedule'!$A$2:$Q$2902,X$2,0)&lt;&gt;H2524,"Beam Revised","")</f>
        <v>#N/A</v>
      </c>
      <c r="Y2524" s="7" t="e">
        <f>IF(VLOOKUP($A2524,'Concrete Beam Schedule'!$A$2:$Q$2902,Y$2,0)&lt;&gt;I2524,"Beam Revised","")</f>
        <v>#N/A</v>
      </c>
      <c r="Z2524" s="7" t="e">
        <f>IF(VLOOKUP($A2524,'Concrete Beam Schedule'!$A$2:$Q$2902,Z$2,0)&lt;&gt;J2524,"Beam Revised","")</f>
        <v>#N/A</v>
      </c>
      <c r="AA2524" s="7" t="e">
        <f>IF(VLOOKUP($A2524,'Concrete Beam Schedule'!$A$2:$Q$2902,AA$2,0)&lt;&gt;K2524,"Beam Revised","")</f>
        <v>#N/A</v>
      </c>
      <c r="AB2524" s="7" t="e">
        <f>IF(VLOOKUP($A2524,'Concrete Beam Schedule'!$A$2:$Q$2902,AB$2,0)&lt;&gt;L2524,"Beam Revised","")</f>
        <v>#N/A</v>
      </c>
      <c r="AC2524" s="7" t="e">
        <f>IF(VLOOKUP($A2524,'Concrete Beam Schedule'!$A$2:$Q$2902,AC$2,0)&lt;&gt;M2524,"Beam Revised","")</f>
        <v>#N/A</v>
      </c>
      <c r="AD2524" s="7" t="e">
        <f>IF(VLOOKUP($A2524,'Concrete Beam Schedule'!$A$2:$Q$2902,AD$2,0)&lt;&gt;N2524,"Beam Revised","")</f>
        <v>#N/A</v>
      </c>
      <c r="AE2524" s="7" t="e">
        <f>IF(VLOOKUP($A2524,'Concrete Beam Schedule'!$A$2:$Q$2902,AE$2,0)&lt;&gt;O2524,"Beam Revised","")</f>
        <v>#N/A</v>
      </c>
    </row>
    <row r="2525" spans="17:31" ht="20.100000000000001" customHeight="1" x14ac:dyDescent="0.25">
      <c r="Q2525" s="7">
        <f t="shared" si="39"/>
        <v>0</v>
      </c>
      <c r="R2525" s="7" t="e">
        <f>IF(VLOOKUP($A2525,'Concrete Beam Schedule'!$A$2:$Q$2902,R$2,0)&lt;&gt;B2525,VLOOKUP($A2525,'Concrete Beam Schedule'!$A$2:$Q$2902,R$2,0),"")</f>
        <v>#N/A</v>
      </c>
      <c r="S2525" s="7" t="e">
        <f>IF(VLOOKUP($A2525,'Concrete Beam Schedule'!$A$2:$Q$2902,S$2,0)&lt;&gt;C2525,VLOOKUP($A2525,'Concrete Beam Schedule'!$A$2:$Q$2902,S$2,0),"")</f>
        <v>#N/A</v>
      </c>
      <c r="T2525" s="7" t="e">
        <f>IF(VLOOKUP($A2525,'Concrete Beam Schedule'!$A$2:$Q$2902,T$2,0)&lt;&gt;D2525,"Beam Revised","")</f>
        <v>#N/A</v>
      </c>
      <c r="U2525" s="7" t="e">
        <f>IF(VLOOKUP($A2525,'Concrete Beam Schedule'!$A$2:$Q$2902,U$2,0)&lt;&gt;E2525,"Beam Revised","")</f>
        <v>#N/A</v>
      </c>
      <c r="V2525" s="7" t="e">
        <f>IF(VLOOKUP($A2525,'Concrete Beam Schedule'!$A$2:$Q$2902,V$2,0)&lt;&gt;F2525,"Beam Revised","")</f>
        <v>#N/A</v>
      </c>
      <c r="W2525" s="7" t="e">
        <f>IF(VLOOKUP($A2525,'Concrete Beam Schedule'!$A$2:$Q$2902,W$2,0)&lt;&gt;G2525,"Beam Revised","")</f>
        <v>#N/A</v>
      </c>
      <c r="X2525" s="7" t="e">
        <f>IF(VLOOKUP($A2525,'Concrete Beam Schedule'!$A$2:$Q$2902,X$2,0)&lt;&gt;H2525,"Beam Revised","")</f>
        <v>#N/A</v>
      </c>
      <c r="Y2525" s="7" t="e">
        <f>IF(VLOOKUP($A2525,'Concrete Beam Schedule'!$A$2:$Q$2902,Y$2,0)&lt;&gt;I2525,"Beam Revised","")</f>
        <v>#N/A</v>
      </c>
      <c r="Z2525" s="7" t="e">
        <f>IF(VLOOKUP($A2525,'Concrete Beam Schedule'!$A$2:$Q$2902,Z$2,0)&lt;&gt;J2525,"Beam Revised","")</f>
        <v>#N/A</v>
      </c>
      <c r="AA2525" s="7" t="e">
        <f>IF(VLOOKUP($A2525,'Concrete Beam Schedule'!$A$2:$Q$2902,AA$2,0)&lt;&gt;K2525,"Beam Revised","")</f>
        <v>#N/A</v>
      </c>
      <c r="AB2525" s="7" t="e">
        <f>IF(VLOOKUP($A2525,'Concrete Beam Schedule'!$A$2:$Q$2902,AB$2,0)&lt;&gt;L2525,"Beam Revised","")</f>
        <v>#N/A</v>
      </c>
      <c r="AC2525" s="7" t="e">
        <f>IF(VLOOKUP($A2525,'Concrete Beam Schedule'!$A$2:$Q$2902,AC$2,0)&lt;&gt;M2525,"Beam Revised","")</f>
        <v>#N/A</v>
      </c>
      <c r="AD2525" s="7" t="e">
        <f>IF(VLOOKUP($A2525,'Concrete Beam Schedule'!$A$2:$Q$2902,AD$2,0)&lt;&gt;N2525,"Beam Revised","")</f>
        <v>#N/A</v>
      </c>
      <c r="AE2525" s="7" t="e">
        <f>IF(VLOOKUP($A2525,'Concrete Beam Schedule'!$A$2:$Q$2902,AE$2,0)&lt;&gt;O2525,"Beam Revised","")</f>
        <v>#N/A</v>
      </c>
    </row>
    <row r="2526" spans="17:31" ht="20.100000000000001" customHeight="1" x14ac:dyDescent="0.25">
      <c r="Q2526" s="7">
        <f t="shared" si="39"/>
        <v>0</v>
      </c>
      <c r="R2526" s="7" t="e">
        <f>IF(VLOOKUP($A2526,'Concrete Beam Schedule'!$A$2:$Q$2902,R$2,0)&lt;&gt;B2526,VLOOKUP($A2526,'Concrete Beam Schedule'!$A$2:$Q$2902,R$2,0),"")</f>
        <v>#N/A</v>
      </c>
      <c r="S2526" s="7" t="e">
        <f>IF(VLOOKUP($A2526,'Concrete Beam Schedule'!$A$2:$Q$2902,S$2,0)&lt;&gt;C2526,VLOOKUP($A2526,'Concrete Beam Schedule'!$A$2:$Q$2902,S$2,0),"")</f>
        <v>#N/A</v>
      </c>
      <c r="T2526" s="7" t="e">
        <f>IF(VLOOKUP($A2526,'Concrete Beam Schedule'!$A$2:$Q$2902,T$2,0)&lt;&gt;D2526,"Beam Revised","")</f>
        <v>#N/A</v>
      </c>
      <c r="U2526" s="7" t="e">
        <f>IF(VLOOKUP($A2526,'Concrete Beam Schedule'!$A$2:$Q$2902,U$2,0)&lt;&gt;E2526,"Beam Revised","")</f>
        <v>#N/A</v>
      </c>
      <c r="V2526" s="7" t="e">
        <f>IF(VLOOKUP($A2526,'Concrete Beam Schedule'!$A$2:$Q$2902,V$2,0)&lt;&gt;F2526,"Beam Revised","")</f>
        <v>#N/A</v>
      </c>
      <c r="W2526" s="7" t="e">
        <f>IF(VLOOKUP($A2526,'Concrete Beam Schedule'!$A$2:$Q$2902,W$2,0)&lt;&gt;G2526,"Beam Revised","")</f>
        <v>#N/A</v>
      </c>
      <c r="X2526" s="7" t="e">
        <f>IF(VLOOKUP($A2526,'Concrete Beam Schedule'!$A$2:$Q$2902,X$2,0)&lt;&gt;H2526,"Beam Revised","")</f>
        <v>#N/A</v>
      </c>
      <c r="Y2526" s="7" t="e">
        <f>IF(VLOOKUP($A2526,'Concrete Beam Schedule'!$A$2:$Q$2902,Y$2,0)&lt;&gt;I2526,"Beam Revised","")</f>
        <v>#N/A</v>
      </c>
      <c r="Z2526" s="7" t="e">
        <f>IF(VLOOKUP($A2526,'Concrete Beam Schedule'!$A$2:$Q$2902,Z$2,0)&lt;&gt;J2526,"Beam Revised","")</f>
        <v>#N/A</v>
      </c>
      <c r="AA2526" s="7" t="e">
        <f>IF(VLOOKUP($A2526,'Concrete Beam Schedule'!$A$2:$Q$2902,AA$2,0)&lt;&gt;K2526,"Beam Revised","")</f>
        <v>#N/A</v>
      </c>
      <c r="AB2526" s="7" t="e">
        <f>IF(VLOOKUP($A2526,'Concrete Beam Schedule'!$A$2:$Q$2902,AB$2,0)&lt;&gt;L2526,"Beam Revised","")</f>
        <v>#N/A</v>
      </c>
      <c r="AC2526" s="7" t="e">
        <f>IF(VLOOKUP($A2526,'Concrete Beam Schedule'!$A$2:$Q$2902,AC$2,0)&lt;&gt;M2526,"Beam Revised","")</f>
        <v>#N/A</v>
      </c>
      <c r="AD2526" s="7" t="e">
        <f>IF(VLOOKUP($A2526,'Concrete Beam Schedule'!$A$2:$Q$2902,AD$2,0)&lt;&gt;N2526,"Beam Revised","")</f>
        <v>#N/A</v>
      </c>
      <c r="AE2526" s="7" t="e">
        <f>IF(VLOOKUP($A2526,'Concrete Beam Schedule'!$A$2:$Q$2902,AE$2,0)&lt;&gt;O2526,"Beam Revised","")</f>
        <v>#N/A</v>
      </c>
    </row>
    <row r="2527" spans="17:31" ht="20.100000000000001" customHeight="1" x14ac:dyDescent="0.25">
      <c r="Q2527" s="7">
        <f t="shared" si="39"/>
        <v>0</v>
      </c>
      <c r="R2527" s="7" t="e">
        <f>IF(VLOOKUP($A2527,'Concrete Beam Schedule'!$A$2:$Q$2902,R$2,0)&lt;&gt;B2527,VLOOKUP($A2527,'Concrete Beam Schedule'!$A$2:$Q$2902,R$2,0),"")</f>
        <v>#N/A</v>
      </c>
      <c r="S2527" s="7" t="e">
        <f>IF(VLOOKUP($A2527,'Concrete Beam Schedule'!$A$2:$Q$2902,S$2,0)&lt;&gt;C2527,VLOOKUP($A2527,'Concrete Beam Schedule'!$A$2:$Q$2902,S$2,0),"")</f>
        <v>#N/A</v>
      </c>
      <c r="T2527" s="7" t="e">
        <f>IF(VLOOKUP($A2527,'Concrete Beam Schedule'!$A$2:$Q$2902,T$2,0)&lt;&gt;D2527,"Beam Revised","")</f>
        <v>#N/A</v>
      </c>
      <c r="U2527" s="7" t="e">
        <f>IF(VLOOKUP($A2527,'Concrete Beam Schedule'!$A$2:$Q$2902,U$2,0)&lt;&gt;E2527,"Beam Revised","")</f>
        <v>#N/A</v>
      </c>
      <c r="V2527" s="7" t="e">
        <f>IF(VLOOKUP($A2527,'Concrete Beam Schedule'!$A$2:$Q$2902,V$2,0)&lt;&gt;F2527,"Beam Revised","")</f>
        <v>#N/A</v>
      </c>
      <c r="W2527" s="7" t="e">
        <f>IF(VLOOKUP($A2527,'Concrete Beam Schedule'!$A$2:$Q$2902,W$2,0)&lt;&gt;G2527,"Beam Revised","")</f>
        <v>#N/A</v>
      </c>
      <c r="X2527" s="7" t="e">
        <f>IF(VLOOKUP($A2527,'Concrete Beam Schedule'!$A$2:$Q$2902,X$2,0)&lt;&gt;H2527,"Beam Revised","")</f>
        <v>#N/A</v>
      </c>
      <c r="Y2527" s="7" t="e">
        <f>IF(VLOOKUP($A2527,'Concrete Beam Schedule'!$A$2:$Q$2902,Y$2,0)&lt;&gt;I2527,"Beam Revised","")</f>
        <v>#N/A</v>
      </c>
      <c r="Z2527" s="7" t="e">
        <f>IF(VLOOKUP($A2527,'Concrete Beam Schedule'!$A$2:$Q$2902,Z$2,0)&lt;&gt;J2527,"Beam Revised","")</f>
        <v>#N/A</v>
      </c>
      <c r="AA2527" s="7" t="e">
        <f>IF(VLOOKUP($A2527,'Concrete Beam Schedule'!$A$2:$Q$2902,AA$2,0)&lt;&gt;K2527,"Beam Revised","")</f>
        <v>#N/A</v>
      </c>
      <c r="AB2527" s="7" t="e">
        <f>IF(VLOOKUP($A2527,'Concrete Beam Schedule'!$A$2:$Q$2902,AB$2,0)&lt;&gt;L2527,"Beam Revised","")</f>
        <v>#N/A</v>
      </c>
      <c r="AC2527" s="7" t="e">
        <f>IF(VLOOKUP($A2527,'Concrete Beam Schedule'!$A$2:$Q$2902,AC$2,0)&lt;&gt;M2527,"Beam Revised","")</f>
        <v>#N/A</v>
      </c>
      <c r="AD2527" s="7" t="e">
        <f>IF(VLOOKUP($A2527,'Concrete Beam Schedule'!$A$2:$Q$2902,AD$2,0)&lt;&gt;N2527,"Beam Revised","")</f>
        <v>#N/A</v>
      </c>
      <c r="AE2527" s="7" t="e">
        <f>IF(VLOOKUP($A2527,'Concrete Beam Schedule'!$A$2:$Q$2902,AE$2,0)&lt;&gt;O2527,"Beam Revised","")</f>
        <v>#N/A</v>
      </c>
    </row>
    <row r="2528" spans="17:31" ht="20.100000000000001" customHeight="1" x14ac:dyDescent="0.25">
      <c r="Q2528" s="7">
        <f t="shared" si="39"/>
        <v>0</v>
      </c>
      <c r="R2528" s="7" t="e">
        <f>IF(VLOOKUP($A2528,'Concrete Beam Schedule'!$A$2:$Q$2902,R$2,0)&lt;&gt;B2528,VLOOKUP($A2528,'Concrete Beam Schedule'!$A$2:$Q$2902,R$2,0),"")</f>
        <v>#N/A</v>
      </c>
      <c r="S2528" s="7" t="e">
        <f>IF(VLOOKUP($A2528,'Concrete Beam Schedule'!$A$2:$Q$2902,S$2,0)&lt;&gt;C2528,VLOOKUP($A2528,'Concrete Beam Schedule'!$A$2:$Q$2902,S$2,0),"")</f>
        <v>#N/A</v>
      </c>
      <c r="T2528" s="7" t="e">
        <f>IF(VLOOKUP($A2528,'Concrete Beam Schedule'!$A$2:$Q$2902,T$2,0)&lt;&gt;D2528,"Beam Revised","")</f>
        <v>#N/A</v>
      </c>
      <c r="U2528" s="7" t="e">
        <f>IF(VLOOKUP($A2528,'Concrete Beam Schedule'!$A$2:$Q$2902,U$2,0)&lt;&gt;E2528,"Beam Revised","")</f>
        <v>#N/A</v>
      </c>
      <c r="V2528" s="7" t="e">
        <f>IF(VLOOKUP($A2528,'Concrete Beam Schedule'!$A$2:$Q$2902,V$2,0)&lt;&gt;F2528,"Beam Revised","")</f>
        <v>#N/A</v>
      </c>
      <c r="W2528" s="7" t="e">
        <f>IF(VLOOKUP($A2528,'Concrete Beam Schedule'!$A$2:$Q$2902,W$2,0)&lt;&gt;G2528,"Beam Revised","")</f>
        <v>#N/A</v>
      </c>
      <c r="X2528" s="7" t="e">
        <f>IF(VLOOKUP($A2528,'Concrete Beam Schedule'!$A$2:$Q$2902,X$2,0)&lt;&gt;H2528,"Beam Revised","")</f>
        <v>#N/A</v>
      </c>
      <c r="Y2528" s="7" t="e">
        <f>IF(VLOOKUP($A2528,'Concrete Beam Schedule'!$A$2:$Q$2902,Y$2,0)&lt;&gt;I2528,"Beam Revised","")</f>
        <v>#N/A</v>
      </c>
      <c r="Z2528" s="7" t="e">
        <f>IF(VLOOKUP($A2528,'Concrete Beam Schedule'!$A$2:$Q$2902,Z$2,0)&lt;&gt;J2528,"Beam Revised","")</f>
        <v>#N/A</v>
      </c>
      <c r="AA2528" s="7" t="e">
        <f>IF(VLOOKUP($A2528,'Concrete Beam Schedule'!$A$2:$Q$2902,AA$2,0)&lt;&gt;K2528,"Beam Revised","")</f>
        <v>#N/A</v>
      </c>
      <c r="AB2528" s="7" t="e">
        <f>IF(VLOOKUP($A2528,'Concrete Beam Schedule'!$A$2:$Q$2902,AB$2,0)&lt;&gt;L2528,"Beam Revised","")</f>
        <v>#N/A</v>
      </c>
      <c r="AC2528" s="7" t="e">
        <f>IF(VLOOKUP($A2528,'Concrete Beam Schedule'!$A$2:$Q$2902,AC$2,0)&lt;&gt;M2528,"Beam Revised","")</f>
        <v>#N/A</v>
      </c>
      <c r="AD2528" s="7" t="e">
        <f>IF(VLOOKUP($A2528,'Concrete Beam Schedule'!$A$2:$Q$2902,AD$2,0)&lt;&gt;N2528,"Beam Revised","")</f>
        <v>#N/A</v>
      </c>
      <c r="AE2528" s="7" t="e">
        <f>IF(VLOOKUP($A2528,'Concrete Beam Schedule'!$A$2:$Q$2902,AE$2,0)&lt;&gt;O2528,"Beam Revised","")</f>
        <v>#N/A</v>
      </c>
    </row>
    <row r="2529" spans="17:31" ht="20.100000000000001" customHeight="1" x14ac:dyDescent="0.25">
      <c r="Q2529" s="7">
        <f t="shared" si="39"/>
        <v>0</v>
      </c>
      <c r="R2529" s="7" t="e">
        <f>IF(VLOOKUP($A2529,'Concrete Beam Schedule'!$A$2:$Q$2902,R$2,0)&lt;&gt;B2529,VLOOKUP($A2529,'Concrete Beam Schedule'!$A$2:$Q$2902,R$2,0),"")</f>
        <v>#N/A</v>
      </c>
      <c r="S2529" s="7" t="e">
        <f>IF(VLOOKUP($A2529,'Concrete Beam Schedule'!$A$2:$Q$2902,S$2,0)&lt;&gt;C2529,VLOOKUP($A2529,'Concrete Beam Schedule'!$A$2:$Q$2902,S$2,0),"")</f>
        <v>#N/A</v>
      </c>
      <c r="T2529" s="7" t="e">
        <f>IF(VLOOKUP($A2529,'Concrete Beam Schedule'!$A$2:$Q$2902,T$2,0)&lt;&gt;D2529,"Beam Revised","")</f>
        <v>#N/A</v>
      </c>
      <c r="U2529" s="7" t="e">
        <f>IF(VLOOKUP($A2529,'Concrete Beam Schedule'!$A$2:$Q$2902,U$2,0)&lt;&gt;E2529,"Beam Revised","")</f>
        <v>#N/A</v>
      </c>
      <c r="V2529" s="7" t="e">
        <f>IF(VLOOKUP($A2529,'Concrete Beam Schedule'!$A$2:$Q$2902,V$2,0)&lt;&gt;F2529,"Beam Revised","")</f>
        <v>#N/A</v>
      </c>
      <c r="W2529" s="7" t="e">
        <f>IF(VLOOKUP($A2529,'Concrete Beam Schedule'!$A$2:$Q$2902,W$2,0)&lt;&gt;G2529,"Beam Revised","")</f>
        <v>#N/A</v>
      </c>
      <c r="X2529" s="7" t="e">
        <f>IF(VLOOKUP($A2529,'Concrete Beam Schedule'!$A$2:$Q$2902,X$2,0)&lt;&gt;H2529,"Beam Revised","")</f>
        <v>#N/A</v>
      </c>
      <c r="Y2529" s="7" t="e">
        <f>IF(VLOOKUP($A2529,'Concrete Beam Schedule'!$A$2:$Q$2902,Y$2,0)&lt;&gt;I2529,"Beam Revised","")</f>
        <v>#N/A</v>
      </c>
      <c r="Z2529" s="7" t="e">
        <f>IF(VLOOKUP($A2529,'Concrete Beam Schedule'!$A$2:$Q$2902,Z$2,0)&lt;&gt;J2529,"Beam Revised","")</f>
        <v>#N/A</v>
      </c>
      <c r="AA2529" s="7" t="e">
        <f>IF(VLOOKUP($A2529,'Concrete Beam Schedule'!$A$2:$Q$2902,AA$2,0)&lt;&gt;K2529,"Beam Revised","")</f>
        <v>#N/A</v>
      </c>
      <c r="AB2529" s="7" t="e">
        <f>IF(VLOOKUP($A2529,'Concrete Beam Schedule'!$A$2:$Q$2902,AB$2,0)&lt;&gt;L2529,"Beam Revised","")</f>
        <v>#N/A</v>
      </c>
      <c r="AC2529" s="7" t="e">
        <f>IF(VLOOKUP($A2529,'Concrete Beam Schedule'!$A$2:$Q$2902,AC$2,0)&lt;&gt;M2529,"Beam Revised","")</f>
        <v>#N/A</v>
      </c>
      <c r="AD2529" s="7" t="e">
        <f>IF(VLOOKUP($A2529,'Concrete Beam Schedule'!$A$2:$Q$2902,AD$2,0)&lt;&gt;N2529,"Beam Revised","")</f>
        <v>#N/A</v>
      </c>
      <c r="AE2529" s="7" t="e">
        <f>IF(VLOOKUP($A2529,'Concrete Beam Schedule'!$A$2:$Q$2902,AE$2,0)&lt;&gt;O2529,"Beam Revised","")</f>
        <v>#N/A</v>
      </c>
    </row>
    <row r="2530" spans="17:31" ht="20.100000000000001" customHeight="1" x14ac:dyDescent="0.25">
      <c r="Q2530" s="7">
        <f t="shared" si="39"/>
        <v>0</v>
      </c>
      <c r="R2530" s="7" t="e">
        <f>IF(VLOOKUP($A2530,'Concrete Beam Schedule'!$A$2:$Q$2902,R$2,0)&lt;&gt;B2530,VLOOKUP($A2530,'Concrete Beam Schedule'!$A$2:$Q$2902,R$2,0),"")</f>
        <v>#N/A</v>
      </c>
      <c r="S2530" s="7" t="e">
        <f>IF(VLOOKUP($A2530,'Concrete Beam Schedule'!$A$2:$Q$2902,S$2,0)&lt;&gt;C2530,VLOOKUP($A2530,'Concrete Beam Schedule'!$A$2:$Q$2902,S$2,0),"")</f>
        <v>#N/A</v>
      </c>
      <c r="T2530" s="7" t="e">
        <f>IF(VLOOKUP($A2530,'Concrete Beam Schedule'!$A$2:$Q$2902,T$2,0)&lt;&gt;D2530,"Beam Revised","")</f>
        <v>#N/A</v>
      </c>
      <c r="U2530" s="7" t="e">
        <f>IF(VLOOKUP($A2530,'Concrete Beam Schedule'!$A$2:$Q$2902,U$2,0)&lt;&gt;E2530,"Beam Revised","")</f>
        <v>#N/A</v>
      </c>
      <c r="V2530" s="7" t="e">
        <f>IF(VLOOKUP($A2530,'Concrete Beam Schedule'!$A$2:$Q$2902,V$2,0)&lt;&gt;F2530,"Beam Revised","")</f>
        <v>#N/A</v>
      </c>
      <c r="W2530" s="7" t="e">
        <f>IF(VLOOKUP($A2530,'Concrete Beam Schedule'!$A$2:$Q$2902,W$2,0)&lt;&gt;G2530,"Beam Revised","")</f>
        <v>#N/A</v>
      </c>
      <c r="X2530" s="7" t="e">
        <f>IF(VLOOKUP($A2530,'Concrete Beam Schedule'!$A$2:$Q$2902,X$2,0)&lt;&gt;H2530,"Beam Revised","")</f>
        <v>#N/A</v>
      </c>
      <c r="Y2530" s="7" t="e">
        <f>IF(VLOOKUP($A2530,'Concrete Beam Schedule'!$A$2:$Q$2902,Y$2,0)&lt;&gt;I2530,"Beam Revised","")</f>
        <v>#N/A</v>
      </c>
      <c r="Z2530" s="7" t="e">
        <f>IF(VLOOKUP($A2530,'Concrete Beam Schedule'!$A$2:$Q$2902,Z$2,0)&lt;&gt;J2530,"Beam Revised","")</f>
        <v>#N/A</v>
      </c>
      <c r="AA2530" s="7" t="e">
        <f>IF(VLOOKUP($A2530,'Concrete Beam Schedule'!$A$2:$Q$2902,AA$2,0)&lt;&gt;K2530,"Beam Revised","")</f>
        <v>#N/A</v>
      </c>
      <c r="AB2530" s="7" t="e">
        <f>IF(VLOOKUP($A2530,'Concrete Beam Schedule'!$A$2:$Q$2902,AB$2,0)&lt;&gt;L2530,"Beam Revised","")</f>
        <v>#N/A</v>
      </c>
      <c r="AC2530" s="7" t="e">
        <f>IF(VLOOKUP($A2530,'Concrete Beam Schedule'!$A$2:$Q$2902,AC$2,0)&lt;&gt;M2530,"Beam Revised","")</f>
        <v>#N/A</v>
      </c>
      <c r="AD2530" s="7" t="e">
        <f>IF(VLOOKUP($A2530,'Concrete Beam Schedule'!$A$2:$Q$2902,AD$2,0)&lt;&gt;N2530,"Beam Revised","")</f>
        <v>#N/A</v>
      </c>
      <c r="AE2530" s="7" t="e">
        <f>IF(VLOOKUP($A2530,'Concrete Beam Schedule'!$A$2:$Q$2902,AE$2,0)&lt;&gt;O2530,"Beam Revised","")</f>
        <v>#N/A</v>
      </c>
    </row>
    <row r="2531" spans="17:31" ht="20.100000000000001" customHeight="1" x14ac:dyDescent="0.25">
      <c r="Q2531" s="7">
        <f t="shared" si="39"/>
        <v>0</v>
      </c>
      <c r="R2531" s="7" t="e">
        <f>IF(VLOOKUP($A2531,'Concrete Beam Schedule'!$A$2:$Q$2902,R$2,0)&lt;&gt;B2531,VLOOKUP($A2531,'Concrete Beam Schedule'!$A$2:$Q$2902,R$2,0),"")</f>
        <v>#N/A</v>
      </c>
      <c r="S2531" s="7" t="e">
        <f>IF(VLOOKUP($A2531,'Concrete Beam Schedule'!$A$2:$Q$2902,S$2,0)&lt;&gt;C2531,VLOOKUP($A2531,'Concrete Beam Schedule'!$A$2:$Q$2902,S$2,0),"")</f>
        <v>#N/A</v>
      </c>
      <c r="T2531" s="7" t="e">
        <f>IF(VLOOKUP($A2531,'Concrete Beam Schedule'!$A$2:$Q$2902,T$2,0)&lt;&gt;D2531,"Beam Revised","")</f>
        <v>#N/A</v>
      </c>
      <c r="U2531" s="7" t="e">
        <f>IF(VLOOKUP($A2531,'Concrete Beam Schedule'!$A$2:$Q$2902,U$2,0)&lt;&gt;E2531,"Beam Revised","")</f>
        <v>#N/A</v>
      </c>
      <c r="V2531" s="7" t="e">
        <f>IF(VLOOKUP($A2531,'Concrete Beam Schedule'!$A$2:$Q$2902,V$2,0)&lt;&gt;F2531,"Beam Revised","")</f>
        <v>#N/A</v>
      </c>
      <c r="W2531" s="7" t="e">
        <f>IF(VLOOKUP($A2531,'Concrete Beam Schedule'!$A$2:$Q$2902,W$2,0)&lt;&gt;G2531,"Beam Revised","")</f>
        <v>#N/A</v>
      </c>
      <c r="X2531" s="7" t="e">
        <f>IF(VLOOKUP($A2531,'Concrete Beam Schedule'!$A$2:$Q$2902,X$2,0)&lt;&gt;H2531,"Beam Revised","")</f>
        <v>#N/A</v>
      </c>
      <c r="Y2531" s="7" t="e">
        <f>IF(VLOOKUP($A2531,'Concrete Beam Schedule'!$A$2:$Q$2902,Y$2,0)&lt;&gt;I2531,"Beam Revised","")</f>
        <v>#N/A</v>
      </c>
      <c r="Z2531" s="7" t="e">
        <f>IF(VLOOKUP($A2531,'Concrete Beam Schedule'!$A$2:$Q$2902,Z$2,0)&lt;&gt;J2531,"Beam Revised","")</f>
        <v>#N/A</v>
      </c>
      <c r="AA2531" s="7" t="e">
        <f>IF(VLOOKUP($A2531,'Concrete Beam Schedule'!$A$2:$Q$2902,AA$2,0)&lt;&gt;K2531,"Beam Revised","")</f>
        <v>#N/A</v>
      </c>
      <c r="AB2531" s="7" t="e">
        <f>IF(VLOOKUP($A2531,'Concrete Beam Schedule'!$A$2:$Q$2902,AB$2,0)&lt;&gt;L2531,"Beam Revised","")</f>
        <v>#N/A</v>
      </c>
      <c r="AC2531" s="7" t="e">
        <f>IF(VLOOKUP($A2531,'Concrete Beam Schedule'!$A$2:$Q$2902,AC$2,0)&lt;&gt;M2531,"Beam Revised","")</f>
        <v>#N/A</v>
      </c>
      <c r="AD2531" s="7" t="e">
        <f>IF(VLOOKUP($A2531,'Concrete Beam Schedule'!$A$2:$Q$2902,AD$2,0)&lt;&gt;N2531,"Beam Revised","")</f>
        <v>#N/A</v>
      </c>
      <c r="AE2531" s="7" t="e">
        <f>IF(VLOOKUP($A2531,'Concrete Beam Schedule'!$A$2:$Q$2902,AE$2,0)&lt;&gt;O2531,"Beam Revised","")</f>
        <v>#N/A</v>
      </c>
    </row>
    <row r="2532" spans="17:31" ht="20.100000000000001" customHeight="1" x14ac:dyDescent="0.25">
      <c r="Q2532" s="7">
        <f t="shared" si="39"/>
        <v>0</v>
      </c>
      <c r="R2532" s="7" t="e">
        <f>IF(VLOOKUP($A2532,'Concrete Beam Schedule'!$A$2:$Q$2902,R$2,0)&lt;&gt;B2532,VLOOKUP($A2532,'Concrete Beam Schedule'!$A$2:$Q$2902,R$2,0),"")</f>
        <v>#N/A</v>
      </c>
      <c r="S2532" s="7" t="e">
        <f>IF(VLOOKUP($A2532,'Concrete Beam Schedule'!$A$2:$Q$2902,S$2,0)&lt;&gt;C2532,VLOOKUP($A2532,'Concrete Beam Schedule'!$A$2:$Q$2902,S$2,0),"")</f>
        <v>#N/A</v>
      </c>
      <c r="T2532" s="7" t="e">
        <f>IF(VLOOKUP($A2532,'Concrete Beam Schedule'!$A$2:$Q$2902,T$2,0)&lt;&gt;D2532,"Beam Revised","")</f>
        <v>#N/A</v>
      </c>
      <c r="U2532" s="7" t="e">
        <f>IF(VLOOKUP($A2532,'Concrete Beam Schedule'!$A$2:$Q$2902,U$2,0)&lt;&gt;E2532,"Beam Revised","")</f>
        <v>#N/A</v>
      </c>
      <c r="V2532" s="7" t="e">
        <f>IF(VLOOKUP($A2532,'Concrete Beam Schedule'!$A$2:$Q$2902,V$2,0)&lt;&gt;F2532,"Beam Revised","")</f>
        <v>#N/A</v>
      </c>
      <c r="W2532" s="7" t="e">
        <f>IF(VLOOKUP($A2532,'Concrete Beam Schedule'!$A$2:$Q$2902,W$2,0)&lt;&gt;G2532,"Beam Revised","")</f>
        <v>#N/A</v>
      </c>
      <c r="X2532" s="7" t="e">
        <f>IF(VLOOKUP($A2532,'Concrete Beam Schedule'!$A$2:$Q$2902,X$2,0)&lt;&gt;H2532,"Beam Revised","")</f>
        <v>#N/A</v>
      </c>
      <c r="Y2532" s="7" t="e">
        <f>IF(VLOOKUP($A2532,'Concrete Beam Schedule'!$A$2:$Q$2902,Y$2,0)&lt;&gt;I2532,"Beam Revised","")</f>
        <v>#N/A</v>
      </c>
      <c r="Z2532" s="7" t="e">
        <f>IF(VLOOKUP($A2532,'Concrete Beam Schedule'!$A$2:$Q$2902,Z$2,0)&lt;&gt;J2532,"Beam Revised","")</f>
        <v>#N/A</v>
      </c>
      <c r="AA2532" s="7" t="e">
        <f>IF(VLOOKUP($A2532,'Concrete Beam Schedule'!$A$2:$Q$2902,AA$2,0)&lt;&gt;K2532,"Beam Revised","")</f>
        <v>#N/A</v>
      </c>
      <c r="AB2532" s="7" t="e">
        <f>IF(VLOOKUP($A2532,'Concrete Beam Schedule'!$A$2:$Q$2902,AB$2,0)&lt;&gt;L2532,"Beam Revised","")</f>
        <v>#N/A</v>
      </c>
      <c r="AC2532" s="7" t="e">
        <f>IF(VLOOKUP($A2532,'Concrete Beam Schedule'!$A$2:$Q$2902,AC$2,0)&lt;&gt;M2532,"Beam Revised","")</f>
        <v>#N/A</v>
      </c>
      <c r="AD2532" s="7" t="e">
        <f>IF(VLOOKUP($A2532,'Concrete Beam Schedule'!$A$2:$Q$2902,AD$2,0)&lt;&gt;N2532,"Beam Revised","")</f>
        <v>#N/A</v>
      </c>
      <c r="AE2532" s="7" t="e">
        <f>IF(VLOOKUP($A2532,'Concrete Beam Schedule'!$A$2:$Q$2902,AE$2,0)&lt;&gt;O2532,"Beam Revised","")</f>
        <v>#N/A</v>
      </c>
    </row>
    <row r="2533" spans="17:31" ht="20.100000000000001" customHeight="1" x14ac:dyDescent="0.25">
      <c r="Q2533" s="7">
        <f t="shared" si="39"/>
        <v>0</v>
      </c>
      <c r="R2533" s="7" t="e">
        <f>IF(VLOOKUP($A2533,'Concrete Beam Schedule'!$A$2:$Q$2902,R$2,0)&lt;&gt;B2533,VLOOKUP($A2533,'Concrete Beam Schedule'!$A$2:$Q$2902,R$2,0),"")</f>
        <v>#N/A</v>
      </c>
      <c r="S2533" s="7" t="e">
        <f>IF(VLOOKUP($A2533,'Concrete Beam Schedule'!$A$2:$Q$2902,S$2,0)&lt;&gt;C2533,VLOOKUP($A2533,'Concrete Beam Schedule'!$A$2:$Q$2902,S$2,0),"")</f>
        <v>#N/A</v>
      </c>
      <c r="T2533" s="7" t="e">
        <f>IF(VLOOKUP($A2533,'Concrete Beam Schedule'!$A$2:$Q$2902,T$2,0)&lt;&gt;D2533,"Beam Revised","")</f>
        <v>#N/A</v>
      </c>
      <c r="U2533" s="7" t="e">
        <f>IF(VLOOKUP($A2533,'Concrete Beam Schedule'!$A$2:$Q$2902,U$2,0)&lt;&gt;E2533,"Beam Revised","")</f>
        <v>#N/A</v>
      </c>
      <c r="V2533" s="7" t="e">
        <f>IF(VLOOKUP($A2533,'Concrete Beam Schedule'!$A$2:$Q$2902,V$2,0)&lt;&gt;F2533,"Beam Revised","")</f>
        <v>#N/A</v>
      </c>
      <c r="W2533" s="7" t="e">
        <f>IF(VLOOKUP($A2533,'Concrete Beam Schedule'!$A$2:$Q$2902,W$2,0)&lt;&gt;G2533,"Beam Revised","")</f>
        <v>#N/A</v>
      </c>
      <c r="X2533" s="7" t="e">
        <f>IF(VLOOKUP($A2533,'Concrete Beam Schedule'!$A$2:$Q$2902,X$2,0)&lt;&gt;H2533,"Beam Revised","")</f>
        <v>#N/A</v>
      </c>
      <c r="Y2533" s="7" t="e">
        <f>IF(VLOOKUP($A2533,'Concrete Beam Schedule'!$A$2:$Q$2902,Y$2,0)&lt;&gt;I2533,"Beam Revised","")</f>
        <v>#N/A</v>
      </c>
      <c r="Z2533" s="7" t="e">
        <f>IF(VLOOKUP($A2533,'Concrete Beam Schedule'!$A$2:$Q$2902,Z$2,0)&lt;&gt;J2533,"Beam Revised","")</f>
        <v>#N/A</v>
      </c>
      <c r="AA2533" s="7" t="e">
        <f>IF(VLOOKUP($A2533,'Concrete Beam Schedule'!$A$2:$Q$2902,AA$2,0)&lt;&gt;K2533,"Beam Revised","")</f>
        <v>#N/A</v>
      </c>
      <c r="AB2533" s="7" t="e">
        <f>IF(VLOOKUP($A2533,'Concrete Beam Schedule'!$A$2:$Q$2902,AB$2,0)&lt;&gt;L2533,"Beam Revised","")</f>
        <v>#N/A</v>
      </c>
      <c r="AC2533" s="7" t="e">
        <f>IF(VLOOKUP($A2533,'Concrete Beam Schedule'!$A$2:$Q$2902,AC$2,0)&lt;&gt;M2533,"Beam Revised","")</f>
        <v>#N/A</v>
      </c>
      <c r="AD2533" s="7" t="e">
        <f>IF(VLOOKUP($A2533,'Concrete Beam Schedule'!$A$2:$Q$2902,AD$2,0)&lt;&gt;N2533,"Beam Revised","")</f>
        <v>#N/A</v>
      </c>
      <c r="AE2533" s="7" t="e">
        <f>IF(VLOOKUP($A2533,'Concrete Beam Schedule'!$A$2:$Q$2902,AE$2,0)&lt;&gt;O2533,"Beam Revised","")</f>
        <v>#N/A</v>
      </c>
    </row>
    <row r="2534" spans="17:31" ht="20.100000000000001" customHeight="1" x14ac:dyDescent="0.25">
      <c r="Q2534" s="7">
        <f t="shared" si="39"/>
        <v>0</v>
      </c>
      <c r="R2534" s="7" t="e">
        <f>IF(VLOOKUP($A2534,'Concrete Beam Schedule'!$A$2:$Q$2902,R$2,0)&lt;&gt;B2534,VLOOKUP($A2534,'Concrete Beam Schedule'!$A$2:$Q$2902,R$2,0),"")</f>
        <v>#N/A</v>
      </c>
      <c r="S2534" s="7" t="e">
        <f>IF(VLOOKUP($A2534,'Concrete Beam Schedule'!$A$2:$Q$2902,S$2,0)&lt;&gt;C2534,VLOOKUP($A2534,'Concrete Beam Schedule'!$A$2:$Q$2902,S$2,0),"")</f>
        <v>#N/A</v>
      </c>
      <c r="T2534" s="7" t="e">
        <f>IF(VLOOKUP($A2534,'Concrete Beam Schedule'!$A$2:$Q$2902,T$2,0)&lt;&gt;D2534,"Beam Revised","")</f>
        <v>#N/A</v>
      </c>
      <c r="U2534" s="7" t="e">
        <f>IF(VLOOKUP($A2534,'Concrete Beam Schedule'!$A$2:$Q$2902,U$2,0)&lt;&gt;E2534,"Beam Revised","")</f>
        <v>#N/A</v>
      </c>
      <c r="V2534" s="7" t="e">
        <f>IF(VLOOKUP($A2534,'Concrete Beam Schedule'!$A$2:$Q$2902,V$2,0)&lt;&gt;F2534,"Beam Revised","")</f>
        <v>#N/A</v>
      </c>
      <c r="W2534" s="7" t="e">
        <f>IF(VLOOKUP($A2534,'Concrete Beam Schedule'!$A$2:$Q$2902,W$2,0)&lt;&gt;G2534,"Beam Revised","")</f>
        <v>#N/A</v>
      </c>
      <c r="X2534" s="7" t="e">
        <f>IF(VLOOKUP($A2534,'Concrete Beam Schedule'!$A$2:$Q$2902,X$2,0)&lt;&gt;H2534,"Beam Revised","")</f>
        <v>#N/A</v>
      </c>
      <c r="Y2534" s="7" t="e">
        <f>IF(VLOOKUP($A2534,'Concrete Beam Schedule'!$A$2:$Q$2902,Y$2,0)&lt;&gt;I2534,"Beam Revised","")</f>
        <v>#N/A</v>
      </c>
      <c r="Z2534" s="7" t="e">
        <f>IF(VLOOKUP($A2534,'Concrete Beam Schedule'!$A$2:$Q$2902,Z$2,0)&lt;&gt;J2534,"Beam Revised","")</f>
        <v>#N/A</v>
      </c>
      <c r="AA2534" s="7" t="e">
        <f>IF(VLOOKUP($A2534,'Concrete Beam Schedule'!$A$2:$Q$2902,AA$2,0)&lt;&gt;K2534,"Beam Revised","")</f>
        <v>#N/A</v>
      </c>
      <c r="AB2534" s="7" t="e">
        <f>IF(VLOOKUP($A2534,'Concrete Beam Schedule'!$A$2:$Q$2902,AB$2,0)&lt;&gt;L2534,"Beam Revised","")</f>
        <v>#N/A</v>
      </c>
      <c r="AC2534" s="7" t="e">
        <f>IF(VLOOKUP($A2534,'Concrete Beam Schedule'!$A$2:$Q$2902,AC$2,0)&lt;&gt;M2534,"Beam Revised","")</f>
        <v>#N/A</v>
      </c>
      <c r="AD2534" s="7" t="e">
        <f>IF(VLOOKUP($A2534,'Concrete Beam Schedule'!$A$2:$Q$2902,AD$2,0)&lt;&gt;N2534,"Beam Revised","")</f>
        <v>#N/A</v>
      </c>
      <c r="AE2534" s="7" t="e">
        <f>IF(VLOOKUP($A2534,'Concrete Beam Schedule'!$A$2:$Q$2902,AE$2,0)&lt;&gt;O2534,"Beam Revised","")</f>
        <v>#N/A</v>
      </c>
    </row>
    <row r="2535" spans="17:31" ht="20.100000000000001" customHeight="1" x14ac:dyDescent="0.25">
      <c r="Q2535" s="7">
        <f t="shared" si="39"/>
        <v>0</v>
      </c>
      <c r="R2535" s="7" t="e">
        <f>IF(VLOOKUP($A2535,'Concrete Beam Schedule'!$A$2:$Q$2902,R$2,0)&lt;&gt;B2535,VLOOKUP($A2535,'Concrete Beam Schedule'!$A$2:$Q$2902,R$2,0),"")</f>
        <v>#N/A</v>
      </c>
      <c r="S2535" s="7" t="e">
        <f>IF(VLOOKUP($A2535,'Concrete Beam Schedule'!$A$2:$Q$2902,S$2,0)&lt;&gt;C2535,VLOOKUP($A2535,'Concrete Beam Schedule'!$A$2:$Q$2902,S$2,0),"")</f>
        <v>#N/A</v>
      </c>
      <c r="T2535" s="7" t="e">
        <f>IF(VLOOKUP($A2535,'Concrete Beam Schedule'!$A$2:$Q$2902,T$2,0)&lt;&gt;D2535,"Beam Revised","")</f>
        <v>#N/A</v>
      </c>
      <c r="U2535" s="7" t="e">
        <f>IF(VLOOKUP($A2535,'Concrete Beam Schedule'!$A$2:$Q$2902,U$2,0)&lt;&gt;E2535,"Beam Revised","")</f>
        <v>#N/A</v>
      </c>
      <c r="V2535" s="7" t="e">
        <f>IF(VLOOKUP($A2535,'Concrete Beam Schedule'!$A$2:$Q$2902,V$2,0)&lt;&gt;F2535,"Beam Revised","")</f>
        <v>#N/A</v>
      </c>
      <c r="W2535" s="7" t="e">
        <f>IF(VLOOKUP($A2535,'Concrete Beam Schedule'!$A$2:$Q$2902,W$2,0)&lt;&gt;G2535,"Beam Revised","")</f>
        <v>#N/A</v>
      </c>
      <c r="X2535" s="7" t="e">
        <f>IF(VLOOKUP($A2535,'Concrete Beam Schedule'!$A$2:$Q$2902,X$2,0)&lt;&gt;H2535,"Beam Revised","")</f>
        <v>#N/A</v>
      </c>
      <c r="Y2535" s="7" t="e">
        <f>IF(VLOOKUP($A2535,'Concrete Beam Schedule'!$A$2:$Q$2902,Y$2,0)&lt;&gt;I2535,"Beam Revised","")</f>
        <v>#N/A</v>
      </c>
      <c r="Z2535" s="7" t="e">
        <f>IF(VLOOKUP($A2535,'Concrete Beam Schedule'!$A$2:$Q$2902,Z$2,0)&lt;&gt;J2535,"Beam Revised","")</f>
        <v>#N/A</v>
      </c>
      <c r="AA2535" s="7" t="e">
        <f>IF(VLOOKUP($A2535,'Concrete Beam Schedule'!$A$2:$Q$2902,AA$2,0)&lt;&gt;K2535,"Beam Revised","")</f>
        <v>#N/A</v>
      </c>
      <c r="AB2535" s="7" t="e">
        <f>IF(VLOOKUP($A2535,'Concrete Beam Schedule'!$A$2:$Q$2902,AB$2,0)&lt;&gt;L2535,"Beam Revised","")</f>
        <v>#N/A</v>
      </c>
      <c r="AC2535" s="7" t="e">
        <f>IF(VLOOKUP($A2535,'Concrete Beam Schedule'!$A$2:$Q$2902,AC$2,0)&lt;&gt;M2535,"Beam Revised","")</f>
        <v>#N/A</v>
      </c>
      <c r="AD2535" s="7" t="e">
        <f>IF(VLOOKUP($A2535,'Concrete Beam Schedule'!$A$2:$Q$2902,AD$2,0)&lt;&gt;N2535,"Beam Revised","")</f>
        <v>#N/A</v>
      </c>
      <c r="AE2535" s="7" t="e">
        <f>IF(VLOOKUP($A2535,'Concrete Beam Schedule'!$A$2:$Q$2902,AE$2,0)&lt;&gt;O2535,"Beam Revised","")</f>
        <v>#N/A</v>
      </c>
    </row>
    <row r="2536" spans="17:31" ht="20.100000000000001" customHeight="1" x14ac:dyDescent="0.25">
      <c r="Q2536" s="7">
        <f t="shared" si="39"/>
        <v>0</v>
      </c>
      <c r="R2536" s="7" t="e">
        <f>IF(VLOOKUP($A2536,'Concrete Beam Schedule'!$A$2:$Q$2902,R$2,0)&lt;&gt;B2536,VLOOKUP($A2536,'Concrete Beam Schedule'!$A$2:$Q$2902,R$2,0),"")</f>
        <v>#N/A</v>
      </c>
      <c r="S2536" s="7" t="e">
        <f>IF(VLOOKUP($A2536,'Concrete Beam Schedule'!$A$2:$Q$2902,S$2,0)&lt;&gt;C2536,VLOOKUP($A2536,'Concrete Beam Schedule'!$A$2:$Q$2902,S$2,0),"")</f>
        <v>#N/A</v>
      </c>
      <c r="T2536" s="7" t="e">
        <f>IF(VLOOKUP($A2536,'Concrete Beam Schedule'!$A$2:$Q$2902,T$2,0)&lt;&gt;D2536,"Beam Revised","")</f>
        <v>#N/A</v>
      </c>
      <c r="U2536" s="7" t="e">
        <f>IF(VLOOKUP($A2536,'Concrete Beam Schedule'!$A$2:$Q$2902,U$2,0)&lt;&gt;E2536,"Beam Revised","")</f>
        <v>#N/A</v>
      </c>
      <c r="V2536" s="7" t="e">
        <f>IF(VLOOKUP($A2536,'Concrete Beam Schedule'!$A$2:$Q$2902,V$2,0)&lt;&gt;F2536,"Beam Revised","")</f>
        <v>#N/A</v>
      </c>
      <c r="W2536" s="7" t="e">
        <f>IF(VLOOKUP($A2536,'Concrete Beam Schedule'!$A$2:$Q$2902,W$2,0)&lt;&gt;G2536,"Beam Revised","")</f>
        <v>#N/A</v>
      </c>
      <c r="X2536" s="7" t="e">
        <f>IF(VLOOKUP($A2536,'Concrete Beam Schedule'!$A$2:$Q$2902,X$2,0)&lt;&gt;H2536,"Beam Revised","")</f>
        <v>#N/A</v>
      </c>
      <c r="Y2536" s="7" t="e">
        <f>IF(VLOOKUP($A2536,'Concrete Beam Schedule'!$A$2:$Q$2902,Y$2,0)&lt;&gt;I2536,"Beam Revised","")</f>
        <v>#N/A</v>
      </c>
      <c r="Z2536" s="7" t="e">
        <f>IF(VLOOKUP($A2536,'Concrete Beam Schedule'!$A$2:$Q$2902,Z$2,0)&lt;&gt;J2536,"Beam Revised","")</f>
        <v>#N/A</v>
      </c>
      <c r="AA2536" s="7" t="e">
        <f>IF(VLOOKUP($A2536,'Concrete Beam Schedule'!$A$2:$Q$2902,AA$2,0)&lt;&gt;K2536,"Beam Revised","")</f>
        <v>#N/A</v>
      </c>
      <c r="AB2536" s="7" t="e">
        <f>IF(VLOOKUP($A2536,'Concrete Beam Schedule'!$A$2:$Q$2902,AB$2,0)&lt;&gt;L2536,"Beam Revised","")</f>
        <v>#N/A</v>
      </c>
      <c r="AC2536" s="7" t="e">
        <f>IF(VLOOKUP($A2536,'Concrete Beam Schedule'!$A$2:$Q$2902,AC$2,0)&lt;&gt;M2536,"Beam Revised","")</f>
        <v>#N/A</v>
      </c>
      <c r="AD2536" s="7" t="e">
        <f>IF(VLOOKUP($A2536,'Concrete Beam Schedule'!$A$2:$Q$2902,AD$2,0)&lt;&gt;N2536,"Beam Revised","")</f>
        <v>#N/A</v>
      </c>
      <c r="AE2536" s="7" t="e">
        <f>IF(VLOOKUP($A2536,'Concrete Beam Schedule'!$A$2:$Q$2902,AE$2,0)&lt;&gt;O2536,"Beam Revised","")</f>
        <v>#N/A</v>
      </c>
    </row>
    <row r="2537" spans="17:31" ht="20.100000000000001" customHeight="1" x14ac:dyDescent="0.25">
      <c r="Q2537" s="7">
        <f t="shared" si="39"/>
        <v>0</v>
      </c>
      <c r="R2537" s="7" t="e">
        <f>IF(VLOOKUP($A2537,'Concrete Beam Schedule'!$A$2:$Q$2902,R$2,0)&lt;&gt;B2537,VLOOKUP($A2537,'Concrete Beam Schedule'!$A$2:$Q$2902,R$2,0),"")</f>
        <v>#N/A</v>
      </c>
      <c r="S2537" s="7" t="e">
        <f>IF(VLOOKUP($A2537,'Concrete Beam Schedule'!$A$2:$Q$2902,S$2,0)&lt;&gt;C2537,VLOOKUP($A2537,'Concrete Beam Schedule'!$A$2:$Q$2902,S$2,0),"")</f>
        <v>#N/A</v>
      </c>
      <c r="T2537" s="7" t="e">
        <f>IF(VLOOKUP($A2537,'Concrete Beam Schedule'!$A$2:$Q$2902,T$2,0)&lt;&gt;D2537,"Beam Revised","")</f>
        <v>#N/A</v>
      </c>
      <c r="U2537" s="7" t="e">
        <f>IF(VLOOKUP($A2537,'Concrete Beam Schedule'!$A$2:$Q$2902,U$2,0)&lt;&gt;E2537,"Beam Revised","")</f>
        <v>#N/A</v>
      </c>
      <c r="V2537" s="7" t="e">
        <f>IF(VLOOKUP($A2537,'Concrete Beam Schedule'!$A$2:$Q$2902,V$2,0)&lt;&gt;F2537,"Beam Revised","")</f>
        <v>#N/A</v>
      </c>
      <c r="W2537" s="7" t="e">
        <f>IF(VLOOKUP($A2537,'Concrete Beam Schedule'!$A$2:$Q$2902,W$2,0)&lt;&gt;G2537,"Beam Revised","")</f>
        <v>#N/A</v>
      </c>
      <c r="X2537" s="7" t="e">
        <f>IF(VLOOKUP($A2537,'Concrete Beam Schedule'!$A$2:$Q$2902,X$2,0)&lt;&gt;H2537,"Beam Revised","")</f>
        <v>#N/A</v>
      </c>
      <c r="Y2537" s="7" t="e">
        <f>IF(VLOOKUP($A2537,'Concrete Beam Schedule'!$A$2:$Q$2902,Y$2,0)&lt;&gt;I2537,"Beam Revised","")</f>
        <v>#N/A</v>
      </c>
      <c r="Z2537" s="7" t="e">
        <f>IF(VLOOKUP($A2537,'Concrete Beam Schedule'!$A$2:$Q$2902,Z$2,0)&lt;&gt;J2537,"Beam Revised","")</f>
        <v>#N/A</v>
      </c>
      <c r="AA2537" s="7" t="e">
        <f>IF(VLOOKUP($A2537,'Concrete Beam Schedule'!$A$2:$Q$2902,AA$2,0)&lt;&gt;K2537,"Beam Revised","")</f>
        <v>#N/A</v>
      </c>
      <c r="AB2537" s="7" t="e">
        <f>IF(VLOOKUP($A2537,'Concrete Beam Schedule'!$A$2:$Q$2902,AB$2,0)&lt;&gt;L2537,"Beam Revised","")</f>
        <v>#N/A</v>
      </c>
      <c r="AC2537" s="7" t="e">
        <f>IF(VLOOKUP($A2537,'Concrete Beam Schedule'!$A$2:$Q$2902,AC$2,0)&lt;&gt;M2537,"Beam Revised","")</f>
        <v>#N/A</v>
      </c>
      <c r="AD2537" s="7" t="e">
        <f>IF(VLOOKUP($A2537,'Concrete Beam Schedule'!$A$2:$Q$2902,AD$2,0)&lt;&gt;N2537,"Beam Revised","")</f>
        <v>#N/A</v>
      </c>
      <c r="AE2537" s="7" t="e">
        <f>IF(VLOOKUP($A2537,'Concrete Beam Schedule'!$A$2:$Q$2902,AE$2,0)&lt;&gt;O2537,"Beam Revised","")</f>
        <v>#N/A</v>
      </c>
    </row>
    <row r="2538" spans="17:31" ht="20.100000000000001" customHeight="1" x14ac:dyDescent="0.25">
      <c r="Q2538" s="7">
        <f t="shared" si="39"/>
        <v>0</v>
      </c>
      <c r="R2538" s="7" t="e">
        <f>IF(VLOOKUP($A2538,'Concrete Beam Schedule'!$A$2:$Q$2902,R$2,0)&lt;&gt;B2538,VLOOKUP($A2538,'Concrete Beam Schedule'!$A$2:$Q$2902,R$2,0),"")</f>
        <v>#N/A</v>
      </c>
      <c r="S2538" s="7" t="e">
        <f>IF(VLOOKUP($A2538,'Concrete Beam Schedule'!$A$2:$Q$2902,S$2,0)&lt;&gt;C2538,VLOOKUP($A2538,'Concrete Beam Schedule'!$A$2:$Q$2902,S$2,0),"")</f>
        <v>#N/A</v>
      </c>
      <c r="T2538" s="7" t="e">
        <f>IF(VLOOKUP($A2538,'Concrete Beam Schedule'!$A$2:$Q$2902,T$2,0)&lt;&gt;D2538,"Beam Revised","")</f>
        <v>#N/A</v>
      </c>
      <c r="U2538" s="7" t="e">
        <f>IF(VLOOKUP($A2538,'Concrete Beam Schedule'!$A$2:$Q$2902,U$2,0)&lt;&gt;E2538,"Beam Revised","")</f>
        <v>#N/A</v>
      </c>
      <c r="V2538" s="7" t="e">
        <f>IF(VLOOKUP($A2538,'Concrete Beam Schedule'!$A$2:$Q$2902,V$2,0)&lt;&gt;F2538,"Beam Revised","")</f>
        <v>#N/A</v>
      </c>
      <c r="W2538" s="7" t="e">
        <f>IF(VLOOKUP($A2538,'Concrete Beam Schedule'!$A$2:$Q$2902,W$2,0)&lt;&gt;G2538,"Beam Revised","")</f>
        <v>#N/A</v>
      </c>
      <c r="X2538" s="7" t="e">
        <f>IF(VLOOKUP($A2538,'Concrete Beam Schedule'!$A$2:$Q$2902,X$2,0)&lt;&gt;H2538,"Beam Revised","")</f>
        <v>#N/A</v>
      </c>
      <c r="Y2538" s="7" t="e">
        <f>IF(VLOOKUP($A2538,'Concrete Beam Schedule'!$A$2:$Q$2902,Y$2,0)&lt;&gt;I2538,"Beam Revised","")</f>
        <v>#N/A</v>
      </c>
      <c r="Z2538" s="7" t="e">
        <f>IF(VLOOKUP($A2538,'Concrete Beam Schedule'!$A$2:$Q$2902,Z$2,0)&lt;&gt;J2538,"Beam Revised","")</f>
        <v>#N/A</v>
      </c>
      <c r="AA2538" s="7" t="e">
        <f>IF(VLOOKUP($A2538,'Concrete Beam Schedule'!$A$2:$Q$2902,AA$2,0)&lt;&gt;K2538,"Beam Revised","")</f>
        <v>#N/A</v>
      </c>
      <c r="AB2538" s="7" t="e">
        <f>IF(VLOOKUP($A2538,'Concrete Beam Schedule'!$A$2:$Q$2902,AB$2,0)&lt;&gt;L2538,"Beam Revised","")</f>
        <v>#N/A</v>
      </c>
      <c r="AC2538" s="7" t="e">
        <f>IF(VLOOKUP($A2538,'Concrete Beam Schedule'!$A$2:$Q$2902,AC$2,0)&lt;&gt;M2538,"Beam Revised","")</f>
        <v>#N/A</v>
      </c>
      <c r="AD2538" s="7" t="e">
        <f>IF(VLOOKUP($A2538,'Concrete Beam Schedule'!$A$2:$Q$2902,AD$2,0)&lt;&gt;N2538,"Beam Revised","")</f>
        <v>#N/A</v>
      </c>
      <c r="AE2538" s="7" t="e">
        <f>IF(VLOOKUP($A2538,'Concrete Beam Schedule'!$A$2:$Q$2902,AE$2,0)&lt;&gt;O2538,"Beam Revised","")</f>
        <v>#N/A</v>
      </c>
    </row>
    <row r="2539" spans="17:31" ht="20.100000000000001" customHeight="1" x14ac:dyDescent="0.25">
      <c r="Q2539" s="7">
        <f t="shared" si="39"/>
        <v>0</v>
      </c>
      <c r="R2539" s="7" t="e">
        <f>IF(VLOOKUP($A2539,'Concrete Beam Schedule'!$A$2:$Q$2902,R$2,0)&lt;&gt;B2539,VLOOKUP($A2539,'Concrete Beam Schedule'!$A$2:$Q$2902,R$2,0),"")</f>
        <v>#N/A</v>
      </c>
      <c r="S2539" s="7" t="e">
        <f>IF(VLOOKUP($A2539,'Concrete Beam Schedule'!$A$2:$Q$2902,S$2,0)&lt;&gt;C2539,VLOOKUP($A2539,'Concrete Beam Schedule'!$A$2:$Q$2902,S$2,0),"")</f>
        <v>#N/A</v>
      </c>
      <c r="T2539" s="7" t="e">
        <f>IF(VLOOKUP($A2539,'Concrete Beam Schedule'!$A$2:$Q$2902,T$2,0)&lt;&gt;D2539,"Beam Revised","")</f>
        <v>#N/A</v>
      </c>
      <c r="U2539" s="7" t="e">
        <f>IF(VLOOKUP($A2539,'Concrete Beam Schedule'!$A$2:$Q$2902,U$2,0)&lt;&gt;E2539,"Beam Revised","")</f>
        <v>#N/A</v>
      </c>
      <c r="V2539" s="7" t="e">
        <f>IF(VLOOKUP($A2539,'Concrete Beam Schedule'!$A$2:$Q$2902,V$2,0)&lt;&gt;F2539,"Beam Revised","")</f>
        <v>#N/A</v>
      </c>
      <c r="W2539" s="7" t="e">
        <f>IF(VLOOKUP($A2539,'Concrete Beam Schedule'!$A$2:$Q$2902,W$2,0)&lt;&gt;G2539,"Beam Revised","")</f>
        <v>#N/A</v>
      </c>
      <c r="X2539" s="7" t="e">
        <f>IF(VLOOKUP($A2539,'Concrete Beam Schedule'!$A$2:$Q$2902,X$2,0)&lt;&gt;H2539,"Beam Revised","")</f>
        <v>#N/A</v>
      </c>
      <c r="Y2539" s="7" t="e">
        <f>IF(VLOOKUP($A2539,'Concrete Beam Schedule'!$A$2:$Q$2902,Y$2,0)&lt;&gt;I2539,"Beam Revised","")</f>
        <v>#N/A</v>
      </c>
      <c r="Z2539" s="7" t="e">
        <f>IF(VLOOKUP($A2539,'Concrete Beam Schedule'!$A$2:$Q$2902,Z$2,0)&lt;&gt;J2539,"Beam Revised","")</f>
        <v>#N/A</v>
      </c>
      <c r="AA2539" s="7" t="e">
        <f>IF(VLOOKUP($A2539,'Concrete Beam Schedule'!$A$2:$Q$2902,AA$2,0)&lt;&gt;K2539,"Beam Revised","")</f>
        <v>#N/A</v>
      </c>
      <c r="AB2539" s="7" t="e">
        <f>IF(VLOOKUP($A2539,'Concrete Beam Schedule'!$A$2:$Q$2902,AB$2,0)&lt;&gt;L2539,"Beam Revised","")</f>
        <v>#N/A</v>
      </c>
      <c r="AC2539" s="7" t="e">
        <f>IF(VLOOKUP($A2539,'Concrete Beam Schedule'!$A$2:$Q$2902,AC$2,0)&lt;&gt;M2539,"Beam Revised","")</f>
        <v>#N/A</v>
      </c>
      <c r="AD2539" s="7" t="e">
        <f>IF(VLOOKUP($A2539,'Concrete Beam Schedule'!$A$2:$Q$2902,AD$2,0)&lt;&gt;N2539,"Beam Revised","")</f>
        <v>#N/A</v>
      </c>
      <c r="AE2539" s="7" t="e">
        <f>IF(VLOOKUP($A2539,'Concrete Beam Schedule'!$A$2:$Q$2902,AE$2,0)&lt;&gt;O2539,"Beam Revised","")</f>
        <v>#N/A</v>
      </c>
    </row>
    <row r="2540" spans="17:31" ht="20.100000000000001" customHeight="1" x14ac:dyDescent="0.25">
      <c r="Q2540" s="7">
        <f t="shared" si="39"/>
        <v>0</v>
      </c>
      <c r="R2540" s="7" t="e">
        <f>IF(VLOOKUP($A2540,'Concrete Beam Schedule'!$A$2:$Q$2902,R$2,0)&lt;&gt;B2540,VLOOKUP($A2540,'Concrete Beam Schedule'!$A$2:$Q$2902,R$2,0),"")</f>
        <v>#N/A</v>
      </c>
      <c r="S2540" s="7" t="e">
        <f>IF(VLOOKUP($A2540,'Concrete Beam Schedule'!$A$2:$Q$2902,S$2,0)&lt;&gt;C2540,VLOOKUP($A2540,'Concrete Beam Schedule'!$A$2:$Q$2902,S$2,0),"")</f>
        <v>#N/A</v>
      </c>
      <c r="T2540" s="7" t="e">
        <f>IF(VLOOKUP($A2540,'Concrete Beam Schedule'!$A$2:$Q$2902,T$2,0)&lt;&gt;D2540,"Beam Revised","")</f>
        <v>#N/A</v>
      </c>
      <c r="U2540" s="7" t="e">
        <f>IF(VLOOKUP($A2540,'Concrete Beam Schedule'!$A$2:$Q$2902,U$2,0)&lt;&gt;E2540,"Beam Revised","")</f>
        <v>#N/A</v>
      </c>
      <c r="V2540" s="7" t="e">
        <f>IF(VLOOKUP($A2540,'Concrete Beam Schedule'!$A$2:$Q$2902,V$2,0)&lt;&gt;F2540,"Beam Revised","")</f>
        <v>#N/A</v>
      </c>
      <c r="W2540" s="7" t="e">
        <f>IF(VLOOKUP($A2540,'Concrete Beam Schedule'!$A$2:$Q$2902,W$2,0)&lt;&gt;G2540,"Beam Revised","")</f>
        <v>#N/A</v>
      </c>
      <c r="X2540" s="7" t="e">
        <f>IF(VLOOKUP($A2540,'Concrete Beam Schedule'!$A$2:$Q$2902,X$2,0)&lt;&gt;H2540,"Beam Revised","")</f>
        <v>#N/A</v>
      </c>
      <c r="Y2540" s="7" t="e">
        <f>IF(VLOOKUP($A2540,'Concrete Beam Schedule'!$A$2:$Q$2902,Y$2,0)&lt;&gt;I2540,"Beam Revised","")</f>
        <v>#N/A</v>
      </c>
      <c r="Z2540" s="7" t="e">
        <f>IF(VLOOKUP($A2540,'Concrete Beam Schedule'!$A$2:$Q$2902,Z$2,0)&lt;&gt;J2540,"Beam Revised","")</f>
        <v>#N/A</v>
      </c>
      <c r="AA2540" s="7" t="e">
        <f>IF(VLOOKUP($A2540,'Concrete Beam Schedule'!$A$2:$Q$2902,AA$2,0)&lt;&gt;K2540,"Beam Revised","")</f>
        <v>#N/A</v>
      </c>
      <c r="AB2540" s="7" t="e">
        <f>IF(VLOOKUP($A2540,'Concrete Beam Schedule'!$A$2:$Q$2902,AB$2,0)&lt;&gt;L2540,"Beam Revised","")</f>
        <v>#N/A</v>
      </c>
      <c r="AC2540" s="7" t="e">
        <f>IF(VLOOKUP($A2540,'Concrete Beam Schedule'!$A$2:$Q$2902,AC$2,0)&lt;&gt;M2540,"Beam Revised","")</f>
        <v>#N/A</v>
      </c>
      <c r="AD2540" s="7" t="e">
        <f>IF(VLOOKUP($A2540,'Concrete Beam Schedule'!$A$2:$Q$2902,AD$2,0)&lt;&gt;N2540,"Beam Revised","")</f>
        <v>#N/A</v>
      </c>
      <c r="AE2540" s="7" t="e">
        <f>IF(VLOOKUP($A2540,'Concrete Beam Schedule'!$A$2:$Q$2902,AE$2,0)&lt;&gt;O2540,"Beam Revised","")</f>
        <v>#N/A</v>
      </c>
    </row>
    <row r="2541" spans="17:31" ht="20.100000000000001" customHeight="1" x14ac:dyDescent="0.25">
      <c r="Q2541" s="7">
        <f t="shared" si="39"/>
        <v>0</v>
      </c>
      <c r="R2541" s="7" t="e">
        <f>IF(VLOOKUP($A2541,'Concrete Beam Schedule'!$A$2:$Q$2902,R$2,0)&lt;&gt;B2541,VLOOKUP($A2541,'Concrete Beam Schedule'!$A$2:$Q$2902,R$2,0),"")</f>
        <v>#N/A</v>
      </c>
      <c r="S2541" s="7" t="e">
        <f>IF(VLOOKUP($A2541,'Concrete Beam Schedule'!$A$2:$Q$2902,S$2,0)&lt;&gt;C2541,VLOOKUP($A2541,'Concrete Beam Schedule'!$A$2:$Q$2902,S$2,0),"")</f>
        <v>#N/A</v>
      </c>
      <c r="T2541" s="7" t="e">
        <f>IF(VLOOKUP($A2541,'Concrete Beam Schedule'!$A$2:$Q$2902,T$2,0)&lt;&gt;D2541,"Beam Revised","")</f>
        <v>#N/A</v>
      </c>
      <c r="U2541" s="7" t="e">
        <f>IF(VLOOKUP($A2541,'Concrete Beam Schedule'!$A$2:$Q$2902,U$2,0)&lt;&gt;E2541,"Beam Revised","")</f>
        <v>#N/A</v>
      </c>
      <c r="V2541" s="7" t="e">
        <f>IF(VLOOKUP($A2541,'Concrete Beam Schedule'!$A$2:$Q$2902,V$2,0)&lt;&gt;F2541,"Beam Revised","")</f>
        <v>#N/A</v>
      </c>
      <c r="W2541" s="7" t="e">
        <f>IF(VLOOKUP($A2541,'Concrete Beam Schedule'!$A$2:$Q$2902,W$2,0)&lt;&gt;G2541,"Beam Revised","")</f>
        <v>#N/A</v>
      </c>
      <c r="X2541" s="7" t="e">
        <f>IF(VLOOKUP($A2541,'Concrete Beam Schedule'!$A$2:$Q$2902,X$2,0)&lt;&gt;H2541,"Beam Revised","")</f>
        <v>#N/A</v>
      </c>
      <c r="Y2541" s="7" t="e">
        <f>IF(VLOOKUP($A2541,'Concrete Beam Schedule'!$A$2:$Q$2902,Y$2,0)&lt;&gt;I2541,"Beam Revised","")</f>
        <v>#N/A</v>
      </c>
      <c r="Z2541" s="7" t="e">
        <f>IF(VLOOKUP($A2541,'Concrete Beam Schedule'!$A$2:$Q$2902,Z$2,0)&lt;&gt;J2541,"Beam Revised","")</f>
        <v>#N/A</v>
      </c>
      <c r="AA2541" s="7" t="e">
        <f>IF(VLOOKUP($A2541,'Concrete Beam Schedule'!$A$2:$Q$2902,AA$2,0)&lt;&gt;K2541,"Beam Revised","")</f>
        <v>#N/A</v>
      </c>
      <c r="AB2541" s="7" t="e">
        <f>IF(VLOOKUP($A2541,'Concrete Beam Schedule'!$A$2:$Q$2902,AB$2,0)&lt;&gt;L2541,"Beam Revised","")</f>
        <v>#N/A</v>
      </c>
      <c r="AC2541" s="7" t="e">
        <f>IF(VLOOKUP($A2541,'Concrete Beam Schedule'!$A$2:$Q$2902,AC$2,0)&lt;&gt;M2541,"Beam Revised","")</f>
        <v>#N/A</v>
      </c>
      <c r="AD2541" s="7" t="e">
        <f>IF(VLOOKUP($A2541,'Concrete Beam Schedule'!$A$2:$Q$2902,AD$2,0)&lt;&gt;N2541,"Beam Revised","")</f>
        <v>#N/A</v>
      </c>
      <c r="AE2541" s="7" t="e">
        <f>IF(VLOOKUP($A2541,'Concrete Beam Schedule'!$A$2:$Q$2902,AE$2,0)&lt;&gt;O2541,"Beam Revised","")</f>
        <v>#N/A</v>
      </c>
    </row>
    <row r="2542" spans="17:31" ht="20.100000000000001" customHeight="1" x14ac:dyDescent="0.25">
      <c r="Q2542" s="7">
        <f t="shared" si="39"/>
        <v>0</v>
      </c>
      <c r="R2542" s="7" t="e">
        <f>IF(VLOOKUP($A2542,'Concrete Beam Schedule'!$A$2:$Q$2902,R$2,0)&lt;&gt;B2542,VLOOKUP($A2542,'Concrete Beam Schedule'!$A$2:$Q$2902,R$2,0),"")</f>
        <v>#N/A</v>
      </c>
      <c r="S2542" s="7" t="e">
        <f>IF(VLOOKUP($A2542,'Concrete Beam Schedule'!$A$2:$Q$2902,S$2,0)&lt;&gt;C2542,VLOOKUP($A2542,'Concrete Beam Schedule'!$A$2:$Q$2902,S$2,0),"")</f>
        <v>#N/A</v>
      </c>
      <c r="T2542" s="7" t="e">
        <f>IF(VLOOKUP($A2542,'Concrete Beam Schedule'!$A$2:$Q$2902,T$2,0)&lt;&gt;D2542,"Beam Revised","")</f>
        <v>#N/A</v>
      </c>
      <c r="U2542" s="7" t="e">
        <f>IF(VLOOKUP($A2542,'Concrete Beam Schedule'!$A$2:$Q$2902,U$2,0)&lt;&gt;E2542,"Beam Revised","")</f>
        <v>#N/A</v>
      </c>
      <c r="V2542" s="7" t="e">
        <f>IF(VLOOKUP($A2542,'Concrete Beam Schedule'!$A$2:$Q$2902,V$2,0)&lt;&gt;F2542,"Beam Revised","")</f>
        <v>#N/A</v>
      </c>
      <c r="W2542" s="7" t="e">
        <f>IF(VLOOKUP($A2542,'Concrete Beam Schedule'!$A$2:$Q$2902,W$2,0)&lt;&gt;G2542,"Beam Revised","")</f>
        <v>#N/A</v>
      </c>
      <c r="X2542" s="7" t="e">
        <f>IF(VLOOKUP($A2542,'Concrete Beam Schedule'!$A$2:$Q$2902,X$2,0)&lt;&gt;H2542,"Beam Revised","")</f>
        <v>#N/A</v>
      </c>
      <c r="Y2542" s="7" t="e">
        <f>IF(VLOOKUP($A2542,'Concrete Beam Schedule'!$A$2:$Q$2902,Y$2,0)&lt;&gt;I2542,"Beam Revised","")</f>
        <v>#N/A</v>
      </c>
      <c r="Z2542" s="7" t="e">
        <f>IF(VLOOKUP($A2542,'Concrete Beam Schedule'!$A$2:$Q$2902,Z$2,0)&lt;&gt;J2542,"Beam Revised","")</f>
        <v>#N/A</v>
      </c>
      <c r="AA2542" s="7" t="e">
        <f>IF(VLOOKUP($A2542,'Concrete Beam Schedule'!$A$2:$Q$2902,AA$2,0)&lt;&gt;K2542,"Beam Revised","")</f>
        <v>#N/A</v>
      </c>
      <c r="AB2542" s="7" t="e">
        <f>IF(VLOOKUP($A2542,'Concrete Beam Schedule'!$A$2:$Q$2902,AB$2,0)&lt;&gt;L2542,"Beam Revised","")</f>
        <v>#N/A</v>
      </c>
      <c r="AC2542" s="7" t="e">
        <f>IF(VLOOKUP($A2542,'Concrete Beam Schedule'!$A$2:$Q$2902,AC$2,0)&lt;&gt;M2542,"Beam Revised","")</f>
        <v>#N/A</v>
      </c>
      <c r="AD2542" s="7" t="e">
        <f>IF(VLOOKUP($A2542,'Concrete Beam Schedule'!$A$2:$Q$2902,AD$2,0)&lt;&gt;N2542,"Beam Revised","")</f>
        <v>#N/A</v>
      </c>
      <c r="AE2542" s="7" t="e">
        <f>IF(VLOOKUP($A2542,'Concrete Beam Schedule'!$A$2:$Q$2902,AE$2,0)&lt;&gt;O2542,"Beam Revised","")</f>
        <v>#N/A</v>
      </c>
    </row>
    <row r="2543" spans="17:31" ht="20.100000000000001" customHeight="1" x14ac:dyDescent="0.25">
      <c r="Q2543" s="7">
        <f t="shared" si="39"/>
        <v>0</v>
      </c>
      <c r="R2543" s="7" t="e">
        <f>IF(VLOOKUP($A2543,'Concrete Beam Schedule'!$A$2:$Q$2902,R$2,0)&lt;&gt;B2543,VLOOKUP($A2543,'Concrete Beam Schedule'!$A$2:$Q$2902,R$2,0),"")</f>
        <v>#N/A</v>
      </c>
      <c r="S2543" s="7" t="e">
        <f>IF(VLOOKUP($A2543,'Concrete Beam Schedule'!$A$2:$Q$2902,S$2,0)&lt;&gt;C2543,VLOOKUP($A2543,'Concrete Beam Schedule'!$A$2:$Q$2902,S$2,0),"")</f>
        <v>#N/A</v>
      </c>
      <c r="T2543" s="7" t="e">
        <f>IF(VLOOKUP($A2543,'Concrete Beam Schedule'!$A$2:$Q$2902,T$2,0)&lt;&gt;D2543,"Beam Revised","")</f>
        <v>#N/A</v>
      </c>
      <c r="U2543" s="7" t="e">
        <f>IF(VLOOKUP($A2543,'Concrete Beam Schedule'!$A$2:$Q$2902,U$2,0)&lt;&gt;E2543,"Beam Revised","")</f>
        <v>#N/A</v>
      </c>
      <c r="V2543" s="7" t="e">
        <f>IF(VLOOKUP($A2543,'Concrete Beam Schedule'!$A$2:$Q$2902,V$2,0)&lt;&gt;F2543,"Beam Revised","")</f>
        <v>#N/A</v>
      </c>
      <c r="W2543" s="7" t="e">
        <f>IF(VLOOKUP($A2543,'Concrete Beam Schedule'!$A$2:$Q$2902,W$2,0)&lt;&gt;G2543,"Beam Revised","")</f>
        <v>#N/A</v>
      </c>
      <c r="X2543" s="7" t="e">
        <f>IF(VLOOKUP($A2543,'Concrete Beam Schedule'!$A$2:$Q$2902,X$2,0)&lt;&gt;H2543,"Beam Revised","")</f>
        <v>#N/A</v>
      </c>
      <c r="Y2543" s="7" t="e">
        <f>IF(VLOOKUP($A2543,'Concrete Beam Schedule'!$A$2:$Q$2902,Y$2,0)&lt;&gt;I2543,"Beam Revised","")</f>
        <v>#N/A</v>
      </c>
      <c r="Z2543" s="7" t="e">
        <f>IF(VLOOKUP($A2543,'Concrete Beam Schedule'!$A$2:$Q$2902,Z$2,0)&lt;&gt;J2543,"Beam Revised","")</f>
        <v>#N/A</v>
      </c>
      <c r="AA2543" s="7" t="e">
        <f>IF(VLOOKUP($A2543,'Concrete Beam Schedule'!$A$2:$Q$2902,AA$2,0)&lt;&gt;K2543,"Beam Revised","")</f>
        <v>#N/A</v>
      </c>
      <c r="AB2543" s="7" t="e">
        <f>IF(VLOOKUP($A2543,'Concrete Beam Schedule'!$A$2:$Q$2902,AB$2,0)&lt;&gt;L2543,"Beam Revised","")</f>
        <v>#N/A</v>
      </c>
      <c r="AC2543" s="7" t="e">
        <f>IF(VLOOKUP($A2543,'Concrete Beam Schedule'!$A$2:$Q$2902,AC$2,0)&lt;&gt;M2543,"Beam Revised","")</f>
        <v>#N/A</v>
      </c>
      <c r="AD2543" s="7" t="e">
        <f>IF(VLOOKUP($A2543,'Concrete Beam Schedule'!$A$2:$Q$2902,AD$2,0)&lt;&gt;N2543,"Beam Revised","")</f>
        <v>#N/A</v>
      </c>
      <c r="AE2543" s="7" t="e">
        <f>IF(VLOOKUP($A2543,'Concrete Beam Schedule'!$A$2:$Q$2902,AE$2,0)&lt;&gt;O2543,"Beam Revised","")</f>
        <v>#N/A</v>
      </c>
    </row>
    <row r="2544" spans="17:31" ht="20.100000000000001" customHeight="1" x14ac:dyDescent="0.25">
      <c r="Q2544" s="7">
        <f t="shared" si="39"/>
        <v>0</v>
      </c>
      <c r="R2544" s="7" t="e">
        <f>IF(VLOOKUP($A2544,'Concrete Beam Schedule'!$A$2:$Q$2902,R$2,0)&lt;&gt;B2544,VLOOKUP($A2544,'Concrete Beam Schedule'!$A$2:$Q$2902,R$2,0),"")</f>
        <v>#N/A</v>
      </c>
      <c r="S2544" s="7" t="e">
        <f>IF(VLOOKUP($A2544,'Concrete Beam Schedule'!$A$2:$Q$2902,S$2,0)&lt;&gt;C2544,VLOOKUP($A2544,'Concrete Beam Schedule'!$A$2:$Q$2902,S$2,0),"")</f>
        <v>#N/A</v>
      </c>
      <c r="T2544" s="7" t="e">
        <f>IF(VLOOKUP($A2544,'Concrete Beam Schedule'!$A$2:$Q$2902,T$2,0)&lt;&gt;D2544,"Beam Revised","")</f>
        <v>#N/A</v>
      </c>
      <c r="U2544" s="7" t="e">
        <f>IF(VLOOKUP($A2544,'Concrete Beam Schedule'!$A$2:$Q$2902,U$2,0)&lt;&gt;E2544,"Beam Revised","")</f>
        <v>#N/A</v>
      </c>
      <c r="V2544" s="7" t="e">
        <f>IF(VLOOKUP($A2544,'Concrete Beam Schedule'!$A$2:$Q$2902,V$2,0)&lt;&gt;F2544,"Beam Revised","")</f>
        <v>#N/A</v>
      </c>
      <c r="W2544" s="7" t="e">
        <f>IF(VLOOKUP($A2544,'Concrete Beam Schedule'!$A$2:$Q$2902,W$2,0)&lt;&gt;G2544,"Beam Revised","")</f>
        <v>#N/A</v>
      </c>
      <c r="X2544" s="7" t="e">
        <f>IF(VLOOKUP($A2544,'Concrete Beam Schedule'!$A$2:$Q$2902,X$2,0)&lt;&gt;H2544,"Beam Revised","")</f>
        <v>#N/A</v>
      </c>
      <c r="Y2544" s="7" t="e">
        <f>IF(VLOOKUP($A2544,'Concrete Beam Schedule'!$A$2:$Q$2902,Y$2,0)&lt;&gt;I2544,"Beam Revised","")</f>
        <v>#N/A</v>
      </c>
      <c r="Z2544" s="7" t="e">
        <f>IF(VLOOKUP($A2544,'Concrete Beam Schedule'!$A$2:$Q$2902,Z$2,0)&lt;&gt;J2544,"Beam Revised","")</f>
        <v>#N/A</v>
      </c>
      <c r="AA2544" s="7" t="e">
        <f>IF(VLOOKUP($A2544,'Concrete Beam Schedule'!$A$2:$Q$2902,AA$2,0)&lt;&gt;K2544,"Beam Revised","")</f>
        <v>#N/A</v>
      </c>
      <c r="AB2544" s="7" t="e">
        <f>IF(VLOOKUP($A2544,'Concrete Beam Schedule'!$A$2:$Q$2902,AB$2,0)&lt;&gt;L2544,"Beam Revised","")</f>
        <v>#N/A</v>
      </c>
      <c r="AC2544" s="7" t="e">
        <f>IF(VLOOKUP($A2544,'Concrete Beam Schedule'!$A$2:$Q$2902,AC$2,0)&lt;&gt;M2544,"Beam Revised","")</f>
        <v>#N/A</v>
      </c>
      <c r="AD2544" s="7" t="e">
        <f>IF(VLOOKUP($A2544,'Concrete Beam Schedule'!$A$2:$Q$2902,AD$2,0)&lt;&gt;N2544,"Beam Revised","")</f>
        <v>#N/A</v>
      </c>
      <c r="AE2544" s="7" t="e">
        <f>IF(VLOOKUP($A2544,'Concrete Beam Schedule'!$A$2:$Q$2902,AE$2,0)&lt;&gt;O2544,"Beam Revised","")</f>
        <v>#N/A</v>
      </c>
    </row>
    <row r="2545" spans="17:31" ht="20.100000000000001" customHeight="1" x14ac:dyDescent="0.25">
      <c r="Q2545" s="7">
        <f t="shared" si="39"/>
        <v>0</v>
      </c>
      <c r="R2545" s="7" t="e">
        <f>IF(VLOOKUP($A2545,'Concrete Beam Schedule'!$A$2:$Q$2902,R$2,0)&lt;&gt;B2545,VLOOKUP($A2545,'Concrete Beam Schedule'!$A$2:$Q$2902,R$2,0),"")</f>
        <v>#N/A</v>
      </c>
      <c r="S2545" s="7" t="e">
        <f>IF(VLOOKUP($A2545,'Concrete Beam Schedule'!$A$2:$Q$2902,S$2,0)&lt;&gt;C2545,VLOOKUP($A2545,'Concrete Beam Schedule'!$A$2:$Q$2902,S$2,0),"")</f>
        <v>#N/A</v>
      </c>
      <c r="T2545" s="7" t="e">
        <f>IF(VLOOKUP($A2545,'Concrete Beam Schedule'!$A$2:$Q$2902,T$2,0)&lt;&gt;D2545,"Beam Revised","")</f>
        <v>#N/A</v>
      </c>
      <c r="U2545" s="7" t="e">
        <f>IF(VLOOKUP($A2545,'Concrete Beam Schedule'!$A$2:$Q$2902,U$2,0)&lt;&gt;E2545,"Beam Revised","")</f>
        <v>#N/A</v>
      </c>
      <c r="V2545" s="7" t="e">
        <f>IF(VLOOKUP($A2545,'Concrete Beam Schedule'!$A$2:$Q$2902,V$2,0)&lt;&gt;F2545,"Beam Revised","")</f>
        <v>#N/A</v>
      </c>
      <c r="W2545" s="7" t="e">
        <f>IF(VLOOKUP($A2545,'Concrete Beam Schedule'!$A$2:$Q$2902,W$2,0)&lt;&gt;G2545,"Beam Revised","")</f>
        <v>#N/A</v>
      </c>
      <c r="X2545" s="7" t="e">
        <f>IF(VLOOKUP($A2545,'Concrete Beam Schedule'!$A$2:$Q$2902,X$2,0)&lt;&gt;H2545,"Beam Revised","")</f>
        <v>#N/A</v>
      </c>
      <c r="Y2545" s="7" t="e">
        <f>IF(VLOOKUP($A2545,'Concrete Beam Schedule'!$A$2:$Q$2902,Y$2,0)&lt;&gt;I2545,"Beam Revised","")</f>
        <v>#N/A</v>
      </c>
      <c r="Z2545" s="7" t="e">
        <f>IF(VLOOKUP($A2545,'Concrete Beam Schedule'!$A$2:$Q$2902,Z$2,0)&lt;&gt;J2545,"Beam Revised","")</f>
        <v>#N/A</v>
      </c>
      <c r="AA2545" s="7" t="e">
        <f>IF(VLOOKUP($A2545,'Concrete Beam Schedule'!$A$2:$Q$2902,AA$2,0)&lt;&gt;K2545,"Beam Revised","")</f>
        <v>#N/A</v>
      </c>
      <c r="AB2545" s="7" t="e">
        <f>IF(VLOOKUP($A2545,'Concrete Beam Schedule'!$A$2:$Q$2902,AB$2,0)&lt;&gt;L2545,"Beam Revised","")</f>
        <v>#N/A</v>
      </c>
      <c r="AC2545" s="7" t="e">
        <f>IF(VLOOKUP($A2545,'Concrete Beam Schedule'!$A$2:$Q$2902,AC$2,0)&lt;&gt;M2545,"Beam Revised","")</f>
        <v>#N/A</v>
      </c>
      <c r="AD2545" s="7" t="e">
        <f>IF(VLOOKUP($A2545,'Concrete Beam Schedule'!$A$2:$Q$2902,AD$2,0)&lt;&gt;N2545,"Beam Revised","")</f>
        <v>#N/A</v>
      </c>
      <c r="AE2545" s="7" t="e">
        <f>IF(VLOOKUP($A2545,'Concrete Beam Schedule'!$A$2:$Q$2902,AE$2,0)&lt;&gt;O2545,"Beam Revised","")</f>
        <v>#N/A</v>
      </c>
    </row>
    <row r="2546" spans="17:31" ht="20.100000000000001" customHeight="1" x14ac:dyDescent="0.25">
      <c r="Q2546" s="7">
        <f t="shared" si="39"/>
        <v>0</v>
      </c>
      <c r="R2546" s="7" t="e">
        <f>IF(VLOOKUP($A2546,'Concrete Beam Schedule'!$A$2:$Q$2902,R$2,0)&lt;&gt;B2546,VLOOKUP($A2546,'Concrete Beam Schedule'!$A$2:$Q$2902,R$2,0),"")</f>
        <v>#N/A</v>
      </c>
      <c r="S2546" s="7" t="e">
        <f>IF(VLOOKUP($A2546,'Concrete Beam Schedule'!$A$2:$Q$2902,S$2,0)&lt;&gt;C2546,VLOOKUP($A2546,'Concrete Beam Schedule'!$A$2:$Q$2902,S$2,0),"")</f>
        <v>#N/A</v>
      </c>
      <c r="T2546" s="7" t="e">
        <f>IF(VLOOKUP($A2546,'Concrete Beam Schedule'!$A$2:$Q$2902,T$2,0)&lt;&gt;D2546,"Beam Revised","")</f>
        <v>#N/A</v>
      </c>
      <c r="U2546" s="7" t="e">
        <f>IF(VLOOKUP($A2546,'Concrete Beam Schedule'!$A$2:$Q$2902,U$2,0)&lt;&gt;E2546,"Beam Revised","")</f>
        <v>#N/A</v>
      </c>
      <c r="V2546" s="7" t="e">
        <f>IF(VLOOKUP($A2546,'Concrete Beam Schedule'!$A$2:$Q$2902,V$2,0)&lt;&gt;F2546,"Beam Revised","")</f>
        <v>#N/A</v>
      </c>
      <c r="W2546" s="7" t="e">
        <f>IF(VLOOKUP($A2546,'Concrete Beam Schedule'!$A$2:$Q$2902,W$2,0)&lt;&gt;G2546,"Beam Revised","")</f>
        <v>#N/A</v>
      </c>
      <c r="X2546" s="7" t="e">
        <f>IF(VLOOKUP($A2546,'Concrete Beam Schedule'!$A$2:$Q$2902,X$2,0)&lt;&gt;H2546,"Beam Revised","")</f>
        <v>#N/A</v>
      </c>
      <c r="Y2546" s="7" t="e">
        <f>IF(VLOOKUP($A2546,'Concrete Beam Schedule'!$A$2:$Q$2902,Y$2,0)&lt;&gt;I2546,"Beam Revised","")</f>
        <v>#N/A</v>
      </c>
      <c r="Z2546" s="7" t="e">
        <f>IF(VLOOKUP($A2546,'Concrete Beam Schedule'!$A$2:$Q$2902,Z$2,0)&lt;&gt;J2546,"Beam Revised","")</f>
        <v>#N/A</v>
      </c>
      <c r="AA2546" s="7" t="e">
        <f>IF(VLOOKUP($A2546,'Concrete Beam Schedule'!$A$2:$Q$2902,AA$2,0)&lt;&gt;K2546,"Beam Revised","")</f>
        <v>#N/A</v>
      </c>
      <c r="AB2546" s="7" t="e">
        <f>IF(VLOOKUP($A2546,'Concrete Beam Schedule'!$A$2:$Q$2902,AB$2,0)&lt;&gt;L2546,"Beam Revised","")</f>
        <v>#N/A</v>
      </c>
      <c r="AC2546" s="7" t="e">
        <f>IF(VLOOKUP($A2546,'Concrete Beam Schedule'!$A$2:$Q$2902,AC$2,0)&lt;&gt;M2546,"Beam Revised","")</f>
        <v>#N/A</v>
      </c>
      <c r="AD2546" s="7" t="e">
        <f>IF(VLOOKUP($A2546,'Concrete Beam Schedule'!$A$2:$Q$2902,AD$2,0)&lt;&gt;N2546,"Beam Revised","")</f>
        <v>#N/A</v>
      </c>
      <c r="AE2546" s="7" t="e">
        <f>IF(VLOOKUP($A2546,'Concrete Beam Schedule'!$A$2:$Q$2902,AE$2,0)&lt;&gt;O2546,"Beam Revised","")</f>
        <v>#N/A</v>
      </c>
    </row>
    <row r="2547" spans="17:31" ht="20.100000000000001" customHeight="1" x14ac:dyDescent="0.25">
      <c r="Q2547" s="7">
        <f t="shared" si="39"/>
        <v>0</v>
      </c>
      <c r="R2547" s="7" t="e">
        <f>IF(VLOOKUP($A2547,'Concrete Beam Schedule'!$A$2:$Q$2902,R$2,0)&lt;&gt;B2547,VLOOKUP($A2547,'Concrete Beam Schedule'!$A$2:$Q$2902,R$2,0),"")</f>
        <v>#N/A</v>
      </c>
      <c r="S2547" s="7" t="e">
        <f>IF(VLOOKUP($A2547,'Concrete Beam Schedule'!$A$2:$Q$2902,S$2,0)&lt;&gt;C2547,VLOOKUP($A2547,'Concrete Beam Schedule'!$A$2:$Q$2902,S$2,0),"")</f>
        <v>#N/A</v>
      </c>
      <c r="T2547" s="7" t="e">
        <f>IF(VLOOKUP($A2547,'Concrete Beam Schedule'!$A$2:$Q$2902,T$2,0)&lt;&gt;D2547,"Beam Revised","")</f>
        <v>#N/A</v>
      </c>
      <c r="U2547" s="7" t="e">
        <f>IF(VLOOKUP($A2547,'Concrete Beam Schedule'!$A$2:$Q$2902,U$2,0)&lt;&gt;E2547,"Beam Revised","")</f>
        <v>#N/A</v>
      </c>
      <c r="V2547" s="7" t="e">
        <f>IF(VLOOKUP($A2547,'Concrete Beam Schedule'!$A$2:$Q$2902,V$2,0)&lt;&gt;F2547,"Beam Revised","")</f>
        <v>#N/A</v>
      </c>
      <c r="W2547" s="7" t="e">
        <f>IF(VLOOKUP($A2547,'Concrete Beam Schedule'!$A$2:$Q$2902,W$2,0)&lt;&gt;G2547,"Beam Revised","")</f>
        <v>#N/A</v>
      </c>
      <c r="X2547" s="7" t="e">
        <f>IF(VLOOKUP($A2547,'Concrete Beam Schedule'!$A$2:$Q$2902,X$2,0)&lt;&gt;H2547,"Beam Revised","")</f>
        <v>#N/A</v>
      </c>
      <c r="Y2547" s="7" t="e">
        <f>IF(VLOOKUP($A2547,'Concrete Beam Schedule'!$A$2:$Q$2902,Y$2,0)&lt;&gt;I2547,"Beam Revised","")</f>
        <v>#N/A</v>
      </c>
      <c r="Z2547" s="7" t="e">
        <f>IF(VLOOKUP($A2547,'Concrete Beam Schedule'!$A$2:$Q$2902,Z$2,0)&lt;&gt;J2547,"Beam Revised","")</f>
        <v>#N/A</v>
      </c>
      <c r="AA2547" s="7" t="e">
        <f>IF(VLOOKUP($A2547,'Concrete Beam Schedule'!$A$2:$Q$2902,AA$2,0)&lt;&gt;K2547,"Beam Revised","")</f>
        <v>#N/A</v>
      </c>
      <c r="AB2547" s="7" t="e">
        <f>IF(VLOOKUP($A2547,'Concrete Beam Schedule'!$A$2:$Q$2902,AB$2,0)&lt;&gt;L2547,"Beam Revised","")</f>
        <v>#N/A</v>
      </c>
      <c r="AC2547" s="7" t="e">
        <f>IF(VLOOKUP($A2547,'Concrete Beam Schedule'!$A$2:$Q$2902,AC$2,0)&lt;&gt;M2547,"Beam Revised","")</f>
        <v>#N/A</v>
      </c>
      <c r="AD2547" s="7" t="e">
        <f>IF(VLOOKUP($A2547,'Concrete Beam Schedule'!$A$2:$Q$2902,AD$2,0)&lt;&gt;N2547,"Beam Revised","")</f>
        <v>#N/A</v>
      </c>
      <c r="AE2547" s="7" t="e">
        <f>IF(VLOOKUP($A2547,'Concrete Beam Schedule'!$A$2:$Q$2902,AE$2,0)&lt;&gt;O2547,"Beam Revised","")</f>
        <v>#N/A</v>
      </c>
    </row>
    <row r="2548" spans="17:31" ht="20.100000000000001" customHeight="1" x14ac:dyDescent="0.25">
      <c r="Q2548" s="7">
        <f t="shared" si="39"/>
        <v>0</v>
      </c>
      <c r="R2548" s="7" t="e">
        <f>IF(VLOOKUP($A2548,'Concrete Beam Schedule'!$A$2:$Q$2902,R$2,0)&lt;&gt;B2548,VLOOKUP($A2548,'Concrete Beam Schedule'!$A$2:$Q$2902,R$2,0),"")</f>
        <v>#N/A</v>
      </c>
      <c r="S2548" s="7" t="e">
        <f>IF(VLOOKUP($A2548,'Concrete Beam Schedule'!$A$2:$Q$2902,S$2,0)&lt;&gt;C2548,VLOOKUP($A2548,'Concrete Beam Schedule'!$A$2:$Q$2902,S$2,0),"")</f>
        <v>#N/A</v>
      </c>
      <c r="T2548" s="7" t="e">
        <f>IF(VLOOKUP($A2548,'Concrete Beam Schedule'!$A$2:$Q$2902,T$2,0)&lt;&gt;D2548,"Beam Revised","")</f>
        <v>#N/A</v>
      </c>
      <c r="U2548" s="7" t="e">
        <f>IF(VLOOKUP($A2548,'Concrete Beam Schedule'!$A$2:$Q$2902,U$2,0)&lt;&gt;E2548,"Beam Revised","")</f>
        <v>#N/A</v>
      </c>
      <c r="V2548" s="7" t="e">
        <f>IF(VLOOKUP($A2548,'Concrete Beam Schedule'!$A$2:$Q$2902,V$2,0)&lt;&gt;F2548,"Beam Revised","")</f>
        <v>#N/A</v>
      </c>
      <c r="W2548" s="7" t="e">
        <f>IF(VLOOKUP($A2548,'Concrete Beam Schedule'!$A$2:$Q$2902,W$2,0)&lt;&gt;G2548,"Beam Revised","")</f>
        <v>#N/A</v>
      </c>
      <c r="X2548" s="7" t="e">
        <f>IF(VLOOKUP($A2548,'Concrete Beam Schedule'!$A$2:$Q$2902,X$2,0)&lt;&gt;H2548,"Beam Revised","")</f>
        <v>#N/A</v>
      </c>
      <c r="Y2548" s="7" t="e">
        <f>IF(VLOOKUP($A2548,'Concrete Beam Schedule'!$A$2:$Q$2902,Y$2,0)&lt;&gt;I2548,"Beam Revised","")</f>
        <v>#N/A</v>
      </c>
      <c r="Z2548" s="7" t="e">
        <f>IF(VLOOKUP($A2548,'Concrete Beam Schedule'!$A$2:$Q$2902,Z$2,0)&lt;&gt;J2548,"Beam Revised","")</f>
        <v>#N/A</v>
      </c>
      <c r="AA2548" s="7" t="e">
        <f>IF(VLOOKUP($A2548,'Concrete Beam Schedule'!$A$2:$Q$2902,AA$2,0)&lt;&gt;K2548,"Beam Revised","")</f>
        <v>#N/A</v>
      </c>
      <c r="AB2548" s="7" t="e">
        <f>IF(VLOOKUP($A2548,'Concrete Beam Schedule'!$A$2:$Q$2902,AB$2,0)&lt;&gt;L2548,"Beam Revised","")</f>
        <v>#N/A</v>
      </c>
      <c r="AC2548" s="7" t="e">
        <f>IF(VLOOKUP($A2548,'Concrete Beam Schedule'!$A$2:$Q$2902,AC$2,0)&lt;&gt;M2548,"Beam Revised","")</f>
        <v>#N/A</v>
      </c>
      <c r="AD2548" s="7" t="e">
        <f>IF(VLOOKUP($A2548,'Concrete Beam Schedule'!$A$2:$Q$2902,AD$2,0)&lt;&gt;N2548,"Beam Revised","")</f>
        <v>#N/A</v>
      </c>
      <c r="AE2548" s="7" t="e">
        <f>IF(VLOOKUP($A2548,'Concrete Beam Schedule'!$A$2:$Q$2902,AE$2,0)&lt;&gt;O2548,"Beam Revised","")</f>
        <v>#N/A</v>
      </c>
    </row>
    <row r="2549" spans="17:31" ht="20.100000000000001" customHeight="1" x14ac:dyDescent="0.25">
      <c r="Q2549" s="7">
        <f t="shared" si="39"/>
        <v>0</v>
      </c>
      <c r="R2549" s="7" t="e">
        <f>IF(VLOOKUP($A2549,'Concrete Beam Schedule'!$A$2:$Q$2902,R$2,0)&lt;&gt;B2549,VLOOKUP($A2549,'Concrete Beam Schedule'!$A$2:$Q$2902,R$2,0),"")</f>
        <v>#N/A</v>
      </c>
      <c r="S2549" s="7" t="e">
        <f>IF(VLOOKUP($A2549,'Concrete Beam Schedule'!$A$2:$Q$2902,S$2,0)&lt;&gt;C2549,VLOOKUP($A2549,'Concrete Beam Schedule'!$A$2:$Q$2902,S$2,0),"")</f>
        <v>#N/A</v>
      </c>
      <c r="T2549" s="7" t="e">
        <f>IF(VLOOKUP($A2549,'Concrete Beam Schedule'!$A$2:$Q$2902,T$2,0)&lt;&gt;D2549,"Beam Revised","")</f>
        <v>#N/A</v>
      </c>
      <c r="U2549" s="7" t="e">
        <f>IF(VLOOKUP($A2549,'Concrete Beam Schedule'!$A$2:$Q$2902,U$2,0)&lt;&gt;E2549,"Beam Revised","")</f>
        <v>#N/A</v>
      </c>
      <c r="V2549" s="7" t="e">
        <f>IF(VLOOKUP($A2549,'Concrete Beam Schedule'!$A$2:$Q$2902,V$2,0)&lt;&gt;F2549,"Beam Revised","")</f>
        <v>#N/A</v>
      </c>
      <c r="W2549" s="7" t="e">
        <f>IF(VLOOKUP($A2549,'Concrete Beam Schedule'!$A$2:$Q$2902,W$2,0)&lt;&gt;G2549,"Beam Revised","")</f>
        <v>#N/A</v>
      </c>
      <c r="X2549" s="7" t="e">
        <f>IF(VLOOKUP($A2549,'Concrete Beam Schedule'!$A$2:$Q$2902,X$2,0)&lt;&gt;H2549,"Beam Revised","")</f>
        <v>#N/A</v>
      </c>
      <c r="Y2549" s="7" t="e">
        <f>IF(VLOOKUP($A2549,'Concrete Beam Schedule'!$A$2:$Q$2902,Y$2,0)&lt;&gt;I2549,"Beam Revised","")</f>
        <v>#N/A</v>
      </c>
      <c r="Z2549" s="7" t="e">
        <f>IF(VLOOKUP($A2549,'Concrete Beam Schedule'!$A$2:$Q$2902,Z$2,0)&lt;&gt;J2549,"Beam Revised","")</f>
        <v>#N/A</v>
      </c>
      <c r="AA2549" s="7" t="e">
        <f>IF(VLOOKUP($A2549,'Concrete Beam Schedule'!$A$2:$Q$2902,AA$2,0)&lt;&gt;K2549,"Beam Revised","")</f>
        <v>#N/A</v>
      </c>
      <c r="AB2549" s="7" t="e">
        <f>IF(VLOOKUP($A2549,'Concrete Beam Schedule'!$A$2:$Q$2902,AB$2,0)&lt;&gt;L2549,"Beam Revised","")</f>
        <v>#N/A</v>
      </c>
      <c r="AC2549" s="7" t="e">
        <f>IF(VLOOKUP($A2549,'Concrete Beam Schedule'!$A$2:$Q$2902,AC$2,0)&lt;&gt;M2549,"Beam Revised","")</f>
        <v>#N/A</v>
      </c>
      <c r="AD2549" s="7" t="e">
        <f>IF(VLOOKUP($A2549,'Concrete Beam Schedule'!$A$2:$Q$2902,AD$2,0)&lt;&gt;N2549,"Beam Revised","")</f>
        <v>#N/A</v>
      </c>
      <c r="AE2549" s="7" t="e">
        <f>IF(VLOOKUP($A2549,'Concrete Beam Schedule'!$A$2:$Q$2902,AE$2,0)&lt;&gt;O2549,"Beam Revised","")</f>
        <v>#N/A</v>
      </c>
    </row>
    <row r="2550" spans="17:31" ht="20.100000000000001" customHeight="1" x14ac:dyDescent="0.25">
      <c r="Q2550" s="7">
        <f t="shared" si="39"/>
        <v>0</v>
      </c>
      <c r="R2550" s="7" t="e">
        <f>IF(VLOOKUP($A2550,'Concrete Beam Schedule'!$A$2:$Q$2902,R$2,0)&lt;&gt;B2550,VLOOKUP($A2550,'Concrete Beam Schedule'!$A$2:$Q$2902,R$2,0),"")</f>
        <v>#N/A</v>
      </c>
      <c r="S2550" s="7" t="e">
        <f>IF(VLOOKUP($A2550,'Concrete Beam Schedule'!$A$2:$Q$2902,S$2,0)&lt;&gt;C2550,VLOOKUP($A2550,'Concrete Beam Schedule'!$A$2:$Q$2902,S$2,0),"")</f>
        <v>#N/A</v>
      </c>
      <c r="T2550" s="7" t="e">
        <f>IF(VLOOKUP($A2550,'Concrete Beam Schedule'!$A$2:$Q$2902,T$2,0)&lt;&gt;D2550,"Beam Revised","")</f>
        <v>#N/A</v>
      </c>
      <c r="U2550" s="7" t="e">
        <f>IF(VLOOKUP($A2550,'Concrete Beam Schedule'!$A$2:$Q$2902,U$2,0)&lt;&gt;E2550,"Beam Revised","")</f>
        <v>#N/A</v>
      </c>
      <c r="V2550" s="7" t="e">
        <f>IF(VLOOKUP($A2550,'Concrete Beam Schedule'!$A$2:$Q$2902,V$2,0)&lt;&gt;F2550,"Beam Revised","")</f>
        <v>#N/A</v>
      </c>
      <c r="W2550" s="7" t="e">
        <f>IF(VLOOKUP($A2550,'Concrete Beam Schedule'!$A$2:$Q$2902,W$2,0)&lt;&gt;G2550,"Beam Revised","")</f>
        <v>#N/A</v>
      </c>
      <c r="X2550" s="7" t="e">
        <f>IF(VLOOKUP($A2550,'Concrete Beam Schedule'!$A$2:$Q$2902,X$2,0)&lt;&gt;H2550,"Beam Revised","")</f>
        <v>#N/A</v>
      </c>
      <c r="Y2550" s="7" t="e">
        <f>IF(VLOOKUP($A2550,'Concrete Beam Schedule'!$A$2:$Q$2902,Y$2,0)&lt;&gt;I2550,"Beam Revised","")</f>
        <v>#N/A</v>
      </c>
      <c r="Z2550" s="7" t="e">
        <f>IF(VLOOKUP($A2550,'Concrete Beam Schedule'!$A$2:$Q$2902,Z$2,0)&lt;&gt;J2550,"Beam Revised","")</f>
        <v>#N/A</v>
      </c>
      <c r="AA2550" s="7" t="e">
        <f>IF(VLOOKUP($A2550,'Concrete Beam Schedule'!$A$2:$Q$2902,AA$2,0)&lt;&gt;K2550,"Beam Revised","")</f>
        <v>#N/A</v>
      </c>
      <c r="AB2550" s="7" t="e">
        <f>IF(VLOOKUP($A2550,'Concrete Beam Schedule'!$A$2:$Q$2902,AB$2,0)&lt;&gt;L2550,"Beam Revised","")</f>
        <v>#N/A</v>
      </c>
      <c r="AC2550" s="7" t="e">
        <f>IF(VLOOKUP($A2550,'Concrete Beam Schedule'!$A$2:$Q$2902,AC$2,0)&lt;&gt;M2550,"Beam Revised","")</f>
        <v>#N/A</v>
      </c>
      <c r="AD2550" s="7" t="e">
        <f>IF(VLOOKUP($A2550,'Concrete Beam Schedule'!$A$2:$Q$2902,AD$2,0)&lt;&gt;N2550,"Beam Revised","")</f>
        <v>#N/A</v>
      </c>
      <c r="AE2550" s="7" t="e">
        <f>IF(VLOOKUP($A2550,'Concrete Beam Schedule'!$A$2:$Q$2902,AE$2,0)&lt;&gt;O2550,"Beam Revised","")</f>
        <v>#N/A</v>
      </c>
    </row>
    <row r="2551" spans="17:31" ht="20.100000000000001" customHeight="1" x14ac:dyDescent="0.25">
      <c r="Q2551" s="7">
        <f t="shared" si="39"/>
        <v>0</v>
      </c>
      <c r="R2551" s="7" t="e">
        <f>IF(VLOOKUP($A2551,'Concrete Beam Schedule'!$A$2:$Q$2902,R$2,0)&lt;&gt;B2551,VLOOKUP($A2551,'Concrete Beam Schedule'!$A$2:$Q$2902,R$2,0),"")</f>
        <v>#N/A</v>
      </c>
      <c r="S2551" s="7" t="e">
        <f>IF(VLOOKUP($A2551,'Concrete Beam Schedule'!$A$2:$Q$2902,S$2,0)&lt;&gt;C2551,VLOOKUP($A2551,'Concrete Beam Schedule'!$A$2:$Q$2902,S$2,0),"")</f>
        <v>#N/A</v>
      </c>
      <c r="T2551" s="7" t="e">
        <f>IF(VLOOKUP($A2551,'Concrete Beam Schedule'!$A$2:$Q$2902,T$2,0)&lt;&gt;D2551,"Beam Revised","")</f>
        <v>#N/A</v>
      </c>
      <c r="U2551" s="7" t="e">
        <f>IF(VLOOKUP($A2551,'Concrete Beam Schedule'!$A$2:$Q$2902,U$2,0)&lt;&gt;E2551,"Beam Revised","")</f>
        <v>#N/A</v>
      </c>
      <c r="V2551" s="7" t="e">
        <f>IF(VLOOKUP($A2551,'Concrete Beam Schedule'!$A$2:$Q$2902,V$2,0)&lt;&gt;F2551,"Beam Revised","")</f>
        <v>#N/A</v>
      </c>
      <c r="W2551" s="7" t="e">
        <f>IF(VLOOKUP($A2551,'Concrete Beam Schedule'!$A$2:$Q$2902,W$2,0)&lt;&gt;G2551,"Beam Revised","")</f>
        <v>#N/A</v>
      </c>
      <c r="X2551" s="7" t="e">
        <f>IF(VLOOKUP($A2551,'Concrete Beam Schedule'!$A$2:$Q$2902,X$2,0)&lt;&gt;H2551,"Beam Revised","")</f>
        <v>#N/A</v>
      </c>
      <c r="Y2551" s="7" t="e">
        <f>IF(VLOOKUP($A2551,'Concrete Beam Schedule'!$A$2:$Q$2902,Y$2,0)&lt;&gt;I2551,"Beam Revised","")</f>
        <v>#N/A</v>
      </c>
      <c r="Z2551" s="7" t="e">
        <f>IF(VLOOKUP($A2551,'Concrete Beam Schedule'!$A$2:$Q$2902,Z$2,0)&lt;&gt;J2551,"Beam Revised","")</f>
        <v>#N/A</v>
      </c>
      <c r="AA2551" s="7" t="e">
        <f>IF(VLOOKUP($A2551,'Concrete Beam Schedule'!$A$2:$Q$2902,AA$2,0)&lt;&gt;K2551,"Beam Revised","")</f>
        <v>#N/A</v>
      </c>
      <c r="AB2551" s="7" t="e">
        <f>IF(VLOOKUP($A2551,'Concrete Beam Schedule'!$A$2:$Q$2902,AB$2,0)&lt;&gt;L2551,"Beam Revised","")</f>
        <v>#N/A</v>
      </c>
      <c r="AC2551" s="7" t="e">
        <f>IF(VLOOKUP($A2551,'Concrete Beam Schedule'!$A$2:$Q$2902,AC$2,0)&lt;&gt;M2551,"Beam Revised","")</f>
        <v>#N/A</v>
      </c>
      <c r="AD2551" s="7" t="e">
        <f>IF(VLOOKUP($A2551,'Concrete Beam Schedule'!$A$2:$Q$2902,AD$2,0)&lt;&gt;N2551,"Beam Revised","")</f>
        <v>#N/A</v>
      </c>
      <c r="AE2551" s="7" t="e">
        <f>IF(VLOOKUP($A2551,'Concrete Beam Schedule'!$A$2:$Q$2902,AE$2,0)&lt;&gt;O2551,"Beam Revised","")</f>
        <v>#N/A</v>
      </c>
    </row>
    <row r="2552" spans="17:31" ht="20.100000000000001" customHeight="1" x14ac:dyDescent="0.25">
      <c r="Q2552" s="7">
        <f t="shared" si="39"/>
        <v>0</v>
      </c>
      <c r="R2552" s="7" t="e">
        <f>IF(VLOOKUP($A2552,'Concrete Beam Schedule'!$A$2:$Q$2902,R$2,0)&lt;&gt;B2552,VLOOKUP($A2552,'Concrete Beam Schedule'!$A$2:$Q$2902,R$2,0),"")</f>
        <v>#N/A</v>
      </c>
      <c r="S2552" s="7" t="e">
        <f>IF(VLOOKUP($A2552,'Concrete Beam Schedule'!$A$2:$Q$2902,S$2,0)&lt;&gt;C2552,VLOOKUP($A2552,'Concrete Beam Schedule'!$A$2:$Q$2902,S$2,0),"")</f>
        <v>#N/A</v>
      </c>
      <c r="T2552" s="7" t="e">
        <f>IF(VLOOKUP($A2552,'Concrete Beam Schedule'!$A$2:$Q$2902,T$2,0)&lt;&gt;D2552,"Beam Revised","")</f>
        <v>#N/A</v>
      </c>
      <c r="U2552" s="7" t="e">
        <f>IF(VLOOKUP($A2552,'Concrete Beam Schedule'!$A$2:$Q$2902,U$2,0)&lt;&gt;E2552,"Beam Revised","")</f>
        <v>#N/A</v>
      </c>
      <c r="V2552" s="7" t="e">
        <f>IF(VLOOKUP($A2552,'Concrete Beam Schedule'!$A$2:$Q$2902,V$2,0)&lt;&gt;F2552,"Beam Revised","")</f>
        <v>#N/A</v>
      </c>
      <c r="W2552" s="7" t="e">
        <f>IF(VLOOKUP($A2552,'Concrete Beam Schedule'!$A$2:$Q$2902,W$2,0)&lt;&gt;G2552,"Beam Revised","")</f>
        <v>#N/A</v>
      </c>
      <c r="X2552" s="7" t="e">
        <f>IF(VLOOKUP($A2552,'Concrete Beam Schedule'!$A$2:$Q$2902,X$2,0)&lt;&gt;H2552,"Beam Revised","")</f>
        <v>#N/A</v>
      </c>
      <c r="Y2552" s="7" t="e">
        <f>IF(VLOOKUP($A2552,'Concrete Beam Schedule'!$A$2:$Q$2902,Y$2,0)&lt;&gt;I2552,"Beam Revised","")</f>
        <v>#N/A</v>
      </c>
      <c r="Z2552" s="7" t="e">
        <f>IF(VLOOKUP($A2552,'Concrete Beam Schedule'!$A$2:$Q$2902,Z$2,0)&lt;&gt;J2552,"Beam Revised","")</f>
        <v>#N/A</v>
      </c>
      <c r="AA2552" s="7" t="e">
        <f>IF(VLOOKUP($A2552,'Concrete Beam Schedule'!$A$2:$Q$2902,AA$2,0)&lt;&gt;K2552,"Beam Revised","")</f>
        <v>#N/A</v>
      </c>
      <c r="AB2552" s="7" t="e">
        <f>IF(VLOOKUP($A2552,'Concrete Beam Schedule'!$A$2:$Q$2902,AB$2,0)&lt;&gt;L2552,"Beam Revised","")</f>
        <v>#N/A</v>
      </c>
      <c r="AC2552" s="7" t="e">
        <f>IF(VLOOKUP($A2552,'Concrete Beam Schedule'!$A$2:$Q$2902,AC$2,0)&lt;&gt;M2552,"Beam Revised","")</f>
        <v>#N/A</v>
      </c>
      <c r="AD2552" s="7" t="e">
        <f>IF(VLOOKUP($A2552,'Concrete Beam Schedule'!$A$2:$Q$2902,AD$2,0)&lt;&gt;N2552,"Beam Revised","")</f>
        <v>#N/A</v>
      </c>
      <c r="AE2552" s="7" t="e">
        <f>IF(VLOOKUP($A2552,'Concrete Beam Schedule'!$A$2:$Q$2902,AE$2,0)&lt;&gt;O2552,"Beam Revised","")</f>
        <v>#N/A</v>
      </c>
    </row>
    <row r="2553" spans="17:31" ht="20.100000000000001" customHeight="1" x14ac:dyDescent="0.25">
      <c r="Q2553" s="7">
        <f t="shared" si="39"/>
        <v>0</v>
      </c>
      <c r="R2553" s="7" t="e">
        <f>IF(VLOOKUP($A2553,'Concrete Beam Schedule'!$A$2:$Q$2902,R$2,0)&lt;&gt;B2553,VLOOKUP($A2553,'Concrete Beam Schedule'!$A$2:$Q$2902,R$2,0),"")</f>
        <v>#N/A</v>
      </c>
      <c r="S2553" s="7" t="e">
        <f>IF(VLOOKUP($A2553,'Concrete Beam Schedule'!$A$2:$Q$2902,S$2,0)&lt;&gt;C2553,VLOOKUP($A2553,'Concrete Beam Schedule'!$A$2:$Q$2902,S$2,0),"")</f>
        <v>#N/A</v>
      </c>
      <c r="T2553" s="7" t="e">
        <f>IF(VLOOKUP($A2553,'Concrete Beam Schedule'!$A$2:$Q$2902,T$2,0)&lt;&gt;D2553,"Beam Revised","")</f>
        <v>#N/A</v>
      </c>
      <c r="U2553" s="7" t="e">
        <f>IF(VLOOKUP($A2553,'Concrete Beam Schedule'!$A$2:$Q$2902,U$2,0)&lt;&gt;E2553,"Beam Revised","")</f>
        <v>#N/A</v>
      </c>
      <c r="V2553" s="7" t="e">
        <f>IF(VLOOKUP($A2553,'Concrete Beam Schedule'!$A$2:$Q$2902,V$2,0)&lt;&gt;F2553,"Beam Revised","")</f>
        <v>#N/A</v>
      </c>
      <c r="W2553" s="7" t="e">
        <f>IF(VLOOKUP($A2553,'Concrete Beam Schedule'!$A$2:$Q$2902,W$2,0)&lt;&gt;G2553,"Beam Revised","")</f>
        <v>#N/A</v>
      </c>
      <c r="X2553" s="7" t="e">
        <f>IF(VLOOKUP($A2553,'Concrete Beam Schedule'!$A$2:$Q$2902,X$2,0)&lt;&gt;H2553,"Beam Revised","")</f>
        <v>#N/A</v>
      </c>
      <c r="Y2553" s="7" t="e">
        <f>IF(VLOOKUP($A2553,'Concrete Beam Schedule'!$A$2:$Q$2902,Y$2,0)&lt;&gt;I2553,"Beam Revised","")</f>
        <v>#N/A</v>
      </c>
      <c r="Z2553" s="7" t="e">
        <f>IF(VLOOKUP($A2553,'Concrete Beam Schedule'!$A$2:$Q$2902,Z$2,0)&lt;&gt;J2553,"Beam Revised","")</f>
        <v>#N/A</v>
      </c>
      <c r="AA2553" s="7" t="e">
        <f>IF(VLOOKUP($A2553,'Concrete Beam Schedule'!$A$2:$Q$2902,AA$2,0)&lt;&gt;K2553,"Beam Revised","")</f>
        <v>#N/A</v>
      </c>
      <c r="AB2553" s="7" t="e">
        <f>IF(VLOOKUP($A2553,'Concrete Beam Schedule'!$A$2:$Q$2902,AB$2,0)&lt;&gt;L2553,"Beam Revised","")</f>
        <v>#N/A</v>
      </c>
      <c r="AC2553" s="7" t="e">
        <f>IF(VLOOKUP($A2553,'Concrete Beam Schedule'!$A$2:$Q$2902,AC$2,0)&lt;&gt;M2553,"Beam Revised","")</f>
        <v>#N/A</v>
      </c>
      <c r="AD2553" s="7" t="e">
        <f>IF(VLOOKUP($A2553,'Concrete Beam Schedule'!$A$2:$Q$2902,AD$2,0)&lt;&gt;N2553,"Beam Revised","")</f>
        <v>#N/A</v>
      </c>
      <c r="AE2553" s="7" t="e">
        <f>IF(VLOOKUP($A2553,'Concrete Beam Schedule'!$A$2:$Q$2902,AE$2,0)&lt;&gt;O2553,"Beam Revised","")</f>
        <v>#N/A</v>
      </c>
    </row>
    <row r="2554" spans="17:31" ht="20.100000000000001" customHeight="1" x14ac:dyDescent="0.25">
      <c r="Q2554" s="7">
        <f t="shared" si="39"/>
        <v>0</v>
      </c>
      <c r="R2554" s="7" t="e">
        <f>IF(VLOOKUP($A2554,'Concrete Beam Schedule'!$A$2:$Q$2902,R$2,0)&lt;&gt;B2554,VLOOKUP($A2554,'Concrete Beam Schedule'!$A$2:$Q$2902,R$2,0),"")</f>
        <v>#N/A</v>
      </c>
      <c r="S2554" s="7" t="e">
        <f>IF(VLOOKUP($A2554,'Concrete Beam Schedule'!$A$2:$Q$2902,S$2,0)&lt;&gt;C2554,VLOOKUP($A2554,'Concrete Beam Schedule'!$A$2:$Q$2902,S$2,0),"")</f>
        <v>#N/A</v>
      </c>
      <c r="T2554" s="7" t="e">
        <f>IF(VLOOKUP($A2554,'Concrete Beam Schedule'!$A$2:$Q$2902,T$2,0)&lt;&gt;D2554,"Beam Revised","")</f>
        <v>#N/A</v>
      </c>
      <c r="U2554" s="7" t="e">
        <f>IF(VLOOKUP($A2554,'Concrete Beam Schedule'!$A$2:$Q$2902,U$2,0)&lt;&gt;E2554,"Beam Revised","")</f>
        <v>#N/A</v>
      </c>
      <c r="V2554" s="7" t="e">
        <f>IF(VLOOKUP($A2554,'Concrete Beam Schedule'!$A$2:$Q$2902,V$2,0)&lt;&gt;F2554,"Beam Revised","")</f>
        <v>#N/A</v>
      </c>
      <c r="W2554" s="7" t="e">
        <f>IF(VLOOKUP($A2554,'Concrete Beam Schedule'!$A$2:$Q$2902,W$2,0)&lt;&gt;G2554,"Beam Revised","")</f>
        <v>#N/A</v>
      </c>
      <c r="X2554" s="7" t="e">
        <f>IF(VLOOKUP($A2554,'Concrete Beam Schedule'!$A$2:$Q$2902,X$2,0)&lt;&gt;H2554,"Beam Revised","")</f>
        <v>#N/A</v>
      </c>
      <c r="Y2554" s="7" t="e">
        <f>IF(VLOOKUP($A2554,'Concrete Beam Schedule'!$A$2:$Q$2902,Y$2,0)&lt;&gt;I2554,"Beam Revised","")</f>
        <v>#N/A</v>
      </c>
      <c r="Z2554" s="7" t="e">
        <f>IF(VLOOKUP($A2554,'Concrete Beam Schedule'!$A$2:$Q$2902,Z$2,0)&lt;&gt;J2554,"Beam Revised","")</f>
        <v>#N/A</v>
      </c>
      <c r="AA2554" s="7" t="e">
        <f>IF(VLOOKUP($A2554,'Concrete Beam Schedule'!$A$2:$Q$2902,AA$2,0)&lt;&gt;K2554,"Beam Revised","")</f>
        <v>#N/A</v>
      </c>
      <c r="AB2554" s="7" t="e">
        <f>IF(VLOOKUP($A2554,'Concrete Beam Schedule'!$A$2:$Q$2902,AB$2,0)&lt;&gt;L2554,"Beam Revised","")</f>
        <v>#N/A</v>
      </c>
      <c r="AC2554" s="7" t="e">
        <f>IF(VLOOKUP($A2554,'Concrete Beam Schedule'!$A$2:$Q$2902,AC$2,0)&lt;&gt;M2554,"Beam Revised","")</f>
        <v>#N/A</v>
      </c>
      <c r="AD2554" s="7" t="e">
        <f>IF(VLOOKUP($A2554,'Concrete Beam Schedule'!$A$2:$Q$2902,AD$2,0)&lt;&gt;N2554,"Beam Revised","")</f>
        <v>#N/A</v>
      </c>
      <c r="AE2554" s="7" t="e">
        <f>IF(VLOOKUP($A2554,'Concrete Beam Schedule'!$A$2:$Q$2902,AE$2,0)&lt;&gt;O2554,"Beam Revised","")</f>
        <v>#N/A</v>
      </c>
    </row>
    <row r="2555" spans="17:31" ht="20.100000000000001" customHeight="1" x14ac:dyDescent="0.25">
      <c r="Q2555" s="7">
        <f t="shared" si="39"/>
        <v>0</v>
      </c>
      <c r="R2555" s="7" t="e">
        <f>IF(VLOOKUP($A2555,'Concrete Beam Schedule'!$A$2:$Q$2902,R$2,0)&lt;&gt;B2555,VLOOKUP($A2555,'Concrete Beam Schedule'!$A$2:$Q$2902,R$2,0),"")</f>
        <v>#N/A</v>
      </c>
      <c r="S2555" s="7" t="e">
        <f>IF(VLOOKUP($A2555,'Concrete Beam Schedule'!$A$2:$Q$2902,S$2,0)&lt;&gt;C2555,VLOOKUP($A2555,'Concrete Beam Schedule'!$A$2:$Q$2902,S$2,0),"")</f>
        <v>#N/A</v>
      </c>
      <c r="T2555" s="7" t="e">
        <f>IF(VLOOKUP($A2555,'Concrete Beam Schedule'!$A$2:$Q$2902,T$2,0)&lt;&gt;D2555,"Beam Revised","")</f>
        <v>#N/A</v>
      </c>
      <c r="U2555" s="7" t="e">
        <f>IF(VLOOKUP($A2555,'Concrete Beam Schedule'!$A$2:$Q$2902,U$2,0)&lt;&gt;E2555,"Beam Revised","")</f>
        <v>#N/A</v>
      </c>
      <c r="V2555" s="7" t="e">
        <f>IF(VLOOKUP($A2555,'Concrete Beam Schedule'!$A$2:$Q$2902,V$2,0)&lt;&gt;F2555,"Beam Revised","")</f>
        <v>#N/A</v>
      </c>
      <c r="W2555" s="7" t="e">
        <f>IF(VLOOKUP($A2555,'Concrete Beam Schedule'!$A$2:$Q$2902,W$2,0)&lt;&gt;G2555,"Beam Revised","")</f>
        <v>#N/A</v>
      </c>
      <c r="X2555" s="7" t="e">
        <f>IF(VLOOKUP($A2555,'Concrete Beam Schedule'!$A$2:$Q$2902,X$2,0)&lt;&gt;H2555,"Beam Revised","")</f>
        <v>#N/A</v>
      </c>
      <c r="Y2555" s="7" t="e">
        <f>IF(VLOOKUP($A2555,'Concrete Beam Schedule'!$A$2:$Q$2902,Y$2,0)&lt;&gt;I2555,"Beam Revised","")</f>
        <v>#N/A</v>
      </c>
      <c r="Z2555" s="7" t="e">
        <f>IF(VLOOKUP($A2555,'Concrete Beam Schedule'!$A$2:$Q$2902,Z$2,0)&lt;&gt;J2555,"Beam Revised","")</f>
        <v>#N/A</v>
      </c>
      <c r="AA2555" s="7" t="e">
        <f>IF(VLOOKUP($A2555,'Concrete Beam Schedule'!$A$2:$Q$2902,AA$2,0)&lt;&gt;K2555,"Beam Revised","")</f>
        <v>#N/A</v>
      </c>
      <c r="AB2555" s="7" t="e">
        <f>IF(VLOOKUP($A2555,'Concrete Beam Schedule'!$A$2:$Q$2902,AB$2,0)&lt;&gt;L2555,"Beam Revised","")</f>
        <v>#N/A</v>
      </c>
      <c r="AC2555" s="7" t="e">
        <f>IF(VLOOKUP($A2555,'Concrete Beam Schedule'!$A$2:$Q$2902,AC$2,0)&lt;&gt;M2555,"Beam Revised","")</f>
        <v>#N/A</v>
      </c>
      <c r="AD2555" s="7" t="e">
        <f>IF(VLOOKUP($A2555,'Concrete Beam Schedule'!$A$2:$Q$2902,AD$2,0)&lt;&gt;N2555,"Beam Revised","")</f>
        <v>#N/A</v>
      </c>
      <c r="AE2555" s="7" t="e">
        <f>IF(VLOOKUP($A2555,'Concrete Beam Schedule'!$A$2:$Q$2902,AE$2,0)&lt;&gt;O2555,"Beam Revised","")</f>
        <v>#N/A</v>
      </c>
    </row>
    <row r="2556" spans="17:31" ht="20.100000000000001" customHeight="1" x14ac:dyDescent="0.25">
      <c r="Q2556" s="7">
        <f t="shared" si="39"/>
        <v>0</v>
      </c>
      <c r="R2556" s="7" t="e">
        <f>IF(VLOOKUP($A2556,'Concrete Beam Schedule'!$A$2:$Q$2902,R$2,0)&lt;&gt;B2556,VLOOKUP($A2556,'Concrete Beam Schedule'!$A$2:$Q$2902,R$2,0),"")</f>
        <v>#N/A</v>
      </c>
      <c r="S2556" s="7" t="e">
        <f>IF(VLOOKUP($A2556,'Concrete Beam Schedule'!$A$2:$Q$2902,S$2,0)&lt;&gt;C2556,VLOOKUP($A2556,'Concrete Beam Schedule'!$A$2:$Q$2902,S$2,0),"")</f>
        <v>#N/A</v>
      </c>
      <c r="T2556" s="7" t="e">
        <f>IF(VLOOKUP($A2556,'Concrete Beam Schedule'!$A$2:$Q$2902,T$2,0)&lt;&gt;D2556,"Beam Revised","")</f>
        <v>#N/A</v>
      </c>
      <c r="U2556" s="7" t="e">
        <f>IF(VLOOKUP($A2556,'Concrete Beam Schedule'!$A$2:$Q$2902,U$2,0)&lt;&gt;E2556,"Beam Revised","")</f>
        <v>#N/A</v>
      </c>
      <c r="V2556" s="7" t="e">
        <f>IF(VLOOKUP($A2556,'Concrete Beam Schedule'!$A$2:$Q$2902,V$2,0)&lt;&gt;F2556,"Beam Revised","")</f>
        <v>#N/A</v>
      </c>
      <c r="W2556" s="7" t="e">
        <f>IF(VLOOKUP($A2556,'Concrete Beam Schedule'!$A$2:$Q$2902,W$2,0)&lt;&gt;G2556,"Beam Revised","")</f>
        <v>#N/A</v>
      </c>
      <c r="X2556" s="7" t="e">
        <f>IF(VLOOKUP($A2556,'Concrete Beam Schedule'!$A$2:$Q$2902,X$2,0)&lt;&gt;H2556,"Beam Revised","")</f>
        <v>#N/A</v>
      </c>
      <c r="Y2556" s="7" t="e">
        <f>IF(VLOOKUP($A2556,'Concrete Beam Schedule'!$A$2:$Q$2902,Y$2,0)&lt;&gt;I2556,"Beam Revised","")</f>
        <v>#N/A</v>
      </c>
      <c r="Z2556" s="7" t="e">
        <f>IF(VLOOKUP($A2556,'Concrete Beam Schedule'!$A$2:$Q$2902,Z$2,0)&lt;&gt;J2556,"Beam Revised","")</f>
        <v>#N/A</v>
      </c>
      <c r="AA2556" s="7" t="e">
        <f>IF(VLOOKUP($A2556,'Concrete Beam Schedule'!$A$2:$Q$2902,AA$2,0)&lt;&gt;K2556,"Beam Revised","")</f>
        <v>#N/A</v>
      </c>
      <c r="AB2556" s="7" t="e">
        <f>IF(VLOOKUP($A2556,'Concrete Beam Schedule'!$A$2:$Q$2902,AB$2,0)&lt;&gt;L2556,"Beam Revised","")</f>
        <v>#N/A</v>
      </c>
      <c r="AC2556" s="7" t="e">
        <f>IF(VLOOKUP($A2556,'Concrete Beam Schedule'!$A$2:$Q$2902,AC$2,0)&lt;&gt;M2556,"Beam Revised","")</f>
        <v>#N/A</v>
      </c>
      <c r="AD2556" s="7" t="e">
        <f>IF(VLOOKUP($A2556,'Concrete Beam Schedule'!$A$2:$Q$2902,AD$2,0)&lt;&gt;N2556,"Beam Revised","")</f>
        <v>#N/A</v>
      </c>
      <c r="AE2556" s="7" t="e">
        <f>IF(VLOOKUP($A2556,'Concrete Beam Schedule'!$A$2:$Q$2902,AE$2,0)&lt;&gt;O2556,"Beam Revised","")</f>
        <v>#N/A</v>
      </c>
    </row>
    <row r="2557" spans="17:31" ht="20.100000000000001" customHeight="1" x14ac:dyDescent="0.25">
      <c r="Q2557" s="7">
        <f t="shared" si="39"/>
        <v>0</v>
      </c>
      <c r="R2557" s="7" t="e">
        <f>IF(VLOOKUP($A2557,'Concrete Beam Schedule'!$A$2:$Q$2902,R$2,0)&lt;&gt;B2557,VLOOKUP($A2557,'Concrete Beam Schedule'!$A$2:$Q$2902,R$2,0),"")</f>
        <v>#N/A</v>
      </c>
      <c r="S2557" s="7" t="e">
        <f>IF(VLOOKUP($A2557,'Concrete Beam Schedule'!$A$2:$Q$2902,S$2,0)&lt;&gt;C2557,VLOOKUP($A2557,'Concrete Beam Schedule'!$A$2:$Q$2902,S$2,0),"")</f>
        <v>#N/A</v>
      </c>
      <c r="T2557" s="7" t="e">
        <f>IF(VLOOKUP($A2557,'Concrete Beam Schedule'!$A$2:$Q$2902,T$2,0)&lt;&gt;D2557,"Beam Revised","")</f>
        <v>#N/A</v>
      </c>
      <c r="U2557" s="7" t="e">
        <f>IF(VLOOKUP($A2557,'Concrete Beam Schedule'!$A$2:$Q$2902,U$2,0)&lt;&gt;E2557,"Beam Revised","")</f>
        <v>#N/A</v>
      </c>
      <c r="V2557" s="7" t="e">
        <f>IF(VLOOKUP($A2557,'Concrete Beam Schedule'!$A$2:$Q$2902,V$2,0)&lt;&gt;F2557,"Beam Revised","")</f>
        <v>#N/A</v>
      </c>
      <c r="W2557" s="7" t="e">
        <f>IF(VLOOKUP($A2557,'Concrete Beam Schedule'!$A$2:$Q$2902,W$2,0)&lt;&gt;G2557,"Beam Revised","")</f>
        <v>#N/A</v>
      </c>
      <c r="X2557" s="7" t="e">
        <f>IF(VLOOKUP($A2557,'Concrete Beam Schedule'!$A$2:$Q$2902,X$2,0)&lt;&gt;H2557,"Beam Revised","")</f>
        <v>#N/A</v>
      </c>
      <c r="Y2557" s="7" t="e">
        <f>IF(VLOOKUP($A2557,'Concrete Beam Schedule'!$A$2:$Q$2902,Y$2,0)&lt;&gt;I2557,"Beam Revised","")</f>
        <v>#N/A</v>
      </c>
      <c r="Z2557" s="7" t="e">
        <f>IF(VLOOKUP($A2557,'Concrete Beam Schedule'!$A$2:$Q$2902,Z$2,0)&lt;&gt;J2557,"Beam Revised","")</f>
        <v>#N/A</v>
      </c>
      <c r="AA2557" s="7" t="e">
        <f>IF(VLOOKUP($A2557,'Concrete Beam Schedule'!$A$2:$Q$2902,AA$2,0)&lt;&gt;K2557,"Beam Revised","")</f>
        <v>#N/A</v>
      </c>
      <c r="AB2557" s="7" t="e">
        <f>IF(VLOOKUP($A2557,'Concrete Beam Schedule'!$A$2:$Q$2902,AB$2,0)&lt;&gt;L2557,"Beam Revised","")</f>
        <v>#N/A</v>
      </c>
      <c r="AC2557" s="7" t="e">
        <f>IF(VLOOKUP($A2557,'Concrete Beam Schedule'!$A$2:$Q$2902,AC$2,0)&lt;&gt;M2557,"Beam Revised","")</f>
        <v>#N/A</v>
      </c>
      <c r="AD2557" s="7" t="e">
        <f>IF(VLOOKUP($A2557,'Concrete Beam Schedule'!$A$2:$Q$2902,AD$2,0)&lt;&gt;N2557,"Beam Revised","")</f>
        <v>#N/A</v>
      </c>
      <c r="AE2557" s="7" t="e">
        <f>IF(VLOOKUP($A2557,'Concrete Beam Schedule'!$A$2:$Q$2902,AE$2,0)&lt;&gt;O2557,"Beam Revised","")</f>
        <v>#N/A</v>
      </c>
    </row>
    <row r="2558" spans="17:31" ht="20.100000000000001" customHeight="1" x14ac:dyDescent="0.25">
      <c r="Q2558" s="7">
        <f t="shared" si="39"/>
        <v>0</v>
      </c>
      <c r="R2558" s="7" t="e">
        <f>IF(VLOOKUP($A2558,'Concrete Beam Schedule'!$A$2:$Q$2902,R$2,0)&lt;&gt;B2558,VLOOKUP($A2558,'Concrete Beam Schedule'!$A$2:$Q$2902,R$2,0),"")</f>
        <v>#N/A</v>
      </c>
      <c r="S2558" s="7" t="e">
        <f>IF(VLOOKUP($A2558,'Concrete Beam Schedule'!$A$2:$Q$2902,S$2,0)&lt;&gt;C2558,VLOOKUP($A2558,'Concrete Beam Schedule'!$A$2:$Q$2902,S$2,0),"")</f>
        <v>#N/A</v>
      </c>
      <c r="T2558" s="7" t="e">
        <f>IF(VLOOKUP($A2558,'Concrete Beam Schedule'!$A$2:$Q$2902,T$2,0)&lt;&gt;D2558,"Beam Revised","")</f>
        <v>#N/A</v>
      </c>
      <c r="U2558" s="7" t="e">
        <f>IF(VLOOKUP($A2558,'Concrete Beam Schedule'!$A$2:$Q$2902,U$2,0)&lt;&gt;E2558,"Beam Revised","")</f>
        <v>#N/A</v>
      </c>
      <c r="V2558" s="7" t="e">
        <f>IF(VLOOKUP($A2558,'Concrete Beam Schedule'!$A$2:$Q$2902,V$2,0)&lt;&gt;F2558,"Beam Revised","")</f>
        <v>#N/A</v>
      </c>
      <c r="W2558" s="7" t="e">
        <f>IF(VLOOKUP($A2558,'Concrete Beam Schedule'!$A$2:$Q$2902,W$2,0)&lt;&gt;G2558,"Beam Revised","")</f>
        <v>#N/A</v>
      </c>
      <c r="X2558" s="7" t="e">
        <f>IF(VLOOKUP($A2558,'Concrete Beam Schedule'!$A$2:$Q$2902,X$2,0)&lt;&gt;H2558,"Beam Revised","")</f>
        <v>#N/A</v>
      </c>
      <c r="Y2558" s="7" t="e">
        <f>IF(VLOOKUP($A2558,'Concrete Beam Schedule'!$A$2:$Q$2902,Y$2,0)&lt;&gt;I2558,"Beam Revised","")</f>
        <v>#N/A</v>
      </c>
      <c r="Z2558" s="7" t="e">
        <f>IF(VLOOKUP($A2558,'Concrete Beam Schedule'!$A$2:$Q$2902,Z$2,0)&lt;&gt;J2558,"Beam Revised","")</f>
        <v>#N/A</v>
      </c>
      <c r="AA2558" s="7" t="e">
        <f>IF(VLOOKUP($A2558,'Concrete Beam Schedule'!$A$2:$Q$2902,AA$2,0)&lt;&gt;K2558,"Beam Revised","")</f>
        <v>#N/A</v>
      </c>
      <c r="AB2558" s="7" t="e">
        <f>IF(VLOOKUP($A2558,'Concrete Beam Schedule'!$A$2:$Q$2902,AB$2,0)&lt;&gt;L2558,"Beam Revised","")</f>
        <v>#N/A</v>
      </c>
      <c r="AC2558" s="7" t="e">
        <f>IF(VLOOKUP($A2558,'Concrete Beam Schedule'!$A$2:$Q$2902,AC$2,0)&lt;&gt;M2558,"Beam Revised","")</f>
        <v>#N/A</v>
      </c>
      <c r="AD2558" s="7" t="e">
        <f>IF(VLOOKUP($A2558,'Concrete Beam Schedule'!$A$2:$Q$2902,AD$2,0)&lt;&gt;N2558,"Beam Revised","")</f>
        <v>#N/A</v>
      </c>
      <c r="AE2558" s="7" t="e">
        <f>IF(VLOOKUP($A2558,'Concrete Beam Schedule'!$A$2:$Q$2902,AE$2,0)&lt;&gt;O2558,"Beam Revised","")</f>
        <v>#N/A</v>
      </c>
    </row>
    <row r="2559" spans="17:31" ht="20.100000000000001" customHeight="1" x14ac:dyDescent="0.25">
      <c r="Q2559" s="7">
        <f t="shared" si="39"/>
        <v>0</v>
      </c>
      <c r="R2559" s="7" t="e">
        <f>IF(VLOOKUP($A2559,'Concrete Beam Schedule'!$A$2:$Q$2902,R$2,0)&lt;&gt;B2559,VLOOKUP($A2559,'Concrete Beam Schedule'!$A$2:$Q$2902,R$2,0),"")</f>
        <v>#N/A</v>
      </c>
      <c r="S2559" s="7" t="e">
        <f>IF(VLOOKUP($A2559,'Concrete Beam Schedule'!$A$2:$Q$2902,S$2,0)&lt;&gt;C2559,VLOOKUP($A2559,'Concrete Beam Schedule'!$A$2:$Q$2902,S$2,0),"")</f>
        <v>#N/A</v>
      </c>
      <c r="T2559" s="7" t="e">
        <f>IF(VLOOKUP($A2559,'Concrete Beam Schedule'!$A$2:$Q$2902,T$2,0)&lt;&gt;D2559,"Beam Revised","")</f>
        <v>#N/A</v>
      </c>
      <c r="U2559" s="7" t="e">
        <f>IF(VLOOKUP($A2559,'Concrete Beam Schedule'!$A$2:$Q$2902,U$2,0)&lt;&gt;E2559,"Beam Revised","")</f>
        <v>#N/A</v>
      </c>
      <c r="V2559" s="7" t="e">
        <f>IF(VLOOKUP($A2559,'Concrete Beam Schedule'!$A$2:$Q$2902,V$2,0)&lt;&gt;F2559,"Beam Revised","")</f>
        <v>#N/A</v>
      </c>
      <c r="W2559" s="7" t="e">
        <f>IF(VLOOKUP($A2559,'Concrete Beam Schedule'!$A$2:$Q$2902,W$2,0)&lt;&gt;G2559,"Beam Revised","")</f>
        <v>#N/A</v>
      </c>
      <c r="X2559" s="7" t="e">
        <f>IF(VLOOKUP($A2559,'Concrete Beam Schedule'!$A$2:$Q$2902,X$2,0)&lt;&gt;H2559,"Beam Revised","")</f>
        <v>#N/A</v>
      </c>
      <c r="Y2559" s="7" t="e">
        <f>IF(VLOOKUP($A2559,'Concrete Beam Schedule'!$A$2:$Q$2902,Y$2,0)&lt;&gt;I2559,"Beam Revised","")</f>
        <v>#N/A</v>
      </c>
      <c r="Z2559" s="7" t="e">
        <f>IF(VLOOKUP($A2559,'Concrete Beam Schedule'!$A$2:$Q$2902,Z$2,0)&lt;&gt;J2559,"Beam Revised","")</f>
        <v>#N/A</v>
      </c>
      <c r="AA2559" s="7" t="e">
        <f>IF(VLOOKUP($A2559,'Concrete Beam Schedule'!$A$2:$Q$2902,AA$2,0)&lt;&gt;K2559,"Beam Revised","")</f>
        <v>#N/A</v>
      </c>
      <c r="AB2559" s="7" t="e">
        <f>IF(VLOOKUP($A2559,'Concrete Beam Schedule'!$A$2:$Q$2902,AB$2,0)&lt;&gt;L2559,"Beam Revised","")</f>
        <v>#N/A</v>
      </c>
      <c r="AC2559" s="7" t="e">
        <f>IF(VLOOKUP($A2559,'Concrete Beam Schedule'!$A$2:$Q$2902,AC$2,0)&lt;&gt;M2559,"Beam Revised","")</f>
        <v>#N/A</v>
      </c>
      <c r="AD2559" s="7" t="e">
        <f>IF(VLOOKUP($A2559,'Concrete Beam Schedule'!$A$2:$Q$2902,AD$2,0)&lt;&gt;N2559,"Beam Revised","")</f>
        <v>#N/A</v>
      </c>
      <c r="AE2559" s="7" t="e">
        <f>IF(VLOOKUP($A2559,'Concrete Beam Schedule'!$A$2:$Q$2902,AE$2,0)&lt;&gt;O2559,"Beam Revised","")</f>
        <v>#N/A</v>
      </c>
    </row>
    <row r="2560" spans="17:31" ht="20.100000000000001" customHeight="1" x14ac:dyDescent="0.25">
      <c r="Q2560" s="7">
        <f t="shared" si="39"/>
        <v>0</v>
      </c>
      <c r="R2560" s="7" t="e">
        <f>IF(VLOOKUP($A2560,'Concrete Beam Schedule'!$A$2:$Q$2902,R$2,0)&lt;&gt;B2560,VLOOKUP($A2560,'Concrete Beam Schedule'!$A$2:$Q$2902,R$2,0),"")</f>
        <v>#N/A</v>
      </c>
      <c r="S2560" s="7" t="e">
        <f>IF(VLOOKUP($A2560,'Concrete Beam Schedule'!$A$2:$Q$2902,S$2,0)&lt;&gt;C2560,VLOOKUP($A2560,'Concrete Beam Schedule'!$A$2:$Q$2902,S$2,0),"")</f>
        <v>#N/A</v>
      </c>
      <c r="T2560" s="7" t="e">
        <f>IF(VLOOKUP($A2560,'Concrete Beam Schedule'!$A$2:$Q$2902,T$2,0)&lt;&gt;D2560,"Beam Revised","")</f>
        <v>#N/A</v>
      </c>
      <c r="U2560" s="7" t="e">
        <f>IF(VLOOKUP($A2560,'Concrete Beam Schedule'!$A$2:$Q$2902,U$2,0)&lt;&gt;E2560,"Beam Revised","")</f>
        <v>#N/A</v>
      </c>
      <c r="V2560" s="7" t="e">
        <f>IF(VLOOKUP($A2560,'Concrete Beam Schedule'!$A$2:$Q$2902,V$2,0)&lt;&gt;F2560,"Beam Revised","")</f>
        <v>#N/A</v>
      </c>
      <c r="W2560" s="7" t="e">
        <f>IF(VLOOKUP($A2560,'Concrete Beam Schedule'!$A$2:$Q$2902,W$2,0)&lt;&gt;G2560,"Beam Revised","")</f>
        <v>#N/A</v>
      </c>
      <c r="X2560" s="7" t="e">
        <f>IF(VLOOKUP($A2560,'Concrete Beam Schedule'!$A$2:$Q$2902,X$2,0)&lt;&gt;H2560,"Beam Revised","")</f>
        <v>#N/A</v>
      </c>
      <c r="Y2560" s="7" t="e">
        <f>IF(VLOOKUP($A2560,'Concrete Beam Schedule'!$A$2:$Q$2902,Y$2,0)&lt;&gt;I2560,"Beam Revised","")</f>
        <v>#N/A</v>
      </c>
      <c r="Z2560" s="7" t="e">
        <f>IF(VLOOKUP($A2560,'Concrete Beam Schedule'!$A$2:$Q$2902,Z$2,0)&lt;&gt;J2560,"Beam Revised","")</f>
        <v>#N/A</v>
      </c>
      <c r="AA2560" s="7" t="e">
        <f>IF(VLOOKUP($A2560,'Concrete Beam Schedule'!$A$2:$Q$2902,AA$2,0)&lt;&gt;K2560,"Beam Revised","")</f>
        <v>#N/A</v>
      </c>
      <c r="AB2560" s="7" t="e">
        <f>IF(VLOOKUP($A2560,'Concrete Beam Schedule'!$A$2:$Q$2902,AB$2,0)&lt;&gt;L2560,"Beam Revised","")</f>
        <v>#N/A</v>
      </c>
      <c r="AC2560" s="7" t="e">
        <f>IF(VLOOKUP($A2560,'Concrete Beam Schedule'!$A$2:$Q$2902,AC$2,0)&lt;&gt;M2560,"Beam Revised","")</f>
        <v>#N/A</v>
      </c>
      <c r="AD2560" s="7" t="e">
        <f>IF(VLOOKUP($A2560,'Concrete Beam Schedule'!$A$2:$Q$2902,AD$2,0)&lt;&gt;N2560,"Beam Revised","")</f>
        <v>#N/A</v>
      </c>
      <c r="AE2560" s="7" t="e">
        <f>IF(VLOOKUP($A2560,'Concrete Beam Schedule'!$A$2:$Q$2902,AE$2,0)&lt;&gt;O2560,"Beam Revised","")</f>
        <v>#N/A</v>
      </c>
    </row>
    <row r="2561" spans="17:31" ht="20.100000000000001" customHeight="1" x14ac:dyDescent="0.25">
      <c r="Q2561" s="7">
        <f t="shared" si="39"/>
        <v>0</v>
      </c>
      <c r="R2561" s="7" t="e">
        <f>IF(VLOOKUP($A2561,'Concrete Beam Schedule'!$A$2:$Q$2902,R$2,0)&lt;&gt;B2561,VLOOKUP($A2561,'Concrete Beam Schedule'!$A$2:$Q$2902,R$2,0),"")</f>
        <v>#N/A</v>
      </c>
      <c r="S2561" s="7" t="e">
        <f>IF(VLOOKUP($A2561,'Concrete Beam Schedule'!$A$2:$Q$2902,S$2,0)&lt;&gt;C2561,VLOOKUP($A2561,'Concrete Beam Schedule'!$A$2:$Q$2902,S$2,0),"")</f>
        <v>#N/A</v>
      </c>
      <c r="T2561" s="7" t="e">
        <f>IF(VLOOKUP($A2561,'Concrete Beam Schedule'!$A$2:$Q$2902,T$2,0)&lt;&gt;D2561,"Beam Revised","")</f>
        <v>#N/A</v>
      </c>
      <c r="U2561" s="7" t="e">
        <f>IF(VLOOKUP($A2561,'Concrete Beam Schedule'!$A$2:$Q$2902,U$2,0)&lt;&gt;E2561,"Beam Revised","")</f>
        <v>#N/A</v>
      </c>
      <c r="V2561" s="7" t="e">
        <f>IF(VLOOKUP($A2561,'Concrete Beam Schedule'!$A$2:$Q$2902,V$2,0)&lt;&gt;F2561,"Beam Revised","")</f>
        <v>#N/A</v>
      </c>
      <c r="W2561" s="7" t="e">
        <f>IF(VLOOKUP($A2561,'Concrete Beam Schedule'!$A$2:$Q$2902,W$2,0)&lt;&gt;G2561,"Beam Revised","")</f>
        <v>#N/A</v>
      </c>
      <c r="X2561" s="7" t="e">
        <f>IF(VLOOKUP($A2561,'Concrete Beam Schedule'!$A$2:$Q$2902,X$2,0)&lt;&gt;H2561,"Beam Revised","")</f>
        <v>#N/A</v>
      </c>
      <c r="Y2561" s="7" t="e">
        <f>IF(VLOOKUP($A2561,'Concrete Beam Schedule'!$A$2:$Q$2902,Y$2,0)&lt;&gt;I2561,"Beam Revised","")</f>
        <v>#N/A</v>
      </c>
      <c r="Z2561" s="7" t="e">
        <f>IF(VLOOKUP($A2561,'Concrete Beam Schedule'!$A$2:$Q$2902,Z$2,0)&lt;&gt;J2561,"Beam Revised","")</f>
        <v>#N/A</v>
      </c>
      <c r="AA2561" s="7" t="e">
        <f>IF(VLOOKUP($A2561,'Concrete Beam Schedule'!$A$2:$Q$2902,AA$2,0)&lt;&gt;K2561,"Beam Revised","")</f>
        <v>#N/A</v>
      </c>
      <c r="AB2561" s="7" t="e">
        <f>IF(VLOOKUP($A2561,'Concrete Beam Schedule'!$A$2:$Q$2902,AB$2,0)&lt;&gt;L2561,"Beam Revised","")</f>
        <v>#N/A</v>
      </c>
      <c r="AC2561" s="7" t="e">
        <f>IF(VLOOKUP($A2561,'Concrete Beam Schedule'!$A$2:$Q$2902,AC$2,0)&lt;&gt;M2561,"Beam Revised","")</f>
        <v>#N/A</v>
      </c>
      <c r="AD2561" s="7" t="e">
        <f>IF(VLOOKUP($A2561,'Concrete Beam Schedule'!$A$2:$Q$2902,AD$2,0)&lt;&gt;N2561,"Beam Revised","")</f>
        <v>#N/A</v>
      </c>
      <c r="AE2561" s="7" t="e">
        <f>IF(VLOOKUP($A2561,'Concrete Beam Schedule'!$A$2:$Q$2902,AE$2,0)&lt;&gt;O2561,"Beam Revised","")</f>
        <v>#N/A</v>
      </c>
    </row>
    <row r="2562" spans="17:31" ht="20.100000000000001" customHeight="1" x14ac:dyDescent="0.25">
      <c r="Q2562" s="7">
        <f t="shared" si="39"/>
        <v>0</v>
      </c>
      <c r="R2562" s="7" t="e">
        <f>IF(VLOOKUP($A2562,'Concrete Beam Schedule'!$A$2:$Q$2902,R$2,0)&lt;&gt;B2562,VLOOKUP($A2562,'Concrete Beam Schedule'!$A$2:$Q$2902,R$2,0),"")</f>
        <v>#N/A</v>
      </c>
      <c r="S2562" s="7" t="e">
        <f>IF(VLOOKUP($A2562,'Concrete Beam Schedule'!$A$2:$Q$2902,S$2,0)&lt;&gt;C2562,VLOOKUP($A2562,'Concrete Beam Schedule'!$A$2:$Q$2902,S$2,0),"")</f>
        <v>#N/A</v>
      </c>
      <c r="T2562" s="7" t="e">
        <f>IF(VLOOKUP($A2562,'Concrete Beam Schedule'!$A$2:$Q$2902,T$2,0)&lt;&gt;D2562,"Beam Revised","")</f>
        <v>#N/A</v>
      </c>
      <c r="U2562" s="7" t="e">
        <f>IF(VLOOKUP($A2562,'Concrete Beam Schedule'!$A$2:$Q$2902,U$2,0)&lt;&gt;E2562,"Beam Revised","")</f>
        <v>#N/A</v>
      </c>
      <c r="V2562" s="7" t="e">
        <f>IF(VLOOKUP($A2562,'Concrete Beam Schedule'!$A$2:$Q$2902,V$2,0)&lt;&gt;F2562,"Beam Revised","")</f>
        <v>#N/A</v>
      </c>
      <c r="W2562" s="7" t="e">
        <f>IF(VLOOKUP($A2562,'Concrete Beam Schedule'!$A$2:$Q$2902,W$2,0)&lt;&gt;G2562,"Beam Revised","")</f>
        <v>#N/A</v>
      </c>
      <c r="X2562" s="7" t="e">
        <f>IF(VLOOKUP($A2562,'Concrete Beam Schedule'!$A$2:$Q$2902,X$2,0)&lt;&gt;H2562,"Beam Revised","")</f>
        <v>#N/A</v>
      </c>
      <c r="Y2562" s="7" t="e">
        <f>IF(VLOOKUP($A2562,'Concrete Beam Schedule'!$A$2:$Q$2902,Y$2,0)&lt;&gt;I2562,"Beam Revised","")</f>
        <v>#N/A</v>
      </c>
      <c r="Z2562" s="7" t="e">
        <f>IF(VLOOKUP($A2562,'Concrete Beam Schedule'!$A$2:$Q$2902,Z$2,0)&lt;&gt;J2562,"Beam Revised","")</f>
        <v>#N/A</v>
      </c>
      <c r="AA2562" s="7" t="e">
        <f>IF(VLOOKUP($A2562,'Concrete Beam Schedule'!$A$2:$Q$2902,AA$2,0)&lt;&gt;K2562,"Beam Revised","")</f>
        <v>#N/A</v>
      </c>
      <c r="AB2562" s="7" t="e">
        <f>IF(VLOOKUP($A2562,'Concrete Beam Schedule'!$A$2:$Q$2902,AB$2,0)&lt;&gt;L2562,"Beam Revised","")</f>
        <v>#N/A</v>
      </c>
      <c r="AC2562" s="7" t="e">
        <f>IF(VLOOKUP($A2562,'Concrete Beam Schedule'!$A$2:$Q$2902,AC$2,0)&lt;&gt;M2562,"Beam Revised","")</f>
        <v>#N/A</v>
      </c>
      <c r="AD2562" s="7" t="e">
        <f>IF(VLOOKUP($A2562,'Concrete Beam Schedule'!$A$2:$Q$2902,AD$2,0)&lt;&gt;N2562,"Beam Revised","")</f>
        <v>#N/A</v>
      </c>
      <c r="AE2562" s="7" t="e">
        <f>IF(VLOOKUP($A2562,'Concrete Beam Schedule'!$A$2:$Q$2902,AE$2,0)&lt;&gt;O2562,"Beam Revised","")</f>
        <v>#N/A</v>
      </c>
    </row>
    <row r="2563" spans="17:31" ht="20.100000000000001" customHeight="1" x14ac:dyDescent="0.25">
      <c r="Q2563" s="7">
        <f t="shared" si="39"/>
        <v>0</v>
      </c>
      <c r="R2563" s="7" t="e">
        <f>IF(VLOOKUP($A2563,'Concrete Beam Schedule'!$A$2:$Q$2902,R$2,0)&lt;&gt;B2563,VLOOKUP($A2563,'Concrete Beam Schedule'!$A$2:$Q$2902,R$2,0),"")</f>
        <v>#N/A</v>
      </c>
      <c r="S2563" s="7" t="e">
        <f>IF(VLOOKUP($A2563,'Concrete Beam Schedule'!$A$2:$Q$2902,S$2,0)&lt;&gt;C2563,VLOOKUP($A2563,'Concrete Beam Schedule'!$A$2:$Q$2902,S$2,0),"")</f>
        <v>#N/A</v>
      </c>
      <c r="T2563" s="7" t="e">
        <f>IF(VLOOKUP($A2563,'Concrete Beam Schedule'!$A$2:$Q$2902,T$2,0)&lt;&gt;D2563,"Beam Revised","")</f>
        <v>#N/A</v>
      </c>
      <c r="U2563" s="7" t="e">
        <f>IF(VLOOKUP($A2563,'Concrete Beam Schedule'!$A$2:$Q$2902,U$2,0)&lt;&gt;E2563,"Beam Revised","")</f>
        <v>#N/A</v>
      </c>
      <c r="V2563" s="7" t="e">
        <f>IF(VLOOKUP($A2563,'Concrete Beam Schedule'!$A$2:$Q$2902,V$2,0)&lt;&gt;F2563,"Beam Revised","")</f>
        <v>#N/A</v>
      </c>
      <c r="W2563" s="7" t="e">
        <f>IF(VLOOKUP($A2563,'Concrete Beam Schedule'!$A$2:$Q$2902,W$2,0)&lt;&gt;G2563,"Beam Revised","")</f>
        <v>#N/A</v>
      </c>
      <c r="X2563" s="7" t="e">
        <f>IF(VLOOKUP($A2563,'Concrete Beam Schedule'!$A$2:$Q$2902,X$2,0)&lt;&gt;H2563,"Beam Revised","")</f>
        <v>#N/A</v>
      </c>
      <c r="Y2563" s="7" t="e">
        <f>IF(VLOOKUP($A2563,'Concrete Beam Schedule'!$A$2:$Q$2902,Y$2,0)&lt;&gt;I2563,"Beam Revised","")</f>
        <v>#N/A</v>
      </c>
      <c r="Z2563" s="7" t="e">
        <f>IF(VLOOKUP($A2563,'Concrete Beam Schedule'!$A$2:$Q$2902,Z$2,0)&lt;&gt;J2563,"Beam Revised","")</f>
        <v>#N/A</v>
      </c>
      <c r="AA2563" s="7" t="e">
        <f>IF(VLOOKUP($A2563,'Concrete Beam Schedule'!$A$2:$Q$2902,AA$2,0)&lt;&gt;K2563,"Beam Revised","")</f>
        <v>#N/A</v>
      </c>
      <c r="AB2563" s="7" t="e">
        <f>IF(VLOOKUP($A2563,'Concrete Beam Schedule'!$A$2:$Q$2902,AB$2,0)&lt;&gt;L2563,"Beam Revised","")</f>
        <v>#N/A</v>
      </c>
      <c r="AC2563" s="7" t="e">
        <f>IF(VLOOKUP($A2563,'Concrete Beam Schedule'!$A$2:$Q$2902,AC$2,0)&lt;&gt;M2563,"Beam Revised","")</f>
        <v>#N/A</v>
      </c>
      <c r="AD2563" s="7" t="e">
        <f>IF(VLOOKUP($A2563,'Concrete Beam Schedule'!$A$2:$Q$2902,AD$2,0)&lt;&gt;N2563,"Beam Revised","")</f>
        <v>#N/A</v>
      </c>
      <c r="AE2563" s="7" t="e">
        <f>IF(VLOOKUP($A2563,'Concrete Beam Schedule'!$A$2:$Q$2902,AE$2,0)&lt;&gt;O2563,"Beam Revised","")</f>
        <v>#N/A</v>
      </c>
    </row>
    <row r="2564" spans="17:31" ht="20.100000000000001" customHeight="1" x14ac:dyDescent="0.25">
      <c r="Q2564" s="7">
        <f t="shared" ref="Q2564:Q2627" si="40">A2564</f>
        <v>0</v>
      </c>
      <c r="R2564" s="7" t="e">
        <f>IF(VLOOKUP($A2564,'Concrete Beam Schedule'!$A$2:$Q$2902,R$2,0)&lt;&gt;B2564,VLOOKUP($A2564,'Concrete Beam Schedule'!$A$2:$Q$2902,R$2,0),"")</f>
        <v>#N/A</v>
      </c>
      <c r="S2564" s="7" t="e">
        <f>IF(VLOOKUP($A2564,'Concrete Beam Schedule'!$A$2:$Q$2902,S$2,0)&lt;&gt;C2564,VLOOKUP($A2564,'Concrete Beam Schedule'!$A$2:$Q$2902,S$2,0),"")</f>
        <v>#N/A</v>
      </c>
      <c r="T2564" s="7" t="e">
        <f>IF(VLOOKUP($A2564,'Concrete Beam Schedule'!$A$2:$Q$2902,T$2,0)&lt;&gt;D2564,"Beam Revised","")</f>
        <v>#N/A</v>
      </c>
      <c r="U2564" s="7" t="e">
        <f>IF(VLOOKUP($A2564,'Concrete Beam Schedule'!$A$2:$Q$2902,U$2,0)&lt;&gt;E2564,"Beam Revised","")</f>
        <v>#N/A</v>
      </c>
      <c r="V2564" s="7" t="e">
        <f>IF(VLOOKUP($A2564,'Concrete Beam Schedule'!$A$2:$Q$2902,V$2,0)&lt;&gt;F2564,"Beam Revised","")</f>
        <v>#N/A</v>
      </c>
      <c r="W2564" s="7" t="e">
        <f>IF(VLOOKUP($A2564,'Concrete Beam Schedule'!$A$2:$Q$2902,W$2,0)&lt;&gt;G2564,"Beam Revised","")</f>
        <v>#N/A</v>
      </c>
      <c r="X2564" s="7" t="e">
        <f>IF(VLOOKUP($A2564,'Concrete Beam Schedule'!$A$2:$Q$2902,X$2,0)&lt;&gt;H2564,"Beam Revised","")</f>
        <v>#N/A</v>
      </c>
      <c r="Y2564" s="7" t="e">
        <f>IF(VLOOKUP($A2564,'Concrete Beam Schedule'!$A$2:$Q$2902,Y$2,0)&lt;&gt;I2564,"Beam Revised","")</f>
        <v>#N/A</v>
      </c>
      <c r="Z2564" s="7" t="e">
        <f>IF(VLOOKUP($A2564,'Concrete Beam Schedule'!$A$2:$Q$2902,Z$2,0)&lt;&gt;J2564,"Beam Revised","")</f>
        <v>#N/A</v>
      </c>
      <c r="AA2564" s="7" t="e">
        <f>IF(VLOOKUP($A2564,'Concrete Beam Schedule'!$A$2:$Q$2902,AA$2,0)&lt;&gt;K2564,"Beam Revised","")</f>
        <v>#N/A</v>
      </c>
      <c r="AB2564" s="7" t="e">
        <f>IF(VLOOKUP($A2564,'Concrete Beam Schedule'!$A$2:$Q$2902,AB$2,0)&lt;&gt;L2564,"Beam Revised","")</f>
        <v>#N/A</v>
      </c>
      <c r="AC2564" s="7" t="e">
        <f>IF(VLOOKUP($A2564,'Concrete Beam Schedule'!$A$2:$Q$2902,AC$2,0)&lt;&gt;M2564,"Beam Revised","")</f>
        <v>#N/A</v>
      </c>
      <c r="AD2564" s="7" t="e">
        <f>IF(VLOOKUP($A2564,'Concrete Beam Schedule'!$A$2:$Q$2902,AD$2,0)&lt;&gt;N2564,"Beam Revised","")</f>
        <v>#N/A</v>
      </c>
      <c r="AE2564" s="7" t="e">
        <f>IF(VLOOKUP($A2564,'Concrete Beam Schedule'!$A$2:$Q$2902,AE$2,0)&lt;&gt;O2564,"Beam Revised","")</f>
        <v>#N/A</v>
      </c>
    </row>
    <row r="2565" spans="17:31" ht="20.100000000000001" customHeight="1" x14ac:dyDescent="0.25">
      <c r="Q2565" s="7">
        <f t="shared" si="40"/>
        <v>0</v>
      </c>
      <c r="R2565" s="7" t="e">
        <f>IF(VLOOKUP($A2565,'Concrete Beam Schedule'!$A$2:$Q$2902,R$2,0)&lt;&gt;B2565,VLOOKUP($A2565,'Concrete Beam Schedule'!$A$2:$Q$2902,R$2,0),"")</f>
        <v>#N/A</v>
      </c>
      <c r="S2565" s="7" t="e">
        <f>IF(VLOOKUP($A2565,'Concrete Beam Schedule'!$A$2:$Q$2902,S$2,0)&lt;&gt;C2565,VLOOKUP($A2565,'Concrete Beam Schedule'!$A$2:$Q$2902,S$2,0),"")</f>
        <v>#N/A</v>
      </c>
      <c r="T2565" s="7" t="e">
        <f>IF(VLOOKUP($A2565,'Concrete Beam Schedule'!$A$2:$Q$2902,T$2,0)&lt;&gt;D2565,"Beam Revised","")</f>
        <v>#N/A</v>
      </c>
      <c r="U2565" s="7" t="e">
        <f>IF(VLOOKUP($A2565,'Concrete Beam Schedule'!$A$2:$Q$2902,U$2,0)&lt;&gt;E2565,"Beam Revised","")</f>
        <v>#N/A</v>
      </c>
      <c r="V2565" s="7" t="e">
        <f>IF(VLOOKUP($A2565,'Concrete Beam Schedule'!$A$2:$Q$2902,V$2,0)&lt;&gt;F2565,"Beam Revised","")</f>
        <v>#N/A</v>
      </c>
      <c r="W2565" s="7" t="e">
        <f>IF(VLOOKUP($A2565,'Concrete Beam Schedule'!$A$2:$Q$2902,W$2,0)&lt;&gt;G2565,"Beam Revised","")</f>
        <v>#N/A</v>
      </c>
      <c r="X2565" s="7" t="e">
        <f>IF(VLOOKUP($A2565,'Concrete Beam Schedule'!$A$2:$Q$2902,X$2,0)&lt;&gt;H2565,"Beam Revised","")</f>
        <v>#N/A</v>
      </c>
      <c r="Y2565" s="7" t="e">
        <f>IF(VLOOKUP($A2565,'Concrete Beam Schedule'!$A$2:$Q$2902,Y$2,0)&lt;&gt;I2565,"Beam Revised","")</f>
        <v>#N/A</v>
      </c>
      <c r="Z2565" s="7" t="e">
        <f>IF(VLOOKUP($A2565,'Concrete Beam Schedule'!$A$2:$Q$2902,Z$2,0)&lt;&gt;J2565,"Beam Revised","")</f>
        <v>#N/A</v>
      </c>
      <c r="AA2565" s="7" t="e">
        <f>IF(VLOOKUP($A2565,'Concrete Beam Schedule'!$A$2:$Q$2902,AA$2,0)&lt;&gt;K2565,"Beam Revised","")</f>
        <v>#N/A</v>
      </c>
      <c r="AB2565" s="7" t="e">
        <f>IF(VLOOKUP($A2565,'Concrete Beam Schedule'!$A$2:$Q$2902,AB$2,0)&lt;&gt;L2565,"Beam Revised","")</f>
        <v>#N/A</v>
      </c>
      <c r="AC2565" s="7" t="e">
        <f>IF(VLOOKUP($A2565,'Concrete Beam Schedule'!$A$2:$Q$2902,AC$2,0)&lt;&gt;M2565,"Beam Revised","")</f>
        <v>#N/A</v>
      </c>
      <c r="AD2565" s="7" t="e">
        <f>IF(VLOOKUP($A2565,'Concrete Beam Schedule'!$A$2:$Q$2902,AD$2,0)&lt;&gt;N2565,"Beam Revised","")</f>
        <v>#N/A</v>
      </c>
      <c r="AE2565" s="7" t="e">
        <f>IF(VLOOKUP($A2565,'Concrete Beam Schedule'!$A$2:$Q$2902,AE$2,0)&lt;&gt;O2565,"Beam Revised","")</f>
        <v>#N/A</v>
      </c>
    </row>
    <row r="2566" spans="17:31" ht="20.100000000000001" customHeight="1" x14ac:dyDescent="0.25">
      <c r="Q2566" s="7">
        <f t="shared" si="40"/>
        <v>0</v>
      </c>
      <c r="R2566" s="7" t="e">
        <f>IF(VLOOKUP($A2566,'Concrete Beam Schedule'!$A$2:$Q$2902,R$2,0)&lt;&gt;B2566,VLOOKUP($A2566,'Concrete Beam Schedule'!$A$2:$Q$2902,R$2,0),"")</f>
        <v>#N/A</v>
      </c>
      <c r="S2566" s="7" t="e">
        <f>IF(VLOOKUP($A2566,'Concrete Beam Schedule'!$A$2:$Q$2902,S$2,0)&lt;&gt;C2566,VLOOKUP($A2566,'Concrete Beam Schedule'!$A$2:$Q$2902,S$2,0),"")</f>
        <v>#N/A</v>
      </c>
      <c r="T2566" s="7" t="e">
        <f>IF(VLOOKUP($A2566,'Concrete Beam Schedule'!$A$2:$Q$2902,T$2,0)&lt;&gt;D2566,"Beam Revised","")</f>
        <v>#N/A</v>
      </c>
      <c r="U2566" s="7" t="e">
        <f>IF(VLOOKUP($A2566,'Concrete Beam Schedule'!$A$2:$Q$2902,U$2,0)&lt;&gt;E2566,"Beam Revised","")</f>
        <v>#N/A</v>
      </c>
      <c r="V2566" s="7" t="e">
        <f>IF(VLOOKUP($A2566,'Concrete Beam Schedule'!$A$2:$Q$2902,V$2,0)&lt;&gt;F2566,"Beam Revised","")</f>
        <v>#N/A</v>
      </c>
      <c r="W2566" s="7" t="e">
        <f>IF(VLOOKUP($A2566,'Concrete Beam Schedule'!$A$2:$Q$2902,W$2,0)&lt;&gt;G2566,"Beam Revised","")</f>
        <v>#N/A</v>
      </c>
      <c r="X2566" s="7" t="e">
        <f>IF(VLOOKUP($A2566,'Concrete Beam Schedule'!$A$2:$Q$2902,X$2,0)&lt;&gt;H2566,"Beam Revised","")</f>
        <v>#N/A</v>
      </c>
      <c r="Y2566" s="7" t="e">
        <f>IF(VLOOKUP($A2566,'Concrete Beam Schedule'!$A$2:$Q$2902,Y$2,0)&lt;&gt;I2566,"Beam Revised","")</f>
        <v>#N/A</v>
      </c>
      <c r="Z2566" s="7" t="e">
        <f>IF(VLOOKUP($A2566,'Concrete Beam Schedule'!$A$2:$Q$2902,Z$2,0)&lt;&gt;J2566,"Beam Revised","")</f>
        <v>#N/A</v>
      </c>
      <c r="AA2566" s="7" t="e">
        <f>IF(VLOOKUP($A2566,'Concrete Beam Schedule'!$A$2:$Q$2902,AA$2,0)&lt;&gt;K2566,"Beam Revised","")</f>
        <v>#N/A</v>
      </c>
      <c r="AB2566" s="7" t="e">
        <f>IF(VLOOKUP($A2566,'Concrete Beam Schedule'!$A$2:$Q$2902,AB$2,0)&lt;&gt;L2566,"Beam Revised","")</f>
        <v>#N/A</v>
      </c>
      <c r="AC2566" s="7" t="e">
        <f>IF(VLOOKUP($A2566,'Concrete Beam Schedule'!$A$2:$Q$2902,AC$2,0)&lt;&gt;M2566,"Beam Revised","")</f>
        <v>#N/A</v>
      </c>
      <c r="AD2566" s="7" t="e">
        <f>IF(VLOOKUP($A2566,'Concrete Beam Schedule'!$A$2:$Q$2902,AD$2,0)&lt;&gt;N2566,"Beam Revised","")</f>
        <v>#N/A</v>
      </c>
      <c r="AE2566" s="7" t="e">
        <f>IF(VLOOKUP($A2566,'Concrete Beam Schedule'!$A$2:$Q$2902,AE$2,0)&lt;&gt;O2566,"Beam Revised","")</f>
        <v>#N/A</v>
      </c>
    </row>
    <row r="2567" spans="17:31" ht="20.100000000000001" customHeight="1" x14ac:dyDescent="0.25">
      <c r="Q2567" s="7">
        <f t="shared" si="40"/>
        <v>0</v>
      </c>
      <c r="R2567" s="7" t="e">
        <f>IF(VLOOKUP($A2567,'Concrete Beam Schedule'!$A$2:$Q$2902,R$2,0)&lt;&gt;B2567,VLOOKUP($A2567,'Concrete Beam Schedule'!$A$2:$Q$2902,R$2,0),"")</f>
        <v>#N/A</v>
      </c>
      <c r="S2567" s="7" t="e">
        <f>IF(VLOOKUP($A2567,'Concrete Beam Schedule'!$A$2:$Q$2902,S$2,0)&lt;&gt;C2567,VLOOKUP($A2567,'Concrete Beam Schedule'!$A$2:$Q$2902,S$2,0),"")</f>
        <v>#N/A</v>
      </c>
      <c r="T2567" s="7" t="e">
        <f>IF(VLOOKUP($A2567,'Concrete Beam Schedule'!$A$2:$Q$2902,T$2,0)&lt;&gt;D2567,"Beam Revised","")</f>
        <v>#N/A</v>
      </c>
      <c r="U2567" s="7" t="e">
        <f>IF(VLOOKUP($A2567,'Concrete Beam Schedule'!$A$2:$Q$2902,U$2,0)&lt;&gt;E2567,"Beam Revised","")</f>
        <v>#N/A</v>
      </c>
      <c r="V2567" s="7" t="e">
        <f>IF(VLOOKUP($A2567,'Concrete Beam Schedule'!$A$2:$Q$2902,V$2,0)&lt;&gt;F2567,"Beam Revised","")</f>
        <v>#N/A</v>
      </c>
      <c r="W2567" s="7" t="e">
        <f>IF(VLOOKUP($A2567,'Concrete Beam Schedule'!$A$2:$Q$2902,W$2,0)&lt;&gt;G2567,"Beam Revised","")</f>
        <v>#N/A</v>
      </c>
      <c r="X2567" s="7" t="e">
        <f>IF(VLOOKUP($A2567,'Concrete Beam Schedule'!$A$2:$Q$2902,X$2,0)&lt;&gt;H2567,"Beam Revised","")</f>
        <v>#N/A</v>
      </c>
      <c r="Y2567" s="7" t="e">
        <f>IF(VLOOKUP($A2567,'Concrete Beam Schedule'!$A$2:$Q$2902,Y$2,0)&lt;&gt;I2567,"Beam Revised","")</f>
        <v>#N/A</v>
      </c>
      <c r="Z2567" s="7" t="e">
        <f>IF(VLOOKUP($A2567,'Concrete Beam Schedule'!$A$2:$Q$2902,Z$2,0)&lt;&gt;J2567,"Beam Revised","")</f>
        <v>#N/A</v>
      </c>
      <c r="AA2567" s="7" t="e">
        <f>IF(VLOOKUP($A2567,'Concrete Beam Schedule'!$A$2:$Q$2902,AA$2,0)&lt;&gt;K2567,"Beam Revised","")</f>
        <v>#N/A</v>
      </c>
      <c r="AB2567" s="7" t="e">
        <f>IF(VLOOKUP($A2567,'Concrete Beam Schedule'!$A$2:$Q$2902,AB$2,0)&lt;&gt;L2567,"Beam Revised","")</f>
        <v>#N/A</v>
      </c>
      <c r="AC2567" s="7" t="e">
        <f>IF(VLOOKUP($A2567,'Concrete Beam Schedule'!$A$2:$Q$2902,AC$2,0)&lt;&gt;M2567,"Beam Revised","")</f>
        <v>#N/A</v>
      </c>
      <c r="AD2567" s="7" t="e">
        <f>IF(VLOOKUP($A2567,'Concrete Beam Schedule'!$A$2:$Q$2902,AD$2,0)&lt;&gt;N2567,"Beam Revised","")</f>
        <v>#N/A</v>
      </c>
      <c r="AE2567" s="7" t="e">
        <f>IF(VLOOKUP($A2567,'Concrete Beam Schedule'!$A$2:$Q$2902,AE$2,0)&lt;&gt;O2567,"Beam Revised","")</f>
        <v>#N/A</v>
      </c>
    </row>
    <row r="2568" spans="17:31" ht="20.100000000000001" customHeight="1" x14ac:dyDescent="0.25">
      <c r="Q2568" s="7">
        <f t="shared" si="40"/>
        <v>0</v>
      </c>
      <c r="R2568" s="7" t="e">
        <f>IF(VLOOKUP($A2568,'Concrete Beam Schedule'!$A$2:$Q$2902,R$2,0)&lt;&gt;B2568,VLOOKUP($A2568,'Concrete Beam Schedule'!$A$2:$Q$2902,R$2,0),"")</f>
        <v>#N/A</v>
      </c>
      <c r="S2568" s="7" t="e">
        <f>IF(VLOOKUP($A2568,'Concrete Beam Schedule'!$A$2:$Q$2902,S$2,0)&lt;&gt;C2568,VLOOKUP($A2568,'Concrete Beam Schedule'!$A$2:$Q$2902,S$2,0),"")</f>
        <v>#N/A</v>
      </c>
      <c r="T2568" s="7" t="e">
        <f>IF(VLOOKUP($A2568,'Concrete Beam Schedule'!$A$2:$Q$2902,T$2,0)&lt;&gt;D2568,"Beam Revised","")</f>
        <v>#N/A</v>
      </c>
      <c r="U2568" s="7" t="e">
        <f>IF(VLOOKUP($A2568,'Concrete Beam Schedule'!$A$2:$Q$2902,U$2,0)&lt;&gt;E2568,"Beam Revised","")</f>
        <v>#N/A</v>
      </c>
      <c r="V2568" s="7" t="e">
        <f>IF(VLOOKUP($A2568,'Concrete Beam Schedule'!$A$2:$Q$2902,V$2,0)&lt;&gt;F2568,"Beam Revised","")</f>
        <v>#N/A</v>
      </c>
      <c r="W2568" s="7" t="e">
        <f>IF(VLOOKUP($A2568,'Concrete Beam Schedule'!$A$2:$Q$2902,W$2,0)&lt;&gt;G2568,"Beam Revised","")</f>
        <v>#N/A</v>
      </c>
      <c r="X2568" s="7" t="e">
        <f>IF(VLOOKUP($A2568,'Concrete Beam Schedule'!$A$2:$Q$2902,X$2,0)&lt;&gt;H2568,"Beam Revised","")</f>
        <v>#N/A</v>
      </c>
      <c r="Y2568" s="7" t="e">
        <f>IF(VLOOKUP($A2568,'Concrete Beam Schedule'!$A$2:$Q$2902,Y$2,0)&lt;&gt;I2568,"Beam Revised","")</f>
        <v>#N/A</v>
      </c>
      <c r="Z2568" s="7" t="e">
        <f>IF(VLOOKUP($A2568,'Concrete Beam Schedule'!$A$2:$Q$2902,Z$2,0)&lt;&gt;J2568,"Beam Revised","")</f>
        <v>#N/A</v>
      </c>
      <c r="AA2568" s="7" t="e">
        <f>IF(VLOOKUP($A2568,'Concrete Beam Schedule'!$A$2:$Q$2902,AA$2,0)&lt;&gt;K2568,"Beam Revised","")</f>
        <v>#N/A</v>
      </c>
      <c r="AB2568" s="7" t="e">
        <f>IF(VLOOKUP($A2568,'Concrete Beam Schedule'!$A$2:$Q$2902,AB$2,0)&lt;&gt;L2568,"Beam Revised","")</f>
        <v>#N/A</v>
      </c>
      <c r="AC2568" s="7" t="e">
        <f>IF(VLOOKUP($A2568,'Concrete Beam Schedule'!$A$2:$Q$2902,AC$2,0)&lt;&gt;M2568,"Beam Revised","")</f>
        <v>#N/A</v>
      </c>
      <c r="AD2568" s="7" t="e">
        <f>IF(VLOOKUP($A2568,'Concrete Beam Schedule'!$A$2:$Q$2902,AD$2,0)&lt;&gt;N2568,"Beam Revised","")</f>
        <v>#N/A</v>
      </c>
      <c r="AE2568" s="7" t="e">
        <f>IF(VLOOKUP($A2568,'Concrete Beam Schedule'!$A$2:$Q$2902,AE$2,0)&lt;&gt;O2568,"Beam Revised","")</f>
        <v>#N/A</v>
      </c>
    </row>
    <row r="2569" spans="17:31" ht="20.100000000000001" customHeight="1" x14ac:dyDescent="0.25">
      <c r="Q2569" s="7">
        <f t="shared" si="40"/>
        <v>0</v>
      </c>
      <c r="R2569" s="7" t="e">
        <f>IF(VLOOKUP($A2569,'Concrete Beam Schedule'!$A$2:$Q$2902,R$2,0)&lt;&gt;B2569,VLOOKUP($A2569,'Concrete Beam Schedule'!$A$2:$Q$2902,R$2,0),"")</f>
        <v>#N/A</v>
      </c>
      <c r="S2569" s="7" t="e">
        <f>IF(VLOOKUP($A2569,'Concrete Beam Schedule'!$A$2:$Q$2902,S$2,0)&lt;&gt;C2569,VLOOKUP($A2569,'Concrete Beam Schedule'!$A$2:$Q$2902,S$2,0),"")</f>
        <v>#N/A</v>
      </c>
      <c r="T2569" s="7" t="e">
        <f>IF(VLOOKUP($A2569,'Concrete Beam Schedule'!$A$2:$Q$2902,T$2,0)&lt;&gt;D2569,"Beam Revised","")</f>
        <v>#N/A</v>
      </c>
      <c r="U2569" s="7" t="e">
        <f>IF(VLOOKUP($A2569,'Concrete Beam Schedule'!$A$2:$Q$2902,U$2,0)&lt;&gt;E2569,"Beam Revised","")</f>
        <v>#N/A</v>
      </c>
      <c r="V2569" s="7" t="e">
        <f>IF(VLOOKUP($A2569,'Concrete Beam Schedule'!$A$2:$Q$2902,V$2,0)&lt;&gt;F2569,"Beam Revised","")</f>
        <v>#N/A</v>
      </c>
      <c r="W2569" s="7" t="e">
        <f>IF(VLOOKUP($A2569,'Concrete Beam Schedule'!$A$2:$Q$2902,W$2,0)&lt;&gt;G2569,"Beam Revised","")</f>
        <v>#N/A</v>
      </c>
      <c r="X2569" s="7" t="e">
        <f>IF(VLOOKUP($A2569,'Concrete Beam Schedule'!$A$2:$Q$2902,X$2,0)&lt;&gt;H2569,"Beam Revised","")</f>
        <v>#N/A</v>
      </c>
      <c r="Y2569" s="7" t="e">
        <f>IF(VLOOKUP($A2569,'Concrete Beam Schedule'!$A$2:$Q$2902,Y$2,0)&lt;&gt;I2569,"Beam Revised","")</f>
        <v>#N/A</v>
      </c>
      <c r="Z2569" s="7" t="e">
        <f>IF(VLOOKUP($A2569,'Concrete Beam Schedule'!$A$2:$Q$2902,Z$2,0)&lt;&gt;J2569,"Beam Revised","")</f>
        <v>#N/A</v>
      </c>
      <c r="AA2569" s="7" t="e">
        <f>IF(VLOOKUP($A2569,'Concrete Beam Schedule'!$A$2:$Q$2902,AA$2,0)&lt;&gt;K2569,"Beam Revised","")</f>
        <v>#N/A</v>
      </c>
      <c r="AB2569" s="7" t="e">
        <f>IF(VLOOKUP($A2569,'Concrete Beam Schedule'!$A$2:$Q$2902,AB$2,0)&lt;&gt;L2569,"Beam Revised","")</f>
        <v>#N/A</v>
      </c>
      <c r="AC2569" s="7" t="e">
        <f>IF(VLOOKUP($A2569,'Concrete Beam Schedule'!$A$2:$Q$2902,AC$2,0)&lt;&gt;M2569,"Beam Revised","")</f>
        <v>#N/A</v>
      </c>
      <c r="AD2569" s="7" t="e">
        <f>IF(VLOOKUP($A2569,'Concrete Beam Schedule'!$A$2:$Q$2902,AD$2,0)&lt;&gt;N2569,"Beam Revised","")</f>
        <v>#N/A</v>
      </c>
      <c r="AE2569" s="7" t="e">
        <f>IF(VLOOKUP($A2569,'Concrete Beam Schedule'!$A$2:$Q$2902,AE$2,0)&lt;&gt;O2569,"Beam Revised","")</f>
        <v>#N/A</v>
      </c>
    </row>
    <row r="2570" spans="17:31" ht="20.100000000000001" customHeight="1" x14ac:dyDescent="0.25">
      <c r="Q2570" s="7">
        <f t="shared" si="40"/>
        <v>0</v>
      </c>
      <c r="R2570" s="7" t="e">
        <f>IF(VLOOKUP($A2570,'Concrete Beam Schedule'!$A$2:$Q$2902,R$2,0)&lt;&gt;B2570,VLOOKUP($A2570,'Concrete Beam Schedule'!$A$2:$Q$2902,R$2,0),"")</f>
        <v>#N/A</v>
      </c>
      <c r="S2570" s="7" t="e">
        <f>IF(VLOOKUP($A2570,'Concrete Beam Schedule'!$A$2:$Q$2902,S$2,0)&lt;&gt;C2570,VLOOKUP($A2570,'Concrete Beam Schedule'!$A$2:$Q$2902,S$2,0),"")</f>
        <v>#N/A</v>
      </c>
      <c r="T2570" s="7" t="e">
        <f>IF(VLOOKUP($A2570,'Concrete Beam Schedule'!$A$2:$Q$2902,T$2,0)&lt;&gt;D2570,"Beam Revised","")</f>
        <v>#N/A</v>
      </c>
      <c r="U2570" s="7" t="e">
        <f>IF(VLOOKUP($A2570,'Concrete Beam Schedule'!$A$2:$Q$2902,U$2,0)&lt;&gt;E2570,"Beam Revised","")</f>
        <v>#N/A</v>
      </c>
      <c r="V2570" s="7" t="e">
        <f>IF(VLOOKUP($A2570,'Concrete Beam Schedule'!$A$2:$Q$2902,V$2,0)&lt;&gt;F2570,"Beam Revised","")</f>
        <v>#N/A</v>
      </c>
      <c r="W2570" s="7" t="e">
        <f>IF(VLOOKUP($A2570,'Concrete Beam Schedule'!$A$2:$Q$2902,W$2,0)&lt;&gt;G2570,"Beam Revised","")</f>
        <v>#N/A</v>
      </c>
      <c r="X2570" s="7" t="e">
        <f>IF(VLOOKUP($A2570,'Concrete Beam Schedule'!$A$2:$Q$2902,X$2,0)&lt;&gt;H2570,"Beam Revised","")</f>
        <v>#N/A</v>
      </c>
      <c r="Y2570" s="7" t="e">
        <f>IF(VLOOKUP($A2570,'Concrete Beam Schedule'!$A$2:$Q$2902,Y$2,0)&lt;&gt;I2570,"Beam Revised","")</f>
        <v>#N/A</v>
      </c>
      <c r="Z2570" s="7" t="e">
        <f>IF(VLOOKUP($A2570,'Concrete Beam Schedule'!$A$2:$Q$2902,Z$2,0)&lt;&gt;J2570,"Beam Revised","")</f>
        <v>#N/A</v>
      </c>
      <c r="AA2570" s="7" t="e">
        <f>IF(VLOOKUP($A2570,'Concrete Beam Schedule'!$A$2:$Q$2902,AA$2,0)&lt;&gt;K2570,"Beam Revised","")</f>
        <v>#N/A</v>
      </c>
      <c r="AB2570" s="7" t="e">
        <f>IF(VLOOKUP($A2570,'Concrete Beam Schedule'!$A$2:$Q$2902,AB$2,0)&lt;&gt;L2570,"Beam Revised","")</f>
        <v>#N/A</v>
      </c>
      <c r="AC2570" s="7" t="e">
        <f>IF(VLOOKUP($A2570,'Concrete Beam Schedule'!$A$2:$Q$2902,AC$2,0)&lt;&gt;M2570,"Beam Revised","")</f>
        <v>#N/A</v>
      </c>
      <c r="AD2570" s="7" t="e">
        <f>IF(VLOOKUP($A2570,'Concrete Beam Schedule'!$A$2:$Q$2902,AD$2,0)&lt;&gt;N2570,"Beam Revised","")</f>
        <v>#N/A</v>
      </c>
      <c r="AE2570" s="7" t="e">
        <f>IF(VLOOKUP($A2570,'Concrete Beam Schedule'!$A$2:$Q$2902,AE$2,0)&lt;&gt;O2570,"Beam Revised","")</f>
        <v>#N/A</v>
      </c>
    </row>
    <row r="2571" spans="17:31" ht="20.100000000000001" customHeight="1" x14ac:dyDescent="0.25">
      <c r="Q2571" s="7">
        <f t="shared" si="40"/>
        <v>0</v>
      </c>
      <c r="R2571" s="7" t="e">
        <f>IF(VLOOKUP($A2571,'Concrete Beam Schedule'!$A$2:$Q$2902,R$2,0)&lt;&gt;B2571,VLOOKUP($A2571,'Concrete Beam Schedule'!$A$2:$Q$2902,R$2,0),"")</f>
        <v>#N/A</v>
      </c>
      <c r="S2571" s="7" t="e">
        <f>IF(VLOOKUP($A2571,'Concrete Beam Schedule'!$A$2:$Q$2902,S$2,0)&lt;&gt;C2571,VLOOKUP($A2571,'Concrete Beam Schedule'!$A$2:$Q$2902,S$2,0),"")</f>
        <v>#N/A</v>
      </c>
      <c r="T2571" s="7" t="e">
        <f>IF(VLOOKUP($A2571,'Concrete Beam Schedule'!$A$2:$Q$2902,T$2,0)&lt;&gt;D2571,"Beam Revised","")</f>
        <v>#N/A</v>
      </c>
      <c r="U2571" s="7" t="e">
        <f>IF(VLOOKUP($A2571,'Concrete Beam Schedule'!$A$2:$Q$2902,U$2,0)&lt;&gt;E2571,"Beam Revised","")</f>
        <v>#N/A</v>
      </c>
      <c r="V2571" s="7" t="e">
        <f>IF(VLOOKUP($A2571,'Concrete Beam Schedule'!$A$2:$Q$2902,V$2,0)&lt;&gt;F2571,"Beam Revised","")</f>
        <v>#N/A</v>
      </c>
      <c r="W2571" s="7" t="e">
        <f>IF(VLOOKUP($A2571,'Concrete Beam Schedule'!$A$2:$Q$2902,W$2,0)&lt;&gt;G2571,"Beam Revised","")</f>
        <v>#N/A</v>
      </c>
      <c r="X2571" s="7" t="e">
        <f>IF(VLOOKUP($A2571,'Concrete Beam Schedule'!$A$2:$Q$2902,X$2,0)&lt;&gt;H2571,"Beam Revised","")</f>
        <v>#N/A</v>
      </c>
      <c r="Y2571" s="7" t="e">
        <f>IF(VLOOKUP($A2571,'Concrete Beam Schedule'!$A$2:$Q$2902,Y$2,0)&lt;&gt;I2571,"Beam Revised","")</f>
        <v>#N/A</v>
      </c>
      <c r="Z2571" s="7" t="e">
        <f>IF(VLOOKUP($A2571,'Concrete Beam Schedule'!$A$2:$Q$2902,Z$2,0)&lt;&gt;J2571,"Beam Revised","")</f>
        <v>#N/A</v>
      </c>
      <c r="AA2571" s="7" t="e">
        <f>IF(VLOOKUP($A2571,'Concrete Beam Schedule'!$A$2:$Q$2902,AA$2,0)&lt;&gt;K2571,"Beam Revised","")</f>
        <v>#N/A</v>
      </c>
      <c r="AB2571" s="7" t="e">
        <f>IF(VLOOKUP($A2571,'Concrete Beam Schedule'!$A$2:$Q$2902,AB$2,0)&lt;&gt;L2571,"Beam Revised","")</f>
        <v>#N/A</v>
      </c>
      <c r="AC2571" s="7" t="e">
        <f>IF(VLOOKUP($A2571,'Concrete Beam Schedule'!$A$2:$Q$2902,AC$2,0)&lt;&gt;M2571,"Beam Revised","")</f>
        <v>#N/A</v>
      </c>
      <c r="AD2571" s="7" t="e">
        <f>IF(VLOOKUP($A2571,'Concrete Beam Schedule'!$A$2:$Q$2902,AD$2,0)&lt;&gt;N2571,"Beam Revised","")</f>
        <v>#N/A</v>
      </c>
      <c r="AE2571" s="7" t="e">
        <f>IF(VLOOKUP($A2571,'Concrete Beam Schedule'!$A$2:$Q$2902,AE$2,0)&lt;&gt;O2571,"Beam Revised","")</f>
        <v>#N/A</v>
      </c>
    </row>
    <row r="2572" spans="17:31" ht="20.100000000000001" customHeight="1" x14ac:dyDescent="0.25">
      <c r="Q2572" s="7">
        <f t="shared" si="40"/>
        <v>0</v>
      </c>
      <c r="R2572" s="7" t="e">
        <f>IF(VLOOKUP($A2572,'Concrete Beam Schedule'!$A$2:$Q$2902,R$2,0)&lt;&gt;B2572,VLOOKUP($A2572,'Concrete Beam Schedule'!$A$2:$Q$2902,R$2,0),"")</f>
        <v>#N/A</v>
      </c>
      <c r="S2572" s="7" t="e">
        <f>IF(VLOOKUP($A2572,'Concrete Beam Schedule'!$A$2:$Q$2902,S$2,0)&lt;&gt;C2572,VLOOKUP($A2572,'Concrete Beam Schedule'!$A$2:$Q$2902,S$2,0),"")</f>
        <v>#N/A</v>
      </c>
      <c r="T2572" s="7" t="e">
        <f>IF(VLOOKUP($A2572,'Concrete Beam Schedule'!$A$2:$Q$2902,T$2,0)&lt;&gt;D2572,"Beam Revised","")</f>
        <v>#N/A</v>
      </c>
      <c r="U2572" s="7" t="e">
        <f>IF(VLOOKUP($A2572,'Concrete Beam Schedule'!$A$2:$Q$2902,U$2,0)&lt;&gt;E2572,"Beam Revised","")</f>
        <v>#N/A</v>
      </c>
      <c r="V2572" s="7" t="e">
        <f>IF(VLOOKUP($A2572,'Concrete Beam Schedule'!$A$2:$Q$2902,V$2,0)&lt;&gt;F2572,"Beam Revised","")</f>
        <v>#N/A</v>
      </c>
      <c r="W2572" s="7" t="e">
        <f>IF(VLOOKUP($A2572,'Concrete Beam Schedule'!$A$2:$Q$2902,W$2,0)&lt;&gt;G2572,"Beam Revised","")</f>
        <v>#N/A</v>
      </c>
      <c r="X2572" s="7" t="e">
        <f>IF(VLOOKUP($A2572,'Concrete Beam Schedule'!$A$2:$Q$2902,X$2,0)&lt;&gt;H2572,"Beam Revised","")</f>
        <v>#N/A</v>
      </c>
      <c r="Y2572" s="7" t="e">
        <f>IF(VLOOKUP($A2572,'Concrete Beam Schedule'!$A$2:$Q$2902,Y$2,0)&lt;&gt;I2572,"Beam Revised","")</f>
        <v>#N/A</v>
      </c>
      <c r="Z2572" s="7" t="e">
        <f>IF(VLOOKUP($A2572,'Concrete Beam Schedule'!$A$2:$Q$2902,Z$2,0)&lt;&gt;J2572,"Beam Revised","")</f>
        <v>#N/A</v>
      </c>
      <c r="AA2572" s="7" t="e">
        <f>IF(VLOOKUP($A2572,'Concrete Beam Schedule'!$A$2:$Q$2902,AA$2,0)&lt;&gt;K2572,"Beam Revised","")</f>
        <v>#N/A</v>
      </c>
      <c r="AB2572" s="7" t="e">
        <f>IF(VLOOKUP($A2572,'Concrete Beam Schedule'!$A$2:$Q$2902,AB$2,0)&lt;&gt;L2572,"Beam Revised","")</f>
        <v>#N/A</v>
      </c>
      <c r="AC2572" s="7" t="e">
        <f>IF(VLOOKUP($A2572,'Concrete Beam Schedule'!$A$2:$Q$2902,AC$2,0)&lt;&gt;M2572,"Beam Revised","")</f>
        <v>#N/A</v>
      </c>
      <c r="AD2572" s="7" t="e">
        <f>IF(VLOOKUP($A2572,'Concrete Beam Schedule'!$A$2:$Q$2902,AD$2,0)&lt;&gt;N2572,"Beam Revised","")</f>
        <v>#N/A</v>
      </c>
      <c r="AE2572" s="7" t="e">
        <f>IF(VLOOKUP($A2572,'Concrete Beam Schedule'!$A$2:$Q$2902,AE$2,0)&lt;&gt;O2572,"Beam Revised","")</f>
        <v>#N/A</v>
      </c>
    </row>
    <row r="2573" spans="17:31" ht="20.100000000000001" customHeight="1" x14ac:dyDescent="0.25">
      <c r="Q2573" s="7">
        <f t="shared" si="40"/>
        <v>0</v>
      </c>
      <c r="R2573" s="7" t="e">
        <f>IF(VLOOKUP($A2573,'Concrete Beam Schedule'!$A$2:$Q$2902,R$2,0)&lt;&gt;B2573,VLOOKUP($A2573,'Concrete Beam Schedule'!$A$2:$Q$2902,R$2,0),"")</f>
        <v>#N/A</v>
      </c>
      <c r="S2573" s="7" t="e">
        <f>IF(VLOOKUP($A2573,'Concrete Beam Schedule'!$A$2:$Q$2902,S$2,0)&lt;&gt;C2573,VLOOKUP($A2573,'Concrete Beam Schedule'!$A$2:$Q$2902,S$2,0),"")</f>
        <v>#N/A</v>
      </c>
      <c r="T2573" s="7" t="e">
        <f>IF(VLOOKUP($A2573,'Concrete Beam Schedule'!$A$2:$Q$2902,T$2,0)&lt;&gt;D2573,"Beam Revised","")</f>
        <v>#N/A</v>
      </c>
      <c r="U2573" s="7" t="e">
        <f>IF(VLOOKUP($A2573,'Concrete Beam Schedule'!$A$2:$Q$2902,U$2,0)&lt;&gt;E2573,"Beam Revised","")</f>
        <v>#N/A</v>
      </c>
      <c r="V2573" s="7" t="e">
        <f>IF(VLOOKUP($A2573,'Concrete Beam Schedule'!$A$2:$Q$2902,V$2,0)&lt;&gt;F2573,"Beam Revised","")</f>
        <v>#N/A</v>
      </c>
      <c r="W2573" s="7" t="e">
        <f>IF(VLOOKUP($A2573,'Concrete Beam Schedule'!$A$2:$Q$2902,W$2,0)&lt;&gt;G2573,"Beam Revised","")</f>
        <v>#N/A</v>
      </c>
      <c r="X2573" s="7" t="e">
        <f>IF(VLOOKUP($A2573,'Concrete Beam Schedule'!$A$2:$Q$2902,X$2,0)&lt;&gt;H2573,"Beam Revised","")</f>
        <v>#N/A</v>
      </c>
      <c r="Y2573" s="7" t="e">
        <f>IF(VLOOKUP($A2573,'Concrete Beam Schedule'!$A$2:$Q$2902,Y$2,0)&lt;&gt;I2573,"Beam Revised","")</f>
        <v>#N/A</v>
      </c>
      <c r="Z2573" s="7" t="e">
        <f>IF(VLOOKUP($A2573,'Concrete Beam Schedule'!$A$2:$Q$2902,Z$2,0)&lt;&gt;J2573,"Beam Revised","")</f>
        <v>#N/A</v>
      </c>
      <c r="AA2573" s="7" t="e">
        <f>IF(VLOOKUP($A2573,'Concrete Beam Schedule'!$A$2:$Q$2902,AA$2,0)&lt;&gt;K2573,"Beam Revised","")</f>
        <v>#N/A</v>
      </c>
      <c r="AB2573" s="7" t="e">
        <f>IF(VLOOKUP($A2573,'Concrete Beam Schedule'!$A$2:$Q$2902,AB$2,0)&lt;&gt;L2573,"Beam Revised","")</f>
        <v>#N/A</v>
      </c>
      <c r="AC2573" s="7" t="e">
        <f>IF(VLOOKUP($A2573,'Concrete Beam Schedule'!$A$2:$Q$2902,AC$2,0)&lt;&gt;M2573,"Beam Revised","")</f>
        <v>#N/A</v>
      </c>
      <c r="AD2573" s="7" t="e">
        <f>IF(VLOOKUP($A2573,'Concrete Beam Schedule'!$A$2:$Q$2902,AD$2,0)&lt;&gt;N2573,"Beam Revised","")</f>
        <v>#N/A</v>
      </c>
      <c r="AE2573" s="7" t="e">
        <f>IF(VLOOKUP($A2573,'Concrete Beam Schedule'!$A$2:$Q$2902,AE$2,0)&lt;&gt;O2573,"Beam Revised","")</f>
        <v>#N/A</v>
      </c>
    </row>
    <row r="2574" spans="17:31" ht="20.100000000000001" customHeight="1" x14ac:dyDescent="0.25">
      <c r="Q2574" s="7">
        <f t="shared" si="40"/>
        <v>0</v>
      </c>
      <c r="R2574" s="7" t="e">
        <f>IF(VLOOKUP($A2574,'Concrete Beam Schedule'!$A$2:$Q$2902,R$2,0)&lt;&gt;B2574,VLOOKUP($A2574,'Concrete Beam Schedule'!$A$2:$Q$2902,R$2,0),"")</f>
        <v>#N/A</v>
      </c>
      <c r="S2574" s="7" t="e">
        <f>IF(VLOOKUP($A2574,'Concrete Beam Schedule'!$A$2:$Q$2902,S$2,0)&lt;&gt;C2574,VLOOKUP($A2574,'Concrete Beam Schedule'!$A$2:$Q$2902,S$2,0),"")</f>
        <v>#N/A</v>
      </c>
      <c r="T2574" s="7" t="e">
        <f>IF(VLOOKUP($A2574,'Concrete Beam Schedule'!$A$2:$Q$2902,T$2,0)&lt;&gt;D2574,"Beam Revised","")</f>
        <v>#N/A</v>
      </c>
      <c r="U2574" s="7" t="e">
        <f>IF(VLOOKUP($A2574,'Concrete Beam Schedule'!$A$2:$Q$2902,U$2,0)&lt;&gt;E2574,"Beam Revised","")</f>
        <v>#N/A</v>
      </c>
      <c r="V2574" s="7" t="e">
        <f>IF(VLOOKUP($A2574,'Concrete Beam Schedule'!$A$2:$Q$2902,V$2,0)&lt;&gt;F2574,"Beam Revised","")</f>
        <v>#N/A</v>
      </c>
      <c r="W2574" s="7" t="e">
        <f>IF(VLOOKUP($A2574,'Concrete Beam Schedule'!$A$2:$Q$2902,W$2,0)&lt;&gt;G2574,"Beam Revised","")</f>
        <v>#N/A</v>
      </c>
      <c r="X2574" s="7" t="e">
        <f>IF(VLOOKUP($A2574,'Concrete Beam Schedule'!$A$2:$Q$2902,X$2,0)&lt;&gt;H2574,"Beam Revised","")</f>
        <v>#N/A</v>
      </c>
      <c r="Y2574" s="7" t="e">
        <f>IF(VLOOKUP($A2574,'Concrete Beam Schedule'!$A$2:$Q$2902,Y$2,0)&lt;&gt;I2574,"Beam Revised","")</f>
        <v>#N/A</v>
      </c>
      <c r="Z2574" s="7" t="e">
        <f>IF(VLOOKUP($A2574,'Concrete Beam Schedule'!$A$2:$Q$2902,Z$2,0)&lt;&gt;J2574,"Beam Revised","")</f>
        <v>#N/A</v>
      </c>
      <c r="AA2574" s="7" t="e">
        <f>IF(VLOOKUP($A2574,'Concrete Beam Schedule'!$A$2:$Q$2902,AA$2,0)&lt;&gt;K2574,"Beam Revised","")</f>
        <v>#N/A</v>
      </c>
      <c r="AB2574" s="7" t="e">
        <f>IF(VLOOKUP($A2574,'Concrete Beam Schedule'!$A$2:$Q$2902,AB$2,0)&lt;&gt;L2574,"Beam Revised","")</f>
        <v>#N/A</v>
      </c>
      <c r="AC2574" s="7" t="e">
        <f>IF(VLOOKUP($A2574,'Concrete Beam Schedule'!$A$2:$Q$2902,AC$2,0)&lt;&gt;M2574,"Beam Revised","")</f>
        <v>#N/A</v>
      </c>
      <c r="AD2574" s="7" t="e">
        <f>IF(VLOOKUP($A2574,'Concrete Beam Schedule'!$A$2:$Q$2902,AD$2,0)&lt;&gt;N2574,"Beam Revised","")</f>
        <v>#N/A</v>
      </c>
      <c r="AE2574" s="7" t="e">
        <f>IF(VLOOKUP($A2574,'Concrete Beam Schedule'!$A$2:$Q$2902,AE$2,0)&lt;&gt;O2574,"Beam Revised","")</f>
        <v>#N/A</v>
      </c>
    </row>
    <row r="2575" spans="17:31" ht="20.100000000000001" customHeight="1" x14ac:dyDescent="0.25">
      <c r="Q2575" s="7">
        <f t="shared" si="40"/>
        <v>0</v>
      </c>
      <c r="R2575" s="7" t="e">
        <f>IF(VLOOKUP($A2575,'Concrete Beam Schedule'!$A$2:$Q$2902,R$2,0)&lt;&gt;B2575,VLOOKUP($A2575,'Concrete Beam Schedule'!$A$2:$Q$2902,R$2,0),"")</f>
        <v>#N/A</v>
      </c>
      <c r="S2575" s="7" t="e">
        <f>IF(VLOOKUP($A2575,'Concrete Beam Schedule'!$A$2:$Q$2902,S$2,0)&lt;&gt;C2575,VLOOKUP($A2575,'Concrete Beam Schedule'!$A$2:$Q$2902,S$2,0),"")</f>
        <v>#N/A</v>
      </c>
      <c r="T2575" s="7" t="e">
        <f>IF(VLOOKUP($A2575,'Concrete Beam Schedule'!$A$2:$Q$2902,T$2,0)&lt;&gt;D2575,"Beam Revised","")</f>
        <v>#N/A</v>
      </c>
      <c r="U2575" s="7" t="e">
        <f>IF(VLOOKUP($A2575,'Concrete Beam Schedule'!$A$2:$Q$2902,U$2,0)&lt;&gt;E2575,"Beam Revised","")</f>
        <v>#N/A</v>
      </c>
      <c r="V2575" s="7" t="e">
        <f>IF(VLOOKUP($A2575,'Concrete Beam Schedule'!$A$2:$Q$2902,V$2,0)&lt;&gt;F2575,"Beam Revised","")</f>
        <v>#N/A</v>
      </c>
      <c r="W2575" s="7" t="e">
        <f>IF(VLOOKUP($A2575,'Concrete Beam Schedule'!$A$2:$Q$2902,W$2,0)&lt;&gt;G2575,"Beam Revised","")</f>
        <v>#N/A</v>
      </c>
      <c r="X2575" s="7" t="e">
        <f>IF(VLOOKUP($A2575,'Concrete Beam Schedule'!$A$2:$Q$2902,X$2,0)&lt;&gt;H2575,"Beam Revised","")</f>
        <v>#N/A</v>
      </c>
      <c r="Y2575" s="7" t="e">
        <f>IF(VLOOKUP($A2575,'Concrete Beam Schedule'!$A$2:$Q$2902,Y$2,0)&lt;&gt;I2575,"Beam Revised","")</f>
        <v>#N/A</v>
      </c>
      <c r="Z2575" s="7" t="e">
        <f>IF(VLOOKUP($A2575,'Concrete Beam Schedule'!$A$2:$Q$2902,Z$2,0)&lt;&gt;J2575,"Beam Revised","")</f>
        <v>#N/A</v>
      </c>
      <c r="AA2575" s="7" t="e">
        <f>IF(VLOOKUP($A2575,'Concrete Beam Schedule'!$A$2:$Q$2902,AA$2,0)&lt;&gt;K2575,"Beam Revised","")</f>
        <v>#N/A</v>
      </c>
      <c r="AB2575" s="7" t="e">
        <f>IF(VLOOKUP($A2575,'Concrete Beam Schedule'!$A$2:$Q$2902,AB$2,0)&lt;&gt;L2575,"Beam Revised","")</f>
        <v>#N/A</v>
      </c>
      <c r="AC2575" s="7" t="e">
        <f>IF(VLOOKUP($A2575,'Concrete Beam Schedule'!$A$2:$Q$2902,AC$2,0)&lt;&gt;M2575,"Beam Revised","")</f>
        <v>#N/A</v>
      </c>
      <c r="AD2575" s="7" t="e">
        <f>IF(VLOOKUP($A2575,'Concrete Beam Schedule'!$A$2:$Q$2902,AD$2,0)&lt;&gt;N2575,"Beam Revised","")</f>
        <v>#N/A</v>
      </c>
      <c r="AE2575" s="7" t="e">
        <f>IF(VLOOKUP($A2575,'Concrete Beam Schedule'!$A$2:$Q$2902,AE$2,0)&lt;&gt;O2575,"Beam Revised","")</f>
        <v>#N/A</v>
      </c>
    </row>
    <row r="2576" spans="17:31" ht="20.100000000000001" customHeight="1" x14ac:dyDescent="0.25">
      <c r="Q2576" s="7">
        <f t="shared" si="40"/>
        <v>0</v>
      </c>
      <c r="R2576" s="7" t="e">
        <f>IF(VLOOKUP($A2576,'Concrete Beam Schedule'!$A$2:$Q$2902,R$2,0)&lt;&gt;B2576,VLOOKUP($A2576,'Concrete Beam Schedule'!$A$2:$Q$2902,R$2,0),"")</f>
        <v>#N/A</v>
      </c>
      <c r="S2576" s="7" t="e">
        <f>IF(VLOOKUP($A2576,'Concrete Beam Schedule'!$A$2:$Q$2902,S$2,0)&lt;&gt;C2576,VLOOKUP($A2576,'Concrete Beam Schedule'!$A$2:$Q$2902,S$2,0),"")</f>
        <v>#N/A</v>
      </c>
      <c r="T2576" s="7" t="e">
        <f>IF(VLOOKUP($A2576,'Concrete Beam Schedule'!$A$2:$Q$2902,T$2,0)&lt;&gt;D2576,"Beam Revised","")</f>
        <v>#N/A</v>
      </c>
      <c r="U2576" s="7" t="e">
        <f>IF(VLOOKUP($A2576,'Concrete Beam Schedule'!$A$2:$Q$2902,U$2,0)&lt;&gt;E2576,"Beam Revised","")</f>
        <v>#N/A</v>
      </c>
      <c r="V2576" s="7" t="e">
        <f>IF(VLOOKUP($A2576,'Concrete Beam Schedule'!$A$2:$Q$2902,V$2,0)&lt;&gt;F2576,"Beam Revised","")</f>
        <v>#N/A</v>
      </c>
      <c r="W2576" s="7" t="e">
        <f>IF(VLOOKUP($A2576,'Concrete Beam Schedule'!$A$2:$Q$2902,W$2,0)&lt;&gt;G2576,"Beam Revised","")</f>
        <v>#N/A</v>
      </c>
      <c r="X2576" s="7" t="e">
        <f>IF(VLOOKUP($A2576,'Concrete Beam Schedule'!$A$2:$Q$2902,X$2,0)&lt;&gt;H2576,"Beam Revised","")</f>
        <v>#N/A</v>
      </c>
      <c r="Y2576" s="7" t="e">
        <f>IF(VLOOKUP($A2576,'Concrete Beam Schedule'!$A$2:$Q$2902,Y$2,0)&lt;&gt;I2576,"Beam Revised","")</f>
        <v>#N/A</v>
      </c>
      <c r="Z2576" s="7" t="e">
        <f>IF(VLOOKUP($A2576,'Concrete Beam Schedule'!$A$2:$Q$2902,Z$2,0)&lt;&gt;J2576,"Beam Revised","")</f>
        <v>#N/A</v>
      </c>
      <c r="AA2576" s="7" t="e">
        <f>IF(VLOOKUP($A2576,'Concrete Beam Schedule'!$A$2:$Q$2902,AA$2,0)&lt;&gt;K2576,"Beam Revised","")</f>
        <v>#N/A</v>
      </c>
      <c r="AB2576" s="7" t="e">
        <f>IF(VLOOKUP($A2576,'Concrete Beam Schedule'!$A$2:$Q$2902,AB$2,0)&lt;&gt;L2576,"Beam Revised","")</f>
        <v>#N/A</v>
      </c>
      <c r="AC2576" s="7" t="e">
        <f>IF(VLOOKUP($A2576,'Concrete Beam Schedule'!$A$2:$Q$2902,AC$2,0)&lt;&gt;M2576,"Beam Revised","")</f>
        <v>#N/A</v>
      </c>
      <c r="AD2576" s="7" t="e">
        <f>IF(VLOOKUP($A2576,'Concrete Beam Schedule'!$A$2:$Q$2902,AD$2,0)&lt;&gt;N2576,"Beam Revised","")</f>
        <v>#N/A</v>
      </c>
      <c r="AE2576" s="7" t="e">
        <f>IF(VLOOKUP($A2576,'Concrete Beam Schedule'!$A$2:$Q$2902,AE$2,0)&lt;&gt;O2576,"Beam Revised","")</f>
        <v>#N/A</v>
      </c>
    </row>
    <row r="2577" spans="17:31" ht="20.100000000000001" customHeight="1" x14ac:dyDescent="0.25">
      <c r="Q2577" s="7">
        <f t="shared" si="40"/>
        <v>0</v>
      </c>
      <c r="R2577" s="7" t="e">
        <f>IF(VLOOKUP($A2577,'Concrete Beam Schedule'!$A$2:$Q$2902,R$2,0)&lt;&gt;B2577,VLOOKUP($A2577,'Concrete Beam Schedule'!$A$2:$Q$2902,R$2,0),"")</f>
        <v>#N/A</v>
      </c>
      <c r="S2577" s="7" t="e">
        <f>IF(VLOOKUP($A2577,'Concrete Beam Schedule'!$A$2:$Q$2902,S$2,0)&lt;&gt;C2577,VLOOKUP($A2577,'Concrete Beam Schedule'!$A$2:$Q$2902,S$2,0),"")</f>
        <v>#N/A</v>
      </c>
      <c r="T2577" s="7" t="e">
        <f>IF(VLOOKUP($A2577,'Concrete Beam Schedule'!$A$2:$Q$2902,T$2,0)&lt;&gt;D2577,"Beam Revised","")</f>
        <v>#N/A</v>
      </c>
      <c r="U2577" s="7" t="e">
        <f>IF(VLOOKUP($A2577,'Concrete Beam Schedule'!$A$2:$Q$2902,U$2,0)&lt;&gt;E2577,"Beam Revised","")</f>
        <v>#N/A</v>
      </c>
      <c r="V2577" s="7" t="e">
        <f>IF(VLOOKUP($A2577,'Concrete Beam Schedule'!$A$2:$Q$2902,V$2,0)&lt;&gt;F2577,"Beam Revised","")</f>
        <v>#N/A</v>
      </c>
      <c r="W2577" s="7" t="e">
        <f>IF(VLOOKUP($A2577,'Concrete Beam Schedule'!$A$2:$Q$2902,W$2,0)&lt;&gt;G2577,"Beam Revised","")</f>
        <v>#N/A</v>
      </c>
      <c r="X2577" s="7" t="e">
        <f>IF(VLOOKUP($A2577,'Concrete Beam Schedule'!$A$2:$Q$2902,X$2,0)&lt;&gt;H2577,"Beam Revised","")</f>
        <v>#N/A</v>
      </c>
      <c r="Y2577" s="7" t="e">
        <f>IF(VLOOKUP($A2577,'Concrete Beam Schedule'!$A$2:$Q$2902,Y$2,0)&lt;&gt;I2577,"Beam Revised","")</f>
        <v>#N/A</v>
      </c>
      <c r="Z2577" s="7" t="e">
        <f>IF(VLOOKUP($A2577,'Concrete Beam Schedule'!$A$2:$Q$2902,Z$2,0)&lt;&gt;J2577,"Beam Revised","")</f>
        <v>#N/A</v>
      </c>
      <c r="AA2577" s="7" t="e">
        <f>IF(VLOOKUP($A2577,'Concrete Beam Schedule'!$A$2:$Q$2902,AA$2,0)&lt;&gt;K2577,"Beam Revised","")</f>
        <v>#N/A</v>
      </c>
      <c r="AB2577" s="7" t="e">
        <f>IF(VLOOKUP($A2577,'Concrete Beam Schedule'!$A$2:$Q$2902,AB$2,0)&lt;&gt;L2577,"Beam Revised","")</f>
        <v>#N/A</v>
      </c>
      <c r="AC2577" s="7" t="e">
        <f>IF(VLOOKUP($A2577,'Concrete Beam Schedule'!$A$2:$Q$2902,AC$2,0)&lt;&gt;M2577,"Beam Revised","")</f>
        <v>#N/A</v>
      </c>
      <c r="AD2577" s="7" t="e">
        <f>IF(VLOOKUP($A2577,'Concrete Beam Schedule'!$A$2:$Q$2902,AD$2,0)&lt;&gt;N2577,"Beam Revised","")</f>
        <v>#N/A</v>
      </c>
      <c r="AE2577" s="7" t="e">
        <f>IF(VLOOKUP($A2577,'Concrete Beam Schedule'!$A$2:$Q$2902,AE$2,0)&lt;&gt;O2577,"Beam Revised","")</f>
        <v>#N/A</v>
      </c>
    </row>
    <row r="2578" spans="17:31" ht="20.100000000000001" customHeight="1" x14ac:dyDescent="0.25">
      <c r="Q2578" s="7">
        <f t="shared" si="40"/>
        <v>0</v>
      </c>
      <c r="R2578" s="7" t="e">
        <f>IF(VLOOKUP($A2578,'Concrete Beam Schedule'!$A$2:$Q$2902,R$2,0)&lt;&gt;B2578,VLOOKUP($A2578,'Concrete Beam Schedule'!$A$2:$Q$2902,R$2,0),"")</f>
        <v>#N/A</v>
      </c>
      <c r="S2578" s="7" t="e">
        <f>IF(VLOOKUP($A2578,'Concrete Beam Schedule'!$A$2:$Q$2902,S$2,0)&lt;&gt;C2578,VLOOKUP($A2578,'Concrete Beam Schedule'!$A$2:$Q$2902,S$2,0),"")</f>
        <v>#N/A</v>
      </c>
      <c r="T2578" s="7" t="e">
        <f>IF(VLOOKUP($A2578,'Concrete Beam Schedule'!$A$2:$Q$2902,T$2,0)&lt;&gt;D2578,"Beam Revised","")</f>
        <v>#N/A</v>
      </c>
      <c r="U2578" s="7" t="e">
        <f>IF(VLOOKUP($A2578,'Concrete Beam Schedule'!$A$2:$Q$2902,U$2,0)&lt;&gt;E2578,"Beam Revised","")</f>
        <v>#N/A</v>
      </c>
      <c r="V2578" s="7" t="e">
        <f>IF(VLOOKUP($A2578,'Concrete Beam Schedule'!$A$2:$Q$2902,V$2,0)&lt;&gt;F2578,"Beam Revised","")</f>
        <v>#N/A</v>
      </c>
      <c r="W2578" s="7" t="e">
        <f>IF(VLOOKUP($A2578,'Concrete Beam Schedule'!$A$2:$Q$2902,W$2,0)&lt;&gt;G2578,"Beam Revised","")</f>
        <v>#N/A</v>
      </c>
      <c r="X2578" s="7" t="e">
        <f>IF(VLOOKUP($A2578,'Concrete Beam Schedule'!$A$2:$Q$2902,X$2,0)&lt;&gt;H2578,"Beam Revised","")</f>
        <v>#N/A</v>
      </c>
      <c r="Y2578" s="7" t="e">
        <f>IF(VLOOKUP($A2578,'Concrete Beam Schedule'!$A$2:$Q$2902,Y$2,0)&lt;&gt;I2578,"Beam Revised","")</f>
        <v>#N/A</v>
      </c>
      <c r="Z2578" s="7" t="e">
        <f>IF(VLOOKUP($A2578,'Concrete Beam Schedule'!$A$2:$Q$2902,Z$2,0)&lt;&gt;J2578,"Beam Revised","")</f>
        <v>#N/A</v>
      </c>
      <c r="AA2578" s="7" t="e">
        <f>IF(VLOOKUP($A2578,'Concrete Beam Schedule'!$A$2:$Q$2902,AA$2,0)&lt;&gt;K2578,"Beam Revised","")</f>
        <v>#N/A</v>
      </c>
      <c r="AB2578" s="7" t="e">
        <f>IF(VLOOKUP($A2578,'Concrete Beam Schedule'!$A$2:$Q$2902,AB$2,0)&lt;&gt;L2578,"Beam Revised","")</f>
        <v>#N/A</v>
      </c>
      <c r="AC2578" s="7" t="e">
        <f>IF(VLOOKUP($A2578,'Concrete Beam Schedule'!$A$2:$Q$2902,AC$2,0)&lt;&gt;M2578,"Beam Revised","")</f>
        <v>#N/A</v>
      </c>
      <c r="AD2578" s="7" t="e">
        <f>IF(VLOOKUP($A2578,'Concrete Beam Schedule'!$A$2:$Q$2902,AD$2,0)&lt;&gt;N2578,"Beam Revised","")</f>
        <v>#N/A</v>
      </c>
      <c r="AE2578" s="7" t="e">
        <f>IF(VLOOKUP($A2578,'Concrete Beam Schedule'!$A$2:$Q$2902,AE$2,0)&lt;&gt;O2578,"Beam Revised","")</f>
        <v>#N/A</v>
      </c>
    </row>
    <row r="2579" spans="17:31" ht="20.100000000000001" customHeight="1" x14ac:dyDescent="0.25">
      <c r="Q2579" s="7">
        <f t="shared" si="40"/>
        <v>0</v>
      </c>
      <c r="R2579" s="7" t="e">
        <f>IF(VLOOKUP($A2579,'Concrete Beam Schedule'!$A$2:$Q$2902,R$2,0)&lt;&gt;B2579,VLOOKUP($A2579,'Concrete Beam Schedule'!$A$2:$Q$2902,R$2,0),"")</f>
        <v>#N/A</v>
      </c>
      <c r="S2579" s="7" t="e">
        <f>IF(VLOOKUP($A2579,'Concrete Beam Schedule'!$A$2:$Q$2902,S$2,0)&lt;&gt;C2579,VLOOKUP($A2579,'Concrete Beam Schedule'!$A$2:$Q$2902,S$2,0),"")</f>
        <v>#N/A</v>
      </c>
      <c r="T2579" s="7" t="e">
        <f>IF(VLOOKUP($A2579,'Concrete Beam Schedule'!$A$2:$Q$2902,T$2,0)&lt;&gt;D2579,"Beam Revised","")</f>
        <v>#N/A</v>
      </c>
      <c r="U2579" s="7" t="e">
        <f>IF(VLOOKUP($A2579,'Concrete Beam Schedule'!$A$2:$Q$2902,U$2,0)&lt;&gt;E2579,"Beam Revised","")</f>
        <v>#N/A</v>
      </c>
      <c r="V2579" s="7" t="e">
        <f>IF(VLOOKUP($A2579,'Concrete Beam Schedule'!$A$2:$Q$2902,V$2,0)&lt;&gt;F2579,"Beam Revised","")</f>
        <v>#N/A</v>
      </c>
      <c r="W2579" s="7" t="e">
        <f>IF(VLOOKUP($A2579,'Concrete Beam Schedule'!$A$2:$Q$2902,W$2,0)&lt;&gt;G2579,"Beam Revised","")</f>
        <v>#N/A</v>
      </c>
      <c r="X2579" s="7" t="e">
        <f>IF(VLOOKUP($A2579,'Concrete Beam Schedule'!$A$2:$Q$2902,X$2,0)&lt;&gt;H2579,"Beam Revised","")</f>
        <v>#N/A</v>
      </c>
      <c r="Y2579" s="7" t="e">
        <f>IF(VLOOKUP($A2579,'Concrete Beam Schedule'!$A$2:$Q$2902,Y$2,0)&lt;&gt;I2579,"Beam Revised","")</f>
        <v>#N/A</v>
      </c>
      <c r="Z2579" s="7" t="e">
        <f>IF(VLOOKUP($A2579,'Concrete Beam Schedule'!$A$2:$Q$2902,Z$2,0)&lt;&gt;J2579,"Beam Revised","")</f>
        <v>#N/A</v>
      </c>
      <c r="AA2579" s="7" t="e">
        <f>IF(VLOOKUP($A2579,'Concrete Beam Schedule'!$A$2:$Q$2902,AA$2,0)&lt;&gt;K2579,"Beam Revised","")</f>
        <v>#N/A</v>
      </c>
      <c r="AB2579" s="7" t="e">
        <f>IF(VLOOKUP($A2579,'Concrete Beam Schedule'!$A$2:$Q$2902,AB$2,0)&lt;&gt;L2579,"Beam Revised","")</f>
        <v>#N/A</v>
      </c>
      <c r="AC2579" s="7" t="e">
        <f>IF(VLOOKUP($A2579,'Concrete Beam Schedule'!$A$2:$Q$2902,AC$2,0)&lt;&gt;M2579,"Beam Revised","")</f>
        <v>#N/A</v>
      </c>
      <c r="AD2579" s="7" t="e">
        <f>IF(VLOOKUP($A2579,'Concrete Beam Schedule'!$A$2:$Q$2902,AD$2,0)&lt;&gt;N2579,"Beam Revised","")</f>
        <v>#N/A</v>
      </c>
      <c r="AE2579" s="7" t="e">
        <f>IF(VLOOKUP($A2579,'Concrete Beam Schedule'!$A$2:$Q$2902,AE$2,0)&lt;&gt;O2579,"Beam Revised","")</f>
        <v>#N/A</v>
      </c>
    </row>
    <row r="2580" spans="17:31" ht="20.100000000000001" customHeight="1" x14ac:dyDescent="0.25">
      <c r="Q2580" s="7">
        <f t="shared" si="40"/>
        <v>0</v>
      </c>
      <c r="R2580" s="7" t="e">
        <f>IF(VLOOKUP($A2580,'Concrete Beam Schedule'!$A$2:$Q$2902,R$2,0)&lt;&gt;B2580,VLOOKUP($A2580,'Concrete Beam Schedule'!$A$2:$Q$2902,R$2,0),"")</f>
        <v>#N/A</v>
      </c>
      <c r="S2580" s="7" t="e">
        <f>IF(VLOOKUP($A2580,'Concrete Beam Schedule'!$A$2:$Q$2902,S$2,0)&lt;&gt;C2580,VLOOKUP($A2580,'Concrete Beam Schedule'!$A$2:$Q$2902,S$2,0),"")</f>
        <v>#N/A</v>
      </c>
      <c r="T2580" s="7" t="e">
        <f>IF(VLOOKUP($A2580,'Concrete Beam Schedule'!$A$2:$Q$2902,T$2,0)&lt;&gt;D2580,"Beam Revised","")</f>
        <v>#N/A</v>
      </c>
      <c r="U2580" s="7" t="e">
        <f>IF(VLOOKUP($A2580,'Concrete Beam Schedule'!$A$2:$Q$2902,U$2,0)&lt;&gt;E2580,"Beam Revised","")</f>
        <v>#N/A</v>
      </c>
      <c r="V2580" s="7" t="e">
        <f>IF(VLOOKUP($A2580,'Concrete Beam Schedule'!$A$2:$Q$2902,V$2,0)&lt;&gt;F2580,"Beam Revised","")</f>
        <v>#N/A</v>
      </c>
      <c r="W2580" s="7" t="e">
        <f>IF(VLOOKUP($A2580,'Concrete Beam Schedule'!$A$2:$Q$2902,W$2,0)&lt;&gt;G2580,"Beam Revised","")</f>
        <v>#N/A</v>
      </c>
      <c r="X2580" s="7" t="e">
        <f>IF(VLOOKUP($A2580,'Concrete Beam Schedule'!$A$2:$Q$2902,X$2,0)&lt;&gt;H2580,"Beam Revised","")</f>
        <v>#N/A</v>
      </c>
      <c r="Y2580" s="7" t="e">
        <f>IF(VLOOKUP($A2580,'Concrete Beam Schedule'!$A$2:$Q$2902,Y$2,0)&lt;&gt;I2580,"Beam Revised","")</f>
        <v>#N/A</v>
      </c>
      <c r="Z2580" s="7" t="e">
        <f>IF(VLOOKUP($A2580,'Concrete Beam Schedule'!$A$2:$Q$2902,Z$2,0)&lt;&gt;J2580,"Beam Revised","")</f>
        <v>#N/A</v>
      </c>
      <c r="AA2580" s="7" t="e">
        <f>IF(VLOOKUP($A2580,'Concrete Beam Schedule'!$A$2:$Q$2902,AA$2,0)&lt;&gt;K2580,"Beam Revised","")</f>
        <v>#N/A</v>
      </c>
      <c r="AB2580" s="7" t="e">
        <f>IF(VLOOKUP($A2580,'Concrete Beam Schedule'!$A$2:$Q$2902,AB$2,0)&lt;&gt;L2580,"Beam Revised","")</f>
        <v>#N/A</v>
      </c>
      <c r="AC2580" s="7" t="e">
        <f>IF(VLOOKUP($A2580,'Concrete Beam Schedule'!$A$2:$Q$2902,AC$2,0)&lt;&gt;M2580,"Beam Revised","")</f>
        <v>#N/A</v>
      </c>
      <c r="AD2580" s="7" t="e">
        <f>IF(VLOOKUP($A2580,'Concrete Beam Schedule'!$A$2:$Q$2902,AD$2,0)&lt;&gt;N2580,"Beam Revised","")</f>
        <v>#N/A</v>
      </c>
      <c r="AE2580" s="7" t="e">
        <f>IF(VLOOKUP($A2580,'Concrete Beam Schedule'!$A$2:$Q$2902,AE$2,0)&lt;&gt;O2580,"Beam Revised","")</f>
        <v>#N/A</v>
      </c>
    </row>
    <row r="2581" spans="17:31" ht="20.100000000000001" customHeight="1" x14ac:dyDescent="0.25">
      <c r="Q2581" s="7">
        <f t="shared" si="40"/>
        <v>0</v>
      </c>
      <c r="R2581" s="7" t="e">
        <f>IF(VLOOKUP($A2581,'Concrete Beam Schedule'!$A$2:$Q$2902,R$2,0)&lt;&gt;B2581,VLOOKUP($A2581,'Concrete Beam Schedule'!$A$2:$Q$2902,R$2,0),"")</f>
        <v>#N/A</v>
      </c>
      <c r="S2581" s="7" t="e">
        <f>IF(VLOOKUP($A2581,'Concrete Beam Schedule'!$A$2:$Q$2902,S$2,0)&lt;&gt;C2581,VLOOKUP($A2581,'Concrete Beam Schedule'!$A$2:$Q$2902,S$2,0),"")</f>
        <v>#N/A</v>
      </c>
      <c r="T2581" s="7" t="e">
        <f>IF(VLOOKUP($A2581,'Concrete Beam Schedule'!$A$2:$Q$2902,T$2,0)&lt;&gt;D2581,"Beam Revised","")</f>
        <v>#N/A</v>
      </c>
      <c r="U2581" s="7" t="e">
        <f>IF(VLOOKUP($A2581,'Concrete Beam Schedule'!$A$2:$Q$2902,U$2,0)&lt;&gt;E2581,"Beam Revised","")</f>
        <v>#N/A</v>
      </c>
      <c r="V2581" s="7" t="e">
        <f>IF(VLOOKUP($A2581,'Concrete Beam Schedule'!$A$2:$Q$2902,V$2,0)&lt;&gt;F2581,"Beam Revised","")</f>
        <v>#N/A</v>
      </c>
      <c r="W2581" s="7" t="e">
        <f>IF(VLOOKUP($A2581,'Concrete Beam Schedule'!$A$2:$Q$2902,W$2,0)&lt;&gt;G2581,"Beam Revised","")</f>
        <v>#N/A</v>
      </c>
      <c r="X2581" s="7" t="e">
        <f>IF(VLOOKUP($A2581,'Concrete Beam Schedule'!$A$2:$Q$2902,X$2,0)&lt;&gt;H2581,"Beam Revised","")</f>
        <v>#N/A</v>
      </c>
      <c r="Y2581" s="7" t="e">
        <f>IF(VLOOKUP($A2581,'Concrete Beam Schedule'!$A$2:$Q$2902,Y$2,0)&lt;&gt;I2581,"Beam Revised","")</f>
        <v>#N/A</v>
      </c>
      <c r="Z2581" s="7" t="e">
        <f>IF(VLOOKUP($A2581,'Concrete Beam Schedule'!$A$2:$Q$2902,Z$2,0)&lt;&gt;J2581,"Beam Revised","")</f>
        <v>#N/A</v>
      </c>
      <c r="AA2581" s="7" t="e">
        <f>IF(VLOOKUP($A2581,'Concrete Beam Schedule'!$A$2:$Q$2902,AA$2,0)&lt;&gt;K2581,"Beam Revised","")</f>
        <v>#N/A</v>
      </c>
      <c r="AB2581" s="7" t="e">
        <f>IF(VLOOKUP($A2581,'Concrete Beam Schedule'!$A$2:$Q$2902,AB$2,0)&lt;&gt;L2581,"Beam Revised","")</f>
        <v>#N/A</v>
      </c>
      <c r="AC2581" s="7" t="e">
        <f>IF(VLOOKUP($A2581,'Concrete Beam Schedule'!$A$2:$Q$2902,AC$2,0)&lt;&gt;M2581,"Beam Revised","")</f>
        <v>#N/A</v>
      </c>
      <c r="AD2581" s="7" t="e">
        <f>IF(VLOOKUP($A2581,'Concrete Beam Schedule'!$A$2:$Q$2902,AD$2,0)&lt;&gt;N2581,"Beam Revised","")</f>
        <v>#N/A</v>
      </c>
      <c r="AE2581" s="7" t="e">
        <f>IF(VLOOKUP($A2581,'Concrete Beam Schedule'!$A$2:$Q$2902,AE$2,0)&lt;&gt;O2581,"Beam Revised","")</f>
        <v>#N/A</v>
      </c>
    </row>
    <row r="2582" spans="17:31" ht="20.100000000000001" customHeight="1" x14ac:dyDescent="0.25">
      <c r="Q2582" s="7">
        <f t="shared" si="40"/>
        <v>0</v>
      </c>
      <c r="R2582" s="7" t="e">
        <f>IF(VLOOKUP($A2582,'Concrete Beam Schedule'!$A$2:$Q$2902,R$2,0)&lt;&gt;B2582,VLOOKUP($A2582,'Concrete Beam Schedule'!$A$2:$Q$2902,R$2,0),"")</f>
        <v>#N/A</v>
      </c>
      <c r="S2582" s="7" t="e">
        <f>IF(VLOOKUP($A2582,'Concrete Beam Schedule'!$A$2:$Q$2902,S$2,0)&lt;&gt;C2582,VLOOKUP($A2582,'Concrete Beam Schedule'!$A$2:$Q$2902,S$2,0),"")</f>
        <v>#N/A</v>
      </c>
      <c r="T2582" s="7" t="e">
        <f>IF(VLOOKUP($A2582,'Concrete Beam Schedule'!$A$2:$Q$2902,T$2,0)&lt;&gt;D2582,"Beam Revised","")</f>
        <v>#N/A</v>
      </c>
      <c r="U2582" s="7" t="e">
        <f>IF(VLOOKUP($A2582,'Concrete Beam Schedule'!$A$2:$Q$2902,U$2,0)&lt;&gt;E2582,"Beam Revised","")</f>
        <v>#N/A</v>
      </c>
      <c r="V2582" s="7" t="e">
        <f>IF(VLOOKUP($A2582,'Concrete Beam Schedule'!$A$2:$Q$2902,V$2,0)&lt;&gt;F2582,"Beam Revised","")</f>
        <v>#N/A</v>
      </c>
      <c r="W2582" s="7" t="e">
        <f>IF(VLOOKUP($A2582,'Concrete Beam Schedule'!$A$2:$Q$2902,W$2,0)&lt;&gt;G2582,"Beam Revised","")</f>
        <v>#N/A</v>
      </c>
      <c r="X2582" s="7" t="e">
        <f>IF(VLOOKUP($A2582,'Concrete Beam Schedule'!$A$2:$Q$2902,X$2,0)&lt;&gt;H2582,"Beam Revised","")</f>
        <v>#N/A</v>
      </c>
      <c r="Y2582" s="7" t="e">
        <f>IF(VLOOKUP($A2582,'Concrete Beam Schedule'!$A$2:$Q$2902,Y$2,0)&lt;&gt;I2582,"Beam Revised","")</f>
        <v>#N/A</v>
      </c>
      <c r="Z2582" s="7" t="e">
        <f>IF(VLOOKUP($A2582,'Concrete Beam Schedule'!$A$2:$Q$2902,Z$2,0)&lt;&gt;J2582,"Beam Revised","")</f>
        <v>#N/A</v>
      </c>
      <c r="AA2582" s="7" t="e">
        <f>IF(VLOOKUP($A2582,'Concrete Beam Schedule'!$A$2:$Q$2902,AA$2,0)&lt;&gt;K2582,"Beam Revised","")</f>
        <v>#N/A</v>
      </c>
      <c r="AB2582" s="7" t="e">
        <f>IF(VLOOKUP($A2582,'Concrete Beam Schedule'!$A$2:$Q$2902,AB$2,0)&lt;&gt;L2582,"Beam Revised","")</f>
        <v>#N/A</v>
      </c>
      <c r="AC2582" s="7" t="e">
        <f>IF(VLOOKUP($A2582,'Concrete Beam Schedule'!$A$2:$Q$2902,AC$2,0)&lt;&gt;M2582,"Beam Revised","")</f>
        <v>#N/A</v>
      </c>
      <c r="AD2582" s="7" t="e">
        <f>IF(VLOOKUP($A2582,'Concrete Beam Schedule'!$A$2:$Q$2902,AD$2,0)&lt;&gt;N2582,"Beam Revised","")</f>
        <v>#N/A</v>
      </c>
      <c r="AE2582" s="7" t="e">
        <f>IF(VLOOKUP($A2582,'Concrete Beam Schedule'!$A$2:$Q$2902,AE$2,0)&lt;&gt;O2582,"Beam Revised","")</f>
        <v>#N/A</v>
      </c>
    </row>
    <row r="2583" spans="17:31" ht="20.100000000000001" customHeight="1" x14ac:dyDescent="0.25">
      <c r="Q2583" s="7">
        <f t="shared" si="40"/>
        <v>0</v>
      </c>
      <c r="R2583" s="7" t="e">
        <f>IF(VLOOKUP($A2583,'Concrete Beam Schedule'!$A$2:$Q$2902,R$2,0)&lt;&gt;B2583,VLOOKUP($A2583,'Concrete Beam Schedule'!$A$2:$Q$2902,R$2,0),"")</f>
        <v>#N/A</v>
      </c>
      <c r="S2583" s="7" t="e">
        <f>IF(VLOOKUP($A2583,'Concrete Beam Schedule'!$A$2:$Q$2902,S$2,0)&lt;&gt;C2583,VLOOKUP($A2583,'Concrete Beam Schedule'!$A$2:$Q$2902,S$2,0),"")</f>
        <v>#N/A</v>
      </c>
      <c r="T2583" s="7" t="e">
        <f>IF(VLOOKUP($A2583,'Concrete Beam Schedule'!$A$2:$Q$2902,T$2,0)&lt;&gt;D2583,"Beam Revised","")</f>
        <v>#N/A</v>
      </c>
      <c r="U2583" s="7" t="e">
        <f>IF(VLOOKUP($A2583,'Concrete Beam Schedule'!$A$2:$Q$2902,U$2,0)&lt;&gt;E2583,"Beam Revised","")</f>
        <v>#N/A</v>
      </c>
      <c r="V2583" s="7" t="e">
        <f>IF(VLOOKUP($A2583,'Concrete Beam Schedule'!$A$2:$Q$2902,V$2,0)&lt;&gt;F2583,"Beam Revised","")</f>
        <v>#N/A</v>
      </c>
      <c r="W2583" s="7" t="e">
        <f>IF(VLOOKUP($A2583,'Concrete Beam Schedule'!$A$2:$Q$2902,W$2,0)&lt;&gt;G2583,"Beam Revised","")</f>
        <v>#N/A</v>
      </c>
      <c r="X2583" s="7" t="e">
        <f>IF(VLOOKUP($A2583,'Concrete Beam Schedule'!$A$2:$Q$2902,X$2,0)&lt;&gt;H2583,"Beam Revised","")</f>
        <v>#N/A</v>
      </c>
      <c r="Y2583" s="7" t="e">
        <f>IF(VLOOKUP($A2583,'Concrete Beam Schedule'!$A$2:$Q$2902,Y$2,0)&lt;&gt;I2583,"Beam Revised","")</f>
        <v>#N/A</v>
      </c>
      <c r="Z2583" s="7" t="e">
        <f>IF(VLOOKUP($A2583,'Concrete Beam Schedule'!$A$2:$Q$2902,Z$2,0)&lt;&gt;J2583,"Beam Revised","")</f>
        <v>#N/A</v>
      </c>
      <c r="AA2583" s="7" t="e">
        <f>IF(VLOOKUP($A2583,'Concrete Beam Schedule'!$A$2:$Q$2902,AA$2,0)&lt;&gt;K2583,"Beam Revised","")</f>
        <v>#N/A</v>
      </c>
      <c r="AB2583" s="7" t="e">
        <f>IF(VLOOKUP($A2583,'Concrete Beam Schedule'!$A$2:$Q$2902,AB$2,0)&lt;&gt;L2583,"Beam Revised","")</f>
        <v>#N/A</v>
      </c>
      <c r="AC2583" s="7" t="e">
        <f>IF(VLOOKUP($A2583,'Concrete Beam Schedule'!$A$2:$Q$2902,AC$2,0)&lt;&gt;M2583,"Beam Revised","")</f>
        <v>#N/A</v>
      </c>
      <c r="AD2583" s="7" t="e">
        <f>IF(VLOOKUP($A2583,'Concrete Beam Schedule'!$A$2:$Q$2902,AD$2,0)&lt;&gt;N2583,"Beam Revised","")</f>
        <v>#N/A</v>
      </c>
      <c r="AE2583" s="7" t="e">
        <f>IF(VLOOKUP($A2583,'Concrete Beam Schedule'!$A$2:$Q$2902,AE$2,0)&lt;&gt;O2583,"Beam Revised","")</f>
        <v>#N/A</v>
      </c>
    </row>
    <row r="2584" spans="17:31" ht="20.100000000000001" customHeight="1" x14ac:dyDescent="0.25">
      <c r="Q2584" s="7">
        <f t="shared" si="40"/>
        <v>0</v>
      </c>
      <c r="R2584" s="7" t="e">
        <f>IF(VLOOKUP($A2584,'Concrete Beam Schedule'!$A$2:$Q$2902,R$2,0)&lt;&gt;B2584,VLOOKUP($A2584,'Concrete Beam Schedule'!$A$2:$Q$2902,R$2,0),"")</f>
        <v>#N/A</v>
      </c>
      <c r="S2584" s="7" t="e">
        <f>IF(VLOOKUP($A2584,'Concrete Beam Schedule'!$A$2:$Q$2902,S$2,0)&lt;&gt;C2584,VLOOKUP($A2584,'Concrete Beam Schedule'!$A$2:$Q$2902,S$2,0),"")</f>
        <v>#N/A</v>
      </c>
      <c r="T2584" s="7" t="e">
        <f>IF(VLOOKUP($A2584,'Concrete Beam Schedule'!$A$2:$Q$2902,T$2,0)&lt;&gt;D2584,"Beam Revised","")</f>
        <v>#N/A</v>
      </c>
      <c r="U2584" s="7" t="e">
        <f>IF(VLOOKUP($A2584,'Concrete Beam Schedule'!$A$2:$Q$2902,U$2,0)&lt;&gt;E2584,"Beam Revised","")</f>
        <v>#N/A</v>
      </c>
      <c r="V2584" s="7" t="e">
        <f>IF(VLOOKUP($A2584,'Concrete Beam Schedule'!$A$2:$Q$2902,V$2,0)&lt;&gt;F2584,"Beam Revised","")</f>
        <v>#N/A</v>
      </c>
      <c r="W2584" s="7" t="e">
        <f>IF(VLOOKUP($A2584,'Concrete Beam Schedule'!$A$2:$Q$2902,W$2,0)&lt;&gt;G2584,"Beam Revised","")</f>
        <v>#N/A</v>
      </c>
      <c r="X2584" s="7" t="e">
        <f>IF(VLOOKUP($A2584,'Concrete Beam Schedule'!$A$2:$Q$2902,X$2,0)&lt;&gt;H2584,"Beam Revised","")</f>
        <v>#N/A</v>
      </c>
      <c r="Y2584" s="7" t="e">
        <f>IF(VLOOKUP($A2584,'Concrete Beam Schedule'!$A$2:$Q$2902,Y$2,0)&lt;&gt;I2584,"Beam Revised","")</f>
        <v>#N/A</v>
      </c>
      <c r="Z2584" s="7" t="e">
        <f>IF(VLOOKUP($A2584,'Concrete Beam Schedule'!$A$2:$Q$2902,Z$2,0)&lt;&gt;J2584,"Beam Revised","")</f>
        <v>#N/A</v>
      </c>
      <c r="AA2584" s="7" t="e">
        <f>IF(VLOOKUP($A2584,'Concrete Beam Schedule'!$A$2:$Q$2902,AA$2,0)&lt;&gt;K2584,"Beam Revised","")</f>
        <v>#N/A</v>
      </c>
      <c r="AB2584" s="7" t="e">
        <f>IF(VLOOKUP($A2584,'Concrete Beam Schedule'!$A$2:$Q$2902,AB$2,0)&lt;&gt;L2584,"Beam Revised","")</f>
        <v>#N/A</v>
      </c>
      <c r="AC2584" s="7" t="e">
        <f>IF(VLOOKUP($A2584,'Concrete Beam Schedule'!$A$2:$Q$2902,AC$2,0)&lt;&gt;M2584,"Beam Revised","")</f>
        <v>#N/A</v>
      </c>
      <c r="AD2584" s="7" t="e">
        <f>IF(VLOOKUP($A2584,'Concrete Beam Schedule'!$A$2:$Q$2902,AD$2,0)&lt;&gt;N2584,"Beam Revised","")</f>
        <v>#N/A</v>
      </c>
      <c r="AE2584" s="7" t="e">
        <f>IF(VLOOKUP($A2584,'Concrete Beam Schedule'!$A$2:$Q$2902,AE$2,0)&lt;&gt;O2584,"Beam Revised","")</f>
        <v>#N/A</v>
      </c>
    </row>
    <row r="2585" spans="17:31" ht="20.100000000000001" customHeight="1" x14ac:dyDescent="0.25">
      <c r="Q2585" s="7">
        <f t="shared" si="40"/>
        <v>0</v>
      </c>
      <c r="R2585" s="7" t="e">
        <f>IF(VLOOKUP($A2585,'Concrete Beam Schedule'!$A$2:$Q$2902,R$2,0)&lt;&gt;B2585,VLOOKUP($A2585,'Concrete Beam Schedule'!$A$2:$Q$2902,R$2,0),"")</f>
        <v>#N/A</v>
      </c>
      <c r="S2585" s="7" t="e">
        <f>IF(VLOOKUP($A2585,'Concrete Beam Schedule'!$A$2:$Q$2902,S$2,0)&lt;&gt;C2585,VLOOKUP($A2585,'Concrete Beam Schedule'!$A$2:$Q$2902,S$2,0),"")</f>
        <v>#N/A</v>
      </c>
      <c r="T2585" s="7" t="e">
        <f>IF(VLOOKUP($A2585,'Concrete Beam Schedule'!$A$2:$Q$2902,T$2,0)&lt;&gt;D2585,"Beam Revised","")</f>
        <v>#N/A</v>
      </c>
      <c r="U2585" s="7" t="e">
        <f>IF(VLOOKUP($A2585,'Concrete Beam Schedule'!$A$2:$Q$2902,U$2,0)&lt;&gt;E2585,"Beam Revised","")</f>
        <v>#N/A</v>
      </c>
      <c r="V2585" s="7" t="e">
        <f>IF(VLOOKUP($A2585,'Concrete Beam Schedule'!$A$2:$Q$2902,V$2,0)&lt;&gt;F2585,"Beam Revised","")</f>
        <v>#N/A</v>
      </c>
      <c r="W2585" s="7" t="e">
        <f>IF(VLOOKUP($A2585,'Concrete Beam Schedule'!$A$2:$Q$2902,W$2,0)&lt;&gt;G2585,"Beam Revised","")</f>
        <v>#N/A</v>
      </c>
      <c r="X2585" s="7" t="e">
        <f>IF(VLOOKUP($A2585,'Concrete Beam Schedule'!$A$2:$Q$2902,X$2,0)&lt;&gt;H2585,"Beam Revised","")</f>
        <v>#N/A</v>
      </c>
      <c r="Y2585" s="7" t="e">
        <f>IF(VLOOKUP($A2585,'Concrete Beam Schedule'!$A$2:$Q$2902,Y$2,0)&lt;&gt;I2585,"Beam Revised","")</f>
        <v>#N/A</v>
      </c>
      <c r="Z2585" s="7" t="e">
        <f>IF(VLOOKUP($A2585,'Concrete Beam Schedule'!$A$2:$Q$2902,Z$2,0)&lt;&gt;J2585,"Beam Revised","")</f>
        <v>#N/A</v>
      </c>
      <c r="AA2585" s="7" t="e">
        <f>IF(VLOOKUP($A2585,'Concrete Beam Schedule'!$A$2:$Q$2902,AA$2,0)&lt;&gt;K2585,"Beam Revised","")</f>
        <v>#N/A</v>
      </c>
      <c r="AB2585" s="7" t="e">
        <f>IF(VLOOKUP($A2585,'Concrete Beam Schedule'!$A$2:$Q$2902,AB$2,0)&lt;&gt;L2585,"Beam Revised","")</f>
        <v>#N/A</v>
      </c>
      <c r="AC2585" s="7" t="e">
        <f>IF(VLOOKUP($A2585,'Concrete Beam Schedule'!$A$2:$Q$2902,AC$2,0)&lt;&gt;M2585,"Beam Revised","")</f>
        <v>#N/A</v>
      </c>
      <c r="AD2585" s="7" t="e">
        <f>IF(VLOOKUP($A2585,'Concrete Beam Schedule'!$A$2:$Q$2902,AD$2,0)&lt;&gt;N2585,"Beam Revised","")</f>
        <v>#N/A</v>
      </c>
      <c r="AE2585" s="7" t="e">
        <f>IF(VLOOKUP($A2585,'Concrete Beam Schedule'!$A$2:$Q$2902,AE$2,0)&lt;&gt;O2585,"Beam Revised","")</f>
        <v>#N/A</v>
      </c>
    </row>
    <row r="2586" spans="17:31" ht="20.100000000000001" customHeight="1" x14ac:dyDescent="0.25">
      <c r="Q2586" s="7">
        <f t="shared" si="40"/>
        <v>0</v>
      </c>
      <c r="R2586" s="7" t="e">
        <f>IF(VLOOKUP($A2586,'Concrete Beam Schedule'!$A$2:$Q$2902,R$2,0)&lt;&gt;B2586,VLOOKUP($A2586,'Concrete Beam Schedule'!$A$2:$Q$2902,R$2,0),"")</f>
        <v>#N/A</v>
      </c>
      <c r="S2586" s="7" t="e">
        <f>IF(VLOOKUP($A2586,'Concrete Beam Schedule'!$A$2:$Q$2902,S$2,0)&lt;&gt;C2586,VLOOKUP($A2586,'Concrete Beam Schedule'!$A$2:$Q$2902,S$2,0),"")</f>
        <v>#N/A</v>
      </c>
      <c r="T2586" s="7" t="e">
        <f>IF(VLOOKUP($A2586,'Concrete Beam Schedule'!$A$2:$Q$2902,T$2,0)&lt;&gt;D2586,"Beam Revised","")</f>
        <v>#N/A</v>
      </c>
      <c r="U2586" s="7" t="e">
        <f>IF(VLOOKUP($A2586,'Concrete Beam Schedule'!$A$2:$Q$2902,U$2,0)&lt;&gt;E2586,"Beam Revised","")</f>
        <v>#N/A</v>
      </c>
      <c r="V2586" s="7" t="e">
        <f>IF(VLOOKUP($A2586,'Concrete Beam Schedule'!$A$2:$Q$2902,V$2,0)&lt;&gt;F2586,"Beam Revised","")</f>
        <v>#N/A</v>
      </c>
      <c r="W2586" s="7" t="e">
        <f>IF(VLOOKUP($A2586,'Concrete Beam Schedule'!$A$2:$Q$2902,W$2,0)&lt;&gt;G2586,"Beam Revised","")</f>
        <v>#N/A</v>
      </c>
      <c r="X2586" s="7" t="e">
        <f>IF(VLOOKUP($A2586,'Concrete Beam Schedule'!$A$2:$Q$2902,X$2,0)&lt;&gt;H2586,"Beam Revised","")</f>
        <v>#N/A</v>
      </c>
      <c r="Y2586" s="7" t="e">
        <f>IF(VLOOKUP($A2586,'Concrete Beam Schedule'!$A$2:$Q$2902,Y$2,0)&lt;&gt;I2586,"Beam Revised","")</f>
        <v>#N/A</v>
      </c>
      <c r="Z2586" s="7" t="e">
        <f>IF(VLOOKUP($A2586,'Concrete Beam Schedule'!$A$2:$Q$2902,Z$2,0)&lt;&gt;J2586,"Beam Revised","")</f>
        <v>#N/A</v>
      </c>
      <c r="AA2586" s="7" t="e">
        <f>IF(VLOOKUP($A2586,'Concrete Beam Schedule'!$A$2:$Q$2902,AA$2,0)&lt;&gt;K2586,"Beam Revised","")</f>
        <v>#N/A</v>
      </c>
      <c r="AB2586" s="7" t="e">
        <f>IF(VLOOKUP($A2586,'Concrete Beam Schedule'!$A$2:$Q$2902,AB$2,0)&lt;&gt;L2586,"Beam Revised","")</f>
        <v>#N/A</v>
      </c>
      <c r="AC2586" s="7" t="e">
        <f>IF(VLOOKUP($A2586,'Concrete Beam Schedule'!$A$2:$Q$2902,AC$2,0)&lt;&gt;M2586,"Beam Revised","")</f>
        <v>#N/A</v>
      </c>
      <c r="AD2586" s="7" t="e">
        <f>IF(VLOOKUP($A2586,'Concrete Beam Schedule'!$A$2:$Q$2902,AD$2,0)&lt;&gt;N2586,"Beam Revised","")</f>
        <v>#N/A</v>
      </c>
      <c r="AE2586" s="7" t="e">
        <f>IF(VLOOKUP($A2586,'Concrete Beam Schedule'!$A$2:$Q$2902,AE$2,0)&lt;&gt;O2586,"Beam Revised","")</f>
        <v>#N/A</v>
      </c>
    </row>
    <row r="2587" spans="17:31" ht="20.100000000000001" customHeight="1" x14ac:dyDescent="0.25">
      <c r="Q2587" s="7">
        <f t="shared" si="40"/>
        <v>0</v>
      </c>
      <c r="R2587" s="7" t="e">
        <f>IF(VLOOKUP($A2587,'Concrete Beam Schedule'!$A$2:$Q$2902,R$2,0)&lt;&gt;B2587,VLOOKUP($A2587,'Concrete Beam Schedule'!$A$2:$Q$2902,R$2,0),"")</f>
        <v>#N/A</v>
      </c>
      <c r="S2587" s="7" t="e">
        <f>IF(VLOOKUP($A2587,'Concrete Beam Schedule'!$A$2:$Q$2902,S$2,0)&lt;&gt;C2587,VLOOKUP($A2587,'Concrete Beam Schedule'!$A$2:$Q$2902,S$2,0),"")</f>
        <v>#N/A</v>
      </c>
      <c r="T2587" s="7" t="e">
        <f>IF(VLOOKUP($A2587,'Concrete Beam Schedule'!$A$2:$Q$2902,T$2,0)&lt;&gt;D2587,"Beam Revised","")</f>
        <v>#N/A</v>
      </c>
      <c r="U2587" s="7" t="e">
        <f>IF(VLOOKUP($A2587,'Concrete Beam Schedule'!$A$2:$Q$2902,U$2,0)&lt;&gt;E2587,"Beam Revised","")</f>
        <v>#N/A</v>
      </c>
      <c r="V2587" s="7" t="e">
        <f>IF(VLOOKUP($A2587,'Concrete Beam Schedule'!$A$2:$Q$2902,V$2,0)&lt;&gt;F2587,"Beam Revised","")</f>
        <v>#N/A</v>
      </c>
      <c r="W2587" s="7" t="e">
        <f>IF(VLOOKUP($A2587,'Concrete Beam Schedule'!$A$2:$Q$2902,W$2,0)&lt;&gt;G2587,"Beam Revised","")</f>
        <v>#N/A</v>
      </c>
      <c r="X2587" s="7" t="e">
        <f>IF(VLOOKUP($A2587,'Concrete Beam Schedule'!$A$2:$Q$2902,X$2,0)&lt;&gt;H2587,"Beam Revised","")</f>
        <v>#N/A</v>
      </c>
      <c r="Y2587" s="7" t="e">
        <f>IF(VLOOKUP($A2587,'Concrete Beam Schedule'!$A$2:$Q$2902,Y$2,0)&lt;&gt;I2587,"Beam Revised","")</f>
        <v>#N/A</v>
      </c>
      <c r="Z2587" s="7" t="e">
        <f>IF(VLOOKUP($A2587,'Concrete Beam Schedule'!$A$2:$Q$2902,Z$2,0)&lt;&gt;J2587,"Beam Revised","")</f>
        <v>#N/A</v>
      </c>
      <c r="AA2587" s="7" t="e">
        <f>IF(VLOOKUP($A2587,'Concrete Beam Schedule'!$A$2:$Q$2902,AA$2,0)&lt;&gt;K2587,"Beam Revised","")</f>
        <v>#N/A</v>
      </c>
      <c r="AB2587" s="7" t="e">
        <f>IF(VLOOKUP($A2587,'Concrete Beam Schedule'!$A$2:$Q$2902,AB$2,0)&lt;&gt;L2587,"Beam Revised","")</f>
        <v>#N/A</v>
      </c>
      <c r="AC2587" s="7" t="e">
        <f>IF(VLOOKUP($A2587,'Concrete Beam Schedule'!$A$2:$Q$2902,AC$2,0)&lt;&gt;M2587,"Beam Revised","")</f>
        <v>#N/A</v>
      </c>
      <c r="AD2587" s="7" t="e">
        <f>IF(VLOOKUP($A2587,'Concrete Beam Schedule'!$A$2:$Q$2902,AD$2,0)&lt;&gt;N2587,"Beam Revised","")</f>
        <v>#N/A</v>
      </c>
      <c r="AE2587" s="7" t="e">
        <f>IF(VLOOKUP($A2587,'Concrete Beam Schedule'!$A$2:$Q$2902,AE$2,0)&lt;&gt;O2587,"Beam Revised","")</f>
        <v>#N/A</v>
      </c>
    </row>
    <row r="2588" spans="17:31" ht="20.100000000000001" customHeight="1" x14ac:dyDescent="0.25">
      <c r="Q2588" s="7">
        <f t="shared" si="40"/>
        <v>0</v>
      </c>
      <c r="R2588" s="7" t="e">
        <f>IF(VLOOKUP($A2588,'Concrete Beam Schedule'!$A$2:$Q$2902,R$2,0)&lt;&gt;B2588,VLOOKUP($A2588,'Concrete Beam Schedule'!$A$2:$Q$2902,R$2,0),"")</f>
        <v>#N/A</v>
      </c>
      <c r="S2588" s="7" t="e">
        <f>IF(VLOOKUP($A2588,'Concrete Beam Schedule'!$A$2:$Q$2902,S$2,0)&lt;&gt;C2588,VLOOKUP($A2588,'Concrete Beam Schedule'!$A$2:$Q$2902,S$2,0),"")</f>
        <v>#N/A</v>
      </c>
      <c r="T2588" s="7" t="e">
        <f>IF(VLOOKUP($A2588,'Concrete Beam Schedule'!$A$2:$Q$2902,T$2,0)&lt;&gt;D2588,"Beam Revised","")</f>
        <v>#N/A</v>
      </c>
      <c r="U2588" s="7" t="e">
        <f>IF(VLOOKUP($A2588,'Concrete Beam Schedule'!$A$2:$Q$2902,U$2,0)&lt;&gt;E2588,"Beam Revised","")</f>
        <v>#N/A</v>
      </c>
      <c r="V2588" s="7" t="e">
        <f>IF(VLOOKUP($A2588,'Concrete Beam Schedule'!$A$2:$Q$2902,V$2,0)&lt;&gt;F2588,"Beam Revised","")</f>
        <v>#N/A</v>
      </c>
      <c r="W2588" s="7" t="e">
        <f>IF(VLOOKUP($A2588,'Concrete Beam Schedule'!$A$2:$Q$2902,W$2,0)&lt;&gt;G2588,"Beam Revised","")</f>
        <v>#N/A</v>
      </c>
      <c r="X2588" s="7" t="e">
        <f>IF(VLOOKUP($A2588,'Concrete Beam Schedule'!$A$2:$Q$2902,X$2,0)&lt;&gt;H2588,"Beam Revised","")</f>
        <v>#N/A</v>
      </c>
      <c r="Y2588" s="7" t="e">
        <f>IF(VLOOKUP($A2588,'Concrete Beam Schedule'!$A$2:$Q$2902,Y$2,0)&lt;&gt;I2588,"Beam Revised","")</f>
        <v>#N/A</v>
      </c>
      <c r="Z2588" s="7" t="e">
        <f>IF(VLOOKUP($A2588,'Concrete Beam Schedule'!$A$2:$Q$2902,Z$2,0)&lt;&gt;J2588,"Beam Revised","")</f>
        <v>#N/A</v>
      </c>
      <c r="AA2588" s="7" t="e">
        <f>IF(VLOOKUP($A2588,'Concrete Beam Schedule'!$A$2:$Q$2902,AA$2,0)&lt;&gt;K2588,"Beam Revised","")</f>
        <v>#N/A</v>
      </c>
      <c r="AB2588" s="7" t="e">
        <f>IF(VLOOKUP($A2588,'Concrete Beam Schedule'!$A$2:$Q$2902,AB$2,0)&lt;&gt;L2588,"Beam Revised","")</f>
        <v>#N/A</v>
      </c>
      <c r="AC2588" s="7" t="e">
        <f>IF(VLOOKUP($A2588,'Concrete Beam Schedule'!$A$2:$Q$2902,AC$2,0)&lt;&gt;M2588,"Beam Revised","")</f>
        <v>#N/A</v>
      </c>
      <c r="AD2588" s="7" t="e">
        <f>IF(VLOOKUP($A2588,'Concrete Beam Schedule'!$A$2:$Q$2902,AD$2,0)&lt;&gt;N2588,"Beam Revised","")</f>
        <v>#N/A</v>
      </c>
      <c r="AE2588" s="7" t="e">
        <f>IF(VLOOKUP($A2588,'Concrete Beam Schedule'!$A$2:$Q$2902,AE$2,0)&lt;&gt;O2588,"Beam Revised","")</f>
        <v>#N/A</v>
      </c>
    </row>
    <row r="2589" spans="17:31" ht="20.100000000000001" customHeight="1" x14ac:dyDescent="0.25">
      <c r="Q2589" s="7">
        <f t="shared" si="40"/>
        <v>0</v>
      </c>
      <c r="R2589" s="7" t="e">
        <f>IF(VLOOKUP($A2589,'Concrete Beam Schedule'!$A$2:$Q$2902,R$2,0)&lt;&gt;B2589,VLOOKUP($A2589,'Concrete Beam Schedule'!$A$2:$Q$2902,R$2,0),"")</f>
        <v>#N/A</v>
      </c>
      <c r="S2589" s="7" t="e">
        <f>IF(VLOOKUP($A2589,'Concrete Beam Schedule'!$A$2:$Q$2902,S$2,0)&lt;&gt;C2589,VLOOKUP($A2589,'Concrete Beam Schedule'!$A$2:$Q$2902,S$2,0),"")</f>
        <v>#N/A</v>
      </c>
      <c r="T2589" s="7" t="e">
        <f>IF(VLOOKUP($A2589,'Concrete Beam Schedule'!$A$2:$Q$2902,T$2,0)&lt;&gt;D2589,"Beam Revised","")</f>
        <v>#N/A</v>
      </c>
      <c r="U2589" s="7" t="e">
        <f>IF(VLOOKUP($A2589,'Concrete Beam Schedule'!$A$2:$Q$2902,U$2,0)&lt;&gt;E2589,"Beam Revised","")</f>
        <v>#N/A</v>
      </c>
      <c r="V2589" s="7" t="e">
        <f>IF(VLOOKUP($A2589,'Concrete Beam Schedule'!$A$2:$Q$2902,V$2,0)&lt;&gt;F2589,"Beam Revised","")</f>
        <v>#N/A</v>
      </c>
      <c r="W2589" s="7" t="e">
        <f>IF(VLOOKUP($A2589,'Concrete Beam Schedule'!$A$2:$Q$2902,W$2,0)&lt;&gt;G2589,"Beam Revised","")</f>
        <v>#N/A</v>
      </c>
      <c r="X2589" s="7" t="e">
        <f>IF(VLOOKUP($A2589,'Concrete Beam Schedule'!$A$2:$Q$2902,X$2,0)&lt;&gt;H2589,"Beam Revised","")</f>
        <v>#N/A</v>
      </c>
      <c r="Y2589" s="7" t="e">
        <f>IF(VLOOKUP($A2589,'Concrete Beam Schedule'!$A$2:$Q$2902,Y$2,0)&lt;&gt;I2589,"Beam Revised","")</f>
        <v>#N/A</v>
      </c>
      <c r="Z2589" s="7" t="e">
        <f>IF(VLOOKUP($A2589,'Concrete Beam Schedule'!$A$2:$Q$2902,Z$2,0)&lt;&gt;J2589,"Beam Revised","")</f>
        <v>#N/A</v>
      </c>
      <c r="AA2589" s="7" t="e">
        <f>IF(VLOOKUP($A2589,'Concrete Beam Schedule'!$A$2:$Q$2902,AA$2,0)&lt;&gt;K2589,"Beam Revised","")</f>
        <v>#N/A</v>
      </c>
      <c r="AB2589" s="7" t="e">
        <f>IF(VLOOKUP($A2589,'Concrete Beam Schedule'!$A$2:$Q$2902,AB$2,0)&lt;&gt;L2589,"Beam Revised","")</f>
        <v>#N/A</v>
      </c>
      <c r="AC2589" s="7" t="e">
        <f>IF(VLOOKUP($A2589,'Concrete Beam Schedule'!$A$2:$Q$2902,AC$2,0)&lt;&gt;M2589,"Beam Revised","")</f>
        <v>#N/A</v>
      </c>
      <c r="AD2589" s="7" t="e">
        <f>IF(VLOOKUP($A2589,'Concrete Beam Schedule'!$A$2:$Q$2902,AD$2,0)&lt;&gt;N2589,"Beam Revised","")</f>
        <v>#N/A</v>
      </c>
      <c r="AE2589" s="7" t="e">
        <f>IF(VLOOKUP($A2589,'Concrete Beam Schedule'!$A$2:$Q$2902,AE$2,0)&lt;&gt;O2589,"Beam Revised","")</f>
        <v>#N/A</v>
      </c>
    </row>
    <row r="2590" spans="17:31" ht="20.100000000000001" customHeight="1" x14ac:dyDescent="0.25">
      <c r="Q2590" s="7">
        <f t="shared" si="40"/>
        <v>0</v>
      </c>
      <c r="R2590" s="7" t="e">
        <f>IF(VLOOKUP($A2590,'Concrete Beam Schedule'!$A$2:$Q$2902,R$2,0)&lt;&gt;B2590,VLOOKUP($A2590,'Concrete Beam Schedule'!$A$2:$Q$2902,R$2,0),"")</f>
        <v>#N/A</v>
      </c>
      <c r="S2590" s="7" t="e">
        <f>IF(VLOOKUP($A2590,'Concrete Beam Schedule'!$A$2:$Q$2902,S$2,0)&lt;&gt;C2590,VLOOKUP($A2590,'Concrete Beam Schedule'!$A$2:$Q$2902,S$2,0),"")</f>
        <v>#N/A</v>
      </c>
      <c r="T2590" s="7" t="e">
        <f>IF(VLOOKUP($A2590,'Concrete Beam Schedule'!$A$2:$Q$2902,T$2,0)&lt;&gt;D2590,"Beam Revised","")</f>
        <v>#N/A</v>
      </c>
      <c r="U2590" s="7" t="e">
        <f>IF(VLOOKUP($A2590,'Concrete Beam Schedule'!$A$2:$Q$2902,U$2,0)&lt;&gt;E2590,"Beam Revised","")</f>
        <v>#N/A</v>
      </c>
      <c r="V2590" s="7" t="e">
        <f>IF(VLOOKUP($A2590,'Concrete Beam Schedule'!$A$2:$Q$2902,V$2,0)&lt;&gt;F2590,"Beam Revised","")</f>
        <v>#N/A</v>
      </c>
      <c r="W2590" s="7" t="e">
        <f>IF(VLOOKUP($A2590,'Concrete Beam Schedule'!$A$2:$Q$2902,W$2,0)&lt;&gt;G2590,"Beam Revised","")</f>
        <v>#N/A</v>
      </c>
      <c r="X2590" s="7" t="e">
        <f>IF(VLOOKUP($A2590,'Concrete Beam Schedule'!$A$2:$Q$2902,X$2,0)&lt;&gt;H2590,"Beam Revised","")</f>
        <v>#N/A</v>
      </c>
      <c r="Y2590" s="7" t="e">
        <f>IF(VLOOKUP($A2590,'Concrete Beam Schedule'!$A$2:$Q$2902,Y$2,0)&lt;&gt;I2590,"Beam Revised","")</f>
        <v>#N/A</v>
      </c>
      <c r="Z2590" s="7" t="e">
        <f>IF(VLOOKUP($A2590,'Concrete Beam Schedule'!$A$2:$Q$2902,Z$2,0)&lt;&gt;J2590,"Beam Revised","")</f>
        <v>#N/A</v>
      </c>
      <c r="AA2590" s="7" t="e">
        <f>IF(VLOOKUP($A2590,'Concrete Beam Schedule'!$A$2:$Q$2902,AA$2,0)&lt;&gt;K2590,"Beam Revised","")</f>
        <v>#N/A</v>
      </c>
      <c r="AB2590" s="7" t="e">
        <f>IF(VLOOKUP($A2590,'Concrete Beam Schedule'!$A$2:$Q$2902,AB$2,0)&lt;&gt;L2590,"Beam Revised","")</f>
        <v>#N/A</v>
      </c>
      <c r="AC2590" s="7" t="e">
        <f>IF(VLOOKUP($A2590,'Concrete Beam Schedule'!$A$2:$Q$2902,AC$2,0)&lt;&gt;M2590,"Beam Revised","")</f>
        <v>#N/A</v>
      </c>
      <c r="AD2590" s="7" t="e">
        <f>IF(VLOOKUP($A2590,'Concrete Beam Schedule'!$A$2:$Q$2902,AD$2,0)&lt;&gt;N2590,"Beam Revised","")</f>
        <v>#N/A</v>
      </c>
      <c r="AE2590" s="7" t="e">
        <f>IF(VLOOKUP($A2590,'Concrete Beam Schedule'!$A$2:$Q$2902,AE$2,0)&lt;&gt;O2590,"Beam Revised","")</f>
        <v>#N/A</v>
      </c>
    </row>
    <row r="2591" spans="17:31" ht="20.100000000000001" customHeight="1" x14ac:dyDescent="0.25">
      <c r="Q2591" s="7">
        <f t="shared" si="40"/>
        <v>0</v>
      </c>
      <c r="R2591" s="7" t="e">
        <f>IF(VLOOKUP($A2591,'Concrete Beam Schedule'!$A$2:$Q$2902,R$2,0)&lt;&gt;B2591,VLOOKUP($A2591,'Concrete Beam Schedule'!$A$2:$Q$2902,R$2,0),"")</f>
        <v>#N/A</v>
      </c>
      <c r="S2591" s="7" t="e">
        <f>IF(VLOOKUP($A2591,'Concrete Beam Schedule'!$A$2:$Q$2902,S$2,0)&lt;&gt;C2591,VLOOKUP($A2591,'Concrete Beam Schedule'!$A$2:$Q$2902,S$2,0),"")</f>
        <v>#N/A</v>
      </c>
      <c r="T2591" s="7" t="e">
        <f>IF(VLOOKUP($A2591,'Concrete Beam Schedule'!$A$2:$Q$2902,T$2,0)&lt;&gt;D2591,"Beam Revised","")</f>
        <v>#N/A</v>
      </c>
      <c r="U2591" s="7" t="e">
        <f>IF(VLOOKUP($A2591,'Concrete Beam Schedule'!$A$2:$Q$2902,U$2,0)&lt;&gt;E2591,"Beam Revised","")</f>
        <v>#N/A</v>
      </c>
      <c r="V2591" s="7" t="e">
        <f>IF(VLOOKUP($A2591,'Concrete Beam Schedule'!$A$2:$Q$2902,V$2,0)&lt;&gt;F2591,"Beam Revised","")</f>
        <v>#N/A</v>
      </c>
      <c r="W2591" s="7" t="e">
        <f>IF(VLOOKUP($A2591,'Concrete Beam Schedule'!$A$2:$Q$2902,W$2,0)&lt;&gt;G2591,"Beam Revised","")</f>
        <v>#N/A</v>
      </c>
      <c r="X2591" s="7" t="e">
        <f>IF(VLOOKUP($A2591,'Concrete Beam Schedule'!$A$2:$Q$2902,X$2,0)&lt;&gt;H2591,"Beam Revised","")</f>
        <v>#N/A</v>
      </c>
      <c r="Y2591" s="7" t="e">
        <f>IF(VLOOKUP($A2591,'Concrete Beam Schedule'!$A$2:$Q$2902,Y$2,0)&lt;&gt;I2591,"Beam Revised","")</f>
        <v>#N/A</v>
      </c>
      <c r="Z2591" s="7" t="e">
        <f>IF(VLOOKUP($A2591,'Concrete Beam Schedule'!$A$2:$Q$2902,Z$2,0)&lt;&gt;J2591,"Beam Revised","")</f>
        <v>#N/A</v>
      </c>
      <c r="AA2591" s="7" t="e">
        <f>IF(VLOOKUP($A2591,'Concrete Beam Schedule'!$A$2:$Q$2902,AA$2,0)&lt;&gt;K2591,"Beam Revised","")</f>
        <v>#N/A</v>
      </c>
      <c r="AB2591" s="7" t="e">
        <f>IF(VLOOKUP($A2591,'Concrete Beam Schedule'!$A$2:$Q$2902,AB$2,0)&lt;&gt;L2591,"Beam Revised","")</f>
        <v>#N/A</v>
      </c>
      <c r="AC2591" s="7" t="e">
        <f>IF(VLOOKUP($A2591,'Concrete Beam Schedule'!$A$2:$Q$2902,AC$2,0)&lt;&gt;M2591,"Beam Revised","")</f>
        <v>#N/A</v>
      </c>
      <c r="AD2591" s="7" t="e">
        <f>IF(VLOOKUP($A2591,'Concrete Beam Schedule'!$A$2:$Q$2902,AD$2,0)&lt;&gt;N2591,"Beam Revised","")</f>
        <v>#N/A</v>
      </c>
      <c r="AE2591" s="7" t="e">
        <f>IF(VLOOKUP($A2591,'Concrete Beam Schedule'!$A$2:$Q$2902,AE$2,0)&lt;&gt;O2591,"Beam Revised","")</f>
        <v>#N/A</v>
      </c>
    </row>
    <row r="2592" spans="17:31" ht="20.100000000000001" customHeight="1" x14ac:dyDescent="0.25">
      <c r="Q2592" s="7">
        <f t="shared" si="40"/>
        <v>0</v>
      </c>
      <c r="R2592" s="7" t="e">
        <f>IF(VLOOKUP($A2592,'Concrete Beam Schedule'!$A$2:$Q$2902,R$2,0)&lt;&gt;B2592,VLOOKUP($A2592,'Concrete Beam Schedule'!$A$2:$Q$2902,R$2,0),"")</f>
        <v>#N/A</v>
      </c>
      <c r="S2592" s="7" t="e">
        <f>IF(VLOOKUP($A2592,'Concrete Beam Schedule'!$A$2:$Q$2902,S$2,0)&lt;&gt;C2592,VLOOKUP($A2592,'Concrete Beam Schedule'!$A$2:$Q$2902,S$2,0),"")</f>
        <v>#N/A</v>
      </c>
      <c r="T2592" s="7" t="e">
        <f>IF(VLOOKUP($A2592,'Concrete Beam Schedule'!$A$2:$Q$2902,T$2,0)&lt;&gt;D2592,"Beam Revised","")</f>
        <v>#N/A</v>
      </c>
      <c r="U2592" s="7" t="e">
        <f>IF(VLOOKUP($A2592,'Concrete Beam Schedule'!$A$2:$Q$2902,U$2,0)&lt;&gt;E2592,"Beam Revised","")</f>
        <v>#N/A</v>
      </c>
      <c r="V2592" s="7" t="e">
        <f>IF(VLOOKUP($A2592,'Concrete Beam Schedule'!$A$2:$Q$2902,V$2,0)&lt;&gt;F2592,"Beam Revised","")</f>
        <v>#N/A</v>
      </c>
      <c r="W2592" s="7" t="e">
        <f>IF(VLOOKUP($A2592,'Concrete Beam Schedule'!$A$2:$Q$2902,W$2,0)&lt;&gt;G2592,"Beam Revised","")</f>
        <v>#N/A</v>
      </c>
      <c r="X2592" s="7" t="e">
        <f>IF(VLOOKUP($A2592,'Concrete Beam Schedule'!$A$2:$Q$2902,X$2,0)&lt;&gt;H2592,"Beam Revised","")</f>
        <v>#N/A</v>
      </c>
      <c r="Y2592" s="7" t="e">
        <f>IF(VLOOKUP($A2592,'Concrete Beam Schedule'!$A$2:$Q$2902,Y$2,0)&lt;&gt;I2592,"Beam Revised","")</f>
        <v>#N/A</v>
      </c>
      <c r="Z2592" s="7" t="e">
        <f>IF(VLOOKUP($A2592,'Concrete Beam Schedule'!$A$2:$Q$2902,Z$2,0)&lt;&gt;J2592,"Beam Revised","")</f>
        <v>#N/A</v>
      </c>
      <c r="AA2592" s="7" t="e">
        <f>IF(VLOOKUP($A2592,'Concrete Beam Schedule'!$A$2:$Q$2902,AA$2,0)&lt;&gt;K2592,"Beam Revised","")</f>
        <v>#N/A</v>
      </c>
      <c r="AB2592" s="7" t="e">
        <f>IF(VLOOKUP($A2592,'Concrete Beam Schedule'!$A$2:$Q$2902,AB$2,0)&lt;&gt;L2592,"Beam Revised","")</f>
        <v>#N/A</v>
      </c>
      <c r="AC2592" s="7" t="e">
        <f>IF(VLOOKUP($A2592,'Concrete Beam Schedule'!$A$2:$Q$2902,AC$2,0)&lt;&gt;M2592,"Beam Revised","")</f>
        <v>#N/A</v>
      </c>
      <c r="AD2592" s="7" t="e">
        <f>IF(VLOOKUP($A2592,'Concrete Beam Schedule'!$A$2:$Q$2902,AD$2,0)&lt;&gt;N2592,"Beam Revised","")</f>
        <v>#N/A</v>
      </c>
      <c r="AE2592" s="7" t="e">
        <f>IF(VLOOKUP($A2592,'Concrete Beam Schedule'!$A$2:$Q$2902,AE$2,0)&lt;&gt;O2592,"Beam Revised","")</f>
        <v>#N/A</v>
      </c>
    </row>
    <row r="2593" spans="17:31" ht="20.100000000000001" customHeight="1" x14ac:dyDescent="0.25">
      <c r="Q2593" s="7">
        <f t="shared" si="40"/>
        <v>0</v>
      </c>
      <c r="R2593" s="7" t="e">
        <f>IF(VLOOKUP($A2593,'Concrete Beam Schedule'!$A$2:$Q$2902,R$2,0)&lt;&gt;B2593,VLOOKUP($A2593,'Concrete Beam Schedule'!$A$2:$Q$2902,R$2,0),"")</f>
        <v>#N/A</v>
      </c>
      <c r="S2593" s="7" t="e">
        <f>IF(VLOOKUP($A2593,'Concrete Beam Schedule'!$A$2:$Q$2902,S$2,0)&lt;&gt;C2593,VLOOKUP($A2593,'Concrete Beam Schedule'!$A$2:$Q$2902,S$2,0),"")</f>
        <v>#N/A</v>
      </c>
      <c r="T2593" s="7" t="e">
        <f>IF(VLOOKUP($A2593,'Concrete Beam Schedule'!$A$2:$Q$2902,T$2,0)&lt;&gt;D2593,"Beam Revised","")</f>
        <v>#N/A</v>
      </c>
      <c r="U2593" s="7" t="e">
        <f>IF(VLOOKUP($A2593,'Concrete Beam Schedule'!$A$2:$Q$2902,U$2,0)&lt;&gt;E2593,"Beam Revised","")</f>
        <v>#N/A</v>
      </c>
      <c r="V2593" s="7" t="e">
        <f>IF(VLOOKUP($A2593,'Concrete Beam Schedule'!$A$2:$Q$2902,V$2,0)&lt;&gt;F2593,"Beam Revised","")</f>
        <v>#N/A</v>
      </c>
      <c r="W2593" s="7" t="e">
        <f>IF(VLOOKUP($A2593,'Concrete Beam Schedule'!$A$2:$Q$2902,W$2,0)&lt;&gt;G2593,"Beam Revised","")</f>
        <v>#N/A</v>
      </c>
      <c r="X2593" s="7" t="e">
        <f>IF(VLOOKUP($A2593,'Concrete Beam Schedule'!$A$2:$Q$2902,X$2,0)&lt;&gt;H2593,"Beam Revised","")</f>
        <v>#N/A</v>
      </c>
      <c r="Y2593" s="7" t="e">
        <f>IF(VLOOKUP($A2593,'Concrete Beam Schedule'!$A$2:$Q$2902,Y$2,0)&lt;&gt;I2593,"Beam Revised","")</f>
        <v>#N/A</v>
      </c>
      <c r="Z2593" s="7" t="e">
        <f>IF(VLOOKUP($A2593,'Concrete Beam Schedule'!$A$2:$Q$2902,Z$2,0)&lt;&gt;J2593,"Beam Revised","")</f>
        <v>#N/A</v>
      </c>
      <c r="AA2593" s="7" t="e">
        <f>IF(VLOOKUP($A2593,'Concrete Beam Schedule'!$A$2:$Q$2902,AA$2,0)&lt;&gt;K2593,"Beam Revised","")</f>
        <v>#N/A</v>
      </c>
      <c r="AB2593" s="7" t="e">
        <f>IF(VLOOKUP($A2593,'Concrete Beam Schedule'!$A$2:$Q$2902,AB$2,0)&lt;&gt;L2593,"Beam Revised","")</f>
        <v>#N/A</v>
      </c>
      <c r="AC2593" s="7" t="e">
        <f>IF(VLOOKUP($A2593,'Concrete Beam Schedule'!$A$2:$Q$2902,AC$2,0)&lt;&gt;M2593,"Beam Revised","")</f>
        <v>#N/A</v>
      </c>
      <c r="AD2593" s="7" t="e">
        <f>IF(VLOOKUP($A2593,'Concrete Beam Schedule'!$A$2:$Q$2902,AD$2,0)&lt;&gt;N2593,"Beam Revised","")</f>
        <v>#N/A</v>
      </c>
      <c r="AE2593" s="7" t="e">
        <f>IF(VLOOKUP($A2593,'Concrete Beam Schedule'!$A$2:$Q$2902,AE$2,0)&lt;&gt;O2593,"Beam Revised","")</f>
        <v>#N/A</v>
      </c>
    </row>
    <row r="2594" spans="17:31" ht="20.100000000000001" customHeight="1" x14ac:dyDescent="0.25">
      <c r="Q2594" s="7">
        <f t="shared" si="40"/>
        <v>0</v>
      </c>
      <c r="R2594" s="7" t="e">
        <f>IF(VLOOKUP($A2594,'Concrete Beam Schedule'!$A$2:$Q$2902,R$2,0)&lt;&gt;B2594,VLOOKUP($A2594,'Concrete Beam Schedule'!$A$2:$Q$2902,R$2,0),"")</f>
        <v>#N/A</v>
      </c>
      <c r="S2594" s="7" t="e">
        <f>IF(VLOOKUP($A2594,'Concrete Beam Schedule'!$A$2:$Q$2902,S$2,0)&lt;&gt;C2594,VLOOKUP($A2594,'Concrete Beam Schedule'!$A$2:$Q$2902,S$2,0),"")</f>
        <v>#N/A</v>
      </c>
      <c r="T2594" s="7" t="e">
        <f>IF(VLOOKUP($A2594,'Concrete Beam Schedule'!$A$2:$Q$2902,T$2,0)&lt;&gt;D2594,"Beam Revised","")</f>
        <v>#N/A</v>
      </c>
      <c r="U2594" s="7" t="e">
        <f>IF(VLOOKUP($A2594,'Concrete Beam Schedule'!$A$2:$Q$2902,U$2,0)&lt;&gt;E2594,"Beam Revised","")</f>
        <v>#N/A</v>
      </c>
      <c r="V2594" s="7" t="e">
        <f>IF(VLOOKUP($A2594,'Concrete Beam Schedule'!$A$2:$Q$2902,V$2,0)&lt;&gt;F2594,"Beam Revised","")</f>
        <v>#N/A</v>
      </c>
      <c r="W2594" s="7" t="e">
        <f>IF(VLOOKUP($A2594,'Concrete Beam Schedule'!$A$2:$Q$2902,W$2,0)&lt;&gt;G2594,"Beam Revised","")</f>
        <v>#N/A</v>
      </c>
      <c r="X2594" s="7" t="e">
        <f>IF(VLOOKUP($A2594,'Concrete Beam Schedule'!$A$2:$Q$2902,X$2,0)&lt;&gt;H2594,"Beam Revised","")</f>
        <v>#N/A</v>
      </c>
      <c r="Y2594" s="7" t="e">
        <f>IF(VLOOKUP($A2594,'Concrete Beam Schedule'!$A$2:$Q$2902,Y$2,0)&lt;&gt;I2594,"Beam Revised","")</f>
        <v>#N/A</v>
      </c>
      <c r="Z2594" s="7" t="e">
        <f>IF(VLOOKUP($A2594,'Concrete Beam Schedule'!$A$2:$Q$2902,Z$2,0)&lt;&gt;J2594,"Beam Revised","")</f>
        <v>#N/A</v>
      </c>
      <c r="AA2594" s="7" t="e">
        <f>IF(VLOOKUP($A2594,'Concrete Beam Schedule'!$A$2:$Q$2902,AA$2,0)&lt;&gt;K2594,"Beam Revised","")</f>
        <v>#N/A</v>
      </c>
      <c r="AB2594" s="7" t="e">
        <f>IF(VLOOKUP($A2594,'Concrete Beam Schedule'!$A$2:$Q$2902,AB$2,0)&lt;&gt;L2594,"Beam Revised","")</f>
        <v>#N/A</v>
      </c>
      <c r="AC2594" s="7" t="e">
        <f>IF(VLOOKUP($A2594,'Concrete Beam Schedule'!$A$2:$Q$2902,AC$2,0)&lt;&gt;M2594,"Beam Revised","")</f>
        <v>#N/A</v>
      </c>
      <c r="AD2594" s="7" t="e">
        <f>IF(VLOOKUP($A2594,'Concrete Beam Schedule'!$A$2:$Q$2902,AD$2,0)&lt;&gt;N2594,"Beam Revised","")</f>
        <v>#N/A</v>
      </c>
      <c r="AE2594" s="7" t="e">
        <f>IF(VLOOKUP($A2594,'Concrete Beam Schedule'!$A$2:$Q$2902,AE$2,0)&lt;&gt;O2594,"Beam Revised","")</f>
        <v>#N/A</v>
      </c>
    </row>
    <row r="2595" spans="17:31" ht="20.100000000000001" customHeight="1" x14ac:dyDescent="0.25">
      <c r="Q2595" s="7">
        <f t="shared" si="40"/>
        <v>0</v>
      </c>
      <c r="R2595" s="7" t="e">
        <f>IF(VLOOKUP($A2595,'Concrete Beam Schedule'!$A$2:$Q$2902,R$2,0)&lt;&gt;B2595,VLOOKUP($A2595,'Concrete Beam Schedule'!$A$2:$Q$2902,R$2,0),"")</f>
        <v>#N/A</v>
      </c>
      <c r="S2595" s="7" t="e">
        <f>IF(VLOOKUP($A2595,'Concrete Beam Schedule'!$A$2:$Q$2902,S$2,0)&lt;&gt;C2595,VLOOKUP($A2595,'Concrete Beam Schedule'!$A$2:$Q$2902,S$2,0),"")</f>
        <v>#N/A</v>
      </c>
      <c r="T2595" s="7" t="e">
        <f>IF(VLOOKUP($A2595,'Concrete Beam Schedule'!$A$2:$Q$2902,T$2,0)&lt;&gt;D2595,"Beam Revised","")</f>
        <v>#N/A</v>
      </c>
      <c r="U2595" s="7" t="e">
        <f>IF(VLOOKUP($A2595,'Concrete Beam Schedule'!$A$2:$Q$2902,U$2,0)&lt;&gt;E2595,"Beam Revised","")</f>
        <v>#N/A</v>
      </c>
      <c r="V2595" s="7" t="e">
        <f>IF(VLOOKUP($A2595,'Concrete Beam Schedule'!$A$2:$Q$2902,V$2,0)&lt;&gt;F2595,"Beam Revised","")</f>
        <v>#N/A</v>
      </c>
      <c r="W2595" s="7" t="e">
        <f>IF(VLOOKUP($A2595,'Concrete Beam Schedule'!$A$2:$Q$2902,W$2,0)&lt;&gt;G2595,"Beam Revised","")</f>
        <v>#N/A</v>
      </c>
      <c r="X2595" s="7" t="e">
        <f>IF(VLOOKUP($A2595,'Concrete Beam Schedule'!$A$2:$Q$2902,X$2,0)&lt;&gt;H2595,"Beam Revised","")</f>
        <v>#N/A</v>
      </c>
      <c r="Y2595" s="7" t="e">
        <f>IF(VLOOKUP($A2595,'Concrete Beam Schedule'!$A$2:$Q$2902,Y$2,0)&lt;&gt;I2595,"Beam Revised","")</f>
        <v>#N/A</v>
      </c>
      <c r="Z2595" s="7" t="e">
        <f>IF(VLOOKUP($A2595,'Concrete Beam Schedule'!$A$2:$Q$2902,Z$2,0)&lt;&gt;J2595,"Beam Revised","")</f>
        <v>#N/A</v>
      </c>
      <c r="AA2595" s="7" t="e">
        <f>IF(VLOOKUP($A2595,'Concrete Beam Schedule'!$A$2:$Q$2902,AA$2,0)&lt;&gt;K2595,"Beam Revised","")</f>
        <v>#N/A</v>
      </c>
      <c r="AB2595" s="7" t="e">
        <f>IF(VLOOKUP($A2595,'Concrete Beam Schedule'!$A$2:$Q$2902,AB$2,0)&lt;&gt;L2595,"Beam Revised","")</f>
        <v>#N/A</v>
      </c>
      <c r="AC2595" s="7" t="e">
        <f>IF(VLOOKUP($A2595,'Concrete Beam Schedule'!$A$2:$Q$2902,AC$2,0)&lt;&gt;M2595,"Beam Revised","")</f>
        <v>#N/A</v>
      </c>
      <c r="AD2595" s="7" t="e">
        <f>IF(VLOOKUP($A2595,'Concrete Beam Schedule'!$A$2:$Q$2902,AD$2,0)&lt;&gt;N2595,"Beam Revised","")</f>
        <v>#N/A</v>
      </c>
      <c r="AE2595" s="7" t="e">
        <f>IF(VLOOKUP($A2595,'Concrete Beam Schedule'!$A$2:$Q$2902,AE$2,0)&lt;&gt;O2595,"Beam Revised","")</f>
        <v>#N/A</v>
      </c>
    </row>
    <row r="2596" spans="17:31" ht="20.100000000000001" customHeight="1" x14ac:dyDescent="0.25">
      <c r="Q2596" s="7">
        <f t="shared" si="40"/>
        <v>0</v>
      </c>
      <c r="R2596" s="7" t="e">
        <f>IF(VLOOKUP($A2596,'Concrete Beam Schedule'!$A$2:$Q$2902,R$2,0)&lt;&gt;B2596,VLOOKUP($A2596,'Concrete Beam Schedule'!$A$2:$Q$2902,R$2,0),"")</f>
        <v>#N/A</v>
      </c>
      <c r="S2596" s="7" t="e">
        <f>IF(VLOOKUP($A2596,'Concrete Beam Schedule'!$A$2:$Q$2902,S$2,0)&lt;&gt;C2596,VLOOKUP($A2596,'Concrete Beam Schedule'!$A$2:$Q$2902,S$2,0),"")</f>
        <v>#N/A</v>
      </c>
      <c r="T2596" s="7" t="e">
        <f>IF(VLOOKUP($A2596,'Concrete Beam Schedule'!$A$2:$Q$2902,T$2,0)&lt;&gt;D2596,"Beam Revised","")</f>
        <v>#N/A</v>
      </c>
      <c r="U2596" s="7" t="e">
        <f>IF(VLOOKUP($A2596,'Concrete Beam Schedule'!$A$2:$Q$2902,U$2,0)&lt;&gt;E2596,"Beam Revised","")</f>
        <v>#N/A</v>
      </c>
      <c r="V2596" s="7" t="e">
        <f>IF(VLOOKUP($A2596,'Concrete Beam Schedule'!$A$2:$Q$2902,V$2,0)&lt;&gt;F2596,"Beam Revised","")</f>
        <v>#N/A</v>
      </c>
      <c r="W2596" s="7" t="e">
        <f>IF(VLOOKUP($A2596,'Concrete Beam Schedule'!$A$2:$Q$2902,W$2,0)&lt;&gt;G2596,"Beam Revised","")</f>
        <v>#N/A</v>
      </c>
      <c r="X2596" s="7" t="e">
        <f>IF(VLOOKUP($A2596,'Concrete Beam Schedule'!$A$2:$Q$2902,X$2,0)&lt;&gt;H2596,"Beam Revised","")</f>
        <v>#N/A</v>
      </c>
      <c r="Y2596" s="7" t="e">
        <f>IF(VLOOKUP($A2596,'Concrete Beam Schedule'!$A$2:$Q$2902,Y$2,0)&lt;&gt;I2596,"Beam Revised","")</f>
        <v>#N/A</v>
      </c>
      <c r="Z2596" s="7" t="e">
        <f>IF(VLOOKUP($A2596,'Concrete Beam Schedule'!$A$2:$Q$2902,Z$2,0)&lt;&gt;J2596,"Beam Revised","")</f>
        <v>#N/A</v>
      </c>
      <c r="AA2596" s="7" t="e">
        <f>IF(VLOOKUP($A2596,'Concrete Beam Schedule'!$A$2:$Q$2902,AA$2,0)&lt;&gt;K2596,"Beam Revised","")</f>
        <v>#N/A</v>
      </c>
      <c r="AB2596" s="7" t="e">
        <f>IF(VLOOKUP($A2596,'Concrete Beam Schedule'!$A$2:$Q$2902,AB$2,0)&lt;&gt;L2596,"Beam Revised","")</f>
        <v>#N/A</v>
      </c>
      <c r="AC2596" s="7" t="e">
        <f>IF(VLOOKUP($A2596,'Concrete Beam Schedule'!$A$2:$Q$2902,AC$2,0)&lt;&gt;M2596,"Beam Revised","")</f>
        <v>#N/A</v>
      </c>
      <c r="AD2596" s="7" t="e">
        <f>IF(VLOOKUP($A2596,'Concrete Beam Schedule'!$A$2:$Q$2902,AD$2,0)&lt;&gt;N2596,"Beam Revised","")</f>
        <v>#N/A</v>
      </c>
      <c r="AE2596" s="7" t="e">
        <f>IF(VLOOKUP($A2596,'Concrete Beam Schedule'!$A$2:$Q$2902,AE$2,0)&lt;&gt;O2596,"Beam Revised","")</f>
        <v>#N/A</v>
      </c>
    </row>
    <row r="2597" spans="17:31" ht="20.100000000000001" customHeight="1" x14ac:dyDescent="0.25">
      <c r="Q2597" s="7">
        <f t="shared" si="40"/>
        <v>0</v>
      </c>
      <c r="R2597" s="7" t="e">
        <f>IF(VLOOKUP($A2597,'Concrete Beam Schedule'!$A$2:$Q$2902,R$2,0)&lt;&gt;B2597,VLOOKUP($A2597,'Concrete Beam Schedule'!$A$2:$Q$2902,R$2,0),"")</f>
        <v>#N/A</v>
      </c>
      <c r="S2597" s="7" t="e">
        <f>IF(VLOOKUP($A2597,'Concrete Beam Schedule'!$A$2:$Q$2902,S$2,0)&lt;&gt;C2597,VLOOKUP($A2597,'Concrete Beam Schedule'!$A$2:$Q$2902,S$2,0),"")</f>
        <v>#N/A</v>
      </c>
      <c r="T2597" s="7" t="e">
        <f>IF(VLOOKUP($A2597,'Concrete Beam Schedule'!$A$2:$Q$2902,T$2,0)&lt;&gt;D2597,"Beam Revised","")</f>
        <v>#N/A</v>
      </c>
      <c r="U2597" s="7" t="e">
        <f>IF(VLOOKUP($A2597,'Concrete Beam Schedule'!$A$2:$Q$2902,U$2,0)&lt;&gt;E2597,"Beam Revised","")</f>
        <v>#N/A</v>
      </c>
      <c r="V2597" s="7" t="e">
        <f>IF(VLOOKUP($A2597,'Concrete Beam Schedule'!$A$2:$Q$2902,V$2,0)&lt;&gt;F2597,"Beam Revised","")</f>
        <v>#N/A</v>
      </c>
      <c r="W2597" s="7" t="e">
        <f>IF(VLOOKUP($A2597,'Concrete Beam Schedule'!$A$2:$Q$2902,W$2,0)&lt;&gt;G2597,"Beam Revised","")</f>
        <v>#N/A</v>
      </c>
      <c r="X2597" s="7" t="e">
        <f>IF(VLOOKUP($A2597,'Concrete Beam Schedule'!$A$2:$Q$2902,X$2,0)&lt;&gt;H2597,"Beam Revised","")</f>
        <v>#N/A</v>
      </c>
      <c r="Y2597" s="7" t="e">
        <f>IF(VLOOKUP($A2597,'Concrete Beam Schedule'!$A$2:$Q$2902,Y$2,0)&lt;&gt;I2597,"Beam Revised","")</f>
        <v>#N/A</v>
      </c>
      <c r="Z2597" s="7" t="e">
        <f>IF(VLOOKUP($A2597,'Concrete Beam Schedule'!$A$2:$Q$2902,Z$2,0)&lt;&gt;J2597,"Beam Revised","")</f>
        <v>#N/A</v>
      </c>
      <c r="AA2597" s="7" t="e">
        <f>IF(VLOOKUP($A2597,'Concrete Beam Schedule'!$A$2:$Q$2902,AA$2,0)&lt;&gt;K2597,"Beam Revised","")</f>
        <v>#N/A</v>
      </c>
      <c r="AB2597" s="7" t="e">
        <f>IF(VLOOKUP($A2597,'Concrete Beam Schedule'!$A$2:$Q$2902,AB$2,0)&lt;&gt;L2597,"Beam Revised","")</f>
        <v>#N/A</v>
      </c>
      <c r="AC2597" s="7" t="e">
        <f>IF(VLOOKUP($A2597,'Concrete Beam Schedule'!$A$2:$Q$2902,AC$2,0)&lt;&gt;M2597,"Beam Revised","")</f>
        <v>#N/A</v>
      </c>
      <c r="AD2597" s="7" t="e">
        <f>IF(VLOOKUP($A2597,'Concrete Beam Schedule'!$A$2:$Q$2902,AD$2,0)&lt;&gt;N2597,"Beam Revised","")</f>
        <v>#N/A</v>
      </c>
      <c r="AE2597" s="7" t="e">
        <f>IF(VLOOKUP($A2597,'Concrete Beam Schedule'!$A$2:$Q$2902,AE$2,0)&lt;&gt;O2597,"Beam Revised","")</f>
        <v>#N/A</v>
      </c>
    </row>
    <row r="2598" spans="17:31" ht="20.100000000000001" customHeight="1" x14ac:dyDescent="0.25">
      <c r="Q2598" s="7">
        <f t="shared" si="40"/>
        <v>0</v>
      </c>
      <c r="R2598" s="7" t="e">
        <f>IF(VLOOKUP($A2598,'Concrete Beam Schedule'!$A$2:$Q$2902,R$2,0)&lt;&gt;B2598,VLOOKUP($A2598,'Concrete Beam Schedule'!$A$2:$Q$2902,R$2,0),"")</f>
        <v>#N/A</v>
      </c>
      <c r="S2598" s="7" t="e">
        <f>IF(VLOOKUP($A2598,'Concrete Beam Schedule'!$A$2:$Q$2902,S$2,0)&lt;&gt;C2598,VLOOKUP($A2598,'Concrete Beam Schedule'!$A$2:$Q$2902,S$2,0),"")</f>
        <v>#N/A</v>
      </c>
      <c r="T2598" s="7" t="e">
        <f>IF(VLOOKUP($A2598,'Concrete Beam Schedule'!$A$2:$Q$2902,T$2,0)&lt;&gt;D2598,"Beam Revised","")</f>
        <v>#N/A</v>
      </c>
      <c r="U2598" s="7" t="e">
        <f>IF(VLOOKUP($A2598,'Concrete Beam Schedule'!$A$2:$Q$2902,U$2,0)&lt;&gt;E2598,"Beam Revised","")</f>
        <v>#N/A</v>
      </c>
      <c r="V2598" s="7" t="e">
        <f>IF(VLOOKUP($A2598,'Concrete Beam Schedule'!$A$2:$Q$2902,V$2,0)&lt;&gt;F2598,"Beam Revised","")</f>
        <v>#N/A</v>
      </c>
      <c r="W2598" s="7" t="e">
        <f>IF(VLOOKUP($A2598,'Concrete Beam Schedule'!$A$2:$Q$2902,W$2,0)&lt;&gt;G2598,"Beam Revised","")</f>
        <v>#N/A</v>
      </c>
      <c r="X2598" s="7" t="e">
        <f>IF(VLOOKUP($A2598,'Concrete Beam Schedule'!$A$2:$Q$2902,X$2,0)&lt;&gt;H2598,"Beam Revised","")</f>
        <v>#N/A</v>
      </c>
      <c r="Y2598" s="7" t="e">
        <f>IF(VLOOKUP($A2598,'Concrete Beam Schedule'!$A$2:$Q$2902,Y$2,0)&lt;&gt;I2598,"Beam Revised","")</f>
        <v>#N/A</v>
      </c>
      <c r="Z2598" s="7" t="e">
        <f>IF(VLOOKUP($A2598,'Concrete Beam Schedule'!$A$2:$Q$2902,Z$2,0)&lt;&gt;J2598,"Beam Revised","")</f>
        <v>#N/A</v>
      </c>
      <c r="AA2598" s="7" t="e">
        <f>IF(VLOOKUP($A2598,'Concrete Beam Schedule'!$A$2:$Q$2902,AA$2,0)&lt;&gt;K2598,"Beam Revised","")</f>
        <v>#N/A</v>
      </c>
      <c r="AB2598" s="7" t="e">
        <f>IF(VLOOKUP($A2598,'Concrete Beam Schedule'!$A$2:$Q$2902,AB$2,0)&lt;&gt;L2598,"Beam Revised","")</f>
        <v>#N/A</v>
      </c>
      <c r="AC2598" s="7" t="e">
        <f>IF(VLOOKUP($A2598,'Concrete Beam Schedule'!$A$2:$Q$2902,AC$2,0)&lt;&gt;M2598,"Beam Revised","")</f>
        <v>#N/A</v>
      </c>
      <c r="AD2598" s="7" t="e">
        <f>IF(VLOOKUP($A2598,'Concrete Beam Schedule'!$A$2:$Q$2902,AD$2,0)&lt;&gt;N2598,"Beam Revised","")</f>
        <v>#N/A</v>
      </c>
      <c r="AE2598" s="7" t="e">
        <f>IF(VLOOKUP($A2598,'Concrete Beam Schedule'!$A$2:$Q$2902,AE$2,0)&lt;&gt;O2598,"Beam Revised","")</f>
        <v>#N/A</v>
      </c>
    </row>
    <row r="2599" spans="17:31" ht="20.100000000000001" customHeight="1" x14ac:dyDescent="0.25">
      <c r="Q2599" s="7">
        <f t="shared" si="40"/>
        <v>0</v>
      </c>
      <c r="R2599" s="7" t="e">
        <f>IF(VLOOKUP($A2599,'Concrete Beam Schedule'!$A$2:$Q$2902,R$2,0)&lt;&gt;B2599,VLOOKUP($A2599,'Concrete Beam Schedule'!$A$2:$Q$2902,R$2,0),"")</f>
        <v>#N/A</v>
      </c>
      <c r="S2599" s="7" t="e">
        <f>IF(VLOOKUP($A2599,'Concrete Beam Schedule'!$A$2:$Q$2902,S$2,0)&lt;&gt;C2599,VLOOKUP($A2599,'Concrete Beam Schedule'!$A$2:$Q$2902,S$2,0),"")</f>
        <v>#N/A</v>
      </c>
      <c r="T2599" s="7" t="e">
        <f>IF(VLOOKUP($A2599,'Concrete Beam Schedule'!$A$2:$Q$2902,T$2,0)&lt;&gt;D2599,"Beam Revised","")</f>
        <v>#N/A</v>
      </c>
      <c r="U2599" s="7" t="e">
        <f>IF(VLOOKUP($A2599,'Concrete Beam Schedule'!$A$2:$Q$2902,U$2,0)&lt;&gt;E2599,"Beam Revised","")</f>
        <v>#N/A</v>
      </c>
      <c r="V2599" s="7" t="e">
        <f>IF(VLOOKUP($A2599,'Concrete Beam Schedule'!$A$2:$Q$2902,V$2,0)&lt;&gt;F2599,"Beam Revised","")</f>
        <v>#N/A</v>
      </c>
      <c r="W2599" s="7" t="e">
        <f>IF(VLOOKUP($A2599,'Concrete Beam Schedule'!$A$2:$Q$2902,W$2,0)&lt;&gt;G2599,"Beam Revised","")</f>
        <v>#N/A</v>
      </c>
      <c r="X2599" s="7" t="e">
        <f>IF(VLOOKUP($A2599,'Concrete Beam Schedule'!$A$2:$Q$2902,X$2,0)&lt;&gt;H2599,"Beam Revised","")</f>
        <v>#N/A</v>
      </c>
      <c r="Y2599" s="7" t="e">
        <f>IF(VLOOKUP($A2599,'Concrete Beam Schedule'!$A$2:$Q$2902,Y$2,0)&lt;&gt;I2599,"Beam Revised","")</f>
        <v>#N/A</v>
      </c>
      <c r="Z2599" s="7" t="e">
        <f>IF(VLOOKUP($A2599,'Concrete Beam Schedule'!$A$2:$Q$2902,Z$2,0)&lt;&gt;J2599,"Beam Revised","")</f>
        <v>#N/A</v>
      </c>
      <c r="AA2599" s="7" t="e">
        <f>IF(VLOOKUP($A2599,'Concrete Beam Schedule'!$A$2:$Q$2902,AA$2,0)&lt;&gt;K2599,"Beam Revised","")</f>
        <v>#N/A</v>
      </c>
      <c r="AB2599" s="7" t="e">
        <f>IF(VLOOKUP($A2599,'Concrete Beam Schedule'!$A$2:$Q$2902,AB$2,0)&lt;&gt;L2599,"Beam Revised","")</f>
        <v>#N/A</v>
      </c>
      <c r="AC2599" s="7" t="e">
        <f>IF(VLOOKUP($A2599,'Concrete Beam Schedule'!$A$2:$Q$2902,AC$2,0)&lt;&gt;M2599,"Beam Revised","")</f>
        <v>#N/A</v>
      </c>
      <c r="AD2599" s="7" t="e">
        <f>IF(VLOOKUP($A2599,'Concrete Beam Schedule'!$A$2:$Q$2902,AD$2,0)&lt;&gt;N2599,"Beam Revised","")</f>
        <v>#N/A</v>
      </c>
      <c r="AE2599" s="7" t="e">
        <f>IF(VLOOKUP($A2599,'Concrete Beam Schedule'!$A$2:$Q$2902,AE$2,0)&lt;&gt;O2599,"Beam Revised","")</f>
        <v>#N/A</v>
      </c>
    </row>
    <row r="2600" spans="17:31" ht="20.100000000000001" customHeight="1" x14ac:dyDescent="0.25">
      <c r="Q2600" s="7">
        <f t="shared" si="40"/>
        <v>0</v>
      </c>
      <c r="R2600" s="7" t="e">
        <f>IF(VLOOKUP($A2600,'Concrete Beam Schedule'!$A$2:$Q$2902,R$2,0)&lt;&gt;B2600,VLOOKUP($A2600,'Concrete Beam Schedule'!$A$2:$Q$2902,R$2,0),"")</f>
        <v>#N/A</v>
      </c>
      <c r="S2600" s="7" t="e">
        <f>IF(VLOOKUP($A2600,'Concrete Beam Schedule'!$A$2:$Q$2902,S$2,0)&lt;&gt;C2600,VLOOKUP($A2600,'Concrete Beam Schedule'!$A$2:$Q$2902,S$2,0),"")</f>
        <v>#N/A</v>
      </c>
      <c r="T2600" s="7" t="e">
        <f>IF(VLOOKUP($A2600,'Concrete Beam Schedule'!$A$2:$Q$2902,T$2,0)&lt;&gt;D2600,"Beam Revised","")</f>
        <v>#N/A</v>
      </c>
      <c r="U2600" s="7" t="e">
        <f>IF(VLOOKUP($A2600,'Concrete Beam Schedule'!$A$2:$Q$2902,U$2,0)&lt;&gt;E2600,"Beam Revised","")</f>
        <v>#N/A</v>
      </c>
      <c r="V2600" s="7" t="e">
        <f>IF(VLOOKUP($A2600,'Concrete Beam Schedule'!$A$2:$Q$2902,V$2,0)&lt;&gt;F2600,"Beam Revised","")</f>
        <v>#N/A</v>
      </c>
      <c r="W2600" s="7" t="e">
        <f>IF(VLOOKUP($A2600,'Concrete Beam Schedule'!$A$2:$Q$2902,W$2,0)&lt;&gt;G2600,"Beam Revised","")</f>
        <v>#N/A</v>
      </c>
      <c r="X2600" s="7" t="e">
        <f>IF(VLOOKUP($A2600,'Concrete Beam Schedule'!$A$2:$Q$2902,X$2,0)&lt;&gt;H2600,"Beam Revised","")</f>
        <v>#N/A</v>
      </c>
      <c r="Y2600" s="7" t="e">
        <f>IF(VLOOKUP($A2600,'Concrete Beam Schedule'!$A$2:$Q$2902,Y$2,0)&lt;&gt;I2600,"Beam Revised","")</f>
        <v>#N/A</v>
      </c>
      <c r="Z2600" s="7" t="e">
        <f>IF(VLOOKUP($A2600,'Concrete Beam Schedule'!$A$2:$Q$2902,Z$2,0)&lt;&gt;J2600,"Beam Revised","")</f>
        <v>#N/A</v>
      </c>
      <c r="AA2600" s="7" t="e">
        <f>IF(VLOOKUP($A2600,'Concrete Beam Schedule'!$A$2:$Q$2902,AA$2,0)&lt;&gt;K2600,"Beam Revised","")</f>
        <v>#N/A</v>
      </c>
      <c r="AB2600" s="7" t="e">
        <f>IF(VLOOKUP($A2600,'Concrete Beam Schedule'!$A$2:$Q$2902,AB$2,0)&lt;&gt;L2600,"Beam Revised","")</f>
        <v>#N/A</v>
      </c>
      <c r="AC2600" s="7" t="e">
        <f>IF(VLOOKUP($A2600,'Concrete Beam Schedule'!$A$2:$Q$2902,AC$2,0)&lt;&gt;M2600,"Beam Revised","")</f>
        <v>#N/A</v>
      </c>
      <c r="AD2600" s="7" t="e">
        <f>IF(VLOOKUP($A2600,'Concrete Beam Schedule'!$A$2:$Q$2902,AD$2,0)&lt;&gt;N2600,"Beam Revised","")</f>
        <v>#N/A</v>
      </c>
      <c r="AE2600" s="7" t="e">
        <f>IF(VLOOKUP($A2600,'Concrete Beam Schedule'!$A$2:$Q$2902,AE$2,0)&lt;&gt;O2600,"Beam Revised","")</f>
        <v>#N/A</v>
      </c>
    </row>
    <row r="2601" spans="17:31" ht="20.100000000000001" customHeight="1" x14ac:dyDescent="0.25">
      <c r="Q2601" s="7">
        <f t="shared" si="40"/>
        <v>0</v>
      </c>
      <c r="R2601" s="7" t="e">
        <f>IF(VLOOKUP($A2601,'Concrete Beam Schedule'!$A$2:$Q$2902,R$2,0)&lt;&gt;B2601,VLOOKUP($A2601,'Concrete Beam Schedule'!$A$2:$Q$2902,R$2,0),"")</f>
        <v>#N/A</v>
      </c>
      <c r="S2601" s="7" t="e">
        <f>IF(VLOOKUP($A2601,'Concrete Beam Schedule'!$A$2:$Q$2902,S$2,0)&lt;&gt;C2601,VLOOKUP($A2601,'Concrete Beam Schedule'!$A$2:$Q$2902,S$2,0),"")</f>
        <v>#N/A</v>
      </c>
      <c r="T2601" s="7" t="e">
        <f>IF(VLOOKUP($A2601,'Concrete Beam Schedule'!$A$2:$Q$2902,T$2,0)&lt;&gt;D2601,"Beam Revised","")</f>
        <v>#N/A</v>
      </c>
      <c r="U2601" s="7" t="e">
        <f>IF(VLOOKUP($A2601,'Concrete Beam Schedule'!$A$2:$Q$2902,U$2,0)&lt;&gt;E2601,"Beam Revised","")</f>
        <v>#N/A</v>
      </c>
      <c r="V2601" s="7" t="e">
        <f>IF(VLOOKUP($A2601,'Concrete Beam Schedule'!$A$2:$Q$2902,V$2,0)&lt;&gt;F2601,"Beam Revised","")</f>
        <v>#N/A</v>
      </c>
      <c r="W2601" s="7" t="e">
        <f>IF(VLOOKUP($A2601,'Concrete Beam Schedule'!$A$2:$Q$2902,W$2,0)&lt;&gt;G2601,"Beam Revised","")</f>
        <v>#N/A</v>
      </c>
      <c r="X2601" s="7" t="e">
        <f>IF(VLOOKUP($A2601,'Concrete Beam Schedule'!$A$2:$Q$2902,X$2,0)&lt;&gt;H2601,"Beam Revised","")</f>
        <v>#N/A</v>
      </c>
      <c r="Y2601" s="7" t="e">
        <f>IF(VLOOKUP($A2601,'Concrete Beam Schedule'!$A$2:$Q$2902,Y$2,0)&lt;&gt;I2601,"Beam Revised","")</f>
        <v>#N/A</v>
      </c>
      <c r="Z2601" s="7" t="e">
        <f>IF(VLOOKUP($A2601,'Concrete Beam Schedule'!$A$2:$Q$2902,Z$2,0)&lt;&gt;J2601,"Beam Revised","")</f>
        <v>#N/A</v>
      </c>
      <c r="AA2601" s="7" t="e">
        <f>IF(VLOOKUP($A2601,'Concrete Beam Schedule'!$A$2:$Q$2902,AA$2,0)&lt;&gt;K2601,"Beam Revised","")</f>
        <v>#N/A</v>
      </c>
      <c r="AB2601" s="7" t="e">
        <f>IF(VLOOKUP($A2601,'Concrete Beam Schedule'!$A$2:$Q$2902,AB$2,0)&lt;&gt;L2601,"Beam Revised","")</f>
        <v>#N/A</v>
      </c>
      <c r="AC2601" s="7" t="e">
        <f>IF(VLOOKUP($A2601,'Concrete Beam Schedule'!$A$2:$Q$2902,AC$2,0)&lt;&gt;M2601,"Beam Revised","")</f>
        <v>#N/A</v>
      </c>
      <c r="AD2601" s="7" t="e">
        <f>IF(VLOOKUP($A2601,'Concrete Beam Schedule'!$A$2:$Q$2902,AD$2,0)&lt;&gt;N2601,"Beam Revised","")</f>
        <v>#N/A</v>
      </c>
      <c r="AE2601" s="7" t="e">
        <f>IF(VLOOKUP($A2601,'Concrete Beam Schedule'!$A$2:$Q$2902,AE$2,0)&lt;&gt;O2601,"Beam Revised","")</f>
        <v>#N/A</v>
      </c>
    </row>
    <row r="2602" spans="17:31" ht="20.100000000000001" customHeight="1" x14ac:dyDescent="0.25">
      <c r="Q2602" s="7">
        <f t="shared" si="40"/>
        <v>0</v>
      </c>
      <c r="R2602" s="7" t="e">
        <f>IF(VLOOKUP($A2602,'Concrete Beam Schedule'!$A$2:$Q$2902,R$2,0)&lt;&gt;B2602,VLOOKUP($A2602,'Concrete Beam Schedule'!$A$2:$Q$2902,R$2,0),"")</f>
        <v>#N/A</v>
      </c>
      <c r="S2602" s="7" t="e">
        <f>IF(VLOOKUP($A2602,'Concrete Beam Schedule'!$A$2:$Q$2902,S$2,0)&lt;&gt;C2602,VLOOKUP($A2602,'Concrete Beam Schedule'!$A$2:$Q$2902,S$2,0),"")</f>
        <v>#N/A</v>
      </c>
      <c r="T2602" s="7" t="e">
        <f>IF(VLOOKUP($A2602,'Concrete Beam Schedule'!$A$2:$Q$2902,T$2,0)&lt;&gt;D2602,"Beam Revised","")</f>
        <v>#N/A</v>
      </c>
      <c r="U2602" s="7" t="e">
        <f>IF(VLOOKUP($A2602,'Concrete Beam Schedule'!$A$2:$Q$2902,U$2,0)&lt;&gt;E2602,"Beam Revised","")</f>
        <v>#N/A</v>
      </c>
      <c r="V2602" s="7" t="e">
        <f>IF(VLOOKUP($A2602,'Concrete Beam Schedule'!$A$2:$Q$2902,V$2,0)&lt;&gt;F2602,"Beam Revised","")</f>
        <v>#N/A</v>
      </c>
      <c r="W2602" s="7" t="e">
        <f>IF(VLOOKUP($A2602,'Concrete Beam Schedule'!$A$2:$Q$2902,W$2,0)&lt;&gt;G2602,"Beam Revised","")</f>
        <v>#N/A</v>
      </c>
      <c r="X2602" s="7" t="e">
        <f>IF(VLOOKUP($A2602,'Concrete Beam Schedule'!$A$2:$Q$2902,X$2,0)&lt;&gt;H2602,"Beam Revised","")</f>
        <v>#N/A</v>
      </c>
      <c r="Y2602" s="7" t="e">
        <f>IF(VLOOKUP($A2602,'Concrete Beam Schedule'!$A$2:$Q$2902,Y$2,0)&lt;&gt;I2602,"Beam Revised","")</f>
        <v>#N/A</v>
      </c>
      <c r="Z2602" s="7" t="e">
        <f>IF(VLOOKUP($A2602,'Concrete Beam Schedule'!$A$2:$Q$2902,Z$2,0)&lt;&gt;J2602,"Beam Revised","")</f>
        <v>#N/A</v>
      </c>
      <c r="AA2602" s="7" t="e">
        <f>IF(VLOOKUP($A2602,'Concrete Beam Schedule'!$A$2:$Q$2902,AA$2,0)&lt;&gt;K2602,"Beam Revised","")</f>
        <v>#N/A</v>
      </c>
      <c r="AB2602" s="7" t="e">
        <f>IF(VLOOKUP($A2602,'Concrete Beam Schedule'!$A$2:$Q$2902,AB$2,0)&lt;&gt;L2602,"Beam Revised","")</f>
        <v>#N/A</v>
      </c>
      <c r="AC2602" s="7" t="e">
        <f>IF(VLOOKUP($A2602,'Concrete Beam Schedule'!$A$2:$Q$2902,AC$2,0)&lt;&gt;M2602,"Beam Revised","")</f>
        <v>#N/A</v>
      </c>
      <c r="AD2602" s="7" t="e">
        <f>IF(VLOOKUP($A2602,'Concrete Beam Schedule'!$A$2:$Q$2902,AD$2,0)&lt;&gt;N2602,"Beam Revised","")</f>
        <v>#N/A</v>
      </c>
      <c r="AE2602" s="7" t="e">
        <f>IF(VLOOKUP($A2602,'Concrete Beam Schedule'!$A$2:$Q$2902,AE$2,0)&lt;&gt;O2602,"Beam Revised","")</f>
        <v>#N/A</v>
      </c>
    </row>
    <row r="2603" spans="17:31" ht="20.100000000000001" customHeight="1" x14ac:dyDescent="0.25">
      <c r="Q2603" s="7">
        <f t="shared" si="40"/>
        <v>0</v>
      </c>
      <c r="R2603" s="7" t="e">
        <f>IF(VLOOKUP($A2603,'Concrete Beam Schedule'!$A$2:$Q$2902,R$2,0)&lt;&gt;B2603,VLOOKUP($A2603,'Concrete Beam Schedule'!$A$2:$Q$2902,R$2,0),"")</f>
        <v>#N/A</v>
      </c>
      <c r="S2603" s="7" t="e">
        <f>IF(VLOOKUP($A2603,'Concrete Beam Schedule'!$A$2:$Q$2902,S$2,0)&lt;&gt;C2603,VLOOKUP($A2603,'Concrete Beam Schedule'!$A$2:$Q$2902,S$2,0),"")</f>
        <v>#N/A</v>
      </c>
      <c r="T2603" s="7" t="e">
        <f>IF(VLOOKUP($A2603,'Concrete Beam Schedule'!$A$2:$Q$2902,T$2,0)&lt;&gt;D2603,"Beam Revised","")</f>
        <v>#N/A</v>
      </c>
      <c r="U2603" s="7" t="e">
        <f>IF(VLOOKUP($A2603,'Concrete Beam Schedule'!$A$2:$Q$2902,U$2,0)&lt;&gt;E2603,"Beam Revised","")</f>
        <v>#N/A</v>
      </c>
      <c r="V2603" s="7" t="e">
        <f>IF(VLOOKUP($A2603,'Concrete Beam Schedule'!$A$2:$Q$2902,V$2,0)&lt;&gt;F2603,"Beam Revised","")</f>
        <v>#N/A</v>
      </c>
      <c r="W2603" s="7" t="e">
        <f>IF(VLOOKUP($A2603,'Concrete Beam Schedule'!$A$2:$Q$2902,W$2,0)&lt;&gt;G2603,"Beam Revised","")</f>
        <v>#N/A</v>
      </c>
      <c r="X2603" s="7" t="e">
        <f>IF(VLOOKUP($A2603,'Concrete Beam Schedule'!$A$2:$Q$2902,X$2,0)&lt;&gt;H2603,"Beam Revised","")</f>
        <v>#N/A</v>
      </c>
      <c r="Y2603" s="7" t="e">
        <f>IF(VLOOKUP($A2603,'Concrete Beam Schedule'!$A$2:$Q$2902,Y$2,0)&lt;&gt;I2603,"Beam Revised","")</f>
        <v>#N/A</v>
      </c>
      <c r="Z2603" s="7" t="e">
        <f>IF(VLOOKUP($A2603,'Concrete Beam Schedule'!$A$2:$Q$2902,Z$2,0)&lt;&gt;J2603,"Beam Revised","")</f>
        <v>#N/A</v>
      </c>
      <c r="AA2603" s="7" t="e">
        <f>IF(VLOOKUP($A2603,'Concrete Beam Schedule'!$A$2:$Q$2902,AA$2,0)&lt;&gt;K2603,"Beam Revised","")</f>
        <v>#N/A</v>
      </c>
      <c r="AB2603" s="7" t="e">
        <f>IF(VLOOKUP($A2603,'Concrete Beam Schedule'!$A$2:$Q$2902,AB$2,0)&lt;&gt;L2603,"Beam Revised","")</f>
        <v>#N/A</v>
      </c>
      <c r="AC2603" s="7" t="e">
        <f>IF(VLOOKUP($A2603,'Concrete Beam Schedule'!$A$2:$Q$2902,AC$2,0)&lt;&gt;M2603,"Beam Revised","")</f>
        <v>#N/A</v>
      </c>
      <c r="AD2603" s="7" t="e">
        <f>IF(VLOOKUP($A2603,'Concrete Beam Schedule'!$A$2:$Q$2902,AD$2,0)&lt;&gt;N2603,"Beam Revised","")</f>
        <v>#N/A</v>
      </c>
      <c r="AE2603" s="7" t="e">
        <f>IF(VLOOKUP($A2603,'Concrete Beam Schedule'!$A$2:$Q$2902,AE$2,0)&lt;&gt;O2603,"Beam Revised","")</f>
        <v>#N/A</v>
      </c>
    </row>
    <row r="2604" spans="17:31" ht="20.100000000000001" customHeight="1" x14ac:dyDescent="0.25">
      <c r="Q2604" s="7">
        <f t="shared" si="40"/>
        <v>0</v>
      </c>
      <c r="R2604" s="7" t="e">
        <f>IF(VLOOKUP($A2604,'Concrete Beam Schedule'!$A$2:$Q$2902,R$2,0)&lt;&gt;B2604,VLOOKUP($A2604,'Concrete Beam Schedule'!$A$2:$Q$2902,R$2,0),"")</f>
        <v>#N/A</v>
      </c>
      <c r="S2604" s="7" t="e">
        <f>IF(VLOOKUP($A2604,'Concrete Beam Schedule'!$A$2:$Q$2902,S$2,0)&lt;&gt;C2604,VLOOKUP($A2604,'Concrete Beam Schedule'!$A$2:$Q$2902,S$2,0),"")</f>
        <v>#N/A</v>
      </c>
      <c r="T2604" s="7" t="e">
        <f>IF(VLOOKUP($A2604,'Concrete Beam Schedule'!$A$2:$Q$2902,T$2,0)&lt;&gt;D2604,"Beam Revised","")</f>
        <v>#N/A</v>
      </c>
      <c r="U2604" s="7" t="e">
        <f>IF(VLOOKUP($A2604,'Concrete Beam Schedule'!$A$2:$Q$2902,U$2,0)&lt;&gt;E2604,"Beam Revised","")</f>
        <v>#N/A</v>
      </c>
      <c r="V2604" s="7" t="e">
        <f>IF(VLOOKUP($A2604,'Concrete Beam Schedule'!$A$2:$Q$2902,V$2,0)&lt;&gt;F2604,"Beam Revised","")</f>
        <v>#N/A</v>
      </c>
      <c r="W2604" s="7" t="e">
        <f>IF(VLOOKUP($A2604,'Concrete Beam Schedule'!$A$2:$Q$2902,W$2,0)&lt;&gt;G2604,"Beam Revised","")</f>
        <v>#N/A</v>
      </c>
      <c r="X2604" s="7" t="e">
        <f>IF(VLOOKUP($A2604,'Concrete Beam Schedule'!$A$2:$Q$2902,X$2,0)&lt;&gt;H2604,"Beam Revised","")</f>
        <v>#N/A</v>
      </c>
      <c r="Y2604" s="7" t="e">
        <f>IF(VLOOKUP($A2604,'Concrete Beam Schedule'!$A$2:$Q$2902,Y$2,0)&lt;&gt;I2604,"Beam Revised","")</f>
        <v>#N/A</v>
      </c>
      <c r="Z2604" s="7" t="e">
        <f>IF(VLOOKUP($A2604,'Concrete Beam Schedule'!$A$2:$Q$2902,Z$2,0)&lt;&gt;J2604,"Beam Revised","")</f>
        <v>#N/A</v>
      </c>
      <c r="AA2604" s="7" t="e">
        <f>IF(VLOOKUP($A2604,'Concrete Beam Schedule'!$A$2:$Q$2902,AA$2,0)&lt;&gt;K2604,"Beam Revised","")</f>
        <v>#N/A</v>
      </c>
      <c r="AB2604" s="7" t="e">
        <f>IF(VLOOKUP($A2604,'Concrete Beam Schedule'!$A$2:$Q$2902,AB$2,0)&lt;&gt;L2604,"Beam Revised","")</f>
        <v>#N/A</v>
      </c>
      <c r="AC2604" s="7" t="e">
        <f>IF(VLOOKUP($A2604,'Concrete Beam Schedule'!$A$2:$Q$2902,AC$2,0)&lt;&gt;M2604,"Beam Revised","")</f>
        <v>#N/A</v>
      </c>
      <c r="AD2604" s="7" t="e">
        <f>IF(VLOOKUP($A2604,'Concrete Beam Schedule'!$A$2:$Q$2902,AD$2,0)&lt;&gt;N2604,"Beam Revised","")</f>
        <v>#N/A</v>
      </c>
      <c r="AE2604" s="7" t="e">
        <f>IF(VLOOKUP($A2604,'Concrete Beam Schedule'!$A$2:$Q$2902,AE$2,0)&lt;&gt;O2604,"Beam Revised","")</f>
        <v>#N/A</v>
      </c>
    </row>
    <row r="2605" spans="17:31" ht="20.100000000000001" customHeight="1" x14ac:dyDescent="0.25">
      <c r="Q2605" s="7">
        <f t="shared" si="40"/>
        <v>0</v>
      </c>
      <c r="R2605" s="7" t="e">
        <f>IF(VLOOKUP($A2605,'Concrete Beam Schedule'!$A$2:$Q$2902,R$2,0)&lt;&gt;B2605,VLOOKUP($A2605,'Concrete Beam Schedule'!$A$2:$Q$2902,R$2,0),"")</f>
        <v>#N/A</v>
      </c>
      <c r="S2605" s="7" t="e">
        <f>IF(VLOOKUP($A2605,'Concrete Beam Schedule'!$A$2:$Q$2902,S$2,0)&lt;&gt;C2605,VLOOKUP($A2605,'Concrete Beam Schedule'!$A$2:$Q$2902,S$2,0),"")</f>
        <v>#N/A</v>
      </c>
      <c r="T2605" s="7" t="e">
        <f>IF(VLOOKUP($A2605,'Concrete Beam Schedule'!$A$2:$Q$2902,T$2,0)&lt;&gt;D2605,"Beam Revised","")</f>
        <v>#N/A</v>
      </c>
      <c r="U2605" s="7" t="e">
        <f>IF(VLOOKUP($A2605,'Concrete Beam Schedule'!$A$2:$Q$2902,U$2,0)&lt;&gt;E2605,"Beam Revised","")</f>
        <v>#N/A</v>
      </c>
      <c r="V2605" s="7" t="e">
        <f>IF(VLOOKUP($A2605,'Concrete Beam Schedule'!$A$2:$Q$2902,V$2,0)&lt;&gt;F2605,"Beam Revised","")</f>
        <v>#N/A</v>
      </c>
      <c r="W2605" s="7" t="e">
        <f>IF(VLOOKUP($A2605,'Concrete Beam Schedule'!$A$2:$Q$2902,W$2,0)&lt;&gt;G2605,"Beam Revised","")</f>
        <v>#N/A</v>
      </c>
      <c r="X2605" s="7" t="e">
        <f>IF(VLOOKUP($A2605,'Concrete Beam Schedule'!$A$2:$Q$2902,X$2,0)&lt;&gt;H2605,"Beam Revised","")</f>
        <v>#N/A</v>
      </c>
      <c r="Y2605" s="7" t="e">
        <f>IF(VLOOKUP($A2605,'Concrete Beam Schedule'!$A$2:$Q$2902,Y$2,0)&lt;&gt;I2605,"Beam Revised","")</f>
        <v>#N/A</v>
      </c>
      <c r="Z2605" s="7" t="e">
        <f>IF(VLOOKUP($A2605,'Concrete Beam Schedule'!$A$2:$Q$2902,Z$2,0)&lt;&gt;J2605,"Beam Revised","")</f>
        <v>#N/A</v>
      </c>
      <c r="AA2605" s="7" t="e">
        <f>IF(VLOOKUP($A2605,'Concrete Beam Schedule'!$A$2:$Q$2902,AA$2,0)&lt;&gt;K2605,"Beam Revised","")</f>
        <v>#N/A</v>
      </c>
      <c r="AB2605" s="7" t="e">
        <f>IF(VLOOKUP($A2605,'Concrete Beam Schedule'!$A$2:$Q$2902,AB$2,0)&lt;&gt;L2605,"Beam Revised","")</f>
        <v>#N/A</v>
      </c>
      <c r="AC2605" s="7" t="e">
        <f>IF(VLOOKUP($A2605,'Concrete Beam Schedule'!$A$2:$Q$2902,AC$2,0)&lt;&gt;M2605,"Beam Revised","")</f>
        <v>#N/A</v>
      </c>
      <c r="AD2605" s="7" t="e">
        <f>IF(VLOOKUP($A2605,'Concrete Beam Schedule'!$A$2:$Q$2902,AD$2,0)&lt;&gt;N2605,"Beam Revised","")</f>
        <v>#N/A</v>
      </c>
      <c r="AE2605" s="7" t="e">
        <f>IF(VLOOKUP($A2605,'Concrete Beam Schedule'!$A$2:$Q$2902,AE$2,0)&lt;&gt;O2605,"Beam Revised","")</f>
        <v>#N/A</v>
      </c>
    </row>
    <row r="2606" spans="17:31" ht="20.100000000000001" customHeight="1" x14ac:dyDescent="0.25">
      <c r="Q2606" s="7">
        <f t="shared" si="40"/>
        <v>0</v>
      </c>
      <c r="R2606" s="7" t="e">
        <f>IF(VLOOKUP($A2606,'Concrete Beam Schedule'!$A$2:$Q$2902,R$2,0)&lt;&gt;B2606,VLOOKUP($A2606,'Concrete Beam Schedule'!$A$2:$Q$2902,R$2,0),"")</f>
        <v>#N/A</v>
      </c>
      <c r="S2606" s="7" t="e">
        <f>IF(VLOOKUP($A2606,'Concrete Beam Schedule'!$A$2:$Q$2902,S$2,0)&lt;&gt;C2606,VLOOKUP($A2606,'Concrete Beam Schedule'!$A$2:$Q$2902,S$2,0),"")</f>
        <v>#N/A</v>
      </c>
      <c r="T2606" s="7" t="e">
        <f>IF(VLOOKUP($A2606,'Concrete Beam Schedule'!$A$2:$Q$2902,T$2,0)&lt;&gt;D2606,"Beam Revised","")</f>
        <v>#N/A</v>
      </c>
      <c r="U2606" s="7" t="e">
        <f>IF(VLOOKUP($A2606,'Concrete Beam Schedule'!$A$2:$Q$2902,U$2,0)&lt;&gt;E2606,"Beam Revised","")</f>
        <v>#N/A</v>
      </c>
      <c r="V2606" s="7" t="e">
        <f>IF(VLOOKUP($A2606,'Concrete Beam Schedule'!$A$2:$Q$2902,V$2,0)&lt;&gt;F2606,"Beam Revised","")</f>
        <v>#N/A</v>
      </c>
      <c r="W2606" s="7" t="e">
        <f>IF(VLOOKUP($A2606,'Concrete Beam Schedule'!$A$2:$Q$2902,W$2,0)&lt;&gt;G2606,"Beam Revised","")</f>
        <v>#N/A</v>
      </c>
      <c r="X2606" s="7" t="e">
        <f>IF(VLOOKUP($A2606,'Concrete Beam Schedule'!$A$2:$Q$2902,X$2,0)&lt;&gt;H2606,"Beam Revised","")</f>
        <v>#N/A</v>
      </c>
      <c r="Y2606" s="7" t="e">
        <f>IF(VLOOKUP($A2606,'Concrete Beam Schedule'!$A$2:$Q$2902,Y$2,0)&lt;&gt;I2606,"Beam Revised","")</f>
        <v>#N/A</v>
      </c>
      <c r="Z2606" s="7" t="e">
        <f>IF(VLOOKUP($A2606,'Concrete Beam Schedule'!$A$2:$Q$2902,Z$2,0)&lt;&gt;J2606,"Beam Revised","")</f>
        <v>#N/A</v>
      </c>
      <c r="AA2606" s="7" t="e">
        <f>IF(VLOOKUP($A2606,'Concrete Beam Schedule'!$A$2:$Q$2902,AA$2,0)&lt;&gt;K2606,"Beam Revised","")</f>
        <v>#N/A</v>
      </c>
      <c r="AB2606" s="7" t="e">
        <f>IF(VLOOKUP($A2606,'Concrete Beam Schedule'!$A$2:$Q$2902,AB$2,0)&lt;&gt;L2606,"Beam Revised","")</f>
        <v>#N/A</v>
      </c>
      <c r="AC2606" s="7" t="e">
        <f>IF(VLOOKUP($A2606,'Concrete Beam Schedule'!$A$2:$Q$2902,AC$2,0)&lt;&gt;M2606,"Beam Revised","")</f>
        <v>#N/A</v>
      </c>
      <c r="AD2606" s="7" t="e">
        <f>IF(VLOOKUP($A2606,'Concrete Beam Schedule'!$A$2:$Q$2902,AD$2,0)&lt;&gt;N2606,"Beam Revised","")</f>
        <v>#N/A</v>
      </c>
      <c r="AE2606" s="7" t="e">
        <f>IF(VLOOKUP($A2606,'Concrete Beam Schedule'!$A$2:$Q$2902,AE$2,0)&lt;&gt;O2606,"Beam Revised","")</f>
        <v>#N/A</v>
      </c>
    </row>
    <row r="2607" spans="17:31" ht="20.100000000000001" customHeight="1" x14ac:dyDescent="0.25">
      <c r="Q2607" s="7">
        <f t="shared" si="40"/>
        <v>0</v>
      </c>
      <c r="R2607" s="7" t="e">
        <f>IF(VLOOKUP($A2607,'Concrete Beam Schedule'!$A$2:$Q$2902,R$2,0)&lt;&gt;B2607,VLOOKUP($A2607,'Concrete Beam Schedule'!$A$2:$Q$2902,R$2,0),"")</f>
        <v>#N/A</v>
      </c>
      <c r="S2607" s="7" t="e">
        <f>IF(VLOOKUP($A2607,'Concrete Beam Schedule'!$A$2:$Q$2902,S$2,0)&lt;&gt;C2607,VLOOKUP($A2607,'Concrete Beam Schedule'!$A$2:$Q$2902,S$2,0),"")</f>
        <v>#N/A</v>
      </c>
      <c r="T2607" s="7" t="e">
        <f>IF(VLOOKUP($A2607,'Concrete Beam Schedule'!$A$2:$Q$2902,T$2,0)&lt;&gt;D2607,"Beam Revised","")</f>
        <v>#N/A</v>
      </c>
      <c r="U2607" s="7" t="e">
        <f>IF(VLOOKUP($A2607,'Concrete Beam Schedule'!$A$2:$Q$2902,U$2,0)&lt;&gt;E2607,"Beam Revised","")</f>
        <v>#N/A</v>
      </c>
      <c r="V2607" s="7" t="e">
        <f>IF(VLOOKUP($A2607,'Concrete Beam Schedule'!$A$2:$Q$2902,V$2,0)&lt;&gt;F2607,"Beam Revised","")</f>
        <v>#N/A</v>
      </c>
      <c r="W2607" s="7" t="e">
        <f>IF(VLOOKUP($A2607,'Concrete Beam Schedule'!$A$2:$Q$2902,W$2,0)&lt;&gt;G2607,"Beam Revised","")</f>
        <v>#N/A</v>
      </c>
      <c r="X2607" s="7" t="e">
        <f>IF(VLOOKUP($A2607,'Concrete Beam Schedule'!$A$2:$Q$2902,X$2,0)&lt;&gt;H2607,"Beam Revised","")</f>
        <v>#N/A</v>
      </c>
      <c r="Y2607" s="7" t="e">
        <f>IF(VLOOKUP($A2607,'Concrete Beam Schedule'!$A$2:$Q$2902,Y$2,0)&lt;&gt;I2607,"Beam Revised","")</f>
        <v>#N/A</v>
      </c>
      <c r="Z2607" s="7" t="e">
        <f>IF(VLOOKUP($A2607,'Concrete Beam Schedule'!$A$2:$Q$2902,Z$2,0)&lt;&gt;J2607,"Beam Revised","")</f>
        <v>#N/A</v>
      </c>
      <c r="AA2607" s="7" t="e">
        <f>IF(VLOOKUP($A2607,'Concrete Beam Schedule'!$A$2:$Q$2902,AA$2,0)&lt;&gt;K2607,"Beam Revised","")</f>
        <v>#N/A</v>
      </c>
      <c r="AB2607" s="7" t="e">
        <f>IF(VLOOKUP($A2607,'Concrete Beam Schedule'!$A$2:$Q$2902,AB$2,0)&lt;&gt;L2607,"Beam Revised","")</f>
        <v>#N/A</v>
      </c>
      <c r="AC2607" s="7" t="e">
        <f>IF(VLOOKUP($A2607,'Concrete Beam Schedule'!$A$2:$Q$2902,AC$2,0)&lt;&gt;M2607,"Beam Revised","")</f>
        <v>#N/A</v>
      </c>
      <c r="AD2607" s="7" t="e">
        <f>IF(VLOOKUP($A2607,'Concrete Beam Schedule'!$A$2:$Q$2902,AD$2,0)&lt;&gt;N2607,"Beam Revised","")</f>
        <v>#N/A</v>
      </c>
      <c r="AE2607" s="7" t="e">
        <f>IF(VLOOKUP($A2607,'Concrete Beam Schedule'!$A$2:$Q$2902,AE$2,0)&lt;&gt;O2607,"Beam Revised","")</f>
        <v>#N/A</v>
      </c>
    </row>
    <row r="2608" spans="17:31" ht="20.100000000000001" customHeight="1" x14ac:dyDescent="0.25">
      <c r="Q2608" s="7">
        <f t="shared" si="40"/>
        <v>0</v>
      </c>
      <c r="R2608" s="7" t="e">
        <f>IF(VLOOKUP($A2608,'Concrete Beam Schedule'!$A$2:$Q$2902,R$2,0)&lt;&gt;B2608,VLOOKUP($A2608,'Concrete Beam Schedule'!$A$2:$Q$2902,R$2,0),"")</f>
        <v>#N/A</v>
      </c>
      <c r="S2608" s="7" t="e">
        <f>IF(VLOOKUP($A2608,'Concrete Beam Schedule'!$A$2:$Q$2902,S$2,0)&lt;&gt;C2608,VLOOKUP($A2608,'Concrete Beam Schedule'!$A$2:$Q$2902,S$2,0),"")</f>
        <v>#N/A</v>
      </c>
      <c r="T2608" s="7" t="e">
        <f>IF(VLOOKUP($A2608,'Concrete Beam Schedule'!$A$2:$Q$2902,T$2,0)&lt;&gt;D2608,"Beam Revised","")</f>
        <v>#N/A</v>
      </c>
      <c r="U2608" s="7" t="e">
        <f>IF(VLOOKUP($A2608,'Concrete Beam Schedule'!$A$2:$Q$2902,U$2,0)&lt;&gt;E2608,"Beam Revised","")</f>
        <v>#N/A</v>
      </c>
      <c r="V2608" s="7" t="e">
        <f>IF(VLOOKUP($A2608,'Concrete Beam Schedule'!$A$2:$Q$2902,V$2,0)&lt;&gt;F2608,"Beam Revised","")</f>
        <v>#N/A</v>
      </c>
      <c r="W2608" s="7" t="e">
        <f>IF(VLOOKUP($A2608,'Concrete Beam Schedule'!$A$2:$Q$2902,W$2,0)&lt;&gt;G2608,"Beam Revised","")</f>
        <v>#N/A</v>
      </c>
      <c r="X2608" s="7" t="e">
        <f>IF(VLOOKUP($A2608,'Concrete Beam Schedule'!$A$2:$Q$2902,X$2,0)&lt;&gt;H2608,"Beam Revised","")</f>
        <v>#N/A</v>
      </c>
      <c r="Y2608" s="7" t="e">
        <f>IF(VLOOKUP($A2608,'Concrete Beam Schedule'!$A$2:$Q$2902,Y$2,0)&lt;&gt;I2608,"Beam Revised","")</f>
        <v>#N/A</v>
      </c>
      <c r="Z2608" s="7" t="e">
        <f>IF(VLOOKUP($A2608,'Concrete Beam Schedule'!$A$2:$Q$2902,Z$2,0)&lt;&gt;J2608,"Beam Revised","")</f>
        <v>#N/A</v>
      </c>
      <c r="AA2608" s="7" t="e">
        <f>IF(VLOOKUP($A2608,'Concrete Beam Schedule'!$A$2:$Q$2902,AA$2,0)&lt;&gt;K2608,"Beam Revised","")</f>
        <v>#N/A</v>
      </c>
      <c r="AB2608" s="7" t="e">
        <f>IF(VLOOKUP($A2608,'Concrete Beam Schedule'!$A$2:$Q$2902,AB$2,0)&lt;&gt;L2608,"Beam Revised","")</f>
        <v>#N/A</v>
      </c>
      <c r="AC2608" s="7" t="e">
        <f>IF(VLOOKUP($A2608,'Concrete Beam Schedule'!$A$2:$Q$2902,AC$2,0)&lt;&gt;M2608,"Beam Revised","")</f>
        <v>#N/A</v>
      </c>
      <c r="AD2608" s="7" t="e">
        <f>IF(VLOOKUP($A2608,'Concrete Beam Schedule'!$A$2:$Q$2902,AD$2,0)&lt;&gt;N2608,"Beam Revised","")</f>
        <v>#N/A</v>
      </c>
      <c r="AE2608" s="7" t="e">
        <f>IF(VLOOKUP($A2608,'Concrete Beam Schedule'!$A$2:$Q$2902,AE$2,0)&lt;&gt;O2608,"Beam Revised","")</f>
        <v>#N/A</v>
      </c>
    </row>
    <row r="2609" spans="17:31" ht="20.100000000000001" customHeight="1" x14ac:dyDescent="0.25">
      <c r="Q2609" s="7">
        <f t="shared" si="40"/>
        <v>0</v>
      </c>
      <c r="R2609" s="7" t="e">
        <f>IF(VLOOKUP($A2609,'Concrete Beam Schedule'!$A$2:$Q$2902,R$2,0)&lt;&gt;B2609,VLOOKUP($A2609,'Concrete Beam Schedule'!$A$2:$Q$2902,R$2,0),"")</f>
        <v>#N/A</v>
      </c>
      <c r="S2609" s="7" t="e">
        <f>IF(VLOOKUP($A2609,'Concrete Beam Schedule'!$A$2:$Q$2902,S$2,0)&lt;&gt;C2609,VLOOKUP($A2609,'Concrete Beam Schedule'!$A$2:$Q$2902,S$2,0),"")</f>
        <v>#N/A</v>
      </c>
      <c r="T2609" s="7" t="e">
        <f>IF(VLOOKUP($A2609,'Concrete Beam Schedule'!$A$2:$Q$2902,T$2,0)&lt;&gt;D2609,"Beam Revised","")</f>
        <v>#N/A</v>
      </c>
      <c r="U2609" s="7" t="e">
        <f>IF(VLOOKUP($A2609,'Concrete Beam Schedule'!$A$2:$Q$2902,U$2,0)&lt;&gt;E2609,"Beam Revised","")</f>
        <v>#N/A</v>
      </c>
      <c r="V2609" s="7" t="e">
        <f>IF(VLOOKUP($A2609,'Concrete Beam Schedule'!$A$2:$Q$2902,V$2,0)&lt;&gt;F2609,"Beam Revised","")</f>
        <v>#N/A</v>
      </c>
      <c r="W2609" s="7" t="e">
        <f>IF(VLOOKUP($A2609,'Concrete Beam Schedule'!$A$2:$Q$2902,W$2,0)&lt;&gt;G2609,"Beam Revised","")</f>
        <v>#N/A</v>
      </c>
      <c r="X2609" s="7" t="e">
        <f>IF(VLOOKUP($A2609,'Concrete Beam Schedule'!$A$2:$Q$2902,X$2,0)&lt;&gt;H2609,"Beam Revised","")</f>
        <v>#N/A</v>
      </c>
      <c r="Y2609" s="7" t="e">
        <f>IF(VLOOKUP($A2609,'Concrete Beam Schedule'!$A$2:$Q$2902,Y$2,0)&lt;&gt;I2609,"Beam Revised","")</f>
        <v>#N/A</v>
      </c>
      <c r="Z2609" s="7" t="e">
        <f>IF(VLOOKUP($A2609,'Concrete Beam Schedule'!$A$2:$Q$2902,Z$2,0)&lt;&gt;J2609,"Beam Revised","")</f>
        <v>#N/A</v>
      </c>
      <c r="AA2609" s="7" t="e">
        <f>IF(VLOOKUP($A2609,'Concrete Beam Schedule'!$A$2:$Q$2902,AA$2,0)&lt;&gt;K2609,"Beam Revised","")</f>
        <v>#N/A</v>
      </c>
      <c r="AB2609" s="7" t="e">
        <f>IF(VLOOKUP($A2609,'Concrete Beam Schedule'!$A$2:$Q$2902,AB$2,0)&lt;&gt;L2609,"Beam Revised","")</f>
        <v>#N/A</v>
      </c>
      <c r="AC2609" s="7" t="e">
        <f>IF(VLOOKUP($A2609,'Concrete Beam Schedule'!$A$2:$Q$2902,AC$2,0)&lt;&gt;M2609,"Beam Revised","")</f>
        <v>#N/A</v>
      </c>
      <c r="AD2609" s="7" t="e">
        <f>IF(VLOOKUP($A2609,'Concrete Beam Schedule'!$A$2:$Q$2902,AD$2,0)&lt;&gt;N2609,"Beam Revised","")</f>
        <v>#N/A</v>
      </c>
      <c r="AE2609" s="7" t="e">
        <f>IF(VLOOKUP($A2609,'Concrete Beam Schedule'!$A$2:$Q$2902,AE$2,0)&lt;&gt;O2609,"Beam Revised","")</f>
        <v>#N/A</v>
      </c>
    </row>
    <row r="2610" spans="17:31" ht="20.100000000000001" customHeight="1" x14ac:dyDescent="0.25">
      <c r="Q2610" s="7">
        <f t="shared" si="40"/>
        <v>0</v>
      </c>
      <c r="R2610" s="7" t="e">
        <f>IF(VLOOKUP($A2610,'Concrete Beam Schedule'!$A$2:$Q$2902,R$2,0)&lt;&gt;B2610,VLOOKUP($A2610,'Concrete Beam Schedule'!$A$2:$Q$2902,R$2,0),"")</f>
        <v>#N/A</v>
      </c>
      <c r="S2610" s="7" t="e">
        <f>IF(VLOOKUP($A2610,'Concrete Beam Schedule'!$A$2:$Q$2902,S$2,0)&lt;&gt;C2610,VLOOKUP($A2610,'Concrete Beam Schedule'!$A$2:$Q$2902,S$2,0),"")</f>
        <v>#N/A</v>
      </c>
      <c r="T2610" s="7" t="e">
        <f>IF(VLOOKUP($A2610,'Concrete Beam Schedule'!$A$2:$Q$2902,T$2,0)&lt;&gt;D2610,"Beam Revised","")</f>
        <v>#N/A</v>
      </c>
      <c r="U2610" s="7" t="e">
        <f>IF(VLOOKUP($A2610,'Concrete Beam Schedule'!$A$2:$Q$2902,U$2,0)&lt;&gt;E2610,"Beam Revised","")</f>
        <v>#N/A</v>
      </c>
      <c r="V2610" s="7" t="e">
        <f>IF(VLOOKUP($A2610,'Concrete Beam Schedule'!$A$2:$Q$2902,V$2,0)&lt;&gt;F2610,"Beam Revised","")</f>
        <v>#N/A</v>
      </c>
      <c r="W2610" s="7" t="e">
        <f>IF(VLOOKUP($A2610,'Concrete Beam Schedule'!$A$2:$Q$2902,W$2,0)&lt;&gt;G2610,"Beam Revised","")</f>
        <v>#N/A</v>
      </c>
      <c r="X2610" s="7" t="e">
        <f>IF(VLOOKUP($A2610,'Concrete Beam Schedule'!$A$2:$Q$2902,X$2,0)&lt;&gt;H2610,"Beam Revised","")</f>
        <v>#N/A</v>
      </c>
      <c r="Y2610" s="7" t="e">
        <f>IF(VLOOKUP($A2610,'Concrete Beam Schedule'!$A$2:$Q$2902,Y$2,0)&lt;&gt;I2610,"Beam Revised","")</f>
        <v>#N/A</v>
      </c>
      <c r="Z2610" s="7" t="e">
        <f>IF(VLOOKUP($A2610,'Concrete Beam Schedule'!$A$2:$Q$2902,Z$2,0)&lt;&gt;J2610,"Beam Revised","")</f>
        <v>#N/A</v>
      </c>
      <c r="AA2610" s="7" t="e">
        <f>IF(VLOOKUP($A2610,'Concrete Beam Schedule'!$A$2:$Q$2902,AA$2,0)&lt;&gt;K2610,"Beam Revised","")</f>
        <v>#N/A</v>
      </c>
      <c r="AB2610" s="7" t="e">
        <f>IF(VLOOKUP($A2610,'Concrete Beam Schedule'!$A$2:$Q$2902,AB$2,0)&lt;&gt;L2610,"Beam Revised","")</f>
        <v>#N/A</v>
      </c>
      <c r="AC2610" s="7" t="e">
        <f>IF(VLOOKUP($A2610,'Concrete Beam Schedule'!$A$2:$Q$2902,AC$2,0)&lt;&gt;M2610,"Beam Revised","")</f>
        <v>#N/A</v>
      </c>
      <c r="AD2610" s="7" t="e">
        <f>IF(VLOOKUP($A2610,'Concrete Beam Schedule'!$A$2:$Q$2902,AD$2,0)&lt;&gt;N2610,"Beam Revised","")</f>
        <v>#N/A</v>
      </c>
      <c r="AE2610" s="7" t="e">
        <f>IF(VLOOKUP($A2610,'Concrete Beam Schedule'!$A$2:$Q$2902,AE$2,0)&lt;&gt;O2610,"Beam Revised","")</f>
        <v>#N/A</v>
      </c>
    </row>
    <row r="2611" spans="17:31" ht="20.100000000000001" customHeight="1" x14ac:dyDescent="0.25">
      <c r="Q2611" s="7">
        <f t="shared" si="40"/>
        <v>0</v>
      </c>
      <c r="R2611" s="7" t="e">
        <f>IF(VLOOKUP($A2611,'Concrete Beam Schedule'!$A$2:$Q$2902,R$2,0)&lt;&gt;B2611,VLOOKUP($A2611,'Concrete Beam Schedule'!$A$2:$Q$2902,R$2,0),"")</f>
        <v>#N/A</v>
      </c>
      <c r="S2611" s="7" t="e">
        <f>IF(VLOOKUP($A2611,'Concrete Beam Schedule'!$A$2:$Q$2902,S$2,0)&lt;&gt;C2611,VLOOKUP($A2611,'Concrete Beam Schedule'!$A$2:$Q$2902,S$2,0),"")</f>
        <v>#N/A</v>
      </c>
      <c r="T2611" s="7" t="e">
        <f>IF(VLOOKUP($A2611,'Concrete Beam Schedule'!$A$2:$Q$2902,T$2,0)&lt;&gt;D2611,"Beam Revised","")</f>
        <v>#N/A</v>
      </c>
      <c r="U2611" s="7" t="e">
        <f>IF(VLOOKUP($A2611,'Concrete Beam Schedule'!$A$2:$Q$2902,U$2,0)&lt;&gt;E2611,"Beam Revised","")</f>
        <v>#N/A</v>
      </c>
      <c r="V2611" s="7" t="e">
        <f>IF(VLOOKUP($A2611,'Concrete Beam Schedule'!$A$2:$Q$2902,V$2,0)&lt;&gt;F2611,"Beam Revised","")</f>
        <v>#N/A</v>
      </c>
      <c r="W2611" s="7" t="e">
        <f>IF(VLOOKUP($A2611,'Concrete Beam Schedule'!$A$2:$Q$2902,W$2,0)&lt;&gt;G2611,"Beam Revised","")</f>
        <v>#N/A</v>
      </c>
      <c r="X2611" s="7" t="e">
        <f>IF(VLOOKUP($A2611,'Concrete Beam Schedule'!$A$2:$Q$2902,X$2,0)&lt;&gt;H2611,"Beam Revised","")</f>
        <v>#N/A</v>
      </c>
      <c r="Y2611" s="7" t="e">
        <f>IF(VLOOKUP($A2611,'Concrete Beam Schedule'!$A$2:$Q$2902,Y$2,0)&lt;&gt;I2611,"Beam Revised","")</f>
        <v>#N/A</v>
      </c>
      <c r="Z2611" s="7" t="e">
        <f>IF(VLOOKUP($A2611,'Concrete Beam Schedule'!$A$2:$Q$2902,Z$2,0)&lt;&gt;J2611,"Beam Revised","")</f>
        <v>#N/A</v>
      </c>
      <c r="AA2611" s="7" t="e">
        <f>IF(VLOOKUP($A2611,'Concrete Beam Schedule'!$A$2:$Q$2902,AA$2,0)&lt;&gt;K2611,"Beam Revised","")</f>
        <v>#N/A</v>
      </c>
      <c r="AB2611" s="7" t="e">
        <f>IF(VLOOKUP($A2611,'Concrete Beam Schedule'!$A$2:$Q$2902,AB$2,0)&lt;&gt;L2611,"Beam Revised","")</f>
        <v>#N/A</v>
      </c>
      <c r="AC2611" s="7" t="e">
        <f>IF(VLOOKUP($A2611,'Concrete Beam Schedule'!$A$2:$Q$2902,AC$2,0)&lt;&gt;M2611,"Beam Revised","")</f>
        <v>#N/A</v>
      </c>
      <c r="AD2611" s="7" t="e">
        <f>IF(VLOOKUP($A2611,'Concrete Beam Schedule'!$A$2:$Q$2902,AD$2,0)&lt;&gt;N2611,"Beam Revised","")</f>
        <v>#N/A</v>
      </c>
      <c r="AE2611" s="7" t="e">
        <f>IF(VLOOKUP($A2611,'Concrete Beam Schedule'!$A$2:$Q$2902,AE$2,0)&lt;&gt;O2611,"Beam Revised","")</f>
        <v>#N/A</v>
      </c>
    </row>
    <row r="2612" spans="17:31" ht="20.100000000000001" customHeight="1" x14ac:dyDescent="0.25">
      <c r="Q2612" s="7">
        <f t="shared" si="40"/>
        <v>0</v>
      </c>
      <c r="R2612" s="7" t="e">
        <f>IF(VLOOKUP($A2612,'Concrete Beam Schedule'!$A$2:$Q$2902,R$2,0)&lt;&gt;B2612,VLOOKUP($A2612,'Concrete Beam Schedule'!$A$2:$Q$2902,R$2,0),"")</f>
        <v>#N/A</v>
      </c>
      <c r="S2612" s="7" t="e">
        <f>IF(VLOOKUP($A2612,'Concrete Beam Schedule'!$A$2:$Q$2902,S$2,0)&lt;&gt;C2612,VLOOKUP($A2612,'Concrete Beam Schedule'!$A$2:$Q$2902,S$2,0),"")</f>
        <v>#N/A</v>
      </c>
      <c r="T2612" s="7" t="e">
        <f>IF(VLOOKUP($A2612,'Concrete Beam Schedule'!$A$2:$Q$2902,T$2,0)&lt;&gt;D2612,"Beam Revised","")</f>
        <v>#N/A</v>
      </c>
      <c r="U2612" s="7" t="e">
        <f>IF(VLOOKUP($A2612,'Concrete Beam Schedule'!$A$2:$Q$2902,U$2,0)&lt;&gt;E2612,"Beam Revised","")</f>
        <v>#N/A</v>
      </c>
      <c r="V2612" s="7" t="e">
        <f>IF(VLOOKUP($A2612,'Concrete Beam Schedule'!$A$2:$Q$2902,V$2,0)&lt;&gt;F2612,"Beam Revised","")</f>
        <v>#N/A</v>
      </c>
      <c r="W2612" s="7" t="e">
        <f>IF(VLOOKUP($A2612,'Concrete Beam Schedule'!$A$2:$Q$2902,W$2,0)&lt;&gt;G2612,"Beam Revised","")</f>
        <v>#N/A</v>
      </c>
      <c r="X2612" s="7" t="e">
        <f>IF(VLOOKUP($A2612,'Concrete Beam Schedule'!$A$2:$Q$2902,X$2,0)&lt;&gt;H2612,"Beam Revised","")</f>
        <v>#N/A</v>
      </c>
      <c r="Y2612" s="7" t="e">
        <f>IF(VLOOKUP($A2612,'Concrete Beam Schedule'!$A$2:$Q$2902,Y$2,0)&lt;&gt;I2612,"Beam Revised","")</f>
        <v>#N/A</v>
      </c>
      <c r="Z2612" s="7" t="e">
        <f>IF(VLOOKUP($A2612,'Concrete Beam Schedule'!$A$2:$Q$2902,Z$2,0)&lt;&gt;J2612,"Beam Revised","")</f>
        <v>#N/A</v>
      </c>
      <c r="AA2612" s="7" t="e">
        <f>IF(VLOOKUP($A2612,'Concrete Beam Schedule'!$A$2:$Q$2902,AA$2,0)&lt;&gt;K2612,"Beam Revised","")</f>
        <v>#N/A</v>
      </c>
      <c r="AB2612" s="7" t="e">
        <f>IF(VLOOKUP($A2612,'Concrete Beam Schedule'!$A$2:$Q$2902,AB$2,0)&lt;&gt;L2612,"Beam Revised","")</f>
        <v>#N/A</v>
      </c>
      <c r="AC2612" s="7" t="e">
        <f>IF(VLOOKUP($A2612,'Concrete Beam Schedule'!$A$2:$Q$2902,AC$2,0)&lt;&gt;M2612,"Beam Revised","")</f>
        <v>#N/A</v>
      </c>
      <c r="AD2612" s="7" t="e">
        <f>IF(VLOOKUP($A2612,'Concrete Beam Schedule'!$A$2:$Q$2902,AD$2,0)&lt;&gt;N2612,"Beam Revised","")</f>
        <v>#N/A</v>
      </c>
      <c r="AE2612" s="7" t="e">
        <f>IF(VLOOKUP($A2612,'Concrete Beam Schedule'!$A$2:$Q$2902,AE$2,0)&lt;&gt;O2612,"Beam Revised","")</f>
        <v>#N/A</v>
      </c>
    </row>
    <row r="2613" spans="17:31" ht="20.100000000000001" customHeight="1" x14ac:dyDescent="0.25">
      <c r="Q2613" s="7">
        <f t="shared" si="40"/>
        <v>0</v>
      </c>
      <c r="R2613" s="7" t="e">
        <f>IF(VLOOKUP($A2613,'Concrete Beam Schedule'!$A$2:$Q$2902,R$2,0)&lt;&gt;B2613,VLOOKUP($A2613,'Concrete Beam Schedule'!$A$2:$Q$2902,R$2,0),"")</f>
        <v>#N/A</v>
      </c>
      <c r="S2613" s="7" t="e">
        <f>IF(VLOOKUP($A2613,'Concrete Beam Schedule'!$A$2:$Q$2902,S$2,0)&lt;&gt;C2613,VLOOKUP($A2613,'Concrete Beam Schedule'!$A$2:$Q$2902,S$2,0),"")</f>
        <v>#N/A</v>
      </c>
      <c r="T2613" s="7" t="e">
        <f>IF(VLOOKUP($A2613,'Concrete Beam Schedule'!$A$2:$Q$2902,T$2,0)&lt;&gt;D2613,"Beam Revised","")</f>
        <v>#N/A</v>
      </c>
      <c r="U2613" s="7" t="e">
        <f>IF(VLOOKUP($A2613,'Concrete Beam Schedule'!$A$2:$Q$2902,U$2,0)&lt;&gt;E2613,"Beam Revised","")</f>
        <v>#N/A</v>
      </c>
      <c r="V2613" s="7" t="e">
        <f>IF(VLOOKUP($A2613,'Concrete Beam Schedule'!$A$2:$Q$2902,V$2,0)&lt;&gt;F2613,"Beam Revised","")</f>
        <v>#N/A</v>
      </c>
      <c r="W2613" s="7" t="e">
        <f>IF(VLOOKUP($A2613,'Concrete Beam Schedule'!$A$2:$Q$2902,W$2,0)&lt;&gt;G2613,"Beam Revised","")</f>
        <v>#N/A</v>
      </c>
      <c r="X2613" s="7" t="e">
        <f>IF(VLOOKUP($A2613,'Concrete Beam Schedule'!$A$2:$Q$2902,X$2,0)&lt;&gt;H2613,"Beam Revised","")</f>
        <v>#N/A</v>
      </c>
      <c r="Y2613" s="7" t="e">
        <f>IF(VLOOKUP($A2613,'Concrete Beam Schedule'!$A$2:$Q$2902,Y$2,0)&lt;&gt;I2613,"Beam Revised","")</f>
        <v>#N/A</v>
      </c>
      <c r="Z2613" s="7" t="e">
        <f>IF(VLOOKUP($A2613,'Concrete Beam Schedule'!$A$2:$Q$2902,Z$2,0)&lt;&gt;J2613,"Beam Revised","")</f>
        <v>#N/A</v>
      </c>
      <c r="AA2613" s="7" t="e">
        <f>IF(VLOOKUP($A2613,'Concrete Beam Schedule'!$A$2:$Q$2902,AA$2,0)&lt;&gt;K2613,"Beam Revised","")</f>
        <v>#N/A</v>
      </c>
      <c r="AB2613" s="7" t="e">
        <f>IF(VLOOKUP($A2613,'Concrete Beam Schedule'!$A$2:$Q$2902,AB$2,0)&lt;&gt;L2613,"Beam Revised","")</f>
        <v>#N/A</v>
      </c>
      <c r="AC2613" s="7" t="e">
        <f>IF(VLOOKUP($A2613,'Concrete Beam Schedule'!$A$2:$Q$2902,AC$2,0)&lt;&gt;M2613,"Beam Revised","")</f>
        <v>#N/A</v>
      </c>
      <c r="AD2613" s="7" t="e">
        <f>IF(VLOOKUP($A2613,'Concrete Beam Schedule'!$A$2:$Q$2902,AD$2,0)&lt;&gt;N2613,"Beam Revised","")</f>
        <v>#N/A</v>
      </c>
      <c r="AE2613" s="7" t="e">
        <f>IF(VLOOKUP($A2613,'Concrete Beam Schedule'!$A$2:$Q$2902,AE$2,0)&lt;&gt;O2613,"Beam Revised","")</f>
        <v>#N/A</v>
      </c>
    </row>
    <row r="2614" spans="17:31" ht="20.100000000000001" customHeight="1" x14ac:dyDescent="0.25">
      <c r="Q2614" s="7">
        <f t="shared" si="40"/>
        <v>0</v>
      </c>
      <c r="R2614" s="7" t="e">
        <f>IF(VLOOKUP($A2614,'Concrete Beam Schedule'!$A$2:$Q$2902,R$2,0)&lt;&gt;B2614,VLOOKUP($A2614,'Concrete Beam Schedule'!$A$2:$Q$2902,R$2,0),"")</f>
        <v>#N/A</v>
      </c>
      <c r="S2614" s="7" t="e">
        <f>IF(VLOOKUP($A2614,'Concrete Beam Schedule'!$A$2:$Q$2902,S$2,0)&lt;&gt;C2614,VLOOKUP($A2614,'Concrete Beam Schedule'!$A$2:$Q$2902,S$2,0),"")</f>
        <v>#N/A</v>
      </c>
      <c r="T2614" s="7" t="e">
        <f>IF(VLOOKUP($A2614,'Concrete Beam Schedule'!$A$2:$Q$2902,T$2,0)&lt;&gt;D2614,"Beam Revised","")</f>
        <v>#N/A</v>
      </c>
      <c r="U2614" s="7" t="e">
        <f>IF(VLOOKUP($A2614,'Concrete Beam Schedule'!$A$2:$Q$2902,U$2,0)&lt;&gt;E2614,"Beam Revised","")</f>
        <v>#N/A</v>
      </c>
      <c r="V2614" s="7" t="e">
        <f>IF(VLOOKUP($A2614,'Concrete Beam Schedule'!$A$2:$Q$2902,V$2,0)&lt;&gt;F2614,"Beam Revised","")</f>
        <v>#N/A</v>
      </c>
      <c r="W2614" s="7" t="e">
        <f>IF(VLOOKUP($A2614,'Concrete Beam Schedule'!$A$2:$Q$2902,W$2,0)&lt;&gt;G2614,"Beam Revised","")</f>
        <v>#N/A</v>
      </c>
      <c r="X2614" s="7" t="e">
        <f>IF(VLOOKUP($A2614,'Concrete Beam Schedule'!$A$2:$Q$2902,X$2,0)&lt;&gt;H2614,"Beam Revised","")</f>
        <v>#N/A</v>
      </c>
      <c r="Y2614" s="7" t="e">
        <f>IF(VLOOKUP($A2614,'Concrete Beam Schedule'!$A$2:$Q$2902,Y$2,0)&lt;&gt;I2614,"Beam Revised","")</f>
        <v>#N/A</v>
      </c>
      <c r="Z2614" s="7" t="e">
        <f>IF(VLOOKUP($A2614,'Concrete Beam Schedule'!$A$2:$Q$2902,Z$2,0)&lt;&gt;J2614,"Beam Revised","")</f>
        <v>#N/A</v>
      </c>
      <c r="AA2614" s="7" t="e">
        <f>IF(VLOOKUP($A2614,'Concrete Beam Schedule'!$A$2:$Q$2902,AA$2,0)&lt;&gt;K2614,"Beam Revised","")</f>
        <v>#N/A</v>
      </c>
      <c r="AB2614" s="7" t="e">
        <f>IF(VLOOKUP($A2614,'Concrete Beam Schedule'!$A$2:$Q$2902,AB$2,0)&lt;&gt;L2614,"Beam Revised","")</f>
        <v>#N/A</v>
      </c>
      <c r="AC2614" s="7" t="e">
        <f>IF(VLOOKUP($A2614,'Concrete Beam Schedule'!$A$2:$Q$2902,AC$2,0)&lt;&gt;M2614,"Beam Revised","")</f>
        <v>#N/A</v>
      </c>
      <c r="AD2614" s="7" t="e">
        <f>IF(VLOOKUP($A2614,'Concrete Beam Schedule'!$A$2:$Q$2902,AD$2,0)&lt;&gt;N2614,"Beam Revised","")</f>
        <v>#N/A</v>
      </c>
      <c r="AE2614" s="7" t="e">
        <f>IF(VLOOKUP($A2614,'Concrete Beam Schedule'!$A$2:$Q$2902,AE$2,0)&lt;&gt;O2614,"Beam Revised","")</f>
        <v>#N/A</v>
      </c>
    </row>
    <row r="2615" spans="17:31" ht="20.100000000000001" customHeight="1" x14ac:dyDescent="0.25">
      <c r="Q2615" s="7">
        <f t="shared" si="40"/>
        <v>0</v>
      </c>
      <c r="R2615" s="7" t="e">
        <f>IF(VLOOKUP($A2615,'Concrete Beam Schedule'!$A$2:$Q$2902,R$2,0)&lt;&gt;B2615,VLOOKUP($A2615,'Concrete Beam Schedule'!$A$2:$Q$2902,R$2,0),"")</f>
        <v>#N/A</v>
      </c>
      <c r="S2615" s="7" t="e">
        <f>IF(VLOOKUP($A2615,'Concrete Beam Schedule'!$A$2:$Q$2902,S$2,0)&lt;&gt;C2615,VLOOKUP($A2615,'Concrete Beam Schedule'!$A$2:$Q$2902,S$2,0),"")</f>
        <v>#N/A</v>
      </c>
      <c r="T2615" s="7" t="e">
        <f>IF(VLOOKUP($A2615,'Concrete Beam Schedule'!$A$2:$Q$2902,T$2,0)&lt;&gt;D2615,"Beam Revised","")</f>
        <v>#N/A</v>
      </c>
      <c r="U2615" s="7" t="e">
        <f>IF(VLOOKUP($A2615,'Concrete Beam Schedule'!$A$2:$Q$2902,U$2,0)&lt;&gt;E2615,"Beam Revised","")</f>
        <v>#N/A</v>
      </c>
      <c r="V2615" s="7" t="e">
        <f>IF(VLOOKUP($A2615,'Concrete Beam Schedule'!$A$2:$Q$2902,V$2,0)&lt;&gt;F2615,"Beam Revised","")</f>
        <v>#N/A</v>
      </c>
      <c r="W2615" s="7" t="e">
        <f>IF(VLOOKUP($A2615,'Concrete Beam Schedule'!$A$2:$Q$2902,W$2,0)&lt;&gt;G2615,"Beam Revised","")</f>
        <v>#N/A</v>
      </c>
      <c r="X2615" s="7" t="e">
        <f>IF(VLOOKUP($A2615,'Concrete Beam Schedule'!$A$2:$Q$2902,X$2,0)&lt;&gt;H2615,"Beam Revised","")</f>
        <v>#N/A</v>
      </c>
      <c r="Y2615" s="7" t="e">
        <f>IF(VLOOKUP($A2615,'Concrete Beam Schedule'!$A$2:$Q$2902,Y$2,0)&lt;&gt;I2615,"Beam Revised","")</f>
        <v>#N/A</v>
      </c>
      <c r="Z2615" s="7" t="e">
        <f>IF(VLOOKUP($A2615,'Concrete Beam Schedule'!$A$2:$Q$2902,Z$2,0)&lt;&gt;J2615,"Beam Revised","")</f>
        <v>#N/A</v>
      </c>
      <c r="AA2615" s="7" t="e">
        <f>IF(VLOOKUP($A2615,'Concrete Beam Schedule'!$A$2:$Q$2902,AA$2,0)&lt;&gt;K2615,"Beam Revised","")</f>
        <v>#N/A</v>
      </c>
      <c r="AB2615" s="7" t="e">
        <f>IF(VLOOKUP($A2615,'Concrete Beam Schedule'!$A$2:$Q$2902,AB$2,0)&lt;&gt;L2615,"Beam Revised","")</f>
        <v>#N/A</v>
      </c>
      <c r="AC2615" s="7" t="e">
        <f>IF(VLOOKUP($A2615,'Concrete Beam Schedule'!$A$2:$Q$2902,AC$2,0)&lt;&gt;M2615,"Beam Revised","")</f>
        <v>#N/A</v>
      </c>
      <c r="AD2615" s="7" t="e">
        <f>IF(VLOOKUP($A2615,'Concrete Beam Schedule'!$A$2:$Q$2902,AD$2,0)&lt;&gt;N2615,"Beam Revised","")</f>
        <v>#N/A</v>
      </c>
      <c r="AE2615" s="7" t="e">
        <f>IF(VLOOKUP($A2615,'Concrete Beam Schedule'!$A$2:$Q$2902,AE$2,0)&lt;&gt;O2615,"Beam Revised","")</f>
        <v>#N/A</v>
      </c>
    </row>
    <row r="2616" spans="17:31" ht="20.100000000000001" customHeight="1" x14ac:dyDescent="0.25">
      <c r="Q2616" s="7">
        <f t="shared" si="40"/>
        <v>0</v>
      </c>
      <c r="R2616" s="7" t="e">
        <f>IF(VLOOKUP($A2616,'Concrete Beam Schedule'!$A$2:$Q$2902,R$2,0)&lt;&gt;B2616,VLOOKUP($A2616,'Concrete Beam Schedule'!$A$2:$Q$2902,R$2,0),"")</f>
        <v>#N/A</v>
      </c>
      <c r="S2616" s="7" t="e">
        <f>IF(VLOOKUP($A2616,'Concrete Beam Schedule'!$A$2:$Q$2902,S$2,0)&lt;&gt;C2616,VLOOKUP($A2616,'Concrete Beam Schedule'!$A$2:$Q$2902,S$2,0),"")</f>
        <v>#N/A</v>
      </c>
      <c r="T2616" s="7" t="e">
        <f>IF(VLOOKUP($A2616,'Concrete Beam Schedule'!$A$2:$Q$2902,T$2,0)&lt;&gt;D2616,"Beam Revised","")</f>
        <v>#N/A</v>
      </c>
      <c r="U2616" s="7" t="e">
        <f>IF(VLOOKUP($A2616,'Concrete Beam Schedule'!$A$2:$Q$2902,U$2,0)&lt;&gt;E2616,"Beam Revised","")</f>
        <v>#N/A</v>
      </c>
      <c r="V2616" s="7" t="e">
        <f>IF(VLOOKUP($A2616,'Concrete Beam Schedule'!$A$2:$Q$2902,V$2,0)&lt;&gt;F2616,"Beam Revised","")</f>
        <v>#N/A</v>
      </c>
      <c r="W2616" s="7" t="e">
        <f>IF(VLOOKUP($A2616,'Concrete Beam Schedule'!$A$2:$Q$2902,W$2,0)&lt;&gt;G2616,"Beam Revised","")</f>
        <v>#N/A</v>
      </c>
      <c r="X2616" s="7" t="e">
        <f>IF(VLOOKUP($A2616,'Concrete Beam Schedule'!$A$2:$Q$2902,X$2,0)&lt;&gt;H2616,"Beam Revised","")</f>
        <v>#N/A</v>
      </c>
      <c r="Y2616" s="7" t="e">
        <f>IF(VLOOKUP($A2616,'Concrete Beam Schedule'!$A$2:$Q$2902,Y$2,0)&lt;&gt;I2616,"Beam Revised","")</f>
        <v>#N/A</v>
      </c>
      <c r="Z2616" s="7" t="e">
        <f>IF(VLOOKUP($A2616,'Concrete Beam Schedule'!$A$2:$Q$2902,Z$2,0)&lt;&gt;J2616,"Beam Revised","")</f>
        <v>#N/A</v>
      </c>
      <c r="AA2616" s="7" t="e">
        <f>IF(VLOOKUP($A2616,'Concrete Beam Schedule'!$A$2:$Q$2902,AA$2,0)&lt;&gt;K2616,"Beam Revised","")</f>
        <v>#N/A</v>
      </c>
      <c r="AB2616" s="7" t="e">
        <f>IF(VLOOKUP($A2616,'Concrete Beam Schedule'!$A$2:$Q$2902,AB$2,0)&lt;&gt;L2616,"Beam Revised","")</f>
        <v>#N/A</v>
      </c>
      <c r="AC2616" s="7" t="e">
        <f>IF(VLOOKUP($A2616,'Concrete Beam Schedule'!$A$2:$Q$2902,AC$2,0)&lt;&gt;M2616,"Beam Revised","")</f>
        <v>#N/A</v>
      </c>
      <c r="AD2616" s="7" t="e">
        <f>IF(VLOOKUP($A2616,'Concrete Beam Schedule'!$A$2:$Q$2902,AD$2,0)&lt;&gt;N2616,"Beam Revised","")</f>
        <v>#N/A</v>
      </c>
      <c r="AE2616" s="7" t="e">
        <f>IF(VLOOKUP($A2616,'Concrete Beam Schedule'!$A$2:$Q$2902,AE$2,0)&lt;&gt;O2616,"Beam Revised","")</f>
        <v>#N/A</v>
      </c>
    </row>
    <row r="2617" spans="17:31" ht="20.100000000000001" customHeight="1" x14ac:dyDescent="0.25">
      <c r="Q2617" s="7">
        <f t="shared" si="40"/>
        <v>0</v>
      </c>
      <c r="R2617" s="7" t="e">
        <f>IF(VLOOKUP($A2617,'Concrete Beam Schedule'!$A$2:$Q$2902,R$2,0)&lt;&gt;B2617,VLOOKUP($A2617,'Concrete Beam Schedule'!$A$2:$Q$2902,R$2,0),"")</f>
        <v>#N/A</v>
      </c>
      <c r="S2617" s="7" t="e">
        <f>IF(VLOOKUP($A2617,'Concrete Beam Schedule'!$A$2:$Q$2902,S$2,0)&lt;&gt;C2617,VLOOKUP($A2617,'Concrete Beam Schedule'!$A$2:$Q$2902,S$2,0),"")</f>
        <v>#N/A</v>
      </c>
      <c r="T2617" s="7" t="e">
        <f>IF(VLOOKUP($A2617,'Concrete Beam Schedule'!$A$2:$Q$2902,T$2,0)&lt;&gt;D2617,"Beam Revised","")</f>
        <v>#N/A</v>
      </c>
      <c r="U2617" s="7" t="e">
        <f>IF(VLOOKUP($A2617,'Concrete Beam Schedule'!$A$2:$Q$2902,U$2,0)&lt;&gt;E2617,"Beam Revised","")</f>
        <v>#N/A</v>
      </c>
      <c r="V2617" s="7" t="e">
        <f>IF(VLOOKUP($A2617,'Concrete Beam Schedule'!$A$2:$Q$2902,V$2,0)&lt;&gt;F2617,"Beam Revised","")</f>
        <v>#N/A</v>
      </c>
      <c r="W2617" s="7" t="e">
        <f>IF(VLOOKUP($A2617,'Concrete Beam Schedule'!$A$2:$Q$2902,W$2,0)&lt;&gt;G2617,"Beam Revised","")</f>
        <v>#N/A</v>
      </c>
      <c r="X2617" s="7" t="e">
        <f>IF(VLOOKUP($A2617,'Concrete Beam Schedule'!$A$2:$Q$2902,X$2,0)&lt;&gt;H2617,"Beam Revised","")</f>
        <v>#N/A</v>
      </c>
      <c r="Y2617" s="7" t="e">
        <f>IF(VLOOKUP($A2617,'Concrete Beam Schedule'!$A$2:$Q$2902,Y$2,0)&lt;&gt;I2617,"Beam Revised","")</f>
        <v>#N/A</v>
      </c>
      <c r="Z2617" s="7" t="e">
        <f>IF(VLOOKUP($A2617,'Concrete Beam Schedule'!$A$2:$Q$2902,Z$2,0)&lt;&gt;J2617,"Beam Revised","")</f>
        <v>#N/A</v>
      </c>
      <c r="AA2617" s="7" t="e">
        <f>IF(VLOOKUP($A2617,'Concrete Beam Schedule'!$A$2:$Q$2902,AA$2,0)&lt;&gt;K2617,"Beam Revised","")</f>
        <v>#N/A</v>
      </c>
      <c r="AB2617" s="7" t="e">
        <f>IF(VLOOKUP($A2617,'Concrete Beam Schedule'!$A$2:$Q$2902,AB$2,0)&lt;&gt;L2617,"Beam Revised","")</f>
        <v>#N/A</v>
      </c>
      <c r="AC2617" s="7" t="e">
        <f>IF(VLOOKUP($A2617,'Concrete Beam Schedule'!$A$2:$Q$2902,AC$2,0)&lt;&gt;M2617,"Beam Revised","")</f>
        <v>#N/A</v>
      </c>
      <c r="AD2617" s="7" t="e">
        <f>IF(VLOOKUP($A2617,'Concrete Beam Schedule'!$A$2:$Q$2902,AD$2,0)&lt;&gt;N2617,"Beam Revised","")</f>
        <v>#N/A</v>
      </c>
      <c r="AE2617" s="7" t="e">
        <f>IF(VLOOKUP($A2617,'Concrete Beam Schedule'!$A$2:$Q$2902,AE$2,0)&lt;&gt;O2617,"Beam Revised","")</f>
        <v>#N/A</v>
      </c>
    </row>
    <row r="2618" spans="17:31" ht="20.100000000000001" customHeight="1" x14ac:dyDescent="0.25">
      <c r="Q2618" s="7">
        <f t="shared" si="40"/>
        <v>0</v>
      </c>
      <c r="R2618" s="7" t="e">
        <f>IF(VLOOKUP($A2618,'Concrete Beam Schedule'!$A$2:$Q$2902,R$2,0)&lt;&gt;B2618,VLOOKUP($A2618,'Concrete Beam Schedule'!$A$2:$Q$2902,R$2,0),"")</f>
        <v>#N/A</v>
      </c>
      <c r="S2618" s="7" t="e">
        <f>IF(VLOOKUP($A2618,'Concrete Beam Schedule'!$A$2:$Q$2902,S$2,0)&lt;&gt;C2618,VLOOKUP($A2618,'Concrete Beam Schedule'!$A$2:$Q$2902,S$2,0),"")</f>
        <v>#N/A</v>
      </c>
      <c r="T2618" s="7" t="e">
        <f>IF(VLOOKUP($A2618,'Concrete Beam Schedule'!$A$2:$Q$2902,T$2,0)&lt;&gt;D2618,"Beam Revised","")</f>
        <v>#N/A</v>
      </c>
      <c r="U2618" s="7" t="e">
        <f>IF(VLOOKUP($A2618,'Concrete Beam Schedule'!$A$2:$Q$2902,U$2,0)&lt;&gt;E2618,"Beam Revised","")</f>
        <v>#N/A</v>
      </c>
      <c r="V2618" s="7" t="e">
        <f>IF(VLOOKUP($A2618,'Concrete Beam Schedule'!$A$2:$Q$2902,V$2,0)&lt;&gt;F2618,"Beam Revised","")</f>
        <v>#N/A</v>
      </c>
      <c r="W2618" s="7" t="e">
        <f>IF(VLOOKUP($A2618,'Concrete Beam Schedule'!$A$2:$Q$2902,W$2,0)&lt;&gt;G2618,"Beam Revised","")</f>
        <v>#N/A</v>
      </c>
      <c r="X2618" s="7" t="e">
        <f>IF(VLOOKUP($A2618,'Concrete Beam Schedule'!$A$2:$Q$2902,X$2,0)&lt;&gt;H2618,"Beam Revised","")</f>
        <v>#N/A</v>
      </c>
      <c r="Y2618" s="7" t="e">
        <f>IF(VLOOKUP($A2618,'Concrete Beam Schedule'!$A$2:$Q$2902,Y$2,0)&lt;&gt;I2618,"Beam Revised","")</f>
        <v>#N/A</v>
      </c>
      <c r="Z2618" s="7" t="e">
        <f>IF(VLOOKUP($A2618,'Concrete Beam Schedule'!$A$2:$Q$2902,Z$2,0)&lt;&gt;J2618,"Beam Revised","")</f>
        <v>#N/A</v>
      </c>
      <c r="AA2618" s="7" t="e">
        <f>IF(VLOOKUP($A2618,'Concrete Beam Schedule'!$A$2:$Q$2902,AA$2,0)&lt;&gt;K2618,"Beam Revised","")</f>
        <v>#N/A</v>
      </c>
      <c r="AB2618" s="7" t="e">
        <f>IF(VLOOKUP($A2618,'Concrete Beam Schedule'!$A$2:$Q$2902,AB$2,0)&lt;&gt;L2618,"Beam Revised","")</f>
        <v>#N/A</v>
      </c>
      <c r="AC2618" s="7" t="e">
        <f>IF(VLOOKUP($A2618,'Concrete Beam Schedule'!$A$2:$Q$2902,AC$2,0)&lt;&gt;M2618,"Beam Revised","")</f>
        <v>#N/A</v>
      </c>
      <c r="AD2618" s="7" t="e">
        <f>IF(VLOOKUP($A2618,'Concrete Beam Schedule'!$A$2:$Q$2902,AD$2,0)&lt;&gt;N2618,"Beam Revised","")</f>
        <v>#N/A</v>
      </c>
      <c r="AE2618" s="7" t="e">
        <f>IF(VLOOKUP($A2618,'Concrete Beam Schedule'!$A$2:$Q$2902,AE$2,0)&lt;&gt;O2618,"Beam Revised","")</f>
        <v>#N/A</v>
      </c>
    </row>
    <row r="2619" spans="17:31" ht="20.100000000000001" customHeight="1" x14ac:dyDescent="0.25">
      <c r="Q2619" s="7">
        <f t="shared" si="40"/>
        <v>0</v>
      </c>
      <c r="R2619" s="7" t="e">
        <f>IF(VLOOKUP($A2619,'Concrete Beam Schedule'!$A$2:$Q$2902,R$2,0)&lt;&gt;B2619,VLOOKUP($A2619,'Concrete Beam Schedule'!$A$2:$Q$2902,R$2,0),"")</f>
        <v>#N/A</v>
      </c>
      <c r="S2619" s="7" t="e">
        <f>IF(VLOOKUP($A2619,'Concrete Beam Schedule'!$A$2:$Q$2902,S$2,0)&lt;&gt;C2619,VLOOKUP($A2619,'Concrete Beam Schedule'!$A$2:$Q$2902,S$2,0),"")</f>
        <v>#N/A</v>
      </c>
      <c r="T2619" s="7" t="e">
        <f>IF(VLOOKUP($A2619,'Concrete Beam Schedule'!$A$2:$Q$2902,T$2,0)&lt;&gt;D2619,"Beam Revised","")</f>
        <v>#N/A</v>
      </c>
      <c r="U2619" s="7" t="e">
        <f>IF(VLOOKUP($A2619,'Concrete Beam Schedule'!$A$2:$Q$2902,U$2,0)&lt;&gt;E2619,"Beam Revised","")</f>
        <v>#N/A</v>
      </c>
      <c r="V2619" s="7" t="e">
        <f>IF(VLOOKUP($A2619,'Concrete Beam Schedule'!$A$2:$Q$2902,V$2,0)&lt;&gt;F2619,"Beam Revised","")</f>
        <v>#N/A</v>
      </c>
      <c r="W2619" s="7" t="e">
        <f>IF(VLOOKUP($A2619,'Concrete Beam Schedule'!$A$2:$Q$2902,W$2,0)&lt;&gt;G2619,"Beam Revised","")</f>
        <v>#N/A</v>
      </c>
      <c r="X2619" s="7" t="e">
        <f>IF(VLOOKUP($A2619,'Concrete Beam Schedule'!$A$2:$Q$2902,X$2,0)&lt;&gt;H2619,"Beam Revised","")</f>
        <v>#N/A</v>
      </c>
      <c r="Y2619" s="7" t="e">
        <f>IF(VLOOKUP($A2619,'Concrete Beam Schedule'!$A$2:$Q$2902,Y$2,0)&lt;&gt;I2619,"Beam Revised","")</f>
        <v>#N/A</v>
      </c>
      <c r="Z2619" s="7" t="e">
        <f>IF(VLOOKUP($A2619,'Concrete Beam Schedule'!$A$2:$Q$2902,Z$2,0)&lt;&gt;J2619,"Beam Revised","")</f>
        <v>#N/A</v>
      </c>
      <c r="AA2619" s="7" t="e">
        <f>IF(VLOOKUP($A2619,'Concrete Beam Schedule'!$A$2:$Q$2902,AA$2,0)&lt;&gt;K2619,"Beam Revised","")</f>
        <v>#N/A</v>
      </c>
      <c r="AB2619" s="7" t="e">
        <f>IF(VLOOKUP($A2619,'Concrete Beam Schedule'!$A$2:$Q$2902,AB$2,0)&lt;&gt;L2619,"Beam Revised","")</f>
        <v>#N/A</v>
      </c>
      <c r="AC2619" s="7" t="e">
        <f>IF(VLOOKUP($A2619,'Concrete Beam Schedule'!$A$2:$Q$2902,AC$2,0)&lt;&gt;M2619,"Beam Revised","")</f>
        <v>#N/A</v>
      </c>
      <c r="AD2619" s="7" t="e">
        <f>IF(VLOOKUP($A2619,'Concrete Beam Schedule'!$A$2:$Q$2902,AD$2,0)&lt;&gt;N2619,"Beam Revised","")</f>
        <v>#N/A</v>
      </c>
      <c r="AE2619" s="7" t="e">
        <f>IF(VLOOKUP($A2619,'Concrete Beam Schedule'!$A$2:$Q$2902,AE$2,0)&lt;&gt;O2619,"Beam Revised","")</f>
        <v>#N/A</v>
      </c>
    </row>
    <row r="2620" spans="17:31" ht="20.100000000000001" customHeight="1" x14ac:dyDescent="0.25">
      <c r="Q2620" s="7">
        <f t="shared" si="40"/>
        <v>0</v>
      </c>
      <c r="R2620" s="7" t="e">
        <f>IF(VLOOKUP($A2620,'Concrete Beam Schedule'!$A$2:$Q$2902,R$2,0)&lt;&gt;B2620,VLOOKUP($A2620,'Concrete Beam Schedule'!$A$2:$Q$2902,R$2,0),"")</f>
        <v>#N/A</v>
      </c>
      <c r="S2620" s="7" t="e">
        <f>IF(VLOOKUP($A2620,'Concrete Beam Schedule'!$A$2:$Q$2902,S$2,0)&lt;&gt;C2620,VLOOKUP($A2620,'Concrete Beam Schedule'!$A$2:$Q$2902,S$2,0),"")</f>
        <v>#N/A</v>
      </c>
      <c r="T2620" s="7" t="e">
        <f>IF(VLOOKUP($A2620,'Concrete Beam Schedule'!$A$2:$Q$2902,T$2,0)&lt;&gt;D2620,"Beam Revised","")</f>
        <v>#N/A</v>
      </c>
      <c r="U2620" s="7" t="e">
        <f>IF(VLOOKUP($A2620,'Concrete Beam Schedule'!$A$2:$Q$2902,U$2,0)&lt;&gt;E2620,"Beam Revised","")</f>
        <v>#N/A</v>
      </c>
      <c r="V2620" s="7" t="e">
        <f>IF(VLOOKUP($A2620,'Concrete Beam Schedule'!$A$2:$Q$2902,V$2,0)&lt;&gt;F2620,"Beam Revised","")</f>
        <v>#N/A</v>
      </c>
      <c r="W2620" s="7" t="e">
        <f>IF(VLOOKUP($A2620,'Concrete Beam Schedule'!$A$2:$Q$2902,W$2,0)&lt;&gt;G2620,"Beam Revised","")</f>
        <v>#N/A</v>
      </c>
      <c r="X2620" s="7" t="e">
        <f>IF(VLOOKUP($A2620,'Concrete Beam Schedule'!$A$2:$Q$2902,X$2,0)&lt;&gt;H2620,"Beam Revised","")</f>
        <v>#N/A</v>
      </c>
      <c r="Y2620" s="7" t="e">
        <f>IF(VLOOKUP($A2620,'Concrete Beam Schedule'!$A$2:$Q$2902,Y$2,0)&lt;&gt;I2620,"Beam Revised","")</f>
        <v>#N/A</v>
      </c>
      <c r="Z2620" s="7" t="e">
        <f>IF(VLOOKUP($A2620,'Concrete Beam Schedule'!$A$2:$Q$2902,Z$2,0)&lt;&gt;J2620,"Beam Revised","")</f>
        <v>#N/A</v>
      </c>
      <c r="AA2620" s="7" t="e">
        <f>IF(VLOOKUP($A2620,'Concrete Beam Schedule'!$A$2:$Q$2902,AA$2,0)&lt;&gt;K2620,"Beam Revised","")</f>
        <v>#N/A</v>
      </c>
      <c r="AB2620" s="7" t="e">
        <f>IF(VLOOKUP($A2620,'Concrete Beam Schedule'!$A$2:$Q$2902,AB$2,0)&lt;&gt;L2620,"Beam Revised","")</f>
        <v>#N/A</v>
      </c>
      <c r="AC2620" s="7" t="e">
        <f>IF(VLOOKUP($A2620,'Concrete Beam Schedule'!$A$2:$Q$2902,AC$2,0)&lt;&gt;M2620,"Beam Revised","")</f>
        <v>#N/A</v>
      </c>
      <c r="AD2620" s="7" t="e">
        <f>IF(VLOOKUP($A2620,'Concrete Beam Schedule'!$A$2:$Q$2902,AD$2,0)&lt;&gt;N2620,"Beam Revised","")</f>
        <v>#N/A</v>
      </c>
      <c r="AE2620" s="7" t="e">
        <f>IF(VLOOKUP($A2620,'Concrete Beam Schedule'!$A$2:$Q$2902,AE$2,0)&lt;&gt;O2620,"Beam Revised","")</f>
        <v>#N/A</v>
      </c>
    </row>
    <row r="2621" spans="17:31" ht="20.100000000000001" customHeight="1" x14ac:dyDescent="0.25">
      <c r="Q2621" s="7">
        <f t="shared" si="40"/>
        <v>0</v>
      </c>
      <c r="R2621" s="7" t="e">
        <f>IF(VLOOKUP($A2621,'Concrete Beam Schedule'!$A$2:$Q$2902,R$2,0)&lt;&gt;B2621,VLOOKUP($A2621,'Concrete Beam Schedule'!$A$2:$Q$2902,R$2,0),"")</f>
        <v>#N/A</v>
      </c>
      <c r="S2621" s="7" t="e">
        <f>IF(VLOOKUP($A2621,'Concrete Beam Schedule'!$A$2:$Q$2902,S$2,0)&lt;&gt;C2621,VLOOKUP($A2621,'Concrete Beam Schedule'!$A$2:$Q$2902,S$2,0),"")</f>
        <v>#N/A</v>
      </c>
      <c r="T2621" s="7" t="e">
        <f>IF(VLOOKUP($A2621,'Concrete Beam Schedule'!$A$2:$Q$2902,T$2,0)&lt;&gt;D2621,"Beam Revised","")</f>
        <v>#N/A</v>
      </c>
      <c r="U2621" s="7" t="e">
        <f>IF(VLOOKUP($A2621,'Concrete Beam Schedule'!$A$2:$Q$2902,U$2,0)&lt;&gt;E2621,"Beam Revised","")</f>
        <v>#N/A</v>
      </c>
      <c r="V2621" s="7" t="e">
        <f>IF(VLOOKUP($A2621,'Concrete Beam Schedule'!$A$2:$Q$2902,V$2,0)&lt;&gt;F2621,"Beam Revised","")</f>
        <v>#N/A</v>
      </c>
      <c r="W2621" s="7" t="e">
        <f>IF(VLOOKUP($A2621,'Concrete Beam Schedule'!$A$2:$Q$2902,W$2,0)&lt;&gt;G2621,"Beam Revised","")</f>
        <v>#N/A</v>
      </c>
      <c r="X2621" s="7" t="e">
        <f>IF(VLOOKUP($A2621,'Concrete Beam Schedule'!$A$2:$Q$2902,X$2,0)&lt;&gt;H2621,"Beam Revised","")</f>
        <v>#N/A</v>
      </c>
      <c r="Y2621" s="7" t="e">
        <f>IF(VLOOKUP($A2621,'Concrete Beam Schedule'!$A$2:$Q$2902,Y$2,0)&lt;&gt;I2621,"Beam Revised","")</f>
        <v>#N/A</v>
      </c>
      <c r="Z2621" s="7" t="e">
        <f>IF(VLOOKUP($A2621,'Concrete Beam Schedule'!$A$2:$Q$2902,Z$2,0)&lt;&gt;J2621,"Beam Revised","")</f>
        <v>#N/A</v>
      </c>
      <c r="AA2621" s="7" t="e">
        <f>IF(VLOOKUP($A2621,'Concrete Beam Schedule'!$A$2:$Q$2902,AA$2,0)&lt;&gt;K2621,"Beam Revised","")</f>
        <v>#N/A</v>
      </c>
      <c r="AB2621" s="7" t="e">
        <f>IF(VLOOKUP($A2621,'Concrete Beam Schedule'!$A$2:$Q$2902,AB$2,0)&lt;&gt;L2621,"Beam Revised","")</f>
        <v>#N/A</v>
      </c>
      <c r="AC2621" s="7" t="e">
        <f>IF(VLOOKUP($A2621,'Concrete Beam Schedule'!$A$2:$Q$2902,AC$2,0)&lt;&gt;M2621,"Beam Revised","")</f>
        <v>#N/A</v>
      </c>
      <c r="AD2621" s="7" t="e">
        <f>IF(VLOOKUP($A2621,'Concrete Beam Schedule'!$A$2:$Q$2902,AD$2,0)&lt;&gt;N2621,"Beam Revised","")</f>
        <v>#N/A</v>
      </c>
      <c r="AE2621" s="7" t="e">
        <f>IF(VLOOKUP($A2621,'Concrete Beam Schedule'!$A$2:$Q$2902,AE$2,0)&lt;&gt;O2621,"Beam Revised","")</f>
        <v>#N/A</v>
      </c>
    </row>
    <row r="2622" spans="17:31" ht="20.100000000000001" customHeight="1" x14ac:dyDescent="0.25">
      <c r="Q2622" s="7">
        <f t="shared" si="40"/>
        <v>0</v>
      </c>
      <c r="R2622" s="7" t="e">
        <f>IF(VLOOKUP($A2622,'Concrete Beam Schedule'!$A$2:$Q$2902,R$2,0)&lt;&gt;B2622,VLOOKUP($A2622,'Concrete Beam Schedule'!$A$2:$Q$2902,R$2,0),"")</f>
        <v>#N/A</v>
      </c>
      <c r="S2622" s="7" t="e">
        <f>IF(VLOOKUP($A2622,'Concrete Beam Schedule'!$A$2:$Q$2902,S$2,0)&lt;&gt;C2622,VLOOKUP($A2622,'Concrete Beam Schedule'!$A$2:$Q$2902,S$2,0),"")</f>
        <v>#N/A</v>
      </c>
      <c r="T2622" s="7" t="e">
        <f>IF(VLOOKUP($A2622,'Concrete Beam Schedule'!$A$2:$Q$2902,T$2,0)&lt;&gt;D2622,"Beam Revised","")</f>
        <v>#N/A</v>
      </c>
      <c r="U2622" s="7" t="e">
        <f>IF(VLOOKUP($A2622,'Concrete Beam Schedule'!$A$2:$Q$2902,U$2,0)&lt;&gt;E2622,"Beam Revised","")</f>
        <v>#N/A</v>
      </c>
      <c r="V2622" s="7" t="e">
        <f>IF(VLOOKUP($A2622,'Concrete Beam Schedule'!$A$2:$Q$2902,V$2,0)&lt;&gt;F2622,"Beam Revised","")</f>
        <v>#N/A</v>
      </c>
      <c r="W2622" s="7" t="e">
        <f>IF(VLOOKUP($A2622,'Concrete Beam Schedule'!$A$2:$Q$2902,W$2,0)&lt;&gt;G2622,"Beam Revised","")</f>
        <v>#N/A</v>
      </c>
      <c r="X2622" s="7" t="e">
        <f>IF(VLOOKUP($A2622,'Concrete Beam Schedule'!$A$2:$Q$2902,X$2,0)&lt;&gt;H2622,"Beam Revised","")</f>
        <v>#N/A</v>
      </c>
      <c r="Y2622" s="7" t="e">
        <f>IF(VLOOKUP($A2622,'Concrete Beam Schedule'!$A$2:$Q$2902,Y$2,0)&lt;&gt;I2622,"Beam Revised","")</f>
        <v>#N/A</v>
      </c>
      <c r="Z2622" s="7" t="e">
        <f>IF(VLOOKUP($A2622,'Concrete Beam Schedule'!$A$2:$Q$2902,Z$2,0)&lt;&gt;J2622,"Beam Revised","")</f>
        <v>#N/A</v>
      </c>
      <c r="AA2622" s="7" t="e">
        <f>IF(VLOOKUP($A2622,'Concrete Beam Schedule'!$A$2:$Q$2902,AA$2,0)&lt;&gt;K2622,"Beam Revised","")</f>
        <v>#N/A</v>
      </c>
      <c r="AB2622" s="7" t="e">
        <f>IF(VLOOKUP($A2622,'Concrete Beam Schedule'!$A$2:$Q$2902,AB$2,0)&lt;&gt;L2622,"Beam Revised","")</f>
        <v>#N/A</v>
      </c>
      <c r="AC2622" s="7" t="e">
        <f>IF(VLOOKUP($A2622,'Concrete Beam Schedule'!$A$2:$Q$2902,AC$2,0)&lt;&gt;M2622,"Beam Revised","")</f>
        <v>#N/A</v>
      </c>
      <c r="AD2622" s="7" t="e">
        <f>IF(VLOOKUP($A2622,'Concrete Beam Schedule'!$A$2:$Q$2902,AD$2,0)&lt;&gt;N2622,"Beam Revised","")</f>
        <v>#N/A</v>
      </c>
      <c r="AE2622" s="7" t="e">
        <f>IF(VLOOKUP($A2622,'Concrete Beam Schedule'!$A$2:$Q$2902,AE$2,0)&lt;&gt;O2622,"Beam Revised","")</f>
        <v>#N/A</v>
      </c>
    </row>
    <row r="2623" spans="17:31" ht="20.100000000000001" customHeight="1" x14ac:dyDescent="0.25">
      <c r="Q2623" s="7">
        <f t="shared" si="40"/>
        <v>0</v>
      </c>
      <c r="R2623" s="7" t="e">
        <f>IF(VLOOKUP($A2623,'Concrete Beam Schedule'!$A$2:$Q$2902,R$2,0)&lt;&gt;B2623,VLOOKUP($A2623,'Concrete Beam Schedule'!$A$2:$Q$2902,R$2,0),"")</f>
        <v>#N/A</v>
      </c>
      <c r="S2623" s="7" t="e">
        <f>IF(VLOOKUP($A2623,'Concrete Beam Schedule'!$A$2:$Q$2902,S$2,0)&lt;&gt;C2623,VLOOKUP($A2623,'Concrete Beam Schedule'!$A$2:$Q$2902,S$2,0),"")</f>
        <v>#N/A</v>
      </c>
      <c r="T2623" s="7" t="e">
        <f>IF(VLOOKUP($A2623,'Concrete Beam Schedule'!$A$2:$Q$2902,T$2,0)&lt;&gt;D2623,"Beam Revised","")</f>
        <v>#N/A</v>
      </c>
      <c r="U2623" s="7" t="e">
        <f>IF(VLOOKUP($A2623,'Concrete Beam Schedule'!$A$2:$Q$2902,U$2,0)&lt;&gt;E2623,"Beam Revised","")</f>
        <v>#N/A</v>
      </c>
      <c r="V2623" s="7" t="e">
        <f>IF(VLOOKUP($A2623,'Concrete Beam Schedule'!$A$2:$Q$2902,V$2,0)&lt;&gt;F2623,"Beam Revised","")</f>
        <v>#N/A</v>
      </c>
      <c r="W2623" s="7" t="e">
        <f>IF(VLOOKUP($A2623,'Concrete Beam Schedule'!$A$2:$Q$2902,W$2,0)&lt;&gt;G2623,"Beam Revised","")</f>
        <v>#N/A</v>
      </c>
      <c r="X2623" s="7" t="e">
        <f>IF(VLOOKUP($A2623,'Concrete Beam Schedule'!$A$2:$Q$2902,X$2,0)&lt;&gt;H2623,"Beam Revised","")</f>
        <v>#N/A</v>
      </c>
      <c r="Y2623" s="7" t="e">
        <f>IF(VLOOKUP($A2623,'Concrete Beam Schedule'!$A$2:$Q$2902,Y$2,0)&lt;&gt;I2623,"Beam Revised","")</f>
        <v>#N/A</v>
      </c>
      <c r="Z2623" s="7" t="e">
        <f>IF(VLOOKUP($A2623,'Concrete Beam Schedule'!$A$2:$Q$2902,Z$2,0)&lt;&gt;J2623,"Beam Revised","")</f>
        <v>#N/A</v>
      </c>
      <c r="AA2623" s="7" t="e">
        <f>IF(VLOOKUP($A2623,'Concrete Beam Schedule'!$A$2:$Q$2902,AA$2,0)&lt;&gt;K2623,"Beam Revised","")</f>
        <v>#N/A</v>
      </c>
      <c r="AB2623" s="7" t="e">
        <f>IF(VLOOKUP($A2623,'Concrete Beam Schedule'!$A$2:$Q$2902,AB$2,0)&lt;&gt;L2623,"Beam Revised","")</f>
        <v>#N/A</v>
      </c>
      <c r="AC2623" s="7" t="e">
        <f>IF(VLOOKUP($A2623,'Concrete Beam Schedule'!$A$2:$Q$2902,AC$2,0)&lt;&gt;M2623,"Beam Revised","")</f>
        <v>#N/A</v>
      </c>
      <c r="AD2623" s="7" t="e">
        <f>IF(VLOOKUP($A2623,'Concrete Beam Schedule'!$A$2:$Q$2902,AD$2,0)&lt;&gt;N2623,"Beam Revised","")</f>
        <v>#N/A</v>
      </c>
      <c r="AE2623" s="7" t="e">
        <f>IF(VLOOKUP($A2623,'Concrete Beam Schedule'!$A$2:$Q$2902,AE$2,0)&lt;&gt;O2623,"Beam Revised","")</f>
        <v>#N/A</v>
      </c>
    </row>
    <row r="2624" spans="17:31" ht="20.100000000000001" customHeight="1" x14ac:dyDescent="0.25">
      <c r="Q2624" s="7">
        <f t="shared" si="40"/>
        <v>0</v>
      </c>
      <c r="R2624" s="7" t="e">
        <f>IF(VLOOKUP($A2624,'Concrete Beam Schedule'!$A$2:$Q$2902,R$2,0)&lt;&gt;B2624,VLOOKUP($A2624,'Concrete Beam Schedule'!$A$2:$Q$2902,R$2,0),"")</f>
        <v>#N/A</v>
      </c>
      <c r="S2624" s="7" t="e">
        <f>IF(VLOOKUP($A2624,'Concrete Beam Schedule'!$A$2:$Q$2902,S$2,0)&lt;&gt;C2624,VLOOKUP($A2624,'Concrete Beam Schedule'!$A$2:$Q$2902,S$2,0),"")</f>
        <v>#N/A</v>
      </c>
      <c r="T2624" s="7" t="e">
        <f>IF(VLOOKUP($A2624,'Concrete Beam Schedule'!$A$2:$Q$2902,T$2,0)&lt;&gt;D2624,"Beam Revised","")</f>
        <v>#N/A</v>
      </c>
      <c r="U2624" s="7" t="e">
        <f>IF(VLOOKUP($A2624,'Concrete Beam Schedule'!$A$2:$Q$2902,U$2,0)&lt;&gt;E2624,"Beam Revised","")</f>
        <v>#N/A</v>
      </c>
      <c r="V2624" s="7" t="e">
        <f>IF(VLOOKUP($A2624,'Concrete Beam Schedule'!$A$2:$Q$2902,V$2,0)&lt;&gt;F2624,"Beam Revised","")</f>
        <v>#N/A</v>
      </c>
      <c r="W2624" s="7" t="e">
        <f>IF(VLOOKUP($A2624,'Concrete Beam Schedule'!$A$2:$Q$2902,W$2,0)&lt;&gt;G2624,"Beam Revised","")</f>
        <v>#N/A</v>
      </c>
      <c r="X2624" s="7" t="e">
        <f>IF(VLOOKUP($A2624,'Concrete Beam Schedule'!$A$2:$Q$2902,X$2,0)&lt;&gt;H2624,"Beam Revised","")</f>
        <v>#N/A</v>
      </c>
      <c r="Y2624" s="7" t="e">
        <f>IF(VLOOKUP($A2624,'Concrete Beam Schedule'!$A$2:$Q$2902,Y$2,0)&lt;&gt;I2624,"Beam Revised","")</f>
        <v>#N/A</v>
      </c>
      <c r="Z2624" s="7" t="e">
        <f>IF(VLOOKUP($A2624,'Concrete Beam Schedule'!$A$2:$Q$2902,Z$2,0)&lt;&gt;J2624,"Beam Revised","")</f>
        <v>#N/A</v>
      </c>
      <c r="AA2624" s="7" t="e">
        <f>IF(VLOOKUP($A2624,'Concrete Beam Schedule'!$A$2:$Q$2902,AA$2,0)&lt;&gt;K2624,"Beam Revised","")</f>
        <v>#N/A</v>
      </c>
      <c r="AB2624" s="7" t="e">
        <f>IF(VLOOKUP($A2624,'Concrete Beam Schedule'!$A$2:$Q$2902,AB$2,0)&lt;&gt;L2624,"Beam Revised","")</f>
        <v>#N/A</v>
      </c>
      <c r="AC2624" s="7" t="e">
        <f>IF(VLOOKUP($A2624,'Concrete Beam Schedule'!$A$2:$Q$2902,AC$2,0)&lt;&gt;M2624,"Beam Revised","")</f>
        <v>#N/A</v>
      </c>
      <c r="AD2624" s="7" t="e">
        <f>IF(VLOOKUP($A2624,'Concrete Beam Schedule'!$A$2:$Q$2902,AD$2,0)&lt;&gt;N2624,"Beam Revised","")</f>
        <v>#N/A</v>
      </c>
      <c r="AE2624" s="7" t="e">
        <f>IF(VLOOKUP($A2624,'Concrete Beam Schedule'!$A$2:$Q$2902,AE$2,0)&lt;&gt;O2624,"Beam Revised","")</f>
        <v>#N/A</v>
      </c>
    </row>
    <row r="2625" spans="17:31" ht="20.100000000000001" customHeight="1" x14ac:dyDescent="0.25">
      <c r="Q2625" s="7">
        <f t="shared" si="40"/>
        <v>0</v>
      </c>
      <c r="R2625" s="7" t="e">
        <f>IF(VLOOKUP($A2625,'Concrete Beam Schedule'!$A$2:$Q$2902,R$2,0)&lt;&gt;B2625,VLOOKUP($A2625,'Concrete Beam Schedule'!$A$2:$Q$2902,R$2,0),"")</f>
        <v>#N/A</v>
      </c>
      <c r="S2625" s="7" t="e">
        <f>IF(VLOOKUP($A2625,'Concrete Beam Schedule'!$A$2:$Q$2902,S$2,0)&lt;&gt;C2625,VLOOKUP($A2625,'Concrete Beam Schedule'!$A$2:$Q$2902,S$2,0),"")</f>
        <v>#N/A</v>
      </c>
      <c r="T2625" s="7" t="e">
        <f>IF(VLOOKUP($A2625,'Concrete Beam Schedule'!$A$2:$Q$2902,T$2,0)&lt;&gt;D2625,"Beam Revised","")</f>
        <v>#N/A</v>
      </c>
      <c r="U2625" s="7" t="e">
        <f>IF(VLOOKUP($A2625,'Concrete Beam Schedule'!$A$2:$Q$2902,U$2,0)&lt;&gt;E2625,"Beam Revised","")</f>
        <v>#N/A</v>
      </c>
      <c r="V2625" s="7" t="e">
        <f>IF(VLOOKUP($A2625,'Concrete Beam Schedule'!$A$2:$Q$2902,V$2,0)&lt;&gt;F2625,"Beam Revised","")</f>
        <v>#N/A</v>
      </c>
      <c r="W2625" s="7" t="e">
        <f>IF(VLOOKUP($A2625,'Concrete Beam Schedule'!$A$2:$Q$2902,W$2,0)&lt;&gt;G2625,"Beam Revised","")</f>
        <v>#N/A</v>
      </c>
      <c r="X2625" s="7" t="e">
        <f>IF(VLOOKUP($A2625,'Concrete Beam Schedule'!$A$2:$Q$2902,X$2,0)&lt;&gt;H2625,"Beam Revised","")</f>
        <v>#N/A</v>
      </c>
      <c r="Y2625" s="7" t="e">
        <f>IF(VLOOKUP($A2625,'Concrete Beam Schedule'!$A$2:$Q$2902,Y$2,0)&lt;&gt;I2625,"Beam Revised","")</f>
        <v>#N/A</v>
      </c>
      <c r="Z2625" s="7" t="e">
        <f>IF(VLOOKUP($A2625,'Concrete Beam Schedule'!$A$2:$Q$2902,Z$2,0)&lt;&gt;J2625,"Beam Revised","")</f>
        <v>#N/A</v>
      </c>
      <c r="AA2625" s="7" t="e">
        <f>IF(VLOOKUP($A2625,'Concrete Beam Schedule'!$A$2:$Q$2902,AA$2,0)&lt;&gt;K2625,"Beam Revised","")</f>
        <v>#N/A</v>
      </c>
      <c r="AB2625" s="7" t="e">
        <f>IF(VLOOKUP($A2625,'Concrete Beam Schedule'!$A$2:$Q$2902,AB$2,0)&lt;&gt;L2625,"Beam Revised","")</f>
        <v>#N/A</v>
      </c>
      <c r="AC2625" s="7" t="e">
        <f>IF(VLOOKUP($A2625,'Concrete Beam Schedule'!$A$2:$Q$2902,AC$2,0)&lt;&gt;M2625,"Beam Revised","")</f>
        <v>#N/A</v>
      </c>
      <c r="AD2625" s="7" t="e">
        <f>IF(VLOOKUP($A2625,'Concrete Beam Schedule'!$A$2:$Q$2902,AD$2,0)&lt;&gt;N2625,"Beam Revised","")</f>
        <v>#N/A</v>
      </c>
      <c r="AE2625" s="7" t="e">
        <f>IF(VLOOKUP($A2625,'Concrete Beam Schedule'!$A$2:$Q$2902,AE$2,0)&lt;&gt;O2625,"Beam Revised","")</f>
        <v>#N/A</v>
      </c>
    </row>
    <row r="2626" spans="17:31" ht="20.100000000000001" customHeight="1" x14ac:dyDescent="0.25">
      <c r="Q2626" s="7">
        <f t="shared" si="40"/>
        <v>0</v>
      </c>
      <c r="R2626" s="7" t="e">
        <f>IF(VLOOKUP($A2626,'Concrete Beam Schedule'!$A$2:$Q$2902,R$2,0)&lt;&gt;B2626,VLOOKUP($A2626,'Concrete Beam Schedule'!$A$2:$Q$2902,R$2,0),"")</f>
        <v>#N/A</v>
      </c>
      <c r="S2626" s="7" t="e">
        <f>IF(VLOOKUP($A2626,'Concrete Beam Schedule'!$A$2:$Q$2902,S$2,0)&lt;&gt;C2626,VLOOKUP($A2626,'Concrete Beam Schedule'!$A$2:$Q$2902,S$2,0),"")</f>
        <v>#N/A</v>
      </c>
      <c r="T2626" s="7" t="e">
        <f>IF(VLOOKUP($A2626,'Concrete Beam Schedule'!$A$2:$Q$2902,T$2,0)&lt;&gt;D2626,"Beam Revised","")</f>
        <v>#N/A</v>
      </c>
      <c r="U2626" s="7" t="e">
        <f>IF(VLOOKUP($A2626,'Concrete Beam Schedule'!$A$2:$Q$2902,U$2,0)&lt;&gt;E2626,"Beam Revised","")</f>
        <v>#N/A</v>
      </c>
      <c r="V2626" s="7" t="e">
        <f>IF(VLOOKUP($A2626,'Concrete Beam Schedule'!$A$2:$Q$2902,V$2,0)&lt;&gt;F2626,"Beam Revised","")</f>
        <v>#N/A</v>
      </c>
      <c r="W2626" s="7" t="e">
        <f>IF(VLOOKUP($A2626,'Concrete Beam Schedule'!$A$2:$Q$2902,W$2,0)&lt;&gt;G2626,"Beam Revised","")</f>
        <v>#N/A</v>
      </c>
      <c r="X2626" s="7" t="e">
        <f>IF(VLOOKUP($A2626,'Concrete Beam Schedule'!$A$2:$Q$2902,X$2,0)&lt;&gt;H2626,"Beam Revised","")</f>
        <v>#N/A</v>
      </c>
      <c r="Y2626" s="7" t="e">
        <f>IF(VLOOKUP($A2626,'Concrete Beam Schedule'!$A$2:$Q$2902,Y$2,0)&lt;&gt;I2626,"Beam Revised","")</f>
        <v>#N/A</v>
      </c>
      <c r="Z2626" s="7" t="e">
        <f>IF(VLOOKUP($A2626,'Concrete Beam Schedule'!$A$2:$Q$2902,Z$2,0)&lt;&gt;J2626,"Beam Revised","")</f>
        <v>#N/A</v>
      </c>
      <c r="AA2626" s="7" t="e">
        <f>IF(VLOOKUP($A2626,'Concrete Beam Schedule'!$A$2:$Q$2902,AA$2,0)&lt;&gt;K2626,"Beam Revised","")</f>
        <v>#N/A</v>
      </c>
      <c r="AB2626" s="7" t="e">
        <f>IF(VLOOKUP($A2626,'Concrete Beam Schedule'!$A$2:$Q$2902,AB$2,0)&lt;&gt;L2626,"Beam Revised","")</f>
        <v>#N/A</v>
      </c>
      <c r="AC2626" s="7" t="e">
        <f>IF(VLOOKUP($A2626,'Concrete Beam Schedule'!$A$2:$Q$2902,AC$2,0)&lt;&gt;M2626,"Beam Revised","")</f>
        <v>#N/A</v>
      </c>
      <c r="AD2626" s="7" t="e">
        <f>IF(VLOOKUP($A2626,'Concrete Beam Schedule'!$A$2:$Q$2902,AD$2,0)&lt;&gt;N2626,"Beam Revised","")</f>
        <v>#N/A</v>
      </c>
      <c r="AE2626" s="7" t="e">
        <f>IF(VLOOKUP($A2626,'Concrete Beam Schedule'!$A$2:$Q$2902,AE$2,0)&lt;&gt;O2626,"Beam Revised","")</f>
        <v>#N/A</v>
      </c>
    </row>
    <row r="2627" spans="17:31" ht="20.100000000000001" customHeight="1" x14ac:dyDescent="0.25">
      <c r="Q2627" s="7">
        <f t="shared" si="40"/>
        <v>0</v>
      </c>
      <c r="R2627" s="7" t="e">
        <f>IF(VLOOKUP($A2627,'Concrete Beam Schedule'!$A$2:$Q$2902,R$2,0)&lt;&gt;B2627,VLOOKUP($A2627,'Concrete Beam Schedule'!$A$2:$Q$2902,R$2,0),"")</f>
        <v>#N/A</v>
      </c>
      <c r="S2627" s="7" t="e">
        <f>IF(VLOOKUP($A2627,'Concrete Beam Schedule'!$A$2:$Q$2902,S$2,0)&lt;&gt;C2627,VLOOKUP($A2627,'Concrete Beam Schedule'!$A$2:$Q$2902,S$2,0),"")</f>
        <v>#N/A</v>
      </c>
      <c r="T2627" s="7" t="e">
        <f>IF(VLOOKUP($A2627,'Concrete Beam Schedule'!$A$2:$Q$2902,T$2,0)&lt;&gt;D2627,"Beam Revised","")</f>
        <v>#N/A</v>
      </c>
      <c r="U2627" s="7" t="e">
        <f>IF(VLOOKUP($A2627,'Concrete Beam Schedule'!$A$2:$Q$2902,U$2,0)&lt;&gt;E2627,"Beam Revised","")</f>
        <v>#N/A</v>
      </c>
      <c r="V2627" s="7" t="e">
        <f>IF(VLOOKUP($A2627,'Concrete Beam Schedule'!$A$2:$Q$2902,V$2,0)&lt;&gt;F2627,"Beam Revised","")</f>
        <v>#N/A</v>
      </c>
      <c r="W2627" s="7" t="e">
        <f>IF(VLOOKUP($A2627,'Concrete Beam Schedule'!$A$2:$Q$2902,W$2,0)&lt;&gt;G2627,"Beam Revised","")</f>
        <v>#N/A</v>
      </c>
      <c r="X2627" s="7" t="e">
        <f>IF(VLOOKUP($A2627,'Concrete Beam Schedule'!$A$2:$Q$2902,X$2,0)&lt;&gt;H2627,"Beam Revised","")</f>
        <v>#N/A</v>
      </c>
      <c r="Y2627" s="7" t="e">
        <f>IF(VLOOKUP($A2627,'Concrete Beam Schedule'!$A$2:$Q$2902,Y$2,0)&lt;&gt;I2627,"Beam Revised","")</f>
        <v>#N/A</v>
      </c>
      <c r="Z2627" s="7" t="e">
        <f>IF(VLOOKUP($A2627,'Concrete Beam Schedule'!$A$2:$Q$2902,Z$2,0)&lt;&gt;J2627,"Beam Revised","")</f>
        <v>#N/A</v>
      </c>
      <c r="AA2627" s="7" t="e">
        <f>IF(VLOOKUP($A2627,'Concrete Beam Schedule'!$A$2:$Q$2902,AA$2,0)&lt;&gt;K2627,"Beam Revised","")</f>
        <v>#N/A</v>
      </c>
      <c r="AB2627" s="7" t="e">
        <f>IF(VLOOKUP($A2627,'Concrete Beam Schedule'!$A$2:$Q$2902,AB$2,0)&lt;&gt;L2627,"Beam Revised","")</f>
        <v>#N/A</v>
      </c>
      <c r="AC2627" s="7" t="e">
        <f>IF(VLOOKUP($A2627,'Concrete Beam Schedule'!$A$2:$Q$2902,AC$2,0)&lt;&gt;M2627,"Beam Revised","")</f>
        <v>#N/A</v>
      </c>
      <c r="AD2627" s="7" t="e">
        <f>IF(VLOOKUP($A2627,'Concrete Beam Schedule'!$A$2:$Q$2902,AD$2,0)&lt;&gt;N2627,"Beam Revised","")</f>
        <v>#N/A</v>
      </c>
      <c r="AE2627" s="7" t="e">
        <f>IF(VLOOKUP($A2627,'Concrete Beam Schedule'!$A$2:$Q$2902,AE$2,0)&lt;&gt;O2627,"Beam Revised","")</f>
        <v>#N/A</v>
      </c>
    </row>
    <row r="2628" spans="17:31" ht="20.100000000000001" customHeight="1" x14ac:dyDescent="0.25">
      <c r="Q2628" s="7">
        <f t="shared" ref="Q2628:Q2691" si="41">A2628</f>
        <v>0</v>
      </c>
      <c r="R2628" s="7" t="e">
        <f>IF(VLOOKUP($A2628,'Concrete Beam Schedule'!$A$2:$Q$2902,R$2,0)&lt;&gt;B2628,VLOOKUP($A2628,'Concrete Beam Schedule'!$A$2:$Q$2902,R$2,0),"")</f>
        <v>#N/A</v>
      </c>
      <c r="S2628" s="7" t="e">
        <f>IF(VLOOKUP($A2628,'Concrete Beam Schedule'!$A$2:$Q$2902,S$2,0)&lt;&gt;C2628,VLOOKUP($A2628,'Concrete Beam Schedule'!$A$2:$Q$2902,S$2,0),"")</f>
        <v>#N/A</v>
      </c>
      <c r="T2628" s="7" t="e">
        <f>IF(VLOOKUP($A2628,'Concrete Beam Schedule'!$A$2:$Q$2902,T$2,0)&lt;&gt;D2628,"Beam Revised","")</f>
        <v>#N/A</v>
      </c>
      <c r="U2628" s="7" t="e">
        <f>IF(VLOOKUP($A2628,'Concrete Beam Schedule'!$A$2:$Q$2902,U$2,0)&lt;&gt;E2628,"Beam Revised","")</f>
        <v>#N/A</v>
      </c>
      <c r="V2628" s="7" t="e">
        <f>IF(VLOOKUP($A2628,'Concrete Beam Schedule'!$A$2:$Q$2902,V$2,0)&lt;&gt;F2628,"Beam Revised","")</f>
        <v>#N/A</v>
      </c>
      <c r="W2628" s="7" t="e">
        <f>IF(VLOOKUP($A2628,'Concrete Beam Schedule'!$A$2:$Q$2902,W$2,0)&lt;&gt;G2628,"Beam Revised","")</f>
        <v>#N/A</v>
      </c>
      <c r="X2628" s="7" t="e">
        <f>IF(VLOOKUP($A2628,'Concrete Beam Schedule'!$A$2:$Q$2902,X$2,0)&lt;&gt;H2628,"Beam Revised","")</f>
        <v>#N/A</v>
      </c>
      <c r="Y2628" s="7" t="e">
        <f>IF(VLOOKUP($A2628,'Concrete Beam Schedule'!$A$2:$Q$2902,Y$2,0)&lt;&gt;I2628,"Beam Revised","")</f>
        <v>#N/A</v>
      </c>
      <c r="Z2628" s="7" t="e">
        <f>IF(VLOOKUP($A2628,'Concrete Beam Schedule'!$A$2:$Q$2902,Z$2,0)&lt;&gt;J2628,"Beam Revised","")</f>
        <v>#N/A</v>
      </c>
      <c r="AA2628" s="7" t="e">
        <f>IF(VLOOKUP($A2628,'Concrete Beam Schedule'!$A$2:$Q$2902,AA$2,0)&lt;&gt;K2628,"Beam Revised","")</f>
        <v>#N/A</v>
      </c>
      <c r="AB2628" s="7" t="e">
        <f>IF(VLOOKUP($A2628,'Concrete Beam Schedule'!$A$2:$Q$2902,AB$2,0)&lt;&gt;L2628,"Beam Revised","")</f>
        <v>#N/A</v>
      </c>
      <c r="AC2628" s="7" t="e">
        <f>IF(VLOOKUP($A2628,'Concrete Beam Schedule'!$A$2:$Q$2902,AC$2,0)&lt;&gt;M2628,"Beam Revised","")</f>
        <v>#N/A</v>
      </c>
      <c r="AD2628" s="7" t="e">
        <f>IF(VLOOKUP($A2628,'Concrete Beam Schedule'!$A$2:$Q$2902,AD$2,0)&lt;&gt;N2628,"Beam Revised","")</f>
        <v>#N/A</v>
      </c>
      <c r="AE2628" s="7" t="e">
        <f>IF(VLOOKUP($A2628,'Concrete Beam Schedule'!$A$2:$Q$2902,AE$2,0)&lt;&gt;O2628,"Beam Revised","")</f>
        <v>#N/A</v>
      </c>
    </row>
    <row r="2629" spans="17:31" ht="20.100000000000001" customHeight="1" x14ac:dyDescent="0.25">
      <c r="Q2629" s="7">
        <f t="shared" si="41"/>
        <v>0</v>
      </c>
      <c r="R2629" s="7" t="e">
        <f>IF(VLOOKUP($A2629,'Concrete Beam Schedule'!$A$2:$Q$2902,R$2,0)&lt;&gt;B2629,VLOOKUP($A2629,'Concrete Beam Schedule'!$A$2:$Q$2902,R$2,0),"")</f>
        <v>#N/A</v>
      </c>
      <c r="S2629" s="7" t="e">
        <f>IF(VLOOKUP($A2629,'Concrete Beam Schedule'!$A$2:$Q$2902,S$2,0)&lt;&gt;C2629,VLOOKUP($A2629,'Concrete Beam Schedule'!$A$2:$Q$2902,S$2,0),"")</f>
        <v>#N/A</v>
      </c>
      <c r="T2629" s="7" t="e">
        <f>IF(VLOOKUP($A2629,'Concrete Beam Schedule'!$A$2:$Q$2902,T$2,0)&lt;&gt;D2629,"Beam Revised","")</f>
        <v>#N/A</v>
      </c>
      <c r="U2629" s="7" t="e">
        <f>IF(VLOOKUP($A2629,'Concrete Beam Schedule'!$A$2:$Q$2902,U$2,0)&lt;&gt;E2629,"Beam Revised","")</f>
        <v>#N/A</v>
      </c>
      <c r="V2629" s="7" t="e">
        <f>IF(VLOOKUP($A2629,'Concrete Beam Schedule'!$A$2:$Q$2902,V$2,0)&lt;&gt;F2629,"Beam Revised","")</f>
        <v>#N/A</v>
      </c>
      <c r="W2629" s="7" t="e">
        <f>IF(VLOOKUP($A2629,'Concrete Beam Schedule'!$A$2:$Q$2902,W$2,0)&lt;&gt;G2629,"Beam Revised","")</f>
        <v>#N/A</v>
      </c>
      <c r="X2629" s="7" t="e">
        <f>IF(VLOOKUP($A2629,'Concrete Beam Schedule'!$A$2:$Q$2902,X$2,0)&lt;&gt;H2629,"Beam Revised","")</f>
        <v>#N/A</v>
      </c>
      <c r="Y2629" s="7" t="e">
        <f>IF(VLOOKUP($A2629,'Concrete Beam Schedule'!$A$2:$Q$2902,Y$2,0)&lt;&gt;I2629,"Beam Revised","")</f>
        <v>#N/A</v>
      </c>
      <c r="Z2629" s="7" t="e">
        <f>IF(VLOOKUP($A2629,'Concrete Beam Schedule'!$A$2:$Q$2902,Z$2,0)&lt;&gt;J2629,"Beam Revised","")</f>
        <v>#N/A</v>
      </c>
      <c r="AA2629" s="7" t="e">
        <f>IF(VLOOKUP($A2629,'Concrete Beam Schedule'!$A$2:$Q$2902,AA$2,0)&lt;&gt;K2629,"Beam Revised","")</f>
        <v>#N/A</v>
      </c>
      <c r="AB2629" s="7" t="e">
        <f>IF(VLOOKUP($A2629,'Concrete Beam Schedule'!$A$2:$Q$2902,AB$2,0)&lt;&gt;L2629,"Beam Revised","")</f>
        <v>#N/A</v>
      </c>
      <c r="AC2629" s="7" t="e">
        <f>IF(VLOOKUP($A2629,'Concrete Beam Schedule'!$A$2:$Q$2902,AC$2,0)&lt;&gt;M2629,"Beam Revised","")</f>
        <v>#N/A</v>
      </c>
      <c r="AD2629" s="7" t="e">
        <f>IF(VLOOKUP($A2629,'Concrete Beam Schedule'!$A$2:$Q$2902,AD$2,0)&lt;&gt;N2629,"Beam Revised","")</f>
        <v>#N/A</v>
      </c>
      <c r="AE2629" s="7" t="e">
        <f>IF(VLOOKUP($A2629,'Concrete Beam Schedule'!$A$2:$Q$2902,AE$2,0)&lt;&gt;O2629,"Beam Revised","")</f>
        <v>#N/A</v>
      </c>
    </row>
    <row r="2630" spans="17:31" ht="20.100000000000001" customHeight="1" x14ac:dyDescent="0.25">
      <c r="Q2630" s="7">
        <f t="shared" si="41"/>
        <v>0</v>
      </c>
      <c r="R2630" s="7" t="e">
        <f>IF(VLOOKUP($A2630,'Concrete Beam Schedule'!$A$2:$Q$2902,R$2,0)&lt;&gt;B2630,VLOOKUP($A2630,'Concrete Beam Schedule'!$A$2:$Q$2902,R$2,0),"")</f>
        <v>#N/A</v>
      </c>
      <c r="S2630" s="7" t="e">
        <f>IF(VLOOKUP($A2630,'Concrete Beam Schedule'!$A$2:$Q$2902,S$2,0)&lt;&gt;C2630,VLOOKUP($A2630,'Concrete Beam Schedule'!$A$2:$Q$2902,S$2,0),"")</f>
        <v>#N/A</v>
      </c>
      <c r="T2630" s="7" t="e">
        <f>IF(VLOOKUP($A2630,'Concrete Beam Schedule'!$A$2:$Q$2902,T$2,0)&lt;&gt;D2630,"Beam Revised","")</f>
        <v>#N/A</v>
      </c>
      <c r="U2630" s="7" t="e">
        <f>IF(VLOOKUP($A2630,'Concrete Beam Schedule'!$A$2:$Q$2902,U$2,0)&lt;&gt;E2630,"Beam Revised","")</f>
        <v>#N/A</v>
      </c>
      <c r="V2630" s="7" t="e">
        <f>IF(VLOOKUP($A2630,'Concrete Beam Schedule'!$A$2:$Q$2902,V$2,0)&lt;&gt;F2630,"Beam Revised","")</f>
        <v>#N/A</v>
      </c>
      <c r="W2630" s="7" t="e">
        <f>IF(VLOOKUP($A2630,'Concrete Beam Schedule'!$A$2:$Q$2902,W$2,0)&lt;&gt;G2630,"Beam Revised","")</f>
        <v>#N/A</v>
      </c>
      <c r="X2630" s="7" t="e">
        <f>IF(VLOOKUP($A2630,'Concrete Beam Schedule'!$A$2:$Q$2902,X$2,0)&lt;&gt;H2630,"Beam Revised","")</f>
        <v>#N/A</v>
      </c>
      <c r="Y2630" s="7" t="e">
        <f>IF(VLOOKUP($A2630,'Concrete Beam Schedule'!$A$2:$Q$2902,Y$2,0)&lt;&gt;I2630,"Beam Revised","")</f>
        <v>#N/A</v>
      </c>
      <c r="Z2630" s="7" t="e">
        <f>IF(VLOOKUP($A2630,'Concrete Beam Schedule'!$A$2:$Q$2902,Z$2,0)&lt;&gt;J2630,"Beam Revised","")</f>
        <v>#N/A</v>
      </c>
      <c r="AA2630" s="7" t="e">
        <f>IF(VLOOKUP($A2630,'Concrete Beam Schedule'!$A$2:$Q$2902,AA$2,0)&lt;&gt;K2630,"Beam Revised","")</f>
        <v>#N/A</v>
      </c>
      <c r="AB2630" s="7" t="e">
        <f>IF(VLOOKUP($A2630,'Concrete Beam Schedule'!$A$2:$Q$2902,AB$2,0)&lt;&gt;L2630,"Beam Revised","")</f>
        <v>#N/A</v>
      </c>
      <c r="AC2630" s="7" t="e">
        <f>IF(VLOOKUP($A2630,'Concrete Beam Schedule'!$A$2:$Q$2902,AC$2,0)&lt;&gt;M2630,"Beam Revised","")</f>
        <v>#N/A</v>
      </c>
      <c r="AD2630" s="7" t="e">
        <f>IF(VLOOKUP($A2630,'Concrete Beam Schedule'!$A$2:$Q$2902,AD$2,0)&lt;&gt;N2630,"Beam Revised","")</f>
        <v>#N/A</v>
      </c>
      <c r="AE2630" s="7" t="e">
        <f>IF(VLOOKUP($A2630,'Concrete Beam Schedule'!$A$2:$Q$2902,AE$2,0)&lt;&gt;O2630,"Beam Revised","")</f>
        <v>#N/A</v>
      </c>
    </row>
    <row r="2631" spans="17:31" ht="20.100000000000001" customHeight="1" x14ac:dyDescent="0.25">
      <c r="Q2631" s="7">
        <f t="shared" si="41"/>
        <v>0</v>
      </c>
      <c r="R2631" s="7" t="e">
        <f>IF(VLOOKUP($A2631,'Concrete Beam Schedule'!$A$2:$Q$2902,R$2,0)&lt;&gt;B2631,VLOOKUP($A2631,'Concrete Beam Schedule'!$A$2:$Q$2902,R$2,0),"")</f>
        <v>#N/A</v>
      </c>
      <c r="S2631" s="7" t="e">
        <f>IF(VLOOKUP($A2631,'Concrete Beam Schedule'!$A$2:$Q$2902,S$2,0)&lt;&gt;C2631,VLOOKUP($A2631,'Concrete Beam Schedule'!$A$2:$Q$2902,S$2,0),"")</f>
        <v>#N/A</v>
      </c>
      <c r="T2631" s="7" t="e">
        <f>IF(VLOOKUP($A2631,'Concrete Beam Schedule'!$A$2:$Q$2902,T$2,0)&lt;&gt;D2631,"Beam Revised","")</f>
        <v>#N/A</v>
      </c>
      <c r="U2631" s="7" t="e">
        <f>IF(VLOOKUP($A2631,'Concrete Beam Schedule'!$A$2:$Q$2902,U$2,0)&lt;&gt;E2631,"Beam Revised","")</f>
        <v>#N/A</v>
      </c>
      <c r="V2631" s="7" t="e">
        <f>IF(VLOOKUP($A2631,'Concrete Beam Schedule'!$A$2:$Q$2902,V$2,0)&lt;&gt;F2631,"Beam Revised","")</f>
        <v>#N/A</v>
      </c>
      <c r="W2631" s="7" t="e">
        <f>IF(VLOOKUP($A2631,'Concrete Beam Schedule'!$A$2:$Q$2902,W$2,0)&lt;&gt;G2631,"Beam Revised","")</f>
        <v>#N/A</v>
      </c>
      <c r="X2631" s="7" t="e">
        <f>IF(VLOOKUP($A2631,'Concrete Beam Schedule'!$A$2:$Q$2902,X$2,0)&lt;&gt;H2631,"Beam Revised","")</f>
        <v>#N/A</v>
      </c>
      <c r="Y2631" s="7" t="e">
        <f>IF(VLOOKUP($A2631,'Concrete Beam Schedule'!$A$2:$Q$2902,Y$2,0)&lt;&gt;I2631,"Beam Revised","")</f>
        <v>#N/A</v>
      </c>
      <c r="Z2631" s="7" t="e">
        <f>IF(VLOOKUP($A2631,'Concrete Beam Schedule'!$A$2:$Q$2902,Z$2,0)&lt;&gt;J2631,"Beam Revised","")</f>
        <v>#N/A</v>
      </c>
      <c r="AA2631" s="7" t="e">
        <f>IF(VLOOKUP($A2631,'Concrete Beam Schedule'!$A$2:$Q$2902,AA$2,0)&lt;&gt;K2631,"Beam Revised","")</f>
        <v>#N/A</v>
      </c>
      <c r="AB2631" s="7" t="e">
        <f>IF(VLOOKUP($A2631,'Concrete Beam Schedule'!$A$2:$Q$2902,AB$2,0)&lt;&gt;L2631,"Beam Revised","")</f>
        <v>#N/A</v>
      </c>
      <c r="AC2631" s="7" t="e">
        <f>IF(VLOOKUP($A2631,'Concrete Beam Schedule'!$A$2:$Q$2902,AC$2,0)&lt;&gt;M2631,"Beam Revised","")</f>
        <v>#N/A</v>
      </c>
      <c r="AD2631" s="7" t="e">
        <f>IF(VLOOKUP($A2631,'Concrete Beam Schedule'!$A$2:$Q$2902,AD$2,0)&lt;&gt;N2631,"Beam Revised","")</f>
        <v>#N/A</v>
      </c>
      <c r="AE2631" s="7" t="e">
        <f>IF(VLOOKUP($A2631,'Concrete Beam Schedule'!$A$2:$Q$2902,AE$2,0)&lt;&gt;O2631,"Beam Revised","")</f>
        <v>#N/A</v>
      </c>
    </row>
    <row r="2632" spans="17:31" ht="20.100000000000001" customHeight="1" x14ac:dyDescent="0.25">
      <c r="Q2632" s="7">
        <f t="shared" si="41"/>
        <v>0</v>
      </c>
      <c r="R2632" s="7" t="e">
        <f>IF(VLOOKUP($A2632,'Concrete Beam Schedule'!$A$2:$Q$2902,R$2,0)&lt;&gt;B2632,VLOOKUP($A2632,'Concrete Beam Schedule'!$A$2:$Q$2902,R$2,0),"")</f>
        <v>#N/A</v>
      </c>
      <c r="S2632" s="7" t="e">
        <f>IF(VLOOKUP($A2632,'Concrete Beam Schedule'!$A$2:$Q$2902,S$2,0)&lt;&gt;C2632,VLOOKUP($A2632,'Concrete Beam Schedule'!$A$2:$Q$2902,S$2,0),"")</f>
        <v>#N/A</v>
      </c>
      <c r="T2632" s="7" t="e">
        <f>IF(VLOOKUP($A2632,'Concrete Beam Schedule'!$A$2:$Q$2902,T$2,0)&lt;&gt;D2632,"Beam Revised","")</f>
        <v>#N/A</v>
      </c>
      <c r="U2632" s="7" t="e">
        <f>IF(VLOOKUP($A2632,'Concrete Beam Schedule'!$A$2:$Q$2902,U$2,0)&lt;&gt;E2632,"Beam Revised","")</f>
        <v>#N/A</v>
      </c>
      <c r="V2632" s="7" t="e">
        <f>IF(VLOOKUP($A2632,'Concrete Beam Schedule'!$A$2:$Q$2902,V$2,0)&lt;&gt;F2632,"Beam Revised","")</f>
        <v>#N/A</v>
      </c>
      <c r="W2632" s="7" t="e">
        <f>IF(VLOOKUP($A2632,'Concrete Beam Schedule'!$A$2:$Q$2902,W$2,0)&lt;&gt;G2632,"Beam Revised","")</f>
        <v>#N/A</v>
      </c>
      <c r="X2632" s="7" t="e">
        <f>IF(VLOOKUP($A2632,'Concrete Beam Schedule'!$A$2:$Q$2902,X$2,0)&lt;&gt;H2632,"Beam Revised","")</f>
        <v>#N/A</v>
      </c>
      <c r="Y2632" s="7" t="e">
        <f>IF(VLOOKUP($A2632,'Concrete Beam Schedule'!$A$2:$Q$2902,Y$2,0)&lt;&gt;I2632,"Beam Revised","")</f>
        <v>#N/A</v>
      </c>
      <c r="Z2632" s="7" t="e">
        <f>IF(VLOOKUP($A2632,'Concrete Beam Schedule'!$A$2:$Q$2902,Z$2,0)&lt;&gt;J2632,"Beam Revised","")</f>
        <v>#N/A</v>
      </c>
      <c r="AA2632" s="7" t="e">
        <f>IF(VLOOKUP($A2632,'Concrete Beam Schedule'!$A$2:$Q$2902,AA$2,0)&lt;&gt;K2632,"Beam Revised","")</f>
        <v>#N/A</v>
      </c>
      <c r="AB2632" s="7" t="e">
        <f>IF(VLOOKUP($A2632,'Concrete Beam Schedule'!$A$2:$Q$2902,AB$2,0)&lt;&gt;L2632,"Beam Revised","")</f>
        <v>#N/A</v>
      </c>
      <c r="AC2632" s="7" t="e">
        <f>IF(VLOOKUP($A2632,'Concrete Beam Schedule'!$A$2:$Q$2902,AC$2,0)&lt;&gt;M2632,"Beam Revised","")</f>
        <v>#N/A</v>
      </c>
      <c r="AD2632" s="7" t="e">
        <f>IF(VLOOKUP($A2632,'Concrete Beam Schedule'!$A$2:$Q$2902,AD$2,0)&lt;&gt;N2632,"Beam Revised","")</f>
        <v>#N/A</v>
      </c>
      <c r="AE2632" s="7" t="e">
        <f>IF(VLOOKUP($A2632,'Concrete Beam Schedule'!$A$2:$Q$2902,AE$2,0)&lt;&gt;O2632,"Beam Revised","")</f>
        <v>#N/A</v>
      </c>
    </row>
    <row r="2633" spans="17:31" ht="20.100000000000001" customHeight="1" x14ac:dyDescent="0.25">
      <c r="Q2633" s="7">
        <f t="shared" si="41"/>
        <v>0</v>
      </c>
      <c r="R2633" s="7" t="e">
        <f>IF(VLOOKUP($A2633,'Concrete Beam Schedule'!$A$2:$Q$2902,R$2,0)&lt;&gt;B2633,VLOOKUP($A2633,'Concrete Beam Schedule'!$A$2:$Q$2902,R$2,0),"")</f>
        <v>#N/A</v>
      </c>
      <c r="S2633" s="7" t="e">
        <f>IF(VLOOKUP($A2633,'Concrete Beam Schedule'!$A$2:$Q$2902,S$2,0)&lt;&gt;C2633,VLOOKUP($A2633,'Concrete Beam Schedule'!$A$2:$Q$2902,S$2,0),"")</f>
        <v>#N/A</v>
      </c>
      <c r="T2633" s="7" t="e">
        <f>IF(VLOOKUP($A2633,'Concrete Beam Schedule'!$A$2:$Q$2902,T$2,0)&lt;&gt;D2633,"Beam Revised","")</f>
        <v>#N/A</v>
      </c>
      <c r="U2633" s="7" t="e">
        <f>IF(VLOOKUP($A2633,'Concrete Beam Schedule'!$A$2:$Q$2902,U$2,0)&lt;&gt;E2633,"Beam Revised","")</f>
        <v>#N/A</v>
      </c>
      <c r="V2633" s="7" t="e">
        <f>IF(VLOOKUP($A2633,'Concrete Beam Schedule'!$A$2:$Q$2902,V$2,0)&lt;&gt;F2633,"Beam Revised","")</f>
        <v>#N/A</v>
      </c>
      <c r="W2633" s="7" t="e">
        <f>IF(VLOOKUP($A2633,'Concrete Beam Schedule'!$A$2:$Q$2902,W$2,0)&lt;&gt;G2633,"Beam Revised","")</f>
        <v>#N/A</v>
      </c>
      <c r="X2633" s="7" t="e">
        <f>IF(VLOOKUP($A2633,'Concrete Beam Schedule'!$A$2:$Q$2902,X$2,0)&lt;&gt;H2633,"Beam Revised","")</f>
        <v>#N/A</v>
      </c>
      <c r="Y2633" s="7" t="e">
        <f>IF(VLOOKUP($A2633,'Concrete Beam Schedule'!$A$2:$Q$2902,Y$2,0)&lt;&gt;I2633,"Beam Revised","")</f>
        <v>#N/A</v>
      </c>
      <c r="Z2633" s="7" t="e">
        <f>IF(VLOOKUP($A2633,'Concrete Beam Schedule'!$A$2:$Q$2902,Z$2,0)&lt;&gt;J2633,"Beam Revised","")</f>
        <v>#N/A</v>
      </c>
      <c r="AA2633" s="7" t="e">
        <f>IF(VLOOKUP($A2633,'Concrete Beam Schedule'!$A$2:$Q$2902,AA$2,0)&lt;&gt;K2633,"Beam Revised","")</f>
        <v>#N/A</v>
      </c>
      <c r="AB2633" s="7" t="e">
        <f>IF(VLOOKUP($A2633,'Concrete Beam Schedule'!$A$2:$Q$2902,AB$2,0)&lt;&gt;L2633,"Beam Revised","")</f>
        <v>#N/A</v>
      </c>
      <c r="AC2633" s="7" t="e">
        <f>IF(VLOOKUP($A2633,'Concrete Beam Schedule'!$A$2:$Q$2902,AC$2,0)&lt;&gt;M2633,"Beam Revised","")</f>
        <v>#N/A</v>
      </c>
      <c r="AD2633" s="7" t="e">
        <f>IF(VLOOKUP($A2633,'Concrete Beam Schedule'!$A$2:$Q$2902,AD$2,0)&lt;&gt;N2633,"Beam Revised","")</f>
        <v>#N/A</v>
      </c>
      <c r="AE2633" s="7" t="e">
        <f>IF(VLOOKUP($A2633,'Concrete Beam Schedule'!$A$2:$Q$2902,AE$2,0)&lt;&gt;O2633,"Beam Revised","")</f>
        <v>#N/A</v>
      </c>
    </row>
    <row r="2634" spans="17:31" ht="20.100000000000001" customHeight="1" x14ac:dyDescent="0.25">
      <c r="Q2634" s="7">
        <f t="shared" si="41"/>
        <v>0</v>
      </c>
      <c r="R2634" s="7" t="e">
        <f>IF(VLOOKUP($A2634,'Concrete Beam Schedule'!$A$2:$Q$2902,R$2,0)&lt;&gt;B2634,VLOOKUP($A2634,'Concrete Beam Schedule'!$A$2:$Q$2902,R$2,0),"")</f>
        <v>#N/A</v>
      </c>
      <c r="S2634" s="7" t="e">
        <f>IF(VLOOKUP($A2634,'Concrete Beam Schedule'!$A$2:$Q$2902,S$2,0)&lt;&gt;C2634,VLOOKUP($A2634,'Concrete Beam Schedule'!$A$2:$Q$2902,S$2,0),"")</f>
        <v>#N/A</v>
      </c>
      <c r="T2634" s="7" t="e">
        <f>IF(VLOOKUP($A2634,'Concrete Beam Schedule'!$A$2:$Q$2902,T$2,0)&lt;&gt;D2634,"Beam Revised","")</f>
        <v>#N/A</v>
      </c>
      <c r="U2634" s="7" t="e">
        <f>IF(VLOOKUP($A2634,'Concrete Beam Schedule'!$A$2:$Q$2902,U$2,0)&lt;&gt;E2634,"Beam Revised","")</f>
        <v>#N/A</v>
      </c>
      <c r="V2634" s="7" t="e">
        <f>IF(VLOOKUP($A2634,'Concrete Beam Schedule'!$A$2:$Q$2902,V$2,0)&lt;&gt;F2634,"Beam Revised","")</f>
        <v>#N/A</v>
      </c>
      <c r="W2634" s="7" t="e">
        <f>IF(VLOOKUP($A2634,'Concrete Beam Schedule'!$A$2:$Q$2902,W$2,0)&lt;&gt;G2634,"Beam Revised","")</f>
        <v>#N/A</v>
      </c>
      <c r="X2634" s="7" t="e">
        <f>IF(VLOOKUP($A2634,'Concrete Beam Schedule'!$A$2:$Q$2902,X$2,0)&lt;&gt;H2634,"Beam Revised","")</f>
        <v>#N/A</v>
      </c>
      <c r="Y2634" s="7" t="e">
        <f>IF(VLOOKUP($A2634,'Concrete Beam Schedule'!$A$2:$Q$2902,Y$2,0)&lt;&gt;I2634,"Beam Revised","")</f>
        <v>#N/A</v>
      </c>
      <c r="Z2634" s="7" t="e">
        <f>IF(VLOOKUP($A2634,'Concrete Beam Schedule'!$A$2:$Q$2902,Z$2,0)&lt;&gt;J2634,"Beam Revised","")</f>
        <v>#N/A</v>
      </c>
      <c r="AA2634" s="7" t="e">
        <f>IF(VLOOKUP($A2634,'Concrete Beam Schedule'!$A$2:$Q$2902,AA$2,0)&lt;&gt;K2634,"Beam Revised","")</f>
        <v>#N/A</v>
      </c>
      <c r="AB2634" s="7" t="e">
        <f>IF(VLOOKUP($A2634,'Concrete Beam Schedule'!$A$2:$Q$2902,AB$2,0)&lt;&gt;L2634,"Beam Revised","")</f>
        <v>#N/A</v>
      </c>
      <c r="AC2634" s="7" t="e">
        <f>IF(VLOOKUP($A2634,'Concrete Beam Schedule'!$A$2:$Q$2902,AC$2,0)&lt;&gt;M2634,"Beam Revised","")</f>
        <v>#N/A</v>
      </c>
      <c r="AD2634" s="7" t="e">
        <f>IF(VLOOKUP($A2634,'Concrete Beam Schedule'!$A$2:$Q$2902,AD$2,0)&lt;&gt;N2634,"Beam Revised","")</f>
        <v>#N/A</v>
      </c>
      <c r="AE2634" s="7" t="e">
        <f>IF(VLOOKUP($A2634,'Concrete Beam Schedule'!$A$2:$Q$2902,AE$2,0)&lt;&gt;O2634,"Beam Revised","")</f>
        <v>#N/A</v>
      </c>
    </row>
    <row r="2635" spans="17:31" ht="20.100000000000001" customHeight="1" x14ac:dyDescent="0.25">
      <c r="Q2635" s="7">
        <f t="shared" si="41"/>
        <v>0</v>
      </c>
      <c r="R2635" s="7" t="e">
        <f>IF(VLOOKUP($A2635,'Concrete Beam Schedule'!$A$2:$Q$2902,R$2,0)&lt;&gt;B2635,VLOOKUP($A2635,'Concrete Beam Schedule'!$A$2:$Q$2902,R$2,0),"")</f>
        <v>#N/A</v>
      </c>
      <c r="S2635" s="7" t="e">
        <f>IF(VLOOKUP($A2635,'Concrete Beam Schedule'!$A$2:$Q$2902,S$2,0)&lt;&gt;C2635,VLOOKUP($A2635,'Concrete Beam Schedule'!$A$2:$Q$2902,S$2,0),"")</f>
        <v>#N/A</v>
      </c>
      <c r="T2635" s="7" t="e">
        <f>IF(VLOOKUP($A2635,'Concrete Beam Schedule'!$A$2:$Q$2902,T$2,0)&lt;&gt;D2635,"Beam Revised","")</f>
        <v>#N/A</v>
      </c>
      <c r="U2635" s="7" t="e">
        <f>IF(VLOOKUP($A2635,'Concrete Beam Schedule'!$A$2:$Q$2902,U$2,0)&lt;&gt;E2635,"Beam Revised","")</f>
        <v>#N/A</v>
      </c>
      <c r="V2635" s="7" t="e">
        <f>IF(VLOOKUP($A2635,'Concrete Beam Schedule'!$A$2:$Q$2902,V$2,0)&lt;&gt;F2635,"Beam Revised","")</f>
        <v>#N/A</v>
      </c>
      <c r="W2635" s="7" t="e">
        <f>IF(VLOOKUP($A2635,'Concrete Beam Schedule'!$A$2:$Q$2902,W$2,0)&lt;&gt;G2635,"Beam Revised","")</f>
        <v>#N/A</v>
      </c>
      <c r="X2635" s="7" t="e">
        <f>IF(VLOOKUP($A2635,'Concrete Beam Schedule'!$A$2:$Q$2902,X$2,0)&lt;&gt;H2635,"Beam Revised","")</f>
        <v>#N/A</v>
      </c>
      <c r="Y2635" s="7" t="e">
        <f>IF(VLOOKUP($A2635,'Concrete Beam Schedule'!$A$2:$Q$2902,Y$2,0)&lt;&gt;I2635,"Beam Revised","")</f>
        <v>#N/A</v>
      </c>
      <c r="Z2635" s="7" t="e">
        <f>IF(VLOOKUP($A2635,'Concrete Beam Schedule'!$A$2:$Q$2902,Z$2,0)&lt;&gt;J2635,"Beam Revised","")</f>
        <v>#N/A</v>
      </c>
      <c r="AA2635" s="7" t="e">
        <f>IF(VLOOKUP($A2635,'Concrete Beam Schedule'!$A$2:$Q$2902,AA$2,0)&lt;&gt;K2635,"Beam Revised","")</f>
        <v>#N/A</v>
      </c>
      <c r="AB2635" s="7" t="e">
        <f>IF(VLOOKUP($A2635,'Concrete Beam Schedule'!$A$2:$Q$2902,AB$2,0)&lt;&gt;L2635,"Beam Revised","")</f>
        <v>#N/A</v>
      </c>
      <c r="AC2635" s="7" t="e">
        <f>IF(VLOOKUP($A2635,'Concrete Beam Schedule'!$A$2:$Q$2902,AC$2,0)&lt;&gt;M2635,"Beam Revised","")</f>
        <v>#N/A</v>
      </c>
      <c r="AD2635" s="7" t="e">
        <f>IF(VLOOKUP($A2635,'Concrete Beam Schedule'!$A$2:$Q$2902,AD$2,0)&lt;&gt;N2635,"Beam Revised","")</f>
        <v>#N/A</v>
      </c>
      <c r="AE2635" s="7" t="e">
        <f>IF(VLOOKUP($A2635,'Concrete Beam Schedule'!$A$2:$Q$2902,AE$2,0)&lt;&gt;O2635,"Beam Revised","")</f>
        <v>#N/A</v>
      </c>
    </row>
    <row r="2636" spans="17:31" ht="20.100000000000001" customHeight="1" x14ac:dyDescent="0.25">
      <c r="Q2636" s="7">
        <f t="shared" si="41"/>
        <v>0</v>
      </c>
      <c r="R2636" s="7" t="e">
        <f>IF(VLOOKUP($A2636,'Concrete Beam Schedule'!$A$2:$Q$2902,R$2,0)&lt;&gt;B2636,VLOOKUP($A2636,'Concrete Beam Schedule'!$A$2:$Q$2902,R$2,0),"")</f>
        <v>#N/A</v>
      </c>
      <c r="S2636" s="7" t="e">
        <f>IF(VLOOKUP($A2636,'Concrete Beam Schedule'!$A$2:$Q$2902,S$2,0)&lt;&gt;C2636,VLOOKUP($A2636,'Concrete Beam Schedule'!$A$2:$Q$2902,S$2,0),"")</f>
        <v>#N/A</v>
      </c>
      <c r="T2636" s="7" t="e">
        <f>IF(VLOOKUP($A2636,'Concrete Beam Schedule'!$A$2:$Q$2902,T$2,0)&lt;&gt;D2636,"Beam Revised","")</f>
        <v>#N/A</v>
      </c>
      <c r="U2636" s="7" t="e">
        <f>IF(VLOOKUP($A2636,'Concrete Beam Schedule'!$A$2:$Q$2902,U$2,0)&lt;&gt;E2636,"Beam Revised","")</f>
        <v>#N/A</v>
      </c>
      <c r="V2636" s="7" t="e">
        <f>IF(VLOOKUP($A2636,'Concrete Beam Schedule'!$A$2:$Q$2902,V$2,0)&lt;&gt;F2636,"Beam Revised","")</f>
        <v>#N/A</v>
      </c>
      <c r="W2636" s="7" t="e">
        <f>IF(VLOOKUP($A2636,'Concrete Beam Schedule'!$A$2:$Q$2902,W$2,0)&lt;&gt;G2636,"Beam Revised","")</f>
        <v>#N/A</v>
      </c>
      <c r="X2636" s="7" t="e">
        <f>IF(VLOOKUP($A2636,'Concrete Beam Schedule'!$A$2:$Q$2902,X$2,0)&lt;&gt;H2636,"Beam Revised","")</f>
        <v>#N/A</v>
      </c>
      <c r="Y2636" s="7" t="e">
        <f>IF(VLOOKUP($A2636,'Concrete Beam Schedule'!$A$2:$Q$2902,Y$2,0)&lt;&gt;I2636,"Beam Revised","")</f>
        <v>#N/A</v>
      </c>
      <c r="Z2636" s="7" t="e">
        <f>IF(VLOOKUP($A2636,'Concrete Beam Schedule'!$A$2:$Q$2902,Z$2,0)&lt;&gt;J2636,"Beam Revised","")</f>
        <v>#N/A</v>
      </c>
      <c r="AA2636" s="7" t="e">
        <f>IF(VLOOKUP($A2636,'Concrete Beam Schedule'!$A$2:$Q$2902,AA$2,0)&lt;&gt;K2636,"Beam Revised","")</f>
        <v>#N/A</v>
      </c>
      <c r="AB2636" s="7" t="e">
        <f>IF(VLOOKUP($A2636,'Concrete Beam Schedule'!$A$2:$Q$2902,AB$2,0)&lt;&gt;L2636,"Beam Revised","")</f>
        <v>#N/A</v>
      </c>
      <c r="AC2636" s="7" t="e">
        <f>IF(VLOOKUP($A2636,'Concrete Beam Schedule'!$A$2:$Q$2902,AC$2,0)&lt;&gt;M2636,"Beam Revised","")</f>
        <v>#N/A</v>
      </c>
      <c r="AD2636" s="7" t="e">
        <f>IF(VLOOKUP($A2636,'Concrete Beam Schedule'!$A$2:$Q$2902,AD$2,0)&lt;&gt;N2636,"Beam Revised","")</f>
        <v>#N/A</v>
      </c>
      <c r="AE2636" s="7" t="e">
        <f>IF(VLOOKUP($A2636,'Concrete Beam Schedule'!$A$2:$Q$2902,AE$2,0)&lt;&gt;O2636,"Beam Revised","")</f>
        <v>#N/A</v>
      </c>
    </row>
    <row r="2637" spans="17:31" ht="20.100000000000001" customHeight="1" x14ac:dyDescent="0.25">
      <c r="Q2637" s="7">
        <f t="shared" si="41"/>
        <v>0</v>
      </c>
      <c r="R2637" s="7" t="e">
        <f>IF(VLOOKUP($A2637,'Concrete Beam Schedule'!$A$2:$Q$2902,R$2,0)&lt;&gt;B2637,VLOOKUP($A2637,'Concrete Beam Schedule'!$A$2:$Q$2902,R$2,0),"")</f>
        <v>#N/A</v>
      </c>
      <c r="S2637" s="7" t="e">
        <f>IF(VLOOKUP($A2637,'Concrete Beam Schedule'!$A$2:$Q$2902,S$2,0)&lt;&gt;C2637,VLOOKUP($A2637,'Concrete Beam Schedule'!$A$2:$Q$2902,S$2,0),"")</f>
        <v>#N/A</v>
      </c>
      <c r="T2637" s="7" t="e">
        <f>IF(VLOOKUP($A2637,'Concrete Beam Schedule'!$A$2:$Q$2902,T$2,0)&lt;&gt;D2637,"Beam Revised","")</f>
        <v>#N/A</v>
      </c>
      <c r="U2637" s="7" t="e">
        <f>IF(VLOOKUP($A2637,'Concrete Beam Schedule'!$A$2:$Q$2902,U$2,0)&lt;&gt;E2637,"Beam Revised","")</f>
        <v>#N/A</v>
      </c>
      <c r="V2637" s="7" t="e">
        <f>IF(VLOOKUP($A2637,'Concrete Beam Schedule'!$A$2:$Q$2902,V$2,0)&lt;&gt;F2637,"Beam Revised","")</f>
        <v>#N/A</v>
      </c>
      <c r="W2637" s="7" t="e">
        <f>IF(VLOOKUP($A2637,'Concrete Beam Schedule'!$A$2:$Q$2902,W$2,0)&lt;&gt;G2637,"Beam Revised","")</f>
        <v>#N/A</v>
      </c>
      <c r="X2637" s="7" t="e">
        <f>IF(VLOOKUP($A2637,'Concrete Beam Schedule'!$A$2:$Q$2902,X$2,0)&lt;&gt;H2637,"Beam Revised","")</f>
        <v>#N/A</v>
      </c>
      <c r="Y2637" s="7" t="e">
        <f>IF(VLOOKUP($A2637,'Concrete Beam Schedule'!$A$2:$Q$2902,Y$2,0)&lt;&gt;I2637,"Beam Revised","")</f>
        <v>#N/A</v>
      </c>
      <c r="Z2637" s="7" t="e">
        <f>IF(VLOOKUP($A2637,'Concrete Beam Schedule'!$A$2:$Q$2902,Z$2,0)&lt;&gt;J2637,"Beam Revised","")</f>
        <v>#N/A</v>
      </c>
      <c r="AA2637" s="7" t="e">
        <f>IF(VLOOKUP($A2637,'Concrete Beam Schedule'!$A$2:$Q$2902,AA$2,0)&lt;&gt;K2637,"Beam Revised","")</f>
        <v>#N/A</v>
      </c>
      <c r="AB2637" s="7" t="e">
        <f>IF(VLOOKUP($A2637,'Concrete Beam Schedule'!$A$2:$Q$2902,AB$2,0)&lt;&gt;L2637,"Beam Revised","")</f>
        <v>#N/A</v>
      </c>
      <c r="AC2637" s="7" t="e">
        <f>IF(VLOOKUP($A2637,'Concrete Beam Schedule'!$A$2:$Q$2902,AC$2,0)&lt;&gt;M2637,"Beam Revised","")</f>
        <v>#N/A</v>
      </c>
      <c r="AD2637" s="7" t="e">
        <f>IF(VLOOKUP($A2637,'Concrete Beam Schedule'!$A$2:$Q$2902,AD$2,0)&lt;&gt;N2637,"Beam Revised","")</f>
        <v>#N/A</v>
      </c>
      <c r="AE2637" s="7" t="e">
        <f>IF(VLOOKUP($A2637,'Concrete Beam Schedule'!$A$2:$Q$2902,AE$2,0)&lt;&gt;O2637,"Beam Revised","")</f>
        <v>#N/A</v>
      </c>
    </row>
    <row r="2638" spans="17:31" ht="20.100000000000001" customHeight="1" x14ac:dyDescent="0.25">
      <c r="Q2638" s="7">
        <f t="shared" si="41"/>
        <v>0</v>
      </c>
      <c r="R2638" s="7" t="e">
        <f>IF(VLOOKUP($A2638,'Concrete Beam Schedule'!$A$2:$Q$2902,R$2,0)&lt;&gt;B2638,VLOOKUP($A2638,'Concrete Beam Schedule'!$A$2:$Q$2902,R$2,0),"")</f>
        <v>#N/A</v>
      </c>
      <c r="S2638" s="7" t="e">
        <f>IF(VLOOKUP($A2638,'Concrete Beam Schedule'!$A$2:$Q$2902,S$2,0)&lt;&gt;C2638,VLOOKUP($A2638,'Concrete Beam Schedule'!$A$2:$Q$2902,S$2,0),"")</f>
        <v>#N/A</v>
      </c>
      <c r="T2638" s="7" t="e">
        <f>IF(VLOOKUP($A2638,'Concrete Beam Schedule'!$A$2:$Q$2902,T$2,0)&lt;&gt;D2638,"Beam Revised","")</f>
        <v>#N/A</v>
      </c>
      <c r="U2638" s="7" t="e">
        <f>IF(VLOOKUP($A2638,'Concrete Beam Schedule'!$A$2:$Q$2902,U$2,0)&lt;&gt;E2638,"Beam Revised","")</f>
        <v>#N/A</v>
      </c>
      <c r="V2638" s="7" t="e">
        <f>IF(VLOOKUP($A2638,'Concrete Beam Schedule'!$A$2:$Q$2902,V$2,0)&lt;&gt;F2638,"Beam Revised","")</f>
        <v>#N/A</v>
      </c>
      <c r="W2638" s="7" t="e">
        <f>IF(VLOOKUP($A2638,'Concrete Beam Schedule'!$A$2:$Q$2902,W$2,0)&lt;&gt;G2638,"Beam Revised","")</f>
        <v>#N/A</v>
      </c>
      <c r="X2638" s="7" t="e">
        <f>IF(VLOOKUP($A2638,'Concrete Beam Schedule'!$A$2:$Q$2902,X$2,0)&lt;&gt;H2638,"Beam Revised","")</f>
        <v>#N/A</v>
      </c>
      <c r="Y2638" s="7" t="e">
        <f>IF(VLOOKUP($A2638,'Concrete Beam Schedule'!$A$2:$Q$2902,Y$2,0)&lt;&gt;I2638,"Beam Revised","")</f>
        <v>#N/A</v>
      </c>
      <c r="Z2638" s="7" t="e">
        <f>IF(VLOOKUP($A2638,'Concrete Beam Schedule'!$A$2:$Q$2902,Z$2,0)&lt;&gt;J2638,"Beam Revised","")</f>
        <v>#N/A</v>
      </c>
      <c r="AA2638" s="7" t="e">
        <f>IF(VLOOKUP($A2638,'Concrete Beam Schedule'!$A$2:$Q$2902,AA$2,0)&lt;&gt;K2638,"Beam Revised","")</f>
        <v>#N/A</v>
      </c>
      <c r="AB2638" s="7" t="e">
        <f>IF(VLOOKUP($A2638,'Concrete Beam Schedule'!$A$2:$Q$2902,AB$2,0)&lt;&gt;L2638,"Beam Revised","")</f>
        <v>#N/A</v>
      </c>
      <c r="AC2638" s="7" t="e">
        <f>IF(VLOOKUP($A2638,'Concrete Beam Schedule'!$A$2:$Q$2902,AC$2,0)&lt;&gt;M2638,"Beam Revised","")</f>
        <v>#N/A</v>
      </c>
      <c r="AD2638" s="7" t="e">
        <f>IF(VLOOKUP($A2638,'Concrete Beam Schedule'!$A$2:$Q$2902,AD$2,0)&lt;&gt;N2638,"Beam Revised","")</f>
        <v>#N/A</v>
      </c>
      <c r="AE2638" s="7" t="e">
        <f>IF(VLOOKUP($A2638,'Concrete Beam Schedule'!$A$2:$Q$2902,AE$2,0)&lt;&gt;O2638,"Beam Revised","")</f>
        <v>#N/A</v>
      </c>
    </row>
    <row r="2639" spans="17:31" ht="20.100000000000001" customHeight="1" x14ac:dyDescent="0.25">
      <c r="Q2639" s="7">
        <f t="shared" si="41"/>
        <v>0</v>
      </c>
      <c r="R2639" s="7" t="e">
        <f>IF(VLOOKUP($A2639,'Concrete Beam Schedule'!$A$2:$Q$2902,R$2,0)&lt;&gt;B2639,VLOOKUP($A2639,'Concrete Beam Schedule'!$A$2:$Q$2902,R$2,0),"")</f>
        <v>#N/A</v>
      </c>
      <c r="S2639" s="7" t="e">
        <f>IF(VLOOKUP($A2639,'Concrete Beam Schedule'!$A$2:$Q$2902,S$2,0)&lt;&gt;C2639,VLOOKUP($A2639,'Concrete Beam Schedule'!$A$2:$Q$2902,S$2,0),"")</f>
        <v>#N/A</v>
      </c>
      <c r="T2639" s="7" t="e">
        <f>IF(VLOOKUP($A2639,'Concrete Beam Schedule'!$A$2:$Q$2902,T$2,0)&lt;&gt;D2639,"Beam Revised","")</f>
        <v>#N/A</v>
      </c>
      <c r="U2639" s="7" t="e">
        <f>IF(VLOOKUP($A2639,'Concrete Beam Schedule'!$A$2:$Q$2902,U$2,0)&lt;&gt;E2639,"Beam Revised","")</f>
        <v>#N/A</v>
      </c>
      <c r="V2639" s="7" t="e">
        <f>IF(VLOOKUP($A2639,'Concrete Beam Schedule'!$A$2:$Q$2902,V$2,0)&lt;&gt;F2639,"Beam Revised","")</f>
        <v>#N/A</v>
      </c>
      <c r="W2639" s="7" t="e">
        <f>IF(VLOOKUP($A2639,'Concrete Beam Schedule'!$A$2:$Q$2902,W$2,0)&lt;&gt;G2639,"Beam Revised","")</f>
        <v>#N/A</v>
      </c>
      <c r="X2639" s="7" t="e">
        <f>IF(VLOOKUP($A2639,'Concrete Beam Schedule'!$A$2:$Q$2902,X$2,0)&lt;&gt;H2639,"Beam Revised","")</f>
        <v>#N/A</v>
      </c>
      <c r="Y2639" s="7" t="e">
        <f>IF(VLOOKUP($A2639,'Concrete Beam Schedule'!$A$2:$Q$2902,Y$2,0)&lt;&gt;I2639,"Beam Revised","")</f>
        <v>#N/A</v>
      </c>
      <c r="Z2639" s="7" t="e">
        <f>IF(VLOOKUP($A2639,'Concrete Beam Schedule'!$A$2:$Q$2902,Z$2,0)&lt;&gt;J2639,"Beam Revised","")</f>
        <v>#N/A</v>
      </c>
      <c r="AA2639" s="7" t="e">
        <f>IF(VLOOKUP($A2639,'Concrete Beam Schedule'!$A$2:$Q$2902,AA$2,0)&lt;&gt;K2639,"Beam Revised","")</f>
        <v>#N/A</v>
      </c>
      <c r="AB2639" s="7" t="e">
        <f>IF(VLOOKUP($A2639,'Concrete Beam Schedule'!$A$2:$Q$2902,AB$2,0)&lt;&gt;L2639,"Beam Revised","")</f>
        <v>#N/A</v>
      </c>
      <c r="AC2639" s="7" t="e">
        <f>IF(VLOOKUP($A2639,'Concrete Beam Schedule'!$A$2:$Q$2902,AC$2,0)&lt;&gt;M2639,"Beam Revised","")</f>
        <v>#N/A</v>
      </c>
      <c r="AD2639" s="7" t="e">
        <f>IF(VLOOKUP($A2639,'Concrete Beam Schedule'!$A$2:$Q$2902,AD$2,0)&lt;&gt;N2639,"Beam Revised","")</f>
        <v>#N/A</v>
      </c>
      <c r="AE2639" s="7" t="e">
        <f>IF(VLOOKUP($A2639,'Concrete Beam Schedule'!$A$2:$Q$2902,AE$2,0)&lt;&gt;O2639,"Beam Revised","")</f>
        <v>#N/A</v>
      </c>
    </row>
    <row r="2640" spans="17:31" ht="20.100000000000001" customHeight="1" x14ac:dyDescent="0.25">
      <c r="Q2640" s="7">
        <f t="shared" si="41"/>
        <v>0</v>
      </c>
      <c r="R2640" s="7" t="e">
        <f>IF(VLOOKUP($A2640,'Concrete Beam Schedule'!$A$2:$Q$2902,R$2,0)&lt;&gt;B2640,VLOOKUP($A2640,'Concrete Beam Schedule'!$A$2:$Q$2902,R$2,0),"")</f>
        <v>#N/A</v>
      </c>
      <c r="S2640" s="7" t="e">
        <f>IF(VLOOKUP($A2640,'Concrete Beam Schedule'!$A$2:$Q$2902,S$2,0)&lt;&gt;C2640,VLOOKUP($A2640,'Concrete Beam Schedule'!$A$2:$Q$2902,S$2,0),"")</f>
        <v>#N/A</v>
      </c>
      <c r="T2640" s="7" t="e">
        <f>IF(VLOOKUP($A2640,'Concrete Beam Schedule'!$A$2:$Q$2902,T$2,0)&lt;&gt;D2640,"Beam Revised","")</f>
        <v>#N/A</v>
      </c>
      <c r="U2640" s="7" t="e">
        <f>IF(VLOOKUP($A2640,'Concrete Beam Schedule'!$A$2:$Q$2902,U$2,0)&lt;&gt;E2640,"Beam Revised","")</f>
        <v>#N/A</v>
      </c>
      <c r="V2640" s="7" t="e">
        <f>IF(VLOOKUP($A2640,'Concrete Beam Schedule'!$A$2:$Q$2902,V$2,0)&lt;&gt;F2640,"Beam Revised","")</f>
        <v>#N/A</v>
      </c>
      <c r="W2640" s="7" t="e">
        <f>IF(VLOOKUP($A2640,'Concrete Beam Schedule'!$A$2:$Q$2902,W$2,0)&lt;&gt;G2640,"Beam Revised","")</f>
        <v>#N/A</v>
      </c>
      <c r="X2640" s="7" t="e">
        <f>IF(VLOOKUP($A2640,'Concrete Beam Schedule'!$A$2:$Q$2902,X$2,0)&lt;&gt;H2640,"Beam Revised","")</f>
        <v>#N/A</v>
      </c>
      <c r="Y2640" s="7" t="e">
        <f>IF(VLOOKUP($A2640,'Concrete Beam Schedule'!$A$2:$Q$2902,Y$2,0)&lt;&gt;I2640,"Beam Revised","")</f>
        <v>#N/A</v>
      </c>
      <c r="Z2640" s="7" t="e">
        <f>IF(VLOOKUP($A2640,'Concrete Beam Schedule'!$A$2:$Q$2902,Z$2,0)&lt;&gt;J2640,"Beam Revised","")</f>
        <v>#N/A</v>
      </c>
      <c r="AA2640" s="7" t="e">
        <f>IF(VLOOKUP($A2640,'Concrete Beam Schedule'!$A$2:$Q$2902,AA$2,0)&lt;&gt;K2640,"Beam Revised","")</f>
        <v>#N/A</v>
      </c>
      <c r="AB2640" s="7" t="e">
        <f>IF(VLOOKUP($A2640,'Concrete Beam Schedule'!$A$2:$Q$2902,AB$2,0)&lt;&gt;L2640,"Beam Revised","")</f>
        <v>#N/A</v>
      </c>
      <c r="AC2640" s="7" t="e">
        <f>IF(VLOOKUP($A2640,'Concrete Beam Schedule'!$A$2:$Q$2902,AC$2,0)&lt;&gt;M2640,"Beam Revised","")</f>
        <v>#N/A</v>
      </c>
      <c r="AD2640" s="7" t="e">
        <f>IF(VLOOKUP($A2640,'Concrete Beam Schedule'!$A$2:$Q$2902,AD$2,0)&lt;&gt;N2640,"Beam Revised","")</f>
        <v>#N/A</v>
      </c>
      <c r="AE2640" s="7" t="e">
        <f>IF(VLOOKUP($A2640,'Concrete Beam Schedule'!$A$2:$Q$2902,AE$2,0)&lt;&gt;O2640,"Beam Revised","")</f>
        <v>#N/A</v>
      </c>
    </row>
    <row r="2641" spans="17:31" ht="20.100000000000001" customHeight="1" x14ac:dyDescent="0.25">
      <c r="Q2641" s="7">
        <f t="shared" si="41"/>
        <v>0</v>
      </c>
      <c r="R2641" s="7" t="e">
        <f>IF(VLOOKUP($A2641,'Concrete Beam Schedule'!$A$2:$Q$2902,R$2,0)&lt;&gt;B2641,VLOOKUP($A2641,'Concrete Beam Schedule'!$A$2:$Q$2902,R$2,0),"")</f>
        <v>#N/A</v>
      </c>
      <c r="S2641" s="7" t="e">
        <f>IF(VLOOKUP($A2641,'Concrete Beam Schedule'!$A$2:$Q$2902,S$2,0)&lt;&gt;C2641,VLOOKUP($A2641,'Concrete Beam Schedule'!$A$2:$Q$2902,S$2,0),"")</f>
        <v>#N/A</v>
      </c>
      <c r="T2641" s="7" t="e">
        <f>IF(VLOOKUP($A2641,'Concrete Beam Schedule'!$A$2:$Q$2902,T$2,0)&lt;&gt;D2641,"Beam Revised","")</f>
        <v>#N/A</v>
      </c>
      <c r="U2641" s="7" t="e">
        <f>IF(VLOOKUP($A2641,'Concrete Beam Schedule'!$A$2:$Q$2902,U$2,0)&lt;&gt;E2641,"Beam Revised","")</f>
        <v>#N/A</v>
      </c>
      <c r="V2641" s="7" t="e">
        <f>IF(VLOOKUP($A2641,'Concrete Beam Schedule'!$A$2:$Q$2902,V$2,0)&lt;&gt;F2641,"Beam Revised","")</f>
        <v>#N/A</v>
      </c>
      <c r="W2641" s="7" t="e">
        <f>IF(VLOOKUP($A2641,'Concrete Beam Schedule'!$A$2:$Q$2902,W$2,0)&lt;&gt;G2641,"Beam Revised","")</f>
        <v>#N/A</v>
      </c>
      <c r="X2641" s="7" t="e">
        <f>IF(VLOOKUP($A2641,'Concrete Beam Schedule'!$A$2:$Q$2902,X$2,0)&lt;&gt;H2641,"Beam Revised","")</f>
        <v>#N/A</v>
      </c>
      <c r="Y2641" s="7" t="e">
        <f>IF(VLOOKUP($A2641,'Concrete Beam Schedule'!$A$2:$Q$2902,Y$2,0)&lt;&gt;I2641,"Beam Revised","")</f>
        <v>#N/A</v>
      </c>
      <c r="Z2641" s="7" t="e">
        <f>IF(VLOOKUP($A2641,'Concrete Beam Schedule'!$A$2:$Q$2902,Z$2,0)&lt;&gt;J2641,"Beam Revised","")</f>
        <v>#N/A</v>
      </c>
      <c r="AA2641" s="7" t="e">
        <f>IF(VLOOKUP($A2641,'Concrete Beam Schedule'!$A$2:$Q$2902,AA$2,0)&lt;&gt;K2641,"Beam Revised","")</f>
        <v>#N/A</v>
      </c>
      <c r="AB2641" s="7" t="e">
        <f>IF(VLOOKUP($A2641,'Concrete Beam Schedule'!$A$2:$Q$2902,AB$2,0)&lt;&gt;L2641,"Beam Revised","")</f>
        <v>#N/A</v>
      </c>
      <c r="AC2641" s="7" t="e">
        <f>IF(VLOOKUP($A2641,'Concrete Beam Schedule'!$A$2:$Q$2902,AC$2,0)&lt;&gt;M2641,"Beam Revised","")</f>
        <v>#N/A</v>
      </c>
      <c r="AD2641" s="7" t="e">
        <f>IF(VLOOKUP($A2641,'Concrete Beam Schedule'!$A$2:$Q$2902,AD$2,0)&lt;&gt;N2641,"Beam Revised","")</f>
        <v>#N/A</v>
      </c>
      <c r="AE2641" s="7" t="e">
        <f>IF(VLOOKUP($A2641,'Concrete Beam Schedule'!$A$2:$Q$2902,AE$2,0)&lt;&gt;O2641,"Beam Revised","")</f>
        <v>#N/A</v>
      </c>
    </row>
    <row r="2642" spans="17:31" ht="20.100000000000001" customHeight="1" x14ac:dyDescent="0.25">
      <c r="Q2642" s="7">
        <f t="shared" si="41"/>
        <v>0</v>
      </c>
      <c r="R2642" s="7" t="e">
        <f>IF(VLOOKUP($A2642,'Concrete Beam Schedule'!$A$2:$Q$2902,R$2,0)&lt;&gt;B2642,VLOOKUP($A2642,'Concrete Beam Schedule'!$A$2:$Q$2902,R$2,0),"")</f>
        <v>#N/A</v>
      </c>
      <c r="S2642" s="7" t="e">
        <f>IF(VLOOKUP($A2642,'Concrete Beam Schedule'!$A$2:$Q$2902,S$2,0)&lt;&gt;C2642,VLOOKUP($A2642,'Concrete Beam Schedule'!$A$2:$Q$2902,S$2,0),"")</f>
        <v>#N/A</v>
      </c>
      <c r="T2642" s="7" t="e">
        <f>IF(VLOOKUP($A2642,'Concrete Beam Schedule'!$A$2:$Q$2902,T$2,0)&lt;&gt;D2642,"Beam Revised","")</f>
        <v>#N/A</v>
      </c>
      <c r="U2642" s="7" t="e">
        <f>IF(VLOOKUP($A2642,'Concrete Beam Schedule'!$A$2:$Q$2902,U$2,0)&lt;&gt;E2642,"Beam Revised","")</f>
        <v>#N/A</v>
      </c>
      <c r="V2642" s="7" t="e">
        <f>IF(VLOOKUP($A2642,'Concrete Beam Schedule'!$A$2:$Q$2902,V$2,0)&lt;&gt;F2642,"Beam Revised","")</f>
        <v>#N/A</v>
      </c>
      <c r="W2642" s="7" t="e">
        <f>IF(VLOOKUP($A2642,'Concrete Beam Schedule'!$A$2:$Q$2902,W$2,0)&lt;&gt;G2642,"Beam Revised","")</f>
        <v>#N/A</v>
      </c>
      <c r="X2642" s="7" t="e">
        <f>IF(VLOOKUP($A2642,'Concrete Beam Schedule'!$A$2:$Q$2902,X$2,0)&lt;&gt;H2642,"Beam Revised","")</f>
        <v>#N/A</v>
      </c>
      <c r="Y2642" s="7" t="e">
        <f>IF(VLOOKUP($A2642,'Concrete Beam Schedule'!$A$2:$Q$2902,Y$2,0)&lt;&gt;I2642,"Beam Revised","")</f>
        <v>#N/A</v>
      </c>
      <c r="Z2642" s="7" t="e">
        <f>IF(VLOOKUP($A2642,'Concrete Beam Schedule'!$A$2:$Q$2902,Z$2,0)&lt;&gt;J2642,"Beam Revised","")</f>
        <v>#N/A</v>
      </c>
      <c r="AA2642" s="7" t="e">
        <f>IF(VLOOKUP($A2642,'Concrete Beam Schedule'!$A$2:$Q$2902,AA$2,0)&lt;&gt;K2642,"Beam Revised","")</f>
        <v>#N/A</v>
      </c>
      <c r="AB2642" s="7" t="e">
        <f>IF(VLOOKUP($A2642,'Concrete Beam Schedule'!$A$2:$Q$2902,AB$2,0)&lt;&gt;L2642,"Beam Revised","")</f>
        <v>#N/A</v>
      </c>
      <c r="AC2642" s="7" t="e">
        <f>IF(VLOOKUP($A2642,'Concrete Beam Schedule'!$A$2:$Q$2902,AC$2,0)&lt;&gt;M2642,"Beam Revised","")</f>
        <v>#N/A</v>
      </c>
      <c r="AD2642" s="7" t="e">
        <f>IF(VLOOKUP($A2642,'Concrete Beam Schedule'!$A$2:$Q$2902,AD$2,0)&lt;&gt;N2642,"Beam Revised","")</f>
        <v>#N/A</v>
      </c>
      <c r="AE2642" s="7" t="e">
        <f>IF(VLOOKUP($A2642,'Concrete Beam Schedule'!$A$2:$Q$2902,AE$2,0)&lt;&gt;O2642,"Beam Revised","")</f>
        <v>#N/A</v>
      </c>
    </row>
    <row r="2643" spans="17:31" ht="20.100000000000001" customHeight="1" x14ac:dyDescent="0.25">
      <c r="Q2643" s="7">
        <f t="shared" si="41"/>
        <v>0</v>
      </c>
      <c r="R2643" s="7" t="e">
        <f>IF(VLOOKUP($A2643,'Concrete Beam Schedule'!$A$2:$Q$2902,R$2,0)&lt;&gt;B2643,VLOOKUP($A2643,'Concrete Beam Schedule'!$A$2:$Q$2902,R$2,0),"")</f>
        <v>#N/A</v>
      </c>
      <c r="S2643" s="7" t="e">
        <f>IF(VLOOKUP($A2643,'Concrete Beam Schedule'!$A$2:$Q$2902,S$2,0)&lt;&gt;C2643,VLOOKUP($A2643,'Concrete Beam Schedule'!$A$2:$Q$2902,S$2,0),"")</f>
        <v>#N/A</v>
      </c>
      <c r="T2643" s="7" t="e">
        <f>IF(VLOOKUP($A2643,'Concrete Beam Schedule'!$A$2:$Q$2902,T$2,0)&lt;&gt;D2643,"Beam Revised","")</f>
        <v>#N/A</v>
      </c>
      <c r="U2643" s="7" t="e">
        <f>IF(VLOOKUP($A2643,'Concrete Beam Schedule'!$A$2:$Q$2902,U$2,0)&lt;&gt;E2643,"Beam Revised","")</f>
        <v>#N/A</v>
      </c>
      <c r="V2643" s="7" t="e">
        <f>IF(VLOOKUP($A2643,'Concrete Beam Schedule'!$A$2:$Q$2902,V$2,0)&lt;&gt;F2643,"Beam Revised","")</f>
        <v>#N/A</v>
      </c>
      <c r="W2643" s="7" t="e">
        <f>IF(VLOOKUP($A2643,'Concrete Beam Schedule'!$A$2:$Q$2902,W$2,0)&lt;&gt;G2643,"Beam Revised","")</f>
        <v>#N/A</v>
      </c>
      <c r="X2643" s="7" t="e">
        <f>IF(VLOOKUP($A2643,'Concrete Beam Schedule'!$A$2:$Q$2902,X$2,0)&lt;&gt;H2643,"Beam Revised","")</f>
        <v>#N/A</v>
      </c>
      <c r="Y2643" s="7" t="e">
        <f>IF(VLOOKUP($A2643,'Concrete Beam Schedule'!$A$2:$Q$2902,Y$2,0)&lt;&gt;I2643,"Beam Revised","")</f>
        <v>#N/A</v>
      </c>
      <c r="Z2643" s="7" t="e">
        <f>IF(VLOOKUP($A2643,'Concrete Beam Schedule'!$A$2:$Q$2902,Z$2,0)&lt;&gt;J2643,"Beam Revised","")</f>
        <v>#N/A</v>
      </c>
      <c r="AA2643" s="7" t="e">
        <f>IF(VLOOKUP($A2643,'Concrete Beam Schedule'!$A$2:$Q$2902,AA$2,0)&lt;&gt;K2643,"Beam Revised","")</f>
        <v>#N/A</v>
      </c>
      <c r="AB2643" s="7" t="e">
        <f>IF(VLOOKUP($A2643,'Concrete Beam Schedule'!$A$2:$Q$2902,AB$2,0)&lt;&gt;L2643,"Beam Revised","")</f>
        <v>#N/A</v>
      </c>
      <c r="AC2643" s="7" t="e">
        <f>IF(VLOOKUP($A2643,'Concrete Beam Schedule'!$A$2:$Q$2902,AC$2,0)&lt;&gt;M2643,"Beam Revised","")</f>
        <v>#N/A</v>
      </c>
      <c r="AD2643" s="7" t="e">
        <f>IF(VLOOKUP($A2643,'Concrete Beam Schedule'!$A$2:$Q$2902,AD$2,0)&lt;&gt;N2643,"Beam Revised","")</f>
        <v>#N/A</v>
      </c>
      <c r="AE2643" s="7" t="e">
        <f>IF(VLOOKUP($A2643,'Concrete Beam Schedule'!$A$2:$Q$2902,AE$2,0)&lt;&gt;O2643,"Beam Revised","")</f>
        <v>#N/A</v>
      </c>
    </row>
    <row r="2644" spans="17:31" ht="20.100000000000001" customHeight="1" x14ac:dyDescent="0.25">
      <c r="Q2644" s="7">
        <f t="shared" si="41"/>
        <v>0</v>
      </c>
      <c r="R2644" s="7" t="e">
        <f>IF(VLOOKUP($A2644,'Concrete Beam Schedule'!$A$2:$Q$2902,R$2,0)&lt;&gt;B2644,VLOOKUP($A2644,'Concrete Beam Schedule'!$A$2:$Q$2902,R$2,0),"")</f>
        <v>#N/A</v>
      </c>
      <c r="S2644" s="7" t="e">
        <f>IF(VLOOKUP($A2644,'Concrete Beam Schedule'!$A$2:$Q$2902,S$2,0)&lt;&gt;C2644,VLOOKUP($A2644,'Concrete Beam Schedule'!$A$2:$Q$2902,S$2,0),"")</f>
        <v>#N/A</v>
      </c>
      <c r="T2644" s="7" t="e">
        <f>IF(VLOOKUP($A2644,'Concrete Beam Schedule'!$A$2:$Q$2902,T$2,0)&lt;&gt;D2644,"Beam Revised","")</f>
        <v>#N/A</v>
      </c>
      <c r="U2644" s="7" t="e">
        <f>IF(VLOOKUP($A2644,'Concrete Beam Schedule'!$A$2:$Q$2902,U$2,0)&lt;&gt;E2644,"Beam Revised","")</f>
        <v>#N/A</v>
      </c>
      <c r="V2644" s="7" t="e">
        <f>IF(VLOOKUP($A2644,'Concrete Beam Schedule'!$A$2:$Q$2902,V$2,0)&lt;&gt;F2644,"Beam Revised","")</f>
        <v>#N/A</v>
      </c>
      <c r="W2644" s="7" t="e">
        <f>IF(VLOOKUP($A2644,'Concrete Beam Schedule'!$A$2:$Q$2902,W$2,0)&lt;&gt;G2644,"Beam Revised","")</f>
        <v>#N/A</v>
      </c>
      <c r="X2644" s="7" t="e">
        <f>IF(VLOOKUP($A2644,'Concrete Beam Schedule'!$A$2:$Q$2902,X$2,0)&lt;&gt;H2644,"Beam Revised","")</f>
        <v>#N/A</v>
      </c>
      <c r="Y2644" s="7" t="e">
        <f>IF(VLOOKUP($A2644,'Concrete Beam Schedule'!$A$2:$Q$2902,Y$2,0)&lt;&gt;I2644,"Beam Revised","")</f>
        <v>#N/A</v>
      </c>
      <c r="Z2644" s="7" t="e">
        <f>IF(VLOOKUP($A2644,'Concrete Beam Schedule'!$A$2:$Q$2902,Z$2,0)&lt;&gt;J2644,"Beam Revised","")</f>
        <v>#N/A</v>
      </c>
      <c r="AA2644" s="7" t="e">
        <f>IF(VLOOKUP($A2644,'Concrete Beam Schedule'!$A$2:$Q$2902,AA$2,0)&lt;&gt;K2644,"Beam Revised","")</f>
        <v>#N/A</v>
      </c>
      <c r="AB2644" s="7" t="e">
        <f>IF(VLOOKUP($A2644,'Concrete Beam Schedule'!$A$2:$Q$2902,AB$2,0)&lt;&gt;L2644,"Beam Revised","")</f>
        <v>#N/A</v>
      </c>
      <c r="AC2644" s="7" t="e">
        <f>IF(VLOOKUP($A2644,'Concrete Beam Schedule'!$A$2:$Q$2902,AC$2,0)&lt;&gt;M2644,"Beam Revised","")</f>
        <v>#N/A</v>
      </c>
      <c r="AD2644" s="7" t="e">
        <f>IF(VLOOKUP($A2644,'Concrete Beam Schedule'!$A$2:$Q$2902,AD$2,0)&lt;&gt;N2644,"Beam Revised","")</f>
        <v>#N/A</v>
      </c>
      <c r="AE2644" s="7" t="e">
        <f>IF(VLOOKUP($A2644,'Concrete Beam Schedule'!$A$2:$Q$2902,AE$2,0)&lt;&gt;O2644,"Beam Revised","")</f>
        <v>#N/A</v>
      </c>
    </row>
    <row r="2645" spans="17:31" ht="20.100000000000001" customHeight="1" x14ac:dyDescent="0.25">
      <c r="Q2645" s="7">
        <f t="shared" si="41"/>
        <v>0</v>
      </c>
      <c r="R2645" s="7" t="e">
        <f>IF(VLOOKUP($A2645,'Concrete Beam Schedule'!$A$2:$Q$2902,R$2,0)&lt;&gt;B2645,VLOOKUP($A2645,'Concrete Beam Schedule'!$A$2:$Q$2902,R$2,0),"")</f>
        <v>#N/A</v>
      </c>
      <c r="S2645" s="7" t="e">
        <f>IF(VLOOKUP($A2645,'Concrete Beam Schedule'!$A$2:$Q$2902,S$2,0)&lt;&gt;C2645,VLOOKUP($A2645,'Concrete Beam Schedule'!$A$2:$Q$2902,S$2,0),"")</f>
        <v>#N/A</v>
      </c>
      <c r="T2645" s="7" t="e">
        <f>IF(VLOOKUP($A2645,'Concrete Beam Schedule'!$A$2:$Q$2902,T$2,0)&lt;&gt;D2645,"Beam Revised","")</f>
        <v>#N/A</v>
      </c>
      <c r="U2645" s="7" t="e">
        <f>IF(VLOOKUP($A2645,'Concrete Beam Schedule'!$A$2:$Q$2902,U$2,0)&lt;&gt;E2645,"Beam Revised","")</f>
        <v>#N/A</v>
      </c>
      <c r="V2645" s="7" t="e">
        <f>IF(VLOOKUP($A2645,'Concrete Beam Schedule'!$A$2:$Q$2902,V$2,0)&lt;&gt;F2645,"Beam Revised","")</f>
        <v>#N/A</v>
      </c>
      <c r="W2645" s="7" t="e">
        <f>IF(VLOOKUP($A2645,'Concrete Beam Schedule'!$A$2:$Q$2902,W$2,0)&lt;&gt;G2645,"Beam Revised","")</f>
        <v>#N/A</v>
      </c>
      <c r="X2645" s="7" t="e">
        <f>IF(VLOOKUP($A2645,'Concrete Beam Schedule'!$A$2:$Q$2902,X$2,0)&lt;&gt;H2645,"Beam Revised","")</f>
        <v>#N/A</v>
      </c>
      <c r="Y2645" s="7" t="e">
        <f>IF(VLOOKUP($A2645,'Concrete Beam Schedule'!$A$2:$Q$2902,Y$2,0)&lt;&gt;I2645,"Beam Revised","")</f>
        <v>#N/A</v>
      </c>
      <c r="Z2645" s="7" t="e">
        <f>IF(VLOOKUP($A2645,'Concrete Beam Schedule'!$A$2:$Q$2902,Z$2,0)&lt;&gt;J2645,"Beam Revised","")</f>
        <v>#N/A</v>
      </c>
      <c r="AA2645" s="7" t="e">
        <f>IF(VLOOKUP($A2645,'Concrete Beam Schedule'!$A$2:$Q$2902,AA$2,0)&lt;&gt;K2645,"Beam Revised","")</f>
        <v>#N/A</v>
      </c>
      <c r="AB2645" s="7" t="e">
        <f>IF(VLOOKUP($A2645,'Concrete Beam Schedule'!$A$2:$Q$2902,AB$2,0)&lt;&gt;L2645,"Beam Revised","")</f>
        <v>#N/A</v>
      </c>
      <c r="AC2645" s="7" t="e">
        <f>IF(VLOOKUP($A2645,'Concrete Beam Schedule'!$A$2:$Q$2902,AC$2,0)&lt;&gt;M2645,"Beam Revised","")</f>
        <v>#N/A</v>
      </c>
      <c r="AD2645" s="7" t="e">
        <f>IF(VLOOKUP($A2645,'Concrete Beam Schedule'!$A$2:$Q$2902,AD$2,0)&lt;&gt;N2645,"Beam Revised","")</f>
        <v>#N/A</v>
      </c>
      <c r="AE2645" s="7" t="e">
        <f>IF(VLOOKUP($A2645,'Concrete Beam Schedule'!$A$2:$Q$2902,AE$2,0)&lt;&gt;O2645,"Beam Revised","")</f>
        <v>#N/A</v>
      </c>
    </row>
    <row r="2646" spans="17:31" ht="20.100000000000001" customHeight="1" x14ac:dyDescent="0.25">
      <c r="Q2646" s="7">
        <f t="shared" si="41"/>
        <v>0</v>
      </c>
      <c r="R2646" s="7" t="e">
        <f>IF(VLOOKUP($A2646,'Concrete Beam Schedule'!$A$2:$Q$2902,R$2,0)&lt;&gt;B2646,VLOOKUP($A2646,'Concrete Beam Schedule'!$A$2:$Q$2902,R$2,0),"")</f>
        <v>#N/A</v>
      </c>
      <c r="S2646" s="7" t="e">
        <f>IF(VLOOKUP($A2646,'Concrete Beam Schedule'!$A$2:$Q$2902,S$2,0)&lt;&gt;C2646,VLOOKUP($A2646,'Concrete Beam Schedule'!$A$2:$Q$2902,S$2,0),"")</f>
        <v>#N/A</v>
      </c>
      <c r="T2646" s="7" t="e">
        <f>IF(VLOOKUP($A2646,'Concrete Beam Schedule'!$A$2:$Q$2902,T$2,0)&lt;&gt;D2646,"Beam Revised","")</f>
        <v>#N/A</v>
      </c>
      <c r="U2646" s="7" t="e">
        <f>IF(VLOOKUP($A2646,'Concrete Beam Schedule'!$A$2:$Q$2902,U$2,0)&lt;&gt;E2646,"Beam Revised","")</f>
        <v>#N/A</v>
      </c>
      <c r="V2646" s="7" t="e">
        <f>IF(VLOOKUP($A2646,'Concrete Beam Schedule'!$A$2:$Q$2902,V$2,0)&lt;&gt;F2646,"Beam Revised","")</f>
        <v>#N/A</v>
      </c>
      <c r="W2646" s="7" t="e">
        <f>IF(VLOOKUP($A2646,'Concrete Beam Schedule'!$A$2:$Q$2902,W$2,0)&lt;&gt;G2646,"Beam Revised","")</f>
        <v>#N/A</v>
      </c>
      <c r="X2646" s="7" t="e">
        <f>IF(VLOOKUP($A2646,'Concrete Beam Schedule'!$A$2:$Q$2902,X$2,0)&lt;&gt;H2646,"Beam Revised","")</f>
        <v>#N/A</v>
      </c>
      <c r="Y2646" s="7" t="e">
        <f>IF(VLOOKUP($A2646,'Concrete Beam Schedule'!$A$2:$Q$2902,Y$2,0)&lt;&gt;I2646,"Beam Revised","")</f>
        <v>#N/A</v>
      </c>
      <c r="Z2646" s="7" t="e">
        <f>IF(VLOOKUP($A2646,'Concrete Beam Schedule'!$A$2:$Q$2902,Z$2,0)&lt;&gt;J2646,"Beam Revised","")</f>
        <v>#N/A</v>
      </c>
      <c r="AA2646" s="7" t="e">
        <f>IF(VLOOKUP($A2646,'Concrete Beam Schedule'!$A$2:$Q$2902,AA$2,0)&lt;&gt;K2646,"Beam Revised","")</f>
        <v>#N/A</v>
      </c>
      <c r="AB2646" s="7" t="e">
        <f>IF(VLOOKUP($A2646,'Concrete Beam Schedule'!$A$2:$Q$2902,AB$2,0)&lt;&gt;L2646,"Beam Revised","")</f>
        <v>#N/A</v>
      </c>
      <c r="AC2646" s="7" t="e">
        <f>IF(VLOOKUP($A2646,'Concrete Beam Schedule'!$A$2:$Q$2902,AC$2,0)&lt;&gt;M2646,"Beam Revised","")</f>
        <v>#N/A</v>
      </c>
      <c r="AD2646" s="7" t="e">
        <f>IF(VLOOKUP($A2646,'Concrete Beam Schedule'!$A$2:$Q$2902,AD$2,0)&lt;&gt;N2646,"Beam Revised","")</f>
        <v>#N/A</v>
      </c>
      <c r="AE2646" s="7" t="e">
        <f>IF(VLOOKUP($A2646,'Concrete Beam Schedule'!$A$2:$Q$2902,AE$2,0)&lt;&gt;O2646,"Beam Revised","")</f>
        <v>#N/A</v>
      </c>
    </row>
    <row r="2647" spans="17:31" ht="20.100000000000001" customHeight="1" x14ac:dyDescent="0.25">
      <c r="Q2647" s="7">
        <f t="shared" si="41"/>
        <v>0</v>
      </c>
      <c r="R2647" s="7" t="e">
        <f>IF(VLOOKUP($A2647,'Concrete Beam Schedule'!$A$2:$Q$2902,R$2,0)&lt;&gt;B2647,VLOOKUP($A2647,'Concrete Beam Schedule'!$A$2:$Q$2902,R$2,0),"")</f>
        <v>#N/A</v>
      </c>
      <c r="S2647" s="7" t="e">
        <f>IF(VLOOKUP($A2647,'Concrete Beam Schedule'!$A$2:$Q$2902,S$2,0)&lt;&gt;C2647,VLOOKUP($A2647,'Concrete Beam Schedule'!$A$2:$Q$2902,S$2,0),"")</f>
        <v>#N/A</v>
      </c>
      <c r="T2647" s="7" t="e">
        <f>IF(VLOOKUP($A2647,'Concrete Beam Schedule'!$A$2:$Q$2902,T$2,0)&lt;&gt;D2647,"Beam Revised","")</f>
        <v>#N/A</v>
      </c>
      <c r="U2647" s="7" t="e">
        <f>IF(VLOOKUP($A2647,'Concrete Beam Schedule'!$A$2:$Q$2902,U$2,0)&lt;&gt;E2647,"Beam Revised","")</f>
        <v>#N/A</v>
      </c>
      <c r="V2647" s="7" t="e">
        <f>IF(VLOOKUP($A2647,'Concrete Beam Schedule'!$A$2:$Q$2902,V$2,0)&lt;&gt;F2647,"Beam Revised","")</f>
        <v>#N/A</v>
      </c>
      <c r="W2647" s="7" t="e">
        <f>IF(VLOOKUP($A2647,'Concrete Beam Schedule'!$A$2:$Q$2902,W$2,0)&lt;&gt;G2647,"Beam Revised","")</f>
        <v>#N/A</v>
      </c>
      <c r="X2647" s="7" t="e">
        <f>IF(VLOOKUP($A2647,'Concrete Beam Schedule'!$A$2:$Q$2902,X$2,0)&lt;&gt;H2647,"Beam Revised","")</f>
        <v>#N/A</v>
      </c>
      <c r="Y2647" s="7" t="e">
        <f>IF(VLOOKUP($A2647,'Concrete Beam Schedule'!$A$2:$Q$2902,Y$2,0)&lt;&gt;I2647,"Beam Revised","")</f>
        <v>#N/A</v>
      </c>
      <c r="Z2647" s="7" t="e">
        <f>IF(VLOOKUP($A2647,'Concrete Beam Schedule'!$A$2:$Q$2902,Z$2,0)&lt;&gt;J2647,"Beam Revised","")</f>
        <v>#N/A</v>
      </c>
      <c r="AA2647" s="7" t="e">
        <f>IF(VLOOKUP($A2647,'Concrete Beam Schedule'!$A$2:$Q$2902,AA$2,0)&lt;&gt;K2647,"Beam Revised","")</f>
        <v>#N/A</v>
      </c>
      <c r="AB2647" s="7" t="e">
        <f>IF(VLOOKUP($A2647,'Concrete Beam Schedule'!$A$2:$Q$2902,AB$2,0)&lt;&gt;L2647,"Beam Revised","")</f>
        <v>#N/A</v>
      </c>
      <c r="AC2647" s="7" t="e">
        <f>IF(VLOOKUP($A2647,'Concrete Beam Schedule'!$A$2:$Q$2902,AC$2,0)&lt;&gt;M2647,"Beam Revised","")</f>
        <v>#N/A</v>
      </c>
      <c r="AD2647" s="7" t="e">
        <f>IF(VLOOKUP($A2647,'Concrete Beam Schedule'!$A$2:$Q$2902,AD$2,0)&lt;&gt;N2647,"Beam Revised","")</f>
        <v>#N/A</v>
      </c>
      <c r="AE2647" s="7" t="e">
        <f>IF(VLOOKUP($A2647,'Concrete Beam Schedule'!$A$2:$Q$2902,AE$2,0)&lt;&gt;O2647,"Beam Revised","")</f>
        <v>#N/A</v>
      </c>
    </row>
    <row r="2648" spans="17:31" ht="20.100000000000001" customHeight="1" x14ac:dyDescent="0.25">
      <c r="Q2648" s="7">
        <f t="shared" si="41"/>
        <v>0</v>
      </c>
      <c r="R2648" s="7" t="e">
        <f>IF(VLOOKUP($A2648,'Concrete Beam Schedule'!$A$2:$Q$2902,R$2,0)&lt;&gt;B2648,VLOOKUP($A2648,'Concrete Beam Schedule'!$A$2:$Q$2902,R$2,0),"")</f>
        <v>#N/A</v>
      </c>
      <c r="S2648" s="7" t="e">
        <f>IF(VLOOKUP($A2648,'Concrete Beam Schedule'!$A$2:$Q$2902,S$2,0)&lt;&gt;C2648,VLOOKUP($A2648,'Concrete Beam Schedule'!$A$2:$Q$2902,S$2,0),"")</f>
        <v>#N/A</v>
      </c>
      <c r="T2648" s="7" t="e">
        <f>IF(VLOOKUP($A2648,'Concrete Beam Schedule'!$A$2:$Q$2902,T$2,0)&lt;&gt;D2648,"Beam Revised","")</f>
        <v>#N/A</v>
      </c>
      <c r="U2648" s="7" t="e">
        <f>IF(VLOOKUP($A2648,'Concrete Beam Schedule'!$A$2:$Q$2902,U$2,0)&lt;&gt;E2648,"Beam Revised","")</f>
        <v>#N/A</v>
      </c>
      <c r="V2648" s="7" t="e">
        <f>IF(VLOOKUP($A2648,'Concrete Beam Schedule'!$A$2:$Q$2902,V$2,0)&lt;&gt;F2648,"Beam Revised","")</f>
        <v>#N/A</v>
      </c>
      <c r="W2648" s="7" t="e">
        <f>IF(VLOOKUP($A2648,'Concrete Beam Schedule'!$A$2:$Q$2902,W$2,0)&lt;&gt;G2648,"Beam Revised","")</f>
        <v>#N/A</v>
      </c>
      <c r="X2648" s="7" t="e">
        <f>IF(VLOOKUP($A2648,'Concrete Beam Schedule'!$A$2:$Q$2902,X$2,0)&lt;&gt;H2648,"Beam Revised","")</f>
        <v>#N/A</v>
      </c>
      <c r="Y2648" s="7" t="e">
        <f>IF(VLOOKUP($A2648,'Concrete Beam Schedule'!$A$2:$Q$2902,Y$2,0)&lt;&gt;I2648,"Beam Revised","")</f>
        <v>#N/A</v>
      </c>
      <c r="Z2648" s="7" t="e">
        <f>IF(VLOOKUP($A2648,'Concrete Beam Schedule'!$A$2:$Q$2902,Z$2,0)&lt;&gt;J2648,"Beam Revised","")</f>
        <v>#N/A</v>
      </c>
      <c r="AA2648" s="7" t="e">
        <f>IF(VLOOKUP($A2648,'Concrete Beam Schedule'!$A$2:$Q$2902,AA$2,0)&lt;&gt;K2648,"Beam Revised","")</f>
        <v>#N/A</v>
      </c>
      <c r="AB2648" s="7" t="e">
        <f>IF(VLOOKUP($A2648,'Concrete Beam Schedule'!$A$2:$Q$2902,AB$2,0)&lt;&gt;L2648,"Beam Revised","")</f>
        <v>#N/A</v>
      </c>
      <c r="AC2648" s="7" t="e">
        <f>IF(VLOOKUP($A2648,'Concrete Beam Schedule'!$A$2:$Q$2902,AC$2,0)&lt;&gt;M2648,"Beam Revised","")</f>
        <v>#N/A</v>
      </c>
      <c r="AD2648" s="7" t="e">
        <f>IF(VLOOKUP($A2648,'Concrete Beam Schedule'!$A$2:$Q$2902,AD$2,0)&lt;&gt;N2648,"Beam Revised","")</f>
        <v>#N/A</v>
      </c>
      <c r="AE2648" s="7" t="e">
        <f>IF(VLOOKUP($A2648,'Concrete Beam Schedule'!$A$2:$Q$2902,AE$2,0)&lt;&gt;O2648,"Beam Revised","")</f>
        <v>#N/A</v>
      </c>
    </row>
    <row r="2649" spans="17:31" ht="20.100000000000001" customHeight="1" x14ac:dyDescent="0.25">
      <c r="Q2649" s="7">
        <f t="shared" si="41"/>
        <v>0</v>
      </c>
      <c r="R2649" s="7" t="e">
        <f>IF(VLOOKUP($A2649,'Concrete Beam Schedule'!$A$2:$Q$2902,R$2,0)&lt;&gt;B2649,VLOOKUP($A2649,'Concrete Beam Schedule'!$A$2:$Q$2902,R$2,0),"")</f>
        <v>#N/A</v>
      </c>
      <c r="S2649" s="7" t="e">
        <f>IF(VLOOKUP($A2649,'Concrete Beam Schedule'!$A$2:$Q$2902,S$2,0)&lt;&gt;C2649,VLOOKUP($A2649,'Concrete Beam Schedule'!$A$2:$Q$2902,S$2,0),"")</f>
        <v>#N/A</v>
      </c>
      <c r="T2649" s="7" t="e">
        <f>IF(VLOOKUP($A2649,'Concrete Beam Schedule'!$A$2:$Q$2902,T$2,0)&lt;&gt;D2649,"Beam Revised","")</f>
        <v>#N/A</v>
      </c>
      <c r="U2649" s="7" t="e">
        <f>IF(VLOOKUP($A2649,'Concrete Beam Schedule'!$A$2:$Q$2902,U$2,0)&lt;&gt;E2649,"Beam Revised","")</f>
        <v>#N/A</v>
      </c>
      <c r="V2649" s="7" t="e">
        <f>IF(VLOOKUP($A2649,'Concrete Beam Schedule'!$A$2:$Q$2902,V$2,0)&lt;&gt;F2649,"Beam Revised","")</f>
        <v>#N/A</v>
      </c>
      <c r="W2649" s="7" t="e">
        <f>IF(VLOOKUP($A2649,'Concrete Beam Schedule'!$A$2:$Q$2902,W$2,0)&lt;&gt;G2649,"Beam Revised","")</f>
        <v>#N/A</v>
      </c>
      <c r="X2649" s="7" t="e">
        <f>IF(VLOOKUP($A2649,'Concrete Beam Schedule'!$A$2:$Q$2902,X$2,0)&lt;&gt;H2649,"Beam Revised","")</f>
        <v>#N/A</v>
      </c>
      <c r="Y2649" s="7" t="e">
        <f>IF(VLOOKUP($A2649,'Concrete Beam Schedule'!$A$2:$Q$2902,Y$2,0)&lt;&gt;I2649,"Beam Revised","")</f>
        <v>#N/A</v>
      </c>
      <c r="Z2649" s="7" t="e">
        <f>IF(VLOOKUP($A2649,'Concrete Beam Schedule'!$A$2:$Q$2902,Z$2,0)&lt;&gt;J2649,"Beam Revised","")</f>
        <v>#N/A</v>
      </c>
      <c r="AA2649" s="7" t="e">
        <f>IF(VLOOKUP($A2649,'Concrete Beam Schedule'!$A$2:$Q$2902,AA$2,0)&lt;&gt;K2649,"Beam Revised","")</f>
        <v>#N/A</v>
      </c>
      <c r="AB2649" s="7" t="e">
        <f>IF(VLOOKUP($A2649,'Concrete Beam Schedule'!$A$2:$Q$2902,AB$2,0)&lt;&gt;L2649,"Beam Revised","")</f>
        <v>#N/A</v>
      </c>
      <c r="AC2649" s="7" t="e">
        <f>IF(VLOOKUP($A2649,'Concrete Beam Schedule'!$A$2:$Q$2902,AC$2,0)&lt;&gt;M2649,"Beam Revised","")</f>
        <v>#N/A</v>
      </c>
      <c r="AD2649" s="7" t="e">
        <f>IF(VLOOKUP($A2649,'Concrete Beam Schedule'!$A$2:$Q$2902,AD$2,0)&lt;&gt;N2649,"Beam Revised","")</f>
        <v>#N/A</v>
      </c>
      <c r="AE2649" s="7" t="e">
        <f>IF(VLOOKUP($A2649,'Concrete Beam Schedule'!$A$2:$Q$2902,AE$2,0)&lt;&gt;O2649,"Beam Revised","")</f>
        <v>#N/A</v>
      </c>
    </row>
    <row r="2650" spans="17:31" ht="20.100000000000001" customHeight="1" x14ac:dyDescent="0.25">
      <c r="Q2650" s="7">
        <f t="shared" si="41"/>
        <v>0</v>
      </c>
      <c r="R2650" s="7" t="e">
        <f>IF(VLOOKUP($A2650,'Concrete Beam Schedule'!$A$2:$Q$2902,R$2,0)&lt;&gt;B2650,VLOOKUP($A2650,'Concrete Beam Schedule'!$A$2:$Q$2902,R$2,0),"")</f>
        <v>#N/A</v>
      </c>
      <c r="S2650" s="7" t="e">
        <f>IF(VLOOKUP($A2650,'Concrete Beam Schedule'!$A$2:$Q$2902,S$2,0)&lt;&gt;C2650,VLOOKUP($A2650,'Concrete Beam Schedule'!$A$2:$Q$2902,S$2,0),"")</f>
        <v>#N/A</v>
      </c>
      <c r="T2650" s="7" t="e">
        <f>IF(VLOOKUP($A2650,'Concrete Beam Schedule'!$A$2:$Q$2902,T$2,0)&lt;&gt;D2650,"Beam Revised","")</f>
        <v>#N/A</v>
      </c>
      <c r="U2650" s="7" t="e">
        <f>IF(VLOOKUP($A2650,'Concrete Beam Schedule'!$A$2:$Q$2902,U$2,0)&lt;&gt;E2650,"Beam Revised","")</f>
        <v>#N/A</v>
      </c>
      <c r="V2650" s="7" t="e">
        <f>IF(VLOOKUP($A2650,'Concrete Beam Schedule'!$A$2:$Q$2902,V$2,0)&lt;&gt;F2650,"Beam Revised","")</f>
        <v>#N/A</v>
      </c>
      <c r="W2650" s="7" t="e">
        <f>IF(VLOOKUP($A2650,'Concrete Beam Schedule'!$A$2:$Q$2902,W$2,0)&lt;&gt;G2650,"Beam Revised","")</f>
        <v>#N/A</v>
      </c>
      <c r="X2650" s="7" t="e">
        <f>IF(VLOOKUP($A2650,'Concrete Beam Schedule'!$A$2:$Q$2902,X$2,0)&lt;&gt;H2650,"Beam Revised","")</f>
        <v>#N/A</v>
      </c>
      <c r="Y2650" s="7" t="e">
        <f>IF(VLOOKUP($A2650,'Concrete Beam Schedule'!$A$2:$Q$2902,Y$2,0)&lt;&gt;I2650,"Beam Revised","")</f>
        <v>#N/A</v>
      </c>
      <c r="Z2650" s="7" t="e">
        <f>IF(VLOOKUP($A2650,'Concrete Beam Schedule'!$A$2:$Q$2902,Z$2,0)&lt;&gt;J2650,"Beam Revised","")</f>
        <v>#N/A</v>
      </c>
      <c r="AA2650" s="7" t="e">
        <f>IF(VLOOKUP($A2650,'Concrete Beam Schedule'!$A$2:$Q$2902,AA$2,0)&lt;&gt;K2650,"Beam Revised","")</f>
        <v>#N/A</v>
      </c>
      <c r="AB2650" s="7" t="e">
        <f>IF(VLOOKUP($A2650,'Concrete Beam Schedule'!$A$2:$Q$2902,AB$2,0)&lt;&gt;L2650,"Beam Revised","")</f>
        <v>#N/A</v>
      </c>
      <c r="AC2650" s="7" t="e">
        <f>IF(VLOOKUP($A2650,'Concrete Beam Schedule'!$A$2:$Q$2902,AC$2,0)&lt;&gt;M2650,"Beam Revised","")</f>
        <v>#N/A</v>
      </c>
      <c r="AD2650" s="7" t="e">
        <f>IF(VLOOKUP($A2650,'Concrete Beam Schedule'!$A$2:$Q$2902,AD$2,0)&lt;&gt;N2650,"Beam Revised","")</f>
        <v>#N/A</v>
      </c>
      <c r="AE2650" s="7" t="e">
        <f>IF(VLOOKUP($A2650,'Concrete Beam Schedule'!$A$2:$Q$2902,AE$2,0)&lt;&gt;O2650,"Beam Revised","")</f>
        <v>#N/A</v>
      </c>
    </row>
    <row r="2651" spans="17:31" ht="20.100000000000001" customHeight="1" x14ac:dyDescent="0.25">
      <c r="Q2651" s="7">
        <f t="shared" si="41"/>
        <v>0</v>
      </c>
      <c r="R2651" s="7" t="e">
        <f>IF(VLOOKUP($A2651,'Concrete Beam Schedule'!$A$2:$Q$2902,R$2,0)&lt;&gt;B2651,VLOOKUP($A2651,'Concrete Beam Schedule'!$A$2:$Q$2902,R$2,0),"")</f>
        <v>#N/A</v>
      </c>
      <c r="S2651" s="7" t="e">
        <f>IF(VLOOKUP($A2651,'Concrete Beam Schedule'!$A$2:$Q$2902,S$2,0)&lt;&gt;C2651,VLOOKUP($A2651,'Concrete Beam Schedule'!$A$2:$Q$2902,S$2,0),"")</f>
        <v>#N/A</v>
      </c>
      <c r="T2651" s="7" t="e">
        <f>IF(VLOOKUP($A2651,'Concrete Beam Schedule'!$A$2:$Q$2902,T$2,0)&lt;&gt;D2651,"Beam Revised","")</f>
        <v>#N/A</v>
      </c>
      <c r="U2651" s="7" t="e">
        <f>IF(VLOOKUP($A2651,'Concrete Beam Schedule'!$A$2:$Q$2902,U$2,0)&lt;&gt;E2651,"Beam Revised","")</f>
        <v>#N/A</v>
      </c>
      <c r="V2651" s="7" t="e">
        <f>IF(VLOOKUP($A2651,'Concrete Beam Schedule'!$A$2:$Q$2902,V$2,0)&lt;&gt;F2651,"Beam Revised","")</f>
        <v>#N/A</v>
      </c>
      <c r="W2651" s="7" t="e">
        <f>IF(VLOOKUP($A2651,'Concrete Beam Schedule'!$A$2:$Q$2902,W$2,0)&lt;&gt;G2651,"Beam Revised","")</f>
        <v>#N/A</v>
      </c>
      <c r="X2651" s="7" t="e">
        <f>IF(VLOOKUP($A2651,'Concrete Beam Schedule'!$A$2:$Q$2902,X$2,0)&lt;&gt;H2651,"Beam Revised","")</f>
        <v>#N/A</v>
      </c>
      <c r="Y2651" s="7" t="e">
        <f>IF(VLOOKUP($A2651,'Concrete Beam Schedule'!$A$2:$Q$2902,Y$2,0)&lt;&gt;I2651,"Beam Revised","")</f>
        <v>#N/A</v>
      </c>
      <c r="Z2651" s="7" t="e">
        <f>IF(VLOOKUP($A2651,'Concrete Beam Schedule'!$A$2:$Q$2902,Z$2,0)&lt;&gt;J2651,"Beam Revised","")</f>
        <v>#N/A</v>
      </c>
      <c r="AA2651" s="7" t="e">
        <f>IF(VLOOKUP($A2651,'Concrete Beam Schedule'!$A$2:$Q$2902,AA$2,0)&lt;&gt;K2651,"Beam Revised","")</f>
        <v>#N/A</v>
      </c>
      <c r="AB2651" s="7" t="e">
        <f>IF(VLOOKUP($A2651,'Concrete Beam Schedule'!$A$2:$Q$2902,AB$2,0)&lt;&gt;L2651,"Beam Revised","")</f>
        <v>#N/A</v>
      </c>
      <c r="AC2651" s="7" t="e">
        <f>IF(VLOOKUP($A2651,'Concrete Beam Schedule'!$A$2:$Q$2902,AC$2,0)&lt;&gt;M2651,"Beam Revised","")</f>
        <v>#N/A</v>
      </c>
      <c r="AD2651" s="7" t="e">
        <f>IF(VLOOKUP($A2651,'Concrete Beam Schedule'!$A$2:$Q$2902,AD$2,0)&lt;&gt;N2651,"Beam Revised","")</f>
        <v>#N/A</v>
      </c>
      <c r="AE2651" s="7" t="e">
        <f>IF(VLOOKUP($A2651,'Concrete Beam Schedule'!$A$2:$Q$2902,AE$2,0)&lt;&gt;O2651,"Beam Revised","")</f>
        <v>#N/A</v>
      </c>
    </row>
    <row r="2652" spans="17:31" ht="20.100000000000001" customHeight="1" x14ac:dyDescent="0.25">
      <c r="Q2652" s="7">
        <f t="shared" si="41"/>
        <v>0</v>
      </c>
      <c r="R2652" s="7" t="e">
        <f>IF(VLOOKUP($A2652,'Concrete Beam Schedule'!$A$2:$Q$2902,R$2,0)&lt;&gt;B2652,VLOOKUP($A2652,'Concrete Beam Schedule'!$A$2:$Q$2902,R$2,0),"")</f>
        <v>#N/A</v>
      </c>
      <c r="S2652" s="7" t="e">
        <f>IF(VLOOKUP($A2652,'Concrete Beam Schedule'!$A$2:$Q$2902,S$2,0)&lt;&gt;C2652,VLOOKUP($A2652,'Concrete Beam Schedule'!$A$2:$Q$2902,S$2,0),"")</f>
        <v>#N/A</v>
      </c>
      <c r="T2652" s="7" t="e">
        <f>IF(VLOOKUP($A2652,'Concrete Beam Schedule'!$A$2:$Q$2902,T$2,0)&lt;&gt;D2652,"Beam Revised","")</f>
        <v>#N/A</v>
      </c>
      <c r="U2652" s="7" t="e">
        <f>IF(VLOOKUP($A2652,'Concrete Beam Schedule'!$A$2:$Q$2902,U$2,0)&lt;&gt;E2652,"Beam Revised","")</f>
        <v>#N/A</v>
      </c>
      <c r="V2652" s="7" t="e">
        <f>IF(VLOOKUP($A2652,'Concrete Beam Schedule'!$A$2:$Q$2902,V$2,0)&lt;&gt;F2652,"Beam Revised","")</f>
        <v>#N/A</v>
      </c>
      <c r="W2652" s="7" t="e">
        <f>IF(VLOOKUP($A2652,'Concrete Beam Schedule'!$A$2:$Q$2902,W$2,0)&lt;&gt;G2652,"Beam Revised","")</f>
        <v>#N/A</v>
      </c>
      <c r="X2652" s="7" t="e">
        <f>IF(VLOOKUP($A2652,'Concrete Beam Schedule'!$A$2:$Q$2902,X$2,0)&lt;&gt;H2652,"Beam Revised","")</f>
        <v>#N/A</v>
      </c>
      <c r="Y2652" s="7" t="e">
        <f>IF(VLOOKUP($A2652,'Concrete Beam Schedule'!$A$2:$Q$2902,Y$2,0)&lt;&gt;I2652,"Beam Revised","")</f>
        <v>#N/A</v>
      </c>
      <c r="Z2652" s="7" t="e">
        <f>IF(VLOOKUP($A2652,'Concrete Beam Schedule'!$A$2:$Q$2902,Z$2,0)&lt;&gt;J2652,"Beam Revised","")</f>
        <v>#N/A</v>
      </c>
      <c r="AA2652" s="7" t="e">
        <f>IF(VLOOKUP($A2652,'Concrete Beam Schedule'!$A$2:$Q$2902,AA$2,0)&lt;&gt;K2652,"Beam Revised","")</f>
        <v>#N/A</v>
      </c>
      <c r="AB2652" s="7" t="e">
        <f>IF(VLOOKUP($A2652,'Concrete Beam Schedule'!$A$2:$Q$2902,AB$2,0)&lt;&gt;L2652,"Beam Revised","")</f>
        <v>#N/A</v>
      </c>
      <c r="AC2652" s="7" t="e">
        <f>IF(VLOOKUP($A2652,'Concrete Beam Schedule'!$A$2:$Q$2902,AC$2,0)&lt;&gt;M2652,"Beam Revised","")</f>
        <v>#N/A</v>
      </c>
      <c r="AD2652" s="7" t="e">
        <f>IF(VLOOKUP($A2652,'Concrete Beam Schedule'!$A$2:$Q$2902,AD$2,0)&lt;&gt;N2652,"Beam Revised","")</f>
        <v>#N/A</v>
      </c>
      <c r="AE2652" s="7" t="e">
        <f>IF(VLOOKUP($A2652,'Concrete Beam Schedule'!$A$2:$Q$2902,AE$2,0)&lt;&gt;O2652,"Beam Revised","")</f>
        <v>#N/A</v>
      </c>
    </row>
    <row r="2653" spans="17:31" ht="20.100000000000001" customHeight="1" x14ac:dyDescent="0.25">
      <c r="Q2653" s="7">
        <f t="shared" si="41"/>
        <v>0</v>
      </c>
      <c r="R2653" s="7" t="e">
        <f>IF(VLOOKUP($A2653,'Concrete Beam Schedule'!$A$2:$Q$2902,R$2,0)&lt;&gt;B2653,VLOOKUP($A2653,'Concrete Beam Schedule'!$A$2:$Q$2902,R$2,0),"")</f>
        <v>#N/A</v>
      </c>
      <c r="S2653" s="7" t="e">
        <f>IF(VLOOKUP($A2653,'Concrete Beam Schedule'!$A$2:$Q$2902,S$2,0)&lt;&gt;C2653,VLOOKUP($A2653,'Concrete Beam Schedule'!$A$2:$Q$2902,S$2,0),"")</f>
        <v>#N/A</v>
      </c>
      <c r="T2653" s="7" t="e">
        <f>IF(VLOOKUP($A2653,'Concrete Beam Schedule'!$A$2:$Q$2902,T$2,0)&lt;&gt;D2653,"Beam Revised","")</f>
        <v>#N/A</v>
      </c>
      <c r="U2653" s="7" t="e">
        <f>IF(VLOOKUP($A2653,'Concrete Beam Schedule'!$A$2:$Q$2902,U$2,0)&lt;&gt;E2653,"Beam Revised","")</f>
        <v>#N/A</v>
      </c>
      <c r="V2653" s="7" t="e">
        <f>IF(VLOOKUP($A2653,'Concrete Beam Schedule'!$A$2:$Q$2902,V$2,0)&lt;&gt;F2653,"Beam Revised","")</f>
        <v>#N/A</v>
      </c>
      <c r="W2653" s="7" t="e">
        <f>IF(VLOOKUP($A2653,'Concrete Beam Schedule'!$A$2:$Q$2902,W$2,0)&lt;&gt;G2653,"Beam Revised","")</f>
        <v>#N/A</v>
      </c>
      <c r="X2653" s="7" t="e">
        <f>IF(VLOOKUP($A2653,'Concrete Beam Schedule'!$A$2:$Q$2902,X$2,0)&lt;&gt;H2653,"Beam Revised","")</f>
        <v>#N/A</v>
      </c>
      <c r="Y2653" s="7" t="e">
        <f>IF(VLOOKUP($A2653,'Concrete Beam Schedule'!$A$2:$Q$2902,Y$2,0)&lt;&gt;I2653,"Beam Revised","")</f>
        <v>#N/A</v>
      </c>
      <c r="Z2653" s="7" t="e">
        <f>IF(VLOOKUP($A2653,'Concrete Beam Schedule'!$A$2:$Q$2902,Z$2,0)&lt;&gt;J2653,"Beam Revised","")</f>
        <v>#N/A</v>
      </c>
      <c r="AA2653" s="7" t="e">
        <f>IF(VLOOKUP($A2653,'Concrete Beam Schedule'!$A$2:$Q$2902,AA$2,0)&lt;&gt;K2653,"Beam Revised","")</f>
        <v>#N/A</v>
      </c>
      <c r="AB2653" s="7" t="e">
        <f>IF(VLOOKUP($A2653,'Concrete Beam Schedule'!$A$2:$Q$2902,AB$2,0)&lt;&gt;L2653,"Beam Revised","")</f>
        <v>#N/A</v>
      </c>
      <c r="AC2653" s="7" t="e">
        <f>IF(VLOOKUP($A2653,'Concrete Beam Schedule'!$A$2:$Q$2902,AC$2,0)&lt;&gt;M2653,"Beam Revised","")</f>
        <v>#N/A</v>
      </c>
      <c r="AD2653" s="7" t="e">
        <f>IF(VLOOKUP($A2653,'Concrete Beam Schedule'!$A$2:$Q$2902,AD$2,0)&lt;&gt;N2653,"Beam Revised","")</f>
        <v>#N/A</v>
      </c>
      <c r="AE2653" s="7" t="e">
        <f>IF(VLOOKUP($A2653,'Concrete Beam Schedule'!$A$2:$Q$2902,AE$2,0)&lt;&gt;O2653,"Beam Revised","")</f>
        <v>#N/A</v>
      </c>
    </row>
    <row r="2654" spans="17:31" ht="20.100000000000001" customHeight="1" x14ac:dyDescent="0.25">
      <c r="Q2654" s="7">
        <f t="shared" si="41"/>
        <v>0</v>
      </c>
      <c r="R2654" s="7" t="e">
        <f>IF(VLOOKUP($A2654,'Concrete Beam Schedule'!$A$2:$Q$2902,R$2,0)&lt;&gt;B2654,VLOOKUP($A2654,'Concrete Beam Schedule'!$A$2:$Q$2902,R$2,0),"")</f>
        <v>#N/A</v>
      </c>
      <c r="S2654" s="7" t="e">
        <f>IF(VLOOKUP($A2654,'Concrete Beam Schedule'!$A$2:$Q$2902,S$2,0)&lt;&gt;C2654,VLOOKUP($A2654,'Concrete Beam Schedule'!$A$2:$Q$2902,S$2,0),"")</f>
        <v>#N/A</v>
      </c>
      <c r="T2654" s="7" t="e">
        <f>IF(VLOOKUP($A2654,'Concrete Beam Schedule'!$A$2:$Q$2902,T$2,0)&lt;&gt;D2654,"Beam Revised","")</f>
        <v>#N/A</v>
      </c>
      <c r="U2654" s="7" t="e">
        <f>IF(VLOOKUP($A2654,'Concrete Beam Schedule'!$A$2:$Q$2902,U$2,0)&lt;&gt;E2654,"Beam Revised","")</f>
        <v>#N/A</v>
      </c>
      <c r="V2654" s="7" t="e">
        <f>IF(VLOOKUP($A2654,'Concrete Beam Schedule'!$A$2:$Q$2902,V$2,0)&lt;&gt;F2654,"Beam Revised","")</f>
        <v>#N/A</v>
      </c>
      <c r="W2654" s="7" t="e">
        <f>IF(VLOOKUP($A2654,'Concrete Beam Schedule'!$A$2:$Q$2902,W$2,0)&lt;&gt;G2654,"Beam Revised","")</f>
        <v>#N/A</v>
      </c>
      <c r="X2654" s="7" t="e">
        <f>IF(VLOOKUP($A2654,'Concrete Beam Schedule'!$A$2:$Q$2902,X$2,0)&lt;&gt;H2654,"Beam Revised","")</f>
        <v>#N/A</v>
      </c>
      <c r="Y2654" s="7" t="e">
        <f>IF(VLOOKUP($A2654,'Concrete Beam Schedule'!$A$2:$Q$2902,Y$2,0)&lt;&gt;I2654,"Beam Revised","")</f>
        <v>#N/A</v>
      </c>
      <c r="Z2654" s="7" t="e">
        <f>IF(VLOOKUP($A2654,'Concrete Beam Schedule'!$A$2:$Q$2902,Z$2,0)&lt;&gt;J2654,"Beam Revised","")</f>
        <v>#N/A</v>
      </c>
      <c r="AA2654" s="7" t="e">
        <f>IF(VLOOKUP($A2654,'Concrete Beam Schedule'!$A$2:$Q$2902,AA$2,0)&lt;&gt;K2654,"Beam Revised","")</f>
        <v>#N/A</v>
      </c>
      <c r="AB2654" s="7" t="e">
        <f>IF(VLOOKUP($A2654,'Concrete Beam Schedule'!$A$2:$Q$2902,AB$2,0)&lt;&gt;L2654,"Beam Revised","")</f>
        <v>#N/A</v>
      </c>
      <c r="AC2654" s="7" t="e">
        <f>IF(VLOOKUP($A2654,'Concrete Beam Schedule'!$A$2:$Q$2902,AC$2,0)&lt;&gt;M2654,"Beam Revised","")</f>
        <v>#N/A</v>
      </c>
      <c r="AD2654" s="7" t="e">
        <f>IF(VLOOKUP($A2654,'Concrete Beam Schedule'!$A$2:$Q$2902,AD$2,0)&lt;&gt;N2654,"Beam Revised","")</f>
        <v>#N/A</v>
      </c>
      <c r="AE2654" s="7" t="e">
        <f>IF(VLOOKUP($A2654,'Concrete Beam Schedule'!$A$2:$Q$2902,AE$2,0)&lt;&gt;O2654,"Beam Revised","")</f>
        <v>#N/A</v>
      </c>
    </row>
    <row r="2655" spans="17:31" ht="20.100000000000001" customHeight="1" x14ac:dyDescent="0.25">
      <c r="Q2655" s="7">
        <f t="shared" si="41"/>
        <v>0</v>
      </c>
      <c r="R2655" s="7" t="e">
        <f>IF(VLOOKUP($A2655,'Concrete Beam Schedule'!$A$2:$Q$2902,R$2,0)&lt;&gt;B2655,VLOOKUP($A2655,'Concrete Beam Schedule'!$A$2:$Q$2902,R$2,0),"")</f>
        <v>#N/A</v>
      </c>
      <c r="S2655" s="7" t="e">
        <f>IF(VLOOKUP($A2655,'Concrete Beam Schedule'!$A$2:$Q$2902,S$2,0)&lt;&gt;C2655,VLOOKUP($A2655,'Concrete Beam Schedule'!$A$2:$Q$2902,S$2,0),"")</f>
        <v>#N/A</v>
      </c>
      <c r="T2655" s="7" t="e">
        <f>IF(VLOOKUP($A2655,'Concrete Beam Schedule'!$A$2:$Q$2902,T$2,0)&lt;&gt;D2655,"Beam Revised","")</f>
        <v>#N/A</v>
      </c>
      <c r="U2655" s="7" t="e">
        <f>IF(VLOOKUP($A2655,'Concrete Beam Schedule'!$A$2:$Q$2902,U$2,0)&lt;&gt;E2655,"Beam Revised","")</f>
        <v>#N/A</v>
      </c>
      <c r="V2655" s="7" t="e">
        <f>IF(VLOOKUP($A2655,'Concrete Beam Schedule'!$A$2:$Q$2902,V$2,0)&lt;&gt;F2655,"Beam Revised","")</f>
        <v>#N/A</v>
      </c>
      <c r="W2655" s="7" t="e">
        <f>IF(VLOOKUP($A2655,'Concrete Beam Schedule'!$A$2:$Q$2902,W$2,0)&lt;&gt;G2655,"Beam Revised","")</f>
        <v>#N/A</v>
      </c>
      <c r="X2655" s="7" t="e">
        <f>IF(VLOOKUP($A2655,'Concrete Beam Schedule'!$A$2:$Q$2902,X$2,0)&lt;&gt;H2655,"Beam Revised","")</f>
        <v>#N/A</v>
      </c>
      <c r="Y2655" s="7" t="e">
        <f>IF(VLOOKUP($A2655,'Concrete Beam Schedule'!$A$2:$Q$2902,Y$2,0)&lt;&gt;I2655,"Beam Revised","")</f>
        <v>#N/A</v>
      </c>
      <c r="Z2655" s="7" t="e">
        <f>IF(VLOOKUP($A2655,'Concrete Beam Schedule'!$A$2:$Q$2902,Z$2,0)&lt;&gt;J2655,"Beam Revised","")</f>
        <v>#N/A</v>
      </c>
      <c r="AA2655" s="7" t="e">
        <f>IF(VLOOKUP($A2655,'Concrete Beam Schedule'!$A$2:$Q$2902,AA$2,0)&lt;&gt;K2655,"Beam Revised","")</f>
        <v>#N/A</v>
      </c>
      <c r="AB2655" s="7" t="e">
        <f>IF(VLOOKUP($A2655,'Concrete Beam Schedule'!$A$2:$Q$2902,AB$2,0)&lt;&gt;L2655,"Beam Revised","")</f>
        <v>#N/A</v>
      </c>
      <c r="AC2655" s="7" t="e">
        <f>IF(VLOOKUP($A2655,'Concrete Beam Schedule'!$A$2:$Q$2902,AC$2,0)&lt;&gt;M2655,"Beam Revised","")</f>
        <v>#N/A</v>
      </c>
      <c r="AD2655" s="7" t="e">
        <f>IF(VLOOKUP($A2655,'Concrete Beam Schedule'!$A$2:$Q$2902,AD$2,0)&lt;&gt;N2655,"Beam Revised","")</f>
        <v>#N/A</v>
      </c>
      <c r="AE2655" s="7" t="e">
        <f>IF(VLOOKUP($A2655,'Concrete Beam Schedule'!$A$2:$Q$2902,AE$2,0)&lt;&gt;O2655,"Beam Revised","")</f>
        <v>#N/A</v>
      </c>
    </row>
    <row r="2656" spans="17:31" ht="20.100000000000001" customHeight="1" x14ac:dyDescent="0.25">
      <c r="Q2656" s="7">
        <f t="shared" si="41"/>
        <v>0</v>
      </c>
      <c r="R2656" s="7" t="e">
        <f>IF(VLOOKUP($A2656,'Concrete Beam Schedule'!$A$2:$Q$2902,R$2,0)&lt;&gt;B2656,VLOOKUP($A2656,'Concrete Beam Schedule'!$A$2:$Q$2902,R$2,0),"")</f>
        <v>#N/A</v>
      </c>
      <c r="S2656" s="7" t="e">
        <f>IF(VLOOKUP($A2656,'Concrete Beam Schedule'!$A$2:$Q$2902,S$2,0)&lt;&gt;C2656,VLOOKUP($A2656,'Concrete Beam Schedule'!$A$2:$Q$2902,S$2,0),"")</f>
        <v>#N/A</v>
      </c>
      <c r="T2656" s="7" t="e">
        <f>IF(VLOOKUP($A2656,'Concrete Beam Schedule'!$A$2:$Q$2902,T$2,0)&lt;&gt;D2656,"Beam Revised","")</f>
        <v>#N/A</v>
      </c>
      <c r="U2656" s="7" t="e">
        <f>IF(VLOOKUP($A2656,'Concrete Beam Schedule'!$A$2:$Q$2902,U$2,0)&lt;&gt;E2656,"Beam Revised","")</f>
        <v>#N/A</v>
      </c>
      <c r="V2656" s="7" t="e">
        <f>IF(VLOOKUP($A2656,'Concrete Beam Schedule'!$A$2:$Q$2902,V$2,0)&lt;&gt;F2656,"Beam Revised","")</f>
        <v>#N/A</v>
      </c>
      <c r="W2656" s="7" t="e">
        <f>IF(VLOOKUP($A2656,'Concrete Beam Schedule'!$A$2:$Q$2902,W$2,0)&lt;&gt;G2656,"Beam Revised","")</f>
        <v>#N/A</v>
      </c>
      <c r="X2656" s="7" t="e">
        <f>IF(VLOOKUP($A2656,'Concrete Beam Schedule'!$A$2:$Q$2902,X$2,0)&lt;&gt;H2656,"Beam Revised","")</f>
        <v>#N/A</v>
      </c>
      <c r="Y2656" s="7" t="e">
        <f>IF(VLOOKUP($A2656,'Concrete Beam Schedule'!$A$2:$Q$2902,Y$2,0)&lt;&gt;I2656,"Beam Revised","")</f>
        <v>#N/A</v>
      </c>
      <c r="Z2656" s="7" t="e">
        <f>IF(VLOOKUP($A2656,'Concrete Beam Schedule'!$A$2:$Q$2902,Z$2,0)&lt;&gt;J2656,"Beam Revised","")</f>
        <v>#N/A</v>
      </c>
      <c r="AA2656" s="7" t="e">
        <f>IF(VLOOKUP($A2656,'Concrete Beam Schedule'!$A$2:$Q$2902,AA$2,0)&lt;&gt;K2656,"Beam Revised","")</f>
        <v>#N/A</v>
      </c>
      <c r="AB2656" s="7" t="e">
        <f>IF(VLOOKUP($A2656,'Concrete Beam Schedule'!$A$2:$Q$2902,AB$2,0)&lt;&gt;L2656,"Beam Revised","")</f>
        <v>#N/A</v>
      </c>
      <c r="AC2656" s="7" t="e">
        <f>IF(VLOOKUP($A2656,'Concrete Beam Schedule'!$A$2:$Q$2902,AC$2,0)&lt;&gt;M2656,"Beam Revised","")</f>
        <v>#N/A</v>
      </c>
      <c r="AD2656" s="7" t="e">
        <f>IF(VLOOKUP($A2656,'Concrete Beam Schedule'!$A$2:$Q$2902,AD$2,0)&lt;&gt;N2656,"Beam Revised","")</f>
        <v>#N/A</v>
      </c>
      <c r="AE2656" s="7" t="e">
        <f>IF(VLOOKUP($A2656,'Concrete Beam Schedule'!$A$2:$Q$2902,AE$2,0)&lt;&gt;O2656,"Beam Revised","")</f>
        <v>#N/A</v>
      </c>
    </row>
    <row r="2657" spans="17:31" ht="20.100000000000001" customHeight="1" x14ac:dyDescent="0.25">
      <c r="Q2657" s="7">
        <f t="shared" si="41"/>
        <v>0</v>
      </c>
      <c r="R2657" s="7" t="e">
        <f>IF(VLOOKUP($A2657,'Concrete Beam Schedule'!$A$2:$Q$2902,R$2,0)&lt;&gt;B2657,VLOOKUP($A2657,'Concrete Beam Schedule'!$A$2:$Q$2902,R$2,0),"")</f>
        <v>#N/A</v>
      </c>
      <c r="S2657" s="7" t="e">
        <f>IF(VLOOKUP($A2657,'Concrete Beam Schedule'!$A$2:$Q$2902,S$2,0)&lt;&gt;C2657,VLOOKUP($A2657,'Concrete Beam Schedule'!$A$2:$Q$2902,S$2,0),"")</f>
        <v>#N/A</v>
      </c>
      <c r="T2657" s="7" t="e">
        <f>IF(VLOOKUP($A2657,'Concrete Beam Schedule'!$A$2:$Q$2902,T$2,0)&lt;&gt;D2657,"Beam Revised","")</f>
        <v>#N/A</v>
      </c>
      <c r="U2657" s="7" t="e">
        <f>IF(VLOOKUP($A2657,'Concrete Beam Schedule'!$A$2:$Q$2902,U$2,0)&lt;&gt;E2657,"Beam Revised","")</f>
        <v>#N/A</v>
      </c>
      <c r="V2657" s="7" t="e">
        <f>IF(VLOOKUP($A2657,'Concrete Beam Schedule'!$A$2:$Q$2902,V$2,0)&lt;&gt;F2657,"Beam Revised","")</f>
        <v>#N/A</v>
      </c>
      <c r="W2657" s="7" t="e">
        <f>IF(VLOOKUP($A2657,'Concrete Beam Schedule'!$A$2:$Q$2902,W$2,0)&lt;&gt;G2657,"Beam Revised","")</f>
        <v>#N/A</v>
      </c>
      <c r="X2657" s="7" t="e">
        <f>IF(VLOOKUP($A2657,'Concrete Beam Schedule'!$A$2:$Q$2902,X$2,0)&lt;&gt;H2657,"Beam Revised","")</f>
        <v>#N/A</v>
      </c>
      <c r="Y2657" s="7" t="e">
        <f>IF(VLOOKUP($A2657,'Concrete Beam Schedule'!$A$2:$Q$2902,Y$2,0)&lt;&gt;I2657,"Beam Revised","")</f>
        <v>#N/A</v>
      </c>
      <c r="Z2657" s="7" t="e">
        <f>IF(VLOOKUP($A2657,'Concrete Beam Schedule'!$A$2:$Q$2902,Z$2,0)&lt;&gt;J2657,"Beam Revised","")</f>
        <v>#N/A</v>
      </c>
      <c r="AA2657" s="7" t="e">
        <f>IF(VLOOKUP($A2657,'Concrete Beam Schedule'!$A$2:$Q$2902,AA$2,0)&lt;&gt;K2657,"Beam Revised","")</f>
        <v>#N/A</v>
      </c>
      <c r="AB2657" s="7" t="e">
        <f>IF(VLOOKUP($A2657,'Concrete Beam Schedule'!$A$2:$Q$2902,AB$2,0)&lt;&gt;L2657,"Beam Revised","")</f>
        <v>#N/A</v>
      </c>
      <c r="AC2657" s="7" t="e">
        <f>IF(VLOOKUP($A2657,'Concrete Beam Schedule'!$A$2:$Q$2902,AC$2,0)&lt;&gt;M2657,"Beam Revised","")</f>
        <v>#N/A</v>
      </c>
      <c r="AD2657" s="7" t="e">
        <f>IF(VLOOKUP($A2657,'Concrete Beam Schedule'!$A$2:$Q$2902,AD$2,0)&lt;&gt;N2657,"Beam Revised","")</f>
        <v>#N/A</v>
      </c>
      <c r="AE2657" s="7" t="e">
        <f>IF(VLOOKUP($A2657,'Concrete Beam Schedule'!$A$2:$Q$2902,AE$2,0)&lt;&gt;O2657,"Beam Revised","")</f>
        <v>#N/A</v>
      </c>
    </row>
    <row r="2658" spans="17:31" ht="20.100000000000001" customHeight="1" x14ac:dyDescent="0.25">
      <c r="Q2658" s="7">
        <f t="shared" si="41"/>
        <v>0</v>
      </c>
      <c r="R2658" s="7" t="e">
        <f>IF(VLOOKUP($A2658,'Concrete Beam Schedule'!$A$2:$Q$2902,R$2,0)&lt;&gt;B2658,VLOOKUP($A2658,'Concrete Beam Schedule'!$A$2:$Q$2902,R$2,0),"")</f>
        <v>#N/A</v>
      </c>
      <c r="S2658" s="7" t="e">
        <f>IF(VLOOKUP($A2658,'Concrete Beam Schedule'!$A$2:$Q$2902,S$2,0)&lt;&gt;C2658,VLOOKUP($A2658,'Concrete Beam Schedule'!$A$2:$Q$2902,S$2,0),"")</f>
        <v>#N/A</v>
      </c>
      <c r="T2658" s="7" t="e">
        <f>IF(VLOOKUP($A2658,'Concrete Beam Schedule'!$A$2:$Q$2902,T$2,0)&lt;&gt;D2658,"Beam Revised","")</f>
        <v>#N/A</v>
      </c>
      <c r="U2658" s="7" t="e">
        <f>IF(VLOOKUP($A2658,'Concrete Beam Schedule'!$A$2:$Q$2902,U$2,0)&lt;&gt;E2658,"Beam Revised","")</f>
        <v>#N/A</v>
      </c>
      <c r="V2658" s="7" t="e">
        <f>IF(VLOOKUP($A2658,'Concrete Beam Schedule'!$A$2:$Q$2902,V$2,0)&lt;&gt;F2658,"Beam Revised","")</f>
        <v>#N/A</v>
      </c>
      <c r="W2658" s="7" t="e">
        <f>IF(VLOOKUP($A2658,'Concrete Beam Schedule'!$A$2:$Q$2902,W$2,0)&lt;&gt;G2658,"Beam Revised","")</f>
        <v>#N/A</v>
      </c>
      <c r="X2658" s="7" t="e">
        <f>IF(VLOOKUP($A2658,'Concrete Beam Schedule'!$A$2:$Q$2902,X$2,0)&lt;&gt;H2658,"Beam Revised","")</f>
        <v>#N/A</v>
      </c>
      <c r="Y2658" s="7" t="e">
        <f>IF(VLOOKUP($A2658,'Concrete Beam Schedule'!$A$2:$Q$2902,Y$2,0)&lt;&gt;I2658,"Beam Revised","")</f>
        <v>#N/A</v>
      </c>
      <c r="Z2658" s="7" t="e">
        <f>IF(VLOOKUP($A2658,'Concrete Beam Schedule'!$A$2:$Q$2902,Z$2,0)&lt;&gt;J2658,"Beam Revised","")</f>
        <v>#N/A</v>
      </c>
      <c r="AA2658" s="7" t="e">
        <f>IF(VLOOKUP($A2658,'Concrete Beam Schedule'!$A$2:$Q$2902,AA$2,0)&lt;&gt;K2658,"Beam Revised","")</f>
        <v>#N/A</v>
      </c>
      <c r="AB2658" s="7" t="e">
        <f>IF(VLOOKUP($A2658,'Concrete Beam Schedule'!$A$2:$Q$2902,AB$2,0)&lt;&gt;L2658,"Beam Revised","")</f>
        <v>#N/A</v>
      </c>
      <c r="AC2658" s="7" t="e">
        <f>IF(VLOOKUP($A2658,'Concrete Beam Schedule'!$A$2:$Q$2902,AC$2,0)&lt;&gt;M2658,"Beam Revised","")</f>
        <v>#N/A</v>
      </c>
      <c r="AD2658" s="7" t="e">
        <f>IF(VLOOKUP($A2658,'Concrete Beam Schedule'!$A$2:$Q$2902,AD$2,0)&lt;&gt;N2658,"Beam Revised","")</f>
        <v>#N/A</v>
      </c>
      <c r="AE2658" s="7" t="e">
        <f>IF(VLOOKUP($A2658,'Concrete Beam Schedule'!$A$2:$Q$2902,AE$2,0)&lt;&gt;O2658,"Beam Revised","")</f>
        <v>#N/A</v>
      </c>
    </row>
    <row r="2659" spans="17:31" ht="20.100000000000001" customHeight="1" x14ac:dyDescent="0.25">
      <c r="Q2659" s="7">
        <f t="shared" si="41"/>
        <v>0</v>
      </c>
      <c r="R2659" s="7" t="e">
        <f>IF(VLOOKUP($A2659,'Concrete Beam Schedule'!$A$2:$Q$2902,R$2,0)&lt;&gt;B2659,VLOOKUP($A2659,'Concrete Beam Schedule'!$A$2:$Q$2902,R$2,0),"")</f>
        <v>#N/A</v>
      </c>
      <c r="S2659" s="7" t="e">
        <f>IF(VLOOKUP($A2659,'Concrete Beam Schedule'!$A$2:$Q$2902,S$2,0)&lt;&gt;C2659,VLOOKUP($A2659,'Concrete Beam Schedule'!$A$2:$Q$2902,S$2,0),"")</f>
        <v>#N/A</v>
      </c>
      <c r="T2659" s="7" t="e">
        <f>IF(VLOOKUP($A2659,'Concrete Beam Schedule'!$A$2:$Q$2902,T$2,0)&lt;&gt;D2659,"Beam Revised","")</f>
        <v>#N/A</v>
      </c>
      <c r="U2659" s="7" t="e">
        <f>IF(VLOOKUP($A2659,'Concrete Beam Schedule'!$A$2:$Q$2902,U$2,0)&lt;&gt;E2659,"Beam Revised","")</f>
        <v>#N/A</v>
      </c>
      <c r="V2659" s="7" t="e">
        <f>IF(VLOOKUP($A2659,'Concrete Beam Schedule'!$A$2:$Q$2902,V$2,0)&lt;&gt;F2659,"Beam Revised","")</f>
        <v>#N/A</v>
      </c>
      <c r="W2659" s="7" t="e">
        <f>IF(VLOOKUP($A2659,'Concrete Beam Schedule'!$A$2:$Q$2902,W$2,0)&lt;&gt;G2659,"Beam Revised","")</f>
        <v>#N/A</v>
      </c>
      <c r="X2659" s="7" t="e">
        <f>IF(VLOOKUP($A2659,'Concrete Beam Schedule'!$A$2:$Q$2902,X$2,0)&lt;&gt;H2659,"Beam Revised","")</f>
        <v>#N/A</v>
      </c>
      <c r="Y2659" s="7" t="e">
        <f>IF(VLOOKUP($A2659,'Concrete Beam Schedule'!$A$2:$Q$2902,Y$2,0)&lt;&gt;I2659,"Beam Revised","")</f>
        <v>#N/A</v>
      </c>
      <c r="Z2659" s="7" t="e">
        <f>IF(VLOOKUP($A2659,'Concrete Beam Schedule'!$A$2:$Q$2902,Z$2,0)&lt;&gt;J2659,"Beam Revised","")</f>
        <v>#N/A</v>
      </c>
      <c r="AA2659" s="7" t="e">
        <f>IF(VLOOKUP($A2659,'Concrete Beam Schedule'!$A$2:$Q$2902,AA$2,0)&lt;&gt;K2659,"Beam Revised","")</f>
        <v>#N/A</v>
      </c>
      <c r="AB2659" s="7" t="e">
        <f>IF(VLOOKUP($A2659,'Concrete Beam Schedule'!$A$2:$Q$2902,AB$2,0)&lt;&gt;L2659,"Beam Revised","")</f>
        <v>#N/A</v>
      </c>
      <c r="AC2659" s="7" t="e">
        <f>IF(VLOOKUP($A2659,'Concrete Beam Schedule'!$A$2:$Q$2902,AC$2,0)&lt;&gt;M2659,"Beam Revised","")</f>
        <v>#N/A</v>
      </c>
      <c r="AD2659" s="7" t="e">
        <f>IF(VLOOKUP($A2659,'Concrete Beam Schedule'!$A$2:$Q$2902,AD$2,0)&lt;&gt;N2659,"Beam Revised","")</f>
        <v>#N/A</v>
      </c>
      <c r="AE2659" s="7" t="e">
        <f>IF(VLOOKUP($A2659,'Concrete Beam Schedule'!$A$2:$Q$2902,AE$2,0)&lt;&gt;O2659,"Beam Revised","")</f>
        <v>#N/A</v>
      </c>
    </row>
    <row r="2660" spans="17:31" ht="20.100000000000001" customHeight="1" x14ac:dyDescent="0.25">
      <c r="Q2660" s="7">
        <f t="shared" si="41"/>
        <v>0</v>
      </c>
      <c r="R2660" s="7" t="e">
        <f>IF(VLOOKUP($A2660,'Concrete Beam Schedule'!$A$2:$Q$2902,R$2,0)&lt;&gt;B2660,VLOOKUP($A2660,'Concrete Beam Schedule'!$A$2:$Q$2902,R$2,0),"")</f>
        <v>#N/A</v>
      </c>
      <c r="S2660" s="7" t="e">
        <f>IF(VLOOKUP($A2660,'Concrete Beam Schedule'!$A$2:$Q$2902,S$2,0)&lt;&gt;C2660,VLOOKUP($A2660,'Concrete Beam Schedule'!$A$2:$Q$2902,S$2,0),"")</f>
        <v>#N/A</v>
      </c>
      <c r="T2660" s="7" t="e">
        <f>IF(VLOOKUP($A2660,'Concrete Beam Schedule'!$A$2:$Q$2902,T$2,0)&lt;&gt;D2660,"Beam Revised","")</f>
        <v>#N/A</v>
      </c>
      <c r="U2660" s="7" t="e">
        <f>IF(VLOOKUP($A2660,'Concrete Beam Schedule'!$A$2:$Q$2902,U$2,0)&lt;&gt;E2660,"Beam Revised","")</f>
        <v>#N/A</v>
      </c>
      <c r="V2660" s="7" t="e">
        <f>IF(VLOOKUP($A2660,'Concrete Beam Schedule'!$A$2:$Q$2902,V$2,0)&lt;&gt;F2660,"Beam Revised","")</f>
        <v>#N/A</v>
      </c>
      <c r="W2660" s="7" t="e">
        <f>IF(VLOOKUP($A2660,'Concrete Beam Schedule'!$A$2:$Q$2902,W$2,0)&lt;&gt;G2660,"Beam Revised","")</f>
        <v>#N/A</v>
      </c>
      <c r="X2660" s="7" t="e">
        <f>IF(VLOOKUP($A2660,'Concrete Beam Schedule'!$A$2:$Q$2902,X$2,0)&lt;&gt;H2660,"Beam Revised","")</f>
        <v>#N/A</v>
      </c>
      <c r="Y2660" s="7" t="e">
        <f>IF(VLOOKUP($A2660,'Concrete Beam Schedule'!$A$2:$Q$2902,Y$2,0)&lt;&gt;I2660,"Beam Revised","")</f>
        <v>#N/A</v>
      </c>
      <c r="Z2660" s="7" t="e">
        <f>IF(VLOOKUP($A2660,'Concrete Beam Schedule'!$A$2:$Q$2902,Z$2,0)&lt;&gt;J2660,"Beam Revised","")</f>
        <v>#N/A</v>
      </c>
      <c r="AA2660" s="7" t="e">
        <f>IF(VLOOKUP($A2660,'Concrete Beam Schedule'!$A$2:$Q$2902,AA$2,0)&lt;&gt;K2660,"Beam Revised","")</f>
        <v>#N/A</v>
      </c>
      <c r="AB2660" s="7" t="e">
        <f>IF(VLOOKUP($A2660,'Concrete Beam Schedule'!$A$2:$Q$2902,AB$2,0)&lt;&gt;L2660,"Beam Revised","")</f>
        <v>#N/A</v>
      </c>
      <c r="AC2660" s="7" t="e">
        <f>IF(VLOOKUP($A2660,'Concrete Beam Schedule'!$A$2:$Q$2902,AC$2,0)&lt;&gt;M2660,"Beam Revised","")</f>
        <v>#N/A</v>
      </c>
      <c r="AD2660" s="7" t="e">
        <f>IF(VLOOKUP($A2660,'Concrete Beam Schedule'!$A$2:$Q$2902,AD$2,0)&lt;&gt;N2660,"Beam Revised","")</f>
        <v>#N/A</v>
      </c>
      <c r="AE2660" s="7" t="e">
        <f>IF(VLOOKUP($A2660,'Concrete Beam Schedule'!$A$2:$Q$2902,AE$2,0)&lt;&gt;O2660,"Beam Revised","")</f>
        <v>#N/A</v>
      </c>
    </row>
    <row r="2661" spans="17:31" ht="20.100000000000001" customHeight="1" x14ac:dyDescent="0.25">
      <c r="Q2661" s="7">
        <f t="shared" si="41"/>
        <v>0</v>
      </c>
      <c r="R2661" s="7" t="e">
        <f>IF(VLOOKUP($A2661,'Concrete Beam Schedule'!$A$2:$Q$2902,R$2,0)&lt;&gt;B2661,VLOOKUP($A2661,'Concrete Beam Schedule'!$A$2:$Q$2902,R$2,0),"")</f>
        <v>#N/A</v>
      </c>
      <c r="S2661" s="7" t="e">
        <f>IF(VLOOKUP($A2661,'Concrete Beam Schedule'!$A$2:$Q$2902,S$2,0)&lt;&gt;C2661,VLOOKUP($A2661,'Concrete Beam Schedule'!$A$2:$Q$2902,S$2,0),"")</f>
        <v>#N/A</v>
      </c>
      <c r="T2661" s="7" t="e">
        <f>IF(VLOOKUP($A2661,'Concrete Beam Schedule'!$A$2:$Q$2902,T$2,0)&lt;&gt;D2661,"Beam Revised","")</f>
        <v>#N/A</v>
      </c>
      <c r="U2661" s="7" t="e">
        <f>IF(VLOOKUP($A2661,'Concrete Beam Schedule'!$A$2:$Q$2902,U$2,0)&lt;&gt;E2661,"Beam Revised","")</f>
        <v>#N/A</v>
      </c>
      <c r="V2661" s="7" t="e">
        <f>IF(VLOOKUP($A2661,'Concrete Beam Schedule'!$A$2:$Q$2902,V$2,0)&lt;&gt;F2661,"Beam Revised","")</f>
        <v>#N/A</v>
      </c>
      <c r="W2661" s="7" t="e">
        <f>IF(VLOOKUP($A2661,'Concrete Beam Schedule'!$A$2:$Q$2902,W$2,0)&lt;&gt;G2661,"Beam Revised","")</f>
        <v>#N/A</v>
      </c>
      <c r="X2661" s="7" t="e">
        <f>IF(VLOOKUP($A2661,'Concrete Beam Schedule'!$A$2:$Q$2902,X$2,0)&lt;&gt;H2661,"Beam Revised","")</f>
        <v>#N/A</v>
      </c>
      <c r="Y2661" s="7" t="e">
        <f>IF(VLOOKUP($A2661,'Concrete Beam Schedule'!$A$2:$Q$2902,Y$2,0)&lt;&gt;I2661,"Beam Revised","")</f>
        <v>#N/A</v>
      </c>
      <c r="Z2661" s="7" t="e">
        <f>IF(VLOOKUP($A2661,'Concrete Beam Schedule'!$A$2:$Q$2902,Z$2,0)&lt;&gt;J2661,"Beam Revised","")</f>
        <v>#N/A</v>
      </c>
      <c r="AA2661" s="7" t="e">
        <f>IF(VLOOKUP($A2661,'Concrete Beam Schedule'!$A$2:$Q$2902,AA$2,0)&lt;&gt;K2661,"Beam Revised","")</f>
        <v>#N/A</v>
      </c>
      <c r="AB2661" s="7" t="e">
        <f>IF(VLOOKUP($A2661,'Concrete Beam Schedule'!$A$2:$Q$2902,AB$2,0)&lt;&gt;L2661,"Beam Revised","")</f>
        <v>#N/A</v>
      </c>
      <c r="AC2661" s="7" t="e">
        <f>IF(VLOOKUP($A2661,'Concrete Beam Schedule'!$A$2:$Q$2902,AC$2,0)&lt;&gt;M2661,"Beam Revised","")</f>
        <v>#N/A</v>
      </c>
      <c r="AD2661" s="7" t="e">
        <f>IF(VLOOKUP($A2661,'Concrete Beam Schedule'!$A$2:$Q$2902,AD$2,0)&lt;&gt;N2661,"Beam Revised","")</f>
        <v>#N/A</v>
      </c>
      <c r="AE2661" s="7" t="e">
        <f>IF(VLOOKUP($A2661,'Concrete Beam Schedule'!$A$2:$Q$2902,AE$2,0)&lt;&gt;O2661,"Beam Revised","")</f>
        <v>#N/A</v>
      </c>
    </row>
    <row r="2662" spans="17:31" ht="20.100000000000001" customHeight="1" x14ac:dyDescent="0.25">
      <c r="Q2662" s="7">
        <f t="shared" si="41"/>
        <v>0</v>
      </c>
      <c r="R2662" s="7" t="e">
        <f>IF(VLOOKUP($A2662,'Concrete Beam Schedule'!$A$2:$Q$2902,R$2,0)&lt;&gt;B2662,VLOOKUP($A2662,'Concrete Beam Schedule'!$A$2:$Q$2902,R$2,0),"")</f>
        <v>#N/A</v>
      </c>
      <c r="S2662" s="7" t="e">
        <f>IF(VLOOKUP($A2662,'Concrete Beam Schedule'!$A$2:$Q$2902,S$2,0)&lt;&gt;C2662,VLOOKUP($A2662,'Concrete Beam Schedule'!$A$2:$Q$2902,S$2,0),"")</f>
        <v>#N/A</v>
      </c>
      <c r="T2662" s="7" t="e">
        <f>IF(VLOOKUP($A2662,'Concrete Beam Schedule'!$A$2:$Q$2902,T$2,0)&lt;&gt;D2662,"Beam Revised","")</f>
        <v>#N/A</v>
      </c>
      <c r="U2662" s="7" t="e">
        <f>IF(VLOOKUP($A2662,'Concrete Beam Schedule'!$A$2:$Q$2902,U$2,0)&lt;&gt;E2662,"Beam Revised","")</f>
        <v>#N/A</v>
      </c>
      <c r="V2662" s="7" t="e">
        <f>IF(VLOOKUP($A2662,'Concrete Beam Schedule'!$A$2:$Q$2902,V$2,0)&lt;&gt;F2662,"Beam Revised","")</f>
        <v>#N/A</v>
      </c>
      <c r="W2662" s="7" t="e">
        <f>IF(VLOOKUP($A2662,'Concrete Beam Schedule'!$A$2:$Q$2902,W$2,0)&lt;&gt;G2662,"Beam Revised","")</f>
        <v>#N/A</v>
      </c>
      <c r="X2662" s="7" t="e">
        <f>IF(VLOOKUP($A2662,'Concrete Beam Schedule'!$A$2:$Q$2902,X$2,0)&lt;&gt;H2662,"Beam Revised","")</f>
        <v>#N/A</v>
      </c>
      <c r="Y2662" s="7" t="e">
        <f>IF(VLOOKUP($A2662,'Concrete Beam Schedule'!$A$2:$Q$2902,Y$2,0)&lt;&gt;I2662,"Beam Revised","")</f>
        <v>#N/A</v>
      </c>
      <c r="Z2662" s="7" t="e">
        <f>IF(VLOOKUP($A2662,'Concrete Beam Schedule'!$A$2:$Q$2902,Z$2,0)&lt;&gt;J2662,"Beam Revised","")</f>
        <v>#N/A</v>
      </c>
      <c r="AA2662" s="7" t="e">
        <f>IF(VLOOKUP($A2662,'Concrete Beam Schedule'!$A$2:$Q$2902,AA$2,0)&lt;&gt;K2662,"Beam Revised","")</f>
        <v>#N/A</v>
      </c>
      <c r="AB2662" s="7" t="e">
        <f>IF(VLOOKUP($A2662,'Concrete Beam Schedule'!$A$2:$Q$2902,AB$2,0)&lt;&gt;L2662,"Beam Revised","")</f>
        <v>#N/A</v>
      </c>
      <c r="AC2662" s="7" t="e">
        <f>IF(VLOOKUP($A2662,'Concrete Beam Schedule'!$A$2:$Q$2902,AC$2,0)&lt;&gt;M2662,"Beam Revised","")</f>
        <v>#N/A</v>
      </c>
      <c r="AD2662" s="7" t="e">
        <f>IF(VLOOKUP($A2662,'Concrete Beam Schedule'!$A$2:$Q$2902,AD$2,0)&lt;&gt;N2662,"Beam Revised","")</f>
        <v>#N/A</v>
      </c>
      <c r="AE2662" s="7" t="e">
        <f>IF(VLOOKUP($A2662,'Concrete Beam Schedule'!$A$2:$Q$2902,AE$2,0)&lt;&gt;O2662,"Beam Revised","")</f>
        <v>#N/A</v>
      </c>
    </row>
    <row r="2663" spans="17:31" ht="20.100000000000001" customHeight="1" x14ac:dyDescent="0.25">
      <c r="Q2663" s="7">
        <f t="shared" si="41"/>
        <v>0</v>
      </c>
      <c r="R2663" s="7" t="e">
        <f>IF(VLOOKUP($A2663,'Concrete Beam Schedule'!$A$2:$Q$2902,R$2,0)&lt;&gt;B2663,VLOOKUP($A2663,'Concrete Beam Schedule'!$A$2:$Q$2902,R$2,0),"")</f>
        <v>#N/A</v>
      </c>
      <c r="S2663" s="7" t="e">
        <f>IF(VLOOKUP($A2663,'Concrete Beam Schedule'!$A$2:$Q$2902,S$2,0)&lt;&gt;C2663,VLOOKUP($A2663,'Concrete Beam Schedule'!$A$2:$Q$2902,S$2,0),"")</f>
        <v>#N/A</v>
      </c>
      <c r="T2663" s="7" t="e">
        <f>IF(VLOOKUP($A2663,'Concrete Beam Schedule'!$A$2:$Q$2902,T$2,0)&lt;&gt;D2663,"Beam Revised","")</f>
        <v>#N/A</v>
      </c>
      <c r="U2663" s="7" t="e">
        <f>IF(VLOOKUP($A2663,'Concrete Beam Schedule'!$A$2:$Q$2902,U$2,0)&lt;&gt;E2663,"Beam Revised","")</f>
        <v>#N/A</v>
      </c>
      <c r="V2663" s="7" t="e">
        <f>IF(VLOOKUP($A2663,'Concrete Beam Schedule'!$A$2:$Q$2902,V$2,0)&lt;&gt;F2663,"Beam Revised","")</f>
        <v>#N/A</v>
      </c>
      <c r="W2663" s="7" t="e">
        <f>IF(VLOOKUP($A2663,'Concrete Beam Schedule'!$A$2:$Q$2902,W$2,0)&lt;&gt;G2663,"Beam Revised","")</f>
        <v>#N/A</v>
      </c>
      <c r="X2663" s="7" t="e">
        <f>IF(VLOOKUP($A2663,'Concrete Beam Schedule'!$A$2:$Q$2902,X$2,0)&lt;&gt;H2663,"Beam Revised","")</f>
        <v>#N/A</v>
      </c>
      <c r="Y2663" s="7" t="e">
        <f>IF(VLOOKUP($A2663,'Concrete Beam Schedule'!$A$2:$Q$2902,Y$2,0)&lt;&gt;I2663,"Beam Revised","")</f>
        <v>#N/A</v>
      </c>
      <c r="Z2663" s="7" t="e">
        <f>IF(VLOOKUP($A2663,'Concrete Beam Schedule'!$A$2:$Q$2902,Z$2,0)&lt;&gt;J2663,"Beam Revised","")</f>
        <v>#N/A</v>
      </c>
      <c r="AA2663" s="7" t="e">
        <f>IF(VLOOKUP($A2663,'Concrete Beam Schedule'!$A$2:$Q$2902,AA$2,0)&lt;&gt;K2663,"Beam Revised","")</f>
        <v>#N/A</v>
      </c>
      <c r="AB2663" s="7" t="e">
        <f>IF(VLOOKUP($A2663,'Concrete Beam Schedule'!$A$2:$Q$2902,AB$2,0)&lt;&gt;L2663,"Beam Revised","")</f>
        <v>#N/A</v>
      </c>
      <c r="AC2663" s="7" t="e">
        <f>IF(VLOOKUP($A2663,'Concrete Beam Schedule'!$A$2:$Q$2902,AC$2,0)&lt;&gt;M2663,"Beam Revised","")</f>
        <v>#N/A</v>
      </c>
      <c r="AD2663" s="7" t="e">
        <f>IF(VLOOKUP($A2663,'Concrete Beam Schedule'!$A$2:$Q$2902,AD$2,0)&lt;&gt;N2663,"Beam Revised","")</f>
        <v>#N/A</v>
      </c>
      <c r="AE2663" s="7" t="e">
        <f>IF(VLOOKUP($A2663,'Concrete Beam Schedule'!$A$2:$Q$2902,AE$2,0)&lt;&gt;O2663,"Beam Revised","")</f>
        <v>#N/A</v>
      </c>
    </row>
    <row r="2664" spans="17:31" ht="20.100000000000001" customHeight="1" x14ac:dyDescent="0.25">
      <c r="Q2664" s="7">
        <f t="shared" si="41"/>
        <v>0</v>
      </c>
      <c r="R2664" s="7" t="e">
        <f>IF(VLOOKUP($A2664,'Concrete Beam Schedule'!$A$2:$Q$2902,R$2,0)&lt;&gt;B2664,VLOOKUP($A2664,'Concrete Beam Schedule'!$A$2:$Q$2902,R$2,0),"")</f>
        <v>#N/A</v>
      </c>
      <c r="S2664" s="7" t="e">
        <f>IF(VLOOKUP($A2664,'Concrete Beam Schedule'!$A$2:$Q$2902,S$2,0)&lt;&gt;C2664,VLOOKUP($A2664,'Concrete Beam Schedule'!$A$2:$Q$2902,S$2,0),"")</f>
        <v>#N/A</v>
      </c>
      <c r="T2664" s="7" t="e">
        <f>IF(VLOOKUP($A2664,'Concrete Beam Schedule'!$A$2:$Q$2902,T$2,0)&lt;&gt;D2664,"Beam Revised","")</f>
        <v>#N/A</v>
      </c>
      <c r="U2664" s="7" t="e">
        <f>IF(VLOOKUP($A2664,'Concrete Beam Schedule'!$A$2:$Q$2902,U$2,0)&lt;&gt;E2664,"Beam Revised","")</f>
        <v>#N/A</v>
      </c>
      <c r="V2664" s="7" t="e">
        <f>IF(VLOOKUP($A2664,'Concrete Beam Schedule'!$A$2:$Q$2902,V$2,0)&lt;&gt;F2664,"Beam Revised","")</f>
        <v>#N/A</v>
      </c>
      <c r="W2664" s="7" t="e">
        <f>IF(VLOOKUP($A2664,'Concrete Beam Schedule'!$A$2:$Q$2902,W$2,0)&lt;&gt;G2664,"Beam Revised","")</f>
        <v>#N/A</v>
      </c>
      <c r="X2664" s="7" t="e">
        <f>IF(VLOOKUP($A2664,'Concrete Beam Schedule'!$A$2:$Q$2902,X$2,0)&lt;&gt;H2664,"Beam Revised","")</f>
        <v>#N/A</v>
      </c>
      <c r="Y2664" s="7" t="e">
        <f>IF(VLOOKUP($A2664,'Concrete Beam Schedule'!$A$2:$Q$2902,Y$2,0)&lt;&gt;I2664,"Beam Revised","")</f>
        <v>#N/A</v>
      </c>
      <c r="Z2664" s="7" t="e">
        <f>IF(VLOOKUP($A2664,'Concrete Beam Schedule'!$A$2:$Q$2902,Z$2,0)&lt;&gt;J2664,"Beam Revised","")</f>
        <v>#N/A</v>
      </c>
      <c r="AA2664" s="7" t="e">
        <f>IF(VLOOKUP($A2664,'Concrete Beam Schedule'!$A$2:$Q$2902,AA$2,0)&lt;&gt;K2664,"Beam Revised","")</f>
        <v>#N/A</v>
      </c>
      <c r="AB2664" s="7" t="e">
        <f>IF(VLOOKUP($A2664,'Concrete Beam Schedule'!$A$2:$Q$2902,AB$2,0)&lt;&gt;L2664,"Beam Revised","")</f>
        <v>#N/A</v>
      </c>
      <c r="AC2664" s="7" t="e">
        <f>IF(VLOOKUP($A2664,'Concrete Beam Schedule'!$A$2:$Q$2902,AC$2,0)&lt;&gt;M2664,"Beam Revised","")</f>
        <v>#N/A</v>
      </c>
      <c r="AD2664" s="7" t="e">
        <f>IF(VLOOKUP($A2664,'Concrete Beam Schedule'!$A$2:$Q$2902,AD$2,0)&lt;&gt;N2664,"Beam Revised","")</f>
        <v>#N/A</v>
      </c>
      <c r="AE2664" s="7" t="e">
        <f>IF(VLOOKUP($A2664,'Concrete Beam Schedule'!$A$2:$Q$2902,AE$2,0)&lt;&gt;O2664,"Beam Revised","")</f>
        <v>#N/A</v>
      </c>
    </row>
    <row r="2665" spans="17:31" ht="20.100000000000001" customHeight="1" x14ac:dyDescent="0.25">
      <c r="Q2665" s="7">
        <f t="shared" si="41"/>
        <v>0</v>
      </c>
      <c r="R2665" s="7" t="e">
        <f>IF(VLOOKUP($A2665,'Concrete Beam Schedule'!$A$2:$Q$2902,R$2,0)&lt;&gt;B2665,VLOOKUP($A2665,'Concrete Beam Schedule'!$A$2:$Q$2902,R$2,0),"")</f>
        <v>#N/A</v>
      </c>
      <c r="S2665" s="7" t="e">
        <f>IF(VLOOKUP($A2665,'Concrete Beam Schedule'!$A$2:$Q$2902,S$2,0)&lt;&gt;C2665,VLOOKUP($A2665,'Concrete Beam Schedule'!$A$2:$Q$2902,S$2,0),"")</f>
        <v>#N/A</v>
      </c>
      <c r="T2665" s="7" t="e">
        <f>IF(VLOOKUP($A2665,'Concrete Beam Schedule'!$A$2:$Q$2902,T$2,0)&lt;&gt;D2665,"Beam Revised","")</f>
        <v>#N/A</v>
      </c>
      <c r="U2665" s="7" t="e">
        <f>IF(VLOOKUP($A2665,'Concrete Beam Schedule'!$A$2:$Q$2902,U$2,0)&lt;&gt;E2665,"Beam Revised","")</f>
        <v>#N/A</v>
      </c>
      <c r="V2665" s="7" t="e">
        <f>IF(VLOOKUP($A2665,'Concrete Beam Schedule'!$A$2:$Q$2902,V$2,0)&lt;&gt;F2665,"Beam Revised","")</f>
        <v>#N/A</v>
      </c>
      <c r="W2665" s="7" t="e">
        <f>IF(VLOOKUP($A2665,'Concrete Beam Schedule'!$A$2:$Q$2902,W$2,0)&lt;&gt;G2665,"Beam Revised","")</f>
        <v>#N/A</v>
      </c>
      <c r="X2665" s="7" t="e">
        <f>IF(VLOOKUP($A2665,'Concrete Beam Schedule'!$A$2:$Q$2902,X$2,0)&lt;&gt;H2665,"Beam Revised","")</f>
        <v>#N/A</v>
      </c>
      <c r="Y2665" s="7" t="e">
        <f>IF(VLOOKUP($A2665,'Concrete Beam Schedule'!$A$2:$Q$2902,Y$2,0)&lt;&gt;I2665,"Beam Revised","")</f>
        <v>#N/A</v>
      </c>
      <c r="Z2665" s="7" t="e">
        <f>IF(VLOOKUP($A2665,'Concrete Beam Schedule'!$A$2:$Q$2902,Z$2,0)&lt;&gt;J2665,"Beam Revised","")</f>
        <v>#N/A</v>
      </c>
      <c r="AA2665" s="7" t="e">
        <f>IF(VLOOKUP($A2665,'Concrete Beam Schedule'!$A$2:$Q$2902,AA$2,0)&lt;&gt;K2665,"Beam Revised","")</f>
        <v>#N/A</v>
      </c>
      <c r="AB2665" s="7" t="e">
        <f>IF(VLOOKUP($A2665,'Concrete Beam Schedule'!$A$2:$Q$2902,AB$2,0)&lt;&gt;L2665,"Beam Revised","")</f>
        <v>#N/A</v>
      </c>
      <c r="AC2665" s="7" t="e">
        <f>IF(VLOOKUP($A2665,'Concrete Beam Schedule'!$A$2:$Q$2902,AC$2,0)&lt;&gt;M2665,"Beam Revised","")</f>
        <v>#N/A</v>
      </c>
      <c r="AD2665" s="7" t="e">
        <f>IF(VLOOKUP($A2665,'Concrete Beam Schedule'!$A$2:$Q$2902,AD$2,0)&lt;&gt;N2665,"Beam Revised","")</f>
        <v>#N/A</v>
      </c>
      <c r="AE2665" s="7" t="e">
        <f>IF(VLOOKUP($A2665,'Concrete Beam Schedule'!$A$2:$Q$2902,AE$2,0)&lt;&gt;O2665,"Beam Revised","")</f>
        <v>#N/A</v>
      </c>
    </row>
    <row r="2666" spans="17:31" ht="20.100000000000001" customHeight="1" x14ac:dyDescent="0.25">
      <c r="Q2666" s="7">
        <f t="shared" si="41"/>
        <v>0</v>
      </c>
      <c r="R2666" s="7" t="e">
        <f>IF(VLOOKUP($A2666,'Concrete Beam Schedule'!$A$2:$Q$2902,R$2,0)&lt;&gt;B2666,VLOOKUP($A2666,'Concrete Beam Schedule'!$A$2:$Q$2902,R$2,0),"")</f>
        <v>#N/A</v>
      </c>
      <c r="S2666" s="7" t="e">
        <f>IF(VLOOKUP($A2666,'Concrete Beam Schedule'!$A$2:$Q$2902,S$2,0)&lt;&gt;C2666,VLOOKUP($A2666,'Concrete Beam Schedule'!$A$2:$Q$2902,S$2,0),"")</f>
        <v>#N/A</v>
      </c>
      <c r="T2666" s="7" t="e">
        <f>IF(VLOOKUP($A2666,'Concrete Beam Schedule'!$A$2:$Q$2902,T$2,0)&lt;&gt;D2666,"Beam Revised","")</f>
        <v>#N/A</v>
      </c>
      <c r="U2666" s="7" t="e">
        <f>IF(VLOOKUP($A2666,'Concrete Beam Schedule'!$A$2:$Q$2902,U$2,0)&lt;&gt;E2666,"Beam Revised","")</f>
        <v>#N/A</v>
      </c>
      <c r="V2666" s="7" t="e">
        <f>IF(VLOOKUP($A2666,'Concrete Beam Schedule'!$A$2:$Q$2902,V$2,0)&lt;&gt;F2666,"Beam Revised","")</f>
        <v>#N/A</v>
      </c>
      <c r="W2666" s="7" t="e">
        <f>IF(VLOOKUP($A2666,'Concrete Beam Schedule'!$A$2:$Q$2902,W$2,0)&lt;&gt;G2666,"Beam Revised","")</f>
        <v>#N/A</v>
      </c>
      <c r="X2666" s="7" t="e">
        <f>IF(VLOOKUP($A2666,'Concrete Beam Schedule'!$A$2:$Q$2902,X$2,0)&lt;&gt;H2666,"Beam Revised","")</f>
        <v>#N/A</v>
      </c>
      <c r="Y2666" s="7" t="e">
        <f>IF(VLOOKUP($A2666,'Concrete Beam Schedule'!$A$2:$Q$2902,Y$2,0)&lt;&gt;I2666,"Beam Revised","")</f>
        <v>#N/A</v>
      </c>
      <c r="Z2666" s="7" t="e">
        <f>IF(VLOOKUP($A2666,'Concrete Beam Schedule'!$A$2:$Q$2902,Z$2,0)&lt;&gt;J2666,"Beam Revised","")</f>
        <v>#N/A</v>
      </c>
      <c r="AA2666" s="7" t="e">
        <f>IF(VLOOKUP($A2666,'Concrete Beam Schedule'!$A$2:$Q$2902,AA$2,0)&lt;&gt;K2666,"Beam Revised","")</f>
        <v>#N/A</v>
      </c>
      <c r="AB2666" s="7" t="e">
        <f>IF(VLOOKUP($A2666,'Concrete Beam Schedule'!$A$2:$Q$2902,AB$2,0)&lt;&gt;L2666,"Beam Revised","")</f>
        <v>#N/A</v>
      </c>
      <c r="AC2666" s="7" t="e">
        <f>IF(VLOOKUP($A2666,'Concrete Beam Schedule'!$A$2:$Q$2902,AC$2,0)&lt;&gt;M2666,"Beam Revised","")</f>
        <v>#N/A</v>
      </c>
      <c r="AD2666" s="7" t="e">
        <f>IF(VLOOKUP($A2666,'Concrete Beam Schedule'!$A$2:$Q$2902,AD$2,0)&lt;&gt;N2666,"Beam Revised","")</f>
        <v>#N/A</v>
      </c>
      <c r="AE2666" s="7" t="e">
        <f>IF(VLOOKUP($A2666,'Concrete Beam Schedule'!$A$2:$Q$2902,AE$2,0)&lt;&gt;O2666,"Beam Revised","")</f>
        <v>#N/A</v>
      </c>
    </row>
    <row r="2667" spans="17:31" ht="20.100000000000001" customHeight="1" x14ac:dyDescent="0.25">
      <c r="Q2667" s="7">
        <f t="shared" si="41"/>
        <v>0</v>
      </c>
      <c r="R2667" s="7" t="e">
        <f>IF(VLOOKUP($A2667,'Concrete Beam Schedule'!$A$2:$Q$2902,R$2,0)&lt;&gt;B2667,VLOOKUP($A2667,'Concrete Beam Schedule'!$A$2:$Q$2902,R$2,0),"")</f>
        <v>#N/A</v>
      </c>
      <c r="S2667" s="7" t="e">
        <f>IF(VLOOKUP($A2667,'Concrete Beam Schedule'!$A$2:$Q$2902,S$2,0)&lt;&gt;C2667,VLOOKUP($A2667,'Concrete Beam Schedule'!$A$2:$Q$2902,S$2,0),"")</f>
        <v>#N/A</v>
      </c>
      <c r="T2667" s="7" t="e">
        <f>IF(VLOOKUP($A2667,'Concrete Beam Schedule'!$A$2:$Q$2902,T$2,0)&lt;&gt;D2667,"Beam Revised","")</f>
        <v>#N/A</v>
      </c>
      <c r="U2667" s="7" t="e">
        <f>IF(VLOOKUP($A2667,'Concrete Beam Schedule'!$A$2:$Q$2902,U$2,0)&lt;&gt;E2667,"Beam Revised","")</f>
        <v>#N/A</v>
      </c>
      <c r="V2667" s="7" t="e">
        <f>IF(VLOOKUP($A2667,'Concrete Beam Schedule'!$A$2:$Q$2902,V$2,0)&lt;&gt;F2667,"Beam Revised","")</f>
        <v>#N/A</v>
      </c>
      <c r="W2667" s="7" t="e">
        <f>IF(VLOOKUP($A2667,'Concrete Beam Schedule'!$A$2:$Q$2902,W$2,0)&lt;&gt;G2667,"Beam Revised","")</f>
        <v>#N/A</v>
      </c>
      <c r="X2667" s="7" t="e">
        <f>IF(VLOOKUP($A2667,'Concrete Beam Schedule'!$A$2:$Q$2902,X$2,0)&lt;&gt;H2667,"Beam Revised","")</f>
        <v>#N/A</v>
      </c>
      <c r="Y2667" s="7" t="e">
        <f>IF(VLOOKUP($A2667,'Concrete Beam Schedule'!$A$2:$Q$2902,Y$2,0)&lt;&gt;I2667,"Beam Revised","")</f>
        <v>#N/A</v>
      </c>
      <c r="Z2667" s="7" t="e">
        <f>IF(VLOOKUP($A2667,'Concrete Beam Schedule'!$A$2:$Q$2902,Z$2,0)&lt;&gt;J2667,"Beam Revised","")</f>
        <v>#N/A</v>
      </c>
      <c r="AA2667" s="7" t="e">
        <f>IF(VLOOKUP($A2667,'Concrete Beam Schedule'!$A$2:$Q$2902,AA$2,0)&lt;&gt;K2667,"Beam Revised","")</f>
        <v>#N/A</v>
      </c>
      <c r="AB2667" s="7" t="e">
        <f>IF(VLOOKUP($A2667,'Concrete Beam Schedule'!$A$2:$Q$2902,AB$2,0)&lt;&gt;L2667,"Beam Revised","")</f>
        <v>#N/A</v>
      </c>
      <c r="AC2667" s="7" t="e">
        <f>IF(VLOOKUP($A2667,'Concrete Beam Schedule'!$A$2:$Q$2902,AC$2,0)&lt;&gt;M2667,"Beam Revised","")</f>
        <v>#N/A</v>
      </c>
      <c r="AD2667" s="7" t="e">
        <f>IF(VLOOKUP($A2667,'Concrete Beam Schedule'!$A$2:$Q$2902,AD$2,0)&lt;&gt;N2667,"Beam Revised","")</f>
        <v>#N/A</v>
      </c>
      <c r="AE2667" s="7" t="e">
        <f>IF(VLOOKUP($A2667,'Concrete Beam Schedule'!$A$2:$Q$2902,AE$2,0)&lt;&gt;O2667,"Beam Revised","")</f>
        <v>#N/A</v>
      </c>
    </row>
    <row r="2668" spans="17:31" ht="20.100000000000001" customHeight="1" x14ac:dyDescent="0.25">
      <c r="Q2668" s="7">
        <f t="shared" si="41"/>
        <v>0</v>
      </c>
      <c r="R2668" s="7" t="e">
        <f>IF(VLOOKUP($A2668,'Concrete Beam Schedule'!$A$2:$Q$2902,R$2,0)&lt;&gt;B2668,VLOOKUP($A2668,'Concrete Beam Schedule'!$A$2:$Q$2902,R$2,0),"")</f>
        <v>#N/A</v>
      </c>
      <c r="S2668" s="7" t="e">
        <f>IF(VLOOKUP($A2668,'Concrete Beam Schedule'!$A$2:$Q$2902,S$2,0)&lt;&gt;C2668,VLOOKUP($A2668,'Concrete Beam Schedule'!$A$2:$Q$2902,S$2,0),"")</f>
        <v>#N/A</v>
      </c>
      <c r="T2668" s="7" t="e">
        <f>IF(VLOOKUP($A2668,'Concrete Beam Schedule'!$A$2:$Q$2902,T$2,0)&lt;&gt;D2668,"Beam Revised","")</f>
        <v>#N/A</v>
      </c>
      <c r="U2668" s="7" t="e">
        <f>IF(VLOOKUP($A2668,'Concrete Beam Schedule'!$A$2:$Q$2902,U$2,0)&lt;&gt;E2668,"Beam Revised","")</f>
        <v>#N/A</v>
      </c>
      <c r="V2668" s="7" t="e">
        <f>IF(VLOOKUP($A2668,'Concrete Beam Schedule'!$A$2:$Q$2902,V$2,0)&lt;&gt;F2668,"Beam Revised","")</f>
        <v>#N/A</v>
      </c>
      <c r="W2668" s="7" t="e">
        <f>IF(VLOOKUP($A2668,'Concrete Beam Schedule'!$A$2:$Q$2902,W$2,0)&lt;&gt;G2668,"Beam Revised","")</f>
        <v>#N/A</v>
      </c>
      <c r="X2668" s="7" t="e">
        <f>IF(VLOOKUP($A2668,'Concrete Beam Schedule'!$A$2:$Q$2902,X$2,0)&lt;&gt;H2668,"Beam Revised","")</f>
        <v>#N/A</v>
      </c>
      <c r="Y2668" s="7" t="e">
        <f>IF(VLOOKUP($A2668,'Concrete Beam Schedule'!$A$2:$Q$2902,Y$2,0)&lt;&gt;I2668,"Beam Revised","")</f>
        <v>#N/A</v>
      </c>
      <c r="Z2668" s="7" t="e">
        <f>IF(VLOOKUP($A2668,'Concrete Beam Schedule'!$A$2:$Q$2902,Z$2,0)&lt;&gt;J2668,"Beam Revised","")</f>
        <v>#N/A</v>
      </c>
      <c r="AA2668" s="7" t="e">
        <f>IF(VLOOKUP($A2668,'Concrete Beam Schedule'!$A$2:$Q$2902,AA$2,0)&lt;&gt;K2668,"Beam Revised","")</f>
        <v>#N/A</v>
      </c>
      <c r="AB2668" s="7" t="e">
        <f>IF(VLOOKUP($A2668,'Concrete Beam Schedule'!$A$2:$Q$2902,AB$2,0)&lt;&gt;L2668,"Beam Revised","")</f>
        <v>#N/A</v>
      </c>
      <c r="AC2668" s="7" t="e">
        <f>IF(VLOOKUP($A2668,'Concrete Beam Schedule'!$A$2:$Q$2902,AC$2,0)&lt;&gt;M2668,"Beam Revised","")</f>
        <v>#N/A</v>
      </c>
      <c r="AD2668" s="7" t="e">
        <f>IF(VLOOKUP($A2668,'Concrete Beam Schedule'!$A$2:$Q$2902,AD$2,0)&lt;&gt;N2668,"Beam Revised","")</f>
        <v>#N/A</v>
      </c>
      <c r="AE2668" s="7" t="e">
        <f>IF(VLOOKUP($A2668,'Concrete Beam Schedule'!$A$2:$Q$2902,AE$2,0)&lt;&gt;O2668,"Beam Revised","")</f>
        <v>#N/A</v>
      </c>
    </row>
    <row r="2669" spans="17:31" ht="20.100000000000001" customHeight="1" x14ac:dyDescent="0.25">
      <c r="Q2669" s="7">
        <f t="shared" si="41"/>
        <v>0</v>
      </c>
      <c r="R2669" s="7" t="e">
        <f>IF(VLOOKUP($A2669,'Concrete Beam Schedule'!$A$2:$Q$2902,R$2,0)&lt;&gt;B2669,VLOOKUP($A2669,'Concrete Beam Schedule'!$A$2:$Q$2902,R$2,0),"")</f>
        <v>#N/A</v>
      </c>
      <c r="S2669" s="7" t="e">
        <f>IF(VLOOKUP($A2669,'Concrete Beam Schedule'!$A$2:$Q$2902,S$2,0)&lt;&gt;C2669,VLOOKUP($A2669,'Concrete Beam Schedule'!$A$2:$Q$2902,S$2,0),"")</f>
        <v>#N/A</v>
      </c>
      <c r="T2669" s="7" t="e">
        <f>IF(VLOOKUP($A2669,'Concrete Beam Schedule'!$A$2:$Q$2902,T$2,0)&lt;&gt;D2669,"Beam Revised","")</f>
        <v>#N/A</v>
      </c>
      <c r="U2669" s="7" t="e">
        <f>IF(VLOOKUP($A2669,'Concrete Beam Schedule'!$A$2:$Q$2902,U$2,0)&lt;&gt;E2669,"Beam Revised","")</f>
        <v>#N/A</v>
      </c>
      <c r="V2669" s="7" t="e">
        <f>IF(VLOOKUP($A2669,'Concrete Beam Schedule'!$A$2:$Q$2902,V$2,0)&lt;&gt;F2669,"Beam Revised","")</f>
        <v>#N/A</v>
      </c>
      <c r="W2669" s="7" t="e">
        <f>IF(VLOOKUP($A2669,'Concrete Beam Schedule'!$A$2:$Q$2902,W$2,0)&lt;&gt;G2669,"Beam Revised","")</f>
        <v>#N/A</v>
      </c>
      <c r="X2669" s="7" t="e">
        <f>IF(VLOOKUP($A2669,'Concrete Beam Schedule'!$A$2:$Q$2902,X$2,0)&lt;&gt;H2669,"Beam Revised","")</f>
        <v>#N/A</v>
      </c>
      <c r="Y2669" s="7" t="e">
        <f>IF(VLOOKUP($A2669,'Concrete Beam Schedule'!$A$2:$Q$2902,Y$2,0)&lt;&gt;I2669,"Beam Revised","")</f>
        <v>#N/A</v>
      </c>
      <c r="Z2669" s="7" t="e">
        <f>IF(VLOOKUP($A2669,'Concrete Beam Schedule'!$A$2:$Q$2902,Z$2,0)&lt;&gt;J2669,"Beam Revised","")</f>
        <v>#N/A</v>
      </c>
      <c r="AA2669" s="7" t="e">
        <f>IF(VLOOKUP($A2669,'Concrete Beam Schedule'!$A$2:$Q$2902,AA$2,0)&lt;&gt;K2669,"Beam Revised","")</f>
        <v>#N/A</v>
      </c>
      <c r="AB2669" s="7" t="e">
        <f>IF(VLOOKUP($A2669,'Concrete Beam Schedule'!$A$2:$Q$2902,AB$2,0)&lt;&gt;L2669,"Beam Revised","")</f>
        <v>#N/A</v>
      </c>
      <c r="AC2669" s="7" t="e">
        <f>IF(VLOOKUP($A2669,'Concrete Beam Schedule'!$A$2:$Q$2902,AC$2,0)&lt;&gt;M2669,"Beam Revised","")</f>
        <v>#N/A</v>
      </c>
      <c r="AD2669" s="7" t="e">
        <f>IF(VLOOKUP($A2669,'Concrete Beam Schedule'!$A$2:$Q$2902,AD$2,0)&lt;&gt;N2669,"Beam Revised","")</f>
        <v>#N/A</v>
      </c>
      <c r="AE2669" s="7" t="e">
        <f>IF(VLOOKUP($A2669,'Concrete Beam Schedule'!$A$2:$Q$2902,AE$2,0)&lt;&gt;O2669,"Beam Revised","")</f>
        <v>#N/A</v>
      </c>
    </row>
    <row r="2670" spans="17:31" ht="20.100000000000001" customHeight="1" x14ac:dyDescent="0.25">
      <c r="Q2670" s="7">
        <f t="shared" si="41"/>
        <v>0</v>
      </c>
      <c r="R2670" s="7" t="e">
        <f>IF(VLOOKUP($A2670,'Concrete Beam Schedule'!$A$2:$Q$2902,R$2,0)&lt;&gt;B2670,VLOOKUP($A2670,'Concrete Beam Schedule'!$A$2:$Q$2902,R$2,0),"")</f>
        <v>#N/A</v>
      </c>
      <c r="S2670" s="7" t="e">
        <f>IF(VLOOKUP($A2670,'Concrete Beam Schedule'!$A$2:$Q$2902,S$2,0)&lt;&gt;C2670,VLOOKUP($A2670,'Concrete Beam Schedule'!$A$2:$Q$2902,S$2,0),"")</f>
        <v>#N/A</v>
      </c>
      <c r="T2670" s="7" t="e">
        <f>IF(VLOOKUP($A2670,'Concrete Beam Schedule'!$A$2:$Q$2902,T$2,0)&lt;&gt;D2670,"Beam Revised","")</f>
        <v>#N/A</v>
      </c>
      <c r="U2670" s="7" t="e">
        <f>IF(VLOOKUP($A2670,'Concrete Beam Schedule'!$A$2:$Q$2902,U$2,0)&lt;&gt;E2670,"Beam Revised","")</f>
        <v>#N/A</v>
      </c>
      <c r="V2670" s="7" t="e">
        <f>IF(VLOOKUP($A2670,'Concrete Beam Schedule'!$A$2:$Q$2902,V$2,0)&lt;&gt;F2670,"Beam Revised","")</f>
        <v>#N/A</v>
      </c>
      <c r="W2670" s="7" t="e">
        <f>IF(VLOOKUP($A2670,'Concrete Beam Schedule'!$A$2:$Q$2902,W$2,0)&lt;&gt;G2670,"Beam Revised","")</f>
        <v>#N/A</v>
      </c>
      <c r="X2670" s="7" t="e">
        <f>IF(VLOOKUP($A2670,'Concrete Beam Schedule'!$A$2:$Q$2902,X$2,0)&lt;&gt;H2670,"Beam Revised","")</f>
        <v>#N/A</v>
      </c>
      <c r="Y2670" s="7" t="e">
        <f>IF(VLOOKUP($A2670,'Concrete Beam Schedule'!$A$2:$Q$2902,Y$2,0)&lt;&gt;I2670,"Beam Revised","")</f>
        <v>#N/A</v>
      </c>
      <c r="Z2670" s="7" t="e">
        <f>IF(VLOOKUP($A2670,'Concrete Beam Schedule'!$A$2:$Q$2902,Z$2,0)&lt;&gt;J2670,"Beam Revised","")</f>
        <v>#N/A</v>
      </c>
      <c r="AA2670" s="7" t="e">
        <f>IF(VLOOKUP($A2670,'Concrete Beam Schedule'!$A$2:$Q$2902,AA$2,0)&lt;&gt;K2670,"Beam Revised","")</f>
        <v>#N/A</v>
      </c>
      <c r="AB2670" s="7" t="e">
        <f>IF(VLOOKUP($A2670,'Concrete Beam Schedule'!$A$2:$Q$2902,AB$2,0)&lt;&gt;L2670,"Beam Revised","")</f>
        <v>#N/A</v>
      </c>
      <c r="AC2670" s="7" t="e">
        <f>IF(VLOOKUP($A2670,'Concrete Beam Schedule'!$A$2:$Q$2902,AC$2,0)&lt;&gt;M2670,"Beam Revised","")</f>
        <v>#N/A</v>
      </c>
      <c r="AD2670" s="7" t="e">
        <f>IF(VLOOKUP($A2670,'Concrete Beam Schedule'!$A$2:$Q$2902,AD$2,0)&lt;&gt;N2670,"Beam Revised","")</f>
        <v>#N/A</v>
      </c>
      <c r="AE2670" s="7" t="e">
        <f>IF(VLOOKUP($A2670,'Concrete Beam Schedule'!$A$2:$Q$2902,AE$2,0)&lt;&gt;O2670,"Beam Revised","")</f>
        <v>#N/A</v>
      </c>
    </row>
    <row r="2671" spans="17:31" ht="20.100000000000001" customHeight="1" x14ac:dyDescent="0.25">
      <c r="Q2671" s="7">
        <f t="shared" si="41"/>
        <v>0</v>
      </c>
      <c r="R2671" s="7" t="e">
        <f>IF(VLOOKUP($A2671,'Concrete Beam Schedule'!$A$2:$Q$2902,R$2,0)&lt;&gt;B2671,VLOOKUP($A2671,'Concrete Beam Schedule'!$A$2:$Q$2902,R$2,0),"")</f>
        <v>#N/A</v>
      </c>
      <c r="S2671" s="7" t="e">
        <f>IF(VLOOKUP($A2671,'Concrete Beam Schedule'!$A$2:$Q$2902,S$2,0)&lt;&gt;C2671,VLOOKUP($A2671,'Concrete Beam Schedule'!$A$2:$Q$2902,S$2,0),"")</f>
        <v>#N/A</v>
      </c>
      <c r="T2671" s="7" t="e">
        <f>IF(VLOOKUP($A2671,'Concrete Beam Schedule'!$A$2:$Q$2902,T$2,0)&lt;&gt;D2671,"Beam Revised","")</f>
        <v>#N/A</v>
      </c>
      <c r="U2671" s="7" t="e">
        <f>IF(VLOOKUP($A2671,'Concrete Beam Schedule'!$A$2:$Q$2902,U$2,0)&lt;&gt;E2671,"Beam Revised","")</f>
        <v>#N/A</v>
      </c>
      <c r="V2671" s="7" t="e">
        <f>IF(VLOOKUP($A2671,'Concrete Beam Schedule'!$A$2:$Q$2902,V$2,0)&lt;&gt;F2671,"Beam Revised","")</f>
        <v>#N/A</v>
      </c>
      <c r="W2671" s="7" t="e">
        <f>IF(VLOOKUP($A2671,'Concrete Beam Schedule'!$A$2:$Q$2902,W$2,0)&lt;&gt;G2671,"Beam Revised","")</f>
        <v>#N/A</v>
      </c>
      <c r="X2671" s="7" t="e">
        <f>IF(VLOOKUP($A2671,'Concrete Beam Schedule'!$A$2:$Q$2902,X$2,0)&lt;&gt;H2671,"Beam Revised","")</f>
        <v>#N/A</v>
      </c>
      <c r="Y2671" s="7" t="e">
        <f>IF(VLOOKUP($A2671,'Concrete Beam Schedule'!$A$2:$Q$2902,Y$2,0)&lt;&gt;I2671,"Beam Revised","")</f>
        <v>#N/A</v>
      </c>
      <c r="Z2671" s="7" t="e">
        <f>IF(VLOOKUP($A2671,'Concrete Beam Schedule'!$A$2:$Q$2902,Z$2,0)&lt;&gt;J2671,"Beam Revised","")</f>
        <v>#N/A</v>
      </c>
      <c r="AA2671" s="7" t="e">
        <f>IF(VLOOKUP($A2671,'Concrete Beam Schedule'!$A$2:$Q$2902,AA$2,0)&lt;&gt;K2671,"Beam Revised","")</f>
        <v>#N/A</v>
      </c>
      <c r="AB2671" s="7" t="e">
        <f>IF(VLOOKUP($A2671,'Concrete Beam Schedule'!$A$2:$Q$2902,AB$2,0)&lt;&gt;L2671,"Beam Revised","")</f>
        <v>#N/A</v>
      </c>
      <c r="AC2671" s="7" t="e">
        <f>IF(VLOOKUP($A2671,'Concrete Beam Schedule'!$A$2:$Q$2902,AC$2,0)&lt;&gt;M2671,"Beam Revised","")</f>
        <v>#N/A</v>
      </c>
      <c r="AD2671" s="7" t="e">
        <f>IF(VLOOKUP($A2671,'Concrete Beam Schedule'!$A$2:$Q$2902,AD$2,0)&lt;&gt;N2671,"Beam Revised","")</f>
        <v>#N/A</v>
      </c>
      <c r="AE2671" s="7" t="e">
        <f>IF(VLOOKUP($A2671,'Concrete Beam Schedule'!$A$2:$Q$2902,AE$2,0)&lt;&gt;O2671,"Beam Revised","")</f>
        <v>#N/A</v>
      </c>
    </row>
    <row r="2672" spans="17:31" ht="20.100000000000001" customHeight="1" x14ac:dyDescent="0.25">
      <c r="Q2672" s="7">
        <f t="shared" si="41"/>
        <v>0</v>
      </c>
      <c r="R2672" s="7" t="e">
        <f>IF(VLOOKUP($A2672,'Concrete Beam Schedule'!$A$2:$Q$2902,R$2,0)&lt;&gt;B2672,VLOOKUP($A2672,'Concrete Beam Schedule'!$A$2:$Q$2902,R$2,0),"")</f>
        <v>#N/A</v>
      </c>
      <c r="S2672" s="7" t="e">
        <f>IF(VLOOKUP($A2672,'Concrete Beam Schedule'!$A$2:$Q$2902,S$2,0)&lt;&gt;C2672,VLOOKUP($A2672,'Concrete Beam Schedule'!$A$2:$Q$2902,S$2,0),"")</f>
        <v>#N/A</v>
      </c>
      <c r="T2672" s="7" t="e">
        <f>IF(VLOOKUP($A2672,'Concrete Beam Schedule'!$A$2:$Q$2902,T$2,0)&lt;&gt;D2672,"Beam Revised","")</f>
        <v>#N/A</v>
      </c>
      <c r="U2672" s="7" t="e">
        <f>IF(VLOOKUP($A2672,'Concrete Beam Schedule'!$A$2:$Q$2902,U$2,0)&lt;&gt;E2672,"Beam Revised","")</f>
        <v>#N/A</v>
      </c>
      <c r="V2672" s="7" t="e">
        <f>IF(VLOOKUP($A2672,'Concrete Beam Schedule'!$A$2:$Q$2902,V$2,0)&lt;&gt;F2672,"Beam Revised","")</f>
        <v>#N/A</v>
      </c>
      <c r="W2672" s="7" t="e">
        <f>IF(VLOOKUP($A2672,'Concrete Beam Schedule'!$A$2:$Q$2902,W$2,0)&lt;&gt;G2672,"Beam Revised","")</f>
        <v>#N/A</v>
      </c>
      <c r="X2672" s="7" t="e">
        <f>IF(VLOOKUP($A2672,'Concrete Beam Schedule'!$A$2:$Q$2902,X$2,0)&lt;&gt;H2672,"Beam Revised","")</f>
        <v>#N/A</v>
      </c>
      <c r="Y2672" s="7" t="e">
        <f>IF(VLOOKUP($A2672,'Concrete Beam Schedule'!$A$2:$Q$2902,Y$2,0)&lt;&gt;I2672,"Beam Revised","")</f>
        <v>#N/A</v>
      </c>
      <c r="Z2672" s="7" t="e">
        <f>IF(VLOOKUP($A2672,'Concrete Beam Schedule'!$A$2:$Q$2902,Z$2,0)&lt;&gt;J2672,"Beam Revised","")</f>
        <v>#N/A</v>
      </c>
      <c r="AA2672" s="7" t="e">
        <f>IF(VLOOKUP($A2672,'Concrete Beam Schedule'!$A$2:$Q$2902,AA$2,0)&lt;&gt;K2672,"Beam Revised","")</f>
        <v>#N/A</v>
      </c>
      <c r="AB2672" s="7" t="e">
        <f>IF(VLOOKUP($A2672,'Concrete Beam Schedule'!$A$2:$Q$2902,AB$2,0)&lt;&gt;L2672,"Beam Revised","")</f>
        <v>#N/A</v>
      </c>
      <c r="AC2672" s="7" t="e">
        <f>IF(VLOOKUP($A2672,'Concrete Beam Schedule'!$A$2:$Q$2902,AC$2,0)&lt;&gt;M2672,"Beam Revised","")</f>
        <v>#N/A</v>
      </c>
      <c r="AD2672" s="7" t="e">
        <f>IF(VLOOKUP($A2672,'Concrete Beam Schedule'!$A$2:$Q$2902,AD$2,0)&lt;&gt;N2672,"Beam Revised","")</f>
        <v>#N/A</v>
      </c>
      <c r="AE2672" s="7" t="e">
        <f>IF(VLOOKUP($A2672,'Concrete Beam Schedule'!$A$2:$Q$2902,AE$2,0)&lt;&gt;O2672,"Beam Revised","")</f>
        <v>#N/A</v>
      </c>
    </row>
    <row r="2673" spans="17:31" ht="20.100000000000001" customHeight="1" x14ac:dyDescent="0.25">
      <c r="Q2673" s="7">
        <f t="shared" si="41"/>
        <v>0</v>
      </c>
      <c r="R2673" s="7" t="e">
        <f>IF(VLOOKUP($A2673,'Concrete Beam Schedule'!$A$2:$Q$2902,R$2,0)&lt;&gt;B2673,VLOOKUP($A2673,'Concrete Beam Schedule'!$A$2:$Q$2902,R$2,0),"")</f>
        <v>#N/A</v>
      </c>
      <c r="S2673" s="7" t="e">
        <f>IF(VLOOKUP($A2673,'Concrete Beam Schedule'!$A$2:$Q$2902,S$2,0)&lt;&gt;C2673,VLOOKUP($A2673,'Concrete Beam Schedule'!$A$2:$Q$2902,S$2,0),"")</f>
        <v>#N/A</v>
      </c>
      <c r="T2673" s="7" t="e">
        <f>IF(VLOOKUP($A2673,'Concrete Beam Schedule'!$A$2:$Q$2902,T$2,0)&lt;&gt;D2673,"Beam Revised","")</f>
        <v>#N/A</v>
      </c>
      <c r="U2673" s="7" t="e">
        <f>IF(VLOOKUP($A2673,'Concrete Beam Schedule'!$A$2:$Q$2902,U$2,0)&lt;&gt;E2673,"Beam Revised","")</f>
        <v>#N/A</v>
      </c>
      <c r="V2673" s="7" t="e">
        <f>IF(VLOOKUP($A2673,'Concrete Beam Schedule'!$A$2:$Q$2902,V$2,0)&lt;&gt;F2673,"Beam Revised","")</f>
        <v>#N/A</v>
      </c>
      <c r="W2673" s="7" t="e">
        <f>IF(VLOOKUP($A2673,'Concrete Beam Schedule'!$A$2:$Q$2902,W$2,0)&lt;&gt;G2673,"Beam Revised","")</f>
        <v>#N/A</v>
      </c>
      <c r="X2673" s="7" t="e">
        <f>IF(VLOOKUP($A2673,'Concrete Beam Schedule'!$A$2:$Q$2902,X$2,0)&lt;&gt;H2673,"Beam Revised","")</f>
        <v>#N/A</v>
      </c>
      <c r="Y2673" s="7" t="e">
        <f>IF(VLOOKUP($A2673,'Concrete Beam Schedule'!$A$2:$Q$2902,Y$2,0)&lt;&gt;I2673,"Beam Revised","")</f>
        <v>#N/A</v>
      </c>
      <c r="Z2673" s="7" t="e">
        <f>IF(VLOOKUP($A2673,'Concrete Beam Schedule'!$A$2:$Q$2902,Z$2,0)&lt;&gt;J2673,"Beam Revised","")</f>
        <v>#N/A</v>
      </c>
      <c r="AA2673" s="7" t="e">
        <f>IF(VLOOKUP($A2673,'Concrete Beam Schedule'!$A$2:$Q$2902,AA$2,0)&lt;&gt;K2673,"Beam Revised","")</f>
        <v>#N/A</v>
      </c>
      <c r="AB2673" s="7" t="e">
        <f>IF(VLOOKUP($A2673,'Concrete Beam Schedule'!$A$2:$Q$2902,AB$2,0)&lt;&gt;L2673,"Beam Revised","")</f>
        <v>#N/A</v>
      </c>
      <c r="AC2673" s="7" t="e">
        <f>IF(VLOOKUP($A2673,'Concrete Beam Schedule'!$A$2:$Q$2902,AC$2,0)&lt;&gt;M2673,"Beam Revised","")</f>
        <v>#N/A</v>
      </c>
      <c r="AD2673" s="7" t="e">
        <f>IF(VLOOKUP($A2673,'Concrete Beam Schedule'!$A$2:$Q$2902,AD$2,0)&lt;&gt;N2673,"Beam Revised","")</f>
        <v>#N/A</v>
      </c>
      <c r="AE2673" s="7" t="e">
        <f>IF(VLOOKUP($A2673,'Concrete Beam Schedule'!$A$2:$Q$2902,AE$2,0)&lt;&gt;O2673,"Beam Revised","")</f>
        <v>#N/A</v>
      </c>
    </row>
    <row r="2674" spans="17:31" ht="20.100000000000001" customHeight="1" x14ac:dyDescent="0.25">
      <c r="Q2674" s="7">
        <f t="shared" si="41"/>
        <v>0</v>
      </c>
      <c r="R2674" s="7" t="e">
        <f>IF(VLOOKUP($A2674,'Concrete Beam Schedule'!$A$2:$Q$2902,R$2,0)&lt;&gt;B2674,VLOOKUP($A2674,'Concrete Beam Schedule'!$A$2:$Q$2902,R$2,0),"")</f>
        <v>#N/A</v>
      </c>
      <c r="S2674" s="7" t="e">
        <f>IF(VLOOKUP($A2674,'Concrete Beam Schedule'!$A$2:$Q$2902,S$2,0)&lt;&gt;C2674,VLOOKUP($A2674,'Concrete Beam Schedule'!$A$2:$Q$2902,S$2,0),"")</f>
        <v>#N/A</v>
      </c>
      <c r="T2674" s="7" t="e">
        <f>IF(VLOOKUP($A2674,'Concrete Beam Schedule'!$A$2:$Q$2902,T$2,0)&lt;&gt;D2674,"Beam Revised","")</f>
        <v>#N/A</v>
      </c>
      <c r="U2674" s="7" t="e">
        <f>IF(VLOOKUP($A2674,'Concrete Beam Schedule'!$A$2:$Q$2902,U$2,0)&lt;&gt;E2674,"Beam Revised","")</f>
        <v>#N/A</v>
      </c>
      <c r="V2674" s="7" t="e">
        <f>IF(VLOOKUP($A2674,'Concrete Beam Schedule'!$A$2:$Q$2902,V$2,0)&lt;&gt;F2674,"Beam Revised","")</f>
        <v>#N/A</v>
      </c>
      <c r="W2674" s="7" t="e">
        <f>IF(VLOOKUP($A2674,'Concrete Beam Schedule'!$A$2:$Q$2902,W$2,0)&lt;&gt;G2674,"Beam Revised","")</f>
        <v>#N/A</v>
      </c>
      <c r="X2674" s="7" t="e">
        <f>IF(VLOOKUP($A2674,'Concrete Beam Schedule'!$A$2:$Q$2902,X$2,0)&lt;&gt;H2674,"Beam Revised","")</f>
        <v>#N/A</v>
      </c>
      <c r="Y2674" s="7" t="e">
        <f>IF(VLOOKUP($A2674,'Concrete Beam Schedule'!$A$2:$Q$2902,Y$2,0)&lt;&gt;I2674,"Beam Revised","")</f>
        <v>#N/A</v>
      </c>
      <c r="Z2674" s="7" t="e">
        <f>IF(VLOOKUP($A2674,'Concrete Beam Schedule'!$A$2:$Q$2902,Z$2,0)&lt;&gt;J2674,"Beam Revised","")</f>
        <v>#N/A</v>
      </c>
      <c r="AA2674" s="7" t="e">
        <f>IF(VLOOKUP($A2674,'Concrete Beam Schedule'!$A$2:$Q$2902,AA$2,0)&lt;&gt;K2674,"Beam Revised","")</f>
        <v>#N/A</v>
      </c>
      <c r="AB2674" s="7" t="e">
        <f>IF(VLOOKUP($A2674,'Concrete Beam Schedule'!$A$2:$Q$2902,AB$2,0)&lt;&gt;L2674,"Beam Revised","")</f>
        <v>#N/A</v>
      </c>
      <c r="AC2674" s="7" t="e">
        <f>IF(VLOOKUP($A2674,'Concrete Beam Schedule'!$A$2:$Q$2902,AC$2,0)&lt;&gt;M2674,"Beam Revised","")</f>
        <v>#N/A</v>
      </c>
      <c r="AD2674" s="7" t="e">
        <f>IF(VLOOKUP($A2674,'Concrete Beam Schedule'!$A$2:$Q$2902,AD$2,0)&lt;&gt;N2674,"Beam Revised","")</f>
        <v>#N/A</v>
      </c>
      <c r="AE2674" s="7" t="e">
        <f>IF(VLOOKUP($A2674,'Concrete Beam Schedule'!$A$2:$Q$2902,AE$2,0)&lt;&gt;O2674,"Beam Revised","")</f>
        <v>#N/A</v>
      </c>
    </row>
    <row r="2675" spans="17:31" ht="20.100000000000001" customHeight="1" x14ac:dyDescent="0.25">
      <c r="Q2675" s="7">
        <f t="shared" si="41"/>
        <v>0</v>
      </c>
      <c r="R2675" s="7" t="e">
        <f>IF(VLOOKUP($A2675,'Concrete Beam Schedule'!$A$2:$Q$2902,R$2,0)&lt;&gt;B2675,VLOOKUP($A2675,'Concrete Beam Schedule'!$A$2:$Q$2902,R$2,0),"")</f>
        <v>#N/A</v>
      </c>
      <c r="S2675" s="7" t="e">
        <f>IF(VLOOKUP($A2675,'Concrete Beam Schedule'!$A$2:$Q$2902,S$2,0)&lt;&gt;C2675,VLOOKUP($A2675,'Concrete Beam Schedule'!$A$2:$Q$2902,S$2,0),"")</f>
        <v>#N/A</v>
      </c>
      <c r="T2675" s="7" t="e">
        <f>IF(VLOOKUP($A2675,'Concrete Beam Schedule'!$A$2:$Q$2902,T$2,0)&lt;&gt;D2675,"Beam Revised","")</f>
        <v>#N/A</v>
      </c>
      <c r="U2675" s="7" t="e">
        <f>IF(VLOOKUP($A2675,'Concrete Beam Schedule'!$A$2:$Q$2902,U$2,0)&lt;&gt;E2675,"Beam Revised","")</f>
        <v>#N/A</v>
      </c>
      <c r="V2675" s="7" t="e">
        <f>IF(VLOOKUP($A2675,'Concrete Beam Schedule'!$A$2:$Q$2902,V$2,0)&lt;&gt;F2675,"Beam Revised","")</f>
        <v>#N/A</v>
      </c>
      <c r="W2675" s="7" t="e">
        <f>IF(VLOOKUP($A2675,'Concrete Beam Schedule'!$A$2:$Q$2902,W$2,0)&lt;&gt;G2675,"Beam Revised","")</f>
        <v>#N/A</v>
      </c>
      <c r="X2675" s="7" t="e">
        <f>IF(VLOOKUP($A2675,'Concrete Beam Schedule'!$A$2:$Q$2902,X$2,0)&lt;&gt;H2675,"Beam Revised","")</f>
        <v>#N/A</v>
      </c>
      <c r="Y2675" s="7" t="e">
        <f>IF(VLOOKUP($A2675,'Concrete Beam Schedule'!$A$2:$Q$2902,Y$2,0)&lt;&gt;I2675,"Beam Revised","")</f>
        <v>#N/A</v>
      </c>
      <c r="Z2675" s="7" t="e">
        <f>IF(VLOOKUP($A2675,'Concrete Beam Schedule'!$A$2:$Q$2902,Z$2,0)&lt;&gt;J2675,"Beam Revised","")</f>
        <v>#N/A</v>
      </c>
      <c r="AA2675" s="7" t="e">
        <f>IF(VLOOKUP($A2675,'Concrete Beam Schedule'!$A$2:$Q$2902,AA$2,0)&lt;&gt;K2675,"Beam Revised","")</f>
        <v>#N/A</v>
      </c>
      <c r="AB2675" s="7" t="e">
        <f>IF(VLOOKUP($A2675,'Concrete Beam Schedule'!$A$2:$Q$2902,AB$2,0)&lt;&gt;L2675,"Beam Revised","")</f>
        <v>#N/A</v>
      </c>
      <c r="AC2675" s="7" t="e">
        <f>IF(VLOOKUP($A2675,'Concrete Beam Schedule'!$A$2:$Q$2902,AC$2,0)&lt;&gt;M2675,"Beam Revised","")</f>
        <v>#N/A</v>
      </c>
      <c r="AD2675" s="7" t="e">
        <f>IF(VLOOKUP($A2675,'Concrete Beam Schedule'!$A$2:$Q$2902,AD$2,0)&lt;&gt;N2675,"Beam Revised","")</f>
        <v>#N/A</v>
      </c>
      <c r="AE2675" s="7" t="e">
        <f>IF(VLOOKUP($A2675,'Concrete Beam Schedule'!$A$2:$Q$2902,AE$2,0)&lt;&gt;O2675,"Beam Revised","")</f>
        <v>#N/A</v>
      </c>
    </row>
    <row r="2676" spans="17:31" ht="20.100000000000001" customHeight="1" x14ac:dyDescent="0.25">
      <c r="Q2676" s="7">
        <f t="shared" si="41"/>
        <v>0</v>
      </c>
      <c r="R2676" s="7" t="e">
        <f>IF(VLOOKUP($A2676,'Concrete Beam Schedule'!$A$2:$Q$2902,R$2,0)&lt;&gt;B2676,VLOOKUP($A2676,'Concrete Beam Schedule'!$A$2:$Q$2902,R$2,0),"")</f>
        <v>#N/A</v>
      </c>
      <c r="S2676" s="7" t="e">
        <f>IF(VLOOKUP($A2676,'Concrete Beam Schedule'!$A$2:$Q$2902,S$2,0)&lt;&gt;C2676,VLOOKUP($A2676,'Concrete Beam Schedule'!$A$2:$Q$2902,S$2,0),"")</f>
        <v>#N/A</v>
      </c>
      <c r="T2676" s="7" t="e">
        <f>IF(VLOOKUP($A2676,'Concrete Beam Schedule'!$A$2:$Q$2902,T$2,0)&lt;&gt;D2676,"Beam Revised","")</f>
        <v>#N/A</v>
      </c>
      <c r="U2676" s="7" t="e">
        <f>IF(VLOOKUP($A2676,'Concrete Beam Schedule'!$A$2:$Q$2902,U$2,0)&lt;&gt;E2676,"Beam Revised","")</f>
        <v>#N/A</v>
      </c>
      <c r="V2676" s="7" t="e">
        <f>IF(VLOOKUP($A2676,'Concrete Beam Schedule'!$A$2:$Q$2902,V$2,0)&lt;&gt;F2676,"Beam Revised","")</f>
        <v>#N/A</v>
      </c>
      <c r="W2676" s="7" t="e">
        <f>IF(VLOOKUP($A2676,'Concrete Beam Schedule'!$A$2:$Q$2902,W$2,0)&lt;&gt;G2676,"Beam Revised","")</f>
        <v>#N/A</v>
      </c>
      <c r="X2676" s="7" t="e">
        <f>IF(VLOOKUP($A2676,'Concrete Beam Schedule'!$A$2:$Q$2902,X$2,0)&lt;&gt;H2676,"Beam Revised","")</f>
        <v>#N/A</v>
      </c>
      <c r="Y2676" s="7" t="e">
        <f>IF(VLOOKUP($A2676,'Concrete Beam Schedule'!$A$2:$Q$2902,Y$2,0)&lt;&gt;I2676,"Beam Revised","")</f>
        <v>#N/A</v>
      </c>
      <c r="Z2676" s="7" t="e">
        <f>IF(VLOOKUP($A2676,'Concrete Beam Schedule'!$A$2:$Q$2902,Z$2,0)&lt;&gt;J2676,"Beam Revised","")</f>
        <v>#N/A</v>
      </c>
      <c r="AA2676" s="7" t="e">
        <f>IF(VLOOKUP($A2676,'Concrete Beam Schedule'!$A$2:$Q$2902,AA$2,0)&lt;&gt;K2676,"Beam Revised","")</f>
        <v>#N/A</v>
      </c>
      <c r="AB2676" s="7" t="e">
        <f>IF(VLOOKUP($A2676,'Concrete Beam Schedule'!$A$2:$Q$2902,AB$2,0)&lt;&gt;L2676,"Beam Revised","")</f>
        <v>#N/A</v>
      </c>
      <c r="AC2676" s="7" t="e">
        <f>IF(VLOOKUP($A2676,'Concrete Beam Schedule'!$A$2:$Q$2902,AC$2,0)&lt;&gt;M2676,"Beam Revised","")</f>
        <v>#N/A</v>
      </c>
      <c r="AD2676" s="7" t="e">
        <f>IF(VLOOKUP($A2676,'Concrete Beam Schedule'!$A$2:$Q$2902,AD$2,0)&lt;&gt;N2676,"Beam Revised","")</f>
        <v>#N/A</v>
      </c>
      <c r="AE2676" s="7" t="e">
        <f>IF(VLOOKUP($A2676,'Concrete Beam Schedule'!$A$2:$Q$2902,AE$2,0)&lt;&gt;O2676,"Beam Revised","")</f>
        <v>#N/A</v>
      </c>
    </row>
    <row r="2677" spans="17:31" ht="20.100000000000001" customHeight="1" x14ac:dyDescent="0.25">
      <c r="Q2677" s="7">
        <f t="shared" si="41"/>
        <v>0</v>
      </c>
      <c r="R2677" s="7" t="e">
        <f>IF(VLOOKUP($A2677,'Concrete Beam Schedule'!$A$2:$Q$2902,R$2,0)&lt;&gt;B2677,VLOOKUP($A2677,'Concrete Beam Schedule'!$A$2:$Q$2902,R$2,0),"")</f>
        <v>#N/A</v>
      </c>
      <c r="S2677" s="7" t="e">
        <f>IF(VLOOKUP($A2677,'Concrete Beam Schedule'!$A$2:$Q$2902,S$2,0)&lt;&gt;C2677,VLOOKUP($A2677,'Concrete Beam Schedule'!$A$2:$Q$2902,S$2,0),"")</f>
        <v>#N/A</v>
      </c>
      <c r="T2677" s="7" t="e">
        <f>IF(VLOOKUP($A2677,'Concrete Beam Schedule'!$A$2:$Q$2902,T$2,0)&lt;&gt;D2677,"Beam Revised","")</f>
        <v>#N/A</v>
      </c>
      <c r="U2677" s="7" t="e">
        <f>IF(VLOOKUP($A2677,'Concrete Beam Schedule'!$A$2:$Q$2902,U$2,0)&lt;&gt;E2677,"Beam Revised","")</f>
        <v>#N/A</v>
      </c>
      <c r="V2677" s="7" t="e">
        <f>IF(VLOOKUP($A2677,'Concrete Beam Schedule'!$A$2:$Q$2902,V$2,0)&lt;&gt;F2677,"Beam Revised","")</f>
        <v>#N/A</v>
      </c>
      <c r="W2677" s="7" t="e">
        <f>IF(VLOOKUP($A2677,'Concrete Beam Schedule'!$A$2:$Q$2902,W$2,0)&lt;&gt;G2677,"Beam Revised","")</f>
        <v>#N/A</v>
      </c>
      <c r="X2677" s="7" t="e">
        <f>IF(VLOOKUP($A2677,'Concrete Beam Schedule'!$A$2:$Q$2902,X$2,0)&lt;&gt;H2677,"Beam Revised","")</f>
        <v>#N/A</v>
      </c>
      <c r="Y2677" s="7" t="e">
        <f>IF(VLOOKUP($A2677,'Concrete Beam Schedule'!$A$2:$Q$2902,Y$2,0)&lt;&gt;I2677,"Beam Revised","")</f>
        <v>#N/A</v>
      </c>
      <c r="Z2677" s="7" t="e">
        <f>IF(VLOOKUP($A2677,'Concrete Beam Schedule'!$A$2:$Q$2902,Z$2,0)&lt;&gt;J2677,"Beam Revised","")</f>
        <v>#N/A</v>
      </c>
      <c r="AA2677" s="7" t="e">
        <f>IF(VLOOKUP($A2677,'Concrete Beam Schedule'!$A$2:$Q$2902,AA$2,0)&lt;&gt;K2677,"Beam Revised","")</f>
        <v>#N/A</v>
      </c>
      <c r="AB2677" s="7" t="e">
        <f>IF(VLOOKUP($A2677,'Concrete Beam Schedule'!$A$2:$Q$2902,AB$2,0)&lt;&gt;L2677,"Beam Revised","")</f>
        <v>#N/A</v>
      </c>
      <c r="AC2677" s="7" t="e">
        <f>IF(VLOOKUP($A2677,'Concrete Beam Schedule'!$A$2:$Q$2902,AC$2,0)&lt;&gt;M2677,"Beam Revised","")</f>
        <v>#N/A</v>
      </c>
      <c r="AD2677" s="7" t="e">
        <f>IF(VLOOKUP($A2677,'Concrete Beam Schedule'!$A$2:$Q$2902,AD$2,0)&lt;&gt;N2677,"Beam Revised","")</f>
        <v>#N/A</v>
      </c>
      <c r="AE2677" s="7" t="e">
        <f>IF(VLOOKUP($A2677,'Concrete Beam Schedule'!$A$2:$Q$2902,AE$2,0)&lt;&gt;O2677,"Beam Revised","")</f>
        <v>#N/A</v>
      </c>
    </row>
    <row r="2678" spans="17:31" ht="20.100000000000001" customHeight="1" x14ac:dyDescent="0.25">
      <c r="Q2678" s="7">
        <f t="shared" si="41"/>
        <v>0</v>
      </c>
      <c r="R2678" s="7" t="e">
        <f>IF(VLOOKUP($A2678,'Concrete Beam Schedule'!$A$2:$Q$2902,R$2,0)&lt;&gt;B2678,VLOOKUP($A2678,'Concrete Beam Schedule'!$A$2:$Q$2902,R$2,0),"")</f>
        <v>#N/A</v>
      </c>
      <c r="S2678" s="7" t="e">
        <f>IF(VLOOKUP($A2678,'Concrete Beam Schedule'!$A$2:$Q$2902,S$2,0)&lt;&gt;C2678,VLOOKUP($A2678,'Concrete Beam Schedule'!$A$2:$Q$2902,S$2,0),"")</f>
        <v>#N/A</v>
      </c>
      <c r="T2678" s="7" t="e">
        <f>IF(VLOOKUP($A2678,'Concrete Beam Schedule'!$A$2:$Q$2902,T$2,0)&lt;&gt;D2678,"Beam Revised","")</f>
        <v>#N/A</v>
      </c>
      <c r="U2678" s="7" t="e">
        <f>IF(VLOOKUP($A2678,'Concrete Beam Schedule'!$A$2:$Q$2902,U$2,0)&lt;&gt;E2678,"Beam Revised","")</f>
        <v>#N/A</v>
      </c>
      <c r="V2678" s="7" t="e">
        <f>IF(VLOOKUP($A2678,'Concrete Beam Schedule'!$A$2:$Q$2902,V$2,0)&lt;&gt;F2678,"Beam Revised","")</f>
        <v>#N/A</v>
      </c>
      <c r="W2678" s="7" t="e">
        <f>IF(VLOOKUP($A2678,'Concrete Beam Schedule'!$A$2:$Q$2902,W$2,0)&lt;&gt;G2678,"Beam Revised","")</f>
        <v>#N/A</v>
      </c>
      <c r="X2678" s="7" t="e">
        <f>IF(VLOOKUP($A2678,'Concrete Beam Schedule'!$A$2:$Q$2902,X$2,0)&lt;&gt;H2678,"Beam Revised","")</f>
        <v>#N/A</v>
      </c>
      <c r="Y2678" s="7" t="e">
        <f>IF(VLOOKUP($A2678,'Concrete Beam Schedule'!$A$2:$Q$2902,Y$2,0)&lt;&gt;I2678,"Beam Revised","")</f>
        <v>#N/A</v>
      </c>
      <c r="Z2678" s="7" t="e">
        <f>IF(VLOOKUP($A2678,'Concrete Beam Schedule'!$A$2:$Q$2902,Z$2,0)&lt;&gt;J2678,"Beam Revised","")</f>
        <v>#N/A</v>
      </c>
      <c r="AA2678" s="7" t="e">
        <f>IF(VLOOKUP($A2678,'Concrete Beam Schedule'!$A$2:$Q$2902,AA$2,0)&lt;&gt;K2678,"Beam Revised","")</f>
        <v>#N/A</v>
      </c>
      <c r="AB2678" s="7" t="e">
        <f>IF(VLOOKUP($A2678,'Concrete Beam Schedule'!$A$2:$Q$2902,AB$2,0)&lt;&gt;L2678,"Beam Revised","")</f>
        <v>#N/A</v>
      </c>
      <c r="AC2678" s="7" t="e">
        <f>IF(VLOOKUP($A2678,'Concrete Beam Schedule'!$A$2:$Q$2902,AC$2,0)&lt;&gt;M2678,"Beam Revised","")</f>
        <v>#N/A</v>
      </c>
      <c r="AD2678" s="7" t="e">
        <f>IF(VLOOKUP($A2678,'Concrete Beam Schedule'!$A$2:$Q$2902,AD$2,0)&lt;&gt;N2678,"Beam Revised","")</f>
        <v>#N/A</v>
      </c>
      <c r="AE2678" s="7" t="e">
        <f>IF(VLOOKUP($A2678,'Concrete Beam Schedule'!$A$2:$Q$2902,AE$2,0)&lt;&gt;O2678,"Beam Revised","")</f>
        <v>#N/A</v>
      </c>
    </row>
    <row r="2679" spans="17:31" ht="20.100000000000001" customHeight="1" x14ac:dyDescent="0.25">
      <c r="Q2679" s="7">
        <f t="shared" si="41"/>
        <v>0</v>
      </c>
      <c r="R2679" s="7" t="e">
        <f>IF(VLOOKUP($A2679,'Concrete Beam Schedule'!$A$2:$Q$2902,R$2,0)&lt;&gt;B2679,VLOOKUP($A2679,'Concrete Beam Schedule'!$A$2:$Q$2902,R$2,0),"")</f>
        <v>#N/A</v>
      </c>
      <c r="S2679" s="7" t="e">
        <f>IF(VLOOKUP($A2679,'Concrete Beam Schedule'!$A$2:$Q$2902,S$2,0)&lt;&gt;C2679,VLOOKUP($A2679,'Concrete Beam Schedule'!$A$2:$Q$2902,S$2,0),"")</f>
        <v>#N/A</v>
      </c>
      <c r="T2679" s="7" t="e">
        <f>IF(VLOOKUP($A2679,'Concrete Beam Schedule'!$A$2:$Q$2902,T$2,0)&lt;&gt;D2679,"Beam Revised","")</f>
        <v>#N/A</v>
      </c>
      <c r="U2679" s="7" t="e">
        <f>IF(VLOOKUP($A2679,'Concrete Beam Schedule'!$A$2:$Q$2902,U$2,0)&lt;&gt;E2679,"Beam Revised","")</f>
        <v>#N/A</v>
      </c>
      <c r="V2679" s="7" t="e">
        <f>IF(VLOOKUP($A2679,'Concrete Beam Schedule'!$A$2:$Q$2902,V$2,0)&lt;&gt;F2679,"Beam Revised","")</f>
        <v>#N/A</v>
      </c>
      <c r="W2679" s="7" t="e">
        <f>IF(VLOOKUP($A2679,'Concrete Beam Schedule'!$A$2:$Q$2902,W$2,0)&lt;&gt;G2679,"Beam Revised","")</f>
        <v>#N/A</v>
      </c>
      <c r="X2679" s="7" t="e">
        <f>IF(VLOOKUP($A2679,'Concrete Beam Schedule'!$A$2:$Q$2902,X$2,0)&lt;&gt;H2679,"Beam Revised","")</f>
        <v>#N/A</v>
      </c>
      <c r="Y2679" s="7" t="e">
        <f>IF(VLOOKUP($A2679,'Concrete Beam Schedule'!$A$2:$Q$2902,Y$2,0)&lt;&gt;I2679,"Beam Revised","")</f>
        <v>#N/A</v>
      </c>
      <c r="Z2679" s="7" t="e">
        <f>IF(VLOOKUP($A2679,'Concrete Beam Schedule'!$A$2:$Q$2902,Z$2,0)&lt;&gt;J2679,"Beam Revised","")</f>
        <v>#N/A</v>
      </c>
      <c r="AA2679" s="7" t="e">
        <f>IF(VLOOKUP($A2679,'Concrete Beam Schedule'!$A$2:$Q$2902,AA$2,0)&lt;&gt;K2679,"Beam Revised","")</f>
        <v>#N/A</v>
      </c>
      <c r="AB2679" s="7" t="e">
        <f>IF(VLOOKUP($A2679,'Concrete Beam Schedule'!$A$2:$Q$2902,AB$2,0)&lt;&gt;L2679,"Beam Revised","")</f>
        <v>#N/A</v>
      </c>
      <c r="AC2679" s="7" t="e">
        <f>IF(VLOOKUP($A2679,'Concrete Beam Schedule'!$A$2:$Q$2902,AC$2,0)&lt;&gt;M2679,"Beam Revised","")</f>
        <v>#N/A</v>
      </c>
      <c r="AD2679" s="7" t="e">
        <f>IF(VLOOKUP($A2679,'Concrete Beam Schedule'!$A$2:$Q$2902,AD$2,0)&lt;&gt;N2679,"Beam Revised","")</f>
        <v>#N/A</v>
      </c>
      <c r="AE2679" s="7" t="e">
        <f>IF(VLOOKUP($A2679,'Concrete Beam Schedule'!$A$2:$Q$2902,AE$2,0)&lt;&gt;O2679,"Beam Revised","")</f>
        <v>#N/A</v>
      </c>
    </row>
    <row r="2680" spans="17:31" ht="20.100000000000001" customHeight="1" x14ac:dyDescent="0.25">
      <c r="Q2680" s="7">
        <f t="shared" si="41"/>
        <v>0</v>
      </c>
      <c r="R2680" s="7" t="e">
        <f>IF(VLOOKUP($A2680,'Concrete Beam Schedule'!$A$2:$Q$2902,R$2,0)&lt;&gt;B2680,VLOOKUP($A2680,'Concrete Beam Schedule'!$A$2:$Q$2902,R$2,0),"")</f>
        <v>#N/A</v>
      </c>
      <c r="S2680" s="7" t="e">
        <f>IF(VLOOKUP($A2680,'Concrete Beam Schedule'!$A$2:$Q$2902,S$2,0)&lt;&gt;C2680,VLOOKUP($A2680,'Concrete Beam Schedule'!$A$2:$Q$2902,S$2,0),"")</f>
        <v>#N/A</v>
      </c>
      <c r="T2680" s="7" t="e">
        <f>IF(VLOOKUP($A2680,'Concrete Beam Schedule'!$A$2:$Q$2902,T$2,0)&lt;&gt;D2680,"Beam Revised","")</f>
        <v>#N/A</v>
      </c>
      <c r="U2680" s="7" t="e">
        <f>IF(VLOOKUP($A2680,'Concrete Beam Schedule'!$A$2:$Q$2902,U$2,0)&lt;&gt;E2680,"Beam Revised","")</f>
        <v>#N/A</v>
      </c>
      <c r="V2680" s="7" t="e">
        <f>IF(VLOOKUP($A2680,'Concrete Beam Schedule'!$A$2:$Q$2902,V$2,0)&lt;&gt;F2680,"Beam Revised","")</f>
        <v>#N/A</v>
      </c>
      <c r="W2680" s="7" t="e">
        <f>IF(VLOOKUP($A2680,'Concrete Beam Schedule'!$A$2:$Q$2902,W$2,0)&lt;&gt;G2680,"Beam Revised","")</f>
        <v>#N/A</v>
      </c>
      <c r="X2680" s="7" t="e">
        <f>IF(VLOOKUP($A2680,'Concrete Beam Schedule'!$A$2:$Q$2902,X$2,0)&lt;&gt;H2680,"Beam Revised","")</f>
        <v>#N/A</v>
      </c>
      <c r="Y2680" s="7" t="e">
        <f>IF(VLOOKUP($A2680,'Concrete Beam Schedule'!$A$2:$Q$2902,Y$2,0)&lt;&gt;I2680,"Beam Revised","")</f>
        <v>#N/A</v>
      </c>
      <c r="Z2680" s="7" t="e">
        <f>IF(VLOOKUP($A2680,'Concrete Beam Schedule'!$A$2:$Q$2902,Z$2,0)&lt;&gt;J2680,"Beam Revised","")</f>
        <v>#N/A</v>
      </c>
      <c r="AA2680" s="7" t="e">
        <f>IF(VLOOKUP($A2680,'Concrete Beam Schedule'!$A$2:$Q$2902,AA$2,0)&lt;&gt;K2680,"Beam Revised","")</f>
        <v>#N/A</v>
      </c>
      <c r="AB2680" s="7" t="e">
        <f>IF(VLOOKUP($A2680,'Concrete Beam Schedule'!$A$2:$Q$2902,AB$2,0)&lt;&gt;L2680,"Beam Revised","")</f>
        <v>#N/A</v>
      </c>
      <c r="AC2680" s="7" t="e">
        <f>IF(VLOOKUP($A2680,'Concrete Beam Schedule'!$A$2:$Q$2902,AC$2,0)&lt;&gt;M2680,"Beam Revised","")</f>
        <v>#N/A</v>
      </c>
      <c r="AD2680" s="7" t="e">
        <f>IF(VLOOKUP($A2680,'Concrete Beam Schedule'!$A$2:$Q$2902,AD$2,0)&lt;&gt;N2680,"Beam Revised","")</f>
        <v>#N/A</v>
      </c>
      <c r="AE2680" s="7" t="e">
        <f>IF(VLOOKUP($A2680,'Concrete Beam Schedule'!$A$2:$Q$2902,AE$2,0)&lt;&gt;O2680,"Beam Revised","")</f>
        <v>#N/A</v>
      </c>
    </row>
    <row r="2681" spans="17:31" ht="20.100000000000001" customHeight="1" x14ac:dyDescent="0.25">
      <c r="Q2681" s="7">
        <f t="shared" si="41"/>
        <v>0</v>
      </c>
      <c r="R2681" s="7" t="e">
        <f>IF(VLOOKUP($A2681,'Concrete Beam Schedule'!$A$2:$Q$2902,R$2,0)&lt;&gt;B2681,VLOOKUP($A2681,'Concrete Beam Schedule'!$A$2:$Q$2902,R$2,0),"")</f>
        <v>#N/A</v>
      </c>
      <c r="S2681" s="7" t="e">
        <f>IF(VLOOKUP($A2681,'Concrete Beam Schedule'!$A$2:$Q$2902,S$2,0)&lt;&gt;C2681,VLOOKUP($A2681,'Concrete Beam Schedule'!$A$2:$Q$2902,S$2,0),"")</f>
        <v>#N/A</v>
      </c>
      <c r="T2681" s="7" t="e">
        <f>IF(VLOOKUP($A2681,'Concrete Beam Schedule'!$A$2:$Q$2902,T$2,0)&lt;&gt;D2681,"Beam Revised","")</f>
        <v>#N/A</v>
      </c>
      <c r="U2681" s="7" t="e">
        <f>IF(VLOOKUP($A2681,'Concrete Beam Schedule'!$A$2:$Q$2902,U$2,0)&lt;&gt;E2681,"Beam Revised","")</f>
        <v>#N/A</v>
      </c>
      <c r="V2681" s="7" t="e">
        <f>IF(VLOOKUP($A2681,'Concrete Beam Schedule'!$A$2:$Q$2902,V$2,0)&lt;&gt;F2681,"Beam Revised","")</f>
        <v>#N/A</v>
      </c>
      <c r="W2681" s="7" t="e">
        <f>IF(VLOOKUP($A2681,'Concrete Beam Schedule'!$A$2:$Q$2902,W$2,0)&lt;&gt;G2681,"Beam Revised","")</f>
        <v>#N/A</v>
      </c>
      <c r="X2681" s="7" t="e">
        <f>IF(VLOOKUP($A2681,'Concrete Beam Schedule'!$A$2:$Q$2902,X$2,0)&lt;&gt;H2681,"Beam Revised","")</f>
        <v>#N/A</v>
      </c>
      <c r="Y2681" s="7" t="e">
        <f>IF(VLOOKUP($A2681,'Concrete Beam Schedule'!$A$2:$Q$2902,Y$2,0)&lt;&gt;I2681,"Beam Revised","")</f>
        <v>#N/A</v>
      </c>
      <c r="Z2681" s="7" t="e">
        <f>IF(VLOOKUP($A2681,'Concrete Beam Schedule'!$A$2:$Q$2902,Z$2,0)&lt;&gt;J2681,"Beam Revised","")</f>
        <v>#N/A</v>
      </c>
      <c r="AA2681" s="7" t="e">
        <f>IF(VLOOKUP($A2681,'Concrete Beam Schedule'!$A$2:$Q$2902,AA$2,0)&lt;&gt;K2681,"Beam Revised","")</f>
        <v>#N/A</v>
      </c>
      <c r="AB2681" s="7" t="e">
        <f>IF(VLOOKUP($A2681,'Concrete Beam Schedule'!$A$2:$Q$2902,AB$2,0)&lt;&gt;L2681,"Beam Revised","")</f>
        <v>#N/A</v>
      </c>
      <c r="AC2681" s="7" t="e">
        <f>IF(VLOOKUP($A2681,'Concrete Beam Schedule'!$A$2:$Q$2902,AC$2,0)&lt;&gt;M2681,"Beam Revised","")</f>
        <v>#N/A</v>
      </c>
      <c r="AD2681" s="7" t="e">
        <f>IF(VLOOKUP($A2681,'Concrete Beam Schedule'!$A$2:$Q$2902,AD$2,0)&lt;&gt;N2681,"Beam Revised","")</f>
        <v>#N/A</v>
      </c>
      <c r="AE2681" s="7" t="e">
        <f>IF(VLOOKUP($A2681,'Concrete Beam Schedule'!$A$2:$Q$2902,AE$2,0)&lt;&gt;O2681,"Beam Revised","")</f>
        <v>#N/A</v>
      </c>
    </row>
    <row r="2682" spans="17:31" ht="20.100000000000001" customHeight="1" x14ac:dyDescent="0.25">
      <c r="Q2682" s="7">
        <f t="shared" si="41"/>
        <v>0</v>
      </c>
      <c r="R2682" s="7" t="e">
        <f>IF(VLOOKUP($A2682,'Concrete Beam Schedule'!$A$2:$Q$2902,R$2,0)&lt;&gt;B2682,VLOOKUP($A2682,'Concrete Beam Schedule'!$A$2:$Q$2902,R$2,0),"")</f>
        <v>#N/A</v>
      </c>
      <c r="S2682" s="7" t="e">
        <f>IF(VLOOKUP($A2682,'Concrete Beam Schedule'!$A$2:$Q$2902,S$2,0)&lt;&gt;C2682,VLOOKUP($A2682,'Concrete Beam Schedule'!$A$2:$Q$2902,S$2,0),"")</f>
        <v>#N/A</v>
      </c>
      <c r="T2682" s="7" t="e">
        <f>IF(VLOOKUP($A2682,'Concrete Beam Schedule'!$A$2:$Q$2902,T$2,0)&lt;&gt;D2682,"Beam Revised","")</f>
        <v>#N/A</v>
      </c>
      <c r="U2682" s="7" t="e">
        <f>IF(VLOOKUP($A2682,'Concrete Beam Schedule'!$A$2:$Q$2902,U$2,0)&lt;&gt;E2682,"Beam Revised","")</f>
        <v>#N/A</v>
      </c>
      <c r="V2682" s="7" t="e">
        <f>IF(VLOOKUP($A2682,'Concrete Beam Schedule'!$A$2:$Q$2902,V$2,0)&lt;&gt;F2682,"Beam Revised","")</f>
        <v>#N/A</v>
      </c>
      <c r="W2682" s="7" t="e">
        <f>IF(VLOOKUP($A2682,'Concrete Beam Schedule'!$A$2:$Q$2902,W$2,0)&lt;&gt;G2682,"Beam Revised","")</f>
        <v>#N/A</v>
      </c>
      <c r="X2682" s="7" t="e">
        <f>IF(VLOOKUP($A2682,'Concrete Beam Schedule'!$A$2:$Q$2902,X$2,0)&lt;&gt;H2682,"Beam Revised","")</f>
        <v>#N/A</v>
      </c>
      <c r="Y2682" s="7" t="e">
        <f>IF(VLOOKUP($A2682,'Concrete Beam Schedule'!$A$2:$Q$2902,Y$2,0)&lt;&gt;I2682,"Beam Revised","")</f>
        <v>#N/A</v>
      </c>
      <c r="Z2682" s="7" t="e">
        <f>IF(VLOOKUP($A2682,'Concrete Beam Schedule'!$A$2:$Q$2902,Z$2,0)&lt;&gt;J2682,"Beam Revised","")</f>
        <v>#N/A</v>
      </c>
      <c r="AA2682" s="7" t="e">
        <f>IF(VLOOKUP($A2682,'Concrete Beam Schedule'!$A$2:$Q$2902,AA$2,0)&lt;&gt;K2682,"Beam Revised","")</f>
        <v>#N/A</v>
      </c>
      <c r="AB2682" s="7" t="e">
        <f>IF(VLOOKUP($A2682,'Concrete Beam Schedule'!$A$2:$Q$2902,AB$2,0)&lt;&gt;L2682,"Beam Revised","")</f>
        <v>#N/A</v>
      </c>
      <c r="AC2682" s="7" t="e">
        <f>IF(VLOOKUP($A2682,'Concrete Beam Schedule'!$A$2:$Q$2902,AC$2,0)&lt;&gt;M2682,"Beam Revised","")</f>
        <v>#N/A</v>
      </c>
      <c r="AD2682" s="7" t="e">
        <f>IF(VLOOKUP($A2682,'Concrete Beam Schedule'!$A$2:$Q$2902,AD$2,0)&lt;&gt;N2682,"Beam Revised","")</f>
        <v>#N/A</v>
      </c>
      <c r="AE2682" s="7" t="e">
        <f>IF(VLOOKUP($A2682,'Concrete Beam Schedule'!$A$2:$Q$2902,AE$2,0)&lt;&gt;O2682,"Beam Revised","")</f>
        <v>#N/A</v>
      </c>
    </row>
    <row r="2683" spans="17:31" ht="20.100000000000001" customHeight="1" x14ac:dyDescent="0.25">
      <c r="Q2683" s="7">
        <f t="shared" si="41"/>
        <v>0</v>
      </c>
      <c r="R2683" s="7" t="e">
        <f>IF(VLOOKUP($A2683,'Concrete Beam Schedule'!$A$2:$Q$2902,R$2,0)&lt;&gt;B2683,VLOOKUP($A2683,'Concrete Beam Schedule'!$A$2:$Q$2902,R$2,0),"")</f>
        <v>#N/A</v>
      </c>
      <c r="S2683" s="7" t="e">
        <f>IF(VLOOKUP($A2683,'Concrete Beam Schedule'!$A$2:$Q$2902,S$2,0)&lt;&gt;C2683,VLOOKUP($A2683,'Concrete Beam Schedule'!$A$2:$Q$2902,S$2,0),"")</f>
        <v>#N/A</v>
      </c>
      <c r="T2683" s="7" t="e">
        <f>IF(VLOOKUP($A2683,'Concrete Beam Schedule'!$A$2:$Q$2902,T$2,0)&lt;&gt;D2683,"Beam Revised","")</f>
        <v>#N/A</v>
      </c>
      <c r="U2683" s="7" t="e">
        <f>IF(VLOOKUP($A2683,'Concrete Beam Schedule'!$A$2:$Q$2902,U$2,0)&lt;&gt;E2683,"Beam Revised","")</f>
        <v>#N/A</v>
      </c>
      <c r="V2683" s="7" t="e">
        <f>IF(VLOOKUP($A2683,'Concrete Beam Schedule'!$A$2:$Q$2902,V$2,0)&lt;&gt;F2683,"Beam Revised","")</f>
        <v>#N/A</v>
      </c>
      <c r="W2683" s="7" t="e">
        <f>IF(VLOOKUP($A2683,'Concrete Beam Schedule'!$A$2:$Q$2902,W$2,0)&lt;&gt;G2683,"Beam Revised","")</f>
        <v>#N/A</v>
      </c>
      <c r="X2683" s="7" t="e">
        <f>IF(VLOOKUP($A2683,'Concrete Beam Schedule'!$A$2:$Q$2902,X$2,0)&lt;&gt;H2683,"Beam Revised","")</f>
        <v>#N/A</v>
      </c>
      <c r="Y2683" s="7" t="e">
        <f>IF(VLOOKUP($A2683,'Concrete Beam Schedule'!$A$2:$Q$2902,Y$2,0)&lt;&gt;I2683,"Beam Revised","")</f>
        <v>#N/A</v>
      </c>
      <c r="Z2683" s="7" t="e">
        <f>IF(VLOOKUP($A2683,'Concrete Beam Schedule'!$A$2:$Q$2902,Z$2,0)&lt;&gt;J2683,"Beam Revised","")</f>
        <v>#N/A</v>
      </c>
      <c r="AA2683" s="7" t="e">
        <f>IF(VLOOKUP($A2683,'Concrete Beam Schedule'!$A$2:$Q$2902,AA$2,0)&lt;&gt;K2683,"Beam Revised","")</f>
        <v>#N/A</v>
      </c>
      <c r="AB2683" s="7" t="e">
        <f>IF(VLOOKUP($A2683,'Concrete Beam Schedule'!$A$2:$Q$2902,AB$2,0)&lt;&gt;L2683,"Beam Revised","")</f>
        <v>#N/A</v>
      </c>
      <c r="AC2683" s="7" t="e">
        <f>IF(VLOOKUP($A2683,'Concrete Beam Schedule'!$A$2:$Q$2902,AC$2,0)&lt;&gt;M2683,"Beam Revised","")</f>
        <v>#N/A</v>
      </c>
      <c r="AD2683" s="7" t="e">
        <f>IF(VLOOKUP($A2683,'Concrete Beam Schedule'!$A$2:$Q$2902,AD$2,0)&lt;&gt;N2683,"Beam Revised","")</f>
        <v>#N/A</v>
      </c>
      <c r="AE2683" s="7" t="e">
        <f>IF(VLOOKUP($A2683,'Concrete Beam Schedule'!$A$2:$Q$2902,AE$2,0)&lt;&gt;O2683,"Beam Revised","")</f>
        <v>#N/A</v>
      </c>
    </row>
    <row r="2684" spans="17:31" ht="20.100000000000001" customHeight="1" x14ac:dyDescent="0.25">
      <c r="Q2684" s="7">
        <f t="shared" si="41"/>
        <v>0</v>
      </c>
      <c r="R2684" s="7" t="e">
        <f>IF(VLOOKUP($A2684,'Concrete Beam Schedule'!$A$2:$Q$2902,R$2,0)&lt;&gt;B2684,VLOOKUP($A2684,'Concrete Beam Schedule'!$A$2:$Q$2902,R$2,0),"")</f>
        <v>#N/A</v>
      </c>
      <c r="S2684" s="7" t="e">
        <f>IF(VLOOKUP($A2684,'Concrete Beam Schedule'!$A$2:$Q$2902,S$2,0)&lt;&gt;C2684,VLOOKUP($A2684,'Concrete Beam Schedule'!$A$2:$Q$2902,S$2,0),"")</f>
        <v>#N/A</v>
      </c>
      <c r="T2684" s="7" t="e">
        <f>IF(VLOOKUP($A2684,'Concrete Beam Schedule'!$A$2:$Q$2902,T$2,0)&lt;&gt;D2684,"Beam Revised","")</f>
        <v>#N/A</v>
      </c>
      <c r="U2684" s="7" t="e">
        <f>IF(VLOOKUP($A2684,'Concrete Beam Schedule'!$A$2:$Q$2902,U$2,0)&lt;&gt;E2684,"Beam Revised","")</f>
        <v>#N/A</v>
      </c>
      <c r="V2684" s="7" t="e">
        <f>IF(VLOOKUP($A2684,'Concrete Beam Schedule'!$A$2:$Q$2902,V$2,0)&lt;&gt;F2684,"Beam Revised","")</f>
        <v>#N/A</v>
      </c>
      <c r="W2684" s="7" t="e">
        <f>IF(VLOOKUP($A2684,'Concrete Beam Schedule'!$A$2:$Q$2902,W$2,0)&lt;&gt;G2684,"Beam Revised","")</f>
        <v>#N/A</v>
      </c>
      <c r="X2684" s="7" t="e">
        <f>IF(VLOOKUP($A2684,'Concrete Beam Schedule'!$A$2:$Q$2902,X$2,0)&lt;&gt;H2684,"Beam Revised","")</f>
        <v>#N/A</v>
      </c>
      <c r="Y2684" s="7" t="e">
        <f>IF(VLOOKUP($A2684,'Concrete Beam Schedule'!$A$2:$Q$2902,Y$2,0)&lt;&gt;I2684,"Beam Revised","")</f>
        <v>#N/A</v>
      </c>
      <c r="Z2684" s="7" t="e">
        <f>IF(VLOOKUP($A2684,'Concrete Beam Schedule'!$A$2:$Q$2902,Z$2,0)&lt;&gt;J2684,"Beam Revised","")</f>
        <v>#N/A</v>
      </c>
      <c r="AA2684" s="7" t="e">
        <f>IF(VLOOKUP($A2684,'Concrete Beam Schedule'!$A$2:$Q$2902,AA$2,0)&lt;&gt;K2684,"Beam Revised","")</f>
        <v>#N/A</v>
      </c>
      <c r="AB2684" s="7" t="e">
        <f>IF(VLOOKUP($A2684,'Concrete Beam Schedule'!$A$2:$Q$2902,AB$2,0)&lt;&gt;L2684,"Beam Revised","")</f>
        <v>#N/A</v>
      </c>
      <c r="AC2684" s="7" t="e">
        <f>IF(VLOOKUP($A2684,'Concrete Beam Schedule'!$A$2:$Q$2902,AC$2,0)&lt;&gt;M2684,"Beam Revised","")</f>
        <v>#N/A</v>
      </c>
      <c r="AD2684" s="7" t="e">
        <f>IF(VLOOKUP($A2684,'Concrete Beam Schedule'!$A$2:$Q$2902,AD$2,0)&lt;&gt;N2684,"Beam Revised","")</f>
        <v>#N/A</v>
      </c>
      <c r="AE2684" s="7" t="e">
        <f>IF(VLOOKUP($A2684,'Concrete Beam Schedule'!$A$2:$Q$2902,AE$2,0)&lt;&gt;O2684,"Beam Revised","")</f>
        <v>#N/A</v>
      </c>
    </row>
    <row r="2685" spans="17:31" ht="20.100000000000001" customHeight="1" x14ac:dyDescent="0.25">
      <c r="Q2685" s="7">
        <f t="shared" si="41"/>
        <v>0</v>
      </c>
      <c r="R2685" s="7" t="e">
        <f>IF(VLOOKUP($A2685,'Concrete Beam Schedule'!$A$2:$Q$2902,R$2,0)&lt;&gt;B2685,VLOOKUP($A2685,'Concrete Beam Schedule'!$A$2:$Q$2902,R$2,0),"")</f>
        <v>#N/A</v>
      </c>
      <c r="S2685" s="7" t="e">
        <f>IF(VLOOKUP($A2685,'Concrete Beam Schedule'!$A$2:$Q$2902,S$2,0)&lt;&gt;C2685,VLOOKUP($A2685,'Concrete Beam Schedule'!$A$2:$Q$2902,S$2,0),"")</f>
        <v>#N/A</v>
      </c>
      <c r="T2685" s="7" t="e">
        <f>IF(VLOOKUP($A2685,'Concrete Beam Schedule'!$A$2:$Q$2902,T$2,0)&lt;&gt;D2685,"Beam Revised","")</f>
        <v>#N/A</v>
      </c>
      <c r="U2685" s="7" t="e">
        <f>IF(VLOOKUP($A2685,'Concrete Beam Schedule'!$A$2:$Q$2902,U$2,0)&lt;&gt;E2685,"Beam Revised","")</f>
        <v>#N/A</v>
      </c>
      <c r="V2685" s="7" t="e">
        <f>IF(VLOOKUP($A2685,'Concrete Beam Schedule'!$A$2:$Q$2902,V$2,0)&lt;&gt;F2685,"Beam Revised","")</f>
        <v>#N/A</v>
      </c>
      <c r="W2685" s="7" t="e">
        <f>IF(VLOOKUP($A2685,'Concrete Beam Schedule'!$A$2:$Q$2902,W$2,0)&lt;&gt;G2685,"Beam Revised","")</f>
        <v>#N/A</v>
      </c>
      <c r="X2685" s="7" t="e">
        <f>IF(VLOOKUP($A2685,'Concrete Beam Schedule'!$A$2:$Q$2902,X$2,0)&lt;&gt;H2685,"Beam Revised","")</f>
        <v>#N/A</v>
      </c>
      <c r="Y2685" s="7" t="e">
        <f>IF(VLOOKUP($A2685,'Concrete Beam Schedule'!$A$2:$Q$2902,Y$2,0)&lt;&gt;I2685,"Beam Revised","")</f>
        <v>#N/A</v>
      </c>
      <c r="Z2685" s="7" t="e">
        <f>IF(VLOOKUP($A2685,'Concrete Beam Schedule'!$A$2:$Q$2902,Z$2,0)&lt;&gt;J2685,"Beam Revised","")</f>
        <v>#N/A</v>
      </c>
      <c r="AA2685" s="7" t="e">
        <f>IF(VLOOKUP($A2685,'Concrete Beam Schedule'!$A$2:$Q$2902,AA$2,0)&lt;&gt;K2685,"Beam Revised","")</f>
        <v>#N/A</v>
      </c>
      <c r="AB2685" s="7" t="e">
        <f>IF(VLOOKUP($A2685,'Concrete Beam Schedule'!$A$2:$Q$2902,AB$2,0)&lt;&gt;L2685,"Beam Revised","")</f>
        <v>#N/A</v>
      </c>
      <c r="AC2685" s="7" t="e">
        <f>IF(VLOOKUP($A2685,'Concrete Beam Schedule'!$A$2:$Q$2902,AC$2,0)&lt;&gt;M2685,"Beam Revised","")</f>
        <v>#N/A</v>
      </c>
      <c r="AD2685" s="7" t="e">
        <f>IF(VLOOKUP($A2685,'Concrete Beam Schedule'!$A$2:$Q$2902,AD$2,0)&lt;&gt;N2685,"Beam Revised","")</f>
        <v>#N/A</v>
      </c>
      <c r="AE2685" s="7" t="e">
        <f>IF(VLOOKUP($A2685,'Concrete Beam Schedule'!$A$2:$Q$2902,AE$2,0)&lt;&gt;O2685,"Beam Revised","")</f>
        <v>#N/A</v>
      </c>
    </row>
    <row r="2686" spans="17:31" ht="20.100000000000001" customHeight="1" x14ac:dyDescent="0.25">
      <c r="Q2686" s="7">
        <f t="shared" si="41"/>
        <v>0</v>
      </c>
      <c r="R2686" s="7" t="e">
        <f>IF(VLOOKUP($A2686,'Concrete Beam Schedule'!$A$2:$Q$2902,R$2,0)&lt;&gt;B2686,VLOOKUP($A2686,'Concrete Beam Schedule'!$A$2:$Q$2902,R$2,0),"")</f>
        <v>#N/A</v>
      </c>
      <c r="S2686" s="7" t="e">
        <f>IF(VLOOKUP($A2686,'Concrete Beam Schedule'!$A$2:$Q$2902,S$2,0)&lt;&gt;C2686,VLOOKUP($A2686,'Concrete Beam Schedule'!$A$2:$Q$2902,S$2,0),"")</f>
        <v>#N/A</v>
      </c>
      <c r="T2686" s="7" t="e">
        <f>IF(VLOOKUP($A2686,'Concrete Beam Schedule'!$A$2:$Q$2902,T$2,0)&lt;&gt;D2686,"Beam Revised","")</f>
        <v>#N/A</v>
      </c>
      <c r="U2686" s="7" t="e">
        <f>IF(VLOOKUP($A2686,'Concrete Beam Schedule'!$A$2:$Q$2902,U$2,0)&lt;&gt;E2686,"Beam Revised","")</f>
        <v>#N/A</v>
      </c>
      <c r="V2686" s="7" t="e">
        <f>IF(VLOOKUP($A2686,'Concrete Beam Schedule'!$A$2:$Q$2902,V$2,0)&lt;&gt;F2686,"Beam Revised","")</f>
        <v>#N/A</v>
      </c>
      <c r="W2686" s="7" t="e">
        <f>IF(VLOOKUP($A2686,'Concrete Beam Schedule'!$A$2:$Q$2902,W$2,0)&lt;&gt;G2686,"Beam Revised","")</f>
        <v>#N/A</v>
      </c>
      <c r="X2686" s="7" t="e">
        <f>IF(VLOOKUP($A2686,'Concrete Beam Schedule'!$A$2:$Q$2902,X$2,0)&lt;&gt;H2686,"Beam Revised","")</f>
        <v>#N/A</v>
      </c>
      <c r="Y2686" s="7" t="e">
        <f>IF(VLOOKUP($A2686,'Concrete Beam Schedule'!$A$2:$Q$2902,Y$2,0)&lt;&gt;I2686,"Beam Revised","")</f>
        <v>#N/A</v>
      </c>
      <c r="Z2686" s="7" t="e">
        <f>IF(VLOOKUP($A2686,'Concrete Beam Schedule'!$A$2:$Q$2902,Z$2,0)&lt;&gt;J2686,"Beam Revised","")</f>
        <v>#N/A</v>
      </c>
      <c r="AA2686" s="7" t="e">
        <f>IF(VLOOKUP($A2686,'Concrete Beam Schedule'!$A$2:$Q$2902,AA$2,0)&lt;&gt;K2686,"Beam Revised","")</f>
        <v>#N/A</v>
      </c>
      <c r="AB2686" s="7" t="e">
        <f>IF(VLOOKUP($A2686,'Concrete Beam Schedule'!$A$2:$Q$2902,AB$2,0)&lt;&gt;L2686,"Beam Revised","")</f>
        <v>#N/A</v>
      </c>
      <c r="AC2686" s="7" t="e">
        <f>IF(VLOOKUP($A2686,'Concrete Beam Schedule'!$A$2:$Q$2902,AC$2,0)&lt;&gt;M2686,"Beam Revised","")</f>
        <v>#N/A</v>
      </c>
      <c r="AD2686" s="7" t="e">
        <f>IF(VLOOKUP($A2686,'Concrete Beam Schedule'!$A$2:$Q$2902,AD$2,0)&lt;&gt;N2686,"Beam Revised","")</f>
        <v>#N/A</v>
      </c>
      <c r="AE2686" s="7" t="e">
        <f>IF(VLOOKUP($A2686,'Concrete Beam Schedule'!$A$2:$Q$2902,AE$2,0)&lt;&gt;O2686,"Beam Revised","")</f>
        <v>#N/A</v>
      </c>
    </row>
    <row r="2687" spans="17:31" ht="20.100000000000001" customHeight="1" x14ac:dyDescent="0.25">
      <c r="Q2687" s="7">
        <f t="shared" si="41"/>
        <v>0</v>
      </c>
      <c r="R2687" s="7" t="e">
        <f>IF(VLOOKUP($A2687,'Concrete Beam Schedule'!$A$2:$Q$2902,R$2,0)&lt;&gt;B2687,VLOOKUP($A2687,'Concrete Beam Schedule'!$A$2:$Q$2902,R$2,0),"")</f>
        <v>#N/A</v>
      </c>
      <c r="S2687" s="7" t="e">
        <f>IF(VLOOKUP($A2687,'Concrete Beam Schedule'!$A$2:$Q$2902,S$2,0)&lt;&gt;C2687,VLOOKUP($A2687,'Concrete Beam Schedule'!$A$2:$Q$2902,S$2,0),"")</f>
        <v>#N/A</v>
      </c>
      <c r="T2687" s="7" t="e">
        <f>IF(VLOOKUP($A2687,'Concrete Beam Schedule'!$A$2:$Q$2902,T$2,0)&lt;&gt;D2687,"Beam Revised","")</f>
        <v>#N/A</v>
      </c>
      <c r="U2687" s="7" t="e">
        <f>IF(VLOOKUP($A2687,'Concrete Beam Schedule'!$A$2:$Q$2902,U$2,0)&lt;&gt;E2687,"Beam Revised","")</f>
        <v>#N/A</v>
      </c>
      <c r="V2687" s="7" t="e">
        <f>IF(VLOOKUP($A2687,'Concrete Beam Schedule'!$A$2:$Q$2902,V$2,0)&lt;&gt;F2687,"Beam Revised","")</f>
        <v>#N/A</v>
      </c>
      <c r="W2687" s="7" t="e">
        <f>IF(VLOOKUP($A2687,'Concrete Beam Schedule'!$A$2:$Q$2902,W$2,0)&lt;&gt;G2687,"Beam Revised","")</f>
        <v>#N/A</v>
      </c>
      <c r="X2687" s="7" t="e">
        <f>IF(VLOOKUP($A2687,'Concrete Beam Schedule'!$A$2:$Q$2902,X$2,0)&lt;&gt;H2687,"Beam Revised","")</f>
        <v>#N/A</v>
      </c>
      <c r="Y2687" s="7" t="e">
        <f>IF(VLOOKUP($A2687,'Concrete Beam Schedule'!$A$2:$Q$2902,Y$2,0)&lt;&gt;I2687,"Beam Revised","")</f>
        <v>#N/A</v>
      </c>
      <c r="Z2687" s="7" t="e">
        <f>IF(VLOOKUP($A2687,'Concrete Beam Schedule'!$A$2:$Q$2902,Z$2,0)&lt;&gt;J2687,"Beam Revised","")</f>
        <v>#N/A</v>
      </c>
      <c r="AA2687" s="7" t="e">
        <f>IF(VLOOKUP($A2687,'Concrete Beam Schedule'!$A$2:$Q$2902,AA$2,0)&lt;&gt;K2687,"Beam Revised","")</f>
        <v>#N/A</v>
      </c>
      <c r="AB2687" s="7" t="e">
        <f>IF(VLOOKUP($A2687,'Concrete Beam Schedule'!$A$2:$Q$2902,AB$2,0)&lt;&gt;L2687,"Beam Revised","")</f>
        <v>#N/A</v>
      </c>
      <c r="AC2687" s="7" t="e">
        <f>IF(VLOOKUP($A2687,'Concrete Beam Schedule'!$A$2:$Q$2902,AC$2,0)&lt;&gt;M2687,"Beam Revised","")</f>
        <v>#N/A</v>
      </c>
      <c r="AD2687" s="7" t="e">
        <f>IF(VLOOKUP($A2687,'Concrete Beam Schedule'!$A$2:$Q$2902,AD$2,0)&lt;&gt;N2687,"Beam Revised","")</f>
        <v>#N/A</v>
      </c>
      <c r="AE2687" s="7" t="e">
        <f>IF(VLOOKUP($A2687,'Concrete Beam Schedule'!$A$2:$Q$2902,AE$2,0)&lt;&gt;O2687,"Beam Revised","")</f>
        <v>#N/A</v>
      </c>
    </row>
    <row r="2688" spans="17:31" ht="20.100000000000001" customHeight="1" x14ac:dyDescent="0.25">
      <c r="Q2688" s="7">
        <f t="shared" si="41"/>
        <v>0</v>
      </c>
      <c r="R2688" s="7" t="e">
        <f>IF(VLOOKUP($A2688,'Concrete Beam Schedule'!$A$2:$Q$2902,R$2,0)&lt;&gt;B2688,VLOOKUP($A2688,'Concrete Beam Schedule'!$A$2:$Q$2902,R$2,0),"")</f>
        <v>#N/A</v>
      </c>
      <c r="S2688" s="7" t="e">
        <f>IF(VLOOKUP($A2688,'Concrete Beam Schedule'!$A$2:$Q$2902,S$2,0)&lt;&gt;C2688,VLOOKUP($A2688,'Concrete Beam Schedule'!$A$2:$Q$2902,S$2,0),"")</f>
        <v>#N/A</v>
      </c>
      <c r="T2688" s="7" t="e">
        <f>IF(VLOOKUP($A2688,'Concrete Beam Schedule'!$A$2:$Q$2902,T$2,0)&lt;&gt;D2688,"Beam Revised","")</f>
        <v>#N/A</v>
      </c>
      <c r="U2688" s="7" t="e">
        <f>IF(VLOOKUP($A2688,'Concrete Beam Schedule'!$A$2:$Q$2902,U$2,0)&lt;&gt;E2688,"Beam Revised","")</f>
        <v>#N/A</v>
      </c>
      <c r="V2688" s="7" t="e">
        <f>IF(VLOOKUP($A2688,'Concrete Beam Schedule'!$A$2:$Q$2902,V$2,0)&lt;&gt;F2688,"Beam Revised","")</f>
        <v>#N/A</v>
      </c>
      <c r="W2688" s="7" t="e">
        <f>IF(VLOOKUP($A2688,'Concrete Beam Schedule'!$A$2:$Q$2902,W$2,0)&lt;&gt;G2688,"Beam Revised","")</f>
        <v>#N/A</v>
      </c>
      <c r="X2688" s="7" t="e">
        <f>IF(VLOOKUP($A2688,'Concrete Beam Schedule'!$A$2:$Q$2902,X$2,0)&lt;&gt;H2688,"Beam Revised","")</f>
        <v>#N/A</v>
      </c>
      <c r="Y2688" s="7" t="e">
        <f>IF(VLOOKUP($A2688,'Concrete Beam Schedule'!$A$2:$Q$2902,Y$2,0)&lt;&gt;I2688,"Beam Revised","")</f>
        <v>#N/A</v>
      </c>
      <c r="Z2688" s="7" t="e">
        <f>IF(VLOOKUP($A2688,'Concrete Beam Schedule'!$A$2:$Q$2902,Z$2,0)&lt;&gt;J2688,"Beam Revised","")</f>
        <v>#N/A</v>
      </c>
      <c r="AA2688" s="7" t="e">
        <f>IF(VLOOKUP($A2688,'Concrete Beam Schedule'!$A$2:$Q$2902,AA$2,0)&lt;&gt;K2688,"Beam Revised","")</f>
        <v>#N/A</v>
      </c>
      <c r="AB2688" s="7" t="e">
        <f>IF(VLOOKUP($A2688,'Concrete Beam Schedule'!$A$2:$Q$2902,AB$2,0)&lt;&gt;L2688,"Beam Revised","")</f>
        <v>#N/A</v>
      </c>
      <c r="AC2688" s="7" t="e">
        <f>IF(VLOOKUP($A2688,'Concrete Beam Schedule'!$A$2:$Q$2902,AC$2,0)&lt;&gt;M2688,"Beam Revised","")</f>
        <v>#N/A</v>
      </c>
      <c r="AD2688" s="7" t="e">
        <f>IF(VLOOKUP($A2688,'Concrete Beam Schedule'!$A$2:$Q$2902,AD$2,0)&lt;&gt;N2688,"Beam Revised","")</f>
        <v>#N/A</v>
      </c>
      <c r="AE2688" s="7" t="e">
        <f>IF(VLOOKUP($A2688,'Concrete Beam Schedule'!$A$2:$Q$2902,AE$2,0)&lt;&gt;O2688,"Beam Revised","")</f>
        <v>#N/A</v>
      </c>
    </row>
    <row r="2689" spans="17:31" ht="20.100000000000001" customHeight="1" x14ac:dyDescent="0.25">
      <c r="Q2689" s="7">
        <f t="shared" si="41"/>
        <v>0</v>
      </c>
      <c r="R2689" s="7" t="e">
        <f>IF(VLOOKUP($A2689,'Concrete Beam Schedule'!$A$2:$Q$2902,R$2,0)&lt;&gt;B2689,VLOOKUP($A2689,'Concrete Beam Schedule'!$A$2:$Q$2902,R$2,0),"")</f>
        <v>#N/A</v>
      </c>
      <c r="S2689" s="7" t="e">
        <f>IF(VLOOKUP($A2689,'Concrete Beam Schedule'!$A$2:$Q$2902,S$2,0)&lt;&gt;C2689,VLOOKUP($A2689,'Concrete Beam Schedule'!$A$2:$Q$2902,S$2,0),"")</f>
        <v>#N/A</v>
      </c>
      <c r="T2689" s="7" t="e">
        <f>IF(VLOOKUP($A2689,'Concrete Beam Schedule'!$A$2:$Q$2902,T$2,0)&lt;&gt;D2689,"Beam Revised","")</f>
        <v>#N/A</v>
      </c>
      <c r="U2689" s="7" t="e">
        <f>IF(VLOOKUP($A2689,'Concrete Beam Schedule'!$A$2:$Q$2902,U$2,0)&lt;&gt;E2689,"Beam Revised","")</f>
        <v>#N/A</v>
      </c>
      <c r="V2689" s="7" t="e">
        <f>IF(VLOOKUP($A2689,'Concrete Beam Schedule'!$A$2:$Q$2902,V$2,0)&lt;&gt;F2689,"Beam Revised","")</f>
        <v>#N/A</v>
      </c>
      <c r="W2689" s="7" t="e">
        <f>IF(VLOOKUP($A2689,'Concrete Beam Schedule'!$A$2:$Q$2902,W$2,0)&lt;&gt;G2689,"Beam Revised","")</f>
        <v>#N/A</v>
      </c>
      <c r="X2689" s="7" t="e">
        <f>IF(VLOOKUP($A2689,'Concrete Beam Schedule'!$A$2:$Q$2902,X$2,0)&lt;&gt;H2689,"Beam Revised","")</f>
        <v>#N/A</v>
      </c>
      <c r="Y2689" s="7" t="e">
        <f>IF(VLOOKUP($A2689,'Concrete Beam Schedule'!$A$2:$Q$2902,Y$2,0)&lt;&gt;I2689,"Beam Revised","")</f>
        <v>#N/A</v>
      </c>
      <c r="Z2689" s="7" t="e">
        <f>IF(VLOOKUP($A2689,'Concrete Beam Schedule'!$A$2:$Q$2902,Z$2,0)&lt;&gt;J2689,"Beam Revised","")</f>
        <v>#N/A</v>
      </c>
      <c r="AA2689" s="7" t="e">
        <f>IF(VLOOKUP($A2689,'Concrete Beam Schedule'!$A$2:$Q$2902,AA$2,0)&lt;&gt;K2689,"Beam Revised","")</f>
        <v>#N/A</v>
      </c>
      <c r="AB2689" s="7" t="e">
        <f>IF(VLOOKUP($A2689,'Concrete Beam Schedule'!$A$2:$Q$2902,AB$2,0)&lt;&gt;L2689,"Beam Revised","")</f>
        <v>#N/A</v>
      </c>
      <c r="AC2689" s="7" t="e">
        <f>IF(VLOOKUP($A2689,'Concrete Beam Schedule'!$A$2:$Q$2902,AC$2,0)&lt;&gt;M2689,"Beam Revised","")</f>
        <v>#N/A</v>
      </c>
      <c r="AD2689" s="7" t="e">
        <f>IF(VLOOKUP($A2689,'Concrete Beam Schedule'!$A$2:$Q$2902,AD$2,0)&lt;&gt;N2689,"Beam Revised","")</f>
        <v>#N/A</v>
      </c>
      <c r="AE2689" s="7" t="e">
        <f>IF(VLOOKUP($A2689,'Concrete Beam Schedule'!$A$2:$Q$2902,AE$2,0)&lt;&gt;O2689,"Beam Revised","")</f>
        <v>#N/A</v>
      </c>
    </row>
    <row r="2690" spans="17:31" ht="20.100000000000001" customHeight="1" x14ac:dyDescent="0.25">
      <c r="Q2690" s="7">
        <f t="shared" si="41"/>
        <v>0</v>
      </c>
      <c r="R2690" s="7" t="e">
        <f>IF(VLOOKUP($A2690,'Concrete Beam Schedule'!$A$2:$Q$2902,R$2,0)&lt;&gt;B2690,VLOOKUP($A2690,'Concrete Beam Schedule'!$A$2:$Q$2902,R$2,0),"")</f>
        <v>#N/A</v>
      </c>
      <c r="S2690" s="7" t="e">
        <f>IF(VLOOKUP($A2690,'Concrete Beam Schedule'!$A$2:$Q$2902,S$2,0)&lt;&gt;C2690,VLOOKUP($A2690,'Concrete Beam Schedule'!$A$2:$Q$2902,S$2,0),"")</f>
        <v>#N/A</v>
      </c>
      <c r="T2690" s="7" t="e">
        <f>IF(VLOOKUP($A2690,'Concrete Beam Schedule'!$A$2:$Q$2902,T$2,0)&lt;&gt;D2690,"Beam Revised","")</f>
        <v>#N/A</v>
      </c>
      <c r="U2690" s="7" t="e">
        <f>IF(VLOOKUP($A2690,'Concrete Beam Schedule'!$A$2:$Q$2902,U$2,0)&lt;&gt;E2690,"Beam Revised","")</f>
        <v>#N/A</v>
      </c>
      <c r="V2690" s="7" t="e">
        <f>IF(VLOOKUP($A2690,'Concrete Beam Schedule'!$A$2:$Q$2902,V$2,0)&lt;&gt;F2690,"Beam Revised","")</f>
        <v>#N/A</v>
      </c>
      <c r="W2690" s="7" t="e">
        <f>IF(VLOOKUP($A2690,'Concrete Beam Schedule'!$A$2:$Q$2902,W$2,0)&lt;&gt;G2690,"Beam Revised","")</f>
        <v>#N/A</v>
      </c>
      <c r="X2690" s="7" t="e">
        <f>IF(VLOOKUP($A2690,'Concrete Beam Schedule'!$A$2:$Q$2902,X$2,0)&lt;&gt;H2690,"Beam Revised","")</f>
        <v>#N/A</v>
      </c>
      <c r="Y2690" s="7" t="e">
        <f>IF(VLOOKUP($A2690,'Concrete Beam Schedule'!$A$2:$Q$2902,Y$2,0)&lt;&gt;I2690,"Beam Revised","")</f>
        <v>#N/A</v>
      </c>
      <c r="Z2690" s="7" t="e">
        <f>IF(VLOOKUP($A2690,'Concrete Beam Schedule'!$A$2:$Q$2902,Z$2,0)&lt;&gt;J2690,"Beam Revised","")</f>
        <v>#N/A</v>
      </c>
      <c r="AA2690" s="7" t="e">
        <f>IF(VLOOKUP($A2690,'Concrete Beam Schedule'!$A$2:$Q$2902,AA$2,0)&lt;&gt;K2690,"Beam Revised","")</f>
        <v>#N/A</v>
      </c>
      <c r="AB2690" s="7" t="e">
        <f>IF(VLOOKUP($A2690,'Concrete Beam Schedule'!$A$2:$Q$2902,AB$2,0)&lt;&gt;L2690,"Beam Revised","")</f>
        <v>#N/A</v>
      </c>
      <c r="AC2690" s="7" t="e">
        <f>IF(VLOOKUP($A2690,'Concrete Beam Schedule'!$A$2:$Q$2902,AC$2,0)&lt;&gt;M2690,"Beam Revised","")</f>
        <v>#N/A</v>
      </c>
      <c r="AD2690" s="7" t="e">
        <f>IF(VLOOKUP($A2690,'Concrete Beam Schedule'!$A$2:$Q$2902,AD$2,0)&lt;&gt;N2690,"Beam Revised","")</f>
        <v>#N/A</v>
      </c>
      <c r="AE2690" s="7" t="e">
        <f>IF(VLOOKUP($A2690,'Concrete Beam Schedule'!$A$2:$Q$2902,AE$2,0)&lt;&gt;O2690,"Beam Revised","")</f>
        <v>#N/A</v>
      </c>
    </row>
    <row r="2691" spans="17:31" ht="20.100000000000001" customHeight="1" x14ac:dyDescent="0.25">
      <c r="Q2691" s="7">
        <f t="shared" si="41"/>
        <v>0</v>
      </c>
      <c r="R2691" s="7" t="e">
        <f>IF(VLOOKUP($A2691,'Concrete Beam Schedule'!$A$2:$Q$2902,R$2,0)&lt;&gt;B2691,VLOOKUP($A2691,'Concrete Beam Schedule'!$A$2:$Q$2902,R$2,0),"")</f>
        <v>#N/A</v>
      </c>
      <c r="S2691" s="7" t="e">
        <f>IF(VLOOKUP($A2691,'Concrete Beam Schedule'!$A$2:$Q$2902,S$2,0)&lt;&gt;C2691,VLOOKUP($A2691,'Concrete Beam Schedule'!$A$2:$Q$2902,S$2,0),"")</f>
        <v>#N/A</v>
      </c>
      <c r="T2691" s="7" t="e">
        <f>IF(VLOOKUP($A2691,'Concrete Beam Schedule'!$A$2:$Q$2902,T$2,0)&lt;&gt;D2691,"Beam Revised","")</f>
        <v>#N/A</v>
      </c>
      <c r="U2691" s="7" t="e">
        <f>IF(VLOOKUP($A2691,'Concrete Beam Schedule'!$A$2:$Q$2902,U$2,0)&lt;&gt;E2691,"Beam Revised","")</f>
        <v>#N/A</v>
      </c>
      <c r="V2691" s="7" t="e">
        <f>IF(VLOOKUP($A2691,'Concrete Beam Schedule'!$A$2:$Q$2902,V$2,0)&lt;&gt;F2691,"Beam Revised","")</f>
        <v>#N/A</v>
      </c>
      <c r="W2691" s="7" t="e">
        <f>IF(VLOOKUP($A2691,'Concrete Beam Schedule'!$A$2:$Q$2902,W$2,0)&lt;&gt;G2691,"Beam Revised","")</f>
        <v>#N/A</v>
      </c>
      <c r="X2691" s="7" t="e">
        <f>IF(VLOOKUP($A2691,'Concrete Beam Schedule'!$A$2:$Q$2902,X$2,0)&lt;&gt;H2691,"Beam Revised","")</f>
        <v>#N/A</v>
      </c>
      <c r="Y2691" s="7" t="e">
        <f>IF(VLOOKUP($A2691,'Concrete Beam Schedule'!$A$2:$Q$2902,Y$2,0)&lt;&gt;I2691,"Beam Revised","")</f>
        <v>#N/A</v>
      </c>
      <c r="Z2691" s="7" t="e">
        <f>IF(VLOOKUP($A2691,'Concrete Beam Schedule'!$A$2:$Q$2902,Z$2,0)&lt;&gt;J2691,"Beam Revised","")</f>
        <v>#N/A</v>
      </c>
      <c r="AA2691" s="7" t="e">
        <f>IF(VLOOKUP($A2691,'Concrete Beam Schedule'!$A$2:$Q$2902,AA$2,0)&lt;&gt;K2691,"Beam Revised","")</f>
        <v>#N/A</v>
      </c>
      <c r="AB2691" s="7" t="e">
        <f>IF(VLOOKUP($A2691,'Concrete Beam Schedule'!$A$2:$Q$2902,AB$2,0)&lt;&gt;L2691,"Beam Revised","")</f>
        <v>#N/A</v>
      </c>
      <c r="AC2691" s="7" t="e">
        <f>IF(VLOOKUP($A2691,'Concrete Beam Schedule'!$A$2:$Q$2902,AC$2,0)&lt;&gt;M2691,"Beam Revised","")</f>
        <v>#N/A</v>
      </c>
      <c r="AD2691" s="7" t="e">
        <f>IF(VLOOKUP($A2691,'Concrete Beam Schedule'!$A$2:$Q$2902,AD$2,0)&lt;&gt;N2691,"Beam Revised","")</f>
        <v>#N/A</v>
      </c>
      <c r="AE2691" s="7" t="e">
        <f>IF(VLOOKUP($A2691,'Concrete Beam Schedule'!$A$2:$Q$2902,AE$2,0)&lt;&gt;O2691,"Beam Revised","")</f>
        <v>#N/A</v>
      </c>
    </row>
    <row r="2692" spans="17:31" ht="20.100000000000001" customHeight="1" x14ac:dyDescent="0.25">
      <c r="Q2692" s="7">
        <f t="shared" ref="Q2692:Q2755" si="42">A2692</f>
        <v>0</v>
      </c>
      <c r="R2692" s="7" t="e">
        <f>IF(VLOOKUP($A2692,'Concrete Beam Schedule'!$A$2:$Q$2902,R$2,0)&lt;&gt;B2692,VLOOKUP($A2692,'Concrete Beam Schedule'!$A$2:$Q$2902,R$2,0),"")</f>
        <v>#N/A</v>
      </c>
      <c r="S2692" s="7" t="e">
        <f>IF(VLOOKUP($A2692,'Concrete Beam Schedule'!$A$2:$Q$2902,S$2,0)&lt;&gt;C2692,VLOOKUP($A2692,'Concrete Beam Schedule'!$A$2:$Q$2902,S$2,0),"")</f>
        <v>#N/A</v>
      </c>
      <c r="T2692" s="7" t="e">
        <f>IF(VLOOKUP($A2692,'Concrete Beam Schedule'!$A$2:$Q$2902,T$2,0)&lt;&gt;D2692,"Beam Revised","")</f>
        <v>#N/A</v>
      </c>
      <c r="U2692" s="7" t="e">
        <f>IF(VLOOKUP($A2692,'Concrete Beam Schedule'!$A$2:$Q$2902,U$2,0)&lt;&gt;E2692,"Beam Revised","")</f>
        <v>#N/A</v>
      </c>
      <c r="V2692" s="7" t="e">
        <f>IF(VLOOKUP($A2692,'Concrete Beam Schedule'!$A$2:$Q$2902,V$2,0)&lt;&gt;F2692,"Beam Revised","")</f>
        <v>#N/A</v>
      </c>
      <c r="W2692" s="7" t="e">
        <f>IF(VLOOKUP($A2692,'Concrete Beam Schedule'!$A$2:$Q$2902,W$2,0)&lt;&gt;G2692,"Beam Revised","")</f>
        <v>#N/A</v>
      </c>
      <c r="X2692" s="7" t="e">
        <f>IF(VLOOKUP($A2692,'Concrete Beam Schedule'!$A$2:$Q$2902,X$2,0)&lt;&gt;H2692,"Beam Revised","")</f>
        <v>#N/A</v>
      </c>
      <c r="Y2692" s="7" t="e">
        <f>IF(VLOOKUP($A2692,'Concrete Beam Schedule'!$A$2:$Q$2902,Y$2,0)&lt;&gt;I2692,"Beam Revised","")</f>
        <v>#N/A</v>
      </c>
      <c r="Z2692" s="7" t="e">
        <f>IF(VLOOKUP($A2692,'Concrete Beam Schedule'!$A$2:$Q$2902,Z$2,0)&lt;&gt;J2692,"Beam Revised","")</f>
        <v>#N/A</v>
      </c>
      <c r="AA2692" s="7" t="e">
        <f>IF(VLOOKUP($A2692,'Concrete Beam Schedule'!$A$2:$Q$2902,AA$2,0)&lt;&gt;K2692,"Beam Revised","")</f>
        <v>#N/A</v>
      </c>
      <c r="AB2692" s="7" t="e">
        <f>IF(VLOOKUP($A2692,'Concrete Beam Schedule'!$A$2:$Q$2902,AB$2,0)&lt;&gt;L2692,"Beam Revised","")</f>
        <v>#N/A</v>
      </c>
      <c r="AC2692" s="7" t="e">
        <f>IF(VLOOKUP($A2692,'Concrete Beam Schedule'!$A$2:$Q$2902,AC$2,0)&lt;&gt;M2692,"Beam Revised","")</f>
        <v>#N/A</v>
      </c>
      <c r="AD2692" s="7" t="e">
        <f>IF(VLOOKUP($A2692,'Concrete Beam Schedule'!$A$2:$Q$2902,AD$2,0)&lt;&gt;N2692,"Beam Revised","")</f>
        <v>#N/A</v>
      </c>
      <c r="AE2692" s="7" t="e">
        <f>IF(VLOOKUP($A2692,'Concrete Beam Schedule'!$A$2:$Q$2902,AE$2,0)&lt;&gt;O2692,"Beam Revised","")</f>
        <v>#N/A</v>
      </c>
    </row>
    <row r="2693" spans="17:31" ht="20.100000000000001" customHeight="1" x14ac:dyDescent="0.25">
      <c r="Q2693" s="7">
        <f t="shared" si="42"/>
        <v>0</v>
      </c>
      <c r="R2693" s="7" t="e">
        <f>IF(VLOOKUP($A2693,'Concrete Beam Schedule'!$A$2:$Q$2902,R$2,0)&lt;&gt;B2693,VLOOKUP($A2693,'Concrete Beam Schedule'!$A$2:$Q$2902,R$2,0),"")</f>
        <v>#N/A</v>
      </c>
      <c r="S2693" s="7" t="e">
        <f>IF(VLOOKUP($A2693,'Concrete Beam Schedule'!$A$2:$Q$2902,S$2,0)&lt;&gt;C2693,VLOOKUP($A2693,'Concrete Beam Schedule'!$A$2:$Q$2902,S$2,0),"")</f>
        <v>#N/A</v>
      </c>
      <c r="T2693" s="7" t="e">
        <f>IF(VLOOKUP($A2693,'Concrete Beam Schedule'!$A$2:$Q$2902,T$2,0)&lt;&gt;D2693,"Beam Revised","")</f>
        <v>#N/A</v>
      </c>
      <c r="U2693" s="7" t="e">
        <f>IF(VLOOKUP($A2693,'Concrete Beam Schedule'!$A$2:$Q$2902,U$2,0)&lt;&gt;E2693,"Beam Revised","")</f>
        <v>#N/A</v>
      </c>
      <c r="V2693" s="7" t="e">
        <f>IF(VLOOKUP($A2693,'Concrete Beam Schedule'!$A$2:$Q$2902,V$2,0)&lt;&gt;F2693,"Beam Revised","")</f>
        <v>#N/A</v>
      </c>
      <c r="W2693" s="7" t="e">
        <f>IF(VLOOKUP($A2693,'Concrete Beam Schedule'!$A$2:$Q$2902,W$2,0)&lt;&gt;G2693,"Beam Revised","")</f>
        <v>#N/A</v>
      </c>
      <c r="X2693" s="7" t="e">
        <f>IF(VLOOKUP($A2693,'Concrete Beam Schedule'!$A$2:$Q$2902,X$2,0)&lt;&gt;H2693,"Beam Revised","")</f>
        <v>#N/A</v>
      </c>
      <c r="Y2693" s="7" t="e">
        <f>IF(VLOOKUP($A2693,'Concrete Beam Schedule'!$A$2:$Q$2902,Y$2,0)&lt;&gt;I2693,"Beam Revised","")</f>
        <v>#N/A</v>
      </c>
      <c r="Z2693" s="7" t="e">
        <f>IF(VLOOKUP($A2693,'Concrete Beam Schedule'!$A$2:$Q$2902,Z$2,0)&lt;&gt;J2693,"Beam Revised","")</f>
        <v>#N/A</v>
      </c>
      <c r="AA2693" s="7" t="e">
        <f>IF(VLOOKUP($A2693,'Concrete Beam Schedule'!$A$2:$Q$2902,AA$2,0)&lt;&gt;K2693,"Beam Revised","")</f>
        <v>#N/A</v>
      </c>
      <c r="AB2693" s="7" t="e">
        <f>IF(VLOOKUP($A2693,'Concrete Beam Schedule'!$A$2:$Q$2902,AB$2,0)&lt;&gt;L2693,"Beam Revised","")</f>
        <v>#N/A</v>
      </c>
      <c r="AC2693" s="7" t="e">
        <f>IF(VLOOKUP($A2693,'Concrete Beam Schedule'!$A$2:$Q$2902,AC$2,0)&lt;&gt;M2693,"Beam Revised","")</f>
        <v>#N/A</v>
      </c>
      <c r="AD2693" s="7" t="e">
        <f>IF(VLOOKUP($A2693,'Concrete Beam Schedule'!$A$2:$Q$2902,AD$2,0)&lt;&gt;N2693,"Beam Revised","")</f>
        <v>#N/A</v>
      </c>
      <c r="AE2693" s="7" t="e">
        <f>IF(VLOOKUP($A2693,'Concrete Beam Schedule'!$A$2:$Q$2902,AE$2,0)&lt;&gt;O2693,"Beam Revised","")</f>
        <v>#N/A</v>
      </c>
    </row>
    <row r="2694" spans="17:31" ht="20.100000000000001" customHeight="1" x14ac:dyDescent="0.25">
      <c r="Q2694" s="7">
        <f t="shared" si="42"/>
        <v>0</v>
      </c>
      <c r="R2694" s="7" t="e">
        <f>IF(VLOOKUP($A2694,'Concrete Beam Schedule'!$A$2:$Q$2902,R$2,0)&lt;&gt;B2694,VLOOKUP($A2694,'Concrete Beam Schedule'!$A$2:$Q$2902,R$2,0),"")</f>
        <v>#N/A</v>
      </c>
      <c r="S2694" s="7" t="e">
        <f>IF(VLOOKUP($A2694,'Concrete Beam Schedule'!$A$2:$Q$2902,S$2,0)&lt;&gt;C2694,VLOOKUP($A2694,'Concrete Beam Schedule'!$A$2:$Q$2902,S$2,0),"")</f>
        <v>#N/A</v>
      </c>
      <c r="T2694" s="7" t="e">
        <f>IF(VLOOKUP($A2694,'Concrete Beam Schedule'!$A$2:$Q$2902,T$2,0)&lt;&gt;D2694,"Beam Revised","")</f>
        <v>#N/A</v>
      </c>
      <c r="U2694" s="7" t="e">
        <f>IF(VLOOKUP($A2694,'Concrete Beam Schedule'!$A$2:$Q$2902,U$2,0)&lt;&gt;E2694,"Beam Revised","")</f>
        <v>#N/A</v>
      </c>
      <c r="V2694" s="7" t="e">
        <f>IF(VLOOKUP($A2694,'Concrete Beam Schedule'!$A$2:$Q$2902,V$2,0)&lt;&gt;F2694,"Beam Revised","")</f>
        <v>#N/A</v>
      </c>
      <c r="W2694" s="7" t="e">
        <f>IF(VLOOKUP($A2694,'Concrete Beam Schedule'!$A$2:$Q$2902,W$2,0)&lt;&gt;G2694,"Beam Revised","")</f>
        <v>#N/A</v>
      </c>
      <c r="X2694" s="7" t="e">
        <f>IF(VLOOKUP($A2694,'Concrete Beam Schedule'!$A$2:$Q$2902,X$2,0)&lt;&gt;H2694,"Beam Revised","")</f>
        <v>#N/A</v>
      </c>
      <c r="Y2694" s="7" t="e">
        <f>IF(VLOOKUP($A2694,'Concrete Beam Schedule'!$A$2:$Q$2902,Y$2,0)&lt;&gt;I2694,"Beam Revised","")</f>
        <v>#N/A</v>
      </c>
      <c r="Z2694" s="7" t="e">
        <f>IF(VLOOKUP($A2694,'Concrete Beam Schedule'!$A$2:$Q$2902,Z$2,0)&lt;&gt;J2694,"Beam Revised","")</f>
        <v>#N/A</v>
      </c>
      <c r="AA2694" s="7" t="e">
        <f>IF(VLOOKUP($A2694,'Concrete Beam Schedule'!$A$2:$Q$2902,AA$2,0)&lt;&gt;K2694,"Beam Revised","")</f>
        <v>#N/A</v>
      </c>
      <c r="AB2694" s="7" t="e">
        <f>IF(VLOOKUP($A2694,'Concrete Beam Schedule'!$A$2:$Q$2902,AB$2,0)&lt;&gt;L2694,"Beam Revised","")</f>
        <v>#N/A</v>
      </c>
      <c r="AC2694" s="7" t="e">
        <f>IF(VLOOKUP($A2694,'Concrete Beam Schedule'!$A$2:$Q$2902,AC$2,0)&lt;&gt;M2694,"Beam Revised","")</f>
        <v>#N/A</v>
      </c>
      <c r="AD2694" s="7" t="e">
        <f>IF(VLOOKUP($A2694,'Concrete Beam Schedule'!$A$2:$Q$2902,AD$2,0)&lt;&gt;N2694,"Beam Revised","")</f>
        <v>#N/A</v>
      </c>
      <c r="AE2694" s="7" t="e">
        <f>IF(VLOOKUP($A2694,'Concrete Beam Schedule'!$A$2:$Q$2902,AE$2,0)&lt;&gt;O2694,"Beam Revised","")</f>
        <v>#N/A</v>
      </c>
    </row>
    <row r="2695" spans="17:31" ht="20.100000000000001" customHeight="1" x14ac:dyDescent="0.25">
      <c r="Q2695" s="7">
        <f t="shared" si="42"/>
        <v>0</v>
      </c>
      <c r="R2695" s="7" t="e">
        <f>IF(VLOOKUP($A2695,'Concrete Beam Schedule'!$A$2:$Q$2902,R$2,0)&lt;&gt;B2695,VLOOKUP($A2695,'Concrete Beam Schedule'!$A$2:$Q$2902,R$2,0),"")</f>
        <v>#N/A</v>
      </c>
      <c r="S2695" s="7" t="e">
        <f>IF(VLOOKUP($A2695,'Concrete Beam Schedule'!$A$2:$Q$2902,S$2,0)&lt;&gt;C2695,VLOOKUP($A2695,'Concrete Beam Schedule'!$A$2:$Q$2902,S$2,0),"")</f>
        <v>#N/A</v>
      </c>
      <c r="T2695" s="7" t="e">
        <f>IF(VLOOKUP($A2695,'Concrete Beam Schedule'!$A$2:$Q$2902,T$2,0)&lt;&gt;D2695,"Beam Revised","")</f>
        <v>#N/A</v>
      </c>
      <c r="U2695" s="7" t="e">
        <f>IF(VLOOKUP($A2695,'Concrete Beam Schedule'!$A$2:$Q$2902,U$2,0)&lt;&gt;E2695,"Beam Revised","")</f>
        <v>#N/A</v>
      </c>
      <c r="V2695" s="7" t="e">
        <f>IF(VLOOKUP($A2695,'Concrete Beam Schedule'!$A$2:$Q$2902,V$2,0)&lt;&gt;F2695,"Beam Revised","")</f>
        <v>#N/A</v>
      </c>
      <c r="W2695" s="7" t="e">
        <f>IF(VLOOKUP($A2695,'Concrete Beam Schedule'!$A$2:$Q$2902,W$2,0)&lt;&gt;G2695,"Beam Revised","")</f>
        <v>#N/A</v>
      </c>
      <c r="X2695" s="7" t="e">
        <f>IF(VLOOKUP($A2695,'Concrete Beam Schedule'!$A$2:$Q$2902,X$2,0)&lt;&gt;H2695,"Beam Revised","")</f>
        <v>#N/A</v>
      </c>
      <c r="Y2695" s="7" t="e">
        <f>IF(VLOOKUP($A2695,'Concrete Beam Schedule'!$A$2:$Q$2902,Y$2,0)&lt;&gt;I2695,"Beam Revised","")</f>
        <v>#N/A</v>
      </c>
      <c r="Z2695" s="7" t="e">
        <f>IF(VLOOKUP($A2695,'Concrete Beam Schedule'!$A$2:$Q$2902,Z$2,0)&lt;&gt;J2695,"Beam Revised","")</f>
        <v>#N/A</v>
      </c>
      <c r="AA2695" s="7" t="e">
        <f>IF(VLOOKUP($A2695,'Concrete Beam Schedule'!$A$2:$Q$2902,AA$2,0)&lt;&gt;K2695,"Beam Revised","")</f>
        <v>#N/A</v>
      </c>
      <c r="AB2695" s="7" t="e">
        <f>IF(VLOOKUP($A2695,'Concrete Beam Schedule'!$A$2:$Q$2902,AB$2,0)&lt;&gt;L2695,"Beam Revised","")</f>
        <v>#N/A</v>
      </c>
      <c r="AC2695" s="7" t="e">
        <f>IF(VLOOKUP($A2695,'Concrete Beam Schedule'!$A$2:$Q$2902,AC$2,0)&lt;&gt;M2695,"Beam Revised","")</f>
        <v>#N/A</v>
      </c>
      <c r="AD2695" s="7" t="e">
        <f>IF(VLOOKUP($A2695,'Concrete Beam Schedule'!$A$2:$Q$2902,AD$2,0)&lt;&gt;N2695,"Beam Revised","")</f>
        <v>#N/A</v>
      </c>
      <c r="AE2695" s="7" t="e">
        <f>IF(VLOOKUP($A2695,'Concrete Beam Schedule'!$A$2:$Q$2902,AE$2,0)&lt;&gt;O2695,"Beam Revised","")</f>
        <v>#N/A</v>
      </c>
    </row>
    <row r="2696" spans="17:31" ht="20.100000000000001" customHeight="1" x14ac:dyDescent="0.25">
      <c r="Q2696" s="7">
        <f t="shared" si="42"/>
        <v>0</v>
      </c>
      <c r="R2696" s="7" t="e">
        <f>IF(VLOOKUP($A2696,'Concrete Beam Schedule'!$A$2:$Q$2902,R$2,0)&lt;&gt;B2696,VLOOKUP($A2696,'Concrete Beam Schedule'!$A$2:$Q$2902,R$2,0),"")</f>
        <v>#N/A</v>
      </c>
      <c r="S2696" s="7" t="e">
        <f>IF(VLOOKUP($A2696,'Concrete Beam Schedule'!$A$2:$Q$2902,S$2,0)&lt;&gt;C2696,VLOOKUP($A2696,'Concrete Beam Schedule'!$A$2:$Q$2902,S$2,0),"")</f>
        <v>#N/A</v>
      </c>
      <c r="T2696" s="7" t="e">
        <f>IF(VLOOKUP($A2696,'Concrete Beam Schedule'!$A$2:$Q$2902,T$2,0)&lt;&gt;D2696,"Beam Revised","")</f>
        <v>#N/A</v>
      </c>
      <c r="U2696" s="7" t="e">
        <f>IF(VLOOKUP($A2696,'Concrete Beam Schedule'!$A$2:$Q$2902,U$2,0)&lt;&gt;E2696,"Beam Revised","")</f>
        <v>#N/A</v>
      </c>
      <c r="V2696" s="7" t="e">
        <f>IF(VLOOKUP($A2696,'Concrete Beam Schedule'!$A$2:$Q$2902,V$2,0)&lt;&gt;F2696,"Beam Revised","")</f>
        <v>#N/A</v>
      </c>
      <c r="W2696" s="7" t="e">
        <f>IF(VLOOKUP($A2696,'Concrete Beam Schedule'!$A$2:$Q$2902,W$2,0)&lt;&gt;G2696,"Beam Revised","")</f>
        <v>#N/A</v>
      </c>
      <c r="X2696" s="7" t="e">
        <f>IF(VLOOKUP($A2696,'Concrete Beam Schedule'!$A$2:$Q$2902,X$2,0)&lt;&gt;H2696,"Beam Revised","")</f>
        <v>#N/A</v>
      </c>
      <c r="Y2696" s="7" t="e">
        <f>IF(VLOOKUP($A2696,'Concrete Beam Schedule'!$A$2:$Q$2902,Y$2,0)&lt;&gt;I2696,"Beam Revised","")</f>
        <v>#N/A</v>
      </c>
      <c r="Z2696" s="7" t="e">
        <f>IF(VLOOKUP($A2696,'Concrete Beam Schedule'!$A$2:$Q$2902,Z$2,0)&lt;&gt;J2696,"Beam Revised","")</f>
        <v>#N/A</v>
      </c>
      <c r="AA2696" s="7" t="e">
        <f>IF(VLOOKUP($A2696,'Concrete Beam Schedule'!$A$2:$Q$2902,AA$2,0)&lt;&gt;K2696,"Beam Revised","")</f>
        <v>#N/A</v>
      </c>
      <c r="AB2696" s="7" t="e">
        <f>IF(VLOOKUP($A2696,'Concrete Beam Schedule'!$A$2:$Q$2902,AB$2,0)&lt;&gt;L2696,"Beam Revised","")</f>
        <v>#N/A</v>
      </c>
      <c r="AC2696" s="7" t="e">
        <f>IF(VLOOKUP($A2696,'Concrete Beam Schedule'!$A$2:$Q$2902,AC$2,0)&lt;&gt;M2696,"Beam Revised","")</f>
        <v>#N/A</v>
      </c>
      <c r="AD2696" s="7" t="e">
        <f>IF(VLOOKUP($A2696,'Concrete Beam Schedule'!$A$2:$Q$2902,AD$2,0)&lt;&gt;N2696,"Beam Revised","")</f>
        <v>#N/A</v>
      </c>
      <c r="AE2696" s="7" t="e">
        <f>IF(VLOOKUP($A2696,'Concrete Beam Schedule'!$A$2:$Q$2902,AE$2,0)&lt;&gt;O2696,"Beam Revised","")</f>
        <v>#N/A</v>
      </c>
    </row>
    <row r="2697" spans="17:31" ht="20.100000000000001" customHeight="1" x14ac:dyDescent="0.25">
      <c r="Q2697" s="7">
        <f t="shared" si="42"/>
        <v>0</v>
      </c>
      <c r="R2697" s="7" t="e">
        <f>IF(VLOOKUP($A2697,'Concrete Beam Schedule'!$A$2:$Q$2902,R$2,0)&lt;&gt;B2697,VLOOKUP($A2697,'Concrete Beam Schedule'!$A$2:$Q$2902,R$2,0),"")</f>
        <v>#N/A</v>
      </c>
      <c r="S2697" s="7" t="e">
        <f>IF(VLOOKUP($A2697,'Concrete Beam Schedule'!$A$2:$Q$2902,S$2,0)&lt;&gt;C2697,VLOOKUP($A2697,'Concrete Beam Schedule'!$A$2:$Q$2902,S$2,0),"")</f>
        <v>#N/A</v>
      </c>
      <c r="T2697" s="7" t="e">
        <f>IF(VLOOKUP($A2697,'Concrete Beam Schedule'!$A$2:$Q$2902,T$2,0)&lt;&gt;D2697,"Beam Revised","")</f>
        <v>#N/A</v>
      </c>
      <c r="U2697" s="7" t="e">
        <f>IF(VLOOKUP($A2697,'Concrete Beam Schedule'!$A$2:$Q$2902,U$2,0)&lt;&gt;E2697,"Beam Revised","")</f>
        <v>#N/A</v>
      </c>
      <c r="V2697" s="7" t="e">
        <f>IF(VLOOKUP($A2697,'Concrete Beam Schedule'!$A$2:$Q$2902,V$2,0)&lt;&gt;F2697,"Beam Revised","")</f>
        <v>#N/A</v>
      </c>
      <c r="W2697" s="7" t="e">
        <f>IF(VLOOKUP($A2697,'Concrete Beam Schedule'!$A$2:$Q$2902,W$2,0)&lt;&gt;G2697,"Beam Revised","")</f>
        <v>#N/A</v>
      </c>
      <c r="X2697" s="7" t="e">
        <f>IF(VLOOKUP($A2697,'Concrete Beam Schedule'!$A$2:$Q$2902,X$2,0)&lt;&gt;H2697,"Beam Revised","")</f>
        <v>#N/A</v>
      </c>
      <c r="Y2697" s="7" t="e">
        <f>IF(VLOOKUP($A2697,'Concrete Beam Schedule'!$A$2:$Q$2902,Y$2,0)&lt;&gt;I2697,"Beam Revised","")</f>
        <v>#N/A</v>
      </c>
      <c r="Z2697" s="7" t="e">
        <f>IF(VLOOKUP($A2697,'Concrete Beam Schedule'!$A$2:$Q$2902,Z$2,0)&lt;&gt;J2697,"Beam Revised","")</f>
        <v>#N/A</v>
      </c>
      <c r="AA2697" s="7" t="e">
        <f>IF(VLOOKUP($A2697,'Concrete Beam Schedule'!$A$2:$Q$2902,AA$2,0)&lt;&gt;K2697,"Beam Revised","")</f>
        <v>#N/A</v>
      </c>
      <c r="AB2697" s="7" t="e">
        <f>IF(VLOOKUP($A2697,'Concrete Beam Schedule'!$A$2:$Q$2902,AB$2,0)&lt;&gt;L2697,"Beam Revised","")</f>
        <v>#N/A</v>
      </c>
      <c r="AC2697" s="7" t="e">
        <f>IF(VLOOKUP($A2697,'Concrete Beam Schedule'!$A$2:$Q$2902,AC$2,0)&lt;&gt;M2697,"Beam Revised","")</f>
        <v>#N/A</v>
      </c>
      <c r="AD2697" s="7" t="e">
        <f>IF(VLOOKUP($A2697,'Concrete Beam Schedule'!$A$2:$Q$2902,AD$2,0)&lt;&gt;N2697,"Beam Revised","")</f>
        <v>#N/A</v>
      </c>
      <c r="AE2697" s="7" t="e">
        <f>IF(VLOOKUP($A2697,'Concrete Beam Schedule'!$A$2:$Q$2902,AE$2,0)&lt;&gt;O2697,"Beam Revised","")</f>
        <v>#N/A</v>
      </c>
    </row>
    <row r="2698" spans="17:31" ht="20.100000000000001" customHeight="1" x14ac:dyDescent="0.25">
      <c r="Q2698" s="7">
        <f t="shared" si="42"/>
        <v>0</v>
      </c>
      <c r="R2698" s="7" t="e">
        <f>IF(VLOOKUP($A2698,'Concrete Beam Schedule'!$A$2:$Q$2902,R$2,0)&lt;&gt;B2698,VLOOKUP($A2698,'Concrete Beam Schedule'!$A$2:$Q$2902,R$2,0),"")</f>
        <v>#N/A</v>
      </c>
      <c r="S2698" s="7" t="e">
        <f>IF(VLOOKUP($A2698,'Concrete Beam Schedule'!$A$2:$Q$2902,S$2,0)&lt;&gt;C2698,VLOOKUP($A2698,'Concrete Beam Schedule'!$A$2:$Q$2902,S$2,0),"")</f>
        <v>#N/A</v>
      </c>
      <c r="T2698" s="7" t="e">
        <f>IF(VLOOKUP($A2698,'Concrete Beam Schedule'!$A$2:$Q$2902,T$2,0)&lt;&gt;D2698,"Beam Revised","")</f>
        <v>#N/A</v>
      </c>
      <c r="U2698" s="7" t="e">
        <f>IF(VLOOKUP($A2698,'Concrete Beam Schedule'!$A$2:$Q$2902,U$2,0)&lt;&gt;E2698,"Beam Revised","")</f>
        <v>#N/A</v>
      </c>
      <c r="V2698" s="7" t="e">
        <f>IF(VLOOKUP($A2698,'Concrete Beam Schedule'!$A$2:$Q$2902,V$2,0)&lt;&gt;F2698,"Beam Revised","")</f>
        <v>#N/A</v>
      </c>
      <c r="W2698" s="7" t="e">
        <f>IF(VLOOKUP($A2698,'Concrete Beam Schedule'!$A$2:$Q$2902,W$2,0)&lt;&gt;G2698,"Beam Revised","")</f>
        <v>#N/A</v>
      </c>
      <c r="X2698" s="7" t="e">
        <f>IF(VLOOKUP($A2698,'Concrete Beam Schedule'!$A$2:$Q$2902,X$2,0)&lt;&gt;H2698,"Beam Revised","")</f>
        <v>#N/A</v>
      </c>
      <c r="Y2698" s="7" t="e">
        <f>IF(VLOOKUP($A2698,'Concrete Beam Schedule'!$A$2:$Q$2902,Y$2,0)&lt;&gt;I2698,"Beam Revised","")</f>
        <v>#N/A</v>
      </c>
      <c r="Z2698" s="7" t="e">
        <f>IF(VLOOKUP($A2698,'Concrete Beam Schedule'!$A$2:$Q$2902,Z$2,0)&lt;&gt;J2698,"Beam Revised","")</f>
        <v>#N/A</v>
      </c>
      <c r="AA2698" s="7" t="e">
        <f>IF(VLOOKUP($A2698,'Concrete Beam Schedule'!$A$2:$Q$2902,AA$2,0)&lt;&gt;K2698,"Beam Revised","")</f>
        <v>#N/A</v>
      </c>
      <c r="AB2698" s="7" t="e">
        <f>IF(VLOOKUP($A2698,'Concrete Beam Schedule'!$A$2:$Q$2902,AB$2,0)&lt;&gt;L2698,"Beam Revised","")</f>
        <v>#N/A</v>
      </c>
      <c r="AC2698" s="7" t="e">
        <f>IF(VLOOKUP($A2698,'Concrete Beam Schedule'!$A$2:$Q$2902,AC$2,0)&lt;&gt;M2698,"Beam Revised","")</f>
        <v>#N/A</v>
      </c>
      <c r="AD2698" s="7" t="e">
        <f>IF(VLOOKUP($A2698,'Concrete Beam Schedule'!$A$2:$Q$2902,AD$2,0)&lt;&gt;N2698,"Beam Revised","")</f>
        <v>#N/A</v>
      </c>
      <c r="AE2698" s="7" t="e">
        <f>IF(VLOOKUP($A2698,'Concrete Beam Schedule'!$A$2:$Q$2902,AE$2,0)&lt;&gt;O2698,"Beam Revised","")</f>
        <v>#N/A</v>
      </c>
    </row>
    <row r="2699" spans="17:31" ht="20.100000000000001" customHeight="1" x14ac:dyDescent="0.25">
      <c r="Q2699" s="7">
        <f t="shared" si="42"/>
        <v>0</v>
      </c>
      <c r="R2699" s="7" t="e">
        <f>IF(VLOOKUP($A2699,'Concrete Beam Schedule'!$A$2:$Q$2902,R$2,0)&lt;&gt;B2699,VLOOKUP($A2699,'Concrete Beam Schedule'!$A$2:$Q$2902,R$2,0),"")</f>
        <v>#N/A</v>
      </c>
      <c r="S2699" s="7" t="e">
        <f>IF(VLOOKUP($A2699,'Concrete Beam Schedule'!$A$2:$Q$2902,S$2,0)&lt;&gt;C2699,VLOOKUP($A2699,'Concrete Beam Schedule'!$A$2:$Q$2902,S$2,0),"")</f>
        <v>#N/A</v>
      </c>
      <c r="T2699" s="7" t="e">
        <f>IF(VLOOKUP($A2699,'Concrete Beam Schedule'!$A$2:$Q$2902,T$2,0)&lt;&gt;D2699,"Beam Revised","")</f>
        <v>#N/A</v>
      </c>
      <c r="U2699" s="7" t="e">
        <f>IF(VLOOKUP($A2699,'Concrete Beam Schedule'!$A$2:$Q$2902,U$2,0)&lt;&gt;E2699,"Beam Revised","")</f>
        <v>#N/A</v>
      </c>
      <c r="V2699" s="7" t="e">
        <f>IF(VLOOKUP($A2699,'Concrete Beam Schedule'!$A$2:$Q$2902,V$2,0)&lt;&gt;F2699,"Beam Revised","")</f>
        <v>#N/A</v>
      </c>
      <c r="W2699" s="7" t="e">
        <f>IF(VLOOKUP($A2699,'Concrete Beam Schedule'!$A$2:$Q$2902,W$2,0)&lt;&gt;G2699,"Beam Revised","")</f>
        <v>#N/A</v>
      </c>
      <c r="X2699" s="7" t="e">
        <f>IF(VLOOKUP($A2699,'Concrete Beam Schedule'!$A$2:$Q$2902,X$2,0)&lt;&gt;H2699,"Beam Revised","")</f>
        <v>#N/A</v>
      </c>
      <c r="Y2699" s="7" t="e">
        <f>IF(VLOOKUP($A2699,'Concrete Beam Schedule'!$A$2:$Q$2902,Y$2,0)&lt;&gt;I2699,"Beam Revised","")</f>
        <v>#N/A</v>
      </c>
      <c r="Z2699" s="7" t="e">
        <f>IF(VLOOKUP($A2699,'Concrete Beam Schedule'!$A$2:$Q$2902,Z$2,0)&lt;&gt;J2699,"Beam Revised","")</f>
        <v>#N/A</v>
      </c>
      <c r="AA2699" s="7" t="e">
        <f>IF(VLOOKUP($A2699,'Concrete Beam Schedule'!$A$2:$Q$2902,AA$2,0)&lt;&gt;K2699,"Beam Revised","")</f>
        <v>#N/A</v>
      </c>
      <c r="AB2699" s="7" t="e">
        <f>IF(VLOOKUP($A2699,'Concrete Beam Schedule'!$A$2:$Q$2902,AB$2,0)&lt;&gt;L2699,"Beam Revised","")</f>
        <v>#N/A</v>
      </c>
      <c r="AC2699" s="7" t="e">
        <f>IF(VLOOKUP($A2699,'Concrete Beam Schedule'!$A$2:$Q$2902,AC$2,0)&lt;&gt;M2699,"Beam Revised","")</f>
        <v>#N/A</v>
      </c>
      <c r="AD2699" s="7" t="e">
        <f>IF(VLOOKUP($A2699,'Concrete Beam Schedule'!$A$2:$Q$2902,AD$2,0)&lt;&gt;N2699,"Beam Revised","")</f>
        <v>#N/A</v>
      </c>
      <c r="AE2699" s="7" t="e">
        <f>IF(VLOOKUP($A2699,'Concrete Beam Schedule'!$A$2:$Q$2902,AE$2,0)&lt;&gt;O2699,"Beam Revised","")</f>
        <v>#N/A</v>
      </c>
    </row>
    <row r="2700" spans="17:31" ht="20.100000000000001" customHeight="1" x14ac:dyDescent="0.25">
      <c r="Q2700" s="7">
        <f t="shared" si="42"/>
        <v>0</v>
      </c>
      <c r="R2700" s="7" t="e">
        <f>IF(VLOOKUP($A2700,'Concrete Beam Schedule'!$A$2:$Q$2902,R$2,0)&lt;&gt;B2700,VLOOKUP($A2700,'Concrete Beam Schedule'!$A$2:$Q$2902,R$2,0),"")</f>
        <v>#N/A</v>
      </c>
      <c r="S2700" s="7" t="e">
        <f>IF(VLOOKUP($A2700,'Concrete Beam Schedule'!$A$2:$Q$2902,S$2,0)&lt;&gt;C2700,VLOOKUP($A2700,'Concrete Beam Schedule'!$A$2:$Q$2902,S$2,0),"")</f>
        <v>#N/A</v>
      </c>
      <c r="T2700" s="7" t="e">
        <f>IF(VLOOKUP($A2700,'Concrete Beam Schedule'!$A$2:$Q$2902,T$2,0)&lt;&gt;D2700,"Beam Revised","")</f>
        <v>#N/A</v>
      </c>
      <c r="U2700" s="7" t="e">
        <f>IF(VLOOKUP($A2700,'Concrete Beam Schedule'!$A$2:$Q$2902,U$2,0)&lt;&gt;E2700,"Beam Revised","")</f>
        <v>#N/A</v>
      </c>
      <c r="V2700" s="7" t="e">
        <f>IF(VLOOKUP($A2700,'Concrete Beam Schedule'!$A$2:$Q$2902,V$2,0)&lt;&gt;F2700,"Beam Revised","")</f>
        <v>#N/A</v>
      </c>
      <c r="W2700" s="7" t="e">
        <f>IF(VLOOKUP($A2700,'Concrete Beam Schedule'!$A$2:$Q$2902,W$2,0)&lt;&gt;G2700,"Beam Revised","")</f>
        <v>#N/A</v>
      </c>
      <c r="X2700" s="7" t="e">
        <f>IF(VLOOKUP($A2700,'Concrete Beam Schedule'!$A$2:$Q$2902,X$2,0)&lt;&gt;H2700,"Beam Revised","")</f>
        <v>#N/A</v>
      </c>
      <c r="Y2700" s="7" t="e">
        <f>IF(VLOOKUP($A2700,'Concrete Beam Schedule'!$A$2:$Q$2902,Y$2,0)&lt;&gt;I2700,"Beam Revised","")</f>
        <v>#N/A</v>
      </c>
      <c r="Z2700" s="7" t="e">
        <f>IF(VLOOKUP($A2700,'Concrete Beam Schedule'!$A$2:$Q$2902,Z$2,0)&lt;&gt;J2700,"Beam Revised","")</f>
        <v>#N/A</v>
      </c>
      <c r="AA2700" s="7" t="e">
        <f>IF(VLOOKUP($A2700,'Concrete Beam Schedule'!$A$2:$Q$2902,AA$2,0)&lt;&gt;K2700,"Beam Revised","")</f>
        <v>#N/A</v>
      </c>
      <c r="AB2700" s="7" t="e">
        <f>IF(VLOOKUP($A2700,'Concrete Beam Schedule'!$A$2:$Q$2902,AB$2,0)&lt;&gt;L2700,"Beam Revised","")</f>
        <v>#N/A</v>
      </c>
      <c r="AC2700" s="7" t="e">
        <f>IF(VLOOKUP($A2700,'Concrete Beam Schedule'!$A$2:$Q$2902,AC$2,0)&lt;&gt;M2700,"Beam Revised","")</f>
        <v>#N/A</v>
      </c>
      <c r="AD2700" s="7" t="e">
        <f>IF(VLOOKUP($A2700,'Concrete Beam Schedule'!$A$2:$Q$2902,AD$2,0)&lt;&gt;N2700,"Beam Revised","")</f>
        <v>#N/A</v>
      </c>
      <c r="AE2700" s="7" t="e">
        <f>IF(VLOOKUP($A2700,'Concrete Beam Schedule'!$A$2:$Q$2902,AE$2,0)&lt;&gt;O2700,"Beam Revised","")</f>
        <v>#N/A</v>
      </c>
    </row>
    <row r="2701" spans="17:31" ht="20.100000000000001" customHeight="1" x14ac:dyDescent="0.25">
      <c r="Q2701" s="7">
        <f t="shared" si="42"/>
        <v>0</v>
      </c>
      <c r="R2701" s="7" t="e">
        <f>IF(VLOOKUP($A2701,'Concrete Beam Schedule'!$A$2:$Q$2902,R$2,0)&lt;&gt;B2701,VLOOKUP($A2701,'Concrete Beam Schedule'!$A$2:$Q$2902,R$2,0),"")</f>
        <v>#N/A</v>
      </c>
      <c r="S2701" s="7" t="e">
        <f>IF(VLOOKUP($A2701,'Concrete Beam Schedule'!$A$2:$Q$2902,S$2,0)&lt;&gt;C2701,VLOOKUP($A2701,'Concrete Beam Schedule'!$A$2:$Q$2902,S$2,0),"")</f>
        <v>#N/A</v>
      </c>
      <c r="T2701" s="7" t="e">
        <f>IF(VLOOKUP($A2701,'Concrete Beam Schedule'!$A$2:$Q$2902,T$2,0)&lt;&gt;D2701,"Beam Revised","")</f>
        <v>#N/A</v>
      </c>
      <c r="U2701" s="7" t="e">
        <f>IF(VLOOKUP($A2701,'Concrete Beam Schedule'!$A$2:$Q$2902,U$2,0)&lt;&gt;E2701,"Beam Revised","")</f>
        <v>#N/A</v>
      </c>
      <c r="V2701" s="7" t="e">
        <f>IF(VLOOKUP($A2701,'Concrete Beam Schedule'!$A$2:$Q$2902,V$2,0)&lt;&gt;F2701,"Beam Revised","")</f>
        <v>#N/A</v>
      </c>
      <c r="W2701" s="7" t="e">
        <f>IF(VLOOKUP($A2701,'Concrete Beam Schedule'!$A$2:$Q$2902,W$2,0)&lt;&gt;G2701,"Beam Revised","")</f>
        <v>#N/A</v>
      </c>
      <c r="X2701" s="7" t="e">
        <f>IF(VLOOKUP($A2701,'Concrete Beam Schedule'!$A$2:$Q$2902,X$2,0)&lt;&gt;H2701,"Beam Revised","")</f>
        <v>#N/A</v>
      </c>
      <c r="Y2701" s="7" t="e">
        <f>IF(VLOOKUP($A2701,'Concrete Beam Schedule'!$A$2:$Q$2902,Y$2,0)&lt;&gt;I2701,"Beam Revised","")</f>
        <v>#N/A</v>
      </c>
      <c r="Z2701" s="7" t="e">
        <f>IF(VLOOKUP($A2701,'Concrete Beam Schedule'!$A$2:$Q$2902,Z$2,0)&lt;&gt;J2701,"Beam Revised","")</f>
        <v>#N/A</v>
      </c>
      <c r="AA2701" s="7" t="e">
        <f>IF(VLOOKUP($A2701,'Concrete Beam Schedule'!$A$2:$Q$2902,AA$2,0)&lt;&gt;K2701,"Beam Revised","")</f>
        <v>#N/A</v>
      </c>
      <c r="AB2701" s="7" t="e">
        <f>IF(VLOOKUP($A2701,'Concrete Beam Schedule'!$A$2:$Q$2902,AB$2,0)&lt;&gt;L2701,"Beam Revised","")</f>
        <v>#N/A</v>
      </c>
      <c r="AC2701" s="7" t="e">
        <f>IF(VLOOKUP($A2701,'Concrete Beam Schedule'!$A$2:$Q$2902,AC$2,0)&lt;&gt;M2701,"Beam Revised","")</f>
        <v>#N/A</v>
      </c>
      <c r="AD2701" s="7" t="e">
        <f>IF(VLOOKUP($A2701,'Concrete Beam Schedule'!$A$2:$Q$2902,AD$2,0)&lt;&gt;N2701,"Beam Revised","")</f>
        <v>#N/A</v>
      </c>
      <c r="AE2701" s="7" t="e">
        <f>IF(VLOOKUP($A2701,'Concrete Beam Schedule'!$A$2:$Q$2902,AE$2,0)&lt;&gt;O2701,"Beam Revised","")</f>
        <v>#N/A</v>
      </c>
    </row>
    <row r="2702" spans="17:31" ht="20.100000000000001" customHeight="1" x14ac:dyDescent="0.25">
      <c r="Q2702" s="7">
        <f t="shared" si="42"/>
        <v>0</v>
      </c>
      <c r="R2702" s="7" t="e">
        <f>IF(VLOOKUP($A2702,'Concrete Beam Schedule'!$A$2:$Q$2902,R$2,0)&lt;&gt;B2702,VLOOKUP($A2702,'Concrete Beam Schedule'!$A$2:$Q$2902,R$2,0),"")</f>
        <v>#N/A</v>
      </c>
      <c r="S2702" s="7" t="e">
        <f>IF(VLOOKUP($A2702,'Concrete Beam Schedule'!$A$2:$Q$2902,S$2,0)&lt;&gt;C2702,VLOOKUP($A2702,'Concrete Beam Schedule'!$A$2:$Q$2902,S$2,0),"")</f>
        <v>#N/A</v>
      </c>
      <c r="T2702" s="7" t="e">
        <f>IF(VLOOKUP($A2702,'Concrete Beam Schedule'!$A$2:$Q$2902,T$2,0)&lt;&gt;D2702,"Beam Revised","")</f>
        <v>#N/A</v>
      </c>
      <c r="U2702" s="7" t="e">
        <f>IF(VLOOKUP($A2702,'Concrete Beam Schedule'!$A$2:$Q$2902,U$2,0)&lt;&gt;E2702,"Beam Revised","")</f>
        <v>#N/A</v>
      </c>
      <c r="V2702" s="7" t="e">
        <f>IF(VLOOKUP($A2702,'Concrete Beam Schedule'!$A$2:$Q$2902,V$2,0)&lt;&gt;F2702,"Beam Revised","")</f>
        <v>#N/A</v>
      </c>
      <c r="W2702" s="7" t="e">
        <f>IF(VLOOKUP($A2702,'Concrete Beam Schedule'!$A$2:$Q$2902,W$2,0)&lt;&gt;G2702,"Beam Revised","")</f>
        <v>#N/A</v>
      </c>
      <c r="X2702" s="7" t="e">
        <f>IF(VLOOKUP($A2702,'Concrete Beam Schedule'!$A$2:$Q$2902,X$2,0)&lt;&gt;H2702,"Beam Revised","")</f>
        <v>#N/A</v>
      </c>
      <c r="Y2702" s="7" t="e">
        <f>IF(VLOOKUP($A2702,'Concrete Beam Schedule'!$A$2:$Q$2902,Y$2,0)&lt;&gt;I2702,"Beam Revised","")</f>
        <v>#N/A</v>
      </c>
      <c r="Z2702" s="7" t="e">
        <f>IF(VLOOKUP($A2702,'Concrete Beam Schedule'!$A$2:$Q$2902,Z$2,0)&lt;&gt;J2702,"Beam Revised","")</f>
        <v>#N/A</v>
      </c>
      <c r="AA2702" s="7" t="e">
        <f>IF(VLOOKUP($A2702,'Concrete Beam Schedule'!$A$2:$Q$2902,AA$2,0)&lt;&gt;K2702,"Beam Revised","")</f>
        <v>#N/A</v>
      </c>
      <c r="AB2702" s="7" t="e">
        <f>IF(VLOOKUP($A2702,'Concrete Beam Schedule'!$A$2:$Q$2902,AB$2,0)&lt;&gt;L2702,"Beam Revised","")</f>
        <v>#N/A</v>
      </c>
      <c r="AC2702" s="7" t="e">
        <f>IF(VLOOKUP($A2702,'Concrete Beam Schedule'!$A$2:$Q$2902,AC$2,0)&lt;&gt;M2702,"Beam Revised","")</f>
        <v>#N/A</v>
      </c>
      <c r="AD2702" s="7" t="e">
        <f>IF(VLOOKUP($A2702,'Concrete Beam Schedule'!$A$2:$Q$2902,AD$2,0)&lt;&gt;N2702,"Beam Revised","")</f>
        <v>#N/A</v>
      </c>
      <c r="AE2702" s="7" t="e">
        <f>IF(VLOOKUP($A2702,'Concrete Beam Schedule'!$A$2:$Q$2902,AE$2,0)&lt;&gt;O2702,"Beam Revised","")</f>
        <v>#N/A</v>
      </c>
    </row>
    <row r="2703" spans="17:31" ht="20.100000000000001" customHeight="1" x14ac:dyDescent="0.25">
      <c r="Q2703" s="7">
        <f t="shared" si="42"/>
        <v>0</v>
      </c>
      <c r="R2703" s="7" t="e">
        <f>IF(VLOOKUP($A2703,'Concrete Beam Schedule'!$A$2:$Q$2902,R$2,0)&lt;&gt;B2703,VLOOKUP($A2703,'Concrete Beam Schedule'!$A$2:$Q$2902,R$2,0),"")</f>
        <v>#N/A</v>
      </c>
      <c r="S2703" s="7" t="e">
        <f>IF(VLOOKUP($A2703,'Concrete Beam Schedule'!$A$2:$Q$2902,S$2,0)&lt;&gt;C2703,VLOOKUP($A2703,'Concrete Beam Schedule'!$A$2:$Q$2902,S$2,0),"")</f>
        <v>#N/A</v>
      </c>
      <c r="T2703" s="7" t="e">
        <f>IF(VLOOKUP($A2703,'Concrete Beam Schedule'!$A$2:$Q$2902,T$2,0)&lt;&gt;D2703,"Beam Revised","")</f>
        <v>#N/A</v>
      </c>
      <c r="U2703" s="7" t="e">
        <f>IF(VLOOKUP($A2703,'Concrete Beam Schedule'!$A$2:$Q$2902,U$2,0)&lt;&gt;E2703,"Beam Revised","")</f>
        <v>#N/A</v>
      </c>
      <c r="V2703" s="7" t="e">
        <f>IF(VLOOKUP($A2703,'Concrete Beam Schedule'!$A$2:$Q$2902,V$2,0)&lt;&gt;F2703,"Beam Revised","")</f>
        <v>#N/A</v>
      </c>
      <c r="W2703" s="7" t="e">
        <f>IF(VLOOKUP($A2703,'Concrete Beam Schedule'!$A$2:$Q$2902,W$2,0)&lt;&gt;G2703,"Beam Revised","")</f>
        <v>#N/A</v>
      </c>
      <c r="X2703" s="7" t="e">
        <f>IF(VLOOKUP($A2703,'Concrete Beam Schedule'!$A$2:$Q$2902,X$2,0)&lt;&gt;H2703,"Beam Revised","")</f>
        <v>#N/A</v>
      </c>
      <c r="Y2703" s="7" t="e">
        <f>IF(VLOOKUP($A2703,'Concrete Beam Schedule'!$A$2:$Q$2902,Y$2,0)&lt;&gt;I2703,"Beam Revised","")</f>
        <v>#N/A</v>
      </c>
      <c r="Z2703" s="7" t="e">
        <f>IF(VLOOKUP($A2703,'Concrete Beam Schedule'!$A$2:$Q$2902,Z$2,0)&lt;&gt;J2703,"Beam Revised","")</f>
        <v>#N/A</v>
      </c>
      <c r="AA2703" s="7" t="e">
        <f>IF(VLOOKUP($A2703,'Concrete Beam Schedule'!$A$2:$Q$2902,AA$2,0)&lt;&gt;K2703,"Beam Revised","")</f>
        <v>#N/A</v>
      </c>
      <c r="AB2703" s="7" t="e">
        <f>IF(VLOOKUP($A2703,'Concrete Beam Schedule'!$A$2:$Q$2902,AB$2,0)&lt;&gt;L2703,"Beam Revised","")</f>
        <v>#N/A</v>
      </c>
      <c r="AC2703" s="7" t="e">
        <f>IF(VLOOKUP($A2703,'Concrete Beam Schedule'!$A$2:$Q$2902,AC$2,0)&lt;&gt;M2703,"Beam Revised","")</f>
        <v>#N/A</v>
      </c>
      <c r="AD2703" s="7" t="e">
        <f>IF(VLOOKUP($A2703,'Concrete Beam Schedule'!$A$2:$Q$2902,AD$2,0)&lt;&gt;N2703,"Beam Revised","")</f>
        <v>#N/A</v>
      </c>
      <c r="AE2703" s="7" t="e">
        <f>IF(VLOOKUP($A2703,'Concrete Beam Schedule'!$A$2:$Q$2902,AE$2,0)&lt;&gt;O2703,"Beam Revised","")</f>
        <v>#N/A</v>
      </c>
    </row>
    <row r="2704" spans="17:31" ht="20.100000000000001" customHeight="1" x14ac:dyDescent="0.25">
      <c r="Q2704" s="7">
        <f t="shared" si="42"/>
        <v>0</v>
      </c>
      <c r="R2704" s="7" t="e">
        <f>IF(VLOOKUP($A2704,'Concrete Beam Schedule'!$A$2:$Q$2902,R$2,0)&lt;&gt;B2704,VLOOKUP($A2704,'Concrete Beam Schedule'!$A$2:$Q$2902,R$2,0),"")</f>
        <v>#N/A</v>
      </c>
      <c r="S2704" s="7" t="e">
        <f>IF(VLOOKUP($A2704,'Concrete Beam Schedule'!$A$2:$Q$2902,S$2,0)&lt;&gt;C2704,VLOOKUP($A2704,'Concrete Beam Schedule'!$A$2:$Q$2902,S$2,0),"")</f>
        <v>#N/A</v>
      </c>
      <c r="T2704" s="7" t="e">
        <f>IF(VLOOKUP($A2704,'Concrete Beam Schedule'!$A$2:$Q$2902,T$2,0)&lt;&gt;D2704,"Beam Revised","")</f>
        <v>#N/A</v>
      </c>
      <c r="U2704" s="7" t="e">
        <f>IF(VLOOKUP($A2704,'Concrete Beam Schedule'!$A$2:$Q$2902,U$2,0)&lt;&gt;E2704,"Beam Revised","")</f>
        <v>#N/A</v>
      </c>
      <c r="V2704" s="7" t="e">
        <f>IF(VLOOKUP($A2704,'Concrete Beam Schedule'!$A$2:$Q$2902,V$2,0)&lt;&gt;F2704,"Beam Revised","")</f>
        <v>#N/A</v>
      </c>
      <c r="W2704" s="7" t="e">
        <f>IF(VLOOKUP($A2704,'Concrete Beam Schedule'!$A$2:$Q$2902,W$2,0)&lt;&gt;G2704,"Beam Revised","")</f>
        <v>#N/A</v>
      </c>
      <c r="X2704" s="7" t="e">
        <f>IF(VLOOKUP($A2704,'Concrete Beam Schedule'!$A$2:$Q$2902,X$2,0)&lt;&gt;H2704,"Beam Revised","")</f>
        <v>#N/A</v>
      </c>
      <c r="Y2704" s="7" t="e">
        <f>IF(VLOOKUP($A2704,'Concrete Beam Schedule'!$A$2:$Q$2902,Y$2,0)&lt;&gt;I2704,"Beam Revised","")</f>
        <v>#N/A</v>
      </c>
      <c r="Z2704" s="7" t="e">
        <f>IF(VLOOKUP($A2704,'Concrete Beam Schedule'!$A$2:$Q$2902,Z$2,0)&lt;&gt;J2704,"Beam Revised","")</f>
        <v>#N/A</v>
      </c>
      <c r="AA2704" s="7" t="e">
        <f>IF(VLOOKUP($A2704,'Concrete Beam Schedule'!$A$2:$Q$2902,AA$2,0)&lt;&gt;K2704,"Beam Revised","")</f>
        <v>#N/A</v>
      </c>
      <c r="AB2704" s="7" t="e">
        <f>IF(VLOOKUP($A2704,'Concrete Beam Schedule'!$A$2:$Q$2902,AB$2,0)&lt;&gt;L2704,"Beam Revised","")</f>
        <v>#N/A</v>
      </c>
      <c r="AC2704" s="7" t="e">
        <f>IF(VLOOKUP($A2704,'Concrete Beam Schedule'!$A$2:$Q$2902,AC$2,0)&lt;&gt;M2704,"Beam Revised","")</f>
        <v>#N/A</v>
      </c>
      <c r="AD2704" s="7" t="e">
        <f>IF(VLOOKUP($A2704,'Concrete Beam Schedule'!$A$2:$Q$2902,AD$2,0)&lt;&gt;N2704,"Beam Revised","")</f>
        <v>#N/A</v>
      </c>
      <c r="AE2704" s="7" t="e">
        <f>IF(VLOOKUP($A2704,'Concrete Beam Schedule'!$A$2:$Q$2902,AE$2,0)&lt;&gt;O2704,"Beam Revised","")</f>
        <v>#N/A</v>
      </c>
    </row>
    <row r="2705" spans="17:31" ht="20.100000000000001" customHeight="1" x14ac:dyDescent="0.25">
      <c r="Q2705" s="7">
        <f t="shared" si="42"/>
        <v>0</v>
      </c>
      <c r="R2705" s="7" t="e">
        <f>IF(VLOOKUP($A2705,'Concrete Beam Schedule'!$A$2:$Q$2902,R$2,0)&lt;&gt;B2705,VLOOKUP($A2705,'Concrete Beam Schedule'!$A$2:$Q$2902,R$2,0),"")</f>
        <v>#N/A</v>
      </c>
      <c r="S2705" s="7" t="e">
        <f>IF(VLOOKUP($A2705,'Concrete Beam Schedule'!$A$2:$Q$2902,S$2,0)&lt;&gt;C2705,VLOOKUP($A2705,'Concrete Beam Schedule'!$A$2:$Q$2902,S$2,0),"")</f>
        <v>#N/A</v>
      </c>
      <c r="T2705" s="7" t="e">
        <f>IF(VLOOKUP($A2705,'Concrete Beam Schedule'!$A$2:$Q$2902,T$2,0)&lt;&gt;D2705,"Beam Revised","")</f>
        <v>#N/A</v>
      </c>
      <c r="U2705" s="7" t="e">
        <f>IF(VLOOKUP($A2705,'Concrete Beam Schedule'!$A$2:$Q$2902,U$2,0)&lt;&gt;E2705,"Beam Revised","")</f>
        <v>#N/A</v>
      </c>
      <c r="V2705" s="7" t="e">
        <f>IF(VLOOKUP($A2705,'Concrete Beam Schedule'!$A$2:$Q$2902,V$2,0)&lt;&gt;F2705,"Beam Revised","")</f>
        <v>#N/A</v>
      </c>
      <c r="W2705" s="7" t="e">
        <f>IF(VLOOKUP($A2705,'Concrete Beam Schedule'!$A$2:$Q$2902,W$2,0)&lt;&gt;G2705,"Beam Revised","")</f>
        <v>#N/A</v>
      </c>
      <c r="X2705" s="7" t="e">
        <f>IF(VLOOKUP($A2705,'Concrete Beam Schedule'!$A$2:$Q$2902,X$2,0)&lt;&gt;H2705,"Beam Revised","")</f>
        <v>#N/A</v>
      </c>
      <c r="Y2705" s="7" t="e">
        <f>IF(VLOOKUP($A2705,'Concrete Beam Schedule'!$A$2:$Q$2902,Y$2,0)&lt;&gt;I2705,"Beam Revised","")</f>
        <v>#N/A</v>
      </c>
      <c r="Z2705" s="7" t="e">
        <f>IF(VLOOKUP($A2705,'Concrete Beam Schedule'!$A$2:$Q$2902,Z$2,0)&lt;&gt;J2705,"Beam Revised","")</f>
        <v>#N/A</v>
      </c>
      <c r="AA2705" s="7" t="e">
        <f>IF(VLOOKUP($A2705,'Concrete Beam Schedule'!$A$2:$Q$2902,AA$2,0)&lt;&gt;K2705,"Beam Revised","")</f>
        <v>#N/A</v>
      </c>
      <c r="AB2705" s="7" t="e">
        <f>IF(VLOOKUP($A2705,'Concrete Beam Schedule'!$A$2:$Q$2902,AB$2,0)&lt;&gt;L2705,"Beam Revised","")</f>
        <v>#N/A</v>
      </c>
      <c r="AC2705" s="7" t="e">
        <f>IF(VLOOKUP($A2705,'Concrete Beam Schedule'!$A$2:$Q$2902,AC$2,0)&lt;&gt;M2705,"Beam Revised","")</f>
        <v>#N/A</v>
      </c>
      <c r="AD2705" s="7" t="e">
        <f>IF(VLOOKUP($A2705,'Concrete Beam Schedule'!$A$2:$Q$2902,AD$2,0)&lt;&gt;N2705,"Beam Revised","")</f>
        <v>#N/A</v>
      </c>
      <c r="AE2705" s="7" t="e">
        <f>IF(VLOOKUP($A2705,'Concrete Beam Schedule'!$A$2:$Q$2902,AE$2,0)&lt;&gt;O2705,"Beam Revised","")</f>
        <v>#N/A</v>
      </c>
    </row>
    <row r="2706" spans="17:31" ht="20.100000000000001" customHeight="1" x14ac:dyDescent="0.25">
      <c r="Q2706" s="7">
        <f t="shared" si="42"/>
        <v>0</v>
      </c>
      <c r="R2706" s="7" t="e">
        <f>IF(VLOOKUP($A2706,'Concrete Beam Schedule'!$A$2:$Q$2902,R$2,0)&lt;&gt;B2706,VLOOKUP($A2706,'Concrete Beam Schedule'!$A$2:$Q$2902,R$2,0),"")</f>
        <v>#N/A</v>
      </c>
      <c r="S2706" s="7" t="e">
        <f>IF(VLOOKUP($A2706,'Concrete Beam Schedule'!$A$2:$Q$2902,S$2,0)&lt;&gt;C2706,VLOOKUP($A2706,'Concrete Beam Schedule'!$A$2:$Q$2902,S$2,0),"")</f>
        <v>#N/A</v>
      </c>
      <c r="T2706" s="7" t="e">
        <f>IF(VLOOKUP($A2706,'Concrete Beam Schedule'!$A$2:$Q$2902,T$2,0)&lt;&gt;D2706,"Beam Revised","")</f>
        <v>#N/A</v>
      </c>
      <c r="U2706" s="7" t="e">
        <f>IF(VLOOKUP($A2706,'Concrete Beam Schedule'!$A$2:$Q$2902,U$2,0)&lt;&gt;E2706,"Beam Revised","")</f>
        <v>#N/A</v>
      </c>
      <c r="V2706" s="7" t="e">
        <f>IF(VLOOKUP($A2706,'Concrete Beam Schedule'!$A$2:$Q$2902,V$2,0)&lt;&gt;F2706,"Beam Revised","")</f>
        <v>#N/A</v>
      </c>
      <c r="W2706" s="7" t="e">
        <f>IF(VLOOKUP($A2706,'Concrete Beam Schedule'!$A$2:$Q$2902,W$2,0)&lt;&gt;G2706,"Beam Revised","")</f>
        <v>#N/A</v>
      </c>
      <c r="X2706" s="7" t="e">
        <f>IF(VLOOKUP($A2706,'Concrete Beam Schedule'!$A$2:$Q$2902,X$2,0)&lt;&gt;H2706,"Beam Revised","")</f>
        <v>#N/A</v>
      </c>
      <c r="Y2706" s="7" t="e">
        <f>IF(VLOOKUP($A2706,'Concrete Beam Schedule'!$A$2:$Q$2902,Y$2,0)&lt;&gt;I2706,"Beam Revised","")</f>
        <v>#N/A</v>
      </c>
      <c r="Z2706" s="7" t="e">
        <f>IF(VLOOKUP($A2706,'Concrete Beam Schedule'!$A$2:$Q$2902,Z$2,0)&lt;&gt;J2706,"Beam Revised","")</f>
        <v>#N/A</v>
      </c>
      <c r="AA2706" s="7" t="e">
        <f>IF(VLOOKUP($A2706,'Concrete Beam Schedule'!$A$2:$Q$2902,AA$2,0)&lt;&gt;K2706,"Beam Revised","")</f>
        <v>#N/A</v>
      </c>
      <c r="AB2706" s="7" t="e">
        <f>IF(VLOOKUP($A2706,'Concrete Beam Schedule'!$A$2:$Q$2902,AB$2,0)&lt;&gt;L2706,"Beam Revised","")</f>
        <v>#N/A</v>
      </c>
      <c r="AC2706" s="7" t="e">
        <f>IF(VLOOKUP($A2706,'Concrete Beam Schedule'!$A$2:$Q$2902,AC$2,0)&lt;&gt;M2706,"Beam Revised","")</f>
        <v>#N/A</v>
      </c>
      <c r="AD2706" s="7" t="e">
        <f>IF(VLOOKUP($A2706,'Concrete Beam Schedule'!$A$2:$Q$2902,AD$2,0)&lt;&gt;N2706,"Beam Revised","")</f>
        <v>#N/A</v>
      </c>
      <c r="AE2706" s="7" t="e">
        <f>IF(VLOOKUP($A2706,'Concrete Beam Schedule'!$A$2:$Q$2902,AE$2,0)&lt;&gt;O2706,"Beam Revised","")</f>
        <v>#N/A</v>
      </c>
    </row>
    <row r="2707" spans="17:31" ht="20.100000000000001" customHeight="1" x14ac:dyDescent="0.25">
      <c r="Q2707" s="7">
        <f t="shared" si="42"/>
        <v>0</v>
      </c>
      <c r="R2707" s="7" t="e">
        <f>IF(VLOOKUP($A2707,'Concrete Beam Schedule'!$A$2:$Q$2902,R$2,0)&lt;&gt;B2707,VLOOKUP($A2707,'Concrete Beam Schedule'!$A$2:$Q$2902,R$2,0),"")</f>
        <v>#N/A</v>
      </c>
      <c r="S2707" s="7" t="e">
        <f>IF(VLOOKUP($A2707,'Concrete Beam Schedule'!$A$2:$Q$2902,S$2,0)&lt;&gt;C2707,VLOOKUP($A2707,'Concrete Beam Schedule'!$A$2:$Q$2902,S$2,0),"")</f>
        <v>#N/A</v>
      </c>
      <c r="T2707" s="7" t="e">
        <f>IF(VLOOKUP($A2707,'Concrete Beam Schedule'!$A$2:$Q$2902,T$2,0)&lt;&gt;D2707,"Beam Revised","")</f>
        <v>#N/A</v>
      </c>
      <c r="U2707" s="7" t="e">
        <f>IF(VLOOKUP($A2707,'Concrete Beam Schedule'!$A$2:$Q$2902,U$2,0)&lt;&gt;E2707,"Beam Revised","")</f>
        <v>#N/A</v>
      </c>
      <c r="V2707" s="7" t="e">
        <f>IF(VLOOKUP($A2707,'Concrete Beam Schedule'!$A$2:$Q$2902,V$2,0)&lt;&gt;F2707,"Beam Revised","")</f>
        <v>#N/A</v>
      </c>
      <c r="W2707" s="7" t="e">
        <f>IF(VLOOKUP($A2707,'Concrete Beam Schedule'!$A$2:$Q$2902,W$2,0)&lt;&gt;G2707,"Beam Revised","")</f>
        <v>#N/A</v>
      </c>
      <c r="X2707" s="7" t="e">
        <f>IF(VLOOKUP($A2707,'Concrete Beam Schedule'!$A$2:$Q$2902,X$2,0)&lt;&gt;H2707,"Beam Revised","")</f>
        <v>#N/A</v>
      </c>
      <c r="Y2707" s="7" t="e">
        <f>IF(VLOOKUP($A2707,'Concrete Beam Schedule'!$A$2:$Q$2902,Y$2,0)&lt;&gt;I2707,"Beam Revised","")</f>
        <v>#N/A</v>
      </c>
      <c r="Z2707" s="7" t="e">
        <f>IF(VLOOKUP($A2707,'Concrete Beam Schedule'!$A$2:$Q$2902,Z$2,0)&lt;&gt;J2707,"Beam Revised","")</f>
        <v>#N/A</v>
      </c>
      <c r="AA2707" s="7" t="e">
        <f>IF(VLOOKUP($A2707,'Concrete Beam Schedule'!$A$2:$Q$2902,AA$2,0)&lt;&gt;K2707,"Beam Revised","")</f>
        <v>#N/A</v>
      </c>
      <c r="AB2707" s="7" t="e">
        <f>IF(VLOOKUP($A2707,'Concrete Beam Schedule'!$A$2:$Q$2902,AB$2,0)&lt;&gt;L2707,"Beam Revised","")</f>
        <v>#N/A</v>
      </c>
      <c r="AC2707" s="7" t="e">
        <f>IF(VLOOKUP($A2707,'Concrete Beam Schedule'!$A$2:$Q$2902,AC$2,0)&lt;&gt;M2707,"Beam Revised","")</f>
        <v>#N/A</v>
      </c>
      <c r="AD2707" s="7" t="e">
        <f>IF(VLOOKUP($A2707,'Concrete Beam Schedule'!$A$2:$Q$2902,AD$2,0)&lt;&gt;N2707,"Beam Revised","")</f>
        <v>#N/A</v>
      </c>
      <c r="AE2707" s="7" t="e">
        <f>IF(VLOOKUP($A2707,'Concrete Beam Schedule'!$A$2:$Q$2902,AE$2,0)&lt;&gt;O2707,"Beam Revised","")</f>
        <v>#N/A</v>
      </c>
    </row>
    <row r="2708" spans="17:31" ht="20.100000000000001" customHeight="1" x14ac:dyDescent="0.25">
      <c r="Q2708" s="7">
        <f t="shared" si="42"/>
        <v>0</v>
      </c>
      <c r="R2708" s="7" t="e">
        <f>IF(VLOOKUP($A2708,'Concrete Beam Schedule'!$A$2:$Q$2902,R$2,0)&lt;&gt;B2708,VLOOKUP($A2708,'Concrete Beam Schedule'!$A$2:$Q$2902,R$2,0),"")</f>
        <v>#N/A</v>
      </c>
      <c r="S2708" s="7" t="e">
        <f>IF(VLOOKUP($A2708,'Concrete Beam Schedule'!$A$2:$Q$2902,S$2,0)&lt;&gt;C2708,VLOOKUP($A2708,'Concrete Beam Schedule'!$A$2:$Q$2902,S$2,0),"")</f>
        <v>#N/A</v>
      </c>
      <c r="T2708" s="7" t="e">
        <f>IF(VLOOKUP($A2708,'Concrete Beam Schedule'!$A$2:$Q$2902,T$2,0)&lt;&gt;D2708,"Beam Revised","")</f>
        <v>#N/A</v>
      </c>
      <c r="U2708" s="7" t="e">
        <f>IF(VLOOKUP($A2708,'Concrete Beam Schedule'!$A$2:$Q$2902,U$2,0)&lt;&gt;E2708,"Beam Revised","")</f>
        <v>#N/A</v>
      </c>
      <c r="V2708" s="7" t="e">
        <f>IF(VLOOKUP($A2708,'Concrete Beam Schedule'!$A$2:$Q$2902,V$2,0)&lt;&gt;F2708,"Beam Revised","")</f>
        <v>#N/A</v>
      </c>
      <c r="W2708" s="7" t="e">
        <f>IF(VLOOKUP($A2708,'Concrete Beam Schedule'!$A$2:$Q$2902,W$2,0)&lt;&gt;G2708,"Beam Revised","")</f>
        <v>#N/A</v>
      </c>
      <c r="X2708" s="7" t="e">
        <f>IF(VLOOKUP($A2708,'Concrete Beam Schedule'!$A$2:$Q$2902,X$2,0)&lt;&gt;H2708,"Beam Revised","")</f>
        <v>#N/A</v>
      </c>
      <c r="Y2708" s="7" t="e">
        <f>IF(VLOOKUP($A2708,'Concrete Beam Schedule'!$A$2:$Q$2902,Y$2,0)&lt;&gt;I2708,"Beam Revised","")</f>
        <v>#N/A</v>
      </c>
      <c r="Z2708" s="7" t="e">
        <f>IF(VLOOKUP($A2708,'Concrete Beam Schedule'!$A$2:$Q$2902,Z$2,0)&lt;&gt;J2708,"Beam Revised","")</f>
        <v>#N/A</v>
      </c>
      <c r="AA2708" s="7" t="e">
        <f>IF(VLOOKUP($A2708,'Concrete Beam Schedule'!$A$2:$Q$2902,AA$2,0)&lt;&gt;K2708,"Beam Revised","")</f>
        <v>#N/A</v>
      </c>
      <c r="AB2708" s="7" t="e">
        <f>IF(VLOOKUP($A2708,'Concrete Beam Schedule'!$A$2:$Q$2902,AB$2,0)&lt;&gt;L2708,"Beam Revised","")</f>
        <v>#N/A</v>
      </c>
      <c r="AC2708" s="7" t="e">
        <f>IF(VLOOKUP($A2708,'Concrete Beam Schedule'!$A$2:$Q$2902,AC$2,0)&lt;&gt;M2708,"Beam Revised","")</f>
        <v>#N/A</v>
      </c>
      <c r="AD2708" s="7" t="e">
        <f>IF(VLOOKUP($A2708,'Concrete Beam Schedule'!$A$2:$Q$2902,AD$2,0)&lt;&gt;N2708,"Beam Revised","")</f>
        <v>#N/A</v>
      </c>
      <c r="AE2708" s="7" t="e">
        <f>IF(VLOOKUP($A2708,'Concrete Beam Schedule'!$A$2:$Q$2902,AE$2,0)&lt;&gt;O2708,"Beam Revised","")</f>
        <v>#N/A</v>
      </c>
    </row>
    <row r="2709" spans="17:31" ht="20.100000000000001" customHeight="1" x14ac:dyDescent="0.25">
      <c r="Q2709" s="7">
        <f t="shared" si="42"/>
        <v>0</v>
      </c>
      <c r="R2709" s="7" t="e">
        <f>IF(VLOOKUP($A2709,'Concrete Beam Schedule'!$A$2:$Q$2902,R$2,0)&lt;&gt;B2709,VLOOKUP($A2709,'Concrete Beam Schedule'!$A$2:$Q$2902,R$2,0),"")</f>
        <v>#N/A</v>
      </c>
      <c r="S2709" s="7" t="e">
        <f>IF(VLOOKUP($A2709,'Concrete Beam Schedule'!$A$2:$Q$2902,S$2,0)&lt;&gt;C2709,VLOOKUP($A2709,'Concrete Beam Schedule'!$A$2:$Q$2902,S$2,0),"")</f>
        <v>#N/A</v>
      </c>
      <c r="T2709" s="7" t="e">
        <f>IF(VLOOKUP($A2709,'Concrete Beam Schedule'!$A$2:$Q$2902,T$2,0)&lt;&gt;D2709,"Beam Revised","")</f>
        <v>#N/A</v>
      </c>
      <c r="U2709" s="7" t="e">
        <f>IF(VLOOKUP($A2709,'Concrete Beam Schedule'!$A$2:$Q$2902,U$2,0)&lt;&gt;E2709,"Beam Revised","")</f>
        <v>#N/A</v>
      </c>
      <c r="V2709" s="7" t="e">
        <f>IF(VLOOKUP($A2709,'Concrete Beam Schedule'!$A$2:$Q$2902,V$2,0)&lt;&gt;F2709,"Beam Revised","")</f>
        <v>#N/A</v>
      </c>
      <c r="W2709" s="7" t="e">
        <f>IF(VLOOKUP($A2709,'Concrete Beam Schedule'!$A$2:$Q$2902,W$2,0)&lt;&gt;G2709,"Beam Revised","")</f>
        <v>#N/A</v>
      </c>
      <c r="X2709" s="7" t="e">
        <f>IF(VLOOKUP($A2709,'Concrete Beam Schedule'!$A$2:$Q$2902,X$2,0)&lt;&gt;H2709,"Beam Revised","")</f>
        <v>#N/A</v>
      </c>
      <c r="Y2709" s="7" t="e">
        <f>IF(VLOOKUP($A2709,'Concrete Beam Schedule'!$A$2:$Q$2902,Y$2,0)&lt;&gt;I2709,"Beam Revised","")</f>
        <v>#N/A</v>
      </c>
      <c r="Z2709" s="7" t="e">
        <f>IF(VLOOKUP($A2709,'Concrete Beam Schedule'!$A$2:$Q$2902,Z$2,0)&lt;&gt;J2709,"Beam Revised","")</f>
        <v>#N/A</v>
      </c>
      <c r="AA2709" s="7" t="e">
        <f>IF(VLOOKUP($A2709,'Concrete Beam Schedule'!$A$2:$Q$2902,AA$2,0)&lt;&gt;K2709,"Beam Revised","")</f>
        <v>#N/A</v>
      </c>
      <c r="AB2709" s="7" t="e">
        <f>IF(VLOOKUP($A2709,'Concrete Beam Schedule'!$A$2:$Q$2902,AB$2,0)&lt;&gt;L2709,"Beam Revised","")</f>
        <v>#N/A</v>
      </c>
      <c r="AC2709" s="7" t="e">
        <f>IF(VLOOKUP($A2709,'Concrete Beam Schedule'!$A$2:$Q$2902,AC$2,0)&lt;&gt;M2709,"Beam Revised","")</f>
        <v>#N/A</v>
      </c>
      <c r="AD2709" s="7" t="e">
        <f>IF(VLOOKUP($A2709,'Concrete Beam Schedule'!$A$2:$Q$2902,AD$2,0)&lt;&gt;N2709,"Beam Revised","")</f>
        <v>#N/A</v>
      </c>
      <c r="AE2709" s="7" t="e">
        <f>IF(VLOOKUP($A2709,'Concrete Beam Schedule'!$A$2:$Q$2902,AE$2,0)&lt;&gt;O2709,"Beam Revised","")</f>
        <v>#N/A</v>
      </c>
    </row>
    <row r="2710" spans="17:31" ht="20.100000000000001" customHeight="1" x14ac:dyDescent="0.25">
      <c r="Q2710" s="7">
        <f t="shared" si="42"/>
        <v>0</v>
      </c>
      <c r="R2710" s="7" t="e">
        <f>IF(VLOOKUP($A2710,'Concrete Beam Schedule'!$A$2:$Q$2902,R$2,0)&lt;&gt;B2710,VLOOKUP($A2710,'Concrete Beam Schedule'!$A$2:$Q$2902,R$2,0),"")</f>
        <v>#N/A</v>
      </c>
      <c r="S2710" s="7" t="e">
        <f>IF(VLOOKUP($A2710,'Concrete Beam Schedule'!$A$2:$Q$2902,S$2,0)&lt;&gt;C2710,VLOOKUP($A2710,'Concrete Beam Schedule'!$A$2:$Q$2902,S$2,0),"")</f>
        <v>#N/A</v>
      </c>
      <c r="T2710" s="7" t="e">
        <f>IF(VLOOKUP($A2710,'Concrete Beam Schedule'!$A$2:$Q$2902,T$2,0)&lt;&gt;D2710,"Beam Revised","")</f>
        <v>#N/A</v>
      </c>
      <c r="U2710" s="7" t="e">
        <f>IF(VLOOKUP($A2710,'Concrete Beam Schedule'!$A$2:$Q$2902,U$2,0)&lt;&gt;E2710,"Beam Revised","")</f>
        <v>#N/A</v>
      </c>
      <c r="V2710" s="7" t="e">
        <f>IF(VLOOKUP($A2710,'Concrete Beam Schedule'!$A$2:$Q$2902,V$2,0)&lt;&gt;F2710,"Beam Revised","")</f>
        <v>#N/A</v>
      </c>
      <c r="W2710" s="7" t="e">
        <f>IF(VLOOKUP($A2710,'Concrete Beam Schedule'!$A$2:$Q$2902,W$2,0)&lt;&gt;G2710,"Beam Revised","")</f>
        <v>#N/A</v>
      </c>
      <c r="X2710" s="7" t="e">
        <f>IF(VLOOKUP($A2710,'Concrete Beam Schedule'!$A$2:$Q$2902,X$2,0)&lt;&gt;H2710,"Beam Revised","")</f>
        <v>#N/A</v>
      </c>
      <c r="Y2710" s="7" t="e">
        <f>IF(VLOOKUP($A2710,'Concrete Beam Schedule'!$A$2:$Q$2902,Y$2,0)&lt;&gt;I2710,"Beam Revised","")</f>
        <v>#N/A</v>
      </c>
      <c r="Z2710" s="7" t="e">
        <f>IF(VLOOKUP($A2710,'Concrete Beam Schedule'!$A$2:$Q$2902,Z$2,0)&lt;&gt;J2710,"Beam Revised","")</f>
        <v>#N/A</v>
      </c>
      <c r="AA2710" s="7" t="e">
        <f>IF(VLOOKUP($A2710,'Concrete Beam Schedule'!$A$2:$Q$2902,AA$2,0)&lt;&gt;K2710,"Beam Revised","")</f>
        <v>#N/A</v>
      </c>
      <c r="AB2710" s="7" t="e">
        <f>IF(VLOOKUP($A2710,'Concrete Beam Schedule'!$A$2:$Q$2902,AB$2,0)&lt;&gt;L2710,"Beam Revised","")</f>
        <v>#N/A</v>
      </c>
      <c r="AC2710" s="7" t="e">
        <f>IF(VLOOKUP($A2710,'Concrete Beam Schedule'!$A$2:$Q$2902,AC$2,0)&lt;&gt;M2710,"Beam Revised","")</f>
        <v>#N/A</v>
      </c>
      <c r="AD2710" s="7" t="e">
        <f>IF(VLOOKUP($A2710,'Concrete Beam Schedule'!$A$2:$Q$2902,AD$2,0)&lt;&gt;N2710,"Beam Revised","")</f>
        <v>#N/A</v>
      </c>
      <c r="AE2710" s="7" t="e">
        <f>IF(VLOOKUP($A2710,'Concrete Beam Schedule'!$A$2:$Q$2902,AE$2,0)&lt;&gt;O2710,"Beam Revised","")</f>
        <v>#N/A</v>
      </c>
    </row>
    <row r="2711" spans="17:31" ht="20.100000000000001" customHeight="1" x14ac:dyDescent="0.25">
      <c r="Q2711" s="7">
        <f t="shared" si="42"/>
        <v>0</v>
      </c>
      <c r="R2711" s="7" t="e">
        <f>IF(VLOOKUP($A2711,'Concrete Beam Schedule'!$A$2:$Q$2902,R$2,0)&lt;&gt;B2711,VLOOKUP($A2711,'Concrete Beam Schedule'!$A$2:$Q$2902,R$2,0),"")</f>
        <v>#N/A</v>
      </c>
      <c r="S2711" s="7" t="e">
        <f>IF(VLOOKUP($A2711,'Concrete Beam Schedule'!$A$2:$Q$2902,S$2,0)&lt;&gt;C2711,VLOOKUP($A2711,'Concrete Beam Schedule'!$A$2:$Q$2902,S$2,0),"")</f>
        <v>#N/A</v>
      </c>
      <c r="T2711" s="7" t="e">
        <f>IF(VLOOKUP($A2711,'Concrete Beam Schedule'!$A$2:$Q$2902,T$2,0)&lt;&gt;D2711,"Beam Revised","")</f>
        <v>#N/A</v>
      </c>
      <c r="U2711" s="7" t="e">
        <f>IF(VLOOKUP($A2711,'Concrete Beam Schedule'!$A$2:$Q$2902,U$2,0)&lt;&gt;E2711,"Beam Revised","")</f>
        <v>#N/A</v>
      </c>
      <c r="V2711" s="7" t="e">
        <f>IF(VLOOKUP($A2711,'Concrete Beam Schedule'!$A$2:$Q$2902,V$2,0)&lt;&gt;F2711,"Beam Revised","")</f>
        <v>#N/A</v>
      </c>
      <c r="W2711" s="7" t="e">
        <f>IF(VLOOKUP($A2711,'Concrete Beam Schedule'!$A$2:$Q$2902,W$2,0)&lt;&gt;G2711,"Beam Revised","")</f>
        <v>#N/A</v>
      </c>
      <c r="X2711" s="7" t="e">
        <f>IF(VLOOKUP($A2711,'Concrete Beam Schedule'!$A$2:$Q$2902,X$2,0)&lt;&gt;H2711,"Beam Revised","")</f>
        <v>#N/A</v>
      </c>
      <c r="Y2711" s="7" t="e">
        <f>IF(VLOOKUP($A2711,'Concrete Beam Schedule'!$A$2:$Q$2902,Y$2,0)&lt;&gt;I2711,"Beam Revised","")</f>
        <v>#N/A</v>
      </c>
      <c r="Z2711" s="7" t="e">
        <f>IF(VLOOKUP($A2711,'Concrete Beam Schedule'!$A$2:$Q$2902,Z$2,0)&lt;&gt;J2711,"Beam Revised","")</f>
        <v>#N/A</v>
      </c>
      <c r="AA2711" s="7" t="e">
        <f>IF(VLOOKUP($A2711,'Concrete Beam Schedule'!$A$2:$Q$2902,AA$2,0)&lt;&gt;K2711,"Beam Revised","")</f>
        <v>#N/A</v>
      </c>
      <c r="AB2711" s="7" t="e">
        <f>IF(VLOOKUP($A2711,'Concrete Beam Schedule'!$A$2:$Q$2902,AB$2,0)&lt;&gt;L2711,"Beam Revised","")</f>
        <v>#N/A</v>
      </c>
      <c r="AC2711" s="7" t="e">
        <f>IF(VLOOKUP($A2711,'Concrete Beam Schedule'!$A$2:$Q$2902,AC$2,0)&lt;&gt;M2711,"Beam Revised","")</f>
        <v>#N/A</v>
      </c>
      <c r="AD2711" s="7" t="e">
        <f>IF(VLOOKUP($A2711,'Concrete Beam Schedule'!$A$2:$Q$2902,AD$2,0)&lt;&gt;N2711,"Beam Revised","")</f>
        <v>#N/A</v>
      </c>
      <c r="AE2711" s="7" t="e">
        <f>IF(VLOOKUP($A2711,'Concrete Beam Schedule'!$A$2:$Q$2902,AE$2,0)&lt;&gt;O2711,"Beam Revised","")</f>
        <v>#N/A</v>
      </c>
    </row>
    <row r="2712" spans="17:31" ht="20.100000000000001" customHeight="1" x14ac:dyDescent="0.25">
      <c r="Q2712" s="7">
        <f t="shared" si="42"/>
        <v>0</v>
      </c>
      <c r="R2712" s="7" t="e">
        <f>IF(VLOOKUP($A2712,'Concrete Beam Schedule'!$A$2:$Q$2902,R$2,0)&lt;&gt;B2712,VLOOKUP($A2712,'Concrete Beam Schedule'!$A$2:$Q$2902,R$2,0),"")</f>
        <v>#N/A</v>
      </c>
      <c r="S2712" s="7" t="e">
        <f>IF(VLOOKUP($A2712,'Concrete Beam Schedule'!$A$2:$Q$2902,S$2,0)&lt;&gt;C2712,VLOOKUP($A2712,'Concrete Beam Schedule'!$A$2:$Q$2902,S$2,0),"")</f>
        <v>#N/A</v>
      </c>
      <c r="T2712" s="7" t="e">
        <f>IF(VLOOKUP($A2712,'Concrete Beam Schedule'!$A$2:$Q$2902,T$2,0)&lt;&gt;D2712,"Beam Revised","")</f>
        <v>#N/A</v>
      </c>
      <c r="U2712" s="7" t="e">
        <f>IF(VLOOKUP($A2712,'Concrete Beam Schedule'!$A$2:$Q$2902,U$2,0)&lt;&gt;E2712,"Beam Revised","")</f>
        <v>#N/A</v>
      </c>
      <c r="V2712" s="7" t="e">
        <f>IF(VLOOKUP($A2712,'Concrete Beam Schedule'!$A$2:$Q$2902,V$2,0)&lt;&gt;F2712,"Beam Revised","")</f>
        <v>#N/A</v>
      </c>
      <c r="W2712" s="7" t="e">
        <f>IF(VLOOKUP($A2712,'Concrete Beam Schedule'!$A$2:$Q$2902,W$2,0)&lt;&gt;G2712,"Beam Revised","")</f>
        <v>#N/A</v>
      </c>
      <c r="X2712" s="7" t="e">
        <f>IF(VLOOKUP($A2712,'Concrete Beam Schedule'!$A$2:$Q$2902,X$2,0)&lt;&gt;H2712,"Beam Revised","")</f>
        <v>#N/A</v>
      </c>
      <c r="Y2712" s="7" t="e">
        <f>IF(VLOOKUP($A2712,'Concrete Beam Schedule'!$A$2:$Q$2902,Y$2,0)&lt;&gt;I2712,"Beam Revised","")</f>
        <v>#N/A</v>
      </c>
      <c r="Z2712" s="7" t="e">
        <f>IF(VLOOKUP($A2712,'Concrete Beam Schedule'!$A$2:$Q$2902,Z$2,0)&lt;&gt;J2712,"Beam Revised","")</f>
        <v>#N/A</v>
      </c>
      <c r="AA2712" s="7" t="e">
        <f>IF(VLOOKUP($A2712,'Concrete Beam Schedule'!$A$2:$Q$2902,AA$2,0)&lt;&gt;K2712,"Beam Revised","")</f>
        <v>#N/A</v>
      </c>
      <c r="AB2712" s="7" t="e">
        <f>IF(VLOOKUP($A2712,'Concrete Beam Schedule'!$A$2:$Q$2902,AB$2,0)&lt;&gt;L2712,"Beam Revised","")</f>
        <v>#N/A</v>
      </c>
      <c r="AC2712" s="7" t="e">
        <f>IF(VLOOKUP($A2712,'Concrete Beam Schedule'!$A$2:$Q$2902,AC$2,0)&lt;&gt;M2712,"Beam Revised","")</f>
        <v>#N/A</v>
      </c>
      <c r="AD2712" s="7" t="e">
        <f>IF(VLOOKUP($A2712,'Concrete Beam Schedule'!$A$2:$Q$2902,AD$2,0)&lt;&gt;N2712,"Beam Revised","")</f>
        <v>#N/A</v>
      </c>
      <c r="AE2712" s="7" t="e">
        <f>IF(VLOOKUP($A2712,'Concrete Beam Schedule'!$A$2:$Q$2902,AE$2,0)&lt;&gt;O2712,"Beam Revised","")</f>
        <v>#N/A</v>
      </c>
    </row>
    <row r="2713" spans="17:31" ht="20.100000000000001" customHeight="1" x14ac:dyDescent="0.25">
      <c r="Q2713" s="7">
        <f t="shared" si="42"/>
        <v>0</v>
      </c>
      <c r="R2713" s="7" t="e">
        <f>IF(VLOOKUP($A2713,'Concrete Beam Schedule'!$A$2:$Q$2902,R$2,0)&lt;&gt;B2713,VLOOKUP($A2713,'Concrete Beam Schedule'!$A$2:$Q$2902,R$2,0),"")</f>
        <v>#N/A</v>
      </c>
      <c r="S2713" s="7" t="e">
        <f>IF(VLOOKUP($A2713,'Concrete Beam Schedule'!$A$2:$Q$2902,S$2,0)&lt;&gt;C2713,VLOOKUP($A2713,'Concrete Beam Schedule'!$A$2:$Q$2902,S$2,0),"")</f>
        <v>#N/A</v>
      </c>
      <c r="T2713" s="7" t="e">
        <f>IF(VLOOKUP($A2713,'Concrete Beam Schedule'!$A$2:$Q$2902,T$2,0)&lt;&gt;D2713,"Beam Revised","")</f>
        <v>#N/A</v>
      </c>
      <c r="U2713" s="7" t="e">
        <f>IF(VLOOKUP($A2713,'Concrete Beam Schedule'!$A$2:$Q$2902,U$2,0)&lt;&gt;E2713,"Beam Revised","")</f>
        <v>#N/A</v>
      </c>
      <c r="V2713" s="7" t="e">
        <f>IF(VLOOKUP($A2713,'Concrete Beam Schedule'!$A$2:$Q$2902,V$2,0)&lt;&gt;F2713,"Beam Revised","")</f>
        <v>#N/A</v>
      </c>
      <c r="W2713" s="7" t="e">
        <f>IF(VLOOKUP($A2713,'Concrete Beam Schedule'!$A$2:$Q$2902,W$2,0)&lt;&gt;G2713,"Beam Revised","")</f>
        <v>#N/A</v>
      </c>
      <c r="X2713" s="7" t="e">
        <f>IF(VLOOKUP($A2713,'Concrete Beam Schedule'!$A$2:$Q$2902,X$2,0)&lt;&gt;H2713,"Beam Revised","")</f>
        <v>#N/A</v>
      </c>
      <c r="Y2713" s="7" t="e">
        <f>IF(VLOOKUP($A2713,'Concrete Beam Schedule'!$A$2:$Q$2902,Y$2,0)&lt;&gt;I2713,"Beam Revised","")</f>
        <v>#N/A</v>
      </c>
      <c r="Z2713" s="7" t="e">
        <f>IF(VLOOKUP($A2713,'Concrete Beam Schedule'!$A$2:$Q$2902,Z$2,0)&lt;&gt;J2713,"Beam Revised","")</f>
        <v>#N/A</v>
      </c>
      <c r="AA2713" s="7" t="e">
        <f>IF(VLOOKUP($A2713,'Concrete Beam Schedule'!$A$2:$Q$2902,AA$2,0)&lt;&gt;K2713,"Beam Revised","")</f>
        <v>#N/A</v>
      </c>
      <c r="AB2713" s="7" t="e">
        <f>IF(VLOOKUP($A2713,'Concrete Beam Schedule'!$A$2:$Q$2902,AB$2,0)&lt;&gt;L2713,"Beam Revised","")</f>
        <v>#N/A</v>
      </c>
      <c r="AC2713" s="7" t="e">
        <f>IF(VLOOKUP($A2713,'Concrete Beam Schedule'!$A$2:$Q$2902,AC$2,0)&lt;&gt;M2713,"Beam Revised","")</f>
        <v>#N/A</v>
      </c>
      <c r="AD2713" s="7" t="e">
        <f>IF(VLOOKUP($A2713,'Concrete Beam Schedule'!$A$2:$Q$2902,AD$2,0)&lt;&gt;N2713,"Beam Revised","")</f>
        <v>#N/A</v>
      </c>
      <c r="AE2713" s="7" t="e">
        <f>IF(VLOOKUP($A2713,'Concrete Beam Schedule'!$A$2:$Q$2902,AE$2,0)&lt;&gt;O2713,"Beam Revised","")</f>
        <v>#N/A</v>
      </c>
    </row>
    <row r="2714" spans="17:31" ht="20.100000000000001" customHeight="1" x14ac:dyDescent="0.25">
      <c r="Q2714" s="7">
        <f t="shared" si="42"/>
        <v>0</v>
      </c>
      <c r="R2714" s="7" t="e">
        <f>IF(VLOOKUP($A2714,'Concrete Beam Schedule'!$A$2:$Q$2902,R$2,0)&lt;&gt;B2714,VLOOKUP($A2714,'Concrete Beam Schedule'!$A$2:$Q$2902,R$2,0),"")</f>
        <v>#N/A</v>
      </c>
      <c r="S2714" s="7" t="e">
        <f>IF(VLOOKUP($A2714,'Concrete Beam Schedule'!$A$2:$Q$2902,S$2,0)&lt;&gt;C2714,VLOOKUP($A2714,'Concrete Beam Schedule'!$A$2:$Q$2902,S$2,0),"")</f>
        <v>#N/A</v>
      </c>
      <c r="T2714" s="7" t="e">
        <f>IF(VLOOKUP($A2714,'Concrete Beam Schedule'!$A$2:$Q$2902,T$2,0)&lt;&gt;D2714,"Beam Revised","")</f>
        <v>#N/A</v>
      </c>
      <c r="U2714" s="7" t="e">
        <f>IF(VLOOKUP($A2714,'Concrete Beam Schedule'!$A$2:$Q$2902,U$2,0)&lt;&gt;E2714,"Beam Revised","")</f>
        <v>#N/A</v>
      </c>
      <c r="V2714" s="7" t="e">
        <f>IF(VLOOKUP($A2714,'Concrete Beam Schedule'!$A$2:$Q$2902,V$2,0)&lt;&gt;F2714,"Beam Revised","")</f>
        <v>#N/A</v>
      </c>
      <c r="W2714" s="7" t="e">
        <f>IF(VLOOKUP($A2714,'Concrete Beam Schedule'!$A$2:$Q$2902,W$2,0)&lt;&gt;G2714,"Beam Revised","")</f>
        <v>#N/A</v>
      </c>
      <c r="X2714" s="7" t="e">
        <f>IF(VLOOKUP($A2714,'Concrete Beam Schedule'!$A$2:$Q$2902,X$2,0)&lt;&gt;H2714,"Beam Revised","")</f>
        <v>#N/A</v>
      </c>
      <c r="Y2714" s="7" t="e">
        <f>IF(VLOOKUP($A2714,'Concrete Beam Schedule'!$A$2:$Q$2902,Y$2,0)&lt;&gt;I2714,"Beam Revised","")</f>
        <v>#N/A</v>
      </c>
      <c r="Z2714" s="7" t="e">
        <f>IF(VLOOKUP($A2714,'Concrete Beam Schedule'!$A$2:$Q$2902,Z$2,0)&lt;&gt;J2714,"Beam Revised","")</f>
        <v>#N/A</v>
      </c>
      <c r="AA2714" s="7" t="e">
        <f>IF(VLOOKUP($A2714,'Concrete Beam Schedule'!$A$2:$Q$2902,AA$2,0)&lt;&gt;K2714,"Beam Revised","")</f>
        <v>#N/A</v>
      </c>
      <c r="AB2714" s="7" t="e">
        <f>IF(VLOOKUP($A2714,'Concrete Beam Schedule'!$A$2:$Q$2902,AB$2,0)&lt;&gt;L2714,"Beam Revised","")</f>
        <v>#N/A</v>
      </c>
      <c r="AC2714" s="7" t="e">
        <f>IF(VLOOKUP($A2714,'Concrete Beam Schedule'!$A$2:$Q$2902,AC$2,0)&lt;&gt;M2714,"Beam Revised","")</f>
        <v>#N/A</v>
      </c>
      <c r="AD2714" s="7" t="e">
        <f>IF(VLOOKUP($A2714,'Concrete Beam Schedule'!$A$2:$Q$2902,AD$2,0)&lt;&gt;N2714,"Beam Revised","")</f>
        <v>#N/A</v>
      </c>
      <c r="AE2714" s="7" t="e">
        <f>IF(VLOOKUP($A2714,'Concrete Beam Schedule'!$A$2:$Q$2902,AE$2,0)&lt;&gt;O2714,"Beam Revised","")</f>
        <v>#N/A</v>
      </c>
    </row>
    <row r="2715" spans="17:31" ht="20.100000000000001" customHeight="1" x14ac:dyDescent="0.25">
      <c r="Q2715" s="7">
        <f t="shared" si="42"/>
        <v>0</v>
      </c>
      <c r="R2715" s="7" t="e">
        <f>IF(VLOOKUP($A2715,'Concrete Beam Schedule'!$A$2:$Q$2902,R$2,0)&lt;&gt;B2715,VLOOKUP($A2715,'Concrete Beam Schedule'!$A$2:$Q$2902,R$2,0),"")</f>
        <v>#N/A</v>
      </c>
      <c r="S2715" s="7" t="e">
        <f>IF(VLOOKUP($A2715,'Concrete Beam Schedule'!$A$2:$Q$2902,S$2,0)&lt;&gt;C2715,VLOOKUP($A2715,'Concrete Beam Schedule'!$A$2:$Q$2902,S$2,0),"")</f>
        <v>#N/A</v>
      </c>
      <c r="T2715" s="7" t="e">
        <f>IF(VLOOKUP($A2715,'Concrete Beam Schedule'!$A$2:$Q$2902,T$2,0)&lt;&gt;D2715,"Beam Revised","")</f>
        <v>#N/A</v>
      </c>
      <c r="U2715" s="7" t="e">
        <f>IF(VLOOKUP($A2715,'Concrete Beam Schedule'!$A$2:$Q$2902,U$2,0)&lt;&gt;E2715,"Beam Revised","")</f>
        <v>#N/A</v>
      </c>
      <c r="V2715" s="7" t="e">
        <f>IF(VLOOKUP($A2715,'Concrete Beam Schedule'!$A$2:$Q$2902,V$2,0)&lt;&gt;F2715,"Beam Revised","")</f>
        <v>#N/A</v>
      </c>
      <c r="W2715" s="7" t="e">
        <f>IF(VLOOKUP($A2715,'Concrete Beam Schedule'!$A$2:$Q$2902,W$2,0)&lt;&gt;G2715,"Beam Revised","")</f>
        <v>#N/A</v>
      </c>
      <c r="X2715" s="7" t="e">
        <f>IF(VLOOKUP($A2715,'Concrete Beam Schedule'!$A$2:$Q$2902,X$2,0)&lt;&gt;H2715,"Beam Revised","")</f>
        <v>#N/A</v>
      </c>
      <c r="Y2715" s="7" t="e">
        <f>IF(VLOOKUP($A2715,'Concrete Beam Schedule'!$A$2:$Q$2902,Y$2,0)&lt;&gt;I2715,"Beam Revised","")</f>
        <v>#N/A</v>
      </c>
      <c r="Z2715" s="7" t="e">
        <f>IF(VLOOKUP($A2715,'Concrete Beam Schedule'!$A$2:$Q$2902,Z$2,0)&lt;&gt;J2715,"Beam Revised","")</f>
        <v>#N/A</v>
      </c>
      <c r="AA2715" s="7" t="e">
        <f>IF(VLOOKUP($A2715,'Concrete Beam Schedule'!$A$2:$Q$2902,AA$2,0)&lt;&gt;K2715,"Beam Revised","")</f>
        <v>#N/A</v>
      </c>
      <c r="AB2715" s="7" t="e">
        <f>IF(VLOOKUP($A2715,'Concrete Beam Schedule'!$A$2:$Q$2902,AB$2,0)&lt;&gt;L2715,"Beam Revised","")</f>
        <v>#N/A</v>
      </c>
      <c r="AC2715" s="7" t="e">
        <f>IF(VLOOKUP($A2715,'Concrete Beam Schedule'!$A$2:$Q$2902,AC$2,0)&lt;&gt;M2715,"Beam Revised","")</f>
        <v>#N/A</v>
      </c>
      <c r="AD2715" s="7" t="e">
        <f>IF(VLOOKUP($A2715,'Concrete Beam Schedule'!$A$2:$Q$2902,AD$2,0)&lt;&gt;N2715,"Beam Revised","")</f>
        <v>#N/A</v>
      </c>
      <c r="AE2715" s="7" t="e">
        <f>IF(VLOOKUP($A2715,'Concrete Beam Schedule'!$A$2:$Q$2902,AE$2,0)&lt;&gt;O2715,"Beam Revised","")</f>
        <v>#N/A</v>
      </c>
    </row>
    <row r="2716" spans="17:31" ht="20.100000000000001" customHeight="1" x14ac:dyDescent="0.25">
      <c r="Q2716" s="7">
        <f t="shared" si="42"/>
        <v>0</v>
      </c>
      <c r="R2716" s="7" t="e">
        <f>IF(VLOOKUP($A2716,'Concrete Beam Schedule'!$A$2:$Q$2902,R$2,0)&lt;&gt;B2716,VLOOKUP($A2716,'Concrete Beam Schedule'!$A$2:$Q$2902,R$2,0),"")</f>
        <v>#N/A</v>
      </c>
      <c r="S2716" s="7" t="e">
        <f>IF(VLOOKUP($A2716,'Concrete Beam Schedule'!$A$2:$Q$2902,S$2,0)&lt;&gt;C2716,VLOOKUP($A2716,'Concrete Beam Schedule'!$A$2:$Q$2902,S$2,0),"")</f>
        <v>#N/A</v>
      </c>
      <c r="T2716" s="7" t="e">
        <f>IF(VLOOKUP($A2716,'Concrete Beam Schedule'!$A$2:$Q$2902,T$2,0)&lt;&gt;D2716,"Beam Revised","")</f>
        <v>#N/A</v>
      </c>
      <c r="U2716" s="7" t="e">
        <f>IF(VLOOKUP($A2716,'Concrete Beam Schedule'!$A$2:$Q$2902,U$2,0)&lt;&gt;E2716,"Beam Revised","")</f>
        <v>#N/A</v>
      </c>
      <c r="V2716" s="7" t="e">
        <f>IF(VLOOKUP($A2716,'Concrete Beam Schedule'!$A$2:$Q$2902,V$2,0)&lt;&gt;F2716,"Beam Revised","")</f>
        <v>#N/A</v>
      </c>
      <c r="W2716" s="7" t="e">
        <f>IF(VLOOKUP($A2716,'Concrete Beam Schedule'!$A$2:$Q$2902,W$2,0)&lt;&gt;G2716,"Beam Revised","")</f>
        <v>#N/A</v>
      </c>
      <c r="X2716" s="7" t="e">
        <f>IF(VLOOKUP($A2716,'Concrete Beam Schedule'!$A$2:$Q$2902,X$2,0)&lt;&gt;H2716,"Beam Revised","")</f>
        <v>#N/A</v>
      </c>
      <c r="Y2716" s="7" t="e">
        <f>IF(VLOOKUP($A2716,'Concrete Beam Schedule'!$A$2:$Q$2902,Y$2,0)&lt;&gt;I2716,"Beam Revised","")</f>
        <v>#N/A</v>
      </c>
      <c r="Z2716" s="7" t="e">
        <f>IF(VLOOKUP($A2716,'Concrete Beam Schedule'!$A$2:$Q$2902,Z$2,0)&lt;&gt;J2716,"Beam Revised","")</f>
        <v>#N/A</v>
      </c>
      <c r="AA2716" s="7" t="e">
        <f>IF(VLOOKUP($A2716,'Concrete Beam Schedule'!$A$2:$Q$2902,AA$2,0)&lt;&gt;K2716,"Beam Revised","")</f>
        <v>#N/A</v>
      </c>
      <c r="AB2716" s="7" t="e">
        <f>IF(VLOOKUP($A2716,'Concrete Beam Schedule'!$A$2:$Q$2902,AB$2,0)&lt;&gt;L2716,"Beam Revised","")</f>
        <v>#N/A</v>
      </c>
      <c r="AC2716" s="7" t="e">
        <f>IF(VLOOKUP($A2716,'Concrete Beam Schedule'!$A$2:$Q$2902,AC$2,0)&lt;&gt;M2716,"Beam Revised","")</f>
        <v>#N/A</v>
      </c>
      <c r="AD2716" s="7" t="e">
        <f>IF(VLOOKUP($A2716,'Concrete Beam Schedule'!$A$2:$Q$2902,AD$2,0)&lt;&gt;N2716,"Beam Revised","")</f>
        <v>#N/A</v>
      </c>
      <c r="AE2716" s="7" t="e">
        <f>IF(VLOOKUP($A2716,'Concrete Beam Schedule'!$A$2:$Q$2902,AE$2,0)&lt;&gt;O2716,"Beam Revised","")</f>
        <v>#N/A</v>
      </c>
    </row>
    <row r="2717" spans="17:31" ht="20.100000000000001" customHeight="1" x14ac:dyDescent="0.25">
      <c r="Q2717" s="7">
        <f t="shared" si="42"/>
        <v>0</v>
      </c>
      <c r="R2717" s="7" t="e">
        <f>IF(VLOOKUP($A2717,'Concrete Beam Schedule'!$A$2:$Q$2902,R$2,0)&lt;&gt;B2717,VLOOKUP($A2717,'Concrete Beam Schedule'!$A$2:$Q$2902,R$2,0),"")</f>
        <v>#N/A</v>
      </c>
      <c r="S2717" s="7" t="e">
        <f>IF(VLOOKUP($A2717,'Concrete Beam Schedule'!$A$2:$Q$2902,S$2,0)&lt;&gt;C2717,VLOOKUP($A2717,'Concrete Beam Schedule'!$A$2:$Q$2902,S$2,0),"")</f>
        <v>#N/A</v>
      </c>
      <c r="T2717" s="7" t="e">
        <f>IF(VLOOKUP($A2717,'Concrete Beam Schedule'!$A$2:$Q$2902,T$2,0)&lt;&gt;D2717,"Beam Revised","")</f>
        <v>#N/A</v>
      </c>
      <c r="U2717" s="7" t="e">
        <f>IF(VLOOKUP($A2717,'Concrete Beam Schedule'!$A$2:$Q$2902,U$2,0)&lt;&gt;E2717,"Beam Revised","")</f>
        <v>#N/A</v>
      </c>
      <c r="V2717" s="7" t="e">
        <f>IF(VLOOKUP($A2717,'Concrete Beam Schedule'!$A$2:$Q$2902,V$2,0)&lt;&gt;F2717,"Beam Revised","")</f>
        <v>#N/A</v>
      </c>
      <c r="W2717" s="7" t="e">
        <f>IF(VLOOKUP($A2717,'Concrete Beam Schedule'!$A$2:$Q$2902,W$2,0)&lt;&gt;G2717,"Beam Revised","")</f>
        <v>#N/A</v>
      </c>
      <c r="X2717" s="7" t="e">
        <f>IF(VLOOKUP($A2717,'Concrete Beam Schedule'!$A$2:$Q$2902,X$2,0)&lt;&gt;H2717,"Beam Revised","")</f>
        <v>#N/A</v>
      </c>
      <c r="Y2717" s="7" t="e">
        <f>IF(VLOOKUP($A2717,'Concrete Beam Schedule'!$A$2:$Q$2902,Y$2,0)&lt;&gt;I2717,"Beam Revised","")</f>
        <v>#N/A</v>
      </c>
      <c r="Z2717" s="7" t="e">
        <f>IF(VLOOKUP($A2717,'Concrete Beam Schedule'!$A$2:$Q$2902,Z$2,0)&lt;&gt;J2717,"Beam Revised","")</f>
        <v>#N/A</v>
      </c>
      <c r="AA2717" s="7" t="e">
        <f>IF(VLOOKUP($A2717,'Concrete Beam Schedule'!$A$2:$Q$2902,AA$2,0)&lt;&gt;K2717,"Beam Revised","")</f>
        <v>#N/A</v>
      </c>
      <c r="AB2717" s="7" t="e">
        <f>IF(VLOOKUP($A2717,'Concrete Beam Schedule'!$A$2:$Q$2902,AB$2,0)&lt;&gt;L2717,"Beam Revised","")</f>
        <v>#N/A</v>
      </c>
      <c r="AC2717" s="7" t="e">
        <f>IF(VLOOKUP($A2717,'Concrete Beam Schedule'!$A$2:$Q$2902,AC$2,0)&lt;&gt;M2717,"Beam Revised","")</f>
        <v>#N/A</v>
      </c>
      <c r="AD2717" s="7" t="e">
        <f>IF(VLOOKUP($A2717,'Concrete Beam Schedule'!$A$2:$Q$2902,AD$2,0)&lt;&gt;N2717,"Beam Revised","")</f>
        <v>#N/A</v>
      </c>
      <c r="AE2717" s="7" t="e">
        <f>IF(VLOOKUP($A2717,'Concrete Beam Schedule'!$A$2:$Q$2902,AE$2,0)&lt;&gt;O2717,"Beam Revised","")</f>
        <v>#N/A</v>
      </c>
    </row>
    <row r="2718" spans="17:31" ht="20.100000000000001" customHeight="1" x14ac:dyDescent="0.25">
      <c r="Q2718" s="7">
        <f t="shared" si="42"/>
        <v>0</v>
      </c>
      <c r="R2718" s="7" t="e">
        <f>IF(VLOOKUP($A2718,'Concrete Beam Schedule'!$A$2:$Q$2902,R$2,0)&lt;&gt;B2718,VLOOKUP($A2718,'Concrete Beam Schedule'!$A$2:$Q$2902,R$2,0),"")</f>
        <v>#N/A</v>
      </c>
      <c r="S2718" s="7" t="e">
        <f>IF(VLOOKUP($A2718,'Concrete Beam Schedule'!$A$2:$Q$2902,S$2,0)&lt;&gt;C2718,VLOOKUP($A2718,'Concrete Beam Schedule'!$A$2:$Q$2902,S$2,0),"")</f>
        <v>#N/A</v>
      </c>
      <c r="T2718" s="7" t="e">
        <f>IF(VLOOKUP($A2718,'Concrete Beam Schedule'!$A$2:$Q$2902,T$2,0)&lt;&gt;D2718,"Beam Revised","")</f>
        <v>#N/A</v>
      </c>
      <c r="U2718" s="7" t="e">
        <f>IF(VLOOKUP($A2718,'Concrete Beam Schedule'!$A$2:$Q$2902,U$2,0)&lt;&gt;E2718,"Beam Revised","")</f>
        <v>#N/A</v>
      </c>
      <c r="V2718" s="7" t="e">
        <f>IF(VLOOKUP($A2718,'Concrete Beam Schedule'!$A$2:$Q$2902,V$2,0)&lt;&gt;F2718,"Beam Revised","")</f>
        <v>#N/A</v>
      </c>
      <c r="W2718" s="7" t="e">
        <f>IF(VLOOKUP($A2718,'Concrete Beam Schedule'!$A$2:$Q$2902,W$2,0)&lt;&gt;G2718,"Beam Revised","")</f>
        <v>#N/A</v>
      </c>
      <c r="X2718" s="7" t="e">
        <f>IF(VLOOKUP($A2718,'Concrete Beam Schedule'!$A$2:$Q$2902,X$2,0)&lt;&gt;H2718,"Beam Revised","")</f>
        <v>#N/A</v>
      </c>
      <c r="Y2718" s="7" t="e">
        <f>IF(VLOOKUP($A2718,'Concrete Beam Schedule'!$A$2:$Q$2902,Y$2,0)&lt;&gt;I2718,"Beam Revised","")</f>
        <v>#N/A</v>
      </c>
      <c r="Z2718" s="7" t="e">
        <f>IF(VLOOKUP($A2718,'Concrete Beam Schedule'!$A$2:$Q$2902,Z$2,0)&lt;&gt;J2718,"Beam Revised","")</f>
        <v>#N/A</v>
      </c>
      <c r="AA2718" s="7" t="e">
        <f>IF(VLOOKUP($A2718,'Concrete Beam Schedule'!$A$2:$Q$2902,AA$2,0)&lt;&gt;K2718,"Beam Revised","")</f>
        <v>#N/A</v>
      </c>
      <c r="AB2718" s="7" t="e">
        <f>IF(VLOOKUP($A2718,'Concrete Beam Schedule'!$A$2:$Q$2902,AB$2,0)&lt;&gt;L2718,"Beam Revised","")</f>
        <v>#N/A</v>
      </c>
      <c r="AC2718" s="7" t="e">
        <f>IF(VLOOKUP($A2718,'Concrete Beam Schedule'!$A$2:$Q$2902,AC$2,0)&lt;&gt;M2718,"Beam Revised","")</f>
        <v>#N/A</v>
      </c>
      <c r="AD2718" s="7" t="e">
        <f>IF(VLOOKUP($A2718,'Concrete Beam Schedule'!$A$2:$Q$2902,AD$2,0)&lt;&gt;N2718,"Beam Revised","")</f>
        <v>#N/A</v>
      </c>
      <c r="AE2718" s="7" t="e">
        <f>IF(VLOOKUP($A2718,'Concrete Beam Schedule'!$A$2:$Q$2902,AE$2,0)&lt;&gt;O2718,"Beam Revised","")</f>
        <v>#N/A</v>
      </c>
    </row>
    <row r="2719" spans="17:31" ht="20.100000000000001" customHeight="1" x14ac:dyDescent="0.25">
      <c r="Q2719" s="7">
        <f t="shared" si="42"/>
        <v>0</v>
      </c>
      <c r="R2719" s="7" t="e">
        <f>IF(VLOOKUP($A2719,'Concrete Beam Schedule'!$A$2:$Q$2902,R$2,0)&lt;&gt;B2719,VLOOKUP($A2719,'Concrete Beam Schedule'!$A$2:$Q$2902,R$2,0),"")</f>
        <v>#N/A</v>
      </c>
      <c r="S2719" s="7" t="e">
        <f>IF(VLOOKUP($A2719,'Concrete Beam Schedule'!$A$2:$Q$2902,S$2,0)&lt;&gt;C2719,VLOOKUP($A2719,'Concrete Beam Schedule'!$A$2:$Q$2902,S$2,0),"")</f>
        <v>#N/A</v>
      </c>
      <c r="T2719" s="7" t="e">
        <f>IF(VLOOKUP($A2719,'Concrete Beam Schedule'!$A$2:$Q$2902,T$2,0)&lt;&gt;D2719,"Beam Revised","")</f>
        <v>#N/A</v>
      </c>
      <c r="U2719" s="7" t="e">
        <f>IF(VLOOKUP($A2719,'Concrete Beam Schedule'!$A$2:$Q$2902,U$2,0)&lt;&gt;E2719,"Beam Revised","")</f>
        <v>#N/A</v>
      </c>
      <c r="V2719" s="7" t="e">
        <f>IF(VLOOKUP($A2719,'Concrete Beam Schedule'!$A$2:$Q$2902,V$2,0)&lt;&gt;F2719,"Beam Revised","")</f>
        <v>#N/A</v>
      </c>
      <c r="W2719" s="7" t="e">
        <f>IF(VLOOKUP($A2719,'Concrete Beam Schedule'!$A$2:$Q$2902,W$2,0)&lt;&gt;G2719,"Beam Revised","")</f>
        <v>#N/A</v>
      </c>
      <c r="X2719" s="7" t="e">
        <f>IF(VLOOKUP($A2719,'Concrete Beam Schedule'!$A$2:$Q$2902,X$2,0)&lt;&gt;H2719,"Beam Revised","")</f>
        <v>#N/A</v>
      </c>
      <c r="Y2719" s="7" t="e">
        <f>IF(VLOOKUP($A2719,'Concrete Beam Schedule'!$A$2:$Q$2902,Y$2,0)&lt;&gt;I2719,"Beam Revised","")</f>
        <v>#N/A</v>
      </c>
      <c r="Z2719" s="7" t="e">
        <f>IF(VLOOKUP($A2719,'Concrete Beam Schedule'!$A$2:$Q$2902,Z$2,0)&lt;&gt;J2719,"Beam Revised","")</f>
        <v>#N/A</v>
      </c>
      <c r="AA2719" s="7" t="e">
        <f>IF(VLOOKUP($A2719,'Concrete Beam Schedule'!$A$2:$Q$2902,AA$2,0)&lt;&gt;K2719,"Beam Revised","")</f>
        <v>#N/A</v>
      </c>
      <c r="AB2719" s="7" t="e">
        <f>IF(VLOOKUP($A2719,'Concrete Beam Schedule'!$A$2:$Q$2902,AB$2,0)&lt;&gt;L2719,"Beam Revised","")</f>
        <v>#N/A</v>
      </c>
      <c r="AC2719" s="7" t="e">
        <f>IF(VLOOKUP($A2719,'Concrete Beam Schedule'!$A$2:$Q$2902,AC$2,0)&lt;&gt;M2719,"Beam Revised","")</f>
        <v>#N/A</v>
      </c>
      <c r="AD2719" s="7" t="e">
        <f>IF(VLOOKUP($A2719,'Concrete Beam Schedule'!$A$2:$Q$2902,AD$2,0)&lt;&gt;N2719,"Beam Revised","")</f>
        <v>#N/A</v>
      </c>
      <c r="AE2719" s="7" t="e">
        <f>IF(VLOOKUP($A2719,'Concrete Beam Schedule'!$A$2:$Q$2902,AE$2,0)&lt;&gt;O2719,"Beam Revised","")</f>
        <v>#N/A</v>
      </c>
    </row>
    <row r="2720" spans="17:31" ht="20.100000000000001" customHeight="1" x14ac:dyDescent="0.25">
      <c r="Q2720" s="7">
        <f t="shared" si="42"/>
        <v>0</v>
      </c>
      <c r="R2720" s="7" t="e">
        <f>IF(VLOOKUP($A2720,'Concrete Beam Schedule'!$A$2:$Q$2902,R$2,0)&lt;&gt;B2720,VLOOKUP($A2720,'Concrete Beam Schedule'!$A$2:$Q$2902,R$2,0),"")</f>
        <v>#N/A</v>
      </c>
      <c r="S2720" s="7" t="e">
        <f>IF(VLOOKUP($A2720,'Concrete Beam Schedule'!$A$2:$Q$2902,S$2,0)&lt;&gt;C2720,VLOOKUP($A2720,'Concrete Beam Schedule'!$A$2:$Q$2902,S$2,0),"")</f>
        <v>#N/A</v>
      </c>
      <c r="T2720" s="7" t="e">
        <f>IF(VLOOKUP($A2720,'Concrete Beam Schedule'!$A$2:$Q$2902,T$2,0)&lt;&gt;D2720,"Beam Revised","")</f>
        <v>#N/A</v>
      </c>
      <c r="U2720" s="7" t="e">
        <f>IF(VLOOKUP($A2720,'Concrete Beam Schedule'!$A$2:$Q$2902,U$2,0)&lt;&gt;E2720,"Beam Revised","")</f>
        <v>#N/A</v>
      </c>
      <c r="V2720" s="7" t="e">
        <f>IF(VLOOKUP($A2720,'Concrete Beam Schedule'!$A$2:$Q$2902,V$2,0)&lt;&gt;F2720,"Beam Revised","")</f>
        <v>#N/A</v>
      </c>
      <c r="W2720" s="7" t="e">
        <f>IF(VLOOKUP($A2720,'Concrete Beam Schedule'!$A$2:$Q$2902,W$2,0)&lt;&gt;G2720,"Beam Revised","")</f>
        <v>#N/A</v>
      </c>
      <c r="X2720" s="7" t="e">
        <f>IF(VLOOKUP($A2720,'Concrete Beam Schedule'!$A$2:$Q$2902,X$2,0)&lt;&gt;H2720,"Beam Revised","")</f>
        <v>#N/A</v>
      </c>
      <c r="Y2720" s="7" t="e">
        <f>IF(VLOOKUP($A2720,'Concrete Beam Schedule'!$A$2:$Q$2902,Y$2,0)&lt;&gt;I2720,"Beam Revised","")</f>
        <v>#N/A</v>
      </c>
      <c r="Z2720" s="7" t="e">
        <f>IF(VLOOKUP($A2720,'Concrete Beam Schedule'!$A$2:$Q$2902,Z$2,0)&lt;&gt;J2720,"Beam Revised","")</f>
        <v>#N/A</v>
      </c>
      <c r="AA2720" s="7" t="e">
        <f>IF(VLOOKUP($A2720,'Concrete Beam Schedule'!$A$2:$Q$2902,AA$2,0)&lt;&gt;K2720,"Beam Revised","")</f>
        <v>#N/A</v>
      </c>
      <c r="AB2720" s="7" t="e">
        <f>IF(VLOOKUP($A2720,'Concrete Beam Schedule'!$A$2:$Q$2902,AB$2,0)&lt;&gt;L2720,"Beam Revised","")</f>
        <v>#N/A</v>
      </c>
      <c r="AC2720" s="7" t="e">
        <f>IF(VLOOKUP($A2720,'Concrete Beam Schedule'!$A$2:$Q$2902,AC$2,0)&lt;&gt;M2720,"Beam Revised","")</f>
        <v>#N/A</v>
      </c>
      <c r="AD2720" s="7" t="e">
        <f>IF(VLOOKUP($A2720,'Concrete Beam Schedule'!$A$2:$Q$2902,AD$2,0)&lt;&gt;N2720,"Beam Revised","")</f>
        <v>#N/A</v>
      </c>
      <c r="AE2720" s="7" t="e">
        <f>IF(VLOOKUP($A2720,'Concrete Beam Schedule'!$A$2:$Q$2902,AE$2,0)&lt;&gt;O2720,"Beam Revised","")</f>
        <v>#N/A</v>
      </c>
    </row>
    <row r="2721" spans="17:31" ht="20.100000000000001" customHeight="1" x14ac:dyDescent="0.25">
      <c r="Q2721" s="7">
        <f t="shared" si="42"/>
        <v>0</v>
      </c>
      <c r="R2721" s="7" t="e">
        <f>IF(VLOOKUP($A2721,'Concrete Beam Schedule'!$A$2:$Q$2902,R$2,0)&lt;&gt;B2721,VLOOKUP($A2721,'Concrete Beam Schedule'!$A$2:$Q$2902,R$2,0),"")</f>
        <v>#N/A</v>
      </c>
      <c r="S2721" s="7" t="e">
        <f>IF(VLOOKUP($A2721,'Concrete Beam Schedule'!$A$2:$Q$2902,S$2,0)&lt;&gt;C2721,VLOOKUP($A2721,'Concrete Beam Schedule'!$A$2:$Q$2902,S$2,0),"")</f>
        <v>#N/A</v>
      </c>
      <c r="T2721" s="7" t="e">
        <f>IF(VLOOKUP($A2721,'Concrete Beam Schedule'!$A$2:$Q$2902,T$2,0)&lt;&gt;D2721,"Beam Revised","")</f>
        <v>#N/A</v>
      </c>
      <c r="U2721" s="7" t="e">
        <f>IF(VLOOKUP($A2721,'Concrete Beam Schedule'!$A$2:$Q$2902,U$2,0)&lt;&gt;E2721,"Beam Revised","")</f>
        <v>#N/A</v>
      </c>
      <c r="V2721" s="7" t="e">
        <f>IF(VLOOKUP($A2721,'Concrete Beam Schedule'!$A$2:$Q$2902,V$2,0)&lt;&gt;F2721,"Beam Revised","")</f>
        <v>#N/A</v>
      </c>
      <c r="W2721" s="7" t="e">
        <f>IF(VLOOKUP($A2721,'Concrete Beam Schedule'!$A$2:$Q$2902,W$2,0)&lt;&gt;G2721,"Beam Revised","")</f>
        <v>#N/A</v>
      </c>
      <c r="X2721" s="7" t="e">
        <f>IF(VLOOKUP($A2721,'Concrete Beam Schedule'!$A$2:$Q$2902,X$2,0)&lt;&gt;H2721,"Beam Revised","")</f>
        <v>#N/A</v>
      </c>
      <c r="Y2721" s="7" t="e">
        <f>IF(VLOOKUP($A2721,'Concrete Beam Schedule'!$A$2:$Q$2902,Y$2,0)&lt;&gt;I2721,"Beam Revised","")</f>
        <v>#N/A</v>
      </c>
      <c r="Z2721" s="7" t="e">
        <f>IF(VLOOKUP($A2721,'Concrete Beam Schedule'!$A$2:$Q$2902,Z$2,0)&lt;&gt;J2721,"Beam Revised","")</f>
        <v>#N/A</v>
      </c>
      <c r="AA2721" s="7" t="e">
        <f>IF(VLOOKUP($A2721,'Concrete Beam Schedule'!$A$2:$Q$2902,AA$2,0)&lt;&gt;K2721,"Beam Revised","")</f>
        <v>#N/A</v>
      </c>
      <c r="AB2721" s="7" t="e">
        <f>IF(VLOOKUP($A2721,'Concrete Beam Schedule'!$A$2:$Q$2902,AB$2,0)&lt;&gt;L2721,"Beam Revised","")</f>
        <v>#N/A</v>
      </c>
      <c r="AC2721" s="7" t="e">
        <f>IF(VLOOKUP($A2721,'Concrete Beam Schedule'!$A$2:$Q$2902,AC$2,0)&lt;&gt;M2721,"Beam Revised","")</f>
        <v>#N/A</v>
      </c>
      <c r="AD2721" s="7" t="e">
        <f>IF(VLOOKUP($A2721,'Concrete Beam Schedule'!$A$2:$Q$2902,AD$2,0)&lt;&gt;N2721,"Beam Revised","")</f>
        <v>#N/A</v>
      </c>
      <c r="AE2721" s="7" t="e">
        <f>IF(VLOOKUP($A2721,'Concrete Beam Schedule'!$A$2:$Q$2902,AE$2,0)&lt;&gt;O2721,"Beam Revised","")</f>
        <v>#N/A</v>
      </c>
    </row>
    <row r="2722" spans="17:31" ht="20.100000000000001" customHeight="1" x14ac:dyDescent="0.25">
      <c r="Q2722" s="7">
        <f t="shared" si="42"/>
        <v>0</v>
      </c>
      <c r="R2722" s="7" t="e">
        <f>IF(VLOOKUP($A2722,'Concrete Beam Schedule'!$A$2:$Q$2902,R$2,0)&lt;&gt;B2722,VLOOKUP($A2722,'Concrete Beam Schedule'!$A$2:$Q$2902,R$2,0),"")</f>
        <v>#N/A</v>
      </c>
      <c r="S2722" s="7" t="e">
        <f>IF(VLOOKUP($A2722,'Concrete Beam Schedule'!$A$2:$Q$2902,S$2,0)&lt;&gt;C2722,VLOOKUP($A2722,'Concrete Beam Schedule'!$A$2:$Q$2902,S$2,0),"")</f>
        <v>#N/A</v>
      </c>
      <c r="T2722" s="7" t="e">
        <f>IF(VLOOKUP($A2722,'Concrete Beam Schedule'!$A$2:$Q$2902,T$2,0)&lt;&gt;D2722,"Beam Revised","")</f>
        <v>#N/A</v>
      </c>
      <c r="U2722" s="7" t="e">
        <f>IF(VLOOKUP($A2722,'Concrete Beam Schedule'!$A$2:$Q$2902,U$2,0)&lt;&gt;E2722,"Beam Revised","")</f>
        <v>#N/A</v>
      </c>
      <c r="V2722" s="7" t="e">
        <f>IF(VLOOKUP($A2722,'Concrete Beam Schedule'!$A$2:$Q$2902,V$2,0)&lt;&gt;F2722,"Beam Revised","")</f>
        <v>#N/A</v>
      </c>
      <c r="W2722" s="7" t="e">
        <f>IF(VLOOKUP($A2722,'Concrete Beam Schedule'!$A$2:$Q$2902,W$2,0)&lt;&gt;G2722,"Beam Revised","")</f>
        <v>#N/A</v>
      </c>
      <c r="X2722" s="7" t="e">
        <f>IF(VLOOKUP($A2722,'Concrete Beam Schedule'!$A$2:$Q$2902,X$2,0)&lt;&gt;H2722,"Beam Revised","")</f>
        <v>#N/A</v>
      </c>
      <c r="Y2722" s="7" t="e">
        <f>IF(VLOOKUP($A2722,'Concrete Beam Schedule'!$A$2:$Q$2902,Y$2,0)&lt;&gt;I2722,"Beam Revised","")</f>
        <v>#N/A</v>
      </c>
      <c r="Z2722" s="7" t="e">
        <f>IF(VLOOKUP($A2722,'Concrete Beam Schedule'!$A$2:$Q$2902,Z$2,0)&lt;&gt;J2722,"Beam Revised","")</f>
        <v>#N/A</v>
      </c>
      <c r="AA2722" s="7" t="e">
        <f>IF(VLOOKUP($A2722,'Concrete Beam Schedule'!$A$2:$Q$2902,AA$2,0)&lt;&gt;K2722,"Beam Revised","")</f>
        <v>#N/A</v>
      </c>
      <c r="AB2722" s="7" t="e">
        <f>IF(VLOOKUP($A2722,'Concrete Beam Schedule'!$A$2:$Q$2902,AB$2,0)&lt;&gt;L2722,"Beam Revised","")</f>
        <v>#N/A</v>
      </c>
      <c r="AC2722" s="7" t="e">
        <f>IF(VLOOKUP($A2722,'Concrete Beam Schedule'!$A$2:$Q$2902,AC$2,0)&lt;&gt;M2722,"Beam Revised","")</f>
        <v>#N/A</v>
      </c>
      <c r="AD2722" s="7" t="e">
        <f>IF(VLOOKUP($A2722,'Concrete Beam Schedule'!$A$2:$Q$2902,AD$2,0)&lt;&gt;N2722,"Beam Revised","")</f>
        <v>#N/A</v>
      </c>
      <c r="AE2722" s="7" t="e">
        <f>IF(VLOOKUP($A2722,'Concrete Beam Schedule'!$A$2:$Q$2902,AE$2,0)&lt;&gt;O2722,"Beam Revised","")</f>
        <v>#N/A</v>
      </c>
    </row>
    <row r="2723" spans="17:31" ht="20.100000000000001" customHeight="1" x14ac:dyDescent="0.25">
      <c r="Q2723" s="7">
        <f t="shared" si="42"/>
        <v>0</v>
      </c>
      <c r="R2723" s="7" t="e">
        <f>IF(VLOOKUP($A2723,'Concrete Beam Schedule'!$A$2:$Q$2902,R$2,0)&lt;&gt;B2723,VLOOKUP($A2723,'Concrete Beam Schedule'!$A$2:$Q$2902,R$2,0),"")</f>
        <v>#N/A</v>
      </c>
      <c r="S2723" s="7" t="e">
        <f>IF(VLOOKUP($A2723,'Concrete Beam Schedule'!$A$2:$Q$2902,S$2,0)&lt;&gt;C2723,VLOOKUP($A2723,'Concrete Beam Schedule'!$A$2:$Q$2902,S$2,0),"")</f>
        <v>#N/A</v>
      </c>
      <c r="T2723" s="7" t="e">
        <f>IF(VLOOKUP($A2723,'Concrete Beam Schedule'!$A$2:$Q$2902,T$2,0)&lt;&gt;D2723,"Beam Revised","")</f>
        <v>#N/A</v>
      </c>
      <c r="U2723" s="7" t="e">
        <f>IF(VLOOKUP($A2723,'Concrete Beam Schedule'!$A$2:$Q$2902,U$2,0)&lt;&gt;E2723,"Beam Revised","")</f>
        <v>#N/A</v>
      </c>
      <c r="V2723" s="7" t="e">
        <f>IF(VLOOKUP($A2723,'Concrete Beam Schedule'!$A$2:$Q$2902,V$2,0)&lt;&gt;F2723,"Beam Revised","")</f>
        <v>#N/A</v>
      </c>
      <c r="W2723" s="7" t="e">
        <f>IF(VLOOKUP($A2723,'Concrete Beam Schedule'!$A$2:$Q$2902,W$2,0)&lt;&gt;G2723,"Beam Revised","")</f>
        <v>#N/A</v>
      </c>
      <c r="X2723" s="7" t="e">
        <f>IF(VLOOKUP($A2723,'Concrete Beam Schedule'!$A$2:$Q$2902,X$2,0)&lt;&gt;H2723,"Beam Revised","")</f>
        <v>#N/A</v>
      </c>
      <c r="Y2723" s="7" t="e">
        <f>IF(VLOOKUP($A2723,'Concrete Beam Schedule'!$A$2:$Q$2902,Y$2,0)&lt;&gt;I2723,"Beam Revised","")</f>
        <v>#N/A</v>
      </c>
      <c r="Z2723" s="7" t="e">
        <f>IF(VLOOKUP($A2723,'Concrete Beam Schedule'!$A$2:$Q$2902,Z$2,0)&lt;&gt;J2723,"Beam Revised","")</f>
        <v>#N/A</v>
      </c>
      <c r="AA2723" s="7" t="e">
        <f>IF(VLOOKUP($A2723,'Concrete Beam Schedule'!$A$2:$Q$2902,AA$2,0)&lt;&gt;K2723,"Beam Revised","")</f>
        <v>#N/A</v>
      </c>
      <c r="AB2723" s="7" t="e">
        <f>IF(VLOOKUP($A2723,'Concrete Beam Schedule'!$A$2:$Q$2902,AB$2,0)&lt;&gt;L2723,"Beam Revised","")</f>
        <v>#N/A</v>
      </c>
      <c r="AC2723" s="7" t="e">
        <f>IF(VLOOKUP($A2723,'Concrete Beam Schedule'!$A$2:$Q$2902,AC$2,0)&lt;&gt;M2723,"Beam Revised","")</f>
        <v>#N/A</v>
      </c>
      <c r="AD2723" s="7" t="e">
        <f>IF(VLOOKUP($A2723,'Concrete Beam Schedule'!$A$2:$Q$2902,AD$2,0)&lt;&gt;N2723,"Beam Revised","")</f>
        <v>#N/A</v>
      </c>
      <c r="AE2723" s="7" t="e">
        <f>IF(VLOOKUP($A2723,'Concrete Beam Schedule'!$A$2:$Q$2902,AE$2,0)&lt;&gt;O2723,"Beam Revised","")</f>
        <v>#N/A</v>
      </c>
    </row>
    <row r="2724" spans="17:31" ht="20.100000000000001" customHeight="1" x14ac:dyDescent="0.25">
      <c r="Q2724" s="7">
        <f t="shared" si="42"/>
        <v>0</v>
      </c>
      <c r="R2724" s="7" t="e">
        <f>IF(VLOOKUP($A2724,'Concrete Beam Schedule'!$A$2:$Q$2902,R$2,0)&lt;&gt;B2724,VLOOKUP($A2724,'Concrete Beam Schedule'!$A$2:$Q$2902,R$2,0),"")</f>
        <v>#N/A</v>
      </c>
      <c r="S2724" s="7" t="e">
        <f>IF(VLOOKUP($A2724,'Concrete Beam Schedule'!$A$2:$Q$2902,S$2,0)&lt;&gt;C2724,VLOOKUP($A2724,'Concrete Beam Schedule'!$A$2:$Q$2902,S$2,0),"")</f>
        <v>#N/A</v>
      </c>
      <c r="T2724" s="7" t="e">
        <f>IF(VLOOKUP($A2724,'Concrete Beam Schedule'!$A$2:$Q$2902,T$2,0)&lt;&gt;D2724,"Beam Revised","")</f>
        <v>#N/A</v>
      </c>
      <c r="U2724" s="7" t="e">
        <f>IF(VLOOKUP($A2724,'Concrete Beam Schedule'!$A$2:$Q$2902,U$2,0)&lt;&gt;E2724,"Beam Revised","")</f>
        <v>#N/A</v>
      </c>
      <c r="V2724" s="7" t="e">
        <f>IF(VLOOKUP($A2724,'Concrete Beam Schedule'!$A$2:$Q$2902,V$2,0)&lt;&gt;F2724,"Beam Revised","")</f>
        <v>#N/A</v>
      </c>
      <c r="W2724" s="7" t="e">
        <f>IF(VLOOKUP($A2724,'Concrete Beam Schedule'!$A$2:$Q$2902,W$2,0)&lt;&gt;G2724,"Beam Revised","")</f>
        <v>#N/A</v>
      </c>
      <c r="X2724" s="7" t="e">
        <f>IF(VLOOKUP($A2724,'Concrete Beam Schedule'!$A$2:$Q$2902,X$2,0)&lt;&gt;H2724,"Beam Revised","")</f>
        <v>#N/A</v>
      </c>
      <c r="Y2724" s="7" t="e">
        <f>IF(VLOOKUP($A2724,'Concrete Beam Schedule'!$A$2:$Q$2902,Y$2,0)&lt;&gt;I2724,"Beam Revised","")</f>
        <v>#N/A</v>
      </c>
      <c r="Z2724" s="7" t="e">
        <f>IF(VLOOKUP($A2724,'Concrete Beam Schedule'!$A$2:$Q$2902,Z$2,0)&lt;&gt;J2724,"Beam Revised","")</f>
        <v>#N/A</v>
      </c>
      <c r="AA2724" s="7" t="e">
        <f>IF(VLOOKUP($A2724,'Concrete Beam Schedule'!$A$2:$Q$2902,AA$2,0)&lt;&gt;K2724,"Beam Revised","")</f>
        <v>#N/A</v>
      </c>
      <c r="AB2724" s="7" t="e">
        <f>IF(VLOOKUP($A2724,'Concrete Beam Schedule'!$A$2:$Q$2902,AB$2,0)&lt;&gt;L2724,"Beam Revised","")</f>
        <v>#N/A</v>
      </c>
      <c r="AC2724" s="7" t="e">
        <f>IF(VLOOKUP($A2724,'Concrete Beam Schedule'!$A$2:$Q$2902,AC$2,0)&lt;&gt;M2724,"Beam Revised","")</f>
        <v>#N/A</v>
      </c>
      <c r="AD2724" s="7" t="e">
        <f>IF(VLOOKUP($A2724,'Concrete Beam Schedule'!$A$2:$Q$2902,AD$2,0)&lt;&gt;N2724,"Beam Revised","")</f>
        <v>#N/A</v>
      </c>
      <c r="AE2724" s="7" t="e">
        <f>IF(VLOOKUP($A2724,'Concrete Beam Schedule'!$A$2:$Q$2902,AE$2,0)&lt;&gt;O2724,"Beam Revised","")</f>
        <v>#N/A</v>
      </c>
    </row>
    <row r="2725" spans="17:31" ht="20.100000000000001" customHeight="1" x14ac:dyDescent="0.25">
      <c r="Q2725" s="7">
        <f t="shared" si="42"/>
        <v>0</v>
      </c>
      <c r="R2725" s="7" t="e">
        <f>IF(VLOOKUP($A2725,'Concrete Beam Schedule'!$A$2:$Q$2902,R$2,0)&lt;&gt;B2725,VLOOKUP($A2725,'Concrete Beam Schedule'!$A$2:$Q$2902,R$2,0),"")</f>
        <v>#N/A</v>
      </c>
      <c r="S2725" s="7" t="e">
        <f>IF(VLOOKUP($A2725,'Concrete Beam Schedule'!$A$2:$Q$2902,S$2,0)&lt;&gt;C2725,VLOOKUP($A2725,'Concrete Beam Schedule'!$A$2:$Q$2902,S$2,0),"")</f>
        <v>#N/A</v>
      </c>
      <c r="T2725" s="7" t="e">
        <f>IF(VLOOKUP($A2725,'Concrete Beam Schedule'!$A$2:$Q$2902,T$2,0)&lt;&gt;D2725,"Beam Revised","")</f>
        <v>#N/A</v>
      </c>
      <c r="U2725" s="7" t="e">
        <f>IF(VLOOKUP($A2725,'Concrete Beam Schedule'!$A$2:$Q$2902,U$2,0)&lt;&gt;E2725,"Beam Revised","")</f>
        <v>#N/A</v>
      </c>
      <c r="V2725" s="7" t="e">
        <f>IF(VLOOKUP($A2725,'Concrete Beam Schedule'!$A$2:$Q$2902,V$2,0)&lt;&gt;F2725,"Beam Revised","")</f>
        <v>#N/A</v>
      </c>
      <c r="W2725" s="7" t="e">
        <f>IF(VLOOKUP($A2725,'Concrete Beam Schedule'!$A$2:$Q$2902,W$2,0)&lt;&gt;G2725,"Beam Revised","")</f>
        <v>#N/A</v>
      </c>
      <c r="X2725" s="7" t="e">
        <f>IF(VLOOKUP($A2725,'Concrete Beam Schedule'!$A$2:$Q$2902,X$2,0)&lt;&gt;H2725,"Beam Revised","")</f>
        <v>#N/A</v>
      </c>
      <c r="Y2725" s="7" t="e">
        <f>IF(VLOOKUP($A2725,'Concrete Beam Schedule'!$A$2:$Q$2902,Y$2,0)&lt;&gt;I2725,"Beam Revised","")</f>
        <v>#N/A</v>
      </c>
      <c r="Z2725" s="7" t="e">
        <f>IF(VLOOKUP($A2725,'Concrete Beam Schedule'!$A$2:$Q$2902,Z$2,0)&lt;&gt;J2725,"Beam Revised","")</f>
        <v>#N/A</v>
      </c>
      <c r="AA2725" s="7" t="e">
        <f>IF(VLOOKUP($A2725,'Concrete Beam Schedule'!$A$2:$Q$2902,AA$2,0)&lt;&gt;K2725,"Beam Revised","")</f>
        <v>#N/A</v>
      </c>
      <c r="AB2725" s="7" t="e">
        <f>IF(VLOOKUP($A2725,'Concrete Beam Schedule'!$A$2:$Q$2902,AB$2,0)&lt;&gt;L2725,"Beam Revised","")</f>
        <v>#N/A</v>
      </c>
      <c r="AC2725" s="7" t="e">
        <f>IF(VLOOKUP($A2725,'Concrete Beam Schedule'!$A$2:$Q$2902,AC$2,0)&lt;&gt;M2725,"Beam Revised","")</f>
        <v>#N/A</v>
      </c>
      <c r="AD2725" s="7" t="e">
        <f>IF(VLOOKUP($A2725,'Concrete Beam Schedule'!$A$2:$Q$2902,AD$2,0)&lt;&gt;N2725,"Beam Revised","")</f>
        <v>#N/A</v>
      </c>
      <c r="AE2725" s="7" t="e">
        <f>IF(VLOOKUP($A2725,'Concrete Beam Schedule'!$A$2:$Q$2902,AE$2,0)&lt;&gt;O2725,"Beam Revised","")</f>
        <v>#N/A</v>
      </c>
    </row>
    <row r="2726" spans="17:31" ht="20.100000000000001" customHeight="1" x14ac:dyDescent="0.25">
      <c r="Q2726" s="7">
        <f t="shared" si="42"/>
        <v>0</v>
      </c>
      <c r="R2726" s="7" t="e">
        <f>IF(VLOOKUP($A2726,'Concrete Beam Schedule'!$A$2:$Q$2902,R$2,0)&lt;&gt;B2726,VLOOKUP($A2726,'Concrete Beam Schedule'!$A$2:$Q$2902,R$2,0),"")</f>
        <v>#N/A</v>
      </c>
      <c r="S2726" s="7" t="e">
        <f>IF(VLOOKUP($A2726,'Concrete Beam Schedule'!$A$2:$Q$2902,S$2,0)&lt;&gt;C2726,VLOOKUP($A2726,'Concrete Beam Schedule'!$A$2:$Q$2902,S$2,0),"")</f>
        <v>#N/A</v>
      </c>
      <c r="T2726" s="7" t="e">
        <f>IF(VLOOKUP($A2726,'Concrete Beam Schedule'!$A$2:$Q$2902,T$2,0)&lt;&gt;D2726,"Beam Revised","")</f>
        <v>#N/A</v>
      </c>
      <c r="U2726" s="7" t="e">
        <f>IF(VLOOKUP($A2726,'Concrete Beam Schedule'!$A$2:$Q$2902,U$2,0)&lt;&gt;E2726,"Beam Revised","")</f>
        <v>#N/A</v>
      </c>
      <c r="V2726" s="7" t="e">
        <f>IF(VLOOKUP($A2726,'Concrete Beam Schedule'!$A$2:$Q$2902,V$2,0)&lt;&gt;F2726,"Beam Revised","")</f>
        <v>#N/A</v>
      </c>
      <c r="W2726" s="7" t="e">
        <f>IF(VLOOKUP($A2726,'Concrete Beam Schedule'!$A$2:$Q$2902,W$2,0)&lt;&gt;G2726,"Beam Revised","")</f>
        <v>#N/A</v>
      </c>
      <c r="X2726" s="7" t="e">
        <f>IF(VLOOKUP($A2726,'Concrete Beam Schedule'!$A$2:$Q$2902,X$2,0)&lt;&gt;H2726,"Beam Revised","")</f>
        <v>#N/A</v>
      </c>
      <c r="Y2726" s="7" t="e">
        <f>IF(VLOOKUP($A2726,'Concrete Beam Schedule'!$A$2:$Q$2902,Y$2,0)&lt;&gt;I2726,"Beam Revised","")</f>
        <v>#N/A</v>
      </c>
      <c r="Z2726" s="7" t="e">
        <f>IF(VLOOKUP($A2726,'Concrete Beam Schedule'!$A$2:$Q$2902,Z$2,0)&lt;&gt;J2726,"Beam Revised","")</f>
        <v>#N/A</v>
      </c>
      <c r="AA2726" s="7" t="e">
        <f>IF(VLOOKUP($A2726,'Concrete Beam Schedule'!$A$2:$Q$2902,AA$2,0)&lt;&gt;K2726,"Beam Revised","")</f>
        <v>#N/A</v>
      </c>
      <c r="AB2726" s="7" t="e">
        <f>IF(VLOOKUP($A2726,'Concrete Beam Schedule'!$A$2:$Q$2902,AB$2,0)&lt;&gt;L2726,"Beam Revised","")</f>
        <v>#N/A</v>
      </c>
      <c r="AC2726" s="7" t="e">
        <f>IF(VLOOKUP($A2726,'Concrete Beam Schedule'!$A$2:$Q$2902,AC$2,0)&lt;&gt;M2726,"Beam Revised","")</f>
        <v>#N/A</v>
      </c>
      <c r="AD2726" s="7" t="e">
        <f>IF(VLOOKUP($A2726,'Concrete Beam Schedule'!$A$2:$Q$2902,AD$2,0)&lt;&gt;N2726,"Beam Revised","")</f>
        <v>#N/A</v>
      </c>
      <c r="AE2726" s="7" t="e">
        <f>IF(VLOOKUP($A2726,'Concrete Beam Schedule'!$A$2:$Q$2902,AE$2,0)&lt;&gt;O2726,"Beam Revised","")</f>
        <v>#N/A</v>
      </c>
    </row>
    <row r="2727" spans="17:31" ht="20.100000000000001" customHeight="1" x14ac:dyDescent="0.25">
      <c r="Q2727" s="7">
        <f t="shared" si="42"/>
        <v>0</v>
      </c>
      <c r="R2727" s="7" t="e">
        <f>IF(VLOOKUP($A2727,'Concrete Beam Schedule'!$A$2:$Q$2902,R$2,0)&lt;&gt;B2727,VLOOKUP($A2727,'Concrete Beam Schedule'!$A$2:$Q$2902,R$2,0),"")</f>
        <v>#N/A</v>
      </c>
      <c r="S2727" s="7" t="e">
        <f>IF(VLOOKUP($A2727,'Concrete Beam Schedule'!$A$2:$Q$2902,S$2,0)&lt;&gt;C2727,VLOOKUP($A2727,'Concrete Beam Schedule'!$A$2:$Q$2902,S$2,0),"")</f>
        <v>#N/A</v>
      </c>
      <c r="T2727" s="7" t="e">
        <f>IF(VLOOKUP($A2727,'Concrete Beam Schedule'!$A$2:$Q$2902,T$2,0)&lt;&gt;D2727,"Beam Revised","")</f>
        <v>#N/A</v>
      </c>
      <c r="U2727" s="7" t="e">
        <f>IF(VLOOKUP($A2727,'Concrete Beam Schedule'!$A$2:$Q$2902,U$2,0)&lt;&gt;E2727,"Beam Revised","")</f>
        <v>#N/A</v>
      </c>
      <c r="V2727" s="7" t="e">
        <f>IF(VLOOKUP($A2727,'Concrete Beam Schedule'!$A$2:$Q$2902,V$2,0)&lt;&gt;F2727,"Beam Revised","")</f>
        <v>#N/A</v>
      </c>
      <c r="W2727" s="7" t="e">
        <f>IF(VLOOKUP($A2727,'Concrete Beam Schedule'!$A$2:$Q$2902,W$2,0)&lt;&gt;G2727,"Beam Revised","")</f>
        <v>#N/A</v>
      </c>
      <c r="X2727" s="7" t="e">
        <f>IF(VLOOKUP($A2727,'Concrete Beam Schedule'!$A$2:$Q$2902,X$2,0)&lt;&gt;H2727,"Beam Revised","")</f>
        <v>#N/A</v>
      </c>
      <c r="Y2727" s="7" t="e">
        <f>IF(VLOOKUP($A2727,'Concrete Beam Schedule'!$A$2:$Q$2902,Y$2,0)&lt;&gt;I2727,"Beam Revised","")</f>
        <v>#N/A</v>
      </c>
      <c r="Z2727" s="7" t="e">
        <f>IF(VLOOKUP($A2727,'Concrete Beam Schedule'!$A$2:$Q$2902,Z$2,0)&lt;&gt;J2727,"Beam Revised","")</f>
        <v>#N/A</v>
      </c>
      <c r="AA2727" s="7" t="e">
        <f>IF(VLOOKUP($A2727,'Concrete Beam Schedule'!$A$2:$Q$2902,AA$2,0)&lt;&gt;K2727,"Beam Revised","")</f>
        <v>#N/A</v>
      </c>
      <c r="AB2727" s="7" t="e">
        <f>IF(VLOOKUP($A2727,'Concrete Beam Schedule'!$A$2:$Q$2902,AB$2,0)&lt;&gt;L2727,"Beam Revised","")</f>
        <v>#N/A</v>
      </c>
      <c r="AC2727" s="7" t="e">
        <f>IF(VLOOKUP($A2727,'Concrete Beam Schedule'!$A$2:$Q$2902,AC$2,0)&lt;&gt;M2727,"Beam Revised","")</f>
        <v>#N/A</v>
      </c>
      <c r="AD2727" s="7" t="e">
        <f>IF(VLOOKUP($A2727,'Concrete Beam Schedule'!$A$2:$Q$2902,AD$2,0)&lt;&gt;N2727,"Beam Revised","")</f>
        <v>#N/A</v>
      </c>
      <c r="AE2727" s="7" t="e">
        <f>IF(VLOOKUP($A2727,'Concrete Beam Schedule'!$A$2:$Q$2902,AE$2,0)&lt;&gt;O2727,"Beam Revised","")</f>
        <v>#N/A</v>
      </c>
    </row>
    <row r="2728" spans="17:31" ht="20.100000000000001" customHeight="1" x14ac:dyDescent="0.25">
      <c r="Q2728" s="7">
        <f t="shared" si="42"/>
        <v>0</v>
      </c>
      <c r="R2728" s="7" t="e">
        <f>IF(VLOOKUP($A2728,'Concrete Beam Schedule'!$A$2:$Q$2902,R$2,0)&lt;&gt;B2728,VLOOKUP($A2728,'Concrete Beam Schedule'!$A$2:$Q$2902,R$2,0),"")</f>
        <v>#N/A</v>
      </c>
      <c r="S2728" s="7" t="e">
        <f>IF(VLOOKUP($A2728,'Concrete Beam Schedule'!$A$2:$Q$2902,S$2,0)&lt;&gt;C2728,VLOOKUP($A2728,'Concrete Beam Schedule'!$A$2:$Q$2902,S$2,0),"")</f>
        <v>#N/A</v>
      </c>
      <c r="T2728" s="7" t="e">
        <f>IF(VLOOKUP($A2728,'Concrete Beam Schedule'!$A$2:$Q$2902,T$2,0)&lt;&gt;D2728,"Beam Revised","")</f>
        <v>#N/A</v>
      </c>
      <c r="U2728" s="7" t="e">
        <f>IF(VLOOKUP($A2728,'Concrete Beam Schedule'!$A$2:$Q$2902,U$2,0)&lt;&gt;E2728,"Beam Revised","")</f>
        <v>#N/A</v>
      </c>
      <c r="V2728" s="7" t="e">
        <f>IF(VLOOKUP($A2728,'Concrete Beam Schedule'!$A$2:$Q$2902,V$2,0)&lt;&gt;F2728,"Beam Revised","")</f>
        <v>#N/A</v>
      </c>
      <c r="W2728" s="7" t="e">
        <f>IF(VLOOKUP($A2728,'Concrete Beam Schedule'!$A$2:$Q$2902,W$2,0)&lt;&gt;G2728,"Beam Revised","")</f>
        <v>#N/A</v>
      </c>
      <c r="X2728" s="7" t="e">
        <f>IF(VLOOKUP($A2728,'Concrete Beam Schedule'!$A$2:$Q$2902,X$2,0)&lt;&gt;H2728,"Beam Revised","")</f>
        <v>#N/A</v>
      </c>
      <c r="Y2728" s="7" t="e">
        <f>IF(VLOOKUP($A2728,'Concrete Beam Schedule'!$A$2:$Q$2902,Y$2,0)&lt;&gt;I2728,"Beam Revised","")</f>
        <v>#N/A</v>
      </c>
      <c r="Z2728" s="7" t="e">
        <f>IF(VLOOKUP($A2728,'Concrete Beam Schedule'!$A$2:$Q$2902,Z$2,0)&lt;&gt;J2728,"Beam Revised","")</f>
        <v>#N/A</v>
      </c>
      <c r="AA2728" s="7" t="e">
        <f>IF(VLOOKUP($A2728,'Concrete Beam Schedule'!$A$2:$Q$2902,AA$2,0)&lt;&gt;K2728,"Beam Revised","")</f>
        <v>#N/A</v>
      </c>
      <c r="AB2728" s="7" t="e">
        <f>IF(VLOOKUP($A2728,'Concrete Beam Schedule'!$A$2:$Q$2902,AB$2,0)&lt;&gt;L2728,"Beam Revised","")</f>
        <v>#N/A</v>
      </c>
      <c r="AC2728" s="7" t="e">
        <f>IF(VLOOKUP($A2728,'Concrete Beam Schedule'!$A$2:$Q$2902,AC$2,0)&lt;&gt;M2728,"Beam Revised","")</f>
        <v>#N/A</v>
      </c>
      <c r="AD2728" s="7" t="e">
        <f>IF(VLOOKUP($A2728,'Concrete Beam Schedule'!$A$2:$Q$2902,AD$2,0)&lt;&gt;N2728,"Beam Revised","")</f>
        <v>#N/A</v>
      </c>
      <c r="AE2728" s="7" t="e">
        <f>IF(VLOOKUP($A2728,'Concrete Beam Schedule'!$A$2:$Q$2902,AE$2,0)&lt;&gt;O2728,"Beam Revised","")</f>
        <v>#N/A</v>
      </c>
    </row>
    <row r="2729" spans="17:31" ht="20.100000000000001" customHeight="1" x14ac:dyDescent="0.25">
      <c r="Q2729" s="7">
        <f t="shared" si="42"/>
        <v>0</v>
      </c>
      <c r="R2729" s="7" t="e">
        <f>IF(VLOOKUP($A2729,'Concrete Beam Schedule'!$A$2:$Q$2902,R$2,0)&lt;&gt;B2729,VLOOKUP($A2729,'Concrete Beam Schedule'!$A$2:$Q$2902,R$2,0),"")</f>
        <v>#N/A</v>
      </c>
      <c r="S2729" s="7" t="e">
        <f>IF(VLOOKUP($A2729,'Concrete Beam Schedule'!$A$2:$Q$2902,S$2,0)&lt;&gt;C2729,VLOOKUP($A2729,'Concrete Beam Schedule'!$A$2:$Q$2902,S$2,0),"")</f>
        <v>#N/A</v>
      </c>
      <c r="T2729" s="7" t="e">
        <f>IF(VLOOKUP($A2729,'Concrete Beam Schedule'!$A$2:$Q$2902,T$2,0)&lt;&gt;D2729,"Beam Revised","")</f>
        <v>#N/A</v>
      </c>
      <c r="U2729" s="7" t="e">
        <f>IF(VLOOKUP($A2729,'Concrete Beam Schedule'!$A$2:$Q$2902,U$2,0)&lt;&gt;E2729,"Beam Revised","")</f>
        <v>#N/A</v>
      </c>
      <c r="V2729" s="7" t="e">
        <f>IF(VLOOKUP($A2729,'Concrete Beam Schedule'!$A$2:$Q$2902,V$2,0)&lt;&gt;F2729,"Beam Revised","")</f>
        <v>#N/A</v>
      </c>
      <c r="W2729" s="7" t="e">
        <f>IF(VLOOKUP($A2729,'Concrete Beam Schedule'!$A$2:$Q$2902,W$2,0)&lt;&gt;G2729,"Beam Revised","")</f>
        <v>#N/A</v>
      </c>
      <c r="X2729" s="7" t="e">
        <f>IF(VLOOKUP($A2729,'Concrete Beam Schedule'!$A$2:$Q$2902,X$2,0)&lt;&gt;H2729,"Beam Revised","")</f>
        <v>#N/A</v>
      </c>
      <c r="Y2729" s="7" t="e">
        <f>IF(VLOOKUP($A2729,'Concrete Beam Schedule'!$A$2:$Q$2902,Y$2,0)&lt;&gt;I2729,"Beam Revised","")</f>
        <v>#N/A</v>
      </c>
      <c r="Z2729" s="7" t="e">
        <f>IF(VLOOKUP($A2729,'Concrete Beam Schedule'!$A$2:$Q$2902,Z$2,0)&lt;&gt;J2729,"Beam Revised","")</f>
        <v>#N/A</v>
      </c>
      <c r="AA2729" s="7" t="e">
        <f>IF(VLOOKUP($A2729,'Concrete Beam Schedule'!$A$2:$Q$2902,AA$2,0)&lt;&gt;K2729,"Beam Revised","")</f>
        <v>#N/A</v>
      </c>
      <c r="AB2729" s="7" t="e">
        <f>IF(VLOOKUP($A2729,'Concrete Beam Schedule'!$A$2:$Q$2902,AB$2,0)&lt;&gt;L2729,"Beam Revised","")</f>
        <v>#N/A</v>
      </c>
      <c r="AC2729" s="7" t="e">
        <f>IF(VLOOKUP($A2729,'Concrete Beam Schedule'!$A$2:$Q$2902,AC$2,0)&lt;&gt;M2729,"Beam Revised","")</f>
        <v>#N/A</v>
      </c>
      <c r="AD2729" s="7" t="e">
        <f>IF(VLOOKUP($A2729,'Concrete Beam Schedule'!$A$2:$Q$2902,AD$2,0)&lt;&gt;N2729,"Beam Revised","")</f>
        <v>#N/A</v>
      </c>
      <c r="AE2729" s="7" t="e">
        <f>IF(VLOOKUP($A2729,'Concrete Beam Schedule'!$A$2:$Q$2902,AE$2,0)&lt;&gt;O2729,"Beam Revised","")</f>
        <v>#N/A</v>
      </c>
    </row>
    <row r="2730" spans="17:31" ht="20.100000000000001" customHeight="1" x14ac:dyDescent="0.25">
      <c r="Q2730" s="7">
        <f t="shared" si="42"/>
        <v>0</v>
      </c>
      <c r="R2730" s="7" t="e">
        <f>IF(VLOOKUP($A2730,'Concrete Beam Schedule'!$A$2:$Q$2902,R$2,0)&lt;&gt;B2730,VLOOKUP($A2730,'Concrete Beam Schedule'!$A$2:$Q$2902,R$2,0),"")</f>
        <v>#N/A</v>
      </c>
      <c r="S2730" s="7" t="e">
        <f>IF(VLOOKUP($A2730,'Concrete Beam Schedule'!$A$2:$Q$2902,S$2,0)&lt;&gt;C2730,VLOOKUP($A2730,'Concrete Beam Schedule'!$A$2:$Q$2902,S$2,0),"")</f>
        <v>#N/A</v>
      </c>
      <c r="T2730" s="7" t="e">
        <f>IF(VLOOKUP($A2730,'Concrete Beam Schedule'!$A$2:$Q$2902,T$2,0)&lt;&gt;D2730,"Beam Revised","")</f>
        <v>#N/A</v>
      </c>
      <c r="U2730" s="7" t="e">
        <f>IF(VLOOKUP($A2730,'Concrete Beam Schedule'!$A$2:$Q$2902,U$2,0)&lt;&gt;E2730,"Beam Revised","")</f>
        <v>#N/A</v>
      </c>
      <c r="V2730" s="7" t="e">
        <f>IF(VLOOKUP($A2730,'Concrete Beam Schedule'!$A$2:$Q$2902,V$2,0)&lt;&gt;F2730,"Beam Revised","")</f>
        <v>#N/A</v>
      </c>
      <c r="W2730" s="7" t="e">
        <f>IF(VLOOKUP($A2730,'Concrete Beam Schedule'!$A$2:$Q$2902,W$2,0)&lt;&gt;G2730,"Beam Revised","")</f>
        <v>#N/A</v>
      </c>
      <c r="X2730" s="7" t="e">
        <f>IF(VLOOKUP($A2730,'Concrete Beam Schedule'!$A$2:$Q$2902,X$2,0)&lt;&gt;H2730,"Beam Revised","")</f>
        <v>#N/A</v>
      </c>
      <c r="Y2730" s="7" t="e">
        <f>IF(VLOOKUP($A2730,'Concrete Beam Schedule'!$A$2:$Q$2902,Y$2,0)&lt;&gt;I2730,"Beam Revised","")</f>
        <v>#N/A</v>
      </c>
      <c r="Z2730" s="7" t="e">
        <f>IF(VLOOKUP($A2730,'Concrete Beam Schedule'!$A$2:$Q$2902,Z$2,0)&lt;&gt;J2730,"Beam Revised","")</f>
        <v>#N/A</v>
      </c>
      <c r="AA2730" s="7" t="e">
        <f>IF(VLOOKUP($A2730,'Concrete Beam Schedule'!$A$2:$Q$2902,AA$2,0)&lt;&gt;K2730,"Beam Revised","")</f>
        <v>#N/A</v>
      </c>
      <c r="AB2730" s="7" t="e">
        <f>IF(VLOOKUP($A2730,'Concrete Beam Schedule'!$A$2:$Q$2902,AB$2,0)&lt;&gt;L2730,"Beam Revised","")</f>
        <v>#N/A</v>
      </c>
      <c r="AC2730" s="7" t="e">
        <f>IF(VLOOKUP($A2730,'Concrete Beam Schedule'!$A$2:$Q$2902,AC$2,0)&lt;&gt;M2730,"Beam Revised","")</f>
        <v>#N/A</v>
      </c>
      <c r="AD2730" s="7" t="e">
        <f>IF(VLOOKUP($A2730,'Concrete Beam Schedule'!$A$2:$Q$2902,AD$2,0)&lt;&gt;N2730,"Beam Revised","")</f>
        <v>#N/A</v>
      </c>
      <c r="AE2730" s="7" t="e">
        <f>IF(VLOOKUP($A2730,'Concrete Beam Schedule'!$A$2:$Q$2902,AE$2,0)&lt;&gt;O2730,"Beam Revised","")</f>
        <v>#N/A</v>
      </c>
    </row>
    <row r="2731" spans="17:31" ht="20.100000000000001" customHeight="1" x14ac:dyDescent="0.25">
      <c r="Q2731" s="7">
        <f t="shared" si="42"/>
        <v>0</v>
      </c>
      <c r="R2731" s="7" t="e">
        <f>IF(VLOOKUP($A2731,'Concrete Beam Schedule'!$A$2:$Q$2902,R$2,0)&lt;&gt;B2731,VLOOKUP($A2731,'Concrete Beam Schedule'!$A$2:$Q$2902,R$2,0),"")</f>
        <v>#N/A</v>
      </c>
      <c r="S2731" s="7" t="e">
        <f>IF(VLOOKUP($A2731,'Concrete Beam Schedule'!$A$2:$Q$2902,S$2,0)&lt;&gt;C2731,VLOOKUP($A2731,'Concrete Beam Schedule'!$A$2:$Q$2902,S$2,0),"")</f>
        <v>#N/A</v>
      </c>
      <c r="T2731" s="7" t="e">
        <f>IF(VLOOKUP($A2731,'Concrete Beam Schedule'!$A$2:$Q$2902,T$2,0)&lt;&gt;D2731,"Beam Revised","")</f>
        <v>#N/A</v>
      </c>
      <c r="U2731" s="7" t="e">
        <f>IF(VLOOKUP($A2731,'Concrete Beam Schedule'!$A$2:$Q$2902,U$2,0)&lt;&gt;E2731,"Beam Revised","")</f>
        <v>#N/A</v>
      </c>
      <c r="V2731" s="7" t="e">
        <f>IF(VLOOKUP($A2731,'Concrete Beam Schedule'!$A$2:$Q$2902,V$2,0)&lt;&gt;F2731,"Beam Revised","")</f>
        <v>#N/A</v>
      </c>
      <c r="W2731" s="7" t="e">
        <f>IF(VLOOKUP($A2731,'Concrete Beam Schedule'!$A$2:$Q$2902,W$2,0)&lt;&gt;G2731,"Beam Revised","")</f>
        <v>#N/A</v>
      </c>
      <c r="X2731" s="7" t="e">
        <f>IF(VLOOKUP($A2731,'Concrete Beam Schedule'!$A$2:$Q$2902,X$2,0)&lt;&gt;H2731,"Beam Revised","")</f>
        <v>#N/A</v>
      </c>
      <c r="Y2731" s="7" t="e">
        <f>IF(VLOOKUP($A2731,'Concrete Beam Schedule'!$A$2:$Q$2902,Y$2,0)&lt;&gt;I2731,"Beam Revised","")</f>
        <v>#N/A</v>
      </c>
      <c r="Z2731" s="7" t="e">
        <f>IF(VLOOKUP($A2731,'Concrete Beam Schedule'!$A$2:$Q$2902,Z$2,0)&lt;&gt;J2731,"Beam Revised","")</f>
        <v>#N/A</v>
      </c>
      <c r="AA2731" s="7" t="e">
        <f>IF(VLOOKUP($A2731,'Concrete Beam Schedule'!$A$2:$Q$2902,AA$2,0)&lt;&gt;K2731,"Beam Revised","")</f>
        <v>#N/A</v>
      </c>
      <c r="AB2731" s="7" t="e">
        <f>IF(VLOOKUP($A2731,'Concrete Beam Schedule'!$A$2:$Q$2902,AB$2,0)&lt;&gt;L2731,"Beam Revised","")</f>
        <v>#N/A</v>
      </c>
      <c r="AC2731" s="7" t="e">
        <f>IF(VLOOKUP($A2731,'Concrete Beam Schedule'!$A$2:$Q$2902,AC$2,0)&lt;&gt;M2731,"Beam Revised","")</f>
        <v>#N/A</v>
      </c>
      <c r="AD2731" s="7" t="e">
        <f>IF(VLOOKUP($A2731,'Concrete Beam Schedule'!$A$2:$Q$2902,AD$2,0)&lt;&gt;N2731,"Beam Revised","")</f>
        <v>#N/A</v>
      </c>
      <c r="AE2731" s="7" t="e">
        <f>IF(VLOOKUP($A2731,'Concrete Beam Schedule'!$A$2:$Q$2902,AE$2,0)&lt;&gt;O2731,"Beam Revised","")</f>
        <v>#N/A</v>
      </c>
    </row>
    <row r="2732" spans="17:31" ht="20.100000000000001" customHeight="1" x14ac:dyDescent="0.25">
      <c r="Q2732" s="7">
        <f t="shared" si="42"/>
        <v>0</v>
      </c>
      <c r="R2732" s="7" t="e">
        <f>IF(VLOOKUP($A2732,'Concrete Beam Schedule'!$A$2:$Q$2902,R$2,0)&lt;&gt;B2732,VLOOKUP($A2732,'Concrete Beam Schedule'!$A$2:$Q$2902,R$2,0),"")</f>
        <v>#N/A</v>
      </c>
      <c r="S2732" s="7" t="e">
        <f>IF(VLOOKUP($A2732,'Concrete Beam Schedule'!$A$2:$Q$2902,S$2,0)&lt;&gt;C2732,VLOOKUP($A2732,'Concrete Beam Schedule'!$A$2:$Q$2902,S$2,0),"")</f>
        <v>#N/A</v>
      </c>
      <c r="T2732" s="7" t="e">
        <f>IF(VLOOKUP($A2732,'Concrete Beam Schedule'!$A$2:$Q$2902,T$2,0)&lt;&gt;D2732,"Beam Revised","")</f>
        <v>#N/A</v>
      </c>
      <c r="U2732" s="7" t="e">
        <f>IF(VLOOKUP($A2732,'Concrete Beam Schedule'!$A$2:$Q$2902,U$2,0)&lt;&gt;E2732,"Beam Revised","")</f>
        <v>#N/A</v>
      </c>
      <c r="V2732" s="7" t="e">
        <f>IF(VLOOKUP($A2732,'Concrete Beam Schedule'!$A$2:$Q$2902,V$2,0)&lt;&gt;F2732,"Beam Revised","")</f>
        <v>#N/A</v>
      </c>
      <c r="W2732" s="7" t="e">
        <f>IF(VLOOKUP($A2732,'Concrete Beam Schedule'!$A$2:$Q$2902,W$2,0)&lt;&gt;G2732,"Beam Revised","")</f>
        <v>#N/A</v>
      </c>
      <c r="X2732" s="7" t="e">
        <f>IF(VLOOKUP($A2732,'Concrete Beam Schedule'!$A$2:$Q$2902,X$2,0)&lt;&gt;H2732,"Beam Revised","")</f>
        <v>#N/A</v>
      </c>
      <c r="Y2732" s="7" t="e">
        <f>IF(VLOOKUP($A2732,'Concrete Beam Schedule'!$A$2:$Q$2902,Y$2,0)&lt;&gt;I2732,"Beam Revised","")</f>
        <v>#N/A</v>
      </c>
      <c r="Z2732" s="7" t="e">
        <f>IF(VLOOKUP($A2732,'Concrete Beam Schedule'!$A$2:$Q$2902,Z$2,0)&lt;&gt;J2732,"Beam Revised","")</f>
        <v>#N/A</v>
      </c>
      <c r="AA2732" s="7" t="e">
        <f>IF(VLOOKUP($A2732,'Concrete Beam Schedule'!$A$2:$Q$2902,AA$2,0)&lt;&gt;K2732,"Beam Revised","")</f>
        <v>#N/A</v>
      </c>
      <c r="AB2732" s="7" t="e">
        <f>IF(VLOOKUP($A2732,'Concrete Beam Schedule'!$A$2:$Q$2902,AB$2,0)&lt;&gt;L2732,"Beam Revised","")</f>
        <v>#N/A</v>
      </c>
      <c r="AC2732" s="7" t="e">
        <f>IF(VLOOKUP($A2732,'Concrete Beam Schedule'!$A$2:$Q$2902,AC$2,0)&lt;&gt;M2732,"Beam Revised","")</f>
        <v>#N/A</v>
      </c>
      <c r="AD2732" s="7" t="e">
        <f>IF(VLOOKUP($A2732,'Concrete Beam Schedule'!$A$2:$Q$2902,AD$2,0)&lt;&gt;N2732,"Beam Revised","")</f>
        <v>#N/A</v>
      </c>
      <c r="AE2732" s="7" t="e">
        <f>IF(VLOOKUP($A2732,'Concrete Beam Schedule'!$A$2:$Q$2902,AE$2,0)&lt;&gt;O2732,"Beam Revised","")</f>
        <v>#N/A</v>
      </c>
    </row>
    <row r="2733" spans="17:31" ht="20.100000000000001" customHeight="1" x14ac:dyDescent="0.25">
      <c r="Q2733" s="7">
        <f t="shared" si="42"/>
        <v>0</v>
      </c>
      <c r="R2733" s="7" t="e">
        <f>IF(VLOOKUP($A2733,'Concrete Beam Schedule'!$A$2:$Q$2902,R$2,0)&lt;&gt;B2733,VLOOKUP($A2733,'Concrete Beam Schedule'!$A$2:$Q$2902,R$2,0),"")</f>
        <v>#N/A</v>
      </c>
      <c r="S2733" s="7" t="e">
        <f>IF(VLOOKUP($A2733,'Concrete Beam Schedule'!$A$2:$Q$2902,S$2,0)&lt;&gt;C2733,VLOOKUP($A2733,'Concrete Beam Schedule'!$A$2:$Q$2902,S$2,0),"")</f>
        <v>#N/A</v>
      </c>
      <c r="T2733" s="7" t="e">
        <f>IF(VLOOKUP($A2733,'Concrete Beam Schedule'!$A$2:$Q$2902,T$2,0)&lt;&gt;D2733,"Beam Revised","")</f>
        <v>#N/A</v>
      </c>
      <c r="U2733" s="7" t="e">
        <f>IF(VLOOKUP($A2733,'Concrete Beam Schedule'!$A$2:$Q$2902,U$2,0)&lt;&gt;E2733,"Beam Revised","")</f>
        <v>#N/A</v>
      </c>
      <c r="V2733" s="7" t="e">
        <f>IF(VLOOKUP($A2733,'Concrete Beam Schedule'!$A$2:$Q$2902,V$2,0)&lt;&gt;F2733,"Beam Revised","")</f>
        <v>#N/A</v>
      </c>
      <c r="W2733" s="7" t="e">
        <f>IF(VLOOKUP($A2733,'Concrete Beam Schedule'!$A$2:$Q$2902,W$2,0)&lt;&gt;G2733,"Beam Revised","")</f>
        <v>#N/A</v>
      </c>
      <c r="X2733" s="7" t="e">
        <f>IF(VLOOKUP($A2733,'Concrete Beam Schedule'!$A$2:$Q$2902,X$2,0)&lt;&gt;H2733,"Beam Revised","")</f>
        <v>#N/A</v>
      </c>
      <c r="Y2733" s="7" t="e">
        <f>IF(VLOOKUP($A2733,'Concrete Beam Schedule'!$A$2:$Q$2902,Y$2,0)&lt;&gt;I2733,"Beam Revised","")</f>
        <v>#N/A</v>
      </c>
      <c r="Z2733" s="7" t="e">
        <f>IF(VLOOKUP($A2733,'Concrete Beam Schedule'!$A$2:$Q$2902,Z$2,0)&lt;&gt;J2733,"Beam Revised","")</f>
        <v>#N/A</v>
      </c>
      <c r="AA2733" s="7" t="e">
        <f>IF(VLOOKUP($A2733,'Concrete Beam Schedule'!$A$2:$Q$2902,AA$2,0)&lt;&gt;K2733,"Beam Revised","")</f>
        <v>#N/A</v>
      </c>
      <c r="AB2733" s="7" t="e">
        <f>IF(VLOOKUP($A2733,'Concrete Beam Schedule'!$A$2:$Q$2902,AB$2,0)&lt;&gt;L2733,"Beam Revised","")</f>
        <v>#N/A</v>
      </c>
      <c r="AC2733" s="7" t="e">
        <f>IF(VLOOKUP($A2733,'Concrete Beam Schedule'!$A$2:$Q$2902,AC$2,0)&lt;&gt;M2733,"Beam Revised","")</f>
        <v>#N/A</v>
      </c>
      <c r="AD2733" s="7" t="e">
        <f>IF(VLOOKUP($A2733,'Concrete Beam Schedule'!$A$2:$Q$2902,AD$2,0)&lt;&gt;N2733,"Beam Revised","")</f>
        <v>#N/A</v>
      </c>
      <c r="AE2733" s="7" t="e">
        <f>IF(VLOOKUP($A2733,'Concrete Beam Schedule'!$A$2:$Q$2902,AE$2,0)&lt;&gt;O2733,"Beam Revised","")</f>
        <v>#N/A</v>
      </c>
    </row>
    <row r="2734" spans="17:31" ht="20.100000000000001" customHeight="1" x14ac:dyDescent="0.25">
      <c r="Q2734" s="7">
        <f t="shared" si="42"/>
        <v>0</v>
      </c>
      <c r="R2734" s="7" t="e">
        <f>IF(VLOOKUP($A2734,'Concrete Beam Schedule'!$A$2:$Q$2902,R$2,0)&lt;&gt;B2734,VLOOKUP($A2734,'Concrete Beam Schedule'!$A$2:$Q$2902,R$2,0),"")</f>
        <v>#N/A</v>
      </c>
      <c r="S2734" s="7" t="e">
        <f>IF(VLOOKUP($A2734,'Concrete Beam Schedule'!$A$2:$Q$2902,S$2,0)&lt;&gt;C2734,VLOOKUP($A2734,'Concrete Beam Schedule'!$A$2:$Q$2902,S$2,0),"")</f>
        <v>#N/A</v>
      </c>
      <c r="T2734" s="7" t="e">
        <f>IF(VLOOKUP($A2734,'Concrete Beam Schedule'!$A$2:$Q$2902,T$2,0)&lt;&gt;D2734,"Beam Revised","")</f>
        <v>#N/A</v>
      </c>
      <c r="U2734" s="7" t="e">
        <f>IF(VLOOKUP($A2734,'Concrete Beam Schedule'!$A$2:$Q$2902,U$2,0)&lt;&gt;E2734,"Beam Revised","")</f>
        <v>#N/A</v>
      </c>
      <c r="V2734" s="7" t="e">
        <f>IF(VLOOKUP($A2734,'Concrete Beam Schedule'!$A$2:$Q$2902,V$2,0)&lt;&gt;F2734,"Beam Revised","")</f>
        <v>#N/A</v>
      </c>
      <c r="W2734" s="7" t="e">
        <f>IF(VLOOKUP($A2734,'Concrete Beam Schedule'!$A$2:$Q$2902,W$2,0)&lt;&gt;G2734,"Beam Revised","")</f>
        <v>#N/A</v>
      </c>
      <c r="X2734" s="7" t="e">
        <f>IF(VLOOKUP($A2734,'Concrete Beam Schedule'!$A$2:$Q$2902,X$2,0)&lt;&gt;H2734,"Beam Revised","")</f>
        <v>#N/A</v>
      </c>
      <c r="Y2734" s="7" t="e">
        <f>IF(VLOOKUP($A2734,'Concrete Beam Schedule'!$A$2:$Q$2902,Y$2,0)&lt;&gt;I2734,"Beam Revised","")</f>
        <v>#N/A</v>
      </c>
      <c r="Z2734" s="7" t="e">
        <f>IF(VLOOKUP($A2734,'Concrete Beam Schedule'!$A$2:$Q$2902,Z$2,0)&lt;&gt;J2734,"Beam Revised","")</f>
        <v>#N/A</v>
      </c>
      <c r="AA2734" s="7" t="e">
        <f>IF(VLOOKUP($A2734,'Concrete Beam Schedule'!$A$2:$Q$2902,AA$2,0)&lt;&gt;K2734,"Beam Revised","")</f>
        <v>#N/A</v>
      </c>
      <c r="AB2734" s="7" t="e">
        <f>IF(VLOOKUP($A2734,'Concrete Beam Schedule'!$A$2:$Q$2902,AB$2,0)&lt;&gt;L2734,"Beam Revised","")</f>
        <v>#N/A</v>
      </c>
      <c r="AC2734" s="7" t="e">
        <f>IF(VLOOKUP($A2734,'Concrete Beam Schedule'!$A$2:$Q$2902,AC$2,0)&lt;&gt;M2734,"Beam Revised","")</f>
        <v>#N/A</v>
      </c>
      <c r="AD2734" s="7" t="e">
        <f>IF(VLOOKUP($A2734,'Concrete Beam Schedule'!$A$2:$Q$2902,AD$2,0)&lt;&gt;N2734,"Beam Revised","")</f>
        <v>#N/A</v>
      </c>
      <c r="AE2734" s="7" t="e">
        <f>IF(VLOOKUP($A2734,'Concrete Beam Schedule'!$A$2:$Q$2902,AE$2,0)&lt;&gt;O2734,"Beam Revised","")</f>
        <v>#N/A</v>
      </c>
    </row>
    <row r="2735" spans="17:31" ht="20.100000000000001" customHeight="1" x14ac:dyDescent="0.25">
      <c r="Q2735" s="7">
        <f t="shared" si="42"/>
        <v>0</v>
      </c>
      <c r="R2735" s="7" t="e">
        <f>IF(VLOOKUP($A2735,'Concrete Beam Schedule'!$A$2:$Q$2902,R$2,0)&lt;&gt;B2735,VLOOKUP($A2735,'Concrete Beam Schedule'!$A$2:$Q$2902,R$2,0),"")</f>
        <v>#N/A</v>
      </c>
      <c r="S2735" s="7" t="e">
        <f>IF(VLOOKUP($A2735,'Concrete Beam Schedule'!$A$2:$Q$2902,S$2,0)&lt;&gt;C2735,VLOOKUP($A2735,'Concrete Beam Schedule'!$A$2:$Q$2902,S$2,0),"")</f>
        <v>#N/A</v>
      </c>
      <c r="T2735" s="7" t="e">
        <f>IF(VLOOKUP($A2735,'Concrete Beam Schedule'!$A$2:$Q$2902,T$2,0)&lt;&gt;D2735,"Beam Revised","")</f>
        <v>#N/A</v>
      </c>
      <c r="U2735" s="7" t="e">
        <f>IF(VLOOKUP($A2735,'Concrete Beam Schedule'!$A$2:$Q$2902,U$2,0)&lt;&gt;E2735,"Beam Revised","")</f>
        <v>#N/A</v>
      </c>
      <c r="V2735" s="7" t="e">
        <f>IF(VLOOKUP($A2735,'Concrete Beam Schedule'!$A$2:$Q$2902,V$2,0)&lt;&gt;F2735,"Beam Revised","")</f>
        <v>#N/A</v>
      </c>
      <c r="W2735" s="7" t="e">
        <f>IF(VLOOKUP($A2735,'Concrete Beam Schedule'!$A$2:$Q$2902,W$2,0)&lt;&gt;G2735,"Beam Revised","")</f>
        <v>#N/A</v>
      </c>
      <c r="X2735" s="7" t="e">
        <f>IF(VLOOKUP($A2735,'Concrete Beam Schedule'!$A$2:$Q$2902,X$2,0)&lt;&gt;H2735,"Beam Revised","")</f>
        <v>#N/A</v>
      </c>
      <c r="Y2735" s="7" t="e">
        <f>IF(VLOOKUP($A2735,'Concrete Beam Schedule'!$A$2:$Q$2902,Y$2,0)&lt;&gt;I2735,"Beam Revised","")</f>
        <v>#N/A</v>
      </c>
      <c r="Z2735" s="7" t="e">
        <f>IF(VLOOKUP($A2735,'Concrete Beam Schedule'!$A$2:$Q$2902,Z$2,0)&lt;&gt;J2735,"Beam Revised","")</f>
        <v>#N/A</v>
      </c>
      <c r="AA2735" s="7" t="e">
        <f>IF(VLOOKUP($A2735,'Concrete Beam Schedule'!$A$2:$Q$2902,AA$2,0)&lt;&gt;K2735,"Beam Revised","")</f>
        <v>#N/A</v>
      </c>
      <c r="AB2735" s="7" t="e">
        <f>IF(VLOOKUP($A2735,'Concrete Beam Schedule'!$A$2:$Q$2902,AB$2,0)&lt;&gt;L2735,"Beam Revised","")</f>
        <v>#N/A</v>
      </c>
      <c r="AC2735" s="7" t="e">
        <f>IF(VLOOKUP($A2735,'Concrete Beam Schedule'!$A$2:$Q$2902,AC$2,0)&lt;&gt;M2735,"Beam Revised","")</f>
        <v>#N/A</v>
      </c>
      <c r="AD2735" s="7" t="e">
        <f>IF(VLOOKUP($A2735,'Concrete Beam Schedule'!$A$2:$Q$2902,AD$2,0)&lt;&gt;N2735,"Beam Revised","")</f>
        <v>#N/A</v>
      </c>
      <c r="AE2735" s="7" t="e">
        <f>IF(VLOOKUP($A2735,'Concrete Beam Schedule'!$A$2:$Q$2902,AE$2,0)&lt;&gt;O2735,"Beam Revised","")</f>
        <v>#N/A</v>
      </c>
    </row>
    <row r="2736" spans="17:31" ht="20.100000000000001" customHeight="1" x14ac:dyDescent="0.25">
      <c r="Q2736" s="7">
        <f t="shared" si="42"/>
        <v>0</v>
      </c>
      <c r="R2736" s="7" t="e">
        <f>IF(VLOOKUP($A2736,'Concrete Beam Schedule'!$A$2:$Q$2902,R$2,0)&lt;&gt;B2736,VLOOKUP($A2736,'Concrete Beam Schedule'!$A$2:$Q$2902,R$2,0),"")</f>
        <v>#N/A</v>
      </c>
      <c r="S2736" s="7" t="e">
        <f>IF(VLOOKUP($A2736,'Concrete Beam Schedule'!$A$2:$Q$2902,S$2,0)&lt;&gt;C2736,VLOOKUP($A2736,'Concrete Beam Schedule'!$A$2:$Q$2902,S$2,0),"")</f>
        <v>#N/A</v>
      </c>
      <c r="T2736" s="7" t="e">
        <f>IF(VLOOKUP($A2736,'Concrete Beam Schedule'!$A$2:$Q$2902,T$2,0)&lt;&gt;D2736,"Beam Revised","")</f>
        <v>#N/A</v>
      </c>
      <c r="U2736" s="7" t="e">
        <f>IF(VLOOKUP($A2736,'Concrete Beam Schedule'!$A$2:$Q$2902,U$2,0)&lt;&gt;E2736,"Beam Revised","")</f>
        <v>#N/A</v>
      </c>
      <c r="V2736" s="7" t="e">
        <f>IF(VLOOKUP($A2736,'Concrete Beam Schedule'!$A$2:$Q$2902,V$2,0)&lt;&gt;F2736,"Beam Revised","")</f>
        <v>#N/A</v>
      </c>
      <c r="W2736" s="7" t="e">
        <f>IF(VLOOKUP($A2736,'Concrete Beam Schedule'!$A$2:$Q$2902,W$2,0)&lt;&gt;G2736,"Beam Revised","")</f>
        <v>#N/A</v>
      </c>
      <c r="X2736" s="7" t="e">
        <f>IF(VLOOKUP($A2736,'Concrete Beam Schedule'!$A$2:$Q$2902,X$2,0)&lt;&gt;H2736,"Beam Revised","")</f>
        <v>#N/A</v>
      </c>
      <c r="Y2736" s="7" t="e">
        <f>IF(VLOOKUP($A2736,'Concrete Beam Schedule'!$A$2:$Q$2902,Y$2,0)&lt;&gt;I2736,"Beam Revised","")</f>
        <v>#N/A</v>
      </c>
      <c r="Z2736" s="7" t="e">
        <f>IF(VLOOKUP($A2736,'Concrete Beam Schedule'!$A$2:$Q$2902,Z$2,0)&lt;&gt;J2736,"Beam Revised","")</f>
        <v>#N/A</v>
      </c>
      <c r="AA2736" s="7" t="e">
        <f>IF(VLOOKUP($A2736,'Concrete Beam Schedule'!$A$2:$Q$2902,AA$2,0)&lt;&gt;K2736,"Beam Revised","")</f>
        <v>#N/A</v>
      </c>
      <c r="AB2736" s="7" t="e">
        <f>IF(VLOOKUP($A2736,'Concrete Beam Schedule'!$A$2:$Q$2902,AB$2,0)&lt;&gt;L2736,"Beam Revised","")</f>
        <v>#N/A</v>
      </c>
      <c r="AC2736" s="7" t="e">
        <f>IF(VLOOKUP($A2736,'Concrete Beam Schedule'!$A$2:$Q$2902,AC$2,0)&lt;&gt;M2736,"Beam Revised","")</f>
        <v>#N/A</v>
      </c>
      <c r="AD2736" s="7" t="e">
        <f>IF(VLOOKUP($A2736,'Concrete Beam Schedule'!$A$2:$Q$2902,AD$2,0)&lt;&gt;N2736,"Beam Revised","")</f>
        <v>#N/A</v>
      </c>
      <c r="AE2736" s="7" t="e">
        <f>IF(VLOOKUP($A2736,'Concrete Beam Schedule'!$A$2:$Q$2902,AE$2,0)&lt;&gt;O2736,"Beam Revised","")</f>
        <v>#N/A</v>
      </c>
    </row>
    <row r="2737" spans="17:31" ht="20.100000000000001" customHeight="1" x14ac:dyDescent="0.25">
      <c r="Q2737" s="7">
        <f t="shared" si="42"/>
        <v>0</v>
      </c>
      <c r="R2737" s="7" t="e">
        <f>IF(VLOOKUP($A2737,'Concrete Beam Schedule'!$A$2:$Q$2902,R$2,0)&lt;&gt;B2737,VLOOKUP($A2737,'Concrete Beam Schedule'!$A$2:$Q$2902,R$2,0),"")</f>
        <v>#N/A</v>
      </c>
      <c r="S2737" s="7" t="e">
        <f>IF(VLOOKUP($A2737,'Concrete Beam Schedule'!$A$2:$Q$2902,S$2,0)&lt;&gt;C2737,VLOOKUP($A2737,'Concrete Beam Schedule'!$A$2:$Q$2902,S$2,0),"")</f>
        <v>#N/A</v>
      </c>
      <c r="T2737" s="7" t="e">
        <f>IF(VLOOKUP($A2737,'Concrete Beam Schedule'!$A$2:$Q$2902,T$2,0)&lt;&gt;D2737,"Beam Revised","")</f>
        <v>#N/A</v>
      </c>
      <c r="U2737" s="7" t="e">
        <f>IF(VLOOKUP($A2737,'Concrete Beam Schedule'!$A$2:$Q$2902,U$2,0)&lt;&gt;E2737,"Beam Revised","")</f>
        <v>#N/A</v>
      </c>
      <c r="V2737" s="7" t="e">
        <f>IF(VLOOKUP($A2737,'Concrete Beam Schedule'!$A$2:$Q$2902,V$2,0)&lt;&gt;F2737,"Beam Revised","")</f>
        <v>#N/A</v>
      </c>
      <c r="W2737" s="7" t="e">
        <f>IF(VLOOKUP($A2737,'Concrete Beam Schedule'!$A$2:$Q$2902,W$2,0)&lt;&gt;G2737,"Beam Revised","")</f>
        <v>#N/A</v>
      </c>
      <c r="X2737" s="7" t="e">
        <f>IF(VLOOKUP($A2737,'Concrete Beam Schedule'!$A$2:$Q$2902,X$2,0)&lt;&gt;H2737,"Beam Revised","")</f>
        <v>#N/A</v>
      </c>
      <c r="Y2737" s="7" t="e">
        <f>IF(VLOOKUP($A2737,'Concrete Beam Schedule'!$A$2:$Q$2902,Y$2,0)&lt;&gt;I2737,"Beam Revised","")</f>
        <v>#N/A</v>
      </c>
      <c r="Z2737" s="7" t="e">
        <f>IF(VLOOKUP($A2737,'Concrete Beam Schedule'!$A$2:$Q$2902,Z$2,0)&lt;&gt;J2737,"Beam Revised","")</f>
        <v>#N/A</v>
      </c>
      <c r="AA2737" s="7" t="e">
        <f>IF(VLOOKUP($A2737,'Concrete Beam Schedule'!$A$2:$Q$2902,AA$2,0)&lt;&gt;K2737,"Beam Revised","")</f>
        <v>#N/A</v>
      </c>
      <c r="AB2737" s="7" t="e">
        <f>IF(VLOOKUP($A2737,'Concrete Beam Schedule'!$A$2:$Q$2902,AB$2,0)&lt;&gt;L2737,"Beam Revised","")</f>
        <v>#N/A</v>
      </c>
      <c r="AC2737" s="7" t="e">
        <f>IF(VLOOKUP($A2737,'Concrete Beam Schedule'!$A$2:$Q$2902,AC$2,0)&lt;&gt;M2737,"Beam Revised","")</f>
        <v>#N/A</v>
      </c>
      <c r="AD2737" s="7" t="e">
        <f>IF(VLOOKUP($A2737,'Concrete Beam Schedule'!$A$2:$Q$2902,AD$2,0)&lt;&gt;N2737,"Beam Revised","")</f>
        <v>#N/A</v>
      </c>
      <c r="AE2737" s="7" t="e">
        <f>IF(VLOOKUP($A2737,'Concrete Beam Schedule'!$A$2:$Q$2902,AE$2,0)&lt;&gt;O2737,"Beam Revised","")</f>
        <v>#N/A</v>
      </c>
    </row>
    <row r="2738" spans="17:31" ht="20.100000000000001" customHeight="1" x14ac:dyDescent="0.25">
      <c r="Q2738" s="7">
        <f t="shared" si="42"/>
        <v>0</v>
      </c>
      <c r="R2738" s="7" t="e">
        <f>IF(VLOOKUP($A2738,'Concrete Beam Schedule'!$A$2:$Q$2902,R$2,0)&lt;&gt;B2738,VLOOKUP($A2738,'Concrete Beam Schedule'!$A$2:$Q$2902,R$2,0),"")</f>
        <v>#N/A</v>
      </c>
      <c r="S2738" s="7" t="e">
        <f>IF(VLOOKUP($A2738,'Concrete Beam Schedule'!$A$2:$Q$2902,S$2,0)&lt;&gt;C2738,VLOOKUP($A2738,'Concrete Beam Schedule'!$A$2:$Q$2902,S$2,0),"")</f>
        <v>#N/A</v>
      </c>
      <c r="T2738" s="7" t="e">
        <f>IF(VLOOKUP($A2738,'Concrete Beam Schedule'!$A$2:$Q$2902,T$2,0)&lt;&gt;D2738,"Beam Revised","")</f>
        <v>#N/A</v>
      </c>
      <c r="U2738" s="7" t="e">
        <f>IF(VLOOKUP($A2738,'Concrete Beam Schedule'!$A$2:$Q$2902,U$2,0)&lt;&gt;E2738,"Beam Revised","")</f>
        <v>#N/A</v>
      </c>
      <c r="V2738" s="7" t="e">
        <f>IF(VLOOKUP($A2738,'Concrete Beam Schedule'!$A$2:$Q$2902,V$2,0)&lt;&gt;F2738,"Beam Revised","")</f>
        <v>#N/A</v>
      </c>
      <c r="W2738" s="7" t="e">
        <f>IF(VLOOKUP($A2738,'Concrete Beam Schedule'!$A$2:$Q$2902,W$2,0)&lt;&gt;G2738,"Beam Revised","")</f>
        <v>#N/A</v>
      </c>
      <c r="X2738" s="7" t="e">
        <f>IF(VLOOKUP($A2738,'Concrete Beam Schedule'!$A$2:$Q$2902,X$2,0)&lt;&gt;H2738,"Beam Revised","")</f>
        <v>#N/A</v>
      </c>
      <c r="Y2738" s="7" t="e">
        <f>IF(VLOOKUP($A2738,'Concrete Beam Schedule'!$A$2:$Q$2902,Y$2,0)&lt;&gt;I2738,"Beam Revised","")</f>
        <v>#N/A</v>
      </c>
      <c r="Z2738" s="7" t="e">
        <f>IF(VLOOKUP($A2738,'Concrete Beam Schedule'!$A$2:$Q$2902,Z$2,0)&lt;&gt;J2738,"Beam Revised","")</f>
        <v>#N/A</v>
      </c>
      <c r="AA2738" s="7" t="e">
        <f>IF(VLOOKUP($A2738,'Concrete Beam Schedule'!$A$2:$Q$2902,AA$2,0)&lt;&gt;K2738,"Beam Revised","")</f>
        <v>#N/A</v>
      </c>
      <c r="AB2738" s="7" t="e">
        <f>IF(VLOOKUP($A2738,'Concrete Beam Schedule'!$A$2:$Q$2902,AB$2,0)&lt;&gt;L2738,"Beam Revised","")</f>
        <v>#N/A</v>
      </c>
      <c r="AC2738" s="7" t="e">
        <f>IF(VLOOKUP($A2738,'Concrete Beam Schedule'!$A$2:$Q$2902,AC$2,0)&lt;&gt;M2738,"Beam Revised","")</f>
        <v>#N/A</v>
      </c>
      <c r="AD2738" s="7" t="e">
        <f>IF(VLOOKUP($A2738,'Concrete Beam Schedule'!$A$2:$Q$2902,AD$2,0)&lt;&gt;N2738,"Beam Revised","")</f>
        <v>#N/A</v>
      </c>
      <c r="AE2738" s="7" t="e">
        <f>IF(VLOOKUP($A2738,'Concrete Beam Schedule'!$A$2:$Q$2902,AE$2,0)&lt;&gt;O2738,"Beam Revised","")</f>
        <v>#N/A</v>
      </c>
    </row>
    <row r="2739" spans="17:31" ht="20.100000000000001" customHeight="1" x14ac:dyDescent="0.25">
      <c r="Q2739" s="7">
        <f t="shared" si="42"/>
        <v>0</v>
      </c>
      <c r="R2739" s="7" t="e">
        <f>IF(VLOOKUP($A2739,'Concrete Beam Schedule'!$A$2:$Q$2902,R$2,0)&lt;&gt;B2739,VLOOKUP($A2739,'Concrete Beam Schedule'!$A$2:$Q$2902,R$2,0),"")</f>
        <v>#N/A</v>
      </c>
      <c r="S2739" s="7" t="e">
        <f>IF(VLOOKUP($A2739,'Concrete Beam Schedule'!$A$2:$Q$2902,S$2,0)&lt;&gt;C2739,VLOOKUP($A2739,'Concrete Beam Schedule'!$A$2:$Q$2902,S$2,0),"")</f>
        <v>#N/A</v>
      </c>
      <c r="T2739" s="7" t="e">
        <f>IF(VLOOKUP($A2739,'Concrete Beam Schedule'!$A$2:$Q$2902,T$2,0)&lt;&gt;D2739,"Beam Revised","")</f>
        <v>#N/A</v>
      </c>
      <c r="U2739" s="7" t="e">
        <f>IF(VLOOKUP($A2739,'Concrete Beam Schedule'!$A$2:$Q$2902,U$2,0)&lt;&gt;E2739,"Beam Revised","")</f>
        <v>#N/A</v>
      </c>
      <c r="V2739" s="7" t="e">
        <f>IF(VLOOKUP($A2739,'Concrete Beam Schedule'!$A$2:$Q$2902,V$2,0)&lt;&gt;F2739,"Beam Revised","")</f>
        <v>#N/A</v>
      </c>
      <c r="W2739" s="7" t="e">
        <f>IF(VLOOKUP($A2739,'Concrete Beam Schedule'!$A$2:$Q$2902,W$2,0)&lt;&gt;G2739,"Beam Revised","")</f>
        <v>#N/A</v>
      </c>
      <c r="X2739" s="7" t="e">
        <f>IF(VLOOKUP($A2739,'Concrete Beam Schedule'!$A$2:$Q$2902,X$2,0)&lt;&gt;H2739,"Beam Revised","")</f>
        <v>#N/A</v>
      </c>
      <c r="Y2739" s="7" t="e">
        <f>IF(VLOOKUP($A2739,'Concrete Beam Schedule'!$A$2:$Q$2902,Y$2,0)&lt;&gt;I2739,"Beam Revised","")</f>
        <v>#N/A</v>
      </c>
      <c r="Z2739" s="7" t="e">
        <f>IF(VLOOKUP($A2739,'Concrete Beam Schedule'!$A$2:$Q$2902,Z$2,0)&lt;&gt;J2739,"Beam Revised","")</f>
        <v>#N/A</v>
      </c>
      <c r="AA2739" s="7" t="e">
        <f>IF(VLOOKUP($A2739,'Concrete Beam Schedule'!$A$2:$Q$2902,AA$2,0)&lt;&gt;K2739,"Beam Revised","")</f>
        <v>#N/A</v>
      </c>
      <c r="AB2739" s="7" t="e">
        <f>IF(VLOOKUP($A2739,'Concrete Beam Schedule'!$A$2:$Q$2902,AB$2,0)&lt;&gt;L2739,"Beam Revised","")</f>
        <v>#N/A</v>
      </c>
      <c r="AC2739" s="7" t="e">
        <f>IF(VLOOKUP($A2739,'Concrete Beam Schedule'!$A$2:$Q$2902,AC$2,0)&lt;&gt;M2739,"Beam Revised","")</f>
        <v>#N/A</v>
      </c>
      <c r="AD2739" s="7" t="e">
        <f>IF(VLOOKUP($A2739,'Concrete Beam Schedule'!$A$2:$Q$2902,AD$2,0)&lt;&gt;N2739,"Beam Revised","")</f>
        <v>#N/A</v>
      </c>
      <c r="AE2739" s="7" t="e">
        <f>IF(VLOOKUP($A2739,'Concrete Beam Schedule'!$A$2:$Q$2902,AE$2,0)&lt;&gt;O2739,"Beam Revised","")</f>
        <v>#N/A</v>
      </c>
    </row>
    <row r="2740" spans="17:31" ht="20.100000000000001" customHeight="1" x14ac:dyDescent="0.25">
      <c r="Q2740" s="7">
        <f t="shared" si="42"/>
        <v>0</v>
      </c>
      <c r="R2740" s="7" t="e">
        <f>IF(VLOOKUP($A2740,'Concrete Beam Schedule'!$A$2:$Q$2902,R$2,0)&lt;&gt;B2740,VLOOKUP($A2740,'Concrete Beam Schedule'!$A$2:$Q$2902,R$2,0),"")</f>
        <v>#N/A</v>
      </c>
      <c r="S2740" s="7" t="e">
        <f>IF(VLOOKUP($A2740,'Concrete Beam Schedule'!$A$2:$Q$2902,S$2,0)&lt;&gt;C2740,VLOOKUP($A2740,'Concrete Beam Schedule'!$A$2:$Q$2902,S$2,0),"")</f>
        <v>#N/A</v>
      </c>
      <c r="T2740" s="7" t="e">
        <f>IF(VLOOKUP($A2740,'Concrete Beam Schedule'!$A$2:$Q$2902,T$2,0)&lt;&gt;D2740,"Beam Revised","")</f>
        <v>#N/A</v>
      </c>
      <c r="U2740" s="7" t="e">
        <f>IF(VLOOKUP($A2740,'Concrete Beam Schedule'!$A$2:$Q$2902,U$2,0)&lt;&gt;E2740,"Beam Revised","")</f>
        <v>#N/A</v>
      </c>
      <c r="V2740" s="7" t="e">
        <f>IF(VLOOKUP($A2740,'Concrete Beam Schedule'!$A$2:$Q$2902,V$2,0)&lt;&gt;F2740,"Beam Revised","")</f>
        <v>#N/A</v>
      </c>
      <c r="W2740" s="7" t="e">
        <f>IF(VLOOKUP($A2740,'Concrete Beam Schedule'!$A$2:$Q$2902,W$2,0)&lt;&gt;G2740,"Beam Revised","")</f>
        <v>#N/A</v>
      </c>
      <c r="X2740" s="7" t="e">
        <f>IF(VLOOKUP($A2740,'Concrete Beam Schedule'!$A$2:$Q$2902,X$2,0)&lt;&gt;H2740,"Beam Revised","")</f>
        <v>#N/A</v>
      </c>
      <c r="Y2740" s="7" t="e">
        <f>IF(VLOOKUP($A2740,'Concrete Beam Schedule'!$A$2:$Q$2902,Y$2,0)&lt;&gt;I2740,"Beam Revised","")</f>
        <v>#N/A</v>
      </c>
      <c r="Z2740" s="7" t="e">
        <f>IF(VLOOKUP($A2740,'Concrete Beam Schedule'!$A$2:$Q$2902,Z$2,0)&lt;&gt;J2740,"Beam Revised","")</f>
        <v>#N/A</v>
      </c>
      <c r="AA2740" s="7" t="e">
        <f>IF(VLOOKUP($A2740,'Concrete Beam Schedule'!$A$2:$Q$2902,AA$2,0)&lt;&gt;K2740,"Beam Revised","")</f>
        <v>#N/A</v>
      </c>
      <c r="AB2740" s="7" t="e">
        <f>IF(VLOOKUP($A2740,'Concrete Beam Schedule'!$A$2:$Q$2902,AB$2,0)&lt;&gt;L2740,"Beam Revised","")</f>
        <v>#N/A</v>
      </c>
      <c r="AC2740" s="7" t="e">
        <f>IF(VLOOKUP($A2740,'Concrete Beam Schedule'!$A$2:$Q$2902,AC$2,0)&lt;&gt;M2740,"Beam Revised","")</f>
        <v>#N/A</v>
      </c>
      <c r="AD2740" s="7" t="e">
        <f>IF(VLOOKUP($A2740,'Concrete Beam Schedule'!$A$2:$Q$2902,AD$2,0)&lt;&gt;N2740,"Beam Revised","")</f>
        <v>#N/A</v>
      </c>
      <c r="AE2740" s="7" t="e">
        <f>IF(VLOOKUP($A2740,'Concrete Beam Schedule'!$A$2:$Q$2902,AE$2,0)&lt;&gt;O2740,"Beam Revised","")</f>
        <v>#N/A</v>
      </c>
    </row>
    <row r="2741" spans="17:31" ht="20.100000000000001" customHeight="1" x14ac:dyDescent="0.25">
      <c r="Q2741" s="7">
        <f t="shared" si="42"/>
        <v>0</v>
      </c>
      <c r="R2741" s="7" t="e">
        <f>IF(VLOOKUP($A2741,'Concrete Beam Schedule'!$A$2:$Q$2902,R$2,0)&lt;&gt;B2741,VLOOKUP($A2741,'Concrete Beam Schedule'!$A$2:$Q$2902,R$2,0),"")</f>
        <v>#N/A</v>
      </c>
      <c r="S2741" s="7" t="e">
        <f>IF(VLOOKUP($A2741,'Concrete Beam Schedule'!$A$2:$Q$2902,S$2,0)&lt;&gt;C2741,VLOOKUP($A2741,'Concrete Beam Schedule'!$A$2:$Q$2902,S$2,0),"")</f>
        <v>#N/A</v>
      </c>
      <c r="T2741" s="7" t="e">
        <f>IF(VLOOKUP($A2741,'Concrete Beam Schedule'!$A$2:$Q$2902,T$2,0)&lt;&gt;D2741,"Beam Revised","")</f>
        <v>#N/A</v>
      </c>
      <c r="U2741" s="7" t="e">
        <f>IF(VLOOKUP($A2741,'Concrete Beam Schedule'!$A$2:$Q$2902,U$2,0)&lt;&gt;E2741,"Beam Revised","")</f>
        <v>#N/A</v>
      </c>
      <c r="V2741" s="7" t="e">
        <f>IF(VLOOKUP($A2741,'Concrete Beam Schedule'!$A$2:$Q$2902,V$2,0)&lt;&gt;F2741,"Beam Revised","")</f>
        <v>#N/A</v>
      </c>
      <c r="W2741" s="7" t="e">
        <f>IF(VLOOKUP($A2741,'Concrete Beam Schedule'!$A$2:$Q$2902,W$2,0)&lt;&gt;G2741,"Beam Revised","")</f>
        <v>#N/A</v>
      </c>
      <c r="X2741" s="7" t="e">
        <f>IF(VLOOKUP($A2741,'Concrete Beam Schedule'!$A$2:$Q$2902,X$2,0)&lt;&gt;H2741,"Beam Revised","")</f>
        <v>#N/A</v>
      </c>
      <c r="Y2741" s="7" t="e">
        <f>IF(VLOOKUP($A2741,'Concrete Beam Schedule'!$A$2:$Q$2902,Y$2,0)&lt;&gt;I2741,"Beam Revised","")</f>
        <v>#N/A</v>
      </c>
      <c r="Z2741" s="7" t="e">
        <f>IF(VLOOKUP($A2741,'Concrete Beam Schedule'!$A$2:$Q$2902,Z$2,0)&lt;&gt;J2741,"Beam Revised","")</f>
        <v>#N/A</v>
      </c>
      <c r="AA2741" s="7" t="e">
        <f>IF(VLOOKUP($A2741,'Concrete Beam Schedule'!$A$2:$Q$2902,AA$2,0)&lt;&gt;K2741,"Beam Revised","")</f>
        <v>#N/A</v>
      </c>
      <c r="AB2741" s="7" t="e">
        <f>IF(VLOOKUP($A2741,'Concrete Beam Schedule'!$A$2:$Q$2902,AB$2,0)&lt;&gt;L2741,"Beam Revised","")</f>
        <v>#N/A</v>
      </c>
      <c r="AC2741" s="7" t="e">
        <f>IF(VLOOKUP($A2741,'Concrete Beam Schedule'!$A$2:$Q$2902,AC$2,0)&lt;&gt;M2741,"Beam Revised","")</f>
        <v>#N/A</v>
      </c>
      <c r="AD2741" s="7" t="e">
        <f>IF(VLOOKUP($A2741,'Concrete Beam Schedule'!$A$2:$Q$2902,AD$2,0)&lt;&gt;N2741,"Beam Revised","")</f>
        <v>#N/A</v>
      </c>
      <c r="AE2741" s="7" t="e">
        <f>IF(VLOOKUP($A2741,'Concrete Beam Schedule'!$A$2:$Q$2902,AE$2,0)&lt;&gt;O2741,"Beam Revised","")</f>
        <v>#N/A</v>
      </c>
    </row>
    <row r="2742" spans="17:31" ht="20.100000000000001" customHeight="1" x14ac:dyDescent="0.25">
      <c r="Q2742" s="7">
        <f t="shared" si="42"/>
        <v>0</v>
      </c>
      <c r="R2742" s="7" t="e">
        <f>IF(VLOOKUP($A2742,'Concrete Beam Schedule'!$A$2:$Q$2902,R$2,0)&lt;&gt;B2742,VLOOKUP($A2742,'Concrete Beam Schedule'!$A$2:$Q$2902,R$2,0),"")</f>
        <v>#N/A</v>
      </c>
      <c r="S2742" s="7" t="e">
        <f>IF(VLOOKUP($A2742,'Concrete Beam Schedule'!$A$2:$Q$2902,S$2,0)&lt;&gt;C2742,VLOOKUP($A2742,'Concrete Beam Schedule'!$A$2:$Q$2902,S$2,0),"")</f>
        <v>#N/A</v>
      </c>
      <c r="T2742" s="7" t="e">
        <f>IF(VLOOKUP($A2742,'Concrete Beam Schedule'!$A$2:$Q$2902,T$2,0)&lt;&gt;D2742,"Beam Revised","")</f>
        <v>#N/A</v>
      </c>
      <c r="U2742" s="7" t="e">
        <f>IF(VLOOKUP($A2742,'Concrete Beam Schedule'!$A$2:$Q$2902,U$2,0)&lt;&gt;E2742,"Beam Revised","")</f>
        <v>#N/A</v>
      </c>
      <c r="V2742" s="7" t="e">
        <f>IF(VLOOKUP($A2742,'Concrete Beam Schedule'!$A$2:$Q$2902,V$2,0)&lt;&gt;F2742,"Beam Revised","")</f>
        <v>#N/A</v>
      </c>
      <c r="W2742" s="7" t="e">
        <f>IF(VLOOKUP($A2742,'Concrete Beam Schedule'!$A$2:$Q$2902,W$2,0)&lt;&gt;G2742,"Beam Revised","")</f>
        <v>#N/A</v>
      </c>
      <c r="X2742" s="7" t="e">
        <f>IF(VLOOKUP($A2742,'Concrete Beam Schedule'!$A$2:$Q$2902,X$2,0)&lt;&gt;H2742,"Beam Revised","")</f>
        <v>#N/A</v>
      </c>
      <c r="Y2742" s="7" t="e">
        <f>IF(VLOOKUP($A2742,'Concrete Beam Schedule'!$A$2:$Q$2902,Y$2,0)&lt;&gt;I2742,"Beam Revised","")</f>
        <v>#N/A</v>
      </c>
      <c r="Z2742" s="7" t="e">
        <f>IF(VLOOKUP($A2742,'Concrete Beam Schedule'!$A$2:$Q$2902,Z$2,0)&lt;&gt;J2742,"Beam Revised","")</f>
        <v>#N/A</v>
      </c>
      <c r="AA2742" s="7" t="e">
        <f>IF(VLOOKUP($A2742,'Concrete Beam Schedule'!$A$2:$Q$2902,AA$2,0)&lt;&gt;K2742,"Beam Revised","")</f>
        <v>#N/A</v>
      </c>
      <c r="AB2742" s="7" t="e">
        <f>IF(VLOOKUP($A2742,'Concrete Beam Schedule'!$A$2:$Q$2902,AB$2,0)&lt;&gt;L2742,"Beam Revised","")</f>
        <v>#N/A</v>
      </c>
      <c r="AC2742" s="7" t="e">
        <f>IF(VLOOKUP($A2742,'Concrete Beam Schedule'!$A$2:$Q$2902,AC$2,0)&lt;&gt;M2742,"Beam Revised","")</f>
        <v>#N/A</v>
      </c>
      <c r="AD2742" s="7" t="e">
        <f>IF(VLOOKUP($A2742,'Concrete Beam Schedule'!$A$2:$Q$2902,AD$2,0)&lt;&gt;N2742,"Beam Revised","")</f>
        <v>#N/A</v>
      </c>
      <c r="AE2742" s="7" t="e">
        <f>IF(VLOOKUP($A2742,'Concrete Beam Schedule'!$A$2:$Q$2902,AE$2,0)&lt;&gt;O2742,"Beam Revised","")</f>
        <v>#N/A</v>
      </c>
    </row>
    <row r="2743" spans="17:31" ht="20.100000000000001" customHeight="1" x14ac:dyDescent="0.25">
      <c r="Q2743" s="7">
        <f t="shared" si="42"/>
        <v>0</v>
      </c>
      <c r="R2743" s="7" t="e">
        <f>IF(VLOOKUP($A2743,'Concrete Beam Schedule'!$A$2:$Q$2902,R$2,0)&lt;&gt;B2743,VLOOKUP($A2743,'Concrete Beam Schedule'!$A$2:$Q$2902,R$2,0),"")</f>
        <v>#N/A</v>
      </c>
      <c r="S2743" s="7" t="e">
        <f>IF(VLOOKUP($A2743,'Concrete Beam Schedule'!$A$2:$Q$2902,S$2,0)&lt;&gt;C2743,VLOOKUP($A2743,'Concrete Beam Schedule'!$A$2:$Q$2902,S$2,0),"")</f>
        <v>#N/A</v>
      </c>
      <c r="T2743" s="7" t="e">
        <f>IF(VLOOKUP($A2743,'Concrete Beam Schedule'!$A$2:$Q$2902,T$2,0)&lt;&gt;D2743,"Beam Revised","")</f>
        <v>#N/A</v>
      </c>
      <c r="U2743" s="7" t="e">
        <f>IF(VLOOKUP($A2743,'Concrete Beam Schedule'!$A$2:$Q$2902,U$2,0)&lt;&gt;E2743,"Beam Revised","")</f>
        <v>#N/A</v>
      </c>
      <c r="V2743" s="7" t="e">
        <f>IF(VLOOKUP($A2743,'Concrete Beam Schedule'!$A$2:$Q$2902,V$2,0)&lt;&gt;F2743,"Beam Revised","")</f>
        <v>#N/A</v>
      </c>
      <c r="W2743" s="7" t="e">
        <f>IF(VLOOKUP($A2743,'Concrete Beam Schedule'!$A$2:$Q$2902,W$2,0)&lt;&gt;G2743,"Beam Revised","")</f>
        <v>#N/A</v>
      </c>
      <c r="X2743" s="7" t="e">
        <f>IF(VLOOKUP($A2743,'Concrete Beam Schedule'!$A$2:$Q$2902,X$2,0)&lt;&gt;H2743,"Beam Revised","")</f>
        <v>#N/A</v>
      </c>
      <c r="Y2743" s="7" t="e">
        <f>IF(VLOOKUP($A2743,'Concrete Beam Schedule'!$A$2:$Q$2902,Y$2,0)&lt;&gt;I2743,"Beam Revised","")</f>
        <v>#N/A</v>
      </c>
      <c r="Z2743" s="7" t="e">
        <f>IF(VLOOKUP($A2743,'Concrete Beam Schedule'!$A$2:$Q$2902,Z$2,0)&lt;&gt;J2743,"Beam Revised","")</f>
        <v>#N/A</v>
      </c>
      <c r="AA2743" s="7" t="e">
        <f>IF(VLOOKUP($A2743,'Concrete Beam Schedule'!$A$2:$Q$2902,AA$2,0)&lt;&gt;K2743,"Beam Revised","")</f>
        <v>#N/A</v>
      </c>
      <c r="AB2743" s="7" t="e">
        <f>IF(VLOOKUP($A2743,'Concrete Beam Schedule'!$A$2:$Q$2902,AB$2,0)&lt;&gt;L2743,"Beam Revised","")</f>
        <v>#N/A</v>
      </c>
      <c r="AC2743" s="7" t="e">
        <f>IF(VLOOKUP($A2743,'Concrete Beam Schedule'!$A$2:$Q$2902,AC$2,0)&lt;&gt;M2743,"Beam Revised","")</f>
        <v>#N/A</v>
      </c>
      <c r="AD2743" s="7" t="e">
        <f>IF(VLOOKUP($A2743,'Concrete Beam Schedule'!$A$2:$Q$2902,AD$2,0)&lt;&gt;N2743,"Beam Revised","")</f>
        <v>#N/A</v>
      </c>
      <c r="AE2743" s="7" t="e">
        <f>IF(VLOOKUP($A2743,'Concrete Beam Schedule'!$A$2:$Q$2902,AE$2,0)&lt;&gt;O2743,"Beam Revised","")</f>
        <v>#N/A</v>
      </c>
    </row>
    <row r="2744" spans="17:31" ht="20.100000000000001" customHeight="1" x14ac:dyDescent="0.25">
      <c r="Q2744" s="7">
        <f t="shared" si="42"/>
        <v>0</v>
      </c>
      <c r="R2744" s="7" t="e">
        <f>IF(VLOOKUP($A2744,'Concrete Beam Schedule'!$A$2:$Q$2902,R$2,0)&lt;&gt;B2744,VLOOKUP($A2744,'Concrete Beam Schedule'!$A$2:$Q$2902,R$2,0),"")</f>
        <v>#N/A</v>
      </c>
      <c r="S2744" s="7" t="e">
        <f>IF(VLOOKUP($A2744,'Concrete Beam Schedule'!$A$2:$Q$2902,S$2,0)&lt;&gt;C2744,VLOOKUP($A2744,'Concrete Beam Schedule'!$A$2:$Q$2902,S$2,0),"")</f>
        <v>#N/A</v>
      </c>
      <c r="T2744" s="7" t="e">
        <f>IF(VLOOKUP($A2744,'Concrete Beam Schedule'!$A$2:$Q$2902,T$2,0)&lt;&gt;D2744,"Beam Revised","")</f>
        <v>#N/A</v>
      </c>
      <c r="U2744" s="7" t="e">
        <f>IF(VLOOKUP($A2744,'Concrete Beam Schedule'!$A$2:$Q$2902,U$2,0)&lt;&gt;E2744,"Beam Revised","")</f>
        <v>#N/A</v>
      </c>
      <c r="V2744" s="7" t="e">
        <f>IF(VLOOKUP($A2744,'Concrete Beam Schedule'!$A$2:$Q$2902,V$2,0)&lt;&gt;F2744,"Beam Revised","")</f>
        <v>#N/A</v>
      </c>
      <c r="W2744" s="7" t="e">
        <f>IF(VLOOKUP($A2744,'Concrete Beam Schedule'!$A$2:$Q$2902,W$2,0)&lt;&gt;G2744,"Beam Revised","")</f>
        <v>#N/A</v>
      </c>
      <c r="X2744" s="7" t="e">
        <f>IF(VLOOKUP($A2744,'Concrete Beam Schedule'!$A$2:$Q$2902,X$2,0)&lt;&gt;H2744,"Beam Revised","")</f>
        <v>#N/A</v>
      </c>
      <c r="Y2744" s="7" t="e">
        <f>IF(VLOOKUP($A2744,'Concrete Beam Schedule'!$A$2:$Q$2902,Y$2,0)&lt;&gt;I2744,"Beam Revised","")</f>
        <v>#N/A</v>
      </c>
      <c r="Z2744" s="7" t="e">
        <f>IF(VLOOKUP($A2744,'Concrete Beam Schedule'!$A$2:$Q$2902,Z$2,0)&lt;&gt;J2744,"Beam Revised","")</f>
        <v>#N/A</v>
      </c>
      <c r="AA2744" s="7" t="e">
        <f>IF(VLOOKUP($A2744,'Concrete Beam Schedule'!$A$2:$Q$2902,AA$2,0)&lt;&gt;K2744,"Beam Revised","")</f>
        <v>#N/A</v>
      </c>
      <c r="AB2744" s="7" t="e">
        <f>IF(VLOOKUP($A2744,'Concrete Beam Schedule'!$A$2:$Q$2902,AB$2,0)&lt;&gt;L2744,"Beam Revised","")</f>
        <v>#N/A</v>
      </c>
      <c r="AC2744" s="7" t="e">
        <f>IF(VLOOKUP($A2744,'Concrete Beam Schedule'!$A$2:$Q$2902,AC$2,0)&lt;&gt;M2744,"Beam Revised","")</f>
        <v>#N/A</v>
      </c>
      <c r="AD2744" s="7" t="e">
        <f>IF(VLOOKUP($A2744,'Concrete Beam Schedule'!$A$2:$Q$2902,AD$2,0)&lt;&gt;N2744,"Beam Revised","")</f>
        <v>#N/A</v>
      </c>
      <c r="AE2744" s="7" t="e">
        <f>IF(VLOOKUP($A2744,'Concrete Beam Schedule'!$A$2:$Q$2902,AE$2,0)&lt;&gt;O2744,"Beam Revised","")</f>
        <v>#N/A</v>
      </c>
    </row>
    <row r="2745" spans="17:31" ht="20.100000000000001" customHeight="1" x14ac:dyDescent="0.25">
      <c r="Q2745" s="7">
        <f t="shared" si="42"/>
        <v>0</v>
      </c>
      <c r="R2745" s="7" t="e">
        <f>IF(VLOOKUP($A2745,'Concrete Beam Schedule'!$A$2:$Q$2902,R$2,0)&lt;&gt;B2745,VLOOKUP($A2745,'Concrete Beam Schedule'!$A$2:$Q$2902,R$2,0),"")</f>
        <v>#N/A</v>
      </c>
      <c r="S2745" s="7" t="e">
        <f>IF(VLOOKUP($A2745,'Concrete Beam Schedule'!$A$2:$Q$2902,S$2,0)&lt;&gt;C2745,VLOOKUP($A2745,'Concrete Beam Schedule'!$A$2:$Q$2902,S$2,0),"")</f>
        <v>#N/A</v>
      </c>
      <c r="T2745" s="7" t="e">
        <f>IF(VLOOKUP($A2745,'Concrete Beam Schedule'!$A$2:$Q$2902,T$2,0)&lt;&gt;D2745,"Beam Revised","")</f>
        <v>#N/A</v>
      </c>
      <c r="U2745" s="7" t="e">
        <f>IF(VLOOKUP($A2745,'Concrete Beam Schedule'!$A$2:$Q$2902,U$2,0)&lt;&gt;E2745,"Beam Revised","")</f>
        <v>#N/A</v>
      </c>
      <c r="V2745" s="7" t="e">
        <f>IF(VLOOKUP($A2745,'Concrete Beam Schedule'!$A$2:$Q$2902,V$2,0)&lt;&gt;F2745,"Beam Revised","")</f>
        <v>#N/A</v>
      </c>
      <c r="W2745" s="7" t="e">
        <f>IF(VLOOKUP($A2745,'Concrete Beam Schedule'!$A$2:$Q$2902,W$2,0)&lt;&gt;G2745,"Beam Revised","")</f>
        <v>#N/A</v>
      </c>
      <c r="X2745" s="7" t="e">
        <f>IF(VLOOKUP($A2745,'Concrete Beam Schedule'!$A$2:$Q$2902,X$2,0)&lt;&gt;H2745,"Beam Revised","")</f>
        <v>#N/A</v>
      </c>
      <c r="Y2745" s="7" t="e">
        <f>IF(VLOOKUP($A2745,'Concrete Beam Schedule'!$A$2:$Q$2902,Y$2,0)&lt;&gt;I2745,"Beam Revised","")</f>
        <v>#N/A</v>
      </c>
      <c r="Z2745" s="7" t="e">
        <f>IF(VLOOKUP($A2745,'Concrete Beam Schedule'!$A$2:$Q$2902,Z$2,0)&lt;&gt;J2745,"Beam Revised","")</f>
        <v>#N/A</v>
      </c>
      <c r="AA2745" s="7" t="e">
        <f>IF(VLOOKUP($A2745,'Concrete Beam Schedule'!$A$2:$Q$2902,AA$2,0)&lt;&gt;K2745,"Beam Revised","")</f>
        <v>#N/A</v>
      </c>
      <c r="AB2745" s="7" t="e">
        <f>IF(VLOOKUP($A2745,'Concrete Beam Schedule'!$A$2:$Q$2902,AB$2,0)&lt;&gt;L2745,"Beam Revised","")</f>
        <v>#N/A</v>
      </c>
      <c r="AC2745" s="7" t="e">
        <f>IF(VLOOKUP($A2745,'Concrete Beam Schedule'!$A$2:$Q$2902,AC$2,0)&lt;&gt;M2745,"Beam Revised","")</f>
        <v>#N/A</v>
      </c>
      <c r="AD2745" s="7" t="e">
        <f>IF(VLOOKUP($A2745,'Concrete Beam Schedule'!$A$2:$Q$2902,AD$2,0)&lt;&gt;N2745,"Beam Revised","")</f>
        <v>#N/A</v>
      </c>
      <c r="AE2745" s="7" t="e">
        <f>IF(VLOOKUP($A2745,'Concrete Beam Schedule'!$A$2:$Q$2902,AE$2,0)&lt;&gt;O2745,"Beam Revised","")</f>
        <v>#N/A</v>
      </c>
    </row>
    <row r="2746" spans="17:31" ht="20.100000000000001" customHeight="1" x14ac:dyDescent="0.25">
      <c r="Q2746" s="7">
        <f t="shared" si="42"/>
        <v>0</v>
      </c>
      <c r="R2746" s="7" t="e">
        <f>IF(VLOOKUP($A2746,'Concrete Beam Schedule'!$A$2:$Q$2902,R$2,0)&lt;&gt;B2746,VLOOKUP($A2746,'Concrete Beam Schedule'!$A$2:$Q$2902,R$2,0),"")</f>
        <v>#N/A</v>
      </c>
      <c r="S2746" s="7" t="e">
        <f>IF(VLOOKUP($A2746,'Concrete Beam Schedule'!$A$2:$Q$2902,S$2,0)&lt;&gt;C2746,VLOOKUP($A2746,'Concrete Beam Schedule'!$A$2:$Q$2902,S$2,0),"")</f>
        <v>#N/A</v>
      </c>
      <c r="T2746" s="7" t="e">
        <f>IF(VLOOKUP($A2746,'Concrete Beam Schedule'!$A$2:$Q$2902,T$2,0)&lt;&gt;D2746,"Beam Revised","")</f>
        <v>#N/A</v>
      </c>
      <c r="U2746" s="7" t="e">
        <f>IF(VLOOKUP($A2746,'Concrete Beam Schedule'!$A$2:$Q$2902,U$2,0)&lt;&gt;E2746,"Beam Revised","")</f>
        <v>#N/A</v>
      </c>
      <c r="V2746" s="7" t="e">
        <f>IF(VLOOKUP($A2746,'Concrete Beam Schedule'!$A$2:$Q$2902,V$2,0)&lt;&gt;F2746,"Beam Revised","")</f>
        <v>#N/A</v>
      </c>
      <c r="W2746" s="7" t="e">
        <f>IF(VLOOKUP($A2746,'Concrete Beam Schedule'!$A$2:$Q$2902,W$2,0)&lt;&gt;G2746,"Beam Revised","")</f>
        <v>#N/A</v>
      </c>
      <c r="X2746" s="7" t="e">
        <f>IF(VLOOKUP($A2746,'Concrete Beam Schedule'!$A$2:$Q$2902,X$2,0)&lt;&gt;H2746,"Beam Revised","")</f>
        <v>#N/A</v>
      </c>
      <c r="Y2746" s="7" t="e">
        <f>IF(VLOOKUP($A2746,'Concrete Beam Schedule'!$A$2:$Q$2902,Y$2,0)&lt;&gt;I2746,"Beam Revised","")</f>
        <v>#N/A</v>
      </c>
      <c r="Z2746" s="7" t="e">
        <f>IF(VLOOKUP($A2746,'Concrete Beam Schedule'!$A$2:$Q$2902,Z$2,0)&lt;&gt;J2746,"Beam Revised","")</f>
        <v>#N/A</v>
      </c>
      <c r="AA2746" s="7" t="e">
        <f>IF(VLOOKUP($A2746,'Concrete Beam Schedule'!$A$2:$Q$2902,AA$2,0)&lt;&gt;K2746,"Beam Revised","")</f>
        <v>#N/A</v>
      </c>
      <c r="AB2746" s="7" t="e">
        <f>IF(VLOOKUP($A2746,'Concrete Beam Schedule'!$A$2:$Q$2902,AB$2,0)&lt;&gt;L2746,"Beam Revised","")</f>
        <v>#N/A</v>
      </c>
      <c r="AC2746" s="7" t="e">
        <f>IF(VLOOKUP($A2746,'Concrete Beam Schedule'!$A$2:$Q$2902,AC$2,0)&lt;&gt;M2746,"Beam Revised","")</f>
        <v>#N/A</v>
      </c>
      <c r="AD2746" s="7" t="e">
        <f>IF(VLOOKUP($A2746,'Concrete Beam Schedule'!$A$2:$Q$2902,AD$2,0)&lt;&gt;N2746,"Beam Revised","")</f>
        <v>#N/A</v>
      </c>
      <c r="AE2746" s="7" t="e">
        <f>IF(VLOOKUP($A2746,'Concrete Beam Schedule'!$A$2:$Q$2902,AE$2,0)&lt;&gt;O2746,"Beam Revised","")</f>
        <v>#N/A</v>
      </c>
    </row>
    <row r="2747" spans="17:31" ht="20.100000000000001" customHeight="1" x14ac:dyDescent="0.25">
      <c r="Q2747" s="7">
        <f t="shared" si="42"/>
        <v>0</v>
      </c>
      <c r="R2747" s="7" t="e">
        <f>IF(VLOOKUP($A2747,'Concrete Beam Schedule'!$A$2:$Q$2902,R$2,0)&lt;&gt;B2747,VLOOKUP($A2747,'Concrete Beam Schedule'!$A$2:$Q$2902,R$2,0),"")</f>
        <v>#N/A</v>
      </c>
      <c r="S2747" s="7" t="e">
        <f>IF(VLOOKUP($A2747,'Concrete Beam Schedule'!$A$2:$Q$2902,S$2,0)&lt;&gt;C2747,VLOOKUP($A2747,'Concrete Beam Schedule'!$A$2:$Q$2902,S$2,0),"")</f>
        <v>#N/A</v>
      </c>
      <c r="T2747" s="7" t="e">
        <f>IF(VLOOKUP($A2747,'Concrete Beam Schedule'!$A$2:$Q$2902,T$2,0)&lt;&gt;D2747,"Beam Revised","")</f>
        <v>#N/A</v>
      </c>
      <c r="U2747" s="7" t="e">
        <f>IF(VLOOKUP($A2747,'Concrete Beam Schedule'!$A$2:$Q$2902,U$2,0)&lt;&gt;E2747,"Beam Revised","")</f>
        <v>#N/A</v>
      </c>
      <c r="V2747" s="7" t="e">
        <f>IF(VLOOKUP($A2747,'Concrete Beam Schedule'!$A$2:$Q$2902,V$2,0)&lt;&gt;F2747,"Beam Revised","")</f>
        <v>#N/A</v>
      </c>
      <c r="W2747" s="7" t="e">
        <f>IF(VLOOKUP($A2747,'Concrete Beam Schedule'!$A$2:$Q$2902,W$2,0)&lt;&gt;G2747,"Beam Revised","")</f>
        <v>#N/A</v>
      </c>
      <c r="X2747" s="7" t="e">
        <f>IF(VLOOKUP($A2747,'Concrete Beam Schedule'!$A$2:$Q$2902,X$2,0)&lt;&gt;H2747,"Beam Revised","")</f>
        <v>#N/A</v>
      </c>
      <c r="Y2747" s="7" t="e">
        <f>IF(VLOOKUP($A2747,'Concrete Beam Schedule'!$A$2:$Q$2902,Y$2,0)&lt;&gt;I2747,"Beam Revised","")</f>
        <v>#N/A</v>
      </c>
      <c r="Z2747" s="7" t="e">
        <f>IF(VLOOKUP($A2747,'Concrete Beam Schedule'!$A$2:$Q$2902,Z$2,0)&lt;&gt;J2747,"Beam Revised","")</f>
        <v>#N/A</v>
      </c>
      <c r="AA2747" s="7" t="e">
        <f>IF(VLOOKUP($A2747,'Concrete Beam Schedule'!$A$2:$Q$2902,AA$2,0)&lt;&gt;K2747,"Beam Revised","")</f>
        <v>#N/A</v>
      </c>
      <c r="AB2747" s="7" t="e">
        <f>IF(VLOOKUP($A2747,'Concrete Beam Schedule'!$A$2:$Q$2902,AB$2,0)&lt;&gt;L2747,"Beam Revised","")</f>
        <v>#N/A</v>
      </c>
      <c r="AC2747" s="7" t="e">
        <f>IF(VLOOKUP($A2747,'Concrete Beam Schedule'!$A$2:$Q$2902,AC$2,0)&lt;&gt;M2747,"Beam Revised","")</f>
        <v>#N/A</v>
      </c>
      <c r="AD2747" s="7" t="e">
        <f>IF(VLOOKUP($A2747,'Concrete Beam Schedule'!$A$2:$Q$2902,AD$2,0)&lt;&gt;N2747,"Beam Revised","")</f>
        <v>#N/A</v>
      </c>
      <c r="AE2747" s="7" t="e">
        <f>IF(VLOOKUP($A2747,'Concrete Beam Schedule'!$A$2:$Q$2902,AE$2,0)&lt;&gt;O2747,"Beam Revised","")</f>
        <v>#N/A</v>
      </c>
    </row>
    <row r="2748" spans="17:31" ht="20.100000000000001" customHeight="1" x14ac:dyDescent="0.25">
      <c r="Q2748" s="7">
        <f t="shared" si="42"/>
        <v>0</v>
      </c>
      <c r="R2748" s="7" t="e">
        <f>IF(VLOOKUP($A2748,'Concrete Beam Schedule'!$A$2:$Q$2902,R$2,0)&lt;&gt;B2748,VLOOKUP($A2748,'Concrete Beam Schedule'!$A$2:$Q$2902,R$2,0),"")</f>
        <v>#N/A</v>
      </c>
      <c r="S2748" s="7" t="e">
        <f>IF(VLOOKUP($A2748,'Concrete Beam Schedule'!$A$2:$Q$2902,S$2,0)&lt;&gt;C2748,VLOOKUP($A2748,'Concrete Beam Schedule'!$A$2:$Q$2902,S$2,0),"")</f>
        <v>#N/A</v>
      </c>
      <c r="T2748" s="7" t="e">
        <f>IF(VLOOKUP($A2748,'Concrete Beam Schedule'!$A$2:$Q$2902,T$2,0)&lt;&gt;D2748,"Beam Revised","")</f>
        <v>#N/A</v>
      </c>
      <c r="U2748" s="7" t="e">
        <f>IF(VLOOKUP($A2748,'Concrete Beam Schedule'!$A$2:$Q$2902,U$2,0)&lt;&gt;E2748,"Beam Revised","")</f>
        <v>#N/A</v>
      </c>
      <c r="V2748" s="7" t="e">
        <f>IF(VLOOKUP($A2748,'Concrete Beam Schedule'!$A$2:$Q$2902,V$2,0)&lt;&gt;F2748,"Beam Revised","")</f>
        <v>#N/A</v>
      </c>
      <c r="W2748" s="7" t="e">
        <f>IF(VLOOKUP($A2748,'Concrete Beam Schedule'!$A$2:$Q$2902,W$2,0)&lt;&gt;G2748,"Beam Revised","")</f>
        <v>#N/A</v>
      </c>
      <c r="X2748" s="7" t="e">
        <f>IF(VLOOKUP($A2748,'Concrete Beam Schedule'!$A$2:$Q$2902,X$2,0)&lt;&gt;H2748,"Beam Revised","")</f>
        <v>#N/A</v>
      </c>
      <c r="Y2748" s="7" t="e">
        <f>IF(VLOOKUP($A2748,'Concrete Beam Schedule'!$A$2:$Q$2902,Y$2,0)&lt;&gt;I2748,"Beam Revised","")</f>
        <v>#N/A</v>
      </c>
      <c r="Z2748" s="7" t="e">
        <f>IF(VLOOKUP($A2748,'Concrete Beam Schedule'!$A$2:$Q$2902,Z$2,0)&lt;&gt;J2748,"Beam Revised","")</f>
        <v>#N/A</v>
      </c>
      <c r="AA2748" s="7" t="e">
        <f>IF(VLOOKUP($A2748,'Concrete Beam Schedule'!$A$2:$Q$2902,AA$2,0)&lt;&gt;K2748,"Beam Revised","")</f>
        <v>#N/A</v>
      </c>
      <c r="AB2748" s="7" t="e">
        <f>IF(VLOOKUP($A2748,'Concrete Beam Schedule'!$A$2:$Q$2902,AB$2,0)&lt;&gt;L2748,"Beam Revised","")</f>
        <v>#N/A</v>
      </c>
      <c r="AC2748" s="7" t="e">
        <f>IF(VLOOKUP($A2748,'Concrete Beam Schedule'!$A$2:$Q$2902,AC$2,0)&lt;&gt;M2748,"Beam Revised","")</f>
        <v>#N/A</v>
      </c>
      <c r="AD2748" s="7" t="e">
        <f>IF(VLOOKUP($A2748,'Concrete Beam Schedule'!$A$2:$Q$2902,AD$2,0)&lt;&gt;N2748,"Beam Revised","")</f>
        <v>#N/A</v>
      </c>
      <c r="AE2748" s="7" t="e">
        <f>IF(VLOOKUP($A2748,'Concrete Beam Schedule'!$A$2:$Q$2902,AE$2,0)&lt;&gt;O2748,"Beam Revised","")</f>
        <v>#N/A</v>
      </c>
    </row>
    <row r="2749" spans="17:31" ht="20.100000000000001" customHeight="1" x14ac:dyDescent="0.25">
      <c r="Q2749" s="7">
        <f t="shared" si="42"/>
        <v>0</v>
      </c>
      <c r="R2749" s="7" t="e">
        <f>IF(VLOOKUP($A2749,'Concrete Beam Schedule'!$A$2:$Q$2902,R$2,0)&lt;&gt;B2749,VLOOKUP($A2749,'Concrete Beam Schedule'!$A$2:$Q$2902,R$2,0),"")</f>
        <v>#N/A</v>
      </c>
      <c r="S2749" s="7" t="e">
        <f>IF(VLOOKUP($A2749,'Concrete Beam Schedule'!$A$2:$Q$2902,S$2,0)&lt;&gt;C2749,VLOOKUP($A2749,'Concrete Beam Schedule'!$A$2:$Q$2902,S$2,0),"")</f>
        <v>#N/A</v>
      </c>
      <c r="T2749" s="7" t="e">
        <f>IF(VLOOKUP($A2749,'Concrete Beam Schedule'!$A$2:$Q$2902,T$2,0)&lt;&gt;D2749,"Beam Revised","")</f>
        <v>#N/A</v>
      </c>
      <c r="U2749" s="7" t="e">
        <f>IF(VLOOKUP($A2749,'Concrete Beam Schedule'!$A$2:$Q$2902,U$2,0)&lt;&gt;E2749,"Beam Revised","")</f>
        <v>#N/A</v>
      </c>
      <c r="V2749" s="7" t="e">
        <f>IF(VLOOKUP($A2749,'Concrete Beam Schedule'!$A$2:$Q$2902,V$2,0)&lt;&gt;F2749,"Beam Revised","")</f>
        <v>#N/A</v>
      </c>
      <c r="W2749" s="7" t="e">
        <f>IF(VLOOKUP($A2749,'Concrete Beam Schedule'!$A$2:$Q$2902,W$2,0)&lt;&gt;G2749,"Beam Revised","")</f>
        <v>#N/A</v>
      </c>
      <c r="X2749" s="7" t="e">
        <f>IF(VLOOKUP($A2749,'Concrete Beam Schedule'!$A$2:$Q$2902,X$2,0)&lt;&gt;H2749,"Beam Revised","")</f>
        <v>#N/A</v>
      </c>
      <c r="Y2749" s="7" t="e">
        <f>IF(VLOOKUP($A2749,'Concrete Beam Schedule'!$A$2:$Q$2902,Y$2,0)&lt;&gt;I2749,"Beam Revised","")</f>
        <v>#N/A</v>
      </c>
      <c r="Z2749" s="7" t="e">
        <f>IF(VLOOKUP($A2749,'Concrete Beam Schedule'!$A$2:$Q$2902,Z$2,0)&lt;&gt;J2749,"Beam Revised","")</f>
        <v>#N/A</v>
      </c>
      <c r="AA2749" s="7" t="e">
        <f>IF(VLOOKUP($A2749,'Concrete Beam Schedule'!$A$2:$Q$2902,AA$2,0)&lt;&gt;K2749,"Beam Revised","")</f>
        <v>#N/A</v>
      </c>
      <c r="AB2749" s="7" t="e">
        <f>IF(VLOOKUP($A2749,'Concrete Beam Schedule'!$A$2:$Q$2902,AB$2,0)&lt;&gt;L2749,"Beam Revised","")</f>
        <v>#N/A</v>
      </c>
      <c r="AC2749" s="7" t="e">
        <f>IF(VLOOKUP($A2749,'Concrete Beam Schedule'!$A$2:$Q$2902,AC$2,0)&lt;&gt;M2749,"Beam Revised","")</f>
        <v>#N/A</v>
      </c>
      <c r="AD2749" s="7" t="e">
        <f>IF(VLOOKUP($A2749,'Concrete Beam Schedule'!$A$2:$Q$2902,AD$2,0)&lt;&gt;N2749,"Beam Revised","")</f>
        <v>#N/A</v>
      </c>
      <c r="AE2749" s="7" t="e">
        <f>IF(VLOOKUP($A2749,'Concrete Beam Schedule'!$A$2:$Q$2902,AE$2,0)&lt;&gt;O2749,"Beam Revised","")</f>
        <v>#N/A</v>
      </c>
    </row>
    <row r="2750" spans="17:31" ht="20.100000000000001" customHeight="1" x14ac:dyDescent="0.25">
      <c r="Q2750" s="7">
        <f t="shared" si="42"/>
        <v>0</v>
      </c>
      <c r="R2750" s="7" t="e">
        <f>IF(VLOOKUP($A2750,'Concrete Beam Schedule'!$A$2:$Q$2902,R$2,0)&lt;&gt;B2750,VLOOKUP($A2750,'Concrete Beam Schedule'!$A$2:$Q$2902,R$2,0),"")</f>
        <v>#N/A</v>
      </c>
      <c r="S2750" s="7" t="e">
        <f>IF(VLOOKUP($A2750,'Concrete Beam Schedule'!$A$2:$Q$2902,S$2,0)&lt;&gt;C2750,VLOOKUP($A2750,'Concrete Beam Schedule'!$A$2:$Q$2902,S$2,0),"")</f>
        <v>#N/A</v>
      </c>
      <c r="T2750" s="7" t="e">
        <f>IF(VLOOKUP($A2750,'Concrete Beam Schedule'!$A$2:$Q$2902,T$2,0)&lt;&gt;D2750,"Beam Revised","")</f>
        <v>#N/A</v>
      </c>
      <c r="U2750" s="7" t="e">
        <f>IF(VLOOKUP($A2750,'Concrete Beam Schedule'!$A$2:$Q$2902,U$2,0)&lt;&gt;E2750,"Beam Revised","")</f>
        <v>#N/A</v>
      </c>
      <c r="V2750" s="7" t="e">
        <f>IF(VLOOKUP($A2750,'Concrete Beam Schedule'!$A$2:$Q$2902,V$2,0)&lt;&gt;F2750,"Beam Revised","")</f>
        <v>#N/A</v>
      </c>
      <c r="W2750" s="7" t="e">
        <f>IF(VLOOKUP($A2750,'Concrete Beam Schedule'!$A$2:$Q$2902,W$2,0)&lt;&gt;G2750,"Beam Revised","")</f>
        <v>#N/A</v>
      </c>
      <c r="X2750" s="7" t="e">
        <f>IF(VLOOKUP($A2750,'Concrete Beam Schedule'!$A$2:$Q$2902,X$2,0)&lt;&gt;H2750,"Beam Revised","")</f>
        <v>#N/A</v>
      </c>
      <c r="Y2750" s="7" t="e">
        <f>IF(VLOOKUP($A2750,'Concrete Beam Schedule'!$A$2:$Q$2902,Y$2,0)&lt;&gt;I2750,"Beam Revised","")</f>
        <v>#N/A</v>
      </c>
      <c r="Z2750" s="7" t="e">
        <f>IF(VLOOKUP($A2750,'Concrete Beam Schedule'!$A$2:$Q$2902,Z$2,0)&lt;&gt;J2750,"Beam Revised","")</f>
        <v>#N/A</v>
      </c>
      <c r="AA2750" s="7" t="e">
        <f>IF(VLOOKUP($A2750,'Concrete Beam Schedule'!$A$2:$Q$2902,AA$2,0)&lt;&gt;K2750,"Beam Revised","")</f>
        <v>#N/A</v>
      </c>
      <c r="AB2750" s="7" t="e">
        <f>IF(VLOOKUP($A2750,'Concrete Beam Schedule'!$A$2:$Q$2902,AB$2,0)&lt;&gt;L2750,"Beam Revised","")</f>
        <v>#N/A</v>
      </c>
      <c r="AC2750" s="7" t="e">
        <f>IF(VLOOKUP($A2750,'Concrete Beam Schedule'!$A$2:$Q$2902,AC$2,0)&lt;&gt;M2750,"Beam Revised","")</f>
        <v>#N/A</v>
      </c>
      <c r="AD2750" s="7" t="e">
        <f>IF(VLOOKUP($A2750,'Concrete Beam Schedule'!$A$2:$Q$2902,AD$2,0)&lt;&gt;N2750,"Beam Revised","")</f>
        <v>#N/A</v>
      </c>
      <c r="AE2750" s="7" t="e">
        <f>IF(VLOOKUP($A2750,'Concrete Beam Schedule'!$A$2:$Q$2902,AE$2,0)&lt;&gt;O2750,"Beam Revised","")</f>
        <v>#N/A</v>
      </c>
    </row>
    <row r="2751" spans="17:31" ht="20.100000000000001" customHeight="1" x14ac:dyDescent="0.25">
      <c r="Q2751" s="7">
        <f t="shared" si="42"/>
        <v>0</v>
      </c>
      <c r="R2751" s="7" t="e">
        <f>IF(VLOOKUP($A2751,'Concrete Beam Schedule'!$A$2:$Q$2902,R$2,0)&lt;&gt;B2751,VLOOKUP($A2751,'Concrete Beam Schedule'!$A$2:$Q$2902,R$2,0),"")</f>
        <v>#N/A</v>
      </c>
      <c r="S2751" s="7" t="e">
        <f>IF(VLOOKUP($A2751,'Concrete Beam Schedule'!$A$2:$Q$2902,S$2,0)&lt;&gt;C2751,VLOOKUP($A2751,'Concrete Beam Schedule'!$A$2:$Q$2902,S$2,0),"")</f>
        <v>#N/A</v>
      </c>
      <c r="T2751" s="7" t="e">
        <f>IF(VLOOKUP($A2751,'Concrete Beam Schedule'!$A$2:$Q$2902,T$2,0)&lt;&gt;D2751,"Beam Revised","")</f>
        <v>#N/A</v>
      </c>
      <c r="U2751" s="7" t="e">
        <f>IF(VLOOKUP($A2751,'Concrete Beam Schedule'!$A$2:$Q$2902,U$2,0)&lt;&gt;E2751,"Beam Revised","")</f>
        <v>#N/A</v>
      </c>
      <c r="V2751" s="7" t="e">
        <f>IF(VLOOKUP($A2751,'Concrete Beam Schedule'!$A$2:$Q$2902,V$2,0)&lt;&gt;F2751,"Beam Revised","")</f>
        <v>#N/A</v>
      </c>
      <c r="W2751" s="7" t="e">
        <f>IF(VLOOKUP($A2751,'Concrete Beam Schedule'!$A$2:$Q$2902,W$2,0)&lt;&gt;G2751,"Beam Revised","")</f>
        <v>#N/A</v>
      </c>
      <c r="X2751" s="7" t="e">
        <f>IF(VLOOKUP($A2751,'Concrete Beam Schedule'!$A$2:$Q$2902,X$2,0)&lt;&gt;H2751,"Beam Revised","")</f>
        <v>#N/A</v>
      </c>
      <c r="Y2751" s="7" t="e">
        <f>IF(VLOOKUP($A2751,'Concrete Beam Schedule'!$A$2:$Q$2902,Y$2,0)&lt;&gt;I2751,"Beam Revised","")</f>
        <v>#N/A</v>
      </c>
      <c r="Z2751" s="7" t="e">
        <f>IF(VLOOKUP($A2751,'Concrete Beam Schedule'!$A$2:$Q$2902,Z$2,0)&lt;&gt;J2751,"Beam Revised","")</f>
        <v>#N/A</v>
      </c>
      <c r="AA2751" s="7" t="e">
        <f>IF(VLOOKUP($A2751,'Concrete Beam Schedule'!$A$2:$Q$2902,AA$2,0)&lt;&gt;K2751,"Beam Revised","")</f>
        <v>#N/A</v>
      </c>
      <c r="AB2751" s="7" t="e">
        <f>IF(VLOOKUP($A2751,'Concrete Beam Schedule'!$A$2:$Q$2902,AB$2,0)&lt;&gt;L2751,"Beam Revised","")</f>
        <v>#N/A</v>
      </c>
      <c r="AC2751" s="7" t="e">
        <f>IF(VLOOKUP($A2751,'Concrete Beam Schedule'!$A$2:$Q$2902,AC$2,0)&lt;&gt;M2751,"Beam Revised","")</f>
        <v>#N/A</v>
      </c>
      <c r="AD2751" s="7" t="e">
        <f>IF(VLOOKUP($A2751,'Concrete Beam Schedule'!$A$2:$Q$2902,AD$2,0)&lt;&gt;N2751,"Beam Revised","")</f>
        <v>#N/A</v>
      </c>
      <c r="AE2751" s="7" t="e">
        <f>IF(VLOOKUP($A2751,'Concrete Beam Schedule'!$A$2:$Q$2902,AE$2,0)&lt;&gt;O2751,"Beam Revised","")</f>
        <v>#N/A</v>
      </c>
    </row>
    <row r="2752" spans="17:31" ht="20.100000000000001" customHeight="1" x14ac:dyDescent="0.25">
      <c r="Q2752" s="7">
        <f t="shared" si="42"/>
        <v>0</v>
      </c>
      <c r="R2752" s="7" t="e">
        <f>IF(VLOOKUP($A2752,'Concrete Beam Schedule'!$A$2:$Q$2902,R$2,0)&lt;&gt;B2752,VLOOKUP($A2752,'Concrete Beam Schedule'!$A$2:$Q$2902,R$2,0),"")</f>
        <v>#N/A</v>
      </c>
      <c r="S2752" s="7" t="e">
        <f>IF(VLOOKUP($A2752,'Concrete Beam Schedule'!$A$2:$Q$2902,S$2,0)&lt;&gt;C2752,VLOOKUP($A2752,'Concrete Beam Schedule'!$A$2:$Q$2902,S$2,0),"")</f>
        <v>#N/A</v>
      </c>
      <c r="T2752" s="7" t="e">
        <f>IF(VLOOKUP($A2752,'Concrete Beam Schedule'!$A$2:$Q$2902,T$2,0)&lt;&gt;D2752,"Beam Revised","")</f>
        <v>#N/A</v>
      </c>
      <c r="U2752" s="7" t="e">
        <f>IF(VLOOKUP($A2752,'Concrete Beam Schedule'!$A$2:$Q$2902,U$2,0)&lt;&gt;E2752,"Beam Revised","")</f>
        <v>#N/A</v>
      </c>
      <c r="V2752" s="7" t="e">
        <f>IF(VLOOKUP($A2752,'Concrete Beam Schedule'!$A$2:$Q$2902,V$2,0)&lt;&gt;F2752,"Beam Revised","")</f>
        <v>#N/A</v>
      </c>
      <c r="W2752" s="7" t="e">
        <f>IF(VLOOKUP($A2752,'Concrete Beam Schedule'!$A$2:$Q$2902,W$2,0)&lt;&gt;G2752,"Beam Revised","")</f>
        <v>#N/A</v>
      </c>
      <c r="X2752" s="7" t="e">
        <f>IF(VLOOKUP($A2752,'Concrete Beam Schedule'!$A$2:$Q$2902,X$2,0)&lt;&gt;H2752,"Beam Revised","")</f>
        <v>#N/A</v>
      </c>
      <c r="Y2752" s="7" t="e">
        <f>IF(VLOOKUP($A2752,'Concrete Beam Schedule'!$A$2:$Q$2902,Y$2,0)&lt;&gt;I2752,"Beam Revised","")</f>
        <v>#N/A</v>
      </c>
      <c r="Z2752" s="7" t="e">
        <f>IF(VLOOKUP($A2752,'Concrete Beam Schedule'!$A$2:$Q$2902,Z$2,0)&lt;&gt;J2752,"Beam Revised","")</f>
        <v>#N/A</v>
      </c>
      <c r="AA2752" s="7" t="e">
        <f>IF(VLOOKUP($A2752,'Concrete Beam Schedule'!$A$2:$Q$2902,AA$2,0)&lt;&gt;K2752,"Beam Revised","")</f>
        <v>#N/A</v>
      </c>
      <c r="AB2752" s="7" t="e">
        <f>IF(VLOOKUP($A2752,'Concrete Beam Schedule'!$A$2:$Q$2902,AB$2,0)&lt;&gt;L2752,"Beam Revised","")</f>
        <v>#N/A</v>
      </c>
      <c r="AC2752" s="7" t="e">
        <f>IF(VLOOKUP($A2752,'Concrete Beam Schedule'!$A$2:$Q$2902,AC$2,0)&lt;&gt;M2752,"Beam Revised","")</f>
        <v>#N/A</v>
      </c>
      <c r="AD2752" s="7" t="e">
        <f>IF(VLOOKUP($A2752,'Concrete Beam Schedule'!$A$2:$Q$2902,AD$2,0)&lt;&gt;N2752,"Beam Revised","")</f>
        <v>#N/A</v>
      </c>
      <c r="AE2752" s="7" t="e">
        <f>IF(VLOOKUP($A2752,'Concrete Beam Schedule'!$A$2:$Q$2902,AE$2,0)&lt;&gt;O2752,"Beam Revised","")</f>
        <v>#N/A</v>
      </c>
    </row>
    <row r="2753" spans="17:31" ht="20.100000000000001" customHeight="1" x14ac:dyDescent="0.25">
      <c r="Q2753" s="7">
        <f t="shared" si="42"/>
        <v>0</v>
      </c>
      <c r="R2753" s="7" t="e">
        <f>IF(VLOOKUP($A2753,'Concrete Beam Schedule'!$A$2:$Q$2902,R$2,0)&lt;&gt;B2753,VLOOKUP($A2753,'Concrete Beam Schedule'!$A$2:$Q$2902,R$2,0),"")</f>
        <v>#N/A</v>
      </c>
      <c r="S2753" s="7" t="e">
        <f>IF(VLOOKUP($A2753,'Concrete Beam Schedule'!$A$2:$Q$2902,S$2,0)&lt;&gt;C2753,VLOOKUP($A2753,'Concrete Beam Schedule'!$A$2:$Q$2902,S$2,0),"")</f>
        <v>#N/A</v>
      </c>
      <c r="T2753" s="7" t="e">
        <f>IF(VLOOKUP($A2753,'Concrete Beam Schedule'!$A$2:$Q$2902,T$2,0)&lt;&gt;D2753,"Beam Revised","")</f>
        <v>#N/A</v>
      </c>
      <c r="U2753" s="7" t="e">
        <f>IF(VLOOKUP($A2753,'Concrete Beam Schedule'!$A$2:$Q$2902,U$2,0)&lt;&gt;E2753,"Beam Revised","")</f>
        <v>#N/A</v>
      </c>
      <c r="V2753" s="7" t="e">
        <f>IF(VLOOKUP($A2753,'Concrete Beam Schedule'!$A$2:$Q$2902,V$2,0)&lt;&gt;F2753,"Beam Revised","")</f>
        <v>#N/A</v>
      </c>
      <c r="W2753" s="7" t="e">
        <f>IF(VLOOKUP($A2753,'Concrete Beam Schedule'!$A$2:$Q$2902,W$2,0)&lt;&gt;G2753,"Beam Revised","")</f>
        <v>#N/A</v>
      </c>
      <c r="X2753" s="7" t="e">
        <f>IF(VLOOKUP($A2753,'Concrete Beam Schedule'!$A$2:$Q$2902,X$2,0)&lt;&gt;H2753,"Beam Revised","")</f>
        <v>#N/A</v>
      </c>
      <c r="Y2753" s="7" t="e">
        <f>IF(VLOOKUP($A2753,'Concrete Beam Schedule'!$A$2:$Q$2902,Y$2,0)&lt;&gt;I2753,"Beam Revised","")</f>
        <v>#N/A</v>
      </c>
      <c r="Z2753" s="7" t="e">
        <f>IF(VLOOKUP($A2753,'Concrete Beam Schedule'!$A$2:$Q$2902,Z$2,0)&lt;&gt;J2753,"Beam Revised","")</f>
        <v>#N/A</v>
      </c>
      <c r="AA2753" s="7" t="e">
        <f>IF(VLOOKUP($A2753,'Concrete Beam Schedule'!$A$2:$Q$2902,AA$2,0)&lt;&gt;K2753,"Beam Revised","")</f>
        <v>#N/A</v>
      </c>
      <c r="AB2753" s="7" t="e">
        <f>IF(VLOOKUP($A2753,'Concrete Beam Schedule'!$A$2:$Q$2902,AB$2,0)&lt;&gt;L2753,"Beam Revised","")</f>
        <v>#N/A</v>
      </c>
      <c r="AC2753" s="7" t="e">
        <f>IF(VLOOKUP($A2753,'Concrete Beam Schedule'!$A$2:$Q$2902,AC$2,0)&lt;&gt;M2753,"Beam Revised","")</f>
        <v>#N/A</v>
      </c>
      <c r="AD2753" s="7" t="e">
        <f>IF(VLOOKUP($A2753,'Concrete Beam Schedule'!$A$2:$Q$2902,AD$2,0)&lt;&gt;N2753,"Beam Revised","")</f>
        <v>#N/A</v>
      </c>
      <c r="AE2753" s="7" t="e">
        <f>IF(VLOOKUP($A2753,'Concrete Beam Schedule'!$A$2:$Q$2902,AE$2,0)&lt;&gt;O2753,"Beam Revised","")</f>
        <v>#N/A</v>
      </c>
    </row>
    <row r="2754" spans="17:31" ht="20.100000000000001" customHeight="1" x14ac:dyDescent="0.25">
      <c r="Q2754" s="7">
        <f t="shared" si="42"/>
        <v>0</v>
      </c>
      <c r="R2754" s="7" t="e">
        <f>IF(VLOOKUP($A2754,'Concrete Beam Schedule'!$A$2:$Q$2902,R$2,0)&lt;&gt;B2754,VLOOKUP($A2754,'Concrete Beam Schedule'!$A$2:$Q$2902,R$2,0),"")</f>
        <v>#N/A</v>
      </c>
      <c r="S2754" s="7" t="e">
        <f>IF(VLOOKUP($A2754,'Concrete Beam Schedule'!$A$2:$Q$2902,S$2,0)&lt;&gt;C2754,VLOOKUP($A2754,'Concrete Beam Schedule'!$A$2:$Q$2902,S$2,0),"")</f>
        <v>#N/A</v>
      </c>
      <c r="T2754" s="7" t="e">
        <f>IF(VLOOKUP($A2754,'Concrete Beam Schedule'!$A$2:$Q$2902,T$2,0)&lt;&gt;D2754,"Beam Revised","")</f>
        <v>#N/A</v>
      </c>
      <c r="U2754" s="7" t="e">
        <f>IF(VLOOKUP($A2754,'Concrete Beam Schedule'!$A$2:$Q$2902,U$2,0)&lt;&gt;E2754,"Beam Revised","")</f>
        <v>#N/A</v>
      </c>
      <c r="V2754" s="7" t="e">
        <f>IF(VLOOKUP($A2754,'Concrete Beam Schedule'!$A$2:$Q$2902,V$2,0)&lt;&gt;F2754,"Beam Revised","")</f>
        <v>#N/A</v>
      </c>
      <c r="W2754" s="7" t="e">
        <f>IF(VLOOKUP($A2754,'Concrete Beam Schedule'!$A$2:$Q$2902,W$2,0)&lt;&gt;G2754,"Beam Revised","")</f>
        <v>#N/A</v>
      </c>
      <c r="X2754" s="7" t="e">
        <f>IF(VLOOKUP($A2754,'Concrete Beam Schedule'!$A$2:$Q$2902,X$2,0)&lt;&gt;H2754,"Beam Revised","")</f>
        <v>#N/A</v>
      </c>
      <c r="Y2754" s="7" t="e">
        <f>IF(VLOOKUP($A2754,'Concrete Beam Schedule'!$A$2:$Q$2902,Y$2,0)&lt;&gt;I2754,"Beam Revised","")</f>
        <v>#N/A</v>
      </c>
      <c r="Z2754" s="7" t="e">
        <f>IF(VLOOKUP($A2754,'Concrete Beam Schedule'!$A$2:$Q$2902,Z$2,0)&lt;&gt;J2754,"Beam Revised","")</f>
        <v>#N/A</v>
      </c>
      <c r="AA2754" s="7" t="e">
        <f>IF(VLOOKUP($A2754,'Concrete Beam Schedule'!$A$2:$Q$2902,AA$2,0)&lt;&gt;K2754,"Beam Revised","")</f>
        <v>#N/A</v>
      </c>
      <c r="AB2754" s="7" t="e">
        <f>IF(VLOOKUP($A2754,'Concrete Beam Schedule'!$A$2:$Q$2902,AB$2,0)&lt;&gt;L2754,"Beam Revised","")</f>
        <v>#N/A</v>
      </c>
      <c r="AC2754" s="7" t="e">
        <f>IF(VLOOKUP($A2754,'Concrete Beam Schedule'!$A$2:$Q$2902,AC$2,0)&lt;&gt;M2754,"Beam Revised","")</f>
        <v>#N/A</v>
      </c>
      <c r="AD2754" s="7" t="e">
        <f>IF(VLOOKUP($A2754,'Concrete Beam Schedule'!$A$2:$Q$2902,AD$2,0)&lt;&gt;N2754,"Beam Revised","")</f>
        <v>#N/A</v>
      </c>
      <c r="AE2754" s="7" t="e">
        <f>IF(VLOOKUP($A2754,'Concrete Beam Schedule'!$A$2:$Q$2902,AE$2,0)&lt;&gt;O2754,"Beam Revised","")</f>
        <v>#N/A</v>
      </c>
    </row>
    <row r="2755" spans="17:31" ht="20.100000000000001" customHeight="1" x14ac:dyDescent="0.25">
      <c r="Q2755" s="7">
        <f t="shared" si="42"/>
        <v>0</v>
      </c>
      <c r="R2755" s="7" t="e">
        <f>IF(VLOOKUP($A2755,'Concrete Beam Schedule'!$A$2:$Q$2902,R$2,0)&lt;&gt;B2755,VLOOKUP($A2755,'Concrete Beam Schedule'!$A$2:$Q$2902,R$2,0),"")</f>
        <v>#N/A</v>
      </c>
      <c r="S2755" s="7" t="e">
        <f>IF(VLOOKUP($A2755,'Concrete Beam Schedule'!$A$2:$Q$2902,S$2,0)&lt;&gt;C2755,VLOOKUP($A2755,'Concrete Beam Schedule'!$A$2:$Q$2902,S$2,0),"")</f>
        <v>#N/A</v>
      </c>
      <c r="T2755" s="7" t="e">
        <f>IF(VLOOKUP($A2755,'Concrete Beam Schedule'!$A$2:$Q$2902,T$2,0)&lt;&gt;D2755,"Beam Revised","")</f>
        <v>#N/A</v>
      </c>
      <c r="U2755" s="7" t="e">
        <f>IF(VLOOKUP($A2755,'Concrete Beam Schedule'!$A$2:$Q$2902,U$2,0)&lt;&gt;E2755,"Beam Revised","")</f>
        <v>#N/A</v>
      </c>
      <c r="V2755" s="7" t="e">
        <f>IF(VLOOKUP($A2755,'Concrete Beam Schedule'!$A$2:$Q$2902,V$2,0)&lt;&gt;F2755,"Beam Revised","")</f>
        <v>#N/A</v>
      </c>
      <c r="W2755" s="7" t="e">
        <f>IF(VLOOKUP($A2755,'Concrete Beam Schedule'!$A$2:$Q$2902,W$2,0)&lt;&gt;G2755,"Beam Revised","")</f>
        <v>#N/A</v>
      </c>
      <c r="X2755" s="7" t="e">
        <f>IF(VLOOKUP($A2755,'Concrete Beam Schedule'!$A$2:$Q$2902,X$2,0)&lt;&gt;H2755,"Beam Revised","")</f>
        <v>#N/A</v>
      </c>
      <c r="Y2755" s="7" t="e">
        <f>IF(VLOOKUP($A2755,'Concrete Beam Schedule'!$A$2:$Q$2902,Y$2,0)&lt;&gt;I2755,"Beam Revised","")</f>
        <v>#N/A</v>
      </c>
      <c r="Z2755" s="7" t="e">
        <f>IF(VLOOKUP($A2755,'Concrete Beam Schedule'!$A$2:$Q$2902,Z$2,0)&lt;&gt;J2755,"Beam Revised","")</f>
        <v>#N/A</v>
      </c>
      <c r="AA2755" s="7" t="e">
        <f>IF(VLOOKUP($A2755,'Concrete Beam Schedule'!$A$2:$Q$2902,AA$2,0)&lt;&gt;K2755,"Beam Revised","")</f>
        <v>#N/A</v>
      </c>
      <c r="AB2755" s="7" t="e">
        <f>IF(VLOOKUP($A2755,'Concrete Beam Schedule'!$A$2:$Q$2902,AB$2,0)&lt;&gt;L2755,"Beam Revised","")</f>
        <v>#N/A</v>
      </c>
      <c r="AC2755" s="7" t="e">
        <f>IF(VLOOKUP($A2755,'Concrete Beam Schedule'!$A$2:$Q$2902,AC$2,0)&lt;&gt;M2755,"Beam Revised","")</f>
        <v>#N/A</v>
      </c>
      <c r="AD2755" s="7" t="e">
        <f>IF(VLOOKUP($A2755,'Concrete Beam Schedule'!$A$2:$Q$2902,AD$2,0)&lt;&gt;N2755,"Beam Revised","")</f>
        <v>#N/A</v>
      </c>
      <c r="AE2755" s="7" t="e">
        <f>IF(VLOOKUP($A2755,'Concrete Beam Schedule'!$A$2:$Q$2902,AE$2,0)&lt;&gt;O2755,"Beam Revised","")</f>
        <v>#N/A</v>
      </c>
    </row>
    <row r="2756" spans="17:31" ht="20.100000000000001" customHeight="1" x14ac:dyDescent="0.25">
      <c r="Q2756" s="7">
        <f t="shared" ref="Q2756:Q2819" si="43">A2756</f>
        <v>0</v>
      </c>
      <c r="R2756" s="7" t="e">
        <f>IF(VLOOKUP($A2756,'Concrete Beam Schedule'!$A$2:$Q$2902,R$2,0)&lt;&gt;B2756,VLOOKUP($A2756,'Concrete Beam Schedule'!$A$2:$Q$2902,R$2,0),"")</f>
        <v>#N/A</v>
      </c>
      <c r="S2756" s="7" t="e">
        <f>IF(VLOOKUP($A2756,'Concrete Beam Schedule'!$A$2:$Q$2902,S$2,0)&lt;&gt;C2756,VLOOKUP($A2756,'Concrete Beam Schedule'!$A$2:$Q$2902,S$2,0),"")</f>
        <v>#N/A</v>
      </c>
      <c r="T2756" s="7" t="e">
        <f>IF(VLOOKUP($A2756,'Concrete Beam Schedule'!$A$2:$Q$2902,T$2,0)&lt;&gt;D2756,"Beam Revised","")</f>
        <v>#N/A</v>
      </c>
      <c r="U2756" s="7" t="e">
        <f>IF(VLOOKUP($A2756,'Concrete Beam Schedule'!$A$2:$Q$2902,U$2,0)&lt;&gt;E2756,"Beam Revised","")</f>
        <v>#N/A</v>
      </c>
      <c r="V2756" s="7" t="e">
        <f>IF(VLOOKUP($A2756,'Concrete Beam Schedule'!$A$2:$Q$2902,V$2,0)&lt;&gt;F2756,"Beam Revised","")</f>
        <v>#N/A</v>
      </c>
      <c r="W2756" s="7" t="e">
        <f>IF(VLOOKUP($A2756,'Concrete Beam Schedule'!$A$2:$Q$2902,W$2,0)&lt;&gt;G2756,"Beam Revised","")</f>
        <v>#N/A</v>
      </c>
      <c r="X2756" s="7" t="e">
        <f>IF(VLOOKUP($A2756,'Concrete Beam Schedule'!$A$2:$Q$2902,X$2,0)&lt;&gt;H2756,"Beam Revised","")</f>
        <v>#N/A</v>
      </c>
      <c r="Y2756" s="7" t="e">
        <f>IF(VLOOKUP($A2756,'Concrete Beam Schedule'!$A$2:$Q$2902,Y$2,0)&lt;&gt;I2756,"Beam Revised","")</f>
        <v>#N/A</v>
      </c>
      <c r="Z2756" s="7" t="e">
        <f>IF(VLOOKUP($A2756,'Concrete Beam Schedule'!$A$2:$Q$2902,Z$2,0)&lt;&gt;J2756,"Beam Revised","")</f>
        <v>#N/A</v>
      </c>
      <c r="AA2756" s="7" t="e">
        <f>IF(VLOOKUP($A2756,'Concrete Beam Schedule'!$A$2:$Q$2902,AA$2,0)&lt;&gt;K2756,"Beam Revised","")</f>
        <v>#N/A</v>
      </c>
      <c r="AB2756" s="7" t="e">
        <f>IF(VLOOKUP($A2756,'Concrete Beam Schedule'!$A$2:$Q$2902,AB$2,0)&lt;&gt;L2756,"Beam Revised","")</f>
        <v>#N/A</v>
      </c>
      <c r="AC2756" s="7" t="e">
        <f>IF(VLOOKUP($A2756,'Concrete Beam Schedule'!$A$2:$Q$2902,AC$2,0)&lt;&gt;M2756,"Beam Revised","")</f>
        <v>#N/A</v>
      </c>
      <c r="AD2756" s="7" t="e">
        <f>IF(VLOOKUP($A2756,'Concrete Beam Schedule'!$A$2:$Q$2902,AD$2,0)&lt;&gt;N2756,"Beam Revised","")</f>
        <v>#N/A</v>
      </c>
      <c r="AE2756" s="7" t="e">
        <f>IF(VLOOKUP($A2756,'Concrete Beam Schedule'!$A$2:$Q$2902,AE$2,0)&lt;&gt;O2756,"Beam Revised","")</f>
        <v>#N/A</v>
      </c>
    </row>
    <row r="2757" spans="17:31" ht="20.100000000000001" customHeight="1" x14ac:dyDescent="0.25">
      <c r="Q2757" s="7">
        <f t="shared" si="43"/>
        <v>0</v>
      </c>
      <c r="R2757" s="7" t="e">
        <f>IF(VLOOKUP($A2757,'Concrete Beam Schedule'!$A$2:$Q$2902,R$2,0)&lt;&gt;B2757,VLOOKUP($A2757,'Concrete Beam Schedule'!$A$2:$Q$2902,R$2,0),"")</f>
        <v>#N/A</v>
      </c>
      <c r="S2757" s="7" t="e">
        <f>IF(VLOOKUP($A2757,'Concrete Beam Schedule'!$A$2:$Q$2902,S$2,0)&lt;&gt;C2757,VLOOKUP($A2757,'Concrete Beam Schedule'!$A$2:$Q$2902,S$2,0),"")</f>
        <v>#N/A</v>
      </c>
      <c r="T2757" s="7" t="e">
        <f>IF(VLOOKUP($A2757,'Concrete Beam Schedule'!$A$2:$Q$2902,T$2,0)&lt;&gt;D2757,"Beam Revised","")</f>
        <v>#N/A</v>
      </c>
      <c r="U2757" s="7" t="e">
        <f>IF(VLOOKUP($A2757,'Concrete Beam Schedule'!$A$2:$Q$2902,U$2,0)&lt;&gt;E2757,"Beam Revised","")</f>
        <v>#N/A</v>
      </c>
      <c r="V2757" s="7" t="e">
        <f>IF(VLOOKUP($A2757,'Concrete Beam Schedule'!$A$2:$Q$2902,V$2,0)&lt;&gt;F2757,"Beam Revised","")</f>
        <v>#N/A</v>
      </c>
      <c r="W2757" s="7" t="e">
        <f>IF(VLOOKUP($A2757,'Concrete Beam Schedule'!$A$2:$Q$2902,W$2,0)&lt;&gt;G2757,"Beam Revised","")</f>
        <v>#N/A</v>
      </c>
      <c r="X2757" s="7" t="e">
        <f>IF(VLOOKUP($A2757,'Concrete Beam Schedule'!$A$2:$Q$2902,X$2,0)&lt;&gt;H2757,"Beam Revised","")</f>
        <v>#N/A</v>
      </c>
      <c r="Y2757" s="7" t="e">
        <f>IF(VLOOKUP($A2757,'Concrete Beam Schedule'!$A$2:$Q$2902,Y$2,0)&lt;&gt;I2757,"Beam Revised","")</f>
        <v>#N/A</v>
      </c>
      <c r="Z2757" s="7" t="e">
        <f>IF(VLOOKUP($A2757,'Concrete Beam Schedule'!$A$2:$Q$2902,Z$2,0)&lt;&gt;J2757,"Beam Revised","")</f>
        <v>#N/A</v>
      </c>
      <c r="AA2757" s="7" t="e">
        <f>IF(VLOOKUP($A2757,'Concrete Beam Schedule'!$A$2:$Q$2902,AA$2,0)&lt;&gt;K2757,"Beam Revised","")</f>
        <v>#N/A</v>
      </c>
      <c r="AB2757" s="7" t="e">
        <f>IF(VLOOKUP($A2757,'Concrete Beam Schedule'!$A$2:$Q$2902,AB$2,0)&lt;&gt;L2757,"Beam Revised","")</f>
        <v>#N/A</v>
      </c>
      <c r="AC2757" s="7" t="e">
        <f>IF(VLOOKUP($A2757,'Concrete Beam Schedule'!$A$2:$Q$2902,AC$2,0)&lt;&gt;M2757,"Beam Revised","")</f>
        <v>#N/A</v>
      </c>
      <c r="AD2757" s="7" t="e">
        <f>IF(VLOOKUP($A2757,'Concrete Beam Schedule'!$A$2:$Q$2902,AD$2,0)&lt;&gt;N2757,"Beam Revised","")</f>
        <v>#N/A</v>
      </c>
      <c r="AE2757" s="7" t="e">
        <f>IF(VLOOKUP($A2757,'Concrete Beam Schedule'!$A$2:$Q$2902,AE$2,0)&lt;&gt;O2757,"Beam Revised","")</f>
        <v>#N/A</v>
      </c>
    </row>
    <row r="2758" spans="17:31" ht="20.100000000000001" customHeight="1" x14ac:dyDescent="0.25">
      <c r="Q2758" s="7">
        <f t="shared" si="43"/>
        <v>0</v>
      </c>
      <c r="R2758" s="7" t="e">
        <f>IF(VLOOKUP($A2758,'Concrete Beam Schedule'!$A$2:$Q$2902,R$2,0)&lt;&gt;B2758,VLOOKUP($A2758,'Concrete Beam Schedule'!$A$2:$Q$2902,R$2,0),"")</f>
        <v>#N/A</v>
      </c>
      <c r="S2758" s="7" t="e">
        <f>IF(VLOOKUP($A2758,'Concrete Beam Schedule'!$A$2:$Q$2902,S$2,0)&lt;&gt;C2758,VLOOKUP($A2758,'Concrete Beam Schedule'!$A$2:$Q$2902,S$2,0),"")</f>
        <v>#N/A</v>
      </c>
      <c r="T2758" s="7" t="e">
        <f>IF(VLOOKUP($A2758,'Concrete Beam Schedule'!$A$2:$Q$2902,T$2,0)&lt;&gt;D2758,"Beam Revised","")</f>
        <v>#N/A</v>
      </c>
      <c r="U2758" s="7" t="e">
        <f>IF(VLOOKUP($A2758,'Concrete Beam Schedule'!$A$2:$Q$2902,U$2,0)&lt;&gt;E2758,"Beam Revised","")</f>
        <v>#N/A</v>
      </c>
      <c r="V2758" s="7" t="e">
        <f>IF(VLOOKUP($A2758,'Concrete Beam Schedule'!$A$2:$Q$2902,V$2,0)&lt;&gt;F2758,"Beam Revised","")</f>
        <v>#N/A</v>
      </c>
      <c r="W2758" s="7" t="e">
        <f>IF(VLOOKUP($A2758,'Concrete Beam Schedule'!$A$2:$Q$2902,W$2,0)&lt;&gt;G2758,"Beam Revised","")</f>
        <v>#N/A</v>
      </c>
      <c r="X2758" s="7" t="e">
        <f>IF(VLOOKUP($A2758,'Concrete Beam Schedule'!$A$2:$Q$2902,X$2,0)&lt;&gt;H2758,"Beam Revised","")</f>
        <v>#N/A</v>
      </c>
      <c r="Y2758" s="7" t="e">
        <f>IF(VLOOKUP($A2758,'Concrete Beam Schedule'!$A$2:$Q$2902,Y$2,0)&lt;&gt;I2758,"Beam Revised","")</f>
        <v>#N/A</v>
      </c>
      <c r="Z2758" s="7" t="e">
        <f>IF(VLOOKUP($A2758,'Concrete Beam Schedule'!$A$2:$Q$2902,Z$2,0)&lt;&gt;J2758,"Beam Revised","")</f>
        <v>#N/A</v>
      </c>
      <c r="AA2758" s="7" t="e">
        <f>IF(VLOOKUP($A2758,'Concrete Beam Schedule'!$A$2:$Q$2902,AA$2,0)&lt;&gt;K2758,"Beam Revised","")</f>
        <v>#N/A</v>
      </c>
      <c r="AB2758" s="7" t="e">
        <f>IF(VLOOKUP($A2758,'Concrete Beam Schedule'!$A$2:$Q$2902,AB$2,0)&lt;&gt;L2758,"Beam Revised","")</f>
        <v>#N/A</v>
      </c>
      <c r="AC2758" s="7" t="e">
        <f>IF(VLOOKUP($A2758,'Concrete Beam Schedule'!$A$2:$Q$2902,AC$2,0)&lt;&gt;M2758,"Beam Revised","")</f>
        <v>#N/A</v>
      </c>
      <c r="AD2758" s="7" t="e">
        <f>IF(VLOOKUP($A2758,'Concrete Beam Schedule'!$A$2:$Q$2902,AD$2,0)&lt;&gt;N2758,"Beam Revised","")</f>
        <v>#N/A</v>
      </c>
      <c r="AE2758" s="7" t="e">
        <f>IF(VLOOKUP($A2758,'Concrete Beam Schedule'!$A$2:$Q$2902,AE$2,0)&lt;&gt;O2758,"Beam Revised","")</f>
        <v>#N/A</v>
      </c>
    </row>
    <row r="2759" spans="17:31" ht="20.100000000000001" customHeight="1" x14ac:dyDescent="0.25">
      <c r="Q2759" s="7">
        <f t="shared" si="43"/>
        <v>0</v>
      </c>
      <c r="R2759" s="7" t="e">
        <f>IF(VLOOKUP($A2759,'Concrete Beam Schedule'!$A$2:$Q$2902,R$2,0)&lt;&gt;B2759,VLOOKUP($A2759,'Concrete Beam Schedule'!$A$2:$Q$2902,R$2,0),"")</f>
        <v>#N/A</v>
      </c>
      <c r="S2759" s="7" t="e">
        <f>IF(VLOOKUP($A2759,'Concrete Beam Schedule'!$A$2:$Q$2902,S$2,0)&lt;&gt;C2759,VLOOKUP($A2759,'Concrete Beam Schedule'!$A$2:$Q$2902,S$2,0),"")</f>
        <v>#N/A</v>
      </c>
      <c r="T2759" s="7" t="e">
        <f>IF(VLOOKUP($A2759,'Concrete Beam Schedule'!$A$2:$Q$2902,T$2,0)&lt;&gt;D2759,"Beam Revised","")</f>
        <v>#N/A</v>
      </c>
      <c r="U2759" s="7" t="e">
        <f>IF(VLOOKUP($A2759,'Concrete Beam Schedule'!$A$2:$Q$2902,U$2,0)&lt;&gt;E2759,"Beam Revised","")</f>
        <v>#N/A</v>
      </c>
      <c r="V2759" s="7" t="e">
        <f>IF(VLOOKUP($A2759,'Concrete Beam Schedule'!$A$2:$Q$2902,V$2,0)&lt;&gt;F2759,"Beam Revised","")</f>
        <v>#N/A</v>
      </c>
      <c r="W2759" s="7" t="e">
        <f>IF(VLOOKUP($A2759,'Concrete Beam Schedule'!$A$2:$Q$2902,W$2,0)&lt;&gt;G2759,"Beam Revised","")</f>
        <v>#N/A</v>
      </c>
      <c r="X2759" s="7" t="e">
        <f>IF(VLOOKUP($A2759,'Concrete Beam Schedule'!$A$2:$Q$2902,X$2,0)&lt;&gt;H2759,"Beam Revised","")</f>
        <v>#N/A</v>
      </c>
      <c r="Y2759" s="7" t="e">
        <f>IF(VLOOKUP($A2759,'Concrete Beam Schedule'!$A$2:$Q$2902,Y$2,0)&lt;&gt;I2759,"Beam Revised","")</f>
        <v>#N/A</v>
      </c>
      <c r="Z2759" s="7" t="e">
        <f>IF(VLOOKUP($A2759,'Concrete Beam Schedule'!$A$2:$Q$2902,Z$2,0)&lt;&gt;J2759,"Beam Revised","")</f>
        <v>#N/A</v>
      </c>
      <c r="AA2759" s="7" t="e">
        <f>IF(VLOOKUP($A2759,'Concrete Beam Schedule'!$A$2:$Q$2902,AA$2,0)&lt;&gt;K2759,"Beam Revised","")</f>
        <v>#N/A</v>
      </c>
      <c r="AB2759" s="7" t="e">
        <f>IF(VLOOKUP($A2759,'Concrete Beam Schedule'!$A$2:$Q$2902,AB$2,0)&lt;&gt;L2759,"Beam Revised","")</f>
        <v>#N/A</v>
      </c>
      <c r="AC2759" s="7" t="e">
        <f>IF(VLOOKUP($A2759,'Concrete Beam Schedule'!$A$2:$Q$2902,AC$2,0)&lt;&gt;M2759,"Beam Revised","")</f>
        <v>#N/A</v>
      </c>
      <c r="AD2759" s="7" t="e">
        <f>IF(VLOOKUP($A2759,'Concrete Beam Schedule'!$A$2:$Q$2902,AD$2,0)&lt;&gt;N2759,"Beam Revised","")</f>
        <v>#N/A</v>
      </c>
      <c r="AE2759" s="7" t="e">
        <f>IF(VLOOKUP($A2759,'Concrete Beam Schedule'!$A$2:$Q$2902,AE$2,0)&lt;&gt;O2759,"Beam Revised","")</f>
        <v>#N/A</v>
      </c>
    </row>
    <row r="2760" spans="17:31" ht="20.100000000000001" customHeight="1" x14ac:dyDescent="0.25">
      <c r="Q2760" s="7">
        <f t="shared" si="43"/>
        <v>0</v>
      </c>
      <c r="R2760" s="7" t="e">
        <f>IF(VLOOKUP($A2760,'Concrete Beam Schedule'!$A$2:$Q$2902,R$2,0)&lt;&gt;B2760,VLOOKUP($A2760,'Concrete Beam Schedule'!$A$2:$Q$2902,R$2,0),"")</f>
        <v>#N/A</v>
      </c>
      <c r="S2760" s="7" t="e">
        <f>IF(VLOOKUP($A2760,'Concrete Beam Schedule'!$A$2:$Q$2902,S$2,0)&lt;&gt;C2760,VLOOKUP($A2760,'Concrete Beam Schedule'!$A$2:$Q$2902,S$2,0),"")</f>
        <v>#N/A</v>
      </c>
      <c r="T2760" s="7" t="e">
        <f>IF(VLOOKUP($A2760,'Concrete Beam Schedule'!$A$2:$Q$2902,T$2,0)&lt;&gt;D2760,"Beam Revised","")</f>
        <v>#N/A</v>
      </c>
      <c r="U2760" s="7" t="e">
        <f>IF(VLOOKUP($A2760,'Concrete Beam Schedule'!$A$2:$Q$2902,U$2,0)&lt;&gt;E2760,"Beam Revised","")</f>
        <v>#N/A</v>
      </c>
      <c r="V2760" s="7" t="e">
        <f>IF(VLOOKUP($A2760,'Concrete Beam Schedule'!$A$2:$Q$2902,V$2,0)&lt;&gt;F2760,"Beam Revised","")</f>
        <v>#N/A</v>
      </c>
      <c r="W2760" s="7" t="e">
        <f>IF(VLOOKUP($A2760,'Concrete Beam Schedule'!$A$2:$Q$2902,W$2,0)&lt;&gt;G2760,"Beam Revised","")</f>
        <v>#N/A</v>
      </c>
      <c r="X2760" s="7" t="e">
        <f>IF(VLOOKUP($A2760,'Concrete Beam Schedule'!$A$2:$Q$2902,X$2,0)&lt;&gt;H2760,"Beam Revised","")</f>
        <v>#N/A</v>
      </c>
      <c r="Y2760" s="7" t="e">
        <f>IF(VLOOKUP($A2760,'Concrete Beam Schedule'!$A$2:$Q$2902,Y$2,0)&lt;&gt;I2760,"Beam Revised","")</f>
        <v>#N/A</v>
      </c>
      <c r="Z2760" s="7" t="e">
        <f>IF(VLOOKUP($A2760,'Concrete Beam Schedule'!$A$2:$Q$2902,Z$2,0)&lt;&gt;J2760,"Beam Revised","")</f>
        <v>#N/A</v>
      </c>
      <c r="AA2760" s="7" t="e">
        <f>IF(VLOOKUP($A2760,'Concrete Beam Schedule'!$A$2:$Q$2902,AA$2,0)&lt;&gt;K2760,"Beam Revised","")</f>
        <v>#N/A</v>
      </c>
      <c r="AB2760" s="7" t="e">
        <f>IF(VLOOKUP($A2760,'Concrete Beam Schedule'!$A$2:$Q$2902,AB$2,0)&lt;&gt;L2760,"Beam Revised","")</f>
        <v>#N/A</v>
      </c>
      <c r="AC2760" s="7" t="e">
        <f>IF(VLOOKUP($A2760,'Concrete Beam Schedule'!$A$2:$Q$2902,AC$2,0)&lt;&gt;M2760,"Beam Revised","")</f>
        <v>#N/A</v>
      </c>
      <c r="AD2760" s="7" t="e">
        <f>IF(VLOOKUP($A2760,'Concrete Beam Schedule'!$A$2:$Q$2902,AD$2,0)&lt;&gt;N2760,"Beam Revised","")</f>
        <v>#N/A</v>
      </c>
      <c r="AE2760" s="7" t="e">
        <f>IF(VLOOKUP($A2760,'Concrete Beam Schedule'!$A$2:$Q$2902,AE$2,0)&lt;&gt;O2760,"Beam Revised","")</f>
        <v>#N/A</v>
      </c>
    </row>
    <row r="2761" spans="17:31" ht="20.100000000000001" customHeight="1" x14ac:dyDescent="0.25">
      <c r="Q2761" s="7">
        <f t="shared" si="43"/>
        <v>0</v>
      </c>
      <c r="R2761" s="7" t="e">
        <f>IF(VLOOKUP($A2761,'Concrete Beam Schedule'!$A$2:$Q$2902,R$2,0)&lt;&gt;B2761,VLOOKUP($A2761,'Concrete Beam Schedule'!$A$2:$Q$2902,R$2,0),"")</f>
        <v>#N/A</v>
      </c>
      <c r="S2761" s="7" t="e">
        <f>IF(VLOOKUP($A2761,'Concrete Beam Schedule'!$A$2:$Q$2902,S$2,0)&lt;&gt;C2761,VLOOKUP($A2761,'Concrete Beam Schedule'!$A$2:$Q$2902,S$2,0),"")</f>
        <v>#N/A</v>
      </c>
      <c r="T2761" s="7" t="e">
        <f>IF(VLOOKUP($A2761,'Concrete Beam Schedule'!$A$2:$Q$2902,T$2,0)&lt;&gt;D2761,"Beam Revised","")</f>
        <v>#N/A</v>
      </c>
      <c r="U2761" s="7" t="e">
        <f>IF(VLOOKUP($A2761,'Concrete Beam Schedule'!$A$2:$Q$2902,U$2,0)&lt;&gt;E2761,"Beam Revised","")</f>
        <v>#N/A</v>
      </c>
      <c r="V2761" s="7" t="e">
        <f>IF(VLOOKUP($A2761,'Concrete Beam Schedule'!$A$2:$Q$2902,V$2,0)&lt;&gt;F2761,"Beam Revised","")</f>
        <v>#N/A</v>
      </c>
      <c r="W2761" s="7" t="e">
        <f>IF(VLOOKUP($A2761,'Concrete Beam Schedule'!$A$2:$Q$2902,W$2,0)&lt;&gt;G2761,"Beam Revised","")</f>
        <v>#N/A</v>
      </c>
      <c r="X2761" s="7" t="e">
        <f>IF(VLOOKUP($A2761,'Concrete Beam Schedule'!$A$2:$Q$2902,X$2,0)&lt;&gt;H2761,"Beam Revised","")</f>
        <v>#N/A</v>
      </c>
      <c r="Y2761" s="7" t="e">
        <f>IF(VLOOKUP($A2761,'Concrete Beam Schedule'!$A$2:$Q$2902,Y$2,0)&lt;&gt;I2761,"Beam Revised","")</f>
        <v>#N/A</v>
      </c>
      <c r="Z2761" s="7" t="e">
        <f>IF(VLOOKUP($A2761,'Concrete Beam Schedule'!$A$2:$Q$2902,Z$2,0)&lt;&gt;J2761,"Beam Revised","")</f>
        <v>#N/A</v>
      </c>
      <c r="AA2761" s="7" t="e">
        <f>IF(VLOOKUP($A2761,'Concrete Beam Schedule'!$A$2:$Q$2902,AA$2,0)&lt;&gt;K2761,"Beam Revised","")</f>
        <v>#N/A</v>
      </c>
      <c r="AB2761" s="7" t="e">
        <f>IF(VLOOKUP($A2761,'Concrete Beam Schedule'!$A$2:$Q$2902,AB$2,0)&lt;&gt;L2761,"Beam Revised","")</f>
        <v>#N/A</v>
      </c>
      <c r="AC2761" s="7" t="e">
        <f>IF(VLOOKUP($A2761,'Concrete Beam Schedule'!$A$2:$Q$2902,AC$2,0)&lt;&gt;M2761,"Beam Revised","")</f>
        <v>#N/A</v>
      </c>
      <c r="AD2761" s="7" t="e">
        <f>IF(VLOOKUP($A2761,'Concrete Beam Schedule'!$A$2:$Q$2902,AD$2,0)&lt;&gt;N2761,"Beam Revised","")</f>
        <v>#N/A</v>
      </c>
      <c r="AE2761" s="7" t="e">
        <f>IF(VLOOKUP($A2761,'Concrete Beam Schedule'!$A$2:$Q$2902,AE$2,0)&lt;&gt;O2761,"Beam Revised","")</f>
        <v>#N/A</v>
      </c>
    </row>
    <row r="2762" spans="17:31" ht="20.100000000000001" customHeight="1" x14ac:dyDescent="0.25">
      <c r="Q2762" s="7">
        <f t="shared" si="43"/>
        <v>0</v>
      </c>
      <c r="R2762" s="7" t="e">
        <f>IF(VLOOKUP($A2762,'Concrete Beam Schedule'!$A$2:$Q$2902,R$2,0)&lt;&gt;B2762,VLOOKUP($A2762,'Concrete Beam Schedule'!$A$2:$Q$2902,R$2,0),"")</f>
        <v>#N/A</v>
      </c>
      <c r="S2762" s="7" t="e">
        <f>IF(VLOOKUP($A2762,'Concrete Beam Schedule'!$A$2:$Q$2902,S$2,0)&lt;&gt;C2762,VLOOKUP($A2762,'Concrete Beam Schedule'!$A$2:$Q$2902,S$2,0),"")</f>
        <v>#N/A</v>
      </c>
      <c r="T2762" s="7" t="e">
        <f>IF(VLOOKUP($A2762,'Concrete Beam Schedule'!$A$2:$Q$2902,T$2,0)&lt;&gt;D2762,"Beam Revised","")</f>
        <v>#N/A</v>
      </c>
      <c r="U2762" s="7" t="e">
        <f>IF(VLOOKUP($A2762,'Concrete Beam Schedule'!$A$2:$Q$2902,U$2,0)&lt;&gt;E2762,"Beam Revised","")</f>
        <v>#N/A</v>
      </c>
      <c r="V2762" s="7" t="e">
        <f>IF(VLOOKUP($A2762,'Concrete Beam Schedule'!$A$2:$Q$2902,V$2,0)&lt;&gt;F2762,"Beam Revised","")</f>
        <v>#N/A</v>
      </c>
      <c r="W2762" s="7" t="e">
        <f>IF(VLOOKUP($A2762,'Concrete Beam Schedule'!$A$2:$Q$2902,W$2,0)&lt;&gt;G2762,"Beam Revised","")</f>
        <v>#N/A</v>
      </c>
      <c r="X2762" s="7" t="e">
        <f>IF(VLOOKUP($A2762,'Concrete Beam Schedule'!$A$2:$Q$2902,X$2,0)&lt;&gt;H2762,"Beam Revised","")</f>
        <v>#N/A</v>
      </c>
      <c r="Y2762" s="7" t="e">
        <f>IF(VLOOKUP($A2762,'Concrete Beam Schedule'!$A$2:$Q$2902,Y$2,0)&lt;&gt;I2762,"Beam Revised","")</f>
        <v>#N/A</v>
      </c>
      <c r="Z2762" s="7" t="e">
        <f>IF(VLOOKUP($A2762,'Concrete Beam Schedule'!$A$2:$Q$2902,Z$2,0)&lt;&gt;J2762,"Beam Revised","")</f>
        <v>#N/A</v>
      </c>
      <c r="AA2762" s="7" t="e">
        <f>IF(VLOOKUP($A2762,'Concrete Beam Schedule'!$A$2:$Q$2902,AA$2,0)&lt;&gt;K2762,"Beam Revised","")</f>
        <v>#N/A</v>
      </c>
      <c r="AB2762" s="7" t="e">
        <f>IF(VLOOKUP($A2762,'Concrete Beam Schedule'!$A$2:$Q$2902,AB$2,0)&lt;&gt;L2762,"Beam Revised","")</f>
        <v>#N/A</v>
      </c>
      <c r="AC2762" s="7" t="e">
        <f>IF(VLOOKUP($A2762,'Concrete Beam Schedule'!$A$2:$Q$2902,AC$2,0)&lt;&gt;M2762,"Beam Revised","")</f>
        <v>#N/A</v>
      </c>
      <c r="AD2762" s="7" t="e">
        <f>IF(VLOOKUP($A2762,'Concrete Beam Schedule'!$A$2:$Q$2902,AD$2,0)&lt;&gt;N2762,"Beam Revised","")</f>
        <v>#N/A</v>
      </c>
      <c r="AE2762" s="7" t="e">
        <f>IF(VLOOKUP($A2762,'Concrete Beam Schedule'!$A$2:$Q$2902,AE$2,0)&lt;&gt;O2762,"Beam Revised","")</f>
        <v>#N/A</v>
      </c>
    </row>
    <row r="2763" spans="17:31" ht="20.100000000000001" customHeight="1" x14ac:dyDescent="0.25">
      <c r="Q2763" s="7">
        <f t="shared" si="43"/>
        <v>0</v>
      </c>
      <c r="R2763" s="7" t="e">
        <f>IF(VLOOKUP($A2763,'Concrete Beam Schedule'!$A$2:$Q$2902,R$2,0)&lt;&gt;B2763,VLOOKUP($A2763,'Concrete Beam Schedule'!$A$2:$Q$2902,R$2,0),"")</f>
        <v>#N/A</v>
      </c>
      <c r="S2763" s="7" t="e">
        <f>IF(VLOOKUP($A2763,'Concrete Beam Schedule'!$A$2:$Q$2902,S$2,0)&lt;&gt;C2763,VLOOKUP($A2763,'Concrete Beam Schedule'!$A$2:$Q$2902,S$2,0),"")</f>
        <v>#N/A</v>
      </c>
      <c r="T2763" s="7" t="e">
        <f>IF(VLOOKUP($A2763,'Concrete Beam Schedule'!$A$2:$Q$2902,T$2,0)&lt;&gt;D2763,"Beam Revised","")</f>
        <v>#N/A</v>
      </c>
      <c r="U2763" s="7" t="e">
        <f>IF(VLOOKUP($A2763,'Concrete Beam Schedule'!$A$2:$Q$2902,U$2,0)&lt;&gt;E2763,"Beam Revised","")</f>
        <v>#N/A</v>
      </c>
      <c r="V2763" s="7" t="e">
        <f>IF(VLOOKUP($A2763,'Concrete Beam Schedule'!$A$2:$Q$2902,V$2,0)&lt;&gt;F2763,"Beam Revised","")</f>
        <v>#N/A</v>
      </c>
      <c r="W2763" s="7" t="e">
        <f>IF(VLOOKUP($A2763,'Concrete Beam Schedule'!$A$2:$Q$2902,W$2,0)&lt;&gt;G2763,"Beam Revised","")</f>
        <v>#N/A</v>
      </c>
      <c r="X2763" s="7" t="e">
        <f>IF(VLOOKUP($A2763,'Concrete Beam Schedule'!$A$2:$Q$2902,X$2,0)&lt;&gt;H2763,"Beam Revised","")</f>
        <v>#N/A</v>
      </c>
      <c r="Y2763" s="7" t="e">
        <f>IF(VLOOKUP($A2763,'Concrete Beam Schedule'!$A$2:$Q$2902,Y$2,0)&lt;&gt;I2763,"Beam Revised","")</f>
        <v>#N/A</v>
      </c>
      <c r="Z2763" s="7" t="e">
        <f>IF(VLOOKUP($A2763,'Concrete Beam Schedule'!$A$2:$Q$2902,Z$2,0)&lt;&gt;J2763,"Beam Revised","")</f>
        <v>#N/A</v>
      </c>
      <c r="AA2763" s="7" t="e">
        <f>IF(VLOOKUP($A2763,'Concrete Beam Schedule'!$A$2:$Q$2902,AA$2,0)&lt;&gt;K2763,"Beam Revised","")</f>
        <v>#N/A</v>
      </c>
      <c r="AB2763" s="7" t="e">
        <f>IF(VLOOKUP($A2763,'Concrete Beam Schedule'!$A$2:$Q$2902,AB$2,0)&lt;&gt;L2763,"Beam Revised","")</f>
        <v>#N/A</v>
      </c>
      <c r="AC2763" s="7" t="e">
        <f>IF(VLOOKUP($A2763,'Concrete Beam Schedule'!$A$2:$Q$2902,AC$2,0)&lt;&gt;M2763,"Beam Revised","")</f>
        <v>#N/A</v>
      </c>
      <c r="AD2763" s="7" t="e">
        <f>IF(VLOOKUP($A2763,'Concrete Beam Schedule'!$A$2:$Q$2902,AD$2,0)&lt;&gt;N2763,"Beam Revised","")</f>
        <v>#N/A</v>
      </c>
      <c r="AE2763" s="7" t="e">
        <f>IF(VLOOKUP($A2763,'Concrete Beam Schedule'!$A$2:$Q$2902,AE$2,0)&lt;&gt;O2763,"Beam Revised","")</f>
        <v>#N/A</v>
      </c>
    </row>
    <row r="2764" spans="17:31" ht="20.100000000000001" customHeight="1" x14ac:dyDescent="0.25">
      <c r="Q2764" s="7">
        <f t="shared" si="43"/>
        <v>0</v>
      </c>
      <c r="R2764" s="7" t="e">
        <f>IF(VLOOKUP($A2764,'Concrete Beam Schedule'!$A$2:$Q$2902,R$2,0)&lt;&gt;B2764,VLOOKUP($A2764,'Concrete Beam Schedule'!$A$2:$Q$2902,R$2,0),"")</f>
        <v>#N/A</v>
      </c>
      <c r="S2764" s="7" t="e">
        <f>IF(VLOOKUP($A2764,'Concrete Beam Schedule'!$A$2:$Q$2902,S$2,0)&lt;&gt;C2764,VLOOKUP($A2764,'Concrete Beam Schedule'!$A$2:$Q$2902,S$2,0),"")</f>
        <v>#N/A</v>
      </c>
      <c r="T2764" s="7" t="e">
        <f>IF(VLOOKUP($A2764,'Concrete Beam Schedule'!$A$2:$Q$2902,T$2,0)&lt;&gt;D2764,"Beam Revised","")</f>
        <v>#N/A</v>
      </c>
      <c r="U2764" s="7" t="e">
        <f>IF(VLOOKUP($A2764,'Concrete Beam Schedule'!$A$2:$Q$2902,U$2,0)&lt;&gt;E2764,"Beam Revised","")</f>
        <v>#N/A</v>
      </c>
      <c r="V2764" s="7" t="e">
        <f>IF(VLOOKUP($A2764,'Concrete Beam Schedule'!$A$2:$Q$2902,V$2,0)&lt;&gt;F2764,"Beam Revised","")</f>
        <v>#N/A</v>
      </c>
      <c r="W2764" s="7" t="e">
        <f>IF(VLOOKUP($A2764,'Concrete Beam Schedule'!$A$2:$Q$2902,W$2,0)&lt;&gt;G2764,"Beam Revised","")</f>
        <v>#N/A</v>
      </c>
      <c r="X2764" s="7" t="e">
        <f>IF(VLOOKUP($A2764,'Concrete Beam Schedule'!$A$2:$Q$2902,X$2,0)&lt;&gt;H2764,"Beam Revised","")</f>
        <v>#N/A</v>
      </c>
      <c r="Y2764" s="7" t="e">
        <f>IF(VLOOKUP($A2764,'Concrete Beam Schedule'!$A$2:$Q$2902,Y$2,0)&lt;&gt;I2764,"Beam Revised","")</f>
        <v>#N/A</v>
      </c>
      <c r="Z2764" s="7" t="e">
        <f>IF(VLOOKUP($A2764,'Concrete Beam Schedule'!$A$2:$Q$2902,Z$2,0)&lt;&gt;J2764,"Beam Revised","")</f>
        <v>#N/A</v>
      </c>
      <c r="AA2764" s="7" t="e">
        <f>IF(VLOOKUP($A2764,'Concrete Beam Schedule'!$A$2:$Q$2902,AA$2,0)&lt;&gt;K2764,"Beam Revised","")</f>
        <v>#N/A</v>
      </c>
      <c r="AB2764" s="7" t="e">
        <f>IF(VLOOKUP($A2764,'Concrete Beam Schedule'!$A$2:$Q$2902,AB$2,0)&lt;&gt;L2764,"Beam Revised","")</f>
        <v>#N/A</v>
      </c>
      <c r="AC2764" s="7" t="e">
        <f>IF(VLOOKUP($A2764,'Concrete Beam Schedule'!$A$2:$Q$2902,AC$2,0)&lt;&gt;M2764,"Beam Revised","")</f>
        <v>#N/A</v>
      </c>
      <c r="AD2764" s="7" t="e">
        <f>IF(VLOOKUP($A2764,'Concrete Beam Schedule'!$A$2:$Q$2902,AD$2,0)&lt;&gt;N2764,"Beam Revised","")</f>
        <v>#N/A</v>
      </c>
      <c r="AE2764" s="7" t="e">
        <f>IF(VLOOKUP($A2764,'Concrete Beam Schedule'!$A$2:$Q$2902,AE$2,0)&lt;&gt;O2764,"Beam Revised","")</f>
        <v>#N/A</v>
      </c>
    </row>
    <row r="2765" spans="17:31" ht="20.100000000000001" customHeight="1" x14ac:dyDescent="0.25">
      <c r="Q2765" s="7">
        <f t="shared" si="43"/>
        <v>0</v>
      </c>
      <c r="R2765" s="7" t="e">
        <f>IF(VLOOKUP($A2765,'Concrete Beam Schedule'!$A$2:$Q$2902,R$2,0)&lt;&gt;B2765,VLOOKUP($A2765,'Concrete Beam Schedule'!$A$2:$Q$2902,R$2,0),"")</f>
        <v>#N/A</v>
      </c>
      <c r="S2765" s="7" t="e">
        <f>IF(VLOOKUP($A2765,'Concrete Beam Schedule'!$A$2:$Q$2902,S$2,0)&lt;&gt;C2765,VLOOKUP($A2765,'Concrete Beam Schedule'!$A$2:$Q$2902,S$2,0),"")</f>
        <v>#N/A</v>
      </c>
      <c r="T2765" s="7" t="e">
        <f>IF(VLOOKUP($A2765,'Concrete Beam Schedule'!$A$2:$Q$2902,T$2,0)&lt;&gt;D2765,"Beam Revised","")</f>
        <v>#N/A</v>
      </c>
      <c r="U2765" s="7" t="e">
        <f>IF(VLOOKUP($A2765,'Concrete Beam Schedule'!$A$2:$Q$2902,U$2,0)&lt;&gt;E2765,"Beam Revised","")</f>
        <v>#N/A</v>
      </c>
      <c r="V2765" s="7" t="e">
        <f>IF(VLOOKUP($A2765,'Concrete Beam Schedule'!$A$2:$Q$2902,V$2,0)&lt;&gt;F2765,"Beam Revised","")</f>
        <v>#N/A</v>
      </c>
      <c r="W2765" s="7" t="e">
        <f>IF(VLOOKUP($A2765,'Concrete Beam Schedule'!$A$2:$Q$2902,W$2,0)&lt;&gt;G2765,"Beam Revised","")</f>
        <v>#N/A</v>
      </c>
      <c r="X2765" s="7" t="e">
        <f>IF(VLOOKUP($A2765,'Concrete Beam Schedule'!$A$2:$Q$2902,X$2,0)&lt;&gt;H2765,"Beam Revised","")</f>
        <v>#N/A</v>
      </c>
      <c r="Y2765" s="7" t="e">
        <f>IF(VLOOKUP($A2765,'Concrete Beam Schedule'!$A$2:$Q$2902,Y$2,0)&lt;&gt;I2765,"Beam Revised","")</f>
        <v>#N/A</v>
      </c>
      <c r="Z2765" s="7" t="e">
        <f>IF(VLOOKUP($A2765,'Concrete Beam Schedule'!$A$2:$Q$2902,Z$2,0)&lt;&gt;J2765,"Beam Revised","")</f>
        <v>#N/A</v>
      </c>
      <c r="AA2765" s="7" t="e">
        <f>IF(VLOOKUP($A2765,'Concrete Beam Schedule'!$A$2:$Q$2902,AA$2,0)&lt;&gt;K2765,"Beam Revised","")</f>
        <v>#N/A</v>
      </c>
      <c r="AB2765" s="7" t="e">
        <f>IF(VLOOKUP($A2765,'Concrete Beam Schedule'!$A$2:$Q$2902,AB$2,0)&lt;&gt;L2765,"Beam Revised","")</f>
        <v>#N/A</v>
      </c>
      <c r="AC2765" s="7" t="e">
        <f>IF(VLOOKUP($A2765,'Concrete Beam Schedule'!$A$2:$Q$2902,AC$2,0)&lt;&gt;M2765,"Beam Revised","")</f>
        <v>#N/A</v>
      </c>
      <c r="AD2765" s="7" t="e">
        <f>IF(VLOOKUP($A2765,'Concrete Beam Schedule'!$A$2:$Q$2902,AD$2,0)&lt;&gt;N2765,"Beam Revised","")</f>
        <v>#N/A</v>
      </c>
      <c r="AE2765" s="7" t="e">
        <f>IF(VLOOKUP($A2765,'Concrete Beam Schedule'!$A$2:$Q$2902,AE$2,0)&lt;&gt;O2765,"Beam Revised","")</f>
        <v>#N/A</v>
      </c>
    </row>
    <row r="2766" spans="17:31" ht="20.100000000000001" customHeight="1" x14ac:dyDescent="0.25">
      <c r="Q2766" s="7">
        <f t="shared" si="43"/>
        <v>0</v>
      </c>
      <c r="R2766" s="7" t="e">
        <f>IF(VLOOKUP($A2766,'Concrete Beam Schedule'!$A$2:$Q$2902,R$2,0)&lt;&gt;B2766,VLOOKUP($A2766,'Concrete Beam Schedule'!$A$2:$Q$2902,R$2,0),"")</f>
        <v>#N/A</v>
      </c>
      <c r="S2766" s="7" t="e">
        <f>IF(VLOOKUP($A2766,'Concrete Beam Schedule'!$A$2:$Q$2902,S$2,0)&lt;&gt;C2766,VLOOKUP($A2766,'Concrete Beam Schedule'!$A$2:$Q$2902,S$2,0),"")</f>
        <v>#N/A</v>
      </c>
      <c r="T2766" s="7" t="e">
        <f>IF(VLOOKUP($A2766,'Concrete Beam Schedule'!$A$2:$Q$2902,T$2,0)&lt;&gt;D2766,"Beam Revised","")</f>
        <v>#N/A</v>
      </c>
      <c r="U2766" s="7" t="e">
        <f>IF(VLOOKUP($A2766,'Concrete Beam Schedule'!$A$2:$Q$2902,U$2,0)&lt;&gt;E2766,"Beam Revised","")</f>
        <v>#N/A</v>
      </c>
      <c r="V2766" s="7" t="e">
        <f>IF(VLOOKUP($A2766,'Concrete Beam Schedule'!$A$2:$Q$2902,V$2,0)&lt;&gt;F2766,"Beam Revised","")</f>
        <v>#N/A</v>
      </c>
      <c r="W2766" s="7" t="e">
        <f>IF(VLOOKUP($A2766,'Concrete Beam Schedule'!$A$2:$Q$2902,W$2,0)&lt;&gt;G2766,"Beam Revised","")</f>
        <v>#N/A</v>
      </c>
      <c r="X2766" s="7" t="e">
        <f>IF(VLOOKUP($A2766,'Concrete Beam Schedule'!$A$2:$Q$2902,X$2,0)&lt;&gt;H2766,"Beam Revised","")</f>
        <v>#N/A</v>
      </c>
      <c r="Y2766" s="7" t="e">
        <f>IF(VLOOKUP($A2766,'Concrete Beam Schedule'!$A$2:$Q$2902,Y$2,0)&lt;&gt;I2766,"Beam Revised","")</f>
        <v>#N/A</v>
      </c>
      <c r="Z2766" s="7" t="e">
        <f>IF(VLOOKUP($A2766,'Concrete Beam Schedule'!$A$2:$Q$2902,Z$2,0)&lt;&gt;J2766,"Beam Revised","")</f>
        <v>#N/A</v>
      </c>
      <c r="AA2766" s="7" t="e">
        <f>IF(VLOOKUP($A2766,'Concrete Beam Schedule'!$A$2:$Q$2902,AA$2,0)&lt;&gt;K2766,"Beam Revised","")</f>
        <v>#N/A</v>
      </c>
      <c r="AB2766" s="7" t="e">
        <f>IF(VLOOKUP($A2766,'Concrete Beam Schedule'!$A$2:$Q$2902,AB$2,0)&lt;&gt;L2766,"Beam Revised","")</f>
        <v>#N/A</v>
      </c>
      <c r="AC2766" s="7" t="e">
        <f>IF(VLOOKUP($A2766,'Concrete Beam Schedule'!$A$2:$Q$2902,AC$2,0)&lt;&gt;M2766,"Beam Revised","")</f>
        <v>#N/A</v>
      </c>
      <c r="AD2766" s="7" t="e">
        <f>IF(VLOOKUP($A2766,'Concrete Beam Schedule'!$A$2:$Q$2902,AD$2,0)&lt;&gt;N2766,"Beam Revised","")</f>
        <v>#N/A</v>
      </c>
      <c r="AE2766" s="7" t="e">
        <f>IF(VLOOKUP($A2766,'Concrete Beam Schedule'!$A$2:$Q$2902,AE$2,0)&lt;&gt;O2766,"Beam Revised","")</f>
        <v>#N/A</v>
      </c>
    </row>
    <row r="2767" spans="17:31" ht="20.100000000000001" customHeight="1" x14ac:dyDescent="0.25">
      <c r="Q2767" s="7">
        <f t="shared" si="43"/>
        <v>0</v>
      </c>
      <c r="R2767" s="7" t="e">
        <f>IF(VLOOKUP($A2767,'Concrete Beam Schedule'!$A$2:$Q$2902,R$2,0)&lt;&gt;B2767,VLOOKUP($A2767,'Concrete Beam Schedule'!$A$2:$Q$2902,R$2,0),"")</f>
        <v>#N/A</v>
      </c>
      <c r="S2767" s="7" t="e">
        <f>IF(VLOOKUP($A2767,'Concrete Beam Schedule'!$A$2:$Q$2902,S$2,0)&lt;&gt;C2767,VLOOKUP($A2767,'Concrete Beam Schedule'!$A$2:$Q$2902,S$2,0),"")</f>
        <v>#N/A</v>
      </c>
      <c r="T2767" s="7" t="e">
        <f>IF(VLOOKUP($A2767,'Concrete Beam Schedule'!$A$2:$Q$2902,T$2,0)&lt;&gt;D2767,"Beam Revised","")</f>
        <v>#N/A</v>
      </c>
      <c r="U2767" s="7" t="e">
        <f>IF(VLOOKUP($A2767,'Concrete Beam Schedule'!$A$2:$Q$2902,U$2,0)&lt;&gt;E2767,"Beam Revised","")</f>
        <v>#N/A</v>
      </c>
      <c r="V2767" s="7" t="e">
        <f>IF(VLOOKUP($A2767,'Concrete Beam Schedule'!$A$2:$Q$2902,V$2,0)&lt;&gt;F2767,"Beam Revised","")</f>
        <v>#N/A</v>
      </c>
      <c r="W2767" s="7" t="e">
        <f>IF(VLOOKUP($A2767,'Concrete Beam Schedule'!$A$2:$Q$2902,W$2,0)&lt;&gt;G2767,"Beam Revised","")</f>
        <v>#N/A</v>
      </c>
      <c r="X2767" s="7" t="e">
        <f>IF(VLOOKUP($A2767,'Concrete Beam Schedule'!$A$2:$Q$2902,X$2,0)&lt;&gt;H2767,"Beam Revised","")</f>
        <v>#N/A</v>
      </c>
      <c r="Y2767" s="7" t="e">
        <f>IF(VLOOKUP($A2767,'Concrete Beam Schedule'!$A$2:$Q$2902,Y$2,0)&lt;&gt;I2767,"Beam Revised","")</f>
        <v>#N/A</v>
      </c>
      <c r="Z2767" s="7" t="e">
        <f>IF(VLOOKUP($A2767,'Concrete Beam Schedule'!$A$2:$Q$2902,Z$2,0)&lt;&gt;J2767,"Beam Revised","")</f>
        <v>#N/A</v>
      </c>
      <c r="AA2767" s="7" t="e">
        <f>IF(VLOOKUP($A2767,'Concrete Beam Schedule'!$A$2:$Q$2902,AA$2,0)&lt;&gt;K2767,"Beam Revised","")</f>
        <v>#N/A</v>
      </c>
      <c r="AB2767" s="7" t="e">
        <f>IF(VLOOKUP($A2767,'Concrete Beam Schedule'!$A$2:$Q$2902,AB$2,0)&lt;&gt;L2767,"Beam Revised","")</f>
        <v>#N/A</v>
      </c>
      <c r="AC2767" s="7" t="e">
        <f>IF(VLOOKUP($A2767,'Concrete Beam Schedule'!$A$2:$Q$2902,AC$2,0)&lt;&gt;M2767,"Beam Revised","")</f>
        <v>#N/A</v>
      </c>
      <c r="AD2767" s="7" t="e">
        <f>IF(VLOOKUP($A2767,'Concrete Beam Schedule'!$A$2:$Q$2902,AD$2,0)&lt;&gt;N2767,"Beam Revised","")</f>
        <v>#N/A</v>
      </c>
      <c r="AE2767" s="7" t="e">
        <f>IF(VLOOKUP($A2767,'Concrete Beam Schedule'!$A$2:$Q$2902,AE$2,0)&lt;&gt;O2767,"Beam Revised","")</f>
        <v>#N/A</v>
      </c>
    </row>
    <row r="2768" spans="17:31" ht="20.100000000000001" customHeight="1" x14ac:dyDescent="0.25">
      <c r="Q2768" s="7">
        <f t="shared" si="43"/>
        <v>0</v>
      </c>
      <c r="R2768" s="7" t="e">
        <f>IF(VLOOKUP($A2768,'Concrete Beam Schedule'!$A$2:$Q$2902,R$2,0)&lt;&gt;B2768,VLOOKUP($A2768,'Concrete Beam Schedule'!$A$2:$Q$2902,R$2,0),"")</f>
        <v>#N/A</v>
      </c>
      <c r="S2768" s="7" t="e">
        <f>IF(VLOOKUP($A2768,'Concrete Beam Schedule'!$A$2:$Q$2902,S$2,0)&lt;&gt;C2768,VLOOKUP($A2768,'Concrete Beam Schedule'!$A$2:$Q$2902,S$2,0),"")</f>
        <v>#N/A</v>
      </c>
      <c r="T2768" s="7" t="e">
        <f>IF(VLOOKUP($A2768,'Concrete Beam Schedule'!$A$2:$Q$2902,T$2,0)&lt;&gt;D2768,"Beam Revised","")</f>
        <v>#N/A</v>
      </c>
      <c r="U2768" s="7" t="e">
        <f>IF(VLOOKUP($A2768,'Concrete Beam Schedule'!$A$2:$Q$2902,U$2,0)&lt;&gt;E2768,"Beam Revised","")</f>
        <v>#N/A</v>
      </c>
      <c r="V2768" s="7" t="e">
        <f>IF(VLOOKUP($A2768,'Concrete Beam Schedule'!$A$2:$Q$2902,V$2,0)&lt;&gt;F2768,"Beam Revised","")</f>
        <v>#N/A</v>
      </c>
      <c r="W2768" s="7" t="e">
        <f>IF(VLOOKUP($A2768,'Concrete Beam Schedule'!$A$2:$Q$2902,W$2,0)&lt;&gt;G2768,"Beam Revised","")</f>
        <v>#N/A</v>
      </c>
      <c r="X2768" s="7" t="e">
        <f>IF(VLOOKUP($A2768,'Concrete Beam Schedule'!$A$2:$Q$2902,X$2,0)&lt;&gt;H2768,"Beam Revised","")</f>
        <v>#N/A</v>
      </c>
      <c r="Y2768" s="7" t="e">
        <f>IF(VLOOKUP($A2768,'Concrete Beam Schedule'!$A$2:$Q$2902,Y$2,0)&lt;&gt;I2768,"Beam Revised","")</f>
        <v>#N/A</v>
      </c>
      <c r="Z2768" s="7" t="e">
        <f>IF(VLOOKUP($A2768,'Concrete Beam Schedule'!$A$2:$Q$2902,Z$2,0)&lt;&gt;J2768,"Beam Revised","")</f>
        <v>#N/A</v>
      </c>
      <c r="AA2768" s="7" t="e">
        <f>IF(VLOOKUP($A2768,'Concrete Beam Schedule'!$A$2:$Q$2902,AA$2,0)&lt;&gt;K2768,"Beam Revised","")</f>
        <v>#N/A</v>
      </c>
      <c r="AB2768" s="7" t="e">
        <f>IF(VLOOKUP($A2768,'Concrete Beam Schedule'!$A$2:$Q$2902,AB$2,0)&lt;&gt;L2768,"Beam Revised","")</f>
        <v>#N/A</v>
      </c>
      <c r="AC2768" s="7" t="e">
        <f>IF(VLOOKUP($A2768,'Concrete Beam Schedule'!$A$2:$Q$2902,AC$2,0)&lt;&gt;M2768,"Beam Revised","")</f>
        <v>#N/A</v>
      </c>
      <c r="AD2768" s="7" t="e">
        <f>IF(VLOOKUP($A2768,'Concrete Beam Schedule'!$A$2:$Q$2902,AD$2,0)&lt;&gt;N2768,"Beam Revised","")</f>
        <v>#N/A</v>
      </c>
      <c r="AE2768" s="7" t="e">
        <f>IF(VLOOKUP($A2768,'Concrete Beam Schedule'!$A$2:$Q$2902,AE$2,0)&lt;&gt;O2768,"Beam Revised","")</f>
        <v>#N/A</v>
      </c>
    </row>
    <row r="2769" spans="17:31" ht="20.100000000000001" customHeight="1" x14ac:dyDescent="0.25">
      <c r="Q2769" s="7">
        <f t="shared" si="43"/>
        <v>0</v>
      </c>
      <c r="R2769" s="7" t="e">
        <f>IF(VLOOKUP($A2769,'Concrete Beam Schedule'!$A$2:$Q$2902,R$2,0)&lt;&gt;B2769,VLOOKUP($A2769,'Concrete Beam Schedule'!$A$2:$Q$2902,R$2,0),"")</f>
        <v>#N/A</v>
      </c>
      <c r="S2769" s="7" t="e">
        <f>IF(VLOOKUP($A2769,'Concrete Beam Schedule'!$A$2:$Q$2902,S$2,0)&lt;&gt;C2769,VLOOKUP($A2769,'Concrete Beam Schedule'!$A$2:$Q$2902,S$2,0),"")</f>
        <v>#N/A</v>
      </c>
      <c r="T2769" s="7" t="e">
        <f>IF(VLOOKUP($A2769,'Concrete Beam Schedule'!$A$2:$Q$2902,T$2,0)&lt;&gt;D2769,"Beam Revised","")</f>
        <v>#N/A</v>
      </c>
      <c r="U2769" s="7" t="e">
        <f>IF(VLOOKUP($A2769,'Concrete Beam Schedule'!$A$2:$Q$2902,U$2,0)&lt;&gt;E2769,"Beam Revised","")</f>
        <v>#N/A</v>
      </c>
      <c r="V2769" s="7" t="e">
        <f>IF(VLOOKUP($A2769,'Concrete Beam Schedule'!$A$2:$Q$2902,V$2,0)&lt;&gt;F2769,"Beam Revised","")</f>
        <v>#N/A</v>
      </c>
      <c r="W2769" s="7" t="e">
        <f>IF(VLOOKUP($A2769,'Concrete Beam Schedule'!$A$2:$Q$2902,W$2,0)&lt;&gt;G2769,"Beam Revised","")</f>
        <v>#N/A</v>
      </c>
      <c r="X2769" s="7" t="e">
        <f>IF(VLOOKUP($A2769,'Concrete Beam Schedule'!$A$2:$Q$2902,X$2,0)&lt;&gt;H2769,"Beam Revised","")</f>
        <v>#N/A</v>
      </c>
      <c r="Y2769" s="7" t="e">
        <f>IF(VLOOKUP($A2769,'Concrete Beam Schedule'!$A$2:$Q$2902,Y$2,0)&lt;&gt;I2769,"Beam Revised","")</f>
        <v>#N/A</v>
      </c>
      <c r="Z2769" s="7" t="e">
        <f>IF(VLOOKUP($A2769,'Concrete Beam Schedule'!$A$2:$Q$2902,Z$2,0)&lt;&gt;J2769,"Beam Revised","")</f>
        <v>#N/A</v>
      </c>
      <c r="AA2769" s="7" t="e">
        <f>IF(VLOOKUP($A2769,'Concrete Beam Schedule'!$A$2:$Q$2902,AA$2,0)&lt;&gt;K2769,"Beam Revised","")</f>
        <v>#N/A</v>
      </c>
      <c r="AB2769" s="7" t="e">
        <f>IF(VLOOKUP($A2769,'Concrete Beam Schedule'!$A$2:$Q$2902,AB$2,0)&lt;&gt;L2769,"Beam Revised","")</f>
        <v>#N/A</v>
      </c>
      <c r="AC2769" s="7" t="e">
        <f>IF(VLOOKUP($A2769,'Concrete Beam Schedule'!$A$2:$Q$2902,AC$2,0)&lt;&gt;M2769,"Beam Revised","")</f>
        <v>#N/A</v>
      </c>
      <c r="AD2769" s="7" t="e">
        <f>IF(VLOOKUP($A2769,'Concrete Beam Schedule'!$A$2:$Q$2902,AD$2,0)&lt;&gt;N2769,"Beam Revised","")</f>
        <v>#N/A</v>
      </c>
      <c r="AE2769" s="7" t="e">
        <f>IF(VLOOKUP($A2769,'Concrete Beam Schedule'!$A$2:$Q$2902,AE$2,0)&lt;&gt;O2769,"Beam Revised","")</f>
        <v>#N/A</v>
      </c>
    </row>
    <row r="2770" spans="17:31" ht="20.100000000000001" customHeight="1" x14ac:dyDescent="0.25">
      <c r="Q2770" s="7">
        <f t="shared" si="43"/>
        <v>0</v>
      </c>
      <c r="R2770" s="7" t="e">
        <f>IF(VLOOKUP($A2770,'Concrete Beam Schedule'!$A$2:$Q$2902,R$2,0)&lt;&gt;B2770,VLOOKUP($A2770,'Concrete Beam Schedule'!$A$2:$Q$2902,R$2,0),"")</f>
        <v>#N/A</v>
      </c>
      <c r="S2770" s="7" t="e">
        <f>IF(VLOOKUP($A2770,'Concrete Beam Schedule'!$A$2:$Q$2902,S$2,0)&lt;&gt;C2770,VLOOKUP($A2770,'Concrete Beam Schedule'!$A$2:$Q$2902,S$2,0),"")</f>
        <v>#N/A</v>
      </c>
      <c r="T2770" s="7" t="e">
        <f>IF(VLOOKUP($A2770,'Concrete Beam Schedule'!$A$2:$Q$2902,T$2,0)&lt;&gt;D2770,"Beam Revised","")</f>
        <v>#N/A</v>
      </c>
      <c r="U2770" s="7" t="e">
        <f>IF(VLOOKUP($A2770,'Concrete Beam Schedule'!$A$2:$Q$2902,U$2,0)&lt;&gt;E2770,"Beam Revised","")</f>
        <v>#N/A</v>
      </c>
      <c r="V2770" s="7" t="e">
        <f>IF(VLOOKUP($A2770,'Concrete Beam Schedule'!$A$2:$Q$2902,V$2,0)&lt;&gt;F2770,"Beam Revised","")</f>
        <v>#N/A</v>
      </c>
      <c r="W2770" s="7" t="e">
        <f>IF(VLOOKUP($A2770,'Concrete Beam Schedule'!$A$2:$Q$2902,W$2,0)&lt;&gt;G2770,"Beam Revised","")</f>
        <v>#N/A</v>
      </c>
      <c r="X2770" s="7" t="e">
        <f>IF(VLOOKUP($A2770,'Concrete Beam Schedule'!$A$2:$Q$2902,X$2,0)&lt;&gt;H2770,"Beam Revised","")</f>
        <v>#N/A</v>
      </c>
      <c r="Y2770" s="7" t="e">
        <f>IF(VLOOKUP($A2770,'Concrete Beam Schedule'!$A$2:$Q$2902,Y$2,0)&lt;&gt;I2770,"Beam Revised","")</f>
        <v>#N/A</v>
      </c>
      <c r="Z2770" s="7" t="e">
        <f>IF(VLOOKUP($A2770,'Concrete Beam Schedule'!$A$2:$Q$2902,Z$2,0)&lt;&gt;J2770,"Beam Revised","")</f>
        <v>#N/A</v>
      </c>
      <c r="AA2770" s="7" t="e">
        <f>IF(VLOOKUP($A2770,'Concrete Beam Schedule'!$A$2:$Q$2902,AA$2,0)&lt;&gt;K2770,"Beam Revised","")</f>
        <v>#N/A</v>
      </c>
      <c r="AB2770" s="7" t="e">
        <f>IF(VLOOKUP($A2770,'Concrete Beam Schedule'!$A$2:$Q$2902,AB$2,0)&lt;&gt;L2770,"Beam Revised","")</f>
        <v>#N/A</v>
      </c>
      <c r="AC2770" s="7" t="e">
        <f>IF(VLOOKUP($A2770,'Concrete Beam Schedule'!$A$2:$Q$2902,AC$2,0)&lt;&gt;M2770,"Beam Revised","")</f>
        <v>#N/A</v>
      </c>
      <c r="AD2770" s="7" t="e">
        <f>IF(VLOOKUP($A2770,'Concrete Beam Schedule'!$A$2:$Q$2902,AD$2,0)&lt;&gt;N2770,"Beam Revised","")</f>
        <v>#N/A</v>
      </c>
      <c r="AE2770" s="7" t="e">
        <f>IF(VLOOKUP($A2770,'Concrete Beam Schedule'!$A$2:$Q$2902,AE$2,0)&lt;&gt;O2770,"Beam Revised","")</f>
        <v>#N/A</v>
      </c>
    </row>
    <row r="2771" spans="17:31" ht="20.100000000000001" customHeight="1" x14ac:dyDescent="0.25">
      <c r="Q2771" s="7">
        <f t="shared" si="43"/>
        <v>0</v>
      </c>
      <c r="R2771" s="7" t="e">
        <f>IF(VLOOKUP($A2771,'Concrete Beam Schedule'!$A$2:$Q$2902,R$2,0)&lt;&gt;B2771,VLOOKUP($A2771,'Concrete Beam Schedule'!$A$2:$Q$2902,R$2,0),"")</f>
        <v>#N/A</v>
      </c>
      <c r="S2771" s="7" t="e">
        <f>IF(VLOOKUP($A2771,'Concrete Beam Schedule'!$A$2:$Q$2902,S$2,0)&lt;&gt;C2771,VLOOKUP($A2771,'Concrete Beam Schedule'!$A$2:$Q$2902,S$2,0),"")</f>
        <v>#N/A</v>
      </c>
      <c r="T2771" s="7" t="e">
        <f>IF(VLOOKUP($A2771,'Concrete Beam Schedule'!$A$2:$Q$2902,T$2,0)&lt;&gt;D2771,"Beam Revised","")</f>
        <v>#N/A</v>
      </c>
      <c r="U2771" s="7" t="e">
        <f>IF(VLOOKUP($A2771,'Concrete Beam Schedule'!$A$2:$Q$2902,U$2,0)&lt;&gt;E2771,"Beam Revised","")</f>
        <v>#N/A</v>
      </c>
      <c r="V2771" s="7" t="e">
        <f>IF(VLOOKUP($A2771,'Concrete Beam Schedule'!$A$2:$Q$2902,V$2,0)&lt;&gt;F2771,"Beam Revised","")</f>
        <v>#N/A</v>
      </c>
      <c r="W2771" s="7" t="e">
        <f>IF(VLOOKUP($A2771,'Concrete Beam Schedule'!$A$2:$Q$2902,W$2,0)&lt;&gt;G2771,"Beam Revised","")</f>
        <v>#N/A</v>
      </c>
      <c r="X2771" s="7" t="e">
        <f>IF(VLOOKUP($A2771,'Concrete Beam Schedule'!$A$2:$Q$2902,X$2,0)&lt;&gt;H2771,"Beam Revised","")</f>
        <v>#N/A</v>
      </c>
      <c r="Y2771" s="7" t="e">
        <f>IF(VLOOKUP($A2771,'Concrete Beam Schedule'!$A$2:$Q$2902,Y$2,0)&lt;&gt;I2771,"Beam Revised","")</f>
        <v>#N/A</v>
      </c>
      <c r="Z2771" s="7" t="e">
        <f>IF(VLOOKUP($A2771,'Concrete Beam Schedule'!$A$2:$Q$2902,Z$2,0)&lt;&gt;J2771,"Beam Revised","")</f>
        <v>#N/A</v>
      </c>
      <c r="AA2771" s="7" t="e">
        <f>IF(VLOOKUP($A2771,'Concrete Beam Schedule'!$A$2:$Q$2902,AA$2,0)&lt;&gt;K2771,"Beam Revised","")</f>
        <v>#N/A</v>
      </c>
      <c r="AB2771" s="7" t="e">
        <f>IF(VLOOKUP($A2771,'Concrete Beam Schedule'!$A$2:$Q$2902,AB$2,0)&lt;&gt;L2771,"Beam Revised","")</f>
        <v>#N/A</v>
      </c>
      <c r="AC2771" s="7" t="e">
        <f>IF(VLOOKUP($A2771,'Concrete Beam Schedule'!$A$2:$Q$2902,AC$2,0)&lt;&gt;M2771,"Beam Revised","")</f>
        <v>#N/A</v>
      </c>
      <c r="AD2771" s="7" t="e">
        <f>IF(VLOOKUP($A2771,'Concrete Beam Schedule'!$A$2:$Q$2902,AD$2,0)&lt;&gt;N2771,"Beam Revised","")</f>
        <v>#N/A</v>
      </c>
      <c r="AE2771" s="7" t="e">
        <f>IF(VLOOKUP($A2771,'Concrete Beam Schedule'!$A$2:$Q$2902,AE$2,0)&lt;&gt;O2771,"Beam Revised","")</f>
        <v>#N/A</v>
      </c>
    </row>
    <row r="2772" spans="17:31" ht="20.100000000000001" customHeight="1" x14ac:dyDescent="0.25">
      <c r="Q2772" s="7">
        <f t="shared" si="43"/>
        <v>0</v>
      </c>
      <c r="R2772" s="7" t="e">
        <f>IF(VLOOKUP($A2772,'Concrete Beam Schedule'!$A$2:$Q$2902,R$2,0)&lt;&gt;B2772,VLOOKUP($A2772,'Concrete Beam Schedule'!$A$2:$Q$2902,R$2,0),"")</f>
        <v>#N/A</v>
      </c>
      <c r="S2772" s="7" t="e">
        <f>IF(VLOOKUP($A2772,'Concrete Beam Schedule'!$A$2:$Q$2902,S$2,0)&lt;&gt;C2772,VLOOKUP($A2772,'Concrete Beam Schedule'!$A$2:$Q$2902,S$2,0),"")</f>
        <v>#N/A</v>
      </c>
      <c r="T2772" s="7" t="e">
        <f>IF(VLOOKUP($A2772,'Concrete Beam Schedule'!$A$2:$Q$2902,T$2,0)&lt;&gt;D2772,"Beam Revised","")</f>
        <v>#N/A</v>
      </c>
      <c r="U2772" s="7" t="e">
        <f>IF(VLOOKUP($A2772,'Concrete Beam Schedule'!$A$2:$Q$2902,U$2,0)&lt;&gt;E2772,"Beam Revised","")</f>
        <v>#N/A</v>
      </c>
      <c r="V2772" s="7" t="e">
        <f>IF(VLOOKUP($A2772,'Concrete Beam Schedule'!$A$2:$Q$2902,V$2,0)&lt;&gt;F2772,"Beam Revised","")</f>
        <v>#N/A</v>
      </c>
      <c r="W2772" s="7" t="e">
        <f>IF(VLOOKUP($A2772,'Concrete Beam Schedule'!$A$2:$Q$2902,W$2,0)&lt;&gt;G2772,"Beam Revised","")</f>
        <v>#N/A</v>
      </c>
      <c r="X2772" s="7" t="e">
        <f>IF(VLOOKUP($A2772,'Concrete Beam Schedule'!$A$2:$Q$2902,X$2,0)&lt;&gt;H2772,"Beam Revised","")</f>
        <v>#N/A</v>
      </c>
      <c r="Y2772" s="7" t="e">
        <f>IF(VLOOKUP($A2772,'Concrete Beam Schedule'!$A$2:$Q$2902,Y$2,0)&lt;&gt;I2772,"Beam Revised","")</f>
        <v>#N/A</v>
      </c>
      <c r="Z2772" s="7" t="e">
        <f>IF(VLOOKUP($A2772,'Concrete Beam Schedule'!$A$2:$Q$2902,Z$2,0)&lt;&gt;J2772,"Beam Revised","")</f>
        <v>#N/A</v>
      </c>
      <c r="AA2772" s="7" t="e">
        <f>IF(VLOOKUP($A2772,'Concrete Beam Schedule'!$A$2:$Q$2902,AA$2,0)&lt;&gt;K2772,"Beam Revised","")</f>
        <v>#N/A</v>
      </c>
      <c r="AB2772" s="7" t="e">
        <f>IF(VLOOKUP($A2772,'Concrete Beam Schedule'!$A$2:$Q$2902,AB$2,0)&lt;&gt;L2772,"Beam Revised","")</f>
        <v>#N/A</v>
      </c>
      <c r="AC2772" s="7" t="e">
        <f>IF(VLOOKUP($A2772,'Concrete Beam Schedule'!$A$2:$Q$2902,AC$2,0)&lt;&gt;M2772,"Beam Revised","")</f>
        <v>#N/A</v>
      </c>
      <c r="AD2772" s="7" t="e">
        <f>IF(VLOOKUP($A2772,'Concrete Beam Schedule'!$A$2:$Q$2902,AD$2,0)&lt;&gt;N2772,"Beam Revised","")</f>
        <v>#N/A</v>
      </c>
      <c r="AE2772" s="7" t="e">
        <f>IF(VLOOKUP($A2772,'Concrete Beam Schedule'!$A$2:$Q$2902,AE$2,0)&lt;&gt;O2772,"Beam Revised","")</f>
        <v>#N/A</v>
      </c>
    </row>
    <row r="2773" spans="17:31" ht="20.100000000000001" customHeight="1" x14ac:dyDescent="0.25">
      <c r="Q2773" s="7">
        <f t="shared" si="43"/>
        <v>0</v>
      </c>
      <c r="R2773" s="7" t="e">
        <f>IF(VLOOKUP($A2773,'Concrete Beam Schedule'!$A$2:$Q$2902,R$2,0)&lt;&gt;B2773,VLOOKUP($A2773,'Concrete Beam Schedule'!$A$2:$Q$2902,R$2,0),"")</f>
        <v>#N/A</v>
      </c>
      <c r="S2773" s="7" t="e">
        <f>IF(VLOOKUP($A2773,'Concrete Beam Schedule'!$A$2:$Q$2902,S$2,0)&lt;&gt;C2773,VLOOKUP($A2773,'Concrete Beam Schedule'!$A$2:$Q$2902,S$2,0),"")</f>
        <v>#N/A</v>
      </c>
      <c r="T2773" s="7" t="e">
        <f>IF(VLOOKUP($A2773,'Concrete Beam Schedule'!$A$2:$Q$2902,T$2,0)&lt;&gt;D2773,"Beam Revised","")</f>
        <v>#N/A</v>
      </c>
      <c r="U2773" s="7" t="e">
        <f>IF(VLOOKUP($A2773,'Concrete Beam Schedule'!$A$2:$Q$2902,U$2,0)&lt;&gt;E2773,"Beam Revised","")</f>
        <v>#N/A</v>
      </c>
      <c r="V2773" s="7" t="e">
        <f>IF(VLOOKUP($A2773,'Concrete Beam Schedule'!$A$2:$Q$2902,V$2,0)&lt;&gt;F2773,"Beam Revised","")</f>
        <v>#N/A</v>
      </c>
      <c r="W2773" s="7" t="e">
        <f>IF(VLOOKUP($A2773,'Concrete Beam Schedule'!$A$2:$Q$2902,W$2,0)&lt;&gt;G2773,"Beam Revised","")</f>
        <v>#N/A</v>
      </c>
      <c r="X2773" s="7" t="e">
        <f>IF(VLOOKUP($A2773,'Concrete Beam Schedule'!$A$2:$Q$2902,X$2,0)&lt;&gt;H2773,"Beam Revised","")</f>
        <v>#N/A</v>
      </c>
      <c r="Y2773" s="7" t="e">
        <f>IF(VLOOKUP($A2773,'Concrete Beam Schedule'!$A$2:$Q$2902,Y$2,0)&lt;&gt;I2773,"Beam Revised","")</f>
        <v>#N/A</v>
      </c>
      <c r="Z2773" s="7" t="e">
        <f>IF(VLOOKUP($A2773,'Concrete Beam Schedule'!$A$2:$Q$2902,Z$2,0)&lt;&gt;J2773,"Beam Revised","")</f>
        <v>#N/A</v>
      </c>
      <c r="AA2773" s="7" t="e">
        <f>IF(VLOOKUP($A2773,'Concrete Beam Schedule'!$A$2:$Q$2902,AA$2,0)&lt;&gt;K2773,"Beam Revised","")</f>
        <v>#N/A</v>
      </c>
      <c r="AB2773" s="7" t="e">
        <f>IF(VLOOKUP($A2773,'Concrete Beam Schedule'!$A$2:$Q$2902,AB$2,0)&lt;&gt;L2773,"Beam Revised","")</f>
        <v>#N/A</v>
      </c>
      <c r="AC2773" s="7" t="e">
        <f>IF(VLOOKUP($A2773,'Concrete Beam Schedule'!$A$2:$Q$2902,AC$2,0)&lt;&gt;M2773,"Beam Revised","")</f>
        <v>#N/A</v>
      </c>
      <c r="AD2773" s="7" t="e">
        <f>IF(VLOOKUP($A2773,'Concrete Beam Schedule'!$A$2:$Q$2902,AD$2,0)&lt;&gt;N2773,"Beam Revised","")</f>
        <v>#N/A</v>
      </c>
      <c r="AE2773" s="7" t="e">
        <f>IF(VLOOKUP($A2773,'Concrete Beam Schedule'!$A$2:$Q$2902,AE$2,0)&lt;&gt;O2773,"Beam Revised","")</f>
        <v>#N/A</v>
      </c>
    </row>
    <row r="2774" spans="17:31" ht="20.100000000000001" customHeight="1" x14ac:dyDescent="0.25">
      <c r="Q2774" s="7">
        <f t="shared" si="43"/>
        <v>0</v>
      </c>
      <c r="R2774" s="7" t="e">
        <f>IF(VLOOKUP($A2774,'Concrete Beam Schedule'!$A$2:$Q$2902,R$2,0)&lt;&gt;B2774,VLOOKUP($A2774,'Concrete Beam Schedule'!$A$2:$Q$2902,R$2,0),"")</f>
        <v>#N/A</v>
      </c>
      <c r="S2774" s="7" t="e">
        <f>IF(VLOOKUP($A2774,'Concrete Beam Schedule'!$A$2:$Q$2902,S$2,0)&lt;&gt;C2774,VLOOKUP($A2774,'Concrete Beam Schedule'!$A$2:$Q$2902,S$2,0),"")</f>
        <v>#N/A</v>
      </c>
      <c r="T2774" s="7" t="e">
        <f>IF(VLOOKUP($A2774,'Concrete Beam Schedule'!$A$2:$Q$2902,T$2,0)&lt;&gt;D2774,"Beam Revised","")</f>
        <v>#N/A</v>
      </c>
      <c r="U2774" s="7" t="e">
        <f>IF(VLOOKUP($A2774,'Concrete Beam Schedule'!$A$2:$Q$2902,U$2,0)&lt;&gt;E2774,"Beam Revised","")</f>
        <v>#N/A</v>
      </c>
      <c r="V2774" s="7" t="e">
        <f>IF(VLOOKUP($A2774,'Concrete Beam Schedule'!$A$2:$Q$2902,V$2,0)&lt;&gt;F2774,"Beam Revised","")</f>
        <v>#N/A</v>
      </c>
      <c r="W2774" s="7" t="e">
        <f>IF(VLOOKUP($A2774,'Concrete Beam Schedule'!$A$2:$Q$2902,W$2,0)&lt;&gt;G2774,"Beam Revised","")</f>
        <v>#N/A</v>
      </c>
      <c r="X2774" s="7" t="e">
        <f>IF(VLOOKUP($A2774,'Concrete Beam Schedule'!$A$2:$Q$2902,X$2,0)&lt;&gt;H2774,"Beam Revised","")</f>
        <v>#N/A</v>
      </c>
      <c r="Y2774" s="7" t="e">
        <f>IF(VLOOKUP($A2774,'Concrete Beam Schedule'!$A$2:$Q$2902,Y$2,0)&lt;&gt;I2774,"Beam Revised","")</f>
        <v>#N/A</v>
      </c>
      <c r="Z2774" s="7" t="e">
        <f>IF(VLOOKUP($A2774,'Concrete Beam Schedule'!$A$2:$Q$2902,Z$2,0)&lt;&gt;J2774,"Beam Revised","")</f>
        <v>#N/A</v>
      </c>
      <c r="AA2774" s="7" t="e">
        <f>IF(VLOOKUP($A2774,'Concrete Beam Schedule'!$A$2:$Q$2902,AA$2,0)&lt;&gt;K2774,"Beam Revised","")</f>
        <v>#N/A</v>
      </c>
      <c r="AB2774" s="7" t="e">
        <f>IF(VLOOKUP($A2774,'Concrete Beam Schedule'!$A$2:$Q$2902,AB$2,0)&lt;&gt;L2774,"Beam Revised","")</f>
        <v>#N/A</v>
      </c>
      <c r="AC2774" s="7" t="e">
        <f>IF(VLOOKUP($A2774,'Concrete Beam Schedule'!$A$2:$Q$2902,AC$2,0)&lt;&gt;M2774,"Beam Revised","")</f>
        <v>#N/A</v>
      </c>
      <c r="AD2774" s="7" t="e">
        <f>IF(VLOOKUP($A2774,'Concrete Beam Schedule'!$A$2:$Q$2902,AD$2,0)&lt;&gt;N2774,"Beam Revised","")</f>
        <v>#N/A</v>
      </c>
      <c r="AE2774" s="7" t="e">
        <f>IF(VLOOKUP($A2774,'Concrete Beam Schedule'!$A$2:$Q$2902,AE$2,0)&lt;&gt;O2774,"Beam Revised","")</f>
        <v>#N/A</v>
      </c>
    </row>
    <row r="2775" spans="17:31" ht="20.100000000000001" customHeight="1" x14ac:dyDescent="0.25">
      <c r="Q2775" s="7">
        <f t="shared" si="43"/>
        <v>0</v>
      </c>
      <c r="R2775" s="7" t="e">
        <f>IF(VLOOKUP($A2775,'Concrete Beam Schedule'!$A$2:$Q$2902,R$2,0)&lt;&gt;B2775,VLOOKUP($A2775,'Concrete Beam Schedule'!$A$2:$Q$2902,R$2,0),"")</f>
        <v>#N/A</v>
      </c>
      <c r="S2775" s="7" t="e">
        <f>IF(VLOOKUP($A2775,'Concrete Beam Schedule'!$A$2:$Q$2902,S$2,0)&lt;&gt;C2775,VLOOKUP($A2775,'Concrete Beam Schedule'!$A$2:$Q$2902,S$2,0),"")</f>
        <v>#N/A</v>
      </c>
      <c r="T2775" s="7" t="e">
        <f>IF(VLOOKUP($A2775,'Concrete Beam Schedule'!$A$2:$Q$2902,T$2,0)&lt;&gt;D2775,"Beam Revised","")</f>
        <v>#N/A</v>
      </c>
      <c r="U2775" s="7" t="e">
        <f>IF(VLOOKUP($A2775,'Concrete Beam Schedule'!$A$2:$Q$2902,U$2,0)&lt;&gt;E2775,"Beam Revised","")</f>
        <v>#N/A</v>
      </c>
      <c r="V2775" s="7" t="e">
        <f>IF(VLOOKUP($A2775,'Concrete Beam Schedule'!$A$2:$Q$2902,V$2,0)&lt;&gt;F2775,"Beam Revised","")</f>
        <v>#N/A</v>
      </c>
      <c r="W2775" s="7" t="e">
        <f>IF(VLOOKUP($A2775,'Concrete Beam Schedule'!$A$2:$Q$2902,W$2,0)&lt;&gt;G2775,"Beam Revised","")</f>
        <v>#N/A</v>
      </c>
      <c r="X2775" s="7" t="e">
        <f>IF(VLOOKUP($A2775,'Concrete Beam Schedule'!$A$2:$Q$2902,X$2,0)&lt;&gt;H2775,"Beam Revised","")</f>
        <v>#N/A</v>
      </c>
      <c r="Y2775" s="7" t="e">
        <f>IF(VLOOKUP($A2775,'Concrete Beam Schedule'!$A$2:$Q$2902,Y$2,0)&lt;&gt;I2775,"Beam Revised","")</f>
        <v>#N/A</v>
      </c>
      <c r="Z2775" s="7" t="e">
        <f>IF(VLOOKUP($A2775,'Concrete Beam Schedule'!$A$2:$Q$2902,Z$2,0)&lt;&gt;J2775,"Beam Revised","")</f>
        <v>#N/A</v>
      </c>
      <c r="AA2775" s="7" t="e">
        <f>IF(VLOOKUP($A2775,'Concrete Beam Schedule'!$A$2:$Q$2902,AA$2,0)&lt;&gt;K2775,"Beam Revised","")</f>
        <v>#N/A</v>
      </c>
      <c r="AB2775" s="7" t="e">
        <f>IF(VLOOKUP($A2775,'Concrete Beam Schedule'!$A$2:$Q$2902,AB$2,0)&lt;&gt;L2775,"Beam Revised","")</f>
        <v>#N/A</v>
      </c>
      <c r="AC2775" s="7" t="e">
        <f>IF(VLOOKUP($A2775,'Concrete Beam Schedule'!$A$2:$Q$2902,AC$2,0)&lt;&gt;M2775,"Beam Revised","")</f>
        <v>#N/A</v>
      </c>
      <c r="AD2775" s="7" t="e">
        <f>IF(VLOOKUP($A2775,'Concrete Beam Schedule'!$A$2:$Q$2902,AD$2,0)&lt;&gt;N2775,"Beam Revised","")</f>
        <v>#N/A</v>
      </c>
      <c r="AE2775" s="7" t="e">
        <f>IF(VLOOKUP($A2775,'Concrete Beam Schedule'!$A$2:$Q$2902,AE$2,0)&lt;&gt;O2775,"Beam Revised","")</f>
        <v>#N/A</v>
      </c>
    </row>
    <row r="2776" spans="17:31" ht="20.100000000000001" customHeight="1" x14ac:dyDescent="0.25">
      <c r="Q2776" s="7">
        <f t="shared" si="43"/>
        <v>0</v>
      </c>
      <c r="R2776" s="7" t="e">
        <f>IF(VLOOKUP($A2776,'Concrete Beam Schedule'!$A$2:$Q$2902,R$2,0)&lt;&gt;B2776,VLOOKUP($A2776,'Concrete Beam Schedule'!$A$2:$Q$2902,R$2,0),"")</f>
        <v>#N/A</v>
      </c>
      <c r="S2776" s="7" t="e">
        <f>IF(VLOOKUP($A2776,'Concrete Beam Schedule'!$A$2:$Q$2902,S$2,0)&lt;&gt;C2776,VLOOKUP($A2776,'Concrete Beam Schedule'!$A$2:$Q$2902,S$2,0),"")</f>
        <v>#N/A</v>
      </c>
      <c r="T2776" s="7" t="e">
        <f>IF(VLOOKUP($A2776,'Concrete Beam Schedule'!$A$2:$Q$2902,T$2,0)&lt;&gt;D2776,"Beam Revised","")</f>
        <v>#N/A</v>
      </c>
      <c r="U2776" s="7" t="e">
        <f>IF(VLOOKUP($A2776,'Concrete Beam Schedule'!$A$2:$Q$2902,U$2,0)&lt;&gt;E2776,"Beam Revised","")</f>
        <v>#N/A</v>
      </c>
      <c r="V2776" s="7" t="e">
        <f>IF(VLOOKUP($A2776,'Concrete Beam Schedule'!$A$2:$Q$2902,V$2,0)&lt;&gt;F2776,"Beam Revised","")</f>
        <v>#N/A</v>
      </c>
      <c r="W2776" s="7" t="e">
        <f>IF(VLOOKUP($A2776,'Concrete Beam Schedule'!$A$2:$Q$2902,W$2,0)&lt;&gt;G2776,"Beam Revised","")</f>
        <v>#N/A</v>
      </c>
      <c r="X2776" s="7" t="e">
        <f>IF(VLOOKUP($A2776,'Concrete Beam Schedule'!$A$2:$Q$2902,X$2,0)&lt;&gt;H2776,"Beam Revised","")</f>
        <v>#N/A</v>
      </c>
      <c r="Y2776" s="7" t="e">
        <f>IF(VLOOKUP($A2776,'Concrete Beam Schedule'!$A$2:$Q$2902,Y$2,0)&lt;&gt;I2776,"Beam Revised","")</f>
        <v>#N/A</v>
      </c>
      <c r="Z2776" s="7" t="e">
        <f>IF(VLOOKUP($A2776,'Concrete Beam Schedule'!$A$2:$Q$2902,Z$2,0)&lt;&gt;J2776,"Beam Revised","")</f>
        <v>#N/A</v>
      </c>
      <c r="AA2776" s="7" t="e">
        <f>IF(VLOOKUP($A2776,'Concrete Beam Schedule'!$A$2:$Q$2902,AA$2,0)&lt;&gt;K2776,"Beam Revised","")</f>
        <v>#N/A</v>
      </c>
      <c r="AB2776" s="7" t="e">
        <f>IF(VLOOKUP($A2776,'Concrete Beam Schedule'!$A$2:$Q$2902,AB$2,0)&lt;&gt;L2776,"Beam Revised","")</f>
        <v>#N/A</v>
      </c>
      <c r="AC2776" s="7" t="e">
        <f>IF(VLOOKUP($A2776,'Concrete Beam Schedule'!$A$2:$Q$2902,AC$2,0)&lt;&gt;M2776,"Beam Revised","")</f>
        <v>#N/A</v>
      </c>
      <c r="AD2776" s="7" t="e">
        <f>IF(VLOOKUP($A2776,'Concrete Beam Schedule'!$A$2:$Q$2902,AD$2,0)&lt;&gt;N2776,"Beam Revised","")</f>
        <v>#N/A</v>
      </c>
      <c r="AE2776" s="7" t="e">
        <f>IF(VLOOKUP($A2776,'Concrete Beam Schedule'!$A$2:$Q$2902,AE$2,0)&lt;&gt;O2776,"Beam Revised","")</f>
        <v>#N/A</v>
      </c>
    </row>
    <row r="2777" spans="17:31" ht="20.100000000000001" customHeight="1" x14ac:dyDescent="0.25">
      <c r="Q2777" s="7">
        <f t="shared" si="43"/>
        <v>0</v>
      </c>
      <c r="R2777" s="7" t="e">
        <f>IF(VLOOKUP($A2777,'Concrete Beam Schedule'!$A$2:$Q$2902,R$2,0)&lt;&gt;B2777,VLOOKUP($A2777,'Concrete Beam Schedule'!$A$2:$Q$2902,R$2,0),"")</f>
        <v>#N/A</v>
      </c>
      <c r="S2777" s="7" t="e">
        <f>IF(VLOOKUP($A2777,'Concrete Beam Schedule'!$A$2:$Q$2902,S$2,0)&lt;&gt;C2777,VLOOKUP($A2777,'Concrete Beam Schedule'!$A$2:$Q$2902,S$2,0),"")</f>
        <v>#N/A</v>
      </c>
      <c r="T2777" s="7" t="e">
        <f>IF(VLOOKUP($A2777,'Concrete Beam Schedule'!$A$2:$Q$2902,T$2,0)&lt;&gt;D2777,"Beam Revised","")</f>
        <v>#N/A</v>
      </c>
      <c r="U2777" s="7" t="e">
        <f>IF(VLOOKUP($A2777,'Concrete Beam Schedule'!$A$2:$Q$2902,U$2,0)&lt;&gt;E2777,"Beam Revised","")</f>
        <v>#N/A</v>
      </c>
      <c r="V2777" s="7" t="e">
        <f>IF(VLOOKUP($A2777,'Concrete Beam Schedule'!$A$2:$Q$2902,V$2,0)&lt;&gt;F2777,"Beam Revised","")</f>
        <v>#N/A</v>
      </c>
      <c r="W2777" s="7" t="e">
        <f>IF(VLOOKUP($A2777,'Concrete Beam Schedule'!$A$2:$Q$2902,W$2,0)&lt;&gt;G2777,"Beam Revised","")</f>
        <v>#N/A</v>
      </c>
      <c r="X2777" s="7" t="e">
        <f>IF(VLOOKUP($A2777,'Concrete Beam Schedule'!$A$2:$Q$2902,X$2,0)&lt;&gt;H2777,"Beam Revised","")</f>
        <v>#N/A</v>
      </c>
      <c r="Y2777" s="7" t="e">
        <f>IF(VLOOKUP($A2777,'Concrete Beam Schedule'!$A$2:$Q$2902,Y$2,0)&lt;&gt;I2777,"Beam Revised","")</f>
        <v>#N/A</v>
      </c>
      <c r="Z2777" s="7" t="e">
        <f>IF(VLOOKUP($A2777,'Concrete Beam Schedule'!$A$2:$Q$2902,Z$2,0)&lt;&gt;J2777,"Beam Revised","")</f>
        <v>#N/A</v>
      </c>
      <c r="AA2777" s="7" t="e">
        <f>IF(VLOOKUP($A2777,'Concrete Beam Schedule'!$A$2:$Q$2902,AA$2,0)&lt;&gt;K2777,"Beam Revised","")</f>
        <v>#N/A</v>
      </c>
      <c r="AB2777" s="7" t="e">
        <f>IF(VLOOKUP($A2777,'Concrete Beam Schedule'!$A$2:$Q$2902,AB$2,0)&lt;&gt;L2777,"Beam Revised","")</f>
        <v>#N/A</v>
      </c>
      <c r="AC2777" s="7" t="e">
        <f>IF(VLOOKUP($A2777,'Concrete Beam Schedule'!$A$2:$Q$2902,AC$2,0)&lt;&gt;M2777,"Beam Revised","")</f>
        <v>#N/A</v>
      </c>
      <c r="AD2777" s="7" t="e">
        <f>IF(VLOOKUP($A2777,'Concrete Beam Schedule'!$A$2:$Q$2902,AD$2,0)&lt;&gt;N2777,"Beam Revised","")</f>
        <v>#N/A</v>
      </c>
      <c r="AE2777" s="7" t="e">
        <f>IF(VLOOKUP($A2777,'Concrete Beam Schedule'!$A$2:$Q$2902,AE$2,0)&lt;&gt;O2777,"Beam Revised","")</f>
        <v>#N/A</v>
      </c>
    </row>
    <row r="2778" spans="17:31" ht="20.100000000000001" customHeight="1" x14ac:dyDescent="0.25">
      <c r="Q2778" s="7">
        <f t="shared" si="43"/>
        <v>0</v>
      </c>
      <c r="R2778" s="7" t="e">
        <f>IF(VLOOKUP($A2778,'Concrete Beam Schedule'!$A$2:$Q$2902,R$2,0)&lt;&gt;B2778,VLOOKUP($A2778,'Concrete Beam Schedule'!$A$2:$Q$2902,R$2,0),"")</f>
        <v>#N/A</v>
      </c>
      <c r="S2778" s="7" t="e">
        <f>IF(VLOOKUP($A2778,'Concrete Beam Schedule'!$A$2:$Q$2902,S$2,0)&lt;&gt;C2778,VLOOKUP($A2778,'Concrete Beam Schedule'!$A$2:$Q$2902,S$2,0),"")</f>
        <v>#N/A</v>
      </c>
      <c r="T2778" s="7" t="e">
        <f>IF(VLOOKUP($A2778,'Concrete Beam Schedule'!$A$2:$Q$2902,T$2,0)&lt;&gt;D2778,"Beam Revised","")</f>
        <v>#N/A</v>
      </c>
      <c r="U2778" s="7" t="e">
        <f>IF(VLOOKUP($A2778,'Concrete Beam Schedule'!$A$2:$Q$2902,U$2,0)&lt;&gt;E2778,"Beam Revised","")</f>
        <v>#N/A</v>
      </c>
      <c r="V2778" s="7" t="e">
        <f>IF(VLOOKUP($A2778,'Concrete Beam Schedule'!$A$2:$Q$2902,V$2,0)&lt;&gt;F2778,"Beam Revised","")</f>
        <v>#N/A</v>
      </c>
      <c r="W2778" s="7" t="e">
        <f>IF(VLOOKUP($A2778,'Concrete Beam Schedule'!$A$2:$Q$2902,W$2,0)&lt;&gt;G2778,"Beam Revised","")</f>
        <v>#N/A</v>
      </c>
      <c r="X2778" s="7" t="e">
        <f>IF(VLOOKUP($A2778,'Concrete Beam Schedule'!$A$2:$Q$2902,X$2,0)&lt;&gt;H2778,"Beam Revised","")</f>
        <v>#N/A</v>
      </c>
      <c r="Y2778" s="7" t="e">
        <f>IF(VLOOKUP($A2778,'Concrete Beam Schedule'!$A$2:$Q$2902,Y$2,0)&lt;&gt;I2778,"Beam Revised","")</f>
        <v>#N/A</v>
      </c>
      <c r="Z2778" s="7" t="e">
        <f>IF(VLOOKUP($A2778,'Concrete Beam Schedule'!$A$2:$Q$2902,Z$2,0)&lt;&gt;J2778,"Beam Revised","")</f>
        <v>#N/A</v>
      </c>
      <c r="AA2778" s="7" t="e">
        <f>IF(VLOOKUP($A2778,'Concrete Beam Schedule'!$A$2:$Q$2902,AA$2,0)&lt;&gt;K2778,"Beam Revised","")</f>
        <v>#N/A</v>
      </c>
      <c r="AB2778" s="7" t="e">
        <f>IF(VLOOKUP($A2778,'Concrete Beam Schedule'!$A$2:$Q$2902,AB$2,0)&lt;&gt;L2778,"Beam Revised","")</f>
        <v>#N/A</v>
      </c>
      <c r="AC2778" s="7" t="e">
        <f>IF(VLOOKUP($A2778,'Concrete Beam Schedule'!$A$2:$Q$2902,AC$2,0)&lt;&gt;M2778,"Beam Revised","")</f>
        <v>#N/A</v>
      </c>
      <c r="AD2778" s="7" t="e">
        <f>IF(VLOOKUP($A2778,'Concrete Beam Schedule'!$A$2:$Q$2902,AD$2,0)&lt;&gt;N2778,"Beam Revised","")</f>
        <v>#N/A</v>
      </c>
      <c r="AE2778" s="7" t="e">
        <f>IF(VLOOKUP($A2778,'Concrete Beam Schedule'!$A$2:$Q$2902,AE$2,0)&lt;&gt;O2778,"Beam Revised","")</f>
        <v>#N/A</v>
      </c>
    </row>
    <row r="2779" spans="17:31" ht="20.100000000000001" customHeight="1" x14ac:dyDescent="0.25">
      <c r="Q2779" s="7">
        <f t="shared" si="43"/>
        <v>0</v>
      </c>
      <c r="R2779" s="7" t="e">
        <f>IF(VLOOKUP($A2779,'Concrete Beam Schedule'!$A$2:$Q$2902,R$2,0)&lt;&gt;B2779,VLOOKUP($A2779,'Concrete Beam Schedule'!$A$2:$Q$2902,R$2,0),"")</f>
        <v>#N/A</v>
      </c>
      <c r="S2779" s="7" t="e">
        <f>IF(VLOOKUP($A2779,'Concrete Beam Schedule'!$A$2:$Q$2902,S$2,0)&lt;&gt;C2779,VLOOKUP($A2779,'Concrete Beam Schedule'!$A$2:$Q$2902,S$2,0),"")</f>
        <v>#N/A</v>
      </c>
      <c r="T2779" s="7" t="e">
        <f>IF(VLOOKUP($A2779,'Concrete Beam Schedule'!$A$2:$Q$2902,T$2,0)&lt;&gt;D2779,"Beam Revised","")</f>
        <v>#N/A</v>
      </c>
      <c r="U2779" s="7" t="e">
        <f>IF(VLOOKUP($A2779,'Concrete Beam Schedule'!$A$2:$Q$2902,U$2,0)&lt;&gt;E2779,"Beam Revised","")</f>
        <v>#N/A</v>
      </c>
      <c r="V2779" s="7" t="e">
        <f>IF(VLOOKUP($A2779,'Concrete Beam Schedule'!$A$2:$Q$2902,V$2,0)&lt;&gt;F2779,"Beam Revised","")</f>
        <v>#N/A</v>
      </c>
      <c r="W2779" s="7" t="e">
        <f>IF(VLOOKUP($A2779,'Concrete Beam Schedule'!$A$2:$Q$2902,W$2,0)&lt;&gt;G2779,"Beam Revised","")</f>
        <v>#N/A</v>
      </c>
      <c r="X2779" s="7" t="e">
        <f>IF(VLOOKUP($A2779,'Concrete Beam Schedule'!$A$2:$Q$2902,X$2,0)&lt;&gt;H2779,"Beam Revised","")</f>
        <v>#N/A</v>
      </c>
      <c r="Y2779" s="7" t="e">
        <f>IF(VLOOKUP($A2779,'Concrete Beam Schedule'!$A$2:$Q$2902,Y$2,0)&lt;&gt;I2779,"Beam Revised","")</f>
        <v>#N/A</v>
      </c>
      <c r="Z2779" s="7" t="e">
        <f>IF(VLOOKUP($A2779,'Concrete Beam Schedule'!$A$2:$Q$2902,Z$2,0)&lt;&gt;J2779,"Beam Revised","")</f>
        <v>#N/A</v>
      </c>
      <c r="AA2779" s="7" t="e">
        <f>IF(VLOOKUP($A2779,'Concrete Beam Schedule'!$A$2:$Q$2902,AA$2,0)&lt;&gt;K2779,"Beam Revised","")</f>
        <v>#N/A</v>
      </c>
      <c r="AB2779" s="7" t="e">
        <f>IF(VLOOKUP($A2779,'Concrete Beam Schedule'!$A$2:$Q$2902,AB$2,0)&lt;&gt;L2779,"Beam Revised","")</f>
        <v>#N/A</v>
      </c>
      <c r="AC2779" s="7" t="e">
        <f>IF(VLOOKUP($A2779,'Concrete Beam Schedule'!$A$2:$Q$2902,AC$2,0)&lt;&gt;M2779,"Beam Revised","")</f>
        <v>#N/A</v>
      </c>
      <c r="AD2779" s="7" t="e">
        <f>IF(VLOOKUP($A2779,'Concrete Beam Schedule'!$A$2:$Q$2902,AD$2,0)&lt;&gt;N2779,"Beam Revised","")</f>
        <v>#N/A</v>
      </c>
      <c r="AE2779" s="7" t="e">
        <f>IF(VLOOKUP($A2779,'Concrete Beam Schedule'!$A$2:$Q$2902,AE$2,0)&lt;&gt;O2779,"Beam Revised","")</f>
        <v>#N/A</v>
      </c>
    </row>
    <row r="2780" spans="17:31" ht="20.100000000000001" customHeight="1" x14ac:dyDescent="0.25">
      <c r="Q2780" s="7">
        <f t="shared" si="43"/>
        <v>0</v>
      </c>
      <c r="R2780" s="7" t="e">
        <f>IF(VLOOKUP($A2780,'Concrete Beam Schedule'!$A$2:$Q$2902,R$2,0)&lt;&gt;B2780,VLOOKUP($A2780,'Concrete Beam Schedule'!$A$2:$Q$2902,R$2,0),"")</f>
        <v>#N/A</v>
      </c>
      <c r="S2780" s="7" t="e">
        <f>IF(VLOOKUP($A2780,'Concrete Beam Schedule'!$A$2:$Q$2902,S$2,0)&lt;&gt;C2780,VLOOKUP($A2780,'Concrete Beam Schedule'!$A$2:$Q$2902,S$2,0),"")</f>
        <v>#N/A</v>
      </c>
      <c r="T2780" s="7" t="e">
        <f>IF(VLOOKUP($A2780,'Concrete Beam Schedule'!$A$2:$Q$2902,T$2,0)&lt;&gt;D2780,"Beam Revised","")</f>
        <v>#N/A</v>
      </c>
      <c r="U2780" s="7" t="e">
        <f>IF(VLOOKUP($A2780,'Concrete Beam Schedule'!$A$2:$Q$2902,U$2,0)&lt;&gt;E2780,"Beam Revised","")</f>
        <v>#N/A</v>
      </c>
      <c r="V2780" s="7" t="e">
        <f>IF(VLOOKUP($A2780,'Concrete Beam Schedule'!$A$2:$Q$2902,V$2,0)&lt;&gt;F2780,"Beam Revised","")</f>
        <v>#N/A</v>
      </c>
      <c r="W2780" s="7" t="e">
        <f>IF(VLOOKUP($A2780,'Concrete Beam Schedule'!$A$2:$Q$2902,W$2,0)&lt;&gt;G2780,"Beam Revised","")</f>
        <v>#N/A</v>
      </c>
      <c r="X2780" s="7" t="e">
        <f>IF(VLOOKUP($A2780,'Concrete Beam Schedule'!$A$2:$Q$2902,X$2,0)&lt;&gt;H2780,"Beam Revised","")</f>
        <v>#N/A</v>
      </c>
      <c r="Y2780" s="7" t="e">
        <f>IF(VLOOKUP($A2780,'Concrete Beam Schedule'!$A$2:$Q$2902,Y$2,0)&lt;&gt;I2780,"Beam Revised","")</f>
        <v>#N/A</v>
      </c>
      <c r="Z2780" s="7" t="e">
        <f>IF(VLOOKUP($A2780,'Concrete Beam Schedule'!$A$2:$Q$2902,Z$2,0)&lt;&gt;J2780,"Beam Revised","")</f>
        <v>#N/A</v>
      </c>
      <c r="AA2780" s="7" t="e">
        <f>IF(VLOOKUP($A2780,'Concrete Beam Schedule'!$A$2:$Q$2902,AA$2,0)&lt;&gt;K2780,"Beam Revised","")</f>
        <v>#N/A</v>
      </c>
      <c r="AB2780" s="7" t="e">
        <f>IF(VLOOKUP($A2780,'Concrete Beam Schedule'!$A$2:$Q$2902,AB$2,0)&lt;&gt;L2780,"Beam Revised","")</f>
        <v>#N/A</v>
      </c>
      <c r="AC2780" s="7" t="e">
        <f>IF(VLOOKUP($A2780,'Concrete Beam Schedule'!$A$2:$Q$2902,AC$2,0)&lt;&gt;M2780,"Beam Revised","")</f>
        <v>#N/A</v>
      </c>
      <c r="AD2780" s="7" t="e">
        <f>IF(VLOOKUP($A2780,'Concrete Beam Schedule'!$A$2:$Q$2902,AD$2,0)&lt;&gt;N2780,"Beam Revised","")</f>
        <v>#N/A</v>
      </c>
      <c r="AE2780" s="7" t="e">
        <f>IF(VLOOKUP($A2780,'Concrete Beam Schedule'!$A$2:$Q$2902,AE$2,0)&lt;&gt;O2780,"Beam Revised","")</f>
        <v>#N/A</v>
      </c>
    </row>
    <row r="2781" spans="17:31" ht="20.100000000000001" customHeight="1" x14ac:dyDescent="0.25">
      <c r="Q2781" s="7">
        <f t="shared" si="43"/>
        <v>0</v>
      </c>
      <c r="R2781" s="7" t="e">
        <f>IF(VLOOKUP($A2781,'Concrete Beam Schedule'!$A$2:$Q$2902,R$2,0)&lt;&gt;B2781,VLOOKUP($A2781,'Concrete Beam Schedule'!$A$2:$Q$2902,R$2,0),"")</f>
        <v>#N/A</v>
      </c>
      <c r="S2781" s="7" t="e">
        <f>IF(VLOOKUP($A2781,'Concrete Beam Schedule'!$A$2:$Q$2902,S$2,0)&lt;&gt;C2781,VLOOKUP($A2781,'Concrete Beam Schedule'!$A$2:$Q$2902,S$2,0),"")</f>
        <v>#N/A</v>
      </c>
      <c r="T2781" s="7" t="e">
        <f>IF(VLOOKUP($A2781,'Concrete Beam Schedule'!$A$2:$Q$2902,T$2,0)&lt;&gt;D2781,"Beam Revised","")</f>
        <v>#N/A</v>
      </c>
      <c r="U2781" s="7" t="e">
        <f>IF(VLOOKUP($A2781,'Concrete Beam Schedule'!$A$2:$Q$2902,U$2,0)&lt;&gt;E2781,"Beam Revised","")</f>
        <v>#N/A</v>
      </c>
      <c r="V2781" s="7" t="e">
        <f>IF(VLOOKUP($A2781,'Concrete Beam Schedule'!$A$2:$Q$2902,V$2,0)&lt;&gt;F2781,"Beam Revised","")</f>
        <v>#N/A</v>
      </c>
      <c r="W2781" s="7" t="e">
        <f>IF(VLOOKUP($A2781,'Concrete Beam Schedule'!$A$2:$Q$2902,W$2,0)&lt;&gt;G2781,"Beam Revised","")</f>
        <v>#N/A</v>
      </c>
      <c r="X2781" s="7" t="e">
        <f>IF(VLOOKUP($A2781,'Concrete Beam Schedule'!$A$2:$Q$2902,X$2,0)&lt;&gt;H2781,"Beam Revised","")</f>
        <v>#N/A</v>
      </c>
      <c r="Y2781" s="7" t="e">
        <f>IF(VLOOKUP($A2781,'Concrete Beam Schedule'!$A$2:$Q$2902,Y$2,0)&lt;&gt;I2781,"Beam Revised","")</f>
        <v>#N/A</v>
      </c>
      <c r="Z2781" s="7" t="e">
        <f>IF(VLOOKUP($A2781,'Concrete Beam Schedule'!$A$2:$Q$2902,Z$2,0)&lt;&gt;J2781,"Beam Revised","")</f>
        <v>#N/A</v>
      </c>
      <c r="AA2781" s="7" t="e">
        <f>IF(VLOOKUP($A2781,'Concrete Beam Schedule'!$A$2:$Q$2902,AA$2,0)&lt;&gt;K2781,"Beam Revised","")</f>
        <v>#N/A</v>
      </c>
      <c r="AB2781" s="7" t="e">
        <f>IF(VLOOKUP($A2781,'Concrete Beam Schedule'!$A$2:$Q$2902,AB$2,0)&lt;&gt;L2781,"Beam Revised","")</f>
        <v>#N/A</v>
      </c>
      <c r="AC2781" s="7" t="e">
        <f>IF(VLOOKUP($A2781,'Concrete Beam Schedule'!$A$2:$Q$2902,AC$2,0)&lt;&gt;M2781,"Beam Revised","")</f>
        <v>#N/A</v>
      </c>
      <c r="AD2781" s="7" t="e">
        <f>IF(VLOOKUP($A2781,'Concrete Beam Schedule'!$A$2:$Q$2902,AD$2,0)&lt;&gt;N2781,"Beam Revised","")</f>
        <v>#N/A</v>
      </c>
      <c r="AE2781" s="7" t="e">
        <f>IF(VLOOKUP($A2781,'Concrete Beam Schedule'!$A$2:$Q$2902,AE$2,0)&lt;&gt;O2781,"Beam Revised","")</f>
        <v>#N/A</v>
      </c>
    </row>
    <row r="2782" spans="17:31" ht="20.100000000000001" customHeight="1" x14ac:dyDescent="0.25">
      <c r="Q2782" s="7">
        <f t="shared" si="43"/>
        <v>0</v>
      </c>
      <c r="R2782" s="7" t="e">
        <f>IF(VLOOKUP($A2782,'Concrete Beam Schedule'!$A$2:$Q$2902,R$2,0)&lt;&gt;B2782,VLOOKUP($A2782,'Concrete Beam Schedule'!$A$2:$Q$2902,R$2,0),"")</f>
        <v>#N/A</v>
      </c>
      <c r="S2782" s="7" t="e">
        <f>IF(VLOOKUP($A2782,'Concrete Beam Schedule'!$A$2:$Q$2902,S$2,0)&lt;&gt;C2782,VLOOKUP($A2782,'Concrete Beam Schedule'!$A$2:$Q$2902,S$2,0),"")</f>
        <v>#N/A</v>
      </c>
      <c r="T2782" s="7" t="e">
        <f>IF(VLOOKUP($A2782,'Concrete Beam Schedule'!$A$2:$Q$2902,T$2,0)&lt;&gt;D2782,"Beam Revised","")</f>
        <v>#N/A</v>
      </c>
      <c r="U2782" s="7" t="e">
        <f>IF(VLOOKUP($A2782,'Concrete Beam Schedule'!$A$2:$Q$2902,U$2,0)&lt;&gt;E2782,"Beam Revised","")</f>
        <v>#N/A</v>
      </c>
      <c r="V2782" s="7" t="e">
        <f>IF(VLOOKUP($A2782,'Concrete Beam Schedule'!$A$2:$Q$2902,V$2,0)&lt;&gt;F2782,"Beam Revised","")</f>
        <v>#N/A</v>
      </c>
      <c r="W2782" s="7" t="e">
        <f>IF(VLOOKUP($A2782,'Concrete Beam Schedule'!$A$2:$Q$2902,W$2,0)&lt;&gt;G2782,"Beam Revised","")</f>
        <v>#N/A</v>
      </c>
      <c r="X2782" s="7" t="e">
        <f>IF(VLOOKUP($A2782,'Concrete Beam Schedule'!$A$2:$Q$2902,X$2,0)&lt;&gt;H2782,"Beam Revised","")</f>
        <v>#N/A</v>
      </c>
      <c r="Y2782" s="7" t="e">
        <f>IF(VLOOKUP($A2782,'Concrete Beam Schedule'!$A$2:$Q$2902,Y$2,0)&lt;&gt;I2782,"Beam Revised","")</f>
        <v>#N/A</v>
      </c>
      <c r="Z2782" s="7" t="e">
        <f>IF(VLOOKUP($A2782,'Concrete Beam Schedule'!$A$2:$Q$2902,Z$2,0)&lt;&gt;J2782,"Beam Revised","")</f>
        <v>#N/A</v>
      </c>
      <c r="AA2782" s="7" t="e">
        <f>IF(VLOOKUP($A2782,'Concrete Beam Schedule'!$A$2:$Q$2902,AA$2,0)&lt;&gt;K2782,"Beam Revised","")</f>
        <v>#N/A</v>
      </c>
      <c r="AB2782" s="7" t="e">
        <f>IF(VLOOKUP($A2782,'Concrete Beam Schedule'!$A$2:$Q$2902,AB$2,0)&lt;&gt;L2782,"Beam Revised","")</f>
        <v>#N/A</v>
      </c>
      <c r="AC2782" s="7" t="e">
        <f>IF(VLOOKUP($A2782,'Concrete Beam Schedule'!$A$2:$Q$2902,AC$2,0)&lt;&gt;M2782,"Beam Revised","")</f>
        <v>#N/A</v>
      </c>
      <c r="AD2782" s="7" t="e">
        <f>IF(VLOOKUP($A2782,'Concrete Beam Schedule'!$A$2:$Q$2902,AD$2,0)&lt;&gt;N2782,"Beam Revised","")</f>
        <v>#N/A</v>
      </c>
      <c r="AE2782" s="7" t="e">
        <f>IF(VLOOKUP($A2782,'Concrete Beam Schedule'!$A$2:$Q$2902,AE$2,0)&lt;&gt;O2782,"Beam Revised","")</f>
        <v>#N/A</v>
      </c>
    </row>
    <row r="2783" spans="17:31" ht="20.100000000000001" customHeight="1" x14ac:dyDescent="0.25">
      <c r="Q2783" s="7">
        <f t="shared" si="43"/>
        <v>0</v>
      </c>
      <c r="R2783" s="7" t="e">
        <f>IF(VLOOKUP($A2783,'Concrete Beam Schedule'!$A$2:$Q$2902,R$2,0)&lt;&gt;B2783,VLOOKUP($A2783,'Concrete Beam Schedule'!$A$2:$Q$2902,R$2,0),"")</f>
        <v>#N/A</v>
      </c>
      <c r="S2783" s="7" t="e">
        <f>IF(VLOOKUP($A2783,'Concrete Beam Schedule'!$A$2:$Q$2902,S$2,0)&lt;&gt;C2783,VLOOKUP($A2783,'Concrete Beam Schedule'!$A$2:$Q$2902,S$2,0),"")</f>
        <v>#N/A</v>
      </c>
      <c r="T2783" s="7" t="e">
        <f>IF(VLOOKUP($A2783,'Concrete Beam Schedule'!$A$2:$Q$2902,T$2,0)&lt;&gt;D2783,"Beam Revised","")</f>
        <v>#N/A</v>
      </c>
      <c r="U2783" s="7" t="e">
        <f>IF(VLOOKUP($A2783,'Concrete Beam Schedule'!$A$2:$Q$2902,U$2,0)&lt;&gt;E2783,"Beam Revised","")</f>
        <v>#N/A</v>
      </c>
      <c r="V2783" s="7" t="e">
        <f>IF(VLOOKUP($A2783,'Concrete Beam Schedule'!$A$2:$Q$2902,V$2,0)&lt;&gt;F2783,"Beam Revised","")</f>
        <v>#N/A</v>
      </c>
      <c r="W2783" s="7" t="e">
        <f>IF(VLOOKUP($A2783,'Concrete Beam Schedule'!$A$2:$Q$2902,W$2,0)&lt;&gt;G2783,"Beam Revised","")</f>
        <v>#N/A</v>
      </c>
      <c r="X2783" s="7" t="e">
        <f>IF(VLOOKUP($A2783,'Concrete Beam Schedule'!$A$2:$Q$2902,X$2,0)&lt;&gt;H2783,"Beam Revised","")</f>
        <v>#N/A</v>
      </c>
      <c r="Y2783" s="7" t="e">
        <f>IF(VLOOKUP($A2783,'Concrete Beam Schedule'!$A$2:$Q$2902,Y$2,0)&lt;&gt;I2783,"Beam Revised","")</f>
        <v>#N/A</v>
      </c>
      <c r="Z2783" s="7" t="e">
        <f>IF(VLOOKUP($A2783,'Concrete Beam Schedule'!$A$2:$Q$2902,Z$2,0)&lt;&gt;J2783,"Beam Revised","")</f>
        <v>#N/A</v>
      </c>
      <c r="AA2783" s="7" t="e">
        <f>IF(VLOOKUP($A2783,'Concrete Beam Schedule'!$A$2:$Q$2902,AA$2,0)&lt;&gt;K2783,"Beam Revised","")</f>
        <v>#N/A</v>
      </c>
      <c r="AB2783" s="7" t="e">
        <f>IF(VLOOKUP($A2783,'Concrete Beam Schedule'!$A$2:$Q$2902,AB$2,0)&lt;&gt;L2783,"Beam Revised","")</f>
        <v>#N/A</v>
      </c>
      <c r="AC2783" s="7" t="e">
        <f>IF(VLOOKUP($A2783,'Concrete Beam Schedule'!$A$2:$Q$2902,AC$2,0)&lt;&gt;M2783,"Beam Revised","")</f>
        <v>#N/A</v>
      </c>
      <c r="AD2783" s="7" t="e">
        <f>IF(VLOOKUP($A2783,'Concrete Beam Schedule'!$A$2:$Q$2902,AD$2,0)&lt;&gt;N2783,"Beam Revised","")</f>
        <v>#N/A</v>
      </c>
      <c r="AE2783" s="7" t="e">
        <f>IF(VLOOKUP($A2783,'Concrete Beam Schedule'!$A$2:$Q$2902,AE$2,0)&lt;&gt;O2783,"Beam Revised","")</f>
        <v>#N/A</v>
      </c>
    </row>
    <row r="2784" spans="17:31" ht="20.100000000000001" customHeight="1" x14ac:dyDescent="0.25">
      <c r="Q2784" s="7">
        <f t="shared" si="43"/>
        <v>0</v>
      </c>
      <c r="R2784" s="7" t="e">
        <f>IF(VLOOKUP($A2784,'Concrete Beam Schedule'!$A$2:$Q$2902,R$2,0)&lt;&gt;B2784,VLOOKUP($A2784,'Concrete Beam Schedule'!$A$2:$Q$2902,R$2,0),"")</f>
        <v>#N/A</v>
      </c>
      <c r="S2784" s="7" t="e">
        <f>IF(VLOOKUP($A2784,'Concrete Beam Schedule'!$A$2:$Q$2902,S$2,0)&lt;&gt;C2784,VLOOKUP($A2784,'Concrete Beam Schedule'!$A$2:$Q$2902,S$2,0),"")</f>
        <v>#N/A</v>
      </c>
      <c r="T2784" s="7" t="e">
        <f>IF(VLOOKUP($A2784,'Concrete Beam Schedule'!$A$2:$Q$2902,T$2,0)&lt;&gt;D2784,"Beam Revised","")</f>
        <v>#N/A</v>
      </c>
      <c r="U2784" s="7" t="e">
        <f>IF(VLOOKUP($A2784,'Concrete Beam Schedule'!$A$2:$Q$2902,U$2,0)&lt;&gt;E2784,"Beam Revised","")</f>
        <v>#N/A</v>
      </c>
      <c r="V2784" s="7" t="e">
        <f>IF(VLOOKUP($A2784,'Concrete Beam Schedule'!$A$2:$Q$2902,V$2,0)&lt;&gt;F2784,"Beam Revised","")</f>
        <v>#N/A</v>
      </c>
      <c r="W2784" s="7" t="e">
        <f>IF(VLOOKUP($A2784,'Concrete Beam Schedule'!$A$2:$Q$2902,W$2,0)&lt;&gt;G2784,"Beam Revised","")</f>
        <v>#N/A</v>
      </c>
      <c r="X2784" s="7" t="e">
        <f>IF(VLOOKUP($A2784,'Concrete Beam Schedule'!$A$2:$Q$2902,X$2,0)&lt;&gt;H2784,"Beam Revised","")</f>
        <v>#N/A</v>
      </c>
      <c r="Y2784" s="7" t="e">
        <f>IF(VLOOKUP($A2784,'Concrete Beam Schedule'!$A$2:$Q$2902,Y$2,0)&lt;&gt;I2784,"Beam Revised","")</f>
        <v>#N/A</v>
      </c>
      <c r="Z2784" s="7" t="e">
        <f>IF(VLOOKUP($A2784,'Concrete Beam Schedule'!$A$2:$Q$2902,Z$2,0)&lt;&gt;J2784,"Beam Revised","")</f>
        <v>#N/A</v>
      </c>
      <c r="AA2784" s="7" t="e">
        <f>IF(VLOOKUP($A2784,'Concrete Beam Schedule'!$A$2:$Q$2902,AA$2,0)&lt;&gt;K2784,"Beam Revised","")</f>
        <v>#N/A</v>
      </c>
      <c r="AB2784" s="7" t="e">
        <f>IF(VLOOKUP($A2784,'Concrete Beam Schedule'!$A$2:$Q$2902,AB$2,0)&lt;&gt;L2784,"Beam Revised","")</f>
        <v>#N/A</v>
      </c>
      <c r="AC2784" s="7" t="e">
        <f>IF(VLOOKUP($A2784,'Concrete Beam Schedule'!$A$2:$Q$2902,AC$2,0)&lt;&gt;M2784,"Beam Revised","")</f>
        <v>#N/A</v>
      </c>
      <c r="AD2784" s="7" t="e">
        <f>IF(VLOOKUP($A2784,'Concrete Beam Schedule'!$A$2:$Q$2902,AD$2,0)&lt;&gt;N2784,"Beam Revised","")</f>
        <v>#N/A</v>
      </c>
      <c r="AE2784" s="7" t="e">
        <f>IF(VLOOKUP($A2784,'Concrete Beam Schedule'!$A$2:$Q$2902,AE$2,0)&lt;&gt;O2784,"Beam Revised","")</f>
        <v>#N/A</v>
      </c>
    </row>
    <row r="2785" spans="17:31" ht="20.100000000000001" customHeight="1" x14ac:dyDescent="0.25">
      <c r="Q2785" s="7">
        <f t="shared" si="43"/>
        <v>0</v>
      </c>
      <c r="R2785" s="7" t="e">
        <f>IF(VLOOKUP($A2785,'Concrete Beam Schedule'!$A$2:$Q$2902,R$2,0)&lt;&gt;B2785,VLOOKUP($A2785,'Concrete Beam Schedule'!$A$2:$Q$2902,R$2,0),"")</f>
        <v>#N/A</v>
      </c>
      <c r="S2785" s="7" t="e">
        <f>IF(VLOOKUP($A2785,'Concrete Beam Schedule'!$A$2:$Q$2902,S$2,0)&lt;&gt;C2785,VLOOKUP($A2785,'Concrete Beam Schedule'!$A$2:$Q$2902,S$2,0),"")</f>
        <v>#N/A</v>
      </c>
      <c r="T2785" s="7" t="e">
        <f>IF(VLOOKUP($A2785,'Concrete Beam Schedule'!$A$2:$Q$2902,T$2,0)&lt;&gt;D2785,"Beam Revised","")</f>
        <v>#N/A</v>
      </c>
      <c r="U2785" s="7" t="e">
        <f>IF(VLOOKUP($A2785,'Concrete Beam Schedule'!$A$2:$Q$2902,U$2,0)&lt;&gt;E2785,"Beam Revised","")</f>
        <v>#N/A</v>
      </c>
      <c r="V2785" s="7" t="e">
        <f>IF(VLOOKUP($A2785,'Concrete Beam Schedule'!$A$2:$Q$2902,V$2,0)&lt;&gt;F2785,"Beam Revised","")</f>
        <v>#N/A</v>
      </c>
      <c r="W2785" s="7" t="e">
        <f>IF(VLOOKUP($A2785,'Concrete Beam Schedule'!$A$2:$Q$2902,W$2,0)&lt;&gt;G2785,"Beam Revised","")</f>
        <v>#N/A</v>
      </c>
      <c r="X2785" s="7" t="e">
        <f>IF(VLOOKUP($A2785,'Concrete Beam Schedule'!$A$2:$Q$2902,X$2,0)&lt;&gt;H2785,"Beam Revised","")</f>
        <v>#N/A</v>
      </c>
      <c r="Y2785" s="7" t="e">
        <f>IF(VLOOKUP($A2785,'Concrete Beam Schedule'!$A$2:$Q$2902,Y$2,0)&lt;&gt;I2785,"Beam Revised","")</f>
        <v>#N/A</v>
      </c>
      <c r="Z2785" s="7" t="e">
        <f>IF(VLOOKUP($A2785,'Concrete Beam Schedule'!$A$2:$Q$2902,Z$2,0)&lt;&gt;J2785,"Beam Revised","")</f>
        <v>#N/A</v>
      </c>
      <c r="AA2785" s="7" t="e">
        <f>IF(VLOOKUP($A2785,'Concrete Beam Schedule'!$A$2:$Q$2902,AA$2,0)&lt;&gt;K2785,"Beam Revised","")</f>
        <v>#N/A</v>
      </c>
      <c r="AB2785" s="7" t="e">
        <f>IF(VLOOKUP($A2785,'Concrete Beam Schedule'!$A$2:$Q$2902,AB$2,0)&lt;&gt;L2785,"Beam Revised","")</f>
        <v>#N/A</v>
      </c>
      <c r="AC2785" s="7" t="e">
        <f>IF(VLOOKUP($A2785,'Concrete Beam Schedule'!$A$2:$Q$2902,AC$2,0)&lt;&gt;M2785,"Beam Revised","")</f>
        <v>#N/A</v>
      </c>
      <c r="AD2785" s="7" t="e">
        <f>IF(VLOOKUP($A2785,'Concrete Beam Schedule'!$A$2:$Q$2902,AD$2,0)&lt;&gt;N2785,"Beam Revised","")</f>
        <v>#N/A</v>
      </c>
      <c r="AE2785" s="7" t="e">
        <f>IF(VLOOKUP($A2785,'Concrete Beam Schedule'!$A$2:$Q$2902,AE$2,0)&lt;&gt;O2785,"Beam Revised","")</f>
        <v>#N/A</v>
      </c>
    </row>
    <row r="2786" spans="17:31" ht="20.100000000000001" customHeight="1" x14ac:dyDescent="0.25">
      <c r="Q2786" s="7">
        <f t="shared" si="43"/>
        <v>0</v>
      </c>
      <c r="R2786" s="7" t="e">
        <f>IF(VLOOKUP($A2786,'Concrete Beam Schedule'!$A$2:$Q$2902,R$2,0)&lt;&gt;B2786,VLOOKUP($A2786,'Concrete Beam Schedule'!$A$2:$Q$2902,R$2,0),"")</f>
        <v>#N/A</v>
      </c>
      <c r="S2786" s="7" t="e">
        <f>IF(VLOOKUP($A2786,'Concrete Beam Schedule'!$A$2:$Q$2902,S$2,0)&lt;&gt;C2786,VLOOKUP($A2786,'Concrete Beam Schedule'!$A$2:$Q$2902,S$2,0),"")</f>
        <v>#N/A</v>
      </c>
      <c r="T2786" s="7" t="e">
        <f>IF(VLOOKUP($A2786,'Concrete Beam Schedule'!$A$2:$Q$2902,T$2,0)&lt;&gt;D2786,"Beam Revised","")</f>
        <v>#N/A</v>
      </c>
      <c r="U2786" s="7" t="e">
        <f>IF(VLOOKUP($A2786,'Concrete Beam Schedule'!$A$2:$Q$2902,U$2,0)&lt;&gt;E2786,"Beam Revised","")</f>
        <v>#N/A</v>
      </c>
      <c r="V2786" s="7" t="e">
        <f>IF(VLOOKUP($A2786,'Concrete Beam Schedule'!$A$2:$Q$2902,V$2,0)&lt;&gt;F2786,"Beam Revised","")</f>
        <v>#N/A</v>
      </c>
      <c r="W2786" s="7" t="e">
        <f>IF(VLOOKUP($A2786,'Concrete Beam Schedule'!$A$2:$Q$2902,W$2,0)&lt;&gt;G2786,"Beam Revised","")</f>
        <v>#N/A</v>
      </c>
      <c r="X2786" s="7" t="e">
        <f>IF(VLOOKUP($A2786,'Concrete Beam Schedule'!$A$2:$Q$2902,X$2,0)&lt;&gt;H2786,"Beam Revised","")</f>
        <v>#N/A</v>
      </c>
      <c r="Y2786" s="7" t="e">
        <f>IF(VLOOKUP($A2786,'Concrete Beam Schedule'!$A$2:$Q$2902,Y$2,0)&lt;&gt;I2786,"Beam Revised","")</f>
        <v>#N/A</v>
      </c>
      <c r="Z2786" s="7" t="e">
        <f>IF(VLOOKUP($A2786,'Concrete Beam Schedule'!$A$2:$Q$2902,Z$2,0)&lt;&gt;J2786,"Beam Revised","")</f>
        <v>#N/A</v>
      </c>
      <c r="AA2786" s="7" t="e">
        <f>IF(VLOOKUP($A2786,'Concrete Beam Schedule'!$A$2:$Q$2902,AA$2,0)&lt;&gt;K2786,"Beam Revised","")</f>
        <v>#N/A</v>
      </c>
      <c r="AB2786" s="7" t="e">
        <f>IF(VLOOKUP($A2786,'Concrete Beam Schedule'!$A$2:$Q$2902,AB$2,0)&lt;&gt;L2786,"Beam Revised","")</f>
        <v>#N/A</v>
      </c>
      <c r="AC2786" s="7" t="e">
        <f>IF(VLOOKUP($A2786,'Concrete Beam Schedule'!$A$2:$Q$2902,AC$2,0)&lt;&gt;M2786,"Beam Revised","")</f>
        <v>#N/A</v>
      </c>
      <c r="AD2786" s="7" t="e">
        <f>IF(VLOOKUP($A2786,'Concrete Beam Schedule'!$A$2:$Q$2902,AD$2,0)&lt;&gt;N2786,"Beam Revised","")</f>
        <v>#N/A</v>
      </c>
      <c r="AE2786" s="7" t="e">
        <f>IF(VLOOKUP($A2786,'Concrete Beam Schedule'!$A$2:$Q$2902,AE$2,0)&lt;&gt;O2786,"Beam Revised","")</f>
        <v>#N/A</v>
      </c>
    </row>
    <row r="2787" spans="17:31" ht="20.100000000000001" customHeight="1" x14ac:dyDescent="0.25">
      <c r="Q2787" s="7">
        <f t="shared" si="43"/>
        <v>0</v>
      </c>
      <c r="R2787" s="7" t="e">
        <f>IF(VLOOKUP($A2787,'Concrete Beam Schedule'!$A$2:$Q$2902,R$2,0)&lt;&gt;B2787,VLOOKUP($A2787,'Concrete Beam Schedule'!$A$2:$Q$2902,R$2,0),"")</f>
        <v>#N/A</v>
      </c>
      <c r="S2787" s="7" t="e">
        <f>IF(VLOOKUP($A2787,'Concrete Beam Schedule'!$A$2:$Q$2902,S$2,0)&lt;&gt;C2787,VLOOKUP($A2787,'Concrete Beam Schedule'!$A$2:$Q$2902,S$2,0),"")</f>
        <v>#N/A</v>
      </c>
      <c r="T2787" s="7" t="e">
        <f>IF(VLOOKUP($A2787,'Concrete Beam Schedule'!$A$2:$Q$2902,T$2,0)&lt;&gt;D2787,"Beam Revised","")</f>
        <v>#N/A</v>
      </c>
      <c r="U2787" s="7" t="e">
        <f>IF(VLOOKUP($A2787,'Concrete Beam Schedule'!$A$2:$Q$2902,U$2,0)&lt;&gt;E2787,"Beam Revised","")</f>
        <v>#N/A</v>
      </c>
      <c r="V2787" s="7" t="e">
        <f>IF(VLOOKUP($A2787,'Concrete Beam Schedule'!$A$2:$Q$2902,V$2,0)&lt;&gt;F2787,"Beam Revised","")</f>
        <v>#N/A</v>
      </c>
      <c r="W2787" s="7" t="e">
        <f>IF(VLOOKUP($A2787,'Concrete Beam Schedule'!$A$2:$Q$2902,W$2,0)&lt;&gt;G2787,"Beam Revised","")</f>
        <v>#N/A</v>
      </c>
      <c r="X2787" s="7" t="e">
        <f>IF(VLOOKUP($A2787,'Concrete Beam Schedule'!$A$2:$Q$2902,X$2,0)&lt;&gt;H2787,"Beam Revised","")</f>
        <v>#N/A</v>
      </c>
      <c r="Y2787" s="7" t="e">
        <f>IF(VLOOKUP($A2787,'Concrete Beam Schedule'!$A$2:$Q$2902,Y$2,0)&lt;&gt;I2787,"Beam Revised","")</f>
        <v>#N/A</v>
      </c>
      <c r="Z2787" s="7" t="e">
        <f>IF(VLOOKUP($A2787,'Concrete Beam Schedule'!$A$2:$Q$2902,Z$2,0)&lt;&gt;J2787,"Beam Revised","")</f>
        <v>#N/A</v>
      </c>
      <c r="AA2787" s="7" t="e">
        <f>IF(VLOOKUP($A2787,'Concrete Beam Schedule'!$A$2:$Q$2902,AA$2,0)&lt;&gt;K2787,"Beam Revised","")</f>
        <v>#N/A</v>
      </c>
      <c r="AB2787" s="7" t="e">
        <f>IF(VLOOKUP($A2787,'Concrete Beam Schedule'!$A$2:$Q$2902,AB$2,0)&lt;&gt;L2787,"Beam Revised","")</f>
        <v>#N/A</v>
      </c>
      <c r="AC2787" s="7" t="e">
        <f>IF(VLOOKUP($A2787,'Concrete Beam Schedule'!$A$2:$Q$2902,AC$2,0)&lt;&gt;M2787,"Beam Revised","")</f>
        <v>#N/A</v>
      </c>
      <c r="AD2787" s="7" t="e">
        <f>IF(VLOOKUP($A2787,'Concrete Beam Schedule'!$A$2:$Q$2902,AD$2,0)&lt;&gt;N2787,"Beam Revised","")</f>
        <v>#N/A</v>
      </c>
      <c r="AE2787" s="7" t="e">
        <f>IF(VLOOKUP($A2787,'Concrete Beam Schedule'!$A$2:$Q$2902,AE$2,0)&lt;&gt;O2787,"Beam Revised","")</f>
        <v>#N/A</v>
      </c>
    </row>
    <row r="2788" spans="17:31" ht="20.100000000000001" customHeight="1" x14ac:dyDescent="0.25">
      <c r="Q2788" s="7">
        <f t="shared" si="43"/>
        <v>0</v>
      </c>
      <c r="R2788" s="7" t="e">
        <f>IF(VLOOKUP($A2788,'Concrete Beam Schedule'!$A$2:$Q$2902,R$2,0)&lt;&gt;B2788,VLOOKUP($A2788,'Concrete Beam Schedule'!$A$2:$Q$2902,R$2,0),"")</f>
        <v>#N/A</v>
      </c>
      <c r="S2788" s="7" t="e">
        <f>IF(VLOOKUP($A2788,'Concrete Beam Schedule'!$A$2:$Q$2902,S$2,0)&lt;&gt;C2788,VLOOKUP($A2788,'Concrete Beam Schedule'!$A$2:$Q$2902,S$2,0),"")</f>
        <v>#N/A</v>
      </c>
      <c r="T2788" s="7" t="e">
        <f>IF(VLOOKUP($A2788,'Concrete Beam Schedule'!$A$2:$Q$2902,T$2,0)&lt;&gt;D2788,"Beam Revised","")</f>
        <v>#N/A</v>
      </c>
      <c r="U2788" s="7" t="e">
        <f>IF(VLOOKUP($A2788,'Concrete Beam Schedule'!$A$2:$Q$2902,U$2,0)&lt;&gt;E2788,"Beam Revised","")</f>
        <v>#N/A</v>
      </c>
      <c r="V2788" s="7" t="e">
        <f>IF(VLOOKUP($A2788,'Concrete Beam Schedule'!$A$2:$Q$2902,V$2,0)&lt;&gt;F2788,"Beam Revised","")</f>
        <v>#N/A</v>
      </c>
      <c r="W2788" s="7" t="e">
        <f>IF(VLOOKUP($A2788,'Concrete Beam Schedule'!$A$2:$Q$2902,W$2,0)&lt;&gt;G2788,"Beam Revised","")</f>
        <v>#N/A</v>
      </c>
      <c r="X2788" s="7" t="e">
        <f>IF(VLOOKUP($A2788,'Concrete Beam Schedule'!$A$2:$Q$2902,X$2,0)&lt;&gt;H2788,"Beam Revised","")</f>
        <v>#N/A</v>
      </c>
      <c r="Y2788" s="7" t="e">
        <f>IF(VLOOKUP($A2788,'Concrete Beam Schedule'!$A$2:$Q$2902,Y$2,0)&lt;&gt;I2788,"Beam Revised","")</f>
        <v>#N/A</v>
      </c>
      <c r="Z2788" s="7" t="e">
        <f>IF(VLOOKUP($A2788,'Concrete Beam Schedule'!$A$2:$Q$2902,Z$2,0)&lt;&gt;J2788,"Beam Revised","")</f>
        <v>#N/A</v>
      </c>
      <c r="AA2788" s="7" t="e">
        <f>IF(VLOOKUP($A2788,'Concrete Beam Schedule'!$A$2:$Q$2902,AA$2,0)&lt;&gt;K2788,"Beam Revised","")</f>
        <v>#N/A</v>
      </c>
      <c r="AB2788" s="7" t="e">
        <f>IF(VLOOKUP($A2788,'Concrete Beam Schedule'!$A$2:$Q$2902,AB$2,0)&lt;&gt;L2788,"Beam Revised","")</f>
        <v>#N/A</v>
      </c>
      <c r="AC2788" s="7" t="e">
        <f>IF(VLOOKUP($A2788,'Concrete Beam Schedule'!$A$2:$Q$2902,AC$2,0)&lt;&gt;M2788,"Beam Revised","")</f>
        <v>#N/A</v>
      </c>
      <c r="AD2788" s="7" t="e">
        <f>IF(VLOOKUP($A2788,'Concrete Beam Schedule'!$A$2:$Q$2902,AD$2,0)&lt;&gt;N2788,"Beam Revised","")</f>
        <v>#N/A</v>
      </c>
      <c r="AE2788" s="7" t="e">
        <f>IF(VLOOKUP($A2788,'Concrete Beam Schedule'!$A$2:$Q$2902,AE$2,0)&lt;&gt;O2788,"Beam Revised","")</f>
        <v>#N/A</v>
      </c>
    </row>
    <row r="2789" spans="17:31" ht="20.100000000000001" customHeight="1" x14ac:dyDescent="0.25">
      <c r="Q2789" s="7">
        <f t="shared" si="43"/>
        <v>0</v>
      </c>
      <c r="R2789" s="7" t="e">
        <f>IF(VLOOKUP($A2789,'Concrete Beam Schedule'!$A$2:$Q$2902,R$2,0)&lt;&gt;B2789,VLOOKUP($A2789,'Concrete Beam Schedule'!$A$2:$Q$2902,R$2,0),"")</f>
        <v>#N/A</v>
      </c>
      <c r="S2789" s="7" t="e">
        <f>IF(VLOOKUP($A2789,'Concrete Beam Schedule'!$A$2:$Q$2902,S$2,0)&lt;&gt;C2789,VLOOKUP($A2789,'Concrete Beam Schedule'!$A$2:$Q$2902,S$2,0),"")</f>
        <v>#N/A</v>
      </c>
      <c r="T2789" s="7" t="e">
        <f>IF(VLOOKUP($A2789,'Concrete Beam Schedule'!$A$2:$Q$2902,T$2,0)&lt;&gt;D2789,"Beam Revised","")</f>
        <v>#N/A</v>
      </c>
      <c r="U2789" s="7" t="e">
        <f>IF(VLOOKUP($A2789,'Concrete Beam Schedule'!$A$2:$Q$2902,U$2,0)&lt;&gt;E2789,"Beam Revised","")</f>
        <v>#N/A</v>
      </c>
      <c r="V2789" s="7" t="e">
        <f>IF(VLOOKUP($A2789,'Concrete Beam Schedule'!$A$2:$Q$2902,V$2,0)&lt;&gt;F2789,"Beam Revised","")</f>
        <v>#N/A</v>
      </c>
      <c r="W2789" s="7" t="e">
        <f>IF(VLOOKUP($A2789,'Concrete Beam Schedule'!$A$2:$Q$2902,W$2,0)&lt;&gt;G2789,"Beam Revised","")</f>
        <v>#N/A</v>
      </c>
      <c r="X2789" s="7" t="e">
        <f>IF(VLOOKUP($A2789,'Concrete Beam Schedule'!$A$2:$Q$2902,X$2,0)&lt;&gt;H2789,"Beam Revised","")</f>
        <v>#N/A</v>
      </c>
      <c r="Y2789" s="7" t="e">
        <f>IF(VLOOKUP($A2789,'Concrete Beam Schedule'!$A$2:$Q$2902,Y$2,0)&lt;&gt;I2789,"Beam Revised","")</f>
        <v>#N/A</v>
      </c>
      <c r="Z2789" s="7" t="e">
        <f>IF(VLOOKUP($A2789,'Concrete Beam Schedule'!$A$2:$Q$2902,Z$2,0)&lt;&gt;J2789,"Beam Revised","")</f>
        <v>#N/A</v>
      </c>
      <c r="AA2789" s="7" t="e">
        <f>IF(VLOOKUP($A2789,'Concrete Beam Schedule'!$A$2:$Q$2902,AA$2,0)&lt;&gt;K2789,"Beam Revised","")</f>
        <v>#N/A</v>
      </c>
      <c r="AB2789" s="7" t="e">
        <f>IF(VLOOKUP($A2789,'Concrete Beam Schedule'!$A$2:$Q$2902,AB$2,0)&lt;&gt;L2789,"Beam Revised","")</f>
        <v>#N/A</v>
      </c>
      <c r="AC2789" s="7" t="e">
        <f>IF(VLOOKUP($A2789,'Concrete Beam Schedule'!$A$2:$Q$2902,AC$2,0)&lt;&gt;M2789,"Beam Revised","")</f>
        <v>#N/A</v>
      </c>
      <c r="AD2789" s="7" t="e">
        <f>IF(VLOOKUP($A2789,'Concrete Beam Schedule'!$A$2:$Q$2902,AD$2,0)&lt;&gt;N2789,"Beam Revised","")</f>
        <v>#N/A</v>
      </c>
      <c r="AE2789" s="7" t="e">
        <f>IF(VLOOKUP($A2789,'Concrete Beam Schedule'!$A$2:$Q$2902,AE$2,0)&lt;&gt;O2789,"Beam Revised","")</f>
        <v>#N/A</v>
      </c>
    </row>
    <row r="2790" spans="17:31" ht="20.100000000000001" customHeight="1" x14ac:dyDescent="0.25">
      <c r="Q2790" s="7">
        <f t="shared" si="43"/>
        <v>0</v>
      </c>
      <c r="R2790" s="7" t="e">
        <f>IF(VLOOKUP($A2790,'Concrete Beam Schedule'!$A$2:$Q$2902,R$2,0)&lt;&gt;B2790,VLOOKUP($A2790,'Concrete Beam Schedule'!$A$2:$Q$2902,R$2,0),"")</f>
        <v>#N/A</v>
      </c>
      <c r="S2790" s="7" t="e">
        <f>IF(VLOOKUP($A2790,'Concrete Beam Schedule'!$A$2:$Q$2902,S$2,0)&lt;&gt;C2790,VLOOKUP($A2790,'Concrete Beam Schedule'!$A$2:$Q$2902,S$2,0),"")</f>
        <v>#N/A</v>
      </c>
      <c r="T2790" s="7" t="e">
        <f>IF(VLOOKUP($A2790,'Concrete Beam Schedule'!$A$2:$Q$2902,T$2,0)&lt;&gt;D2790,"Beam Revised","")</f>
        <v>#N/A</v>
      </c>
      <c r="U2790" s="7" t="e">
        <f>IF(VLOOKUP($A2790,'Concrete Beam Schedule'!$A$2:$Q$2902,U$2,0)&lt;&gt;E2790,"Beam Revised","")</f>
        <v>#N/A</v>
      </c>
      <c r="V2790" s="7" t="e">
        <f>IF(VLOOKUP($A2790,'Concrete Beam Schedule'!$A$2:$Q$2902,V$2,0)&lt;&gt;F2790,"Beam Revised","")</f>
        <v>#N/A</v>
      </c>
      <c r="W2790" s="7" t="e">
        <f>IF(VLOOKUP($A2790,'Concrete Beam Schedule'!$A$2:$Q$2902,W$2,0)&lt;&gt;G2790,"Beam Revised","")</f>
        <v>#N/A</v>
      </c>
      <c r="X2790" s="7" t="e">
        <f>IF(VLOOKUP($A2790,'Concrete Beam Schedule'!$A$2:$Q$2902,X$2,0)&lt;&gt;H2790,"Beam Revised","")</f>
        <v>#N/A</v>
      </c>
      <c r="Y2790" s="7" t="e">
        <f>IF(VLOOKUP($A2790,'Concrete Beam Schedule'!$A$2:$Q$2902,Y$2,0)&lt;&gt;I2790,"Beam Revised","")</f>
        <v>#N/A</v>
      </c>
      <c r="Z2790" s="7" t="e">
        <f>IF(VLOOKUP($A2790,'Concrete Beam Schedule'!$A$2:$Q$2902,Z$2,0)&lt;&gt;J2790,"Beam Revised","")</f>
        <v>#N/A</v>
      </c>
      <c r="AA2790" s="7" t="e">
        <f>IF(VLOOKUP($A2790,'Concrete Beam Schedule'!$A$2:$Q$2902,AA$2,0)&lt;&gt;K2790,"Beam Revised","")</f>
        <v>#N/A</v>
      </c>
      <c r="AB2790" s="7" t="e">
        <f>IF(VLOOKUP($A2790,'Concrete Beam Schedule'!$A$2:$Q$2902,AB$2,0)&lt;&gt;L2790,"Beam Revised","")</f>
        <v>#N/A</v>
      </c>
      <c r="AC2790" s="7" t="e">
        <f>IF(VLOOKUP($A2790,'Concrete Beam Schedule'!$A$2:$Q$2902,AC$2,0)&lt;&gt;M2790,"Beam Revised","")</f>
        <v>#N/A</v>
      </c>
      <c r="AD2790" s="7" t="e">
        <f>IF(VLOOKUP($A2790,'Concrete Beam Schedule'!$A$2:$Q$2902,AD$2,0)&lt;&gt;N2790,"Beam Revised","")</f>
        <v>#N/A</v>
      </c>
      <c r="AE2790" s="7" t="e">
        <f>IF(VLOOKUP($A2790,'Concrete Beam Schedule'!$A$2:$Q$2902,AE$2,0)&lt;&gt;O2790,"Beam Revised","")</f>
        <v>#N/A</v>
      </c>
    </row>
    <row r="2791" spans="17:31" ht="20.100000000000001" customHeight="1" x14ac:dyDescent="0.25">
      <c r="Q2791" s="7">
        <f t="shared" si="43"/>
        <v>0</v>
      </c>
      <c r="R2791" s="7" t="e">
        <f>IF(VLOOKUP($A2791,'Concrete Beam Schedule'!$A$2:$Q$2902,R$2,0)&lt;&gt;B2791,VLOOKUP($A2791,'Concrete Beam Schedule'!$A$2:$Q$2902,R$2,0),"")</f>
        <v>#N/A</v>
      </c>
      <c r="S2791" s="7" t="e">
        <f>IF(VLOOKUP($A2791,'Concrete Beam Schedule'!$A$2:$Q$2902,S$2,0)&lt;&gt;C2791,VLOOKUP($A2791,'Concrete Beam Schedule'!$A$2:$Q$2902,S$2,0),"")</f>
        <v>#N/A</v>
      </c>
      <c r="T2791" s="7" t="e">
        <f>IF(VLOOKUP($A2791,'Concrete Beam Schedule'!$A$2:$Q$2902,T$2,0)&lt;&gt;D2791,"Beam Revised","")</f>
        <v>#N/A</v>
      </c>
      <c r="U2791" s="7" t="e">
        <f>IF(VLOOKUP($A2791,'Concrete Beam Schedule'!$A$2:$Q$2902,U$2,0)&lt;&gt;E2791,"Beam Revised","")</f>
        <v>#N/A</v>
      </c>
      <c r="V2791" s="7" t="e">
        <f>IF(VLOOKUP($A2791,'Concrete Beam Schedule'!$A$2:$Q$2902,V$2,0)&lt;&gt;F2791,"Beam Revised","")</f>
        <v>#N/A</v>
      </c>
      <c r="W2791" s="7" t="e">
        <f>IF(VLOOKUP($A2791,'Concrete Beam Schedule'!$A$2:$Q$2902,W$2,0)&lt;&gt;G2791,"Beam Revised","")</f>
        <v>#N/A</v>
      </c>
      <c r="X2791" s="7" t="e">
        <f>IF(VLOOKUP($A2791,'Concrete Beam Schedule'!$A$2:$Q$2902,X$2,0)&lt;&gt;H2791,"Beam Revised","")</f>
        <v>#N/A</v>
      </c>
      <c r="Y2791" s="7" t="e">
        <f>IF(VLOOKUP($A2791,'Concrete Beam Schedule'!$A$2:$Q$2902,Y$2,0)&lt;&gt;I2791,"Beam Revised","")</f>
        <v>#N/A</v>
      </c>
      <c r="Z2791" s="7" t="e">
        <f>IF(VLOOKUP($A2791,'Concrete Beam Schedule'!$A$2:$Q$2902,Z$2,0)&lt;&gt;J2791,"Beam Revised","")</f>
        <v>#N/A</v>
      </c>
      <c r="AA2791" s="7" t="e">
        <f>IF(VLOOKUP($A2791,'Concrete Beam Schedule'!$A$2:$Q$2902,AA$2,0)&lt;&gt;K2791,"Beam Revised","")</f>
        <v>#N/A</v>
      </c>
      <c r="AB2791" s="7" t="e">
        <f>IF(VLOOKUP($A2791,'Concrete Beam Schedule'!$A$2:$Q$2902,AB$2,0)&lt;&gt;L2791,"Beam Revised","")</f>
        <v>#N/A</v>
      </c>
      <c r="AC2791" s="7" t="e">
        <f>IF(VLOOKUP($A2791,'Concrete Beam Schedule'!$A$2:$Q$2902,AC$2,0)&lt;&gt;M2791,"Beam Revised","")</f>
        <v>#N/A</v>
      </c>
      <c r="AD2791" s="7" t="e">
        <f>IF(VLOOKUP($A2791,'Concrete Beam Schedule'!$A$2:$Q$2902,AD$2,0)&lt;&gt;N2791,"Beam Revised","")</f>
        <v>#N/A</v>
      </c>
      <c r="AE2791" s="7" t="e">
        <f>IF(VLOOKUP($A2791,'Concrete Beam Schedule'!$A$2:$Q$2902,AE$2,0)&lt;&gt;O2791,"Beam Revised","")</f>
        <v>#N/A</v>
      </c>
    </row>
    <row r="2792" spans="17:31" ht="20.100000000000001" customHeight="1" x14ac:dyDescent="0.25">
      <c r="Q2792" s="7">
        <f t="shared" si="43"/>
        <v>0</v>
      </c>
      <c r="R2792" s="7" t="e">
        <f>IF(VLOOKUP($A2792,'Concrete Beam Schedule'!$A$2:$Q$2902,R$2,0)&lt;&gt;B2792,VLOOKUP($A2792,'Concrete Beam Schedule'!$A$2:$Q$2902,R$2,0),"")</f>
        <v>#N/A</v>
      </c>
      <c r="S2792" s="7" t="e">
        <f>IF(VLOOKUP($A2792,'Concrete Beam Schedule'!$A$2:$Q$2902,S$2,0)&lt;&gt;C2792,VLOOKUP($A2792,'Concrete Beam Schedule'!$A$2:$Q$2902,S$2,0),"")</f>
        <v>#N/A</v>
      </c>
      <c r="T2792" s="7" t="e">
        <f>IF(VLOOKUP($A2792,'Concrete Beam Schedule'!$A$2:$Q$2902,T$2,0)&lt;&gt;D2792,"Beam Revised","")</f>
        <v>#N/A</v>
      </c>
      <c r="U2792" s="7" t="e">
        <f>IF(VLOOKUP($A2792,'Concrete Beam Schedule'!$A$2:$Q$2902,U$2,0)&lt;&gt;E2792,"Beam Revised","")</f>
        <v>#N/A</v>
      </c>
      <c r="V2792" s="7" t="e">
        <f>IF(VLOOKUP($A2792,'Concrete Beam Schedule'!$A$2:$Q$2902,V$2,0)&lt;&gt;F2792,"Beam Revised","")</f>
        <v>#N/A</v>
      </c>
      <c r="W2792" s="7" t="e">
        <f>IF(VLOOKUP($A2792,'Concrete Beam Schedule'!$A$2:$Q$2902,W$2,0)&lt;&gt;G2792,"Beam Revised","")</f>
        <v>#N/A</v>
      </c>
      <c r="X2792" s="7" t="e">
        <f>IF(VLOOKUP($A2792,'Concrete Beam Schedule'!$A$2:$Q$2902,X$2,0)&lt;&gt;H2792,"Beam Revised","")</f>
        <v>#N/A</v>
      </c>
      <c r="Y2792" s="7" t="e">
        <f>IF(VLOOKUP($A2792,'Concrete Beam Schedule'!$A$2:$Q$2902,Y$2,0)&lt;&gt;I2792,"Beam Revised","")</f>
        <v>#N/A</v>
      </c>
      <c r="Z2792" s="7" t="e">
        <f>IF(VLOOKUP($A2792,'Concrete Beam Schedule'!$A$2:$Q$2902,Z$2,0)&lt;&gt;J2792,"Beam Revised","")</f>
        <v>#N/A</v>
      </c>
      <c r="AA2792" s="7" t="e">
        <f>IF(VLOOKUP($A2792,'Concrete Beam Schedule'!$A$2:$Q$2902,AA$2,0)&lt;&gt;K2792,"Beam Revised","")</f>
        <v>#N/A</v>
      </c>
      <c r="AB2792" s="7" t="e">
        <f>IF(VLOOKUP($A2792,'Concrete Beam Schedule'!$A$2:$Q$2902,AB$2,0)&lt;&gt;L2792,"Beam Revised","")</f>
        <v>#N/A</v>
      </c>
      <c r="AC2792" s="7" t="e">
        <f>IF(VLOOKUP($A2792,'Concrete Beam Schedule'!$A$2:$Q$2902,AC$2,0)&lt;&gt;M2792,"Beam Revised","")</f>
        <v>#N/A</v>
      </c>
      <c r="AD2792" s="7" t="e">
        <f>IF(VLOOKUP($A2792,'Concrete Beam Schedule'!$A$2:$Q$2902,AD$2,0)&lt;&gt;N2792,"Beam Revised","")</f>
        <v>#N/A</v>
      </c>
      <c r="AE2792" s="7" t="e">
        <f>IF(VLOOKUP($A2792,'Concrete Beam Schedule'!$A$2:$Q$2902,AE$2,0)&lt;&gt;O2792,"Beam Revised","")</f>
        <v>#N/A</v>
      </c>
    </row>
    <row r="2793" spans="17:31" ht="20.100000000000001" customHeight="1" x14ac:dyDescent="0.25">
      <c r="Q2793" s="7">
        <f t="shared" si="43"/>
        <v>0</v>
      </c>
      <c r="R2793" s="7" t="e">
        <f>IF(VLOOKUP($A2793,'Concrete Beam Schedule'!$A$2:$Q$2902,R$2,0)&lt;&gt;B2793,VLOOKUP($A2793,'Concrete Beam Schedule'!$A$2:$Q$2902,R$2,0),"")</f>
        <v>#N/A</v>
      </c>
      <c r="S2793" s="7" t="e">
        <f>IF(VLOOKUP($A2793,'Concrete Beam Schedule'!$A$2:$Q$2902,S$2,0)&lt;&gt;C2793,VLOOKUP($A2793,'Concrete Beam Schedule'!$A$2:$Q$2902,S$2,0),"")</f>
        <v>#N/A</v>
      </c>
      <c r="T2793" s="7" t="e">
        <f>IF(VLOOKUP($A2793,'Concrete Beam Schedule'!$A$2:$Q$2902,T$2,0)&lt;&gt;D2793,"Beam Revised","")</f>
        <v>#N/A</v>
      </c>
      <c r="U2793" s="7" t="e">
        <f>IF(VLOOKUP($A2793,'Concrete Beam Schedule'!$A$2:$Q$2902,U$2,0)&lt;&gt;E2793,"Beam Revised","")</f>
        <v>#N/A</v>
      </c>
      <c r="V2793" s="7" t="e">
        <f>IF(VLOOKUP($A2793,'Concrete Beam Schedule'!$A$2:$Q$2902,V$2,0)&lt;&gt;F2793,"Beam Revised","")</f>
        <v>#N/A</v>
      </c>
      <c r="W2793" s="7" t="e">
        <f>IF(VLOOKUP($A2793,'Concrete Beam Schedule'!$A$2:$Q$2902,W$2,0)&lt;&gt;G2793,"Beam Revised","")</f>
        <v>#N/A</v>
      </c>
      <c r="X2793" s="7" t="e">
        <f>IF(VLOOKUP($A2793,'Concrete Beam Schedule'!$A$2:$Q$2902,X$2,0)&lt;&gt;H2793,"Beam Revised","")</f>
        <v>#N/A</v>
      </c>
      <c r="Y2793" s="7" t="e">
        <f>IF(VLOOKUP($A2793,'Concrete Beam Schedule'!$A$2:$Q$2902,Y$2,0)&lt;&gt;I2793,"Beam Revised","")</f>
        <v>#N/A</v>
      </c>
      <c r="Z2793" s="7" t="e">
        <f>IF(VLOOKUP($A2793,'Concrete Beam Schedule'!$A$2:$Q$2902,Z$2,0)&lt;&gt;J2793,"Beam Revised","")</f>
        <v>#N/A</v>
      </c>
      <c r="AA2793" s="7" t="e">
        <f>IF(VLOOKUP($A2793,'Concrete Beam Schedule'!$A$2:$Q$2902,AA$2,0)&lt;&gt;K2793,"Beam Revised","")</f>
        <v>#N/A</v>
      </c>
      <c r="AB2793" s="7" t="e">
        <f>IF(VLOOKUP($A2793,'Concrete Beam Schedule'!$A$2:$Q$2902,AB$2,0)&lt;&gt;L2793,"Beam Revised","")</f>
        <v>#N/A</v>
      </c>
      <c r="AC2793" s="7" t="e">
        <f>IF(VLOOKUP($A2793,'Concrete Beam Schedule'!$A$2:$Q$2902,AC$2,0)&lt;&gt;M2793,"Beam Revised","")</f>
        <v>#N/A</v>
      </c>
      <c r="AD2793" s="7" t="e">
        <f>IF(VLOOKUP($A2793,'Concrete Beam Schedule'!$A$2:$Q$2902,AD$2,0)&lt;&gt;N2793,"Beam Revised","")</f>
        <v>#N/A</v>
      </c>
      <c r="AE2793" s="7" t="e">
        <f>IF(VLOOKUP($A2793,'Concrete Beam Schedule'!$A$2:$Q$2902,AE$2,0)&lt;&gt;O2793,"Beam Revised","")</f>
        <v>#N/A</v>
      </c>
    </row>
    <row r="2794" spans="17:31" ht="20.100000000000001" customHeight="1" x14ac:dyDescent="0.25">
      <c r="Q2794" s="7">
        <f t="shared" si="43"/>
        <v>0</v>
      </c>
      <c r="R2794" s="7" t="e">
        <f>IF(VLOOKUP($A2794,'Concrete Beam Schedule'!$A$2:$Q$2902,R$2,0)&lt;&gt;B2794,VLOOKUP($A2794,'Concrete Beam Schedule'!$A$2:$Q$2902,R$2,0),"")</f>
        <v>#N/A</v>
      </c>
      <c r="S2794" s="7" t="e">
        <f>IF(VLOOKUP($A2794,'Concrete Beam Schedule'!$A$2:$Q$2902,S$2,0)&lt;&gt;C2794,VLOOKUP($A2794,'Concrete Beam Schedule'!$A$2:$Q$2902,S$2,0),"")</f>
        <v>#N/A</v>
      </c>
      <c r="T2794" s="7" t="e">
        <f>IF(VLOOKUP($A2794,'Concrete Beam Schedule'!$A$2:$Q$2902,T$2,0)&lt;&gt;D2794,"Beam Revised","")</f>
        <v>#N/A</v>
      </c>
      <c r="U2794" s="7" t="e">
        <f>IF(VLOOKUP($A2794,'Concrete Beam Schedule'!$A$2:$Q$2902,U$2,0)&lt;&gt;E2794,"Beam Revised","")</f>
        <v>#N/A</v>
      </c>
      <c r="V2794" s="7" t="e">
        <f>IF(VLOOKUP($A2794,'Concrete Beam Schedule'!$A$2:$Q$2902,V$2,0)&lt;&gt;F2794,"Beam Revised","")</f>
        <v>#N/A</v>
      </c>
      <c r="W2794" s="7" t="e">
        <f>IF(VLOOKUP($A2794,'Concrete Beam Schedule'!$A$2:$Q$2902,W$2,0)&lt;&gt;G2794,"Beam Revised","")</f>
        <v>#N/A</v>
      </c>
      <c r="X2794" s="7" t="e">
        <f>IF(VLOOKUP($A2794,'Concrete Beam Schedule'!$A$2:$Q$2902,X$2,0)&lt;&gt;H2794,"Beam Revised","")</f>
        <v>#N/A</v>
      </c>
      <c r="Y2794" s="7" t="e">
        <f>IF(VLOOKUP($A2794,'Concrete Beam Schedule'!$A$2:$Q$2902,Y$2,0)&lt;&gt;I2794,"Beam Revised","")</f>
        <v>#N/A</v>
      </c>
      <c r="Z2794" s="7" t="e">
        <f>IF(VLOOKUP($A2794,'Concrete Beam Schedule'!$A$2:$Q$2902,Z$2,0)&lt;&gt;J2794,"Beam Revised","")</f>
        <v>#N/A</v>
      </c>
      <c r="AA2794" s="7" t="e">
        <f>IF(VLOOKUP($A2794,'Concrete Beam Schedule'!$A$2:$Q$2902,AA$2,0)&lt;&gt;K2794,"Beam Revised","")</f>
        <v>#N/A</v>
      </c>
      <c r="AB2794" s="7" t="e">
        <f>IF(VLOOKUP($A2794,'Concrete Beam Schedule'!$A$2:$Q$2902,AB$2,0)&lt;&gt;L2794,"Beam Revised","")</f>
        <v>#N/A</v>
      </c>
      <c r="AC2794" s="7" t="e">
        <f>IF(VLOOKUP($A2794,'Concrete Beam Schedule'!$A$2:$Q$2902,AC$2,0)&lt;&gt;M2794,"Beam Revised","")</f>
        <v>#N/A</v>
      </c>
      <c r="AD2794" s="7" t="e">
        <f>IF(VLOOKUP($A2794,'Concrete Beam Schedule'!$A$2:$Q$2902,AD$2,0)&lt;&gt;N2794,"Beam Revised","")</f>
        <v>#N/A</v>
      </c>
      <c r="AE2794" s="7" t="e">
        <f>IF(VLOOKUP($A2794,'Concrete Beam Schedule'!$A$2:$Q$2902,AE$2,0)&lt;&gt;O2794,"Beam Revised","")</f>
        <v>#N/A</v>
      </c>
    </row>
    <row r="2795" spans="17:31" ht="20.100000000000001" customHeight="1" x14ac:dyDescent="0.25">
      <c r="Q2795" s="7">
        <f t="shared" si="43"/>
        <v>0</v>
      </c>
      <c r="R2795" s="7" t="e">
        <f>IF(VLOOKUP($A2795,'Concrete Beam Schedule'!$A$2:$Q$2902,R$2,0)&lt;&gt;B2795,VLOOKUP($A2795,'Concrete Beam Schedule'!$A$2:$Q$2902,R$2,0),"")</f>
        <v>#N/A</v>
      </c>
      <c r="S2795" s="7" t="e">
        <f>IF(VLOOKUP($A2795,'Concrete Beam Schedule'!$A$2:$Q$2902,S$2,0)&lt;&gt;C2795,VLOOKUP($A2795,'Concrete Beam Schedule'!$A$2:$Q$2902,S$2,0),"")</f>
        <v>#N/A</v>
      </c>
      <c r="T2795" s="7" t="e">
        <f>IF(VLOOKUP($A2795,'Concrete Beam Schedule'!$A$2:$Q$2902,T$2,0)&lt;&gt;D2795,"Beam Revised","")</f>
        <v>#N/A</v>
      </c>
      <c r="U2795" s="7" t="e">
        <f>IF(VLOOKUP($A2795,'Concrete Beam Schedule'!$A$2:$Q$2902,U$2,0)&lt;&gt;E2795,"Beam Revised","")</f>
        <v>#N/A</v>
      </c>
      <c r="V2795" s="7" t="e">
        <f>IF(VLOOKUP($A2795,'Concrete Beam Schedule'!$A$2:$Q$2902,V$2,0)&lt;&gt;F2795,"Beam Revised","")</f>
        <v>#N/A</v>
      </c>
      <c r="W2795" s="7" t="e">
        <f>IF(VLOOKUP($A2795,'Concrete Beam Schedule'!$A$2:$Q$2902,W$2,0)&lt;&gt;G2795,"Beam Revised","")</f>
        <v>#N/A</v>
      </c>
      <c r="X2795" s="7" t="e">
        <f>IF(VLOOKUP($A2795,'Concrete Beam Schedule'!$A$2:$Q$2902,X$2,0)&lt;&gt;H2795,"Beam Revised","")</f>
        <v>#N/A</v>
      </c>
      <c r="Y2795" s="7" t="e">
        <f>IF(VLOOKUP($A2795,'Concrete Beam Schedule'!$A$2:$Q$2902,Y$2,0)&lt;&gt;I2795,"Beam Revised","")</f>
        <v>#N/A</v>
      </c>
      <c r="Z2795" s="7" t="e">
        <f>IF(VLOOKUP($A2795,'Concrete Beam Schedule'!$A$2:$Q$2902,Z$2,0)&lt;&gt;J2795,"Beam Revised","")</f>
        <v>#N/A</v>
      </c>
      <c r="AA2795" s="7" t="e">
        <f>IF(VLOOKUP($A2795,'Concrete Beam Schedule'!$A$2:$Q$2902,AA$2,0)&lt;&gt;K2795,"Beam Revised","")</f>
        <v>#N/A</v>
      </c>
      <c r="AB2795" s="7" t="e">
        <f>IF(VLOOKUP($A2795,'Concrete Beam Schedule'!$A$2:$Q$2902,AB$2,0)&lt;&gt;L2795,"Beam Revised","")</f>
        <v>#N/A</v>
      </c>
      <c r="AC2795" s="7" t="e">
        <f>IF(VLOOKUP($A2795,'Concrete Beam Schedule'!$A$2:$Q$2902,AC$2,0)&lt;&gt;M2795,"Beam Revised","")</f>
        <v>#N/A</v>
      </c>
      <c r="AD2795" s="7" t="e">
        <f>IF(VLOOKUP($A2795,'Concrete Beam Schedule'!$A$2:$Q$2902,AD$2,0)&lt;&gt;N2795,"Beam Revised","")</f>
        <v>#N/A</v>
      </c>
      <c r="AE2795" s="7" t="e">
        <f>IF(VLOOKUP($A2795,'Concrete Beam Schedule'!$A$2:$Q$2902,AE$2,0)&lt;&gt;O2795,"Beam Revised","")</f>
        <v>#N/A</v>
      </c>
    </row>
    <row r="2796" spans="17:31" ht="20.100000000000001" customHeight="1" x14ac:dyDescent="0.25">
      <c r="Q2796" s="7">
        <f t="shared" si="43"/>
        <v>0</v>
      </c>
      <c r="R2796" s="7" t="e">
        <f>IF(VLOOKUP($A2796,'Concrete Beam Schedule'!$A$2:$Q$2902,R$2,0)&lt;&gt;B2796,VLOOKUP($A2796,'Concrete Beam Schedule'!$A$2:$Q$2902,R$2,0),"")</f>
        <v>#N/A</v>
      </c>
      <c r="S2796" s="7" t="e">
        <f>IF(VLOOKUP($A2796,'Concrete Beam Schedule'!$A$2:$Q$2902,S$2,0)&lt;&gt;C2796,VLOOKUP($A2796,'Concrete Beam Schedule'!$A$2:$Q$2902,S$2,0),"")</f>
        <v>#N/A</v>
      </c>
      <c r="T2796" s="7" t="e">
        <f>IF(VLOOKUP($A2796,'Concrete Beam Schedule'!$A$2:$Q$2902,T$2,0)&lt;&gt;D2796,"Beam Revised","")</f>
        <v>#N/A</v>
      </c>
      <c r="U2796" s="7" t="e">
        <f>IF(VLOOKUP($A2796,'Concrete Beam Schedule'!$A$2:$Q$2902,U$2,0)&lt;&gt;E2796,"Beam Revised","")</f>
        <v>#N/A</v>
      </c>
      <c r="V2796" s="7" t="e">
        <f>IF(VLOOKUP($A2796,'Concrete Beam Schedule'!$A$2:$Q$2902,V$2,0)&lt;&gt;F2796,"Beam Revised","")</f>
        <v>#N/A</v>
      </c>
      <c r="W2796" s="7" t="e">
        <f>IF(VLOOKUP($A2796,'Concrete Beam Schedule'!$A$2:$Q$2902,W$2,0)&lt;&gt;G2796,"Beam Revised","")</f>
        <v>#N/A</v>
      </c>
      <c r="X2796" s="7" t="e">
        <f>IF(VLOOKUP($A2796,'Concrete Beam Schedule'!$A$2:$Q$2902,X$2,0)&lt;&gt;H2796,"Beam Revised","")</f>
        <v>#N/A</v>
      </c>
      <c r="Y2796" s="7" t="e">
        <f>IF(VLOOKUP($A2796,'Concrete Beam Schedule'!$A$2:$Q$2902,Y$2,0)&lt;&gt;I2796,"Beam Revised","")</f>
        <v>#N/A</v>
      </c>
      <c r="Z2796" s="7" t="e">
        <f>IF(VLOOKUP($A2796,'Concrete Beam Schedule'!$A$2:$Q$2902,Z$2,0)&lt;&gt;J2796,"Beam Revised","")</f>
        <v>#N/A</v>
      </c>
      <c r="AA2796" s="7" t="e">
        <f>IF(VLOOKUP($A2796,'Concrete Beam Schedule'!$A$2:$Q$2902,AA$2,0)&lt;&gt;K2796,"Beam Revised","")</f>
        <v>#N/A</v>
      </c>
      <c r="AB2796" s="7" t="e">
        <f>IF(VLOOKUP($A2796,'Concrete Beam Schedule'!$A$2:$Q$2902,AB$2,0)&lt;&gt;L2796,"Beam Revised","")</f>
        <v>#N/A</v>
      </c>
      <c r="AC2796" s="7" t="e">
        <f>IF(VLOOKUP($A2796,'Concrete Beam Schedule'!$A$2:$Q$2902,AC$2,0)&lt;&gt;M2796,"Beam Revised","")</f>
        <v>#N/A</v>
      </c>
      <c r="AD2796" s="7" t="e">
        <f>IF(VLOOKUP($A2796,'Concrete Beam Schedule'!$A$2:$Q$2902,AD$2,0)&lt;&gt;N2796,"Beam Revised","")</f>
        <v>#N/A</v>
      </c>
      <c r="AE2796" s="7" t="e">
        <f>IF(VLOOKUP($A2796,'Concrete Beam Schedule'!$A$2:$Q$2902,AE$2,0)&lt;&gt;O2796,"Beam Revised","")</f>
        <v>#N/A</v>
      </c>
    </row>
    <row r="2797" spans="17:31" ht="20.100000000000001" customHeight="1" x14ac:dyDescent="0.25">
      <c r="Q2797" s="7">
        <f t="shared" si="43"/>
        <v>0</v>
      </c>
      <c r="R2797" s="7" t="e">
        <f>IF(VLOOKUP($A2797,'Concrete Beam Schedule'!$A$2:$Q$2902,R$2,0)&lt;&gt;B2797,VLOOKUP($A2797,'Concrete Beam Schedule'!$A$2:$Q$2902,R$2,0),"")</f>
        <v>#N/A</v>
      </c>
      <c r="S2797" s="7" t="e">
        <f>IF(VLOOKUP($A2797,'Concrete Beam Schedule'!$A$2:$Q$2902,S$2,0)&lt;&gt;C2797,VLOOKUP($A2797,'Concrete Beam Schedule'!$A$2:$Q$2902,S$2,0),"")</f>
        <v>#N/A</v>
      </c>
      <c r="T2797" s="7" t="e">
        <f>IF(VLOOKUP($A2797,'Concrete Beam Schedule'!$A$2:$Q$2902,T$2,0)&lt;&gt;D2797,"Beam Revised","")</f>
        <v>#N/A</v>
      </c>
      <c r="U2797" s="7" t="e">
        <f>IF(VLOOKUP($A2797,'Concrete Beam Schedule'!$A$2:$Q$2902,U$2,0)&lt;&gt;E2797,"Beam Revised","")</f>
        <v>#N/A</v>
      </c>
      <c r="V2797" s="7" t="e">
        <f>IF(VLOOKUP($A2797,'Concrete Beam Schedule'!$A$2:$Q$2902,V$2,0)&lt;&gt;F2797,"Beam Revised","")</f>
        <v>#N/A</v>
      </c>
      <c r="W2797" s="7" t="e">
        <f>IF(VLOOKUP($A2797,'Concrete Beam Schedule'!$A$2:$Q$2902,W$2,0)&lt;&gt;G2797,"Beam Revised","")</f>
        <v>#N/A</v>
      </c>
      <c r="X2797" s="7" t="e">
        <f>IF(VLOOKUP($A2797,'Concrete Beam Schedule'!$A$2:$Q$2902,X$2,0)&lt;&gt;H2797,"Beam Revised","")</f>
        <v>#N/A</v>
      </c>
      <c r="Y2797" s="7" t="e">
        <f>IF(VLOOKUP($A2797,'Concrete Beam Schedule'!$A$2:$Q$2902,Y$2,0)&lt;&gt;I2797,"Beam Revised","")</f>
        <v>#N/A</v>
      </c>
      <c r="Z2797" s="7" t="e">
        <f>IF(VLOOKUP($A2797,'Concrete Beam Schedule'!$A$2:$Q$2902,Z$2,0)&lt;&gt;J2797,"Beam Revised","")</f>
        <v>#N/A</v>
      </c>
      <c r="AA2797" s="7" t="e">
        <f>IF(VLOOKUP($A2797,'Concrete Beam Schedule'!$A$2:$Q$2902,AA$2,0)&lt;&gt;K2797,"Beam Revised","")</f>
        <v>#N/A</v>
      </c>
      <c r="AB2797" s="7" t="e">
        <f>IF(VLOOKUP($A2797,'Concrete Beam Schedule'!$A$2:$Q$2902,AB$2,0)&lt;&gt;L2797,"Beam Revised","")</f>
        <v>#N/A</v>
      </c>
      <c r="AC2797" s="7" t="e">
        <f>IF(VLOOKUP($A2797,'Concrete Beam Schedule'!$A$2:$Q$2902,AC$2,0)&lt;&gt;M2797,"Beam Revised","")</f>
        <v>#N/A</v>
      </c>
      <c r="AD2797" s="7" t="e">
        <f>IF(VLOOKUP($A2797,'Concrete Beam Schedule'!$A$2:$Q$2902,AD$2,0)&lt;&gt;N2797,"Beam Revised","")</f>
        <v>#N/A</v>
      </c>
      <c r="AE2797" s="7" t="e">
        <f>IF(VLOOKUP($A2797,'Concrete Beam Schedule'!$A$2:$Q$2902,AE$2,0)&lt;&gt;O2797,"Beam Revised","")</f>
        <v>#N/A</v>
      </c>
    </row>
    <row r="2798" spans="17:31" ht="20.100000000000001" customHeight="1" x14ac:dyDescent="0.25">
      <c r="Q2798" s="7">
        <f t="shared" si="43"/>
        <v>0</v>
      </c>
      <c r="R2798" s="7" t="e">
        <f>IF(VLOOKUP($A2798,'Concrete Beam Schedule'!$A$2:$Q$2902,R$2,0)&lt;&gt;B2798,VLOOKUP($A2798,'Concrete Beam Schedule'!$A$2:$Q$2902,R$2,0),"")</f>
        <v>#N/A</v>
      </c>
      <c r="S2798" s="7" t="e">
        <f>IF(VLOOKUP($A2798,'Concrete Beam Schedule'!$A$2:$Q$2902,S$2,0)&lt;&gt;C2798,VLOOKUP($A2798,'Concrete Beam Schedule'!$A$2:$Q$2902,S$2,0),"")</f>
        <v>#N/A</v>
      </c>
      <c r="T2798" s="7" t="e">
        <f>IF(VLOOKUP($A2798,'Concrete Beam Schedule'!$A$2:$Q$2902,T$2,0)&lt;&gt;D2798,"Beam Revised","")</f>
        <v>#N/A</v>
      </c>
      <c r="U2798" s="7" t="e">
        <f>IF(VLOOKUP($A2798,'Concrete Beam Schedule'!$A$2:$Q$2902,U$2,0)&lt;&gt;E2798,"Beam Revised","")</f>
        <v>#N/A</v>
      </c>
      <c r="V2798" s="7" t="e">
        <f>IF(VLOOKUP($A2798,'Concrete Beam Schedule'!$A$2:$Q$2902,V$2,0)&lt;&gt;F2798,"Beam Revised","")</f>
        <v>#N/A</v>
      </c>
      <c r="W2798" s="7" t="e">
        <f>IF(VLOOKUP($A2798,'Concrete Beam Schedule'!$A$2:$Q$2902,W$2,0)&lt;&gt;G2798,"Beam Revised","")</f>
        <v>#N/A</v>
      </c>
      <c r="X2798" s="7" t="e">
        <f>IF(VLOOKUP($A2798,'Concrete Beam Schedule'!$A$2:$Q$2902,X$2,0)&lt;&gt;H2798,"Beam Revised","")</f>
        <v>#N/A</v>
      </c>
      <c r="Y2798" s="7" t="e">
        <f>IF(VLOOKUP($A2798,'Concrete Beam Schedule'!$A$2:$Q$2902,Y$2,0)&lt;&gt;I2798,"Beam Revised","")</f>
        <v>#N/A</v>
      </c>
      <c r="Z2798" s="7" t="e">
        <f>IF(VLOOKUP($A2798,'Concrete Beam Schedule'!$A$2:$Q$2902,Z$2,0)&lt;&gt;J2798,"Beam Revised","")</f>
        <v>#N/A</v>
      </c>
      <c r="AA2798" s="7" t="e">
        <f>IF(VLOOKUP($A2798,'Concrete Beam Schedule'!$A$2:$Q$2902,AA$2,0)&lt;&gt;K2798,"Beam Revised","")</f>
        <v>#N/A</v>
      </c>
      <c r="AB2798" s="7" t="e">
        <f>IF(VLOOKUP($A2798,'Concrete Beam Schedule'!$A$2:$Q$2902,AB$2,0)&lt;&gt;L2798,"Beam Revised","")</f>
        <v>#N/A</v>
      </c>
      <c r="AC2798" s="7" t="e">
        <f>IF(VLOOKUP($A2798,'Concrete Beam Schedule'!$A$2:$Q$2902,AC$2,0)&lt;&gt;M2798,"Beam Revised","")</f>
        <v>#N/A</v>
      </c>
      <c r="AD2798" s="7" t="e">
        <f>IF(VLOOKUP($A2798,'Concrete Beam Schedule'!$A$2:$Q$2902,AD$2,0)&lt;&gt;N2798,"Beam Revised","")</f>
        <v>#N/A</v>
      </c>
      <c r="AE2798" s="7" t="e">
        <f>IF(VLOOKUP($A2798,'Concrete Beam Schedule'!$A$2:$Q$2902,AE$2,0)&lt;&gt;O2798,"Beam Revised","")</f>
        <v>#N/A</v>
      </c>
    </row>
    <row r="2799" spans="17:31" ht="20.100000000000001" customHeight="1" x14ac:dyDescent="0.25">
      <c r="Q2799" s="7">
        <f t="shared" si="43"/>
        <v>0</v>
      </c>
      <c r="R2799" s="7" t="e">
        <f>IF(VLOOKUP($A2799,'Concrete Beam Schedule'!$A$2:$Q$2902,R$2,0)&lt;&gt;B2799,VLOOKUP($A2799,'Concrete Beam Schedule'!$A$2:$Q$2902,R$2,0),"")</f>
        <v>#N/A</v>
      </c>
      <c r="S2799" s="7" t="e">
        <f>IF(VLOOKUP($A2799,'Concrete Beam Schedule'!$A$2:$Q$2902,S$2,0)&lt;&gt;C2799,VLOOKUP($A2799,'Concrete Beam Schedule'!$A$2:$Q$2902,S$2,0),"")</f>
        <v>#N/A</v>
      </c>
      <c r="T2799" s="7" t="e">
        <f>IF(VLOOKUP($A2799,'Concrete Beam Schedule'!$A$2:$Q$2902,T$2,0)&lt;&gt;D2799,"Beam Revised","")</f>
        <v>#N/A</v>
      </c>
      <c r="U2799" s="7" t="e">
        <f>IF(VLOOKUP($A2799,'Concrete Beam Schedule'!$A$2:$Q$2902,U$2,0)&lt;&gt;E2799,"Beam Revised","")</f>
        <v>#N/A</v>
      </c>
      <c r="V2799" s="7" t="e">
        <f>IF(VLOOKUP($A2799,'Concrete Beam Schedule'!$A$2:$Q$2902,V$2,0)&lt;&gt;F2799,"Beam Revised","")</f>
        <v>#N/A</v>
      </c>
      <c r="W2799" s="7" t="e">
        <f>IF(VLOOKUP($A2799,'Concrete Beam Schedule'!$A$2:$Q$2902,W$2,0)&lt;&gt;G2799,"Beam Revised","")</f>
        <v>#N/A</v>
      </c>
      <c r="X2799" s="7" t="e">
        <f>IF(VLOOKUP($A2799,'Concrete Beam Schedule'!$A$2:$Q$2902,X$2,0)&lt;&gt;H2799,"Beam Revised","")</f>
        <v>#N/A</v>
      </c>
      <c r="Y2799" s="7" t="e">
        <f>IF(VLOOKUP($A2799,'Concrete Beam Schedule'!$A$2:$Q$2902,Y$2,0)&lt;&gt;I2799,"Beam Revised","")</f>
        <v>#N/A</v>
      </c>
      <c r="Z2799" s="7" t="e">
        <f>IF(VLOOKUP($A2799,'Concrete Beam Schedule'!$A$2:$Q$2902,Z$2,0)&lt;&gt;J2799,"Beam Revised","")</f>
        <v>#N/A</v>
      </c>
      <c r="AA2799" s="7" t="e">
        <f>IF(VLOOKUP($A2799,'Concrete Beam Schedule'!$A$2:$Q$2902,AA$2,0)&lt;&gt;K2799,"Beam Revised","")</f>
        <v>#N/A</v>
      </c>
      <c r="AB2799" s="7" t="e">
        <f>IF(VLOOKUP($A2799,'Concrete Beam Schedule'!$A$2:$Q$2902,AB$2,0)&lt;&gt;L2799,"Beam Revised","")</f>
        <v>#N/A</v>
      </c>
      <c r="AC2799" s="7" t="e">
        <f>IF(VLOOKUP($A2799,'Concrete Beam Schedule'!$A$2:$Q$2902,AC$2,0)&lt;&gt;M2799,"Beam Revised","")</f>
        <v>#N/A</v>
      </c>
      <c r="AD2799" s="7" t="e">
        <f>IF(VLOOKUP($A2799,'Concrete Beam Schedule'!$A$2:$Q$2902,AD$2,0)&lt;&gt;N2799,"Beam Revised","")</f>
        <v>#N/A</v>
      </c>
      <c r="AE2799" s="7" t="e">
        <f>IF(VLOOKUP($A2799,'Concrete Beam Schedule'!$A$2:$Q$2902,AE$2,0)&lt;&gt;O2799,"Beam Revised","")</f>
        <v>#N/A</v>
      </c>
    </row>
    <row r="2800" spans="17:31" ht="20.100000000000001" customHeight="1" x14ac:dyDescent="0.25">
      <c r="Q2800" s="7">
        <f t="shared" si="43"/>
        <v>0</v>
      </c>
      <c r="R2800" s="7" t="e">
        <f>IF(VLOOKUP($A2800,'Concrete Beam Schedule'!$A$2:$Q$2902,R$2,0)&lt;&gt;B2800,VLOOKUP($A2800,'Concrete Beam Schedule'!$A$2:$Q$2902,R$2,0),"")</f>
        <v>#N/A</v>
      </c>
      <c r="S2800" s="7" t="e">
        <f>IF(VLOOKUP($A2800,'Concrete Beam Schedule'!$A$2:$Q$2902,S$2,0)&lt;&gt;C2800,VLOOKUP($A2800,'Concrete Beam Schedule'!$A$2:$Q$2902,S$2,0),"")</f>
        <v>#N/A</v>
      </c>
      <c r="T2800" s="7" t="e">
        <f>IF(VLOOKUP($A2800,'Concrete Beam Schedule'!$A$2:$Q$2902,T$2,0)&lt;&gt;D2800,"Beam Revised","")</f>
        <v>#N/A</v>
      </c>
      <c r="U2800" s="7" t="e">
        <f>IF(VLOOKUP($A2800,'Concrete Beam Schedule'!$A$2:$Q$2902,U$2,0)&lt;&gt;E2800,"Beam Revised","")</f>
        <v>#N/A</v>
      </c>
      <c r="V2800" s="7" t="e">
        <f>IF(VLOOKUP($A2800,'Concrete Beam Schedule'!$A$2:$Q$2902,V$2,0)&lt;&gt;F2800,"Beam Revised","")</f>
        <v>#N/A</v>
      </c>
      <c r="W2800" s="7" t="e">
        <f>IF(VLOOKUP($A2800,'Concrete Beam Schedule'!$A$2:$Q$2902,W$2,0)&lt;&gt;G2800,"Beam Revised","")</f>
        <v>#N/A</v>
      </c>
      <c r="X2800" s="7" t="e">
        <f>IF(VLOOKUP($A2800,'Concrete Beam Schedule'!$A$2:$Q$2902,X$2,0)&lt;&gt;H2800,"Beam Revised","")</f>
        <v>#N/A</v>
      </c>
      <c r="Y2800" s="7" t="e">
        <f>IF(VLOOKUP($A2800,'Concrete Beam Schedule'!$A$2:$Q$2902,Y$2,0)&lt;&gt;I2800,"Beam Revised","")</f>
        <v>#N/A</v>
      </c>
      <c r="Z2800" s="7" t="e">
        <f>IF(VLOOKUP($A2800,'Concrete Beam Schedule'!$A$2:$Q$2902,Z$2,0)&lt;&gt;J2800,"Beam Revised","")</f>
        <v>#N/A</v>
      </c>
      <c r="AA2800" s="7" t="e">
        <f>IF(VLOOKUP($A2800,'Concrete Beam Schedule'!$A$2:$Q$2902,AA$2,0)&lt;&gt;K2800,"Beam Revised","")</f>
        <v>#N/A</v>
      </c>
      <c r="AB2800" s="7" t="e">
        <f>IF(VLOOKUP($A2800,'Concrete Beam Schedule'!$A$2:$Q$2902,AB$2,0)&lt;&gt;L2800,"Beam Revised","")</f>
        <v>#N/A</v>
      </c>
      <c r="AC2800" s="7" t="e">
        <f>IF(VLOOKUP($A2800,'Concrete Beam Schedule'!$A$2:$Q$2902,AC$2,0)&lt;&gt;M2800,"Beam Revised","")</f>
        <v>#N/A</v>
      </c>
      <c r="AD2800" s="7" t="e">
        <f>IF(VLOOKUP($A2800,'Concrete Beam Schedule'!$A$2:$Q$2902,AD$2,0)&lt;&gt;N2800,"Beam Revised","")</f>
        <v>#N/A</v>
      </c>
      <c r="AE2800" s="7" t="e">
        <f>IF(VLOOKUP($A2800,'Concrete Beam Schedule'!$A$2:$Q$2902,AE$2,0)&lt;&gt;O2800,"Beam Revised","")</f>
        <v>#N/A</v>
      </c>
    </row>
    <row r="2801" spans="17:31" ht="20.100000000000001" customHeight="1" x14ac:dyDescent="0.25">
      <c r="Q2801" s="7">
        <f t="shared" si="43"/>
        <v>0</v>
      </c>
      <c r="R2801" s="7" t="e">
        <f>IF(VLOOKUP($A2801,'Concrete Beam Schedule'!$A$2:$Q$2902,R$2,0)&lt;&gt;B2801,VLOOKUP($A2801,'Concrete Beam Schedule'!$A$2:$Q$2902,R$2,0),"")</f>
        <v>#N/A</v>
      </c>
      <c r="S2801" s="7" t="e">
        <f>IF(VLOOKUP($A2801,'Concrete Beam Schedule'!$A$2:$Q$2902,S$2,0)&lt;&gt;C2801,VLOOKUP($A2801,'Concrete Beam Schedule'!$A$2:$Q$2902,S$2,0),"")</f>
        <v>#N/A</v>
      </c>
      <c r="T2801" s="7" t="e">
        <f>IF(VLOOKUP($A2801,'Concrete Beam Schedule'!$A$2:$Q$2902,T$2,0)&lt;&gt;D2801,"Beam Revised","")</f>
        <v>#N/A</v>
      </c>
      <c r="U2801" s="7" t="e">
        <f>IF(VLOOKUP($A2801,'Concrete Beam Schedule'!$A$2:$Q$2902,U$2,0)&lt;&gt;E2801,"Beam Revised","")</f>
        <v>#N/A</v>
      </c>
      <c r="V2801" s="7" t="e">
        <f>IF(VLOOKUP($A2801,'Concrete Beam Schedule'!$A$2:$Q$2902,V$2,0)&lt;&gt;F2801,"Beam Revised","")</f>
        <v>#N/A</v>
      </c>
      <c r="W2801" s="7" t="e">
        <f>IF(VLOOKUP($A2801,'Concrete Beam Schedule'!$A$2:$Q$2902,W$2,0)&lt;&gt;G2801,"Beam Revised","")</f>
        <v>#N/A</v>
      </c>
      <c r="X2801" s="7" t="e">
        <f>IF(VLOOKUP($A2801,'Concrete Beam Schedule'!$A$2:$Q$2902,X$2,0)&lt;&gt;H2801,"Beam Revised","")</f>
        <v>#N/A</v>
      </c>
      <c r="Y2801" s="7" t="e">
        <f>IF(VLOOKUP($A2801,'Concrete Beam Schedule'!$A$2:$Q$2902,Y$2,0)&lt;&gt;I2801,"Beam Revised","")</f>
        <v>#N/A</v>
      </c>
      <c r="Z2801" s="7" t="e">
        <f>IF(VLOOKUP($A2801,'Concrete Beam Schedule'!$A$2:$Q$2902,Z$2,0)&lt;&gt;J2801,"Beam Revised","")</f>
        <v>#N/A</v>
      </c>
      <c r="AA2801" s="7" t="e">
        <f>IF(VLOOKUP($A2801,'Concrete Beam Schedule'!$A$2:$Q$2902,AA$2,0)&lt;&gt;K2801,"Beam Revised","")</f>
        <v>#N/A</v>
      </c>
      <c r="AB2801" s="7" t="e">
        <f>IF(VLOOKUP($A2801,'Concrete Beam Schedule'!$A$2:$Q$2902,AB$2,0)&lt;&gt;L2801,"Beam Revised","")</f>
        <v>#N/A</v>
      </c>
      <c r="AC2801" s="7" t="e">
        <f>IF(VLOOKUP($A2801,'Concrete Beam Schedule'!$A$2:$Q$2902,AC$2,0)&lt;&gt;M2801,"Beam Revised","")</f>
        <v>#N/A</v>
      </c>
      <c r="AD2801" s="7" t="e">
        <f>IF(VLOOKUP($A2801,'Concrete Beam Schedule'!$A$2:$Q$2902,AD$2,0)&lt;&gt;N2801,"Beam Revised","")</f>
        <v>#N/A</v>
      </c>
      <c r="AE2801" s="7" t="e">
        <f>IF(VLOOKUP($A2801,'Concrete Beam Schedule'!$A$2:$Q$2902,AE$2,0)&lt;&gt;O2801,"Beam Revised","")</f>
        <v>#N/A</v>
      </c>
    </row>
    <row r="2802" spans="17:31" ht="20.100000000000001" customHeight="1" x14ac:dyDescent="0.25">
      <c r="Q2802" s="7">
        <f t="shared" si="43"/>
        <v>0</v>
      </c>
      <c r="R2802" s="7" t="e">
        <f>IF(VLOOKUP($A2802,'Concrete Beam Schedule'!$A$2:$Q$2902,R$2,0)&lt;&gt;B2802,VLOOKUP($A2802,'Concrete Beam Schedule'!$A$2:$Q$2902,R$2,0),"")</f>
        <v>#N/A</v>
      </c>
      <c r="S2802" s="7" t="e">
        <f>IF(VLOOKUP($A2802,'Concrete Beam Schedule'!$A$2:$Q$2902,S$2,0)&lt;&gt;C2802,VLOOKUP($A2802,'Concrete Beam Schedule'!$A$2:$Q$2902,S$2,0),"")</f>
        <v>#N/A</v>
      </c>
      <c r="T2802" s="7" t="e">
        <f>IF(VLOOKUP($A2802,'Concrete Beam Schedule'!$A$2:$Q$2902,T$2,0)&lt;&gt;D2802,"Beam Revised","")</f>
        <v>#N/A</v>
      </c>
      <c r="U2802" s="7" t="e">
        <f>IF(VLOOKUP($A2802,'Concrete Beam Schedule'!$A$2:$Q$2902,U$2,0)&lt;&gt;E2802,"Beam Revised","")</f>
        <v>#N/A</v>
      </c>
      <c r="V2802" s="7" t="e">
        <f>IF(VLOOKUP($A2802,'Concrete Beam Schedule'!$A$2:$Q$2902,V$2,0)&lt;&gt;F2802,"Beam Revised","")</f>
        <v>#N/A</v>
      </c>
      <c r="W2802" s="7" t="e">
        <f>IF(VLOOKUP($A2802,'Concrete Beam Schedule'!$A$2:$Q$2902,W$2,0)&lt;&gt;G2802,"Beam Revised","")</f>
        <v>#N/A</v>
      </c>
      <c r="X2802" s="7" t="e">
        <f>IF(VLOOKUP($A2802,'Concrete Beam Schedule'!$A$2:$Q$2902,X$2,0)&lt;&gt;H2802,"Beam Revised","")</f>
        <v>#N/A</v>
      </c>
      <c r="Y2802" s="7" t="e">
        <f>IF(VLOOKUP($A2802,'Concrete Beam Schedule'!$A$2:$Q$2902,Y$2,0)&lt;&gt;I2802,"Beam Revised","")</f>
        <v>#N/A</v>
      </c>
      <c r="Z2802" s="7" t="e">
        <f>IF(VLOOKUP($A2802,'Concrete Beam Schedule'!$A$2:$Q$2902,Z$2,0)&lt;&gt;J2802,"Beam Revised","")</f>
        <v>#N/A</v>
      </c>
      <c r="AA2802" s="7" t="e">
        <f>IF(VLOOKUP($A2802,'Concrete Beam Schedule'!$A$2:$Q$2902,AA$2,0)&lt;&gt;K2802,"Beam Revised","")</f>
        <v>#N/A</v>
      </c>
      <c r="AB2802" s="7" t="e">
        <f>IF(VLOOKUP($A2802,'Concrete Beam Schedule'!$A$2:$Q$2902,AB$2,0)&lt;&gt;L2802,"Beam Revised","")</f>
        <v>#N/A</v>
      </c>
      <c r="AC2802" s="7" t="e">
        <f>IF(VLOOKUP($A2802,'Concrete Beam Schedule'!$A$2:$Q$2902,AC$2,0)&lt;&gt;M2802,"Beam Revised","")</f>
        <v>#N/A</v>
      </c>
      <c r="AD2802" s="7" t="e">
        <f>IF(VLOOKUP($A2802,'Concrete Beam Schedule'!$A$2:$Q$2902,AD$2,0)&lt;&gt;N2802,"Beam Revised","")</f>
        <v>#N/A</v>
      </c>
      <c r="AE2802" s="7" t="e">
        <f>IF(VLOOKUP($A2802,'Concrete Beam Schedule'!$A$2:$Q$2902,AE$2,0)&lt;&gt;O2802,"Beam Revised","")</f>
        <v>#N/A</v>
      </c>
    </row>
    <row r="2803" spans="17:31" ht="20.100000000000001" customHeight="1" x14ac:dyDescent="0.25">
      <c r="Q2803" s="7">
        <f t="shared" si="43"/>
        <v>0</v>
      </c>
      <c r="R2803" s="7" t="e">
        <f>IF(VLOOKUP($A2803,'Concrete Beam Schedule'!$A$2:$Q$2902,R$2,0)&lt;&gt;B2803,VLOOKUP($A2803,'Concrete Beam Schedule'!$A$2:$Q$2902,R$2,0),"")</f>
        <v>#N/A</v>
      </c>
      <c r="S2803" s="7" t="e">
        <f>IF(VLOOKUP($A2803,'Concrete Beam Schedule'!$A$2:$Q$2902,S$2,0)&lt;&gt;C2803,VLOOKUP($A2803,'Concrete Beam Schedule'!$A$2:$Q$2902,S$2,0),"")</f>
        <v>#N/A</v>
      </c>
      <c r="T2803" s="7" t="e">
        <f>IF(VLOOKUP($A2803,'Concrete Beam Schedule'!$A$2:$Q$2902,T$2,0)&lt;&gt;D2803,"Beam Revised","")</f>
        <v>#N/A</v>
      </c>
      <c r="U2803" s="7" t="e">
        <f>IF(VLOOKUP($A2803,'Concrete Beam Schedule'!$A$2:$Q$2902,U$2,0)&lt;&gt;E2803,"Beam Revised","")</f>
        <v>#N/A</v>
      </c>
      <c r="V2803" s="7" t="e">
        <f>IF(VLOOKUP($A2803,'Concrete Beam Schedule'!$A$2:$Q$2902,V$2,0)&lt;&gt;F2803,"Beam Revised","")</f>
        <v>#N/A</v>
      </c>
      <c r="W2803" s="7" t="e">
        <f>IF(VLOOKUP($A2803,'Concrete Beam Schedule'!$A$2:$Q$2902,W$2,0)&lt;&gt;G2803,"Beam Revised","")</f>
        <v>#N/A</v>
      </c>
      <c r="X2803" s="7" t="e">
        <f>IF(VLOOKUP($A2803,'Concrete Beam Schedule'!$A$2:$Q$2902,X$2,0)&lt;&gt;H2803,"Beam Revised","")</f>
        <v>#N/A</v>
      </c>
      <c r="Y2803" s="7" t="e">
        <f>IF(VLOOKUP($A2803,'Concrete Beam Schedule'!$A$2:$Q$2902,Y$2,0)&lt;&gt;I2803,"Beam Revised","")</f>
        <v>#N/A</v>
      </c>
      <c r="Z2803" s="7" t="e">
        <f>IF(VLOOKUP($A2803,'Concrete Beam Schedule'!$A$2:$Q$2902,Z$2,0)&lt;&gt;J2803,"Beam Revised","")</f>
        <v>#N/A</v>
      </c>
      <c r="AA2803" s="7" t="e">
        <f>IF(VLOOKUP($A2803,'Concrete Beam Schedule'!$A$2:$Q$2902,AA$2,0)&lt;&gt;K2803,"Beam Revised","")</f>
        <v>#N/A</v>
      </c>
      <c r="AB2803" s="7" t="e">
        <f>IF(VLOOKUP($A2803,'Concrete Beam Schedule'!$A$2:$Q$2902,AB$2,0)&lt;&gt;L2803,"Beam Revised","")</f>
        <v>#N/A</v>
      </c>
      <c r="AC2803" s="7" t="e">
        <f>IF(VLOOKUP($A2803,'Concrete Beam Schedule'!$A$2:$Q$2902,AC$2,0)&lt;&gt;M2803,"Beam Revised","")</f>
        <v>#N/A</v>
      </c>
      <c r="AD2803" s="7" t="e">
        <f>IF(VLOOKUP($A2803,'Concrete Beam Schedule'!$A$2:$Q$2902,AD$2,0)&lt;&gt;N2803,"Beam Revised","")</f>
        <v>#N/A</v>
      </c>
      <c r="AE2803" s="7" t="e">
        <f>IF(VLOOKUP($A2803,'Concrete Beam Schedule'!$A$2:$Q$2902,AE$2,0)&lt;&gt;O2803,"Beam Revised","")</f>
        <v>#N/A</v>
      </c>
    </row>
    <row r="2804" spans="17:31" ht="20.100000000000001" customHeight="1" x14ac:dyDescent="0.25">
      <c r="Q2804" s="7">
        <f t="shared" si="43"/>
        <v>0</v>
      </c>
      <c r="R2804" s="7" t="e">
        <f>IF(VLOOKUP($A2804,'Concrete Beam Schedule'!$A$2:$Q$2902,R$2,0)&lt;&gt;B2804,VLOOKUP($A2804,'Concrete Beam Schedule'!$A$2:$Q$2902,R$2,0),"")</f>
        <v>#N/A</v>
      </c>
      <c r="S2804" s="7" t="e">
        <f>IF(VLOOKUP($A2804,'Concrete Beam Schedule'!$A$2:$Q$2902,S$2,0)&lt;&gt;C2804,VLOOKUP($A2804,'Concrete Beam Schedule'!$A$2:$Q$2902,S$2,0),"")</f>
        <v>#N/A</v>
      </c>
      <c r="T2804" s="7" t="e">
        <f>IF(VLOOKUP($A2804,'Concrete Beam Schedule'!$A$2:$Q$2902,T$2,0)&lt;&gt;D2804,"Beam Revised","")</f>
        <v>#N/A</v>
      </c>
      <c r="U2804" s="7" t="e">
        <f>IF(VLOOKUP($A2804,'Concrete Beam Schedule'!$A$2:$Q$2902,U$2,0)&lt;&gt;E2804,"Beam Revised","")</f>
        <v>#N/A</v>
      </c>
      <c r="V2804" s="7" t="e">
        <f>IF(VLOOKUP($A2804,'Concrete Beam Schedule'!$A$2:$Q$2902,V$2,0)&lt;&gt;F2804,"Beam Revised","")</f>
        <v>#N/A</v>
      </c>
      <c r="W2804" s="7" t="e">
        <f>IF(VLOOKUP($A2804,'Concrete Beam Schedule'!$A$2:$Q$2902,W$2,0)&lt;&gt;G2804,"Beam Revised","")</f>
        <v>#N/A</v>
      </c>
      <c r="X2804" s="7" t="e">
        <f>IF(VLOOKUP($A2804,'Concrete Beam Schedule'!$A$2:$Q$2902,X$2,0)&lt;&gt;H2804,"Beam Revised","")</f>
        <v>#N/A</v>
      </c>
      <c r="Y2804" s="7" t="e">
        <f>IF(VLOOKUP($A2804,'Concrete Beam Schedule'!$A$2:$Q$2902,Y$2,0)&lt;&gt;I2804,"Beam Revised","")</f>
        <v>#N/A</v>
      </c>
      <c r="Z2804" s="7" t="e">
        <f>IF(VLOOKUP($A2804,'Concrete Beam Schedule'!$A$2:$Q$2902,Z$2,0)&lt;&gt;J2804,"Beam Revised","")</f>
        <v>#N/A</v>
      </c>
      <c r="AA2804" s="7" t="e">
        <f>IF(VLOOKUP($A2804,'Concrete Beam Schedule'!$A$2:$Q$2902,AA$2,0)&lt;&gt;K2804,"Beam Revised","")</f>
        <v>#N/A</v>
      </c>
      <c r="AB2804" s="7" t="e">
        <f>IF(VLOOKUP($A2804,'Concrete Beam Schedule'!$A$2:$Q$2902,AB$2,0)&lt;&gt;L2804,"Beam Revised","")</f>
        <v>#N/A</v>
      </c>
      <c r="AC2804" s="7" t="e">
        <f>IF(VLOOKUP($A2804,'Concrete Beam Schedule'!$A$2:$Q$2902,AC$2,0)&lt;&gt;M2804,"Beam Revised","")</f>
        <v>#N/A</v>
      </c>
      <c r="AD2804" s="7" t="e">
        <f>IF(VLOOKUP($A2804,'Concrete Beam Schedule'!$A$2:$Q$2902,AD$2,0)&lt;&gt;N2804,"Beam Revised","")</f>
        <v>#N/A</v>
      </c>
      <c r="AE2804" s="7" t="e">
        <f>IF(VLOOKUP($A2804,'Concrete Beam Schedule'!$A$2:$Q$2902,AE$2,0)&lt;&gt;O2804,"Beam Revised","")</f>
        <v>#N/A</v>
      </c>
    </row>
    <row r="2805" spans="17:31" ht="20.100000000000001" customHeight="1" x14ac:dyDescent="0.25">
      <c r="Q2805" s="7">
        <f t="shared" si="43"/>
        <v>0</v>
      </c>
      <c r="R2805" s="7" t="e">
        <f>IF(VLOOKUP($A2805,'Concrete Beam Schedule'!$A$2:$Q$2902,R$2,0)&lt;&gt;B2805,VLOOKUP($A2805,'Concrete Beam Schedule'!$A$2:$Q$2902,R$2,0),"")</f>
        <v>#N/A</v>
      </c>
      <c r="S2805" s="7" t="e">
        <f>IF(VLOOKUP($A2805,'Concrete Beam Schedule'!$A$2:$Q$2902,S$2,0)&lt;&gt;C2805,VLOOKUP($A2805,'Concrete Beam Schedule'!$A$2:$Q$2902,S$2,0),"")</f>
        <v>#N/A</v>
      </c>
      <c r="T2805" s="7" t="e">
        <f>IF(VLOOKUP($A2805,'Concrete Beam Schedule'!$A$2:$Q$2902,T$2,0)&lt;&gt;D2805,"Beam Revised","")</f>
        <v>#N/A</v>
      </c>
      <c r="U2805" s="7" t="e">
        <f>IF(VLOOKUP($A2805,'Concrete Beam Schedule'!$A$2:$Q$2902,U$2,0)&lt;&gt;E2805,"Beam Revised","")</f>
        <v>#N/A</v>
      </c>
      <c r="V2805" s="7" t="e">
        <f>IF(VLOOKUP($A2805,'Concrete Beam Schedule'!$A$2:$Q$2902,V$2,0)&lt;&gt;F2805,"Beam Revised","")</f>
        <v>#N/A</v>
      </c>
      <c r="W2805" s="7" t="e">
        <f>IF(VLOOKUP($A2805,'Concrete Beam Schedule'!$A$2:$Q$2902,W$2,0)&lt;&gt;G2805,"Beam Revised","")</f>
        <v>#N/A</v>
      </c>
      <c r="X2805" s="7" t="e">
        <f>IF(VLOOKUP($A2805,'Concrete Beam Schedule'!$A$2:$Q$2902,X$2,0)&lt;&gt;H2805,"Beam Revised","")</f>
        <v>#N/A</v>
      </c>
      <c r="Y2805" s="7" t="e">
        <f>IF(VLOOKUP($A2805,'Concrete Beam Schedule'!$A$2:$Q$2902,Y$2,0)&lt;&gt;I2805,"Beam Revised","")</f>
        <v>#N/A</v>
      </c>
      <c r="Z2805" s="7" t="e">
        <f>IF(VLOOKUP($A2805,'Concrete Beam Schedule'!$A$2:$Q$2902,Z$2,0)&lt;&gt;J2805,"Beam Revised","")</f>
        <v>#N/A</v>
      </c>
      <c r="AA2805" s="7" t="e">
        <f>IF(VLOOKUP($A2805,'Concrete Beam Schedule'!$A$2:$Q$2902,AA$2,0)&lt;&gt;K2805,"Beam Revised","")</f>
        <v>#N/A</v>
      </c>
      <c r="AB2805" s="7" t="e">
        <f>IF(VLOOKUP($A2805,'Concrete Beam Schedule'!$A$2:$Q$2902,AB$2,0)&lt;&gt;L2805,"Beam Revised","")</f>
        <v>#N/A</v>
      </c>
      <c r="AC2805" s="7" t="e">
        <f>IF(VLOOKUP($A2805,'Concrete Beam Schedule'!$A$2:$Q$2902,AC$2,0)&lt;&gt;M2805,"Beam Revised","")</f>
        <v>#N/A</v>
      </c>
      <c r="AD2805" s="7" t="e">
        <f>IF(VLOOKUP($A2805,'Concrete Beam Schedule'!$A$2:$Q$2902,AD$2,0)&lt;&gt;N2805,"Beam Revised","")</f>
        <v>#N/A</v>
      </c>
      <c r="AE2805" s="7" t="e">
        <f>IF(VLOOKUP($A2805,'Concrete Beam Schedule'!$A$2:$Q$2902,AE$2,0)&lt;&gt;O2805,"Beam Revised","")</f>
        <v>#N/A</v>
      </c>
    </row>
    <row r="2806" spans="17:31" ht="20.100000000000001" customHeight="1" x14ac:dyDescent="0.25">
      <c r="Q2806" s="7">
        <f t="shared" si="43"/>
        <v>0</v>
      </c>
      <c r="R2806" s="7" t="e">
        <f>IF(VLOOKUP($A2806,'Concrete Beam Schedule'!$A$2:$Q$2902,R$2,0)&lt;&gt;B2806,VLOOKUP($A2806,'Concrete Beam Schedule'!$A$2:$Q$2902,R$2,0),"")</f>
        <v>#N/A</v>
      </c>
      <c r="S2806" s="7" t="e">
        <f>IF(VLOOKUP($A2806,'Concrete Beam Schedule'!$A$2:$Q$2902,S$2,0)&lt;&gt;C2806,VLOOKUP($A2806,'Concrete Beam Schedule'!$A$2:$Q$2902,S$2,0),"")</f>
        <v>#N/A</v>
      </c>
      <c r="T2806" s="7" t="e">
        <f>IF(VLOOKUP($A2806,'Concrete Beam Schedule'!$A$2:$Q$2902,T$2,0)&lt;&gt;D2806,"Beam Revised","")</f>
        <v>#N/A</v>
      </c>
      <c r="U2806" s="7" t="e">
        <f>IF(VLOOKUP($A2806,'Concrete Beam Schedule'!$A$2:$Q$2902,U$2,0)&lt;&gt;E2806,"Beam Revised","")</f>
        <v>#N/A</v>
      </c>
      <c r="V2806" s="7" t="e">
        <f>IF(VLOOKUP($A2806,'Concrete Beam Schedule'!$A$2:$Q$2902,V$2,0)&lt;&gt;F2806,"Beam Revised","")</f>
        <v>#N/A</v>
      </c>
      <c r="W2806" s="7" t="e">
        <f>IF(VLOOKUP($A2806,'Concrete Beam Schedule'!$A$2:$Q$2902,W$2,0)&lt;&gt;G2806,"Beam Revised","")</f>
        <v>#N/A</v>
      </c>
      <c r="X2806" s="7" t="e">
        <f>IF(VLOOKUP($A2806,'Concrete Beam Schedule'!$A$2:$Q$2902,X$2,0)&lt;&gt;H2806,"Beam Revised","")</f>
        <v>#N/A</v>
      </c>
      <c r="Y2806" s="7" t="e">
        <f>IF(VLOOKUP($A2806,'Concrete Beam Schedule'!$A$2:$Q$2902,Y$2,0)&lt;&gt;I2806,"Beam Revised","")</f>
        <v>#N/A</v>
      </c>
      <c r="Z2806" s="7" t="e">
        <f>IF(VLOOKUP($A2806,'Concrete Beam Schedule'!$A$2:$Q$2902,Z$2,0)&lt;&gt;J2806,"Beam Revised","")</f>
        <v>#N/A</v>
      </c>
      <c r="AA2806" s="7" t="e">
        <f>IF(VLOOKUP($A2806,'Concrete Beam Schedule'!$A$2:$Q$2902,AA$2,0)&lt;&gt;K2806,"Beam Revised","")</f>
        <v>#N/A</v>
      </c>
      <c r="AB2806" s="7" t="e">
        <f>IF(VLOOKUP($A2806,'Concrete Beam Schedule'!$A$2:$Q$2902,AB$2,0)&lt;&gt;L2806,"Beam Revised","")</f>
        <v>#N/A</v>
      </c>
      <c r="AC2806" s="7" t="e">
        <f>IF(VLOOKUP($A2806,'Concrete Beam Schedule'!$A$2:$Q$2902,AC$2,0)&lt;&gt;M2806,"Beam Revised","")</f>
        <v>#N/A</v>
      </c>
      <c r="AD2806" s="7" t="e">
        <f>IF(VLOOKUP($A2806,'Concrete Beam Schedule'!$A$2:$Q$2902,AD$2,0)&lt;&gt;N2806,"Beam Revised","")</f>
        <v>#N/A</v>
      </c>
      <c r="AE2806" s="7" t="e">
        <f>IF(VLOOKUP($A2806,'Concrete Beam Schedule'!$A$2:$Q$2902,AE$2,0)&lt;&gt;O2806,"Beam Revised","")</f>
        <v>#N/A</v>
      </c>
    </row>
    <row r="2807" spans="17:31" ht="20.100000000000001" customHeight="1" x14ac:dyDescent="0.25">
      <c r="Q2807" s="7">
        <f t="shared" si="43"/>
        <v>0</v>
      </c>
      <c r="R2807" s="7" t="e">
        <f>IF(VLOOKUP($A2807,'Concrete Beam Schedule'!$A$2:$Q$2902,R$2,0)&lt;&gt;B2807,VLOOKUP($A2807,'Concrete Beam Schedule'!$A$2:$Q$2902,R$2,0),"")</f>
        <v>#N/A</v>
      </c>
      <c r="S2807" s="7" t="e">
        <f>IF(VLOOKUP($A2807,'Concrete Beam Schedule'!$A$2:$Q$2902,S$2,0)&lt;&gt;C2807,VLOOKUP($A2807,'Concrete Beam Schedule'!$A$2:$Q$2902,S$2,0),"")</f>
        <v>#N/A</v>
      </c>
      <c r="T2807" s="7" t="e">
        <f>IF(VLOOKUP($A2807,'Concrete Beam Schedule'!$A$2:$Q$2902,T$2,0)&lt;&gt;D2807,"Beam Revised","")</f>
        <v>#N/A</v>
      </c>
      <c r="U2807" s="7" t="e">
        <f>IF(VLOOKUP($A2807,'Concrete Beam Schedule'!$A$2:$Q$2902,U$2,0)&lt;&gt;E2807,"Beam Revised","")</f>
        <v>#N/A</v>
      </c>
      <c r="V2807" s="7" t="e">
        <f>IF(VLOOKUP($A2807,'Concrete Beam Schedule'!$A$2:$Q$2902,V$2,0)&lt;&gt;F2807,"Beam Revised","")</f>
        <v>#N/A</v>
      </c>
      <c r="W2807" s="7" t="e">
        <f>IF(VLOOKUP($A2807,'Concrete Beam Schedule'!$A$2:$Q$2902,W$2,0)&lt;&gt;G2807,"Beam Revised","")</f>
        <v>#N/A</v>
      </c>
      <c r="X2807" s="7" t="e">
        <f>IF(VLOOKUP($A2807,'Concrete Beam Schedule'!$A$2:$Q$2902,X$2,0)&lt;&gt;H2807,"Beam Revised","")</f>
        <v>#N/A</v>
      </c>
      <c r="Y2807" s="7" t="e">
        <f>IF(VLOOKUP($A2807,'Concrete Beam Schedule'!$A$2:$Q$2902,Y$2,0)&lt;&gt;I2807,"Beam Revised","")</f>
        <v>#N/A</v>
      </c>
      <c r="Z2807" s="7" t="e">
        <f>IF(VLOOKUP($A2807,'Concrete Beam Schedule'!$A$2:$Q$2902,Z$2,0)&lt;&gt;J2807,"Beam Revised","")</f>
        <v>#N/A</v>
      </c>
      <c r="AA2807" s="7" t="e">
        <f>IF(VLOOKUP($A2807,'Concrete Beam Schedule'!$A$2:$Q$2902,AA$2,0)&lt;&gt;K2807,"Beam Revised","")</f>
        <v>#N/A</v>
      </c>
      <c r="AB2807" s="7" t="e">
        <f>IF(VLOOKUP($A2807,'Concrete Beam Schedule'!$A$2:$Q$2902,AB$2,0)&lt;&gt;L2807,"Beam Revised","")</f>
        <v>#N/A</v>
      </c>
      <c r="AC2807" s="7" t="e">
        <f>IF(VLOOKUP($A2807,'Concrete Beam Schedule'!$A$2:$Q$2902,AC$2,0)&lt;&gt;M2807,"Beam Revised","")</f>
        <v>#N/A</v>
      </c>
      <c r="AD2807" s="7" t="e">
        <f>IF(VLOOKUP($A2807,'Concrete Beam Schedule'!$A$2:$Q$2902,AD$2,0)&lt;&gt;N2807,"Beam Revised","")</f>
        <v>#N/A</v>
      </c>
      <c r="AE2807" s="7" t="e">
        <f>IF(VLOOKUP($A2807,'Concrete Beam Schedule'!$A$2:$Q$2902,AE$2,0)&lt;&gt;O2807,"Beam Revised","")</f>
        <v>#N/A</v>
      </c>
    </row>
    <row r="2808" spans="17:31" ht="20.100000000000001" customHeight="1" x14ac:dyDescent="0.25">
      <c r="Q2808" s="7">
        <f t="shared" si="43"/>
        <v>0</v>
      </c>
      <c r="R2808" s="7" t="e">
        <f>IF(VLOOKUP($A2808,'Concrete Beam Schedule'!$A$2:$Q$2902,R$2,0)&lt;&gt;B2808,VLOOKUP($A2808,'Concrete Beam Schedule'!$A$2:$Q$2902,R$2,0),"")</f>
        <v>#N/A</v>
      </c>
      <c r="S2808" s="7" t="e">
        <f>IF(VLOOKUP($A2808,'Concrete Beam Schedule'!$A$2:$Q$2902,S$2,0)&lt;&gt;C2808,VLOOKUP($A2808,'Concrete Beam Schedule'!$A$2:$Q$2902,S$2,0),"")</f>
        <v>#N/A</v>
      </c>
      <c r="T2808" s="7" t="e">
        <f>IF(VLOOKUP($A2808,'Concrete Beam Schedule'!$A$2:$Q$2902,T$2,0)&lt;&gt;D2808,"Beam Revised","")</f>
        <v>#N/A</v>
      </c>
      <c r="U2808" s="7" t="e">
        <f>IF(VLOOKUP($A2808,'Concrete Beam Schedule'!$A$2:$Q$2902,U$2,0)&lt;&gt;E2808,"Beam Revised","")</f>
        <v>#N/A</v>
      </c>
      <c r="V2808" s="7" t="e">
        <f>IF(VLOOKUP($A2808,'Concrete Beam Schedule'!$A$2:$Q$2902,V$2,0)&lt;&gt;F2808,"Beam Revised","")</f>
        <v>#N/A</v>
      </c>
      <c r="W2808" s="7" t="e">
        <f>IF(VLOOKUP($A2808,'Concrete Beam Schedule'!$A$2:$Q$2902,W$2,0)&lt;&gt;G2808,"Beam Revised","")</f>
        <v>#N/A</v>
      </c>
      <c r="X2808" s="7" t="e">
        <f>IF(VLOOKUP($A2808,'Concrete Beam Schedule'!$A$2:$Q$2902,X$2,0)&lt;&gt;H2808,"Beam Revised","")</f>
        <v>#N/A</v>
      </c>
      <c r="Y2808" s="7" t="e">
        <f>IF(VLOOKUP($A2808,'Concrete Beam Schedule'!$A$2:$Q$2902,Y$2,0)&lt;&gt;I2808,"Beam Revised","")</f>
        <v>#N/A</v>
      </c>
      <c r="Z2808" s="7" t="e">
        <f>IF(VLOOKUP($A2808,'Concrete Beam Schedule'!$A$2:$Q$2902,Z$2,0)&lt;&gt;J2808,"Beam Revised","")</f>
        <v>#N/A</v>
      </c>
      <c r="AA2808" s="7" t="e">
        <f>IF(VLOOKUP($A2808,'Concrete Beam Schedule'!$A$2:$Q$2902,AA$2,0)&lt;&gt;K2808,"Beam Revised","")</f>
        <v>#N/A</v>
      </c>
      <c r="AB2808" s="7" t="e">
        <f>IF(VLOOKUP($A2808,'Concrete Beam Schedule'!$A$2:$Q$2902,AB$2,0)&lt;&gt;L2808,"Beam Revised","")</f>
        <v>#N/A</v>
      </c>
      <c r="AC2808" s="7" t="e">
        <f>IF(VLOOKUP($A2808,'Concrete Beam Schedule'!$A$2:$Q$2902,AC$2,0)&lt;&gt;M2808,"Beam Revised","")</f>
        <v>#N/A</v>
      </c>
      <c r="AD2808" s="7" t="e">
        <f>IF(VLOOKUP($A2808,'Concrete Beam Schedule'!$A$2:$Q$2902,AD$2,0)&lt;&gt;N2808,"Beam Revised","")</f>
        <v>#N/A</v>
      </c>
      <c r="AE2808" s="7" t="e">
        <f>IF(VLOOKUP($A2808,'Concrete Beam Schedule'!$A$2:$Q$2902,AE$2,0)&lt;&gt;O2808,"Beam Revised","")</f>
        <v>#N/A</v>
      </c>
    </row>
    <row r="2809" spans="17:31" ht="20.100000000000001" customHeight="1" x14ac:dyDescent="0.25">
      <c r="Q2809" s="7">
        <f t="shared" si="43"/>
        <v>0</v>
      </c>
      <c r="R2809" s="7" t="e">
        <f>IF(VLOOKUP($A2809,'Concrete Beam Schedule'!$A$2:$Q$2902,R$2,0)&lt;&gt;B2809,VLOOKUP($A2809,'Concrete Beam Schedule'!$A$2:$Q$2902,R$2,0),"")</f>
        <v>#N/A</v>
      </c>
      <c r="S2809" s="7" t="e">
        <f>IF(VLOOKUP($A2809,'Concrete Beam Schedule'!$A$2:$Q$2902,S$2,0)&lt;&gt;C2809,VLOOKUP($A2809,'Concrete Beam Schedule'!$A$2:$Q$2902,S$2,0),"")</f>
        <v>#N/A</v>
      </c>
      <c r="T2809" s="7" t="e">
        <f>IF(VLOOKUP($A2809,'Concrete Beam Schedule'!$A$2:$Q$2902,T$2,0)&lt;&gt;D2809,"Beam Revised","")</f>
        <v>#N/A</v>
      </c>
      <c r="U2809" s="7" t="e">
        <f>IF(VLOOKUP($A2809,'Concrete Beam Schedule'!$A$2:$Q$2902,U$2,0)&lt;&gt;E2809,"Beam Revised","")</f>
        <v>#N/A</v>
      </c>
      <c r="V2809" s="7" t="e">
        <f>IF(VLOOKUP($A2809,'Concrete Beam Schedule'!$A$2:$Q$2902,V$2,0)&lt;&gt;F2809,"Beam Revised","")</f>
        <v>#N/A</v>
      </c>
      <c r="W2809" s="7" t="e">
        <f>IF(VLOOKUP($A2809,'Concrete Beam Schedule'!$A$2:$Q$2902,W$2,0)&lt;&gt;G2809,"Beam Revised","")</f>
        <v>#N/A</v>
      </c>
      <c r="X2809" s="7" t="e">
        <f>IF(VLOOKUP($A2809,'Concrete Beam Schedule'!$A$2:$Q$2902,X$2,0)&lt;&gt;H2809,"Beam Revised","")</f>
        <v>#N/A</v>
      </c>
      <c r="Y2809" s="7" t="e">
        <f>IF(VLOOKUP($A2809,'Concrete Beam Schedule'!$A$2:$Q$2902,Y$2,0)&lt;&gt;I2809,"Beam Revised","")</f>
        <v>#N/A</v>
      </c>
      <c r="Z2809" s="7" t="e">
        <f>IF(VLOOKUP($A2809,'Concrete Beam Schedule'!$A$2:$Q$2902,Z$2,0)&lt;&gt;J2809,"Beam Revised","")</f>
        <v>#N/A</v>
      </c>
      <c r="AA2809" s="7" t="e">
        <f>IF(VLOOKUP($A2809,'Concrete Beam Schedule'!$A$2:$Q$2902,AA$2,0)&lt;&gt;K2809,"Beam Revised","")</f>
        <v>#N/A</v>
      </c>
      <c r="AB2809" s="7" t="e">
        <f>IF(VLOOKUP($A2809,'Concrete Beam Schedule'!$A$2:$Q$2902,AB$2,0)&lt;&gt;L2809,"Beam Revised","")</f>
        <v>#N/A</v>
      </c>
      <c r="AC2809" s="7" t="e">
        <f>IF(VLOOKUP($A2809,'Concrete Beam Schedule'!$A$2:$Q$2902,AC$2,0)&lt;&gt;M2809,"Beam Revised","")</f>
        <v>#N/A</v>
      </c>
      <c r="AD2809" s="7" t="e">
        <f>IF(VLOOKUP($A2809,'Concrete Beam Schedule'!$A$2:$Q$2902,AD$2,0)&lt;&gt;N2809,"Beam Revised","")</f>
        <v>#N/A</v>
      </c>
      <c r="AE2809" s="7" t="e">
        <f>IF(VLOOKUP($A2809,'Concrete Beam Schedule'!$A$2:$Q$2902,AE$2,0)&lt;&gt;O2809,"Beam Revised","")</f>
        <v>#N/A</v>
      </c>
    </row>
    <row r="2810" spans="17:31" ht="20.100000000000001" customHeight="1" x14ac:dyDescent="0.25">
      <c r="Q2810" s="7">
        <f t="shared" si="43"/>
        <v>0</v>
      </c>
      <c r="R2810" s="7" t="e">
        <f>IF(VLOOKUP($A2810,'Concrete Beam Schedule'!$A$2:$Q$2902,R$2,0)&lt;&gt;B2810,VLOOKUP($A2810,'Concrete Beam Schedule'!$A$2:$Q$2902,R$2,0),"")</f>
        <v>#N/A</v>
      </c>
      <c r="S2810" s="7" t="e">
        <f>IF(VLOOKUP($A2810,'Concrete Beam Schedule'!$A$2:$Q$2902,S$2,0)&lt;&gt;C2810,VLOOKUP($A2810,'Concrete Beam Schedule'!$A$2:$Q$2902,S$2,0),"")</f>
        <v>#N/A</v>
      </c>
      <c r="T2810" s="7" t="e">
        <f>IF(VLOOKUP($A2810,'Concrete Beam Schedule'!$A$2:$Q$2902,T$2,0)&lt;&gt;D2810,"Beam Revised","")</f>
        <v>#N/A</v>
      </c>
      <c r="U2810" s="7" t="e">
        <f>IF(VLOOKUP($A2810,'Concrete Beam Schedule'!$A$2:$Q$2902,U$2,0)&lt;&gt;E2810,"Beam Revised","")</f>
        <v>#N/A</v>
      </c>
      <c r="V2810" s="7" t="e">
        <f>IF(VLOOKUP($A2810,'Concrete Beam Schedule'!$A$2:$Q$2902,V$2,0)&lt;&gt;F2810,"Beam Revised","")</f>
        <v>#N/A</v>
      </c>
      <c r="W2810" s="7" t="e">
        <f>IF(VLOOKUP($A2810,'Concrete Beam Schedule'!$A$2:$Q$2902,W$2,0)&lt;&gt;G2810,"Beam Revised","")</f>
        <v>#N/A</v>
      </c>
      <c r="X2810" s="7" t="e">
        <f>IF(VLOOKUP($A2810,'Concrete Beam Schedule'!$A$2:$Q$2902,X$2,0)&lt;&gt;H2810,"Beam Revised","")</f>
        <v>#N/A</v>
      </c>
      <c r="Y2810" s="7" t="e">
        <f>IF(VLOOKUP($A2810,'Concrete Beam Schedule'!$A$2:$Q$2902,Y$2,0)&lt;&gt;I2810,"Beam Revised","")</f>
        <v>#N/A</v>
      </c>
      <c r="Z2810" s="7" t="e">
        <f>IF(VLOOKUP($A2810,'Concrete Beam Schedule'!$A$2:$Q$2902,Z$2,0)&lt;&gt;J2810,"Beam Revised","")</f>
        <v>#N/A</v>
      </c>
      <c r="AA2810" s="7" t="e">
        <f>IF(VLOOKUP($A2810,'Concrete Beam Schedule'!$A$2:$Q$2902,AA$2,0)&lt;&gt;K2810,"Beam Revised","")</f>
        <v>#N/A</v>
      </c>
      <c r="AB2810" s="7" t="e">
        <f>IF(VLOOKUP($A2810,'Concrete Beam Schedule'!$A$2:$Q$2902,AB$2,0)&lt;&gt;L2810,"Beam Revised","")</f>
        <v>#N/A</v>
      </c>
      <c r="AC2810" s="7" t="e">
        <f>IF(VLOOKUP($A2810,'Concrete Beam Schedule'!$A$2:$Q$2902,AC$2,0)&lt;&gt;M2810,"Beam Revised","")</f>
        <v>#N/A</v>
      </c>
      <c r="AD2810" s="7" t="e">
        <f>IF(VLOOKUP($A2810,'Concrete Beam Schedule'!$A$2:$Q$2902,AD$2,0)&lt;&gt;N2810,"Beam Revised","")</f>
        <v>#N/A</v>
      </c>
      <c r="AE2810" s="7" t="e">
        <f>IF(VLOOKUP($A2810,'Concrete Beam Schedule'!$A$2:$Q$2902,AE$2,0)&lt;&gt;O2810,"Beam Revised","")</f>
        <v>#N/A</v>
      </c>
    </row>
    <row r="2811" spans="17:31" ht="20.100000000000001" customHeight="1" x14ac:dyDescent="0.25">
      <c r="Q2811" s="7">
        <f t="shared" si="43"/>
        <v>0</v>
      </c>
      <c r="R2811" s="7" t="e">
        <f>IF(VLOOKUP($A2811,'Concrete Beam Schedule'!$A$2:$Q$2902,R$2,0)&lt;&gt;B2811,VLOOKUP($A2811,'Concrete Beam Schedule'!$A$2:$Q$2902,R$2,0),"")</f>
        <v>#N/A</v>
      </c>
      <c r="S2811" s="7" t="e">
        <f>IF(VLOOKUP($A2811,'Concrete Beam Schedule'!$A$2:$Q$2902,S$2,0)&lt;&gt;C2811,VLOOKUP($A2811,'Concrete Beam Schedule'!$A$2:$Q$2902,S$2,0),"")</f>
        <v>#N/A</v>
      </c>
      <c r="T2811" s="7" t="e">
        <f>IF(VLOOKUP($A2811,'Concrete Beam Schedule'!$A$2:$Q$2902,T$2,0)&lt;&gt;D2811,"Beam Revised","")</f>
        <v>#N/A</v>
      </c>
      <c r="U2811" s="7" t="e">
        <f>IF(VLOOKUP($A2811,'Concrete Beam Schedule'!$A$2:$Q$2902,U$2,0)&lt;&gt;E2811,"Beam Revised","")</f>
        <v>#N/A</v>
      </c>
      <c r="V2811" s="7" t="e">
        <f>IF(VLOOKUP($A2811,'Concrete Beam Schedule'!$A$2:$Q$2902,V$2,0)&lt;&gt;F2811,"Beam Revised","")</f>
        <v>#N/A</v>
      </c>
      <c r="W2811" s="7" t="e">
        <f>IF(VLOOKUP($A2811,'Concrete Beam Schedule'!$A$2:$Q$2902,W$2,0)&lt;&gt;G2811,"Beam Revised","")</f>
        <v>#N/A</v>
      </c>
      <c r="X2811" s="7" t="e">
        <f>IF(VLOOKUP($A2811,'Concrete Beam Schedule'!$A$2:$Q$2902,X$2,0)&lt;&gt;H2811,"Beam Revised","")</f>
        <v>#N/A</v>
      </c>
      <c r="Y2811" s="7" t="e">
        <f>IF(VLOOKUP($A2811,'Concrete Beam Schedule'!$A$2:$Q$2902,Y$2,0)&lt;&gt;I2811,"Beam Revised","")</f>
        <v>#N/A</v>
      </c>
      <c r="Z2811" s="7" t="e">
        <f>IF(VLOOKUP($A2811,'Concrete Beam Schedule'!$A$2:$Q$2902,Z$2,0)&lt;&gt;J2811,"Beam Revised","")</f>
        <v>#N/A</v>
      </c>
      <c r="AA2811" s="7" t="e">
        <f>IF(VLOOKUP($A2811,'Concrete Beam Schedule'!$A$2:$Q$2902,AA$2,0)&lt;&gt;K2811,"Beam Revised","")</f>
        <v>#N/A</v>
      </c>
      <c r="AB2811" s="7" t="e">
        <f>IF(VLOOKUP($A2811,'Concrete Beam Schedule'!$A$2:$Q$2902,AB$2,0)&lt;&gt;L2811,"Beam Revised","")</f>
        <v>#N/A</v>
      </c>
      <c r="AC2811" s="7" t="e">
        <f>IF(VLOOKUP($A2811,'Concrete Beam Schedule'!$A$2:$Q$2902,AC$2,0)&lt;&gt;M2811,"Beam Revised","")</f>
        <v>#N/A</v>
      </c>
      <c r="AD2811" s="7" t="e">
        <f>IF(VLOOKUP($A2811,'Concrete Beam Schedule'!$A$2:$Q$2902,AD$2,0)&lt;&gt;N2811,"Beam Revised","")</f>
        <v>#N/A</v>
      </c>
      <c r="AE2811" s="7" t="e">
        <f>IF(VLOOKUP($A2811,'Concrete Beam Schedule'!$A$2:$Q$2902,AE$2,0)&lt;&gt;O2811,"Beam Revised","")</f>
        <v>#N/A</v>
      </c>
    </row>
    <row r="2812" spans="17:31" ht="20.100000000000001" customHeight="1" x14ac:dyDescent="0.25">
      <c r="Q2812" s="7">
        <f t="shared" si="43"/>
        <v>0</v>
      </c>
      <c r="R2812" s="7" t="e">
        <f>IF(VLOOKUP($A2812,'Concrete Beam Schedule'!$A$2:$Q$2902,R$2,0)&lt;&gt;B2812,VLOOKUP($A2812,'Concrete Beam Schedule'!$A$2:$Q$2902,R$2,0),"")</f>
        <v>#N/A</v>
      </c>
      <c r="S2812" s="7" t="e">
        <f>IF(VLOOKUP($A2812,'Concrete Beam Schedule'!$A$2:$Q$2902,S$2,0)&lt;&gt;C2812,VLOOKUP($A2812,'Concrete Beam Schedule'!$A$2:$Q$2902,S$2,0),"")</f>
        <v>#N/A</v>
      </c>
      <c r="T2812" s="7" t="e">
        <f>IF(VLOOKUP($A2812,'Concrete Beam Schedule'!$A$2:$Q$2902,T$2,0)&lt;&gt;D2812,"Beam Revised","")</f>
        <v>#N/A</v>
      </c>
      <c r="U2812" s="7" t="e">
        <f>IF(VLOOKUP($A2812,'Concrete Beam Schedule'!$A$2:$Q$2902,U$2,0)&lt;&gt;E2812,"Beam Revised","")</f>
        <v>#N/A</v>
      </c>
      <c r="V2812" s="7" t="e">
        <f>IF(VLOOKUP($A2812,'Concrete Beam Schedule'!$A$2:$Q$2902,V$2,0)&lt;&gt;F2812,"Beam Revised","")</f>
        <v>#N/A</v>
      </c>
      <c r="W2812" s="7" t="e">
        <f>IF(VLOOKUP($A2812,'Concrete Beam Schedule'!$A$2:$Q$2902,W$2,0)&lt;&gt;G2812,"Beam Revised","")</f>
        <v>#N/A</v>
      </c>
      <c r="X2812" s="7" t="e">
        <f>IF(VLOOKUP($A2812,'Concrete Beam Schedule'!$A$2:$Q$2902,X$2,0)&lt;&gt;H2812,"Beam Revised","")</f>
        <v>#N/A</v>
      </c>
      <c r="Y2812" s="7" t="e">
        <f>IF(VLOOKUP($A2812,'Concrete Beam Schedule'!$A$2:$Q$2902,Y$2,0)&lt;&gt;I2812,"Beam Revised","")</f>
        <v>#N/A</v>
      </c>
      <c r="Z2812" s="7" t="e">
        <f>IF(VLOOKUP($A2812,'Concrete Beam Schedule'!$A$2:$Q$2902,Z$2,0)&lt;&gt;J2812,"Beam Revised","")</f>
        <v>#N/A</v>
      </c>
      <c r="AA2812" s="7" t="e">
        <f>IF(VLOOKUP($A2812,'Concrete Beam Schedule'!$A$2:$Q$2902,AA$2,0)&lt;&gt;K2812,"Beam Revised","")</f>
        <v>#N/A</v>
      </c>
      <c r="AB2812" s="7" t="e">
        <f>IF(VLOOKUP($A2812,'Concrete Beam Schedule'!$A$2:$Q$2902,AB$2,0)&lt;&gt;L2812,"Beam Revised","")</f>
        <v>#N/A</v>
      </c>
      <c r="AC2812" s="7" t="e">
        <f>IF(VLOOKUP($A2812,'Concrete Beam Schedule'!$A$2:$Q$2902,AC$2,0)&lt;&gt;M2812,"Beam Revised","")</f>
        <v>#N/A</v>
      </c>
      <c r="AD2812" s="7" t="e">
        <f>IF(VLOOKUP($A2812,'Concrete Beam Schedule'!$A$2:$Q$2902,AD$2,0)&lt;&gt;N2812,"Beam Revised","")</f>
        <v>#N/A</v>
      </c>
      <c r="AE2812" s="7" t="e">
        <f>IF(VLOOKUP($A2812,'Concrete Beam Schedule'!$A$2:$Q$2902,AE$2,0)&lt;&gt;O2812,"Beam Revised","")</f>
        <v>#N/A</v>
      </c>
    </row>
    <row r="2813" spans="17:31" ht="20.100000000000001" customHeight="1" x14ac:dyDescent="0.25">
      <c r="Q2813" s="7">
        <f t="shared" si="43"/>
        <v>0</v>
      </c>
      <c r="R2813" s="7" t="e">
        <f>IF(VLOOKUP($A2813,'Concrete Beam Schedule'!$A$2:$Q$2902,R$2,0)&lt;&gt;B2813,VLOOKUP($A2813,'Concrete Beam Schedule'!$A$2:$Q$2902,R$2,0),"")</f>
        <v>#N/A</v>
      </c>
      <c r="S2813" s="7" t="e">
        <f>IF(VLOOKUP($A2813,'Concrete Beam Schedule'!$A$2:$Q$2902,S$2,0)&lt;&gt;C2813,VLOOKUP($A2813,'Concrete Beam Schedule'!$A$2:$Q$2902,S$2,0),"")</f>
        <v>#N/A</v>
      </c>
      <c r="T2813" s="7" t="e">
        <f>IF(VLOOKUP($A2813,'Concrete Beam Schedule'!$A$2:$Q$2902,T$2,0)&lt;&gt;D2813,"Beam Revised","")</f>
        <v>#N/A</v>
      </c>
      <c r="U2813" s="7" t="e">
        <f>IF(VLOOKUP($A2813,'Concrete Beam Schedule'!$A$2:$Q$2902,U$2,0)&lt;&gt;E2813,"Beam Revised","")</f>
        <v>#N/A</v>
      </c>
      <c r="V2813" s="7" t="e">
        <f>IF(VLOOKUP($A2813,'Concrete Beam Schedule'!$A$2:$Q$2902,V$2,0)&lt;&gt;F2813,"Beam Revised","")</f>
        <v>#N/A</v>
      </c>
      <c r="W2813" s="7" t="e">
        <f>IF(VLOOKUP($A2813,'Concrete Beam Schedule'!$A$2:$Q$2902,W$2,0)&lt;&gt;G2813,"Beam Revised","")</f>
        <v>#N/A</v>
      </c>
      <c r="X2813" s="7" t="e">
        <f>IF(VLOOKUP($A2813,'Concrete Beam Schedule'!$A$2:$Q$2902,X$2,0)&lt;&gt;H2813,"Beam Revised","")</f>
        <v>#N/A</v>
      </c>
      <c r="Y2813" s="7" t="e">
        <f>IF(VLOOKUP($A2813,'Concrete Beam Schedule'!$A$2:$Q$2902,Y$2,0)&lt;&gt;I2813,"Beam Revised","")</f>
        <v>#N/A</v>
      </c>
      <c r="Z2813" s="7" t="e">
        <f>IF(VLOOKUP($A2813,'Concrete Beam Schedule'!$A$2:$Q$2902,Z$2,0)&lt;&gt;J2813,"Beam Revised","")</f>
        <v>#N/A</v>
      </c>
      <c r="AA2813" s="7" t="e">
        <f>IF(VLOOKUP($A2813,'Concrete Beam Schedule'!$A$2:$Q$2902,AA$2,0)&lt;&gt;K2813,"Beam Revised","")</f>
        <v>#N/A</v>
      </c>
      <c r="AB2813" s="7" t="e">
        <f>IF(VLOOKUP($A2813,'Concrete Beam Schedule'!$A$2:$Q$2902,AB$2,0)&lt;&gt;L2813,"Beam Revised","")</f>
        <v>#N/A</v>
      </c>
      <c r="AC2813" s="7" t="e">
        <f>IF(VLOOKUP($A2813,'Concrete Beam Schedule'!$A$2:$Q$2902,AC$2,0)&lt;&gt;M2813,"Beam Revised","")</f>
        <v>#N/A</v>
      </c>
      <c r="AD2813" s="7" t="e">
        <f>IF(VLOOKUP($A2813,'Concrete Beam Schedule'!$A$2:$Q$2902,AD$2,0)&lt;&gt;N2813,"Beam Revised","")</f>
        <v>#N/A</v>
      </c>
      <c r="AE2813" s="7" t="e">
        <f>IF(VLOOKUP($A2813,'Concrete Beam Schedule'!$A$2:$Q$2902,AE$2,0)&lt;&gt;O2813,"Beam Revised","")</f>
        <v>#N/A</v>
      </c>
    </row>
    <row r="2814" spans="17:31" ht="20.100000000000001" customHeight="1" x14ac:dyDescent="0.25">
      <c r="Q2814" s="7">
        <f t="shared" si="43"/>
        <v>0</v>
      </c>
      <c r="R2814" s="7" t="e">
        <f>IF(VLOOKUP($A2814,'Concrete Beam Schedule'!$A$2:$Q$2902,R$2,0)&lt;&gt;B2814,VLOOKUP($A2814,'Concrete Beam Schedule'!$A$2:$Q$2902,R$2,0),"")</f>
        <v>#N/A</v>
      </c>
      <c r="S2814" s="7" t="e">
        <f>IF(VLOOKUP($A2814,'Concrete Beam Schedule'!$A$2:$Q$2902,S$2,0)&lt;&gt;C2814,VLOOKUP($A2814,'Concrete Beam Schedule'!$A$2:$Q$2902,S$2,0),"")</f>
        <v>#N/A</v>
      </c>
      <c r="T2814" s="7" t="e">
        <f>IF(VLOOKUP($A2814,'Concrete Beam Schedule'!$A$2:$Q$2902,T$2,0)&lt;&gt;D2814,"Beam Revised","")</f>
        <v>#N/A</v>
      </c>
      <c r="U2814" s="7" t="e">
        <f>IF(VLOOKUP($A2814,'Concrete Beam Schedule'!$A$2:$Q$2902,U$2,0)&lt;&gt;E2814,"Beam Revised","")</f>
        <v>#N/A</v>
      </c>
      <c r="V2814" s="7" t="e">
        <f>IF(VLOOKUP($A2814,'Concrete Beam Schedule'!$A$2:$Q$2902,V$2,0)&lt;&gt;F2814,"Beam Revised","")</f>
        <v>#N/A</v>
      </c>
      <c r="W2814" s="7" t="e">
        <f>IF(VLOOKUP($A2814,'Concrete Beam Schedule'!$A$2:$Q$2902,W$2,0)&lt;&gt;G2814,"Beam Revised","")</f>
        <v>#N/A</v>
      </c>
      <c r="X2814" s="7" t="e">
        <f>IF(VLOOKUP($A2814,'Concrete Beam Schedule'!$A$2:$Q$2902,X$2,0)&lt;&gt;H2814,"Beam Revised","")</f>
        <v>#N/A</v>
      </c>
      <c r="Y2814" s="7" t="e">
        <f>IF(VLOOKUP($A2814,'Concrete Beam Schedule'!$A$2:$Q$2902,Y$2,0)&lt;&gt;I2814,"Beam Revised","")</f>
        <v>#N/A</v>
      </c>
      <c r="Z2814" s="7" t="e">
        <f>IF(VLOOKUP($A2814,'Concrete Beam Schedule'!$A$2:$Q$2902,Z$2,0)&lt;&gt;J2814,"Beam Revised","")</f>
        <v>#N/A</v>
      </c>
      <c r="AA2814" s="7" t="e">
        <f>IF(VLOOKUP($A2814,'Concrete Beam Schedule'!$A$2:$Q$2902,AA$2,0)&lt;&gt;K2814,"Beam Revised","")</f>
        <v>#N/A</v>
      </c>
      <c r="AB2814" s="7" t="e">
        <f>IF(VLOOKUP($A2814,'Concrete Beam Schedule'!$A$2:$Q$2902,AB$2,0)&lt;&gt;L2814,"Beam Revised","")</f>
        <v>#N/A</v>
      </c>
      <c r="AC2814" s="7" t="e">
        <f>IF(VLOOKUP($A2814,'Concrete Beam Schedule'!$A$2:$Q$2902,AC$2,0)&lt;&gt;M2814,"Beam Revised","")</f>
        <v>#N/A</v>
      </c>
      <c r="AD2814" s="7" t="e">
        <f>IF(VLOOKUP($A2814,'Concrete Beam Schedule'!$A$2:$Q$2902,AD$2,0)&lt;&gt;N2814,"Beam Revised","")</f>
        <v>#N/A</v>
      </c>
      <c r="AE2814" s="7" t="e">
        <f>IF(VLOOKUP($A2814,'Concrete Beam Schedule'!$A$2:$Q$2902,AE$2,0)&lt;&gt;O2814,"Beam Revised","")</f>
        <v>#N/A</v>
      </c>
    </row>
    <row r="2815" spans="17:31" ht="20.100000000000001" customHeight="1" x14ac:dyDescent="0.25">
      <c r="Q2815" s="7">
        <f t="shared" si="43"/>
        <v>0</v>
      </c>
      <c r="R2815" s="7" t="e">
        <f>IF(VLOOKUP($A2815,'Concrete Beam Schedule'!$A$2:$Q$2902,R$2,0)&lt;&gt;B2815,VLOOKUP($A2815,'Concrete Beam Schedule'!$A$2:$Q$2902,R$2,0),"")</f>
        <v>#N/A</v>
      </c>
      <c r="S2815" s="7" t="e">
        <f>IF(VLOOKUP($A2815,'Concrete Beam Schedule'!$A$2:$Q$2902,S$2,0)&lt;&gt;C2815,VLOOKUP($A2815,'Concrete Beam Schedule'!$A$2:$Q$2902,S$2,0),"")</f>
        <v>#N/A</v>
      </c>
      <c r="T2815" s="7" t="e">
        <f>IF(VLOOKUP($A2815,'Concrete Beam Schedule'!$A$2:$Q$2902,T$2,0)&lt;&gt;D2815,"Beam Revised","")</f>
        <v>#N/A</v>
      </c>
      <c r="U2815" s="7" t="e">
        <f>IF(VLOOKUP($A2815,'Concrete Beam Schedule'!$A$2:$Q$2902,U$2,0)&lt;&gt;E2815,"Beam Revised","")</f>
        <v>#N/A</v>
      </c>
      <c r="V2815" s="7" t="e">
        <f>IF(VLOOKUP($A2815,'Concrete Beam Schedule'!$A$2:$Q$2902,V$2,0)&lt;&gt;F2815,"Beam Revised","")</f>
        <v>#N/A</v>
      </c>
      <c r="W2815" s="7" t="e">
        <f>IF(VLOOKUP($A2815,'Concrete Beam Schedule'!$A$2:$Q$2902,W$2,0)&lt;&gt;G2815,"Beam Revised","")</f>
        <v>#N/A</v>
      </c>
      <c r="X2815" s="7" t="e">
        <f>IF(VLOOKUP($A2815,'Concrete Beam Schedule'!$A$2:$Q$2902,X$2,0)&lt;&gt;H2815,"Beam Revised","")</f>
        <v>#N/A</v>
      </c>
      <c r="Y2815" s="7" t="e">
        <f>IF(VLOOKUP($A2815,'Concrete Beam Schedule'!$A$2:$Q$2902,Y$2,0)&lt;&gt;I2815,"Beam Revised","")</f>
        <v>#N/A</v>
      </c>
      <c r="Z2815" s="7" t="e">
        <f>IF(VLOOKUP($A2815,'Concrete Beam Schedule'!$A$2:$Q$2902,Z$2,0)&lt;&gt;J2815,"Beam Revised","")</f>
        <v>#N/A</v>
      </c>
      <c r="AA2815" s="7" t="e">
        <f>IF(VLOOKUP($A2815,'Concrete Beam Schedule'!$A$2:$Q$2902,AA$2,0)&lt;&gt;K2815,"Beam Revised","")</f>
        <v>#N/A</v>
      </c>
      <c r="AB2815" s="7" t="e">
        <f>IF(VLOOKUP($A2815,'Concrete Beam Schedule'!$A$2:$Q$2902,AB$2,0)&lt;&gt;L2815,"Beam Revised","")</f>
        <v>#N/A</v>
      </c>
      <c r="AC2815" s="7" t="e">
        <f>IF(VLOOKUP($A2815,'Concrete Beam Schedule'!$A$2:$Q$2902,AC$2,0)&lt;&gt;M2815,"Beam Revised","")</f>
        <v>#N/A</v>
      </c>
      <c r="AD2815" s="7" t="e">
        <f>IF(VLOOKUP($A2815,'Concrete Beam Schedule'!$A$2:$Q$2902,AD$2,0)&lt;&gt;N2815,"Beam Revised","")</f>
        <v>#N/A</v>
      </c>
      <c r="AE2815" s="7" t="e">
        <f>IF(VLOOKUP($A2815,'Concrete Beam Schedule'!$A$2:$Q$2902,AE$2,0)&lt;&gt;O2815,"Beam Revised","")</f>
        <v>#N/A</v>
      </c>
    </row>
    <row r="2816" spans="17:31" ht="20.100000000000001" customHeight="1" x14ac:dyDescent="0.25">
      <c r="Q2816" s="7">
        <f t="shared" si="43"/>
        <v>0</v>
      </c>
      <c r="R2816" s="7" t="e">
        <f>IF(VLOOKUP($A2816,'Concrete Beam Schedule'!$A$2:$Q$2902,R$2,0)&lt;&gt;B2816,VLOOKUP($A2816,'Concrete Beam Schedule'!$A$2:$Q$2902,R$2,0),"")</f>
        <v>#N/A</v>
      </c>
      <c r="S2816" s="7" t="e">
        <f>IF(VLOOKUP($A2816,'Concrete Beam Schedule'!$A$2:$Q$2902,S$2,0)&lt;&gt;C2816,VLOOKUP($A2816,'Concrete Beam Schedule'!$A$2:$Q$2902,S$2,0),"")</f>
        <v>#N/A</v>
      </c>
      <c r="T2816" s="7" t="e">
        <f>IF(VLOOKUP($A2816,'Concrete Beam Schedule'!$A$2:$Q$2902,T$2,0)&lt;&gt;D2816,"Beam Revised","")</f>
        <v>#N/A</v>
      </c>
      <c r="U2816" s="7" t="e">
        <f>IF(VLOOKUP($A2816,'Concrete Beam Schedule'!$A$2:$Q$2902,U$2,0)&lt;&gt;E2816,"Beam Revised","")</f>
        <v>#N/A</v>
      </c>
      <c r="V2816" s="7" t="e">
        <f>IF(VLOOKUP($A2816,'Concrete Beam Schedule'!$A$2:$Q$2902,V$2,0)&lt;&gt;F2816,"Beam Revised","")</f>
        <v>#N/A</v>
      </c>
      <c r="W2816" s="7" t="e">
        <f>IF(VLOOKUP($A2816,'Concrete Beam Schedule'!$A$2:$Q$2902,W$2,0)&lt;&gt;G2816,"Beam Revised","")</f>
        <v>#N/A</v>
      </c>
      <c r="X2816" s="7" t="e">
        <f>IF(VLOOKUP($A2816,'Concrete Beam Schedule'!$A$2:$Q$2902,X$2,0)&lt;&gt;H2816,"Beam Revised","")</f>
        <v>#N/A</v>
      </c>
      <c r="Y2816" s="7" t="e">
        <f>IF(VLOOKUP($A2816,'Concrete Beam Schedule'!$A$2:$Q$2902,Y$2,0)&lt;&gt;I2816,"Beam Revised","")</f>
        <v>#N/A</v>
      </c>
      <c r="Z2816" s="7" t="e">
        <f>IF(VLOOKUP($A2816,'Concrete Beam Schedule'!$A$2:$Q$2902,Z$2,0)&lt;&gt;J2816,"Beam Revised","")</f>
        <v>#N/A</v>
      </c>
      <c r="AA2816" s="7" t="e">
        <f>IF(VLOOKUP($A2816,'Concrete Beam Schedule'!$A$2:$Q$2902,AA$2,0)&lt;&gt;K2816,"Beam Revised","")</f>
        <v>#N/A</v>
      </c>
      <c r="AB2816" s="7" t="e">
        <f>IF(VLOOKUP($A2816,'Concrete Beam Schedule'!$A$2:$Q$2902,AB$2,0)&lt;&gt;L2816,"Beam Revised","")</f>
        <v>#N/A</v>
      </c>
      <c r="AC2816" s="7" t="e">
        <f>IF(VLOOKUP($A2816,'Concrete Beam Schedule'!$A$2:$Q$2902,AC$2,0)&lt;&gt;M2816,"Beam Revised","")</f>
        <v>#N/A</v>
      </c>
      <c r="AD2816" s="7" t="e">
        <f>IF(VLOOKUP($A2816,'Concrete Beam Schedule'!$A$2:$Q$2902,AD$2,0)&lt;&gt;N2816,"Beam Revised","")</f>
        <v>#N/A</v>
      </c>
      <c r="AE2816" s="7" t="e">
        <f>IF(VLOOKUP($A2816,'Concrete Beam Schedule'!$A$2:$Q$2902,AE$2,0)&lt;&gt;O2816,"Beam Revised","")</f>
        <v>#N/A</v>
      </c>
    </row>
    <row r="2817" spans="17:31" ht="20.100000000000001" customHeight="1" x14ac:dyDescent="0.25">
      <c r="Q2817" s="7">
        <f t="shared" si="43"/>
        <v>0</v>
      </c>
      <c r="R2817" s="7" t="e">
        <f>IF(VLOOKUP($A2817,'Concrete Beam Schedule'!$A$2:$Q$2902,R$2,0)&lt;&gt;B2817,VLOOKUP($A2817,'Concrete Beam Schedule'!$A$2:$Q$2902,R$2,0),"")</f>
        <v>#N/A</v>
      </c>
      <c r="S2817" s="7" t="e">
        <f>IF(VLOOKUP($A2817,'Concrete Beam Schedule'!$A$2:$Q$2902,S$2,0)&lt;&gt;C2817,VLOOKUP($A2817,'Concrete Beam Schedule'!$A$2:$Q$2902,S$2,0),"")</f>
        <v>#N/A</v>
      </c>
      <c r="T2817" s="7" t="e">
        <f>IF(VLOOKUP($A2817,'Concrete Beam Schedule'!$A$2:$Q$2902,T$2,0)&lt;&gt;D2817,"Beam Revised","")</f>
        <v>#N/A</v>
      </c>
      <c r="U2817" s="7" t="e">
        <f>IF(VLOOKUP($A2817,'Concrete Beam Schedule'!$A$2:$Q$2902,U$2,0)&lt;&gt;E2817,"Beam Revised","")</f>
        <v>#N/A</v>
      </c>
      <c r="V2817" s="7" t="e">
        <f>IF(VLOOKUP($A2817,'Concrete Beam Schedule'!$A$2:$Q$2902,V$2,0)&lt;&gt;F2817,"Beam Revised","")</f>
        <v>#N/A</v>
      </c>
      <c r="W2817" s="7" t="e">
        <f>IF(VLOOKUP($A2817,'Concrete Beam Schedule'!$A$2:$Q$2902,W$2,0)&lt;&gt;G2817,"Beam Revised","")</f>
        <v>#N/A</v>
      </c>
      <c r="X2817" s="7" t="e">
        <f>IF(VLOOKUP($A2817,'Concrete Beam Schedule'!$A$2:$Q$2902,X$2,0)&lt;&gt;H2817,"Beam Revised","")</f>
        <v>#N/A</v>
      </c>
      <c r="Y2817" s="7" t="e">
        <f>IF(VLOOKUP($A2817,'Concrete Beam Schedule'!$A$2:$Q$2902,Y$2,0)&lt;&gt;I2817,"Beam Revised","")</f>
        <v>#N/A</v>
      </c>
      <c r="Z2817" s="7" t="e">
        <f>IF(VLOOKUP($A2817,'Concrete Beam Schedule'!$A$2:$Q$2902,Z$2,0)&lt;&gt;J2817,"Beam Revised","")</f>
        <v>#N/A</v>
      </c>
      <c r="AA2817" s="7" t="e">
        <f>IF(VLOOKUP($A2817,'Concrete Beam Schedule'!$A$2:$Q$2902,AA$2,0)&lt;&gt;K2817,"Beam Revised","")</f>
        <v>#N/A</v>
      </c>
      <c r="AB2817" s="7" t="e">
        <f>IF(VLOOKUP($A2817,'Concrete Beam Schedule'!$A$2:$Q$2902,AB$2,0)&lt;&gt;L2817,"Beam Revised","")</f>
        <v>#N/A</v>
      </c>
      <c r="AC2817" s="7" t="e">
        <f>IF(VLOOKUP($A2817,'Concrete Beam Schedule'!$A$2:$Q$2902,AC$2,0)&lt;&gt;M2817,"Beam Revised","")</f>
        <v>#N/A</v>
      </c>
      <c r="AD2817" s="7" t="e">
        <f>IF(VLOOKUP($A2817,'Concrete Beam Schedule'!$A$2:$Q$2902,AD$2,0)&lt;&gt;N2817,"Beam Revised","")</f>
        <v>#N/A</v>
      </c>
      <c r="AE2817" s="7" t="e">
        <f>IF(VLOOKUP($A2817,'Concrete Beam Schedule'!$A$2:$Q$2902,AE$2,0)&lt;&gt;O2817,"Beam Revised","")</f>
        <v>#N/A</v>
      </c>
    </row>
    <row r="2818" spans="17:31" ht="20.100000000000001" customHeight="1" x14ac:dyDescent="0.25">
      <c r="Q2818" s="7">
        <f t="shared" si="43"/>
        <v>0</v>
      </c>
      <c r="R2818" s="7" t="e">
        <f>IF(VLOOKUP($A2818,'Concrete Beam Schedule'!$A$2:$Q$2902,R$2,0)&lt;&gt;B2818,VLOOKUP($A2818,'Concrete Beam Schedule'!$A$2:$Q$2902,R$2,0),"")</f>
        <v>#N/A</v>
      </c>
      <c r="S2818" s="7" t="e">
        <f>IF(VLOOKUP($A2818,'Concrete Beam Schedule'!$A$2:$Q$2902,S$2,0)&lt;&gt;C2818,VLOOKUP($A2818,'Concrete Beam Schedule'!$A$2:$Q$2902,S$2,0),"")</f>
        <v>#N/A</v>
      </c>
      <c r="T2818" s="7" t="e">
        <f>IF(VLOOKUP($A2818,'Concrete Beam Schedule'!$A$2:$Q$2902,T$2,0)&lt;&gt;D2818,"Beam Revised","")</f>
        <v>#N/A</v>
      </c>
      <c r="U2818" s="7" t="e">
        <f>IF(VLOOKUP($A2818,'Concrete Beam Schedule'!$A$2:$Q$2902,U$2,0)&lt;&gt;E2818,"Beam Revised","")</f>
        <v>#N/A</v>
      </c>
      <c r="V2818" s="7" t="e">
        <f>IF(VLOOKUP($A2818,'Concrete Beam Schedule'!$A$2:$Q$2902,V$2,0)&lt;&gt;F2818,"Beam Revised","")</f>
        <v>#N/A</v>
      </c>
      <c r="W2818" s="7" t="e">
        <f>IF(VLOOKUP($A2818,'Concrete Beam Schedule'!$A$2:$Q$2902,W$2,0)&lt;&gt;G2818,"Beam Revised","")</f>
        <v>#N/A</v>
      </c>
      <c r="X2818" s="7" t="e">
        <f>IF(VLOOKUP($A2818,'Concrete Beam Schedule'!$A$2:$Q$2902,X$2,0)&lt;&gt;H2818,"Beam Revised","")</f>
        <v>#N/A</v>
      </c>
      <c r="Y2818" s="7" t="e">
        <f>IF(VLOOKUP($A2818,'Concrete Beam Schedule'!$A$2:$Q$2902,Y$2,0)&lt;&gt;I2818,"Beam Revised","")</f>
        <v>#N/A</v>
      </c>
      <c r="Z2818" s="7" t="e">
        <f>IF(VLOOKUP($A2818,'Concrete Beam Schedule'!$A$2:$Q$2902,Z$2,0)&lt;&gt;J2818,"Beam Revised","")</f>
        <v>#N/A</v>
      </c>
      <c r="AA2818" s="7" t="e">
        <f>IF(VLOOKUP($A2818,'Concrete Beam Schedule'!$A$2:$Q$2902,AA$2,0)&lt;&gt;K2818,"Beam Revised","")</f>
        <v>#N/A</v>
      </c>
      <c r="AB2818" s="7" t="e">
        <f>IF(VLOOKUP($A2818,'Concrete Beam Schedule'!$A$2:$Q$2902,AB$2,0)&lt;&gt;L2818,"Beam Revised","")</f>
        <v>#N/A</v>
      </c>
      <c r="AC2818" s="7" t="e">
        <f>IF(VLOOKUP($A2818,'Concrete Beam Schedule'!$A$2:$Q$2902,AC$2,0)&lt;&gt;M2818,"Beam Revised","")</f>
        <v>#N/A</v>
      </c>
      <c r="AD2818" s="7" t="e">
        <f>IF(VLOOKUP($A2818,'Concrete Beam Schedule'!$A$2:$Q$2902,AD$2,0)&lt;&gt;N2818,"Beam Revised","")</f>
        <v>#N/A</v>
      </c>
      <c r="AE2818" s="7" t="e">
        <f>IF(VLOOKUP($A2818,'Concrete Beam Schedule'!$A$2:$Q$2902,AE$2,0)&lt;&gt;O2818,"Beam Revised","")</f>
        <v>#N/A</v>
      </c>
    </row>
    <row r="2819" spans="17:31" ht="20.100000000000001" customHeight="1" x14ac:dyDescent="0.25">
      <c r="Q2819" s="7">
        <f t="shared" si="43"/>
        <v>0</v>
      </c>
      <c r="R2819" s="7" t="e">
        <f>IF(VLOOKUP($A2819,'Concrete Beam Schedule'!$A$2:$Q$2902,R$2,0)&lt;&gt;B2819,VLOOKUP($A2819,'Concrete Beam Schedule'!$A$2:$Q$2902,R$2,0),"")</f>
        <v>#N/A</v>
      </c>
      <c r="S2819" s="7" t="e">
        <f>IF(VLOOKUP($A2819,'Concrete Beam Schedule'!$A$2:$Q$2902,S$2,0)&lt;&gt;C2819,VLOOKUP($A2819,'Concrete Beam Schedule'!$A$2:$Q$2902,S$2,0),"")</f>
        <v>#N/A</v>
      </c>
      <c r="T2819" s="7" t="e">
        <f>IF(VLOOKUP($A2819,'Concrete Beam Schedule'!$A$2:$Q$2902,T$2,0)&lt;&gt;D2819,"Beam Revised","")</f>
        <v>#N/A</v>
      </c>
      <c r="U2819" s="7" t="e">
        <f>IF(VLOOKUP($A2819,'Concrete Beam Schedule'!$A$2:$Q$2902,U$2,0)&lt;&gt;E2819,"Beam Revised","")</f>
        <v>#N/A</v>
      </c>
      <c r="V2819" s="7" t="e">
        <f>IF(VLOOKUP($A2819,'Concrete Beam Schedule'!$A$2:$Q$2902,V$2,0)&lt;&gt;F2819,"Beam Revised","")</f>
        <v>#N/A</v>
      </c>
      <c r="W2819" s="7" t="e">
        <f>IF(VLOOKUP($A2819,'Concrete Beam Schedule'!$A$2:$Q$2902,W$2,0)&lt;&gt;G2819,"Beam Revised","")</f>
        <v>#N/A</v>
      </c>
      <c r="X2819" s="7" t="e">
        <f>IF(VLOOKUP($A2819,'Concrete Beam Schedule'!$A$2:$Q$2902,X$2,0)&lt;&gt;H2819,"Beam Revised","")</f>
        <v>#N/A</v>
      </c>
      <c r="Y2819" s="7" t="e">
        <f>IF(VLOOKUP($A2819,'Concrete Beam Schedule'!$A$2:$Q$2902,Y$2,0)&lt;&gt;I2819,"Beam Revised","")</f>
        <v>#N/A</v>
      </c>
      <c r="Z2819" s="7" t="e">
        <f>IF(VLOOKUP($A2819,'Concrete Beam Schedule'!$A$2:$Q$2902,Z$2,0)&lt;&gt;J2819,"Beam Revised","")</f>
        <v>#N/A</v>
      </c>
      <c r="AA2819" s="7" t="e">
        <f>IF(VLOOKUP($A2819,'Concrete Beam Schedule'!$A$2:$Q$2902,AA$2,0)&lt;&gt;K2819,"Beam Revised","")</f>
        <v>#N/A</v>
      </c>
      <c r="AB2819" s="7" t="e">
        <f>IF(VLOOKUP($A2819,'Concrete Beam Schedule'!$A$2:$Q$2902,AB$2,0)&lt;&gt;L2819,"Beam Revised","")</f>
        <v>#N/A</v>
      </c>
      <c r="AC2819" s="7" t="e">
        <f>IF(VLOOKUP($A2819,'Concrete Beam Schedule'!$A$2:$Q$2902,AC$2,0)&lt;&gt;M2819,"Beam Revised","")</f>
        <v>#N/A</v>
      </c>
      <c r="AD2819" s="7" t="e">
        <f>IF(VLOOKUP($A2819,'Concrete Beam Schedule'!$A$2:$Q$2902,AD$2,0)&lt;&gt;N2819,"Beam Revised","")</f>
        <v>#N/A</v>
      </c>
      <c r="AE2819" s="7" t="e">
        <f>IF(VLOOKUP($A2819,'Concrete Beam Schedule'!$A$2:$Q$2902,AE$2,0)&lt;&gt;O2819,"Beam Revised","")</f>
        <v>#N/A</v>
      </c>
    </row>
    <row r="2820" spans="17:31" ht="20.100000000000001" customHeight="1" x14ac:dyDescent="0.25">
      <c r="Q2820" s="7">
        <f t="shared" ref="Q2820:Q2883" si="44">A2820</f>
        <v>0</v>
      </c>
      <c r="R2820" s="7" t="e">
        <f>IF(VLOOKUP($A2820,'Concrete Beam Schedule'!$A$2:$Q$2902,R$2,0)&lt;&gt;B2820,VLOOKUP($A2820,'Concrete Beam Schedule'!$A$2:$Q$2902,R$2,0),"")</f>
        <v>#N/A</v>
      </c>
      <c r="S2820" s="7" t="e">
        <f>IF(VLOOKUP($A2820,'Concrete Beam Schedule'!$A$2:$Q$2902,S$2,0)&lt;&gt;C2820,VLOOKUP($A2820,'Concrete Beam Schedule'!$A$2:$Q$2902,S$2,0),"")</f>
        <v>#N/A</v>
      </c>
      <c r="T2820" s="7" t="e">
        <f>IF(VLOOKUP($A2820,'Concrete Beam Schedule'!$A$2:$Q$2902,T$2,0)&lt;&gt;D2820,"Beam Revised","")</f>
        <v>#N/A</v>
      </c>
      <c r="U2820" s="7" t="e">
        <f>IF(VLOOKUP($A2820,'Concrete Beam Schedule'!$A$2:$Q$2902,U$2,0)&lt;&gt;E2820,"Beam Revised","")</f>
        <v>#N/A</v>
      </c>
      <c r="V2820" s="7" t="e">
        <f>IF(VLOOKUP($A2820,'Concrete Beam Schedule'!$A$2:$Q$2902,V$2,0)&lt;&gt;F2820,"Beam Revised","")</f>
        <v>#N/A</v>
      </c>
      <c r="W2820" s="7" t="e">
        <f>IF(VLOOKUP($A2820,'Concrete Beam Schedule'!$A$2:$Q$2902,W$2,0)&lt;&gt;G2820,"Beam Revised","")</f>
        <v>#N/A</v>
      </c>
      <c r="X2820" s="7" t="e">
        <f>IF(VLOOKUP($A2820,'Concrete Beam Schedule'!$A$2:$Q$2902,X$2,0)&lt;&gt;H2820,"Beam Revised","")</f>
        <v>#N/A</v>
      </c>
      <c r="Y2820" s="7" t="e">
        <f>IF(VLOOKUP($A2820,'Concrete Beam Schedule'!$A$2:$Q$2902,Y$2,0)&lt;&gt;I2820,"Beam Revised","")</f>
        <v>#N/A</v>
      </c>
      <c r="Z2820" s="7" t="e">
        <f>IF(VLOOKUP($A2820,'Concrete Beam Schedule'!$A$2:$Q$2902,Z$2,0)&lt;&gt;J2820,"Beam Revised","")</f>
        <v>#N/A</v>
      </c>
      <c r="AA2820" s="7" t="e">
        <f>IF(VLOOKUP($A2820,'Concrete Beam Schedule'!$A$2:$Q$2902,AA$2,0)&lt;&gt;K2820,"Beam Revised","")</f>
        <v>#N/A</v>
      </c>
      <c r="AB2820" s="7" t="e">
        <f>IF(VLOOKUP($A2820,'Concrete Beam Schedule'!$A$2:$Q$2902,AB$2,0)&lt;&gt;L2820,"Beam Revised","")</f>
        <v>#N/A</v>
      </c>
      <c r="AC2820" s="7" t="e">
        <f>IF(VLOOKUP($A2820,'Concrete Beam Schedule'!$A$2:$Q$2902,AC$2,0)&lt;&gt;M2820,"Beam Revised","")</f>
        <v>#N/A</v>
      </c>
      <c r="AD2820" s="7" t="e">
        <f>IF(VLOOKUP($A2820,'Concrete Beam Schedule'!$A$2:$Q$2902,AD$2,0)&lt;&gt;N2820,"Beam Revised","")</f>
        <v>#N/A</v>
      </c>
      <c r="AE2820" s="7" t="e">
        <f>IF(VLOOKUP($A2820,'Concrete Beam Schedule'!$A$2:$Q$2902,AE$2,0)&lt;&gt;O2820,"Beam Revised","")</f>
        <v>#N/A</v>
      </c>
    </row>
    <row r="2821" spans="17:31" ht="20.100000000000001" customHeight="1" x14ac:dyDescent="0.25">
      <c r="Q2821" s="7">
        <f t="shared" si="44"/>
        <v>0</v>
      </c>
      <c r="R2821" s="7" t="e">
        <f>IF(VLOOKUP($A2821,'Concrete Beam Schedule'!$A$2:$Q$2902,R$2,0)&lt;&gt;B2821,VLOOKUP($A2821,'Concrete Beam Schedule'!$A$2:$Q$2902,R$2,0),"")</f>
        <v>#N/A</v>
      </c>
      <c r="S2821" s="7" t="e">
        <f>IF(VLOOKUP($A2821,'Concrete Beam Schedule'!$A$2:$Q$2902,S$2,0)&lt;&gt;C2821,VLOOKUP($A2821,'Concrete Beam Schedule'!$A$2:$Q$2902,S$2,0),"")</f>
        <v>#N/A</v>
      </c>
      <c r="T2821" s="7" t="e">
        <f>IF(VLOOKUP($A2821,'Concrete Beam Schedule'!$A$2:$Q$2902,T$2,0)&lt;&gt;D2821,"Beam Revised","")</f>
        <v>#N/A</v>
      </c>
      <c r="U2821" s="7" t="e">
        <f>IF(VLOOKUP($A2821,'Concrete Beam Schedule'!$A$2:$Q$2902,U$2,0)&lt;&gt;E2821,"Beam Revised","")</f>
        <v>#N/A</v>
      </c>
      <c r="V2821" s="7" t="e">
        <f>IF(VLOOKUP($A2821,'Concrete Beam Schedule'!$A$2:$Q$2902,V$2,0)&lt;&gt;F2821,"Beam Revised","")</f>
        <v>#N/A</v>
      </c>
      <c r="W2821" s="7" t="e">
        <f>IF(VLOOKUP($A2821,'Concrete Beam Schedule'!$A$2:$Q$2902,W$2,0)&lt;&gt;G2821,"Beam Revised","")</f>
        <v>#N/A</v>
      </c>
      <c r="X2821" s="7" t="e">
        <f>IF(VLOOKUP($A2821,'Concrete Beam Schedule'!$A$2:$Q$2902,X$2,0)&lt;&gt;H2821,"Beam Revised","")</f>
        <v>#N/A</v>
      </c>
      <c r="Y2821" s="7" t="e">
        <f>IF(VLOOKUP($A2821,'Concrete Beam Schedule'!$A$2:$Q$2902,Y$2,0)&lt;&gt;I2821,"Beam Revised","")</f>
        <v>#N/A</v>
      </c>
      <c r="Z2821" s="7" t="e">
        <f>IF(VLOOKUP($A2821,'Concrete Beam Schedule'!$A$2:$Q$2902,Z$2,0)&lt;&gt;J2821,"Beam Revised","")</f>
        <v>#N/A</v>
      </c>
      <c r="AA2821" s="7" t="e">
        <f>IF(VLOOKUP($A2821,'Concrete Beam Schedule'!$A$2:$Q$2902,AA$2,0)&lt;&gt;K2821,"Beam Revised","")</f>
        <v>#N/A</v>
      </c>
      <c r="AB2821" s="7" t="e">
        <f>IF(VLOOKUP($A2821,'Concrete Beam Schedule'!$A$2:$Q$2902,AB$2,0)&lt;&gt;L2821,"Beam Revised","")</f>
        <v>#N/A</v>
      </c>
      <c r="AC2821" s="7" t="e">
        <f>IF(VLOOKUP($A2821,'Concrete Beam Schedule'!$A$2:$Q$2902,AC$2,0)&lt;&gt;M2821,"Beam Revised","")</f>
        <v>#N/A</v>
      </c>
      <c r="AD2821" s="7" t="e">
        <f>IF(VLOOKUP($A2821,'Concrete Beam Schedule'!$A$2:$Q$2902,AD$2,0)&lt;&gt;N2821,"Beam Revised","")</f>
        <v>#N/A</v>
      </c>
      <c r="AE2821" s="7" t="e">
        <f>IF(VLOOKUP($A2821,'Concrete Beam Schedule'!$A$2:$Q$2902,AE$2,0)&lt;&gt;O2821,"Beam Revised","")</f>
        <v>#N/A</v>
      </c>
    </row>
    <row r="2822" spans="17:31" ht="20.100000000000001" customHeight="1" x14ac:dyDescent="0.25">
      <c r="Q2822" s="7">
        <f t="shared" si="44"/>
        <v>0</v>
      </c>
      <c r="R2822" s="7" t="e">
        <f>IF(VLOOKUP($A2822,'Concrete Beam Schedule'!$A$2:$Q$2902,R$2,0)&lt;&gt;B2822,VLOOKUP($A2822,'Concrete Beam Schedule'!$A$2:$Q$2902,R$2,0),"")</f>
        <v>#N/A</v>
      </c>
      <c r="S2822" s="7" t="e">
        <f>IF(VLOOKUP($A2822,'Concrete Beam Schedule'!$A$2:$Q$2902,S$2,0)&lt;&gt;C2822,VLOOKUP($A2822,'Concrete Beam Schedule'!$A$2:$Q$2902,S$2,0),"")</f>
        <v>#N/A</v>
      </c>
      <c r="T2822" s="7" t="e">
        <f>IF(VLOOKUP($A2822,'Concrete Beam Schedule'!$A$2:$Q$2902,T$2,0)&lt;&gt;D2822,"Beam Revised","")</f>
        <v>#N/A</v>
      </c>
      <c r="U2822" s="7" t="e">
        <f>IF(VLOOKUP($A2822,'Concrete Beam Schedule'!$A$2:$Q$2902,U$2,0)&lt;&gt;E2822,"Beam Revised","")</f>
        <v>#N/A</v>
      </c>
      <c r="V2822" s="7" t="e">
        <f>IF(VLOOKUP($A2822,'Concrete Beam Schedule'!$A$2:$Q$2902,V$2,0)&lt;&gt;F2822,"Beam Revised","")</f>
        <v>#N/A</v>
      </c>
      <c r="W2822" s="7" t="e">
        <f>IF(VLOOKUP($A2822,'Concrete Beam Schedule'!$A$2:$Q$2902,W$2,0)&lt;&gt;G2822,"Beam Revised","")</f>
        <v>#N/A</v>
      </c>
      <c r="X2822" s="7" t="e">
        <f>IF(VLOOKUP($A2822,'Concrete Beam Schedule'!$A$2:$Q$2902,X$2,0)&lt;&gt;H2822,"Beam Revised","")</f>
        <v>#N/A</v>
      </c>
      <c r="Y2822" s="7" t="e">
        <f>IF(VLOOKUP($A2822,'Concrete Beam Schedule'!$A$2:$Q$2902,Y$2,0)&lt;&gt;I2822,"Beam Revised","")</f>
        <v>#N/A</v>
      </c>
      <c r="Z2822" s="7" t="e">
        <f>IF(VLOOKUP($A2822,'Concrete Beam Schedule'!$A$2:$Q$2902,Z$2,0)&lt;&gt;J2822,"Beam Revised","")</f>
        <v>#N/A</v>
      </c>
      <c r="AA2822" s="7" t="e">
        <f>IF(VLOOKUP($A2822,'Concrete Beam Schedule'!$A$2:$Q$2902,AA$2,0)&lt;&gt;K2822,"Beam Revised","")</f>
        <v>#N/A</v>
      </c>
      <c r="AB2822" s="7" t="e">
        <f>IF(VLOOKUP($A2822,'Concrete Beam Schedule'!$A$2:$Q$2902,AB$2,0)&lt;&gt;L2822,"Beam Revised","")</f>
        <v>#N/A</v>
      </c>
      <c r="AC2822" s="7" t="e">
        <f>IF(VLOOKUP($A2822,'Concrete Beam Schedule'!$A$2:$Q$2902,AC$2,0)&lt;&gt;M2822,"Beam Revised","")</f>
        <v>#N/A</v>
      </c>
      <c r="AD2822" s="7" t="e">
        <f>IF(VLOOKUP($A2822,'Concrete Beam Schedule'!$A$2:$Q$2902,AD$2,0)&lt;&gt;N2822,"Beam Revised","")</f>
        <v>#N/A</v>
      </c>
      <c r="AE2822" s="7" t="e">
        <f>IF(VLOOKUP($A2822,'Concrete Beam Schedule'!$A$2:$Q$2902,AE$2,0)&lt;&gt;O2822,"Beam Revised","")</f>
        <v>#N/A</v>
      </c>
    </row>
    <row r="2823" spans="17:31" ht="20.100000000000001" customHeight="1" x14ac:dyDescent="0.25">
      <c r="Q2823" s="7">
        <f t="shared" si="44"/>
        <v>0</v>
      </c>
      <c r="R2823" s="7" t="e">
        <f>IF(VLOOKUP($A2823,'Concrete Beam Schedule'!$A$2:$Q$2902,R$2,0)&lt;&gt;B2823,VLOOKUP($A2823,'Concrete Beam Schedule'!$A$2:$Q$2902,R$2,0),"")</f>
        <v>#N/A</v>
      </c>
      <c r="S2823" s="7" t="e">
        <f>IF(VLOOKUP($A2823,'Concrete Beam Schedule'!$A$2:$Q$2902,S$2,0)&lt;&gt;C2823,VLOOKUP($A2823,'Concrete Beam Schedule'!$A$2:$Q$2902,S$2,0),"")</f>
        <v>#N/A</v>
      </c>
      <c r="T2823" s="7" t="e">
        <f>IF(VLOOKUP($A2823,'Concrete Beam Schedule'!$A$2:$Q$2902,T$2,0)&lt;&gt;D2823,"Beam Revised","")</f>
        <v>#N/A</v>
      </c>
      <c r="U2823" s="7" t="e">
        <f>IF(VLOOKUP($A2823,'Concrete Beam Schedule'!$A$2:$Q$2902,U$2,0)&lt;&gt;E2823,"Beam Revised","")</f>
        <v>#N/A</v>
      </c>
      <c r="V2823" s="7" t="e">
        <f>IF(VLOOKUP($A2823,'Concrete Beam Schedule'!$A$2:$Q$2902,V$2,0)&lt;&gt;F2823,"Beam Revised","")</f>
        <v>#N/A</v>
      </c>
      <c r="W2823" s="7" t="e">
        <f>IF(VLOOKUP($A2823,'Concrete Beam Schedule'!$A$2:$Q$2902,W$2,0)&lt;&gt;G2823,"Beam Revised","")</f>
        <v>#N/A</v>
      </c>
      <c r="X2823" s="7" t="e">
        <f>IF(VLOOKUP($A2823,'Concrete Beam Schedule'!$A$2:$Q$2902,X$2,0)&lt;&gt;H2823,"Beam Revised","")</f>
        <v>#N/A</v>
      </c>
      <c r="Y2823" s="7" t="e">
        <f>IF(VLOOKUP($A2823,'Concrete Beam Schedule'!$A$2:$Q$2902,Y$2,0)&lt;&gt;I2823,"Beam Revised","")</f>
        <v>#N/A</v>
      </c>
      <c r="Z2823" s="7" t="e">
        <f>IF(VLOOKUP($A2823,'Concrete Beam Schedule'!$A$2:$Q$2902,Z$2,0)&lt;&gt;J2823,"Beam Revised","")</f>
        <v>#N/A</v>
      </c>
      <c r="AA2823" s="7" t="e">
        <f>IF(VLOOKUP($A2823,'Concrete Beam Schedule'!$A$2:$Q$2902,AA$2,0)&lt;&gt;K2823,"Beam Revised","")</f>
        <v>#N/A</v>
      </c>
      <c r="AB2823" s="7" t="e">
        <f>IF(VLOOKUP($A2823,'Concrete Beam Schedule'!$A$2:$Q$2902,AB$2,0)&lt;&gt;L2823,"Beam Revised","")</f>
        <v>#N/A</v>
      </c>
      <c r="AC2823" s="7" t="e">
        <f>IF(VLOOKUP($A2823,'Concrete Beam Schedule'!$A$2:$Q$2902,AC$2,0)&lt;&gt;M2823,"Beam Revised","")</f>
        <v>#N/A</v>
      </c>
      <c r="AD2823" s="7" t="e">
        <f>IF(VLOOKUP($A2823,'Concrete Beam Schedule'!$A$2:$Q$2902,AD$2,0)&lt;&gt;N2823,"Beam Revised","")</f>
        <v>#N/A</v>
      </c>
      <c r="AE2823" s="7" t="e">
        <f>IF(VLOOKUP($A2823,'Concrete Beam Schedule'!$A$2:$Q$2902,AE$2,0)&lt;&gt;O2823,"Beam Revised","")</f>
        <v>#N/A</v>
      </c>
    </row>
    <row r="2824" spans="17:31" ht="20.100000000000001" customHeight="1" x14ac:dyDescent="0.25">
      <c r="Q2824" s="7">
        <f t="shared" si="44"/>
        <v>0</v>
      </c>
      <c r="R2824" s="7" t="e">
        <f>IF(VLOOKUP($A2824,'Concrete Beam Schedule'!$A$2:$Q$2902,R$2,0)&lt;&gt;B2824,VLOOKUP($A2824,'Concrete Beam Schedule'!$A$2:$Q$2902,R$2,0),"")</f>
        <v>#N/A</v>
      </c>
      <c r="S2824" s="7" t="e">
        <f>IF(VLOOKUP($A2824,'Concrete Beam Schedule'!$A$2:$Q$2902,S$2,0)&lt;&gt;C2824,VLOOKUP($A2824,'Concrete Beam Schedule'!$A$2:$Q$2902,S$2,0),"")</f>
        <v>#N/A</v>
      </c>
      <c r="T2824" s="7" t="e">
        <f>IF(VLOOKUP($A2824,'Concrete Beam Schedule'!$A$2:$Q$2902,T$2,0)&lt;&gt;D2824,"Beam Revised","")</f>
        <v>#N/A</v>
      </c>
      <c r="U2824" s="7" t="e">
        <f>IF(VLOOKUP($A2824,'Concrete Beam Schedule'!$A$2:$Q$2902,U$2,0)&lt;&gt;E2824,"Beam Revised","")</f>
        <v>#N/A</v>
      </c>
      <c r="V2824" s="7" t="e">
        <f>IF(VLOOKUP($A2824,'Concrete Beam Schedule'!$A$2:$Q$2902,V$2,0)&lt;&gt;F2824,"Beam Revised","")</f>
        <v>#N/A</v>
      </c>
      <c r="W2824" s="7" t="e">
        <f>IF(VLOOKUP($A2824,'Concrete Beam Schedule'!$A$2:$Q$2902,W$2,0)&lt;&gt;G2824,"Beam Revised","")</f>
        <v>#N/A</v>
      </c>
      <c r="X2824" s="7" t="e">
        <f>IF(VLOOKUP($A2824,'Concrete Beam Schedule'!$A$2:$Q$2902,X$2,0)&lt;&gt;H2824,"Beam Revised","")</f>
        <v>#N/A</v>
      </c>
      <c r="Y2824" s="7" t="e">
        <f>IF(VLOOKUP($A2824,'Concrete Beam Schedule'!$A$2:$Q$2902,Y$2,0)&lt;&gt;I2824,"Beam Revised","")</f>
        <v>#N/A</v>
      </c>
      <c r="Z2824" s="7" t="e">
        <f>IF(VLOOKUP($A2824,'Concrete Beam Schedule'!$A$2:$Q$2902,Z$2,0)&lt;&gt;J2824,"Beam Revised","")</f>
        <v>#N/A</v>
      </c>
      <c r="AA2824" s="7" t="e">
        <f>IF(VLOOKUP($A2824,'Concrete Beam Schedule'!$A$2:$Q$2902,AA$2,0)&lt;&gt;K2824,"Beam Revised","")</f>
        <v>#N/A</v>
      </c>
      <c r="AB2824" s="7" t="e">
        <f>IF(VLOOKUP($A2824,'Concrete Beam Schedule'!$A$2:$Q$2902,AB$2,0)&lt;&gt;L2824,"Beam Revised","")</f>
        <v>#N/A</v>
      </c>
      <c r="AC2824" s="7" t="e">
        <f>IF(VLOOKUP($A2824,'Concrete Beam Schedule'!$A$2:$Q$2902,AC$2,0)&lt;&gt;M2824,"Beam Revised","")</f>
        <v>#N/A</v>
      </c>
      <c r="AD2824" s="7" t="e">
        <f>IF(VLOOKUP($A2824,'Concrete Beam Schedule'!$A$2:$Q$2902,AD$2,0)&lt;&gt;N2824,"Beam Revised","")</f>
        <v>#N/A</v>
      </c>
      <c r="AE2824" s="7" t="e">
        <f>IF(VLOOKUP($A2824,'Concrete Beam Schedule'!$A$2:$Q$2902,AE$2,0)&lt;&gt;O2824,"Beam Revised","")</f>
        <v>#N/A</v>
      </c>
    </row>
    <row r="2825" spans="17:31" ht="20.100000000000001" customHeight="1" x14ac:dyDescent="0.25">
      <c r="Q2825" s="7">
        <f t="shared" si="44"/>
        <v>0</v>
      </c>
      <c r="R2825" s="7" t="e">
        <f>IF(VLOOKUP($A2825,'Concrete Beam Schedule'!$A$2:$Q$2902,R$2,0)&lt;&gt;B2825,VLOOKUP($A2825,'Concrete Beam Schedule'!$A$2:$Q$2902,R$2,0),"")</f>
        <v>#N/A</v>
      </c>
      <c r="S2825" s="7" t="e">
        <f>IF(VLOOKUP($A2825,'Concrete Beam Schedule'!$A$2:$Q$2902,S$2,0)&lt;&gt;C2825,VLOOKUP($A2825,'Concrete Beam Schedule'!$A$2:$Q$2902,S$2,0),"")</f>
        <v>#N/A</v>
      </c>
      <c r="T2825" s="7" t="e">
        <f>IF(VLOOKUP($A2825,'Concrete Beam Schedule'!$A$2:$Q$2902,T$2,0)&lt;&gt;D2825,"Beam Revised","")</f>
        <v>#N/A</v>
      </c>
      <c r="U2825" s="7" t="e">
        <f>IF(VLOOKUP($A2825,'Concrete Beam Schedule'!$A$2:$Q$2902,U$2,0)&lt;&gt;E2825,"Beam Revised","")</f>
        <v>#N/A</v>
      </c>
      <c r="V2825" s="7" t="e">
        <f>IF(VLOOKUP($A2825,'Concrete Beam Schedule'!$A$2:$Q$2902,V$2,0)&lt;&gt;F2825,"Beam Revised","")</f>
        <v>#N/A</v>
      </c>
      <c r="W2825" s="7" t="e">
        <f>IF(VLOOKUP($A2825,'Concrete Beam Schedule'!$A$2:$Q$2902,W$2,0)&lt;&gt;G2825,"Beam Revised","")</f>
        <v>#N/A</v>
      </c>
      <c r="X2825" s="7" t="e">
        <f>IF(VLOOKUP($A2825,'Concrete Beam Schedule'!$A$2:$Q$2902,X$2,0)&lt;&gt;H2825,"Beam Revised","")</f>
        <v>#N/A</v>
      </c>
      <c r="Y2825" s="7" t="e">
        <f>IF(VLOOKUP($A2825,'Concrete Beam Schedule'!$A$2:$Q$2902,Y$2,0)&lt;&gt;I2825,"Beam Revised","")</f>
        <v>#N/A</v>
      </c>
      <c r="Z2825" s="7" t="e">
        <f>IF(VLOOKUP($A2825,'Concrete Beam Schedule'!$A$2:$Q$2902,Z$2,0)&lt;&gt;J2825,"Beam Revised","")</f>
        <v>#N/A</v>
      </c>
      <c r="AA2825" s="7" t="e">
        <f>IF(VLOOKUP($A2825,'Concrete Beam Schedule'!$A$2:$Q$2902,AA$2,0)&lt;&gt;K2825,"Beam Revised","")</f>
        <v>#N/A</v>
      </c>
      <c r="AB2825" s="7" t="e">
        <f>IF(VLOOKUP($A2825,'Concrete Beam Schedule'!$A$2:$Q$2902,AB$2,0)&lt;&gt;L2825,"Beam Revised","")</f>
        <v>#N/A</v>
      </c>
      <c r="AC2825" s="7" t="e">
        <f>IF(VLOOKUP($A2825,'Concrete Beam Schedule'!$A$2:$Q$2902,AC$2,0)&lt;&gt;M2825,"Beam Revised","")</f>
        <v>#N/A</v>
      </c>
      <c r="AD2825" s="7" t="e">
        <f>IF(VLOOKUP($A2825,'Concrete Beam Schedule'!$A$2:$Q$2902,AD$2,0)&lt;&gt;N2825,"Beam Revised","")</f>
        <v>#N/A</v>
      </c>
      <c r="AE2825" s="7" t="e">
        <f>IF(VLOOKUP($A2825,'Concrete Beam Schedule'!$A$2:$Q$2902,AE$2,0)&lt;&gt;O2825,"Beam Revised","")</f>
        <v>#N/A</v>
      </c>
    </row>
    <row r="2826" spans="17:31" ht="20.100000000000001" customHeight="1" x14ac:dyDescent="0.25">
      <c r="Q2826" s="7">
        <f t="shared" si="44"/>
        <v>0</v>
      </c>
      <c r="R2826" s="7" t="e">
        <f>IF(VLOOKUP($A2826,'Concrete Beam Schedule'!$A$2:$Q$2902,R$2,0)&lt;&gt;B2826,VLOOKUP($A2826,'Concrete Beam Schedule'!$A$2:$Q$2902,R$2,0),"")</f>
        <v>#N/A</v>
      </c>
      <c r="S2826" s="7" t="e">
        <f>IF(VLOOKUP($A2826,'Concrete Beam Schedule'!$A$2:$Q$2902,S$2,0)&lt;&gt;C2826,VLOOKUP($A2826,'Concrete Beam Schedule'!$A$2:$Q$2902,S$2,0),"")</f>
        <v>#N/A</v>
      </c>
      <c r="T2826" s="7" t="e">
        <f>IF(VLOOKUP($A2826,'Concrete Beam Schedule'!$A$2:$Q$2902,T$2,0)&lt;&gt;D2826,"Beam Revised","")</f>
        <v>#N/A</v>
      </c>
      <c r="U2826" s="7" t="e">
        <f>IF(VLOOKUP($A2826,'Concrete Beam Schedule'!$A$2:$Q$2902,U$2,0)&lt;&gt;E2826,"Beam Revised","")</f>
        <v>#N/A</v>
      </c>
      <c r="V2826" s="7" t="e">
        <f>IF(VLOOKUP($A2826,'Concrete Beam Schedule'!$A$2:$Q$2902,V$2,0)&lt;&gt;F2826,"Beam Revised","")</f>
        <v>#N/A</v>
      </c>
      <c r="W2826" s="7" t="e">
        <f>IF(VLOOKUP($A2826,'Concrete Beam Schedule'!$A$2:$Q$2902,W$2,0)&lt;&gt;G2826,"Beam Revised","")</f>
        <v>#N/A</v>
      </c>
      <c r="X2826" s="7" t="e">
        <f>IF(VLOOKUP($A2826,'Concrete Beam Schedule'!$A$2:$Q$2902,X$2,0)&lt;&gt;H2826,"Beam Revised","")</f>
        <v>#N/A</v>
      </c>
      <c r="Y2826" s="7" t="e">
        <f>IF(VLOOKUP($A2826,'Concrete Beam Schedule'!$A$2:$Q$2902,Y$2,0)&lt;&gt;I2826,"Beam Revised","")</f>
        <v>#N/A</v>
      </c>
      <c r="Z2826" s="7" t="e">
        <f>IF(VLOOKUP($A2826,'Concrete Beam Schedule'!$A$2:$Q$2902,Z$2,0)&lt;&gt;J2826,"Beam Revised","")</f>
        <v>#N/A</v>
      </c>
      <c r="AA2826" s="7" t="e">
        <f>IF(VLOOKUP($A2826,'Concrete Beam Schedule'!$A$2:$Q$2902,AA$2,0)&lt;&gt;K2826,"Beam Revised","")</f>
        <v>#N/A</v>
      </c>
      <c r="AB2826" s="7" t="e">
        <f>IF(VLOOKUP($A2826,'Concrete Beam Schedule'!$A$2:$Q$2902,AB$2,0)&lt;&gt;L2826,"Beam Revised","")</f>
        <v>#N/A</v>
      </c>
      <c r="AC2826" s="7" t="e">
        <f>IF(VLOOKUP($A2826,'Concrete Beam Schedule'!$A$2:$Q$2902,AC$2,0)&lt;&gt;M2826,"Beam Revised","")</f>
        <v>#N/A</v>
      </c>
      <c r="AD2826" s="7" t="e">
        <f>IF(VLOOKUP($A2826,'Concrete Beam Schedule'!$A$2:$Q$2902,AD$2,0)&lt;&gt;N2826,"Beam Revised","")</f>
        <v>#N/A</v>
      </c>
      <c r="AE2826" s="7" t="e">
        <f>IF(VLOOKUP($A2826,'Concrete Beam Schedule'!$A$2:$Q$2902,AE$2,0)&lt;&gt;O2826,"Beam Revised","")</f>
        <v>#N/A</v>
      </c>
    </row>
    <row r="2827" spans="17:31" ht="20.100000000000001" customHeight="1" x14ac:dyDescent="0.25">
      <c r="Q2827" s="7">
        <f t="shared" si="44"/>
        <v>0</v>
      </c>
      <c r="R2827" s="7" t="e">
        <f>IF(VLOOKUP($A2827,'Concrete Beam Schedule'!$A$2:$Q$2902,R$2,0)&lt;&gt;B2827,VLOOKUP($A2827,'Concrete Beam Schedule'!$A$2:$Q$2902,R$2,0),"")</f>
        <v>#N/A</v>
      </c>
      <c r="S2827" s="7" t="e">
        <f>IF(VLOOKUP($A2827,'Concrete Beam Schedule'!$A$2:$Q$2902,S$2,0)&lt;&gt;C2827,VLOOKUP($A2827,'Concrete Beam Schedule'!$A$2:$Q$2902,S$2,0),"")</f>
        <v>#N/A</v>
      </c>
      <c r="T2827" s="7" t="e">
        <f>IF(VLOOKUP($A2827,'Concrete Beam Schedule'!$A$2:$Q$2902,T$2,0)&lt;&gt;D2827,"Beam Revised","")</f>
        <v>#N/A</v>
      </c>
      <c r="U2827" s="7" t="e">
        <f>IF(VLOOKUP($A2827,'Concrete Beam Schedule'!$A$2:$Q$2902,U$2,0)&lt;&gt;E2827,"Beam Revised","")</f>
        <v>#N/A</v>
      </c>
      <c r="V2827" s="7" t="e">
        <f>IF(VLOOKUP($A2827,'Concrete Beam Schedule'!$A$2:$Q$2902,V$2,0)&lt;&gt;F2827,"Beam Revised","")</f>
        <v>#N/A</v>
      </c>
      <c r="W2827" s="7" t="e">
        <f>IF(VLOOKUP($A2827,'Concrete Beam Schedule'!$A$2:$Q$2902,W$2,0)&lt;&gt;G2827,"Beam Revised","")</f>
        <v>#N/A</v>
      </c>
      <c r="X2827" s="7" t="e">
        <f>IF(VLOOKUP($A2827,'Concrete Beam Schedule'!$A$2:$Q$2902,X$2,0)&lt;&gt;H2827,"Beam Revised","")</f>
        <v>#N/A</v>
      </c>
      <c r="Y2827" s="7" t="e">
        <f>IF(VLOOKUP($A2827,'Concrete Beam Schedule'!$A$2:$Q$2902,Y$2,0)&lt;&gt;I2827,"Beam Revised","")</f>
        <v>#N/A</v>
      </c>
      <c r="Z2827" s="7" t="e">
        <f>IF(VLOOKUP($A2827,'Concrete Beam Schedule'!$A$2:$Q$2902,Z$2,0)&lt;&gt;J2827,"Beam Revised","")</f>
        <v>#N/A</v>
      </c>
      <c r="AA2827" s="7" t="e">
        <f>IF(VLOOKUP($A2827,'Concrete Beam Schedule'!$A$2:$Q$2902,AA$2,0)&lt;&gt;K2827,"Beam Revised","")</f>
        <v>#N/A</v>
      </c>
      <c r="AB2827" s="7" t="e">
        <f>IF(VLOOKUP($A2827,'Concrete Beam Schedule'!$A$2:$Q$2902,AB$2,0)&lt;&gt;L2827,"Beam Revised","")</f>
        <v>#N/A</v>
      </c>
      <c r="AC2827" s="7" t="e">
        <f>IF(VLOOKUP($A2827,'Concrete Beam Schedule'!$A$2:$Q$2902,AC$2,0)&lt;&gt;M2827,"Beam Revised","")</f>
        <v>#N/A</v>
      </c>
      <c r="AD2827" s="7" t="e">
        <f>IF(VLOOKUP($A2827,'Concrete Beam Schedule'!$A$2:$Q$2902,AD$2,0)&lt;&gt;N2827,"Beam Revised","")</f>
        <v>#N/A</v>
      </c>
      <c r="AE2827" s="7" t="e">
        <f>IF(VLOOKUP($A2827,'Concrete Beam Schedule'!$A$2:$Q$2902,AE$2,0)&lt;&gt;O2827,"Beam Revised","")</f>
        <v>#N/A</v>
      </c>
    </row>
    <row r="2828" spans="17:31" ht="20.100000000000001" customHeight="1" x14ac:dyDescent="0.25">
      <c r="Q2828" s="7">
        <f t="shared" si="44"/>
        <v>0</v>
      </c>
      <c r="R2828" s="7" t="e">
        <f>IF(VLOOKUP($A2828,'Concrete Beam Schedule'!$A$2:$Q$2902,R$2,0)&lt;&gt;B2828,VLOOKUP($A2828,'Concrete Beam Schedule'!$A$2:$Q$2902,R$2,0),"")</f>
        <v>#N/A</v>
      </c>
      <c r="S2828" s="7" t="e">
        <f>IF(VLOOKUP($A2828,'Concrete Beam Schedule'!$A$2:$Q$2902,S$2,0)&lt;&gt;C2828,VLOOKUP($A2828,'Concrete Beam Schedule'!$A$2:$Q$2902,S$2,0),"")</f>
        <v>#N/A</v>
      </c>
      <c r="T2828" s="7" t="e">
        <f>IF(VLOOKUP($A2828,'Concrete Beam Schedule'!$A$2:$Q$2902,T$2,0)&lt;&gt;D2828,"Beam Revised","")</f>
        <v>#N/A</v>
      </c>
      <c r="U2828" s="7" t="e">
        <f>IF(VLOOKUP($A2828,'Concrete Beam Schedule'!$A$2:$Q$2902,U$2,0)&lt;&gt;E2828,"Beam Revised","")</f>
        <v>#N/A</v>
      </c>
      <c r="V2828" s="7" t="e">
        <f>IF(VLOOKUP($A2828,'Concrete Beam Schedule'!$A$2:$Q$2902,V$2,0)&lt;&gt;F2828,"Beam Revised","")</f>
        <v>#N/A</v>
      </c>
      <c r="W2828" s="7" t="e">
        <f>IF(VLOOKUP($A2828,'Concrete Beam Schedule'!$A$2:$Q$2902,W$2,0)&lt;&gt;G2828,"Beam Revised","")</f>
        <v>#N/A</v>
      </c>
      <c r="X2828" s="7" t="e">
        <f>IF(VLOOKUP($A2828,'Concrete Beam Schedule'!$A$2:$Q$2902,X$2,0)&lt;&gt;H2828,"Beam Revised","")</f>
        <v>#N/A</v>
      </c>
      <c r="Y2828" s="7" t="e">
        <f>IF(VLOOKUP($A2828,'Concrete Beam Schedule'!$A$2:$Q$2902,Y$2,0)&lt;&gt;I2828,"Beam Revised","")</f>
        <v>#N/A</v>
      </c>
      <c r="Z2828" s="7" t="e">
        <f>IF(VLOOKUP($A2828,'Concrete Beam Schedule'!$A$2:$Q$2902,Z$2,0)&lt;&gt;J2828,"Beam Revised","")</f>
        <v>#N/A</v>
      </c>
      <c r="AA2828" s="7" t="e">
        <f>IF(VLOOKUP($A2828,'Concrete Beam Schedule'!$A$2:$Q$2902,AA$2,0)&lt;&gt;K2828,"Beam Revised","")</f>
        <v>#N/A</v>
      </c>
      <c r="AB2828" s="7" t="e">
        <f>IF(VLOOKUP($A2828,'Concrete Beam Schedule'!$A$2:$Q$2902,AB$2,0)&lt;&gt;L2828,"Beam Revised","")</f>
        <v>#N/A</v>
      </c>
      <c r="AC2828" s="7" t="e">
        <f>IF(VLOOKUP($A2828,'Concrete Beam Schedule'!$A$2:$Q$2902,AC$2,0)&lt;&gt;M2828,"Beam Revised","")</f>
        <v>#N/A</v>
      </c>
      <c r="AD2828" s="7" t="e">
        <f>IF(VLOOKUP($A2828,'Concrete Beam Schedule'!$A$2:$Q$2902,AD$2,0)&lt;&gt;N2828,"Beam Revised","")</f>
        <v>#N/A</v>
      </c>
      <c r="AE2828" s="7" t="e">
        <f>IF(VLOOKUP($A2828,'Concrete Beam Schedule'!$A$2:$Q$2902,AE$2,0)&lt;&gt;O2828,"Beam Revised","")</f>
        <v>#N/A</v>
      </c>
    </row>
    <row r="2829" spans="17:31" ht="20.100000000000001" customHeight="1" x14ac:dyDescent="0.25">
      <c r="Q2829" s="7">
        <f t="shared" si="44"/>
        <v>0</v>
      </c>
      <c r="R2829" s="7" t="e">
        <f>IF(VLOOKUP($A2829,'Concrete Beam Schedule'!$A$2:$Q$2902,R$2,0)&lt;&gt;B2829,VLOOKUP($A2829,'Concrete Beam Schedule'!$A$2:$Q$2902,R$2,0),"")</f>
        <v>#N/A</v>
      </c>
      <c r="S2829" s="7" t="e">
        <f>IF(VLOOKUP($A2829,'Concrete Beam Schedule'!$A$2:$Q$2902,S$2,0)&lt;&gt;C2829,VLOOKUP($A2829,'Concrete Beam Schedule'!$A$2:$Q$2902,S$2,0),"")</f>
        <v>#N/A</v>
      </c>
      <c r="T2829" s="7" t="e">
        <f>IF(VLOOKUP($A2829,'Concrete Beam Schedule'!$A$2:$Q$2902,T$2,0)&lt;&gt;D2829,"Beam Revised","")</f>
        <v>#N/A</v>
      </c>
      <c r="U2829" s="7" t="e">
        <f>IF(VLOOKUP($A2829,'Concrete Beam Schedule'!$A$2:$Q$2902,U$2,0)&lt;&gt;E2829,"Beam Revised","")</f>
        <v>#N/A</v>
      </c>
      <c r="V2829" s="7" t="e">
        <f>IF(VLOOKUP($A2829,'Concrete Beam Schedule'!$A$2:$Q$2902,V$2,0)&lt;&gt;F2829,"Beam Revised","")</f>
        <v>#N/A</v>
      </c>
      <c r="W2829" s="7" t="e">
        <f>IF(VLOOKUP($A2829,'Concrete Beam Schedule'!$A$2:$Q$2902,W$2,0)&lt;&gt;G2829,"Beam Revised","")</f>
        <v>#N/A</v>
      </c>
      <c r="X2829" s="7" t="e">
        <f>IF(VLOOKUP($A2829,'Concrete Beam Schedule'!$A$2:$Q$2902,X$2,0)&lt;&gt;H2829,"Beam Revised","")</f>
        <v>#N/A</v>
      </c>
      <c r="Y2829" s="7" t="e">
        <f>IF(VLOOKUP($A2829,'Concrete Beam Schedule'!$A$2:$Q$2902,Y$2,0)&lt;&gt;I2829,"Beam Revised","")</f>
        <v>#N/A</v>
      </c>
      <c r="Z2829" s="7" t="e">
        <f>IF(VLOOKUP($A2829,'Concrete Beam Schedule'!$A$2:$Q$2902,Z$2,0)&lt;&gt;J2829,"Beam Revised","")</f>
        <v>#N/A</v>
      </c>
      <c r="AA2829" s="7" t="e">
        <f>IF(VLOOKUP($A2829,'Concrete Beam Schedule'!$A$2:$Q$2902,AA$2,0)&lt;&gt;K2829,"Beam Revised","")</f>
        <v>#N/A</v>
      </c>
      <c r="AB2829" s="7" t="e">
        <f>IF(VLOOKUP($A2829,'Concrete Beam Schedule'!$A$2:$Q$2902,AB$2,0)&lt;&gt;L2829,"Beam Revised","")</f>
        <v>#N/A</v>
      </c>
      <c r="AC2829" s="7" t="e">
        <f>IF(VLOOKUP($A2829,'Concrete Beam Schedule'!$A$2:$Q$2902,AC$2,0)&lt;&gt;M2829,"Beam Revised","")</f>
        <v>#N/A</v>
      </c>
      <c r="AD2829" s="7" t="e">
        <f>IF(VLOOKUP($A2829,'Concrete Beam Schedule'!$A$2:$Q$2902,AD$2,0)&lt;&gt;N2829,"Beam Revised","")</f>
        <v>#N/A</v>
      </c>
      <c r="AE2829" s="7" t="e">
        <f>IF(VLOOKUP($A2829,'Concrete Beam Schedule'!$A$2:$Q$2902,AE$2,0)&lt;&gt;O2829,"Beam Revised","")</f>
        <v>#N/A</v>
      </c>
    </row>
    <row r="2830" spans="17:31" ht="20.100000000000001" customHeight="1" x14ac:dyDescent="0.25">
      <c r="Q2830" s="7">
        <f t="shared" si="44"/>
        <v>0</v>
      </c>
      <c r="R2830" s="7" t="e">
        <f>IF(VLOOKUP($A2830,'Concrete Beam Schedule'!$A$2:$Q$2902,R$2,0)&lt;&gt;B2830,VLOOKUP($A2830,'Concrete Beam Schedule'!$A$2:$Q$2902,R$2,0),"")</f>
        <v>#N/A</v>
      </c>
      <c r="S2830" s="7" t="e">
        <f>IF(VLOOKUP($A2830,'Concrete Beam Schedule'!$A$2:$Q$2902,S$2,0)&lt;&gt;C2830,VLOOKUP($A2830,'Concrete Beam Schedule'!$A$2:$Q$2902,S$2,0),"")</f>
        <v>#N/A</v>
      </c>
      <c r="T2830" s="7" t="e">
        <f>IF(VLOOKUP($A2830,'Concrete Beam Schedule'!$A$2:$Q$2902,T$2,0)&lt;&gt;D2830,"Beam Revised","")</f>
        <v>#N/A</v>
      </c>
      <c r="U2830" s="7" t="e">
        <f>IF(VLOOKUP($A2830,'Concrete Beam Schedule'!$A$2:$Q$2902,U$2,0)&lt;&gt;E2830,"Beam Revised","")</f>
        <v>#N/A</v>
      </c>
      <c r="V2830" s="7" t="e">
        <f>IF(VLOOKUP($A2830,'Concrete Beam Schedule'!$A$2:$Q$2902,V$2,0)&lt;&gt;F2830,"Beam Revised","")</f>
        <v>#N/A</v>
      </c>
      <c r="W2830" s="7" t="e">
        <f>IF(VLOOKUP($A2830,'Concrete Beam Schedule'!$A$2:$Q$2902,W$2,0)&lt;&gt;G2830,"Beam Revised","")</f>
        <v>#N/A</v>
      </c>
      <c r="X2830" s="7" t="e">
        <f>IF(VLOOKUP($A2830,'Concrete Beam Schedule'!$A$2:$Q$2902,X$2,0)&lt;&gt;H2830,"Beam Revised","")</f>
        <v>#N/A</v>
      </c>
      <c r="Y2830" s="7" t="e">
        <f>IF(VLOOKUP($A2830,'Concrete Beam Schedule'!$A$2:$Q$2902,Y$2,0)&lt;&gt;I2830,"Beam Revised","")</f>
        <v>#N/A</v>
      </c>
      <c r="Z2830" s="7" t="e">
        <f>IF(VLOOKUP($A2830,'Concrete Beam Schedule'!$A$2:$Q$2902,Z$2,0)&lt;&gt;J2830,"Beam Revised","")</f>
        <v>#N/A</v>
      </c>
      <c r="AA2830" s="7" t="e">
        <f>IF(VLOOKUP($A2830,'Concrete Beam Schedule'!$A$2:$Q$2902,AA$2,0)&lt;&gt;K2830,"Beam Revised","")</f>
        <v>#N/A</v>
      </c>
      <c r="AB2830" s="7" t="e">
        <f>IF(VLOOKUP($A2830,'Concrete Beam Schedule'!$A$2:$Q$2902,AB$2,0)&lt;&gt;L2830,"Beam Revised","")</f>
        <v>#N/A</v>
      </c>
      <c r="AC2830" s="7" t="e">
        <f>IF(VLOOKUP($A2830,'Concrete Beam Schedule'!$A$2:$Q$2902,AC$2,0)&lt;&gt;M2830,"Beam Revised","")</f>
        <v>#N/A</v>
      </c>
      <c r="AD2830" s="7" t="e">
        <f>IF(VLOOKUP($A2830,'Concrete Beam Schedule'!$A$2:$Q$2902,AD$2,0)&lt;&gt;N2830,"Beam Revised","")</f>
        <v>#N/A</v>
      </c>
      <c r="AE2830" s="7" t="e">
        <f>IF(VLOOKUP($A2830,'Concrete Beam Schedule'!$A$2:$Q$2902,AE$2,0)&lt;&gt;O2830,"Beam Revised","")</f>
        <v>#N/A</v>
      </c>
    </row>
    <row r="2831" spans="17:31" ht="20.100000000000001" customHeight="1" x14ac:dyDescent="0.25">
      <c r="Q2831" s="7">
        <f t="shared" si="44"/>
        <v>0</v>
      </c>
      <c r="R2831" s="7" t="e">
        <f>IF(VLOOKUP($A2831,'Concrete Beam Schedule'!$A$2:$Q$2902,R$2,0)&lt;&gt;B2831,VLOOKUP($A2831,'Concrete Beam Schedule'!$A$2:$Q$2902,R$2,0),"")</f>
        <v>#N/A</v>
      </c>
      <c r="S2831" s="7" t="e">
        <f>IF(VLOOKUP($A2831,'Concrete Beam Schedule'!$A$2:$Q$2902,S$2,0)&lt;&gt;C2831,VLOOKUP($A2831,'Concrete Beam Schedule'!$A$2:$Q$2902,S$2,0),"")</f>
        <v>#N/A</v>
      </c>
      <c r="T2831" s="7" t="e">
        <f>IF(VLOOKUP($A2831,'Concrete Beam Schedule'!$A$2:$Q$2902,T$2,0)&lt;&gt;D2831,"Beam Revised","")</f>
        <v>#N/A</v>
      </c>
      <c r="U2831" s="7" t="e">
        <f>IF(VLOOKUP($A2831,'Concrete Beam Schedule'!$A$2:$Q$2902,U$2,0)&lt;&gt;E2831,"Beam Revised","")</f>
        <v>#N/A</v>
      </c>
      <c r="V2831" s="7" t="e">
        <f>IF(VLOOKUP($A2831,'Concrete Beam Schedule'!$A$2:$Q$2902,V$2,0)&lt;&gt;F2831,"Beam Revised","")</f>
        <v>#N/A</v>
      </c>
      <c r="W2831" s="7" t="e">
        <f>IF(VLOOKUP($A2831,'Concrete Beam Schedule'!$A$2:$Q$2902,W$2,0)&lt;&gt;G2831,"Beam Revised","")</f>
        <v>#N/A</v>
      </c>
      <c r="X2831" s="7" t="e">
        <f>IF(VLOOKUP($A2831,'Concrete Beam Schedule'!$A$2:$Q$2902,X$2,0)&lt;&gt;H2831,"Beam Revised","")</f>
        <v>#N/A</v>
      </c>
      <c r="Y2831" s="7" t="e">
        <f>IF(VLOOKUP($A2831,'Concrete Beam Schedule'!$A$2:$Q$2902,Y$2,0)&lt;&gt;I2831,"Beam Revised","")</f>
        <v>#N/A</v>
      </c>
      <c r="Z2831" s="7" t="e">
        <f>IF(VLOOKUP($A2831,'Concrete Beam Schedule'!$A$2:$Q$2902,Z$2,0)&lt;&gt;J2831,"Beam Revised","")</f>
        <v>#N/A</v>
      </c>
      <c r="AA2831" s="7" t="e">
        <f>IF(VLOOKUP($A2831,'Concrete Beam Schedule'!$A$2:$Q$2902,AA$2,0)&lt;&gt;K2831,"Beam Revised","")</f>
        <v>#N/A</v>
      </c>
      <c r="AB2831" s="7" t="e">
        <f>IF(VLOOKUP($A2831,'Concrete Beam Schedule'!$A$2:$Q$2902,AB$2,0)&lt;&gt;L2831,"Beam Revised","")</f>
        <v>#N/A</v>
      </c>
      <c r="AC2831" s="7" t="e">
        <f>IF(VLOOKUP($A2831,'Concrete Beam Schedule'!$A$2:$Q$2902,AC$2,0)&lt;&gt;M2831,"Beam Revised","")</f>
        <v>#N/A</v>
      </c>
      <c r="AD2831" s="7" t="e">
        <f>IF(VLOOKUP($A2831,'Concrete Beam Schedule'!$A$2:$Q$2902,AD$2,0)&lt;&gt;N2831,"Beam Revised","")</f>
        <v>#N/A</v>
      </c>
      <c r="AE2831" s="7" t="e">
        <f>IF(VLOOKUP($A2831,'Concrete Beam Schedule'!$A$2:$Q$2902,AE$2,0)&lt;&gt;O2831,"Beam Revised","")</f>
        <v>#N/A</v>
      </c>
    </row>
    <row r="2832" spans="17:31" ht="20.100000000000001" customHeight="1" x14ac:dyDescent="0.25">
      <c r="Q2832" s="7">
        <f t="shared" si="44"/>
        <v>0</v>
      </c>
      <c r="R2832" s="7" t="e">
        <f>IF(VLOOKUP($A2832,'Concrete Beam Schedule'!$A$2:$Q$2902,R$2,0)&lt;&gt;B2832,VLOOKUP($A2832,'Concrete Beam Schedule'!$A$2:$Q$2902,R$2,0),"")</f>
        <v>#N/A</v>
      </c>
      <c r="S2832" s="7" t="e">
        <f>IF(VLOOKUP($A2832,'Concrete Beam Schedule'!$A$2:$Q$2902,S$2,0)&lt;&gt;C2832,VLOOKUP($A2832,'Concrete Beam Schedule'!$A$2:$Q$2902,S$2,0),"")</f>
        <v>#N/A</v>
      </c>
      <c r="T2832" s="7" t="e">
        <f>IF(VLOOKUP($A2832,'Concrete Beam Schedule'!$A$2:$Q$2902,T$2,0)&lt;&gt;D2832,"Beam Revised","")</f>
        <v>#N/A</v>
      </c>
      <c r="U2832" s="7" t="e">
        <f>IF(VLOOKUP($A2832,'Concrete Beam Schedule'!$A$2:$Q$2902,U$2,0)&lt;&gt;E2832,"Beam Revised","")</f>
        <v>#N/A</v>
      </c>
      <c r="V2832" s="7" t="e">
        <f>IF(VLOOKUP($A2832,'Concrete Beam Schedule'!$A$2:$Q$2902,V$2,0)&lt;&gt;F2832,"Beam Revised","")</f>
        <v>#N/A</v>
      </c>
      <c r="W2832" s="7" t="e">
        <f>IF(VLOOKUP($A2832,'Concrete Beam Schedule'!$A$2:$Q$2902,W$2,0)&lt;&gt;G2832,"Beam Revised","")</f>
        <v>#N/A</v>
      </c>
      <c r="X2832" s="7" t="e">
        <f>IF(VLOOKUP($A2832,'Concrete Beam Schedule'!$A$2:$Q$2902,X$2,0)&lt;&gt;H2832,"Beam Revised","")</f>
        <v>#N/A</v>
      </c>
      <c r="Y2832" s="7" t="e">
        <f>IF(VLOOKUP($A2832,'Concrete Beam Schedule'!$A$2:$Q$2902,Y$2,0)&lt;&gt;I2832,"Beam Revised","")</f>
        <v>#N/A</v>
      </c>
      <c r="Z2832" s="7" t="e">
        <f>IF(VLOOKUP($A2832,'Concrete Beam Schedule'!$A$2:$Q$2902,Z$2,0)&lt;&gt;J2832,"Beam Revised","")</f>
        <v>#N/A</v>
      </c>
      <c r="AA2832" s="7" t="e">
        <f>IF(VLOOKUP($A2832,'Concrete Beam Schedule'!$A$2:$Q$2902,AA$2,0)&lt;&gt;K2832,"Beam Revised","")</f>
        <v>#N/A</v>
      </c>
      <c r="AB2832" s="7" t="e">
        <f>IF(VLOOKUP($A2832,'Concrete Beam Schedule'!$A$2:$Q$2902,AB$2,0)&lt;&gt;L2832,"Beam Revised","")</f>
        <v>#N/A</v>
      </c>
      <c r="AC2832" s="7" t="e">
        <f>IF(VLOOKUP($A2832,'Concrete Beam Schedule'!$A$2:$Q$2902,AC$2,0)&lt;&gt;M2832,"Beam Revised","")</f>
        <v>#N/A</v>
      </c>
      <c r="AD2832" s="7" t="e">
        <f>IF(VLOOKUP($A2832,'Concrete Beam Schedule'!$A$2:$Q$2902,AD$2,0)&lt;&gt;N2832,"Beam Revised","")</f>
        <v>#N/A</v>
      </c>
      <c r="AE2832" s="7" t="e">
        <f>IF(VLOOKUP($A2832,'Concrete Beam Schedule'!$A$2:$Q$2902,AE$2,0)&lt;&gt;O2832,"Beam Revised","")</f>
        <v>#N/A</v>
      </c>
    </row>
    <row r="2833" spans="17:31" ht="20.100000000000001" customHeight="1" x14ac:dyDescent="0.25">
      <c r="Q2833" s="7">
        <f t="shared" si="44"/>
        <v>0</v>
      </c>
      <c r="R2833" s="7" t="e">
        <f>IF(VLOOKUP($A2833,'Concrete Beam Schedule'!$A$2:$Q$2902,R$2,0)&lt;&gt;B2833,VLOOKUP($A2833,'Concrete Beam Schedule'!$A$2:$Q$2902,R$2,0),"")</f>
        <v>#N/A</v>
      </c>
      <c r="S2833" s="7" t="e">
        <f>IF(VLOOKUP($A2833,'Concrete Beam Schedule'!$A$2:$Q$2902,S$2,0)&lt;&gt;C2833,VLOOKUP($A2833,'Concrete Beam Schedule'!$A$2:$Q$2902,S$2,0),"")</f>
        <v>#N/A</v>
      </c>
      <c r="T2833" s="7" t="e">
        <f>IF(VLOOKUP($A2833,'Concrete Beam Schedule'!$A$2:$Q$2902,T$2,0)&lt;&gt;D2833,"Beam Revised","")</f>
        <v>#N/A</v>
      </c>
      <c r="U2833" s="7" t="e">
        <f>IF(VLOOKUP($A2833,'Concrete Beam Schedule'!$A$2:$Q$2902,U$2,0)&lt;&gt;E2833,"Beam Revised","")</f>
        <v>#N/A</v>
      </c>
      <c r="V2833" s="7" t="e">
        <f>IF(VLOOKUP($A2833,'Concrete Beam Schedule'!$A$2:$Q$2902,V$2,0)&lt;&gt;F2833,"Beam Revised","")</f>
        <v>#N/A</v>
      </c>
      <c r="W2833" s="7" t="e">
        <f>IF(VLOOKUP($A2833,'Concrete Beam Schedule'!$A$2:$Q$2902,W$2,0)&lt;&gt;G2833,"Beam Revised","")</f>
        <v>#N/A</v>
      </c>
      <c r="X2833" s="7" t="e">
        <f>IF(VLOOKUP($A2833,'Concrete Beam Schedule'!$A$2:$Q$2902,X$2,0)&lt;&gt;H2833,"Beam Revised","")</f>
        <v>#N/A</v>
      </c>
      <c r="Y2833" s="7" t="e">
        <f>IF(VLOOKUP($A2833,'Concrete Beam Schedule'!$A$2:$Q$2902,Y$2,0)&lt;&gt;I2833,"Beam Revised","")</f>
        <v>#N/A</v>
      </c>
      <c r="Z2833" s="7" t="e">
        <f>IF(VLOOKUP($A2833,'Concrete Beam Schedule'!$A$2:$Q$2902,Z$2,0)&lt;&gt;J2833,"Beam Revised","")</f>
        <v>#N/A</v>
      </c>
      <c r="AA2833" s="7" t="e">
        <f>IF(VLOOKUP($A2833,'Concrete Beam Schedule'!$A$2:$Q$2902,AA$2,0)&lt;&gt;K2833,"Beam Revised","")</f>
        <v>#N/A</v>
      </c>
      <c r="AB2833" s="7" t="e">
        <f>IF(VLOOKUP($A2833,'Concrete Beam Schedule'!$A$2:$Q$2902,AB$2,0)&lt;&gt;L2833,"Beam Revised","")</f>
        <v>#N/A</v>
      </c>
      <c r="AC2833" s="7" t="e">
        <f>IF(VLOOKUP($A2833,'Concrete Beam Schedule'!$A$2:$Q$2902,AC$2,0)&lt;&gt;M2833,"Beam Revised","")</f>
        <v>#N/A</v>
      </c>
      <c r="AD2833" s="7" t="e">
        <f>IF(VLOOKUP($A2833,'Concrete Beam Schedule'!$A$2:$Q$2902,AD$2,0)&lt;&gt;N2833,"Beam Revised","")</f>
        <v>#N/A</v>
      </c>
      <c r="AE2833" s="7" t="e">
        <f>IF(VLOOKUP($A2833,'Concrete Beam Schedule'!$A$2:$Q$2902,AE$2,0)&lt;&gt;O2833,"Beam Revised","")</f>
        <v>#N/A</v>
      </c>
    </row>
    <row r="2834" spans="17:31" ht="20.100000000000001" customHeight="1" x14ac:dyDescent="0.25">
      <c r="Q2834" s="7">
        <f t="shared" si="44"/>
        <v>0</v>
      </c>
      <c r="R2834" s="7" t="e">
        <f>IF(VLOOKUP($A2834,'Concrete Beam Schedule'!$A$2:$Q$2902,R$2,0)&lt;&gt;B2834,VLOOKUP($A2834,'Concrete Beam Schedule'!$A$2:$Q$2902,R$2,0),"")</f>
        <v>#N/A</v>
      </c>
      <c r="S2834" s="7" t="e">
        <f>IF(VLOOKUP($A2834,'Concrete Beam Schedule'!$A$2:$Q$2902,S$2,0)&lt;&gt;C2834,VLOOKUP($A2834,'Concrete Beam Schedule'!$A$2:$Q$2902,S$2,0),"")</f>
        <v>#N/A</v>
      </c>
      <c r="T2834" s="7" t="e">
        <f>IF(VLOOKUP($A2834,'Concrete Beam Schedule'!$A$2:$Q$2902,T$2,0)&lt;&gt;D2834,"Beam Revised","")</f>
        <v>#N/A</v>
      </c>
      <c r="U2834" s="7" t="e">
        <f>IF(VLOOKUP($A2834,'Concrete Beam Schedule'!$A$2:$Q$2902,U$2,0)&lt;&gt;E2834,"Beam Revised","")</f>
        <v>#N/A</v>
      </c>
      <c r="V2834" s="7" t="e">
        <f>IF(VLOOKUP($A2834,'Concrete Beam Schedule'!$A$2:$Q$2902,V$2,0)&lt;&gt;F2834,"Beam Revised","")</f>
        <v>#N/A</v>
      </c>
      <c r="W2834" s="7" t="e">
        <f>IF(VLOOKUP($A2834,'Concrete Beam Schedule'!$A$2:$Q$2902,W$2,0)&lt;&gt;G2834,"Beam Revised","")</f>
        <v>#N/A</v>
      </c>
      <c r="X2834" s="7" t="e">
        <f>IF(VLOOKUP($A2834,'Concrete Beam Schedule'!$A$2:$Q$2902,X$2,0)&lt;&gt;H2834,"Beam Revised","")</f>
        <v>#N/A</v>
      </c>
      <c r="Y2834" s="7" t="e">
        <f>IF(VLOOKUP($A2834,'Concrete Beam Schedule'!$A$2:$Q$2902,Y$2,0)&lt;&gt;I2834,"Beam Revised","")</f>
        <v>#N/A</v>
      </c>
      <c r="Z2834" s="7" t="e">
        <f>IF(VLOOKUP($A2834,'Concrete Beam Schedule'!$A$2:$Q$2902,Z$2,0)&lt;&gt;J2834,"Beam Revised","")</f>
        <v>#N/A</v>
      </c>
      <c r="AA2834" s="7" t="e">
        <f>IF(VLOOKUP($A2834,'Concrete Beam Schedule'!$A$2:$Q$2902,AA$2,0)&lt;&gt;K2834,"Beam Revised","")</f>
        <v>#N/A</v>
      </c>
      <c r="AB2834" s="7" t="e">
        <f>IF(VLOOKUP($A2834,'Concrete Beam Schedule'!$A$2:$Q$2902,AB$2,0)&lt;&gt;L2834,"Beam Revised","")</f>
        <v>#N/A</v>
      </c>
      <c r="AC2834" s="7" t="e">
        <f>IF(VLOOKUP($A2834,'Concrete Beam Schedule'!$A$2:$Q$2902,AC$2,0)&lt;&gt;M2834,"Beam Revised","")</f>
        <v>#N/A</v>
      </c>
      <c r="AD2834" s="7" t="e">
        <f>IF(VLOOKUP($A2834,'Concrete Beam Schedule'!$A$2:$Q$2902,AD$2,0)&lt;&gt;N2834,"Beam Revised","")</f>
        <v>#N/A</v>
      </c>
      <c r="AE2834" s="7" t="e">
        <f>IF(VLOOKUP($A2834,'Concrete Beam Schedule'!$A$2:$Q$2902,AE$2,0)&lt;&gt;O2834,"Beam Revised","")</f>
        <v>#N/A</v>
      </c>
    </row>
    <row r="2835" spans="17:31" ht="20.100000000000001" customHeight="1" x14ac:dyDescent="0.25">
      <c r="Q2835" s="7">
        <f t="shared" si="44"/>
        <v>0</v>
      </c>
      <c r="R2835" s="7" t="e">
        <f>IF(VLOOKUP($A2835,'Concrete Beam Schedule'!$A$2:$Q$2902,R$2,0)&lt;&gt;B2835,VLOOKUP($A2835,'Concrete Beam Schedule'!$A$2:$Q$2902,R$2,0),"")</f>
        <v>#N/A</v>
      </c>
      <c r="S2835" s="7" t="e">
        <f>IF(VLOOKUP($A2835,'Concrete Beam Schedule'!$A$2:$Q$2902,S$2,0)&lt;&gt;C2835,VLOOKUP($A2835,'Concrete Beam Schedule'!$A$2:$Q$2902,S$2,0),"")</f>
        <v>#N/A</v>
      </c>
      <c r="T2835" s="7" t="e">
        <f>IF(VLOOKUP($A2835,'Concrete Beam Schedule'!$A$2:$Q$2902,T$2,0)&lt;&gt;D2835,"Beam Revised","")</f>
        <v>#N/A</v>
      </c>
      <c r="U2835" s="7" t="e">
        <f>IF(VLOOKUP($A2835,'Concrete Beam Schedule'!$A$2:$Q$2902,U$2,0)&lt;&gt;E2835,"Beam Revised","")</f>
        <v>#N/A</v>
      </c>
      <c r="V2835" s="7" t="e">
        <f>IF(VLOOKUP($A2835,'Concrete Beam Schedule'!$A$2:$Q$2902,V$2,0)&lt;&gt;F2835,"Beam Revised","")</f>
        <v>#N/A</v>
      </c>
      <c r="W2835" s="7" t="e">
        <f>IF(VLOOKUP($A2835,'Concrete Beam Schedule'!$A$2:$Q$2902,W$2,0)&lt;&gt;G2835,"Beam Revised","")</f>
        <v>#N/A</v>
      </c>
      <c r="X2835" s="7" t="e">
        <f>IF(VLOOKUP($A2835,'Concrete Beam Schedule'!$A$2:$Q$2902,X$2,0)&lt;&gt;H2835,"Beam Revised","")</f>
        <v>#N/A</v>
      </c>
      <c r="Y2835" s="7" t="e">
        <f>IF(VLOOKUP($A2835,'Concrete Beam Schedule'!$A$2:$Q$2902,Y$2,0)&lt;&gt;I2835,"Beam Revised","")</f>
        <v>#N/A</v>
      </c>
      <c r="Z2835" s="7" t="e">
        <f>IF(VLOOKUP($A2835,'Concrete Beam Schedule'!$A$2:$Q$2902,Z$2,0)&lt;&gt;J2835,"Beam Revised","")</f>
        <v>#N/A</v>
      </c>
      <c r="AA2835" s="7" t="e">
        <f>IF(VLOOKUP($A2835,'Concrete Beam Schedule'!$A$2:$Q$2902,AA$2,0)&lt;&gt;K2835,"Beam Revised","")</f>
        <v>#N/A</v>
      </c>
      <c r="AB2835" s="7" t="e">
        <f>IF(VLOOKUP($A2835,'Concrete Beam Schedule'!$A$2:$Q$2902,AB$2,0)&lt;&gt;L2835,"Beam Revised","")</f>
        <v>#N/A</v>
      </c>
      <c r="AC2835" s="7" t="e">
        <f>IF(VLOOKUP($A2835,'Concrete Beam Schedule'!$A$2:$Q$2902,AC$2,0)&lt;&gt;M2835,"Beam Revised","")</f>
        <v>#N/A</v>
      </c>
      <c r="AD2835" s="7" t="e">
        <f>IF(VLOOKUP($A2835,'Concrete Beam Schedule'!$A$2:$Q$2902,AD$2,0)&lt;&gt;N2835,"Beam Revised","")</f>
        <v>#N/A</v>
      </c>
      <c r="AE2835" s="7" t="e">
        <f>IF(VLOOKUP($A2835,'Concrete Beam Schedule'!$A$2:$Q$2902,AE$2,0)&lt;&gt;O2835,"Beam Revised","")</f>
        <v>#N/A</v>
      </c>
    </row>
    <row r="2836" spans="17:31" ht="20.100000000000001" customHeight="1" x14ac:dyDescent="0.25">
      <c r="Q2836" s="7">
        <f t="shared" si="44"/>
        <v>0</v>
      </c>
      <c r="R2836" s="7" t="e">
        <f>IF(VLOOKUP($A2836,'Concrete Beam Schedule'!$A$2:$Q$2902,R$2,0)&lt;&gt;B2836,VLOOKUP($A2836,'Concrete Beam Schedule'!$A$2:$Q$2902,R$2,0),"")</f>
        <v>#N/A</v>
      </c>
      <c r="S2836" s="7" t="e">
        <f>IF(VLOOKUP($A2836,'Concrete Beam Schedule'!$A$2:$Q$2902,S$2,0)&lt;&gt;C2836,VLOOKUP($A2836,'Concrete Beam Schedule'!$A$2:$Q$2902,S$2,0),"")</f>
        <v>#N/A</v>
      </c>
      <c r="T2836" s="7" t="e">
        <f>IF(VLOOKUP($A2836,'Concrete Beam Schedule'!$A$2:$Q$2902,T$2,0)&lt;&gt;D2836,"Beam Revised","")</f>
        <v>#N/A</v>
      </c>
      <c r="U2836" s="7" t="e">
        <f>IF(VLOOKUP($A2836,'Concrete Beam Schedule'!$A$2:$Q$2902,U$2,0)&lt;&gt;E2836,"Beam Revised","")</f>
        <v>#N/A</v>
      </c>
      <c r="V2836" s="7" t="e">
        <f>IF(VLOOKUP($A2836,'Concrete Beam Schedule'!$A$2:$Q$2902,V$2,0)&lt;&gt;F2836,"Beam Revised","")</f>
        <v>#N/A</v>
      </c>
      <c r="W2836" s="7" t="e">
        <f>IF(VLOOKUP($A2836,'Concrete Beam Schedule'!$A$2:$Q$2902,W$2,0)&lt;&gt;G2836,"Beam Revised","")</f>
        <v>#N/A</v>
      </c>
      <c r="X2836" s="7" t="e">
        <f>IF(VLOOKUP($A2836,'Concrete Beam Schedule'!$A$2:$Q$2902,X$2,0)&lt;&gt;H2836,"Beam Revised","")</f>
        <v>#N/A</v>
      </c>
      <c r="Y2836" s="7" t="e">
        <f>IF(VLOOKUP($A2836,'Concrete Beam Schedule'!$A$2:$Q$2902,Y$2,0)&lt;&gt;I2836,"Beam Revised","")</f>
        <v>#N/A</v>
      </c>
      <c r="Z2836" s="7" t="e">
        <f>IF(VLOOKUP($A2836,'Concrete Beam Schedule'!$A$2:$Q$2902,Z$2,0)&lt;&gt;J2836,"Beam Revised","")</f>
        <v>#N/A</v>
      </c>
      <c r="AA2836" s="7" t="e">
        <f>IF(VLOOKUP($A2836,'Concrete Beam Schedule'!$A$2:$Q$2902,AA$2,0)&lt;&gt;K2836,"Beam Revised","")</f>
        <v>#N/A</v>
      </c>
      <c r="AB2836" s="7" t="e">
        <f>IF(VLOOKUP($A2836,'Concrete Beam Schedule'!$A$2:$Q$2902,AB$2,0)&lt;&gt;L2836,"Beam Revised","")</f>
        <v>#N/A</v>
      </c>
      <c r="AC2836" s="7" t="e">
        <f>IF(VLOOKUP($A2836,'Concrete Beam Schedule'!$A$2:$Q$2902,AC$2,0)&lt;&gt;M2836,"Beam Revised","")</f>
        <v>#N/A</v>
      </c>
      <c r="AD2836" s="7" t="e">
        <f>IF(VLOOKUP($A2836,'Concrete Beam Schedule'!$A$2:$Q$2902,AD$2,0)&lt;&gt;N2836,"Beam Revised","")</f>
        <v>#N/A</v>
      </c>
      <c r="AE2836" s="7" t="e">
        <f>IF(VLOOKUP($A2836,'Concrete Beam Schedule'!$A$2:$Q$2902,AE$2,0)&lt;&gt;O2836,"Beam Revised","")</f>
        <v>#N/A</v>
      </c>
    </row>
    <row r="2837" spans="17:31" ht="20.100000000000001" customHeight="1" x14ac:dyDescent="0.25">
      <c r="Q2837" s="7">
        <f t="shared" si="44"/>
        <v>0</v>
      </c>
      <c r="R2837" s="7" t="e">
        <f>IF(VLOOKUP($A2837,'Concrete Beam Schedule'!$A$2:$Q$2902,R$2,0)&lt;&gt;B2837,VLOOKUP($A2837,'Concrete Beam Schedule'!$A$2:$Q$2902,R$2,0),"")</f>
        <v>#N/A</v>
      </c>
      <c r="S2837" s="7" t="e">
        <f>IF(VLOOKUP($A2837,'Concrete Beam Schedule'!$A$2:$Q$2902,S$2,0)&lt;&gt;C2837,VLOOKUP($A2837,'Concrete Beam Schedule'!$A$2:$Q$2902,S$2,0),"")</f>
        <v>#N/A</v>
      </c>
      <c r="T2837" s="7" t="e">
        <f>IF(VLOOKUP($A2837,'Concrete Beam Schedule'!$A$2:$Q$2902,T$2,0)&lt;&gt;D2837,"Beam Revised","")</f>
        <v>#N/A</v>
      </c>
      <c r="U2837" s="7" t="e">
        <f>IF(VLOOKUP($A2837,'Concrete Beam Schedule'!$A$2:$Q$2902,U$2,0)&lt;&gt;E2837,"Beam Revised","")</f>
        <v>#N/A</v>
      </c>
      <c r="V2837" s="7" t="e">
        <f>IF(VLOOKUP($A2837,'Concrete Beam Schedule'!$A$2:$Q$2902,V$2,0)&lt;&gt;F2837,"Beam Revised","")</f>
        <v>#N/A</v>
      </c>
      <c r="W2837" s="7" t="e">
        <f>IF(VLOOKUP($A2837,'Concrete Beam Schedule'!$A$2:$Q$2902,W$2,0)&lt;&gt;G2837,"Beam Revised","")</f>
        <v>#N/A</v>
      </c>
      <c r="X2837" s="7" t="e">
        <f>IF(VLOOKUP($A2837,'Concrete Beam Schedule'!$A$2:$Q$2902,X$2,0)&lt;&gt;H2837,"Beam Revised","")</f>
        <v>#N/A</v>
      </c>
      <c r="Y2837" s="7" t="e">
        <f>IF(VLOOKUP($A2837,'Concrete Beam Schedule'!$A$2:$Q$2902,Y$2,0)&lt;&gt;I2837,"Beam Revised","")</f>
        <v>#N/A</v>
      </c>
      <c r="Z2837" s="7" t="e">
        <f>IF(VLOOKUP($A2837,'Concrete Beam Schedule'!$A$2:$Q$2902,Z$2,0)&lt;&gt;J2837,"Beam Revised","")</f>
        <v>#N/A</v>
      </c>
      <c r="AA2837" s="7" t="e">
        <f>IF(VLOOKUP($A2837,'Concrete Beam Schedule'!$A$2:$Q$2902,AA$2,0)&lt;&gt;K2837,"Beam Revised","")</f>
        <v>#N/A</v>
      </c>
      <c r="AB2837" s="7" t="e">
        <f>IF(VLOOKUP($A2837,'Concrete Beam Schedule'!$A$2:$Q$2902,AB$2,0)&lt;&gt;L2837,"Beam Revised","")</f>
        <v>#N/A</v>
      </c>
      <c r="AC2837" s="7" t="e">
        <f>IF(VLOOKUP($A2837,'Concrete Beam Schedule'!$A$2:$Q$2902,AC$2,0)&lt;&gt;M2837,"Beam Revised","")</f>
        <v>#N/A</v>
      </c>
      <c r="AD2837" s="7" t="e">
        <f>IF(VLOOKUP($A2837,'Concrete Beam Schedule'!$A$2:$Q$2902,AD$2,0)&lt;&gt;N2837,"Beam Revised","")</f>
        <v>#N/A</v>
      </c>
      <c r="AE2837" s="7" t="e">
        <f>IF(VLOOKUP($A2837,'Concrete Beam Schedule'!$A$2:$Q$2902,AE$2,0)&lt;&gt;O2837,"Beam Revised","")</f>
        <v>#N/A</v>
      </c>
    </row>
    <row r="2838" spans="17:31" ht="20.100000000000001" customHeight="1" x14ac:dyDescent="0.25">
      <c r="Q2838" s="7">
        <f t="shared" si="44"/>
        <v>0</v>
      </c>
      <c r="R2838" s="7" t="e">
        <f>IF(VLOOKUP($A2838,'Concrete Beam Schedule'!$A$2:$Q$2902,R$2,0)&lt;&gt;B2838,VLOOKUP($A2838,'Concrete Beam Schedule'!$A$2:$Q$2902,R$2,0),"")</f>
        <v>#N/A</v>
      </c>
      <c r="S2838" s="7" t="e">
        <f>IF(VLOOKUP($A2838,'Concrete Beam Schedule'!$A$2:$Q$2902,S$2,0)&lt;&gt;C2838,VLOOKUP($A2838,'Concrete Beam Schedule'!$A$2:$Q$2902,S$2,0),"")</f>
        <v>#N/A</v>
      </c>
      <c r="T2838" s="7" t="e">
        <f>IF(VLOOKUP($A2838,'Concrete Beam Schedule'!$A$2:$Q$2902,T$2,0)&lt;&gt;D2838,"Beam Revised","")</f>
        <v>#N/A</v>
      </c>
      <c r="U2838" s="7" t="e">
        <f>IF(VLOOKUP($A2838,'Concrete Beam Schedule'!$A$2:$Q$2902,U$2,0)&lt;&gt;E2838,"Beam Revised","")</f>
        <v>#N/A</v>
      </c>
      <c r="V2838" s="7" t="e">
        <f>IF(VLOOKUP($A2838,'Concrete Beam Schedule'!$A$2:$Q$2902,V$2,0)&lt;&gt;F2838,"Beam Revised","")</f>
        <v>#N/A</v>
      </c>
      <c r="W2838" s="7" t="e">
        <f>IF(VLOOKUP($A2838,'Concrete Beam Schedule'!$A$2:$Q$2902,W$2,0)&lt;&gt;G2838,"Beam Revised","")</f>
        <v>#N/A</v>
      </c>
      <c r="X2838" s="7" t="e">
        <f>IF(VLOOKUP($A2838,'Concrete Beam Schedule'!$A$2:$Q$2902,X$2,0)&lt;&gt;H2838,"Beam Revised","")</f>
        <v>#N/A</v>
      </c>
      <c r="Y2838" s="7" t="e">
        <f>IF(VLOOKUP($A2838,'Concrete Beam Schedule'!$A$2:$Q$2902,Y$2,0)&lt;&gt;I2838,"Beam Revised","")</f>
        <v>#N/A</v>
      </c>
      <c r="Z2838" s="7" t="e">
        <f>IF(VLOOKUP($A2838,'Concrete Beam Schedule'!$A$2:$Q$2902,Z$2,0)&lt;&gt;J2838,"Beam Revised","")</f>
        <v>#N/A</v>
      </c>
      <c r="AA2838" s="7" t="e">
        <f>IF(VLOOKUP($A2838,'Concrete Beam Schedule'!$A$2:$Q$2902,AA$2,0)&lt;&gt;K2838,"Beam Revised","")</f>
        <v>#N/A</v>
      </c>
      <c r="AB2838" s="7" t="e">
        <f>IF(VLOOKUP($A2838,'Concrete Beam Schedule'!$A$2:$Q$2902,AB$2,0)&lt;&gt;L2838,"Beam Revised","")</f>
        <v>#N/A</v>
      </c>
      <c r="AC2838" s="7" t="e">
        <f>IF(VLOOKUP($A2838,'Concrete Beam Schedule'!$A$2:$Q$2902,AC$2,0)&lt;&gt;M2838,"Beam Revised","")</f>
        <v>#N/A</v>
      </c>
      <c r="AD2838" s="7" t="e">
        <f>IF(VLOOKUP($A2838,'Concrete Beam Schedule'!$A$2:$Q$2902,AD$2,0)&lt;&gt;N2838,"Beam Revised","")</f>
        <v>#N/A</v>
      </c>
      <c r="AE2838" s="7" t="e">
        <f>IF(VLOOKUP($A2838,'Concrete Beam Schedule'!$A$2:$Q$2902,AE$2,0)&lt;&gt;O2838,"Beam Revised","")</f>
        <v>#N/A</v>
      </c>
    </row>
    <row r="2839" spans="17:31" ht="20.100000000000001" customHeight="1" x14ac:dyDescent="0.25">
      <c r="Q2839" s="7">
        <f t="shared" si="44"/>
        <v>0</v>
      </c>
      <c r="R2839" s="7" t="e">
        <f>IF(VLOOKUP($A2839,'Concrete Beam Schedule'!$A$2:$Q$2902,R$2,0)&lt;&gt;B2839,VLOOKUP($A2839,'Concrete Beam Schedule'!$A$2:$Q$2902,R$2,0),"")</f>
        <v>#N/A</v>
      </c>
      <c r="S2839" s="7" t="e">
        <f>IF(VLOOKUP($A2839,'Concrete Beam Schedule'!$A$2:$Q$2902,S$2,0)&lt;&gt;C2839,VLOOKUP($A2839,'Concrete Beam Schedule'!$A$2:$Q$2902,S$2,0),"")</f>
        <v>#N/A</v>
      </c>
      <c r="T2839" s="7" t="e">
        <f>IF(VLOOKUP($A2839,'Concrete Beam Schedule'!$A$2:$Q$2902,T$2,0)&lt;&gt;D2839,"Beam Revised","")</f>
        <v>#N/A</v>
      </c>
      <c r="U2839" s="7" t="e">
        <f>IF(VLOOKUP($A2839,'Concrete Beam Schedule'!$A$2:$Q$2902,U$2,0)&lt;&gt;E2839,"Beam Revised","")</f>
        <v>#N/A</v>
      </c>
      <c r="V2839" s="7" t="e">
        <f>IF(VLOOKUP($A2839,'Concrete Beam Schedule'!$A$2:$Q$2902,V$2,0)&lt;&gt;F2839,"Beam Revised","")</f>
        <v>#N/A</v>
      </c>
      <c r="W2839" s="7" t="e">
        <f>IF(VLOOKUP($A2839,'Concrete Beam Schedule'!$A$2:$Q$2902,W$2,0)&lt;&gt;G2839,"Beam Revised","")</f>
        <v>#N/A</v>
      </c>
      <c r="X2839" s="7" t="e">
        <f>IF(VLOOKUP($A2839,'Concrete Beam Schedule'!$A$2:$Q$2902,X$2,0)&lt;&gt;H2839,"Beam Revised","")</f>
        <v>#N/A</v>
      </c>
      <c r="Y2839" s="7" t="e">
        <f>IF(VLOOKUP($A2839,'Concrete Beam Schedule'!$A$2:$Q$2902,Y$2,0)&lt;&gt;I2839,"Beam Revised","")</f>
        <v>#N/A</v>
      </c>
      <c r="Z2839" s="7" t="e">
        <f>IF(VLOOKUP($A2839,'Concrete Beam Schedule'!$A$2:$Q$2902,Z$2,0)&lt;&gt;J2839,"Beam Revised","")</f>
        <v>#N/A</v>
      </c>
      <c r="AA2839" s="7" t="e">
        <f>IF(VLOOKUP($A2839,'Concrete Beam Schedule'!$A$2:$Q$2902,AA$2,0)&lt;&gt;K2839,"Beam Revised","")</f>
        <v>#N/A</v>
      </c>
      <c r="AB2839" s="7" t="e">
        <f>IF(VLOOKUP($A2839,'Concrete Beam Schedule'!$A$2:$Q$2902,AB$2,0)&lt;&gt;L2839,"Beam Revised","")</f>
        <v>#N/A</v>
      </c>
      <c r="AC2839" s="7" t="e">
        <f>IF(VLOOKUP($A2839,'Concrete Beam Schedule'!$A$2:$Q$2902,AC$2,0)&lt;&gt;M2839,"Beam Revised","")</f>
        <v>#N/A</v>
      </c>
      <c r="AD2839" s="7" t="e">
        <f>IF(VLOOKUP($A2839,'Concrete Beam Schedule'!$A$2:$Q$2902,AD$2,0)&lt;&gt;N2839,"Beam Revised","")</f>
        <v>#N/A</v>
      </c>
      <c r="AE2839" s="7" t="e">
        <f>IF(VLOOKUP($A2839,'Concrete Beam Schedule'!$A$2:$Q$2902,AE$2,0)&lt;&gt;O2839,"Beam Revised","")</f>
        <v>#N/A</v>
      </c>
    </row>
    <row r="2840" spans="17:31" ht="20.100000000000001" customHeight="1" x14ac:dyDescent="0.25">
      <c r="Q2840" s="7">
        <f t="shared" si="44"/>
        <v>0</v>
      </c>
      <c r="R2840" s="7" t="e">
        <f>IF(VLOOKUP($A2840,'Concrete Beam Schedule'!$A$2:$Q$2902,R$2,0)&lt;&gt;B2840,VLOOKUP($A2840,'Concrete Beam Schedule'!$A$2:$Q$2902,R$2,0),"")</f>
        <v>#N/A</v>
      </c>
      <c r="S2840" s="7" t="e">
        <f>IF(VLOOKUP($A2840,'Concrete Beam Schedule'!$A$2:$Q$2902,S$2,0)&lt;&gt;C2840,VLOOKUP($A2840,'Concrete Beam Schedule'!$A$2:$Q$2902,S$2,0),"")</f>
        <v>#N/A</v>
      </c>
      <c r="T2840" s="7" t="e">
        <f>IF(VLOOKUP($A2840,'Concrete Beam Schedule'!$A$2:$Q$2902,T$2,0)&lt;&gt;D2840,"Beam Revised","")</f>
        <v>#N/A</v>
      </c>
      <c r="U2840" s="7" t="e">
        <f>IF(VLOOKUP($A2840,'Concrete Beam Schedule'!$A$2:$Q$2902,U$2,0)&lt;&gt;E2840,"Beam Revised","")</f>
        <v>#N/A</v>
      </c>
      <c r="V2840" s="7" t="e">
        <f>IF(VLOOKUP($A2840,'Concrete Beam Schedule'!$A$2:$Q$2902,V$2,0)&lt;&gt;F2840,"Beam Revised","")</f>
        <v>#N/A</v>
      </c>
      <c r="W2840" s="7" t="e">
        <f>IF(VLOOKUP($A2840,'Concrete Beam Schedule'!$A$2:$Q$2902,W$2,0)&lt;&gt;G2840,"Beam Revised","")</f>
        <v>#N/A</v>
      </c>
      <c r="X2840" s="7" t="e">
        <f>IF(VLOOKUP($A2840,'Concrete Beam Schedule'!$A$2:$Q$2902,X$2,0)&lt;&gt;H2840,"Beam Revised","")</f>
        <v>#N/A</v>
      </c>
      <c r="Y2840" s="7" t="e">
        <f>IF(VLOOKUP($A2840,'Concrete Beam Schedule'!$A$2:$Q$2902,Y$2,0)&lt;&gt;I2840,"Beam Revised","")</f>
        <v>#N/A</v>
      </c>
      <c r="Z2840" s="7" t="e">
        <f>IF(VLOOKUP($A2840,'Concrete Beam Schedule'!$A$2:$Q$2902,Z$2,0)&lt;&gt;J2840,"Beam Revised","")</f>
        <v>#N/A</v>
      </c>
      <c r="AA2840" s="7" t="e">
        <f>IF(VLOOKUP($A2840,'Concrete Beam Schedule'!$A$2:$Q$2902,AA$2,0)&lt;&gt;K2840,"Beam Revised","")</f>
        <v>#N/A</v>
      </c>
      <c r="AB2840" s="7" t="e">
        <f>IF(VLOOKUP($A2840,'Concrete Beam Schedule'!$A$2:$Q$2902,AB$2,0)&lt;&gt;L2840,"Beam Revised","")</f>
        <v>#N/A</v>
      </c>
      <c r="AC2840" s="7" t="e">
        <f>IF(VLOOKUP($A2840,'Concrete Beam Schedule'!$A$2:$Q$2902,AC$2,0)&lt;&gt;M2840,"Beam Revised","")</f>
        <v>#N/A</v>
      </c>
      <c r="AD2840" s="7" t="e">
        <f>IF(VLOOKUP($A2840,'Concrete Beam Schedule'!$A$2:$Q$2902,AD$2,0)&lt;&gt;N2840,"Beam Revised","")</f>
        <v>#N/A</v>
      </c>
      <c r="AE2840" s="7" t="e">
        <f>IF(VLOOKUP($A2840,'Concrete Beam Schedule'!$A$2:$Q$2902,AE$2,0)&lt;&gt;O2840,"Beam Revised","")</f>
        <v>#N/A</v>
      </c>
    </row>
    <row r="2841" spans="17:31" ht="20.100000000000001" customHeight="1" x14ac:dyDescent="0.25">
      <c r="Q2841" s="7">
        <f t="shared" si="44"/>
        <v>0</v>
      </c>
      <c r="R2841" s="7" t="e">
        <f>IF(VLOOKUP($A2841,'Concrete Beam Schedule'!$A$2:$Q$2902,R$2,0)&lt;&gt;B2841,VLOOKUP($A2841,'Concrete Beam Schedule'!$A$2:$Q$2902,R$2,0),"")</f>
        <v>#N/A</v>
      </c>
      <c r="S2841" s="7" t="e">
        <f>IF(VLOOKUP($A2841,'Concrete Beam Schedule'!$A$2:$Q$2902,S$2,0)&lt;&gt;C2841,VLOOKUP($A2841,'Concrete Beam Schedule'!$A$2:$Q$2902,S$2,0),"")</f>
        <v>#N/A</v>
      </c>
      <c r="T2841" s="7" t="e">
        <f>IF(VLOOKUP($A2841,'Concrete Beam Schedule'!$A$2:$Q$2902,T$2,0)&lt;&gt;D2841,"Beam Revised","")</f>
        <v>#N/A</v>
      </c>
      <c r="U2841" s="7" t="e">
        <f>IF(VLOOKUP($A2841,'Concrete Beam Schedule'!$A$2:$Q$2902,U$2,0)&lt;&gt;E2841,"Beam Revised","")</f>
        <v>#N/A</v>
      </c>
      <c r="V2841" s="7" t="e">
        <f>IF(VLOOKUP($A2841,'Concrete Beam Schedule'!$A$2:$Q$2902,V$2,0)&lt;&gt;F2841,"Beam Revised","")</f>
        <v>#N/A</v>
      </c>
      <c r="W2841" s="7" t="e">
        <f>IF(VLOOKUP($A2841,'Concrete Beam Schedule'!$A$2:$Q$2902,W$2,0)&lt;&gt;G2841,"Beam Revised","")</f>
        <v>#N/A</v>
      </c>
      <c r="X2841" s="7" t="e">
        <f>IF(VLOOKUP($A2841,'Concrete Beam Schedule'!$A$2:$Q$2902,X$2,0)&lt;&gt;H2841,"Beam Revised","")</f>
        <v>#N/A</v>
      </c>
      <c r="Y2841" s="7" t="e">
        <f>IF(VLOOKUP($A2841,'Concrete Beam Schedule'!$A$2:$Q$2902,Y$2,0)&lt;&gt;I2841,"Beam Revised","")</f>
        <v>#N/A</v>
      </c>
      <c r="Z2841" s="7" t="e">
        <f>IF(VLOOKUP($A2841,'Concrete Beam Schedule'!$A$2:$Q$2902,Z$2,0)&lt;&gt;J2841,"Beam Revised","")</f>
        <v>#N/A</v>
      </c>
      <c r="AA2841" s="7" t="e">
        <f>IF(VLOOKUP($A2841,'Concrete Beam Schedule'!$A$2:$Q$2902,AA$2,0)&lt;&gt;K2841,"Beam Revised","")</f>
        <v>#N/A</v>
      </c>
      <c r="AB2841" s="7" t="e">
        <f>IF(VLOOKUP($A2841,'Concrete Beam Schedule'!$A$2:$Q$2902,AB$2,0)&lt;&gt;L2841,"Beam Revised","")</f>
        <v>#N/A</v>
      </c>
      <c r="AC2841" s="7" t="e">
        <f>IF(VLOOKUP($A2841,'Concrete Beam Schedule'!$A$2:$Q$2902,AC$2,0)&lt;&gt;M2841,"Beam Revised","")</f>
        <v>#N/A</v>
      </c>
      <c r="AD2841" s="7" t="e">
        <f>IF(VLOOKUP($A2841,'Concrete Beam Schedule'!$A$2:$Q$2902,AD$2,0)&lt;&gt;N2841,"Beam Revised","")</f>
        <v>#N/A</v>
      </c>
      <c r="AE2841" s="7" t="e">
        <f>IF(VLOOKUP($A2841,'Concrete Beam Schedule'!$A$2:$Q$2902,AE$2,0)&lt;&gt;O2841,"Beam Revised","")</f>
        <v>#N/A</v>
      </c>
    </row>
    <row r="2842" spans="17:31" ht="20.100000000000001" customHeight="1" x14ac:dyDescent="0.25">
      <c r="Q2842" s="7">
        <f t="shared" si="44"/>
        <v>0</v>
      </c>
      <c r="R2842" s="7" t="e">
        <f>IF(VLOOKUP($A2842,'Concrete Beam Schedule'!$A$2:$Q$2902,R$2,0)&lt;&gt;B2842,VLOOKUP($A2842,'Concrete Beam Schedule'!$A$2:$Q$2902,R$2,0),"")</f>
        <v>#N/A</v>
      </c>
      <c r="S2842" s="7" t="e">
        <f>IF(VLOOKUP($A2842,'Concrete Beam Schedule'!$A$2:$Q$2902,S$2,0)&lt;&gt;C2842,VLOOKUP($A2842,'Concrete Beam Schedule'!$A$2:$Q$2902,S$2,0),"")</f>
        <v>#N/A</v>
      </c>
      <c r="T2842" s="7" t="e">
        <f>IF(VLOOKUP($A2842,'Concrete Beam Schedule'!$A$2:$Q$2902,T$2,0)&lt;&gt;D2842,"Beam Revised","")</f>
        <v>#N/A</v>
      </c>
      <c r="U2842" s="7" t="e">
        <f>IF(VLOOKUP($A2842,'Concrete Beam Schedule'!$A$2:$Q$2902,U$2,0)&lt;&gt;E2842,"Beam Revised","")</f>
        <v>#N/A</v>
      </c>
      <c r="V2842" s="7" t="e">
        <f>IF(VLOOKUP($A2842,'Concrete Beam Schedule'!$A$2:$Q$2902,V$2,0)&lt;&gt;F2842,"Beam Revised","")</f>
        <v>#N/A</v>
      </c>
      <c r="W2842" s="7" t="e">
        <f>IF(VLOOKUP($A2842,'Concrete Beam Schedule'!$A$2:$Q$2902,W$2,0)&lt;&gt;G2842,"Beam Revised","")</f>
        <v>#N/A</v>
      </c>
      <c r="X2842" s="7" t="e">
        <f>IF(VLOOKUP($A2842,'Concrete Beam Schedule'!$A$2:$Q$2902,X$2,0)&lt;&gt;H2842,"Beam Revised","")</f>
        <v>#N/A</v>
      </c>
      <c r="Y2842" s="7" t="e">
        <f>IF(VLOOKUP($A2842,'Concrete Beam Schedule'!$A$2:$Q$2902,Y$2,0)&lt;&gt;I2842,"Beam Revised","")</f>
        <v>#N/A</v>
      </c>
      <c r="Z2842" s="7" t="e">
        <f>IF(VLOOKUP($A2842,'Concrete Beam Schedule'!$A$2:$Q$2902,Z$2,0)&lt;&gt;J2842,"Beam Revised","")</f>
        <v>#N/A</v>
      </c>
      <c r="AA2842" s="7" t="e">
        <f>IF(VLOOKUP($A2842,'Concrete Beam Schedule'!$A$2:$Q$2902,AA$2,0)&lt;&gt;K2842,"Beam Revised","")</f>
        <v>#N/A</v>
      </c>
      <c r="AB2842" s="7" t="e">
        <f>IF(VLOOKUP($A2842,'Concrete Beam Schedule'!$A$2:$Q$2902,AB$2,0)&lt;&gt;L2842,"Beam Revised","")</f>
        <v>#N/A</v>
      </c>
      <c r="AC2842" s="7" t="e">
        <f>IF(VLOOKUP($A2842,'Concrete Beam Schedule'!$A$2:$Q$2902,AC$2,0)&lt;&gt;M2842,"Beam Revised","")</f>
        <v>#N/A</v>
      </c>
      <c r="AD2842" s="7" t="e">
        <f>IF(VLOOKUP($A2842,'Concrete Beam Schedule'!$A$2:$Q$2902,AD$2,0)&lt;&gt;N2842,"Beam Revised","")</f>
        <v>#N/A</v>
      </c>
      <c r="AE2842" s="7" t="e">
        <f>IF(VLOOKUP($A2842,'Concrete Beam Schedule'!$A$2:$Q$2902,AE$2,0)&lt;&gt;O2842,"Beam Revised","")</f>
        <v>#N/A</v>
      </c>
    </row>
    <row r="2843" spans="17:31" ht="20.100000000000001" customHeight="1" x14ac:dyDescent="0.25">
      <c r="Q2843" s="7">
        <f t="shared" si="44"/>
        <v>0</v>
      </c>
      <c r="R2843" s="7" t="e">
        <f>IF(VLOOKUP($A2843,'Concrete Beam Schedule'!$A$2:$Q$2902,R$2,0)&lt;&gt;B2843,VLOOKUP($A2843,'Concrete Beam Schedule'!$A$2:$Q$2902,R$2,0),"")</f>
        <v>#N/A</v>
      </c>
      <c r="S2843" s="7" t="e">
        <f>IF(VLOOKUP($A2843,'Concrete Beam Schedule'!$A$2:$Q$2902,S$2,0)&lt;&gt;C2843,VLOOKUP($A2843,'Concrete Beam Schedule'!$A$2:$Q$2902,S$2,0),"")</f>
        <v>#N/A</v>
      </c>
      <c r="T2843" s="7" t="e">
        <f>IF(VLOOKUP($A2843,'Concrete Beam Schedule'!$A$2:$Q$2902,T$2,0)&lt;&gt;D2843,"Beam Revised","")</f>
        <v>#N/A</v>
      </c>
      <c r="U2843" s="7" t="e">
        <f>IF(VLOOKUP($A2843,'Concrete Beam Schedule'!$A$2:$Q$2902,U$2,0)&lt;&gt;E2843,"Beam Revised","")</f>
        <v>#N/A</v>
      </c>
      <c r="V2843" s="7" t="e">
        <f>IF(VLOOKUP($A2843,'Concrete Beam Schedule'!$A$2:$Q$2902,V$2,0)&lt;&gt;F2843,"Beam Revised","")</f>
        <v>#N/A</v>
      </c>
      <c r="W2843" s="7" t="e">
        <f>IF(VLOOKUP($A2843,'Concrete Beam Schedule'!$A$2:$Q$2902,W$2,0)&lt;&gt;G2843,"Beam Revised","")</f>
        <v>#N/A</v>
      </c>
      <c r="X2843" s="7" t="e">
        <f>IF(VLOOKUP($A2843,'Concrete Beam Schedule'!$A$2:$Q$2902,X$2,0)&lt;&gt;H2843,"Beam Revised","")</f>
        <v>#N/A</v>
      </c>
      <c r="Y2843" s="7" t="e">
        <f>IF(VLOOKUP($A2843,'Concrete Beam Schedule'!$A$2:$Q$2902,Y$2,0)&lt;&gt;I2843,"Beam Revised","")</f>
        <v>#N/A</v>
      </c>
      <c r="Z2843" s="7" t="e">
        <f>IF(VLOOKUP($A2843,'Concrete Beam Schedule'!$A$2:$Q$2902,Z$2,0)&lt;&gt;J2843,"Beam Revised","")</f>
        <v>#N/A</v>
      </c>
      <c r="AA2843" s="7" t="e">
        <f>IF(VLOOKUP($A2843,'Concrete Beam Schedule'!$A$2:$Q$2902,AA$2,0)&lt;&gt;K2843,"Beam Revised","")</f>
        <v>#N/A</v>
      </c>
      <c r="AB2843" s="7" t="e">
        <f>IF(VLOOKUP($A2843,'Concrete Beam Schedule'!$A$2:$Q$2902,AB$2,0)&lt;&gt;L2843,"Beam Revised","")</f>
        <v>#N/A</v>
      </c>
      <c r="AC2843" s="7" t="e">
        <f>IF(VLOOKUP($A2843,'Concrete Beam Schedule'!$A$2:$Q$2902,AC$2,0)&lt;&gt;M2843,"Beam Revised","")</f>
        <v>#N/A</v>
      </c>
      <c r="AD2843" s="7" t="e">
        <f>IF(VLOOKUP($A2843,'Concrete Beam Schedule'!$A$2:$Q$2902,AD$2,0)&lt;&gt;N2843,"Beam Revised","")</f>
        <v>#N/A</v>
      </c>
      <c r="AE2843" s="7" t="e">
        <f>IF(VLOOKUP($A2843,'Concrete Beam Schedule'!$A$2:$Q$2902,AE$2,0)&lt;&gt;O2843,"Beam Revised","")</f>
        <v>#N/A</v>
      </c>
    </row>
    <row r="2844" spans="17:31" ht="20.100000000000001" customHeight="1" x14ac:dyDescent="0.25">
      <c r="Q2844" s="7">
        <f t="shared" si="44"/>
        <v>0</v>
      </c>
      <c r="R2844" s="7" t="e">
        <f>IF(VLOOKUP($A2844,'Concrete Beam Schedule'!$A$2:$Q$2902,R$2,0)&lt;&gt;B2844,VLOOKUP($A2844,'Concrete Beam Schedule'!$A$2:$Q$2902,R$2,0),"")</f>
        <v>#N/A</v>
      </c>
      <c r="S2844" s="7" t="e">
        <f>IF(VLOOKUP($A2844,'Concrete Beam Schedule'!$A$2:$Q$2902,S$2,0)&lt;&gt;C2844,VLOOKUP($A2844,'Concrete Beam Schedule'!$A$2:$Q$2902,S$2,0),"")</f>
        <v>#N/A</v>
      </c>
      <c r="T2844" s="7" t="e">
        <f>IF(VLOOKUP($A2844,'Concrete Beam Schedule'!$A$2:$Q$2902,T$2,0)&lt;&gt;D2844,"Beam Revised","")</f>
        <v>#N/A</v>
      </c>
      <c r="U2844" s="7" t="e">
        <f>IF(VLOOKUP($A2844,'Concrete Beam Schedule'!$A$2:$Q$2902,U$2,0)&lt;&gt;E2844,"Beam Revised","")</f>
        <v>#N/A</v>
      </c>
      <c r="V2844" s="7" t="e">
        <f>IF(VLOOKUP($A2844,'Concrete Beam Schedule'!$A$2:$Q$2902,V$2,0)&lt;&gt;F2844,"Beam Revised","")</f>
        <v>#N/A</v>
      </c>
      <c r="W2844" s="7" t="e">
        <f>IF(VLOOKUP($A2844,'Concrete Beam Schedule'!$A$2:$Q$2902,W$2,0)&lt;&gt;G2844,"Beam Revised","")</f>
        <v>#N/A</v>
      </c>
      <c r="X2844" s="7" t="e">
        <f>IF(VLOOKUP($A2844,'Concrete Beam Schedule'!$A$2:$Q$2902,X$2,0)&lt;&gt;H2844,"Beam Revised","")</f>
        <v>#N/A</v>
      </c>
      <c r="Y2844" s="7" t="e">
        <f>IF(VLOOKUP($A2844,'Concrete Beam Schedule'!$A$2:$Q$2902,Y$2,0)&lt;&gt;I2844,"Beam Revised","")</f>
        <v>#N/A</v>
      </c>
      <c r="Z2844" s="7" t="e">
        <f>IF(VLOOKUP($A2844,'Concrete Beam Schedule'!$A$2:$Q$2902,Z$2,0)&lt;&gt;J2844,"Beam Revised","")</f>
        <v>#N/A</v>
      </c>
      <c r="AA2844" s="7" t="e">
        <f>IF(VLOOKUP($A2844,'Concrete Beam Schedule'!$A$2:$Q$2902,AA$2,0)&lt;&gt;K2844,"Beam Revised","")</f>
        <v>#N/A</v>
      </c>
      <c r="AB2844" s="7" t="e">
        <f>IF(VLOOKUP($A2844,'Concrete Beam Schedule'!$A$2:$Q$2902,AB$2,0)&lt;&gt;L2844,"Beam Revised","")</f>
        <v>#N/A</v>
      </c>
      <c r="AC2844" s="7" t="e">
        <f>IF(VLOOKUP($A2844,'Concrete Beam Schedule'!$A$2:$Q$2902,AC$2,0)&lt;&gt;M2844,"Beam Revised","")</f>
        <v>#N/A</v>
      </c>
      <c r="AD2844" s="7" t="e">
        <f>IF(VLOOKUP($A2844,'Concrete Beam Schedule'!$A$2:$Q$2902,AD$2,0)&lt;&gt;N2844,"Beam Revised","")</f>
        <v>#N/A</v>
      </c>
      <c r="AE2844" s="7" t="e">
        <f>IF(VLOOKUP($A2844,'Concrete Beam Schedule'!$A$2:$Q$2902,AE$2,0)&lt;&gt;O2844,"Beam Revised","")</f>
        <v>#N/A</v>
      </c>
    </row>
    <row r="2845" spans="17:31" ht="20.100000000000001" customHeight="1" x14ac:dyDescent="0.25">
      <c r="Q2845" s="7">
        <f t="shared" si="44"/>
        <v>0</v>
      </c>
      <c r="R2845" s="7" t="e">
        <f>IF(VLOOKUP($A2845,'Concrete Beam Schedule'!$A$2:$Q$2902,R$2,0)&lt;&gt;B2845,VLOOKUP($A2845,'Concrete Beam Schedule'!$A$2:$Q$2902,R$2,0),"")</f>
        <v>#N/A</v>
      </c>
      <c r="S2845" s="7" t="e">
        <f>IF(VLOOKUP($A2845,'Concrete Beam Schedule'!$A$2:$Q$2902,S$2,0)&lt;&gt;C2845,VLOOKUP($A2845,'Concrete Beam Schedule'!$A$2:$Q$2902,S$2,0),"")</f>
        <v>#N/A</v>
      </c>
      <c r="T2845" s="7" t="e">
        <f>IF(VLOOKUP($A2845,'Concrete Beam Schedule'!$A$2:$Q$2902,T$2,0)&lt;&gt;D2845,"Beam Revised","")</f>
        <v>#N/A</v>
      </c>
      <c r="U2845" s="7" t="e">
        <f>IF(VLOOKUP($A2845,'Concrete Beam Schedule'!$A$2:$Q$2902,U$2,0)&lt;&gt;E2845,"Beam Revised","")</f>
        <v>#N/A</v>
      </c>
      <c r="V2845" s="7" t="e">
        <f>IF(VLOOKUP($A2845,'Concrete Beam Schedule'!$A$2:$Q$2902,V$2,0)&lt;&gt;F2845,"Beam Revised","")</f>
        <v>#N/A</v>
      </c>
      <c r="W2845" s="7" t="e">
        <f>IF(VLOOKUP($A2845,'Concrete Beam Schedule'!$A$2:$Q$2902,W$2,0)&lt;&gt;G2845,"Beam Revised","")</f>
        <v>#N/A</v>
      </c>
      <c r="X2845" s="7" t="e">
        <f>IF(VLOOKUP($A2845,'Concrete Beam Schedule'!$A$2:$Q$2902,X$2,0)&lt;&gt;H2845,"Beam Revised","")</f>
        <v>#N/A</v>
      </c>
      <c r="Y2845" s="7" t="e">
        <f>IF(VLOOKUP($A2845,'Concrete Beam Schedule'!$A$2:$Q$2902,Y$2,0)&lt;&gt;I2845,"Beam Revised","")</f>
        <v>#N/A</v>
      </c>
      <c r="Z2845" s="7" t="e">
        <f>IF(VLOOKUP($A2845,'Concrete Beam Schedule'!$A$2:$Q$2902,Z$2,0)&lt;&gt;J2845,"Beam Revised","")</f>
        <v>#N/A</v>
      </c>
      <c r="AA2845" s="7" t="e">
        <f>IF(VLOOKUP($A2845,'Concrete Beam Schedule'!$A$2:$Q$2902,AA$2,0)&lt;&gt;K2845,"Beam Revised","")</f>
        <v>#N/A</v>
      </c>
      <c r="AB2845" s="7" t="e">
        <f>IF(VLOOKUP($A2845,'Concrete Beam Schedule'!$A$2:$Q$2902,AB$2,0)&lt;&gt;L2845,"Beam Revised","")</f>
        <v>#N/A</v>
      </c>
      <c r="AC2845" s="7" t="e">
        <f>IF(VLOOKUP($A2845,'Concrete Beam Schedule'!$A$2:$Q$2902,AC$2,0)&lt;&gt;M2845,"Beam Revised","")</f>
        <v>#N/A</v>
      </c>
      <c r="AD2845" s="7" t="e">
        <f>IF(VLOOKUP($A2845,'Concrete Beam Schedule'!$A$2:$Q$2902,AD$2,0)&lt;&gt;N2845,"Beam Revised","")</f>
        <v>#N/A</v>
      </c>
      <c r="AE2845" s="7" t="e">
        <f>IF(VLOOKUP($A2845,'Concrete Beam Schedule'!$A$2:$Q$2902,AE$2,0)&lt;&gt;O2845,"Beam Revised","")</f>
        <v>#N/A</v>
      </c>
    </row>
    <row r="2846" spans="17:31" ht="20.100000000000001" customHeight="1" x14ac:dyDescent="0.25">
      <c r="Q2846" s="7">
        <f t="shared" si="44"/>
        <v>0</v>
      </c>
      <c r="R2846" s="7" t="e">
        <f>IF(VLOOKUP($A2846,'Concrete Beam Schedule'!$A$2:$Q$2902,R$2,0)&lt;&gt;B2846,VLOOKUP($A2846,'Concrete Beam Schedule'!$A$2:$Q$2902,R$2,0),"")</f>
        <v>#N/A</v>
      </c>
      <c r="S2846" s="7" t="e">
        <f>IF(VLOOKUP($A2846,'Concrete Beam Schedule'!$A$2:$Q$2902,S$2,0)&lt;&gt;C2846,VLOOKUP($A2846,'Concrete Beam Schedule'!$A$2:$Q$2902,S$2,0),"")</f>
        <v>#N/A</v>
      </c>
      <c r="T2846" s="7" t="e">
        <f>IF(VLOOKUP($A2846,'Concrete Beam Schedule'!$A$2:$Q$2902,T$2,0)&lt;&gt;D2846,"Beam Revised","")</f>
        <v>#N/A</v>
      </c>
      <c r="U2846" s="7" t="e">
        <f>IF(VLOOKUP($A2846,'Concrete Beam Schedule'!$A$2:$Q$2902,U$2,0)&lt;&gt;E2846,"Beam Revised","")</f>
        <v>#N/A</v>
      </c>
      <c r="V2846" s="7" t="e">
        <f>IF(VLOOKUP($A2846,'Concrete Beam Schedule'!$A$2:$Q$2902,V$2,0)&lt;&gt;F2846,"Beam Revised","")</f>
        <v>#N/A</v>
      </c>
      <c r="W2846" s="7" t="e">
        <f>IF(VLOOKUP($A2846,'Concrete Beam Schedule'!$A$2:$Q$2902,W$2,0)&lt;&gt;G2846,"Beam Revised","")</f>
        <v>#N/A</v>
      </c>
      <c r="X2846" s="7" t="e">
        <f>IF(VLOOKUP($A2846,'Concrete Beam Schedule'!$A$2:$Q$2902,X$2,0)&lt;&gt;H2846,"Beam Revised","")</f>
        <v>#N/A</v>
      </c>
      <c r="Y2846" s="7" t="e">
        <f>IF(VLOOKUP($A2846,'Concrete Beam Schedule'!$A$2:$Q$2902,Y$2,0)&lt;&gt;I2846,"Beam Revised","")</f>
        <v>#N/A</v>
      </c>
      <c r="Z2846" s="7" t="e">
        <f>IF(VLOOKUP($A2846,'Concrete Beam Schedule'!$A$2:$Q$2902,Z$2,0)&lt;&gt;J2846,"Beam Revised","")</f>
        <v>#N/A</v>
      </c>
      <c r="AA2846" s="7" t="e">
        <f>IF(VLOOKUP($A2846,'Concrete Beam Schedule'!$A$2:$Q$2902,AA$2,0)&lt;&gt;K2846,"Beam Revised","")</f>
        <v>#N/A</v>
      </c>
      <c r="AB2846" s="7" t="e">
        <f>IF(VLOOKUP($A2846,'Concrete Beam Schedule'!$A$2:$Q$2902,AB$2,0)&lt;&gt;L2846,"Beam Revised","")</f>
        <v>#N/A</v>
      </c>
      <c r="AC2846" s="7" t="e">
        <f>IF(VLOOKUP($A2846,'Concrete Beam Schedule'!$A$2:$Q$2902,AC$2,0)&lt;&gt;M2846,"Beam Revised","")</f>
        <v>#N/A</v>
      </c>
      <c r="AD2846" s="7" t="e">
        <f>IF(VLOOKUP($A2846,'Concrete Beam Schedule'!$A$2:$Q$2902,AD$2,0)&lt;&gt;N2846,"Beam Revised","")</f>
        <v>#N/A</v>
      </c>
      <c r="AE2846" s="7" t="e">
        <f>IF(VLOOKUP($A2846,'Concrete Beam Schedule'!$A$2:$Q$2902,AE$2,0)&lt;&gt;O2846,"Beam Revised","")</f>
        <v>#N/A</v>
      </c>
    </row>
    <row r="2847" spans="17:31" ht="20.100000000000001" customHeight="1" x14ac:dyDescent="0.25">
      <c r="Q2847" s="7">
        <f t="shared" si="44"/>
        <v>0</v>
      </c>
      <c r="R2847" s="7" t="e">
        <f>IF(VLOOKUP($A2847,'Concrete Beam Schedule'!$A$2:$Q$2902,R$2,0)&lt;&gt;B2847,VLOOKUP($A2847,'Concrete Beam Schedule'!$A$2:$Q$2902,R$2,0),"")</f>
        <v>#N/A</v>
      </c>
      <c r="S2847" s="7" t="e">
        <f>IF(VLOOKUP($A2847,'Concrete Beam Schedule'!$A$2:$Q$2902,S$2,0)&lt;&gt;C2847,VLOOKUP($A2847,'Concrete Beam Schedule'!$A$2:$Q$2902,S$2,0),"")</f>
        <v>#N/A</v>
      </c>
      <c r="T2847" s="7" t="e">
        <f>IF(VLOOKUP($A2847,'Concrete Beam Schedule'!$A$2:$Q$2902,T$2,0)&lt;&gt;D2847,"Beam Revised","")</f>
        <v>#N/A</v>
      </c>
      <c r="U2847" s="7" t="e">
        <f>IF(VLOOKUP($A2847,'Concrete Beam Schedule'!$A$2:$Q$2902,U$2,0)&lt;&gt;E2847,"Beam Revised","")</f>
        <v>#N/A</v>
      </c>
      <c r="V2847" s="7" t="e">
        <f>IF(VLOOKUP($A2847,'Concrete Beam Schedule'!$A$2:$Q$2902,V$2,0)&lt;&gt;F2847,"Beam Revised","")</f>
        <v>#N/A</v>
      </c>
      <c r="W2847" s="7" t="e">
        <f>IF(VLOOKUP($A2847,'Concrete Beam Schedule'!$A$2:$Q$2902,W$2,0)&lt;&gt;G2847,"Beam Revised","")</f>
        <v>#N/A</v>
      </c>
      <c r="X2847" s="7" t="e">
        <f>IF(VLOOKUP($A2847,'Concrete Beam Schedule'!$A$2:$Q$2902,X$2,0)&lt;&gt;H2847,"Beam Revised","")</f>
        <v>#N/A</v>
      </c>
      <c r="Y2847" s="7" t="e">
        <f>IF(VLOOKUP($A2847,'Concrete Beam Schedule'!$A$2:$Q$2902,Y$2,0)&lt;&gt;I2847,"Beam Revised","")</f>
        <v>#N/A</v>
      </c>
      <c r="Z2847" s="7" t="e">
        <f>IF(VLOOKUP($A2847,'Concrete Beam Schedule'!$A$2:$Q$2902,Z$2,0)&lt;&gt;J2847,"Beam Revised","")</f>
        <v>#N/A</v>
      </c>
      <c r="AA2847" s="7" t="e">
        <f>IF(VLOOKUP($A2847,'Concrete Beam Schedule'!$A$2:$Q$2902,AA$2,0)&lt;&gt;K2847,"Beam Revised","")</f>
        <v>#N/A</v>
      </c>
      <c r="AB2847" s="7" t="e">
        <f>IF(VLOOKUP($A2847,'Concrete Beam Schedule'!$A$2:$Q$2902,AB$2,0)&lt;&gt;L2847,"Beam Revised","")</f>
        <v>#N/A</v>
      </c>
      <c r="AC2847" s="7" t="e">
        <f>IF(VLOOKUP($A2847,'Concrete Beam Schedule'!$A$2:$Q$2902,AC$2,0)&lt;&gt;M2847,"Beam Revised","")</f>
        <v>#N/A</v>
      </c>
      <c r="AD2847" s="7" t="e">
        <f>IF(VLOOKUP($A2847,'Concrete Beam Schedule'!$A$2:$Q$2902,AD$2,0)&lt;&gt;N2847,"Beam Revised","")</f>
        <v>#N/A</v>
      </c>
      <c r="AE2847" s="7" t="e">
        <f>IF(VLOOKUP($A2847,'Concrete Beam Schedule'!$A$2:$Q$2902,AE$2,0)&lt;&gt;O2847,"Beam Revised","")</f>
        <v>#N/A</v>
      </c>
    </row>
    <row r="2848" spans="17:31" ht="20.100000000000001" customHeight="1" x14ac:dyDescent="0.25">
      <c r="Q2848" s="7">
        <f t="shared" si="44"/>
        <v>0</v>
      </c>
      <c r="R2848" s="7" t="e">
        <f>IF(VLOOKUP($A2848,'Concrete Beam Schedule'!$A$2:$Q$2902,R$2,0)&lt;&gt;B2848,VLOOKUP($A2848,'Concrete Beam Schedule'!$A$2:$Q$2902,R$2,0),"")</f>
        <v>#N/A</v>
      </c>
      <c r="S2848" s="7" t="e">
        <f>IF(VLOOKUP($A2848,'Concrete Beam Schedule'!$A$2:$Q$2902,S$2,0)&lt;&gt;C2848,VLOOKUP($A2848,'Concrete Beam Schedule'!$A$2:$Q$2902,S$2,0),"")</f>
        <v>#N/A</v>
      </c>
      <c r="T2848" s="7" t="e">
        <f>IF(VLOOKUP($A2848,'Concrete Beam Schedule'!$A$2:$Q$2902,T$2,0)&lt;&gt;D2848,"Beam Revised","")</f>
        <v>#N/A</v>
      </c>
      <c r="U2848" s="7" t="e">
        <f>IF(VLOOKUP($A2848,'Concrete Beam Schedule'!$A$2:$Q$2902,U$2,0)&lt;&gt;E2848,"Beam Revised","")</f>
        <v>#N/A</v>
      </c>
      <c r="V2848" s="7" t="e">
        <f>IF(VLOOKUP($A2848,'Concrete Beam Schedule'!$A$2:$Q$2902,V$2,0)&lt;&gt;F2848,"Beam Revised","")</f>
        <v>#N/A</v>
      </c>
      <c r="W2848" s="7" t="e">
        <f>IF(VLOOKUP($A2848,'Concrete Beam Schedule'!$A$2:$Q$2902,W$2,0)&lt;&gt;G2848,"Beam Revised","")</f>
        <v>#N/A</v>
      </c>
      <c r="X2848" s="7" t="e">
        <f>IF(VLOOKUP($A2848,'Concrete Beam Schedule'!$A$2:$Q$2902,X$2,0)&lt;&gt;H2848,"Beam Revised","")</f>
        <v>#N/A</v>
      </c>
      <c r="Y2848" s="7" t="e">
        <f>IF(VLOOKUP($A2848,'Concrete Beam Schedule'!$A$2:$Q$2902,Y$2,0)&lt;&gt;I2848,"Beam Revised","")</f>
        <v>#N/A</v>
      </c>
      <c r="Z2848" s="7" t="e">
        <f>IF(VLOOKUP($A2848,'Concrete Beam Schedule'!$A$2:$Q$2902,Z$2,0)&lt;&gt;J2848,"Beam Revised","")</f>
        <v>#N/A</v>
      </c>
      <c r="AA2848" s="7" t="e">
        <f>IF(VLOOKUP($A2848,'Concrete Beam Schedule'!$A$2:$Q$2902,AA$2,0)&lt;&gt;K2848,"Beam Revised","")</f>
        <v>#N/A</v>
      </c>
      <c r="AB2848" s="7" t="e">
        <f>IF(VLOOKUP($A2848,'Concrete Beam Schedule'!$A$2:$Q$2902,AB$2,0)&lt;&gt;L2848,"Beam Revised","")</f>
        <v>#N/A</v>
      </c>
      <c r="AC2848" s="7" t="e">
        <f>IF(VLOOKUP($A2848,'Concrete Beam Schedule'!$A$2:$Q$2902,AC$2,0)&lt;&gt;M2848,"Beam Revised","")</f>
        <v>#N/A</v>
      </c>
      <c r="AD2848" s="7" t="e">
        <f>IF(VLOOKUP($A2848,'Concrete Beam Schedule'!$A$2:$Q$2902,AD$2,0)&lt;&gt;N2848,"Beam Revised","")</f>
        <v>#N/A</v>
      </c>
      <c r="AE2848" s="7" t="e">
        <f>IF(VLOOKUP($A2848,'Concrete Beam Schedule'!$A$2:$Q$2902,AE$2,0)&lt;&gt;O2848,"Beam Revised","")</f>
        <v>#N/A</v>
      </c>
    </row>
    <row r="2849" spans="17:31" ht="20.100000000000001" customHeight="1" x14ac:dyDescent="0.25">
      <c r="Q2849" s="7">
        <f t="shared" si="44"/>
        <v>0</v>
      </c>
      <c r="R2849" s="7" t="e">
        <f>IF(VLOOKUP($A2849,'Concrete Beam Schedule'!$A$2:$Q$2902,R$2,0)&lt;&gt;B2849,VLOOKUP($A2849,'Concrete Beam Schedule'!$A$2:$Q$2902,R$2,0),"")</f>
        <v>#N/A</v>
      </c>
      <c r="S2849" s="7" t="e">
        <f>IF(VLOOKUP($A2849,'Concrete Beam Schedule'!$A$2:$Q$2902,S$2,0)&lt;&gt;C2849,VLOOKUP($A2849,'Concrete Beam Schedule'!$A$2:$Q$2902,S$2,0),"")</f>
        <v>#N/A</v>
      </c>
      <c r="T2849" s="7" t="e">
        <f>IF(VLOOKUP($A2849,'Concrete Beam Schedule'!$A$2:$Q$2902,T$2,0)&lt;&gt;D2849,"Beam Revised","")</f>
        <v>#N/A</v>
      </c>
      <c r="U2849" s="7" t="e">
        <f>IF(VLOOKUP($A2849,'Concrete Beam Schedule'!$A$2:$Q$2902,U$2,0)&lt;&gt;E2849,"Beam Revised","")</f>
        <v>#N/A</v>
      </c>
      <c r="V2849" s="7" t="e">
        <f>IF(VLOOKUP($A2849,'Concrete Beam Schedule'!$A$2:$Q$2902,V$2,0)&lt;&gt;F2849,"Beam Revised","")</f>
        <v>#N/A</v>
      </c>
      <c r="W2849" s="7" t="e">
        <f>IF(VLOOKUP($A2849,'Concrete Beam Schedule'!$A$2:$Q$2902,W$2,0)&lt;&gt;G2849,"Beam Revised","")</f>
        <v>#N/A</v>
      </c>
      <c r="X2849" s="7" t="e">
        <f>IF(VLOOKUP($A2849,'Concrete Beam Schedule'!$A$2:$Q$2902,X$2,0)&lt;&gt;H2849,"Beam Revised","")</f>
        <v>#N/A</v>
      </c>
      <c r="Y2849" s="7" t="e">
        <f>IF(VLOOKUP($A2849,'Concrete Beam Schedule'!$A$2:$Q$2902,Y$2,0)&lt;&gt;I2849,"Beam Revised","")</f>
        <v>#N/A</v>
      </c>
      <c r="Z2849" s="7" t="e">
        <f>IF(VLOOKUP($A2849,'Concrete Beam Schedule'!$A$2:$Q$2902,Z$2,0)&lt;&gt;J2849,"Beam Revised","")</f>
        <v>#N/A</v>
      </c>
      <c r="AA2849" s="7" t="e">
        <f>IF(VLOOKUP($A2849,'Concrete Beam Schedule'!$A$2:$Q$2902,AA$2,0)&lt;&gt;K2849,"Beam Revised","")</f>
        <v>#N/A</v>
      </c>
      <c r="AB2849" s="7" t="e">
        <f>IF(VLOOKUP($A2849,'Concrete Beam Schedule'!$A$2:$Q$2902,AB$2,0)&lt;&gt;L2849,"Beam Revised","")</f>
        <v>#N/A</v>
      </c>
      <c r="AC2849" s="7" t="e">
        <f>IF(VLOOKUP($A2849,'Concrete Beam Schedule'!$A$2:$Q$2902,AC$2,0)&lt;&gt;M2849,"Beam Revised","")</f>
        <v>#N/A</v>
      </c>
      <c r="AD2849" s="7" t="e">
        <f>IF(VLOOKUP($A2849,'Concrete Beam Schedule'!$A$2:$Q$2902,AD$2,0)&lt;&gt;N2849,"Beam Revised","")</f>
        <v>#N/A</v>
      </c>
      <c r="AE2849" s="7" t="e">
        <f>IF(VLOOKUP($A2849,'Concrete Beam Schedule'!$A$2:$Q$2902,AE$2,0)&lt;&gt;O2849,"Beam Revised","")</f>
        <v>#N/A</v>
      </c>
    </row>
    <row r="2850" spans="17:31" ht="20.100000000000001" customHeight="1" x14ac:dyDescent="0.25">
      <c r="Q2850" s="7">
        <f t="shared" si="44"/>
        <v>0</v>
      </c>
      <c r="R2850" s="7" t="e">
        <f>IF(VLOOKUP($A2850,'Concrete Beam Schedule'!$A$2:$Q$2902,R$2,0)&lt;&gt;B2850,VLOOKUP($A2850,'Concrete Beam Schedule'!$A$2:$Q$2902,R$2,0),"")</f>
        <v>#N/A</v>
      </c>
      <c r="S2850" s="7" t="e">
        <f>IF(VLOOKUP($A2850,'Concrete Beam Schedule'!$A$2:$Q$2902,S$2,0)&lt;&gt;C2850,VLOOKUP($A2850,'Concrete Beam Schedule'!$A$2:$Q$2902,S$2,0),"")</f>
        <v>#N/A</v>
      </c>
      <c r="T2850" s="7" t="e">
        <f>IF(VLOOKUP($A2850,'Concrete Beam Schedule'!$A$2:$Q$2902,T$2,0)&lt;&gt;D2850,"Beam Revised","")</f>
        <v>#N/A</v>
      </c>
      <c r="U2850" s="7" t="e">
        <f>IF(VLOOKUP($A2850,'Concrete Beam Schedule'!$A$2:$Q$2902,U$2,0)&lt;&gt;E2850,"Beam Revised","")</f>
        <v>#N/A</v>
      </c>
      <c r="V2850" s="7" t="e">
        <f>IF(VLOOKUP($A2850,'Concrete Beam Schedule'!$A$2:$Q$2902,V$2,0)&lt;&gt;F2850,"Beam Revised","")</f>
        <v>#N/A</v>
      </c>
      <c r="W2850" s="7" t="e">
        <f>IF(VLOOKUP($A2850,'Concrete Beam Schedule'!$A$2:$Q$2902,W$2,0)&lt;&gt;G2850,"Beam Revised","")</f>
        <v>#N/A</v>
      </c>
      <c r="X2850" s="7" t="e">
        <f>IF(VLOOKUP($A2850,'Concrete Beam Schedule'!$A$2:$Q$2902,X$2,0)&lt;&gt;H2850,"Beam Revised","")</f>
        <v>#N/A</v>
      </c>
      <c r="Y2850" s="7" t="e">
        <f>IF(VLOOKUP($A2850,'Concrete Beam Schedule'!$A$2:$Q$2902,Y$2,0)&lt;&gt;I2850,"Beam Revised","")</f>
        <v>#N/A</v>
      </c>
      <c r="Z2850" s="7" t="e">
        <f>IF(VLOOKUP($A2850,'Concrete Beam Schedule'!$A$2:$Q$2902,Z$2,0)&lt;&gt;J2850,"Beam Revised","")</f>
        <v>#N/A</v>
      </c>
      <c r="AA2850" s="7" t="e">
        <f>IF(VLOOKUP($A2850,'Concrete Beam Schedule'!$A$2:$Q$2902,AA$2,0)&lt;&gt;K2850,"Beam Revised","")</f>
        <v>#N/A</v>
      </c>
      <c r="AB2850" s="7" t="e">
        <f>IF(VLOOKUP($A2850,'Concrete Beam Schedule'!$A$2:$Q$2902,AB$2,0)&lt;&gt;L2850,"Beam Revised","")</f>
        <v>#N/A</v>
      </c>
      <c r="AC2850" s="7" t="e">
        <f>IF(VLOOKUP($A2850,'Concrete Beam Schedule'!$A$2:$Q$2902,AC$2,0)&lt;&gt;M2850,"Beam Revised","")</f>
        <v>#N/A</v>
      </c>
      <c r="AD2850" s="7" t="e">
        <f>IF(VLOOKUP($A2850,'Concrete Beam Schedule'!$A$2:$Q$2902,AD$2,0)&lt;&gt;N2850,"Beam Revised","")</f>
        <v>#N/A</v>
      </c>
      <c r="AE2850" s="7" t="e">
        <f>IF(VLOOKUP($A2850,'Concrete Beam Schedule'!$A$2:$Q$2902,AE$2,0)&lt;&gt;O2850,"Beam Revised","")</f>
        <v>#N/A</v>
      </c>
    </row>
    <row r="2851" spans="17:31" ht="20.100000000000001" customHeight="1" x14ac:dyDescent="0.25">
      <c r="Q2851" s="7">
        <f t="shared" si="44"/>
        <v>0</v>
      </c>
      <c r="R2851" s="7" t="e">
        <f>IF(VLOOKUP($A2851,'Concrete Beam Schedule'!$A$2:$Q$2902,R$2,0)&lt;&gt;B2851,VLOOKUP($A2851,'Concrete Beam Schedule'!$A$2:$Q$2902,R$2,0),"")</f>
        <v>#N/A</v>
      </c>
      <c r="S2851" s="7" t="e">
        <f>IF(VLOOKUP($A2851,'Concrete Beam Schedule'!$A$2:$Q$2902,S$2,0)&lt;&gt;C2851,VLOOKUP($A2851,'Concrete Beam Schedule'!$A$2:$Q$2902,S$2,0),"")</f>
        <v>#N/A</v>
      </c>
      <c r="T2851" s="7" t="e">
        <f>IF(VLOOKUP($A2851,'Concrete Beam Schedule'!$A$2:$Q$2902,T$2,0)&lt;&gt;D2851,"Beam Revised","")</f>
        <v>#N/A</v>
      </c>
      <c r="U2851" s="7" t="e">
        <f>IF(VLOOKUP($A2851,'Concrete Beam Schedule'!$A$2:$Q$2902,U$2,0)&lt;&gt;E2851,"Beam Revised","")</f>
        <v>#N/A</v>
      </c>
      <c r="V2851" s="7" t="e">
        <f>IF(VLOOKUP($A2851,'Concrete Beam Schedule'!$A$2:$Q$2902,V$2,0)&lt;&gt;F2851,"Beam Revised","")</f>
        <v>#N/A</v>
      </c>
      <c r="W2851" s="7" t="e">
        <f>IF(VLOOKUP($A2851,'Concrete Beam Schedule'!$A$2:$Q$2902,W$2,0)&lt;&gt;G2851,"Beam Revised","")</f>
        <v>#N/A</v>
      </c>
      <c r="X2851" s="7" t="e">
        <f>IF(VLOOKUP($A2851,'Concrete Beam Schedule'!$A$2:$Q$2902,X$2,0)&lt;&gt;H2851,"Beam Revised","")</f>
        <v>#N/A</v>
      </c>
      <c r="Y2851" s="7" t="e">
        <f>IF(VLOOKUP($A2851,'Concrete Beam Schedule'!$A$2:$Q$2902,Y$2,0)&lt;&gt;I2851,"Beam Revised","")</f>
        <v>#N/A</v>
      </c>
      <c r="Z2851" s="7" t="e">
        <f>IF(VLOOKUP($A2851,'Concrete Beam Schedule'!$A$2:$Q$2902,Z$2,0)&lt;&gt;J2851,"Beam Revised","")</f>
        <v>#N/A</v>
      </c>
      <c r="AA2851" s="7" t="e">
        <f>IF(VLOOKUP($A2851,'Concrete Beam Schedule'!$A$2:$Q$2902,AA$2,0)&lt;&gt;K2851,"Beam Revised","")</f>
        <v>#N/A</v>
      </c>
      <c r="AB2851" s="7" t="e">
        <f>IF(VLOOKUP($A2851,'Concrete Beam Schedule'!$A$2:$Q$2902,AB$2,0)&lt;&gt;L2851,"Beam Revised","")</f>
        <v>#N/A</v>
      </c>
      <c r="AC2851" s="7" t="e">
        <f>IF(VLOOKUP($A2851,'Concrete Beam Schedule'!$A$2:$Q$2902,AC$2,0)&lt;&gt;M2851,"Beam Revised","")</f>
        <v>#N/A</v>
      </c>
      <c r="AD2851" s="7" t="e">
        <f>IF(VLOOKUP($A2851,'Concrete Beam Schedule'!$A$2:$Q$2902,AD$2,0)&lt;&gt;N2851,"Beam Revised","")</f>
        <v>#N/A</v>
      </c>
      <c r="AE2851" s="7" t="e">
        <f>IF(VLOOKUP($A2851,'Concrete Beam Schedule'!$A$2:$Q$2902,AE$2,0)&lt;&gt;O2851,"Beam Revised","")</f>
        <v>#N/A</v>
      </c>
    </row>
    <row r="2852" spans="17:31" ht="20.100000000000001" customHeight="1" x14ac:dyDescent="0.25">
      <c r="Q2852" s="7">
        <f t="shared" si="44"/>
        <v>0</v>
      </c>
      <c r="R2852" s="7" t="e">
        <f>IF(VLOOKUP($A2852,'Concrete Beam Schedule'!$A$2:$Q$2902,R$2,0)&lt;&gt;B2852,VLOOKUP($A2852,'Concrete Beam Schedule'!$A$2:$Q$2902,R$2,0),"")</f>
        <v>#N/A</v>
      </c>
      <c r="S2852" s="7" t="e">
        <f>IF(VLOOKUP($A2852,'Concrete Beam Schedule'!$A$2:$Q$2902,S$2,0)&lt;&gt;C2852,VLOOKUP($A2852,'Concrete Beam Schedule'!$A$2:$Q$2902,S$2,0),"")</f>
        <v>#N/A</v>
      </c>
      <c r="T2852" s="7" t="e">
        <f>IF(VLOOKUP($A2852,'Concrete Beam Schedule'!$A$2:$Q$2902,T$2,0)&lt;&gt;D2852,"Beam Revised","")</f>
        <v>#N/A</v>
      </c>
      <c r="U2852" s="7" t="e">
        <f>IF(VLOOKUP($A2852,'Concrete Beam Schedule'!$A$2:$Q$2902,U$2,0)&lt;&gt;E2852,"Beam Revised","")</f>
        <v>#N/A</v>
      </c>
      <c r="V2852" s="7" t="e">
        <f>IF(VLOOKUP($A2852,'Concrete Beam Schedule'!$A$2:$Q$2902,V$2,0)&lt;&gt;F2852,"Beam Revised","")</f>
        <v>#N/A</v>
      </c>
      <c r="W2852" s="7" t="e">
        <f>IF(VLOOKUP($A2852,'Concrete Beam Schedule'!$A$2:$Q$2902,W$2,0)&lt;&gt;G2852,"Beam Revised","")</f>
        <v>#N/A</v>
      </c>
      <c r="X2852" s="7" t="e">
        <f>IF(VLOOKUP($A2852,'Concrete Beam Schedule'!$A$2:$Q$2902,X$2,0)&lt;&gt;H2852,"Beam Revised","")</f>
        <v>#N/A</v>
      </c>
      <c r="Y2852" s="7" t="e">
        <f>IF(VLOOKUP($A2852,'Concrete Beam Schedule'!$A$2:$Q$2902,Y$2,0)&lt;&gt;I2852,"Beam Revised","")</f>
        <v>#N/A</v>
      </c>
      <c r="Z2852" s="7" t="e">
        <f>IF(VLOOKUP($A2852,'Concrete Beam Schedule'!$A$2:$Q$2902,Z$2,0)&lt;&gt;J2852,"Beam Revised","")</f>
        <v>#N/A</v>
      </c>
      <c r="AA2852" s="7" t="e">
        <f>IF(VLOOKUP($A2852,'Concrete Beam Schedule'!$A$2:$Q$2902,AA$2,0)&lt;&gt;K2852,"Beam Revised","")</f>
        <v>#N/A</v>
      </c>
      <c r="AB2852" s="7" t="e">
        <f>IF(VLOOKUP($A2852,'Concrete Beam Schedule'!$A$2:$Q$2902,AB$2,0)&lt;&gt;L2852,"Beam Revised","")</f>
        <v>#N/A</v>
      </c>
      <c r="AC2852" s="7" t="e">
        <f>IF(VLOOKUP($A2852,'Concrete Beam Schedule'!$A$2:$Q$2902,AC$2,0)&lt;&gt;M2852,"Beam Revised","")</f>
        <v>#N/A</v>
      </c>
      <c r="AD2852" s="7" t="e">
        <f>IF(VLOOKUP($A2852,'Concrete Beam Schedule'!$A$2:$Q$2902,AD$2,0)&lt;&gt;N2852,"Beam Revised","")</f>
        <v>#N/A</v>
      </c>
      <c r="AE2852" s="7" t="e">
        <f>IF(VLOOKUP($A2852,'Concrete Beam Schedule'!$A$2:$Q$2902,AE$2,0)&lt;&gt;O2852,"Beam Revised","")</f>
        <v>#N/A</v>
      </c>
    </row>
    <row r="2853" spans="17:31" ht="20.100000000000001" customHeight="1" x14ac:dyDescent="0.25">
      <c r="Q2853" s="7">
        <f t="shared" si="44"/>
        <v>0</v>
      </c>
      <c r="R2853" s="7" t="e">
        <f>IF(VLOOKUP($A2853,'Concrete Beam Schedule'!$A$2:$Q$2902,R$2,0)&lt;&gt;B2853,VLOOKUP($A2853,'Concrete Beam Schedule'!$A$2:$Q$2902,R$2,0),"")</f>
        <v>#N/A</v>
      </c>
      <c r="S2853" s="7" t="e">
        <f>IF(VLOOKUP($A2853,'Concrete Beam Schedule'!$A$2:$Q$2902,S$2,0)&lt;&gt;C2853,VLOOKUP($A2853,'Concrete Beam Schedule'!$A$2:$Q$2902,S$2,0),"")</f>
        <v>#N/A</v>
      </c>
      <c r="T2853" s="7" t="e">
        <f>IF(VLOOKUP($A2853,'Concrete Beam Schedule'!$A$2:$Q$2902,T$2,0)&lt;&gt;D2853,"Beam Revised","")</f>
        <v>#N/A</v>
      </c>
      <c r="U2853" s="7" t="e">
        <f>IF(VLOOKUP($A2853,'Concrete Beam Schedule'!$A$2:$Q$2902,U$2,0)&lt;&gt;E2853,"Beam Revised","")</f>
        <v>#N/A</v>
      </c>
      <c r="V2853" s="7" t="e">
        <f>IF(VLOOKUP($A2853,'Concrete Beam Schedule'!$A$2:$Q$2902,V$2,0)&lt;&gt;F2853,"Beam Revised","")</f>
        <v>#N/A</v>
      </c>
      <c r="W2853" s="7" t="e">
        <f>IF(VLOOKUP($A2853,'Concrete Beam Schedule'!$A$2:$Q$2902,W$2,0)&lt;&gt;G2853,"Beam Revised","")</f>
        <v>#N/A</v>
      </c>
      <c r="X2853" s="7" t="e">
        <f>IF(VLOOKUP($A2853,'Concrete Beam Schedule'!$A$2:$Q$2902,X$2,0)&lt;&gt;H2853,"Beam Revised","")</f>
        <v>#N/A</v>
      </c>
      <c r="Y2853" s="7" t="e">
        <f>IF(VLOOKUP($A2853,'Concrete Beam Schedule'!$A$2:$Q$2902,Y$2,0)&lt;&gt;I2853,"Beam Revised","")</f>
        <v>#N/A</v>
      </c>
      <c r="Z2853" s="7" t="e">
        <f>IF(VLOOKUP($A2853,'Concrete Beam Schedule'!$A$2:$Q$2902,Z$2,0)&lt;&gt;J2853,"Beam Revised","")</f>
        <v>#N/A</v>
      </c>
      <c r="AA2853" s="7" t="e">
        <f>IF(VLOOKUP($A2853,'Concrete Beam Schedule'!$A$2:$Q$2902,AA$2,0)&lt;&gt;K2853,"Beam Revised","")</f>
        <v>#N/A</v>
      </c>
      <c r="AB2853" s="7" t="e">
        <f>IF(VLOOKUP($A2853,'Concrete Beam Schedule'!$A$2:$Q$2902,AB$2,0)&lt;&gt;L2853,"Beam Revised","")</f>
        <v>#N/A</v>
      </c>
      <c r="AC2853" s="7" t="e">
        <f>IF(VLOOKUP($A2853,'Concrete Beam Schedule'!$A$2:$Q$2902,AC$2,0)&lt;&gt;M2853,"Beam Revised","")</f>
        <v>#N/A</v>
      </c>
      <c r="AD2853" s="7" t="e">
        <f>IF(VLOOKUP($A2853,'Concrete Beam Schedule'!$A$2:$Q$2902,AD$2,0)&lt;&gt;N2853,"Beam Revised","")</f>
        <v>#N/A</v>
      </c>
      <c r="AE2853" s="7" t="e">
        <f>IF(VLOOKUP($A2853,'Concrete Beam Schedule'!$A$2:$Q$2902,AE$2,0)&lt;&gt;O2853,"Beam Revised","")</f>
        <v>#N/A</v>
      </c>
    </row>
    <row r="2854" spans="17:31" ht="20.100000000000001" customHeight="1" x14ac:dyDescent="0.25">
      <c r="Q2854" s="7">
        <f t="shared" si="44"/>
        <v>0</v>
      </c>
      <c r="R2854" s="7" t="e">
        <f>IF(VLOOKUP($A2854,'Concrete Beam Schedule'!$A$2:$Q$2902,R$2,0)&lt;&gt;B2854,VLOOKUP($A2854,'Concrete Beam Schedule'!$A$2:$Q$2902,R$2,0),"")</f>
        <v>#N/A</v>
      </c>
      <c r="S2854" s="7" t="e">
        <f>IF(VLOOKUP($A2854,'Concrete Beam Schedule'!$A$2:$Q$2902,S$2,0)&lt;&gt;C2854,VLOOKUP($A2854,'Concrete Beam Schedule'!$A$2:$Q$2902,S$2,0),"")</f>
        <v>#N/A</v>
      </c>
      <c r="T2854" s="7" t="e">
        <f>IF(VLOOKUP($A2854,'Concrete Beam Schedule'!$A$2:$Q$2902,T$2,0)&lt;&gt;D2854,"Beam Revised","")</f>
        <v>#N/A</v>
      </c>
      <c r="U2854" s="7" t="e">
        <f>IF(VLOOKUP($A2854,'Concrete Beam Schedule'!$A$2:$Q$2902,U$2,0)&lt;&gt;E2854,"Beam Revised","")</f>
        <v>#N/A</v>
      </c>
      <c r="V2854" s="7" t="e">
        <f>IF(VLOOKUP($A2854,'Concrete Beam Schedule'!$A$2:$Q$2902,V$2,0)&lt;&gt;F2854,"Beam Revised","")</f>
        <v>#N/A</v>
      </c>
      <c r="W2854" s="7" t="e">
        <f>IF(VLOOKUP($A2854,'Concrete Beam Schedule'!$A$2:$Q$2902,W$2,0)&lt;&gt;G2854,"Beam Revised","")</f>
        <v>#N/A</v>
      </c>
      <c r="X2854" s="7" t="e">
        <f>IF(VLOOKUP($A2854,'Concrete Beam Schedule'!$A$2:$Q$2902,X$2,0)&lt;&gt;H2854,"Beam Revised","")</f>
        <v>#N/A</v>
      </c>
      <c r="Y2854" s="7" t="e">
        <f>IF(VLOOKUP($A2854,'Concrete Beam Schedule'!$A$2:$Q$2902,Y$2,0)&lt;&gt;I2854,"Beam Revised","")</f>
        <v>#N/A</v>
      </c>
      <c r="Z2854" s="7" t="e">
        <f>IF(VLOOKUP($A2854,'Concrete Beam Schedule'!$A$2:$Q$2902,Z$2,0)&lt;&gt;J2854,"Beam Revised","")</f>
        <v>#N/A</v>
      </c>
      <c r="AA2854" s="7" t="e">
        <f>IF(VLOOKUP($A2854,'Concrete Beam Schedule'!$A$2:$Q$2902,AA$2,0)&lt;&gt;K2854,"Beam Revised","")</f>
        <v>#N/A</v>
      </c>
      <c r="AB2854" s="7" t="e">
        <f>IF(VLOOKUP($A2854,'Concrete Beam Schedule'!$A$2:$Q$2902,AB$2,0)&lt;&gt;L2854,"Beam Revised","")</f>
        <v>#N/A</v>
      </c>
      <c r="AC2854" s="7" t="e">
        <f>IF(VLOOKUP($A2854,'Concrete Beam Schedule'!$A$2:$Q$2902,AC$2,0)&lt;&gt;M2854,"Beam Revised","")</f>
        <v>#N/A</v>
      </c>
      <c r="AD2854" s="7" t="e">
        <f>IF(VLOOKUP($A2854,'Concrete Beam Schedule'!$A$2:$Q$2902,AD$2,0)&lt;&gt;N2854,"Beam Revised","")</f>
        <v>#N/A</v>
      </c>
      <c r="AE2854" s="7" t="e">
        <f>IF(VLOOKUP($A2854,'Concrete Beam Schedule'!$A$2:$Q$2902,AE$2,0)&lt;&gt;O2854,"Beam Revised","")</f>
        <v>#N/A</v>
      </c>
    </row>
    <row r="2855" spans="17:31" ht="20.100000000000001" customHeight="1" x14ac:dyDescent="0.25">
      <c r="Q2855" s="7">
        <f t="shared" si="44"/>
        <v>0</v>
      </c>
      <c r="R2855" s="7" t="e">
        <f>IF(VLOOKUP($A2855,'Concrete Beam Schedule'!$A$2:$Q$2902,R$2,0)&lt;&gt;B2855,VLOOKUP($A2855,'Concrete Beam Schedule'!$A$2:$Q$2902,R$2,0),"")</f>
        <v>#N/A</v>
      </c>
      <c r="S2855" s="7" t="e">
        <f>IF(VLOOKUP($A2855,'Concrete Beam Schedule'!$A$2:$Q$2902,S$2,0)&lt;&gt;C2855,VLOOKUP($A2855,'Concrete Beam Schedule'!$A$2:$Q$2902,S$2,0),"")</f>
        <v>#N/A</v>
      </c>
      <c r="T2855" s="7" t="e">
        <f>IF(VLOOKUP($A2855,'Concrete Beam Schedule'!$A$2:$Q$2902,T$2,0)&lt;&gt;D2855,"Beam Revised","")</f>
        <v>#N/A</v>
      </c>
      <c r="U2855" s="7" t="e">
        <f>IF(VLOOKUP($A2855,'Concrete Beam Schedule'!$A$2:$Q$2902,U$2,0)&lt;&gt;E2855,"Beam Revised","")</f>
        <v>#N/A</v>
      </c>
      <c r="V2855" s="7" t="e">
        <f>IF(VLOOKUP($A2855,'Concrete Beam Schedule'!$A$2:$Q$2902,V$2,0)&lt;&gt;F2855,"Beam Revised","")</f>
        <v>#N/A</v>
      </c>
      <c r="W2855" s="7" t="e">
        <f>IF(VLOOKUP($A2855,'Concrete Beam Schedule'!$A$2:$Q$2902,W$2,0)&lt;&gt;G2855,"Beam Revised","")</f>
        <v>#N/A</v>
      </c>
      <c r="X2855" s="7" t="e">
        <f>IF(VLOOKUP($A2855,'Concrete Beam Schedule'!$A$2:$Q$2902,X$2,0)&lt;&gt;H2855,"Beam Revised","")</f>
        <v>#N/A</v>
      </c>
      <c r="Y2855" s="7" t="e">
        <f>IF(VLOOKUP($A2855,'Concrete Beam Schedule'!$A$2:$Q$2902,Y$2,0)&lt;&gt;I2855,"Beam Revised","")</f>
        <v>#N/A</v>
      </c>
      <c r="Z2855" s="7" t="e">
        <f>IF(VLOOKUP($A2855,'Concrete Beam Schedule'!$A$2:$Q$2902,Z$2,0)&lt;&gt;J2855,"Beam Revised","")</f>
        <v>#N/A</v>
      </c>
      <c r="AA2855" s="7" t="e">
        <f>IF(VLOOKUP($A2855,'Concrete Beam Schedule'!$A$2:$Q$2902,AA$2,0)&lt;&gt;K2855,"Beam Revised","")</f>
        <v>#N/A</v>
      </c>
      <c r="AB2855" s="7" t="e">
        <f>IF(VLOOKUP($A2855,'Concrete Beam Schedule'!$A$2:$Q$2902,AB$2,0)&lt;&gt;L2855,"Beam Revised","")</f>
        <v>#N/A</v>
      </c>
      <c r="AC2855" s="7" t="e">
        <f>IF(VLOOKUP($A2855,'Concrete Beam Schedule'!$A$2:$Q$2902,AC$2,0)&lt;&gt;M2855,"Beam Revised","")</f>
        <v>#N/A</v>
      </c>
      <c r="AD2855" s="7" t="e">
        <f>IF(VLOOKUP($A2855,'Concrete Beam Schedule'!$A$2:$Q$2902,AD$2,0)&lt;&gt;N2855,"Beam Revised","")</f>
        <v>#N/A</v>
      </c>
      <c r="AE2855" s="7" t="e">
        <f>IF(VLOOKUP($A2855,'Concrete Beam Schedule'!$A$2:$Q$2902,AE$2,0)&lt;&gt;O2855,"Beam Revised","")</f>
        <v>#N/A</v>
      </c>
    </row>
    <row r="2856" spans="17:31" ht="20.100000000000001" customHeight="1" x14ac:dyDescent="0.25">
      <c r="Q2856" s="7">
        <f t="shared" si="44"/>
        <v>0</v>
      </c>
      <c r="R2856" s="7" t="e">
        <f>IF(VLOOKUP($A2856,'Concrete Beam Schedule'!$A$2:$Q$2902,R$2,0)&lt;&gt;B2856,VLOOKUP($A2856,'Concrete Beam Schedule'!$A$2:$Q$2902,R$2,0),"")</f>
        <v>#N/A</v>
      </c>
      <c r="S2856" s="7" t="e">
        <f>IF(VLOOKUP($A2856,'Concrete Beam Schedule'!$A$2:$Q$2902,S$2,0)&lt;&gt;C2856,VLOOKUP($A2856,'Concrete Beam Schedule'!$A$2:$Q$2902,S$2,0),"")</f>
        <v>#N/A</v>
      </c>
      <c r="T2856" s="7" t="e">
        <f>IF(VLOOKUP($A2856,'Concrete Beam Schedule'!$A$2:$Q$2902,T$2,0)&lt;&gt;D2856,"Beam Revised","")</f>
        <v>#N/A</v>
      </c>
      <c r="U2856" s="7" t="e">
        <f>IF(VLOOKUP($A2856,'Concrete Beam Schedule'!$A$2:$Q$2902,U$2,0)&lt;&gt;E2856,"Beam Revised","")</f>
        <v>#N/A</v>
      </c>
      <c r="V2856" s="7" t="e">
        <f>IF(VLOOKUP($A2856,'Concrete Beam Schedule'!$A$2:$Q$2902,V$2,0)&lt;&gt;F2856,"Beam Revised","")</f>
        <v>#N/A</v>
      </c>
      <c r="W2856" s="7" t="e">
        <f>IF(VLOOKUP($A2856,'Concrete Beam Schedule'!$A$2:$Q$2902,W$2,0)&lt;&gt;G2856,"Beam Revised","")</f>
        <v>#N/A</v>
      </c>
      <c r="X2856" s="7" t="e">
        <f>IF(VLOOKUP($A2856,'Concrete Beam Schedule'!$A$2:$Q$2902,X$2,0)&lt;&gt;H2856,"Beam Revised","")</f>
        <v>#N/A</v>
      </c>
      <c r="Y2856" s="7" t="e">
        <f>IF(VLOOKUP($A2856,'Concrete Beam Schedule'!$A$2:$Q$2902,Y$2,0)&lt;&gt;I2856,"Beam Revised","")</f>
        <v>#N/A</v>
      </c>
      <c r="Z2856" s="7" t="e">
        <f>IF(VLOOKUP($A2856,'Concrete Beam Schedule'!$A$2:$Q$2902,Z$2,0)&lt;&gt;J2856,"Beam Revised","")</f>
        <v>#N/A</v>
      </c>
      <c r="AA2856" s="7" t="e">
        <f>IF(VLOOKUP($A2856,'Concrete Beam Schedule'!$A$2:$Q$2902,AA$2,0)&lt;&gt;K2856,"Beam Revised","")</f>
        <v>#N/A</v>
      </c>
      <c r="AB2856" s="7" t="e">
        <f>IF(VLOOKUP($A2856,'Concrete Beam Schedule'!$A$2:$Q$2902,AB$2,0)&lt;&gt;L2856,"Beam Revised","")</f>
        <v>#N/A</v>
      </c>
      <c r="AC2856" s="7" t="e">
        <f>IF(VLOOKUP($A2856,'Concrete Beam Schedule'!$A$2:$Q$2902,AC$2,0)&lt;&gt;M2856,"Beam Revised","")</f>
        <v>#N/A</v>
      </c>
      <c r="AD2856" s="7" t="e">
        <f>IF(VLOOKUP($A2856,'Concrete Beam Schedule'!$A$2:$Q$2902,AD$2,0)&lt;&gt;N2856,"Beam Revised","")</f>
        <v>#N/A</v>
      </c>
      <c r="AE2856" s="7" t="e">
        <f>IF(VLOOKUP($A2856,'Concrete Beam Schedule'!$A$2:$Q$2902,AE$2,0)&lt;&gt;O2856,"Beam Revised","")</f>
        <v>#N/A</v>
      </c>
    </row>
    <row r="2857" spans="17:31" ht="20.100000000000001" customHeight="1" x14ac:dyDescent="0.25">
      <c r="Q2857" s="7">
        <f t="shared" si="44"/>
        <v>0</v>
      </c>
      <c r="R2857" s="7" t="e">
        <f>IF(VLOOKUP($A2857,'Concrete Beam Schedule'!$A$2:$Q$2902,R$2,0)&lt;&gt;B2857,VLOOKUP($A2857,'Concrete Beam Schedule'!$A$2:$Q$2902,R$2,0),"")</f>
        <v>#N/A</v>
      </c>
      <c r="S2857" s="7" t="e">
        <f>IF(VLOOKUP($A2857,'Concrete Beam Schedule'!$A$2:$Q$2902,S$2,0)&lt;&gt;C2857,VLOOKUP($A2857,'Concrete Beam Schedule'!$A$2:$Q$2902,S$2,0),"")</f>
        <v>#N/A</v>
      </c>
      <c r="T2857" s="7" t="e">
        <f>IF(VLOOKUP($A2857,'Concrete Beam Schedule'!$A$2:$Q$2902,T$2,0)&lt;&gt;D2857,"Beam Revised","")</f>
        <v>#N/A</v>
      </c>
      <c r="U2857" s="7" t="e">
        <f>IF(VLOOKUP($A2857,'Concrete Beam Schedule'!$A$2:$Q$2902,U$2,0)&lt;&gt;E2857,"Beam Revised","")</f>
        <v>#N/A</v>
      </c>
      <c r="V2857" s="7" t="e">
        <f>IF(VLOOKUP($A2857,'Concrete Beam Schedule'!$A$2:$Q$2902,V$2,0)&lt;&gt;F2857,"Beam Revised","")</f>
        <v>#N/A</v>
      </c>
      <c r="W2857" s="7" t="e">
        <f>IF(VLOOKUP($A2857,'Concrete Beam Schedule'!$A$2:$Q$2902,W$2,0)&lt;&gt;G2857,"Beam Revised","")</f>
        <v>#N/A</v>
      </c>
      <c r="X2857" s="7" t="e">
        <f>IF(VLOOKUP($A2857,'Concrete Beam Schedule'!$A$2:$Q$2902,X$2,0)&lt;&gt;H2857,"Beam Revised","")</f>
        <v>#N/A</v>
      </c>
      <c r="Y2857" s="7" t="e">
        <f>IF(VLOOKUP($A2857,'Concrete Beam Schedule'!$A$2:$Q$2902,Y$2,0)&lt;&gt;I2857,"Beam Revised","")</f>
        <v>#N/A</v>
      </c>
      <c r="Z2857" s="7" t="e">
        <f>IF(VLOOKUP($A2857,'Concrete Beam Schedule'!$A$2:$Q$2902,Z$2,0)&lt;&gt;J2857,"Beam Revised","")</f>
        <v>#N/A</v>
      </c>
      <c r="AA2857" s="7" t="e">
        <f>IF(VLOOKUP($A2857,'Concrete Beam Schedule'!$A$2:$Q$2902,AA$2,0)&lt;&gt;K2857,"Beam Revised","")</f>
        <v>#N/A</v>
      </c>
      <c r="AB2857" s="7" t="e">
        <f>IF(VLOOKUP($A2857,'Concrete Beam Schedule'!$A$2:$Q$2902,AB$2,0)&lt;&gt;L2857,"Beam Revised","")</f>
        <v>#N/A</v>
      </c>
      <c r="AC2857" s="7" t="e">
        <f>IF(VLOOKUP($A2857,'Concrete Beam Schedule'!$A$2:$Q$2902,AC$2,0)&lt;&gt;M2857,"Beam Revised","")</f>
        <v>#N/A</v>
      </c>
      <c r="AD2857" s="7" t="e">
        <f>IF(VLOOKUP($A2857,'Concrete Beam Schedule'!$A$2:$Q$2902,AD$2,0)&lt;&gt;N2857,"Beam Revised","")</f>
        <v>#N/A</v>
      </c>
      <c r="AE2857" s="7" t="e">
        <f>IF(VLOOKUP($A2857,'Concrete Beam Schedule'!$A$2:$Q$2902,AE$2,0)&lt;&gt;O2857,"Beam Revised","")</f>
        <v>#N/A</v>
      </c>
    </row>
    <row r="2858" spans="17:31" ht="20.100000000000001" customHeight="1" x14ac:dyDescent="0.25">
      <c r="Q2858" s="7">
        <f t="shared" si="44"/>
        <v>0</v>
      </c>
      <c r="R2858" s="7" t="e">
        <f>IF(VLOOKUP($A2858,'Concrete Beam Schedule'!$A$2:$Q$2902,R$2,0)&lt;&gt;B2858,VLOOKUP($A2858,'Concrete Beam Schedule'!$A$2:$Q$2902,R$2,0),"")</f>
        <v>#N/A</v>
      </c>
      <c r="S2858" s="7" t="e">
        <f>IF(VLOOKUP($A2858,'Concrete Beam Schedule'!$A$2:$Q$2902,S$2,0)&lt;&gt;C2858,VLOOKUP($A2858,'Concrete Beam Schedule'!$A$2:$Q$2902,S$2,0),"")</f>
        <v>#N/A</v>
      </c>
      <c r="T2858" s="7" t="e">
        <f>IF(VLOOKUP($A2858,'Concrete Beam Schedule'!$A$2:$Q$2902,T$2,0)&lt;&gt;D2858,"Beam Revised","")</f>
        <v>#N/A</v>
      </c>
      <c r="U2858" s="7" t="e">
        <f>IF(VLOOKUP($A2858,'Concrete Beam Schedule'!$A$2:$Q$2902,U$2,0)&lt;&gt;E2858,"Beam Revised","")</f>
        <v>#N/A</v>
      </c>
      <c r="V2858" s="7" t="e">
        <f>IF(VLOOKUP($A2858,'Concrete Beam Schedule'!$A$2:$Q$2902,V$2,0)&lt;&gt;F2858,"Beam Revised","")</f>
        <v>#N/A</v>
      </c>
      <c r="W2858" s="7" t="e">
        <f>IF(VLOOKUP($A2858,'Concrete Beam Schedule'!$A$2:$Q$2902,W$2,0)&lt;&gt;G2858,"Beam Revised","")</f>
        <v>#N/A</v>
      </c>
      <c r="X2858" s="7" t="e">
        <f>IF(VLOOKUP($A2858,'Concrete Beam Schedule'!$A$2:$Q$2902,X$2,0)&lt;&gt;H2858,"Beam Revised","")</f>
        <v>#N/A</v>
      </c>
      <c r="Y2858" s="7" t="e">
        <f>IF(VLOOKUP($A2858,'Concrete Beam Schedule'!$A$2:$Q$2902,Y$2,0)&lt;&gt;I2858,"Beam Revised","")</f>
        <v>#N/A</v>
      </c>
      <c r="Z2858" s="7" t="e">
        <f>IF(VLOOKUP($A2858,'Concrete Beam Schedule'!$A$2:$Q$2902,Z$2,0)&lt;&gt;J2858,"Beam Revised","")</f>
        <v>#N/A</v>
      </c>
      <c r="AA2858" s="7" t="e">
        <f>IF(VLOOKUP($A2858,'Concrete Beam Schedule'!$A$2:$Q$2902,AA$2,0)&lt;&gt;K2858,"Beam Revised","")</f>
        <v>#N/A</v>
      </c>
      <c r="AB2858" s="7" t="e">
        <f>IF(VLOOKUP($A2858,'Concrete Beam Schedule'!$A$2:$Q$2902,AB$2,0)&lt;&gt;L2858,"Beam Revised","")</f>
        <v>#N/A</v>
      </c>
      <c r="AC2858" s="7" t="e">
        <f>IF(VLOOKUP($A2858,'Concrete Beam Schedule'!$A$2:$Q$2902,AC$2,0)&lt;&gt;M2858,"Beam Revised","")</f>
        <v>#N/A</v>
      </c>
      <c r="AD2858" s="7" t="e">
        <f>IF(VLOOKUP($A2858,'Concrete Beam Schedule'!$A$2:$Q$2902,AD$2,0)&lt;&gt;N2858,"Beam Revised","")</f>
        <v>#N/A</v>
      </c>
      <c r="AE2858" s="7" t="e">
        <f>IF(VLOOKUP($A2858,'Concrete Beam Schedule'!$A$2:$Q$2902,AE$2,0)&lt;&gt;O2858,"Beam Revised","")</f>
        <v>#N/A</v>
      </c>
    </row>
    <row r="2859" spans="17:31" ht="20.100000000000001" customHeight="1" x14ac:dyDescent="0.25">
      <c r="Q2859" s="7">
        <f t="shared" si="44"/>
        <v>0</v>
      </c>
      <c r="R2859" s="7" t="e">
        <f>IF(VLOOKUP($A2859,'Concrete Beam Schedule'!$A$2:$Q$2902,R$2,0)&lt;&gt;B2859,VLOOKUP($A2859,'Concrete Beam Schedule'!$A$2:$Q$2902,R$2,0),"")</f>
        <v>#N/A</v>
      </c>
      <c r="S2859" s="7" t="e">
        <f>IF(VLOOKUP($A2859,'Concrete Beam Schedule'!$A$2:$Q$2902,S$2,0)&lt;&gt;C2859,VLOOKUP($A2859,'Concrete Beam Schedule'!$A$2:$Q$2902,S$2,0),"")</f>
        <v>#N/A</v>
      </c>
      <c r="T2859" s="7" t="e">
        <f>IF(VLOOKUP($A2859,'Concrete Beam Schedule'!$A$2:$Q$2902,T$2,0)&lt;&gt;D2859,"Beam Revised","")</f>
        <v>#N/A</v>
      </c>
      <c r="U2859" s="7" t="e">
        <f>IF(VLOOKUP($A2859,'Concrete Beam Schedule'!$A$2:$Q$2902,U$2,0)&lt;&gt;E2859,"Beam Revised","")</f>
        <v>#N/A</v>
      </c>
      <c r="V2859" s="7" t="e">
        <f>IF(VLOOKUP($A2859,'Concrete Beam Schedule'!$A$2:$Q$2902,V$2,0)&lt;&gt;F2859,"Beam Revised","")</f>
        <v>#N/A</v>
      </c>
      <c r="W2859" s="7" t="e">
        <f>IF(VLOOKUP($A2859,'Concrete Beam Schedule'!$A$2:$Q$2902,W$2,0)&lt;&gt;G2859,"Beam Revised","")</f>
        <v>#N/A</v>
      </c>
      <c r="X2859" s="7" t="e">
        <f>IF(VLOOKUP($A2859,'Concrete Beam Schedule'!$A$2:$Q$2902,X$2,0)&lt;&gt;H2859,"Beam Revised","")</f>
        <v>#N/A</v>
      </c>
      <c r="Y2859" s="7" t="e">
        <f>IF(VLOOKUP($A2859,'Concrete Beam Schedule'!$A$2:$Q$2902,Y$2,0)&lt;&gt;I2859,"Beam Revised","")</f>
        <v>#N/A</v>
      </c>
      <c r="Z2859" s="7" t="e">
        <f>IF(VLOOKUP($A2859,'Concrete Beam Schedule'!$A$2:$Q$2902,Z$2,0)&lt;&gt;J2859,"Beam Revised","")</f>
        <v>#N/A</v>
      </c>
      <c r="AA2859" s="7" t="e">
        <f>IF(VLOOKUP($A2859,'Concrete Beam Schedule'!$A$2:$Q$2902,AA$2,0)&lt;&gt;K2859,"Beam Revised","")</f>
        <v>#N/A</v>
      </c>
      <c r="AB2859" s="7" t="e">
        <f>IF(VLOOKUP($A2859,'Concrete Beam Schedule'!$A$2:$Q$2902,AB$2,0)&lt;&gt;L2859,"Beam Revised","")</f>
        <v>#N/A</v>
      </c>
      <c r="AC2859" s="7" t="e">
        <f>IF(VLOOKUP($A2859,'Concrete Beam Schedule'!$A$2:$Q$2902,AC$2,0)&lt;&gt;M2859,"Beam Revised","")</f>
        <v>#N/A</v>
      </c>
      <c r="AD2859" s="7" t="e">
        <f>IF(VLOOKUP($A2859,'Concrete Beam Schedule'!$A$2:$Q$2902,AD$2,0)&lt;&gt;N2859,"Beam Revised","")</f>
        <v>#N/A</v>
      </c>
      <c r="AE2859" s="7" t="e">
        <f>IF(VLOOKUP($A2859,'Concrete Beam Schedule'!$A$2:$Q$2902,AE$2,0)&lt;&gt;O2859,"Beam Revised","")</f>
        <v>#N/A</v>
      </c>
    </row>
    <row r="2860" spans="17:31" ht="20.100000000000001" customHeight="1" x14ac:dyDescent="0.25">
      <c r="Q2860" s="7">
        <f t="shared" si="44"/>
        <v>0</v>
      </c>
      <c r="R2860" s="7" t="e">
        <f>IF(VLOOKUP($A2860,'Concrete Beam Schedule'!$A$2:$Q$2902,R$2,0)&lt;&gt;B2860,VLOOKUP($A2860,'Concrete Beam Schedule'!$A$2:$Q$2902,R$2,0),"")</f>
        <v>#N/A</v>
      </c>
      <c r="S2860" s="7" t="e">
        <f>IF(VLOOKUP($A2860,'Concrete Beam Schedule'!$A$2:$Q$2902,S$2,0)&lt;&gt;C2860,VLOOKUP($A2860,'Concrete Beam Schedule'!$A$2:$Q$2902,S$2,0),"")</f>
        <v>#N/A</v>
      </c>
      <c r="T2860" s="7" t="e">
        <f>IF(VLOOKUP($A2860,'Concrete Beam Schedule'!$A$2:$Q$2902,T$2,0)&lt;&gt;D2860,"Beam Revised","")</f>
        <v>#N/A</v>
      </c>
      <c r="U2860" s="7" t="e">
        <f>IF(VLOOKUP($A2860,'Concrete Beam Schedule'!$A$2:$Q$2902,U$2,0)&lt;&gt;E2860,"Beam Revised","")</f>
        <v>#N/A</v>
      </c>
      <c r="V2860" s="7" t="e">
        <f>IF(VLOOKUP($A2860,'Concrete Beam Schedule'!$A$2:$Q$2902,V$2,0)&lt;&gt;F2860,"Beam Revised","")</f>
        <v>#N/A</v>
      </c>
      <c r="W2860" s="7" t="e">
        <f>IF(VLOOKUP($A2860,'Concrete Beam Schedule'!$A$2:$Q$2902,W$2,0)&lt;&gt;G2860,"Beam Revised","")</f>
        <v>#N/A</v>
      </c>
      <c r="X2860" s="7" t="e">
        <f>IF(VLOOKUP($A2860,'Concrete Beam Schedule'!$A$2:$Q$2902,X$2,0)&lt;&gt;H2860,"Beam Revised","")</f>
        <v>#N/A</v>
      </c>
      <c r="Y2860" s="7" t="e">
        <f>IF(VLOOKUP($A2860,'Concrete Beam Schedule'!$A$2:$Q$2902,Y$2,0)&lt;&gt;I2860,"Beam Revised","")</f>
        <v>#N/A</v>
      </c>
      <c r="Z2860" s="7" t="e">
        <f>IF(VLOOKUP($A2860,'Concrete Beam Schedule'!$A$2:$Q$2902,Z$2,0)&lt;&gt;J2860,"Beam Revised","")</f>
        <v>#N/A</v>
      </c>
      <c r="AA2860" s="7" t="e">
        <f>IF(VLOOKUP($A2860,'Concrete Beam Schedule'!$A$2:$Q$2902,AA$2,0)&lt;&gt;K2860,"Beam Revised","")</f>
        <v>#N/A</v>
      </c>
      <c r="AB2860" s="7" t="e">
        <f>IF(VLOOKUP($A2860,'Concrete Beam Schedule'!$A$2:$Q$2902,AB$2,0)&lt;&gt;L2860,"Beam Revised","")</f>
        <v>#N/A</v>
      </c>
      <c r="AC2860" s="7" t="e">
        <f>IF(VLOOKUP($A2860,'Concrete Beam Schedule'!$A$2:$Q$2902,AC$2,0)&lt;&gt;M2860,"Beam Revised","")</f>
        <v>#N/A</v>
      </c>
      <c r="AD2860" s="7" t="e">
        <f>IF(VLOOKUP($A2860,'Concrete Beam Schedule'!$A$2:$Q$2902,AD$2,0)&lt;&gt;N2860,"Beam Revised","")</f>
        <v>#N/A</v>
      </c>
      <c r="AE2860" s="7" t="e">
        <f>IF(VLOOKUP($A2860,'Concrete Beam Schedule'!$A$2:$Q$2902,AE$2,0)&lt;&gt;O2860,"Beam Revised","")</f>
        <v>#N/A</v>
      </c>
    </row>
    <row r="2861" spans="17:31" ht="20.100000000000001" customHeight="1" x14ac:dyDescent="0.25">
      <c r="Q2861" s="7">
        <f t="shared" si="44"/>
        <v>0</v>
      </c>
      <c r="R2861" s="7" t="e">
        <f>IF(VLOOKUP($A2861,'Concrete Beam Schedule'!$A$2:$Q$2902,R$2,0)&lt;&gt;B2861,VLOOKUP($A2861,'Concrete Beam Schedule'!$A$2:$Q$2902,R$2,0),"")</f>
        <v>#N/A</v>
      </c>
      <c r="S2861" s="7" t="e">
        <f>IF(VLOOKUP($A2861,'Concrete Beam Schedule'!$A$2:$Q$2902,S$2,0)&lt;&gt;C2861,VLOOKUP($A2861,'Concrete Beam Schedule'!$A$2:$Q$2902,S$2,0),"")</f>
        <v>#N/A</v>
      </c>
      <c r="T2861" s="7" t="e">
        <f>IF(VLOOKUP($A2861,'Concrete Beam Schedule'!$A$2:$Q$2902,T$2,0)&lt;&gt;D2861,"Beam Revised","")</f>
        <v>#N/A</v>
      </c>
      <c r="U2861" s="7" t="e">
        <f>IF(VLOOKUP($A2861,'Concrete Beam Schedule'!$A$2:$Q$2902,U$2,0)&lt;&gt;E2861,"Beam Revised","")</f>
        <v>#N/A</v>
      </c>
      <c r="V2861" s="7" t="e">
        <f>IF(VLOOKUP($A2861,'Concrete Beam Schedule'!$A$2:$Q$2902,V$2,0)&lt;&gt;F2861,"Beam Revised","")</f>
        <v>#N/A</v>
      </c>
      <c r="W2861" s="7" t="e">
        <f>IF(VLOOKUP($A2861,'Concrete Beam Schedule'!$A$2:$Q$2902,W$2,0)&lt;&gt;G2861,"Beam Revised","")</f>
        <v>#N/A</v>
      </c>
      <c r="X2861" s="7" t="e">
        <f>IF(VLOOKUP($A2861,'Concrete Beam Schedule'!$A$2:$Q$2902,X$2,0)&lt;&gt;H2861,"Beam Revised","")</f>
        <v>#N/A</v>
      </c>
      <c r="Y2861" s="7" t="e">
        <f>IF(VLOOKUP($A2861,'Concrete Beam Schedule'!$A$2:$Q$2902,Y$2,0)&lt;&gt;I2861,"Beam Revised","")</f>
        <v>#N/A</v>
      </c>
      <c r="Z2861" s="7" t="e">
        <f>IF(VLOOKUP($A2861,'Concrete Beam Schedule'!$A$2:$Q$2902,Z$2,0)&lt;&gt;J2861,"Beam Revised","")</f>
        <v>#N/A</v>
      </c>
      <c r="AA2861" s="7" t="e">
        <f>IF(VLOOKUP($A2861,'Concrete Beam Schedule'!$A$2:$Q$2902,AA$2,0)&lt;&gt;K2861,"Beam Revised","")</f>
        <v>#N/A</v>
      </c>
      <c r="AB2861" s="7" t="e">
        <f>IF(VLOOKUP($A2861,'Concrete Beam Schedule'!$A$2:$Q$2902,AB$2,0)&lt;&gt;L2861,"Beam Revised","")</f>
        <v>#N/A</v>
      </c>
      <c r="AC2861" s="7" t="e">
        <f>IF(VLOOKUP($A2861,'Concrete Beam Schedule'!$A$2:$Q$2902,AC$2,0)&lt;&gt;M2861,"Beam Revised","")</f>
        <v>#N/A</v>
      </c>
      <c r="AD2861" s="7" t="e">
        <f>IF(VLOOKUP($A2861,'Concrete Beam Schedule'!$A$2:$Q$2902,AD$2,0)&lt;&gt;N2861,"Beam Revised","")</f>
        <v>#N/A</v>
      </c>
      <c r="AE2861" s="7" t="e">
        <f>IF(VLOOKUP($A2861,'Concrete Beam Schedule'!$A$2:$Q$2902,AE$2,0)&lt;&gt;O2861,"Beam Revised","")</f>
        <v>#N/A</v>
      </c>
    </row>
    <row r="2862" spans="17:31" ht="20.100000000000001" customHeight="1" x14ac:dyDescent="0.25">
      <c r="Q2862" s="7">
        <f t="shared" si="44"/>
        <v>0</v>
      </c>
      <c r="R2862" s="7" t="e">
        <f>IF(VLOOKUP($A2862,'Concrete Beam Schedule'!$A$2:$Q$2902,R$2,0)&lt;&gt;B2862,VLOOKUP($A2862,'Concrete Beam Schedule'!$A$2:$Q$2902,R$2,0),"")</f>
        <v>#N/A</v>
      </c>
      <c r="S2862" s="7" t="e">
        <f>IF(VLOOKUP($A2862,'Concrete Beam Schedule'!$A$2:$Q$2902,S$2,0)&lt;&gt;C2862,VLOOKUP($A2862,'Concrete Beam Schedule'!$A$2:$Q$2902,S$2,0),"")</f>
        <v>#N/A</v>
      </c>
      <c r="T2862" s="7" t="e">
        <f>IF(VLOOKUP($A2862,'Concrete Beam Schedule'!$A$2:$Q$2902,T$2,0)&lt;&gt;D2862,"Beam Revised","")</f>
        <v>#N/A</v>
      </c>
      <c r="U2862" s="7" t="e">
        <f>IF(VLOOKUP($A2862,'Concrete Beam Schedule'!$A$2:$Q$2902,U$2,0)&lt;&gt;E2862,"Beam Revised","")</f>
        <v>#N/A</v>
      </c>
      <c r="V2862" s="7" t="e">
        <f>IF(VLOOKUP($A2862,'Concrete Beam Schedule'!$A$2:$Q$2902,V$2,0)&lt;&gt;F2862,"Beam Revised","")</f>
        <v>#N/A</v>
      </c>
      <c r="W2862" s="7" t="e">
        <f>IF(VLOOKUP($A2862,'Concrete Beam Schedule'!$A$2:$Q$2902,W$2,0)&lt;&gt;G2862,"Beam Revised","")</f>
        <v>#N/A</v>
      </c>
      <c r="X2862" s="7" t="e">
        <f>IF(VLOOKUP($A2862,'Concrete Beam Schedule'!$A$2:$Q$2902,X$2,0)&lt;&gt;H2862,"Beam Revised","")</f>
        <v>#N/A</v>
      </c>
      <c r="Y2862" s="7" t="e">
        <f>IF(VLOOKUP($A2862,'Concrete Beam Schedule'!$A$2:$Q$2902,Y$2,0)&lt;&gt;I2862,"Beam Revised","")</f>
        <v>#N/A</v>
      </c>
      <c r="Z2862" s="7" t="e">
        <f>IF(VLOOKUP($A2862,'Concrete Beam Schedule'!$A$2:$Q$2902,Z$2,0)&lt;&gt;J2862,"Beam Revised","")</f>
        <v>#N/A</v>
      </c>
      <c r="AA2862" s="7" t="e">
        <f>IF(VLOOKUP($A2862,'Concrete Beam Schedule'!$A$2:$Q$2902,AA$2,0)&lt;&gt;K2862,"Beam Revised","")</f>
        <v>#N/A</v>
      </c>
      <c r="AB2862" s="7" t="e">
        <f>IF(VLOOKUP($A2862,'Concrete Beam Schedule'!$A$2:$Q$2902,AB$2,0)&lt;&gt;L2862,"Beam Revised","")</f>
        <v>#N/A</v>
      </c>
      <c r="AC2862" s="7" t="e">
        <f>IF(VLOOKUP($A2862,'Concrete Beam Schedule'!$A$2:$Q$2902,AC$2,0)&lt;&gt;M2862,"Beam Revised","")</f>
        <v>#N/A</v>
      </c>
      <c r="AD2862" s="7" t="e">
        <f>IF(VLOOKUP($A2862,'Concrete Beam Schedule'!$A$2:$Q$2902,AD$2,0)&lt;&gt;N2862,"Beam Revised","")</f>
        <v>#N/A</v>
      </c>
      <c r="AE2862" s="7" t="e">
        <f>IF(VLOOKUP($A2862,'Concrete Beam Schedule'!$A$2:$Q$2902,AE$2,0)&lt;&gt;O2862,"Beam Revised","")</f>
        <v>#N/A</v>
      </c>
    </row>
    <row r="2863" spans="17:31" ht="20.100000000000001" customHeight="1" x14ac:dyDescent="0.25">
      <c r="Q2863" s="7">
        <f t="shared" si="44"/>
        <v>0</v>
      </c>
      <c r="R2863" s="7" t="e">
        <f>IF(VLOOKUP($A2863,'Concrete Beam Schedule'!$A$2:$Q$2902,R$2,0)&lt;&gt;B2863,VLOOKUP($A2863,'Concrete Beam Schedule'!$A$2:$Q$2902,R$2,0),"")</f>
        <v>#N/A</v>
      </c>
      <c r="S2863" s="7" t="e">
        <f>IF(VLOOKUP($A2863,'Concrete Beam Schedule'!$A$2:$Q$2902,S$2,0)&lt;&gt;C2863,VLOOKUP($A2863,'Concrete Beam Schedule'!$A$2:$Q$2902,S$2,0),"")</f>
        <v>#N/A</v>
      </c>
      <c r="T2863" s="7" t="e">
        <f>IF(VLOOKUP($A2863,'Concrete Beam Schedule'!$A$2:$Q$2902,T$2,0)&lt;&gt;D2863,"Beam Revised","")</f>
        <v>#N/A</v>
      </c>
      <c r="U2863" s="7" t="e">
        <f>IF(VLOOKUP($A2863,'Concrete Beam Schedule'!$A$2:$Q$2902,U$2,0)&lt;&gt;E2863,"Beam Revised","")</f>
        <v>#N/A</v>
      </c>
      <c r="V2863" s="7" t="e">
        <f>IF(VLOOKUP($A2863,'Concrete Beam Schedule'!$A$2:$Q$2902,V$2,0)&lt;&gt;F2863,"Beam Revised","")</f>
        <v>#N/A</v>
      </c>
      <c r="W2863" s="7" t="e">
        <f>IF(VLOOKUP($A2863,'Concrete Beam Schedule'!$A$2:$Q$2902,W$2,0)&lt;&gt;G2863,"Beam Revised","")</f>
        <v>#N/A</v>
      </c>
      <c r="X2863" s="7" t="e">
        <f>IF(VLOOKUP($A2863,'Concrete Beam Schedule'!$A$2:$Q$2902,X$2,0)&lt;&gt;H2863,"Beam Revised","")</f>
        <v>#N/A</v>
      </c>
      <c r="Y2863" s="7" t="e">
        <f>IF(VLOOKUP($A2863,'Concrete Beam Schedule'!$A$2:$Q$2902,Y$2,0)&lt;&gt;I2863,"Beam Revised","")</f>
        <v>#N/A</v>
      </c>
      <c r="Z2863" s="7" t="e">
        <f>IF(VLOOKUP($A2863,'Concrete Beam Schedule'!$A$2:$Q$2902,Z$2,0)&lt;&gt;J2863,"Beam Revised","")</f>
        <v>#N/A</v>
      </c>
      <c r="AA2863" s="7" t="e">
        <f>IF(VLOOKUP($A2863,'Concrete Beam Schedule'!$A$2:$Q$2902,AA$2,0)&lt;&gt;K2863,"Beam Revised","")</f>
        <v>#N/A</v>
      </c>
      <c r="AB2863" s="7" t="e">
        <f>IF(VLOOKUP($A2863,'Concrete Beam Schedule'!$A$2:$Q$2902,AB$2,0)&lt;&gt;L2863,"Beam Revised","")</f>
        <v>#N/A</v>
      </c>
      <c r="AC2863" s="7" t="e">
        <f>IF(VLOOKUP($A2863,'Concrete Beam Schedule'!$A$2:$Q$2902,AC$2,0)&lt;&gt;M2863,"Beam Revised","")</f>
        <v>#N/A</v>
      </c>
      <c r="AD2863" s="7" t="e">
        <f>IF(VLOOKUP($A2863,'Concrete Beam Schedule'!$A$2:$Q$2902,AD$2,0)&lt;&gt;N2863,"Beam Revised","")</f>
        <v>#N/A</v>
      </c>
      <c r="AE2863" s="7" t="e">
        <f>IF(VLOOKUP($A2863,'Concrete Beam Schedule'!$A$2:$Q$2902,AE$2,0)&lt;&gt;O2863,"Beam Revised","")</f>
        <v>#N/A</v>
      </c>
    </row>
    <row r="2864" spans="17:31" ht="20.100000000000001" customHeight="1" x14ac:dyDescent="0.25">
      <c r="Q2864" s="7">
        <f t="shared" si="44"/>
        <v>0</v>
      </c>
      <c r="R2864" s="7" t="e">
        <f>IF(VLOOKUP($A2864,'Concrete Beam Schedule'!$A$2:$Q$2902,R$2,0)&lt;&gt;B2864,VLOOKUP($A2864,'Concrete Beam Schedule'!$A$2:$Q$2902,R$2,0),"")</f>
        <v>#N/A</v>
      </c>
      <c r="S2864" s="7" t="e">
        <f>IF(VLOOKUP($A2864,'Concrete Beam Schedule'!$A$2:$Q$2902,S$2,0)&lt;&gt;C2864,VLOOKUP($A2864,'Concrete Beam Schedule'!$A$2:$Q$2902,S$2,0),"")</f>
        <v>#N/A</v>
      </c>
      <c r="T2864" s="7" t="e">
        <f>IF(VLOOKUP($A2864,'Concrete Beam Schedule'!$A$2:$Q$2902,T$2,0)&lt;&gt;D2864,"Beam Revised","")</f>
        <v>#N/A</v>
      </c>
      <c r="U2864" s="7" t="e">
        <f>IF(VLOOKUP($A2864,'Concrete Beam Schedule'!$A$2:$Q$2902,U$2,0)&lt;&gt;E2864,"Beam Revised","")</f>
        <v>#N/A</v>
      </c>
      <c r="V2864" s="7" t="e">
        <f>IF(VLOOKUP($A2864,'Concrete Beam Schedule'!$A$2:$Q$2902,V$2,0)&lt;&gt;F2864,"Beam Revised","")</f>
        <v>#N/A</v>
      </c>
      <c r="W2864" s="7" t="e">
        <f>IF(VLOOKUP($A2864,'Concrete Beam Schedule'!$A$2:$Q$2902,W$2,0)&lt;&gt;G2864,"Beam Revised","")</f>
        <v>#N/A</v>
      </c>
      <c r="X2864" s="7" t="e">
        <f>IF(VLOOKUP($A2864,'Concrete Beam Schedule'!$A$2:$Q$2902,X$2,0)&lt;&gt;H2864,"Beam Revised","")</f>
        <v>#N/A</v>
      </c>
      <c r="Y2864" s="7" t="e">
        <f>IF(VLOOKUP($A2864,'Concrete Beam Schedule'!$A$2:$Q$2902,Y$2,0)&lt;&gt;I2864,"Beam Revised","")</f>
        <v>#N/A</v>
      </c>
      <c r="Z2864" s="7" t="e">
        <f>IF(VLOOKUP($A2864,'Concrete Beam Schedule'!$A$2:$Q$2902,Z$2,0)&lt;&gt;J2864,"Beam Revised","")</f>
        <v>#N/A</v>
      </c>
      <c r="AA2864" s="7" t="e">
        <f>IF(VLOOKUP($A2864,'Concrete Beam Schedule'!$A$2:$Q$2902,AA$2,0)&lt;&gt;K2864,"Beam Revised","")</f>
        <v>#N/A</v>
      </c>
      <c r="AB2864" s="7" t="e">
        <f>IF(VLOOKUP($A2864,'Concrete Beam Schedule'!$A$2:$Q$2902,AB$2,0)&lt;&gt;L2864,"Beam Revised","")</f>
        <v>#N/A</v>
      </c>
      <c r="AC2864" s="7" t="e">
        <f>IF(VLOOKUP($A2864,'Concrete Beam Schedule'!$A$2:$Q$2902,AC$2,0)&lt;&gt;M2864,"Beam Revised","")</f>
        <v>#N/A</v>
      </c>
      <c r="AD2864" s="7" t="e">
        <f>IF(VLOOKUP($A2864,'Concrete Beam Schedule'!$A$2:$Q$2902,AD$2,0)&lt;&gt;N2864,"Beam Revised","")</f>
        <v>#N/A</v>
      </c>
      <c r="AE2864" s="7" t="e">
        <f>IF(VLOOKUP($A2864,'Concrete Beam Schedule'!$A$2:$Q$2902,AE$2,0)&lt;&gt;O2864,"Beam Revised","")</f>
        <v>#N/A</v>
      </c>
    </row>
    <row r="2865" spans="17:31" ht="20.100000000000001" customHeight="1" x14ac:dyDescent="0.25">
      <c r="Q2865" s="7">
        <f t="shared" si="44"/>
        <v>0</v>
      </c>
      <c r="R2865" s="7" t="e">
        <f>IF(VLOOKUP($A2865,'Concrete Beam Schedule'!$A$2:$Q$2902,R$2,0)&lt;&gt;B2865,VLOOKUP($A2865,'Concrete Beam Schedule'!$A$2:$Q$2902,R$2,0),"")</f>
        <v>#N/A</v>
      </c>
      <c r="S2865" s="7" t="e">
        <f>IF(VLOOKUP($A2865,'Concrete Beam Schedule'!$A$2:$Q$2902,S$2,0)&lt;&gt;C2865,VLOOKUP($A2865,'Concrete Beam Schedule'!$A$2:$Q$2902,S$2,0),"")</f>
        <v>#N/A</v>
      </c>
      <c r="T2865" s="7" t="e">
        <f>IF(VLOOKUP($A2865,'Concrete Beam Schedule'!$A$2:$Q$2902,T$2,0)&lt;&gt;D2865,"Beam Revised","")</f>
        <v>#N/A</v>
      </c>
      <c r="U2865" s="7" t="e">
        <f>IF(VLOOKUP($A2865,'Concrete Beam Schedule'!$A$2:$Q$2902,U$2,0)&lt;&gt;E2865,"Beam Revised","")</f>
        <v>#N/A</v>
      </c>
      <c r="V2865" s="7" t="e">
        <f>IF(VLOOKUP($A2865,'Concrete Beam Schedule'!$A$2:$Q$2902,V$2,0)&lt;&gt;F2865,"Beam Revised","")</f>
        <v>#N/A</v>
      </c>
      <c r="W2865" s="7" t="e">
        <f>IF(VLOOKUP($A2865,'Concrete Beam Schedule'!$A$2:$Q$2902,W$2,0)&lt;&gt;G2865,"Beam Revised","")</f>
        <v>#N/A</v>
      </c>
      <c r="X2865" s="7" t="e">
        <f>IF(VLOOKUP($A2865,'Concrete Beam Schedule'!$A$2:$Q$2902,X$2,0)&lt;&gt;H2865,"Beam Revised","")</f>
        <v>#N/A</v>
      </c>
      <c r="Y2865" s="7" t="e">
        <f>IF(VLOOKUP($A2865,'Concrete Beam Schedule'!$A$2:$Q$2902,Y$2,0)&lt;&gt;I2865,"Beam Revised","")</f>
        <v>#N/A</v>
      </c>
      <c r="Z2865" s="7" t="e">
        <f>IF(VLOOKUP($A2865,'Concrete Beam Schedule'!$A$2:$Q$2902,Z$2,0)&lt;&gt;J2865,"Beam Revised","")</f>
        <v>#N/A</v>
      </c>
      <c r="AA2865" s="7" t="e">
        <f>IF(VLOOKUP($A2865,'Concrete Beam Schedule'!$A$2:$Q$2902,AA$2,0)&lt;&gt;K2865,"Beam Revised","")</f>
        <v>#N/A</v>
      </c>
      <c r="AB2865" s="7" t="e">
        <f>IF(VLOOKUP($A2865,'Concrete Beam Schedule'!$A$2:$Q$2902,AB$2,0)&lt;&gt;L2865,"Beam Revised","")</f>
        <v>#N/A</v>
      </c>
      <c r="AC2865" s="7" t="e">
        <f>IF(VLOOKUP($A2865,'Concrete Beam Schedule'!$A$2:$Q$2902,AC$2,0)&lt;&gt;M2865,"Beam Revised","")</f>
        <v>#N/A</v>
      </c>
      <c r="AD2865" s="7" t="e">
        <f>IF(VLOOKUP($A2865,'Concrete Beam Schedule'!$A$2:$Q$2902,AD$2,0)&lt;&gt;N2865,"Beam Revised","")</f>
        <v>#N/A</v>
      </c>
      <c r="AE2865" s="7" t="e">
        <f>IF(VLOOKUP($A2865,'Concrete Beam Schedule'!$A$2:$Q$2902,AE$2,0)&lt;&gt;O2865,"Beam Revised","")</f>
        <v>#N/A</v>
      </c>
    </row>
    <row r="2866" spans="17:31" ht="20.100000000000001" customHeight="1" x14ac:dyDescent="0.25">
      <c r="Q2866" s="7">
        <f t="shared" si="44"/>
        <v>0</v>
      </c>
      <c r="R2866" s="7" t="e">
        <f>IF(VLOOKUP($A2866,'Concrete Beam Schedule'!$A$2:$Q$2902,R$2,0)&lt;&gt;B2866,VLOOKUP($A2866,'Concrete Beam Schedule'!$A$2:$Q$2902,R$2,0),"")</f>
        <v>#N/A</v>
      </c>
      <c r="S2866" s="7" t="e">
        <f>IF(VLOOKUP($A2866,'Concrete Beam Schedule'!$A$2:$Q$2902,S$2,0)&lt;&gt;C2866,VLOOKUP($A2866,'Concrete Beam Schedule'!$A$2:$Q$2902,S$2,0),"")</f>
        <v>#N/A</v>
      </c>
      <c r="T2866" s="7" t="e">
        <f>IF(VLOOKUP($A2866,'Concrete Beam Schedule'!$A$2:$Q$2902,T$2,0)&lt;&gt;D2866,"Beam Revised","")</f>
        <v>#N/A</v>
      </c>
      <c r="U2866" s="7" t="e">
        <f>IF(VLOOKUP($A2866,'Concrete Beam Schedule'!$A$2:$Q$2902,U$2,0)&lt;&gt;E2866,"Beam Revised","")</f>
        <v>#N/A</v>
      </c>
      <c r="V2866" s="7" t="e">
        <f>IF(VLOOKUP($A2866,'Concrete Beam Schedule'!$A$2:$Q$2902,V$2,0)&lt;&gt;F2866,"Beam Revised","")</f>
        <v>#N/A</v>
      </c>
      <c r="W2866" s="7" t="e">
        <f>IF(VLOOKUP($A2866,'Concrete Beam Schedule'!$A$2:$Q$2902,W$2,0)&lt;&gt;G2866,"Beam Revised","")</f>
        <v>#N/A</v>
      </c>
      <c r="X2866" s="7" t="e">
        <f>IF(VLOOKUP($A2866,'Concrete Beam Schedule'!$A$2:$Q$2902,X$2,0)&lt;&gt;H2866,"Beam Revised","")</f>
        <v>#N/A</v>
      </c>
      <c r="Y2866" s="7" t="e">
        <f>IF(VLOOKUP($A2866,'Concrete Beam Schedule'!$A$2:$Q$2902,Y$2,0)&lt;&gt;I2866,"Beam Revised","")</f>
        <v>#N/A</v>
      </c>
      <c r="Z2866" s="7" t="e">
        <f>IF(VLOOKUP($A2866,'Concrete Beam Schedule'!$A$2:$Q$2902,Z$2,0)&lt;&gt;J2866,"Beam Revised","")</f>
        <v>#N/A</v>
      </c>
      <c r="AA2866" s="7" t="e">
        <f>IF(VLOOKUP($A2866,'Concrete Beam Schedule'!$A$2:$Q$2902,AA$2,0)&lt;&gt;K2866,"Beam Revised","")</f>
        <v>#N/A</v>
      </c>
      <c r="AB2866" s="7" t="e">
        <f>IF(VLOOKUP($A2866,'Concrete Beam Schedule'!$A$2:$Q$2902,AB$2,0)&lt;&gt;L2866,"Beam Revised","")</f>
        <v>#N/A</v>
      </c>
      <c r="AC2866" s="7" t="e">
        <f>IF(VLOOKUP($A2866,'Concrete Beam Schedule'!$A$2:$Q$2902,AC$2,0)&lt;&gt;M2866,"Beam Revised","")</f>
        <v>#N/A</v>
      </c>
      <c r="AD2866" s="7" t="e">
        <f>IF(VLOOKUP($A2866,'Concrete Beam Schedule'!$A$2:$Q$2902,AD$2,0)&lt;&gt;N2866,"Beam Revised","")</f>
        <v>#N/A</v>
      </c>
      <c r="AE2866" s="7" t="e">
        <f>IF(VLOOKUP($A2866,'Concrete Beam Schedule'!$A$2:$Q$2902,AE$2,0)&lt;&gt;O2866,"Beam Revised","")</f>
        <v>#N/A</v>
      </c>
    </row>
    <row r="2867" spans="17:31" ht="20.100000000000001" customHeight="1" x14ac:dyDescent="0.25">
      <c r="Q2867" s="7">
        <f t="shared" si="44"/>
        <v>0</v>
      </c>
      <c r="R2867" s="7" t="e">
        <f>IF(VLOOKUP($A2867,'Concrete Beam Schedule'!$A$2:$Q$2902,R$2,0)&lt;&gt;B2867,VLOOKUP($A2867,'Concrete Beam Schedule'!$A$2:$Q$2902,R$2,0),"")</f>
        <v>#N/A</v>
      </c>
      <c r="S2867" s="7" t="e">
        <f>IF(VLOOKUP($A2867,'Concrete Beam Schedule'!$A$2:$Q$2902,S$2,0)&lt;&gt;C2867,VLOOKUP($A2867,'Concrete Beam Schedule'!$A$2:$Q$2902,S$2,0),"")</f>
        <v>#N/A</v>
      </c>
      <c r="T2867" s="7" t="e">
        <f>IF(VLOOKUP($A2867,'Concrete Beam Schedule'!$A$2:$Q$2902,T$2,0)&lt;&gt;D2867,"Beam Revised","")</f>
        <v>#N/A</v>
      </c>
      <c r="U2867" s="7" t="e">
        <f>IF(VLOOKUP($A2867,'Concrete Beam Schedule'!$A$2:$Q$2902,U$2,0)&lt;&gt;E2867,"Beam Revised","")</f>
        <v>#N/A</v>
      </c>
      <c r="V2867" s="7" t="e">
        <f>IF(VLOOKUP($A2867,'Concrete Beam Schedule'!$A$2:$Q$2902,V$2,0)&lt;&gt;F2867,"Beam Revised","")</f>
        <v>#N/A</v>
      </c>
      <c r="W2867" s="7" t="e">
        <f>IF(VLOOKUP($A2867,'Concrete Beam Schedule'!$A$2:$Q$2902,W$2,0)&lt;&gt;G2867,"Beam Revised","")</f>
        <v>#N/A</v>
      </c>
      <c r="X2867" s="7" t="e">
        <f>IF(VLOOKUP($A2867,'Concrete Beam Schedule'!$A$2:$Q$2902,X$2,0)&lt;&gt;H2867,"Beam Revised","")</f>
        <v>#N/A</v>
      </c>
      <c r="Y2867" s="7" t="e">
        <f>IF(VLOOKUP($A2867,'Concrete Beam Schedule'!$A$2:$Q$2902,Y$2,0)&lt;&gt;I2867,"Beam Revised","")</f>
        <v>#N/A</v>
      </c>
      <c r="Z2867" s="7" t="e">
        <f>IF(VLOOKUP($A2867,'Concrete Beam Schedule'!$A$2:$Q$2902,Z$2,0)&lt;&gt;J2867,"Beam Revised","")</f>
        <v>#N/A</v>
      </c>
      <c r="AA2867" s="7" t="e">
        <f>IF(VLOOKUP($A2867,'Concrete Beam Schedule'!$A$2:$Q$2902,AA$2,0)&lt;&gt;K2867,"Beam Revised","")</f>
        <v>#N/A</v>
      </c>
      <c r="AB2867" s="7" t="e">
        <f>IF(VLOOKUP($A2867,'Concrete Beam Schedule'!$A$2:$Q$2902,AB$2,0)&lt;&gt;L2867,"Beam Revised","")</f>
        <v>#N/A</v>
      </c>
      <c r="AC2867" s="7" t="e">
        <f>IF(VLOOKUP($A2867,'Concrete Beam Schedule'!$A$2:$Q$2902,AC$2,0)&lt;&gt;M2867,"Beam Revised","")</f>
        <v>#N/A</v>
      </c>
      <c r="AD2867" s="7" t="e">
        <f>IF(VLOOKUP($A2867,'Concrete Beam Schedule'!$A$2:$Q$2902,AD$2,0)&lt;&gt;N2867,"Beam Revised","")</f>
        <v>#N/A</v>
      </c>
      <c r="AE2867" s="7" t="e">
        <f>IF(VLOOKUP($A2867,'Concrete Beam Schedule'!$A$2:$Q$2902,AE$2,0)&lt;&gt;O2867,"Beam Revised","")</f>
        <v>#N/A</v>
      </c>
    </row>
    <row r="2868" spans="17:31" ht="20.100000000000001" customHeight="1" x14ac:dyDescent="0.25">
      <c r="Q2868" s="7">
        <f t="shared" si="44"/>
        <v>0</v>
      </c>
      <c r="R2868" s="7" t="e">
        <f>IF(VLOOKUP($A2868,'Concrete Beam Schedule'!$A$2:$Q$2902,R$2,0)&lt;&gt;B2868,VLOOKUP($A2868,'Concrete Beam Schedule'!$A$2:$Q$2902,R$2,0),"")</f>
        <v>#N/A</v>
      </c>
      <c r="S2868" s="7" t="e">
        <f>IF(VLOOKUP($A2868,'Concrete Beam Schedule'!$A$2:$Q$2902,S$2,0)&lt;&gt;C2868,VLOOKUP($A2868,'Concrete Beam Schedule'!$A$2:$Q$2902,S$2,0),"")</f>
        <v>#N/A</v>
      </c>
      <c r="T2868" s="7" t="e">
        <f>IF(VLOOKUP($A2868,'Concrete Beam Schedule'!$A$2:$Q$2902,T$2,0)&lt;&gt;D2868,"Beam Revised","")</f>
        <v>#N/A</v>
      </c>
      <c r="U2868" s="7" t="e">
        <f>IF(VLOOKUP($A2868,'Concrete Beam Schedule'!$A$2:$Q$2902,U$2,0)&lt;&gt;E2868,"Beam Revised","")</f>
        <v>#N/A</v>
      </c>
      <c r="V2868" s="7" t="e">
        <f>IF(VLOOKUP($A2868,'Concrete Beam Schedule'!$A$2:$Q$2902,V$2,0)&lt;&gt;F2868,"Beam Revised","")</f>
        <v>#N/A</v>
      </c>
      <c r="W2868" s="7" t="e">
        <f>IF(VLOOKUP($A2868,'Concrete Beam Schedule'!$A$2:$Q$2902,W$2,0)&lt;&gt;G2868,"Beam Revised","")</f>
        <v>#N/A</v>
      </c>
      <c r="X2868" s="7" t="e">
        <f>IF(VLOOKUP($A2868,'Concrete Beam Schedule'!$A$2:$Q$2902,X$2,0)&lt;&gt;H2868,"Beam Revised","")</f>
        <v>#N/A</v>
      </c>
      <c r="Y2868" s="7" t="e">
        <f>IF(VLOOKUP($A2868,'Concrete Beam Schedule'!$A$2:$Q$2902,Y$2,0)&lt;&gt;I2868,"Beam Revised","")</f>
        <v>#N/A</v>
      </c>
      <c r="Z2868" s="7" t="e">
        <f>IF(VLOOKUP($A2868,'Concrete Beam Schedule'!$A$2:$Q$2902,Z$2,0)&lt;&gt;J2868,"Beam Revised","")</f>
        <v>#N/A</v>
      </c>
      <c r="AA2868" s="7" t="e">
        <f>IF(VLOOKUP($A2868,'Concrete Beam Schedule'!$A$2:$Q$2902,AA$2,0)&lt;&gt;K2868,"Beam Revised","")</f>
        <v>#N/A</v>
      </c>
      <c r="AB2868" s="7" t="e">
        <f>IF(VLOOKUP($A2868,'Concrete Beam Schedule'!$A$2:$Q$2902,AB$2,0)&lt;&gt;L2868,"Beam Revised","")</f>
        <v>#N/A</v>
      </c>
      <c r="AC2868" s="7" t="e">
        <f>IF(VLOOKUP($A2868,'Concrete Beam Schedule'!$A$2:$Q$2902,AC$2,0)&lt;&gt;M2868,"Beam Revised","")</f>
        <v>#N/A</v>
      </c>
      <c r="AD2868" s="7" t="e">
        <f>IF(VLOOKUP($A2868,'Concrete Beam Schedule'!$A$2:$Q$2902,AD$2,0)&lt;&gt;N2868,"Beam Revised","")</f>
        <v>#N/A</v>
      </c>
      <c r="AE2868" s="7" t="e">
        <f>IF(VLOOKUP($A2868,'Concrete Beam Schedule'!$A$2:$Q$2902,AE$2,0)&lt;&gt;O2868,"Beam Revised","")</f>
        <v>#N/A</v>
      </c>
    </row>
    <row r="2869" spans="17:31" ht="20.100000000000001" customHeight="1" x14ac:dyDescent="0.25">
      <c r="Q2869" s="7">
        <f t="shared" si="44"/>
        <v>0</v>
      </c>
      <c r="R2869" s="7" t="e">
        <f>IF(VLOOKUP($A2869,'Concrete Beam Schedule'!$A$2:$Q$2902,R$2,0)&lt;&gt;B2869,VLOOKUP($A2869,'Concrete Beam Schedule'!$A$2:$Q$2902,R$2,0),"")</f>
        <v>#N/A</v>
      </c>
      <c r="S2869" s="7" t="e">
        <f>IF(VLOOKUP($A2869,'Concrete Beam Schedule'!$A$2:$Q$2902,S$2,0)&lt;&gt;C2869,VLOOKUP($A2869,'Concrete Beam Schedule'!$A$2:$Q$2902,S$2,0),"")</f>
        <v>#N/A</v>
      </c>
      <c r="T2869" s="7" t="e">
        <f>IF(VLOOKUP($A2869,'Concrete Beam Schedule'!$A$2:$Q$2902,T$2,0)&lt;&gt;D2869,"Beam Revised","")</f>
        <v>#N/A</v>
      </c>
      <c r="U2869" s="7" t="e">
        <f>IF(VLOOKUP($A2869,'Concrete Beam Schedule'!$A$2:$Q$2902,U$2,0)&lt;&gt;E2869,"Beam Revised","")</f>
        <v>#N/A</v>
      </c>
      <c r="V2869" s="7" t="e">
        <f>IF(VLOOKUP($A2869,'Concrete Beam Schedule'!$A$2:$Q$2902,V$2,0)&lt;&gt;F2869,"Beam Revised","")</f>
        <v>#N/A</v>
      </c>
      <c r="W2869" s="7" t="e">
        <f>IF(VLOOKUP($A2869,'Concrete Beam Schedule'!$A$2:$Q$2902,W$2,0)&lt;&gt;G2869,"Beam Revised","")</f>
        <v>#N/A</v>
      </c>
      <c r="X2869" s="7" t="e">
        <f>IF(VLOOKUP($A2869,'Concrete Beam Schedule'!$A$2:$Q$2902,X$2,0)&lt;&gt;H2869,"Beam Revised","")</f>
        <v>#N/A</v>
      </c>
      <c r="Y2869" s="7" t="e">
        <f>IF(VLOOKUP($A2869,'Concrete Beam Schedule'!$A$2:$Q$2902,Y$2,0)&lt;&gt;I2869,"Beam Revised","")</f>
        <v>#N/A</v>
      </c>
      <c r="Z2869" s="7" t="e">
        <f>IF(VLOOKUP($A2869,'Concrete Beam Schedule'!$A$2:$Q$2902,Z$2,0)&lt;&gt;J2869,"Beam Revised","")</f>
        <v>#N/A</v>
      </c>
      <c r="AA2869" s="7" t="e">
        <f>IF(VLOOKUP($A2869,'Concrete Beam Schedule'!$A$2:$Q$2902,AA$2,0)&lt;&gt;K2869,"Beam Revised","")</f>
        <v>#N/A</v>
      </c>
      <c r="AB2869" s="7" t="e">
        <f>IF(VLOOKUP($A2869,'Concrete Beam Schedule'!$A$2:$Q$2902,AB$2,0)&lt;&gt;L2869,"Beam Revised","")</f>
        <v>#N/A</v>
      </c>
      <c r="AC2869" s="7" t="e">
        <f>IF(VLOOKUP($A2869,'Concrete Beam Schedule'!$A$2:$Q$2902,AC$2,0)&lt;&gt;M2869,"Beam Revised","")</f>
        <v>#N/A</v>
      </c>
      <c r="AD2869" s="7" t="e">
        <f>IF(VLOOKUP($A2869,'Concrete Beam Schedule'!$A$2:$Q$2902,AD$2,0)&lt;&gt;N2869,"Beam Revised","")</f>
        <v>#N/A</v>
      </c>
      <c r="AE2869" s="7" t="e">
        <f>IF(VLOOKUP($A2869,'Concrete Beam Schedule'!$A$2:$Q$2902,AE$2,0)&lt;&gt;O2869,"Beam Revised","")</f>
        <v>#N/A</v>
      </c>
    </row>
    <row r="2870" spans="17:31" ht="20.100000000000001" customHeight="1" x14ac:dyDescent="0.25">
      <c r="Q2870" s="7">
        <f t="shared" si="44"/>
        <v>0</v>
      </c>
      <c r="R2870" s="7" t="e">
        <f>IF(VLOOKUP($A2870,'Concrete Beam Schedule'!$A$2:$Q$2902,R$2,0)&lt;&gt;B2870,VLOOKUP($A2870,'Concrete Beam Schedule'!$A$2:$Q$2902,R$2,0),"")</f>
        <v>#N/A</v>
      </c>
      <c r="S2870" s="7" t="e">
        <f>IF(VLOOKUP($A2870,'Concrete Beam Schedule'!$A$2:$Q$2902,S$2,0)&lt;&gt;C2870,VLOOKUP($A2870,'Concrete Beam Schedule'!$A$2:$Q$2902,S$2,0),"")</f>
        <v>#N/A</v>
      </c>
      <c r="T2870" s="7" t="e">
        <f>IF(VLOOKUP($A2870,'Concrete Beam Schedule'!$A$2:$Q$2902,T$2,0)&lt;&gt;D2870,"Beam Revised","")</f>
        <v>#N/A</v>
      </c>
      <c r="U2870" s="7" t="e">
        <f>IF(VLOOKUP($A2870,'Concrete Beam Schedule'!$A$2:$Q$2902,U$2,0)&lt;&gt;E2870,"Beam Revised","")</f>
        <v>#N/A</v>
      </c>
      <c r="V2870" s="7" t="e">
        <f>IF(VLOOKUP($A2870,'Concrete Beam Schedule'!$A$2:$Q$2902,V$2,0)&lt;&gt;F2870,"Beam Revised","")</f>
        <v>#N/A</v>
      </c>
      <c r="W2870" s="7" t="e">
        <f>IF(VLOOKUP($A2870,'Concrete Beam Schedule'!$A$2:$Q$2902,W$2,0)&lt;&gt;G2870,"Beam Revised","")</f>
        <v>#N/A</v>
      </c>
      <c r="X2870" s="7" t="e">
        <f>IF(VLOOKUP($A2870,'Concrete Beam Schedule'!$A$2:$Q$2902,X$2,0)&lt;&gt;H2870,"Beam Revised","")</f>
        <v>#N/A</v>
      </c>
      <c r="Y2870" s="7" t="e">
        <f>IF(VLOOKUP($A2870,'Concrete Beam Schedule'!$A$2:$Q$2902,Y$2,0)&lt;&gt;I2870,"Beam Revised","")</f>
        <v>#N/A</v>
      </c>
      <c r="Z2870" s="7" t="e">
        <f>IF(VLOOKUP($A2870,'Concrete Beam Schedule'!$A$2:$Q$2902,Z$2,0)&lt;&gt;J2870,"Beam Revised","")</f>
        <v>#N/A</v>
      </c>
      <c r="AA2870" s="7" t="e">
        <f>IF(VLOOKUP($A2870,'Concrete Beam Schedule'!$A$2:$Q$2902,AA$2,0)&lt;&gt;K2870,"Beam Revised","")</f>
        <v>#N/A</v>
      </c>
      <c r="AB2870" s="7" t="e">
        <f>IF(VLOOKUP($A2870,'Concrete Beam Schedule'!$A$2:$Q$2902,AB$2,0)&lt;&gt;L2870,"Beam Revised","")</f>
        <v>#N/A</v>
      </c>
      <c r="AC2870" s="7" t="e">
        <f>IF(VLOOKUP($A2870,'Concrete Beam Schedule'!$A$2:$Q$2902,AC$2,0)&lt;&gt;M2870,"Beam Revised","")</f>
        <v>#N/A</v>
      </c>
      <c r="AD2870" s="7" t="e">
        <f>IF(VLOOKUP($A2870,'Concrete Beam Schedule'!$A$2:$Q$2902,AD$2,0)&lt;&gt;N2870,"Beam Revised","")</f>
        <v>#N/A</v>
      </c>
      <c r="AE2870" s="7" t="e">
        <f>IF(VLOOKUP($A2870,'Concrete Beam Schedule'!$A$2:$Q$2902,AE$2,0)&lt;&gt;O2870,"Beam Revised","")</f>
        <v>#N/A</v>
      </c>
    </row>
    <row r="2871" spans="17:31" ht="20.100000000000001" customHeight="1" x14ac:dyDescent="0.25">
      <c r="Q2871" s="7">
        <f t="shared" si="44"/>
        <v>0</v>
      </c>
      <c r="R2871" s="7" t="e">
        <f>IF(VLOOKUP($A2871,'Concrete Beam Schedule'!$A$2:$Q$2902,R$2,0)&lt;&gt;B2871,VLOOKUP($A2871,'Concrete Beam Schedule'!$A$2:$Q$2902,R$2,0),"")</f>
        <v>#N/A</v>
      </c>
      <c r="S2871" s="7" t="e">
        <f>IF(VLOOKUP($A2871,'Concrete Beam Schedule'!$A$2:$Q$2902,S$2,0)&lt;&gt;C2871,VLOOKUP($A2871,'Concrete Beam Schedule'!$A$2:$Q$2902,S$2,0),"")</f>
        <v>#N/A</v>
      </c>
      <c r="T2871" s="7" t="e">
        <f>IF(VLOOKUP($A2871,'Concrete Beam Schedule'!$A$2:$Q$2902,T$2,0)&lt;&gt;D2871,"Beam Revised","")</f>
        <v>#N/A</v>
      </c>
      <c r="U2871" s="7" t="e">
        <f>IF(VLOOKUP($A2871,'Concrete Beam Schedule'!$A$2:$Q$2902,U$2,0)&lt;&gt;E2871,"Beam Revised","")</f>
        <v>#N/A</v>
      </c>
      <c r="V2871" s="7" t="e">
        <f>IF(VLOOKUP($A2871,'Concrete Beam Schedule'!$A$2:$Q$2902,V$2,0)&lt;&gt;F2871,"Beam Revised","")</f>
        <v>#N/A</v>
      </c>
      <c r="W2871" s="7" t="e">
        <f>IF(VLOOKUP($A2871,'Concrete Beam Schedule'!$A$2:$Q$2902,W$2,0)&lt;&gt;G2871,"Beam Revised","")</f>
        <v>#N/A</v>
      </c>
      <c r="X2871" s="7" t="e">
        <f>IF(VLOOKUP($A2871,'Concrete Beam Schedule'!$A$2:$Q$2902,X$2,0)&lt;&gt;H2871,"Beam Revised","")</f>
        <v>#N/A</v>
      </c>
      <c r="Y2871" s="7" t="e">
        <f>IF(VLOOKUP($A2871,'Concrete Beam Schedule'!$A$2:$Q$2902,Y$2,0)&lt;&gt;I2871,"Beam Revised","")</f>
        <v>#N/A</v>
      </c>
      <c r="Z2871" s="7" t="e">
        <f>IF(VLOOKUP($A2871,'Concrete Beam Schedule'!$A$2:$Q$2902,Z$2,0)&lt;&gt;J2871,"Beam Revised","")</f>
        <v>#N/A</v>
      </c>
      <c r="AA2871" s="7" t="e">
        <f>IF(VLOOKUP($A2871,'Concrete Beam Schedule'!$A$2:$Q$2902,AA$2,0)&lt;&gt;K2871,"Beam Revised","")</f>
        <v>#N/A</v>
      </c>
      <c r="AB2871" s="7" t="e">
        <f>IF(VLOOKUP($A2871,'Concrete Beam Schedule'!$A$2:$Q$2902,AB$2,0)&lt;&gt;L2871,"Beam Revised","")</f>
        <v>#N/A</v>
      </c>
      <c r="AC2871" s="7" t="e">
        <f>IF(VLOOKUP($A2871,'Concrete Beam Schedule'!$A$2:$Q$2902,AC$2,0)&lt;&gt;M2871,"Beam Revised","")</f>
        <v>#N/A</v>
      </c>
      <c r="AD2871" s="7" t="e">
        <f>IF(VLOOKUP($A2871,'Concrete Beam Schedule'!$A$2:$Q$2902,AD$2,0)&lt;&gt;N2871,"Beam Revised","")</f>
        <v>#N/A</v>
      </c>
      <c r="AE2871" s="7" t="e">
        <f>IF(VLOOKUP($A2871,'Concrete Beam Schedule'!$A$2:$Q$2902,AE$2,0)&lt;&gt;O2871,"Beam Revised","")</f>
        <v>#N/A</v>
      </c>
    </row>
    <row r="2872" spans="17:31" ht="20.100000000000001" customHeight="1" x14ac:dyDescent="0.25">
      <c r="Q2872" s="7">
        <f t="shared" si="44"/>
        <v>0</v>
      </c>
      <c r="R2872" s="7" t="e">
        <f>IF(VLOOKUP($A2872,'Concrete Beam Schedule'!$A$2:$Q$2902,R$2,0)&lt;&gt;B2872,VLOOKUP($A2872,'Concrete Beam Schedule'!$A$2:$Q$2902,R$2,0),"")</f>
        <v>#N/A</v>
      </c>
      <c r="S2872" s="7" t="e">
        <f>IF(VLOOKUP($A2872,'Concrete Beam Schedule'!$A$2:$Q$2902,S$2,0)&lt;&gt;C2872,VLOOKUP($A2872,'Concrete Beam Schedule'!$A$2:$Q$2902,S$2,0),"")</f>
        <v>#N/A</v>
      </c>
      <c r="T2872" s="7" t="e">
        <f>IF(VLOOKUP($A2872,'Concrete Beam Schedule'!$A$2:$Q$2902,T$2,0)&lt;&gt;D2872,"Beam Revised","")</f>
        <v>#N/A</v>
      </c>
      <c r="U2872" s="7" t="e">
        <f>IF(VLOOKUP($A2872,'Concrete Beam Schedule'!$A$2:$Q$2902,U$2,0)&lt;&gt;E2872,"Beam Revised","")</f>
        <v>#N/A</v>
      </c>
      <c r="V2872" s="7" t="e">
        <f>IF(VLOOKUP($A2872,'Concrete Beam Schedule'!$A$2:$Q$2902,V$2,0)&lt;&gt;F2872,"Beam Revised","")</f>
        <v>#N/A</v>
      </c>
      <c r="W2872" s="7" t="e">
        <f>IF(VLOOKUP($A2872,'Concrete Beam Schedule'!$A$2:$Q$2902,W$2,0)&lt;&gt;G2872,"Beam Revised","")</f>
        <v>#N/A</v>
      </c>
      <c r="X2872" s="7" t="e">
        <f>IF(VLOOKUP($A2872,'Concrete Beam Schedule'!$A$2:$Q$2902,X$2,0)&lt;&gt;H2872,"Beam Revised","")</f>
        <v>#N/A</v>
      </c>
      <c r="Y2872" s="7" t="e">
        <f>IF(VLOOKUP($A2872,'Concrete Beam Schedule'!$A$2:$Q$2902,Y$2,0)&lt;&gt;I2872,"Beam Revised","")</f>
        <v>#N/A</v>
      </c>
      <c r="Z2872" s="7" t="e">
        <f>IF(VLOOKUP($A2872,'Concrete Beam Schedule'!$A$2:$Q$2902,Z$2,0)&lt;&gt;J2872,"Beam Revised","")</f>
        <v>#N/A</v>
      </c>
      <c r="AA2872" s="7" t="e">
        <f>IF(VLOOKUP($A2872,'Concrete Beam Schedule'!$A$2:$Q$2902,AA$2,0)&lt;&gt;K2872,"Beam Revised","")</f>
        <v>#N/A</v>
      </c>
      <c r="AB2872" s="7" t="e">
        <f>IF(VLOOKUP($A2872,'Concrete Beam Schedule'!$A$2:$Q$2902,AB$2,0)&lt;&gt;L2872,"Beam Revised","")</f>
        <v>#N/A</v>
      </c>
      <c r="AC2872" s="7" t="e">
        <f>IF(VLOOKUP($A2872,'Concrete Beam Schedule'!$A$2:$Q$2902,AC$2,0)&lt;&gt;M2872,"Beam Revised","")</f>
        <v>#N/A</v>
      </c>
      <c r="AD2872" s="7" t="e">
        <f>IF(VLOOKUP($A2872,'Concrete Beam Schedule'!$A$2:$Q$2902,AD$2,0)&lt;&gt;N2872,"Beam Revised","")</f>
        <v>#N/A</v>
      </c>
      <c r="AE2872" s="7" t="e">
        <f>IF(VLOOKUP($A2872,'Concrete Beam Schedule'!$A$2:$Q$2902,AE$2,0)&lt;&gt;O2872,"Beam Revised","")</f>
        <v>#N/A</v>
      </c>
    </row>
    <row r="2873" spans="17:31" ht="20.100000000000001" customHeight="1" x14ac:dyDescent="0.25">
      <c r="Q2873" s="7">
        <f t="shared" si="44"/>
        <v>0</v>
      </c>
      <c r="R2873" s="7" t="e">
        <f>IF(VLOOKUP($A2873,'Concrete Beam Schedule'!$A$2:$Q$2902,R$2,0)&lt;&gt;B2873,VLOOKUP($A2873,'Concrete Beam Schedule'!$A$2:$Q$2902,R$2,0),"")</f>
        <v>#N/A</v>
      </c>
      <c r="S2873" s="7" t="e">
        <f>IF(VLOOKUP($A2873,'Concrete Beam Schedule'!$A$2:$Q$2902,S$2,0)&lt;&gt;C2873,VLOOKUP($A2873,'Concrete Beam Schedule'!$A$2:$Q$2902,S$2,0),"")</f>
        <v>#N/A</v>
      </c>
      <c r="T2873" s="7" t="e">
        <f>IF(VLOOKUP($A2873,'Concrete Beam Schedule'!$A$2:$Q$2902,T$2,0)&lt;&gt;D2873,"Beam Revised","")</f>
        <v>#N/A</v>
      </c>
      <c r="U2873" s="7" t="e">
        <f>IF(VLOOKUP($A2873,'Concrete Beam Schedule'!$A$2:$Q$2902,U$2,0)&lt;&gt;E2873,"Beam Revised","")</f>
        <v>#N/A</v>
      </c>
      <c r="V2873" s="7" t="e">
        <f>IF(VLOOKUP($A2873,'Concrete Beam Schedule'!$A$2:$Q$2902,V$2,0)&lt;&gt;F2873,"Beam Revised","")</f>
        <v>#N/A</v>
      </c>
      <c r="W2873" s="7" t="e">
        <f>IF(VLOOKUP($A2873,'Concrete Beam Schedule'!$A$2:$Q$2902,W$2,0)&lt;&gt;G2873,"Beam Revised","")</f>
        <v>#N/A</v>
      </c>
      <c r="X2873" s="7" t="e">
        <f>IF(VLOOKUP($A2873,'Concrete Beam Schedule'!$A$2:$Q$2902,X$2,0)&lt;&gt;H2873,"Beam Revised","")</f>
        <v>#N/A</v>
      </c>
      <c r="Y2873" s="7" t="e">
        <f>IF(VLOOKUP($A2873,'Concrete Beam Schedule'!$A$2:$Q$2902,Y$2,0)&lt;&gt;I2873,"Beam Revised","")</f>
        <v>#N/A</v>
      </c>
      <c r="Z2873" s="7" t="e">
        <f>IF(VLOOKUP($A2873,'Concrete Beam Schedule'!$A$2:$Q$2902,Z$2,0)&lt;&gt;J2873,"Beam Revised","")</f>
        <v>#N/A</v>
      </c>
      <c r="AA2873" s="7" t="e">
        <f>IF(VLOOKUP($A2873,'Concrete Beam Schedule'!$A$2:$Q$2902,AA$2,0)&lt;&gt;K2873,"Beam Revised","")</f>
        <v>#N/A</v>
      </c>
      <c r="AB2873" s="7" t="e">
        <f>IF(VLOOKUP($A2873,'Concrete Beam Schedule'!$A$2:$Q$2902,AB$2,0)&lt;&gt;L2873,"Beam Revised","")</f>
        <v>#N/A</v>
      </c>
      <c r="AC2873" s="7" t="e">
        <f>IF(VLOOKUP($A2873,'Concrete Beam Schedule'!$A$2:$Q$2902,AC$2,0)&lt;&gt;M2873,"Beam Revised","")</f>
        <v>#N/A</v>
      </c>
      <c r="AD2873" s="7" t="e">
        <f>IF(VLOOKUP($A2873,'Concrete Beam Schedule'!$A$2:$Q$2902,AD$2,0)&lt;&gt;N2873,"Beam Revised","")</f>
        <v>#N/A</v>
      </c>
      <c r="AE2873" s="7" t="e">
        <f>IF(VLOOKUP($A2873,'Concrete Beam Schedule'!$A$2:$Q$2902,AE$2,0)&lt;&gt;O2873,"Beam Revised","")</f>
        <v>#N/A</v>
      </c>
    </row>
    <row r="2874" spans="17:31" ht="20.100000000000001" customHeight="1" x14ac:dyDescent="0.25">
      <c r="Q2874" s="7">
        <f t="shared" si="44"/>
        <v>0</v>
      </c>
      <c r="R2874" s="7" t="e">
        <f>IF(VLOOKUP($A2874,'Concrete Beam Schedule'!$A$2:$Q$2902,R$2,0)&lt;&gt;B2874,VLOOKUP($A2874,'Concrete Beam Schedule'!$A$2:$Q$2902,R$2,0),"")</f>
        <v>#N/A</v>
      </c>
      <c r="S2874" s="7" t="e">
        <f>IF(VLOOKUP($A2874,'Concrete Beam Schedule'!$A$2:$Q$2902,S$2,0)&lt;&gt;C2874,VLOOKUP($A2874,'Concrete Beam Schedule'!$A$2:$Q$2902,S$2,0),"")</f>
        <v>#N/A</v>
      </c>
      <c r="T2874" s="7" t="e">
        <f>IF(VLOOKUP($A2874,'Concrete Beam Schedule'!$A$2:$Q$2902,T$2,0)&lt;&gt;D2874,"Beam Revised","")</f>
        <v>#N/A</v>
      </c>
      <c r="U2874" s="7" t="e">
        <f>IF(VLOOKUP($A2874,'Concrete Beam Schedule'!$A$2:$Q$2902,U$2,0)&lt;&gt;E2874,"Beam Revised","")</f>
        <v>#N/A</v>
      </c>
      <c r="V2874" s="7" t="e">
        <f>IF(VLOOKUP($A2874,'Concrete Beam Schedule'!$A$2:$Q$2902,V$2,0)&lt;&gt;F2874,"Beam Revised","")</f>
        <v>#N/A</v>
      </c>
      <c r="W2874" s="7" t="e">
        <f>IF(VLOOKUP($A2874,'Concrete Beam Schedule'!$A$2:$Q$2902,W$2,0)&lt;&gt;G2874,"Beam Revised","")</f>
        <v>#N/A</v>
      </c>
      <c r="X2874" s="7" t="e">
        <f>IF(VLOOKUP($A2874,'Concrete Beam Schedule'!$A$2:$Q$2902,X$2,0)&lt;&gt;H2874,"Beam Revised","")</f>
        <v>#N/A</v>
      </c>
      <c r="Y2874" s="7" t="e">
        <f>IF(VLOOKUP($A2874,'Concrete Beam Schedule'!$A$2:$Q$2902,Y$2,0)&lt;&gt;I2874,"Beam Revised","")</f>
        <v>#N/A</v>
      </c>
      <c r="Z2874" s="7" t="e">
        <f>IF(VLOOKUP($A2874,'Concrete Beam Schedule'!$A$2:$Q$2902,Z$2,0)&lt;&gt;J2874,"Beam Revised","")</f>
        <v>#N/A</v>
      </c>
      <c r="AA2874" s="7" t="e">
        <f>IF(VLOOKUP($A2874,'Concrete Beam Schedule'!$A$2:$Q$2902,AA$2,0)&lt;&gt;K2874,"Beam Revised","")</f>
        <v>#N/A</v>
      </c>
      <c r="AB2874" s="7" t="e">
        <f>IF(VLOOKUP($A2874,'Concrete Beam Schedule'!$A$2:$Q$2902,AB$2,0)&lt;&gt;L2874,"Beam Revised","")</f>
        <v>#N/A</v>
      </c>
      <c r="AC2874" s="7" t="e">
        <f>IF(VLOOKUP($A2874,'Concrete Beam Schedule'!$A$2:$Q$2902,AC$2,0)&lt;&gt;M2874,"Beam Revised","")</f>
        <v>#N/A</v>
      </c>
      <c r="AD2874" s="7" t="e">
        <f>IF(VLOOKUP($A2874,'Concrete Beam Schedule'!$A$2:$Q$2902,AD$2,0)&lt;&gt;N2874,"Beam Revised","")</f>
        <v>#N/A</v>
      </c>
      <c r="AE2874" s="7" t="e">
        <f>IF(VLOOKUP($A2874,'Concrete Beam Schedule'!$A$2:$Q$2902,AE$2,0)&lt;&gt;O2874,"Beam Revised","")</f>
        <v>#N/A</v>
      </c>
    </row>
    <row r="2875" spans="17:31" ht="20.100000000000001" customHeight="1" x14ac:dyDescent="0.25">
      <c r="Q2875" s="7">
        <f t="shared" si="44"/>
        <v>0</v>
      </c>
      <c r="R2875" s="7" t="e">
        <f>IF(VLOOKUP($A2875,'Concrete Beam Schedule'!$A$2:$Q$2902,R$2,0)&lt;&gt;B2875,VLOOKUP($A2875,'Concrete Beam Schedule'!$A$2:$Q$2902,R$2,0),"")</f>
        <v>#N/A</v>
      </c>
      <c r="S2875" s="7" t="e">
        <f>IF(VLOOKUP($A2875,'Concrete Beam Schedule'!$A$2:$Q$2902,S$2,0)&lt;&gt;C2875,VLOOKUP($A2875,'Concrete Beam Schedule'!$A$2:$Q$2902,S$2,0),"")</f>
        <v>#N/A</v>
      </c>
      <c r="T2875" s="7" t="e">
        <f>IF(VLOOKUP($A2875,'Concrete Beam Schedule'!$A$2:$Q$2902,T$2,0)&lt;&gt;D2875,"Beam Revised","")</f>
        <v>#N/A</v>
      </c>
      <c r="U2875" s="7" t="e">
        <f>IF(VLOOKUP($A2875,'Concrete Beam Schedule'!$A$2:$Q$2902,U$2,0)&lt;&gt;E2875,"Beam Revised","")</f>
        <v>#N/A</v>
      </c>
      <c r="V2875" s="7" t="e">
        <f>IF(VLOOKUP($A2875,'Concrete Beam Schedule'!$A$2:$Q$2902,V$2,0)&lt;&gt;F2875,"Beam Revised","")</f>
        <v>#N/A</v>
      </c>
      <c r="W2875" s="7" t="e">
        <f>IF(VLOOKUP($A2875,'Concrete Beam Schedule'!$A$2:$Q$2902,W$2,0)&lt;&gt;G2875,"Beam Revised","")</f>
        <v>#N/A</v>
      </c>
      <c r="X2875" s="7" t="e">
        <f>IF(VLOOKUP($A2875,'Concrete Beam Schedule'!$A$2:$Q$2902,X$2,0)&lt;&gt;H2875,"Beam Revised","")</f>
        <v>#N/A</v>
      </c>
      <c r="Y2875" s="7" t="e">
        <f>IF(VLOOKUP($A2875,'Concrete Beam Schedule'!$A$2:$Q$2902,Y$2,0)&lt;&gt;I2875,"Beam Revised","")</f>
        <v>#N/A</v>
      </c>
      <c r="Z2875" s="7" t="e">
        <f>IF(VLOOKUP($A2875,'Concrete Beam Schedule'!$A$2:$Q$2902,Z$2,0)&lt;&gt;J2875,"Beam Revised","")</f>
        <v>#N/A</v>
      </c>
      <c r="AA2875" s="7" t="e">
        <f>IF(VLOOKUP($A2875,'Concrete Beam Schedule'!$A$2:$Q$2902,AA$2,0)&lt;&gt;K2875,"Beam Revised","")</f>
        <v>#N/A</v>
      </c>
      <c r="AB2875" s="7" t="e">
        <f>IF(VLOOKUP($A2875,'Concrete Beam Schedule'!$A$2:$Q$2902,AB$2,0)&lt;&gt;L2875,"Beam Revised","")</f>
        <v>#N/A</v>
      </c>
      <c r="AC2875" s="7" t="e">
        <f>IF(VLOOKUP($A2875,'Concrete Beam Schedule'!$A$2:$Q$2902,AC$2,0)&lt;&gt;M2875,"Beam Revised","")</f>
        <v>#N/A</v>
      </c>
      <c r="AD2875" s="7" t="e">
        <f>IF(VLOOKUP($A2875,'Concrete Beam Schedule'!$A$2:$Q$2902,AD$2,0)&lt;&gt;N2875,"Beam Revised","")</f>
        <v>#N/A</v>
      </c>
      <c r="AE2875" s="7" t="e">
        <f>IF(VLOOKUP($A2875,'Concrete Beam Schedule'!$A$2:$Q$2902,AE$2,0)&lt;&gt;O2875,"Beam Revised","")</f>
        <v>#N/A</v>
      </c>
    </row>
    <row r="2876" spans="17:31" ht="20.100000000000001" customHeight="1" x14ac:dyDescent="0.25">
      <c r="Q2876" s="7">
        <f t="shared" si="44"/>
        <v>0</v>
      </c>
      <c r="R2876" s="7" t="e">
        <f>IF(VLOOKUP($A2876,'Concrete Beam Schedule'!$A$2:$Q$2902,R$2,0)&lt;&gt;B2876,VLOOKUP($A2876,'Concrete Beam Schedule'!$A$2:$Q$2902,R$2,0),"")</f>
        <v>#N/A</v>
      </c>
      <c r="S2876" s="7" t="e">
        <f>IF(VLOOKUP($A2876,'Concrete Beam Schedule'!$A$2:$Q$2902,S$2,0)&lt;&gt;C2876,VLOOKUP($A2876,'Concrete Beam Schedule'!$A$2:$Q$2902,S$2,0),"")</f>
        <v>#N/A</v>
      </c>
      <c r="T2876" s="7" t="e">
        <f>IF(VLOOKUP($A2876,'Concrete Beam Schedule'!$A$2:$Q$2902,T$2,0)&lt;&gt;D2876,"Beam Revised","")</f>
        <v>#N/A</v>
      </c>
      <c r="U2876" s="7" t="e">
        <f>IF(VLOOKUP($A2876,'Concrete Beam Schedule'!$A$2:$Q$2902,U$2,0)&lt;&gt;E2876,"Beam Revised","")</f>
        <v>#N/A</v>
      </c>
      <c r="V2876" s="7" t="e">
        <f>IF(VLOOKUP($A2876,'Concrete Beam Schedule'!$A$2:$Q$2902,V$2,0)&lt;&gt;F2876,"Beam Revised","")</f>
        <v>#N/A</v>
      </c>
      <c r="W2876" s="7" t="e">
        <f>IF(VLOOKUP($A2876,'Concrete Beam Schedule'!$A$2:$Q$2902,W$2,0)&lt;&gt;G2876,"Beam Revised","")</f>
        <v>#N/A</v>
      </c>
      <c r="X2876" s="7" t="e">
        <f>IF(VLOOKUP($A2876,'Concrete Beam Schedule'!$A$2:$Q$2902,X$2,0)&lt;&gt;H2876,"Beam Revised","")</f>
        <v>#N/A</v>
      </c>
      <c r="Y2876" s="7" t="e">
        <f>IF(VLOOKUP($A2876,'Concrete Beam Schedule'!$A$2:$Q$2902,Y$2,0)&lt;&gt;I2876,"Beam Revised","")</f>
        <v>#N/A</v>
      </c>
      <c r="Z2876" s="7" t="e">
        <f>IF(VLOOKUP($A2876,'Concrete Beam Schedule'!$A$2:$Q$2902,Z$2,0)&lt;&gt;J2876,"Beam Revised","")</f>
        <v>#N/A</v>
      </c>
      <c r="AA2876" s="7" t="e">
        <f>IF(VLOOKUP($A2876,'Concrete Beam Schedule'!$A$2:$Q$2902,AA$2,0)&lt;&gt;K2876,"Beam Revised","")</f>
        <v>#N/A</v>
      </c>
      <c r="AB2876" s="7" t="e">
        <f>IF(VLOOKUP($A2876,'Concrete Beam Schedule'!$A$2:$Q$2902,AB$2,0)&lt;&gt;L2876,"Beam Revised","")</f>
        <v>#N/A</v>
      </c>
      <c r="AC2876" s="7" t="e">
        <f>IF(VLOOKUP($A2876,'Concrete Beam Schedule'!$A$2:$Q$2902,AC$2,0)&lt;&gt;M2876,"Beam Revised","")</f>
        <v>#N/A</v>
      </c>
      <c r="AD2876" s="7" t="e">
        <f>IF(VLOOKUP($A2876,'Concrete Beam Schedule'!$A$2:$Q$2902,AD$2,0)&lt;&gt;N2876,"Beam Revised","")</f>
        <v>#N/A</v>
      </c>
      <c r="AE2876" s="7" t="e">
        <f>IF(VLOOKUP($A2876,'Concrete Beam Schedule'!$A$2:$Q$2902,AE$2,0)&lt;&gt;O2876,"Beam Revised","")</f>
        <v>#N/A</v>
      </c>
    </row>
    <row r="2877" spans="17:31" ht="20.100000000000001" customHeight="1" x14ac:dyDescent="0.25">
      <c r="Q2877" s="7">
        <f t="shared" si="44"/>
        <v>0</v>
      </c>
      <c r="R2877" s="7" t="e">
        <f>IF(VLOOKUP($A2877,'Concrete Beam Schedule'!$A$2:$Q$2902,R$2,0)&lt;&gt;B2877,VLOOKUP($A2877,'Concrete Beam Schedule'!$A$2:$Q$2902,R$2,0),"")</f>
        <v>#N/A</v>
      </c>
      <c r="S2877" s="7" t="e">
        <f>IF(VLOOKUP($A2877,'Concrete Beam Schedule'!$A$2:$Q$2902,S$2,0)&lt;&gt;C2877,VLOOKUP($A2877,'Concrete Beam Schedule'!$A$2:$Q$2902,S$2,0),"")</f>
        <v>#N/A</v>
      </c>
      <c r="T2877" s="7" t="e">
        <f>IF(VLOOKUP($A2877,'Concrete Beam Schedule'!$A$2:$Q$2902,T$2,0)&lt;&gt;D2877,"Beam Revised","")</f>
        <v>#N/A</v>
      </c>
      <c r="U2877" s="7" t="e">
        <f>IF(VLOOKUP($A2877,'Concrete Beam Schedule'!$A$2:$Q$2902,U$2,0)&lt;&gt;E2877,"Beam Revised","")</f>
        <v>#N/A</v>
      </c>
      <c r="V2877" s="7" t="e">
        <f>IF(VLOOKUP($A2877,'Concrete Beam Schedule'!$A$2:$Q$2902,V$2,0)&lt;&gt;F2877,"Beam Revised","")</f>
        <v>#N/A</v>
      </c>
      <c r="W2877" s="7" t="e">
        <f>IF(VLOOKUP($A2877,'Concrete Beam Schedule'!$A$2:$Q$2902,W$2,0)&lt;&gt;G2877,"Beam Revised","")</f>
        <v>#N/A</v>
      </c>
      <c r="X2877" s="7" t="e">
        <f>IF(VLOOKUP($A2877,'Concrete Beam Schedule'!$A$2:$Q$2902,X$2,0)&lt;&gt;H2877,"Beam Revised","")</f>
        <v>#N/A</v>
      </c>
      <c r="Y2877" s="7" t="e">
        <f>IF(VLOOKUP($A2877,'Concrete Beam Schedule'!$A$2:$Q$2902,Y$2,0)&lt;&gt;I2877,"Beam Revised","")</f>
        <v>#N/A</v>
      </c>
      <c r="Z2877" s="7" t="e">
        <f>IF(VLOOKUP($A2877,'Concrete Beam Schedule'!$A$2:$Q$2902,Z$2,0)&lt;&gt;J2877,"Beam Revised","")</f>
        <v>#N/A</v>
      </c>
      <c r="AA2877" s="7" t="e">
        <f>IF(VLOOKUP($A2877,'Concrete Beam Schedule'!$A$2:$Q$2902,AA$2,0)&lt;&gt;K2877,"Beam Revised","")</f>
        <v>#N/A</v>
      </c>
      <c r="AB2877" s="7" t="e">
        <f>IF(VLOOKUP($A2877,'Concrete Beam Schedule'!$A$2:$Q$2902,AB$2,0)&lt;&gt;L2877,"Beam Revised","")</f>
        <v>#N/A</v>
      </c>
      <c r="AC2877" s="7" t="e">
        <f>IF(VLOOKUP($A2877,'Concrete Beam Schedule'!$A$2:$Q$2902,AC$2,0)&lt;&gt;M2877,"Beam Revised","")</f>
        <v>#N/A</v>
      </c>
      <c r="AD2877" s="7" t="e">
        <f>IF(VLOOKUP($A2877,'Concrete Beam Schedule'!$A$2:$Q$2902,AD$2,0)&lt;&gt;N2877,"Beam Revised","")</f>
        <v>#N/A</v>
      </c>
      <c r="AE2877" s="7" t="e">
        <f>IF(VLOOKUP($A2877,'Concrete Beam Schedule'!$A$2:$Q$2902,AE$2,0)&lt;&gt;O2877,"Beam Revised","")</f>
        <v>#N/A</v>
      </c>
    </row>
    <row r="2878" spans="17:31" ht="20.100000000000001" customHeight="1" x14ac:dyDescent="0.25">
      <c r="Q2878" s="7">
        <f t="shared" si="44"/>
        <v>0</v>
      </c>
      <c r="R2878" s="7" t="e">
        <f>IF(VLOOKUP($A2878,'Concrete Beam Schedule'!$A$2:$Q$2902,R$2,0)&lt;&gt;B2878,VLOOKUP($A2878,'Concrete Beam Schedule'!$A$2:$Q$2902,R$2,0),"")</f>
        <v>#N/A</v>
      </c>
      <c r="S2878" s="7" t="e">
        <f>IF(VLOOKUP($A2878,'Concrete Beam Schedule'!$A$2:$Q$2902,S$2,0)&lt;&gt;C2878,VLOOKUP($A2878,'Concrete Beam Schedule'!$A$2:$Q$2902,S$2,0),"")</f>
        <v>#N/A</v>
      </c>
      <c r="T2878" s="7" t="e">
        <f>IF(VLOOKUP($A2878,'Concrete Beam Schedule'!$A$2:$Q$2902,T$2,0)&lt;&gt;D2878,"Beam Revised","")</f>
        <v>#N/A</v>
      </c>
      <c r="U2878" s="7" t="e">
        <f>IF(VLOOKUP($A2878,'Concrete Beam Schedule'!$A$2:$Q$2902,U$2,0)&lt;&gt;E2878,"Beam Revised","")</f>
        <v>#N/A</v>
      </c>
      <c r="V2878" s="7" t="e">
        <f>IF(VLOOKUP($A2878,'Concrete Beam Schedule'!$A$2:$Q$2902,V$2,0)&lt;&gt;F2878,"Beam Revised","")</f>
        <v>#N/A</v>
      </c>
      <c r="W2878" s="7" t="e">
        <f>IF(VLOOKUP($A2878,'Concrete Beam Schedule'!$A$2:$Q$2902,W$2,0)&lt;&gt;G2878,"Beam Revised","")</f>
        <v>#N/A</v>
      </c>
      <c r="X2878" s="7" t="e">
        <f>IF(VLOOKUP($A2878,'Concrete Beam Schedule'!$A$2:$Q$2902,X$2,0)&lt;&gt;H2878,"Beam Revised","")</f>
        <v>#N/A</v>
      </c>
      <c r="Y2878" s="7" t="e">
        <f>IF(VLOOKUP($A2878,'Concrete Beam Schedule'!$A$2:$Q$2902,Y$2,0)&lt;&gt;I2878,"Beam Revised","")</f>
        <v>#N/A</v>
      </c>
      <c r="Z2878" s="7" t="e">
        <f>IF(VLOOKUP($A2878,'Concrete Beam Schedule'!$A$2:$Q$2902,Z$2,0)&lt;&gt;J2878,"Beam Revised","")</f>
        <v>#N/A</v>
      </c>
      <c r="AA2878" s="7" t="e">
        <f>IF(VLOOKUP($A2878,'Concrete Beam Schedule'!$A$2:$Q$2902,AA$2,0)&lt;&gt;K2878,"Beam Revised","")</f>
        <v>#N/A</v>
      </c>
      <c r="AB2878" s="7" t="e">
        <f>IF(VLOOKUP($A2878,'Concrete Beam Schedule'!$A$2:$Q$2902,AB$2,0)&lt;&gt;L2878,"Beam Revised","")</f>
        <v>#N/A</v>
      </c>
      <c r="AC2878" s="7" t="e">
        <f>IF(VLOOKUP($A2878,'Concrete Beam Schedule'!$A$2:$Q$2902,AC$2,0)&lt;&gt;M2878,"Beam Revised","")</f>
        <v>#N/A</v>
      </c>
      <c r="AD2878" s="7" t="e">
        <f>IF(VLOOKUP($A2878,'Concrete Beam Schedule'!$A$2:$Q$2902,AD$2,0)&lt;&gt;N2878,"Beam Revised","")</f>
        <v>#N/A</v>
      </c>
      <c r="AE2878" s="7" t="e">
        <f>IF(VLOOKUP($A2878,'Concrete Beam Schedule'!$A$2:$Q$2902,AE$2,0)&lt;&gt;O2878,"Beam Revised","")</f>
        <v>#N/A</v>
      </c>
    </row>
    <row r="2879" spans="17:31" ht="20.100000000000001" customHeight="1" x14ac:dyDescent="0.25">
      <c r="Q2879" s="7">
        <f t="shared" si="44"/>
        <v>0</v>
      </c>
      <c r="R2879" s="7" t="e">
        <f>IF(VLOOKUP($A2879,'Concrete Beam Schedule'!$A$2:$Q$2902,R$2,0)&lt;&gt;B2879,VLOOKUP($A2879,'Concrete Beam Schedule'!$A$2:$Q$2902,R$2,0),"")</f>
        <v>#N/A</v>
      </c>
      <c r="S2879" s="7" t="e">
        <f>IF(VLOOKUP($A2879,'Concrete Beam Schedule'!$A$2:$Q$2902,S$2,0)&lt;&gt;C2879,VLOOKUP($A2879,'Concrete Beam Schedule'!$A$2:$Q$2902,S$2,0),"")</f>
        <v>#N/A</v>
      </c>
      <c r="T2879" s="7" t="e">
        <f>IF(VLOOKUP($A2879,'Concrete Beam Schedule'!$A$2:$Q$2902,T$2,0)&lt;&gt;D2879,"Beam Revised","")</f>
        <v>#N/A</v>
      </c>
      <c r="U2879" s="7" t="e">
        <f>IF(VLOOKUP($A2879,'Concrete Beam Schedule'!$A$2:$Q$2902,U$2,0)&lt;&gt;E2879,"Beam Revised","")</f>
        <v>#N/A</v>
      </c>
      <c r="V2879" s="7" t="e">
        <f>IF(VLOOKUP($A2879,'Concrete Beam Schedule'!$A$2:$Q$2902,V$2,0)&lt;&gt;F2879,"Beam Revised","")</f>
        <v>#N/A</v>
      </c>
      <c r="W2879" s="7" t="e">
        <f>IF(VLOOKUP($A2879,'Concrete Beam Schedule'!$A$2:$Q$2902,W$2,0)&lt;&gt;G2879,"Beam Revised","")</f>
        <v>#N/A</v>
      </c>
      <c r="X2879" s="7" t="e">
        <f>IF(VLOOKUP($A2879,'Concrete Beam Schedule'!$A$2:$Q$2902,X$2,0)&lt;&gt;H2879,"Beam Revised","")</f>
        <v>#N/A</v>
      </c>
      <c r="Y2879" s="7" t="e">
        <f>IF(VLOOKUP($A2879,'Concrete Beam Schedule'!$A$2:$Q$2902,Y$2,0)&lt;&gt;I2879,"Beam Revised","")</f>
        <v>#N/A</v>
      </c>
      <c r="Z2879" s="7" t="e">
        <f>IF(VLOOKUP($A2879,'Concrete Beam Schedule'!$A$2:$Q$2902,Z$2,0)&lt;&gt;J2879,"Beam Revised","")</f>
        <v>#N/A</v>
      </c>
      <c r="AA2879" s="7" t="e">
        <f>IF(VLOOKUP($A2879,'Concrete Beam Schedule'!$A$2:$Q$2902,AA$2,0)&lt;&gt;K2879,"Beam Revised","")</f>
        <v>#N/A</v>
      </c>
      <c r="AB2879" s="7" t="e">
        <f>IF(VLOOKUP($A2879,'Concrete Beam Schedule'!$A$2:$Q$2902,AB$2,0)&lt;&gt;L2879,"Beam Revised","")</f>
        <v>#N/A</v>
      </c>
      <c r="AC2879" s="7" t="e">
        <f>IF(VLOOKUP($A2879,'Concrete Beam Schedule'!$A$2:$Q$2902,AC$2,0)&lt;&gt;M2879,"Beam Revised","")</f>
        <v>#N/A</v>
      </c>
      <c r="AD2879" s="7" t="e">
        <f>IF(VLOOKUP($A2879,'Concrete Beam Schedule'!$A$2:$Q$2902,AD$2,0)&lt;&gt;N2879,"Beam Revised","")</f>
        <v>#N/A</v>
      </c>
      <c r="AE2879" s="7" t="e">
        <f>IF(VLOOKUP($A2879,'Concrete Beam Schedule'!$A$2:$Q$2902,AE$2,0)&lt;&gt;O2879,"Beam Revised","")</f>
        <v>#N/A</v>
      </c>
    </row>
    <row r="2880" spans="17:31" ht="20.100000000000001" customHeight="1" x14ac:dyDescent="0.25">
      <c r="Q2880" s="7">
        <f t="shared" si="44"/>
        <v>0</v>
      </c>
      <c r="R2880" s="7" t="e">
        <f>IF(VLOOKUP($A2880,'Concrete Beam Schedule'!$A$2:$Q$2902,R$2,0)&lt;&gt;B2880,VLOOKUP($A2880,'Concrete Beam Schedule'!$A$2:$Q$2902,R$2,0),"")</f>
        <v>#N/A</v>
      </c>
      <c r="S2880" s="7" t="e">
        <f>IF(VLOOKUP($A2880,'Concrete Beam Schedule'!$A$2:$Q$2902,S$2,0)&lt;&gt;C2880,VLOOKUP($A2880,'Concrete Beam Schedule'!$A$2:$Q$2902,S$2,0),"")</f>
        <v>#N/A</v>
      </c>
      <c r="T2880" s="7" t="e">
        <f>IF(VLOOKUP($A2880,'Concrete Beam Schedule'!$A$2:$Q$2902,T$2,0)&lt;&gt;D2880,"Beam Revised","")</f>
        <v>#N/A</v>
      </c>
      <c r="U2880" s="7" t="e">
        <f>IF(VLOOKUP($A2880,'Concrete Beam Schedule'!$A$2:$Q$2902,U$2,0)&lt;&gt;E2880,"Beam Revised","")</f>
        <v>#N/A</v>
      </c>
      <c r="V2880" s="7" t="e">
        <f>IF(VLOOKUP($A2880,'Concrete Beam Schedule'!$A$2:$Q$2902,V$2,0)&lt;&gt;F2880,"Beam Revised","")</f>
        <v>#N/A</v>
      </c>
      <c r="W2880" s="7" t="e">
        <f>IF(VLOOKUP($A2880,'Concrete Beam Schedule'!$A$2:$Q$2902,W$2,0)&lt;&gt;G2880,"Beam Revised","")</f>
        <v>#N/A</v>
      </c>
      <c r="X2880" s="7" t="e">
        <f>IF(VLOOKUP($A2880,'Concrete Beam Schedule'!$A$2:$Q$2902,X$2,0)&lt;&gt;H2880,"Beam Revised","")</f>
        <v>#N/A</v>
      </c>
      <c r="Y2880" s="7" t="e">
        <f>IF(VLOOKUP($A2880,'Concrete Beam Schedule'!$A$2:$Q$2902,Y$2,0)&lt;&gt;I2880,"Beam Revised","")</f>
        <v>#N/A</v>
      </c>
      <c r="Z2880" s="7" t="e">
        <f>IF(VLOOKUP($A2880,'Concrete Beam Schedule'!$A$2:$Q$2902,Z$2,0)&lt;&gt;J2880,"Beam Revised","")</f>
        <v>#N/A</v>
      </c>
      <c r="AA2880" s="7" t="e">
        <f>IF(VLOOKUP($A2880,'Concrete Beam Schedule'!$A$2:$Q$2902,AA$2,0)&lt;&gt;K2880,"Beam Revised","")</f>
        <v>#N/A</v>
      </c>
      <c r="AB2880" s="7" t="e">
        <f>IF(VLOOKUP($A2880,'Concrete Beam Schedule'!$A$2:$Q$2902,AB$2,0)&lt;&gt;L2880,"Beam Revised","")</f>
        <v>#N/A</v>
      </c>
      <c r="AC2880" s="7" t="e">
        <f>IF(VLOOKUP($A2880,'Concrete Beam Schedule'!$A$2:$Q$2902,AC$2,0)&lt;&gt;M2880,"Beam Revised","")</f>
        <v>#N/A</v>
      </c>
      <c r="AD2880" s="7" t="e">
        <f>IF(VLOOKUP($A2880,'Concrete Beam Schedule'!$A$2:$Q$2902,AD$2,0)&lt;&gt;N2880,"Beam Revised","")</f>
        <v>#N/A</v>
      </c>
      <c r="AE2880" s="7" t="e">
        <f>IF(VLOOKUP($A2880,'Concrete Beam Schedule'!$A$2:$Q$2902,AE$2,0)&lt;&gt;O2880,"Beam Revised","")</f>
        <v>#N/A</v>
      </c>
    </row>
    <row r="2881" spans="17:31" ht="20.100000000000001" customHeight="1" x14ac:dyDescent="0.25">
      <c r="Q2881" s="7">
        <f t="shared" si="44"/>
        <v>0</v>
      </c>
      <c r="R2881" s="7" t="e">
        <f>IF(VLOOKUP($A2881,'Concrete Beam Schedule'!$A$2:$Q$2902,R$2,0)&lt;&gt;B2881,VLOOKUP($A2881,'Concrete Beam Schedule'!$A$2:$Q$2902,R$2,0),"")</f>
        <v>#N/A</v>
      </c>
      <c r="S2881" s="7" t="e">
        <f>IF(VLOOKUP($A2881,'Concrete Beam Schedule'!$A$2:$Q$2902,S$2,0)&lt;&gt;C2881,VLOOKUP($A2881,'Concrete Beam Schedule'!$A$2:$Q$2902,S$2,0),"")</f>
        <v>#N/A</v>
      </c>
      <c r="T2881" s="7" t="e">
        <f>IF(VLOOKUP($A2881,'Concrete Beam Schedule'!$A$2:$Q$2902,T$2,0)&lt;&gt;D2881,"Beam Revised","")</f>
        <v>#N/A</v>
      </c>
      <c r="U2881" s="7" t="e">
        <f>IF(VLOOKUP($A2881,'Concrete Beam Schedule'!$A$2:$Q$2902,U$2,0)&lt;&gt;E2881,"Beam Revised","")</f>
        <v>#N/A</v>
      </c>
      <c r="V2881" s="7" t="e">
        <f>IF(VLOOKUP($A2881,'Concrete Beam Schedule'!$A$2:$Q$2902,V$2,0)&lt;&gt;F2881,"Beam Revised","")</f>
        <v>#N/A</v>
      </c>
      <c r="W2881" s="7" t="e">
        <f>IF(VLOOKUP($A2881,'Concrete Beam Schedule'!$A$2:$Q$2902,W$2,0)&lt;&gt;G2881,"Beam Revised","")</f>
        <v>#N/A</v>
      </c>
      <c r="X2881" s="7" t="e">
        <f>IF(VLOOKUP($A2881,'Concrete Beam Schedule'!$A$2:$Q$2902,X$2,0)&lt;&gt;H2881,"Beam Revised","")</f>
        <v>#N/A</v>
      </c>
      <c r="Y2881" s="7" t="e">
        <f>IF(VLOOKUP($A2881,'Concrete Beam Schedule'!$A$2:$Q$2902,Y$2,0)&lt;&gt;I2881,"Beam Revised","")</f>
        <v>#N/A</v>
      </c>
      <c r="Z2881" s="7" t="e">
        <f>IF(VLOOKUP($A2881,'Concrete Beam Schedule'!$A$2:$Q$2902,Z$2,0)&lt;&gt;J2881,"Beam Revised","")</f>
        <v>#N/A</v>
      </c>
      <c r="AA2881" s="7" t="e">
        <f>IF(VLOOKUP($A2881,'Concrete Beam Schedule'!$A$2:$Q$2902,AA$2,0)&lt;&gt;K2881,"Beam Revised","")</f>
        <v>#N/A</v>
      </c>
      <c r="AB2881" s="7" t="e">
        <f>IF(VLOOKUP($A2881,'Concrete Beam Schedule'!$A$2:$Q$2902,AB$2,0)&lt;&gt;L2881,"Beam Revised","")</f>
        <v>#N/A</v>
      </c>
      <c r="AC2881" s="7" t="e">
        <f>IF(VLOOKUP($A2881,'Concrete Beam Schedule'!$A$2:$Q$2902,AC$2,0)&lt;&gt;M2881,"Beam Revised","")</f>
        <v>#N/A</v>
      </c>
      <c r="AD2881" s="7" t="e">
        <f>IF(VLOOKUP($A2881,'Concrete Beam Schedule'!$A$2:$Q$2902,AD$2,0)&lt;&gt;N2881,"Beam Revised","")</f>
        <v>#N/A</v>
      </c>
      <c r="AE2881" s="7" t="e">
        <f>IF(VLOOKUP($A2881,'Concrete Beam Schedule'!$A$2:$Q$2902,AE$2,0)&lt;&gt;O2881,"Beam Revised","")</f>
        <v>#N/A</v>
      </c>
    </row>
    <row r="2882" spans="17:31" ht="20.100000000000001" customHeight="1" x14ac:dyDescent="0.25">
      <c r="Q2882" s="7">
        <f t="shared" si="44"/>
        <v>0</v>
      </c>
      <c r="R2882" s="7" t="e">
        <f>IF(VLOOKUP($A2882,'Concrete Beam Schedule'!$A$2:$Q$2902,R$2,0)&lt;&gt;B2882,VLOOKUP($A2882,'Concrete Beam Schedule'!$A$2:$Q$2902,R$2,0),"")</f>
        <v>#N/A</v>
      </c>
      <c r="S2882" s="7" t="e">
        <f>IF(VLOOKUP($A2882,'Concrete Beam Schedule'!$A$2:$Q$2902,S$2,0)&lt;&gt;C2882,VLOOKUP($A2882,'Concrete Beam Schedule'!$A$2:$Q$2902,S$2,0),"")</f>
        <v>#N/A</v>
      </c>
      <c r="T2882" s="7" t="e">
        <f>IF(VLOOKUP($A2882,'Concrete Beam Schedule'!$A$2:$Q$2902,T$2,0)&lt;&gt;D2882,"Beam Revised","")</f>
        <v>#N/A</v>
      </c>
      <c r="U2882" s="7" t="e">
        <f>IF(VLOOKUP($A2882,'Concrete Beam Schedule'!$A$2:$Q$2902,U$2,0)&lt;&gt;E2882,"Beam Revised","")</f>
        <v>#N/A</v>
      </c>
      <c r="V2882" s="7" t="e">
        <f>IF(VLOOKUP($A2882,'Concrete Beam Schedule'!$A$2:$Q$2902,V$2,0)&lt;&gt;F2882,"Beam Revised","")</f>
        <v>#N/A</v>
      </c>
      <c r="W2882" s="7" t="e">
        <f>IF(VLOOKUP($A2882,'Concrete Beam Schedule'!$A$2:$Q$2902,W$2,0)&lt;&gt;G2882,"Beam Revised","")</f>
        <v>#N/A</v>
      </c>
      <c r="X2882" s="7" t="e">
        <f>IF(VLOOKUP($A2882,'Concrete Beam Schedule'!$A$2:$Q$2902,X$2,0)&lt;&gt;H2882,"Beam Revised","")</f>
        <v>#N/A</v>
      </c>
      <c r="Y2882" s="7" t="e">
        <f>IF(VLOOKUP($A2882,'Concrete Beam Schedule'!$A$2:$Q$2902,Y$2,0)&lt;&gt;I2882,"Beam Revised","")</f>
        <v>#N/A</v>
      </c>
      <c r="Z2882" s="7" t="e">
        <f>IF(VLOOKUP($A2882,'Concrete Beam Schedule'!$A$2:$Q$2902,Z$2,0)&lt;&gt;J2882,"Beam Revised","")</f>
        <v>#N/A</v>
      </c>
      <c r="AA2882" s="7" t="e">
        <f>IF(VLOOKUP($A2882,'Concrete Beam Schedule'!$A$2:$Q$2902,AA$2,0)&lt;&gt;K2882,"Beam Revised","")</f>
        <v>#N/A</v>
      </c>
      <c r="AB2882" s="7" t="e">
        <f>IF(VLOOKUP($A2882,'Concrete Beam Schedule'!$A$2:$Q$2902,AB$2,0)&lt;&gt;L2882,"Beam Revised","")</f>
        <v>#N/A</v>
      </c>
      <c r="AC2882" s="7" t="e">
        <f>IF(VLOOKUP($A2882,'Concrete Beam Schedule'!$A$2:$Q$2902,AC$2,0)&lt;&gt;M2882,"Beam Revised","")</f>
        <v>#N/A</v>
      </c>
      <c r="AD2882" s="7" t="e">
        <f>IF(VLOOKUP($A2882,'Concrete Beam Schedule'!$A$2:$Q$2902,AD$2,0)&lt;&gt;N2882,"Beam Revised","")</f>
        <v>#N/A</v>
      </c>
      <c r="AE2882" s="7" t="e">
        <f>IF(VLOOKUP($A2882,'Concrete Beam Schedule'!$A$2:$Q$2902,AE$2,0)&lt;&gt;O2882,"Beam Revised","")</f>
        <v>#N/A</v>
      </c>
    </row>
    <row r="2883" spans="17:31" ht="20.100000000000001" customHeight="1" x14ac:dyDescent="0.25">
      <c r="Q2883" s="7">
        <f t="shared" si="44"/>
        <v>0</v>
      </c>
      <c r="R2883" s="7" t="e">
        <f>IF(VLOOKUP($A2883,'Concrete Beam Schedule'!$A$2:$Q$2902,R$2,0)&lt;&gt;B2883,VLOOKUP($A2883,'Concrete Beam Schedule'!$A$2:$Q$2902,R$2,0),"")</f>
        <v>#N/A</v>
      </c>
      <c r="S2883" s="7" t="e">
        <f>IF(VLOOKUP($A2883,'Concrete Beam Schedule'!$A$2:$Q$2902,S$2,0)&lt;&gt;C2883,VLOOKUP($A2883,'Concrete Beam Schedule'!$A$2:$Q$2902,S$2,0),"")</f>
        <v>#N/A</v>
      </c>
      <c r="T2883" s="7" t="e">
        <f>IF(VLOOKUP($A2883,'Concrete Beam Schedule'!$A$2:$Q$2902,T$2,0)&lt;&gt;D2883,"Beam Revised","")</f>
        <v>#N/A</v>
      </c>
      <c r="U2883" s="7" t="e">
        <f>IF(VLOOKUP($A2883,'Concrete Beam Schedule'!$A$2:$Q$2902,U$2,0)&lt;&gt;E2883,"Beam Revised","")</f>
        <v>#N/A</v>
      </c>
      <c r="V2883" s="7" t="e">
        <f>IF(VLOOKUP($A2883,'Concrete Beam Schedule'!$A$2:$Q$2902,V$2,0)&lt;&gt;F2883,"Beam Revised","")</f>
        <v>#N/A</v>
      </c>
      <c r="W2883" s="7" t="e">
        <f>IF(VLOOKUP($A2883,'Concrete Beam Schedule'!$A$2:$Q$2902,W$2,0)&lt;&gt;G2883,"Beam Revised","")</f>
        <v>#N/A</v>
      </c>
      <c r="X2883" s="7" t="e">
        <f>IF(VLOOKUP($A2883,'Concrete Beam Schedule'!$A$2:$Q$2902,X$2,0)&lt;&gt;H2883,"Beam Revised","")</f>
        <v>#N/A</v>
      </c>
      <c r="Y2883" s="7" t="e">
        <f>IF(VLOOKUP($A2883,'Concrete Beam Schedule'!$A$2:$Q$2902,Y$2,0)&lt;&gt;I2883,"Beam Revised","")</f>
        <v>#N/A</v>
      </c>
      <c r="Z2883" s="7" t="e">
        <f>IF(VLOOKUP($A2883,'Concrete Beam Schedule'!$A$2:$Q$2902,Z$2,0)&lt;&gt;J2883,"Beam Revised","")</f>
        <v>#N/A</v>
      </c>
      <c r="AA2883" s="7" t="e">
        <f>IF(VLOOKUP($A2883,'Concrete Beam Schedule'!$A$2:$Q$2902,AA$2,0)&lt;&gt;K2883,"Beam Revised","")</f>
        <v>#N/A</v>
      </c>
      <c r="AB2883" s="7" t="e">
        <f>IF(VLOOKUP($A2883,'Concrete Beam Schedule'!$A$2:$Q$2902,AB$2,0)&lt;&gt;L2883,"Beam Revised","")</f>
        <v>#N/A</v>
      </c>
      <c r="AC2883" s="7" t="e">
        <f>IF(VLOOKUP($A2883,'Concrete Beam Schedule'!$A$2:$Q$2902,AC$2,0)&lt;&gt;M2883,"Beam Revised","")</f>
        <v>#N/A</v>
      </c>
      <c r="AD2883" s="7" t="e">
        <f>IF(VLOOKUP($A2883,'Concrete Beam Schedule'!$A$2:$Q$2902,AD$2,0)&lt;&gt;N2883,"Beam Revised","")</f>
        <v>#N/A</v>
      </c>
      <c r="AE2883" s="7" t="e">
        <f>IF(VLOOKUP($A2883,'Concrete Beam Schedule'!$A$2:$Q$2902,AE$2,0)&lt;&gt;O2883,"Beam Revised","")</f>
        <v>#N/A</v>
      </c>
    </row>
    <row r="2884" spans="17:31" ht="20.100000000000001" customHeight="1" x14ac:dyDescent="0.25">
      <c r="Q2884" s="7">
        <f t="shared" ref="Q2884:Q2947" si="45">A2884</f>
        <v>0</v>
      </c>
      <c r="R2884" s="7" t="e">
        <f>IF(VLOOKUP($A2884,'Concrete Beam Schedule'!$A$2:$Q$2902,R$2,0)&lt;&gt;B2884,VLOOKUP($A2884,'Concrete Beam Schedule'!$A$2:$Q$2902,R$2,0),"")</f>
        <v>#N/A</v>
      </c>
      <c r="S2884" s="7" t="e">
        <f>IF(VLOOKUP($A2884,'Concrete Beam Schedule'!$A$2:$Q$2902,S$2,0)&lt;&gt;C2884,VLOOKUP($A2884,'Concrete Beam Schedule'!$A$2:$Q$2902,S$2,0),"")</f>
        <v>#N/A</v>
      </c>
      <c r="T2884" s="7" t="e">
        <f>IF(VLOOKUP($A2884,'Concrete Beam Schedule'!$A$2:$Q$2902,T$2,0)&lt;&gt;D2884,"Beam Revised","")</f>
        <v>#N/A</v>
      </c>
      <c r="U2884" s="7" t="e">
        <f>IF(VLOOKUP($A2884,'Concrete Beam Schedule'!$A$2:$Q$2902,U$2,0)&lt;&gt;E2884,"Beam Revised","")</f>
        <v>#N/A</v>
      </c>
      <c r="V2884" s="7" t="e">
        <f>IF(VLOOKUP($A2884,'Concrete Beam Schedule'!$A$2:$Q$2902,V$2,0)&lt;&gt;F2884,"Beam Revised","")</f>
        <v>#N/A</v>
      </c>
      <c r="W2884" s="7" t="e">
        <f>IF(VLOOKUP($A2884,'Concrete Beam Schedule'!$A$2:$Q$2902,W$2,0)&lt;&gt;G2884,"Beam Revised","")</f>
        <v>#N/A</v>
      </c>
      <c r="X2884" s="7" t="e">
        <f>IF(VLOOKUP($A2884,'Concrete Beam Schedule'!$A$2:$Q$2902,X$2,0)&lt;&gt;H2884,"Beam Revised","")</f>
        <v>#N/A</v>
      </c>
      <c r="Y2884" s="7" t="e">
        <f>IF(VLOOKUP($A2884,'Concrete Beam Schedule'!$A$2:$Q$2902,Y$2,0)&lt;&gt;I2884,"Beam Revised","")</f>
        <v>#N/A</v>
      </c>
      <c r="Z2884" s="7" t="e">
        <f>IF(VLOOKUP($A2884,'Concrete Beam Schedule'!$A$2:$Q$2902,Z$2,0)&lt;&gt;J2884,"Beam Revised","")</f>
        <v>#N/A</v>
      </c>
      <c r="AA2884" s="7" t="e">
        <f>IF(VLOOKUP($A2884,'Concrete Beam Schedule'!$A$2:$Q$2902,AA$2,0)&lt;&gt;K2884,"Beam Revised","")</f>
        <v>#N/A</v>
      </c>
      <c r="AB2884" s="7" t="e">
        <f>IF(VLOOKUP($A2884,'Concrete Beam Schedule'!$A$2:$Q$2902,AB$2,0)&lt;&gt;L2884,"Beam Revised","")</f>
        <v>#N/A</v>
      </c>
      <c r="AC2884" s="7" t="e">
        <f>IF(VLOOKUP($A2884,'Concrete Beam Schedule'!$A$2:$Q$2902,AC$2,0)&lt;&gt;M2884,"Beam Revised","")</f>
        <v>#N/A</v>
      </c>
      <c r="AD2884" s="7" t="e">
        <f>IF(VLOOKUP($A2884,'Concrete Beam Schedule'!$A$2:$Q$2902,AD$2,0)&lt;&gt;N2884,"Beam Revised","")</f>
        <v>#N/A</v>
      </c>
      <c r="AE2884" s="7" t="e">
        <f>IF(VLOOKUP($A2884,'Concrete Beam Schedule'!$A$2:$Q$2902,AE$2,0)&lt;&gt;O2884,"Beam Revised","")</f>
        <v>#N/A</v>
      </c>
    </row>
    <row r="2885" spans="17:31" ht="20.100000000000001" customHeight="1" x14ac:dyDescent="0.25">
      <c r="Q2885" s="7">
        <f t="shared" si="45"/>
        <v>0</v>
      </c>
      <c r="R2885" s="7" t="e">
        <f>IF(VLOOKUP($A2885,'Concrete Beam Schedule'!$A$2:$Q$2902,R$2,0)&lt;&gt;B2885,VLOOKUP($A2885,'Concrete Beam Schedule'!$A$2:$Q$2902,R$2,0),"")</f>
        <v>#N/A</v>
      </c>
      <c r="S2885" s="7" t="e">
        <f>IF(VLOOKUP($A2885,'Concrete Beam Schedule'!$A$2:$Q$2902,S$2,0)&lt;&gt;C2885,VLOOKUP($A2885,'Concrete Beam Schedule'!$A$2:$Q$2902,S$2,0),"")</f>
        <v>#N/A</v>
      </c>
      <c r="T2885" s="7" t="e">
        <f>IF(VLOOKUP($A2885,'Concrete Beam Schedule'!$A$2:$Q$2902,T$2,0)&lt;&gt;D2885,"Beam Revised","")</f>
        <v>#N/A</v>
      </c>
      <c r="U2885" s="7" t="e">
        <f>IF(VLOOKUP($A2885,'Concrete Beam Schedule'!$A$2:$Q$2902,U$2,0)&lt;&gt;E2885,"Beam Revised","")</f>
        <v>#N/A</v>
      </c>
      <c r="V2885" s="7" t="e">
        <f>IF(VLOOKUP($A2885,'Concrete Beam Schedule'!$A$2:$Q$2902,V$2,0)&lt;&gt;F2885,"Beam Revised","")</f>
        <v>#N/A</v>
      </c>
      <c r="W2885" s="7" t="e">
        <f>IF(VLOOKUP($A2885,'Concrete Beam Schedule'!$A$2:$Q$2902,W$2,0)&lt;&gt;G2885,"Beam Revised","")</f>
        <v>#N/A</v>
      </c>
      <c r="X2885" s="7" t="e">
        <f>IF(VLOOKUP($A2885,'Concrete Beam Schedule'!$A$2:$Q$2902,X$2,0)&lt;&gt;H2885,"Beam Revised","")</f>
        <v>#N/A</v>
      </c>
      <c r="Y2885" s="7" t="e">
        <f>IF(VLOOKUP($A2885,'Concrete Beam Schedule'!$A$2:$Q$2902,Y$2,0)&lt;&gt;I2885,"Beam Revised","")</f>
        <v>#N/A</v>
      </c>
      <c r="Z2885" s="7" t="e">
        <f>IF(VLOOKUP($A2885,'Concrete Beam Schedule'!$A$2:$Q$2902,Z$2,0)&lt;&gt;J2885,"Beam Revised","")</f>
        <v>#N/A</v>
      </c>
      <c r="AA2885" s="7" t="e">
        <f>IF(VLOOKUP($A2885,'Concrete Beam Schedule'!$A$2:$Q$2902,AA$2,0)&lt;&gt;K2885,"Beam Revised","")</f>
        <v>#N/A</v>
      </c>
      <c r="AB2885" s="7" t="e">
        <f>IF(VLOOKUP($A2885,'Concrete Beam Schedule'!$A$2:$Q$2902,AB$2,0)&lt;&gt;L2885,"Beam Revised","")</f>
        <v>#N/A</v>
      </c>
      <c r="AC2885" s="7" t="e">
        <f>IF(VLOOKUP($A2885,'Concrete Beam Schedule'!$A$2:$Q$2902,AC$2,0)&lt;&gt;M2885,"Beam Revised","")</f>
        <v>#N/A</v>
      </c>
      <c r="AD2885" s="7" t="e">
        <f>IF(VLOOKUP($A2885,'Concrete Beam Schedule'!$A$2:$Q$2902,AD$2,0)&lt;&gt;N2885,"Beam Revised","")</f>
        <v>#N/A</v>
      </c>
      <c r="AE2885" s="7" t="e">
        <f>IF(VLOOKUP($A2885,'Concrete Beam Schedule'!$A$2:$Q$2902,AE$2,0)&lt;&gt;O2885,"Beam Revised","")</f>
        <v>#N/A</v>
      </c>
    </row>
    <row r="2886" spans="17:31" ht="20.100000000000001" customHeight="1" x14ac:dyDescent="0.25">
      <c r="Q2886" s="7">
        <f t="shared" si="45"/>
        <v>0</v>
      </c>
      <c r="R2886" s="7" t="e">
        <f>IF(VLOOKUP($A2886,'Concrete Beam Schedule'!$A$2:$Q$2902,R$2,0)&lt;&gt;B2886,VLOOKUP($A2886,'Concrete Beam Schedule'!$A$2:$Q$2902,R$2,0),"")</f>
        <v>#N/A</v>
      </c>
      <c r="S2886" s="7" t="e">
        <f>IF(VLOOKUP($A2886,'Concrete Beam Schedule'!$A$2:$Q$2902,S$2,0)&lt;&gt;C2886,VLOOKUP($A2886,'Concrete Beam Schedule'!$A$2:$Q$2902,S$2,0),"")</f>
        <v>#N/A</v>
      </c>
      <c r="T2886" s="7" t="e">
        <f>IF(VLOOKUP($A2886,'Concrete Beam Schedule'!$A$2:$Q$2902,T$2,0)&lt;&gt;D2886,"Beam Revised","")</f>
        <v>#N/A</v>
      </c>
      <c r="U2886" s="7" t="e">
        <f>IF(VLOOKUP($A2886,'Concrete Beam Schedule'!$A$2:$Q$2902,U$2,0)&lt;&gt;E2886,"Beam Revised","")</f>
        <v>#N/A</v>
      </c>
      <c r="V2886" s="7" t="e">
        <f>IF(VLOOKUP($A2886,'Concrete Beam Schedule'!$A$2:$Q$2902,V$2,0)&lt;&gt;F2886,"Beam Revised","")</f>
        <v>#N/A</v>
      </c>
      <c r="W2886" s="7" t="e">
        <f>IF(VLOOKUP($A2886,'Concrete Beam Schedule'!$A$2:$Q$2902,W$2,0)&lt;&gt;G2886,"Beam Revised","")</f>
        <v>#N/A</v>
      </c>
      <c r="X2886" s="7" t="e">
        <f>IF(VLOOKUP($A2886,'Concrete Beam Schedule'!$A$2:$Q$2902,X$2,0)&lt;&gt;H2886,"Beam Revised","")</f>
        <v>#N/A</v>
      </c>
      <c r="Y2886" s="7" t="e">
        <f>IF(VLOOKUP($A2886,'Concrete Beam Schedule'!$A$2:$Q$2902,Y$2,0)&lt;&gt;I2886,"Beam Revised","")</f>
        <v>#N/A</v>
      </c>
      <c r="Z2886" s="7" t="e">
        <f>IF(VLOOKUP($A2886,'Concrete Beam Schedule'!$A$2:$Q$2902,Z$2,0)&lt;&gt;J2886,"Beam Revised","")</f>
        <v>#N/A</v>
      </c>
      <c r="AA2886" s="7" t="e">
        <f>IF(VLOOKUP($A2886,'Concrete Beam Schedule'!$A$2:$Q$2902,AA$2,0)&lt;&gt;K2886,"Beam Revised","")</f>
        <v>#N/A</v>
      </c>
      <c r="AB2886" s="7" t="e">
        <f>IF(VLOOKUP($A2886,'Concrete Beam Schedule'!$A$2:$Q$2902,AB$2,0)&lt;&gt;L2886,"Beam Revised","")</f>
        <v>#N/A</v>
      </c>
      <c r="AC2886" s="7" t="e">
        <f>IF(VLOOKUP($A2886,'Concrete Beam Schedule'!$A$2:$Q$2902,AC$2,0)&lt;&gt;M2886,"Beam Revised","")</f>
        <v>#N/A</v>
      </c>
      <c r="AD2886" s="7" t="e">
        <f>IF(VLOOKUP($A2886,'Concrete Beam Schedule'!$A$2:$Q$2902,AD$2,0)&lt;&gt;N2886,"Beam Revised","")</f>
        <v>#N/A</v>
      </c>
      <c r="AE2886" s="7" t="e">
        <f>IF(VLOOKUP($A2886,'Concrete Beam Schedule'!$A$2:$Q$2902,AE$2,0)&lt;&gt;O2886,"Beam Revised","")</f>
        <v>#N/A</v>
      </c>
    </row>
    <row r="2887" spans="17:31" ht="20.100000000000001" customHeight="1" x14ac:dyDescent="0.25">
      <c r="Q2887" s="7">
        <f t="shared" si="45"/>
        <v>0</v>
      </c>
      <c r="R2887" s="7" t="e">
        <f>IF(VLOOKUP($A2887,'Concrete Beam Schedule'!$A$2:$Q$2902,R$2,0)&lt;&gt;B2887,VLOOKUP($A2887,'Concrete Beam Schedule'!$A$2:$Q$2902,R$2,0),"")</f>
        <v>#N/A</v>
      </c>
      <c r="S2887" s="7" t="e">
        <f>IF(VLOOKUP($A2887,'Concrete Beam Schedule'!$A$2:$Q$2902,S$2,0)&lt;&gt;C2887,VLOOKUP($A2887,'Concrete Beam Schedule'!$A$2:$Q$2902,S$2,0),"")</f>
        <v>#N/A</v>
      </c>
      <c r="T2887" s="7" t="e">
        <f>IF(VLOOKUP($A2887,'Concrete Beam Schedule'!$A$2:$Q$2902,T$2,0)&lt;&gt;D2887,"Beam Revised","")</f>
        <v>#N/A</v>
      </c>
      <c r="U2887" s="7" t="e">
        <f>IF(VLOOKUP($A2887,'Concrete Beam Schedule'!$A$2:$Q$2902,U$2,0)&lt;&gt;E2887,"Beam Revised","")</f>
        <v>#N/A</v>
      </c>
      <c r="V2887" s="7" t="e">
        <f>IF(VLOOKUP($A2887,'Concrete Beam Schedule'!$A$2:$Q$2902,V$2,0)&lt;&gt;F2887,"Beam Revised","")</f>
        <v>#N/A</v>
      </c>
      <c r="W2887" s="7" t="e">
        <f>IF(VLOOKUP($A2887,'Concrete Beam Schedule'!$A$2:$Q$2902,W$2,0)&lt;&gt;G2887,"Beam Revised","")</f>
        <v>#N/A</v>
      </c>
      <c r="X2887" s="7" t="e">
        <f>IF(VLOOKUP($A2887,'Concrete Beam Schedule'!$A$2:$Q$2902,X$2,0)&lt;&gt;H2887,"Beam Revised","")</f>
        <v>#N/A</v>
      </c>
      <c r="Y2887" s="7" t="e">
        <f>IF(VLOOKUP($A2887,'Concrete Beam Schedule'!$A$2:$Q$2902,Y$2,0)&lt;&gt;I2887,"Beam Revised","")</f>
        <v>#N/A</v>
      </c>
      <c r="Z2887" s="7" t="e">
        <f>IF(VLOOKUP($A2887,'Concrete Beam Schedule'!$A$2:$Q$2902,Z$2,0)&lt;&gt;J2887,"Beam Revised","")</f>
        <v>#N/A</v>
      </c>
      <c r="AA2887" s="7" t="e">
        <f>IF(VLOOKUP($A2887,'Concrete Beam Schedule'!$A$2:$Q$2902,AA$2,0)&lt;&gt;K2887,"Beam Revised","")</f>
        <v>#N/A</v>
      </c>
      <c r="AB2887" s="7" t="e">
        <f>IF(VLOOKUP($A2887,'Concrete Beam Schedule'!$A$2:$Q$2902,AB$2,0)&lt;&gt;L2887,"Beam Revised","")</f>
        <v>#N/A</v>
      </c>
      <c r="AC2887" s="7" t="e">
        <f>IF(VLOOKUP($A2887,'Concrete Beam Schedule'!$A$2:$Q$2902,AC$2,0)&lt;&gt;M2887,"Beam Revised","")</f>
        <v>#N/A</v>
      </c>
      <c r="AD2887" s="7" t="e">
        <f>IF(VLOOKUP($A2887,'Concrete Beam Schedule'!$A$2:$Q$2902,AD$2,0)&lt;&gt;N2887,"Beam Revised","")</f>
        <v>#N/A</v>
      </c>
      <c r="AE2887" s="7" t="e">
        <f>IF(VLOOKUP($A2887,'Concrete Beam Schedule'!$A$2:$Q$2902,AE$2,0)&lt;&gt;O2887,"Beam Revised","")</f>
        <v>#N/A</v>
      </c>
    </row>
    <row r="2888" spans="17:31" ht="20.100000000000001" customHeight="1" x14ac:dyDescent="0.25">
      <c r="Q2888" s="7">
        <f t="shared" si="45"/>
        <v>0</v>
      </c>
      <c r="R2888" s="7" t="e">
        <f>IF(VLOOKUP($A2888,'Concrete Beam Schedule'!$A$2:$Q$2902,R$2,0)&lt;&gt;B2888,VLOOKUP($A2888,'Concrete Beam Schedule'!$A$2:$Q$2902,R$2,0),"")</f>
        <v>#N/A</v>
      </c>
      <c r="S2888" s="7" t="e">
        <f>IF(VLOOKUP($A2888,'Concrete Beam Schedule'!$A$2:$Q$2902,S$2,0)&lt;&gt;C2888,VLOOKUP($A2888,'Concrete Beam Schedule'!$A$2:$Q$2902,S$2,0),"")</f>
        <v>#N/A</v>
      </c>
      <c r="T2888" s="7" t="e">
        <f>IF(VLOOKUP($A2888,'Concrete Beam Schedule'!$A$2:$Q$2902,T$2,0)&lt;&gt;D2888,"Beam Revised","")</f>
        <v>#N/A</v>
      </c>
      <c r="U2888" s="7" t="e">
        <f>IF(VLOOKUP($A2888,'Concrete Beam Schedule'!$A$2:$Q$2902,U$2,0)&lt;&gt;E2888,"Beam Revised","")</f>
        <v>#N/A</v>
      </c>
      <c r="V2888" s="7" t="e">
        <f>IF(VLOOKUP($A2888,'Concrete Beam Schedule'!$A$2:$Q$2902,V$2,0)&lt;&gt;F2888,"Beam Revised","")</f>
        <v>#N/A</v>
      </c>
      <c r="W2888" s="7" t="e">
        <f>IF(VLOOKUP($A2888,'Concrete Beam Schedule'!$A$2:$Q$2902,W$2,0)&lt;&gt;G2888,"Beam Revised","")</f>
        <v>#N/A</v>
      </c>
      <c r="X2888" s="7" t="e">
        <f>IF(VLOOKUP($A2888,'Concrete Beam Schedule'!$A$2:$Q$2902,X$2,0)&lt;&gt;H2888,"Beam Revised","")</f>
        <v>#N/A</v>
      </c>
      <c r="Y2888" s="7" t="e">
        <f>IF(VLOOKUP($A2888,'Concrete Beam Schedule'!$A$2:$Q$2902,Y$2,0)&lt;&gt;I2888,"Beam Revised","")</f>
        <v>#N/A</v>
      </c>
      <c r="Z2888" s="7" t="e">
        <f>IF(VLOOKUP($A2888,'Concrete Beam Schedule'!$A$2:$Q$2902,Z$2,0)&lt;&gt;J2888,"Beam Revised","")</f>
        <v>#N/A</v>
      </c>
      <c r="AA2888" s="7" t="e">
        <f>IF(VLOOKUP($A2888,'Concrete Beam Schedule'!$A$2:$Q$2902,AA$2,0)&lt;&gt;K2888,"Beam Revised","")</f>
        <v>#N/A</v>
      </c>
      <c r="AB2888" s="7" t="e">
        <f>IF(VLOOKUP($A2888,'Concrete Beam Schedule'!$A$2:$Q$2902,AB$2,0)&lt;&gt;L2888,"Beam Revised","")</f>
        <v>#N/A</v>
      </c>
      <c r="AC2888" s="7" t="e">
        <f>IF(VLOOKUP($A2888,'Concrete Beam Schedule'!$A$2:$Q$2902,AC$2,0)&lt;&gt;M2888,"Beam Revised","")</f>
        <v>#N/A</v>
      </c>
      <c r="AD2888" s="7" t="e">
        <f>IF(VLOOKUP($A2888,'Concrete Beam Schedule'!$A$2:$Q$2902,AD$2,0)&lt;&gt;N2888,"Beam Revised","")</f>
        <v>#N/A</v>
      </c>
      <c r="AE2888" s="7" t="e">
        <f>IF(VLOOKUP($A2888,'Concrete Beam Schedule'!$A$2:$Q$2902,AE$2,0)&lt;&gt;O2888,"Beam Revised","")</f>
        <v>#N/A</v>
      </c>
    </row>
    <row r="2889" spans="17:31" ht="20.100000000000001" customHeight="1" x14ac:dyDescent="0.25">
      <c r="Q2889" s="7">
        <f t="shared" si="45"/>
        <v>0</v>
      </c>
      <c r="R2889" s="7" t="e">
        <f>IF(VLOOKUP($A2889,'Concrete Beam Schedule'!$A$2:$Q$2902,R$2,0)&lt;&gt;B2889,VLOOKUP($A2889,'Concrete Beam Schedule'!$A$2:$Q$2902,R$2,0),"")</f>
        <v>#N/A</v>
      </c>
      <c r="S2889" s="7" t="e">
        <f>IF(VLOOKUP($A2889,'Concrete Beam Schedule'!$A$2:$Q$2902,S$2,0)&lt;&gt;C2889,VLOOKUP($A2889,'Concrete Beam Schedule'!$A$2:$Q$2902,S$2,0),"")</f>
        <v>#N/A</v>
      </c>
      <c r="T2889" s="7" t="e">
        <f>IF(VLOOKUP($A2889,'Concrete Beam Schedule'!$A$2:$Q$2902,T$2,0)&lt;&gt;D2889,"Beam Revised","")</f>
        <v>#N/A</v>
      </c>
      <c r="U2889" s="7" t="e">
        <f>IF(VLOOKUP($A2889,'Concrete Beam Schedule'!$A$2:$Q$2902,U$2,0)&lt;&gt;E2889,"Beam Revised","")</f>
        <v>#N/A</v>
      </c>
      <c r="V2889" s="7" t="e">
        <f>IF(VLOOKUP($A2889,'Concrete Beam Schedule'!$A$2:$Q$2902,V$2,0)&lt;&gt;F2889,"Beam Revised","")</f>
        <v>#N/A</v>
      </c>
      <c r="W2889" s="7" t="e">
        <f>IF(VLOOKUP($A2889,'Concrete Beam Schedule'!$A$2:$Q$2902,W$2,0)&lt;&gt;G2889,"Beam Revised","")</f>
        <v>#N/A</v>
      </c>
      <c r="X2889" s="7" t="e">
        <f>IF(VLOOKUP($A2889,'Concrete Beam Schedule'!$A$2:$Q$2902,X$2,0)&lt;&gt;H2889,"Beam Revised","")</f>
        <v>#N/A</v>
      </c>
      <c r="Y2889" s="7" t="e">
        <f>IF(VLOOKUP($A2889,'Concrete Beam Schedule'!$A$2:$Q$2902,Y$2,0)&lt;&gt;I2889,"Beam Revised","")</f>
        <v>#N/A</v>
      </c>
      <c r="Z2889" s="7" t="e">
        <f>IF(VLOOKUP($A2889,'Concrete Beam Schedule'!$A$2:$Q$2902,Z$2,0)&lt;&gt;J2889,"Beam Revised","")</f>
        <v>#N/A</v>
      </c>
      <c r="AA2889" s="7" t="e">
        <f>IF(VLOOKUP($A2889,'Concrete Beam Schedule'!$A$2:$Q$2902,AA$2,0)&lt;&gt;K2889,"Beam Revised","")</f>
        <v>#N/A</v>
      </c>
      <c r="AB2889" s="7" t="e">
        <f>IF(VLOOKUP($A2889,'Concrete Beam Schedule'!$A$2:$Q$2902,AB$2,0)&lt;&gt;L2889,"Beam Revised","")</f>
        <v>#N/A</v>
      </c>
      <c r="AC2889" s="7" t="e">
        <f>IF(VLOOKUP($A2889,'Concrete Beam Schedule'!$A$2:$Q$2902,AC$2,0)&lt;&gt;M2889,"Beam Revised","")</f>
        <v>#N/A</v>
      </c>
      <c r="AD2889" s="7" t="e">
        <f>IF(VLOOKUP($A2889,'Concrete Beam Schedule'!$A$2:$Q$2902,AD$2,0)&lt;&gt;N2889,"Beam Revised","")</f>
        <v>#N/A</v>
      </c>
      <c r="AE2889" s="7" t="e">
        <f>IF(VLOOKUP($A2889,'Concrete Beam Schedule'!$A$2:$Q$2902,AE$2,0)&lt;&gt;O2889,"Beam Revised","")</f>
        <v>#N/A</v>
      </c>
    </row>
    <row r="2890" spans="17:31" ht="20.100000000000001" customHeight="1" x14ac:dyDescent="0.25">
      <c r="Q2890" s="7">
        <f t="shared" si="45"/>
        <v>0</v>
      </c>
      <c r="R2890" s="7" t="e">
        <f>IF(VLOOKUP($A2890,'Concrete Beam Schedule'!$A$2:$Q$2902,R$2,0)&lt;&gt;B2890,VLOOKUP($A2890,'Concrete Beam Schedule'!$A$2:$Q$2902,R$2,0),"")</f>
        <v>#N/A</v>
      </c>
      <c r="S2890" s="7" t="e">
        <f>IF(VLOOKUP($A2890,'Concrete Beam Schedule'!$A$2:$Q$2902,S$2,0)&lt;&gt;C2890,VLOOKUP($A2890,'Concrete Beam Schedule'!$A$2:$Q$2902,S$2,0),"")</f>
        <v>#N/A</v>
      </c>
      <c r="T2890" s="7" t="e">
        <f>IF(VLOOKUP($A2890,'Concrete Beam Schedule'!$A$2:$Q$2902,T$2,0)&lt;&gt;D2890,"Beam Revised","")</f>
        <v>#N/A</v>
      </c>
      <c r="U2890" s="7" t="e">
        <f>IF(VLOOKUP($A2890,'Concrete Beam Schedule'!$A$2:$Q$2902,U$2,0)&lt;&gt;E2890,"Beam Revised","")</f>
        <v>#N/A</v>
      </c>
      <c r="V2890" s="7" t="e">
        <f>IF(VLOOKUP($A2890,'Concrete Beam Schedule'!$A$2:$Q$2902,V$2,0)&lt;&gt;F2890,"Beam Revised","")</f>
        <v>#N/A</v>
      </c>
      <c r="W2890" s="7" t="e">
        <f>IF(VLOOKUP($A2890,'Concrete Beam Schedule'!$A$2:$Q$2902,W$2,0)&lt;&gt;G2890,"Beam Revised","")</f>
        <v>#N/A</v>
      </c>
      <c r="X2890" s="7" t="e">
        <f>IF(VLOOKUP($A2890,'Concrete Beam Schedule'!$A$2:$Q$2902,X$2,0)&lt;&gt;H2890,"Beam Revised","")</f>
        <v>#N/A</v>
      </c>
      <c r="Y2890" s="7" t="e">
        <f>IF(VLOOKUP($A2890,'Concrete Beam Schedule'!$A$2:$Q$2902,Y$2,0)&lt;&gt;I2890,"Beam Revised","")</f>
        <v>#N/A</v>
      </c>
      <c r="Z2890" s="7" t="e">
        <f>IF(VLOOKUP($A2890,'Concrete Beam Schedule'!$A$2:$Q$2902,Z$2,0)&lt;&gt;J2890,"Beam Revised","")</f>
        <v>#N/A</v>
      </c>
      <c r="AA2890" s="7" t="e">
        <f>IF(VLOOKUP($A2890,'Concrete Beam Schedule'!$A$2:$Q$2902,AA$2,0)&lt;&gt;K2890,"Beam Revised","")</f>
        <v>#N/A</v>
      </c>
      <c r="AB2890" s="7" t="e">
        <f>IF(VLOOKUP($A2890,'Concrete Beam Schedule'!$A$2:$Q$2902,AB$2,0)&lt;&gt;L2890,"Beam Revised","")</f>
        <v>#N/A</v>
      </c>
      <c r="AC2890" s="7" t="e">
        <f>IF(VLOOKUP($A2890,'Concrete Beam Schedule'!$A$2:$Q$2902,AC$2,0)&lt;&gt;M2890,"Beam Revised","")</f>
        <v>#N/A</v>
      </c>
      <c r="AD2890" s="7" t="e">
        <f>IF(VLOOKUP($A2890,'Concrete Beam Schedule'!$A$2:$Q$2902,AD$2,0)&lt;&gt;N2890,"Beam Revised","")</f>
        <v>#N/A</v>
      </c>
      <c r="AE2890" s="7" t="e">
        <f>IF(VLOOKUP($A2890,'Concrete Beam Schedule'!$A$2:$Q$2902,AE$2,0)&lt;&gt;O2890,"Beam Revised","")</f>
        <v>#N/A</v>
      </c>
    </row>
    <row r="2891" spans="17:31" ht="20.100000000000001" customHeight="1" x14ac:dyDescent="0.25">
      <c r="Q2891" s="7">
        <f t="shared" si="45"/>
        <v>0</v>
      </c>
      <c r="R2891" s="7" t="e">
        <f>IF(VLOOKUP($A2891,'Concrete Beam Schedule'!$A$2:$Q$2902,R$2,0)&lt;&gt;B2891,VLOOKUP($A2891,'Concrete Beam Schedule'!$A$2:$Q$2902,R$2,0),"")</f>
        <v>#N/A</v>
      </c>
      <c r="S2891" s="7" t="e">
        <f>IF(VLOOKUP($A2891,'Concrete Beam Schedule'!$A$2:$Q$2902,S$2,0)&lt;&gt;C2891,VLOOKUP($A2891,'Concrete Beam Schedule'!$A$2:$Q$2902,S$2,0),"")</f>
        <v>#N/A</v>
      </c>
      <c r="T2891" s="7" t="e">
        <f>IF(VLOOKUP($A2891,'Concrete Beam Schedule'!$A$2:$Q$2902,T$2,0)&lt;&gt;D2891,"Beam Revised","")</f>
        <v>#N/A</v>
      </c>
      <c r="U2891" s="7" t="e">
        <f>IF(VLOOKUP($A2891,'Concrete Beam Schedule'!$A$2:$Q$2902,U$2,0)&lt;&gt;E2891,"Beam Revised","")</f>
        <v>#N/A</v>
      </c>
      <c r="V2891" s="7" t="e">
        <f>IF(VLOOKUP($A2891,'Concrete Beam Schedule'!$A$2:$Q$2902,V$2,0)&lt;&gt;F2891,"Beam Revised","")</f>
        <v>#N/A</v>
      </c>
      <c r="W2891" s="7" t="e">
        <f>IF(VLOOKUP($A2891,'Concrete Beam Schedule'!$A$2:$Q$2902,W$2,0)&lt;&gt;G2891,"Beam Revised","")</f>
        <v>#N/A</v>
      </c>
      <c r="X2891" s="7" t="e">
        <f>IF(VLOOKUP($A2891,'Concrete Beam Schedule'!$A$2:$Q$2902,X$2,0)&lt;&gt;H2891,"Beam Revised","")</f>
        <v>#N/A</v>
      </c>
      <c r="Y2891" s="7" t="e">
        <f>IF(VLOOKUP($A2891,'Concrete Beam Schedule'!$A$2:$Q$2902,Y$2,0)&lt;&gt;I2891,"Beam Revised","")</f>
        <v>#N/A</v>
      </c>
      <c r="Z2891" s="7" t="e">
        <f>IF(VLOOKUP($A2891,'Concrete Beam Schedule'!$A$2:$Q$2902,Z$2,0)&lt;&gt;J2891,"Beam Revised","")</f>
        <v>#N/A</v>
      </c>
      <c r="AA2891" s="7" t="e">
        <f>IF(VLOOKUP($A2891,'Concrete Beam Schedule'!$A$2:$Q$2902,AA$2,0)&lt;&gt;K2891,"Beam Revised","")</f>
        <v>#N/A</v>
      </c>
      <c r="AB2891" s="7" t="e">
        <f>IF(VLOOKUP($A2891,'Concrete Beam Schedule'!$A$2:$Q$2902,AB$2,0)&lt;&gt;L2891,"Beam Revised","")</f>
        <v>#N/A</v>
      </c>
      <c r="AC2891" s="7" t="e">
        <f>IF(VLOOKUP($A2891,'Concrete Beam Schedule'!$A$2:$Q$2902,AC$2,0)&lt;&gt;M2891,"Beam Revised","")</f>
        <v>#N/A</v>
      </c>
      <c r="AD2891" s="7" t="e">
        <f>IF(VLOOKUP($A2891,'Concrete Beam Schedule'!$A$2:$Q$2902,AD$2,0)&lt;&gt;N2891,"Beam Revised","")</f>
        <v>#N/A</v>
      </c>
      <c r="AE2891" s="7" t="e">
        <f>IF(VLOOKUP($A2891,'Concrete Beam Schedule'!$A$2:$Q$2902,AE$2,0)&lt;&gt;O2891,"Beam Revised","")</f>
        <v>#N/A</v>
      </c>
    </row>
    <row r="2892" spans="17:31" ht="20.100000000000001" customHeight="1" x14ac:dyDescent="0.25">
      <c r="Q2892" s="7">
        <f t="shared" si="45"/>
        <v>0</v>
      </c>
      <c r="R2892" s="7" t="e">
        <f>IF(VLOOKUP($A2892,'Concrete Beam Schedule'!$A$2:$Q$2902,R$2,0)&lt;&gt;B2892,VLOOKUP($A2892,'Concrete Beam Schedule'!$A$2:$Q$2902,R$2,0),"")</f>
        <v>#N/A</v>
      </c>
      <c r="S2892" s="7" t="e">
        <f>IF(VLOOKUP($A2892,'Concrete Beam Schedule'!$A$2:$Q$2902,S$2,0)&lt;&gt;C2892,VLOOKUP($A2892,'Concrete Beam Schedule'!$A$2:$Q$2902,S$2,0),"")</f>
        <v>#N/A</v>
      </c>
      <c r="T2892" s="7" t="e">
        <f>IF(VLOOKUP($A2892,'Concrete Beam Schedule'!$A$2:$Q$2902,T$2,0)&lt;&gt;D2892,"Beam Revised","")</f>
        <v>#N/A</v>
      </c>
      <c r="U2892" s="7" t="e">
        <f>IF(VLOOKUP($A2892,'Concrete Beam Schedule'!$A$2:$Q$2902,U$2,0)&lt;&gt;E2892,"Beam Revised","")</f>
        <v>#N/A</v>
      </c>
      <c r="V2892" s="7" t="e">
        <f>IF(VLOOKUP($A2892,'Concrete Beam Schedule'!$A$2:$Q$2902,V$2,0)&lt;&gt;F2892,"Beam Revised","")</f>
        <v>#N/A</v>
      </c>
      <c r="W2892" s="7" t="e">
        <f>IF(VLOOKUP($A2892,'Concrete Beam Schedule'!$A$2:$Q$2902,W$2,0)&lt;&gt;G2892,"Beam Revised","")</f>
        <v>#N/A</v>
      </c>
      <c r="X2892" s="7" t="e">
        <f>IF(VLOOKUP($A2892,'Concrete Beam Schedule'!$A$2:$Q$2902,X$2,0)&lt;&gt;H2892,"Beam Revised","")</f>
        <v>#N/A</v>
      </c>
      <c r="Y2892" s="7" t="e">
        <f>IF(VLOOKUP($A2892,'Concrete Beam Schedule'!$A$2:$Q$2902,Y$2,0)&lt;&gt;I2892,"Beam Revised","")</f>
        <v>#N/A</v>
      </c>
      <c r="Z2892" s="7" t="e">
        <f>IF(VLOOKUP($A2892,'Concrete Beam Schedule'!$A$2:$Q$2902,Z$2,0)&lt;&gt;J2892,"Beam Revised","")</f>
        <v>#N/A</v>
      </c>
      <c r="AA2892" s="7" t="e">
        <f>IF(VLOOKUP($A2892,'Concrete Beam Schedule'!$A$2:$Q$2902,AA$2,0)&lt;&gt;K2892,"Beam Revised","")</f>
        <v>#N/A</v>
      </c>
      <c r="AB2892" s="7" t="e">
        <f>IF(VLOOKUP($A2892,'Concrete Beam Schedule'!$A$2:$Q$2902,AB$2,0)&lt;&gt;L2892,"Beam Revised","")</f>
        <v>#N/A</v>
      </c>
      <c r="AC2892" s="7" t="e">
        <f>IF(VLOOKUP($A2892,'Concrete Beam Schedule'!$A$2:$Q$2902,AC$2,0)&lt;&gt;M2892,"Beam Revised","")</f>
        <v>#N/A</v>
      </c>
      <c r="AD2892" s="7" t="e">
        <f>IF(VLOOKUP($A2892,'Concrete Beam Schedule'!$A$2:$Q$2902,AD$2,0)&lt;&gt;N2892,"Beam Revised","")</f>
        <v>#N/A</v>
      </c>
      <c r="AE2892" s="7" t="e">
        <f>IF(VLOOKUP($A2892,'Concrete Beam Schedule'!$A$2:$Q$2902,AE$2,0)&lt;&gt;O2892,"Beam Revised","")</f>
        <v>#N/A</v>
      </c>
    </row>
    <row r="2893" spans="17:31" ht="20.100000000000001" customHeight="1" x14ac:dyDescent="0.25">
      <c r="Q2893" s="7">
        <f t="shared" si="45"/>
        <v>0</v>
      </c>
      <c r="R2893" s="7" t="e">
        <f>IF(VLOOKUP($A2893,'Concrete Beam Schedule'!$A$2:$Q$2902,R$2,0)&lt;&gt;B2893,VLOOKUP($A2893,'Concrete Beam Schedule'!$A$2:$Q$2902,R$2,0),"")</f>
        <v>#N/A</v>
      </c>
      <c r="S2893" s="7" t="e">
        <f>IF(VLOOKUP($A2893,'Concrete Beam Schedule'!$A$2:$Q$2902,S$2,0)&lt;&gt;C2893,VLOOKUP($A2893,'Concrete Beam Schedule'!$A$2:$Q$2902,S$2,0),"")</f>
        <v>#N/A</v>
      </c>
      <c r="T2893" s="7" t="e">
        <f>IF(VLOOKUP($A2893,'Concrete Beam Schedule'!$A$2:$Q$2902,T$2,0)&lt;&gt;D2893,"Beam Revised","")</f>
        <v>#N/A</v>
      </c>
      <c r="U2893" s="7" t="e">
        <f>IF(VLOOKUP($A2893,'Concrete Beam Schedule'!$A$2:$Q$2902,U$2,0)&lt;&gt;E2893,"Beam Revised","")</f>
        <v>#N/A</v>
      </c>
      <c r="V2893" s="7" t="e">
        <f>IF(VLOOKUP($A2893,'Concrete Beam Schedule'!$A$2:$Q$2902,V$2,0)&lt;&gt;F2893,"Beam Revised","")</f>
        <v>#N/A</v>
      </c>
      <c r="W2893" s="7" t="e">
        <f>IF(VLOOKUP($A2893,'Concrete Beam Schedule'!$A$2:$Q$2902,W$2,0)&lt;&gt;G2893,"Beam Revised","")</f>
        <v>#N/A</v>
      </c>
      <c r="X2893" s="7" t="e">
        <f>IF(VLOOKUP($A2893,'Concrete Beam Schedule'!$A$2:$Q$2902,X$2,0)&lt;&gt;H2893,"Beam Revised","")</f>
        <v>#N/A</v>
      </c>
      <c r="Y2893" s="7" t="e">
        <f>IF(VLOOKUP($A2893,'Concrete Beam Schedule'!$A$2:$Q$2902,Y$2,0)&lt;&gt;I2893,"Beam Revised","")</f>
        <v>#N/A</v>
      </c>
      <c r="Z2893" s="7" t="e">
        <f>IF(VLOOKUP($A2893,'Concrete Beam Schedule'!$A$2:$Q$2902,Z$2,0)&lt;&gt;J2893,"Beam Revised","")</f>
        <v>#N/A</v>
      </c>
      <c r="AA2893" s="7" t="e">
        <f>IF(VLOOKUP($A2893,'Concrete Beam Schedule'!$A$2:$Q$2902,AA$2,0)&lt;&gt;K2893,"Beam Revised","")</f>
        <v>#N/A</v>
      </c>
      <c r="AB2893" s="7" t="e">
        <f>IF(VLOOKUP($A2893,'Concrete Beam Schedule'!$A$2:$Q$2902,AB$2,0)&lt;&gt;L2893,"Beam Revised","")</f>
        <v>#N/A</v>
      </c>
      <c r="AC2893" s="7" t="e">
        <f>IF(VLOOKUP($A2893,'Concrete Beam Schedule'!$A$2:$Q$2902,AC$2,0)&lt;&gt;M2893,"Beam Revised","")</f>
        <v>#N/A</v>
      </c>
      <c r="AD2893" s="7" t="e">
        <f>IF(VLOOKUP($A2893,'Concrete Beam Schedule'!$A$2:$Q$2902,AD$2,0)&lt;&gt;N2893,"Beam Revised","")</f>
        <v>#N/A</v>
      </c>
      <c r="AE2893" s="7" t="e">
        <f>IF(VLOOKUP($A2893,'Concrete Beam Schedule'!$A$2:$Q$2902,AE$2,0)&lt;&gt;O2893,"Beam Revised","")</f>
        <v>#N/A</v>
      </c>
    </row>
    <row r="2894" spans="17:31" ht="20.100000000000001" customHeight="1" x14ac:dyDescent="0.25">
      <c r="Q2894" s="7">
        <f t="shared" si="45"/>
        <v>0</v>
      </c>
      <c r="R2894" s="7" t="e">
        <f>IF(VLOOKUP($A2894,'Concrete Beam Schedule'!$A$2:$Q$2902,R$2,0)&lt;&gt;B2894,VLOOKUP($A2894,'Concrete Beam Schedule'!$A$2:$Q$2902,R$2,0),"")</f>
        <v>#N/A</v>
      </c>
      <c r="S2894" s="7" t="e">
        <f>IF(VLOOKUP($A2894,'Concrete Beam Schedule'!$A$2:$Q$2902,S$2,0)&lt;&gt;C2894,VLOOKUP($A2894,'Concrete Beam Schedule'!$A$2:$Q$2902,S$2,0),"")</f>
        <v>#N/A</v>
      </c>
      <c r="T2894" s="7" t="e">
        <f>IF(VLOOKUP($A2894,'Concrete Beam Schedule'!$A$2:$Q$2902,T$2,0)&lt;&gt;D2894,"Beam Revised","")</f>
        <v>#N/A</v>
      </c>
      <c r="U2894" s="7" t="e">
        <f>IF(VLOOKUP($A2894,'Concrete Beam Schedule'!$A$2:$Q$2902,U$2,0)&lt;&gt;E2894,"Beam Revised","")</f>
        <v>#N/A</v>
      </c>
      <c r="V2894" s="7" t="e">
        <f>IF(VLOOKUP($A2894,'Concrete Beam Schedule'!$A$2:$Q$2902,V$2,0)&lt;&gt;F2894,"Beam Revised","")</f>
        <v>#N/A</v>
      </c>
      <c r="W2894" s="7" t="e">
        <f>IF(VLOOKUP($A2894,'Concrete Beam Schedule'!$A$2:$Q$2902,W$2,0)&lt;&gt;G2894,"Beam Revised","")</f>
        <v>#N/A</v>
      </c>
      <c r="X2894" s="7" t="e">
        <f>IF(VLOOKUP($A2894,'Concrete Beam Schedule'!$A$2:$Q$2902,X$2,0)&lt;&gt;H2894,"Beam Revised","")</f>
        <v>#N/A</v>
      </c>
      <c r="Y2894" s="7" t="e">
        <f>IF(VLOOKUP($A2894,'Concrete Beam Schedule'!$A$2:$Q$2902,Y$2,0)&lt;&gt;I2894,"Beam Revised","")</f>
        <v>#N/A</v>
      </c>
      <c r="Z2894" s="7" t="e">
        <f>IF(VLOOKUP($A2894,'Concrete Beam Schedule'!$A$2:$Q$2902,Z$2,0)&lt;&gt;J2894,"Beam Revised","")</f>
        <v>#N/A</v>
      </c>
      <c r="AA2894" s="7" t="e">
        <f>IF(VLOOKUP($A2894,'Concrete Beam Schedule'!$A$2:$Q$2902,AA$2,0)&lt;&gt;K2894,"Beam Revised","")</f>
        <v>#N/A</v>
      </c>
      <c r="AB2894" s="7" t="e">
        <f>IF(VLOOKUP($A2894,'Concrete Beam Schedule'!$A$2:$Q$2902,AB$2,0)&lt;&gt;L2894,"Beam Revised","")</f>
        <v>#N/A</v>
      </c>
      <c r="AC2894" s="7" t="e">
        <f>IF(VLOOKUP($A2894,'Concrete Beam Schedule'!$A$2:$Q$2902,AC$2,0)&lt;&gt;M2894,"Beam Revised","")</f>
        <v>#N/A</v>
      </c>
      <c r="AD2894" s="7" t="e">
        <f>IF(VLOOKUP($A2894,'Concrete Beam Schedule'!$A$2:$Q$2902,AD$2,0)&lt;&gt;N2894,"Beam Revised","")</f>
        <v>#N/A</v>
      </c>
      <c r="AE2894" s="7" t="e">
        <f>IF(VLOOKUP($A2894,'Concrete Beam Schedule'!$A$2:$Q$2902,AE$2,0)&lt;&gt;O2894,"Beam Revised","")</f>
        <v>#N/A</v>
      </c>
    </row>
    <row r="2895" spans="17:31" ht="20.100000000000001" customHeight="1" x14ac:dyDescent="0.25">
      <c r="Q2895" s="7">
        <f t="shared" si="45"/>
        <v>0</v>
      </c>
      <c r="R2895" s="7" t="e">
        <f>IF(VLOOKUP($A2895,'Concrete Beam Schedule'!$A$2:$Q$2902,R$2,0)&lt;&gt;B2895,VLOOKUP($A2895,'Concrete Beam Schedule'!$A$2:$Q$2902,R$2,0),"")</f>
        <v>#N/A</v>
      </c>
      <c r="S2895" s="7" t="e">
        <f>IF(VLOOKUP($A2895,'Concrete Beam Schedule'!$A$2:$Q$2902,S$2,0)&lt;&gt;C2895,VLOOKUP($A2895,'Concrete Beam Schedule'!$A$2:$Q$2902,S$2,0),"")</f>
        <v>#N/A</v>
      </c>
      <c r="T2895" s="7" t="e">
        <f>IF(VLOOKUP($A2895,'Concrete Beam Schedule'!$A$2:$Q$2902,T$2,0)&lt;&gt;D2895,"Beam Revised","")</f>
        <v>#N/A</v>
      </c>
      <c r="U2895" s="7" t="e">
        <f>IF(VLOOKUP($A2895,'Concrete Beam Schedule'!$A$2:$Q$2902,U$2,0)&lt;&gt;E2895,"Beam Revised","")</f>
        <v>#N/A</v>
      </c>
      <c r="V2895" s="7" t="e">
        <f>IF(VLOOKUP($A2895,'Concrete Beam Schedule'!$A$2:$Q$2902,V$2,0)&lt;&gt;F2895,"Beam Revised","")</f>
        <v>#N/A</v>
      </c>
      <c r="W2895" s="7" t="e">
        <f>IF(VLOOKUP($A2895,'Concrete Beam Schedule'!$A$2:$Q$2902,W$2,0)&lt;&gt;G2895,"Beam Revised","")</f>
        <v>#N/A</v>
      </c>
      <c r="X2895" s="7" t="e">
        <f>IF(VLOOKUP($A2895,'Concrete Beam Schedule'!$A$2:$Q$2902,X$2,0)&lt;&gt;H2895,"Beam Revised","")</f>
        <v>#N/A</v>
      </c>
      <c r="Y2895" s="7" t="e">
        <f>IF(VLOOKUP($A2895,'Concrete Beam Schedule'!$A$2:$Q$2902,Y$2,0)&lt;&gt;I2895,"Beam Revised","")</f>
        <v>#N/A</v>
      </c>
      <c r="Z2895" s="7" t="e">
        <f>IF(VLOOKUP($A2895,'Concrete Beam Schedule'!$A$2:$Q$2902,Z$2,0)&lt;&gt;J2895,"Beam Revised","")</f>
        <v>#N/A</v>
      </c>
      <c r="AA2895" s="7" t="e">
        <f>IF(VLOOKUP($A2895,'Concrete Beam Schedule'!$A$2:$Q$2902,AA$2,0)&lt;&gt;K2895,"Beam Revised","")</f>
        <v>#N/A</v>
      </c>
      <c r="AB2895" s="7" t="e">
        <f>IF(VLOOKUP($A2895,'Concrete Beam Schedule'!$A$2:$Q$2902,AB$2,0)&lt;&gt;L2895,"Beam Revised","")</f>
        <v>#N/A</v>
      </c>
      <c r="AC2895" s="7" t="e">
        <f>IF(VLOOKUP($A2895,'Concrete Beam Schedule'!$A$2:$Q$2902,AC$2,0)&lt;&gt;M2895,"Beam Revised","")</f>
        <v>#N/A</v>
      </c>
      <c r="AD2895" s="7" t="e">
        <f>IF(VLOOKUP($A2895,'Concrete Beam Schedule'!$A$2:$Q$2902,AD$2,0)&lt;&gt;N2895,"Beam Revised","")</f>
        <v>#N/A</v>
      </c>
      <c r="AE2895" s="7" t="e">
        <f>IF(VLOOKUP($A2895,'Concrete Beam Schedule'!$A$2:$Q$2902,AE$2,0)&lt;&gt;O2895,"Beam Revised","")</f>
        <v>#N/A</v>
      </c>
    </row>
    <row r="2896" spans="17:31" ht="20.100000000000001" customHeight="1" x14ac:dyDescent="0.25">
      <c r="Q2896" s="7">
        <f t="shared" si="45"/>
        <v>0</v>
      </c>
      <c r="R2896" s="7" t="e">
        <f>IF(VLOOKUP($A2896,'Concrete Beam Schedule'!$A$2:$Q$2902,R$2,0)&lt;&gt;B2896,VLOOKUP($A2896,'Concrete Beam Schedule'!$A$2:$Q$2902,R$2,0),"")</f>
        <v>#N/A</v>
      </c>
      <c r="S2896" s="7" t="e">
        <f>IF(VLOOKUP($A2896,'Concrete Beam Schedule'!$A$2:$Q$2902,S$2,0)&lt;&gt;C2896,VLOOKUP($A2896,'Concrete Beam Schedule'!$A$2:$Q$2902,S$2,0),"")</f>
        <v>#N/A</v>
      </c>
      <c r="T2896" s="7" t="e">
        <f>IF(VLOOKUP($A2896,'Concrete Beam Schedule'!$A$2:$Q$2902,T$2,0)&lt;&gt;D2896,"Beam Revised","")</f>
        <v>#N/A</v>
      </c>
      <c r="U2896" s="7" t="e">
        <f>IF(VLOOKUP($A2896,'Concrete Beam Schedule'!$A$2:$Q$2902,U$2,0)&lt;&gt;E2896,"Beam Revised","")</f>
        <v>#N/A</v>
      </c>
      <c r="V2896" s="7" t="e">
        <f>IF(VLOOKUP($A2896,'Concrete Beam Schedule'!$A$2:$Q$2902,V$2,0)&lt;&gt;F2896,"Beam Revised","")</f>
        <v>#N/A</v>
      </c>
      <c r="W2896" s="7" t="e">
        <f>IF(VLOOKUP($A2896,'Concrete Beam Schedule'!$A$2:$Q$2902,W$2,0)&lt;&gt;G2896,"Beam Revised","")</f>
        <v>#N/A</v>
      </c>
      <c r="X2896" s="7" t="e">
        <f>IF(VLOOKUP($A2896,'Concrete Beam Schedule'!$A$2:$Q$2902,X$2,0)&lt;&gt;H2896,"Beam Revised","")</f>
        <v>#N/A</v>
      </c>
      <c r="Y2896" s="7" t="e">
        <f>IF(VLOOKUP($A2896,'Concrete Beam Schedule'!$A$2:$Q$2902,Y$2,0)&lt;&gt;I2896,"Beam Revised","")</f>
        <v>#N/A</v>
      </c>
      <c r="Z2896" s="7" t="e">
        <f>IF(VLOOKUP($A2896,'Concrete Beam Schedule'!$A$2:$Q$2902,Z$2,0)&lt;&gt;J2896,"Beam Revised","")</f>
        <v>#N/A</v>
      </c>
      <c r="AA2896" s="7" t="e">
        <f>IF(VLOOKUP($A2896,'Concrete Beam Schedule'!$A$2:$Q$2902,AA$2,0)&lt;&gt;K2896,"Beam Revised","")</f>
        <v>#N/A</v>
      </c>
      <c r="AB2896" s="7" t="e">
        <f>IF(VLOOKUP($A2896,'Concrete Beam Schedule'!$A$2:$Q$2902,AB$2,0)&lt;&gt;L2896,"Beam Revised","")</f>
        <v>#N/A</v>
      </c>
      <c r="AC2896" s="7" t="e">
        <f>IF(VLOOKUP($A2896,'Concrete Beam Schedule'!$A$2:$Q$2902,AC$2,0)&lt;&gt;M2896,"Beam Revised","")</f>
        <v>#N/A</v>
      </c>
      <c r="AD2896" s="7" t="e">
        <f>IF(VLOOKUP($A2896,'Concrete Beam Schedule'!$A$2:$Q$2902,AD$2,0)&lt;&gt;N2896,"Beam Revised","")</f>
        <v>#N/A</v>
      </c>
      <c r="AE2896" s="7" t="e">
        <f>IF(VLOOKUP($A2896,'Concrete Beam Schedule'!$A$2:$Q$2902,AE$2,0)&lt;&gt;O2896,"Beam Revised","")</f>
        <v>#N/A</v>
      </c>
    </row>
    <row r="2897" spans="17:31" ht="20.100000000000001" customHeight="1" x14ac:dyDescent="0.25">
      <c r="Q2897" s="7">
        <f t="shared" si="45"/>
        <v>0</v>
      </c>
      <c r="R2897" s="7" t="e">
        <f>IF(VLOOKUP($A2897,'Concrete Beam Schedule'!$A$2:$Q$2902,R$2,0)&lt;&gt;B2897,VLOOKUP($A2897,'Concrete Beam Schedule'!$A$2:$Q$2902,R$2,0),"")</f>
        <v>#N/A</v>
      </c>
      <c r="S2897" s="7" t="e">
        <f>IF(VLOOKUP($A2897,'Concrete Beam Schedule'!$A$2:$Q$2902,S$2,0)&lt;&gt;C2897,VLOOKUP($A2897,'Concrete Beam Schedule'!$A$2:$Q$2902,S$2,0),"")</f>
        <v>#N/A</v>
      </c>
      <c r="T2897" s="7" t="e">
        <f>IF(VLOOKUP($A2897,'Concrete Beam Schedule'!$A$2:$Q$2902,T$2,0)&lt;&gt;D2897,"Beam Revised","")</f>
        <v>#N/A</v>
      </c>
      <c r="U2897" s="7" t="e">
        <f>IF(VLOOKUP($A2897,'Concrete Beam Schedule'!$A$2:$Q$2902,U$2,0)&lt;&gt;E2897,"Beam Revised","")</f>
        <v>#N/A</v>
      </c>
      <c r="V2897" s="7" t="e">
        <f>IF(VLOOKUP($A2897,'Concrete Beam Schedule'!$A$2:$Q$2902,V$2,0)&lt;&gt;F2897,"Beam Revised","")</f>
        <v>#N/A</v>
      </c>
      <c r="W2897" s="7" t="e">
        <f>IF(VLOOKUP($A2897,'Concrete Beam Schedule'!$A$2:$Q$2902,W$2,0)&lt;&gt;G2897,"Beam Revised","")</f>
        <v>#N/A</v>
      </c>
      <c r="X2897" s="7" t="e">
        <f>IF(VLOOKUP($A2897,'Concrete Beam Schedule'!$A$2:$Q$2902,X$2,0)&lt;&gt;H2897,"Beam Revised","")</f>
        <v>#N/A</v>
      </c>
      <c r="Y2897" s="7" t="e">
        <f>IF(VLOOKUP($A2897,'Concrete Beam Schedule'!$A$2:$Q$2902,Y$2,0)&lt;&gt;I2897,"Beam Revised","")</f>
        <v>#N/A</v>
      </c>
      <c r="Z2897" s="7" t="e">
        <f>IF(VLOOKUP($A2897,'Concrete Beam Schedule'!$A$2:$Q$2902,Z$2,0)&lt;&gt;J2897,"Beam Revised","")</f>
        <v>#N/A</v>
      </c>
      <c r="AA2897" s="7" t="e">
        <f>IF(VLOOKUP($A2897,'Concrete Beam Schedule'!$A$2:$Q$2902,AA$2,0)&lt;&gt;K2897,"Beam Revised","")</f>
        <v>#N/A</v>
      </c>
      <c r="AB2897" s="7" t="e">
        <f>IF(VLOOKUP($A2897,'Concrete Beam Schedule'!$A$2:$Q$2902,AB$2,0)&lt;&gt;L2897,"Beam Revised","")</f>
        <v>#N/A</v>
      </c>
      <c r="AC2897" s="7" t="e">
        <f>IF(VLOOKUP($A2897,'Concrete Beam Schedule'!$A$2:$Q$2902,AC$2,0)&lt;&gt;M2897,"Beam Revised","")</f>
        <v>#N/A</v>
      </c>
      <c r="AD2897" s="7" t="e">
        <f>IF(VLOOKUP($A2897,'Concrete Beam Schedule'!$A$2:$Q$2902,AD$2,0)&lt;&gt;N2897,"Beam Revised","")</f>
        <v>#N/A</v>
      </c>
      <c r="AE2897" s="7" t="e">
        <f>IF(VLOOKUP($A2897,'Concrete Beam Schedule'!$A$2:$Q$2902,AE$2,0)&lt;&gt;O2897,"Beam Revised","")</f>
        <v>#N/A</v>
      </c>
    </row>
    <row r="2898" spans="17:31" ht="20.100000000000001" customHeight="1" x14ac:dyDescent="0.25">
      <c r="Q2898" s="7">
        <f t="shared" si="45"/>
        <v>0</v>
      </c>
      <c r="R2898" s="7" t="e">
        <f>IF(VLOOKUP($A2898,'Concrete Beam Schedule'!$A$2:$Q$2902,R$2,0)&lt;&gt;B2898,VLOOKUP($A2898,'Concrete Beam Schedule'!$A$2:$Q$2902,R$2,0),"")</f>
        <v>#N/A</v>
      </c>
      <c r="S2898" s="7" t="e">
        <f>IF(VLOOKUP($A2898,'Concrete Beam Schedule'!$A$2:$Q$2902,S$2,0)&lt;&gt;C2898,VLOOKUP($A2898,'Concrete Beam Schedule'!$A$2:$Q$2902,S$2,0),"")</f>
        <v>#N/A</v>
      </c>
      <c r="T2898" s="7" t="e">
        <f>IF(VLOOKUP($A2898,'Concrete Beam Schedule'!$A$2:$Q$2902,T$2,0)&lt;&gt;D2898,"Beam Revised","")</f>
        <v>#N/A</v>
      </c>
      <c r="U2898" s="7" t="e">
        <f>IF(VLOOKUP($A2898,'Concrete Beam Schedule'!$A$2:$Q$2902,U$2,0)&lt;&gt;E2898,"Beam Revised","")</f>
        <v>#N/A</v>
      </c>
      <c r="V2898" s="7" t="e">
        <f>IF(VLOOKUP($A2898,'Concrete Beam Schedule'!$A$2:$Q$2902,V$2,0)&lt;&gt;F2898,"Beam Revised","")</f>
        <v>#N/A</v>
      </c>
      <c r="W2898" s="7" t="e">
        <f>IF(VLOOKUP($A2898,'Concrete Beam Schedule'!$A$2:$Q$2902,W$2,0)&lt;&gt;G2898,"Beam Revised","")</f>
        <v>#N/A</v>
      </c>
      <c r="X2898" s="7" t="e">
        <f>IF(VLOOKUP($A2898,'Concrete Beam Schedule'!$A$2:$Q$2902,X$2,0)&lt;&gt;H2898,"Beam Revised","")</f>
        <v>#N/A</v>
      </c>
      <c r="Y2898" s="7" t="e">
        <f>IF(VLOOKUP($A2898,'Concrete Beam Schedule'!$A$2:$Q$2902,Y$2,0)&lt;&gt;I2898,"Beam Revised","")</f>
        <v>#N/A</v>
      </c>
      <c r="Z2898" s="7" t="e">
        <f>IF(VLOOKUP($A2898,'Concrete Beam Schedule'!$A$2:$Q$2902,Z$2,0)&lt;&gt;J2898,"Beam Revised","")</f>
        <v>#N/A</v>
      </c>
      <c r="AA2898" s="7" t="e">
        <f>IF(VLOOKUP($A2898,'Concrete Beam Schedule'!$A$2:$Q$2902,AA$2,0)&lt;&gt;K2898,"Beam Revised","")</f>
        <v>#N/A</v>
      </c>
      <c r="AB2898" s="7" t="e">
        <f>IF(VLOOKUP($A2898,'Concrete Beam Schedule'!$A$2:$Q$2902,AB$2,0)&lt;&gt;L2898,"Beam Revised","")</f>
        <v>#N/A</v>
      </c>
      <c r="AC2898" s="7" t="e">
        <f>IF(VLOOKUP($A2898,'Concrete Beam Schedule'!$A$2:$Q$2902,AC$2,0)&lt;&gt;M2898,"Beam Revised","")</f>
        <v>#N/A</v>
      </c>
      <c r="AD2898" s="7" t="e">
        <f>IF(VLOOKUP($A2898,'Concrete Beam Schedule'!$A$2:$Q$2902,AD$2,0)&lt;&gt;N2898,"Beam Revised","")</f>
        <v>#N/A</v>
      </c>
      <c r="AE2898" s="7" t="e">
        <f>IF(VLOOKUP($A2898,'Concrete Beam Schedule'!$A$2:$Q$2902,AE$2,0)&lt;&gt;O2898,"Beam Revised","")</f>
        <v>#N/A</v>
      </c>
    </row>
    <row r="2899" spans="17:31" ht="20.100000000000001" customHeight="1" x14ac:dyDescent="0.25">
      <c r="Q2899" s="7">
        <f t="shared" si="45"/>
        <v>0</v>
      </c>
      <c r="R2899" s="7" t="e">
        <f>IF(VLOOKUP($A2899,'Concrete Beam Schedule'!$A$2:$Q$2902,R$2,0)&lt;&gt;B2899,VLOOKUP($A2899,'Concrete Beam Schedule'!$A$2:$Q$2902,R$2,0),"")</f>
        <v>#N/A</v>
      </c>
      <c r="S2899" s="7" t="e">
        <f>IF(VLOOKUP($A2899,'Concrete Beam Schedule'!$A$2:$Q$2902,S$2,0)&lt;&gt;C2899,VLOOKUP($A2899,'Concrete Beam Schedule'!$A$2:$Q$2902,S$2,0),"")</f>
        <v>#N/A</v>
      </c>
      <c r="T2899" s="7" t="e">
        <f>IF(VLOOKUP($A2899,'Concrete Beam Schedule'!$A$2:$Q$2902,T$2,0)&lt;&gt;D2899,"Beam Revised","")</f>
        <v>#N/A</v>
      </c>
      <c r="U2899" s="7" t="e">
        <f>IF(VLOOKUP($A2899,'Concrete Beam Schedule'!$A$2:$Q$2902,U$2,0)&lt;&gt;E2899,"Beam Revised","")</f>
        <v>#N/A</v>
      </c>
      <c r="V2899" s="7" t="e">
        <f>IF(VLOOKUP($A2899,'Concrete Beam Schedule'!$A$2:$Q$2902,V$2,0)&lt;&gt;F2899,"Beam Revised","")</f>
        <v>#N/A</v>
      </c>
      <c r="W2899" s="7" t="e">
        <f>IF(VLOOKUP($A2899,'Concrete Beam Schedule'!$A$2:$Q$2902,W$2,0)&lt;&gt;G2899,"Beam Revised","")</f>
        <v>#N/A</v>
      </c>
      <c r="X2899" s="7" t="e">
        <f>IF(VLOOKUP($A2899,'Concrete Beam Schedule'!$A$2:$Q$2902,X$2,0)&lt;&gt;H2899,"Beam Revised","")</f>
        <v>#N/A</v>
      </c>
      <c r="Y2899" s="7" t="e">
        <f>IF(VLOOKUP($A2899,'Concrete Beam Schedule'!$A$2:$Q$2902,Y$2,0)&lt;&gt;I2899,"Beam Revised","")</f>
        <v>#N/A</v>
      </c>
      <c r="Z2899" s="7" t="e">
        <f>IF(VLOOKUP($A2899,'Concrete Beam Schedule'!$A$2:$Q$2902,Z$2,0)&lt;&gt;J2899,"Beam Revised","")</f>
        <v>#N/A</v>
      </c>
      <c r="AA2899" s="7" t="e">
        <f>IF(VLOOKUP($A2899,'Concrete Beam Schedule'!$A$2:$Q$2902,AA$2,0)&lt;&gt;K2899,"Beam Revised","")</f>
        <v>#N/A</v>
      </c>
      <c r="AB2899" s="7" t="e">
        <f>IF(VLOOKUP($A2899,'Concrete Beam Schedule'!$A$2:$Q$2902,AB$2,0)&lt;&gt;L2899,"Beam Revised","")</f>
        <v>#N/A</v>
      </c>
      <c r="AC2899" s="7" t="e">
        <f>IF(VLOOKUP($A2899,'Concrete Beam Schedule'!$A$2:$Q$2902,AC$2,0)&lt;&gt;M2899,"Beam Revised","")</f>
        <v>#N/A</v>
      </c>
      <c r="AD2899" s="7" t="e">
        <f>IF(VLOOKUP($A2899,'Concrete Beam Schedule'!$A$2:$Q$2902,AD$2,0)&lt;&gt;N2899,"Beam Revised","")</f>
        <v>#N/A</v>
      </c>
      <c r="AE2899" s="7" t="e">
        <f>IF(VLOOKUP($A2899,'Concrete Beam Schedule'!$A$2:$Q$2902,AE$2,0)&lt;&gt;O2899,"Beam Revised","")</f>
        <v>#N/A</v>
      </c>
    </row>
    <row r="2900" spans="17:31" ht="20.100000000000001" customHeight="1" x14ac:dyDescent="0.25">
      <c r="Q2900" s="7">
        <f t="shared" si="45"/>
        <v>0</v>
      </c>
      <c r="R2900" s="7" t="e">
        <f>IF(VLOOKUP($A2900,'Concrete Beam Schedule'!$A$2:$Q$2902,R$2,0)&lt;&gt;B2900,VLOOKUP($A2900,'Concrete Beam Schedule'!$A$2:$Q$2902,R$2,0),"")</f>
        <v>#N/A</v>
      </c>
      <c r="S2900" s="7" t="e">
        <f>IF(VLOOKUP($A2900,'Concrete Beam Schedule'!$A$2:$Q$2902,S$2,0)&lt;&gt;C2900,VLOOKUP($A2900,'Concrete Beam Schedule'!$A$2:$Q$2902,S$2,0),"")</f>
        <v>#N/A</v>
      </c>
      <c r="T2900" s="7" t="e">
        <f>IF(VLOOKUP($A2900,'Concrete Beam Schedule'!$A$2:$Q$2902,T$2,0)&lt;&gt;D2900,"Beam Revised","")</f>
        <v>#N/A</v>
      </c>
      <c r="U2900" s="7" t="e">
        <f>IF(VLOOKUP($A2900,'Concrete Beam Schedule'!$A$2:$Q$2902,U$2,0)&lt;&gt;E2900,"Beam Revised","")</f>
        <v>#N/A</v>
      </c>
      <c r="V2900" s="7" t="e">
        <f>IF(VLOOKUP($A2900,'Concrete Beam Schedule'!$A$2:$Q$2902,V$2,0)&lt;&gt;F2900,"Beam Revised","")</f>
        <v>#N/A</v>
      </c>
      <c r="W2900" s="7" t="e">
        <f>IF(VLOOKUP($A2900,'Concrete Beam Schedule'!$A$2:$Q$2902,W$2,0)&lt;&gt;G2900,"Beam Revised","")</f>
        <v>#N/A</v>
      </c>
      <c r="X2900" s="7" t="e">
        <f>IF(VLOOKUP($A2900,'Concrete Beam Schedule'!$A$2:$Q$2902,X$2,0)&lt;&gt;H2900,"Beam Revised","")</f>
        <v>#N/A</v>
      </c>
      <c r="Y2900" s="7" t="e">
        <f>IF(VLOOKUP($A2900,'Concrete Beam Schedule'!$A$2:$Q$2902,Y$2,0)&lt;&gt;I2900,"Beam Revised","")</f>
        <v>#N/A</v>
      </c>
      <c r="Z2900" s="7" t="e">
        <f>IF(VLOOKUP($A2900,'Concrete Beam Schedule'!$A$2:$Q$2902,Z$2,0)&lt;&gt;J2900,"Beam Revised","")</f>
        <v>#N/A</v>
      </c>
      <c r="AA2900" s="7" t="e">
        <f>IF(VLOOKUP($A2900,'Concrete Beam Schedule'!$A$2:$Q$2902,AA$2,0)&lt;&gt;K2900,"Beam Revised","")</f>
        <v>#N/A</v>
      </c>
      <c r="AB2900" s="7" t="e">
        <f>IF(VLOOKUP($A2900,'Concrete Beam Schedule'!$A$2:$Q$2902,AB$2,0)&lt;&gt;L2900,"Beam Revised","")</f>
        <v>#N/A</v>
      </c>
      <c r="AC2900" s="7" t="e">
        <f>IF(VLOOKUP($A2900,'Concrete Beam Schedule'!$A$2:$Q$2902,AC$2,0)&lt;&gt;M2900,"Beam Revised","")</f>
        <v>#N/A</v>
      </c>
      <c r="AD2900" s="7" t="e">
        <f>IF(VLOOKUP($A2900,'Concrete Beam Schedule'!$A$2:$Q$2902,AD$2,0)&lt;&gt;N2900,"Beam Revised","")</f>
        <v>#N/A</v>
      </c>
      <c r="AE2900" s="7" t="e">
        <f>IF(VLOOKUP($A2900,'Concrete Beam Schedule'!$A$2:$Q$2902,AE$2,0)&lt;&gt;O2900,"Beam Revised","")</f>
        <v>#N/A</v>
      </c>
    </row>
    <row r="2901" spans="17:31" ht="20.100000000000001" customHeight="1" x14ac:dyDescent="0.25">
      <c r="Q2901" s="7">
        <f t="shared" si="45"/>
        <v>0</v>
      </c>
      <c r="R2901" s="7" t="e">
        <f>IF(VLOOKUP($A2901,'Concrete Beam Schedule'!$A$2:$Q$2902,R$2,0)&lt;&gt;B2901,VLOOKUP($A2901,'Concrete Beam Schedule'!$A$2:$Q$2902,R$2,0),"")</f>
        <v>#N/A</v>
      </c>
      <c r="S2901" s="7" t="e">
        <f>IF(VLOOKUP($A2901,'Concrete Beam Schedule'!$A$2:$Q$2902,S$2,0)&lt;&gt;C2901,VLOOKUP($A2901,'Concrete Beam Schedule'!$A$2:$Q$2902,S$2,0),"")</f>
        <v>#N/A</v>
      </c>
      <c r="T2901" s="7" t="e">
        <f>IF(VLOOKUP($A2901,'Concrete Beam Schedule'!$A$2:$Q$2902,T$2,0)&lt;&gt;D2901,"Beam Revised","")</f>
        <v>#N/A</v>
      </c>
      <c r="U2901" s="7" t="e">
        <f>IF(VLOOKUP($A2901,'Concrete Beam Schedule'!$A$2:$Q$2902,U$2,0)&lt;&gt;E2901,"Beam Revised","")</f>
        <v>#N/A</v>
      </c>
      <c r="V2901" s="7" t="e">
        <f>IF(VLOOKUP($A2901,'Concrete Beam Schedule'!$A$2:$Q$2902,V$2,0)&lt;&gt;F2901,"Beam Revised","")</f>
        <v>#N/A</v>
      </c>
      <c r="W2901" s="7" t="e">
        <f>IF(VLOOKUP($A2901,'Concrete Beam Schedule'!$A$2:$Q$2902,W$2,0)&lt;&gt;G2901,"Beam Revised","")</f>
        <v>#N/A</v>
      </c>
      <c r="X2901" s="7" t="e">
        <f>IF(VLOOKUP($A2901,'Concrete Beam Schedule'!$A$2:$Q$2902,X$2,0)&lt;&gt;H2901,"Beam Revised","")</f>
        <v>#N/A</v>
      </c>
      <c r="Y2901" s="7" t="e">
        <f>IF(VLOOKUP($A2901,'Concrete Beam Schedule'!$A$2:$Q$2902,Y$2,0)&lt;&gt;I2901,"Beam Revised","")</f>
        <v>#N/A</v>
      </c>
      <c r="Z2901" s="7" t="e">
        <f>IF(VLOOKUP($A2901,'Concrete Beam Schedule'!$A$2:$Q$2902,Z$2,0)&lt;&gt;J2901,"Beam Revised","")</f>
        <v>#N/A</v>
      </c>
      <c r="AA2901" s="7" t="e">
        <f>IF(VLOOKUP($A2901,'Concrete Beam Schedule'!$A$2:$Q$2902,AA$2,0)&lt;&gt;K2901,"Beam Revised","")</f>
        <v>#N/A</v>
      </c>
      <c r="AB2901" s="7" t="e">
        <f>IF(VLOOKUP($A2901,'Concrete Beam Schedule'!$A$2:$Q$2902,AB$2,0)&lt;&gt;L2901,"Beam Revised","")</f>
        <v>#N/A</v>
      </c>
      <c r="AC2901" s="7" t="e">
        <f>IF(VLOOKUP($A2901,'Concrete Beam Schedule'!$A$2:$Q$2902,AC$2,0)&lt;&gt;M2901,"Beam Revised","")</f>
        <v>#N/A</v>
      </c>
      <c r="AD2901" s="7" t="e">
        <f>IF(VLOOKUP($A2901,'Concrete Beam Schedule'!$A$2:$Q$2902,AD$2,0)&lt;&gt;N2901,"Beam Revised","")</f>
        <v>#N/A</v>
      </c>
      <c r="AE2901" s="7" t="e">
        <f>IF(VLOOKUP($A2901,'Concrete Beam Schedule'!$A$2:$Q$2902,AE$2,0)&lt;&gt;O2901,"Beam Revised","")</f>
        <v>#N/A</v>
      </c>
    </row>
    <row r="2902" spans="17:31" ht="20.100000000000001" customHeight="1" x14ac:dyDescent="0.25">
      <c r="Q2902" s="7">
        <f t="shared" si="45"/>
        <v>0</v>
      </c>
      <c r="R2902" s="7" t="e">
        <f>IF(VLOOKUP($A2902,'Concrete Beam Schedule'!$A$2:$Q$2902,R$2,0)&lt;&gt;B2902,VLOOKUP($A2902,'Concrete Beam Schedule'!$A$2:$Q$2902,R$2,0),"")</f>
        <v>#N/A</v>
      </c>
      <c r="S2902" s="7" t="e">
        <f>IF(VLOOKUP($A2902,'Concrete Beam Schedule'!$A$2:$Q$2902,S$2,0)&lt;&gt;C2902,VLOOKUP($A2902,'Concrete Beam Schedule'!$A$2:$Q$2902,S$2,0),"")</f>
        <v>#N/A</v>
      </c>
      <c r="T2902" s="7" t="e">
        <f>IF(VLOOKUP($A2902,'Concrete Beam Schedule'!$A$2:$Q$2902,T$2,0)&lt;&gt;D2902,"Beam Revised","")</f>
        <v>#N/A</v>
      </c>
      <c r="U2902" s="7" t="e">
        <f>IF(VLOOKUP($A2902,'Concrete Beam Schedule'!$A$2:$Q$2902,U$2,0)&lt;&gt;E2902,"Beam Revised","")</f>
        <v>#N/A</v>
      </c>
      <c r="V2902" s="7" t="e">
        <f>IF(VLOOKUP($A2902,'Concrete Beam Schedule'!$A$2:$Q$2902,V$2,0)&lt;&gt;F2902,"Beam Revised","")</f>
        <v>#N/A</v>
      </c>
      <c r="W2902" s="7" t="e">
        <f>IF(VLOOKUP($A2902,'Concrete Beam Schedule'!$A$2:$Q$2902,W$2,0)&lt;&gt;G2902,"Beam Revised","")</f>
        <v>#N/A</v>
      </c>
      <c r="X2902" s="7" t="e">
        <f>IF(VLOOKUP($A2902,'Concrete Beam Schedule'!$A$2:$Q$2902,X$2,0)&lt;&gt;H2902,"Beam Revised","")</f>
        <v>#N/A</v>
      </c>
      <c r="Y2902" s="7" t="e">
        <f>IF(VLOOKUP($A2902,'Concrete Beam Schedule'!$A$2:$Q$2902,Y$2,0)&lt;&gt;I2902,"Beam Revised","")</f>
        <v>#N/A</v>
      </c>
      <c r="Z2902" s="7" t="e">
        <f>IF(VLOOKUP($A2902,'Concrete Beam Schedule'!$A$2:$Q$2902,Z$2,0)&lt;&gt;J2902,"Beam Revised","")</f>
        <v>#N/A</v>
      </c>
      <c r="AA2902" s="7" t="e">
        <f>IF(VLOOKUP($A2902,'Concrete Beam Schedule'!$A$2:$Q$2902,AA$2,0)&lt;&gt;K2902,"Beam Revised","")</f>
        <v>#N/A</v>
      </c>
      <c r="AB2902" s="7" t="e">
        <f>IF(VLOOKUP($A2902,'Concrete Beam Schedule'!$A$2:$Q$2902,AB$2,0)&lt;&gt;L2902,"Beam Revised","")</f>
        <v>#N/A</v>
      </c>
      <c r="AC2902" s="7" t="e">
        <f>IF(VLOOKUP($A2902,'Concrete Beam Schedule'!$A$2:$Q$2902,AC$2,0)&lt;&gt;M2902,"Beam Revised","")</f>
        <v>#N/A</v>
      </c>
      <c r="AD2902" s="7" t="e">
        <f>IF(VLOOKUP($A2902,'Concrete Beam Schedule'!$A$2:$Q$2902,AD$2,0)&lt;&gt;N2902,"Beam Revised","")</f>
        <v>#N/A</v>
      </c>
      <c r="AE2902" s="7" t="e">
        <f>IF(VLOOKUP($A2902,'Concrete Beam Schedule'!$A$2:$Q$2902,AE$2,0)&lt;&gt;O2902,"Beam Revised","")</f>
        <v>#N/A</v>
      </c>
    </row>
    <row r="2903" spans="17:31" ht="20.100000000000001" customHeight="1" x14ac:dyDescent="0.25">
      <c r="Q2903" s="7">
        <f t="shared" si="45"/>
        <v>0</v>
      </c>
      <c r="R2903" s="7" t="e">
        <f>IF(VLOOKUP($A2903,'Concrete Beam Schedule'!$A$2:$Q$2902,R$2,0)&lt;&gt;B2903,VLOOKUP($A2903,'Concrete Beam Schedule'!$A$2:$Q$2902,R$2,0),"")</f>
        <v>#N/A</v>
      </c>
      <c r="S2903" s="7" t="e">
        <f>IF(VLOOKUP($A2903,'Concrete Beam Schedule'!$A$2:$Q$2902,S$2,0)&lt;&gt;C2903,VLOOKUP($A2903,'Concrete Beam Schedule'!$A$2:$Q$2902,S$2,0),"")</f>
        <v>#N/A</v>
      </c>
      <c r="T2903" s="7" t="e">
        <f>IF(VLOOKUP($A2903,'Concrete Beam Schedule'!$A$2:$Q$2902,T$2,0)&lt;&gt;D2903,"Beam Revised","")</f>
        <v>#N/A</v>
      </c>
      <c r="U2903" s="7" t="e">
        <f>IF(VLOOKUP($A2903,'Concrete Beam Schedule'!$A$2:$Q$2902,U$2,0)&lt;&gt;E2903,"Beam Revised","")</f>
        <v>#N/A</v>
      </c>
      <c r="V2903" s="7" t="e">
        <f>IF(VLOOKUP($A2903,'Concrete Beam Schedule'!$A$2:$Q$2902,V$2,0)&lt;&gt;F2903,"Beam Revised","")</f>
        <v>#N/A</v>
      </c>
      <c r="W2903" s="7" t="e">
        <f>IF(VLOOKUP($A2903,'Concrete Beam Schedule'!$A$2:$Q$2902,W$2,0)&lt;&gt;G2903,"Beam Revised","")</f>
        <v>#N/A</v>
      </c>
      <c r="X2903" s="7" t="e">
        <f>IF(VLOOKUP($A2903,'Concrete Beam Schedule'!$A$2:$Q$2902,X$2,0)&lt;&gt;H2903,"Beam Revised","")</f>
        <v>#N/A</v>
      </c>
      <c r="Y2903" s="7" t="e">
        <f>IF(VLOOKUP($A2903,'Concrete Beam Schedule'!$A$2:$Q$2902,Y$2,0)&lt;&gt;I2903,"Beam Revised","")</f>
        <v>#N/A</v>
      </c>
      <c r="Z2903" s="7" t="e">
        <f>IF(VLOOKUP($A2903,'Concrete Beam Schedule'!$A$2:$Q$2902,Z$2,0)&lt;&gt;J2903,"Beam Revised","")</f>
        <v>#N/A</v>
      </c>
      <c r="AA2903" s="7" t="e">
        <f>IF(VLOOKUP($A2903,'Concrete Beam Schedule'!$A$2:$Q$2902,AA$2,0)&lt;&gt;K2903,"Beam Revised","")</f>
        <v>#N/A</v>
      </c>
      <c r="AB2903" s="7" t="e">
        <f>IF(VLOOKUP($A2903,'Concrete Beam Schedule'!$A$2:$Q$2902,AB$2,0)&lt;&gt;L2903,"Beam Revised","")</f>
        <v>#N/A</v>
      </c>
      <c r="AC2903" s="7" t="e">
        <f>IF(VLOOKUP($A2903,'Concrete Beam Schedule'!$A$2:$Q$2902,AC$2,0)&lt;&gt;M2903,"Beam Revised","")</f>
        <v>#N/A</v>
      </c>
      <c r="AD2903" s="7" t="e">
        <f>IF(VLOOKUP($A2903,'Concrete Beam Schedule'!$A$2:$Q$2902,AD$2,0)&lt;&gt;N2903,"Beam Revised","")</f>
        <v>#N/A</v>
      </c>
      <c r="AE2903" s="7" t="e">
        <f>IF(VLOOKUP($A2903,'Concrete Beam Schedule'!$A$2:$Q$2902,AE$2,0)&lt;&gt;O2903,"Beam Revised","")</f>
        <v>#N/A</v>
      </c>
    </row>
    <row r="2904" spans="17:31" ht="20.100000000000001" customHeight="1" x14ac:dyDescent="0.25">
      <c r="Q2904" s="7">
        <f t="shared" si="45"/>
        <v>0</v>
      </c>
      <c r="R2904" s="7" t="e">
        <f>IF(VLOOKUP($A2904,'Concrete Beam Schedule'!$A$2:$Q$2902,R$2,0)&lt;&gt;B2904,VLOOKUP($A2904,'Concrete Beam Schedule'!$A$2:$Q$2902,R$2,0),"")</f>
        <v>#N/A</v>
      </c>
      <c r="S2904" s="7" t="e">
        <f>IF(VLOOKUP($A2904,'Concrete Beam Schedule'!$A$2:$Q$2902,S$2,0)&lt;&gt;C2904,VLOOKUP($A2904,'Concrete Beam Schedule'!$A$2:$Q$2902,S$2,0),"")</f>
        <v>#N/A</v>
      </c>
      <c r="T2904" s="7" t="e">
        <f>IF(VLOOKUP($A2904,'Concrete Beam Schedule'!$A$2:$Q$2902,T$2,0)&lt;&gt;D2904,"Beam Revised","")</f>
        <v>#N/A</v>
      </c>
      <c r="U2904" s="7" t="e">
        <f>IF(VLOOKUP($A2904,'Concrete Beam Schedule'!$A$2:$Q$2902,U$2,0)&lt;&gt;E2904,"Beam Revised","")</f>
        <v>#N/A</v>
      </c>
      <c r="V2904" s="7" t="e">
        <f>IF(VLOOKUP($A2904,'Concrete Beam Schedule'!$A$2:$Q$2902,V$2,0)&lt;&gt;F2904,"Beam Revised","")</f>
        <v>#N/A</v>
      </c>
      <c r="W2904" s="7" t="e">
        <f>IF(VLOOKUP($A2904,'Concrete Beam Schedule'!$A$2:$Q$2902,W$2,0)&lt;&gt;G2904,"Beam Revised","")</f>
        <v>#N/A</v>
      </c>
      <c r="X2904" s="7" t="e">
        <f>IF(VLOOKUP($A2904,'Concrete Beam Schedule'!$A$2:$Q$2902,X$2,0)&lt;&gt;H2904,"Beam Revised","")</f>
        <v>#N/A</v>
      </c>
      <c r="Y2904" s="7" t="e">
        <f>IF(VLOOKUP($A2904,'Concrete Beam Schedule'!$A$2:$Q$2902,Y$2,0)&lt;&gt;I2904,"Beam Revised","")</f>
        <v>#N/A</v>
      </c>
      <c r="Z2904" s="7" t="e">
        <f>IF(VLOOKUP($A2904,'Concrete Beam Schedule'!$A$2:$Q$2902,Z$2,0)&lt;&gt;J2904,"Beam Revised","")</f>
        <v>#N/A</v>
      </c>
      <c r="AA2904" s="7" t="e">
        <f>IF(VLOOKUP($A2904,'Concrete Beam Schedule'!$A$2:$Q$2902,AA$2,0)&lt;&gt;K2904,"Beam Revised","")</f>
        <v>#N/A</v>
      </c>
      <c r="AB2904" s="7" t="e">
        <f>IF(VLOOKUP($A2904,'Concrete Beam Schedule'!$A$2:$Q$2902,AB$2,0)&lt;&gt;L2904,"Beam Revised","")</f>
        <v>#N/A</v>
      </c>
      <c r="AC2904" s="7" t="e">
        <f>IF(VLOOKUP($A2904,'Concrete Beam Schedule'!$A$2:$Q$2902,AC$2,0)&lt;&gt;M2904,"Beam Revised","")</f>
        <v>#N/A</v>
      </c>
      <c r="AD2904" s="7" t="e">
        <f>IF(VLOOKUP($A2904,'Concrete Beam Schedule'!$A$2:$Q$2902,AD$2,0)&lt;&gt;N2904,"Beam Revised","")</f>
        <v>#N/A</v>
      </c>
      <c r="AE2904" s="7" t="e">
        <f>IF(VLOOKUP($A2904,'Concrete Beam Schedule'!$A$2:$Q$2902,AE$2,0)&lt;&gt;O2904,"Beam Revised","")</f>
        <v>#N/A</v>
      </c>
    </row>
    <row r="2905" spans="17:31" ht="20.100000000000001" customHeight="1" x14ac:dyDescent="0.25">
      <c r="Q2905" s="7">
        <f t="shared" si="45"/>
        <v>0</v>
      </c>
      <c r="R2905" s="7" t="e">
        <f>IF(VLOOKUP($A2905,'Concrete Beam Schedule'!$A$2:$Q$2902,R$2,0)&lt;&gt;B2905,VLOOKUP($A2905,'Concrete Beam Schedule'!$A$2:$Q$2902,R$2,0),"")</f>
        <v>#N/A</v>
      </c>
      <c r="S2905" s="7" t="e">
        <f>IF(VLOOKUP($A2905,'Concrete Beam Schedule'!$A$2:$Q$2902,S$2,0)&lt;&gt;C2905,VLOOKUP($A2905,'Concrete Beam Schedule'!$A$2:$Q$2902,S$2,0),"")</f>
        <v>#N/A</v>
      </c>
      <c r="T2905" s="7" t="e">
        <f>IF(VLOOKUP($A2905,'Concrete Beam Schedule'!$A$2:$Q$2902,T$2,0)&lt;&gt;D2905,"Beam Revised","")</f>
        <v>#N/A</v>
      </c>
      <c r="U2905" s="7" t="e">
        <f>IF(VLOOKUP($A2905,'Concrete Beam Schedule'!$A$2:$Q$2902,U$2,0)&lt;&gt;E2905,"Beam Revised","")</f>
        <v>#N/A</v>
      </c>
      <c r="V2905" s="7" t="e">
        <f>IF(VLOOKUP($A2905,'Concrete Beam Schedule'!$A$2:$Q$2902,V$2,0)&lt;&gt;F2905,"Beam Revised","")</f>
        <v>#N/A</v>
      </c>
      <c r="W2905" s="7" t="e">
        <f>IF(VLOOKUP($A2905,'Concrete Beam Schedule'!$A$2:$Q$2902,W$2,0)&lt;&gt;G2905,"Beam Revised","")</f>
        <v>#N/A</v>
      </c>
      <c r="X2905" s="7" t="e">
        <f>IF(VLOOKUP($A2905,'Concrete Beam Schedule'!$A$2:$Q$2902,X$2,0)&lt;&gt;H2905,"Beam Revised","")</f>
        <v>#N/A</v>
      </c>
      <c r="Y2905" s="7" t="e">
        <f>IF(VLOOKUP($A2905,'Concrete Beam Schedule'!$A$2:$Q$2902,Y$2,0)&lt;&gt;I2905,"Beam Revised","")</f>
        <v>#N/A</v>
      </c>
      <c r="Z2905" s="7" t="e">
        <f>IF(VLOOKUP($A2905,'Concrete Beam Schedule'!$A$2:$Q$2902,Z$2,0)&lt;&gt;J2905,"Beam Revised","")</f>
        <v>#N/A</v>
      </c>
      <c r="AA2905" s="7" t="e">
        <f>IF(VLOOKUP($A2905,'Concrete Beam Schedule'!$A$2:$Q$2902,AA$2,0)&lt;&gt;K2905,"Beam Revised","")</f>
        <v>#N/A</v>
      </c>
      <c r="AB2905" s="7" t="e">
        <f>IF(VLOOKUP($A2905,'Concrete Beam Schedule'!$A$2:$Q$2902,AB$2,0)&lt;&gt;L2905,"Beam Revised","")</f>
        <v>#N/A</v>
      </c>
      <c r="AC2905" s="7" t="e">
        <f>IF(VLOOKUP($A2905,'Concrete Beam Schedule'!$A$2:$Q$2902,AC$2,0)&lt;&gt;M2905,"Beam Revised","")</f>
        <v>#N/A</v>
      </c>
      <c r="AD2905" s="7" t="e">
        <f>IF(VLOOKUP($A2905,'Concrete Beam Schedule'!$A$2:$Q$2902,AD$2,0)&lt;&gt;N2905,"Beam Revised","")</f>
        <v>#N/A</v>
      </c>
      <c r="AE2905" s="7" t="e">
        <f>IF(VLOOKUP($A2905,'Concrete Beam Schedule'!$A$2:$Q$2902,AE$2,0)&lt;&gt;O2905,"Beam Revised","")</f>
        <v>#N/A</v>
      </c>
    </row>
    <row r="2906" spans="17:31" ht="20.100000000000001" customHeight="1" x14ac:dyDescent="0.25">
      <c r="Q2906" s="7">
        <f t="shared" si="45"/>
        <v>0</v>
      </c>
      <c r="R2906" s="7" t="e">
        <f>IF(VLOOKUP($A2906,'Concrete Beam Schedule'!$A$2:$Q$2902,R$2,0)&lt;&gt;B2906,VLOOKUP($A2906,'Concrete Beam Schedule'!$A$2:$Q$2902,R$2,0),"")</f>
        <v>#N/A</v>
      </c>
      <c r="S2906" s="7" t="e">
        <f>IF(VLOOKUP($A2906,'Concrete Beam Schedule'!$A$2:$Q$2902,S$2,0)&lt;&gt;C2906,VLOOKUP($A2906,'Concrete Beam Schedule'!$A$2:$Q$2902,S$2,0),"")</f>
        <v>#N/A</v>
      </c>
      <c r="T2906" s="7" t="e">
        <f>IF(VLOOKUP($A2906,'Concrete Beam Schedule'!$A$2:$Q$2902,T$2,0)&lt;&gt;D2906,"Beam Revised","")</f>
        <v>#N/A</v>
      </c>
      <c r="U2906" s="7" t="e">
        <f>IF(VLOOKUP($A2906,'Concrete Beam Schedule'!$A$2:$Q$2902,U$2,0)&lt;&gt;E2906,"Beam Revised","")</f>
        <v>#N/A</v>
      </c>
      <c r="V2906" s="7" t="e">
        <f>IF(VLOOKUP($A2906,'Concrete Beam Schedule'!$A$2:$Q$2902,V$2,0)&lt;&gt;F2906,"Beam Revised","")</f>
        <v>#N/A</v>
      </c>
      <c r="W2906" s="7" t="e">
        <f>IF(VLOOKUP($A2906,'Concrete Beam Schedule'!$A$2:$Q$2902,W$2,0)&lt;&gt;G2906,"Beam Revised","")</f>
        <v>#N/A</v>
      </c>
      <c r="X2906" s="7" t="e">
        <f>IF(VLOOKUP($A2906,'Concrete Beam Schedule'!$A$2:$Q$2902,X$2,0)&lt;&gt;H2906,"Beam Revised","")</f>
        <v>#N/A</v>
      </c>
      <c r="Y2906" s="7" t="e">
        <f>IF(VLOOKUP($A2906,'Concrete Beam Schedule'!$A$2:$Q$2902,Y$2,0)&lt;&gt;I2906,"Beam Revised","")</f>
        <v>#N/A</v>
      </c>
      <c r="Z2906" s="7" t="e">
        <f>IF(VLOOKUP($A2906,'Concrete Beam Schedule'!$A$2:$Q$2902,Z$2,0)&lt;&gt;J2906,"Beam Revised","")</f>
        <v>#N/A</v>
      </c>
      <c r="AA2906" s="7" t="e">
        <f>IF(VLOOKUP($A2906,'Concrete Beam Schedule'!$A$2:$Q$2902,AA$2,0)&lt;&gt;K2906,"Beam Revised","")</f>
        <v>#N/A</v>
      </c>
      <c r="AB2906" s="7" t="e">
        <f>IF(VLOOKUP($A2906,'Concrete Beam Schedule'!$A$2:$Q$2902,AB$2,0)&lt;&gt;L2906,"Beam Revised","")</f>
        <v>#N/A</v>
      </c>
      <c r="AC2906" s="7" t="e">
        <f>IF(VLOOKUP($A2906,'Concrete Beam Schedule'!$A$2:$Q$2902,AC$2,0)&lt;&gt;M2906,"Beam Revised","")</f>
        <v>#N/A</v>
      </c>
      <c r="AD2906" s="7" t="e">
        <f>IF(VLOOKUP($A2906,'Concrete Beam Schedule'!$A$2:$Q$2902,AD$2,0)&lt;&gt;N2906,"Beam Revised","")</f>
        <v>#N/A</v>
      </c>
      <c r="AE2906" s="7" t="e">
        <f>IF(VLOOKUP($A2906,'Concrete Beam Schedule'!$A$2:$Q$2902,AE$2,0)&lt;&gt;O2906,"Beam Revised","")</f>
        <v>#N/A</v>
      </c>
    </row>
    <row r="2907" spans="17:31" ht="20.100000000000001" customHeight="1" x14ac:dyDescent="0.25">
      <c r="Q2907" s="7">
        <f t="shared" si="45"/>
        <v>0</v>
      </c>
      <c r="R2907" s="7" t="e">
        <f>IF(VLOOKUP($A2907,'Concrete Beam Schedule'!$A$2:$Q$2902,R$2,0)&lt;&gt;B2907,VLOOKUP($A2907,'Concrete Beam Schedule'!$A$2:$Q$2902,R$2,0),"")</f>
        <v>#N/A</v>
      </c>
      <c r="S2907" s="7" t="e">
        <f>IF(VLOOKUP($A2907,'Concrete Beam Schedule'!$A$2:$Q$2902,S$2,0)&lt;&gt;C2907,VLOOKUP($A2907,'Concrete Beam Schedule'!$A$2:$Q$2902,S$2,0),"")</f>
        <v>#N/A</v>
      </c>
      <c r="T2907" s="7" t="e">
        <f>IF(VLOOKUP($A2907,'Concrete Beam Schedule'!$A$2:$Q$2902,T$2,0)&lt;&gt;D2907,"Beam Revised","")</f>
        <v>#N/A</v>
      </c>
      <c r="U2907" s="7" t="e">
        <f>IF(VLOOKUP($A2907,'Concrete Beam Schedule'!$A$2:$Q$2902,U$2,0)&lt;&gt;E2907,"Beam Revised","")</f>
        <v>#N/A</v>
      </c>
      <c r="V2907" s="7" t="e">
        <f>IF(VLOOKUP($A2907,'Concrete Beam Schedule'!$A$2:$Q$2902,V$2,0)&lt;&gt;F2907,"Beam Revised","")</f>
        <v>#N/A</v>
      </c>
      <c r="W2907" s="7" t="e">
        <f>IF(VLOOKUP($A2907,'Concrete Beam Schedule'!$A$2:$Q$2902,W$2,0)&lt;&gt;G2907,"Beam Revised","")</f>
        <v>#N/A</v>
      </c>
      <c r="X2907" s="7" t="e">
        <f>IF(VLOOKUP($A2907,'Concrete Beam Schedule'!$A$2:$Q$2902,X$2,0)&lt;&gt;H2907,"Beam Revised","")</f>
        <v>#N/A</v>
      </c>
      <c r="Y2907" s="7" t="e">
        <f>IF(VLOOKUP($A2907,'Concrete Beam Schedule'!$A$2:$Q$2902,Y$2,0)&lt;&gt;I2907,"Beam Revised","")</f>
        <v>#N/A</v>
      </c>
      <c r="Z2907" s="7" t="e">
        <f>IF(VLOOKUP($A2907,'Concrete Beam Schedule'!$A$2:$Q$2902,Z$2,0)&lt;&gt;J2907,"Beam Revised","")</f>
        <v>#N/A</v>
      </c>
      <c r="AA2907" s="7" t="e">
        <f>IF(VLOOKUP($A2907,'Concrete Beam Schedule'!$A$2:$Q$2902,AA$2,0)&lt;&gt;K2907,"Beam Revised","")</f>
        <v>#N/A</v>
      </c>
      <c r="AB2907" s="7" t="e">
        <f>IF(VLOOKUP($A2907,'Concrete Beam Schedule'!$A$2:$Q$2902,AB$2,0)&lt;&gt;L2907,"Beam Revised","")</f>
        <v>#N/A</v>
      </c>
      <c r="AC2907" s="7" t="e">
        <f>IF(VLOOKUP($A2907,'Concrete Beam Schedule'!$A$2:$Q$2902,AC$2,0)&lt;&gt;M2907,"Beam Revised","")</f>
        <v>#N/A</v>
      </c>
      <c r="AD2907" s="7" t="e">
        <f>IF(VLOOKUP($A2907,'Concrete Beam Schedule'!$A$2:$Q$2902,AD$2,0)&lt;&gt;N2907,"Beam Revised","")</f>
        <v>#N/A</v>
      </c>
      <c r="AE2907" s="7" t="e">
        <f>IF(VLOOKUP($A2907,'Concrete Beam Schedule'!$A$2:$Q$2902,AE$2,0)&lt;&gt;O2907,"Beam Revised","")</f>
        <v>#N/A</v>
      </c>
    </row>
    <row r="2908" spans="17:31" ht="20.100000000000001" customHeight="1" x14ac:dyDescent="0.25">
      <c r="Q2908" s="7">
        <f t="shared" si="45"/>
        <v>0</v>
      </c>
      <c r="R2908" s="7" t="e">
        <f>IF(VLOOKUP($A2908,'Concrete Beam Schedule'!$A$2:$Q$2902,R$2,0)&lt;&gt;B2908,VLOOKUP($A2908,'Concrete Beam Schedule'!$A$2:$Q$2902,R$2,0),"")</f>
        <v>#N/A</v>
      </c>
      <c r="S2908" s="7" t="e">
        <f>IF(VLOOKUP($A2908,'Concrete Beam Schedule'!$A$2:$Q$2902,S$2,0)&lt;&gt;C2908,VLOOKUP($A2908,'Concrete Beam Schedule'!$A$2:$Q$2902,S$2,0),"")</f>
        <v>#N/A</v>
      </c>
      <c r="T2908" s="7" t="e">
        <f>IF(VLOOKUP($A2908,'Concrete Beam Schedule'!$A$2:$Q$2902,T$2,0)&lt;&gt;D2908,"Beam Revised","")</f>
        <v>#N/A</v>
      </c>
      <c r="U2908" s="7" t="e">
        <f>IF(VLOOKUP($A2908,'Concrete Beam Schedule'!$A$2:$Q$2902,U$2,0)&lt;&gt;E2908,"Beam Revised","")</f>
        <v>#N/A</v>
      </c>
      <c r="V2908" s="7" t="e">
        <f>IF(VLOOKUP($A2908,'Concrete Beam Schedule'!$A$2:$Q$2902,V$2,0)&lt;&gt;F2908,"Beam Revised","")</f>
        <v>#N/A</v>
      </c>
      <c r="W2908" s="7" t="e">
        <f>IF(VLOOKUP($A2908,'Concrete Beam Schedule'!$A$2:$Q$2902,W$2,0)&lt;&gt;G2908,"Beam Revised","")</f>
        <v>#N/A</v>
      </c>
      <c r="X2908" s="7" t="e">
        <f>IF(VLOOKUP($A2908,'Concrete Beam Schedule'!$A$2:$Q$2902,X$2,0)&lt;&gt;H2908,"Beam Revised","")</f>
        <v>#N/A</v>
      </c>
      <c r="Y2908" s="7" t="e">
        <f>IF(VLOOKUP($A2908,'Concrete Beam Schedule'!$A$2:$Q$2902,Y$2,0)&lt;&gt;I2908,"Beam Revised","")</f>
        <v>#N/A</v>
      </c>
      <c r="Z2908" s="7" t="e">
        <f>IF(VLOOKUP($A2908,'Concrete Beam Schedule'!$A$2:$Q$2902,Z$2,0)&lt;&gt;J2908,"Beam Revised","")</f>
        <v>#N/A</v>
      </c>
      <c r="AA2908" s="7" t="e">
        <f>IF(VLOOKUP($A2908,'Concrete Beam Schedule'!$A$2:$Q$2902,AA$2,0)&lt;&gt;K2908,"Beam Revised","")</f>
        <v>#N/A</v>
      </c>
      <c r="AB2908" s="7" t="e">
        <f>IF(VLOOKUP($A2908,'Concrete Beam Schedule'!$A$2:$Q$2902,AB$2,0)&lt;&gt;L2908,"Beam Revised","")</f>
        <v>#N/A</v>
      </c>
      <c r="AC2908" s="7" t="e">
        <f>IF(VLOOKUP($A2908,'Concrete Beam Schedule'!$A$2:$Q$2902,AC$2,0)&lt;&gt;M2908,"Beam Revised","")</f>
        <v>#N/A</v>
      </c>
      <c r="AD2908" s="7" t="e">
        <f>IF(VLOOKUP($A2908,'Concrete Beam Schedule'!$A$2:$Q$2902,AD$2,0)&lt;&gt;N2908,"Beam Revised","")</f>
        <v>#N/A</v>
      </c>
      <c r="AE2908" s="7" t="e">
        <f>IF(VLOOKUP($A2908,'Concrete Beam Schedule'!$A$2:$Q$2902,AE$2,0)&lt;&gt;O2908,"Beam Revised","")</f>
        <v>#N/A</v>
      </c>
    </row>
    <row r="2909" spans="17:31" ht="20.100000000000001" customHeight="1" x14ac:dyDescent="0.25">
      <c r="Q2909" s="7">
        <f t="shared" si="45"/>
        <v>0</v>
      </c>
      <c r="R2909" s="7" t="e">
        <f>IF(VLOOKUP($A2909,'Concrete Beam Schedule'!$A$2:$Q$2902,R$2,0)&lt;&gt;B2909,VLOOKUP($A2909,'Concrete Beam Schedule'!$A$2:$Q$2902,R$2,0),"")</f>
        <v>#N/A</v>
      </c>
      <c r="S2909" s="7" t="e">
        <f>IF(VLOOKUP($A2909,'Concrete Beam Schedule'!$A$2:$Q$2902,S$2,0)&lt;&gt;C2909,VLOOKUP($A2909,'Concrete Beam Schedule'!$A$2:$Q$2902,S$2,0),"")</f>
        <v>#N/A</v>
      </c>
      <c r="T2909" s="7" t="e">
        <f>IF(VLOOKUP($A2909,'Concrete Beam Schedule'!$A$2:$Q$2902,T$2,0)&lt;&gt;D2909,"Beam Revised","")</f>
        <v>#N/A</v>
      </c>
      <c r="U2909" s="7" t="e">
        <f>IF(VLOOKUP($A2909,'Concrete Beam Schedule'!$A$2:$Q$2902,U$2,0)&lt;&gt;E2909,"Beam Revised","")</f>
        <v>#N/A</v>
      </c>
      <c r="V2909" s="7" t="e">
        <f>IF(VLOOKUP($A2909,'Concrete Beam Schedule'!$A$2:$Q$2902,V$2,0)&lt;&gt;F2909,"Beam Revised","")</f>
        <v>#N/A</v>
      </c>
      <c r="W2909" s="7" t="e">
        <f>IF(VLOOKUP($A2909,'Concrete Beam Schedule'!$A$2:$Q$2902,W$2,0)&lt;&gt;G2909,"Beam Revised","")</f>
        <v>#N/A</v>
      </c>
      <c r="X2909" s="7" t="e">
        <f>IF(VLOOKUP($A2909,'Concrete Beam Schedule'!$A$2:$Q$2902,X$2,0)&lt;&gt;H2909,"Beam Revised","")</f>
        <v>#N/A</v>
      </c>
      <c r="Y2909" s="7" t="e">
        <f>IF(VLOOKUP($A2909,'Concrete Beam Schedule'!$A$2:$Q$2902,Y$2,0)&lt;&gt;I2909,"Beam Revised","")</f>
        <v>#N/A</v>
      </c>
      <c r="Z2909" s="7" t="e">
        <f>IF(VLOOKUP($A2909,'Concrete Beam Schedule'!$A$2:$Q$2902,Z$2,0)&lt;&gt;J2909,"Beam Revised","")</f>
        <v>#N/A</v>
      </c>
      <c r="AA2909" s="7" t="e">
        <f>IF(VLOOKUP($A2909,'Concrete Beam Schedule'!$A$2:$Q$2902,AA$2,0)&lt;&gt;K2909,"Beam Revised","")</f>
        <v>#N/A</v>
      </c>
      <c r="AB2909" s="7" t="e">
        <f>IF(VLOOKUP($A2909,'Concrete Beam Schedule'!$A$2:$Q$2902,AB$2,0)&lt;&gt;L2909,"Beam Revised","")</f>
        <v>#N/A</v>
      </c>
      <c r="AC2909" s="7" t="e">
        <f>IF(VLOOKUP($A2909,'Concrete Beam Schedule'!$A$2:$Q$2902,AC$2,0)&lt;&gt;M2909,"Beam Revised","")</f>
        <v>#N/A</v>
      </c>
      <c r="AD2909" s="7" t="e">
        <f>IF(VLOOKUP($A2909,'Concrete Beam Schedule'!$A$2:$Q$2902,AD$2,0)&lt;&gt;N2909,"Beam Revised","")</f>
        <v>#N/A</v>
      </c>
      <c r="AE2909" s="7" t="e">
        <f>IF(VLOOKUP($A2909,'Concrete Beam Schedule'!$A$2:$Q$2902,AE$2,0)&lt;&gt;O2909,"Beam Revised","")</f>
        <v>#N/A</v>
      </c>
    </row>
    <row r="2910" spans="17:31" ht="20.100000000000001" customHeight="1" x14ac:dyDescent="0.25">
      <c r="Q2910" s="7">
        <f t="shared" si="45"/>
        <v>0</v>
      </c>
      <c r="R2910" s="7" t="e">
        <f>IF(VLOOKUP($A2910,'Concrete Beam Schedule'!$A$2:$Q$2902,R$2,0)&lt;&gt;B2910,VLOOKUP($A2910,'Concrete Beam Schedule'!$A$2:$Q$2902,R$2,0),"")</f>
        <v>#N/A</v>
      </c>
      <c r="S2910" s="7" t="e">
        <f>IF(VLOOKUP($A2910,'Concrete Beam Schedule'!$A$2:$Q$2902,S$2,0)&lt;&gt;C2910,VLOOKUP($A2910,'Concrete Beam Schedule'!$A$2:$Q$2902,S$2,0),"")</f>
        <v>#N/A</v>
      </c>
      <c r="T2910" s="7" t="e">
        <f>IF(VLOOKUP($A2910,'Concrete Beam Schedule'!$A$2:$Q$2902,T$2,0)&lt;&gt;D2910,"Beam Revised","")</f>
        <v>#N/A</v>
      </c>
      <c r="U2910" s="7" t="e">
        <f>IF(VLOOKUP($A2910,'Concrete Beam Schedule'!$A$2:$Q$2902,U$2,0)&lt;&gt;E2910,"Beam Revised","")</f>
        <v>#N/A</v>
      </c>
      <c r="V2910" s="7" t="e">
        <f>IF(VLOOKUP($A2910,'Concrete Beam Schedule'!$A$2:$Q$2902,V$2,0)&lt;&gt;F2910,"Beam Revised","")</f>
        <v>#N/A</v>
      </c>
      <c r="W2910" s="7" t="e">
        <f>IF(VLOOKUP($A2910,'Concrete Beam Schedule'!$A$2:$Q$2902,W$2,0)&lt;&gt;G2910,"Beam Revised","")</f>
        <v>#N/A</v>
      </c>
      <c r="X2910" s="7" t="e">
        <f>IF(VLOOKUP($A2910,'Concrete Beam Schedule'!$A$2:$Q$2902,X$2,0)&lt;&gt;H2910,"Beam Revised","")</f>
        <v>#N/A</v>
      </c>
      <c r="Y2910" s="7" t="e">
        <f>IF(VLOOKUP($A2910,'Concrete Beam Schedule'!$A$2:$Q$2902,Y$2,0)&lt;&gt;I2910,"Beam Revised","")</f>
        <v>#N/A</v>
      </c>
      <c r="Z2910" s="7" t="e">
        <f>IF(VLOOKUP($A2910,'Concrete Beam Schedule'!$A$2:$Q$2902,Z$2,0)&lt;&gt;J2910,"Beam Revised","")</f>
        <v>#N/A</v>
      </c>
      <c r="AA2910" s="7" t="e">
        <f>IF(VLOOKUP($A2910,'Concrete Beam Schedule'!$A$2:$Q$2902,AA$2,0)&lt;&gt;K2910,"Beam Revised","")</f>
        <v>#N/A</v>
      </c>
      <c r="AB2910" s="7" t="e">
        <f>IF(VLOOKUP($A2910,'Concrete Beam Schedule'!$A$2:$Q$2902,AB$2,0)&lt;&gt;L2910,"Beam Revised","")</f>
        <v>#N/A</v>
      </c>
      <c r="AC2910" s="7" t="e">
        <f>IF(VLOOKUP($A2910,'Concrete Beam Schedule'!$A$2:$Q$2902,AC$2,0)&lt;&gt;M2910,"Beam Revised","")</f>
        <v>#N/A</v>
      </c>
      <c r="AD2910" s="7" t="e">
        <f>IF(VLOOKUP($A2910,'Concrete Beam Schedule'!$A$2:$Q$2902,AD$2,0)&lt;&gt;N2910,"Beam Revised","")</f>
        <v>#N/A</v>
      </c>
      <c r="AE2910" s="7" t="e">
        <f>IF(VLOOKUP($A2910,'Concrete Beam Schedule'!$A$2:$Q$2902,AE$2,0)&lt;&gt;O2910,"Beam Revised","")</f>
        <v>#N/A</v>
      </c>
    </row>
    <row r="2911" spans="17:31" ht="20.100000000000001" customHeight="1" x14ac:dyDescent="0.25">
      <c r="Q2911" s="7">
        <f t="shared" si="45"/>
        <v>0</v>
      </c>
      <c r="R2911" s="7" t="e">
        <f>IF(VLOOKUP($A2911,'Concrete Beam Schedule'!$A$2:$Q$2902,R$2,0)&lt;&gt;B2911,VLOOKUP($A2911,'Concrete Beam Schedule'!$A$2:$Q$2902,R$2,0),"")</f>
        <v>#N/A</v>
      </c>
      <c r="S2911" s="7" t="e">
        <f>IF(VLOOKUP($A2911,'Concrete Beam Schedule'!$A$2:$Q$2902,S$2,0)&lt;&gt;C2911,VLOOKUP($A2911,'Concrete Beam Schedule'!$A$2:$Q$2902,S$2,0),"")</f>
        <v>#N/A</v>
      </c>
      <c r="T2911" s="7" t="e">
        <f>IF(VLOOKUP($A2911,'Concrete Beam Schedule'!$A$2:$Q$2902,T$2,0)&lt;&gt;D2911,"Beam Revised","")</f>
        <v>#N/A</v>
      </c>
      <c r="U2911" s="7" t="e">
        <f>IF(VLOOKUP($A2911,'Concrete Beam Schedule'!$A$2:$Q$2902,U$2,0)&lt;&gt;E2911,"Beam Revised","")</f>
        <v>#N/A</v>
      </c>
      <c r="V2911" s="7" t="e">
        <f>IF(VLOOKUP($A2911,'Concrete Beam Schedule'!$A$2:$Q$2902,V$2,0)&lt;&gt;F2911,"Beam Revised","")</f>
        <v>#N/A</v>
      </c>
      <c r="W2911" s="7" t="e">
        <f>IF(VLOOKUP($A2911,'Concrete Beam Schedule'!$A$2:$Q$2902,W$2,0)&lt;&gt;G2911,"Beam Revised","")</f>
        <v>#N/A</v>
      </c>
      <c r="X2911" s="7" t="e">
        <f>IF(VLOOKUP($A2911,'Concrete Beam Schedule'!$A$2:$Q$2902,X$2,0)&lt;&gt;H2911,"Beam Revised","")</f>
        <v>#N/A</v>
      </c>
      <c r="Y2911" s="7" t="e">
        <f>IF(VLOOKUP($A2911,'Concrete Beam Schedule'!$A$2:$Q$2902,Y$2,0)&lt;&gt;I2911,"Beam Revised","")</f>
        <v>#N/A</v>
      </c>
      <c r="Z2911" s="7" t="e">
        <f>IF(VLOOKUP($A2911,'Concrete Beam Schedule'!$A$2:$Q$2902,Z$2,0)&lt;&gt;J2911,"Beam Revised","")</f>
        <v>#N/A</v>
      </c>
      <c r="AA2911" s="7" t="e">
        <f>IF(VLOOKUP($A2911,'Concrete Beam Schedule'!$A$2:$Q$2902,AA$2,0)&lt;&gt;K2911,"Beam Revised","")</f>
        <v>#N/A</v>
      </c>
      <c r="AB2911" s="7" t="e">
        <f>IF(VLOOKUP($A2911,'Concrete Beam Schedule'!$A$2:$Q$2902,AB$2,0)&lt;&gt;L2911,"Beam Revised","")</f>
        <v>#N/A</v>
      </c>
      <c r="AC2911" s="7" t="e">
        <f>IF(VLOOKUP($A2911,'Concrete Beam Schedule'!$A$2:$Q$2902,AC$2,0)&lt;&gt;M2911,"Beam Revised","")</f>
        <v>#N/A</v>
      </c>
      <c r="AD2911" s="7" t="e">
        <f>IF(VLOOKUP($A2911,'Concrete Beam Schedule'!$A$2:$Q$2902,AD$2,0)&lt;&gt;N2911,"Beam Revised","")</f>
        <v>#N/A</v>
      </c>
      <c r="AE2911" s="7" t="e">
        <f>IF(VLOOKUP($A2911,'Concrete Beam Schedule'!$A$2:$Q$2902,AE$2,0)&lt;&gt;O2911,"Beam Revised","")</f>
        <v>#N/A</v>
      </c>
    </row>
    <row r="2912" spans="17:31" ht="20.100000000000001" customHeight="1" x14ac:dyDescent="0.25">
      <c r="Q2912" s="7">
        <f t="shared" si="45"/>
        <v>0</v>
      </c>
      <c r="R2912" s="7" t="e">
        <f>IF(VLOOKUP($A2912,'Concrete Beam Schedule'!$A$2:$Q$2902,R$2,0)&lt;&gt;B2912,VLOOKUP($A2912,'Concrete Beam Schedule'!$A$2:$Q$2902,R$2,0),"")</f>
        <v>#N/A</v>
      </c>
      <c r="S2912" s="7" t="e">
        <f>IF(VLOOKUP($A2912,'Concrete Beam Schedule'!$A$2:$Q$2902,S$2,0)&lt;&gt;C2912,VLOOKUP($A2912,'Concrete Beam Schedule'!$A$2:$Q$2902,S$2,0),"")</f>
        <v>#N/A</v>
      </c>
      <c r="T2912" s="7" t="e">
        <f>IF(VLOOKUP($A2912,'Concrete Beam Schedule'!$A$2:$Q$2902,T$2,0)&lt;&gt;D2912,"Beam Revised","")</f>
        <v>#N/A</v>
      </c>
      <c r="U2912" s="7" t="e">
        <f>IF(VLOOKUP($A2912,'Concrete Beam Schedule'!$A$2:$Q$2902,U$2,0)&lt;&gt;E2912,"Beam Revised","")</f>
        <v>#N/A</v>
      </c>
      <c r="V2912" s="7" t="e">
        <f>IF(VLOOKUP($A2912,'Concrete Beam Schedule'!$A$2:$Q$2902,V$2,0)&lt;&gt;F2912,"Beam Revised","")</f>
        <v>#N/A</v>
      </c>
      <c r="W2912" s="7" t="e">
        <f>IF(VLOOKUP($A2912,'Concrete Beam Schedule'!$A$2:$Q$2902,W$2,0)&lt;&gt;G2912,"Beam Revised","")</f>
        <v>#N/A</v>
      </c>
      <c r="X2912" s="7" t="e">
        <f>IF(VLOOKUP($A2912,'Concrete Beam Schedule'!$A$2:$Q$2902,X$2,0)&lt;&gt;H2912,"Beam Revised","")</f>
        <v>#N/A</v>
      </c>
      <c r="Y2912" s="7" t="e">
        <f>IF(VLOOKUP($A2912,'Concrete Beam Schedule'!$A$2:$Q$2902,Y$2,0)&lt;&gt;I2912,"Beam Revised","")</f>
        <v>#N/A</v>
      </c>
      <c r="Z2912" s="7" t="e">
        <f>IF(VLOOKUP($A2912,'Concrete Beam Schedule'!$A$2:$Q$2902,Z$2,0)&lt;&gt;J2912,"Beam Revised","")</f>
        <v>#N/A</v>
      </c>
      <c r="AA2912" s="7" t="e">
        <f>IF(VLOOKUP($A2912,'Concrete Beam Schedule'!$A$2:$Q$2902,AA$2,0)&lt;&gt;K2912,"Beam Revised","")</f>
        <v>#N/A</v>
      </c>
      <c r="AB2912" s="7" t="e">
        <f>IF(VLOOKUP($A2912,'Concrete Beam Schedule'!$A$2:$Q$2902,AB$2,0)&lt;&gt;L2912,"Beam Revised","")</f>
        <v>#N/A</v>
      </c>
      <c r="AC2912" s="7" t="e">
        <f>IF(VLOOKUP($A2912,'Concrete Beam Schedule'!$A$2:$Q$2902,AC$2,0)&lt;&gt;M2912,"Beam Revised","")</f>
        <v>#N/A</v>
      </c>
      <c r="AD2912" s="7" t="e">
        <f>IF(VLOOKUP($A2912,'Concrete Beam Schedule'!$A$2:$Q$2902,AD$2,0)&lt;&gt;N2912,"Beam Revised","")</f>
        <v>#N/A</v>
      </c>
      <c r="AE2912" s="7" t="e">
        <f>IF(VLOOKUP($A2912,'Concrete Beam Schedule'!$A$2:$Q$2902,AE$2,0)&lt;&gt;O2912,"Beam Revised","")</f>
        <v>#N/A</v>
      </c>
    </row>
    <row r="2913" spans="17:31" ht="20.100000000000001" customHeight="1" x14ac:dyDescent="0.25">
      <c r="Q2913" s="7">
        <f t="shared" si="45"/>
        <v>0</v>
      </c>
      <c r="R2913" s="7" t="e">
        <f>IF(VLOOKUP($A2913,'Concrete Beam Schedule'!$A$2:$Q$2902,R$2,0)&lt;&gt;B2913,VLOOKUP($A2913,'Concrete Beam Schedule'!$A$2:$Q$2902,R$2,0),"")</f>
        <v>#N/A</v>
      </c>
      <c r="S2913" s="7" t="e">
        <f>IF(VLOOKUP($A2913,'Concrete Beam Schedule'!$A$2:$Q$2902,S$2,0)&lt;&gt;C2913,VLOOKUP($A2913,'Concrete Beam Schedule'!$A$2:$Q$2902,S$2,0),"")</f>
        <v>#N/A</v>
      </c>
      <c r="T2913" s="7" t="e">
        <f>IF(VLOOKUP($A2913,'Concrete Beam Schedule'!$A$2:$Q$2902,T$2,0)&lt;&gt;D2913,"Beam Revised","")</f>
        <v>#N/A</v>
      </c>
      <c r="U2913" s="7" t="e">
        <f>IF(VLOOKUP($A2913,'Concrete Beam Schedule'!$A$2:$Q$2902,U$2,0)&lt;&gt;E2913,"Beam Revised","")</f>
        <v>#N/A</v>
      </c>
      <c r="V2913" s="7" t="e">
        <f>IF(VLOOKUP($A2913,'Concrete Beam Schedule'!$A$2:$Q$2902,V$2,0)&lt;&gt;F2913,"Beam Revised","")</f>
        <v>#N/A</v>
      </c>
      <c r="W2913" s="7" t="e">
        <f>IF(VLOOKUP($A2913,'Concrete Beam Schedule'!$A$2:$Q$2902,W$2,0)&lt;&gt;G2913,"Beam Revised","")</f>
        <v>#N/A</v>
      </c>
      <c r="X2913" s="7" t="e">
        <f>IF(VLOOKUP($A2913,'Concrete Beam Schedule'!$A$2:$Q$2902,X$2,0)&lt;&gt;H2913,"Beam Revised","")</f>
        <v>#N/A</v>
      </c>
      <c r="Y2913" s="7" t="e">
        <f>IF(VLOOKUP($A2913,'Concrete Beam Schedule'!$A$2:$Q$2902,Y$2,0)&lt;&gt;I2913,"Beam Revised","")</f>
        <v>#N/A</v>
      </c>
      <c r="Z2913" s="7" t="e">
        <f>IF(VLOOKUP($A2913,'Concrete Beam Schedule'!$A$2:$Q$2902,Z$2,0)&lt;&gt;J2913,"Beam Revised","")</f>
        <v>#N/A</v>
      </c>
      <c r="AA2913" s="7" t="e">
        <f>IF(VLOOKUP($A2913,'Concrete Beam Schedule'!$A$2:$Q$2902,AA$2,0)&lt;&gt;K2913,"Beam Revised","")</f>
        <v>#N/A</v>
      </c>
      <c r="AB2913" s="7" t="e">
        <f>IF(VLOOKUP($A2913,'Concrete Beam Schedule'!$A$2:$Q$2902,AB$2,0)&lt;&gt;L2913,"Beam Revised","")</f>
        <v>#N/A</v>
      </c>
      <c r="AC2913" s="7" t="e">
        <f>IF(VLOOKUP($A2913,'Concrete Beam Schedule'!$A$2:$Q$2902,AC$2,0)&lt;&gt;M2913,"Beam Revised","")</f>
        <v>#N/A</v>
      </c>
      <c r="AD2913" s="7" t="e">
        <f>IF(VLOOKUP($A2913,'Concrete Beam Schedule'!$A$2:$Q$2902,AD$2,0)&lt;&gt;N2913,"Beam Revised","")</f>
        <v>#N/A</v>
      </c>
      <c r="AE2913" s="7" t="e">
        <f>IF(VLOOKUP($A2913,'Concrete Beam Schedule'!$A$2:$Q$2902,AE$2,0)&lt;&gt;O2913,"Beam Revised","")</f>
        <v>#N/A</v>
      </c>
    </row>
    <row r="2914" spans="17:31" ht="20.100000000000001" customHeight="1" x14ac:dyDescent="0.25">
      <c r="Q2914" s="7">
        <f t="shared" si="45"/>
        <v>0</v>
      </c>
      <c r="R2914" s="7" t="e">
        <f>IF(VLOOKUP($A2914,'Concrete Beam Schedule'!$A$2:$Q$2902,R$2,0)&lt;&gt;B2914,VLOOKUP($A2914,'Concrete Beam Schedule'!$A$2:$Q$2902,R$2,0),"")</f>
        <v>#N/A</v>
      </c>
      <c r="S2914" s="7" t="e">
        <f>IF(VLOOKUP($A2914,'Concrete Beam Schedule'!$A$2:$Q$2902,S$2,0)&lt;&gt;C2914,VLOOKUP($A2914,'Concrete Beam Schedule'!$A$2:$Q$2902,S$2,0),"")</f>
        <v>#N/A</v>
      </c>
      <c r="T2914" s="7" t="e">
        <f>IF(VLOOKUP($A2914,'Concrete Beam Schedule'!$A$2:$Q$2902,T$2,0)&lt;&gt;D2914,"Beam Revised","")</f>
        <v>#N/A</v>
      </c>
      <c r="U2914" s="7" t="e">
        <f>IF(VLOOKUP($A2914,'Concrete Beam Schedule'!$A$2:$Q$2902,U$2,0)&lt;&gt;E2914,"Beam Revised","")</f>
        <v>#N/A</v>
      </c>
      <c r="V2914" s="7" t="e">
        <f>IF(VLOOKUP($A2914,'Concrete Beam Schedule'!$A$2:$Q$2902,V$2,0)&lt;&gt;F2914,"Beam Revised","")</f>
        <v>#N/A</v>
      </c>
      <c r="W2914" s="7" t="e">
        <f>IF(VLOOKUP($A2914,'Concrete Beam Schedule'!$A$2:$Q$2902,W$2,0)&lt;&gt;G2914,"Beam Revised","")</f>
        <v>#N/A</v>
      </c>
      <c r="X2914" s="7" t="e">
        <f>IF(VLOOKUP($A2914,'Concrete Beam Schedule'!$A$2:$Q$2902,X$2,0)&lt;&gt;H2914,"Beam Revised","")</f>
        <v>#N/A</v>
      </c>
      <c r="Y2914" s="7" t="e">
        <f>IF(VLOOKUP($A2914,'Concrete Beam Schedule'!$A$2:$Q$2902,Y$2,0)&lt;&gt;I2914,"Beam Revised","")</f>
        <v>#N/A</v>
      </c>
      <c r="Z2914" s="7" t="e">
        <f>IF(VLOOKUP($A2914,'Concrete Beam Schedule'!$A$2:$Q$2902,Z$2,0)&lt;&gt;J2914,"Beam Revised","")</f>
        <v>#N/A</v>
      </c>
      <c r="AA2914" s="7" t="e">
        <f>IF(VLOOKUP($A2914,'Concrete Beam Schedule'!$A$2:$Q$2902,AA$2,0)&lt;&gt;K2914,"Beam Revised","")</f>
        <v>#N/A</v>
      </c>
      <c r="AB2914" s="7" t="e">
        <f>IF(VLOOKUP($A2914,'Concrete Beam Schedule'!$A$2:$Q$2902,AB$2,0)&lt;&gt;L2914,"Beam Revised","")</f>
        <v>#N/A</v>
      </c>
      <c r="AC2914" s="7" t="e">
        <f>IF(VLOOKUP($A2914,'Concrete Beam Schedule'!$A$2:$Q$2902,AC$2,0)&lt;&gt;M2914,"Beam Revised","")</f>
        <v>#N/A</v>
      </c>
      <c r="AD2914" s="7" t="e">
        <f>IF(VLOOKUP($A2914,'Concrete Beam Schedule'!$A$2:$Q$2902,AD$2,0)&lt;&gt;N2914,"Beam Revised","")</f>
        <v>#N/A</v>
      </c>
      <c r="AE2914" s="7" t="e">
        <f>IF(VLOOKUP($A2914,'Concrete Beam Schedule'!$A$2:$Q$2902,AE$2,0)&lt;&gt;O2914,"Beam Revised","")</f>
        <v>#N/A</v>
      </c>
    </row>
    <row r="2915" spans="17:31" ht="20.100000000000001" customHeight="1" x14ac:dyDescent="0.25">
      <c r="Q2915" s="7">
        <f t="shared" si="45"/>
        <v>0</v>
      </c>
      <c r="R2915" s="7" t="e">
        <f>IF(VLOOKUP($A2915,'Concrete Beam Schedule'!$A$2:$Q$2902,R$2,0)&lt;&gt;B2915,VLOOKUP($A2915,'Concrete Beam Schedule'!$A$2:$Q$2902,R$2,0),"")</f>
        <v>#N/A</v>
      </c>
      <c r="S2915" s="7" t="e">
        <f>IF(VLOOKUP($A2915,'Concrete Beam Schedule'!$A$2:$Q$2902,S$2,0)&lt;&gt;C2915,VLOOKUP($A2915,'Concrete Beam Schedule'!$A$2:$Q$2902,S$2,0),"")</f>
        <v>#N/A</v>
      </c>
      <c r="T2915" s="7" t="e">
        <f>IF(VLOOKUP($A2915,'Concrete Beam Schedule'!$A$2:$Q$2902,T$2,0)&lt;&gt;D2915,"Beam Revised","")</f>
        <v>#N/A</v>
      </c>
      <c r="U2915" s="7" t="e">
        <f>IF(VLOOKUP($A2915,'Concrete Beam Schedule'!$A$2:$Q$2902,U$2,0)&lt;&gt;E2915,"Beam Revised","")</f>
        <v>#N/A</v>
      </c>
      <c r="V2915" s="7" t="e">
        <f>IF(VLOOKUP($A2915,'Concrete Beam Schedule'!$A$2:$Q$2902,V$2,0)&lt;&gt;F2915,"Beam Revised","")</f>
        <v>#N/A</v>
      </c>
      <c r="W2915" s="7" t="e">
        <f>IF(VLOOKUP($A2915,'Concrete Beam Schedule'!$A$2:$Q$2902,W$2,0)&lt;&gt;G2915,"Beam Revised","")</f>
        <v>#N/A</v>
      </c>
      <c r="X2915" s="7" t="e">
        <f>IF(VLOOKUP($A2915,'Concrete Beam Schedule'!$A$2:$Q$2902,X$2,0)&lt;&gt;H2915,"Beam Revised","")</f>
        <v>#N/A</v>
      </c>
      <c r="Y2915" s="7" t="e">
        <f>IF(VLOOKUP($A2915,'Concrete Beam Schedule'!$A$2:$Q$2902,Y$2,0)&lt;&gt;I2915,"Beam Revised","")</f>
        <v>#N/A</v>
      </c>
      <c r="Z2915" s="7" t="e">
        <f>IF(VLOOKUP($A2915,'Concrete Beam Schedule'!$A$2:$Q$2902,Z$2,0)&lt;&gt;J2915,"Beam Revised","")</f>
        <v>#N/A</v>
      </c>
      <c r="AA2915" s="7" t="e">
        <f>IF(VLOOKUP($A2915,'Concrete Beam Schedule'!$A$2:$Q$2902,AA$2,0)&lt;&gt;K2915,"Beam Revised","")</f>
        <v>#N/A</v>
      </c>
      <c r="AB2915" s="7" t="e">
        <f>IF(VLOOKUP($A2915,'Concrete Beam Schedule'!$A$2:$Q$2902,AB$2,0)&lt;&gt;L2915,"Beam Revised","")</f>
        <v>#N/A</v>
      </c>
      <c r="AC2915" s="7" t="e">
        <f>IF(VLOOKUP($A2915,'Concrete Beam Schedule'!$A$2:$Q$2902,AC$2,0)&lt;&gt;M2915,"Beam Revised","")</f>
        <v>#N/A</v>
      </c>
      <c r="AD2915" s="7" t="e">
        <f>IF(VLOOKUP($A2915,'Concrete Beam Schedule'!$A$2:$Q$2902,AD$2,0)&lt;&gt;N2915,"Beam Revised","")</f>
        <v>#N/A</v>
      </c>
      <c r="AE2915" s="7" t="e">
        <f>IF(VLOOKUP($A2915,'Concrete Beam Schedule'!$A$2:$Q$2902,AE$2,0)&lt;&gt;O2915,"Beam Revised","")</f>
        <v>#N/A</v>
      </c>
    </row>
    <row r="2916" spans="17:31" ht="20.100000000000001" customHeight="1" x14ac:dyDescent="0.25">
      <c r="Q2916" s="7">
        <f t="shared" si="45"/>
        <v>0</v>
      </c>
      <c r="R2916" s="7" t="e">
        <f>IF(VLOOKUP($A2916,'Concrete Beam Schedule'!$A$2:$Q$2902,R$2,0)&lt;&gt;B2916,VLOOKUP($A2916,'Concrete Beam Schedule'!$A$2:$Q$2902,R$2,0),"")</f>
        <v>#N/A</v>
      </c>
      <c r="S2916" s="7" t="e">
        <f>IF(VLOOKUP($A2916,'Concrete Beam Schedule'!$A$2:$Q$2902,S$2,0)&lt;&gt;C2916,VLOOKUP($A2916,'Concrete Beam Schedule'!$A$2:$Q$2902,S$2,0),"")</f>
        <v>#N/A</v>
      </c>
      <c r="T2916" s="7" t="e">
        <f>IF(VLOOKUP($A2916,'Concrete Beam Schedule'!$A$2:$Q$2902,T$2,0)&lt;&gt;D2916,"Beam Revised","")</f>
        <v>#N/A</v>
      </c>
      <c r="U2916" s="7" t="e">
        <f>IF(VLOOKUP($A2916,'Concrete Beam Schedule'!$A$2:$Q$2902,U$2,0)&lt;&gt;E2916,"Beam Revised","")</f>
        <v>#N/A</v>
      </c>
      <c r="V2916" s="7" t="e">
        <f>IF(VLOOKUP($A2916,'Concrete Beam Schedule'!$A$2:$Q$2902,V$2,0)&lt;&gt;F2916,"Beam Revised","")</f>
        <v>#N/A</v>
      </c>
      <c r="W2916" s="7" t="e">
        <f>IF(VLOOKUP($A2916,'Concrete Beam Schedule'!$A$2:$Q$2902,W$2,0)&lt;&gt;G2916,"Beam Revised","")</f>
        <v>#N/A</v>
      </c>
      <c r="X2916" s="7" t="e">
        <f>IF(VLOOKUP($A2916,'Concrete Beam Schedule'!$A$2:$Q$2902,X$2,0)&lt;&gt;H2916,"Beam Revised","")</f>
        <v>#N/A</v>
      </c>
      <c r="Y2916" s="7" t="e">
        <f>IF(VLOOKUP($A2916,'Concrete Beam Schedule'!$A$2:$Q$2902,Y$2,0)&lt;&gt;I2916,"Beam Revised","")</f>
        <v>#N/A</v>
      </c>
      <c r="Z2916" s="7" t="e">
        <f>IF(VLOOKUP($A2916,'Concrete Beam Schedule'!$A$2:$Q$2902,Z$2,0)&lt;&gt;J2916,"Beam Revised","")</f>
        <v>#N/A</v>
      </c>
      <c r="AA2916" s="7" t="e">
        <f>IF(VLOOKUP($A2916,'Concrete Beam Schedule'!$A$2:$Q$2902,AA$2,0)&lt;&gt;K2916,"Beam Revised","")</f>
        <v>#N/A</v>
      </c>
      <c r="AB2916" s="7" t="e">
        <f>IF(VLOOKUP($A2916,'Concrete Beam Schedule'!$A$2:$Q$2902,AB$2,0)&lt;&gt;L2916,"Beam Revised","")</f>
        <v>#N/A</v>
      </c>
      <c r="AC2916" s="7" t="e">
        <f>IF(VLOOKUP($A2916,'Concrete Beam Schedule'!$A$2:$Q$2902,AC$2,0)&lt;&gt;M2916,"Beam Revised","")</f>
        <v>#N/A</v>
      </c>
      <c r="AD2916" s="7" t="e">
        <f>IF(VLOOKUP($A2916,'Concrete Beam Schedule'!$A$2:$Q$2902,AD$2,0)&lt;&gt;N2916,"Beam Revised","")</f>
        <v>#N/A</v>
      </c>
      <c r="AE2916" s="7" t="e">
        <f>IF(VLOOKUP($A2916,'Concrete Beam Schedule'!$A$2:$Q$2902,AE$2,0)&lt;&gt;O2916,"Beam Revised","")</f>
        <v>#N/A</v>
      </c>
    </row>
    <row r="2917" spans="17:31" ht="20.100000000000001" customHeight="1" x14ac:dyDescent="0.25">
      <c r="Q2917" s="7">
        <f t="shared" si="45"/>
        <v>0</v>
      </c>
      <c r="R2917" s="7" t="e">
        <f>IF(VLOOKUP($A2917,'Concrete Beam Schedule'!$A$2:$Q$2902,R$2,0)&lt;&gt;B2917,VLOOKUP($A2917,'Concrete Beam Schedule'!$A$2:$Q$2902,R$2,0),"")</f>
        <v>#N/A</v>
      </c>
      <c r="S2917" s="7" t="e">
        <f>IF(VLOOKUP($A2917,'Concrete Beam Schedule'!$A$2:$Q$2902,S$2,0)&lt;&gt;C2917,VLOOKUP($A2917,'Concrete Beam Schedule'!$A$2:$Q$2902,S$2,0),"")</f>
        <v>#N/A</v>
      </c>
      <c r="T2917" s="7" t="e">
        <f>IF(VLOOKUP($A2917,'Concrete Beam Schedule'!$A$2:$Q$2902,T$2,0)&lt;&gt;D2917,"Beam Revised","")</f>
        <v>#N/A</v>
      </c>
      <c r="U2917" s="7" t="e">
        <f>IF(VLOOKUP($A2917,'Concrete Beam Schedule'!$A$2:$Q$2902,U$2,0)&lt;&gt;E2917,"Beam Revised","")</f>
        <v>#N/A</v>
      </c>
      <c r="V2917" s="7" t="e">
        <f>IF(VLOOKUP($A2917,'Concrete Beam Schedule'!$A$2:$Q$2902,V$2,0)&lt;&gt;F2917,"Beam Revised","")</f>
        <v>#N/A</v>
      </c>
      <c r="W2917" s="7" t="e">
        <f>IF(VLOOKUP($A2917,'Concrete Beam Schedule'!$A$2:$Q$2902,W$2,0)&lt;&gt;G2917,"Beam Revised","")</f>
        <v>#N/A</v>
      </c>
      <c r="X2917" s="7" t="e">
        <f>IF(VLOOKUP($A2917,'Concrete Beam Schedule'!$A$2:$Q$2902,X$2,0)&lt;&gt;H2917,"Beam Revised","")</f>
        <v>#N/A</v>
      </c>
      <c r="Y2917" s="7" t="e">
        <f>IF(VLOOKUP($A2917,'Concrete Beam Schedule'!$A$2:$Q$2902,Y$2,0)&lt;&gt;I2917,"Beam Revised","")</f>
        <v>#N/A</v>
      </c>
      <c r="Z2917" s="7" t="e">
        <f>IF(VLOOKUP($A2917,'Concrete Beam Schedule'!$A$2:$Q$2902,Z$2,0)&lt;&gt;J2917,"Beam Revised","")</f>
        <v>#N/A</v>
      </c>
      <c r="AA2917" s="7" t="e">
        <f>IF(VLOOKUP($A2917,'Concrete Beam Schedule'!$A$2:$Q$2902,AA$2,0)&lt;&gt;K2917,"Beam Revised","")</f>
        <v>#N/A</v>
      </c>
      <c r="AB2917" s="7" t="e">
        <f>IF(VLOOKUP($A2917,'Concrete Beam Schedule'!$A$2:$Q$2902,AB$2,0)&lt;&gt;L2917,"Beam Revised","")</f>
        <v>#N/A</v>
      </c>
      <c r="AC2917" s="7" t="e">
        <f>IF(VLOOKUP($A2917,'Concrete Beam Schedule'!$A$2:$Q$2902,AC$2,0)&lt;&gt;M2917,"Beam Revised","")</f>
        <v>#N/A</v>
      </c>
      <c r="AD2917" s="7" t="e">
        <f>IF(VLOOKUP($A2917,'Concrete Beam Schedule'!$A$2:$Q$2902,AD$2,0)&lt;&gt;N2917,"Beam Revised","")</f>
        <v>#N/A</v>
      </c>
      <c r="AE2917" s="7" t="e">
        <f>IF(VLOOKUP($A2917,'Concrete Beam Schedule'!$A$2:$Q$2902,AE$2,0)&lt;&gt;O2917,"Beam Revised","")</f>
        <v>#N/A</v>
      </c>
    </row>
    <row r="2918" spans="17:31" ht="20.100000000000001" customHeight="1" x14ac:dyDescent="0.25">
      <c r="Q2918" s="7">
        <f t="shared" si="45"/>
        <v>0</v>
      </c>
      <c r="R2918" s="7" t="e">
        <f>IF(VLOOKUP($A2918,'Concrete Beam Schedule'!$A$2:$Q$2902,R$2,0)&lt;&gt;B2918,VLOOKUP($A2918,'Concrete Beam Schedule'!$A$2:$Q$2902,R$2,0),"")</f>
        <v>#N/A</v>
      </c>
      <c r="S2918" s="7" t="e">
        <f>IF(VLOOKUP($A2918,'Concrete Beam Schedule'!$A$2:$Q$2902,S$2,0)&lt;&gt;C2918,VLOOKUP($A2918,'Concrete Beam Schedule'!$A$2:$Q$2902,S$2,0),"")</f>
        <v>#N/A</v>
      </c>
      <c r="T2918" s="7" t="e">
        <f>IF(VLOOKUP($A2918,'Concrete Beam Schedule'!$A$2:$Q$2902,T$2,0)&lt;&gt;D2918,"Beam Revised","")</f>
        <v>#N/A</v>
      </c>
      <c r="U2918" s="7" t="e">
        <f>IF(VLOOKUP($A2918,'Concrete Beam Schedule'!$A$2:$Q$2902,U$2,0)&lt;&gt;E2918,"Beam Revised","")</f>
        <v>#N/A</v>
      </c>
      <c r="V2918" s="7" t="e">
        <f>IF(VLOOKUP($A2918,'Concrete Beam Schedule'!$A$2:$Q$2902,V$2,0)&lt;&gt;F2918,"Beam Revised","")</f>
        <v>#N/A</v>
      </c>
      <c r="W2918" s="7" t="e">
        <f>IF(VLOOKUP($A2918,'Concrete Beam Schedule'!$A$2:$Q$2902,W$2,0)&lt;&gt;G2918,"Beam Revised","")</f>
        <v>#N/A</v>
      </c>
      <c r="X2918" s="7" t="e">
        <f>IF(VLOOKUP($A2918,'Concrete Beam Schedule'!$A$2:$Q$2902,X$2,0)&lt;&gt;H2918,"Beam Revised","")</f>
        <v>#N/A</v>
      </c>
      <c r="Y2918" s="7" t="e">
        <f>IF(VLOOKUP($A2918,'Concrete Beam Schedule'!$A$2:$Q$2902,Y$2,0)&lt;&gt;I2918,"Beam Revised","")</f>
        <v>#N/A</v>
      </c>
      <c r="Z2918" s="7" t="e">
        <f>IF(VLOOKUP($A2918,'Concrete Beam Schedule'!$A$2:$Q$2902,Z$2,0)&lt;&gt;J2918,"Beam Revised","")</f>
        <v>#N/A</v>
      </c>
      <c r="AA2918" s="7" t="e">
        <f>IF(VLOOKUP($A2918,'Concrete Beam Schedule'!$A$2:$Q$2902,AA$2,0)&lt;&gt;K2918,"Beam Revised","")</f>
        <v>#N/A</v>
      </c>
      <c r="AB2918" s="7" t="e">
        <f>IF(VLOOKUP($A2918,'Concrete Beam Schedule'!$A$2:$Q$2902,AB$2,0)&lt;&gt;L2918,"Beam Revised","")</f>
        <v>#N/A</v>
      </c>
      <c r="AC2918" s="7" t="e">
        <f>IF(VLOOKUP($A2918,'Concrete Beam Schedule'!$A$2:$Q$2902,AC$2,0)&lt;&gt;M2918,"Beam Revised","")</f>
        <v>#N/A</v>
      </c>
      <c r="AD2918" s="7" t="e">
        <f>IF(VLOOKUP($A2918,'Concrete Beam Schedule'!$A$2:$Q$2902,AD$2,0)&lt;&gt;N2918,"Beam Revised","")</f>
        <v>#N/A</v>
      </c>
      <c r="AE2918" s="7" t="e">
        <f>IF(VLOOKUP($A2918,'Concrete Beam Schedule'!$A$2:$Q$2902,AE$2,0)&lt;&gt;O2918,"Beam Revised","")</f>
        <v>#N/A</v>
      </c>
    </row>
    <row r="2919" spans="17:31" ht="20.100000000000001" customHeight="1" x14ac:dyDescent="0.25">
      <c r="Q2919" s="7">
        <f t="shared" si="45"/>
        <v>0</v>
      </c>
      <c r="R2919" s="7" t="e">
        <f>IF(VLOOKUP($A2919,'Concrete Beam Schedule'!$A$2:$Q$2902,R$2,0)&lt;&gt;B2919,VLOOKUP($A2919,'Concrete Beam Schedule'!$A$2:$Q$2902,R$2,0),"")</f>
        <v>#N/A</v>
      </c>
      <c r="S2919" s="7" t="e">
        <f>IF(VLOOKUP($A2919,'Concrete Beam Schedule'!$A$2:$Q$2902,S$2,0)&lt;&gt;C2919,VLOOKUP($A2919,'Concrete Beam Schedule'!$A$2:$Q$2902,S$2,0),"")</f>
        <v>#N/A</v>
      </c>
      <c r="T2919" s="7" t="e">
        <f>IF(VLOOKUP($A2919,'Concrete Beam Schedule'!$A$2:$Q$2902,T$2,0)&lt;&gt;D2919,"Beam Revised","")</f>
        <v>#N/A</v>
      </c>
      <c r="U2919" s="7" t="e">
        <f>IF(VLOOKUP($A2919,'Concrete Beam Schedule'!$A$2:$Q$2902,U$2,0)&lt;&gt;E2919,"Beam Revised","")</f>
        <v>#N/A</v>
      </c>
      <c r="V2919" s="7" t="e">
        <f>IF(VLOOKUP($A2919,'Concrete Beam Schedule'!$A$2:$Q$2902,V$2,0)&lt;&gt;F2919,"Beam Revised","")</f>
        <v>#N/A</v>
      </c>
      <c r="W2919" s="7" t="e">
        <f>IF(VLOOKUP($A2919,'Concrete Beam Schedule'!$A$2:$Q$2902,W$2,0)&lt;&gt;G2919,"Beam Revised","")</f>
        <v>#N/A</v>
      </c>
      <c r="X2919" s="7" t="e">
        <f>IF(VLOOKUP($A2919,'Concrete Beam Schedule'!$A$2:$Q$2902,X$2,0)&lt;&gt;H2919,"Beam Revised","")</f>
        <v>#N/A</v>
      </c>
      <c r="Y2919" s="7" t="e">
        <f>IF(VLOOKUP($A2919,'Concrete Beam Schedule'!$A$2:$Q$2902,Y$2,0)&lt;&gt;I2919,"Beam Revised","")</f>
        <v>#N/A</v>
      </c>
      <c r="Z2919" s="7" t="e">
        <f>IF(VLOOKUP($A2919,'Concrete Beam Schedule'!$A$2:$Q$2902,Z$2,0)&lt;&gt;J2919,"Beam Revised","")</f>
        <v>#N/A</v>
      </c>
      <c r="AA2919" s="7" t="e">
        <f>IF(VLOOKUP($A2919,'Concrete Beam Schedule'!$A$2:$Q$2902,AA$2,0)&lt;&gt;K2919,"Beam Revised","")</f>
        <v>#N/A</v>
      </c>
      <c r="AB2919" s="7" t="e">
        <f>IF(VLOOKUP($A2919,'Concrete Beam Schedule'!$A$2:$Q$2902,AB$2,0)&lt;&gt;L2919,"Beam Revised","")</f>
        <v>#N/A</v>
      </c>
      <c r="AC2919" s="7" t="e">
        <f>IF(VLOOKUP($A2919,'Concrete Beam Schedule'!$A$2:$Q$2902,AC$2,0)&lt;&gt;M2919,"Beam Revised","")</f>
        <v>#N/A</v>
      </c>
      <c r="AD2919" s="7" t="e">
        <f>IF(VLOOKUP($A2919,'Concrete Beam Schedule'!$A$2:$Q$2902,AD$2,0)&lt;&gt;N2919,"Beam Revised","")</f>
        <v>#N/A</v>
      </c>
      <c r="AE2919" s="7" t="e">
        <f>IF(VLOOKUP($A2919,'Concrete Beam Schedule'!$A$2:$Q$2902,AE$2,0)&lt;&gt;O2919,"Beam Revised","")</f>
        <v>#N/A</v>
      </c>
    </row>
    <row r="2920" spans="17:31" ht="20.100000000000001" customHeight="1" x14ac:dyDescent="0.25">
      <c r="Q2920" s="7">
        <f t="shared" si="45"/>
        <v>0</v>
      </c>
      <c r="R2920" s="7" t="e">
        <f>IF(VLOOKUP($A2920,'Concrete Beam Schedule'!$A$2:$Q$2902,R$2,0)&lt;&gt;B2920,VLOOKUP($A2920,'Concrete Beam Schedule'!$A$2:$Q$2902,R$2,0),"")</f>
        <v>#N/A</v>
      </c>
      <c r="S2920" s="7" t="e">
        <f>IF(VLOOKUP($A2920,'Concrete Beam Schedule'!$A$2:$Q$2902,S$2,0)&lt;&gt;C2920,VLOOKUP($A2920,'Concrete Beam Schedule'!$A$2:$Q$2902,S$2,0),"")</f>
        <v>#N/A</v>
      </c>
      <c r="T2920" s="7" t="e">
        <f>IF(VLOOKUP($A2920,'Concrete Beam Schedule'!$A$2:$Q$2902,T$2,0)&lt;&gt;D2920,"Beam Revised","")</f>
        <v>#N/A</v>
      </c>
      <c r="U2920" s="7" t="e">
        <f>IF(VLOOKUP($A2920,'Concrete Beam Schedule'!$A$2:$Q$2902,U$2,0)&lt;&gt;E2920,"Beam Revised","")</f>
        <v>#N/A</v>
      </c>
      <c r="V2920" s="7" t="e">
        <f>IF(VLOOKUP($A2920,'Concrete Beam Schedule'!$A$2:$Q$2902,V$2,0)&lt;&gt;F2920,"Beam Revised","")</f>
        <v>#N/A</v>
      </c>
      <c r="W2920" s="7" t="e">
        <f>IF(VLOOKUP($A2920,'Concrete Beam Schedule'!$A$2:$Q$2902,W$2,0)&lt;&gt;G2920,"Beam Revised","")</f>
        <v>#N/A</v>
      </c>
      <c r="X2920" s="7" t="e">
        <f>IF(VLOOKUP($A2920,'Concrete Beam Schedule'!$A$2:$Q$2902,X$2,0)&lt;&gt;H2920,"Beam Revised","")</f>
        <v>#N/A</v>
      </c>
      <c r="Y2920" s="7" t="e">
        <f>IF(VLOOKUP($A2920,'Concrete Beam Schedule'!$A$2:$Q$2902,Y$2,0)&lt;&gt;I2920,"Beam Revised","")</f>
        <v>#N/A</v>
      </c>
      <c r="Z2920" s="7" t="e">
        <f>IF(VLOOKUP($A2920,'Concrete Beam Schedule'!$A$2:$Q$2902,Z$2,0)&lt;&gt;J2920,"Beam Revised","")</f>
        <v>#N/A</v>
      </c>
      <c r="AA2920" s="7" t="e">
        <f>IF(VLOOKUP($A2920,'Concrete Beam Schedule'!$A$2:$Q$2902,AA$2,0)&lt;&gt;K2920,"Beam Revised","")</f>
        <v>#N/A</v>
      </c>
      <c r="AB2920" s="7" t="e">
        <f>IF(VLOOKUP($A2920,'Concrete Beam Schedule'!$A$2:$Q$2902,AB$2,0)&lt;&gt;L2920,"Beam Revised","")</f>
        <v>#N/A</v>
      </c>
      <c r="AC2920" s="7" t="e">
        <f>IF(VLOOKUP($A2920,'Concrete Beam Schedule'!$A$2:$Q$2902,AC$2,0)&lt;&gt;M2920,"Beam Revised","")</f>
        <v>#N/A</v>
      </c>
      <c r="AD2920" s="7" t="e">
        <f>IF(VLOOKUP($A2920,'Concrete Beam Schedule'!$A$2:$Q$2902,AD$2,0)&lt;&gt;N2920,"Beam Revised","")</f>
        <v>#N/A</v>
      </c>
      <c r="AE2920" s="7" t="e">
        <f>IF(VLOOKUP($A2920,'Concrete Beam Schedule'!$A$2:$Q$2902,AE$2,0)&lt;&gt;O2920,"Beam Revised","")</f>
        <v>#N/A</v>
      </c>
    </row>
    <row r="2921" spans="17:31" ht="20.100000000000001" customHeight="1" x14ac:dyDescent="0.25">
      <c r="Q2921" s="7">
        <f t="shared" si="45"/>
        <v>0</v>
      </c>
      <c r="R2921" s="7" t="e">
        <f>IF(VLOOKUP($A2921,'Concrete Beam Schedule'!$A$2:$Q$2902,R$2,0)&lt;&gt;B2921,VLOOKUP($A2921,'Concrete Beam Schedule'!$A$2:$Q$2902,R$2,0),"")</f>
        <v>#N/A</v>
      </c>
      <c r="S2921" s="7" t="e">
        <f>IF(VLOOKUP($A2921,'Concrete Beam Schedule'!$A$2:$Q$2902,S$2,0)&lt;&gt;C2921,VLOOKUP($A2921,'Concrete Beam Schedule'!$A$2:$Q$2902,S$2,0),"")</f>
        <v>#N/A</v>
      </c>
      <c r="T2921" s="7" t="e">
        <f>IF(VLOOKUP($A2921,'Concrete Beam Schedule'!$A$2:$Q$2902,T$2,0)&lt;&gt;D2921,"Beam Revised","")</f>
        <v>#N/A</v>
      </c>
      <c r="U2921" s="7" t="e">
        <f>IF(VLOOKUP($A2921,'Concrete Beam Schedule'!$A$2:$Q$2902,U$2,0)&lt;&gt;E2921,"Beam Revised","")</f>
        <v>#N/A</v>
      </c>
      <c r="V2921" s="7" t="e">
        <f>IF(VLOOKUP($A2921,'Concrete Beam Schedule'!$A$2:$Q$2902,V$2,0)&lt;&gt;F2921,"Beam Revised","")</f>
        <v>#N/A</v>
      </c>
      <c r="W2921" s="7" t="e">
        <f>IF(VLOOKUP($A2921,'Concrete Beam Schedule'!$A$2:$Q$2902,W$2,0)&lt;&gt;G2921,"Beam Revised","")</f>
        <v>#N/A</v>
      </c>
      <c r="X2921" s="7" t="e">
        <f>IF(VLOOKUP($A2921,'Concrete Beam Schedule'!$A$2:$Q$2902,X$2,0)&lt;&gt;H2921,"Beam Revised","")</f>
        <v>#N/A</v>
      </c>
      <c r="Y2921" s="7" t="e">
        <f>IF(VLOOKUP($A2921,'Concrete Beam Schedule'!$A$2:$Q$2902,Y$2,0)&lt;&gt;I2921,"Beam Revised","")</f>
        <v>#N/A</v>
      </c>
      <c r="Z2921" s="7" t="e">
        <f>IF(VLOOKUP($A2921,'Concrete Beam Schedule'!$A$2:$Q$2902,Z$2,0)&lt;&gt;J2921,"Beam Revised","")</f>
        <v>#N/A</v>
      </c>
      <c r="AA2921" s="7" t="e">
        <f>IF(VLOOKUP($A2921,'Concrete Beam Schedule'!$A$2:$Q$2902,AA$2,0)&lt;&gt;K2921,"Beam Revised","")</f>
        <v>#N/A</v>
      </c>
      <c r="AB2921" s="7" t="e">
        <f>IF(VLOOKUP($A2921,'Concrete Beam Schedule'!$A$2:$Q$2902,AB$2,0)&lt;&gt;L2921,"Beam Revised","")</f>
        <v>#N/A</v>
      </c>
      <c r="AC2921" s="7" t="e">
        <f>IF(VLOOKUP($A2921,'Concrete Beam Schedule'!$A$2:$Q$2902,AC$2,0)&lt;&gt;M2921,"Beam Revised","")</f>
        <v>#N/A</v>
      </c>
      <c r="AD2921" s="7" t="e">
        <f>IF(VLOOKUP($A2921,'Concrete Beam Schedule'!$A$2:$Q$2902,AD$2,0)&lt;&gt;N2921,"Beam Revised","")</f>
        <v>#N/A</v>
      </c>
      <c r="AE2921" s="7" t="e">
        <f>IF(VLOOKUP($A2921,'Concrete Beam Schedule'!$A$2:$Q$2902,AE$2,0)&lt;&gt;O2921,"Beam Revised","")</f>
        <v>#N/A</v>
      </c>
    </row>
    <row r="2922" spans="17:31" ht="20.100000000000001" customHeight="1" x14ac:dyDescent="0.25">
      <c r="Q2922" s="7">
        <f t="shared" si="45"/>
        <v>0</v>
      </c>
      <c r="R2922" s="7" t="e">
        <f>IF(VLOOKUP($A2922,'Concrete Beam Schedule'!$A$2:$Q$2902,R$2,0)&lt;&gt;B2922,VLOOKUP($A2922,'Concrete Beam Schedule'!$A$2:$Q$2902,R$2,0),"")</f>
        <v>#N/A</v>
      </c>
      <c r="S2922" s="7" t="e">
        <f>IF(VLOOKUP($A2922,'Concrete Beam Schedule'!$A$2:$Q$2902,S$2,0)&lt;&gt;C2922,VLOOKUP($A2922,'Concrete Beam Schedule'!$A$2:$Q$2902,S$2,0),"")</f>
        <v>#N/A</v>
      </c>
      <c r="T2922" s="7" t="e">
        <f>IF(VLOOKUP($A2922,'Concrete Beam Schedule'!$A$2:$Q$2902,T$2,0)&lt;&gt;D2922,"Beam Revised","")</f>
        <v>#N/A</v>
      </c>
      <c r="U2922" s="7" t="e">
        <f>IF(VLOOKUP($A2922,'Concrete Beam Schedule'!$A$2:$Q$2902,U$2,0)&lt;&gt;E2922,"Beam Revised","")</f>
        <v>#N/A</v>
      </c>
      <c r="V2922" s="7" t="e">
        <f>IF(VLOOKUP($A2922,'Concrete Beam Schedule'!$A$2:$Q$2902,V$2,0)&lt;&gt;F2922,"Beam Revised","")</f>
        <v>#N/A</v>
      </c>
      <c r="W2922" s="7" t="e">
        <f>IF(VLOOKUP($A2922,'Concrete Beam Schedule'!$A$2:$Q$2902,W$2,0)&lt;&gt;G2922,"Beam Revised","")</f>
        <v>#N/A</v>
      </c>
      <c r="X2922" s="7" t="e">
        <f>IF(VLOOKUP($A2922,'Concrete Beam Schedule'!$A$2:$Q$2902,X$2,0)&lt;&gt;H2922,"Beam Revised","")</f>
        <v>#N/A</v>
      </c>
      <c r="Y2922" s="7" t="e">
        <f>IF(VLOOKUP($A2922,'Concrete Beam Schedule'!$A$2:$Q$2902,Y$2,0)&lt;&gt;I2922,"Beam Revised","")</f>
        <v>#N/A</v>
      </c>
      <c r="Z2922" s="7" t="e">
        <f>IF(VLOOKUP($A2922,'Concrete Beam Schedule'!$A$2:$Q$2902,Z$2,0)&lt;&gt;J2922,"Beam Revised","")</f>
        <v>#N/A</v>
      </c>
      <c r="AA2922" s="7" t="e">
        <f>IF(VLOOKUP($A2922,'Concrete Beam Schedule'!$A$2:$Q$2902,AA$2,0)&lt;&gt;K2922,"Beam Revised","")</f>
        <v>#N/A</v>
      </c>
      <c r="AB2922" s="7" t="e">
        <f>IF(VLOOKUP($A2922,'Concrete Beam Schedule'!$A$2:$Q$2902,AB$2,0)&lt;&gt;L2922,"Beam Revised","")</f>
        <v>#N/A</v>
      </c>
      <c r="AC2922" s="7" t="e">
        <f>IF(VLOOKUP($A2922,'Concrete Beam Schedule'!$A$2:$Q$2902,AC$2,0)&lt;&gt;M2922,"Beam Revised","")</f>
        <v>#N/A</v>
      </c>
      <c r="AD2922" s="7" t="e">
        <f>IF(VLOOKUP($A2922,'Concrete Beam Schedule'!$A$2:$Q$2902,AD$2,0)&lt;&gt;N2922,"Beam Revised","")</f>
        <v>#N/A</v>
      </c>
      <c r="AE2922" s="7" t="e">
        <f>IF(VLOOKUP($A2922,'Concrete Beam Schedule'!$A$2:$Q$2902,AE$2,0)&lt;&gt;O2922,"Beam Revised","")</f>
        <v>#N/A</v>
      </c>
    </row>
    <row r="2923" spans="17:31" ht="20.100000000000001" customHeight="1" x14ac:dyDescent="0.25">
      <c r="Q2923" s="7">
        <f t="shared" si="45"/>
        <v>0</v>
      </c>
      <c r="R2923" s="7" t="e">
        <f>IF(VLOOKUP($A2923,'Concrete Beam Schedule'!$A$2:$Q$2902,R$2,0)&lt;&gt;B2923,VLOOKUP($A2923,'Concrete Beam Schedule'!$A$2:$Q$2902,R$2,0),"")</f>
        <v>#N/A</v>
      </c>
      <c r="S2923" s="7" t="e">
        <f>IF(VLOOKUP($A2923,'Concrete Beam Schedule'!$A$2:$Q$2902,S$2,0)&lt;&gt;C2923,VLOOKUP($A2923,'Concrete Beam Schedule'!$A$2:$Q$2902,S$2,0),"")</f>
        <v>#N/A</v>
      </c>
      <c r="T2923" s="7" t="e">
        <f>IF(VLOOKUP($A2923,'Concrete Beam Schedule'!$A$2:$Q$2902,T$2,0)&lt;&gt;D2923,"Beam Revised","")</f>
        <v>#N/A</v>
      </c>
      <c r="U2923" s="7" t="e">
        <f>IF(VLOOKUP($A2923,'Concrete Beam Schedule'!$A$2:$Q$2902,U$2,0)&lt;&gt;E2923,"Beam Revised","")</f>
        <v>#N/A</v>
      </c>
      <c r="V2923" s="7" t="e">
        <f>IF(VLOOKUP($A2923,'Concrete Beam Schedule'!$A$2:$Q$2902,V$2,0)&lt;&gt;F2923,"Beam Revised","")</f>
        <v>#N/A</v>
      </c>
      <c r="W2923" s="7" t="e">
        <f>IF(VLOOKUP($A2923,'Concrete Beam Schedule'!$A$2:$Q$2902,W$2,0)&lt;&gt;G2923,"Beam Revised","")</f>
        <v>#N/A</v>
      </c>
      <c r="X2923" s="7" t="e">
        <f>IF(VLOOKUP($A2923,'Concrete Beam Schedule'!$A$2:$Q$2902,X$2,0)&lt;&gt;H2923,"Beam Revised","")</f>
        <v>#N/A</v>
      </c>
      <c r="Y2923" s="7" t="e">
        <f>IF(VLOOKUP($A2923,'Concrete Beam Schedule'!$A$2:$Q$2902,Y$2,0)&lt;&gt;I2923,"Beam Revised","")</f>
        <v>#N/A</v>
      </c>
      <c r="Z2923" s="7" t="e">
        <f>IF(VLOOKUP($A2923,'Concrete Beam Schedule'!$A$2:$Q$2902,Z$2,0)&lt;&gt;J2923,"Beam Revised","")</f>
        <v>#N/A</v>
      </c>
      <c r="AA2923" s="7" t="e">
        <f>IF(VLOOKUP($A2923,'Concrete Beam Schedule'!$A$2:$Q$2902,AA$2,0)&lt;&gt;K2923,"Beam Revised","")</f>
        <v>#N/A</v>
      </c>
      <c r="AB2923" s="7" t="e">
        <f>IF(VLOOKUP($A2923,'Concrete Beam Schedule'!$A$2:$Q$2902,AB$2,0)&lt;&gt;L2923,"Beam Revised","")</f>
        <v>#N/A</v>
      </c>
      <c r="AC2923" s="7" t="e">
        <f>IF(VLOOKUP($A2923,'Concrete Beam Schedule'!$A$2:$Q$2902,AC$2,0)&lt;&gt;M2923,"Beam Revised","")</f>
        <v>#N/A</v>
      </c>
      <c r="AD2923" s="7" t="e">
        <f>IF(VLOOKUP($A2923,'Concrete Beam Schedule'!$A$2:$Q$2902,AD$2,0)&lt;&gt;N2923,"Beam Revised","")</f>
        <v>#N/A</v>
      </c>
      <c r="AE2923" s="7" t="e">
        <f>IF(VLOOKUP($A2923,'Concrete Beam Schedule'!$A$2:$Q$2902,AE$2,0)&lt;&gt;O2923,"Beam Revised","")</f>
        <v>#N/A</v>
      </c>
    </row>
    <row r="2924" spans="17:31" ht="20.100000000000001" customHeight="1" x14ac:dyDescent="0.25">
      <c r="Q2924" s="7">
        <f t="shared" si="45"/>
        <v>0</v>
      </c>
      <c r="R2924" s="7" t="e">
        <f>IF(VLOOKUP($A2924,'Concrete Beam Schedule'!$A$2:$Q$2902,R$2,0)&lt;&gt;B2924,VLOOKUP($A2924,'Concrete Beam Schedule'!$A$2:$Q$2902,R$2,0),"")</f>
        <v>#N/A</v>
      </c>
      <c r="S2924" s="7" t="e">
        <f>IF(VLOOKUP($A2924,'Concrete Beam Schedule'!$A$2:$Q$2902,S$2,0)&lt;&gt;C2924,VLOOKUP($A2924,'Concrete Beam Schedule'!$A$2:$Q$2902,S$2,0),"")</f>
        <v>#N/A</v>
      </c>
      <c r="T2924" s="7" t="e">
        <f>IF(VLOOKUP($A2924,'Concrete Beam Schedule'!$A$2:$Q$2902,T$2,0)&lt;&gt;D2924,"Beam Revised","")</f>
        <v>#N/A</v>
      </c>
      <c r="U2924" s="7" t="e">
        <f>IF(VLOOKUP($A2924,'Concrete Beam Schedule'!$A$2:$Q$2902,U$2,0)&lt;&gt;E2924,"Beam Revised","")</f>
        <v>#N/A</v>
      </c>
      <c r="V2924" s="7" t="e">
        <f>IF(VLOOKUP($A2924,'Concrete Beam Schedule'!$A$2:$Q$2902,V$2,0)&lt;&gt;F2924,"Beam Revised","")</f>
        <v>#N/A</v>
      </c>
      <c r="W2924" s="7" t="e">
        <f>IF(VLOOKUP($A2924,'Concrete Beam Schedule'!$A$2:$Q$2902,W$2,0)&lt;&gt;G2924,"Beam Revised","")</f>
        <v>#N/A</v>
      </c>
      <c r="X2924" s="7" t="e">
        <f>IF(VLOOKUP($A2924,'Concrete Beam Schedule'!$A$2:$Q$2902,X$2,0)&lt;&gt;H2924,"Beam Revised","")</f>
        <v>#N/A</v>
      </c>
      <c r="Y2924" s="7" t="e">
        <f>IF(VLOOKUP($A2924,'Concrete Beam Schedule'!$A$2:$Q$2902,Y$2,0)&lt;&gt;I2924,"Beam Revised","")</f>
        <v>#N/A</v>
      </c>
      <c r="Z2924" s="7" t="e">
        <f>IF(VLOOKUP($A2924,'Concrete Beam Schedule'!$A$2:$Q$2902,Z$2,0)&lt;&gt;J2924,"Beam Revised","")</f>
        <v>#N/A</v>
      </c>
      <c r="AA2924" s="7" t="e">
        <f>IF(VLOOKUP($A2924,'Concrete Beam Schedule'!$A$2:$Q$2902,AA$2,0)&lt;&gt;K2924,"Beam Revised","")</f>
        <v>#N/A</v>
      </c>
      <c r="AB2924" s="7" t="e">
        <f>IF(VLOOKUP($A2924,'Concrete Beam Schedule'!$A$2:$Q$2902,AB$2,0)&lt;&gt;L2924,"Beam Revised","")</f>
        <v>#N/A</v>
      </c>
      <c r="AC2924" s="7" t="e">
        <f>IF(VLOOKUP($A2924,'Concrete Beam Schedule'!$A$2:$Q$2902,AC$2,0)&lt;&gt;M2924,"Beam Revised","")</f>
        <v>#N/A</v>
      </c>
      <c r="AD2924" s="7" t="e">
        <f>IF(VLOOKUP($A2924,'Concrete Beam Schedule'!$A$2:$Q$2902,AD$2,0)&lt;&gt;N2924,"Beam Revised","")</f>
        <v>#N/A</v>
      </c>
      <c r="AE2924" s="7" t="e">
        <f>IF(VLOOKUP($A2924,'Concrete Beam Schedule'!$A$2:$Q$2902,AE$2,0)&lt;&gt;O2924,"Beam Revised","")</f>
        <v>#N/A</v>
      </c>
    </row>
    <row r="2925" spans="17:31" ht="20.100000000000001" customHeight="1" x14ac:dyDescent="0.25">
      <c r="Q2925" s="7">
        <f t="shared" si="45"/>
        <v>0</v>
      </c>
      <c r="R2925" s="7" t="e">
        <f>IF(VLOOKUP($A2925,'Concrete Beam Schedule'!$A$2:$Q$2902,R$2,0)&lt;&gt;B2925,VLOOKUP($A2925,'Concrete Beam Schedule'!$A$2:$Q$2902,R$2,0),"")</f>
        <v>#N/A</v>
      </c>
      <c r="S2925" s="7" t="e">
        <f>IF(VLOOKUP($A2925,'Concrete Beam Schedule'!$A$2:$Q$2902,S$2,0)&lt;&gt;C2925,VLOOKUP($A2925,'Concrete Beam Schedule'!$A$2:$Q$2902,S$2,0),"")</f>
        <v>#N/A</v>
      </c>
      <c r="T2925" s="7" t="e">
        <f>IF(VLOOKUP($A2925,'Concrete Beam Schedule'!$A$2:$Q$2902,T$2,0)&lt;&gt;D2925,"Beam Revised","")</f>
        <v>#N/A</v>
      </c>
      <c r="U2925" s="7" t="e">
        <f>IF(VLOOKUP($A2925,'Concrete Beam Schedule'!$A$2:$Q$2902,U$2,0)&lt;&gt;E2925,"Beam Revised","")</f>
        <v>#N/A</v>
      </c>
      <c r="V2925" s="7" t="e">
        <f>IF(VLOOKUP($A2925,'Concrete Beam Schedule'!$A$2:$Q$2902,V$2,0)&lt;&gt;F2925,"Beam Revised","")</f>
        <v>#N/A</v>
      </c>
      <c r="W2925" s="7" t="e">
        <f>IF(VLOOKUP($A2925,'Concrete Beam Schedule'!$A$2:$Q$2902,W$2,0)&lt;&gt;G2925,"Beam Revised","")</f>
        <v>#N/A</v>
      </c>
      <c r="X2925" s="7" t="e">
        <f>IF(VLOOKUP($A2925,'Concrete Beam Schedule'!$A$2:$Q$2902,X$2,0)&lt;&gt;H2925,"Beam Revised","")</f>
        <v>#N/A</v>
      </c>
      <c r="Y2925" s="7" t="e">
        <f>IF(VLOOKUP($A2925,'Concrete Beam Schedule'!$A$2:$Q$2902,Y$2,0)&lt;&gt;I2925,"Beam Revised","")</f>
        <v>#N/A</v>
      </c>
      <c r="Z2925" s="7" t="e">
        <f>IF(VLOOKUP($A2925,'Concrete Beam Schedule'!$A$2:$Q$2902,Z$2,0)&lt;&gt;J2925,"Beam Revised","")</f>
        <v>#N/A</v>
      </c>
      <c r="AA2925" s="7" t="e">
        <f>IF(VLOOKUP($A2925,'Concrete Beam Schedule'!$A$2:$Q$2902,AA$2,0)&lt;&gt;K2925,"Beam Revised","")</f>
        <v>#N/A</v>
      </c>
      <c r="AB2925" s="7" t="e">
        <f>IF(VLOOKUP($A2925,'Concrete Beam Schedule'!$A$2:$Q$2902,AB$2,0)&lt;&gt;L2925,"Beam Revised","")</f>
        <v>#N/A</v>
      </c>
      <c r="AC2925" s="7" t="e">
        <f>IF(VLOOKUP($A2925,'Concrete Beam Schedule'!$A$2:$Q$2902,AC$2,0)&lt;&gt;M2925,"Beam Revised","")</f>
        <v>#N/A</v>
      </c>
      <c r="AD2925" s="7" t="e">
        <f>IF(VLOOKUP($A2925,'Concrete Beam Schedule'!$A$2:$Q$2902,AD$2,0)&lt;&gt;N2925,"Beam Revised","")</f>
        <v>#N/A</v>
      </c>
      <c r="AE2925" s="7" t="e">
        <f>IF(VLOOKUP($A2925,'Concrete Beam Schedule'!$A$2:$Q$2902,AE$2,0)&lt;&gt;O2925,"Beam Revised","")</f>
        <v>#N/A</v>
      </c>
    </row>
    <row r="2926" spans="17:31" ht="20.100000000000001" customHeight="1" x14ac:dyDescent="0.25">
      <c r="Q2926" s="7">
        <f t="shared" si="45"/>
        <v>0</v>
      </c>
      <c r="R2926" s="7" t="e">
        <f>IF(VLOOKUP($A2926,'Concrete Beam Schedule'!$A$2:$Q$2902,R$2,0)&lt;&gt;B2926,VLOOKUP($A2926,'Concrete Beam Schedule'!$A$2:$Q$2902,R$2,0),"")</f>
        <v>#N/A</v>
      </c>
      <c r="S2926" s="7" t="e">
        <f>IF(VLOOKUP($A2926,'Concrete Beam Schedule'!$A$2:$Q$2902,S$2,0)&lt;&gt;C2926,VLOOKUP($A2926,'Concrete Beam Schedule'!$A$2:$Q$2902,S$2,0),"")</f>
        <v>#N/A</v>
      </c>
      <c r="T2926" s="7" t="e">
        <f>IF(VLOOKUP($A2926,'Concrete Beam Schedule'!$A$2:$Q$2902,T$2,0)&lt;&gt;D2926,"Beam Revised","")</f>
        <v>#N/A</v>
      </c>
      <c r="U2926" s="7" t="e">
        <f>IF(VLOOKUP($A2926,'Concrete Beam Schedule'!$A$2:$Q$2902,U$2,0)&lt;&gt;E2926,"Beam Revised","")</f>
        <v>#N/A</v>
      </c>
      <c r="V2926" s="7" t="e">
        <f>IF(VLOOKUP($A2926,'Concrete Beam Schedule'!$A$2:$Q$2902,V$2,0)&lt;&gt;F2926,"Beam Revised","")</f>
        <v>#N/A</v>
      </c>
      <c r="W2926" s="7" t="e">
        <f>IF(VLOOKUP($A2926,'Concrete Beam Schedule'!$A$2:$Q$2902,W$2,0)&lt;&gt;G2926,"Beam Revised","")</f>
        <v>#N/A</v>
      </c>
      <c r="X2926" s="7" t="e">
        <f>IF(VLOOKUP($A2926,'Concrete Beam Schedule'!$A$2:$Q$2902,X$2,0)&lt;&gt;H2926,"Beam Revised","")</f>
        <v>#N/A</v>
      </c>
      <c r="Y2926" s="7" t="e">
        <f>IF(VLOOKUP($A2926,'Concrete Beam Schedule'!$A$2:$Q$2902,Y$2,0)&lt;&gt;I2926,"Beam Revised","")</f>
        <v>#N/A</v>
      </c>
      <c r="Z2926" s="7" t="e">
        <f>IF(VLOOKUP($A2926,'Concrete Beam Schedule'!$A$2:$Q$2902,Z$2,0)&lt;&gt;J2926,"Beam Revised","")</f>
        <v>#N/A</v>
      </c>
      <c r="AA2926" s="7" t="e">
        <f>IF(VLOOKUP($A2926,'Concrete Beam Schedule'!$A$2:$Q$2902,AA$2,0)&lt;&gt;K2926,"Beam Revised","")</f>
        <v>#N/A</v>
      </c>
      <c r="AB2926" s="7" t="e">
        <f>IF(VLOOKUP($A2926,'Concrete Beam Schedule'!$A$2:$Q$2902,AB$2,0)&lt;&gt;L2926,"Beam Revised","")</f>
        <v>#N/A</v>
      </c>
      <c r="AC2926" s="7" t="e">
        <f>IF(VLOOKUP($A2926,'Concrete Beam Schedule'!$A$2:$Q$2902,AC$2,0)&lt;&gt;M2926,"Beam Revised","")</f>
        <v>#N/A</v>
      </c>
      <c r="AD2926" s="7" t="e">
        <f>IF(VLOOKUP($A2926,'Concrete Beam Schedule'!$A$2:$Q$2902,AD$2,0)&lt;&gt;N2926,"Beam Revised","")</f>
        <v>#N/A</v>
      </c>
      <c r="AE2926" s="7" t="e">
        <f>IF(VLOOKUP($A2926,'Concrete Beam Schedule'!$A$2:$Q$2902,AE$2,0)&lt;&gt;O2926,"Beam Revised","")</f>
        <v>#N/A</v>
      </c>
    </row>
    <row r="2927" spans="17:31" ht="20.100000000000001" customHeight="1" x14ac:dyDescent="0.25">
      <c r="Q2927" s="7">
        <f t="shared" si="45"/>
        <v>0</v>
      </c>
      <c r="R2927" s="7" t="e">
        <f>IF(VLOOKUP($A2927,'Concrete Beam Schedule'!$A$2:$Q$2902,R$2,0)&lt;&gt;B2927,VLOOKUP($A2927,'Concrete Beam Schedule'!$A$2:$Q$2902,R$2,0),"")</f>
        <v>#N/A</v>
      </c>
      <c r="S2927" s="7" t="e">
        <f>IF(VLOOKUP($A2927,'Concrete Beam Schedule'!$A$2:$Q$2902,S$2,0)&lt;&gt;C2927,VLOOKUP($A2927,'Concrete Beam Schedule'!$A$2:$Q$2902,S$2,0),"")</f>
        <v>#N/A</v>
      </c>
      <c r="T2927" s="7" t="e">
        <f>IF(VLOOKUP($A2927,'Concrete Beam Schedule'!$A$2:$Q$2902,T$2,0)&lt;&gt;D2927,"Beam Revised","")</f>
        <v>#N/A</v>
      </c>
      <c r="U2927" s="7" t="e">
        <f>IF(VLOOKUP($A2927,'Concrete Beam Schedule'!$A$2:$Q$2902,U$2,0)&lt;&gt;E2927,"Beam Revised","")</f>
        <v>#N/A</v>
      </c>
      <c r="V2927" s="7" t="e">
        <f>IF(VLOOKUP($A2927,'Concrete Beam Schedule'!$A$2:$Q$2902,V$2,0)&lt;&gt;F2927,"Beam Revised","")</f>
        <v>#N/A</v>
      </c>
      <c r="W2927" s="7" t="e">
        <f>IF(VLOOKUP($A2927,'Concrete Beam Schedule'!$A$2:$Q$2902,W$2,0)&lt;&gt;G2927,"Beam Revised","")</f>
        <v>#N/A</v>
      </c>
      <c r="X2927" s="7" t="e">
        <f>IF(VLOOKUP($A2927,'Concrete Beam Schedule'!$A$2:$Q$2902,X$2,0)&lt;&gt;H2927,"Beam Revised","")</f>
        <v>#N/A</v>
      </c>
      <c r="Y2927" s="7" t="e">
        <f>IF(VLOOKUP($A2927,'Concrete Beam Schedule'!$A$2:$Q$2902,Y$2,0)&lt;&gt;I2927,"Beam Revised","")</f>
        <v>#N/A</v>
      </c>
      <c r="Z2927" s="7" t="e">
        <f>IF(VLOOKUP($A2927,'Concrete Beam Schedule'!$A$2:$Q$2902,Z$2,0)&lt;&gt;J2927,"Beam Revised","")</f>
        <v>#N/A</v>
      </c>
      <c r="AA2927" s="7" t="e">
        <f>IF(VLOOKUP($A2927,'Concrete Beam Schedule'!$A$2:$Q$2902,AA$2,0)&lt;&gt;K2927,"Beam Revised","")</f>
        <v>#N/A</v>
      </c>
      <c r="AB2927" s="7" t="e">
        <f>IF(VLOOKUP($A2927,'Concrete Beam Schedule'!$A$2:$Q$2902,AB$2,0)&lt;&gt;L2927,"Beam Revised","")</f>
        <v>#N/A</v>
      </c>
      <c r="AC2927" s="7" t="e">
        <f>IF(VLOOKUP($A2927,'Concrete Beam Schedule'!$A$2:$Q$2902,AC$2,0)&lt;&gt;M2927,"Beam Revised","")</f>
        <v>#N/A</v>
      </c>
      <c r="AD2927" s="7" t="e">
        <f>IF(VLOOKUP($A2927,'Concrete Beam Schedule'!$A$2:$Q$2902,AD$2,0)&lt;&gt;N2927,"Beam Revised","")</f>
        <v>#N/A</v>
      </c>
      <c r="AE2927" s="7" t="e">
        <f>IF(VLOOKUP($A2927,'Concrete Beam Schedule'!$A$2:$Q$2902,AE$2,0)&lt;&gt;O2927,"Beam Revised","")</f>
        <v>#N/A</v>
      </c>
    </row>
    <row r="2928" spans="17:31" ht="20.100000000000001" customHeight="1" x14ac:dyDescent="0.25">
      <c r="Q2928" s="7">
        <f t="shared" si="45"/>
        <v>0</v>
      </c>
      <c r="R2928" s="7" t="e">
        <f>IF(VLOOKUP($A2928,'Concrete Beam Schedule'!$A$2:$Q$2902,R$2,0)&lt;&gt;B2928,VLOOKUP($A2928,'Concrete Beam Schedule'!$A$2:$Q$2902,R$2,0),"")</f>
        <v>#N/A</v>
      </c>
      <c r="S2928" s="7" t="e">
        <f>IF(VLOOKUP($A2928,'Concrete Beam Schedule'!$A$2:$Q$2902,S$2,0)&lt;&gt;C2928,VLOOKUP($A2928,'Concrete Beam Schedule'!$A$2:$Q$2902,S$2,0),"")</f>
        <v>#N/A</v>
      </c>
      <c r="T2928" s="7" t="e">
        <f>IF(VLOOKUP($A2928,'Concrete Beam Schedule'!$A$2:$Q$2902,T$2,0)&lt;&gt;D2928,"Beam Revised","")</f>
        <v>#N/A</v>
      </c>
      <c r="U2928" s="7" t="e">
        <f>IF(VLOOKUP($A2928,'Concrete Beam Schedule'!$A$2:$Q$2902,U$2,0)&lt;&gt;E2928,"Beam Revised","")</f>
        <v>#N/A</v>
      </c>
      <c r="V2928" s="7" t="e">
        <f>IF(VLOOKUP($A2928,'Concrete Beam Schedule'!$A$2:$Q$2902,V$2,0)&lt;&gt;F2928,"Beam Revised","")</f>
        <v>#N/A</v>
      </c>
      <c r="W2928" s="7" t="e">
        <f>IF(VLOOKUP($A2928,'Concrete Beam Schedule'!$A$2:$Q$2902,W$2,0)&lt;&gt;G2928,"Beam Revised","")</f>
        <v>#N/A</v>
      </c>
      <c r="X2928" s="7" t="e">
        <f>IF(VLOOKUP($A2928,'Concrete Beam Schedule'!$A$2:$Q$2902,X$2,0)&lt;&gt;H2928,"Beam Revised","")</f>
        <v>#N/A</v>
      </c>
      <c r="Y2928" s="7" t="e">
        <f>IF(VLOOKUP($A2928,'Concrete Beam Schedule'!$A$2:$Q$2902,Y$2,0)&lt;&gt;I2928,"Beam Revised","")</f>
        <v>#N/A</v>
      </c>
      <c r="Z2928" s="7" t="e">
        <f>IF(VLOOKUP($A2928,'Concrete Beam Schedule'!$A$2:$Q$2902,Z$2,0)&lt;&gt;J2928,"Beam Revised","")</f>
        <v>#N/A</v>
      </c>
      <c r="AA2928" s="7" t="e">
        <f>IF(VLOOKUP($A2928,'Concrete Beam Schedule'!$A$2:$Q$2902,AA$2,0)&lt;&gt;K2928,"Beam Revised","")</f>
        <v>#N/A</v>
      </c>
      <c r="AB2928" s="7" t="e">
        <f>IF(VLOOKUP($A2928,'Concrete Beam Schedule'!$A$2:$Q$2902,AB$2,0)&lt;&gt;L2928,"Beam Revised","")</f>
        <v>#N/A</v>
      </c>
      <c r="AC2928" s="7" t="e">
        <f>IF(VLOOKUP($A2928,'Concrete Beam Schedule'!$A$2:$Q$2902,AC$2,0)&lt;&gt;M2928,"Beam Revised","")</f>
        <v>#N/A</v>
      </c>
      <c r="AD2928" s="7" t="e">
        <f>IF(VLOOKUP($A2928,'Concrete Beam Schedule'!$A$2:$Q$2902,AD$2,0)&lt;&gt;N2928,"Beam Revised","")</f>
        <v>#N/A</v>
      </c>
      <c r="AE2928" s="7" t="e">
        <f>IF(VLOOKUP($A2928,'Concrete Beam Schedule'!$A$2:$Q$2902,AE$2,0)&lt;&gt;O2928,"Beam Revised","")</f>
        <v>#N/A</v>
      </c>
    </row>
    <row r="2929" spans="17:31" ht="20.100000000000001" customHeight="1" x14ac:dyDescent="0.25">
      <c r="Q2929" s="7">
        <f t="shared" si="45"/>
        <v>0</v>
      </c>
      <c r="R2929" s="7" t="e">
        <f>IF(VLOOKUP($A2929,'Concrete Beam Schedule'!$A$2:$Q$2902,R$2,0)&lt;&gt;B2929,VLOOKUP($A2929,'Concrete Beam Schedule'!$A$2:$Q$2902,R$2,0),"")</f>
        <v>#N/A</v>
      </c>
      <c r="S2929" s="7" t="e">
        <f>IF(VLOOKUP($A2929,'Concrete Beam Schedule'!$A$2:$Q$2902,S$2,0)&lt;&gt;C2929,VLOOKUP($A2929,'Concrete Beam Schedule'!$A$2:$Q$2902,S$2,0),"")</f>
        <v>#N/A</v>
      </c>
      <c r="T2929" s="7" t="e">
        <f>IF(VLOOKUP($A2929,'Concrete Beam Schedule'!$A$2:$Q$2902,T$2,0)&lt;&gt;D2929,"Beam Revised","")</f>
        <v>#N/A</v>
      </c>
      <c r="U2929" s="7" t="e">
        <f>IF(VLOOKUP($A2929,'Concrete Beam Schedule'!$A$2:$Q$2902,U$2,0)&lt;&gt;E2929,"Beam Revised","")</f>
        <v>#N/A</v>
      </c>
      <c r="V2929" s="7" t="e">
        <f>IF(VLOOKUP($A2929,'Concrete Beam Schedule'!$A$2:$Q$2902,V$2,0)&lt;&gt;F2929,"Beam Revised","")</f>
        <v>#N/A</v>
      </c>
      <c r="W2929" s="7" t="e">
        <f>IF(VLOOKUP($A2929,'Concrete Beam Schedule'!$A$2:$Q$2902,W$2,0)&lt;&gt;G2929,"Beam Revised","")</f>
        <v>#N/A</v>
      </c>
      <c r="X2929" s="7" t="e">
        <f>IF(VLOOKUP($A2929,'Concrete Beam Schedule'!$A$2:$Q$2902,X$2,0)&lt;&gt;H2929,"Beam Revised","")</f>
        <v>#N/A</v>
      </c>
      <c r="Y2929" s="7" t="e">
        <f>IF(VLOOKUP($A2929,'Concrete Beam Schedule'!$A$2:$Q$2902,Y$2,0)&lt;&gt;I2929,"Beam Revised","")</f>
        <v>#N/A</v>
      </c>
      <c r="Z2929" s="7" t="e">
        <f>IF(VLOOKUP($A2929,'Concrete Beam Schedule'!$A$2:$Q$2902,Z$2,0)&lt;&gt;J2929,"Beam Revised","")</f>
        <v>#N/A</v>
      </c>
      <c r="AA2929" s="7" t="e">
        <f>IF(VLOOKUP($A2929,'Concrete Beam Schedule'!$A$2:$Q$2902,AA$2,0)&lt;&gt;K2929,"Beam Revised","")</f>
        <v>#N/A</v>
      </c>
      <c r="AB2929" s="7" t="e">
        <f>IF(VLOOKUP($A2929,'Concrete Beam Schedule'!$A$2:$Q$2902,AB$2,0)&lt;&gt;L2929,"Beam Revised","")</f>
        <v>#N/A</v>
      </c>
      <c r="AC2929" s="7" t="e">
        <f>IF(VLOOKUP($A2929,'Concrete Beam Schedule'!$A$2:$Q$2902,AC$2,0)&lt;&gt;M2929,"Beam Revised","")</f>
        <v>#N/A</v>
      </c>
      <c r="AD2929" s="7" t="e">
        <f>IF(VLOOKUP($A2929,'Concrete Beam Schedule'!$A$2:$Q$2902,AD$2,0)&lt;&gt;N2929,"Beam Revised","")</f>
        <v>#N/A</v>
      </c>
      <c r="AE2929" s="7" t="e">
        <f>IF(VLOOKUP($A2929,'Concrete Beam Schedule'!$A$2:$Q$2902,AE$2,0)&lt;&gt;O2929,"Beam Revised","")</f>
        <v>#N/A</v>
      </c>
    </row>
    <row r="2930" spans="17:31" ht="20.100000000000001" customHeight="1" x14ac:dyDescent="0.25">
      <c r="Q2930" s="7">
        <f t="shared" si="45"/>
        <v>0</v>
      </c>
      <c r="R2930" s="7" t="e">
        <f>IF(VLOOKUP($A2930,'Concrete Beam Schedule'!$A$2:$Q$2902,R$2,0)&lt;&gt;B2930,VLOOKUP($A2930,'Concrete Beam Schedule'!$A$2:$Q$2902,R$2,0),"")</f>
        <v>#N/A</v>
      </c>
      <c r="S2930" s="7" t="e">
        <f>IF(VLOOKUP($A2930,'Concrete Beam Schedule'!$A$2:$Q$2902,S$2,0)&lt;&gt;C2930,VLOOKUP($A2930,'Concrete Beam Schedule'!$A$2:$Q$2902,S$2,0),"")</f>
        <v>#N/A</v>
      </c>
      <c r="T2930" s="7" t="e">
        <f>IF(VLOOKUP($A2930,'Concrete Beam Schedule'!$A$2:$Q$2902,T$2,0)&lt;&gt;D2930,"Beam Revised","")</f>
        <v>#N/A</v>
      </c>
      <c r="U2930" s="7" t="e">
        <f>IF(VLOOKUP($A2930,'Concrete Beam Schedule'!$A$2:$Q$2902,U$2,0)&lt;&gt;E2930,"Beam Revised","")</f>
        <v>#N/A</v>
      </c>
      <c r="V2930" s="7" t="e">
        <f>IF(VLOOKUP($A2930,'Concrete Beam Schedule'!$A$2:$Q$2902,V$2,0)&lt;&gt;F2930,"Beam Revised","")</f>
        <v>#N/A</v>
      </c>
      <c r="W2930" s="7" t="e">
        <f>IF(VLOOKUP($A2930,'Concrete Beam Schedule'!$A$2:$Q$2902,W$2,0)&lt;&gt;G2930,"Beam Revised","")</f>
        <v>#N/A</v>
      </c>
      <c r="X2930" s="7" t="e">
        <f>IF(VLOOKUP($A2930,'Concrete Beam Schedule'!$A$2:$Q$2902,X$2,0)&lt;&gt;H2930,"Beam Revised","")</f>
        <v>#N/A</v>
      </c>
      <c r="Y2930" s="7" t="e">
        <f>IF(VLOOKUP($A2930,'Concrete Beam Schedule'!$A$2:$Q$2902,Y$2,0)&lt;&gt;I2930,"Beam Revised","")</f>
        <v>#N/A</v>
      </c>
      <c r="Z2930" s="7" t="e">
        <f>IF(VLOOKUP($A2930,'Concrete Beam Schedule'!$A$2:$Q$2902,Z$2,0)&lt;&gt;J2930,"Beam Revised","")</f>
        <v>#N/A</v>
      </c>
      <c r="AA2930" s="7" t="e">
        <f>IF(VLOOKUP($A2930,'Concrete Beam Schedule'!$A$2:$Q$2902,AA$2,0)&lt;&gt;K2930,"Beam Revised","")</f>
        <v>#N/A</v>
      </c>
      <c r="AB2930" s="7" t="e">
        <f>IF(VLOOKUP($A2930,'Concrete Beam Schedule'!$A$2:$Q$2902,AB$2,0)&lt;&gt;L2930,"Beam Revised","")</f>
        <v>#N/A</v>
      </c>
      <c r="AC2930" s="7" t="e">
        <f>IF(VLOOKUP($A2930,'Concrete Beam Schedule'!$A$2:$Q$2902,AC$2,0)&lt;&gt;M2930,"Beam Revised","")</f>
        <v>#N/A</v>
      </c>
      <c r="AD2930" s="7" t="e">
        <f>IF(VLOOKUP($A2930,'Concrete Beam Schedule'!$A$2:$Q$2902,AD$2,0)&lt;&gt;N2930,"Beam Revised","")</f>
        <v>#N/A</v>
      </c>
      <c r="AE2930" s="7" t="e">
        <f>IF(VLOOKUP($A2930,'Concrete Beam Schedule'!$A$2:$Q$2902,AE$2,0)&lt;&gt;O2930,"Beam Revised","")</f>
        <v>#N/A</v>
      </c>
    </row>
    <row r="2931" spans="17:31" ht="20.100000000000001" customHeight="1" x14ac:dyDescent="0.25">
      <c r="Q2931" s="7">
        <f t="shared" si="45"/>
        <v>0</v>
      </c>
      <c r="R2931" s="7" t="e">
        <f>IF(VLOOKUP($A2931,'Concrete Beam Schedule'!$A$2:$Q$2902,R$2,0)&lt;&gt;B2931,VLOOKUP($A2931,'Concrete Beam Schedule'!$A$2:$Q$2902,R$2,0),"")</f>
        <v>#N/A</v>
      </c>
      <c r="S2931" s="7" t="e">
        <f>IF(VLOOKUP($A2931,'Concrete Beam Schedule'!$A$2:$Q$2902,S$2,0)&lt;&gt;C2931,VLOOKUP($A2931,'Concrete Beam Schedule'!$A$2:$Q$2902,S$2,0),"")</f>
        <v>#N/A</v>
      </c>
      <c r="T2931" s="7" t="e">
        <f>IF(VLOOKUP($A2931,'Concrete Beam Schedule'!$A$2:$Q$2902,T$2,0)&lt;&gt;D2931,"Beam Revised","")</f>
        <v>#N/A</v>
      </c>
      <c r="U2931" s="7" t="e">
        <f>IF(VLOOKUP($A2931,'Concrete Beam Schedule'!$A$2:$Q$2902,U$2,0)&lt;&gt;E2931,"Beam Revised","")</f>
        <v>#N/A</v>
      </c>
      <c r="V2931" s="7" t="e">
        <f>IF(VLOOKUP($A2931,'Concrete Beam Schedule'!$A$2:$Q$2902,V$2,0)&lt;&gt;F2931,"Beam Revised","")</f>
        <v>#N/A</v>
      </c>
      <c r="W2931" s="7" t="e">
        <f>IF(VLOOKUP($A2931,'Concrete Beam Schedule'!$A$2:$Q$2902,W$2,0)&lt;&gt;G2931,"Beam Revised","")</f>
        <v>#N/A</v>
      </c>
      <c r="X2931" s="7" t="e">
        <f>IF(VLOOKUP($A2931,'Concrete Beam Schedule'!$A$2:$Q$2902,X$2,0)&lt;&gt;H2931,"Beam Revised","")</f>
        <v>#N/A</v>
      </c>
      <c r="Y2931" s="7" t="e">
        <f>IF(VLOOKUP($A2931,'Concrete Beam Schedule'!$A$2:$Q$2902,Y$2,0)&lt;&gt;I2931,"Beam Revised","")</f>
        <v>#N/A</v>
      </c>
      <c r="Z2931" s="7" t="e">
        <f>IF(VLOOKUP($A2931,'Concrete Beam Schedule'!$A$2:$Q$2902,Z$2,0)&lt;&gt;J2931,"Beam Revised","")</f>
        <v>#N/A</v>
      </c>
      <c r="AA2931" s="7" t="e">
        <f>IF(VLOOKUP($A2931,'Concrete Beam Schedule'!$A$2:$Q$2902,AA$2,0)&lt;&gt;K2931,"Beam Revised","")</f>
        <v>#N/A</v>
      </c>
      <c r="AB2931" s="7" t="e">
        <f>IF(VLOOKUP($A2931,'Concrete Beam Schedule'!$A$2:$Q$2902,AB$2,0)&lt;&gt;L2931,"Beam Revised","")</f>
        <v>#N/A</v>
      </c>
      <c r="AC2931" s="7" t="e">
        <f>IF(VLOOKUP($A2931,'Concrete Beam Schedule'!$A$2:$Q$2902,AC$2,0)&lt;&gt;M2931,"Beam Revised","")</f>
        <v>#N/A</v>
      </c>
      <c r="AD2931" s="7" t="e">
        <f>IF(VLOOKUP($A2931,'Concrete Beam Schedule'!$A$2:$Q$2902,AD$2,0)&lt;&gt;N2931,"Beam Revised","")</f>
        <v>#N/A</v>
      </c>
      <c r="AE2931" s="7" t="e">
        <f>IF(VLOOKUP($A2931,'Concrete Beam Schedule'!$A$2:$Q$2902,AE$2,0)&lt;&gt;O2931,"Beam Revised","")</f>
        <v>#N/A</v>
      </c>
    </row>
    <row r="2932" spans="17:31" ht="20.100000000000001" customHeight="1" x14ac:dyDescent="0.25">
      <c r="Q2932" s="7">
        <f t="shared" si="45"/>
        <v>0</v>
      </c>
      <c r="R2932" s="7" t="e">
        <f>IF(VLOOKUP($A2932,'Concrete Beam Schedule'!$A$2:$Q$2902,R$2,0)&lt;&gt;B2932,VLOOKUP($A2932,'Concrete Beam Schedule'!$A$2:$Q$2902,R$2,0),"")</f>
        <v>#N/A</v>
      </c>
      <c r="S2932" s="7" t="e">
        <f>IF(VLOOKUP($A2932,'Concrete Beam Schedule'!$A$2:$Q$2902,S$2,0)&lt;&gt;C2932,VLOOKUP($A2932,'Concrete Beam Schedule'!$A$2:$Q$2902,S$2,0),"")</f>
        <v>#N/A</v>
      </c>
      <c r="T2932" s="7" t="e">
        <f>IF(VLOOKUP($A2932,'Concrete Beam Schedule'!$A$2:$Q$2902,T$2,0)&lt;&gt;D2932,"Beam Revised","")</f>
        <v>#N/A</v>
      </c>
      <c r="U2932" s="7" t="e">
        <f>IF(VLOOKUP($A2932,'Concrete Beam Schedule'!$A$2:$Q$2902,U$2,0)&lt;&gt;E2932,"Beam Revised","")</f>
        <v>#N/A</v>
      </c>
      <c r="V2932" s="7" t="e">
        <f>IF(VLOOKUP($A2932,'Concrete Beam Schedule'!$A$2:$Q$2902,V$2,0)&lt;&gt;F2932,"Beam Revised","")</f>
        <v>#N/A</v>
      </c>
      <c r="W2932" s="7" t="e">
        <f>IF(VLOOKUP($A2932,'Concrete Beam Schedule'!$A$2:$Q$2902,W$2,0)&lt;&gt;G2932,"Beam Revised","")</f>
        <v>#N/A</v>
      </c>
      <c r="X2932" s="7" t="e">
        <f>IF(VLOOKUP($A2932,'Concrete Beam Schedule'!$A$2:$Q$2902,X$2,0)&lt;&gt;H2932,"Beam Revised","")</f>
        <v>#N/A</v>
      </c>
      <c r="Y2932" s="7" t="e">
        <f>IF(VLOOKUP($A2932,'Concrete Beam Schedule'!$A$2:$Q$2902,Y$2,0)&lt;&gt;I2932,"Beam Revised","")</f>
        <v>#N/A</v>
      </c>
      <c r="Z2932" s="7" t="e">
        <f>IF(VLOOKUP($A2932,'Concrete Beam Schedule'!$A$2:$Q$2902,Z$2,0)&lt;&gt;J2932,"Beam Revised","")</f>
        <v>#N/A</v>
      </c>
      <c r="AA2932" s="7" t="e">
        <f>IF(VLOOKUP($A2932,'Concrete Beam Schedule'!$A$2:$Q$2902,AA$2,0)&lt;&gt;K2932,"Beam Revised","")</f>
        <v>#N/A</v>
      </c>
      <c r="AB2932" s="7" t="e">
        <f>IF(VLOOKUP($A2932,'Concrete Beam Schedule'!$A$2:$Q$2902,AB$2,0)&lt;&gt;L2932,"Beam Revised","")</f>
        <v>#N/A</v>
      </c>
      <c r="AC2932" s="7" t="e">
        <f>IF(VLOOKUP($A2932,'Concrete Beam Schedule'!$A$2:$Q$2902,AC$2,0)&lt;&gt;M2932,"Beam Revised","")</f>
        <v>#N/A</v>
      </c>
      <c r="AD2932" s="7" t="e">
        <f>IF(VLOOKUP($A2932,'Concrete Beam Schedule'!$A$2:$Q$2902,AD$2,0)&lt;&gt;N2932,"Beam Revised","")</f>
        <v>#N/A</v>
      </c>
      <c r="AE2932" s="7" t="e">
        <f>IF(VLOOKUP($A2932,'Concrete Beam Schedule'!$A$2:$Q$2902,AE$2,0)&lt;&gt;O2932,"Beam Revised","")</f>
        <v>#N/A</v>
      </c>
    </row>
    <row r="2933" spans="17:31" ht="20.100000000000001" customHeight="1" x14ac:dyDescent="0.25">
      <c r="Q2933" s="7">
        <f t="shared" si="45"/>
        <v>0</v>
      </c>
      <c r="R2933" s="7" t="e">
        <f>IF(VLOOKUP($A2933,'Concrete Beam Schedule'!$A$2:$Q$2902,R$2,0)&lt;&gt;B2933,VLOOKUP($A2933,'Concrete Beam Schedule'!$A$2:$Q$2902,R$2,0),"")</f>
        <v>#N/A</v>
      </c>
      <c r="S2933" s="7" t="e">
        <f>IF(VLOOKUP($A2933,'Concrete Beam Schedule'!$A$2:$Q$2902,S$2,0)&lt;&gt;C2933,VLOOKUP($A2933,'Concrete Beam Schedule'!$A$2:$Q$2902,S$2,0),"")</f>
        <v>#N/A</v>
      </c>
      <c r="T2933" s="7" t="e">
        <f>IF(VLOOKUP($A2933,'Concrete Beam Schedule'!$A$2:$Q$2902,T$2,0)&lt;&gt;D2933,"Beam Revised","")</f>
        <v>#N/A</v>
      </c>
      <c r="U2933" s="7" t="e">
        <f>IF(VLOOKUP($A2933,'Concrete Beam Schedule'!$A$2:$Q$2902,U$2,0)&lt;&gt;E2933,"Beam Revised","")</f>
        <v>#N/A</v>
      </c>
      <c r="V2933" s="7" t="e">
        <f>IF(VLOOKUP($A2933,'Concrete Beam Schedule'!$A$2:$Q$2902,V$2,0)&lt;&gt;F2933,"Beam Revised","")</f>
        <v>#N/A</v>
      </c>
      <c r="W2933" s="7" t="e">
        <f>IF(VLOOKUP($A2933,'Concrete Beam Schedule'!$A$2:$Q$2902,W$2,0)&lt;&gt;G2933,"Beam Revised","")</f>
        <v>#N/A</v>
      </c>
      <c r="X2933" s="7" t="e">
        <f>IF(VLOOKUP($A2933,'Concrete Beam Schedule'!$A$2:$Q$2902,X$2,0)&lt;&gt;H2933,"Beam Revised","")</f>
        <v>#N/A</v>
      </c>
      <c r="Y2933" s="7" t="e">
        <f>IF(VLOOKUP($A2933,'Concrete Beam Schedule'!$A$2:$Q$2902,Y$2,0)&lt;&gt;I2933,"Beam Revised","")</f>
        <v>#N/A</v>
      </c>
      <c r="Z2933" s="7" t="e">
        <f>IF(VLOOKUP($A2933,'Concrete Beam Schedule'!$A$2:$Q$2902,Z$2,0)&lt;&gt;J2933,"Beam Revised","")</f>
        <v>#N/A</v>
      </c>
      <c r="AA2933" s="7" t="e">
        <f>IF(VLOOKUP($A2933,'Concrete Beam Schedule'!$A$2:$Q$2902,AA$2,0)&lt;&gt;K2933,"Beam Revised","")</f>
        <v>#N/A</v>
      </c>
      <c r="AB2933" s="7" t="e">
        <f>IF(VLOOKUP($A2933,'Concrete Beam Schedule'!$A$2:$Q$2902,AB$2,0)&lt;&gt;L2933,"Beam Revised","")</f>
        <v>#N/A</v>
      </c>
      <c r="AC2933" s="7" t="e">
        <f>IF(VLOOKUP($A2933,'Concrete Beam Schedule'!$A$2:$Q$2902,AC$2,0)&lt;&gt;M2933,"Beam Revised","")</f>
        <v>#N/A</v>
      </c>
      <c r="AD2933" s="7" t="e">
        <f>IF(VLOOKUP($A2933,'Concrete Beam Schedule'!$A$2:$Q$2902,AD$2,0)&lt;&gt;N2933,"Beam Revised","")</f>
        <v>#N/A</v>
      </c>
      <c r="AE2933" s="7" t="e">
        <f>IF(VLOOKUP($A2933,'Concrete Beam Schedule'!$A$2:$Q$2902,AE$2,0)&lt;&gt;O2933,"Beam Revised","")</f>
        <v>#N/A</v>
      </c>
    </row>
    <row r="2934" spans="17:31" ht="20.100000000000001" customHeight="1" x14ac:dyDescent="0.25">
      <c r="Q2934" s="7">
        <f t="shared" si="45"/>
        <v>0</v>
      </c>
      <c r="R2934" s="7" t="e">
        <f>IF(VLOOKUP($A2934,'Concrete Beam Schedule'!$A$2:$Q$2902,R$2,0)&lt;&gt;B2934,VLOOKUP($A2934,'Concrete Beam Schedule'!$A$2:$Q$2902,R$2,0),"")</f>
        <v>#N/A</v>
      </c>
      <c r="S2934" s="7" t="e">
        <f>IF(VLOOKUP($A2934,'Concrete Beam Schedule'!$A$2:$Q$2902,S$2,0)&lt;&gt;C2934,VLOOKUP($A2934,'Concrete Beam Schedule'!$A$2:$Q$2902,S$2,0),"")</f>
        <v>#N/A</v>
      </c>
      <c r="T2934" s="7" t="e">
        <f>IF(VLOOKUP($A2934,'Concrete Beam Schedule'!$A$2:$Q$2902,T$2,0)&lt;&gt;D2934,"Beam Revised","")</f>
        <v>#N/A</v>
      </c>
      <c r="U2934" s="7" t="e">
        <f>IF(VLOOKUP($A2934,'Concrete Beam Schedule'!$A$2:$Q$2902,U$2,0)&lt;&gt;E2934,"Beam Revised","")</f>
        <v>#N/A</v>
      </c>
      <c r="V2934" s="7" t="e">
        <f>IF(VLOOKUP($A2934,'Concrete Beam Schedule'!$A$2:$Q$2902,V$2,0)&lt;&gt;F2934,"Beam Revised","")</f>
        <v>#N/A</v>
      </c>
      <c r="W2934" s="7" t="e">
        <f>IF(VLOOKUP($A2934,'Concrete Beam Schedule'!$A$2:$Q$2902,W$2,0)&lt;&gt;G2934,"Beam Revised","")</f>
        <v>#N/A</v>
      </c>
      <c r="X2934" s="7" t="e">
        <f>IF(VLOOKUP($A2934,'Concrete Beam Schedule'!$A$2:$Q$2902,X$2,0)&lt;&gt;H2934,"Beam Revised","")</f>
        <v>#N/A</v>
      </c>
      <c r="Y2934" s="7" t="e">
        <f>IF(VLOOKUP($A2934,'Concrete Beam Schedule'!$A$2:$Q$2902,Y$2,0)&lt;&gt;I2934,"Beam Revised","")</f>
        <v>#N/A</v>
      </c>
      <c r="Z2934" s="7" t="e">
        <f>IF(VLOOKUP($A2934,'Concrete Beam Schedule'!$A$2:$Q$2902,Z$2,0)&lt;&gt;J2934,"Beam Revised","")</f>
        <v>#N/A</v>
      </c>
      <c r="AA2934" s="7" t="e">
        <f>IF(VLOOKUP($A2934,'Concrete Beam Schedule'!$A$2:$Q$2902,AA$2,0)&lt;&gt;K2934,"Beam Revised","")</f>
        <v>#N/A</v>
      </c>
      <c r="AB2934" s="7" t="e">
        <f>IF(VLOOKUP($A2934,'Concrete Beam Schedule'!$A$2:$Q$2902,AB$2,0)&lt;&gt;L2934,"Beam Revised","")</f>
        <v>#N/A</v>
      </c>
      <c r="AC2934" s="7" t="e">
        <f>IF(VLOOKUP($A2934,'Concrete Beam Schedule'!$A$2:$Q$2902,AC$2,0)&lt;&gt;M2934,"Beam Revised","")</f>
        <v>#N/A</v>
      </c>
      <c r="AD2934" s="7" t="e">
        <f>IF(VLOOKUP($A2934,'Concrete Beam Schedule'!$A$2:$Q$2902,AD$2,0)&lt;&gt;N2934,"Beam Revised","")</f>
        <v>#N/A</v>
      </c>
      <c r="AE2934" s="7" t="e">
        <f>IF(VLOOKUP($A2934,'Concrete Beam Schedule'!$A$2:$Q$2902,AE$2,0)&lt;&gt;O2934,"Beam Revised","")</f>
        <v>#N/A</v>
      </c>
    </row>
    <row r="2935" spans="17:31" ht="20.100000000000001" customHeight="1" x14ac:dyDescent="0.25">
      <c r="Q2935" s="7">
        <f t="shared" si="45"/>
        <v>0</v>
      </c>
      <c r="R2935" s="7" t="e">
        <f>IF(VLOOKUP($A2935,'Concrete Beam Schedule'!$A$2:$Q$2902,R$2,0)&lt;&gt;B2935,VLOOKUP($A2935,'Concrete Beam Schedule'!$A$2:$Q$2902,R$2,0),"")</f>
        <v>#N/A</v>
      </c>
      <c r="S2935" s="7" t="e">
        <f>IF(VLOOKUP($A2935,'Concrete Beam Schedule'!$A$2:$Q$2902,S$2,0)&lt;&gt;C2935,VLOOKUP($A2935,'Concrete Beam Schedule'!$A$2:$Q$2902,S$2,0),"")</f>
        <v>#N/A</v>
      </c>
      <c r="T2935" s="7" t="e">
        <f>IF(VLOOKUP($A2935,'Concrete Beam Schedule'!$A$2:$Q$2902,T$2,0)&lt;&gt;D2935,"Beam Revised","")</f>
        <v>#N/A</v>
      </c>
      <c r="U2935" s="7" t="e">
        <f>IF(VLOOKUP($A2935,'Concrete Beam Schedule'!$A$2:$Q$2902,U$2,0)&lt;&gt;E2935,"Beam Revised","")</f>
        <v>#N/A</v>
      </c>
      <c r="V2935" s="7" t="e">
        <f>IF(VLOOKUP($A2935,'Concrete Beam Schedule'!$A$2:$Q$2902,V$2,0)&lt;&gt;F2935,"Beam Revised","")</f>
        <v>#N/A</v>
      </c>
      <c r="W2935" s="7" t="e">
        <f>IF(VLOOKUP($A2935,'Concrete Beam Schedule'!$A$2:$Q$2902,W$2,0)&lt;&gt;G2935,"Beam Revised","")</f>
        <v>#N/A</v>
      </c>
      <c r="X2935" s="7" t="e">
        <f>IF(VLOOKUP($A2935,'Concrete Beam Schedule'!$A$2:$Q$2902,X$2,0)&lt;&gt;H2935,"Beam Revised","")</f>
        <v>#N/A</v>
      </c>
      <c r="Y2935" s="7" t="e">
        <f>IF(VLOOKUP($A2935,'Concrete Beam Schedule'!$A$2:$Q$2902,Y$2,0)&lt;&gt;I2935,"Beam Revised","")</f>
        <v>#N/A</v>
      </c>
      <c r="Z2935" s="7" t="e">
        <f>IF(VLOOKUP($A2935,'Concrete Beam Schedule'!$A$2:$Q$2902,Z$2,0)&lt;&gt;J2935,"Beam Revised","")</f>
        <v>#N/A</v>
      </c>
      <c r="AA2935" s="7" t="e">
        <f>IF(VLOOKUP($A2935,'Concrete Beam Schedule'!$A$2:$Q$2902,AA$2,0)&lt;&gt;K2935,"Beam Revised","")</f>
        <v>#N/A</v>
      </c>
      <c r="AB2935" s="7" t="e">
        <f>IF(VLOOKUP($A2935,'Concrete Beam Schedule'!$A$2:$Q$2902,AB$2,0)&lt;&gt;L2935,"Beam Revised","")</f>
        <v>#N/A</v>
      </c>
      <c r="AC2935" s="7" t="e">
        <f>IF(VLOOKUP($A2935,'Concrete Beam Schedule'!$A$2:$Q$2902,AC$2,0)&lt;&gt;M2935,"Beam Revised","")</f>
        <v>#N/A</v>
      </c>
      <c r="AD2935" s="7" t="e">
        <f>IF(VLOOKUP($A2935,'Concrete Beam Schedule'!$A$2:$Q$2902,AD$2,0)&lt;&gt;N2935,"Beam Revised","")</f>
        <v>#N/A</v>
      </c>
      <c r="AE2935" s="7" t="e">
        <f>IF(VLOOKUP($A2935,'Concrete Beam Schedule'!$A$2:$Q$2902,AE$2,0)&lt;&gt;O2935,"Beam Revised","")</f>
        <v>#N/A</v>
      </c>
    </row>
    <row r="2936" spans="17:31" ht="20.100000000000001" customHeight="1" x14ac:dyDescent="0.25">
      <c r="Q2936" s="7">
        <f t="shared" si="45"/>
        <v>0</v>
      </c>
      <c r="R2936" s="7" t="e">
        <f>IF(VLOOKUP($A2936,'Concrete Beam Schedule'!$A$2:$Q$2902,R$2,0)&lt;&gt;B2936,VLOOKUP($A2936,'Concrete Beam Schedule'!$A$2:$Q$2902,R$2,0),"")</f>
        <v>#N/A</v>
      </c>
      <c r="S2936" s="7" t="e">
        <f>IF(VLOOKUP($A2936,'Concrete Beam Schedule'!$A$2:$Q$2902,S$2,0)&lt;&gt;C2936,VLOOKUP($A2936,'Concrete Beam Schedule'!$A$2:$Q$2902,S$2,0),"")</f>
        <v>#N/A</v>
      </c>
      <c r="T2936" s="7" t="e">
        <f>IF(VLOOKUP($A2936,'Concrete Beam Schedule'!$A$2:$Q$2902,T$2,0)&lt;&gt;D2936,"Beam Revised","")</f>
        <v>#N/A</v>
      </c>
      <c r="U2936" s="7" t="e">
        <f>IF(VLOOKUP($A2936,'Concrete Beam Schedule'!$A$2:$Q$2902,U$2,0)&lt;&gt;E2936,"Beam Revised","")</f>
        <v>#N/A</v>
      </c>
      <c r="V2936" s="7" t="e">
        <f>IF(VLOOKUP($A2936,'Concrete Beam Schedule'!$A$2:$Q$2902,V$2,0)&lt;&gt;F2936,"Beam Revised","")</f>
        <v>#N/A</v>
      </c>
      <c r="W2936" s="7" t="e">
        <f>IF(VLOOKUP($A2936,'Concrete Beam Schedule'!$A$2:$Q$2902,W$2,0)&lt;&gt;G2936,"Beam Revised","")</f>
        <v>#N/A</v>
      </c>
      <c r="X2936" s="7" t="e">
        <f>IF(VLOOKUP($A2936,'Concrete Beam Schedule'!$A$2:$Q$2902,X$2,0)&lt;&gt;H2936,"Beam Revised","")</f>
        <v>#N/A</v>
      </c>
      <c r="Y2936" s="7" t="e">
        <f>IF(VLOOKUP($A2936,'Concrete Beam Schedule'!$A$2:$Q$2902,Y$2,0)&lt;&gt;I2936,"Beam Revised","")</f>
        <v>#N/A</v>
      </c>
      <c r="Z2936" s="7" t="e">
        <f>IF(VLOOKUP($A2936,'Concrete Beam Schedule'!$A$2:$Q$2902,Z$2,0)&lt;&gt;J2936,"Beam Revised","")</f>
        <v>#N/A</v>
      </c>
      <c r="AA2936" s="7" t="e">
        <f>IF(VLOOKUP($A2936,'Concrete Beam Schedule'!$A$2:$Q$2902,AA$2,0)&lt;&gt;K2936,"Beam Revised","")</f>
        <v>#N/A</v>
      </c>
      <c r="AB2936" s="7" t="e">
        <f>IF(VLOOKUP($A2936,'Concrete Beam Schedule'!$A$2:$Q$2902,AB$2,0)&lt;&gt;L2936,"Beam Revised","")</f>
        <v>#N/A</v>
      </c>
      <c r="AC2936" s="7" t="e">
        <f>IF(VLOOKUP($A2936,'Concrete Beam Schedule'!$A$2:$Q$2902,AC$2,0)&lt;&gt;M2936,"Beam Revised","")</f>
        <v>#N/A</v>
      </c>
      <c r="AD2936" s="7" t="e">
        <f>IF(VLOOKUP($A2936,'Concrete Beam Schedule'!$A$2:$Q$2902,AD$2,0)&lt;&gt;N2936,"Beam Revised","")</f>
        <v>#N/A</v>
      </c>
      <c r="AE2936" s="7" t="e">
        <f>IF(VLOOKUP($A2936,'Concrete Beam Schedule'!$A$2:$Q$2902,AE$2,0)&lt;&gt;O2936,"Beam Revised","")</f>
        <v>#N/A</v>
      </c>
    </row>
    <row r="2937" spans="17:31" ht="20.100000000000001" customHeight="1" x14ac:dyDescent="0.25">
      <c r="Q2937" s="7">
        <f t="shared" si="45"/>
        <v>0</v>
      </c>
      <c r="R2937" s="7" t="e">
        <f>IF(VLOOKUP($A2937,'Concrete Beam Schedule'!$A$2:$Q$2902,R$2,0)&lt;&gt;B2937,VLOOKUP($A2937,'Concrete Beam Schedule'!$A$2:$Q$2902,R$2,0),"")</f>
        <v>#N/A</v>
      </c>
      <c r="S2937" s="7" t="e">
        <f>IF(VLOOKUP($A2937,'Concrete Beam Schedule'!$A$2:$Q$2902,S$2,0)&lt;&gt;C2937,VLOOKUP($A2937,'Concrete Beam Schedule'!$A$2:$Q$2902,S$2,0),"")</f>
        <v>#N/A</v>
      </c>
      <c r="T2937" s="7" t="e">
        <f>IF(VLOOKUP($A2937,'Concrete Beam Schedule'!$A$2:$Q$2902,T$2,0)&lt;&gt;D2937,"Beam Revised","")</f>
        <v>#N/A</v>
      </c>
      <c r="U2937" s="7" t="e">
        <f>IF(VLOOKUP($A2937,'Concrete Beam Schedule'!$A$2:$Q$2902,U$2,0)&lt;&gt;E2937,"Beam Revised","")</f>
        <v>#N/A</v>
      </c>
      <c r="V2937" s="7" t="e">
        <f>IF(VLOOKUP($A2937,'Concrete Beam Schedule'!$A$2:$Q$2902,V$2,0)&lt;&gt;F2937,"Beam Revised","")</f>
        <v>#N/A</v>
      </c>
      <c r="W2937" s="7" t="e">
        <f>IF(VLOOKUP($A2937,'Concrete Beam Schedule'!$A$2:$Q$2902,W$2,0)&lt;&gt;G2937,"Beam Revised","")</f>
        <v>#N/A</v>
      </c>
      <c r="X2937" s="7" t="e">
        <f>IF(VLOOKUP($A2937,'Concrete Beam Schedule'!$A$2:$Q$2902,X$2,0)&lt;&gt;H2937,"Beam Revised","")</f>
        <v>#N/A</v>
      </c>
      <c r="Y2937" s="7" t="e">
        <f>IF(VLOOKUP($A2937,'Concrete Beam Schedule'!$A$2:$Q$2902,Y$2,0)&lt;&gt;I2937,"Beam Revised","")</f>
        <v>#N/A</v>
      </c>
      <c r="Z2937" s="7" t="e">
        <f>IF(VLOOKUP($A2937,'Concrete Beam Schedule'!$A$2:$Q$2902,Z$2,0)&lt;&gt;J2937,"Beam Revised","")</f>
        <v>#N/A</v>
      </c>
      <c r="AA2937" s="7" t="e">
        <f>IF(VLOOKUP($A2937,'Concrete Beam Schedule'!$A$2:$Q$2902,AA$2,0)&lt;&gt;K2937,"Beam Revised","")</f>
        <v>#N/A</v>
      </c>
      <c r="AB2937" s="7" t="e">
        <f>IF(VLOOKUP($A2937,'Concrete Beam Schedule'!$A$2:$Q$2902,AB$2,0)&lt;&gt;L2937,"Beam Revised","")</f>
        <v>#N/A</v>
      </c>
      <c r="AC2937" s="7" t="e">
        <f>IF(VLOOKUP($A2937,'Concrete Beam Schedule'!$A$2:$Q$2902,AC$2,0)&lt;&gt;M2937,"Beam Revised","")</f>
        <v>#N/A</v>
      </c>
      <c r="AD2937" s="7" t="e">
        <f>IF(VLOOKUP($A2937,'Concrete Beam Schedule'!$A$2:$Q$2902,AD$2,0)&lt;&gt;N2937,"Beam Revised","")</f>
        <v>#N/A</v>
      </c>
      <c r="AE2937" s="7" t="e">
        <f>IF(VLOOKUP($A2937,'Concrete Beam Schedule'!$A$2:$Q$2902,AE$2,0)&lt;&gt;O2937,"Beam Revised","")</f>
        <v>#N/A</v>
      </c>
    </row>
    <row r="2938" spans="17:31" ht="20.100000000000001" customHeight="1" x14ac:dyDescent="0.25">
      <c r="Q2938" s="7">
        <f t="shared" si="45"/>
        <v>0</v>
      </c>
      <c r="R2938" s="7" t="e">
        <f>IF(VLOOKUP($A2938,'Concrete Beam Schedule'!$A$2:$Q$2902,R$2,0)&lt;&gt;B2938,VLOOKUP($A2938,'Concrete Beam Schedule'!$A$2:$Q$2902,R$2,0),"")</f>
        <v>#N/A</v>
      </c>
      <c r="S2938" s="7" t="e">
        <f>IF(VLOOKUP($A2938,'Concrete Beam Schedule'!$A$2:$Q$2902,S$2,0)&lt;&gt;C2938,VLOOKUP($A2938,'Concrete Beam Schedule'!$A$2:$Q$2902,S$2,0),"")</f>
        <v>#N/A</v>
      </c>
      <c r="T2938" s="7" t="e">
        <f>IF(VLOOKUP($A2938,'Concrete Beam Schedule'!$A$2:$Q$2902,T$2,0)&lt;&gt;D2938,"Beam Revised","")</f>
        <v>#N/A</v>
      </c>
      <c r="U2938" s="7" t="e">
        <f>IF(VLOOKUP($A2938,'Concrete Beam Schedule'!$A$2:$Q$2902,U$2,0)&lt;&gt;E2938,"Beam Revised","")</f>
        <v>#N/A</v>
      </c>
      <c r="V2938" s="7" t="e">
        <f>IF(VLOOKUP($A2938,'Concrete Beam Schedule'!$A$2:$Q$2902,V$2,0)&lt;&gt;F2938,"Beam Revised","")</f>
        <v>#N/A</v>
      </c>
      <c r="W2938" s="7" t="e">
        <f>IF(VLOOKUP($A2938,'Concrete Beam Schedule'!$A$2:$Q$2902,W$2,0)&lt;&gt;G2938,"Beam Revised","")</f>
        <v>#N/A</v>
      </c>
      <c r="X2938" s="7" t="e">
        <f>IF(VLOOKUP($A2938,'Concrete Beam Schedule'!$A$2:$Q$2902,X$2,0)&lt;&gt;H2938,"Beam Revised","")</f>
        <v>#N/A</v>
      </c>
      <c r="Y2938" s="7" t="e">
        <f>IF(VLOOKUP($A2938,'Concrete Beam Schedule'!$A$2:$Q$2902,Y$2,0)&lt;&gt;I2938,"Beam Revised","")</f>
        <v>#N/A</v>
      </c>
      <c r="Z2938" s="7" t="e">
        <f>IF(VLOOKUP($A2938,'Concrete Beam Schedule'!$A$2:$Q$2902,Z$2,0)&lt;&gt;J2938,"Beam Revised","")</f>
        <v>#N/A</v>
      </c>
      <c r="AA2938" s="7" t="e">
        <f>IF(VLOOKUP($A2938,'Concrete Beam Schedule'!$A$2:$Q$2902,AA$2,0)&lt;&gt;K2938,"Beam Revised","")</f>
        <v>#N/A</v>
      </c>
      <c r="AB2938" s="7" t="e">
        <f>IF(VLOOKUP($A2938,'Concrete Beam Schedule'!$A$2:$Q$2902,AB$2,0)&lt;&gt;L2938,"Beam Revised","")</f>
        <v>#N/A</v>
      </c>
      <c r="AC2938" s="7" t="e">
        <f>IF(VLOOKUP($A2938,'Concrete Beam Schedule'!$A$2:$Q$2902,AC$2,0)&lt;&gt;M2938,"Beam Revised","")</f>
        <v>#N/A</v>
      </c>
      <c r="AD2938" s="7" t="e">
        <f>IF(VLOOKUP($A2938,'Concrete Beam Schedule'!$A$2:$Q$2902,AD$2,0)&lt;&gt;N2938,"Beam Revised","")</f>
        <v>#N/A</v>
      </c>
      <c r="AE2938" s="7" t="e">
        <f>IF(VLOOKUP($A2938,'Concrete Beam Schedule'!$A$2:$Q$2902,AE$2,0)&lt;&gt;O2938,"Beam Revised","")</f>
        <v>#N/A</v>
      </c>
    </row>
    <row r="2939" spans="17:31" ht="20.100000000000001" customHeight="1" x14ac:dyDescent="0.25">
      <c r="Q2939" s="7">
        <f t="shared" si="45"/>
        <v>0</v>
      </c>
      <c r="R2939" s="7" t="e">
        <f>IF(VLOOKUP($A2939,'Concrete Beam Schedule'!$A$2:$Q$2902,R$2,0)&lt;&gt;B2939,VLOOKUP($A2939,'Concrete Beam Schedule'!$A$2:$Q$2902,R$2,0),"")</f>
        <v>#N/A</v>
      </c>
      <c r="S2939" s="7" t="e">
        <f>IF(VLOOKUP($A2939,'Concrete Beam Schedule'!$A$2:$Q$2902,S$2,0)&lt;&gt;C2939,VLOOKUP($A2939,'Concrete Beam Schedule'!$A$2:$Q$2902,S$2,0),"")</f>
        <v>#N/A</v>
      </c>
      <c r="T2939" s="7" t="e">
        <f>IF(VLOOKUP($A2939,'Concrete Beam Schedule'!$A$2:$Q$2902,T$2,0)&lt;&gt;D2939,"Beam Revised","")</f>
        <v>#N/A</v>
      </c>
      <c r="U2939" s="7" t="e">
        <f>IF(VLOOKUP($A2939,'Concrete Beam Schedule'!$A$2:$Q$2902,U$2,0)&lt;&gt;E2939,"Beam Revised","")</f>
        <v>#N/A</v>
      </c>
      <c r="V2939" s="7" t="e">
        <f>IF(VLOOKUP($A2939,'Concrete Beam Schedule'!$A$2:$Q$2902,V$2,0)&lt;&gt;F2939,"Beam Revised","")</f>
        <v>#N/A</v>
      </c>
      <c r="W2939" s="7" t="e">
        <f>IF(VLOOKUP($A2939,'Concrete Beam Schedule'!$A$2:$Q$2902,W$2,0)&lt;&gt;G2939,"Beam Revised","")</f>
        <v>#N/A</v>
      </c>
      <c r="X2939" s="7" t="e">
        <f>IF(VLOOKUP($A2939,'Concrete Beam Schedule'!$A$2:$Q$2902,X$2,0)&lt;&gt;H2939,"Beam Revised","")</f>
        <v>#N/A</v>
      </c>
      <c r="Y2939" s="7" t="e">
        <f>IF(VLOOKUP($A2939,'Concrete Beam Schedule'!$A$2:$Q$2902,Y$2,0)&lt;&gt;I2939,"Beam Revised","")</f>
        <v>#N/A</v>
      </c>
      <c r="Z2939" s="7" t="e">
        <f>IF(VLOOKUP($A2939,'Concrete Beam Schedule'!$A$2:$Q$2902,Z$2,0)&lt;&gt;J2939,"Beam Revised","")</f>
        <v>#N/A</v>
      </c>
      <c r="AA2939" s="7" t="e">
        <f>IF(VLOOKUP($A2939,'Concrete Beam Schedule'!$A$2:$Q$2902,AA$2,0)&lt;&gt;K2939,"Beam Revised","")</f>
        <v>#N/A</v>
      </c>
      <c r="AB2939" s="7" t="e">
        <f>IF(VLOOKUP($A2939,'Concrete Beam Schedule'!$A$2:$Q$2902,AB$2,0)&lt;&gt;L2939,"Beam Revised","")</f>
        <v>#N/A</v>
      </c>
      <c r="AC2939" s="7" t="e">
        <f>IF(VLOOKUP($A2939,'Concrete Beam Schedule'!$A$2:$Q$2902,AC$2,0)&lt;&gt;M2939,"Beam Revised","")</f>
        <v>#N/A</v>
      </c>
      <c r="AD2939" s="7" t="e">
        <f>IF(VLOOKUP($A2939,'Concrete Beam Schedule'!$A$2:$Q$2902,AD$2,0)&lt;&gt;N2939,"Beam Revised","")</f>
        <v>#N/A</v>
      </c>
      <c r="AE2939" s="7" t="e">
        <f>IF(VLOOKUP($A2939,'Concrete Beam Schedule'!$A$2:$Q$2902,AE$2,0)&lt;&gt;O2939,"Beam Revised","")</f>
        <v>#N/A</v>
      </c>
    </row>
    <row r="2940" spans="17:31" ht="20.100000000000001" customHeight="1" x14ac:dyDescent="0.25">
      <c r="Q2940" s="7">
        <f t="shared" si="45"/>
        <v>0</v>
      </c>
      <c r="R2940" s="7" t="e">
        <f>IF(VLOOKUP($A2940,'Concrete Beam Schedule'!$A$2:$Q$2902,R$2,0)&lt;&gt;B2940,VLOOKUP($A2940,'Concrete Beam Schedule'!$A$2:$Q$2902,R$2,0),"")</f>
        <v>#N/A</v>
      </c>
      <c r="S2940" s="7" t="e">
        <f>IF(VLOOKUP($A2940,'Concrete Beam Schedule'!$A$2:$Q$2902,S$2,0)&lt;&gt;C2940,VLOOKUP($A2940,'Concrete Beam Schedule'!$A$2:$Q$2902,S$2,0),"")</f>
        <v>#N/A</v>
      </c>
      <c r="T2940" s="7" t="e">
        <f>IF(VLOOKUP($A2940,'Concrete Beam Schedule'!$A$2:$Q$2902,T$2,0)&lt;&gt;D2940,"Beam Revised","")</f>
        <v>#N/A</v>
      </c>
      <c r="U2940" s="7" t="e">
        <f>IF(VLOOKUP($A2940,'Concrete Beam Schedule'!$A$2:$Q$2902,U$2,0)&lt;&gt;E2940,"Beam Revised","")</f>
        <v>#N/A</v>
      </c>
      <c r="V2940" s="7" t="e">
        <f>IF(VLOOKUP($A2940,'Concrete Beam Schedule'!$A$2:$Q$2902,V$2,0)&lt;&gt;F2940,"Beam Revised","")</f>
        <v>#N/A</v>
      </c>
      <c r="W2940" s="7" t="e">
        <f>IF(VLOOKUP($A2940,'Concrete Beam Schedule'!$A$2:$Q$2902,W$2,0)&lt;&gt;G2940,"Beam Revised","")</f>
        <v>#N/A</v>
      </c>
      <c r="X2940" s="7" t="e">
        <f>IF(VLOOKUP($A2940,'Concrete Beam Schedule'!$A$2:$Q$2902,X$2,0)&lt;&gt;H2940,"Beam Revised","")</f>
        <v>#N/A</v>
      </c>
      <c r="Y2940" s="7" t="e">
        <f>IF(VLOOKUP($A2940,'Concrete Beam Schedule'!$A$2:$Q$2902,Y$2,0)&lt;&gt;I2940,"Beam Revised","")</f>
        <v>#N/A</v>
      </c>
      <c r="Z2940" s="7" t="e">
        <f>IF(VLOOKUP($A2940,'Concrete Beam Schedule'!$A$2:$Q$2902,Z$2,0)&lt;&gt;J2940,"Beam Revised","")</f>
        <v>#N/A</v>
      </c>
      <c r="AA2940" s="7" t="e">
        <f>IF(VLOOKUP($A2940,'Concrete Beam Schedule'!$A$2:$Q$2902,AA$2,0)&lt;&gt;K2940,"Beam Revised","")</f>
        <v>#N/A</v>
      </c>
      <c r="AB2940" s="7" t="e">
        <f>IF(VLOOKUP($A2940,'Concrete Beam Schedule'!$A$2:$Q$2902,AB$2,0)&lt;&gt;L2940,"Beam Revised","")</f>
        <v>#N/A</v>
      </c>
      <c r="AC2940" s="7" t="e">
        <f>IF(VLOOKUP($A2940,'Concrete Beam Schedule'!$A$2:$Q$2902,AC$2,0)&lt;&gt;M2940,"Beam Revised","")</f>
        <v>#N/A</v>
      </c>
      <c r="AD2940" s="7" t="e">
        <f>IF(VLOOKUP($A2940,'Concrete Beam Schedule'!$A$2:$Q$2902,AD$2,0)&lt;&gt;N2940,"Beam Revised","")</f>
        <v>#N/A</v>
      </c>
      <c r="AE2940" s="7" t="e">
        <f>IF(VLOOKUP($A2940,'Concrete Beam Schedule'!$A$2:$Q$2902,AE$2,0)&lt;&gt;O2940,"Beam Revised","")</f>
        <v>#N/A</v>
      </c>
    </row>
    <row r="2941" spans="17:31" ht="20.100000000000001" customHeight="1" x14ac:dyDescent="0.25">
      <c r="Q2941" s="7">
        <f t="shared" si="45"/>
        <v>0</v>
      </c>
      <c r="R2941" s="7" t="e">
        <f>IF(VLOOKUP($A2941,'Concrete Beam Schedule'!$A$2:$Q$2902,R$2,0)&lt;&gt;B2941,VLOOKUP($A2941,'Concrete Beam Schedule'!$A$2:$Q$2902,R$2,0),"")</f>
        <v>#N/A</v>
      </c>
      <c r="S2941" s="7" t="e">
        <f>IF(VLOOKUP($A2941,'Concrete Beam Schedule'!$A$2:$Q$2902,S$2,0)&lt;&gt;C2941,VLOOKUP($A2941,'Concrete Beam Schedule'!$A$2:$Q$2902,S$2,0),"")</f>
        <v>#N/A</v>
      </c>
      <c r="T2941" s="7" t="e">
        <f>IF(VLOOKUP($A2941,'Concrete Beam Schedule'!$A$2:$Q$2902,T$2,0)&lt;&gt;D2941,"Beam Revised","")</f>
        <v>#N/A</v>
      </c>
      <c r="U2941" s="7" t="e">
        <f>IF(VLOOKUP($A2941,'Concrete Beam Schedule'!$A$2:$Q$2902,U$2,0)&lt;&gt;E2941,"Beam Revised","")</f>
        <v>#N/A</v>
      </c>
      <c r="V2941" s="7" t="e">
        <f>IF(VLOOKUP($A2941,'Concrete Beam Schedule'!$A$2:$Q$2902,V$2,0)&lt;&gt;F2941,"Beam Revised","")</f>
        <v>#N/A</v>
      </c>
      <c r="W2941" s="7" t="e">
        <f>IF(VLOOKUP($A2941,'Concrete Beam Schedule'!$A$2:$Q$2902,W$2,0)&lt;&gt;G2941,"Beam Revised","")</f>
        <v>#N/A</v>
      </c>
      <c r="X2941" s="7" t="e">
        <f>IF(VLOOKUP($A2941,'Concrete Beam Schedule'!$A$2:$Q$2902,X$2,0)&lt;&gt;H2941,"Beam Revised","")</f>
        <v>#N/A</v>
      </c>
      <c r="Y2941" s="7" t="e">
        <f>IF(VLOOKUP($A2941,'Concrete Beam Schedule'!$A$2:$Q$2902,Y$2,0)&lt;&gt;I2941,"Beam Revised","")</f>
        <v>#N/A</v>
      </c>
      <c r="Z2941" s="7" t="e">
        <f>IF(VLOOKUP($A2941,'Concrete Beam Schedule'!$A$2:$Q$2902,Z$2,0)&lt;&gt;J2941,"Beam Revised","")</f>
        <v>#N/A</v>
      </c>
      <c r="AA2941" s="7" t="e">
        <f>IF(VLOOKUP($A2941,'Concrete Beam Schedule'!$A$2:$Q$2902,AA$2,0)&lt;&gt;K2941,"Beam Revised","")</f>
        <v>#N/A</v>
      </c>
      <c r="AB2941" s="7" t="e">
        <f>IF(VLOOKUP($A2941,'Concrete Beam Schedule'!$A$2:$Q$2902,AB$2,0)&lt;&gt;L2941,"Beam Revised","")</f>
        <v>#N/A</v>
      </c>
      <c r="AC2941" s="7" t="e">
        <f>IF(VLOOKUP($A2941,'Concrete Beam Schedule'!$A$2:$Q$2902,AC$2,0)&lt;&gt;M2941,"Beam Revised","")</f>
        <v>#N/A</v>
      </c>
      <c r="AD2941" s="7" t="e">
        <f>IF(VLOOKUP($A2941,'Concrete Beam Schedule'!$A$2:$Q$2902,AD$2,0)&lt;&gt;N2941,"Beam Revised","")</f>
        <v>#N/A</v>
      </c>
      <c r="AE2941" s="7" t="e">
        <f>IF(VLOOKUP($A2941,'Concrete Beam Schedule'!$A$2:$Q$2902,AE$2,0)&lt;&gt;O2941,"Beam Revised","")</f>
        <v>#N/A</v>
      </c>
    </row>
    <row r="2942" spans="17:31" ht="20.100000000000001" customHeight="1" x14ac:dyDescent="0.25">
      <c r="Q2942" s="7">
        <f t="shared" si="45"/>
        <v>0</v>
      </c>
      <c r="R2942" s="7" t="e">
        <f>IF(VLOOKUP($A2942,'Concrete Beam Schedule'!$A$2:$Q$2902,R$2,0)&lt;&gt;B2942,VLOOKUP($A2942,'Concrete Beam Schedule'!$A$2:$Q$2902,R$2,0),"")</f>
        <v>#N/A</v>
      </c>
      <c r="S2942" s="7" t="e">
        <f>IF(VLOOKUP($A2942,'Concrete Beam Schedule'!$A$2:$Q$2902,S$2,0)&lt;&gt;C2942,VLOOKUP($A2942,'Concrete Beam Schedule'!$A$2:$Q$2902,S$2,0),"")</f>
        <v>#N/A</v>
      </c>
      <c r="T2942" s="7" t="e">
        <f>IF(VLOOKUP($A2942,'Concrete Beam Schedule'!$A$2:$Q$2902,T$2,0)&lt;&gt;D2942,"Beam Revised","")</f>
        <v>#N/A</v>
      </c>
      <c r="U2942" s="7" t="e">
        <f>IF(VLOOKUP($A2942,'Concrete Beam Schedule'!$A$2:$Q$2902,U$2,0)&lt;&gt;E2942,"Beam Revised","")</f>
        <v>#N/A</v>
      </c>
      <c r="V2942" s="7" t="e">
        <f>IF(VLOOKUP($A2942,'Concrete Beam Schedule'!$A$2:$Q$2902,V$2,0)&lt;&gt;F2942,"Beam Revised","")</f>
        <v>#N/A</v>
      </c>
      <c r="W2942" s="7" t="e">
        <f>IF(VLOOKUP($A2942,'Concrete Beam Schedule'!$A$2:$Q$2902,W$2,0)&lt;&gt;G2942,"Beam Revised","")</f>
        <v>#N/A</v>
      </c>
      <c r="X2942" s="7" t="e">
        <f>IF(VLOOKUP($A2942,'Concrete Beam Schedule'!$A$2:$Q$2902,X$2,0)&lt;&gt;H2942,"Beam Revised","")</f>
        <v>#N/A</v>
      </c>
      <c r="Y2942" s="7" t="e">
        <f>IF(VLOOKUP($A2942,'Concrete Beam Schedule'!$A$2:$Q$2902,Y$2,0)&lt;&gt;I2942,"Beam Revised","")</f>
        <v>#N/A</v>
      </c>
      <c r="Z2942" s="7" t="e">
        <f>IF(VLOOKUP($A2942,'Concrete Beam Schedule'!$A$2:$Q$2902,Z$2,0)&lt;&gt;J2942,"Beam Revised","")</f>
        <v>#N/A</v>
      </c>
      <c r="AA2942" s="7" t="e">
        <f>IF(VLOOKUP($A2942,'Concrete Beam Schedule'!$A$2:$Q$2902,AA$2,0)&lt;&gt;K2942,"Beam Revised","")</f>
        <v>#N/A</v>
      </c>
      <c r="AB2942" s="7" t="e">
        <f>IF(VLOOKUP($A2942,'Concrete Beam Schedule'!$A$2:$Q$2902,AB$2,0)&lt;&gt;L2942,"Beam Revised","")</f>
        <v>#N/A</v>
      </c>
      <c r="AC2942" s="7" t="e">
        <f>IF(VLOOKUP($A2942,'Concrete Beam Schedule'!$A$2:$Q$2902,AC$2,0)&lt;&gt;M2942,"Beam Revised","")</f>
        <v>#N/A</v>
      </c>
      <c r="AD2942" s="7" t="e">
        <f>IF(VLOOKUP($A2942,'Concrete Beam Schedule'!$A$2:$Q$2902,AD$2,0)&lt;&gt;N2942,"Beam Revised","")</f>
        <v>#N/A</v>
      </c>
      <c r="AE2942" s="7" t="e">
        <f>IF(VLOOKUP($A2942,'Concrete Beam Schedule'!$A$2:$Q$2902,AE$2,0)&lt;&gt;O2942,"Beam Revised","")</f>
        <v>#N/A</v>
      </c>
    </row>
    <row r="2943" spans="17:31" ht="20.100000000000001" customHeight="1" x14ac:dyDescent="0.25">
      <c r="Q2943" s="7">
        <f t="shared" si="45"/>
        <v>0</v>
      </c>
      <c r="R2943" s="7" t="e">
        <f>IF(VLOOKUP($A2943,'Concrete Beam Schedule'!$A$2:$Q$2902,R$2,0)&lt;&gt;B2943,VLOOKUP($A2943,'Concrete Beam Schedule'!$A$2:$Q$2902,R$2,0),"")</f>
        <v>#N/A</v>
      </c>
      <c r="S2943" s="7" t="e">
        <f>IF(VLOOKUP($A2943,'Concrete Beam Schedule'!$A$2:$Q$2902,S$2,0)&lt;&gt;C2943,VLOOKUP($A2943,'Concrete Beam Schedule'!$A$2:$Q$2902,S$2,0),"")</f>
        <v>#N/A</v>
      </c>
      <c r="T2943" s="7" t="e">
        <f>IF(VLOOKUP($A2943,'Concrete Beam Schedule'!$A$2:$Q$2902,T$2,0)&lt;&gt;D2943,"Beam Revised","")</f>
        <v>#N/A</v>
      </c>
      <c r="U2943" s="7" t="e">
        <f>IF(VLOOKUP($A2943,'Concrete Beam Schedule'!$A$2:$Q$2902,U$2,0)&lt;&gt;E2943,"Beam Revised","")</f>
        <v>#N/A</v>
      </c>
      <c r="V2943" s="7" t="e">
        <f>IF(VLOOKUP($A2943,'Concrete Beam Schedule'!$A$2:$Q$2902,V$2,0)&lt;&gt;F2943,"Beam Revised","")</f>
        <v>#N/A</v>
      </c>
      <c r="W2943" s="7" t="e">
        <f>IF(VLOOKUP($A2943,'Concrete Beam Schedule'!$A$2:$Q$2902,W$2,0)&lt;&gt;G2943,"Beam Revised","")</f>
        <v>#N/A</v>
      </c>
      <c r="X2943" s="7" t="e">
        <f>IF(VLOOKUP($A2943,'Concrete Beam Schedule'!$A$2:$Q$2902,X$2,0)&lt;&gt;H2943,"Beam Revised","")</f>
        <v>#N/A</v>
      </c>
      <c r="Y2943" s="7" t="e">
        <f>IF(VLOOKUP($A2943,'Concrete Beam Schedule'!$A$2:$Q$2902,Y$2,0)&lt;&gt;I2943,"Beam Revised","")</f>
        <v>#N/A</v>
      </c>
      <c r="Z2943" s="7" t="e">
        <f>IF(VLOOKUP($A2943,'Concrete Beam Schedule'!$A$2:$Q$2902,Z$2,0)&lt;&gt;J2943,"Beam Revised","")</f>
        <v>#N/A</v>
      </c>
      <c r="AA2943" s="7" t="e">
        <f>IF(VLOOKUP($A2943,'Concrete Beam Schedule'!$A$2:$Q$2902,AA$2,0)&lt;&gt;K2943,"Beam Revised","")</f>
        <v>#N/A</v>
      </c>
      <c r="AB2943" s="7" t="e">
        <f>IF(VLOOKUP($A2943,'Concrete Beam Schedule'!$A$2:$Q$2902,AB$2,0)&lt;&gt;L2943,"Beam Revised","")</f>
        <v>#N/A</v>
      </c>
      <c r="AC2943" s="7" t="e">
        <f>IF(VLOOKUP($A2943,'Concrete Beam Schedule'!$A$2:$Q$2902,AC$2,0)&lt;&gt;M2943,"Beam Revised","")</f>
        <v>#N/A</v>
      </c>
      <c r="AD2943" s="7" t="e">
        <f>IF(VLOOKUP($A2943,'Concrete Beam Schedule'!$A$2:$Q$2902,AD$2,0)&lt;&gt;N2943,"Beam Revised","")</f>
        <v>#N/A</v>
      </c>
      <c r="AE2943" s="7" t="e">
        <f>IF(VLOOKUP($A2943,'Concrete Beam Schedule'!$A$2:$Q$2902,AE$2,0)&lt;&gt;O2943,"Beam Revised","")</f>
        <v>#N/A</v>
      </c>
    </row>
    <row r="2944" spans="17:31" ht="20.100000000000001" customHeight="1" x14ac:dyDescent="0.25">
      <c r="Q2944" s="7">
        <f t="shared" si="45"/>
        <v>0</v>
      </c>
      <c r="R2944" s="7" t="e">
        <f>IF(VLOOKUP($A2944,'Concrete Beam Schedule'!$A$2:$Q$2902,R$2,0)&lt;&gt;B2944,VLOOKUP($A2944,'Concrete Beam Schedule'!$A$2:$Q$2902,R$2,0),"")</f>
        <v>#N/A</v>
      </c>
      <c r="S2944" s="7" t="e">
        <f>IF(VLOOKUP($A2944,'Concrete Beam Schedule'!$A$2:$Q$2902,S$2,0)&lt;&gt;C2944,VLOOKUP($A2944,'Concrete Beam Schedule'!$A$2:$Q$2902,S$2,0),"")</f>
        <v>#N/A</v>
      </c>
      <c r="T2944" s="7" t="e">
        <f>IF(VLOOKUP($A2944,'Concrete Beam Schedule'!$A$2:$Q$2902,T$2,0)&lt;&gt;D2944,"Beam Revised","")</f>
        <v>#N/A</v>
      </c>
      <c r="U2944" s="7" t="e">
        <f>IF(VLOOKUP($A2944,'Concrete Beam Schedule'!$A$2:$Q$2902,U$2,0)&lt;&gt;E2944,"Beam Revised","")</f>
        <v>#N/A</v>
      </c>
      <c r="V2944" s="7" t="e">
        <f>IF(VLOOKUP($A2944,'Concrete Beam Schedule'!$A$2:$Q$2902,V$2,0)&lt;&gt;F2944,"Beam Revised","")</f>
        <v>#N/A</v>
      </c>
      <c r="W2944" s="7" t="e">
        <f>IF(VLOOKUP($A2944,'Concrete Beam Schedule'!$A$2:$Q$2902,W$2,0)&lt;&gt;G2944,"Beam Revised","")</f>
        <v>#N/A</v>
      </c>
      <c r="X2944" s="7" t="e">
        <f>IF(VLOOKUP($A2944,'Concrete Beam Schedule'!$A$2:$Q$2902,X$2,0)&lt;&gt;H2944,"Beam Revised","")</f>
        <v>#N/A</v>
      </c>
      <c r="Y2944" s="7" t="e">
        <f>IF(VLOOKUP($A2944,'Concrete Beam Schedule'!$A$2:$Q$2902,Y$2,0)&lt;&gt;I2944,"Beam Revised","")</f>
        <v>#N/A</v>
      </c>
      <c r="Z2944" s="7" t="e">
        <f>IF(VLOOKUP($A2944,'Concrete Beam Schedule'!$A$2:$Q$2902,Z$2,0)&lt;&gt;J2944,"Beam Revised","")</f>
        <v>#N/A</v>
      </c>
      <c r="AA2944" s="7" t="e">
        <f>IF(VLOOKUP($A2944,'Concrete Beam Schedule'!$A$2:$Q$2902,AA$2,0)&lt;&gt;K2944,"Beam Revised","")</f>
        <v>#N/A</v>
      </c>
      <c r="AB2944" s="7" t="e">
        <f>IF(VLOOKUP($A2944,'Concrete Beam Schedule'!$A$2:$Q$2902,AB$2,0)&lt;&gt;L2944,"Beam Revised","")</f>
        <v>#N/A</v>
      </c>
      <c r="AC2944" s="7" t="e">
        <f>IF(VLOOKUP($A2944,'Concrete Beam Schedule'!$A$2:$Q$2902,AC$2,0)&lt;&gt;M2944,"Beam Revised","")</f>
        <v>#N/A</v>
      </c>
      <c r="AD2944" s="7" t="e">
        <f>IF(VLOOKUP($A2944,'Concrete Beam Schedule'!$A$2:$Q$2902,AD$2,0)&lt;&gt;N2944,"Beam Revised","")</f>
        <v>#N/A</v>
      </c>
      <c r="AE2944" s="7" t="e">
        <f>IF(VLOOKUP($A2944,'Concrete Beam Schedule'!$A$2:$Q$2902,AE$2,0)&lt;&gt;O2944,"Beam Revised","")</f>
        <v>#N/A</v>
      </c>
    </row>
    <row r="2945" spans="17:31" ht="20.100000000000001" customHeight="1" x14ac:dyDescent="0.25">
      <c r="Q2945" s="7">
        <f t="shared" si="45"/>
        <v>0</v>
      </c>
      <c r="R2945" s="7" t="e">
        <f>IF(VLOOKUP($A2945,'Concrete Beam Schedule'!$A$2:$Q$2902,R$2,0)&lt;&gt;B2945,VLOOKUP($A2945,'Concrete Beam Schedule'!$A$2:$Q$2902,R$2,0),"")</f>
        <v>#N/A</v>
      </c>
      <c r="S2945" s="7" t="e">
        <f>IF(VLOOKUP($A2945,'Concrete Beam Schedule'!$A$2:$Q$2902,S$2,0)&lt;&gt;C2945,VLOOKUP($A2945,'Concrete Beam Schedule'!$A$2:$Q$2902,S$2,0),"")</f>
        <v>#N/A</v>
      </c>
      <c r="T2945" s="7" t="e">
        <f>IF(VLOOKUP($A2945,'Concrete Beam Schedule'!$A$2:$Q$2902,T$2,0)&lt;&gt;D2945,"Beam Revised","")</f>
        <v>#N/A</v>
      </c>
      <c r="U2945" s="7" t="e">
        <f>IF(VLOOKUP($A2945,'Concrete Beam Schedule'!$A$2:$Q$2902,U$2,0)&lt;&gt;E2945,"Beam Revised","")</f>
        <v>#N/A</v>
      </c>
      <c r="V2945" s="7" t="e">
        <f>IF(VLOOKUP($A2945,'Concrete Beam Schedule'!$A$2:$Q$2902,V$2,0)&lt;&gt;F2945,"Beam Revised","")</f>
        <v>#N/A</v>
      </c>
      <c r="W2945" s="7" t="e">
        <f>IF(VLOOKUP($A2945,'Concrete Beam Schedule'!$A$2:$Q$2902,W$2,0)&lt;&gt;G2945,"Beam Revised","")</f>
        <v>#N/A</v>
      </c>
      <c r="X2945" s="7" t="e">
        <f>IF(VLOOKUP($A2945,'Concrete Beam Schedule'!$A$2:$Q$2902,X$2,0)&lt;&gt;H2945,"Beam Revised","")</f>
        <v>#N/A</v>
      </c>
      <c r="Y2945" s="7" t="e">
        <f>IF(VLOOKUP($A2945,'Concrete Beam Schedule'!$A$2:$Q$2902,Y$2,0)&lt;&gt;I2945,"Beam Revised","")</f>
        <v>#N/A</v>
      </c>
      <c r="Z2945" s="7" t="e">
        <f>IF(VLOOKUP($A2945,'Concrete Beam Schedule'!$A$2:$Q$2902,Z$2,0)&lt;&gt;J2945,"Beam Revised","")</f>
        <v>#N/A</v>
      </c>
      <c r="AA2945" s="7" t="e">
        <f>IF(VLOOKUP($A2945,'Concrete Beam Schedule'!$A$2:$Q$2902,AA$2,0)&lt;&gt;K2945,"Beam Revised","")</f>
        <v>#N/A</v>
      </c>
      <c r="AB2945" s="7" t="e">
        <f>IF(VLOOKUP($A2945,'Concrete Beam Schedule'!$A$2:$Q$2902,AB$2,0)&lt;&gt;L2945,"Beam Revised","")</f>
        <v>#N/A</v>
      </c>
      <c r="AC2945" s="7" t="e">
        <f>IF(VLOOKUP($A2945,'Concrete Beam Schedule'!$A$2:$Q$2902,AC$2,0)&lt;&gt;M2945,"Beam Revised","")</f>
        <v>#N/A</v>
      </c>
      <c r="AD2945" s="7" t="e">
        <f>IF(VLOOKUP($A2945,'Concrete Beam Schedule'!$A$2:$Q$2902,AD$2,0)&lt;&gt;N2945,"Beam Revised","")</f>
        <v>#N/A</v>
      </c>
      <c r="AE2945" s="7" t="e">
        <f>IF(VLOOKUP($A2945,'Concrete Beam Schedule'!$A$2:$Q$2902,AE$2,0)&lt;&gt;O2945,"Beam Revised","")</f>
        <v>#N/A</v>
      </c>
    </row>
    <row r="2946" spans="17:31" ht="20.100000000000001" customHeight="1" x14ac:dyDescent="0.25">
      <c r="Q2946" s="7">
        <f t="shared" si="45"/>
        <v>0</v>
      </c>
      <c r="R2946" s="7" t="e">
        <f>IF(VLOOKUP($A2946,'Concrete Beam Schedule'!$A$2:$Q$2902,R$2,0)&lt;&gt;B2946,VLOOKUP($A2946,'Concrete Beam Schedule'!$A$2:$Q$2902,R$2,0),"")</f>
        <v>#N/A</v>
      </c>
      <c r="S2946" s="7" t="e">
        <f>IF(VLOOKUP($A2946,'Concrete Beam Schedule'!$A$2:$Q$2902,S$2,0)&lt;&gt;C2946,VLOOKUP($A2946,'Concrete Beam Schedule'!$A$2:$Q$2902,S$2,0),"")</f>
        <v>#N/A</v>
      </c>
      <c r="T2946" s="7" t="e">
        <f>IF(VLOOKUP($A2946,'Concrete Beam Schedule'!$A$2:$Q$2902,T$2,0)&lt;&gt;D2946,"Beam Revised","")</f>
        <v>#N/A</v>
      </c>
      <c r="U2946" s="7" t="e">
        <f>IF(VLOOKUP($A2946,'Concrete Beam Schedule'!$A$2:$Q$2902,U$2,0)&lt;&gt;E2946,"Beam Revised","")</f>
        <v>#N/A</v>
      </c>
      <c r="V2946" s="7" t="e">
        <f>IF(VLOOKUP($A2946,'Concrete Beam Schedule'!$A$2:$Q$2902,V$2,0)&lt;&gt;F2946,"Beam Revised","")</f>
        <v>#N/A</v>
      </c>
      <c r="W2946" s="7" t="e">
        <f>IF(VLOOKUP($A2946,'Concrete Beam Schedule'!$A$2:$Q$2902,W$2,0)&lt;&gt;G2946,"Beam Revised","")</f>
        <v>#N/A</v>
      </c>
      <c r="X2946" s="7" t="e">
        <f>IF(VLOOKUP($A2946,'Concrete Beam Schedule'!$A$2:$Q$2902,X$2,0)&lt;&gt;H2946,"Beam Revised","")</f>
        <v>#N/A</v>
      </c>
      <c r="Y2946" s="7" t="e">
        <f>IF(VLOOKUP($A2946,'Concrete Beam Schedule'!$A$2:$Q$2902,Y$2,0)&lt;&gt;I2946,"Beam Revised","")</f>
        <v>#N/A</v>
      </c>
      <c r="Z2946" s="7" t="e">
        <f>IF(VLOOKUP($A2946,'Concrete Beam Schedule'!$A$2:$Q$2902,Z$2,0)&lt;&gt;J2946,"Beam Revised","")</f>
        <v>#N/A</v>
      </c>
      <c r="AA2946" s="7" t="e">
        <f>IF(VLOOKUP($A2946,'Concrete Beam Schedule'!$A$2:$Q$2902,AA$2,0)&lt;&gt;K2946,"Beam Revised","")</f>
        <v>#N/A</v>
      </c>
      <c r="AB2946" s="7" t="e">
        <f>IF(VLOOKUP($A2946,'Concrete Beam Schedule'!$A$2:$Q$2902,AB$2,0)&lt;&gt;L2946,"Beam Revised","")</f>
        <v>#N/A</v>
      </c>
      <c r="AC2946" s="7" t="e">
        <f>IF(VLOOKUP($A2946,'Concrete Beam Schedule'!$A$2:$Q$2902,AC$2,0)&lt;&gt;M2946,"Beam Revised","")</f>
        <v>#N/A</v>
      </c>
      <c r="AD2946" s="7" t="e">
        <f>IF(VLOOKUP($A2946,'Concrete Beam Schedule'!$A$2:$Q$2902,AD$2,0)&lt;&gt;N2946,"Beam Revised","")</f>
        <v>#N/A</v>
      </c>
      <c r="AE2946" s="7" t="e">
        <f>IF(VLOOKUP($A2946,'Concrete Beam Schedule'!$A$2:$Q$2902,AE$2,0)&lt;&gt;O2946,"Beam Revised","")</f>
        <v>#N/A</v>
      </c>
    </row>
    <row r="2947" spans="17:31" ht="20.100000000000001" customHeight="1" x14ac:dyDescent="0.25">
      <c r="Q2947" s="7">
        <f t="shared" si="45"/>
        <v>0</v>
      </c>
      <c r="R2947" s="7" t="e">
        <f>IF(VLOOKUP($A2947,'Concrete Beam Schedule'!$A$2:$Q$2902,R$2,0)&lt;&gt;B2947,VLOOKUP($A2947,'Concrete Beam Schedule'!$A$2:$Q$2902,R$2,0),"")</f>
        <v>#N/A</v>
      </c>
      <c r="S2947" s="7" t="e">
        <f>IF(VLOOKUP($A2947,'Concrete Beam Schedule'!$A$2:$Q$2902,S$2,0)&lt;&gt;C2947,VLOOKUP($A2947,'Concrete Beam Schedule'!$A$2:$Q$2902,S$2,0),"")</f>
        <v>#N/A</v>
      </c>
      <c r="T2947" s="7" t="e">
        <f>IF(VLOOKUP($A2947,'Concrete Beam Schedule'!$A$2:$Q$2902,T$2,0)&lt;&gt;D2947,"Beam Revised","")</f>
        <v>#N/A</v>
      </c>
      <c r="U2947" s="7" t="e">
        <f>IF(VLOOKUP($A2947,'Concrete Beam Schedule'!$A$2:$Q$2902,U$2,0)&lt;&gt;E2947,"Beam Revised","")</f>
        <v>#N/A</v>
      </c>
      <c r="V2947" s="7" t="e">
        <f>IF(VLOOKUP($A2947,'Concrete Beam Schedule'!$A$2:$Q$2902,V$2,0)&lt;&gt;F2947,"Beam Revised","")</f>
        <v>#N/A</v>
      </c>
      <c r="W2947" s="7" t="e">
        <f>IF(VLOOKUP($A2947,'Concrete Beam Schedule'!$A$2:$Q$2902,W$2,0)&lt;&gt;G2947,"Beam Revised","")</f>
        <v>#N/A</v>
      </c>
      <c r="X2947" s="7" t="e">
        <f>IF(VLOOKUP($A2947,'Concrete Beam Schedule'!$A$2:$Q$2902,X$2,0)&lt;&gt;H2947,"Beam Revised","")</f>
        <v>#N/A</v>
      </c>
      <c r="Y2947" s="7" t="e">
        <f>IF(VLOOKUP($A2947,'Concrete Beam Schedule'!$A$2:$Q$2902,Y$2,0)&lt;&gt;I2947,"Beam Revised","")</f>
        <v>#N/A</v>
      </c>
      <c r="Z2947" s="7" t="e">
        <f>IF(VLOOKUP($A2947,'Concrete Beam Schedule'!$A$2:$Q$2902,Z$2,0)&lt;&gt;J2947,"Beam Revised","")</f>
        <v>#N/A</v>
      </c>
      <c r="AA2947" s="7" t="e">
        <f>IF(VLOOKUP($A2947,'Concrete Beam Schedule'!$A$2:$Q$2902,AA$2,0)&lt;&gt;K2947,"Beam Revised","")</f>
        <v>#N/A</v>
      </c>
      <c r="AB2947" s="7" t="e">
        <f>IF(VLOOKUP($A2947,'Concrete Beam Schedule'!$A$2:$Q$2902,AB$2,0)&lt;&gt;L2947,"Beam Revised","")</f>
        <v>#N/A</v>
      </c>
      <c r="AC2947" s="7" t="e">
        <f>IF(VLOOKUP($A2947,'Concrete Beam Schedule'!$A$2:$Q$2902,AC$2,0)&lt;&gt;M2947,"Beam Revised","")</f>
        <v>#N/A</v>
      </c>
      <c r="AD2947" s="7" t="e">
        <f>IF(VLOOKUP($A2947,'Concrete Beam Schedule'!$A$2:$Q$2902,AD$2,0)&lt;&gt;N2947,"Beam Revised","")</f>
        <v>#N/A</v>
      </c>
      <c r="AE2947" s="7" t="e">
        <f>IF(VLOOKUP($A2947,'Concrete Beam Schedule'!$A$2:$Q$2902,AE$2,0)&lt;&gt;O2947,"Beam Revised","")</f>
        <v>#N/A</v>
      </c>
    </row>
    <row r="2948" spans="17:31" ht="20.100000000000001" customHeight="1" x14ac:dyDescent="0.25">
      <c r="Q2948" s="7">
        <f t="shared" ref="Q2948:Q3003" si="46">A2948</f>
        <v>0</v>
      </c>
      <c r="R2948" s="7" t="e">
        <f>IF(VLOOKUP($A2948,'Concrete Beam Schedule'!$A$2:$Q$2902,R$2,0)&lt;&gt;B2948,VLOOKUP($A2948,'Concrete Beam Schedule'!$A$2:$Q$2902,R$2,0),"")</f>
        <v>#N/A</v>
      </c>
      <c r="S2948" s="7" t="e">
        <f>IF(VLOOKUP($A2948,'Concrete Beam Schedule'!$A$2:$Q$2902,S$2,0)&lt;&gt;C2948,VLOOKUP($A2948,'Concrete Beam Schedule'!$A$2:$Q$2902,S$2,0),"")</f>
        <v>#N/A</v>
      </c>
      <c r="T2948" s="7" t="e">
        <f>IF(VLOOKUP($A2948,'Concrete Beam Schedule'!$A$2:$Q$2902,T$2,0)&lt;&gt;D2948,"Beam Revised","")</f>
        <v>#N/A</v>
      </c>
      <c r="U2948" s="7" t="e">
        <f>IF(VLOOKUP($A2948,'Concrete Beam Schedule'!$A$2:$Q$2902,U$2,0)&lt;&gt;E2948,"Beam Revised","")</f>
        <v>#N/A</v>
      </c>
      <c r="V2948" s="7" t="e">
        <f>IF(VLOOKUP($A2948,'Concrete Beam Schedule'!$A$2:$Q$2902,V$2,0)&lt;&gt;F2948,"Beam Revised","")</f>
        <v>#N/A</v>
      </c>
      <c r="W2948" s="7" t="e">
        <f>IF(VLOOKUP($A2948,'Concrete Beam Schedule'!$A$2:$Q$2902,W$2,0)&lt;&gt;G2948,"Beam Revised","")</f>
        <v>#N/A</v>
      </c>
      <c r="X2948" s="7" t="e">
        <f>IF(VLOOKUP($A2948,'Concrete Beam Schedule'!$A$2:$Q$2902,X$2,0)&lt;&gt;H2948,"Beam Revised","")</f>
        <v>#N/A</v>
      </c>
      <c r="Y2948" s="7" t="e">
        <f>IF(VLOOKUP($A2948,'Concrete Beam Schedule'!$A$2:$Q$2902,Y$2,0)&lt;&gt;I2948,"Beam Revised","")</f>
        <v>#N/A</v>
      </c>
      <c r="Z2948" s="7" t="e">
        <f>IF(VLOOKUP($A2948,'Concrete Beam Schedule'!$A$2:$Q$2902,Z$2,0)&lt;&gt;J2948,"Beam Revised","")</f>
        <v>#N/A</v>
      </c>
      <c r="AA2948" s="7" t="e">
        <f>IF(VLOOKUP($A2948,'Concrete Beam Schedule'!$A$2:$Q$2902,AA$2,0)&lt;&gt;K2948,"Beam Revised","")</f>
        <v>#N/A</v>
      </c>
      <c r="AB2948" s="7" t="e">
        <f>IF(VLOOKUP($A2948,'Concrete Beam Schedule'!$A$2:$Q$2902,AB$2,0)&lt;&gt;L2948,"Beam Revised","")</f>
        <v>#N/A</v>
      </c>
      <c r="AC2948" s="7" t="e">
        <f>IF(VLOOKUP($A2948,'Concrete Beam Schedule'!$A$2:$Q$2902,AC$2,0)&lt;&gt;M2948,"Beam Revised","")</f>
        <v>#N/A</v>
      </c>
      <c r="AD2948" s="7" t="e">
        <f>IF(VLOOKUP($A2948,'Concrete Beam Schedule'!$A$2:$Q$2902,AD$2,0)&lt;&gt;N2948,"Beam Revised","")</f>
        <v>#N/A</v>
      </c>
      <c r="AE2948" s="7" t="e">
        <f>IF(VLOOKUP($A2948,'Concrete Beam Schedule'!$A$2:$Q$2902,AE$2,0)&lt;&gt;O2948,"Beam Revised","")</f>
        <v>#N/A</v>
      </c>
    </row>
    <row r="2949" spans="17:31" ht="20.100000000000001" customHeight="1" x14ac:dyDescent="0.25">
      <c r="Q2949" s="7">
        <f t="shared" si="46"/>
        <v>0</v>
      </c>
      <c r="R2949" s="7" t="e">
        <f>IF(VLOOKUP($A2949,'Concrete Beam Schedule'!$A$2:$Q$2902,R$2,0)&lt;&gt;B2949,VLOOKUP($A2949,'Concrete Beam Schedule'!$A$2:$Q$2902,R$2,0),"")</f>
        <v>#N/A</v>
      </c>
      <c r="S2949" s="7" t="e">
        <f>IF(VLOOKUP($A2949,'Concrete Beam Schedule'!$A$2:$Q$2902,S$2,0)&lt;&gt;C2949,VLOOKUP($A2949,'Concrete Beam Schedule'!$A$2:$Q$2902,S$2,0),"")</f>
        <v>#N/A</v>
      </c>
      <c r="T2949" s="7" t="e">
        <f>IF(VLOOKUP($A2949,'Concrete Beam Schedule'!$A$2:$Q$2902,T$2,0)&lt;&gt;D2949,"Beam Revised","")</f>
        <v>#N/A</v>
      </c>
      <c r="U2949" s="7" t="e">
        <f>IF(VLOOKUP($A2949,'Concrete Beam Schedule'!$A$2:$Q$2902,U$2,0)&lt;&gt;E2949,"Beam Revised","")</f>
        <v>#N/A</v>
      </c>
      <c r="V2949" s="7" t="e">
        <f>IF(VLOOKUP($A2949,'Concrete Beam Schedule'!$A$2:$Q$2902,V$2,0)&lt;&gt;F2949,"Beam Revised","")</f>
        <v>#N/A</v>
      </c>
      <c r="W2949" s="7" t="e">
        <f>IF(VLOOKUP($A2949,'Concrete Beam Schedule'!$A$2:$Q$2902,W$2,0)&lt;&gt;G2949,"Beam Revised","")</f>
        <v>#N/A</v>
      </c>
      <c r="X2949" s="7" t="e">
        <f>IF(VLOOKUP($A2949,'Concrete Beam Schedule'!$A$2:$Q$2902,X$2,0)&lt;&gt;H2949,"Beam Revised","")</f>
        <v>#N/A</v>
      </c>
      <c r="Y2949" s="7" t="e">
        <f>IF(VLOOKUP($A2949,'Concrete Beam Schedule'!$A$2:$Q$2902,Y$2,0)&lt;&gt;I2949,"Beam Revised","")</f>
        <v>#N/A</v>
      </c>
      <c r="Z2949" s="7" t="e">
        <f>IF(VLOOKUP($A2949,'Concrete Beam Schedule'!$A$2:$Q$2902,Z$2,0)&lt;&gt;J2949,"Beam Revised","")</f>
        <v>#N/A</v>
      </c>
      <c r="AA2949" s="7" t="e">
        <f>IF(VLOOKUP($A2949,'Concrete Beam Schedule'!$A$2:$Q$2902,AA$2,0)&lt;&gt;K2949,"Beam Revised","")</f>
        <v>#N/A</v>
      </c>
      <c r="AB2949" s="7" t="e">
        <f>IF(VLOOKUP($A2949,'Concrete Beam Schedule'!$A$2:$Q$2902,AB$2,0)&lt;&gt;L2949,"Beam Revised","")</f>
        <v>#N/A</v>
      </c>
      <c r="AC2949" s="7" t="e">
        <f>IF(VLOOKUP($A2949,'Concrete Beam Schedule'!$A$2:$Q$2902,AC$2,0)&lt;&gt;M2949,"Beam Revised","")</f>
        <v>#N/A</v>
      </c>
      <c r="AD2949" s="7" t="e">
        <f>IF(VLOOKUP($A2949,'Concrete Beam Schedule'!$A$2:$Q$2902,AD$2,0)&lt;&gt;N2949,"Beam Revised","")</f>
        <v>#N/A</v>
      </c>
      <c r="AE2949" s="7" t="e">
        <f>IF(VLOOKUP($A2949,'Concrete Beam Schedule'!$A$2:$Q$2902,AE$2,0)&lt;&gt;O2949,"Beam Revised","")</f>
        <v>#N/A</v>
      </c>
    </row>
    <row r="2950" spans="17:31" ht="20.100000000000001" customHeight="1" x14ac:dyDescent="0.25">
      <c r="Q2950" s="7">
        <f t="shared" si="46"/>
        <v>0</v>
      </c>
      <c r="R2950" s="7" t="e">
        <f>IF(VLOOKUP($A2950,'Concrete Beam Schedule'!$A$2:$Q$2902,R$2,0)&lt;&gt;B2950,VLOOKUP($A2950,'Concrete Beam Schedule'!$A$2:$Q$2902,R$2,0),"")</f>
        <v>#N/A</v>
      </c>
      <c r="S2950" s="7" t="e">
        <f>IF(VLOOKUP($A2950,'Concrete Beam Schedule'!$A$2:$Q$2902,S$2,0)&lt;&gt;C2950,VLOOKUP($A2950,'Concrete Beam Schedule'!$A$2:$Q$2902,S$2,0),"")</f>
        <v>#N/A</v>
      </c>
      <c r="T2950" s="7" t="e">
        <f>IF(VLOOKUP($A2950,'Concrete Beam Schedule'!$A$2:$Q$2902,T$2,0)&lt;&gt;D2950,"Beam Revised","")</f>
        <v>#N/A</v>
      </c>
      <c r="U2950" s="7" t="e">
        <f>IF(VLOOKUP($A2950,'Concrete Beam Schedule'!$A$2:$Q$2902,U$2,0)&lt;&gt;E2950,"Beam Revised","")</f>
        <v>#N/A</v>
      </c>
      <c r="V2950" s="7" t="e">
        <f>IF(VLOOKUP($A2950,'Concrete Beam Schedule'!$A$2:$Q$2902,V$2,0)&lt;&gt;F2950,"Beam Revised","")</f>
        <v>#N/A</v>
      </c>
      <c r="W2950" s="7" t="e">
        <f>IF(VLOOKUP($A2950,'Concrete Beam Schedule'!$A$2:$Q$2902,W$2,0)&lt;&gt;G2950,"Beam Revised","")</f>
        <v>#N/A</v>
      </c>
      <c r="X2950" s="7" t="e">
        <f>IF(VLOOKUP($A2950,'Concrete Beam Schedule'!$A$2:$Q$2902,X$2,0)&lt;&gt;H2950,"Beam Revised","")</f>
        <v>#N/A</v>
      </c>
      <c r="Y2950" s="7" t="e">
        <f>IF(VLOOKUP($A2950,'Concrete Beam Schedule'!$A$2:$Q$2902,Y$2,0)&lt;&gt;I2950,"Beam Revised","")</f>
        <v>#N/A</v>
      </c>
      <c r="Z2950" s="7" t="e">
        <f>IF(VLOOKUP($A2950,'Concrete Beam Schedule'!$A$2:$Q$2902,Z$2,0)&lt;&gt;J2950,"Beam Revised","")</f>
        <v>#N/A</v>
      </c>
      <c r="AA2950" s="7" t="e">
        <f>IF(VLOOKUP($A2950,'Concrete Beam Schedule'!$A$2:$Q$2902,AA$2,0)&lt;&gt;K2950,"Beam Revised","")</f>
        <v>#N/A</v>
      </c>
      <c r="AB2950" s="7" t="e">
        <f>IF(VLOOKUP($A2950,'Concrete Beam Schedule'!$A$2:$Q$2902,AB$2,0)&lt;&gt;L2950,"Beam Revised","")</f>
        <v>#N/A</v>
      </c>
      <c r="AC2950" s="7" t="e">
        <f>IF(VLOOKUP($A2950,'Concrete Beam Schedule'!$A$2:$Q$2902,AC$2,0)&lt;&gt;M2950,"Beam Revised","")</f>
        <v>#N/A</v>
      </c>
      <c r="AD2950" s="7" t="e">
        <f>IF(VLOOKUP($A2950,'Concrete Beam Schedule'!$A$2:$Q$2902,AD$2,0)&lt;&gt;N2950,"Beam Revised","")</f>
        <v>#N/A</v>
      </c>
      <c r="AE2950" s="7" t="e">
        <f>IF(VLOOKUP($A2950,'Concrete Beam Schedule'!$A$2:$Q$2902,AE$2,0)&lt;&gt;O2950,"Beam Revised","")</f>
        <v>#N/A</v>
      </c>
    </row>
    <row r="2951" spans="17:31" ht="20.100000000000001" customHeight="1" x14ac:dyDescent="0.25">
      <c r="Q2951" s="7">
        <f t="shared" si="46"/>
        <v>0</v>
      </c>
      <c r="R2951" s="7" t="e">
        <f>IF(VLOOKUP($A2951,'Concrete Beam Schedule'!$A$2:$Q$2902,R$2,0)&lt;&gt;B2951,VLOOKUP($A2951,'Concrete Beam Schedule'!$A$2:$Q$2902,R$2,0),"")</f>
        <v>#N/A</v>
      </c>
      <c r="S2951" s="7" t="e">
        <f>IF(VLOOKUP($A2951,'Concrete Beam Schedule'!$A$2:$Q$2902,S$2,0)&lt;&gt;C2951,VLOOKUP($A2951,'Concrete Beam Schedule'!$A$2:$Q$2902,S$2,0),"")</f>
        <v>#N/A</v>
      </c>
      <c r="T2951" s="7" t="e">
        <f>IF(VLOOKUP($A2951,'Concrete Beam Schedule'!$A$2:$Q$2902,T$2,0)&lt;&gt;D2951,"Beam Revised","")</f>
        <v>#N/A</v>
      </c>
      <c r="U2951" s="7" t="e">
        <f>IF(VLOOKUP($A2951,'Concrete Beam Schedule'!$A$2:$Q$2902,U$2,0)&lt;&gt;E2951,"Beam Revised","")</f>
        <v>#N/A</v>
      </c>
      <c r="V2951" s="7" t="e">
        <f>IF(VLOOKUP($A2951,'Concrete Beam Schedule'!$A$2:$Q$2902,V$2,0)&lt;&gt;F2951,"Beam Revised","")</f>
        <v>#N/A</v>
      </c>
      <c r="W2951" s="7" t="e">
        <f>IF(VLOOKUP($A2951,'Concrete Beam Schedule'!$A$2:$Q$2902,W$2,0)&lt;&gt;G2951,"Beam Revised","")</f>
        <v>#N/A</v>
      </c>
      <c r="X2951" s="7" t="e">
        <f>IF(VLOOKUP($A2951,'Concrete Beam Schedule'!$A$2:$Q$2902,X$2,0)&lt;&gt;H2951,"Beam Revised","")</f>
        <v>#N/A</v>
      </c>
      <c r="Y2951" s="7" t="e">
        <f>IF(VLOOKUP($A2951,'Concrete Beam Schedule'!$A$2:$Q$2902,Y$2,0)&lt;&gt;I2951,"Beam Revised","")</f>
        <v>#N/A</v>
      </c>
      <c r="Z2951" s="7" t="e">
        <f>IF(VLOOKUP($A2951,'Concrete Beam Schedule'!$A$2:$Q$2902,Z$2,0)&lt;&gt;J2951,"Beam Revised","")</f>
        <v>#N/A</v>
      </c>
      <c r="AA2951" s="7" t="e">
        <f>IF(VLOOKUP($A2951,'Concrete Beam Schedule'!$A$2:$Q$2902,AA$2,0)&lt;&gt;K2951,"Beam Revised","")</f>
        <v>#N/A</v>
      </c>
      <c r="AB2951" s="7" t="e">
        <f>IF(VLOOKUP($A2951,'Concrete Beam Schedule'!$A$2:$Q$2902,AB$2,0)&lt;&gt;L2951,"Beam Revised","")</f>
        <v>#N/A</v>
      </c>
      <c r="AC2951" s="7" t="e">
        <f>IF(VLOOKUP($A2951,'Concrete Beam Schedule'!$A$2:$Q$2902,AC$2,0)&lt;&gt;M2951,"Beam Revised","")</f>
        <v>#N/A</v>
      </c>
      <c r="AD2951" s="7" t="e">
        <f>IF(VLOOKUP($A2951,'Concrete Beam Schedule'!$A$2:$Q$2902,AD$2,0)&lt;&gt;N2951,"Beam Revised","")</f>
        <v>#N/A</v>
      </c>
      <c r="AE2951" s="7" t="e">
        <f>IF(VLOOKUP($A2951,'Concrete Beam Schedule'!$A$2:$Q$2902,AE$2,0)&lt;&gt;O2951,"Beam Revised","")</f>
        <v>#N/A</v>
      </c>
    </row>
    <row r="2952" spans="17:31" ht="20.100000000000001" customHeight="1" x14ac:dyDescent="0.25">
      <c r="Q2952" s="7">
        <f t="shared" si="46"/>
        <v>0</v>
      </c>
      <c r="R2952" s="7" t="e">
        <f>IF(VLOOKUP($A2952,'Concrete Beam Schedule'!$A$2:$Q$2902,R$2,0)&lt;&gt;B2952,VLOOKUP($A2952,'Concrete Beam Schedule'!$A$2:$Q$2902,R$2,0),"")</f>
        <v>#N/A</v>
      </c>
      <c r="S2952" s="7" t="e">
        <f>IF(VLOOKUP($A2952,'Concrete Beam Schedule'!$A$2:$Q$2902,S$2,0)&lt;&gt;C2952,VLOOKUP($A2952,'Concrete Beam Schedule'!$A$2:$Q$2902,S$2,0),"")</f>
        <v>#N/A</v>
      </c>
      <c r="T2952" s="7" t="e">
        <f>IF(VLOOKUP($A2952,'Concrete Beam Schedule'!$A$2:$Q$2902,T$2,0)&lt;&gt;D2952,"Beam Revised","")</f>
        <v>#N/A</v>
      </c>
      <c r="U2952" s="7" t="e">
        <f>IF(VLOOKUP($A2952,'Concrete Beam Schedule'!$A$2:$Q$2902,U$2,0)&lt;&gt;E2952,"Beam Revised","")</f>
        <v>#N/A</v>
      </c>
      <c r="V2952" s="7" t="e">
        <f>IF(VLOOKUP($A2952,'Concrete Beam Schedule'!$A$2:$Q$2902,V$2,0)&lt;&gt;F2952,"Beam Revised","")</f>
        <v>#N/A</v>
      </c>
      <c r="W2952" s="7" t="e">
        <f>IF(VLOOKUP($A2952,'Concrete Beam Schedule'!$A$2:$Q$2902,W$2,0)&lt;&gt;G2952,"Beam Revised","")</f>
        <v>#N/A</v>
      </c>
      <c r="X2952" s="7" t="e">
        <f>IF(VLOOKUP($A2952,'Concrete Beam Schedule'!$A$2:$Q$2902,X$2,0)&lt;&gt;H2952,"Beam Revised","")</f>
        <v>#N/A</v>
      </c>
      <c r="Y2952" s="7" t="e">
        <f>IF(VLOOKUP($A2952,'Concrete Beam Schedule'!$A$2:$Q$2902,Y$2,0)&lt;&gt;I2952,"Beam Revised","")</f>
        <v>#N/A</v>
      </c>
      <c r="Z2952" s="7" t="e">
        <f>IF(VLOOKUP($A2952,'Concrete Beam Schedule'!$A$2:$Q$2902,Z$2,0)&lt;&gt;J2952,"Beam Revised","")</f>
        <v>#N/A</v>
      </c>
      <c r="AA2952" s="7" t="e">
        <f>IF(VLOOKUP($A2952,'Concrete Beam Schedule'!$A$2:$Q$2902,AA$2,0)&lt;&gt;K2952,"Beam Revised","")</f>
        <v>#N/A</v>
      </c>
      <c r="AB2952" s="7" t="e">
        <f>IF(VLOOKUP($A2952,'Concrete Beam Schedule'!$A$2:$Q$2902,AB$2,0)&lt;&gt;L2952,"Beam Revised","")</f>
        <v>#N/A</v>
      </c>
      <c r="AC2952" s="7" t="e">
        <f>IF(VLOOKUP($A2952,'Concrete Beam Schedule'!$A$2:$Q$2902,AC$2,0)&lt;&gt;M2952,"Beam Revised","")</f>
        <v>#N/A</v>
      </c>
      <c r="AD2952" s="7" t="e">
        <f>IF(VLOOKUP($A2952,'Concrete Beam Schedule'!$A$2:$Q$2902,AD$2,0)&lt;&gt;N2952,"Beam Revised","")</f>
        <v>#N/A</v>
      </c>
      <c r="AE2952" s="7" t="e">
        <f>IF(VLOOKUP($A2952,'Concrete Beam Schedule'!$A$2:$Q$2902,AE$2,0)&lt;&gt;O2952,"Beam Revised","")</f>
        <v>#N/A</v>
      </c>
    </row>
    <row r="2953" spans="17:31" ht="20.100000000000001" customHeight="1" x14ac:dyDescent="0.25">
      <c r="Q2953" s="7">
        <f t="shared" si="46"/>
        <v>0</v>
      </c>
      <c r="R2953" s="7" t="e">
        <f>IF(VLOOKUP($A2953,'Concrete Beam Schedule'!$A$2:$Q$2902,R$2,0)&lt;&gt;B2953,VLOOKUP($A2953,'Concrete Beam Schedule'!$A$2:$Q$2902,R$2,0),"")</f>
        <v>#N/A</v>
      </c>
      <c r="S2953" s="7" t="e">
        <f>IF(VLOOKUP($A2953,'Concrete Beam Schedule'!$A$2:$Q$2902,S$2,0)&lt;&gt;C2953,VLOOKUP($A2953,'Concrete Beam Schedule'!$A$2:$Q$2902,S$2,0),"")</f>
        <v>#N/A</v>
      </c>
      <c r="T2953" s="7" t="e">
        <f>IF(VLOOKUP($A2953,'Concrete Beam Schedule'!$A$2:$Q$2902,T$2,0)&lt;&gt;D2953,"Beam Revised","")</f>
        <v>#N/A</v>
      </c>
      <c r="U2953" s="7" t="e">
        <f>IF(VLOOKUP($A2953,'Concrete Beam Schedule'!$A$2:$Q$2902,U$2,0)&lt;&gt;E2953,"Beam Revised","")</f>
        <v>#N/A</v>
      </c>
      <c r="V2953" s="7" t="e">
        <f>IF(VLOOKUP($A2953,'Concrete Beam Schedule'!$A$2:$Q$2902,V$2,0)&lt;&gt;F2953,"Beam Revised","")</f>
        <v>#N/A</v>
      </c>
      <c r="W2953" s="7" t="e">
        <f>IF(VLOOKUP($A2953,'Concrete Beam Schedule'!$A$2:$Q$2902,W$2,0)&lt;&gt;G2953,"Beam Revised","")</f>
        <v>#N/A</v>
      </c>
      <c r="X2953" s="7" t="e">
        <f>IF(VLOOKUP($A2953,'Concrete Beam Schedule'!$A$2:$Q$2902,X$2,0)&lt;&gt;H2953,"Beam Revised","")</f>
        <v>#N/A</v>
      </c>
      <c r="Y2953" s="7" t="e">
        <f>IF(VLOOKUP($A2953,'Concrete Beam Schedule'!$A$2:$Q$2902,Y$2,0)&lt;&gt;I2953,"Beam Revised","")</f>
        <v>#N/A</v>
      </c>
      <c r="Z2953" s="7" t="e">
        <f>IF(VLOOKUP($A2953,'Concrete Beam Schedule'!$A$2:$Q$2902,Z$2,0)&lt;&gt;J2953,"Beam Revised","")</f>
        <v>#N/A</v>
      </c>
      <c r="AA2953" s="7" t="e">
        <f>IF(VLOOKUP($A2953,'Concrete Beam Schedule'!$A$2:$Q$2902,AA$2,0)&lt;&gt;K2953,"Beam Revised","")</f>
        <v>#N/A</v>
      </c>
      <c r="AB2953" s="7" t="e">
        <f>IF(VLOOKUP($A2953,'Concrete Beam Schedule'!$A$2:$Q$2902,AB$2,0)&lt;&gt;L2953,"Beam Revised","")</f>
        <v>#N/A</v>
      </c>
      <c r="AC2953" s="7" t="e">
        <f>IF(VLOOKUP($A2953,'Concrete Beam Schedule'!$A$2:$Q$2902,AC$2,0)&lt;&gt;M2953,"Beam Revised","")</f>
        <v>#N/A</v>
      </c>
      <c r="AD2953" s="7" t="e">
        <f>IF(VLOOKUP($A2953,'Concrete Beam Schedule'!$A$2:$Q$2902,AD$2,0)&lt;&gt;N2953,"Beam Revised","")</f>
        <v>#N/A</v>
      </c>
      <c r="AE2953" s="7" t="e">
        <f>IF(VLOOKUP($A2953,'Concrete Beam Schedule'!$A$2:$Q$2902,AE$2,0)&lt;&gt;O2953,"Beam Revised","")</f>
        <v>#N/A</v>
      </c>
    </row>
    <row r="2954" spans="17:31" ht="20.100000000000001" customHeight="1" x14ac:dyDescent="0.25">
      <c r="Q2954" s="7">
        <f t="shared" si="46"/>
        <v>0</v>
      </c>
      <c r="R2954" s="7" t="e">
        <f>IF(VLOOKUP($A2954,'Concrete Beam Schedule'!$A$2:$Q$2902,R$2,0)&lt;&gt;B2954,VLOOKUP($A2954,'Concrete Beam Schedule'!$A$2:$Q$2902,R$2,0),"")</f>
        <v>#N/A</v>
      </c>
      <c r="S2954" s="7" t="e">
        <f>IF(VLOOKUP($A2954,'Concrete Beam Schedule'!$A$2:$Q$2902,S$2,0)&lt;&gt;C2954,VLOOKUP($A2954,'Concrete Beam Schedule'!$A$2:$Q$2902,S$2,0),"")</f>
        <v>#N/A</v>
      </c>
      <c r="T2954" s="7" t="e">
        <f>IF(VLOOKUP($A2954,'Concrete Beam Schedule'!$A$2:$Q$2902,T$2,0)&lt;&gt;D2954,"Beam Revised","")</f>
        <v>#N/A</v>
      </c>
      <c r="U2954" s="7" t="e">
        <f>IF(VLOOKUP($A2954,'Concrete Beam Schedule'!$A$2:$Q$2902,U$2,0)&lt;&gt;E2954,"Beam Revised","")</f>
        <v>#N/A</v>
      </c>
      <c r="V2954" s="7" t="e">
        <f>IF(VLOOKUP($A2954,'Concrete Beam Schedule'!$A$2:$Q$2902,V$2,0)&lt;&gt;F2954,"Beam Revised","")</f>
        <v>#N/A</v>
      </c>
      <c r="W2954" s="7" t="e">
        <f>IF(VLOOKUP($A2954,'Concrete Beam Schedule'!$A$2:$Q$2902,W$2,0)&lt;&gt;G2954,"Beam Revised","")</f>
        <v>#N/A</v>
      </c>
      <c r="X2954" s="7" t="e">
        <f>IF(VLOOKUP($A2954,'Concrete Beam Schedule'!$A$2:$Q$2902,X$2,0)&lt;&gt;H2954,"Beam Revised","")</f>
        <v>#N/A</v>
      </c>
      <c r="Y2954" s="7" t="e">
        <f>IF(VLOOKUP($A2954,'Concrete Beam Schedule'!$A$2:$Q$2902,Y$2,0)&lt;&gt;I2954,"Beam Revised","")</f>
        <v>#N/A</v>
      </c>
      <c r="Z2954" s="7" t="e">
        <f>IF(VLOOKUP($A2954,'Concrete Beam Schedule'!$A$2:$Q$2902,Z$2,0)&lt;&gt;J2954,"Beam Revised","")</f>
        <v>#N/A</v>
      </c>
      <c r="AA2954" s="7" t="e">
        <f>IF(VLOOKUP($A2954,'Concrete Beam Schedule'!$A$2:$Q$2902,AA$2,0)&lt;&gt;K2954,"Beam Revised","")</f>
        <v>#N/A</v>
      </c>
      <c r="AB2954" s="7" t="e">
        <f>IF(VLOOKUP($A2954,'Concrete Beam Schedule'!$A$2:$Q$2902,AB$2,0)&lt;&gt;L2954,"Beam Revised","")</f>
        <v>#N/A</v>
      </c>
      <c r="AC2954" s="7" t="e">
        <f>IF(VLOOKUP($A2954,'Concrete Beam Schedule'!$A$2:$Q$2902,AC$2,0)&lt;&gt;M2954,"Beam Revised","")</f>
        <v>#N/A</v>
      </c>
      <c r="AD2954" s="7" t="e">
        <f>IF(VLOOKUP($A2954,'Concrete Beam Schedule'!$A$2:$Q$2902,AD$2,0)&lt;&gt;N2954,"Beam Revised","")</f>
        <v>#N/A</v>
      </c>
      <c r="AE2954" s="7" t="e">
        <f>IF(VLOOKUP($A2954,'Concrete Beam Schedule'!$A$2:$Q$2902,AE$2,0)&lt;&gt;O2954,"Beam Revised","")</f>
        <v>#N/A</v>
      </c>
    </row>
    <row r="2955" spans="17:31" ht="20.100000000000001" customHeight="1" x14ac:dyDescent="0.25">
      <c r="Q2955" s="7">
        <f t="shared" si="46"/>
        <v>0</v>
      </c>
      <c r="R2955" s="7" t="e">
        <f>IF(VLOOKUP($A2955,'Concrete Beam Schedule'!$A$2:$Q$2902,R$2,0)&lt;&gt;B2955,VLOOKUP($A2955,'Concrete Beam Schedule'!$A$2:$Q$2902,R$2,0),"")</f>
        <v>#N/A</v>
      </c>
      <c r="S2955" s="7" t="e">
        <f>IF(VLOOKUP($A2955,'Concrete Beam Schedule'!$A$2:$Q$2902,S$2,0)&lt;&gt;C2955,VLOOKUP($A2955,'Concrete Beam Schedule'!$A$2:$Q$2902,S$2,0),"")</f>
        <v>#N/A</v>
      </c>
      <c r="T2955" s="7" t="e">
        <f>IF(VLOOKUP($A2955,'Concrete Beam Schedule'!$A$2:$Q$2902,T$2,0)&lt;&gt;D2955,"Beam Revised","")</f>
        <v>#N/A</v>
      </c>
      <c r="U2955" s="7" t="e">
        <f>IF(VLOOKUP($A2955,'Concrete Beam Schedule'!$A$2:$Q$2902,U$2,0)&lt;&gt;E2955,"Beam Revised","")</f>
        <v>#N/A</v>
      </c>
      <c r="V2955" s="7" t="e">
        <f>IF(VLOOKUP($A2955,'Concrete Beam Schedule'!$A$2:$Q$2902,V$2,0)&lt;&gt;F2955,"Beam Revised","")</f>
        <v>#N/A</v>
      </c>
      <c r="W2955" s="7" t="e">
        <f>IF(VLOOKUP($A2955,'Concrete Beam Schedule'!$A$2:$Q$2902,W$2,0)&lt;&gt;G2955,"Beam Revised","")</f>
        <v>#N/A</v>
      </c>
      <c r="X2955" s="7" t="e">
        <f>IF(VLOOKUP($A2955,'Concrete Beam Schedule'!$A$2:$Q$2902,X$2,0)&lt;&gt;H2955,"Beam Revised","")</f>
        <v>#N/A</v>
      </c>
      <c r="Y2955" s="7" t="e">
        <f>IF(VLOOKUP($A2955,'Concrete Beam Schedule'!$A$2:$Q$2902,Y$2,0)&lt;&gt;I2955,"Beam Revised","")</f>
        <v>#N/A</v>
      </c>
      <c r="Z2955" s="7" t="e">
        <f>IF(VLOOKUP($A2955,'Concrete Beam Schedule'!$A$2:$Q$2902,Z$2,0)&lt;&gt;J2955,"Beam Revised","")</f>
        <v>#N/A</v>
      </c>
      <c r="AA2955" s="7" t="e">
        <f>IF(VLOOKUP($A2955,'Concrete Beam Schedule'!$A$2:$Q$2902,AA$2,0)&lt;&gt;K2955,"Beam Revised","")</f>
        <v>#N/A</v>
      </c>
      <c r="AB2955" s="7" t="e">
        <f>IF(VLOOKUP($A2955,'Concrete Beam Schedule'!$A$2:$Q$2902,AB$2,0)&lt;&gt;L2955,"Beam Revised","")</f>
        <v>#N/A</v>
      </c>
      <c r="AC2955" s="7" t="e">
        <f>IF(VLOOKUP($A2955,'Concrete Beam Schedule'!$A$2:$Q$2902,AC$2,0)&lt;&gt;M2955,"Beam Revised","")</f>
        <v>#N/A</v>
      </c>
      <c r="AD2955" s="7" t="e">
        <f>IF(VLOOKUP($A2955,'Concrete Beam Schedule'!$A$2:$Q$2902,AD$2,0)&lt;&gt;N2955,"Beam Revised","")</f>
        <v>#N/A</v>
      </c>
      <c r="AE2955" s="7" t="e">
        <f>IF(VLOOKUP($A2955,'Concrete Beam Schedule'!$A$2:$Q$2902,AE$2,0)&lt;&gt;O2955,"Beam Revised","")</f>
        <v>#N/A</v>
      </c>
    </row>
    <row r="2956" spans="17:31" ht="20.100000000000001" customHeight="1" x14ac:dyDescent="0.25">
      <c r="Q2956" s="7">
        <f t="shared" si="46"/>
        <v>0</v>
      </c>
      <c r="R2956" s="7" t="e">
        <f>IF(VLOOKUP($A2956,'Concrete Beam Schedule'!$A$2:$Q$2902,R$2,0)&lt;&gt;B2956,VLOOKUP($A2956,'Concrete Beam Schedule'!$A$2:$Q$2902,R$2,0),"")</f>
        <v>#N/A</v>
      </c>
      <c r="S2956" s="7" t="e">
        <f>IF(VLOOKUP($A2956,'Concrete Beam Schedule'!$A$2:$Q$2902,S$2,0)&lt;&gt;C2956,VLOOKUP($A2956,'Concrete Beam Schedule'!$A$2:$Q$2902,S$2,0),"")</f>
        <v>#N/A</v>
      </c>
      <c r="T2956" s="7" t="e">
        <f>IF(VLOOKUP($A2956,'Concrete Beam Schedule'!$A$2:$Q$2902,T$2,0)&lt;&gt;D2956,"Beam Revised","")</f>
        <v>#N/A</v>
      </c>
      <c r="U2956" s="7" t="e">
        <f>IF(VLOOKUP($A2956,'Concrete Beam Schedule'!$A$2:$Q$2902,U$2,0)&lt;&gt;E2956,"Beam Revised","")</f>
        <v>#N/A</v>
      </c>
      <c r="V2956" s="7" t="e">
        <f>IF(VLOOKUP($A2956,'Concrete Beam Schedule'!$A$2:$Q$2902,V$2,0)&lt;&gt;F2956,"Beam Revised","")</f>
        <v>#N/A</v>
      </c>
      <c r="W2956" s="7" t="e">
        <f>IF(VLOOKUP($A2956,'Concrete Beam Schedule'!$A$2:$Q$2902,W$2,0)&lt;&gt;G2956,"Beam Revised","")</f>
        <v>#N/A</v>
      </c>
      <c r="X2956" s="7" t="e">
        <f>IF(VLOOKUP($A2956,'Concrete Beam Schedule'!$A$2:$Q$2902,X$2,0)&lt;&gt;H2956,"Beam Revised","")</f>
        <v>#N/A</v>
      </c>
      <c r="Y2956" s="7" t="e">
        <f>IF(VLOOKUP($A2956,'Concrete Beam Schedule'!$A$2:$Q$2902,Y$2,0)&lt;&gt;I2956,"Beam Revised","")</f>
        <v>#N/A</v>
      </c>
      <c r="Z2956" s="7" t="e">
        <f>IF(VLOOKUP($A2956,'Concrete Beam Schedule'!$A$2:$Q$2902,Z$2,0)&lt;&gt;J2956,"Beam Revised","")</f>
        <v>#N/A</v>
      </c>
      <c r="AA2956" s="7" t="e">
        <f>IF(VLOOKUP($A2956,'Concrete Beam Schedule'!$A$2:$Q$2902,AA$2,0)&lt;&gt;K2956,"Beam Revised","")</f>
        <v>#N/A</v>
      </c>
      <c r="AB2956" s="7" t="e">
        <f>IF(VLOOKUP($A2956,'Concrete Beam Schedule'!$A$2:$Q$2902,AB$2,0)&lt;&gt;L2956,"Beam Revised","")</f>
        <v>#N/A</v>
      </c>
      <c r="AC2956" s="7" t="e">
        <f>IF(VLOOKUP($A2956,'Concrete Beam Schedule'!$A$2:$Q$2902,AC$2,0)&lt;&gt;M2956,"Beam Revised","")</f>
        <v>#N/A</v>
      </c>
      <c r="AD2956" s="7" t="e">
        <f>IF(VLOOKUP($A2956,'Concrete Beam Schedule'!$A$2:$Q$2902,AD$2,0)&lt;&gt;N2956,"Beam Revised","")</f>
        <v>#N/A</v>
      </c>
      <c r="AE2956" s="7" t="e">
        <f>IF(VLOOKUP($A2956,'Concrete Beam Schedule'!$A$2:$Q$2902,AE$2,0)&lt;&gt;O2956,"Beam Revised","")</f>
        <v>#N/A</v>
      </c>
    </row>
    <row r="2957" spans="17:31" ht="20.100000000000001" customHeight="1" x14ac:dyDescent="0.25">
      <c r="Q2957" s="7">
        <f t="shared" si="46"/>
        <v>0</v>
      </c>
      <c r="R2957" s="7" t="e">
        <f>IF(VLOOKUP($A2957,'Concrete Beam Schedule'!$A$2:$Q$2902,R$2,0)&lt;&gt;B2957,VLOOKUP($A2957,'Concrete Beam Schedule'!$A$2:$Q$2902,R$2,0),"")</f>
        <v>#N/A</v>
      </c>
      <c r="S2957" s="7" t="e">
        <f>IF(VLOOKUP($A2957,'Concrete Beam Schedule'!$A$2:$Q$2902,S$2,0)&lt;&gt;C2957,VLOOKUP($A2957,'Concrete Beam Schedule'!$A$2:$Q$2902,S$2,0),"")</f>
        <v>#N/A</v>
      </c>
      <c r="T2957" s="7" t="e">
        <f>IF(VLOOKUP($A2957,'Concrete Beam Schedule'!$A$2:$Q$2902,T$2,0)&lt;&gt;D2957,"Beam Revised","")</f>
        <v>#N/A</v>
      </c>
      <c r="U2957" s="7" t="e">
        <f>IF(VLOOKUP($A2957,'Concrete Beam Schedule'!$A$2:$Q$2902,U$2,0)&lt;&gt;E2957,"Beam Revised","")</f>
        <v>#N/A</v>
      </c>
      <c r="V2957" s="7" t="e">
        <f>IF(VLOOKUP($A2957,'Concrete Beam Schedule'!$A$2:$Q$2902,V$2,0)&lt;&gt;F2957,"Beam Revised","")</f>
        <v>#N/A</v>
      </c>
      <c r="W2957" s="7" t="e">
        <f>IF(VLOOKUP($A2957,'Concrete Beam Schedule'!$A$2:$Q$2902,W$2,0)&lt;&gt;G2957,"Beam Revised","")</f>
        <v>#N/A</v>
      </c>
      <c r="X2957" s="7" t="e">
        <f>IF(VLOOKUP($A2957,'Concrete Beam Schedule'!$A$2:$Q$2902,X$2,0)&lt;&gt;H2957,"Beam Revised","")</f>
        <v>#N/A</v>
      </c>
      <c r="Y2957" s="7" t="e">
        <f>IF(VLOOKUP($A2957,'Concrete Beam Schedule'!$A$2:$Q$2902,Y$2,0)&lt;&gt;I2957,"Beam Revised","")</f>
        <v>#N/A</v>
      </c>
      <c r="Z2957" s="7" t="e">
        <f>IF(VLOOKUP($A2957,'Concrete Beam Schedule'!$A$2:$Q$2902,Z$2,0)&lt;&gt;J2957,"Beam Revised","")</f>
        <v>#N/A</v>
      </c>
      <c r="AA2957" s="7" t="e">
        <f>IF(VLOOKUP($A2957,'Concrete Beam Schedule'!$A$2:$Q$2902,AA$2,0)&lt;&gt;K2957,"Beam Revised","")</f>
        <v>#N/A</v>
      </c>
      <c r="AB2957" s="7" t="e">
        <f>IF(VLOOKUP($A2957,'Concrete Beam Schedule'!$A$2:$Q$2902,AB$2,0)&lt;&gt;L2957,"Beam Revised","")</f>
        <v>#N/A</v>
      </c>
      <c r="AC2957" s="7" t="e">
        <f>IF(VLOOKUP($A2957,'Concrete Beam Schedule'!$A$2:$Q$2902,AC$2,0)&lt;&gt;M2957,"Beam Revised","")</f>
        <v>#N/A</v>
      </c>
      <c r="AD2957" s="7" t="e">
        <f>IF(VLOOKUP($A2957,'Concrete Beam Schedule'!$A$2:$Q$2902,AD$2,0)&lt;&gt;N2957,"Beam Revised","")</f>
        <v>#N/A</v>
      </c>
      <c r="AE2957" s="7" t="e">
        <f>IF(VLOOKUP($A2957,'Concrete Beam Schedule'!$A$2:$Q$2902,AE$2,0)&lt;&gt;O2957,"Beam Revised","")</f>
        <v>#N/A</v>
      </c>
    </row>
    <row r="2958" spans="17:31" ht="20.100000000000001" customHeight="1" x14ac:dyDescent="0.25">
      <c r="Q2958" s="7">
        <f t="shared" si="46"/>
        <v>0</v>
      </c>
      <c r="R2958" s="7" t="e">
        <f>IF(VLOOKUP($A2958,'Concrete Beam Schedule'!$A$2:$Q$2902,R$2,0)&lt;&gt;B2958,VLOOKUP($A2958,'Concrete Beam Schedule'!$A$2:$Q$2902,R$2,0),"")</f>
        <v>#N/A</v>
      </c>
      <c r="S2958" s="7" t="e">
        <f>IF(VLOOKUP($A2958,'Concrete Beam Schedule'!$A$2:$Q$2902,S$2,0)&lt;&gt;C2958,VLOOKUP($A2958,'Concrete Beam Schedule'!$A$2:$Q$2902,S$2,0),"")</f>
        <v>#N/A</v>
      </c>
      <c r="T2958" s="7" t="e">
        <f>IF(VLOOKUP($A2958,'Concrete Beam Schedule'!$A$2:$Q$2902,T$2,0)&lt;&gt;D2958,"Beam Revised","")</f>
        <v>#N/A</v>
      </c>
      <c r="U2958" s="7" t="e">
        <f>IF(VLOOKUP($A2958,'Concrete Beam Schedule'!$A$2:$Q$2902,U$2,0)&lt;&gt;E2958,"Beam Revised","")</f>
        <v>#N/A</v>
      </c>
      <c r="V2958" s="7" t="e">
        <f>IF(VLOOKUP($A2958,'Concrete Beam Schedule'!$A$2:$Q$2902,V$2,0)&lt;&gt;F2958,"Beam Revised","")</f>
        <v>#N/A</v>
      </c>
      <c r="W2958" s="7" t="e">
        <f>IF(VLOOKUP($A2958,'Concrete Beam Schedule'!$A$2:$Q$2902,W$2,0)&lt;&gt;G2958,"Beam Revised","")</f>
        <v>#N/A</v>
      </c>
      <c r="X2958" s="7" t="e">
        <f>IF(VLOOKUP($A2958,'Concrete Beam Schedule'!$A$2:$Q$2902,X$2,0)&lt;&gt;H2958,"Beam Revised","")</f>
        <v>#N/A</v>
      </c>
      <c r="Y2958" s="7" t="e">
        <f>IF(VLOOKUP($A2958,'Concrete Beam Schedule'!$A$2:$Q$2902,Y$2,0)&lt;&gt;I2958,"Beam Revised","")</f>
        <v>#N/A</v>
      </c>
      <c r="Z2958" s="7" t="e">
        <f>IF(VLOOKUP($A2958,'Concrete Beam Schedule'!$A$2:$Q$2902,Z$2,0)&lt;&gt;J2958,"Beam Revised","")</f>
        <v>#N/A</v>
      </c>
      <c r="AA2958" s="7" t="e">
        <f>IF(VLOOKUP($A2958,'Concrete Beam Schedule'!$A$2:$Q$2902,AA$2,0)&lt;&gt;K2958,"Beam Revised","")</f>
        <v>#N/A</v>
      </c>
      <c r="AB2958" s="7" t="e">
        <f>IF(VLOOKUP($A2958,'Concrete Beam Schedule'!$A$2:$Q$2902,AB$2,0)&lt;&gt;L2958,"Beam Revised","")</f>
        <v>#N/A</v>
      </c>
      <c r="AC2958" s="7" t="e">
        <f>IF(VLOOKUP($A2958,'Concrete Beam Schedule'!$A$2:$Q$2902,AC$2,0)&lt;&gt;M2958,"Beam Revised","")</f>
        <v>#N/A</v>
      </c>
      <c r="AD2958" s="7" t="e">
        <f>IF(VLOOKUP($A2958,'Concrete Beam Schedule'!$A$2:$Q$2902,AD$2,0)&lt;&gt;N2958,"Beam Revised","")</f>
        <v>#N/A</v>
      </c>
      <c r="AE2958" s="7" t="e">
        <f>IF(VLOOKUP($A2958,'Concrete Beam Schedule'!$A$2:$Q$2902,AE$2,0)&lt;&gt;O2958,"Beam Revised","")</f>
        <v>#N/A</v>
      </c>
    </row>
    <row r="2959" spans="17:31" ht="20.100000000000001" customHeight="1" x14ac:dyDescent="0.25">
      <c r="Q2959" s="7">
        <f t="shared" si="46"/>
        <v>0</v>
      </c>
      <c r="R2959" s="7" t="e">
        <f>IF(VLOOKUP($A2959,'Concrete Beam Schedule'!$A$2:$Q$2902,R$2,0)&lt;&gt;B2959,VLOOKUP($A2959,'Concrete Beam Schedule'!$A$2:$Q$2902,R$2,0),"")</f>
        <v>#N/A</v>
      </c>
      <c r="S2959" s="7" t="e">
        <f>IF(VLOOKUP($A2959,'Concrete Beam Schedule'!$A$2:$Q$2902,S$2,0)&lt;&gt;C2959,VLOOKUP($A2959,'Concrete Beam Schedule'!$A$2:$Q$2902,S$2,0),"")</f>
        <v>#N/A</v>
      </c>
      <c r="T2959" s="7" t="e">
        <f>IF(VLOOKUP($A2959,'Concrete Beam Schedule'!$A$2:$Q$2902,T$2,0)&lt;&gt;D2959,"Beam Revised","")</f>
        <v>#N/A</v>
      </c>
      <c r="U2959" s="7" t="e">
        <f>IF(VLOOKUP($A2959,'Concrete Beam Schedule'!$A$2:$Q$2902,U$2,0)&lt;&gt;E2959,"Beam Revised","")</f>
        <v>#N/A</v>
      </c>
      <c r="V2959" s="7" t="e">
        <f>IF(VLOOKUP($A2959,'Concrete Beam Schedule'!$A$2:$Q$2902,V$2,0)&lt;&gt;F2959,"Beam Revised","")</f>
        <v>#N/A</v>
      </c>
      <c r="W2959" s="7" t="e">
        <f>IF(VLOOKUP($A2959,'Concrete Beam Schedule'!$A$2:$Q$2902,W$2,0)&lt;&gt;G2959,"Beam Revised","")</f>
        <v>#N/A</v>
      </c>
      <c r="X2959" s="7" t="e">
        <f>IF(VLOOKUP($A2959,'Concrete Beam Schedule'!$A$2:$Q$2902,X$2,0)&lt;&gt;H2959,"Beam Revised","")</f>
        <v>#N/A</v>
      </c>
      <c r="Y2959" s="7" t="e">
        <f>IF(VLOOKUP($A2959,'Concrete Beam Schedule'!$A$2:$Q$2902,Y$2,0)&lt;&gt;I2959,"Beam Revised","")</f>
        <v>#N/A</v>
      </c>
      <c r="Z2959" s="7" t="e">
        <f>IF(VLOOKUP($A2959,'Concrete Beam Schedule'!$A$2:$Q$2902,Z$2,0)&lt;&gt;J2959,"Beam Revised","")</f>
        <v>#N/A</v>
      </c>
      <c r="AA2959" s="7" t="e">
        <f>IF(VLOOKUP($A2959,'Concrete Beam Schedule'!$A$2:$Q$2902,AA$2,0)&lt;&gt;K2959,"Beam Revised","")</f>
        <v>#N/A</v>
      </c>
      <c r="AB2959" s="7" t="e">
        <f>IF(VLOOKUP($A2959,'Concrete Beam Schedule'!$A$2:$Q$2902,AB$2,0)&lt;&gt;L2959,"Beam Revised","")</f>
        <v>#N/A</v>
      </c>
      <c r="AC2959" s="7" t="e">
        <f>IF(VLOOKUP($A2959,'Concrete Beam Schedule'!$A$2:$Q$2902,AC$2,0)&lt;&gt;M2959,"Beam Revised","")</f>
        <v>#N/A</v>
      </c>
      <c r="AD2959" s="7" t="e">
        <f>IF(VLOOKUP($A2959,'Concrete Beam Schedule'!$A$2:$Q$2902,AD$2,0)&lt;&gt;N2959,"Beam Revised","")</f>
        <v>#N/A</v>
      </c>
      <c r="AE2959" s="7" t="e">
        <f>IF(VLOOKUP($A2959,'Concrete Beam Schedule'!$A$2:$Q$2902,AE$2,0)&lt;&gt;O2959,"Beam Revised","")</f>
        <v>#N/A</v>
      </c>
    </row>
    <row r="2960" spans="17:31" ht="20.100000000000001" customHeight="1" x14ac:dyDescent="0.25">
      <c r="Q2960" s="7">
        <f t="shared" si="46"/>
        <v>0</v>
      </c>
      <c r="R2960" s="7" t="e">
        <f>IF(VLOOKUP($A2960,'Concrete Beam Schedule'!$A$2:$Q$2902,R$2,0)&lt;&gt;B2960,VLOOKUP($A2960,'Concrete Beam Schedule'!$A$2:$Q$2902,R$2,0),"")</f>
        <v>#N/A</v>
      </c>
      <c r="S2960" s="7" t="e">
        <f>IF(VLOOKUP($A2960,'Concrete Beam Schedule'!$A$2:$Q$2902,S$2,0)&lt;&gt;C2960,VLOOKUP($A2960,'Concrete Beam Schedule'!$A$2:$Q$2902,S$2,0),"")</f>
        <v>#N/A</v>
      </c>
      <c r="T2960" s="7" t="e">
        <f>IF(VLOOKUP($A2960,'Concrete Beam Schedule'!$A$2:$Q$2902,T$2,0)&lt;&gt;D2960,"Beam Revised","")</f>
        <v>#N/A</v>
      </c>
      <c r="U2960" s="7" t="e">
        <f>IF(VLOOKUP($A2960,'Concrete Beam Schedule'!$A$2:$Q$2902,U$2,0)&lt;&gt;E2960,"Beam Revised","")</f>
        <v>#N/A</v>
      </c>
      <c r="V2960" s="7" t="e">
        <f>IF(VLOOKUP($A2960,'Concrete Beam Schedule'!$A$2:$Q$2902,V$2,0)&lt;&gt;F2960,"Beam Revised","")</f>
        <v>#N/A</v>
      </c>
      <c r="W2960" s="7" t="e">
        <f>IF(VLOOKUP($A2960,'Concrete Beam Schedule'!$A$2:$Q$2902,W$2,0)&lt;&gt;G2960,"Beam Revised","")</f>
        <v>#N/A</v>
      </c>
      <c r="X2960" s="7" t="e">
        <f>IF(VLOOKUP($A2960,'Concrete Beam Schedule'!$A$2:$Q$2902,X$2,0)&lt;&gt;H2960,"Beam Revised","")</f>
        <v>#N/A</v>
      </c>
      <c r="Y2960" s="7" t="e">
        <f>IF(VLOOKUP($A2960,'Concrete Beam Schedule'!$A$2:$Q$2902,Y$2,0)&lt;&gt;I2960,"Beam Revised","")</f>
        <v>#N/A</v>
      </c>
      <c r="Z2960" s="7" t="e">
        <f>IF(VLOOKUP($A2960,'Concrete Beam Schedule'!$A$2:$Q$2902,Z$2,0)&lt;&gt;J2960,"Beam Revised","")</f>
        <v>#N/A</v>
      </c>
      <c r="AA2960" s="7" t="e">
        <f>IF(VLOOKUP($A2960,'Concrete Beam Schedule'!$A$2:$Q$2902,AA$2,0)&lt;&gt;K2960,"Beam Revised","")</f>
        <v>#N/A</v>
      </c>
      <c r="AB2960" s="7" t="e">
        <f>IF(VLOOKUP($A2960,'Concrete Beam Schedule'!$A$2:$Q$2902,AB$2,0)&lt;&gt;L2960,"Beam Revised","")</f>
        <v>#N/A</v>
      </c>
      <c r="AC2960" s="7" t="e">
        <f>IF(VLOOKUP($A2960,'Concrete Beam Schedule'!$A$2:$Q$2902,AC$2,0)&lt;&gt;M2960,"Beam Revised","")</f>
        <v>#N/A</v>
      </c>
      <c r="AD2960" s="7" t="e">
        <f>IF(VLOOKUP($A2960,'Concrete Beam Schedule'!$A$2:$Q$2902,AD$2,0)&lt;&gt;N2960,"Beam Revised","")</f>
        <v>#N/A</v>
      </c>
      <c r="AE2960" s="7" t="e">
        <f>IF(VLOOKUP($A2960,'Concrete Beam Schedule'!$A$2:$Q$2902,AE$2,0)&lt;&gt;O2960,"Beam Revised","")</f>
        <v>#N/A</v>
      </c>
    </row>
    <row r="2961" spans="17:31" ht="20.100000000000001" customHeight="1" x14ac:dyDescent="0.25">
      <c r="Q2961" s="7">
        <f t="shared" si="46"/>
        <v>0</v>
      </c>
      <c r="R2961" s="7" t="e">
        <f>IF(VLOOKUP($A2961,'Concrete Beam Schedule'!$A$2:$Q$2902,R$2,0)&lt;&gt;B2961,VLOOKUP($A2961,'Concrete Beam Schedule'!$A$2:$Q$2902,R$2,0),"")</f>
        <v>#N/A</v>
      </c>
      <c r="S2961" s="7" t="e">
        <f>IF(VLOOKUP($A2961,'Concrete Beam Schedule'!$A$2:$Q$2902,S$2,0)&lt;&gt;C2961,VLOOKUP($A2961,'Concrete Beam Schedule'!$A$2:$Q$2902,S$2,0),"")</f>
        <v>#N/A</v>
      </c>
      <c r="T2961" s="7" t="e">
        <f>IF(VLOOKUP($A2961,'Concrete Beam Schedule'!$A$2:$Q$2902,T$2,0)&lt;&gt;D2961,"Beam Revised","")</f>
        <v>#N/A</v>
      </c>
      <c r="U2961" s="7" t="e">
        <f>IF(VLOOKUP($A2961,'Concrete Beam Schedule'!$A$2:$Q$2902,U$2,0)&lt;&gt;E2961,"Beam Revised","")</f>
        <v>#N/A</v>
      </c>
      <c r="V2961" s="7" t="e">
        <f>IF(VLOOKUP($A2961,'Concrete Beam Schedule'!$A$2:$Q$2902,V$2,0)&lt;&gt;F2961,"Beam Revised","")</f>
        <v>#N/A</v>
      </c>
      <c r="W2961" s="7" t="e">
        <f>IF(VLOOKUP($A2961,'Concrete Beam Schedule'!$A$2:$Q$2902,W$2,0)&lt;&gt;G2961,"Beam Revised","")</f>
        <v>#N/A</v>
      </c>
      <c r="X2961" s="7" t="e">
        <f>IF(VLOOKUP($A2961,'Concrete Beam Schedule'!$A$2:$Q$2902,X$2,0)&lt;&gt;H2961,"Beam Revised","")</f>
        <v>#N/A</v>
      </c>
      <c r="Y2961" s="7" t="e">
        <f>IF(VLOOKUP($A2961,'Concrete Beam Schedule'!$A$2:$Q$2902,Y$2,0)&lt;&gt;I2961,"Beam Revised","")</f>
        <v>#N/A</v>
      </c>
      <c r="Z2961" s="7" t="e">
        <f>IF(VLOOKUP($A2961,'Concrete Beam Schedule'!$A$2:$Q$2902,Z$2,0)&lt;&gt;J2961,"Beam Revised","")</f>
        <v>#N/A</v>
      </c>
      <c r="AA2961" s="7" t="e">
        <f>IF(VLOOKUP($A2961,'Concrete Beam Schedule'!$A$2:$Q$2902,AA$2,0)&lt;&gt;K2961,"Beam Revised","")</f>
        <v>#N/A</v>
      </c>
      <c r="AB2961" s="7" t="e">
        <f>IF(VLOOKUP($A2961,'Concrete Beam Schedule'!$A$2:$Q$2902,AB$2,0)&lt;&gt;L2961,"Beam Revised","")</f>
        <v>#N/A</v>
      </c>
      <c r="AC2961" s="7" t="e">
        <f>IF(VLOOKUP($A2961,'Concrete Beam Schedule'!$A$2:$Q$2902,AC$2,0)&lt;&gt;M2961,"Beam Revised","")</f>
        <v>#N/A</v>
      </c>
      <c r="AD2961" s="7" t="e">
        <f>IF(VLOOKUP($A2961,'Concrete Beam Schedule'!$A$2:$Q$2902,AD$2,0)&lt;&gt;N2961,"Beam Revised","")</f>
        <v>#N/A</v>
      </c>
      <c r="AE2961" s="7" t="e">
        <f>IF(VLOOKUP($A2961,'Concrete Beam Schedule'!$A$2:$Q$2902,AE$2,0)&lt;&gt;O2961,"Beam Revised","")</f>
        <v>#N/A</v>
      </c>
    </row>
    <row r="2962" spans="17:31" ht="20.100000000000001" customHeight="1" x14ac:dyDescent="0.25">
      <c r="Q2962" s="7">
        <f t="shared" si="46"/>
        <v>0</v>
      </c>
      <c r="R2962" s="7" t="e">
        <f>IF(VLOOKUP($A2962,'Concrete Beam Schedule'!$A$2:$Q$2902,R$2,0)&lt;&gt;B2962,VLOOKUP($A2962,'Concrete Beam Schedule'!$A$2:$Q$2902,R$2,0),"")</f>
        <v>#N/A</v>
      </c>
      <c r="S2962" s="7" t="e">
        <f>IF(VLOOKUP($A2962,'Concrete Beam Schedule'!$A$2:$Q$2902,S$2,0)&lt;&gt;C2962,VLOOKUP($A2962,'Concrete Beam Schedule'!$A$2:$Q$2902,S$2,0),"")</f>
        <v>#N/A</v>
      </c>
      <c r="T2962" s="7" t="e">
        <f>IF(VLOOKUP($A2962,'Concrete Beam Schedule'!$A$2:$Q$2902,T$2,0)&lt;&gt;D2962,"Beam Revised","")</f>
        <v>#N/A</v>
      </c>
      <c r="U2962" s="7" t="e">
        <f>IF(VLOOKUP($A2962,'Concrete Beam Schedule'!$A$2:$Q$2902,U$2,0)&lt;&gt;E2962,"Beam Revised","")</f>
        <v>#N/A</v>
      </c>
      <c r="V2962" s="7" t="e">
        <f>IF(VLOOKUP($A2962,'Concrete Beam Schedule'!$A$2:$Q$2902,V$2,0)&lt;&gt;F2962,"Beam Revised","")</f>
        <v>#N/A</v>
      </c>
      <c r="W2962" s="7" t="e">
        <f>IF(VLOOKUP($A2962,'Concrete Beam Schedule'!$A$2:$Q$2902,W$2,0)&lt;&gt;G2962,"Beam Revised","")</f>
        <v>#N/A</v>
      </c>
      <c r="X2962" s="7" t="e">
        <f>IF(VLOOKUP($A2962,'Concrete Beam Schedule'!$A$2:$Q$2902,X$2,0)&lt;&gt;H2962,"Beam Revised","")</f>
        <v>#N/A</v>
      </c>
      <c r="Y2962" s="7" t="e">
        <f>IF(VLOOKUP($A2962,'Concrete Beam Schedule'!$A$2:$Q$2902,Y$2,0)&lt;&gt;I2962,"Beam Revised","")</f>
        <v>#N/A</v>
      </c>
      <c r="Z2962" s="7" t="e">
        <f>IF(VLOOKUP($A2962,'Concrete Beam Schedule'!$A$2:$Q$2902,Z$2,0)&lt;&gt;J2962,"Beam Revised","")</f>
        <v>#N/A</v>
      </c>
      <c r="AA2962" s="7" t="e">
        <f>IF(VLOOKUP($A2962,'Concrete Beam Schedule'!$A$2:$Q$2902,AA$2,0)&lt;&gt;K2962,"Beam Revised","")</f>
        <v>#N/A</v>
      </c>
      <c r="AB2962" s="7" t="e">
        <f>IF(VLOOKUP($A2962,'Concrete Beam Schedule'!$A$2:$Q$2902,AB$2,0)&lt;&gt;L2962,"Beam Revised","")</f>
        <v>#N/A</v>
      </c>
      <c r="AC2962" s="7" t="e">
        <f>IF(VLOOKUP($A2962,'Concrete Beam Schedule'!$A$2:$Q$2902,AC$2,0)&lt;&gt;M2962,"Beam Revised","")</f>
        <v>#N/A</v>
      </c>
      <c r="AD2962" s="7" t="e">
        <f>IF(VLOOKUP($A2962,'Concrete Beam Schedule'!$A$2:$Q$2902,AD$2,0)&lt;&gt;N2962,"Beam Revised","")</f>
        <v>#N/A</v>
      </c>
      <c r="AE2962" s="7" t="e">
        <f>IF(VLOOKUP($A2962,'Concrete Beam Schedule'!$A$2:$Q$2902,AE$2,0)&lt;&gt;O2962,"Beam Revised","")</f>
        <v>#N/A</v>
      </c>
    </row>
    <row r="2963" spans="17:31" ht="20.100000000000001" customHeight="1" x14ac:dyDescent="0.25">
      <c r="Q2963" s="7">
        <f t="shared" si="46"/>
        <v>0</v>
      </c>
      <c r="R2963" s="7" t="e">
        <f>IF(VLOOKUP($A2963,'Concrete Beam Schedule'!$A$2:$Q$2902,R$2,0)&lt;&gt;B2963,VLOOKUP($A2963,'Concrete Beam Schedule'!$A$2:$Q$2902,R$2,0),"")</f>
        <v>#N/A</v>
      </c>
      <c r="S2963" s="7" t="e">
        <f>IF(VLOOKUP($A2963,'Concrete Beam Schedule'!$A$2:$Q$2902,S$2,0)&lt;&gt;C2963,VLOOKUP($A2963,'Concrete Beam Schedule'!$A$2:$Q$2902,S$2,0),"")</f>
        <v>#N/A</v>
      </c>
      <c r="T2963" s="7" t="e">
        <f>IF(VLOOKUP($A2963,'Concrete Beam Schedule'!$A$2:$Q$2902,T$2,0)&lt;&gt;D2963,"Beam Revised","")</f>
        <v>#N/A</v>
      </c>
      <c r="U2963" s="7" t="e">
        <f>IF(VLOOKUP($A2963,'Concrete Beam Schedule'!$A$2:$Q$2902,U$2,0)&lt;&gt;E2963,"Beam Revised","")</f>
        <v>#N/A</v>
      </c>
      <c r="V2963" s="7" t="e">
        <f>IF(VLOOKUP($A2963,'Concrete Beam Schedule'!$A$2:$Q$2902,V$2,0)&lt;&gt;F2963,"Beam Revised","")</f>
        <v>#N/A</v>
      </c>
      <c r="W2963" s="7" t="e">
        <f>IF(VLOOKUP($A2963,'Concrete Beam Schedule'!$A$2:$Q$2902,W$2,0)&lt;&gt;G2963,"Beam Revised","")</f>
        <v>#N/A</v>
      </c>
      <c r="X2963" s="7" t="e">
        <f>IF(VLOOKUP($A2963,'Concrete Beam Schedule'!$A$2:$Q$2902,X$2,0)&lt;&gt;H2963,"Beam Revised","")</f>
        <v>#N/A</v>
      </c>
      <c r="Y2963" s="7" t="e">
        <f>IF(VLOOKUP($A2963,'Concrete Beam Schedule'!$A$2:$Q$2902,Y$2,0)&lt;&gt;I2963,"Beam Revised","")</f>
        <v>#N/A</v>
      </c>
      <c r="Z2963" s="7" t="e">
        <f>IF(VLOOKUP($A2963,'Concrete Beam Schedule'!$A$2:$Q$2902,Z$2,0)&lt;&gt;J2963,"Beam Revised","")</f>
        <v>#N/A</v>
      </c>
      <c r="AA2963" s="7" t="e">
        <f>IF(VLOOKUP($A2963,'Concrete Beam Schedule'!$A$2:$Q$2902,AA$2,0)&lt;&gt;K2963,"Beam Revised","")</f>
        <v>#N/A</v>
      </c>
      <c r="AB2963" s="7" t="e">
        <f>IF(VLOOKUP($A2963,'Concrete Beam Schedule'!$A$2:$Q$2902,AB$2,0)&lt;&gt;L2963,"Beam Revised","")</f>
        <v>#N/A</v>
      </c>
      <c r="AC2963" s="7" t="e">
        <f>IF(VLOOKUP($A2963,'Concrete Beam Schedule'!$A$2:$Q$2902,AC$2,0)&lt;&gt;M2963,"Beam Revised","")</f>
        <v>#N/A</v>
      </c>
      <c r="AD2963" s="7" t="e">
        <f>IF(VLOOKUP($A2963,'Concrete Beam Schedule'!$A$2:$Q$2902,AD$2,0)&lt;&gt;N2963,"Beam Revised","")</f>
        <v>#N/A</v>
      </c>
      <c r="AE2963" s="7" t="e">
        <f>IF(VLOOKUP($A2963,'Concrete Beam Schedule'!$A$2:$Q$2902,AE$2,0)&lt;&gt;O2963,"Beam Revised","")</f>
        <v>#N/A</v>
      </c>
    </row>
    <row r="2964" spans="17:31" ht="20.100000000000001" customHeight="1" x14ac:dyDescent="0.25">
      <c r="Q2964" s="7">
        <f t="shared" si="46"/>
        <v>0</v>
      </c>
      <c r="R2964" s="7" t="e">
        <f>IF(VLOOKUP($A2964,'Concrete Beam Schedule'!$A$2:$Q$2902,R$2,0)&lt;&gt;B2964,VLOOKUP($A2964,'Concrete Beam Schedule'!$A$2:$Q$2902,R$2,0),"")</f>
        <v>#N/A</v>
      </c>
      <c r="S2964" s="7" t="e">
        <f>IF(VLOOKUP($A2964,'Concrete Beam Schedule'!$A$2:$Q$2902,S$2,0)&lt;&gt;C2964,VLOOKUP($A2964,'Concrete Beam Schedule'!$A$2:$Q$2902,S$2,0),"")</f>
        <v>#N/A</v>
      </c>
      <c r="T2964" s="7" t="e">
        <f>IF(VLOOKUP($A2964,'Concrete Beam Schedule'!$A$2:$Q$2902,T$2,0)&lt;&gt;D2964,"Beam Revised","")</f>
        <v>#N/A</v>
      </c>
      <c r="U2964" s="7" t="e">
        <f>IF(VLOOKUP($A2964,'Concrete Beam Schedule'!$A$2:$Q$2902,U$2,0)&lt;&gt;E2964,"Beam Revised","")</f>
        <v>#N/A</v>
      </c>
      <c r="V2964" s="7" t="e">
        <f>IF(VLOOKUP($A2964,'Concrete Beam Schedule'!$A$2:$Q$2902,V$2,0)&lt;&gt;F2964,"Beam Revised","")</f>
        <v>#N/A</v>
      </c>
      <c r="W2964" s="7" t="e">
        <f>IF(VLOOKUP($A2964,'Concrete Beam Schedule'!$A$2:$Q$2902,W$2,0)&lt;&gt;G2964,"Beam Revised","")</f>
        <v>#N/A</v>
      </c>
      <c r="X2964" s="7" t="e">
        <f>IF(VLOOKUP($A2964,'Concrete Beam Schedule'!$A$2:$Q$2902,X$2,0)&lt;&gt;H2964,"Beam Revised","")</f>
        <v>#N/A</v>
      </c>
      <c r="Y2964" s="7" t="e">
        <f>IF(VLOOKUP($A2964,'Concrete Beam Schedule'!$A$2:$Q$2902,Y$2,0)&lt;&gt;I2964,"Beam Revised","")</f>
        <v>#N/A</v>
      </c>
      <c r="Z2964" s="7" t="e">
        <f>IF(VLOOKUP($A2964,'Concrete Beam Schedule'!$A$2:$Q$2902,Z$2,0)&lt;&gt;J2964,"Beam Revised","")</f>
        <v>#N/A</v>
      </c>
      <c r="AA2964" s="7" t="e">
        <f>IF(VLOOKUP($A2964,'Concrete Beam Schedule'!$A$2:$Q$2902,AA$2,0)&lt;&gt;K2964,"Beam Revised","")</f>
        <v>#N/A</v>
      </c>
      <c r="AB2964" s="7" t="e">
        <f>IF(VLOOKUP($A2964,'Concrete Beam Schedule'!$A$2:$Q$2902,AB$2,0)&lt;&gt;L2964,"Beam Revised","")</f>
        <v>#N/A</v>
      </c>
      <c r="AC2964" s="7" t="e">
        <f>IF(VLOOKUP($A2964,'Concrete Beam Schedule'!$A$2:$Q$2902,AC$2,0)&lt;&gt;M2964,"Beam Revised","")</f>
        <v>#N/A</v>
      </c>
      <c r="AD2964" s="7" t="e">
        <f>IF(VLOOKUP($A2964,'Concrete Beam Schedule'!$A$2:$Q$2902,AD$2,0)&lt;&gt;N2964,"Beam Revised","")</f>
        <v>#N/A</v>
      </c>
      <c r="AE2964" s="7" t="e">
        <f>IF(VLOOKUP($A2964,'Concrete Beam Schedule'!$A$2:$Q$2902,AE$2,0)&lt;&gt;O2964,"Beam Revised","")</f>
        <v>#N/A</v>
      </c>
    </row>
    <row r="2965" spans="17:31" ht="20.100000000000001" customHeight="1" x14ac:dyDescent="0.25">
      <c r="Q2965" s="7">
        <f t="shared" si="46"/>
        <v>0</v>
      </c>
      <c r="R2965" s="7" t="e">
        <f>IF(VLOOKUP($A2965,'Concrete Beam Schedule'!$A$2:$Q$2902,R$2,0)&lt;&gt;B2965,VLOOKUP($A2965,'Concrete Beam Schedule'!$A$2:$Q$2902,R$2,0),"")</f>
        <v>#N/A</v>
      </c>
      <c r="S2965" s="7" t="e">
        <f>IF(VLOOKUP($A2965,'Concrete Beam Schedule'!$A$2:$Q$2902,S$2,0)&lt;&gt;C2965,VLOOKUP($A2965,'Concrete Beam Schedule'!$A$2:$Q$2902,S$2,0),"")</f>
        <v>#N/A</v>
      </c>
      <c r="T2965" s="7" t="e">
        <f>IF(VLOOKUP($A2965,'Concrete Beam Schedule'!$A$2:$Q$2902,T$2,0)&lt;&gt;D2965,"Beam Revised","")</f>
        <v>#N/A</v>
      </c>
      <c r="U2965" s="7" t="e">
        <f>IF(VLOOKUP($A2965,'Concrete Beam Schedule'!$A$2:$Q$2902,U$2,0)&lt;&gt;E2965,"Beam Revised","")</f>
        <v>#N/A</v>
      </c>
      <c r="V2965" s="7" t="e">
        <f>IF(VLOOKUP($A2965,'Concrete Beam Schedule'!$A$2:$Q$2902,V$2,0)&lt;&gt;F2965,"Beam Revised","")</f>
        <v>#N/A</v>
      </c>
      <c r="W2965" s="7" t="e">
        <f>IF(VLOOKUP($A2965,'Concrete Beam Schedule'!$A$2:$Q$2902,W$2,0)&lt;&gt;G2965,"Beam Revised","")</f>
        <v>#N/A</v>
      </c>
      <c r="X2965" s="7" t="e">
        <f>IF(VLOOKUP($A2965,'Concrete Beam Schedule'!$A$2:$Q$2902,X$2,0)&lt;&gt;H2965,"Beam Revised","")</f>
        <v>#N/A</v>
      </c>
      <c r="Y2965" s="7" t="e">
        <f>IF(VLOOKUP($A2965,'Concrete Beam Schedule'!$A$2:$Q$2902,Y$2,0)&lt;&gt;I2965,"Beam Revised","")</f>
        <v>#N/A</v>
      </c>
      <c r="Z2965" s="7" t="e">
        <f>IF(VLOOKUP($A2965,'Concrete Beam Schedule'!$A$2:$Q$2902,Z$2,0)&lt;&gt;J2965,"Beam Revised","")</f>
        <v>#N/A</v>
      </c>
      <c r="AA2965" s="7" t="e">
        <f>IF(VLOOKUP($A2965,'Concrete Beam Schedule'!$A$2:$Q$2902,AA$2,0)&lt;&gt;K2965,"Beam Revised","")</f>
        <v>#N/A</v>
      </c>
      <c r="AB2965" s="7" t="e">
        <f>IF(VLOOKUP($A2965,'Concrete Beam Schedule'!$A$2:$Q$2902,AB$2,0)&lt;&gt;L2965,"Beam Revised","")</f>
        <v>#N/A</v>
      </c>
      <c r="AC2965" s="7" t="e">
        <f>IF(VLOOKUP($A2965,'Concrete Beam Schedule'!$A$2:$Q$2902,AC$2,0)&lt;&gt;M2965,"Beam Revised","")</f>
        <v>#N/A</v>
      </c>
      <c r="AD2965" s="7" t="e">
        <f>IF(VLOOKUP($A2965,'Concrete Beam Schedule'!$A$2:$Q$2902,AD$2,0)&lt;&gt;N2965,"Beam Revised","")</f>
        <v>#N/A</v>
      </c>
      <c r="AE2965" s="7" t="e">
        <f>IF(VLOOKUP($A2965,'Concrete Beam Schedule'!$A$2:$Q$2902,AE$2,0)&lt;&gt;O2965,"Beam Revised","")</f>
        <v>#N/A</v>
      </c>
    </row>
    <row r="2966" spans="17:31" ht="20.100000000000001" customHeight="1" x14ac:dyDescent="0.25">
      <c r="Q2966" s="7">
        <f t="shared" si="46"/>
        <v>0</v>
      </c>
      <c r="R2966" s="7" t="e">
        <f>IF(VLOOKUP($A2966,'Concrete Beam Schedule'!$A$2:$Q$2902,R$2,0)&lt;&gt;B2966,VLOOKUP($A2966,'Concrete Beam Schedule'!$A$2:$Q$2902,R$2,0),"")</f>
        <v>#N/A</v>
      </c>
      <c r="S2966" s="7" t="e">
        <f>IF(VLOOKUP($A2966,'Concrete Beam Schedule'!$A$2:$Q$2902,S$2,0)&lt;&gt;C2966,VLOOKUP($A2966,'Concrete Beam Schedule'!$A$2:$Q$2902,S$2,0),"")</f>
        <v>#N/A</v>
      </c>
      <c r="T2966" s="7" t="e">
        <f>IF(VLOOKUP($A2966,'Concrete Beam Schedule'!$A$2:$Q$2902,T$2,0)&lt;&gt;D2966,"Beam Revised","")</f>
        <v>#N/A</v>
      </c>
      <c r="U2966" s="7" t="e">
        <f>IF(VLOOKUP($A2966,'Concrete Beam Schedule'!$A$2:$Q$2902,U$2,0)&lt;&gt;E2966,"Beam Revised","")</f>
        <v>#N/A</v>
      </c>
      <c r="V2966" s="7" t="e">
        <f>IF(VLOOKUP($A2966,'Concrete Beam Schedule'!$A$2:$Q$2902,V$2,0)&lt;&gt;F2966,"Beam Revised","")</f>
        <v>#N/A</v>
      </c>
      <c r="W2966" s="7" t="e">
        <f>IF(VLOOKUP($A2966,'Concrete Beam Schedule'!$A$2:$Q$2902,W$2,0)&lt;&gt;G2966,"Beam Revised","")</f>
        <v>#N/A</v>
      </c>
      <c r="X2966" s="7" t="e">
        <f>IF(VLOOKUP($A2966,'Concrete Beam Schedule'!$A$2:$Q$2902,X$2,0)&lt;&gt;H2966,"Beam Revised","")</f>
        <v>#N/A</v>
      </c>
      <c r="Y2966" s="7" t="e">
        <f>IF(VLOOKUP($A2966,'Concrete Beam Schedule'!$A$2:$Q$2902,Y$2,0)&lt;&gt;I2966,"Beam Revised","")</f>
        <v>#N/A</v>
      </c>
      <c r="Z2966" s="7" t="e">
        <f>IF(VLOOKUP($A2966,'Concrete Beam Schedule'!$A$2:$Q$2902,Z$2,0)&lt;&gt;J2966,"Beam Revised","")</f>
        <v>#N/A</v>
      </c>
      <c r="AA2966" s="7" t="e">
        <f>IF(VLOOKUP($A2966,'Concrete Beam Schedule'!$A$2:$Q$2902,AA$2,0)&lt;&gt;K2966,"Beam Revised","")</f>
        <v>#N/A</v>
      </c>
      <c r="AB2966" s="7" t="e">
        <f>IF(VLOOKUP($A2966,'Concrete Beam Schedule'!$A$2:$Q$2902,AB$2,0)&lt;&gt;L2966,"Beam Revised","")</f>
        <v>#N/A</v>
      </c>
      <c r="AC2966" s="7" t="e">
        <f>IF(VLOOKUP($A2966,'Concrete Beam Schedule'!$A$2:$Q$2902,AC$2,0)&lt;&gt;M2966,"Beam Revised","")</f>
        <v>#N/A</v>
      </c>
      <c r="AD2966" s="7" t="e">
        <f>IF(VLOOKUP($A2966,'Concrete Beam Schedule'!$A$2:$Q$2902,AD$2,0)&lt;&gt;N2966,"Beam Revised","")</f>
        <v>#N/A</v>
      </c>
      <c r="AE2966" s="7" t="e">
        <f>IF(VLOOKUP($A2966,'Concrete Beam Schedule'!$A$2:$Q$2902,AE$2,0)&lt;&gt;O2966,"Beam Revised","")</f>
        <v>#N/A</v>
      </c>
    </row>
    <row r="2967" spans="17:31" ht="20.100000000000001" customHeight="1" x14ac:dyDescent="0.25">
      <c r="Q2967" s="7">
        <f t="shared" si="46"/>
        <v>0</v>
      </c>
      <c r="R2967" s="7" t="e">
        <f>IF(VLOOKUP($A2967,'Concrete Beam Schedule'!$A$2:$Q$2902,R$2,0)&lt;&gt;B2967,VLOOKUP($A2967,'Concrete Beam Schedule'!$A$2:$Q$2902,R$2,0),"")</f>
        <v>#N/A</v>
      </c>
      <c r="S2967" s="7" t="e">
        <f>IF(VLOOKUP($A2967,'Concrete Beam Schedule'!$A$2:$Q$2902,S$2,0)&lt;&gt;C2967,VLOOKUP($A2967,'Concrete Beam Schedule'!$A$2:$Q$2902,S$2,0),"")</f>
        <v>#N/A</v>
      </c>
      <c r="T2967" s="7" t="e">
        <f>IF(VLOOKUP($A2967,'Concrete Beam Schedule'!$A$2:$Q$2902,T$2,0)&lt;&gt;D2967,"Beam Revised","")</f>
        <v>#N/A</v>
      </c>
      <c r="U2967" s="7" t="e">
        <f>IF(VLOOKUP($A2967,'Concrete Beam Schedule'!$A$2:$Q$2902,U$2,0)&lt;&gt;E2967,"Beam Revised","")</f>
        <v>#N/A</v>
      </c>
      <c r="V2967" s="7" t="e">
        <f>IF(VLOOKUP($A2967,'Concrete Beam Schedule'!$A$2:$Q$2902,V$2,0)&lt;&gt;F2967,"Beam Revised","")</f>
        <v>#N/A</v>
      </c>
      <c r="W2967" s="7" t="e">
        <f>IF(VLOOKUP($A2967,'Concrete Beam Schedule'!$A$2:$Q$2902,W$2,0)&lt;&gt;G2967,"Beam Revised","")</f>
        <v>#N/A</v>
      </c>
      <c r="X2967" s="7" t="e">
        <f>IF(VLOOKUP($A2967,'Concrete Beam Schedule'!$A$2:$Q$2902,X$2,0)&lt;&gt;H2967,"Beam Revised","")</f>
        <v>#N/A</v>
      </c>
      <c r="Y2967" s="7" t="e">
        <f>IF(VLOOKUP($A2967,'Concrete Beam Schedule'!$A$2:$Q$2902,Y$2,0)&lt;&gt;I2967,"Beam Revised","")</f>
        <v>#N/A</v>
      </c>
      <c r="Z2967" s="7" t="e">
        <f>IF(VLOOKUP($A2967,'Concrete Beam Schedule'!$A$2:$Q$2902,Z$2,0)&lt;&gt;J2967,"Beam Revised","")</f>
        <v>#N/A</v>
      </c>
      <c r="AA2967" s="7" t="e">
        <f>IF(VLOOKUP($A2967,'Concrete Beam Schedule'!$A$2:$Q$2902,AA$2,0)&lt;&gt;K2967,"Beam Revised","")</f>
        <v>#N/A</v>
      </c>
      <c r="AB2967" s="7" t="e">
        <f>IF(VLOOKUP($A2967,'Concrete Beam Schedule'!$A$2:$Q$2902,AB$2,0)&lt;&gt;L2967,"Beam Revised","")</f>
        <v>#N/A</v>
      </c>
      <c r="AC2967" s="7" t="e">
        <f>IF(VLOOKUP($A2967,'Concrete Beam Schedule'!$A$2:$Q$2902,AC$2,0)&lt;&gt;M2967,"Beam Revised","")</f>
        <v>#N/A</v>
      </c>
      <c r="AD2967" s="7" t="e">
        <f>IF(VLOOKUP($A2967,'Concrete Beam Schedule'!$A$2:$Q$2902,AD$2,0)&lt;&gt;N2967,"Beam Revised","")</f>
        <v>#N/A</v>
      </c>
      <c r="AE2967" s="7" t="e">
        <f>IF(VLOOKUP($A2967,'Concrete Beam Schedule'!$A$2:$Q$2902,AE$2,0)&lt;&gt;O2967,"Beam Revised","")</f>
        <v>#N/A</v>
      </c>
    </row>
    <row r="2968" spans="17:31" ht="20.100000000000001" customHeight="1" x14ac:dyDescent="0.25">
      <c r="Q2968" s="7">
        <f t="shared" si="46"/>
        <v>0</v>
      </c>
      <c r="R2968" s="7" t="e">
        <f>IF(VLOOKUP($A2968,'Concrete Beam Schedule'!$A$2:$Q$2902,R$2,0)&lt;&gt;B2968,VLOOKUP($A2968,'Concrete Beam Schedule'!$A$2:$Q$2902,R$2,0),"")</f>
        <v>#N/A</v>
      </c>
      <c r="S2968" s="7" t="e">
        <f>IF(VLOOKUP($A2968,'Concrete Beam Schedule'!$A$2:$Q$2902,S$2,0)&lt;&gt;C2968,VLOOKUP($A2968,'Concrete Beam Schedule'!$A$2:$Q$2902,S$2,0),"")</f>
        <v>#N/A</v>
      </c>
      <c r="T2968" s="7" t="e">
        <f>IF(VLOOKUP($A2968,'Concrete Beam Schedule'!$A$2:$Q$2902,T$2,0)&lt;&gt;D2968,"Beam Revised","")</f>
        <v>#N/A</v>
      </c>
      <c r="U2968" s="7" t="e">
        <f>IF(VLOOKUP($A2968,'Concrete Beam Schedule'!$A$2:$Q$2902,U$2,0)&lt;&gt;E2968,"Beam Revised","")</f>
        <v>#N/A</v>
      </c>
      <c r="V2968" s="7" t="e">
        <f>IF(VLOOKUP($A2968,'Concrete Beam Schedule'!$A$2:$Q$2902,V$2,0)&lt;&gt;F2968,"Beam Revised","")</f>
        <v>#N/A</v>
      </c>
      <c r="W2968" s="7" t="e">
        <f>IF(VLOOKUP($A2968,'Concrete Beam Schedule'!$A$2:$Q$2902,W$2,0)&lt;&gt;G2968,"Beam Revised","")</f>
        <v>#N/A</v>
      </c>
      <c r="X2968" s="7" t="e">
        <f>IF(VLOOKUP($A2968,'Concrete Beam Schedule'!$A$2:$Q$2902,X$2,0)&lt;&gt;H2968,"Beam Revised","")</f>
        <v>#N/A</v>
      </c>
      <c r="Y2968" s="7" t="e">
        <f>IF(VLOOKUP($A2968,'Concrete Beam Schedule'!$A$2:$Q$2902,Y$2,0)&lt;&gt;I2968,"Beam Revised","")</f>
        <v>#N/A</v>
      </c>
      <c r="Z2968" s="7" t="e">
        <f>IF(VLOOKUP($A2968,'Concrete Beam Schedule'!$A$2:$Q$2902,Z$2,0)&lt;&gt;J2968,"Beam Revised","")</f>
        <v>#N/A</v>
      </c>
      <c r="AA2968" s="7" t="e">
        <f>IF(VLOOKUP($A2968,'Concrete Beam Schedule'!$A$2:$Q$2902,AA$2,0)&lt;&gt;K2968,"Beam Revised","")</f>
        <v>#N/A</v>
      </c>
      <c r="AB2968" s="7" t="e">
        <f>IF(VLOOKUP($A2968,'Concrete Beam Schedule'!$A$2:$Q$2902,AB$2,0)&lt;&gt;L2968,"Beam Revised","")</f>
        <v>#N/A</v>
      </c>
      <c r="AC2968" s="7" t="e">
        <f>IF(VLOOKUP($A2968,'Concrete Beam Schedule'!$A$2:$Q$2902,AC$2,0)&lt;&gt;M2968,"Beam Revised","")</f>
        <v>#N/A</v>
      </c>
      <c r="AD2968" s="7" t="e">
        <f>IF(VLOOKUP($A2968,'Concrete Beam Schedule'!$A$2:$Q$2902,AD$2,0)&lt;&gt;N2968,"Beam Revised","")</f>
        <v>#N/A</v>
      </c>
      <c r="AE2968" s="7" t="e">
        <f>IF(VLOOKUP($A2968,'Concrete Beam Schedule'!$A$2:$Q$2902,AE$2,0)&lt;&gt;O2968,"Beam Revised","")</f>
        <v>#N/A</v>
      </c>
    </row>
    <row r="2969" spans="17:31" ht="20.100000000000001" customHeight="1" x14ac:dyDescent="0.25">
      <c r="Q2969" s="7">
        <f t="shared" si="46"/>
        <v>0</v>
      </c>
      <c r="R2969" s="7" t="e">
        <f>IF(VLOOKUP($A2969,'Concrete Beam Schedule'!$A$2:$Q$2902,R$2,0)&lt;&gt;B2969,VLOOKUP($A2969,'Concrete Beam Schedule'!$A$2:$Q$2902,R$2,0),"")</f>
        <v>#N/A</v>
      </c>
      <c r="S2969" s="7" t="e">
        <f>IF(VLOOKUP($A2969,'Concrete Beam Schedule'!$A$2:$Q$2902,S$2,0)&lt;&gt;C2969,VLOOKUP($A2969,'Concrete Beam Schedule'!$A$2:$Q$2902,S$2,0),"")</f>
        <v>#N/A</v>
      </c>
      <c r="T2969" s="7" t="e">
        <f>IF(VLOOKUP($A2969,'Concrete Beam Schedule'!$A$2:$Q$2902,T$2,0)&lt;&gt;D2969,"Beam Revised","")</f>
        <v>#N/A</v>
      </c>
      <c r="U2969" s="7" t="e">
        <f>IF(VLOOKUP($A2969,'Concrete Beam Schedule'!$A$2:$Q$2902,U$2,0)&lt;&gt;E2969,"Beam Revised","")</f>
        <v>#N/A</v>
      </c>
      <c r="V2969" s="7" t="e">
        <f>IF(VLOOKUP($A2969,'Concrete Beam Schedule'!$A$2:$Q$2902,V$2,0)&lt;&gt;F2969,"Beam Revised","")</f>
        <v>#N/A</v>
      </c>
      <c r="W2969" s="7" t="e">
        <f>IF(VLOOKUP($A2969,'Concrete Beam Schedule'!$A$2:$Q$2902,W$2,0)&lt;&gt;G2969,"Beam Revised","")</f>
        <v>#N/A</v>
      </c>
      <c r="X2969" s="7" t="e">
        <f>IF(VLOOKUP($A2969,'Concrete Beam Schedule'!$A$2:$Q$2902,X$2,0)&lt;&gt;H2969,"Beam Revised","")</f>
        <v>#N/A</v>
      </c>
      <c r="Y2969" s="7" t="e">
        <f>IF(VLOOKUP($A2969,'Concrete Beam Schedule'!$A$2:$Q$2902,Y$2,0)&lt;&gt;I2969,"Beam Revised","")</f>
        <v>#N/A</v>
      </c>
      <c r="Z2969" s="7" t="e">
        <f>IF(VLOOKUP($A2969,'Concrete Beam Schedule'!$A$2:$Q$2902,Z$2,0)&lt;&gt;J2969,"Beam Revised","")</f>
        <v>#N/A</v>
      </c>
      <c r="AA2969" s="7" t="e">
        <f>IF(VLOOKUP($A2969,'Concrete Beam Schedule'!$A$2:$Q$2902,AA$2,0)&lt;&gt;K2969,"Beam Revised","")</f>
        <v>#N/A</v>
      </c>
      <c r="AB2969" s="7" t="e">
        <f>IF(VLOOKUP($A2969,'Concrete Beam Schedule'!$A$2:$Q$2902,AB$2,0)&lt;&gt;L2969,"Beam Revised","")</f>
        <v>#N/A</v>
      </c>
      <c r="AC2969" s="7" t="e">
        <f>IF(VLOOKUP($A2969,'Concrete Beam Schedule'!$A$2:$Q$2902,AC$2,0)&lt;&gt;M2969,"Beam Revised","")</f>
        <v>#N/A</v>
      </c>
      <c r="AD2969" s="7" t="e">
        <f>IF(VLOOKUP($A2969,'Concrete Beam Schedule'!$A$2:$Q$2902,AD$2,0)&lt;&gt;N2969,"Beam Revised","")</f>
        <v>#N/A</v>
      </c>
      <c r="AE2969" s="7" t="e">
        <f>IF(VLOOKUP($A2969,'Concrete Beam Schedule'!$A$2:$Q$2902,AE$2,0)&lt;&gt;O2969,"Beam Revised","")</f>
        <v>#N/A</v>
      </c>
    </row>
    <row r="2970" spans="17:31" ht="20.100000000000001" customHeight="1" x14ac:dyDescent="0.25">
      <c r="Q2970" s="7">
        <f t="shared" si="46"/>
        <v>0</v>
      </c>
      <c r="R2970" s="7" t="e">
        <f>IF(VLOOKUP($A2970,'Concrete Beam Schedule'!$A$2:$Q$2902,R$2,0)&lt;&gt;B2970,VLOOKUP($A2970,'Concrete Beam Schedule'!$A$2:$Q$2902,R$2,0),"")</f>
        <v>#N/A</v>
      </c>
      <c r="S2970" s="7" t="e">
        <f>IF(VLOOKUP($A2970,'Concrete Beam Schedule'!$A$2:$Q$2902,S$2,0)&lt;&gt;C2970,VLOOKUP($A2970,'Concrete Beam Schedule'!$A$2:$Q$2902,S$2,0),"")</f>
        <v>#N/A</v>
      </c>
      <c r="T2970" s="7" t="e">
        <f>IF(VLOOKUP($A2970,'Concrete Beam Schedule'!$A$2:$Q$2902,T$2,0)&lt;&gt;D2970,"Beam Revised","")</f>
        <v>#N/A</v>
      </c>
      <c r="U2970" s="7" t="e">
        <f>IF(VLOOKUP($A2970,'Concrete Beam Schedule'!$A$2:$Q$2902,U$2,0)&lt;&gt;E2970,"Beam Revised","")</f>
        <v>#N/A</v>
      </c>
      <c r="V2970" s="7" t="e">
        <f>IF(VLOOKUP($A2970,'Concrete Beam Schedule'!$A$2:$Q$2902,V$2,0)&lt;&gt;F2970,"Beam Revised","")</f>
        <v>#N/A</v>
      </c>
      <c r="W2970" s="7" t="e">
        <f>IF(VLOOKUP($A2970,'Concrete Beam Schedule'!$A$2:$Q$2902,W$2,0)&lt;&gt;G2970,"Beam Revised","")</f>
        <v>#N/A</v>
      </c>
      <c r="X2970" s="7" t="e">
        <f>IF(VLOOKUP($A2970,'Concrete Beam Schedule'!$A$2:$Q$2902,X$2,0)&lt;&gt;H2970,"Beam Revised","")</f>
        <v>#N/A</v>
      </c>
      <c r="Y2970" s="7" t="e">
        <f>IF(VLOOKUP($A2970,'Concrete Beam Schedule'!$A$2:$Q$2902,Y$2,0)&lt;&gt;I2970,"Beam Revised","")</f>
        <v>#N/A</v>
      </c>
      <c r="Z2970" s="7" t="e">
        <f>IF(VLOOKUP($A2970,'Concrete Beam Schedule'!$A$2:$Q$2902,Z$2,0)&lt;&gt;J2970,"Beam Revised","")</f>
        <v>#N/A</v>
      </c>
      <c r="AA2970" s="7" t="e">
        <f>IF(VLOOKUP($A2970,'Concrete Beam Schedule'!$A$2:$Q$2902,AA$2,0)&lt;&gt;K2970,"Beam Revised","")</f>
        <v>#N/A</v>
      </c>
      <c r="AB2970" s="7" t="e">
        <f>IF(VLOOKUP($A2970,'Concrete Beam Schedule'!$A$2:$Q$2902,AB$2,0)&lt;&gt;L2970,"Beam Revised","")</f>
        <v>#N/A</v>
      </c>
      <c r="AC2970" s="7" t="e">
        <f>IF(VLOOKUP($A2970,'Concrete Beam Schedule'!$A$2:$Q$2902,AC$2,0)&lt;&gt;M2970,"Beam Revised","")</f>
        <v>#N/A</v>
      </c>
      <c r="AD2970" s="7" t="e">
        <f>IF(VLOOKUP($A2970,'Concrete Beam Schedule'!$A$2:$Q$2902,AD$2,0)&lt;&gt;N2970,"Beam Revised","")</f>
        <v>#N/A</v>
      </c>
      <c r="AE2970" s="7" t="e">
        <f>IF(VLOOKUP($A2970,'Concrete Beam Schedule'!$A$2:$Q$2902,AE$2,0)&lt;&gt;O2970,"Beam Revised","")</f>
        <v>#N/A</v>
      </c>
    </row>
    <row r="2971" spans="17:31" ht="20.100000000000001" customHeight="1" x14ac:dyDescent="0.25">
      <c r="Q2971" s="7">
        <f t="shared" si="46"/>
        <v>0</v>
      </c>
      <c r="R2971" s="7" t="e">
        <f>IF(VLOOKUP($A2971,'Concrete Beam Schedule'!$A$2:$Q$2902,R$2,0)&lt;&gt;B2971,VLOOKUP($A2971,'Concrete Beam Schedule'!$A$2:$Q$2902,R$2,0),"")</f>
        <v>#N/A</v>
      </c>
      <c r="S2971" s="7" t="e">
        <f>IF(VLOOKUP($A2971,'Concrete Beam Schedule'!$A$2:$Q$2902,S$2,0)&lt;&gt;C2971,VLOOKUP($A2971,'Concrete Beam Schedule'!$A$2:$Q$2902,S$2,0),"")</f>
        <v>#N/A</v>
      </c>
      <c r="T2971" s="7" t="e">
        <f>IF(VLOOKUP($A2971,'Concrete Beam Schedule'!$A$2:$Q$2902,T$2,0)&lt;&gt;D2971,"Beam Revised","")</f>
        <v>#N/A</v>
      </c>
      <c r="U2971" s="7" t="e">
        <f>IF(VLOOKUP($A2971,'Concrete Beam Schedule'!$A$2:$Q$2902,U$2,0)&lt;&gt;E2971,"Beam Revised","")</f>
        <v>#N/A</v>
      </c>
      <c r="V2971" s="7" t="e">
        <f>IF(VLOOKUP($A2971,'Concrete Beam Schedule'!$A$2:$Q$2902,V$2,0)&lt;&gt;F2971,"Beam Revised","")</f>
        <v>#N/A</v>
      </c>
      <c r="W2971" s="7" t="e">
        <f>IF(VLOOKUP($A2971,'Concrete Beam Schedule'!$A$2:$Q$2902,W$2,0)&lt;&gt;G2971,"Beam Revised","")</f>
        <v>#N/A</v>
      </c>
      <c r="X2971" s="7" t="e">
        <f>IF(VLOOKUP($A2971,'Concrete Beam Schedule'!$A$2:$Q$2902,X$2,0)&lt;&gt;H2971,"Beam Revised","")</f>
        <v>#N/A</v>
      </c>
      <c r="Y2971" s="7" t="e">
        <f>IF(VLOOKUP($A2971,'Concrete Beam Schedule'!$A$2:$Q$2902,Y$2,0)&lt;&gt;I2971,"Beam Revised","")</f>
        <v>#N/A</v>
      </c>
      <c r="Z2971" s="7" t="e">
        <f>IF(VLOOKUP($A2971,'Concrete Beam Schedule'!$A$2:$Q$2902,Z$2,0)&lt;&gt;J2971,"Beam Revised","")</f>
        <v>#N/A</v>
      </c>
      <c r="AA2971" s="7" t="e">
        <f>IF(VLOOKUP($A2971,'Concrete Beam Schedule'!$A$2:$Q$2902,AA$2,0)&lt;&gt;K2971,"Beam Revised","")</f>
        <v>#N/A</v>
      </c>
      <c r="AB2971" s="7" t="e">
        <f>IF(VLOOKUP($A2971,'Concrete Beam Schedule'!$A$2:$Q$2902,AB$2,0)&lt;&gt;L2971,"Beam Revised","")</f>
        <v>#N/A</v>
      </c>
      <c r="AC2971" s="7" t="e">
        <f>IF(VLOOKUP($A2971,'Concrete Beam Schedule'!$A$2:$Q$2902,AC$2,0)&lt;&gt;M2971,"Beam Revised","")</f>
        <v>#N/A</v>
      </c>
      <c r="AD2971" s="7" t="e">
        <f>IF(VLOOKUP($A2971,'Concrete Beam Schedule'!$A$2:$Q$2902,AD$2,0)&lt;&gt;N2971,"Beam Revised","")</f>
        <v>#N/A</v>
      </c>
      <c r="AE2971" s="7" t="e">
        <f>IF(VLOOKUP($A2971,'Concrete Beam Schedule'!$A$2:$Q$2902,AE$2,0)&lt;&gt;O2971,"Beam Revised","")</f>
        <v>#N/A</v>
      </c>
    </row>
    <row r="2972" spans="17:31" ht="20.100000000000001" customHeight="1" x14ac:dyDescent="0.25">
      <c r="Q2972" s="7">
        <f t="shared" si="46"/>
        <v>0</v>
      </c>
      <c r="R2972" s="7" t="e">
        <f>IF(VLOOKUP($A2972,'Concrete Beam Schedule'!$A$2:$Q$2902,R$2,0)&lt;&gt;B2972,VLOOKUP($A2972,'Concrete Beam Schedule'!$A$2:$Q$2902,R$2,0),"")</f>
        <v>#N/A</v>
      </c>
      <c r="S2972" s="7" t="e">
        <f>IF(VLOOKUP($A2972,'Concrete Beam Schedule'!$A$2:$Q$2902,S$2,0)&lt;&gt;C2972,VLOOKUP($A2972,'Concrete Beam Schedule'!$A$2:$Q$2902,S$2,0),"")</f>
        <v>#N/A</v>
      </c>
      <c r="T2972" s="7" t="e">
        <f>IF(VLOOKUP($A2972,'Concrete Beam Schedule'!$A$2:$Q$2902,T$2,0)&lt;&gt;D2972,"Beam Revised","")</f>
        <v>#N/A</v>
      </c>
      <c r="U2972" s="7" t="e">
        <f>IF(VLOOKUP($A2972,'Concrete Beam Schedule'!$A$2:$Q$2902,U$2,0)&lt;&gt;E2972,"Beam Revised","")</f>
        <v>#N/A</v>
      </c>
      <c r="V2972" s="7" t="e">
        <f>IF(VLOOKUP($A2972,'Concrete Beam Schedule'!$A$2:$Q$2902,V$2,0)&lt;&gt;F2972,"Beam Revised","")</f>
        <v>#N/A</v>
      </c>
      <c r="W2972" s="7" t="e">
        <f>IF(VLOOKUP($A2972,'Concrete Beam Schedule'!$A$2:$Q$2902,W$2,0)&lt;&gt;G2972,"Beam Revised","")</f>
        <v>#N/A</v>
      </c>
      <c r="X2972" s="7" t="e">
        <f>IF(VLOOKUP($A2972,'Concrete Beam Schedule'!$A$2:$Q$2902,X$2,0)&lt;&gt;H2972,"Beam Revised","")</f>
        <v>#N/A</v>
      </c>
      <c r="Y2972" s="7" t="e">
        <f>IF(VLOOKUP($A2972,'Concrete Beam Schedule'!$A$2:$Q$2902,Y$2,0)&lt;&gt;I2972,"Beam Revised","")</f>
        <v>#N/A</v>
      </c>
      <c r="Z2972" s="7" t="e">
        <f>IF(VLOOKUP($A2972,'Concrete Beam Schedule'!$A$2:$Q$2902,Z$2,0)&lt;&gt;J2972,"Beam Revised","")</f>
        <v>#N/A</v>
      </c>
      <c r="AA2972" s="7" t="e">
        <f>IF(VLOOKUP($A2972,'Concrete Beam Schedule'!$A$2:$Q$2902,AA$2,0)&lt;&gt;K2972,"Beam Revised","")</f>
        <v>#N/A</v>
      </c>
      <c r="AB2972" s="7" t="e">
        <f>IF(VLOOKUP($A2972,'Concrete Beam Schedule'!$A$2:$Q$2902,AB$2,0)&lt;&gt;L2972,"Beam Revised","")</f>
        <v>#N/A</v>
      </c>
      <c r="AC2972" s="7" t="e">
        <f>IF(VLOOKUP($A2972,'Concrete Beam Schedule'!$A$2:$Q$2902,AC$2,0)&lt;&gt;M2972,"Beam Revised","")</f>
        <v>#N/A</v>
      </c>
      <c r="AD2972" s="7" t="e">
        <f>IF(VLOOKUP($A2972,'Concrete Beam Schedule'!$A$2:$Q$2902,AD$2,0)&lt;&gt;N2972,"Beam Revised","")</f>
        <v>#N/A</v>
      </c>
      <c r="AE2972" s="7" t="e">
        <f>IF(VLOOKUP($A2972,'Concrete Beam Schedule'!$A$2:$Q$2902,AE$2,0)&lt;&gt;O2972,"Beam Revised","")</f>
        <v>#N/A</v>
      </c>
    </row>
    <row r="2973" spans="17:31" ht="20.100000000000001" customHeight="1" x14ac:dyDescent="0.25">
      <c r="Q2973" s="7">
        <f t="shared" si="46"/>
        <v>0</v>
      </c>
      <c r="R2973" s="7" t="e">
        <f>IF(VLOOKUP($A2973,'Concrete Beam Schedule'!$A$2:$Q$2902,R$2,0)&lt;&gt;B2973,VLOOKUP($A2973,'Concrete Beam Schedule'!$A$2:$Q$2902,R$2,0),"")</f>
        <v>#N/A</v>
      </c>
      <c r="S2973" s="7" t="e">
        <f>IF(VLOOKUP($A2973,'Concrete Beam Schedule'!$A$2:$Q$2902,S$2,0)&lt;&gt;C2973,VLOOKUP($A2973,'Concrete Beam Schedule'!$A$2:$Q$2902,S$2,0),"")</f>
        <v>#N/A</v>
      </c>
      <c r="T2973" s="7" t="e">
        <f>IF(VLOOKUP($A2973,'Concrete Beam Schedule'!$A$2:$Q$2902,T$2,0)&lt;&gt;D2973,"Beam Revised","")</f>
        <v>#N/A</v>
      </c>
      <c r="U2973" s="7" t="e">
        <f>IF(VLOOKUP($A2973,'Concrete Beam Schedule'!$A$2:$Q$2902,U$2,0)&lt;&gt;E2973,"Beam Revised","")</f>
        <v>#N/A</v>
      </c>
      <c r="V2973" s="7" t="e">
        <f>IF(VLOOKUP($A2973,'Concrete Beam Schedule'!$A$2:$Q$2902,V$2,0)&lt;&gt;F2973,"Beam Revised","")</f>
        <v>#N/A</v>
      </c>
      <c r="W2973" s="7" t="e">
        <f>IF(VLOOKUP($A2973,'Concrete Beam Schedule'!$A$2:$Q$2902,W$2,0)&lt;&gt;G2973,"Beam Revised","")</f>
        <v>#N/A</v>
      </c>
      <c r="X2973" s="7" t="e">
        <f>IF(VLOOKUP($A2973,'Concrete Beam Schedule'!$A$2:$Q$2902,X$2,0)&lt;&gt;H2973,"Beam Revised","")</f>
        <v>#N/A</v>
      </c>
      <c r="Y2973" s="7" t="e">
        <f>IF(VLOOKUP($A2973,'Concrete Beam Schedule'!$A$2:$Q$2902,Y$2,0)&lt;&gt;I2973,"Beam Revised","")</f>
        <v>#N/A</v>
      </c>
      <c r="Z2973" s="7" t="e">
        <f>IF(VLOOKUP($A2973,'Concrete Beam Schedule'!$A$2:$Q$2902,Z$2,0)&lt;&gt;J2973,"Beam Revised","")</f>
        <v>#N/A</v>
      </c>
      <c r="AA2973" s="7" t="e">
        <f>IF(VLOOKUP($A2973,'Concrete Beam Schedule'!$A$2:$Q$2902,AA$2,0)&lt;&gt;K2973,"Beam Revised","")</f>
        <v>#N/A</v>
      </c>
      <c r="AB2973" s="7" t="e">
        <f>IF(VLOOKUP($A2973,'Concrete Beam Schedule'!$A$2:$Q$2902,AB$2,0)&lt;&gt;L2973,"Beam Revised","")</f>
        <v>#N/A</v>
      </c>
      <c r="AC2973" s="7" t="e">
        <f>IF(VLOOKUP($A2973,'Concrete Beam Schedule'!$A$2:$Q$2902,AC$2,0)&lt;&gt;M2973,"Beam Revised","")</f>
        <v>#N/A</v>
      </c>
      <c r="AD2973" s="7" t="e">
        <f>IF(VLOOKUP($A2973,'Concrete Beam Schedule'!$A$2:$Q$2902,AD$2,0)&lt;&gt;N2973,"Beam Revised","")</f>
        <v>#N/A</v>
      </c>
      <c r="AE2973" s="7" t="e">
        <f>IF(VLOOKUP($A2973,'Concrete Beam Schedule'!$A$2:$Q$2902,AE$2,0)&lt;&gt;O2973,"Beam Revised","")</f>
        <v>#N/A</v>
      </c>
    </row>
    <row r="2974" spans="17:31" ht="20.100000000000001" customHeight="1" x14ac:dyDescent="0.25">
      <c r="Q2974" s="7">
        <f t="shared" si="46"/>
        <v>0</v>
      </c>
      <c r="R2974" s="7" t="e">
        <f>IF(VLOOKUP($A2974,'Concrete Beam Schedule'!$A$2:$Q$2902,R$2,0)&lt;&gt;B2974,VLOOKUP($A2974,'Concrete Beam Schedule'!$A$2:$Q$2902,R$2,0),"")</f>
        <v>#N/A</v>
      </c>
      <c r="S2974" s="7" t="e">
        <f>IF(VLOOKUP($A2974,'Concrete Beam Schedule'!$A$2:$Q$2902,S$2,0)&lt;&gt;C2974,VLOOKUP($A2974,'Concrete Beam Schedule'!$A$2:$Q$2902,S$2,0),"")</f>
        <v>#N/A</v>
      </c>
      <c r="T2974" s="7" t="e">
        <f>IF(VLOOKUP($A2974,'Concrete Beam Schedule'!$A$2:$Q$2902,T$2,0)&lt;&gt;D2974,"Beam Revised","")</f>
        <v>#N/A</v>
      </c>
      <c r="U2974" s="7" t="e">
        <f>IF(VLOOKUP($A2974,'Concrete Beam Schedule'!$A$2:$Q$2902,U$2,0)&lt;&gt;E2974,"Beam Revised","")</f>
        <v>#N/A</v>
      </c>
      <c r="V2974" s="7" t="e">
        <f>IF(VLOOKUP($A2974,'Concrete Beam Schedule'!$A$2:$Q$2902,V$2,0)&lt;&gt;F2974,"Beam Revised","")</f>
        <v>#N/A</v>
      </c>
      <c r="W2974" s="7" t="e">
        <f>IF(VLOOKUP($A2974,'Concrete Beam Schedule'!$A$2:$Q$2902,W$2,0)&lt;&gt;G2974,"Beam Revised","")</f>
        <v>#N/A</v>
      </c>
      <c r="X2974" s="7" t="e">
        <f>IF(VLOOKUP($A2974,'Concrete Beam Schedule'!$A$2:$Q$2902,X$2,0)&lt;&gt;H2974,"Beam Revised","")</f>
        <v>#N/A</v>
      </c>
      <c r="Y2974" s="7" t="e">
        <f>IF(VLOOKUP($A2974,'Concrete Beam Schedule'!$A$2:$Q$2902,Y$2,0)&lt;&gt;I2974,"Beam Revised","")</f>
        <v>#N/A</v>
      </c>
      <c r="Z2974" s="7" t="e">
        <f>IF(VLOOKUP($A2974,'Concrete Beam Schedule'!$A$2:$Q$2902,Z$2,0)&lt;&gt;J2974,"Beam Revised","")</f>
        <v>#N/A</v>
      </c>
      <c r="AA2974" s="7" t="e">
        <f>IF(VLOOKUP($A2974,'Concrete Beam Schedule'!$A$2:$Q$2902,AA$2,0)&lt;&gt;K2974,"Beam Revised","")</f>
        <v>#N/A</v>
      </c>
      <c r="AB2974" s="7" t="e">
        <f>IF(VLOOKUP($A2974,'Concrete Beam Schedule'!$A$2:$Q$2902,AB$2,0)&lt;&gt;L2974,"Beam Revised","")</f>
        <v>#N/A</v>
      </c>
      <c r="AC2974" s="7" t="e">
        <f>IF(VLOOKUP($A2974,'Concrete Beam Schedule'!$A$2:$Q$2902,AC$2,0)&lt;&gt;M2974,"Beam Revised","")</f>
        <v>#N/A</v>
      </c>
      <c r="AD2974" s="7" t="e">
        <f>IF(VLOOKUP($A2974,'Concrete Beam Schedule'!$A$2:$Q$2902,AD$2,0)&lt;&gt;N2974,"Beam Revised","")</f>
        <v>#N/A</v>
      </c>
      <c r="AE2974" s="7" t="e">
        <f>IF(VLOOKUP($A2974,'Concrete Beam Schedule'!$A$2:$Q$2902,AE$2,0)&lt;&gt;O2974,"Beam Revised","")</f>
        <v>#N/A</v>
      </c>
    </row>
    <row r="2975" spans="17:31" ht="20.100000000000001" customHeight="1" x14ac:dyDescent="0.25">
      <c r="Q2975" s="7">
        <f t="shared" si="46"/>
        <v>0</v>
      </c>
      <c r="R2975" s="7" t="e">
        <f>IF(VLOOKUP($A2975,'Concrete Beam Schedule'!$A$2:$Q$2902,R$2,0)&lt;&gt;B2975,VLOOKUP($A2975,'Concrete Beam Schedule'!$A$2:$Q$2902,R$2,0),"")</f>
        <v>#N/A</v>
      </c>
      <c r="S2975" s="7" t="e">
        <f>IF(VLOOKUP($A2975,'Concrete Beam Schedule'!$A$2:$Q$2902,S$2,0)&lt;&gt;C2975,VLOOKUP($A2975,'Concrete Beam Schedule'!$A$2:$Q$2902,S$2,0),"")</f>
        <v>#N/A</v>
      </c>
      <c r="T2975" s="7" t="e">
        <f>IF(VLOOKUP($A2975,'Concrete Beam Schedule'!$A$2:$Q$2902,T$2,0)&lt;&gt;D2975,"Beam Revised","")</f>
        <v>#N/A</v>
      </c>
      <c r="U2975" s="7" t="e">
        <f>IF(VLOOKUP($A2975,'Concrete Beam Schedule'!$A$2:$Q$2902,U$2,0)&lt;&gt;E2975,"Beam Revised","")</f>
        <v>#N/A</v>
      </c>
      <c r="V2975" s="7" t="e">
        <f>IF(VLOOKUP($A2975,'Concrete Beam Schedule'!$A$2:$Q$2902,V$2,0)&lt;&gt;F2975,"Beam Revised","")</f>
        <v>#N/A</v>
      </c>
      <c r="W2975" s="7" t="e">
        <f>IF(VLOOKUP($A2975,'Concrete Beam Schedule'!$A$2:$Q$2902,W$2,0)&lt;&gt;G2975,"Beam Revised","")</f>
        <v>#N/A</v>
      </c>
      <c r="X2975" s="7" t="e">
        <f>IF(VLOOKUP($A2975,'Concrete Beam Schedule'!$A$2:$Q$2902,X$2,0)&lt;&gt;H2975,"Beam Revised","")</f>
        <v>#N/A</v>
      </c>
      <c r="Y2975" s="7" t="e">
        <f>IF(VLOOKUP($A2975,'Concrete Beam Schedule'!$A$2:$Q$2902,Y$2,0)&lt;&gt;I2975,"Beam Revised","")</f>
        <v>#N/A</v>
      </c>
      <c r="Z2975" s="7" t="e">
        <f>IF(VLOOKUP($A2975,'Concrete Beam Schedule'!$A$2:$Q$2902,Z$2,0)&lt;&gt;J2975,"Beam Revised","")</f>
        <v>#N/A</v>
      </c>
      <c r="AA2975" s="7" t="e">
        <f>IF(VLOOKUP($A2975,'Concrete Beam Schedule'!$A$2:$Q$2902,AA$2,0)&lt;&gt;K2975,"Beam Revised","")</f>
        <v>#N/A</v>
      </c>
      <c r="AB2975" s="7" t="e">
        <f>IF(VLOOKUP($A2975,'Concrete Beam Schedule'!$A$2:$Q$2902,AB$2,0)&lt;&gt;L2975,"Beam Revised","")</f>
        <v>#N/A</v>
      </c>
      <c r="AC2975" s="7" t="e">
        <f>IF(VLOOKUP($A2975,'Concrete Beam Schedule'!$A$2:$Q$2902,AC$2,0)&lt;&gt;M2975,"Beam Revised","")</f>
        <v>#N/A</v>
      </c>
      <c r="AD2975" s="7" t="e">
        <f>IF(VLOOKUP($A2975,'Concrete Beam Schedule'!$A$2:$Q$2902,AD$2,0)&lt;&gt;N2975,"Beam Revised","")</f>
        <v>#N/A</v>
      </c>
      <c r="AE2975" s="7" t="e">
        <f>IF(VLOOKUP($A2975,'Concrete Beam Schedule'!$A$2:$Q$2902,AE$2,0)&lt;&gt;O2975,"Beam Revised","")</f>
        <v>#N/A</v>
      </c>
    </row>
    <row r="2976" spans="17:31" ht="20.100000000000001" customHeight="1" x14ac:dyDescent="0.25">
      <c r="Q2976" s="7">
        <f t="shared" si="46"/>
        <v>0</v>
      </c>
      <c r="R2976" s="7" t="e">
        <f>IF(VLOOKUP($A2976,'Concrete Beam Schedule'!$A$2:$Q$2902,R$2,0)&lt;&gt;B2976,VLOOKUP($A2976,'Concrete Beam Schedule'!$A$2:$Q$2902,R$2,0),"")</f>
        <v>#N/A</v>
      </c>
      <c r="S2976" s="7" t="e">
        <f>IF(VLOOKUP($A2976,'Concrete Beam Schedule'!$A$2:$Q$2902,S$2,0)&lt;&gt;C2976,VLOOKUP($A2976,'Concrete Beam Schedule'!$A$2:$Q$2902,S$2,0),"")</f>
        <v>#N/A</v>
      </c>
      <c r="T2976" s="7" t="e">
        <f>IF(VLOOKUP($A2976,'Concrete Beam Schedule'!$A$2:$Q$2902,T$2,0)&lt;&gt;D2976,"Beam Revised","")</f>
        <v>#N/A</v>
      </c>
      <c r="U2976" s="7" t="e">
        <f>IF(VLOOKUP($A2976,'Concrete Beam Schedule'!$A$2:$Q$2902,U$2,0)&lt;&gt;E2976,"Beam Revised","")</f>
        <v>#N/A</v>
      </c>
      <c r="V2976" s="7" t="e">
        <f>IF(VLOOKUP($A2976,'Concrete Beam Schedule'!$A$2:$Q$2902,V$2,0)&lt;&gt;F2976,"Beam Revised","")</f>
        <v>#N/A</v>
      </c>
      <c r="W2976" s="7" t="e">
        <f>IF(VLOOKUP($A2976,'Concrete Beam Schedule'!$A$2:$Q$2902,W$2,0)&lt;&gt;G2976,"Beam Revised","")</f>
        <v>#N/A</v>
      </c>
      <c r="X2976" s="7" t="e">
        <f>IF(VLOOKUP($A2976,'Concrete Beam Schedule'!$A$2:$Q$2902,X$2,0)&lt;&gt;H2976,"Beam Revised","")</f>
        <v>#N/A</v>
      </c>
      <c r="Y2976" s="7" t="e">
        <f>IF(VLOOKUP($A2976,'Concrete Beam Schedule'!$A$2:$Q$2902,Y$2,0)&lt;&gt;I2976,"Beam Revised","")</f>
        <v>#N/A</v>
      </c>
      <c r="Z2976" s="7" t="e">
        <f>IF(VLOOKUP($A2976,'Concrete Beam Schedule'!$A$2:$Q$2902,Z$2,0)&lt;&gt;J2976,"Beam Revised","")</f>
        <v>#N/A</v>
      </c>
      <c r="AA2976" s="7" t="e">
        <f>IF(VLOOKUP($A2976,'Concrete Beam Schedule'!$A$2:$Q$2902,AA$2,0)&lt;&gt;K2976,"Beam Revised","")</f>
        <v>#N/A</v>
      </c>
      <c r="AB2976" s="7" t="e">
        <f>IF(VLOOKUP($A2976,'Concrete Beam Schedule'!$A$2:$Q$2902,AB$2,0)&lt;&gt;L2976,"Beam Revised","")</f>
        <v>#N/A</v>
      </c>
      <c r="AC2976" s="7" t="e">
        <f>IF(VLOOKUP($A2976,'Concrete Beam Schedule'!$A$2:$Q$2902,AC$2,0)&lt;&gt;M2976,"Beam Revised","")</f>
        <v>#N/A</v>
      </c>
      <c r="AD2976" s="7" t="e">
        <f>IF(VLOOKUP($A2976,'Concrete Beam Schedule'!$A$2:$Q$2902,AD$2,0)&lt;&gt;N2976,"Beam Revised","")</f>
        <v>#N/A</v>
      </c>
      <c r="AE2976" s="7" t="e">
        <f>IF(VLOOKUP($A2976,'Concrete Beam Schedule'!$A$2:$Q$2902,AE$2,0)&lt;&gt;O2976,"Beam Revised","")</f>
        <v>#N/A</v>
      </c>
    </row>
    <row r="2977" spans="17:31" ht="20.100000000000001" customHeight="1" x14ac:dyDescent="0.25">
      <c r="Q2977" s="7">
        <f t="shared" si="46"/>
        <v>0</v>
      </c>
      <c r="R2977" s="7" t="e">
        <f>IF(VLOOKUP($A2977,'Concrete Beam Schedule'!$A$2:$Q$2902,R$2,0)&lt;&gt;B2977,VLOOKUP($A2977,'Concrete Beam Schedule'!$A$2:$Q$2902,R$2,0),"")</f>
        <v>#N/A</v>
      </c>
      <c r="S2977" s="7" t="e">
        <f>IF(VLOOKUP($A2977,'Concrete Beam Schedule'!$A$2:$Q$2902,S$2,0)&lt;&gt;C2977,VLOOKUP($A2977,'Concrete Beam Schedule'!$A$2:$Q$2902,S$2,0),"")</f>
        <v>#N/A</v>
      </c>
      <c r="T2977" s="7" t="e">
        <f>IF(VLOOKUP($A2977,'Concrete Beam Schedule'!$A$2:$Q$2902,T$2,0)&lt;&gt;D2977,"Beam Revised","")</f>
        <v>#N/A</v>
      </c>
      <c r="U2977" s="7" t="e">
        <f>IF(VLOOKUP($A2977,'Concrete Beam Schedule'!$A$2:$Q$2902,U$2,0)&lt;&gt;E2977,"Beam Revised","")</f>
        <v>#N/A</v>
      </c>
      <c r="V2977" s="7" t="e">
        <f>IF(VLOOKUP($A2977,'Concrete Beam Schedule'!$A$2:$Q$2902,V$2,0)&lt;&gt;F2977,"Beam Revised","")</f>
        <v>#N/A</v>
      </c>
      <c r="W2977" s="7" t="e">
        <f>IF(VLOOKUP($A2977,'Concrete Beam Schedule'!$A$2:$Q$2902,W$2,0)&lt;&gt;G2977,"Beam Revised","")</f>
        <v>#N/A</v>
      </c>
      <c r="X2977" s="7" t="e">
        <f>IF(VLOOKUP($A2977,'Concrete Beam Schedule'!$A$2:$Q$2902,X$2,0)&lt;&gt;H2977,"Beam Revised","")</f>
        <v>#N/A</v>
      </c>
      <c r="Y2977" s="7" t="e">
        <f>IF(VLOOKUP($A2977,'Concrete Beam Schedule'!$A$2:$Q$2902,Y$2,0)&lt;&gt;I2977,"Beam Revised","")</f>
        <v>#N/A</v>
      </c>
      <c r="Z2977" s="7" t="e">
        <f>IF(VLOOKUP($A2977,'Concrete Beam Schedule'!$A$2:$Q$2902,Z$2,0)&lt;&gt;J2977,"Beam Revised","")</f>
        <v>#N/A</v>
      </c>
      <c r="AA2977" s="7" t="e">
        <f>IF(VLOOKUP($A2977,'Concrete Beam Schedule'!$A$2:$Q$2902,AA$2,0)&lt;&gt;K2977,"Beam Revised","")</f>
        <v>#N/A</v>
      </c>
      <c r="AB2977" s="7" t="e">
        <f>IF(VLOOKUP($A2977,'Concrete Beam Schedule'!$A$2:$Q$2902,AB$2,0)&lt;&gt;L2977,"Beam Revised","")</f>
        <v>#N/A</v>
      </c>
      <c r="AC2977" s="7" t="e">
        <f>IF(VLOOKUP($A2977,'Concrete Beam Schedule'!$A$2:$Q$2902,AC$2,0)&lt;&gt;M2977,"Beam Revised","")</f>
        <v>#N/A</v>
      </c>
      <c r="AD2977" s="7" t="e">
        <f>IF(VLOOKUP($A2977,'Concrete Beam Schedule'!$A$2:$Q$2902,AD$2,0)&lt;&gt;N2977,"Beam Revised","")</f>
        <v>#N/A</v>
      </c>
      <c r="AE2977" s="7" t="e">
        <f>IF(VLOOKUP($A2977,'Concrete Beam Schedule'!$A$2:$Q$2902,AE$2,0)&lt;&gt;O2977,"Beam Revised","")</f>
        <v>#N/A</v>
      </c>
    </row>
    <row r="2978" spans="17:31" ht="20.100000000000001" customHeight="1" x14ac:dyDescent="0.25">
      <c r="Q2978" s="7">
        <f t="shared" si="46"/>
        <v>0</v>
      </c>
      <c r="R2978" s="7" t="e">
        <f>IF(VLOOKUP($A2978,'Concrete Beam Schedule'!$A$2:$Q$2902,R$2,0)&lt;&gt;B2978,VLOOKUP($A2978,'Concrete Beam Schedule'!$A$2:$Q$2902,R$2,0),"")</f>
        <v>#N/A</v>
      </c>
      <c r="S2978" s="7" t="e">
        <f>IF(VLOOKUP($A2978,'Concrete Beam Schedule'!$A$2:$Q$2902,S$2,0)&lt;&gt;C2978,VLOOKUP($A2978,'Concrete Beam Schedule'!$A$2:$Q$2902,S$2,0),"")</f>
        <v>#N/A</v>
      </c>
      <c r="T2978" s="7" t="e">
        <f>IF(VLOOKUP($A2978,'Concrete Beam Schedule'!$A$2:$Q$2902,T$2,0)&lt;&gt;D2978,"Beam Revised","")</f>
        <v>#N/A</v>
      </c>
      <c r="U2978" s="7" t="e">
        <f>IF(VLOOKUP($A2978,'Concrete Beam Schedule'!$A$2:$Q$2902,U$2,0)&lt;&gt;E2978,"Beam Revised","")</f>
        <v>#N/A</v>
      </c>
      <c r="V2978" s="7" t="e">
        <f>IF(VLOOKUP($A2978,'Concrete Beam Schedule'!$A$2:$Q$2902,V$2,0)&lt;&gt;F2978,"Beam Revised","")</f>
        <v>#N/A</v>
      </c>
      <c r="W2978" s="7" t="e">
        <f>IF(VLOOKUP($A2978,'Concrete Beam Schedule'!$A$2:$Q$2902,W$2,0)&lt;&gt;G2978,"Beam Revised","")</f>
        <v>#N/A</v>
      </c>
      <c r="X2978" s="7" t="e">
        <f>IF(VLOOKUP($A2978,'Concrete Beam Schedule'!$A$2:$Q$2902,X$2,0)&lt;&gt;H2978,"Beam Revised","")</f>
        <v>#N/A</v>
      </c>
      <c r="Y2978" s="7" t="e">
        <f>IF(VLOOKUP($A2978,'Concrete Beam Schedule'!$A$2:$Q$2902,Y$2,0)&lt;&gt;I2978,"Beam Revised","")</f>
        <v>#N/A</v>
      </c>
      <c r="Z2978" s="7" t="e">
        <f>IF(VLOOKUP($A2978,'Concrete Beam Schedule'!$A$2:$Q$2902,Z$2,0)&lt;&gt;J2978,"Beam Revised","")</f>
        <v>#N/A</v>
      </c>
      <c r="AA2978" s="7" t="e">
        <f>IF(VLOOKUP($A2978,'Concrete Beam Schedule'!$A$2:$Q$2902,AA$2,0)&lt;&gt;K2978,"Beam Revised","")</f>
        <v>#N/A</v>
      </c>
      <c r="AB2978" s="7" t="e">
        <f>IF(VLOOKUP($A2978,'Concrete Beam Schedule'!$A$2:$Q$2902,AB$2,0)&lt;&gt;L2978,"Beam Revised","")</f>
        <v>#N/A</v>
      </c>
      <c r="AC2978" s="7" t="e">
        <f>IF(VLOOKUP($A2978,'Concrete Beam Schedule'!$A$2:$Q$2902,AC$2,0)&lt;&gt;M2978,"Beam Revised","")</f>
        <v>#N/A</v>
      </c>
      <c r="AD2978" s="7" t="e">
        <f>IF(VLOOKUP($A2978,'Concrete Beam Schedule'!$A$2:$Q$2902,AD$2,0)&lt;&gt;N2978,"Beam Revised","")</f>
        <v>#N/A</v>
      </c>
      <c r="AE2978" s="7" t="e">
        <f>IF(VLOOKUP($A2978,'Concrete Beam Schedule'!$A$2:$Q$2902,AE$2,0)&lt;&gt;O2978,"Beam Revised","")</f>
        <v>#N/A</v>
      </c>
    </row>
    <row r="2979" spans="17:31" ht="20.100000000000001" customHeight="1" x14ac:dyDescent="0.25">
      <c r="Q2979" s="7">
        <f t="shared" si="46"/>
        <v>0</v>
      </c>
      <c r="R2979" s="7" t="e">
        <f>IF(VLOOKUP($A2979,'Concrete Beam Schedule'!$A$2:$Q$2902,R$2,0)&lt;&gt;B2979,VLOOKUP($A2979,'Concrete Beam Schedule'!$A$2:$Q$2902,R$2,0),"")</f>
        <v>#N/A</v>
      </c>
      <c r="S2979" s="7" t="e">
        <f>IF(VLOOKUP($A2979,'Concrete Beam Schedule'!$A$2:$Q$2902,S$2,0)&lt;&gt;C2979,VLOOKUP($A2979,'Concrete Beam Schedule'!$A$2:$Q$2902,S$2,0),"")</f>
        <v>#N/A</v>
      </c>
      <c r="T2979" s="7" t="e">
        <f>IF(VLOOKUP($A2979,'Concrete Beam Schedule'!$A$2:$Q$2902,T$2,0)&lt;&gt;D2979,"Beam Revised","")</f>
        <v>#N/A</v>
      </c>
      <c r="U2979" s="7" t="e">
        <f>IF(VLOOKUP($A2979,'Concrete Beam Schedule'!$A$2:$Q$2902,U$2,0)&lt;&gt;E2979,"Beam Revised","")</f>
        <v>#N/A</v>
      </c>
      <c r="V2979" s="7" t="e">
        <f>IF(VLOOKUP($A2979,'Concrete Beam Schedule'!$A$2:$Q$2902,V$2,0)&lt;&gt;F2979,"Beam Revised","")</f>
        <v>#N/A</v>
      </c>
      <c r="W2979" s="7" t="e">
        <f>IF(VLOOKUP($A2979,'Concrete Beam Schedule'!$A$2:$Q$2902,W$2,0)&lt;&gt;G2979,"Beam Revised","")</f>
        <v>#N/A</v>
      </c>
      <c r="X2979" s="7" t="e">
        <f>IF(VLOOKUP($A2979,'Concrete Beam Schedule'!$A$2:$Q$2902,X$2,0)&lt;&gt;H2979,"Beam Revised","")</f>
        <v>#N/A</v>
      </c>
      <c r="Y2979" s="7" t="e">
        <f>IF(VLOOKUP($A2979,'Concrete Beam Schedule'!$A$2:$Q$2902,Y$2,0)&lt;&gt;I2979,"Beam Revised","")</f>
        <v>#N/A</v>
      </c>
      <c r="Z2979" s="7" t="e">
        <f>IF(VLOOKUP($A2979,'Concrete Beam Schedule'!$A$2:$Q$2902,Z$2,0)&lt;&gt;J2979,"Beam Revised","")</f>
        <v>#N/A</v>
      </c>
      <c r="AA2979" s="7" t="e">
        <f>IF(VLOOKUP($A2979,'Concrete Beam Schedule'!$A$2:$Q$2902,AA$2,0)&lt;&gt;K2979,"Beam Revised","")</f>
        <v>#N/A</v>
      </c>
      <c r="AB2979" s="7" t="e">
        <f>IF(VLOOKUP($A2979,'Concrete Beam Schedule'!$A$2:$Q$2902,AB$2,0)&lt;&gt;L2979,"Beam Revised","")</f>
        <v>#N/A</v>
      </c>
      <c r="AC2979" s="7" t="e">
        <f>IF(VLOOKUP($A2979,'Concrete Beam Schedule'!$A$2:$Q$2902,AC$2,0)&lt;&gt;M2979,"Beam Revised","")</f>
        <v>#N/A</v>
      </c>
      <c r="AD2979" s="7" t="e">
        <f>IF(VLOOKUP($A2979,'Concrete Beam Schedule'!$A$2:$Q$2902,AD$2,0)&lt;&gt;N2979,"Beam Revised","")</f>
        <v>#N/A</v>
      </c>
      <c r="AE2979" s="7" t="e">
        <f>IF(VLOOKUP($A2979,'Concrete Beam Schedule'!$A$2:$Q$2902,AE$2,0)&lt;&gt;O2979,"Beam Revised","")</f>
        <v>#N/A</v>
      </c>
    </row>
    <row r="2980" spans="17:31" ht="20.100000000000001" customHeight="1" x14ac:dyDescent="0.25">
      <c r="Q2980" s="7">
        <f t="shared" si="46"/>
        <v>0</v>
      </c>
      <c r="R2980" s="7" t="e">
        <f>IF(VLOOKUP($A2980,'Concrete Beam Schedule'!$A$2:$Q$2902,R$2,0)&lt;&gt;B2980,VLOOKUP($A2980,'Concrete Beam Schedule'!$A$2:$Q$2902,R$2,0),"")</f>
        <v>#N/A</v>
      </c>
      <c r="S2980" s="7" t="e">
        <f>IF(VLOOKUP($A2980,'Concrete Beam Schedule'!$A$2:$Q$2902,S$2,0)&lt;&gt;C2980,VLOOKUP($A2980,'Concrete Beam Schedule'!$A$2:$Q$2902,S$2,0),"")</f>
        <v>#N/A</v>
      </c>
      <c r="T2980" s="7" t="e">
        <f>IF(VLOOKUP($A2980,'Concrete Beam Schedule'!$A$2:$Q$2902,T$2,0)&lt;&gt;D2980,"Beam Revised","")</f>
        <v>#N/A</v>
      </c>
      <c r="U2980" s="7" t="e">
        <f>IF(VLOOKUP($A2980,'Concrete Beam Schedule'!$A$2:$Q$2902,U$2,0)&lt;&gt;E2980,"Beam Revised","")</f>
        <v>#N/A</v>
      </c>
      <c r="V2980" s="7" t="e">
        <f>IF(VLOOKUP($A2980,'Concrete Beam Schedule'!$A$2:$Q$2902,V$2,0)&lt;&gt;F2980,"Beam Revised","")</f>
        <v>#N/A</v>
      </c>
      <c r="W2980" s="7" t="e">
        <f>IF(VLOOKUP($A2980,'Concrete Beam Schedule'!$A$2:$Q$2902,W$2,0)&lt;&gt;G2980,"Beam Revised","")</f>
        <v>#N/A</v>
      </c>
      <c r="X2980" s="7" t="e">
        <f>IF(VLOOKUP($A2980,'Concrete Beam Schedule'!$A$2:$Q$2902,X$2,0)&lt;&gt;H2980,"Beam Revised","")</f>
        <v>#N/A</v>
      </c>
      <c r="Y2980" s="7" t="e">
        <f>IF(VLOOKUP($A2980,'Concrete Beam Schedule'!$A$2:$Q$2902,Y$2,0)&lt;&gt;I2980,"Beam Revised","")</f>
        <v>#N/A</v>
      </c>
      <c r="Z2980" s="7" t="e">
        <f>IF(VLOOKUP($A2980,'Concrete Beam Schedule'!$A$2:$Q$2902,Z$2,0)&lt;&gt;J2980,"Beam Revised","")</f>
        <v>#N/A</v>
      </c>
      <c r="AA2980" s="7" t="e">
        <f>IF(VLOOKUP($A2980,'Concrete Beam Schedule'!$A$2:$Q$2902,AA$2,0)&lt;&gt;K2980,"Beam Revised","")</f>
        <v>#N/A</v>
      </c>
      <c r="AB2980" s="7" t="e">
        <f>IF(VLOOKUP($A2980,'Concrete Beam Schedule'!$A$2:$Q$2902,AB$2,0)&lt;&gt;L2980,"Beam Revised","")</f>
        <v>#N/A</v>
      </c>
      <c r="AC2980" s="7" t="e">
        <f>IF(VLOOKUP($A2980,'Concrete Beam Schedule'!$A$2:$Q$2902,AC$2,0)&lt;&gt;M2980,"Beam Revised","")</f>
        <v>#N/A</v>
      </c>
      <c r="AD2980" s="7" t="e">
        <f>IF(VLOOKUP($A2980,'Concrete Beam Schedule'!$A$2:$Q$2902,AD$2,0)&lt;&gt;N2980,"Beam Revised","")</f>
        <v>#N/A</v>
      </c>
      <c r="AE2980" s="7" t="e">
        <f>IF(VLOOKUP($A2980,'Concrete Beam Schedule'!$A$2:$Q$2902,AE$2,0)&lt;&gt;O2980,"Beam Revised","")</f>
        <v>#N/A</v>
      </c>
    </row>
    <row r="2981" spans="17:31" ht="20.100000000000001" customHeight="1" x14ac:dyDescent="0.25">
      <c r="Q2981" s="7">
        <f t="shared" si="46"/>
        <v>0</v>
      </c>
      <c r="R2981" s="7" t="e">
        <f>IF(VLOOKUP($A2981,'Concrete Beam Schedule'!$A$2:$Q$2902,R$2,0)&lt;&gt;B2981,VLOOKUP($A2981,'Concrete Beam Schedule'!$A$2:$Q$2902,R$2,0),"")</f>
        <v>#N/A</v>
      </c>
      <c r="S2981" s="7" t="e">
        <f>IF(VLOOKUP($A2981,'Concrete Beam Schedule'!$A$2:$Q$2902,S$2,0)&lt;&gt;C2981,VLOOKUP($A2981,'Concrete Beam Schedule'!$A$2:$Q$2902,S$2,0),"")</f>
        <v>#N/A</v>
      </c>
      <c r="T2981" s="7" t="e">
        <f>IF(VLOOKUP($A2981,'Concrete Beam Schedule'!$A$2:$Q$2902,T$2,0)&lt;&gt;D2981,"Beam Revised","")</f>
        <v>#N/A</v>
      </c>
      <c r="U2981" s="7" t="e">
        <f>IF(VLOOKUP($A2981,'Concrete Beam Schedule'!$A$2:$Q$2902,U$2,0)&lt;&gt;E2981,"Beam Revised","")</f>
        <v>#N/A</v>
      </c>
      <c r="V2981" s="7" t="e">
        <f>IF(VLOOKUP($A2981,'Concrete Beam Schedule'!$A$2:$Q$2902,V$2,0)&lt;&gt;F2981,"Beam Revised","")</f>
        <v>#N/A</v>
      </c>
      <c r="W2981" s="7" t="e">
        <f>IF(VLOOKUP($A2981,'Concrete Beam Schedule'!$A$2:$Q$2902,W$2,0)&lt;&gt;G2981,"Beam Revised","")</f>
        <v>#N/A</v>
      </c>
      <c r="X2981" s="7" t="e">
        <f>IF(VLOOKUP($A2981,'Concrete Beam Schedule'!$A$2:$Q$2902,X$2,0)&lt;&gt;H2981,"Beam Revised","")</f>
        <v>#N/A</v>
      </c>
      <c r="Y2981" s="7" t="e">
        <f>IF(VLOOKUP($A2981,'Concrete Beam Schedule'!$A$2:$Q$2902,Y$2,0)&lt;&gt;I2981,"Beam Revised","")</f>
        <v>#N/A</v>
      </c>
      <c r="Z2981" s="7" t="e">
        <f>IF(VLOOKUP($A2981,'Concrete Beam Schedule'!$A$2:$Q$2902,Z$2,0)&lt;&gt;J2981,"Beam Revised","")</f>
        <v>#N/A</v>
      </c>
      <c r="AA2981" s="7" t="e">
        <f>IF(VLOOKUP($A2981,'Concrete Beam Schedule'!$A$2:$Q$2902,AA$2,0)&lt;&gt;K2981,"Beam Revised","")</f>
        <v>#N/A</v>
      </c>
      <c r="AB2981" s="7" t="e">
        <f>IF(VLOOKUP($A2981,'Concrete Beam Schedule'!$A$2:$Q$2902,AB$2,0)&lt;&gt;L2981,"Beam Revised","")</f>
        <v>#N/A</v>
      </c>
      <c r="AC2981" s="7" t="e">
        <f>IF(VLOOKUP($A2981,'Concrete Beam Schedule'!$A$2:$Q$2902,AC$2,0)&lt;&gt;M2981,"Beam Revised","")</f>
        <v>#N/A</v>
      </c>
      <c r="AD2981" s="7" t="e">
        <f>IF(VLOOKUP($A2981,'Concrete Beam Schedule'!$A$2:$Q$2902,AD$2,0)&lt;&gt;N2981,"Beam Revised","")</f>
        <v>#N/A</v>
      </c>
      <c r="AE2981" s="7" t="e">
        <f>IF(VLOOKUP($A2981,'Concrete Beam Schedule'!$A$2:$Q$2902,AE$2,0)&lt;&gt;O2981,"Beam Revised","")</f>
        <v>#N/A</v>
      </c>
    </row>
    <row r="2982" spans="17:31" ht="20.100000000000001" customHeight="1" x14ac:dyDescent="0.25">
      <c r="Q2982" s="7">
        <f t="shared" si="46"/>
        <v>0</v>
      </c>
      <c r="R2982" s="7" t="e">
        <f>IF(VLOOKUP($A2982,'Concrete Beam Schedule'!$A$2:$Q$2902,R$2,0)&lt;&gt;B2982,VLOOKUP($A2982,'Concrete Beam Schedule'!$A$2:$Q$2902,R$2,0),"")</f>
        <v>#N/A</v>
      </c>
      <c r="S2982" s="7" t="e">
        <f>IF(VLOOKUP($A2982,'Concrete Beam Schedule'!$A$2:$Q$2902,S$2,0)&lt;&gt;C2982,VLOOKUP($A2982,'Concrete Beam Schedule'!$A$2:$Q$2902,S$2,0),"")</f>
        <v>#N/A</v>
      </c>
      <c r="T2982" s="7" t="e">
        <f>IF(VLOOKUP($A2982,'Concrete Beam Schedule'!$A$2:$Q$2902,T$2,0)&lt;&gt;D2982,"Beam Revised","")</f>
        <v>#N/A</v>
      </c>
      <c r="U2982" s="7" t="e">
        <f>IF(VLOOKUP($A2982,'Concrete Beam Schedule'!$A$2:$Q$2902,U$2,0)&lt;&gt;E2982,"Beam Revised","")</f>
        <v>#N/A</v>
      </c>
      <c r="V2982" s="7" t="e">
        <f>IF(VLOOKUP($A2982,'Concrete Beam Schedule'!$A$2:$Q$2902,V$2,0)&lt;&gt;F2982,"Beam Revised","")</f>
        <v>#N/A</v>
      </c>
      <c r="W2982" s="7" t="e">
        <f>IF(VLOOKUP($A2982,'Concrete Beam Schedule'!$A$2:$Q$2902,W$2,0)&lt;&gt;G2982,"Beam Revised","")</f>
        <v>#N/A</v>
      </c>
      <c r="X2982" s="7" t="e">
        <f>IF(VLOOKUP($A2982,'Concrete Beam Schedule'!$A$2:$Q$2902,X$2,0)&lt;&gt;H2982,"Beam Revised","")</f>
        <v>#N/A</v>
      </c>
      <c r="Y2982" s="7" t="e">
        <f>IF(VLOOKUP($A2982,'Concrete Beam Schedule'!$A$2:$Q$2902,Y$2,0)&lt;&gt;I2982,"Beam Revised","")</f>
        <v>#N/A</v>
      </c>
      <c r="Z2982" s="7" t="e">
        <f>IF(VLOOKUP($A2982,'Concrete Beam Schedule'!$A$2:$Q$2902,Z$2,0)&lt;&gt;J2982,"Beam Revised","")</f>
        <v>#N/A</v>
      </c>
      <c r="AA2982" s="7" t="e">
        <f>IF(VLOOKUP($A2982,'Concrete Beam Schedule'!$A$2:$Q$2902,AA$2,0)&lt;&gt;K2982,"Beam Revised","")</f>
        <v>#N/A</v>
      </c>
      <c r="AB2982" s="7" t="e">
        <f>IF(VLOOKUP($A2982,'Concrete Beam Schedule'!$A$2:$Q$2902,AB$2,0)&lt;&gt;L2982,"Beam Revised","")</f>
        <v>#N/A</v>
      </c>
      <c r="AC2982" s="7" t="e">
        <f>IF(VLOOKUP($A2982,'Concrete Beam Schedule'!$A$2:$Q$2902,AC$2,0)&lt;&gt;M2982,"Beam Revised","")</f>
        <v>#N/A</v>
      </c>
      <c r="AD2982" s="7" t="e">
        <f>IF(VLOOKUP($A2982,'Concrete Beam Schedule'!$A$2:$Q$2902,AD$2,0)&lt;&gt;N2982,"Beam Revised","")</f>
        <v>#N/A</v>
      </c>
      <c r="AE2982" s="7" t="e">
        <f>IF(VLOOKUP($A2982,'Concrete Beam Schedule'!$A$2:$Q$2902,AE$2,0)&lt;&gt;O2982,"Beam Revised","")</f>
        <v>#N/A</v>
      </c>
    </row>
    <row r="2983" spans="17:31" ht="20.100000000000001" customHeight="1" x14ac:dyDescent="0.25">
      <c r="Q2983" s="7">
        <f t="shared" si="46"/>
        <v>0</v>
      </c>
      <c r="R2983" s="7" t="e">
        <f>IF(VLOOKUP($A2983,'Concrete Beam Schedule'!$A$2:$Q$2902,R$2,0)&lt;&gt;B2983,VLOOKUP($A2983,'Concrete Beam Schedule'!$A$2:$Q$2902,R$2,0),"")</f>
        <v>#N/A</v>
      </c>
      <c r="S2983" s="7" t="e">
        <f>IF(VLOOKUP($A2983,'Concrete Beam Schedule'!$A$2:$Q$2902,S$2,0)&lt;&gt;C2983,VLOOKUP($A2983,'Concrete Beam Schedule'!$A$2:$Q$2902,S$2,0),"")</f>
        <v>#N/A</v>
      </c>
      <c r="T2983" s="7" t="e">
        <f>IF(VLOOKUP($A2983,'Concrete Beam Schedule'!$A$2:$Q$2902,T$2,0)&lt;&gt;D2983,"Beam Revised","")</f>
        <v>#N/A</v>
      </c>
      <c r="U2983" s="7" t="e">
        <f>IF(VLOOKUP($A2983,'Concrete Beam Schedule'!$A$2:$Q$2902,U$2,0)&lt;&gt;E2983,"Beam Revised","")</f>
        <v>#N/A</v>
      </c>
      <c r="V2983" s="7" t="e">
        <f>IF(VLOOKUP($A2983,'Concrete Beam Schedule'!$A$2:$Q$2902,V$2,0)&lt;&gt;F2983,"Beam Revised","")</f>
        <v>#N/A</v>
      </c>
      <c r="W2983" s="7" t="e">
        <f>IF(VLOOKUP($A2983,'Concrete Beam Schedule'!$A$2:$Q$2902,W$2,0)&lt;&gt;G2983,"Beam Revised","")</f>
        <v>#N/A</v>
      </c>
      <c r="X2983" s="7" t="e">
        <f>IF(VLOOKUP($A2983,'Concrete Beam Schedule'!$A$2:$Q$2902,X$2,0)&lt;&gt;H2983,"Beam Revised","")</f>
        <v>#N/A</v>
      </c>
      <c r="Y2983" s="7" t="e">
        <f>IF(VLOOKUP($A2983,'Concrete Beam Schedule'!$A$2:$Q$2902,Y$2,0)&lt;&gt;I2983,"Beam Revised","")</f>
        <v>#N/A</v>
      </c>
      <c r="Z2983" s="7" t="e">
        <f>IF(VLOOKUP($A2983,'Concrete Beam Schedule'!$A$2:$Q$2902,Z$2,0)&lt;&gt;J2983,"Beam Revised","")</f>
        <v>#N/A</v>
      </c>
      <c r="AA2983" s="7" t="e">
        <f>IF(VLOOKUP($A2983,'Concrete Beam Schedule'!$A$2:$Q$2902,AA$2,0)&lt;&gt;K2983,"Beam Revised","")</f>
        <v>#N/A</v>
      </c>
      <c r="AB2983" s="7" t="e">
        <f>IF(VLOOKUP($A2983,'Concrete Beam Schedule'!$A$2:$Q$2902,AB$2,0)&lt;&gt;L2983,"Beam Revised","")</f>
        <v>#N/A</v>
      </c>
      <c r="AC2983" s="7" t="e">
        <f>IF(VLOOKUP($A2983,'Concrete Beam Schedule'!$A$2:$Q$2902,AC$2,0)&lt;&gt;M2983,"Beam Revised","")</f>
        <v>#N/A</v>
      </c>
      <c r="AD2983" s="7" t="e">
        <f>IF(VLOOKUP($A2983,'Concrete Beam Schedule'!$A$2:$Q$2902,AD$2,0)&lt;&gt;N2983,"Beam Revised","")</f>
        <v>#N/A</v>
      </c>
      <c r="AE2983" s="7" t="e">
        <f>IF(VLOOKUP($A2983,'Concrete Beam Schedule'!$A$2:$Q$2902,AE$2,0)&lt;&gt;O2983,"Beam Revised","")</f>
        <v>#N/A</v>
      </c>
    </row>
    <row r="2984" spans="17:31" ht="20.100000000000001" customHeight="1" x14ac:dyDescent="0.25">
      <c r="Q2984" s="7">
        <f t="shared" si="46"/>
        <v>0</v>
      </c>
      <c r="R2984" s="7" t="e">
        <f>IF(VLOOKUP($A2984,'Concrete Beam Schedule'!$A$2:$Q$2902,R$2,0)&lt;&gt;B2984,VLOOKUP($A2984,'Concrete Beam Schedule'!$A$2:$Q$2902,R$2,0),"")</f>
        <v>#N/A</v>
      </c>
      <c r="S2984" s="7" t="e">
        <f>IF(VLOOKUP($A2984,'Concrete Beam Schedule'!$A$2:$Q$2902,S$2,0)&lt;&gt;C2984,VLOOKUP($A2984,'Concrete Beam Schedule'!$A$2:$Q$2902,S$2,0),"")</f>
        <v>#N/A</v>
      </c>
      <c r="T2984" s="7" t="e">
        <f>IF(VLOOKUP($A2984,'Concrete Beam Schedule'!$A$2:$Q$2902,T$2,0)&lt;&gt;D2984,"Beam Revised","")</f>
        <v>#N/A</v>
      </c>
      <c r="U2984" s="7" t="e">
        <f>IF(VLOOKUP($A2984,'Concrete Beam Schedule'!$A$2:$Q$2902,U$2,0)&lt;&gt;E2984,"Beam Revised","")</f>
        <v>#N/A</v>
      </c>
      <c r="V2984" s="7" t="e">
        <f>IF(VLOOKUP($A2984,'Concrete Beam Schedule'!$A$2:$Q$2902,V$2,0)&lt;&gt;F2984,"Beam Revised","")</f>
        <v>#N/A</v>
      </c>
      <c r="W2984" s="7" t="e">
        <f>IF(VLOOKUP($A2984,'Concrete Beam Schedule'!$A$2:$Q$2902,W$2,0)&lt;&gt;G2984,"Beam Revised","")</f>
        <v>#N/A</v>
      </c>
      <c r="X2984" s="7" t="e">
        <f>IF(VLOOKUP($A2984,'Concrete Beam Schedule'!$A$2:$Q$2902,X$2,0)&lt;&gt;H2984,"Beam Revised","")</f>
        <v>#N/A</v>
      </c>
      <c r="Y2984" s="7" t="e">
        <f>IF(VLOOKUP($A2984,'Concrete Beam Schedule'!$A$2:$Q$2902,Y$2,0)&lt;&gt;I2984,"Beam Revised","")</f>
        <v>#N/A</v>
      </c>
      <c r="Z2984" s="7" t="e">
        <f>IF(VLOOKUP($A2984,'Concrete Beam Schedule'!$A$2:$Q$2902,Z$2,0)&lt;&gt;J2984,"Beam Revised","")</f>
        <v>#N/A</v>
      </c>
      <c r="AA2984" s="7" t="e">
        <f>IF(VLOOKUP($A2984,'Concrete Beam Schedule'!$A$2:$Q$2902,AA$2,0)&lt;&gt;K2984,"Beam Revised","")</f>
        <v>#N/A</v>
      </c>
      <c r="AB2984" s="7" t="e">
        <f>IF(VLOOKUP($A2984,'Concrete Beam Schedule'!$A$2:$Q$2902,AB$2,0)&lt;&gt;L2984,"Beam Revised","")</f>
        <v>#N/A</v>
      </c>
      <c r="AC2984" s="7" t="e">
        <f>IF(VLOOKUP($A2984,'Concrete Beam Schedule'!$A$2:$Q$2902,AC$2,0)&lt;&gt;M2984,"Beam Revised","")</f>
        <v>#N/A</v>
      </c>
      <c r="AD2984" s="7" t="e">
        <f>IF(VLOOKUP($A2984,'Concrete Beam Schedule'!$A$2:$Q$2902,AD$2,0)&lt;&gt;N2984,"Beam Revised","")</f>
        <v>#N/A</v>
      </c>
      <c r="AE2984" s="7" t="e">
        <f>IF(VLOOKUP($A2984,'Concrete Beam Schedule'!$A$2:$Q$2902,AE$2,0)&lt;&gt;O2984,"Beam Revised","")</f>
        <v>#N/A</v>
      </c>
    </row>
    <row r="2985" spans="17:31" ht="20.100000000000001" customHeight="1" x14ac:dyDescent="0.25">
      <c r="Q2985" s="7">
        <f t="shared" si="46"/>
        <v>0</v>
      </c>
      <c r="R2985" s="7" t="e">
        <f>IF(VLOOKUP($A2985,'Concrete Beam Schedule'!$A$2:$Q$2902,R$2,0)&lt;&gt;B2985,VLOOKUP($A2985,'Concrete Beam Schedule'!$A$2:$Q$2902,R$2,0),"")</f>
        <v>#N/A</v>
      </c>
      <c r="S2985" s="7" t="e">
        <f>IF(VLOOKUP($A2985,'Concrete Beam Schedule'!$A$2:$Q$2902,S$2,0)&lt;&gt;C2985,VLOOKUP($A2985,'Concrete Beam Schedule'!$A$2:$Q$2902,S$2,0),"")</f>
        <v>#N/A</v>
      </c>
      <c r="T2985" s="7" t="e">
        <f>IF(VLOOKUP($A2985,'Concrete Beam Schedule'!$A$2:$Q$2902,T$2,0)&lt;&gt;D2985,"Beam Revised","")</f>
        <v>#N/A</v>
      </c>
      <c r="U2985" s="7" t="e">
        <f>IF(VLOOKUP($A2985,'Concrete Beam Schedule'!$A$2:$Q$2902,U$2,0)&lt;&gt;E2985,"Beam Revised","")</f>
        <v>#N/A</v>
      </c>
      <c r="V2985" s="7" t="e">
        <f>IF(VLOOKUP($A2985,'Concrete Beam Schedule'!$A$2:$Q$2902,V$2,0)&lt;&gt;F2985,"Beam Revised","")</f>
        <v>#N/A</v>
      </c>
      <c r="W2985" s="7" t="e">
        <f>IF(VLOOKUP($A2985,'Concrete Beam Schedule'!$A$2:$Q$2902,W$2,0)&lt;&gt;G2985,"Beam Revised","")</f>
        <v>#N/A</v>
      </c>
      <c r="X2985" s="7" t="e">
        <f>IF(VLOOKUP($A2985,'Concrete Beam Schedule'!$A$2:$Q$2902,X$2,0)&lt;&gt;H2985,"Beam Revised","")</f>
        <v>#N/A</v>
      </c>
      <c r="Y2985" s="7" t="e">
        <f>IF(VLOOKUP($A2985,'Concrete Beam Schedule'!$A$2:$Q$2902,Y$2,0)&lt;&gt;I2985,"Beam Revised","")</f>
        <v>#N/A</v>
      </c>
      <c r="Z2985" s="7" t="e">
        <f>IF(VLOOKUP($A2985,'Concrete Beam Schedule'!$A$2:$Q$2902,Z$2,0)&lt;&gt;J2985,"Beam Revised","")</f>
        <v>#N/A</v>
      </c>
      <c r="AA2985" s="7" t="e">
        <f>IF(VLOOKUP($A2985,'Concrete Beam Schedule'!$A$2:$Q$2902,AA$2,0)&lt;&gt;K2985,"Beam Revised","")</f>
        <v>#N/A</v>
      </c>
      <c r="AB2985" s="7" t="e">
        <f>IF(VLOOKUP($A2985,'Concrete Beam Schedule'!$A$2:$Q$2902,AB$2,0)&lt;&gt;L2985,"Beam Revised","")</f>
        <v>#N/A</v>
      </c>
      <c r="AC2985" s="7" t="e">
        <f>IF(VLOOKUP($A2985,'Concrete Beam Schedule'!$A$2:$Q$2902,AC$2,0)&lt;&gt;M2985,"Beam Revised","")</f>
        <v>#N/A</v>
      </c>
      <c r="AD2985" s="7" t="e">
        <f>IF(VLOOKUP($A2985,'Concrete Beam Schedule'!$A$2:$Q$2902,AD$2,0)&lt;&gt;N2985,"Beam Revised","")</f>
        <v>#N/A</v>
      </c>
      <c r="AE2985" s="7" t="e">
        <f>IF(VLOOKUP($A2985,'Concrete Beam Schedule'!$A$2:$Q$2902,AE$2,0)&lt;&gt;O2985,"Beam Revised","")</f>
        <v>#N/A</v>
      </c>
    </row>
    <row r="2986" spans="17:31" ht="20.100000000000001" customHeight="1" x14ac:dyDescent="0.25">
      <c r="Q2986" s="7">
        <f t="shared" si="46"/>
        <v>0</v>
      </c>
      <c r="R2986" s="7" t="e">
        <f>IF(VLOOKUP($A2986,'Concrete Beam Schedule'!$A$2:$Q$2902,R$2,0)&lt;&gt;B2986,VLOOKUP($A2986,'Concrete Beam Schedule'!$A$2:$Q$2902,R$2,0),"")</f>
        <v>#N/A</v>
      </c>
      <c r="S2986" s="7" t="e">
        <f>IF(VLOOKUP($A2986,'Concrete Beam Schedule'!$A$2:$Q$2902,S$2,0)&lt;&gt;C2986,VLOOKUP($A2986,'Concrete Beam Schedule'!$A$2:$Q$2902,S$2,0),"")</f>
        <v>#N/A</v>
      </c>
      <c r="T2986" s="7" t="e">
        <f>IF(VLOOKUP($A2986,'Concrete Beam Schedule'!$A$2:$Q$2902,T$2,0)&lt;&gt;D2986,"Beam Revised","")</f>
        <v>#N/A</v>
      </c>
      <c r="U2986" s="7" t="e">
        <f>IF(VLOOKUP($A2986,'Concrete Beam Schedule'!$A$2:$Q$2902,U$2,0)&lt;&gt;E2986,"Beam Revised","")</f>
        <v>#N/A</v>
      </c>
      <c r="V2986" s="7" t="e">
        <f>IF(VLOOKUP($A2986,'Concrete Beam Schedule'!$A$2:$Q$2902,V$2,0)&lt;&gt;F2986,"Beam Revised","")</f>
        <v>#N/A</v>
      </c>
      <c r="W2986" s="7" t="e">
        <f>IF(VLOOKUP($A2986,'Concrete Beam Schedule'!$A$2:$Q$2902,W$2,0)&lt;&gt;G2986,"Beam Revised","")</f>
        <v>#N/A</v>
      </c>
      <c r="X2986" s="7" t="e">
        <f>IF(VLOOKUP($A2986,'Concrete Beam Schedule'!$A$2:$Q$2902,X$2,0)&lt;&gt;H2986,"Beam Revised","")</f>
        <v>#N/A</v>
      </c>
      <c r="Y2986" s="7" t="e">
        <f>IF(VLOOKUP($A2986,'Concrete Beam Schedule'!$A$2:$Q$2902,Y$2,0)&lt;&gt;I2986,"Beam Revised","")</f>
        <v>#N/A</v>
      </c>
      <c r="Z2986" s="7" t="e">
        <f>IF(VLOOKUP($A2986,'Concrete Beam Schedule'!$A$2:$Q$2902,Z$2,0)&lt;&gt;J2986,"Beam Revised","")</f>
        <v>#N/A</v>
      </c>
      <c r="AA2986" s="7" t="e">
        <f>IF(VLOOKUP($A2986,'Concrete Beam Schedule'!$A$2:$Q$2902,AA$2,0)&lt;&gt;K2986,"Beam Revised","")</f>
        <v>#N/A</v>
      </c>
      <c r="AB2986" s="7" t="e">
        <f>IF(VLOOKUP($A2986,'Concrete Beam Schedule'!$A$2:$Q$2902,AB$2,0)&lt;&gt;L2986,"Beam Revised","")</f>
        <v>#N/A</v>
      </c>
      <c r="AC2986" s="7" t="e">
        <f>IF(VLOOKUP($A2986,'Concrete Beam Schedule'!$A$2:$Q$2902,AC$2,0)&lt;&gt;M2986,"Beam Revised","")</f>
        <v>#N/A</v>
      </c>
      <c r="AD2986" s="7" t="e">
        <f>IF(VLOOKUP($A2986,'Concrete Beam Schedule'!$A$2:$Q$2902,AD$2,0)&lt;&gt;N2986,"Beam Revised","")</f>
        <v>#N/A</v>
      </c>
      <c r="AE2986" s="7" t="e">
        <f>IF(VLOOKUP($A2986,'Concrete Beam Schedule'!$A$2:$Q$2902,AE$2,0)&lt;&gt;O2986,"Beam Revised","")</f>
        <v>#N/A</v>
      </c>
    </row>
    <row r="2987" spans="17:31" ht="20.100000000000001" customHeight="1" x14ac:dyDescent="0.25">
      <c r="Q2987" s="7">
        <f t="shared" si="46"/>
        <v>0</v>
      </c>
      <c r="R2987" s="7" t="e">
        <f>IF(VLOOKUP($A2987,'Concrete Beam Schedule'!$A$2:$Q$2902,R$2,0)&lt;&gt;B2987,VLOOKUP($A2987,'Concrete Beam Schedule'!$A$2:$Q$2902,R$2,0),"")</f>
        <v>#N/A</v>
      </c>
      <c r="S2987" s="7" t="e">
        <f>IF(VLOOKUP($A2987,'Concrete Beam Schedule'!$A$2:$Q$2902,S$2,0)&lt;&gt;C2987,VLOOKUP($A2987,'Concrete Beam Schedule'!$A$2:$Q$2902,S$2,0),"")</f>
        <v>#N/A</v>
      </c>
      <c r="T2987" s="7" t="e">
        <f>IF(VLOOKUP($A2987,'Concrete Beam Schedule'!$A$2:$Q$2902,T$2,0)&lt;&gt;D2987,"Beam Revised","")</f>
        <v>#N/A</v>
      </c>
      <c r="U2987" s="7" t="e">
        <f>IF(VLOOKUP($A2987,'Concrete Beam Schedule'!$A$2:$Q$2902,U$2,0)&lt;&gt;E2987,"Beam Revised","")</f>
        <v>#N/A</v>
      </c>
      <c r="V2987" s="7" t="e">
        <f>IF(VLOOKUP($A2987,'Concrete Beam Schedule'!$A$2:$Q$2902,V$2,0)&lt;&gt;F2987,"Beam Revised","")</f>
        <v>#N/A</v>
      </c>
      <c r="W2987" s="7" t="e">
        <f>IF(VLOOKUP($A2987,'Concrete Beam Schedule'!$A$2:$Q$2902,W$2,0)&lt;&gt;G2987,"Beam Revised","")</f>
        <v>#N/A</v>
      </c>
      <c r="X2987" s="7" t="e">
        <f>IF(VLOOKUP($A2987,'Concrete Beam Schedule'!$A$2:$Q$2902,X$2,0)&lt;&gt;H2987,"Beam Revised","")</f>
        <v>#N/A</v>
      </c>
      <c r="Y2987" s="7" t="e">
        <f>IF(VLOOKUP($A2987,'Concrete Beam Schedule'!$A$2:$Q$2902,Y$2,0)&lt;&gt;I2987,"Beam Revised","")</f>
        <v>#N/A</v>
      </c>
      <c r="Z2987" s="7" t="e">
        <f>IF(VLOOKUP($A2987,'Concrete Beam Schedule'!$A$2:$Q$2902,Z$2,0)&lt;&gt;J2987,"Beam Revised","")</f>
        <v>#N/A</v>
      </c>
      <c r="AA2987" s="7" t="e">
        <f>IF(VLOOKUP($A2987,'Concrete Beam Schedule'!$A$2:$Q$2902,AA$2,0)&lt;&gt;K2987,"Beam Revised","")</f>
        <v>#N/A</v>
      </c>
      <c r="AB2987" s="7" t="e">
        <f>IF(VLOOKUP($A2987,'Concrete Beam Schedule'!$A$2:$Q$2902,AB$2,0)&lt;&gt;L2987,"Beam Revised","")</f>
        <v>#N/A</v>
      </c>
      <c r="AC2987" s="7" t="e">
        <f>IF(VLOOKUP($A2987,'Concrete Beam Schedule'!$A$2:$Q$2902,AC$2,0)&lt;&gt;M2987,"Beam Revised","")</f>
        <v>#N/A</v>
      </c>
      <c r="AD2987" s="7" t="e">
        <f>IF(VLOOKUP($A2987,'Concrete Beam Schedule'!$A$2:$Q$2902,AD$2,0)&lt;&gt;N2987,"Beam Revised","")</f>
        <v>#N/A</v>
      </c>
      <c r="AE2987" s="7" t="e">
        <f>IF(VLOOKUP($A2987,'Concrete Beam Schedule'!$A$2:$Q$2902,AE$2,0)&lt;&gt;O2987,"Beam Revised","")</f>
        <v>#N/A</v>
      </c>
    </row>
    <row r="2988" spans="17:31" ht="20.100000000000001" customHeight="1" x14ac:dyDescent="0.25">
      <c r="Q2988" s="7">
        <f t="shared" si="46"/>
        <v>0</v>
      </c>
      <c r="R2988" s="7" t="e">
        <f>IF(VLOOKUP($A2988,'Concrete Beam Schedule'!$A$2:$Q$2902,R$2,0)&lt;&gt;B2988,VLOOKUP($A2988,'Concrete Beam Schedule'!$A$2:$Q$2902,R$2,0),"")</f>
        <v>#N/A</v>
      </c>
      <c r="S2988" s="7" t="e">
        <f>IF(VLOOKUP($A2988,'Concrete Beam Schedule'!$A$2:$Q$2902,S$2,0)&lt;&gt;C2988,VLOOKUP($A2988,'Concrete Beam Schedule'!$A$2:$Q$2902,S$2,0),"")</f>
        <v>#N/A</v>
      </c>
      <c r="T2988" s="7" t="e">
        <f>IF(VLOOKUP($A2988,'Concrete Beam Schedule'!$A$2:$Q$2902,T$2,0)&lt;&gt;D2988,"Beam Revised","")</f>
        <v>#N/A</v>
      </c>
      <c r="U2988" s="7" t="e">
        <f>IF(VLOOKUP($A2988,'Concrete Beam Schedule'!$A$2:$Q$2902,U$2,0)&lt;&gt;E2988,"Beam Revised","")</f>
        <v>#N/A</v>
      </c>
      <c r="V2988" s="7" t="e">
        <f>IF(VLOOKUP($A2988,'Concrete Beam Schedule'!$A$2:$Q$2902,V$2,0)&lt;&gt;F2988,"Beam Revised","")</f>
        <v>#N/A</v>
      </c>
      <c r="W2988" s="7" t="e">
        <f>IF(VLOOKUP($A2988,'Concrete Beam Schedule'!$A$2:$Q$2902,W$2,0)&lt;&gt;G2988,"Beam Revised","")</f>
        <v>#N/A</v>
      </c>
      <c r="X2988" s="7" t="e">
        <f>IF(VLOOKUP($A2988,'Concrete Beam Schedule'!$A$2:$Q$2902,X$2,0)&lt;&gt;H2988,"Beam Revised","")</f>
        <v>#N/A</v>
      </c>
      <c r="Y2988" s="7" t="e">
        <f>IF(VLOOKUP($A2988,'Concrete Beam Schedule'!$A$2:$Q$2902,Y$2,0)&lt;&gt;I2988,"Beam Revised","")</f>
        <v>#N/A</v>
      </c>
      <c r="Z2988" s="7" t="e">
        <f>IF(VLOOKUP($A2988,'Concrete Beam Schedule'!$A$2:$Q$2902,Z$2,0)&lt;&gt;J2988,"Beam Revised","")</f>
        <v>#N/A</v>
      </c>
      <c r="AA2988" s="7" t="e">
        <f>IF(VLOOKUP($A2988,'Concrete Beam Schedule'!$A$2:$Q$2902,AA$2,0)&lt;&gt;K2988,"Beam Revised","")</f>
        <v>#N/A</v>
      </c>
      <c r="AB2988" s="7" t="e">
        <f>IF(VLOOKUP($A2988,'Concrete Beam Schedule'!$A$2:$Q$2902,AB$2,0)&lt;&gt;L2988,"Beam Revised","")</f>
        <v>#N/A</v>
      </c>
      <c r="AC2988" s="7" t="e">
        <f>IF(VLOOKUP($A2988,'Concrete Beam Schedule'!$A$2:$Q$2902,AC$2,0)&lt;&gt;M2988,"Beam Revised","")</f>
        <v>#N/A</v>
      </c>
      <c r="AD2988" s="7" t="e">
        <f>IF(VLOOKUP($A2988,'Concrete Beam Schedule'!$A$2:$Q$2902,AD$2,0)&lt;&gt;N2988,"Beam Revised","")</f>
        <v>#N/A</v>
      </c>
      <c r="AE2988" s="7" t="e">
        <f>IF(VLOOKUP($A2988,'Concrete Beam Schedule'!$A$2:$Q$2902,AE$2,0)&lt;&gt;O2988,"Beam Revised","")</f>
        <v>#N/A</v>
      </c>
    </row>
    <row r="2989" spans="17:31" ht="20.100000000000001" customHeight="1" x14ac:dyDescent="0.25">
      <c r="Q2989" s="7">
        <f t="shared" si="46"/>
        <v>0</v>
      </c>
      <c r="R2989" s="7" t="e">
        <f>IF(VLOOKUP($A2989,'Concrete Beam Schedule'!$A$2:$Q$2902,R$2,0)&lt;&gt;B2989,VLOOKUP($A2989,'Concrete Beam Schedule'!$A$2:$Q$2902,R$2,0),"")</f>
        <v>#N/A</v>
      </c>
      <c r="S2989" s="7" t="e">
        <f>IF(VLOOKUP($A2989,'Concrete Beam Schedule'!$A$2:$Q$2902,S$2,0)&lt;&gt;C2989,VLOOKUP($A2989,'Concrete Beam Schedule'!$A$2:$Q$2902,S$2,0),"")</f>
        <v>#N/A</v>
      </c>
      <c r="T2989" s="7" t="e">
        <f>IF(VLOOKUP($A2989,'Concrete Beam Schedule'!$A$2:$Q$2902,T$2,0)&lt;&gt;D2989,"Beam Revised","")</f>
        <v>#N/A</v>
      </c>
      <c r="U2989" s="7" t="e">
        <f>IF(VLOOKUP($A2989,'Concrete Beam Schedule'!$A$2:$Q$2902,U$2,0)&lt;&gt;E2989,"Beam Revised","")</f>
        <v>#N/A</v>
      </c>
      <c r="V2989" s="7" t="e">
        <f>IF(VLOOKUP($A2989,'Concrete Beam Schedule'!$A$2:$Q$2902,V$2,0)&lt;&gt;F2989,"Beam Revised","")</f>
        <v>#N/A</v>
      </c>
      <c r="W2989" s="7" t="e">
        <f>IF(VLOOKUP($A2989,'Concrete Beam Schedule'!$A$2:$Q$2902,W$2,0)&lt;&gt;G2989,"Beam Revised","")</f>
        <v>#N/A</v>
      </c>
      <c r="X2989" s="7" t="e">
        <f>IF(VLOOKUP($A2989,'Concrete Beam Schedule'!$A$2:$Q$2902,X$2,0)&lt;&gt;H2989,"Beam Revised","")</f>
        <v>#N/A</v>
      </c>
      <c r="Y2989" s="7" t="e">
        <f>IF(VLOOKUP($A2989,'Concrete Beam Schedule'!$A$2:$Q$2902,Y$2,0)&lt;&gt;I2989,"Beam Revised","")</f>
        <v>#N/A</v>
      </c>
      <c r="Z2989" s="7" t="e">
        <f>IF(VLOOKUP($A2989,'Concrete Beam Schedule'!$A$2:$Q$2902,Z$2,0)&lt;&gt;J2989,"Beam Revised","")</f>
        <v>#N/A</v>
      </c>
      <c r="AA2989" s="7" t="e">
        <f>IF(VLOOKUP($A2989,'Concrete Beam Schedule'!$A$2:$Q$2902,AA$2,0)&lt;&gt;K2989,"Beam Revised","")</f>
        <v>#N/A</v>
      </c>
      <c r="AB2989" s="7" t="e">
        <f>IF(VLOOKUP($A2989,'Concrete Beam Schedule'!$A$2:$Q$2902,AB$2,0)&lt;&gt;L2989,"Beam Revised","")</f>
        <v>#N/A</v>
      </c>
      <c r="AC2989" s="7" t="e">
        <f>IF(VLOOKUP($A2989,'Concrete Beam Schedule'!$A$2:$Q$2902,AC$2,0)&lt;&gt;M2989,"Beam Revised","")</f>
        <v>#N/A</v>
      </c>
      <c r="AD2989" s="7" t="e">
        <f>IF(VLOOKUP($A2989,'Concrete Beam Schedule'!$A$2:$Q$2902,AD$2,0)&lt;&gt;N2989,"Beam Revised","")</f>
        <v>#N/A</v>
      </c>
      <c r="AE2989" s="7" t="e">
        <f>IF(VLOOKUP($A2989,'Concrete Beam Schedule'!$A$2:$Q$2902,AE$2,0)&lt;&gt;O2989,"Beam Revised","")</f>
        <v>#N/A</v>
      </c>
    </row>
    <row r="2990" spans="17:31" ht="20.100000000000001" customHeight="1" x14ac:dyDescent="0.25">
      <c r="Q2990" s="7">
        <f t="shared" si="46"/>
        <v>0</v>
      </c>
      <c r="R2990" s="7" t="e">
        <f>IF(VLOOKUP($A2990,'Concrete Beam Schedule'!$A$2:$Q$2902,R$2,0)&lt;&gt;B2990,VLOOKUP($A2990,'Concrete Beam Schedule'!$A$2:$Q$2902,R$2,0),"")</f>
        <v>#N/A</v>
      </c>
      <c r="S2990" s="7" t="e">
        <f>IF(VLOOKUP($A2990,'Concrete Beam Schedule'!$A$2:$Q$2902,S$2,0)&lt;&gt;C2990,VLOOKUP($A2990,'Concrete Beam Schedule'!$A$2:$Q$2902,S$2,0),"")</f>
        <v>#N/A</v>
      </c>
      <c r="T2990" s="7" t="e">
        <f>IF(VLOOKUP($A2990,'Concrete Beam Schedule'!$A$2:$Q$2902,T$2,0)&lt;&gt;D2990,"Beam Revised","")</f>
        <v>#N/A</v>
      </c>
      <c r="U2990" s="7" t="e">
        <f>IF(VLOOKUP($A2990,'Concrete Beam Schedule'!$A$2:$Q$2902,U$2,0)&lt;&gt;E2990,"Beam Revised","")</f>
        <v>#N/A</v>
      </c>
      <c r="V2990" s="7" t="e">
        <f>IF(VLOOKUP($A2990,'Concrete Beam Schedule'!$A$2:$Q$2902,V$2,0)&lt;&gt;F2990,"Beam Revised","")</f>
        <v>#N/A</v>
      </c>
      <c r="W2990" s="7" t="e">
        <f>IF(VLOOKUP($A2990,'Concrete Beam Schedule'!$A$2:$Q$2902,W$2,0)&lt;&gt;G2990,"Beam Revised","")</f>
        <v>#N/A</v>
      </c>
      <c r="X2990" s="7" t="e">
        <f>IF(VLOOKUP($A2990,'Concrete Beam Schedule'!$A$2:$Q$2902,X$2,0)&lt;&gt;H2990,"Beam Revised","")</f>
        <v>#N/A</v>
      </c>
      <c r="Y2990" s="7" t="e">
        <f>IF(VLOOKUP($A2990,'Concrete Beam Schedule'!$A$2:$Q$2902,Y$2,0)&lt;&gt;I2990,"Beam Revised","")</f>
        <v>#N/A</v>
      </c>
      <c r="Z2990" s="7" t="e">
        <f>IF(VLOOKUP($A2990,'Concrete Beam Schedule'!$A$2:$Q$2902,Z$2,0)&lt;&gt;J2990,"Beam Revised","")</f>
        <v>#N/A</v>
      </c>
      <c r="AA2990" s="7" t="e">
        <f>IF(VLOOKUP($A2990,'Concrete Beam Schedule'!$A$2:$Q$2902,AA$2,0)&lt;&gt;K2990,"Beam Revised","")</f>
        <v>#N/A</v>
      </c>
      <c r="AB2990" s="7" t="e">
        <f>IF(VLOOKUP($A2990,'Concrete Beam Schedule'!$A$2:$Q$2902,AB$2,0)&lt;&gt;L2990,"Beam Revised","")</f>
        <v>#N/A</v>
      </c>
      <c r="AC2990" s="7" t="e">
        <f>IF(VLOOKUP($A2990,'Concrete Beam Schedule'!$A$2:$Q$2902,AC$2,0)&lt;&gt;M2990,"Beam Revised","")</f>
        <v>#N/A</v>
      </c>
      <c r="AD2990" s="7" t="e">
        <f>IF(VLOOKUP($A2990,'Concrete Beam Schedule'!$A$2:$Q$2902,AD$2,0)&lt;&gt;N2990,"Beam Revised","")</f>
        <v>#N/A</v>
      </c>
      <c r="AE2990" s="7" t="e">
        <f>IF(VLOOKUP($A2990,'Concrete Beam Schedule'!$A$2:$Q$2902,AE$2,0)&lt;&gt;O2990,"Beam Revised","")</f>
        <v>#N/A</v>
      </c>
    </row>
    <row r="2991" spans="17:31" ht="20.100000000000001" customHeight="1" x14ac:dyDescent="0.25">
      <c r="Q2991" s="7">
        <f t="shared" si="46"/>
        <v>0</v>
      </c>
      <c r="R2991" s="7" t="e">
        <f>IF(VLOOKUP($A2991,'Concrete Beam Schedule'!$A$2:$Q$2902,R$2,0)&lt;&gt;B2991,VLOOKUP($A2991,'Concrete Beam Schedule'!$A$2:$Q$2902,R$2,0),"")</f>
        <v>#N/A</v>
      </c>
      <c r="S2991" s="7" t="e">
        <f>IF(VLOOKUP($A2991,'Concrete Beam Schedule'!$A$2:$Q$2902,S$2,0)&lt;&gt;C2991,VLOOKUP($A2991,'Concrete Beam Schedule'!$A$2:$Q$2902,S$2,0),"")</f>
        <v>#N/A</v>
      </c>
      <c r="T2991" s="7" t="e">
        <f>IF(VLOOKUP($A2991,'Concrete Beam Schedule'!$A$2:$Q$2902,T$2,0)&lt;&gt;D2991,"Beam Revised","")</f>
        <v>#N/A</v>
      </c>
      <c r="U2991" s="7" t="e">
        <f>IF(VLOOKUP($A2991,'Concrete Beam Schedule'!$A$2:$Q$2902,U$2,0)&lt;&gt;E2991,"Beam Revised","")</f>
        <v>#N/A</v>
      </c>
      <c r="V2991" s="7" t="e">
        <f>IF(VLOOKUP($A2991,'Concrete Beam Schedule'!$A$2:$Q$2902,V$2,0)&lt;&gt;F2991,"Beam Revised","")</f>
        <v>#N/A</v>
      </c>
      <c r="W2991" s="7" t="e">
        <f>IF(VLOOKUP($A2991,'Concrete Beam Schedule'!$A$2:$Q$2902,W$2,0)&lt;&gt;G2991,"Beam Revised","")</f>
        <v>#N/A</v>
      </c>
      <c r="X2991" s="7" t="e">
        <f>IF(VLOOKUP($A2991,'Concrete Beam Schedule'!$A$2:$Q$2902,X$2,0)&lt;&gt;H2991,"Beam Revised","")</f>
        <v>#N/A</v>
      </c>
      <c r="Y2991" s="7" t="e">
        <f>IF(VLOOKUP($A2991,'Concrete Beam Schedule'!$A$2:$Q$2902,Y$2,0)&lt;&gt;I2991,"Beam Revised","")</f>
        <v>#N/A</v>
      </c>
      <c r="Z2991" s="7" t="e">
        <f>IF(VLOOKUP($A2991,'Concrete Beam Schedule'!$A$2:$Q$2902,Z$2,0)&lt;&gt;J2991,"Beam Revised","")</f>
        <v>#N/A</v>
      </c>
      <c r="AA2991" s="7" t="e">
        <f>IF(VLOOKUP($A2991,'Concrete Beam Schedule'!$A$2:$Q$2902,AA$2,0)&lt;&gt;K2991,"Beam Revised","")</f>
        <v>#N/A</v>
      </c>
      <c r="AB2991" s="7" t="e">
        <f>IF(VLOOKUP($A2991,'Concrete Beam Schedule'!$A$2:$Q$2902,AB$2,0)&lt;&gt;L2991,"Beam Revised","")</f>
        <v>#N/A</v>
      </c>
      <c r="AC2991" s="7" t="e">
        <f>IF(VLOOKUP($A2991,'Concrete Beam Schedule'!$A$2:$Q$2902,AC$2,0)&lt;&gt;M2991,"Beam Revised","")</f>
        <v>#N/A</v>
      </c>
      <c r="AD2991" s="7" t="e">
        <f>IF(VLOOKUP($A2991,'Concrete Beam Schedule'!$A$2:$Q$2902,AD$2,0)&lt;&gt;N2991,"Beam Revised","")</f>
        <v>#N/A</v>
      </c>
      <c r="AE2991" s="7" t="e">
        <f>IF(VLOOKUP($A2991,'Concrete Beam Schedule'!$A$2:$Q$2902,AE$2,0)&lt;&gt;O2991,"Beam Revised","")</f>
        <v>#N/A</v>
      </c>
    </row>
    <row r="2992" spans="17:31" ht="20.100000000000001" customHeight="1" x14ac:dyDescent="0.25">
      <c r="Q2992" s="7">
        <f t="shared" si="46"/>
        <v>0</v>
      </c>
      <c r="R2992" s="7" t="e">
        <f>IF(VLOOKUP($A2992,'Concrete Beam Schedule'!$A$2:$Q$2902,R$2,0)&lt;&gt;B2992,VLOOKUP($A2992,'Concrete Beam Schedule'!$A$2:$Q$2902,R$2,0),"")</f>
        <v>#N/A</v>
      </c>
      <c r="S2992" s="7" t="e">
        <f>IF(VLOOKUP($A2992,'Concrete Beam Schedule'!$A$2:$Q$2902,S$2,0)&lt;&gt;C2992,VLOOKUP($A2992,'Concrete Beam Schedule'!$A$2:$Q$2902,S$2,0),"")</f>
        <v>#N/A</v>
      </c>
      <c r="T2992" s="7" t="e">
        <f>IF(VLOOKUP($A2992,'Concrete Beam Schedule'!$A$2:$Q$2902,T$2,0)&lt;&gt;D2992,"Beam Revised","")</f>
        <v>#N/A</v>
      </c>
      <c r="U2992" s="7" t="e">
        <f>IF(VLOOKUP($A2992,'Concrete Beam Schedule'!$A$2:$Q$2902,U$2,0)&lt;&gt;E2992,"Beam Revised","")</f>
        <v>#N/A</v>
      </c>
      <c r="V2992" s="7" t="e">
        <f>IF(VLOOKUP($A2992,'Concrete Beam Schedule'!$A$2:$Q$2902,V$2,0)&lt;&gt;F2992,"Beam Revised","")</f>
        <v>#N/A</v>
      </c>
      <c r="W2992" s="7" t="e">
        <f>IF(VLOOKUP($A2992,'Concrete Beam Schedule'!$A$2:$Q$2902,W$2,0)&lt;&gt;G2992,"Beam Revised","")</f>
        <v>#N/A</v>
      </c>
      <c r="X2992" s="7" t="e">
        <f>IF(VLOOKUP($A2992,'Concrete Beam Schedule'!$A$2:$Q$2902,X$2,0)&lt;&gt;H2992,"Beam Revised","")</f>
        <v>#N/A</v>
      </c>
      <c r="Y2992" s="7" t="e">
        <f>IF(VLOOKUP($A2992,'Concrete Beam Schedule'!$A$2:$Q$2902,Y$2,0)&lt;&gt;I2992,"Beam Revised","")</f>
        <v>#N/A</v>
      </c>
      <c r="Z2992" s="7" t="e">
        <f>IF(VLOOKUP($A2992,'Concrete Beam Schedule'!$A$2:$Q$2902,Z$2,0)&lt;&gt;J2992,"Beam Revised","")</f>
        <v>#N/A</v>
      </c>
      <c r="AA2992" s="7" t="e">
        <f>IF(VLOOKUP($A2992,'Concrete Beam Schedule'!$A$2:$Q$2902,AA$2,0)&lt;&gt;K2992,"Beam Revised","")</f>
        <v>#N/A</v>
      </c>
      <c r="AB2992" s="7" t="e">
        <f>IF(VLOOKUP($A2992,'Concrete Beam Schedule'!$A$2:$Q$2902,AB$2,0)&lt;&gt;L2992,"Beam Revised","")</f>
        <v>#N/A</v>
      </c>
      <c r="AC2992" s="7" t="e">
        <f>IF(VLOOKUP($A2992,'Concrete Beam Schedule'!$A$2:$Q$2902,AC$2,0)&lt;&gt;M2992,"Beam Revised","")</f>
        <v>#N/A</v>
      </c>
      <c r="AD2992" s="7" t="e">
        <f>IF(VLOOKUP($A2992,'Concrete Beam Schedule'!$A$2:$Q$2902,AD$2,0)&lt;&gt;N2992,"Beam Revised","")</f>
        <v>#N/A</v>
      </c>
      <c r="AE2992" s="7" t="e">
        <f>IF(VLOOKUP($A2992,'Concrete Beam Schedule'!$A$2:$Q$2902,AE$2,0)&lt;&gt;O2992,"Beam Revised","")</f>
        <v>#N/A</v>
      </c>
    </row>
    <row r="2993" spans="17:31" ht="20.100000000000001" customHeight="1" x14ac:dyDescent="0.25">
      <c r="Q2993" s="7">
        <f t="shared" si="46"/>
        <v>0</v>
      </c>
      <c r="R2993" s="7" t="e">
        <f>IF(VLOOKUP($A2993,'Concrete Beam Schedule'!$A$2:$Q$2902,R$2,0)&lt;&gt;B2993,VLOOKUP($A2993,'Concrete Beam Schedule'!$A$2:$Q$2902,R$2,0),"")</f>
        <v>#N/A</v>
      </c>
      <c r="S2993" s="7" t="e">
        <f>IF(VLOOKUP($A2993,'Concrete Beam Schedule'!$A$2:$Q$2902,S$2,0)&lt;&gt;C2993,VLOOKUP($A2993,'Concrete Beam Schedule'!$A$2:$Q$2902,S$2,0),"")</f>
        <v>#N/A</v>
      </c>
      <c r="T2993" s="7" t="e">
        <f>IF(VLOOKUP($A2993,'Concrete Beam Schedule'!$A$2:$Q$2902,T$2,0)&lt;&gt;D2993,"Beam Revised","")</f>
        <v>#N/A</v>
      </c>
      <c r="U2993" s="7" t="e">
        <f>IF(VLOOKUP($A2993,'Concrete Beam Schedule'!$A$2:$Q$2902,U$2,0)&lt;&gt;E2993,"Beam Revised","")</f>
        <v>#N/A</v>
      </c>
      <c r="V2993" s="7" t="e">
        <f>IF(VLOOKUP($A2993,'Concrete Beam Schedule'!$A$2:$Q$2902,V$2,0)&lt;&gt;F2993,"Beam Revised","")</f>
        <v>#N/A</v>
      </c>
      <c r="W2993" s="7" t="e">
        <f>IF(VLOOKUP($A2993,'Concrete Beam Schedule'!$A$2:$Q$2902,W$2,0)&lt;&gt;G2993,"Beam Revised","")</f>
        <v>#N/A</v>
      </c>
      <c r="X2993" s="7" t="e">
        <f>IF(VLOOKUP($A2993,'Concrete Beam Schedule'!$A$2:$Q$2902,X$2,0)&lt;&gt;H2993,"Beam Revised","")</f>
        <v>#N/A</v>
      </c>
      <c r="Y2993" s="7" t="e">
        <f>IF(VLOOKUP($A2993,'Concrete Beam Schedule'!$A$2:$Q$2902,Y$2,0)&lt;&gt;I2993,"Beam Revised","")</f>
        <v>#N/A</v>
      </c>
      <c r="Z2993" s="7" t="e">
        <f>IF(VLOOKUP($A2993,'Concrete Beam Schedule'!$A$2:$Q$2902,Z$2,0)&lt;&gt;J2993,"Beam Revised","")</f>
        <v>#N/A</v>
      </c>
      <c r="AA2993" s="7" t="e">
        <f>IF(VLOOKUP($A2993,'Concrete Beam Schedule'!$A$2:$Q$2902,AA$2,0)&lt;&gt;K2993,"Beam Revised","")</f>
        <v>#N/A</v>
      </c>
      <c r="AB2993" s="7" t="e">
        <f>IF(VLOOKUP($A2993,'Concrete Beam Schedule'!$A$2:$Q$2902,AB$2,0)&lt;&gt;L2993,"Beam Revised","")</f>
        <v>#N/A</v>
      </c>
      <c r="AC2993" s="7" t="e">
        <f>IF(VLOOKUP($A2993,'Concrete Beam Schedule'!$A$2:$Q$2902,AC$2,0)&lt;&gt;M2993,"Beam Revised","")</f>
        <v>#N/A</v>
      </c>
      <c r="AD2993" s="7" t="e">
        <f>IF(VLOOKUP($A2993,'Concrete Beam Schedule'!$A$2:$Q$2902,AD$2,0)&lt;&gt;N2993,"Beam Revised","")</f>
        <v>#N/A</v>
      </c>
      <c r="AE2993" s="7" t="e">
        <f>IF(VLOOKUP($A2993,'Concrete Beam Schedule'!$A$2:$Q$2902,AE$2,0)&lt;&gt;O2993,"Beam Revised","")</f>
        <v>#N/A</v>
      </c>
    </row>
    <row r="2994" spans="17:31" ht="20.100000000000001" customHeight="1" x14ac:dyDescent="0.25">
      <c r="Q2994" s="7">
        <f t="shared" si="46"/>
        <v>0</v>
      </c>
      <c r="R2994" s="7" t="e">
        <f>IF(VLOOKUP($A2994,'Concrete Beam Schedule'!$A$2:$Q$2902,R$2,0)&lt;&gt;B2994,VLOOKUP($A2994,'Concrete Beam Schedule'!$A$2:$Q$2902,R$2,0),"")</f>
        <v>#N/A</v>
      </c>
      <c r="S2994" s="7" t="e">
        <f>IF(VLOOKUP($A2994,'Concrete Beam Schedule'!$A$2:$Q$2902,S$2,0)&lt;&gt;C2994,VLOOKUP($A2994,'Concrete Beam Schedule'!$A$2:$Q$2902,S$2,0),"")</f>
        <v>#N/A</v>
      </c>
      <c r="T2994" s="7" t="e">
        <f>IF(VLOOKUP($A2994,'Concrete Beam Schedule'!$A$2:$Q$2902,T$2,0)&lt;&gt;D2994,"Beam Revised","")</f>
        <v>#N/A</v>
      </c>
      <c r="U2994" s="7" t="e">
        <f>IF(VLOOKUP($A2994,'Concrete Beam Schedule'!$A$2:$Q$2902,U$2,0)&lt;&gt;E2994,"Beam Revised","")</f>
        <v>#N/A</v>
      </c>
      <c r="V2994" s="7" t="e">
        <f>IF(VLOOKUP($A2994,'Concrete Beam Schedule'!$A$2:$Q$2902,V$2,0)&lt;&gt;F2994,"Beam Revised","")</f>
        <v>#N/A</v>
      </c>
      <c r="W2994" s="7" t="e">
        <f>IF(VLOOKUP($A2994,'Concrete Beam Schedule'!$A$2:$Q$2902,W$2,0)&lt;&gt;G2994,"Beam Revised","")</f>
        <v>#N/A</v>
      </c>
      <c r="X2994" s="7" t="e">
        <f>IF(VLOOKUP($A2994,'Concrete Beam Schedule'!$A$2:$Q$2902,X$2,0)&lt;&gt;H2994,"Beam Revised","")</f>
        <v>#N/A</v>
      </c>
      <c r="Y2994" s="7" t="e">
        <f>IF(VLOOKUP($A2994,'Concrete Beam Schedule'!$A$2:$Q$2902,Y$2,0)&lt;&gt;I2994,"Beam Revised","")</f>
        <v>#N/A</v>
      </c>
      <c r="Z2994" s="7" t="e">
        <f>IF(VLOOKUP($A2994,'Concrete Beam Schedule'!$A$2:$Q$2902,Z$2,0)&lt;&gt;J2994,"Beam Revised","")</f>
        <v>#N/A</v>
      </c>
      <c r="AA2994" s="7" t="e">
        <f>IF(VLOOKUP($A2994,'Concrete Beam Schedule'!$A$2:$Q$2902,AA$2,0)&lt;&gt;K2994,"Beam Revised","")</f>
        <v>#N/A</v>
      </c>
      <c r="AB2994" s="7" t="e">
        <f>IF(VLOOKUP($A2994,'Concrete Beam Schedule'!$A$2:$Q$2902,AB$2,0)&lt;&gt;L2994,"Beam Revised","")</f>
        <v>#N/A</v>
      </c>
      <c r="AC2994" s="7" t="e">
        <f>IF(VLOOKUP($A2994,'Concrete Beam Schedule'!$A$2:$Q$2902,AC$2,0)&lt;&gt;M2994,"Beam Revised","")</f>
        <v>#N/A</v>
      </c>
      <c r="AD2994" s="7" t="e">
        <f>IF(VLOOKUP($A2994,'Concrete Beam Schedule'!$A$2:$Q$2902,AD$2,0)&lt;&gt;N2994,"Beam Revised","")</f>
        <v>#N/A</v>
      </c>
      <c r="AE2994" s="7" t="e">
        <f>IF(VLOOKUP($A2994,'Concrete Beam Schedule'!$A$2:$Q$2902,AE$2,0)&lt;&gt;O2994,"Beam Revised","")</f>
        <v>#N/A</v>
      </c>
    </row>
    <row r="2995" spans="17:31" ht="20.100000000000001" customHeight="1" x14ac:dyDescent="0.25">
      <c r="Q2995" s="7">
        <f t="shared" si="46"/>
        <v>0</v>
      </c>
      <c r="R2995" s="7" t="e">
        <f>IF(VLOOKUP($A2995,'Concrete Beam Schedule'!$A$2:$Q$2902,R$2,0)&lt;&gt;B2995,VLOOKUP($A2995,'Concrete Beam Schedule'!$A$2:$Q$2902,R$2,0),"")</f>
        <v>#N/A</v>
      </c>
      <c r="S2995" s="7" t="e">
        <f>IF(VLOOKUP($A2995,'Concrete Beam Schedule'!$A$2:$Q$2902,S$2,0)&lt;&gt;C2995,VLOOKUP($A2995,'Concrete Beam Schedule'!$A$2:$Q$2902,S$2,0),"")</f>
        <v>#N/A</v>
      </c>
      <c r="T2995" s="7" t="e">
        <f>IF(VLOOKUP($A2995,'Concrete Beam Schedule'!$A$2:$Q$2902,T$2,0)&lt;&gt;D2995,"Beam Revised","")</f>
        <v>#N/A</v>
      </c>
      <c r="U2995" s="7" t="e">
        <f>IF(VLOOKUP($A2995,'Concrete Beam Schedule'!$A$2:$Q$2902,U$2,0)&lt;&gt;E2995,"Beam Revised","")</f>
        <v>#N/A</v>
      </c>
      <c r="V2995" s="7" t="e">
        <f>IF(VLOOKUP($A2995,'Concrete Beam Schedule'!$A$2:$Q$2902,V$2,0)&lt;&gt;F2995,"Beam Revised","")</f>
        <v>#N/A</v>
      </c>
      <c r="W2995" s="7" t="e">
        <f>IF(VLOOKUP($A2995,'Concrete Beam Schedule'!$A$2:$Q$2902,W$2,0)&lt;&gt;G2995,"Beam Revised","")</f>
        <v>#N/A</v>
      </c>
      <c r="X2995" s="7" t="e">
        <f>IF(VLOOKUP($A2995,'Concrete Beam Schedule'!$A$2:$Q$2902,X$2,0)&lt;&gt;H2995,"Beam Revised","")</f>
        <v>#N/A</v>
      </c>
      <c r="Y2995" s="7" t="e">
        <f>IF(VLOOKUP($A2995,'Concrete Beam Schedule'!$A$2:$Q$2902,Y$2,0)&lt;&gt;I2995,"Beam Revised","")</f>
        <v>#N/A</v>
      </c>
      <c r="Z2995" s="7" t="e">
        <f>IF(VLOOKUP($A2995,'Concrete Beam Schedule'!$A$2:$Q$2902,Z$2,0)&lt;&gt;J2995,"Beam Revised","")</f>
        <v>#N/A</v>
      </c>
      <c r="AA2995" s="7" t="e">
        <f>IF(VLOOKUP($A2995,'Concrete Beam Schedule'!$A$2:$Q$2902,AA$2,0)&lt;&gt;K2995,"Beam Revised","")</f>
        <v>#N/A</v>
      </c>
      <c r="AB2995" s="7" t="e">
        <f>IF(VLOOKUP($A2995,'Concrete Beam Schedule'!$A$2:$Q$2902,AB$2,0)&lt;&gt;L2995,"Beam Revised","")</f>
        <v>#N/A</v>
      </c>
      <c r="AC2995" s="7" t="e">
        <f>IF(VLOOKUP($A2995,'Concrete Beam Schedule'!$A$2:$Q$2902,AC$2,0)&lt;&gt;M2995,"Beam Revised","")</f>
        <v>#N/A</v>
      </c>
      <c r="AD2995" s="7" t="e">
        <f>IF(VLOOKUP($A2995,'Concrete Beam Schedule'!$A$2:$Q$2902,AD$2,0)&lt;&gt;N2995,"Beam Revised","")</f>
        <v>#N/A</v>
      </c>
      <c r="AE2995" s="7" t="e">
        <f>IF(VLOOKUP($A2995,'Concrete Beam Schedule'!$A$2:$Q$2902,AE$2,0)&lt;&gt;O2995,"Beam Revised","")</f>
        <v>#N/A</v>
      </c>
    </row>
    <row r="2996" spans="17:31" ht="20.100000000000001" customHeight="1" x14ac:dyDescent="0.25">
      <c r="Q2996" s="7">
        <f t="shared" si="46"/>
        <v>0</v>
      </c>
      <c r="R2996" s="7" t="e">
        <f>IF(VLOOKUP($A2996,'Concrete Beam Schedule'!$A$2:$Q$2902,R$2,0)&lt;&gt;B2996,VLOOKUP($A2996,'Concrete Beam Schedule'!$A$2:$Q$2902,R$2,0),"")</f>
        <v>#N/A</v>
      </c>
      <c r="S2996" s="7" t="e">
        <f>IF(VLOOKUP($A2996,'Concrete Beam Schedule'!$A$2:$Q$2902,S$2,0)&lt;&gt;C2996,VLOOKUP($A2996,'Concrete Beam Schedule'!$A$2:$Q$2902,S$2,0),"")</f>
        <v>#N/A</v>
      </c>
      <c r="T2996" s="7" t="e">
        <f>IF(VLOOKUP($A2996,'Concrete Beam Schedule'!$A$2:$Q$2902,T$2,0)&lt;&gt;D2996,"Beam Revised","")</f>
        <v>#N/A</v>
      </c>
      <c r="U2996" s="7" t="e">
        <f>IF(VLOOKUP($A2996,'Concrete Beam Schedule'!$A$2:$Q$2902,U$2,0)&lt;&gt;E2996,"Beam Revised","")</f>
        <v>#N/A</v>
      </c>
      <c r="V2996" s="7" t="e">
        <f>IF(VLOOKUP($A2996,'Concrete Beam Schedule'!$A$2:$Q$2902,V$2,0)&lt;&gt;F2996,"Beam Revised","")</f>
        <v>#N/A</v>
      </c>
      <c r="W2996" s="7" t="e">
        <f>IF(VLOOKUP($A2996,'Concrete Beam Schedule'!$A$2:$Q$2902,W$2,0)&lt;&gt;G2996,"Beam Revised","")</f>
        <v>#N/A</v>
      </c>
      <c r="X2996" s="7" t="e">
        <f>IF(VLOOKUP($A2996,'Concrete Beam Schedule'!$A$2:$Q$2902,X$2,0)&lt;&gt;H2996,"Beam Revised","")</f>
        <v>#N/A</v>
      </c>
      <c r="Y2996" s="7" t="e">
        <f>IF(VLOOKUP($A2996,'Concrete Beam Schedule'!$A$2:$Q$2902,Y$2,0)&lt;&gt;I2996,"Beam Revised","")</f>
        <v>#N/A</v>
      </c>
      <c r="Z2996" s="7" t="e">
        <f>IF(VLOOKUP($A2996,'Concrete Beam Schedule'!$A$2:$Q$2902,Z$2,0)&lt;&gt;J2996,"Beam Revised","")</f>
        <v>#N/A</v>
      </c>
      <c r="AA2996" s="7" t="e">
        <f>IF(VLOOKUP($A2996,'Concrete Beam Schedule'!$A$2:$Q$2902,AA$2,0)&lt;&gt;K2996,"Beam Revised","")</f>
        <v>#N/A</v>
      </c>
      <c r="AB2996" s="7" t="e">
        <f>IF(VLOOKUP($A2996,'Concrete Beam Schedule'!$A$2:$Q$2902,AB$2,0)&lt;&gt;L2996,"Beam Revised","")</f>
        <v>#N/A</v>
      </c>
      <c r="AC2996" s="7" t="e">
        <f>IF(VLOOKUP($A2996,'Concrete Beam Schedule'!$A$2:$Q$2902,AC$2,0)&lt;&gt;M2996,"Beam Revised","")</f>
        <v>#N/A</v>
      </c>
      <c r="AD2996" s="7" t="e">
        <f>IF(VLOOKUP($A2996,'Concrete Beam Schedule'!$A$2:$Q$2902,AD$2,0)&lt;&gt;N2996,"Beam Revised","")</f>
        <v>#N/A</v>
      </c>
      <c r="AE2996" s="7" t="e">
        <f>IF(VLOOKUP($A2996,'Concrete Beam Schedule'!$A$2:$Q$2902,AE$2,0)&lt;&gt;O2996,"Beam Revised","")</f>
        <v>#N/A</v>
      </c>
    </row>
    <row r="2997" spans="17:31" ht="20.100000000000001" customHeight="1" x14ac:dyDescent="0.25">
      <c r="Q2997" s="7">
        <f t="shared" si="46"/>
        <v>0</v>
      </c>
      <c r="R2997" s="7" t="e">
        <f>IF(VLOOKUP($A2997,'Concrete Beam Schedule'!$A$2:$Q$2902,R$2,0)&lt;&gt;B2997,VLOOKUP($A2997,'Concrete Beam Schedule'!$A$2:$Q$2902,R$2,0),"")</f>
        <v>#N/A</v>
      </c>
      <c r="S2997" s="7" t="e">
        <f>IF(VLOOKUP($A2997,'Concrete Beam Schedule'!$A$2:$Q$2902,S$2,0)&lt;&gt;C2997,VLOOKUP($A2997,'Concrete Beam Schedule'!$A$2:$Q$2902,S$2,0),"")</f>
        <v>#N/A</v>
      </c>
      <c r="T2997" s="7" t="e">
        <f>IF(VLOOKUP($A2997,'Concrete Beam Schedule'!$A$2:$Q$2902,T$2,0)&lt;&gt;D2997,"Beam Revised","")</f>
        <v>#N/A</v>
      </c>
      <c r="U2997" s="7" t="e">
        <f>IF(VLOOKUP($A2997,'Concrete Beam Schedule'!$A$2:$Q$2902,U$2,0)&lt;&gt;E2997,"Beam Revised","")</f>
        <v>#N/A</v>
      </c>
      <c r="V2997" s="7" t="e">
        <f>IF(VLOOKUP($A2997,'Concrete Beam Schedule'!$A$2:$Q$2902,V$2,0)&lt;&gt;F2997,"Beam Revised","")</f>
        <v>#N/A</v>
      </c>
      <c r="W2997" s="7" t="e">
        <f>IF(VLOOKUP($A2997,'Concrete Beam Schedule'!$A$2:$Q$2902,W$2,0)&lt;&gt;G2997,"Beam Revised","")</f>
        <v>#N/A</v>
      </c>
      <c r="X2997" s="7" t="e">
        <f>IF(VLOOKUP($A2997,'Concrete Beam Schedule'!$A$2:$Q$2902,X$2,0)&lt;&gt;H2997,"Beam Revised","")</f>
        <v>#N/A</v>
      </c>
      <c r="Y2997" s="7" t="e">
        <f>IF(VLOOKUP($A2997,'Concrete Beam Schedule'!$A$2:$Q$2902,Y$2,0)&lt;&gt;I2997,"Beam Revised","")</f>
        <v>#N/A</v>
      </c>
      <c r="Z2997" s="7" t="e">
        <f>IF(VLOOKUP($A2997,'Concrete Beam Schedule'!$A$2:$Q$2902,Z$2,0)&lt;&gt;J2997,"Beam Revised","")</f>
        <v>#N/A</v>
      </c>
      <c r="AA2997" s="7" t="e">
        <f>IF(VLOOKUP($A2997,'Concrete Beam Schedule'!$A$2:$Q$2902,AA$2,0)&lt;&gt;K2997,"Beam Revised","")</f>
        <v>#N/A</v>
      </c>
      <c r="AB2997" s="7" t="e">
        <f>IF(VLOOKUP($A2997,'Concrete Beam Schedule'!$A$2:$Q$2902,AB$2,0)&lt;&gt;L2997,"Beam Revised","")</f>
        <v>#N/A</v>
      </c>
      <c r="AC2997" s="7" t="e">
        <f>IF(VLOOKUP($A2997,'Concrete Beam Schedule'!$A$2:$Q$2902,AC$2,0)&lt;&gt;M2997,"Beam Revised","")</f>
        <v>#N/A</v>
      </c>
      <c r="AD2997" s="7" t="e">
        <f>IF(VLOOKUP($A2997,'Concrete Beam Schedule'!$A$2:$Q$2902,AD$2,0)&lt;&gt;N2997,"Beam Revised","")</f>
        <v>#N/A</v>
      </c>
      <c r="AE2997" s="7" t="e">
        <f>IF(VLOOKUP($A2997,'Concrete Beam Schedule'!$A$2:$Q$2902,AE$2,0)&lt;&gt;O2997,"Beam Revised","")</f>
        <v>#N/A</v>
      </c>
    </row>
    <row r="2998" spans="17:31" ht="20.100000000000001" customHeight="1" x14ac:dyDescent="0.25">
      <c r="Q2998" s="7">
        <f t="shared" si="46"/>
        <v>0</v>
      </c>
      <c r="R2998" s="7" t="e">
        <f>IF(VLOOKUP($A2998,'Concrete Beam Schedule'!$A$2:$Q$2902,R$2,0)&lt;&gt;B2998,VLOOKUP($A2998,'Concrete Beam Schedule'!$A$2:$Q$2902,R$2,0),"")</f>
        <v>#N/A</v>
      </c>
      <c r="S2998" s="7" t="e">
        <f>IF(VLOOKUP($A2998,'Concrete Beam Schedule'!$A$2:$Q$2902,S$2,0)&lt;&gt;C2998,VLOOKUP($A2998,'Concrete Beam Schedule'!$A$2:$Q$2902,S$2,0),"")</f>
        <v>#N/A</v>
      </c>
      <c r="T2998" s="7" t="e">
        <f>IF(VLOOKUP($A2998,'Concrete Beam Schedule'!$A$2:$Q$2902,T$2,0)&lt;&gt;D2998,"Beam Revised","")</f>
        <v>#N/A</v>
      </c>
      <c r="U2998" s="7" t="e">
        <f>IF(VLOOKUP($A2998,'Concrete Beam Schedule'!$A$2:$Q$2902,U$2,0)&lt;&gt;E2998,"Beam Revised","")</f>
        <v>#N/A</v>
      </c>
      <c r="V2998" s="7" t="e">
        <f>IF(VLOOKUP($A2998,'Concrete Beam Schedule'!$A$2:$Q$2902,V$2,0)&lt;&gt;F2998,"Beam Revised","")</f>
        <v>#N/A</v>
      </c>
      <c r="W2998" s="7" t="e">
        <f>IF(VLOOKUP($A2998,'Concrete Beam Schedule'!$A$2:$Q$2902,W$2,0)&lt;&gt;G2998,"Beam Revised","")</f>
        <v>#N/A</v>
      </c>
      <c r="X2998" s="7" t="e">
        <f>IF(VLOOKUP($A2998,'Concrete Beam Schedule'!$A$2:$Q$2902,X$2,0)&lt;&gt;H2998,"Beam Revised","")</f>
        <v>#N/A</v>
      </c>
      <c r="Y2998" s="7" t="e">
        <f>IF(VLOOKUP($A2998,'Concrete Beam Schedule'!$A$2:$Q$2902,Y$2,0)&lt;&gt;I2998,"Beam Revised","")</f>
        <v>#N/A</v>
      </c>
      <c r="Z2998" s="7" t="e">
        <f>IF(VLOOKUP($A2998,'Concrete Beam Schedule'!$A$2:$Q$2902,Z$2,0)&lt;&gt;J2998,"Beam Revised","")</f>
        <v>#N/A</v>
      </c>
      <c r="AA2998" s="7" t="e">
        <f>IF(VLOOKUP($A2998,'Concrete Beam Schedule'!$A$2:$Q$2902,AA$2,0)&lt;&gt;K2998,"Beam Revised","")</f>
        <v>#N/A</v>
      </c>
      <c r="AB2998" s="7" t="e">
        <f>IF(VLOOKUP($A2998,'Concrete Beam Schedule'!$A$2:$Q$2902,AB$2,0)&lt;&gt;L2998,"Beam Revised","")</f>
        <v>#N/A</v>
      </c>
      <c r="AC2998" s="7" t="e">
        <f>IF(VLOOKUP($A2998,'Concrete Beam Schedule'!$A$2:$Q$2902,AC$2,0)&lt;&gt;M2998,"Beam Revised","")</f>
        <v>#N/A</v>
      </c>
      <c r="AD2998" s="7" t="e">
        <f>IF(VLOOKUP($A2998,'Concrete Beam Schedule'!$A$2:$Q$2902,AD$2,0)&lt;&gt;N2998,"Beam Revised","")</f>
        <v>#N/A</v>
      </c>
      <c r="AE2998" s="7" t="e">
        <f>IF(VLOOKUP($A2998,'Concrete Beam Schedule'!$A$2:$Q$2902,AE$2,0)&lt;&gt;O2998,"Beam Revised","")</f>
        <v>#N/A</v>
      </c>
    </row>
    <row r="2999" spans="17:31" ht="20.100000000000001" customHeight="1" x14ac:dyDescent="0.25">
      <c r="Q2999" s="7">
        <f t="shared" si="46"/>
        <v>0</v>
      </c>
      <c r="R2999" s="7" t="e">
        <f>IF(VLOOKUP($A2999,'Concrete Beam Schedule'!$A$2:$Q$2902,R$2,0)&lt;&gt;B2999,VLOOKUP($A2999,'Concrete Beam Schedule'!$A$2:$Q$2902,R$2,0),"")</f>
        <v>#N/A</v>
      </c>
      <c r="S2999" s="7" t="e">
        <f>IF(VLOOKUP($A2999,'Concrete Beam Schedule'!$A$2:$Q$2902,S$2,0)&lt;&gt;C2999,VLOOKUP($A2999,'Concrete Beam Schedule'!$A$2:$Q$2902,S$2,0),"")</f>
        <v>#N/A</v>
      </c>
      <c r="T2999" s="7" t="e">
        <f>IF(VLOOKUP($A2999,'Concrete Beam Schedule'!$A$2:$Q$2902,T$2,0)&lt;&gt;D2999,"Beam Revised","")</f>
        <v>#N/A</v>
      </c>
      <c r="U2999" s="7" t="e">
        <f>IF(VLOOKUP($A2999,'Concrete Beam Schedule'!$A$2:$Q$2902,U$2,0)&lt;&gt;E2999,"Beam Revised","")</f>
        <v>#N/A</v>
      </c>
      <c r="V2999" s="7" t="e">
        <f>IF(VLOOKUP($A2999,'Concrete Beam Schedule'!$A$2:$Q$2902,V$2,0)&lt;&gt;F2999,"Beam Revised","")</f>
        <v>#N/A</v>
      </c>
      <c r="W2999" s="7" t="e">
        <f>IF(VLOOKUP($A2999,'Concrete Beam Schedule'!$A$2:$Q$2902,W$2,0)&lt;&gt;G2999,"Beam Revised","")</f>
        <v>#N/A</v>
      </c>
      <c r="X2999" s="7" t="e">
        <f>IF(VLOOKUP($A2999,'Concrete Beam Schedule'!$A$2:$Q$2902,X$2,0)&lt;&gt;H2999,"Beam Revised","")</f>
        <v>#N/A</v>
      </c>
      <c r="Y2999" s="7" t="e">
        <f>IF(VLOOKUP($A2999,'Concrete Beam Schedule'!$A$2:$Q$2902,Y$2,0)&lt;&gt;I2999,"Beam Revised","")</f>
        <v>#N/A</v>
      </c>
      <c r="Z2999" s="7" t="e">
        <f>IF(VLOOKUP($A2999,'Concrete Beam Schedule'!$A$2:$Q$2902,Z$2,0)&lt;&gt;J2999,"Beam Revised","")</f>
        <v>#N/A</v>
      </c>
      <c r="AA2999" s="7" t="e">
        <f>IF(VLOOKUP($A2999,'Concrete Beam Schedule'!$A$2:$Q$2902,AA$2,0)&lt;&gt;K2999,"Beam Revised","")</f>
        <v>#N/A</v>
      </c>
      <c r="AB2999" s="7" t="e">
        <f>IF(VLOOKUP($A2999,'Concrete Beam Schedule'!$A$2:$Q$2902,AB$2,0)&lt;&gt;L2999,"Beam Revised","")</f>
        <v>#N/A</v>
      </c>
      <c r="AC2999" s="7" t="e">
        <f>IF(VLOOKUP($A2999,'Concrete Beam Schedule'!$A$2:$Q$2902,AC$2,0)&lt;&gt;M2999,"Beam Revised","")</f>
        <v>#N/A</v>
      </c>
      <c r="AD2999" s="7" t="e">
        <f>IF(VLOOKUP($A2999,'Concrete Beam Schedule'!$A$2:$Q$2902,AD$2,0)&lt;&gt;N2999,"Beam Revised","")</f>
        <v>#N/A</v>
      </c>
      <c r="AE2999" s="7" t="e">
        <f>IF(VLOOKUP($A2999,'Concrete Beam Schedule'!$A$2:$Q$2902,AE$2,0)&lt;&gt;O2999,"Beam Revised","")</f>
        <v>#N/A</v>
      </c>
    </row>
    <row r="3000" spans="17:31" ht="20.100000000000001" customHeight="1" x14ac:dyDescent="0.25">
      <c r="Q3000" s="7">
        <f t="shared" si="46"/>
        <v>0</v>
      </c>
      <c r="R3000" s="7" t="e">
        <f>IF(VLOOKUP($A3000,'Concrete Beam Schedule'!$A$2:$Q$2902,R$2,0)&lt;&gt;B3000,VLOOKUP($A3000,'Concrete Beam Schedule'!$A$2:$Q$2902,R$2,0),"")</f>
        <v>#N/A</v>
      </c>
      <c r="S3000" s="7" t="e">
        <f>IF(VLOOKUP($A3000,'Concrete Beam Schedule'!$A$2:$Q$2902,S$2,0)&lt;&gt;C3000,VLOOKUP($A3000,'Concrete Beam Schedule'!$A$2:$Q$2902,S$2,0),"")</f>
        <v>#N/A</v>
      </c>
      <c r="T3000" s="7" t="e">
        <f>IF(VLOOKUP($A3000,'Concrete Beam Schedule'!$A$2:$Q$2902,T$2,0)&lt;&gt;D3000,"Beam Revised","")</f>
        <v>#N/A</v>
      </c>
      <c r="U3000" s="7" t="e">
        <f>IF(VLOOKUP($A3000,'Concrete Beam Schedule'!$A$2:$Q$2902,U$2,0)&lt;&gt;E3000,"Beam Revised","")</f>
        <v>#N/A</v>
      </c>
      <c r="V3000" s="7" t="e">
        <f>IF(VLOOKUP($A3000,'Concrete Beam Schedule'!$A$2:$Q$2902,V$2,0)&lt;&gt;F3000,"Beam Revised","")</f>
        <v>#N/A</v>
      </c>
      <c r="W3000" s="7" t="e">
        <f>IF(VLOOKUP($A3000,'Concrete Beam Schedule'!$A$2:$Q$2902,W$2,0)&lt;&gt;G3000,"Beam Revised","")</f>
        <v>#N/A</v>
      </c>
      <c r="X3000" s="7" t="e">
        <f>IF(VLOOKUP($A3000,'Concrete Beam Schedule'!$A$2:$Q$2902,X$2,0)&lt;&gt;H3000,"Beam Revised","")</f>
        <v>#N/A</v>
      </c>
      <c r="Y3000" s="7" t="e">
        <f>IF(VLOOKUP($A3000,'Concrete Beam Schedule'!$A$2:$Q$2902,Y$2,0)&lt;&gt;I3000,"Beam Revised","")</f>
        <v>#N/A</v>
      </c>
      <c r="Z3000" s="7" t="e">
        <f>IF(VLOOKUP($A3000,'Concrete Beam Schedule'!$A$2:$Q$2902,Z$2,0)&lt;&gt;J3000,"Beam Revised","")</f>
        <v>#N/A</v>
      </c>
      <c r="AA3000" s="7" t="e">
        <f>IF(VLOOKUP($A3000,'Concrete Beam Schedule'!$A$2:$Q$2902,AA$2,0)&lt;&gt;K3000,"Beam Revised","")</f>
        <v>#N/A</v>
      </c>
      <c r="AB3000" s="7" t="e">
        <f>IF(VLOOKUP($A3000,'Concrete Beam Schedule'!$A$2:$Q$2902,AB$2,0)&lt;&gt;L3000,"Beam Revised","")</f>
        <v>#N/A</v>
      </c>
      <c r="AC3000" s="7" t="e">
        <f>IF(VLOOKUP($A3000,'Concrete Beam Schedule'!$A$2:$Q$2902,AC$2,0)&lt;&gt;M3000,"Beam Revised","")</f>
        <v>#N/A</v>
      </c>
      <c r="AD3000" s="7" t="e">
        <f>IF(VLOOKUP($A3000,'Concrete Beam Schedule'!$A$2:$Q$2902,AD$2,0)&lt;&gt;N3000,"Beam Revised","")</f>
        <v>#N/A</v>
      </c>
      <c r="AE3000" s="7" t="e">
        <f>IF(VLOOKUP($A3000,'Concrete Beam Schedule'!$A$2:$Q$2902,AE$2,0)&lt;&gt;O3000,"Beam Revised","")</f>
        <v>#N/A</v>
      </c>
    </row>
    <row r="3001" spans="17:31" ht="20.100000000000001" customHeight="1" x14ac:dyDescent="0.25">
      <c r="Q3001" s="7">
        <f t="shared" si="46"/>
        <v>0</v>
      </c>
      <c r="R3001" s="7" t="e">
        <f>IF(VLOOKUP($A3001,'Concrete Beam Schedule'!$A$2:$Q$2902,R$2,0)&lt;&gt;B3001,VLOOKUP($A3001,'Concrete Beam Schedule'!$A$2:$Q$2902,R$2,0),"")</f>
        <v>#N/A</v>
      </c>
      <c r="S3001" s="7" t="e">
        <f>IF(VLOOKUP($A3001,'Concrete Beam Schedule'!$A$2:$Q$2902,S$2,0)&lt;&gt;C3001,VLOOKUP($A3001,'Concrete Beam Schedule'!$A$2:$Q$2902,S$2,0),"")</f>
        <v>#N/A</v>
      </c>
      <c r="T3001" s="7" t="e">
        <f>IF(VLOOKUP($A3001,'Concrete Beam Schedule'!$A$2:$Q$2902,T$2,0)&lt;&gt;D3001,"Beam Revised","")</f>
        <v>#N/A</v>
      </c>
      <c r="U3001" s="7" t="e">
        <f>IF(VLOOKUP($A3001,'Concrete Beam Schedule'!$A$2:$Q$2902,U$2,0)&lt;&gt;E3001,"Beam Revised","")</f>
        <v>#N/A</v>
      </c>
      <c r="V3001" s="7" t="e">
        <f>IF(VLOOKUP($A3001,'Concrete Beam Schedule'!$A$2:$Q$2902,V$2,0)&lt;&gt;F3001,"Beam Revised","")</f>
        <v>#N/A</v>
      </c>
      <c r="W3001" s="7" t="e">
        <f>IF(VLOOKUP($A3001,'Concrete Beam Schedule'!$A$2:$Q$2902,W$2,0)&lt;&gt;G3001,"Beam Revised","")</f>
        <v>#N/A</v>
      </c>
      <c r="X3001" s="7" t="e">
        <f>IF(VLOOKUP($A3001,'Concrete Beam Schedule'!$A$2:$Q$2902,X$2,0)&lt;&gt;H3001,"Beam Revised","")</f>
        <v>#N/A</v>
      </c>
      <c r="Y3001" s="7" t="e">
        <f>IF(VLOOKUP($A3001,'Concrete Beam Schedule'!$A$2:$Q$2902,Y$2,0)&lt;&gt;I3001,"Beam Revised","")</f>
        <v>#N/A</v>
      </c>
      <c r="Z3001" s="7" t="e">
        <f>IF(VLOOKUP($A3001,'Concrete Beam Schedule'!$A$2:$Q$2902,Z$2,0)&lt;&gt;J3001,"Beam Revised","")</f>
        <v>#N/A</v>
      </c>
      <c r="AA3001" s="7" t="e">
        <f>IF(VLOOKUP($A3001,'Concrete Beam Schedule'!$A$2:$Q$2902,AA$2,0)&lt;&gt;K3001,"Beam Revised","")</f>
        <v>#N/A</v>
      </c>
      <c r="AB3001" s="7" t="e">
        <f>IF(VLOOKUP($A3001,'Concrete Beam Schedule'!$A$2:$Q$2902,AB$2,0)&lt;&gt;L3001,"Beam Revised","")</f>
        <v>#N/A</v>
      </c>
      <c r="AC3001" s="7" t="e">
        <f>IF(VLOOKUP($A3001,'Concrete Beam Schedule'!$A$2:$Q$2902,AC$2,0)&lt;&gt;M3001,"Beam Revised","")</f>
        <v>#N/A</v>
      </c>
      <c r="AD3001" s="7" t="e">
        <f>IF(VLOOKUP($A3001,'Concrete Beam Schedule'!$A$2:$Q$2902,AD$2,0)&lt;&gt;N3001,"Beam Revised","")</f>
        <v>#N/A</v>
      </c>
      <c r="AE3001" s="7" t="e">
        <f>IF(VLOOKUP($A3001,'Concrete Beam Schedule'!$A$2:$Q$2902,AE$2,0)&lt;&gt;O3001,"Beam Revised","")</f>
        <v>#N/A</v>
      </c>
    </row>
    <row r="3002" spans="17:31" ht="20.100000000000001" customHeight="1" x14ac:dyDescent="0.25">
      <c r="Q3002" s="7">
        <f t="shared" si="46"/>
        <v>0</v>
      </c>
      <c r="R3002" s="7" t="e">
        <f>IF(VLOOKUP($A3002,'Concrete Beam Schedule'!$A$2:$Q$2902,R$2,0)&lt;&gt;B3002,VLOOKUP($A3002,'Concrete Beam Schedule'!$A$2:$Q$2902,R$2,0),"")</f>
        <v>#N/A</v>
      </c>
      <c r="S3002" s="7" t="e">
        <f>IF(VLOOKUP($A3002,'Concrete Beam Schedule'!$A$2:$Q$2902,S$2,0)&lt;&gt;C3002,VLOOKUP($A3002,'Concrete Beam Schedule'!$A$2:$Q$2902,S$2,0),"")</f>
        <v>#N/A</v>
      </c>
      <c r="T3002" s="7" t="e">
        <f>IF(VLOOKUP($A3002,'Concrete Beam Schedule'!$A$2:$Q$2902,T$2,0)&lt;&gt;D3002,"Beam Revised","")</f>
        <v>#N/A</v>
      </c>
      <c r="U3002" s="7" t="e">
        <f>IF(VLOOKUP($A3002,'Concrete Beam Schedule'!$A$2:$Q$2902,U$2,0)&lt;&gt;E3002,"Beam Revised","")</f>
        <v>#N/A</v>
      </c>
      <c r="V3002" s="7" t="e">
        <f>IF(VLOOKUP($A3002,'Concrete Beam Schedule'!$A$2:$Q$2902,V$2,0)&lt;&gt;F3002,"Beam Revised","")</f>
        <v>#N/A</v>
      </c>
      <c r="W3002" s="7" t="e">
        <f>IF(VLOOKUP($A3002,'Concrete Beam Schedule'!$A$2:$Q$2902,W$2,0)&lt;&gt;G3002,"Beam Revised","")</f>
        <v>#N/A</v>
      </c>
      <c r="X3002" s="7" t="e">
        <f>IF(VLOOKUP($A3002,'Concrete Beam Schedule'!$A$2:$Q$2902,X$2,0)&lt;&gt;H3002,"Beam Revised","")</f>
        <v>#N/A</v>
      </c>
      <c r="Y3002" s="7" t="e">
        <f>IF(VLOOKUP($A3002,'Concrete Beam Schedule'!$A$2:$Q$2902,Y$2,0)&lt;&gt;I3002,"Beam Revised","")</f>
        <v>#N/A</v>
      </c>
      <c r="Z3002" s="7" t="e">
        <f>IF(VLOOKUP($A3002,'Concrete Beam Schedule'!$A$2:$Q$2902,Z$2,0)&lt;&gt;J3002,"Beam Revised","")</f>
        <v>#N/A</v>
      </c>
      <c r="AA3002" s="7" t="e">
        <f>IF(VLOOKUP($A3002,'Concrete Beam Schedule'!$A$2:$Q$2902,AA$2,0)&lt;&gt;K3002,"Beam Revised","")</f>
        <v>#N/A</v>
      </c>
      <c r="AB3002" s="7" t="e">
        <f>IF(VLOOKUP($A3002,'Concrete Beam Schedule'!$A$2:$Q$2902,AB$2,0)&lt;&gt;L3002,"Beam Revised","")</f>
        <v>#N/A</v>
      </c>
      <c r="AC3002" s="7" t="e">
        <f>IF(VLOOKUP($A3002,'Concrete Beam Schedule'!$A$2:$Q$2902,AC$2,0)&lt;&gt;M3002,"Beam Revised","")</f>
        <v>#N/A</v>
      </c>
      <c r="AD3002" s="7" t="e">
        <f>IF(VLOOKUP($A3002,'Concrete Beam Schedule'!$A$2:$Q$2902,AD$2,0)&lt;&gt;N3002,"Beam Revised","")</f>
        <v>#N/A</v>
      </c>
      <c r="AE3002" s="7" t="e">
        <f>IF(VLOOKUP($A3002,'Concrete Beam Schedule'!$A$2:$Q$2902,AE$2,0)&lt;&gt;O3002,"Beam Revised","")</f>
        <v>#N/A</v>
      </c>
    </row>
    <row r="3003" spans="17:31" ht="20.100000000000001" customHeight="1" x14ac:dyDescent="0.25">
      <c r="Q3003" s="7">
        <f t="shared" si="46"/>
        <v>0</v>
      </c>
      <c r="R3003" s="7" t="e">
        <f>IF(VLOOKUP($A3003,'Concrete Beam Schedule'!$A$2:$Q$2902,R$2,0)&lt;&gt;B3003,VLOOKUP($A3003,'Concrete Beam Schedule'!$A$2:$Q$2902,R$2,0),"")</f>
        <v>#N/A</v>
      </c>
      <c r="S3003" s="7" t="e">
        <f>IF(VLOOKUP($A3003,'Concrete Beam Schedule'!$A$2:$Q$2902,S$2,0)&lt;&gt;C3003,VLOOKUP($A3003,'Concrete Beam Schedule'!$A$2:$Q$2902,S$2,0),"")</f>
        <v>#N/A</v>
      </c>
      <c r="T3003" s="7" t="e">
        <f>IF(VLOOKUP($A3003,'Concrete Beam Schedule'!$A$2:$Q$2902,T$2,0)&lt;&gt;D3003,"Beam Revised","")</f>
        <v>#N/A</v>
      </c>
      <c r="U3003" s="7" t="e">
        <f>IF(VLOOKUP($A3003,'Concrete Beam Schedule'!$A$2:$Q$2902,U$2,0)&lt;&gt;E3003,"Beam Revised","")</f>
        <v>#N/A</v>
      </c>
      <c r="V3003" s="7" t="e">
        <f>IF(VLOOKUP($A3003,'Concrete Beam Schedule'!$A$2:$Q$2902,V$2,0)&lt;&gt;F3003,"Beam Revised","")</f>
        <v>#N/A</v>
      </c>
      <c r="W3003" s="7" t="e">
        <f>IF(VLOOKUP($A3003,'Concrete Beam Schedule'!$A$2:$Q$2902,W$2,0)&lt;&gt;G3003,"Beam Revised","")</f>
        <v>#N/A</v>
      </c>
      <c r="X3003" s="7" t="e">
        <f>IF(VLOOKUP($A3003,'Concrete Beam Schedule'!$A$2:$Q$2902,X$2,0)&lt;&gt;H3003,"Beam Revised","")</f>
        <v>#N/A</v>
      </c>
      <c r="Y3003" s="7" t="e">
        <f>IF(VLOOKUP($A3003,'Concrete Beam Schedule'!$A$2:$Q$2902,Y$2,0)&lt;&gt;I3003,"Beam Revised","")</f>
        <v>#N/A</v>
      </c>
      <c r="Z3003" s="7" t="e">
        <f>IF(VLOOKUP($A3003,'Concrete Beam Schedule'!$A$2:$Q$2902,Z$2,0)&lt;&gt;J3003,"Beam Revised","")</f>
        <v>#N/A</v>
      </c>
      <c r="AA3003" s="7" t="e">
        <f>IF(VLOOKUP($A3003,'Concrete Beam Schedule'!$A$2:$Q$2902,AA$2,0)&lt;&gt;K3003,"Beam Revised","")</f>
        <v>#N/A</v>
      </c>
      <c r="AB3003" s="7" t="e">
        <f>IF(VLOOKUP($A3003,'Concrete Beam Schedule'!$A$2:$Q$2902,AB$2,0)&lt;&gt;L3003,"Beam Revised","")</f>
        <v>#N/A</v>
      </c>
      <c r="AC3003" s="7" t="e">
        <f>IF(VLOOKUP($A3003,'Concrete Beam Schedule'!$A$2:$Q$2902,AC$2,0)&lt;&gt;M3003,"Beam Revised","")</f>
        <v>#N/A</v>
      </c>
      <c r="AD3003" s="7" t="e">
        <f>IF(VLOOKUP($A3003,'Concrete Beam Schedule'!$A$2:$Q$2902,AD$2,0)&lt;&gt;N3003,"Beam Revised","")</f>
        <v>#N/A</v>
      </c>
      <c r="AE3003" s="7" t="e">
        <f>IF(VLOOKUP($A3003,'Concrete Beam Schedule'!$A$2:$Q$2902,AE$2,0)&lt;&gt;O3003,"Beam Revised","")</f>
        <v>#N/A</v>
      </c>
    </row>
  </sheetData>
  <conditionalFormatting sqref="R3:S3003">
    <cfRule type="cellIs" dxfId="6" priority="2" operator="notEqual">
      <formula>""</formula>
    </cfRule>
  </conditionalFormatting>
  <conditionalFormatting sqref="T3:AE3003">
    <cfRule type="cellIs" dxfId="5" priority="1" operator="notEqual">
      <formula>""</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W63"/>
  <sheetViews>
    <sheetView topLeftCell="K1" workbookViewId="0">
      <selection activeCell="V10" sqref="V10"/>
    </sheetView>
  </sheetViews>
  <sheetFormatPr defaultRowHeight="13.2" x14ac:dyDescent="0.25"/>
  <cols>
    <col min="1" max="10" width="9.109375" hidden="1" customWidth="1"/>
    <col min="11" max="11" width="12.109375" bestFit="1" customWidth="1"/>
    <col min="15" max="18" width="10.33203125" customWidth="1"/>
    <col min="19" max="19" width="9.109375" hidden="1" customWidth="1"/>
  </cols>
  <sheetData>
    <row r="1" spans="1:23" ht="20.399999999999999" thickBot="1" x14ac:dyDescent="0.45">
      <c r="A1" s="113" t="s">
        <v>39</v>
      </c>
      <c r="B1" s="113"/>
      <c r="K1" s="107" t="s">
        <v>70</v>
      </c>
      <c r="L1" s="108"/>
      <c r="M1" s="108"/>
      <c r="N1" s="108"/>
      <c r="O1" s="108"/>
      <c r="P1" s="108"/>
      <c r="Q1" s="108"/>
      <c r="R1" s="109"/>
    </row>
    <row r="2" spans="1:23" ht="15.6" thickTop="1" thickBot="1" x14ac:dyDescent="0.35">
      <c r="A2" s="115" t="s">
        <v>49</v>
      </c>
      <c r="B2" s="115"/>
      <c r="F2" s="114" t="s">
        <v>40</v>
      </c>
      <c r="G2" s="114"/>
      <c r="H2" s="114"/>
      <c r="I2" s="114"/>
      <c r="K2" s="110" t="s">
        <v>71</v>
      </c>
      <c r="L2" s="111"/>
      <c r="M2" s="111"/>
      <c r="N2" s="112"/>
      <c r="O2" s="110" t="s">
        <v>95</v>
      </c>
      <c r="P2" s="111"/>
      <c r="Q2" s="111"/>
      <c r="R2" s="112"/>
    </row>
    <row r="3" spans="1:23" x14ac:dyDescent="0.25">
      <c r="A3" s="24" t="s">
        <v>48</v>
      </c>
      <c r="B3" s="24" t="s">
        <v>43</v>
      </c>
      <c r="C3" s="24" t="s">
        <v>41</v>
      </c>
      <c r="D3" s="24" t="s">
        <v>42</v>
      </c>
      <c r="F3" s="25" t="s">
        <v>48</v>
      </c>
      <c r="G3" s="25" t="s">
        <v>41</v>
      </c>
      <c r="H3" s="25" t="s">
        <v>42</v>
      </c>
      <c r="I3" s="25" t="s">
        <v>43</v>
      </c>
      <c r="K3" s="32"/>
      <c r="L3" s="33"/>
      <c r="M3" s="33"/>
      <c r="N3" s="34"/>
      <c r="O3" s="33"/>
      <c r="P3" s="33"/>
      <c r="Q3" s="33"/>
      <c r="R3" s="34"/>
    </row>
    <row r="4" spans="1:23" ht="14.4" x14ac:dyDescent="0.3">
      <c r="A4" s="19" t="s">
        <v>47</v>
      </c>
      <c r="B4" s="24">
        <f>VLOOKUP(A4,Szs,4,FALSE)</f>
        <v>133</v>
      </c>
      <c r="C4" s="24">
        <f>VLOOKUP(A4,Szs,2,FALSE)</f>
        <v>42</v>
      </c>
      <c r="D4" s="24">
        <f>VLOOKUP(A4,Szs,3,FALSE)</f>
        <v>30</v>
      </c>
      <c r="F4" s="26" t="s">
        <v>44</v>
      </c>
      <c r="G4" s="25">
        <v>24</v>
      </c>
      <c r="H4" s="25">
        <v>18</v>
      </c>
      <c r="I4" s="25">
        <v>130</v>
      </c>
      <c r="K4" s="35"/>
      <c r="L4" s="36"/>
      <c r="M4" s="36"/>
      <c r="N4" s="40"/>
      <c r="O4" s="116" t="s">
        <v>72</v>
      </c>
      <c r="P4" s="117"/>
      <c r="Q4" s="117"/>
      <c r="R4" s="118"/>
    </row>
    <row r="5" spans="1:23" x14ac:dyDescent="0.25">
      <c r="F5" s="26" t="s">
        <v>45</v>
      </c>
      <c r="G5" s="25">
        <v>36</v>
      </c>
      <c r="H5" s="25">
        <v>24</v>
      </c>
      <c r="I5" s="25">
        <v>131</v>
      </c>
      <c r="K5" s="35"/>
      <c r="L5" s="36"/>
      <c r="M5" s="36"/>
      <c r="N5" s="40"/>
      <c r="O5" s="117"/>
      <c r="P5" s="117"/>
      <c r="Q5" s="117"/>
      <c r="R5" s="118"/>
    </row>
    <row r="6" spans="1:23" x14ac:dyDescent="0.25">
      <c r="F6" s="26" t="s">
        <v>46</v>
      </c>
      <c r="G6" s="25">
        <v>48</v>
      </c>
      <c r="H6" s="25">
        <v>36</v>
      </c>
      <c r="I6" s="25">
        <v>132</v>
      </c>
      <c r="K6" s="35"/>
      <c r="L6" s="36"/>
      <c r="M6" s="36"/>
      <c r="N6" s="40"/>
      <c r="O6" s="117"/>
      <c r="P6" s="117"/>
      <c r="Q6" s="117"/>
      <c r="R6" s="118"/>
    </row>
    <row r="7" spans="1:23" x14ac:dyDescent="0.25">
      <c r="F7" s="26" t="s">
        <v>47</v>
      </c>
      <c r="G7" s="25">
        <v>42</v>
      </c>
      <c r="H7" s="25">
        <v>30</v>
      </c>
      <c r="I7" s="25">
        <v>133</v>
      </c>
      <c r="K7" s="37"/>
      <c r="L7" s="38"/>
      <c r="M7" s="38"/>
      <c r="N7" s="39"/>
      <c r="O7" s="38"/>
      <c r="P7" s="38"/>
      <c r="Q7" s="38"/>
      <c r="R7" s="39"/>
    </row>
    <row r="8" spans="1:23" x14ac:dyDescent="0.25">
      <c r="K8" s="32"/>
      <c r="L8" s="33"/>
      <c r="M8" s="33"/>
      <c r="N8" s="34"/>
      <c r="O8" s="125" t="s">
        <v>92</v>
      </c>
      <c r="P8" s="125"/>
      <c r="Q8" s="125"/>
      <c r="R8" s="126"/>
    </row>
    <row r="9" spans="1:23" ht="12.75" customHeight="1" x14ac:dyDescent="0.25">
      <c r="K9" s="35"/>
      <c r="L9" s="36"/>
      <c r="M9" s="36"/>
      <c r="N9" s="40"/>
      <c r="O9" s="116"/>
      <c r="P9" s="116"/>
      <c r="Q9" s="116"/>
      <c r="R9" s="120"/>
    </row>
    <row r="10" spans="1:23" x14ac:dyDescent="0.25">
      <c r="K10" s="35"/>
      <c r="L10" s="36"/>
      <c r="M10" s="36"/>
      <c r="N10" s="40"/>
      <c r="O10" s="41"/>
      <c r="P10" s="41"/>
      <c r="Q10" s="41"/>
      <c r="R10" s="42"/>
    </row>
    <row r="11" spans="1:23" ht="15" thickBot="1" x14ac:dyDescent="0.35">
      <c r="A11" s="115" t="s">
        <v>50</v>
      </c>
      <c r="B11" s="115"/>
      <c r="K11" s="35"/>
      <c r="L11" s="36"/>
      <c r="M11" s="36"/>
      <c r="N11" s="40"/>
      <c r="O11" s="123" t="s">
        <v>83</v>
      </c>
      <c r="P11" s="123"/>
      <c r="Q11" s="123"/>
      <c r="R11" s="124"/>
    </row>
    <row r="12" spans="1:23" ht="14.4" x14ac:dyDescent="0.3">
      <c r="A12" t="s">
        <v>51</v>
      </c>
      <c r="B12" s="27">
        <v>1.5</v>
      </c>
      <c r="C12" t="s">
        <v>55</v>
      </c>
      <c r="K12" s="35"/>
      <c r="L12" s="36"/>
      <c r="M12" s="36"/>
      <c r="N12" s="40"/>
      <c r="O12" s="43" t="s">
        <v>87</v>
      </c>
      <c r="P12" s="36"/>
      <c r="Q12" s="44" t="s">
        <v>84</v>
      </c>
      <c r="R12" s="40"/>
    </row>
    <row r="13" spans="1:23" ht="14.4" x14ac:dyDescent="0.3">
      <c r="A13" t="s">
        <v>52</v>
      </c>
      <c r="B13" s="27">
        <v>4.5</v>
      </c>
      <c r="C13" t="s">
        <v>55</v>
      </c>
      <c r="K13" s="35"/>
      <c r="L13" s="36"/>
      <c r="M13" s="36"/>
      <c r="N13" s="40"/>
      <c r="O13" s="43" t="s">
        <v>73</v>
      </c>
      <c r="P13" s="43" t="s">
        <v>53</v>
      </c>
      <c r="Q13" s="43" t="s">
        <v>54</v>
      </c>
      <c r="R13" s="49" t="s">
        <v>90</v>
      </c>
    </row>
    <row r="14" spans="1:23" ht="14.4" x14ac:dyDescent="0.3">
      <c r="A14" t="s">
        <v>53</v>
      </c>
      <c r="B14" s="27">
        <v>0.5</v>
      </c>
      <c r="C14" t="s">
        <v>55</v>
      </c>
      <c r="K14" s="35"/>
      <c r="L14" s="36"/>
      <c r="M14" s="36"/>
      <c r="N14" s="40"/>
      <c r="O14" s="43" t="s">
        <v>88</v>
      </c>
      <c r="P14" s="44">
        <v>1.5</v>
      </c>
      <c r="Q14" s="44">
        <v>3</v>
      </c>
      <c r="R14" s="50">
        <v>3</v>
      </c>
    </row>
    <row r="15" spans="1:23" ht="14.4" x14ac:dyDescent="0.3">
      <c r="A15" t="s">
        <v>54</v>
      </c>
      <c r="B15" s="27">
        <v>0.5</v>
      </c>
      <c r="C15" t="s">
        <v>55</v>
      </c>
      <c r="K15" s="35"/>
      <c r="L15" s="36"/>
      <c r="M15" s="36"/>
      <c r="N15" s="40"/>
      <c r="O15" s="54"/>
      <c r="P15" s="46" t="s">
        <v>84</v>
      </c>
      <c r="Q15" s="46" t="s">
        <v>85</v>
      </c>
      <c r="R15" s="51" t="s">
        <v>86</v>
      </c>
      <c r="S15" s="45" t="s">
        <v>89</v>
      </c>
      <c r="W15" s="21"/>
    </row>
    <row r="16" spans="1:23" x14ac:dyDescent="0.25">
      <c r="K16" s="35"/>
      <c r="L16" s="36"/>
      <c r="M16" s="36"/>
      <c r="N16" s="40"/>
      <c r="O16" s="55" t="s">
        <v>74</v>
      </c>
      <c r="P16" s="46">
        <v>3</v>
      </c>
      <c r="Q16" s="47">
        <v>4</v>
      </c>
      <c r="R16" s="51">
        <f>ROUNDUP(((VALUE(REPLACE(O16,1,5,""))-$P$14-0.5*2-$Q$14-0.625)/(15-2.5*($R$14+0.5))-1),0)</f>
        <v>5</v>
      </c>
      <c r="S16" s="24">
        <f>IF($Q$12=$P$15,P16,IF($Q$12=$Q$15,Q16,IF($Q$12=$R$15,R16)))</f>
        <v>3</v>
      </c>
    </row>
    <row r="17" spans="1:19" x14ac:dyDescent="0.25">
      <c r="K17" s="48"/>
      <c r="L17" s="36"/>
      <c r="M17" s="36"/>
      <c r="N17" s="40"/>
      <c r="O17" s="54" t="s">
        <v>75</v>
      </c>
      <c r="P17" s="46">
        <v>4</v>
      </c>
      <c r="Q17" s="47">
        <v>4</v>
      </c>
      <c r="R17" s="51">
        <f t="shared" ref="R17:R22" si="0">ROUNDUP(((VALUE(REPLACE(O17,1,5,""))-$P$14-0.5*2-$Q$14-0.625)/(15-2.5*($R$14+0.5))-1),0)</f>
        <v>6</v>
      </c>
      <c r="S17" s="24">
        <f t="shared" ref="S17:S23" si="1">IF($Q$12=$P$15,P17,IF($Q$12=$Q$15,Q17,IF($Q$12=$R$15,R17)))</f>
        <v>4</v>
      </c>
    </row>
    <row r="18" spans="1:19" x14ac:dyDescent="0.25">
      <c r="K18" s="35"/>
      <c r="L18" s="36"/>
      <c r="M18" s="36"/>
      <c r="N18" s="40"/>
      <c r="O18" s="54" t="s">
        <v>76</v>
      </c>
      <c r="P18" s="46">
        <v>4</v>
      </c>
      <c r="Q18" s="47">
        <v>5</v>
      </c>
      <c r="R18" s="51">
        <f t="shared" si="0"/>
        <v>7</v>
      </c>
      <c r="S18" s="24">
        <f t="shared" si="1"/>
        <v>4</v>
      </c>
    </row>
    <row r="19" spans="1:19" x14ac:dyDescent="0.25">
      <c r="K19" s="35"/>
      <c r="L19" s="36"/>
      <c r="M19" s="36"/>
      <c r="N19" s="40"/>
      <c r="O19" s="54" t="s">
        <v>77</v>
      </c>
      <c r="P19" s="46">
        <v>5</v>
      </c>
      <c r="Q19" s="47">
        <v>6</v>
      </c>
      <c r="R19" s="51">
        <f t="shared" si="0"/>
        <v>8</v>
      </c>
      <c r="S19" s="24">
        <f t="shared" si="1"/>
        <v>5</v>
      </c>
    </row>
    <row r="20" spans="1:19" x14ac:dyDescent="0.25">
      <c r="K20" s="35"/>
      <c r="L20" s="36"/>
      <c r="M20" s="36"/>
      <c r="N20" s="40"/>
      <c r="O20" s="54" t="s">
        <v>78</v>
      </c>
      <c r="P20" s="46">
        <v>6</v>
      </c>
      <c r="Q20" s="47">
        <v>7</v>
      </c>
      <c r="R20" s="51">
        <f t="shared" si="0"/>
        <v>10</v>
      </c>
      <c r="S20" s="24">
        <f t="shared" si="1"/>
        <v>6</v>
      </c>
    </row>
    <row r="21" spans="1:19" x14ac:dyDescent="0.25">
      <c r="F21" s="28"/>
      <c r="K21" s="35"/>
      <c r="L21" s="36"/>
      <c r="M21" s="36"/>
      <c r="N21" s="40"/>
      <c r="O21" s="54" t="s">
        <v>79</v>
      </c>
      <c r="P21" s="46">
        <v>7</v>
      </c>
      <c r="Q21" s="47">
        <v>8</v>
      </c>
      <c r="R21" s="51">
        <f t="shared" si="0"/>
        <v>12</v>
      </c>
      <c r="S21" s="24">
        <f t="shared" si="1"/>
        <v>7</v>
      </c>
    </row>
    <row r="22" spans="1:19" ht="15" thickBot="1" x14ac:dyDescent="0.35">
      <c r="A22" s="115" t="s">
        <v>56</v>
      </c>
      <c r="B22" s="115"/>
      <c r="K22" s="35"/>
      <c r="L22" s="36"/>
      <c r="M22" s="36"/>
      <c r="N22" s="40"/>
      <c r="O22" s="55" t="s">
        <v>80</v>
      </c>
      <c r="P22" s="46">
        <v>9</v>
      </c>
      <c r="Q22" s="47">
        <v>10</v>
      </c>
      <c r="R22" s="51">
        <f t="shared" si="0"/>
        <v>14</v>
      </c>
      <c r="S22" s="24">
        <f t="shared" si="1"/>
        <v>9</v>
      </c>
    </row>
    <row r="23" spans="1:19" x14ac:dyDescent="0.25">
      <c r="A23" s="21" t="s">
        <v>57</v>
      </c>
      <c r="B23" s="21" t="s">
        <v>58</v>
      </c>
      <c r="C23" s="21" t="s">
        <v>59</v>
      </c>
      <c r="D23" s="21" t="s">
        <v>60</v>
      </c>
      <c r="K23" s="37"/>
      <c r="L23" s="38"/>
      <c r="M23" s="38"/>
      <c r="N23" s="39"/>
      <c r="O23" s="56" t="s">
        <v>82</v>
      </c>
      <c r="P23" s="52" t="s">
        <v>81</v>
      </c>
      <c r="Q23" s="52" t="s">
        <v>81</v>
      </c>
      <c r="R23" s="53" t="s">
        <v>81</v>
      </c>
      <c r="S23" s="24" t="str">
        <f t="shared" si="1"/>
        <v>calculate</v>
      </c>
    </row>
    <row r="24" spans="1:19" ht="14.4" x14ac:dyDescent="0.3">
      <c r="A24" s="19" t="s">
        <v>61</v>
      </c>
      <c r="B24" s="19">
        <v>8</v>
      </c>
      <c r="C24" s="19" t="s">
        <v>62</v>
      </c>
      <c r="D24" s="29">
        <v>1</v>
      </c>
      <c r="K24" s="32"/>
      <c r="L24" s="33"/>
      <c r="M24" s="33"/>
      <c r="N24" s="34"/>
      <c r="O24" s="33"/>
      <c r="P24" s="33"/>
      <c r="Q24" s="33"/>
      <c r="R24" s="34"/>
    </row>
    <row r="25" spans="1:19" x14ac:dyDescent="0.25">
      <c r="K25" s="35"/>
      <c r="L25" s="36"/>
      <c r="M25" s="36"/>
      <c r="N25" s="40"/>
      <c r="O25" s="127" t="s">
        <v>94</v>
      </c>
      <c r="P25" s="128"/>
      <c r="Q25" s="128"/>
      <c r="R25" s="129"/>
    </row>
    <row r="26" spans="1:19" x14ac:dyDescent="0.25">
      <c r="K26" s="35"/>
      <c r="L26" s="36"/>
      <c r="M26" s="36"/>
      <c r="N26" s="40"/>
      <c r="O26" s="36"/>
      <c r="P26" s="36"/>
      <c r="Q26" s="36"/>
      <c r="R26" s="40"/>
    </row>
    <row r="27" spans="1:19" ht="15" thickBot="1" x14ac:dyDescent="0.35">
      <c r="A27" s="115" t="s">
        <v>66</v>
      </c>
      <c r="B27" s="115"/>
      <c r="K27" s="35"/>
      <c r="L27" s="36"/>
      <c r="M27" s="36"/>
      <c r="N27" s="40"/>
      <c r="O27" s="57" t="s">
        <v>93</v>
      </c>
      <c r="P27" s="130" t="s">
        <v>19</v>
      </c>
      <c r="Q27" s="130"/>
      <c r="R27" s="131"/>
    </row>
    <row r="28" spans="1:19" ht="14.4" x14ac:dyDescent="0.3">
      <c r="A28" s="122" t="s">
        <v>65</v>
      </c>
      <c r="B28" s="122"/>
      <c r="C28" s="122"/>
      <c r="D28" s="122"/>
      <c r="K28" s="37"/>
      <c r="L28" s="38"/>
      <c r="M28" s="38"/>
      <c r="N28" s="39"/>
      <c r="O28" s="38"/>
      <c r="P28" s="38"/>
      <c r="Q28" s="38"/>
      <c r="R28" s="39"/>
    </row>
    <row r="29" spans="1:19" x14ac:dyDescent="0.25">
      <c r="K29" s="32"/>
      <c r="L29" s="33"/>
      <c r="M29" s="33"/>
      <c r="N29" s="34"/>
      <c r="O29" s="32"/>
      <c r="P29" s="33"/>
      <c r="Q29" s="33"/>
      <c r="R29" s="34"/>
    </row>
    <row r="30" spans="1:19" x14ac:dyDescent="0.25">
      <c r="F30" s="21" t="s">
        <v>67</v>
      </c>
      <c r="K30" s="35"/>
      <c r="L30" s="36"/>
      <c r="M30" s="36"/>
      <c r="N30" s="40"/>
      <c r="O30" s="35" t="s">
        <v>195</v>
      </c>
      <c r="P30" s="36"/>
      <c r="Q30" s="70">
        <v>190</v>
      </c>
      <c r="R30" s="40"/>
    </row>
    <row r="31" spans="1:19" x14ac:dyDescent="0.25">
      <c r="F31" s="30" t="s">
        <v>68</v>
      </c>
      <c r="K31" s="35"/>
      <c r="L31" s="36"/>
      <c r="M31" s="36"/>
      <c r="N31" s="40"/>
      <c r="O31" s="48" t="s">
        <v>187</v>
      </c>
      <c r="P31" s="36"/>
      <c r="Q31" s="44" t="s">
        <v>188</v>
      </c>
      <c r="R31" s="40"/>
    </row>
    <row r="32" spans="1:19" ht="20.399999999999999" thickBot="1" x14ac:dyDescent="0.45">
      <c r="A32" s="113" t="s">
        <v>38</v>
      </c>
      <c r="B32" s="113"/>
      <c r="K32" s="35"/>
      <c r="L32" s="36"/>
      <c r="M32" s="36"/>
      <c r="N32" s="40"/>
      <c r="O32" s="48" t="s">
        <v>190</v>
      </c>
      <c r="P32" s="36"/>
      <c r="Q32" s="36"/>
      <c r="R32" s="50" t="s">
        <v>191</v>
      </c>
    </row>
    <row r="33" spans="1:18" ht="13.8" thickTop="1" x14ac:dyDescent="0.25">
      <c r="K33" s="35"/>
      <c r="L33" s="36"/>
      <c r="M33" s="36"/>
      <c r="N33" s="40"/>
      <c r="O33" s="72" t="s">
        <v>193</v>
      </c>
      <c r="P33" s="36"/>
      <c r="Q33" s="70">
        <v>3</v>
      </c>
      <c r="R33" s="71">
        <f>IF(R32="Yes",Q33,-1)</f>
        <v>3</v>
      </c>
    </row>
    <row r="34" spans="1:18" ht="14.4" x14ac:dyDescent="0.3">
      <c r="A34" t="s">
        <v>35</v>
      </c>
      <c r="C34" s="19">
        <v>0</v>
      </c>
      <c r="K34" s="35"/>
      <c r="L34" s="36"/>
      <c r="M34" s="36"/>
      <c r="N34" s="40"/>
      <c r="O34" s="48" t="s">
        <v>189</v>
      </c>
      <c r="P34" s="36"/>
      <c r="Q34" s="70">
        <v>10</v>
      </c>
      <c r="R34" s="40"/>
    </row>
    <row r="35" spans="1:18" x14ac:dyDescent="0.25">
      <c r="K35" s="35"/>
      <c r="L35" s="36"/>
      <c r="M35" s="36"/>
      <c r="N35" s="40"/>
      <c r="O35" s="48" t="s">
        <v>192</v>
      </c>
      <c r="P35" s="36"/>
      <c r="Q35" s="70">
        <v>1</v>
      </c>
      <c r="R35" s="40"/>
    </row>
    <row r="36" spans="1:18" x14ac:dyDescent="0.25">
      <c r="K36" s="35"/>
      <c r="L36" s="36"/>
      <c r="M36" s="36"/>
      <c r="N36" s="40"/>
      <c r="O36" s="48" t="s">
        <v>194</v>
      </c>
      <c r="P36" s="36"/>
      <c r="Q36" s="36" t="str">
        <f>samplesheet(Q31,R33,Q34)</f>
        <v>S7.010</v>
      </c>
      <c r="R36" s="40"/>
    </row>
    <row r="37" spans="1:18" x14ac:dyDescent="0.25">
      <c r="K37" s="35"/>
      <c r="L37" s="36"/>
      <c r="M37" s="36"/>
      <c r="N37" s="40"/>
      <c r="O37" s="48" t="s">
        <v>196</v>
      </c>
      <c r="P37" s="36"/>
      <c r="Q37" s="36"/>
      <c r="R37" s="50" t="s">
        <v>91</v>
      </c>
    </row>
    <row r="38" spans="1:18" ht="12.75" customHeight="1" x14ac:dyDescent="0.25">
      <c r="F38" s="121" t="s">
        <v>36</v>
      </c>
      <c r="G38" s="121"/>
      <c r="H38" s="121"/>
      <c r="I38" s="121"/>
      <c r="J38" s="121"/>
      <c r="K38" s="35"/>
      <c r="L38" s="36"/>
      <c r="M38" s="36"/>
      <c r="N38" s="40"/>
      <c r="O38" s="48" t="s">
        <v>197</v>
      </c>
      <c r="P38" s="36"/>
      <c r="Q38" s="73" t="s">
        <v>198</v>
      </c>
      <c r="R38" s="74"/>
    </row>
    <row r="39" spans="1:18" x14ac:dyDescent="0.25">
      <c r="F39" s="121"/>
      <c r="G39" s="121"/>
      <c r="H39" s="121"/>
      <c r="I39" s="121"/>
      <c r="J39" s="121"/>
      <c r="K39" s="37"/>
      <c r="L39" s="38"/>
      <c r="M39" s="38"/>
      <c r="N39" s="39"/>
      <c r="O39" s="37"/>
      <c r="P39" s="38"/>
      <c r="Q39" s="75">
        <f>IF(Q38="Any sheet with space",0,IF(Q38="Last sheet only",1,2))</f>
        <v>1</v>
      </c>
      <c r="R39" s="39"/>
    </row>
    <row r="40" spans="1:18" x14ac:dyDescent="0.25">
      <c r="F40" s="121"/>
      <c r="G40" s="121"/>
      <c r="H40" s="121"/>
      <c r="I40" s="121"/>
      <c r="J40" s="121"/>
      <c r="K40" s="32"/>
      <c r="L40" s="33"/>
      <c r="M40" s="33"/>
      <c r="N40" s="33"/>
      <c r="O40" s="32"/>
      <c r="P40" s="33"/>
      <c r="Q40" s="33"/>
      <c r="R40" s="34"/>
    </row>
    <row r="41" spans="1:18" x14ac:dyDescent="0.25">
      <c r="F41" s="121"/>
      <c r="G41" s="121"/>
      <c r="H41" s="121"/>
      <c r="I41" s="121"/>
      <c r="J41" s="121"/>
      <c r="K41" s="35"/>
      <c r="L41" s="36"/>
      <c r="M41" s="36"/>
      <c r="N41" s="36"/>
      <c r="O41" s="119" t="s">
        <v>199</v>
      </c>
      <c r="P41" s="116"/>
      <c r="Q41" s="116"/>
      <c r="R41" s="120"/>
    </row>
    <row r="42" spans="1:18" x14ac:dyDescent="0.25">
      <c r="F42" s="121"/>
      <c r="G42" s="121"/>
      <c r="H42" s="121"/>
      <c r="I42" s="121"/>
      <c r="J42" s="121"/>
      <c r="K42" s="35"/>
      <c r="L42" s="36"/>
      <c r="M42" s="36"/>
      <c r="N42" s="36"/>
      <c r="O42" s="119"/>
      <c r="P42" s="116"/>
      <c r="Q42" s="116"/>
      <c r="R42" s="120"/>
    </row>
    <row r="43" spans="1:18" x14ac:dyDescent="0.25">
      <c r="F43" s="121"/>
      <c r="G43" s="121"/>
      <c r="H43" s="121"/>
      <c r="I43" s="121"/>
      <c r="J43" s="121"/>
      <c r="K43" s="35"/>
      <c r="L43" s="36"/>
      <c r="M43" s="36"/>
      <c r="N43" s="36"/>
      <c r="O43" s="119"/>
      <c r="P43" s="116"/>
      <c r="Q43" s="116"/>
      <c r="R43" s="120"/>
    </row>
    <row r="44" spans="1:18" x14ac:dyDescent="0.25">
      <c r="F44" s="121"/>
      <c r="G44" s="121"/>
      <c r="H44" s="121"/>
      <c r="I44" s="121"/>
      <c r="J44" s="121"/>
      <c r="K44" s="37"/>
      <c r="L44" s="38"/>
      <c r="M44" s="38"/>
      <c r="N44" s="38"/>
      <c r="O44" s="37"/>
      <c r="P44" s="38"/>
      <c r="Q44" s="38"/>
      <c r="R44" s="39"/>
    </row>
    <row r="56" spans="9:11" x14ac:dyDescent="0.25">
      <c r="I56" s="20"/>
      <c r="J56" s="20"/>
      <c r="K56" s="20"/>
    </row>
    <row r="57" spans="9:11" x14ac:dyDescent="0.25">
      <c r="I57" s="20"/>
      <c r="J57" s="20"/>
      <c r="K57" s="20"/>
    </row>
    <row r="58" spans="9:11" x14ac:dyDescent="0.25">
      <c r="I58" s="20"/>
      <c r="J58" s="20"/>
      <c r="K58" s="20"/>
    </row>
    <row r="59" spans="9:11" x14ac:dyDescent="0.25">
      <c r="I59" s="20"/>
      <c r="J59" s="20"/>
      <c r="K59" s="20"/>
    </row>
    <row r="60" spans="9:11" x14ac:dyDescent="0.25">
      <c r="I60" s="20"/>
      <c r="J60" s="20"/>
      <c r="K60" s="20"/>
    </row>
    <row r="61" spans="9:11" x14ac:dyDescent="0.25">
      <c r="I61" s="20"/>
      <c r="J61" s="20"/>
      <c r="K61" s="20"/>
    </row>
    <row r="62" spans="9:11" x14ac:dyDescent="0.25">
      <c r="I62" s="20"/>
      <c r="J62" s="20"/>
      <c r="K62" s="20"/>
    </row>
    <row r="63" spans="9:11" x14ac:dyDescent="0.25">
      <c r="I63" s="21"/>
      <c r="J63" s="21"/>
      <c r="K63" s="21"/>
    </row>
  </sheetData>
  <mergeCells count="18">
    <mergeCell ref="A11:B11"/>
    <mergeCell ref="A22:B22"/>
    <mergeCell ref="O2:R2"/>
    <mergeCell ref="O4:R6"/>
    <mergeCell ref="O41:R43"/>
    <mergeCell ref="F38:J44"/>
    <mergeCell ref="A32:B32"/>
    <mergeCell ref="A27:B27"/>
    <mergeCell ref="A28:D28"/>
    <mergeCell ref="O11:R11"/>
    <mergeCell ref="O8:R9"/>
    <mergeCell ref="O25:R25"/>
    <mergeCell ref="P27:R27"/>
    <mergeCell ref="K1:R1"/>
    <mergeCell ref="K2:N2"/>
    <mergeCell ref="A1:B1"/>
    <mergeCell ref="F2:I2"/>
    <mergeCell ref="A2:B2"/>
  </mergeCells>
  <conditionalFormatting sqref="O13:R14">
    <cfRule type="expression" dxfId="4" priority="5">
      <formula>$Q$12&lt;&gt;$R$15</formula>
    </cfRule>
  </conditionalFormatting>
  <conditionalFormatting sqref="O33:Q33">
    <cfRule type="expression" dxfId="3" priority="4">
      <formula>$R$32&lt;&gt;"Yes"</formula>
    </cfRule>
  </conditionalFormatting>
  <conditionalFormatting sqref="R33">
    <cfRule type="expression" dxfId="2" priority="3">
      <formula>$R$32&lt;&gt;"Yes"</formula>
    </cfRule>
  </conditionalFormatting>
  <conditionalFormatting sqref="Q30">
    <cfRule type="expression" dxfId="1" priority="2">
      <formula>$R$32&lt;&gt;"Yes"</formula>
    </cfRule>
  </conditionalFormatting>
  <conditionalFormatting sqref="O38:R38">
    <cfRule type="expression" dxfId="0" priority="1">
      <formula>$R$37="Yes"</formula>
    </cfRule>
  </conditionalFormatting>
  <dataValidations count="5">
    <dataValidation type="list" allowBlank="1" showInputMessage="1" showErrorMessage="1" sqref="A4" xr:uid="{00000000-0002-0000-0200-000000000000}">
      <formula1>ShtSz</formula1>
    </dataValidation>
    <dataValidation type="list" allowBlank="1" showInputMessage="1" showErrorMessage="1" sqref="Q12" xr:uid="{00000000-0002-0000-0200-000001000000}">
      <formula1>$P$15:$R$15</formula1>
    </dataValidation>
    <dataValidation type="list" allowBlank="1" showInputMessage="1" showErrorMessage="1" sqref="R32 R37" xr:uid="{00000000-0002-0000-0200-000002000000}">
      <formula1>"Yes,No"</formula1>
    </dataValidation>
    <dataValidation type="whole" errorStyle="warning" operator="greaterThan" allowBlank="1" showInputMessage="1" showErrorMessage="1" error="Must enter a positive whole number" sqref="Q33 Q30" xr:uid="{00000000-0002-0000-0200-000003000000}">
      <formula1>0</formula1>
    </dataValidation>
    <dataValidation type="list" allowBlank="1" showInputMessage="1" showErrorMessage="1" sqref="Q38" xr:uid="{00000000-0002-0000-0200-000004000000}">
      <formula1>"Any sheet with space,Last sheet only,Start new sheet"</formula1>
    </dataValidation>
  </dataValidations>
  <pageMargins left="0.7" right="0.7" top="0.75" bottom="0.75" header="0.3" footer="0.3"/>
  <pageSetup orientation="portrait" horizontalDpi="4294967294"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_NextRev">
                <anchor moveWithCells="1" sizeWithCells="1">
                  <from>
                    <xdr:col>1</xdr:col>
                    <xdr:colOff>121920</xdr:colOff>
                    <xdr:row>35</xdr:row>
                    <xdr:rowOff>106680</xdr:rowOff>
                  </from>
                  <to>
                    <xdr:col>4</xdr:col>
                    <xdr:colOff>297180</xdr:colOff>
                    <xdr:row>39</xdr:row>
                    <xdr:rowOff>99060</xdr:rowOff>
                  </to>
                </anchor>
              </controlPr>
            </control>
          </mc:Choice>
        </mc:AlternateContent>
        <mc:AlternateContent xmlns:mc="http://schemas.openxmlformats.org/markup-compatibility/2006">
          <mc:Choice Requires="x14">
            <control shapeId="4099" r:id="rId5" name="Button 3">
              <controlPr defaultSize="0" print="0" autoFill="0" autoPict="0" macro="[0]!Button_BuildSheet">
                <anchor moveWithCells="1" sizeWithCells="1">
                  <from>
                    <xdr:col>5</xdr:col>
                    <xdr:colOff>304800</xdr:colOff>
                    <xdr:row>24</xdr:row>
                    <xdr:rowOff>22860</xdr:rowOff>
                  </from>
                  <to>
                    <xdr:col>9</xdr:col>
                    <xdr:colOff>7620</xdr:colOff>
                    <xdr:row>27</xdr:row>
                    <xdr:rowOff>175260</xdr:rowOff>
                  </to>
                </anchor>
              </controlPr>
            </control>
          </mc:Choice>
        </mc:AlternateContent>
        <mc:AlternateContent xmlns:mc="http://schemas.openxmlformats.org/markup-compatibility/2006">
          <mc:Choice Requires="x14">
            <control shapeId="4101" r:id="rId6" name="Button 5">
              <controlPr defaultSize="0" print="0" autoFill="0" autoPict="0" macro="[0]!Button_QCChecks">
                <anchor moveWithCells="1" sizeWithCells="1">
                  <from>
                    <xdr:col>10</xdr:col>
                    <xdr:colOff>228600</xdr:colOff>
                    <xdr:row>2</xdr:row>
                    <xdr:rowOff>83820</xdr:rowOff>
                  </from>
                  <to>
                    <xdr:col>13</xdr:col>
                    <xdr:colOff>342900</xdr:colOff>
                    <xdr:row>6</xdr:row>
                    <xdr:rowOff>83820</xdr:rowOff>
                  </to>
                </anchor>
              </controlPr>
            </control>
          </mc:Choice>
        </mc:AlternateContent>
        <mc:AlternateContent xmlns:mc="http://schemas.openxmlformats.org/markup-compatibility/2006">
          <mc:Choice Requires="x14">
            <control shapeId="4102" r:id="rId7" name="Button 6">
              <controlPr defaultSize="0" print="0" autoFill="0" autoPict="0" macro="[0]!Button_SkinReinf">
                <anchor moveWithCells="1" sizeWithCells="1">
                  <from>
                    <xdr:col>10</xdr:col>
                    <xdr:colOff>228600</xdr:colOff>
                    <xdr:row>7</xdr:row>
                    <xdr:rowOff>106680</xdr:rowOff>
                  </from>
                  <to>
                    <xdr:col>13</xdr:col>
                    <xdr:colOff>342900</xdr:colOff>
                    <xdr:row>11</xdr:row>
                    <xdr:rowOff>99060</xdr:rowOff>
                  </to>
                </anchor>
              </controlPr>
            </control>
          </mc:Choice>
        </mc:AlternateContent>
        <mc:AlternateContent xmlns:mc="http://schemas.openxmlformats.org/markup-compatibility/2006">
          <mc:Choice Requires="x14">
            <control shapeId="4113" r:id="rId8" name="Button 17">
              <controlPr defaultSize="0" print="0" autoFill="0" autoPict="0" macro="[0]!Button_Category">
                <anchor moveWithCells="1" sizeWithCells="1">
                  <from>
                    <xdr:col>10</xdr:col>
                    <xdr:colOff>228600</xdr:colOff>
                    <xdr:row>23</xdr:row>
                    <xdr:rowOff>114300</xdr:rowOff>
                  </from>
                  <to>
                    <xdr:col>13</xdr:col>
                    <xdr:colOff>342900</xdr:colOff>
                    <xdr:row>27</xdr:row>
                    <xdr:rowOff>76200</xdr:rowOff>
                  </to>
                </anchor>
              </controlPr>
            </control>
          </mc:Choice>
        </mc:AlternateContent>
        <mc:AlternateContent xmlns:mc="http://schemas.openxmlformats.org/markup-compatibility/2006">
          <mc:Choice Requires="x14">
            <control shapeId="4118" r:id="rId9" name="Button 22">
              <controlPr defaultSize="0" print="0" autoFill="0" autoPict="0" macro="[0]!Button_Sheets">
                <anchor moveWithCells="1" sizeWithCells="1">
                  <from>
                    <xdr:col>10</xdr:col>
                    <xdr:colOff>228600</xdr:colOff>
                    <xdr:row>31</xdr:row>
                    <xdr:rowOff>144780</xdr:rowOff>
                  </from>
                  <to>
                    <xdr:col>13</xdr:col>
                    <xdr:colOff>342900</xdr:colOff>
                    <xdr:row>35</xdr:row>
                    <xdr:rowOff>38100</xdr:rowOff>
                  </to>
                </anchor>
              </controlPr>
            </control>
          </mc:Choice>
        </mc:AlternateContent>
        <mc:AlternateContent xmlns:mc="http://schemas.openxmlformats.org/markup-compatibility/2006">
          <mc:Choice Requires="x14">
            <control shapeId="4126" r:id="rId10" name="Button 30">
              <controlPr defaultSize="0" print="0" autoFill="0" autoPict="0" macro="[0]!Button_Remarks">
                <anchor moveWithCells="1" sizeWithCells="1">
                  <from>
                    <xdr:col>10</xdr:col>
                    <xdr:colOff>228600</xdr:colOff>
                    <xdr:row>39</xdr:row>
                    <xdr:rowOff>76200</xdr:rowOff>
                  </from>
                  <to>
                    <xdr:col>13</xdr:col>
                    <xdr:colOff>342900</xdr:colOff>
                    <xdr:row>43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4"/>
  <sheetViews>
    <sheetView workbookViewId="0">
      <selection activeCell="B45" sqref="B45"/>
    </sheetView>
  </sheetViews>
  <sheetFormatPr defaultRowHeight="13.2" x14ac:dyDescent="0.25"/>
  <cols>
    <col min="1" max="1" width="35.109375" customWidth="1"/>
    <col min="2" max="2" width="91.6640625" customWidth="1"/>
    <col min="3" max="3" width="150.33203125" bestFit="1" customWidth="1"/>
    <col min="4" max="4" width="9.109375" customWidth="1"/>
    <col min="7" max="9" width="9.109375" customWidth="1"/>
    <col min="12" max="15" width="9.109375" customWidth="1"/>
  </cols>
  <sheetData>
    <row r="1" spans="1:3" ht="20.399999999999999" thickBot="1" x14ac:dyDescent="0.45">
      <c r="A1" s="58" t="s">
        <v>151</v>
      </c>
      <c r="B1" s="58"/>
    </row>
    <row r="2" spans="1:3" ht="13.8" thickTop="1" x14ac:dyDescent="0.25">
      <c r="A2" s="21" t="s">
        <v>152</v>
      </c>
      <c r="B2" s="21" t="s">
        <v>153</v>
      </c>
    </row>
    <row r="3" spans="1:3" x14ac:dyDescent="0.25">
      <c r="A3" s="21" t="s">
        <v>154</v>
      </c>
      <c r="B3" s="21" t="s">
        <v>155</v>
      </c>
    </row>
    <row r="4" spans="1:3" x14ac:dyDescent="0.25">
      <c r="A4" s="21" t="s">
        <v>156</v>
      </c>
      <c r="B4" s="21" t="s">
        <v>157</v>
      </c>
    </row>
    <row r="6" spans="1:3" ht="20.399999999999999" thickBot="1" x14ac:dyDescent="0.45">
      <c r="A6" s="58" t="s">
        <v>158</v>
      </c>
      <c r="B6" s="58"/>
      <c r="C6" s="67"/>
    </row>
    <row r="7" spans="1:3" ht="13.8" thickTop="1" x14ac:dyDescent="0.25">
      <c r="A7" s="20" t="s">
        <v>159</v>
      </c>
      <c r="C7" s="68" t="s">
        <v>178</v>
      </c>
    </row>
    <row r="8" spans="1:3" x14ac:dyDescent="0.25">
      <c r="A8" s="21" t="s">
        <v>160</v>
      </c>
      <c r="B8" s="21" t="s">
        <v>161</v>
      </c>
      <c r="C8" s="21" t="s">
        <v>176</v>
      </c>
    </row>
    <row r="9" spans="1:3" ht="13.8" x14ac:dyDescent="0.3">
      <c r="A9" s="21" t="s">
        <v>162</v>
      </c>
      <c r="B9" s="21" t="s">
        <v>163</v>
      </c>
      <c r="C9" s="21" t="s">
        <v>176</v>
      </c>
    </row>
    <row r="10" spans="1:3" x14ac:dyDescent="0.25">
      <c r="A10" s="21" t="s">
        <v>164</v>
      </c>
      <c r="B10" s="21" t="s">
        <v>165</v>
      </c>
      <c r="C10" s="21" t="s">
        <v>179</v>
      </c>
    </row>
    <row r="11" spans="1:3" x14ac:dyDescent="0.25">
      <c r="A11" s="21" t="s">
        <v>166</v>
      </c>
      <c r="B11" s="21" t="s">
        <v>167</v>
      </c>
      <c r="C11" s="21" t="s">
        <v>180</v>
      </c>
    </row>
    <row r="12" spans="1:3" x14ac:dyDescent="0.25">
      <c r="A12" s="21" t="s">
        <v>168</v>
      </c>
      <c r="B12" s="21" t="s">
        <v>165</v>
      </c>
      <c r="C12" s="21" t="s">
        <v>177</v>
      </c>
    </row>
    <row r="13" spans="1:3" x14ac:dyDescent="0.25">
      <c r="A13" s="21" t="s">
        <v>169</v>
      </c>
      <c r="B13" s="21" t="s">
        <v>165</v>
      </c>
      <c r="C13" s="21" t="s">
        <v>181</v>
      </c>
    </row>
    <row r="14" spans="1:3" x14ac:dyDescent="0.25">
      <c r="A14" s="21" t="s">
        <v>170</v>
      </c>
      <c r="B14" s="21" t="s">
        <v>171</v>
      </c>
      <c r="C14" s="21" t="s">
        <v>180</v>
      </c>
    </row>
    <row r="15" spans="1:3" x14ac:dyDescent="0.25">
      <c r="A15" s="21" t="s">
        <v>182</v>
      </c>
      <c r="B15" s="69" t="s">
        <v>186</v>
      </c>
      <c r="C15" s="21" t="s">
        <v>183</v>
      </c>
    </row>
    <row r="16" spans="1:3" x14ac:dyDescent="0.25">
      <c r="A16" s="21"/>
      <c r="B16" s="21"/>
    </row>
    <row r="17" spans="1:3" ht="20.399999999999999" thickBot="1" x14ac:dyDescent="0.45">
      <c r="A17" s="113" t="s">
        <v>172</v>
      </c>
      <c r="B17" s="113"/>
      <c r="C17" s="113"/>
    </row>
    <row r="18" spans="1:3" ht="13.8" thickTop="1" x14ac:dyDescent="0.25">
      <c r="A18" s="59" t="s">
        <v>142</v>
      </c>
      <c r="B18" s="61" t="s">
        <v>143</v>
      </c>
      <c r="C18" s="61" t="s">
        <v>144</v>
      </c>
    </row>
    <row r="19" spans="1:3" x14ac:dyDescent="0.25">
      <c r="A19" s="60" t="s">
        <v>3</v>
      </c>
      <c r="B19" s="62" t="s">
        <v>96</v>
      </c>
      <c r="C19" s="26"/>
    </row>
    <row r="20" spans="1:3" x14ac:dyDescent="0.25">
      <c r="A20" s="60" t="s">
        <v>102</v>
      </c>
      <c r="B20" s="62" t="s">
        <v>97</v>
      </c>
      <c r="C20" s="62" t="s">
        <v>99</v>
      </c>
    </row>
    <row r="21" spans="1:3" x14ac:dyDescent="0.25">
      <c r="A21" s="60" t="s">
        <v>103</v>
      </c>
      <c r="B21" s="62" t="s">
        <v>98</v>
      </c>
      <c r="C21" s="62" t="s">
        <v>99</v>
      </c>
    </row>
    <row r="22" spans="1:3" x14ac:dyDescent="0.25">
      <c r="A22" s="134" t="s">
        <v>100</v>
      </c>
      <c r="B22" s="63" t="s">
        <v>107</v>
      </c>
      <c r="C22" s="63" t="s">
        <v>105</v>
      </c>
    </row>
    <row r="23" spans="1:3" x14ac:dyDescent="0.25">
      <c r="A23" s="135"/>
      <c r="B23" s="64" t="s">
        <v>106</v>
      </c>
      <c r="C23" s="64" t="s">
        <v>105</v>
      </c>
    </row>
    <row r="24" spans="1:3" x14ac:dyDescent="0.25">
      <c r="A24" s="135"/>
      <c r="B24" s="64" t="s">
        <v>113</v>
      </c>
      <c r="C24" s="64" t="s">
        <v>112</v>
      </c>
    </row>
    <row r="25" spans="1:3" x14ac:dyDescent="0.25">
      <c r="A25" s="135"/>
      <c r="B25" s="64" t="s">
        <v>108</v>
      </c>
      <c r="C25" s="64" t="s">
        <v>128</v>
      </c>
    </row>
    <row r="26" spans="1:3" x14ac:dyDescent="0.25">
      <c r="A26" s="135"/>
      <c r="B26" s="64" t="s">
        <v>109</v>
      </c>
      <c r="C26" s="64" t="s">
        <v>110</v>
      </c>
    </row>
    <row r="27" spans="1:3" x14ac:dyDescent="0.25">
      <c r="A27" s="135"/>
      <c r="B27" s="64" t="s">
        <v>114</v>
      </c>
      <c r="C27" s="64" t="s">
        <v>115</v>
      </c>
    </row>
    <row r="28" spans="1:3" x14ac:dyDescent="0.25">
      <c r="A28" s="136"/>
      <c r="B28" s="65" t="s">
        <v>122</v>
      </c>
      <c r="C28" s="65" t="s">
        <v>116</v>
      </c>
    </row>
    <row r="29" spans="1:3" x14ac:dyDescent="0.25">
      <c r="A29" s="134" t="s">
        <v>5</v>
      </c>
      <c r="B29" s="63" t="s">
        <v>117</v>
      </c>
      <c r="C29" s="63" t="s">
        <v>105</v>
      </c>
    </row>
    <row r="30" spans="1:3" x14ac:dyDescent="0.25">
      <c r="A30" s="135"/>
      <c r="B30" s="64" t="s">
        <v>118</v>
      </c>
      <c r="C30" s="64" t="s">
        <v>105</v>
      </c>
    </row>
    <row r="31" spans="1:3" x14ac:dyDescent="0.25">
      <c r="A31" s="135"/>
      <c r="B31" s="64" t="s">
        <v>119</v>
      </c>
      <c r="C31" s="64" t="s">
        <v>120</v>
      </c>
    </row>
    <row r="32" spans="1:3" x14ac:dyDescent="0.25">
      <c r="A32" s="135"/>
      <c r="B32" s="64" t="s">
        <v>108</v>
      </c>
      <c r="C32" s="64" t="s">
        <v>128</v>
      </c>
    </row>
    <row r="33" spans="1:3" x14ac:dyDescent="0.25">
      <c r="A33" s="135"/>
      <c r="B33" s="64" t="s">
        <v>109</v>
      </c>
      <c r="C33" s="64" t="s">
        <v>110</v>
      </c>
    </row>
    <row r="34" spans="1:3" x14ac:dyDescent="0.25">
      <c r="A34" s="135"/>
      <c r="B34" s="64" t="s">
        <v>111</v>
      </c>
      <c r="C34" s="64" t="s">
        <v>110</v>
      </c>
    </row>
    <row r="35" spans="1:3" x14ac:dyDescent="0.25">
      <c r="A35" s="137"/>
      <c r="B35" s="66" t="s">
        <v>121</v>
      </c>
      <c r="C35" s="66" t="s">
        <v>123</v>
      </c>
    </row>
    <row r="36" spans="1:3" x14ac:dyDescent="0.25">
      <c r="A36" s="134" t="s">
        <v>6</v>
      </c>
      <c r="B36" s="63" t="s">
        <v>124</v>
      </c>
      <c r="C36" s="63" t="s">
        <v>105</v>
      </c>
    </row>
    <row r="37" spans="1:3" x14ac:dyDescent="0.25">
      <c r="A37" s="135"/>
      <c r="B37" s="64" t="s">
        <v>125</v>
      </c>
      <c r="C37" s="64" t="s">
        <v>105</v>
      </c>
    </row>
    <row r="38" spans="1:3" x14ac:dyDescent="0.25">
      <c r="A38" s="135"/>
      <c r="B38" s="64" t="s">
        <v>113</v>
      </c>
      <c r="C38" s="64" t="s">
        <v>112</v>
      </c>
    </row>
    <row r="39" spans="1:3" x14ac:dyDescent="0.25">
      <c r="A39" s="135"/>
      <c r="B39" s="64" t="s">
        <v>108</v>
      </c>
      <c r="C39" s="64" t="s">
        <v>128</v>
      </c>
    </row>
    <row r="40" spans="1:3" x14ac:dyDescent="0.25">
      <c r="A40" s="135"/>
      <c r="B40" s="64" t="s">
        <v>109</v>
      </c>
      <c r="C40" s="64" t="s">
        <v>110</v>
      </c>
    </row>
    <row r="41" spans="1:3" x14ac:dyDescent="0.25">
      <c r="A41" s="135"/>
      <c r="B41" s="64" t="s">
        <v>114</v>
      </c>
      <c r="C41" s="64" t="s">
        <v>115</v>
      </c>
    </row>
    <row r="42" spans="1:3" x14ac:dyDescent="0.25">
      <c r="A42" s="136"/>
      <c r="B42" s="65" t="s">
        <v>122</v>
      </c>
      <c r="C42" s="65" t="s">
        <v>116</v>
      </c>
    </row>
    <row r="43" spans="1:3" x14ac:dyDescent="0.25">
      <c r="A43" s="134" t="s">
        <v>101</v>
      </c>
      <c r="B43" s="63" t="s">
        <v>107</v>
      </c>
      <c r="C43" s="63" t="s">
        <v>105</v>
      </c>
    </row>
    <row r="44" spans="1:3" x14ac:dyDescent="0.25">
      <c r="A44" s="135"/>
      <c r="B44" s="64" t="s">
        <v>106</v>
      </c>
      <c r="C44" s="64" t="s">
        <v>105</v>
      </c>
    </row>
    <row r="45" spans="1:3" x14ac:dyDescent="0.25">
      <c r="A45" s="135"/>
      <c r="B45" s="64" t="s">
        <v>113</v>
      </c>
      <c r="C45" s="64" t="s">
        <v>112</v>
      </c>
    </row>
    <row r="46" spans="1:3" x14ac:dyDescent="0.25">
      <c r="A46" s="135"/>
      <c r="B46" s="64" t="s">
        <v>108</v>
      </c>
      <c r="C46" s="64" t="s">
        <v>128</v>
      </c>
    </row>
    <row r="47" spans="1:3" x14ac:dyDescent="0.25">
      <c r="A47" s="135"/>
      <c r="B47" s="64" t="s">
        <v>109</v>
      </c>
      <c r="C47" s="64" t="s">
        <v>110</v>
      </c>
    </row>
    <row r="48" spans="1:3" x14ac:dyDescent="0.25">
      <c r="A48" s="135"/>
      <c r="B48" s="64" t="s">
        <v>114</v>
      </c>
      <c r="C48" s="64" t="s">
        <v>115</v>
      </c>
    </row>
    <row r="49" spans="1:3" x14ac:dyDescent="0.25">
      <c r="A49" s="136"/>
      <c r="B49" s="65" t="s">
        <v>122</v>
      </c>
      <c r="C49" s="65" t="s">
        <v>116</v>
      </c>
    </row>
    <row r="50" spans="1:3" x14ac:dyDescent="0.25">
      <c r="A50" s="134" t="s">
        <v>104</v>
      </c>
      <c r="B50" s="63" t="s">
        <v>126</v>
      </c>
      <c r="C50" s="63" t="s">
        <v>127</v>
      </c>
    </row>
    <row r="51" spans="1:3" x14ac:dyDescent="0.25">
      <c r="A51" s="135"/>
      <c r="B51" s="64" t="s">
        <v>129</v>
      </c>
      <c r="C51" s="64" t="s">
        <v>130</v>
      </c>
    </row>
    <row r="52" spans="1:3" x14ac:dyDescent="0.25">
      <c r="A52" s="135"/>
      <c r="B52" s="64" t="s">
        <v>131</v>
      </c>
      <c r="C52" s="64" t="s">
        <v>132</v>
      </c>
    </row>
    <row r="53" spans="1:3" x14ac:dyDescent="0.25">
      <c r="A53" s="136"/>
      <c r="B53" s="65" t="s">
        <v>133</v>
      </c>
      <c r="C53" s="65" t="s">
        <v>134</v>
      </c>
    </row>
    <row r="54" spans="1:3" x14ac:dyDescent="0.25">
      <c r="A54" s="60" t="s">
        <v>69</v>
      </c>
      <c r="B54" s="62" t="s">
        <v>135</v>
      </c>
      <c r="C54" s="62" t="s">
        <v>136</v>
      </c>
    </row>
    <row r="55" spans="1:3" x14ac:dyDescent="0.25">
      <c r="A55" s="60" t="s">
        <v>137</v>
      </c>
      <c r="B55" s="62" t="s">
        <v>140</v>
      </c>
      <c r="C55" s="62" t="s">
        <v>141</v>
      </c>
    </row>
    <row r="56" spans="1:3" x14ac:dyDescent="0.25">
      <c r="A56" s="134" t="s">
        <v>138</v>
      </c>
      <c r="B56" s="63" t="s">
        <v>184</v>
      </c>
      <c r="C56" s="63" t="s">
        <v>145</v>
      </c>
    </row>
    <row r="57" spans="1:3" x14ac:dyDescent="0.25">
      <c r="A57" s="136"/>
      <c r="B57" s="65" t="s">
        <v>185</v>
      </c>
      <c r="C57" s="65" t="s">
        <v>110</v>
      </c>
    </row>
    <row r="58" spans="1:3" x14ac:dyDescent="0.25">
      <c r="A58" s="132" t="s">
        <v>139</v>
      </c>
      <c r="B58" s="63" t="s">
        <v>146</v>
      </c>
      <c r="C58" s="63" t="s">
        <v>175</v>
      </c>
    </row>
    <row r="59" spans="1:3" x14ac:dyDescent="0.25">
      <c r="A59" s="133"/>
      <c r="B59" s="76" t="s">
        <v>201</v>
      </c>
      <c r="C59" s="76" t="s">
        <v>200</v>
      </c>
    </row>
    <row r="60" spans="1:3" x14ac:dyDescent="0.25">
      <c r="A60" s="60" t="s">
        <v>2</v>
      </c>
      <c r="B60" s="62" t="s">
        <v>147</v>
      </c>
      <c r="C60" s="26"/>
    </row>
    <row r="61" spans="1:3" x14ac:dyDescent="0.25">
      <c r="A61" s="60" t="s">
        <v>63</v>
      </c>
      <c r="B61" s="62" t="s">
        <v>147</v>
      </c>
      <c r="C61" s="26"/>
    </row>
    <row r="62" spans="1:3" x14ac:dyDescent="0.25">
      <c r="A62" s="60" t="s">
        <v>64</v>
      </c>
      <c r="B62" s="62" t="s">
        <v>147</v>
      </c>
      <c r="C62" s="26"/>
    </row>
    <row r="63" spans="1:3" x14ac:dyDescent="0.25">
      <c r="A63" s="60" t="s">
        <v>27</v>
      </c>
      <c r="B63" s="62" t="s">
        <v>148</v>
      </c>
      <c r="C63" s="62" t="s">
        <v>150</v>
      </c>
    </row>
    <row r="64" spans="1:3" x14ac:dyDescent="0.25">
      <c r="A64" s="60" t="s">
        <v>28</v>
      </c>
      <c r="B64" s="62" t="s">
        <v>149</v>
      </c>
      <c r="C64" s="62" t="s">
        <v>150</v>
      </c>
    </row>
  </sheetData>
  <mergeCells count="8">
    <mergeCell ref="A58:A59"/>
    <mergeCell ref="A43:A49"/>
    <mergeCell ref="A50:A53"/>
    <mergeCell ref="A56:A57"/>
    <mergeCell ref="A17:C17"/>
    <mergeCell ref="A22:A28"/>
    <mergeCell ref="A29:A35"/>
    <mergeCell ref="A36:A4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08EC9867A78D42BDF3A34D4086DEF5" ma:contentTypeVersion="16" ma:contentTypeDescription="Create a new document." ma:contentTypeScope="" ma:versionID="55bc14ebab478af61079159b8aef2835">
  <xsd:schema xmlns:xsd="http://www.w3.org/2001/XMLSchema" xmlns:xs="http://www.w3.org/2001/XMLSchema" xmlns:p="http://schemas.microsoft.com/office/2006/metadata/properties" xmlns:ns2="6f11990c-6f74-4b80-9cec-b3f6e8678af2" xmlns:ns3="b6ef8e2b-6a6e-48d6-80a5-a58ab4873c4d" targetNamespace="http://schemas.microsoft.com/office/2006/metadata/properties" ma:root="true" ma:fieldsID="cf6a562b400bac0e5121fad715eb52a6" ns2:_="" ns3:_="">
    <xsd:import namespace="6f11990c-6f74-4b80-9cec-b3f6e8678af2"/>
    <xsd:import namespace="b6ef8e2b-6a6e-48d6-80a5-a58ab4873c4d"/>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11990c-6f74-4b80-9cec-b3f6e8678a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40fef765-cd68-4fbc-89f4-922613e3794c" ma:termSetId="09814cd3-568e-fe90-9814-8d621ff8fb84" ma:anchorId="fba54fb3-c3e1-fe81-a776-ca4b69148c4d" ma:open="true" ma:isKeyword="false">
      <xsd:complexType>
        <xsd:sequence>
          <xsd:element ref="pc:Terms" minOccurs="0" maxOccurs="1"/>
        </xsd:sequence>
      </xsd:complex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6ef8e2b-6a6e-48d6-80a5-a58ab4873c4d"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e7bd4ff8-8cd0-4ed9-af30-8fa6a36f8ce7}" ma:internalName="TaxCatchAll" ma:showField="CatchAllData" ma:web="b18a52c7-6064-43fa-883e-8c52e0fe2e5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f11990c-6f74-4b80-9cec-b3f6e8678af2">
      <Terms xmlns="http://schemas.microsoft.com/office/infopath/2007/PartnerControls"/>
    </lcf76f155ced4ddcb4097134ff3c332f>
    <TaxCatchAll xmlns="b6ef8e2b-6a6e-48d6-80a5-a58ab4873c4d" xsi:nil="true"/>
  </documentManagement>
</p:properties>
</file>

<file path=customXml/itemProps1.xml><?xml version="1.0" encoding="utf-8"?>
<ds:datastoreItem xmlns:ds="http://schemas.openxmlformats.org/officeDocument/2006/customXml" ds:itemID="{F9706C03-F55C-481E-941E-D7AD213AEC37}"/>
</file>

<file path=customXml/itemProps2.xml><?xml version="1.0" encoding="utf-8"?>
<ds:datastoreItem xmlns:ds="http://schemas.openxmlformats.org/officeDocument/2006/customXml" ds:itemID="{D8E7993A-94C8-40B7-A095-0374B1881FCD}">
  <ds:schemaRefs>
    <ds:schemaRef ds:uri="http://schemas.microsoft.com/sharepoint/v3/contenttype/forms"/>
  </ds:schemaRefs>
</ds:datastoreItem>
</file>

<file path=customXml/itemProps3.xml><?xml version="1.0" encoding="utf-8"?>
<ds:datastoreItem xmlns:ds="http://schemas.openxmlformats.org/officeDocument/2006/customXml" ds:itemID="{D78FB9BE-7131-47D2-9869-2477C60FDAA9}">
  <ds:schemaRefs>
    <ds:schemaRef ds:uri="http://schemas.microsoft.com/office/2006/metadata/properties"/>
    <ds:schemaRef ds:uri="http://schemas.microsoft.com/office/infopath/2007/PartnerControls"/>
    <ds:schemaRef ds:uri="6f11990c-6f74-4b80-9cec-b3f6e8678af2"/>
    <ds:schemaRef ds:uri="b6ef8e2b-6a6e-48d6-80a5-a58ab4873c4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Concrete Beam Schedule</vt:lpstr>
      <vt:lpstr>Compare Schedule</vt:lpstr>
      <vt:lpstr>Macros</vt:lpstr>
      <vt:lpstr>Read Me</vt:lpstr>
      <vt:lpstr>RevitMarks</vt:lpstr>
      <vt:lpstr>ShtSz</vt:lpstr>
      <vt:lpstr>Szs</vt:lpstr>
    </vt:vector>
  </TitlesOfParts>
  <Company>Walter P. Moore and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Walter P. Moore</dc:creator>
  <cp:lastModifiedBy>Utkarsh Gupta</cp:lastModifiedBy>
  <cp:revision>1</cp:revision>
  <cp:lastPrinted>2021-11-30T08:40:50Z</cp:lastPrinted>
  <dcterms:created xsi:type="dcterms:W3CDTF">2004-02-02T21:17:51Z</dcterms:created>
  <dcterms:modified xsi:type="dcterms:W3CDTF">2022-07-08T06:05:35Z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0x010100F608EC9867A78D42BDF3A34D4086DEF5</vt:lpwstr>
  </property>
  <property fmtid="{D5CDD505-2E9C-101B-9397-08002B2CF9AE}" pid="3" name="MediaServiceImageTags">
    <vt:lpwstr/>
  </property>
</Properties>
</file>